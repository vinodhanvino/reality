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ffice\spirix\"/>
    </mc:Choice>
  </mc:AlternateContent>
  <xr:revisionPtr revIDLastSave="0" documentId="8_{1ED4A88E-13F3-4F7A-A5E5-B283BF6AE601}" xr6:coauthVersionLast="47" xr6:coauthVersionMax="47" xr10:uidLastSave="{00000000-0000-0000-0000-000000000000}"/>
  <bookViews>
    <workbookView xWindow="-108" yWindow="-108" windowWidth="23256" windowHeight="12576" xr2:uid="{4C165362-E1B2-4EC3-816E-45071C974EA1}"/>
  </bookViews>
  <sheets>
    <sheet name="15th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1" i="1" l="1"/>
  <c r="AN3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G4" i="1"/>
  <c r="BH4" i="1"/>
  <c r="BI4" i="1"/>
  <c r="BJ4" i="1"/>
  <c r="BL4" i="1"/>
  <c r="BM4" i="1"/>
  <c r="BN4" i="1"/>
  <c r="BO4" i="1"/>
  <c r="AN6" i="1"/>
  <c r="D7" i="1"/>
  <c r="G7" i="1" s="1"/>
  <c r="O7" i="1"/>
  <c r="AI7" i="1"/>
  <c r="AJ7" i="1"/>
  <c r="AL7" i="1"/>
  <c r="AN7" i="1"/>
  <c r="AO7" i="1"/>
  <c r="AP7" i="1"/>
  <c r="AQ7" i="1"/>
  <c r="AS7" i="1"/>
  <c r="AT7" i="1"/>
  <c r="AU7" i="1"/>
  <c r="AV7" i="1"/>
  <c r="AW7" i="1"/>
  <c r="AX7" i="1"/>
  <c r="BB7" i="1"/>
  <c r="BD7" i="1"/>
  <c r="BG7" i="1"/>
  <c r="BH7" i="1"/>
  <c r="BI7" i="1"/>
  <c r="BJ7" i="1"/>
  <c r="BL7" i="1"/>
  <c r="BM7" i="1"/>
  <c r="BN7" i="1"/>
  <c r="BO7" i="1"/>
  <c r="D8" i="1"/>
  <c r="G8" i="1" s="1"/>
  <c r="O8" i="1"/>
  <c r="AI8" i="1"/>
  <c r="AJ8" i="1"/>
  <c r="AL8" i="1"/>
  <c r="AN8" i="1"/>
  <c r="AO8" i="1"/>
  <c r="AP8" i="1"/>
  <c r="AQ8" i="1"/>
  <c r="AS8" i="1"/>
  <c r="AT8" i="1"/>
  <c r="AU8" i="1"/>
  <c r="AV8" i="1"/>
  <c r="AW8" i="1"/>
  <c r="AX8" i="1"/>
  <c r="BB8" i="1"/>
  <c r="BD8" i="1"/>
  <c r="BG8" i="1"/>
  <c r="BH8" i="1"/>
  <c r="BI8" i="1"/>
  <c r="BJ8" i="1"/>
  <c r="BL8" i="1"/>
  <c r="BM8" i="1"/>
  <c r="BN8" i="1"/>
  <c r="BO8" i="1"/>
  <c r="D9" i="1"/>
  <c r="G9" i="1" s="1"/>
  <c r="O9" i="1"/>
  <c r="AI9" i="1"/>
  <c r="AJ9" i="1"/>
  <c r="AL9" i="1"/>
  <c r="AN9" i="1"/>
  <c r="AO9" i="1"/>
  <c r="AP9" i="1"/>
  <c r="AQ9" i="1"/>
  <c r="AS9" i="1"/>
  <c r="AT9" i="1"/>
  <c r="AU9" i="1"/>
  <c r="AV9" i="1"/>
  <c r="AW9" i="1"/>
  <c r="AX9" i="1"/>
  <c r="BB9" i="1"/>
  <c r="BD9" i="1"/>
  <c r="BG9" i="1"/>
  <c r="BH9" i="1"/>
  <c r="BI9" i="1"/>
  <c r="BJ9" i="1"/>
  <c r="BL9" i="1"/>
  <c r="BM9" i="1"/>
  <c r="BN9" i="1"/>
  <c r="BO9" i="1"/>
  <c r="D10" i="1"/>
  <c r="G10" i="1" s="1"/>
  <c r="O10" i="1"/>
  <c r="V10" i="1"/>
  <c r="BG10" i="1" s="1"/>
  <c r="AA10" i="1"/>
  <c r="AI10" i="1"/>
  <c r="AJ10" i="1" s="1"/>
  <c r="AL10" i="1"/>
  <c r="AN10" i="1"/>
  <c r="AP10" i="1"/>
  <c r="AQ10" i="1"/>
  <c r="AS10" i="1"/>
  <c r="AT10" i="1"/>
  <c r="AU10" i="1"/>
  <c r="AV10" i="1"/>
  <c r="AW10" i="1"/>
  <c r="AX10" i="1"/>
  <c r="BB10" i="1"/>
  <c r="BD10" i="1"/>
  <c r="BH10" i="1"/>
  <c r="BI10" i="1"/>
  <c r="BJ10" i="1"/>
  <c r="BL10" i="1"/>
  <c r="BM10" i="1"/>
  <c r="BN10" i="1"/>
  <c r="BO10" i="1"/>
  <c r="O11" i="1"/>
  <c r="V11" i="1"/>
  <c r="AA11" i="1"/>
  <c r="AI11" i="1"/>
  <c r="AJ11" i="1"/>
  <c r="AK11" i="1"/>
  <c r="AL11" i="1"/>
  <c r="AN11" i="1"/>
  <c r="AP11" i="1"/>
  <c r="AQ11" i="1"/>
  <c r="AS11" i="1"/>
  <c r="AT11" i="1"/>
  <c r="AU11" i="1"/>
  <c r="AV11" i="1"/>
  <c r="AW11" i="1"/>
  <c r="AX11" i="1"/>
  <c r="BB11" i="1"/>
  <c r="BD11" i="1"/>
  <c r="BG11" i="1"/>
  <c r="BH11" i="1"/>
  <c r="BI11" i="1"/>
  <c r="BJ11" i="1"/>
  <c r="BM11" i="1"/>
  <c r="BN11" i="1"/>
  <c r="BO11" i="1"/>
  <c r="D12" i="1"/>
  <c r="G12" i="1" s="1"/>
  <c r="O12" i="1"/>
  <c r="V12" i="1"/>
  <c r="W12" i="1"/>
  <c r="AA12" i="1"/>
  <c r="AF12" i="1"/>
  <c r="AI12" i="1"/>
  <c r="AJ12" i="1"/>
  <c r="AN12" i="1"/>
  <c r="AO12" i="1"/>
  <c r="AP12" i="1"/>
  <c r="AQ12" i="1"/>
  <c r="AS12" i="1"/>
  <c r="AT12" i="1"/>
  <c r="AU12" i="1"/>
  <c r="AV12" i="1"/>
  <c r="AW12" i="1"/>
  <c r="AX12" i="1"/>
  <c r="BB12" i="1"/>
  <c r="BG12" i="1"/>
  <c r="BH12" i="1"/>
  <c r="BI12" i="1"/>
  <c r="BJ12" i="1"/>
  <c r="BL12" i="1"/>
  <c r="BM12" i="1"/>
  <c r="BN12" i="1"/>
  <c r="BO12" i="1"/>
  <c r="D13" i="1"/>
  <c r="G13" i="1"/>
  <c r="O13" i="1"/>
  <c r="AI13" i="1"/>
  <c r="AJ13" i="1"/>
  <c r="AL13" i="1"/>
  <c r="AN13" i="1"/>
  <c r="AO13" i="1"/>
  <c r="AP13" i="1"/>
  <c r="AQ13" i="1"/>
  <c r="AS13" i="1"/>
  <c r="AT13" i="1"/>
  <c r="AU13" i="1"/>
  <c r="AV13" i="1"/>
  <c r="AW13" i="1"/>
  <c r="AX13" i="1"/>
  <c r="BB13" i="1"/>
  <c r="BD13" i="1"/>
  <c r="BG13" i="1"/>
  <c r="BH13" i="1"/>
  <c r="BI13" i="1"/>
  <c r="BJ13" i="1"/>
  <c r="BL13" i="1"/>
  <c r="BM13" i="1"/>
  <c r="BN13" i="1"/>
  <c r="BO13" i="1"/>
  <c r="D14" i="1"/>
  <c r="G14" i="1"/>
  <c r="N14" i="1"/>
  <c r="O14" i="1"/>
  <c r="AF14" i="1"/>
  <c r="AI14" i="1"/>
  <c r="AJ14" i="1" s="1"/>
  <c r="AL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B14" i="1"/>
  <c r="BD14" i="1"/>
  <c r="BG14" i="1"/>
  <c r="BH14" i="1"/>
  <c r="BI14" i="1"/>
  <c r="BJ14" i="1"/>
  <c r="BL14" i="1"/>
  <c r="BM14" i="1"/>
  <c r="BN14" i="1"/>
  <c r="BO14" i="1"/>
  <c r="V15" i="1"/>
  <c r="O15" i="1" s="1"/>
  <c r="AA15" i="1"/>
  <c r="BL15" i="1" s="1"/>
  <c r="AF15" i="1"/>
  <c r="AI15" i="1"/>
  <c r="AJ15" i="1"/>
  <c r="AN15" i="1"/>
  <c r="AP15" i="1"/>
  <c r="AQ15" i="1"/>
  <c r="AS15" i="1"/>
  <c r="AT15" i="1"/>
  <c r="AU15" i="1"/>
  <c r="AV15" i="1"/>
  <c r="AW15" i="1"/>
  <c r="AX15" i="1"/>
  <c r="BB15" i="1"/>
  <c r="BH15" i="1"/>
  <c r="BI15" i="1"/>
  <c r="BJ15" i="1"/>
  <c r="BM15" i="1"/>
  <c r="BN15" i="1"/>
  <c r="BO15" i="1"/>
  <c r="O16" i="1"/>
  <c r="V16" i="1"/>
  <c r="AA16" i="1"/>
  <c r="D16" i="1" s="1"/>
  <c r="AF16" i="1"/>
  <c r="AL16" i="1" s="1"/>
  <c r="AI16" i="1"/>
  <c r="AJ16" i="1"/>
  <c r="AK16" i="1"/>
  <c r="AN16" i="1"/>
  <c r="AP16" i="1"/>
  <c r="AQ16" i="1"/>
  <c r="AS16" i="1"/>
  <c r="AT16" i="1"/>
  <c r="AU16" i="1"/>
  <c r="AV16" i="1"/>
  <c r="AW16" i="1"/>
  <c r="AX16" i="1"/>
  <c r="BB16" i="1"/>
  <c r="BD16" i="1"/>
  <c r="BG16" i="1"/>
  <c r="BH16" i="1"/>
  <c r="BI16" i="1"/>
  <c r="BJ16" i="1"/>
  <c r="BL16" i="1"/>
  <c r="BM16" i="1"/>
  <c r="BN16" i="1"/>
  <c r="BO16" i="1"/>
  <c r="D17" i="1"/>
  <c r="G17" i="1" s="1"/>
  <c r="O17" i="1"/>
  <c r="AK17" i="1" s="1"/>
  <c r="AF17" i="1"/>
  <c r="AI17" i="1"/>
  <c r="AJ17" i="1"/>
  <c r="AN17" i="1"/>
  <c r="AP17" i="1"/>
  <c r="AQ17" i="1"/>
  <c r="AS17" i="1"/>
  <c r="AT17" i="1"/>
  <c r="AU17" i="1"/>
  <c r="AV17" i="1"/>
  <c r="AW17" i="1"/>
  <c r="AX17" i="1"/>
  <c r="AZ17" i="1"/>
  <c r="BB17" i="1"/>
  <c r="BG17" i="1"/>
  <c r="BH17" i="1"/>
  <c r="BI17" i="1"/>
  <c r="BJ17" i="1"/>
  <c r="BL17" i="1"/>
  <c r="BM17" i="1"/>
  <c r="BN17" i="1"/>
  <c r="BO17" i="1"/>
  <c r="D18" i="1"/>
  <c r="G18" i="1"/>
  <c r="AG18" i="1" s="1"/>
  <c r="AH18" i="1" s="1"/>
  <c r="N18" i="1"/>
  <c r="O18" i="1"/>
  <c r="AI18" i="1"/>
  <c r="AJ18" i="1"/>
  <c r="AL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BB18" i="1"/>
  <c r="BD18" i="1"/>
  <c r="BG18" i="1"/>
  <c r="BH18" i="1"/>
  <c r="BI18" i="1"/>
  <c r="BJ18" i="1"/>
  <c r="BL18" i="1"/>
  <c r="BM18" i="1"/>
  <c r="BN18" i="1"/>
  <c r="BO18" i="1"/>
  <c r="D19" i="1"/>
  <c r="G19" i="1"/>
  <c r="AG19" i="1" s="1"/>
  <c r="AH19" i="1" s="1"/>
  <c r="O19" i="1"/>
  <c r="AI19" i="1"/>
  <c r="AJ19" i="1"/>
  <c r="AL19" i="1"/>
  <c r="AN19" i="1"/>
  <c r="AO19" i="1"/>
  <c r="AP19" i="1"/>
  <c r="AQ19" i="1"/>
  <c r="AR19" i="1"/>
  <c r="AS19" i="1"/>
  <c r="AT19" i="1"/>
  <c r="AU19" i="1"/>
  <c r="AV19" i="1"/>
  <c r="AW19" i="1"/>
  <c r="AX19" i="1"/>
  <c r="BB19" i="1"/>
  <c r="BD19" i="1"/>
  <c r="BG19" i="1"/>
  <c r="BH19" i="1"/>
  <c r="BI19" i="1"/>
  <c r="BJ19" i="1"/>
  <c r="BL19" i="1"/>
  <c r="BM19" i="1"/>
  <c r="BN19" i="1"/>
  <c r="BO19" i="1"/>
  <c r="D20" i="1"/>
  <c r="G20" i="1"/>
  <c r="O20" i="1"/>
  <c r="AI20" i="1"/>
  <c r="AJ20" i="1"/>
  <c r="AL20" i="1"/>
  <c r="AN20" i="1"/>
  <c r="AO20" i="1"/>
  <c r="AP20" i="1"/>
  <c r="AQ20" i="1"/>
  <c r="AR20" i="1"/>
  <c r="AS20" i="1"/>
  <c r="AT20" i="1"/>
  <c r="AU20" i="1"/>
  <c r="AV20" i="1"/>
  <c r="AW20" i="1"/>
  <c r="AX20" i="1"/>
  <c r="BB20" i="1"/>
  <c r="BD20" i="1"/>
  <c r="BG20" i="1"/>
  <c r="BH20" i="1"/>
  <c r="BI20" i="1"/>
  <c r="BJ20" i="1"/>
  <c r="BL20" i="1"/>
  <c r="BM20" i="1"/>
  <c r="BN20" i="1"/>
  <c r="BO20" i="1"/>
  <c r="D21" i="1"/>
  <c r="G21" i="1"/>
  <c r="AG21" i="1" s="1"/>
  <c r="AH21" i="1" s="1"/>
  <c r="N21" i="1"/>
  <c r="O21" i="1"/>
  <c r="AI21" i="1"/>
  <c r="AJ21" i="1"/>
  <c r="AL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BB21" i="1"/>
  <c r="BD21" i="1"/>
  <c r="BG21" i="1"/>
  <c r="BH21" i="1"/>
  <c r="BI21" i="1"/>
  <c r="BJ21" i="1"/>
  <c r="BL21" i="1"/>
  <c r="BM21" i="1"/>
  <c r="BN21" i="1"/>
  <c r="BO21" i="1"/>
  <c r="D22" i="1"/>
  <c r="G22" i="1"/>
  <c r="AG22" i="1" s="1"/>
  <c r="AH22" i="1" s="1"/>
  <c r="O22" i="1"/>
  <c r="AI22" i="1"/>
  <c r="AJ22" i="1"/>
  <c r="AL22" i="1"/>
  <c r="AN22" i="1"/>
  <c r="AO22" i="1"/>
  <c r="AP22" i="1"/>
  <c r="AQ22" i="1"/>
  <c r="AS22" i="1"/>
  <c r="AT22" i="1"/>
  <c r="AU22" i="1"/>
  <c r="AV22" i="1"/>
  <c r="AW22" i="1"/>
  <c r="AX22" i="1"/>
  <c r="BB22" i="1"/>
  <c r="BD22" i="1"/>
  <c r="BG22" i="1"/>
  <c r="BH22" i="1"/>
  <c r="BI22" i="1"/>
  <c r="BJ22" i="1"/>
  <c r="BL22" i="1"/>
  <c r="BM22" i="1"/>
  <c r="BN22" i="1"/>
  <c r="BO22" i="1"/>
  <c r="D23" i="1"/>
  <c r="G23" i="1"/>
  <c r="O23" i="1"/>
  <c r="AI23" i="1"/>
  <c r="AJ23" i="1"/>
  <c r="AL23" i="1"/>
  <c r="AN23" i="1"/>
  <c r="AO23" i="1"/>
  <c r="AP23" i="1"/>
  <c r="AQ23" i="1"/>
  <c r="AS23" i="1"/>
  <c r="AT23" i="1"/>
  <c r="AU23" i="1"/>
  <c r="AV23" i="1"/>
  <c r="AW23" i="1"/>
  <c r="AX23" i="1"/>
  <c r="BB23" i="1"/>
  <c r="BD23" i="1"/>
  <c r="BG23" i="1"/>
  <c r="BH23" i="1"/>
  <c r="BI23" i="1"/>
  <c r="BJ23" i="1"/>
  <c r="BL23" i="1"/>
  <c r="BM23" i="1"/>
  <c r="BN23" i="1"/>
  <c r="BO23" i="1"/>
  <c r="D24" i="1"/>
  <c r="G24" i="1"/>
  <c r="O24" i="1"/>
  <c r="AI24" i="1"/>
  <c r="AJ24" i="1"/>
  <c r="AL24" i="1"/>
  <c r="AN24" i="1"/>
  <c r="AO24" i="1"/>
  <c r="AP24" i="1"/>
  <c r="AQ24" i="1"/>
  <c r="AS24" i="1"/>
  <c r="AT24" i="1"/>
  <c r="AU24" i="1"/>
  <c r="AV24" i="1"/>
  <c r="AW24" i="1"/>
  <c r="AX24" i="1"/>
  <c r="BB24" i="1"/>
  <c r="BD24" i="1"/>
  <c r="BG24" i="1"/>
  <c r="BH24" i="1"/>
  <c r="BI24" i="1"/>
  <c r="BJ24" i="1"/>
  <c r="BL24" i="1"/>
  <c r="BM24" i="1"/>
  <c r="BN24" i="1"/>
  <c r="BO24" i="1"/>
  <c r="D25" i="1"/>
  <c r="G25" i="1"/>
  <c r="O25" i="1"/>
  <c r="AI25" i="1"/>
  <c r="AJ25" i="1"/>
  <c r="AL25" i="1"/>
  <c r="AN25" i="1"/>
  <c r="AO25" i="1"/>
  <c r="AP25" i="1"/>
  <c r="AQ25" i="1"/>
  <c r="AS25" i="1"/>
  <c r="AT25" i="1"/>
  <c r="AU25" i="1"/>
  <c r="AV25" i="1"/>
  <c r="AW25" i="1"/>
  <c r="AX25" i="1"/>
  <c r="BB25" i="1"/>
  <c r="BD25" i="1"/>
  <c r="BG25" i="1"/>
  <c r="BH25" i="1"/>
  <c r="BI25" i="1"/>
  <c r="BJ25" i="1"/>
  <c r="BL25" i="1"/>
  <c r="BM25" i="1"/>
  <c r="BN25" i="1"/>
  <c r="BO25" i="1"/>
  <c r="D26" i="1"/>
  <c r="G26" i="1"/>
  <c r="AG26" i="1" s="1"/>
  <c r="AH26" i="1" s="1"/>
  <c r="O26" i="1"/>
  <c r="AI26" i="1"/>
  <c r="AJ26" i="1"/>
  <c r="AL26" i="1"/>
  <c r="AN26" i="1"/>
  <c r="AO26" i="1"/>
  <c r="AP26" i="1"/>
  <c r="AQ26" i="1"/>
  <c r="AS26" i="1"/>
  <c r="AT26" i="1"/>
  <c r="AU26" i="1"/>
  <c r="AV26" i="1"/>
  <c r="AW26" i="1"/>
  <c r="AX26" i="1"/>
  <c r="BB26" i="1"/>
  <c r="BD26" i="1"/>
  <c r="BG26" i="1"/>
  <c r="BH26" i="1"/>
  <c r="BI26" i="1"/>
  <c r="BJ26" i="1"/>
  <c r="BL26" i="1"/>
  <c r="BM26" i="1"/>
  <c r="BN26" i="1"/>
  <c r="BO26" i="1"/>
  <c r="D27" i="1"/>
  <c r="G27" i="1"/>
  <c r="AG27" i="1" s="1"/>
  <c r="AH27" i="1" s="1"/>
  <c r="O27" i="1"/>
  <c r="AI27" i="1"/>
  <c r="AJ27" i="1"/>
  <c r="AL27" i="1"/>
  <c r="AN27" i="1"/>
  <c r="AO27" i="1"/>
  <c r="AP27" i="1"/>
  <c r="AQ27" i="1"/>
  <c r="AS27" i="1"/>
  <c r="AT27" i="1"/>
  <c r="AU27" i="1"/>
  <c r="AV27" i="1"/>
  <c r="AW27" i="1"/>
  <c r="AX27" i="1"/>
  <c r="AZ27" i="1"/>
  <c r="BB27" i="1"/>
  <c r="BD27" i="1"/>
  <c r="BG27" i="1"/>
  <c r="BH27" i="1"/>
  <c r="BI27" i="1"/>
  <c r="BJ27" i="1"/>
  <c r="BL27" i="1"/>
  <c r="BM27" i="1"/>
  <c r="BN27" i="1"/>
  <c r="BO27" i="1"/>
  <c r="D28" i="1"/>
  <c r="G28" i="1"/>
  <c r="N28" i="1"/>
  <c r="O28" i="1"/>
  <c r="AI28" i="1"/>
  <c r="AJ28" i="1" s="1"/>
  <c r="AL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B28" i="1"/>
  <c r="BD28" i="1"/>
  <c r="BG28" i="1"/>
  <c r="BH28" i="1"/>
  <c r="BI28" i="1"/>
  <c r="BJ28" i="1"/>
  <c r="BL28" i="1"/>
  <c r="BM28" i="1"/>
  <c r="BN28" i="1"/>
  <c r="BO28" i="1"/>
  <c r="D29" i="1"/>
  <c r="G29" i="1"/>
  <c r="AG29" i="1" s="1"/>
  <c r="AH29" i="1" s="1"/>
  <c r="O29" i="1"/>
  <c r="AI29" i="1"/>
  <c r="AJ29" i="1"/>
  <c r="AL29" i="1"/>
  <c r="AN29" i="1"/>
  <c r="AO29" i="1"/>
  <c r="AP29" i="1"/>
  <c r="AQ29" i="1"/>
  <c r="AS29" i="1"/>
  <c r="AT29" i="1"/>
  <c r="AU29" i="1"/>
  <c r="AV29" i="1"/>
  <c r="AW29" i="1"/>
  <c r="AX29" i="1"/>
  <c r="BB29" i="1"/>
  <c r="BD29" i="1"/>
  <c r="BG29" i="1"/>
  <c r="BH29" i="1"/>
  <c r="BI29" i="1"/>
  <c r="BJ29" i="1"/>
  <c r="BL29" i="1"/>
  <c r="BM29" i="1"/>
  <c r="BN29" i="1"/>
  <c r="BO29" i="1"/>
  <c r="D30" i="1"/>
  <c r="G30" i="1"/>
  <c r="AG30" i="1" s="1"/>
  <c r="AH30" i="1" s="1"/>
  <c r="O30" i="1"/>
  <c r="AI30" i="1"/>
  <c r="AJ30" i="1"/>
  <c r="AL30" i="1"/>
  <c r="AN30" i="1"/>
  <c r="AO30" i="1"/>
  <c r="AP30" i="1"/>
  <c r="AQ30" i="1"/>
  <c r="AS30" i="1"/>
  <c r="AT30" i="1"/>
  <c r="AU30" i="1"/>
  <c r="AV30" i="1"/>
  <c r="AW30" i="1"/>
  <c r="AX30" i="1"/>
  <c r="BB30" i="1"/>
  <c r="BD30" i="1"/>
  <c r="BG30" i="1"/>
  <c r="BH30" i="1"/>
  <c r="BI30" i="1"/>
  <c r="BJ30" i="1"/>
  <c r="BL30" i="1"/>
  <c r="BM30" i="1"/>
  <c r="BN30" i="1"/>
  <c r="BO30" i="1"/>
  <c r="D31" i="1"/>
  <c r="G31" i="1"/>
  <c r="AG31" i="1" s="1"/>
  <c r="AH31" i="1" s="1"/>
  <c r="O31" i="1"/>
  <c r="AI31" i="1"/>
  <c r="AJ31" i="1"/>
  <c r="AL31" i="1"/>
  <c r="AN31" i="1"/>
  <c r="AO31" i="1"/>
  <c r="AP31" i="1"/>
  <c r="AQ31" i="1"/>
  <c r="AS31" i="1"/>
  <c r="AT31" i="1"/>
  <c r="AU31" i="1"/>
  <c r="AV31" i="1"/>
  <c r="AW31" i="1"/>
  <c r="AX31" i="1"/>
  <c r="BB31" i="1"/>
  <c r="BD31" i="1"/>
  <c r="BG31" i="1"/>
  <c r="BH31" i="1"/>
  <c r="BI31" i="1"/>
  <c r="BJ31" i="1"/>
  <c r="BL31" i="1"/>
  <c r="BM31" i="1"/>
  <c r="BN31" i="1"/>
  <c r="BO31" i="1"/>
  <c r="D32" i="1"/>
  <c r="G32" i="1"/>
  <c r="AG32" i="1" s="1"/>
  <c r="AH32" i="1" s="1"/>
  <c r="O32" i="1"/>
  <c r="AI32" i="1"/>
  <c r="AJ32" i="1"/>
  <c r="AL32" i="1"/>
  <c r="AN32" i="1"/>
  <c r="AO32" i="1"/>
  <c r="AP32" i="1"/>
  <c r="AQ32" i="1"/>
  <c r="AS32" i="1"/>
  <c r="AT32" i="1"/>
  <c r="AU32" i="1"/>
  <c r="AV32" i="1"/>
  <c r="AW32" i="1"/>
  <c r="AX32" i="1"/>
  <c r="BB32" i="1"/>
  <c r="BD32" i="1"/>
  <c r="BG32" i="1"/>
  <c r="BH32" i="1"/>
  <c r="BI32" i="1"/>
  <c r="BJ32" i="1"/>
  <c r="BL32" i="1"/>
  <c r="BM32" i="1"/>
  <c r="BN32" i="1"/>
  <c r="BO32" i="1"/>
  <c r="D33" i="1"/>
  <c r="G33" i="1"/>
  <c r="AG33" i="1" s="1"/>
  <c r="AH33" i="1" s="1"/>
  <c r="O33" i="1"/>
  <c r="AI33" i="1"/>
  <c r="AJ33" i="1"/>
  <c r="AL33" i="1"/>
  <c r="AN33" i="1"/>
  <c r="AO33" i="1"/>
  <c r="AP33" i="1"/>
  <c r="AQ33" i="1"/>
  <c r="AS33" i="1"/>
  <c r="AT33" i="1"/>
  <c r="AU33" i="1"/>
  <c r="AV33" i="1"/>
  <c r="AW33" i="1"/>
  <c r="AX33" i="1"/>
  <c r="BB33" i="1"/>
  <c r="BD33" i="1"/>
  <c r="BG33" i="1"/>
  <c r="BH33" i="1"/>
  <c r="BI33" i="1"/>
  <c r="BJ33" i="1"/>
  <c r="BL33" i="1"/>
  <c r="BM33" i="1"/>
  <c r="BN33" i="1"/>
  <c r="BO33" i="1"/>
  <c r="D34" i="1"/>
  <c r="G34" i="1"/>
  <c r="AG34" i="1" s="1"/>
  <c r="AH34" i="1" s="1"/>
  <c r="O34" i="1"/>
  <c r="AI34" i="1"/>
  <c r="AJ34" i="1"/>
  <c r="AL34" i="1"/>
  <c r="AN34" i="1"/>
  <c r="AO34" i="1"/>
  <c r="AP34" i="1"/>
  <c r="AQ34" i="1"/>
  <c r="AS34" i="1"/>
  <c r="AT34" i="1"/>
  <c r="AU34" i="1"/>
  <c r="AV34" i="1"/>
  <c r="AW34" i="1"/>
  <c r="AX34" i="1"/>
  <c r="BB34" i="1"/>
  <c r="BD34" i="1"/>
  <c r="BG34" i="1"/>
  <c r="BH34" i="1"/>
  <c r="BI34" i="1"/>
  <c r="BJ34" i="1"/>
  <c r="BL34" i="1"/>
  <c r="BM34" i="1"/>
  <c r="BN34" i="1"/>
  <c r="BO34" i="1"/>
  <c r="D35" i="1"/>
  <c r="G35" i="1"/>
  <c r="AG35" i="1" s="1"/>
  <c r="AH35" i="1" s="1"/>
  <c r="O35" i="1"/>
  <c r="AI35" i="1"/>
  <c r="AJ35" i="1"/>
  <c r="AL35" i="1"/>
  <c r="AN35" i="1"/>
  <c r="AO35" i="1"/>
  <c r="AP35" i="1"/>
  <c r="AQ35" i="1"/>
  <c r="AS35" i="1"/>
  <c r="AT35" i="1"/>
  <c r="AU35" i="1"/>
  <c r="AV35" i="1"/>
  <c r="AW35" i="1"/>
  <c r="AX35" i="1"/>
  <c r="BB35" i="1"/>
  <c r="BD35" i="1"/>
  <c r="BG35" i="1"/>
  <c r="BH35" i="1"/>
  <c r="BI35" i="1"/>
  <c r="BJ35" i="1"/>
  <c r="BL35" i="1"/>
  <c r="BM35" i="1"/>
  <c r="BN35" i="1"/>
  <c r="BO35" i="1"/>
  <c r="D36" i="1"/>
  <c r="G36" i="1"/>
  <c r="AG36" i="1" s="1"/>
  <c r="AH36" i="1" s="1"/>
  <c r="O36" i="1"/>
  <c r="AI36" i="1"/>
  <c r="AJ36" i="1"/>
  <c r="AL36" i="1"/>
  <c r="AN36" i="1"/>
  <c r="AO36" i="1"/>
  <c r="AP36" i="1"/>
  <c r="AQ36" i="1"/>
  <c r="AS36" i="1"/>
  <c r="AT36" i="1"/>
  <c r="AU36" i="1"/>
  <c r="AV36" i="1"/>
  <c r="AW36" i="1"/>
  <c r="AX36" i="1"/>
  <c r="BB36" i="1"/>
  <c r="BD36" i="1"/>
  <c r="BG36" i="1"/>
  <c r="BH36" i="1"/>
  <c r="BI36" i="1"/>
  <c r="BJ36" i="1"/>
  <c r="BL36" i="1"/>
  <c r="BM36" i="1"/>
  <c r="BN36" i="1"/>
  <c r="BO36" i="1"/>
  <c r="D37" i="1"/>
  <c r="G37" i="1"/>
  <c r="AG37" i="1" s="1"/>
  <c r="AH37" i="1" s="1"/>
  <c r="O37" i="1"/>
  <c r="AI37" i="1"/>
  <c r="AJ37" i="1"/>
  <c r="AL37" i="1"/>
  <c r="AN37" i="1"/>
  <c r="AO37" i="1"/>
  <c r="AP37" i="1"/>
  <c r="AQ37" i="1"/>
  <c r="AS37" i="1"/>
  <c r="AT37" i="1"/>
  <c r="AU37" i="1"/>
  <c r="AV37" i="1"/>
  <c r="AW37" i="1"/>
  <c r="AX37" i="1"/>
  <c r="BB37" i="1"/>
  <c r="BD37" i="1"/>
  <c r="BG37" i="1"/>
  <c r="BH37" i="1"/>
  <c r="BI37" i="1"/>
  <c r="BJ37" i="1"/>
  <c r="BL37" i="1"/>
  <c r="BM37" i="1"/>
  <c r="BN37" i="1"/>
  <c r="BO37" i="1"/>
  <c r="D38" i="1"/>
  <c r="G38" i="1"/>
  <c r="AG38" i="1" s="1"/>
  <c r="AH38" i="1" s="1"/>
  <c r="O38" i="1"/>
  <c r="AI38" i="1"/>
  <c r="AJ38" i="1"/>
  <c r="AL38" i="1"/>
  <c r="AN38" i="1"/>
  <c r="AO38" i="1"/>
  <c r="AP38" i="1"/>
  <c r="AQ38" i="1"/>
  <c r="AS38" i="1"/>
  <c r="AT38" i="1"/>
  <c r="AU38" i="1"/>
  <c r="AV38" i="1"/>
  <c r="AW38" i="1"/>
  <c r="AX38" i="1"/>
  <c r="BB38" i="1"/>
  <c r="BD38" i="1"/>
  <c r="BG38" i="1"/>
  <c r="BH38" i="1"/>
  <c r="BI38" i="1"/>
  <c r="BJ38" i="1"/>
  <c r="BL38" i="1"/>
  <c r="BM38" i="1"/>
  <c r="BN38" i="1"/>
  <c r="BO38" i="1"/>
  <c r="D39" i="1"/>
  <c r="G39" i="1"/>
  <c r="O39" i="1"/>
  <c r="AI39" i="1"/>
  <c r="AJ39" i="1"/>
  <c r="AL39" i="1"/>
  <c r="AN39" i="1"/>
  <c r="AO39" i="1"/>
  <c r="AP39" i="1"/>
  <c r="AQ39" i="1"/>
  <c r="AS39" i="1"/>
  <c r="AT39" i="1"/>
  <c r="AU39" i="1"/>
  <c r="AV39" i="1"/>
  <c r="AW39" i="1"/>
  <c r="AX39" i="1"/>
  <c r="BB39" i="1"/>
  <c r="BD39" i="1"/>
  <c r="BG39" i="1"/>
  <c r="BH39" i="1"/>
  <c r="BI39" i="1"/>
  <c r="BJ39" i="1"/>
  <c r="BL39" i="1"/>
  <c r="BM39" i="1"/>
  <c r="BN39" i="1"/>
  <c r="BO39" i="1"/>
  <c r="D40" i="1"/>
  <c r="G40" i="1"/>
  <c r="O40" i="1"/>
  <c r="AI40" i="1"/>
  <c r="AJ40" i="1"/>
  <c r="AL40" i="1"/>
  <c r="AN40" i="1"/>
  <c r="AO40" i="1"/>
  <c r="AP40" i="1"/>
  <c r="AQ40" i="1"/>
  <c r="AS40" i="1"/>
  <c r="AT40" i="1"/>
  <c r="AU40" i="1"/>
  <c r="AV40" i="1"/>
  <c r="AW40" i="1"/>
  <c r="AX40" i="1"/>
  <c r="BB40" i="1"/>
  <c r="BD40" i="1"/>
  <c r="BG40" i="1"/>
  <c r="BH40" i="1"/>
  <c r="BI40" i="1"/>
  <c r="BJ40" i="1"/>
  <c r="BL40" i="1"/>
  <c r="BM40" i="1"/>
  <c r="BN40" i="1"/>
  <c r="BO40" i="1"/>
  <c r="D41" i="1"/>
  <c r="G41" i="1"/>
  <c r="O41" i="1"/>
  <c r="AI41" i="1"/>
  <c r="AJ41" i="1"/>
  <c r="AL41" i="1"/>
  <c r="AN41" i="1"/>
  <c r="AO41" i="1"/>
  <c r="AP41" i="1"/>
  <c r="AQ41" i="1"/>
  <c r="AS41" i="1"/>
  <c r="AT41" i="1"/>
  <c r="AU41" i="1"/>
  <c r="AV41" i="1"/>
  <c r="AW41" i="1"/>
  <c r="AX41" i="1"/>
  <c r="BB41" i="1"/>
  <c r="BD41" i="1"/>
  <c r="BG41" i="1"/>
  <c r="BH41" i="1"/>
  <c r="BI41" i="1"/>
  <c r="BJ41" i="1"/>
  <c r="BL41" i="1"/>
  <c r="BM41" i="1"/>
  <c r="BN41" i="1"/>
  <c r="BO41" i="1"/>
  <c r="D42" i="1"/>
  <c r="G42" i="1"/>
  <c r="O42" i="1"/>
  <c r="AI42" i="1"/>
  <c r="AJ42" i="1"/>
  <c r="AL42" i="1"/>
  <c r="AN42" i="1"/>
  <c r="AO42" i="1"/>
  <c r="AP42" i="1"/>
  <c r="AQ42" i="1"/>
  <c r="AS42" i="1"/>
  <c r="AT42" i="1"/>
  <c r="AU42" i="1"/>
  <c r="AV42" i="1"/>
  <c r="AW42" i="1"/>
  <c r="AX42" i="1"/>
  <c r="BB42" i="1"/>
  <c r="BD42" i="1"/>
  <c r="BG42" i="1"/>
  <c r="BH42" i="1"/>
  <c r="BI42" i="1"/>
  <c r="BJ42" i="1"/>
  <c r="BL42" i="1"/>
  <c r="BM42" i="1"/>
  <c r="BN42" i="1"/>
  <c r="BO42" i="1"/>
  <c r="D43" i="1"/>
  <c r="G43" i="1"/>
  <c r="O43" i="1"/>
  <c r="AI43" i="1"/>
  <c r="AJ43" i="1"/>
  <c r="AL43" i="1"/>
  <c r="AN43" i="1"/>
  <c r="AO43" i="1"/>
  <c r="AP43" i="1"/>
  <c r="AQ43" i="1"/>
  <c r="AS43" i="1"/>
  <c r="AT43" i="1"/>
  <c r="AU43" i="1"/>
  <c r="AV43" i="1"/>
  <c r="AW43" i="1"/>
  <c r="AX43" i="1"/>
  <c r="BB43" i="1"/>
  <c r="BD43" i="1"/>
  <c r="BG43" i="1"/>
  <c r="BH43" i="1"/>
  <c r="BI43" i="1"/>
  <c r="BJ43" i="1"/>
  <c r="BL43" i="1"/>
  <c r="BM43" i="1"/>
  <c r="BN43" i="1"/>
  <c r="BO43" i="1"/>
  <c r="D44" i="1"/>
  <c r="G44" i="1"/>
  <c r="O44" i="1"/>
  <c r="AI44" i="1"/>
  <c r="AJ44" i="1"/>
  <c r="AL44" i="1"/>
  <c r="AN44" i="1"/>
  <c r="AO44" i="1"/>
  <c r="AP44" i="1"/>
  <c r="AQ44" i="1"/>
  <c r="AR44" i="1"/>
  <c r="AS44" i="1"/>
  <c r="AT44" i="1"/>
  <c r="AU44" i="1"/>
  <c r="AV44" i="1"/>
  <c r="AW44" i="1"/>
  <c r="AX44" i="1"/>
  <c r="AZ44" i="1"/>
  <c r="BB44" i="1"/>
  <c r="BD44" i="1"/>
  <c r="BG44" i="1"/>
  <c r="BH44" i="1"/>
  <c r="BI44" i="1"/>
  <c r="BJ44" i="1"/>
  <c r="BL44" i="1"/>
  <c r="BM44" i="1"/>
  <c r="BN44" i="1"/>
  <c r="BO44" i="1"/>
  <c r="D45" i="1"/>
  <c r="G45" i="1"/>
  <c r="N45" i="1"/>
  <c r="O45" i="1"/>
  <c r="AI45" i="1"/>
  <c r="AJ45" i="1" s="1"/>
  <c r="AL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B45" i="1"/>
  <c r="BD45" i="1"/>
  <c r="BG45" i="1"/>
  <c r="BH45" i="1"/>
  <c r="BI45" i="1"/>
  <c r="BJ45" i="1"/>
  <c r="BL45" i="1"/>
  <c r="BM45" i="1"/>
  <c r="BN45" i="1"/>
  <c r="BO45" i="1"/>
  <c r="D46" i="1"/>
  <c r="G46" i="1"/>
  <c r="AG46" i="1" s="1"/>
  <c r="AH46" i="1" s="1"/>
  <c r="O46" i="1"/>
  <c r="AI46" i="1"/>
  <c r="AJ46" i="1"/>
  <c r="AL46" i="1"/>
  <c r="AN46" i="1"/>
  <c r="AO46" i="1"/>
  <c r="AP46" i="1"/>
  <c r="AQ46" i="1"/>
  <c r="AS46" i="1"/>
  <c r="AT46" i="1"/>
  <c r="AU46" i="1"/>
  <c r="AV46" i="1"/>
  <c r="AW46" i="1"/>
  <c r="AX46" i="1"/>
  <c r="AZ46" i="1"/>
  <c r="BB46" i="1"/>
  <c r="BD46" i="1"/>
  <c r="BG46" i="1"/>
  <c r="BH46" i="1"/>
  <c r="BI46" i="1"/>
  <c r="BJ46" i="1"/>
  <c r="BL46" i="1"/>
  <c r="BM46" i="1"/>
  <c r="BN46" i="1"/>
  <c r="BO46" i="1"/>
  <c r="D47" i="1"/>
  <c r="G47" i="1"/>
  <c r="AG47" i="1" s="1"/>
  <c r="AH47" i="1" s="1"/>
  <c r="O47" i="1"/>
  <c r="AI47" i="1"/>
  <c r="AJ47" i="1"/>
  <c r="AL47" i="1"/>
  <c r="AN47" i="1"/>
  <c r="AO47" i="1"/>
  <c r="AP47" i="1"/>
  <c r="AQ47" i="1"/>
  <c r="AS47" i="1"/>
  <c r="AT47" i="1"/>
  <c r="AU47" i="1"/>
  <c r="AV47" i="1"/>
  <c r="AW47" i="1"/>
  <c r="AX47" i="1"/>
  <c r="AZ47" i="1"/>
  <c r="BB47" i="1"/>
  <c r="BD47" i="1"/>
  <c r="BG47" i="1"/>
  <c r="BH47" i="1"/>
  <c r="BI47" i="1"/>
  <c r="BJ47" i="1"/>
  <c r="BL47" i="1"/>
  <c r="BM47" i="1"/>
  <c r="BN47" i="1"/>
  <c r="BO47" i="1"/>
  <c r="D48" i="1"/>
  <c r="G48" i="1" s="1"/>
  <c r="O48" i="1"/>
  <c r="AZ48" i="1" s="1"/>
  <c r="AI48" i="1"/>
  <c r="AJ48" i="1"/>
  <c r="AK48" i="1"/>
  <c r="AL48" i="1"/>
  <c r="AN48" i="1"/>
  <c r="AO48" i="1"/>
  <c r="AP48" i="1"/>
  <c r="AQ48" i="1"/>
  <c r="AS48" i="1"/>
  <c r="AT48" i="1"/>
  <c r="AU48" i="1"/>
  <c r="AV48" i="1"/>
  <c r="AW48" i="1"/>
  <c r="AX48" i="1"/>
  <c r="BB48" i="1"/>
  <c r="BD48" i="1"/>
  <c r="BG48" i="1"/>
  <c r="BH48" i="1"/>
  <c r="BI48" i="1"/>
  <c r="BJ48" i="1"/>
  <c r="BL48" i="1"/>
  <c r="BM48" i="1"/>
  <c r="BN48" i="1"/>
  <c r="BO48" i="1"/>
  <c r="D49" i="1"/>
  <c r="G49" i="1" s="1"/>
  <c r="O49" i="1"/>
  <c r="AZ49" i="1" s="1"/>
  <c r="AI49" i="1"/>
  <c r="AJ49" i="1"/>
  <c r="AK49" i="1"/>
  <c r="AL49" i="1"/>
  <c r="AN49" i="1"/>
  <c r="AO49" i="1"/>
  <c r="AP49" i="1"/>
  <c r="AQ49" i="1"/>
  <c r="AS49" i="1"/>
  <c r="AT49" i="1"/>
  <c r="AU49" i="1"/>
  <c r="AV49" i="1"/>
  <c r="AW49" i="1"/>
  <c r="AX49" i="1"/>
  <c r="BB49" i="1"/>
  <c r="BD49" i="1"/>
  <c r="BG49" i="1"/>
  <c r="BH49" i="1"/>
  <c r="BI49" i="1"/>
  <c r="BJ49" i="1"/>
  <c r="BL49" i="1"/>
  <c r="BM49" i="1"/>
  <c r="BN49" i="1"/>
  <c r="BO49" i="1"/>
  <c r="D50" i="1"/>
  <c r="G50" i="1"/>
  <c r="N50" i="1" s="1"/>
  <c r="AY50" i="1" s="1"/>
  <c r="O50" i="1"/>
  <c r="AG50" i="1"/>
  <c r="AH50" i="1"/>
  <c r="AI50" i="1"/>
  <c r="AJ50" i="1"/>
  <c r="AK50" i="1"/>
  <c r="AL50" i="1"/>
  <c r="AN50" i="1"/>
  <c r="AO50" i="1"/>
  <c r="AP50" i="1"/>
  <c r="AQ50" i="1"/>
  <c r="AS50" i="1"/>
  <c r="AT50" i="1"/>
  <c r="AU50" i="1"/>
  <c r="AV50" i="1"/>
  <c r="AW50" i="1"/>
  <c r="AX50" i="1"/>
  <c r="BB50" i="1"/>
  <c r="BD50" i="1"/>
  <c r="BG50" i="1"/>
  <c r="BH50" i="1"/>
  <c r="BI50" i="1"/>
  <c r="BJ50" i="1"/>
  <c r="BL50" i="1"/>
  <c r="BM50" i="1"/>
  <c r="BN50" i="1"/>
  <c r="BO50" i="1"/>
  <c r="D51" i="1"/>
  <c r="G51" i="1"/>
  <c r="AG51" i="1" s="1"/>
  <c r="AH51" i="1" s="1"/>
  <c r="O51" i="1"/>
  <c r="AI51" i="1"/>
  <c r="AJ51" i="1"/>
  <c r="AK51" i="1"/>
  <c r="AL51" i="1"/>
  <c r="AN51" i="1"/>
  <c r="AO51" i="1"/>
  <c r="AP51" i="1"/>
  <c r="AQ51" i="1"/>
  <c r="AS51" i="1"/>
  <c r="AT51" i="1"/>
  <c r="AU51" i="1"/>
  <c r="AV51" i="1"/>
  <c r="AW51" i="1"/>
  <c r="AX51" i="1"/>
  <c r="BB51" i="1"/>
  <c r="BD51" i="1"/>
  <c r="BG51" i="1"/>
  <c r="BH51" i="1"/>
  <c r="BI51" i="1"/>
  <c r="BJ51" i="1"/>
  <c r="BL51" i="1"/>
  <c r="BM51" i="1"/>
  <c r="BN51" i="1"/>
  <c r="BO51" i="1"/>
  <c r="D52" i="1"/>
  <c r="G52" i="1"/>
  <c r="N52" i="1" s="1"/>
  <c r="O52" i="1"/>
  <c r="AZ52" i="1" s="1"/>
  <c r="AG52" i="1"/>
  <c r="AH52" i="1" s="1"/>
  <c r="AI52" i="1"/>
  <c r="AJ52" i="1"/>
  <c r="AK52" i="1"/>
  <c r="AL52" i="1"/>
  <c r="AN52" i="1"/>
  <c r="AO52" i="1"/>
  <c r="AP52" i="1"/>
  <c r="AQ52" i="1"/>
  <c r="AS52" i="1"/>
  <c r="AT52" i="1"/>
  <c r="AU52" i="1"/>
  <c r="AV52" i="1"/>
  <c r="AW52" i="1"/>
  <c r="AX52" i="1"/>
  <c r="BB52" i="1"/>
  <c r="BD52" i="1"/>
  <c r="BG52" i="1"/>
  <c r="BH52" i="1"/>
  <c r="BI52" i="1"/>
  <c r="BJ52" i="1"/>
  <c r="BL52" i="1"/>
  <c r="BM52" i="1"/>
  <c r="BN52" i="1"/>
  <c r="BO52" i="1"/>
  <c r="D53" i="1"/>
  <c r="G53" i="1" s="1"/>
  <c r="O53" i="1"/>
  <c r="AZ53" i="1" s="1"/>
  <c r="AI53" i="1"/>
  <c r="AJ53" i="1"/>
  <c r="AK53" i="1"/>
  <c r="AL53" i="1"/>
  <c r="AN53" i="1"/>
  <c r="AO53" i="1"/>
  <c r="AP53" i="1"/>
  <c r="AQ53" i="1"/>
  <c r="AS53" i="1"/>
  <c r="AT53" i="1"/>
  <c r="AU53" i="1"/>
  <c r="AV53" i="1"/>
  <c r="AW53" i="1"/>
  <c r="AX53" i="1"/>
  <c r="BB53" i="1"/>
  <c r="BD53" i="1"/>
  <c r="BG53" i="1"/>
  <c r="BH53" i="1"/>
  <c r="BI53" i="1"/>
  <c r="BJ53" i="1"/>
  <c r="BL53" i="1"/>
  <c r="BM53" i="1"/>
  <c r="BN53" i="1"/>
  <c r="BO53" i="1"/>
  <c r="D54" i="1"/>
  <c r="G54" i="1" s="1"/>
  <c r="O54" i="1"/>
  <c r="AZ54" i="1" s="1"/>
  <c r="AI54" i="1"/>
  <c r="AJ54" i="1"/>
  <c r="AK54" i="1"/>
  <c r="AL54" i="1"/>
  <c r="AN54" i="1"/>
  <c r="AO54" i="1"/>
  <c r="AP54" i="1"/>
  <c r="AQ54" i="1"/>
  <c r="AS54" i="1"/>
  <c r="AT54" i="1"/>
  <c r="AU54" i="1"/>
  <c r="AV54" i="1"/>
  <c r="AW54" i="1"/>
  <c r="AX54" i="1"/>
  <c r="BB54" i="1"/>
  <c r="BD54" i="1"/>
  <c r="BG54" i="1"/>
  <c r="BH54" i="1"/>
  <c r="BI54" i="1"/>
  <c r="BJ54" i="1"/>
  <c r="BL54" i="1"/>
  <c r="BM54" i="1"/>
  <c r="BN54" i="1"/>
  <c r="BO54" i="1"/>
  <c r="D55" i="1"/>
  <c r="G55" i="1" s="1"/>
  <c r="O55" i="1"/>
  <c r="AI55" i="1"/>
  <c r="AJ55" i="1"/>
  <c r="AL55" i="1"/>
  <c r="AN55" i="1"/>
  <c r="AO55" i="1"/>
  <c r="AP55" i="1"/>
  <c r="AQ55" i="1"/>
  <c r="AS55" i="1"/>
  <c r="AT55" i="1"/>
  <c r="AU55" i="1"/>
  <c r="AV55" i="1"/>
  <c r="AW55" i="1"/>
  <c r="AX55" i="1"/>
  <c r="BB55" i="1"/>
  <c r="BD55" i="1"/>
  <c r="BG55" i="1"/>
  <c r="BH55" i="1"/>
  <c r="BI55" i="1"/>
  <c r="BJ55" i="1"/>
  <c r="BL55" i="1"/>
  <c r="BM55" i="1"/>
  <c r="BN55" i="1"/>
  <c r="BO55" i="1"/>
  <c r="D56" i="1"/>
  <c r="G56" i="1"/>
  <c r="AG56" i="1" s="1"/>
  <c r="AH56" i="1" s="1"/>
  <c r="O56" i="1"/>
  <c r="AI56" i="1"/>
  <c r="AJ56" i="1"/>
  <c r="AL56" i="1"/>
  <c r="AN56" i="1"/>
  <c r="AO56" i="1"/>
  <c r="AP56" i="1"/>
  <c r="AQ56" i="1"/>
  <c r="AS56" i="1"/>
  <c r="AT56" i="1"/>
  <c r="AU56" i="1"/>
  <c r="AV56" i="1"/>
  <c r="AW56" i="1"/>
  <c r="AX56" i="1"/>
  <c r="BB56" i="1"/>
  <c r="BD56" i="1"/>
  <c r="BG56" i="1"/>
  <c r="BH56" i="1"/>
  <c r="BI56" i="1"/>
  <c r="BJ56" i="1"/>
  <c r="BL56" i="1"/>
  <c r="BM56" i="1"/>
  <c r="BN56" i="1"/>
  <c r="BO56" i="1"/>
  <c r="D57" i="1"/>
  <c r="G57" i="1"/>
  <c r="AG57" i="1" s="1"/>
  <c r="AH57" i="1" s="1"/>
  <c r="O57" i="1"/>
  <c r="AI57" i="1"/>
  <c r="AJ57" i="1"/>
  <c r="AL57" i="1"/>
  <c r="AN57" i="1"/>
  <c r="AO57" i="1"/>
  <c r="AP57" i="1"/>
  <c r="AQ57" i="1"/>
  <c r="AS57" i="1"/>
  <c r="AT57" i="1"/>
  <c r="AU57" i="1"/>
  <c r="AV57" i="1"/>
  <c r="AW57" i="1"/>
  <c r="AX57" i="1"/>
  <c r="BB57" i="1"/>
  <c r="BD57" i="1"/>
  <c r="BG57" i="1"/>
  <c r="BH57" i="1"/>
  <c r="BI57" i="1"/>
  <c r="BJ57" i="1"/>
  <c r="BL57" i="1"/>
  <c r="BM57" i="1"/>
  <c r="BN57" i="1"/>
  <c r="BO57" i="1"/>
  <c r="D58" i="1"/>
  <c r="G58" i="1" s="1"/>
  <c r="O58" i="1"/>
  <c r="AI58" i="1"/>
  <c r="AJ58" i="1"/>
  <c r="AL58" i="1"/>
  <c r="AN58" i="1"/>
  <c r="AO58" i="1"/>
  <c r="AP58" i="1"/>
  <c r="AQ58" i="1"/>
  <c r="AS58" i="1"/>
  <c r="AT58" i="1"/>
  <c r="AU58" i="1"/>
  <c r="AV58" i="1"/>
  <c r="AW58" i="1"/>
  <c r="AX58" i="1"/>
  <c r="BB58" i="1"/>
  <c r="BD58" i="1"/>
  <c r="BG58" i="1"/>
  <c r="BH58" i="1"/>
  <c r="BI58" i="1"/>
  <c r="BJ58" i="1"/>
  <c r="BL58" i="1"/>
  <c r="BM58" i="1"/>
  <c r="BN58" i="1"/>
  <c r="BO58" i="1"/>
  <c r="D59" i="1"/>
  <c r="G59" i="1" s="1"/>
  <c r="O59" i="1"/>
  <c r="AI59" i="1"/>
  <c r="AJ59" i="1"/>
  <c r="AL59" i="1"/>
  <c r="AN59" i="1"/>
  <c r="AO59" i="1"/>
  <c r="AP59" i="1"/>
  <c r="AQ59" i="1"/>
  <c r="AS59" i="1"/>
  <c r="AT59" i="1"/>
  <c r="AU59" i="1"/>
  <c r="AV59" i="1"/>
  <c r="AW59" i="1"/>
  <c r="AX59" i="1"/>
  <c r="BB59" i="1"/>
  <c r="BD59" i="1"/>
  <c r="BG59" i="1"/>
  <c r="BH59" i="1"/>
  <c r="BI59" i="1"/>
  <c r="BJ59" i="1"/>
  <c r="BL59" i="1"/>
  <c r="BM59" i="1"/>
  <c r="BN59" i="1"/>
  <c r="BO59" i="1"/>
  <c r="D60" i="1"/>
  <c r="G60" i="1"/>
  <c r="AG60" i="1" s="1"/>
  <c r="AH60" i="1" s="1"/>
  <c r="O60" i="1"/>
  <c r="AI60" i="1"/>
  <c r="AJ60" i="1"/>
  <c r="AL60" i="1"/>
  <c r="AN60" i="1"/>
  <c r="AO60" i="1"/>
  <c r="AP60" i="1"/>
  <c r="AQ60" i="1"/>
  <c r="AS60" i="1"/>
  <c r="AT60" i="1"/>
  <c r="AU60" i="1"/>
  <c r="AV60" i="1"/>
  <c r="AW60" i="1"/>
  <c r="AX60" i="1"/>
  <c r="BB60" i="1"/>
  <c r="BD60" i="1"/>
  <c r="BG60" i="1"/>
  <c r="BH60" i="1"/>
  <c r="BI60" i="1"/>
  <c r="BJ60" i="1"/>
  <c r="BL60" i="1"/>
  <c r="BM60" i="1"/>
  <c r="BN60" i="1"/>
  <c r="BO60" i="1"/>
  <c r="D61" i="1"/>
  <c r="G61" i="1"/>
  <c r="AG61" i="1" s="1"/>
  <c r="AH61" i="1" s="1"/>
  <c r="O61" i="1"/>
  <c r="AI61" i="1"/>
  <c r="AJ61" i="1"/>
  <c r="AL61" i="1"/>
  <c r="AN61" i="1"/>
  <c r="AO61" i="1"/>
  <c r="AP61" i="1"/>
  <c r="AQ61" i="1"/>
  <c r="AS61" i="1"/>
  <c r="AT61" i="1"/>
  <c r="AU61" i="1"/>
  <c r="AV61" i="1"/>
  <c r="AW61" i="1"/>
  <c r="AX61" i="1"/>
  <c r="BB61" i="1"/>
  <c r="BD61" i="1"/>
  <c r="BG61" i="1"/>
  <c r="BH61" i="1"/>
  <c r="BI61" i="1"/>
  <c r="BJ61" i="1"/>
  <c r="BL61" i="1"/>
  <c r="BM61" i="1"/>
  <c r="BN61" i="1"/>
  <c r="BO61" i="1"/>
  <c r="D62" i="1"/>
  <c r="G62" i="1"/>
  <c r="AG62" i="1" s="1"/>
  <c r="AH62" i="1" s="1"/>
  <c r="O62" i="1"/>
  <c r="AI62" i="1"/>
  <c r="AJ62" i="1"/>
  <c r="AL62" i="1"/>
  <c r="AN62" i="1"/>
  <c r="AO62" i="1"/>
  <c r="AP62" i="1"/>
  <c r="AQ62" i="1"/>
  <c r="AS62" i="1"/>
  <c r="AT62" i="1"/>
  <c r="AU62" i="1"/>
  <c r="AV62" i="1"/>
  <c r="AW62" i="1"/>
  <c r="AX62" i="1"/>
  <c r="BB62" i="1"/>
  <c r="BD62" i="1"/>
  <c r="BG62" i="1"/>
  <c r="BH62" i="1"/>
  <c r="BI62" i="1"/>
  <c r="BJ62" i="1"/>
  <c r="BL62" i="1"/>
  <c r="BM62" i="1"/>
  <c r="BN62" i="1"/>
  <c r="BO62" i="1"/>
  <c r="D63" i="1"/>
  <c r="G63" i="1"/>
  <c r="AG63" i="1" s="1"/>
  <c r="AH63" i="1" s="1"/>
  <c r="O63" i="1"/>
  <c r="AI63" i="1"/>
  <c r="AJ63" i="1"/>
  <c r="AL63" i="1"/>
  <c r="AN63" i="1"/>
  <c r="AO63" i="1"/>
  <c r="AP63" i="1"/>
  <c r="AQ63" i="1"/>
  <c r="AS63" i="1"/>
  <c r="AT63" i="1"/>
  <c r="AU63" i="1"/>
  <c r="AV63" i="1"/>
  <c r="AW63" i="1"/>
  <c r="AX63" i="1"/>
  <c r="BB63" i="1"/>
  <c r="BD63" i="1"/>
  <c r="BG63" i="1"/>
  <c r="BH63" i="1"/>
  <c r="BI63" i="1"/>
  <c r="BJ63" i="1"/>
  <c r="BL63" i="1"/>
  <c r="BM63" i="1"/>
  <c r="BN63" i="1"/>
  <c r="BO63" i="1"/>
  <c r="D64" i="1"/>
  <c r="G64" i="1"/>
  <c r="AG64" i="1" s="1"/>
  <c r="AH64" i="1" s="1"/>
  <c r="O64" i="1"/>
  <c r="AI64" i="1"/>
  <c r="AJ64" i="1"/>
  <c r="AL64" i="1"/>
  <c r="AN64" i="1"/>
  <c r="AO64" i="1"/>
  <c r="AP64" i="1"/>
  <c r="AQ64" i="1"/>
  <c r="AS64" i="1"/>
  <c r="AT64" i="1"/>
  <c r="AU64" i="1"/>
  <c r="AV64" i="1"/>
  <c r="AW64" i="1"/>
  <c r="AX64" i="1"/>
  <c r="BB64" i="1"/>
  <c r="BD64" i="1"/>
  <c r="BG64" i="1"/>
  <c r="BH64" i="1"/>
  <c r="BI64" i="1"/>
  <c r="BJ64" i="1"/>
  <c r="BL64" i="1"/>
  <c r="BM64" i="1"/>
  <c r="BN64" i="1"/>
  <c r="BO64" i="1"/>
  <c r="D65" i="1"/>
  <c r="G65" i="1"/>
  <c r="AG65" i="1" s="1"/>
  <c r="AH65" i="1" s="1"/>
  <c r="O65" i="1"/>
  <c r="AI65" i="1"/>
  <c r="AJ65" i="1"/>
  <c r="AL65" i="1"/>
  <c r="AN65" i="1"/>
  <c r="AO65" i="1"/>
  <c r="AP65" i="1"/>
  <c r="AQ65" i="1"/>
  <c r="AS65" i="1"/>
  <c r="AT65" i="1"/>
  <c r="AU65" i="1"/>
  <c r="AV65" i="1"/>
  <c r="AW65" i="1"/>
  <c r="AX65" i="1"/>
  <c r="BB65" i="1"/>
  <c r="BD65" i="1"/>
  <c r="BG65" i="1"/>
  <c r="BH65" i="1"/>
  <c r="BI65" i="1"/>
  <c r="BJ65" i="1"/>
  <c r="BL65" i="1"/>
  <c r="BM65" i="1"/>
  <c r="BN65" i="1"/>
  <c r="BO65" i="1"/>
  <c r="D66" i="1"/>
  <c r="G66" i="1"/>
  <c r="AG66" i="1" s="1"/>
  <c r="AH66" i="1" s="1"/>
  <c r="O66" i="1"/>
  <c r="AI66" i="1"/>
  <c r="AJ66" i="1"/>
  <c r="AL66" i="1"/>
  <c r="AN66" i="1"/>
  <c r="AO66" i="1"/>
  <c r="AP66" i="1"/>
  <c r="AQ66" i="1"/>
  <c r="AS66" i="1"/>
  <c r="AT66" i="1"/>
  <c r="AU66" i="1"/>
  <c r="AV66" i="1"/>
  <c r="AW66" i="1"/>
  <c r="AX66" i="1"/>
  <c r="BB66" i="1"/>
  <c r="BD66" i="1"/>
  <c r="BG66" i="1"/>
  <c r="BH66" i="1"/>
  <c r="BI66" i="1"/>
  <c r="BJ66" i="1"/>
  <c r="BL66" i="1"/>
  <c r="BM66" i="1"/>
  <c r="BN66" i="1"/>
  <c r="BO66" i="1"/>
  <c r="D67" i="1"/>
  <c r="G67" i="1"/>
  <c r="AG67" i="1" s="1"/>
  <c r="AH67" i="1" s="1"/>
  <c r="O67" i="1"/>
  <c r="AI67" i="1"/>
  <c r="AJ67" i="1"/>
  <c r="AL67" i="1"/>
  <c r="AN67" i="1"/>
  <c r="AO67" i="1"/>
  <c r="AP67" i="1"/>
  <c r="AQ67" i="1"/>
  <c r="AS67" i="1"/>
  <c r="AT67" i="1"/>
  <c r="AU67" i="1"/>
  <c r="AV67" i="1"/>
  <c r="AW67" i="1"/>
  <c r="AX67" i="1"/>
  <c r="BB67" i="1"/>
  <c r="BD67" i="1"/>
  <c r="BG67" i="1"/>
  <c r="BH67" i="1"/>
  <c r="BI67" i="1"/>
  <c r="BJ67" i="1"/>
  <c r="BL67" i="1"/>
  <c r="BM67" i="1"/>
  <c r="BN67" i="1"/>
  <c r="BO67" i="1"/>
  <c r="D68" i="1"/>
  <c r="G68" i="1"/>
  <c r="AG68" i="1" s="1"/>
  <c r="AH68" i="1" s="1"/>
  <c r="O68" i="1"/>
  <c r="AI68" i="1"/>
  <c r="AJ68" i="1"/>
  <c r="AL68" i="1"/>
  <c r="AN68" i="1"/>
  <c r="AO68" i="1"/>
  <c r="AP68" i="1"/>
  <c r="AQ68" i="1"/>
  <c r="AS68" i="1"/>
  <c r="AT68" i="1"/>
  <c r="AU68" i="1"/>
  <c r="AV68" i="1"/>
  <c r="AW68" i="1"/>
  <c r="AX68" i="1"/>
  <c r="BB68" i="1"/>
  <c r="BD68" i="1"/>
  <c r="BG68" i="1"/>
  <c r="BH68" i="1"/>
  <c r="BI68" i="1"/>
  <c r="BJ68" i="1"/>
  <c r="BL68" i="1"/>
  <c r="BM68" i="1"/>
  <c r="BN68" i="1"/>
  <c r="BO68" i="1"/>
  <c r="D69" i="1"/>
  <c r="G69" i="1"/>
  <c r="AG69" i="1" s="1"/>
  <c r="AH69" i="1" s="1"/>
  <c r="O69" i="1"/>
  <c r="AI69" i="1"/>
  <c r="AJ69" i="1"/>
  <c r="AL69" i="1"/>
  <c r="AN69" i="1"/>
  <c r="AO69" i="1"/>
  <c r="AP69" i="1"/>
  <c r="AQ69" i="1"/>
  <c r="AS69" i="1"/>
  <c r="AT69" i="1"/>
  <c r="AU69" i="1"/>
  <c r="AV69" i="1"/>
  <c r="AW69" i="1"/>
  <c r="AX69" i="1"/>
  <c r="BB69" i="1"/>
  <c r="BD69" i="1"/>
  <c r="BG69" i="1"/>
  <c r="BH69" i="1"/>
  <c r="BI69" i="1"/>
  <c r="BJ69" i="1"/>
  <c r="BL69" i="1"/>
  <c r="BM69" i="1"/>
  <c r="BN69" i="1"/>
  <c r="BO69" i="1"/>
  <c r="D70" i="1"/>
  <c r="G70" i="1"/>
  <c r="O70" i="1"/>
  <c r="AI70" i="1"/>
  <c r="AJ70" i="1"/>
  <c r="AL70" i="1"/>
  <c r="AN70" i="1"/>
  <c r="AO70" i="1"/>
  <c r="AP70" i="1"/>
  <c r="AQ70" i="1"/>
  <c r="AS70" i="1"/>
  <c r="AT70" i="1"/>
  <c r="AU70" i="1"/>
  <c r="AV70" i="1"/>
  <c r="AW70" i="1"/>
  <c r="AX70" i="1"/>
  <c r="BB70" i="1"/>
  <c r="BD70" i="1"/>
  <c r="BG70" i="1"/>
  <c r="BH70" i="1"/>
  <c r="BI70" i="1"/>
  <c r="BJ70" i="1"/>
  <c r="BL70" i="1"/>
  <c r="BM70" i="1"/>
  <c r="BN70" i="1"/>
  <c r="BO70" i="1"/>
  <c r="D71" i="1"/>
  <c r="G71" i="1"/>
  <c r="AG71" i="1" s="1"/>
  <c r="AH71" i="1" s="1"/>
  <c r="O71" i="1"/>
  <c r="AZ71" i="1" s="1"/>
  <c r="AI71" i="1"/>
  <c r="AJ71" i="1"/>
  <c r="AK71" i="1"/>
  <c r="AL71" i="1"/>
  <c r="AN71" i="1"/>
  <c r="AO71" i="1"/>
  <c r="AP71" i="1"/>
  <c r="AQ71" i="1"/>
  <c r="AS71" i="1"/>
  <c r="AT71" i="1"/>
  <c r="AU71" i="1"/>
  <c r="AV71" i="1"/>
  <c r="AW71" i="1"/>
  <c r="AX71" i="1"/>
  <c r="BB71" i="1"/>
  <c r="BD71" i="1"/>
  <c r="BG71" i="1"/>
  <c r="BH71" i="1"/>
  <c r="BI71" i="1"/>
  <c r="BJ71" i="1"/>
  <c r="BL71" i="1"/>
  <c r="BM71" i="1"/>
  <c r="BN71" i="1"/>
  <c r="BO71" i="1"/>
  <c r="D72" i="1"/>
  <c r="G72" i="1"/>
  <c r="AG72" i="1" s="1"/>
  <c r="AH72" i="1" s="1"/>
  <c r="O72" i="1"/>
  <c r="AZ72" i="1" s="1"/>
  <c r="AI72" i="1"/>
  <c r="AJ72" i="1"/>
  <c r="AK72" i="1"/>
  <c r="AL72" i="1"/>
  <c r="AN72" i="1"/>
  <c r="AO72" i="1"/>
  <c r="AP72" i="1"/>
  <c r="AQ72" i="1"/>
  <c r="AS72" i="1"/>
  <c r="AT72" i="1"/>
  <c r="AU72" i="1"/>
  <c r="AV72" i="1"/>
  <c r="AW72" i="1"/>
  <c r="AX72" i="1"/>
  <c r="BB72" i="1"/>
  <c r="BD72" i="1"/>
  <c r="BG72" i="1"/>
  <c r="BH72" i="1"/>
  <c r="BI72" i="1"/>
  <c r="BJ72" i="1"/>
  <c r="BL72" i="1"/>
  <c r="BM72" i="1"/>
  <c r="BN72" i="1"/>
  <c r="BO72" i="1"/>
  <c r="D73" i="1"/>
  <c r="G73" i="1"/>
  <c r="AG73" i="1" s="1"/>
  <c r="AH73" i="1" s="1"/>
  <c r="O73" i="1"/>
  <c r="AI73" i="1"/>
  <c r="AJ73" i="1"/>
  <c r="AK73" i="1"/>
  <c r="AL73" i="1"/>
  <c r="AN73" i="1"/>
  <c r="AO73" i="1"/>
  <c r="AP73" i="1"/>
  <c r="AQ73" i="1"/>
  <c r="AS73" i="1"/>
  <c r="AT73" i="1"/>
  <c r="AU73" i="1"/>
  <c r="AV73" i="1"/>
  <c r="AW73" i="1"/>
  <c r="AX73" i="1"/>
  <c r="AZ73" i="1"/>
  <c r="BB73" i="1"/>
  <c r="BD73" i="1"/>
  <c r="BG73" i="1"/>
  <c r="BH73" i="1"/>
  <c r="BI73" i="1"/>
  <c r="BJ73" i="1"/>
  <c r="BL73" i="1"/>
  <c r="BM73" i="1"/>
  <c r="BN73" i="1"/>
  <c r="BO73" i="1"/>
  <c r="D74" i="1"/>
  <c r="G74" i="1" s="1"/>
  <c r="O74" i="1"/>
  <c r="AI74" i="1"/>
  <c r="AJ74" i="1" s="1"/>
  <c r="AK74" i="1"/>
  <c r="AL74" i="1"/>
  <c r="AN74" i="1"/>
  <c r="AP74" i="1"/>
  <c r="AQ74" i="1"/>
  <c r="AS74" i="1"/>
  <c r="AT74" i="1"/>
  <c r="AU74" i="1"/>
  <c r="AV74" i="1"/>
  <c r="AW74" i="1"/>
  <c r="AX74" i="1"/>
  <c r="AZ74" i="1"/>
  <c r="BB74" i="1"/>
  <c r="BD74" i="1"/>
  <c r="BG74" i="1"/>
  <c r="BH74" i="1"/>
  <c r="BI74" i="1"/>
  <c r="BJ74" i="1"/>
  <c r="BL74" i="1"/>
  <c r="BM74" i="1"/>
  <c r="BN74" i="1"/>
  <c r="BO74" i="1"/>
  <c r="D75" i="1"/>
  <c r="G75" i="1" s="1"/>
  <c r="O75" i="1"/>
  <c r="AI75" i="1"/>
  <c r="AJ75" i="1" s="1"/>
  <c r="AK75" i="1"/>
  <c r="AL75" i="1"/>
  <c r="AN75" i="1"/>
  <c r="AP75" i="1"/>
  <c r="AQ75" i="1"/>
  <c r="AS75" i="1"/>
  <c r="AT75" i="1"/>
  <c r="AU75" i="1"/>
  <c r="AV75" i="1"/>
  <c r="AW75" i="1"/>
  <c r="AX75" i="1"/>
  <c r="AZ75" i="1"/>
  <c r="BB75" i="1"/>
  <c r="BD75" i="1"/>
  <c r="BG75" i="1"/>
  <c r="BH75" i="1"/>
  <c r="BI75" i="1"/>
  <c r="BJ75" i="1"/>
  <c r="BL75" i="1"/>
  <c r="BM75" i="1"/>
  <c r="BN75" i="1"/>
  <c r="BO75" i="1"/>
  <c r="D76" i="1"/>
  <c r="G76" i="1" s="1"/>
  <c r="O76" i="1"/>
  <c r="AI76" i="1"/>
  <c r="AJ76" i="1" s="1"/>
  <c r="AK76" i="1"/>
  <c r="AL76" i="1"/>
  <c r="AN76" i="1"/>
  <c r="AP76" i="1"/>
  <c r="AQ76" i="1"/>
  <c r="AS76" i="1"/>
  <c r="AT76" i="1"/>
  <c r="AU76" i="1"/>
  <c r="AV76" i="1"/>
  <c r="AW76" i="1"/>
  <c r="AX76" i="1"/>
  <c r="AZ76" i="1"/>
  <c r="BB76" i="1"/>
  <c r="BD76" i="1"/>
  <c r="BG76" i="1"/>
  <c r="BH76" i="1"/>
  <c r="BI76" i="1"/>
  <c r="BJ76" i="1"/>
  <c r="BL76" i="1"/>
  <c r="BM76" i="1"/>
  <c r="BN76" i="1"/>
  <c r="BO76" i="1"/>
  <c r="D77" i="1"/>
  <c r="G77" i="1" s="1"/>
  <c r="O77" i="1"/>
  <c r="AI77" i="1"/>
  <c r="AJ77" i="1" s="1"/>
  <c r="AK77" i="1"/>
  <c r="AL77" i="1"/>
  <c r="AN77" i="1"/>
  <c r="AP77" i="1"/>
  <c r="AQ77" i="1"/>
  <c r="AS77" i="1"/>
  <c r="AT77" i="1"/>
  <c r="AU77" i="1"/>
  <c r="AV77" i="1"/>
  <c r="AW77" i="1"/>
  <c r="AX77" i="1"/>
  <c r="AZ77" i="1"/>
  <c r="BB77" i="1"/>
  <c r="BD77" i="1"/>
  <c r="BG77" i="1"/>
  <c r="BH77" i="1"/>
  <c r="BI77" i="1"/>
  <c r="BJ77" i="1"/>
  <c r="BL77" i="1"/>
  <c r="BM77" i="1"/>
  <c r="BN77" i="1"/>
  <c r="BO77" i="1"/>
  <c r="D78" i="1"/>
  <c r="AO78" i="1" s="1"/>
  <c r="G78" i="1"/>
  <c r="AG78" i="1" s="1"/>
  <c r="AH78" i="1" s="1"/>
  <c r="O78" i="1"/>
  <c r="AI78" i="1"/>
  <c r="AJ78" i="1" s="1"/>
  <c r="AK78" i="1"/>
  <c r="AL78" i="1"/>
  <c r="AN78" i="1"/>
  <c r="AP78" i="1"/>
  <c r="AQ78" i="1"/>
  <c r="AR78" i="1"/>
  <c r="AS78" i="1"/>
  <c r="AT78" i="1"/>
  <c r="AU78" i="1"/>
  <c r="AV78" i="1"/>
  <c r="AW78" i="1"/>
  <c r="AX78" i="1"/>
  <c r="AZ78" i="1"/>
  <c r="BB78" i="1"/>
  <c r="BD78" i="1"/>
  <c r="BG78" i="1"/>
  <c r="BH78" i="1"/>
  <c r="BI78" i="1"/>
  <c r="BJ78" i="1"/>
  <c r="BL78" i="1"/>
  <c r="BM78" i="1"/>
  <c r="BN78" i="1"/>
  <c r="BO78" i="1"/>
  <c r="D79" i="1"/>
  <c r="AO79" i="1" s="1"/>
  <c r="G79" i="1"/>
  <c r="AG79" i="1" s="1"/>
  <c r="AH79" i="1" s="1"/>
  <c r="O79" i="1"/>
  <c r="AI79" i="1"/>
  <c r="AJ79" i="1" s="1"/>
  <c r="AK79" i="1"/>
  <c r="AL79" i="1"/>
  <c r="AN79" i="1"/>
  <c r="AP79" i="1"/>
  <c r="AQ79" i="1"/>
  <c r="AR79" i="1"/>
  <c r="AS79" i="1"/>
  <c r="AT79" i="1"/>
  <c r="AU79" i="1"/>
  <c r="AV79" i="1"/>
  <c r="AW79" i="1"/>
  <c r="AX79" i="1"/>
  <c r="AZ79" i="1"/>
  <c r="BB79" i="1"/>
  <c r="BD79" i="1"/>
  <c r="BG79" i="1"/>
  <c r="BH79" i="1"/>
  <c r="BI79" i="1"/>
  <c r="BJ79" i="1"/>
  <c r="BL79" i="1"/>
  <c r="BM79" i="1"/>
  <c r="BN79" i="1"/>
  <c r="BO79" i="1"/>
  <c r="D80" i="1"/>
  <c r="AO80" i="1" s="1"/>
  <c r="G80" i="1"/>
  <c r="AG80" i="1" s="1"/>
  <c r="AH80" i="1" s="1"/>
  <c r="O80" i="1"/>
  <c r="AI80" i="1"/>
  <c r="AJ80" i="1" s="1"/>
  <c r="AK80" i="1"/>
  <c r="AL80" i="1"/>
  <c r="AN80" i="1"/>
  <c r="AP80" i="1"/>
  <c r="AQ80" i="1"/>
  <c r="AR80" i="1"/>
  <c r="AS80" i="1"/>
  <c r="AT80" i="1"/>
  <c r="AU80" i="1"/>
  <c r="AV80" i="1"/>
  <c r="AW80" i="1"/>
  <c r="AX80" i="1"/>
  <c r="AZ80" i="1"/>
  <c r="BB80" i="1"/>
  <c r="BD80" i="1"/>
  <c r="BG80" i="1"/>
  <c r="BH80" i="1"/>
  <c r="BI80" i="1"/>
  <c r="BJ80" i="1"/>
  <c r="BL80" i="1"/>
  <c r="BM80" i="1"/>
  <c r="BN80" i="1"/>
  <c r="BO80" i="1"/>
  <c r="D81" i="1"/>
  <c r="AO81" i="1" s="1"/>
  <c r="G81" i="1"/>
  <c r="AG81" i="1" s="1"/>
  <c r="AH81" i="1" s="1"/>
  <c r="O81" i="1"/>
  <c r="AI81" i="1"/>
  <c r="AJ81" i="1" s="1"/>
  <c r="AK81" i="1"/>
  <c r="AL81" i="1"/>
  <c r="AN81" i="1"/>
  <c r="AP81" i="1"/>
  <c r="AQ81" i="1"/>
  <c r="AR81" i="1"/>
  <c r="AS81" i="1"/>
  <c r="AT81" i="1"/>
  <c r="AU81" i="1"/>
  <c r="AV81" i="1"/>
  <c r="AW81" i="1"/>
  <c r="AX81" i="1"/>
  <c r="AZ81" i="1"/>
  <c r="BB81" i="1"/>
  <c r="BD81" i="1"/>
  <c r="BG81" i="1"/>
  <c r="BH81" i="1"/>
  <c r="BI81" i="1"/>
  <c r="BJ81" i="1"/>
  <c r="BL81" i="1"/>
  <c r="BM81" i="1"/>
  <c r="BN81" i="1"/>
  <c r="BO81" i="1"/>
  <c r="D82" i="1"/>
  <c r="AO82" i="1" s="1"/>
  <c r="G82" i="1"/>
  <c r="AG82" i="1" s="1"/>
  <c r="AH82" i="1" s="1"/>
  <c r="O82" i="1"/>
  <c r="AI82" i="1"/>
  <c r="AJ82" i="1" s="1"/>
  <c r="AK82" i="1"/>
  <c r="AL82" i="1"/>
  <c r="AN82" i="1"/>
  <c r="AP82" i="1"/>
  <c r="AQ82" i="1"/>
  <c r="AR82" i="1"/>
  <c r="AS82" i="1"/>
  <c r="AT82" i="1"/>
  <c r="AU82" i="1"/>
  <c r="AV82" i="1"/>
  <c r="AW82" i="1"/>
  <c r="AX82" i="1"/>
  <c r="AZ82" i="1"/>
  <c r="BB82" i="1"/>
  <c r="BD82" i="1"/>
  <c r="BG82" i="1"/>
  <c r="BH82" i="1"/>
  <c r="BI82" i="1"/>
  <c r="BJ82" i="1"/>
  <c r="BL82" i="1"/>
  <c r="BM82" i="1"/>
  <c r="BN82" i="1"/>
  <c r="BO82" i="1"/>
  <c r="D83" i="1"/>
  <c r="AO83" i="1" s="1"/>
  <c r="G83" i="1"/>
  <c r="AG83" i="1" s="1"/>
  <c r="AH83" i="1" s="1"/>
  <c r="O83" i="1"/>
  <c r="AI83" i="1"/>
  <c r="AJ83" i="1" s="1"/>
  <c r="AK83" i="1"/>
  <c r="AL83" i="1"/>
  <c r="AN83" i="1"/>
  <c r="AP83" i="1"/>
  <c r="AQ83" i="1"/>
  <c r="AR83" i="1"/>
  <c r="AS83" i="1"/>
  <c r="AT83" i="1"/>
  <c r="AU83" i="1"/>
  <c r="AV83" i="1"/>
  <c r="AW83" i="1"/>
  <c r="AX83" i="1"/>
  <c r="AZ83" i="1"/>
  <c r="BB83" i="1"/>
  <c r="BD83" i="1"/>
  <c r="BG83" i="1"/>
  <c r="BH83" i="1"/>
  <c r="BI83" i="1"/>
  <c r="BJ83" i="1"/>
  <c r="BL83" i="1"/>
  <c r="BM83" i="1"/>
  <c r="BN83" i="1"/>
  <c r="BO83" i="1"/>
  <c r="D84" i="1"/>
  <c r="AO84" i="1" s="1"/>
  <c r="G84" i="1"/>
  <c r="AG84" i="1" s="1"/>
  <c r="AH84" i="1" s="1"/>
  <c r="O84" i="1"/>
  <c r="AI84" i="1"/>
  <c r="AJ84" i="1" s="1"/>
  <c r="AK84" i="1"/>
  <c r="AL84" i="1"/>
  <c r="AN84" i="1"/>
  <c r="AP84" i="1"/>
  <c r="AQ84" i="1"/>
  <c r="AR84" i="1"/>
  <c r="AS84" i="1"/>
  <c r="AT84" i="1"/>
  <c r="AU84" i="1"/>
  <c r="AV84" i="1"/>
  <c r="AW84" i="1"/>
  <c r="AX84" i="1"/>
  <c r="AZ84" i="1"/>
  <c r="BB84" i="1"/>
  <c r="BD84" i="1"/>
  <c r="BG84" i="1"/>
  <c r="BH84" i="1"/>
  <c r="BI84" i="1"/>
  <c r="BJ84" i="1"/>
  <c r="BL84" i="1"/>
  <c r="BM84" i="1"/>
  <c r="BN84" i="1"/>
  <c r="BO84" i="1"/>
  <c r="D85" i="1"/>
  <c r="AO85" i="1" s="1"/>
  <c r="G85" i="1"/>
  <c r="AG85" i="1" s="1"/>
  <c r="AH85" i="1" s="1"/>
  <c r="O85" i="1"/>
  <c r="AI85" i="1"/>
  <c r="AJ85" i="1" s="1"/>
  <c r="AK85" i="1"/>
  <c r="AL85" i="1"/>
  <c r="AN85" i="1"/>
  <c r="AP85" i="1"/>
  <c r="AQ85" i="1"/>
  <c r="AR85" i="1"/>
  <c r="AS85" i="1"/>
  <c r="AT85" i="1"/>
  <c r="AU85" i="1"/>
  <c r="AV85" i="1"/>
  <c r="AW85" i="1"/>
  <c r="AX85" i="1"/>
  <c r="AZ85" i="1"/>
  <c r="BB85" i="1"/>
  <c r="BD85" i="1"/>
  <c r="BG85" i="1"/>
  <c r="BH85" i="1"/>
  <c r="BI85" i="1"/>
  <c r="BJ85" i="1"/>
  <c r="BL85" i="1"/>
  <c r="BM85" i="1"/>
  <c r="BN85" i="1"/>
  <c r="BO85" i="1"/>
  <c r="D86" i="1"/>
  <c r="AO86" i="1" s="1"/>
  <c r="G86" i="1"/>
  <c r="AG86" i="1" s="1"/>
  <c r="AH86" i="1" s="1"/>
  <c r="O86" i="1"/>
  <c r="AI86" i="1"/>
  <c r="AJ86" i="1" s="1"/>
  <c r="AK86" i="1"/>
  <c r="AL86" i="1"/>
  <c r="AN86" i="1"/>
  <c r="AP86" i="1"/>
  <c r="AQ86" i="1"/>
  <c r="AR86" i="1"/>
  <c r="AS86" i="1"/>
  <c r="AT86" i="1"/>
  <c r="AU86" i="1"/>
  <c r="AV86" i="1"/>
  <c r="AW86" i="1"/>
  <c r="AX86" i="1"/>
  <c r="AZ86" i="1"/>
  <c r="BB86" i="1"/>
  <c r="BD86" i="1"/>
  <c r="BG86" i="1"/>
  <c r="BH86" i="1"/>
  <c r="BI86" i="1"/>
  <c r="BJ86" i="1"/>
  <c r="BL86" i="1"/>
  <c r="BM86" i="1"/>
  <c r="BN86" i="1"/>
  <c r="BO86" i="1"/>
  <c r="D87" i="1"/>
  <c r="AO87" i="1" s="1"/>
  <c r="G87" i="1"/>
  <c r="AG87" i="1" s="1"/>
  <c r="AH87" i="1" s="1"/>
  <c r="O87" i="1"/>
  <c r="AI87" i="1"/>
  <c r="AJ87" i="1" s="1"/>
  <c r="AK87" i="1"/>
  <c r="AL87" i="1"/>
  <c r="AN87" i="1"/>
  <c r="AP87" i="1"/>
  <c r="AQ87" i="1"/>
  <c r="AR87" i="1"/>
  <c r="AS87" i="1"/>
  <c r="AT87" i="1"/>
  <c r="AU87" i="1"/>
  <c r="AV87" i="1"/>
  <c r="AW87" i="1"/>
  <c r="AX87" i="1"/>
  <c r="AZ87" i="1"/>
  <c r="BB87" i="1"/>
  <c r="BD87" i="1"/>
  <c r="BG87" i="1"/>
  <c r="BH87" i="1"/>
  <c r="BI87" i="1"/>
  <c r="BJ87" i="1"/>
  <c r="BL87" i="1"/>
  <c r="BM87" i="1"/>
  <c r="BN87" i="1"/>
  <c r="BO87" i="1"/>
  <c r="D88" i="1"/>
  <c r="AO88" i="1" s="1"/>
  <c r="G88" i="1"/>
  <c r="AG88" i="1" s="1"/>
  <c r="AH88" i="1" s="1"/>
  <c r="O88" i="1"/>
  <c r="AI88" i="1"/>
  <c r="AJ88" i="1" s="1"/>
  <c r="AK88" i="1"/>
  <c r="AL88" i="1"/>
  <c r="AN88" i="1"/>
  <c r="AP88" i="1"/>
  <c r="AQ88" i="1"/>
  <c r="AR88" i="1"/>
  <c r="AS88" i="1"/>
  <c r="AT88" i="1"/>
  <c r="AU88" i="1"/>
  <c r="AV88" i="1"/>
  <c r="AW88" i="1"/>
  <c r="AX88" i="1"/>
  <c r="AZ88" i="1"/>
  <c r="BB88" i="1"/>
  <c r="BD88" i="1"/>
  <c r="BG88" i="1"/>
  <c r="BH88" i="1"/>
  <c r="BI88" i="1"/>
  <c r="BJ88" i="1"/>
  <c r="BL88" i="1"/>
  <c r="BM88" i="1"/>
  <c r="BN88" i="1"/>
  <c r="BO88" i="1"/>
  <c r="D89" i="1"/>
  <c r="AO89" i="1" s="1"/>
  <c r="G89" i="1"/>
  <c r="AG89" i="1" s="1"/>
  <c r="AH89" i="1" s="1"/>
  <c r="O89" i="1"/>
  <c r="AI89" i="1"/>
  <c r="AJ89" i="1" s="1"/>
  <c r="AK89" i="1"/>
  <c r="AL89" i="1"/>
  <c r="AN89" i="1"/>
  <c r="AP89" i="1"/>
  <c r="AQ89" i="1"/>
  <c r="AR89" i="1"/>
  <c r="AS89" i="1"/>
  <c r="AT89" i="1"/>
  <c r="AU89" i="1"/>
  <c r="AV89" i="1"/>
  <c r="AW89" i="1"/>
  <c r="AX89" i="1"/>
  <c r="AZ89" i="1"/>
  <c r="BB89" i="1"/>
  <c r="BD89" i="1"/>
  <c r="BG89" i="1"/>
  <c r="BH89" i="1"/>
  <c r="BI89" i="1"/>
  <c r="BJ89" i="1"/>
  <c r="BL89" i="1"/>
  <c r="BM89" i="1"/>
  <c r="BN89" i="1"/>
  <c r="BO89" i="1"/>
  <c r="D90" i="1"/>
  <c r="AO90" i="1" s="1"/>
  <c r="G90" i="1"/>
  <c r="AG90" i="1" s="1"/>
  <c r="AH90" i="1" s="1"/>
  <c r="O90" i="1"/>
  <c r="AI90" i="1"/>
  <c r="AJ90" i="1" s="1"/>
  <c r="AK90" i="1"/>
  <c r="AL90" i="1"/>
  <c r="AN90" i="1"/>
  <c r="AP90" i="1"/>
  <c r="AQ90" i="1"/>
  <c r="AR90" i="1"/>
  <c r="AS90" i="1"/>
  <c r="AT90" i="1"/>
  <c r="AU90" i="1"/>
  <c r="AV90" i="1"/>
  <c r="AW90" i="1"/>
  <c r="AX90" i="1"/>
  <c r="AZ90" i="1"/>
  <c r="BB90" i="1"/>
  <c r="BD90" i="1"/>
  <c r="BG90" i="1"/>
  <c r="BH90" i="1"/>
  <c r="BI90" i="1"/>
  <c r="BJ90" i="1"/>
  <c r="BL90" i="1"/>
  <c r="BM90" i="1"/>
  <c r="BN90" i="1"/>
  <c r="BO90" i="1"/>
  <c r="D91" i="1"/>
  <c r="AO91" i="1" s="1"/>
  <c r="G91" i="1"/>
  <c r="AG91" i="1" s="1"/>
  <c r="AH91" i="1" s="1"/>
  <c r="O91" i="1"/>
  <c r="AI91" i="1"/>
  <c r="AJ91" i="1" s="1"/>
  <c r="AK91" i="1"/>
  <c r="AL91" i="1"/>
  <c r="AN91" i="1"/>
  <c r="AP91" i="1"/>
  <c r="AQ91" i="1"/>
  <c r="AR91" i="1"/>
  <c r="AS91" i="1"/>
  <c r="AT91" i="1"/>
  <c r="AU91" i="1"/>
  <c r="AV91" i="1"/>
  <c r="AW91" i="1"/>
  <c r="AX91" i="1"/>
  <c r="AZ91" i="1"/>
  <c r="BB91" i="1"/>
  <c r="BD91" i="1"/>
  <c r="BG91" i="1"/>
  <c r="BH91" i="1"/>
  <c r="BI91" i="1"/>
  <c r="BJ91" i="1"/>
  <c r="BL91" i="1"/>
  <c r="BM91" i="1"/>
  <c r="BN91" i="1"/>
  <c r="BO91" i="1"/>
  <c r="D92" i="1"/>
  <c r="AO92" i="1" s="1"/>
  <c r="G92" i="1"/>
  <c r="AG92" i="1" s="1"/>
  <c r="AH92" i="1" s="1"/>
  <c r="O92" i="1"/>
  <c r="AI92" i="1"/>
  <c r="AJ92" i="1" s="1"/>
  <c r="AK92" i="1"/>
  <c r="AL92" i="1"/>
  <c r="AN92" i="1"/>
  <c r="AP92" i="1"/>
  <c r="AQ92" i="1"/>
  <c r="AS92" i="1"/>
  <c r="AT92" i="1"/>
  <c r="AU92" i="1"/>
  <c r="AV92" i="1"/>
  <c r="AW92" i="1"/>
  <c r="AX92" i="1"/>
  <c r="AZ92" i="1"/>
  <c r="BB92" i="1"/>
  <c r="BD92" i="1"/>
  <c r="BG92" i="1"/>
  <c r="BH92" i="1"/>
  <c r="BI92" i="1"/>
  <c r="BJ92" i="1"/>
  <c r="BL92" i="1"/>
  <c r="BM92" i="1"/>
  <c r="BN92" i="1"/>
  <c r="BO92" i="1"/>
  <c r="D93" i="1"/>
  <c r="G93" i="1"/>
  <c r="AG93" i="1" s="1"/>
  <c r="AH93" i="1" s="1"/>
  <c r="O93" i="1"/>
  <c r="AI93" i="1"/>
  <c r="AJ93" i="1" s="1"/>
  <c r="AK93" i="1"/>
  <c r="AL93" i="1"/>
  <c r="AN93" i="1"/>
  <c r="AO93" i="1"/>
  <c r="AP93" i="1"/>
  <c r="AQ93" i="1"/>
  <c r="AS93" i="1"/>
  <c r="AT93" i="1"/>
  <c r="AU93" i="1"/>
  <c r="AV93" i="1"/>
  <c r="AW93" i="1"/>
  <c r="AX93" i="1"/>
  <c r="AZ93" i="1"/>
  <c r="BB93" i="1"/>
  <c r="BD93" i="1"/>
  <c r="BG93" i="1"/>
  <c r="BH93" i="1"/>
  <c r="BI93" i="1"/>
  <c r="BJ93" i="1"/>
  <c r="BL93" i="1"/>
  <c r="BM93" i="1"/>
  <c r="BN93" i="1"/>
  <c r="BO93" i="1"/>
  <c r="D94" i="1"/>
  <c r="G94" i="1"/>
  <c r="AG94" i="1" s="1"/>
  <c r="AH94" i="1" s="1"/>
  <c r="O94" i="1"/>
  <c r="AI94" i="1"/>
  <c r="AJ94" i="1" s="1"/>
  <c r="AK94" i="1"/>
  <c r="AL94" i="1"/>
  <c r="AN94" i="1"/>
  <c r="AO94" i="1"/>
  <c r="AP94" i="1"/>
  <c r="AQ94" i="1"/>
  <c r="AS94" i="1"/>
  <c r="AT94" i="1"/>
  <c r="AU94" i="1"/>
  <c r="AV94" i="1"/>
  <c r="AW94" i="1"/>
  <c r="AX94" i="1"/>
  <c r="AZ94" i="1"/>
  <c r="BB94" i="1"/>
  <c r="BD94" i="1"/>
  <c r="BG94" i="1"/>
  <c r="BH94" i="1"/>
  <c r="BI94" i="1"/>
  <c r="BJ94" i="1"/>
  <c r="BL94" i="1"/>
  <c r="BM94" i="1"/>
  <c r="BN94" i="1"/>
  <c r="BO94" i="1"/>
  <c r="D95" i="1"/>
  <c r="AO95" i="1" s="1"/>
  <c r="G95" i="1"/>
  <c r="AG95" i="1" s="1"/>
  <c r="AH95" i="1" s="1"/>
  <c r="O95" i="1"/>
  <c r="AI95" i="1"/>
  <c r="AJ95" i="1" s="1"/>
  <c r="AK95" i="1"/>
  <c r="AL95" i="1"/>
  <c r="AN95" i="1"/>
  <c r="AP95" i="1"/>
  <c r="AQ95" i="1"/>
  <c r="AS95" i="1"/>
  <c r="AT95" i="1"/>
  <c r="AU95" i="1"/>
  <c r="AV95" i="1"/>
  <c r="AW95" i="1"/>
  <c r="AX95" i="1"/>
  <c r="AZ95" i="1"/>
  <c r="BB95" i="1"/>
  <c r="BD95" i="1"/>
  <c r="BG95" i="1"/>
  <c r="BH95" i="1"/>
  <c r="BI95" i="1"/>
  <c r="BJ95" i="1"/>
  <c r="BL95" i="1"/>
  <c r="BM95" i="1"/>
  <c r="BN95" i="1"/>
  <c r="BO95" i="1"/>
  <c r="D96" i="1"/>
  <c r="G96" i="1"/>
  <c r="AG96" i="1" s="1"/>
  <c r="AH96" i="1" s="1"/>
  <c r="O96" i="1"/>
  <c r="AI96" i="1"/>
  <c r="AJ96" i="1" s="1"/>
  <c r="AK96" i="1"/>
  <c r="AL96" i="1"/>
  <c r="AN96" i="1"/>
  <c r="AO96" i="1"/>
  <c r="AP96" i="1"/>
  <c r="AQ96" i="1"/>
  <c r="AS96" i="1"/>
  <c r="AT96" i="1"/>
  <c r="AU96" i="1"/>
  <c r="AV96" i="1"/>
  <c r="AW96" i="1"/>
  <c r="AX96" i="1"/>
  <c r="AZ96" i="1"/>
  <c r="BB96" i="1"/>
  <c r="BD96" i="1"/>
  <c r="BG96" i="1"/>
  <c r="BH96" i="1"/>
  <c r="BI96" i="1"/>
  <c r="BJ96" i="1"/>
  <c r="BL96" i="1"/>
  <c r="BM96" i="1"/>
  <c r="BN96" i="1"/>
  <c r="BO96" i="1"/>
  <c r="AN98" i="1"/>
  <c r="V99" i="1"/>
  <c r="O99" i="1" s="1"/>
  <c r="W99" i="1"/>
  <c r="AA99" i="1"/>
  <c r="AB99" i="1"/>
  <c r="D99" i="1" s="1"/>
  <c r="AF99" i="1"/>
  <c r="AL99" i="1" s="1"/>
  <c r="AI99" i="1"/>
  <c r="AJ99" i="1" s="1"/>
  <c r="AN99" i="1"/>
  <c r="AP99" i="1"/>
  <c r="AQ99" i="1"/>
  <c r="AS99" i="1"/>
  <c r="AT99" i="1"/>
  <c r="AU99" i="1"/>
  <c r="AV99" i="1"/>
  <c r="AW99" i="1"/>
  <c r="AX99" i="1"/>
  <c r="BB99" i="1"/>
  <c r="BD99" i="1"/>
  <c r="BG99" i="1"/>
  <c r="BH99" i="1"/>
  <c r="BI99" i="1"/>
  <c r="BJ99" i="1"/>
  <c r="BL99" i="1"/>
  <c r="BM99" i="1"/>
  <c r="BN99" i="1"/>
  <c r="BO99" i="1"/>
  <c r="V100" i="1"/>
  <c r="O100" i="1" s="1"/>
  <c r="W100" i="1"/>
  <c r="AA100" i="1"/>
  <c r="D100" i="1" s="1"/>
  <c r="AB100" i="1"/>
  <c r="AI100" i="1"/>
  <c r="AJ100" i="1" s="1"/>
  <c r="AL100" i="1"/>
  <c r="AN100" i="1"/>
  <c r="AP100" i="1"/>
  <c r="AQ100" i="1"/>
  <c r="AS100" i="1"/>
  <c r="AT100" i="1"/>
  <c r="AU100" i="1"/>
  <c r="AV100" i="1"/>
  <c r="AW100" i="1"/>
  <c r="AX100" i="1"/>
  <c r="BB100" i="1"/>
  <c r="BD100" i="1"/>
  <c r="BG100" i="1"/>
  <c r="BH100" i="1"/>
  <c r="BI100" i="1"/>
  <c r="BJ100" i="1"/>
  <c r="BL100" i="1"/>
  <c r="BM100" i="1"/>
  <c r="BN100" i="1"/>
  <c r="BO100" i="1"/>
  <c r="V101" i="1"/>
  <c r="O101" i="1" s="1"/>
  <c r="W101" i="1"/>
  <c r="AA101" i="1"/>
  <c r="D101" i="1" s="1"/>
  <c r="AB101" i="1"/>
  <c r="AF101" i="1"/>
  <c r="AI101" i="1"/>
  <c r="AJ101" i="1"/>
  <c r="AL101" i="1"/>
  <c r="AN101" i="1"/>
  <c r="AP101" i="1"/>
  <c r="AQ101" i="1"/>
  <c r="AS101" i="1"/>
  <c r="AT101" i="1"/>
  <c r="AU101" i="1"/>
  <c r="AV101" i="1"/>
  <c r="AW101" i="1"/>
  <c r="AX101" i="1"/>
  <c r="BB101" i="1"/>
  <c r="BD101" i="1"/>
  <c r="BG101" i="1"/>
  <c r="BH101" i="1"/>
  <c r="BI101" i="1"/>
  <c r="BJ101" i="1"/>
  <c r="BL101" i="1"/>
  <c r="BM101" i="1"/>
  <c r="BN101" i="1"/>
  <c r="BO101" i="1"/>
  <c r="O102" i="1"/>
  <c r="V102" i="1"/>
  <c r="AA102" i="1"/>
  <c r="D102" i="1" s="1"/>
  <c r="AF102" i="1"/>
  <c r="AL102" i="1" s="1"/>
  <c r="AI102" i="1"/>
  <c r="AJ102" i="1" s="1"/>
  <c r="AK102" i="1"/>
  <c r="AN102" i="1"/>
  <c r="AP102" i="1"/>
  <c r="AQ102" i="1"/>
  <c r="AS102" i="1"/>
  <c r="AT102" i="1"/>
  <c r="AU102" i="1"/>
  <c r="AV102" i="1"/>
  <c r="AW102" i="1"/>
  <c r="AX102" i="1"/>
  <c r="AZ102" i="1"/>
  <c r="BB102" i="1"/>
  <c r="BD102" i="1"/>
  <c r="BG102" i="1"/>
  <c r="BH102" i="1"/>
  <c r="BI102" i="1"/>
  <c r="BJ102" i="1"/>
  <c r="BL102" i="1"/>
  <c r="BM102" i="1"/>
  <c r="BN102" i="1"/>
  <c r="BO102" i="1"/>
  <c r="V103" i="1"/>
  <c r="O103" i="1" s="1"/>
  <c r="AA103" i="1"/>
  <c r="AB103" i="1"/>
  <c r="D103" i="1" s="1"/>
  <c r="AF103" i="1"/>
  <c r="AL103" i="1" s="1"/>
  <c r="AI103" i="1"/>
  <c r="AJ103" i="1" s="1"/>
  <c r="AN103" i="1"/>
  <c r="AP103" i="1"/>
  <c r="AQ103" i="1"/>
  <c r="AS103" i="1"/>
  <c r="AT103" i="1"/>
  <c r="AU103" i="1"/>
  <c r="AV103" i="1"/>
  <c r="AW103" i="1"/>
  <c r="AX103" i="1"/>
  <c r="BB103" i="1"/>
  <c r="BD103" i="1"/>
  <c r="BG103" i="1"/>
  <c r="BH103" i="1"/>
  <c r="BI103" i="1"/>
  <c r="BJ103" i="1"/>
  <c r="BL103" i="1"/>
  <c r="BM103" i="1"/>
  <c r="BN103" i="1"/>
  <c r="BO103" i="1"/>
  <c r="D104" i="1"/>
  <c r="G104" i="1" s="1"/>
  <c r="V104" i="1"/>
  <c r="O104" i="1" s="1"/>
  <c r="W104" i="1"/>
  <c r="AA104" i="1"/>
  <c r="AB104" i="1"/>
  <c r="AF104" i="1"/>
  <c r="AL104" i="1" s="1"/>
  <c r="AI104" i="1"/>
  <c r="AJ104" i="1"/>
  <c r="AN104" i="1"/>
  <c r="AO104" i="1"/>
  <c r="AP104" i="1"/>
  <c r="AQ104" i="1"/>
  <c r="AS104" i="1"/>
  <c r="AT104" i="1"/>
  <c r="AU104" i="1"/>
  <c r="AV104" i="1"/>
  <c r="AW104" i="1"/>
  <c r="AX104" i="1"/>
  <c r="BB104" i="1"/>
  <c r="BD104" i="1"/>
  <c r="BG104" i="1"/>
  <c r="BH104" i="1"/>
  <c r="BI104" i="1"/>
  <c r="BJ104" i="1"/>
  <c r="BL104" i="1"/>
  <c r="BM104" i="1"/>
  <c r="BN104" i="1"/>
  <c r="BO104" i="1"/>
  <c r="O105" i="1"/>
  <c r="V105" i="1"/>
  <c r="AA105" i="1"/>
  <c r="D105" i="1" s="1"/>
  <c r="G105" i="1" s="1"/>
  <c r="AB105" i="1"/>
  <c r="AF105" i="1"/>
  <c r="AI105" i="1"/>
  <c r="AJ105" i="1"/>
  <c r="AL105" i="1"/>
  <c r="AN105" i="1"/>
  <c r="AO105" i="1"/>
  <c r="AP105" i="1"/>
  <c r="AQ105" i="1"/>
  <c r="AS105" i="1"/>
  <c r="AT105" i="1"/>
  <c r="AU105" i="1"/>
  <c r="AV105" i="1"/>
  <c r="AW105" i="1"/>
  <c r="AX105" i="1"/>
  <c r="AZ105" i="1"/>
  <c r="BB105" i="1"/>
  <c r="BD105" i="1"/>
  <c r="BG105" i="1"/>
  <c r="BH105" i="1"/>
  <c r="BI105" i="1"/>
  <c r="BJ105" i="1"/>
  <c r="BL105" i="1"/>
  <c r="BM105" i="1"/>
  <c r="BN105" i="1"/>
  <c r="BO105" i="1"/>
  <c r="D106" i="1"/>
  <c r="G106" i="1" s="1"/>
  <c r="O106" i="1"/>
  <c r="V106" i="1"/>
  <c r="AA106" i="1"/>
  <c r="AB106" i="1"/>
  <c r="AF106" i="1"/>
  <c r="AL106" i="1" s="1"/>
  <c r="AI106" i="1"/>
  <c r="AJ106" i="1"/>
  <c r="AN106" i="1"/>
  <c r="AO106" i="1"/>
  <c r="AP106" i="1"/>
  <c r="AQ106" i="1"/>
  <c r="AS106" i="1"/>
  <c r="AT106" i="1"/>
  <c r="AU106" i="1"/>
  <c r="AV106" i="1"/>
  <c r="AW106" i="1"/>
  <c r="AX106" i="1"/>
  <c r="AZ106" i="1"/>
  <c r="BB106" i="1"/>
  <c r="BD106" i="1"/>
  <c r="BG106" i="1"/>
  <c r="BH106" i="1"/>
  <c r="BI106" i="1"/>
  <c r="BJ106" i="1"/>
  <c r="BL106" i="1"/>
  <c r="BM106" i="1"/>
  <c r="BN106" i="1"/>
  <c r="BO106" i="1"/>
  <c r="O107" i="1"/>
  <c r="V107" i="1"/>
  <c r="W107" i="1"/>
  <c r="AA107" i="1"/>
  <c r="D107" i="1" s="1"/>
  <c r="AB107" i="1"/>
  <c r="AF107" i="1"/>
  <c r="AL107" i="1" s="1"/>
  <c r="AI107" i="1"/>
  <c r="AJ107" i="1" s="1"/>
  <c r="AN107" i="1"/>
  <c r="AP107" i="1"/>
  <c r="AQ107" i="1"/>
  <c r="AS107" i="1"/>
  <c r="AT107" i="1"/>
  <c r="AU107" i="1"/>
  <c r="AV107" i="1"/>
  <c r="AW107" i="1"/>
  <c r="AX107" i="1"/>
  <c r="AZ107" i="1"/>
  <c r="BB107" i="1"/>
  <c r="BD107" i="1"/>
  <c r="BG107" i="1"/>
  <c r="BH107" i="1"/>
  <c r="BI107" i="1"/>
  <c r="BJ107" i="1"/>
  <c r="BL107" i="1"/>
  <c r="BM107" i="1"/>
  <c r="BN107" i="1"/>
  <c r="BO107" i="1"/>
  <c r="V108" i="1"/>
  <c r="W108" i="1"/>
  <c r="O108" i="1" s="1"/>
  <c r="AA108" i="1"/>
  <c r="D108" i="1" s="1"/>
  <c r="AB108" i="1"/>
  <c r="AF108" i="1"/>
  <c r="AI108" i="1"/>
  <c r="AJ108" i="1" s="1"/>
  <c r="AL108" i="1"/>
  <c r="AN108" i="1"/>
  <c r="AP108" i="1"/>
  <c r="AQ108" i="1"/>
  <c r="AS108" i="1"/>
  <c r="AT108" i="1"/>
  <c r="AU108" i="1"/>
  <c r="AV108" i="1"/>
  <c r="AW108" i="1"/>
  <c r="AX108" i="1"/>
  <c r="BB108" i="1"/>
  <c r="BD108" i="1"/>
  <c r="BG108" i="1"/>
  <c r="BH108" i="1"/>
  <c r="BI108" i="1"/>
  <c r="BJ108" i="1"/>
  <c r="BL108" i="1"/>
  <c r="BM108" i="1"/>
  <c r="BN108" i="1"/>
  <c r="BO108" i="1"/>
  <c r="V109" i="1"/>
  <c r="O109" i="1" s="1"/>
  <c r="AA109" i="1"/>
  <c r="D109" i="1" s="1"/>
  <c r="AI109" i="1"/>
  <c r="AJ109" i="1"/>
  <c r="AL109" i="1"/>
  <c r="AN109" i="1"/>
  <c r="AP109" i="1"/>
  <c r="AQ109" i="1"/>
  <c r="AS109" i="1"/>
  <c r="AT109" i="1"/>
  <c r="AU109" i="1"/>
  <c r="AV109" i="1"/>
  <c r="AW109" i="1"/>
  <c r="AX109" i="1"/>
  <c r="BB109" i="1"/>
  <c r="BD109" i="1"/>
  <c r="BG109" i="1"/>
  <c r="BH109" i="1"/>
  <c r="BI109" i="1"/>
  <c r="BJ109" i="1"/>
  <c r="BL109" i="1"/>
  <c r="BM109" i="1"/>
  <c r="BN109" i="1"/>
  <c r="BO109" i="1"/>
  <c r="O110" i="1"/>
  <c r="V110" i="1"/>
  <c r="W110" i="1"/>
  <c r="AA110" i="1"/>
  <c r="D110" i="1" s="1"/>
  <c r="AB110" i="1"/>
  <c r="AF110" i="1"/>
  <c r="AI110" i="1"/>
  <c r="AJ110" i="1" s="1"/>
  <c r="AL110" i="1"/>
  <c r="AN110" i="1"/>
  <c r="AP110" i="1"/>
  <c r="AQ110" i="1"/>
  <c r="AS110" i="1"/>
  <c r="AT110" i="1"/>
  <c r="AU110" i="1"/>
  <c r="AV110" i="1"/>
  <c r="AW110" i="1"/>
  <c r="AX110" i="1"/>
  <c r="AZ110" i="1"/>
  <c r="BB110" i="1"/>
  <c r="BD110" i="1"/>
  <c r="BG110" i="1"/>
  <c r="BH110" i="1"/>
  <c r="BI110" i="1"/>
  <c r="BJ110" i="1"/>
  <c r="BL110" i="1"/>
  <c r="BM110" i="1"/>
  <c r="BN110" i="1"/>
  <c r="BO110" i="1"/>
  <c r="V111" i="1"/>
  <c r="W111" i="1"/>
  <c r="O111" i="1" s="1"/>
  <c r="AA111" i="1"/>
  <c r="D111" i="1" s="1"/>
  <c r="AB111" i="1"/>
  <c r="AF111" i="1"/>
  <c r="AI111" i="1"/>
  <c r="AJ111" i="1" s="1"/>
  <c r="AL111" i="1"/>
  <c r="AN111" i="1"/>
  <c r="AP111" i="1"/>
  <c r="AQ111" i="1"/>
  <c r="AS111" i="1"/>
  <c r="AT111" i="1"/>
  <c r="AU111" i="1"/>
  <c r="AV111" i="1"/>
  <c r="AW111" i="1"/>
  <c r="AX111" i="1"/>
  <c r="BB111" i="1"/>
  <c r="BD111" i="1"/>
  <c r="BG111" i="1"/>
  <c r="BH111" i="1"/>
  <c r="BI111" i="1"/>
  <c r="BJ111" i="1"/>
  <c r="BL111" i="1"/>
  <c r="BM111" i="1"/>
  <c r="BN111" i="1"/>
  <c r="BO111" i="1"/>
  <c r="D112" i="1"/>
  <c r="AO112" i="1" s="1"/>
  <c r="G112" i="1"/>
  <c r="N112" i="1" s="1"/>
  <c r="O112" i="1"/>
  <c r="AI112" i="1"/>
  <c r="AJ112" i="1" s="1"/>
  <c r="AK112" i="1"/>
  <c r="AL112" i="1"/>
  <c r="AN112" i="1"/>
  <c r="AP112" i="1"/>
  <c r="AQ112" i="1"/>
  <c r="AS112" i="1"/>
  <c r="AT112" i="1"/>
  <c r="AU112" i="1"/>
  <c r="AV112" i="1"/>
  <c r="AW112" i="1"/>
  <c r="AX112" i="1"/>
  <c r="AZ112" i="1"/>
  <c r="BB112" i="1"/>
  <c r="BD112" i="1"/>
  <c r="BG112" i="1"/>
  <c r="BH112" i="1"/>
  <c r="BI112" i="1"/>
  <c r="BJ112" i="1"/>
  <c r="BL112" i="1"/>
  <c r="BM112" i="1"/>
  <c r="BN112" i="1"/>
  <c r="BO112" i="1"/>
  <c r="D113" i="1"/>
  <c r="G113" i="1"/>
  <c r="N113" i="1" s="1"/>
  <c r="AY113" i="1" s="1"/>
  <c r="V113" i="1"/>
  <c r="O113" i="1" s="1"/>
  <c r="W113" i="1"/>
  <c r="AA113" i="1"/>
  <c r="AB113" i="1"/>
  <c r="AF113" i="1"/>
  <c r="AL113" i="1" s="1"/>
  <c r="AI113" i="1"/>
  <c r="AJ113" i="1"/>
  <c r="AN113" i="1"/>
  <c r="AO113" i="1"/>
  <c r="AP113" i="1"/>
  <c r="AQ113" i="1"/>
  <c r="AS113" i="1"/>
  <c r="AT113" i="1"/>
  <c r="AU113" i="1"/>
  <c r="AV113" i="1"/>
  <c r="AW113" i="1"/>
  <c r="AX113" i="1"/>
  <c r="BB113" i="1"/>
  <c r="BG113" i="1"/>
  <c r="BH113" i="1"/>
  <c r="BI113" i="1"/>
  <c r="BJ113" i="1"/>
  <c r="BL113" i="1"/>
  <c r="BM113" i="1"/>
  <c r="BN113" i="1"/>
  <c r="BO113" i="1"/>
  <c r="D114" i="1"/>
  <c r="G114" i="1" s="1"/>
  <c r="V114" i="1"/>
  <c r="O114" i="1" s="1"/>
  <c r="W114" i="1"/>
  <c r="AA114" i="1"/>
  <c r="AB114" i="1"/>
  <c r="AF114" i="1"/>
  <c r="AL114" i="1" s="1"/>
  <c r="AI114" i="1"/>
  <c r="AJ114" i="1"/>
  <c r="AN114" i="1"/>
  <c r="AO114" i="1"/>
  <c r="AP114" i="1"/>
  <c r="AQ114" i="1"/>
  <c r="AS114" i="1"/>
  <c r="AT114" i="1"/>
  <c r="AU114" i="1"/>
  <c r="AV114" i="1"/>
  <c r="AW114" i="1"/>
  <c r="AX114" i="1"/>
  <c r="BB114" i="1"/>
  <c r="BD114" i="1"/>
  <c r="BG114" i="1"/>
  <c r="BH114" i="1"/>
  <c r="BI114" i="1"/>
  <c r="BJ114" i="1"/>
  <c r="BL114" i="1"/>
  <c r="BM114" i="1"/>
  <c r="BN114" i="1"/>
  <c r="BO114" i="1"/>
  <c r="I115" i="1"/>
  <c r="AI115" i="1" s="1"/>
  <c r="AJ115" i="1" s="1"/>
  <c r="V115" i="1"/>
  <c r="W115" i="1"/>
  <c r="O115" i="1" s="1"/>
  <c r="AA115" i="1"/>
  <c r="D115" i="1" s="1"/>
  <c r="AB115" i="1"/>
  <c r="AF115" i="1"/>
  <c r="AL115" i="1"/>
  <c r="AN115" i="1"/>
  <c r="AP115" i="1"/>
  <c r="AQ115" i="1"/>
  <c r="AS115" i="1"/>
  <c r="AT115" i="1"/>
  <c r="AU115" i="1"/>
  <c r="AV115" i="1"/>
  <c r="AW115" i="1"/>
  <c r="AX115" i="1"/>
  <c r="BB115" i="1"/>
  <c r="BD115" i="1"/>
  <c r="BG115" i="1"/>
  <c r="BH115" i="1"/>
  <c r="BI115" i="1"/>
  <c r="BJ115" i="1"/>
  <c r="BL115" i="1"/>
  <c r="BM115" i="1"/>
  <c r="BN115" i="1"/>
  <c r="BO115" i="1"/>
  <c r="D116" i="1"/>
  <c r="G116" i="1"/>
  <c r="N116" i="1" s="1"/>
  <c r="AY116" i="1" s="1"/>
  <c r="V116" i="1"/>
  <c r="O116" i="1" s="1"/>
  <c r="W116" i="1"/>
  <c r="BH116" i="1" s="1"/>
  <c r="AA116" i="1"/>
  <c r="AB116" i="1"/>
  <c r="AF116" i="1"/>
  <c r="AL116" i="1" s="1"/>
  <c r="AI116" i="1"/>
  <c r="AJ116" i="1"/>
  <c r="AN116" i="1"/>
  <c r="AO116" i="1"/>
  <c r="AP116" i="1"/>
  <c r="AQ116" i="1"/>
  <c r="AS116" i="1"/>
  <c r="AT116" i="1"/>
  <c r="AU116" i="1"/>
  <c r="AV116" i="1"/>
  <c r="AW116" i="1"/>
  <c r="AX116" i="1"/>
  <c r="BB116" i="1"/>
  <c r="BG116" i="1"/>
  <c r="BI116" i="1"/>
  <c r="BJ116" i="1"/>
  <c r="BL116" i="1"/>
  <c r="BM116" i="1"/>
  <c r="BN116" i="1"/>
  <c r="BO116" i="1"/>
  <c r="D117" i="1"/>
  <c r="G117" i="1" s="1"/>
  <c r="O117" i="1"/>
  <c r="AZ117" i="1" s="1"/>
  <c r="AI117" i="1"/>
  <c r="AJ117" i="1"/>
  <c r="AK117" i="1"/>
  <c r="AL117" i="1"/>
  <c r="AN117" i="1"/>
  <c r="AP117" i="1"/>
  <c r="AQ117" i="1"/>
  <c r="AS117" i="1"/>
  <c r="AT117" i="1"/>
  <c r="AU117" i="1"/>
  <c r="AV117" i="1"/>
  <c r="AW117" i="1"/>
  <c r="AX117" i="1"/>
  <c r="BB117" i="1"/>
  <c r="BD117" i="1"/>
  <c r="BG117" i="1"/>
  <c r="BH117" i="1"/>
  <c r="BI117" i="1"/>
  <c r="BJ117" i="1"/>
  <c r="BL117" i="1"/>
  <c r="BM117" i="1"/>
  <c r="BN117" i="1"/>
  <c r="BO117" i="1"/>
  <c r="D118" i="1"/>
  <c r="G118" i="1" s="1"/>
  <c r="O118" i="1"/>
  <c r="AZ118" i="1" s="1"/>
  <c r="AI118" i="1"/>
  <c r="AJ118" i="1"/>
  <c r="AK118" i="1"/>
  <c r="AL118" i="1"/>
  <c r="AN118" i="1"/>
  <c r="AP118" i="1"/>
  <c r="AQ118" i="1"/>
  <c r="AS118" i="1"/>
  <c r="AT118" i="1"/>
  <c r="AU118" i="1"/>
  <c r="AV118" i="1"/>
  <c r="AW118" i="1"/>
  <c r="AX118" i="1"/>
  <c r="BB118" i="1"/>
  <c r="BD118" i="1"/>
  <c r="BG118" i="1"/>
  <c r="BH118" i="1"/>
  <c r="BI118" i="1"/>
  <c r="BJ118" i="1"/>
  <c r="BL118" i="1"/>
  <c r="BM118" i="1"/>
  <c r="BN118" i="1"/>
  <c r="BO118" i="1"/>
  <c r="D119" i="1"/>
  <c r="G119" i="1" s="1"/>
  <c r="O119" i="1"/>
  <c r="AZ119" i="1" s="1"/>
  <c r="AI119" i="1"/>
  <c r="AJ119" i="1"/>
  <c r="AK119" i="1"/>
  <c r="AL119" i="1"/>
  <c r="AN119" i="1"/>
  <c r="AP119" i="1"/>
  <c r="AQ119" i="1"/>
  <c r="AS119" i="1"/>
  <c r="AT119" i="1"/>
  <c r="AU119" i="1"/>
  <c r="AV119" i="1"/>
  <c r="AW119" i="1"/>
  <c r="AX119" i="1"/>
  <c r="BB119" i="1"/>
  <c r="BD119" i="1"/>
  <c r="BG119" i="1"/>
  <c r="BH119" i="1"/>
  <c r="BI119" i="1"/>
  <c r="BJ119" i="1"/>
  <c r="BL119" i="1"/>
  <c r="BM119" i="1"/>
  <c r="BN119" i="1"/>
  <c r="BO119" i="1"/>
  <c r="D120" i="1"/>
  <c r="G120" i="1" s="1"/>
  <c r="V120" i="1"/>
  <c r="O120" i="1" s="1"/>
  <c r="W120" i="1"/>
  <c r="BH120" i="1" s="1"/>
  <c r="AA120" i="1"/>
  <c r="AB120" i="1"/>
  <c r="BM120" i="1" s="1"/>
  <c r="AF120" i="1"/>
  <c r="AL120" i="1" s="1"/>
  <c r="AI120" i="1"/>
  <c r="AJ120" i="1"/>
  <c r="AN120" i="1"/>
  <c r="AO120" i="1"/>
  <c r="AP120" i="1"/>
  <c r="AQ120" i="1"/>
  <c r="AS120" i="1"/>
  <c r="AT120" i="1"/>
  <c r="AU120" i="1"/>
  <c r="AV120" i="1"/>
  <c r="AW120" i="1"/>
  <c r="AX120" i="1"/>
  <c r="BB120" i="1"/>
  <c r="BG120" i="1"/>
  <c r="BI120" i="1"/>
  <c r="BJ120" i="1"/>
  <c r="BL120" i="1"/>
  <c r="BN120" i="1"/>
  <c r="BO120" i="1"/>
  <c r="D121" i="1"/>
  <c r="G121" i="1" s="1"/>
  <c r="O121" i="1"/>
  <c r="V121" i="1"/>
  <c r="AA121" i="1"/>
  <c r="AI121" i="1"/>
  <c r="AJ121" i="1" s="1"/>
  <c r="AL121" i="1"/>
  <c r="AN121" i="1"/>
  <c r="AP121" i="1"/>
  <c r="AQ121" i="1"/>
  <c r="AS121" i="1"/>
  <c r="AT121" i="1"/>
  <c r="AU121" i="1"/>
  <c r="AV121" i="1"/>
  <c r="AW121" i="1"/>
  <c r="AX121" i="1"/>
  <c r="BB121" i="1"/>
  <c r="BD121" i="1"/>
  <c r="BG121" i="1"/>
  <c r="BH121" i="1"/>
  <c r="BI121" i="1"/>
  <c r="BJ121" i="1"/>
  <c r="BL121" i="1"/>
  <c r="BM121" i="1"/>
  <c r="BN121" i="1"/>
  <c r="BO121" i="1"/>
  <c r="V122" i="1"/>
  <c r="O122" i="1" s="1"/>
  <c r="W122" i="1"/>
  <c r="AA122" i="1"/>
  <c r="D122" i="1" s="1"/>
  <c r="AB122" i="1"/>
  <c r="AF122" i="1"/>
  <c r="BD122" i="1" s="1"/>
  <c r="AI122" i="1"/>
  <c r="AJ122" i="1"/>
  <c r="AL122" i="1"/>
  <c r="AN122" i="1"/>
  <c r="AP122" i="1"/>
  <c r="AQ122" i="1"/>
  <c r="AS122" i="1"/>
  <c r="AT122" i="1"/>
  <c r="AU122" i="1"/>
  <c r="AV122" i="1"/>
  <c r="AW122" i="1"/>
  <c r="AX122" i="1"/>
  <c r="BB122" i="1"/>
  <c r="BG122" i="1"/>
  <c r="BH122" i="1"/>
  <c r="BI122" i="1"/>
  <c r="BJ122" i="1"/>
  <c r="BL122" i="1"/>
  <c r="BM122" i="1"/>
  <c r="BN122" i="1"/>
  <c r="BO122" i="1"/>
  <c r="D123" i="1"/>
  <c r="G123" i="1" s="1"/>
  <c r="V123" i="1"/>
  <c r="O123" i="1" s="1"/>
  <c r="AA123" i="1"/>
  <c r="AF123" i="1"/>
  <c r="AI123" i="1"/>
  <c r="AJ123" i="1" s="1"/>
  <c r="AL123" i="1"/>
  <c r="AN123" i="1"/>
  <c r="AP123" i="1"/>
  <c r="AQ123" i="1"/>
  <c r="AS123" i="1"/>
  <c r="AT123" i="1"/>
  <c r="AU123" i="1"/>
  <c r="AV123" i="1"/>
  <c r="AW123" i="1"/>
  <c r="AX123" i="1"/>
  <c r="BB123" i="1"/>
  <c r="BD123" i="1"/>
  <c r="BH123" i="1"/>
  <c r="BI123" i="1"/>
  <c r="BJ123" i="1"/>
  <c r="BL123" i="1"/>
  <c r="BM123" i="1"/>
  <c r="BN123" i="1"/>
  <c r="BO123" i="1"/>
  <c r="V124" i="1"/>
  <c r="O124" i="1" s="1"/>
  <c r="W124" i="1"/>
  <c r="AA124" i="1"/>
  <c r="D124" i="1" s="1"/>
  <c r="AB124" i="1"/>
  <c r="AI124" i="1"/>
  <c r="AJ124" i="1" s="1"/>
  <c r="AL124" i="1"/>
  <c r="AN124" i="1"/>
  <c r="AP124" i="1"/>
  <c r="AQ124" i="1"/>
  <c r="AS124" i="1"/>
  <c r="AT124" i="1"/>
  <c r="AU124" i="1"/>
  <c r="AV124" i="1"/>
  <c r="AW124" i="1"/>
  <c r="AX124" i="1"/>
  <c r="BB124" i="1"/>
  <c r="BD124" i="1"/>
  <c r="BG124" i="1"/>
  <c r="BH124" i="1"/>
  <c r="BI124" i="1"/>
  <c r="BJ124" i="1"/>
  <c r="BL124" i="1"/>
  <c r="BM124" i="1"/>
  <c r="BN124" i="1"/>
  <c r="BO124" i="1"/>
  <c r="V125" i="1"/>
  <c r="O125" i="1" s="1"/>
  <c r="AA125" i="1"/>
  <c r="D125" i="1" s="1"/>
  <c r="AI125" i="1"/>
  <c r="AJ125" i="1"/>
  <c r="AL125" i="1"/>
  <c r="AN125" i="1"/>
  <c r="AP125" i="1"/>
  <c r="AQ125" i="1"/>
  <c r="AS125" i="1"/>
  <c r="AT125" i="1"/>
  <c r="AU125" i="1"/>
  <c r="AV125" i="1"/>
  <c r="AW125" i="1"/>
  <c r="AX125" i="1"/>
  <c r="BB125" i="1"/>
  <c r="BD125" i="1"/>
  <c r="BG125" i="1"/>
  <c r="BH125" i="1"/>
  <c r="BI125" i="1"/>
  <c r="BJ125" i="1"/>
  <c r="BL125" i="1"/>
  <c r="BM125" i="1"/>
  <c r="BN125" i="1"/>
  <c r="BO125" i="1"/>
  <c r="D126" i="1"/>
  <c r="G126" i="1" s="1"/>
  <c r="O126" i="1"/>
  <c r="V126" i="1"/>
  <c r="AA126" i="1"/>
  <c r="AF126" i="1"/>
  <c r="BD126" i="1" s="1"/>
  <c r="AI126" i="1"/>
  <c r="AJ126" i="1"/>
  <c r="AK126" i="1"/>
  <c r="AL126" i="1"/>
  <c r="AN126" i="1"/>
  <c r="AP126" i="1"/>
  <c r="AQ126" i="1"/>
  <c r="AS126" i="1"/>
  <c r="AT126" i="1"/>
  <c r="AU126" i="1"/>
  <c r="AV126" i="1"/>
  <c r="AW126" i="1"/>
  <c r="AX126" i="1"/>
  <c r="BB126" i="1"/>
  <c r="BG126" i="1"/>
  <c r="BH126" i="1"/>
  <c r="BI126" i="1"/>
  <c r="BJ126" i="1"/>
  <c r="BL126" i="1"/>
  <c r="BM126" i="1"/>
  <c r="BN126" i="1"/>
  <c r="BO126" i="1"/>
  <c r="D127" i="1"/>
  <c r="G127" i="1" s="1"/>
  <c r="V127" i="1"/>
  <c r="BG127" i="1" s="1"/>
  <c r="W127" i="1"/>
  <c r="BH127" i="1" s="1"/>
  <c r="AA127" i="1"/>
  <c r="AB127" i="1"/>
  <c r="BM127" i="1" s="1"/>
  <c r="AF127" i="1"/>
  <c r="AL127" i="1" s="1"/>
  <c r="AI127" i="1"/>
  <c r="AJ127" i="1"/>
  <c r="AN127" i="1"/>
  <c r="AO127" i="1"/>
  <c r="AP127" i="1"/>
  <c r="AQ127" i="1"/>
  <c r="AS127" i="1"/>
  <c r="AT127" i="1"/>
  <c r="AU127" i="1"/>
  <c r="AV127" i="1"/>
  <c r="AW127" i="1"/>
  <c r="AX127" i="1"/>
  <c r="BB127" i="1"/>
  <c r="BI127" i="1"/>
  <c r="BJ127" i="1"/>
  <c r="BL127" i="1"/>
  <c r="BN127" i="1"/>
  <c r="BO127" i="1"/>
  <c r="D128" i="1"/>
  <c r="G128" i="1" s="1"/>
  <c r="O128" i="1"/>
  <c r="V128" i="1"/>
  <c r="W128" i="1"/>
  <c r="AB128" i="1"/>
  <c r="BM128" i="1" s="1"/>
  <c r="AF128" i="1"/>
  <c r="AL128" i="1" s="1"/>
  <c r="AI128" i="1"/>
  <c r="AJ128" i="1"/>
  <c r="AN128" i="1"/>
  <c r="AO128" i="1"/>
  <c r="AP128" i="1"/>
  <c r="AQ128" i="1"/>
  <c r="AS128" i="1"/>
  <c r="AT128" i="1"/>
  <c r="AU128" i="1"/>
  <c r="AV128" i="1"/>
  <c r="AW128" i="1"/>
  <c r="AX128" i="1"/>
  <c r="BB128" i="1"/>
  <c r="BG128" i="1"/>
  <c r="BH128" i="1"/>
  <c r="BI128" i="1"/>
  <c r="BJ128" i="1"/>
  <c r="BL128" i="1"/>
  <c r="BN128" i="1"/>
  <c r="BO128" i="1"/>
  <c r="D129" i="1"/>
  <c r="G129" i="1" s="1"/>
  <c r="O129" i="1"/>
  <c r="V129" i="1"/>
  <c r="BG129" i="1" s="1"/>
  <c r="AF129" i="1"/>
  <c r="AI129" i="1"/>
  <c r="AJ129" i="1" s="1"/>
  <c r="AL129" i="1"/>
  <c r="AN129" i="1"/>
  <c r="AP129" i="1"/>
  <c r="AQ129" i="1"/>
  <c r="AS129" i="1"/>
  <c r="AT129" i="1"/>
  <c r="AU129" i="1"/>
  <c r="AV129" i="1"/>
  <c r="AW129" i="1"/>
  <c r="AX129" i="1"/>
  <c r="BB129" i="1"/>
  <c r="BD129" i="1"/>
  <c r="BH129" i="1"/>
  <c r="BI129" i="1"/>
  <c r="BJ129" i="1"/>
  <c r="BL129" i="1"/>
  <c r="BM129" i="1"/>
  <c r="BN129" i="1"/>
  <c r="BO129" i="1"/>
  <c r="D130" i="1"/>
  <c r="AO130" i="1" s="1"/>
  <c r="G130" i="1"/>
  <c r="N130" i="1" s="1"/>
  <c r="O130" i="1"/>
  <c r="AI130" i="1"/>
  <c r="AJ130" i="1" s="1"/>
  <c r="AK130" i="1"/>
  <c r="AL130" i="1"/>
  <c r="AN130" i="1"/>
  <c r="AP130" i="1"/>
  <c r="AQ130" i="1"/>
  <c r="AS130" i="1"/>
  <c r="AT130" i="1"/>
  <c r="AU130" i="1"/>
  <c r="AV130" i="1"/>
  <c r="AW130" i="1"/>
  <c r="AX130" i="1"/>
  <c r="AZ130" i="1"/>
  <c r="BB130" i="1"/>
  <c r="BD130" i="1"/>
  <c r="BG130" i="1"/>
  <c r="BH130" i="1"/>
  <c r="BI130" i="1"/>
  <c r="BJ130" i="1"/>
  <c r="BL130" i="1"/>
  <c r="BM130" i="1"/>
  <c r="BN130" i="1"/>
  <c r="BO130" i="1"/>
  <c r="D131" i="1"/>
  <c r="AO131" i="1" s="1"/>
  <c r="G131" i="1"/>
  <c r="N131" i="1" s="1"/>
  <c r="O131" i="1"/>
  <c r="AI131" i="1"/>
  <c r="AJ131" i="1" s="1"/>
  <c r="AK131" i="1"/>
  <c r="AL131" i="1"/>
  <c r="AN131" i="1"/>
  <c r="AP131" i="1"/>
  <c r="AQ131" i="1"/>
  <c r="AS131" i="1"/>
  <c r="AT131" i="1"/>
  <c r="AU131" i="1"/>
  <c r="AV131" i="1"/>
  <c r="AW131" i="1"/>
  <c r="AX131" i="1"/>
  <c r="AZ131" i="1"/>
  <c r="BB131" i="1"/>
  <c r="BD131" i="1"/>
  <c r="BG131" i="1"/>
  <c r="BH131" i="1"/>
  <c r="BI131" i="1"/>
  <c r="BJ131" i="1"/>
  <c r="BL131" i="1"/>
  <c r="BM131" i="1"/>
  <c r="BN131" i="1"/>
  <c r="BO131" i="1"/>
  <c r="D132" i="1"/>
  <c r="AO132" i="1" s="1"/>
  <c r="G132" i="1"/>
  <c r="N132" i="1" s="1"/>
  <c r="O132" i="1"/>
  <c r="AI132" i="1"/>
  <c r="AJ132" i="1" s="1"/>
  <c r="AK132" i="1"/>
  <c r="AL132" i="1"/>
  <c r="AN132" i="1"/>
  <c r="AP132" i="1"/>
  <c r="AQ132" i="1"/>
  <c r="AS132" i="1"/>
  <c r="AT132" i="1"/>
  <c r="AU132" i="1"/>
  <c r="AV132" i="1"/>
  <c r="AW132" i="1"/>
  <c r="AX132" i="1"/>
  <c r="AZ132" i="1"/>
  <c r="BB132" i="1"/>
  <c r="BD132" i="1"/>
  <c r="BG132" i="1"/>
  <c r="BH132" i="1"/>
  <c r="BI132" i="1"/>
  <c r="BJ132" i="1"/>
  <c r="BL132" i="1"/>
  <c r="BM132" i="1"/>
  <c r="BN132" i="1"/>
  <c r="BO132" i="1"/>
  <c r="D133" i="1"/>
  <c r="AO133" i="1" s="1"/>
  <c r="G133" i="1"/>
  <c r="N133" i="1" s="1"/>
  <c r="P133" i="1" s="1"/>
  <c r="O133" i="1"/>
  <c r="AI133" i="1"/>
  <c r="AJ133" i="1" s="1"/>
  <c r="AK133" i="1"/>
  <c r="AL133" i="1"/>
  <c r="AN133" i="1"/>
  <c r="AP133" i="1"/>
  <c r="AQ133" i="1"/>
  <c r="AS133" i="1"/>
  <c r="AT133" i="1"/>
  <c r="AU133" i="1"/>
  <c r="AV133" i="1"/>
  <c r="AW133" i="1"/>
  <c r="AX133" i="1"/>
  <c r="AZ133" i="1"/>
  <c r="BB133" i="1"/>
  <c r="BD133" i="1"/>
  <c r="BG133" i="1"/>
  <c r="BH133" i="1"/>
  <c r="BI133" i="1"/>
  <c r="BJ133" i="1"/>
  <c r="BL133" i="1"/>
  <c r="BM133" i="1"/>
  <c r="BN133" i="1"/>
  <c r="BO133" i="1"/>
  <c r="D134" i="1"/>
  <c r="AO134" i="1" s="1"/>
  <c r="G134" i="1"/>
  <c r="O134" i="1"/>
  <c r="AI134" i="1"/>
  <c r="AJ134" i="1" s="1"/>
  <c r="AK134" i="1"/>
  <c r="AL134" i="1"/>
  <c r="AN134" i="1"/>
  <c r="AP134" i="1"/>
  <c r="AQ134" i="1"/>
  <c r="AS134" i="1"/>
  <c r="AT134" i="1"/>
  <c r="AU134" i="1"/>
  <c r="AV134" i="1"/>
  <c r="AW134" i="1"/>
  <c r="AX134" i="1"/>
  <c r="AZ134" i="1"/>
  <c r="BB134" i="1"/>
  <c r="BD134" i="1"/>
  <c r="BG134" i="1"/>
  <c r="BH134" i="1"/>
  <c r="BI134" i="1"/>
  <c r="BJ134" i="1"/>
  <c r="BL134" i="1"/>
  <c r="BM134" i="1"/>
  <c r="BN134" i="1"/>
  <c r="BO134" i="1"/>
  <c r="D135" i="1"/>
  <c r="AO135" i="1" s="1"/>
  <c r="G135" i="1"/>
  <c r="AG135" i="1" s="1"/>
  <c r="N135" i="1"/>
  <c r="P135" i="1" s="1"/>
  <c r="O135" i="1"/>
  <c r="AH135" i="1"/>
  <c r="AI135" i="1"/>
  <c r="AJ135" i="1" s="1"/>
  <c r="AK135" i="1"/>
  <c r="AL135" i="1"/>
  <c r="AN135" i="1"/>
  <c r="AP135" i="1"/>
  <c r="AQ135" i="1"/>
  <c r="AR135" i="1"/>
  <c r="AS135" i="1"/>
  <c r="AT135" i="1"/>
  <c r="AU135" i="1"/>
  <c r="AV135" i="1"/>
  <c r="AW135" i="1"/>
  <c r="AX135" i="1"/>
  <c r="AY135" i="1"/>
  <c r="AZ135" i="1"/>
  <c r="BB135" i="1"/>
  <c r="BD135" i="1"/>
  <c r="BG135" i="1"/>
  <c r="BH135" i="1"/>
  <c r="BI135" i="1"/>
  <c r="BJ135" i="1"/>
  <c r="BL135" i="1"/>
  <c r="BM135" i="1"/>
  <c r="BN135" i="1"/>
  <c r="BO135" i="1"/>
  <c r="D136" i="1"/>
  <c r="AO136" i="1" s="1"/>
  <c r="G136" i="1"/>
  <c r="N136" i="1"/>
  <c r="P136" i="1" s="1"/>
  <c r="O136" i="1"/>
  <c r="AG136" i="1"/>
  <c r="AH136" i="1" s="1"/>
  <c r="AI136" i="1"/>
  <c r="AJ136" i="1" s="1"/>
  <c r="AK136" i="1"/>
  <c r="AL136" i="1"/>
  <c r="AN136" i="1"/>
  <c r="AP136" i="1"/>
  <c r="AQ136" i="1"/>
  <c r="AR136" i="1"/>
  <c r="AS136" i="1"/>
  <c r="AT136" i="1"/>
  <c r="AU136" i="1"/>
  <c r="AV136" i="1"/>
  <c r="AW136" i="1"/>
  <c r="AX136" i="1"/>
  <c r="AY136" i="1"/>
  <c r="AZ136" i="1"/>
  <c r="BB136" i="1"/>
  <c r="BD136" i="1"/>
  <c r="BG136" i="1"/>
  <c r="BH136" i="1"/>
  <c r="BI136" i="1"/>
  <c r="BJ136" i="1"/>
  <c r="BL136" i="1"/>
  <c r="BM136" i="1"/>
  <c r="BN136" i="1"/>
  <c r="BO136" i="1"/>
  <c r="D137" i="1"/>
  <c r="G137" i="1"/>
  <c r="AG137" i="1" s="1"/>
  <c r="AH137" i="1" s="1"/>
  <c r="N137" i="1"/>
  <c r="O137" i="1"/>
  <c r="P137" i="1" s="1"/>
  <c r="AI137" i="1"/>
  <c r="AJ137" i="1" s="1"/>
  <c r="AL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B137" i="1"/>
  <c r="BD137" i="1"/>
  <c r="BG137" i="1"/>
  <c r="BH137" i="1"/>
  <c r="BI137" i="1"/>
  <c r="BJ137" i="1"/>
  <c r="BL137" i="1"/>
  <c r="BM137" i="1"/>
  <c r="BN137" i="1"/>
  <c r="BO137" i="1"/>
  <c r="D138" i="1"/>
  <c r="G138" i="1"/>
  <c r="AG138" i="1" s="1"/>
  <c r="AH138" i="1" s="1"/>
  <c r="N138" i="1"/>
  <c r="O138" i="1"/>
  <c r="P138" i="1" s="1"/>
  <c r="AI138" i="1"/>
  <c r="AJ138" i="1" s="1"/>
  <c r="AL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B138" i="1"/>
  <c r="BD138" i="1"/>
  <c r="BG138" i="1"/>
  <c r="BH138" i="1"/>
  <c r="BI138" i="1"/>
  <c r="BJ138" i="1"/>
  <c r="BL138" i="1"/>
  <c r="BM138" i="1"/>
  <c r="BN138" i="1"/>
  <c r="BO138" i="1"/>
  <c r="D139" i="1"/>
  <c r="G139" i="1"/>
  <c r="AG139" i="1" s="1"/>
  <c r="AH139" i="1" s="1"/>
  <c r="N139" i="1"/>
  <c r="O139" i="1"/>
  <c r="P139" i="1" s="1"/>
  <c r="AI139" i="1"/>
  <c r="AJ139" i="1" s="1"/>
  <c r="AL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B139" i="1"/>
  <c r="BD139" i="1"/>
  <c r="BG139" i="1"/>
  <c r="BH139" i="1"/>
  <c r="BI139" i="1"/>
  <c r="BJ139" i="1"/>
  <c r="BL139" i="1"/>
  <c r="BM139" i="1"/>
  <c r="BN139" i="1"/>
  <c r="BO139" i="1"/>
  <c r="D140" i="1"/>
  <c r="G140" i="1"/>
  <c r="AG140" i="1" s="1"/>
  <c r="AH140" i="1" s="1"/>
  <c r="N140" i="1"/>
  <c r="O140" i="1"/>
  <c r="P140" i="1" s="1"/>
  <c r="AI140" i="1"/>
  <c r="AJ140" i="1" s="1"/>
  <c r="AL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B140" i="1"/>
  <c r="BD140" i="1"/>
  <c r="BG140" i="1"/>
  <c r="BH140" i="1"/>
  <c r="BI140" i="1"/>
  <c r="BJ140" i="1"/>
  <c r="BL140" i="1"/>
  <c r="BM140" i="1"/>
  <c r="BN140" i="1"/>
  <c r="BO140" i="1"/>
  <c r="D141" i="1"/>
  <c r="G141" i="1"/>
  <c r="N141" i="1" s="1"/>
  <c r="AY141" i="1" s="1"/>
  <c r="O141" i="1"/>
  <c r="P141" i="1" s="1"/>
  <c r="AI141" i="1"/>
  <c r="AJ141" i="1" s="1"/>
  <c r="AL141" i="1"/>
  <c r="AN141" i="1"/>
  <c r="AO141" i="1"/>
  <c r="AP141" i="1"/>
  <c r="AQ141" i="1"/>
  <c r="AR141" i="1"/>
  <c r="AS141" i="1"/>
  <c r="AT141" i="1"/>
  <c r="AU141" i="1"/>
  <c r="AV141" i="1"/>
  <c r="AW141" i="1"/>
  <c r="AX141" i="1"/>
  <c r="AZ141" i="1"/>
  <c r="BB141" i="1"/>
  <c r="BD141" i="1"/>
  <c r="BG141" i="1"/>
  <c r="BH141" i="1"/>
  <c r="BI141" i="1"/>
  <c r="BJ141" i="1"/>
  <c r="BL141" i="1"/>
  <c r="BM141" i="1"/>
  <c r="BN141" i="1"/>
  <c r="BO141" i="1"/>
  <c r="D142" i="1"/>
  <c r="G142" i="1"/>
  <c r="AG142" i="1" s="1"/>
  <c r="AH142" i="1" s="1"/>
  <c r="N142" i="1"/>
  <c r="O142" i="1"/>
  <c r="P142" i="1" s="1"/>
  <c r="AI142" i="1"/>
  <c r="AJ142" i="1" s="1"/>
  <c r="AL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B142" i="1"/>
  <c r="BD142" i="1"/>
  <c r="BG142" i="1"/>
  <c r="BH142" i="1"/>
  <c r="BI142" i="1"/>
  <c r="BJ142" i="1"/>
  <c r="BL142" i="1"/>
  <c r="BM142" i="1"/>
  <c r="BN142" i="1"/>
  <c r="BO142" i="1"/>
  <c r="D143" i="1"/>
  <c r="G143" i="1"/>
  <c r="N143" i="1" s="1"/>
  <c r="AY143" i="1" s="1"/>
  <c r="O143" i="1"/>
  <c r="AI143" i="1"/>
  <c r="AJ143" i="1" s="1"/>
  <c r="AL143" i="1"/>
  <c r="AN143" i="1"/>
  <c r="AO143" i="1"/>
  <c r="AP143" i="1"/>
  <c r="AQ143" i="1"/>
  <c r="AS143" i="1"/>
  <c r="AT143" i="1"/>
  <c r="AU143" i="1"/>
  <c r="AV143" i="1"/>
  <c r="AW143" i="1"/>
  <c r="AX143" i="1"/>
  <c r="AZ143" i="1"/>
  <c r="BB143" i="1"/>
  <c r="BD143" i="1"/>
  <c r="BG143" i="1"/>
  <c r="BH143" i="1"/>
  <c r="BI143" i="1"/>
  <c r="BJ143" i="1"/>
  <c r="BL143" i="1"/>
  <c r="BM143" i="1"/>
  <c r="BN143" i="1"/>
  <c r="BO143" i="1"/>
  <c r="D144" i="1"/>
  <c r="G144" i="1"/>
  <c r="N144" i="1" s="1"/>
  <c r="AY144" i="1" s="1"/>
  <c r="O144" i="1"/>
  <c r="AI144" i="1"/>
  <c r="AJ144" i="1" s="1"/>
  <c r="AL144" i="1"/>
  <c r="AN144" i="1"/>
  <c r="AO144" i="1"/>
  <c r="AP144" i="1"/>
  <c r="AQ144" i="1"/>
  <c r="AS144" i="1"/>
  <c r="AT144" i="1"/>
  <c r="AU144" i="1"/>
  <c r="AV144" i="1"/>
  <c r="AW144" i="1"/>
  <c r="AX144" i="1"/>
  <c r="AZ144" i="1"/>
  <c r="BB144" i="1"/>
  <c r="BD144" i="1"/>
  <c r="BG144" i="1"/>
  <c r="BH144" i="1"/>
  <c r="BI144" i="1"/>
  <c r="BJ144" i="1"/>
  <c r="BL144" i="1"/>
  <c r="BM144" i="1"/>
  <c r="BN144" i="1"/>
  <c r="BO144" i="1"/>
  <c r="D145" i="1"/>
  <c r="G145" i="1"/>
  <c r="N145" i="1" s="1"/>
  <c r="AY145" i="1" s="1"/>
  <c r="O145" i="1"/>
  <c r="AI145" i="1"/>
  <c r="AJ145" i="1" s="1"/>
  <c r="AL145" i="1"/>
  <c r="AN145" i="1"/>
  <c r="AO145" i="1"/>
  <c r="AP145" i="1"/>
  <c r="AQ145" i="1"/>
  <c r="AS145" i="1"/>
  <c r="AT145" i="1"/>
  <c r="AU145" i="1"/>
  <c r="AV145" i="1"/>
  <c r="AW145" i="1"/>
  <c r="AX145" i="1"/>
  <c r="AZ145" i="1"/>
  <c r="BB145" i="1"/>
  <c r="BD145" i="1"/>
  <c r="BG145" i="1"/>
  <c r="BH145" i="1"/>
  <c r="BI145" i="1"/>
  <c r="BJ145" i="1"/>
  <c r="BL145" i="1"/>
  <c r="BM145" i="1"/>
  <c r="BN145" i="1"/>
  <c r="BO145" i="1"/>
  <c r="D146" i="1"/>
  <c r="G146" i="1"/>
  <c r="N146" i="1" s="1"/>
  <c r="AY146" i="1" s="1"/>
  <c r="O146" i="1"/>
  <c r="AI146" i="1"/>
  <c r="AJ146" i="1" s="1"/>
  <c r="AL146" i="1"/>
  <c r="AN146" i="1"/>
  <c r="AO146" i="1"/>
  <c r="AP146" i="1"/>
  <c r="AQ146" i="1"/>
  <c r="AS146" i="1"/>
  <c r="AT146" i="1"/>
  <c r="AU146" i="1"/>
  <c r="AV146" i="1"/>
  <c r="AW146" i="1"/>
  <c r="AX146" i="1"/>
  <c r="AZ146" i="1"/>
  <c r="BB146" i="1"/>
  <c r="BD146" i="1"/>
  <c r="BG146" i="1"/>
  <c r="BH146" i="1"/>
  <c r="BI146" i="1"/>
  <c r="BJ146" i="1"/>
  <c r="BL146" i="1"/>
  <c r="BM146" i="1"/>
  <c r="BN146" i="1"/>
  <c r="BO146" i="1"/>
  <c r="D147" i="1"/>
  <c r="G147" i="1"/>
  <c r="N147" i="1" s="1"/>
  <c r="AY147" i="1" s="1"/>
  <c r="O147" i="1"/>
  <c r="AI147" i="1"/>
  <c r="AJ147" i="1" s="1"/>
  <c r="AL147" i="1"/>
  <c r="AN147" i="1"/>
  <c r="AO147" i="1"/>
  <c r="AP147" i="1"/>
  <c r="AQ147" i="1"/>
  <c r="AS147" i="1"/>
  <c r="AT147" i="1"/>
  <c r="AU147" i="1"/>
  <c r="AV147" i="1"/>
  <c r="AW147" i="1"/>
  <c r="AX147" i="1"/>
  <c r="AZ147" i="1"/>
  <c r="BB147" i="1"/>
  <c r="BD147" i="1"/>
  <c r="BG147" i="1"/>
  <c r="BH147" i="1"/>
  <c r="BI147" i="1"/>
  <c r="BJ147" i="1"/>
  <c r="BL147" i="1"/>
  <c r="BM147" i="1"/>
  <c r="BN147" i="1"/>
  <c r="BO147" i="1"/>
  <c r="D148" i="1"/>
  <c r="G148" i="1"/>
  <c r="N148" i="1" s="1"/>
  <c r="AY148" i="1" s="1"/>
  <c r="O148" i="1"/>
  <c r="AI148" i="1"/>
  <c r="AJ148" i="1" s="1"/>
  <c r="AL148" i="1"/>
  <c r="AN148" i="1"/>
  <c r="AO148" i="1"/>
  <c r="AP148" i="1"/>
  <c r="AQ148" i="1"/>
  <c r="AS148" i="1"/>
  <c r="AT148" i="1"/>
  <c r="AU148" i="1"/>
  <c r="AV148" i="1"/>
  <c r="AW148" i="1"/>
  <c r="AX148" i="1"/>
  <c r="AZ148" i="1"/>
  <c r="BB148" i="1"/>
  <c r="BD148" i="1"/>
  <c r="BG148" i="1"/>
  <c r="BH148" i="1"/>
  <c r="BI148" i="1"/>
  <c r="BJ148" i="1"/>
  <c r="BL148" i="1"/>
  <c r="BM148" i="1"/>
  <c r="BN148" i="1"/>
  <c r="BO148" i="1"/>
  <c r="D149" i="1"/>
  <c r="G149" i="1"/>
  <c r="N149" i="1" s="1"/>
  <c r="AY149" i="1" s="1"/>
  <c r="O149" i="1"/>
  <c r="AI149" i="1"/>
  <c r="AJ149" i="1" s="1"/>
  <c r="AL149" i="1"/>
  <c r="AN149" i="1"/>
  <c r="AO149" i="1"/>
  <c r="AP149" i="1"/>
  <c r="AQ149" i="1"/>
  <c r="AS149" i="1"/>
  <c r="AT149" i="1"/>
  <c r="AU149" i="1"/>
  <c r="AV149" i="1"/>
  <c r="AW149" i="1"/>
  <c r="AX149" i="1"/>
  <c r="AZ149" i="1"/>
  <c r="BB149" i="1"/>
  <c r="BD149" i="1"/>
  <c r="BG149" i="1"/>
  <c r="BH149" i="1"/>
  <c r="BI149" i="1"/>
  <c r="BJ149" i="1"/>
  <c r="BL149" i="1"/>
  <c r="BM149" i="1"/>
  <c r="BN149" i="1"/>
  <c r="BO149" i="1"/>
  <c r="D150" i="1"/>
  <c r="G150" i="1"/>
  <c r="N150" i="1" s="1"/>
  <c r="AY150" i="1" s="1"/>
  <c r="O150" i="1"/>
  <c r="AI150" i="1"/>
  <c r="AJ150" i="1" s="1"/>
  <c r="AL150" i="1"/>
  <c r="AN150" i="1"/>
  <c r="AO150" i="1"/>
  <c r="AP150" i="1"/>
  <c r="AQ150" i="1"/>
  <c r="AS150" i="1"/>
  <c r="AT150" i="1"/>
  <c r="AU150" i="1"/>
  <c r="AV150" i="1"/>
  <c r="AW150" i="1"/>
  <c r="AX150" i="1"/>
  <c r="AZ150" i="1"/>
  <c r="BB150" i="1"/>
  <c r="BD150" i="1"/>
  <c r="BG150" i="1"/>
  <c r="BH150" i="1"/>
  <c r="BI150" i="1"/>
  <c r="BJ150" i="1"/>
  <c r="BL150" i="1"/>
  <c r="BM150" i="1"/>
  <c r="BN150" i="1"/>
  <c r="BO150" i="1"/>
  <c r="D151" i="1"/>
  <c r="G151" i="1"/>
  <c r="N151" i="1" s="1"/>
  <c r="AY151" i="1" s="1"/>
  <c r="O151" i="1"/>
  <c r="AI151" i="1"/>
  <c r="AJ151" i="1" s="1"/>
  <c r="AL151" i="1"/>
  <c r="AN151" i="1"/>
  <c r="AO151" i="1"/>
  <c r="AP151" i="1"/>
  <c r="AQ151" i="1"/>
  <c r="AS151" i="1"/>
  <c r="AT151" i="1"/>
  <c r="AU151" i="1"/>
  <c r="AV151" i="1"/>
  <c r="AW151" i="1"/>
  <c r="AX151" i="1"/>
  <c r="AZ151" i="1"/>
  <c r="BB151" i="1"/>
  <c r="BD151" i="1"/>
  <c r="BG151" i="1"/>
  <c r="BH151" i="1"/>
  <c r="BI151" i="1"/>
  <c r="BJ151" i="1"/>
  <c r="BL151" i="1"/>
  <c r="BM151" i="1"/>
  <c r="BN151" i="1"/>
  <c r="BO151" i="1"/>
  <c r="D152" i="1"/>
  <c r="G152" i="1"/>
  <c r="N152" i="1" s="1"/>
  <c r="AY152" i="1" s="1"/>
  <c r="O152" i="1"/>
  <c r="AI152" i="1"/>
  <c r="AJ152" i="1" s="1"/>
  <c r="AL152" i="1"/>
  <c r="AN152" i="1"/>
  <c r="AO152" i="1"/>
  <c r="AP152" i="1"/>
  <c r="AQ152" i="1"/>
  <c r="AS152" i="1"/>
  <c r="AT152" i="1"/>
  <c r="AU152" i="1"/>
  <c r="AV152" i="1"/>
  <c r="AW152" i="1"/>
  <c r="AX152" i="1"/>
  <c r="AZ152" i="1"/>
  <c r="BB152" i="1"/>
  <c r="BD152" i="1"/>
  <c r="BG152" i="1"/>
  <c r="BH152" i="1"/>
  <c r="BI152" i="1"/>
  <c r="BJ152" i="1"/>
  <c r="BL152" i="1"/>
  <c r="BM152" i="1"/>
  <c r="BN152" i="1"/>
  <c r="BO152" i="1"/>
  <c r="D153" i="1"/>
  <c r="G153" i="1"/>
  <c r="N153" i="1" s="1"/>
  <c r="AY153" i="1" s="1"/>
  <c r="O153" i="1"/>
  <c r="AI153" i="1"/>
  <c r="AJ153" i="1" s="1"/>
  <c r="AL153" i="1"/>
  <c r="AN153" i="1"/>
  <c r="AO153" i="1"/>
  <c r="AP153" i="1"/>
  <c r="AQ153" i="1"/>
  <c r="AS153" i="1"/>
  <c r="AT153" i="1"/>
  <c r="AU153" i="1"/>
  <c r="AV153" i="1"/>
  <c r="AW153" i="1"/>
  <c r="AX153" i="1"/>
  <c r="AZ153" i="1"/>
  <c r="BB153" i="1"/>
  <c r="BD153" i="1"/>
  <c r="BG153" i="1"/>
  <c r="BH153" i="1"/>
  <c r="BI153" i="1"/>
  <c r="BJ153" i="1"/>
  <c r="BL153" i="1"/>
  <c r="BM153" i="1"/>
  <c r="BN153" i="1"/>
  <c r="BO153" i="1"/>
  <c r="D154" i="1"/>
  <c r="G154" i="1"/>
  <c r="N154" i="1" s="1"/>
  <c r="AY154" i="1" s="1"/>
  <c r="O154" i="1"/>
  <c r="AI154" i="1"/>
  <c r="AJ154" i="1" s="1"/>
  <c r="AL154" i="1"/>
  <c r="AN154" i="1"/>
  <c r="AO154" i="1"/>
  <c r="AP154" i="1"/>
  <c r="AQ154" i="1"/>
  <c r="AS154" i="1"/>
  <c r="AT154" i="1"/>
  <c r="AU154" i="1"/>
  <c r="AV154" i="1"/>
  <c r="AW154" i="1"/>
  <c r="AX154" i="1"/>
  <c r="AZ154" i="1"/>
  <c r="BB154" i="1"/>
  <c r="BD154" i="1"/>
  <c r="BG154" i="1"/>
  <c r="BH154" i="1"/>
  <c r="BI154" i="1"/>
  <c r="BJ154" i="1"/>
  <c r="BL154" i="1"/>
  <c r="BM154" i="1"/>
  <c r="BN154" i="1"/>
  <c r="BO154" i="1"/>
  <c r="D155" i="1"/>
  <c r="G155" i="1"/>
  <c r="N155" i="1" s="1"/>
  <c r="AY155" i="1" s="1"/>
  <c r="O155" i="1"/>
  <c r="AI155" i="1"/>
  <c r="AJ155" i="1" s="1"/>
  <c r="AL155" i="1"/>
  <c r="AN155" i="1"/>
  <c r="AO155" i="1"/>
  <c r="AP155" i="1"/>
  <c r="AQ155" i="1"/>
  <c r="AS155" i="1"/>
  <c r="AT155" i="1"/>
  <c r="AU155" i="1"/>
  <c r="AV155" i="1"/>
  <c r="AW155" i="1"/>
  <c r="AX155" i="1"/>
  <c r="AZ155" i="1"/>
  <c r="BB155" i="1"/>
  <c r="BD155" i="1"/>
  <c r="BG155" i="1"/>
  <c r="BH155" i="1"/>
  <c r="BI155" i="1"/>
  <c r="BJ155" i="1"/>
  <c r="BL155" i="1"/>
  <c r="BM155" i="1"/>
  <c r="BN155" i="1"/>
  <c r="BO155" i="1"/>
  <c r="D156" i="1"/>
  <c r="G156" i="1"/>
  <c r="N156" i="1" s="1"/>
  <c r="AY156" i="1" s="1"/>
  <c r="O156" i="1"/>
  <c r="AI156" i="1"/>
  <c r="AJ156" i="1" s="1"/>
  <c r="AL156" i="1"/>
  <c r="AN156" i="1"/>
  <c r="AO156" i="1"/>
  <c r="AP156" i="1"/>
  <c r="AQ156" i="1"/>
  <c r="AS156" i="1"/>
  <c r="AT156" i="1"/>
  <c r="AU156" i="1"/>
  <c r="AV156" i="1"/>
  <c r="AW156" i="1"/>
  <c r="AX156" i="1"/>
  <c r="AZ156" i="1"/>
  <c r="BB156" i="1"/>
  <c r="BD156" i="1"/>
  <c r="BG156" i="1"/>
  <c r="BH156" i="1"/>
  <c r="BI156" i="1"/>
  <c r="BJ156" i="1"/>
  <c r="BL156" i="1"/>
  <c r="BM156" i="1"/>
  <c r="BN156" i="1"/>
  <c r="BO156" i="1"/>
  <c r="D157" i="1"/>
  <c r="G157" i="1"/>
  <c r="N157" i="1" s="1"/>
  <c r="AY157" i="1" s="1"/>
  <c r="O157" i="1"/>
  <c r="AI157" i="1"/>
  <c r="AJ157" i="1" s="1"/>
  <c r="AL157" i="1"/>
  <c r="AN157" i="1"/>
  <c r="AO157" i="1"/>
  <c r="AP157" i="1"/>
  <c r="AQ157" i="1"/>
  <c r="AS157" i="1"/>
  <c r="AT157" i="1"/>
  <c r="AU157" i="1"/>
  <c r="AV157" i="1"/>
  <c r="AW157" i="1"/>
  <c r="AX157" i="1"/>
  <c r="AZ157" i="1"/>
  <c r="BB157" i="1"/>
  <c r="BD157" i="1"/>
  <c r="BG157" i="1"/>
  <c r="BH157" i="1"/>
  <c r="BI157" i="1"/>
  <c r="BJ157" i="1"/>
  <c r="BL157" i="1"/>
  <c r="BM157" i="1"/>
  <c r="BN157" i="1"/>
  <c r="BO157" i="1"/>
  <c r="D158" i="1"/>
  <c r="G158" i="1"/>
  <c r="N158" i="1" s="1"/>
  <c r="AY158" i="1" s="1"/>
  <c r="O158" i="1"/>
  <c r="AI158" i="1"/>
  <c r="AJ158" i="1" s="1"/>
  <c r="AL158" i="1"/>
  <c r="AN158" i="1"/>
  <c r="AO158" i="1"/>
  <c r="AP158" i="1"/>
  <c r="AQ158" i="1"/>
  <c r="AS158" i="1"/>
  <c r="AT158" i="1"/>
  <c r="AU158" i="1"/>
  <c r="AV158" i="1"/>
  <c r="AW158" i="1"/>
  <c r="AX158" i="1"/>
  <c r="AZ158" i="1"/>
  <c r="BB158" i="1"/>
  <c r="BD158" i="1"/>
  <c r="BG158" i="1"/>
  <c r="BH158" i="1"/>
  <c r="BI158" i="1"/>
  <c r="BJ158" i="1"/>
  <c r="BL158" i="1"/>
  <c r="BM158" i="1"/>
  <c r="BN158" i="1"/>
  <c r="BO158" i="1"/>
  <c r="D159" i="1"/>
  <c r="G159" i="1"/>
  <c r="N159" i="1" s="1"/>
  <c r="AY159" i="1" s="1"/>
  <c r="O159" i="1"/>
  <c r="AI159" i="1"/>
  <c r="AJ159" i="1" s="1"/>
  <c r="AL159" i="1"/>
  <c r="AN159" i="1"/>
  <c r="AO159" i="1"/>
  <c r="AP159" i="1"/>
  <c r="AQ159" i="1"/>
  <c r="AS159" i="1"/>
  <c r="AT159" i="1"/>
  <c r="AU159" i="1"/>
  <c r="AV159" i="1"/>
  <c r="AW159" i="1"/>
  <c r="AX159" i="1"/>
  <c r="AZ159" i="1"/>
  <c r="BB159" i="1"/>
  <c r="BD159" i="1"/>
  <c r="BG159" i="1"/>
  <c r="BH159" i="1"/>
  <c r="BI159" i="1"/>
  <c r="BJ159" i="1"/>
  <c r="BL159" i="1"/>
  <c r="BM159" i="1"/>
  <c r="BN159" i="1"/>
  <c r="BO159" i="1"/>
  <c r="D160" i="1"/>
  <c r="G160" i="1"/>
  <c r="N160" i="1" s="1"/>
  <c r="AY160" i="1" s="1"/>
  <c r="O160" i="1"/>
  <c r="AI160" i="1"/>
  <c r="AJ160" i="1" s="1"/>
  <c r="AL160" i="1"/>
  <c r="AN160" i="1"/>
  <c r="AO160" i="1"/>
  <c r="AP160" i="1"/>
  <c r="AQ160" i="1"/>
  <c r="AS160" i="1"/>
  <c r="AT160" i="1"/>
  <c r="AU160" i="1"/>
  <c r="AV160" i="1"/>
  <c r="AW160" i="1"/>
  <c r="AX160" i="1"/>
  <c r="AZ160" i="1"/>
  <c r="BB160" i="1"/>
  <c r="BD160" i="1"/>
  <c r="BG160" i="1"/>
  <c r="BH160" i="1"/>
  <c r="BI160" i="1"/>
  <c r="BJ160" i="1"/>
  <c r="BL160" i="1"/>
  <c r="BM160" i="1"/>
  <c r="BN160" i="1"/>
  <c r="BO160" i="1"/>
  <c r="D161" i="1"/>
  <c r="G161" i="1"/>
  <c r="N161" i="1" s="1"/>
  <c r="AY161" i="1" s="1"/>
  <c r="O161" i="1"/>
  <c r="AI161" i="1"/>
  <c r="AJ161" i="1" s="1"/>
  <c r="AL161" i="1"/>
  <c r="AN161" i="1"/>
  <c r="AO161" i="1"/>
  <c r="AP161" i="1"/>
  <c r="AQ161" i="1"/>
  <c r="AS161" i="1"/>
  <c r="AT161" i="1"/>
  <c r="AU161" i="1"/>
  <c r="AV161" i="1"/>
  <c r="AW161" i="1"/>
  <c r="AX161" i="1"/>
  <c r="AZ161" i="1"/>
  <c r="BB161" i="1"/>
  <c r="BD161" i="1"/>
  <c r="BG161" i="1"/>
  <c r="BH161" i="1"/>
  <c r="BI161" i="1"/>
  <c r="BJ161" i="1"/>
  <c r="BL161" i="1"/>
  <c r="BM161" i="1"/>
  <c r="BN161" i="1"/>
  <c r="BO161" i="1"/>
  <c r="D162" i="1"/>
  <c r="G162" i="1"/>
  <c r="N162" i="1" s="1"/>
  <c r="AY162" i="1" s="1"/>
  <c r="O162" i="1"/>
  <c r="AI162" i="1"/>
  <c r="AJ162" i="1" s="1"/>
  <c r="AL162" i="1"/>
  <c r="AN162" i="1"/>
  <c r="AO162" i="1"/>
  <c r="AP162" i="1"/>
  <c r="AQ162" i="1"/>
  <c r="AS162" i="1"/>
  <c r="AT162" i="1"/>
  <c r="AU162" i="1"/>
  <c r="AV162" i="1"/>
  <c r="AW162" i="1"/>
  <c r="AX162" i="1"/>
  <c r="AZ162" i="1"/>
  <c r="BB162" i="1"/>
  <c r="BD162" i="1"/>
  <c r="BG162" i="1"/>
  <c r="BH162" i="1"/>
  <c r="BI162" i="1"/>
  <c r="BJ162" i="1"/>
  <c r="BL162" i="1"/>
  <c r="BM162" i="1"/>
  <c r="BN162" i="1"/>
  <c r="BO162" i="1"/>
  <c r="D163" i="1"/>
  <c r="G163" i="1"/>
  <c r="N163" i="1" s="1"/>
  <c r="AY163" i="1" s="1"/>
  <c r="O163" i="1"/>
  <c r="AI163" i="1"/>
  <c r="AJ163" i="1" s="1"/>
  <c r="AL163" i="1"/>
  <c r="AN163" i="1"/>
  <c r="AO163" i="1"/>
  <c r="AP163" i="1"/>
  <c r="AQ163" i="1"/>
  <c r="AS163" i="1"/>
  <c r="AT163" i="1"/>
  <c r="AU163" i="1"/>
  <c r="AV163" i="1"/>
  <c r="AW163" i="1"/>
  <c r="AX163" i="1"/>
  <c r="AZ163" i="1"/>
  <c r="BB163" i="1"/>
  <c r="BD163" i="1"/>
  <c r="BG163" i="1"/>
  <c r="BH163" i="1"/>
  <c r="BI163" i="1"/>
  <c r="BJ163" i="1"/>
  <c r="BL163" i="1"/>
  <c r="BM163" i="1"/>
  <c r="BN163" i="1"/>
  <c r="BO163" i="1"/>
  <c r="D164" i="1"/>
  <c r="G164" i="1"/>
  <c r="N164" i="1" s="1"/>
  <c r="AY164" i="1" s="1"/>
  <c r="O164" i="1"/>
  <c r="AI164" i="1"/>
  <c r="AJ164" i="1" s="1"/>
  <c r="AL164" i="1"/>
  <c r="AN164" i="1"/>
  <c r="AO164" i="1"/>
  <c r="AP164" i="1"/>
  <c r="AQ164" i="1"/>
  <c r="AS164" i="1"/>
  <c r="AT164" i="1"/>
  <c r="AU164" i="1"/>
  <c r="AV164" i="1"/>
  <c r="AW164" i="1"/>
  <c r="AX164" i="1"/>
  <c r="AZ164" i="1"/>
  <c r="BB164" i="1"/>
  <c r="BD164" i="1"/>
  <c r="BG164" i="1"/>
  <c r="BH164" i="1"/>
  <c r="BI164" i="1"/>
  <c r="BJ164" i="1"/>
  <c r="BL164" i="1"/>
  <c r="BM164" i="1"/>
  <c r="BN164" i="1"/>
  <c r="BO164" i="1"/>
  <c r="D165" i="1"/>
  <c r="G165" i="1"/>
  <c r="N165" i="1" s="1"/>
  <c r="AY165" i="1" s="1"/>
  <c r="O165" i="1"/>
  <c r="AI165" i="1"/>
  <c r="AJ165" i="1" s="1"/>
  <c r="AL165" i="1"/>
  <c r="AN165" i="1"/>
  <c r="AO165" i="1"/>
  <c r="AP165" i="1"/>
  <c r="AQ165" i="1"/>
  <c r="AS165" i="1"/>
  <c r="AT165" i="1"/>
  <c r="AU165" i="1"/>
  <c r="AV165" i="1"/>
  <c r="AW165" i="1"/>
  <c r="AX165" i="1"/>
  <c r="AZ165" i="1"/>
  <c r="BB165" i="1"/>
  <c r="BD165" i="1"/>
  <c r="BG165" i="1"/>
  <c r="BH165" i="1"/>
  <c r="BI165" i="1"/>
  <c r="BJ165" i="1"/>
  <c r="BL165" i="1"/>
  <c r="BM165" i="1"/>
  <c r="BN165" i="1"/>
  <c r="BO165" i="1"/>
  <c r="D166" i="1"/>
  <c r="G166" i="1"/>
  <c r="N166" i="1" s="1"/>
  <c r="AY166" i="1" s="1"/>
  <c r="O166" i="1"/>
  <c r="AI166" i="1"/>
  <c r="AJ166" i="1" s="1"/>
  <c r="AL166" i="1"/>
  <c r="AN166" i="1"/>
  <c r="AO166" i="1"/>
  <c r="AP166" i="1"/>
  <c r="AQ166" i="1"/>
  <c r="AS166" i="1"/>
  <c r="AT166" i="1"/>
  <c r="AU166" i="1"/>
  <c r="AV166" i="1"/>
  <c r="AW166" i="1"/>
  <c r="AX166" i="1"/>
  <c r="AZ166" i="1"/>
  <c r="BB166" i="1"/>
  <c r="BD166" i="1"/>
  <c r="BG166" i="1"/>
  <c r="BH166" i="1"/>
  <c r="BI166" i="1"/>
  <c r="BJ166" i="1"/>
  <c r="BL166" i="1"/>
  <c r="BM166" i="1"/>
  <c r="BN166" i="1"/>
  <c r="BO166" i="1"/>
  <c r="D167" i="1"/>
  <c r="G167" i="1"/>
  <c r="N167" i="1" s="1"/>
  <c r="AY167" i="1" s="1"/>
  <c r="O167" i="1"/>
  <c r="AI167" i="1"/>
  <c r="AJ167" i="1" s="1"/>
  <c r="AL167" i="1"/>
  <c r="AN167" i="1"/>
  <c r="AO167" i="1"/>
  <c r="AP167" i="1"/>
  <c r="AQ167" i="1"/>
  <c r="AS167" i="1"/>
  <c r="AT167" i="1"/>
  <c r="AU167" i="1"/>
  <c r="AV167" i="1"/>
  <c r="AW167" i="1"/>
  <c r="AX167" i="1"/>
  <c r="AZ167" i="1"/>
  <c r="BB167" i="1"/>
  <c r="BD167" i="1"/>
  <c r="BG167" i="1"/>
  <c r="BH167" i="1"/>
  <c r="BI167" i="1"/>
  <c r="BJ167" i="1"/>
  <c r="BL167" i="1"/>
  <c r="BM167" i="1"/>
  <c r="BN167" i="1"/>
  <c r="BO167" i="1"/>
  <c r="D168" i="1"/>
  <c r="G168" i="1"/>
  <c r="N168" i="1" s="1"/>
  <c r="AY168" i="1" s="1"/>
  <c r="O168" i="1"/>
  <c r="AI168" i="1"/>
  <c r="AJ168" i="1" s="1"/>
  <c r="AL168" i="1"/>
  <c r="AN168" i="1"/>
  <c r="AO168" i="1"/>
  <c r="AP168" i="1"/>
  <c r="AQ168" i="1"/>
  <c r="AS168" i="1"/>
  <c r="AT168" i="1"/>
  <c r="AU168" i="1"/>
  <c r="AV168" i="1"/>
  <c r="AW168" i="1"/>
  <c r="AX168" i="1"/>
  <c r="AZ168" i="1"/>
  <c r="BB168" i="1"/>
  <c r="BD168" i="1"/>
  <c r="BG168" i="1"/>
  <c r="BH168" i="1"/>
  <c r="BI168" i="1"/>
  <c r="BJ168" i="1"/>
  <c r="BL168" i="1"/>
  <c r="BM168" i="1"/>
  <c r="BN168" i="1"/>
  <c r="BO168" i="1"/>
  <c r="D169" i="1"/>
  <c r="G169" i="1"/>
  <c r="N169" i="1" s="1"/>
  <c r="AY169" i="1" s="1"/>
  <c r="O169" i="1"/>
  <c r="AI169" i="1"/>
  <c r="AJ169" i="1" s="1"/>
  <c r="AL169" i="1"/>
  <c r="AN169" i="1"/>
  <c r="AO169" i="1"/>
  <c r="AP169" i="1"/>
  <c r="AQ169" i="1"/>
  <c r="AS169" i="1"/>
  <c r="AT169" i="1"/>
  <c r="AU169" i="1"/>
  <c r="AV169" i="1"/>
  <c r="AW169" i="1"/>
  <c r="AX169" i="1"/>
  <c r="AZ169" i="1"/>
  <c r="BB169" i="1"/>
  <c r="BD169" i="1"/>
  <c r="BG169" i="1"/>
  <c r="BH169" i="1"/>
  <c r="BI169" i="1"/>
  <c r="BJ169" i="1"/>
  <c r="BL169" i="1"/>
  <c r="BM169" i="1"/>
  <c r="BN169" i="1"/>
  <c r="BO169" i="1"/>
  <c r="D170" i="1"/>
  <c r="G170" i="1"/>
  <c r="N170" i="1" s="1"/>
  <c r="AY170" i="1" s="1"/>
  <c r="O170" i="1"/>
  <c r="AI170" i="1"/>
  <c r="AJ170" i="1" s="1"/>
  <c r="AL170" i="1"/>
  <c r="AN170" i="1"/>
  <c r="AO170" i="1"/>
  <c r="AP170" i="1"/>
  <c r="AQ170" i="1"/>
  <c r="AS170" i="1"/>
  <c r="AT170" i="1"/>
  <c r="AU170" i="1"/>
  <c r="AV170" i="1"/>
  <c r="AW170" i="1"/>
  <c r="AX170" i="1"/>
  <c r="AZ170" i="1"/>
  <c r="BB170" i="1"/>
  <c r="BD170" i="1"/>
  <c r="BG170" i="1"/>
  <c r="BH170" i="1"/>
  <c r="BI170" i="1"/>
  <c r="BJ170" i="1"/>
  <c r="BL170" i="1"/>
  <c r="BM170" i="1"/>
  <c r="BN170" i="1"/>
  <c r="BO170" i="1"/>
  <c r="D171" i="1"/>
  <c r="G171" i="1"/>
  <c r="N171" i="1" s="1"/>
  <c r="AY171" i="1" s="1"/>
  <c r="O171" i="1"/>
  <c r="AI171" i="1"/>
  <c r="AJ171" i="1" s="1"/>
  <c r="AL171" i="1"/>
  <c r="AN171" i="1"/>
  <c r="AO171" i="1"/>
  <c r="AP171" i="1"/>
  <c r="AQ171" i="1"/>
  <c r="AS171" i="1"/>
  <c r="AT171" i="1"/>
  <c r="AU171" i="1"/>
  <c r="AV171" i="1"/>
  <c r="AW171" i="1"/>
  <c r="AX171" i="1"/>
  <c r="AZ171" i="1"/>
  <c r="BB171" i="1"/>
  <c r="BD171" i="1"/>
  <c r="BG171" i="1"/>
  <c r="BH171" i="1"/>
  <c r="BI171" i="1"/>
  <c r="BJ171" i="1"/>
  <c r="BL171" i="1"/>
  <c r="BM171" i="1"/>
  <c r="BN171" i="1"/>
  <c r="BO171" i="1"/>
  <c r="D172" i="1"/>
  <c r="G172" i="1"/>
  <c r="N172" i="1" s="1"/>
  <c r="AY172" i="1" s="1"/>
  <c r="O172" i="1"/>
  <c r="AI172" i="1"/>
  <c r="AJ172" i="1" s="1"/>
  <c r="AL172" i="1"/>
  <c r="AN172" i="1"/>
  <c r="AO172" i="1"/>
  <c r="AP172" i="1"/>
  <c r="AQ172" i="1"/>
  <c r="AS172" i="1"/>
  <c r="AT172" i="1"/>
  <c r="AU172" i="1"/>
  <c r="AV172" i="1"/>
  <c r="AW172" i="1"/>
  <c r="AX172" i="1"/>
  <c r="AZ172" i="1"/>
  <c r="BB172" i="1"/>
  <c r="BD172" i="1"/>
  <c r="BG172" i="1"/>
  <c r="BH172" i="1"/>
  <c r="BI172" i="1"/>
  <c r="BJ172" i="1"/>
  <c r="BL172" i="1"/>
  <c r="BM172" i="1"/>
  <c r="BN172" i="1"/>
  <c r="BO172" i="1"/>
  <c r="D173" i="1"/>
  <c r="G173" i="1"/>
  <c r="N173" i="1" s="1"/>
  <c r="AY173" i="1" s="1"/>
  <c r="O173" i="1"/>
  <c r="AI173" i="1"/>
  <c r="AJ173" i="1" s="1"/>
  <c r="AL173" i="1"/>
  <c r="AN173" i="1"/>
  <c r="AO173" i="1"/>
  <c r="AP173" i="1"/>
  <c r="AQ173" i="1"/>
  <c r="AS173" i="1"/>
  <c r="AT173" i="1"/>
  <c r="AU173" i="1"/>
  <c r="AV173" i="1"/>
  <c r="AW173" i="1"/>
  <c r="AX173" i="1"/>
  <c r="AZ173" i="1"/>
  <c r="BB173" i="1"/>
  <c r="BD173" i="1"/>
  <c r="BG173" i="1"/>
  <c r="BH173" i="1"/>
  <c r="BI173" i="1"/>
  <c r="BJ173" i="1"/>
  <c r="BL173" i="1"/>
  <c r="BM173" i="1"/>
  <c r="BN173" i="1"/>
  <c r="BO173" i="1"/>
  <c r="D174" i="1"/>
  <c r="G174" i="1"/>
  <c r="N174" i="1" s="1"/>
  <c r="AY174" i="1" s="1"/>
  <c r="O174" i="1"/>
  <c r="AI174" i="1"/>
  <c r="AJ174" i="1" s="1"/>
  <c r="AL174" i="1"/>
  <c r="AN174" i="1"/>
  <c r="AO174" i="1"/>
  <c r="AP174" i="1"/>
  <c r="AQ174" i="1"/>
  <c r="AS174" i="1"/>
  <c r="AT174" i="1"/>
  <c r="AU174" i="1"/>
  <c r="AV174" i="1"/>
  <c r="AW174" i="1"/>
  <c r="AX174" i="1"/>
  <c r="AZ174" i="1"/>
  <c r="BB174" i="1"/>
  <c r="BD174" i="1"/>
  <c r="BG174" i="1"/>
  <c r="BH174" i="1"/>
  <c r="BI174" i="1"/>
  <c r="BJ174" i="1"/>
  <c r="BL174" i="1"/>
  <c r="BM174" i="1"/>
  <c r="BN174" i="1"/>
  <c r="BO174" i="1"/>
  <c r="D175" i="1"/>
  <c r="G175" i="1"/>
  <c r="N175" i="1" s="1"/>
  <c r="AY175" i="1" s="1"/>
  <c r="O175" i="1"/>
  <c r="AI175" i="1"/>
  <c r="AJ175" i="1" s="1"/>
  <c r="AL175" i="1"/>
  <c r="AN175" i="1"/>
  <c r="AO175" i="1"/>
  <c r="AP175" i="1"/>
  <c r="AQ175" i="1"/>
  <c r="AS175" i="1"/>
  <c r="AT175" i="1"/>
  <c r="AU175" i="1"/>
  <c r="AV175" i="1"/>
  <c r="AW175" i="1"/>
  <c r="AX175" i="1"/>
  <c r="AZ175" i="1"/>
  <c r="BB175" i="1"/>
  <c r="BD175" i="1"/>
  <c r="BG175" i="1"/>
  <c r="BH175" i="1"/>
  <c r="BI175" i="1"/>
  <c r="BJ175" i="1"/>
  <c r="BL175" i="1"/>
  <c r="BM175" i="1"/>
  <c r="BN175" i="1"/>
  <c r="BO175" i="1"/>
  <c r="D176" i="1"/>
  <c r="G176" i="1"/>
  <c r="N176" i="1" s="1"/>
  <c r="AY176" i="1" s="1"/>
  <c r="O176" i="1"/>
  <c r="AI176" i="1"/>
  <c r="AJ176" i="1" s="1"/>
  <c r="AL176" i="1"/>
  <c r="AN176" i="1"/>
  <c r="AO176" i="1"/>
  <c r="AP176" i="1"/>
  <c r="AQ176" i="1"/>
  <c r="AS176" i="1"/>
  <c r="AT176" i="1"/>
  <c r="AU176" i="1"/>
  <c r="AV176" i="1"/>
  <c r="AW176" i="1"/>
  <c r="AX176" i="1"/>
  <c r="AZ176" i="1"/>
  <c r="BB176" i="1"/>
  <c r="BD176" i="1"/>
  <c r="BG176" i="1"/>
  <c r="BH176" i="1"/>
  <c r="BI176" i="1"/>
  <c r="BJ176" i="1"/>
  <c r="BL176" i="1"/>
  <c r="BM176" i="1"/>
  <c r="BN176" i="1"/>
  <c r="BO176" i="1"/>
  <c r="D177" i="1"/>
  <c r="G177" i="1"/>
  <c r="N177" i="1" s="1"/>
  <c r="AY177" i="1" s="1"/>
  <c r="O177" i="1"/>
  <c r="AI177" i="1"/>
  <c r="AJ177" i="1"/>
  <c r="AL177" i="1"/>
  <c r="AN177" i="1"/>
  <c r="AO177" i="1"/>
  <c r="AP177" i="1"/>
  <c r="AQ177" i="1"/>
  <c r="AS177" i="1"/>
  <c r="AT177" i="1"/>
  <c r="AU177" i="1"/>
  <c r="AV177" i="1"/>
  <c r="AW177" i="1"/>
  <c r="AX177" i="1"/>
  <c r="AZ177" i="1"/>
  <c r="BB177" i="1"/>
  <c r="BD177" i="1"/>
  <c r="BG177" i="1"/>
  <c r="BH177" i="1"/>
  <c r="BI177" i="1"/>
  <c r="BJ177" i="1"/>
  <c r="BL177" i="1"/>
  <c r="BM177" i="1"/>
  <c r="BN177" i="1"/>
  <c r="BO177" i="1"/>
  <c r="D178" i="1"/>
  <c r="G178" i="1"/>
  <c r="N178" i="1" s="1"/>
  <c r="AY178" i="1" s="1"/>
  <c r="O178" i="1"/>
  <c r="AZ178" i="1" s="1"/>
  <c r="AI178" i="1"/>
  <c r="AJ178" i="1"/>
  <c r="AL178" i="1"/>
  <c r="AN178" i="1"/>
  <c r="AO178" i="1"/>
  <c r="AP178" i="1"/>
  <c r="AQ178" i="1"/>
  <c r="AS178" i="1"/>
  <c r="AT178" i="1"/>
  <c r="AU178" i="1"/>
  <c r="AV178" i="1"/>
  <c r="AW178" i="1"/>
  <c r="AX178" i="1"/>
  <c r="BB178" i="1"/>
  <c r="BD178" i="1"/>
  <c r="BG178" i="1"/>
  <c r="BH178" i="1"/>
  <c r="BI178" i="1"/>
  <c r="BJ178" i="1"/>
  <c r="BL178" i="1"/>
  <c r="BM178" i="1"/>
  <c r="BN178" i="1"/>
  <c r="BO178" i="1"/>
  <c r="D179" i="1"/>
  <c r="G179" i="1"/>
  <c r="O179" i="1"/>
  <c r="AZ179" i="1" s="1"/>
  <c r="AI179" i="1"/>
  <c r="AJ179" i="1"/>
  <c r="AL179" i="1"/>
  <c r="AN179" i="1"/>
  <c r="AO179" i="1"/>
  <c r="AP179" i="1"/>
  <c r="AQ179" i="1"/>
  <c r="AS179" i="1"/>
  <c r="AT179" i="1"/>
  <c r="AU179" i="1"/>
  <c r="AV179" i="1"/>
  <c r="AW179" i="1"/>
  <c r="AX179" i="1"/>
  <c r="BB179" i="1"/>
  <c r="BD179" i="1"/>
  <c r="BG179" i="1"/>
  <c r="BH179" i="1"/>
  <c r="BI179" i="1"/>
  <c r="BJ179" i="1"/>
  <c r="BL179" i="1"/>
  <c r="BM179" i="1"/>
  <c r="BN179" i="1"/>
  <c r="BO179" i="1"/>
  <c r="D180" i="1"/>
  <c r="G180" i="1"/>
  <c r="O180" i="1"/>
  <c r="AZ180" i="1" s="1"/>
  <c r="AI180" i="1"/>
  <c r="AJ180" i="1"/>
  <c r="AL180" i="1"/>
  <c r="AN180" i="1"/>
  <c r="AO180" i="1"/>
  <c r="AP180" i="1"/>
  <c r="AQ180" i="1"/>
  <c r="AS180" i="1"/>
  <c r="AT180" i="1"/>
  <c r="AU180" i="1"/>
  <c r="AV180" i="1"/>
  <c r="AW180" i="1"/>
  <c r="AX180" i="1"/>
  <c r="BB180" i="1"/>
  <c r="BD180" i="1"/>
  <c r="BG180" i="1"/>
  <c r="BH180" i="1"/>
  <c r="BI180" i="1"/>
  <c r="BJ180" i="1"/>
  <c r="BL180" i="1"/>
  <c r="BM180" i="1"/>
  <c r="BN180" i="1"/>
  <c r="BO180" i="1"/>
  <c r="D181" i="1"/>
  <c r="G181" i="1"/>
  <c r="O181" i="1"/>
  <c r="AZ181" i="1" s="1"/>
  <c r="AI181" i="1"/>
  <c r="AJ181" i="1"/>
  <c r="AL181" i="1"/>
  <c r="AN181" i="1"/>
  <c r="AO181" i="1"/>
  <c r="AP181" i="1"/>
  <c r="AQ181" i="1"/>
  <c r="AS181" i="1"/>
  <c r="AT181" i="1"/>
  <c r="AU181" i="1"/>
  <c r="AV181" i="1"/>
  <c r="AW181" i="1"/>
  <c r="AX181" i="1"/>
  <c r="BB181" i="1"/>
  <c r="BD181" i="1"/>
  <c r="BG181" i="1"/>
  <c r="BH181" i="1"/>
  <c r="BI181" i="1"/>
  <c r="BJ181" i="1"/>
  <c r="BL181" i="1"/>
  <c r="BM181" i="1"/>
  <c r="BN181" i="1"/>
  <c r="BO181" i="1"/>
  <c r="D182" i="1"/>
  <c r="G182" i="1"/>
  <c r="O182" i="1"/>
  <c r="AI182" i="1"/>
  <c r="AJ182" i="1"/>
  <c r="AL182" i="1"/>
  <c r="AN182" i="1"/>
  <c r="AO182" i="1"/>
  <c r="AP182" i="1"/>
  <c r="AQ182" i="1"/>
  <c r="AS182" i="1"/>
  <c r="AT182" i="1"/>
  <c r="AU182" i="1"/>
  <c r="AV182" i="1"/>
  <c r="AW182" i="1"/>
  <c r="AX182" i="1"/>
  <c r="BB182" i="1"/>
  <c r="BD182" i="1"/>
  <c r="BG182" i="1"/>
  <c r="BH182" i="1"/>
  <c r="BI182" i="1"/>
  <c r="BJ182" i="1"/>
  <c r="BL182" i="1"/>
  <c r="BM182" i="1"/>
  <c r="BN182" i="1"/>
  <c r="BO182" i="1"/>
  <c r="D183" i="1"/>
  <c r="G183" i="1"/>
  <c r="N183" i="1"/>
  <c r="O183" i="1"/>
  <c r="AI183" i="1"/>
  <c r="AJ183" i="1" s="1"/>
  <c r="AL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B183" i="1"/>
  <c r="BD183" i="1"/>
  <c r="BG183" i="1"/>
  <c r="BH183" i="1"/>
  <c r="BI183" i="1"/>
  <c r="BJ183" i="1"/>
  <c r="BL183" i="1"/>
  <c r="BM183" i="1"/>
  <c r="BN183" i="1"/>
  <c r="BO183" i="1"/>
  <c r="D184" i="1"/>
  <c r="G184" i="1"/>
  <c r="AG184" i="1" s="1"/>
  <c r="AH184" i="1" s="1"/>
  <c r="O184" i="1"/>
  <c r="AI184" i="1"/>
  <c r="AJ184" i="1"/>
  <c r="AL184" i="1"/>
  <c r="AN184" i="1"/>
  <c r="AO184" i="1"/>
  <c r="AP184" i="1"/>
  <c r="AQ184" i="1"/>
  <c r="AS184" i="1"/>
  <c r="AT184" i="1"/>
  <c r="AU184" i="1"/>
  <c r="AV184" i="1"/>
  <c r="AW184" i="1"/>
  <c r="AX184" i="1"/>
  <c r="AZ184" i="1"/>
  <c r="BB184" i="1"/>
  <c r="BD184" i="1"/>
  <c r="BG184" i="1"/>
  <c r="BH184" i="1"/>
  <c r="BI184" i="1"/>
  <c r="BJ184" i="1"/>
  <c r="BL184" i="1"/>
  <c r="BM184" i="1"/>
  <c r="BN184" i="1"/>
  <c r="BO184" i="1"/>
  <c r="D185" i="1"/>
  <c r="G185" i="1"/>
  <c r="AG185" i="1" s="1"/>
  <c r="AH185" i="1" s="1"/>
  <c r="N185" i="1"/>
  <c r="O185" i="1"/>
  <c r="AI185" i="1"/>
  <c r="AJ185" i="1" s="1"/>
  <c r="AL185" i="1"/>
  <c r="AN185" i="1"/>
  <c r="AO185" i="1"/>
  <c r="AP185" i="1"/>
  <c r="AQ185" i="1"/>
  <c r="AS185" i="1"/>
  <c r="AT185" i="1"/>
  <c r="AU185" i="1"/>
  <c r="AV185" i="1"/>
  <c r="AW185" i="1"/>
  <c r="AX185" i="1"/>
  <c r="AY185" i="1"/>
  <c r="AZ185" i="1"/>
  <c r="BB185" i="1"/>
  <c r="BD185" i="1"/>
  <c r="BG185" i="1"/>
  <c r="BH185" i="1"/>
  <c r="BI185" i="1"/>
  <c r="BJ185" i="1"/>
  <c r="BL185" i="1"/>
  <c r="BM185" i="1"/>
  <c r="BN185" i="1"/>
  <c r="BO185" i="1"/>
  <c r="D186" i="1"/>
  <c r="G186" i="1"/>
  <c r="N186" i="1" s="1"/>
  <c r="AY186" i="1" s="1"/>
  <c r="O186" i="1"/>
  <c r="AI186" i="1"/>
  <c r="AJ186" i="1"/>
  <c r="AL186" i="1"/>
  <c r="AN186" i="1"/>
  <c r="AO186" i="1"/>
  <c r="AP186" i="1"/>
  <c r="AQ186" i="1"/>
  <c r="AR186" i="1"/>
  <c r="AS186" i="1"/>
  <c r="AT186" i="1"/>
  <c r="AU186" i="1"/>
  <c r="AV186" i="1"/>
  <c r="AW186" i="1"/>
  <c r="AX186" i="1"/>
  <c r="AZ186" i="1"/>
  <c r="BB186" i="1"/>
  <c r="BD186" i="1"/>
  <c r="BG186" i="1"/>
  <c r="BH186" i="1"/>
  <c r="BI186" i="1"/>
  <c r="BJ186" i="1"/>
  <c r="BL186" i="1"/>
  <c r="BM186" i="1"/>
  <c r="BN186" i="1"/>
  <c r="BO186" i="1"/>
  <c r="D187" i="1"/>
  <c r="G187" i="1"/>
  <c r="N187" i="1"/>
  <c r="O187" i="1"/>
  <c r="AI187" i="1"/>
  <c r="AJ187" i="1" s="1"/>
  <c r="AL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B187" i="1"/>
  <c r="BD187" i="1"/>
  <c r="BG187" i="1"/>
  <c r="BH187" i="1"/>
  <c r="BI187" i="1"/>
  <c r="BJ187" i="1"/>
  <c r="BL187" i="1"/>
  <c r="BM187" i="1"/>
  <c r="BN187" i="1"/>
  <c r="BO187" i="1"/>
  <c r="D188" i="1"/>
  <c r="G188" i="1"/>
  <c r="AG188" i="1" s="1"/>
  <c r="AH188" i="1" s="1"/>
  <c r="O188" i="1"/>
  <c r="AI188" i="1"/>
  <c r="AJ188" i="1"/>
  <c r="AL188" i="1"/>
  <c r="AN188" i="1"/>
  <c r="AO188" i="1"/>
  <c r="AP188" i="1"/>
  <c r="AQ188" i="1"/>
  <c r="AS188" i="1"/>
  <c r="AT188" i="1"/>
  <c r="AU188" i="1"/>
  <c r="AV188" i="1"/>
  <c r="AW188" i="1"/>
  <c r="AX188" i="1"/>
  <c r="AZ188" i="1"/>
  <c r="BB188" i="1"/>
  <c r="BD188" i="1"/>
  <c r="BG188" i="1"/>
  <c r="BH188" i="1"/>
  <c r="BI188" i="1"/>
  <c r="BJ188" i="1"/>
  <c r="BL188" i="1"/>
  <c r="BM188" i="1"/>
  <c r="BN188" i="1"/>
  <c r="BO188" i="1"/>
  <c r="D189" i="1"/>
  <c r="G189" i="1"/>
  <c r="AG189" i="1" s="1"/>
  <c r="AH189" i="1" s="1"/>
  <c r="N189" i="1"/>
  <c r="O189" i="1"/>
  <c r="AI189" i="1"/>
  <c r="AJ189" i="1" s="1"/>
  <c r="AL189" i="1"/>
  <c r="AN189" i="1"/>
  <c r="AO189" i="1"/>
  <c r="AP189" i="1"/>
  <c r="AQ189" i="1"/>
  <c r="AS189" i="1"/>
  <c r="AT189" i="1"/>
  <c r="AU189" i="1"/>
  <c r="AV189" i="1"/>
  <c r="AW189" i="1"/>
  <c r="AX189" i="1"/>
  <c r="AY189" i="1"/>
  <c r="AZ189" i="1"/>
  <c r="BB189" i="1"/>
  <c r="BD189" i="1"/>
  <c r="BG189" i="1"/>
  <c r="BH189" i="1"/>
  <c r="BI189" i="1"/>
  <c r="BJ189" i="1"/>
  <c r="BL189" i="1"/>
  <c r="BM189" i="1"/>
  <c r="BN189" i="1"/>
  <c r="BO189" i="1"/>
  <c r="D190" i="1"/>
  <c r="G190" i="1"/>
  <c r="AG190" i="1" s="1"/>
  <c r="AH190" i="1" s="1"/>
  <c r="O190" i="1"/>
  <c r="AI190" i="1"/>
  <c r="AJ190" i="1"/>
  <c r="AL190" i="1"/>
  <c r="AN190" i="1"/>
  <c r="AO190" i="1"/>
  <c r="AP190" i="1"/>
  <c r="AQ190" i="1"/>
  <c r="AS190" i="1"/>
  <c r="AT190" i="1"/>
  <c r="AU190" i="1"/>
  <c r="AV190" i="1"/>
  <c r="AW190" i="1"/>
  <c r="AX190" i="1"/>
  <c r="BB190" i="1"/>
  <c r="BD190" i="1"/>
  <c r="BG190" i="1"/>
  <c r="BH190" i="1"/>
  <c r="BI190" i="1"/>
  <c r="BJ190" i="1"/>
  <c r="BL190" i="1"/>
  <c r="BM190" i="1"/>
  <c r="BN190" i="1"/>
  <c r="BO190" i="1"/>
  <c r="D191" i="1"/>
  <c r="G191" i="1"/>
  <c r="AG191" i="1" s="1"/>
  <c r="AH191" i="1" s="1"/>
  <c r="O191" i="1"/>
  <c r="AI191" i="1"/>
  <c r="AJ191" i="1"/>
  <c r="AL191" i="1"/>
  <c r="AN191" i="1"/>
  <c r="AO191" i="1"/>
  <c r="AP191" i="1"/>
  <c r="AQ191" i="1"/>
  <c r="AS191" i="1"/>
  <c r="AT191" i="1"/>
  <c r="AU191" i="1"/>
  <c r="AV191" i="1"/>
  <c r="AW191" i="1"/>
  <c r="AX191" i="1"/>
  <c r="BB191" i="1"/>
  <c r="BD191" i="1"/>
  <c r="BG191" i="1"/>
  <c r="BH191" i="1"/>
  <c r="BI191" i="1"/>
  <c r="BJ191" i="1"/>
  <c r="BL191" i="1"/>
  <c r="BM191" i="1"/>
  <c r="BN191" i="1"/>
  <c r="BO191" i="1"/>
  <c r="D192" i="1"/>
  <c r="G192" i="1"/>
  <c r="AG192" i="1" s="1"/>
  <c r="AH192" i="1" s="1"/>
  <c r="O192" i="1"/>
  <c r="AI192" i="1"/>
  <c r="AJ192" i="1"/>
  <c r="AL192" i="1"/>
  <c r="AN192" i="1"/>
  <c r="AO192" i="1"/>
  <c r="AP192" i="1"/>
  <c r="AQ192" i="1"/>
  <c r="AS192" i="1"/>
  <c r="AT192" i="1"/>
  <c r="AU192" i="1"/>
  <c r="AV192" i="1"/>
  <c r="AW192" i="1"/>
  <c r="AX192" i="1"/>
  <c r="BB192" i="1"/>
  <c r="BD192" i="1"/>
  <c r="BG192" i="1"/>
  <c r="BH192" i="1"/>
  <c r="BI192" i="1"/>
  <c r="BJ192" i="1"/>
  <c r="BL192" i="1"/>
  <c r="BM192" i="1"/>
  <c r="BN192" i="1"/>
  <c r="BO192" i="1"/>
  <c r="D193" i="1"/>
  <c r="G193" i="1"/>
  <c r="AG193" i="1" s="1"/>
  <c r="AH193" i="1" s="1"/>
  <c r="O193" i="1"/>
  <c r="AI193" i="1"/>
  <c r="AJ193" i="1"/>
  <c r="AL193" i="1"/>
  <c r="AN193" i="1"/>
  <c r="AO193" i="1"/>
  <c r="AP193" i="1"/>
  <c r="AQ193" i="1"/>
  <c r="AS193" i="1"/>
  <c r="AT193" i="1"/>
  <c r="AU193" i="1"/>
  <c r="AV193" i="1"/>
  <c r="AW193" i="1"/>
  <c r="AX193" i="1"/>
  <c r="BB193" i="1"/>
  <c r="BD193" i="1"/>
  <c r="BG193" i="1"/>
  <c r="BH193" i="1"/>
  <c r="BI193" i="1"/>
  <c r="BJ193" i="1"/>
  <c r="BL193" i="1"/>
  <c r="BM193" i="1"/>
  <c r="BN193" i="1"/>
  <c r="BO193" i="1"/>
  <c r="D194" i="1"/>
  <c r="G194" i="1"/>
  <c r="AG194" i="1" s="1"/>
  <c r="AH194" i="1" s="1"/>
  <c r="O194" i="1"/>
  <c r="AI194" i="1"/>
  <c r="AJ194" i="1"/>
  <c r="AL194" i="1"/>
  <c r="AN194" i="1"/>
  <c r="AO194" i="1"/>
  <c r="AP194" i="1"/>
  <c r="AQ194" i="1"/>
  <c r="AS194" i="1"/>
  <c r="AT194" i="1"/>
  <c r="AU194" i="1"/>
  <c r="AV194" i="1"/>
  <c r="AW194" i="1"/>
  <c r="AX194" i="1"/>
  <c r="BB194" i="1"/>
  <c r="BD194" i="1"/>
  <c r="BG194" i="1"/>
  <c r="BH194" i="1"/>
  <c r="BI194" i="1"/>
  <c r="BJ194" i="1"/>
  <c r="BL194" i="1"/>
  <c r="BM194" i="1"/>
  <c r="BN194" i="1"/>
  <c r="BO194" i="1"/>
  <c r="D195" i="1"/>
  <c r="G195" i="1"/>
  <c r="AG195" i="1" s="1"/>
  <c r="AH195" i="1" s="1"/>
  <c r="O195" i="1"/>
  <c r="AI195" i="1"/>
  <c r="AJ195" i="1"/>
  <c r="AL195" i="1"/>
  <c r="AN195" i="1"/>
  <c r="AO195" i="1"/>
  <c r="AP195" i="1"/>
  <c r="AQ195" i="1"/>
  <c r="AS195" i="1"/>
  <c r="AT195" i="1"/>
  <c r="AU195" i="1"/>
  <c r="AV195" i="1"/>
  <c r="AW195" i="1"/>
  <c r="AX195" i="1"/>
  <c r="BB195" i="1"/>
  <c r="BD195" i="1"/>
  <c r="BG195" i="1"/>
  <c r="BH195" i="1"/>
  <c r="BI195" i="1"/>
  <c r="BJ195" i="1"/>
  <c r="BL195" i="1"/>
  <c r="BM195" i="1"/>
  <c r="BN195" i="1"/>
  <c r="BO195" i="1"/>
  <c r="D196" i="1"/>
  <c r="G196" i="1"/>
  <c r="AG196" i="1" s="1"/>
  <c r="AH196" i="1" s="1"/>
  <c r="O196" i="1"/>
  <c r="AI196" i="1"/>
  <c r="AJ196" i="1"/>
  <c r="AL196" i="1"/>
  <c r="AN196" i="1"/>
  <c r="AO196" i="1"/>
  <c r="AP196" i="1"/>
  <c r="AQ196" i="1"/>
  <c r="AS196" i="1"/>
  <c r="AT196" i="1"/>
  <c r="AU196" i="1"/>
  <c r="AV196" i="1"/>
  <c r="AW196" i="1"/>
  <c r="AX196" i="1"/>
  <c r="BB196" i="1"/>
  <c r="BD196" i="1"/>
  <c r="BG196" i="1"/>
  <c r="BH196" i="1"/>
  <c r="BI196" i="1"/>
  <c r="BJ196" i="1"/>
  <c r="BL196" i="1"/>
  <c r="BM196" i="1"/>
  <c r="BN196" i="1"/>
  <c r="BO196" i="1"/>
  <c r="D197" i="1"/>
  <c r="G197" i="1"/>
  <c r="AG197" i="1" s="1"/>
  <c r="AH197" i="1" s="1"/>
  <c r="O197" i="1"/>
  <c r="AI197" i="1"/>
  <c r="AJ197" i="1"/>
  <c r="AL197" i="1"/>
  <c r="AN197" i="1"/>
  <c r="AO197" i="1"/>
  <c r="AP197" i="1"/>
  <c r="AQ197" i="1"/>
  <c r="AS197" i="1"/>
  <c r="AT197" i="1"/>
  <c r="AU197" i="1"/>
  <c r="AV197" i="1"/>
  <c r="AW197" i="1"/>
  <c r="AX197" i="1"/>
  <c r="BB197" i="1"/>
  <c r="BD197" i="1"/>
  <c r="BG197" i="1"/>
  <c r="BH197" i="1"/>
  <c r="BI197" i="1"/>
  <c r="BJ197" i="1"/>
  <c r="BL197" i="1"/>
  <c r="BM197" i="1"/>
  <c r="BN197" i="1"/>
  <c r="BO197" i="1"/>
  <c r="D198" i="1"/>
  <c r="G198" i="1"/>
  <c r="AG198" i="1" s="1"/>
  <c r="AH198" i="1" s="1"/>
  <c r="O198" i="1"/>
  <c r="AI198" i="1"/>
  <c r="AJ198" i="1"/>
  <c r="AL198" i="1"/>
  <c r="AN198" i="1"/>
  <c r="AO198" i="1"/>
  <c r="AP198" i="1"/>
  <c r="AQ198" i="1"/>
  <c r="AS198" i="1"/>
  <c r="AT198" i="1"/>
  <c r="AU198" i="1"/>
  <c r="AV198" i="1"/>
  <c r="AW198" i="1"/>
  <c r="AX198" i="1"/>
  <c r="BB198" i="1"/>
  <c r="BD198" i="1"/>
  <c r="BG198" i="1"/>
  <c r="BH198" i="1"/>
  <c r="BI198" i="1"/>
  <c r="BJ198" i="1"/>
  <c r="BL198" i="1"/>
  <c r="BM198" i="1"/>
  <c r="BN198" i="1"/>
  <c r="BO198" i="1"/>
  <c r="D199" i="1"/>
  <c r="G199" i="1"/>
  <c r="AG199" i="1" s="1"/>
  <c r="AH199" i="1" s="1"/>
  <c r="O199" i="1"/>
  <c r="AI199" i="1"/>
  <c r="AJ199" i="1"/>
  <c r="AL199" i="1"/>
  <c r="AN199" i="1"/>
  <c r="AO199" i="1"/>
  <c r="AP199" i="1"/>
  <c r="AQ199" i="1"/>
  <c r="AS199" i="1"/>
  <c r="AT199" i="1"/>
  <c r="AU199" i="1"/>
  <c r="AV199" i="1"/>
  <c r="AW199" i="1"/>
  <c r="AX199" i="1"/>
  <c r="BB199" i="1"/>
  <c r="BD199" i="1"/>
  <c r="BG199" i="1"/>
  <c r="BH199" i="1"/>
  <c r="BI199" i="1"/>
  <c r="BJ199" i="1"/>
  <c r="BL199" i="1"/>
  <c r="BM199" i="1"/>
  <c r="BN199" i="1"/>
  <c r="BO199" i="1"/>
  <c r="D200" i="1"/>
  <c r="G200" i="1"/>
  <c r="AG200" i="1" s="1"/>
  <c r="AH200" i="1" s="1"/>
  <c r="O200" i="1"/>
  <c r="AI200" i="1"/>
  <c r="AJ200" i="1"/>
  <c r="AL200" i="1"/>
  <c r="AN200" i="1"/>
  <c r="AO200" i="1"/>
  <c r="AP200" i="1"/>
  <c r="AQ200" i="1"/>
  <c r="AS200" i="1"/>
  <c r="AT200" i="1"/>
  <c r="AU200" i="1"/>
  <c r="AV200" i="1"/>
  <c r="AW200" i="1"/>
  <c r="AX200" i="1"/>
  <c r="BB200" i="1"/>
  <c r="BD200" i="1"/>
  <c r="BG200" i="1"/>
  <c r="BH200" i="1"/>
  <c r="BI200" i="1"/>
  <c r="BJ200" i="1"/>
  <c r="BL200" i="1"/>
  <c r="BM200" i="1"/>
  <c r="BN200" i="1"/>
  <c r="BO200" i="1"/>
  <c r="D201" i="1"/>
  <c r="G201" i="1"/>
  <c r="AG201" i="1" s="1"/>
  <c r="AH201" i="1" s="1"/>
  <c r="O201" i="1"/>
  <c r="AI201" i="1"/>
  <c r="AJ201" i="1"/>
  <c r="AL201" i="1"/>
  <c r="AN201" i="1"/>
  <c r="AO201" i="1"/>
  <c r="AP201" i="1"/>
  <c r="AQ201" i="1"/>
  <c r="AS201" i="1"/>
  <c r="AT201" i="1"/>
  <c r="AU201" i="1"/>
  <c r="AV201" i="1"/>
  <c r="AW201" i="1"/>
  <c r="AX201" i="1"/>
  <c r="BB201" i="1"/>
  <c r="BD201" i="1"/>
  <c r="BG201" i="1"/>
  <c r="BH201" i="1"/>
  <c r="BI201" i="1"/>
  <c r="BJ201" i="1"/>
  <c r="BL201" i="1"/>
  <c r="BM201" i="1"/>
  <c r="BN201" i="1"/>
  <c r="BO201" i="1"/>
  <c r="D202" i="1"/>
  <c r="G202" i="1"/>
  <c r="AG202" i="1" s="1"/>
  <c r="AH202" i="1" s="1"/>
  <c r="O202" i="1"/>
  <c r="AI202" i="1"/>
  <c r="AJ202" i="1"/>
  <c r="AL202" i="1"/>
  <c r="AN202" i="1"/>
  <c r="AO202" i="1"/>
  <c r="AP202" i="1"/>
  <c r="AQ202" i="1"/>
  <c r="AS202" i="1"/>
  <c r="AT202" i="1"/>
  <c r="AU202" i="1"/>
  <c r="AV202" i="1"/>
  <c r="AW202" i="1"/>
  <c r="AX202" i="1"/>
  <c r="BB202" i="1"/>
  <c r="BD202" i="1"/>
  <c r="BG202" i="1"/>
  <c r="BH202" i="1"/>
  <c r="BI202" i="1"/>
  <c r="BJ202" i="1"/>
  <c r="BL202" i="1"/>
  <c r="BM202" i="1"/>
  <c r="BN202" i="1"/>
  <c r="BO202" i="1"/>
  <c r="D203" i="1"/>
  <c r="G203" i="1"/>
  <c r="AG203" i="1" s="1"/>
  <c r="AH203" i="1" s="1"/>
  <c r="O203" i="1"/>
  <c r="AI203" i="1"/>
  <c r="AJ203" i="1"/>
  <c r="AL203" i="1"/>
  <c r="AN203" i="1"/>
  <c r="AO203" i="1"/>
  <c r="AP203" i="1"/>
  <c r="AQ203" i="1"/>
  <c r="AS203" i="1"/>
  <c r="AT203" i="1"/>
  <c r="AU203" i="1"/>
  <c r="AV203" i="1"/>
  <c r="AW203" i="1"/>
  <c r="AX203" i="1"/>
  <c r="BB203" i="1"/>
  <c r="BD203" i="1"/>
  <c r="BG203" i="1"/>
  <c r="BH203" i="1"/>
  <c r="BI203" i="1"/>
  <c r="BJ203" i="1"/>
  <c r="BL203" i="1"/>
  <c r="BM203" i="1"/>
  <c r="BN203" i="1"/>
  <c r="BO203" i="1"/>
  <c r="D204" i="1"/>
  <c r="G204" i="1"/>
  <c r="AG204" i="1" s="1"/>
  <c r="AH204" i="1" s="1"/>
  <c r="O204" i="1"/>
  <c r="AI204" i="1"/>
  <c r="AJ204" i="1"/>
  <c r="AL204" i="1"/>
  <c r="AN204" i="1"/>
  <c r="AO204" i="1"/>
  <c r="AP204" i="1"/>
  <c r="AQ204" i="1"/>
  <c r="AS204" i="1"/>
  <c r="AT204" i="1"/>
  <c r="AU204" i="1"/>
  <c r="AV204" i="1"/>
  <c r="AW204" i="1"/>
  <c r="AX204" i="1"/>
  <c r="BB204" i="1"/>
  <c r="BD204" i="1"/>
  <c r="BG204" i="1"/>
  <c r="BH204" i="1"/>
  <c r="BI204" i="1"/>
  <c r="BJ204" i="1"/>
  <c r="BL204" i="1"/>
  <c r="BM204" i="1"/>
  <c r="BN204" i="1"/>
  <c r="BO204" i="1"/>
  <c r="D205" i="1"/>
  <c r="G205" i="1"/>
  <c r="AG205" i="1" s="1"/>
  <c r="AH205" i="1" s="1"/>
  <c r="O205" i="1"/>
  <c r="AI205" i="1"/>
  <c r="AJ205" i="1"/>
  <c r="AL205" i="1"/>
  <c r="AN205" i="1"/>
  <c r="AO205" i="1"/>
  <c r="AP205" i="1"/>
  <c r="AQ205" i="1"/>
  <c r="AS205" i="1"/>
  <c r="AT205" i="1"/>
  <c r="AU205" i="1"/>
  <c r="AV205" i="1"/>
  <c r="AW205" i="1"/>
  <c r="AX205" i="1"/>
  <c r="BB205" i="1"/>
  <c r="BD205" i="1"/>
  <c r="BG205" i="1"/>
  <c r="BH205" i="1"/>
  <c r="BI205" i="1"/>
  <c r="BJ205" i="1"/>
  <c r="BL205" i="1"/>
  <c r="BM205" i="1"/>
  <c r="BN205" i="1"/>
  <c r="BO205" i="1"/>
  <c r="D206" i="1"/>
  <c r="G206" i="1"/>
  <c r="AG206" i="1" s="1"/>
  <c r="AH206" i="1" s="1"/>
  <c r="O206" i="1"/>
  <c r="AI206" i="1"/>
  <c r="AJ206" i="1"/>
  <c r="AL206" i="1"/>
  <c r="AN206" i="1"/>
  <c r="AO206" i="1"/>
  <c r="AP206" i="1"/>
  <c r="AQ206" i="1"/>
  <c r="AS206" i="1"/>
  <c r="AT206" i="1"/>
  <c r="AU206" i="1"/>
  <c r="AV206" i="1"/>
  <c r="AW206" i="1"/>
  <c r="AX206" i="1"/>
  <c r="BB206" i="1"/>
  <c r="BD206" i="1"/>
  <c r="BG206" i="1"/>
  <c r="BH206" i="1"/>
  <c r="BI206" i="1"/>
  <c r="BJ206" i="1"/>
  <c r="BL206" i="1"/>
  <c r="BM206" i="1"/>
  <c r="BN206" i="1"/>
  <c r="BO206" i="1"/>
  <c r="D207" i="1"/>
  <c r="G207" i="1"/>
  <c r="AG207" i="1" s="1"/>
  <c r="AH207" i="1" s="1"/>
  <c r="O207" i="1"/>
  <c r="AI207" i="1"/>
  <c r="AJ207" i="1"/>
  <c r="AL207" i="1"/>
  <c r="AN207" i="1"/>
  <c r="AO207" i="1"/>
  <c r="AP207" i="1"/>
  <c r="AQ207" i="1"/>
  <c r="AS207" i="1"/>
  <c r="AT207" i="1"/>
  <c r="AU207" i="1"/>
  <c r="AV207" i="1"/>
  <c r="AW207" i="1"/>
  <c r="AX207" i="1"/>
  <c r="BB207" i="1"/>
  <c r="BD207" i="1"/>
  <c r="BG207" i="1"/>
  <c r="BH207" i="1"/>
  <c r="BI207" i="1"/>
  <c r="BJ207" i="1"/>
  <c r="BL207" i="1"/>
  <c r="BM207" i="1"/>
  <c r="BN207" i="1"/>
  <c r="BO207" i="1"/>
  <c r="D208" i="1"/>
  <c r="G208" i="1"/>
  <c r="AG208" i="1" s="1"/>
  <c r="AH208" i="1" s="1"/>
  <c r="O208" i="1"/>
  <c r="AI208" i="1"/>
  <c r="AJ208" i="1"/>
  <c r="AL208" i="1"/>
  <c r="AN208" i="1"/>
  <c r="AO208" i="1"/>
  <c r="AP208" i="1"/>
  <c r="AQ208" i="1"/>
  <c r="AS208" i="1"/>
  <c r="AT208" i="1"/>
  <c r="AU208" i="1"/>
  <c r="AV208" i="1"/>
  <c r="AW208" i="1"/>
  <c r="AX208" i="1"/>
  <c r="BB208" i="1"/>
  <c r="BD208" i="1"/>
  <c r="BG208" i="1"/>
  <c r="BH208" i="1"/>
  <c r="BI208" i="1"/>
  <c r="BJ208" i="1"/>
  <c r="BL208" i="1"/>
  <c r="BM208" i="1"/>
  <c r="BN208" i="1"/>
  <c r="BO208" i="1"/>
  <c r="D209" i="1"/>
  <c r="G209" i="1"/>
  <c r="AG209" i="1" s="1"/>
  <c r="AH209" i="1" s="1"/>
  <c r="O209" i="1"/>
  <c r="AI209" i="1"/>
  <c r="AJ209" i="1"/>
  <c r="AL209" i="1"/>
  <c r="AN209" i="1"/>
  <c r="AO209" i="1"/>
  <c r="AP209" i="1"/>
  <c r="AQ209" i="1"/>
  <c r="AS209" i="1"/>
  <c r="AT209" i="1"/>
  <c r="AU209" i="1"/>
  <c r="AV209" i="1"/>
  <c r="AW209" i="1"/>
  <c r="AX209" i="1"/>
  <c r="BB209" i="1"/>
  <c r="BD209" i="1"/>
  <c r="BG209" i="1"/>
  <c r="BH209" i="1"/>
  <c r="BI209" i="1"/>
  <c r="BJ209" i="1"/>
  <c r="BL209" i="1"/>
  <c r="BM209" i="1"/>
  <c r="BN209" i="1"/>
  <c r="BO209" i="1"/>
  <c r="D210" i="1"/>
  <c r="G210" i="1"/>
  <c r="AG210" i="1" s="1"/>
  <c r="AH210" i="1" s="1"/>
  <c r="O210" i="1"/>
  <c r="AI210" i="1"/>
  <c r="AJ210" i="1"/>
  <c r="AL210" i="1"/>
  <c r="AN210" i="1"/>
  <c r="AO210" i="1"/>
  <c r="AP210" i="1"/>
  <c r="AQ210" i="1"/>
  <c r="AS210" i="1"/>
  <c r="AT210" i="1"/>
  <c r="AU210" i="1"/>
  <c r="AV210" i="1"/>
  <c r="AW210" i="1"/>
  <c r="AX210" i="1"/>
  <c r="BB210" i="1"/>
  <c r="BD210" i="1"/>
  <c r="BG210" i="1"/>
  <c r="BH210" i="1"/>
  <c r="BI210" i="1"/>
  <c r="BJ210" i="1"/>
  <c r="BL210" i="1"/>
  <c r="BM210" i="1"/>
  <c r="BN210" i="1"/>
  <c r="BO210" i="1"/>
  <c r="D211" i="1"/>
  <c r="G211" i="1"/>
  <c r="AG211" i="1" s="1"/>
  <c r="AH211" i="1" s="1"/>
  <c r="O211" i="1"/>
  <c r="AI211" i="1"/>
  <c r="AJ211" i="1"/>
  <c r="AL211" i="1"/>
  <c r="AN211" i="1"/>
  <c r="AO211" i="1"/>
  <c r="AP211" i="1"/>
  <c r="AQ211" i="1"/>
  <c r="AS211" i="1"/>
  <c r="AT211" i="1"/>
  <c r="AU211" i="1"/>
  <c r="AV211" i="1"/>
  <c r="AW211" i="1"/>
  <c r="AX211" i="1"/>
  <c r="BB211" i="1"/>
  <c r="BD211" i="1"/>
  <c r="BG211" i="1"/>
  <c r="BH211" i="1"/>
  <c r="BI211" i="1"/>
  <c r="BJ211" i="1"/>
  <c r="BL211" i="1"/>
  <c r="BM211" i="1"/>
  <c r="BN211" i="1"/>
  <c r="BO211" i="1"/>
  <c r="D212" i="1"/>
  <c r="G212" i="1"/>
  <c r="AG212" i="1" s="1"/>
  <c r="AH212" i="1" s="1"/>
  <c r="O212" i="1"/>
  <c r="AI212" i="1"/>
  <c r="AJ212" i="1"/>
  <c r="AL212" i="1"/>
  <c r="AN212" i="1"/>
  <c r="AO212" i="1"/>
  <c r="AP212" i="1"/>
  <c r="AQ212" i="1"/>
  <c r="AS212" i="1"/>
  <c r="AT212" i="1"/>
  <c r="AU212" i="1"/>
  <c r="AV212" i="1"/>
  <c r="AW212" i="1"/>
  <c r="AX212" i="1"/>
  <c r="BB212" i="1"/>
  <c r="BD212" i="1"/>
  <c r="BG212" i="1"/>
  <c r="BH212" i="1"/>
  <c r="BI212" i="1"/>
  <c r="BJ212" i="1"/>
  <c r="BL212" i="1"/>
  <c r="BM212" i="1"/>
  <c r="BN212" i="1"/>
  <c r="BO212" i="1"/>
  <c r="D213" i="1"/>
  <c r="G213" i="1"/>
  <c r="AG213" i="1" s="1"/>
  <c r="AH213" i="1" s="1"/>
  <c r="O213" i="1"/>
  <c r="AI213" i="1"/>
  <c r="AJ213" i="1"/>
  <c r="AL213" i="1"/>
  <c r="AN213" i="1"/>
  <c r="AO213" i="1"/>
  <c r="AP213" i="1"/>
  <c r="AQ213" i="1"/>
  <c r="AS213" i="1"/>
  <c r="AT213" i="1"/>
  <c r="AU213" i="1"/>
  <c r="AV213" i="1"/>
  <c r="AW213" i="1"/>
  <c r="AX213" i="1"/>
  <c r="BB213" i="1"/>
  <c r="BD213" i="1"/>
  <c r="BG213" i="1"/>
  <c r="BH213" i="1"/>
  <c r="BI213" i="1"/>
  <c r="BJ213" i="1"/>
  <c r="BL213" i="1"/>
  <c r="BM213" i="1"/>
  <c r="BN213" i="1"/>
  <c r="BO213" i="1"/>
  <c r="D214" i="1"/>
  <c r="G214" i="1"/>
  <c r="AG214" i="1" s="1"/>
  <c r="AH214" i="1" s="1"/>
  <c r="O214" i="1"/>
  <c r="AI214" i="1"/>
  <c r="AJ214" i="1"/>
  <c r="AL214" i="1"/>
  <c r="AN214" i="1"/>
  <c r="AO214" i="1"/>
  <c r="AP214" i="1"/>
  <c r="AQ214" i="1"/>
  <c r="AS214" i="1"/>
  <c r="AT214" i="1"/>
  <c r="AU214" i="1"/>
  <c r="AV214" i="1"/>
  <c r="AW214" i="1"/>
  <c r="AX214" i="1"/>
  <c r="BB214" i="1"/>
  <c r="BD214" i="1"/>
  <c r="BG214" i="1"/>
  <c r="BH214" i="1"/>
  <c r="BI214" i="1"/>
  <c r="BJ214" i="1"/>
  <c r="BL214" i="1"/>
  <c r="BM214" i="1"/>
  <c r="BN214" i="1"/>
  <c r="BO214" i="1"/>
  <c r="D215" i="1"/>
  <c r="G215" i="1"/>
  <c r="AG215" i="1" s="1"/>
  <c r="AH215" i="1" s="1"/>
  <c r="O215" i="1"/>
  <c r="AI215" i="1"/>
  <c r="AJ215" i="1"/>
  <c r="AL215" i="1"/>
  <c r="AN215" i="1"/>
  <c r="AO215" i="1"/>
  <c r="AP215" i="1"/>
  <c r="AQ215" i="1"/>
  <c r="AS215" i="1"/>
  <c r="AT215" i="1"/>
  <c r="AU215" i="1"/>
  <c r="AV215" i="1"/>
  <c r="AW215" i="1"/>
  <c r="AX215" i="1"/>
  <c r="BB215" i="1"/>
  <c r="BD215" i="1"/>
  <c r="BG215" i="1"/>
  <c r="BH215" i="1"/>
  <c r="BI215" i="1"/>
  <c r="BJ215" i="1"/>
  <c r="BL215" i="1"/>
  <c r="BM215" i="1"/>
  <c r="BN215" i="1"/>
  <c r="BO215" i="1"/>
  <c r="D216" i="1"/>
  <c r="G216" i="1"/>
  <c r="AG216" i="1" s="1"/>
  <c r="AH216" i="1" s="1"/>
  <c r="O216" i="1"/>
  <c r="AI216" i="1"/>
  <c r="AJ216" i="1"/>
  <c r="AL216" i="1"/>
  <c r="AN216" i="1"/>
  <c r="AO216" i="1"/>
  <c r="AP216" i="1"/>
  <c r="AQ216" i="1"/>
  <c r="AS216" i="1"/>
  <c r="AT216" i="1"/>
  <c r="AU216" i="1"/>
  <c r="AV216" i="1"/>
  <c r="AW216" i="1"/>
  <c r="AX216" i="1"/>
  <c r="BB216" i="1"/>
  <c r="BD216" i="1"/>
  <c r="BG216" i="1"/>
  <c r="BH216" i="1"/>
  <c r="BI216" i="1"/>
  <c r="BJ216" i="1"/>
  <c r="BL216" i="1"/>
  <c r="BM216" i="1"/>
  <c r="BN216" i="1"/>
  <c r="BO216" i="1"/>
  <c r="D217" i="1"/>
  <c r="G217" i="1"/>
  <c r="AG217" i="1" s="1"/>
  <c r="AH217" i="1" s="1"/>
  <c r="O217" i="1"/>
  <c r="AI217" i="1"/>
  <c r="AJ217" i="1"/>
  <c r="AL217" i="1"/>
  <c r="AN217" i="1"/>
  <c r="AO217" i="1"/>
  <c r="AP217" i="1"/>
  <c r="AQ217" i="1"/>
  <c r="AS217" i="1"/>
  <c r="AT217" i="1"/>
  <c r="AU217" i="1"/>
  <c r="AV217" i="1"/>
  <c r="AW217" i="1"/>
  <c r="AX217" i="1"/>
  <c r="BB217" i="1"/>
  <c r="BD217" i="1"/>
  <c r="BG217" i="1"/>
  <c r="BH217" i="1"/>
  <c r="BI217" i="1"/>
  <c r="BJ217" i="1"/>
  <c r="BL217" i="1"/>
  <c r="BM217" i="1"/>
  <c r="BN217" i="1"/>
  <c r="BO217" i="1"/>
  <c r="D218" i="1"/>
  <c r="G218" i="1"/>
  <c r="AG218" i="1" s="1"/>
  <c r="AH218" i="1" s="1"/>
  <c r="O218" i="1"/>
  <c r="AI218" i="1"/>
  <c r="AJ218" i="1"/>
  <c r="AL218" i="1"/>
  <c r="AN218" i="1"/>
  <c r="AO218" i="1"/>
  <c r="AP218" i="1"/>
  <c r="AQ218" i="1"/>
  <c r="AS218" i="1"/>
  <c r="AT218" i="1"/>
  <c r="AU218" i="1"/>
  <c r="AV218" i="1"/>
  <c r="AW218" i="1"/>
  <c r="AX218" i="1"/>
  <c r="BB218" i="1"/>
  <c r="BD218" i="1"/>
  <c r="BG218" i="1"/>
  <c r="BH218" i="1"/>
  <c r="BI218" i="1"/>
  <c r="BJ218" i="1"/>
  <c r="BL218" i="1"/>
  <c r="BM218" i="1"/>
  <c r="BN218" i="1"/>
  <c r="BO218" i="1"/>
  <c r="D219" i="1"/>
  <c r="G219" i="1"/>
  <c r="AG219" i="1" s="1"/>
  <c r="AH219" i="1" s="1"/>
  <c r="O219" i="1"/>
  <c r="AI219" i="1"/>
  <c r="AJ219" i="1"/>
  <c r="AL219" i="1"/>
  <c r="AN219" i="1"/>
  <c r="AO219" i="1"/>
  <c r="AP219" i="1"/>
  <c r="AQ219" i="1"/>
  <c r="AS219" i="1"/>
  <c r="AT219" i="1"/>
  <c r="AU219" i="1"/>
  <c r="AV219" i="1"/>
  <c r="AW219" i="1"/>
  <c r="AX219" i="1"/>
  <c r="BB219" i="1"/>
  <c r="BD219" i="1"/>
  <c r="BG219" i="1"/>
  <c r="BH219" i="1"/>
  <c r="BI219" i="1"/>
  <c r="BJ219" i="1"/>
  <c r="BL219" i="1"/>
  <c r="BM219" i="1"/>
  <c r="BN219" i="1"/>
  <c r="BO219" i="1"/>
  <c r="D220" i="1"/>
  <c r="G220" i="1"/>
  <c r="AG220" i="1" s="1"/>
  <c r="AH220" i="1" s="1"/>
  <c r="O220" i="1"/>
  <c r="AI220" i="1"/>
  <c r="AJ220" i="1"/>
  <c r="AL220" i="1"/>
  <c r="AN220" i="1"/>
  <c r="AO220" i="1"/>
  <c r="AP220" i="1"/>
  <c r="AQ220" i="1"/>
  <c r="AS220" i="1"/>
  <c r="AT220" i="1"/>
  <c r="AU220" i="1"/>
  <c r="AV220" i="1"/>
  <c r="AW220" i="1"/>
  <c r="AX220" i="1"/>
  <c r="BB220" i="1"/>
  <c r="BD220" i="1"/>
  <c r="BG220" i="1"/>
  <c r="BH220" i="1"/>
  <c r="BI220" i="1"/>
  <c r="BJ220" i="1"/>
  <c r="BL220" i="1"/>
  <c r="BM220" i="1"/>
  <c r="BN220" i="1"/>
  <c r="BO220" i="1"/>
  <c r="D221" i="1"/>
  <c r="G221" i="1"/>
  <c r="AG221" i="1" s="1"/>
  <c r="AH221" i="1" s="1"/>
  <c r="O221" i="1"/>
  <c r="AI221" i="1"/>
  <c r="AJ221" i="1"/>
  <c r="AL221" i="1"/>
  <c r="AN221" i="1"/>
  <c r="AO221" i="1"/>
  <c r="AP221" i="1"/>
  <c r="AQ221" i="1"/>
  <c r="AS221" i="1"/>
  <c r="AT221" i="1"/>
  <c r="AU221" i="1"/>
  <c r="AV221" i="1"/>
  <c r="AW221" i="1"/>
  <c r="AX221" i="1"/>
  <c r="BB221" i="1"/>
  <c r="BD221" i="1"/>
  <c r="BG221" i="1"/>
  <c r="BH221" i="1"/>
  <c r="BI221" i="1"/>
  <c r="BJ221" i="1"/>
  <c r="BL221" i="1"/>
  <c r="BM221" i="1"/>
  <c r="BN221" i="1"/>
  <c r="BO221" i="1"/>
  <c r="D222" i="1"/>
  <c r="G222" i="1"/>
  <c r="AG222" i="1" s="1"/>
  <c r="AH222" i="1" s="1"/>
  <c r="O222" i="1"/>
  <c r="AI222" i="1"/>
  <c r="AJ222" i="1"/>
  <c r="AL222" i="1"/>
  <c r="AN222" i="1"/>
  <c r="AO222" i="1"/>
  <c r="AP222" i="1"/>
  <c r="AQ222" i="1"/>
  <c r="AS222" i="1"/>
  <c r="AT222" i="1"/>
  <c r="AU222" i="1"/>
  <c r="AV222" i="1"/>
  <c r="AW222" i="1"/>
  <c r="AX222" i="1"/>
  <c r="BB222" i="1"/>
  <c r="BD222" i="1"/>
  <c r="BG222" i="1"/>
  <c r="BH222" i="1"/>
  <c r="BI222" i="1"/>
  <c r="BJ222" i="1"/>
  <c r="BL222" i="1"/>
  <c r="BM222" i="1"/>
  <c r="BN222" i="1"/>
  <c r="BO222" i="1"/>
  <c r="D223" i="1"/>
  <c r="G223" i="1"/>
  <c r="AG223" i="1" s="1"/>
  <c r="AH223" i="1" s="1"/>
  <c r="O223" i="1"/>
  <c r="AI223" i="1"/>
  <c r="AJ223" i="1"/>
  <c r="AL223" i="1"/>
  <c r="AN223" i="1"/>
  <c r="AO223" i="1"/>
  <c r="AP223" i="1"/>
  <c r="AQ223" i="1"/>
  <c r="AS223" i="1"/>
  <c r="AT223" i="1"/>
  <c r="AU223" i="1"/>
  <c r="AV223" i="1"/>
  <c r="AW223" i="1"/>
  <c r="AX223" i="1"/>
  <c r="BB223" i="1"/>
  <c r="BD223" i="1"/>
  <c r="BG223" i="1"/>
  <c r="BH223" i="1"/>
  <c r="BI223" i="1"/>
  <c r="BJ223" i="1"/>
  <c r="BL223" i="1"/>
  <c r="BM223" i="1"/>
  <c r="BN223" i="1"/>
  <c r="BO223" i="1"/>
  <c r="D224" i="1"/>
  <c r="G224" i="1"/>
  <c r="AG224" i="1" s="1"/>
  <c r="AH224" i="1" s="1"/>
  <c r="O224" i="1"/>
  <c r="AI224" i="1"/>
  <c r="AJ224" i="1"/>
  <c r="AL224" i="1"/>
  <c r="AN224" i="1"/>
  <c r="AO224" i="1"/>
  <c r="AP224" i="1"/>
  <c r="AQ224" i="1"/>
  <c r="AS224" i="1"/>
  <c r="AT224" i="1"/>
  <c r="AU224" i="1"/>
  <c r="AV224" i="1"/>
  <c r="AW224" i="1"/>
  <c r="AX224" i="1"/>
  <c r="BB224" i="1"/>
  <c r="BD224" i="1"/>
  <c r="BG224" i="1"/>
  <c r="BH224" i="1"/>
  <c r="BI224" i="1"/>
  <c r="BJ224" i="1"/>
  <c r="BL224" i="1"/>
  <c r="BM224" i="1"/>
  <c r="BN224" i="1"/>
  <c r="BO224" i="1"/>
  <c r="D225" i="1"/>
  <c r="G225" i="1"/>
  <c r="O225" i="1"/>
  <c r="AI225" i="1"/>
  <c r="AJ225" i="1"/>
  <c r="AL225" i="1"/>
  <c r="AN225" i="1"/>
  <c r="AO225" i="1"/>
  <c r="AP225" i="1"/>
  <c r="AQ225" i="1"/>
  <c r="AS225" i="1"/>
  <c r="AT225" i="1"/>
  <c r="AU225" i="1"/>
  <c r="AV225" i="1"/>
  <c r="AW225" i="1"/>
  <c r="AX225" i="1"/>
  <c r="BB225" i="1"/>
  <c r="BD225" i="1"/>
  <c r="BG225" i="1"/>
  <c r="BH225" i="1"/>
  <c r="BI225" i="1"/>
  <c r="BJ225" i="1"/>
  <c r="BL225" i="1"/>
  <c r="BM225" i="1"/>
  <c r="BN225" i="1"/>
  <c r="BO225" i="1"/>
  <c r="D226" i="1"/>
  <c r="G226" i="1"/>
  <c r="AG226" i="1" s="1"/>
  <c r="AH226" i="1" s="1"/>
  <c r="O226" i="1"/>
  <c r="AI226" i="1"/>
  <c r="AJ226" i="1"/>
  <c r="AL226" i="1"/>
  <c r="AN226" i="1"/>
  <c r="AO226" i="1"/>
  <c r="AP226" i="1"/>
  <c r="AQ226" i="1"/>
  <c r="AS226" i="1"/>
  <c r="AT226" i="1"/>
  <c r="AU226" i="1"/>
  <c r="AV226" i="1"/>
  <c r="AW226" i="1"/>
  <c r="AX226" i="1"/>
  <c r="BB226" i="1"/>
  <c r="BD226" i="1"/>
  <c r="BG226" i="1"/>
  <c r="BH226" i="1"/>
  <c r="BI226" i="1"/>
  <c r="BJ226" i="1"/>
  <c r="BL226" i="1"/>
  <c r="BM226" i="1"/>
  <c r="BN226" i="1"/>
  <c r="BO226" i="1"/>
  <c r="D227" i="1"/>
  <c r="G227" i="1"/>
  <c r="O227" i="1"/>
  <c r="AI227" i="1"/>
  <c r="AJ227" i="1"/>
  <c r="AL227" i="1"/>
  <c r="AN227" i="1"/>
  <c r="AO227" i="1"/>
  <c r="AP227" i="1"/>
  <c r="AQ227" i="1"/>
  <c r="AS227" i="1"/>
  <c r="AT227" i="1"/>
  <c r="AU227" i="1"/>
  <c r="AV227" i="1"/>
  <c r="AW227" i="1"/>
  <c r="AX227" i="1"/>
  <c r="BB227" i="1"/>
  <c r="BD227" i="1"/>
  <c r="BG227" i="1"/>
  <c r="BH227" i="1"/>
  <c r="BI227" i="1"/>
  <c r="BJ227" i="1"/>
  <c r="BL227" i="1"/>
  <c r="BM227" i="1"/>
  <c r="BN227" i="1"/>
  <c r="BO227" i="1"/>
  <c r="D228" i="1"/>
  <c r="G228" i="1"/>
  <c r="O228" i="1"/>
  <c r="AI228" i="1"/>
  <c r="AJ228" i="1"/>
  <c r="AL228" i="1"/>
  <c r="AN228" i="1"/>
  <c r="AO228" i="1"/>
  <c r="AP228" i="1"/>
  <c r="AQ228" i="1"/>
  <c r="AS228" i="1"/>
  <c r="AT228" i="1"/>
  <c r="AU228" i="1"/>
  <c r="AV228" i="1"/>
  <c r="AW228" i="1"/>
  <c r="AX228" i="1"/>
  <c r="BB228" i="1"/>
  <c r="BD228" i="1"/>
  <c r="BG228" i="1"/>
  <c r="BH228" i="1"/>
  <c r="BI228" i="1"/>
  <c r="BJ228" i="1"/>
  <c r="BL228" i="1"/>
  <c r="BM228" i="1"/>
  <c r="BN228" i="1"/>
  <c r="BO228" i="1"/>
  <c r="D229" i="1"/>
  <c r="G229" i="1"/>
  <c r="O229" i="1"/>
  <c r="AI229" i="1"/>
  <c r="AJ229" i="1"/>
  <c r="AL229" i="1"/>
  <c r="AN229" i="1"/>
  <c r="AO229" i="1"/>
  <c r="AP229" i="1"/>
  <c r="AQ229" i="1"/>
  <c r="AS229" i="1"/>
  <c r="AT229" i="1"/>
  <c r="AU229" i="1"/>
  <c r="AV229" i="1"/>
  <c r="AW229" i="1"/>
  <c r="AX229" i="1"/>
  <c r="BB229" i="1"/>
  <c r="BD229" i="1"/>
  <c r="BG229" i="1"/>
  <c r="BH229" i="1"/>
  <c r="BI229" i="1"/>
  <c r="BJ229" i="1"/>
  <c r="BL229" i="1"/>
  <c r="BM229" i="1"/>
  <c r="BN229" i="1"/>
  <c r="BO229" i="1"/>
  <c r="D230" i="1"/>
  <c r="G230" i="1"/>
  <c r="O230" i="1"/>
  <c r="AI230" i="1"/>
  <c r="AJ230" i="1"/>
  <c r="AL230" i="1"/>
  <c r="AN230" i="1"/>
  <c r="AO230" i="1"/>
  <c r="AP230" i="1"/>
  <c r="AQ230" i="1"/>
  <c r="AS230" i="1"/>
  <c r="AT230" i="1"/>
  <c r="AU230" i="1"/>
  <c r="AV230" i="1"/>
  <c r="AW230" i="1"/>
  <c r="AX230" i="1"/>
  <c r="BB230" i="1"/>
  <c r="BD230" i="1"/>
  <c r="BG230" i="1"/>
  <c r="BH230" i="1"/>
  <c r="BI230" i="1"/>
  <c r="BJ230" i="1"/>
  <c r="BL230" i="1"/>
  <c r="BM230" i="1"/>
  <c r="BN230" i="1"/>
  <c r="BO230" i="1"/>
  <c r="D231" i="1"/>
  <c r="G231" i="1"/>
  <c r="O231" i="1"/>
  <c r="AI231" i="1"/>
  <c r="AJ231" i="1"/>
  <c r="AL231" i="1"/>
  <c r="AN231" i="1"/>
  <c r="AO231" i="1"/>
  <c r="AP231" i="1"/>
  <c r="AQ231" i="1"/>
  <c r="AS231" i="1"/>
  <c r="AT231" i="1"/>
  <c r="AU231" i="1"/>
  <c r="AV231" i="1"/>
  <c r="AW231" i="1"/>
  <c r="AX231" i="1"/>
  <c r="BB231" i="1"/>
  <c r="BD231" i="1"/>
  <c r="BG231" i="1"/>
  <c r="BH231" i="1"/>
  <c r="BI231" i="1"/>
  <c r="BJ231" i="1"/>
  <c r="BL231" i="1"/>
  <c r="BM231" i="1"/>
  <c r="BN231" i="1"/>
  <c r="BO231" i="1"/>
  <c r="D232" i="1"/>
  <c r="G232" i="1"/>
  <c r="O232" i="1"/>
  <c r="AI232" i="1"/>
  <c r="AJ232" i="1"/>
  <c r="AL232" i="1"/>
  <c r="AN232" i="1"/>
  <c r="AO232" i="1"/>
  <c r="AP232" i="1"/>
  <c r="AQ232" i="1"/>
  <c r="AS232" i="1"/>
  <c r="AT232" i="1"/>
  <c r="AU232" i="1"/>
  <c r="AV232" i="1"/>
  <c r="AW232" i="1"/>
  <c r="AX232" i="1"/>
  <c r="BB232" i="1"/>
  <c r="BD232" i="1"/>
  <c r="BG232" i="1"/>
  <c r="BH232" i="1"/>
  <c r="BI232" i="1"/>
  <c r="BJ232" i="1"/>
  <c r="BL232" i="1"/>
  <c r="BM232" i="1"/>
  <c r="BN232" i="1"/>
  <c r="BO232" i="1"/>
  <c r="D233" i="1"/>
  <c r="G233" i="1"/>
  <c r="O233" i="1"/>
  <c r="AI233" i="1"/>
  <c r="AJ233" i="1"/>
  <c r="AL233" i="1"/>
  <c r="AN233" i="1"/>
  <c r="AO233" i="1"/>
  <c r="AP233" i="1"/>
  <c r="AQ233" i="1"/>
  <c r="AS233" i="1"/>
  <c r="AT233" i="1"/>
  <c r="AU233" i="1"/>
  <c r="AV233" i="1"/>
  <c r="AW233" i="1"/>
  <c r="AX233" i="1"/>
  <c r="BB233" i="1"/>
  <c r="BD233" i="1"/>
  <c r="BG233" i="1"/>
  <c r="BH233" i="1"/>
  <c r="BI233" i="1"/>
  <c r="BJ233" i="1"/>
  <c r="BL233" i="1"/>
  <c r="BM233" i="1"/>
  <c r="BN233" i="1"/>
  <c r="BO233" i="1"/>
  <c r="D234" i="1"/>
  <c r="G234" i="1"/>
  <c r="O234" i="1"/>
  <c r="AI234" i="1"/>
  <c r="AJ234" i="1"/>
  <c r="AL234" i="1"/>
  <c r="AN234" i="1"/>
  <c r="AO234" i="1"/>
  <c r="AP234" i="1"/>
  <c r="AQ234" i="1"/>
  <c r="AS234" i="1"/>
  <c r="AT234" i="1"/>
  <c r="AU234" i="1"/>
  <c r="AV234" i="1"/>
  <c r="AW234" i="1"/>
  <c r="AX234" i="1"/>
  <c r="BB234" i="1"/>
  <c r="BD234" i="1"/>
  <c r="BG234" i="1"/>
  <c r="BH234" i="1"/>
  <c r="BI234" i="1"/>
  <c r="BJ234" i="1"/>
  <c r="BL234" i="1"/>
  <c r="BM234" i="1"/>
  <c r="BN234" i="1"/>
  <c r="BO234" i="1"/>
  <c r="D235" i="1"/>
  <c r="G235" i="1"/>
  <c r="O235" i="1"/>
  <c r="AZ235" i="1" s="1"/>
  <c r="AG235" i="1"/>
  <c r="AH235" i="1"/>
  <c r="AI235" i="1"/>
  <c r="AJ235" i="1"/>
  <c r="AK235" i="1"/>
  <c r="AL235" i="1"/>
  <c r="AN235" i="1"/>
  <c r="AO235" i="1"/>
  <c r="AP235" i="1"/>
  <c r="AQ235" i="1"/>
  <c r="AS235" i="1"/>
  <c r="AT235" i="1"/>
  <c r="AU235" i="1"/>
  <c r="AV235" i="1"/>
  <c r="AW235" i="1"/>
  <c r="AX235" i="1"/>
  <c r="BB235" i="1"/>
  <c r="BD235" i="1"/>
  <c r="BG235" i="1"/>
  <c r="BH235" i="1"/>
  <c r="BI235" i="1"/>
  <c r="BJ235" i="1"/>
  <c r="BL235" i="1"/>
  <c r="BM235" i="1"/>
  <c r="BN235" i="1"/>
  <c r="BO235" i="1"/>
  <c r="D236" i="1"/>
  <c r="G236" i="1"/>
  <c r="O236" i="1"/>
  <c r="AZ236" i="1" s="1"/>
  <c r="AG236" i="1"/>
  <c r="AH236" i="1"/>
  <c r="AI236" i="1"/>
  <c r="AJ236" i="1"/>
  <c r="AK236" i="1"/>
  <c r="AL236" i="1"/>
  <c r="AN236" i="1"/>
  <c r="AO236" i="1"/>
  <c r="AP236" i="1"/>
  <c r="AQ236" i="1"/>
  <c r="AS236" i="1"/>
  <c r="AT236" i="1"/>
  <c r="AU236" i="1"/>
  <c r="AV236" i="1"/>
  <c r="AW236" i="1"/>
  <c r="AX236" i="1"/>
  <c r="BB236" i="1"/>
  <c r="BD236" i="1"/>
  <c r="BG236" i="1"/>
  <c r="BH236" i="1"/>
  <c r="BI236" i="1"/>
  <c r="BJ236" i="1"/>
  <c r="BL236" i="1"/>
  <c r="BM236" i="1"/>
  <c r="BN236" i="1"/>
  <c r="BO236" i="1"/>
  <c r="D237" i="1"/>
  <c r="G237" i="1"/>
  <c r="O237" i="1"/>
  <c r="AZ237" i="1" s="1"/>
  <c r="AG237" i="1"/>
  <c r="AH237" i="1"/>
  <c r="AI237" i="1"/>
  <c r="AJ237" i="1"/>
  <c r="AK237" i="1"/>
  <c r="AL237" i="1"/>
  <c r="AN237" i="1"/>
  <c r="AO237" i="1"/>
  <c r="AP237" i="1"/>
  <c r="AQ237" i="1"/>
  <c r="AS237" i="1"/>
  <c r="AT237" i="1"/>
  <c r="AU237" i="1"/>
  <c r="AV237" i="1"/>
  <c r="AW237" i="1"/>
  <c r="AX237" i="1"/>
  <c r="BB237" i="1"/>
  <c r="BD237" i="1"/>
  <c r="BG237" i="1"/>
  <c r="BH237" i="1"/>
  <c r="BI237" i="1"/>
  <c r="BJ237" i="1"/>
  <c r="BL237" i="1"/>
  <c r="BM237" i="1"/>
  <c r="BN237" i="1"/>
  <c r="BO237" i="1"/>
  <c r="D238" i="1"/>
  <c r="G238" i="1"/>
  <c r="O238" i="1"/>
  <c r="AZ238" i="1" s="1"/>
  <c r="AG238" i="1"/>
  <c r="AH238" i="1"/>
  <c r="AI238" i="1"/>
  <c r="AJ238" i="1"/>
  <c r="AK238" i="1"/>
  <c r="AL238" i="1"/>
  <c r="AN238" i="1"/>
  <c r="AO238" i="1"/>
  <c r="AP238" i="1"/>
  <c r="AQ238" i="1"/>
  <c r="AS238" i="1"/>
  <c r="AT238" i="1"/>
  <c r="AU238" i="1"/>
  <c r="AV238" i="1"/>
  <c r="AW238" i="1"/>
  <c r="AX238" i="1"/>
  <c r="BB238" i="1"/>
  <c r="BD238" i="1"/>
  <c r="BG238" i="1"/>
  <c r="BH238" i="1"/>
  <c r="BI238" i="1"/>
  <c r="BJ238" i="1"/>
  <c r="BL238" i="1"/>
  <c r="BM238" i="1"/>
  <c r="BN238" i="1"/>
  <c r="BO238" i="1"/>
  <c r="D239" i="1"/>
  <c r="G239" i="1"/>
  <c r="O239" i="1"/>
  <c r="AG239" i="1"/>
  <c r="AH239" i="1"/>
  <c r="AI239" i="1"/>
  <c r="AJ239" i="1"/>
  <c r="AK239" i="1"/>
  <c r="AL239" i="1"/>
  <c r="AN239" i="1"/>
  <c r="AO239" i="1"/>
  <c r="AP239" i="1"/>
  <c r="AQ239" i="1"/>
  <c r="AS239" i="1"/>
  <c r="AT239" i="1"/>
  <c r="AU239" i="1"/>
  <c r="AV239" i="1"/>
  <c r="AW239" i="1"/>
  <c r="AX239" i="1"/>
  <c r="AZ239" i="1"/>
  <c r="BB239" i="1"/>
  <c r="BD239" i="1"/>
  <c r="BG239" i="1"/>
  <c r="BH239" i="1"/>
  <c r="BI239" i="1"/>
  <c r="BJ239" i="1"/>
  <c r="BL239" i="1"/>
  <c r="BM239" i="1"/>
  <c r="BN239" i="1"/>
  <c r="BO239" i="1"/>
  <c r="D240" i="1"/>
  <c r="AO240" i="1" s="1"/>
  <c r="G240" i="1"/>
  <c r="AG240" i="1" s="1"/>
  <c r="AH240" i="1" s="1"/>
  <c r="N240" i="1"/>
  <c r="AY240" i="1" s="1"/>
  <c r="O240" i="1"/>
  <c r="AI240" i="1"/>
  <c r="AJ240" i="1" s="1"/>
  <c r="AK240" i="1"/>
  <c r="AL240" i="1"/>
  <c r="AN240" i="1"/>
  <c r="AP240" i="1"/>
  <c r="AQ240" i="1"/>
  <c r="AR240" i="1"/>
  <c r="AS240" i="1"/>
  <c r="AT240" i="1"/>
  <c r="AU240" i="1"/>
  <c r="AV240" i="1"/>
  <c r="AW240" i="1"/>
  <c r="AX240" i="1"/>
  <c r="AZ240" i="1"/>
  <c r="BB240" i="1"/>
  <c r="BD240" i="1"/>
  <c r="BG240" i="1"/>
  <c r="BH240" i="1"/>
  <c r="BI240" i="1"/>
  <c r="BJ240" i="1"/>
  <c r="BL240" i="1"/>
  <c r="BM240" i="1"/>
  <c r="BN240" i="1"/>
  <c r="BO240" i="1"/>
  <c r="D241" i="1"/>
  <c r="AO241" i="1" s="1"/>
  <c r="G241" i="1"/>
  <c r="AG241" i="1" s="1"/>
  <c r="AH241" i="1" s="1"/>
  <c r="N241" i="1"/>
  <c r="AY241" i="1" s="1"/>
  <c r="O241" i="1"/>
  <c r="AI241" i="1"/>
  <c r="AJ241" i="1" s="1"/>
  <c r="AK241" i="1"/>
  <c r="AL241" i="1"/>
  <c r="AN241" i="1"/>
  <c r="AP241" i="1"/>
  <c r="AQ241" i="1"/>
  <c r="AR241" i="1"/>
  <c r="AS241" i="1"/>
  <c r="AT241" i="1"/>
  <c r="AU241" i="1"/>
  <c r="AV241" i="1"/>
  <c r="AW241" i="1"/>
  <c r="AX241" i="1"/>
  <c r="AZ241" i="1"/>
  <c r="BB241" i="1"/>
  <c r="BD241" i="1"/>
  <c r="BG241" i="1"/>
  <c r="BH241" i="1"/>
  <c r="BI241" i="1"/>
  <c r="BJ241" i="1"/>
  <c r="BL241" i="1"/>
  <c r="BM241" i="1"/>
  <c r="BN241" i="1"/>
  <c r="BO241" i="1"/>
  <c r="D242" i="1"/>
  <c r="AO242" i="1" s="1"/>
  <c r="G242" i="1"/>
  <c r="AG242" i="1" s="1"/>
  <c r="AH242" i="1" s="1"/>
  <c r="N242" i="1"/>
  <c r="AY242" i="1" s="1"/>
  <c r="O242" i="1"/>
  <c r="AI242" i="1"/>
  <c r="AJ242" i="1" s="1"/>
  <c r="AK242" i="1"/>
  <c r="AL242" i="1"/>
  <c r="AN242" i="1"/>
  <c r="AP242" i="1"/>
  <c r="AQ242" i="1"/>
  <c r="AR242" i="1"/>
  <c r="AS242" i="1"/>
  <c r="AT242" i="1"/>
  <c r="AU242" i="1"/>
  <c r="AV242" i="1"/>
  <c r="AW242" i="1"/>
  <c r="AX242" i="1"/>
  <c r="AZ242" i="1"/>
  <c r="BB242" i="1"/>
  <c r="BD242" i="1"/>
  <c r="BG242" i="1"/>
  <c r="BH242" i="1"/>
  <c r="BI242" i="1"/>
  <c r="BJ242" i="1"/>
  <c r="BL242" i="1"/>
  <c r="BM242" i="1"/>
  <c r="BN242" i="1"/>
  <c r="BO242" i="1"/>
  <c r="D243" i="1"/>
  <c r="AO243" i="1" s="1"/>
  <c r="G243" i="1"/>
  <c r="AG243" i="1" s="1"/>
  <c r="AH243" i="1" s="1"/>
  <c r="N243" i="1"/>
  <c r="AY243" i="1" s="1"/>
  <c r="O243" i="1"/>
  <c r="AI243" i="1"/>
  <c r="AJ243" i="1" s="1"/>
  <c r="AK243" i="1"/>
  <c r="AL243" i="1"/>
  <c r="AN243" i="1"/>
  <c r="AP243" i="1"/>
  <c r="AQ243" i="1"/>
  <c r="AR243" i="1"/>
  <c r="AS243" i="1"/>
  <c r="AT243" i="1"/>
  <c r="AU243" i="1"/>
  <c r="AV243" i="1"/>
  <c r="AW243" i="1"/>
  <c r="AX243" i="1"/>
  <c r="AZ243" i="1"/>
  <c r="BB243" i="1"/>
  <c r="BD243" i="1"/>
  <c r="BG243" i="1"/>
  <c r="BH243" i="1"/>
  <c r="BI243" i="1"/>
  <c r="BJ243" i="1"/>
  <c r="BL243" i="1"/>
  <c r="BM243" i="1"/>
  <c r="BN243" i="1"/>
  <c r="BO243" i="1"/>
  <c r="D244" i="1"/>
  <c r="AO244" i="1" s="1"/>
  <c r="G244" i="1"/>
  <c r="AG244" i="1" s="1"/>
  <c r="AH244" i="1" s="1"/>
  <c r="N244" i="1"/>
  <c r="AY244" i="1" s="1"/>
  <c r="O244" i="1"/>
  <c r="AI244" i="1"/>
  <c r="AJ244" i="1" s="1"/>
  <c r="AK244" i="1"/>
  <c r="AL244" i="1"/>
  <c r="AN244" i="1"/>
  <c r="AP244" i="1"/>
  <c r="AQ244" i="1"/>
  <c r="AR244" i="1"/>
  <c r="AS244" i="1"/>
  <c r="AT244" i="1"/>
  <c r="AU244" i="1"/>
  <c r="AV244" i="1"/>
  <c r="AW244" i="1"/>
  <c r="AX244" i="1"/>
  <c r="AZ244" i="1"/>
  <c r="BB244" i="1"/>
  <c r="BD244" i="1"/>
  <c r="BG244" i="1"/>
  <c r="BH244" i="1"/>
  <c r="BI244" i="1"/>
  <c r="BJ244" i="1"/>
  <c r="BL244" i="1"/>
  <c r="BM244" i="1"/>
  <c r="BN244" i="1"/>
  <c r="BO244" i="1"/>
  <c r="D245" i="1"/>
  <c r="AO245" i="1" s="1"/>
  <c r="G245" i="1"/>
  <c r="AG245" i="1" s="1"/>
  <c r="AH245" i="1" s="1"/>
  <c r="N245" i="1"/>
  <c r="AY245" i="1" s="1"/>
  <c r="O245" i="1"/>
  <c r="AI245" i="1"/>
  <c r="AJ245" i="1" s="1"/>
  <c r="AK245" i="1"/>
  <c r="AL245" i="1"/>
  <c r="AN245" i="1"/>
  <c r="AP245" i="1"/>
  <c r="AQ245" i="1"/>
  <c r="AR245" i="1"/>
  <c r="AS245" i="1"/>
  <c r="AT245" i="1"/>
  <c r="AU245" i="1"/>
  <c r="AV245" i="1"/>
  <c r="AW245" i="1"/>
  <c r="AX245" i="1"/>
  <c r="AZ245" i="1"/>
  <c r="BB245" i="1"/>
  <c r="BD245" i="1"/>
  <c r="BG245" i="1"/>
  <c r="BH245" i="1"/>
  <c r="BI245" i="1"/>
  <c r="BJ245" i="1"/>
  <c r="BL245" i="1"/>
  <c r="BM245" i="1"/>
  <c r="BN245" i="1"/>
  <c r="BO245" i="1"/>
  <c r="D246" i="1"/>
  <c r="AO246" i="1" s="1"/>
  <c r="G246" i="1"/>
  <c r="AG246" i="1" s="1"/>
  <c r="AH246" i="1" s="1"/>
  <c r="N246" i="1"/>
  <c r="AY246" i="1" s="1"/>
  <c r="O246" i="1"/>
  <c r="AI246" i="1"/>
  <c r="AJ246" i="1" s="1"/>
  <c r="AK246" i="1"/>
  <c r="AL246" i="1"/>
  <c r="AN246" i="1"/>
  <c r="AP246" i="1"/>
  <c r="AQ246" i="1"/>
  <c r="AR246" i="1"/>
  <c r="AS246" i="1"/>
  <c r="AT246" i="1"/>
  <c r="AU246" i="1"/>
  <c r="AV246" i="1"/>
  <c r="AW246" i="1"/>
  <c r="AX246" i="1"/>
  <c r="AZ246" i="1"/>
  <c r="BB246" i="1"/>
  <c r="BD246" i="1"/>
  <c r="BG246" i="1"/>
  <c r="BH246" i="1"/>
  <c r="BI246" i="1"/>
  <c r="BJ246" i="1"/>
  <c r="BL246" i="1"/>
  <c r="BM246" i="1"/>
  <c r="BN246" i="1"/>
  <c r="BO246" i="1"/>
  <c r="D247" i="1"/>
  <c r="AO247" i="1" s="1"/>
  <c r="G247" i="1"/>
  <c r="AG247" i="1" s="1"/>
  <c r="AH247" i="1" s="1"/>
  <c r="N247" i="1"/>
  <c r="AY247" i="1" s="1"/>
  <c r="O247" i="1"/>
  <c r="AI247" i="1"/>
  <c r="AJ247" i="1" s="1"/>
  <c r="AK247" i="1"/>
  <c r="AL247" i="1"/>
  <c r="AN247" i="1"/>
  <c r="AP247" i="1"/>
  <c r="AQ247" i="1"/>
  <c r="AR247" i="1"/>
  <c r="AS247" i="1"/>
  <c r="AT247" i="1"/>
  <c r="AU247" i="1"/>
  <c r="AV247" i="1"/>
  <c r="AW247" i="1"/>
  <c r="AX247" i="1"/>
  <c r="AZ247" i="1"/>
  <c r="BB247" i="1"/>
  <c r="BD247" i="1"/>
  <c r="BG247" i="1"/>
  <c r="BH247" i="1"/>
  <c r="BI247" i="1"/>
  <c r="BJ247" i="1"/>
  <c r="BL247" i="1"/>
  <c r="BM247" i="1"/>
  <c r="BN247" i="1"/>
  <c r="BO247" i="1"/>
  <c r="D248" i="1"/>
  <c r="AO248" i="1" s="1"/>
  <c r="G248" i="1"/>
  <c r="AG248" i="1" s="1"/>
  <c r="AH248" i="1" s="1"/>
  <c r="N248" i="1"/>
  <c r="AY248" i="1" s="1"/>
  <c r="O248" i="1"/>
  <c r="AI248" i="1"/>
  <c r="AJ248" i="1" s="1"/>
  <c r="AK248" i="1"/>
  <c r="AL248" i="1"/>
  <c r="AN248" i="1"/>
  <c r="AP248" i="1"/>
  <c r="AQ248" i="1"/>
  <c r="AR248" i="1"/>
  <c r="AS248" i="1"/>
  <c r="AT248" i="1"/>
  <c r="AU248" i="1"/>
  <c r="AV248" i="1"/>
  <c r="AW248" i="1"/>
  <c r="AX248" i="1"/>
  <c r="AZ248" i="1"/>
  <c r="BB248" i="1"/>
  <c r="BD248" i="1"/>
  <c r="BG248" i="1"/>
  <c r="BH248" i="1"/>
  <c r="BI248" i="1"/>
  <c r="BJ248" i="1"/>
  <c r="BL248" i="1"/>
  <c r="BM248" i="1"/>
  <c r="BN248" i="1"/>
  <c r="BO248" i="1"/>
  <c r="D249" i="1"/>
  <c r="AO249" i="1" s="1"/>
  <c r="G249" i="1"/>
  <c r="AG249" i="1" s="1"/>
  <c r="AH249" i="1" s="1"/>
  <c r="N249" i="1"/>
  <c r="AY249" i="1" s="1"/>
  <c r="O249" i="1"/>
  <c r="AI249" i="1"/>
  <c r="AJ249" i="1" s="1"/>
  <c r="AK249" i="1"/>
  <c r="AL249" i="1"/>
  <c r="AN249" i="1"/>
  <c r="AP249" i="1"/>
  <c r="AQ249" i="1"/>
  <c r="AR249" i="1"/>
  <c r="AS249" i="1"/>
  <c r="AT249" i="1"/>
  <c r="AU249" i="1"/>
  <c r="AV249" i="1"/>
  <c r="AW249" i="1"/>
  <c r="AX249" i="1"/>
  <c r="AZ249" i="1"/>
  <c r="BB249" i="1"/>
  <c r="BD249" i="1"/>
  <c r="BG249" i="1"/>
  <c r="BH249" i="1"/>
  <c r="BI249" i="1"/>
  <c r="BJ249" i="1"/>
  <c r="BL249" i="1"/>
  <c r="BM249" i="1"/>
  <c r="BN249" i="1"/>
  <c r="BO249" i="1"/>
  <c r="D250" i="1"/>
  <c r="AO250" i="1" s="1"/>
  <c r="G250" i="1"/>
  <c r="AG250" i="1" s="1"/>
  <c r="AH250" i="1" s="1"/>
  <c r="N250" i="1"/>
  <c r="AY250" i="1" s="1"/>
  <c r="O250" i="1"/>
  <c r="AI250" i="1"/>
  <c r="AJ250" i="1" s="1"/>
  <c r="AK250" i="1"/>
  <c r="AL250" i="1"/>
  <c r="AN250" i="1"/>
  <c r="AP250" i="1"/>
  <c r="AQ250" i="1"/>
  <c r="AR250" i="1"/>
  <c r="AS250" i="1"/>
  <c r="AT250" i="1"/>
  <c r="AU250" i="1"/>
  <c r="AV250" i="1"/>
  <c r="AW250" i="1"/>
  <c r="AX250" i="1"/>
  <c r="AZ250" i="1"/>
  <c r="BB250" i="1"/>
  <c r="BD250" i="1"/>
  <c r="BG250" i="1"/>
  <c r="BH250" i="1"/>
  <c r="BI250" i="1"/>
  <c r="BJ250" i="1"/>
  <c r="BL250" i="1"/>
  <c r="BM250" i="1"/>
  <c r="BN250" i="1"/>
  <c r="BO250" i="1"/>
  <c r="D251" i="1"/>
  <c r="AO251" i="1" s="1"/>
  <c r="G251" i="1"/>
  <c r="AG251" i="1" s="1"/>
  <c r="AH251" i="1" s="1"/>
  <c r="N251" i="1"/>
  <c r="AY251" i="1" s="1"/>
  <c r="O251" i="1"/>
  <c r="AI251" i="1"/>
  <c r="AJ251" i="1" s="1"/>
  <c r="AK251" i="1"/>
  <c r="AL251" i="1"/>
  <c r="AN251" i="1"/>
  <c r="AP251" i="1"/>
  <c r="AQ251" i="1"/>
  <c r="AR251" i="1"/>
  <c r="AS251" i="1"/>
  <c r="AT251" i="1"/>
  <c r="AU251" i="1"/>
  <c r="AV251" i="1"/>
  <c r="AW251" i="1"/>
  <c r="AX251" i="1"/>
  <c r="AZ251" i="1"/>
  <c r="BB251" i="1"/>
  <c r="BD251" i="1"/>
  <c r="BG251" i="1"/>
  <c r="BH251" i="1"/>
  <c r="BI251" i="1"/>
  <c r="BJ251" i="1"/>
  <c r="BL251" i="1"/>
  <c r="BM251" i="1"/>
  <c r="BN251" i="1"/>
  <c r="BO251" i="1"/>
  <c r="D252" i="1"/>
  <c r="AO252" i="1" s="1"/>
  <c r="G252" i="1"/>
  <c r="AG252" i="1" s="1"/>
  <c r="AH252" i="1" s="1"/>
  <c r="N252" i="1"/>
  <c r="AY252" i="1" s="1"/>
  <c r="O252" i="1"/>
  <c r="AI252" i="1"/>
  <c r="AJ252" i="1" s="1"/>
  <c r="AK252" i="1"/>
  <c r="AL252" i="1"/>
  <c r="AN252" i="1"/>
  <c r="AP252" i="1"/>
  <c r="AQ252" i="1"/>
  <c r="AR252" i="1"/>
  <c r="AS252" i="1"/>
  <c r="AT252" i="1"/>
  <c r="AU252" i="1"/>
  <c r="AV252" i="1"/>
  <c r="AW252" i="1"/>
  <c r="AX252" i="1"/>
  <c r="AZ252" i="1"/>
  <c r="BB252" i="1"/>
  <c r="BD252" i="1"/>
  <c r="BG252" i="1"/>
  <c r="BH252" i="1"/>
  <c r="BI252" i="1"/>
  <c r="BJ252" i="1"/>
  <c r="BL252" i="1"/>
  <c r="BM252" i="1"/>
  <c r="BN252" i="1"/>
  <c r="BO252" i="1"/>
  <c r="D253" i="1"/>
  <c r="AO253" i="1" s="1"/>
  <c r="G253" i="1"/>
  <c r="AG253" i="1" s="1"/>
  <c r="AH253" i="1" s="1"/>
  <c r="N253" i="1"/>
  <c r="AY253" i="1" s="1"/>
  <c r="O253" i="1"/>
  <c r="AI253" i="1"/>
  <c r="AJ253" i="1" s="1"/>
  <c r="AK253" i="1"/>
  <c r="AL253" i="1"/>
  <c r="AN253" i="1"/>
  <c r="AP253" i="1"/>
  <c r="AQ253" i="1"/>
  <c r="AR253" i="1"/>
  <c r="AS253" i="1"/>
  <c r="AT253" i="1"/>
  <c r="AU253" i="1"/>
  <c r="AV253" i="1"/>
  <c r="AW253" i="1"/>
  <c r="AX253" i="1"/>
  <c r="AZ253" i="1"/>
  <c r="BB253" i="1"/>
  <c r="BD253" i="1"/>
  <c r="BG253" i="1"/>
  <c r="BH253" i="1"/>
  <c r="BI253" i="1"/>
  <c r="BJ253" i="1"/>
  <c r="BL253" i="1"/>
  <c r="BM253" i="1"/>
  <c r="BN253" i="1"/>
  <c r="BO253" i="1"/>
  <c r="D254" i="1"/>
  <c r="AO254" i="1" s="1"/>
  <c r="G254" i="1"/>
  <c r="AG254" i="1" s="1"/>
  <c r="AH254" i="1" s="1"/>
  <c r="N254" i="1"/>
  <c r="AY254" i="1" s="1"/>
  <c r="O254" i="1"/>
  <c r="AI254" i="1"/>
  <c r="AJ254" i="1" s="1"/>
  <c r="AK254" i="1"/>
  <c r="AL254" i="1"/>
  <c r="AN254" i="1"/>
  <c r="AP254" i="1"/>
  <c r="AQ254" i="1"/>
  <c r="AR254" i="1"/>
  <c r="AS254" i="1"/>
  <c r="AT254" i="1"/>
  <c r="AU254" i="1"/>
  <c r="AV254" i="1"/>
  <c r="AW254" i="1"/>
  <c r="AX254" i="1"/>
  <c r="AZ254" i="1"/>
  <c r="BB254" i="1"/>
  <c r="BD254" i="1"/>
  <c r="BG254" i="1"/>
  <c r="BH254" i="1"/>
  <c r="BI254" i="1"/>
  <c r="BJ254" i="1"/>
  <c r="BL254" i="1"/>
  <c r="BM254" i="1"/>
  <c r="BN254" i="1"/>
  <c r="BO254" i="1"/>
  <c r="D255" i="1"/>
  <c r="AO255" i="1" s="1"/>
  <c r="G255" i="1"/>
  <c r="AG255" i="1" s="1"/>
  <c r="AH255" i="1" s="1"/>
  <c r="N255" i="1"/>
  <c r="AY255" i="1" s="1"/>
  <c r="O255" i="1"/>
  <c r="AI255" i="1"/>
  <c r="AJ255" i="1" s="1"/>
  <c r="AK255" i="1"/>
  <c r="AL255" i="1"/>
  <c r="AN255" i="1"/>
  <c r="AP255" i="1"/>
  <c r="AQ255" i="1"/>
  <c r="AR255" i="1"/>
  <c r="AS255" i="1"/>
  <c r="AT255" i="1"/>
  <c r="AU255" i="1"/>
  <c r="AV255" i="1"/>
  <c r="AW255" i="1"/>
  <c r="AX255" i="1"/>
  <c r="AZ255" i="1"/>
  <c r="BB255" i="1"/>
  <c r="BD255" i="1"/>
  <c r="BG255" i="1"/>
  <c r="BH255" i="1"/>
  <c r="BI255" i="1"/>
  <c r="BJ255" i="1"/>
  <c r="BL255" i="1"/>
  <c r="BM255" i="1"/>
  <c r="BN255" i="1"/>
  <c r="BO255" i="1"/>
  <c r="D256" i="1"/>
  <c r="AO256" i="1" s="1"/>
  <c r="G256" i="1"/>
  <c r="AG256" i="1" s="1"/>
  <c r="AH256" i="1" s="1"/>
  <c r="N256" i="1"/>
  <c r="AY256" i="1" s="1"/>
  <c r="O256" i="1"/>
  <c r="AI256" i="1"/>
  <c r="AJ256" i="1" s="1"/>
  <c r="AK256" i="1"/>
  <c r="AL256" i="1"/>
  <c r="AN256" i="1"/>
  <c r="AP256" i="1"/>
  <c r="AQ256" i="1"/>
  <c r="AR256" i="1"/>
  <c r="AS256" i="1"/>
  <c r="AT256" i="1"/>
  <c r="AU256" i="1"/>
  <c r="AV256" i="1"/>
  <c r="AW256" i="1"/>
  <c r="AX256" i="1"/>
  <c r="AZ256" i="1"/>
  <c r="BB256" i="1"/>
  <c r="BD256" i="1"/>
  <c r="BG256" i="1"/>
  <c r="BH256" i="1"/>
  <c r="BI256" i="1"/>
  <c r="BJ256" i="1"/>
  <c r="BL256" i="1"/>
  <c r="BM256" i="1"/>
  <c r="BN256" i="1"/>
  <c r="BO256" i="1"/>
  <c r="D257" i="1"/>
  <c r="AO257" i="1" s="1"/>
  <c r="G257" i="1"/>
  <c r="AG257" i="1" s="1"/>
  <c r="AH257" i="1" s="1"/>
  <c r="N257" i="1"/>
  <c r="AY257" i="1" s="1"/>
  <c r="O257" i="1"/>
  <c r="AI257" i="1"/>
  <c r="AJ257" i="1" s="1"/>
  <c r="AK257" i="1"/>
  <c r="AL257" i="1"/>
  <c r="AN257" i="1"/>
  <c r="AP257" i="1"/>
  <c r="AQ257" i="1"/>
  <c r="AR257" i="1"/>
  <c r="AS257" i="1"/>
  <c r="AT257" i="1"/>
  <c r="AU257" i="1"/>
  <c r="AV257" i="1"/>
  <c r="AW257" i="1"/>
  <c r="AX257" i="1"/>
  <c r="AZ257" i="1"/>
  <c r="BB257" i="1"/>
  <c r="BD257" i="1"/>
  <c r="BG257" i="1"/>
  <c r="BH257" i="1"/>
  <c r="BI257" i="1"/>
  <c r="BJ257" i="1"/>
  <c r="BL257" i="1"/>
  <c r="BM257" i="1"/>
  <c r="BN257" i="1"/>
  <c r="BO257" i="1"/>
  <c r="D258" i="1"/>
  <c r="AO258" i="1" s="1"/>
  <c r="G258" i="1"/>
  <c r="AG258" i="1" s="1"/>
  <c r="AH258" i="1" s="1"/>
  <c r="N258" i="1"/>
  <c r="AY258" i="1" s="1"/>
  <c r="O258" i="1"/>
  <c r="AI258" i="1"/>
  <c r="AJ258" i="1" s="1"/>
  <c r="AK258" i="1"/>
  <c r="AL258" i="1"/>
  <c r="AN258" i="1"/>
  <c r="AP258" i="1"/>
  <c r="AQ258" i="1"/>
  <c r="AR258" i="1"/>
  <c r="AS258" i="1"/>
  <c r="AT258" i="1"/>
  <c r="AU258" i="1"/>
  <c r="AV258" i="1"/>
  <c r="AW258" i="1"/>
  <c r="AX258" i="1"/>
  <c r="AZ258" i="1"/>
  <c r="BB258" i="1"/>
  <c r="BD258" i="1"/>
  <c r="BG258" i="1"/>
  <c r="BH258" i="1"/>
  <c r="BI258" i="1"/>
  <c r="BJ258" i="1"/>
  <c r="BL258" i="1"/>
  <c r="BM258" i="1"/>
  <c r="BN258" i="1"/>
  <c r="BO258" i="1"/>
  <c r="D259" i="1"/>
  <c r="AO259" i="1" s="1"/>
  <c r="G259" i="1"/>
  <c r="AG259" i="1" s="1"/>
  <c r="AH259" i="1" s="1"/>
  <c r="N259" i="1"/>
  <c r="AY259" i="1" s="1"/>
  <c r="O259" i="1"/>
  <c r="AI259" i="1"/>
  <c r="AJ259" i="1" s="1"/>
  <c r="AK259" i="1"/>
  <c r="AL259" i="1"/>
  <c r="AN259" i="1"/>
  <c r="AP259" i="1"/>
  <c r="AQ259" i="1"/>
  <c r="AR259" i="1"/>
  <c r="AS259" i="1"/>
  <c r="AT259" i="1"/>
  <c r="AU259" i="1"/>
  <c r="AV259" i="1"/>
  <c r="AW259" i="1"/>
  <c r="AX259" i="1"/>
  <c r="AZ259" i="1"/>
  <c r="BB259" i="1"/>
  <c r="BD259" i="1"/>
  <c r="BG259" i="1"/>
  <c r="BH259" i="1"/>
  <c r="BI259" i="1"/>
  <c r="BJ259" i="1"/>
  <c r="BL259" i="1"/>
  <c r="BM259" i="1"/>
  <c r="BN259" i="1"/>
  <c r="BO259" i="1"/>
  <c r="D260" i="1"/>
  <c r="AO260" i="1" s="1"/>
  <c r="G260" i="1"/>
  <c r="AG260" i="1" s="1"/>
  <c r="AH260" i="1" s="1"/>
  <c r="N260" i="1"/>
  <c r="AY260" i="1" s="1"/>
  <c r="O260" i="1"/>
  <c r="AI260" i="1"/>
  <c r="AJ260" i="1" s="1"/>
  <c r="AK260" i="1"/>
  <c r="AL260" i="1"/>
  <c r="AN260" i="1"/>
  <c r="AP260" i="1"/>
  <c r="AQ260" i="1"/>
  <c r="AR260" i="1"/>
  <c r="AS260" i="1"/>
  <c r="AT260" i="1"/>
  <c r="AU260" i="1"/>
  <c r="AV260" i="1"/>
  <c r="AW260" i="1"/>
  <c r="AX260" i="1"/>
  <c r="AZ260" i="1"/>
  <c r="BB260" i="1"/>
  <c r="BD260" i="1"/>
  <c r="BG260" i="1"/>
  <c r="BH260" i="1"/>
  <c r="BI260" i="1"/>
  <c r="BJ260" i="1"/>
  <c r="BL260" i="1"/>
  <c r="BM260" i="1"/>
  <c r="BN260" i="1"/>
  <c r="BO260" i="1"/>
  <c r="D261" i="1"/>
  <c r="AO261" i="1" s="1"/>
  <c r="G261" i="1"/>
  <c r="AG261" i="1" s="1"/>
  <c r="AH261" i="1" s="1"/>
  <c r="N261" i="1"/>
  <c r="AY261" i="1" s="1"/>
  <c r="O261" i="1"/>
  <c r="AI261" i="1"/>
  <c r="AJ261" i="1" s="1"/>
  <c r="AK261" i="1"/>
  <c r="AL261" i="1"/>
  <c r="AN261" i="1"/>
  <c r="AP261" i="1"/>
  <c r="AQ261" i="1"/>
  <c r="AR261" i="1"/>
  <c r="AS261" i="1"/>
  <c r="AT261" i="1"/>
  <c r="AU261" i="1"/>
  <c r="AV261" i="1"/>
  <c r="AW261" i="1"/>
  <c r="AX261" i="1"/>
  <c r="AZ261" i="1"/>
  <c r="BB261" i="1"/>
  <c r="BD261" i="1"/>
  <c r="BG261" i="1"/>
  <c r="BH261" i="1"/>
  <c r="BI261" i="1"/>
  <c r="BJ261" i="1"/>
  <c r="BL261" i="1"/>
  <c r="BM261" i="1"/>
  <c r="BN261" i="1"/>
  <c r="BO261" i="1"/>
  <c r="D262" i="1"/>
  <c r="AO262" i="1" s="1"/>
  <c r="G262" i="1"/>
  <c r="AG262" i="1" s="1"/>
  <c r="AH262" i="1" s="1"/>
  <c r="N262" i="1"/>
  <c r="AY262" i="1" s="1"/>
  <c r="O262" i="1"/>
  <c r="AI262" i="1"/>
  <c r="AJ262" i="1" s="1"/>
  <c r="AK262" i="1"/>
  <c r="AL262" i="1"/>
  <c r="AN262" i="1"/>
  <c r="AP262" i="1"/>
  <c r="AQ262" i="1"/>
  <c r="AR262" i="1"/>
  <c r="AS262" i="1"/>
  <c r="AT262" i="1"/>
  <c r="AU262" i="1"/>
  <c r="AV262" i="1"/>
  <c r="AW262" i="1"/>
  <c r="AX262" i="1"/>
  <c r="AZ262" i="1"/>
  <c r="BB262" i="1"/>
  <c r="BD262" i="1"/>
  <c r="BG262" i="1"/>
  <c r="BH262" i="1"/>
  <c r="BI262" i="1"/>
  <c r="BJ262" i="1"/>
  <c r="BL262" i="1"/>
  <c r="BM262" i="1"/>
  <c r="BN262" i="1"/>
  <c r="BO262" i="1"/>
  <c r="D263" i="1"/>
  <c r="AO263" i="1" s="1"/>
  <c r="G263" i="1"/>
  <c r="AG263" i="1" s="1"/>
  <c r="AH263" i="1" s="1"/>
  <c r="N263" i="1"/>
  <c r="AY263" i="1" s="1"/>
  <c r="O263" i="1"/>
  <c r="AI263" i="1"/>
  <c r="AJ263" i="1" s="1"/>
  <c r="AK263" i="1"/>
  <c r="AL263" i="1"/>
  <c r="AN263" i="1"/>
  <c r="AP263" i="1"/>
  <c r="AQ263" i="1"/>
  <c r="AR263" i="1"/>
  <c r="AS263" i="1"/>
  <c r="AT263" i="1"/>
  <c r="AU263" i="1"/>
  <c r="AV263" i="1"/>
  <c r="AW263" i="1"/>
  <c r="AX263" i="1"/>
  <c r="AZ263" i="1"/>
  <c r="BB263" i="1"/>
  <c r="BD263" i="1"/>
  <c r="BG263" i="1"/>
  <c r="BH263" i="1"/>
  <c r="BI263" i="1"/>
  <c r="BJ263" i="1"/>
  <c r="BL263" i="1"/>
  <c r="BM263" i="1"/>
  <c r="BN263" i="1"/>
  <c r="BO263" i="1"/>
  <c r="D264" i="1"/>
  <c r="AO264" i="1" s="1"/>
  <c r="G264" i="1"/>
  <c r="AG264" i="1" s="1"/>
  <c r="AH264" i="1" s="1"/>
  <c r="N264" i="1"/>
  <c r="AY264" i="1" s="1"/>
  <c r="O264" i="1"/>
  <c r="AI264" i="1"/>
  <c r="AJ264" i="1" s="1"/>
  <c r="AK264" i="1"/>
  <c r="AL264" i="1"/>
  <c r="AN264" i="1"/>
  <c r="AP264" i="1"/>
  <c r="AQ264" i="1"/>
  <c r="AR264" i="1"/>
  <c r="AS264" i="1"/>
  <c r="AT264" i="1"/>
  <c r="AU264" i="1"/>
  <c r="AV264" i="1"/>
  <c r="AW264" i="1"/>
  <c r="AX264" i="1"/>
  <c r="AZ264" i="1"/>
  <c r="BB264" i="1"/>
  <c r="BD264" i="1"/>
  <c r="BG264" i="1"/>
  <c r="BH264" i="1"/>
  <c r="BI264" i="1"/>
  <c r="BJ264" i="1"/>
  <c r="BL264" i="1"/>
  <c r="BM264" i="1"/>
  <c r="BN264" i="1"/>
  <c r="BO264" i="1"/>
  <c r="D265" i="1"/>
  <c r="AO265" i="1" s="1"/>
  <c r="G265" i="1"/>
  <c r="AG265" i="1" s="1"/>
  <c r="AH265" i="1" s="1"/>
  <c r="N265" i="1"/>
  <c r="AY265" i="1" s="1"/>
  <c r="O265" i="1"/>
  <c r="AI265" i="1"/>
  <c r="AJ265" i="1" s="1"/>
  <c r="AK265" i="1"/>
  <c r="AL265" i="1"/>
  <c r="AN265" i="1"/>
  <c r="AP265" i="1"/>
  <c r="AQ265" i="1"/>
  <c r="AR265" i="1"/>
  <c r="AS265" i="1"/>
  <c r="AT265" i="1"/>
  <c r="AU265" i="1"/>
  <c r="AV265" i="1"/>
  <c r="AW265" i="1"/>
  <c r="AX265" i="1"/>
  <c r="AZ265" i="1"/>
  <c r="BB265" i="1"/>
  <c r="BD265" i="1"/>
  <c r="BG265" i="1"/>
  <c r="BH265" i="1"/>
  <c r="BI265" i="1"/>
  <c r="BJ265" i="1"/>
  <c r="BL265" i="1"/>
  <c r="BM265" i="1"/>
  <c r="BN265" i="1"/>
  <c r="BO265" i="1"/>
  <c r="D266" i="1"/>
  <c r="AO266" i="1" s="1"/>
  <c r="G266" i="1"/>
  <c r="AG266" i="1" s="1"/>
  <c r="AH266" i="1" s="1"/>
  <c r="N266" i="1"/>
  <c r="AY266" i="1" s="1"/>
  <c r="O266" i="1"/>
  <c r="AI266" i="1"/>
  <c r="AJ266" i="1" s="1"/>
  <c r="AK266" i="1"/>
  <c r="AL266" i="1"/>
  <c r="AN266" i="1"/>
  <c r="AP266" i="1"/>
  <c r="AQ266" i="1"/>
  <c r="AR266" i="1"/>
  <c r="AS266" i="1"/>
  <c r="AT266" i="1"/>
  <c r="AU266" i="1"/>
  <c r="AV266" i="1"/>
  <c r="AW266" i="1"/>
  <c r="AX266" i="1"/>
  <c r="AZ266" i="1"/>
  <c r="BB266" i="1"/>
  <c r="BD266" i="1"/>
  <c r="BG266" i="1"/>
  <c r="BH266" i="1"/>
  <c r="BI266" i="1"/>
  <c r="BJ266" i="1"/>
  <c r="BL266" i="1"/>
  <c r="BM266" i="1"/>
  <c r="BN266" i="1"/>
  <c r="BO266" i="1"/>
  <c r="D267" i="1"/>
  <c r="AO267" i="1" s="1"/>
  <c r="G267" i="1"/>
  <c r="AG267" i="1" s="1"/>
  <c r="AH267" i="1" s="1"/>
  <c r="N267" i="1"/>
  <c r="AY267" i="1" s="1"/>
  <c r="O267" i="1"/>
  <c r="AI267" i="1"/>
  <c r="AJ267" i="1" s="1"/>
  <c r="AK267" i="1"/>
  <c r="AL267" i="1"/>
  <c r="AN267" i="1"/>
  <c r="AP267" i="1"/>
  <c r="AQ267" i="1"/>
  <c r="AR267" i="1"/>
  <c r="AS267" i="1"/>
  <c r="AT267" i="1"/>
  <c r="AU267" i="1"/>
  <c r="AV267" i="1"/>
  <c r="AW267" i="1"/>
  <c r="AX267" i="1"/>
  <c r="AZ267" i="1"/>
  <c r="BB267" i="1"/>
  <c r="BD267" i="1"/>
  <c r="BG267" i="1"/>
  <c r="BH267" i="1"/>
  <c r="BI267" i="1"/>
  <c r="BJ267" i="1"/>
  <c r="BL267" i="1"/>
  <c r="BM267" i="1"/>
  <c r="BN267" i="1"/>
  <c r="BO267" i="1"/>
  <c r="D268" i="1"/>
  <c r="AO268" i="1" s="1"/>
  <c r="G268" i="1"/>
  <c r="AG268" i="1" s="1"/>
  <c r="AH268" i="1" s="1"/>
  <c r="N268" i="1"/>
  <c r="AY268" i="1" s="1"/>
  <c r="O268" i="1"/>
  <c r="AI268" i="1"/>
  <c r="AJ268" i="1" s="1"/>
  <c r="AK268" i="1"/>
  <c r="AL268" i="1"/>
  <c r="AN268" i="1"/>
  <c r="AP268" i="1"/>
  <c r="AQ268" i="1"/>
  <c r="AR268" i="1"/>
  <c r="AS268" i="1"/>
  <c r="AT268" i="1"/>
  <c r="AU268" i="1"/>
  <c r="AV268" i="1"/>
  <c r="AW268" i="1"/>
  <c r="AX268" i="1"/>
  <c r="AZ268" i="1"/>
  <c r="BB268" i="1"/>
  <c r="BD268" i="1"/>
  <c r="BG268" i="1"/>
  <c r="BH268" i="1"/>
  <c r="BI268" i="1"/>
  <c r="BJ268" i="1"/>
  <c r="BL268" i="1"/>
  <c r="BM268" i="1"/>
  <c r="BN268" i="1"/>
  <c r="BO268" i="1"/>
  <c r="D269" i="1"/>
  <c r="AO269" i="1" s="1"/>
  <c r="G269" i="1"/>
  <c r="AG269" i="1" s="1"/>
  <c r="AH269" i="1" s="1"/>
  <c r="N269" i="1"/>
  <c r="AY269" i="1" s="1"/>
  <c r="O269" i="1"/>
  <c r="AI269" i="1"/>
  <c r="AJ269" i="1" s="1"/>
  <c r="AK269" i="1"/>
  <c r="AL269" i="1"/>
  <c r="AN269" i="1"/>
  <c r="AP269" i="1"/>
  <c r="AQ269" i="1"/>
  <c r="AR269" i="1"/>
  <c r="AS269" i="1"/>
  <c r="AT269" i="1"/>
  <c r="AU269" i="1"/>
  <c r="AV269" i="1"/>
  <c r="AW269" i="1"/>
  <c r="AX269" i="1"/>
  <c r="AZ269" i="1"/>
  <c r="BB269" i="1"/>
  <c r="BD269" i="1"/>
  <c r="BG269" i="1"/>
  <c r="BH269" i="1"/>
  <c r="BI269" i="1"/>
  <c r="BJ269" i="1"/>
  <c r="BL269" i="1"/>
  <c r="BM269" i="1"/>
  <c r="BN269" i="1"/>
  <c r="BO269" i="1"/>
  <c r="D270" i="1"/>
  <c r="AO270" i="1" s="1"/>
  <c r="G270" i="1"/>
  <c r="AG270" i="1" s="1"/>
  <c r="AH270" i="1" s="1"/>
  <c r="N270" i="1"/>
  <c r="AY270" i="1" s="1"/>
  <c r="O270" i="1"/>
  <c r="AI270" i="1"/>
  <c r="AJ270" i="1" s="1"/>
  <c r="AK270" i="1"/>
  <c r="AL270" i="1"/>
  <c r="AN270" i="1"/>
  <c r="AP270" i="1"/>
  <c r="AQ270" i="1"/>
  <c r="AR270" i="1"/>
  <c r="AS270" i="1"/>
  <c r="AT270" i="1"/>
  <c r="AU270" i="1"/>
  <c r="AV270" i="1"/>
  <c r="AW270" i="1"/>
  <c r="AX270" i="1"/>
  <c r="AZ270" i="1"/>
  <c r="BB270" i="1"/>
  <c r="BD270" i="1"/>
  <c r="BG270" i="1"/>
  <c r="BH270" i="1"/>
  <c r="BI270" i="1"/>
  <c r="BJ270" i="1"/>
  <c r="BL270" i="1"/>
  <c r="BM270" i="1"/>
  <c r="BN270" i="1"/>
  <c r="BO270" i="1"/>
  <c r="D271" i="1"/>
  <c r="AO271" i="1" s="1"/>
  <c r="G271" i="1"/>
  <c r="AG271" i="1" s="1"/>
  <c r="AH271" i="1" s="1"/>
  <c r="N271" i="1"/>
  <c r="AY271" i="1" s="1"/>
  <c r="O271" i="1"/>
  <c r="AI271" i="1"/>
  <c r="AJ271" i="1" s="1"/>
  <c r="AK271" i="1"/>
  <c r="AL271" i="1"/>
  <c r="AN271" i="1"/>
  <c r="AP271" i="1"/>
  <c r="AQ271" i="1"/>
  <c r="AR271" i="1"/>
  <c r="AS271" i="1"/>
  <c r="AT271" i="1"/>
  <c r="AU271" i="1"/>
  <c r="AV271" i="1"/>
  <c r="AW271" i="1"/>
  <c r="AX271" i="1"/>
  <c r="AZ271" i="1"/>
  <c r="BB271" i="1"/>
  <c r="BD271" i="1"/>
  <c r="BG271" i="1"/>
  <c r="BH271" i="1"/>
  <c r="BI271" i="1"/>
  <c r="BJ271" i="1"/>
  <c r="BL271" i="1"/>
  <c r="BM271" i="1"/>
  <c r="BN271" i="1"/>
  <c r="BO271" i="1"/>
  <c r="D272" i="1"/>
  <c r="AO272" i="1" s="1"/>
  <c r="G272" i="1"/>
  <c r="AG272" i="1" s="1"/>
  <c r="N272" i="1"/>
  <c r="P272" i="1" s="1"/>
  <c r="O272" i="1"/>
  <c r="S272" i="1"/>
  <c r="BC272" i="1" s="1"/>
  <c r="AH272" i="1"/>
  <c r="AI272" i="1"/>
  <c r="AJ272" i="1" s="1"/>
  <c r="AK272" i="1"/>
  <c r="AL272" i="1"/>
  <c r="AN272" i="1"/>
  <c r="AP272" i="1"/>
  <c r="AQ272" i="1"/>
  <c r="AR272" i="1"/>
  <c r="AS272" i="1"/>
  <c r="AT272" i="1"/>
  <c r="AU272" i="1"/>
  <c r="AV272" i="1"/>
  <c r="AW272" i="1"/>
  <c r="AX272" i="1"/>
  <c r="AZ272" i="1"/>
  <c r="BB272" i="1"/>
  <c r="BD272" i="1"/>
  <c r="BG272" i="1"/>
  <c r="BH272" i="1"/>
  <c r="BI272" i="1"/>
  <c r="BJ272" i="1"/>
  <c r="BL272" i="1"/>
  <c r="BM272" i="1"/>
  <c r="BN272" i="1"/>
  <c r="BO272" i="1"/>
  <c r="D273" i="1"/>
  <c r="AO273" i="1" s="1"/>
  <c r="G273" i="1"/>
  <c r="AG273" i="1" s="1"/>
  <c r="AH273" i="1" s="1"/>
  <c r="O273" i="1"/>
  <c r="AI273" i="1"/>
  <c r="AJ273" i="1" s="1"/>
  <c r="AK273" i="1"/>
  <c r="AL273" i="1"/>
  <c r="AN273" i="1"/>
  <c r="AP273" i="1"/>
  <c r="AQ273" i="1"/>
  <c r="AR273" i="1"/>
  <c r="AS273" i="1"/>
  <c r="AT273" i="1"/>
  <c r="AU273" i="1"/>
  <c r="AV273" i="1"/>
  <c r="AW273" i="1"/>
  <c r="AX273" i="1"/>
  <c r="AZ273" i="1"/>
  <c r="BB273" i="1"/>
  <c r="BD273" i="1"/>
  <c r="BG273" i="1"/>
  <c r="BH273" i="1"/>
  <c r="BI273" i="1"/>
  <c r="BJ273" i="1"/>
  <c r="BL273" i="1"/>
  <c r="BM273" i="1"/>
  <c r="BN273" i="1"/>
  <c r="BO273" i="1"/>
  <c r="D274" i="1"/>
  <c r="G274" i="1"/>
  <c r="AG274" i="1" s="1"/>
  <c r="AH274" i="1" s="1"/>
  <c r="O274" i="1"/>
  <c r="AI274" i="1"/>
  <c r="AJ274" i="1" s="1"/>
  <c r="AK274" i="1"/>
  <c r="AL274" i="1"/>
  <c r="AN274" i="1"/>
  <c r="AO274" i="1"/>
  <c r="AP274" i="1"/>
  <c r="AQ274" i="1"/>
  <c r="AS274" i="1"/>
  <c r="AT274" i="1"/>
  <c r="AU274" i="1"/>
  <c r="AV274" i="1"/>
  <c r="AW274" i="1"/>
  <c r="AX274" i="1"/>
  <c r="AZ274" i="1"/>
  <c r="BB274" i="1"/>
  <c r="BD274" i="1"/>
  <c r="BG274" i="1"/>
  <c r="BH274" i="1"/>
  <c r="BI274" i="1"/>
  <c r="BJ274" i="1"/>
  <c r="BL274" i="1"/>
  <c r="BM274" i="1"/>
  <c r="BN274" i="1"/>
  <c r="BO274" i="1"/>
  <c r="D275" i="1"/>
  <c r="G275" i="1"/>
  <c r="AG275" i="1" s="1"/>
  <c r="AH275" i="1" s="1"/>
  <c r="O275" i="1"/>
  <c r="AI275" i="1"/>
  <c r="AJ275" i="1" s="1"/>
  <c r="AK275" i="1"/>
  <c r="AL275" i="1"/>
  <c r="AN275" i="1"/>
  <c r="AO275" i="1"/>
  <c r="AP275" i="1"/>
  <c r="AQ275" i="1"/>
  <c r="AS275" i="1"/>
  <c r="AT275" i="1"/>
  <c r="AU275" i="1"/>
  <c r="AV275" i="1"/>
  <c r="AW275" i="1"/>
  <c r="AX275" i="1"/>
  <c r="AZ275" i="1"/>
  <c r="BB275" i="1"/>
  <c r="BD275" i="1"/>
  <c r="BG275" i="1"/>
  <c r="BH275" i="1"/>
  <c r="BI275" i="1"/>
  <c r="BJ275" i="1"/>
  <c r="BL275" i="1"/>
  <c r="BM275" i="1"/>
  <c r="BN275" i="1"/>
  <c r="BO275" i="1"/>
  <c r="D276" i="1"/>
  <c r="G276" i="1"/>
  <c r="AG276" i="1" s="1"/>
  <c r="AH276" i="1" s="1"/>
  <c r="O276" i="1"/>
  <c r="AI276" i="1"/>
  <c r="AJ276" i="1" s="1"/>
  <c r="AK276" i="1"/>
  <c r="AL276" i="1"/>
  <c r="AN276" i="1"/>
  <c r="AO276" i="1"/>
  <c r="AP276" i="1"/>
  <c r="AQ276" i="1"/>
  <c r="AS276" i="1"/>
  <c r="AT276" i="1"/>
  <c r="AU276" i="1"/>
  <c r="AV276" i="1"/>
  <c r="AW276" i="1"/>
  <c r="AX276" i="1"/>
  <c r="AZ276" i="1"/>
  <c r="BB276" i="1"/>
  <c r="BD276" i="1"/>
  <c r="BG276" i="1"/>
  <c r="BH276" i="1"/>
  <c r="BI276" i="1"/>
  <c r="BJ276" i="1"/>
  <c r="BL276" i="1"/>
  <c r="BM276" i="1"/>
  <c r="BN276" i="1"/>
  <c r="BO276" i="1"/>
  <c r="AN278" i="1"/>
  <c r="D279" i="1"/>
  <c r="G279" i="1" s="1"/>
  <c r="V279" i="1"/>
  <c r="AA279" i="1"/>
  <c r="BL279" i="1" s="1"/>
  <c r="AI279" i="1"/>
  <c r="AJ279" i="1" s="1"/>
  <c r="AL279" i="1"/>
  <c r="AN279" i="1"/>
  <c r="AP279" i="1"/>
  <c r="AQ279" i="1"/>
  <c r="AS279" i="1"/>
  <c r="AT279" i="1"/>
  <c r="AU279" i="1"/>
  <c r="AV279" i="1"/>
  <c r="AW279" i="1"/>
  <c r="AX279" i="1"/>
  <c r="BB279" i="1"/>
  <c r="BD279" i="1"/>
  <c r="BH279" i="1"/>
  <c r="BI279" i="1"/>
  <c r="BJ279" i="1"/>
  <c r="BM279" i="1"/>
  <c r="BN279" i="1"/>
  <c r="BO279" i="1"/>
  <c r="O280" i="1"/>
  <c r="AZ280" i="1" s="1"/>
  <c r="AB280" i="1"/>
  <c r="D280" i="1" s="1"/>
  <c r="AI280" i="1"/>
  <c r="AJ280" i="1" s="1"/>
  <c r="AL280" i="1"/>
  <c r="AN280" i="1"/>
  <c r="AP280" i="1"/>
  <c r="AQ280" i="1"/>
  <c r="AS280" i="1"/>
  <c r="AT280" i="1"/>
  <c r="AU280" i="1"/>
  <c r="AV280" i="1"/>
  <c r="AW280" i="1"/>
  <c r="AX280" i="1"/>
  <c r="BB280" i="1"/>
  <c r="BD280" i="1"/>
  <c r="BG280" i="1"/>
  <c r="BH280" i="1"/>
  <c r="BI280" i="1"/>
  <c r="BJ280" i="1"/>
  <c r="BL280" i="1"/>
  <c r="BM280" i="1"/>
  <c r="BN280" i="1"/>
  <c r="BO280" i="1"/>
  <c r="D281" i="1"/>
  <c r="AO281" i="1" s="1"/>
  <c r="G281" i="1"/>
  <c r="AG281" i="1" s="1"/>
  <c r="N281" i="1"/>
  <c r="P281" i="1" s="1"/>
  <c r="Q281" i="1" s="1"/>
  <c r="O281" i="1"/>
  <c r="AH281" i="1"/>
  <c r="AI281" i="1"/>
  <c r="AJ281" i="1" s="1"/>
  <c r="AK281" i="1"/>
  <c r="AL281" i="1"/>
  <c r="AN281" i="1"/>
  <c r="AP281" i="1"/>
  <c r="AQ281" i="1"/>
  <c r="AR281" i="1"/>
  <c r="AS281" i="1"/>
  <c r="AT281" i="1"/>
  <c r="AU281" i="1"/>
  <c r="AV281" i="1"/>
  <c r="AW281" i="1"/>
  <c r="AX281" i="1"/>
  <c r="AZ281" i="1"/>
  <c r="BB281" i="1"/>
  <c r="BD281" i="1"/>
  <c r="BG281" i="1"/>
  <c r="BH281" i="1"/>
  <c r="BI281" i="1"/>
  <c r="BJ281" i="1"/>
  <c r="BL281" i="1"/>
  <c r="BM281" i="1"/>
  <c r="BN281" i="1"/>
  <c r="BO281" i="1"/>
  <c r="V282" i="1"/>
  <c r="O282" i="1" s="1"/>
  <c r="AA282" i="1"/>
  <c r="AF282" i="1"/>
  <c r="AL282" i="1" s="1"/>
  <c r="AI282" i="1"/>
  <c r="AJ282" i="1" s="1"/>
  <c r="AN282" i="1"/>
  <c r="AP282" i="1"/>
  <c r="AQ282" i="1"/>
  <c r="AS282" i="1"/>
  <c r="AT282" i="1"/>
  <c r="AU282" i="1"/>
  <c r="AV282" i="1"/>
  <c r="AW282" i="1"/>
  <c r="AX282" i="1"/>
  <c r="AZ282" i="1"/>
  <c r="BB282" i="1"/>
  <c r="BD282" i="1"/>
  <c r="BG282" i="1"/>
  <c r="BH282" i="1"/>
  <c r="BI282" i="1"/>
  <c r="BJ282" i="1"/>
  <c r="BM282" i="1"/>
  <c r="BN282" i="1"/>
  <c r="BO282" i="1"/>
  <c r="D283" i="1"/>
  <c r="G283" i="1" s="1"/>
  <c r="O283" i="1"/>
  <c r="AI283" i="1"/>
  <c r="AJ283" i="1"/>
  <c r="AL283" i="1"/>
  <c r="AN283" i="1"/>
  <c r="AO283" i="1"/>
  <c r="AP283" i="1"/>
  <c r="AQ283" i="1"/>
  <c r="AS283" i="1"/>
  <c r="AT283" i="1"/>
  <c r="AU283" i="1"/>
  <c r="AV283" i="1"/>
  <c r="AW283" i="1"/>
  <c r="AX283" i="1"/>
  <c r="BB283" i="1"/>
  <c r="BD283" i="1"/>
  <c r="BG283" i="1"/>
  <c r="BH283" i="1"/>
  <c r="BI283" i="1"/>
  <c r="BJ283" i="1"/>
  <c r="BL283" i="1"/>
  <c r="BM283" i="1"/>
  <c r="BN283" i="1"/>
  <c r="BO283" i="1"/>
  <c r="D284" i="1"/>
  <c r="G284" i="1" s="1"/>
  <c r="O284" i="1"/>
  <c r="AI284" i="1"/>
  <c r="AJ284" i="1"/>
  <c r="AL284" i="1"/>
  <c r="AN284" i="1"/>
  <c r="AO284" i="1"/>
  <c r="AP284" i="1"/>
  <c r="AQ284" i="1"/>
  <c r="AS284" i="1"/>
  <c r="AT284" i="1"/>
  <c r="AU284" i="1"/>
  <c r="AV284" i="1"/>
  <c r="AW284" i="1"/>
  <c r="AX284" i="1"/>
  <c r="BB284" i="1"/>
  <c r="BD284" i="1"/>
  <c r="BG284" i="1"/>
  <c r="BH284" i="1"/>
  <c r="BI284" i="1"/>
  <c r="BJ284" i="1"/>
  <c r="BL284" i="1"/>
  <c r="BM284" i="1"/>
  <c r="BN284" i="1"/>
  <c r="BO284" i="1"/>
  <c r="D285" i="1"/>
  <c r="G285" i="1" s="1"/>
  <c r="O285" i="1"/>
  <c r="AI285" i="1"/>
  <c r="AJ285" i="1"/>
  <c r="AL285" i="1"/>
  <c r="AN285" i="1"/>
  <c r="AO285" i="1"/>
  <c r="AP285" i="1"/>
  <c r="AQ285" i="1"/>
  <c r="AS285" i="1"/>
  <c r="AT285" i="1"/>
  <c r="AU285" i="1"/>
  <c r="AV285" i="1"/>
  <c r="AW285" i="1"/>
  <c r="AX285" i="1"/>
  <c r="BB285" i="1"/>
  <c r="BD285" i="1"/>
  <c r="BG285" i="1"/>
  <c r="BH285" i="1"/>
  <c r="BI285" i="1"/>
  <c r="BJ285" i="1"/>
  <c r="BL285" i="1"/>
  <c r="BM285" i="1"/>
  <c r="BN285" i="1"/>
  <c r="BO285" i="1"/>
  <c r="D286" i="1"/>
  <c r="G286" i="1"/>
  <c r="AG286" i="1" s="1"/>
  <c r="AH286" i="1" s="1"/>
  <c r="O286" i="1"/>
  <c r="AI286" i="1"/>
  <c r="AJ286" i="1"/>
  <c r="AL286" i="1"/>
  <c r="AN286" i="1"/>
  <c r="AO286" i="1"/>
  <c r="AP286" i="1"/>
  <c r="AQ286" i="1"/>
  <c r="AS286" i="1"/>
  <c r="AT286" i="1"/>
  <c r="AU286" i="1"/>
  <c r="AV286" i="1"/>
  <c r="AW286" i="1"/>
  <c r="AX286" i="1"/>
  <c r="BB286" i="1"/>
  <c r="BD286" i="1"/>
  <c r="BG286" i="1"/>
  <c r="BH286" i="1"/>
  <c r="BI286" i="1"/>
  <c r="BJ286" i="1"/>
  <c r="BL286" i="1"/>
  <c r="BM286" i="1"/>
  <c r="BN286" i="1"/>
  <c r="BO286" i="1"/>
  <c r="O287" i="1"/>
  <c r="V287" i="1"/>
  <c r="AA287" i="1"/>
  <c r="D287" i="1" s="1"/>
  <c r="AF287" i="1"/>
  <c r="AI287" i="1"/>
  <c r="AJ287" i="1" s="1"/>
  <c r="AK287" i="1"/>
  <c r="AL287" i="1"/>
  <c r="AN287" i="1"/>
  <c r="AP287" i="1"/>
  <c r="AQ287" i="1"/>
  <c r="AS287" i="1"/>
  <c r="AT287" i="1"/>
  <c r="AU287" i="1"/>
  <c r="AV287" i="1"/>
  <c r="AW287" i="1"/>
  <c r="AX287" i="1"/>
  <c r="BB287" i="1"/>
  <c r="BD287" i="1"/>
  <c r="BG287" i="1"/>
  <c r="BH287" i="1"/>
  <c r="BI287" i="1"/>
  <c r="BJ287" i="1"/>
  <c r="BL287" i="1"/>
  <c r="BM287" i="1"/>
  <c r="BN287" i="1"/>
  <c r="BO287" i="1"/>
  <c r="D288" i="1"/>
  <c r="G288" i="1" s="1"/>
  <c r="V288" i="1"/>
  <c r="O288" i="1" s="1"/>
  <c r="W288" i="1"/>
  <c r="AA288" i="1"/>
  <c r="AB288" i="1"/>
  <c r="AI288" i="1"/>
  <c r="AJ288" i="1" s="1"/>
  <c r="AL288" i="1"/>
  <c r="AN288" i="1"/>
  <c r="AP288" i="1"/>
  <c r="AQ288" i="1"/>
  <c r="AS288" i="1"/>
  <c r="AT288" i="1"/>
  <c r="AU288" i="1"/>
  <c r="AV288" i="1"/>
  <c r="AW288" i="1"/>
  <c r="AX288" i="1"/>
  <c r="BB288" i="1"/>
  <c r="BD288" i="1"/>
  <c r="BG288" i="1"/>
  <c r="BH288" i="1"/>
  <c r="BI288" i="1"/>
  <c r="BJ288" i="1"/>
  <c r="BL288" i="1"/>
  <c r="BM288" i="1"/>
  <c r="BN288" i="1"/>
  <c r="BO288" i="1"/>
  <c r="D289" i="1"/>
  <c r="G289" i="1" s="1"/>
  <c r="O289" i="1"/>
  <c r="AI289" i="1"/>
  <c r="AJ289" i="1" s="1"/>
  <c r="AK289" i="1"/>
  <c r="AL289" i="1"/>
  <c r="AN289" i="1"/>
  <c r="AP289" i="1"/>
  <c r="AQ289" i="1"/>
  <c r="AS289" i="1"/>
  <c r="AT289" i="1"/>
  <c r="AU289" i="1"/>
  <c r="AV289" i="1"/>
  <c r="AW289" i="1"/>
  <c r="AX289" i="1"/>
  <c r="AZ289" i="1"/>
  <c r="BB289" i="1"/>
  <c r="BD289" i="1"/>
  <c r="BG289" i="1"/>
  <c r="BH289" i="1"/>
  <c r="BI289" i="1"/>
  <c r="BJ289" i="1"/>
  <c r="BL289" i="1"/>
  <c r="BM289" i="1"/>
  <c r="BN289" i="1"/>
  <c r="BO289" i="1"/>
  <c r="D290" i="1"/>
  <c r="G290" i="1" s="1"/>
  <c r="O290" i="1"/>
  <c r="AI290" i="1"/>
  <c r="AJ290" i="1" s="1"/>
  <c r="AK290" i="1"/>
  <c r="AL290" i="1"/>
  <c r="AN290" i="1"/>
  <c r="AP290" i="1"/>
  <c r="AQ290" i="1"/>
  <c r="AS290" i="1"/>
  <c r="AT290" i="1"/>
  <c r="AU290" i="1"/>
  <c r="AV290" i="1"/>
  <c r="AW290" i="1"/>
  <c r="AX290" i="1"/>
  <c r="AZ290" i="1"/>
  <c r="BB290" i="1"/>
  <c r="BD290" i="1"/>
  <c r="BG290" i="1"/>
  <c r="BH290" i="1"/>
  <c r="BI290" i="1"/>
  <c r="BJ290" i="1"/>
  <c r="BL290" i="1"/>
  <c r="BM290" i="1"/>
  <c r="BN290" i="1"/>
  <c r="BO290" i="1"/>
  <c r="D291" i="1"/>
  <c r="G291" i="1" s="1"/>
  <c r="O291" i="1"/>
  <c r="AI291" i="1"/>
  <c r="AJ291" i="1" s="1"/>
  <c r="AK291" i="1"/>
  <c r="AL291" i="1"/>
  <c r="AN291" i="1"/>
  <c r="AP291" i="1"/>
  <c r="AQ291" i="1"/>
  <c r="AS291" i="1"/>
  <c r="AT291" i="1"/>
  <c r="AU291" i="1"/>
  <c r="AV291" i="1"/>
  <c r="AW291" i="1"/>
  <c r="AX291" i="1"/>
  <c r="AZ291" i="1"/>
  <c r="BB291" i="1"/>
  <c r="BD291" i="1"/>
  <c r="BG291" i="1"/>
  <c r="BH291" i="1"/>
  <c r="BI291" i="1"/>
  <c r="BJ291" i="1"/>
  <c r="BL291" i="1"/>
  <c r="BM291" i="1"/>
  <c r="BN291" i="1"/>
  <c r="BO291" i="1"/>
  <c r="D292" i="1"/>
  <c r="G292" i="1" s="1"/>
  <c r="O292" i="1"/>
  <c r="AI292" i="1"/>
  <c r="AJ292" i="1" s="1"/>
  <c r="AK292" i="1"/>
  <c r="AL292" i="1"/>
  <c r="AN292" i="1"/>
  <c r="AP292" i="1"/>
  <c r="AQ292" i="1"/>
  <c r="AS292" i="1"/>
  <c r="AT292" i="1"/>
  <c r="AU292" i="1"/>
  <c r="AV292" i="1"/>
  <c r="AW292" i="1"/>
  <c r="AX292" i="1"/>
  <c r="AZ292" i="1"/>
  <c r="BB292" i="1"/>
  <c r="BD292" i="1"/>
  <c r="BG292" i="1"/>
  <c r="BH292" i="1"/>
  <c r="BI292" i="1"/>
  <c r="BJ292" i="1"/>
  <c r="BL292" i="1"/>
  <c r="BM292" i="1"/>
  <c r="BN292" i="1"/>
  <c r="BO292" i="1"/>
  <c r="D293" i="1"/>
  <c r="G293" i="1" s="1"/>
  <c r="O293" i="1"/>
  <c r="AI293" i="1"/>
  <c r="AJ293" i="1" s="1"/>
  <c r="AK293" i="1"/>
  <c r="AL293" i="1"/>
  <c r="AN293" i="1"/>
  <c r="AP293" i="1"/>
  <c r="AQ293" i="1"/>
  <c r="AS293" i="1"/>
  <c r="AT293" i="1"/>
  <c r="AU293" i="1"/>
  <c r="AV293" i="1"/>
  <c r="AW293" i="1"/>
  <c r="AX293" i="1"/>
  <c r="AZ293" i="1"/>
  <c r="BB293" i="1"/>
  <c r="BD293" i="1"/>
  <c r="BG293" i="1"/>
  <c r="BH293" i="1"/>
  <c r="BI293" i="1"/>
  <c r="BJ293" i="1"/>
  <c r="BL293" i="1"/>
  <c r="BM293" i="1"/>
  <c r="BN293" i="1"/>
  <c r="BO293" i="1"/>
  <c r="D294" i="1"/>
  <c r="G294" i="1" s="1"/>
  <c r="O294" i="1"/>
  <c r="AI294" i="1"/>
  <c r="AJ294" i="1" s="1"/>
  <c r="AK294" i="1"/>
  <c r="AL294" i="1"/>
  <c r="AN294" i="1"/>
  <c r="AP294" i="1"/>
  <c r="AQ294" i="1"/>
  <c r="AS294" i="1"/>
  <c r="AT294" i="1"/>
  <c r="AU294" i="1"/>
  <c r="AV294" i="1"/>
  <c r="AW294" i="1"/>
  <c r="AX294" i="1"/>
  <c r="AZ294" i="1"/>
  <c r="BB294" i="1"/>
  <c r="BD294" i="1"/>
  <c r="BG294" i="1"/>
  <c r="BH294" i="1"/>
  <c r="BI294" i="1"/>
  <c r="BJ294" i="1"/>
  <c r="BL294" i="1"/>
  <c r="BM294" i="1"/>
  <c r="BN294" i="1"/>
  <c r="BO294" i="1"/>
  <c r="D295" i="1"/>
  <c r="G295" i="1" s="1"/>
  <c r="O295" i="1"/>
  <c r="AI295" i="1"/>
  <c r="AJ295" i="1" s="1"/>
  <c r="AK295" i="1"/>
  <c r="AL295" i="1"/>
  <c r="AN295" i="1"/>
  <c r="AP295" i="1"/>
  <c r="AQ295" i="1"/>
  <c r="AS295" i="1"/>
  <c r="AT295" i="1"/>
  <c r="AU295" i="1"/>
  <c r="AV295" i="1"/>
  <c r="AW295" i="1"/>
  <c r="AX295" i="1"/>
  <c r="AZ295" i="1"/>
  <c r="BB295" i="1"/>
  <c r="BD295" i="1"/>
  <c r="BG295" i="1"/>
  <c r="BH295" i="1"/>
  <c r="BI295" i="1"/>
  <c r="BJ295" i="1"/>
  <c r="BL295" i="1"/>
  <c r="BM295" i="1"/>
  <c r="BN295" i="1"/>
  <c r="BO295" i="1"/>
  <c r="D296" i="1"/>
  <c r="G296" i="1" s="1"/>
  <c r="O296" i="1"/>
  <c r="AI296" i="1"/>
  <c r="AJ296" i="1" s="1"/>
  <c r="AK296" i="1"/>
  <c r="AL296" i="1"/>
  <c r="AN296" i="1"/>
  <c r="AP296" i="1"/>
  <c r="AQ296" i="1"/>
  <c r="AS296" i="1"/>
  <c r="AT296" i="1"/>
  <c r="AU296" i="1"/>
  <c r="AV296" i="1"/>
  <c r="AW296" i="1"/>
  <c r="AX296" i="1"/>
  <c r="AZ296" i="1"/>
  <c r="BB296" i="1"/>
  <c r="BD296" i="1"/>
  <c r="BG296" i="1"/>
  <c r="BH296" i="1"/>
  <c r="BI296" i="1"/>
  <c r="BJ296" i="1"/>
  <c r="BL296" i="1"/>
  <c r="BM296" i="1"/>
  <c r="BN296" i="1"/>
  <c r="BO296" i="1"/>
  <c r="D297" i="1"/>
  <c r="G297" i="1" s="1"/>
  <c r="O297" i="1"/>
  <c r="AI297" i="1"/>
  <c r="AJ297" i="1" s="1"/>
  <c r="AK297" i="1"/>
  <c r="AL297" i="1"/>
  <c r="AN297" i="1"/>
  <c r="AP297" i="1"/>
  <c r="AQ297" i="1"/>
  <c r="AS297" i="1"/>
  <c r="AT297" i="1"/>
  <c r="AU297" i="1"/>
  <c r="AV297" i="1"/>
  <c r="AW297" i="1"/>
  <c r="AX297" i="1"/>
  <c r="AZ297" i="1"/>
  <c r="BB297" i="1"/>
  <c r="BD297" i="1"/>
  <c r="BG297" i="1"/>
  <c r="BH297" i="1"/>
  <c r="BI297" i="1"/>
  <c r="BJ297" i="1"/>
  <c r="BL297" i="1"/>
  <c r="BM297" i="1"/>
  <c r="BN297" i="1"/>
  <c r="BO297" i="1"/>
  <c r="D298" i="1"/>
  <c r="G298" i="1" s="1"/>
  <c r="O298" i="1"/>
  <c r="AI298" i="1"/>
  <c r="AJ298" i="1" s="1"/>
  <c r="AK298" i="1"/>
  <c r="AL298" i="1"/>
  <c r="AN298" i="1"/>
  <c r="AP298" i="1"/>
  <c r="AQ298" i="1"/>
  <c r="AS298" i="1"/>
  <c r="AT298" i="1"/>
  <c r="AU298" i="1"/>
  <c r="AV298" i="1"/>
  <c r="AW298" i="1"/>
  <c r="AX298" i="1"/>
  <c r="AZ298" i="1"/>
  <c r="BB298" i="1"/>
  <c r="BD298" i="1"/>
  <c r="BG298" i="1"/>
  <c r="BH298" i="1"/>
  <c r="BI298" i="1"/>
  <c r="BJ298" i="1"/>
  <c r="BL298" i="1"/>
  <c r="BM298" i="1"/>
  <c r="BN298" i="1"/>
  <c r="BO298" i="1"/>
  <c r="D299" i="1"/>
  <c r="G299" i="1" s="1"/>
  <c r="O299" i="1"/>
  <c r="AI299" i="1"/>
  <c r="AJ299" i="1" s="1"/>
  <c r="AK299" i="1"/>
  <c r="AL299" i="1"/>
  <c r="AN299" i="1"/>
  <c r="AP299" i="1"/>
  <c r="AQ299" i="1"/>
  <c r="AS299" i="1"/>
  <c r="AT299" i="1"/>
  <c r="AU299" i="1"/>
  <c r="AV299" i="1"/>
  <c r="AW299" i="1"/>
  <c r="AX299" i="1"/>
  <c r="AZ299" i="1"/>
  <c r="BB299" i="1"/>
  <c r="BD299" i="1"/>
  <c r="BG299" i="1"/>
  <c r="BH299" i="1"/>
  <c r="BI299" i="1"/>
  <c r="BJ299" i="1"/>
  <c r="BL299" i="1"/>
  <c r="BM299" i="1"/>
  <c r="BN299" i="1"/>
  <c r="BO299" i="1"/>
  <c r="D300" i="1"/>
  <c r="G300" i="1" s="1"/>
  <c r="O300" i="1"/>
  <c r="AI300" i="1"/>
  <c r="AJ300" i="1" s="1"/>
  <c r="AK300" i="1"/>
  <c r="AL300" i="1"/>
  <c r="AN300" i="1"/>
  <c r="AP300" i="1"/>
  <c r="AQ300" i="1"/>
  <c r="AS300" i="1"/>
  <c r="AT300" i="1"/>
  <c r="AU300" i="1"/>
  <c r="AV300" i="1"/>
  <c r="AW300" i="1"/>
  <c r="AX300" i="1"/>
  <c r="AZ300" i="1"/>
  <c r="BB300" i="1"/>
  <c r="BD300" i="1"/>
  <c r="BG300" i="1"/>
  <c r="BH300" i="1"/>
  <c r="BI300" i="1"/>
  <c r="BJ300" i="1"/>
  <c r="BL300" i="1"/>
  <c r="BM300" i="1"/>
  <c r="BN300" i="1"/>
  <c r="BO300" i="1"/>
  <c r="D301" i="1"/>
  <c r="G301" i="1" s="1"/>
  <c r="O301" i="1"/>
  <c r="AI301" i="1"/>
  <c r="AJ301" i="1" s="1"/>
  <c r="AK301" i="1"/>
  <c r="AL301" i="1"/>
  <c r="AN301" i="1"/>
  <c r="AP301" i="1"/>
  <c r="AQ301" i="1"/>
  <c r="AS301" i="1"/>
  <c r="AT301" i="1"/>
  <c r="AU301" i="1"/>
  <c r="AV301" i="1"/>
  <c r="AW301" i="1"/>
  <c r="AX301" i="1"/>
  <c r="AZ301" i="1"/>
  <c r="BB301" i="1"/>
  <c r="BD301" i="1"/>
  <c r="BG301" i="1"/>
  <c r="BH301" i="1"/>
  <c r="BI301" i="1"/>
  <c r="BJ301" i="1"/>
  <c r="BL301" i="1"/>
  <c r="BM301" i="1"/>
  <c r="BN301" i="1"/>
  <c r="BO301" i="1"/>
  <c r="D302" i="1"/>
  <c r="G302" i="1" s="1"/>
  <c r="O302" i="1"/>
  <c r="AI302" i="1"/>
  <c r="AJ302" i="1" s="1"/>
  <c r="AK302" i="1"/>
  <c r="AL302" i="1"/>
  <c r="AN302" i="1"/>
  <c r="AP302" i="1"/>
  <c r="AQ302" i="1"/>
  <c r="AS302" i="1"/>
  <c r="AT302" i="1"/>
  <c r="AU302" i="1"/>
  <c r="AV302" i="1"/>
  <c r="AW302" i="1"/>
  <c r="AX302" i="1"/>
  <c r="AZ302" i="1"/>
  <c r="BB302" i="1"/>
  <c r="BD302" i="1"/>
  <c r="BG302" i="1"/>
  <c r="BH302" i="1"/>
  <c r="BI302" i="1"/>
  <c r="BJ302" i="1"/>
  <c r="BL302" i="1"/>
  <c r="BM302" i="1"/>
  <c r="BN302" i="1"/>
  <c r="BO302" i="1"/>
  <c r="D303" i="1"/>
  <c r="G303" i="1" s="1"/>
  <c r="O303" i="1"/>
  <c r="AI303" i="1"/>
  <c r="AJ303" i="1" s="1"/>
  <c r="AK303" i="1"/>
  <c r="AL303" i="1"/>
  <c r="AN303" i="1"/>
  <c r="AP303" i="1"/>
  <c r="AQ303" i="1"/>
  <c r="AS303" i="1"/>
  <c r="AT303" i="1"/>
  <c r="AU303" i="1"/>
  <c r="AV303" i="1"/>
  <c r="AW303" i="1"/>
  <c r="AX303" i="1"/>
  <c r="AZ303" i="1"/>
  <c r="BB303" i="1"/>
  <c r="BD303" i="1"/>
  <c r="BG303" i="1"/>
  <c r="BH303" i="1"/>
  <c r="BI303" i="1"/>
  <c r="BJ303" i="1"/>
  <c r="BL303" i="1"/>
  <c r="BM303" i="1"/>
  <c r="BN303" i="1"/>
  <c r="BO303" i="1"/>
  <c r="D304" i="1"/>
  <c r="G304" i="1" s="1"/>
  <c r="O304" i="1"/>
  <c r="AI304" i="1"/>
  <c r="AJ304" i="1" s="1"/>
  <c r="AK304" i="1"/>
  <c r="AL304" i="1"/>
  <c r="AN304" i="1"/>
  <c r="AP304" i="1"/>
  <c r="AQ304" i="1"/>
  <c r="AS304" i="1"/>
  <c r="AT304" i="1"/>
  <c r="AU304" i="1"/>
  <c r="AV304" i="1"/>
  <c r="AW304" i="1"/>
  <c r="AX304" i="1"/>
  <c r="AZ304" i="1"/>
  <c r="BB304" i="1"/>
  <c r="BD304" i="1"/>
  <c r="BG304" i="1"/>
  <c r="BH304" i="1"/>
  <c r="BI304" i="1"/>
  <c r="BJ304" i="1"/>
  <c r="BL304" i="1"/>
  <c r="BM304" i="1"/>
  <c r="BN304" i="1"/>
  <c r="BO304" i="1"/>
  <c r="D305" i="1"/>
  <c r="G305" i="1" s="1"/>
  <c r="O305" i="1"/>
  <c r="AI305" i="1"/>
  <c r="AJ305" i="1" s="1"/>
  <c r="AK305" i="1"/>
  <c r="AL305" i="1"/>
  <c r="AN305" i="1"/>
  <c r="AP305" i="1"/>
  <c r="AQ305" i="1"/>
  <c r="AS305" i="1"/>
  <c r="AT305" i="1"/>
  <c r="AU305" i="1"/>
  <c r="AV305" i="1"/>
  <c r="AW305" i="1"/>
  <c r="AX305" i="1"/>
  <c r="AZ305" i="1"/>
  <c r="BB305" i="1"/>
  <c r="BD305" i="1"/>
  <c r="BG305" i="1"/>
  <c r="BH305" i="1"/>
  <c r="BI305" i="1"/>
  <c r="BJ305" i="1"/>
  <c r="BL305" i="1"/>
  <c r="BM305" i="1"/>
  <c r="BN305" i="1"/>
  <c r="BO305" i="1"/>
  <c r="D306" i="1"/>
  <c r="G306" i="1" s="1"/>
  <c r="O306" i="1"/>
  <c r="AI306" i="1"/>
  <c r="AJ306" i="1" s="1"/>
  <c r="AK306" i="1"/>
  <c r="AL306" i="1"/>
  <c r="AN306" i="1"/>
  <c r="AP306" i="1"/>
  <c r="AQ306" i="1"/>
  <c r="AS306" i="1"/>
  <c r="AT306" i="1"/>
  <c r="AU306" i="1"/>
  <c r="AV306" i="1"/>
  <c r="AW306" i="1"/>
  <c r="AX306" i="1"/>
  <c r="AZ306" i="1"/>
  <c r="BB306" i="1"/>
  <c r="BD306" i="1"/>
  <c r="BG306" i="1"/>
  <c r="BH306" i="1"/>
  <c r="BI306" i="1"/>
  <c r="BJ306" i="1"/>
  <c r="BL306" i="1"/>
  <c r="BM306" i="1"/>
  <c r="BN306" i="1"/>
  <c r="BO306" i="1"/>
  <c r="D307" i="1"/>
  <c r="G307" i="1" s="1"/>
  <c r="O307" i="1"/>
  <c r="AI307" i="1"/>
  <c r="AJ307" i="1" s="1"/>
  <c r="AK307" i="1"/>
  <c r="AL307" i="1"/>
  <c r="AN307" i="1"/>
  <c r="AP307" i="1"/>
  <c r="AQ307" i="1"/>
  <c r="AS307" i="1"/>
  <c r="AT307" i="1"/>
  <c r="AU307" i="1"/>
  <c r="AV307" i="1"/>
  <c r="AW307" i="1"/>
  <c r="AX307" i="1"/>
  <c r="AZ307" i="1"/>
  <c r="BB307" i="1"/>
  <c r="BD307" i="1"/>
  <c r="BG307" i="1"/>
  <c r="BH307" i="1"/>
  <c r="BI307" i="1"/>
  <c r="BJ307" i="1"/>
  <c r="BL307" i="1"/>
  <c r="BM307" i="1"/>
  <c r="BN307" i="1"/>
  <c r="BO307" i="1"/>
  <c r="D308" i="1"/>
  <c r="G308" i="1" s="1"/>
  <c r="O308" i="1"/>
  <c r="AI308" i="1"/>
  <c r="AJ308" i="1" s="1"/>
  <c r="AK308" i="1"/>
  <c r="AL308" i="1"/>
  <c r="AN308" i="1"/>
  <c r="AP308" i="1"/>
  <c r="AQ308" i="1"/>
  <c r="AS308" i="1"/>
  <c r="AT308" i="1"/>
  <c r="AU308" i="1"/>
  <c r="AV308" i="1"/>
  <c r="AW308" i="1"/>
  <c r="AX308" i="1"/>
  <c r="AZ308" i="1"/>
  <c r="BB308" i="1"/>
  <c r="BD308" i="1"/>
  <c r="BG308" i="1"/>
  <c r="BH308" i="1"/>
  <c r="BI308" i="1"/>
  <c r="BJ308" i="1"/>
  <c r="BL308" i="1"/>
  <c r="BM308" i="1"/>
  <c r="BN308" i="1"/>
  <c r="BO308" i="1"/>
  <c r="D309" i="1"/>
  <c r="G309" i="1" s="1"/>
  <c r="O309" i="1"/>
  <c r="AI309" i="1"/>
  <c r="AJ309" i="1" s="1"/>
  <c r="AK309" i="1"/>
  <c r="AL309" i="1"/>
  <c r="AN309" i="1"/>
  <c r="AP309" i="1"/>
  <c r="AQ309" i="1"/>
  <c r="AS309" i="1"/>
  <c r="AT309" i="1"/>
  <c r="AU309" i="1"/>
  <c r="AV309" i="1"/>
  <c r="AW309" i="1"/>
  <c r="AX309" i="1"/>
  <c r="AZ309" i="1"/>
  <c r="BB309" i="1"/>
  <c r="BD309" i="1"/>
  <c r="BG309" i="1"/>
  <c r="BH309" i="1"/>
  <c r="BI309" i="1"/>
  <c r="BJ309" i="1"/>
  <c r="BL309" i="1"/>
  <c r="BM309" i="1"/>
  <c r="BN309" i="1"/>
  <c r="BO309" i="1"/>
  <c r="D310" i="1"/>
  <c r="G310" i="1" s="1"/>
  <c r="O310" i="1"/>
  <c r="AI310" i="1"/>
  <c r="AJ310" i="1" s="1"/>
  <c r="AK310" i="1"/>
  <c r="AL310" i="1"/>
  <c r="AN310" i="1"/>
  <c r="AP310" i="1"/>
  <c r="AQ310" i="1"/>
  <c r="AS310" i="1"/>
  <c r="AT310" i="1"/>
  <c r="AU310" i="1"/>
  <c r="AV310" i="1"/>
  <c r="AW310" i="1"/>
  <c r="AX310" i="1"/>
  <c r="AZ310" i="1"/>
  <c r="BB310" i="1"/>
  <c r="BD310" i="1"/>
  <c r="BG310" i="1"/>
  <c r="BH310" i="1"/>
  <c r="BI310" i="1"/>
  <c r="BJ310" i="1"/>
  <c r="BL310" i="1"/>
  <c r="BM310" i="1"/>
  <c r="BN310" i="1"/>
  <c r="BO310" i="1"/>
  <c r="D311" i="1"/>
  <c r="G311" i="1" s="1"/>
  <c r="O311" i="1"/>
  <c r="AI311" i="1"/>
  <c r="AJ311" i="1" s="1"/>
  <c r="AK311" i="1"/>
  <c r="AL311" i="1"/>
  <c r="AN311" i="1"/>
  <c r="AP311" i="1"/>
  <c r="AQ311" i="1"/>
  <c r="AS311" i="1"/>
  <c r="AT311" i="1"/>
  <c r="AU311" i="1"/>
  <c r="AV311" i="1"/>
  <c r="AW311" i="1"/>
  <c r="AX311" i="1"/>
  <c r="AZ311" i="1"/>
  <c r="BB311" i="1"/>
  <c r="BD311" i="1"/>
  <c r="BG311" i="1"/>
  <c r="BH311" i="1"/>
  <c r="BI311" i="1"/>
  <c r="BJ311" i="1"/>
  <c r="BL311" i="1"/>
  <c r="BM311" i="1"/>
  <c r="BN311" i="1"/>
  <c r="BO311" i="1"/>
  <c r="D312" i="1"/>
  <c r="G312" i="1" s="1"/>
  <c r="O312" i="1"/>
  <c r="AI312" i="1"/>
  <c r="AJ312" i="1" s="1"/>
  <c r="AK312" i="1"/>
  <c r="AL312" i="1"/>
  <c r="AN312" i="1"/>
  <c r="AP312" i="1"/>
  <c r="AQ312" i="1"/>
  <c r="AS312" i="1"/>
  <c r="AT312" i="1"/>
  <c r="AU312" i="1"/>
  <c r="AV312" i="1"/>
  <c r="AW312" i="1"/>
  <c r="AX312" i="1"/>
  <c r="AZ312" i="1"/>
  <c r="BB312" i="1"/>
  <c r="BD312" i="1"/>
  <c r="BG312" i="1"/>
  <c r="BH312" i="1"/>
  <c r="BI312" i="1"/>
  <c r="BJ312" i="1"/>
  <c r="BL312" i="1"/>
  <c r="BM312" i="1"/>
  <c r="BN312" i="1"/>
  <c r="BO312" i="1"/>
  <c r="D313" i="1"/>
  <c r="G313" i="1" s="1"/>
  <c r="O313" i="1"/>
  <c r="AI313" i="1"/>
  <c r="AJ313" i="1" s="1"/>
  <c r="AK313" i="1"/>
  <c r="AL313" i="1"/>
  <c r="AN313" i="1"/>
  <c r="AP313" i="1"/>
  <c r="AQ313" i="1"/>
  <c r="AS313" i="1"/>
  <c r="AT313" i="1"/>
  <c r="AU313" i="1"/>
  <c r="AV313" i="1"/>
  <c r="AW313" i="1"/>
  <c r="AX313" i="1"/>
  <c r="AZ313" i="1"/>
  <c r="BB313" i="1"/>
  <c r="BD313" i="1"/>
  <c r="BG313" i="1"/>
  <c r="BH313" i="1"/>
  <c r="BI313" i="1"/>
  <c r="BJ313" i="1"/>
  <c r="BL313" i="1"/>
  <c r="BM313" i="1"/>
  <c r="BN313" i="1"/>
  <c r="BO313" i="1"/>
  <c r="D314" i="1"/>
  <c r="G314" i="1" s="1"/>
  <c r="O314" i="1"/>
  <c r="AI314" i="1"/>
  <c r="AJ314" i="1" s="1"/>
  <c r="AK314" i="1"/>
  <c r="AL314" i="1"/>
  <c r="AN314" i="1"/>
  <c r="AP314" i="1"/>
  <c r="AQ314" i="1"/>
  <c r="AS314" i="1"/>
  <c r="AT314" i="1"/>
  <c r="AU314" i="1"/>
  <c r="AV314" i="1"/>
  <c r="AW314" i="1"/>
  <c r="AX314" i="1"/>
  <c r="AZ314" i="1"/>
  <c r="BB314" i="1"/>
  <c r="BD314" i="1"/>
  <c r="BG314" i="1"/>
  <c r="BH314" i="1"/>
  <c r="BI314" i="1"/>
  <c r="BJ314" i="1"/>
  <c r="BL314" i="1"/>
  <c r="BM314" i="1"/>
  <c r="BN314" i="1"/>
  <c r="BO314" i="1"/>
  <c r="D315" i="1"/>
  <c r="G315" i="1" s="1"/>
  <c r="O315" i="1"/>
  <c r="AI315" i="1"/>
  <c r="AJ315" i="1" s="1"/>
  <c r="AK315" i="1"/>
  <c r="AL315" i="1"/>
  <c r="AN315" i="1"/>
  <c r="AP315" i="1"/>
  <c r="AQ315" i="1"/>
  <c r="AS315" i="1"/>
  <c r="AT315" i="1"/>
  <c r="AU315" i="1"/>
  <c r="AV315" i="1"/>
  <c r="AW315" i="1"/>
  <c r="AX315" i="1"/>
  <c r="AZ315" i="1"/>
  <c r="BB315" i="1"/>
  <c r="BD315" i="1"/>
  <c r="BG315" i="1"/>
  <c r="BH315" i="1"/>
  <c r="BI315" i="1"/>
  <c r="BJ315" i="1"/>
  <c r="BL315" i="1"/>
  <c r="BM315" i="1"/>
  <c r="BN315" i="1"/>
  <c r="BO315" i="1"/>
  <c r="D316" i="1"/>
  <c r="G316" i="1" s="1"/>
  <c r="O316" i="1"/>
  <c r="AI316" i="1"/>
  <c r="AJ316" i="1" s="1"/>
  <c r="AK316" i="1"/>
  <c r="AL316" i="1"/>
  <c r="AN316" i="1"/>
  <c r="AP316" i="1"/>
  <c r="AQ316" i="1"/>
  <c r="AS316" i="1"/>
  <c r="AT316" i="1"/>
  <c r="AU316" i="1"/>
  <c r="AV316" i="1"/>
  <c r="AW316" i="1"/>
  <c r="AX316" i="1"/>
  <c r="AZ316" i="1"/>
  <c r="BB316" i="1"/>
  <c r="BD316" i="1"/>
  <c r="BG316" i="1"/>
  <c r="BH316" i="1"/>
  <c r="BI316" i="1"/>
  <c r="BJ316" i="1"/>
  <c r="BL316" i="1"/>
  <c r="BM316" i="1"/>
  <c r="BN316" i="1"/>
  <c r="BO316" i="1"/>
  <c r="D317" i="1"/>
  <c r="G317" i="1" s="1"/>
  <c r="O317" i="1"/>
  <c r="AI317" i="1"/>
  <c r="AJ317" i="1" s="1"/>
  <c r="AK317" i="1"/>
  <c r="AL317" i="1"/>
  <c r="AN317" i="1"/>
  <c r="AP317" i="1"/>
  <c r="AQ317" i="1"/>
  <c r="AS317" i="1"/>
  <c r="AT317" i="1"/>
  <c r="AU317" i="1"/>
  <c r="AV317" i="1"/>
  <c r="AW317" i="1"/>
  <c r="AX317" i="1"/>
  <c r="AZ317" i="1"/>
  <c r="BB317" i="1"/>
  <c r="BD317" i="1"/>
  <c r="BG317" i="1"/>
  <c r="BH317" i="1"/>
  <c r="BI317" i="1"/>
  <c r="BJ317" i="1"/>
  <c r="BL317" i="1"/>
  <c r="BM317" i="1"/>
  <c r="BN317" i="1"/>
  <c r="BO317" i="1"/>
  <c r="D318" i="1"/>
  <c r="G318" i="1" s="1"/>
  <c r="O318" i="1"/>
  <c r="AI318" i="1"/>
  <c r="AJ318" i="1" s="1"/>
  <c r="AK318" i="1"/>
  <c r="AL318" i="1"/>
  <c r="AN318" i="1"/>
  <c r="AP318" i="1"/>
  <c r="AQ318" i="1"/>
  <c r="AS318" i="1"/>
  <c r="AT318" i="1"/>
  <c r="AU318" i="1"/>
  <c r="AV318" i="1"/>
  <c r="AW318" i="1"/>
  <c r="AX318" i="1"/>
  <c r="AZ318" i="1"/>
  <c r="BB318" i="1"/>
  <c r="BD318" i="1"/>
  <c r="BG318" i="1"/>
  <c r="BH318" i="1"/>
  <c r="BI318" i="1"/>
  <c r="BJ318" i="1"/>
  <c r="BL318" i="1"/>
  <c r="BM318" i="1"/>
  <c r="BN318" i="1"/>
  <c r="BO318" i="1"/>
  <c r="D319" i="1"/>
  <c r="G319" i="1" s="1"/>
  <c r="O319" i="1"/>
  <c r="AI319" i="1"/>
  <c r="AJ319" i="1" s="1"/>
  <c r="AK319" i="1"/>
  <c r="AL319" i="1"/>
  <c r="AN319" i="1"/>
  <c r="AP319" i="1"/>
  <c r="AQ319" i="1"/>
  <c r="AS319" i="1"/>
  <c r="AT319" i="1"/>
  <c r="AU319" i="1"/>
  <c r="AV319" i="1"/>
  <c r="AW319" i="1"/>
  <c r="AX319" i="1"/>
  <c r="AZ319" i="1"/>
  <c r="BB319" i="1"/>
  <c r="BD319" i="1"/>
  <c r="BG319" i="1"/>
  <c r="BH319" i="1"/>
  <c r="BI319" i="1"/>
  <c r="BJ319" i="1"/>
  <c r="BL319" i="1"/>
  <c r="BM319" i="1"/>
  <c r="BN319" i="1"/>
  <c r="BO319" i="1"/>
  <c r="D320" i="1"/>
  <c r="G320" i="1" s="1"/>
  <c r="O320" i="1"/>
  <c r="AI320" i="1"/>
  <c r="AJ320" i="1" s="1"/>
  <c r="AK320" i="1"/>
  <c r="AL320" i="1"/>
  <c r="AN320" i="1"/>
  <c r="AP320" i="1"/>
  <c r="AQ320" i="1"/>
  <c r="AS320" i="1"/>
  <c r="AT320" i="1"/>
  <c r="AU320" i="1"/>
  <c r="AV320" i="1"/>
  <c r="AW320" i="1"/>
  <c r="AX320" i="1"/>
  <c r="AZ320" i="1"/>
  <c r="BB320" i="1"/>
  <c r="BD320" i="1"/>
  <c r="BG320" i="1"/>
  <c r="BH320" i="1"/>
  <c r="BI320" i="1"/>
  <c r="BJ320" i="1"/>
  <c r="BL320" i="1"/>
  <c r="BM320" i="1"/>
  <c r="BN320" i="1"/>
  <c r="BO320" i="1"/>
  <c r="D321" i="1"/>
  <c r="G321" i="1" s="1"/>
  <c r="O321" i="1"/>
  <c r="AI321" i="1"/>
  <c r="AJ321" i="1" s="1"/>
  <c r="AK321" i="1"/>
  <c r="AL321" i="1"/>
  <c r="AN321" i="1"/>
  <c r="AP321" i="1"/>
  <c r="AQ321" i="1"/>
  <c r="AS321" i="1"/>
  <c r="AT321" i="1"/>
  <c r="AU321" i="1"/>
  <c r="AV321" i="1"/>
  <c r="AW321" i="1"/>
  <c r="AX321" i="1"/>
  <c r="AZ321" i="1"/>
  <c r="BB321" i="1"/>
  <c r="BD321" i="1"/>
  <c r="BG321" i="1"/>
  <c r="BH321" i="1"/>
  <c r="BI321" i="1"/>
  <c r="BJ321" i="1"/>
  <c r="BL321" i="1"/>
  <c r="BM321" i="1"/>
  <c r="BN321" i="1"/>
  <c r="BO321" i="1"/>
  <c r="D322" i="1"/>
  <c r="G322" i="1" s="1"/>
  <c r="O322" i="1"/>
  <c r="AI322" i="1"/>
  <c r="AJ322" i="1" s="1"/>
  <c r="AK322" i="1"/>
  <c r="AL322" i="1"/>
  <c r="AN322" i="1"/>
  <c r="AP322" i="1"/>
  <c r="AQ322" i="1"/>
  <c r="AS322" i="1"/>
  <c r="AT322" i="1"/>
  <c r="AU322" i="1"/>
  <c r="AV322" i="1"/>
  <c r="AW322" i="1"/>
  <c r="AX322" i="1"/>
  <c r="AZ322" i="1"/>
  <c r="BB322" i="1"/>
  <c r="BD322" i="1"/>
  <c r="BG322" i="1"/>
  <c r="BH322" i="1"/>
  <c r="BI322" i="1"/>
  <c r="BJ322" i="1"/>
  <c r="BL322" i="1"/>
  <c r="BM322" i="1"/>
  <c r="BN322" i="1"/>
  <c r="BO322" i="1"/>
  <c r="D323" i="1"/>
  <c r="G323" i="1" s="1"/>
  <c r="O323" i="1"/>
  <c r="AI323" i="1"/>
  <c r="AJ323" i="1" s="1"/>
  <c r="AK323" i="1"/>
  <c r="AL323" i="1"/>
  <c r="AN323" i="1"/>
  <c r="AP323" i="1"/>
  <c r="AQ323" i="1"/>
  <c r="AS323" i="1"/>
  <c r="AT323" i="1"/>
  <c r="AU323" i="1"/>
  <c r="AV323" i="1"/>
  <c r="AW323" i="1"/>
  <c r="AX323" i="1"/>
  <c r="AZ323" i="1"/>
  <c r="BB323" i="1"/>
  <c r="BD323" i="1"/>
  <c r="BG323" i="1"/>
  <c r="BH323" i="1"/>
  <c r="BI323" i="1"/>
  <c r="BJ323" i="1"/>
  <c r="BL323" i="1"/>
  <c r="BM323" i="1"/>
  <c r="BN323" i="1"/>
  <c r="BO323" i="1"/>
  <c r="D324" i="1"/>
  <c r="G324" i="1" s="1"/>
  <c r="O324" i="1"/>
  <c r="AI324" i="1"/>
  <c r="AJ324" i="1" s="1"/>
  <c r="AK324" i="1"/>
  <c r="AL324" i="1"/>
  <c r="AN324" i="1"/>
  <c r="AP324" i="1"/>
  <c r="AQ324" i="1"/>
  <c r="AS324" i="1"/>
  <c r="AT324" i="1"/>
  <c r="AU324" i="1"/>
  <c r="AV324" i="1"/>
  <c r="AW324" i="1"/>
  <c r="AX324" i="1"/>
  <c r="AZ324" i="1"/>
  <c r="BB324" i="1"/>
  <c r="BD324" i="1"/>
  <c r="BG324" i="1"/>
  <c r="BH324" i="1"/>
  <c r="BI324" i="1"/>
  <c r="BJ324" i="1"/>
  <c r="BL324" i="1"/>
  <c r="BM324" i="1"/>
  <c r="BN324" i="1"/>
  <c r="BO324" i="1"/>
  <c r="D325" i="1"/>
  <c r="G325" i="1" s="1"/>
  <c r="O325" i="1"/>
  <c r="AI325" i="1"/>
  <c r="AJ325" i="1" s="1"/>
  <c r="AK325" i="1"/>
  <c r="AL325" i="1"/>
  <c r="AN325" i="1"/>
  <c r="AP325" i="1"/>
  <c r="AQ325" i="1"/>
  <c r="AS325" i="1"/>
  <c r="AT325" i="1"/>
  <c r="AU325" i="1"/>
  <c r="AV325" i="1"/>
  <c r="AW325" i="1"/>
  <c r="AX325" i="1"/>
  <c r="AZ325" i="1"/>
  <c r="BB325" i="1"/>
  <c r="BD325" i="1"/>
  <c r="BG325" i="1"/>
  <c r="BH325" i="1"/>
  <c r="BI325" i="1"/>
  <c r="BJ325" i="1"/>
  <c r="BL325" i="1"/>
  <c r="BM325" i="1"/>
  <c r="BN325" i="1"/>
  <c r="BO325" i="1"/>
  <c r="D326" i="1"/>
  <c r="G326" i="1" s="1"/>
  <c r="O326" i="1"/>
  <c r="AI326" i="1"/>
  <c r="AJ326" i="1" s="1"/>
  <c r="AK326" i="1"/>
  <c r="AL326" i="1"/>
  <c r="AN326" i="1"/>
  <c r="AP326" i="1"/>
  <c r="AQ326" i="1"/>
  <c r="AS326" i="1"/>
  <c r="AT326" i="1"/>
  <c r="AU326" i="1"/>
  <c r="AV326" i="1"/>
  <c r="AW326" i="1"/>
  <c r="AX326" i="1"/>
  <c r="AZ326" i="1"/>
  <c r="BB326" i="1"/>
  <c r="BD326" i="1"/>
  <c r="BG326" i="1"/>
  <c r="BH326" i="1"/>
  <c r="BI326" i="1"/>
  <c r="BJ326" i="1"/>
  <c r="BL326" i="1"/>
  <c r="BM326" i="1"/>
  <c r="BN326" i="1"/>
  <c r="BO326" i="1"/>
  <c r="D327" i="1"/>
  <c r="G327" i="1" s="1"/>
  <c r="O327" i="1"/>
  <c r="AI327" i="1"/>
  <c r="AJ327" i="1" s="1"/>
  <c r="AK327" i="1"/>
  <c r="AL327" i="1"/>
  <c r="AN327" i="1"/>
  <c r="AP327" i="1"/>
  <c r="AQ327" i="1"/>
  <c r="AS327" i="1"/>
  <c r="AT327" i="1"/>
  <c r="AU327" i="1"/>
  <c r="AV327" i="1"/>
  <c r="AW327" i="1"/>
  <c r="AX327" i="1"/>
  <c r="AZ327" i="1"/>
  <c r="BB327" i="1"/>
  <c r="BD327" i="1"/>
  <c r="BG327" i="1"/>
  <c r="BH327" i="1"/>
  <c r="BI327" i="1"/>
  <c r="BJ327" i="1"/>
  <c r="BL327" i="1"/>
  <c r="BM327" i="1"/>
  <c r="BN327" i="1"/>
  <c r="BO327" i="1"/>
  <c r="D328" i="1"/>
  <c r="G328" i="1" s="1"/>
  <c r="O328" i="1"/>
  <c r="AI328" i="1"/>
  <c r="AJ328" i="1" s="1"/>
  <c r="AK328" i="1"/>
  <c r="AL328" i="1"/>
  <c r="AN328" i="1"/>
  <c r="AP328" i="1"/>
  <c r="AQ328" i="1"/>
  <c r="AS328" i="1"/>
  <c r="AT328" i="1"/>
  <c r="AU328" i="1"/>
  <c r="AV328" i="1"/>
  <c r="AW328" i="1"/>
  <c r="AX328" i="1"/>
  <c r="AZ328" i="1"/>
  <c r="BB328" i="1"/>
  <c r="BD328" i="1"/>
  <c r="BG328" i="1"/>
  <c r="BH328" i="1"/>
  <c r="BI328" i="1"/>
  <c r="BJ328" i="1"/>
  <c r="BL328" i="1"/>
  <c r="BM328" i="1"/>
  <c r="BN328" i="1"/>
  <c r="BO328" i="1"/>
  <c r="D329" i="1"/>
  <c r="O329" i="1"/>
  <c r="AI329" i="1"/>
  <c r="AJ329" i="1" s="1"/>
  <c r="AK329" i="1"/>
  <c r="AL329" i="1"/>
  <c r="AN329" i="1"/>
  <c r="AP329" i="1"/>
  <c r="AQ329" i="1"/>
  <c r="AS329" i="1"/>
  <c r="AT329" i="1"/>
  <c r="AU329" i="1"/>
  <c r="AV329" i="1"/>
  <c r="AW329" i="1"/>
  <c r="AX329" i="1"/>
  <c r="AZ329" i="1"/>
  <c r="BB329" i="1"/>
  <c r="BD329" i="1"/>
  <c r="BG329" i="1"/>
  <c r="BH329" i="1"/>
  <c r="BI329" i="1"/>
  <c r="BJ329" i="1"/>
  <c r="BL329" i="1"/>
  <c r="BM329" i="1"/>
  <c r="BN329" i="1"/>
  <c r="BO329" i="1"/>
  <c r="D330" i="1"/>
  <c r="O330" i="1"/>
  <c r="AI330" i="1"/>
  <c r="AJ330" i="1" s="1"/>
  <c r="AK330" i="1"/>
  <c r="AL330" i="1"/>
  <c r="AN330" i="1"/>
  <c r="AP330" i="1"/>
  <c r="AQ330" i="1"/>
  <c r="AS330" i="1"/>
  <c r="AT330" i="1"/>
  <c r="AU330" i="1"/>
  <c r="AV330" i="1"/>
  <c r="AW330" i="1"/>
  <c r="AX330" i="1"/>
  <c r="AZ330" i="1"/>
  <c r="BB330" i="1"/>
  <c r="BD330" i="1"/>
  <c r="BG330" i="1"/>
  <c r="BH330" i="1"/>
  <c r="BI330" i="1"/>
  <c r="BJ330" i="1"/>
  <c r="BL330" i="1"/>
  <c r="BM330" i="1"/>
  <c r="BN330" i="1"/>
  <c r="BO330" i="1"/>
  <c r="D331" i="1"/>
  <c r="O331" i="1"/>
  <c r="AI331" i="1"/>
  <c r="AJ331" i="1" s="1"/>
  <c r="AK331" i="1"/>
  <c r="AL331" i="1"/>
  <c r="AN331" i="1"/>
  <c r="AP331" i="1"/>
  <c r="AQ331" i="1"/>
  <c r="AS331" i="1"/>
  <c r="AT331" i="1"/>
  <c r="AU331" i="1"/>
  <c r="AV331" i="1"/>
  <c r="AW331" i="1"/>
  <c r="AX331" i="1"/>
  <c r="AZ331" i="1"/>
  <c r="BB331" i="1"/>
  <c r="BD331" i="1"/>
  <c r="BG331" i="1"/>
  <c r="BH331" i="1"/>
  <c r="BI331" i="1"/>
  <c r="BJ331" i="1"/>
  <c r="BL331" i="1"/>
  <c r="BM331" i="1"/>
  <c r="BN331" i="1"/>
  <c r="BO331" i="1"/>
  <c r="D332" i="1"/>
  <c r="O332" i="1"/>
  <c r="AI332" i="1"/>
  <c r="AJ332" i="1" s="1"/>
  <c r="AK332" i="1"/>
  <c r="AL332" i="1"/>
  <c r="AN332" i="1"/>
  <c r="AP332" i="1"/>
  <c r="AQ332" i="1"/>
  <c r="AS332" i="1"/>
  <c r="AT332" i="1"/>
  <c r="AU332" i="1"/>
  <c r="AV332" i="1"/>
  <c r="AW332" i="1"/>
  <c r="AX332" i="1"/>
  <c r="AZ332" i="1"/>
  <c r="BB332" i="1"/>
  <c r="BD332" i="1"/>
  <c r="BG332" i="1"/>
  <c r="BH332" i="1"/>
  <c r="BI332" i="1"/>
  <c r="BJ332" i="1"/>
  <c r="BL332" i="1"/>
  <c r="BM332" i="1"/>
  <c r="BN332" i="1"/>
  <c r="BO332" i="1"/>
  <c r="D333" i="1"/>
  <c r="O333" i="1"/>
  <c r="AI333" i="1"/>
  <c r="AJ333" i="1" s="1"/>
  <c r="AK333" i="1"/>
  <c r="AL333" i="1"/>
  <c r="AN333" i="1"/>
  <c r="AP333" i="1"/>
  <c r="AQ333" i="1"/>
  <c r="AS333" i="1"/>
  <c r="AT333" i="1"/>
  <c r="AU333" i="1"/>
  <c r="AV333" i="1"/>
  <c r="AW333" i="1"/>
  <c r="AX333" i="1"/>
  <c r="AZ333" i="1"/>
  <c r="BB333" i="1"/>
  <c r="BD333" i="1"/>
  <c r="BG333" i="1"/>
  <c r="BH333" i="1"/>
  <c r="BI333" i="1"/>
  <c r="BJ333" i="1"/>
  <c r="BL333" i="1"/>
  <c r="BM333" i="1"/>
  <c r="BN333" i="1"/>
  <c r="BO333" i="1"/>
  <c r="D334" i="1"/>
  <c r="O334" i="1"/>
  <c r="AI334" i="1"/>
  <c r="AJ334" i="1" s="1"/>
  <c r="AK334" i="1"/>
  <c r="AL334" i="1"/>
  <c r="AN334" i="1"/>
  <c r="AP334" i="1"/>
  <c r="AQ334" i="1"/>
  <c r="AS334" i="1"/>
  <c r="AT334" i="1"/>
  <c r="AU334" i="1"/>
  <c r="AV334" i="1"/>
  <c r="AW334" i="1"/>
  <c r="AX334" i="1"/>
  <c r="AZ334" i="1"/>
  <c r="BB334" i="1"/>
  <c r="BD334" i="1"/>
  <c r="BG334" i="1"/>
  <c r="BH334" i="1"/>
  <c r="BI334" i="1"/>
  <c r="BJ334" i="1"/>
  <c r="BL334" i="1"/>
  <c r="BM334" i="1"/>
  <c r="BN334" i="1"/>
  <c r="BO334" i="1"/>
  <c r="D335" i="1"/>
  <c r="O335" i="1"/>
  <c r="AI335" i="1"/>
  <c r="AJ335" i="1" s="1"/>
  <c r="AK335" i="1"/>
  <c r="AL335" i="1"/>
  <c r="AN335" i="1"/>
  <c r="AP335" i="1"/>
  <c r="AQ335" i="1"/>
  <c r="AS335" i="1"/>
  <c r="AT335" i="1"/>
  <c r="AU335" i="1"/>
  <c r="AV335" i="1"/>
  <c r="AW335" i="1"/>
  <c r="AX335" i="1"/>
  <c r="AZ335" i="1"/>
  <c r="BB335" i="1"/>
  <c r="BD335" i="1"/>
  <c r="BG335" i="1"/>
  <c r="BH335" i="1"/>
  <c r="BI335" i="1"/>
  <c r="BJ335" i="1"/>
  <c r="BL335" i="1"/>
  <c r="BM335" i="1"/>
  <c r="BN335" i="1"/>
  <c r="BO335" i="1"/>
  <c r="D336" i="1"/>
  <c r="O336" i="1"/>
  <c r="AI336" i="1"/>
  <c r="AJ336" i="1" s="1"/>
  <c r="AK336" i="1"/>
  <c r="AL336" i="1"/>
  <c r="AN336" i="1"/>
  <c r="AP336" i="1"/>
  <c r="AQ336" i="1"/>
  <c r="AS336" i="1"/>
  <c r="AT336" i="1"/>
  <c r="AU336" i="1"/>
  <c r="AV336" i="1"/>
  <c r="AW336" i="1"/>
  <c r="AX336" i="1"/>
  <c r="AZ336" i="1"/>
  <c r="BB336" i="1"/>
  <c r="BD336" i="1"/>
  <c r="BG336" i="1"/>
  <c r="BH336" i="1"/>
  <c r="BI336" i="1"/>
  <c r="BJ336" i="1"/>
  <c r="BL336" i="1"/>
  <c r="BM336" i="1"/>
  <c r="BN336" i="1"/>
  <c r="BO336" i="1"/>
  <c r="D337" i="1"/>
  <c r="AO337" i="1" s="1"/>
  <c r="O337" i="1"/>
  <c r="AI337" i="1"/>
  <c r="AJ337" i="1" s="1"/>
  <c r="AK337" i="1"/>
  <c r="AL337" i="1"/>
  <c r="AN337" i="1"/>
  <c r="AP337" i="1"/>
  <c r="AQ337" i="1"/>
  <c r="AS337" i="1"/>
  <c r="AT337" i="1"/>
  <c r="AU337" i="1"/>
  <c r="AV337" i="1"/>
  <c r="AW337" i="1"/>
  <c r="AX337" i="1"/>
  <c r="AZ337" i="1"/>
  <c r="BB337" i="1"/>
  <c r="BD337" i="1"/>
  <c r="BG337" i="1"/>
  <c r="BH337" i="1"/>
  <c r="BI337" i="1"/>
  <c r="BJ337" i="1"/>
  <c r="BL337" i="1"/>
  <c r="BM337" i="1"/>
  <c r="BN337" i="1"/>
  <c r="BO337" i="1"/>
  <c r="D338" i="1"/>
  <c r="AO338" i="1" s="1"/>
  <c r="G338" i="1"/>
  <c r="N338" i="1" s="1"/>
  <c r="O338" i="1"/>
  <c r="AG338" i="1"/>
  <c r="AH338" i="1" s="1"/>
  <c r="AI338" i="1"/>
  <c r="AJ338" i="1" s="1"/>
  <c r="AK338" i="1"/>
  <c r="AL338" i="1"/>
  <c r="AN338" i="1"/>
  <c r="AP338" i="1"/>
  <c r="AQ338" i="1"/>
  <c r="AR338" i="1"/>
  <c r="AS338" i="1"/>
  <c r="AT338" i="1"/>
  <c r="AU338" i="1"/>
  <c r="AV338" i="1"/>
  <c r="AW338" i="1"/>
  <c r="AX338" i="1"/>
  <c r="AZ338" i="1"/>
  <c r="BB338" i="1"/>
  <c r="BD338" i="1"/>
  <c r="BG338" i="1"/>
  <c r="BH338" i="1"/>
  <c r="BI338" i="1"/>
  <c r="BJ338" i="1"/>
  <c r="BL338" i="1"/>
  <c r="BM338" i="1"/>
  <c r="BN338" i="1"/>
  <c r="BO338" i="1"/>
  <c r="D339" i="1"/>
  <c r="AO339" i="1" s="1"/>
  <c r="O339" i="1"/>
  <c r="AI339" i="1"/>
  <c r="AJ339" i="1" s="1"/>
  <c r="AK339" i="1"/>
  <c r="AL339" i="1"/>
  <c r="AN339" i="1"/>
  <c r="AP339" i="1"/>
  <c r="AQ339" i="1"/>
  <c r="AS339" i="1"/>
  <c r="AT339" i="1"/>
  <c r="AU339" i="1"/>
  <c r="AV339" i="1"/>
  <c r="AW339" i="1"/>
  <c r="AX339" i="1"/>
  <c r="AZ339" i="1"/>
  <c r="BB339" i="1"/>
  <c r="BD339" i="1"/>
  <c r="BG339" i="1"/>
  <c r="BH339" i="1"/>
  <c r="BI339" i="1"/>
  <c r="BJ339" i="1"/>
  <c r="BL339" i="1"/>
  <c r="BM339" i="1"/>
  <c r="BN339" i="1"/>
  <c r="BO339" i="1"/>
  <c r="D340" i="1"/>
  <c r="AO340" i="1" s="1"/>
  <c r="G340" i="1"/>
  <c r="AG340" i="1" s="1"/>
  <c r="AH340" i="1" s="1"/>
  <c r="O340" i="1"/>
  <c r="AI340" i="1"/>
  <c r="AJ340" i="1" s="1"/>
  <c r="AK340" i="1"/>
  <c r="AL340" i="1"/>
  <c r="AN340" i="1"/>
  <c r="AP340" i="1"/>
  <c r="AQ340" i="1"/>
  <c r="AS340" i="1"/>
  <c r="AT340" i="1"/>
  <c r="AU340" i="1"/>
  <c r="AV340" i="1"/>
  <c r="AW340" i="1"/>
  <c r="AX340" i="1"/>
  <c r="AZ340" i="1"/>
  <c r="BB340" i="1"/>
  <c r="BD340" i="1"/>
  <c r="BG340" i="1"/>
  <c r="BH340" i="1"/>
  <c r="BI340" i="1"/>
  <c r="BJ340" i="1"/>
  <c r="BL340" i="1"/>
  <c r="BM340" i="1"/>
  <c r="BN340" i="1"/>
  <c r="BO340" i="1"/>
  <c r="D341" i="1"/>
  <c r="AO341" i="1" s="1"/>
  <c r="O341" i="1"/>
  <c r="AI341" i="1"/>
  <c r="AJ341" i="1" s="1"/>
  <c r="AK341" i="1"/>
  <c r="AL341" i="1"/>
  <c r="AN341" i="1"/>
  <c r="AP341" i="1"/>
  <c r="AQ341" i="1"/>
  <c r="AS341" i="1"/>
  <c r="AT341" i="1"/>
  <c r="AU341" i="1"/>
  <c r="AV341" i="1"/>
  <c r="AW341" i="1"/>
  <c r="AX341" i="1"/>
  <c r="AZ341" i="1"/>
  <c r="BB341" i="1"/>
  <c r="BD341" i="1"/>
  <c r="BG341" i="1"/>
  <c r="BH341" i="1"/>
  <c r="BI341" i="1"/>
  <c r="BJ341" i="1"/>
  <c r="BL341" i="1"/>
  <c r="BM341" i="1"/>
  <c r="BN341" i="1"/>
  <c r="BO341" i="1"/>
  <c r="D342" i="1"/>
  <c r="AO342" i="1" s="1"/>
  <c r="G342" i="1"/>
  <c r="N342" i="1" s="1"/>
  <c r="O342" i="1"/>
  <c r="AG342" i="1"/>
  <c r="AH342" i="1" s="1"/>
  <c r="AI342" i="1"/>
  <c r="AJ342" i="1" s="1"/>
  <c r="AK342" i="1"/>
  <c r="AL342" i="1"/>
  <c r="AN342" i="1"/>
  <c r="AP342" i="1"/>
  <c r="AQ342" i="1"/>
  <c r="AR342" i="1"/>
  <c r="AS342" i="1"/>
  <c r="AT342" i="1"/>
  <c r="AU342" i="1"/>
  <c r="AV342" i="1"/>
  <c r="AW342" i="1"/>
  <c r="AX342" i="1"/>
  <c r="AZ342" i="1"/>
  <c r="BB342" i="1"/>
  <c r="BD342" i="1"/>
  <c r="BG342" i="1"/>
  <c r="BH342" i="1"/>
  <c r="BI342" i="1"/>
  <c r="BJ342" i="1"/>
  <c r="BL342" i="1"/>
  <c r="BM342" i="1"/>
  <c r="BN342" i="1"/>
  <c r="BO342" i="1"/>
  <c r="D343" i="1"/>
  <c r="AO343" i="1" s="1"/>
  <c r="O343" i="1"/>
  <c r="AI343" i="1"/>
  <c r="AJ343" i="1" s="1"/>
  <c r="AK343" i="1"/>
  <c r="AL343" i="1"/>
  <c r="AN343" i="1"/>
  <c r="AP343" i="1"/>
  <c r="AQ343" i="1"/>
  <c r="AS343" i="1"/>
  <c r="AT343" i="1"/>
  <c r="AU343" i="1"/>
  <c r="AV343" i="1"/>
  <c r="AW343" i="1"/>
  <c r="AX343" i="1"/>
  <c r="AZ343" i="1"/>
  <c r="BB343" i="1"/>
  <c r="BD343" i="1"/>
  <c r="BG343" i="1"/>
  <c r="BH343" i="1"/>
  <c r="BI343" i="1"/>
  <c r="BJ343" i="1"/>
  <c r="BL343" i="1"/>
  <c r="BM343" i="1"/>
  <c r="BN343" i="1"/>
  <c r="BO343" i="1"/>
  <c r="D344" i="1"/>
  <c r="AO344" i="1" s="1"/>
  <c r="G344" i="1"/>
  <c r="AG344" i="1" s="1"/>
  <c r="AH344" i="1" s="1"/>
  <c r="O344" i="1"/>
  <c r="AI344" i="1"/>
  <c r="AJ344" i="1" s="1"/>
  <c r="AK344" i="1"/>
  <c r="AL344" i="1"/>
  <c r="AN344" i="1"/>
  <c r="AP344" i="1"/>
  <c r="AQ344" i="1"/>
  <c r="AS344" i="1"/>
  <c r="AT344" i="1"/>
  <c r="AU344" i="1"/>
  <c r="AV344" i="1"/>
  <c r="AW344" i="1"/>
  <c r="AX344" i="1"/>
  <c r="AZ344" i="1"/>
  <c r="BB344" i="1"/>
  <c r="BD344" i="1"/>
  <c r="BG344" i="1"/>
  <c r="BH344" i="1"/>
  <c r="BI344" i="1"/>
  <c r="BJ344" i="1"/>
  <c r="BL344" i="1"/>
  <c r="BM344" i="1"/>
  <c r="BN344" i="1"/>
  <c r="BO344" i="1"/>
  <c r="D345" i="1"/>
  <c r="AO345" i="1" s="1"/>
  <c r="O345" i="1"/>
  <c r="AI345" i="1"/>
  <c r="AJ345" i="1" s="1"/>
  <c r="AK345" i="1"/>
  <c r="AL345" i="1"/>
  <c r="AN345" i="1"/>
  <c r="AP345" i="1"/>
  <c r="AQ345" i="1"/>
  <c r="AS345" i="1"/>
  <c r="AT345" i="1"/>
  <c r="AU345" i="1"/>
  <c r="AV345" i="1"/>
  <c r="AW345" i="1"/>
  <c r="AX345" i="1"/>
  <c r="AZ345" i="1"/>
  <c r="BB345" i="1"/>
  <c r="BD345" i="1"/>
  <c r="BG345" i="1"/>
  <c r="BH345" i="1"/>
  <c r="BI345" i="1"/>
  <c r="BJ345" i="1"/>
  <c r="BL345" i="1"/>
  <c r="BM345" i="1"/>
  <c r="BN345" i="1"/>
  <c r="BO345" i="1"/>
  <c r="D346" i="1"/>
  <c r="AO346" i="1" s="1"/>
  <c r="G346" i="1"/>
  <c r="N346" i="1" s="1"/>
  <c r="O346" i="1"/>
  <c r="AG346" i="1"/>
  <c r="AH346" i="1" s="1"/>
  <c r="AI346" i="1"/>
  <c r="AJ346" i="1" s="1"/>
  <c r="AK346" i="1"/>
  <c r="AL346" i="1"/>
  <c r="AN346" i="1"/>
  <c r="AP346" i="1"/>
  <c r="AQ346" i="1"/>
  <c r="AR346" i="1"/>
  <c r="AS346" i="1"/>
  <c r="AT346" i="1"/>
  <c r="AU346" i="1"/>
  <c r="AV346" i="1"/>
  <c r="AW346" i="1"/>
  <c r="AX346" i="1"/>
  <c r="AZ346" i="1"/>
  <c r="BB346" i="1"/>
  <c r="BD346" i="1"/>
  <c r="BG346" i="1"/>
  <c r="BH346" i="1"/>
  <c r="BI346" i="1"/>
  <c r="BJ346" i="1"/>
  <c r="BL346" i="1"/>
  <c r="BM346" i="1"/>
  <c r="BN346" i="1"/>
  <c r="BO346" i="1"/>
  <c r="D347" i="1"/>
  <c r="AO347" i="1" s="1"/>
  <c r="O347" i="1"/>
  <c r="AI347" i="1"/>
  <c r="AJ347" i="1" s="1"/>
  <c r="AK347" i="1"/>
  <c r="AL347" i="1"/>
  <c r="AN347" i="1"/>
  <c r="AP347" i="1"/>
  <c r="AQ347" i="1"/>
  <c r="AS347" i="1"/>
  <c r="AT347" i="1"/>
  <c r="AU347" i="1"/>
  <c r="AV347" i="1"/>
  <c r="AW347" i="1"/>
  <c r="AX347" i="1"/>
  <c r="AZ347" i="1"/>
  <c r="BB347" i="1"/>
  <c r="BD347" i="1"/>
  <c r="BG347" i="1"/>
  <c r="BH347" i="1"/>
  <c r="BI347" i="1"/>
  <c r="BJ347" i="1"/>
  <c r="BL347" i="1"/>
  <c r="BM347" i="1"/>
  <c r="BN347" i="1"/>
  <c r="BO347" i="1"/>
  <c r="D348" i="1"/>
  <c r="AO348" i="1" s="1"/>
  <c r="O348" i="1"/>
  <c r="AI348" i="1"/>
  <c r="AJ348" i="1" s="1"/>
  <c r="AK348" i="1"/>
  <c r="AL348" i="1"/>
  <c r="AN348" i="1"/>
  <c r="AP348" i="1"/>
  <c r="AQ348" i="1"/>
  <c r="AS348" i="1"/>
  <c r="AT348" i="1"/>
  <c r="AU348" i="1"/>
  <c r="AV348" i="1"/>
  <c r="AW348" i="1"/>
  <c r="AX348" i="1"/>
  <c r="AZ348" i="1"/>
  <c r="BB348" i="1"/>
  <c r="BD348" i="1"/>
  <c r="BG348" i="1"/>
  <c r="BH348" i="1"/>
  <c r="BI348" i="1"/>
  <c r="BJ348" i="1"/>
  <c r="BL348" i="1"/>
  <c r="BM348" i="1"/>
  <c r="BN348" i="1"/>
  <c r="BO348" i="1"/>
  <c r="D349" i="1"/>
  <c r="AO349" i="1" s="1"/>
  <c r="O349" i="1"/>
  <c r="AI349" i="1"/>
  <c r="AJ349" i="1" s="1"/>
  <c r="AK349" i="1"/>
  <c r="AL349" i="1"/>
  <c r="AN349" i="1"/>
  <c r="AP349" i="1"/>
  <c r="AQ349" i="1"/>
  <c r="AS349" i="1"/>
  <c r="AT349" i="1"/>
  <c r="AU349" i="1"/>
  <c r="AV349" i="1"/>
  <c r="AW349" i="1"/>
  <c r="AX349" i="1"/>
  <c r="AZ349" i="1"/>
  <c r="BB349" i="1"/>
  <c r="BD349" i="1"/>
  <c r="BG349" i="1"/>
  <c r="BH349" i="1"/>
  <c r="BI349" i="1"/>
  <c r="BJ349" i="1"/>
  <c r="BL349" i="1"/>
  <c r="BM349" i="1"/>
  <c r="BN349" i="1"/>
  <c r="BO349" i="1"/>
  <c r="D350" i="1"/>
  <c r="AO350" i="1" s="1"/>
  <c r="O350" i="1"/>
  <c r="AI350" i="1"/>
  <c r="AJ350" i="1" s="1"/>
  <c r="AK350" i="1"/>
  <c r="AL350" i="1"/>
  <c r="AN350" i="1"/>
  <c r="AP350" i="1"/>
  <c r="AQ350" i="1"/>
  <c r="AS350" i="1"/>
  <c r="AT350" i="1"/>
  <c r="AU350" i="1"/>
  <c r="AV350" i="1"/>
  <c r="AW350" i="1"/>
  <c r="AX350" i="1"/>
  <c r="AZ350" i="1"/>
  <c r="BB350" i="1"/>
  <c r="BD350" i="1"/>
  <c r="BG350" i="1"/>
  <c r="BH350" i="1"/>
  <c r="BI350" i="1"/>
  <c r="BJ350" i="1"/>
  <c r="BL350" i="1"/>
  <c r="BM350" i="1"/>
  <c r="BN350" i="1"/>
  <c r="BO350" i="1"/>
  <c r="D351" i="1"/>
  <c r="AO351" i="1" s="1"/>
  <c r="O351" i="1"/>
  <c r="AI351" i="1"/>
  <c r="AJ351" i="1" s="1"/>
  <c r="AK351" i="1"/>
  <c r="AL351" i="1"/>
  <c r="AN351" i="1"/>
  <c r="AP351" i="1"/>
  <c r="AQ351" i="1"/>
  <c r="AS351" i="1"/>
  <c r="AT351" i="1"/>
  <c r="AU351" i="1"/>
  <c r="AV351" i="1"/>
  <c r="AW351" i="1"/>
  <c r="AX351" i="1"/>
  <c r="AZ351" i="1"/>
  <c r="BB351" i="1"/>
  <c r="BD351" i="1"/>
  <c r="BG351" i="1"/>
  <c r="BH351" i="1"/>
  <c r="BI351" i="1"/>
  <c r="BJ351" i="1"/>
  <c r="BL351" i="1"/>
  <c r="BM351" i="1"/>
  <c r="BN351" i="1"/>
  <c r="BO351" i="1"/>
  <c r="D352" i="1"/>
  <c r="AO352" i="1" s="1"/>
  <c r="O352" i="1"/>
  <c r="AI352" i="1"/>
  <c r="AJ352" i="1" s="1"/>
  <c r="AK352" i="1"/>
  <c r="AL352" i="1"/>
  <c r="AN352" i="1"/>
  <c r="AP352" i="1"/>
  <c r="AQ352" i="1"/>
  <c r="AS352" i="1"/>
  <c r="AT352" i="1"/>
  <c r="AU352" i="1"/>
  <c r="AV352" i="1"/>
  <c r="AW352" i="1"/>
  <c r="AX352" i="1"/>
  <c r="AZ352" i="1"/>
  <c r="BB352" i="1"/>
  <c r="BD352" i="1"/>
  <c r="BG352" i="1"/>
  <c r="BH352" i="1"/>
  <c r="BI352" i="1"/>
  <c r="BJ352" i="1"/>
  <c r="BL352" i="1"/>
  <c r="BM352" i="1"/>
  <c r="BN352" i="1"/>
  <c r="BO352" i="1"/>
  <c r="D353" i="1"/>
  <c r="AO353" i="1" s="1"/>
  <c r="O353" i="1"/>
  <c r="AI353" i="1"/>
  <c r="AJ353" i="1"/>
  <c r="AK353" i="1"/>
  <c r="AL353" i="1"/>
  <c r="AN353" i="1"/>
  <c r="AP353" i="1"/>
  <c r="AQ353" i="1"/>
  <c r="AS353" i="1"/>
  <c r="AT353" i="1"/>
  <c r="AU353" i="1"/>
  <c r="AV353" i="1"/>
  <c r="AW353" i="1"/>
  <c r="AX353" i="1"/>
  <c r="AZ353" i="1"/>
  <c r="BB353" i="1"/>
  <c r="BD353" i="1"/>
  <c r="BG353" i="1"/>
  <c r="BH353" i="1"/>
  <c r="BI353" i="1"/>
  <c r="BJ353" i="1"/>
  <c r="BL353" i="1"/>
  <c r="BM353" i="1"/>
  <c r="BN353" i="1"/>
  <c r="BO353" i="1"/>
  <c r="D354" i="1"/>
  <c r="AO354" i="1" s="1"/>
  <c r="O354" i="1"/>
  <c r="AI354" i="1"/>
  <c r="AJ354" i="1"/>
  <c r="AK354" i="1"/>
  <c r="AL354" i="1"/>
  <c r="AN354" i="1"/>
  <c r="AP354" i="1"/>
  <c r="AQ354" i="1"/>
  <c r="AS354" i="1"/>
  <c r="AT354" i="1"/>
  <c r="AU354" i="1"/>
  <c r="AV354" i="1"/>
  <c r="AW354" i="1"/>
  <c r="AX354" i="1"/>
  <c r="AZ354" i="1"/>
  <c r="BB354" i="1"/>
  <c r="BD354" i="1"/>
  <c r="BG354" i="1"/>
  <c r="BH354" i="1"/>
  <c r="BI354" i="1"/>
  <c r="BJ354" i="1"/>
  <c r="BL354" i="1"/>
  <c r="BM354" i="1"/>
  <c r="BN354" i="1"/>
  <c r="BO354" i="1"/>
  <c r="D355" i="1"/>
  <c r="G355" i="1" s="1"/>
  <c r="O355" i="1"/>
  <c r="AI355" i="1"/>
  <c r="AJ355" i="1"/>
  <c r="AK355" i="1"/>
  <c r="AL355" i="1"/>
  <c r="AN355" i="1"/>
  <c r="AO355" i="1"/>
  <c r="AP355" i="1"/>
  <c r="AQ355" i="1"/>
  <c r="AS355" i="1"/>
  <c r="AT355" i="1"/>
  <c r="AU355" i="1"/>
  <c r="AV355" i="1"/>
  <c r="AW355" i="1"/>
  <c r="AX355" i="1"/>
  <c r="AZ355" i="1"/>
  <c r="BB355" i="1"/>
  <c r="BD355" i="1"/>
  <c r="BG355" i="1"/>
  <c r="BH355" i="1"/>
  <c r="BI355" i="1"/>
  <c r="BJ355" i="1"/>
  <c r="BL355" i="1"/>
  <c r="BM355" i="1"/>
  <c r="BN355" i="1"/>
  <c r="BO355" i="1"/>
  <c r="D356" i="1"/>
  <c r="G356" i="1" s="1"/>
  <c r="O356" i="1"/>
  <c r="AZ356" i="1" s="1"/>
  <c r="AI356" i="1"/>
  <c r="AJ356" i="1"/>
  <c r="AK356" i="1"/>
  <c r="AL356" i="1"/>
  <c r="AN356" i="1"/>
  <c r="AO356" i="1"/>
  <c r="AP356" i="1"/>
  <c r="AQ356" i="1"/>
  <c r="AS356" i="1"/>
  <c r="AT356" i="1"/>
  <c r="AU356" i="1"/>
  <c r="AV356" i="1"/>
  <c r="AW356" i="1"/>
  <c r="AX356" i="1"/>
  <c r="BB356" i="1"/>
  <c r="BD356" i="1"/>
  <c r="BG356" i="1"/>
  <c r="BH356" i="1"/>
  <c r="BI356" i="1"/>
  <c r="BJ356" i="1"/>
  <c r="BL356" i="1"/>
  <c r="BM356" i="1"/>
  <c r="BN356" i="1"/>
  <c r="BO356" i="1"/>
  <c r="D357" i="1"/>
  <c r="G357" i="1" s="1"/>
  <c r="O357" i="1"/>
  <c r="AZ357" i="1" s="1"/>
  <c r="AI357" i="1"/>
  <c r="AJ357" i="1"/>
  <c r="AK357" i="1"/>
  <c r="AL357" i="1"/>
  <c r="AN357" i="1"/>
  <c r="AO357" i="1"/>
  <c r="AP357" i="1"/>
  <c r="AQ357" i="1"/>
  <c r="AS357" i="1"/>
  <c r="AT357" i="1"/>
  <c r="AU357" i="1"/>
  <c r="AV357" i="1"/>
  <c r="AW357" i="1"/>
  <c r="AX357" i="1"/>
  <c r="BB357" i="1"/>
  <c r="BD357" i="1"/>
  <c r="BG357" i="1"/>
  <c r="BH357" i="1"/>
  <c r="BI357" i="1"/>
  <c r="BJ357" i="1"/>
  <c r="BL357" i="1"/>
  <c r="BM357" i="1"/>
  <c r="BN357" i="1"/>
  <c r="BO357" i="1"/>
  <c r="D358" i="1"/>
  <c r="G358" i="1" s="1"/>
  <c r="O358" i="1"/>
  <c r="AZ358" i="1" s="1"/>
  <c r="AI358" i="1"/>
  <c r="AJ358" i="1"/>
  <c r="AK358" i="1"/>
  <c r="AL358" i="1"/>
  <c r="AN358" i="1"/>
  <c r="AO358" i="1"/>
  <c r="AP358" i="1"/>
  <c r="AQ358" i="1"/>
  <c r="AS358" i="1"/>
  <c r="AT358" i="1"/>
  <c r="AU358" i="1"/>
  <c r="AV358" i="1"/>
  <c r="AW358" i="1"/>
  <c r="AX358" i="1"/>
  <c r="BB358" i="1"/>
  <c r="BD358" i="1"/>
  <c r="BG358" i="1"/>
  <c r="BH358" i="1"/>
  <c r="BI358" i="1"/>
  <c r="BJ358" i="1"/>
  <c r="BL358" i="1"/>
  <c r="BM358" i="1"/>
  <c r="BN358" i="1"/>
  <c r="BO358" i="1"/>
  <c r="D359" i="1"/>
  <c r="G359" i="1" s="1"/>
  <c r="O359" i="1"/>
  <c r="AZ359" i="1" s="1"/>
  <c r="AI359" i="1"/>
  <c r="AJ359" i="1"/>
  <c r="AL359" i="1"/>
  <c r="AN359" i="1"/>
  <c r="AO359" i="1"/>
  <c r="AP359" i="1"/>
  <c r="AQ359" i="1"/>
  <c r="AS359" i="1"/>
  <c r="AT359" i="1"/>
  <c r="AU359" i="1"/>
  <c r="AV359" i="1"/>
  <c r="AW359" i="1"/>
  <c r="AX359" i="1"/>
  <c r="BB359" i="1"/>
  <c r="BD359" i="1"/>
  <c r="BG359" i="1"/>
  <c r="BH359" i="1"/>
  <c r="BI359" i="1"/>
  <c r="BJ359" i="1"/>
  <c r="BL359" i="1"/>
  <c r="BM359" i="1"/>
  <c r="BN359" i="1"/>
  <c r="BO359" i="1"/>
  <c r="D360" i="1"/>
  <c r="G360" i="1" s="1"/>
  <c r="O360" i="1"/>
  <c r="AZ360" i="1" s="1"/>
  <c r="AI360" i="1"/>
  <c r="AJ360" i="1"/>
  <c r="AL360" i="1"/>
  <c r="AN360" i="1"/>
  <c r="AO360" i="1"/>
  <c r="AP360" i="1"/>
  <c r="AQ360" i="1"/>
  <c r="AS360" i="1"/>
  <c r="AT360" i="1"/>
  <c r="AU360" i="1"/>
  <c r="AV360" i="1"/>
  <c r="AW360" i="1"/>
  <c r="AX360" i="1"/>
  <c r="BB360" i="1"/>
  <c r="BD360" i="1"/>
  <c r="BG360" i="1"/>
  <c r="BH360" i="1"/>
  <c r="BI360" i="1"/>
  <c r="BJ360" i="1"/>
  <c r="BL360" i="1"/>
  <c r="BM360" i="1"/>
  <c r="BN360" i="1"/>
  <c r="BO360" i="1"/>
  <c r="D361" i="1"/>
  <c r="G361" i="1" s="1"/>
  <c r="O361" i="1"/>
  <c r="AZ361" i="1" s="1"/>
  <c r="AI361" i="1"/>
  <c r="AJ361" i="1"/>
  <c r="AL361" i="1"/>
  <c r="AN361" i="1"/>
  <c r="AO361" i="1"/>
  <c r="AP361" i="1"/>
  <c r="AQ361" i="1"/>
  <c r="AS361" i="1"/>
  <c r="AT361" i="1"/>
  <c r="AU361" i="1"/>
  <c r="AV361" i="1"/>
  <c r="AW361" i="1"/>
  <c r="AX361" i="1"/>
  <c r="BB361" i="1"/>
  <c r="BD361" i="1"/>
  <c r="BG361" i="1"/>
  <c r="BH361" i="1"/>
  <c r="BI361" i="1"/>
  <c r="BJ361" i="1"/>
  <c r="BL361" i="1"/>
  <c r="BM361" i="1"/>
  <c r="BN361" i="1"/>
  <c r="BO361" i="1"/>
  <c r="AN363" i="1"/>
  <c r="D364" i="1"/>
  <c r="G364" i="1"/>
  <c r="AG364" i="1" s="1"/>
  <c r="AH364" i="1" s="1"/>
  <c r="N364" i="1"/>
  <c r="AY364" i="1" s="1"/>
  <c r="O364" i="1"/>
  <c r="P364" i="1" s="1"/>
  <c r="AI364" i="1"/>
  <c r="AJ364" i="1" s="1"/>
  <c r="AL364" i="1"/>
  <c r="AN364" i="1"/>
  <c r="AO364" i="1"/>
  <c r="AP364" i="1"/>
  <c r="AQ364" i="1"/>
  <c r="AR364" i="1"/>
  <c r="AS364" i="1"/>
  <c r="AT364" i="1"/>
  <c r="AU364" i="1"/>
  <c r="AV364" i="1"/>
  <c r="AW364" i="1"/>
  <c r="AX364" i="1"/>
  <c r="AZ364" i="1"/>
  <c r="BB364" i="1"/>
  <c r="BD364" i="1"/>
  <c r="BG364" i="1"/>
  <c r="BH364" i="1"/>
  <c r="BI364" i="1"/>
  <c r="BJ364" i="1"/>
  <c r="BL364" i="1"/>
  <c r="BM364" i="1"/>
  <c r="BN364" i="1"/>
  <c r="BO364" i="1"/>
  <c r="D365" i="1"/>
  <c r="G365" i="1"/>
  <c r="AG365" i="1" s="1"/>
  <c r="AH365" i="1" s="1"/>
  <c r="N365" i="1"/>
  <c r="AY365" i="1" s="1"/>
  <c r="O365" i="1"/>
  <c r="P365" i="1" s="1"/>
  <c r="AI365" i="1"/>
  <c r="AJ365" i="1" s="1"/>
  <c r="AL365" i="1"/>
  <c r="AN365" i="1"/>
  <c r="AO365" i="1"/>
  <c r="AP365" i="1"/>
  <c r="AQ365" i="1"/>
  <c r="AR365" i="1"/>
  <c r="AS365" i="1"/>
  <c r="AT365" i="1"/>
  <c r="AU365" i="1"/>
  <c r="AV365" i="1"/>
  <c r="AW365" i="1"/>
  <c r="AX365" i="1"/>
  <c r="AZ365" i="1"/>
  <c r="BB365" i="1"/>
  <c r="BD365" i="1"/>
  <c r="BG365" i="1"/>
  <c r="BH365" i="1"/>
  <c r="BI365" i="1"/>
  <c r="BJ365" i="1"/>
  <c r="BL365" i="1"/>
  <c r="BM365" i="1"/>
  <c r="BN365" i="1"/>
  <c r="BO365" i="1"/>
  <c r="D366" i="1"/>
  <c r="G366" i="1"/>
  <c r="AG366" i="1" s="1"/>
  <c r="AH366" i="1" s="1"/>
  <c r="N366" i="1"/>
  <c r="AY366" i="1" s="1"/>
  <c r="O366" i="1"/>
  <c r="P366" i="1" s="1"/>
  <c r="AI366" i="1"/>
  <c r="AJ366" i="1" s="1"/>
  <c r="AL366" i="1"/>
  <c r="AN366" i="1"/>
  <c r="AO366" i="1"/>
  <c r="AP366" i="1"/>
  <c r="AQ366" i="1"/>
  <c r="AR366" i="1"/>
  <c r="AS366" i="1"/>
  <c r="AT366" i="1"/>
  <c r="AU366" i="1"/>
  <c r="AV366" i="1"/>
  <c r="AW366" i="1"/>
  <c r="AX366" i="1"/>
  <c r="AZ366" i="1"/>
  <c r="BB366" i="1"/>
  <c r="BD366" i="1"/>
  <c r="BG366" i="1"/>
  <c r="BH366" i="1"/>
  <c r="BI366" i="1"/>
  <c r="BJ366" i="1"/>
  <c r="BL366" i="1"/>
  <c r="BM366" i="1"/>
  <c r="BN366" i="1"/>
  <c r="BO366" i="1"/>
  <c r="D367" i="1"/>
  <c r="G367" i="1"/>
  <c r="AG367" i="1" s="1"/>
  <c r="AH367" i="1" s="1"/>
  <c r="N367" i="1"/>
  <c r="AY367" i="1" s="1"/>
  <c r="O367" i="1"/>
  <c r="P367" i="1" s="1"/>
  <c r="AI367" i="1"/>
  <c r="AJ367" i="1" s="1"/>
  <c r="AL367" i="1"/>
  <c r="AN367" i="1"/>
  <c r="AO367" i="1"/>
  <c r="AP367" i="1"/>
  <c r="AQ367" i="1"/>
  <c r="AR367" i="1"/>
  <c r="AS367" i="1"/>
  <c r="AT367" i="1"/>
  <c r="AU367" i="1"/>
  <c r="AV367" i="1"/>
  <c r="AW367" i="1"/>
  <c r="AX367" i="1"/>
  <c r="AZ367" i="1"/>
  <c r="BB367" i="1"/>
  <c r="BD367" i="1"/>
  <c r="BG367" i="1"/>
  <c r="BH367" i="1"/>
  <c r="BI367" i="1"/>
  <c r="BJ367" i="1"/>
  <c r="BL367" i="1"/>
  <c r="BM367" i="1"/>
  <c r="BN367" i="1"/>
  <c r="BO367" i="1"/>
  <c r="D368" i="1"/>
  <c r="G368" i="1"/>
  <c r="AG368" i="1" s="1"/>
  <c r="AH368" i="1" s="1"/>
  <c r="N368" i="1"/>
  <c r="AY368" i="1" s="1"/>
  <c r="O368" i="1"/>
  <c r="P368" i="1" s="1"/>
  <c r="AI368" i="1"/>
  <c r="AJ368" i="1" s="1"/>
  <c r="AL368" i="1"/>
  <c r="AN368" i="1"/>
  <c r="AO368" i="1"/>
  <c r="AP368" i="1"/>
  <c r="AQ368" i="1"/>
  <c r="AR368" i="1"/>
  <c r="AS368" i="1"/>
  <c r="AT368" i="1"/>
  <c r="AU368" i="1"/>
  <c r="AV368" i="1"/>
  <c r="AW368" i="1"/>
  <c r="AX368" i="1"/>
  <c r="AZ368" i="1"/>
  <c r="BB368" i="1"/>
  <c r="BD368" i="1"/>
  <c r="BG368" i="1"/>
  <c r="BH368" i="1"/>
  <c r="BI368" i="1"/>
  <c r="BJ368" i="1"/>
  <c r="BL368" i="1"/>
  <c r="BM368" i="1"/>
  <c r="BN368" i="1"/>
  <c r="BO368" i="1"/>
  <c r="D369" i="1"/>
  <c r="G369" i="1"/>
  <c r="AG369" i="1" s="1"/>
  <c r="AH369" i="1" s="1"/>
  <c r="N369" i="1"/>
  <c r="AY369" i="1" s="1"/>
  <c r="O369" i="1"/>
  <c r="P369" i="1" s="1"/>
  <c r="AI369" i="1"/>
  <c r="AJ369" i="1" s="1"/>
  <c r="AL369" i="1"/>
  <c r="AN369" i="1"/>
  <c r="AO369" i="1"/>
  <c r="AP369" i="1"/>
  <c r="AQ369" i="1"/>
  <c r="AR369" i="1"/>
  <c r="AS369" i="1"/>
  <c r="AT369" i="1"/>
  <c r="AU369" i="1"/>
  <c r="AV369" i="1"/>
  <c r="AW369" i="1"/>
  <c r="AX369" i="1"/>
  <c r="AZ369" i="1"/>
  <c r="BB369" i="1"/>
  <c r="BD369" i="1"/>
  <c r="BG369" i="1"/>
  <c r="BH369" i="1"/>
  <c r="BI369" i="1"/>
  <c r="BJ369" i="1"/>
  <c r="BL369" i="1"/>
  <c r="BM369" i="1"/>
  <c r="BN369" i="1"/>
  <c r="BO369" i="1"/>
  <c r="D370" i="1"/>
  <c r="G370" i="1"/>
  <c r="AG370" i="1" s="1"/>
  <c r="AH370" i="1" s="1"/>
  <c r="N370" i="1"/>
  <c r="AY370" i="1" s="1"/>
  <c r="O370" i="1"/>
  <c r="P370" i="1" s="1"/>
  <c r="AI370" i="1"/>
  <c r="AJ370" i="1" s="1"/>
  <c r="AL370" i="1"/>
  <c r="AN370" i="1"/>
  <c r="AO370" i="1"/>
  <c r="AP370" i="1"/>
  <c r="AQ370" i="1"/>
  <c r="AR370" i="1"/>
  <c r="AS370" i="1"/>
  <c r="AT370" i="1"/>
  <c r="AU370" i="1"/>
  <c r="AV370" i="1"/>
  <c r="AW370" i="1"/>
  <c r="AX370" i="1"/>
  <c r="AZ370" i="1"/>
  <c r="BB370" i="1"/>
  <c r="BD370" i="1"/>
  <c r="BG370" i="1"/>
  <c r="BH370" i="1"/>
  <c r="BI370" i="1"/>
  <c r="BJ370" i="1"/>
  <c r="BL370" i="1"/>
  <c r="BM370" i="1"/>
  <c r="BN370" i="1"/>
  <c r="BO370" i="1"/>
  <c r="D371" i="1"/>
  <c r="G371" i="1"/>
  <c r="AG371" i="1" s="1"/>
  <c r="AH371" i="1" s="1"/>
  <c r="N371" i="1"/>
  <c r="AY371" i="1" s="1"/>
  <c r="O371" i="1"/>
  <c r="P371" i="1" s="1"/>
  <c r="AI371" i="1"/>
  <c r="AJ371" i="1" s="1"/>
  <c r="AL371" i="1"/>
  <c r="AN371" i="1"/>
  <c r="AO371" i="1"/>
  <c r="AP371" i="1"/>
  <c r="AQ371" i="1"/>
  <c r="AR371" i="1"/>
  <c r="AS371" i="1"/>
  <c r="AT371" i="1"/>
  <c r="AU371" i="1"/>
  <c r="AV371" i="1"/>
  <c r="AW371" i="1"/>
  <c r="AX371" i="1"/>
  <c r="AZ371" i="1"/>
  <c r="BB371" i="1"/>
  <c r="BD371" i="1"/>
  <c r="BG371" i="1"/>
  <c r="BH371" i="1"/>
  <c r="BI371" i="1"/>
  <c r="BJ371" i="1"/>
  <c r="BL371" i="1"/>
  <c r="BM371" i="1"/>
  <c r="BN371" i="1"/>
  <c r="BO371" i="1"/>
  <c r="D372" i="1"/>
  <c r="G372" i="1"/>
  <c r="AG372" i="1" s="1"/>
  <c r="AH372" i="1" s="1"/>
  <c r="N372" i="1"/>
  <c r="AY372" i="1" s="1"/>
  <c r="O372" i="1"/>
  <c r="P372" i="1" s="1"/>
  <c r="AI372" i="1"/>
  <c r="AJ372" i="1" s="1"/>
  <c r="AL372" i="1"/>
  <c r="AN372" i="1"/>
  <c r="AO372" i="1"/>
  <c r="AP372" i="1"/>
  <c r="AQ372" i="1"/>
  <c r="AR372" i="1"/>
  <c r="AS372" i="1"/>
  <c r="AT372" i="1"/>
  <c r="AU372" i="1"/>
  <c r="AV372" i="1"/>
  <c r="AW372" i="1"/>
  <c r="AX372" i="1"/>
  <c r="AZ372" i="1"/>
  <c r="BB372" i="1"/>
  <c r="BD372" i="1"/>
  <c r="BG372" i="1"/>
  <c r="BH372" i="1"/>
  <c r="BI372" i="1"/>
  <c r="BJ372" i="1"/>
  <c r="BL372" i="1"/>
  <c r="BM372" i="1"/>
  <c r="BN372" i="1"/>
  <c r="BO372" i="1"/>
  <c r="D373" i="1"/>
  <c r="G373" i="1"/>
  <c r="AG373" i="1" s="1"/>
  <c r="AH373" i="1" s="1"/>
  <c r="N373" i="1"/>
  <c r="AY373" i="1" s="1"/>
  <c r="O373" i="1"/>
  <c r="P373" i="1" s="1"/>
  <c r="AI373" i="1"/>
  <c r="AJ373" i="1" s="1"/>
  <c r="AL373" i="1"/>
  <c r="AN373" i="1"/>
  <c r="AO373" i="1"/>
  <c r="AP373" i="1"/>
  <c r="AQ373" i="1"/>
  <c r="AR373" i="1"/>
  <c r="AS373" i="1"/>
  <c r="AT373" i="1"/>
  <c r="AU373" i="1"/>
  <c r="AV373" i="1"/>
  <c r="AW373" i="1"/>
  <c r="AX373" i="1"/>
  <c r="AZ373" i="1"/>
  <c r="BB373" i="1"/>
  <c r="BD373" i="1"/>
  <c r="BG373" i="1"/>
  <c r="BH373" i="1"/>
  <c r="BI373" i="1"/>
  <c r="BJ373" i="1"/>
  <c r="BL373" i="1"/>
  <c r="BM373" i="1"/>
  <c r="BN373" i="1"/>
  <c r="BO373" i="1"/>
  <c r="AN375" i="1"/>
  <c r="V376" i="1"/>
  <c r="O376" i="1" s="1"/>
  <c r="W376" i="1"/>
  <c r="AA376" i="1"/>
  <c r="D376" i="1" s="1"/>
  <c r="AB376" i="1"/>
  <c r="AF376" i="1"/>
  <c r="AI376" i="1"/>
  <c r="AJ376" i="1"/>
  <c r="AL376" i="1"/>
  <c r="AN376" i="1"/>
  <c r="AP376" i="1"/>
  <c r="AQ376" i="1"/>
  <c r="AS376" i="1"/>
  <c r="AT376" i="1"/>
  <c r="AU376" i="1"/>
  <c r="AV376" i="1"/>
  <c r="AW376" i="1"/>
  <c r="AX376" i="1"/>
  <c r="BB376" i="1"/>
  <c r="BD376" i="1"/>
  <c r="BG376" i="1"/>
  <c r="BH376" i="1"/>
  <c r="BI376" i="1"/>
  <c r="BJ376" i="1"/>
  <c r="BL376" i="1"/>
  <c r="BM376" i="1"/>
  <c r="BN376" i="1"/>
  <c r="BO376" i="1"/>
  <c r="D377" i="1"/>
  <c r="AO377" i="1" s="1"/>
  <c r="O377" i="1"/>
  <c r="AI377" i="1"/>
  <c r="AJ377" i="1"/>
  <c r="AK377" i="1"/>
  <c r="AL377" i="1"/>
  <c r="AN377" i="1"/>
  <c r="AP377" i="1"/>
  <c r="AQ377" i="1"/>
  <c r="AS377" i="1"/>
  <c r="AT377" i="1"/>
  <c r="AU377" i="1"/>
  <c r="AV377" i="1"/>
  <c r="AW377" i="1"/>
  <c r="AX377" i="1"/>
  <c r="AZ377" i="1"/>
  <c r="BB377" i="1"/>
  <c r="BD377" i="1"/>
  <c r="BG377" i="1"/>
  <c r="BH377" i="1"/>
  <c r="BI377" i="1"/>
  <c r="BJ377" i="1"/>
  <c r="BL377" i="1"/>
  <c r="BM377" i="1"/>
  <c r="BN377" i="1"/>
  <c r="BO377" i="1"/>
  <c r="D378" i="1"/>
  <c r="AO378" i="1" s="1"/>
  <c r="O378" i="1"/>
  <c r="AI378" i="1"/>
  <c r="AJ378" i="1"/>
  <c r="AK378" i="1"/>
  <c r="AL378" i="1"/>
  <c r="AN378" i="1"/>
  <c r="AP378" i="1"/>
  <c r="AQ378" i="1"/>
  <c r="AS378" i="1"/>
  <c r="AT378" i="1"/>
  <c r="AU378" i="1"/>
  <c r="AV378" i="1"/>
  <c r="AW378" i="1"/>
  <c r="AX378" i="1"/>
  <c r="AZ378" i="1"/>
  <c r="BB378" i="1"/>
  <c r="BD378" i="1"/>
  <c r="BG378" i="1"/>
  <c r="BH378" i="1"/>
  <c r="BI378" i="1"/>
  <c r="BJ378" i="1"/>
  <c r="BL378" i="1"/>
  <c r="BM378" i="1"/>
  <c r="BN378" i="1"/>
  <c r="BO378" i="1"/>
  <c r="D379" i="1"/>
  <c r="G379" i="1"/>
  <c r="AR379" i="1" s="1"/>
  <c r="V379" i="1"/>
  <c r="O379" i="1" s="1"/>
  <c r="W379" i="1"/>
  <c r="AA379" i="1"/>
  <c r="AB379" i="1"/>
  <c r="AF379" i="1"/>
  <c r="AL379" i="1" s="1"/>
  <c r="AI379" i="1"/>
  <c r="AJ379" i="1"/>
  <c r="AN379" i="1"/>
  <c r="AO379" i="1"/>
  <c r="AP379" i="1"/>
  <c r="AQ379" i="1"/>
  <c r="AS379" i="1"/>
  <c r="AT379" i="1"/>
  <c r="AU379" i="1"/>
  <c r="AV379" i="1"/>
  <c r="AW379" i="1"/>
  <c r="AX379" i="1"/>
  <c r="BB379" i="1"/>
  <c r="BD379" i="1"/>
  <c r="BG379" i="1"/>
  <c r="BH379" i="1"/>
  <c r="BI379" i="1"/>
  <c r="BJ379" i="1"/>
  <c r="BL379" i="1"/>
  <c r="BM379" i="1"/>
  <c r="BN379" i="1"/>
  <c r="BO379" i="1"/>
  <c r="V380" i="1"/>
  <c r="O380" i="1" s="1"/>
  <c r="W380" i="1"/>
  <c r="AA380" i="1"/>
  <c r="AB380" i="1"/>
  <c r="D380" i="1" s="1"/>
  <c r="AI380" i="1"/>
  <c r="AJ380" i="1"/>
  <c r="AL380" i="1"/>
  <c r="AN380" i="1"/>
  <c r="AP380" i="1"/>
  <c r="AQ380" i="1"/>
  <c r="AS380" i="1"/>
  <c r="AT380" i="1"/>
  <c r="AU380" i="1"/>
  <c r="AV380" i="1"/>
  <c r="AW380" i="1"/>
  <c r="AX380" i="1"/>
  <c r="BB380" i="1"/>
  <c r="BD380" i="1"/>
  <c r="BG380" i="1"/>
  <c r="BH380" i="1"/>
  <c r="BI380" i="1"/>
  <c r="BJ380" i="1"/>
  <c r="BL380" i="1"/>
  <c r="BM380" i="1"/>
  <c r="BN380" i="1"/>
  <c r="BO380" i="1"/>
  <c r="D381" i="1"/>
  <c r="G381" i="1" s="1"/>
  <c r="O381" i="1"/>
  <c r="AZ381" i="1" s="1"/>
  <c r="AI381" i="1"/>
  <c r="AJ381" i="1"/>
  <c r="AK381" i="1"/>
  <c r="AL381" i="1"/>
  <c r="AN381" i="1"/>
  <c r="AO381" i="1"/>
  <c r="AP381" i="1"/>
  <c r="AQ381" i="1"/>
  <c r="AS381" i="1"/>
  <c r="AT381" i="1"/>
  <c r="AU381" i="1"/>
  <c r="AV381" i="1"/>
  <c r="AW381" i="1"/>
  <c r="AX381" i="1"/>
  <c r="BB381" i="1"/>
  <c r="BD381" i="1"/>
  <c r="BG381" i="1"/>
  <c r="BH381" i="1"/>
  <c r="BI381" i="1"/>
  <c r="BJ381" i="1"/>
  <c r="BL381" i="1"/>
  <c r="BM381" i="1"/>
  <c r="BN381" i="1"/>
  <c r="BO381" i="1"/>
  <c r="D382" i="1"/>
  <c r="G382" i="1" s="1"/>
  <c r="V382" i="1"/>
  <c r="BG382" i="1" s="1"/>
  <c r="AA382" i="1"/>
  <c r="AI382" i="1"/>
  <c r="AJ382" i="1" s="1"/>
  <c r="AL382" i="1"/>
  <c r="AN382" i="1"/>
  <c r="AP382" i="1"/>
  <c r="AQ382" i="1"/>
  <c r="AS382" i="1"/>
  <c r="AT382" i="1"/>
  <c r="AU382" i="1"/>
  <c r="AV382" i="1"/>
  <c r="AW382" i="1"/>
  <c r="AX382" i="1"/>
  <c r="BB382" i="1"/>
  <c r="BD382" i="1"/>
  <c r="BH382" i="1"/>
  <c r="BI382" i="1"/>
  <c r="BJ382" i="1"/>
  <c r="BL382" i="1"/>
  <c r="BM382" i="1"/>
  <c r="BN382" i="1"/>
  <c r="BO382" i="1"/>
  <c r="D383" i="1"/>
  <c r="G383" i="1"/>
  <c r="N383" i="1" s="1"/>
  <c r="AY383" i="1" s="1"/>
  <c r="O383" i="1"/>
  <c r="P383" i="1" s="1"/>
  <c r="AF383" i="1"/>
  <c r="AG383" i="1"/>
  <c r="AH383" i="1" s="1"/>
  <c r="AI383" i="1"/>
  <c r="AJ383" i="1" s="1"/>
  <c r="AK383" i="1"/>
  <c r="AL383" i="1"/>
  <c r="AN383" i="1"/>
  <c r="AO383" i="1"/>
  <c r="AP383" i="1"/>
  <c r="AQ383" i="1"/>
  <c r="AS383" i="1"/>
  <c r="AT383" i="1"/>
  <c r="AU383" i="1"/>
  <c r="AV383" i="1"/>
  <c r="AW383" i="1"/>
  <c r="AX383" i="1"/>
  <c r="AZ383" i="1"/>
  <c r="BB383" i="1"/>
  <c r="BD383" i="1"/>
  <c r="BG383" i="1"/>
  <c r="BH383" i="1"/>
  <c r="BI383" i="1"/>
  <c r="BJ383" i="1"/>
  <c r="BL383" i="1"/>
  <c r="BM383" i="1"/>
  <c r="BN383" i="1"/>
  <c r="BO383" i="1"/>
  <c r="D384" i="1"/>
  <c r="G384" i="1" s="1"/>
  <c r="V384" i="1"/>
  <c r="O384" i="1" s="1"/>
  <c r="W384" i="1"/>
  <c r="AA384" i="1"/>
  <c r="AB384" i="1"/>
  <c r="AF384" i="1"/>
  <c r="BD384" i="1" s="1"/>
  <c r="AI384" i="1"/>
  <c r="AJ384" i="1"/>
  <c r="AN384" i="1"/>
  <c r="AO384" i="1"/>
  <c r="AP384" i="1"/>
  <c r="AQ384" i="1"/>
  <c r="AS384" i="1"/>
  <c r="AT384" i="1"/>
  <c r="AU384" i="1"/>
  <c r="AV384" i="1"/>
  <c r="AW384" i="1"/>
  <c r="AX384" i="1"/>
  <c r="BB384" i="1"/>
  <c r="BG384" i="1"/>
  <c r="BH384" i="1"/>
  <c r="BI384" i="1"/>
  <c r="BJ384" i="1"/>
  <c r="BL384" i="1"/>
  <c r="BM384" i="1"/>
  <c r="BN384" i="1"/>
  <c r="BO384" i="1"/>
  <c r="O385" i="1"/>
  <c r="AZ385" i="1" s="1"/>
  <c r="V385" i="1"/>
  <c r="W385" i="1"/>
  <c r="AA385" i="1"/>
  <c r="AB385" i="1"/>
  <c r="D385" i="1" s="1"/>
  <c r="AI385" i="1"/>
  <c r="AJ385" i="1"/>
  <c r="AK385" i="1"/>
  <c r="AL385" i="1"/>
  <c r="AN385" i="1"/>
  <c r="AP385" i="1"/>
  <c r="AQ385" i="1"/>
  <c r="AS385" i="1"/>
  <c r="AT385" i="1"/>
  <c r="AU385" i="1"/>
  <c r="AV385" i="1"/>
  <c r="AW385" i="1"/>
  <c r="AX385" i="1"/>
  <c r="BB385" i="1"/>
  <c r="BD385" i="1"/>
  <c r="BG385" i="1"/>
  <c r="BH385" i="1"/>
  <c r="BI385" i="1"/>
  <c r="BJ385" i="1"/>
  <c r="BL385" i="1"/>
  <c r="BM385" i="1"/>
  <c r="BN385" i="1"/>
  <c r="BO385" i="1"/>
  <c r="D386" i="1"/>
  <c r="G386" i="1" s="1"/>
  <c r="O386" i="1"/>
  <c r="AZ386" i="1" s="1"/>
  <c r="AI386" i="1"/>
  <c r="AJ386" i="1"/>
  <c r="AK386" i="1"/>
  <c r="AL386" i="1"/>
  <c r="AN386" i="1"/>
  <c r="AO386" i="1"/>
  <c r="AP386" i="1"/>
  <c r="AQ386" i="1"/>
  <c r="AS386" i="1"/>
  <c r="AT386" i="1"/>
  <c r="AU386" i="1"/>
  <c r="AV386" i="1"/>
  <c r="AW386" i="1"/>
  <c r="AX386" i="1"/>
  <c r="BB386" i="1"/>
  <c r="BD386" i="1"/>
  <c r="BG386" i="1"/>
  <c r="BH386" i="1"/>
  <c r="BI386" i="1"/>
  <c r="BJ386" i="1"/>
  <c r="BL386" i="1"/>
  <c r="BM386" i="1"/>
  <c r="BN386" i="1"/>
  <c r="BO386" i="1"/>
  <c r="D387" i="1"/>
  <c r="AO387" i="1" s="1"/>
  <c r="V387" i="1"/>
  <c r="O387" i="1" s="1"/>
  <c r="AA387" i="1"/>
  <c r="AB387" i="1"/>
  <c r="AI387" i="1"/>
  <c r="AJ387" i="1" s="1"/>
  <c r="AL387" i="1"/>
  <c r="AN387" i="1"/>
  <c r="AP387" i="1"/>
  <c r="AQ387" i="1"/>
  <c r="AS387" i="1"/>
  <c r="AT387" i="1"/>
  <c r="AU387" i="1"/>
  <c r="AV387" i="1"/>
  <c r="AW387" i="1"/>
  <c r="AX387" i="1"/>
  <c r="BB387" i="1"/>
  <c r="BD387" i="1"/>
  <c r="BG387" i="1"/>
  <c r="BH387" i="1"/>
  <c r="BI387" i="1"/>
  <c r="BJ387" i="1"/>
  <c r="BL387" i="1"/>
  <c r="BM387" i="1"/>
  <c r="BN387" i="1"/>
  <c r="BO387" i="1"/>
  <c r="V388" i="1"/>
  <c r="O388" i="1" s="1"/>
  <c r="AA388" i="1"/>
  <c r="D388" i="1" s="1"/>
  <c r="AI388" i="1"/>
  <c r="AJ388" i="1"/>
  <c r="AL388" i="1"/>
  <c r="AN388" i="1"/>
  <c r="AP388" i="1"/>
  <c r="AQ388" i="1"/>
  <c r="AS388" i="1"/>
  <c r="AT388" i="1"/>
  <c r="AU388" i="1"/>
  <c r="AV388" i="1"/>
  <c r="AW388" i="1"/>
  <c r="AX388" i="1"/>
  <c r="BB388" i="1"/>
  <c r="BD388" i="1"/>
  <c r="BG388" i="1"/>
  <c r="BH388" i="1"/>
  <c r="BI388" i="1"/>
  <c r="BJ388" i="1"/>
  <c r="BL388" i="1"/>
  <c r="BM388" i="1"/>
  <c r="BN388" i="1"/>
  <c r="BO388" i="1"/>
  <c r="O389" i="1"/>
  <c r="V389" i="1"/>
  <c r="AA389" i="1"/>
  <c r="AB389" i="1"/>
  <c r="BM389" i="1" s="1"/>
  <c r="AF389" i="1"/>
  <c r="AL389" i="1" s="1"/>
  <c r="AI389" i="1"/>
  <c r="AJ389" i="1" s="1"/>
  <c r="AN389" i="1"/>
  <c r="AP389" i="1"/>
  <c r="AQ389" i="1"/>
  <c r="AS389" i="1"/>
  <c r="AT389" i="1"/>
  <c r="AU389" i="1"/>
  <c r="AV389" i="1"/>
  <c r="AW389" i="1"/>
  <c r="AX389" i="1"/>
  <c r="AZ389" i="1"/>
  <c r="BB389" i="1"/>
  <c r="BD389" i="1"/>
  <c r="BG389" i="1"/>
  <c r="BH389" i="1"/>
  <c r="BI389" i="1"/>
  <c r="BJ389" i="1"/>
  <c r="BL389" i="1"/>
  <c r="BN389" i="1"/>
  <c r="BO389" i="1"/>
  <c r="O390" i="1"/>
  <c r="AK390" i="1" s="1"/>
  <c r="V390" i="1"/>
  <c r="BG390" i="1" s="1"/>
  <c r="W390" i="1"/>
  <c r="AA390" i="1"/>
  <c r="BL390" i="1" s="1"/>
  <c r="AB390" i="1"/>
  <c r="AF390" i="1"/>
  <c r="AI390" i="1"/>
  <c r="AJ390" i="1" s="1"/>
  <c r="AL390" i="1"/>
  <c r="AN390" i="1"/>
  <c r="AP390" i="1"/>
  <c r="AQ390" i="1"/>
  <c r="AS390" i="1"/>
  <c r="AT390" i="1"/>
  <c r="AU390" i="1"/>
  <c r="AV390" i="1"/>
  <c r="AW390" i="1"/>
  <c r="AX390" i="1"/>
  <c r="AZ390" i="1"/>
  <c r="BB390" i="1"/>
  <c r="BD390" i="1"/>
  <c r="BH390" i="1"/>
  <c r="BI390" i="1"/>
  <c r="BJ390" i="1"/>
  <c r="BM390" i="1"/>
  <c r="BN390" i="1"/>
  <c r="BO390" i="1"/>
  <c r="V391" i="1"/>
  <c r="W391" i="1"/>
  <c r="O391" i="1" s="1"/>
  <c r="AA391" i="1"/>
  <c r="D391" i="1" s="1"/>
  <c r="AB391" i="1"/>
  <c r="AF391" i="1"/>
  <c r="AI391" i="1"/>
  <c r="AJ391" i="1" s="1"/>
  <c r="AL391" i="1"/>
  <c r="AN391" i="1"/>
  <c r="AP391" i="1"/>
  <c r="AQ391" i="1"/>
  <c r="AS391" i="1"/>
  <c r="AT391" i="1"/>
  <c r="AU391" i="1"/>
  <c r="AV391" i="1"/>
  <c r="AW391" i="1"/>
  <c r="AX391" i="1"/>
  <c r="BB391" i="1"/>
  <c r="BD391" i="1"/>
  <c r="BG391" i="1"/>
  <c r="BH391" i="1"/>
  <c r="BI391" i="1"/>
  <c r="BJ391" i="1"/>
  <c r="BL391" i="1"/>
  <c r="BM391" i="1"/>
  <c r="BN391" i="1"/>
  <c r="BO391" i="1"/>
  <c r="D392" i="1"/>
  <c r="G392" i="1"/>
  <c r="AR392" i="1" s="1"/>
  <c r="V392" i="1"/>
  <c r="O392" i="1" s="1"/>
  <c r="W392" i="1"/>
  <c r="BH392" i="1" s="1"/>
  <c r="AA392" i="1"/>
  <c r="AB392" i="1"/>
  <c r="AF392" i="1"/>
  <c r="BD392" i="1" s="1"/>
  <c r="AI392" i="1"/>
  <c r="AJ392" i="1"/>
  <c r="AN392" i="1"/>
  <c r="AO392" i="1"/>
  <c r="AP392" i="1"/>
  <c r="AQ392" i="1"/>
  <c r="AS392" i="1"/>
  <c r="AT392" i="1"/>
  <c r="AU392" i="1"/>
  <c r="AV392" i="1"/>
  <c r="AW392" i="1"/>
  <c r="AX392" i="1"/>
  <c r="BB392" i="1"/>
  <c r="BG392" i="1"/>
  <c r="BI392" i="1"/>
  <c r="BJ392" i="1"/>
  <c r="BL392" i="1"/>
  <c r="BM392" i="1"/>
  <c r="BN392" i="1"/>
  <c r="BO392" i="1"/>
  <c r="O393" i="1"/>
  <c r="V393" i="1"/>
  <c r="BG393" i="1" s="1"/>
  <c r="W393" i="1"/>
  <c r="BH393" i="1" s="1"/>
  <c r="AA393" i="1"/>
  <c r="AB393" i="1"/>
  <c r="BM393" i="1" s="1"/>
  <c r="AF393" i="1"/>
  <c r="AL393" i="1" s="1"/>
  <c r="AI393" i="1"/>
  <c r="AJ393" i="1" s="1"/>
  <c r="AN393" i="1"/>
  <c r="AP393" i="1"/>
  <c r="AQ393" i="1"/>
  <c r="AS393" i="1"/>
  <c r="AT393" i="1"/>
  <c r="AU393" i="1"/>
  <c r="AV393" i="1"/>
  <c r="AW393" i="1"/>
  <c r="AX393" i="1"/>
  <c r="AZ393" i="1"/>
  <c r="BB393" i="1"/>
  <c r="BD393" i="1"/>
  <c r="BI393" i="1"/>
  <c r="BJ393" i="1"/>
  <c r="BL393" i="1"/>
  <c r="BN393" i="1"/>
  <c r="BO393" i="1"/>
  <c r="D394" i="1"/>
  <c r="G394" i="1" s="1"/>
  <c r="O394" i="1"/>
  <c r="AI394" i="1"/>
  <c r="AJ394" i="1" s="1"/>
  <c r="AL394" i="1"/>
  <c r="AN394" i="1"/>
  <c r="AO394" i="1"/>
  <c r="AP394" i="1"/>
  <c r="AQ394" i="1"/>
  <c r="AS394" i="1"/>
  <c r="AT394" i="1"/>
  <c r="AU394" i="1"/>
  <c r="AV394" i="1"/>
  <c r="AW394" i="1"/>
  <c r="AX394" i="1"/>
  <c r="AZ394" i="1"/>
  <c r="BB394" i="1"/>
  <c r="BD394" i="1"/>
  <c r="BG394" i="1"/>
  <c r="BH394" i="1"/>
  <c r="BI394" i="1"/>
  <c r="BJ394" i="1"/>
  <c r="BL394" i="1"/>
  <c r="BM394" i="1"/>
  <c r="BN394" i="1"/>
  <c r="BO394" i="1"/>
  <c r="D395" i="1"/>
  <c r="G395" i="1" s="1"/>
  <c r="O395" i="1"/>
  <c r="AI395" i="1"/>
  <c r="AJ395" i="1" s="1"/>
  <c r="AL395" i="1"/>
  <c r="AN395" i="1"/>
  <c r="AO395" i="1"/>
  <c r="AP395" i="1"/>
  <c r="AQ395" i="1"/>
  <c r="AS395" i="1"/>
  <c r="AT395" i="1"/>
  <c r="AU395" i="1"/>
  <c r="AV395" i="1"/>
  <c r="AW395" i="1"/>
  <c r="AX395" i="1"/>
  <c r="AZ395" i="1"/>
  <c r="BB395" i="1"/>
  <c r="BD395" i="1"/>
  <c r="BG395" i="1"/>
  <c r="BH395" i="1"/>
  <c r="BI395" i="1"/>
  <c r="BJ395" i="1"/>
  <c r="BL395" i="1"/>
  <c r="BM395" i="1"/>
  <c r="BN395" i="1"/>
  <c r="BO395" i="1"/>
  <c r="D396" i="1"/>
  <c r="G396" i="1" s="1"/>
  <c r="O396" i="1"/>
  <c r="AZ396" i="1" s="1"/>
  <c r="V396" i="1"/>
  <c r="AA396" i="1"/>
  <c r="AF396" i="1"/>
  <c r="BD396" i="1" s="1"/>
  <c r="AI396" i="1"/>
  <c r="AJ396" i="1"/>
  <c r="AN396" i="1"/>
  <c r="AO396" i="1"/>
  <c r="AP396" i="1"/>
  <c r="AQ396" i="1"/>
  <c r="AS396" i="1"/>
  <c r="AT396" i="1"/>
  <c r="AU396" i="1"/>
  <c r="AV396" i="1"/>
  <c r="AW396" i="1"/>
  <c r="AX396" i="1"/>
  <c r="BB396" i="1"/>
  <c r="BG396" i="1"/>
  <c r="BH396" i="1"/>
  <c r="BI396" i="1"/>
  <c r="BJ396" i="1"/>
  <c r="BL396" i="1"/>
  <c r="BM396" i="1"/>
  <c r="BN396" i="1"/>
  <c r="BO396" i="1"/>
  <c r="D397" i="1"/>
  <c r="G397" i="1" s="1"/>
  <c r="O397" i="1"/>
  <c r="AZ397" i="1" s="1"/>
  <c r="AI397" i="1"/>
  <c r="AJ397" i="1"/>
  <c r="AL397" i="1"/>
  <c r="AN397" i="1"/>
  <c r="AO397" i="1"/>
  <c r="AP397" i="1"/>
  <c r="AQ397" i="1"/>
  <c r="AS397" i="1"/>
  <c r="AT397" i="1"/>
  <c r="AU397" i="1"/>
  <c r="AV397" i="1"/>
  <c r="AW397" i="1"/>
  <c r="AX397" i="1"/>
  <c r="BB397" i="1"/>
  <c r="BD397" i="1"/>
  <c r="BG397" i="1"/>
  <c r="BH397" i="1"/>
  <c r="BI397" i="1"/>
  <c r="BJ397" i="1"/>
  <c r="BL397" i="1"/>
  <c r="BM397" i="1"/>
  <c r="BN397" i="1"/>
  <c r="BO397" i="1"/>
  <c r="D398" i="1"/>
  <c r="G398" i="1" s="1"/>
  <c r="O398" i="1"/>
  <c r="AZ398" i="1" s="1"/>
  <c r="AI398" i="1"/>
  <c r="AJ398" i="1"/>
  <c r="AL398" i="1"/>
  <c r="AN398" i="1"/>
  <c r="AO398" i="1"/>
  <c r="AP398" i="1"/>
  <c r="AQ398" i="1"/>
  <c r="AS398" i="1"/>
  <c r="AT398" i="1"/>
  <c r="AU398" i="1"/>
  <c r="AV398" i="1"/>
  <c r="AW398" i="1"/>
  <c r="AX398" i="1"/>
  <c r="BB398" i="1"/>
  <c r="BD398" i="1"/>
  <c r="BG398" i="1"/>
  <c r="BH398" i="1"/>
  <c r="BI398" i="1"/>
  <c r="BJ398" i="1"/>
  <c r="BL398" i="1"/>
  <c r="BM398" i="1"/>
  <c r="BN398" i="1"/>
  <c r="BO398" i="1"/>
  <c r="O399" i="1"/>
  <c r="AZ399" i="1" s="1"/>
  <c r="V399" i="1"/>
  <c r="W399" i="1"/>
  <c r="AA399" i="1"/>
  <c r="AB399" i="1"/>
  <c r="D399" i="1" s="1"/>
  <c r="AI399" i="1"/>
  <c r="AJ399" i="1"/>
  <c r="AL399" i="1"/>
  <c r="AN399" i="1"/>
  <c r="AP399" i="1"/>
  <c r="AQ399" i="1"/>
  <c r="AS399" i="1"/>
  <c r="AT399" i="1"/>
  <c r="AU399" i="1"/>
  <c r="AV399" i="1"/>
  <c r="AW399" i="1"/>
  <c r="AX399" i="1"/>
  <c r="BB399" i="1"/>
  <c r="BD399" i="1"/>
  <c r="BG399" i="1"/>
  <c r="BH399" i="1"/>
  <c r="BI399" i="1"/>
  <c r="BJ399" i="1"/>
  <c r="BL399" i="1"/>
  <c r="BN399" i="1"/>
  <c r="BO399" i="1"/>
  <c r="O400" i="1"/>
  <c r="V400" i="1"/>
  <c r="BG400" i="1" s="1"/>
  <c r="W400" i="1"/>
  <c r="BH400" i="1" s="1"/>
  <c r="AA400" i="1"/>
  <c r="AB400" i="1"/>
  <c r="BM400" i="1" s="1"/>
  <c r="AF400" i="1"/>
  <c r="AL400" i="1" s="1"/>
  <c r="AI400" i="1"/>
  <c r="AJ400" i="1" s="1"/>
  <c r="AN400" i="1"/>
  <c r="AP400" i="1"/>
  <c r="AQ400" i="1"/>
  <c r="AS400" i="1"/>
  <c r="AT400" i="1"/>
  <c r="AU400" i="1"/>
  <c r="AV400" i="1"/>
  <c r="AW400" i="1"/>
  <c r="AX400" i="1"/>
  <c r="AZ400" i="1"/>
  <c r="BB400" i="1"/>
  <c r="BD400" i="1"/>
  <c r="BI400" i="1"/>
  <c r="BJ400" i="1"/>
  <c r="BL400" i="1"/>
  <c r="BN400" i="1"/>
  <c r="BO400" i="1"/>
  <c r="O401" i="1"/>
  <c r="AK401" i="1" s="1"/>
  <c r="V401" i="1"/>
  <c r="BG401" i="1" s="1"/>
  <c r="W401" i="1"/>
  <c r="AA401" i="1"/>
  <c r="BL401" i="1" s="1"/>
  <c r="AB401" i="1"/>
  <c r="AF401" i="1"/>
  <c r="AI401" i="1"/>
  <c r="AJ401" i="1" s="1"/>
  <c r="AL401" i="1"/>
  <c r="AN401" i="1"/>
  <c r="AP401" i="1"/>
  <c r="AQ401" i="1"/>
  <c r="AS401" i="1"/>
  <c r="AT401" i="1"/>
  <c r="AU401" i="1"/>
  <c r="AV401" i="1"/>
  <c r="AW401" i="1"/>
  <c r="AX401" i="1"/>
  <c r="AZ401" i="1"/>
  <c r="BB401" i="1"/>
  <c r="BD401" i="1"/>
  <c r="BH401" i="1"/>
  <c r="BI401" i="1"/>
  <c r="BJ401" i="1"/>
  <c r="BM401" i="1"/>
  <c r="BN401" i="1"/>
  <c r="BO401" i="1"/>
  <c r="V402" i="1"/>
  <c r="W402" i="1"/>
  <c r="O402" i="1" s="1"/>
  <c r="AA402" i="1"/>
  <c r="D402" i="1" s="1"/>
  <c r="AB402" i="1"/>
  <c r="AI402" i="1"/>
  <c r="AJ402" i="1" s="1"/>
  <c r="AL402" i="1"/>
  <c r="AN402" i="1"/>
  <c r="AP402" i="1"/>
  <c r="AQ402" i="1"/>
  <c r="AS402" i="1"/>
  <c r="AT402" i="1"/>
  <c r="AU402" i="1"/>
  <c r="AV402" i="1"/>
  <c r="AW402" i="1"/>
  <c r="AX402" i="1"/>
  <c r="BB402" i="1"/>
  <c r="BD402" i="1"/>
  <c r="BG402" i="1"/>
  <c r="BH402" i="1"/>
  <c r="BI402" i="1"/>
  <c r="BJ402" i="1"/>
  <c r="BM402" i="1"/>
  <c r="BN402" i="1"/>
  <c r="BO402" i="1"/>
  <c r="O403" i="1"/>
  <c r="V403" i="1"/>
  <c r="AA403" i="1"/>
  <c r="D403" i="1" s="1"/>
  <c r="AI403" i="1"/>
  <c r="AJ403" i="1"/>
  <c r="AK403" i="1"/>
  <c r="AL403" i="1"/>
  <c r="AN403" i="1"/>
  <c r="AP403" i="1"/>
  <c r="AQ403" i="1"/>
  <c r="AS403" i="1"/>
  <c r="AT403" i="1"/>
  <c r="AU403" i="1"/>
  <c r="AV403" i="1"/>
  <c r="AW403" i="1"/>
  <c r="AX403" i="1"/>
  <c r="BB403" i="1"/>
  <c r="BD403" i="1"/>
  <c r="BG403" i="1"/>
  <c r="BH403" i="1"/>
  <c r="BI403" i="1"/>
  <c r="BJ403" i="1"/>
  <c r="BM403" i="1"/>
  <c r="BN403" i="1"/>
  <c r="BO403" i="1"/>
  <c r="O404" i="1"/>
  <c r="AZ404" i="1" s="1"/>
  <c r="V404" i="1"/>
  <c r="W404" i="1"/>
  <c r="AA404" i="1"/>
  <c r="AB404" i="1"/>
  <c r="D404" i="1" s="1"/>
  <c r="AI404" i="1"/>
  <c r="AJ404" i="1"/>
  <c r="AL404" i="1"/>
  <c r="AN404" i="1"/>
  <c r="AP404" i="1"/>
  <c r="AQ404" i="1"/>
  <c r="AS404" i="1"/>
  <c r="AT404" i="1"/>
  <c r="AU404" i="1"/>
  <c r="AV404" i="1"/>
  <c r="AW404" i="1"/>
  <c r="AX404" i="1"/>
  <c r="BB404" i="1"/>
  <c r="BD404" i="1"/>
  <c r="BG404" i="1"/>
  <c r="BH404" i="1"/>
  <c r="BI404" i="1"/>
  <c r="BJ404" i="1"/>
  <c r="BL404" i="1"/>
  <c r="BN404" i="1"/>
  <c r="BO404" i="1"/>
  <c r="O405" i="1"/>
  <c r="V405" i="1"/>
  <c r="BG405" i="1" s="1"/>
  <c r="W405" i="1"/>
  <c r="BH405" i="1" s="1"/>
  <c r="AA405" i="1"/>
  <c r="AB405" i="1"/>
  <c r="BM405" i="1" s="1"/>
  <c r="AF405" i="1"/>
  <c r="AL405" i="1" s="1"/>
  <c r="AI405" i="1"/>
  <c r="AJ405" i="1" s="1"/>
  <c r="AN405" i="1"/>
  <c r="AP405" i="1"/>
  <c r="AQ405" i="1"/>
  <c r="AS405" i="1"/>
  <c r="AT405" i="1"/>
  <c r="AU405" i="1"/>
  <c r="AV405" i="1"/>
  <c r="AW405" i="1"/>
  <c r="AX405" i="1"/>
  <c r="AZ405" i="1"/>
  <c r="BB405" i="1"/>
  <c r="BD405" i="1"/>
  <c r="BI405" i="1"/>
  <c r="BJ405" i="1"/>
  <c r="BL405" i="1"/>
  <c r="BN405" i="1"/>
  <c r="BO405" i="1"/>
  <c r="O406" i="1"/>
  <c r="AK406" i="1" s="1"/>
  <c r="V406" i="1"/>
  <c r="BG406" i="1" s="1"/>
  <c r="W406" i="1"/>
  <c r="AA406" i="1"/>
  <c r="BL406" i="1" s="1"/>
  <c r="AB406" i="1"/>
  <c r="AF406" i="1"/>
  <c r="AI406" i="1"/>
  <c r="AJ406" i="1" s="1"/>
  <c r="AL406" i="1"/>
  <c r="AN406" i="1"/>
  <c r="AP406" i="1"/>
  <c r="AQ406" i="1"/>
  <c r="AS406" i="1"/>
  <c r="AT406" i="1"/>
  <c r="AU406" i="1"/>
  <c r="AV406" i="1"/>
  <c r="AW406" i="1"/>
  <c r="AX406" i="1"/>
  <c r="AZ406" i="1"/>
  <c r="BB406" i="1"/>
  <c r="BD406" i="1"/>
  <c r="BH406" i="1"/>
  <c r="BI406" i="1"/>
  <c r="BJ406" i="1"/>
  <c r="BM406" i="1"/>
  <c r="BN406" i="1"/>
  <c r="BO406" i="1"/>
  <c r="O407" i="1"/>
  <c r="V407" i="1"/>
  <c r="AA407" i="1"/>
  <c r="D407" i="1" s="1"/>
  <c r="AB407" i="1"/>
  <c r="AF407" i="1"/>
  <c r="AI407" i="1"/>
  <c r="AJ407" i="1" s="1"/>
  <c r="AL407" i="1"/>
  <c r="AN407" i="1"/>
  <c r="AP407" i="1"/>
  <c r="AQ407" i="1"/>
  <c r="AS407" i="1"/>
  <c r="AT407" i="1"/>
  <c r="AU407" i="1"/>
  <c r="AV407" i="1"/>
  <c r="AW407" i="1"/>
  <c r="AX407" i="1"/>
  <c r="AZ407" i="1"/>
  <c r="BB407" i="1"/>
  <c r="BD407" i="1"/>
  <c r="BG407" i="1"/>
  <c r="BH407" i="1"/>
  <c r="BI407" i="1"/>
  <c r="BJ407" i="1"/>
  <c r="BM407" i="1"/>
  <c r="BN407" i="1"/>
  <c r="BO407" i="1"/>
  <c r="V408" i="1"/>
  <c r="W408" i="1"/>
  <c r="O408" i="1" s="1"/>
  <c r="AA408" i="1"/>
  <c r="D408" i="1" s="1"/>
  <c r="AB408" i="1"/>
  <c r="AI408" i="1"/>
  <c r="AJ408" i="1" s="1"/>
  <c r="AL408" i="1"/>
  <c r="AN408" i="1"/>
  <c r="AP408" i="1"/>
  <c r="AQ408" i="1"/>
  <c r="AS408" i="1"/>
  <c r="AT408" i="1"/>
  <c r="AU408" i="1"/>
  <c r="AV408" i="1"/>
  <c r="AW408" i="1"/>
  <c r="AX408" i="1"/>
  <c r="BB408" i="1"/>
  <c r="BD408" i="1"/>
  <c r="BG408" i="1"/>
  <c r="BH408" i="1"/>
  <c r="BI408" i="1"/>
  <c r="BJ408" i="1"/>
  <c r="BM408" i="1"/>
  <c r="BN408" i="1"/>
  <c r="BO408" i="1"/>
  <c r="V409" i="1"/>
  <c r="W409" i="1"/>
  <c r="BH409" i="1" s="1"/>
  <c r="AA409" i="1"/>
  <c r="D409" i="1" s="1"/>
  <c r="AB409" i="1"/>
  <c r="AF409" i="1"/>
  <c r="AI409" i="1"/>
  <c r="AJ409" i="1" s="1"/>
  <c r="AL409" i="1"/>
  <c r="AN409" i="1"/>
  <c r="AP409" i="1"/>
  <c r="AQ409" i="1"/>
  <c r="AS409" i="1"/>
  <c r="AT409" i="1"/>
  <c r="AU409" i="1"/>
  <c r="AV409" i="1"/>
  <c r="AW409" i="1"/>
  <c r="AX409" i="1"/>
  <c r="BB409" i="1"/>
  <c r="BD409" i="1"/>
  <c r="BG409" i="1"/>
  <c r="BI409" i="1"/>
  <c r="BJ409" i="1"/>
  <c r="BL409" i="1"/>
  <c r="BM409" i="1"/>
  <c r="BN409" i="1"/>
  <c r="BO409" i="1"/>
  <c r="D410" i="1"/>
  <c r="G410" i="1" s="1"/>
  <c r="V410" i="1"/>
  <c r="O410" i="1" s="1"/>
  <c r="AA410" i="1"/>
  <c r="BL410" i="1" s="1"/>
  <c r="AB410" i="1"/>
  <c r="AI410" i="1"/>
  <c r="AJ410" i="1" s="1"/>
  <c r="AL410" i="1"/>
  <c r="AN410" i="1"/>
  <c r="AP410" i="1"/>
  <c r="AQ410" i="1"/>
  <c r="AS410" i="1"/>
  <c r="AT410" i="1"/>
  <c r="AU410" i="1"/>
  <c r="AV410" i="1"/>
  <c r="AW410" i="1"/>
  <c r="AX410" i="1"/>
  <c r="BB410" i="1"/>
  <c r="BD410" i="1"/>
  <c r="BH410" i="1"/>
  <c r="BI410" i="1"/>
  <c r="BJ410" i="1"/>
  <c r="BM410" i="1"/>
  <c r="BN410" i="1"/>
  <c r="BO410" i="1"/>
  <c r="O411" i="1"/>
  <c r="V411" i="1"/>
  <c r="AA411" i="1"/>
  <c r="D411" i="1" s="1"/>
  <c r="AB411" i="1"/>
  <c r="BM411" i="1" s="1"/>
  <c r="AI411" i="1"/>
  <c r="AJ411" i="1" s="1"/>
  <c r="AK411" i="1"/>
  <c r="AL411" i="1"/>
  <c r="AN411" i="1"/>
  <c r="AP411" i="1"/>
  <c r="AQ411" i="1"/>
  <c r="AS411" i="1"/>
  <c r="AT411" i="1"/>
  <c r="AU411" i="1"/>
  <c r="AV411" i="1"/>
  <c r="AW411" i="1"/>
  <c r="AX411" i="1"/>
  <c r="AZ411" i="1"/>
  <c r="BB411" i="1"/>
  <c r="BD411" i="1"/>
  <c r="BG411" i="1"/>
  <c r="BH411" i="1"/>
  <c r="BI411" i="1"/>
  <c r="BJ411" i="1"/>
  <c r="BN411" i="1"/>
  <c r="BO411" i="1"/>
  <c r="O412" i="1"/>
  <c r="V412" i="1"/>
  <c r="W412" i="1"/>
  <c r="AA412" i="1"/>
  <c r="D412" i="1" s="1"/>
  <c r="AB412" i="1"/>
  <c r="BM412" i="1" s="1"/>
  <c r="AI412" i="1"/>
  <c r="AJ412" i="1" s="1"/>
  <c r="AL412" i="1"/>
  <c r="AN412" i="1"/>
  <c r="AP412" i="1"/>
  <c r="AQ412" i="1"/>
  <c r="AS412" i="1"/>
  <c r="AT412" i="1"/>
  <c r="AU412" i="1"/>
  <c r="AV412" i="1"/>
  <c r="AW412" i="1"/>
  <c r="AX412" i="1"/>
  <c r="AZ412" i="1"/>
  <c r="BB412" i="1"/>
  <c r="BD412" i="1"/>
  <c r="BG412" i="1"/>
  <c r="BH412" i="1"/>
  <c r="BI412" i="1"/>
  <c r="BJ412" i="1"/>
  <c r="BN412" i="1"/>
  <c r="BO412" i="1"/>
  <c r="D413" i="1"/>
  <c r="G413" i="1" s="1"/>
  <c r="AG413" i="1" s="1"/>
  <c r="AH413" i="1" s="1"/>
  <c r="N413" i="1"/>
  <c r="AY413" i="1" s="1"/>
  <c r="O413" i="1"/>
  <c r="P413" i="1" s="1"/>
  <c r="S413" i="1" s="1"/>
  <c r="BC413" i="1" s="1"/>
  <c r="AI413" i="1"/>
  <c r="AJ413" i="1" s="1"/>
  <c r="AL413" i="1"/>
  <c r="AN413" i="1"/>
  <c r="AO413" i="1"/>
  <c r="AP413" i="1"/>
  <c r="AQ413" i="1"/>
  <c r="AR413" i="1"/>
  <c r="AS413" i="1"/>
  <c r="AT413" i="1"/>
  <c r="AU413" i="1"/>
  <c r="AV413" i="1"/>
  <c r="AW413" i="1"/>
  <c r="AX413" i="1"/>
  <c r="AZ413" i="1"/>
  <c r="BB413" i="1"/>
  <c r="BD413" i="1"/>
  <c r="BG413" i="1"/>
  <c r="BH413" i="1"/>
  <c r="BI413" i="1"/>
  <c r="BJ413" i="1"/>
  <c r="BL413" i="1"/>
  <c r="BM413" i="1"/>
  <c r="BN413" i="1"/>
  <c r="BO413" i="1"/>
  <c r="D414" i="1"/>
  <c r="G414" i="1" s="1"/>
  <c r="AG414" i="1" s="1"/>
  <c r="AH414" i="1" s="1"/>
  <c r="N414" i="1"/>
  <c r="AY414" i="1" s="1"/>
  <c r="O414" i="1"/>
  <c r="P414" i="1" s="1"/>
  <c r="S414" i="1" s="1"/>
  <c r="BC414" i="1" s="1"/>
  <c r="AI414" i="1"/>
  <c r="AJ414" i="1" s="1"/>
  <c r="AL414" i="1"/>
  <c r="AN414" i="1"/>
  <c r="AO414" i="1"/>
  <c r="AP414" i="1"/>
  <c r="AQ414" i="1"/>
  <c r="AR414" i="1"/>
  <c r="AS414" i="1"/>
  <c r="AT414" i="1"/>
  <c r="AU414" i="1"/>
  <c r="AV414" i="1"/>
  <c r="AW414" i="1"/>
  <c r="AX414" i="1"/>
  <c r="AZ414" i="1"/>
  <c r="BA414" i="1"/>
  <c r="BB414" i="1"/>
  <c r="BD414" i="1"/>
  <c r="BG414" i="1"/>
  <c r="BH414" i="1"/>
  <c r="BI414" i="1"/>
  <c r="BJ414" i="1"/>
  <c r="BL414" i="1"/>
  <c r="BM414" i="1"/>
  <c r="BN414" i="1"/>
  <c r="BO414" i="1"/>
  <c r="D415" i="1"/>
  <c r="G415" i="1" s="1"/>
  <c r="AG415" i="1" s="1"/>
  <c r="AH415" i="1" s="1"/>
  <c r="O415" i="1"/>
  <c r="AI415" i="1"/>
  <c r="AJ415" i="1" s="1"/>
  <c r="AL415" i="1"/>
  <c r="AN415" i="1"/>
  <c r="AO415" i="1"/>
  <c r="AP415" i="1"/>
  <c r="AQ415" i="1"/>
  <c r="AR415" i="1"/>
  <c r="AS415" i="1"/>
  <c r="AT415" i="1"/>
  <c r="AU415" i="1"/>
  <c r="AV415" i="1"/>
  <c r="AW415" i="1"/>
  <c r="AX415" i="1"/>
  <c r="AZ415" i="1"/>
  <c r="BB415" i="1"/>
  <c r="BD415" i="1"/>
  <c r="BG415" i="1"/>
  <c r="BH415" i="1"/>
  <c r="BI415" i="1"/>
  <c r="BJ415" i="1"/>
  <c r="BL415" i="1"/>
  <c r="BM415" i="1"/>
  <c r="BN415" i="1"/>
  <c r="BO415" i="1"/>
  <c r="D416" i="1"/>
  <c r="G416" i="1" s="1"/>
  <c r="AG416" i="1" s="1"/>
  <c r="AH416" i="1" s="1"/>
  <c r="O416" i="1"/>
  <c r="V416" i="1"/>
  <c r="AA416" i="1"/>
  <c r="AI416" i="1"/>
  <c r="AJ416" i="1" s="1"/>
  <c r="AK416" i="1"/>
  <c r="AL416" i="1"/>
  <c r="AN416" i="1"/>
  <c r="AP416" i="1"/>
  <c r="AQ416" i="1"/>
  <c r="AS416" i="1"/>
  <c r="AT416" i="1"/>
  <c r="AU416" i="1"/>
  <c r="AV416" i="1"/>
  <c r="AW416" i="1"/>
  <c r="AX416" i="1"/>
  <c r="AZ416" i="1"/>
  <c r="BB416" i="1"/>
  <c r="BD416" i="1"/>
  <c r="BG416" i="1"/>
  <c r="BH416" i="1"/>
  <c r="BI416" i="1"/>
  <c r="BJ416" i="1"/>
  <c r="BL416" i="1"/>
  <c r="BM416" i="1"/>
  <c r="BN416" i="1"/>
  <c r="BO416" i="1"/>
  <c r="V417" i="1"/>
  <c r="O417" i="1" s="1"/>
  <c r="W417" i="1"/>
  <c r="AA417" i="1"/>
  <c r="D417" i="1" s="1"/>
  <c r="AB417" i="1"/>
  <c r="AI417" i="1"/>
  <c r="AJ417" i="1" s="1"/>
  <c r="AK417" i="1"/>
  <c r="AL417" i="1"/>
  <c r="AN417" i="1"/>
  <c r="AP417" i="1"/>
  <c r="AQ417" i="1"/>
  <c r="AS417" i="1"/>
  <c r="AT417" i="1"/>
  <c r="AU417" i="1"/>
  <c r="AV417" i="1"/>
  <c r="AW417" i="1"/>
  <c r="AX417" i="1"/>
  <c r="AZ417" i="1"/>
  <c r="BB417" i="1"/>
  <c r="BD417" i="1"/>
  <c r="BH417" i="1"/>
  <c r="BI417" i="1"/>
  <c r="BJ417" i="1"/>
  <c r="BM417" i="1"/>
  <c r="BN417" i="1"/>
  <c r="BO417" i="1"/>
  <c r="V418" i="1"/>
  <c r="W418" i="1"/>
  <c r="O418" i="1" s="1"/>
  <c r="AA418" i="1"/>
  <c r="D418" i="1" s="1"/>
  <c r="AB418" i="1"/>
  <c r="AF418" i="1"/>
  <c r="AI418" i="1"/>
  <c r="AJ418" i="1" s="1"/>
  <c r="AL418" i="1"/>
  <c r="AN418" i="1"/>
  <c r="AP418" i="1"/>
  <c r="AQ418" i="1"/>
  <c r="AS418" i="1"/>
  <c r="AT418" i="1"/>
  <c r="AU418" i="1"/>
  <c r="AV418" i="1"/>
  <c r="AW418" i="1"/>
  <c r="AX418" i="1"/>
  <c r="BB418" i="1"/>
  <c r="BD418" i="1"/>
  <c r="BG418" i="1"/>
  <c r="BH418" i="1"/>
  <c r="BI418" i="1"/>
  <c r="BJ418" i="1"/>
  <c r="BL418" i="1"/>
  <c r="BM418" i="1"/>
  <c r="BN418" i="1"/>
  <c r="BO418" i="1"/>
  <c r="D419" i="1"/>
  <c r="AO419" i="1" s="1"/>
  <c r="G419" i="1"/>
  <c r="V419" i="1"/>
  <c r="O419" i="1" s="1"/>
  <c r="W419" i="1"/>
  <c r="AB419" i="1"/>
  <c r="AF419" i="1"/>
  <c r="AI419" i="1"/>
  <c r="AJ419" i="1" s="1"/>
  <c r="AL419" i="1"/>
  <c r="AN419" i="1"/>
  <c r="AP419" i="1"/>
  <c r="AQ419" i="1"/>
  <c r="AS419" i="1"/>
  <c r="AT419" i="1"/>
  <c r="AU419" i="1"/>
  <c r="AV419" i="1"/>
  <c r="AW419" i="1"/>
  <c r="AX419" i="1"/>
  <c r="BB419" i="1"/>
  <c r="BD419" i="1"/>
  <c r="BG419" i="1"/>
  <c r="BH419" i="1"/>
  <c r="BI419" i="1"/>
  <c r="BJ419" i="1"/>
  <c r="BL419" i="1"/>
  <c r="BM419" i="1"/>
  <c r="BN419" i="1"/>
  <c r="BO419" i="1"/>
  <c r="D420" i="1"/>
  <c r="G420" i="1"/>
  <c r="N420" i="1" s="1"/>
  <c r="AY420" i="1" s="1"/>
  <c r="V420" i="1"/>
  <c r="O420" i="1" s="1"/>
  <c r="W420" i="1"/>
  <c r="BH420" i="1" s="1"/>
  <c r="AA420" i="1"/>
  <c r="AB420" i="1"/>
  <c r="AF420" i="1"/>
  <c r="AL420" i="1" s="1"/>
  <c r="AI420" i="1"/>
  <c r="AJ420" i="1"/>
  <c r="AN420" i="1"/>
  <c r="AO420" i="1"/>
  <c r="AP420" i="1"/>
  <c r="AQ420" i="1"/>
  <c r="AS420" i="1"/>
  <c r="AT420" i="1"/>
  <c r="AU420" i="1"/>
  <c r="AV420" i="1"/>
  <c r="AW420" i="1"/>
  <c r="AX420" i="1"/>
  <c r="BB420" i="1"/>
  <c r="BG420" i="1"/>
  <c r="BI420" i="1"/>
  <c r="BJ420" i="1"/>
  <c r="BL420" i="1"/>
  <c r="BM420" i="1"/>
  <c r="BN420" i="1"/>
  <c r="BO420" i="1"/>
  <c r="D421" i="1"/>
  <c r="G421" i="1" s="1"/>
  <c r="V421" i="1"/>
  <c r="O421" i="1" s="1"/>
  <c r="AA421" i="1"/>
  <c r="AF421" i="1"/>
  <c r="AI421" i="1"/>
  <c r="AJ421" i="1" s="1"/>
  <c r="AL421" i="1"/>
  <c r="AN421" i="1"/>
  <c r="AP421" i="1"/>
  <c r="AQ421" i="1"/>
  <c r="AS421" i="1"/>
  <c r="AT421" i="1"/>
  <c r="AU421" i="1"/>
  <c r="AV421" i="1"/>
  <c r="AW421" i="1"/>
  <c r="AX421" i="1"/>
  <c r="BB421" i="1"/>
  <c r="BD421" i="1"/>
  <c r="BH421" i="1"/>
  <c r="BI421" i="1"/>
  <c r="BJ421" i="1"/>
  <c r="BL421" i="1"/>
  <c r="BM421" i="1"/>
  <c r="BN421" i="1"/>
  <c r="BO421" i="1"/>
  <c r="D422" i="1"/>
  <c r="AO422" i="1" s="1"/>
  <c r="G422" i="1"/>
  <c r="AG422" i="1" s="1"/>
  <c r="AH422" i="1" s="1"/>
  <c r="O422" i="1"/>
  <c r="AI422" i="1"/>
  <c r="AJ422" i="1" s="1"/>
  <c r="AK422" i="1"/>
  <c r="AL422" i="1"/>
  <c r="AN422" i="1"/>
  <c r="AP422" i="1"/>
  <c r="AQ422" i="1"/>
  <c r="AS422" i="1"/>
  <c r="AT422" i="1"/>
  <c r="AU422" i="1"/>
  <c r="AV422" i="1"/>
  <c r="AW422" i="1"/>
  <c r="AX422" i="1"/>
  <c r="AZ422" i="1"/>
  <c r="BB422" i="1"/>
  <c r="BD422" i="1"/>
  <c r="BG422" i="1"/>
  <c r="BH422" i="1"/>
  <c r="BI422" i="1"/>
  <c r="BJ422" i="1"/>
  <c r="BL422" i="1"/>
  <c r="BM422" i="1"/>
  <c r="BN422" i="1"/>
  <c r="BO422" i="1"/>
  <c r="D423" i="1"/>
  <c r="AO423" i="1" s="1"/>
  <c r="G423" i="1"/>
  <c r="AG423" i="1" s="1"/>
  <c r="AH423" i="1" s="1"/>
  <c r="O423" i="1"/>
  <c r="AI423" i="1"/>
  <c r="AJ423" i="1" s="1"/>
  <c r="AK423" i="1"/>
  <c r="AL423" i="1"/>
  <c r="AN423" i="1"/>
  <c r="AP423" i="1"/>
  <c r="AQ423" i="1"/>
  <c r="AS423" i="1"/>
  <c r="AT423" i="1"/>
  <c r="AU423" i="1"/>
  <c r="AV423" i="1"/>
  <c r="AW423" i="1"/>
  <c r="AX423" i="1"/>
  <c r="AZ423" i="1"/>
  <c r="BB423" i="1"/>
  <c r="BD423" i="1"/>
  <c r="BG423" i="1"/>
  <c r="BH423" i="1"/>
  <c r="BI423" i="1"/>
  <c r="BJ423" i="1"/>
  <c r="BL423" i="1"/>
  <c r="BM423" i="1"/>
  <c r="BN423" i="1"/>
  <c r="BO423" i="1"/>
  <c r="D424" i="1"/>
  <c r="AO424" i="1" s="1"/>
  <c r="G424" i="1"/>
  <c r="AG424" i="1" s="1"/>
  <c r="AH424" i="1" s="1"/>
  <c r="O424" i="1"/>
  <c r="AI424" i="1"/>
  <c r="AJ424" i="1" s="1"/>
  <c r="AK424" i="1"/>
  <c r="AL424" i="1"/>
  <c r="AN424" i="1"/>
  <c r="AP424" i="1"/>
  <c r="AQ424" i="1"/>
  <c r="AS424" i="1"/>
  <c r="AT424" i="1"/>
  <c r="AU424" i="1"/>
  <c r="AV424" i="1"/>
  <c r="AW424" i="1"/>
  <c r="AX424" i="1"/>
  <c r="AZ424" i="1"/>
  <c r="BB424" i="1"/>
  <c r="BD424" i="1"/>
  <c r="BG424" i="1"/>
  <c r="BH424" i="1"/>
  <c r="BI424" i="1"/>
  <c r="BJ424" i="1"/>
  <c r="BL424" i="1"/>
  <c r="BM424" i="1"/>
  <c r="BN424" i="1"/>
  <c r="BO424" i="1"/>
  <c r="D425" i="1"/>
  <c r="AO425" i="1" s="1"/>
  <c r="G425" i="1"/>
  <c r="AG425" i="1" s="1"/>
  <c r="AH425" i="1" s="1"/>
  <c r="O425" i="1"/>
  <c r="AI425" i="1"/>
  <c r="AJ425" i="1" s="1"/>
  <c r="AK425" i="1"/>
  <c r="AL425" i="1"/>
  <c r="AN425" i="1"/>
  <c r="AP425" i="1"/>
  <c r="AQ425" i="1"/>
  <c r="AS425" i="1"/>
  <c r="AT425" i="1"/>
  <c r="AU425" i="1"/>
  <c r="AV425" i="1"/>
  <c r="AW425" i="1"/>
  <c r="AX425" i="1"/>
  <c r="AZ425" i="1"/>
  <c r="BB425" i="1"/>
  <c r="BD425" i="1"/>
  <c r="BG425" i="1"/>
  <c r="BH425" i="1"/>
  <c r="BI425" i="1"/>
  <c r="BJ425" i="1"/>
  <c r="BL425" i="1"/>
  <c r="BM425" i="1"/>
  <c r="BN425" i="1"/>
  <c r="BO425" i="1"/>
  <c r="D426" i="1"/>
  <c r="AO426" i="1" s="1"/>
  <c r="G426" i="1"/>
  <c r="AG426" i="1" s="1"/>
  <c r="AH426" i="1" s="1"/>
  <c r="O426" i="1"/>
  <c r="AI426" i="1"/>
  <c r="AJ426" i="1" s="1"/>
  <c r="AK426" i="1"/>
  <c r="AL426" i="1"/>
  <c r="AN426" i="1"/>
  <c r="AP426" i="1"/>
  <c r="AQ426" i="1"/>
  <c r="AS426" i="1"/>
  <c r="AT426" i="1"/>
  <c r="AU426" i="1"/>
  <c r="AV426" i="1"/>
  <c r="AW426" i="1"/>
  <c r="AX426" i="1"/>
  <c r="AZ426" i="1"/>
  <c r="BB426" i="1"/>
  <c r="BD426" i="1"/>
  <c r="BG426" i="1"/>
  <c r="BH426" i="1"/>
  <c r="BI426" i="1"/>
  <c r="BJ426" i="1"/>
  <c r="BL426" i="1"/>
  <c r="BM426" i="1"/>
  <c r="BN426" i="1"/>
  <c r="BO426" i="1"/>
  <c r="D427" i="1"/>
  <c r="AO427" i="1" s="1"/>
  <c r="G427" i="1"/>
  <c r="AG427" i="1" s="1"/>
  <c r="AH427" i="1" s="1"/>
  <c r="O427" i="1"/>
  <c r="AI427" i="1"/>
  <c r="AJ427" i="1" s="1"/>
  <c r="AK427" i="1"/>
  <c r="AL427" i="1"/>
  <c r="AN427" i="1"/>
  <c r="AP427" i="1"/>
  <c r="AQ427" i="1"/>
  <c r="AS427" i="1"/>
  <c r="AT427" i="1"/>
  <c r="AU427" i="1"/>
  <c r="AV427" i="1"/>
  <c r="AW427" i="1"/>
  <c r="AX427" i="1"/>
  <c r="AZ427" i="1"/>
  <c r="BB427" i="1"/>
  <c r="BD427" i="1"/>
  <c r="BG427" i="1"/>
  <c r="BH427" i="1"/>
  <c r="BI427" i="1"/>
  <c r="BJ427" i="1"/>
  <c r="BL427" i="1"/>
  <c r="BM427" i="1"/>
  <c r="BN427" i="1"/>
  <c r="BO427" i="1"/>
  <c r="D428" i="1"/>
  <c r="AO428" i="1" s="1"/>
  <c r="G428" i="1"/>
  <c r="AG428" i="1" s="1"/>
  <c r="AH428" i="1" s="1"/>
  <c r="O428" i="1"/>
  <c r="AI428" i="1"/>
  <c r="AJ428" i="1" s="1"/>
  <c r="AK428" i="1"/>
  <c r="AL428" i="1"/>
  <c r="AN428" i="1"/>
  <c r="AP428" i="1"/>
  <c r="AQ428" i="1"/>
  <c r="AS428" i="1"/>
  <c r="AT428" i="1"/>
  <c r="AU428" i="1"/>
  <c r="AV428" i="1"/>
  <c r="AW428" i="1"/>
  <c r="AX428" i="1"/>
  <c r="AZ428" i="1"/>
  <c r="BB428" i="1"/>
  <c r="BD428" i="1"/>
  <c r="BG428" i="1"/>
  <c r="BH428" i="1"/>
  <c r="BI428" i="1"/>
  <c r="BJ428" i="1"/>
  <c r="BL428" i="1"/>
  <c r="BM428" i="1"/>
  <c r="BN428" i="1"/>
  <c r="BO428" i="1"/>
  <c r="D429" i="1"/>
  <c r="AO429" i="1" s="1"/>
  <c r="G429" i="1"/>
  <c r="AG429" i="1" s="1"/>
  <c r="AH429" i="1" s="1"/>
  <c r="O429" i="1"/>
  <c r="AI429" i="1"/>
  <c r="AJ429" i="1" s="1"/>
  <c r="AK429" i="1"/>
  <c r="AL429" i="1"/>
  <c r="AN429" i="1"/>
  <c r="AP429" i="1"/>
  <c r="AQ429" i="1"/>
  <c r="AS429" i="1"/>
  <c r="AT429" i="1"/>
  <c r="AU429" i="1"/>
  <c r="AV429" i="1"/>
  <c r="AW429" i="1"/>
  <c r="AX429" i="1"/>
  <c r="AZ429" i="1"/>
  <c r="BB429" i="1"/>
  <c r="BD429" i="1"/>
  <c r="BG429" i="1"/>
  <c r="BH429" i="1"/>
  <c r="BI429" i="1"/>
  <c r="BJ429" i="1"/>
  <c r="BL429" i="1"/>
  <c r="BM429" i="1"/>
  <c r="BN429" i="1"/>
  <c r="BO429" i="1"/>
  <c r="D430" i="1"/>
  <c r="AO430" i="1" s="1"/>
  <c r="G430" i="1"/>
  <c r="AG430" i="1" s="1"/>
  <c r="AH430" i="1" s="1"/>
  <c r="O430" i="1"/>
  <c r="AI430" i="1"/>
  <c r="AJ430" i="1" s="1"/>
  <c r="AK430" i="1"/>
  <c r="AL430" i="1"/>
  <c r="AN430" i="1"/>
  <c r="AP430" i="1"/>
  <c r="AQ430" i="1"/>
  <c r="AS430" i="1"/>
  <c r="AT430" i="1"/>
  <c r="AU430" i="1"/>
  <c r="AV430" i="1"/>
  <c r="AW430" i="1"/>
  <c r="AX430" i="1"/>
  <c r="AZ430" i="1"/>
  <c r="BB430" i="1"/>
  <c r="BD430" i="1"/>
  <c r="BG430" i="1"/>
  <c r="BH430" i="1"/>
  <c r="BI430" i="1"/>
  <c r="BJ430" i="1"/>
  <c r="BL430" i="1"/>
  <c r="BM430" i="1"/>
  <c r="BN430" i="1"/>
  <c r="BO430" i="1"/>
  <c r="D431" i="1"/>
  <c r="AO431" i="1" s="1"/>
  <c r="G431" i="1"/>
  <c r="AG431" i="1" s="1"/>
  <c r="AH431" i="1" s="1"/>
  <c r="O431" i="1"/>
  <c r="AI431" i="1"/>
  <c r="AJ431" i="1" s="1"/>
  <c r="AK431" i="1"/>
  <c r="AL431" i="1"/>
  <c r="AN431" i="1"/>
  <c r="AP431" i="1"/>
  <c r="AQ431" i="1"/>
  <c r="AS431" i="1"/>
  <c r="AT431" i="1"/>
  <c r="AU431" i="1"/>
  <c r="AV431" i="1"/>
  <c r="AW431" i="1"/>
  <c r="AX431" i="1"/>
  <c r="AZ431" i="1"/>
  <c r="BB431" i="1"/>
  <c r="BD431" i="1"/>
  <c r="BG431" i="1"/>
  <c r="BH431" i="1"/>
  <c r="BI431" i="1"/>
  <c r="BJ431" i="1"/>
  <c r="BL431" i="1"/>
  <c r="BM431" i="1"/>
  <c r="BN431" i="1"/>
  <c r="BO431" i="1"/>
  <c r="D432" i="1"/>
  <c r="AO432" i="1" s="1"/>
  <c r="G432" i="1"/>
  <c r="AG432" i="1" s="1"/>
  <c r="AH432" i="1" s="1"/>
  <c r="O432" i="1"/>
  <c r="AI432" i="1"/>
  <c r="AJ432" i="1" s="1"/>
  <c r="AK432" i="1"/>
  <c r="AL432" i="1"/>
  <c r="AN432" i="1"/>
  <c r="AP432" i="1"/>
  <c r="AQ432" i="1"/>
  <c r="AS432" i="1"/>
  <c r="AT432" i="1"/>
  <c r="AU432" i="1"/>
  <c r="AV432" i="1"/>
  <c r="AW432" i="1"/>
  <c r="AX432" i="1"/>
  <c r="AZ432" i="1"/>
  <c r="BB432" i="1"/>
  <c r="BD432" i="1"/>
  <c r="BG432" i="1"/>
  <c r="BH432" i="1"/>
  <c r="BI432" i="1"/>
  <c r="BJ432" i="1"/>
  <c r="BL432" i="1"/>
  <c r="BM432" i="1"/>
  <c r="BN432" i="1"/>
  <c r="BO432" i="1"/>
  <c r="D433" i="1"/>
  <c r="AO433" i="1" s="1"/>
  <c r="G433" i="1"/>
  <c r="AG433" i="1" s="1"/>
  <c r="AH433" i="1" s="1"/>
  <c r="O433" i="1"/>
  <c r="AI433" i="1"/>
  <c r="AJ433" i="1" s="1"/>
  <c r="AK433" i="1"/>
  <c r="AL433" i="1"/>
  <c r="AN433" i="1"/>
  <c r="AP433" i="1"/>
  <c r="AQ433" i="1"/>
  <c r="AS433" i="1"/>
  <c r="AT433" i="1"/>
  <c r="AU433" i="1"/>
  <c r="AV433" i="1"/>
  <c r="AW433" i="1"/>
  <c r="AX433" i="1"/>
  <c r="AZ433" i="1"/>
  <c r="BB433" i="1"/>
  <c r="BD433" i="1"/>
  <c r="BG433" i="1"/>
  <c r="BH433" i="1"/>
  <c r="BI433" i="1"/>
  <c r="BJ433" i="1"/>
  <c r="BL433" i="1"/>
  <c r="BM433" i="1"/>
  <c r="BN433" i="1"/>
  <c r="BO433" i="1"/>
  <c r="D434" i="1"/>
  <c r="AO434" i="1" s="1"/>
  <c r="G434" i="1"/>
  <c r="AG434" i="1" s="1"/>
  <c r="AH434" i="1" s="1"/>
  <c r="O434" i="1"/>
  <c r="AI434" i="1"/>
  <c r="AJ434" i="1" s="1"/>
  <c r="AK434" i="1"/>
  <c r="AL434" i="1"/>
  <c r="AN434" i="1"/>
  <c r="AP434" i="1"/>
  <c r="AQ434" i="1"/>
  <c r="AS434" i="1"/>
  <c r="AT434" i="1"/>
  <c r="AU434" i="1"/>
  <c r="AV434" i="1"/>
  <c r="AW434" i="1"/>
  <c r="AX434" i="1"/>
  <c r="AZ434" i="1"/>
  <c r="BB434" i="1"/>
  <c r="BD434" i="1"/>
  <c r="BG434" i="1"/>
  <c r="BH434" i="1"/>
  <c r="BI434" i="1"/>
  <c r="BJ434" i="1"/>
  <c r="BL434" i="1"/>
  <c r="BM434" i="1"/>
  <c r="BN434" i="1"/>
  <c r="BO434" i="1"/>
  <c r="D435" i="1"/>
  <c r="AO435" i="1" s="1"/>
  <c r="G435" i="1"/>
  <c r="AG435" i="1" s="1"/>
  <c r="AH435" i="1" s="1"/>
  <c r="O435" i="1"/>
  <c r="AI435" i="1"/>
  <c r="AJ435" i="1" s="1"/>
  <c r="AK435" i="1"/>
  <c r="AL435" i="1"/>
  <c r="AN435" i="1"/>
  <c r="AP435" i="1"/>
  <c r="AQ435" i="1"/>
  <c r="AS435" i="1"/>
  <c r="AT435" i="1"/>
  <c r="AU435" i="1"/>
  <c r="AV435" i="1"/>
  <c r="AW435" i="1"/>
  <c r="AX435" i="1"/>
  <c r="AZ435" i="1"/>
  <c r="BB435" i="1"/>
  <c r="BD435" i="1"/>
  <c r="BG435" i="1"/>
  <c r="BH435" i="1"/>
  <c r="BI435" i="1"/>
  <c r="BJ435" i="1"/>
  <c r="BL435" i="1"/>
  <c r="BM435" i="1"/>
  <c r="BN435" i="1"/>
  <c r="BO435" i="1"/>
  <c r="D436" i="1"/>
  <c r="AO436" i="1" s="1"/>
  <c r="G436" i="1"/>
  <c r="AG436" i="1" s="1"/>
  <c r="AH436" i="1" s="1"/>
  <c r="O436" i="1"/>
  <c r="AI436" i="1"/>
  <c r="AJ436" i="1" s="1"/>
  <c r="AK436" i="1"/>
  <c r="AL436" i="1"/>
  <c r="AN436" i="1"/>
  <c r="AP436" i="1"/>
  <c r="AQ436" i="1"/>
  <c r="AS436" i="1"/>
  <c r="AT436" i="1"/>
  <c r="AU436" i="1"/>
  <c r="AV436" i="1"/>
  <c r="AW436" i="1"/>
  <c r="AX436" i="1"/>
  <c r="AZ436" i="1"/>
  <c r="BB436" i="1"/>
  <c r="BD436" i="1"/>
  <c r="BG436" i="1"/>
  <c r="BH436" i="1"/>
  <c r="BI436" i="1"/>
  <c r="BJ436" i="1"/>
  <c r="BL436" i="1"/>
  <c r="BM436" i="1"/>
  <c r="BN436" i="1"/>
  <c r="BO436" i="1"/>
  <c r="D437" i="1"/>
  <c r="AO437" i="1" s="1"/>
  <c r="G437" i="1"/>
  <c r="AG437" i="1" s="1"/>
  <c r="AH437" i="1" s="1"/>
  <c r="O437" i="1"/>
  <c r="AI437" i="1"/>
  <c r="AJ437" i="1" s="1"/>
  <c r="AK437" i="1"/>
  <c r="AL437" i="1"/>
  <c r="AN437" i="1"/>
  <c r="AP437" i="1"/>
  <c r="AQ437" i="1"/>
  <c r="AS437" i="1"/>
  <c r="AT437" i="1"/>
  <c r="AU437" i="1"/>
  <c r="AV437" i="1"/>
  <c r="AW437" i="1"/>
  <c r="AX437" i="1"/>
  <c r="AZ437" i="1"/>
  <c r="BB437" i="1"/>
  <c r="BD437" i="1"/>
  <c r="BG437" i="1"/>
  <c r="BH437" i="1"/>
  <c r="BI437" i="1"/>
  <c r="BJ437" i="1"/>
  <c r="BL437" i="1"/>
  <c r="BM437" i="1"/>
  <c r="BN437" i="1"/>
  <c r="BO437" i="1"/>
  <c r="D438" i="1"/>
  <c r="AO438" i="1" s="1"/>
  <c r="G438" i="1"/>
  <c r="AG438" i="1" s="1"/>
  <c r="AH438" i="1" s="1"/>
  <c r="O438" i="1"/>
  <c r="AI438" i="1"/>
  <c r="AJ438" i="1" s="1"/>
  <c r="AK438" i="1"/>
  <c r="AL438" i="1"/>
  <c r="AN438" i="1"/>
  <c r="AP438" i="1"/>
  <c r="AQ438" i="1"/>
  <c r="AS438" i="1"/>
  <c r="AT438" i="1"/>
  <c r="AU438" i="1"/>
  <c r="AV438" i="1"/>
  <c r="AW438" i="1"/>
  <c r="AX438" i="1"/>
  <c r="AZ438" i="1"/>
  <c r="BB438" i="1"/>
  <c r="BD438" i="1"/>
  <c r="BG438" i="1"/>
  <c r="BH438" i="1"/>
  <c r="BI438" i="1"/>
  <c r="BJ438" i="1"/>
  <c r="BL438" i="1"/>
  <c r="BM438" i="1"/>
  <c r="BN438" i="1"/>
  <c r="BO438" i="1"/>
  <c r="D439" i="1"/>
  <c r="AO439" i="1" s="1"/>
  <c r="G439" i="1"/>
  <c r="AG439" i="1" s="1"/>
  <c r="AH439" i="1" s="1"/>
  <c r="O439" i="1"/>
  <c r="AI439" i="1"/>
  <c r="AJ439" i="1" s="1"/>
  <c r="AK439" i="1"/>
  <c r="AL439" i="1"/>
  <c r="AN439" i="1"/>
  <c r="AP439" i="1"/>
  <c r="AQ439" i="1"/>
  <c r="AS439" i="1"/>
  <c r="AT439" i="1"/>
  <c r="AU439" i="1"/>
  <c r="AV439" i="1"/>
  <c r="AW439" i="1"/>
  <c r="AX439" i="1"/>
  <c r="AZ439" i="1"/>
  <c r="BB439" i="1"/>
  <c r="BD439" i="1"/>
  <c r="BG439" i="1"/>
  <c r="BH439" i="1"/>
  <c r="BI439" i="1"/>
  <c r="BJ439" i="1"/>
  <c r="BL439" i="1"/>
  <c r="BM439" i="1"/>
  <c r="BN439" i="1"/>
  <c r="BO439" i="1"/>
  <c r="D440" i="1"/>
  <c r="AO440" i="1" s="1"/>
  <c r="G440" i="1"/>
  <c r="AG440" i="1" s="1"/>
  <c r="AH440" i="1" s="1"/>
  <c r="O440" i="1"/>
  <c r="AI440" i="1"/>
  <c r="AJ440" i="1" s="1"/>
  <c r="AK440" i="1"/>
  <c r="AL440" i="1"/>
  <c r="AN440" i="1"/>
  <c r="AP440" i="1"/>
  <c r="AQ440" i="1"/>
  <c r="AS440" i="1"/>
  <c r="AT440" i="1"/>
  <c r="AU440" i="1"/>
  <c r="AV440" i="1"/>
  <c r="AW440" i="1"/>
  <c r="AX440" i="1"/>
  <c r="AZ440" i="1"/>
  <c r="BB440" i="1"/>
  <c r="BD440" i="1"/>
  <c r="BG440" i="1"/>
  <c r="BH440" i="1"/>
  <c r="BI440" i="1"/>
  <c r="BJ440" i="1"/>
  <c r="BL440" i="1"/>
  <c r="BM440" i="1"/>
  <c r="BN440" i="1"/>
  <c r="BO440" i="1"/>
  <c r="D441" i="1"/>
  <c r="AO441" i="1" s="1"/>
  <c r="G441" i="1"/>
  <c r="AG441" i="1" s="1"/>
  <c r="AH441" i="1" s="1"/>
  <c r="O441" i="1"/>
  <c r="AI441" i="1"/>
  <c r="AJ441" i="1" s="1"/>
  <c r="AK441" i="1"/>
  <c r="AL441" i="1"/>
  <c r="AN441" i="1"/>
  <c r="AP441" i="1"/>
  <c r="AQ441" i="1"/>
  <c r="AS441" i="1"/>
  <c r="AT441" i="1"/>
  <c r="AU441" i="1"/>
  <c r="AV441" i="1"/>
  <c r="AW441" i="1"/>
  <c r="AX441" i="1"/>
  <c r="AZ441" i="1"/>
  <c r="BB441" i="1"/>
  <c r="BD441" i="1"/>
  <c r="BG441" i="1"/>
  <c r="BH441" i="1"/>
  <c r="BI441" i="1"/>
  <c r="BJ441" i="1"/>
  <c r="BL441" i="1"/>
  <c r="BM441" i="1"/>
  <c r="BN441" i="1"/>
  <c r="BO441" i="1"/>
  <c r="D442" i="1"/>
  <c r="AO442" i="1" s="1"/>
  <c r="G442" i="1"/>
  <c r="AG442" i="1" s="1"/>
  <c r="AH442" i="1" s="1"/>
  <c r="O442" i="1"/>
  <c r="AI442" i="1"/>
  <c r="AJ442" i="1" s="1"/>
  <c r="AK442" i="1"/>
  <c r="AL442" i="1"/>
  <c r="AN442" i="1"/>
  <c r="AP442" i="1"/>
  <c r="AQ442" i="1"/>
  <c r="AS442" i="1"/>
  <c r="AT442" i="1"/>
  <c r="AU442" i="1"/>
  <c r="AV442" i="1"/>
  <c r="AW442" i="1"/>
  <c r="AX442" i="1"/>
  <c r="AZ442" i="1"/>
  <c r="BB442" i="1"/>
  <c r="BD442" i="1"/>
  <c r="BG442" i="1"/>
  <c r="BH442" i="1"/>
  <c r="BI442" i="1"/>
  <c r="BJ442" i="1"/>
  <c r="BL442" i="1"/>
  <c r="BM442" i="1"/>
  <c r="BN442" i="1"/>
  <c r="BO442" i="1"/>
  <c r="D443" i="1"/>
  <c r="AO443" i="1" s="1"/>
  <c r="G443" i="1"/>
  <c r="AG443" i="1" s="1"/>
  <c r="AH443" i="1" s="1"/>
  <c r="O443" i="1"/>
  <c r="AI443" i="1"/>
  <c r="AJ443" i="1" s="1"/>
  <c r="AK443" i="1"/>
  <c r="AL443" i="1"/>
  <c r="AN443" i="1"/>
  <c r="AP443" i="1"/>
  <c r="AQ443" i="1"/>
  <c r="AS443" i="1"/>
  <c r="AT443" i="1"/>
  <c r="AU443" i="1"/>
  <c r="AV443" i="1"/>
  <c r="AW443" i="1"/>
  <c r="AX443" i="1"/>
  <c r="AZ443" i="1"/>
  <c r="BB443" i="1"/>
  <c r="BD443" i="1"/>
  <c r="BG443" i="1"/>
  <c r="BH443" i="1"/>
  <c r="BI443" i="1"/>
  <c r="BJ443" i="1"/>
  <c r="BL443" i="1"/>
  <c r="BM443" i="1"/>
  <c r="BN443" i="1"/>
  <c r="BO443" i="1"/>
  <c r="D444" i="1"/>
  <c r="AO444" i="1" s="1"/>
  <c r="G444" i="1"/>
  <c r="AG444" i="1" s="1"/>
  <c r="AH444" i="1" s="1"/>
  <c r="O444" i="1"/>
  <c r="AI444" i="1"/>
  <c r="AJ444" i="1" s="1"/>
  <c r="AK444" i="1"/>
  <c r="AL444" i="1"/>
  <c r="AN444" i="1"/>
  <c r="AP444" i="1"/>
  <c r="AQ444" i="1"/>
  <c r="AS444" i="1"/>
  <c r="AT444" i="1"/>
  <c r="AU444" i="1"/>
  <c r="AV444" i="1"/>
  <c r="AW444" i="1"/>
  <c r="AX444" i="1"/>
  <c r="AZ444" i="1"/>
  <c r="BB444" i="1"/>
  <c r="BD444" i="1"/>
  <c r="BG444" i="1"/>
  <c r="BH444" i="1"/>
  <c r="BI444" i="1"/>
  <c r="BJ444" i="1"/>
  <c r="BL444" i="1"/>
  <c r="BM444" i="1"/>
  <c r="BN444" i="1"/>
  <c r="BO444" i="1"/>
  <c r="D445" i="1"/>
  <c r="AO445" i="1" s="1"/>
  <c r="G445" i="1"/>
  <c r="AG445" i="1" s="1"/>
  <c r="AH445" i="1" s="1"/>
  <c r="O445" i="1"/>
  <c r="AI445" i="1"/>
  <c r="AJ445" i="1" s="1"/>
  <c r="AK445" i="1"/>
  <c r="AL445" i="1"/>
  <c r="AN445" i="1"/>
  <c r="AP445" i="1"/>
  <c r="AQ445" i="1"/>
  <c r="AS445" i="1"/>
  <c r="AT445" i="1"/>
  <c r="AU445" i="1"/>
  <c r="AV445" i="1"/>
  <c r="AW445" i="1"/>
  <c r="AX445" i="1"/>
  <c r="AZ445" i="1"/>
  <c r="BB445" i="1"/>
  <c r="BD445" i="1"/>
  <c r="BG445" i="1"/>
  <c r="BH445" i="1"/>
  <c r="BI445" i="1"/>
  <c r="BJ445" i="1"/>
  <c r="BL445" i="1"/>
  <c r="BM445" i="1"/>
  <c r="BN445" i="1"/>
  <c r="BO445" i="1"/>
  <c r="D446" i="1"/>
  <c r="AO446" i="1" s="1"/>
  <c r="G446" i="1"/>
  <c r="AG446" i="1" s="1"/>
  <c r="AH446" i="1" s="1"/>
  <c r="O446" i="1"/>
  <c r="AI446" i="1"/>
  <c r="AJ446" i="1" s="1"/>
  <c r="AK446" i="1"/>
  <c r="AL446" i="1"/>
  <c r="AN446" i="1"/>
  <c r="AP446" i="1"/>
  <c r="AQ446" i="1"/>
  <c r="AS446" i="1"/>
  <c r="AT446" i="1"/>
  <c r="AU446" i="1"/>
  <c r="AV446" i="1"/>
  <c r="AW446" i="1"/>
  <c r="AX446" i="1"/>
  <c r="AZ446" i="1"/>
  <c r="BB446" i="1"/>
  <c r="BD446" i="1"/>
  <c r="BG446" i="1"/>
  <c r="BH446" i="1"/>
  <c r="BI446" i="1"/>
  <c r="BJ446" i="1"/>
  <c r="BL446" i="1"/>
  <c r="BM446" i="1"/>
  <c r="BN446" i="1"/>
  <c r="BO446" i="1"/>
  <c r="D447" i="1"/>
  <c r="AO447" i="1" s="1"/>
  <c r="G447" i="1"/>
  <c r="AG447" i="1" s="1"/>
  <c r="AH447" i="1" s="1"/>
  <c r="O447" i="1"/>
  <c r="AI447" i="1"/>
  <c r="AJ447" i="1"/>
  <c r="AK447" i="1"/>
  <c r="AL447" i="1"/>
  <c r="AN447" i="1"/>
  <c r="AP447" i="1"/>
  <c r="AQ447" i="1"/>
  <c r="AS447" i="1"/>
  <c r="AT447" i="1"/>
  <c r="AU447" i="1"/>
  <c r="AV447" i="1"/>
  <c r="AW447" i="1"/>
  <c r="AX447" i="1"/>
  <c r="AZ447" i="1"/>
  <c r="BB447" i="1"/>
  <c r="BD447" i="1"/>
  <c r="BG447" i="1"/>
  <c r="BH447" i="1"/>
  <c r="BI447" i="1"/>
  <c r="BJ447" i="1"/>
  <c r="BL447" i="1"/>
  <c r="BM447" i="1"/>
  <c r="BN447" i="1"/>
  <c r="BO447" i="1"/>
  <c r="D448" i="1"/>
  <c r="AO448" i="1" s="1"/>
  <c r="G448" i="1"/>
  <c r="AG448" i="1" s="1"/>
  <c r="AH448" i="1" s="1"/>
  <c r="O448" i="1"/>
  <c r="AI448" i="1"/>
  <c r="AJ448" i="1"/>
  <c r="AK448" i="1"/>
  <c r="AL448" i="1"/>
  <c r="AN448" i="1"/>
  <c r="AP448" i="1"/>
  <c r="AQ448" i="1"/>
  <c r="AS448" i="1"/>
  <c r="AT448" i="1"/>
  <c r="AU448" i="1"/>
  <c r="AV448" i="1"/>
  <c r="AW448" i="1"/>
  <c r="AX448" i="1"/>
  <c r="AZ448" i="1"/>
  <c r="BB448" i="1"/>
  <c r="BD448" i="1"/>
  <c r="BG448" i="1"/>
  <c r="BH448" i="1"/>
  <c r="BI448" i="1"/>
  <c r="BJ448" i="1"/>
  <c r="BL448" i="1"/>
  <c r="BM448" i="1"/>
  <c r="BN448" i="1"/>
  <c r="BO448" i="1"/>
  <c r="D449" i="1"/>
  <c r="AO449" i="1" s="1"/>
  <c r="G449" i="1"/>
  <c r="AG449" i="1" s="1"/>
  <c r="AH449" i="1" s="1"/>
  <c r="O449" i="1"/>
  <c r="AI449" i="1"/>
  <c r="AJ449" i="1"/>
  <c r="AK449" i="1"/>
  <c r="AL449" i="1"/>
  <c r="AN449" i="1"/>
  <c r="AP449" i="1"/>
  <c r="AQ449" i="1"/>
  <c r="AS449" i="1"/>
  <c r="AT449" i="1"/>
  <c r="AU449" i="1"/>
  <c r="AV449" i="1"/>
  <c r="AW449" i="1"/>
  <c r="AX449" i="1"/>
  <c r="AZ449" i="1"/>
  <c r="BB449" i="1"/>
  <c r="BD449" i="1"/>
  <c r="BG449" i="1"/>
  <c r="BH449" i="1"/>
  <c r="BI449" i="1"/>
  <c r="BJ449" i="1"/>
  <c r="BL449" i="1"/>
  <c r="BM449" i="1"/>
  <c r="BN449" i="1"/>
  <c r="BO449" i="1"/>
  <c r="D450" i="1"/>
  <c r="AO450" i="1" s="1"/>
  <c r="G450" i="1"/>
  <c r="AG450" i="1" s="1"/>
  <c r="AH450" i="1" s="1"/>
  <c r="O450" i="1"/>
  <c r="AZ450" i="1" s="1"/>
  <c r="AI450" i="1"/>
  <c r="AJ450" i="1"/>
  <c r="AK450" i="1"/>
  <c r="AL450" i="1"/>
  <c r="AN450" i="1"/>
  <c r="AP450" i="1"/>
  <c r="AQ450" i="1"/>
  <c r="AS450" i="1"/>
  <c r="AT450" i="1"/>
  <c r="AU450" i="1"/>
  <c r="AV450" i="1"/>
  <c r="AW450" i="1"/>
  <c r="AX450" i="1"/>
  <c r="BB450" i="1"/>
  <c r="BD450" i="1"/>
  <c r="BG450" i="1"/>
  <c r="BH450" i="1"/>
  <c r="BI450" i="1"/>
  <c r="BJ450" i="1"/>
  <c r="BL450" i="1"/>
  <c r="BM450" i="1"/>
  <c r="BN450" i="1"/>
  <c r="BO450" i="1"/>
  <c r="AN452" i="1"/>
  <c r="D453" i="1"/>
  <c r="AO453" i="1" s="1"/>
  <c r="O453" i="1"/>
  <c r="AZ453" i="1" s="1"/>
  <c r="AI453" i="1"/>
  <c r="AJ453" i="1"/>
  <c r="AK453" i="1"/>
  <c r="AL453" i="1"/>
  <c r="AN453" i="1"/>
  <c r="AP453" i="1"/>
  <c r="AQ453" i="1"/>
  <c r="AS453" i="1"/>
  <c r="AT453" i="1"/>
  <c r="AU453" i="1"/>
  <c r="AV453" i="1"/>
  <c r="AW453" i="1"/>
  <c r="AX453" i="1"/>
  <c r="BB453" i="1"/>
  <c r="BD453" i="1"/>
  <c r="BG453" i="1"/>
  <c r="BH453" i="1"/>
  <c r="BI453" i="1"/>
  <c r="BJ453" i="1"/>
  <c r="BL453" i="1"/>
  <c r="BM453" i="1"/>
  <c r="BN453" i="1"/>
  <c r="BO453" i="1"/>
  <c r="D454" i="1"/>
  <c r="AO454" i="1" s="1"/>
  <c r="O454" i="1"/>
  <c r="AZ454" i="1" s="1"/>
  <c r="AI454" i="1"/>
  <c r="AJ454" i="1"/>
  <c r="AK454" i="1"/>
  <c r="AL454" i="1"/>
  <c r="AN454" i="1"/>
  <c r="AP454" i="1"/>
  <c r="AQ454" i="1"/>
  <c r="AS454" i="1"/>
  <c r="AT454" i="1"/>
  <c r="AU454" i="1"/>
  <c r="AV454" i="1"/>
  <c r="AW454" i="1"/>
  <c r="AX454" i="1"/>
  <c r="BB454" i="1"/>
  <c r="BD454" i="1"/>
  <c r="BG454" i="1"/>
  <c r="BH454" i="1"/>
  <c r="BI454" i="1"/>
  <c r="BJ454" i="1"/>
  <c r="BL454" i="1"/>
  <c r="BM454" i="1"/>
  <c r="BN454" i="1"/>
  <c r="BO454" i="1"/>
  <c r="D455" i="1"/>
  <c r="AO455" i="1" s="1"/>
  <c r="O455" i="1"/>
  <c r="AZ455" i="1" s="1"/>
  <c r="AI455" i="1"/>
  <c r="AJ455" i="1"/>
  <c r="AK455" i="1"/>
  <c r="AL455" i="1"/>
  <c r="AN455" i="1"/>
  <c r="AP455" i="1"/>
  <c r="AQ455" i="1"/>
  <c r="AS455" i="1"/>
  <c r="AT455" i="1"/>
  <c r="AU455" i="1"/>
  <c r="AV455" i="1"/>
  <c r="AW455" i="1"/>
  <c r="AX455" i="1"/>
  <c r="BB455" i="1"/>
  <c r="BD455" i="1"/>
  <c r="BG455" i="1"/>
  <c r="BH455" i="1"/>
  <c r="BI455" i="1"/>
  <c r="BJ455" i="1"/>
  <c r="BL455" i="1"/>
  <c r="BM455" i="1"/>
  <c r="BN455" i="1"/>
  <c r="BO455" i="1"/>
  <c r="D456" i="1"/>
  <c r="AO456" i="1" s="1"/>
  <c r="O456" i="1"/>
  <c r="AZ456" i="1" s="1"/>
  <c r="AI456" i="1"/>
  <c r="AJ456" i="1"/>
  <c r="AK456" i="1"/>
  <c r="AL456" i="1"/>
  <c r="AN456" i="1"/>
  <c r="AP456" i="1"/>
  <c r="AQ456" i="1"/>
  <c r="AS456" i="1"/>
  <c r="AT456" i="1"/>
  <c r="AU456" i="1"/>
  <c r="AV456" i="1"/>
  <c r="AW456" i="1"/>
  <c r="AX456" i="1"/>
  <c r="BB456" i="1"/>
  <c r="BD456" i="1"/>
  <c r="BG456" i="1"/>
  <c r="BH456" i="1"/>
  <c r="BI456" i="1"/>
  <c r="BJ456" i="1"/>
  <c r="BL456" i="1"/>
  <c r="BM456" i="1"/>
  <c r="BN456" i="1"/>
  <c r="BO456" i="1"/>
  <c r="D457" i="1"/>
  <c r="AO457" i="1" s="1"/>
  <c r="O457" i="1"/>
  <c r="AZ457" i="1" s="1"/>
  <c r="AI457" i="1"/>
  <c r="AJ457" i="1"/>
  <c r="AK457" i="1"/>
  <c r="AL457" i="1"/>
  <c r="AN457" i="1"/>
  <c r="AP457" i="1"/>
  <c r="AQ457" i="1"/>
  <c r="AS457" i="1"/>
  <c r="AT457" i="1"/>
  <c r="AU457" i="1"/>
  <c r="AV457" i="1"/>
  <c r="AW457" i="1"/>
  <c r="AX457" i="1"/>
  <c r="BB457" i="1"/>
  <c r="BD457" i="1"/>
  <c r="BG457" i="1"/>
  <c r="BH457" i="1"/>
  <c r="BI457" i="1"/>
  <c r="BJ457" i="1"/>
  <c r="BL457" i="1"/>
  <c r="BM457" i="1"/>
  <c r="BN457" i="1"/>
  <c r="BO457" i="1"/>
  <c r="D458" i="1"/>
  <c r="AO458" i="1" s="1"/>
  <c r="O458" i="1"/>
  <c r="AZ458" i="1" s="1"/>
  <c r="AI458" i="1"/>
  <c r="AJ458" i="1"/>
  <c r="AK458" i="1"/>
  <c r="AL458" i="1"/>
  <c r="AN458" i="1"/>
  <c r="AP458" i="1"/>
  <c r="AQ458" i="1"/>
  <c r="AS458" i="1"/>
  <c r="AT458" i="1"/>
  <c r="AU458" i="1"/>
  <c r="AV458" i="1"/>
  <c r="AW458" i="1"/>
  <c r="AX458" i="1"/>
  <c r="BB458" i="1"/>
  <c r="BD458" i="1"/>
  <c r="BG458" i="1"/>
  <c r="BH458" i="1"/>
  <c r="BI458" i="1"/>
  <c r="BJ458" i="1"/>
  <c r="BL458" i="1"/>
  <c r="BM458" i="1"/>
  <c r="BN458" i="1"/>
  <c r="BO458" i="1"/>
  <c r="D459" i="1"/>
  <c r="AO459" i="1" s="1"/>
  <c r="O459" i="1"/>
  <c r="AZ459" i="1" s="1"/>
  <c r="AI459" i="1"/>
  <c r="AJ459" i="1"/>
  <c r="AK459" i="1"/>
  <c r="AL459" i="1"/>
  <c r="AN459" i="1"/>
  <c r="AP459" i="1"/>
  <c r="AQ459" i="1"/>
  <c r="AS459" i="1"/>
  <c r="AT459" i="1"/>
  <c r="AU459" i="1"/>
  <c r="AV459" i="1"/>
  <c r="AW459" i="1"/>
  <c r="AX459" i="1"/>
  <c r="BB459" i="1"/>
  <c r="BD459" i="1"/>
  <c r="BG459" i="1"/>
  <c r="BH459" i="1"/>
  <c r="BI459" i="1"/>
  <c r="BJ459" i="1"/>
  <c r="BL459" i="1"/>
  <c r="BM459" i="1"/>
  <c r="BN459" i="1"/>
  <c r="BO459" i="1"/>
  <c r="D460" i="1"/>
  <c r="AO460" i="1" s="1"/>
  <c r="O460" i="1"/>
  <c r="AZ460" i="1" s="1"/>
  <c r="AI460" i="1"/>
  <c r="AJ460" i="1"/>
  <c r="AK460" i="1"/>
  <c r="AL460" i="1"/>
  <c r="AN460" i="1"/>
  <c r="AP460" i="1"/>
  <c r="AQ460" i="1"/>
  <c r="AS460" i="1"/>
  <c r="AT460" i="1"/>
  <c r="AU460" i="1"/>
  <c r="AV460" i="1"/>
  <c r="AW460" i="1"/>
  <c r="AX460" i="1"/>
  <c r="BB460" i="1"/>
  <c r="BD460" i="1"/>
  <c r="BG460" i="1"/>
  <c r="BH460" i="1"/>
  <c r="BI460" i="1"/>
  <c r="BJ460" i="1"/>
  <c r="BL460" i="1"/>
  <c r="BM460" i="1"/>
  <c r="BN460" i="1"/>
  <c r="BO460" i="1"/>
  <c r="D461" i="1"/>
  <c r="AO461" i="1" s="1"/>
  <c r="O461" i="1"/>
  <c r="AZ461" i="1" s="1"/>
  <c r="AI461" i="1"/>
  <c r="AJ461" i="1"/>
  <c r="AK461" i="1"/>
  <c r="AL461" i="1"/>
  <c r="AN461" i="1"/>
  <c r="AP461" i="1"/>
  <c r="AQ461" i="1"/>
  <c r="AS461" i="1"/>
  <c r="AT461" i="1"/>
  <c r="AU461" i="1"/>
  <c r="AV461" i="1"/>
  <c r="AW461" i="1"/>
  <c r="AX461" i="1"/>
  <c r="BB461" i="1"/>
  <c r="BD461" i="1"/>
  <c r="BG461" i="1"/>
  <c r="BH461" i="1"/>
  <c r="BI461" i="1"/>
  <c r="BJ461" i="1"/>
  <c r="BL461" i="1"/>
  <c r="BM461" i="1"/>
  <c r="BN461" i="1"/>
  <c r="BO461" i="1"/>
  <c r="D462" i="1"/>
  <c r="AO462" i="1" s="1"/>
  <c r="O462" i="1"/>
  <c r="AZ462" i="1" s="1"/>
  <c r="AI462" i="1"/>
  <c r="AJ462" i="1"/>
  <c r="AK462" i="1"/>
  <c r="AL462" i="1"/>
  <c r="AN462" i="1"/>
  <c r="AP462" i="1"/>
  <c r="AQ462" i="1"/>
  <c r="AS462" i="1"/>
  <c r="AT462" i="1"/>
  <c r="AU462" i="1"/>
  <c r="AV462" i="1"/>
  <c r="AW462" i="1"/>
  <c r="AX462" i="1"/>
  <c r="BB462" i="1"/>
  <c r="BD462" i="1"/>
  <c r="BG462" i="1"/>
  <c r="BH462" i="1"/>
  <c r="BI462" i="1"/>
  <c r="BJ462" i="1"/>
  <c r="BL462" i="1"/>
  <c r="BM462" i="1"/>
  <c r="BN462" i="1"/>
  <c r="BO462" i="1"/>
  <c r="AN464" i="1"/>
  <c r="AN466" i="1"/>
  <c r="V467" i="1"/>
  <c r="W467" i="1"/>
  <c r="O467" i="1" s="1"/>
  <c r="AA467" i="1"/>
  <c r="D467" i="1" s="1"/>
  <c r="AB467" i="1"/>
  <c r="AI467" i="1"/>
  <c r="AJ467" i="1" s="1"/>
  <c r="AL467" i="1"/>
  <c r="AN467" i="1"/>
  <c r="AP467" i="1"/>
  <c r="AQ467" i="1"/>
  <c r="AS467" i="1"/>
  <c r="AT467" i="1"/>
  <c r="AU467" i="1"/>
  <c r="AV467" i="1"/>
  <c r="AW467" i="1"/>
  <c r="AX467" i="1"/>
  <c r="BB467" i="1"/>
  <c r="BD467" i="1"/>
  <c r="BG467" i="1"/>
  <c r="BH467" i="1"/>
  <c r="BI467" i="1"/>
  <c r="BJ467" i="1"/>
  <c r="BM467" i="1"/>
  <c r="BN467" i="1"/>
  <c r="BO467" i="1"/>
  <c r="V468" i="1"/>
  <c r="O468" i="1" s="1"/>
  <c r="W468" i="1"/>
  <c r="AA468" i="1"/>
  <c r="D468" i="1" s="1"/>
  <c r="AB468" i="1"/>
  <c r="AI468" i="1"/>
  <c r="AJ468" i="1" s="1"/>
  <c r="AL468" i="1"/>
  <c r="AN468" i="1"/>
  <c r="AP468" i="1"/>
  <c r="AQ468" i="1"/>
  <c r="AS468" i="1"/>
  <c r="AT468" i="1"/>
  <c r="AU468" i="1"/>
  <c r="AV468" i="1"/>
  <c r="AW468" i="1"/>
  <c r="AX468" i="1"/>
  <c r="BB468" i="1"/>
  <c r="BD468" i="1"/>
  <c r="BG468" i="1"/>
  <c r="BH468" i="1"/>
  <c r="BI468" i="1"/>
  <c r="BJ468" i="1"/>
  <c r="BM468" i="1"/>
  <c r="BN468" i="1"/>
  <c r="BO468" i="1"/>
  <c r="V469" i="1"/>
  <c r="O469" i="1" s="1"/>
  <c r="W469" i="1"/>
  <c r="AA469" i="1"/>
  <c r="D469" i="1" s="1"/>
  <c r="AB469" i="1"/>
  <c r="AI469" i="1"/>
  <c r="AJ469" i="1" s="1"/>
  <c r="AL469" i="1"/>
  <c r="AN469" i="1"/>
  <c r="AP469" i="1"/>
  <c r="AQ469" i="1"/>
  <c r="AS469" i="1"/>
  <c r="AT469" i="1"/>
  <c r="AU469" i="1"/>
  <c r="AV469" i="1"/>
  <c r="AW469" i="1"/>
  <c r="AX469" i="1"/>
  <c r="BB469" i="1"/>
  <c r="BD469" i="1"/>
  <c r="BG469" i="1"/>
  <c r="BH469" i="1"/>
  <c r="BI469" i="1"/>
  <c r="BJ469" i="1"/>
  <c r="BM469" i="1"/>
  <c r="BN469" i="1"/>
  <c r="BO469" i="1"/>
  <c r="V470" i="1"/>
  <c r="O470" i="1" s="1"/>
  <c r="W470" i="1"/>
  <c r="AA470" i="1"/>
  <c r="D470" i="1" s="1"/>
  <c r="AB470" i="1"/>
  <c r="AI470" i="1"/>
  <c r="AJ470" i="1" s="1"/>
  <c r="AL470" i="1"/>
  <c r="AN470" i="1"/>
  <c r="AP470" i="1"/>
  <c r="AQ470" i="1"/>
  <c r="AS470" i="1"/>
  <c r="AT470" i="1"/>
  <c r="AU470" i="1"/>
  <c r="AV470" i="1"/>
  <c r="AW470" i="1"/>
  <c r="AX470" i="1"/>
  <c r="BB470" i="1"/>
  <c r="BD470" i="1"/>
  <c r="BG470" i="1"/>
  <c r="BH470" i="1"/>
  <c r="BI470" i="1"/>
  <c r="BJ470" i="1"/>
  <c r="BM470" i="1"/>
  <c r="BN470" i="1"/>
  <c r="BO470" i="1"/>
  <c r="D471" i="1"/>
  <c r="G471" i="1"/>
  <c r="N471" i="1" s="1"/>
  <c r="AY471" i="1" s="1"/>
  <c r="W471" i="1"/>
  <c r="O471" i="1" s="1"/>
  <c r="AI471" i="1"/>
  <c r="AJ471" i="1" s="1"/>
  <c r="AL471" i="1"/>
  <c r="AN471" i="1"/>
  <c r="AO471" i="1"/>
  <c r="AP471" i="1"/>
  <c r="AQ471" i="1"/>
  <c r="AS471" i="1"/>
  <c r="AT471" i="1"/>
  <c r="AU471" i="1"/>
  <c r="AV471" i="1"/>
  <c r="AW471" i="1"/>
  <c r="AX471" i="1"/>
  <c r="BB471" i="1"/>
  <c r="BD471" i="1"/>
  <c r="BG471" i="1"/>
  <c r="BH471" i="1"/>
  <c r="BI471" i="1"/>
  <c r="BJ471" i="1"/>
  <c r="BL471" i="1"/>
  <c r="BM471" i="1"/>
  <c r="BN471" i="1"/>
  <c r="BO471" i="1"/>
  <c r="D472" i="1"/>
  <c r="V472" i="1"/>
  <c r="W472" i="1"/>
  <c r="AA472" i="1"/>
  <c r="AI472" i="1"/>
  <c r="AJ472" i="1" s="1"/>
  <c r="AL472" i="1"/>
  <c r="AN472" i="1"/>
  <c r="AP472" i="1"/>
  <c r="AQ472" i="1"/>
  <c r="AS472" i="1"/>
  <c r="AT472" i="1"/>
  <c r="AU472" i="1"/>
  <c r="AV472" i="1"/>
  <c r="AW472" i="1"/>
  <c r="AX472" i="1"/>
  <c r="BB472" i="1"/>
  <c r="BD472" i="1"/>
  <c r="BH472" i="1"/>
  <c r="BI472" i="1"/>
  <c r="BJ472" i="1"/>
  <c r="BL472" i="1"/>
  <c r="BM472" i="1"/>
  <c r="BN472" i="1"/>
  <c r="BO472" i="1"/>
  <c r="V473" i="1"/>
  <c r="W473" i="1"/>
  <c r="O473" i="1" s="1"/>
  <c r="AA473" i="1"/>
  <c r="D473" i="1" s="1"/>
  <c r="AO473" i="1" s="1"/>
  <c r="AB473" i="1"/>
  <c r="AI473" i="1"/>
  <c r="AJ473" i="1" s="1"/>
  <c r="AL473" i="1"/>
  <c r="AN473" i="1"/>
  <c r="AP473" i="1"/>
  <c r="AQ473" i="1"/>
  <c r="AS473" i="1"/>
  <c r="AT473" i="1"/>
  <c r="AU473" i="1"/>
  <c r="AV473" i="1"/>
  <c r="AW473" i="1"/>
  <c r="AX473" i="1"/>
  <c r="BB473" i="1"/>
  <c r="BD473" i="1"/>
  <c r="BG473" i="1"/>
  <c r="BH473" i="1"/>
  <c r="BI473" i="1"/>
  <c r="BJ473" i="1"/>
  <c r="BM473" i="1"/>
  <c r="BN473" i="1"/>
  <c r="BO473" i="1"/>
  <c r="O474" i="1"/>
  <c r="V474" i="1"/>
  <c r="AA474" i="1"/>
  <c r="AF474" i="1"/>
  <c r="AK474" i="1" s="1"/>
  <c r="AI474" i="1"/>
  <c r="AJ474" i="1" s="1"/>
  <c r="AN474" i="1"/>
  <c r="AP474" i="1"/>
  <c r="AQ474" i="1"/>
  <c r="AS474" i="1"/>
  <c r="AT474" i="1"/>
  <c r="AU474" i="1"/>
  <c r="AV474" i="1"/>
  <c r="AW474" i="1"/>
  <c r="AX474" i="1"/>
  <c r="AZ474" i="1"/>
  <c r="BB474" i="1"/>
  <c r="BD474" i="1"/>
  <c r="BG474" i="1"/>
  <c r="BH474" i="1"/>
  <c r="BI474" i="1"/>
  <c r="BJ474" i="1"/>
  <c r="BM474" i="1"/>
  <c r="BN474" i="1"/>
  <c r="BO474" i="1"/>
  <c r="O475" i="1"/>
  <c r="V475" i="1"/>
  <c r="AA475" i="1"/>
  <c r="D475" i="1" s="1"/>
  <c r="G475" i="1" s="1"/>
  <c r="AF475" i="1"/>
  <c r="AJ475" i="1" s="1"/>
  <c r="AI475" i="1"/>
  <c r="AN475" i="1"/>
  <c r="AO475" i="1"/>
  <c r="AP475" i="1"/>
  <c r="AQ475" i="1"/>
  <c r="AS475" i="1"/>
  <c r="AT475" i="1"/>
  <c r="AU475" i="1"/>
  <c r="AV475" i="1"/>
  <c r="AW475" i="1"/>
  <c r="AX475" i="1"/>
  <c r="BB475" i="1"/>
  <c r="BG475" i="1"/>
  <c r="BH475" i="1"/>
  <c r="BI475" i="1"/>
  <c r="BJ475" i="1"/>
  <c r="BL475" i="1"/>
  <c r="BM475" i="1"/>
  <c r="BN475" i="1"/>
  <c r="BO475" i="1"/>
  <c r="D476" i="1"/>
  <c r="G476" i="1" s="1"/>
  <c r="O476" i="1"/>
  <c r="AI476" i="1"/>
  <c r="AJ476" i="1"/>
  <c r="AL476" i="1"/>
  <c r="AN476" i="1"/>
  <c r="AO476" i="1"/>
  <c r="AP476" i="1"/>
  <c r="AQ476" i="1"/>
  <c r="AS476" i="1"/>
  <c r="AT476" i="1"/>
  <c r="AU476" i="1"/>
  <c r="AV476" i="1"/>
  <c r="AW476" i="1"/>
  <c r="AX476" i="1"/>
  <c r="BB476" i="1"/>
  <c r="BD476" i="1"/>
  <c r="BG476" i="1"/>
  <c r="BH476" i="1"/>
  <c r="BI476" i="1"/>
  <c r="BJ476" i="1"/>
  <c r="BL476" i="1"/>
  <c r="BM476" i="1"/>
  <c r="BN476" i="1"/>
  <c r="BO476" i="1"/>
  <c r="D477" i="1"/>
  <c r="G477" i="1" s="1"/>
  <c r="O477" i="1"/>
  <c r="AI477" i="1"/>
  <c r="AJ477" i="1"/>
  <c r="AL477" i="1"/>
  <c r="AN477" i="1"/>
  <c r="AO477" i="1"/>
  <c r="AP477" i="1"/>
  <c r="AQ477" i="1"/>
  <c r="AS477" i="1"/>
  <c r="AT477" i="1"/>
  <c r="AU477" i="1"/>
  <c r="AV477" i="1"/>
  <c r="AW477" i="1"/>
  <c r="AX477" i="1"/>
  <c r="BB477" i="1"/>
  <c r="BD477" i="1"/>
  <c r="BG477" i="1"/>
  <c r="BH477" i="1"/>
  <c r="BI477" i="1"/>
  <c r="BJ477" i="1"/>
  <c r="BL477" i="1"/>
  <c r="BM477" i="1"/>
  <c r="BN477" i="1"/>
  <c r="BO477" i="1"/>
  <c r="D478" i="1"/>
  <c r="G478" i="1" s="1"/>
  <c r="O478" i="1"/>
  <c r="AI478" i="1"/>
  <c r="AJ478" i="1"/>
  <c r="AL478" i="1"/>
  <c r="AN478" i="1"/>
  <c r="AO478" i="1"/>
  <c r="AP478" i="1"/>
  <c r="AQ478" i="1"/>
  <c r="AS478" i="1"/>
  <c r="AT478" i="1"/>
  <c r="AU478" i="1"/>
  <c r="AV478" i="1"/>
  <c r="AW478" i="1"/>
  <c r="AX478" i="1"/>
  <c r="BB478" i="1"/>
  <c r="BD478" i="1"/>
  <c r="BG478" i="1"/>
  <c r="BH478" i="1"/>
  <c r="BI478" i="1"/>
  <c r="BJ478" i="1"/>
  <c r="BL478" i="1"/>
  <c r="BM478" i="1"/>
  <c r="BN478" i="1"/>
  <c r="BO478" i="1"/>
  <c r="D479" i="1"/>
  <c r="G479" i="1" s="1"/>
  <c r="O479" i="1"/>
  <c r="AI479" i="1"/>
  <c r="AJ479" i="1"/>
  <c r="AL479" i="1"/>
  <c r="AN479" i="1"/>
  <c r="AO479" i="1"/>
  <c r="AP479" i="1"/>
  <c r="AQ479" i="1"/>
  <c r="AS479" i="1"/>
  <c r="AT479" i="1"/>
  <c r="AU479" i="1"/>
  <c r="AV479" i="1"/>
  <c r="AW479" i="1"/>
  <c r="AX479" i="1"/>
  <c r="BB479" i="1"/>
  <c r="BD479" i="1"/>
  <c r="BG479" i="1"/>
  <c r="BH479" i="1"/>
  <c r="BI479" i="1"/>
  <c r="BJ479" i="1"/>
  <c r="BL479" i="1"/>
  <c r="BM479" i="1"/>
  <c r="BN479" i="1"/>
  <c r="BO479" i="1"/>
  <c r="D480" i="1"/>
  <c r="G480" i="1" s="1"/>
  <c r="O480" i="1"/>
  <c r="AI480" i="1"/>
  <c r="AJ480" i="1"/>
  <c r="AL480" i="1"/>
  <c r="AN480" i="1"/>
  <c r="AO480" i="1"/>
  <c r="AP480" i="1"/>
  <c r="AQ480" i="1"/>
  <c r="AS480" i="1"/>
  <c r="AT480" i="1"/>
  <c r="AU480" i="1"/>
  <c r="AV480" i="1"/>
  <c r="AW480" i="1"/>
  <c r="AX480" i="1"/>
  <c r="BB480" i="1"/>
  <c r="BD480" i="1"/>
  <c r="BG480" i="1"/>
  <c r="BH480" i="1"/>
  <c r="BI480" i="1"/>
  <c r="BJ480" i="1"/>
  <c r="BL480" i="1"/>
  <c r="BM480" i="1"/>
  <c r="BN480" i="1"/>
  <c r="BO480" i="1"/>
  <c r="D481" i="1"/>
  <c r="G481" i="1" s="1"/>
  <c r="O481" i="1"/>
  <c r="AI481" i="1"/>
  <c r="AJ481" i="1"/>
  <c r="AL481" i="1"/>
  <c r="AN481" i="1"/>
  <c r="AO481" i="1"/>
  <c r="AP481" i="1"/>
  <c r="AQ481" i="1"/>
  <c r="AS481" i="1"/>
  <c r="AT481" i="1"/>
  <c r="AU481" i="1"/>
  <c r="AV481" i="1"/>
  <c r="AW481" i="1"/>
  <c r="AX481" i="1"/>
  <c r="BB481" i="1"/>
  <c r="BD481" i="1"/>
  <c r="BG481" i="1"/>
  <c r="BH481" i="1"/>
  <c r="BI481" i="1"/>
  <c r="BJ481" i="1"/>
  <c r="BL481" i="1"/>
  <c r="BM481" i="1"/>
  <c r="BN481" i="1"/>
  <c r="BO481" i="1"/>
  <c r="D482" i="1"/>
  <c r="G482" i="1" s="1"/>
  <c r="O482" i="1"/>
  <c r="AZ482" i="1" s="1"/>
  <c r="AG482" i="1"/>
  <c r="AH482" i="1" s="1"/>
  <c r="AI482" i="1"/>
  <c r="AJ482" i="1"/>
  <c r="AK482" i="1"/>
  <c r="AL482" i="1"/>
  <c r="AN482" i="1"/>
  <c r="AP482" i="1"/>
  <c r="AQ482" i="1"/>
  <c r="AS482" i="1"/>
  <c r="AT482" i="1"/>
  <c r="AU482" i="1"/>
  <c r="AV482" i="1"/>
  <c r="AW482" i="1"/>
  <c r="AX482" i="1"/>
  <c r="BB482" i="1"/>
  <c r="BD482" i="1"/>
  <c r="BG482" i="1"/>
  <c r="BH482" i="1"/>
  <c r="BI482" i="1"/>
  <c r="BJ482" i="1"/>
  <c r="BL482" i="1"/>
  <c r="BM482" i="1"/>
  <c r="BN482" i="1"/>
  <c r="BO482" i="1"/>
  <c r="D483" i="1"/>
  <c r="G483" i="1" s="1"/>
  <c r="O483" i="1"/>
  <c r="AZ483" i="1" s="1"/>
  <c r="AI483" i="1"/>
  <c r="AJ483" i="1"/>
  <c r="AL483" i="1"/>
  <c r="AN483" i="1"/>
  <c r="AP483" i="1"/>
  <c r="AQ483" i="1"/>
  <c r="AS483" i="1"/>
  <c r="AT483" i="1"/>
  <c r="AU483" i="1"/>
  <c r="AV483" i="1"/>
  <c r="AW483" i="1"/>
  <c r="AX483" i="1"/>
  <c r="BB483" i="1"/>
  <c r="BD483" i="1"/>
  <c r="BG483" i="1"/>
  <c r="BH483" i="1"/>
  <c r="BI483" i="1"/>
  <c r="BJ483" i="1"/>
  <c r="BL483" i="1"/>
  <c r="BM483" i="1"/>
  <c r="BN483" i="1"/>
  <c r="BO483" i="1"/>
  <c r="D484" i="1"/>
  <c r="G484" i="1" s="1"/>
  <c r="O484" i="1"/>
  <c r="AZ484" i="1" s="1"/>
  <c r="AI484" i="1"/>
  <c r="AJ484" i="1"/>
  <c r="AL484" i="1"/>
  <c r="AN484" i="1"/>
  <c r="AO484" i="1"/>
  <c r="AP484" i="1"/>
  <c r="AQ484" i="1"/>
  <c r="AS484" i="1"/>
  <c r="AT484" i="1"/>
  <c r="AU484" i="1"/>
  <c r="AV484" i="1"/>
  <c r="AW484" i="1"/>
  <c r="AX484" i="1"/>
  <c r="BB484" i="1"/>
  <c r="BD484" i="1"/>
  <c r="BG484" i="1"/>
  <c r="BH484" i="1"/>
  <c r="BI484" i="1"/>
  <c r="BJ484" i="1"/>
  <c r="BL484" i="1"/>
  <c r="BM484" i="1"/>
  <c r="BN484" i="1"/>
  <c r="BO484" i="1"/>
  <c r="D485" i="1"/>
  <c r="G485" i="1" s="1"/>
  <c r="O485" i="1"/>
  <c r="AZ485" i="1" s="1"/>
  <c r="AI485" i="1"/>
  <c r="AJ485" i="1"/>
  <c r="AK485" i="1"/>
  <c r="AL485" i="1"/>
  <c r="AN485" i="1"/>
  <c r="AO485" i="1"/>
  <c r="AP485" i="1"/>
  <c r="AQ485" i="1"/>
  <c r="AS485" i="1"/>
  <c r="AT485" i="1"/>
  <c r="AU485" i="1"/>
  <c r="AV485" i="1"/>
  <c r="AW485" i="1"/>
  <c r="AX485" i="1"/>
  <c r="BB485" i="1"/>
  <c r="BD485" i="1"/>
  <c r="BG485" i="1"/>
  <c r="BH485" i="1"/>
  <c r="BI485" i="1"/>
  <c r="BJ485" i="1"/>
  <c r="BL485" i="1"/>
  <c r="BM485" i="1"/>
  <c r="BN485" i="1"/>
  <c r="BO485" i="1"/>
  <c r="D486" i="1"/>
  <c r="G486" i="1" s="1"/>
  <c r="O486" i="1"/>
  <c r="AZ486" i="1" s="1"/>
  <c r="AG486" i="1"/>
  <c r="AH486" i="1" s="1"/>
  <c r="AI486" i="1"/>
  <c r="AJ486" i="1"/>
  <c r="AK486" i="1"/>
  <c r="AL486" i="1"/>
  <c r="AN486" i="1"/>
  <c r="AP486" i="1"/>
  <c r="AQ486" i="1"/>
  <c r="AS486" i="1"/>
  <c r="AT486" i="1"/>
  <c r="AU486" i="1"/>
  <c r="AV486" i="1"/>
  <c r="AW486" i="1"/>
  <c r="AX486" i="1"/>
  <c r="BB486" i="1"/>
  <c r="BD486" i="1"/>
  <c r="BG486" i="1"/>
  <c r="BH486" i="1"/>
  <c r="BI486" i="1"/>
  <c r="BJ486" i="1"/>
  <c r="BL486" i="1"/>
  <c r="BM486" i="1"/>
  <c r="BN486" i="1"/>
  <c r="BO486" i="1"/>
  <c r="D487" i="1"/>
  <c r="G487" i="1" s="1"/>
  <c r="O487" i="1"/>
  <c r="AZ487" i="1" s="1"/>
  <c r="AI487" i="1"/>
  <c r="AJ487" i="1"/>
  <c r="AL487" i="1"/>
  <c r="AN487" i="1"/>
  <c r="AP487" i="1"/>
  <c r="AQ487" i="1"/>
  <c r="AS487" i="1"/>
  <c r="AT487" i="1"/>
  <c r="AU487" i="1"/>
  <c r="AV487" i="1"/>
  <c r="AW487" i="1"/>
  <c r="AX487" i="1"/>
  <c r="BB487" i="1"/>
  <c r="BD487" i="1"/>
  <c r="BG487" i="1"/>
  <c r="BH487" i="1"/>
  <c r="BI487" i="1"/>
  <c r="BJ487" i="1"/>
  <c r="BL487" i="1"/>
  <c r="BM487" i="1"/>
  <c r="BN487" i="1"/>
  <c r="BO487" i="1"/>
  <c r="D488" i="1"/>
  <c r="G488" i="1" s="1"/>
  <c r="O488" i="1"/>
  <c r="AZ488" i="1" s="1"/>
  <c r="AI488" i="1"/>
  <c r="AJ488" i="1"/>
  <c r="AL488" i="1"/>
  <c r="AN488" i="1"/>
  <c r="AO488" i="1"/>
  <c r="AP488" i="1"/>
  <c r="AQ488" i="1"/>
  <c r="AS488" i="1"/>
  <c r="AT488" i="1"/>
  <c r="AU488" i="1"/>
  <c r="AV488" i="1"/>
  <c r="AW488" i="1"/>
  <c r="AX488" i="1"/>
  <c r="BB488" i="1"/>
  <c r="BD488" i="1"/>
  <c r="BG488" i="1"/>
  <c r="BH488" i="1"/>
  <c r="BI488" i="1"/>
  <c r="BJ488" i="1"/>
  <c r="BL488" i="1"/>
  <c r="BM488" i="1"/>
  <c r="BN488" i="1"/>
  <c r="BO488" i="1"/>
  <c r="D489" i="1"/>
  <c r="G489" i="1" s="1"/>
  <c r="O489" i="1"/>
  <c r="AZ489" i="1" s="1"/>
  <c r="AI489" i="1"/>
  <c r="AJ489" i="1"/>
  <c r="AK489" i="1"/>
  <c r="AL489" i="1"/>
  <c r="AN489" i="1"/>
  <c r="AO489" i="1"/>
  <c r="AP489" i="1"/>
  <c r="AQ489" i="1"/>
  <c r="AS489" i="1"/>
  <c r="AT489" i="1"/>
  <c r="AU489" i="1"/>
  <c r="AV489" i="1"/>
  <c r="AW489" i="1"/>
  <c r="AX489" i="1"/>
  <c r="BB489" i="1"/>
  <c r="BD489" i="1"/>
  <c r="BG489" i="1"/>
  <c r="BH489" i="1"/>
  <c r="BI489" i="1"/>
  <c r="BJ489" i="1"/>
  <c r="BL489" i="1"/>
  <c r="BM489" i="1"/>
  <c r="BN489" i="1"/>
  <c r="BO489" i="1"/>
  <c r="D490" i="1"/>
  <c r="G490" i="1" s="1"/>
  <c r="O490" i="1"/>
  <c r="AZ490" i="1" s="1"/>
  <c r="AG490" i="1"/>
  <c r="AH490" i="1" s="1"/>
  <c r="AI490" i="1"/>
  <c r="AJ490" i="1"/>
  <c r="AK490" i="1"/>
  <c r="AL490" i="1"/>
  <c r="AN490" i="1"/>
  <c r="AP490" i="1"/>
  <c r="AQ490" i="1"/>
  <c r="AS490" i="1"/>
  <c r="AT490" i="1"/>
  <c r="AU490" i="1"/>
  <c r="AV490" i="1"/>
  <c r="AW490" i="1"/>
  <c r="AX490" i="1"/>
  <c r="BB490" i="1"/>
  <c r="BD490" i="1"/>
  <c r="BG490" i="1"/>
  <c r="BH490" i="1"/>
  <c r="BI490" i="1"/>
  <c r="BJ490" i="1"/>
  <c r="BL490" i="1"/>
  <c r="BM490" i="1"/>
  <c r="BN490" i="1"/>
  <c r="BO490" i="1"/>
  <c r="D491" i="1"/>
  <c r="G491" i="1" s="1"/>
  <c r="O491" i="1"/>
  <c r="AZ491" i="1" s="1"/>
  <c r="AI491" i="1"/>
  <c r="AJ491" i="1"/>
  <c r="AL491" i="1"/>
  <c r="AN491" i="1"/>
  <c r="AP491" i="1"/>
  <c r="AQ491" i="1"/>
  <c r="AS491" i="1"/>
  <c r="AT491" i="1"/>
  <c r="AU491" i="1"/>
  <c r="AV491" i="1"/>
  <c r="AW491" i="1"/>
  <c r="AX491" i="1"/>
  <c r="BB491" i="1"/>
  <c r="BD491" i="1"/>
  <c r="BG491" i="1"/>
  <c r="BH491" i="1"/>
  <c r="BI491" i="1"/>
  <c r="BJ491" i="1"/>
  <c r="BL491" i="1"/>
  <c r="BM491" i="1"/>
  <c r="BN491" i="1"/>
  <c r="BO491" i="1"/>
  <c r="D492" i="1"/>
  <c r="G492" i="1" s="1"/>
  <c r="O492" i="1"/>
  <c r="AZ492" i="1" s="1"/>
  <c r="AI492" i="1"/>
  <c r="AJ492" i="1"/>
  <c r="AL492" i="1"/>
  <c r="AN492" i="1"/>
  <c r="AO492" i="1"/>
  <c r="AP492" i="1"/>
  <c r="AQ492" i="1"/>
  <c r="AS492" i="1"/>
  <c r="AT492" i="1"/>
  <c r="AU492" i="1"/>
  <c r="AV492" i="1"/>
  <c r="AW492" i="1"/>
  <c r="AX492" i="1"/>
  <c r="BB492" i="1"/>
  <c r="BD492" i="1"/>
  <c r="BG492" i="1"/>
  <c r="BH492" i="1"/>
  <c r="BI492" i="1"/>
  <c r="BJ492" i="1"/>
  <c r="BL492" i="1"/>
  <c r="BM492" i="1"/>
  <c r="BN492" i="1"/>
  <c r="BO492" i="1"/>
  <c r="D493" i="1"/>
  <c r="G493" i="1" s="1"/>
  <c r="O493" i="1"/>
  <c r="AZ493" i="1" s="1"/>
  <c r="AI493" i="1"/>
  <c r="AJ493" i="1"/>
  <c r="AK493" i="1"/>
  <c r="AL493" i="1"/>
  <c r="AN493" i="1"/>
  <c r="AO493" i="1"/>
  <c r="AP493" i="1"/>
  <c r="AQ493" i="1"/>
  <c r="AS493" i="1"/>
  <c r="AT493" i="1"/>
  <c r="AU493" i="1"/>
  <c r="AV493" i="1"/>
  <c r="AW493" i="1"/>
  <c r="AX493" i="1"/>
  <c r="BB493" i="1"/>
  <c r="BD493" i="1"/>
  <c r="BG493" i="1"/>
  <c r="BH493" i="1"/>
  <c r="BI493" i="1"/>
  <c r="BJ493" i="1"/>
  <c r="BL493" i="1"/>
  <c r="BM493" i="1"/>
  <c r="BN493" i="1"/>
  <c r="BO493" i="1"/>
  <c r="D494" i="1"/>
  <c r="G494" i="1" s="1"/>
  <c r="O494" i="1"/>
  <c r="AZ494" i="1" s="1"/>
  <c r="AG494" i="1"/>
  <c r="AH494" i="1" s="1"/>
  <c r="AI494" i="1"/>
  <c r="AJ494" i="1"/>
  <c r="AK494" i="1"/>
  <c r="AL494" i="1"/>
  <c r="AN494" i="1"/>
  <c r="AP494" i="1"/>
  <c r="AQ494" i="1"/>
  <c r="AS494" i="1"/>
  <c r="AT494" i="1"/>
  <c r="AU494" i="1"/>
  <c r="AV494" i="1"/>
  <c r="AW494" i="1"/>
  <c r="AX494" i="1"/>
  <c r="BB494" i="1"/>
  <c r="BD494" i="1"/>
  <c r="BG494" i="1"/>
  <c r="BH494" i="1"/>
  <c r="BI494" i="1"/>
  <c r="BJ494" i="1"/>
  <c r="BL494" i="1"/>
  <c r="BM494" i="1"/>
  <c r="BN494" i="1"/>
  <c r="BO494" i="1"/>
  <c r="D495" i="1"/>
  <c r="G495" i="1" s="1"/>
  <c r="O495" i="1"/>
  <c r="AZ495" i="1" s="1"/>
  <c r="AI495" i="1"/>
  <c r="AJ495" i="1"/>
  <c r="AL495" i="1"/>
  <c r="AN495" i="1"/>
  <c r="AP495" i="1"/>
  <c r="AQ495" i="1"/>
  <c r="AS495" i="1"/>
  <c r="AT495" i="1"/>
  <c r="AU495" i="1"/>
  <c r="AV495" i="1"/>
  <c r="AW495" i="1"/>
  <c r="AX495" i="1"/>
  <c r="BB495" i="1"/>
  <c r="BD495" i="1"/>
  <c r="BG495" i="1"/>
  <c r="BH495" i="1"/>
  <c r="BI495" i="1"/>
  <c r="BJ495" i="1"/>
  <c r="BL495" i="1"/>
  <c r="BM495" i="1"/>
  <c r="BN495" i="1"/>
  <c r="BO495" i="1"/>
  <c r="D496" i="1"/>
  <c r="G496" i="1" s="1"/>
  <c r="O496" i="1"/>
  <c r="AZ496" i="1" s="1"/>
  <c r="AI496" i="1"/>
  <c r="AJ496" i="1"/>
  <c r="AL496" i="1"/>
  <c r="AN496" i="1"/>
  <c r="AO496" i="1"/>
  <c r="AP496" i="1"/>
  <c r="AQ496" i="1"/>
  <c r="AS496" i="1"/>
  <c r="AT496" i="1"/>
  <c r="AU496" i="1"/>
  <c r="AV496" i="1"/>
  <c r="AW496" i="1"/>
  <c r="AX496" i="1"/>
  <c r="BB496" i="1"/>
  <c r="BD496" i="1"/>
  <c r="BG496" i="1"/>
  <c r="BH496" i="1"/>
  <c r="BI496" i="1"/>
  <c r="BJ496" i="1"/>
  <c r="BL496" i="1"/>
  <c r="BM496" i="1"/>
  <c r="BN496" i="1"/>
  <c r="BO496" i="1"/>
  <c r="D497" i="1"/>
  <c r="G497" i="1" s="1"/>
  <c r="O497" i="1"/>
  <c r="AZ497" i="1" s="1"/>
  <c r="AI497" i="1"/>
  <c r="AJ497" i="1"/>
  <c r="AK497" i="1"/>
  <c r="AL497" i="1"/>
  <c r="AN497" i="1"/>
  <c r="AO497" i="1"/>
  <c r="AP497" i="1"/>
  <c r="AQ497" i="1"/>
  <c r="AS497" i="1"/>
  <c r="AT497" i="1"/>
  <c r="AU497" i="1"/>
  <c r="AV497" i="1"/>
  <c r="AW497" i="1"/>
  <c r="AX497" i="1"/>
  <c r="BB497" i="1"/>
  <c r="BD497" i="1"/>
  <c r="BG497" i="1"/>
  <c r="BH497" i="1"/>
  <c r="BI497" i="1"/>
  <c r="BJ497" i="1"/>
  <c r="BL497" i="1"/>
  <c r="BM497" i="1"/>
  <c r="BN497" i="1"/>
  <c r="BO497" i="1"/>
  <c r="D498" i="1"/>
  <c r="G498" i="1" s="1"/>
  <c r="O498" i="1"/>
  <c r="AZ498" i="1" s="1"/>
  <c r="AG498" i="1"/>
  <c r="AH498" i="1" s="1"/>
  <c r="AI498" i="1"/>
  <c r="AJ498" i="1"/>
  <c r="AK498" i="1"/>
  <c r="AL498" i="1"/>
  <c r="AN498" i="1"/>
  <c r="AP498" i="1"/>
  <c r="AQ498" i="1"/>
  <c r="AS498" i="1"/>
  <c r="AT498" i="1"/>
  <c r="AU498" i="1"/>
  <c r="AV498" i="1"/>
  <c r="AW498" i="1"/>
  <c r="AX498" i="1"/>
  <c r="BB498" i="1"/>
  <c r="BD498" i="1"/>
  <c r="BG498" i="1"/>
  <c r="BH498" i="1"/>
  <c r="BI498" i="1"/>
  <c r="BJ498" i="1"/>
  <c r="BL498" i="1"/>
  <c r="BM498" i="1"/>
  <c r="BN498" i="1"/>
  <c r="BO498" i="1"/>
  <c r="D499" i="1"/>
  <c r="G499" i="1" s="1"/>
  <c r="O499" i="1"/>
  <c r="AZ499" i="1" s="1"/>
  <c r="AI499" i="1"/>
  <c r="AJ499" i="1"/>
  <c r="AL499" i="1"/>
  <c r="AN499" i="1"/>
  <c r="AP499" i="1"/>
  <c r="AQ499" i="1"/>
  <c r="AS499" i="1"/>
  <c r="AT499" i="1"/>
  <c r="AU499" i="1"/>
  <c r="AV499" i="1"/>
  <c r="AW499" i="1"/>
  <c r="AX499" i="1"/>
  <c r="BB499" i="1"/>
  <c r="BD499" i="1"/>
  <c r="BG499" i="1"/>
  <c r="BH499" i="1"/>
  <c r="BI499" i="1"/>
  <c r="BJ499" i="1"/>
  <c r="BL499" i="1"/>
  <c r="BM499" i="1"/>
  <c r="BN499" i="1"/>
  <c r="BO499" i="1"/>
  <c r="D500" i="1"/>
  <c r="G500" i="1"/>
  <c r="O500" i="1"/>
  <c r="AZ500" i="1" s="1"/>
  <c r="AG500" i="1"/>
  <c r="AH500" i="1"/>
  <c r="AI500" i="1"/>
  <c r="AJ500" i="1"/>
  <c r="AK500" i="1"/>
  <c r="AL500" i="1"/>
  <c r="AN500" i="1"/>
  <c r="AO500" i="1"/>
  <c r="AP500" i="1"/>
  <c r="AQ500" i="1"/>
  <c r="AS500" i="1"/>
  <c r="AT500" i="1"/>
  <c r="AU500" i="1"/>
  <c r="AV500" i="1"/>
  <c r="AW500" i="1"/>
  <c r="AX500" i="1"/>
  <c r="BB500" i="1"/>
  <c r="BD500" i="1"/>
  <c r="BG500" i="1"/>
  <c r="BH500" i="1"/>
  <c r="BI500" i="1"/>
  <c r="BJ500" i="1"/>
  <c r="BL500" i="1"/>
  <c r="BM500" i="1"/>
  <c r="BN500" i="1"/>
  <c r="BO500" i="1"/>
  <c r="D501" i="1"/>
  <c r="G501" i="1"/>
  <c r="O501" i="1"/>
  <c r="AZ501" i="1" s="1"/>
  <c r="AG501" i="1"/>
  <c r="AH501" i="1"/>
  <c r="AI501" i="1"/>
  <c r="AJ501" i="1"/>
  <c r="AK501" i="1"/>
  <c r="AL501" i="1"/>
  <c r="AN501" i="1"/>
  <c r="AO501" i="1"/>
  <c r="AP501" i="1"/>
  <c r="AQ501" i="1"/>
  <c r="AS501" i="1"/>
  <c r="AT501" i="1"/>
  <c r="AU501" i="1"/>
  <c r="AV501" i="1"/>
  <c r="AW501" i="1"/>
  <c r="AX501" i="1"/>
  <c r="BB501" i="1"/>
  <c r="BD501" i="1"/>
  <c r="BG501" i="1"/>
  <c r="BH501" i="1"/>
  <c r="BI501" i="1"/>
  <c r="BJ501" i="1"/>
  <c r="BL501" i="1"/>
  <c r="BM501" i="1"/>
  <c r="BN501" i="1"/>
  <c r="BO501" i="1"/>
  <c r="D502" i="1"/>
  <c r="G502" i="1"/>
  <c r="O502" i="1"/>
  <c r="AZ502" i="1" s="1"/>
  <c r="AG502" i="1"/>
  <c r="AH502" i="1"/>
  <c r="AI502" i="1"/>
  <c r="AJ502" i="1"/>
  <c r="AK502" i="1"/>
  <c r="AL502" i="1"/>
  <c r="AN502" i="1"/>
  <c r="AO502" i="1"/>
  <c r="AP502" i="1"/>
  <c r="AQ502" i="1"/>
  <c r="AS502" i="1"/>
  <c r="AT502" i="1"/>
  <c r="AU502" i="1"/>
  <c r="AV502" i="1"/>
  <c r="AW502" i="1"/>
  <c r="AX502" i="1"/>
  <c r="BB502" i="1"/>
  <c r="BD502" i="1"/>
  <c r="BG502" i="1"/>
  <c r="BH502" i="1"/>
  <c r="BI502" i="1"/>
  <c r="BJ502" i="1"/>
  <c r="BL502" i="1"/>
  <c r="BM502" i="1"/>
  <c r="BN502" i="1"/>
  <c r="BO502" i="1"/>
  <c r="D503" i="1"/>
  <c r="G503" i="1"/>
  <c r="O503" i="1"/>
  <c r="AZ503" i="1" s="1"/>
  <c r="AG503" i="1"/>
  <c r="AH503" i="1"/>
  <c r="AI503" i="1"/>
  <c r="AJ503" i="1"/>
  <c r="AK503" i="1"/>
  <c r="AL503" i="1"/>
  <c r="AN503" i="1"/>
  <c r="AO503" i="1"/>
  <c r="AP503" i="1"/>
  <c r="AQ503" i="1"/>
  <c r="AS503" i="1"/>
  <c r="AT503" i="1"/>
  <c r="AU503" i="1"/>
  <c r="AV503" i="1"/>
  <c r="AW503" i="1"/>
  <c r="AX503" i="1"/>
  <c r="BB503" i="1"/>
  <c r="BD503" i="1"/>
  <c r="BG503" i="1"/>
  <c r="BH503" i="1"/>
  <c r="BI503" i="1"/>
  <c r="BJ503" i="1"/>
  <c r="BL503" i="1"/>
  <c r="BM503" i="1"/>
  <c r="BN503" i="1"/>
  <c r="BO503" i="1"/>
  <c r="D504" i="1"/>
  <c r="G504" i="1"/>
  <c r="AG504" i="1" s="1"/>
  <c r="AH504" i="1" s="1"/>
  <c r="N504" i="1"/>
  <c r="AY504" i="1" s="1"/>
  <c r="O504" i="1"/>
  <c r="P504" i="1" s="1"/>
  <c r="AI504" i="1"/>
  <c r="AJ504" i="1"/>
  <c r="AL504" i="1"/>
  <c r="AN504" i="1"/>
  <c r="AO504" i="1"/>
  <c r="AP504" i="1"/>
  <c r="AQ504" i="1"/>
  <c r="AR504" i="1"/>
  <c r="AS504" i="1"/>
  <c r="AT504" i="1"/>
  <c r="AU504" i="1"/>
  <c r="AV504" i="1"/>
  <c r="AW504" i="1"/>
  <c r="AX504" i="1"/>
  <c r="BB504" i="1"/>
  <c r="BD504" i="1"/>
  <c r="BG504" i="1"/>
  <c r="BH504" i="1"/>
  <c r="BI504" i="1"/>
  <c r="BJ504" i="1"/>
  <c r="BL504" i="1"/>
  <c r="BM504" i="1"/>
  <c r="BN504" i="1"/>
  <c r="BO504" i="1"/>
  <c r="D505" i="1"/>
  <c r="G505" i="1"/>
  <c r="AG505" i="1" s="1"/>
  <c r="AH505" i="1" s="1"/>
  <c r="N505" i="1"/>
  <c r="AY505" i="1" s="1"/>
  <c r="O505" i="1"/>
  <c r="P505" i="1" s="1"/>
  <c r="AI505" i="1"/>
  <c r="AJ505" i="1"/>
  <c r="AL505" i="1"/>
  <c r="AN505" i="1"/>
  <c r="AO505" i="1"/>
  <c r="AP505" i="1"/>
  <c r="AQ505" i="1"/>
  <c r="AR505" i="1"/>
  <c r="AS505" i="1"/>
  <c r="AT505" i="1"/>
  <c r="AU505" i="1"/>
  <c r="AV505" i="1"/>
  <c r="AW505" i="1"/>
  <c r="AX505" i="1"/>
  <c r="BB505" i="1"/>
  <c r="BD505" i="1"/>
  <c r="BG505" i="1"/>
  <c r="BH505" i="1"/>
  <c r="BI505" i="1"/>
  <c r="BJ505" i="1"/>
  <c r="BL505" i="1"/>
  <c r="BM505" i="1"/>
  <c r="BN505" i="1"/>
  <c r="BO505" i="1"/>
  <c r="D506" i="1"/>
  <c r="G506" i="1"/>
  <c r="AG506" i="1" s="1"/>
  <c r="AH506" i="1" s="1"/>
  <c r="N506" i="1"/>
  <c r="AY506" i="1" s="1"/>
  <c r="O506" i="1"/>
  <c r="P506" i="1" s="1"/>
  <c r="AI506" i="1"/>
  <c r="AJ506" i="1"/>
  <c r="AL506" i="1"/>
  <c r="AN506" i="1"/>
  <c r="AO506" i="1"/>
  <c r="AP506" i="1"/>
  <c r="AQ506" i="1"/>
  <c r="AR506" i="1"/>
  <c r="AS506" i="1"/>
  <c r="AT506" i="1"/>
  <c r="AU506" i="1"/>
  <c r="AV506" i="1"/>
  <c r="AW506" i="1"/>
  <c r="AX506" i="1"/>
  <c r="BB506" i="1"/>
  <c r="BD506" i="1"/>
  <c r="BG506" i="1"/>
  <c r="BH506" i="1"/>
  <c r="BI506" i="1"/>
  <c r="BJ506" i="1"/>
  <c r="BL506" i="1"/>
  <c r="BM506" i="1"/>
  <c r="BN506" i="1"/>
  <c r="BO506" i="1"/>
  <c r="D507" i="1"/>
  <c r="G507" i="1"/>
  <c r="AG507" i="1" s="1"/>
  <c r="AH507" i="1" s="1"/>
  <c r="N507" i="1"/>
  <c r="AY507" i="1" s="1"/>
  <c r="O507" i="1"/>
  <c r="P507" i="1" s="1"/>
  <c r="AI507" i="1"/>
  <c r="AJ507" i="1"/>
  <c r="AL507" i="1"/>
  <c r="AN507" i="1"/>
  <c r="AO507" i="1"/>
  <c r="AP507" i="1"/>
  <c r="AQ507" i="1"/>
  <c r="AR507" i="1"/>
  <c r="AS507" i="1"/>
  <c r="AT507" i="1"/>
  <c r="AU507" i="1"/>
  <c r="AV507" i="1"/>
  <c r="AW507" i="1"/>
  <c r="AX507" i="1"/>
  <c r="BB507" i="1"/>
  <c r="BD507" i="1"/>
  <c r="BG507" i="1"/>
  <c r="BH507" i="1"/>
  <c r="BI507" i="1"/>
  <c r="BJ507" i="1"/>
  <c r="BL507" i="1"/>
  <c r="BM507" i="1"/>
  <c r="BN507" i="1"/>
  <c r="BO507" i="1"/>
  <c r="D508" i="1"/>
  <c r="G508" i="1"/>
  <c r="AG508" i="1" s="1"/>
  <c r="AH508" i="1" s="1"/>
  <c r="N508" i="1"/>
  <c r="AY508" i="1" s="1"/>
  <c r="O508" i="1"/>
  <c r="P508" i="1" s="1"/>
  <c r="AI508" i="1"/>
  <c r="AJ508" i="1"/>
  <c r="AL508" i="1"/>
  <c r="AN508" i="1"/>
  <c r="AO508" i="1"/>
  <c r="AP508" i="1"/>
  <c r="AQ508" i="1"/>
  <c r="AR508" i="1"/>
  <c r="AS508" i="1"/>
  <c r="AT508" i="1"/>
  <c r="AU508" i="1"/>
  <c r="AV508" i="1"/>
  <c r="AW508" i="1"/>
  <c r="AX508" i="1"/>
  <c r="BB508" i="1"/>
  <c r="BD508" i="1"/>
  <c r="BG508" i="1"/>
  <c r="BH508" i="1"/>
  <c r="BI508" i="1"/>
  <c r="BJ508" i="1"/>
  <c r="BL508" i="1"/>
  <c r="BM508" i="1"/>
  <c r="BN508" i="1"/>
  <c r="BO508" i="1"/>
  <c r="D509" i="1"/>
  <c r="G509" i="1"/>
  <c r="AG509" i="1" s="1"/>
  <c r="AH509" i="1" s="1"/>
  <c r="N509" i="1"/>
  <c r="AY509" i="1" s="1"/>
  <c r="O509" i="1"/>
  <c r="P509" i="1" s="1"/>
  <c r="AI509" i="1"/>
  <c r="AJ509" i="1"/>
  <c r="AL509" i="1"/>
  <c r="AN509" i="1"/>
  <c r="AO509" i="1"/>
  <c r="AP509" i="1"/>
  <c r="AQ509" i="1"/>
  <c r="AR509" i="1"/>
  <c r="AS509" i="1"/>
  <c r="AT509" i="1"/>
  <c r="AU509" i="1"/>
  <c r="AV509" i="1"/>
  <c r="AW509" i="1"/>
  <c r="AX509" i="1"/>
  <c r="BB509" i="1"/>
  <c r="BD509" i="1"/>
  <c r="BG509" i="1"/>
  <c r="BH509" i="1"/>
  <c r="BI509" i="1"/>
  <c r="BJ509" i="1"/>
  <c r="BL509" i="1"/>
  <c r="BM509" i="1"/>
  <c r="BN509" i="1"/>
  <c r="BO509" i="1"/>
  <c r="D510" i="1"/>
  <c r="G510" i="1"/>
  <c r="AG510" i="1" s="1"/>
  <c r="AH510" i="1" s="1"/>
  <c r="N510" i="1"/>
  <c r="AY510" i="1" s="1"/>
  <c r="O510" i="1"/>
  <c r="P510" i="1" s="1"/>
  <c r="AI510" i="1"/>
  <c r="AJ510" i="1"/>
  <c r="AL510" i="1"/>
  <c r="AN510" i="1"/>
  <c r="AO510" i="1"/>
  <c r="AP510" i="1"/>
  <c r="AQ510" i="1"/>
  <c r="AR510" i="1"/>
  <c r="AS510" i="1"/>
  <c r="AT510" i="1"/>
  <c r="AU510" i="1"/>
  <c r="AV510" i="1"/>
  <c r="AW510" i="1"/>
  <c r="AX510" i="1"/>
  <c r="BB510" i="1"/>
  <c r="BD510" i="1"/>
  <c r="BG510" i="1"/>
  <c r="BH510" i="1"/>
  <c r="BI510" i="1"/>
  <c r="BJ510" i="1"/>
  <c r="BL510" i="1"/>
  <c r="BM510" i="1"/>
  <c r="BN510" i="1"/>
  <c r="BO510" i="1"/>
  <c r="D511" i="1"/>
  <c r="G511" i="1"/>
  <c r="AG511" i="1" s="1"/>
  <c r="AH511" i="1" s="1"/>
  <c r="N511" i="1"/>
  <c r="AY511" i="1" s="1"/>
  <c r="O511" i="1"/>
  <c r="P511" i="1" s="1"/>
  <c r="AI511" i="1"/>
  <c r="AJ511" i="1"/>
  <c r="AL511" i="1"/>
  <c r="AN511" i="1"/>
  <c r="AO511" i="1"/>
  <c r="AP511" i="1"/>
  <c r="AQ511" i="1"/>
  <c r="AR511" i="1"/>
  <c r="AS511" i="1"/>
  <c r="AT511" i="1"/>
  <c r="AU511" i="1"/>
  <c r="AV511" i="1"/>
  <c r="AW511" i="1"/>
  <c r="AX511" i="1"/>
  <c r="BB511" i="1"/>
  <c r="BD511" i="1"/>
  <c r="BG511" i="1"/>
  <c r="BH511" i="1"/>
  <c r="BI511" i="1"/>
  <c r="BJ511" i="1"/>
  <c r="BL511" i="1"/>
  <c r="BM511" i="1"/>
  <c r="BN511" i="1"/>
  <c r="BO511" i="1"/>
  <c r="D512" i="1"/>
  <c r="G512" i="1"/>
  <c r="AG512" i="1" s="1"/>
  <c r="AH512" i="1" s="1"/>
  <c r="N512" i="1"/>
  <c r="AY512" i="1" s="1"/>
  <c r="O512" i="1"/>
  <c r="P512" i="1" s="1"/>
  <c r="AI512" i="1"/>
  <c r="AJ512" i="1"/>
  <c r="AL512" i="1"/>
  <c r="AN512" i="1"/>
  <c r="AO512" i="1"/>
  <c r="AP512" i="1"/>
  <c r="AQ512" i="1"/>
  <c r="AR512" i="1"/>
  <c r="AS512" i="1"/>
  <c r="AT512" i="1"/>
  <c r="AU512" i="1"/>
  <c r="AV512" i="1"/>
  <c r="AW512" i="1"/>
  <c r="AX512" i="1"/>
  <c r="BB512" i="1"/>
  <c r="BD512" i="1"/>
  <c r="BG512" i="1"/>
  <c r="BH512" i="1"/>
  <c r="BI512" i="1"/>
  <c r="BJ512" i="1"/>
  <c r="BL512" i="1"/>
  <c r="BM512" i="1"/>
  <c r="BN512" i="1"/>
  <c r="BO512" i="1"/>
  <c r="D513" i="1"/>
  <c r="G513" i="1"/>
  <c r="AG513" i="1" s="1"/>
  <c r="AH513" i="1" s="1"/>
  <c r="N513" i="1"/>
  <c r="AY513" i="1" s="1"/>
  <c r="O513" i="1"/>
  <c r="P513" i="1" s="1"/>
  <c r="AI513" i="1"/>
  <c r="AJ513" i="1"/>
  <c r="AL513" i="1"/>
  <c r="AN513" i="1"/>
  <c r="AO513" i="1"/>
  <c r="AP513" i="1"/>
  <c r="AQ513" i="1"/>
  <c r="AR513" i="1"/>
  <c r="AS513" i="1"/>
  <c r="AT513" i="1"/>
  <c r="AU513" i="1"/>
  <c r="AV513" i="1"/>
  <c r="AW513" i="1"/>
  <c r="AX513" i="1"/>
  <c r="BB513" i="1"/>
  <c r="BD513" i="1"/>
  <c r="BG513" i="1"/>
  <c r="BH513" i="1"/>
  <c r="BI513" i="1"/>
  <c r="BJ513" i="1"/>
  <c r="BL513" i="1"/>
  <c r="BM513" i="1"/>
  <c r="BN513" i="1"/>
  <c r="BO513" i="1"/>
  <c r="D514" i="1"/>
  <c r="G514" i="1"/>
  <c r="AG514" i="1" s="1"/>
  <c r="AH514" i="1" s="1"/>
  <c r="N514" i="1"/>
  <c r="AY514" i="1" s="1"/>
  <c r="O514" i="1"/>
  <c r="P514" i="1" s="1"/>
  <c r="AI514" i="1"/>
  <c r="AJ514" i="1"/>
  <c r="AL514" i="1"/>
  <c r="AN514" i="1"/>
  <c r="AO514" i="1"/>
  <c r="AP514" i="1"/>
  <c r="AQ514" i="1"/>
  <c r="AR514" i="1"/>
  <c r="AS514" i="1"/>
  <c r="AT514" i="1"/>
  <c r="AU514" i="1"/>
  <c r="AV514" i="1"/>
  <c r="AW514" i="1"/>
  <c r="AX514" i="1"/>
  <c r="BB514" i="1"/>
  <c r="BD514" i="1"/>
  <c r="BG514" i="1"/>
  <c r="BH514" i="1"/>
  <c r="BI514" i="1"/>
  <c r="BJ514" i="1"/>
  <c r="BL514" i="1"/>
  <c r="BM514" i="1"/>
  <c r="BN514" i="1"/>
  <c r="BO514" i="1"/>
  <c r="D515" i="1"/>
  <c r="G515" i="1"/>
  <c r="AG515" i="1" s="1"/>
  <c r="AH515" i="1" s="1"/>
  <c r="N515" i="1"/>
  <c r="AY515" i="1" s="1"/>
  <c r="O515" i="1"/>
  <c r="P515" i="1" s="1"/>
  <c r="AI515" i="1"/>
  <c r="AJ515" i="1"/>
  <c r="AL515" i="1"/>
  <c r="AN515" i="1"/>
  <c r="AO515" i="1"/>
  <c r="AP515" i="1"/>
  <c r="AQ515" i="1"/>
  <c r="AR515" i="1"/>
  <c r="AS515" i="1"/>
  <c r="AT515" i="1"/>
  <c r="AU515" i="1"/>
  <c r="AV515" i="1"/>
  <c r="AW515" i="1"/>
  <c r="AX515" i="1"/>
  <c r="BB515" i="1"/>
  <c r="BD515" i="1"/>
  <c r="BG515" i="1"/>
  <c r="BH515" i="1"/>
  <c r="BI515" i="1"/>
  <c r="BJ515" i="1"/>
  <c r="BL515" i="1"/>
  <c r="BM515" i="1"/>
  <c r="BN515" i="1"/>
  <c r="BO515" i="1"/>
  <c r="D516" i="1"/>
  <c r="G516" i="1"/>
  <c r="AG516" i="1" s="1"/>
  <c r="AH516" i="1" s="1"/>
  <c r="N516" i="1"/>
  <c r="AY516" i="1" s="1"/>
  <c r="O516" i="1"/>
  <c r="P516" i="1" s="1"/>
  <c r="AI516" i="1"/>
  <c r="AJ516" i="1"/>
  <c r="AL516" i="1"/>
  <c r="AN516" i="1"/>
  <c r="AO516" i="1"/>
  <c r="AP516" i="1"/>
  <c r="AQ516" i="1"/>
  <c r="AR516" i="1"/>
  <c r="AS516" i="1"/>
  <c r="AT516" i="1"/>
  <c r="AU516" i="1"/>
  <c r="AV516" i="1"/>
  <c r="AW516" i="1"/>
  <c r="AX516" i="1"/>
  <c r="BB516" i="1"/>
  <c r="BD516" i="1"/>
  <c r="BG516" i="1"/>
  <c r="BH516" i="1"/>
  <c r="BI516" i="1"/>
  <c r="BJ516" i="1"/>
  <c r="BL516" i="1"/>
  <c r="BM516" i="1"/>
  <c r="BN516" i="1"/>
  <c r="BO516" i="1"/>
  <c r="D517" i="1"/>
  <c r="G517" i="1"/>
  <c r="AG517" i="1" s="1"/>
  <c r="AH517" i="1" s="1"/>
  <c r="N517" i="1"/>
  <c r="AY517" i="1" s="1"/>
  <c r="O517" i="1"/>
  <c r="P517" i="1" s="1"/>
  <c r="AI517" i="1"/>
  <c r="AJ517" i="1"/>
  <c r="AL517" i="1"/>
  <c r="AN517" i="1"/>
  <c r="AO517" i="1"/>
  <c r="AP517" i="1"/>
  <c r="AQ517" i="1"/>
  <c r="AR517" i="1"/>
  <c r="AS517" i="1"/>
  <c r="AT517" i="1"/>
  <c r="AU517" i="1"/>
  <c r="AV517" i="1"/>
  <c r="AW517" i="1"/>
  <c r="AX517" i="1"/>
  <c r="BB517" i="1"/>
  <c r="BD517" i="1"/>
  <c r="BG517" i="1"/>
  <c r="BH517" i="1"/>
  <c r="BI517" i="1"/>
  <c r="BJ517" i="1"/>
  <c r="BL517" i="1"/>
  <c r="BM517" i="1"/>
  <c r="BN517" i="1"/>
  <c r="BO517" i="1"/>
  <c r="D518" i="1"/>
  <c r="G518" i="1"/>
  <c r="AG518" i="1" s="1"/>
  <c r="AH518" i="1" s="1"/>
  <c r="N518" i="1"/>
  <c r="AY518" i="1" s="1"/>
  <c r="O518" i="1"/>
  <c r="P518" i="1" s="1"/>
  <c r="AI518" i="1"/>
  <c r="AJ518" i="1"/>
  <c r="AL518" i="1"/>
  <c r="AN518" i="1"/>
  <c r="AO518" i="1"/>
  <c r="AP518" i="1"/>
  <c r="AQ518" i="1"/>
  <c r="AR518" i="1"/>
  <c r="AS518" i="1"/>
  <c r="AT518" i="1"/>
  <c r="AU518" i="1"/>
  <c r="AV518" i="1"/>
  <c r="AW518" i="1"/>
  <c r="AX518" i="1"/>
  <c r="BB518" i="1"/>
  <c r="BD518" i="1"/>
  <c r="BG518" i="1"/>
  <c r="BH518" i="1"/>
  <c r="BI518" i="1"/>
  <c r="BJ518" i="1"/>
  <c r="BL518" i="1"/>
  <c r="BM518" i="1"/>
  <c r="BN518" i="1"/>
  <c r="BO518" i="1"/>
  <c r="D519" i="1"/>
  <c r="G519" i="1"/>
  <c r="AG519" i="1" s="1"/>
  <c r="AH519" i="1" s="1"/>
  <c r="N519" i="1"/>
  <c r="AY519" i="1" s="1"/>
  <c r="O519" i="1"/>
  <c r="P519" i="1" s="1"/>
  <c r="AI519" i="1"/>
  <c r="AJ519" i="1"/>
  <c r="AL519" i="1"/>
  <c r="AN519" i="1"/>
  <c r="AO519" i="1"/>
  <c r="AP519" i="1"/>
  <c r="AQ519" i="1"/>
  <c r="AR519" i="1"/>
  <c r="AS519" i="1"/>
  <c r="AT519" i="1"/>
  <c r="AU519" i="1"/>
  <c r="AV519" i="1"/>
  <c r="AW519" i="1"/>
  <c r="AX519" i="1"/>
  <c r="BB519" i="1"/>
  <c r="BD519" i="1"/>
  <c r="BG519" i="1"/>
  <c r="BH519" i="1"/>
  <c r="BI519" i="1"/>
  <c r="BJ519" i="1"/>
  <c r="BL519" i="1"/>
  <c r="BM519" i="1"/>
  <c r="BN519" i="1"/>
  <c r="BO519" i="1"/>
  <c r="D520" i="1"/>
  <c r="G520" i="1"/>
  <c r="AG520" i="1" s="1"/>
  <c r="AH520" i="1" s="1"/>
  <c r="N520" i="1"/>
  <c r="AY520" i="1" s="1"/>
  <c r="O520" i="1"/>
  <c r="P520" i="1" s="1"/>
  <c r="AI520" i="1"/>
  <c r="AJ520" i="1"/>
  <c r="AL520" i="1"/>
  <c r="AN520" i="1"/>
  <c r="AO520" i="1"/>
  <c r="AP520" i="1"/>
  <c r="AQ520" i="1"/>
  <c r="AR520" i="1"/>
  <c r="AS520" i="1"/>
  <c r="AT520" i="1"/>
  <c r="AU520" i="1"/>
  <c r="AV520" i="1"/>
  <c r="AW520" i="1"/>
  <c r="AX520" i="1"/>
  <c r="BB520" i="1"/>
  <c r="BD520" i="1"/>
  <c r="BG520" i="1"/>
  <c r="BH520" i="1"/>
  <c r="BI520" i="1"/>
  <c r="BJ520" i="1"/>
  <c r="BL520" i="1"/>
  <c r="BM520" i="1"/>
  <c r="BN520" i="1"/>
  <c r="BO520" i="1"/>
  <c r="D521" i="1"/>
  <c r="G521" i="1"/>
  <c r="AG521" i="1" s="1"/>
  <c r="AH521" i="1" s="1"/>
  <c r="N521" i="1"/>
  <c r="AY521" i="1" s="1"/>
  <c r="O521" i="1"/>
  <c r="P521" i="1" s="1"/>
  <c r="AI521" i="1"/>
  <c r="AJ521" i="1"/>
  <c r="AL521" i="1"/>
  <c r="AN521" i="1"/>
  <c r="AO521" i="1"/>
  <c r="AP521" i="1"/>
  <c r="AQ521" i="1"/>
  <c r="AR521" i="1"/>
  <c r="AS521" i="1"/>
  <c r="AT521" i="1"/>
  <c r="AU521" i="1"/>
  <c r="AV521" i="1"/>
  <c r="AW521" i="1"/>
  <c r="AX521" i="1"/>
  <c r="BB521" i="1"/>
  <c r="BD521" i="1"/>
  <c r="BG521" i="1"/>
  <c r="BH521" i="1"/>
  <c r="BI521" i="1"/>
  <c r="BJ521" i="1"/>
  <c r="BL521" i="1"/>
  <c r="BM521" i="1"/>
  <c r="BN521" i="1"/>
  <c r="BO521" i="1"/>
  <c r="D522" i="1"/>
  <c r="G522" i="1"/>
  <c r="AG522" i="1" s="1"/>
  <c r="AH522" i="1" s="1"/>
  <c r="N522" i="1"/>
  <c r="AY522" i="1" s="1"/>
  <c r="O522" i="1"/>
  <c r="P522" i="1" s="1"/>
  <c r="AI522" i="1"/>
  <c r="AJ522" i="1"/>
  <c r="AL522" i="1"/>
  <c r="AN522" i="1"/>
  <c r="AO522" i="1"/>
  <c r="AP522" i="1"/>
  <c r="AQ522" i="1"/>
  <c r="AR522" i="1"/>
  <c r="AS522" i="1"/>
  <c r="AT522" i="1"/>
  <c r="AU522" i="1"/>
  <c r="AV522" i="1"/>
  <c r="AW522" i="1"/>
  <c r="AX522" i="1"/>
  <c r="BB522" i="1"/>
  <c r="BD522" i="1"/>
  <c r="BG522" i="1"/>
  <c r="BH522" i="1"/>
  <c r="BI522" i="1"/>
  <c r="BJ522" i="1"/>
  <c r="BL522" i="1"/>
  <c r="BM522" i="1"/>
  <c r="BN522" i="1"/>
  <c r="BO522" i="1"/>
  <c r="D523" i="1"/>
  <c r="G523" i="1"/>
  <c r="AG523" i="1" s="1"/>
  <c r="AH523" i="1" s="1"/>
  <c r="N523" i="1"/>
  <c r="AY523" i="1" s="1"/>
  <c r="O523" i="1"/>
  <c r="P523" i="1" s="1"/>
  <c r="AI523" i="1"/>
  <c r="AJ523" i="1"/>
  <c r="AL523" i="1"/>
  <c r="AN523" i="1"/>
  <c r="AO523" i="1"/>
  <c r="AP523" i="1"/>
  <c r="AQ523" i="1"/>
  <c r="AR523" i="1"/>
  <c r="AS523" i="1"/>
  <c r="AT523" i="1"/>
  <c r="AU523" i="1"/>
  <c r="AV523" i="1"/>
  <c r="AW523" i="1"/>
  <c r="AX523" i="1"/>
  <c r="BB523" i="1"/>
  <c r="BD523" i="1"/>
  <c r="BG523" i="1"/>
  <c r="BH523" i="1"/>
  <c r="BI523" i="1"/>
  <c r="BJ523" i="1"/>
  <c r="BL523" i="1"/>
  <c r="BM523" i="1"/>
  <c r="BN523" i="1"/>
  <c r="BO523" i="1"/>
  <c r="D524" i="1"/>
  <c r="G524" i="1"/>
  <c r="AG524" i="1" s="1"/>
  <c r="AH524" i="1" s="1"/>
  <c r="N524" i="1"/>
  <c r="AY524" i="1" s="1"/>
  <c r="O524" i="1"/>
  <c r="P524" i="1" s="1"/>
  <c r="AI524" i="1"/>
  <c r="AJ524" i="1"/>
  <c r="AL524" i="1"/>
  <c r="AN524" i="1"/>
  <c r="AO524" i="1"/>
  <c r="AP524" i="1"/>
  <c r="AQ524" i="1"/>
  <c r="AR524" i="1"/>
  <c r="AS524" i="1"/>
  <c r="AT524" i="1"/>
  <c r="AU524" i="1"/>
  <c r="AV524" i="1"/>
  <c r="AW524" i="1"/>
  <c r="AX524" i="1"/>
  <c r="BB524" i="1"/>
  <c r="BD524" i="1"/>
  <c r="BG524" i="1"/>
  <c r="BH524" i="1"/>
  <c r="BI524" i="1"/>
  <c r="BJ524" i="1"/>
  <c r="BL524" i="1"/>
  <c r="BM524" i="1"/>
  <c r="BN524" i="1"/>
  <c r="BO524" i="1"/>
  <c r="D525" i="1"/>
  <c r="G525" i="1"/>
  <c r="AG525" i="1" s="1"/>
  <c r="AH525" i="1" s="1"/>
  <c r="N525" i="1"/>
  <c r="AY525" i="1" s="1"/>
  <c r="O525" i="1"/>
  <c r="P525" i="1" s="1"/>
  <c r="AI525" i="1"/>
  <c r="AJ525" i="1"/>
  <c r="AL525" i="1"/>
  <c r="AN525" i="1"/>
  <c r="AO525" i="1"/>
  <c r="AP525" i="1"/>
  <c r="AQ525" i="1"/>
  <c r="AR525" i="1"/>
  <c r="AS525" i="1"/>
  <c r="AT525" i="1"/>
  <c r="AU525" i="1"/>
  <c r="AV525" i="1"/>
  <c r="AW525" i="1"/>
  <c r="AX525" i="1"/>
  <c r="BB525" i="1"/>
  <c r="BD525" i="1"/>
  <c r="BG525" i="1"/>
  <c r="BH525" i="1"/>
  <c r="BI525" i="1"/>
  <c r="BJ525" i="1"/>
  <c r="BL525" i="1"/>
  <c r="BM525" i="1"/>
  <c r="BN525" i="1"/>
  <c r="BO525" i="1"/>
  <c r="D526" i="1"/>
  <c r="G526" i="1"/>
  <c r="AG526" i="1" s="1"/>
  <c r="AH526" i="1" s="1"/>
  <c r="N526" i="1"/>
  <c r="AY526" i="1" s="1"/>
  <c r="O526" i="1"/>
  <c r="P526" i="1" s="1"/>
  <c r="AI526" i="1"/>
  <c r="AJ526" i="1"/>
  <c r="AL526" i="1"/>
  <c r="AN526" i="1"/>
  <c r="AO526" i="1"/>
  <c r="AP526" i="1"/>
  <c r="AQ526" i="1"/>
  <c r="AR526" i="1"/>
  <c r="AS526" i="1"/>
  <c r="AT526" i="1"/>
  <c r="AU526" i="1"/>
  <c r="AV526" i="1"/>
  <c r="AW526" i="1"/>
  <c r="AX526" i="1"/>
  <c r="BB526" i="1"/>
  <c r="BD526" i="1"/>
  <c r="BG526" i="1"/>
  <c r="BH526" i="1"/>
  <c r="BI526" i="1"/>
  <c r="BJ526" i="1"/>
  <c r="BL526" i="1"/>
  <c r="BM526" i="1"/>
  <c r="BN526" i="1"/>
  <c r="BO526" i="1"/>
  <c r="D527" i="1"/>
  <c r="G527" i="1"/>
  <c r="AG527" i="1" s="1"/>
  <c r="AH527" i="1" s="1"/>
  <c r="N527" i="1"/>
  <c r="AY527" i="1" s="1"/>
  <c r="O527" i="1"/>
  <c r="P527" i="1" s="1"/>
  <c r="AI527" i="1"/>
  <c r="AJ527" i="1"/>
  <c r="AL527" i="1"/>
  <c r="AN527" i="1"/>
  <c r="AO527" i="1"/>
  <c r="AP527" i="1"/>
  <c r="AQ527" i="1"/>
  <c r="AR527" i="1"/>
  <c r="AS527" i="1"/>
  <c r="AT527" i="1"/>
  <c r="AU527" i="1"/>
  <c r="AV527" i="1"/>
  <c r="AW527" i="1"/>
  <c r="AX527" i="1"/>
  <c r="BB527" i="1"/>
  <c r="BD527" i="1"/>
  <c r="BG527" i="1"/>
  <c r="BH527" i="1"/>
  <c r="BI527" i="1"/>
  <c r="BJ527" i="1"/>
  <c r="BL527" i="1"/>
  <c r="BM527" i="1"/>
  <c r="BN527" i="1"/>
  <c r="BO527" i="1"/>
  <c r="D528" i="1"/>
  <c r="G528" i="1"/>
  <c r="AG528" i="1" s="1"/>
  <c r="AH528" i="1" s="1"/>
  <c r="N528" i="1"/>
  <c r="AY528" i="1" s="1"/>
  <c r="O528" i="1"/>
  <c r="P528" i="1" s="1"/>
  <c r="AI528" i="1"/>
  <c r="AJ528" i="1"/>
  <c r="AL528" i="1"/>
  <c r="AN528" i="1"/>
  <c r="AO528" i="1"/>
  <c r="AP528" i="1"/>
  <c r="AQ528" i="1"/>
  <c r="AR528" i="1"/>
  <c r="AS528" i="1"/>
  <c r="AT528" i="1"/>
  <c r="AU528" i="1"/>
  <c r="AV528" i="1"/>
  <c r="AW528" i="1"/>
  <c r="AX528" i="1"/>
  <c r="BB528" i="1"/>
  <c r="BD528" i="1"/>
  <c r="BG528" i="1"/>
  <c r="BH528" i="1"/>
  <c r="BI528" i="1"/>
  <c r="BJ528" i="1"/>
  <c r="BL528" i="1"/>
  <c r="BM528" i="1"/>
  <c r="BN528" i="1"/>
  <c r="BO528" i="1"/>
  <c r="D529" i="1"/>
  <c r="G529" i="1"/>
  <c r="AG529" i="1" s="1"/>
  <c r="AH529" i="1" s="1"/>
  <c r="N529" i="1"/>
  <c r="AY529" i="1" s="1"/>
  <c r="O529" i="1"/>
  <c r="P529" i="1" s="1"/>
  <c r="AI529" i="1"/>
  <c r="AJ529" i="1"/>
  <c r="AL529" i="1"/>
  <c r="AN529" i="1"/>
  <c r="AO529" i="1"/>
  <c r="AP529" i="1"/>
  <c r="AQ529" i="1"/>
  <c r="AR529" i="1"/>
  <c r="AS529" i="1"/>
  <c r="AT529" i="1"/>
  <c r="AU529" i="1"/>
  <c r="AV529" i="1"/>
  <c r="AW529" i="1"/>
  <c r="AX529" i="1"/>
  <c r="BB529" i="1"/>
  <c r="BD529" i="1"/>
  <c r="BG529" i="1"/>
  <c r="BH529" i="1"/>
  <c r="BI529" i="1"/>
  <c r="BJ529" i="1"/>
  <c r="BL529" i="1"/>
  <c r="BM529" i="1"/>
  <c r="BN529" i="1"/>
  <c r="BO529" i="1"/>
  <c r="D530" i="1"/>
  <c r="G530" i="1"/>
  <c r="AG530" i="1" s="1"/>
  <c r="AH530" i="1" s="1"/>
  <c r="N530" i="1"/>
  <c r="AY530" i="1" s="1"/>
  <c r="O530" i="1"/>
  <c r="P530" i="1" s="1"/>
  <c r="AI530" i="1"/>
  <c r="AJ530" i="1"/>
  <c r="AL530" i="1"/>
  <c r="AN530" i="1"/>
  <c r="AO530" i="1"/>
  <c r="AP530" i="1"/>
  <c r="AQ530" i="1"/>
  <c r="AR530" i="1"/>
  <c r="AS530" i="1"/>
  <c r="AT530" i="1"/>
  <c r="AU530" i="1"/>
  <c r="AV530" i="1"/>
  <c r="AW530" i="1"/>
  <c r="AX530" i="1"/>
  <c r="BB530" i="1"/>
  <c r="BD530" i="1"/>
  <c r="BG530" i="1"/>
  <c r="BH530" i="1"/>
  <c r="BI530" i="1"/>
  <c r="BJ530" i="1"/>
  <c r="BL530" i="1"/>
  <c r="BM530" i="1"/>
  <c r="BN530" i="1"/>
  <c r="BO530" i="1"/>
  <c r="D531" i="1"/>
  <c r="G531" i="1"/>
  <c r="AG531" i="1" s="1"/>
  <c r="AH531" i="1" s="1"/>
  <c r="N531" i="1"/>
  <c r="AY531" i="1" s="1"/>
  <c r="O531" i="1"/>
  <c r="P531" i="1" s="1"/>
  <c r="AI531" i="1"/>
  <c r="AJ531" i="1"/>
  <c r="AL531" i="1"/>
  <c r="AN531" i="1"/>
  <c r="AO531" i="1"/>
  <c r="AP531" i="1"/>
  <c r="AQ531" i="1"/>
  <c r="AR531" i="1"/>
  <c r="AS531" i="1"/>
  <c r="AT531" i="1"/>
  <c r="AU531" i="1"/>
  <c r="AV531" i="1"/>
  <c r="AW531" i="1"/>
  <c r="AX531" i="1"/>
  <c r="BB531" i="1"/>
  <c r="BD531" i="1"/>
  <c r="BG531" i="1"/>
  <c r="BH531" i="1"/>
  <c r="BI531" i="1"/>
  <c r="BJ531" i="1"/>
  <c r="BL531" i="1"/>
  <c r="BM531" i="1"/>
  <c r="BN531" i="1"/>
  <c r="BO531" i="1"/>
  <c r="D532" i="1"/>
  <c r="G532" i="1"/>
  <c r="AG532" i="1" s="1"/>
  <c r="AH532" i="1" s="1"/>
  <c r="N532" i="1"/>
  <c r="AY532" i="1" s="1"/>
  <c r="O532" i="1"/>
  <c r="P532" i="1" s="1"/>
  <c r="AI532" i="1"/>
  <c r="AJ532" i="1"/>
  <c r="AL532" i="1"/>
  <c r="AN532" i="1"/>
  <c r="AO532" i="1"/>
  <c r="AP532" i="1"/>
  <c r="AQ532" i="1"/>
  <c r="AR532" i="1"/>
  <c r="AS532" i="1"/>
  <c r="AT532" i="1"/>
  <c r="AU532" i="1"/>
  <c r="AV532" i="1"/>
  <c r="AW532" i="1"/>
  <c r="AX532" i="1"/>
  <c r="BB532" i="1"/>
  <c r="BD532" i="1"/>
  <c r="BG532" i="1"/>
  <c r="BH532" i="1"/>
  <c r="BI532" i="1"/>
  <c r="BJ532" i="1"/>
  <c r="BL532" i="1"/>
  <c r="BM532" i="1"/>
  <c r="BN532" i="1"/>
  <c r="BO532" i="1"/>
  <c r="D533" i="1"/>
  <c r="G533" i="1"/>
  <c r="AG533" i="1" s="1"/>
  <c r="AH533" i="1" s="1"/>
  <c r="N533" i="1"/>
  <c r="AY533" i="1" s="1"/>
  <c r="O533" i="1"/>
  <c r="P533" i="1" s="1"/>
  <c r="AI533" i="1"/>
  <c r="AJ533" i="1"/>
  <c r="AL533" i="1"/>
  <c r="AN533" i="1"/>
  <c r="AO533" i="1"/>
  <c r="AP533" i="1"/>
  <c r="AQ533" i="1"/>
  <c r="AR533" i="1"/>
  <c r="AS533" i="1"/>
  <c r="AT533" i="1"/>
  <c r="AU533" i="1"/>
  <c r="AV533" i="1"/>
  <c r="AW533" i="1"/>
  <c r="AX533" i="1"/>
  <c r="BB533" i="1"/>
  <c r="BD533" i="1"/>
  <c r="BG533" i="1"/>
  <c r="BH533" i="1"/>
  <c r="BI533" i="1"/>
  <c r="BJ533" i="1"/>
  <c r="BL533" i="1"/>
  <c r="BM533" i="1"/>
  <c r="BN533" i="1"/>
  <c r="BO533" i="1"/>
  <c r="D534" i="1"/>
  <c r="G534" i="1"/>
  <c r="AG534" i="1" s="1"/>
  <c r="AH534" i="1" s="1"/>
  <c r="N534" i="1"/>
  <c r="AY534" i="1" s="1"/>
  <c r="O534" i="1"/>
  <c r="P534" i="1" s="1"/>
  <c r="AI534" i="1"/>
  <c r="AJ534" i="1"/>
  <c r="AL534" i="1"/>
  <c r="AN534" i="1"/>
  <c r="AO534" i="1"/>
  <c r="AP534" i="1"/>
  <c r="AQ534" i="1"/>
  <c r="AR534" i="1"/>
  <c r="AS534" i="1"/>
  <c r="AT534" i="1"/>
  <c r="AU534" i="1"/>
  <c r="AV534" i="1"/>
  <c r="AW534" i="1"/>
  <c r="AX534" i="1"/>
  <c r="BB534" i="1"/>
  <c r="BD534" i="1"/>
  <c r="BG534" i="1"/>
  <c r="BH534" i="1"/>
  <c r="BI534" i="1"/>
  <c r="BJ534" i="1"/>
  <c r="BL534" i="1"/>
  <c r="BM534" i="1"/>
  <c r="BN534" i="1"/>
  <c r="BO534" i="1"/>
  <c r="D535" i="1"/>
  <c r="G535" i="1"/>
  <c r="AG535" i="1" s="1"/>
  <c r="AH535" i="1" s="1"/>
  <c r="N535" i="1"/>
  <c r="AY535" i="1" s="1"/>
  <c r="O535" i="1"/>
  <c r="P535" i="1" s="1"/>
  <c r="AI535" i="1"/>
  <c r="AJ535" i="1"/>
  <c r="AL535" i="1"/>
  <c r="AN535" i="1"/>
  <c r="AO535" i="1"/>
  <c r="AP535" i="1"/>
  <c r="AQ535" i="1"/>
  <c r="AR535" i="1"/>
  <c r="AS535" i="1"/>
  <c r="AT535" i="1"/>
  <c r="AU535" i="1"/>
  <c r="AV535" i="1"/>
  <c r="AW535" i="1"/>
  <c r="AX535" i="1"/>
  <c r="BB535" i="1"/>
  <c r="BD535" i="1"/>
  <c r="BG535" i="1"/>
  <c r="BH535" i="1"/>
  <c r="BI535" i="1"/>
  <c r="BJ535" i="1"/>
  <c r="BL535" i="1"/>
  <c r="BM535" i="1"/>
  <c r="BN535" i="1"/>
  <c r="BO535" i="1"/>
  <c r="D536" i="1"/>
  <c r="G536" i="1"/>
  <c r="AG536" i="1" s="1"/>
  <c r="AH536" i="1" s="1"/>
  <c r="N536" i="1"/>
  <c r="AY536" i="1" s="1"/>
  <c r="O536" i="1"/>
  <c r="P536" i="1" s="1"/>
  <c r="AI536" i="1"/>
  <c r="AJ536" i="1"/>
  <c r="AL536" i="1"/>
  <c r="AN536" i="1"/>
  <c r="AO536" i="1"/>
  <c r="AP536" i="1"/>
  <c r="AQ536" i="1"/>
  <c r="AR536" i="1"/>
  <c r="AS536" i="1"/>
  <c r="AT536" i="1"/>
  <c r="AU536" i="1"/>
  <c r="AV536" i="1"/>
  <c r="AW536" i="1"/>
  <c r="AX536" i="1"/>
  <c r="BB536" i="1"/>
  <c r="BD536" i="1"/>
  <c r="BG536" i="1"/>
  <c r="BH536" i="1"/>
  <c r="BI536" i="1"/>
  <c r="BJ536" i="1"/>
  <c r="BL536" i="1"/>
  <c r="BM536" i="1"/>
  <c r="BN536" i="1"/>
  <c r="BO536" i="1"/>
  <c r="D537" i="1"/>
  <c r="G537" i="1"/>
  <c r="AG537" i="1" s="1"/>
  <c r="AH537" i="1" s="1"/>
  <c r="N537" i="1"/>
  <c r="AY537" i="1" s="1"/>
  <c r="O537" i="1"/>
  <c r="P537" i="1" s="1"/>
  <c r="AI537" i="1"/>
  <c r="AJ537" i="1"/>
  <c r="AL537" i="1"/>
  <c r="AN537" i="1"/>
  <c r="AO537" i="1"/>
  <c r="AP537" i="1"/>
  <c r="AQ537" i="1"/>
  <c r="AR537" i="1"/>
  <c r="AS537" i="1"/>
  <c r="AT537" i="1"/>
  <c r="AU537" i="1"/>
  <c r="AV537" i="1"/>
  <c r="AW537" i="1"/>
  <c r="AX537" i="1"/>
  <c r="BB537" i="1"/>
  <c r="BD537" i="1"/>
  <c r="BG537" i="1"/>
  <c r="BH537" i="1"/>
  <c r="BI537" i="1"/>
  <c r="BJ537" i="1"/>
  <c r="BL537" i="1"/>
  <c r="BM537" i="1"/>
  <c r="BN537" i="1"/>
  <c r="BO537" i="1"/>
  <c r="D538" i="1"/>
  <c r="G538" i="1"/>
  <c r="AG538" i="1" s="1"/>
  <c r="AH538" i="1" s="1"/>
  <c r="N538" i="1"/>
  <c r="AY538" i="1" s="1"/>
  <c r="O538" i="1"/>
  <c r="P538" i="1" s="1"/>
  <c r="AI538" i="1"/>
  <c r="AJ538" i="1"/>
  <c r="AL538" i="1"/>
  <c r="AN538" i="1"/>
  <c r="AO538" i="1"/>
  <c r="AP538" i="1"/>
  <c r="AQ538" i="1"/>
  <c r="AR538" i="1"/>
  <c r="AS538" i="1"/>
  <c r="AT538" i="1"/>
  <c r="AU538" i="1"/>
  <c r="AV538" i="1"/>
  <c r="AW538" i="1"/>
  <c r="AX538" i="1"/>
  <c r="BB538" i="1"/>
  <c r="BD538" i="1"/>
  <c r="BG538" i="1"/>
  <c r="BH538" i="1"/>
  <c r="BI538" i="1"/>
  <c r="BJ538" i="1"/>
  <c r="BL538" i="1"/>
  <c r="BM538" i="1"/>
  <c r="BN538" i="1"/>
  <c r="BO538" i="1"/>
  <c r="D539" i="1"/>
  <c r="G539" i="1"/>
  <c r="AG539" i="1" s="1"/>
  <c r="AH539" i="1" s="1"/>
  <c r="N539" i="1"/>
  <c r="AY539" i="1" s="1"/>
  <c r="O539" i="1"/>
  <c r="P539" i="1" s="1"/>
  <c r="AI539" i="1"/>
  <c r="AJ539" i="1"/>
  <c r="AL539" i="1"/>
  <c r="AN539" i="1"/>
  <c r="AO539" i="1"/>
  <c r="AP539" i="1"/>
  <c r="AQ539" i="1"/>
  <c r="AR539" i="1"/>
  <c r="AS539" i="1"/>
  <c r="AT539" i="1"/>
  <c r="AU539" i="1"/>
  <c r="AV539" i="1"/>
  <c r="AW539" i="1"/>
  <c r="AX539" i="1"/>
  <c r="BB539" i="1"/>
  <c r="BD539" i="1"/>
  <c r="BG539" i="1"/>
  <c r="BH539" i="1"/>
  <c r="BI539" i="1"/>
  <c r="BJ539" i="1"/>
  <c r="BL539" i="1"/>
  <c r="BM539" i="1"/>
  <c r="BN539" i="1"/>
  <c r="BO539" i="1"/>
  <c r="D540" i="1"/>
  <c r="G540" i="1"/>
  <c r="AG540" i="1" s="1"/>
  <c r="AH540" i="1" s="1"/>
  <c r="N540" i="1"/>
  <c r="AY540" i="1" s="1"/>
  <c r="O540" i="1"/>
  <c r="P540" i="1" s="1"/>
  <c r="AI540" i="1"/>
  <c r="AJ540" i="1"/>
  <c r="AL540" i="1"/>
  <c r="AN540" i="1"/>
  <c r="AO540" i="1"/>
  <c r="AP540" i="1"/>
  <c r="AQ540" i="1"/>
  <c r="AR540" i="1"/>
  <c r="AS540" i="1"/>
  <c r="AT540" i="1"/>
  <c r="AU540" i="1"/>
  <c r="AV540" i="1"/>
  <c r="AW540" i="1"/>
  <c r="AX540" i="1"/>
  <c r="BB540" i="1"/>
  <c r="BD540" i="1"/>
  <c r="BG540" i="1"/>
  <c r="BH540" i="1"/>
  <c r="BI540" i="1"/>
  <c r="BJ540" i="1"/>
  <c r="BL540" i="1"/>
  <c r="BM540" i="1"/>
  <c r="BN540" i="1"/>
  <c r="BO540" i="1"/>
  <c r="D541" i="1"/>
  <c r="G541" i="1"/>
  <c r="AG541" i="1" s="1"/>
  <c r="AH541" i="1" s="1"/>
  <c r="N541" i="1"/>
  <c r="AY541" i="1" s="1"/>
  <c r="O541" i="1"/>
  <c r="P541" i="1" s="1"/>
  <c r="AI541" i="1"/>
  <c r="AJ541" i="1"/>
  <c r="AL541" i="1"/>
  <c r="AN541" i="1"/>
  <c r="AO541" i="1"/>
  <c r="AP541" i="1"/>
  <c r="AQ541" i="1"/>
  <c r="AR541" i="1"/>
  <c r="AS541" i="1"/>
  <c r="AT541" i="1"/>
  <c r="AU541" i="1"/>
  <c r="AV541" i="1"/>
  <c r="AW541" i="1"/>
  <c r="AX541" i="1"/>
  <c r="BB541" i="1"/>
  <c r="BD541" i="1"/>
  <c r="BG541" i="1"/>
  <c r="BH541" i="1"/>
  <c r="BI541" i="1"/>
  <c r="BJ541" i="1"/>
  <c r="BL541" i="1"/>
  <c r="BM541" i="1"/>
  <c r="BN541" i="1"/>
  <c r="BO541" i="1"/>
  <c r="D542" i="1"/>
  <c r="G542" i="1"/>
  <c r="AG542" i="1" s="1"/>
  <c r="AH542" i="1" s="1"/>
  <c r="N542" i="1"/>
  <c r="AY542" i="1" s="1"/>
  <c r="O542" i="1"/>
  <c r="P542" i="1" s="1"/>
  <c r="AI542" i="1"/>
  <c r="AJ542" i="1"/>
  <c r="AL542" i="1"/>
  <c r="AN542" i="1"/>
  <c r="AO542" i="1"/>
  <c r="AP542" i="1"/>
  <c r="AQ542" i="1"/>
  <c r="AR542" i="1"/>
  <c r="AS542" i="1"/>
  <c r="AT542" i="1"/>
  <c r="AU542" i="1"/>
  <c r="AV542" i="1"/>
  <c r="AW542" i="1"/>
  <c r="AX542" i="1"/>
  <c r="BB542" i="1"/>
  <c r="BD542" i="1"/>
  <c r="BG542" i="1"/>
  <c r="BH542" i="1"/>
  <c r="BI542" i="1"/>
  <c r="BJ542" i="1"/>
  <c r="BL542" i="1"/>
  <c r="BM542" i="1"/>
  <c r="BN542" i="1"/>
  <c r="BO542" i="1"/>
  <c r="D543" i="1"/>
  <c r="G543" i="1"/>
  <c r="AG543" i="1" s="1"/>
  <c r="AH543" i="1" s="1"/>
  <c r="N543" i="1"/>
  <c r="AY543" i="1" s="1"/>
  <c r="O543" i="1"/>
  <c r="P543" i="1" s="1"/>
  <c r="AI543" i="1"/>
  <c r="AJ543" i="1"/>
  <c r="AL543" i="1"/>
  <c r="AN543" i="1"/>
  <c r="AO543" i="1"/>
  <c r="AP543" i="1"/>
  <c r="AQ543" i="1"/>
  <c r="AR543" i="1"/>
  <c r="AS543" i="1"/>
  <c r="AT543" i="1"/>
  <c r="AU543" i="1"/>
  <c r="AV543" i="1"/>
  <c r="AW543" i="1"/>
  <c r="AX543" i="1"/>
  <c r="BB543" i="1"/>
  <c r="BD543" i="1"/>
  <c r="BG543" i="1"/>
  <c r="BH543" i="1"/>
  <c r="BI543" i="1"/>
  <c r="BJ543" i="1"/>
  <c r="BL543" i="1"/>
  <c r="BM543" i="1"/>
  <c r="BN543" i="1"/>
  <c r="BO543" i="1"/>
  <c r="D544" i="1"/>
  <c r="G544" i="1"/>
  <c r="AG544" i="1" s="1"/>
  <c r="AH544" i="1" s="1"/>
  <c r="N544" i="1"/>
  <c r="AY544" i="1" s="1"/>
  <c r="O544" i="1"/>
  <c r="P544" i="1" s="1"/>
  <c r="AI544" i="1"/>
  <c r="AJ544" i="1"/>
  <c r="AL544" i="1"/>
  <c r="AN544" i="1"/>
  <c r="AO544" i="1"/>
  <c r="AP544" i="1"/>
  <c r="AQ544" i="1"/>
  <c r="AR544" i="1"/>
  <c r="AS544" i="1"/>
  <c r="AT544" i="1"/>
  <c r="AU544" i="1"/>
  <c r="AV544" i="1"/>
  <c r="AW544" i="1"/>
  <c r="AX544" i="1"/>
  <c r="BB544" i="1"/>
  <c r="BD544" i="1"/>
  <c r="BG544" i="1"/>
  <c r="BH544" i="1"/>
  <c r="BI544" i="1"/>
  <c r="BJ544" i="1"/>
  <c r="BL544" i="1"/>
  <c r="BM544" i="1"/>
  <c r="BN544" i="1"/>
  <c r="BO544" i="1"/>
  <c r="D545" i="1"/>
  <c r="G545" i="1"/>
  <c r="AG545" i="1" s="1"/>
  <c r="AH545" i="1" s="1"/>
  <c r="N545" i="1"/>
  <c r="AY545" i="1" s="1"/>
  <c r="O545" i="1"/>
  <c r="P545" i="1" s="1"/>
  <c r="AI545" i="1"/>
  <c r="AJ545" i="1"/>
  <c r="AL545" i="1"/>
  <c r="AN545" i="1"/>
  <c r="AO545" i="1"/>
  <c r="AP545" i="1"/>
  <c r="AQ545" i="1"/>
  <c r="AR545" i="1"/>
  <c r="AS545" i="1"/>
  <c r="AT545" i="1"/>
  <c r="AU545" i="1"/>
  <c r="AV545" i="1"/>
  <c r="AW545" i="1"/>
  <c r="AX545" i="1"/>
  <c r="BB545" i="1"/>
  <c r="BD545" i="1"/>
  <c r="BG545" i="1"/>
  <c r="BH545" i="1"/>
  <c r="BI545" i="1"/>
  <c r="BJ545" i="1"/>
  <c r="BL545" i="1"/>
  <c r="BM545" i="1"/>
  <c r="BN545" i="1"/>
  <c r="BO545" i="1"/>
  <c r="D546" i="1"/>
  <c r="G546" i="1" s="1"/>
  <c r="O546" i="1"/>
  <c r="AI546" i="1"/>
  <c r="AJ546" i="1"/>
  <c r="AL546" i="1"/>
  <c r="AN546" i="1"/>
  <c r="AO546" i="1"/>
  <c r="AP546" i="1"/>
  <c r="AQ546" i="1"/>
  <c r="AS546" i="1"/>
  <c r="AT546" i="1"/>
  <c r="AU546" i="1"/>
  <c r="AV546" i="1"/>
  <c r="AW546" i="1"/>
  <c r="AX546" i="1"/>
  <c r="BB546" i="1"/>
  <c r="BD546" i="1"/>
  <c r="BG546" i="1"/>
  <c r="BH546" i="1"/>
  <c r="BI546" i="1"/>
  <c r="BJ546" i="1"/>
  <c r="BL546" i="1"/>
  <c r="BM546" i="1"/>
  <c r="BN546" i="1"/>
  <c r="BO546" i="1"/>
  <c r="D547" i="1"/>
  <c r="G547" i="1"/>
  <c r="AG547" i="1" s="1"/>
  <c r="AH547" i="1" s="1"/>
  <c r="N547" i="1"/>
  <c r="AY547" i="1" s="1"/>
  <c r="O547" i="1"/>
  <c r="P547" i="1" s="1"/>
  <c r="AI547" i="1"/>
  <c r="AJ547" i="1"/>
  <c r="AL547" i="1"/>
  <c r="AN547" i="1"/>
  <c r="AO547" i="1"/>
  <c r="AP547" i="1"/>
  <c r="AQ547" i="1"/>
  <c r="AR547" i="1"/>
  <c r="AS547" i="1"/>
  <c r="AT547" i="1"/>
  <c r="AU547" i="1"/>
  <c r="AV547" i="1"/>
  <c r="AW547" i="1"/>
  <c r="AX547" i="1"/>
  <c r="BB547" i="1"/>
  <c r="BD547" i="1"/>
  <c r="BG547" i="1"/>
  <c r="BH547" i="1"/>
  <c r="BI547" i="1"/>
  <c r="BJ547" i="1"/>
  <c r="BL547" i="1"/>
  <c r="BM547" i="1"/>
  <c r="BN547" i="1"/>
  <c r="BO547" i="1"/>
  <c r="D548" i="1"/>
  <c r="G548" i="1"/>
  <c r="AG548" i="1" s="1"/>
  <c r="AH548" i="1" s="1"/>
  <c r="N548" i="1"/>
  <c r="AY548" i="1" s="1"/>
  <c r="O548" i="1"/>
  <c r="P548" i="1" s="1"/>
  <c r="AI548" i="1"/>
  <c r="AJ548" i="1"/>
  <c r="AL548" i="1"/>
  <c r="AN548" i="1"/>
  <c r="AO548" i="1"/>
  <c r="AP548" i="1"/>
  <c r="AQ548" i="1"/>
  <c r="AR548" i="1"/>
  <c r="AS548" i="1"/>
  <c r="AT548" i="1"/>
  <c r="AU548" i="1"/>
  <c r="AV548" i="1"/>
  <c r="AW548" i="1"/>
  <c r="AX548" i="1"/>
  <c r="BB548" i="1"/>
  <c r="BD548" i="1"/>
  <c r="BG548" i="1"/>
  <c r="BH548" i="1"/>
  <c r="BI548" i="1"/>
  <c r="BJ548" i="1"/>
  <c r="BL548" i="1"/>
  <c r="BM548" i="1"/>
  <c r="BN548" i="1"/>
  <c r="BO548" i="1"/>
  <c r="D549" i="1"/>
  <c r="G549" i="1"/>
  <c r="N549" i="1"/>
  <c r="AY549" i="1" s="1"/>
  <c r="O549" i="1"/>
  <c r="P549" i="1" s="1"/>
  <c r="AI549" i="1"/>
  <c r="AJ549" i="1"/>
  <c r="AL549" i="1"/>
  <c r="AN549" i="1"/>
  <c r="AO549" i="1"/>
  <c r="AP549" i="1"/>
  <c r="AQ549" i="1"/>
  <c r="AR549" i="1"/>
  <c r="AS549" i="1"/>
  <c r="AT549" i="1"/>
  <c r="AU549" i="1"/>
  <c r="AV549" i="1"/>
  <c r="AW549" i="1"/>
  <c r="AX549" i="1"/>
  <c r="BB549" i="1"/>
  <c r="BD549" i="1"/>
  <c r="BG549" i="1"/>
  <c r="BH549" i="1"/>
  <c r="BI549" i="1"/>
  <c r="BJ549" i="1"/>
  <c r="BL549" i="1"/>
  <c r="BM549" i="1"/>
  <c r="BN549" i="1"/>
  <c r="BO549" i="1"/>
  <c r="D550" i="1"/>
  <c r="G550" i="1" s="1"/>
  <c r="O550" i="1"/>
  <c r="AI550" i="1"/>
  <c r="AJ550" i="1"/>
  <c r="AL550" i="1"/>
  <c r="AN550" i="1"/>
  <c r="AO550" i="1"/>
  <c r="AP550" i="1"/>
  <c r="AQ550" i="1"/>
  <c r="AS550" i="1"/>
  <c r="AT550" i="1"/>
  <c r="AU550" i="1"/>
  <c r="AV550" i="1"/>
  <c r="AW550" i="1"/>
  <c r="AX550" i="1"/>
  <c r="BB550" i="1"/>
  <c r="BD550" i="1"/>
  <c r="BG550" i="1"/>
  <c r="BH550" i="1"/>
  <c r="BI550" i="1"/>
  <c r="BJ550" i="1"/>
  <c r="BL550" i="1"/>
  <c r="BM550" i="1"/>
  <c r="BN550" i="1"/>
  <c r="BO550" i="1"/>
  <c r="D551" i="1"/>
  <c r="G551" i="1" s="1"/>
  <c r="O551" i="1"/>
  <c r="AI551" i="1"/>
  <c r="AJ551" i="1"/>
  <c r="AL551" i="1"/>
  <c r="AN551" i="1"/>
  <c r="AO551" i="1"/>
  <c r="AP551" i="1"/>
  <c r="AQ551" i="1"/>
  <c r="AS551" i="1"/>
  <c r="AT551" i="1"/>
  <c r="AU551" i="1"/>
  <c r="AV551" i="1"/>
  <c r="AW551" i="1"/>
  <c r="AX551" i="1"/>
  <c r="BB551" i="1"/>
  <c r="BD551" i="1"/>
  <c r="BG551" i="1"/>
  <c r="BH551" i="1"/>
  <c r="BI551" i="1"/>
  <c r="BJ551" i="1"/>
  <c r="BL551" i="1"/>
  <c r="BM551" i="1"/>
  <c r="BN551" i="1"/>
  <c r="BO551" i="1"/>
  <c r="D552" i="1"/>
  <c r="G552" i="1" s="1"/>
  <c r="O552" i="1"/>
  <c r="AI552" i="1"/>
  <c r="AJ552" i="1"/>
  <c r="AL552" i="1"/>
  <c r="AN552" i="1"/>
  <c r="AO552" i="1"/>
  <c r="AP552" i="1"/>
  <c r="AQ552" i="1"/>
  <c r="AS552" i="1"/>
  <c r="AT552" i="1"/>
  <c r="AU552" i="1"/>
  <c r="AV552" i="1"/>
  <c r="AW552" i="1"/>
  <c r="AX552" i="1"/>
  <c r="BB552" i="1"/>
  <c r="BD552" i="1"/>
  <c r="BG552" i="1"/>
  <c r="BH552" i="1"/>
  <c r="BI552" i="1"/>
  <c r="BJ552" i="1"/>
  <c r="BL552" i="1"/>
  <c r="BM552" i="1"/>
  <c r="BN552" i="1"/>
  <c r="BO552" i="1"/>
  <c r="D553" i="1"/>
  <c r="G553" i="1" s="1"/>
  <c r="O553" i="1"/>
  <c r="AI553" i="1"/>
  <c r="AJ553" i="1"/>
  <c r="AL553" i="1"/>
  <c r="AN553" i="1"/>
  <c r="AO553" i="1"/>
  <c r="AP553" i="1"/>
  <c r="AQ553" i="1"/>
  <c r="AS553" i="1"/>
  <c r="AT553" i="1"/>
  <c r="AU553" i="1"/>
  <c r="AV553" i="1"/>
  <c r="AW553" i="1"/>
  <c r="AX553" i="1"/>
  <c r="BB553" i="1"/>
  <c r="BD553" i="1"/>
  <c r="BG553" i="1"/>
  <c r="BH553" i="1"/>
  <c r="BI553" i="1"/>
  <c r="BJ553" i="1"/>
  <c r="BL553" i="1"/>
  <c r="BM553" i="1"/>
  <c r="BN553" i="1"/>
  <c r="BO553" i="1"/>
  <c r="D554" i="1"/>
  <c r="G554" i="1" s="1"/>
  <c r="O554" i="1"/>
  <c r="AI554" i="1"/>
  <c r="AJ554" i="1"/>
  <c r="AL554" i="1"/>
  <c r="AN554" i="1"/>
  <c r="AO554" i="1"/>
  <c r="AP554" i="1"/>
  <c r="AQ554" i="1"/>
  <c r="AS554" i="1"/>
  <c r="AT554" i="1"/>
  <c r="AU554" i="1"/>
  <c r="AV554" i="1"/>
  <c r="AW554" i="1"/>
  <c r="AX554" i="1"/>
  <c r="BB554" i="1"/>
  <c r="BD554" i="1"/>
  <c r="BG554" i="1"/>
  <c r="BH554" i="1"/>
  <c r="BI554" i="1"/>
  <c r="BJ554" i="1"/>
  <c r="BL554" i="1"/>
  <c r="BM554" i="1"/>
  <c r="BN554" i="1"/>
  <c r="BO554" i="1"/>
  <c r="D555" i="1"/>
  <c r="G555" i="1" s="1"/>
  <c r="O555" i="1"/>
  <c r="AI555" i="1"/>
  <c r="AJ555" i="1"/>
  <c r="AL555" i="1"/>
  <c r="AN555" i="1"/>
  <c r="AO555" i="1"/>
  <c r="AP555" i="1"/>
  <c r="AQ555" i="1"/>
  <c r="AS555" i="1"/>
  <c r="AT555" i="1"/>
  <c r="AU555" i="1"/>
  <c r="AV555" i="1"/>
  <c r="AW555" i="1"/>
  <c r="AX555" i="1"/>
  <c r="BB555" i="1"/>
  <c r="BD555" i="1"/>
  <c r="BG555" i="1"/>
  <c r="BH555" i="1"/>
  <c r="BI555" i="1"/>
  <c r="BJ555" i="1"/>
  <c r="BL555" i="1"/>
  <c r="BM555" i="1"/>
  <c r="BN555" i="1"/>
  <c r="BO555" i="1"/>
  <c r="D556" i="1"/>
  <c r="G556" i="1" s="1"/>
  <c r="O556" i="1"/>
  <c r="AI556" i="1"/>
  <c r="AJ556" i="1"/>
  <c r="AL556" i="1"/>
  <c r="AN556" i="1"/>
  <c r="AO556" i="1"/>
  <c r="AP556" i="1"/>
  <c r="AQ556" i="1"/>
  <c r="AS556" i="1"/>
  <c r="AT556" i="1"/>
  <c r="AU556" i="1"/>
  <c r="AV556" i="1"/>
  <c r="AW556" i="1"/>
  <c r="AX556" i="1"/>
  <c r="BB556" i="1"/>
  <c r="BD556" i="1"/>
  <c r="BG556" i="1"/>
  <c r="BH556" i="1"/>
  <c r="BI556" i="1"/>
  <c r="BJ556" i="1"/>
  <c r="BL556" i="1"/>
  <c r="BM556" i="1"/>
  <c r="BN556" i="1"/>
  <c r="BO556" i="1"/>
  <c r="D557" i="1"/>
  <c r="G557" i="1" s="1"/>
  <c r="O557" i="1"/>
  <c r="AI557" i="1"/>
  <c r="AJ557" i="1"/>
  <c r="AL557" i="1"/>
  <c r="AN557" i="1"/>
  <c r="AO557" i="1"/>
  <c r="AP557" i="1"/>
  <c r="AQ557" i="1"/>
  <c r="AS557" i="1"/>
  <c r="AT557" i="1"/>
  <c r="AU557" i="1"/>
  <c r="AV557" i="1"/>
  <c r="AW557" i="1"/>
  <c r="AX557" i="1"/>
  <c r="BB557" i="1"/>
  <c r="BD557" i="1"/>
  <c r="BG557" i="1"/>
  <c r="BH557" i="1"/>
  <c r="BI557" i="1"/>
  <c r="BJ557" i="1"/>
  <c r="BL557" i="1"/>
  <c r="BM557" i="1"/>
  <c r="BN557" i="1"/>
  <c r="BO557" i="1"/>
  <c r="D558" i="1"/>
  <c r="G558" i="1" s="1"/>
  <c r="O558" i="1"/>
  <c r="AI558" i="1"/>
  <c r="AJ558" i="1"/>
  <c r="AL558" i="1"/>
  <c r="AN558" i="1"/>
  <c r="AO558" i="1"/>
  <c r="AP558" i="1"/>
  <c r="AQ558" i="1"/>
  <c r="AS558" i="1"/>
  <c r="AT558" i="1"/>
  <c r="AU558" i="1"/>
  <c r="AV558" i="1"/>
  <c r="AW558" i="1"/>
  <c r="AX558" i="1"/>
  <c r="BB558" i="1"/>
  <c r="BD558" i="1"/>
  <c r="BG558" i="1"/>
  <c r="BH558" i="1"/>
  <c r="BI558" i="1"/>
  <c r="BJ558" i="1"/>
  <c r="BL558" i="1"/>
  <c r="BM558" i="1"/>
  <c r="BN558" i="1"/>
  <c r="BO558" i="1"/>
  <c r="D559" i="1"/>
  <c r="G559" i="1" s="1"/>
  <c r="O559" i="1"/>
  <c r="AI559" i="1"/>
  <c r="AJ559" i="1"/>
  <c r="AL559" i="1"/>
  <c r="AN559" i="1"/>
  <c r="AO559" i="1"/>
  <c r="AP559" i="1"/>
  <c r="AQ559" i="1"/>
  <c r="AS559" i="1"/>
  <c r="AT559" i="1"/>
  <c r="AU559" i="1"/>
  <c r="AV559" i="1"/>
  <c r="AW559" i="1"/>
  <c r="AX559" i="1"/>
  <c r="BB559" i="1"/>
  <c r="BD559" i="1"/>
  <c r="BG559" i="1"/>
  <c r="BH559" i="1"/>
  <c r="BI559" i="1"/>
  <c r="BJ559" i="1"/>
  <c r="BL559" i="1"/>
  <c r="BM559" i="1"/>
  <c r="BN559" i="1"/>
  <c r="BO559" i="1"/>
  <c r="D560" i="1"/>
  <c r="G560" i="1" s="1"/>
  <c r="O560" i="1"/>
  <c r="AI560" i="1"/>
  <c r="AJ560" i="1"/>
  <c r="AL560" i="1"/>
  <c r="AN560" i="1"/>
  <c r="AO560" i="1"/>
  <c r="AP560" i="1"/>
  <c r="AQ560" i="1"/>
  <c r="AS560" i="1"/>
  <c r="AT560" i="1"/>
  <c r="AU560" i="1"/>
  <c r="AV560" i="1"/>
  <c r="AW560" i="1"/>
  <c r="AX560" i="1"/>
  <c r="BB560" i="1"/>
  <c r="BD560" i="1"/>
  <c r="BG560" i="1"/>
  <c r="BH560" i="1"/>
  <c r="BI560" i="1"/>
  <c r="BJ560" i="1"/>
  <c r="BL560" i="1"/>
  <c r="BM560" i="1"/>
  <c r="BN560" i="1"/>
  <c r="BO560" i="1"/>
  <c r="D561" i="1"/>
  <c r="G561" i="1" s="1"/>
  <c r="O561" i="1"/>
  <c r="AI561" i="1"/>
  <c r="AJ561" i="1"/>
  <c r="AL561" i="1"/>
  <c r="AN561" i="1"/>
  <c r="AO561" i="1"/>
  <c r="AP561" i="1"/>
  <c r="AQ561" i="1"/>
  <c r="AS561" i="1"/>
  <c r="AT561" i="1"/>
  <c r="AU561" i="1"/>
  <c r="AV561" i="1"/>
  <c r="AW561" i="1"/>
  <c r="AX561" i="1"/>
  <c r="BB561" i="1"/>
  <c r="BD561" i="1"/>
  <c r="BG561" i="1"/>
  <c r="BH561" i="1"/>
  <c r="BI561" i="1"/>
  <c r="BJ561" i="1"/>
  <c r="BL561" i="1"/>
  <c r="BM561" i="1"/>
  <c r="BN561" i="1"/>
  <c r="BO561" i="1"/>
  <c r="D562" i="1"/>
  <c r="G562" i="1" s="1"/>
  <c r="O562" i="1"/>
  <c r="AI562" i="1"/>
  <c r="AJ562" i="1"/>
  <c r="AL562" i="1"/>
  <c r="AN562" i="1"/>
  <c r="AO562" i="1"/>
  <c r="AP562" i="1"/>
  <c r="AQ562" i="1"/>
  <c r="AS562" i="1"/>
  <c r="AT562" i="1"/>
  <c r="AU562" i="1"/>
  <c r="AV562" i="1"/>
  <c r="AW562" i="1"/>
  <c r="AX562" i="1"/>
  <c r="BB562" i="1"/>
  <c r="BD562" i="1"/>
  <c r="BG562" i="1"/>
  <c r="BH562" i="1"/>
  <c r="BI562" i="1"/>
  <c r="BJ562" i="1"/>
  <c r="BL562" i="1"/>
  <c r="BM562" i="1"/>
  <c r="BN562" i="1"/>
  <c r="BO562" i="1"/>
  <c r="D563" i="1"/>
  <c r="G563" i="1" s="1"/>
  <c r="O563" i="1"/>
  <c r="AI563" i="1"/>
  <c r="AJ563" i="1"/>
  <c r="AL563" i="1"/>
  <c r="AN563" i="1"/>
  <c r="AO563" i="1"/>
  <c r="AP563" i="1"/>
  <c r="AQ563" i="1"/>
  <c r="AS563" i="1"/>
  <c r="AT563" i="1"/>
  <c r="AU563" i="1"/>
  <c r="AV563" i="1"/>
  <c r="AW563" i="1"/>
  <c r="AX563" i="1"/>
  <c r="BB563" i="1"/>
  <c r="BD563" i="1"/>
  <c r="BG563" i="1"/>
  <c r="BH563" i="1"/>
  <c r="BI563" i="1"/>
  <c r="BJ563" i="1"/>
  <c r="BL563" i="1"/>
  <c r="BM563" i="1"/>
  <c r="BN563" i="1"/>
  <c r="BO563" i="1"/>
  <c r="D564" i="1"/>
  <c r="G564" i="1" s="1"/>
  <c r="O564" i="1"/>
  <c r="AI564" i="1"/>
  <c r="AJ564" i="1"/>
  <c r="AL564" i="1"/>
  <c r="AN564" i="1"/>
  <c r="AO564" i="1"/>
  <c r="AP564" i="1"/>
  <c r="AQ564" i="1"/>
  <c r="AS564" i="1"/>
  <c r="AT564" i="1"/>
  <c r="AU564" i="1"/>
  <c r="AV564" i="1"/>
  <c r="AW564" i="1"/>
  <c r="AX564" i="1"/>
  <c r="BB564" i="1"/>
  <c r="BD564" i="1"/>
  <c r="BG564" i="1"/>
  <c r="BH564" i="1"/>
  <c r="BI564" i="1"/>
  <c r="BJ564" i="1"/>
  <c r="BL564" i="1"/>
  <c r="BM564" i="1"/>
  <c r="BN564" i="1"/>
  <c r="BO564" i="1"/>
  <c r="D565" i="1"/>
  <c r="G565" i="1" s="1"/>
  <c r="O565" i="1"/>
  <c r="AI565" i="1"/>
  <c r="AJ565" i="1"/>
  <c r="AL565" i="1"/>
  <c r="AN565" i="1"/>
  <c r="AO565" i="1"/>
  <c r="AP565" i="1"/>
  <c r="AQ565" i="1"/>
  <c r="AS565" i="1"/>
  <c r="AT565" i="1"/>
  <c r="AU565" i="1"/>
  <c r="AV565" i="1"/>
  <c r="AW565" i="1"/>
  <c r="AX565" i="1"/>
  <c r="BB565" i="1"/>
  <c r="BD565" i="1"/>
  <c r="BG565" i="1"/>
  <c r="BH565" i="1"/>
  <c r="BI565" i="1"/>
  <c r="BJ565" i="1"/>
  <c r="BL565" i="1"/>
  <c r="BM565" i="1"/>
  <c r="BN565" i="1"/>
  <c r="BO565" i="1"/>
  <c r="D566" i="1"/>
  <c r="G566" i="1" s="1"/>
  <c r="O566" i="1"/>
  <c r="AI566" i="1"/>
  <c r="AJ566" i="1"/>
  <c r="AL566" i="1"/>
  <c r="AN566" i="1"/>
  <c r="AO566" i="1"/>
  <c r="AP566" i="1"/>
  <c r="AQ566" i="1"/>
  <c r="AS566" i="1"/>
  <c r="AT566" i="1"/>
  <c r="AU566" i="1"/>
  <c r="AV566" i="1"/>
  <c r="AW566" i="1"/>
  <c r="AX566" i="1"/>
  <c r="BB566" i="1"/>
  <c r="BD566" i="1"/>
  <c r="BG566" i="1"/>
  <c r="BH566" i="1"/>
  <c r="BI566" i="1"/>
  <c r="BJ566" i="1"/>
  <c r="BL566" i="1"/>
  <c r="BM566" i="1"/>
  <c r="BN566" i="1"/>
  <c r="BO566" i="1"/>
  <c r="D567" i="1"/>
  <c r="G567" i="1" s="1"/>
  <c r="O567" i="1"/>
  <c r="AI567" i="1"/>
  <c r="AJ567" i="1"/>
  <c r="AL567" i="1"/>
  <c r="AN567" i="1"/>
  <c r="AO567" i="1"/>
  <c r="AP567" i="1"/>
  <c r="AQ567" i="1"/>
  <c r="AS567" i="1"/>
  <c r="AT567" i="1"/>
  <c r="AU567" i="1"/>
  <c r="AV567" i="1"/>
  <c r="AW567" i="1"/>
  <c r="AX567" i="1"/>
  <c r="BB567" i="1"/>
  <c r="BD567" i="1"/>
  <c r="BG567" i="1"/>
  <c r="BH567" i="1"/>
  <c r="BI567" i="1"/>
  <c r="BJ567" i="1"/>
  <c r="BL567" i="1"/>
  <c r="BM567" i="1"/>
  <c r="BN567" i="1"/>
  <c r="BO567" i="1"/>
  <c r="D568" i="1"/>
  <c r="G568" i="1"/>
  <c r="AG568" i="1" s="1"/>
  <c r="AH568" i="1" s="1"/>
  <c r="N568" i="1"/>
  <c r="AY568" i="1" s="1"/>
  <c r="O568" i="1"/>
  <c r="P568" i="1" s="1"/>
  <c r="AI568" i="1"/>
  <c r="AJ568" i="1"/>
  <c r="AL568" i="1"/>
  <c r="AN568" i="1"/>
  <c r="AO568" i="1"/>
  <c r="AP568" i="1"/>
  <c r="AQ568" i="1"/>
  <c r="AR568" i="1"/>
  <c r="AS568" i="1"/>
  <c r="AT568" i="1"/>
  <c r="AU568" i="1"/>
  <c r="AV568" i="1"/>
  <c r="AW568" i="1"/>
  <c r="AX568" i="1"/>
  <c r="BB568" i="1"/>
  <c r="BD568" i="1"/>
  <c r="BG568" i="1"/>
  <c r="BH568" i="1"/>
  <c r="BI568" i="1"/>
  <c r="BJ568" i="1"/>
  <c r="BL568" i="1"/>
  <c r="BM568" i="1"/>
  <c r="BN568" i="1"/>
  <c r="BO568" i="1"/>
  <c r="D569" i="1"/>
  <c r="G569" i="1"/>
  <c r="AG569" i="1" s="1"/>
  <c r="AH569" i="1" s="1"/>
  <c r="N569" i="1"/>
  <c r="AY569" i="1" s="1"/>
  <c r="O569" i="1"/>
  <c r="P569" i="1" s="1"/>
  <c r="AI569" i="1"/>
  <c r="AJ569" i="1"/>
  <c r="AL569" i="1"/>
  <c r="AN569" i="1"/>
  <c r="AO569" i="1"/>
  <c r="AP569" i="1"/>
  <c r="AQ569" i="1"/>
  <c r="AR569" i="1"/>
  <c r="AS569" i="1"/>
  <c r="AT569" i="1"/>
  <c r="AU569" i="1"/>
  <c r="AV569" i="1"/>
  <c r="AW569" i="1"/>
  <c r="AX569" i="1"/>
  <c r="BB569" i="1"/>
  <c r="BD569" i="1"/>
  <c r="BG569" i="1"/>
  <c r="BH569" i="1"/>
  <c r="BI569" i="1"/>
  <c r="BJ569" i="1"/>
  <c r="BL569" i="1"/>
  <c r="BM569" i="1"/>
  <c r="BN569" i="1"/>
  <c r="BO569" i="1"/>
  <c r="D570" i="1"/>
  <c r="G570" i="1"/>
  <c r="AG570" i="1" s="1"/>
  <c r="AH570" i="1" s="1"/>
  <c r="N570" i="1"/>
  <c r="AY570" i="1" s="1"/>
  <c r="O570" i="1"/>
  <c r="P570" i="1" s="1"/>
  <c r="AI570" i="1"/>
  <c r="AJ570" i="1"/>
  <c r="AL570" i="1"/>
  <c r="AN570" i="1"/>
  <c r="AO570" i="1"/>
  <c r="AP570" i="1"/>
  <c r="AQ570" i="1"/>
  <c r="AR570" i="1"/>
  <c r="AS570" i="1"/>
  <c r="AT570" i="1"/>
  <c r="AU570" i="1"/>
  <c r="AV570" i="1"/>
  <c r="AW570" i="1"/>
  <c r="AX570" i="1"/>
  <c r="BB570" i="1"/>
  <c r="BD570" i="1"/>
  <c r="BG570" i="1"/>
  <c r="BH570" i="1"/>
  <c r="BI570" i="1"/>
  <c r="BJ570" i="1"/>
  <c r="BL570" i="1"/>
  <c r="BM570" i="1"/>
  <c r="BN570" i="1"/>
  <c r="BO570" i="1"/>
  <c r="D571" i="1"/>
  <c r="G571" i="1"/>
  <c r="AG571" i="1" s="1"/>
  <c r="AH571" i="1" s="1"/>
  <c r="N571" i="1"/>
  <c r="AY571" i="1" s="1"/>
  <c r="O571" i="1"/>
  <c r="P571" i="1" s="1"/>
  <c r="AI571" i="1"/>
  <c r="AJ571" i="1"/>
  <c r="AL571" i="1"/>
  <c r="AN571" i="1"/>
  <c r="AO571" i="1"/>
  <c r="AP571" i="1"/>
  <c r="AQ571" i="1"/>
  <c r="AR571" i="1"/>
  <c r="AS571" i="1"/>
  <c r="AT571" i="1"/>
  <c r="AU571" i="1"/>
  <c r="AV571" i="1"/>
  <c r="AW571" i="1"/>
  <c r="AX571" i="1"/>
  <c r="BB571" i="1"/>
  <c r="BD571" i="1"/>
  <c r="BG571" i="1"/>
  <c r="BH571" i="1"/>
  <c r="BI571" i="1"/>
  <c r="BJ571" i="1"/>
  <c r="BL571" i="1"/>
  <c r="BM571" i="1"/>
  <c r="BN571" i="1"/>
  <c r="BO571" i="1"/>
  <c r="D572" i="1"/>
  <c r="G572" i="1" s="1"/>
  <c r="O572" i="1"/>
  <c r="AI572" i="1"/>
  <c r="AJ572" i="1"/>
  <c r="AL572" i="1"/>
  <c r="AN572" i="1"/>
  <c r="AO572" i="1"/>
  <c r="AP572" i="1"/>
  <c r="AQ572" i="1"/>
  <c r="AS572" i="1"/>
  <c r="AT572" i="1"/>
  <c r="AU572" i="1"/>
  <c r="AV572" i="1"/>
  <c r="AW572" i="1"/>
  <c r="AX572" i="1"/>
  <c r="BB572" i="1"/>
  <c r="BD572" i="1"/>
  <c r="BG572" i="1"/>
  <c r="BH572" i="1"/>
  <c r="BI572" i="1"/>
  <c r="BJ572" i="1"/>
  <c r="BL572" i="1"/>
  <c r="BM572" i="1"/>
  <c r="BN572" i="1"/>
  <c r="BO572" i="1"/>
  <c r="D573" i="1"/>
  <c r="G573" i="1" s="1"/>
  <c r="O573" i="1"/>
  <c r="AI573" i="1"/>
  <c r="AJ573" i="1"/>
  <c r="AL573" i="1"/>
  <c r="AN573" i="1"/>
  <c r="AO573" i="1"/>
  <c r="AP573" i="1"/>
  <c r="AQ573" i="1"/>
  <c r="AS573" i="1"/>
  <c r="AT573" i="1"/>
  <c r="AU573" i="1"/>
  <c r="AV573" i="1"/>
  <c r="AW573" i="1"/>
  <c r="AX573" i="1"/>
  <c r="BB573" i="1"/>
  <c r="BD573" i="1"/>
  <c r="BG573" i="1"/>
  <c r="BH573" i="1"/>
  <c r="BI573" i="1"/>
  <c r="BJ573" i="1"/>
  <c r="BL573" i="1"/>
  <c r="BM573" i="1"/>
  <c r="BN573" i="1"/>
  <c r="BO573" i="1"/>
  <c r="D574" i="1"/>
  <c r="G574" i="1" s="1"/>
  <c r="O574" i="1"/>
  <c r="AI574" i="1"/>
  <c r="AJ574" i="1"/>
  <c r="AL574" i="1"/>
  <c r="AN574" i="1"/>
  <c r="AO574" i="1"/>
  <c r="AP574" i="1"/>
  <c r="AQ574" i="1"/>
  <c r="AS574" i="1"/>
  <c r="AT574" i="1"/>
  <c r="AU574" i="1"/>
  <c r="AV574" i="1"/>
  <c r="AW574" i="1"/>
  <c r="AX574" i="1"/>
  <c r="BB574" i="1"/>
  <c r="BD574" i="1"/>
  <c r="BG574" i="1"/>
  <c r="BH574" i="1"/>
  <c r="BI574" i="1"/>
  <c r="BJ574" i="1"/>
  <c r="BL574" i="1"/>
  <c r="BM574" i="1"/>
  <c r="BN574" i="1"/>
  <c r="BO574" i="1"/>
  <c r="D575" i="1"/>
  <c r="G575" i="1" s="1"/>
  <c r="O575" i="1"/>
  <c r="AI575" i="1"/>
  <c r="AJ575" i="1"/>
  <c r="AL575" i="1"/>
  <c r="AN575" i="1"/>
  <c r="AO575" i="1"/>
  <c r="AP575" i="1"/>
  <c r="AQ575" i="1"/>
  <c r="AS575" i="1"/>
  <c r="AT575" i="1"/>
  <c r="AU575" i="1"/>
  <c r="AV575" i="1"/>
  <c r="AW575" i="1"/>
  <c r="AX575" i="1"/>
  <c r="BB575" i="1"/>
  <c r="BD575" i="1"/>
  <c r="BG575" i="1"/>
  <c r="BH575" i="1"/>
  <c r="BI575" i="1"/>
  <c r="BJ575" i="1"/>
  <c r="BL575" i="1"/>
  <c r="BM575" i="1"/>
  <c r="BN575" i="1"/>
  <c r="BO575" i="1"/>
  <c r="D576" i="1"/>
  <c r="G576" i="1" s="1"/>
  <c r="O576" i="1"/>
  <c r="AI576" i="1"/>
  <c r="AJ576" i="1"/>
  <c r="AL576" i="1"/>
  <c r="AN576" i="1"/>
  <c r="AO576" i="1"/>
  <c r="AP576" i="1"/>
  <c r="AQ576" i="1"/>
  <c r="AS576" i="1"/>
  <c r="AT576" i="1"/>
  <c r="AU576" i="1"/>
  <c r="AV576" i="1"/>
  <c r="AW576" i="1"/>
  <c r="AX576" i="1"/>
  <c r="BB576" i="1"/>
  <c r="BD576" i="1"/>
  <c r="BG576" i="1"/>
  <c r="BH576" i="1"/>
  <c r="BI576" i="1"/>
  <c r="BJ576" i="1"/>
  <c r="BL576" i="1"/>
  <c r="BM576" i="1"/>
  <c r="BN576" i="1"/>
  <c r="BO576" i="1"/>
  <c r="D577" i="1"/>
  <c r="G577" i="1" s="1"/>
  <c r="O577" i="1"/>
  <c r="AI577" i="1"/>
  <c r="AJ577" i="1"/>
  <c r="AL577" i="1"/>
  <c r="AN577" i="1"/>
  <c r="AO577" i="1"/>
  <c r="AP577" i="1"/>
  <c r="AQ577" i="1"/>
  <c r="AS577" i="1"/>
  <c r="AT577" i="1"/>
  <c r="AU577" i="1"/>
  <c r="AV577" i="1"/>
  <c r="AW577" i="1"/>
  <c r="AX577" i="1"/>
  <c r="BB577" i="1"/>
  <c r="BD577" i="1"/>
  <c r="BG577" i="1"/>
  <c r="BH577" i="1"/>
  <c r="BI577" i="1"/>
  <c r="BJ577" i="1"/>
  <c r="BL577" i="1"/>
  <c r="BM577" i="1"/>
  <c r="BN577" i="1"/>
  <c r="BO577" i="1"/>
  <c r="D578" i="1"/>
  <c r="G578" i="1" s="1"/>
  <c r="O578" i="1"/>
  <c r="AI578" i="1"/>
  <c r="AJ578" i="1"/>
  <c r="AL578" i="1"/>
  <c r="AN578" i="1"/>
  <c r="AO578" i="1"/>
  <c r="AP578" i="1"/>
  <c r="AQ578" i="1"/>
  <c r="AS578" i="1"/>
  <c r="AT578" i="1"/>
  <c r="AU578" i="1"/>
  <c r="AV578" i="1"/>
  <c r="AW578" i="1"/>
  <c r="AX578" i="1"/>
  <c r="BB578" i="1"/>
  <c r="BD578" i="1"/>
  <c r="BG578" i="1"/>
  <c r="BH578" i="1"/>
  <c r="BI578" i="1"/>
  <c r="BJ578" i="1"/>
  <c r="BL578" i="1"/>
  <c r="BM578" i="1"/>
  <c r="BN578" i="1"/>
  <c r="BO578" i="1"/>
  <c r="D579" i="1"/>
  <c r="G579" i="1" s="1"/>
  <c r="O579" i="1"/>
  <c r="AI579" i="1"/>
  <c r="AJ579" i="1"/>
  <c r="AL579" i="1"/>
  <c r="AN579" i="1"/>
  <c r="AO579" i="1"/>
  <c r="AP579" i="1"/>
  <c r="AQ579" i="1"/>
  <c r="AS579" i="1"/>
  <c r="AT579" i="1"/>
  <c r="AU579" i="1"/>
  <c r="AV579" i="1"/>
  <c r="AW579" i="1"/>
  <c r="AX579" i="1"/>
  <c r="BB579" i="1"/>
  <c r="BD579" i="1"/>
  <c r="BG579" i="1"/>
  <c r="BH579" i="1"/>
  <c r="BI579" i="1"/>
  <c r="BJ579" i="1"/>
  <c r="BL579" i="1"/>
  <c r="BM579" i="1"/>
  <c r="BN579" i="1"/>
  <c r="BO579" i="1"/>
  <c r="D580" i="1"/>
  <c r="G580" i="1" s="1"/>
  <c r="O580" i="1"/>
  <c r="AI580" i="1"/>
  <c r="AJ580" i="1"/>
  <c r="AL580" i="1"/>
  <c r="AN580" i="1"/>
  <c r="AO580" i="1"/>
  <c r="AP580" i="1"/>
  <c r="AQ580" i="1"/>
  <c r="AS580" i="1"/>
  <c r="AT580" i="1"/>
  <c r="AU580" i="1"/>
  <c r="AV580" i="1"/>
  <c r="AW580" i="1"/>
  <c r="AX580" i="1"/>
  <c r="BB580" i="1"/>
  <c r="BD580" i="1"/>
  <c r="BG580" i="1"/>
  <c r="BH580" i="1"/>
  <c r="BI580" i="1"/>
  <c r="BJ580" i="1"/>
  <c r="BL580" i="1"/>
  <c r="BM580" i="1"/>
  <c r="BN580" i="1"/>
  <c r="BO580" i="1"/>
  <c r="D581" i="1"/>
  <c r="G581" i="1" s="1"/>
  <c r="O581" i="1"/>
  <c r="AI581" i="1"/>
  <c r="AJ581" i="1"/>
  <c r="AL581" i="1"/>
  <c r="AN581" i="1"/>
  <c r="AO581" i="1"/>
  <c r="AP581" i="1"/>
  <c r="AQ581" i="1"/>
  <c r="AS581" i="1"/>
  <c r="AT581" i="1"/>
  <c r="AU581" i="1"/>
  <c r="AV581" i="1"/>
  <c r="AW581" i="1"/>
  <c r="AX581" i="1"/>
  <c r="BB581" i="1"/>
  <c r="BD581" i="1"/>
  <c r="BG581" i="1"/>
  <c r="BH581" i="1"/>
  <c r="BI581" i="1"/>
  <c r="BJ581" i="1"/>
  <c r="BL581" i="1"/>
  <c r="BM581" i="1"/>
  <c r="BN581" i="1"/>
  <c r="BO581" i="1"/>
  <c r="D582" i="1"/>
  <c r="G582" i="1" s="1"/>
  <c r="O582" i="1"/>
  <c r="AI582" i="1"/>
  <c r="AJ582" i="1"/>
  <c r="AL582" i="1"/>
  <c r="AN582" i="1"/>
  <c r="AO582" i="1"/>
  <c r="AP582" i="1"/>
  <c r="AQ582" i="1"/>
  <c r="AS582" i="1"/>
  <c r="AT582" i="1"/>
  <c r="AU582" i="1"/>
  <c r="AV582" i="1"/>
  <c r="AW582" i="1"/>
  <c r="AX582" i="1"/>
  <c r="BB582" i="1"/>
  <c r="BD582" i="1"/>
  <c r="BG582" i="1"/>
  <c r="BH582" i="1"/>
  <c r="BI582" i="1"/>
  <c r="BJ582" i="1"/>
  <c r="BL582" i="1"/>
  <c r="BM582" i="1"/>
  <c r="BN582" i="1"/>
  <c r="BO582" i="1"/>
  <c r="D583" i="1"/>
  <c r="G583" i="1" s="1"/>
  <c r="O583" i="1"/>
  <c r="AI583" i="1"/>
  <c r="AJ583" i="1"/>
  <c r="AL583" i="1"/>
  <c r="AN583" i="1"/>
  <c r="AO583" i="1"/>
  <c r="AP583" i="1"/>
  <c r="AQ583" i="1"/>
  <c r="AS583" i="1"/>
  <c r="AT583" i="1"/>
  <c r="AU583" i="1"/>
  <c r="AV583" i="1"/>
  <c r="AW583" i="1"/>
  <c r="AX583" i="1"/>
  <c r="BB583" i="1"/>
  <c r="BD583" i="1"/>
  <c r="BG583" i="1"/>
  <c r="BH583" i="1"/>
  <c r="BI583" i="1"/>
  <c r="BJ583" i="1"/>
  <c r="BL583" i="1"/>
  <c r="BM583" i="1"/>
  <c r="BN583" i="1"/>
  <c r="BO583" i="1"/>
  <c r="D584" i="1"/>
  <c r="G584" i="1" s="1"/>
  <c r="O584" i="1"/>
  <c r="AI584" i="1"/>
  <c r="AJ584" i="1"/>
  <c r="AL584" i="1"/>
  <c r="AN584" i="1"/>
  <c r="AO584" i="1"/>
  <c r="AP584" i="1"/>
  <c r="AQ584" i="1"/>
  <c r="AS584" i="1"/>
  <c r="AT584" i="1"/>
  <c r="AU584" i="1"/>
  <c r="AV584" i="1"/>
  <c r="AW584" i="1"/>
  <c r="AX584" i="1"/>
  <c r="BB584" i="1"/>
  <c r="BD584" i="1"/>
  <c r="BG584" i="1"/>
  <c r="BH584" i="1"/>
  <c r="BI584" i="1"/>
  <c r="BJ584" i="1"/>
  <c r="BL584" i="1"/>
  <c r="BM584" i="1"/>
  <c r="BN584" i="1"/>
  <c r="BO584" i="1"/>
  <c r="D585" i="1"/>
  <c r="G585" i="1" s="1"/>
  <c r="O585" i="1"/>
  <c r="AI585" i="1"/>
  <c r="AJ585" i="1"/>
  <c r="AL585" i="1"/>
  <c r="AN585" i="1"/>
  <c r="AO585" i="1"/>
  <c r="AP585" i="1"/>
  <c r="AQ585" i="1"/>
  <c r="AS585" i="1"/>
  <c r="AT585" i="1"/>
  <c r="AU585" i="1"/>
  <c r="AV585" i="1"/>
  <c r="AW585" i="1"/>
  <c r="AX585" i="1"/>
  <c r="BB585" i="1"/>
  <c r="BD585" i="1"/>
  <c r="BG585" i="1"/>
  <c r="BH585" i="1"/>
  <c r="BI585" i="1"/>
  <c r="BJ585" i="1"/>
  <c r="BL585" i="1"/>
  <c r="BM585" i="1"/>
  <c r="BN585" i="1"/>
  <c r="BO585" i="1"/>
  <c r="D586" i="1"/>
  <c r="G586" i="1" s="1"/>
  <c r="O586" i="1"/>
  <c r="AI586" i="1"/>
  <c r="AJ586" i="1"/>
  <c r="AL586" i="1"/>
  <c r="AN586" i="1"/>
  <c r="AO586" i="1"/>
  <c r="AP586" i="1"/>
  <c r="AQ586" i="1"/>
  <c r="AS586" i="1"/>
  <c r="AT586" i="1"/>
  <c r="AU586" i="1"/>
  <c r="AV586" i="1"/>
  <c r="AW586" i="1"/>
  <c r="AX586" i="1"/>
  <c r="BB586" i="1"/>
  <c r="BD586" i="1"/>
  <c r="BG586" i="1"/>
  <c r="BH586" i="1"/>
  <c r="BI586" i="1"/>
  <c r="BJ586" i="1"/>
  <c r="BL586" i="1"/>
  <c r="BM586" i="1"/>
  <c r="BN586" i="1"/>
  <c r="BO586" i="1"/>
  <c r="D587" i="1"/>
  <c r="G587" i="1" s="1"/>
  <c r="O587" i="1"/>
  <c r="AI587" i="1"/>
  <c r="AJ587" i="1"/>
  <c r="AL587" i="1"/>
  <c r="AN587" i="1"/>
  <c r="AO587" i="1"/>
  <c r="AP587" i="1"/>
  <c r="AQ587" i="1"/>
  <c r="AS587" i="1"/>
  <c r="AT587" i="1"/>
  <c r="AU587" i="1"/>
  <c r="AV587" i="1"/>
  <c r="AW587" i="1"/>
  <c r="AX587" i="1"/>
  <c r="BB587" i="1"/>
  <c r="BD587" i="1"/>
  <c r="BG587" i="1"/>
  <c r="BH587" i="1"/>
  <c r="BI587" i="1"/>
  <c r="BJ587" i="1"/>
  <c r="BL587" i="1"/>
  <c r="BM587" i="1"/>
  <c r="BN587" i="1"/>
  <c r="BO587" i="1"/>
  <c r="D588" i="1"/>
  <c r="G588" i="1" s="1"/>
  <c r="O588" i="1"/>
  <c r="AI588" i="1"/>
  <c r="AJ588" i="1"/>
  <c r="AL588" i="1"/>
  <c r="AN588" i="1"/>
  <c r="AO588" i="1"/>
  <c r="AP588" i="1"/>
  <c r="AQ588" i="1"/>
  <c r="AS588" i="1"/>
  <c r="AT588" i="1"/>
  <c r="AU588" i="1"/>
  <c r="AV588" i="1"/>
  <c r="AW588" i="1"/>
  <c r="AX588" i="1"/>
  <c r="BB588" i="1"/>
  <c r="BD588" i="1"/>
  <c r="BG588" i="1"/>
  <c r="BH588" i="1"/>
  <c r="BI588" i="1"/>
  <c r="BJ588" i="1"/>
  <c r="BL588" i="1"/>
  <c r="BM588" i="1"/>
  <c r="BN588" i="1"/>
  <c r="BO588" i="1"/>
  <c r="D589" i="1"/>
  <c r="G589" i="1" s="1"/>
  <c r="O589" i="1"/>
  <c r="AI589" i="1"/>
  <c r="AJ589" i="1"/>
  <c r="AL589" i="1"/>
  <c r="AN589" i="1"/>
  <c r="AO589" i="1"/>
  <c r="AP589" i="1"/>
  <c r="AQ589" i="1"/>
  <c r="AS589" i="1"/>
  <c r="AT589" i="1"/>
  <c r="AU589" i="1"/>
  <c r="AV589" i="1"/>
  <c r="AW589" i="1"/>
  <c r="AX589" i="1"/>
  <c r="BB589" i="1"/>
  <c r="BD589" i="1"/>
  <c r="BG589" i="1"/>
  <c r="BH589" i="1"/>
  <c r="BI589" i="1"/>
  <c r="BJ589" i="1"/>
  <c r="BL589" i="1"/>
  <c r="BM589" i="1"/>
  <c r="BN589" i="1"/>
  <c r="BO589" i="1"/>
  <c r="D590" i="1"/>
  <c r="G590" i="1" s="1"/>
  <c r="O590" i="1"/>
  <c r="AI590" i="1"/>
  <c r="AJ590" i="1"/>
  <c r="AL590" i="1"/>
  <c r="AN590" i="1"/>
  <c r="AO590" i="1"/>
  <c r="AP590" i="1"/>
  <c r="AQ590" i="1"/>
  <c r="AS590" i="1"/>
  <c r="AT590" i="1"/>
  <c r="AU590" i="1"/>
  <c r="AV590" i="1"/>
  <c r="AW590" i="1"/>
  <c r="AX590" i="1"/>
  <c r="BB590" i="1"/>
  <c r="BD590" i="1"/>
  <c r="BG590" i="1"/>
  <c r="BH590" i="1"/>
  <c r="BI590" i="1"/>
  <c r="BJ590" i="1"/>
  <c r="BL590" i="1"/>
  <c r="BM590" i="1"/>
  <c r="BN590" i="1"/>
  <c r="BO590" i="1"/>
  <c r="D591" i="1"/>
  <c r="G591" i="1" s="1"/>
  <c r="O591" i="1"/>
  <c r="AI591" i="1"/>
  <c r="AJ591" i="1"/>
  <c r="AL591" i="1"/>
  <c r="AN591" i="1"/>
  <c r="AO591" i="1"/>
  <c r="AP591" i="1"/>
  <c r="AQ591" i="1"/>
  <c r="AS591" i="1"/>
  <c r="AT591" i="1"/>
  <c r="AU591" i="1"/>
  <c r="AV591" i="1"/>
  <c r="AW591" i="1"/>
  <c r="AX591" i="1"/>
  <c r="BB591" i="1"/>
  <c r="BD591" i="1"/>
  <c r="BG591" i="1"/>
  <c r="BH591" i="1"/>
  <c r="BI591" i="1"/>
  <c r="BJ591" i="1"/>
  <c r="BL591" i="1"/>
  <c r="BM591" i="1"/>
  <c r="BN591" i="1"/>
  <c r="BO591" i="1"/>
  <c r="D592" i="1"/>
  <c r="G592" i="1" s="1"/>
  <c r="O592" i="1"/>
  <c r="AI592" i="1"/>
  <c r="AJ592" i="1"/>
  <c r="AL592" i="1"/>
  <c r="AN592" i="1"/>
  <c r="AO592" i="1"/>
  <c r="AP592" i="1"/>
  <c r="AQ592" i="1"/>
  <c r="AS592" i="1"/>
  <c r="AT592" i="1"/>
  <c r="AU592" i="1"/>
  <c r="AV592" i="1"/>
  <c r="AW592" i="1"/>
  <c r="AX592" i="1"/>
  <c r="BB592" i="1"/>
  <c r="BD592" i="1"/>
  <c r="BG592" i="1"/>
  <c r="BH592" i="1"/>
  <c r="BI592" i="1"/>
  <c r="BJ592" i="1"/>
  <c r="BL592" i="1"/>
  <c r="BM592" i="1"/>
  <c r="BN592" i="1"/>
  <c r="BO592" i="1"/>
  <c r="D593" i="1"/>
  <c r="G593" i="1" s="1"/>
  <c r="O593" i="1"/>
  <c r="AI593" i="1"/>
  <c r="AJ593" i="1"/>
  <c r="AL593" i="1"/>
  <c r="AN593" i="1"/>
  <c r="AO593" i="1"/>
  <c r="AP593" i="1"/>
  <c r="AQ593" i="1"/>
  <c r="AS593" i="1"/>
  <c r="AT593" i="1"/>
  <c r="AU593" i="1"/>
  <c r="AV593" i="1"/>
  <c r="AW593" i="1"/>
  <c r="AX593" i="1"/>
  <c r="BB593" i="1"/>
  <c r="BD593" i="1"/>
  <c r="BG593" i="1"/>
  <c r="BH593" i="1"/>
  <c r="BI593" i="1"/>
  <c r="BJ593" i="1"/>
  <c r="BL593" i="1"/>
  <c r="BM593" i="1"/>
  <c r="BN593" i="1"/>
  <c r="BO593" i="1"/>
  <c r="D594" i="1"/>
  <c r="G594" i="1"/>
  <c r="N594" i="1"/>
  <c r="AY594" i="1" s="1"/>
  <c r="O594" i="1"/>
  <c r="AI594" i="1"/>
  <c r="AJ594" i="1"/>
  <c r="AL594" i="1"/>
  <c r="AN594" i="1"/>
  <c r="AO594" i="1"/>
  <c r="AP594" i="1"/>
  <c r="AQ594" i="1"/>
  <c r="AR594" i="1"/>
  <c r="AS594" i="1"/>
  <c r="AT594" i="1"/>
  <c r="AU594" i="1"/>
  <c r="AV594" i="1"/>
  <c r="AW594" i="1"/>
  <c r="AX594" i="1"/>
  <c r="AZ594" i="1"/>
  <c r="BB594" i="1"/>
  <c r="BD594" i="1"/>
  <c r="BG594" i="1"/>
  <c r="BH594" i="1"/>
  <c r="BI594" i="1"/>
  <c r="BJ594" i="1"/>
  <c r="BL594" i="1"/>
  <c r="BM594" i="1"/>
  <c r="BN594" i="1"/>
  <c r="BO594" i="1"/>
  <c r="D595" i="1"/>
  <c r="G595" i="1"/>
  <c r="N595" i="1"/>
  <c r="AY595" i="1" s="1"/>
  <c r="O595" i="1"/>
  <c r="AI595" i="1"/>
  <c r="AJ595" i="1"/>
  <c r="AL595" i="1"/>
  <c r="AN595" i="1"/>
  <c r="AO595" i="1"/>
  <c r="AP595" i="1"/>
  <c r="AQ595" i="1"/>
  <c r="AR595" i="1"/>
  <c r="AS595" i="1"/>
  <c r="AT595" i="1"/>
  <c r="AU595" i="1"/>
  <c r="AV595" i="1"/>
  <c r="AW595" i="1"/>
  <c r="AX595" i="1"/>
  <c r="BB595" i="1"/>
  <c r="BD595" i="1"/>
  <c r="BG595" i="1"/>
  <c r="BH595" i="1"/>
  <c r="BI595" i="1"/>
  <c r="BJ595" i="1"/>
  <c r="BL595" i="1"/>
  <c r="BM595" i="1"/>
  <c r="BN595" i="1"/>
  <c r="BO595" i="1"/>
  <c r="D596" i="1"/>
  <c r="G596" i="1"/>
  <c r="AG596" i="1" s="1"/>
  <c r="AH596" i="1" s="1"/>
  <c r="N596" i="1"/>
  <c r="AY596" i="1" s="1"/>
  <c r="O596" i="1"/>
  <c r="AI596" i="1"/>
  <c r="AJ596" i="1" s="1"/>
  <c r="AL596" i="1"/>
  <c r="AN596" i="1"/>
  <c r="AO596" i="1"/>
  <c r="AP596" i="1"/>
  <c r="AQ596" i="1"/>
  <c r="AR596" i="1"/>
  <c r="AS596" i="1"/>
  <c r="AT596" i="1"/>
  <c r="AU596" i="1"/>
  <c r="AV596" i="1"/>
  <c r="AW596" i="1"/>
  <c r="AX596" i="1"/>
  <c r="AZ596" i="1"/>
  <c r="BB596" i="1"/>
  <c r="BD596" i="1"/>
  <c r="BG596" i="1"/>
  <c r="BH596" i="1"/>
  <c r="BI596" i="1"/>
  <c r="BJ596" i="1"/>
  <c r="BL596" i="1"/>
  <c r="BM596" i="1"/>
  <c r="BN596" i="1"/>
  <c r="BO596" i="1"/>
  <c r="D597" i="1"/>
  <c r="G597" i="1"/>
  <c r="AG597" i="1" s="1"/>
  <c r="AH597" i="1" s="1"/>
  <c r="N597" i="1"/>
  <c r="AY597" i="1" s="1"/>
  <c r="O597" i="1"/>
  <c r="AI597" i="1"/>
  <c r="AJ597" i="1"/>
  <c r="AL597" i="1"/>
  <c r="AN597" i="1"/>
  <c r="AO597" i="1"/>
  <c r="AP597" i="1"/>
  <c r="AQ597" i="1"/>
  <c r="AR597" i="1"/>
  <c r="AS597" i="1"/>
  <c r="AT597" i="1"/>
  <c r="AU597" i="1"/>
  <c r="AV597" i="1"/>
  <c r="AW597" i="1"/>
  <c r="AX597" i="1"/>
  <c r="AZ597" i="1"/>
  <c r="BB597" i="1"/>
  <c r="BD597" i="1"/>
  <c r="BG597" i="1"/>
  <c r="BH597" i="1"/>
  <c r="BI597" i="1"/>
  <c r="BJ597" i="1"/>
  <c r="BL597" i="1"/>
  <c r="BM597" i="1"/>
  <c r="BN597" i="1"/>
  <c r="BO597" i="1"/>
  <c r="D598" i="1"/>
  <c r="G598" i="1"/>
  <c r="N598" i="1"/>
  <c r="AY598" i="1" s="1"/>
  <c r="O598" i="1"/>
  <c r="AI598" i="1"/>
  <c r="AJ598" i="1"/>
  <c r="AL598" i="1"/>
  <c r="AN598" i="1"/>
  <c r="AO598" i="1"/>
  <c r="AP598" i="1"/>
  <c r="AQ598" i="1"/>
  <c r="AR598" i="1"/>
  <c r="AS598" i="1"/>
  <c r="AT598" i="1"/>
  <c r="AU598" i="1"/>
  <c r="AV598" i="1"/>
  <c r="AW598" i="1"/>
  <c r="AX598" i="1"/>
  <c r="AZ598" i="1"/>
  <c r="BB598" i="1"/>
  <c r="BD598" i="1"/>
  <c r="BG598" i="1"/>
  <c r="BH598" i="1"/>
  <c r="BI598" i="1"/>
  <c r="BJ598" i="1"/>
  <c r="BL598" i="1"/>
  <c r="BM598" i="1"/>
  <c r="BN598" i="1"/>
  <c r="BO598" i="1"/>
  <c r="D599" i="1"/>
  <c r="G599" i="1"/>
  <c r="N599" i="1"/>
  <c r="AY599" i="1" s="1"/>
  <c r="O599" i="1"/>
  <c r="AI599" i="1"/>
  <c r="AJ599" i="1"/>
  <c r="AL599" i="1"/>
  <c r="AN599" i="1"/>
  <c r="AO599" i="1"/>
  <c r="AP599" i="1"/>
  <c r="AQ599" i="1"/>
  <c r="AR599" i="1"/>
  <c r="AS599" i="1"/>
  <c r="AT599" i="1"/>
  <c r="AU599" i="1"/>
  <c r="AV599" i="1"/>
  <c r="AW599" i="1"/>
  <c r="AX599" i="1"/>
  <c r="BB599" i="1"/>
  <c r="BD599" i="1"/>
  <c r="BG599" i="1"/>
  <c r="BH599" i="1"/>
  <c r="BI599" i="1"/>
  <c r="BJ599" i="1"/>
  <c r="BL599" i="1"/>
  <c r="BM599" i="1"/>
  <c r="BN599" i="1"/>
  <c r="BO599" i="1"/>
  <c r="D600" i="1"/>
  <c r="G600" i="1"/>
  <c r="AG600" i="1" s="1"/>
  <c r="AH600" i="1" s="1"/>
  <c r="N600" i="1"/>
  <c r="AY600" i="1" s="1"/>
  <c r="O600" i="1"/>
  <c r="AI600" i="1"/>
  <c r="AJ600" i="1" s="1"/>
  <c r="AL600" i="1"/>
  <c r="AN600" i="1"/>
  <c r="AO600" i="1"/>
  <c r="AP600" i="1"/>
  <c r="AQ600" i="1"/>
  <c r="AR600" i="1"/>
  <c r="AS600" i="1"/>
  <c r="AT600" i="1"/>
  <c r="AU600" i="1"/>
  <c r="AV600" i="1"/>
  <c r="AW600" i="1"/>
  <c r="AX600" i="1"/>
  <c r="AZ600" i="1"/>
  <c r="BB600" i="1"/>
  <c r="BD600" i="1"/>
  <c r="BG600" i="1"/>
  <c r="BH600" i="1"/>
  <c r="BI600" i="1"/>
  <c r="BJ600" i="1"/>
  <c r="BL600" i="1"/>
  <c r="BM600" i="1"/>
  <c r="BN600" i="1"/>
  <c r="BO600" i="1"/>
  <c r="D601" i="1"/>
  <c r="G601" i="1"/>
  <c r="AG601" i="1" s="1"/>
  <c r="AH601" i="1" s="1"/>
  <c r="N601" i="1"/>
  <c r="AY601" i="1" s="1"/>
  <c r="O601" i="1"/>
  <c r="AI601" i="1"/>
  <c r="AJ601" i="1"/>
  <c r="AL601" i="1"/>
  <c r="AN601" i="1"/>
  <c r="AO601" i="1"/>
  <c r="AP601" i="1"/>
  <c r="AQ601" i="1"/>
  <c r="AR601" i="1"/>
  <c r="AS601" i="1"/>
  <c r="AT601" i="1"/>
  <c r="AU601" i="1"/>
  <c r="AV601" i="1"/>
  <c r="AW601" i="1"/>
  <c r="AX601" i="1"/>
  <c r="AZ601" i="1"/>
  <c r="BB601" i="1"/>
  <c r="BD601" i="1"/>
  <c r="BG601" i="1"/>
  <c r="BH601" i="1"/>
  <c r="BI601" i="1"/>
  <c r="BJ601" i="1"/>
  <c r="BL601" i="1"/>
  <c r="BM601" i="1"/>
  <c r="BN601" i="1"/>
  <c r="BO601" i="1"/>
  <c r="D602" i="1"/>
  <c r="G602" i="1"/>
  <c r="N602" i="1"/>
  <c r="O602" i="1"/>
  <c r="AI602" i="1"/>
  <c r="AJ602" i="1" s="1"/>
  <c r="AL602" i="1"/>
  <c r="AN602" i="1"/>
  <c r="AO602" i="1"/>
  <c r="AP602" i="1"/>
  <c r="AQ602" i="1"/>
  <c r="AR602" i="1"/>
  <c r="AS602" i="1"/>
  <c r="AT602" i="1"/>
  <c r="AU602" i="1"/>
  <c r="AV602" i="1"/>
  <c r="AW602" i="1"/>
  <c r="AX602" i="1"/>
  <c r="AY602" i="1"/>
  <c r="AZ602" i="1"/>
  <c r="BB602" i="1"/>
  <c r="BD602" i="1"/>
  <c r="BG602" i="1"/>
  <c r="BH602" i="1"/>
  <c r="BI602" i="1"/>
  <c r="BJ602" i="1"/>
  <c r="BL602" i="1"/>
  <c r="BM602" i="1"/>
  <c r="BN602" i="1"/>
  <c r="BO602" i="1"/>
  <c r="D603" i="1"/>
  <c r="G603" i="1"/>
  <c r="N603" i="1"/>
  <c r="AY603" i="1" s="1"/>
  <c r="O603" i="1"/>
  <c r="P603" i="1" s="1"/>
  <c r="Q603" i="1" s="1"/>
  <c r="AG603" i="1"/>
  <c r="AH603" i="1" s="1"/>
  <c r="AI603" i="1"/>
  <c r="AJ603" i="1"/>
  <c r="AK603" i="1"/>
  <c r="AL603" i="1"/>
  <c r="AN603" i="1"/>
  <c r="AO603" i="1"/>
  <c r="AP603" i="1"/>
  <c r="AQ603" i="1"/>
  <c r="AR603" i="1"/>
  <c r="AS603" i="1"/>
  <c r="AT603" i="1"/>
  <c r="AU603" i="1"/>
  <c r="AV603" i="1"/>
  <c r="AW603" i="1"/>
  <c r="AX603" i="1"/>
  <c r="BB603" i="1"/>
  <c r="BD603" i="1"/>
  <c r="BG603" i="1"/>
  <c r="BH603" i="1"/>
  <c r="BI603" i="1"/>
  <c r="BJ603" i="1"/>
  <c r="BL603" i="1"/>
  <c r="BM603" i="1"/>
  <c r="BN603" i="1"/>
  <c r="BO603" i="1"/>
  <c r="D604" i="1"/>
  <c r="G604" i="1" s="1"/>
  <c r="O604" i="1"/>
  <c r="AZ604" i="1" s="1"/>
  <c r="AI604" i="1"/>
  <c r="AJ604" i="1"/>
  <c r="AK604" i="1"/>
  <c r="AL604" i="1"/>
  <c r="AN604" i="1"/>
  <c r="AP604" i="1"/>
  <c r="AQ604" i="1"/>
  <c r="AS604" i="1"/>
  <c r="AT604" i="1"/>
  <c r="AU604" i="1"/>
  <c r="AV604" i="1"/>
  <c r="AW604" i="1"/>
  <c r="AX604" i="1"/>
  <c r="BB604" i="1"/>
  <c r="BD604" i="1"/>
  <c r="BG604" i="1"/>
  <c r="BH604" i="1"/>
  <c r="BI604" i="1"/>
  <c r="BJ604" i="1"/>
  <c r="BL604" i="1"/>
  <c r="BM604" i="1"/>
  <c r="BN604" i="1"/>
  <c r="BO604" i="1"/>
  <c r="D605" i="1"/>
  <c r="G605" i="1" s="1"/>
  <c r="O605" i="1"/>
  <c r="AZ605" i="1" s="1"/>
  <c r="AI605" i="1"/>
  <c r="AJ605" i="1"/>
  <c r="AK605" i="1"/>
  <c r="AL605" i="1"/>
  <c r="AN605" i="1"/>
  <c r="AP605" i="1"/>
  <c r="AQ605" i="1"/>
  <c r="AS605" i="1"/>
  <c r="AT605" i="1"/>
  <c r="AU605" i="1"/>
  <c r="AV605" i="1"/>
  <c r="AW605" i="1"/>
  <c r="AX605" i="1"/>
  <c r="BB605" i="1"/>
  <c r="BD605" i="1"/>
  <c r="BG605" i="1"/>
  <c r="BH605" i="1"/>
  <c r="BI605" i="1"/>
  <c r="BJ605" i="1"/>
  <c r="BL605" i="1"/>
  <c r="BM605" i="1"/>
  <c r="BN605" i="1"/>
  <c r="BO605" i="1"/>
  <c r="D606" i="1"/>
  <c r="G606" i="1" s="1"/>
  <c r="O606" i="1"/>
  <c r="AZ606" i="1" s="1"/>
  <c r="AI606" i="1"/>
  <c r="AJ606" i="1"/>
  <c r="AK606" i="1"/>
  <c r="AL606" i="1"/>
  <c r="AN606" i="1"/>
  <c r="AP606" i="1"/>
  <c r="AQ606" i="1"/>
  <c r="AS606" i="1"/>
  <c r="AT606" i="1"/>
  <c r="AU606" i="1"/>
  <c r="AV606" i="1"/>
  <c r="AW606" i="1"/>
  <c r="AX606" i="1"/>
  <c r="BB606" i="1"/>
  <c r="BD606" i="1"/>
  <c r="BG606" i="1"/>
  <c r="BH606" i="1"/>
  <c r="BI606" i="1"/>
  <c r="BJ606" i="1"/>
  <c r="BL606" i="1"/>
  <c r="BM606" i="1"/>
  <c r="BN606" i="1"/>
  <c r="BO606" i="1"/>
  <c r="D607" i="1"/>
  <c r="G607" i="1" s="1"/>
  <c r="O607" i="1"/>
  <c r="AZ607" i="1" s="1"/>
  <c r="AI607" i="1"/>
  <c r="AJ607" i="1"/>
  <c r="AK607" i="1"/>
  <c r="AL607" i="1"/>
  <c r="AN607" i="1"/>
  <c r="AP607" i="1"/>
  <c r="AQ607" i="1"/>
  <c r="AS607" i="1"/>
  <c r="AT607" i="1"/>
  <c r="AU607" i="1"/>
  <c r="AV607" i="1"/>
  <c r="AW607" i="1"/>
  <c r="AX607" i="1"/>
  <c r="BB607" i="1"/>
  <c r="BD607" i="1"/>
  <c r="BG607" i="1"/>
  <c r="BH607" i="1"/>
  <c r="BI607" i="1"/>
  <c r="BJ607" i="1"/>
  <c r="BL607" i="1"/>
  <c r="BM607" i="1"/>
  <c r="BN607" i="1"/>
  <c r="BO607" i="1"/>
  <c r="D608" i="1"/>
  <c r="G608" i="1" s="1"/>
  <c r="O608" i="1"/>
  <c r="AZ608" i="1" s="1"/>
  <c r="AI608" i="1"/>
  <c r="AJ608" i="1"/>
  <c r="AK608" i="1"/>
  <c r="AL608" i="1"/>
  <c r="AN608" i="1"/>
  <c r="AP608" i="1"/>
  <c r="AQ608" i="1"/>
  <c r="AS608" i="1"/>
  <c r="AT608" i="1"/>
  <c r="AU608" i="1"/>
  <c r="AV608" i="1"/>
  <c r="AW608" i="1"/>
  <c r="AX608" i="1"/>
  <c r="BB608" i="1"/>
  <c r="BD608" i="1"/>
  <c r="BG608" i="1"/>
  <c r="BH608" i="1"/>
  <c r="BI608" i="1"/>
  <c r="BJ608" i="1"/>
  <c r="BL608" i="1"/>
  <c r="BM608" i="1"/>
  <c r="BN608" i="1"/>
  <c r="BO608" i="1"/>
  <c r="D609" i="1"/>
  <c r="G609" i="1" s="1"/>
  <c r="O609" i="1"/>
  <c r="AZ609" i="1" s="1"/>
  <c r="AI609" i="1"/>
  <c r="AJ609" i="1"/>
  <c r="AK609" i="1"/>
  <c r="AL609" i="1"/>
  <c r="AN609" i="1"/>
  <c r="AP609" i="1"/>
  <c r="AQ609" i="1"/>
  <c r="AS609" i="1"/>
  <c r="AT609" i="1"/>
  <c r="AU609" i="1"/>
  <c r="AV609" i="1"/>
  <c r="AW609" i="1"/>
  <c r="AX609" i="1"/>
  <c r="BB609" i="1"/>
  <c r="BD609" i="1"/>
  <c r="BG609" i="1"/>
  <c r="BH609" i="1"/>
  <c r="BI609" i="1"/>
  <c r="BJ609" i="1"/>
  <c r="BL609" i="1"/>
  <c r="BM609" i="1"/>
  <c r="BN609" i="1"/>
  <c r="BO609" i="1"/>
  <c r="D610" i="1"/>
  <c r="G610" i="1" s="1"/>
  <c r="O610" i="1"/>
  <c r="AZ610" i="1" s="1"/>
  <c r="AI610" i="1"/>
  <c r="AJ610" i="1"/>
  <c r="AK610" i="1"/>
  <c r="AL610" i="1"/>
  <c r="AN610" i="1"/>
  <c r="AP610" i="1"/>
  <c r="AQ610" i="1"/>
  <c r="AS610" i="1"/>
  <c r="AT610" i="1"/>
  <c r="AU610" i="1"/>
  <c r="AV610" i="1"/>
  <c r="AW610" i="1"/>
  <c r="AX610" i="1"/>
  <c r="BB610" i="1"/>
  <c r="BD610" i="1"/>
  <c r="BG610" i="1"/>
  <c r="BH610" i="1"/>
  <c r="BI610" i="1"/>
  <c r="BJ610" i="1"/>
  <c r="BL610" i="1"/>
  <c r="BM610" i="1"/>
  <c r="BN610" i="1"/>
  <c r="BO610" i="1"/>
  <c r="D611" i="1"/>
  <c r="G611" i="1" s="1"/>
  <c r="O611" i="1"/>
  <c r="AZ611" i="1" s="1"/>
  <c r="AI611" i="1"/>
  <c r="AJ611" i="1"/>
  <c r="AK611" i="1"/>
  <c r="AL611" i="1"/>
  <c r="AN611" i="1"/>
  <c r="AP611" i="1"/>
  <c r="AQ611" i="1"/>
  <c r="AS611" i="1"/>
  <c r="AT611" i="1"/>
  <c r="AU611" i="1"/>
  <c r="AV611" i="1"/>
  <c r="AW611" i="1"/>
  <c r="AX611" i="1"/>
  <c r="BB611" i="1"/>
  <c r="BD611" i="1"/>
  <c r="BG611" i="1"/>
  <c r="BH611" i="1"/>
  <c r="BI611" i="1"/>
  <c r="BJ611" i="1"/>
  <c r="BL611" i="1"/>
  <c r="BM611" i="1"/>
  <c r="BN611" i="1"/>
  <c r="BO611" i="1"/>
  <c r="D612" i="1"/>
  <c r="G612" i="1" s="1"/>
  <c r="O612" i="1"/>
  <c r="AZ612" i="1" s="1"/>
  <c r="AI612" i="1"/>
  <c r="AJ612" i="1"/>
  <c r="AK612" i="1"/>
  <c r="AL612" i="1"/>
  <c r="AN612" i="1"/>
  <c r="AP612" i="1"/>
  <c r="AQ612" i="1"/>
  <c r="AS612" i="1"/>
  <c r="AT612" i="1"/>
  <c r="AU612" i="1"/>
  <c r="AV612" i="1"/>
  <c r="AW612" i="1"/>
  <c r="AX612" i="1"/>
  <c r="BB612" i="1"/>
  <c r="BD612" i="1"/>
  <c r="BG612" i="1"/>
  <c r="BH612" i="1"/>
  <c r="BI612" i="1"/>
  <c r="BJ612" i="1"/>
  <c r="BL612" i="1"/>
  <c r="BM612" i="1"/>
  <c r="BN612" i="1"/>
  <c r="BO612" i="1"/>
  <c r="D613" i="1"/>
  <c r="G613" i="1" s="1"/>
  <c r="O613" i="1"/>
  <c r="AZ613" i="1" s="1"/>
  <c r="AI613" i="1"/>
  <c r="AJ613" i="1"/>
  <c r="AK613" i="1"/>
  <c r="AL613" i="1"/>
  <c r="AN613" i="1"/>
  <c r="AP613" i="1"/>
  <c r="AQ613" i="1"/>
  <c r="AS613" i="1"/>
  <c r="AT613" i="1"/>
  <c r="AU613" i="1"/>
  <c r="AV613" i="1"/>
  <c r="AW613" i="1"/>
  <c r="AX613" i="1"/>
  <c r="BB613" i="1"/>
  <c r="BD613" i="1"/>
  <c r="BG613" i="1"/>
  <c r="BH613" i="1"/>
  <c r="BI613" i="1"/>
  <c r="BJ613" i="1"/>
  <c r="BL613" i="1"/>
  <c r="BM613" i="1"/>
  <c r="BN613" i="1"/>
  <c r="BO613" i="1"/>
  <c r="D614" i="1"/>
  <c r="G614" i="1" s="1"/>
  <c r="O614" i="1"/>
  <c r="AZ614" i="1" s="1"/>
  <c r="AI614" i="1"/>
  <c r="AJ614" i="1"/>
  <c r="AK614" i="1"/>
  <c r="AL614" i="1"/>
  <c r="AN614" i="1"/>
  <c r="AP614" i="1"/>
  <c r="AQ614" i="1"/>
  <c r="AS614" i="1"/>
  <c r="AT614" i="1"/>
  <c r="AU614" i="1"/>
  <c r="AV614" i="1"/>
  <c r="AW614" i="1"/>
  <c r="AX614" i="1"/>
  <c r="BB614" i="1"/>
  <c r="BD614" i="1"/>
  <c r="BG614" i="1"/>
  <c r="BH614" i="1"/>
  <c r="BI614" i="1"/>
  <c r="BJ614" i="1"/>
  <c r="BL614" i="1"/>
  <c r="BM614" i="1"/>
  <c r="BN614" i="1"/>
  <c r="BO614" i="1"/>
  <c r="D615" i="1"/>
  <c r="G615" i="1" s="1"/>
  <c r="O615" i="1"/>
  <c r="AZ615" i="1" s="1"/>
  <c r="AI615" i="1"/>
  <c r="AJ615" i="1"/>
  <c r="AK615" i="1"/>
  <c r="AL615" i="1"/>
  <c r="AN615" i="1"/>
  <c r="AP615" i="1"/>
  <c r="AQ615" i="1"/>
  <c r="AS615" i="1"/>
  <c r="AT615" i="1"/>
  <c r="AU615" i="1"/>
  <c r="AV615" i="1"/>
  <c r="AW615" i="1"/>
  <c r="AX615" i="1"/>
  <c r="BB615" i="1"/>
  <c r="BD615" i="1"/>
  <c r="BG615" i="1"/>
  <c r="BH615" i="1"/>
  <c r="BI615" i="1"/>
  <c r="BJ615" i="1"/>
  <c r="BL615" i="1"/>
  <c r="BM615" i="1"/>
  <c r="BN615" i="1"/>
  <c r="BO615" i="1"/>
  <c r="D616" i="1"/>
  <c r="G616" i="1" s="1"/>
  <c r="O616" i="1"/>
  <c r="AZ616" i="1" s="1"/>
  <c r="AI616" i="1"/>
  <c r="AJ616" i="1"/>
  <c r="AK616" i="1"/>
  <c r="AL616" i="1"/>
  <c r="AN616" i="1"/>
  <c r="AP616" i="1"/>
  <c r="AQ616" i="1"/>
  <c r="AS616" i="1"/>
  <c r="AT616" i="1"/>
  <c r="AU616" i="1"/>
  <c r="AV616" i="1"/>
  <c r="AW616" i="1"/>
  <c r="AX616" i="1"/>
  <c r="BB616" i="1"/>
  <c r="BD616" i="1"/>
  <c r="BG616" i="1"/>
  <c r="BH616" i="1"/>
  <c r="BI616" i="1"/>
  <c r="BJ616" i="1"/>
  <c r="BL616" i="1"/>
  <c r="BM616" i="1"/>
  <c r="BN616" i="1"/>
  <c r="BO616" i="1"/>
  <c r="D617" i="1"/>
  <c r="G617" i="1" s="1"/>
  <c r="O617" i="1"/>
  <c r="AZ617" i="1" s="1"/>
  <c r="AI617" i="1"/>
  <c r="AJ617" i="1"/>
  <c r="AK617" i="1"/>
  <c r="AL617" i="1"/>
  <c r="AN617" i="1"/>
  <c r="AP617" i="1"/>
  <c r="AQ617" i="1"/>
  <c r="AS617" i="1"/>
  <c r="AT617" i="1"/>
  <c r="AU617" i="1"/>
  <c r="AV617" i="1"/>
  <c r="AW617" i="1"/>
  <c r="AX617" i="1"/>
  <c r="BB617" i="1"/>
  <c r="BD617" i="1"/>
  <c r="BG617" i="1"/>
  <c r="BH617" i="1"/>
  <c r="BI617" i="1"/>
  <c r="BJ617" i="1"/>
  <c r="BL617" i="1"/>
  <c r="BM617" i="1"/>
  <c r="BN617" i="1"/>
  <c r="BO617" i="1"/>
  <c r="D618" i="1"/>
  <c r="G618" i="1" s="1"/>
  <c r="O618" i="1"/>
  <c r="AZ618" i="1" s="1"/>
  <c r="AI618" i="1"/>
  <c r="AJ618" i="1"/>
  <c r="AK618" i="1"/>
  <c r="AL618" i="1"/>
  <c r="AN618" i="1"/>
  <c r="AP618" i="1"/>
  <c r="AQ618" i="1"/>
  <c r="AS618" i="1"/>
  <c r="AT618" i="1"/>
  <c r="AU618" i="1"/>
  <c r="AV618" i="1"/>
  <c r="AW618" i="1"/>
  <c r="AX618" i="1"/>
  <c r="BB618" i="1"/>
  <c r="BD618" i="1"/>
  <c r="BG618" i="1"/>
  <c r="BH618" i="1"/>
  <c r="BI618" i="1"/>
  <c r="BJ618" i="1"/>
  <c r="BL618" i="1"/>
  <c r="BM618" i="1"/>
  <c r="BN618" i="1"/>
  <c r="BO618" i="1"/>
  <c r="D619" i="1"/>
  <c r="G619" i="1" s="1"/>
  <c r="O619" i="1"/>
  <c r="AZ619" i="1" s="1"/>
  <c r="AI619" i="1"/>
  <c r="AJ619" i="1"/>
  <c r="AK619" i="1"/>
  <c r="AL619" i="1"/>
  <c r="AN619" i="1"/>
  <c r="AP619" i="1"/>
  <c r="AQ619" i="1"/>
  <c r="AS619" i="1"/>
  <c r="AT619" i="1"/>
  <c r="AU619" i="1"/>
  <c r="AV619" i="1"/>
  <c r="AW619" i="1"/>
  <c r="AX619" i="1"/>
  <c r="BB619" i="1"/>
  <c r="BD619" i="1"/>
  <c r="BG619" i="1"/>
  <c r="BH619" i="1"/>
  <c r="BI619" i="1"/>
  <c r="BJ619" i="1"/>
  <c r="BL619" i="1"/>
  <c r="BM619" i="1"/>
  <c r="BN619" i="1"/>
  <c r="BO619" i="1"/>
  <c r="D620" i="1"/>
  <c r="G620" i="1" s="1"/>
  <c r="O620" i="1"/>
  <c r="AZ620" i="1" s="1"/>
  <c r="AI620" i="1"/>
  <c r="AJ620" i="1"/>
  <c r="AK620" i="1"/>
  <c r="AL620" i="1"/>
  <c r="AN620" i="1"/>
  <c r="AP620" i="1"/>
  <c r="AQ620" i="1"/>
  <c r="AS620" i="1"/>
  <c r="AT620" i="1"/>
  <c r="AU620" i="1"/>
  <c r="AV620" i="1"/>
  <c r="AW620" i="1"/>
  <c r="AX620" i="1"/>
  <c r="BB620" i="1"/>
  <c r="BD620" i="1"/>
  <c r="BG620" i="1"/>
  <c r="BH620" i="1"/>
  <c r="BI620" i="1"/>
  <c r="BJ620" i="1"/>
  <c r="BL620" i="1"/>
  <c r="BM620" i="1"/>
  <c r="BN620" i="1"/>
  <c r="BO620" i="1"/>
  <c r="D621" i="1"/>
  <c r="G621" i="1" s="1"/>
  <c r="O621" i="1"/>
  <c r="AZ621" i="1" s="1"/>
  <c r="AI621" i="1"/>
  <c r="AJ621" i="1"/>
  <c r="AK621" i="1"/>
  <c r="AL621" i="1"/>
  <c r="AN621" i="1"/>
  <c r="AP621" i="1"/>
  <c r="AQ621" i="1"/>
  <c r="AS621" i="1"/>
  <c r="AT621" i="1"/>
  <c r="AU621" i="1"/>
  <c r="AV621" i="1"/>
  <c r="AW621" i="1"/>
  <c r="AX621" i="1"/>
  <c r="BB621" i="1"/>
  <c r="BD621" i="1"/>
  <c r="BG621" i="1"/>
  <c r="BH621" i="1"/>
  <c r="BI621" i="1"/>
  <c r="BJ621" i="1"/>
  <c r="BL621" i="1"/>
  <c r="BM621" i="1"/>
  <c r="BN621" i="1"/>
  <c r="BO621" i="1"/>
  <c r="D622" i="1"/>
  <c r="G622" i="1" s="1"/>
  <c r="O622" i="1"/>
  <c r="AZ622" i="1" s="1"/>
  <c r="AI622" i="1"/>
  <c r="AJ622" i="1"/>
  <c r="AK622" i="1"/>
  <c r="AL622" i="1"/>
  <c r="AN622" i="1"/>
  <c r="AP622" i="1"/>
  <c r="AQ622" i="1"/>
  <c r="AS622" i="1"/>
  <c r="AT622" i="1"/>
  <c r="AU622" i="1"/>
  <c r="AV622" i="1"/>
  <c r="AW622" i="1"/>
  <c r="AX622" i="1"/>
  <c r="BB622" i="1"/>
  <c r="BD622" i="1"/>
  <c r="BG622" i="1"/>
  <c r="BH622" i="1"/>
  <c r="BI622" i="1"/>
  <c r="BJ622" i="1"/>
  <c r="BL622" i="1"/>
  <c r="BM622" i="1"/>
  <c r="BN622" i="1"/>
  <c r="BO622" i="1"/>
  <c r="D623" i="1"/>
  <c r="G623" i="1" s="1"/>
  <c r="O623" i="1"/>
  <c r="AZ623" i="1" s="1"/>
  <c r="AI623" i="1"/>
  <c r="AJ623" i="1"/>
  <c r="AK623" i="1"/>
  <c r="AL623" i="1"/>
  <c r="AN623" i="1"/>
  <c r="AP623" i="1"/>
  <c r="AQ623" i="1"/>
  <c r="AS623" i="1"/>
  <c r="AT623" i="1"/>
  <c r="AU623" i="1"/>
  <c r="AV623" i="1"/>
  <c r="AW623" i="1"/>
  <c r="AX623" i="1"/>
  <c r="BB623" i="1"/>
  <c r="BD623" i="1"/>
  <c r="BG623" i="1"/>
  <c r="BH623" i="1"/>
  <c r="BI623" i="1"/>
  <c r="BJ623" i="1"/>
  <c r="BL623" i="1"/>
  <c r="BM623" i="1"/>
  <c r="BN623" i="1"/>
  <c r="BO623" i="1"/>
  <c r="D624" i="1"/>
  <c r="G624" i="1" s="1"/>
  <c r="O624" i="1"/>
  <c r="AZ624" i="1" s="1"/>
  <c r="AI624" i="1"/>
  <c r="AJ624" i="1"/>
  <c r="AK624" i="1"/>
  <c r="AL624" i="1"/>
  <c r="AN624" i="1"/>
  <c r="AP624" i="1"/>
  <c r="AQ624" i="1"/>
  <c r="AS624" i="1"/>
  <c r="AT624" i="1"/>
  <c r="AU624" i="1"/>
  <c r="AV624" i="1"/>
  <c r="AW624" i="1"/>
  <c r="AX624" i="1"/>
  <c r="BB624" i="1"/>
  <c r="BD624" i="1"/>
  <c r="BG624" i="1"/>
  <c r="BH624" i="1"/>
  <c r="BI624" i="1"/>
  <c r="BJ624" i="1"/>
  <c r="BL624" i="1"/>
  <c r="BM624" i="1"/>
  <c r="BN624" i="1"/>
  <c r="BO624" i="1"/>
  <c r="D625" i="1"/>
  <c r="G625" i="1" s="1"/>
  <c r="O625" i="1"/>
  <c r="AZ625" i="1" s="1"/>
  <c r="AI625" i="1"/>
  <c r="AJ625" i="1"/>
  <c r="AK625" i="1"/>
  <c r="AL625" i="1"/>
  <c r="AN625" i="1"/>
  <c r="AP625" i="1"/>
  <c r="AQ625" i="1"/>
  <c r="AS625" i="1"/>
  <c r="AT625" i="1"/>
  <c r="AU625" i="1"/>
  <c r="AV625" i="1"/>
  <c r="AW625" i="1"/>
  <c r="AX625" i="1"/>
  <c r="BB625" i="1"/>
  <c r="BD625" i="1"/>
  <c r="BG625" i="1"/>
  <c r="BH625" i="1"/>
  <c r="BI625" i="1"/>
  <c r="BJ625" i="1"/>
  <c r="BL625" i="1"/>
  <c r="BM625" i="1"/>
  <c r="BN625" i="1"/>
  <c r="BO625" i="1"/>
  <c r="D626" i="1"/>
  <c r="G626" i="1" s="1"/>
  <c r="O626" i="1"/>
  <c r="AZ626" i="1" s="1"/>
  <c r="AI626" i="1"/>
  <c r="AJ626" i="1"/>
  <c r="AK626" i="1"/>
  <c r="AL626" i="1"/>
  <c r="AN626" i="1"/>
  <c r="AP626" i="1"/>
  <c r="AQ626" i="1"/>
  <c r="AS626" i="1"/>
  <c r="AT626" i="1"/>
  <c r="AU626" i="1"/>
  <c r="AV626" i="1"/>
  <c r="AW626" i="1"/>
  <c r="AX626" i="1"/>
  <c r="BB626" i="1"/>
  <c r="BD626" i="1"/>
  <c r="BG626" i="1"/>
  <c r="BH626" i="1"/>
  <c r="BI626" i="1"/>
  <c r="BJ626" i="1"/>
  <c r="BL626" i="1"/>
  <c r="BM626" i="1"/>
  <c r="BN626" i="1"/>
  <c r="BO626" i="1"/>
  <c r="D627" i="1"/>
  <c r="G627" i="1" s="1"/>
  <c r="O627" i="1"/>
  <c r="AZ627" i="1" s="1"/>
  <c r="AI627" i="1"/>
  <c r="AJ627" i="1"/>
  <c r="AK627" i="1"/>
  <c r="AL627" i="1"/>
  <c r="AN627" i="1"/>
  <c r="AP627" i="1"/>
  <c r="AQ627" i="1"/>
  <c r="AS627" i="1"/>
  <c r="AT627" i="1"/>
  <c r="AU627" i="1"/>
  <c r="AV627" i="1"/>
  <c r="AW627" i="1"/>
  <c r="AX627" i="1"/>
  <c r="BB627" i="1"/>
  <c r="BD627" i="1"/>
  <c r="BG627" i="1"/>
  <c r="BH627" i="1"/>
  <c r="BI627" i="1"/>
  <c r="BJ627" i="1"/>
  <c r="BL627" i="1"/>
  <c r="BM627" i="1"/>
  <c r="BN627" i="1"/>
  <c r="BO627" i="1"/>
  <c r="D628" i="1"/>
  <c r="G628" i="1" s="1"/>
  <c r="O628" i="1"/>
  <c r="AZ628" i="1" s="1"/>
  <c r="AI628" i="1"/>
  <c r="AJ628" i="1"/>
  <c r="AK628" i="1"/>
  <c r="AL628" i="1"/>
  <c r="AN628" i="1"/>
  <c r="AP628" i="1"/>
  <c r="AQ628" i="1"/>
  <c r="AS628" i="1"/>
  <c r="AT628" i="1"/>
  <c r="AU628" i="1"/>
  <c r="AV628" i="1"/>
  <c r="AW628" i="1"/>
  <c r="AX628" i="1"/>
  <c r="BB628" i="1"/>
  <c r="BD628" i="1"/>
  <c r="BG628" i="1"/>
  <c r="BH628" i="1"/>
  <c r="BI628" i="1"/>
  <c r="BJ628" i="1"/>
  <c r="BL628" i="1"/>
  <c r="BM628" i="1"/>
  <c r="BN628" i="1"/>
  <c r="BO628" i="1"/>
  <c r="D629" i="1"/>
  <c r="G629" i="1" s="1"/>
  <c r="O629" i="1"/>
  <c r="AZ629" i="1" s="1"/>
  <c r="AI629" i="1"/>
  <c r="AJ629" i="1"/>
  <c r="AK629" i="1"/>
  <c r="AL629" i="1"/>
  <c r="AN629" i="1"/>
  <c r="AP629" i="1"/>
  <c r="AQ629" i="1"/>
  <c r="AS629" i="1"/>
  <c r="AT629" i="1"/>
  <c r="AU629" i="1"/>
  <c r="AV629" i="1"/>
  <c r="AW629" i="1"/>
  <c r="AX629" i="1"/>
  <c r="BB629" i="1"/>
  <c r="BD629" i="1"/>
  <c r="BG629" i="1"/>
  <c r="BH629" i="1"/>
  <c r="BI629" i="1"/>
  <c r="BJ629" i="1"/>
  <c r="BL629" i="1"/>
  <c r="BM629" i="1"/>
  <c r="BN629" i="1"/>
  <c r="BO629" i="1"/>
  <c r="D630" i="1"/>
  <c r="G630" i="1" s="1"/>
  <c r="O630" i="1"/>
  <c r="AZ630" i="1" s="1"/>
  <c r="AI630" i="1"/>
  <c r="AJ630" i="1"/>
  <c r="AK630" i="1"/>
  <c r="AL630" i="1"/>
  <c r="AN630" i="1"/>
  <c r="AP630" i="1"/>
  <c r="AQ630" i="1"/>
  <c r="AS630" i="1"/>
  <c r="AT630" i="1"/>
  <c r="AU630" i="1"/>
  <c r="AV630" i="1"/>
  <c r="AW630" i="1"/>
  <c r="AX630" i="1"/>
  <c r="BB630" i="1"/>
  <c r="BD630" i="1"/>
  <c r="BG630" i="1"/>
  <c r="BH630" i="1"/>
  <c r="BI630" i="1"/>
  <c r="BJ630" i="1"/>
  <c r="BL630" i="1"/>
  <c r="BM630" i="1"/>
  <c r="BN630" i="1"/>
  <c r="BO630" i="1"/>
  <c r="D631" i="1"/>
  <c r="G631" i="1" s="1"/>
  <c r="O631" i="1"/>
  <c r="AZ631" i="1" s="1"/>
  <c r="AI631" i="1"/>
  <c r="AJ631" i="1"/>
  <c r="AK631" i="1"/>
  <c r="AL631" i="1"/>
  <c r="AN631" i="1"/>
  <c r="AP631" i="1"/>
  <c r="AQ631" i="1"/>
  <c r="AS631" i="1"/>
  <c r="AT631" i="1"/>
  <c r="AU631" i="1"/>
  <c r="AV631" i="1"/>
  <c r="AW631" i="1"/>
  <c r="AX631" i="1"/>
  <c r="BB631" i="1"/>
  <c r="BD631" i="1"/>
  <c r="BG631" i="1"/>
  <c r="BH631" i="1"/>
  <c r="BI631" i="1"/>
  <c r="BJ631" i="1"/>
  <c r="BL631" i="1"/>
  <c r="BM631" i="1"/>
  <c r="BN631" i="1"/>
  <c r="BO631" i="1"/>
  <c r="D632" i="1"/>
  <c r="G632" i="1" s="1"/>
  <c r="O632" i="1"/>
  <c r="AZ632" i="1" s="1"/>
  <c r="AI632" i="1"/>
  <c r="AJ632" i="1"/>
  <c r="AK632" i="1"/>
  <c r="AL632" i="1"/>
  <c r="AN632" i="1"/>
  <c r="AP632" i="1"/>
  <c r="AQ632" i="1"/>
  <c r="AS632" i="1"/>
  <c r="AT632" i="1"/>
  <c r="AU632" i="1"/>
  <c r="AV632" i="1"/>
  <c r="AW632" i="1"/>
  <c r="AX632" i="1"/>
  <c r="BB632" i="1"/>
  <c r="BD632" i="1"/>
  <c r="BG632" i="1"/>
  <c r="BH632" i="1"/>
  <c r="BI632" i="1"/>
  <c r="BJ632" i="1"/>
  <c r="BL632" i="1"/>
  <c r="BM632" i="1"/>
  <c r="BN632" i="1"/>
  <c r="BO632" i="1"/>
  <c r="D633" i="1"/>
  <c r="G633" i="1" s="1"/>
  <c r="O633" i="1"/>
  <c r="AZ633" i="1" s="1"/>
  <c r="AI633" i="1"/>
  <c r="AJ633" i="1"/>
  <c r="AK633" i="1"/>
  <c r="AL633" i="1"/>
  <c r="AN633" i="1"/>
  <c r="AP633" i="1"/>
  <c r="AQ633" i="1"/>
  <c r="AS633" i="1"/>
  <c r="AT633" i="1"/>
  <c r="AU633" i="1"/>
  <c r="AV633" i="1"/>
  <c r="AW633" i="1"/>
  <c r="AX633" i="1"/>
  <c r="BB633" i="1"/>
  <c r="BD633" i="1"/>
  <c r="BG633" i="1"/>
  <c r="BH633" i="1"/>
  <c r="BI633" i="1"/>
  <c r="BJ633" i="1"/>
  <c r="BL633" i="1"/>
  <c r="BM633" i="1"/>
  <c r="BN633" i="1"/>
  <c r="BO633" i="1"/>
  <c r="D634" i="1"/>
  <c r="G634" i="1" s="1"/>
  <c r="O634" i="1"/>
  <c r="AZ634" i="1" s="1"/>
  <c r="AI634" i="1"/>
  <c r="AJ634" i="1"/>
  <c r="AK634" i="1"/>
  <c r="AL634" i="1"/>
  <c r="AN634" i="1"/>
  <c r="AP634" i="1"/>
  <c r="AQ634" i="1"/>
  <c r="AS634" i="1"/>
  <c r="AT634" i="1"/>
  <c r="AU634" i="1"/>
  <c r="AV634" i="1"/>
  <c r="AW634" i="1"/>
  <c r="AX634" i="1"/>
  <c r="BB634" i="1"/>
  <c r="BD634" i="1"/>
  <c r="BG634" i="1"/>
  <c r="BH634" i="1"/>
  <c r="BI634" i="1"/>
  <c r="BJ634" i="1"/>
  <c r="BL634" i="1"/>
  <c r="BM634" i="1"/>
  <c r="BN634" i="1"/>
  <c r="BO634" i="1"/>
  <c r="D635" i="1"/>
  <c r="G635" i="1" s="1"/>
  <c r="O635" i="1"/>
  <c r="AZ635" i="1" s="1"/>
  <c r="AI635" i="1"/>
  <c r="AJ635" i="1"/>
  <c r="AK635" i="1"/>
  <c r="AL635" i="1"/>
  <c r="AN635" i="1"/>
  <c r="AP635" i="1"/>
  <c r="AQ635" i="1"/>
  <c r="AS635" i="1"/>
  <c r="AT635" i="1"/>
  <c r="AU635" i="1"/>
  <c r="AV635" i="1"/>
  <c r="AW635" i="1"/>
  <c r="AX635" i="1"/>
  <c r="BB635" i="1"/>
  <c r="BD635" i="1"/>
  <c r="BG635" i="1"/>
  <c r="BH635" i="1"/>
  <c r="BI635" i="1"/>
  <c r="BJ635" i="1"/>
  <c r="BL635" i="1"/>
  <c r="BM635" i="1"/>
  <c r="BN635" i="1"/>
  <c r="BO635" i="1"/>
  <c r="D636" i="1"/>
  <c r="G636" i="1" s="1"/>
  <c r="O636" i="1"/>
  <c r="AZ636" i="1" s="1"/>
  <c r="AI636" i="1"/>
  <c r="AJ636" i="1"/>
  <c r="AK636" i="1"/>
  <c r="AL636" i="1"/>
  <c r="AN636" i="1"/>
  <c r="AP636" i="1"/>
  <c r="AQ636" i="1"/>
  <c r="AS636" i="1"/>
  <c r="AT636" i="1"/>
  <c r="AU636" i="1"/>
  <c r="AV636" i="1"/>
  <c r="AW636" i="1"/>
  <c r="AX636" i="1"/>
  <c r="BB636" i="1"/>
  <c r="BD636" i="1"/>
  <c r="BG636" i="1"/>
  <c r="BH636" i="1"/>
  <c r="BI636" i="1"/>
  <c r="BJ636" i="1"/>
  <c r="BL636" i="1"/>
  <c r="BM636" i="1"/>
  <c r="BN636" i="1"/>
  <c r="BO636" i="1"/>
  <c r="D637" i="1"/>
  <c r="G637" i="1" s="1"/>
  <c r="O637" i="1"/>
  <c r="AZ637" i="1" s="1"/>
  <c r="AI637" i="1"/>
  <c r="AJ637" i="1"/>
  <c r="AK637" i="1"/>
  <c r="AL637" i="1"/>
  <c r="AN637" i="1"/>
  <c r="AP637" i="1"/>
  <c r="AQ637" i="1"/>
  <c r="AS637" i="1"/>
  <c r="AT637" i="1"/>
  <c r="AU637" i="1"/>
  <c r="AV637" i="1"/>
  <c r="AW637" i="1"/>
  <c r="AX637" i="1"/>
  <c r="BB637" i="1"/>
  <c r="BD637" i="1"/>
  <c r="BG637" i="1"/>
  <c r="BH637" i="1"/>
  <c r="BI637" i="1"/>
  <c r="BJ637" i="1"/>
  <c r="BL637" i="1"/>
  <c r="BM637" i="1"/>
  <c r="BN637" i="1"/>
  <c r="BO637" i="1"/>
  <c r="D638" i="1"/>
  <c r="G638" i="1" s="1"/>
  <c r="O638" i="1"/>
  <c r="AZ638" i="1" s="1"/>
  <c r="AI638" i="1"/>
  <c r="AJ638" i="1"/>
  <c r="AK638" i="1"/>
  <c r="AL638" i="1"/>
  <c r="AN638" i="1"/>
  <c r="AP638" i="1"/>
  <c r="AQ638" i="1"/>
  <c r="AS638" i="1"/>
  <c r="AT638" i="1"/>
  <c r="AU638" i="1"/>
  <c r="AV638" i="1"/>
  <c r="AW638" i="1"/>
  <c r="AX638" i="1"/>
  <c r="BB638" i="1"/>
  <c r="BD638" i="1"/>
  <c r="BG638" i="1"/>
  <c r="BH638" i="1"/>
  <c r="BI638" i="1"/>
  <c r="BJ638" i="1"/>
  <c r="BL638" i="1"/>
  <c r="BM638" i="1"/>
  <c r="BN638" i="1"/>
  <c r="BO638" i="1"/>
  <c r="D639" i="1"/>
  <c r="G639" i="1" s="1"/>
  <c r="O639" i="1"/>
  <c r="AZ639" i="1" s="1"/>
  <c r="AI639" i="1"/>
  <c r="AJ639" i="1"/>
  <c r="AK639" i="1"/>
  <c r="AL639" i="1"/>
  <c r="AN639" i="1"/>
  <c r="AP639" i="1"/>
  <c r="AQ639" i="1"/>
  <c r="AS639" i="1"/>
  <c r="AT639" i="1"/>
  <c r="AU639" i="1"/>
  <c r="AV639" i="1"/>
  <c r="AW639" i="1"/>
  <c r="AX639" i="1"/>
  <c r="BB639" i="1"/>
  <c r="BD639" i="1"/>
  <c r="BG639" i="1"/>
  <c r="BH639" i="1"/>
  <c r="BI639" i="1"/>
  <c r="BJ639" i="1"/>
  <c r="BL639" i="1"/>
  <c r="BM639" i="1"/>
  <c r="BN639" i="1"/>
  <c r="BO639" i="1"/>
  <c r="D640" i="1"/>
  <c r="G640" i="1" s="1"/>
  <c r="O640" i="1"/>
  <c r="AZ640" i="1" s="1"/>
  <c r="AI640" i="1"/>
  <c r="AJ640" i="1"/>
  <c r="AK640" i="1"/>
  <c r="AL640" i="1"/>
  <c r="AN640" i="1"/>
  <c r="AP640" i="1"/>
  <c r="AQ640" i="1"/>
  <c r="AS640" i="1"/>
  <c r="AT640" i="1"/>
  <c r="AU640" i="1"/>
  <c r="AV640" i="1"/>
  <c r="AW640" i="1"/>
  <c r="AX640" i="1"/>
  <c r="BB640" i="1"/>
  <c r="BD640" i="1"/>
  <c r="BG640" i="1"/>
  <c r="BH640" i="1"/>
  <c r="BI640" i="1"/>
  <c r="BJ640" i="1"/>
  <c r="BL640" i="1"/>
  <c r="BM640" i="1"/>
  <c r="BN640" i="1"/>
  <c r="BO640" i="1"/>
  <c r="D641" i="1"/>
  <c r="G641" i="1" s="1"/>
  <c r="O641" i="1"/>
  <c r="AZ641" i="1" s="1"/>
  <c r="AI641" i="1"/>
  <c r="AJ641" i="1"/>
  <c r="AK641" i="1"/>
  <c r="AL641" i="1"/>
  <c r="AN641" i="1"/>
  <c r="AP641" i="1"/>
  <c r="AQ641" i="1"/>
  <c r="AS641" i="1"/>
  <c r="AT641" i="1"/>
  <c r="AU641" i="1"/>
  <c r="AV641" i="1"/>
  <c r="AW641" i="1"/>
  <c r="AX641" i="1"/>
  <c r="BB641" i="1"/>
  <c r="BD641" i="1"/>
  <c r="BG641" i="1"/>
  <c r="BH641" i="1"/>
  <c r="BI641" i="1"/>
  <c r="BJ641" i="1"/>
  <c r="BL641" i="1"/>
  <c r="BM641" i="1"/>
  <c r="BN641" i="1"/>
  <c r="BO641" i="1"/>
  <c r="D642" i="1"/>
  <c r="G642" i="1" s="1"/>
  <c r="O642" i="1"/>
  <c r="AZ642" i="1" s="1"/>
  <c r="AI642" i="1"/>
  <c r="AJ642" i="1"/>
  <c r="AK642" i="1"/>
  <c r="AL642" i="1"/>
  <c r="AN642" i="1"/>
  <c r="AP642" i="1"/>
  <c r="AQ642" i="1"/>
  <c r="AS642" i="1"/>
  <c r="AT642" i="1"/>
  <c r="AU642" i="1"/>
  <c r="AV642" i="1"/>
  <c r="AW642" i="1"/>
  <c r="AX642" i="1"/>
  <c r="BB642" i="1"/>
  <c r="BD642" i="1"/>
  <c r="BG642" i="1"/>
  <c r="BH642" i="1"/>
  <c r="BI642" i="1"/>
  <c r="BJ642" i="1"/>
  <c r="BL642" i="1"/>
  <c r="BM642" i="1"/>
  <c r="BN642" i="1"/>
  <c r="BO642" i="1"/>
  <c r="D643" i="1"/>
  <c r="G643" i="1" s="1"/>
  <c r="O643" i="1"/>
  <c r="AZ643" i="1" s="1"/>
  <c r="AI643" i="1"/>
  <c r="AJ643" i="1"/>
  <c r="AK643" i="1"/>
  <c r="AL643" i="1"/>
  <c r="AN643" i="1"/>
  <c r="AP643" i="1"/>
  <c r="AQ643" i="1"/>
  <c r="AS643" i="1"/>
  <c r="AT643" i="1"/>
  <c r="AU643" i="1"/>
  <c r="AV643" i="1"/>
  <c r="AW643" i="1"/>
  <c r="AX643" i="1"/>
  <c r="BB643" i="1"/>
  <c r="BD643" i="1"/>
  <c r="BG643" i="1"/>
  <c r="BH643" i="1"/>
  <c r="BI643" i="1"/>
  <c r="BJ643" i="1"/>
  <c r="BL643" i="1"/>
  <c r="BM643" i="1"/>
  <c r="BN643" i="1"/>
  <c r="BO643" i="1"/>
  <c r="D644" i="1"/>
  <c r="G644" i="1" s="1"/>
  <c r="O644" i="1"/>
  <c r="AZ644" i="1" s="1"/>
  <c r="AI644" i="1"/>
  <c r="AJ644" i="1"/>
  <c r="AK644" i="1"/>
  <c r="AL644" i="1"/>
  <c r="AN644" i="1"/>
  <c r="AP644" i="1"/>
  <c r="AQ644" i="1"/>
  <c r="AS644" i="1"/>
  <c r="AT644" i="1"/>
  <c r="AU644" i="1"/>
  <c r="AV644" i="1"/>
  <c r="AW644" i="1"/>
  <c r="AX644" i="1"/>
  <c r="BB644" i="1"/>
  <c r="BD644" i="1"/>
  <c r="BG644" i="1"/>
  <c r="BH644" i="1"/>
  <c r="BI644" i="1"/>
  <c r="BJ644" i="1"/>
  <c r="BL644" i="1"/>
  <c r="BM644" i="1"/>
  <c r="BN644" i="1"/>
  <c r="BO644" i="1"/>
  <c r="D645" i="1"/>
  <c r="G645" i="1" s="1"/>
  <c r="O645" i="1"/>
  <c r="AZ645" i="1" s="1"/>
  <c r="AI645" i="1"/>
  <c r="AJ645" i="1"/>
  <c r="AK645" i="1"/>
  <c r="AL645" i="1"/>
  <c r="AN645" i="1"/>
  <c r="AP645" i="1"/>
  <c r="AQ645" i="1"/>
  <c r="AS645" i="1"/>
  <c r="AT645" i="1"/>
  <c r="AU645" i="1"/>
  <c r="AV645" i="1"/>
  <c r="AW645" i="1"/>
  <c r="AX645" i="1"/>
  <c r="BB645" i="1"/>
  <c r="BD645" i="1"/>
  <c r="BG645" i="1"/>
  <c r="BH645" i="1"/>
  <c r="BI645" i="1"/>
  <c r="BJ645" i="1"/>
  <c r="BL645" i="1"/>
  <c r="BM645" i="1"/>
  <c r="BN645" i="1"/>
  <c r="BO645" i="1"/>
  <c r="D646" i="1"/>
  <c r="G646" i="1" s="1"/>
  <c r="O646" i="1"/>
  <c r="AZ646" i="1" s="1"/>
  <c r="AI646" i="1"/>
  <c r="AJ646" i="1"/>
  <c r="AK646" i="1"/>
  <c r="AL646" i="1"/>
  <c r="AN646" i="1"/>
  <c r="AP646" i="1"/>
  <c r="AQ646" i="1"/>
  <c r="AS646" i="1"/>
  <c r="AT646" i="1"/>
  <c r="AU646" i="1"/>
  <c r="AV646" i="1"/>
  <c r="AW646" i="1"/>
  <c r="AX646" i="1"/>
  <c r="BB646" i="1"/>
  <c r="BD646" i="1"/>
  <c r="BG646" i="1"/>
  <c r="BH646" i="1"/>
  <c r="BI646" i="1"/>
  <c r="BJ646" i="1"/>
  <c r="BL646" i="1"/>
  <c r="BM646" i="1"/>
  <c r="BN646" i="1"/>
  <c r="BO646" i="1"/>
  <c r="D647" i="1"/>
  <c r="G647" i="1" s="1"/>
  <c r="O647" i="1"/>
  <c r="AZ647" i="1" s="1"/>
  <c r="AI647" i="1"/>
  <c r="AJ647" i="1"/>
  <c r="AK647" i="1"/>
  <c r="AL647" i="1"/>
  <c r="AN647" i="1"/>
  <c r="AP647" i="1"/>
  <c r="AQ647" i="1"/>
  <c r="AS647" i="1"/>
  <c r="AT647" i="1"/>
  <c r="AU647" i="1"/>
  <c r="AV647" i="1"/>
  <c r="AW647" i="1"/>
  <c r="AX647" i="1"/>
  <c r="BB647" i="1"/>
  <c r="BD647" i="1"/>
  <c r="BG647" i="1"/>
  <c r="BH647" i="1"/>
  <c r="BI647" i="1"/>
  <c r="BJ647" i="1"/>
  <c r="BL647" i="1"/>
  <c r="BM647" i="1"/>
  <c r="BN647" i="1"/>
  <c r="BO647" i="1"/>
  <c r="D648" i="1"/>
  <c r="G648" i="1" s="1"/>
  <c r="O648" i="1"/>
  <c r="AZ648" i="1" s="1"/>
  <c r="AI648" i="1"/>
  <c r="AJ648" i="1"/>
  <c r="AK648" i="1"/>
  <c r="AL648" i="1"/>
  <c r="AN648" i="1"/>
  <c r="AP648" i="1"/>
  <c r="AQ648" i="1"/>
  <c r="AS648" i="1"/>
  <c r="AT648" i="1"/>
  <c r="AU648" i="1"/>
  <c r="AV648" i="1"/>
  <c r="AW648" i="1"/>
  <c r="AX648" i="1"/>
  <c r="BB648" i="1"/>
  <c r="BD648" i="1"/>
  <c r="BG648" i="1"/>
  <c r="BH648" i="1"/>
  <c r="BI648" i="1"/>
  <c r="BJ648" i="1"/>
  <c r="BL648" i="1"/>
  <c r="BM648" i="1"/>
  <c r="BN648" i="1"/>
  <c r="BO648" i="1"/>
  <c r="D649" i="1"/>
  <c r="G649" i="1" s="1"/>
  <c r="O649" i="1"/>
  <c r="AZ649" i="1" s="1"/>
  <c r="AI649" i="1"/>
  <c r="AJ649" i="1"/>
  <c r="AK649" i="1"/>
  <c r="AL649" i="1"/>
  <c r="AN649" i="1"/>
  <c r="AP649" i="1"/>
  <c r="AQ649" i="1"/>
  <c r="AS649" i="1"/>
  <c r="AT649" i="1"/>
  <c r="AU649" i="1"/>
  <c r="AV649" i="1"/>
  <c r="AW649" i="1"/>
  <c r="AX649" i="1"/>
  <c r="BB649" i="1"/>
  <c r="BD649" i="1"/>
  <c r="BG649" i="1"/>
  <c r="BH649" i="1"/>
  <c r="BI649" i="1"/>
  <c r="BJ649" i="1"/>
  <c r="BL649" i="1"/>
  <c r="BM649" i="1"/>
  <c r="BN649" i="1"/>
  <c r="BO649" i="1"/>
  <c r="D650" i="1"/>
  <c r="G650" i="1" s="1"/>
  <c r="O650" i="1"/>
  <c r="AZ650" i="1" s="1"/>
  <c r="AI650" i="1"/>
  <c r="AJ650" i="1"/>
  <c r="AK650" i="1"/>
  <c r="AL650" i="1"/>
  <c r="AN650" i="1"/>
  <c r="AP650" i="1"/>
  <c r="AQ650" i="1"/>
  <c r="AS650" i="1"/>
  <c r="AT650" i="1"/>
  <c r="AU650" i="1"/>
  <c r="AV650" i="1"/>
  <c r="AW650" i="1"/>
  <c r="AX650" i="1"/>
  <c r="BB650" i="1"/>
  <c r="BD650" i="1"/>
  <c r="BG650" i="1"/>
  <c r="BH650" i="1"/>
  <c r="BI650" i="1"/>
  <c r="BJ650" i="1"/>
  <c r="BL650" i="1"/>
  <c r="BM650" i="1"/>
  <c r="BN650" i="1"/>
  <c r="BO650" i="1"/>
  <c r="D651" i="1"/>
  <c r="G651" i="1" s="1"/>
  <c r="O651" i="1"/>
  <c r="AZ651" i="1" s="1"/>
  <c r="AI651" i="1"/>
  <c r="AJ651" i="1"/>
  <c r="AK651" i="1"/>
  <c r="AL651" i="1"/>
  <c r="AN651" i="1"/>
  <c r="AP651" i="1"/>
  <c r="AQ651" i="1"/>
  <c r="AS651" i="1"/>
  <c r="AT651" i="1"/>
  <c r="AU651" i="1"/>
  <c r="AV651" i="1"/>
  <c r="AW651" i="1"/>
  <c r="AX651" i="1"/>
  <c r="BB651" i="1"/>
  <c r="BD651" i="1"/>
  <c r="BG651" i="1"/>
  <c r="BH651" i="1"/>
  <c r="BI651" i="1"/>
  <c r="BJ651" i="1"/>
  <c r="BL651" i="1"/>
  <c r="BM651" i="1"/>
  <c r="BN651" i="1"/>
  <c r="BO651" i="1"/>
  <c r="D652" i="1"/>
  <c r="G652" i="1" s="1"/>
  <c r="O652" i="1"/>
  <c r="AZ652" i="1" s="1"/>
  <c r="AI652" i="1"/>
  <c r="AJ652" i="1"/>
  <c r="AK652" i="1"/>
  <c r="AL652" i="1"/>
  <c r="AN652" i="1"/>
  <c r="AP652" i="1"/>
  <c r="AQ652" i="1"/>
  <c r="AS652" i="1"/>
  <c r="AT652" i="1"/>
  <c r="AU652" i="1"/>
  <c r="AV652" i="1"/>
  <c r="AW652" i="1"/>
  <c r="AX652" i="1"/>
  <c r="BB652" i="1"/>
  <c r="BD652" i="1"/>
  <c r="BG652" i="1"/>
  <c r="BH652" i="1"/>
  <c r="BI652" i="1"/>
  <c r="BJ652" i="1"/>
  <c r="BL652" i="1"/>
  <c r="BM652" i="1"/>
  <c r="BN652" i="1"/>
  <c r="BO652" i="1"/>
  <c r="D653" i="1"/>
  <c r="G653" i="1" s="1"/>
  <c r="O653" i="1"/>
  <c r="AZ653" i="1" s="1"/>
  <c r="AI653" i="1"/>
  <c r="AJ653" i="1"/>
  <c r="AK653" i="1"/>
  <c r="AL653" i="1"/>
  <c r="AN653" i="1"/>
  <c r="AP653" i="1"/>
  <c r="AQ653" i="1"/>
  <c r="AS653" i="1"/>
  <c r="AT653" i="1"/>
  <c r="AU653" i="1"/>
  <c r="AV653" i="1"/>
  <c r="AW653" i="1"/>
  <c r="AX653" i="1"/>
  <c r="BB653" i="1"/>
  <c r="BD653" i="1"/>
  <c r="BG653" i="1"/>
  <c r="BH653" i="1"/>
  <c r="BI653" i="1"/>
  <c r="BJ653" i="1"/>
  <c r="BL653" i="1"/>
  <c r="BM653" i="1"/>
  <c r="BN653" i="1"/>
  <c r="BO653" i="1"/>
  <c r="D654" i="1"/>
  <c r="G654" i="1" s="1"/>
  <c r="O654" i="1"/>
  <c r="AZ654" i="1" s="1"/>
  <c r="AI654" i="1"/>
  <c r="AJ654" i="1"/>
  <c r="AK654" i="1"/>
  <c r="AL654" i="1"/>
  <c r="AN654" i="1"/>
  <c r="AP654" i="1"/>
  <c r="AQ654" i="1"/>
  <c r="AS654" i="1"/>
  <c r="AT654" i="1"/>
  <c r="AU654" i="1"/>
  <c r="AV654" i="1"/>
  <c r="AW654" i="1"/>
  <c r="AX654" i="1"/>
  <c r="BB654" i="1"/>
  <c r="BD654" i="1"/>
  <c r="BG654" i="1"/>
  <c r="BH654" i="1"/>
  <c r="BI654" i="1"/>
  <c r="BJ654" i="1"/>
  <c r="BL654" i="1"/>
  <c r="BM654" i="1"/>
  <c r="BN654" i="1"/>
  <c r="BO654" i="1"/>
  <c r="D655" i="1"/>
  <c r="G655" i="1" s="1"/>
  <c r="O655" i="1"/>
  <c r="AZ655" i="1" s="1"/>
  <c r="AI655" i="1"/>
  <c r="AJ655" i="1"/>
  <c r="AK655" i="1"/>
  <c r="AL655" i="1"/>
  <c r="AN655" i="1"/>
  <c r="AP655" i="1"/>
  <c r="AQ655" i="1"/>
  <c r="AS655" i="1"/>
  <c r="AT655" i="1"/>
  <c r="AU655" i="1"/>
  <c r="AV655" i="1"/>
  <c r="AW655" i="1"/>
  <c r="AX655" i="1"/>
  <c r="BB655" i="1"/>
  <c r="BD655" i="1"/>
  <c r="BG655" i="1"/>
  <c r="BH655" i="1"/>
  <c r="BI655" i="1"/>
  <c r="BJ655" i="1"/>
  <c r="BL655" i="1"/>
  <c r="BM655" i="1"/>
  <c r="BN655" i="1"/>
  <c r="BO655" i="1"/>
  <c r="D656" i="1"/>
  <c r="G656" i="1" s="1"/>
  <c r="O656" i="1"/>
  <c r="AZ656" i="1" s="1"/>
  <c r="AI656" i="1"/>
  <c r="AJ656" i="1"/>
  <c r="AK656" i="1"/>
  <c r="AL656" i="1"/>
  <c r="AN656" i="1"/>
  <c r="AP656" i="1"/>
  <c r="AQ656" i="1"/>
  <c r="AS656" i="1"/>
  <c r="AT656" i="1"/>
  <c r="AU656" i="1"/>
  <c r="AV656" i="1"/>
  <c r="AW656" i="1"/>
  <c r="AX656" i="1"/>
  <c r="BB656" i="1"/>
  <c r="BD656" i="1"/>
  <c r="BG656" i="1"/>
  <c r="BH656" i="1"/>
  <c r="BI656" i="1"/>
  <c r="BJ656" i="1"/>
  <c r="BL656" i="1"/>
  <c r="BM656" i="1"/>
  <c r="BN656" i="1"/>
  <c r="BO656" i="1"/>
  <c r="D657" i="1"/>
  <c r="G657" i="1" s="1"/>
  <c r="O657" i="1"/>
  <c r="AZ657" i="1" s="1"/>
  <c r="AI657" i="1"/>
  <c r="AJ657" i="1"/>
  <c r="AK657" i="1"/>
  <c r="AL657" i="1"/>
  <c r="AN657" i="1"/>
  <c r="AP657" i="1"/>
  <c r="AQ657" i="1"/>
  <c r="AS657" i="1"/>
  <c r="AT657" i="1"/>
  <c r="AU657" i="1"/>
  <c r="AV657" i="1"/>
  <c r="AW657" i="1"/>
  <c r="AX657" i="1"/>
  <c r="BB657" i="1"/>
  <c r="BD657" i="1"/>
  <c r="BG657" i="1"/>
  <c r="BH657" i="1"/>
  <c r="BI657" i="1"/>
  <c r="BJ657" i="1"/>
  <c r="BL657" i="1"/>
  <c r="BM657" i="1"/>
  <c r="BN657" i="1"/>
  <c r="BO657" i="1"/>
  <c r="D658" i="1"/>
  <c r="G658" i="1" s="1"/>
  <c r="O658" i="1"/>
  <c r="AZ658" i="1" s="1"/>
  <c r="AI658" i="1"/>
  <c r="AJ658" i="1"/>
  <c r="AK658" i="1"/>
  <c r="AL658" i="1"/>
  <c r="AN658" i="1"/>
  <c r="AP658" i="1"/>
  <c r="AQ658" i="1"/>
  <c r="AS658" i="1"/>
  <c r="AT658" i="1"/>
  <c r="AU658" i="1"/>
  <c r="AV658" i="1"/>
  <c r="AW658" i="1"/>
  <c r="AX658" i="1"/>
  <c r="BB658" i="1"/>
  <c r="BD658" i="1"/>
  <c r="BG658" i="1"/>
  <c r="BH658" i="1"/>
  <c r="BI658" i="1"/>
  <c r="BJ658" i="1"/>
  <c r="BL658" i="1"/>
  <c r="BM658" i="1"/>
  <c r="BN658" i="1"/>
  <c r="BO658" i="1"/>
  <c r="D659" i="1"/>
  <c r="G659" i="1" s="1"/>
  <c r="O659" i="1"/>
  <c r="AZ659" i="1" s="1"/>
  <c r="AI659" i="1"/>
  <c r="AJ659" i="1"/>
  <c r="AK659" i="1"/>
  <c r="AL659" i="1"/>
  <c r="AN659" i="1"/>
  <c r="AP659" i="1"/>
  <c r="AQ659" i="1"/>
  <c r="AS659" i="1"/>
  <c r="AT659" i="1"/>
  <c r="AU659" i="1"/>
  <c r="AV659" i="1"/>
  <c r="AW659" i="1"/>
  <c r="AX659" i="1"/>
  <c r="BB659" i="1"/>
  <c r="BD659" i="1"/>
  <c r="BG659" i="1"/>
  <c r="BH659" i="1"/>
  <c r="BI659" i="1"/>
  <c r="BJ659" i="1"/>
  <c r="BL659" i="1"/>
  <c r="BM659" i="1"/>
  <c r="BN659" i="1"/>
  <c r="BO659" i="1"/>
  <c r="D660" i="1"/>
  <c r="G660" i="1" s="1"/>
  <c r="O660" i="1"/>
  <c r="AZ660" i="1" s="1"/>
  <c r="AI660" i="1"/>
  <c r="AJ660" i="1"/>
  <c r="AK660" i="1"/>
  <c r="AL660" i="1"/>
  <c r="AN660" i="1"/>
  <c r="AP660" i="1"/>
  <c r="AQ660" i="1"/>
  <c r="AS660" i="1"/>
  <c r="AT660" i="1"/>
  <c r="AU660" i="1"/>
  <c r="AV660" i="1"/>
  <c r="AW660" i="1"/>
  <c r="AX660" i="1"/>
  <c r="BB660" i="1"/>
  <c r="BD660" i="1"/>
  <c r="BG660" i="1"/>
  <c r="BH660" i="1"/>
  <c r="BI660" i="1"/>
  <c r="BJ660" i="1"/>
  <c r="BL660" i="1"/>
  <c r="BM660" i="1"/>
  <c r="BN660" i="1"/>
  <c r="BO660" i="1"/>
  <c r="D661" i="1"/>
  <c r="G661" i="1" s="1"/>
  <c r="O661" i="1"/>
  <c r="AZ661" i="1" s="1"/>
  <c r="AI661" i="1"/>
  <c r="AJ661" i="1"/>
  <c r="AK661" i="1"/>
  <c r="AL661" i="1"/>
  <c r="AN661" i="1"/>
  <c r="AP661" i="1"/>
  <c r="AQ661" i="1"/>
  <c r="AS661" i="1"/>
  <c r="AT661" i="1"/>
  <c r="AU661" i="1"/>
  <c r="AV661" i="1"/>
  <c r="AW661" i="1"/>
  <c r="AX661" i="1"/>
  <c r="BB661" i="1"/>
  <c r="BD661" i="1"/>
  <c r="BG661" i="1"/>
  <c r="BH661" i="1"/>
  <c r="BI661" i="1"/>
  <c r="BJ661" i="1"/>
  <c r="BL661" i="1"/>
  <c r="BM661" i="1"/>
  <c r="BN661" i="1"/>
  <c r="BO661" i="1"/>
  <c r="D662" i="1"/>
  <c r="G662" i="1" s="1"/>
  <c r="O662" i="1"/>
  <c r="AZ662" i="1" s="1"/>
  <c r="AI662" i="1"/>
  <c r="AJ662" i="1"/>
  <c r="AK662" i="1"/>
  <c r="AL662" i="1"/>
  <c r="AN662" i="1"/>
  <c r="AP662" i="1"/>
  <c r="AQ662" i="1"/>
  <c r="AS662" i="1"/>
  <c r="AT662" i="1"/>
  <c r="AU662" i="1"/>
  <c r="AV662" i="1"/>
  <c r="AW662" i="1"/>
  <c r="AX662" i="1"/>
  <c r="BB662" i="1"/>
  <c r="BD662" i="1"/>
  <c r="BG662" i="1"/>
  <c r="BH662" i="1"/>
  <c r="BI662" i="1"/>
  <c r="BJ662" i="1"/>
  <c r="BL662" i="1"/>
  <c r="BM662" i="1"/>
  <c r="BN662" i="1"/>
  <c r="BO662" i="1"/>
  <c r="D663" i="1"/>
  <c r="G663" i="1" s="1"/>
  <c r="O663" i="1"/>
  <c r="AZ663" i="1" s="1"/>
  <c r="AI663" i="1"/>
  <c r="AJ663" i="1"/>
  <c r="AK663" i="1"/>
  <c r="AL663" i="1"/>
  <c r="AN663" i="1"/>
  <c r="AP663" i="1"/>
  <c r="AQ663" i="1"/>
  <c r="AS663" i="1"/>
  <c r="AT663" i="1"/>
  <c r="AU663" i="1"/>
  <c r="AV663" i="1"/>
  <c r="AW663" i="1"/>
  <c r="AX663" i="1"/>
  <c r="BB663" i="1"/>
  <c r="BD663" i="1"/>
  <c r="BG663" i="1"/>
  <c r="BH663" i="1"/>
  <c r="BI663" i="1"/>
  <c r="BJ663" i="1"/>
  <c r="BL663" i="1"/>
  <c r="BM663" i="1"/>
  <c r="BN663" i="1"/>
  <c r="BO663" i="1"/>
  <c r="D664" i="1"/>
  <c r="G664" i="1" s="1"/>
  <c r="O664" i="1"/>
  <c r="AZ664" i="1" s="1"/>
  <c r="AI664" i="1"/>
  <c r="AJ664" i="1"/>
  <c r="AK664" i="1"/>
  <c r="AL664" i="1"/>
  <c r="AN664" i="1"/>
  <c r="AP664" i="1"/>
  <c r="AQ664" i="1"/>
  <c r="AS664" i="1"/>
  <c r="AT664" i="1"/>
  <c r="AU664" i="1"/>
  <c r="AV664" i="1"/>
  <c r="AW664" i="1"/>
  <c r="AX664" i="1"/>
  <c r="BB664" i="1"/>
  <c r="BD664" i="1"/>
  <c r="BG664" i="1"/>
  <c r="BH664" i="1"/>
  <c r="BI664" i="1"/>
  <c r="BJ664" i="1"/>
  <c r="BL664" i="1"/>
  <c r="BM664" i="1"/>
  <c r="BN664" i="1"/>
  <c r="BO664" i="1"/>
  <c r="D665" i="1"/>
  <c r="G665" i="1" s="1"/>
  <c r="O665" i="1"/>
  <c r="AZ665" i="1" s="1"/>
  <c r="AI665" i="1"/>
  <c r="AJ665" i="1"/>
  <c r="AK665" i="1"/>
  <c r="AL665" i="1"/>
  <c r="AN665" i="1"/>
  <c r="AP665" i="1"/>
  <c r="AQ665" i="1"/>
  <c r="AS665" i="1"/>
  <c r="AT665" i="1"/>
  <c r="AU665" i="1"/>
  <c r="AV665" i="1"/>
  <c r="AW665" i="1"/>
  <c r="AX665" i="1"/>
  <c r="BB665" i="1"/>
  <c r="BD665" i="1"/>
  <c r="BG665" i="1"/>
  <c r="BH665" i="1"/>
  <c r="BI665" i="1"/>
  <c r="BJ665" i="1"/>
  <c r="BL665" i="1"/>
  <c r="BM665" i="1"/>
  <c r="BN665" i="1"/>
  <c r="BO665" i="1"/>
  <c r="D666" i="1"/>
  <c r="G666" i="1" s="1"/>
  <c r="O666" i="1"/>
  <c r="AZ666" i="1" s="1"/>
  <c r="AI666" i="1"/>
  <c r="AJ666" i="1"/>
  <c r="AK666" i="1"/>
  <c r="AL666" i="1"/>
  <c r="AN666" i="1"/>
  <c r="AP666" i="1"/>
  <c r="AQ666" i="1"/>
  <c r="AS666" i="1"/>
  <c r="AT666" i="1"/>
  <c r="AU666" i="1"/>
  <c r="AV666" i="1"/>
  <c r="AW666" i="1"/>
  <c r="AX666" i="1"/>
  <c r="BB666" i="1"/>
  <c r="BD666" i="1"/>
  <c r="BG666" i="1"/>
  <c r="BH666" i="1"/>
  <c r="BI666" i="1"/>
  <c r="BJ666" i="1"/>
  <c r="BL666" i="1"/>
  <c r="BM666" i="1"/>
  <c r="BN666" i="1"/>
  <c r="BO666" i="1"/>
  <c r="D667" i="1"/>
  <c r="G667" i="1" s="1"/>
  <c r="O667" i="1"/>
  <c r="AZ667" i="1" s="1"/>
  <c r="AI667" i="1"/>
  <c r="AJ667" i="1"/>
  <c r="AK667" i="1"/>
  <c r="AL667" i="1"/>
  <c r="AN667" i="1"/>
  <c r="AP667" i="1"/>
  <c r="AQ667" i="1"/>
  <c r="AS667" i="1"/>
  <c r="AT667" i="1"/>
  <c r="AU667" i="1"/>
  <c r="AV667" i="1"/>
  <c r="AW667" i="1"/>
  <c r="AX667" i="1"/>
  <c r="BB667" i="1"/>
  <c r="BD667" i="1"/>
  <c r="BG667" i="1"/>
  <c r="BH667" i="1"/>
  <c r="BI667" i="1"/>
  <c r="BJ667" i="1"/>
  <c r="BL667" i="1"/>
  <c r="BM667" i="1"/>
  <c r="BN667" i="1"/>
  <c r="BO667" i="1"/>
  <c r="D668" i="1"/>
  <c r="G668" i="1" s="1"/>
  <c r="O668" i="1"/>
  <c r="AZ668" i="1" s="1"/>
  <c r="AI668" i="1"/>
  <c r="AJ668" i="1"/>
  <c r="AK668" i="1"/>
  <c r="AL668" i="1"/>
  <c r="AN668" i="1"/>
  <c r="AP668" i="1"/>
  <c r="AQ668" i="1"/>
  <c r="AS668" i="1"/>
  <c r="AT668" i="1"/>
  <c r="AU668" i="1"/>
  <c r="AV668" i="1"/>
  <c r="AW668" i="1"/>
  <c r="AX668" i="1"/>
  <c r="BB668" i="1"/>
  <c r="BD668" i="1"/>
  <c r="BG668" i="1"/>
  <c r="BH668" i="1"/>
  <c r="BI668" i="1"/>
  <c r="BJ668" i="1"/>
  <c r="BL668" i="1"/>
  <c r="BM668" i="1"/>
  <c r="BN668" i="1"/>
  <c r="BO668" i="1"/>
  <c r="D669" i="1"/>
  <c r="G669" i="1" s="1"/>
  <c r="O669" i="1"/>
  <c r="AZ669" i="1" s="1"/>
  <c r="AI669" i="1"/>
  <c r="AJ669" i="1"/>
  <c r="AK669" i="1"/>
  <c r="AL669" i="1"/>
  <c r="AN669" i="1"/>
  <c r="AP669" i="1"/>
  <c r="AQ669" i="1"/>
  <c r="AS669" i="1"/>
  <c r="AT669" i="1"/>
  <c r="AU669" i="1"/>
  <c r="AV669" i="1"/>
  <c r="AW669" i="1"/>
  <c r="AX669" i="1"/>
  <c r="BB669" i="1"/>
  <c r="BD669" i="1"/>
  <c r="BG669" i="1"/>
  <c r="BH669" i="1"/>
  <c r="BI669" i="1"/>
  <c r="BJ669" i="1"/>
  <c r="BL669" i="1"/>
  <c r="BM669" i="1"/>
  <c r="BN669" i="1"/>
  <c r="BO669" i="1"/>
  <c r="D670" i="1"/>
  <c r="G670" i="1" s="1"/>
  <c r="O670" i="1"/>
  <c r="AZ670" i="1" s="1"/>
  <c r="AI670" i="1"/>
  <c r="AJ670" i="1"/>
  <c r="AK670" i="1"/>
  <c r="AL670" i="1"/>
  <c r="AN670" i="1"/>
  <c r="AP670" i="1"/>
  <c r="AQ670" i="1"/>
  <c r="AS670" i="1"/>
  <c r="AT670" i="1"/>
  <c r="AU670" i="1"/>
  <c r="AV670" i="1"/>
  <c r="AW670" i="1"/>
  <c r="AX670" i="1"/>
  <c r="BB670" i="1"/>
  <c r="BD670" i="1"/>
  <c r="BG670" i="1"/>
  <c r="BH670" i="1"/>
  <c r="BI670" i="1"/>
  <c r="BJ670" i="1"/>
  <c r="BL670" i="1"/>
  <c r="BM670" i="1"/>
  <c r="BN670" i="1"/>
  <c r="BO670" i="1"/>
  <c r="D671" i="1"/>
  <c r="G671" i="1" s="1"/>
  <c r="O671" i="1"/>
  <c r="AZ671" i="1" s="1"/>
  <c r="AI671" i="1"/>
  <c r="AJ671" i="1"/>
  <c r="AK671" i="1"/>
  <c r="AL671" i="1"/>
  <c r="AN671" i="1"/>
  <c r="AP671" i="1"/>
  <c r="AQ671" i="1"/>
  <c r="AS671" i="1"/>
  <c r="AT671" i="1"/>
  <c r="AU671" i="1"/>
  <c r="AV671" i="1"/>
  <c r="AW671" i="1"/>
  <c r="AX671" i="1"/>
  <c r="BB671" i="1"/>
  <c r="BD671" i="1"/>
  <c r="BG671" i="1"/>
  <c r="BH671" i="1"/>
  <c r="BI671" i="1"/>
  <c r="BJ671" i="1"/>
  <c r="BL671" i="1"/>
  <c r="BM671" i="1"/>
  <c r="BN671" i="1"/>
  <c r="BO671" i="1"/>
  <c r="D672" i="1"/>
  <c r="G672" i="1" s="1"/>
  <c r="O672" i="1"/>
  <c r="AZ672" i="1" s="1"/>
  <c r="AI672" i="1"/>
  <c r="AJ672" i="1"/>
  <c r="AK672" i="1"/>
  <c r="AL672" i="1"/>
  <c r="AN672" i="1"/>
  <c r="AP672" i="1"/>
  <c r="AQ672" i="1"/>
  <c r="AS672" i="1"/>
  <c r="AT672" i="1"/>
  <c r="AU672" i="1"/>
  <c r="AV672" i="1"/>
  <c r="AW672" i="1"/>
  <c r="AX672" i="1"/>
  <c r="BB672" i="1"/>
  <c r="BD672" i="1"/>
  <c r="BG672" i="1"/>
  <c r="BH672" i="1"/>
  <c r="BI672" i="1"/>
  <c r="BJ672" i="1"/>
  <c r="BL672" i="1"/>
  <c r="BM672" i="1"/>
  <c r="BN672" i="1"/>
  <c r="BO672" i="1"/>
  <c r="D673" i="1"/>
  <c r="G673" i="1" s="1"/>
  <c r="O673" i="1"/>
  <c r="AZ673" i="1" s="1"/>
  <c r="AI673" i="1"/>
  <c r="AJ673" i="1"/>
  <c r="AK673" i="1"/>
  <c r="AL673" i="1"/>
  <c r="AN673" i="1"/>
  <c r="AP673" i="1"/>
  <c r="AQ673" i="1"/>
  <c r="AS673" i="1"/>
  <c r="AT673" i="1"/>
  <c r="AU673" i="1"/>
  <c r="AV673" i="1"/>
  <c r="AW673" i="1"/>
  <c r="AX673" i="1"/>
  <c r="BB673" i="1"/>
  <c r="BD673" i="1"/>
  <c r="BG673" i="1"/>
  <c r="BH673" i="1"/>
  <c r="BI673" i="1"/>
  <c r="BJ673" i="1"/>
  <c r="BL673" i="1"/>
  <c r="BM673" i="1"/>
  <c r="BN673" i="1"/>
  <c r="BO673" i="1"/>
  <c r="D674" i="1"/>
  <c r="G674" i="1" s="1"/>
  <c r="O674" i="1"/>
  <c r="AZ674" i="1" s="1"/>
  <c r="AI674" i="1"/>
  <c r="AJ674" i="1"/>
  <c r="AK674" i="1"/>
  <c r="AL674" i="1"/>
  <c r="AN674" i="1"/>
  <c r="AP674" i="1"/>
  <c r="AQ674" i="1"/>
  <c r="AS674" i="1"/>
  <c r="AT674" i="1"/>
  <c r="AU674" i="1"/>
  <c r="AV674" i="1"/>
  <c r="AW674" i="1"/>
  <c r="AX674" i="1"/>
  <c r="BB674" i="1"/>
  <c r="BD674" i="1"/>
  <c r="BG674" i="1"/>
  <c r="BH674" i="1"/>
  <c r="BI674" i="1"/>
  <c r="BJ674" i="1"/>
  <c r="BL674" i="1"/>
  <c r="BM674" i="1"/>
  <c r="BN674" i="1"/>
  <c r="BO674" i="1"/>
  <c r="D675" i="1"/>
  <c r="G675" i="1" s="1"/>
  <c r="O675" i="1"/>
  <c r="AZ675" i="1" s="1"/>
  <c r="AI675" i="1"/>
  <c r="AJ675" i="1"/>
  <c r="AK675" i="1"/>
  <c r="AL675" i="1"/>
  <c r="AN675" i="1"/>
  <c r="AP675" i="1"/>
  <c r="AQ675" i="1"/>
  <c r="AS675" i="1"/>
  <c r="AT675" i="1"/>
  <c r="AU675" i="1"/>
  <c r="AV675" i="1"/>
  <c r="AW675" i="1"/>
  <c r="AX675" i="1"/>
  <c r="BB675" i="1"/>
  <c r="BD675" i="1"/>
  <c r="BG675" i="1"/>
  <c r="BH675" i="1"/>
  <c r="BI675" i="1"/>
  <c r="BJ675" i="1"/>
  <c r="BL675" i="1"/>
  <c r="BM675" i="1"/>
  <c r="BN675" i="1"/>
  <c r="BO675" i="1"/>
  <c r="D676" i="1"/>
  <c r="G676" i="1" s="1"/>
  <c r="O676" i="1"/>
  <c r="AZ676" i="1" s="1"/>
  <c r="AI676" i="1"/>
  <c r="AJ676" i="1"/>
  <c r="AK676" i="1"/>
  <c r="AL676" i="1"/>
  <c r="AN676" i="1"/>
  <c r="AP676" i="1"/>
  <c r="AQ676" i="1"/>
  <c r="AS676" i="1"/>
  <c r="AT676" i="1"/>
  <c r="AU676" i="1"/>
  <c r="AV676" i="1"/>
  <c r="AW676" i="1"/>
  <c r="AX676" i="1"/>
  <c r="BB676" i="1"/>
  <c r="BD676" i="1"/>
  <c r="BG676" i="1"/>
  <c r="BH676" i="1"/>
  <c r="BI676" i="1"/>
  <c r="BJ676" i="1"/>
  <c r="BL676" i="1"/>
  <c r="BM676" i="1"/>
  <c r="BN676" i="1"/>
  <c r="BO676" i="1"/>
  <c r="D677" i="1"/>
  <c r="G677" i="1" s="1"/>
  <c r="O677" i="1"/>
  <c r="AZ677" i="1" s="1"/>
  <c r="AI677" i="1"/>
  <c r="AJ677" i="1"/>
  <c r="AK677" i="1"/>
  <c r="AL677" i="1"/>
  <c r="AN677" i="1"/>
  <c r="AP677" i="1"/>
  <c r="AQ677" i="1"/>
  <c r="AS677" i="1"/>
  <c r="AT677" i="1"/>
  <c r="AU677" i="1"/>
  <c r="AV677" i="1"/>
  <c r="AW677" i="1"/>
  <c r="AX677" i="1"/>
  <c r="BB677" i="1"/>
  <c r="BD677" i="1"/>
  <c r="BG677" i="1"/>
  <c r="BH677" i="1"/>
  <c r="BI677" i="1"/>
  <c r="BJ677" i="1"/>
  <c r="BL677" i="1"/>
  <c r="BM677" i="1"/>
  <c r="BN677" i="1"/>
  <c r="BO677" i="1"/>
  <c r="D678" i="1"/>
  <c r="G678" i="1" s="1"/>
  <c r="O678" i="1"/>
  <c r="AZ678" i="1" s="1"/>
  <c r="AI678" i="1"/>
  <c r="AJ678" i="1"/>
  <c r="AK678" i="1"/>
  <c r="AL678" i="1"/>
  <c r="AN678" i="1"/>
  <c r="AP678" i="1"/>
  <c r="AQ678" i="1"/>
  <c r="AS678" i="1"/>
  <c r="AT678" i="1"/>
  <c r="AU678" i="1"/>
  <c r="AV678" i="1"/>
  <c r="AW678" i="1"/>
  <c r="AX678" i="1"/>
  <c r="BB678" i="1"/>
  <c r="BD678" i="1"/>
  <c r="BG678" i="1"/>
  <c r="BH678" i="1"/>
  <c r="BI678" i="1"/>
  <c r="BJ678" i="1"/>
  <c r="BL678" i="1"/>
  <c r="BM678" i="1"/>
  <c r="BN678" i="1"/>
  <c r="BO678" i="1"/>
  <c r="D679" i="1"/>
  <c r="G679" i="1" s="1"/>
  <c r="O679" i="1"/>
  <c r="AZ679" i="1" s="1"/>
  <c r="AI679" i="1"/>
  <c r="AJ679" i="1"/>
  <c r="AK679" i="1"/>
  <c r="AL679" i="1"/>
  <c r="AN679" i="1"/>
  <c r="AP679" i="1"/>
  <c r="AQ679" i="1"/>
  <c r="AS679" i="1"/>
  <c r="AT679" i="1"/>
  <c r="AU679" i="1"/>
  <c r="AV679" i="1"/>
  <c r="AW679" i="1"/>
  <c r="AX679" i="1"/>
  <c r="BB679" i="1"/>
  <c r="BD679" i="1"/>
  <c r="BG679" i="1"/>
  <c r="BH679" i="1"/>
  <c r="BI679" i="1"/>
  <c r="BJ679" i="1"/>
  <c r="BL679" i="1"/>
  <c r="BM679" i="1"/>
  <c r="BN679" i="1"/>
  <c r="BO679" i="1"/>
  <c r="D680" i="1"/>
  <c r="G680" i="1" s="1"/>
  <c r="O680" i="1"/>
  <c r="AZ680" i="1" s="1"/>
  <c r="AI680" i="1"/>
  <c r="AJ680" i="1"/>
  <c r="AK680" i="1"/>
  <c r="AL680" i="1"/>
  <c r="AN680" i="1"/>
  <c r="AP680" i="1"/>
  <c r="AQ680" i="1"/>
  <c r="AS680" i="1"/>
  <c r="AT680" i="1"/>
  <c r="AU680" i="1"/>
  <c r="AV680" i="1"/>
  <c r="AW680" i="1"/>
  <c r="AX680" i="1"/>
  <c r="BB680" i="1"/>
  <c r="BD680" i="1"/>
  <c r="BG680" i="1"/>
  <c r="BH680" i="1"/>
  <c r="BI680" i="1"/>
  <c r="BJ680" i="1"/>
  <c r="BL680" i="1"/>
  <c r="BM680" i="1"/>
  <c r="BN680" i="1"/>
  <c r="BO680" i="1"/>
  <c r="D681" i="1"/>
  <c r="G681" i="1" s="1"/>
  <c r="O681" i="1"/>
  <c r="AZ681" i="1" s="1"/>
  <c r="AI681" i="1"/>
  <c r="AJ681" i="1"/>
  <c r="AK681" i="1"/>
  <c r="AL681" i="1"/>
  <c r="AN681" i="1"/>
  <c r="AP681" i="1"/>
  <c r="AQ681" i="1"/>
  <c r="AS681" i="1"/>
  <c r="AT681" i="1"/>
  <c r="AU681" i="1"/>
  <c r="AV681" i="1"/>
  <c r="AW681" i="1"/>
  <c r="AX681" i="1"/>
  <c r="BB681" i="1"/>
  <c r="BD681" i="1"/>
  <c r="BG681" i="1"/>
  <c r="BH681" i="1"/>
  <c r="BI681" i="1"/>
  <c r="BJ681" i="1"/>
  <c r="BL681" i="1"/>
  <c r="BM681" i="1"/>
  <c r="BN681" i="1"/>
  <c r="BO681" i="1"/>
  <c r="D682" i="1"/>
  <c r="G682" i="1" s="1"/>
  <c r="O682" i="1"/>
  <c r="AZ682" i="1" s="1"/>
  <c r="AI682" i="1"/>
  <c r="AJ682" i="1"/>
  <c r="AK682" i="1"/>
  <c r="AL682" i="1"/>
  <c r="AN682" i="1"/>
  <c r="AP682" i="1"/>
  <c r="AQ682" i="1"/>
  <c r="AS682" i="1"/>
  <c r="AT682" i="1"/>
  <c r="AU682" i="1"/>
  <c r="AV682" i="1"/>
  <c r="AW682" i="1"/>
  <c r="AX682" i="1"/>
  <c r="BB682" i="1"/>
  <c r="BD682" i="1"/>
  <c r="BG682" i="1"/>
  <c r="BH682" i="1"/>
  <c r="BI682" i="1"/>
  <c r="BJ682" i="1"/>
  <c r="BL682" i="1"/>
  <c r="BM682" i="1"/>
  <c r="BN682" i="1"/>
  <c r="BO682" i="1"/>
  <c r="D683" i="1"/>
  <c r="G683" i="1" s="1"/>
  <c r="O683" i="1"/>
  <c r="AZ683" i="1" s="1"/>
  <c r="AI683" i="1"/>
  <c r="AJ683" i="1"/>
  <c r="AK683" i="1"/>
  <c r="AL683" i="1"/>
  <c r="AN683" i="1"/>
  <c r="AP683" i="1"/>
  <c r="AQ683" i="1"/>
  <c r="AS683" i="1"/>
  <c r="AT683" i="1"/>
  <c r="AU683" i="1"/>
  <c r="AV683" i="1"/>
  <c r="AW683" i="1"/>
  <c r="AX683" i="1"/>
  <c r="BB683" i="1"/>
  <c r="BD683" i="1"/>
  <c r="BG683" i="1"/>
  <c r="BH683" i="1"/>
  <c r="BI683" i="1"/>
  <c r="BJ683" i="1"/>
  <c r="BL683" i="1"/>
  <c r="BM683" i="1"/>
  <c r="BN683" i="1"/>
  <c r="BO683" i="1"/>
  <c r="D684" i="1"/>
  <c r="G684" i="1" s="1"/>
  <c r="O684" i="1"/>
  <c r="AZ684" i="1" s="1"/>
  <c r="AI684" i="1"/>
  <c r="AJ684" i="1"/>
  <c r="AK684" i="1"/>
  <c r="AL684" i="1"/>
  <c r="AN684" i="1"/>
  <c r="AP684" i="1"/>
  <c r="AQ684" i="1"/>
  <c r="AS684" i="1"/>
  <c r="AT684" i="1"/>
  <c r="AU684" i="1"/>
  <c r="AV684" i="1"/>
  <c r="AW684" i="1"/>
  <c r="AX684" i="1"/>
  <c r="BB684" i="1"/>
  <c r="BD684" i="1"/>
  <c r="BG684" i="1"/>
  <c r="BH684" i="1"/>
  <c r="BI684" i="1"/>
  <c r="BJ684" i="1"/>
  <c r="BL684" i="1"/>
  <c r="BM684" i="1"/>
  <c r="BN684" i="1"/>
  <c r="BO684" i="1"/>
  <c r="D685" i="1"/>
  <c r="G685" i="1" s="1"/>
  <c r="O685" i="1"/>
  <c r="AZ685" i="1" s="1"/>
  <c r="AI685" i="1"/>
  <c r="AJ685" i="1"/>
  <c r="AK685" i="1"/>
  <c r="AL685" i="1"/>
  <c r="AN685" i="1"/>
  <c r="AP685" i="1"/>
  <c r="AQ685" i="1"/>
  <c r="AS685" i="1"/>
  <c r="AT685" i="1"/>
  <c r="AU685" i="1"/>
  <c r="AV685" i="1"/>
  <c r="AW685" i="1"/>
  <c r="AX685" i="1"/>
  <c r="BB685" i="1"/>
  <c r="BD685" i="1"/>
  <c r="BG685" i="1"/>
  <c r="BH685" i="1"/>
  <c r="BI685" i="1"/>
  <c r="BJ685" i="1"/>
  <c r="BL685" i="1"/>
  <c r="BM685" i="1"/>
  <c r="BN685" i="1"/>
  <c r="BO685" i="1"/>
  <c r="D686" i="1"/>
  <c r="G686" i="1" s="1"/>
  <c r="O686" i="1"/>
  <c r="AZ686" i="1" s="1"/>
  <c r="AI686" i="1"/>
  <c r="AJ686" i="1"/>
  <c r="AK686" i="1"/>
  <c r="AL686" i="1"/>
  <c r="AN686" i="1"/>
  <c r="AP686" i="1"/>
  <c r="AQ686" i="1"/>
  <c r="AS686" i="1"/>
  <c r="AT686" i="1"/>
  <c r="AU686" i="1"/>
  <c r="AV686" i="1"/>
  <c r="AW686" i="1"/>
  <c r="AX686" i="1"/>
  <c r="BB686" i="1"/>
  <c r="BD686" i="1"/>
  <c r="BG686" i="1"/>
  <c r="BH686" i="1"/>
  <c r="BI686" i="1"/>
  <c r="BJ686" i="1"/>
  <c r="BL686" i="1"/>
  <c r="BM686" i="1"/>
  <c r="BN686" i="1"/>
  <c r="BO686" i="1"/>
  <c r="D687" i="1"/>
  <c r="G687" i="1" s="1"/>
  <c r="O687" i="1"/>
  <c r="AZ687" i="1" s="1"/>
  <c r="AI687" i="1"/>
  <c r="AJ687" i="1"/>
  <c r="AK687" i="1"/>
  <c r="AL687" i="1"/>
  <c r="AN687" i="1"/>
  <c r="AP687" i="1"/>
  <c r="AQ687" i="1"/>
  <c r="AS687" i="1"/>
  <c r="AT687" i="1"/>
  <c r="AU687" i="1"/>
  <c r="AV687" i="1"/>
  <c r="AW687" i="1"/>
  <c r="AX687" i="1"/>
  <c r="BB687" i="1"/>
  <c r="BD687" i="1"/>
  <c r="BG687" i="1"/>
  <c r="BH687" i="1"/>
  <c r="BI687" i="1"/>
  <c r="BJ687" i="1"/>
  <c r="BL687" i="1"/>
  <c r="BM687" i="1"/>
  <c r="BN687" i="1"/>
  <c r="BO687" i="1"/>
  <c r="D688" i="1"/>
  <c r="G688" i="1" s="1"/>
  <c r="O688" i="1"/>
  <c r="AZ688" i="1" s="1"/>
  <c r="AI688" i="1"/>
  <c r="AJ688" i="1"/>
  <c r="AK688" i="1"/>
  <c r="AL688" i="1"/>
  <c r="AN688" i="1"/>
  <c r="AP688" i="1"/>
  <c r="AQ688" i="1"/>
  <c r="AS688" i="1"/>
  <c r="AT688" i="1"/>
  <c r="AU688" i="1"/>
  <c r="AV688" i="1"/>
  <c r="AW688" i="1"/>
  <c r="AX688" i="1"/>
  <c r="BB688" i="1"/>
  <c r="BD688" i="1"/>
  <c r="BG688" i="1"/>
  <c r="BH688" i="1"/>
  <c r="BI688" i="1"/>
  <c r="BJ688" i="1"/>
  <c r="BL688" i="1"/>
  <c r="BM688" i="1"/>
  <c r="BN688" i="1"/>
  <c r="BO688" i="1"/>
  <c r="D689" i="1"/>
  <c r="G689" i="1" s="1"/>
  <c r="O689" i="1"/>
  <c r="AZ689" i="1" s="1"/>
  <c r="AI689" i="1"/>
  <c r="AJ689" i="1"/>
  <c r="AK689" i="1"/>
  <c r="AL689" i="1"/>
  <c r="AN689" i="1"/>
  <c r="AP689" i="1"/>
  <c r="AQ689" i="1"/>
  <c r="AS689" i="1"/>
  <c r="AT689" i="1"/>
  <c r="AU689" i="1"/>
  <c r="AV689" i="1"/>
  <c r="AW689" i="1"/>
  <c r="AX689" i="1"/>
  <c r="BB689" i="1"/>
  <c r="BD689" i="1"/>
  <c r="BG689" i="1"/>
  <c r="BH689" i="1"/>
  <c r="BI689" i="1"/>
  <c r="BJ689" i="1"/>
  <c r="BL689" i="1"/>
  <c r="BM689" i="1"/>
  <c r="BN689" i="1"/>
  <c r="BO689" i="1"/>
  <c r="D690" i="1"/>
  <c r="G690" i="1" s="1"/>
  <c r="O690" i="1"/>
  <c r="AZ690" i="1" s="1"/>
  <c r="AI690" i="1"/>
  <c r="AJ690" i="1"/>
  <c r="AK690" i="1"/>
  <c r="AL690" i="1"/>
  <c r="AN690" i="1"/>
  <c r="AP690" i="1"/>
  <c r="AQ690" i="1"/>
  <c r="AS690" i="1"/>
  <c r="AT690" i="1"/>
  <c r="AU690" i="1"/>
  <c r="AV690" i="1"/>
  <c r="AW690" i="1"/>
  <c r="AX690" i="1"/>
  <c r="BB690" i="1"/>
  <c r="BD690" i="1"/>
  <c r="BG690" i="1"/>
  <c r="BH690" i="1"/>
  <c r="BI690" i="1"/>
  <c r="BJ690" i="1"/>
  <c r="BL690" i="1"/>
  <c r="BM690" i="1"/>
  <c r="BN690" i="1"/>
  <c r="BO690" i="1"/>
  <c r="D691" i="1"/>
  <c r="G691" i="1" s="1"/>
  <c r="O691" i="1"/>
  <c r="AZ691" i="1" s="1"/>
  <c r="AI691" i="1"/>
  <c r="AJ691" i="1"/>
  <c r="AK691" i="1"/>
  <c r="AL691" i="1"/>
  <c r="AN691" i="1"/>
  <c r="AP691" i="1"/>
  <c r="AQ691" i="1"/>
  <c r="AS691" i="1"/>
  <c r="AT691" i="1"/>
  <c r="AU691" i="1"/>
  <c r="AV691" i="1"/>
  <c r="AW691" i="1"/>
  <c r="AX691" i="1"/>
  <c r="BB691" i="1"/>
  <c r="BD691" i="1"/>
  <c r="BG691" i="1"/>
  <c r="BH691" i="1"/>
  <c r="BI691" i="1"/>
  <c r="BJ691" i="1"/>
  <c r="BL691" i="1"/>
  <c r="BM691" i="1"/>
  <c r="BN691" i="1"/>
  <c r="BO691" i="1"/>
  <c r="D692" i="1"/>
  <c r="G692" i="1" s="1"/>
  <c r="O692" i="1"/>
  <c r="AZ692" i="1" s="1"/>
  <c r="AI692" i="1"/>
  <c r="AJ692" i="1"/>
  <c r="AK692" i="1"/>
  <c r="AL692" i="1"/>
  <c r="AN692" i="1"/>
  <c r="AP692" i="1"/>
  <c r="AQ692" i="1"/>
  <c r="AS692" i="1"/>
  <c r="AT692" i="1"/>
  <c r="AU692" i="1"/>
  <c r="AV692" i="1"/>
  <c r="AW692" i="1"/>
  <c r="AX692" i="1"/>
  <c r="BB692" i="1"/>
  <c r="BD692" i="1"/>
  <c r="BG692" i="1"/>
  <c r="BH692" i="1"/>
  <c r="BI692" i="1"/>
  <c r="BJ692" i="1"/>
  <c r="BL692" i="1"/>
  <c r="BM692" i="1"/>
  <c r="BN692" i="1"/>
  <c r="BO692" i="1"/>
  <c r="D693" i="1"/>
  <c r="G693" i="1" s="1"/>
  <c r="O693" i="1"/>
  <c r="AZ693" i="1" s="1"/>
  <c r="AI693" i="1"/>
  <c r="AJ693" i="1"/>
  <c r="AK693" i="1"/>
  <c r="AL693" i="1"/>
  <c r="AN693" i="1"/>
  <c r="AP693" i="1"/>
  <c r="AQ693" i="1"/>
  <c r="AS693" i="1"/>
  <c r="AT693" i="1"/>
  <c r="AU693" i="1"/>
  <c r="AV693" i="1"/>
  <c r="AW693" i="1"/>
  <c r="AX693" i="1"/>
  <c r="BB693" i="1"/>
  <c r="BD693" i="1"/>
  <c r="BG693" i="1"/>
  <c r="BH693" i="1"/>
  <c r="BI693" i="1"/>
  <c r="BJ693" i="1"/>
  <c r="BL693" i="1"/>
  <c r="BM693" i="1"/>
  <c r="BN693" i="1"/>
  <c r="BO693" i="1"/>
  <c r="D694" i="1"/>
  <c r="G694" i="1" s="1"/>
  <c r="O694" i="1"/>
  <c r="AZ694" i="1" s="1"/>
  <c r="AI694" i="1"/>
  <c r="AJ694" i="1"/>
  <c r="AK694" i="1"/>
  <c r="AL694" i="1"/>
  <c r="AN694" i="1"/>
  <c r="AP694" i="1"/>
  <c r="AQ694" i="1"/>
  <c r="AS694" i="1"/>
  <c r="AT694" i="1"/>
  <c r="AU694" i="1"/>
  <c r="AV694" i="1"/>
  <c r="AW694" i="1"/>
  <c r="AX694" i="1"/>
  <c r="BB694" i="1"/>
  <c r="BD694" i="1"/>
  <c r="BG694" i="1"/>
  <c r="BH694" i="1"/>
  <c r="BI694" i="1"/>
  <c r="BJ694" i="1"/>
  <c r="BL694" i="1"/>
  <c r="BM694" i="1"/>
  <c r="BN694" i="1"/>
  <c r="BO694" i="1"/>
  <c r="D695" i="1"/>
  <c r="G695" i="1" s="1"/>
  <c r="O695" i="1"/>
  <c r="AZ695" i="1" s="1"/>
  <c r="AI695" i="1"/>
  <c r="AJ695" i="1"/>
  <c r="AK695" i="1"/>
  <c r="AL695" i="1"/>
  <c r="AN695" i="1"/>
  <c r="AP695" i="1"/>
  <c r="AQ695" i="1"/>
  <c r="AS695" i="1"/>
  <c r="AT695" i="1"/>
  <c r="AU695" i="1"/>
  <c r="AV695" i="1"/>
  <c r="AW695" i="1"/>
  <c r="AX695" i="1"/>
  <c r="BB695" i="1"/>
  <c r="BD695" i="1"/>
  <c r="BG695" i="1"/>
  <c r="BH695" i="1"/>
  <c r="BI695" i="1"/>
  <c r="BJ695" i="1"/>
  <c r="BL695" i="1"/>
  <c r="BM695" i="1"/>
  <c r="BN695" i="1"/>
  <c r="BO695" i="1"/>
  <c r="AN697" i="1"/>
  <c r="D698" i="1"/>
  <c r="G698" i="1" s="1"/>
  <c r="O698" i="1"/>
  <c r="AI698" i="1"/>
  <c r="AJ698" i="1"/>
  <c r="AL698" i="1"/>
  <c r="AN698" i="1"/>
  <c r="AO698" i="1"/>
  <c r="AP698" i="1"/>
  <c r="AQ698" i="1"/>
  <c r="AS698" i="1"/>
  <c r="AT698" i="1"/>
  <c r="AU698" i="1"/>
  <c r="AV698" i="1"/>
  <c r="AW698" i="1"/>
  <c r="AX698" i="1"/>
  <c r="BB698" i="1"/>
  <c r="BD698" i="1"/>
  <c r="BG698" i="1"/>
  <c r="BH698" i="1"/>
  <c r="BI698" i="1"/>
  <c r="BJ698" i="1"/>
  <c r="BL698" i="1"/>
  <c r="BM698" i="1"/>
  <c r="BN698" i="1"/>
  <c r="BO698" i="1"/>
  <c r="D699" i="1"/>
  <c r="G699" i="1" s="1"/>
  <c r="O699" i="1"/>
  <c r="AI699" i="1"/>
  <c r="AJ699" i="1"/>
  <c r="AL699" i="1"/>
  <c r="AN699" i="1"/>
  <c r="AO699" i="1"/>
  <c r="AP699" i="1"/>
  <c r="AQ699" i="1"/>
  <c r="AS699" i="1"/>
  <c r="AT699" i="1"/>
  <c r="AU699" i="1"/>
  <c r="AV699" i="1"/>
  <c r="AW699" i="1"/>
  <c r="AX699" i="1"/>
  <c r="BB699" i="1"/>
  <c r="BD699" i="1"/>
  <c r="BG699" i="1"/>
  <c r="BH699" i="1"/>
  <c r="BI699" i="1"/>
  <c r="BJ699" i="1"/>
  <c r="BL699" i="1"/>
  <c r="BM699" i="1"/>
  <c r="BN699" i="1"/>
  <c r="BO699" i="1"/>
  <c r="D700" i="1"/>
  <c r="G700" i="1" s="1"/>
  <c r="O700" i="1"/>
  <c r="AI700" i="1"/>
  <c r="AJ700" i="1"/>
  <c r="AL700" i="1"/>
  <c r="AN700" i="1"/>
  <c r="AO700" i="1"/>
  <c r="AP700" i="1"/>
  <c r="AQ700" i="1"/>
  <c r="AS700" i="1"/>
  <c r="AT700" i="1"/>
  <c r="AU700" i="1"/>
  <c r="AV700" i="1"/>
  <c r="AW700" i="1"/>
  <c r="AX700" i="1"/>
  <c r="BB700" i="1"/>
  <c r="BD700" i="1"/>
  <c r="BG700" i="1"/>
  <c r="BH700" i="1"/>
  <c r="BI700" i="1"/>
  <c r="BJ700" i="1"/>
  <c r="BL700" i="1"/>
  <c r="BM700" i="1"/>
  <c r="BN700" i="1"/>
  <c r="BO700" i="1"/>
  <c r="D701" i="1"/>
  <c r="G701" i="1" s="1"/>
  <c r="O701" i="1"/>
  <c r="AI701" i="1"/>
  <c r="AJ701" i="1"/>
  <c r="AL701" i="1"/>
  <c r="AN701" i="1"/>
  <c r="AO701" i="1"/>
  <c r="AP701" i="1"/>
  <c r="AQ701" i="1"/>
  <c r="AS701" i="1"/>
  <c r="AT701" i="1"/>
  <c r="AU701" i="1"/>
  <c r="AV701" i="1"/>
  <c r="AW701" i="1"/>
  <c r="AX701" i="1"/>
  <c r="BB701" i="1"/>
  <c r="BD701" i="1"/>
  <c r="BG701" i="1"/>
  <c r="BH701" i="1"/>
  <c r="BI701" i="1"/>
  <c r="BJ701" i="1"/>
  <c r="BL701" i="1"/>
  <c r="BM701" i="1"/>
  <c r="BN701" i="1"/>
  <c r="BO701" i="1"/>
  <c r="D702" i="1"/>
  <c r="G702" i="1" s="1"/>
  <c r="O702" i="1"/>
  <c r="AI702" i="1"/>
  <c r="AJ702" i="1"/>
  <c r="AL702" i="1"/>
  <c r="AN702" i="1"/>
  <c r="AO702" i="1"/>
  <c r="AP702" i="1"/>
  <c r="AQ702" i="1"/>
  <c r="AS702" i="1"/>
  <c r="AT702" i="1"/>
  <c r="AU702" i="1"/>
  <c r="AV702" i="1"/>
  <c r="AW702" i="1"/>
  <c r="AX702" i="1"/>
  <c r="BB702" i="1"/>
  <c r="BD702" i="1"/>
  <c r="BG702" i="1"/>
  <c r="BH702" i="1"/>
  <c r="BI702" i="1"/>
  <c r="BJ702" i="1"/>
  <c r="BL702" i="1"/>
  <c r="BM702" i="1"/>
  <c r="BN702" i="1"/>
  <c r="BO702" i="1"/>
  <c r="D703" i="1"/>
  <c r="G703" i="1" s="1"/>
  <c r="O703" i="1"/>
  <c r="V703" i="1"/>
  <c r="AA703" i="1"/>
  <c r="AI703" i="1"/>
  <c r="AJ703" i="1" s="1"/>
  <c r="AL703" i="1"/>
  <c r="AN703" i="1"/>
  <c r="AP703" i="1"/>
  <c r="AQ703" i="1"/>
  <c r="AS703" i="1"/>
  <c r="AT703" i="1"/>
  <c r="AU703" i="1"/>
  <c r="AV703" i="1"/>
  <c r="AW703" i="1"/>
  <c r="AX703" i="1"/>
  <c r="BB703" i="1"/>
  <c r="BD703" i="1"/>
  <c r="BG703" i="1"/>
  <c r="BH703" i="1"/>
  <c r="BI703" i="1"/>
  <c r="BJ703" i="1"/>
  <c r="BL703" i="1"/>
  <c r="BM703" i="1"/>
  <c r="BN703" i="1"/>
  <c r="BO703" i="1"/>
  <c r="V704" i="1"/>
  <c r="O704" i="1" s="1"/>
  <c r="W704" i="1"/>
  <c r="AA704" i="1"/>
  <c r="D704" i="1" s="1"/>
  <c r="AB704" i="1"/>
  <c r="AI704" i="1"/>
  <c r="AJ704" i="1" s="1"/>
  <c r="AL704" i="1"/>
  <c r="AN704" i="1"/>
  <c r="AP704" i="1"/>
  <c r="AQ704" i="1"/>
  <c r="AS704" i="1"/>
  <c r="AT704" i="1"/>
  <c r="AU704" i="1"/>
  <c r="AV704" i="1"/>
  <c r="AW704" i="1"/>
  <c r="AX704" i="1"/>
  <c r="BB704" i="1"/>
  <c r="BD704" i="1"/>
  <c r="BG704" i="1"/>
  <c r="BH704" i="1"/>
  <c r="BI704" i="1"/>
  <c r="BJ704" i="1"/>
  <c r="BL704" i="1"/>
  <c r="BM704" i="1"/>
  <c r="BN704" i="1"/>
  <c r="BO704" i="1"/>
  <c r="W705" i="1"/>
  <c r="O705" i="1" s="1"/>
  <c r="AA705" i="1"/>
  <c r="D705" i="1" s="1"/>
  <c r="AB705" i="1"/>
  <c r="AF705" i="1"/>
  <c r="AI705" i="1"/>
  <c r="AJ705" i="1" s="1"/>
  <c r="AL705" i="1"/>
  <c r="AN705" i="1"/>
  <c r="AP705" i="1"/>
  <c r="AQ705" i="1"/>
  <c r="AS705" i="1"/>
  <c r="AT705" i="1"/>
  <c r="AU705" i="1"/>
  <c r="AV705" i="1"/>
  <c r="AW705" i="1"/>
  <c r="AX705" i="1"/>
  <c r="BB705" i="1"/>
  <c r="BD705" i="1"/>
  <c r="BG705" i="1"/>
  <c r="BH705" i="1"/>
  <c r="BI705" i="1"/>
  <c r="BJ705" i="1"/>
  <c r="BM705" i="1"/>
  <c r="BN705" i="1"/>
  <c r="BO705" i="1"/>
  <c r="V706" i="1"/>
  <c r="O706" i="1" s="1"/>
  <c r="W706" i="1"/>
  <c r="AA706" i="1"/>
  <c r="D706" i="1" s="1"/>
  <c r="AB706" i="1"/>
  <c r="AI706" i="1"/>
  <c r="AJ706" i="1" s="1"/>
  <c r="AL706" i="1"/>
  <c r="AN706" i="1"/>
  <c r="AP706" i="1"/>
  <c r="AQ706" i="1"/>
  <c r="AS706" i="1"/>
  <c r="AT706" i="1"/>
  <c r="AU706" i="1"/>
  <c r="AV706" i="1"/>
  <c r="AW706" i="1"/>
  <c r="AX706" i="1"/>
  <c r="BB706" i="1"/>
  <c r="BD706" i="1"/>
  <c r="BG706" i="1"/>
  <c r="BH706" i="1"/>
  <c r="BI706" i="1"/>
  <c r="BJ706" i="1"/>
  <c r="BL706" i="1"/>
  <c r="BM706" i="1"/>
  <c r="BN706" i="1"/>
  <c r="BO706" i="1"/>
  <c r="D707" i="1"/>
  <c r="AO707" i="1" s="1"/>
  <c r="G707" i="1"/>
  <c r="N707" i="1" s="1"/>
  <c r="O707" i="1"/>
  <c r="AI707" i="1"/>
  <c r="AJ707" i="1" s="1"/>
  <c r="AK707" i="1"/>
  <c r="AL707" i="1"/>
  <c r="AN707" i="1"/>
  <c r="AP707" i="1"/>
  <c r="AQ707" i="1"/>
  <c r="AS707" i="1"/>
  <c r="AT707" i="1"/>
  <c r="AU707" i="1"/>
  <c r="AV707" i="1"/>
  <c r="AW707" i="1"/>
  <c r="AX707" i="1"/>
  <c r="AZ707" i="1"/>
  <c r="BB707" i="1"/>
  <c r="BD707" i="1"/>
  <c r="BG707" i="1"/>
  <c r="BH707" i="1"/>
  <c r="BI707" i="1"/>
  <c r="BJ707" i="1"/>
  <c r="BL707" i="1"/>
  <c r="BM707" i="1"/>
  <c r="BN707" i="1"/>
  <c r="BO707" i="1"/>
  <c r="V708" i="1"/>
  <c r="O708" i="1" s="1"/>
  <c r="W708" i="1"/>
  <c r="AA708" i="1"/>
  <c r="D708" i="1" s="1"/>
  <c r="AB708" i="1"/>
  <c r="AI708" i="1"/>
  <c r="AJ708" i="1" s="1"/>
  <c r="AL708" i="1"/>
  <c r="AN708" i="1"/>
  <c r="AP708" i="1"/>
  <c r="AQ708" i="1"/>
  <c r="AS708" i="1"/>
  <c r="AT708" i="1"/>
  <c r="AU708" i="1"/>
  <c r="AV708" i="1"/>
  <c r="AW708" i="1"/>
  <c r="AX708" i="1"/>
  <c r="BB708" i="1"/>
  <c r="BD708" i="1"/>
  <c r="BG708" i="1"/>
  <c r="BH708" i="1"/>
  <c r="BI708" i="1"/>
  <c r="BJ708" i="1"/>
  <c r="BL708" i="1"/>
  <c r="BM708" i="1"/>
  <c r="BN708" i="1"/>
  <c r="BO708" i="1"/>
  <c r="V709" i="1"/>
  <c r="O709" i="1" s="1"/>
  <c r="W709" i="1"/>
  <c r="AA709" i="1"/>
  <c r="D709" i="1" s="1"/>
  <c r="AB709" i="1"/>
  <c r="AI709" i="1"/>
  <c r="AJ709" i="1" s="1"/>
  <c r="AL709" i="1"/>
  <c r="AN709" i="1"/>
  <c r="AP709" i="1"/>
  <c r="AQ709" i="1"/>
  <c r="AS709" i="1"/>
  <c r="AT709" i="1"/>
  <c r="AU709" i="1"/>
  <c r="AV709" i="1"/>
  <c r="AW709" i="1"/>
  <c r="AX709" i="1"/>
  <c r="BB709" i="1"/>
  <c r="BD709" i="1"/>
  <c r="BG709" i="1"/>
  <c r="BH709" i="1"/>
  <c r="BI709" i="1"/>
  <c r="BJ709" i="1"/>
  <c r="BL709" i="1"/>
  <c r="BM709" i="1"/>
  <c r="BN709" i="1"/>
  <c r="BO709" i="1"/>
  <c r="V710" i="1"/>
  <c r="O710" i="1" s="1"/>
  <c r="W710" i="1"/>
  <c r="BH710" i="1" s="1"/>
  <c r="AA710" i="1"/>
  <c r="D710" i="1" s="1"/>
  <c r="AB710" i="1"/>
  <c r="AF710" i="1"/>
  <c r="BD710" i="1" s="1"/>
  <c r="AI710" i="1"/>
  <c r="AJ710" i="1"/>
  <c r="AL710" i="1"/>
  <c r="AN710" i="1"/>
  <c r="AP710" i="1"/>
  <c r="AQ710" i="1"/>
  <c r="AS710" i="1"/>
  <c r="AT710" i="1"/>
  <c r="AU710" i="1"/>
  <c r="AV710" i="1"/>
  <c r="AW710" i="1"/>
  <c r="AX710" i="1"/>
  <c r="BB710" i="1"/>
  <c r="BG710" i="1"/>
  <c r="BI710" i="1"/>
  <c r="BJ710" i="1"/>
  <c r="BL710" i="1"/>
  <c r="BM710" i="1"/>
  <c r="BN710" i="1"/>
  <c r="BO710" i="1"/>
  <c r="D711" i="1"/>
  <c r="G711" i="1" s="1"/>
  <c r="V711" i="1"/>
  <c r="BG711" i="1" s="1"/>
  <c r="W711" i="1"/>
  <c r="BH711" i="1" s="1"/>
  <c r="AA711" i="1"/>
  <c r="AB711" i="1"/>
  <c r="BM711" i="1" s="1"/>
  <c r="AF711" i="1"/>
  <c r="AL711" i="1" s="1"/>
  <c r="AI711" i="1"/>
  <c r="AJ711" i="1"/>
  <c r="AN711" i="1"/>
  <c r="AO711" i="1"/>
  <c r="AP711" i="1"/>
  <c r="AQ711" i="1"/>
  <c r="AS711" i="1"/>
  <c r="AT711" i="1"/>
  <c r="AU711" i="1"/>
  <c r="AV711" i="1"/>
  <c r="AW711" i="1"/>
  <c r="AX711" i="1"/>
  <c r="BB711" i="1"/>
  <c r="BI711" i="1"/>
  <c r="BJ711" i="1"/>
  <c r="BL711" i="1"/>
  <c r="BN711" i="1"/>
  <c r="BO711" i="1"/>
  <c r="D712" i="1"/>
  <c r="G712" i="1" s="1"/>
  <c r="O712" i="1"/>
  <c r="W712" i="1"/>
  <c r="AB712" i="1"/>
  <c r="AF712" i="1"/>
  <c r="BD712" i="1" s="1"/>
  <c r="AI712" i="1"/>
  <c r="AJ712" i="1"/>
  <c r="AK712" i="1"/>
  <c r="AL712" i="1"/>
  <c r="AN712" i="1"/>
  <c r="AP712" i="1"/>
  <c r="AQ712" i="1"/>
  <c r="AS712" i="1"/>
  <c r="AT712" i="1"/>
  <c r="AU712" i="1"/>
  <c r="AV712" i="1"/>
  <c r="AW712" i="1"/>
  <c r="AX712" i="1"/>
  <c r="BB712" i="1"/>
  <c r="BG712" i="1"/>
  <c r="BH712" i="1"/>
  <c r="BI712" i="1"/>
  <c r="BJ712" i="1"/>
  <c r="BL712" i="1"/>
  <c r="BM712" i="1"/>
  <c r="BN712" i="1"/>
  <c r="BO712" i="1"/>
  <c r="D713" i="1"/>
  <c r="G713" i="1" s="1"/>
  <c r="W713" i="1"/>
  <c r="O713" i="1" s="1"/>
  <c r="AB713" i="1"/>
  <c r="AF713" i="1"/>
  <c r="AI713" i="1"/>
  <c r="AJ713" i="1" s="1"/>
  <c r="AL713" i="1"/>
  <c r="AN713" i="1"/>
  <c r="AP713" i="1"/>
  <c r="AQ713" i="1"/>
  <c r="AS713" i="1"/>
  <c r="AT713" i="1"/>
  <c r="AU713" i="1"/>
  <c r="AV713" i="1"/>
  <c r="AW713" i="1"/>
  <c r="AX713" i="1"/>
  <c r="BB713" i="1"/>
  <c r="BD713" i="1"/>
  <c r="BG713" i="1"/>
  <c r="BH713" i="1"/>
  <c r="BI713" i="1"/>
  <c r="BJ713" i="1"/>
  <c r="BL713" i="1"/>
  <c r="BM713" i="1"/>
  <c r="BN713" i="1"/>
  <c r="BO713" i="1"/>
  <c r="D714" i="1"/>
  <c r="AO714" i="1" s="1"/>
  <c r="G714" i="1"/>
  <c r="N714" i="1" s="1"/>
  <c r="O714" i="1"/>
  <c r="AI714" i="1"/>
  <c r="AJ714" i="1" s="1"/>
  <c r="AK714" i="1"/>
  <c r="AL714" i="1"/>
  <c r="AN714" i="1"/>
  <c r="AP714" i="1"/>
  <c r="AQ714" i="1"/>
  <c r="AS714" i="1"/>
  <c r="AT714" i="1"/>
  <c r="AU714" i="1"/>
  <c r="AV714" i="1"/>
  <c r="AW714" i="1"/>
  <c r="AX714" i="1"/>
  <c r="AZ714" i="1"/>
  <c r="BB714" i="1"/>
  <c r="BD714" i="1"/>
  <c r="BG714" i="1"/>
  <c r="BH714" i="1"/>
  <c r="BI714" i="1"/>
  <c r="BJ714" i="1"/>
  <c r="BL714" i="1"/>
  <c r="BM714" i="1"/>
  <c r="BN714" i="1"/>
  <c r="BO714" i="1"/>
  <c r="D715" i="1"/>
  <c r="AO715" i="1" s="1"/>
  <c r="G715" i="1"/>
  <c r="N715" i="1" s="1"/>
  <c r="O715" i="1"/>
  <c r="AI715" i="1"/>
  <c r="AJ715" i="1" s="1"/>
  <c r="AK715" i="1"/>
  <c r="AL715" i="1"/>
  <c r="AN715" i="1"/>
  <c r="AP715" i="1"/>
  <c r="AQ715" i="1"/>
  <c r="AS715" i="1"/>
  <c r="AT715" i="1"/>
  <c r="AU715" i="1"/>
  <c r="AV715" i="1"/>
  <c r="AW715" i="1"/>
  <c r="AX715" i="1"/>
  <c r="AZ715" i="1"/>
  <c r="BB715" i="1"/>
  <c r="BD715" i="1"/>
  <c r="BG715" i="1"/>
  <c r="BH715" i="1"/>
  <c r="BI715" i="1"/>
  <c r="BJ715" i="1"/>
  <c r="BL715" i="1"/>
  <c r="BM715" i="1"/>
  <c r="BN715" i="1"/>
  <c r="BO715" i="1"/>
  <c r="D716" i="1"/>
  <c r="O716" i="1"/>
  <c r="AI716" i="1"/>
  <c r="AJ716" i="1" s="1"/>
  <c r="AK716" i="1"/>
  <c r="AL716" i="1"/>
  <c r="AN716" i="1"/>
  <c r="AP716" i="1"/>
  <c r="AQ716" i="1"/>
  <c r="AS716" i="1"/>
  <c r="AT716" i="1"/>
  <c r="AU716" i="1"/>
  <c r="AV716" i="1"/>
  <c r="AW716" i="1"/>
  <c r="AX716" i="1"/>
  <c r="AZ716" i="1"/>
  <c r="BB716" i="1"/>
  <c r="BD716" i="1"/>
  <c r="BG716" i="1"/>
  <c r="BH716" i="1"/>
  <c r="BI716" i="1"/>
  <c r="BJ716" i="1"/>
  <c r="BL716" i="1"/>
  <c r="BM716" i="1"/>
  <c r="BN716" i="1"/>
  <c r="BO716" i="1"/>
  <c r="D717" i="1"/>
  <c r="O717" i="1"/>
  <c r="AI717" i="1"/>
  <c r="AJ717" i="1" s="1"/>
  <c r="AK717" i="1"/>
  <c r="AL717" i="1"/>
  <c r="AN717" i="1"/>
  <c r="AP717" i="1"/>
  <c r="AQ717" i="1"/>
  <c r="AS717" i="1"/>
  <c r="AT717" i="1"/>
  <c r="AU717" i="1"/>
  <c r="AV717" i="1"/>
  <c r="AW717" i="1"/>
  <c r="AX717" i="1"/>
  <c r="AZ717" i="1"/>
  <c r="BB717" i="1"/>
  <c r="BD717" i="1"/>
  <c r="BG717" i="1"/>
  <c r="BH717" i="1"/>
  <c r="BI717" i="1"/>
  <c r="BJ717" i="1"/>
  <c r="BL717" i="1"/>
  <c r="BM717" i="1"/>
  <c r="BN717" i="1"/>
  <c r="BO717" i="1"/>
  <c r="D718" i="1"/>
  <c r="O718" i="1"/>
  <c r="AI718" i="1"/>
  <c r="AJ718" i="1" s="1"/>
  <c r="AK718" i="1"/>
  <c r="AL718" i="1"/>
  <c r="AN718" i="1"/>
  <c r="AP718" i="1"/>
  <c r="AQ718" i="1"/>
  <c r="AS718" i="1"/>
  <c r="AT718" i="1"/>
  <c r="AU718" i="1"/>
  <c r="AV718" i="1"/>
  <c r="AW718" i="1"/>
  <c r="AX718" i="1"/>
  <c r="AZ718" i="1"/>
  <c r="BB718" i="1"/>
  <c r="BD718" i="1"/>
  <c r="BG718" i="1"/>
  <c r="BH718" i="1"/>
  <c r="BI718" i="1"/>
  <c r="BJ718" i="1"/>
  <c r="BL718" i="1"/>
  <c r="BM718" i="1"/>
  <c r="BN718" i="1"/>
  <c r="BO718" i="1"/>
  <c r="D719" i="1"/>
  <c r="O719" i="1"/>
  <c r="AI719" i="1"/>
  <c r="AJ719" i="1" s="1"/>
  <c r="AK719" i="1"/>
  <c r="AL719" i="1"/>
  <c r="AN719" i="1"/>
  <c r="AP719" i="1"/>
  <c r="AQ719" i="1"/>
  <c r="AS719" i="1"/>
  <c r="AT719" i="1"/>
  <c r="AU719" i="1"/>
  <c r="AV719" i="1"/>
  <c r="AW719" i="1"/>
  <c r="AX719" i="1"/>
  <c r="AZ719" i="1"/>
  <c r="BB719" i="1"/>
  <c r="BD719" i="1"/>
  <c r="BG719" i="1"/>
  <c r="BH719" i="1"/>
  <c r="BI719" i="1"/>
  <c r="BJ719" i="1"/>
  <c r="BL719" i="1"/>
  <c r="BM719" i="1"/>
  <c r="BN719" i="1"/>
  <c r="BO719" i="1"/>
  <c r="D720" i="1"/>
  <c r="O720" i="1"/>
  <c r="AI720" i="1"/>
  <c r="AJ720" i="1" s="1"/>
  <c r="AK720" i="1"/>
  <c r="AL720" i="1"/>
  <c r="AN720" i="1"/>
  <c r="AP720" i="1"/>
  <c r="AQ720" i="1"/>
  <c r="AS720" i="1"/>
  <c r="AT720" i="1"/>
  <c r="AU720" i="1"/>
  <c r="AV720" i="1"/>
  <c r="AW720" i="1"/>
  <c r="AX720" i="1"/>
  <c r="AZ720" i="1"/>
  <c r="BB720" i="1"/>
  <c r="BD720" i="1"/>
  <c r="BG720" i="1"/>
  <c r="BH720" i="1"/>
  <c r="BI720" i="1"/>
  <c r="BJ720" i="1"/>
  <c r="BL720" i="1"/>
  <c r="BM720" i="1"/>
  <c r="BN720" i="1"/>
  <c r="BO720" i="1"/>
  <c r="D721" i="1"/>
  <c r="O721" i="1"/>
  <c r="AI721" i="1"/>
  <c r="AJ721" i="1" s="1"/>
  <c r="AK721" i="1"/>
  <c r="AL721" i="1"/>
  <c r="AN721" i="1"/>
  <c r="AP721" i="1"/>
  <c r="AQ721" i="1"/>
  <c r="AS721" i="1"/>
  <c r="AT721" i="1"/>
  <c r="AU721" i="1"/>
  <c r="AV721" i="1"/>
  <c r="AW721" i="1"/>
  <c r="AX721" i="1"/>
  <c r="AZ721" i="1"/>
  <c r="BB721" i="1"/>
  <c r="BD721" i="1"/>
  <c r="BG721" i="1"/>
  <c r="BH721" i="1"/>
  <c r="BI721" i="1"/>
  <c r="BJ721" i="1"/>
  <c r="BL721" i="1"/>
  <c r="BM721" i="1"/>
  <c r="BN721" i="1"/>
  <c r="BO721" i="1"/>
  <c r="D722" i="1"/>
  <c r="O722" i="1"/>
  <c r="AI722" i="1"/>
  <c r="AJ722" i="1" s="1"/>
  <c r="AK722" i="1"/>
  <c r="AL722" i="1"/>
  <c r="AN722" i="1"/>
  <c r="AP722" i="1"/>
  <c r="AQ722" i="1"/>
  <c r="AS722" i="1"/>
  <c r="AT722" i="1"/>
  <c r="AU722" i="1"/>
  <c r="AV722" i="1"/>
  <c r="AW722" i="1"/>
  <c r="AX722" i="1"/>
  <c r="AZ722" i="1"/>
  <c r="BB722" i="1"/>
  <c r="BD722" i="1"/>
  <c r="BG722" i="1"/>
  <c r="BH722" i="1"/>
  <c r="BI722" i="1"/>
  <c r="BJ722" i="1"/>
  <c r="BL722" i="1"/>
  <c r="BM722" i="1"/>
  <c r="BN722" i="1"/>
  <c r="BO722" i="1"/>
  <c r="D723" i="1"/>
  <c r="O723" i="1"/>
  <c r="AI723" i="1"/>
  <c r="AJ723" i="1" s="1"/>
  <c r="AK723" i="1"/>
  <c r="AL723" i="1"/>
  <c r="AN723" i="1"/>
  <c r="AP723" i="1"/>
  <c r="AQ723" i="1"/>
  <c r="AS723" i="1"/>
  <c r="AT723" i="1"/>
  <c r="AU723" i="1"/>
  <c r="AV723" i="1"/>
  <c r="AW723" i="1"/>
  <c r="AX723" i="1"/>
  <c r="AZ723" i="1"/>
  <c r="BB723" i="1"/>
  <c r="BD723" i="1"/>
  <c r="BG723" i="1"/>
  <c r="BH723" i="1"/>
  <c r="BI723" i="1"/>
  <c r="BJ723" i="1"/>
  <c r="BL723" i="1"/>
  <c r="BM723" i="1"/>
  <c r="BN723" i="1"/>
  <c r="BO723" i="1"/>
  <c r="D724" i="1"/>
  <c r="O724" i="1"/>
  <c r="AI724" i="1"/>
  <c r="AJ724" i="1" s="1"/>
  <c r="AK724" i="1"/>
  <c r="AL724" i="1"/>
  <c r="AN724" i="1"/>
  <c r="AP724" i="1"/>
  <c r="AQ724" i="1"/>
  <c r="AS724" i="1"/>
  <c r="AT724" i="1"/>
  <c r="AU724" i="1"/>
  <c r="AV724" i="1"/>
  <c r="AW724" i="1"/>
  <c r="AX724" i="1"/>
  <c r="AZ724" i="1"/>
  <c r="BB724" i="1"/>
  <c r="BD724" i="1"/>
  <c r="BG724" i="1"/>
  <c r="BH724" i="1"/>
  <c r="BI724" i="1"/>
  <c r="BJ724" i="1"/>
  <c r="BL724" i="1"/>
  <c r="BM724" i="1"/>
  <c r="BN724" i="1"/>
  <c r="BO724" i="1"/>
  <c r="D725" i="1"/>
  <c r="O725" i="1"/>
  <c r="AI725" i="1"/>
  <c r="AJ725" i="1" s="1"/>
  <c r="AK725" i="1"/>
  <c r="AL725" i="1"/>
  <c r="AN725" i="1"/>
  <c r="AP725" i="1"/>
  <c r="AQ725" i="1"/>
  <c r="AS725" i="1"/>
  <c r="AT725" i="1"/>
  <c r="AU725" i="1"/>
  <c r="AV725" i="1"/>
  <c r="AW725" i="1"/>
  <c r="AX725" i="1"/>
  <c r="AZ725" i="1"/>
  <c r="BB725" i="1"/>
  <c r="BD725" i="1"/>
  <c r="BG725" i="1"/>
  <c r="BH725" i="1"/>
  <c r="BI725" i="1"/>
  <c r="BJ725" i="1"/>
  <c r="BL725" i="1"/>
  <c r="BM725" i="1"/>
  <c r="BN725" i="1"/>
  <c r="BO725" i="1"/>
  <c r="D726" i="1"/>
  <c r="O726" i="1"/>
  <c r="AI726" i="1"/>
  <c r="AJ726" i="1" s="1"/>
  <c r="AK726" i="1"/>
  <c r="AL726" i="1"/>
  <c r="AN726" i="1"/>
  <c r="AP726" i="1"/>
  <c r="AQ726" i="1"/>
  <c r="AS726" i="1"/>
  <c r="AT726" i="1"/>
  <c r="AU726" i="1"/>
  <c r="AV726" i="1"/>
  <c r="AW726" i="1"/>
  <c r="AX726" i="1"/>
  <c r="AZ726" i="1"/>
  <c r="BB726" i="1"/>
  <c r="BD726" i="1"/>
  <c r="BG726" i="1"/>
  <c r="BH726" i="1"/>
  <c r="BI726" i="1"/>
  <c r="BJ726" i="1"/>
  <c r="BL726" i="1"/>
  <c r="BM726" i="1"/>
  <c r="BN726" i="1"/>
  <c r="BO726" i="1"/>
  <c r="D727" i="1"/>
  <c r="O727" i="1"/>
  <c r="AI727" i="1"/>
  <c r="AJ727" i="1" s="1"/>
  <c r="AK727" i="1"/>
  <c r="AL727" i="1"/>
  <c r="AN727" i="1"/>
  <c r="AP727" i="1"/>
  <c r="AQ727" i="1"/>
  <c r="AS727" i="1"/>
  <c r="AT727" i="1"/>
  <c r="AU727" i="1"/>
  <c r="AV727" i="1"/>
  <c r="AW727" i="1"/>
  <c r="AX727" i="1"/>
  <c r="AZ727" i="1"/>
  <c r="BB727" i="1"/>
  <c r="BD727" i="1"/>
  <c r="BG727" i="1"/>
  <c r="BH727" i="1"/>
  <c r="BI727" i="1"/>
  <c r="BJ727" i="1"/>
  <c r="BL727" i="1"/>
  <c r="BM727" i="1"/>
  <c r="BN727" i="1"/>
  <c r="BO727" i="1"/>
  <c r="D728" i="1"/>
  <c r="O728" i="1"/>
  <c r="AI728" i="1"/>
  <c r="AJ728" i="1" s="1"/>
  <c r="AK728" i="1"/>
  <c r="AL728" i="1"/>
  <c r="AN728" i="1"/>
  <c r="AP728" i="1"/>
  <c r="AQ728" i="1"/>
  <c r="AS728" i="1"/>
  <c r="AT728" i="1"/>
  <c r="AU728" i="1"/>
  <c r="AV728" i="1"/>
  <c r="AW728" i="1"/>
  <c r="AX728" i="1"/>
  <c r="AZ728" i="1"/>
  <c r="BB728" i="1"/>
  <c r="BD728" i="1"/>
  <c r="BG728" i="1"/>
  <c r="BH728" i="1"/>
  <c r="BI728" i="1"/>
  <c r="BJ728" i="1"/>
  <c r="BL728" i="1"/>
  <c r="BM728" i="1"/>
  <c r="BN728" i="1"/>
  <c r="BO728" i="1"/>
  <c r="D729" i="1"/>
  <c r="O729" i="1"/>
  <c r="AI729" i="1"/>
  <c r="AJ729" i="1" s="1"/>
  <c r="AK729" i="1"/>
  <c r="AL729" i="1"/>
  <c r="AN729" i="1"/>
  <c r="AP729" i="1"/>
  <c r="AQ729" i="1"/>
  <c r="AS729" i="1"/>
  <c r="AT729" i="1"/>
  <c r="AU729" i="1"/>
  <c r="AV729" i="1"/>
  <c r="AW729" i="1"/>
  <c r="AX729" i="1"/>
  <c r="AZ729" i="1"/>
  <c r="BB729" i="1"/>
  <c r="BD729" i="1"/>
  <c r="BG729" i="1"/>
  <c r="BH729" i="1"/>
  <c r="BI729" i="1"/>
  <c r="BJ729" i="1"/>
  <c r="BL729" i="1"/>
  <c r="BM729" i="1"/>
  <c r="BN729" i="1"/>
  <c r="BO729" i="1"/>
  <c r="D730" i="1"/>
  <c r="O730" i="1"/>
  <c r="AI730" i="1"/>
  <c r="AJ730" i="1" s="1"/>
  <c r="AK730" i="1"/>
  <c r="AL730" i="1"/>
  <c r="AN730" i="1"/>
  <c r="AP730" i="1"/>
  <c r="AQ730" i="1"/>
  <c r="AS730" i="1"/>
  <c r="AT730" i="1"/>
  <c r="AU730" i="1"/>
  <c r="AV730" i="1"/>
  <c r="AW730" i="1"/>
  <c r="AX730" i="1"/>
  <c r="AZ730" i="1"/>
  <c r="BB730" i="1"/>
  <c r="BD730" i="1"/>
  <c r="BG730" i="1"/>
  <c r="BH730" i="1"/>
  <c r="BI730" i="1"/>
  <c r="BJ730" i="1"/>
  <c r="BL730" i="1"/>
  <c r="BM730" i="1"/>
  <c r="BN730" i="1"/>
  <c r="BO730" i="1"/>
  <c r="D731" i="1"/>
  <c r="O731" i="1"/>
  <c r="AI731" i="1"/>
  <c r="AJ731" i="1" s="1"/>
  <c r="AK731" i="1"/>
  <c r="AL731" i="1"/>
  <c r="AN731" i="1"/>
  <c r="AP731" i="1"/>
  <c r="AQ731" i="1"/>
  <c r="AS731" i="1"/>
  <c r="AT731" i="1"/>
  <c r="AU731" i="1"/>
  <c r="AV731" i="1"/>
  <c r="AW731" i="1"/>
  <c r="AX731" i="1"/>
  <c r="AZ731" i="1"/>
  <c r="BB731" i="1"/>
  <c r="BD731" i="1"/>
  <c r="BG731" i="1"/>
  <c r="BH731" i="1"/>
  <c r="BI731" i="1"/>
  <c r="BJ731" i="1"/>
  <c r="BL731" i="1"/>
  <c r="BM731" i="1"/>
  <c r="BN731" i="1"/>
  <c r="BO731" i="1"/>
  <c r="D732" i="1"/>
  <c r="O732" i="1"/>
  <c r="AI732" i="1"/>
  <c r="AJ732" i="1" s="1"/>
  <c r="AK732" i="1"/>
  <c r="AL732" i="1"/>
  <c r="AN732" i="1"/>
  <c r="AP732" i="1"/>
  <c r="AQ732" i="1"/>
  <c r="AS732" i="1"/>
  <c r="AT732" i="1"/>
  <c r="AU732" i="1"/>
  <c r="AV732" i="1"/>
  <c r="AW732" i="1"/>
  <c r="AX732" i="1"/>
  <c r="AZ732" i="1"/>
  <c r="BB732" i="1"/>
  <c r="BD732" i="1"/>
  <c r="BG732" i="1"/>
  <c r="BH732" i="1"/>
  <c r="BI732" i="1"/>
  <c r="BJ732" i="1"/>
  <c r="BL732" i="1"/>
  <c r="BM732" i="1"/>
  <c r="BN732" i="1"/>
  <c r="BO732" i="1"/>
  <c r="D733" i="1"/>
  <c r="O733" i="1"/>
  <c r="AI733" i="1"/>
  <c r="AJ733" i="1" s="1"/>
  <c r="AK733" i="1"/>
  <c r="AL733" i="1"/>
  <c r="AN733" i="1"/>
  <c r="AP733" i="1"/>
  <c r="AQ733" i="1"/>
  <c r="AS733" i="1"/>
  <c r="AT733" i="1"/>
  <c r="AU733" i="1"/>
  <c r="AV733" i="1"/>
  <c r="AW733" i="1"/>
  <c r="AX733" i="1"/>
  <c r="AZ733" i="1"/>
  <c r="BB733" i="1"/>
  <c r="BD733" i="1"/>
  <c r="BG733" i="1"/>
  <c r="BH733" i="1"/>
  <c r="BI733" i="1"/>
  <c r="BJ733" i="1"/>
  <c r="BL733" i="1"/>
  <c r="BM733" i="1"/>
  <c r="BN733" i="1"/>
  <c r="BO733" i="1"/>
  <c r="D734" i="1"/>
  <c r="O734" i="1"/>
  <c r="AI734" i="1"/>
  <c r="AJ734" i="1" s="1"/>
  <c r="AK734" i="1"/>
  <c r="AL734" i="1"/>
  <c r="AN734" i="1"/>
  <c r="AP734" i="1"/>
  <c r="AQ734" i="1"/>
  <c r="AS734" i="1"/>
  <c r="AT734" i="1"/>
  <c r="AU734" i="1"/>
  <c r="AV734" i="1"/>
  <c r="AW734" i="1"/>
  <c r="AX734" i="1"/>
  <c r="AZ734" i="1"/>
  <c r="BB734" i="1"/>
  <c r="BD734" i="1"/>
  <c r="BG734" i="1"/>
  <c r="BH734" i="1"/>
  <c r="BI734" i="1"/>
  <c r="BJ734" i="1"/>
  <c r="BL734" i="1"/>
  <c r="BM734" i="1"/>
  <c r="BN734" i="1"/>
  <c r="BO734" i="1"/>
  <c r="D735" i="1"/>
  <c r="O735" i="1"/>
  <c r="AI735" i="1"/>
  <c r="AJ735" i="1" s="1"/>
  <c r="AK735" i="1"/>
  <c r="AL735" i="1"/>
  <c r="AN735" i="1"/>
  <c r="AP735" i="1"/>
  <c r="AQ735" i="1"/>
  <c r="AS735" i="1"/>
  <c r="AT735" i="1"/>
  <c r="AU735" i="1"/>
  <c r="AV735" i="1"/>
  <c r="AW735" i="1"/>
  <c r="AX735" i="1"/>
  <c r="AZ735" i="1"/>
  <c r="BB735" i="1"/>
  <c r="BD735" i="1"/>
  <c r="BG735" i="1"/>
  <c r="BH735" i="1"/>
  <c r="BI735" i="1"/>
  <c r="BJ735" i="1"/>
  <c r="BL735" i="1"/>
  <c r="BM735" i="1"/>
  <c r="BN735" i="1"/>
  <c r="BO735" i="1"/>
  <c r="D736" i="1"/>
  <c r="O736" i="1"/>
  <c r="AI736" i="1"/>
  <c r="AJ736" i="1" s="1"/>
  <c r="AK736" i="1"/>
  <c r="AL736" i="1"/>
  <c r="AN736" i="1"/>
  <c r="AP736" i="1"/>
  <c r="AQ736" i="1"/>
  <c r="AS736" i="1"/>
  <c r="AT736" i="1"/>
  <c r="AU736" i="1"/>
  <c r="AV736" i="1"/>
  <c r="AW736" i="1"/>
  <c r="AX736" i="1"/>
  <c r="AZ736" i="1"/>
  <c r="BB736" i="1"/>
  <c r="BD736" i="1"/>
  <c r="BG736" i="1"/>
  <c r="BH736" i="1"/>
  <c r="BI736" i="1"/>
  <c r="BJ736" i="1"/>
  <c r="BL736" i="1"/>
  <c r="BM736" i="1"/>
  <c r="BN736" i="1"/>
  <c r="BO736" i="1"/>
  <c r="D737" i="1"/>
  <c r="O737" i="1"/>
  <c r="AI737" i="1"/>
  <c r="AJ737" i="1" s="1"/>
  <c r="AK737" i="1"/>
  <c r="AL737" i="1"/>
  <c r="AN737" i="1"/>
  <c r="AP737" i="1"/>
  <c r="AQ737" i="1"/>
  <c r="AS737" i="1"/>
  <c r="AT737" i="1"/>
  <c r="AU737" i="1"/>
  <c r="AV737" i="1"/>
  <c r="AW737" i="1"/>
  <c r="AX737" i="1"/>
  <c r="AZ737" i="1"/>
  <c r="BB737" i="1"/>
  <c r="BD737" i="1"/>
  <c r="BG737" i="1"/>
  <c r="BH737" i="1"/>
  <c r="BI737" i="1"/>
  <c r="BJ737" i="1"/>
  <c r="BL737" i="1"/>
  <c r="BM737" i="1"/>
  <c r="BN737" i="1"/>
  <c r="BO737" i="1"/>
  <c r="D738" i="1"/>
  <c r="O738" i="1"/>
  <c r="AI738" i="1"/>
  <c r="AJ738" i="1" s="1"/>
  <c r="AK738" i="1"/>
  <c r="AL738" i="1"/>
  <c r="AN738" i="1"/>
  <c r="AP738" i="1"/>
  <c r="AQ738" i="1"/>
  <c r="AS738" i="1"/>
  <c r="AT738" i="1"/>
  <c r="AU738" i="1"/>
  <c r="AV738" i="1"/>
  <c r="AW738" i="1"/>
  <c r="AX738" i="1"/>
  <c r="AZ738" i="1"/>
  <c r="BB738" i="1"/>
  <c r="BD738" i="1"/>
  <c r="BG738" i="1"/>
  <c r="BH738" i="1"/>
  <c r="BI738" i="1"/>
  <c r="BJ738" i="1"/>
  <c r="BL738" i="1"/>
  <c r="BM738" i="1"/>
  <c r="BN738" i="1"/>
  <c r="BO738" i="1"/>
  <c r="D739" i="1"/>
  <c r="AO739" i="1" s="1"/>
  <c r="G739" i="1"/>
  <c r="O739" i="1"/>
  <c r="AG739" i="1"/>
  <c r="AH739" i="1" s="1"/>
  <c r="AI739" i="1"/>
  <c r="AJ739" i="1" s="1"/>
  <c r="AK739" i="1"/>
  <c r="AL739" i="1"/>
  <c r="AN739" i="1"/>
  <c r="AP739" i="1"/>
  <c r="AQ739" i="1"/>
  <c r="AS739" i="1"/>
  <c r="AT739" i="1"/>
  <c r="AU739" i="1"/>
  <c r="AV739" i="1"/>
  <c r="AW739" i="1"/>
  <c r="AX739" i="1"/>
  <c r="AZ739" i="1"/>
  <c r="BB739" i="1"/>
  <c r="BD739" i="1"/>
  <c r="BG739" i="1"/>
  <c r="BH739" i="1"/>
  <c r="BI739" i="1"/>
  <c r="BJ739" i="1"/>
  <c r="BL739" i="1"/>
  <c r="BM739" i="1"/>
  <c r="BN739" i="1"/>
  <c r="BO739" i="1"/>
  <c r="D740" i="1"/>
  <c r="AO740" i="1" s="1"/>
  <c r="G740" i="1"/>
  <c r="AG740" i="1" s="1"/>
  <c r="AH740" i="1" s="1"/>
  <c r="O740" i="1"/>
  <c r="AI740" i="1"/>
  <c r="AJ740" i="1" s="1"/>
  <c r="AK740" i="1"/>
  <c r="AL740" i="1"/>
  <c r="AN740" i="1"/>
  <c r="AP740" i="1"/>
  <c r="AQ740" i="1"/>
  <c r="AS740" i="1"/>
  <c r="AT740" i="1"/>
  <c r="AU740" i="1"/>
  <c r="AV740" i="1"/>
  <c r="AW740" i="1"/>
  <c r="AX740" i="1"/>
  <c r="AZ740" i="1"/>
  <c r="BB740" i="1"/>
  <c r="BD740" i="1"/>
  <c r="BG740" i="1"/>
  <c r="BH740" i="1"/>
  <c r="BI740" i="1"/>
  <c r="BJ740" i="1"/>
  <c r="BL740" i="1"/>
  <c r="BM740" i="1"/>
  <c r="BN740" i="1"/>
  <c r="BO740" i="1"/>
  <c r="D741" i="1"/>
  <c r="AO741" i="1" s="1"/>
  <c r="G741" i="1"/>
  <c r="O741" i="1"/>
  <c r="AI741" i="1"/>
  <c r="AJ741" i="1" s="1"/>
  <c r="AK741" i="1"/>
  <c r="AL741" i="1"/>
  <c r="AN741" i="1"/>
  <c r="AP741" i="1"/>
  <c r="AQ741" i="1"/>
  <c r="AS741" i="1"/>
  <c r="AT741" i="1"/>
  <c r="AU741" i="1"/>
  <c r="AV741" i="1"/>
  <c r="AW741" i="1"/>
  <c r="AX741" i="1"/>
  <c r="AZ741" i="1"/>
  <c r="BB741" i="1"/>
  <c r="BD741" i="1"/>
  <c r="BG741" i="1"/>
  <c r="BH741" i="1"/>
  <c r="BI741" i="1"/>
  <c r="BJ741" i="1"/>
  <c r="BL741" i="1"/>
  <c r="BM741" i="1"/>
  <c r="BN741" i="1"/>
  <c r="BO741" i="1"/>
  <c r="D742" i="1"/>
  <c r="AO742" i="1" s="1"/>
  <c r="G742" i="1"/>
  <c r="O742" i="1"/>
  <c r="AI742" i="1"/>
  <c r="AJ742" i="1" s="1"/>
  <c r="AK742" i="1"/>
  <c r="AL742" i="1"/>
  <c r="AN742" i="1"/>
  <c r="AP742" i="1"/>
  <c r="AQ742" i="1"/>
  <c r="AS742" i="1"/>
  <c r="AT742" i="1"/>
  <c r="AU742" i="1"/>
  <c r="AV742" i="1"/>
  <c r="AW742" i="1"/>
  <c r="AX742" i="1"/>
  <c r="AZ742" i="1"/>
  <c r="BB742" i="1"/>
  <c r="BD742" i="1"/>
  <c r="BG742" i="1"/>
  <c r="BH742" i="1"/>
  <c r="BI742" i="1"/>
  <c r="BJ742" i="1"/>
  <c r="BL742" i="1"/>
  <c r="BM742" i="1"/>
  <c r="BN742" i="1"/>
  <c r="BO742" i="1"/>
  <c r="D743" i="1"/>
  <c r="AO743" i="1" s="1"/>
  <c r="G743" i="1"/>
  <c r="O743" i="1"/>
  <c r="AG743" i="1"/>
  <c r="AH743" i="1" s="1"/>
  <c r="AI743" i="1"/>
  <c r="AJ743" i="1" s="1"/>
  <c r="AK743" i="1"/>
  <c r="AL743" i="1"/>
  <c r="AN743" i="1"/>
  <c r="AP743" i="1"/>
  <c r="AQ743" i="1"/>
  <c r="AS743" i="1"/>
  <c r="AT743" i="1"/>
  <c r="AU743" i="1"/>
  <c r="AV743" i="1"/>
  <c r="AW743" i="1"/>
  <c r="AX743" i="1"/>
  <c r="AZ743" i="1"/>
  <c r="BB743" i="1"/>
  <c r="BD743" i="1"/>
  <c r="BG743" i="1"/>
  <c r="BH743" i="1"/>
  <c r="BI743" i="1"/>
  <c r="BJ743" i="1"/>
  <c r="BL743" i="1"/>
  <c r="BM743" i="1"/>
  <c r="BN743" i="1"/>
  <c r="BO743" i="1"/>
  <c r="D744" i="1"/>
  <c r="AO744" i="1" s="1"/>
  <c r="G744" i="1"/>
  <c r="AG744" i="1" s="1"/>
  <c r="AH744" i="1" s="1"/>
  <c r="O744" i="1"/>
  <c r="AI744" i="1"/>
  <c r="AJ744" i="1" s="1"/>
  <c r="AK744" i="1"/>
  <c r="AL744" i="1"/>
  <c r="AN744" i="1"/>
  <c r="AP744" i="1"/>
  <c r="AQ744" i="1"/>
  <c r="AS744" i="1"/>
  <c r="AT744" i="1"/>
  <c r="AU744" i="1"/>
  <c r="AV744" i="1"/>
  <c r="AW744" i="1"/>
  <c r="AX744" i="1"/>
  <c r="AZ744" i="1"/>
  <c r="BB744" i="1"/>
  <c r="BD744" i="1"/>
  <c r="BG744" i="1"/>
  <c r="BH744" i="1"/>
  <c r="BI744" i="1"/>
  <c r="BJ744" i="1"/>
  <c r="BL744" i="1"/>
  <c r="BM744" i="1"/>
  <c r="BN744" i="1"/>
  <c r="BO744" i="1"/>
  <c r="D745" i="1"/>
  <c r="AO745" i="1" s="1"/>
  <c r="G745" i="1"/>
  <c r="O745" i="1"/>
  <c r="AI745" i="1"/>
  <c r="AJ745" i="1" s="1"/>
  <c r="AK745" i="1"/>
  <c r="AL745" i="1"/>
  <c r="AN745" i="1"/>
  <c r="AP745" i="1"/>
  <c r="AQ745" i="1"/>
  <c r="AS745" i="1"/>
  <c r="AT745" i="1"/>
  <c r="AU745" i="1"/>
  <c r="AV745" i="1"/>
  <c r="AW745" i="1"/>
  <c r="AX745" i="1"/>
  <c r="AZ745" i="1"/>
  <c r="BB745" i="1"/>
  <c r="BD745" i="1"/>
  <c r="BG745" i="1"/>
  <c r="BH745" i="1"/>
  <c r="BI745" i="1"/>
  <c r="BJ745" i="1"/>
  <c r="BL745" i="1"/>
  <c r="BM745" i="1"/>
  <c r="BN745" i="1"/>
  <c r="BO745" i="1"/>
  <c r="D746" i="1"/>
  <c r="AO746" i="1" s="1"/>
  <c r="G746" i="1"/>
  <c r="N746" i="1" s="1"/>
  <c r="O746" i="1"/>
  <c r="AI746" i="1"/>
  <c r="AJ746" i="1" s="1"/>
  <c r="AK746" i="1"/>
  <c r="AL746" i="1"/>
  <c r="AN746" i="1"/>
  <c r="AP746" i="1"/>
  <c r="AQ746" i="1"/>
  <c r="AR746" i="1"/>
  <c r="AS746" i="1"/>
  <c r="AT746" i="1"/>
  <c r="AU746" i="1"/>
  <c r="AV746" i="1"/>
  <c r="AW746" i="1"/>
  <c r="AX746" i="1"/>
  <c r="AZ746" i="1"/>
  <c r="BB746" i="1"/>
  <c r="BD746" i="1"/>
  <c r="BG746" i="1"/>
  <c r="BH746" i="1"/>
  <c r="BI746" i="1"/>
  <c r="BJ746" i="1"/>
  <c r="BL746" i="1"/>
  <c r="BM746" i="1"/>
  <c r="BN746" i="1"/>
  <c r="BO746" i="1"/>
  <c r="D747" i="1"/>
  <c r="O747" i="1"/>
  <c r="AI747" i="1"/>
  <c r="AJ747" i="1" s="1"/>
  <c r="AK747" i="1"/>
  <c r="AL747" i="1"/>
  <c r="AN747" i="1"/>
  <c r="AP747" i="1"/>
  <c r="AQ747" i="1"/>
  <c r="AS747" i="1"/>
  <c r="AT747" i="1"/>
  <c r="AU747" i="1"/>
  <c r="AV747" i="1"/>
  <c r="AW747" i="1"/>
  <c r="AX747" i="1"/>
  <c r="AZ747" i="1"/>
  <c r="BB747" i="1"/>
  <c r="BD747" i="1"/>
  <c r="BG747" i="1"/>
  <c r="BH747" i="1"/>
  <c r="BI747" i="1"/>
  <c r="BJ747" i="1"/>
  <c r="BL747" i="1"/>
  <c r="BM747" i="1"/>
  <c r="BN747" i="1"/>
  <c r="BO747" i="1"/>
  <c r="D748" i="1"/>
  <c r="AO748" i="1" s="1"/>
  <c r="G748" i="1"/>
  <c r="O748" i="1"/>
  <c r="AI748" i="1"/>
  <c r="AJ748" i="1" s="1"/>
  <c r="AK748" i="1"/>
  <c r="AL748" i="1"/>
  <c r="AN748" i="1"/>
  <c r="AP748" i="1"/>
  <c r="AQ748" i="1"/>
  <c r="AS748" i="1"/>
  <c r="AT748" i="1"/>
  <c r="AU748" i="1"/>
  <c r="AV748" i="1"/>
  <c r="AW748" i="1"/>
  <c r="AX748" i="1"/>
  <c r="AZ748" i="1"/>
  <c r="BB748" i="1"/>
  <c r="BD748" i="1"/>
  <c r="BG748" i="1"/>
  <c r="BH748" i="1"/>
  <c r="BI748" i="1"/>
  <c r="BJ748" i="1"/>
  <c r="BL748" i="1"/>
  <c r="BM748" i="1"/>
  <c r="BN748" i="1"/>
  <c r="BO748" i="1"/>
  <c r="D749" i="1"/>
  <c r="AO749" i="1" s="1"/>
  <c r="O749" i="1"/>
  <c r="AI749" i="1"/>
  <c r="AJ749" i="1" s="1"/>
  <c r="AK749" i="1"/>
  <c r="AL749" i="1"/>
  <c r="AN749" i="1"/>
  <c r="AP749" i="1"/>
  <c r="AQ749" i="1"/>
  <c r="AS749" i="1"/>
  <c r="AT749" i="1"/>
  <c r="AU749" i="1"/>
  <c r="AV749" i="1"/>
  <c r="AW749" i="1"/>
  <c r="AX749" i="1"/>
  <c r="AZ749" i="1"/>
  <c r="BB749" i="1"/>
  <c r="BD749" i="1"/>
  <c r="BG749" i="1"/>
  <c r="BH749" i="1"/>
  <c r="BI749" i="1"/>
  <c r="BJ749" i="1"/>
  <c r="BL749" i="1"/>
  <c r="BM749" i="1"/>
  <c r="BN749" i="1"/>
  <c r="BO749" i="1"/>
  <c r="D750" i="1"/>
  <c r="AO750" i="1" s="1"/>
  <c r="G750" i="1"/>
  <c r="N750" i="1" s="1"/>
  <c r="O750" i="1"/>
  <c r="AG750" i="1"/>
  <c r="AH750" i="1" s="1"/>
  <c r="AI750" i="1"/>
  <c r="AJ750" i="1" s="1"/>
  <c r="AK750" i="1"/>
  <c r="AL750" i="1"/>
  <c r="AN750" i="1"/>
  <c r="AP750" i="1"/>
  <c r="AQ750" i="1"/>
  <c r="AR750" i="1"/>
  <c r="AS750" i="1"/>
  <c r="AT750" i="1"/>
  <c r="AU750" i="1"/>
  <c r="AV750" i="1"/>
  <c r="AW750" i="1"/>
  <c r="AX750" i="1"/>
  <c r="AZ750" i="1"/>
  <c r="BB750" i="1"/>
  <c r="BD750" i="1"/>
  <c r="BG750" i="1"/>
  <c r="BH750" i="1"/>
  <c r="BI750" i="1"/>
  <c r="BJ750" i="1"/>
  <c r="BL750" i="1"/>
  <c r="BM750" i="1"/>
  <c r="BN750" i="1"/>
  <c r="BO750" i="1"/>
  <c r="D751" i="1"/>
  <c r="O751" i="1"/>
  <c r="AI751" i="1"/>
  <c r="AJ751" i="1" s="1"/>
  <c r="AK751" i="1"/>
  <c r="AL751" i="1"/>
  <c r="AN751" i="1"/>
  <c r="AP751" i="1"/>
  <c r="AQ751" i="1"/>
  <c r="AS751" i="1"/>
  <c r="AT751" i="1"/>
  <c r="AU751" i="1"/>
  <c r="AV751" i="1"/>
  <c r="AW751" i="1"/>
  <c r="AX751" i="1"/>
  <c r="AZ751" i="1"/>
  <c r="BB751" i="1"/>
  <c r="BD751" i="1"/>
  <c r="BG751" i="1"/>
  <c r="BH751" i="1"/>
  <c r="BI751" i="1"/>
  <c r="BJ751" i="1"/>
  <c r="BL751" i="1"/>
  <c r="BM751" i="1"/>
  <c r="BN751" i="1"/>
  <c r="BO751" i="1"/>
  <c r="D752" i="1"/>
  <c r="AO752" i="1" s="1"/>
  <c r="G752" i="1"/>
  <c r="O752" i="1"/>
  <c r="AI752" i="1"/>
  <c r="AJ752" i="1" s="1"/>
  <c r="AK752" i="1"/>
  <c r="AL752" i="1"/>
  <c r="AN752" i="1"/>
  <c r="AP752" i="1"/>
  <c r="AQ752" i="1"/>
  <c r="AS752" i="1"/>
  <c r="AT752" i="1"/>
  <c r="AU752" i="1"/>
  <c r="AV752" i="1"/>
  <c r="AW752" i="1"/>
  <c r="AX752" i="1"/>
  <c r="AZ752" i="1"/>
  <c r="BB752" i="1"/>
  <c r="BD752" i="1"/>
  <c r="BG752" i="1"/>
  <c r="BH752" i="1"/>
  <c r="BI752" i="1"/>
  <c r="BJ752" i="1"/>
  <c r="BL752" i="1"/>
  <c r="BM752" i="1"/>
  <c r="BN752" i="1"/>
  <c r="BO752" i="1"/>
  <c r="D753" i="1"/>
  <c r="G753" i="1"/>
  <c r="O753" i="1"/>
  <c r="AZ753" i="1" s="1"/>
  <c r="AI753" i="1"/>
  <c r="AJ753" i="1"/>
  <c r="AL753" i="1"/>
  <c r="AN753" i="1"/>
  <c r="AO753" i="1"/>
  <c r="AP753" i="1"/>
  <c r="AQ753" i="1"/>
  <c r="AS753" i="1"/>
  <c r="AT753" i="1"/>
  <c r="AU753" i="1"/>
  <c r="AV753" i="1"/>
  <c r="AW753" i="1"/>
  <c r="AX753" i="1"/>
  <c r="BB753" i="1"/>
  <c r="BD753" i="1"/>
  <c r="BG753" i="1"/>
  <c r="BH753" i="1"/>
  <c r="BI753" i="1"/>
  <c r="BJ753" i="1"/>
  <c r="BL753" i="1"/>
  <c r="BM753" i="1"/>
  <c r="BN753" i="1"/>
  <c r="BO753" i="1"/>
  <c r="D754" i="1"/>
  <c r="G754" i="1"/>
  <c r="O754" i="1"/>
  <c r="AZ754" i="1" s="1"/>
  <c r="AI754" i="1"/>
  <c r="AJ754" i="1"/>
  <c r="AL754" i="1"/>
  <c r="AN754" i="1"/>
  <c r="AO754" i="1"/>
  <c r="AP754" i="1"/>
  <c r="AQ754" i="1"/>
  <c r="AS754" i="1"/>
  <c r="AT754" i="1"/>
  <c r="AU754" i="1"/>
  <c r="AV754" i="1"/>
  <c r="AW754" i="1"/>
  <c r="AX754" i="1"/>
  <c r="BB754" i="1"/>
  <c r="BD754" i="1"/>
  <c r="BG754" i="1"/>
  <c r="BH754" i="1"/>
  <c r="BI754" i="1"/>
  <c r="BJ754" i="1"/>
  <c r="BL754" i="1"/>
  <c r="BM754" i="1"/>
  <c r="BN754" i="1"/>
  <c r="BO754" i="1"/>
  <c r="D755" i="1"/>
  <c r="G755" i="1"/>
  <c r="O755" i="1"/>
  <c r="AZ755" i="1" s="1"/>
  <c r="AI755" i="1"/>
  <c r="AJ755" i="1"/>
  <c r="AL755" i="1"/>
  <c r="AN755" i="1"/>
  <c r="AO755" i="1"/>
  <c r="AP755" i="1"/>
  <c r="AQ755" i="1"/>
  <c r="AS755" i="1"/>
  <c r="AT755" i="1"/>
  <c r="AU755" i="1"/>
  <c r="AV755" i="1"/>
  <c r="AW755" i="1"/>
  <c r="AX755" i="1"/>
  <c r="BB755" i="1"/>
  <c r="BD755" i="1"/>
  <c r="BG755" i="1"/>
  <c r="BH755" i="1"/>
  <c r="BI755" i="1"/>
  <c r="BJ755" i="1"/>
  <c r="BL755" i="1"/>
  <c r="BM755" i="1"/>
  <c r="BN755" i="1"/>
  <c r="BO755" i="1"/>
  <c r="D756" i="1"/>
  <c r="G756" i="1"/>
  <c r="O756" i="1"/>
  <c r="AZ756" i="1" s="1"/>
  <c r="AI756" i="1"/>
  <c r="AJ756" i="1"/>
  <c r="AL756" i="1"/>
  <c r="AN756" i="1"/>
  <c r="AO756" i="1"/>
  <c r="AP756" i="1"/>
  <c r="AQ756" i="1"/>
  <c r="AS756" i="1"/>
  <c r="AT756" i="1"/>
  <c r="AU756" i="1"/>
  <c r="AV756" i="1"/>
  <c r="AW756" i="1"/>
  <c r="AX756" i="1"/>
  <c r="BB756" i="1"/>
  <c r="BD756" i="1"/>
  <c r="BG756" i="1"/>
  <c r="BH756" i="1"/>
  <c r="BI756" i="1"/>
  <c r="BJ756" i="1"/>
  <c r="BL756" i="1"/>
  <c r="BM756" i="1"/>
  <c r="BN756" i="1"/>
  <c r="BO756" i="1"/>
  <c r="D757" i="1"/>
  <c r="G757" i="1"/>
  <c r="O757" i="1"/>
  <c r="AZ757" i="1" s="1"/>
  <c r="AI757" i="1"/>
  <c r="AJ757" i="1"/>
  <c r="AL757" i="1"/>
  <c r="AN757" i="1"/>
  <c r="AO757" i="1"/>
  <c r="AP757" i="1"/>
  <c r="AQ757" i="1"/>
  <c r="AS757" i="1"/>
  <c r="AT757" i="1"/>
  <c r="AU757" i="1"/>
  <c r="AV757" i="1"/>
  <c r="AW757" i="1"/>
  <c r="AX757" i="1"/>
  <c r="BB757" i="1"/>
  <c r="BD757" i="1"/>
  <c r="BG757" i="1"/>
  <c r="BH757" i="1"/>
  <c r="BI757" i="1"/>
  <c r="BJ757" i="1"/>
  <c r="BL757" i="1"/>
  <c r="BM757" i="1"/>
  <c r="BN757" i="1"/>
  <c r="BO757" i="1"/>
  <c r="AN759" i="1"/>
  <c r="AN761" i="1"/>
  <c r="D762" i="1"/>
  <c r="G762" i="1"/>
  <c r="N762" i="1" s="1"/>
  <c r="AY762" i="1" s="1"/>
  <c r="O762" i="1"/>
  <c r="AF762" i="1"/>
  <c r="AI762" i="1"/>
  <c r="AJ762" i="1" s="1"/>
  <c r="AK762" i="1"/>
  <c r="AL762" i="1"/>
  <c r="AN762" i="1"/>
  <c r="AO762" i="1"/>
  <c r="AP762" i="1"/>
  <c r="AQ762" i="1"/>
  <c r="AS762" i="1"/>
  <c r="AT762" i="1"/>
  <c r="AU762" i="1"/>
  <c r="AV762" i="1"/>
  <c r="AW762" i="1"/>
  <c r="AX762" i="1"/>
  <c r="AZ762" i="1"/>
  <c r="BB762" i="1"/>
  <c r="BD762" i="1"/>
  <c r="BG762" i="1"/>
  <c r="BH762" i="1"/>
  <c r="BI762" i="1"/>
  <c r="BJ762" i="1"/>
  <c r="BL762" i="1"/>
  <c r="BM762" i="1"/>
  <c r="BN762" i="1"/>
  <c r="BO762" i="1"/>
  <c r="V763" i="1"/>
  <c r="W763" i="1"/>
  <c r="AA763" i="1"/>
  <c r="BL763" i="1" s="1"/>
  <c r="AB763" i="1"/>
  <c r="AF763" i="1"/>
  <c r="BD763" i="1" s="1"/>
  <c r="AI763" i="1"/>
  <c r="AJ763" i="1"/>
  <c r="AL763" i="1"/>
  <c r="AN763" i="1"/>
  <c r="AP763" i="1"/>
  <c r="AQ763" i="1"/>
  <c r="AS763" i="1"/>
  <c r="AT763" i="1"/>
  <c r="AU763" i="1"/>
  <c r="AV763" i="1"/>
  <c r="AW763" i="1"/>
  <c r="AX763" i="1"/>
  <c r="BB763" i="1"/>
  <c r="BH763" i="1"/>
  <c r="BI763" i="1"/>
  <c r="BJ763" i="1"/>
  <c r="BM763" i="1"/>
  <c r="BN763" i="1"/>
  <c r="BO763" i="1"/>
  <c r="D764" i="1"/>
  <c r="G764" i="1"/>
  <c r="O764" i="1"/>
  <c r="AI764" i="1"/>
  <c r="AJ764" i="1"/>
  <c r="AL764" i="1"/>
  <c r="AN764" i="1"/>
  <c r="AO764" i="1"/>
  <c r="AP764" i="1"/>
  <c r="AQ764" i="1"/>
  <c r="AS764" i="1"/>
  <c r="AT764" i="1"/>
  <c r="AU764" i="1"/>
  <c r="AV764" i="1"/>
  <c r="AW764" i="1"/>
  <c r="AX764" i="1"/>
  <c r="BB764" i="1"/>
  <c r="BD764" i="1"/>
  <c r="BG764" i="1"/>
  <c r="BH764" i="1"/>
  <c r="BI764" i="1"/>
  <c r="BJ764" i="1"/>
  <c r="BL764" i="1"/>
  <c r="BM764" i="1"/>
  <c r="BN764" i="1"/>
  <c r="BO764" i="1"/>
  <c r="V765" i="1"/>
  <c r="W765" i="1"/>
  <c r="BH765" i="1" s="1"/>
  <c r="AA765" i="1"/>
  <c r="AB765" i="1"/>
  <c r="AF765" i="1"/>
  <c r="AL765" i="1" s="1"/>
  <c r="AI765" i="1"/>
  <c r="AJ765" i="1" s="1"/>
  <c r="AN765" i="1"/>
  <c r="AP765" i="1"/>
  <c r="AQ765" i="1"/>
  <c r="AS765" i="1"/>
  <c r="AT765" i="1"/>
  <c r="AU765" i="1"/>
  <c r="AV765" i="1"/>
  <c r="AW765" i="1"/>
  <c r="AX765" i="1"/>
  <c r="BB765" i="1"/>
  <c r="BD765" i="1"/>
  <c r="BG765" i="1"/>
  <c r="BI765" i="1"/>
  <c r="BJ765" i="1"/>
  <c r="BL765" i="1"/>
  <c r="BN765" i="1"/>
  <c r="BO765" i="1"/>
  <c r="O766" i="1"/>
  <c r="AA766" i="1"/>
  <c r="D766" i="1" s="1"/>
  <c r="AF766" i="1"/>
  <c r="AI766" i="1"/>
  <c r="AJ766" i="1" s="1"/>
  <c r="AK766" i="1"/>
  <c r="AL766" i="1"/>
  <c r="AN766" i="1"/>
  <c r="AP766" i="1"/>
  <c r="AQ766" i="1"/>
  <c r="AS766" i="1"/>
  <c r="AT766" i="1"/>
  <c r="AU766" i="1"/>
  <c r="AV766" i="1"/>
  <c r="AW766" i="1"/>
  <c r="AX766" i="1"/>
  <c r="AZ766" i="1"/>
  <c r="BB766" i="1"/>
  <c r="BD766" i="1"/>
  <c r="BG766" i="1"/>
  <c r="BH766" i="1"/>
  <c r="BI766" i="1"/>
  <c r="BJ766" i="1"/>
  <c r="BM766" i="1"/>
  <c r="BN766" i="1"/>
  <c r="BO766" i="1"/>
  <c r="D767" i="1"/>
  <c r="G767" i="1" s="1"/>
  <c r="N767" i="1"/>
  <c r="AY767" i="1" s="1"/>
  <c r="V767" i="1"/>
  <c r="W767" i="1"/>
  <c r="AA767" i="1"/>
  <c r="BL767" i="1" s="1"/>
  <c r="AB767" i="1"/>
  <c r="AF767" i="1"/>
  <c r="BD767" i="1" s="1"/>
  <c r="AI767" i="1"/>
  <c r="AJ767" i="1"/>
  <c r="AL767" i="1"/>
  <c r="AN767" i="1"/>
  <c r="AP767" i="1"/>
  <c r="AQ767" i="1"/>
  <c r="AS767" i="1"/>
  <c r="AT767" i="1"/>
  <c r="AU767" i="1"/>
  <c r="AV767" i="1"/>
  <c r="AW767" i="1"/>
  <c r="AX767" i="1"/>
  <c r="BB767" i="1"/>
  <c r="BH767" i="1"/>
  <c r="BI767" i="1"/>
  <c r="BJ767" i="1"/>
  <c r="BM767" i="1"/>
  <c r="BN767" i="1"/>
  <c r="BO767" i="1"/>
  <c r="D768" i="1"/>
  <c r="G768" i="1"/>
  <c r="N768" i="1" s="1"/>
  <c r="AY768" i="1" s="1"/>
  <c r="O768" i="1"/>
  <c r="AK768" i="1" s="1"/>
  <c r="AF768" i="1"/>
  <c r="AL768" i="1" s="1"/>
  <c r="AI768" i="1"/>
  <c r="AJ768" i="1" s="1"/>
  <c r="AN768" i="1"/>
  <c r="AO768" i="1"/>
  <c r="AP768" i="1"/>
  <c r="AQ768" i="1"/>
  <c r="AR768" i="1"/>
  <c r="AS768" i="1"/>
  <c r="AT768" i="1"/>
  <c r="AU768" i="1"/>
  <c r="AV768" i="1"/>
  <c r="AW768" i="1"/>
  <c r="AX768" i="1"/>
  <c r="BB768" i="1"/>
  <c r="BD768" i="1"/>
  <c r="BG768" i="1"/>
  <c r="BH768" i="1"/>
  <c r="BI768" i="1"/>
  <c r="BJ768" i="1"/>
  <c r="BL768" i="1"/>
  <c r="BM768" i="1"/>
  <c r="BN768" i="1"/>
  <c r="BO768" i="1"/>
  <c r="D769" i="1"/>
  <c r="O769" i="1"/>
  <c r="AI769" i="1"/>
  <c r="AJ769" i="1" s="1"/>
  <c r="AK769" i="1"/>
  <c r="AL769" i="1"/>
  <c r="AN769" i="1"/>
  <c r="AP769" i="1"/>
  <c r="AQ769" i="1"/>
  <c r="AS769" i="1"/>
  <c r="AT769" i="1"/>
  <c r="AU769" i="1"/>
  <c r="AV769" i="1"/>
  <c r="AW769" i="1"/>
  <c r="AX769" i="1"/>
  <c r="AZ769" i="1"/>
  <c r="BB769" i="1"/>
  <c r="BD769" i="1"/>
  <c r="BG769" i="1"/>
  <c r="BH769" i="1"/>
  <c r="BI769" i="1"/>
  <c r="BJ769" i="1"/>
  <c r="BL769" i="1"/>
  <c r="BM769" i="1"/>
  <c r="BN769" i="1"/>
  <c r="BO769" i="1"/>
  <c r="V770" i="1"/>
  <c r="W770" i="1"/>
  <c r="AA770" i="1"/>
  <c r="BL770" i="1" s="1"/>
  <c r="AB770" i="1"/>
  <c r="AF770" i="1"/>
  <c r="BD770" i="1" s="1"/>
  <c r="AI770" i="1"/>
  <c r="AL770" i="1"/>
  <c r="AN770" i="1"/>
  <c r="AP770" i="1"/>
  <c r="AQ770" i="1"/>
  <c r="AS770" i="1"/>
  <c r="AT770" i="1"/>
  <c r="AU770" i="1"/>
  <c r="AV770" i="1"/>
  <c r="AW770" i="1"/>
  <c r="AX770" i="1"/>
  <c r="BB770" i="1"/>
  <c r="BH770" i="1"/>
  <c r="BI770" i="1"/>
  <c r="BJ770" i="1"/>
  <c r="BM770" i="1"/>
  <c r="BN770" i="1"/>
  <c r="BO770" i="1"/>
  <c r="G771" i="1"/>
  <c r="N771" i="1" s="1"/>
  <c r="AY771" i="1" s="1"/>
  <c r="V771" i="1"/>
  <c r="W771" i="1"/>
  <c r="BH771" i="1" s="1"/>
  <c r="AA771" i="1"/>
  <c r="D771" i="1" s="1"/>
  <c r="AO771" i="1" s="1"/>
  <c r="AB771" i="1"/>
  <c r="BM771" i="1" s="1"/>
  <c r="AF771" i="1"/>
  <c r="AI771" i="1"/>
  <c r="AJ771" i="1" s="1"/>
  <c r="AL771" i="1"/>
  <c r="AN771" i="1"/>
  <c r="AP771" i="1"/>
  <c r="AQ771" i="1"/>
  <c r="AR771" i="1"/>
  <c r="AS771" i="1"/>
  <c r="AT771" i="1"/>
  <c r="AU771" i="1"/>
  <c r="AV771" i="1"/>
  <c r="AW771" i="1"/>
  <c r="AX771" i="1"/>
  <c r="BB771" i="1"/>
  <c r="BD771" i="1"/>
  <c r="BG771" i="1"/>
  <c r="BI771" i="1"/>
  <c r="BJ771" i="1"/>
  <c r="BL771" i="1"/>
  <c r="BN771" i="1"/>
  <c r="BO771" i="1"/>
  <c r="D772" i="1"/>
  <c r="G772" i="1" s="1"/>
  <c r="N772" i="1" s="1"/>
  <c r="AY772" i="1" s="1"/>
  <c r="W772" i="1"/>
  <c r="O772" i="1" s="1"/>
  <c r="P772" i="1" s="1"/>
  <c r="AB772" i="1"/>
  <c r="AF772" i="1"/>
  <c r="BD772" i="1" s="1"/>
  <c r="AI772" i="1"/>
  <c r="AL772" i="1"/>
  <c r="AN772" i="1"/>
  <c r="AO772" i="1"/>
  <c r="AP772" i="1"/>
  <c r="AQ772" i="1"/>
  <c r="AS772" i="1"/>
  <c r="AT772" i="1"/>
  <c r="AU772" i="1"/>
  <c r="AV772" i="1"/>
  <c r="AW772" i="1"/>
  <c r="AX772" i="1"/>
  <c r="BB772" i="1"/>
  <c r="BG772" i="1"/>
  <c r="BI772" i="1"/>
  <c r="BJ772" i="1"/>
  <c r="BL772" i="1"/>
  <c r="BM772" i="1"/>
  <c r="BN772" i="1"/>
  <c r="BO772" i="1"/>
  <c r="D773" i="1"/>
  <c r="G773" i="1"/>
  <c r="O773" i="1"/>
  <c r="AI773" i="1"/>
  <c r="AJ773" i="1"/>
  <c r="AL773" i="1"/>
  <c r="AN773" i="1"/>
  <c r="AO773" i="1"/>
  <c r="AP773" i="1"/>
  <c r="AQ773" i="1"/>
  <c r="AS773" i="1"/>
  <c r="AT773" i="1"/>
  <c r="AU773" i="1"/>
  <c r="AV773" i="1"/>
  <c r="AW773" i="1"/>
  <c r="AX773" i="1"/>
  <c r="BB773" i="1"/>
  <c r="BD773" i="1"/>
  <c r="BG773" i="1"/>
  <c r="BH773" i="1"/>
  <c r="BI773" i="1"/>
  <c r="BJ773" i="1"/>
  <c r="BL773" i="1"/>
  <c r="BM773" i="1"/>
  <c r="BN773" i="1"/>
  <c r="BO773" i="1"/>
  <c r="D774" i="1"/>
  <c r="G774" i="1"/>
  <c r="N774" i="1" s="1"/>
  <c r="AY774" i="1" s="1"/>
  <c r="O774" i="1"/>
  <c r="AF774" i="1"/>
  <c r="AI774" i="1"/>
  <c r="AJ774" i="1" s="1"/>
  <c r="AK774" i="1"/>
  <c r="AL774" i="1"/>
  <c r="AN774" i="1"/>
  <c r="AO774" i="1"/>
  <c r="AP774" i="1"/>
  <c r="AQ774" i="1"/>
  <c r="AS774" i="1"/>
  <c r="AT774" i="1"/>
  <c r="AU774" i="1"/>
  <c r="AV774" i="1"/>
  <c r="AW774" i="1"/>
  <c r="AX774" i="1"/>
  <c r="AZ774" i="1"/>
  <c r="BB774" i="1"/>
  <c r="BD774" i="1"/>
  <c r="BG774" i="1"/>
  <c r="BH774" i="1"/>
  <c r="BI774" i="1"/>
  <c r="BJ774" i="1"/>
  <c r="BL774" i="1"/>
  <c r="BM774" i="1"/>
  <c r="BN774" i="1"/>
  <c r="BO774" i="1"/>
  <c r="D775" i="1"/>
  <c r="G775" i="1" s="1"/>
  <c r="N775" i="1"/>
  <c r="AY775" i="1" s="1"/>
  <c r="O775" i="1"/>
  <c r="AF775" i="1"/>
  <c r="AI775" i="1"/>
  <c r="AL775" i="1"/>
  <c r="AN775" i="1"/>
  <c r="AO775" i="1"/>
  <c r="AP775" i="1"/>
  <c r="AQ775" i="1"/>
  <c r="AS775" i="1"/>
  <c r="AT775" i="1"/>
  <c r="AU775" i="1"/>
  <c r="AV775" i="1"/>
  <c r="AW775" i="1"/>
  <c r="AX775" i="1"/>
  <c r="AZ775" i="1"/>
  <c r="BB775" i="1"/>
  <c r="BG775" i="1"/>
  <c r="BH775" i="1"/>
  <c r="BI775" i="1"/>
  <c r="BJ775" i="1"/>
  <c r="BL775" i="1"/>
  <c r="BM775" i="1"/>
  <c r="BN775" i="1"/>
  <c r="BO775" i="1"/>
  <c r="D776" i="1"/>
  <c r="G776" i="1"/>
  <c r="N776" i="1" s="1"/>
  <c r="AY776" i="1" s="1"/>
  <c r="O776" i="1"/>
  <c r="AK776" i="1" s="1"/>
  <c r="AF776" i="1"/>
  <c r="AL776" i="1" s="1"/>
  <c r="AI776" i="1"/>
  <c r="AJ776" i="1" s="1"/>
  <c r="AN776" i="1"/>
  <c r="AO776" i="1"/>
  <c r="AP776" i="1"/>
  <c r="AQ776" i="1"/>
  <c r="AR776" i="1"/>
  <c r="AS776" i="1"/>
  <c r="AT776" i="1"/>
  <c r="AU776" i="1"/>
  <c r="AV776" i="1"/>
  <c r="AW776" i="1"/>
  <c r="AX776" i="1"/>
  <c r="BB776" i="1"/>
  <c r="BD776" i="1"/>
  <c r="BG776" i="1"/>
  <c r="BH776" i="1"/>
  <c r="BI776" i="1"/>
  <c r="BJ776" i="1"/>
  <c r="BL776" i="1"/>
  <c r="BM776" i="1"/>
  <c r="BN776" i="1"/>
  <c r="BO776" i="1"/>
  <c r="D777" i="1"/>
  <c r="O777" i="1"/>
  <c r="AI777" i="1"/>
  <c r="AJ777" i="1" s="1"/>
  <c r="AK777" i="1"/>
  <c r="AL777" i="1"/>
  <c r="AN777" i="1"/>
  <c r="AP777" i="1"/>
  <c r="AQ777" i="1"/>
  <c r="AS777" i="1"/>
  <c r="AT777" i="1"/>
  <c r="AU777" i="1"/>
  <c r="AV777" i="1"/>
  <c r="AW777" i="1"/>
  <c r="AX777" i="1"/>
  <c r="AZ777" i="1"/>
  <c r="BB777" i="1"/>
  <c r="BD777" i="1"/>
  <c r="BG777" i="1"/>
  <c r="BH777" i="1"/>
  <c r="BI777" i="1"/>
  <c r="BJ777" i="1"/>
  <c r="BL777" i="1"/>
  <c r="BM777" i="1"/>
  <c r="BN777" i="1"/>
  <c r="BO777" i="1"/>
  <c r="D778" i="1"/>
  <c r="O778" i="1"/>
  <c r="AI778" i="1"/>
  <c r="AJ778" i="1" s="1"/>
  <c r="AK778" i="1"/>
  <c r="AL778" i="1"/>
  <c r="AN778" i="1"/>
  <c r="AP778" i="1"/>
  <c r="AQ778" i="1"/>
  <c r="AS778" i="1"/>
  <c r="AT778" i="1"/>
  <c r="AU778" i="1"/>
  <c r="AV778" i="1"/>
  <c r="AW778" i="1"/>
  <c r="AX778" i="1"/>
  <c r="AZ778" i="1"/>
  <c r="BB778" i="1"/>
  <c r="BD778" i="1"/>
  <c r="BG778" i="1"/>
  <c r="BH778" i="1"/>
  <c r="BI778" i="1"/>
  <c r="BJ778" i="1"/>
  <c r="BL778" i="1"/>
  <c r="BM778" i="1"/>
  <c r="BN778" i="1"/>
  <c r="BO778" i="1"/>
  <c r="D779" i="1"/>
  <c r="G779" i="1" s="1"/>
  <c r="N779" i="1" s="1"/>
  <c r="AY779" i="1" s="1"/>
  <c r="V779" i="1"/>
  <c r="AA779" i="1"/>
  <c r="AF779" i="1"/>
  <c r="BD779" i="1" s="1"/>
  <c r="AI779" i="1"/>
  <c r="AL779" i="1"/>
  <c r="AN779" i="1"/>
  <c r="AO779" i="1"/>
  <c r="AP779" i="1"/>
  <c r="AQ779" i="1"/>
  <c r="AS779" i="1"/>
  <c r="AT779" i="1"/>
  <c r="AU779" i="1"/>
  <c r="AV779" i="1"/>
  <c r="AW779" i="1"/>
  <c r="AX779" i="1"/>
  <c r="BB779" i="1"/>
  <c r="BH779" i="1"/>
  <c r="BI779" i="1"/>
  <c r="BJ779" i="1"/>
  <c r="BL779" i="1"/>
  <c r="BM779" i="1"/>
  <c r="BN779" i="1"/>
  <c r="BO779" i="1"/>
  <c r="D780" i="1"/>
  <c r="G780" i="1"/>
  <c r="V780" i="1"/>
  <c r="O780" i="1" s="1"/>
  <c r="W780" i="1"/>
  <c r="BH780" i="1" s="1"/>
  <c r="AB780" i="1"/>
  <c r="AF780" i="1"/>
  <c r="BD780" i="1" s="1"/>
  <c r="AI780" i="1"/>
  <c r="AJ780" i="1"/>
  <c r="AL780" i="1"/>
  <c r="AL829" i="1" s="1"/>
  <c r="AN780" i="1"/>
  <c r="AO780" i="1"/>
  <c r="AP780" i="1"/>
  <c r="AQ780" i="1"/>
  <c r="AS780" i="1"/>
  <c r="AT780" i="1"/>
  <c r="AU780" i="1"/>
  <c r="AV780" i="1"/>
  <c r="AW780" i="1"/>
  <c r="AX780" i="1"/>
  <c r="BB780" i="1"/>
  <c r="BG780" i="1"/>
  <c r="BI780" i="1"/>
  <c r="BJ780" i="1"/>
  <c r="BL780" i="1"/>
  <c r="BM780" i="1"/>
  <c r="BN780" i="1"/>
  <c r="BO780" i="1"/>
  <c r="D781" i="1"/>
  <c r="G781" i="1" s="1"/>
  <c r="V781" i="1"/>
  <c r="BG781" i="1" s="1"/>
  <c r="W781" i="1"/>
  <c r="BH781" i="1" s="1"/>
  <c r="AA781" i="1"/>
  <c r="AB781" i="1"/>
  <c r="BM781" i="1" s="1"/>
  <c r="AF781" i="1"/>
  <c r="AL781" i="1" s="1"/>
  <c r="AI781" i="1"/>
  <c r="AJ781" i="1" s="1"/>
  <c r="AN781" i="1"/>
  <c r="AO781" i="1"/>
  <c r="AP781" i="1"/>
  <c r="AQ781" i="1"/>
  <c r="AS781" i="1"/>
  <c r="AT781" i="1"/>
  <c r="AU781" i="1"/>
  <c r="AV781" i="1"/>
  <c r="AW781" i="1"/>
  <c r="AX781" i="1"/>
  <c r="BB781" i="1"/>
  <c r="BI781" i="1"/>
  <c r="BJ781" i="1"/>
  <c r="BL781" i="1"/>
  <c r="BN781" i="1"/>
  <c r="BO781" i="1"/>
  <c r="AN783" i="1"/>
  <c r="O784" i="1"/>
  <c r="AK784" i="1" s="1"/>
  <c r="V784" i="1"/>
  <c r="AB784" i="1"/>
  <c r="AF784" i="1"/>
  <c r="AL784" i="1" s="1"/>
  <c r="AI784" i="1"/>
  <c r="AJ784" i="1" s="1"/>
  <c r="AN784" i="1"/>
  <c r="AP784" i="1"/>
  <c r="AQ784" i="1"/>
  <c r="AS784" i="1"/>
  <c r="AT784" i="1"/>
  <c r="AU784" i="1"/>
  <c r="AV784" i="1"/>
  <c r="AW784" i="1"/>
  <c r="AX784" i="1"/>
  <c r="BB784" i="1"/>
  <c r="BG784" i="1"/>
  <c r="BH784" i="1"/>
  <c r="BI784" i="1"/>
  <c r="BJ784" i="1"/>
  <c r="BL784" i="1"/>
  <c r="BN784" i="1"/>
  <c r="BO784" i="1"/>
  <c r="D785" i="1"/>
  <c r="G785" i="1" s="1"/>
  <c r="N785" i="1" s="1"/>
  <c r="AY785" i="1" s="1"/>
  <c r="O785" i="1"/>
  <c r="AK785" i="1" s="1"/>
  <c r="AG785" i="1"/>
  <c r="AH785" i="1" s="1"/>
  <c r="AI785" i="1"/>
  <c r="AJ785" i="1"/>
  <c r="AL785" i="1"/>
  <c r="AN785" i="1"/>
  <c r="AO785" i="1"/>
  <c r="AP785" i="1"/>
  <c r="AQ785" i="1"/>
  <c r="AS785" i="1"/>
  <c r="AT785" i="1"/>
  <c r="AU785" i="1"/>
  <c r="AV785" i="1"/>
  <c r="AW785" i="1"/>
  <c r="AX785" i="1"/>
  <c r="AZ785" i="1"/>
  <c r="BB785" i="1"/>
  <c r="BD785" i="1"/>
  <c r="BG785" i="1"/>
  <c r="BH785" i="1"/>
  <c r="BI785" i="1"/>
  <c r="BJ785" i="1"/>
  <c r="BL785" i="1"/>
  <c r="BM785" i="1"/>
  <c r="BN785" i="1"/>
  <c r="BO785" i="1"/>
  <c r="D786" i="1"/>
  <c r="G786" i="1" s="1"/>
  <c r="N786" i="1"/>
  <c r="AY786" i="1" s="1"/>
  <c r="O786" i="1"/>
  <c r="P786" i="1"/>
  <c r="Q786" i="1" s="1"/>
  <c r="AG786" i="1"/>
  <c r="AH786" i="1" s="1"/>
  <c r="AI786" i="1"/>
  <c r="AJ786" i="1" s="1"/>
  <c r="AK786" i="1"/>
  <c r="AL786" i="1"/>
  <c r="AN786" i="1"/>
  <c r="AO786" i="1"/>
  <c r="AP786" i="1"/>
  <c r="AQ786" i="1"/>
  <c r="AR786" i="1"/>
  <c r="AS786" i="1"/>
  <c r="AT786" i="1"/>
  <c r="AU786" i="1"/>
  <c r="AV786" i="1"/>
  <c r="AW786" i="1"/>
  <c r="AX786" i="1"/>
  <c r="AZ786" i="1"/>
  <c r="BA786" i="1"/>
  <c r="BB786" i="1"/>
  <c r="BD786" i="1"/>
  <c r="BG786" i="1"/>
  <c r="BH786" i="1"/>
  <c r="BI786" i="1"/>
  <c r="BJ786" i="1"/>
  <c r="BL786" i="1"/>
  <c r="BM786" i="1"/>
  <c r="BN786" i="1"/>
  <c r="BO786" i="1"/>
  <c r="D787" i="1"/>
  <c r="G787" i="1" s="1"/>
  <c r="AR787" i="1" s="1"/>
  <c r="O787" i="1"/>
  <c r="AI787" i="1"/>
  <c r="AJ787" i="1"/>
  <c r="AL787" i="1"/>
  <c r="AN787" i="1"/>
  <c r="AO787" i="1"/>
  <c r="AP787" i="1"/>
  <c r="AQ787" i="1"/>
  <c r="AS787" i="1"/>
  <c r="AT787" i="1"/>
  <c r="AU787" i="1"/>
  <c r="AV787" i="1"/>
  <c r="AW787" i="1"/>
  <c r="AX787" i="1"/>
  <c r="AZ787" i="1"/>
  <c r="BB787" i="1"/>
  <c r="BD787" i="1"/>
  <c r="BG787" i="1"/>
  <c r="BH787" i="1"/>
  <c r="BI787" i="1"/>
  <c r="BJ787" i="1"/>
  <c r="BL787" i="1"/>
  <c r="BM787" i="1"/>
  <c r="BN787" i="1"/>
  <c r="BO787" i="1"/>
  <c r="D788" i="1"/>
  <c r="G788" i="1" s="1"/>
  <c r="AG788" i="1" s="1"/>
  <c r="AH788" i="1" s="1"/>
  <c r="N788" i="1"/>
  <c r="AY788" i="1" s="1"/>
  <c r="O788" i="1"/>
  <c r="AI788" i="1"/>
  <c r="AJ788" i="1" s="1"/>
  <c r="AK788" i="1"/>
  <c r="AL788" i="1"/>
  <c r="AN788" i="1"/>
  <c r="AO788" i="1"/>
  <c r="AP788" i="1"/>
  <c r="AQ788" i="1"/>
  <c r="AR788" i="1"/>
  <c r="AS788" i="1"/>
  <c r="AT788" i="1"/>
  <c r="AU788" i="1"/>
  <c r="AV788" i="1"/>
  <c r="AW788" i="1"/>
  <c r="AX788" i="1"/>
  <c r="AZ788" i="1"/>
  <c r="BB788" i="1"/>
  <c r="BD788" i="1"/>
  <c r="BG788" i="1"/>
  <c r="BH788" i="1"/>
  <c r="BI788" i="1"/>
  <c r="BJ788" i="1"/>
  <c r="BL788" i="1"/>
  <c r="BM788" i="1"/>
  <c r="BN788" i="1"/>
  <c r="BO788" i="1"/>
  <c r="D789" i="1"/>
  <c r="G789" i="1" s="1"/>
  <c r="N789" i="1" s="1"/>
  <c r="AY789" i="1" s="1"/>
  <c r="O789" i="1"/>
  <c r="AK789" i="1" s="1"/>
  <c r="AG789" i="1"/>
  <c r="AH789" i="1" s="1"/>
  <c r="AI789" i="1"/>
  <c r="AJ789" i="1"/>
  <c r="AL789" i="1"/>
  <c r="AN789" i="1"/>
  <c r="AO789" i="1"/>
  <c r="AP789" i="1"/>
  <c r="AQ789" i="1"/>
  <c r="AS789" i="1"/>
  <c r="AT789" i="1"/>
  <c r="AU789" i="1"/>
  <c r="AV789" i="1"/>
  <c r="AW789" i="1"/>
  <c r="AX789" i="1"/>
  <c r="AZ789" i="1"/>
  <c r="BB789" i="1"/>
  <c r="BD789" i="1"/>
  <c r="BG789" i="1"/>
  <c r="BH789" i="1"/>
  <c r="BI789" i="1"/>
  <c r="BJ789" i="1"/>
  <c r="BL789" i="1"/>
  <c r="BM789" i="1"/>
  <c r="BN789" i="1"/>
  <c r="BO789" i="1"/>
  <c r="D790" i="1"/>
  <c r="G790" i="1" s="1"/>
  <c r="N790" i="1"/>
  <c r="AY790" i="1" s="1"/>
  <c r="O790" i="1"/>
  <c r="P790" i="1"/>
  <c r="Q790" i="1" s="1"/>
  <c r="AG790" i="1"/>
  <c r="AH790" i="1" s="1"/>
  <c r="AI790" i="1"/>
  <c r="AJ790" i="1" s="1"/>
  <c r="AK790" i="1"/>
  <c r="AL790" i="1"/>
  <c r="AN790" i="1"/>
  <c r="AO790" i="1"/>
  <c r="AP790" i="1"/>
  <c r="AQ790" i="1"/>
  <c r="AR790" i="1"/>
  <c r="AS790" i="1"/>
  <c r="AT790" i="1"/>
  <c r="AU790" i="1"/>
  <c r="AV790" i="1"/>
  <c r="AW790" i="1"/>
  <c r="AX790" i="1"/>
  <c r="AZ790" i="1"/>
  <c r="BA790" i="1"/>
  <c r="BB790" i="1"/>
  <c r="BD790" i="1"/>
  <c r="BG790" i="1"/>
  <c r="BH790" i="1"/>
  <c r="BI790" i="1"/>
  <c r="BJ790" i="1"/>
  <c r="BL790" i="1"/>
  <c r="BM790" i="1"/>
  <c r="BN790" i="1"/>
  <c r="BO790" i="1"/>
  <c r="D791" i="1"/>
  <c r="G791" i="1" s="1"/>
  <c r="AR791" i="1" s="1"/>
  <c r="O791" i="1"/>
  <c r="AI791" i="1"/>
  <c r="AJ791" i="1"/>
  <c r="AL791" i="1"/>
  <c r="AN791" i="1"/>
  <c r="AO791" i="1"/>
  <c r="AP791" i="1"/>
  <c r="AQ791" i="1"/>
  <c r="AS791" i="1"/>
  <c r="AT791" i="1"/>
  <c r="AU791" i="1"/>
  <c r="AV791" i="1"/>
  <c r="AW791" i="1"/>
  <c r="AX791" i="1"/>
  <c r="AZ791" i="1"/>
  <c r="BB791" i="1"/>
  <c r="BD791" i="1"/>
  <c r="BG791" i="1"/>
  <c r="BH791" i="1"/>
  <c r="BI791" i="1"/>
  <c r="BJ791" i="1"/>
  <c r="BL791" i="1"/>
  <c r="BM791" i="1"/>
  <c r="BN791" i="1"/>
  <c r="BO791" i="1"/>
  <c r="D792" i="1"/>
  <c r="G792" i="1" s="1"/>
  <c r="AG792" i="1" s="1"/>
  <c r="AH792" i="1" s="1"/>
  <c r="N792" i="1"/>
  <c r="AY792" i="1" s="1"/>
  <c r="O792" i="1"/>
  <c r="AI792" i="1"/>
  <c r="AJ792" i="1" s="1"/>
  <c r="AK792" i="1"/>
  <c r="AL792" i="1"/>
  <c r="AN792" i="1"/>
  <c r="AO792" i="1"/>
  <c r="AP792" i="1"/>
  <c r="AQ792" i="1"/>
  <c r="AR792" i="1"/>
  <c r="AS792" i="1"/>
  <c r="AT792" i="1"/>
  <c r="AU792" i="1"/>
  <c r="AV792" i="1"/>
  <c r="AW792" i="1"/>
  <c r="AX792" i="1"/>
  <c r="AZ792" i="1"/>
  <c r="BB792" i="1"/>
  <c r="BD792" i="1"/>
  <c r="BG792" i="1"/>
  <c r="BH792" i="1"/>
  <c r="BI792" i="1"/>
  <c r="BJ792" i="1"/>
  <c r="BL792" i="1"/>
  <c r="BM792" i="1"/>
  <c r="BN792" i="1"/>
  <c r="BO792" i="1"/>
  <c r="D793" i="1"/>
  <c r="G793" i="1" s="1"/>
  <c r="N793" i="1" s="1"/>
  <c r="AY793" i="1" s="1"/>
  <c r="O793" i="1"/>
  <c r="AK793" i="1" s="1"/>
  <c r="AG793" i="1"/>
  <c r="AH793" i="1" s="1"/>
  <c r="AI793" i="1"/>
  <c r="AJ793" i="1"/>
  <c r="AL793" i="1"/>
  <c r="AN793" i="1"/>
  <c r="AO793" i="1"/>
  <c r="AP793" i="1"/>
  <c r="AQ793" i="1"/>
  <c r="AS793" i="1"/>
  <c r="AT793" i="1"/>
  <c r="AU793" i="1"/>
  <c r="AV793" i="1"/>
  <c r="AW793" i="1"/>
  <c r="AX793" i="1"/>
  <c r="AZ793" i="1"/>
  <c r="BB793" i="1"/>
  <c r="BD793" i="1"/>
  <c r="BG793" i="1"/>
  <c r="BH793" i="1"/>
  <c r="BI793" i="1"/>
  <c r="BJ793" i="1"/>
  <c r="BL793" i="1"/>
  <c r="BM793" i="1"/>
  <c r="BN793" i="1"/>
  <c r="BO793" i="1"/>
  <c r="D794" i="1"/>
  <c r="G794" i="1" s="1"/>
  <c r="N794" i="1"/>
  <c r="AY794" i="1" s="1"/>
  <c r="O794" i="1"/>
  <c r="P794" i="1"/>
  <c r="Q794" i="1" s="1"/>
  <c r="AG794" i="1"/>
  <c r="AH794" i="1" s="1"/>
  <c r="AI794" i="1"/>
  <c r="AJ794" i="1" s="1"/>
  <c r="AK794" i="1"/>
  <c r="AL794" i="1"/>
  <c r="AN794" i="1"/>
  <c r="AO794" i="1"/>
  <c r="AP794" i="1"/>
  <c r="AQ794" i="1"/>
  <c r="AR794" i="1"/>
  <c r="AS794" i="1"/>
  <c r="AT794" i="1"/>
  <c r="AU794" i="1"/>
  <c r="AV794" i="1"/>
  <c r="AW794" i="1"/>
  <c r="AX794" i="1"/>
  <c r="AZ794" i="1"/>
  <c r="BA794" i="1"/>
  <c r="BB794" i="1"/>
  <c r="BD794" i="1"/>
  <c r="BG794" i="1"/>
  <c r="BH794" i="1"/>
  <c r="BI794" i="1"/>
  <c r="BJ794" i="1"/>
  <c r="BL794" i="1"/>
  <c r="BM794" i="1"/>
  <c r="BN794" i="1"/>
  <c r="BO794" i="1"/>
  <c r="D795" i="1"/>
  <c r="G795" i="1" s="1"/>
  <c r="AR795" i="1" s="1"/>
  <c r="O795" i="1"/>
  <c r="AI795" i="1"/>
  <c r="AJ795" i="1"/>
  <c r="AL795" i="1"/>
  <c r="AN795" i="1"/>
  <c r="AO795" i="1"/>
  <c r="AP795" i="1"/>
  <c r="AQ795" i="1"/>
  <c r="AS795" i="1"/>
  <c r="AT795" i="1"/>
  <c r="AU795" i="1"/>
  <c r="AV795" i="1"/>
  <c r="AW795" i="1"/>
  <c r="AX795" i="1"/>
  <c r="AZ795" i="1"/>
  <c r="BB795" i="1"/>
  <c r="BD795" i="1"/>
  <c r="BG795" i="1"/>
  <c r="BH795" i="1"/>
  <c r="BI795" i="1"/>
  <c r="BJ795" i="1"/>
  <c r="BL795" i="1"/>
  <c r="BM795" i="1"/>
  <c r="BN795" i="1"/>
  <c r="BO795" i="1"/>
  <c r="D796" i="1"/>
  <c r="G796" i="1" s="1"/>
  <c r="AG796" i="1" s="1"/>
  <c r="AH796" i="1" s="1"/>
  <c r="N796" i="1"/>
  <c r="AY796" i="1" s="1"/>
  <c r="O796" i="1"/>
  <c r="AI796" i="1"/>
  <c r="AJ796" i="1" s="1"/>
  <c r="AK796" i="1"/>
  <c r="AL796" i="1"/>
  <c r="AN796" i="1"/>
  <c r="AO796" i="1"/>
  <c r="AP796" i="1"/>
  <c r="AQ796" i="1"/>
  <c r="AR796" i="1"/>
  <c r="AS796" i="1"/>
  <c r="AT796" i="1"/>
  <c r="AU796" i="1"/>
  <c r="AV796" i="1"/>
  <c r="AW796" i="1"/>
  <c r="AX796" i="1"/>
  <c r="AZ796" i="1"/>
  <c r="BB796" i="1"/>
  <c r="BD796" i="1"/>
  <c r="BG796" i="1"/>
  <c r="BH796" i="1"/>
  <c r="BI796" i="1"/>
  <c r="BJ796" i="1"/>
  <c r="BL796" i="1"/>
  <c r="BM796" i="1"/>
  <c r="BN796" i="1"/>
  <c r="BO796" i="1"/>
  <c r="D797" i="1"/>
  <c r="G797" i="1" s="1"/>
  <c r="N797" i="1" s="1"/>
  <c r="AY797" i="1" s="1"/>
  <c r="O797" i="1"/>
  <c r="AK797" i="1" s="1"/>
  <c r="AG797" i="1"/>
  <c r="AH797" i="1" s="1"/>
  <c r="AI797" i="1"/>
  <c r="AJ797" i="1"/>
  <c r="AL797" i="1"/>
  <c r="AN797" i="1"/>
  <c r="AO797" i="1"/>
  <c r="AP797" i="1"/>
  <c r="AQ797" i="1"/>
  <c r="AS797" i="1"/>
  <c r="AT797" i="1"/>
  <c r="AU797" i="1"/>
  <c r="AV797" i="1"/>
  <c r="AW797" i="1"/>
  <c r="AX797" i="1"/>
  <c r="AZ797" i="1"/>
  <c r="BB797" i="1"/>
  <c r="BD797" i="1"/>
  <c r="BG797" i="1"/>
  <c r="BH797" i="1"/>
  <c r="BI797" i="1"/>
  <c r="BJ797" i="1"/>
  <c r="BL797" i="1"/>
  <c r="BM797" i="1"/>
  <c r="BN797" i="1"/>
  <c r="BO797" i="1"/>
  <c r="D798" i="1"/>
  <c r="G798" i="1" s="1"/>
  <c r="N798" i="1"/>
  <c r="AY798" i="1" s="1"/>
  <c r="O798" i="1"/>
  <c r="P798" i="1"/>
  <c r="Q798" i="1" s="1"/>
  <c r="AG798" i="1"/>
  <c r="AH798" i="1" s="1"/>
  <c r="AI798" i="1"/>
  <c r="AJ798" i="1" s="1"/>
  <c r="AK798" i="1"/>
  <c r="AL798" i="1"/>
  <c r="AN798" i="1"/>
  <c r="AO798" i="1"/>
  <c r="AP798" i="1"/>
  <c r="AQ798" i="1"/>
  <c r="AR798" i="1"/>
  <c r="AS798" i="1"/>
  <c r="AT798" i="1"/>
  <c r="AU798" i="1"/>
  <c r="AV798" i="1"/>
  <c r="AW798" i="1"/>
  <c r="AX798" i="1"/>
  <c r="AZ798" i="1"/>
  <c r="BA798" i="1"/>
  <c r="BB798" i="1"/>
  <c r="BD798" i="1"/>
  <c r="BG798" i="1"/>
  <c r="BH798" i="1"/>
  <c r="BI798" i="1"/>
  <c r="BJ798" i="1"/>
  <c r="BL798" i="1"/>
  <c r="BM798" i="1"/>
  <c r="BN798" i="1"/>
  <c r="BO798" i="1"/>
  <c r="D799" i="1"/>
  <c r="G799" i="1" s="1"/>
  <c r="AR799" i="1" s="1"/>
  <c r="O799" i="1"/>
  <c r="AI799" i="1"/>
  <c r="AJ799" i="1"/>
  <c r="AL799" i="1"/>
  <c r="AN799" i="1"/>
  <c r="AO799" i="1"/>
  <c r="AP799" i="1"/>
  <c r="AQ799" i="1"/>
  <c r="AS799" i="1"/>
  <c r="AT799" i="1"/>
  <c r="AU799" i="1"/>
  <c r="AV799" i="1"/>
  <c r="AW799" i="1"/>
  <c r="AX799" i="1"/>
  <c r="AZ799" i="1"/>
  <c r="BB799" i="1"/>
  <c r="BD799" i="1"/>
  <c r="BG799" i="1"/>
  <c r="BH799" i="1"/>
  <c r="BI799" i="1"/>
  <c r="BJ799" i="1"/>
  <c r="BL799" i="1"/>
  <c r="BM799" i="1"/>
  <c r="BN799" i="1"/>
  <c r="BO799" i="1"/>
  <c r="D800" i="1"/>
  <c r="G800" i="1" s="1"/>
  <c r="AG800" i="1" s="1"/>
  <c r="AH800" i="1" s="1"/>
  <c r="N800" i="1"/>
  <c r="AY800" i="1" s="1"/>
  <c r="O800" i="1"/>
  <c r="AI800" i="1"/>
  <c r="AJ800" i="1" s="1"/>
  <c r="AK800" i="1"/>
  <c r="AL800" i="1"/>
  <c r="AN800" i="1"/>
  <c r="AO800" i="1"/>
  <c r="AP800" i="1"/>
  <c r="AQ800" i="1"/>
  <c r="AR800" i="1"/>
  <c r="AS800" i="1"/>
  <c r="AT800" i="1"/>
  <c r="AU800" i="1"/>
  <c r="AV800" i="1"/>
  <c r="AW800" i="1"/>
  <c r="AX800" i="1"/>
  <c r="AZ800" i="1"/>
  <c r="BB800" i="1"/>
  <c r="BD800" i="1"/>
  <c r="BG800" i="1"/>
  <c r="BH800" i="1"/>
  <c r="BI800" i="1"/>
  <c r="BJ800" i="1"/>
  <c r="BL800" i="1"/>
  <c r="BM800" i="1"/>
  <c r="BN800" i="1"/>
  <c r="BO800" i="1"/>
  <c r="D801" i="1"/>
  <c r="G801" i="1" s="1"/>
  <c r="N801" i="1" s="1"/>
  <c r="AY801" i="1" s="1"/>
  <c r="O801" i="1"/>
  <c r="AK801" i="1" s="1"/>
  <c r="AG801" i="1"/>
  <c r="AH801" i="1" s="1"/>
  <c r="AI801" i="1"/>
  <c r="AJ801" i="1"/>
  <c r="AL801" i="1"/>
  <c r="AN801" i="1"/>
  <c r="AO801" i="1"/>
  <c r="AP801" i="1"/>
  <c r="AQ801" i="1"/>
  <c r="AS801" i="1"/>
  <c r="AT801" i="1"/>
  <c r="AU801" i="1"/>
  <c r="AV801" i="1"/>
  <c r="AW801" i="1"/>
  <c r="AX801" i="1"/>
  <c r="AZ801" i="1"/>
  <c r="BB801" i="1"/>
  <c r="BD801" i="1"/>
  <c r="BG801" i="1"/>
  <c r="BH801" i="1"/>
  <c r="BI801" i="1"/>
  <c r="BJ801" i="1"/>
  <c r="BL801" i="1"/>
  <c r="BM801" i="1"/>
  <c r="BN801" i="1"/>
  <c r="BO801" i="1"/>
  <c r="D802" i="1"/>
  <c r="G802" i="1" s="1"/>
  <c r="N802" i="1"/>
  <c r="AY802" i="1" s="1"/>
  <c r="O802" i="1"/>
  <c r="P802" i="1"/>
  <c r="Q802" i="1" s="1"/>
  <c r="AG802" i="1"/>
  <c r="AH802" i="1" s="1"/>
  <c r="AI802" i="1"/>
  <c r="AJ802" i="1" s="1"/>
  <c r="AK802" i="1"/>
  <c r="AL802" i="1"/>
  <c r="AN802" i="1"/>
  <c r="AO802" i="1"/>
  <c r="AP802" i="1"/>
  <c r="AQ802" i="1"/>
  <c r="AR802" i="1"/>
  <c r="AS802" i="1"/>
  <c r="AT802" i="1"/>
  <c r="AU802" i="1"/>
  <c r="AV802" i="1"/>
  <c r="AW802" i="1"/>
  <c r="AX802" i="1"/>
  <c r="AZ802" i="1"/>
  <c r="BA802" i="1"/>
  <c r="BB802" i="1"/>
  <c r="BD802" i="1"/>
  <c r="BG802" i="1"/>
  <c r="BH802" i="1"/>
  <c r="BI802" i="1"/>
  <c r="BJ802" i="1"/>
  <c r="BL802" i="1"/>
  <c r="BM802" i="1"/>
  <c r="BN802" i="1"/>
  <c r="BO802" i="1"/>
  <c r="D803" i="1"/>
  <c r="G803" i="1" s="1"/>
  <c r="AR803" i="1" s="1"/>
  <c r="O803" i="1"/>
  <c r="AI803" i="1"/>
  <c r="AJ803" i="1"/>
  <c r="AL803" i="1"/>
  <c r="AN803" i="1"/>
  <c r="AO803" i="1"/>
  <c r="AP803" i="1"/>
  <c r="AQ803" i="1"/>
  <c r="AS803" i="1"/>
  <c r="AT803" i="1"/>
  <c r="AU803" i="1"/>
  <c r="AV803" i="1"/>
  <c r="AW803" i="1"/>
  <c r="AX803" i="1"/>
  <c r="AZ803" i="1"/>
  <c r="BB803" i="1"/>
  <c r="BD803" i="1"/>
  <c r="BG803" i="1"/>
  <c r="BH803" i="1"/>
  <c r="BI803" i="1"/>
  <c r="BJ803" i="1"/>
  <c r="BL803" i="1"/>
  <c r="BM803" i="1"/>
  <c r="BN803" i="1"/>
  <c r="BO803" i="1"/>
  <c r="AN805" i="1"/>
  <c r="O806" i="1"/>
  <c r="V806" i="1"/>
  <c r="W806" i="1"/>
  <c r="BH806" i="1" s="1"/>
  <c r="AA806" i="1"/>
  <c r="AB806" i="1"/>
  <c r="AI806" i="1"/>
  <c r="AJ806" i="1"/>
  <c r="AL806" i="1"/>
  <c r="AN806" i="1"/>
  <c r="AP806" i="1"/>
  <c r="AQ806" i="1"/>
  <c r="AS806" i="1"/>
  <c r="AT806" i="1"/>
  <c r="AU806" i="1"/>
  <c r="AV806" i="1"/>
  <c r="AW806" i="1"/>
  <c r="AX806" i="1"/>
  <c r="AZ806" i="1"/>
  <c r="BB806" i="1"/>
  <c r="BD806" i="1"/>
  <c r="BG806" i="1"/>
  <c r="BI806" i="1"/>
  <c r="BJ806" i="1"/>
  <c r="BM806" i="1"/>
  <c r="BN806" i="1"/>
  <c r="BO806" i="1"/>
  <c r="E807" i="1"/>
  <c r="AP807" i="1" s="1"/>
  <c r="G807" i="1"/>
  <c r="I807" i="1"/>
  <c r="AT807" i="1" s="1"/>
  <c r="W807" i="1"/>
  <c r="BH807" i="1" s="1"/>
  <c r="AB807" i="1"/>
  <c r="D807" i="1" s="1"/>
  <c r="AO807" i="1" s="1"/>
  <c r="AI807" i="1"/>
  <c r="AJ807" i="1"/>
  <c r="AL807" i="1"/>
  <c r="AN807" i="1"/>
  <c r="AQ807" i="1"/>
  <c r="AS807" i="1"/>
  <c r="AU807" i="1"/>
  <c r="AV807" i="1"/>
  <c r="AW807" i="1"/>
  <c r="AX807" i="1"/>
  <c r="BB807" i="1"/>
  <c r="BD807" i="1"/>
  <c r="BG807" i="1"/>
  <c r="BI807" i="1"/>
  <c r="BJ807" i="1"/>
  <c r="BL807" i="1"/>
  <c r="BN807" i="1"/>
  <c r="BO807" i="1"/>
  <c r="D808" i="1"/>
  <c r="G808" i="1"/>
  <c r="N808" i="1"/>
  <c r="O808" i="1"/>
  <c r="AI808" i="1"/>
  <c r="AJ808" i="1" s="1"/>
  <c r="AL808" i="1"/>
  <c r="AN808" i="1"/>
  <c r="AO808" i="1"/>
  <c r="AP808" i="1"/>
  <c r="AQ808" i="1"/>
  <c r="AR808" i="1"/>
  <c r="AS808" i="1"/>
  <c r="AT808" i="1"/>
  <c r="AU808" i="1"/>
  <c r="AV808" i="1"/>
  <c r="AW808" i="1"/>
  <c r="AX808" i="1"/>
  <c r="AY808" i="1"/>
  <c r="AZ808" i="1"/>
  <c r="BB808" i="1"/>
  <c r="BD808" i="1"/>
  <c r="BG808" i="1"/>
  <c r="BH808" i="1"/>
  <c r="BI808" i="1"/>
  <c r="BJ808" i="1"/>
  <c r="BL808" i="1"/>
  <c r="BM808" i="1"/>
  <c r="BN808" i="1"/>
  <c r="BO808" i="1"/>
  <c r="D809" i="1"/>
  <c r="G809" i="1"/>
  <c r="O809" i="1"/>
  <c r="AI809" i="1"/>
  <c r="AJ809" i="1"/>
  <c r="AL809" i="1"/>
  <c r="AN809" i="1"/>
  <c r="AO809" i="1"/>
  <c r="AP809" i="1"/>
  <c r="AQ809" i="1"/>
  <c r="AR809" i="1"/>
  <c r="AS809" i="1"/>
  <c r="AT809" i="1"/>
  <c r="AU809" i="1"/>
  <c r="AV809" i="1"/>
  <c r="AW809" i="1"/>
  <c r="AX809" i="1"/>
  <c r="AZ809" i="1"/>
  <c r="BB809" i="1"/>
  <c r="BD809" i="1"/>
  <c r="BG809" i="1"/>
  <c r="BH809" i="1"/>
  <c r="BI809" i="1"/>
  <c r="BJ809" i="1"/>
  <c r="BL809" i="1"/>
  <c r="BM809" i="1"/>
  <c r="BN809" i="1"/>
  <c r="BO809" i="1"/>
  <c r="D810" i="1"/>
  <c r="G810" i="1"/>
  <c r="AG810" i="1" s="1"/>
  <c r="AH810" i="1" s="1"/>
  <c r="N810" i="1"/>
  <c r="O810" i="1"/>
  <c r="AI810" i="1"/>
  <c r="AJ810" i="1" s="1"/>
  <c r="AL810" i="1"/>
  <c r="AN810" i="1"/>
  <c r="AO810" i="1"/>
  <c r="AP810" i="1"/>
  <c r="AQ810" i="1"/>
  <c r="AS810" i="1"/>
  <c r="AT810" i="1"/>
  <c r="AU810" i="1"/>
  <c r="AV810" i="1"/>
  <c r="AW810" i="1"/>
  <c r="AX810" i="1"/>
  <c r="AY810" i="1"/>
  <c r="AZ810" i="1"/>
  <c r="BB810" i="1"/>
  <c r="BD810" i="1"/>
  <c r="BG810" i="1"/>
  <c r="BH810" i="1"/>
  <c r="BI810" i="1"/>
  <c r="BJ810" i="1"/>
  <c r="BL810" i="1"/>
  <c r="BM810" i="1"/>
  <c r="BN810" i="1"/>
  <c r="BO810" i="1"/>
  <c r="D811" i="1"/>
  <c r="G811" i="1"/>
  <c r="AG811" i="1" s="1"/>
  <c r="AH811" i="1" s="1"/>
  <c r="O811" i="1"/>
  <c r="AI811" i="1"/>
  <c r="AJ811" i="1"/>
  <c r="AL811" i="1"/>
  <c r="AN811" i="1"/>
  <c r="AO811" i="1"/>
  <c r="AP811" i="1"/>
  <c r="AQ811" i="1"/>
  <c r="AS811" i="1"/>
  <c r="AT811" i="1"/>
  <c r="AU811" i="1"/>
  <c r="AV811" i="1"/>
  <c r="AW811" i="1"/>
  <c r="AX811" i="1"/>
  <c r="AZ811" i="1"/>
  <c r="BB811" i="1"/>
  <c r="BD811" i="1"/>
  <c r="BG811" i="1"/>
  <c r="BH811" i="1"/>
  <c r="BI811" i="1"/>
  <c r="BJ811" i="1"/>
  <c r="BL811" i="1"/>
  <c r="BM811" i="1"/>
  <c r="BN811" i="1"/>
  <c r="BO811" i="1"/>
  <c r="D812" i="1"/>
  <c r="G812" i="1"/>
  <c r="N812" i="1"/>
  <c r="O812" i="1"/>
  <c r="AI812" i="1"/>
  <c r="AJ812" i="1" s="1"/>
  <c r="AL812" i="1"/>
  <c r="AN812" i="1"/>
  <c r="AO812" i="1"/>
  <c r="AP812" i="1"/>
  <c r="AQ812" i="1"/>
  <c r="AR812" i="1"/>
  <c r="AS812" i="1"/>
  <c r="AT812" i="1"/>
  <c r="AU812" i="1"/>
  <c r="AV812" i="1"/>
  <c r="AW812" i="1"/>
  <c r="AX812" i="1"/>
  <c r="AY812" i="1"/>
  <c r="AZ812" i="1"/>
  <c r="BB812" i="1"/>
  <c r="BD812" i="1"/>
  <c r="BG812" i="1"/>
  <c r="BH812" i="1"/>
  <c r="BI812" i="1"/>
  <c r="BJ812" i="1"/>
  <c r="BL812" i="1"/>
  <c r="BM812" i="1"/>
  <c r="BN812" i="1"/>
  <c r="BO812" i="1"/>
  <c r="D813" i="1"/>
  <c r="G813" i="1"/>
  <c r="O813" i="1"/>
  <c r="AI813" i="1"/>
  <c r="AJ813" i="1"/>
  <c r="AL813" i="1"/>
  <c r="AN813" i="1"/>
  <c r="AO813" i="1"/>
  <c r="AP813" i="1"/>
  <c r="AQ813" i="1"/>
  <c r="AR813" i="1"/>
  <c r="AS813" i="1"/>
  <c r="AT813" i="1"/>
  <c r="AU813" i="1"/>
  <c r="AV813" i="1"/>
  <c r="AW813" i="1"/>
  <c r="AX813" i="1"/>
  <c r="AZ813" i="1"/>
  <c r="BB813" i="1"/>
  <c r="BD813" i="1"/>
  <c r="BG813" i="1"/>
  <c r="BH813" i="1"/>
  <c r="BI813" i="1"/>
  <c r="BJ813" i="1"/>
  <c r="BL813" i="1"/>
  <c r="BM813" i="1"/>
  <c r="BN813" i="1"/>
  <c r="BO813" i="1"/>
  <c r="D814" i="1"/>
  <c r="G814" i="1"/>
  <c r="AG814" i="1" s="1"/>
  <c r="AH814" i="1" s="1"/>
  <c r="N814" i="1"/>
  <c r="O814" i="1"/>
  <c r="AI814" i="1"/>
  <c r="AJ814" i="1" s="1"/>
  <c r="AL814" i="1"/>
  <c r="AN814" i="1"/>
  <c r="AO814" i="1"/>
  <c r="AP814" i="1"/>
  <c r="AQ814" i="1"/>
  <c r="AS814" i="1"/>
  <c r="AT814" i="1"/>
  <c r="AU814" i="1"/>
  <c r="AV814" i="1"/>
  <c r="AW814" i="1"/>
  <c r="AX814" i="1"/>
  <c r="AY814" i="1"/>
  <c r="AZ814" i="1"/>
  <c r="BB814" i="1"/>
  <c r="BD814" i="1"/>
  <c r="BG814" i="1"/>
  <c r="BH814" i="1"/>
  <c r="BI814" i="1"/>
  <c r="BJ814" i="1"/>
  <c r="BL814" i="1"/>
  <c r="BM814" i="1"/>
  <c r="BN814" i="1"/>
  <c r="BO814" i="1"/>
  <c r="D815" i="1"/>
  <c r="G815" i="1"/>
  <c r="AG815" i="1" s="1"/>
  <c r="AH815" i="1" s="1"/>
  <c r="O815" i="1"/>
  <c r="AI815" i="1"/>
  <c r="AJ815" i="1"/>
  <c r="AL815" i="1"/>
  <c r="AN815" i="1"/>
  <c r="AO815" i="1"/>
  <c r="AP815" i="1"/>
  <c r="AQ815" i="1"/>
  <c r="AS815" i="1"/>
  <c r="AT815" i="1"/>
  <c r="AU815" i="1"/>
  <c r="AV815" i="1"/>
  <c r="AW815" i="1"/>
  <c r="AX815" i="1"/>
  <c r="AZ815" i="1"/>
  <c r="BB815" i="1"/>
  <c r="BD815" i="1"/>
  <c r="BG815" i="1"/>
  <c r="BH815" i="1"/>
  <c r="BI815" i="1"/>
  <c r="BJ815" i="1"/>
  <c r="BL815" i="1"/>
  <c r="BM815" i="1"/>
  <c r="BN815" i="1"/>
  <c r="BO815" i="1"/>
  <c r="AN817" i="1"/>
  <c r="O818" i="1"/>
  <c r="AA818" i="1"/>
  <c r="D818" i="1" s="1"/>
  <c r="AF818" i="1"/>
  <c r="AL818" i="1" s="1"/>
  <c r="AI818" i="1"/>
  <c r="AJ818" i="1"/>
  <c r="AK818" i="1"/>
  <c r="AN818" i="1"/>
  <c r="AP818" i="1"/>
  <c r="AQ818" i="1"/>
  <c r="AS818" i="1"/>
  <c r="AT818" i="1"/>
  <c r="AU818" i="1"/>
  <c r="AV818" i="1"/>
  <c r="AW818" i="1"/>
  <c r="AX818" i="1"/>
  <c r="AZ818" i="1"/>
  <c r="BB818" i="1"/>
  <c r="BD818" i="1"/>
  <c r="BG818" i="1"/>
  <c r="BH818" i="1"/>
  <c r="BI818" i="1"/>
  <c r="BJ818" i="1"/>
  <c r="BM818" i="1"/>
  <c r="BN818" i="1"/>
  <c r="BO818" i="1"/>
  <c r="D819" i="1"/>
  <c r="G819" i="1" s="1"/>
  <c r="O819" i="1"/>
  <c r="AF819" i="1"/>
  <c r="BD819" i="1" s="1"/>
  <c r="AI819" i="1"/>
  <c r="AJ819" i="1" s="1"/>
  <c r="AL819" i="1"/>
  <c r="AN819" i="1"/>
  <c r="AO819" i="1"/>
  <c r="AP819" i="1"/>
  <c r="AQ819" i="1"/>
  <c r="AS819" i="1"/>
  <c r="AT819" i="1"/>
  <c r="AU819" i="1"/>
  <c r="AV819" i="1"/>
  <c r="AW819" i="1"/>
  <c r="AX819" i="1"/>
  <c r="BB819" i="1"/>
  <c r="BG819" i="1"/>
  <c r="BH819" i="1"/>
  <c r="BI819" i="1"/>
  <c r="BJ819" i="1"/>
  <c r="BL819" i="1"/>
  <c r="BM819" i="1"/>
  <c r="BN819" i="1"/>
  <c r="BO819" i="1"/>
  <c r="G820" i="1"/>
  <c r="AR820" i="1" s="1"/>
  <c r="N820" i="1"/>
  <c r="AY820" i="1" s="1"/>
  <c r="O820" i="1"/>
  <c r="AA820" i="1"/>
  <c r="D820" i="1" s="1"/>
  <c r="AF820" i="1"/>
  <c r="BD820" i="1" s="1"/>
  <c r="AG820" i="1"/>
  <c r="AH820" i="1"/>
  <c r="AI820" i="1"/>
  <c r="AJ820" i="1"/>
  <c r="AL820" i="1"/>
  <c r="AN820" i="1"/>
  <c r="AO820" i="1"/>
  <c r="AP820" i="1"/>
  <c r="AQ820" i="1"/>
  <c r="AS820" i="1"/>
  <c r="AT820" i="1"/>
  <c r="AU820" i="1"/>
  <c r="AV820" i="1"/>
  <c r="AW820" i="1"/>
  <c r="AX820" i="1"/>
  <c r="BB820" i="1"/>
  <c r="BG820" i="1"/>
  <c r="BH820" i="1"/>
  <c r="BI820" i="1"/>
  <c r="BJ820" i="1"/>
  <c r="BL820" i="1"/>
  <c r="BM820" i="1"/>
  <c r="BN820" i="1"/>
  <c r="BO820" i="1"/>
  <c r="D821" i="1"/>
  <c r="G821" i="1" s="1"/>
  <c r="O821" i="1"/>
  <c r="AF821" i="1"/>
  <c r="AL821" i="1" s="1"/>
  <c r="AI821" i="1"/>
  <c r="AJ821" i="1" s="1"/>
  <c r="AK821" i="1"/>
  <c r="AN821" i="1"/>
  <c r="AO821" i="1"/>
  <c r="AP821" i="1"/>
  <c r="AQ821" i="1"/>
  <c r="AS821" i="1"/>
  <c r="AT821" i="1"/>
  <c r="AU821" i="1"/>
  <c r="AV821" i="1"/>
  <c r="AW821" i="1"/>
  <c r="AX821" i="1"/>
  <c r="AZ821" i="1"/>
  <c r="BB821" i="1"/>
  <c r="BG821" i="1"/>
  <c r="BH821" i="1"/>
  <c r="BI821" i="1"/>
  <c r="BJ821" i="1"/>
  <c r="BL821" i="1"/>
  <c r="BM821" i="1"/>
  <c r="BN821" i="1"/>
  <c r="BO821" i="1"/>
  <c r="D822" i="1"/>
  <c r="O822" i="1"/>
  <c r="AA822" i="1"/>
  <c r="AF822" i="1"/>
  <c r="AI822" i="1"/>
  <c r="AJ822" i="1" s="1"/>
  <c r="AK822" i="1"/>
  <c r="AL822" i="1"/>
  <c r="AN822" i="1"/>
  <c r="AP822" i="1"/>
  <c r="AQ822" i="1"/>
  <c r="AS822" i="1"/>
  <c r="AT822" i="1"/>
  <c r="AU822" i="1"/>
  <c r="AV822" i="1"/>
  <c r="AW822" i="1"/>
  <c r="AX822" i="1"/>
  <c r="AZ822" i="1"/>
  <c r="BB822" i="1"/>
  <c r="BD822" i="1"/>
  <c r="BG822" i="1"/>
  <c r="BH822" i="1"/>
  <c r="BI822" i="1"/>
  <c r="BJ822" i="1"/>
  <c r="BL822" i="1"/>
  <c r="BM822" i="1"/>
  <c r="BN822" i="1"/>
  <c r="BO822" i="1"/>
  <c r="D823" i="1"/>
  <c r="G823" i="1"/>
  <c r="AR823" i="1" s="1"/>
  <c r="O823" i="1"/>
  <c r="AF823" i="1"/>
  <c r="BD823" i="1" s="1"/>
  <c r="AI823" i="1"/>
  <c r="AJ823" i="1"/>
  <c r="AL823" i="1"/>
  <c r="AN823" i="1"/>
  <c r="AO823" i="1"/>
  <c r="AP823" i="1"/>
  <c r="AQ823" i="1"/>
  <c r="AS823" i="1"/>
  <c r="AT823" i="1"/>
  <c r="AU823" i="1"/>
  <c r="AV823" i="1"/>
  <c r="AW823" i="1"/>
  <c r="AX823" i="1"/>
  <c r="AZ823" i="1"/>
  <c r="BB823" i="1"/>
  <c r="BG823" i="1"/>
  <c r="BH823" i="1"/>
  <c r="BI823" i="1"/>
  <c r="BJ823" i="1"/>
  <c r="BL823" i="1"/>
  <c r="BM823" i="1"/>
  <c r="BN823" i="1"/>
  <c r="BO823" i="1"/>
  <c r="D824" i="1"/>
  <c r="G824" i="1"/>
  <c r="O824" i="1"/>
  <c r="AZ824" i="1" s="1"/>
  <c r="AI824" i="1"/>
  <c r="AJ824" i="1"/>
  <c r="AK824" i="1"/>
  <c r="AL824" i="1"/>
  <c r="AN824" i="1"/>
  <c r="AO824" i="1"/>
  <c r="AP824" i="1"/>
  <c r="AQ824" i="1"/>
  <c r="AS824" i="1"/>
  <c r="AT824" i="1"/>
  <c r="AU824" i="1"/>
  <c r="AV824" i="1"/>
  <c r="AW824" i="1"/>
  <c r="AX824" i="1"/>
  <c r="BB824" i="1"/>
  <c r="BD824" i="1"/>
  <c r="BG824" i="1"/>
  <c r="BH824" i="1"/>
  <c r="BI824" i="1"/>
  <c r="BJ824" i="1"/>
  <c r="BL824" i="1"/>
  <c r="BM824" i="1"/>
  <c r="BN824" i="1"/>
  <c r="BO824" i="1"/>
  <c r="D825" i="1"/>
  <c r="G825" i="1"/>
  <c r="O825" i="1"/>
  <c r="AZ825" i="1" s="1"/>
  <c r="AI825" i="1"/>
  <c r="AJ825" i="1"/>
  <c r="AK825" i="1"/>
  <c r="AL825" i="1"/>
  <c r="AN825" i="1"/>
  <c r="AO825" i="1"/>
  <c r="AP825" i="1"/>
  <c r="AQ825" i="1"/>
  <c r="AS825" i="1"/>
  <c r="AT825" i="1"/>
  <c r="AU825" i="1"/>
  <c r="AV825" i="1"/>
  <c r="AW825" i="1"/>
  <c r="AX825" i="1"/>
  <c r="BB825" i="1"/>
  <c r="BD825" i="1"/>
  <c r="BG825" i="1"/>
  <c r="BH825" i="1"/>
  <c r="BI825" i="1"/>
  <c r="BJ825" i="1"/>
  <c r="BL825" i="1"/>
  <c r="BM825" i="1"/>
  <c r="BN825" i="1"/>
  <c r="BO825" i="1"/>
  <c r="D826" i="1"/>
  <c r="G826" i="1"/>
  <c r="O826" i="1"/>
  <c r="AZ826" i="1" s="1"/>
  <c r="AI826" i="1"/>
  <c r="AJ826" i="1"/>
  <c r="AK826" i="1"/>
  <c r="AL826" i="1"/>
  <c r="AN826" i="1"/>
  <c r="AO826" i="1"/>
  <c r="AP826" i="1"/>
  <c r="AQ826" i="1"/>
  <c r="AS826" i="1"/>
  <c r="AT826" i="1"/>
  <c r="AU826" i="1"/>
  <c r="AV826" i="1"/>
  <c r="AW826" i="1"/>
  <c r="AX826" i="1"/>
  <c r="BB826" i="1"/>
  <c r="BD826" i="1"/>
  <c r="BG826" i="1"/>
  <c r="BH826" i="1"/>
  <c r="BI826" i="1"/>
  <c r="BJ826" i="1"/>
  <c r="BL826" i="1"/>
  <c r="BM826" i="1"/>
  <c r="BN826" i="1"/>
  <c r="BO826" i="1"/>
  <c r="D827" i="1"/>
  <c r="G827" i="1"/>
  <c r="O827" i="1"/>
  <c r="AZ827" i="1" s="1"/>
  <c r="AI827" i="1"/>
  <c r="AJ827" i="1"/>
  <c r="AK827" i="1"/>
  <c r="AL827" i="1"/>
  <c r="AN827" i="1"/>
  <c r="AO827" i="1"/>
  <c r="AP827" i="1"/>
  <c r="AQ827" i="1"/>
  <c r="AS827" i="1"/>
  <c r="AT827" i="1"/>
  <c r="AU827" i="1"/>
  <c r="AV827" i="1"/>
  <c r="AW827" i="1"/>
  <c r="AX827" i="1"/>
  <c r="BB827" i="1"/>
  <c r="BD827" i="1"/>
  <c r="BG827" i="1"/>
  <c r="BH827" i="1"/>
  <c r="BI827" i="1"/>
  <c r="BJ827" i="1"/>
  <c r="BL827" i="1"/>
  <c r="BM827" i="1"/>
  <c r="BN827" i="1"/>
  <c r="BO827" i="1"/>
  <c r="AN829" i="1"/>
  <c r="AN831" i="1"/>
  <c r="AN833" i="1"/>
  <c r="V834" i="1"/>
  <c r="W834" i="1"/>
  <c r="AA834" i="1"/>
  <c r="D834" i="1" s="1"/>
  <c r="AB834" i="1"/>
  <c r="AI834" i="1"/>
  <c r="AJ834" i="1" s="1"/>
  <c r="AL834" i="1"/>
  <c r="AN834" i="1"/>
  <c r="AP834" i="1"/>
  <c r="AQ834" i="1"/>
  <c r="AS834" i="1"/>
  <c r="AT834" i="1"/>
  <c r="AU834" i="1"/>
  <c r="AV834" i="1"/>
  <c r="AW834" i="1"/>
  <c r="AX834" i="1"/>
  <c r="BB834" i="1"/>
  <c r="BD834" i="1"/>
  <c r="BG834" i="1"/>
  <c r="BH834" i="1"/>
  <c r="BI834" i="1"/>
  <c r="BJ834" i="1"/>
  <c r="BL834" i="1"/>
  <c r="BM834" i="1"/>
  <c r="BN834" i="1"/>
  <c r="BO834" i="1"/>
  <c r="V835" i="1"/>
  <c r="W835" i="1"/>
  <c r="AA835" i="1"/>
  <c r="D835" i="1" s="1"/>
  <c r="AB835" i="1"/>
  <c r="AI835" i="1"/>
  <c r="AJ835" i="1" s="1"/>
  <c r="AL835" i="1"/>
  <c r="AN835" i="1"/>
  <c r="AP835" i="1"/>
  <c r="AQ835" i="1"/>
  <c r="AS835" i="1"/>
  <c r="AT835" i="1"/>
  <c r="AU835" i="1"/>
  <c r="AV835" i="1"/>
  <c r="AW835" i="1"/>
  <c r="AX835" i="1"/>
  <c r="BB835" i="1"/>
  <c r="BD835" i="1"/>
  <c r="BG835" i="1"/>
  <c r="BH835" i="1"/>
  <c r="BI835" i="1"/>
  <c r="BJ835" i="1"/>
  <c r="BM835" i="1"/>
  <c r="BN835" i="1"/>
  <c r="BO835" i="1"/>
  <c r="V836" i="1"/>
  <c r="W836" i="1"/>
  <c r="AA836" i="1"/>
  <c r="D836" i="1" s="1"/>
  <c r="AB836" i="1"/>
  <c r="AI836" i="1"/>
  <c r="AJ836" i="1" s="1"/>
  <c r="AL836" i="1"/>
  <c r="AN836" i="1"/>
  <c r="AP836" i="1"/>
  <c r="AQ836" i="1"/>
  <c r="AS836" i="1"/>
  <c r="AT836" i="1"/>
  <c r="AU836" i="1"/>
  <c r="AV836" i="1"/>
  <c r="AW836" i="1"/>
  <c r="AX836" i="1"/>
  <c r="BB836" i="1"/>
  <c r="BD836" i="1"/>
  <c r="BG836" i="1"/>
  <c r="BH836" i="1"/>
  <c r="BI836" i="1"/>
  <c r="BJ836" i="1"/>
  <c r="BL836" i="1"/>
  <c r="BM836" i="1"/>
  <c r="BN836" i="1"/>
  <c r="BO836" i="1"/>
  <c r="E837" i="1"/>
  <c r="AP837" i="1" s="1"/>
  <c r="W837" i="1"/>
  <c r="O837" i="1" s="1"/>
  <c r="AB837" i="1"/>
  <c r="D837" i="1" s="1"/>
  <c r="AI837" i="1"/>
  <c r="AJ837" i="1"/>
  <c r="AL837" i="1"/>
  <c r="AN837" i="1"/>
  <c r="AQ837" i="1"/>
  <c r="AS837" i="1"/>
  <c r="AT837" i="1"/>
  <c r="AU837" i="1"/>
  <c r="AV837" i="1"/>
  <c r="AW837" i="1"/>
  <c r="AX837" i="1"/>
  <c r="BB837" i="1"/>
  <c r="BD837" i="1"/>
  <c r="BG837" i="1"/>
  <c r="BH837" i="1"/>
  <c r="BI837" i="1"/>
  <c r="BJ837" i="1"/>
  <c r="BL837" i="1"/>
  <c r="BN837" i="1"/>
  <c r="BO837" i="1"/>
  <c r="V838" i="1"/>
  <c r="W838" i="1"/>
  <c r="O838" i="1" s="1"/>
  <c r="AA838" i="1"/>
  <c r="AB838" i="1"/>
  <c r="BM838" i="1" s="1"/>
  <c r="AI838" i="1"/>
  <c r="AJ838" i="1" s="1"/>
  <c r="AL838" i="1"/>
  <c r="AN838" i="1"/>
  <c r="AP838" i="1"/>
  <c r="AQ838" i="1"/>
  <c r="AS838" i="1"/>
  <c r="AT838" i="1"/>
  <c r="AU838" i="1"/>
  <c r="AV838" i="1"/>
  <c r="AW838" i="1"/>
  <c r="AX838" i="1"/>
  <c r="BB838" i="1"/>
  <c r="BD838" i="1"/>
  <c r="BG838" i="1"/>
  <c r="BI838" i="1"/>
  <c r="BJ838" i="1"/>
  <c r="BN838" i="1"/>
  <c r="BO838" i="1"/>
  <c r="D839" i="1"/>
  <c r="G839" i="1"/>
  <c r="N839" i="1"/>
  <c r="O839" i="1"/>
  <c r="AI839" i="1"/>
  <c r="AJ839" i="1" s="1"/>
  <c r="AL839" i="1"/>
  <c r="AN839" i="1"/>
  <c r="AO839" i="1"/>
  <c r="AP839" i="1"/>
  <c r="AQ839" i="1"/>
  <c r="AR839" i="1"/>
  <c r="AS839" i="1"/>
  <c r="AT839" i="1"/>
  <c r="AU839" i="1"/>
  <c r="AV839" i="1"/>
  <c r="AW839" i="1"/>
  <c r="AX839" i="1"/>
  <c r="AY839" i="1"/>
  <c r="AZ839" i="1"/>
  <c r="BB839" i="1"/>
  <c r="BD839" i="1"/>
  <c r="BG839" i="1"/>
  <c r="BH839" i="1"/>
  <c r="BI839" i="1"/>
  <c r="BJ839" i="1"/>
  <c r="BL839" i="1"/>
  <c r="BM839" i="1"/>
  <c r="BN839" i="1"/>
  <c r="BO839" i="1"/>
  <c r="D840" i="1"/>
  <c r="G840" i="1"/>
  <c r="N840" i="1"/>
  <c r="O840" i="1"/>
  <c r="AI840" i="1"/>
  <c r="AJ840" i="1"/>
  <c r="AL840" i="1"/>
  <c r="AN840" i="1"/>
  <c r="AO840" i="1"/>
  <c r="AP840" i="1"/>
  <c r="AQ840" i="1"/>
  <c r="AR840" i="1"/>
  <c r="AS840" i="1"/>
  <c r="AT840" i="1"/>
  <c r="AU840" i="1"/>
  <c r="AV840" i="1"/>
  <c r="AW840" i="1"/>
  <c r="AX840" i="1"/>
  <c r="AY840" i="1"/>
  <c r="AZ840" i="1"/>
  <c r="BB840" i="1"/>
  <c r="BD840" i="1"/>
  <c r="BG840" i="1"/>
  <c r="BH840" i="1"/>
  <c r="BI840" i="1"/>
  <c r="BJ840" i="1"/>
  <c r="BL840" i="1"/>
  <c r="BM840" i="1"/>
  <c r="BN840" i="1"/>
  <c r="BO840" i="1"/>
  <c r="D841" i="1"/>
  <c r="G841" i="1"/>
  <c r="AG841" i="1" s="1"/>
  <c r="AH841" i="1" s="1"/>
  <c r="N841" i="1"/>
  <c r="O841" i="1"/>
  <c r="AI841" i="1"/>
  <c r="AJ841" i="1"/>
  <c r="AL841" i="1"/>
  <c r="AN841" i="1"/>
  <c r="AO841" i="1"/>
  <c r="AP841" i="1"/>
  <c r="AQ841" i="1"/>
  <c r="AS841" i="1"/>
  <c r="AT841" i="1"/>
  <c r="AU841" i="1"/>
  <c r="AV841" i="1"/>
  <c r="AW841" i="1"/>
  <c r="AX841" i="1"/>
  <c r="AY841" i="1"/>
  <c r="AZ841" i="1"/>
  <c r="BB841" i="1"/>
  <c r="BD841" i="1"/>
  <c r="BG841" i="1"/>
  <c r="BH841" i="1"/>
  <c r="BI841" i="1"/>
  <c r="BJ841" i="1"/>
  <c r="BL841" i="1"/>
  <c r="BM841" i="1"/>
  <c r="BN841" i="1"/>
  <c r="BO841" i="1"/>
  <c r="D842" i="1"/>
  <c r="G842" i="1"/>
  <c r="AG842" i="1" s="1"/>
  <c r="AH842" i="1" s="1"/>
  <c r="O842" i="1"/>
  <c r="AI842" i="1"/>
  <c r="AJ842" i="1"/>
  <c r="AL842" i="1"/>
  <c r="AN842" i="1"/>
  <c r="AO842" i="1"/>
  <c r="AP842" i="1"/>
  <c r="AQ842" i="1"/>
  <c r="AS842" i="1"/>
  <c r="AT842" i="1"/>
  <c r="AU842" i="1"/>
  <c r="AV842" i="1"/>
  <c r="AW842" i="1"/>
  <c r="AX842" i="1"/>
  <c r="AZ842" i="1"/>
  <c r="BB842" i="1"/>
  <c r="BD842" i="1"/>
  <c r="BG842" i="1"/>
  <c r="BH842" i="1"/>
  <c r="BI842" i="1"/>
  <c r="BJ842" i="1"/>
  <c r="BL842" i="1"/>
  <c r="BM842" i="1"/>
  <c r="BN842" i="1"/>
  <c r="BO842" i="1"/>
  <c r="D843" i="1"/>
  <c r="G843" i="1"/>
  <c r="N843" i="1"/>
  <c r="O843" i="1"/>
  <c r="AI843" i="1"/>
  <c r="AJ843" i="1" s="1"/>
  <c r="AL843" i="1"/>
  <c r="AN843" i="1"/>
  <c r="AO843" i="1"/>
  <c r="AP843" i="1"/>
  <c r="AQ843" i="1"/>
  <c r="AR843" i="1"/>
  <c r="AS843" i="1"/>
  <c r="AT843" i="1"/>
  <c r="AU843" i="1"/>
  <c r="AV843" i="1"/>
  <c r="AW843" i="1"/>
  <c r="AX843" i="1"/>
  <c r="AY843" i="1"/>
  <c r="AZ843" i="1"/>
  <c r="BB843" i="1"/>
  <c r="BD843" i="1"/>
  <c r="BG843" i="1"/>
  <c r="BH843" i="1"/>
  <c r="BI843" i="1"/>
  <c r="BJ843" i="1"/>
  <c r="BL843" i="1"/>
  <c r="BM843" i="1"/>
  <c r="BN843" i="1"/>
  <c r="BO843" i="1"/>
  <c r="D844" i="1"/>
  <c r="G844" i="1"/>
  <c r="N844" i="1"/>
  <c r="O844" i="1"/>
  <c r="AI844" i="1"/>
  <c r="AJ844" i="1"/>
  <c r="AL844" i="1"/>
  <c r="AN844" i="1"/>
  <c r="AO844" i="1"/>
  <c r="AP844" i="1"/>
  <c r="AQ844" i="1"/>
  <c r="AR844" i="1"/>
  <c r="AS844" i="1"/>
  <c r="AT844" i="1"/>
  <c r="AU844" i="1"/>
  <c r="AV844" i="1"/>
  <c r="AW844" i="1"/>
  <c r="AX844" i="1"/>
  <c r="AY844" i="1"/>
  <c r="AZ844" i="1"/>
  <c r="BB844" i="1"/>
  <c r="BD844" i="1"/>
  <c r="BG844" i="1"/>
  <c r="BH844" i="1"/>
  <c r="BI844" i="1"/>
  <c r="BJ844" i="1"/>
  <c r="BL844" i="1"/>
  <c r="BM844" i="1"/>
  <c r="BN844" i="1"/>
  <c r="BO844" i="1"/>
  <c r="D845" i="1"/>
  <c r="G845" i="1"/>
  <c r="AG845" i="1" s="1"/>
  <c r="AH845" i="1" s="1"/>
  <c r="N845" i="1"/>
  <c r="O845" i="1"/>
  <c r="AI845" i="1"/>
  <c r="AJ845" i="1"/>
  <c r="AL845" i="1"/>
  <c r="AN845" i="1"/>
  <c r="AO845" i="1"/>
  <c r="AP845" i="1"/>
  <c r="AQ845" i="1"/>
  <c r="AS845" i="1"/>
  <c r="AT845" i="1"/>
  <c r="AU845" i="1"/>
  <c r="AV845" i="1"/>
  <c r="AW845" i="1"/>
  <c r="AX845" i="1"/>
  <c r="AY845" i="1"/>
  <c r="AZ845" i="1"/>
  <c r="BB845" i="1"/>
  <c r="BD845" i="1"/>
  <c r="BG845" i="1"/>
  <c r="BH845" i="1"/>
  <c r="BI845" i="1"/>
  <c r="BJ845" i="1"/>
  <c r="BL845" i="1"/>
  <c r="BM845" i="1"/>
  <c r="BN845" i="1"/>
  <c r="BO845" i="1"/>
  <c r="D846" i="1"/>
  <c r="G846" i="1"/>
  <c r="AG846" i="1" s="1"/>
  <c r="AH846" i="1" s="1"/>
  <c r="O846" i="1"/>
  <c r="AI846" i="1"/>
  <c r="AJ846" i="1"/>
  <c r="AL846" i="1"/>
  <c r="AN846" i="1"/>
  <c r="AO846" i="1"/>
  <c r="AP846" i="1"/>
  <c r="AQ846" i="1"/>
  <c r="AS846" i="1"/>
  <c r="AT846" i="1"/>
  <c r="AU846" i="1"/>
  <c r="AV846" i="1"/>
  <c r="AW846" i="1"/>
  <c r="AX846" i="1"/>
  <c r="AZ846" i="1"/>
  <c r="BB846" i="1"/>
  <c r="BD846" i="1"/>
  <c r="BG846" i="1"/>
  <c r="BH846" i="1"/>
  <c r="BI846" i="1"/>
  <c r="BJ846" i="1"/>
  <c r="BL846" i="1"/>
  <c r="BM846" i="1"/>
  <c r="BN846" i="1"/>
  <c r="BO846" i="1"/>
  <c r="D847" i="1"/>
  <c r="G847" i="1"/>
  <c r="N847" i="1"/>
  <c r="O847" i="1"/>
  <c r="AI847" i="1"/>
  <c r="AJ847" i="1" s="1"/>
  <c r="AL847" i="1"/>
  <c r="AN847" i="1"/>
  <c r="AO847" i="1"/>
  <c r="AP847" i="1"/>
  <c r="AQ847" i="1"/>
  <c r="AR847" i="1"/>
  <c r="AS847" i="1"/>
  <c r="AT847" i="1"/>
  <c r="AU847" i="1"/>
  <c r="AV847" i="1"/>
  <c r="AW847" i="1"/>
  <c r="AX847" i="1"/>
  <c r="AY847" i="1"/>
  <c r="AZ847" i="1"/>
  <c r="BB847" i="1"/>
  <c r="BD847" i="1"/>
  <c r="BG847" i="1"/>
  <c r="BH847" i="1"/>
  <c r="BI847" i="1"/>
  <c r="BJ847" i="1"/>
  <c r="BL847" i="1"/>
  <c r="BM847" i="1"/>
  <c r="BN847" i="1"/>
  <c r="BO847" i="1"/>
  <c r="D848" i="1"/>
  <c r="G848" i="1"/>
  <c r="N848" i="1"/>
  <c r="O848" i="1"/>
  <c r="AI848" i="1"/>
  <c r="AJ848" i="1"/>
  <c r="AL848" i="1"/>
  <c r="AN848" i="1"/>
  <c r="AO848" i="1"/>
  <c r="AP848" i="1"/>
  <c r="AQ848" i="1"/>
  <c r="AR848" i="1"/>
  <c r="AS848" i="1"/>
  <c r="AT848" i="1"/>
  <c r="AU848" i="1"/>
  <c r="AV848" i="1"/>
  <c r="AW848" i="1"/>
  <c r="AX848" i="1"/>
  <c r="AY848" i="1"/>
  <c r="AZ848" i="1"/>
  <c r="BB848" i="1"/>
  <c r="BD848" i="1"/>
  <c r="BG848" i="1"/>
  <c r="BH848" i="1"/>
  <c r="BI848" i="1"/>
  <c r="BJ848" i="1"/>
  <c r="BL848" i="1"/>
  <c r="BM848" i="1"/>
  <c r="BN848" i="1"/>
  <c r="BO848" i="1"/>
  <c r="D849" i="1"/>
  <c r="G849" i="1"/>
  <c r="AG849" i="1" s="1"/>
  <c r="AH849" i="1" s="1"/>
  <c r="N849" i="1"/>
  <c r="O849" i="1"/>
  <c r="AI849" i="1"/>
  <c r="AJ849" i="1"/>
  <c r="AL849" i="1"/>
  <c r="AN849" i="1"/>
  <c r="AO849" i="1"/>
  <c r="AP849" i="1"/>
  <c r="AQ849" i="1"/>
  <c r="AS849" i="1"/>
  <c r="AT849" i="1"/>
  <c r="AU849" i="1"/>
  <c r="AV849" i="1"/>
  <c r="AW849" i="1"/>
  <c r="AX849" i="1"/>
  <c r="AY849" i="1"/>
  <c r="AZ849" i="1"/>
  <c r="BB849" i="1"/>
  <c r="BD849" i="1"/>
  <c r="BG849" i="1"/>
  <c r="BH849" i="1"/>
  <c r="BI849" i="1"/>
  <c r="BJ849" i="1"/>
  <c r="BL849" i="1"/>
  <c r="BM849" i="1"/>
  <c r="BN849" i="1"/>
  <c r="BO849" i="1"/>
  <c r="D850" i="1"/>
  <c r="G850" i="1"/>
  <c r="AG850" i="1" s="1"/>
  <c r="AH850" i="1" s="1"/>
  <c r="O850" i="1"/>
  <c r="AI850" i="1"/>
  <c r="AJ850" i="1"/>
  <c r="AL850" i="1"/>
  <c r="AN850" i="1"/>
  <c r="AO850" i="1"/>
  <c r="AP850" i="1"/>
  <c r="AQ850" i="1"/>
  <c r="AS850" i="1"/>
  <c r="AT850" i="1"/>
  <c r="AU850" i="1"/>
  <c r="AV850" i="1"/>
  <c r="AW850" i="1"/>
  <c r="AX850" i="1"/>
  <c r="AZ850" i="1"/>
  <c r="BB850" i="1"/>
  <c r="BD850" i="1"/>
  <c r="BG850" i="1"/>
  <c r="BH850" i="1"/>
  <c r="BI850" i="1"/>
  <c r="BJ850" i="1"/>
  <c r="BL850" i="1"/>
  <c r="BM850" i="1"/>
  <c r="BN850" i="1"/>
  <c r="BO850" i="1"/>
  <c r="D851" i="1"/>
  <c r="G851" i="1"/>
  <c r="N851" i="1"/>
  <c r="O851" i="1"/>
  <c r="AI851" i="1"/>
  <c r="AJ851" i="1" s="1"/>
  <c r="AL851" i="1"/>
  <c r="AN851" i="1"/>
  <c r="AO851" i="1"/>
  <c r="AP851" i="1"/>
  <c r="AQ851" i="1"/>
  <c r="AR851" i="1"/>
  <c r="AS851" i="1"/>
  <c r="AT851" i="1"/>
  <c r="AU851" i="1"/>
  <c r="AV851" i="1"/>
  <c r="AW851" i="1"/>
  <c r="AX851" i="1"/>
  <c r="AY851" i="1"/>
  <c r="AZ851" i="1"/>
  <c r="BB851" i="1"/>
  <c r="BD851" i="1"/>
  <c r="BG851" i="1"/>
  <c r="BH851" i="1"/>
  <c r="BI851" i="1"/>
  <c r="BJ851" i="1"/>
  <c r="BL851" i="1"/>
  <c r="BM851" i="1"/>
  <c r="BN851" i="1"/>
  <c r="BO851" i="1"/>
  <c r="D852" i="1"/>
  <c r="G852" i="1"/>
  <c r="N852" i="1"/>
  <c r="O852" i="1"/>
  <c r="AI852" i="1"/>
  <c r="AJ852" i="1"/>
  <c r="AL852" i="1"/>
  <c r="AN852" i="1"/>
  <c r="AO852" i="1"/>
  <c r="AP852" i="1"/>
  <c r="AQ852" i="1"/>
  <c r="AR852" i="1"/>
  <c r="AS852" i="1"/>
  <c r="AT852" i="1"/>
  <c r="AU852" i="1"/>
  <c r="AV852" i="1"/>
  <c r="AW852" i="1"/>
  <c r="AX852" i="1"/>
  <c r="AY852" i="1"/>
  <c r="AZ852" i="1"/>
  <c r="BB852" i="1"/>
  <c r="BD852" i="1"/>
  <c r="BG852" i="1"/>
  <c r="BH852" i="1"/>
  <c r="BI852" i="1"/>
  <c r="BJ852" i="1"/>
  <c r="BL852" i="1"/>
  <c r="BM852" i="1"/>
  <c r="BN852" i="1"/>
  <c r="BO852" i="1"/>
  <c r="D853" i="1"/>
  <c r="G853" i="1"/>
  <c r="AG853" i="1" s="1"/>
  <c r="AH853" i="1" s="1"/>
  <c r="N853" i="1"/>
  <c r="O853" i="1"/>
  <c r="AI853" i="1"/>
  <c r="AJ853" i="1"/>
  <c r="AL853" i="1"/>
  <c r="AN853" i="1"/>
  <c r="AO853" i="1"/>
  <c r="AP853" i="1"/>
  <c r="AQ853" i="1"/>
  <c r="AS853" i="1"/>
  <c r="AT853" i="1"/>
  <c r="AU853" i="1"/>
  <c r="AV853" i="1"/>
  <c r="AW853" i="1"/>
  <c r="AX853" i="1"/>
  <c r="AY853" i="1"/>
  <c r="AZ853" i="1"/>
  <c r="BB853" i="1"/>
  <c r="BD853" i="1"/>
  <c r="BG853" i="1"/>
  <c r="BH853" i="1"/>
  <c r="BI853" i="1"/>
  <c r="BJ853" i="1"/>
  <c r="BL853" i="1"/>
  <c r="BM853" i="1"/>
  <c r="BN853" i="1"/>
  <c r="BO853" i="1"/>
  <c r="AN855" i="1"/>
  <c r="D856" i="1"/>
  <c r="AO856" i="1" s="1"/>
  <c r="O856" i="1"/>
  <c r="AI856" i="1"/>
  <c r="AJ856" i="1" s="1"/>
  <c r="AK856" i="1"/>
  <c r="AL856" i="1"/>
  <c r="AN856" i="1"/>
  <c r="AP856" i="1"/>
  <c r="AQ856" i="1"/>
  <c r="AS856" i="1"/>
  <c r="AT856" i="1"/>
  <c r="AU856" i="1"/>
  <c r="AV856" i="1"/>
  <c r="AW856" i="1"/>
  <c r="AX856" i="1"/>
  <c r="AZ856" i="1"/>
  <c r="BB856" i="1"/>
  <c r="BD856" i="1"/>
  <c r="BG856" i="1"/>
  <c r="BH856" i="1"/>
  <c r="BI856" i="1"/>
  <c r="BJ856" i="1"/>
  <c r="BL856" i="1"/>
  <c r="BM856" i="1"/>
  <c r="BN856" i="1"/>
  <c r="BO856" i="1"/>
  <c r="D857" i="1"/>
  <c r="AO857" i="1" s="1"/>
  <c r="G857" i="1"/>
  <c r="N857" i="1" s="1"/>
  <c r="O857" i="1"/>
  <c r="AI857" i="1"/>
  <c r="AJ857" i="1" s="1"/>
  <c r="AK857" i="1"/>
  <c r="AL857" i="1"/>
  <c r="AN857" i="1"/>
  <c r="AP857" i="1"/>
  <c r="AQ857" i="1"/>
  <c r="AS857" i="1"/>
  <c r="AT857" i="1"/>
  <c r="AU857" i="1"/>
  <c r="AV857" i="1"/>
  <c r="AW857" i="1"/>
  <c r="AX857" i="1"/>
  <c r="AZ857" i="1"/>
  <c r="BB857" i="1"/>
  <c r="BD857" i="1"/>
  <c r="BG857" i="1"/>
  <c r="BH857" i="1"/>
  <c r="BI857" i="1"/>
  <c r="BJ857" i="1"/>
  <c r="BL857" i="1"/>
  <c r="BM857" i="1"/>
  <c r="BN857" i="1"/>
  <c r="BO857" i="1"/>
  <c r="D858" i="1"/>
  <c r="AO858" i="1" s="1"/>
  <c r="G858" i="1"/>
  <c r="AG858" i="1" s="1"/>
  <c r="AH858" i="1" s="1"/>
  <c r="N858" i="1"/>
  <c r="P858" i="1" s="1"/>
  <c r="O858" i="1"/>
  <c r="AI858" i="1"/>
  <c r="AJ858" i="1" s="1"/>
  <c r="AK858" i="1"/>
  <c r="AL858" i="1"/>
  <c r="AN858" i="1"/>
  <c r="AP858" i="1"/>
  <c r="AQ858" i="1"/>
  <c r="AS858" i="1"/>
  <c r="AT858" i="1"/>
  <c r="AU858" i="1"/>
  <c r="AV858" i="1"/>
  <c r="AW858" i="1"/>
  <c r="AX858" i="1"/>
  <c r="AY858" i="1"/>
  <c r="AZ858" i="1"/>
  <c r="BB858" i="1"/>
  <c r="BD858" i="1"/>
  <c r="BG858" i="1"/>
  <c r="BH858" i="1"/>
  <c r="BI858" i="1"/>
  <c r="BJ858" i="1"/>
  <c r="BL858" i="1"/>
  <c r="BM858" i="1"/>
  <c r="BN858" i="1"/>
  <c r="BO858" i="1"/>
  <c r="O859" i="1"/>
  <c r="AA859" i="1"/>
  <c r="D859" i="1" s="1"/>
  <c r="AI859" i="1"/>
  <c r="AJ859" i="1"/>
  <c r="AK859" i="1"/>
  <c r="AL859" i="1"/>
  <c r="AN859" i="1"/>
  <c r="AP859" i="1"/>
  <c r="AQ859" i="1"/>
  <c r="AS859" i="1"/>
  <c r="AT859" i="1"/>
  <c r="AU859" i="1"/>
  <c r="AV859" i="1"/>
  <c r="AW859" i="1"/>
  <c r="AX859" i="1"/>
  <c r="AZ859" i="1"/>
  <c r="BB859" i="1"/>
  <c r="BD859" i="1"/>
  <c r="BG859" i="1"/>
  <c r="BH859" i="1"/>
  <c r="BI859" i="1"/>
  <c r="BJ859" i="1"/>
  <c r="BL859" i="1"/>
  <c r="BM859" i="1"/>
  <c r="BN859" i="1"/>
  <c r="BO859" i="1"/>
  <c r="D860" i="1"/>
  <c r="G860" i="1" s="1"/>
  <c r="O860" i="1"/>
  <c r="AA860" i="1"/>
  <c r="AI860" i="1"/>
  <c r="AJ860" i="1" s="1"/>
  <c r="AK860" i="1"/>
  <c r="AL860" i="1"/>
  <c r="AN860" i="1"/>
  <c r="AP860" i="1"/>
  <c r="AQ860" i="1"/>
  <c r="AS860" i="1"/>
  <c r="AT860" i="1"/>
  <c r="AU860" i="1"/>
  <c r="AV860" i="1"/>
  <c r="AW860" i="1"/>
  <c r="AX860" i="1"/>
  <c r="AZ860" i="1"/>
  <c r="BB860" i="1"/>
  <c r="BD860" i="1"/>
  <c r="BG860" i="1"/>
  <c r="BH860" i="1"/>
  <c r="BI860" i="1"/>
  <c r="BJ860" i="1"/>
  <c r="BL860" i="1"/>
  <c r="BM860" i="1"/>
  <c r="BN860" i="1"/>
  <c r="BO860" i="1"/>
  <c r="D861" i="1"/>
  <c r="G861" i="1" s="1"/>
  <c r="AR861" i="1" s="1"/>
  <c r="O861" i="1"/>
  <c r="AK861" i="1" s="1"/>
  <c r="AI861" i="1"/>
  <c r="AJ861" i="1"/>
  <c r="AL861" i="1"/>
  <c r="AN861" i="1"/>
  <c r="AO861" i="1"/>
  <c r="AP861" i="1"/>
  <c r="AQ861" i="1"/>
  <c r="AS861" i="1"/>
  <c r="AT861" i="1"/>
  <c r="AU861" i="1"/>
  <c r="AV861" i="1"/>
  <c r="AW861" i="1"/>
  <c r="AX861" i="1"/>
  <c r="AZ861" i="1"/>
  <c r="BB861" i="1"/>
  <c r="BD861" i="1"/>
  <c r="BG861" i="1"/>
  <c r="BH861" i="1"/>
  <c r="BI861" i="1"/>
  <c r="BJ861" i="1"/>
  <c r="BL861" i="1"/>
  <c r="BM861" i="1"/>
  <c r="BN861" i="1"/>
  <c r="BO861" i="1"/>
  <c r="D862" i="1"/>
  <c r="G862" i="1" s="1"/>
  <c r="AG862" i="1" s="1"/>
  <c r="AH862" i="1" s="1"/>
  <c r="N862" i="1"/>
  <c r="AY862" i="1" s="1"/>
  <c r="O862" i="1"/>
  <c r="AI862" i="1"/>
  <c r="AJ862" i="1"/>
  <c r="AK862" i="1"/>
  <c r="AL862" i="1"/>
  <c r="AN862" i="1"/>
  <c r="AO862" i="1"/>
  <c r="AP862" i="1"/>
  <c r="AQ862" i="1"/>
  <c r="AS862" i="1"/>
  <c r="AT862" i="1"/>
  <c r="AU862" i="1"/>
  <c r="AV862" i="1"/>
  <c r="AW862" i="1"/>
  <c r="AX862" i="1"/>
  <c r="AZ862" i="1"/>
  <c r="BB862" i="1"/>
  <c r="BD862" i="1"/>
  <c r="BG862" i="1"/>
  <c r="BH862" i="1"/>
  <c r="BI862" i="1"/>
  <c r="BJ862" i="1"/>
  <c r="BL862" i="1"/>
  <c r="BM862" i="1"/>
  <c r="BN862" i="1"/>
  <c r="BO862" i="1"/>
  <c r="D863" i="1"/>
  <c r="G863" i="1" s="1"/>
  <c r="AR863" i="1" s="1"/>
  <c r="N863" i="1"/>
  <c r="AY863" i="1" s="1"/>
  <c r="O863" i="1"/>
  <c r="AK863" i="1" s="1"/>
  <c r="AG863" i="1"/>
  <c r="AH863" i="1" s="1"/>
  <c r="AI863" i="1"/>
  <c r="AJ863" i="1"/>
  <c r="AL863" i="1"/>
  <c r="AN863" i="1"/>
  <c r="AO863" i="1"/>
  <c r="AP863" i="1"/>
  <c r="AQ863" i="1"/>
  <c r="AS863" i="1"/>
  <c r="AT863" i="1"/>
  <c r="AU863" i="1"/>
  <c r="AV863" i="1"/>
  <c r="AW863" i="1"/>
  <c r="AX863" i="1"/>
  <c r="AZ863" i="1"/>
  <c r="BB863" i="1"/>
  <c r="BD863" i="1"/>
  <c r="BG863" i="1"/>
  <c r="BH863" i="1"/>
  <c r="BI863" i="1"/>
  <c r="BJ863" i="1"/>
  <c r="BL863" i="1"/>
  <c r="BM863" i="1"/>
  <c r="BN863" i="1"/>
  <c r="BO863" i="1"/>
  <c r="D864" i="1"/>
  <c r="G864" i="1" s="1"/>
  <c r="N864" i="1"/>
  <c r="AY864" i="1" s="1"/>
  <c r="O864" i="1"/>
  <c r="AK864" i="1" s="1"/>
  <c r="P864" i="1"/>
  <c r="Q864" i="1" s="1"/>
  <c r="AG864" i="1"/>
  <c r="AH864" i="1" s="1"/>
  <c r="AI864" i="1"/>
  <c r="AJ864" i="1" s="1"/>
  <c r="AL864" i="1"/>
  <c r="AN864" i="1"/>
  <c r="AO864" i="1"/>
  <c r="AP864" i="1"/>
  <c r="AQ864" i="1"/>
  <c r="AR864" i="1"/>
  <c r="AS864" i="1"/>
  <c r="AT864" i="1"/>
  <c r="AU864" i="1"/>
  <c r="AV864" i="1"/>
  <c r="AW864" i="1"/>
  <c r="AX864" i="1"/>
  <c r="AZ864" i="1"/>
  <c r="BA864" i="1"/>
  <c r="BB864" i="1"/>
  <c r="BD864" i="1"/>
  <c r="BG864" i="1"/>
  <c r="BH864" i="1"/>
  <c r="BI864" i="1"/>
  <c r="BJ864" i="1"/>
  <c r="BL864" i="1"/>
  <c r="BM864" i="1"/>
  <c r="BN864" i="1"/>
  <c r="BO864" i="1"/>
  <c r="D865" i="1"/>
  <c r="G865" i="1" s="1"/>
  <c r="AR865" i="1" s="1"/>
  <c r="O865" i="1"/>
  <c r="AK865" i="1" s="1"/>
  <c r="AI865" i="1"/>
  <c r="AJ865" i="1"/>
  <c r="AL865" i="1"/>
  <c r="AN865" i="1"/>
  <c r="AO865" i="1"/>
  <c r="AP865" i="1"/>
  <c r="AQ865" i="1"/>
  <c r="AS865" i="1"/>
  <c r="AT865" i="1"/>
  <c r="AU865" i="1"/>
  <c r="AV865" i="1"/>
  <c r="AW865" i="1"/>
  <c r="AX865" i="1"/>
  <c r="AZ865" i="1"/>
  <c r="BB865" i="1"/>
  <c r="BD865" i="1"/>
  <c r="BG865" i="1"/>
  <c r="BH865" i="1"/>
  <c r="BI865" i="1"/>
  <c r="BJ865" i="1"/>
  <c r="BL865" i="1"/>
  <c r="BM865" i="1"/>
  <c r="BN865" i="1"/>
  <c r="BO865" i="1"/>
  <c r="D866" i="1"/>
  <c r="G866" i="1" s="1"/>
  <c r="AG866" i="1" s="1"/>
  <c r="AH866" i="1" s="1"/>
  <c r="N866" i="1"/>
  <c r="AY866" i="1" s="1"/>
  <c r="O866" i="1"/>
  <c r="AI866" i="1"/>
  <c r="AJ866" i="1"/>
  <c r="AK866" i="1"/>
  <c r="AL866" i="1"/>
  <c r="AN866" i="1"/>
  <c r="AO866" i="1"/>
  <c r="AP866" i="1"/>
  <c r="AQ866" i="1"/>
  <c r="AS866" i="1"/>
  <c r="AT866" i="1"/>
  <c r="AU866" i="1"/>
  <c r="AV866" i="1"/>
  <c r="AW866" i="1"/>
  <c r="AX866" i="1"/>
  <c r="AZ866" i="1"/>
  <c r="BB866" i="1"/>
  <c r="BD866" i="1"/>
  <c r="BG866" i="1"/>
  <c r="BH866" i="1"/>
  <c r="BI866" i="1"/>
  <c r="BJ866" i="1"/>
  <c r="BL866" i="1"/>
  <c r="BM866" i="1"/>
  <c r="BN866" i="1"/>
  <c r="BO866" i="1"/>
  <c r="D867" i="1"/>
  <c r="G867" i="1" s="1"/>
  <c r="AR867" i="1" s="1"/>
  <c r="N867" i="1"/>
  <c r="AY867" i="1" s="1"/>
  <c r="O867" i="1"/>
  <c r="AK867" i="1" s="1"/>
  <c r="AG867" i="1"/>
  <c r="AH867" i="1" s="1"/>
  <c r="AI867" i="1"/>
  <c r="AJ867" i="1"/>
  <c r="AL867" i="1"/>
  <c r="AN867" i="1"/>
  <c r="AO867" i="1"/>
  <c r="AP867" i="1"/>
  <c r="AQ867" i="1"/>
  <c r="AS867" i="1"/>
  <c r="AT867" i="1"/>
  <c r="AU867" i="1"/>
  <c r="AV867" i="1"/>
  <c r="AW867" i="1"/>
  <c r="AX867" i="1"/>
  <c r="AZ867" i="1"/>
  <c r="BB867" i="1"/>
  <c r="BD867" i="1"/>
  <c r="BG867" i="1"/>
  <c r="BH867" i="1"/>
  <c r="BI867" i="1"/>
  <c r="BJ867" i="1"/>
  <c r="BL867" i="1"/>
  <c r="BM867" i="1"/>
  <c r="BN867" i="1"/>
  <c r="BO867" i="1"/>
  <c r="D868" i="1"/>
  <c r="G868" i="1" s="1"/>
  <c r="N868" i="1"/>
  <c r="AY868" i="1" s="1"/>
  <c r="O868" i="1"/>
  <c r="AK868" i="1" s="1"/>
  <c r="P868" i="1"/>
  <c r="Q868" i="1" s="1"/>
  <c r="AG868" i="1"/>
  <c r="AH868" i="1" s="1"/>
  <c r="AI868" i="1"/>
  <c r="AJ868" i="1" s="1"/>
  <c r="AL868" i="1"/>
  <c r="AN868" i="1"/>
  <c r="AO868" i="1"/>
  <c r="AP868" i="1"/>
  <c r="AQ868" i="1"/>
  <c r="AR868" i="1"/>
  <c r="AS868" i="1"/>
  <c r="AT868" i="1"/>
  <c r="AU868" i="1"/>
  <c r="AV868" i="1"/>
  <c r="AW868" i="1"/>
  <c r="AX868" i="1"/>
  <c r="AZ868" i="1"/>
  <c r="BA868" i="1"/>
  <c r="BB868" i="1"/>
  <c r="BD868" i="1"/>
  <c r="BG868" i="1"/>
  <c r="BH868" i="1"/>
  <c r="BI868" i="1"/>
  <c r="BJ868" i="1"/>
  <c r="BL868" i="1"/>
  <c r="BM868" i="1"/>
  <c r="BN868" i="1"/>
  <c r="BO868" i="1"/>
  <c r="D869" i="1"/>
  <c r="G869" i="1" s="1"/>
  <c r="AR869" i="1" s="1"/>
  <c r="O869" i="1"/>
  <c r="AK869" i="1" s="1"/>
  <c r="AI869" i="1"/>
  <c r="AJ869" i="1"/>
  <c r="AL869" i="1"/>
  <c r="AN869" i="1"/>
  <c r="AO869" i="1"/>
  <c r="AP869" i="1"/>
  <c r="AQ869" i="1"/>
  <c r="AS869" i="1"/>
  <c r="AT869" i="1"/>
  <c r="AU869" i="1"/>
  <c r="AV869" i="1"/>
  <c r="AW869" i="1"/>
  <c r="AX869" i="1"/>
  <c r="AZ869" i="1"/>
  <c r="BB869" i="1"/>
  <c r="BD869" i="1"/>
  <c r="BG869" i="1"/>
  <c r="BH869" i="1"/>
  <c r="BI869" i="1"/>
  <c r="BJ869" i="1"/>
  <c r="BL869" i="1"/>
  <c r="BM869" i="1"/>
  <c r="BN869" i="1"/>
  <c r="BO869" i="1"/>
  <c r="D870" i="1"/>
  <c r="G870" i="1" s="1"/>
  <c r="AG870" i="1" s="1"/>
  <c r="AH870" i="1" s="1"/>
  <c r="N870" i="1"/>
  <c r="AY870" i="1" s="1"/>
  <c r="O870" i="1"/>
  <c r="AI870" i="1"/>
  <c r="AJ870" i="1"/>
  <c r="AK870" i="1"/>
  <c r="AL870" i="1"/>
  <c r="AN870" i="1"/>
  <c r="AO870" i="1"/>
  <c r="AP870" i="1"/>
  <c r="AQ870" i="1"/>
  <c r="AS870" i="1"/>
  <c r="AT870" i="1"/>
  <c r="AU870" i="1"/>
  <c r="AV870" i="1"/>
  <c r="AW870" i="1"/>
  <c r="AX870" i="1"/>
  <c r="AZ870" i="1"/>
  <c r="BB870" i="1"/>
  <c r="BD870" i="1"/>
  <c r="BG870" i="1"/>
  <c r="BH870" i="1"/>
  <c r="BI870" i="1"/>
  <c r="BJ870" i="1"/>
  <c r="BL870" i="1"/>
  <c r="BM870" i="1"/>
  <c r="BN870" i="1"/>
  <c r="BO870" i="1"/>
  <c r="D871" i="1"/>
  <c r="G871" i="1" s="1"/>
  <c r="AR871" i="1" s="1"/>
  <c r="N871" i="1"/>
  <c r="AY871" i="1" s="1"/>
  <c r="O871" i="1"/>
  <c r="AK871" i="1" s="1"/>
  <c r="AG871" i="1"/>
  <c r="AH871" i="1" s="1"/>
  <c r="AI871" i="1"/>
  <c r="AJ871" i="1"/>
  <c r="AL871" i="1"/>
  <c r="AN871" i="1"/>
  <c r="AO871" i="1"/>
  <c r="AP871" i="1"/>
  <c r="AQ871" i="1"/>
  <c r="AS871" i="1"/>
  <c r="AT871" i="1"/>
  <c r="AU871" i="1"/>
  <c r="AV871" i="1"/>
  <c r="AW871" i="1"/>
  <c r="AX871" i="1"/>
  <c r="AZ871" i="1"/>
  <c r="BB871" i="1"/>
  <c r="BD871" i="1"/>
  <c r="BG871" i="1"/>
  <c r="BH871" i="1"/>
  <c r="BI871" i="1"/>
  <c r="BJ871" i="1"/>
  <c r="BL871" i="1"/>
  <c r="BM871" i="1"/>
  <c r="BN871" i="1"/>
  <c r="BO871" i="1"/>
  <c r="D872" i="1"/>
  <c r="G872" i="1" s="1"/>
  <c r="N872" i="1"/>
  <c r="AY872" i="1" s="1"/>
  <c r="O872" i="1"/>
  <c r="AK872" i="1" s="1"/>
  <c r="P872" i="1"/>
  <c r="Q872" i="1" s="1"/>
  <c r="AG872" i="1"/>
  <c r="AH872" i="1" s="1"/>
  <c r="AI872" i="1"/>
  <c r="AJ872" i="1" s="1"/>
  <c r="AL872" i="1"/>
  <c r="AN872" i="1"/>
  <c r="AO872" i="1"/>
  <c r="AP872" i="1"/>
  <c r="AQ872" i="1"/>
  <c r="AR872" i="1"/>
  <c r="AS872" i="1"/>
  <c r="AT872" i="1"/>
  <c r="AU872" i="1"/>
  <c r="AV872" i="1"/>
  <c r="AW872" i="1"/>
  <c r="AX872" i="1"/>
  <c r="AZ872" i="1"/>
  <c r="BA872" i="1"/>
  <c r="BB872" i="1"/>
  <c r="BD872" i="1"/>
  <c r="BG872" i="1"/>
  <c r="BH872" i="1"/>
  <c r="BI872" i="1"/>
  <c r="BJ872" i="1"/>
  <c r="BL872" i="1"/>
  <c r="BM872" i="1"/>
  <c r="BN872" i="1"/>
  <c r="BO872" i="1"/>
  <c r="D873" i="1"/>
  <c r="G873" i="1" s="1"/>
  <c r="AR873" i="1" s="1"/>
  <c r="O873" i="1"/>
  <c r="AK873" i="1" s="1"/>
  <c r="AI873" i="1"/>
  <c r="AJ873" i="1"/>
  <c r="AL873" i="1"/>
  <c r="AN873" i="1"/>
  <c r="AO873" i="1"/>
  <c r="AP873" i="1"/>
  <c r="AQ873" i="1"/>
  <c r="AS873" i="1"/>
  <c r="AT873" i="1"/>
  <c r="AU873" i="1"/>
  <c r="AV873" i="1"/>
  <c r="AW873" i="1"/>
  <c r="AX873" i="1"/>
  <c r="AZ873" i="1"/>
  <c r="BB873" i="1"/>
  <c r="BD873" i="1"/>
  <c r="BG873" i="1"/>
  <c r="BH873" i="1"/>
  <c r="BI873" i="1"/>
  <c r="BJ873" i="1"/>
  <c r="BL873" i="1"/>
  <c r="BM873" i="1"/>
  <c r="BN873" i="1"/>
  <c r="BO873" i="1"/>
  <c r="D874" i="1"/>
  <c r="G874" i="1" s="1"/>
  <c r="AG874" i="1" s="1"/>
  <c r="AH874" i="1" s="1"/>
  <c r="N874" i="1"/>
  <c r="AY874" i="1" s="1"/>
  <c r="O874" i="1"/>
  <c r="AI874" i="1"/>
  <c r="AJ874" i="1"/>
  <c r="AK874" i="1"/>
  <c r="AL874" i="1"/>
  <c r="AN874" i="1"/>
  <c r="AO874" i="1"/>
  <c r="AP874" i="1"/>
  <c r="AQ874" i="1"/>
  <c r="AS874" i="1"/>
  <c r="AT874" i="1"/>
  <c r="AU874" i="1"/>
  <c r="AV874" i="1"/>
  <c r="AW874" i="1"/>
  <c r="AX874" i="1"/>
  <c r="AZ874" i="1"/>
  <c r="BB874" i="1"/>
  <c r="BD874" i="1"/>
  <c r="BG874" i="1"/>
  <c r="BH874" i="1"/>
  <c r="BI874" i="1"/>
  <c r="BJ874" i="1"/>
  <c r="BL874" i="1"/>
  <c r="BM874" i="1"/>
  <c r="BN874" i="1"/>
  <c r="BO874" i="1"/>
  <c r="D875" i="1"/>
  <c r="G875" i="1" s="1"/>
  <c r="AR875" i="1" s="1"/>
  <c r="N875" i="1"/>
  <c r="AY875" i="1" s="1"/>
  <c r="O875" i="1"/>
  <c r="AK875" i="1" s="1"/>
  <c r="AG875" i="1"/>
  <c r="AH875" i="1" s="1"/>
  <c r="AI875" i="1"/>
  <c r="AJ875" i="1"/>
  <c r="AL875" i="1"/>
  <c r="AN875" i="1"/>
  <c r="AO875" i="1"/>
  <c r="AP875" i="1"/>
  <c r="AQ875" i="1"/>
  <c r="AS875" i="1"/>
  <c r="AT875" i="1"/>
  <c r="AU875" i="1"/>
  <c r="AV875" i="1"/>
  <c r="AW875" i="1"/>
  <c r="AX875" i="1"/>
  <c r="AZ875" i="1"/>
  <c r="BB875" i="1"/>
  <c r="BD875" i="1"/>
  <c r="BG875" i="1"/>
  <c r="BH875" i="1"/>
  <c r="BI875" i="1"/>
  <c r="BJ875" i="1"/>
  <c r="BL875" i="1"/>
  <c r="BM875" i="1"/>
  <c r="BN875" i="1"/>
  <c r="BO875" i="1"/>
  <c r="AN877" i="1"/>
  <c r="AN878" i="1"/>
  <c r="AN880" i="1"/>
  <c r="D881" i="1"/>
  <c r="AO881" i="1" s="1"/>
  <c r="G881" i="1"/>
  <c r="N881" i="1" s="1"/>
  <c r="AY881" i="1" s="1"/>
  <c r="V881" i="1"/>
  <c r="O881" i="1" s="1"/>
  <c r="W881" i="1"/>
  <c r="BH881" i="1" s="1"/>
  <c r="AB881" i="1"/>
  <c r="AI881" i="1"/>
  <c r="AJ881" i="1" s="1"/>
  <c r="AL881" i="1"/>
  <c r="AN881" i="1"/>
  <c r="AP881" i="1"/>
  <c r="AQ881" i="1"/>
  <c r="AR881" i="1"/>
  <c r="AS881" i="1"/>
  <c r="AT881" i="1"/>
  <c r="AU881" i="1"/>
  <c r="AV881" i="1"/>
  <c r="AW881" i="1"/>
  <c r="AX881" i="1"/>
  <c r="BB881" i="1"/>
  <c r="BD881" i="1"/>
  <c r="BG881" i="1"/>
  <c r="BI881" i="1"/>
  <c r="BJ881" i="1"/>
  <c r="BL881" i="1"/>
  <c r="BM881" i="1"/>
  <c r="BN881" i="1"/>
  <c r="BO881" i="1"/>
  <c r="V882" i="1"/>
  <c r="W882" i="1"/>
  <c r="AA882" i="1"/>
  <c r="D882" i="1" s="1"/>
  <c r="AB882" i="1"/>
  <c r="AI882" i="1"/>
  <c r="AJ882" i="1" s="1"/>
  <c r="AL882" i="1"/>
  <c r="AN882" i="1"/>
  <c r="AP882" i="1"/>
  <c r="AQ882" i="1"/>
  <c r="AS882" i="1"/>
  <c r="AT882" i="1"/>
  <c r="AU882" i="1"/>
  <c r="AV882" i="1"/>
  <c r="AW882" i="1"/>
  <c r="AX882" i="1"/>
  <c r="BB882" i="1"/>
  <c r="BD882" i="1"/>
  <c r="BG882" i="1"/>
  <c r="BH882" i="1"/>
  <c r="BI882" i="1"/>
  <c r="BJ882" i="1"/>
  <c r="BM882" i="1"/>
  <c r="BN882" i="1"/>
  <c r="BO882" i="1"/>
  <c r="W883" i="1"/>
  <c r="O883" i="1" s="1"/>
  <c r="AK883" i="1" s="1"/>
  <c r="AA883" i="1"/>
  <c r="BL883" i="1" s="1"/>
  <c r="AB883" i="1"/>
  <c r="BM883" i="1" s="1"/>
  <c r="AI883" i="1"/>
  <c r="AJ883" i="1" s="1"/>
  <c r="AL883" i="1"/>
  <c r="AN883" i="1"/>
  <c r="AP883" i="1"/>
  <c r="AQ883" i="1"/>
  <c r="AS883" i="1"/>
  <c r="AT883" i="1"/>
  <c r="AU883" i="1"/>
  <c r="AV883" i="1"/>
  <c r="AW883" i="1"/>
  <c r="AX883" i="1"/>
  <c r="BB883" i="1"/>
  <c r="BD883" i="1"/>
  <c r="BG883" i="1"/>
  <c r="BI883" i="1"/>
  <c r="BJ883" i="1"/>
  <c r="BN883" i="1"/>
  <c r="BO883" i="1"/>
  <c r="D884" i="1"/>
  <c r="G884" i="1"/>
  <c r="N884" i="1"/>
  <c r="O884" i="1"/>
  <c r="AI884" i="1"/>
  <c r="AJ884" i="1" s="1"/>
  <c r="AL884" i="1"/>
  <c r="AN884" i="1"/>
  <c r="AO884" i="1"/>
  <c r="AP884" i="1"/>
  <c r="AQ884" i="1"/>
  <c r="AR884" i="1"/>
  <c r="AS884" i="1"/>
  <c r="AT884" i="1"/>
  <c r="AU884" i="1"/>
  <c r="AV884" i="1"/>
  <c r="AW884" i="1"/>
  <c r="AX884" i="1"/>
  <c r="AY884" i="1"/>
  <c r="AZ884" i="1"/>
  <c r="BB884" i="1"/>
  <c r="BD884" i="1"/>
  <c r="BG884" i="1"/>
  <c r="BH884" i="1"/>
  <c r="BI884" i="1"/>
  <c r="BJ884" i="1"/>
  <c r="BL884" i="1"/>
  <c r="BM884" i="1"/>
  <c r="BN884" i="1"/>
  <c r="BO884" i="1"/>
  <c r="D885" i="1"/>
  <c r="G885" i="1"/>
  <c r="N885" i="1"/>
  <c r="O885" i="1"/>
  <c r="AI885" i="1"/>
  <c r="AJ885" i="1"/>
  <c r="AL885" i="1"/>
  <c r="AN885" i="1"/>
  <c r="AO885" i="1"/>
  <c r="AP885" i="1"/>
  <c r="AQ885" i="1"/>
  <c r="AR885" i="1"/>
  <c r="AS885" i="1"/>
  <c r="AT885" i="1"/>
  <c r="AU885" i="1"/>
  <c r="AV885" i="1"/>
  <c r="AW885" i="1"/>
  <c r="AX885" i="1"/>
  <c r="AY885" i="1"/>
  <c r="AZ885" i="1"/>
  <c r="BB885" i="1"/>
  <c r="BD885" i="1"/>
  <c r="BG885" i="1"/>
  <c r="BH885" i="1"/>
  <c r="BI885" i="1"/>
  <c r="BJ885" i="1"/>
  <c r="BL885" i="1"/>
  <c r="BM885" i="1"/>
  <c r="BN885" i="1"/>
  <c r="BO885" i="1"/>
  <c r="D886" i="1"/>
  <c r="G886" i="1"/>
  <c r="AG886" i="1" s="1"/>
  <c r="AH886" i="1" s="1"/>
  <c r="N886" i="1"/>
  <c r="O886" i="1"/>
  <c r="AI886" i="1"/>
  <c r="AJ886" i="1"/>
  <c r="AL886" i="1"/>
  <c r="AN886" i="1"/>
  <c r="AO886" i="1"/>
  <c r="AP886" i="1"/>
  <c r="AQ886" i="1"/>
  <c r="AS886" i="1"/>
  <c r="AT886" i="1"/>
  <c r="AU886" i="1"/>
  <c r="AV886" i="1"/>
  <c r="AW886" i="1"/>
  <c r="AX886" i="1"/>
  <c r="AY886" i="1"/>
  <c r="AZ886" i="1"/>
  <c r="BB886" i="1"/>
  <c r="BD886" i="1"/>
  <c r="BG886" i="1"/>
  <c r="BH886" i="1"/>
  <c r="BI886" i="1"/>
  <c r="BJ886" i="1"/>
  <c r="BL886" i="1"/>
  <c r="BM886" i="1"/>
  <c r="BN886" i="1"/>
  <c r="BO886" i="1"/>
  <c r="D887" i="1"/>
  <c r="G887" i="1"/>
  <c r="AG887" i="1" s="1"/>
  <c r="AH887" i="1" s="1"/>
  <c r="O887" i="1"/>
  <c r="AI887" i="1"/>
  <c r="AJ887" i="1"/>
  <c r="AL887" i="1"/>
  <c r="AN887" i="1"/>
  <c r="AO887" i="1"/>
  <c r="AP887" i="1"/>
  <c r="AQ887" i="1"/>
  <c r="AS887" i="1"/>
  <c r="AT887" i="1"/>
  <c r="AU887" i="1"/>
  <c r="AV887" i="1"/>
  <c r="AW887" i="1"/>
  <c r="AX887" i="1"/>
  <c r="AZ887" i="1"/>
  <c r="BB887" i="1"/>
  <c r="BD887" i="1"/>
  <c r="BG887" i="1"/>
  <c r="BH887" i="1"/>
  <c r="BI887" i="1"/>
  <c r="BJ887" i="1"/>
  <c r="BL887" i="1"/>
  <c r="BM887" i="1"/>
  <c r="BN887" i="1"/>
  <c r="BO887" i="1"/>
  <c r="D888" i="1"/>
  <c r="G888" i="1"/>
  <c r="N888" i="1"/>
  <c r="O888" i="1"/>
  <c r="AI888" i="1"/>
  <c r="AJ888" i="1" s="1"/>
  <c r="AL888" i="1"/>
  <c r="AN888" i="1"/>
  <c r="AO888" i="1"/>
  <c r="AP888" i="1"/>
  <c r="AQ888" i="1"/>
  <c r="AR888" i="1"/>
  <c r="AS888" i="1"/>
  <c r="AT888" i="1"/>
  <c r="AU888" i="1"/>
  <c r="AV888" i="1"/>
  <c r="AW888" i="1"/>
  <c r="AX888" i="1"/>
  <c r="AY888" i="1"/>
  <c r="AZ888" i="1"/>
  <c r="BB888" i="1"/>
  <c r="BD888" i="1"/>
  <c r="BG888" i="1"/>
  <c r="BH888" i="1"/>
  <c r="BI888" i="1"/>
  <c r="BJ888" i="1"/>
  <c r="BL888" i="1"/>
  <c r="BM888" i="1"/>
  <c r="BN888" i="1"/>
  <c r="BO888" i="1"/>
  <c r="D889" i="1"/>
  <c r="G889" i="1"/>
  <c r="N889" i="1"/>
  <c r="O889" i="1"/>
  <c r="AI889" i="1"/>
  <c r="AJ889" i="1"/>
  <c r="AL889" i="1"/>
  <c r="AN889" i="1"/>
  <c r="AO889" i="1"/>
  <c r="AP889" i="1"/>
  <c r="AQ889" i="1"/>
  <c r="AR889" i="1"/>
  <c r="AS889" i="1"/>
  <c r="AT889" i="1"/>
  <c r="AU889" i="1"/>
  <c r="AV889" i="1"/>
  <c r="AW889" i="1"/>
  <c r="AX889" i="1"/>
  <c r="AY889" i="1"/>
  <c r="AZ889" i="1"/>
  <c r="BB889" i="1"/>
  <c r="BD889" i="1"/>
  <c r="BG889" i="1"/>
  <c r="BH889" i="1"/>
  <c r="BI889" i="1"/>
  <c r="BJ889" i="1"/>
  <c r="BL889" i="1"/>
  <c r="BM889" i="1"/>
  <c r="BN889" i="1"/>
  <c r="BO889" i="1"/>
  <c r="D890" i="1"/>
  <c r="G890" i="1"/>
  <c r="AG890" i="1" s="1"/>
  <c r="AH890" i="1" s="1"/>
  <c r="N890" i="1"/>
  <c r="O890" i="1"/>
  <c r="AI890" i="1"/>
  <c r="AJ890" i="1"/>
  <c r="AL890" i="1"/>
  <c r="AN890" i="1"/>
  <c r="AO890" i="1"/>
  <c r="AP890" i="1"/>
  <c r="AQ890" i="1"/>
  <c r="AS890" i="1"/>
  <c r="AT890" i="1"/>
  <c r="AU890" i="1"/>
  <c r="AV890" i="1"/>
  <c r="AW890" i="1"/>
  <c r="AX890" i="1"/>
  <c r="AY890" i="1"/>
  <c r="AZ890" i="1"/>
  <c r="BB890" i="1"/>
  <c r="BD890" i="1"/>
  <c r="BG890" i="1"/>
  <c r="BH890" i="1"/>
  <c r="BI890" i="1"/>
  <c r="BJ890" i="1"/>
  <c r="BL890" i="1"/>
  <c r="BM890" i="1"/>
  <c r="BN890" i="1"/>
  <c r="BO890" i="1"/>
  <c r="D891" i="1"/>
  <c r="G891" i="1"/>
  <c r="AG891" i="1" s="1"/>
  <c r="AH891" i="1" s="1"/>
  <c r="O891" i="1"/>
  <c r="AI891" i="1"/>
  <c r="AJ891" i="1"/>
  <c r="AL891" i="1"/>
  <c r="AN891" i="1"/>
  <c r="AO891" i="1"/>
  <c r="AP891" i="1"/>
  <c r="AQ891" i="1"/>
  <c r="AS891" i="1"/>
  <c r="AT891" i="1"/>
  <c r="AU891" i="1"/>
  <c r="AV891" i="1"/>
  <c r="AW891" i="1"/>
  <c r="AX891" i="1"/>
  <c r="AZ891" i="1"/>
  <c r="BB891" i="1"/>
  <c r="BD891" i="1"/>
  <c r="BG891" i="1"/>
  <c r="BH891" i="1"/>
  <c r="BI891" i="1"/>
  <c r="BJ891" i="1"/>
  <c r="BL891" i="1"/>
  <c r="BM891" i="1"/>
  <c r="BN891" i="1"/>
  <c r="BO891" i="1"/>
  <c r="D892" i="1"/>
  <c r="G892" i="1"/>
  <c r="N892" i="1"/>
  <c r="O892" i="1"/>
  <c r="AI892" i="1"/>
  <c r="AJ892" i="1" s="1"/>
  <c r="AL892" i="1"/>
  <c r="AN892" i="1"/>
  <c r="AO892" i="1"/>
  <c r="AP892" i="1"/>
  <c r="AQ892" i="1"/>
  <c r="AR892" i="1"/>
  <c r="AS892" i="1"/>
  <c r="AT892" i="1"/>
  <c r="AU892" i="1"/>
  <c r="AV892" i="1"/>
  <c r="AW892" i="1"/>
  <c r="AX892" i="1"/>
  <c r="AY892" i="1"/>
  <c r="AZ892" i="1"/>
  <c r="BB892" i="1"/>
  <c r="BD892" i="1"/>
  <c r="BG892" i="1"/>
  <c r="BH892" i="1"/>
  <c r="BI892" i="1"/>
  <c r="BJ892" i="1"/>
  <c r="BL892" i="1"/>
  <c r="BM892" i="1"/>
  <c r="BN892" i="1"/>
  <c r="BO892" i="1"/>
  <c r="D893" i="1"/>
  <c r="G893" i="1"/>
  <c r="N893" i="1"/>
  <c r="O893" i="1"/>
  <c r="AI893" i="1"/>
  <c r="AJ893" i="1"/>
  <c r="AL893" i="1"/>
  <c r="AN893" i="1"/>
  <c r="AO893" i="1"/>
  <c r="AP893" i="1"/>
  <c r="AQ893" i="1"/>
  <c r="AR893" i="1"/>
  <c r="AS893" i="1"/>
  <c r="AT893" i="1"/>
  <c r="AU893" i="1"/>
  <c r="AV893" i="1"/>
  <c r="AW893" i="1"/>
  <c r="AX893" i="1"/>
  <c r="AY893" i="1"/>
  <c r="AZ893" i="1"/>
  <c r="BB893" i="1"/>
  <c r="BD893" i="1"/>
  <c r="BG893" i="1"/>
  <c r="BH893" i="1"/>
  <c r="BI893" i="1"/>
  <c r="BJ893" i="1"/>
  <c r="BL893" i="1"/>
  <c r="BM893" i="1"/>
  <c r="BN893" i="1"/>
  <c r="BO893" i="1"/>
  <c r="D894" i="1"/>
  <c r="G894" i="1"/>
  <c r="AG894" i="1" s="1"/>
  <c r="AH894" i="1" s="1"/>
  <c r="N894" i="1"/>
  <c r="O894" i="1"/>
  <c r="AI894" i="1"/>
  <c r="AJ894" i="1"/>
  <c r="AL894" i="1"/>
  <c r="AL897" i="1" s="1"/>
  <c r="AN894" i="1"/>
  <c r="AO894" i="1"/>
  <c r="AP894" i="1"/>
  <c r="AQ894" i="1"/>
  <c r="AS894" i="1"/>
  <c r="AT894" i="1"/>
  <c r="AU894" i="1"/>
  <c r="AV894" i="1"/>
  <c r="AW894" i="1"/>
  <c r="AX894" i="1"/>
  <c r="AY894" i="1"/>
  <c r="AZ894" i="1"/>
  <c r="BB894" i="1"/>
  <c r="BD894" i="1"/>
  <c r="BG894" i="1"/>
  <c r="BH894" i="1"/>
  <c r="BI894" i="1"/>
  <c r="BJ894" i="1"/>
  <c r="BL894" i="1"/>
  <c r="BM894" i="1"/>
  <c r="BN894" i="1"/>
  <c r="BO894" i="1"/>
  <c r="D895" i="1"/>
  <c r="G895" i="1"/>
  <c r="AG895" i="1" s="1"/>
  <c r="AH895" i="1" s="1"/>
  <c r="O895" i="1"/>
  <c r="AI895" i="1"/>
  <c r="AJ895" i="1"/>
  <c r="AL895" i="1"/>
  <c r="AN895" i="1"/>
  <c r="AO895" i="1"/>
  <c r="AP895" i="1"/>
  <c r="AQ895" i="1"/>
  <c r="AS895" i="1"/>
  <c r="AT895" i="1"/>
  <c r="AU895" i="1"/>
  <c r="AV895" i="1"/>
  <c r="AW895" i="1"/>
  <c r="AX895" i="1"/>
  <c r="AZ895" i="1"/>
  <c r="BB895" i="1"/>
  <c r="BD895" i="1"/>
  <c r="BG895" i="1"/>
  <c r="BH895" i="1"/>
  <c r="BI895" i="1"/>
  <c r="BJ895" i="1"/>
  <c r="BL895" i="1"/>
  <c r="BM895" i="1"/>
  <c r="BN895" i="1"/>
  <c r="BO895" i="1"/>
  <c r="AN897" i="1"/>
  <c r="AN899" i="1"/>
  <c r="D900" i="1"/>
  <c r="G900" i="1"/>
  <c r="AG900" i="1" s="1"/>
  <c r="AH900" i="1" s="1"/>
  <c r="O900" i="1"/>
  <c r="AZ900" i="1" s="1"/>
  <c r="AI900" i="1"/>
  <c r="AJ900" i="1"/>
  <c r="AK900" i="1"/>
  <c r="AL900" i="1"/>
  <c r="AN900" i="1"/>
  <c r="AO900" i="1"/>
  <c r="AP900" i="1"/>
  <c r="AQ900" i="1"/>
  <c r="AS900" i="1"/>
  <c r="AT900" i="1"/>
  <c r="AU900" i="1"/>
  <c r="AV900" i="1"/>
  <c r="AW900" i="1"/>
  <c r="AX900" i="1"/>
  <c r="BB900" i="1"/>
  <c r="BD900" i="1"/>
  <c r="BG900" i="1"/>
  <c r="BH900" i="1"/>
  <c r="BI900" i="1"/>
  <c r="BJ900" i="1"/>
  <c r="BL900" i="1"/>
  <c r="BM900" i="1"/>
  <c r="BN900" i="1"/>
  <c r="BO900" i="1"/>
  <c r="D901" i="1"/>
  <c r="G901" i="1"/>
  <c r="AG901" i="1" s="1"/>
  <c r="AH901" i="1" s="1"/>
  <c r="O901" i="1"/>
  <c r="AZ901" i="1" s="1"/>
  <c r="AI901" i="1"/>
  <c r="AJ901" i="1"/>
  <c r="AK901" i="1"/>
  <c r="AL901" i="1"/>
  <c r="AN901" i="1"/>
  <c r="AO901" i="1"/>
  <c r="AP901" i="1"/>
  <c r="AQ901" i="1"/>
  <c r="AS901" i="1"/>
  <c r="AT901" i="1"/>
  <c r="AU901" i="1"/>
  <c r="AV901" i="1"/>
  <c r="AW901" i="1"/>
  <c r="AX901" i="1"/>
  <c r="BB901" i="1"/>
  <c r="BD901" i="1"/>
  <c r="BG901" i="1"/>
  <c r="BH901" i="1"/>
  <c r="BI901" i="1"/>
  <c r="BJ901" i="1"/>
  <c r="BL901" i="1"/>
  <c r="BM901" i="1"/>
  <c r="BN901" i="1"/>
  <c r="BO901" i="1"/>
  <c r="D902" i="1"/>
  <c r="G902" i="1"/>
  <c r="AG902" i="1" s="1"/>
  <c r="AH902" i="1" s="1"/>
  <c r="O902" i="1"/>
  <c r="AZ902" i="1" s="1"/>
  <c r="AI902" i="1"/>
  <c r="AJ902" i="1"/>
  <c r="AK902" i="1"/>
  <c r="AL902" i="1"/>
  <c r="AN902" i="1"/>
  <c r="AO902" i="1"/>
  <c r="AP902" i="1"/>
  <c r="AQ902" i="1"/>
  <c r="AS902" i="1"/>
  <c r="AT902" i="1"/>
  <c r="AU902" i="1"/>
  <c r="AV902" i="1"/>
  <c r="AW902" i="1"/>
  <c r="AX902" i="1"/>
  <c r="BB902" i="1"/>
  <c r="BD902" i="1"/>
  <c r="BG902" i="1"/>
  <c r="BH902" i="1"/>
  <c r="BI902" i="1"/>
  <c r="BJ902" i="1"/>
  <c r="BL902" i="1"/>
  <c r="BM902" i="1"/>
  <c r="BN902" i="1"/>
  <c r="BO902" i="1"/>
  <c r="D903" i="1"/>
  <c r="G903" i="1"/>
  <c r="AG903" i="1" s="1"/>
  <c r="AH903" i="1" s="1"/>
  <c r="O903" i="1"/>
  <c r="AZ903" i="1" s="1"/>
  <c r="AI903" i="1"/>
  <c r="AJ903" i="1"/>
  <c r="AK903" i="1"/>
  <c r="AL903" i="1"/>
  <c r="AN903" i="1"/>
  <c r="AO903" i="1"/>
  <c r="AP903" i="1"/>
  <c r="AQ903" i="1"/>
  <c r="AS903" i="1"/>
  <c r="AT903" i="1"/>
  <c r="AU903" i="1"/>
  <c r="AV903" i="1"/>
  <c r="AW903" i="1"/>
  <c r="AX903" i="1"/>
  <c r="BB903" i="1"/>
  <c r="BD903" i="1"/>
  <c r="BG903" i="1"/>
  <c r="BH903" i="1"/>
  <c r="BI903" i="1"/>
  <c r="BJ903" i="1"/>
  <c r="BL903" i="1"/>
  <c r="BM903" i="1"/>
  <c r="BN903" i="1"/>
  <c r="BO903" i="1"/>
  <c r="D904" i="1"/>
  <c r="G904" i="1"/>
  <c r="AG904" i="1" s="1"/>
  <c r="AH904" i="1" s="1"/>
  <c r="O904" i="1"/>
  <c r="AZ904" i="1" s="1"/>
  <c r="AI904" i="1"/>
  <c r="AJ904" i="1"/>
  <c r="AK904" i="1"/>
  <c r="AL904" i="1"/>
  <c r="AN904" i="1"/>
  <c r="AO904" i="1"/>
  <c r="AP904" i="1"/>
  <c r="AQ904" i="1"/>
  <c r="AS904" i="1"/>
  <c r="AT904" i="1"/>
  <c r="AU904" i="1"/>
  <c r="AV904" i="1"/>
  <c r="AW904" i="1"/>
  <c r="AX904" i="1"/>
  <c r="BB904" i="1"/>
  <c r="BD904" i="1"/>
  <c r="BG904" i="1"/>
  <c r="BH904" i="1"/>
  <c r="BI904" i="1"/>
  <c r="BJ904" i="1"/>
  <c r="BL904" i="1"/>
  <c r="BM904" i="1"/>
  <c r="BN904" i="1"/>
  <c r="BO904" i="1"/>
  <c r="D905" i="1"/>
  <c r="G905" i="1"/>
  <c r="AG905" i="1" s="1"/>
  <c r="AH905" i="1" s="1"/>
  <c r="O905" i="1"/>
  <c r="AZ905" i="1" s="1"/>
  <c r="AI905" i="1"/>
  <c r="AJ905" i="1"/>
  <c r="AK905" i="1"/>
  <c r="AL905" i="1"/>
  <c r="AN905" i="1"/>
  <c r="AO905" i="1"/>
  <c r="AP905" i="1"/>
  <c r="AQ905" i="1"/>
  <c r="AS905" i="1"/>
  <c r="AT905" i="1"/>
  <c r="AU905" i="1"/>
  <c r="AV905" i="1"/>
  <c r="AW905" i="1"/>
  <c r="AX905" i="1"/>
  <c r="BB905" i="1"/>
  <c r="BD905" i="1"/>
  <c r="BG905" i="1"/>
  <c r="BH905" i="1"/>
  <c r="BI905" i="1"/>
  <c r="BJ905" i="1"/>
  <c r="BL905" i="1"/>
  <c r="BM905" i="1"/>
  <c r="BN905" i="1"/>
  <c r="BO905" i="1"/>
  <c r="D906" i="1"/>
  <c r="G906" i="1"/>
  <c r="AG906" i="1" s="1"/>
  <c r="AH906" i="1" s="1"/>
  <c r="O906" i="1"/>
  <c r="AZ906" i="1" s="1"/>
  <c r="AI906" i="1"/>
  <c r="AJ906" i="1"/>
  <c r="AK906" i="1"/>
  <c r="AL906" i="1"/>
  <c r="AN906" i="1"/>
  <c r="AO906" i="1"/>
  <c r="AP906" i="1"/>
  <c r="AQ906" i="1"/>
  <c r="AS906" i="1"/>
  <c r="AT906" i="1"/>
  <c r="AU906" i="1"/>
  <c r="AV906" i="1"/>
  <c r="AW906" i="1"/>
  <c r="AX906" i="1"/>
  <c r="BB906" i="1"/>
  <c r="BD906" i="1"/>
  <c r="BG906" i="1"/>
  <c r="BH906" i="1"/>
  <c r="BI906" i="1"/>
  <c r="BJ906" i="1"/>
  <c r="BL906" i="1"/>
  <c r="BM906" i="1"/>
  <c r="BN906" i="1"/>
  <c r="BO906" i="1"/>
  <c r="D907" i="1"/>
  <c r="G907" i="1"/>
  <c r="AG907" i="1" s="1"/>
  <c r="AH907" i="1" s="1"/>
  <c r="O907" i="1"/>
  <c r="AZ907" i="1" s="1"/>
  <c r="AI907" i="1"/>
  <c r="AJ907" i="1"/>
  <c r="AK907" i="1"/>
  <c r="AL907" i="1"/>
  <c r="AN907" i="1"/>
  <c r="AO907" i="1"/>
  <c r="AP907" i="1"/>
  <c r="AQ907" i="1"/>
  <c r="AS907" i="1"/>
  <c r="AT907" i="1"/>
  <c r="AU907" i="1"/>
  <c r="AV907" i="1"/>
  <c r="AW907" i="1"/>
  <c r="AX907" i="1"/>
  <c r="BB907" i="1"/>
  <c r="BD907" i="1"/>
  <c r="BG907" i="1"/>
  <c r="BH907" i="1"/>
  <c r="BI907" i="1"/>
  <c r="BJ907" i="1"/>
  <c r="BL907" i="1"/>
  <c r="BM907" i="1"/>
  <c r="BN907" i="1"/>
  <c r="BO907" i="1"/>
  <c r="D908" i="1"/>
  <c r="G908" i="1"/>
  <c r="AG908" i="1" s="1"/>
  <c r="AH908" i="1" s="1"/>
  <c r="O908" i="1"/>
  <c r="AZ908" i="1" s="1"/>
  <c r="AI908" i="1"/>
  <c r="AJ908" i="1"/>
  <c r="AK908" i="1"/>
  <c r="AL908" i="1"/>
  <c r="AN908" i="1"/>
  <c r="AO908" i="1"/>
  <c r="AP908" i="1"/>
  <c r="AQ908" i="1"/>
  <c r="AS908" i="1"/>
  <c r="AT908" i="1"/>
  <c r="AU908" i="1"/>
  <c r="AV908" i="1"/>
  <c r="AW908" i="1"/>
  <c r="AX908" i="1"/>
  <c r="BB908" i="1"/>
  <c r="BD908" i="1"/>
  <c r="BG908" i="1"/>
  <c r="BH908" i="1"/>
  <c r="BI908" i="1"/>
  <c r="BJ908" i="1"/>
  <c r="BL908" i="1"/>
  <c r="BM908" i="1"/>
  <c r="BN908" i="1"/>
  <c r="BO908" i="1"/>
  <c r="D909" i="1"/>
  <c r="G909" i="1"/>
  <c r="AG909" i="1" s="1"/>
  <c r="AH909" i="1" s="1"/>
  <c r="O909" i="1"/>
  <c r="AZ909" i="1" s="1"/>
  <c r="AI909" i="1"/>
  <c r="AJ909" i="1"/>
  <c r="AK909" i="1"/>
  <c r="AL909" i="1"/>
  <c r="AN909" i="1"/>
  <c r="AO909" i="1"/>
  <c r="AP909" i="1"/>
  <c r="AQ909" i="1"/>
  <c r="AS909" i="1"/>
  <c r="AT909" i="1"/>
  <c r="AU909" i="1"/>
  <c r="AV909" i="1"/>
  <c r="AW909" i="1"/>
  <c r="AX909" i="1"/>
  <c r="BB909" i="1"/>
  <c r="BD909" i="1"/>
  <c r="BG909" i="1"/>
  <c r="BH909" i="1"/>
  <c r="BI909" i="1"/>
  <c r="BJ909" i="1"/>
  <c r="BL909" i="1"/>
  <c r="BM909" i="1"/>
  <c r="BN909" i="1"/>
  <c r="BO909" i="1"/>
  <c r="D910" i="1"/>
  <c r="G910" i="1"/>
  <c r="AG910" i="1" s="1"/>
  <c r="AH910" i="1" s="1"/>
  <c r="O910" i="1"/>
  <c r="AZ910" i="1" s="1"/>
  <c r="AI910" i="1"/>
  <c r="AJ910" i="1"/>
  <c r="AK910" i="1"/>
  <c r="AL910" i="1"/>
  <c r="AN910" i="1"/>
  <c r="AO910" i="1"/>
  <c r="AP910" i="1"/>
  <c r="AQ910" i="1"/>
  <c r="AS910" i="1"/>
  <c r="AT910" i="1"/>
  <c r="AU910" i="1"/>
  <c r="AV910" i="1"/>
  <c r="AW910" i="1"/>
  <c r="AX910" i="1"/>
  <c r="BB910" i="1"/>
  <c r="BD910" i="1"/>
  <c r="BG910" i="1"/>
  <c r="BH910" i="1"/>
  <c r="BI910" i="1"/>
  <c r="BJ910" i="1"/>
  <c r="BL910" i="1"/>
  <c r="BM910" i="1"/>
  <c r="BN910" i="1"/>
  <c r="BO910" i="1"/>
  <c r="D911" i="1"/>
  <c r="G911" i="1"/>
  <c r="AG911" i="1" s="1"/>
  <c r="AH911" i="1" s="1"/>
  <c r="O911" i="1"/>
  <c r="AZ911" i="1" s="1"/>
  <c r="AI911" i="1"/>
  <c r="AJ911" i="1"/>
  <c r="AK911" i="1"/>
  <c r="AL911" i="1"/>
  <c r="AN911" i="1"/>
  <c r="AO911" i="1"/>
  <c r="AP911" i="1"/>
  <c r="AQ911" i="1"/>
  <c r="AS911" i="1"/>
  <c r="AT911" i="1"/>
  <c r="AU911" i="1"/>
  <c r="AV911" i="1"/>
  <c r="AW911" i="1"/>
  <c r="AX911" i="1"/>
  <c r="BB911" i="1"/>
  <c r="BD911" i="1"/>
  <c r="BG911" i="1"/>
  <c r="BH911" i="1"/>
  <c r="BI911" i="1"/>
  <c r="BJ911" i="1"/>
  <c r="BL911" i="1"/>
  <c r="BM911" i="1"/>
  <c r="BN911" i="1"/>
  <c r="BO911" i="1"/>
  <c r="D912" i="1"/>
  <c r="G912" i="1"/>
  <c r="AG912" i="1" s="1"/>
  <c r="AH912" i="1" s="1"/>
  <c r="O912" i="1"/>
  <c r="AZ912" i="1" s="1"/>
  <c r="AI912" i="1"/>
  <c r="AJ912" i="1"/>
  <c r="AK912" i="1"/>
  <c r="AL912" i="1"/>
  <c r="AN912" i="1"/>
  <c r="AO912" i="1"/>
  <c r="AP912" i="1"/>
  <c r="AQ912" i="1"/>
  <c r="AS912" i="1"/>
  <c r="AT912" i="1"/>
  <c r="AU912" i="1"/>
  <c r="AV912" i="1"/>
  <c r="AW912" i="1"/>
  <c r="AX912" i="1"/>
  <c r="BB912" i="1"/>
  <c r="BD912" i="1"/>
  <c r="BG912" i="1"/>
  <c r="BH912" i="1"/>
  <c r="BI912" i="1"/>
  <c r="BJ912" i="1"/>
  <c r="BL912" i="1"/>
  <c r="BM912" i="1"/>
  <c r="BN912" i="1"/>
  <c r="BO912" i="1"/>
  <c r="D913" i="1"/>
  <c r="G913" i="1"/>
  <c r="AG913" i="1" s="1"/>
  <c r="AH913" i="1" s="1"/>
  <c r="O913" i="1"/>
  <c r="AZ913" i="1" s="1"/>
  <c r="AI913" i="1"/>
  <c r="AJ913" i="1"/>
  <c r="AK913" i="1"/>
  <c r="AL913" i="1"/>
  <c r="AN913" i="1"/>
  <c r="AO913" i="1"/>
  <c r="AP913" i="1"/>
  <c r="AQ913" i="1"/>
  <c r="AS913" i="1"/>
  <c r="AT913" i="1"/>
  <c r="AU913" i="1"/>
  <c r="AV913" i="1"/>
  <c r="AW913" i="1"/>
  <c r="AX913" i="1"/>
  <c r="BB913" i="1"/>
  <c r="BD913" i="1"/>
  <c r="BG913" i="1"/>
  <c r="BH913" i="1"/>
  <c r="BI913" i="1"/>
  <c r="BJ913" i="1"/>
  <c r="BL913" i="1"/>
  <c r="BM913" i="1"/>
  <c r="BN913" i="1"/>
  <c r="BO913" i="1"/>
  <c r="D914" i="1"/>
  <c r="G914" i="1"/>
  <c r="AG914" i="1" s="1"/>
  <c r="AH914" i="1" s="1"/>
  <c r="O914" i="1"/>
  <c r="AZ914" i="1" s="1"/>
  <c r="AI914" i="1"/>
  <c r="AJ914" i="1"/>
  <c r="AK914" i="1"/>
  <c r="AL914" i="1"/>
  <c r="AN914" i="1"/>
  <c r="AO914" i="1"/>
  <c r="AP914" i="1"/>
  <c r="AQ914" i="1"/>
  <c r="AS914" i="1"/>
  <c r="AT914" i="1"/>
  <c r="AU914" i="1"/>
  <c r="AV914" i="1"/>
  <c r="AW914" i="1"/>
  <c r="AX914" i="1"/>
  <c r="BB914" i="1"/>
  <c r="BD914" i="1"/>
  <c r="BG914" i="1"/>
  <c r="BH914" i="1"/>
  <c r="BI914" i="1"/>
  <c r="BJ914" i="1"/>
  <c r="BL914" i="1"/>
  <c r="BM914" i="1"/>
  <c r="BN914" i="1"/>
  <c r="BO914" i="1"/>
  <c r="D915" i="1"/>
  <c r="G915" i="1"/>
  <c r="AG915" i="1" s="1"/>
  <c r="AH915" i="1" s="1"/>
  <c r="O915" i="1"/>
  <c r="AZ915" i="1" s="1"/>
  <c r="AI915" i="1"/>
  <c r="AJ915" i="1"/>
  <c r="AK915" i="1"/>
  <c r="AL915" i="1"/>
  <c r="AN915" i="1"/>
  <c r="AO915" i="1"/>
  <c r="AP915" i="1"/>
  <c r="AQ915" i="1"/>
  <c r="AS915" i="1"/>
  <c r="AT915" i="1"/>
  <c r="AU915" i="1"/>
  <c r="AV915" i="1"/>
  <c r="AW915" i="1"/>
  <c r="AX915" i="1"/>
  <c r="BB915" i="1"/>
  <c r="BD915" i="1"/>
  <c r="BG915" i="1"/>
  <c r="BH915" i="1"/>
  <c r="BI915" i="1"/>
  <c r="BJ915" i="1"/>
  <c r="BL915" i="1"/>
  <c r="BM915" i="1"/>
  <c r="BN915" i="1"/>
  <c r="BO915" i="1"/>
  <c r="D916" i="1"/>
  <c r="G916" i="1"/>
  <c r="AG916" i="1" s="1"/>
  <c r="AH916" i="1" s="1"/>
  <c r="O916" i="1"/>
  <c r="AZ916" i="1" s="1"/>
  <c r="AI916" i="1"/>
  <c r="AJ916" i="1"/>
  <c r="AK916" i="1"/>
  <c r="AL916" i="1"/>
  <c r="AN916" i="1"/>
  <c r="AO916" i="1"/>
  <c r="AP916" i="1"/>
  <c r="AQ916" i="1"/>
  <c r="AS916" i="1"/>
  <c r="AT916" i="1"/>
  <c r="AU916" i="1"/>
  <c r="AV916" i="1"/>
  <c r="AW916" i="1"/>
  <c r="AX916" i="1"/>
  <c r="BB916" i="1"/>
  <c r="BD916" i="1"/>
  <c r="BG916" i="1"/>
  <c r="BH916" i="1"/>
  <c r="BI916" i="1"/>
  <c r="BJ916" i="1"/>
  <c r="BL916" i="1"/>
  <c r="BM916" i="1"/>
  <c r="BN916" i="1"/>
  <c r="BO916" i="1"/>
  <c r="D917" i="1"/>
  <c r="G917" i="1"/>
  <c r="O917" i="1"/>
  <c r="AZ917" i="1" s="1"/>
  <c r="AI917" i="1"/>
  <c r="AJ917" i="1"/>
  <c r="AK917" i="1"/>
  <c r="AL917" i="1"/>
  <c r="AN917" i="1"/>
  <c r="AO917" i="1"/>
  <c r="AP917" i="1"/>
  <c r="AQ917" i="1"/>
  <c r="AS917" i="1"/>
  <c r="AT917" i="1"/>
  <c r="AU917" i="1"/>
  <c r="AV917" i="1"/>
  <c r="AW917" i="1"/>
  <c r="AX917" i="1"/>
  <c r="BB917" i="1"/>
  <c r="BD917" i="1"/>
  <c r="BG917" i="1"/>
  <c r="BH917" i="1"/>
  <c r="BI917" i="1"/>
  <c r="BJ917" i="1"/>
  <c r="BL917" i="1"/>
  <c r="BM917" i="1"/>
  <c r="BN917" i="1"/>
  <c r="BO917" i="1"/>
  <c r="D918" i="1"/>
  <c r="G918" i="1"/>
  <c r="O918" i="1"/>
  <c r="AZ918" i="1" s="1"/>
  <c r="AI918" i="1"/>
  <c r="AJ918" i="1"/>
  <c r="AJ951" i="1" s="1"/>
  <c r="AK918" i="1"/>
  <c r="AL918" i="1"/>
  <c r="AN918" i="1"/>
  <c r="AO918" i="1"/>
  <c r="AP918" i="1"/>
  <c r="AQ918" i="1"/>
  <c r="AS918" i="1"/>
  <c r="AT918" i="1"/>
  <c r="AU918" i="1"/>
  <c r="AV918" i="1"/>
  <c r="AW918" i="1"/>
  <c r="AX918" i="1"/>
  <c r="BB918" i="1"/>
  <c r="BD918" i="1"/>
  <c r="BG918" i="1"/>
  <c r="BH918" i="1"/>
  <c r="BI918" i="1"/>
  <c r="BJ918" i="1"/>
  <c r="BL918" i="1"/>
  <c r="BM918" i="1"/>
  <c r="BN918" i="1"/>
  <c r="BO918" i="1"/>
  <c r="D919" i="1"/>
  <c r="G919" i="1"/>
  <c r="O919" i="1"/>
  <c r="AZ919" i="1" s="1"/>
  <c r="AI919" i="1"/>
  <c r="AJ919" i="1"/>
  <c r="AK919" i="1"/>
  <c r="AL919" i="1"/>
  <c r="AN919" i="1"/>
  <c r="AO919" i="1"/>
  <c r="AP919" i="1"/>
  <c r="AQ919" i="1"/>
  <c r="AS919" i="1"/>
  <c r="AT919" i="1"/>
  <c r="AU919" i="1"/>
  <c r="AV919" i="1"/>
  <c r="AW919" i="1"/>
  <c r="AX919" i="1"/>
  <c r="BB919" i="1"/>
  <c r="BD919" i="1"/>
  <c r="BG919" i="1"/>
  <c r="BH919" i="1"/>
  <c r="BI919" i="1"/>
  <c r="BJ919" i="1"/>
  <c r="BL919" i="1"/>
  <c r="BM919" i="1"/>
  <c r="BN919" i="1"/>
  <c r="BO919" i="1"/>
  <c r="D920" i="1"/>
  <c r="G920" i="1"/>
  <c r="O920" i="1"/>
  <c r="AZ920" i="1" s="1"/>
  <c r="AI920" i="1"/>
  <c r="AJ920" i="1"/>
  <c r="AK920" i="1"/>
  <c r="AL920" i="1"/>
  <c r="AN920" i="1"/>
  <c r="AO920" i="1"/>
  <c r="AP920" i="1"/>
  <c r="AQ920" i="1"/>
  <c r="AS920" i="1"/>
  <c r="AT920" i="1"/>
  <c r="AU920" i="1"/>
  <c r="AV920" i="1"/>
  <c r="AW920" i="1"/>
  <c r="AX920" i="1"/>
  <c r="BB920" i="1"/>
  <c r="BD920" i="1"/>
  <c r="BG920" i="1"/>
  <c r="BH920" i="1"/>
  <c r="BI920" i="1"/>
  <c r="BJ920" i="1"/>
  <c r="BL920" i="1"/>
  <c r="BM920" i="1"/>
  <c r="BN920" i="1"/>
  <c r="BO920" i="1"/>
  <c r="D921" i="1"/>
  <c r="G921" i="1"/>
  <c r="O921" i="1"/>
  <c r="AI921" i="1"/>
  <c r="AJ921" i="1"/>
  <c r="AK921" i="1"/>
  <c r="AL921" i="1"/>
  <c r="AN921" i="1"/>
  <c r="AO921" i="1"/>
  <c r="AP921" i="1"/>
  <c r="AQ921" i="1"/>
  <c r="AS921" i="1"/>
  <c r="AT921" i="1"/>
  <c r="AU921" i="1"/>
  <c r="AV921" i="1"/>
  <c r="AW921" i="1"/>
  <c r="AX921" i="1"/>
  <c r="AZ921" i="1"/>
  <c r="BB921" i="1"/>
  <c r="BD921" i="1"/>
  <c r="BG921" i="1"/>
  <c r="BH921" i="1"/>
  <c r="BI921" i="1"/>
  <c r="BJ921" i="1"/>
  <c r="BL921" i="1"/>
  <c r="BM921" i="1"/>
  <c r="BN921" i="1"/>
  <c r="BO921" i="1"/>
  <c r="D922" i="1"/>
  <c r="G922" i="1"/>
  <c r="N922" i="1"/>
  <c r="AY922" i="1" s="1"/>
  <c r="O922" i="1"/>
  <c r="AI922" i="1"/>
  <c r="AJ922" i="1"/>
  <c r="AL922" i="1"/>
  <c r="AN922" i="1"/>
  <c r="AO922" i="1"/>
  <c r="AP922" i="1"/>
  <c r="AQ922" i="1"/>
  <c r="AR922" i="1"/>
  <c r="AS922" i="1"/>
  <c r="AT922" i="1"/>
  <c r="AU922" i="1"/>
  <c r="AV922" i="1"/>
  <c r="AW922" i="1"/>
  <c r="AX922" i="1"/>
  <c r="AZ922" i="1"/>
  <c r="BB922" i="1"/>
  <c r="BD922" i="1"/>
  <c r="BG922" i="1"/>
  <c r="BH922" i="1"/>
  <c r="BI922" i="1"/>
  <c r="BJ922" i="1"/>
  <c r="BL922" i="1"/>
  <c r="BM922" i="1"/>
  <c r="BN922" i="1"/>
  <c r="BO922" i="1"/>
  <c r="D923" i="1"/>
  <c r="G923" i="1"/>
  <c r="N923" i="1"/>
  <c r="AY923" i="1" s="1"/>
  <c r="O923" i="1"/>
  <c r="AI923" i="1"/>
  <c r="AJ923" i="1"/>
  <c r="AL923" i="1"/>
  <c r="AN923" i="1"/>
  <c r="AO923" i="1"/>
  <c r="AP923" i="1"/>
  <c r="AQ923" i="1"/>
  <c r="AR923" i="1"/>
  <c r="AS923" i="1"/>
  <c r="AT923" i="1"/>
  <c r="AU923" i="1"/>
  <c r="AV923" i="1"/>
  <c r="AW923" i="1"/>
  <c r="AX923" i="1"/>
  <c r="BB923" i="1"/>
  <c r="BD923" i="1"/>
  <c r="BG923" i="1"/>
  <c r="BH923" i="1"/>
  <c r="BI923" i="1"/>
  <c r="BJ923" i="1"/>
  <c r="BL923" i="1"/>
  <c r="BM923" i="1"/>
  <c r="BN923" i="1"/>
  <c r="BO923" i="1"/>
  <c r="D924" i="1"/>
  <c r="G924" i="1"/>
  <c r="AG924" i="1" s="1"/>
  <c r="AH924" i="1" s="1"/>
  <c r="N924" i="1"/>
  <c r="AY924" i="1" s="1"/>
  <c r="O924" i="1"/>
  <c r="AI924" i="1"/>
  <c r="AJ924" i="1" s="1"/>
  <c r="AL924" i="1"/>
  <c r="AN924" i="1"/>
  <c r="AO924" i="1"/>
  <c r="AP924" i="1"/>
  <c r="AQ924" i="1"/>
  <c r="AR924" i="1"/>
  <c r="AS924" i="1"/>
  <c r="AT924" i="1"/>
  <c r="AU924" i="1"/>
  <c r="AV924" i="1"/>
  <c r="AW924" i="1"/>
  <c r="AX924" i="1"/>
  <c r="AZ924" i="1"/>
  <c r="BB924" i="1"/>
  <c r="BD924" i="1"/>
  <c r="BG924" i="1"/>
  <c r="BH924" i="1"/>
  <c r="BI924" i="1"/>
  <c r="BJ924" i="1"/>
  <c r="BL924" i="1"/>
  <c r="BM924" i="1"/>
  <c r="BN924" i="1"/>
  <c r="BO924" i="1"/>
  <c r="D925" i="1"/>
  <c r="G925" i="1"/>
  <c r="AG925" i="1" s="1"/>
  <c r="AH925" i="1" s="1"/>
  <c r="N925" i="1"/>
  <c r="AY925" i="1" s="1"/>
  <c r="O925" i="1"/>
  <c r="AI925" i="1"/>
  <c r="AJ925" i="1"/>
  <c r="AL925" i="1"/>
  <c r="AN925" i="1"/>
  <c r="AO925" i="1"/>
  <c r="AP925" i="1"/>
  <c r="AQ925" i="1"/>
  <c r="AR925" i="1"/>
  <c r="AS925" i="1"/>
  <c r="AT925" i="1"/>
  <c r="AU925" i="1"/>
  <c r="AV925" i="1"/>
  <c r="AW925" i="1"/>
  <c r="AX925" i="1"/>
  <c r="AZ925" i="1"/>
  <c r="BB925" i="1"/>
  <c r="BD925" i="1"/>
  <c r="BG925" i="1"/>
  <c r="BH925" i="1"/>
  <c r="BI925" i="1"/>
  <c r="BJ925" i="1"/>
  <c r="BL925" i="1"/>
  <c r="BM925" i="1"/>
  <c r="BN925" i="1"/>
  <c r="BO925" i="1"/>
  <c r="D926" i="1"/>
  <c r="G926" i="1"/>
  <c r="N926" i="1"/>
  <c r="AY926" i="1" s="1"/>
  <c r="O926" i="1"/>
  <c r="AI926" i="1"/>
  <c r="AJ926" i="1"/>
  <c r="AL926" i="1"/>
  <c r="AN926" i="1"/>
  <c r="AO926" i="1"/>
  <c r="AP926" i="1"/>
  <c r="AQ926" i="1"/>
  <c r="AR926" i="1"/>
  <c r="AS926" i="1"/>
  <c r="AT926" i="1"/>
  <c r="AU926" i="1"/>
  <c r="AV926" i="1"/>
  <c r="AW926" i="1"/>
  <c r="AX926" i="1"/>
  <c r="AZ926" i="1"/>
  <c r="BB926" i="1"/>
  <c r="BD926" i="1"/>
  <c r="BG926" i="1"/>
  <c r="BH926" i="1"/>
  <c r="BI926" i="1"/>
  <c r="BJ926" i="1"/>
  <c r="BL926" i="1"/>
  <c r="BM926" i="1"/>
  <c r="BN926" i="1"/>
  <c r="BO926" i="1"/>
  <c r="D927" i="1"/>
  <c r="G927" i="1"/>
  <c r="N927" i="1"/>
  <c r="AY927" i="1" s="1"/>
  <c r="O927" i="1"/>
  <c r="AI927" i="1"/>
  <c r="AJ927" i="1"/>
  <c r="AL927" i="1"/>
  <c r="AN927" i="1"/>
  <c r="AO927" i="1"/>
  <c r="AP927" i="1"/>
  <c r="AQ927" i="1"/>
  <c r="AR927" i="1"/>
  <c r="AS927" i="1"/>
  <c r="AT927" i="1"/>
  <c r="AU927" i="1"/>
  <c r="AV927" i="1"/>
  <c r="AW927" i="1"/>
  <c r="AX927" i="1"/>
  <c r="BB927" i="1"/>
  <c r="BD927" i="1"/>
  <c r="BG927" i="1"/>
  <c r="BH927" i="1"/>
  <c r="BI927" i="1"/>
  <c r="BJ927" i="1"/>
  <c r="BL927" i="1"/>
  <c r="BM927" i="1"/>
  <c r="BN927" i="1"/>
  <c r="BO927" i="1"/>
  <c r="D928" i="1"/>
  <c r="G928" i="1"/>
  <c r="AG928" i="1" s="1"/>
  <c r="AH928" i="1" s="1"/>
  <c r="N928" i="1"/>
  <c r="AY928" i="1" s="1"/>
  <c r="O928" i="1"/>
  <c r="AI928" i="1"/>
  <c r="AJ928" i="1" s="1"/>
  <c r="AL928" i="1"/>
  <c r="AN928" i="1"/>
  <c r="AO928" i="1"/>
  <c r="AP928" i="1"/>
  <c r="AQ928" i="1"/>
  <c r="AR928" i="1"/>
  <c r="AS928" i="1"/>
  <c r="AT928" i="1"/>
  <c r="AU928" i="1"/>
  <c r="AV928" i="1"/>
  <c r="AW928" i="1"/>
  <c r="AX928" i="1"/>
  <c r="AZ928" i="1"/>
  <c r="BB928" i="1"/>
  <c r="BD928" i="1"/>
  <c r="BG928" i="1"/>
  <c r="BH928" i="1"/>
  <c r="BI928" i="1"/>
  <c r="BJ928" i="1"/>
  <c r="BL928" i="1"/>
  <c r="BM928" i="1"/>
  <c r="BN928" i="1"/>
  <c r="BO928" i="1"/>
  <c r="D929" i="1"/>
  <c r="G929" i="1"/>
  <c r="AG929" i="1" s="1"/>
  <c r="AH929" i="1" s="1"/>
  <c r="N929" i="1"/>
  <c r="AY929" i="1" s="1"/>
  <c r="O929" i="1"/>
  <c r="AI929" i="1"/>
  <c r="AJ929" i="1"/>
  <c r="AL929" i="1"/>
  <c r="AN929" i="1"/>
  <c r="AO929" i="1"/>
  <c r="AP929" i="1"/>
  <c r="AQ929" i="1"/>
  <c r="AR929" i="1"/>
  <c r="AS929" i="1"/>
  <c r="AT929" i="1"/>
  <c r="AU929" i="1"/>
  <c r="AV929" i="1"/>
  <c r="AW929" i="1"/>
  <c r="AX929" i="1"/>
  <c r="AZ929" i="1"/>
  <c r="BB929" i="1"/>
  <c r="BD929" i="1"/>
  <c r="BG929" i="1"/>
  <c r="BH929" i="1"/>
  <c r="BI929" i="1"/>
  <c r="BJ929" i="1"/>
  <c r="BL929" i="1"/>
  <c r="BM929" i="1"/>
  <c r="BN929" i="1"/>
  <c r="BO929" i="1"/>
  <c r="D930" i="1"/>
  <c r="G930" i="1"/>
  <c r="N930" i="1"/>
  <c r="AY930" i="1" s="1"/>
  <c r="O930" i="1"/>
  <c r="AI930" i="1"/>
  <c r="AJ930" i="1"/>
  <c r="AL930" i="1"/>
  <c r="AN930" i="1"/>
  <c r="AO930" i="1"/>
  <c r="AP930" i="1"/>
  <c r="AQ930" i="1"/>
  <c r="AR930" i="1"/>
  <c r="AS930" i="1"/>
  <c r="AT930" i="1"/>
  <c r="AU930" i="1"/>
  <c r="AV930" i="1"/>
  <c r="AW930" i="1"/>
  <c r="AX930" i="1"/>
  <c r="AZ930" i="1"/>
  <c r="BB930" i="1"/>
  <c r="BD930" i="1"/>
  <c r="BG930" i="1"/>
  <c r="BH930" i="1"/>
  <c r="BI930" i="1"/>
  <c r="BJ930" i="1"/>
  <c r="BL930" i="1"/>
  <c r="BM930" i="1"/>
  <c r="BN930" i="1"/>
  <c r="BO930" i="1"/>
  <c r="D931" i="1"/>
  <c r="G931" i="1"/>
  <c r="N931" i="1"/>
  <c r="AY931" i="1" s="1"/>
  <c r="O931" i="1"/>
  <c r="AI931" i="1"/>
  <c r="AJ931" i="1"/>
  <c r="AL931" i="1"/>
  <c r="AN931" i="1"/>
  <c r="AO931" i="1"/>
  <c r="AP931" i="1"/>
  <c r="AQ931" i="1"/>
  <c r="AR931" i="1"/>
  <c r="AS931" i="1"/>
  <c r="AT931" i="1"/>
  <c r="AU931" i="1"/>
  <c r="AV931" i="1"/>
  <c r="AW931" i="1"/>
  <c r="AX931" i="1"/>
  <c r="BB931" i="1"/>
  <c r="BD931" i="1"/>
  <c r="BG931" i="1"/>
  <c r="BH931" i="1"/>
  <c r="BI931" i="1"/>
  <c r="BJ931" i="1"/>
  <c r="BL931" i="1"/>
  <c r="BM931" i="1"/>
  <c r="BN931" i="1"/>
  <c r="BO931" i="1"/>
  <c r="D932" i="1"/>
  <c r="G932" i="1"/>
  <c r="AG932" i="1" s="1"/>
  <c r="AH932" i="1" s="1"/>
  <c r="N932" i="1"/>
  <c r="AY932" i="1" s="1"/>
  <c r="O932" i="1"/>
  <c r="AI932" i="1"/>
  <c r="AJ932" i="1" s="1"/>
  <c r="AL932" i="1"/>
  <c r="AN932" i="1"/>
  <c r="AO932" i="1"/>
  <c r="AP932" i="1"/>
  <c r="AQ932" i="1"/>
  <c r="AR932" i="1"/>
  <c r="AS932" i="1"/>
  <c r="AT932" i="1"/>
  <c r="AU932" i="1"/>
  <c r="AV932" i="1"/>
  <c r="AW932" i="1"/>
  <c r="AX932" i="1"/>
  <c r="AZ932" i="1"/>
  <c r="BB932" i="1"/>
  <c r="BD932" i="1"/>
  <c r="BG932" i="1"/>
  <c r="BH932" i="1"/>
  <c r="BI932" i="1"/>
  <c r="BJ932" i="1"/>
  <c r="BL932" i="1"/>
  <c r="BM932" i="1"/>
  <c r="BN932" i="1"/>
  <c r="BO932" i="1"/>
  <c r="D933" i="1"/>
  <c r="G933" i="1"/>
  <c r="AG933" i="1" s="1"/>
  <c r="AH933" i="1" s="1"/>
  <c r="N933" i="1"/>
  <c r="AY933" i="1" s="1"/>
  <c r="O933" i="1"/>
  <c r="AI933" i="1"/>
  <c r="AJ933" i="1"/>
  <c r="AL933" i="1"/>
  <c r="AN933" i="1"/>
  <c r="AO933" i="1"/>
  <c r="AP933" i="1"/>
  <c r="AQ933" i="1"/>
  <c r="AR933" i="1"/>
  <c r="AS933" i="1"/>
  <c r="AT933" i="1"/>
  <c r="AU933" i="1"/>
  <c r="AV933" i="1"/>
  <c r="AW933" i="1"/>
  <c r="AX933" i="1"/>
  <c r="AZ933" i="1"/>
  <c r="BB933" i="1"/>
  <c r="BD933" i="1"/>
  <c r="BG933" i="1"/>
  <c r="BH933" i="1"/>
  <c r="BI933" i="1"/>
  <c r="BJ933" i="1"/>
  <c r="BL933" i="1"/>
  <c r="BM933" i="1"/>
  <c r="BN933" i="1"/>
  <c r="BO933" i="1"/>
  <c r="D934" i="1"/>
  <c r="G934" i="1"/>
  <c r="N934" i="1"/>
  <c r="AY934" i="1" s="1"/>
  <c r="O934" i="1"/>
  <c r="AI934" i="1"/>
  <c r="AJ934" i="1"/>
  <c r="AL934" i="1"/>
  <c r="AN934" i="1"/>
  <c r="AO934" i="1"/>
  <c r="AP934" i="1"/>
  <c r="AQ934" i="1"/>
  <c r="AR934" i="1"/>
  <c r="AS934" i="1"/>
  <c r="AT934" i="1"/>
  <c r="AU934" i="1"/>
  <c r="AV934" i="1"/>
  <c r="AW934" i="1"/>
  <c r="AX934" i="1"/>
  <c r="AZ934" i="1"/>
  <c r="BB934" i="1"/>
  <c r="BD934" i="1"/>
  <c r="BG934" i="1"/>
  <c r="BH934" i="1"/>
  <c r="BI934" i="1"/>
  <c r="BJ934" i="1"/>
  <c r="BL934" i="1"/>
  <c r="BM934" i="1"/>
  <c r="BN934" i="1"/>
  <c r="BO934" i="1"/>
  <c r="D935" i="1"/>
  <c r="G935" i="1"/>
  <c r="N935" i="1"/>
  <c r="AY935" i="1" s="1"/>
  <c r="O935" i="1"/>
  <c r="AI935" i="1"/>
  <c r="AJ935" i="1"/>
  <c r="AL935" i="1"/>
  <c r="AN935" i="1"/>
  <c r="AO935" i="1"/>
  <c r="AP935" i="1"/>
  <c r="AQ935" i="1"/>
  <c r="AR935" i="1"/>
  <c r="AS935" i="1"/>
  <c r="AT935" i="1"/>
  <c r="AU935" i="1"/>
  <c r="AV935" i="1"/>
  <c r="AW935" i="1"/>
  <c r="AX935" i="1"/>
  <c r="BB935" i="1"/>
  <c r="BD935" i="1"/>
  <c r="BG935" i="1"/>
  <c r="BH935" i="1"/>
  <c r="BI935" i="1"/>
  <c r="BJ935" i="1"/>
  <c r="BL935" i="1"/>
  <c r="BM935" i="1"/>
  <c r="BN935" i="1"/>
  <c r="BO935" i="1"/>
  <c r="D936" i="1"/>
  <c r="G936" i="1"/>
  <c r="AG936" i="1" s="1"/>
  <c r="AH936" i="1" s="1"/>
  <c r="N936" i="1"/>
  <c r="AY936" i="1" s="1"/>
  <c r="O936" i="1"/>
  <c r="AI936" i="1"/>
  <c r="AJ936" i="1" s="1"/>
  <c r="AL936" i="1"/>
  <c r="AN936" i="1"/>
  <c r="AO936" i="1"/>
  <c r="AP936" i="1"/>
  <c r="AQ936" i="1"/>
  <c r="AR936" i="1"/>
  <c r="AS936" i="1"/>
  <c r="AT936" i="1"/>
  <c r="AU936" i="1"/>
  <c r="AV936" i="1"/>
  <c r="AW936" i="1"/>
  <c r="AX936" i="1"/>
  <c r="AZ936" i="1"/>
  <c r="BB936" i="1"/>
  <c r="BD936" i="1"/>
  <c r="BG936" i="1"/>
  <c r="BH936" i="1"/>
  <c r="BI936" i="1"/>
  <c r="BJ936" i="1"/>
  <c r="BL936" i="1"/>
  <c r="BM936" i="1"/>
  <c r="BN936" i="1"/>
  <c r="BO936" i="1"/>
  <c r="D937" i="1"/>
  <c r="G937" i="1"/>
  <c r="AG937" i="1" s="1"/>
  <c r="AH937" i="1" s="1"/>
  <c r="N937" i="1"/>
  <c r="AY937" i="1" s="1"/>
  <c r="O937" i="1"/>
  <c r="AI937" i="1"/>
  <c r="AJ937" i="1"/>
  <c r="AL937" i="1"/>
  <c r="AN937" i="1"/>
  <c r="AO937" i="1"/>
  <c r="AP937" i="1"/>
  <c r="AQ937" i="1"/>
  <c r="AR937" i="1"/>
  <c r="AS937" i="1"/>
  <c r="AT937" i="1"/>
  <c r="AU937" i="1"/>
  <c r="AV937" i="1"/>
  <c r="AW937" i="1"/>
  <c r="AX937" i="1"/>
  <c r="AZ937" i="1"/>
  <c r="BB937" i="1"/>
  <c r="BD937" i="1"/>
  <c r="BG937" i="1"/>
  <c r="BH937" i="1"/>
  <c r="BI937" i="1"/>
  <c r="BJ937" i="1"/>
  <c r="BL937" i="1"/>
  <c r="BM937" i="1"/>
  <c r="BN937" i="1"/>
  <c r="BO937" i="1"/>
  <c r="D938" i="1"/>
  <c r="G938" i="1"/>
  <c r="N938" i="1"/>
  <c r="AY938" i="1" s="1"/>
  <c r="O938" i="1"/>
  <c r="AI938" i="1"/>
  <c r="AJ938" i="1"/>
  <c r="AL938" i="1"/>
  <c r="AN938" i="1"/>
  <c r="AO938" i="1"/>
  <c r="AP938" i="1"/>
  <c r="AQ938" i="1"/>
  <c r="AR938" i="1"/>
  <c r="AS938" i="1"/>
  <c r="AT938" i="1"/>
  <c r="AU938" i="1"/>
  <c r="AV938" i="1"/>
  <c r="AW938" i="1"/>
  <c r="AX938" i="1"/>
  <c r="AZ938" i="1"/>
  <c r="BB938" i="1"/>
  <c r="BD938" i="1"/>
  <c r="BG938" i="1"/>
  <c r="BH938" i="1"/>
  <c r="BI938" i="1"/>
  <c r="BJ938" i="1"/>
  <c r="BL938" i="1"/>
  <c r="BM938" i="1"/>
  <c r="BN938" i="1"/>
  <c r="BO938" i="1"/>
  <c r="D939" i="1"/>
  <c r="G939" i="1"/>
  <c r="N939" i="1"/>
  <c r="AY939" i="1" s="1"/>
  <c r="O939" i="1"/>
  <c r="AI939" i="1"/>
  <c r="AJ939" i="1"/>
  <c r="AL939" i="1"/>
  <c r="AN939" i="1"/>
  <c r="AO939" i="1"/>
  <c r="AP939" i="1"/>
  <c r="AQ939" i="1"/>
  <c r="AR939" i="1"/>
  <c r="AS939" i="1"/>
  <c r="AT939" i="1"/>
  <c r="AU939" i="1"/>
  <c r="AV939" i="1"/>
  <c r="AW939" i="1"/>
  <c r="AX939" i="1"/>
  <c r="BB939" i="1"/>
  <c r="BD939" i="1"/>
  <c r="BG939" i="1"/>
  <c r="BH939" i="1"/>
  <c r="BI939" i="1"/>
  <c r="BJ939" i="1"/>
  <c r="BL939" i="1"/>
  <c r="BM939" i="1"/>
  <c r="BN939" i="1"/>
  <c r="BO939" i="1"/>
  <c r="D940" i="1"/>
  <c r="G940" i="1"/>
  <c r="AG940" i="1" s="1"/>
  <c r="AH940" i="1" s="1"/>
  <c r="N940" i="1"/>
  <c r="AY940" i="1" s="1"/>
  <c r="O940" i="1"/>
  <c r="AI940" i="1"/>
  <c r="AJ940" i="1" s="1"/>
  <c r="AL940" i="1"/>
  <c r="AN940" i="1"/>
  <c r="AO940" i="1"/>
  <c r="AP940" i="1"/>
  <c r="AQ940" i="1"/>
  <c r="AR940" i="1"/>
  <c r="AS940" i="1"/>
  <c r="AT940" i="1"/>
  <c r="AU940" i="1"/>
  <c r="AV940" i="1"/>
  <c r="AW940" i="1"/>
  <c r="AX940" i="1"/>
  <c r="AZ940" i="1"/>
  <c r="BB940" i="1"/>
  <c r="BD940" i="1"/>
  <c r="BG940" i="1"/>
  <c r="BH940" i="1"/>
  <c r="BI940" i="1"/>
  <c r="BJ940" i="1"/>
  <c r="BL940" i="1"/>
  <c r="BM940" i="1"/>
  <c r="BN940" i="1"/>
  <c r="BO940" i="1"/>
  <c r="D941" i="1"/>
  <c r="G941" i="1"/>
  <c r="AG941" i="1" s="1"/>
  <c r="AH941" i="1" s="1"/>
  <c r="N941" i="1"/>
  <c r="AY941" i="1" s="1"/>
  <c r="O941" i="1"/>
  <c r="AI941" i="1"/>
  <c r="AJ941" i="1"/>
  <c r="AL941" i="1"/>
  <c r="AN941" i="1"/>
  <c r="AO941" i="1"/>
  <c r="AP941" i="1"/>
  <c r="AQ941" i="1"/>
  <c r="AR941" i="1"/>
  <c r="AS941" i="1"/>
  <c r="AT941" i="1"/>
  <c r="AU941" i="1"/>
  <c r="AV941" i="1"/>
  <c r="AW941" i="1"/>
  <c r="AX941" i="1"/>
  <c r="AZ941" i="1"/>
  <c r="BB941" i="1"/>
  <c r="BD941" i="1"/>
  <c r="BG941" i="1"/>
  <c r="BH941" i="1"/>
  <c r="BI941" i="1"/>
  <c r="BJ941" i="1"/>
  <c r="BL941" i="1"/>
  <c r="BM941" i="1"/>
  <c r="BN941" i="1"/>
  <c r="BO941" i="1"/>
  <c r="D942" i="1"/>
  <c r="G942" i="1"/>
  <c r="N942" i="1"/>
  <c r="AY942" i="1" s="1"/>
  <c r="O942" i="1"/>
  <c r="AI942" i="1"/>
  <c r="AJ942" i="1"/>
  <c r="AL942" i="1"/>
  <c r="AN942" i="1"/>
  <c r="AO942" i="1"/>
  <c r="AP942" i="1"/>
  <c r="AQ942" i="1"/>
  <c r="AR942" i="1"/>
  <c r="AS942" i="1"/>
  <c r="AT942" i="1"/>
  <c r="AU942" i="1"/>
  <c r="AV942" i="1"/>
  <c r="AW942" i="1"/>
  <c r="AX942" i="1"/>
  <c r="AZ942" i="1"/>
  <c r="BB942" i="1"/>
  <c r="BD942" i="1"/>
  <c r="BG942" i="1"/>
  <c r="BH942" i="1"/>
  <c r="BI942" i="1"/>
  <c r="BJ942" i="1"/>
  <c r="BL942" i="1"/>
  <c r="BM942" i="1"/>
  <c r="BN942" i="1"/>
  <c r="BO942" i="1"/>
  <c r="D943" i="1"/>
  <c r="G943" i="1"/>
  <c r="N943" i="1"/>
  <c r="AY943" i="1" s="1"/>
  <c r="O943" i="1"/>
  <c r="AI943" i="1"/>
  <c r="AJ943" i="1"/>
  <c r="AL943" i="1"/>
  <c r="AN943" i="1"/>
  <c r="AO943" i="1"/>
  <c r="AP943" i="1"/>
  <c r="AQ943" i="1"/>
  <c r="AR943" i="1"/>
  <c r="AS943" i="1"/>
  <c r="AT943" i="1"/>
  <c r="AU943" i="1"/>
  <c r="AV943" i="1"/>
  <c r="AW943" i="1"/>
  <c r="AX943" i="1"/>
  <c r="BB943" i="1"/>
  <c r="BD943" i="1"/>
  <c r="BG943" i="1"/>
  <c r="BH943" i="1"/>
  <c r="BI943" i="1"/>
  <c r="BJ943" i="1"/>
  <c r="BL943" i="1"/>
  <c r="BM943" i="1"/>
  <c r="BN943" i="1"/>
  <c r="BO943" i="1"/>
  <c r="D944" i="1"/>
  <c r="G944" i="1"/>
  <c r="AG944" i="1" s="1"/>
  <c r="AH944" i="1" s="1"/>
  <c r="N944" i="1"/>
  <c r="AY944" i="1" s="1"/>
  <c r="O944" i="1"/>
  <c r="AI944" i="1"/>
  <c r="AJ944" i="1" s="1"/>
  <c r="AL944" i="1"/>
  <c r="AN944" i="1"/>
  <c r="AO944" i="1"/>
  <c r="AP944" i="1"/>
  <c r="AQ944" i="1"/>
  <c r="AR944" i="1"/>
  <c r="AS944" i="1"/>
  <c r="AT944" i="1"/>
  <c r="AU944" i="1"/>
  <c r="AV944" i="1"/>
  <c r="AW944" i="1"/>
  <c r="AX944" i="1"/>
  <c r="AZ944" i="1"/>
  <c r="BB944" i="1"/>
  <c r="BD944" i="1"/>
  <c r="BG944" i="1"/>
  <c r="BH944" i="1"/>
  <c r="BI944" i="1"/>
  <c r="BJ944" i="1"/>
  <c r="BL944" i="1"/>
  <c r="BM944" i="1"/>
  <c r="BN944" i="1"/>
  <c r="BO944" i="1"/>
  <c r="D945" i="1"/>
  <c r="G945" i="1"/>
  <c r="AG945" i="1" s="1"/>
  <c r="AH945" i="1" s="1"/>
  <c r="N945" i="1"/>
  <c r="AY945" i="1" s="1"/>
  <c r="O945" i="1"/>
  <c r="AI945" i="1"/>
  <c r="AJ945" i="1"/>
  <c r="AL945" i="1"/>
  <c r="AN945" i="1"/>
  <c r="AO945" i="1"/>
  <c r="AP945" i="1"/>
  <c r="AQ945" i="1"/>
  <c r="AR945" i="1"/>
  <c r="AS945" i="1"/>
  <c r="AT945" i="1"/>
  <c r="AU945" i="1"/>
  <c r="AV945" i="1"/>
  <c r="AW945" i="1"/>
  <c r="AX945" i="1"/>
  <c r="AZ945" i="1"/>
  <c r="BB945" i="1"/>
  <c r="BD945" i="1"/>
  <c r="BG945" i="1"/>
  <c r="BH945" i="1"/>
  <c r="BI945" i="1"/>
  <c r="BJ945" i="1"/>
  <c r="BL945" i="1"/>
  <c r="BM945" i="1"/>
  <c r="BN945" i="1"/>
  <c r="BO945" i="1"/>
  <c r="D946" i="1"/>
  <c r="G946" i="1"/>
  <c r="N946" i="1"/>
  <c r="AY946" i="1" s="1"/>
  <c r="O946" i="1"/>
  <c r="AI946" i="1"/>
  <c r="AJ946" i="1"/>
  <c r="AL946" i="1"/>
  <c r="AN946" i="1"/>
  <c r="AO946" i="1"/>
  <c r="AP946" i="1"/>
  <c r="AQ946" i="1"/>
  <c r="AR946" i="1"/>
  <c r="AS946" i="1"/>
  <c r="AT946" i="1"/>
  <c r="AU946" i="1"/>
  <c r="AV946" i="1"/>
  <c r="AW946" i="1"/>
  <c r="AX946" i="1"/>
  <c r="AZ946" i="1"/>
  <c r="BB946" i="1"/>
  <c r="BD946" i="1"/>
  <c r="BG946" i="1"/>
  <c r="BH946" i="1"/>
  <c r="BI946" i="1"/>
  <c r="BJ946" i="1"/>
  <c r="BL946" i="1"/>
  <c r="BM946" i="1"/>
  <c r="BN946" i="1"/>
  <c r="BO946" i="1"/>
  <c r="D947" i="1"/>
  <c r="G947" i="1"/>
  <c r="N947" i="1"/>
  <c r="AY947" i="1" s="1"/>
  <c r="O947" i="1"/>
  <c r="AI947" i="1"/>
  <c r="AJ947" i="1"/>
  <c r="AL947" i="1"/>
  <c r="AN947" i="1"/>
  <c r="AO947" i="1"/>
  <c r="AP947" i="1"/>
  <c r="AQ947" i="1"/>
  <c r="AR947" i="1"/>
  <c r="AS947" i="1"/>
  <c r="AT947" i="1"/>
  <c r="AU947" i="1"/>
  <c r="AV947" i="1"/>
  <c r="AW947" i="1"/>
  <c r="AX947" i="1"/>
  <c r="BB947" i="1"/>
  <c r="BD947" i="1"/>
  <c r="BG947" i="1"/>
  <c r="BH947" i="1"/>
  <c r="BI947" i="1"/>
  <c r="BJ947" i="1"/>
  <c r="BL947" i="1"/>
  <c r="BM947" i="1"/>
  <c r="BN947" i="1"/>
  <c r="BO947" i="1"/>
  <c r="D948" i="1"/>
  <c r="G948" i="1"/>
  <c r="AG948" i="1" s="1"/>
  <c r="AH948" i="1" s="1"/>
  <c r="N948" i="1"/>
  <c r="AY948" i="1" s="1"/>
  <c r="O948" i="1"/>
  <c r="AI948" i="1"/>
  <c r="AJ948" i="1" s="1"/>
  <c r="AL948" i="1"/>
  <c r="AN948" i="1"/>
  <c r="AO948" i="1"/>
  <c r="AP948" i="1"/>
  <c r="AQ948" i="1"/>
  <c r="AR948" i="1"/>
  <c r="AS948" i="1"/>
  <c r="AT948" i="1"/>
  <c r="AU948" i="1"/>
  <c r="AV948" i="1"/>
  <c r="AW948" i="1"/>
  <c r="AX948" i="1"/>
  <c r="AZ948" i="1"/>
  <c r="BB948" i="1"/>
  <c r="BD948" i="1"/>
  <c r="BG948" i="1"/>
  <c r="BH948" i="1"/>
  <c r="BI948" i="1"/>
  <c r="BJ948" i="1"/>
  <c r="BL948" i="1"/>
  <c r="BM948" i="1"/>
  <c r="BN948" i="1"/>
  <c r="BO948" i="1"/>
  <c r="D949" i="1"/>
  <c r="G949" i="1"/>
  <c r="AG949" i="1" s="1"/>
  <c r="AH949" i="1" s="1"/>
  <c r="N949" i="1"/>
  <c r="AY949" i="1" s="1"/>
  <c r="O949" i="1"/>
  <c r="AI949" i="1"/>
  <c r="AJ949" i="1"/>
  <c r="AL949" i="1"/>
  <c r="AN949" i="1"/>
  <c r="AO949" i="1"/>
  <c r="AP949" i="1"/>
  <c r="AQ949" i="1"/>
  <c r="AR949" i="1"/>
  <c r="AS949" i="1"/>
  <c r="AT949" i="1"/>
  <c r="AU949" i="1"/>
  <c r="AV949" i="1"/>
  <c r="AW949" i="1"/>
  <c r="AX949" i="1"/>
  <c r="AZ949" i="1"/>
  <c r="BB949" i="1"/>
  <c r="BD949" i="1"/>
  <c r="BG949" i="1"/>
  <c r="BH949" i="1"/>
  <c r="BI949" i="1"/>
  <c r="BJ949" i="1"/>
  <c r="BL949" i="1"/>
  <c r="BM949" i="1"/>
  <c r="BN949" i="1"/>
  <c r="BO949" i="1"/>
  <c r="AL951" i="1"/>
  <c r="AN951" i="1"/>
  <c r="AN953" i="1"/>
  <c r="AN955" i="1"/>
  <c r="BA957" i="1"/>
  <c r="BB957" i="1"/>
  <c r="AV958" i="1"/>
  <c r="P959" i="1"/>
  <c r="BB959" i="1" s="1"/>
  <c r="AV959" i="1"/>
  <c r="BA959" i="1"/>
  <c r="P960" i="1"/>
  <c r="BB960" i="1" s="1"/>
  <c r="AV960" i="1"/>
  <c r="BA960" i="1"/>
  <c r="O961" i="1"/>
  <c r="BA961" i="1" s="1"/>
  <c r="AV961" i="1"/>
  <c r="AV962" i="1"/>
  <c r="P963" i="1"/>
  <c r="AV963" i="1"/>
  <c r="BA963" i="1"/>
  <c r="BB963" i="1"/>
  <c r="AV964" i="1"/>
  <c r="AV966" i="1"/>
  <c r="P967" i="1"/>
  <c r="BB967" i="1" s="1"/>
  <c r="AV967" i="1"/>
  <c r="BA967" i="1"/>
  <c r="AV968" i="1"/>
  <c r="P969" i="1"/>
  <c r="AV969" i="1"/>
  <c r="BA969" i="1"/>
  <c r="BB969" i="1"/>
  <c r="AV970" i="1"/>
  <c r="AV972" i="1"/>
  <c r="O973" i="1"/>
  <c r="BA973" i="1" s="1"/>
  <c r="AV973" i="1"/>
  <c r="AV974" i="1"/>
  <c r="AX977" i="1"/>
  <c r="AX978" i="1"/>
  <c r="AX980" i="1"/>
  <c r="AX981" i="1"/>
  <c r="AX983" i="1"/>
  <c r="AX984" i="1"/>
  <c r="AN987" i="1"/>
  <c r="AN988" i="1"/>
  <c r="AO988" i="1"/>
  <c r="AP988" i="1"/>
  <c r="AQ988" i="1"/>
  <c r="AR988" i="1"/>
  <c r="AS988" i="1"/>
  <c r="AT988" i="1"/>
  <c r="AU988" i="1"/>
  <c r="AV988" i="1"/>
  <c r="AW988" i="1"/>
  <c r="AX988" i="1"/>
  <c r="AY988" i="1"/>
  <c r="AZ988" i="1"/>
  <c r="BA988" i="1"/>
  <c r="BB988" i="1"/>
  <c r="BC988" i="1"/>
  <c r="BD988" i="1"/>
  <c r="BE988" i="1"/>
  <c r="BG988" i="1"/>
  <c r="BH988" i="1"/>
  <c r="BI988" i="1"/>
  <c r="BJ988" i="1"/>
  <c r="BL988" i="1"/>
  <c r="BM988" i="1"/>
  <c r="BN988" i="1"/>
  <c r="BO988" i="1"/>
  <c r="AN990" i="1"/>
  <c r="D991" i="1"/>
  <c r="G991" i="1" s="1"/>
  <c r="O991" i="1"/>
  <c r="AI991" i="1"/>
  <c r="AJ991" i="1" s="1"/>
  <c r="AK991" i="1"/>
  <c r="AN991" i="1"/>
  <c r="AO991" i="1"/>
  <c r="AP991" i="1"/>
  <c r="AQ991" i="1"/>
  <c r="AS991" i="1"/>
  <c r="AT991" i="1"/>
  <c r="AU991" i="1"/>
  <c r="AV991" i="1"/>
  <c r="AW991" i="1"/>
  <c r="AX991" i="1"/>
  <c r="AZ991" i="1"/>
  <c r="BB991" i="1"/>
  <c r="BD991" i="1"/>
  <c r="BG991" i="1"/>
  <c r="BH991" i="1"/>
  <c r="BI991" i="1"/>
  <c r="BJ991" i="1"/>
  <c r="BL991" i="1"/>
  <c r="BM991" i="1"/>
  <c r="BN991" i="1"/>
  <c r="BO991" i="1"/>
  <c r="D992" i="1"/>
  <c r="G992" i="1"/>
  <c r="N992" i="1"/>
  <c r="AY992" i="1" s="1"/>
  <c r="O992" i="1"/>
  <c r="AI992" i="1"/>
  <c r="AJ992" i="1" s="1"/>
  <c r="AN992" i="1"/>
  <c r="AO992" i="1"/>
  <c r="AP992" i="1"/>
  <c r="AQ992" i="1"/>
  <c r="AR992" i="1"/>
  <c r="AS992" i="1"/>
  <c r="AT992" i="1"/>
  <c r="AU992" i="1"/>
  <c r="AV992" i="1"/>
  <c r="AW992" i="1"/>
  <c r="AX992" i="1"/>
  <c r="BB992" i="1"/>
  <c r="BD992" i="1"/>
  <c r="BG992" i="1"/>
  <c r="BH992" i="1"/>
  <c r="BI992" i="1"/>
  <c r="BJ992" i="1"/>
  <c r="BL992" i="1"/>
  <c r="BM992" i="1"/>
  <c r="BN992" i="1"/>
  <c r="BO992" i="1"/>
  <c r="D993" i="1"/>
  <c r="G993" i="1" s="1"/>
  <c r="AR993" i="1" s="1"/>
  <c r="N993" i="1"/>
  <c r="AY993" i="1" s="1"/>
  <c r="O993" i="1"/>
  <c r="AZ993" i="1" s="1"/>
  <c r="AI993" i="1"/>
  <c r="AJ993" i="1"/>
  <c r="AK993" i="1"/>
  <c r="AN993" i="1"/>
  <c r="AP993" i="1"/>
  <c r="AQ993" i="1"/>
  <c r="AS993" i="1"/>
  <c r="AT993" i="1"/>
  <c r="AU993" i="1"/>
  <c r="AV993" i="1"/>
  <c r="AW993" i="1"/>
  <c r="AX993" i="1"/>
  <c r="BB993" i="1"/>
  <c r="BD993" i="1"/>
  <c r="BG993" i="1"/>
  <c r="BH993" i="1"/>
  <c r="BI993" i="1"/>
  <c r="BJ993" i="1"/>
  <c r="BL993" i="1"/>
  <c r="BM993" i="1"/>
  <c r="BN993" i="1"/>
  <c r="BO993" i="1"/>
  <c r="D994" i="1"/>
  <c r="AO994" i="1" s="1"/>
  <c r="O994" i="1"/>
  <c r="AI994" i="1"/>
  <c r="AJ994" i="1"/>
  <c r="AK994" i="1"/>
  <c r="AN994" i="1"/>
  <c r="AP994" i="1"/>
  <c r="AQ994" i="1"/>
  <c r="AS994" i="1"/>
  <c r="AT994" i="1"/>
  <c r="AU994" i="1"/>
  <c r="AV994" i="1"/>
  <c r="AW994" i="1"/>
  <c r="AX994" i="1"/>
  <c r="AZ994" i="1"/>
  <c r="BB994" i="1"/>
  <c r="BD994" i="1"/>
  <c r="BG994" i="1"/>
  <c r="BH994" i="1"/>
  <c r="BI994" i="1"/>
  <c r="BJ994" i="1"/>
  <c r="BL994" i="1"/>
  <c r="BM994" i="1"/>
  <c r="BN994" i="1"/>
  <c r="BO994" i="1"/>
  <c r="D995" i="1"/>
  <c r="G995" i="1"/>
  <c r="N995" i="1" s="1"/>
  <c r="O995" i="1"/>
  <c r="AI995" i="1"/>
  <c r="AJ995" i="1" s="1"/>
  <c r="AK995" i="1"/>
  <c r="AN995" i="1"/>
  <c r="AO995" i="1"/>
  <c r="AP995" i="1"/>
  <c r="AQ995" i="1"/>
  <c r="AS995" i="1"/>
  <c r="AT995" i="1"/>
  <c r="AU995" i="1"/>
  <c r="AV995" i="1"/>
  <c r="AW995" i="1"/>
  <c r="AX995" i="1"/>
  <c r="AZ995" i="1"/>
  <c r="BB995" i="1"/>
  <c r="BD995" i="1"/>
  <c r="BG995" i="1"/>
  <c r="BH995" i="1"/>
  <c r="BI995" i="1"/>
  <c r="BJ995" i="1"/>
  <c r="BL995" i="1"/>
  <c r="BM995" i="1"/>
  <c r="BN995" i="1"/>
  <c r="BO995" i="1"/>
  <c r="D996" i="1"/>
  <c r="G996" i="1"/>
  <c r="N996" i="1" s="1"/>
  <c r="AY996" i="1" s="1"/>
  <c r="O996" i="1"/>
  <c r="AI996" i="1"/>
  <c r="AJ996" i="1" s="1"/>
  <c r="AN996" i="1"/>
  <c r="AO996" i="1"/>
  <c r="AP996" i="1"/>
  <c r="AQ996" i="1"/>
  <c r="AS996" i="1"/>
  <c r="AT996" i="1"/>
  <c r="AU996" i="1"/>
  <c r="AV996" i="1"/>
  <c r="AW996" i="1"/>
  <c r="AX996" i="1"/>
  <c r="BB996" i="1"/>
  <c r="BD996" i="1"/>
  <c r="BG996" i="1"/>
  <c r="BH996" i="1"/>
  <c r="BI996" i="1"/>
  <c r="BJ996" i="1"/>
  <c r="BL996" i="1"/>
  <c r="BM996" i="1"/>
  <c r="BN996" i="1"/>
  <c r="BO996" i="1"/>
  <c r="D997" i="1"/>
  <c r="G997" i="1" s="1"/>
  <c r="AR997" i="1" s="1"/>
  <c r="N997" i="1"/>
  <c r="AY997" i="1" s="1"/>
  <c r="O997" i="1"/>
  <c r="AZ997" i="1" s="1"/>
  <c r="AG997" i="1"/>
  <c r="AH997" i="1" s="1"/>
  <c r="AI997" i="1"/>
  <c r="AJ997" i="1" s="1"/>
  <c r="AN997" i="1"/>
  <c r="AO997" i="1"/>
  <c r="AP997" i="1"/>
  <c r="AQ997" i="1"/>
  <c r="AS997" i="1"/>
  <c r="AT997" i="1"/>
  <c r="AU997" i="1"/>
  <c r="AV997" i="1"/>
  <c r="AW997" i="1"/>
  <c r="AX997" i="1"/>
  <c r="BB997" i="1"/>
  <c r="BD997" i="1"/>
  <c r="BG997" i="1"/>
  <c r="BH997" i="1"/>
  <c r="BI997" i="1"/>
  <c r="BJ997" i="1"/>
  <c r="BL997" i="1"/>
  <c r="BM997" i="1"/>
  <c r="BN997" i="1"/>
  <c r="BO997" i="1"/>
  <c r="D998" i="1"/>
  <c r="AO998" i="1" s="1"/>
  <c r="O998" i="1"/>
  <c r="AI998" i="1"/>
  <c r="AJ998" i="1"/>
  <c r="AK998" i="1"/>
  <c r="AN998" i="1"/>
  <c r="AP998" i="1"/>
  <c r="AQ998" i="1"/>
  <c r="AS998" i="1"/>
  <c r="AT998" i="1"/>
  <c r="AU998" i="1"/>
  <c r="AV998" i="1"/>
  <c r="AW998" i="1"/>
  <c r="AX998" i="1"/>
  <c r="AZ998" i="1"/>
  <c r="BB998" i="1"/>
  <c r="BD998" i="1"/>
  <c r="BG998" i="1"/>
  <c r="BH998" i="1"/>
  <c r="BI998" i="1"/>
  <c r="BJ998" i="1"/>
  <c r="BL998" i="1"/>
  <c r="BM998" i="1"/>
  <c r="BN998" i="1"/>
  <c r="BO998" i="1"/>
  <c r="D999" i="1"/>
  <c r="G999" i="1"/>
  <c r="AG999" i="1" s="1"/>
  <c r="AH999" i="1" s="1"/>
  <c r="N999" i="1"/>
  <c r="P999" i="1" s="1"/>
  <c r="O999" i="1"/>
  <c r="AI999" i="1"/>
  <c r="AJ999" i="1" s="1"/>
  <c r="AK999" i="1"/>
  <c r="AN999" i="1"/>
  <c r="AO999" i="1"/>
  <c r="AP999" i="1"/>
  <c r="AQ999" i="1"/>
  <c r="AS999" i="1"/>
  <c r="AT999" i="1"/>
  <c r="AU999" i="1"/>
  <c r="AV999" i="1"/>
  <c r="AW999" i="1"/>
  <c r="AX999" i="1"/>
  <c r="AY999" i="1"/>
  <c r="AZ999" i="1"/>
  <c r="BB999" i="1"/>
  <c r="BD999" i="1"/>
  <c r="BG999" i="1"/>
  <c r="BH999" i="1"/>
  <c r="BI999" i="1"/>
  <c r="BJ999" i="1"/>
  <c r="BL999" i="1"/>
  <c r="BM999" i="1"/>
  <c r="BN999" i="1"/>
  <c r="BO999" i="1"/>
  <c r="D1000" i="1"/>
  <c r="G1000" i="1"/>
  <c r="AG1000" i="1" s="1"/>
  <c r="AH1000" i="1" s="1"/>
  <c r="O1000" i="1"/>
  <c r="AI1000" i="1"/>
  <c r="AJ1000" i="1"/>
  <c r="AN1000" i="1"/>
  <c r="AO1000" i="1"/>
  <c r="AP1000" i="1"/>
  <c r="AQ1000" i="1"/>
  <c r="AS1000" i="1"/>
  <c r="AT1000" i="1"/>
  <c r="AU1000" i="1"/>
  <c r="AV1000" i="1"/>
  <c r="AW1000" i="1"/>
  <c r="AX1000" i="1"/>
  <c r="AZ1000" i="1"/>
  <c r="BB1000" i="1"/>
  <c r="BD1000" i="1"/>
  <c r="BG1000" i="1"/>
  <c r="BH1000" i="1"/>
  <c r="BI1000" i="1"/>
  <c r="BJ1000" i="1"/>
  <c r="BL1000" i="1"/>
  <c r="BM1000" i="1"/>
  <c r="BN1000" i="1"/>
  <c r="BO1000" i="1"/>
  <c r="AN1002" i="1"/>
  <c r="BA1006" i="1"/>
  <c r="BB1006" i="1"/>
  <c r="AV1007" i="1"/>
  <c r="P1008" i="1"/>
  <c r="BB1008" i="1" s="1"/>
  <c r="BG1008" i="1" s="1"/>
  <c r="AV1008" i="1"/>
  <c r="BA1008" i="1"/>
  <c r="AV1009" i="1"/>
  <c r="P1010" i="1"/>
  <c r="BB1010" i="1" s="1"/>
  <c r="BG1010" i="1" s="1"/>
  <c r="AV1010" i="1"/>
  <c r="BA1010" i="1"/>
  <c r="AV1011" i="1"/>
  <c r="AX1015" i="1"/>
  <c r="AX1016" i="1"/>
  <c r="AN1019" i="1"/>
  <c r="AN1020" i="1"/>
  <c r="AO1020" i="1"/>
  <c r="AP1020" i="1"/>
  <c r="AQ1020" i="1"/>
  <c r="AR1020" i="1"/>
  <c r="AS1020" i="1"/>
  <c r="AT1020" i="1"/>
  <c r="AU1020" i="1"/>
  <c r="AV1020" i="1"/>
  <c r="AW1020" i="1"/>
  <c r="AX1020" i="1"/>
  <c r="AY1020" i="1"/>
  <c r="AZ1020" i="1"/>
  <c r="BA1020" i="1"/>
  <c r="BB1020" i="1"/>
  <c r="BC1020" i="1"/>
  <c r="BD1020" i="1"/>
  <c r="BE1020" i="1"/>
  <c r="BG1020" i="1"/>
  <c r="BH1020" i="1"/>
  <c r="BI1020" i="1"/>
  <c r="BJ1020" i="1"/>
  <c r="BL1020" i="1"/>
  <c r="BM1020" i="1"/>
  <c r="BN1020" i="1"/>
  <c r="BO1020" i="1"/>
  <c r="AN1022" i="1"/>
  <c r="D1023" i="1"/>
  <c r="E1023" i="1"/>
  <c r="G1023" i="1"/>
  <c r="N1023" i="1" s="1"/>
  <c r="AY1023" i="1" s="1"/>
  <c r="O1023" i="1"/>
  <c r="W1023" i="1"/>
  <c r="AI1023" i="1"/>
  <c r="AJ1023" i="1" s="1"/>
  <c r="AK1023" i="1"/>
  <c r="AN1023" i="1"/>
  <c r="AO1023" i="1"/>
  <c r="AP1023" i="1"/>
  <c r="AQ1023" i="1"/>
  <c r="AS1023" i="1"/>
  <c r="AT1023" i="1"/>
  <c r="AU1023" i="1"/>
  <c r="AV1023" i="1"/>
  <c r="AW1023" i="1"/>
  <c r="AX1023" i="1"/>
  <c r="AZ1023" i="1"/>
  <c r="BB1023" i="1"/>
  <c r="BD1023" i="1"/>
  <c r="BG1023" i="1"/>
  <c r="BH1023" i="1"/>
  <c r="BI1023" i="1"/>
  <c r="BJ1023" i="1"/>
  <c r="BL1023" i="1"/>
  <c r="BM1023" i="1"/>
  <c r="BN1023" i="1"/>
  <c r="BO1023" i="1"/>
  <c r="D1024" i="1"/>
  <c r="G1024" i="1"/>
  <c r="N1024" i="1" s="1"/>
  <c r="AY1024" i="1" s="1"/>
  <c r="O1024" i="1"/>
  <c r="AI1024" i="1"/>
  <c r="AJ1024" i="1"/>
  <c r="AN1024" i="1"/>
  <c r="AO1024" i="1"/>
  <c r="AP1024" i="1"/>
  <c r="AQ1024" i="1"/>
  <c r="AS1024" i="1"/>
  <c r="AT1024" i="1"/>
  <c r="AU1024" i="1"/>
  <c r="AV1024" i="1"/>
  <c r="AW1024" i="1"/>
  <c r="AX1024" i="1"/>
  <c r="BB1024" i="1"/>
  <c r="BD1024" i="1"/>
  <c r="BG1024" i="1"/>
  <c r="BH1024" i="1"/>
  <c r="BI1024" i="1"/>
  <c r="BJ1024" i="1"/>
  <c r="BL1024" i="1"/>
  <c r="BM1024" i="1"/>
  <c r="BN1024" i="1"/>
  <c r="BO1024" i="1"/>
  <c r="D1025" i="1"/>
  <c r="G1025" i="1" s="1"/>
  <c r="E1025" i="1"/>
  <c r="O1025" i="1"/>
  <c r="W1025" i="1"/>
  <c r="AI1025" i="1"/>
  <c r="AJ1025" i="1" s="1"/>
  <c r="AK1025" i="1"/>
  <c r="AN1025" i="1"/>
  <c r="AO1025" i="1"/>
  <c r="AP1025" i="1"/>
  <c r="AQ1025" i="1"/>
  <c r="AS1025" i="1"/>
  <c r="AT1025" i="1"/>
  <c r="AU1025" i="1"/>
  <c r="AV1025" i="1"/>
  <c r="AW1025" i="1"/>
  <c r="AX1025" i="1"/>
  <c r="AZ1025" i="1"/>
  <c r="BB1025" i="1"/>
  <c r="BD1025" i="1"/>
  <c r="BG1025" i="1"/>
  <c r="BH1025" i="1"/>
  <c r="BI1025" i="1"/>
  <c r="BJ1025" i="1"/>
  <c r="BL1025" i="1"/>
  <c r="BM1025" i="1"/>
  <c r="BN1025" i="1"/>
  <c r="BO1025" i="1"/>
  <c r="D1026" i="1"/>
  <c r="G1026" i="1"/>
  <c r="AG1026" i="1" s="1"/>
  <c r="AH1026" i="1" s="1"/>
  <c r="N1026" i="1"/>
  <c r="AY1026" i="1" s="1"/>
  <c r="O1026" i="1"/>
  <c r="AI1026" i="1"/>
  <c r="AJ1026" i="1"/>
  <c r="AN1026" i="1"/>
  <c r="AO1026" i="1"/>
  <c r="AP1026" i="1"/>
  <c r="AQ1026" i="1"/>
  <c r="AR1026" i="1"/>
  <c r="AS1026" i="1"/>
  <c r="AT1026" i="1"/>
  <c r="AU1026" i="1"/>
  <c r="AV1026" i="1"/>
  <c r="AW1026" i="1"/>
  <c r="AX1026" i="1"/>
  <c r="AZ1026" i="1"/>
  <c r="BB1026" i="1"/>
  <c r="BD1026" i="1"/>
  <c r="BG1026" i="1"/>
  <c r="BH1026" i="1"/>
  <c r="BI1026" i="1"/>
  <c r="BJ1026" i="1"/>
  <c r="BL1026" i="1"/>
  <c r="BM1026" i="1"/>
  <c r="BN1026" i="1"/>
  <c r="BO1026" i="1"/>
  <c r="D1027" i="1"/>
  <c r="G1027" i="1" s="1"/>
  <c r="AG1027" i="1" s="1"/>
  <c r="AH1027" i="1" s="1"/>
  <c r="O1027" i="1"/>
  <c r="AF1027" i="1"/>
  <c r="AI1027" i="1"/>
  <c r="AJ1027" i="1" s="1"/>
  <c r="AJ1048" i="1" s="1"/>
  <c r="P1053" i="1" s="1"/>
  <c r="AN1027" i="1"/>
  <c r="AP1027" i="1"/>
  <c r="AQ1027" i="1"/>
  <c r="AS1027" i="1"/>
  <c r="AT1027" i="1"/>
  <c r="AU1027" i="1"/>
  <c r="AV1027" i="1"/>
  <c r="AW1027" i="1"/>
  <c r="AX1027" i="1"/>
  <c r="AZ1027" i="1"/>
  <c r="BB1027" i="1"/>
  <c r="BD1027" i="1"/>
  <c r="BG1027" i="1"/>
  <c r="BH1027" i="1"/>
  <c r="BI1027" i="1"/>
  <c r="BJ1027" i="1"/>
  <c r="BL1027" i="1"/>
  <c r="BM1027" i="1"/>
  <c r="BN1027" i="1"/>
  <c r="BO1027" i="1"/>
  <c r="D1028" i="1"/>
  <c r="G1028" i="1" s="1"/>
  <c r="AR1028" i="1" s="1"/>
  <c r="N1028" i="1"/>
  <c r="O1028" i="1"/>
  <c r="AZ1028" i="1" s="1"/>
  <c r="AG1028" i="1"/>
  <c r="AH1028" i="1" s="1"/>
  <c r="AI1028" i="1"/>
  <c r="AJ1028" i="1"/>
  <c r="AN1028" i="1"/>
  <c r="AO1028" i="1"/>
  <c r="AP1028" i="1"/>
  <c r="AQ1028" i="1"/>
  <c r="AS1028" i="1"/>
  <c r="AT1028" i="1"/>
  <c r="AU1028" i="1"/>
  <c r="AV1028" i="1"/>
  <c r="AW1028" i="1"/>
  <c r="AX1028" i="1"/>
  <c r="AY1028" i="1"/>
  <c r="BB1028" i="1"/>
  <c r="BD1028" i="1"/>
  <c r="BG1028" i="1"/>
  <c r="BH1028" i="1"/>
  <c r="BI1028" i="1"/>
  <c r="BJ1028" i="1"/>
  <c r="BL1028" i="1"/>
  <c r="BM1028" i="1"/>
  <c r="BN1028" i="1"/>
  <c r="BO1028" i="1"/>
  <c r="D1029" i="1"/>
  <c r="G1029" i="1" s="1"/>
  <c r="O1029" i="1"/>
  <c r="AZ1029" i="1" s="1"/>
  <c r="AF1029" i="1"/>
  <c r="BD1029" i="1" s="1"/>
  <c r="AI1029" i="1"/>
  <c r="AJ1029" i="1" s="1"/>
  <c r="AK1029" i="1"/>
  <c r="AN1029" i="1"/>
  <c r="AO1029" i="1"/>
  <c r="AP1029" i="1"/>
  <c r="AQ1029" i="1"/>
  <c r="AS1029" i="1"/>
  <c r="AT1029" i="1"/>
  <c r="AU1029" i="1"/>
  <c r="AV1029" i="1"/>
  <c r="AW1029" i="1"/>
  <c r="AX1029" i="1"/>
  <c r="BB1029" i="1"/>
  <c r="BG1029" i="1"/>
  <c r="BH1029" i="1"/>
  <c r="BI1029" i="1"/>
  <c r="BJ1029" i="1"/>
  <c r="BL1029" i="1"/>
  <c r="BM1029" i="1"/>
  <c r="BN1029" i="1"/>
  <c r="BO1029" i="1"/>
  <c r="D1030" i="1"/>
  <c r="G1030" i="1" s="1"/>
  <c r="O1030" i="1"/>
  <c r="AZ1030" i="1" s="1"/>
  <c r="AF1030" i="1"/>
  <c r="BD1030" i="1" s="1"/>
  <c r="AI1030" i="1"/>
  <c r="AJ1030" i="1" s="1"/>
  <c r="AN1030" i="1"/>
  <c r="AO1030" i="1"/>
  <c r="AP1030" i="1"/>
  <c r="AQ1030" i="1"/>
  <c r="AS1030" i="1"/>
  <c r="AT1030" i="1"/>
  <c r="AU1030" i="1"/>
  <c r="AV1030" i="1"/>
  <c r="AW1030" i="1"/>
  <c r="AX1030" i="1"/>
  <c r="BB1030" i="1"/>
  <c r="BG1030" i="1"/>
  <c r="BH1030" i="1"/>
  <c r="BI1030" i="1"/>
  <c r="BJ1030" i="1"/>
  <c r="BL1030" i="1"/>
  <c r="BM1030" i="1"/>
  <c r="BN1030" i="1"/>
  <c r="BO1030" i="1"/>
  <c r="D1031" i="1"/>
  <c r="G1031" i="1" s="1"/>
  <c r="O1031" i="1"/>
  <c r="AZ1031" i="1" s="1"/>
  <c r="AF1031" i="1"/>
  <c r="BD1031" i="1" s="1"/>
  <c r="AI1031" i="1"/>
  <c r="AJ1031" i="1" s="1"/>
  <c r="AK1031" i="1"/>
  <c r="AN1031" i="1"/>
  <c r="AO1031" i="1"/>
  <c r="AP1031" i="1"/>
  <c r="AQ1031" i="1"/>
  <c r="AS1031" i="1"/>
  <c r="AT1031" i="1"/>
  <c r="AU1031" i="1"/>
  <c r="AV1031" i="1"/>
  <c r="AW1031" i="1"/>
  <c r="AX1031" i="1"/>
  <c r="BB1031" i="1"/>
  <c r="BG1031" i="1"/>
  <c r="BH1031" i="1"/>
  <c r="BI1031" i="1"/>
  <c r="BJ1031" i="1"/>
  <c r="BL1031" i="1"/>
  <c r="BM1031" i="1"/>
  <c r="BN1031" i="1"/>
  <c r="BO1031" i="1"/>
  <c r="D1032" i="1"/>
  <c r="G1032" i="1" s="1"/>
  <c r="O1032" i="1"/>
  <c r="AZ1032" i="1" s="1"/>
  <c r="AF1032" i="1"/>
  <c r="BD1032" i="1" s="1"/>
  <c r="AI1032" i="1"/>
  <c r="AJ1032" i="1" s="1"/>
  <c r="AK1032" i="1"/>
  <c r="AN1032" i="1"/>
  <c r="AO1032" i="1"/>
  <c r="AP1032" i="1"/>
  <c r="AQ1032" i="1"/>
  <c r="AS1032" i="1"/>
  <c r="AT1032" i="1"/>
  <c r="AU1032" i="1"/>
  <c r="AV1032" i="1"/>
  <c r="AW1032" i="1"/>
  <c r="AX1032" i="1"/>
  <c r="BB1032" i="1"/>
  <c r="BG1032" i="1"/>
  <c r="BH1032" i="1"/>
  <c r="BI1032" i="1"/>
  <c r="BJ1032" i="1"/>
  <c r="BL1032" i="1"/>
  <c r="BM1032" i="1"/>
  <c r="BN1032" i="1"/>
  <c r="BO1032" i="1"/>
  <c r="D1033" i="1"/>
  <c r="G1033" i="1" s="1"/>
  <c r="O1033" i="1"/>
  <c r="AZ1033" i="1" s="1"/>
  <c r="AF1033" i="1"/>
  <c r="BD1033" i="1" s="1"/>
  <c r="AI1033" i="1"/>
  <c r="AJ1033" i="1" s="1"/>
  <c r="AK1033" i="1"/>
  <c r="AN1033" i="1"/>
  <c r="AO1033" i="1"/>
  <c r="AP1033" i="1"/>
  <c r="AQ1033" i="1"/>
  <c r="AS1033" i="1"/>
  <c r="AT1033" i="1"/>
  <c r="AU1033" i="1"/>
  <c r="AV1033" i="1"/>
  <c r="AW1033" i="1"/>
  <c r="AX1033" i="1"/>
  <c r="BB1033" i="1"/>
  <c r="BG1033" i="1"/>
  <c r="BH1033" i="1"/>
  <c r="BI1033" i="1"/>
  <c r="BJ1033" i="1"/>
  <c r="BL1033" i="1"/>
  <c r="BM1033" i="1"/>
  <c r="BN1033" i="1"/>
  <c r="BO1033" i="1"/>
  <c r="D1034" i="1"/>
  <c r="G1034" i="1" s="1"/>
  <c r="O1034" i="1"/>
  <c r="AZ1034" i="1" s="1"/>
  <c r="AF1034" i="1"/>
  <c r="BD1034" i="1" s="1"/>
  <c r="AI1034" i="1"/>
  <c r="AJ1034" i="1" s="1"/>
  <c r="AK1034" i="1"/>
  <c r="AN1034" i="1"/>
  <c r="AO1034" i="1"/>
  <c r="AP1034" i="1"/>
  <c r="AQ1034" i="1"/>
  <c r="AS1034" i="1"/>
  <c r="AT1034" i="1"/>
  <c r="AU1034" i="1"/>
  <c r="AV1034" i="1"/>
  <c r="AW1034" i="1"/>
  <c r="AX1034" i="1"/>
  <c r="BB1034" i="1"/>
  <c r="BG1034" i="1"/>
  <c r="BH1034" i="1"/>
  <c r="BI1034" i="1"/>
  <c r="BJ1034" i="1"/>
  <c r="BL1034" i="1"/>
  <c r="BM1034" i="1"/>
  <c r="BN1034" i="1"/>
  <c r="BO1034" i="1"/>
  <c r="D1035" i="1"/>
  <c r="G1035" i="1" s="1"/>
  <c r="O1035" i="1"/>
  <c r="AZ1035" i="1" s="1"/>
  <c r="AF1035" i="1"/>
  <c r="BD1035" i="1" s="1"/>
  <c r="AI1035" i="1"/>
  <c r="AJ1035" i="1" s="1"/>
  <c r="AK1035" i="1"/>
  <c r="AN1035" i="1"/>
  <c r="AO1035" i="1"/>
  <c r="AP1035" i="1"/>
  <c r="AQ1035" i="1"/>
  <c r="AS1035" i="1"/>
  <c r="AT1035" i="1"/>
  <c r="AU1035" i="1"/>
  <c r="AV1035" i="1"/>
  <c r="AW1035" i="1"/>
  <c r="AX1035" i="1"/>
  <c r="BB1035" i="1"/>
  <c r="BG1035" i="1"/>
  <c r="BH1035" i="1"/>
  <c r="BI1035" i="1"/>
  <c r="BJ1035" i="1"/>
  <c r="BL1035" i="1"/>
  <c r="BM1035" i="1"/>
  <c r="BN1035" i="1"/>
  <c r="BO1035" i="1"/>
  <c r="D1036" i="1"/>
  <c r="G1036" i="1" s="1"/>
  <c r="O1036" i="1"/>
  <c r="AZ1036" i="1" s="1"/>
  <c r="AF1036" i="1"/>
  <c r="BD1036" i="1" s="1"/>
  <c r="AI1036" i="1"/>
  <c r="AJ1036" i="1" s="1"/>
  <c r="AK1036" i="1"/>
  <c r="AN1036" i="1"/>
  <c r="AO1036" i="1"/>
  <c r="AP1036" i="1"/>
  <c r="AQ1036" i="1"/>
  <c r="AS1036" i="1"/>
  <c r="AT1036" i="1"/>
  <c r="AU1036" i="1"/>
  <c r="AV1036" i="1"/>
  <c r="AW1036" i="1"/>
  <c r="AX1036" i="1"/>
  <c r="BB1036" i="1"/>
  <c r="BG1036" i="1"/>
  <c r="BH1036" i="1"/>
  <c r="BI1036" i="1"/>
  <c r="BJ1036" i="1"/>
  <c r="BL1036" i="1"/>
  <c r="BM1036" i="1"/>
  <c r="BN1036" i="1"/>
  <c r="BO1036" i="1"/>
  <c r="D1037" i="1"/>
  <c r="G1037" i="1" s="1"/>
  <c r="O1037" i="1"/>
  <c r="AZ1037" i="1" s="1"/>
  <c r="AF1037" i="1"/>
  <c r="BD1037" i="1" s="1"/>
  <c r="AI1037" i="1"/>
  <c r="AJ1037" i="1" s="1"/>
  <c r="AK1037" i="1"/>
  <c r="AN1037" i="1"/>
  <c r="AO1037" i="1"/>
  <c r="AP1037" i="1"/>
  <c r="AQ1037" i="1"/>
  <c r="AS1037" i="1"/>
  <c r="AT1037" i="1"/>
  <c r="AU1037" i="1"/>
  <c r="AV1037" i="1"/>
  <c r="AW1037" i="1"/>
  <c r="AX1037" i="1"/>
  <c r="BB1037" i="1"/>
  <c r="BG1037" i="1"/>
  <c r="BH1037" i="1"/>
  <c r="BI1037" i="1"/>
  <c r="BJ1037" i="1"/>
  <c r="BL1037" i="1"/>
  <c r="BM1037" i="1"/>
  <c r="BN1037" i="1"/>
  <c r="BO1037" i="1"/>
  <c r="D1038" i="1"/>
  <c r="G1038" i="1" s="1"/>
  <c r="O1038" i="1"/>
  <c r="AZ1038" i="1" s="1"/>
  <c r="AF1038" i="1"/>
  <c r="BD1038" i="1" s="1"/>
  <c r="AI1038" i="1"/>
  <c r="AJ1038" i="1" s="1"/>
  <c r="AK1038" i="1"/>
  <c r="AN1038" i="1"/>
  <c r="AO1038" i="1"/>
  <c r="AP1038" i="1"/>
  <c r="AQ1038" i="1"/>
  <c r="AS1038" i="1"/>
  <c r="AT1038" i="1"/>
  <c r="AU1038" i="1"/>
  <c r="AV1038" i="1"/>
  <c r="AW1038" i="1"/>
  <c r="AX1038" i="1"/>
  <c r="BB1038" i="1"/>
  <c r="BG1038" i="1"/>
  <c r="BH1038" i="1"/>
  <c r="BI1038" i="1"/>
  <c r="BJ1038" i="1"/>
  <c r="BL1038" i="1"/>
  <c r="BM1038" i="1"/>
  <c r="BN1038" i="1"/>
  <c r="BO1038" i="1"/>
  <c r="D1039" i="1"/>
  <c r="AO1039" i="1" s="1"/>
  <c r="O1039" i="1"/>
  <c r="AI1039" i="1"/>
  <c r="AJ1039" i="1"/>
  <c r="AK1039" i="1"/>
  <c r="AN1039" i="1"/>
  <c r="AP1039" i="1"/>
  <c r="AQ1039" i="1"/>
  <c r="AS1039" i="1"/>
  <c r="AT1039" i="1"/>
  <c r="AU1039" i="1"/>
  <c r="AV1039" i="1"/>
  <c r="AW1039" i="1"/>
  <c r="AX1039" i="1"/>
  <c r="AZ1039" i="1"/>
  <c r="BB1039" i="1"/>
  <c r="BD1039" i="1"/>
  <c r="BG1039" i="1"/>
  <c r="BH1039" i="1"/>
  <c r="BI1039" i="1"/>
  <c r="BJ1039" i="1"/>
  <c r="BL1039" i="1"/>
  <c r="BM1039" i="1"/>
  <c r="BN1039" i="1"/>
  <c r="BO1039" i="1"/>
  <c r="D1040" i="1"/>
  <c r="G1040" i="1" s="1"/>
  <c r="O1040" i="1"/>
  <c r="AI1040" i="1"/>
  <c r="AJ1040" i="1" s="1"/>
  <c r="AK1040" i="1"/>
  <c r="AN1040" i="1"/>
  <c r="AO1040" i="1"/>
  <c r="AP1040" i="1"/>
  <c r="AQ1040" i="1"/>
  <c r="AS1040" i="1"/>
  <c r="AT1040" i="1"/>
  <c r="AU1040" i="1"/>
  <c r="AV1040" i="1"/>
  <c r="AW1040" i="1"/>
  <c r="AX1040" i="1"/>
  <c r="AZ1040" i="1"/>
  <c r="BB1040" i="1"/>
  <c r="BD1040" i="1"/>
  <c r="BG1040" i="1"/>
  <c r="BH1040" i="1"/>
  <c r="BI1040" i="1"/>
  <c r="BJ1040" i="1"/>
  <c r="BL1040" i="1"/>
  <c r="BM1040" i="1"/>
  <c r="BN1040" i="1"/>
  <c r="BO1040" i="1"/>
  <c r="D1041" i="1"/>
  <c r="G1041" i="1"/>
  <c r="AG1041" i="1" s="1"/>
  <c r="AH1041" i="1" s="1"/>
  <c r="O1041" i="1"/>
  <c r="AI1041" i="1"/>
  <c r="AJ1041" i="1"/>
  <c r="AN1041" i="1"/>
  <c r="AO1041" i="1"/>
  <c r="AP1041" i="1"/>
  <c r="AQ1041" i="1"/>
  <c r="AS1041" i="1"/>
  <c r="AT1041" i="1"/>
  <c r="AU1041" i="1"/>
  <c r="AV1041" i="1"/>
  <c r="AW1041" i="1"/>
  <c r="AX1041" i="1"/>
  <c r="AZ1041" i="1"/>
  <c r="BB1041" i="1"/>
  <c r="BD1041" i="1"/>
  <c r="BG1041" i="1"/>
  <c r="BH1041" i="1"/>
  <c r="BI1041" i="1"/>
  <c r="BJ1041" i="1"/>
  <c r="BL1041" i="1"/>
  <c r="BM1041" i="1"/>
  <c r="BN1041" i="1"/>
  <c r="BO1041" i="1"/>
  <c r="D1042" i="1"/>
  <c r="G1042" i="1" s="1"/>
  <c r="AR1042" i="1" s="1"/>
  <c r="O1042" i="1"/>
  <c r="AZ1042" i="1" s="1"/>
  <c r="AI1042" i="1"/>
  <c r="AJ1042" i="1" s="1"/>
  <c r="AK1042" i="1"/>
  <c r="AN1042" i="1"/>
  <c r="AO1042" i="1"/>
  <c r="AP1042" i="1"/>
  <c r="AQ1042" i="1"/>
  <c r="AS1042" i="1"/>
  <c r="AT1042" i="1"/>
  <c r="AU1042" i="1"/>
  <c r="AV1042" i="1"/>
  <c r="AW1042" i="1"/>
  <c r="AX1042" i="1"/>
  <c r="BB1042" i="1"/>
  <c r="BD1042" i="1"/>
  <c r="BG1042" i="1"/>
  <c r="BH1042" i="1"/>
  <c r="BI1042" i="1"/>
  <c r="BJ1042" i="1"/>
  <c r="BL1042" i="1"/>
  <c r="BM1042" i="1"/>
  <c r="BN1042" i="1"/>
  <c r="BO1042" i="1"/>
  <c r="D1043" i="1"/>
  <c r="AO1043" i="1" s="1"/>
  <c r="G1043" i="1"/>
  <c r="N1043" i="1" s="1"/>
  <c r="O1043" i="1"/>
  <c r="P1043" i="1" s="1"/>
  <c r="AI1043" i="1"/>
  <c r="AJ1043" i="1"/>
  <c r="AK1043" i="1"/>
  <c r="AN1043" i="1"/>
  <c r="AP1043" i="1"/>
  <c r="AQ1043" i="1"/>
  <c r="AS1043" i="1"/>
  <c r="AT1043" i="1"/>
  <c r="AU1043" i="1"/>
  <c r="AV1043" i="1"/>
  <c r="AW1043" i="1"/>
  <c r="AX1043" i="1"/>
  <c r="AY1043" i="1"/>
  <c r="AZ1043" i="1"/>
  <c r="BB1043" i="1"/>
  <c r="BD1043" i="1"/>
  <c r="BG1043" i="1"/>
  <c r="BH1043" i="1"/>
  <c r="BI1043" i="1"/>
  <c r="BJ1043" i="1"/>
  <c r="BL1043" i="1"/>
  <c r="BM1043" i="1"/>
  <c r="BN1043" i="1"/>
  <c r="BO1043" i="1"/>
  <c r="D1044" i="1"/>
  <c r="G1044" i="1" s="1"/>
  <c r="O1044" i="1"/>
  <c r="AI1044" i="1"/>
  <c r="AJ1044" i="1" s="1"/>
  <c r="AK1044" i="1"/>
  <c r="AN1044" i="1"/>
  <c r="AO1044" i="1"/>
  <c r="AP1044" i="1"/>
  <c r="AQ1044" i="1"/>
  <c r="AS1044" i="1"/>
  <c r="AT1044" i="1"/>
  <c r="AU1044" i="1"/>
  <c r="AV1044" i="1"/>
  <c r="AW1044" i="1"/>
  <c r="AX1044" i="1"/>
  <c r="AZ1044" i="1"/>
  <c r="BB1044" i="1"/>
  <c r="BD1044" i="1"/>
  <c r="BG1044" i="1"/>
  <c r="BH1044" i="1"/>
  <c r="BI1044" i="1"/>
  <c r="BJ1044" i="1"/>
  <c r="BL1044" i="1"/>
  <c r="BM1044" i="1"/>
  <c r="BN1044" i="1"/>
  <c r="BO1044" i="1"/>
  <c r="D1045" i="1"/>
  <c r="G1045" i="1"/>
  <c r="N1045" i="1"/>
  <c r="AY1045" i="1" s="1"/>
  <c r="O1045" i="1"/>
  <c r="AZ1045" i="1" s="1"/>
  <c r="AI1045" i="1"/>
  <c r="AJ1045" i="1" s="1"/>
  <c r="AN1045" i="1"/>
  <c r="AO1045" i="1"/>
  <c r="AP1045" i="1"/>
  <c r="AQ1045" i="1"/>
  <c r="AR1045" i="1"/>
  <c r="AS1045" i="1"/>
  <c r="AT1045" i="1"/>
  <c r="AU1045" i="1"/>
  <c r="AV1045" i="1"/>
  <c r="AW1045" i="1"/>
  <c r="AX1045" i="1"/>
  <c r="BB1045" i="1"/>
  <c r="BD1045" i="1"/>
  <c r="BG1045" i="1"/>
  <c r="BH1045" i="1"/>
  <c r="BI1045" i="1"/>
  <c r="BJ1045" i="1"/>
  <c r="BL1045" i="1"/>
  <c r="BM1045" i="1"/>
  <c r="BN1045" i="1"/>
  <c r="BO1045" i="1"/>
  <c r="D1046" i="1"/>
  <c r="G1046" i="1" s="1"/>
  <c r="AR1046" i="1" s="1"/>
  <c r="O1046" i="1"/>
  <c r="AZ1046" i="1" s="1"/>
  <c r="AI1046" i="1"/>
  <c r="AJ1046" i="1"/>
  <c r="AK1046" i="1"/>
  <c r="AN1046" i="1"/>
  <c r="AP1046" i="1"/>
  <c r="AQ1046" i="1"/>
  <c r="AS1046" i="1"/>
  <c r="AT1046" i="1"/>
  <c r="AU1046" i="1"/>
  <c r="AV1046" i="1"/>
  <c r="AW1046" i="1"/>
  <c r="AX1046" i="1"/>
  <c r="BB1046" i="1"/>
  <c r="BD1046" i="1"/>
  <c r="BG1046" i="1"/>
  <c r="BH1046" i="1"/>
  <c r="BI1046" i="1"/>
  <c r="BJ1046" i="1"/>
  <c r="BL1046" i="1"/>
  <c r="BM1046" i="1"/>
  <c r="BN1046" i="1"/>
  <c r="BO1046" i="1"/>
  <c r="AN1048" i="1"/>
  <c r="BA1052" i="1"/>
  <c r="BB1052" i="1"/>
  <c r="AV1053" i="1"/>
  <c r="P1054" i="1"/>
  <c r="AV1054" i="1"/>
  <c r="BA1054" i="1"/>
  <c r="BB1054" i="1"/>
  <c r="BG1054" i="1" s="1"/>
  <c r="AV1055" i="1"/>
  <c r="P1056" i="1"/>
  <c r="BB1056" i="1" s="1"/>
  <c r="AV1056" i="1"/>
  <c r="BA1056" i="1"/>
  <c r="BG1056" i="1"/>
  <c r="AV1057" i="1"/>
  <c r="AX1061" i="1"/>
  <c r="AX1062" i="1"/>
  <c r="AG1040" i="1" l="1"/>
  <c r="AH1040" i="1" s="1"/>
  <c r="AR1040" i="1"/>
  <c r="N1040" i="1"/>
  <c r="BB1053" i="1"/>
  <c r="P1055" i="1"/>
  <c r="BB1055" i="1" s="1"/>
  <c r="P1057" i="1"/>
  <c r="BB1057" i="1" s="1"/>
  <c r="N1038" i="1"/>
  <c r="AY1038" i="1" s="1"/>
  <c r="AR1038" i="1"/>
  <c r="AG1038" i="1"/>
  <c r="AH1038" i="1" s="1"/>
  <c r="N1037" i="1"/>
  <c r="AY1037" i="1" s="1"/>
  <c r="AR1037" i="1"/>
  <c r="AG1037" i="1"/>
  <c r="AH1037" i="1" s="1"/>
  <c r="N1036" i="1"/>
  <c r="AY1036" i="1" s="1"/>
  <c r="AR1036" i="1"/>
  <c r="AG1036" i="1"/>
  <c r="AH1036" i="1" s="1"/>
  <c r="N1035" i="1"/>
  <c r="AY1035" i="1" s="1"/>
  <c r="AR1035" i="1"/>
  <c r="AG1035" i="1"/>
  <c r="AH1035" i="1" s="1"/>
  <c r="N1034" i="1"/>
  <c r="AY1034" i="1" s="1"/>
  <c r="AR1034" i="1"/>
  <c r="AG1034" i="1"/>
  <c r="AH1034" i="1" s="1"/>
  <c r="N1033" i="1"/>
  <c r="AR1033" i="1"/>
  <c r="AG1033" i="1"/>
  <c r="AH1033" i="1" s="1"/>
  <c r="N1032" i="1"/>
  <c r="AY1032" i="1" s="1"/>
  <c r="AR1032" i="1"/>
  <c r="AG1032" i="1"/>
  <c r="AH1032" i="1" s="1"/>
  <c r="N1031" i="1"/>
  <c r="AR1031" i="1"/>
  <c r="AG1031" i="1"/>
  <c r="AH1031" i="1" s="1"/>
  <c r="T999" i="1"/>
  <c r="BE999" i="1" s="1"/>
  <c r="BA999" i="1"/>
  <c r="Q999" i="1"/>
  <c r="S999" i="1"/>
  <c r="BC999" i="1" s="1"/>
  <c r="N1030" i="1"/>
  <c r="AY1030" i="1" s="1"/>
  <c r="AR1030" i="1"/>
  <c r="AG1030" i="1"/>
  <c r="AH1030" i="1" s="1"/>
  <c r="N1029" i="1"/>
  <c r="AR1029" i="1"/>
  <c r="AG1029" i="1"/>
  <c r="AH1029" i="1" s="1"/>
  <c r="N991" i="1"/>
  <c r="AG991" i="1"/>
  <c r="AH991" i="1" s="1"/>
  <c r="AR991" i="1"/>
  <c r="N1025" i="1"/>
  <c r="AY1025" i="1" s="1"/>
  <c r="AG1025" i="1"/>
  <c r="AH1025" i="1" s="1"/>
  <c r="AR1025" i="1"/>
  <c r="AY995" i="1"/>
  <c r="P995" i="1"/>
  <c r="AG1044" i="1"/>
  <c r="AH1044" i="1" s="1"/>
  <c r="AR1044" i="1"/>
  <c r="N1044" i="1"/>
  <c r="S1043" i="1"/>
  <c r="BC1043" i="1" s="1"/>
  <c r="BA1043" i="1"/>
  <c r="Q1043" i="1"/>
  <c r="T1043" i="1"/>
  <c r="BE1043" i="1" s="1"/>
  <c r="AJ1002" i="1"/>
  <c r="P1007" i="1" s="1"/>
  <c r="P992" i="1"/>
  <c r="AK992" i="1"/>
  <c r="P947" i="1"/>
  <c r="AK947" i="1"/>
  <c r="P943" i="1"/>
  <c r="AK943" i="1"/>
  <c r="P939" i="1"/>
  <c r="AK939" i="1"/>
  <c r="P935" i="1"/>
  <c r="AK935" i="1"/>
  <c r="P931" i="1"/>
  <c r="AK931" i="1"/>
  <c r="P927" i="1"/>
  <c r="AK927" i="1"/>
  <c r="P923" i="1"/>
  <c r="AK923" i="1"/>
  <c r="P922" i="1"/>
  <c r="AK922" i="1"/>
  <c r="N918" i="1"/>
  <c r="AR918" i="1"/>
  <c r="AG918" i="1"/>
  <c r="AH918" i="1" s="1"/>
  <c r="AO882" i="1"/>
  <c r="G882" i="1"/>
  <c r="AO859" i="1"/>
  <c r="G859" i="1"/>
  <c r="AJ877" i="1"/>
  <c r="P966" i="1" s="1"/>
  <c r="AO818" i="1"/>
  <c r="G818" i="1"/>
  <c r="T772" i="1"/>
  <c r="BE772" i="1" s="1"/>
  <c r="Q772" i="1"/>
  <c r="S772" i="1"/>
  <c r="BC772" i="1" s="1"/>
  <c r="BA772" i="1"/>
  <c r="AK1030" i="1"/>
  <c r="P1024" i="1"/>
  <c r="AK1024" i="1"/>
  <c r="AO1046" i="1"/>
  <c r="AG1045" i="1"/>
  <c r="AH1045" i="1" s="1"/>
  <c r="AG1042" i="1"/>
  <c r="AH1042" i="1" s="1"/>
  <c r="P1037" i="1"/>
  <c r="AK1028" i="1"/>
  <c r="AO1027" i="1"/>
  <c r="P1025" i="1"/>
  <c r="AR1024" i="1"/>
  <c r="AR1023" i="1"/>
  <c r="AG1023" i="1"/>
  <c r="AH1023" i="1" s="1"/>
  <c r="AK997" i="1"/>
  <c r="P996" i="1"/>
  <c r="AK996" i="1"/>
  <c r="P946" i="1"/>
  <c r="AK946" i="1"/>
  <c r="P942" i="1"/>
  <c r="AK942" i="1"/>
  <c r="P938" i="1"/>
  <c r="AK938" i="1"/>
  <c r="P934" i="1"/>
  <c r="AK934" i="1"/>
  <c r="P930" i="1"/>
  <c r="AK930" i="1"/>
  <c r="P926" i="1"/>
  <c r="AK926" i="1"/>
  <c r="N921" i="1"/>
  <c r="AR921" i="1"/>
  <c r="AG921" i="1"/>
  <c r="AH921" i="1" s="1"/>
  <c r="N917" i="1"/>
  <c r="AR917" i="1"/>
  <c r="AG917" i="1"/>
  <c r="AH917" i="1" s="1"/>
  <c r="G837" i="1"/>
  <c r="AO837" i="1"/>
  <c r="P791" i="1"/>
  <c r="AG1046" i="1"/>
  <c r="AH1046" i="1" s="1"/>
  <c r="N1042" i="1"/>
  <c r="P1041" i="1"/>
  <c r="AK1041" i="1"/>
  <c r="AR1027" i="1"/>
  <c r="AK1027" i="1"/>
  <c r="AZ1024" i="1"/>
  <c r="AG1024" i="1"/>
  <c r="AH1024" i="1" s="1"/>
  <c r="P1023" i="1"/>
  <c r="AK1000" i="1"/>
  <c r="AR996" i="1"/>
  <c r="AR995" i="1"/>
  <c r="AG995" i="1"/>
  <c r="AH995" i="1" s="1"/>
  <c r="G994" i="1"/>
  <c r="AO993" i="1"/>
  <c r="P993" i="1"/>
  <c r="AZ992" i="1"/>
  <c r="AG992" i="1"/>
  <c r="AH992" i="1" s="1"/>
  <c r="P961" i="1"/>
  <c r="P949" i="1"/>
  <c r="AK949" i="1"/>
  <c r="AG947" i="1"/>
  <c r="AH947" i="1" s="1"/>
  <c r="P945" i="1"/>
  <c r="AK945" i="1"/>
  <c r="AG943" i="1"/>
  <c r="AH943" i="1" s="1"/>
  <c r="P941" i="1"/>
  <c r="AK941" i="1"/>
  <c r="AG939" i="1"/>
  <c r="AH939" i="1" s="1"/>
  <c r="P937" i="1"/>
  <c r="AK937" i="1"/>
  <c r="AG935" i="1"/>
  <c r="AH935" i="1" s="1"/>
  <c r="P933" i="1"/>
  <c r="AK933" i="1"/>
  <c r="AG931" i="1"/>
  <c r="AH931" i="1" s="1"/>
  <c r="P929" i="1"/>
  <c r="AK929" i="1"/>
  <c r="AG927" i="1"/>
  <c r="AH927" i="1" s="1"/>
  <c r="P925" i="1"/>
  <c r="AK925" i="1"/>
  <c r="AG923" i="1"/>
  <c r="AH923" i="1" s="1"/>
  <c r="AG922" i="1"/>
  <c r="AH922" i="1" s="1"/>
  <c r="N920" i="1"/>
  <c r="AR920" i="1"/>
  <c r="AG920" i="1"/>
  <c r="AH920" i="1" s="1"/>
  <c r="AJ897" i="1"/>
  <c r="AK881" i="1"/>
  <c r="AG881" i="1"/>
  <c r="AH881" i="1" s="1"/>
  <c r="AZ881" i="1"/>
  <c r="P881" i="1"/>
  <c r="P857" i="1"/>
  <c r="AY857" i="1"/>
  <c r="AK837" i="1"/>
  <c r="AZ837" i="1"/>
  <c r="AO836" i="1"/>
  <c r="G836" i="1"/>
  <c r="AO835" i="1"/>
  <c r="G835" i="1"/>
  <c r="N781" i="1"/>
  <c r="AY781" i="1" s="1"/>
  <c r="AR781" i="1"/>
  <c r="N1046" i="1"/>
  <c r="AY1046" i="1" s="1"/>
  <c r="P1045" i="1"/>
  <c r="AK1045" i="1"/>
  <c r="AR1043" i="1"/>
  <c r="AG1043" i="1"/>
  <c r="AH1043" i="1" s="1"/>
  <c r="AR1041" i="1"/>
  <c r="N1041" i="1"/>
  <c r="AY1041" i="1" s="1"/>
  <c r="G1039" i="1"/>
  <c r="P1038" i="1"/>
  <c r="P1036" i="1"/>
  <c r="P1034" i="1"/>
  <c r="P1032" i="1"/>
  <c r="P1028" i="1"/>
  <c r="N1027" i="1"/>
  <c r="P1026" i="1"/>
  <c r="AK1026" i="1"/>
  <c r="AR1000" i="1"/>
  <c r="N1000" i="1"/>
  <c r="AY1000" i="1" s="1"/>
  <c r="AR999" i="1"/>
  <c r="G998" i="1"/>
  <c r="P997" i="1"/>
  <c r="AZ996" i="1"/>
  <c r="AG996" i="1"/>
  <c r="AH996" i="1" s="1"/>
  <c r="AG993" i="1"/>
  <c r="AH993" i="1" s="1"/>
  <c r="P948" i="1"/>
  <c r="AK948" i="1"/>
  <c r="AZ947" i="1"/>
  <c r="AG946" i="1"/>
  <c r="AH946" i="1" s="1"/>
  <c r="P944" i="1"/>
  <c r="AK944" i="1"/>
  <c r="AZ943" i="1"/>
  <c r="AG942" i="1"/>
  <c r="AH942" i="1" s="1"/>
  <c r="P940" i="1"/>
  <c r="AK940" i="1"/>
  <c r="AZ939" i="1"/>
  <c r="AG938" i="1"/>
  <c r="AH938" i="1" s="1"/>
  <c r="P936" i="1"/>
  <c r="AK936" i="1"/>
  <c r="AZ935" i="1"/>
  <c r="AG934" i="1"/>
  <c r="AH934" i="1" s="1"/>
  <c r="P932" i="1"/>
  <c r="AK932" i="1"/>
  <c r="AZ931" i="1"/>
  <c r="AG930" i="1"/>
  <c r="AH930" i="1" s="1"/>
  <c r="P928" i="1"/>
  <c r="AK928" i="1"/>
  <c r="AZ927" i="1"/>
  <c r="AG926" i="1"/>
  <c r="AH926" i="1" s="1"/>
  <c r="P924" i="1"/>
  <c r="AK924" i="1"/>
  <c r="AZ923" i="1"/>
  <c r="N919" i="1"/>
  <c r="AR919" i="1"/>
  <c r="AG919" i="1"/>
  <c r="AH919" i="1" s="1"/>
  <c r="N860" i="1"/>
  <c r="AG860" i="1"/>
  <c r="AH860" i="1" s="1"/>
  <c r="AR860" i="1"/>
  <c r="T858" i="1"/>
  <c r="BE858" i="1" s="1"/>
  <c r="BA858" i="1"/>
  <c r="Q858" i="1"/>
  <c r="S858" i="1"/>
  <c r="BC858" i="1" s="1"/>
  <c r="AK838" i="1"/>
  <c r="AZ838" i="1"/>
  <c r="AO834" i="1"/>
  <c r="G834" i="1"/>
  <c r="N821" i="1"/>
  <c r="AY821" i="1" s="1"/>
  <c r="AG821" i="1"/>
  <c r="AH821" i="1" s="1"/>
  <c r="AR821" i="1"/>
  <c r="AZ780" i="1"/>
  <c r="AK780" i="1"/>
  <c r="G766" i="1"/>
  <c r="AO766" i="1"/>
  <c r="AR895" i="1"/>
  <c r="AK895" i="1"/>
  <c r="AG893" i="1"/>
  <c r="AH893" i="1" s="1"/>
  <c r="AR891" i="1"/>
  <c r="AK891" i="1"/>
  <c r="AG889" i="1"/>
  <c r="AH889" i="1" s="1"/>
  <c r="AR887" i="1"/>
  <c r="AK887" i="1"/>
  <c r="AG885" i="1"/>
  <c r="AH885" i="1" s="1"/>
  <c r="BH883" i="1"/>
  <c r="D883" i="1"/>
  <c r="BL882" i="1"/>
  <c r="O882" i="1"/>
  <c r="AR874" i="1"/>
  <c r="P874" i="1"/>
  <c r="AG873" i="1"/>
  <c r="AH873" i="1" s="1"/>
  <c r="T872" i="1"/>
  <c r="BE872" i="1" s="1"/>
  <c r="AR870" i="1"/>
  <c r="P870" i="1"/>
  <c r="AG869" i="1"/>
  <c r="AH869" i="1" s="1"/>
  <c r="T868" i="1"/>
  <c r="BE868" i="1" s="1"/>
  <c r="AR866" i="1"/>
  <c r="P866" i="1"/>
  <c r="AG865" i="1"/>
  <c r="AH865" i="1" s="1"/>
  <c r="T864" i="1"/>
  <c r="BE864" i="1" s="1"/>
  <c r="AR862" i="1"/>
  <c r="P862" i="1"/>
  <c r="AG861" i="1"/>
  <c r="AH861" i="1" s="1"/>
  <c r="AR857" i="1"/>
  <c r="AG857" i="1"/>
  <c r="AH857" i="1" s="1"/>
  <c r="AG852" i="1"/>
  <c r="AH852" i="1" s="1"/>
  <c r="AR850" i="1"/>
  <c r="P850" i="1"/>
  <c r="AK850" i="1"/>
  <c r="AG848" i="1"/>
  <c r="AH848" i="1" s="1"/>
  <c r="AR846" i="1"/>
  <c r="P846" i="1"/>
  <c r="AK846" i="1"/>
  <c r="AG844" i="1"/>
  <c r="AH844" i="1" s="1"/>
  <c r="AR842" i="1"/>
  <c r="P842" i="1"/>
  <c r="AK842" i="1"/>
  <c r="AG840" i="1"/>
  <c r="AH840" i="1" s="1"/>
  <c r="BH838" i="1"/>
  <c r="BM837" i="1"/>
  <c r="N827" i="1"/>
  <c r="AR827" i="1"/>
  <c r="N826" i="1"/>
  <c r="AR826" i="1"/>
  <c r="N825" i="1"/>
  <c r="AR825" i="1"/>
  <c r="N824" i="1"/>
  <c r="AR824" i="1"/>
  <c r="AG819" i="1"/>
  <c r="AH819" i="1" s="1"/>
  <c r="BL818" i="1"/>
  <c r="AR815" i="1"/>
  <c r="P815" i="1"/>
  <c r="AK815" i="1"/>
  <c r="AG813" i="1"/>
  <c r="AH813" i="1" s="1"/>
  <c r="AR811" i="1"/>
  <c r="P811" i="1"/>
  <c r="AK811" i="1"/>
  <c r="AG809" i="1"/>
  <c r="AH809" i="1" s="1"/>
  <c r="O807" i="1"/>
  <c r="AK806" i="1"/>
  <c r="AG803" i="1"/>
  <c r="AH803" i="1" s="1"/>
  <c r="T802" i="1"/>
  <c r="BE802" i="1" s="1"/>
  <c r="P800" i="1"/>
  <c r="AG799" i="1"/>
  <c r="AH799" i="1" s="1"/>
  <c r="T798" i="1"/>
  <c r="BE798" i="1" s="1"/>
  <c r="P796" i="1"/>
  <c r="AG795" i="1"/>
  <c r="AH795" i="1" s="1"/>
  <c r="T794" i="1"/>
  <c r="BE794" i="1" s="1"/>
  <c r="P792" i="1"/>
  <c r="AG791" i="1"/>
  <c r="AH791" i="1" s="1"/>
  <c r="T790" i="1"/>
  <c r="BE790" i="1" s="1"/>
  <c r="P788" i="1"/>
  <c r="AG787" i="1"/>
  <c r="AH787" i="1" s="1"/>
  <c r="T786" i="1"/>
  <c r="BE786" i="1" s="1"/>
  <c r="AZ784" i="1"/>
  <c r="O781" i="1"/>
  <c r="AG781" i="1" s="1"/>
  <c r="AH781" i="1" s="1"/>
  <c r="N780" i="1"/>
  <c r="AY780" i="1" s="1"/>
  <c r="AR780" i="1"/>
  <c r="G778" i="1"/>
  <c r="AO778" i="1"/>
  <c r="P775" i="1"/>
  <c r="BG770" i="1"/>
  <c r="O770" i="1"/>
  <c r="D770" i="1"/>
  <c r="N745" i="1"/>
  <c r="AR745" i="1"/>
  <c r="N741" i="1"/>
  <c r="AR741" i="1"/>
  <c r="AO738" i="1"/>
  <c r="G738" i="1"/>
  <c r="AO730" i="1"/>
  <c r="G730" i="1"/>
  <c r="AO722" i="1"/>
  <c r="G722" i="1"/>
  <c r="AZ709" i="1"/>
  <c r="AK709" i="1"/>
  <c r="AZ706" i="1"/>
  <c r="AK706" i="1"/>
  <c r="AZ705" i="1"/>
  <c r="AK705" i="1"/>
  <c r="AG701" i="1"/>
  <c r="AH701" i="1" s="1"/>
  <c r="N701" i="1"/>
  <c r="AY701" i="1" s="1"/>
  <c r="AR701" i="1"/>
  <c r="N692" i="1"/>
  <c r="AR692" i="1"/>
  <c r="AG692" i="1"/>
  <c r="AH692" i="1" s="1"/>
  <c r="N688" i="1"/>
  <c r="AR688" i="1"/>
  <c r="AG688" i="1"/>
  <c r="AH688" i="1" s="1"/>
  <c r="N684" i="1"/>
  <c r="AR684" i="1"/>
  <c r="AG684" i="1"/>
  <c r="AH684" i="1" s="1"/>
  <c r="N680" i="1"/>
  <c r="AR680" i="1"/>
  <c r="AG680" i="1"/>
  <c r="AH680" i="1" s="1"/>
  <c r="N676" i="1"/>
  <c r="AR676" i="1"/>
  <c r="AG676" i="1"/>
  <c r="AH676" i="1" s="1"/>
  <c r="N672" i="1"/>
  <c r="AR672" i="1"/>
  <c r="AG672" i="1"/>
  <c r="AH672" i="1" s="1"/>
  <c r="N668" i="1"/>
  <c r="AR668" i="1"/>
  <c r="AG668" i="1"/>
  <c r="AH668" i="1" s="1"/>
  <c r="N664" i="1"/>
  <c r="AR664" i="1"/>
  <c r="AG664" i="1"/>
  <c r="AH664" i="1" s="1"/>
  <c r="N660" i="1"/>
  <c r="AR660" i="1"/>
  <c r="AG660" i="1"/>
  <c r="AH660" i="1" s="1"/>
  <c r="N656" i="1"/>
  <c r="AR656" i="1"/>
  <c r="AG656" i="1"/>
  <c r="AH656" i="1" s="1"/>
  <c r="N652" i="1"/>
  <c r="AR652" i="1"/>
  <c r="AG652" i="1"/>
  <c r="AH652" i="1" s="1"/>
  <c r="N648" i="1"/>
  <c r="AR648" i="1"/>
  <c r="AG648" i="1"/>
  <c r="AH648" i="1" s="1"/>
  <c r="N644" i="1"/>
  <c r="AR644" i="1"/>
  <c r="AG644" i="1"/>
  <c r="AH644" i="1" s="1"/>
  <c r="N640" i="1"/>
  <c r="AR640" i="1"/>
  <c r="AG640" i="1"/>
  <c r="AH640" i="1" s="1"/>
  <c r="N636" i="1"/>
  <c r="AR636" i="1"/>
  <c r="AG636" i="1"/>
  <c r="AH636" i="1" s="1"/>
  <c r="N632" i="1"/>
  <c r="AR632" i="1"/>
  <c r="AG632" i="1"/>
  <c r="AH632" i="1" s="1"/>
  <c r="N628" i="1"/>
  <c r="AR628" i="1"/>
  <c r="AG628" i="1"/>
  <c r="AH628" i="1" s="1"/>
  <c r="N624" i="1"/>
  <c r="AR624" i="1"/>
  <c r="AG624" i="1"/>
  <c r="AH624" i="1" s="1"/>
  <c r="N620" i="1"/>
  <c r="AR620" i="1"/>
  <c r="AG620" i="1"/>
  <c r="AH620" i="1" s="1"/>
  <c r="N616" i="1"/>
  <c r="AR616" i="1"/>
  <c r="AG616" i="1"/>
  <c r="AH616" i="1" s="1"/>
  <c r="N612" i="1"/>
  <c r="AR612" i="1"/>
  <c r="AG612" i="1"/>
  <c r="AH612" i="1" s="1"/>
  <c r="N608" i="1"/>
  <c r="AR608" i="1"/>
  <c r="AG608" i="1"/>
  <c r="AH608" i="1" s="1"/>
  <c r="N604" i="1"/>
  <c r="AR604" i="1"/>
  <c r="AG604" i="1"/>
  <c r="AH604" i="1" s="1"/>
  <c r="AJ759" i="1"/>
  <c r="N895" i="1"/>
  <c r="AY895" i="1" s="1"/>
  <c r="AR894" i="1"/>
  <c r="P894" i="1"/>
  <c r="AK894" i="1"/>
  <c r="AG892" i="1"/>
  <c r="AH892" i="1" s="1"/>
  <c r="N891" i="1"/>
  <c r="AY891" i="1" s="1"/>
  <c r="AR890" i="1"/>
  <c r="P890" i="1"/>
  <c r="AK890" i="1"/>
  <c r="AG888" i="1"/>
  <c r="AH888" i="1" s="1"/>
  <c r="N887" i="1"/>
  <c r="AY887" i="1" s="1"/>
  <c r="AR886" i="1"/>
  <c r="P886" i="1"/>
  <c r="AK886" i="1"/>
  <c r="AG884" i="1"/>
  <c r="AH884" i="1" s="1"/>
  <c r="P875" i="1"/>
  <c r="N873" i="1"/>
  <c r="S872" i="1"/>
  <c r="BC872" i="1" s="1"/>
  <c r="P871" i="1"/>
  <c r="N869" i="1"/>
  <c r="S868" i="1"/>
  <c r="BC868" i="1" s="1"/>
  <c r="P867" i="1"/>
  <c r="N865" i="1"/>
  <c r="S864" i="1"/>
  <c r="BC864" i="1" s="1"/>
  <c r="P863" i="1"/>
  <c r="N861" i="1"/>
  <c r="AO860" i="1"/>
  <c r="AR858" i="1"/>
  <c r="G856" i="1"/>
  <c r="AR853" i="1"/>
  <c r="P853" i="1"/>
  <c r="AK853" i="1"/>
  <c r="AG851" i="1"/>
  <c r="AH851" i="1" s="1"/>
  <c r="N850" i="1"/>
  <c r="AY850" i="1" s="1"/>
  <c r="AR849" i="1"/>
  <c r="P849" i="1"/>
  <c r="AK849" i="1"/>
  <c r="AG847" i="1"/>
  <c r="AH847" i="1" s="1"/>
  <c r="N846" i="1"/>
  <c r="AY846" i="1" s="1"/>
  <c r="AR845" i="1"/>
  <c r="P845" i="1"/>
  <c r="AK845" i="1"/>
  <c r="AG843" i="1"/>
  <c r="AH843" i="1" s="1"/>
  <c r="N842" i="1"/>
  <c r="AY842" i="1" s="1"/>
  <c r="AR841" i="1"/>
  <c r="P841" i="1"/>
  <c r="AK841" i="1"/>
  <c r="AG839" i="1"/>
  <c r="AH839" i="1" s="1"/>
  <c r="D838" i="1"/>
  <c r="BL838" i="1"/>
  <c r="BL835" i="1"/>
  <c r="O835" i="1"/>
  <c r="N823" i="1"/>
  <c r="BD821" i="1"/>
  <c r="P820" i="1"/>
  <c r="AZ820" i="1"/>
  <c r="AZ819" i="1"/>
  <c r="AR819" i="1"/>
  <c r="N815" i="1"/>
  <c r="AY815" i="1" s="1"/>
  <c r="AR814" i="1"/>
  <c r="P814" i="1"/>
  <c r="AK814" i="1"/>
  <c r="AG812" i="1"/>
  <c r="AH812" i="1" s="1"/>
  <c r="N811" i="1"/>
  <c r="AY811" i="1" s="1"/>
  <c r="AR810" i="1"/>
  <c r="P810" i="1"/>
  <c r="AK810" i="1"/>
  <c r="AG808" i="1"/>
  <c r="AH808" i="1" s="1"/>
  <c r="BM807" i="1"/>
  <c r="AK803" i="1"/>
  <c r="N803" i="1"/>
  <c r="AY803" i="1" s="1"/>
  <c r="S802" i="1"/>
  <c r="BC802" i="1" s="1"/>
  <c r="AR801" i="1"/>
  <c r="P801" i="1"/>
  <c r="AK799" i="1"/>
  <c r="N799" i="1"/>
  <c r="AY799" i="1" s="1"/>
  <c r="S798" i="1"/>
  <c r="BC798" i="1" s="1"/>
  <c r="AR797" i="1"/>
  <c r="P797" i="1"/>
  <c r="AK795" i="1"/>
  <c r="N795" i="1"/>
  <c r="AY795" i="1" s="1"/>
  <c r="S794" i="1"/>
  <c r="BC794" i="1" s="1"/>
  <c r="AR793" i="1"/>
  <c r="P793" i="1"/>
  <c r="AK791" i="1"/>
  <c r="N791" i="1"/>
  <c r="AY791" i="1" s="1"/>
  <c r="S790" i="1"/>
  <c r="BC790" i="1" s="1"/>
  <c r="AR789" i="1"/>
  <c r="P789" i="1"/>
  <c r="AK787" i="1"/>
  <c r="N787" i="1"/>
  <c r="AY787" i="1" s="1"/>
  <c r="S786" i="1"/>
  <c r="BC786" i="1" s="1"/>
  <c r="AR785" i="1"/>
  <c r="P785" i="1"/>
  <c r="BD784" i="1"/>
  <c r="D784" i="1"/>
  <c r="BM784" i="1"/>
  <c r="BD781" i="1"/>
  <c r="AJ779" i="1"/>
  <c r="AZ776" i="1"/>
  <c r="AR774" i="1"/>
  <c r="AG774" i="1"/>
  <c r="AH774" i="1" s="1"/>
  <c r="P774" i="1"/>
  <c r="AJ772" i="1"/>
  <c r="AG771" i="1"/>
  <c r="AH771" i="1" s="1"/>
  <c r="O771" i="1"/>
  <c r="AJ770" i="1"/>
  <c r="AZ768" i="1"/>
  <c r="AO767" i="1"/>
  <c r="O765" i="1"/>
  <c r="AZ764" i="1"/>
  <c r="AK764" i="1"/>
  <c r="O763" i="1"/>
  <c r="BG763" i="1"/>
  <c r="D763" i="1"/>
  <c r="N756" i="1"/>
  <c r="AY756" i="1" s="1"/>
  <c r="AR756" i="1"/>
  <c r="AG756" i="1"/>
  <c r="AH756" i="1" s="1"/>
  <c r="N754" i="1"/>
  <c r="AY754" i="1" s="1"/>
  <c r="AR754" i="1"/>
  <c r="AG754" i="1"/>
  <c r="AH754" i="1" s="1"/>
  <c r="P746" i="1"/>
  <c r="AY746" i="1"/>
  <c r="N742" i="1"/>
  <c r="AR742" i="1"/>
  <c r="N916" i="1"/>
  <c r="AR916" i="1"/>
  <c r="N915" i="1"/>
  <c r="AR915" i="1"/>
  <c r="N914" i="1"/>
  <c r="AR914" i="1"/>
  <c r="N913" i="1"/>
  <c r="AR913" i="1"/>
  <c r="N912" i="1"/>
  <c r="AR912" i="1"/>
  <c r="N911" i="1"/>
  <c r="AR911" i="1"/>
  <c r="N910" i="1"/>
  <c r="AR910" i="1"/>
  <c r="N909" i="1"/>
  <c r="AR909" i="1"/>
  <c r="N908" i="1"/>
  <c r="AR908" i="1"/>
  <c r="N907" i="1"/>
  <c r="AR907" i="1"/>
  <c r="N906" i="1"/>
  <c r="AR906" i="1"/>
  <c r="N905" i="1"/>
  <c r="AR905" i="1"/>
  <c r="N904" i="1"/>
  <c r="AR904" i="1"/>
  <c r="N903" i="1"/>
  <c r="AR903" i="1"/>
  <c r="N902" i="1"/>
  <c r="AR902" i="1"/>
  <c r="N901" i="1"/>
  <c r="AR901" i="1"/>
  <c r="N900" i="1"/>
  <c r="AR900" i="1"/>
  <c r="P893" i="1"/>
  <c r="AK893" i="1"/>
  <c r="P889" i="1"/>
  <c r="AK889" i="1"/>
  <c r="P885" i="1"/>
  <c r="AK885" i="1"/>
  <c r="P852" i="1"/>
  <c r="AK852" i="1"/>
  <c r="P848" i="1"/>
  <c r="AK848" i="1"/>
  <c r="P844" i="1"/>
  <c r="AK844" i="1"/>
  <c r="P840" i="1"/>
  <c r="AK840" i="1"/>
  <c r="AK819" i="1"/>
  <c r="AK813" i="1"/>
  <c r="AK809" i="1"/>
  <c r="N807" i="1"/>
  <c r="AY807" i="1" s="1"/>
  <c r="AG807" i="1"/>
  <c r="AH807" i="1" s="1"/>
  <c r="D806" i="1"/>
  <c r="BL806" i="1"/>
  <c r="O779" i="1"/>
  <c r="BG779" i="1"/>
  <c r="AR779" i="1"/>
  <c r="G777" i="1"/>
  <c r="AO777" i="1"/>
  <c r="BD775" i="1"/>
  <c r="AK775" i="1"/>
  <c r="P773" i="1"/>
  <c r="AK773" i="1"/>
  <c r="AZ773" i="1"/>
  <c r="AK772" i="1"/>
  <c r="AZ772" i="1"/>
  <c r="AG772" i="1"/>
  <c r="AH772" i="1" s="1"/>
  <c r="AR772" i="1"/>
  <c r="G769" i="1"/>
  <c r="AO769" i="1"/>
  <c r="N764" i="1"/>
  <c r="AY764" i="1" s="1"/>
  <c r="AR764" i="1"/>
  <c r="AG764" i="1"/>
  <c r="AH764" i="1" s="1"/>
  <c r="P750" i="1"/>
  <c r="AY750" i="1"/>
  <c r="N748" i="1"/>
  <c r="AG748" i="1"/>
  <c r="AH748" i="1" s="1"/>
  <c r="AR748" i="1"/>
  <c r="AO747" i="1"/>
  <c r="G747" i="1"/>
  <c r="AG745" i="1"/>
  <c r="AH745" i="1" s="1"/>
  <c r="N743" i="1"/>
  <c r="AR743" i="1"/>
  <c r="AG741" i="1"/>
  <c r="AH741" i="1" s="1"/>
  <c r="N739" i="1"/>
  <c r="AR739" i="1"/>
  <c r="AO734" i="1"/>
  <c r="G734" i="1"/>
  <c r="AO726" i="1"/>
  <c r="G726" i="1"/>
  <c r="AO718" i="1"/>
  <c r="G718" i="1"/>
  <c r="P892" i="1"/>
  <c r="AK892" i="1"/>
  <c r="P888" i="1"/>
  <c r="AK888" i="1"/>
  <c r="P884" i="1"/>
  <c r="AK884" i="1"/>
  <c r="AZ883" i="1"/>
  <c r="P851" i="1"/>
  <c r="AK851" i="1"/>
  <c r="P847" i="1"/>
  <c r="AK847" i="1"/>
  <c r="P843" i="1"/>
  <c r="AK843" i="1"/>
  <c r="P839" i="1"/>
  <c r="AK839" i="1"/>
  <c r="O836" i="1"/>
  <c r="AL877" i="1"/>
  <c r="O834" i="1"/>
  <c r="AG827" i="1"/>
  <c r="AH827" i="1" s="1"/>
  <c r="AG826" i="1"/>
  <c r="AH826" i="1" s="1"/>
  <c r="AG825" i="1"/>
  <c r="AH825" i="1" s="1"/>
  <c r="AG824" i="1"/>
  <c r="AH824" i="1" s="1"/>
  <c r="AK823" i="1"/>
  <c r="AG823" i="1"/>
  <c r="AH823" i="1" s="1"/>
  <c r="G822" i="1"/>
  <c r="AO822" i="1"/>
  <c r="AK820" i="1"/>
  <c r="N819" i="1"/>
  <c r="AY819" i="1" s="1"/>
  <c r="N813" i="1"/>
  <c r="AY813" i="1" s="1"/>
  <c r="P812" i="1"/>
  <c r="AK812" i="1"/>
  <c r="N809" i="1"/>
  <c r="AY809" i="1" s="1"/>
  <c r="P808" i="1"/>
  <c r="AK808" i="1"/>
  <c r="AR807" i="1"/>
  <c r="AG780" i="1"/>
  <c r="AH780" i="1" s="1"/>
  <c r="AG776" i="1"/>
  <c r="AH776" i="1" s="1"/>
  <c r="P776" i="1"/>
  <c r="AJ775" i="1"/>
  <c r="AR775" i="1"/>
  <c r="AG775" i="1"/>
  <c r="AH775" i="1" s="1"/>
  <c r="AG773" i="1"/>
  <c r="AH773" i="1" s="1"/>
  <c r="N773" i="1"/>
  <c r="AY773" i="1" s="1"/>
  <c r="AR773" i="1"/>
  <c r="BH772" i="1"/>
  <c r="AG768" i="1"/>
  <c r="AH768" i="1" s="1"/>
  <c r="P768" i="1"/>
  <c r="O767" i="1"/>
  <c r="BG767" i="1"/>
  <c r="AR767" i="1"/>
  <c r="BL766" i="1"/>
  <c r="BM765" i="1"/>
  <c r="D765" i="1"/>
  <c r="AR762" i="1"/>
  <c r="AG762" i="1"/>
  <c r="AH762" i="1" s="1"/>
  <c r="P762" i="1"/>
  <c r="N757" i="1"/>
  <c r="AY757" i="1" s="1"/>
  <c r="AR757" i="1"/>
  <c r="AG757" i="1"/>
  <c r="AH757" i="1" s="1"/>
  <c r="N755" i="1"/>
  <c r="AY755" i="1" s="1"/>
  <c r="AR755" i="1"/>
  <c r="AG755" i="1"/>
  <c r="AH755" i="1" s="1"/>
  <c r="N753" i="1"/>
  <c r="AY753" i="1" s="1"/>
  <c r="AR753" i="1"/>
  <c r="AG753" i="1"/>
  <c r="AH753" i="1" s="1"/>
  <c r="N752" i="1"/>
  <c r="AG752" i="1"/>
  <c r="AH752" i="1" s="1"/>
  <c r="AR752" i="1"/>
  <c r="AO751" i="1"/>
  <c r="G751" i="1"/>
  <c r="AG746" i="1"/>
  <c r="AH746" i="1" s="1"/>
  <c r="N744" i="1"/>
  <c r="AR744" i="1"/>
  <c r="AG742" i="1"/>
  <c r="AH742" i="1" s="1"/>
  <c r="N740" i="1"/>
  <c r="AR740" i="1"/>
  <c r="AK757" i="1"/>
  <c r="AK756" i="1"/>
  <c r="AK755" i="1"/>
  <c r="P755" i="1"/>
  <c r="AK754" i="1"/>
  <c r="P754" i="1"/>
  <c r="AK753" i="1"/>
  <c r="G749" i="1"/>
  <c r="AO735" i="1"/>
  <c r="G735" i="1"/>
  <c r="AO731" i="1"/>
  <c r="G731" i="1"/>
  <c r="AO727" i="1"/>
  <c r="G727" i="1"/>
  <c r="AO723" i="1"/>
  <c r="G723" i="1"/>
  <c r="AO719" i="1"/>
  <c r="G719" i="1"/>
  <c r="P714" i="1"/>
  <c r="AY714" i="1"/>
  <c r="AO710" i="1"/>
  <c r="G710" i="1"/>
  <c r="AZ708" i="1"/>
  <c r="AK708" i="1"/>
  <c r="AZ704" i="1"/>
  <c r="AK704" i="1"/>
  <c r="P703" i="1"/>
  <c r="AG700" i="1"/>
  <c r="AH700" i="1" s="1"/>
  <c r="N700" i="1"/>
  <c r="AY700" i="1" s="1"/>
  <c r="AR700" i="1"/>
  <c r="P699" i="1"/>
  <c r="N695" i="1"/>
  <c r="AR695" i="1"/>
  <c r="AG695" i="1"/>
  <c r="AH695" i="1" s="1"/>
  <c r="N691" i="1"/>
  <c r="AR691" i="1"/>
  <c r="AG691" i="1"/>
  <c r="AH691" i="1" s="1"/>
  <c r="N687" i="1"/>
  <c r="AR687" i="1"/>
  <c r="AG687" i="1"/>
  <c r="AH687" i="1" s="1"/>
  <c r="N683" i="1"/>
  <c r="AR683" i="1"/>
  <c r="AG683" i="1"/>
  <c r="AH683" i="1" s="1"/>
  <c r="N679" i="1"/>
  <c r="AR679" i="1"/>
  <c r="AG679" i="1"/>
  <c r="AH679" i="1" s="1"/>
  <c r="N675" i="1"/>
  <c r="AR675" i="1"/>
  <c r="AG675" i="1"/>
  <c r="AH675" i="1" s="1"/>
  <c r="N671" i="1"/>
  <c r="AR671" i="1"/>
  <c r="AG671" i="1"/>
  <c r="AH671" i="1" s="1"/>
  <c r="N667" i="1"/>
  <c r="AR667" i="1"/>
  <c r="AG667" i="1"/>
  <c r="AH667" i="1" s="1"/>
  <c r="N663" i="1"/>
  <c r="AR663" i="1"/>
  <c r="AG663" i="1"/>
  <c r="AH663" i="1" s="1"/>
  <c r="N659" i="1"/>
  <c r="AR659" i="1"/>
  <c r="AG659" i="1"/>
  <c r="AH659" i="1" s="1"/>
  <c r="N655" i="1"/>
  <c r="AR655" i="1"/>
  <c r="AG655" i="1"/>
  <c r="AH655" i="1" s="1"/>
  <c r="N651" i="1"/>
  <c r="AR651" i="1"/>
  <c r="AG651" i="1"/>
  <c r="AH651" i="1" s="1"/>
  <c r="N647" i="1"/>
  <c r="AR647" i="1"/>
  <c r="AG647" i="1"/>
  <c r="AH647" i="1" s="1"/>
  <c r="N643" i="1"/>
  <c r="AR643" i="1"/>
  <c r="AG643" i="1"/>
  <c r="AH643" i="1" s="1"/>
  <c r="N639" i="1"/>
  <c r="AR639" i="1"/>
  <c r="AG639" i="1"/>
  <c r="AH639" i="1" s="1"/>
  <c r="N635" i="1"/>
  <c r="AR635" i="1"/>
  <c r="AG635" i="1"/>
  <c r="AH635" i="1" s="1"/>
  <c r="N631" i="1"/>
  <c r="AR631" i="1"/>
  <c r="AG631" i="1"/>
  <c r="AH631" i="1" s="1"/>
  <c r="N627" i="1"/>
  <c r="AR627" i="1"/>
  <c r="AG627" i="1"/>
  <c r="AH627" i="1" s="1"/>
  <c r="N623" i="1"/>
  <c r="AR623" i="1"/>
  <c r="AG623" i="1"/>
  <c r="AH623" i="1" s="1"/>
  <c r="N619" i="1"/>
  <c r="AR619" i="1"/>
  <c r="AG619" i="1"/>
  <c r="AH619" i="1" s="1"/>
  <c r="N615" i="1"/>
  <c r="AR615" i="1"/>
  <c r="AG615" i="1"/>
  <c r="AH615" i="1" s="1"/>
  <c r="N611" i="1"/>
  <c r="AR611" i="1"/>
  <c r="AG611" i="1"/>
  <c r="AH611" i="1" s="1"/>
  <c r="N607" i="1"/>
  <c r="AR607" i="1"/>
  <c r="AG607" i="1"/>
  <c r="AH607" i="1" s="1"/>
  <c r="AO736" i="1"/>
  <c r="G736" i="1"/>
  <c r="AO732" i="1"/>
  <c r="G732" i="1"/>
  <c r="AO728" i="1"/>
  <c r="G728" i="1"/>
  <c r="AO724" i="1"/>
  <c r="G724" i="1"/>
  <c r="AO720" i="1"/>
  <c r="G720" i="1"/>
  <c r="AO716" i="1"/>
  <c r="G716" i="1"/>
  <c r="AZ713" i="1"/>
  <c r="AK713" i="1"/>
  <c r="P713" i="1"/>
  <c r="AR712" i="1"/>
  <c r="N712" i="1"/>
  <c r="AY712" i="1" s="1"/>
  <c r="AG712" i="1"/>
  <c r="AH712" i="1" s="1"/>
  <c r="AG711" i="1"/>
  <c r="AH711" i="1" s="1"/>
  <c r="N711" i="1"/>
  <c r="AY711" i="1" s="1"/>
  <c r="AR711" i="1"/>
  <c r="AO709" i="1"/>
  <c r="G709" i="1"/>
  <c r="P707" i="1"/>
  <c r="AY707" i="1"/>
  <c r="AO706" i="1"/>
  <c r="G706" i="1"/>
  <c r="AR703" i="1"/>
  <c r="N703" i="1"/>
  <c r="AY703" i="1" s="1"/>
  <c r="AG703" i="1"/>
  <c r="AH703" i="1" s="1"/>
  <c r="P702" i="1"/>
  <c r="AG699" i="1"/>
  <c r="AH699" i="1" s="1"/>
  <c r="N699" i="1"/>
  <c r="AY699" i="1" s="1"/>
  <c r="AR699" i="1"/>
  <c r="P698" i="1"/>
  <c r="N694" i="1"/>
  <c r="AR694" i="1"/>
  <c r="AG694" i="1"/>
  <c r="AH694" i="1" s="1"/>
  <c r="N690" i="1"/>
  <c r="AR690" i="1"/>
  <c r="AG690" i="1"/>
  <c r="AH690" i="1" s="1"/>
  <c r="N686" i="1"/>
  <c r="AR686" i="1"/>
  <c r="AG686" i="1"/>
  <c r="AH686" i="1" s="1"/>
  <c r="N682" i="1"/>
  <c r="AR682" i="1"/>
  <c r="AG682" i="1"/>
  <c r="AH682" i="1" s="1"/>
  <c r="N678" i="1"/>
  <c r="AR678" i="1"/>
  <c r="AG678" i="1"/>
  <c r="AH678" i="1" s="1"/>
  <c r="N674" i="1"/>
  <c r="AR674" i="1"/>
  <c r="AG674" i="1"/>
  <c r="AH674" i="1" s="1"/>
  <c r="N670" i="1"/>
  <c r="AR670" i="1"/>
  <c r="AG670" i="1"/>
  <c r="AH670" i="1" s="1"/>
  <c r="N666" i="1"/>
  <c r="AR666" i="1"/>
  <c r="AG666" i="1"/>
  <c r="AH666" i="1" s="1"/>
  <c r="N662" i="1"/>
  <c r="AR662" i="1"/>
  <c r="AG662" i="1"/>
  <c r="AH662" i="1" s="1"/>
  <c r="N658" i="1"/>
  <c r="AR658" i="1"/>
  <c r="AG658" i="1"/>
  <c r="AH658" i="1" s="1"/>
  <c r="N654" i="1"/>
  <c r="AR654" i="1"/>
  <c r="AG654" i="1"/>
  <c r="AH654" i="1" s="1"/>
  <c r="N650" i="1"/>
  <c r="AR650" i="1"/>
  <c r="AG650" i="1"/>
  <c r="AH650" i="1" s="1"/>
  <c r="N646" i="1"/>
  <c r="AR646" i="1"/>
  <c r="AG646" i="1"/>
  <c r="AH646" i="1" s="1"/>
  <c r="N642" i="1"/>
  <c r="AR642" i="1"/>
  <c r="AG642" i="1"/>
  <c r="AH642" i="1" s="1"/>
  <c r="N638" i="1"/>
  <c r="AR638" i="1"/>
  <c r="AG638" i="1"/>
  <c r="AH638" i="1" s="1"/>
  <c r="N634" i="1"/>
  <c r="AR634" i="1"/>
  <c r="AG634" i="1"/>
  <c r="AH634" i="1" s="1"/>
  <c r="N630" i="1"/>
  <c r="AR630" i="1"/>
  <c r="AG630" i="1"/>
  <c r="AH630" i="1" s="1"/>
  <c r="N626" i="1"/>
  <c r="AR626" i="1"/>
  <c r="AG626" i="1"/>
  <c r="AH626" i="1" s="1"/>
  <c r="N622" i="1"/>
  <c r="AR622" i="1"/>
  <c r="AG622" i="1"/>
  <c r="AH622" i="1" s="1"/>
  <c r="N618" i="1"/>
  <c r="AR618" i="1"/>
  <c r="AG618" i="1"/>
  <c r="AH618" i="1" s="1"/>
  <c r="N614" i="1"/>
  <c r="AR614" i="1"/>
  <c r="AG614" i="1"/>
  <c r="AH614" i="1" s="1"/>
  <c r="N610" i="1"/>
  <c r="AR610" i="1"/>
  <c r="AG610" i="1"/>
  <c r="AH610" i="1" s="1"/>
  <c r="N606" i="1"/>
  <c r="AR606" i="1"/>
  <c r="AG606" i="1"/>
  <c r="AH606" i="1" s="1"/>
  <c r="AO737" i="1"/>
  <c r="G737" i="1"/>
  <c r="AO733" i="1"/>
  <c r="G733" i="1"/>
  <c r="AO729" i="1"/>
  <c r="G729" i="1"/>
  <c r="AO725" i="1"/>
  <c r="G725" i="1"/>
  <c r="AO721" i="1"/>
  <c r="G721" i="1"/>
  <c r="AO717" i="1"/>
  <c r="G717" i="1"/>
  <c r="P715" i="1"/>
  <c r="AY715" i="1"/>
  <c r="AR713" i="1"/>
  <c r="N713" i="1"/>
  <c r="AY713" i="1" s="1"/>
  <c r="AG713" i="1"/>
  <c r="AH713" i="1" s="1"/>
  <c r="AZ710" i="1"/>
  <c r="AK710" i="1"/>
  <c r="AO708" i="1"/>
  <c r="G708" i="1"/>
  <c r="AO705" i="1"/>
  <c r="G705" i="1"/>
  <c r="AO704" i="1"/>
  <c r="G704" i="1"/>
  <c r="AG702" i="1"/>
  <c r="AH702" i="1" s="1"/>
  <c r="N702" i="1"/>
  <c r="AY702" i="1" s="1"/>
  <c r="AR702" i="1"/>
  <c r="P701" i="1"/>
  <c r="AG698" i="1"/>
  <c r="AH698" i="1" s="1"/>
  <c r="N698" i="1"/>
  <c r="AY698" i="1" s="1"/>
  <c r="AR698" i="1"/>
  <c r="N693" i="1"/>
  <c r="AR693" i="1"/>
  <c r="AG693" i="1"/>
  <c r="AH693" i="1" s="1"/>
  <c r="N689" i="1"/>
  <c r="AR689" i="1"/>
  <c r="AG689" i="1"/>
  <c r="AH689" i="1" s="1"/>
  <c r="N685" i="1"/>
  <c r="AR685" i="1"/>
  <c r="AG685" i="1"/>
  <c r="AH685" i="1" s="1"/>
  <c r="N681" i="1"/>
  <c r="AR681" i="1"/>
  <c r="AG681" i="1"/>
  <c r="AH681" i="1" s="1"/>
  <c r="N677" i="1"/>
  <c r="AR677" i="1"/>
  <c r="AG677" i="1"/>
  <c r="AH677" i="1" s="1"/>
  <c r="N673" i="1"/>
  <c r="AR673" i="1"/>
  <c r="AG673" i="1"/>
  <c r="AH673" i="1" s="1"/>
  <c r="N669" i="1"/>
  <c r="AR669" i="1"/>
  <c r="AG669" i="1"/>
  <c r="AH669" i="1" s="1"/>
  <c r="N665" i="1"/>
  <c r="AR665" i="1"/>
  <c r="AG665" i="1"/>
  <c r="AH665" i="1" s="1"/>
  <c r="N661" i="1"/>
  <c r="AR661" i="1"/>
  <c r="AG661" i="1"/>
  <c r="AH661" i="1" s="1"/>
  <c r="N657" i="1"/>
  <c r="AR657" i="1"/>
  <c r="AG657" i="1"/>
  <c r="AH657" i="1" s="1"/>
  <c r="N653" i="1"/>
  <c r="AR653" i="1"/>
  <c r="AG653" i="1"/>
  <c r="AH653" i="1" s="1"/>
  <c r="N649" i="1"/>
  <c r="AR649" i="1"/>
  <c r="AG649" i="1"/>
  <c r="AH649" i="1" s="1"/>
  <c r="N645" i="1"/>
  <c r="AR645" i="1"/>
  <c r="AG645" i="1"/>
  <c r="AH645" i="1" s="1"/>
  <c r="N641" i="1"/>
  <c r="AR641" i="1"/>
  <c r="AG641" i="1"/>
  <c r="AH641" i="1" s="1"/>
  <c r="N637" i="1"/>
  <c r="AR637" i="1"/>
  <c r="AG637" i="1"/>
  <c r="AH637" i="1" s="1"/>
  <c r="N633" i="1"/>
  <c r="AR633" i="1"/>
  <c r="AG633" i="1"/>
  <c r="AH633" i="1" s="1"/>
  <c r="N629" i="1"/>
  <c r="AR629" i="1"/>
  <c r="AG629" i="1"/>
  <c r="AH629" i="1" s="1"/>
  <c r="N625" i="1"/>
  <c r="AR625" i="1"/>
  <c r="AG625" i="1"/>
  <c r="AH625" i="1" s="1"/>
  <c r="N621" i="1"/>
  <c r="AR621" i="1"/>
  <c r="AG621" i="1"/>
  <c r="AH621" i="1" s="1"/>
  <c r="N617" i="1"/>
  <c r="AR617" i="1"/>
  <c r="AG617" i="1"/>
  <c r="AH617" i="1" s="1"/>
  <c r="N613" i="1"/>
  <c r="AR613" i="1"/>
  <c r="AG613" i="1"/>
  <c r="AH613" i="1" s="1"/>
  <c r="N609" i="1"/>
  <c r="AR609" i="1"/>
  <c r="AG609" i="1"/>
  <c r="AH609" i="1" s="1"/>
  <c r="N605" i="1"/>
  <c r="AR605" i="1"/>
  <c r="AG605" i="1"/>
  <c r="AH605" i="1" s="1"/>
  <c r="P599" i="1"/>
  <c r="AK599" i="1"/>
  <c r="P595" i="1"/>
  <c r="AK595" i="1"/>
  <c r="P594" i="1"/>
  <c r="AK594" i="1"/>
  <c r="AG565" i="1"/>
  <c r="AH565" i="1" s="1"/>
  <c r="N565" i="1"/>
  <c r="AY565" i="1" s="1"/>
  <c r="AR565" i="1"/>
  <c r="AG561" i="1"/>
  <c r="AH561" i="1" s="1"/>
  <c r="N561" i="1"/>
  <c r="AY561" i="1" s="1"/>
  <c r="AR561" i="1"/>
  <c r="AG557" i="1"/>
  <c r="AH557" i="1" s="1"/>
  <c r="N557" i="1"/>
  <c r="AY557" i="1" s="1"/>
  <c r="AR557" i="1"/>
  <c r="AG553" i="1"/>
  <c r="AH553" i="1" s="1"/>
  <c r="N553" i="1"/>
  <c r="AY553" i="1" s="1"/>
  <c r="AR553" i="1"/>
  <c r="T549" i="1"/>
  <c r="BE549" i="1" s="1"/>
  <c r="BA549" i="1"/>
  <c r="Q549" i="1"/>
  <c r="S549" i="1"/>
  <c r="BC549" i="1" s="1"/>
  <c r="T548" i="1"/>
  <c r="BE548" i="1" s="1"/>
  <c r="BA548" i="1"/>
  <c r="Q548" i="1"/>
  <c r="S548" i="1"/>
  <c r="BC548" i="1" s="1"/>
  <c r="T547" i="1"/>
  <c r="BE547" i="1" s="1"/>
  <c r="BA547" i="1"/>
  <c r="Q547" i="1"/>
  <c r="S547" i="1"/>
  <c r="BC547" i="1" s="1"/>
  <c r="AG546" i="1"/>
  <c r="AH546" i="1" s="1"/>
  <c r="N546" i="1"/>
  <c r="AY546" i="1" s="1"/>
  <c r="AR546" i="1"/>
  <c r="AG715" i="1"/>
  <c r="AH715" i="1" s="1"/>
  <c r="AG714" i="1"/>
  <c r="AH714" i="1" s="1"/>
  <c r="AO712" i="1"/>
  <c r="BD711" i="1"/>
  <c r="O711" i="1"/>
  <c r="AG707" i="1"/>
  <c r="AH707" i="1" s="1"/>
  <c r="BL705" i="1"/>
  <c r="AK703" i="1"/>
  <c r="AZ702" i="1"/>
  <c r="AZ701" i="1"/>
  <c r="AZ700" i="1"/>
  <c r="AZ699" i="1"/>
  <c r="AZ698" i="1"/>
  <c r="AO695" i="1"/>
  <c r="AO694" i="1"/>
  <c r="AO693" i="1"/>
  <c r="AO692" i="1"/>
  <c r="AO691" i="1"/>
  <c r="AO690" i="1"/>
  <c r="AO689" i="1"/>
  <c r="AO688" i="1"/>
  <c r="AO687" i="1"/>
  <c r="AO686" i="1"/>
  <c r="AO685" i="1"/>
  <c r="AO684" i="1"/>
  <c r="AO683" i="1"/>
  <c r="AO682" i="1"/>
  <c r="AO681" i="1"/>
  <c r="AO680" i="1"/>
  <c r="AO679" i="1"/>
  <c r="AO678" i="1"/>
  <c r="AO677" i="1"/>
  <c r="AO676" i="1"/>
  <c r="AO675" i="1"/>
  <c r="AO674" i="1"/>
  <c r="AO673" i="1"/>
  <c r="AO672" i="1"/>
  <c r="AO671" i="1"/>
  <c r="AO670" i="1"/>
  <c r="AO669" i="1"/>
  <c r="AO668" i="1"/>
  <c r="AO667" i="1"/>
  <c r="AO666" i="1"/>
  <c r="AO665" i="1"/>
  <c r="AO664" i="1"/>
  <c r="AO663" i="1"/>
  <c r="AO662" i="1"/>
  <c r="AO661" i="1"/>
  <c r="AO660" i="1"/>
  <c r="AO659" i="1"/>
  <c r="AO658" i="1"/>
  <c r="AO657" i="1"/>
  <c r="AO656" i="1"/>
  <c r="AO655" i="1"/>
  <c r="AO654" i="1"/>
  <c r="AO653" i="1"/>
  <c r="AO652" i="1"/>
  <c r="AO651" i="1"/>
  <c r="AO650" i="1"/>
  <c r="AO649" i="1"/>
  <c r="AO648" i="1"/>
  <c r="AO647" i="1"/>
  <c r="AO646" i="1"/>
  <c r="AO645" i="1"/>
  <c r="AO644" i="1"/>
  <c r="AO643" i="1"/>
  <c r="AO642" i="1"/>
  <c r="AO641" i="1"/>
  <c r="AO640" i="1"/>
  <c r="AO639" i="1"/>
  <c r="AO638" i="1"/>
  <c r="AO637" i="1"/>
  <c r="AO636" i="1"/>
  <c r="AO635" i="1"/>
  <c r="AO634" i="1"/>
  <c r="AO633" i="1"/>
  <c r="AO632" i="1"/>
  <c r="AO631" i="1"/>
  <c r="AO630" i="1"/>
  <c r="AO629" i="1"/>
  <c r="AO628" i="1"/>
  <c r="AO627" i="1"/>
  <c r="AO626" i="1"/>
  <c r="AO625" i="1"/>
  <c r="AO624" i="1"/>
  <c r="AO623" i="1"/>
  <c r="AO622" i="1"/>
  <c r="AO621" i="1"/>
  <c r="AO620" i="1"/>
  <c r="AO619" i="1"/>
  <c r="AO618" i="1"/>
  <c r="AO617" i="1"/>
  <c r="AO616" i="1"/>
  <c r="AO615" i="1"/>
  <c r="AO614" i="1"/>
  <c r="AO613" i="1"/>
  <c r="AO612" i="1"/>
  <c r="AO611" i="1"/>
  <c r="AO610" i="1"/>
  <c r="AO609" i="1"/>
  <c r="AO608" i="1"/>
  <c r="AO607" i="1"/>
  <c r="AO606" i="1"/>
  <c r="AO605" i="1"/>
  <c r="AO604" i="1"/>
  <c r="BA603" i="1"/>
  <c r="T603" i="1"/>
  <c r="BE603" i="1" s="1"/>
  <c r="P602" i="1"/>
  <c r="AK602" i="1"/>
  <c r="P598" i="1"/>
  <c r="AK598" i="1"/>
  <c r="AG572" i="1"/>
  <c r="AH572" i="1" s="1"/>
  <c r="N572" i="1"/>
  <c r="AY572" i="1" s="1"/>
  <c r="AR572" i="1"/>
  <c r="AG564" i="1"/>
  <c r="AH564" i="1" s="1"/>
  <c r="N564" i="1"/>
  <c r="AY564" i="1" s="1"/>
  <c r="AR564" i="1"/>
  <c r="AG560" i="1"/>
  <c r="AH560" i="1" s="1"/>
  <c r="N560" i="1"/>
  <c r="AY560" i="1" s="1"/>
  <c r="AR560" i="1"/>
  <c r="AG556" i="1"/>
  <c r="AH556" i="1" s="1"/>
  <c r="N556" i="1"/>
  <c r="AY556" i="1" s="1"/>
  <c r="AR556" i="1"/>
  <c r="AG552" i="1"/>
  <c r="AH552" i="1" s="1"/>
  <c r="N552" i="1"/>
  <c r="AY552" i="1" s="1"/>
  <c r="AR552" i="1"/>
  <c r="T545" i="1"/>
  <c r="BE545" i="1" s="1"/>
  <c r="BA545" i="1"/>
  <c r="Q545" i="1"/>
  <c r="S545" i="1"/>
  <c r="BC545" i="1" s="1"/>
  <c r="T544" i="1"/>
  <c r="BE544" i="1" s="1"/>
  <c r="BA544" i="1"/>
  <c r="Q544" i="1"/>
  <c r="S544" i="1"/>
  <c r="BC544" i="1" s="1"/>
  <c r="T543" i="1"/>
  <c r="BE543" i="1" s="1"/>
  <c r="BA543" i="1"/>
  <c r="Q543" i="1"/>
  <c r="S543" i="1"/>
  <c r="BC543" i="1" s="1"/>
  <c r="T542" i="1"/>
  <c r="BE542" i="1" s="1"/>
  <c r="BA542" i="1"/>
  <c r="Q542" i="1"/>
  <c r="S542" i="1"/>
  <c r="BC542" i="1" s="1"/>
  <c r="T541" i="1"/>
  <c r="BE541" i="1" s="1"/>
  <c r="BA541" i="1"/>
  <c r="Q541" i="1"/>
  <c r="S541" i="1"/>
  <c r="BC541" i="1" s="1"/>
  <c r="T540" i="1"/>
  <c r="BE540" i="1" s="1"/>
  <c r="BA540" i="1"/>
  <c r="Q540" i="1"/>
  <c r="S540" i="1"/>
  <c r="BC540" i="1" s="1"/>
  <c r="T539" i="1"/>
  <c r="BE539" i="1" s="1"/>
  <c r="BA539" i="1"/>
  <c r="Q539" i="1"/>
  <c r="S539" i="1"/>
  <c r="BC539" i="1" s="1"/>
  <c r="T538" i="1"/>
  <c r="BE538" i="1" s="1"/>
  <c r="BA538" i="1"/>
  <c r="Q538" i="1"/>
  <c r="S538" i="1"/>
  <c r="BC538" i="1" s="1"/>
  <c r="T537" i="1"/>
  <c r="BE537" i="1" s="1"/>
  <c r="BA537" i="1"/>
  <c r="Q537" i="1"/>
  <c r="S537" i="1"/>
  <c r="BC537" i="1" s="1"/>
  <c r="T536" i="1"/>
  <c r="BE536" i="1" s="1"/>
  <c r="BA536" i="1"/>
  <c r="Q536" i="1"/>
  <c r="S536" i="1"/>
  <c r="BC536" i="1" s="1"/>
  <c r="T535" i="1"/>
  <c r="BE535" i="1" s="1"/>
  <c r="BA535" i="1"/>
  <c r="Q535" i="1"/>
  <c r="S535" i="1"/>
  <c r="BC535" i="1" s="1"/>
  <c r="T534" i="1"/>
  <c r="BE534" i="1" s="1"/>
  <c r="BA534" i="1"/>
  <c r="Q534" i="1"/>
  <c r="S534" i="1"/>
  <c r="BC534" i="1" s="1"/>
  <c r="T533" i="1"/>
  <c r="BE533" i="1" s="1"/>
  <c r="BA533" i="1"/>
  <c r="Q533" i="1"/>
  <c r="S533" i="1"/>
  <c r="BC533" i="1" s="1"/>
  <c r="T532" i="1"/>
  <c r="BE532" i="1" s="1"/>
  <c r="BA532" i="1"/>
  <c r="Q532" i="1"/>
  <c r="S532" i="1"/>
  <c r="BC532" i="1" s="1"/>
  <c r="T531" i="1"/>
  <c r="BE531" i="1" s="1"/>
  <c r="BA531" i="1"/>
  <c r="Q531" i="1"/>
  <c r="S531" i="1"/>
  <c r="BC531" i="1" s="1"/>
  <c r="T530" i="1"/>
  <c r="BE530" i="1" s="1"/>
  <c r="BA530" i="1"/>
  <c r="Q530" i="1"/>
  <c r="S530" i="1"/>
  <c r="BC530" i="1" s="1"/>
  <c r="T529" i="1"/>
  <c r="BE529" i="1" s="1"/>
  <c r="BA529" i="1"/>
  <c r="Q529" i="1"/>
  <c r="S529" i="1"/>
  <c r="BC529" i="1" s="1"/>
  <c r="T528" i="1"/>
  <c r="BE528" i="1" s="1"/>
  <c r="BA528" i="1"/>
  <c r="Q528" i="1"/>
  <c r="S528" i="1"/>
  <c r="BC528" i="1" s="1"/>
  <c r="T527" i="1"/>
  <c r="BE527" i="1" s="1"/>
  <c r="BA527" i="1"/>
  <c r="Q527" i="1"/>
  <c r="S527" i="1"/>
  <c r="BC527" i="1" s="1"/>
  <c r="T526" i="1"/>
  <c r="BE526" i="1" s="1"/>
  <c r="BA526" i="1"/>
  <c r="Q526" i="1"/>
  <c r="S526" i="1"/>
  <c r="BC526" i="1" s="1"/>
  <c r="T525" i="1"/>
  <c r="BE525" i="1" s="1"/>
  <c r="BA525" i="1"/>
  <c r="Q525" i="1"/>
  <c r="S525" i="1"/>
  <c r="BC525" i="1" s="1"/>
  <c r="T524" i="1"/>
  <c r="BE524" i="1" s="1"/>
  <c r="BA524" i="1"/>
  <c r="Q524" i="1"/>
  <c r="S524" i="1"/>
  <c r="BC524" i="1" s="1"/>
  <c r="T523" i="1"/>
  <c r="BE523" i="1" s="1"/>
  <c r="BA523" i="1"/>
  <c r="Q523" i="1"/>
  <c r="S523" i="1"/>
  <c r="BC523" i="1" s="1"/>
  <c r="T522" i="1"/>
  <c r="BE522" i="1" s="1"/>
  <c r="BA522" i="1"/>
  <c r="Q522" i="1"/>
  <c r="S522" i="1"/>
  <c r="BC522" i="1" s="1"/>
  <c r="T521" i="1"/>
  <c r="BE521" i="1" s="1"/>
  <c r="BA521" i="1"/>
  <c r="Q521" i="1"/>
  <c r="S521" i="1"/>
  <c r="BC521" i="1" s="1"/>
  <c r="T520" i="1"/>
  <c r="BE520" i="1" s="1"/>
  <c r="BA520" i="1"/>
  <c r="Q520" i="1"/>
  <c r="S520" i="1"/>
  <c r="BC520" i="1" s="1"/>
  <c r="T519" i="1"/>
  <c r="BE519" i="1" s="1"/>
  <c r="BA519" i="1"/>
  <c r="Q519" i="1"/>
  <c r="S519" i="1"/>
  <c r="BC519" i="1" s="1"/>
  <c r="T518" i="1"/>
  <c r="BE518" i="1" s="1"/>
  <c r="BA518" i="1"/>
  <c r="Q518" i="1"/>
  <c r="S518" i="1"/>
  <c r="BC518" i="1" s="1"/>
  <c r="T517" i="1"/>
  <c r="BE517" i="1" s="1"/>
  <c r="BA517" i="1"/>
  <c r="Q517" i="1"/>
  <c r="S517" i="1"/>
  <c r="BC517" i="1" s="1"/>
  <c r="T516" i="1"/>
  <c r="BE516" i="1" s="1"/>
  <c r="BA516" i="1"/>
  <c r="Q516" i="1"/>
  <c r="S516" i="1"/>
  <c r="BC516" i="1" s="1"/>
  <c r="T515" i="1"/>
  <c r="BE515" i="1" s="1"/>
  <c r="BA515" i="1"/>
  <c r="Q515" i="1"/>
  <c r="S515" i="1"/>
  <c r="BC515" i="1" s="1"/>
  <c r="T514" i="1"/>
  <c r="BE514" i="1" s="1"/>
  <c r="BA514" i="1"/>
  <c r="Q514" i="1"/>
  <c r="S514" i="1"/>
  <c r="BC514" i="1" s="1"/>
  <c r="T513" i="1"/>
  <c r="BE513" i="1" s="1"/>
  <c r="BA513" i="1"/>
  <c r="Q513" i="1"/>
  <c r="S513" i="1"/>
  <c r="BC513" i="1" s="1"/>
  <c r="T512" i="1"/>
  <c r="BE512" i="1" s="1"/>
  <c r="BA512" i="1"/>
  <c r="Q512" i="1"/>
  <c r="S512" i="1"/>
  <c r="BC512" i="1" s="1"/>
  <c r="T511" i="1"/>
  <c r="BE511" i="1" s="1"/>
  <c r="BA511" i="1"/>
  <c r="Q511" i="1"/>
  <c r="S511" i="1"/>
  <c r="BC511" i="1" s="1"/>
  <c r="T510" i="1"/>
  <c r="BE510" i="1" s="1"/>
  <c r="BA510" i="1"/>
  <c r="Q510" i="1"/>
  <c r="S510" i="1"/>
  <c r="BC510" i="1" s="1"/>
  <c r="T509" i="1"/>
  <c r="BE509" i="1" s="1"/>
  <c r="BA509" i="1"/>
  <c r="Q509" i="1"/>
  <c r="S509" i="1"/>
  <c r="BC509" i="1" s="1"/>
  <c r="T508" i="1"/>
  <c r="BE508" i="1" s="1"/>
  <c r="BA508" i="1"/>
  <c r="Q508" i="1"/>
  <c r="S508" i="1"/>
  <c r="BC508" i="1" s="1"/>
  <c r="T507" i="1"/>
  <c r="BE507" i="1" s="1"/>
  <c r="BA507" i="1"/>
  <c r="Q507" i="1"/>
  <c r="S507" i="1"/>
  <c r="BC507" i="1" s="1"/>
  <c r="T506" i="1"/>
  <c r="BE506" i="1" s="1"/>
  <c r="BA506" i="1"/>
  <c r="Q506" i="1"/>
  <c r="S506" i="1"/>
  <c r="BC506" i="1" s="1"/>
  <c r="T505" i="1"/>
  <c r="BE505" i="1" s="1"/>
  <c r="BA505" i="1"/>
  <c r="Q505" i="1"/>
  <c r="S505" i="1"/>
  <c r="BC505" i="1" s="1"/>
  <c r="T504" i="1"/>
  <c r="BE504" i="1" s="1"/>
  <c r="BA504" i="1"/>
  <c r="Q504" i="1"/>
  <c r="S504" i="1"/>
  <c r="BC504" i="1" s="1"/>
  <c r="AO713" i="1"/>
  <c r="AZ712" i="1"/>
  <c r="AO703" i="1"/>
  <c r="AZ603" i="1"/>
  <c r="S603" i="1"/>
  <c r="BC603" i="1" s="1"/>
  <c r="P601" i="1"/>
  <c r="AK601" i="1"/>
  <c r="AG599" i="1"/>
  <c r="AH599" i="1" s="1"/>
  <c r="P597" i="1"/>
  <c r="AK597" i="1"/>
  <c r="AG595" i="1"/>
  <c r="AH595" i="1" s="1"/>
  <c r="AG594" i="1"/>
  <c r="AH594" i="1" s="1"/>
  <c r="AK593" i="1"/>
  <c r="AZ593" i="1"/>
  <c r="P592" i="1"/>
  <c r="AK592" i="1"/>
  <c r="AZ592" i="1"/>
  <c r="AK591" i="1"/>
  <c r="AZ591" i="1"/>
  <c r="P590" i="1"/>
  <c r="AK590" i="1"/>
  <c r="AZ590" i="1"/>
  <c r="AK589" i="1"/>
  <c r="AZ589" i="1"/>
  <c r="P588" i="1"/>
  <c r="AK588" i="1"/>
  <c r="AZ588" i="1"/>
  <c r="AK587" i="1"/>
  <c r="AZ587" i="1"/>
  <c r="P586" i="1"/>
  <c r="AK586" i="1"/>
  <c r="AZ586" i="1"/>
  <c r="AK585" i="1"/>
  <c r="AZ585" i="1"/>
  <c r="P584" i="1"/>
  <c r="AK584" i="1"/>
  <c r="AZ584" i="1"/>
  <c r="AK583" i="1"/>
  <c r="AZ583" i="1"/>
  <c r="P582" i="1"/>
  <c r="AK582" i="1"/>
  <c r="AZ582" i="1"/>
  <c r="AK581" i="1"/>
  <c r="AZ581" i="1"/>
  <c r="P580" i="1"/>
  <c r="AK580" i="1"/>
  <c r="AZ580" i="1"/>
  <c r="AK579" i="1"/>
  <c r="AZ579" i="1"/>
  <c r="AK578" i="1"/>
  <c r="AZ578" i="1"/>
  <c r="AK577" i="1"/>
  <c r="AZ577" i="1"/>
  <c r="P576" i="1"/>
  <c r="AK576" i="1"/>
  <c r="AZ576" i="1"/>
  <c r="AK575" i="1"/>
  <c r="AZ575" i="1"/>
  <c r="AK574" i="1"/>
  <c r="AZ574" i="1"/>
  <c r="AK573" i="1"/>
  <c r="AZ573" i="1"/>
  <c r="T571" i="1"/>
  <c r="BE571" i="1" s="1"/>
  <c r="BA571" i="1"/>
  <c r="Q571" i="1"/>
  <c r="S571" i="1"/>
  <c r="BC571" i="1" s="1"/>
  <c r="T570" i="1"/>
  <c r="BE570" i="1" s="1"/>
  <c r="BA570" i="1"/>
  <c r="Q570" i="1"/>
  <c r="S570" i="1"/>
  <c r="BC570" i="1" s="1"/>
  <c r="T569" i="1"/>
  <c r="BE569" i="1" s="1"/>
  <c r="BA569" i="1"/>
  <c r="Q569" i="1"/>
  <c r="S569" i="1"/>
  <c r="BC569" i="1" s="1"/>
  <c r="T568" i="1"/>
  <c r="BE568" i="1" s="1"/>
  <c r="BA568" i="1"/>
  <c r="Q568" i="1"/>
  <c r="S568" i="1"/>
  <c r="BC568" i="1" s="1"/>
  <c r="AG567" i="1"/>
  <c r="AH567" i="1" s="1"/>
  <c r="N567" i="1"/>
  <c r="AY567" i="1" s="1"/>
  <c r="AR567" i="1"/>
  <c r="AG563" i="1"/>
  <c r="AH563" i="1" s="1"/>
  <c r="N563" i="1"/>
  <c r="AY563" i="1" s="1"/>
  <c r="AR563" i="1"/>
  <c r="AG559" i="1"/>
  <c r="AH559" i="1" s="1"/>
  <c r="N559" i="1"/>
  <c r="AY559" i="1" s="1"/>
  <c r="AR559" i="1"/>
  <c r="AG555" i="1"/>
  <c r="AH555" i="1" s="1"/>
  <c r="N555" i="1"/>
  <c r="AY555" i="1" s="1"/>
  <c r="AR555" i="1"/>
  <c r="AG551" i="1"/>
  <c r="AH551" i="1" s="1"/>
  <c r="N551" i="1"/>
  <c r="AY551" i="1" s="1"/>
  <c r="AR551" i="1"/>
  <c r="AR715" i="1"/>
  <c r="AR714" i="1"/>
  <c r="AR707" i="1"/>
  <c r="AZ703" i="1"/>
  <c r="AK702" i="1"/>
  <c r="AK701" i="1"/>
  <c r="AK700" i="1"/>
  <c r="AK699" i="1"/>
  <c r="AK698" i="1"/>
  <c r="AG602" i="1"/>
  <c r="AH602" i="1" s="1"/>
  <c r="P600" i="1"/>
  <c r="AK600" i="1"/>
  <c r="AZ599" i="1"/>
  <c r="AG598" i="1"/>
  <c r="AH598" i="1" s="1"/>
  <c r="P596" i="1"/>
  <c r="AK596" i="1"/>
  <c r="AZ595" i="1"/>
  <c r="AG593" i="1"/>
  <c r="AH593" i="1" s="1"/>
  <c r="N593" i="1"/>
  <c r="AY593" i="1" s="1"/>
  <c r="AR593" i="1"/>
  <c r="AG592" i="1"/>
  <c r="AH592" i="1" s="1"/>
  <c r="N592" i="1"/>
  <c r="AY592" i="1" s="1"/>
  <c r="AR592" i="1"/>
  <c r="AG591" i="1"/>
  <c r="AH591" i="1" s="1"/>
  <c r="N591" i="1"/>
  <c r="AY591" i="1" s="1"/>
  <c r="AR591" i="1"/>
  <c r="AG590" i="1"/>
  <c r="AH590" i="1" s="1"/>
  <c r="N590" i="1"/>
  <c r="AY590" i="1" s="1"/>
  <c r="AR590" i="1"/>
  <c r="AG589" i="1"/>
  <c r="AH589" i="1" s="1"/>
  <c r="N589" i="1"/>
  <c r="AY589" i="1" s="1"/>
  <c r="AR589" i="1"/>
  <c r="AG588" i="1"/>
  <c r="AH588" i="1" s="1"/>
  <c r="N588" i="1"/>
  <c r="AY588" i="1" s="1"/>
  <c r="AR588" i="1"/>
  <c r="AG587" i="1"/>
  <c r="AH587" i="1" s="1"/>
  <c r="N587" i="1"/>
  <c r="AY587" i="1" s="1"/>
  <c r="AR587" i="1"/>
  <c r="AG586" i="1"/>
  <c r="AH586" i="1" s="1"/>
  <c r="N586" i="1"/>
  <c r="AY586" i="1" s="1"/>
  <c r="AR586" i="1"/>
  <c r="AG585" i="1"/>
  <c r="AH585" i="1" s="1"/>
  <c r="N585" i="1"/>
  <c r="AY585" i="1" s="1"/>
  <c r="AR585" i="1"/>
  <c r="AG584" i="1"/>
  <c r="AH584" i="1" s="1"/>
  <c r="N584" i="1"/>
  <c r="AY584" i="1" s="1"/>
  <c r="AR584" i="1"/>
  <c r="AG583" i="1"/>
  <c r="AH583" i="1" s="1"/>
  <c r="N583" i="1"/>
  <c r="AY583" i="1" s="1"/>
  <c r="AR583" i="1"/>
  <c r="AG582" i="1"/>
  <c r="AH582" i="1" s="1"/>
  <c r="N582" i="1"/>
  <c r="AY582" i="1" s="1"/>
  <c r="AR582" i="1"/>
  <c r="AG581" i="1"/>
  <c r="AH581" i="1" s="1"/>
  <c r="N581" i="1"/>
  <c r="AY581" i="1" s="1"/>
  <c r="AR581" i="1"/>
  <c r="AG580" i="1"/>
  <c r="AH580" i="1" s="1"/>
  <c r="N580" i="1"/>
  <c r="AY580" i="1" s="1"/>
  <c r="AR580" i="1"/>
  <c r="AG579" i="1"/>
  <c r="AH579" i="1" s="1"/>
  <c r="N579" i="1"/>
  <c r="AY579" i="1" s="1"/>
  <c r="AR579" i="1"/>
  <c r="AG578" i="1"/>
  <c r="AH578" i="1" s="1"/>
  <c r="N578" i="1"/>
  <c r="AY578" i="1" s="1"/>
  <c r="AR578" i="1"/>
  <c r="AG577" i="1"/>
  <c r="AH577" i="1" s="1"/>
  <c r="N577" i="1"/>
  <c r="AY577" i="1" s="1"/>
  <c r="AR577" i="1"/>
  <c r="AG576" i="1"/>
  <c r="AH576" i="1" s="1"/>
  <c r="N576" i="1"/>
  <c r="AY576" i="1" s="1"/>
  <c r="AR576" i="1"/>
  <c r="AG575" i="1"/>
  <c r="AH575" i="1" s="1"/>
  <c r="N575" i="1"/>
  <c r="AY575" i="1" s="1"/>
  <c r="AR575" i="1"/>
  <c r="AG574" i="1"/>
  <c r="AH574" i="1" s="1"/>
  <c r="N574" i="1"/>
  <c r="AY574" i="1" s="1"/>
  <c r="AR574" i="1"/>
  <c r="AG573" i="1"/>
  <c r="AH573" i="1" s="1"/>
  <c r="N573" i="1"/>
  <c r="AY573" i="1" s="1"/>
  <c r="AR573" i="1"/>
  <c r="AG566" i="1"/>
  <c r="AH566" i="1" s="1"/>
  <c r="N566" i="1"/>
  <c r="AY566" i="1" s="1"/>
  <c r="AR566" i="1"/>
  <c r="P565" i="1"/>
  <c r="AG562" i="1"/>
  <c r="AH562" i="1" s="1"/>
  <c r="N562" i="1"/>
  <c r="AY562" i="1" s="1"/>
  <c r="AR562" i="1"/>
  <c r="P561" i="1"/>
  <c r="AG558" i="1"/>
  <c r="AH558" i="1" s="1"/>
  <c r="N558" i="1"/>
  <c r="AY558" i="1" s="1"/>
  <c r="AR558" i="1"/>
  <c r="P557" i="1"/>
  <c r="AG554" i="1"/>
  <c r="AH554" i="1" s="1"/>
  <c r="N554" i="1"/>
  <c r="AY554" i="1" s="1"/>
  <c r="AR554" i="1"/>
  <c r="P553" i="1"/>
  <c r="AG550" i="1"/>
  <c r="AH550" i="1" s="1"/>
  <c r="N550" i="1"/>
  <c r="AY550" i="1" s="1"/>
  <c r="AR550" i="1"/>
  <c r="P546" i="1"/>
  <c r="AZ572" i="1"/>
  <c r="AZ571" i="1"/>
  <c r="AZ570" i="1"/>
  <c r="AZ569" i="1"/>
  <c r="AZ568" i="1"/>
  <c r="AZ567" i="1"/>
  <c r="AZ566" i="1"/>
  <c r="AZ565" i="1"/>
  <c r="AZ564" i="1"/>
  <c r="AZ563" i="1"/>
  <c r="AZ562" i="1"/>
  <c r="AZ561" i="1"/>
  <c r="AZ560" i="1"/>
  <c r="AZ559" i="1"/>
  <c r="AZ558" i="1"/>
  <c r="AZ557" i="1"/>
  <c r="AZ556" i="1"/>
  <c r="AZ555" i="1"/>
  <c r="AZ554" i="1"/>
  <c r="AZ553" i="1"/>
  <c r="AZ552" i="1"/>
  <c r="AZ551" i="1"/>
  <c r="AZ550" i="1"/>
  <c r="AZ549" i="1"/>
  <c r="AZ548" i="1"/>
  <c r="AZ547" i="1"/>
  <c r="AZ546" i="1"/>
  <c r="AZ545" i="1"/>
  <c r="AZ544" i="1"/>
  <c r="AZ543" i="1"/>
  <c r="AZ542" i="1"/>
  <c r="AZ541" i="1"/>
  <c r="AZ540" i="1"/>
  <c r="AZ539" i="1"/>
  <c r="AZ538" i="1"/>
  <c r="AZ537" i="1"/>
  <c r="AZ536" i="1"/>
  <c r="AZ535" i="1"/>
  <c r="AZ534" i="1"/>
  <c r="AZ533" i="1"/>
  <c r="AZ532" i="1"/>
  <c r="AZ531" i="1"/>
  <c r="AZ530" i="1"/>
  <c r="AZ529" i="1"/>
  <c r="AZ528" i="1"/>
  <c r="AZ527" i="1"/>
  <c r="AZ526" i="1"/>
  <c r="AZ525" i="1"/>
  <c r="AZ524" i="1"/>
  <c r="AZ523" i="1"/>
  <c r="AZ522" i="1"/>
  <c r="AZ521" i="1"/>
  <c r="AZ520" i="1"/>
  <c r="AZ519" i="1"/>
  <c r="AZ518" i="1"/>
  <c r="AZ517" i="1"/>
  <c r="AZ516" i="1"/>
  <c r="AZ515" i="1"/>
  <c r="AZ514" i="1"/>
  <c r="AZ513" i="1"/>
  <c r="AZ512" i="1"/>
  <c r="AZ511" i="1"/>
  <c r="AZ510" i="1"/>
  <c r="AZ509" i="1"/>
  <c r="AZ508" i="1"/>
  <c r="AZ507" i="1"/>
  <c r="AZ506" i="1"/>
  <c r="AZ505" i="1"/>
  <c r="AZ504" i="1"/>
  <c r="AK499" i="1"/>
  <c r="AG499" i="1"/>
  <c r="AH499" i="1" s="1"/>
  <c r="N499" i="1"/>
  <c r="AY499" i="1" s="1"/>
  <c r="AR499" i="1"/>
  <c r="AG495" i="1"/>
  <c r="AH495" i="1" s="1"/>
  <c r="N495" i="1"/>
  <c r="AY495" i="1" s="1"/>
  <c r="AR495" i="1"/>
  <c r="AG491" i="1"/>
  <c r="AH491" i="1" s="1"/>
  <c r="N491" i="1"/>
  <c r="AY491" i="1" s="1"/>
  <c r="AR491" i="1"/>
  <c r="AG487" i="1"/>
  <c r="AH487" i="1" s="1"/>
  <c r="N487" i="1"/>
  <c r="AY487" i="1" s="1"/>
  <c r="AR487" i="1"/>
  <c r="AG483" i="1"/>
  <c r="AH483" i="1" s="1"/>
  <c r="N483" i="1"/>
  <c r="AY483" i="1" s="1"/>
  <c r="AR483" i="1"/>
  <c r="AG475" i="1"/>
  <c r="AH475" i="1" s="1"/>
  <c r="AR475" i="1"/>
  <c r="N475" i="1"/>
  <c r="AY475" i="1" s="1"/>
  <c r="G473" i="1"/>
  <c r="G472" i="1"/>
  <c r="AO472" i="1"/>
  <c r="AZ467" i="1"/>
  <c r="AK467" i="1"/>
  <c r="P420" i="1"/>
  <c r="AG420" i="1"/>
  <c r="AH420" i="1" s="1"/>
  <c r="AK420" i="1"/>
  <c r="AZ420" i="1"/>
  <c r="AG419" i="1"/>
  <c r="AH419" i="1" s="1"/>
  <c r="N503" i="1"/>
  <c r="AR503" i="1"/>
  <c r="N502" i="1"/>
  <c r="AR502" i="1"/>
  <c r="N501" i="1"/>
  <c r="AR501" i="1"/>
  <c r="N500" i="1"/>
  <c r="AR500" i="1"/>
  <c r="AO499" i="1"/>
  <c r="AO498" i="1"/>
  <c r="AG496" i="1"/>
  <c r="AH496" i="1" s="1"/>
  <c r="N496" i="1"/>
  <c r="AR496" i="1"/>
  <c r="AK495" i="1"/>
  <c r="AO494" i="1"/>
  <c r="AG492" i="1"/>
  <c r="AH492" i="1" s="1"/>
  <c r="N492" i="1"/>
  <c r="AR492" i="1"/>
  <c r="AK491" i="1"/>
  <c r="AO490" i="1"/>
  <c r="AG488" i="1"/>
  <c r="AH488" i="1" s="1"/>
  <c r="N488" i="1"/>
  <c r="AR488" i="1"/>
  <c r="AK487" i="1"/>
  <c r="AO486" i="1"/>
  <c r="AG484" i="1"/>
  <c r="AH484" i="1" s="1"/>
  <c r="N484" i="1"/>
  <c r="AR484" i="1"/>
  <c r="AK483" i="1"/>
  <c r="AO482" i="1"/>
  <c r="AZ473" i="1"/>
  <c r="AK473" i="1"/>
  <c r="AZ470" i="1"/>
  <c r="AK470" i="1"/>
  <c r="AZ469" i="1"/>
  <c r="AK469" i="1"/>
  <c r="AZ468" i="1"/>
  <c r="AK468" i="1"/>
  <c r="G418" i="1"/>
  <c r="AO418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G549" i="1"/>
  <c r="AH549" i="1" s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P499" i="1"/>
  <c r="AG497" i="1"/>
  <c r="AH497" i="1" s="1"/>
  <c r="N497" i="1"/>
  <c r="AR497" i="1"/>
  <c r="AK496" i="1"/>
  <c r="AO495" i="1"/>
  <c r="P495" i="1"/>
  <c r="AG493" i="1"/>
  <c r="AH493" i="1" s="1"/>
  <c r="N493" i="1"/>
  <c r="AR493" i="1"/>
  <c r="AK492" i="1"/>
  <c r="AO491" i="1"/>
  <c r="P491" i="1"/>
  <c r="AG489" i="1"/>
  <c r="AH489" i="1" s="1"/>
  <c r="N489" i="1"/>
  <c r="AR489" i="1"/>
  <c r="AK488" i="1"/>
  <c r="AO487" i="1"/>
  <c r="P487" i="1"/>
  <c r="AG485" i="1"/>
  <c r="AH485" i="1" s="1"/>
  <c r="N485" i="1"/>
  <c r="AR485" i="1"/>
  <c r="AK484" i="1"/>
  <c r="AO483" i="1"/>
  <c r="P483" i="1"/>
  <c r="AK481" i="1"/>
  <c r="AZ481" i="1"/>
  <c r="AK480" i="1"/>
  <c r="AZ480" i="1"/>
  <c r="AK479" i="1"/>
  <c r="AZ479" i="1"/>
  <c r="AK478" i="1"/>
  <c r="AZ478" i="1"/>
  <c r="AK477" i="1"/>
  <c r="AZ477" i="1"/>
  <c r="AK476" i="1"/>
  <c r="AZ476" i="1"/>
  <c r="O472" i="1"/>
  <c r="BG472" i="1"/>
  <c r="AK421" i="1"/>
  <c r="AZ421" i="1"/>
  <c r="AK418" i="1"/>
  <c r="AZ418" i="1"/>
  <c r="AO417" i="1"/>
  <c r="G417" i="1"/>
  <c r="N498" i="1"/>
  <c r="AR498" i="1"/>
  <c r="N494" i="1"/>
  <c r="AR494" i="1"/>
  <c r="N490" i="1"/>
  <c r="AR490" i="1"/>
  <c r="N486" i="1"/>
  <c r="AR486" i="1"/>
  <c r="N482" i="1"/>
  <c r="AR482" i="1"/>
  <c r="AG481" i="1"/>
  <c r="AH481" i="1" s="1"/>
  <c r="N481" i="1"/>
  <c r="AY481" i="1" s="1"/>
  <c r="AR481" i="1"/>
  <c r="AG480" i="1"/>
  <c r="AH480" i="1" s="1"/>
  <c r="N480" i="1"/>
  <c r="AY480" i="1" s="1"/>
  <c r="AR480" i="1"/>
  <c r="AG479" i="1"/>
  <c r="AH479" i="1" s="1"/>
  <c r="N479" i="1"/>
  <c r="AY479" i="1" s="1"/>
  <c r="AR479" i="1"/>
  <c r="AG478" i="1"/>
  <c r="AH478" i="1" s="1"/>
  <c r="N478" i="1"/>
  <c r="AY478" i="1" s="1"/>
  <c r="AR478" i="1"/>
  <c r="AG477" i="1"/>
  <c r="AH477" i="1" s="1"/>
  <c r="N477" i="1"/>
  <c r="AY477" i="1" s="1"/>
  <c r="AR477" i="1"/>
  <c r="AG476" i="1"/>
  <c r="AH476" i="1" s="1"/>
  <c r="N476" i="1"/>
  <c r="AY476" i="1" s="1"/>
  <c r="AR476" i="1"/>
  <c r="AK475" i="1"/>
  <c r="AL475" i="1"/>
  <c r="BD475" i="1"/>
  <c r="P475" i="1"/>
  <c r="BL474" i="1"/>
  <c r="D474" i="1"/>
  <c r="AG471" i="1"/>
  <c r="AH471" i="1" s="1"/>
  <c r="AK471" i="1"/>
  <c r="AZ471" i="1"/>
  <c r="P471" i="1"/>
  <c r="G470" i="1"/>
  <c r="AO470" i="1"/>
  <c r="G469" i="1"/>
  <c r="AO469" i="1"/>
  <c r="G468" i="1"/>
  <c r="AO468" i="1"/>
  <c r="G467" i="1"/>
  <c r="AO467" i="1"/>
  <c r="AG421" i="1"/>
  <c r="AH421" i="1" s="1"/>
  <c r="AR421" i="1"/>
  <c r="N421" i="1"/>
  <c r="AY421" i="1" s="1"/>
  <c r="AK419" i="1"/>
  <c r="AZ419" i="1"/>
  <c r="AJ464" i="1"/>
  <c r="AZ475" i="1"/>
  <c r="AL474" i="1"/>
  <c r="BL473" i="1"/>
  <c r="BL470" i="1"/>
  <c r="BL469" i="1"/>
  <c r="BL468" i="1"/>
  <c r="BL467" i="1"/>
  <c r="AO421" i="1"/>
  <c r="BD420" i="1"/>
  <c r="AR420" i="1"/>
  <c r="BL417" i="1"/>
  <c r="BG417" i="1"/>
  <c r="AK415" i="1"/>
  <c r="G411" i="1"/>
  <c r="AO411" i="1"/>
  <c r="AK410" i="1"/>
  <c r="AZ410" i="1"/>
  <c r="AO409" i="1"/>
  <c r="G409" i="1"/>
  <c r="G408" i="1"/>
  <c r="AO408" i="1"/>
  <c r="AO404" i="1"/>
  <c r="G404" i="1"/>
  <c r="AK402" i="1"/>
  <c r="AZ402" i="1"/>
  <c r="AZ392" i="1"/>
  <c r="P392" i="1"/>
  <c r="AG392" i="1"/>
  <c r="AH392" i="1" s="1"/>
  <c r="AK392" i="1"/>
  <c r="AZ384" i="1"/>
  <c r="P384" i="1"/>
  <c r="AK384" i="1"/>
  <c r="BA383" i="1"/>
  <c r="Q383" i="1"/>
  <c r="S383" i="1"/>
  <c r="BC383" i="1" s="1"/>
  <c r="T383" i="1"/>
  <c r="BE383" i="1" s="1"/>
  <c r="AZ379" i="1"/>
  <c r="AG379" i="1"/>
  <c r="AH379" i="1" s="1"/>
  <c r="AK379" i="1"/>
  <c r="N361" i="1"/>
  <c r="AY361" i="1" s="1"/>
  <c r="AR361" i="1"/>
  <c r="AG361" i="1"/>
  <c r="AH361" i="1" s="1"/>
  <c r="N358" i="1"/>
  <c r="AY358" i="1" s="1"/>
  <c r="AR358" i="1"/>
  <c r="AG358" i="1"/>
  <c r="AH358" i="1" s="1"/>
  <c r="N356" i="1"/>
  <c r="AY356" i="1" s="1"/>
  <c r="AR356" i="1"/>
  <c r="AG356" i="1"/>
  <c r="AH356" i="1" s="1"/>
  <c r="AY346" i="1"/>
  <c r="P346" i="1"/>
  <c r="AY342" i="1"/>
  <c r="P342" i="1"/>
  <c r="AY338" i="1"/>
  <c r="P338" i="1"/>
  <c r="AR471" i="1"/>
  <c r="G462" i="1"/>
  <c r="G461" i="1"/>
  <c r="G460" i="1"/>
  <c r="G459" i="1"/>
  <c r="G458" i="1"/>
  <c r="G457" i="1"/>
  <c r="G456" i="1"/>
  <c r="G455" i="1"/>
  <c r="G454" i="1"/>
  <c r="G453" i="1"/>
  <c r="AR450" i="1"/>
  <c r="N450" i="1"/>
  <c r="AR449" i="1"/>
  <c r="N449" i="1"/>
  <c r="AR448" i="1"/>
  <c r="N448" i="1"/>
  <c r="AR447" i="1"/>
  <c r="N447" i="1"/>
  <c r="AR446" i="1"/>
  <c r="N446" i="1"/>
  <c r="AR445" i="1"/>
  <c r="N445" i="1"/>
  <c r="AR444" i="1"/>
  <c r="N444" i="1"/>
  <c r="AR443" i="1"/>
  <c r="N443" i="1"/>
  <c r="AR442" i="1"/>
  <c r="N442" i="1"/>
  <c r="AR441" i="1"/>
  <c r="N441" i="1"/>
  <c r="AR440" i="1"/>
  <c r="N440" i="1"/>
  <c r="AR439" i="1"/>
  <c r="N439" i="1"/>
  <c r="AR438" i="1"/>
  <c r="N438" i="1"/>
  <c r="AR437" i="1"/>
  <c r="N437" i="1"/>
  <c r="AR436" i="1"/>
  <c r="N436" i="1"/>
  <c r="AR435" i="1"/>
  <c r="N435" i="1"/>
  <c r="AR434" i="1"/>
  <c r="N434" i="1"/>
  <c r="AR433" i="1"/>
  <c r="N433" i="1"/>
  <c r="AR432" i="1"/>
  <c r="N432" i="1"/>
  <c r="AR431" i="1"/>
  <c r="N431" i="1"/>
  <c r="AR430" i="1"/>
  <c r="N430" i="1"/>
  <c r="AR429" i="1"/>
  <c r="N429" i="1"/>
  <c r="AR428" i="1"/>
  <c r="N428" i="1"/>
  <c r="AR427" i="1"/>
  <c r="N427" i="1"/>
  <c r="AR426" i="1"/>
  <c r="N426" i="1"/>
  <c r="AR425" i="1"/>
  <c r="N425" i="1"/>
  <c r="AR424" i="1"/>
  <c r="N424" i="1"/>
  <c r="AR423" i="1"/>
  <c r="N423" i="1"/>
  <c r="AR422" i="1"/>
  <c r="N422" i="1"/>
  <c r="AR419" i="1"/>
  <c r="N419" i="1"/>
  <c r="AY419" i="1" s="1"/>
  <c r="N416" i="1"/>
  <c r="AY416" i="1" s="1"/>
  <c r="N415" i="1"/>
  <c r="AY415" i="1" s="1"/>
  <c r="AG410" i="1"/>
  <c r="AH410" i="1" s="1"/>
  <c r="AR410" i="1"/>
  <c r="N410" i="1"/>
  <c r="AY410" i="1" s="1"/>
  <c r="AK408" i="1"/>
  <c r="AZ408" i="1"/>
  <c r="AO399" i="1"/>
  <c r="G399" i="1"/>
  <c r="AR396" i="1"/>
  <c r="N396" i="1"/>
  <c r="AY396" i="1" s="1"/>
  <c r="AG396" i="1"/>
  <c r="AH396" i="1" s="1"/>
  <c r="AR384" i="1"/>
  <c r="AG384" i="1"/>
  <c r="AH384" i="1" s="1"/>
  <c r="N384" i="1"/>
  <c r="AY384" i="1" s="1"/>
  <c r="N382" i="1"/>
  <c r="AY382" i="1" s="1"/>
  <c r="AG382" i="1"/>
  <c r="AH382" i="1" s="1"/>
  <c r="AR382" i="1"/>
  <c r="AZ380" i="1"/>
  <c r="AK380" i="1"/>
  <c r="AK376" i="1"/>
  <c r="AZ376" i="1"/>
  <c r="N360" i="1"/>
  <c r="AY360" i="1" s="1"/>
  <c r="AR360" i="1"/>
  <c r="AG360" i="1"/>
  <c r="AH360" i="1" s="1"/>
  <c r="Q414" i="1"/>
  <c r="T414" i="1"/>
  <c r="BE414" i="1" s="1"/>
  <c r="Q413" i="1"/>
  <c r="T413" i="1"/>
  <c r="BE413" i="1" s="1"/>
  <c r="BA413" i="1"/>
  <c r="G412" i="1"/>
  <c r="AO412" i="1"/>
  <c r="G407" i="1"/>
  <c r="AO407" i="1"/>
  <c r="N398" i="1"/>
  <c r="AY398" i="1" s="1"/>
  <c r="AR398" i="1"/>
  <c r="AG398" i="1"/>
  <c r="AH398" i="1" s="1"/>
  <c r="N395" i="1"/>
  <c r="AY395" i="1" s="1"/>
  <c r="AR395" i="1"/>
  <c r="AG395" i="1"/>
  <c r="AH395" i="1" s="1"/>
  <c r="AO391" i="1"/>
  <c r="G391" i="1"/>
  <c r="G388" i="1"/>
  <c r="AO388" i="1"/>
  <c r="N386" i="1"/>
  <c r="AR386" i="1"/>
  <c r="AG386" i="1"/>
  <c r="AH386" i="1" s="1"/>
  <c r="AO385" i="1"/>
  <c r="G385" i="1"/>
  <c r="AO380" i="1"/>
  <c r="G380" i="1"/>
  <c r="N359" i="1"/>
  <c r="AY359" i="1" s="1"/>
  <c r="AR359" i="1"/>
  <c r="AG359" i="1"/>
  <c r="AH359" i="1" s="1"/>
  <c r="N357" i="1"/>
  <c r="AY357" i="1" s="1"/>
  <c r="AR357" i="1"/>
  <c r="AG357" i="1"/>
  <c r="AH357" i="1" s="1"/>
  <c r="BG421" i="1"/>
  <c r="AR416" i="1"/>
  <c r="G403" i="1"/>
  <c r="AO403" i="1"/>
  <c r="G402" i="1"/>
  <c r="AO402" i="1"/>
  <c r="N397" i="1"/>
  <c r="AY397" i="1" s="1"/>
  <c r="AR397" i="1"/>
  <c r="AG397" i="1"/>
  <c r="AH397" i="1" s="1"/>
  <c r="N394" i="1"/>
  <c r="AY394" i="1" s="1"/>
  <c r="AR394" i="1"/>
  <c r="AG394" i="1"/>
  <c r="AH394" i="1" s="1"/>
  <c r="AK391" i="1"/>
  <c r="AZ391" i="1"/>
  <c r="AZ388" i="1"/>
  <c r="AK388" i="1"/>
  <c r="AK387" i="1"/>
  <c r="AZ387" i="1"/>
  <c r="N381" i="1"/>
  <c r="AR381" i="1"/>
  <c r="AG381" i="1"/>
  <c r="AH381" i="1" s="1"/>
  <c r="AO376" i="1"/>
  <c r="G376" i="1"/>
  <c r="Q373" i="1"/>
  <c r="S373" i="1"/>
  <c r="BC373" i="1" s="1"/>
  <c r="T373" i="1"/>
  <c r="BE373" i="1" s="1"/>
  <c r="BA373" i="1"/>
  <c r="Q372" i="1"/>
  <c r="S372" i="1"/>
  <c r="BC372" i="1" s="1"/>
  <c r="T372" i="1"/>
  <c r="BE372" i="1" s="1"/>
  <c r="BA372" i="1"/>
  <c r="Q371" i="1"/>
  <c r="S371" i="1"/>
  <c r="BC371" i="1" s="1"/>
  <c r="T371" i="1"/>
  <c r="BE371" i="1" s="1"/>
  <c r="BA371" i="1"/>
  <c r="Q370" i="1"/>
  <c r="S370" i="1"/>
  <c r="BC370" i="1" s="1"/>
  <c r="T370" i="1"/>
  <c r="BE370" i="1" s="1"/>
  <c r="BA370" i="1"/>
  <c r="Q369" i="1"/>
  <c r="S369" i="1"/>
  <c r="BC369" i="1" s="1"/>
  <c r="T369" i="1"/>
  <c r="BE369" i="1" s="1"/>
  <c r="BA369" i="1"/>
  <c r="Q368" i="1"/>
  <c r="S368" i="1"/>
  <c r="BC368" i="1" s="1"/>
  <c r="T368" i="1"/>
  <c r="BE368" i="1" s="1"/>
  <c r="BA368" i="1"/>
  <c r="Q367" i="1"/>
  <c r="S367" i="1"/>
  <c r="BC367" i="1" s="1"/>
  <c r="T367" i="1"/>
  <c r="BE367" i="1" s="1"/>
  <c r="BA367" i="1"/>
  <c r="Q366" i="1"/>
  <c r="S366" i="1"/>
  <c r="BC366" i="1" s="1"/>
  <c r="T366" i="1"/>
  <c r="BE366" i="1" s="1"/>
  <c r="BA366" i="1"/>
  <c r="Q365" i="1"/>
  <c r="S365" i="1"/>
  <c r="BC365" i="1" s="1"/>
  <c r="T365" i="1"/>
  <c r="BE365" i="1" s="1"/>
  <c r="BA365" i="1"/>
  <c r="Q364" i="1"/>
  <c r="S364" i="1"/>
  <c r="BC364" i="1" s="1"/>
  <c r="T364" i="1"/>
  <c r="BE364" i="1" s="1"/>
  <c r="BA364" i="1"/>
  <c r="N355" i="1"/>
  <c r="AR355" i="1"/>
  <c r="AG355" i="1"/>
  <c r="AH355" i="1" s="1"/>
  <c r="AK414" i="1"/>
  <c r="AK413" i="1"/>
  <c r="BL412" i="1"/>
  <c r="AK412" i="1"/>
  <c r="BL411" i="1"/>
  <c r="AO410" i="1"/>
  <c r="O409" i="1"/>
  <c r="D406" i="1"/>
  <c r="AK405" i="1"/>
  <c r="BM404" i="1"/>
  <c r="D401" i="1"/>
  <c r="AK400" i="1"/>
  <c r="BM399" i="1"/>
  <c r="AL396" i="1"/>
  <c r="P396" i="1"/>
  <c r="AK395" i="1"/>
  <c r="AK394" i="1"/>
  <c r="AK393" i="1"/>
  <c r="AL392" i="1"/>
  <c r="N392" i="1"/>
  <c r="AY392" i="1" s="1"/>
  <c r="D390" i="1"/>
  <c r="AK389" i="1"/>
  <c r="D389" i="1"/>
  <c r="G387" i="1"/>
  <c r="AL384" i="1"/>
  <c r="AR383" i="1"/>
  <c r="AO382" i="1"/>
  <c r="N379" i="1"/>
  <c r="AY379" i="1" s="1"/>
  <c r="AK373" i="1"/>
  <c r="AK372" i="1"/>
  <c r="AK371" i="1"/>
  <c r="AK370" i="1"/>
  <c r="AK369" i="1"/>
  <c r="AK368" i="1"/>
  <c r="AK367" i="1"/>
  <c r="AK366" i="1"/>
  <c r="AK365" i="1"/>
  <c r="AK364" i="1"/>
  <c r="G354" i="1"/>
  <c r="G353" i="1"/>
  <c r="G352" i="1"/>
  <c r="G351" i="1"/>
  <c r="G350" i="1"/>
  <c r="G349" i="1"/>
  <c r="G348" i="1"/>
  <c r="G347" i="1"/>
  <c r="N344" i="1"/>
  <c r="G343" i="1"/>
  <c r="N340" i="1"/>
  <c r="G339" i="1"/>
  <c r="G331" i="1"/>
  <c r="AO331" i="1"/>
  <c r="AG327" i="1"/>
  <c r="AH327" i="1" s="1"/>
  <c r="N327" i="1"/>
  <c r="AR327" i="1"/>
  <c r="AG323" i="1"/>
  <c r="AH323" i="1" s="1"/>
  <c r="N323" i="1"/>
  <c r="AR323" i="1"/>
  <c r="AG319" i="1"/>
  <c r="AH319" i="1" s="1"/>
  <c r="N319" i="1"/>
  <c r="AR319" i="1"/>
  <c r="AG315" i="1"/>
  <c r="AH315" i="1" s="1"/>
  <c r="N315" i="1"/>
  <c r="AR315" i="1"/>
  <c r="AG311" i="1"/>
  <c r="AH311" i="1" s="1"/>
  <c r="N311" i="1"/>
  <c r="AR311" i="1"/>
  <c r="AG307" i="1"/>
  <c r="AH307" i="1" s="1"/>
  <c r="N307" i="1"/>
  <c r="AR307" i="1"/>
  <c r="AG303" i="1"/>
  <c r="AH303" i="1" s="1"/>
  <c r="N303" i="1"/>
  <c r="AR303" i="1"/>
  <c r="AG299" i="1"/>
  <c r="AH299" i="1" s="1"/>
  <c r="N299" i="1"/>
  <c r="AR299" i="1"/>
  <c r="AG295" i="1"/>
  <c r="AH295" i="1" s="1"/>
  <c r="N295" i="1"/>
  <c r="AR295" i="1"/>
  <c r="AG291" i="1"/>
  <c r="AH291" i="1" s="1"/>
  <c r="N291" i="1"/>
  <c r="AR291" i="1"/>
  <c r="AG288" i="1"/>
  <c r="AH288" i="1" s="1"/>
  <c r="N288" i="1"/>
  <c r="AY288" i="1" s="1"/>
  <c r="AR288" i="1"/>
  <c r="G287" i="1"/>
  <c r="AO287" i="1"/>
  <c r="P285" i="1"/>
  <c r="N279" i="1"/>
  <c r="AY279" i="1" s="1"/>
  <c r="AR279" i="1"/>
  <c r="D405" i="1"/>
  <c r="AK404" i="1"/>
  <c r="BL403" i="1"/>
  <c r="D400" i="1"/>
  <c r="AK399" i="1"/>
  <c r="AK398" i="1"/>
  <c r="P398" i="1"/>
  <c r="AK397" i="1"/>
  <c r="P397" i="1"/>
  <c r="AK396" i="1"/>
  <c r="D393" i="1"/>
  <c r="G378" i="1"/>
  <c r="G377" i="1"/>
  <c r="AK361" i="1"/>
  <c r="P361" i="1"/>
  <c r="AK360" i="1"/>
  <c r="AK359" i="1"/>
  <c r="P358" i="1"/>
  <c r="P357" i="1"/>
  <c r="P356" i="1"/>
  <c r="G336" i="1"/>
  <c r="AO336" i="1"/>
  <c r="G334" i="1"/>
  <c r="AO334" i="1"/>
  <c r="G332" i="1"/>
  <c r="AO332" i="1"/>
  <c r="AG326" i="1"/>
  <c r="AH326" i="1" s="1"/>
  <c r="N326" i="1"/>
  <c r="AR326" i="1"/>
  <c r="AG322" i="1"/>
  <c r="AH322" i="1" s="1"/>
  <c r="N322" i="1"/>
  <c r="AR322" i="1"/>
  <c r="AG318" i="1"/>
  <c r="AH318" i="1" s="1"/>
  <c r="N318" i="1"/>
  <c r="AR318" i="1"/>
  <c r="AG314" i="1"/>
  <c r="AH314" i="1" s="1"/>
  <c r="N314" i="1"/>
  <c r="AR314" i="1"/>
  <c r="AG310" i="1"/>
  <c r="AH310" i="1" s="1"/>
  <c r="N310" i="1"/>
  <c r="AR310" i="1"/>
  <c r="AG306" i="1"/>
  <c r="AH306" i="1" s="1"/>
  <c r="N306" i="1"/>
  <c r="AR306" i="1"/>
  <c r="AG302" i="1"/>
  <c r="AH302" i="1" s="1"/>
  <c r="N302" i="1"/>
  <c r="AR302" i="1"/>
  <c r="AG298" i="1"/>
  <c r="AH298" i="1" s="1"/>
  <c r="N298" i="1"/>
  <c r="AR298" i="1"/>
  <c r="AG294" i="1"/>
  <c r="AH294" i="1" s="1"/>
  <c r="N294" i="1"/>
  <c r="AR294" i="1"/>
  <c r="AG290" i="1"/>
  <c r="AH290" i="1" s="1"/>
  <c r="N290" i="1"/>
  <c r="AR290" i="1"/>
  <c r="AG285" i="1"/>
  <c r="AH285" i="1" s="1"/>
  <c r="N285" i="1"/>
  <c r="AY285" i="1" s="1"/>
  <c r="AR285" i="1"/>
  <c r="O382" i="1"/>
  <c r="G345" i="1"/>
  <c r="G341" i="1"/>
  <c r="G337" i="1"/>
  <c r="G329" i="1"/>
  <c r="AO329" i="1"/>
  <c r="AG325" i="1"/>
  <c r="AH325" i="1" s="1"/>
  <c r="N325" i="1"/>
  <c r="AR325" i="1"/>
  <c r="AG321" i="1"/>
  <c r="AH321" i="1" s="1"/>
  <c r="N321" i="1"/>
  <c r="AR321" i="1"/>
  <c r="AG317" i="1"/>
  <c r="AH317" i="1" s="1"/>
  <c r="N317" i="1"/>
  <c r="AR317" i="1"/>
  <c r="AG313" i="1"/>
  <c r="AH313" i="1" s="1"/>
  <c r="N313" i="1"/>
  <c r="AR313" i="1"/>
  <c r="AG309" i="1"/>
  <c r="AH309" i="1" s="1"/>
  <c r="N309" i="1"/>
  <c r="AR309" i="1"/>
  <c r="AG305" i="1"/>
  <c r="AH305" i="1" s="1"/>
  <c r="N305" i="1"/>
  <c r="AR305" i="1"/>
  <c r="AG301" i="1"/>
  <c r="AH301" i="1" s="1"/>
  <c r="N301" i="1"/>
  <c r="AR301" i="1"/>
  <c r="AG297" i="1"/>
  <c r="AH297" i="1" s="1"/>
  <c r="N297" i="1"/>
  <c r="AR297" i="1"/>
  <c r="AG293" i="1"/>
  <c r="AH293" i="1" s="1"/>
  <c r="N293" i="1"/>
  <c r="AR293" i="1"/>
  <c r="AG289" i="1"/>
  <c r="AH289" i="1" s="1"/>
  <c r="N289" i="1"/>
  <c r="AR289" i="1"/>
  <c r="AG284" i="1"/>
  <c r="AH284" i="1" s="1"/>
  <c r="N284" i="1"/>
  <c r="AY284" i="1" s="1"/>
  <c r="AR284" i="1"/>
  <c r="AO416" i="1"/>
  <c r="BG410" i="1"/>
  <c r="BL408" i="1"/>
  <c r="BL407" i="1"/>
  <c r="AK407" i="1"/>
  <c r="AZ403" i="1"/>
  <c r="BL402" i="1"/>
  <c r="AR344" i="1"/>
  <c r="AR340" i="1"/>
  <c r="G335" i="1"/>
  <c r="AO335" i="1"/>
  <c r="G333" i="1"/>
  <c r="AO333" i="1"/>
  <c r="G330" i="1"/>
  <c r="AO330" i="1"/>
  <c r="AG328" i="1"/>
  <c r="AH328" i="1" s="1"/>
  <c r="N328" i="1"/>
  <c r="AR328" i="1"/>
  <c r="AG324" i="1"/>
  <c r="AH324" i="1" s="1"/>
  <c r="N324" i="1"/>
  <c r="AR324" i="1"/>
  <c r="AG320" i="1"/>
  <c r="AH320" i="1" s="1"/>
  <c r="N320" i="1"/>
  <c r="AR320" i="1"/>
  <c r="AG316" i="1"/>
  <c r="AH316" i="1" s="1"/>
  <c r="N316" i="1"/>
  <c r="AR316" i="1"/>
  <c r="AG312" i="1"/>
  <c r="AH312" i="1" s="1"/>
  <c r="N312" i="1"/>
  <c r="AR312" i="1"/>
  <c r="AG308" i="1"/>
  <c r="AH308" i="1" s="1"/>
  <c r="N308" i="1"/>
  <c r="AR308" i="1"/>
  <c r="AG304" i="1"/>
  <c r="AH304" i="1" s="1"/>
  <c r="N304" i="1"/>
  <c r="AR304" i="1"/>
  <c r="AG300" i="1"/>
  <c r="AH300" i="1" s="1"/>
  <c r="N300" i="1"/>
  <c r="AR300" i="1"/>
  <c r="AG296" i="1"/>
  <c r="AH296" i="1" s="1"/>
  <c r="N296" i="1"/>
  <c r="AR296" i="1"/>
  <c r="AG292" i="1"/>
  <c r="AH292" i="1" s="1"/>
  <c r="N292" i="1"/>
  <c r="AR292" i="1"/>
  <c r="P288" i="1"/>
  <c r="AK288" i="1"/>
  <c r="AZ288" i="1"/>
  <c r="AG283" i="1"/>
  <c r="AH283" i="1" s="1"/>
  <c r="N283" i="1"/>
  <c r="AY283" i="1" s="1"/>
  <c r="AR283" i="1"/>
  <c r="AO328" i="1"/>
  <c r="AO327" i="1"/>
  <c r="AO326" i="1"/>
  <c r="AO325" i="1"/>
  <c r="AO324" i="1"/>
  <c r="AO323" i="1"/>
  <c r="AO322" i="1"/>
  <c r="AO321" i="1"/>
  <c r="AO320" i="1"/>
  <c r="AO319" i="1"/>
  <c r="AO318" i="1"/>
  <c r="AO317" i="1"/>
  <c r="AO316" i="1"/>
  <c r="AO315" i="1"/>
  <c r="AO314" i="1"/>
  <c r="AO313" i="1"/>
  <c r="AO312" i="1"/>
  <c r="AO311" i="1"/>
  <c r="AO310" i="1"/>
  <c r="AO309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Z286" i="1"/>
  <c r="AR286" i="1"/>
  <c r="N286" i="1"/>
  <c r="AY286" i="1" s="1"/>
  <c r="AZ285" i="1"/>
  <c r="AZ284" i="1"/>
  <c r="AZ283" i="1"/>
  <c r="AK282" i="1"/>
  <c r="S281" i="1"/>
  <c r="BC281" i="1" s="1"/>
  <c r="AO280" i="1"/>
  <c r="G280" i="1"/>
  <c r="AR276" i="1"/>
  <c r="N276" i="1"/>
  <c r="AR274" i="1"/>
  <c r="N274" i="1"/>
  <c r="AY272" i="1"/>
  <c r="AZ287" i="1"/>
  <c r="AY281" i="1"/>
  <c r="AO279" i="1"/>
  <c r="N273" i="1"/>
  <c r="Q272" i="1"/>
  <c r="T272" i="1"/>
  <c r="BE272" i="1" s="1"/>
  <c r="BA272" i="1"/>
  <c r="AK286" i="1"/>
  <c r="AK285" i="1"/>
  <c r="AK284" i="1"/>
  <c r="AK283" i="1"/>
  <c r="AR275" i="1"/>
  <c r="N275" i="1"/>
  <c r="BL282" i="1"/>
  <c r="D282" i="1"/>
  <c r="T281" i="1"/>
  <c r="BE281" i="1" s="1"/>
  <c r="BA281" i="1"/>
  <c r="AK280" i="1"/>
  <c r="BG279" i="1"/>
  <c r="O279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N239" i="1"/>
  <c r="AR239" i="1"/>
  <c r="N238" i="1"/>
  <c r="AR238" i="1"/>
  <c r="N237" i="1"/>
  <c r="AR237" i="1"/>
  <c r="N236" i="1"/>
  <c r="AR236" i="1"/>
  <c r="N235" i="1"/>
  <c r="AR235" i="1"/>
  <c r="AK234" i="1"/>
  <c r="AZ234" i="1"/>
  <c r="AG231" i="1"/>
  <c r="AH231" i="1" s="1"/>
  <c r="N231" i="1"/>
  <c r="AY231" i="1" s="1"/>
  <c r="AR231" i="1"/>
  <c r="P230" i="1"/>
  <c r="AK230" i="1"/>
  <c r="AZ230" i="1"/>
  <c r="AK225" i="1"/>
  <c r="AZ225" i="1"/>
  <c r="AG234" i="1"/>
  <c r="AH234" i="1" s="1"/>
  <c r="N234" i="1"/>
  <c r="AY234" i="1" s="1"/>
  <c r="AR234" i="1"/>
  <c r="AK233" i="1"/>
  <c r="AZ233" i="1"/>
  <c r="AG230" i="1"/>
  <c r="AH230" i="1" s="1"/>
  <c r="N230" i="1"/>
  <c r="AY230" i="1" s="1"/>
  <c r="AR230" i="1"/>
  <c r="AK229" i="1"/>
  <c r="AZ229" i="1"/>
  <c r="AG225" i="1"/>
  <c r="AH225" i="1" s="1"/>
  <c r="AK224" i="1"/>
  <c r="AZ224" i="1"/>
  <c r="P218" i="1"/>
  <c r="P210" i="1"/>
  <c r="P202" i="1"/>
  <c r="P194" i="1"/>
  <c r="AG233" i="1"/>
  <c r="AH233" i="1" s="1"/>
  <c r="N233" i="1"/>
  <c r="AY233" i="1" s="1"/>
  <c r="AR233" i="1"/>
  <c r="AK232" i="1"/>
  <c r="AZ232" i="1"/>
  <c r="AG229" i="1"/>
  <c r="AH229" i="1" s="1"/>
  <c r="N229" i="1"/>
  <c r="AY229" i="1" s="1"/>
  <c r="AR229" i="1"/>
  <c r="P228" i="1"/>
  <c r="AK228" i="1"/>
  <c r="AZ228" i="1"/>
  <c r="AK227" i="1"/>
  <c r="AZ227" i="1"/>
  <c r="AG232" i="1"/>
  <c r="AH232" i="1" s="1"/>
  <c r="N232" i="1"/>
  <c r="AY232" i="1" s="1"/>
  <c r="AR232" i="1"/>
  <c r="P231" i="1"/>
  <c r="AK231" i="1"/>
  <c r="AZ231" i="1"/>
  <c r="AG228" i="1"/>
  <c r="AH228" i="1" s="1"/>
  <c r="N228" i="1"/>
  <c r="AY228" i="1" s="1"/>
  <c r="AR228" i="1"/>
  <c r="AG227" i="1"/>
  <c r="AH227" i="1" s="1"/>
  <c r="P226" i="1"/>
  <c r="AK226" i="1"/>
  <c r="AZ226" i="1"/>
  <c r="P219" i="1"/>
  <c r="P211" i="1"/>
  <c r="AR227" i="1"/>
  <c r="N227" i="1"/>
  <c r="AY227" i="1" s="1"/>
  <c r="AR226" i="1"/>
  <c r="N226" i="1"/>
  <c r="AY226" i="1" s="1"/>
  <c r="AR225" i="1"/>
  <c r="N225" i="1"/>
  <c r="AY225" i="1" s="1"/>
  <c r="AR224" i="1"/>
  <c r="N224" i="1"/>
  <c r="AY224" i="1" s="1"/>
  <c r="AZ223" i="1"/>
  <c r="AR223" i="1"/>
  <c r="N223" i="1"/>
  <c r="AY223" i="1" s="1"/>
  <c r="AZ222" i="1"/>
  <c r="AR222" i="1"/>
  <c r="N222" i="1"/>
  <c r="AY222" i="1" s="1"/>
  <c r="AZ221" i="1"/>
  <c r="AR221" i="1"/>
  <c r="N221" i="1"/>
  <c r="AY221" i="1" s="1"/>
  <c r="AZ220" i="1"/>
  <c r="AR220" i="1"/>
  <c r="N220" i="1"/>
  <c r="AY220" i="1" s="1"/>
  <c r="AZ219" i="1"/>
  <c r="AR219" i="1"/>
  <c r="N219" i="1"/>
  <c r="AY219" i="1" s="1"/>
  <c r="AZ218" i="1"/>
  <c r="AR218" i="1"/>
  <c r="N218" i="1"/>
  <c r="AY218" i="1" s="1"/>
  <c r="AZ217" i="1"/>
  <c r="AR217" i="1"/>
  <c r="N217" i="1"/>
  <c r="AY217" i="1" s="1"/>
  <c r="AZ216" i="1"/>
  <c r="AR216" i="1"/>
  <c r="N216" i="1"/>
  <c r="AY216" i="1" s="1"/>
  <c r="AZ215" i="1"/>
  <c r="AR215" i="1"/>
  <c r="N215" i="1"/>
  <c r="AY215" i="1" s="1"/>
  <c r="AZ214" i="1"/>
  <c r="AR214" i="1"/>
  <c r="N214" i="1"/>
  <c r="AY214" i="1" s="1"/>
  <c r="AZ213" i="1"/>
  <c r="AR213" i="1"/>
  <c r="N213" i="1"/>
  <c r="AY213" i="1" s="1"/>
  <c r="AZ212" i="1"/>
  <c r="AR212" i="1"/>
  <c r="N212" i="1"/>
  <c r="AY212" i="1" s="1"/>
  <c r="AZ211" i="1"/>
  <c r="AR211" i="1"/>
  <c r="N211" i="1"/>
  <c r="AY211" i="1" s="1"/>
  <c r="AZ210" i="1"/>
  <c r="AR210" i="1"/>
  <c r="N210" i="1"/>
  <c r="AY210" i="1" s="1"/>
  <c r="AZ209" i="1"/>
  <c r="AR209" i="1"/>
  <c r="N209" i="1"/>
  <c r="AY209" i="1" s="1"/>
  <c r="AZ208" i="1"/>
  <c r="AR208" i="1"/>
  <c r="N208" i="1"/>
  <c r="AY208" i="1" s="1"/>
  <c r="AZ207" i="1"/>
  <c r="AR207" i="1"/>
  <c r="N207" i="1"/>
  <c r="AY207" i="1" s="1"/>
  <c r="AZ206" i="1"/>
  <c r="AR206" i="1"/>
  <c r="N206" i="1"/>
  <c r="AY206" i="1" s="1"/>
  <c r="AZ205" i="1"/>
  <c r="AR205" i="1"/>
  <c r="N205" i="1"/>
  <c r="AY205" i="1" s="1"/>
  <c r="AZ204" i="1"/>
  <c r="AR204" i="1"/>
  <c r="N204" i="1"/>
  <c r="AY204" i="1" s="1"/>
  <c r="AZ203" i="1"/>
  <c r="AR203" i="1"/>
  <c r="N203" i="1"/>
  <c r="AY203" i="1" s="1"/>
  <c r="AZ202" i="1"/>
  <c r="AR202" i="1"/>
  <c r="N202" i="1"/>
  <c r="AY202" i="1" s="1"/>
  <c r="AZ201" i="1"/>
  <c r="AR201" i="1"/>
  <c r="N201" i="1"/>
  <c r="AY201" i="1" s="1"/>
  <c r="AZ200" i="1"/>
  <c r="AR200" i="1"/>
  <c r="N200" i="1"/>
  <c r="AY200" i="1" s="1"/>
  <c r="AZ199" i="1"/>
  <c r="AR199" i="1"/>
  <c r="N199" i="1"/>
  <c r="AY199" i="1" s="1"/>
  <c r="AZ198" i="1"/>
  <c r="AR198" i="1"/>
  <c r="N198" i="1"/>
  <c r="AY198" i="1" s="1"/>
  <c r="AZ197" i="1"/>
  <c r="AR197" i="1"/>
  <c r="N197" i="1"/>
  <c r="AY197" i="1" s="1"/>
  <c r="AZ196" i="1"/>
  <c r="AR196" i="1"/>
  <c r="N196" i="1"/>
  <c r="AY196" i="1" s="1"/>
  <c r="AZ195" i="1"/>
  <c r="AR195" i="1"/>
  <c r="N195" i="1"/>
  <c r="AY195" i="1" s="1"/>
  <c r="AZ194" i="1"/>
  <c r="AR194" i="1"/>
  <c r="N194" i="1"/>
  <c r="AY194" i="1" s="1"/>
  <c r="AZ193" i="1"/>
  <c r="AR193" i="1"/>
  <c r="N193" i="1"/>
  <c r="AY193" i="1" s="1"/>
  <c r="AZ192" i="1"/>
  <c r="AR192" i="1"/>
  <c r="N192" i="1"/>
  <c r="AY192" i="1" s="1"/>
  <c r="AZ191" i="1"/>
  <c r="AR191" i="1"/>
  <c r="N191" i="1"/>
  <c r="AY191" i="1" s="1"/>
  <c r="AZ190" i="1"/>
  <c r="AR190" i="1"/>
  <c r="N190" i="1"/>
  <c r="AY190" i="1" s="1"/>
  <c r="AR189" i="1"/>
  <c r="P189" i="1"/>
  <c r="AK189" i="1"/>
  <c r="AG187" i="1"/>
  <c r="AH187" i="1" s="1"/>
  <c r="AR185" i="1"/>
  <c r="P185" i="1"/>
  <c r="AK185" i="1"/>
  <c r="AG183" i="1"/>
  <c r="AH183" i="1" s="1"/>
  <c r="AZ182" i="1"/>
  <c r="AK182" i="1"/>
  <c r="P176" i="1"/>
  <c r="P174" i="1"/>
  <c r="P172" i="1"/>
  <c r="P170" i="1"/>
  <c r="P168" i="1"/>
  <c r="P166" i="1"/>
  <c r="P164" i="1"/>
  <c r="P162" i="1"/>
  <c r="P160" i="1"/>
  <c r="P158" i="1"/>
  <c r="P156" i="1"/>
  <c r="P154" i="1"/>
  <c r="P152" i="1"/>
  <c r="P150" i="1"/>
  <c r="P148" i="1"/>
  <c r="P146" i="1"/>
  <c r="P144" i="1"/>
  <c r="S138" i="1"/>
  <c r="BC138" i="1" s="1"/>
  <c r="T138" i="1"/>
  <c r="BE138" i="1" s="1"/>
  <c r="BA138" i="1"/>
  <c r="Q138" i="1"/>
  <c r="T136" i="1"/>
  <c r="BE136" i="1" s="1"/>
  <c r="BA136" i="1"/>
  <c r="S136" i="1"/>
  <c r="BC136" i="1" s="1"/>
  <c r="Q136" i="1"/>
  <c r="AR188" i="1"/>
  <c r="AK188" i="1"/>
  <c r="AG186" i="1"/>
  <c r="AH186" i="1" s="1"/>
  <c r="AR184" i="1"/>
  <c r="AK184" i="1"/>
  <c r="N182" i="1"/>
  <c r="AY182" i="1" s="1"/>
  <c r="AR182" i="1"/>
  <c r="AG182" i="1"/>
  <c r="AH182" i="1" s="1"/>
  <c r="N181" i="1"/>
  <c r="AY181" i="1" s="1"/>
  <c r="AR181" i="1"/>
  <c r="AG181" i="1"/>
  <c r="AH181" i="1" s="1"/>
  <c r="N179" i="1"/>
  <c r="AY179" i="1" s="1"/>
  <c r="AR179" i="1"/>
  <c r="AG179" i="1"/>
  <c r="AH179" i="1" s="1"/>
  <c r="S137" i="1"/>
  <c r="BC137" i="1" s="1"/>
  <c r="T137" i="1"/>
  <c r="BE137" i="1" s="1"/>
  <c r="BA137" i="1"/>
  <c r="Q137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N188" i="1"/>
  <c r="AY188" i="1" s="1"/>
  <c r="P187" i="1"/>
  <c r="AK187" i="1"/>
  <c r="N184" i="1"/>
  <c r="AY184" i="1" s="1"/>
  <c r="P183" i="1"/>
  <c r="AK183" i="1"/>
  <c r="P177" i="1"/>
  <c r="P175" i="1"/>
  <c r="P173" i="1"/>
  <c r="P171" i="1"/>
  <c r="P169" i="1"/>
  <c r="P167" i="1"/>
  <c r="P165" i="1"/>
  <c r="P163" i="1"/>
  <c r="P161" i="1"/>
  <c r="P159" i="1"/>
  <c r="P157" i="1"/>
  <c r="P155" i="1"/>
  <c r="P153" i="1"/>
  <c r="P151" i="1"/>
  <c r="P149" i="1"/>
  <c r="P147" i="1"/>
  <c r="P145" i="1"/>
  <c r="P143" i="1"/>
  <c r="S142" i="1"/>
  <c r="BC142" i="1" s="1"/>
  <c r="T142" i="1"/>
  <c r="BE142" i="1" s="1"/>
  <c r="BA142" i="1"/>
  <c r="Q142" i="1"/>
  <c r="S141" i="1"/>
  <c r="BC141" i="1" s="1"/>
  <c r="T141" i="1"/>
  <c r="BE141" i="1" s="1"/>
  <c r="BA141" i="1"/>
  <c r="Q141" i="1"/>
  <c r="S140" i="1"/>
  <c r="BC140" i="1" s="1"/>
  <c r="T140" i="1"/>
  <c r="BE140" i="1" s="1"/>
  <c r="BA140" i="1"/>
  <c r="Q140" i="1"/>
  <c r="P186" i="1"/>
  <c r="AK186" i="1"/>
  <c r="N180" i="1"/>
  <c r="AY180" i="1" s="1"/>
  <c r="AR180" i="1"/>
  <c r="AG180" i="1"/>
  <c r="AH180" i="1" s="1"/>
  <c r="S139" i="1"/>
  <c r="BC139" i="1" s="1"/>
  <c r="T139" i="1"/>
  <c r="BE139" i="1" s="1"/>
  <c r="BA139" i="1"/>
  <c r="Q139" i="1"/>
  <c r="T135" i="1"/>
  <c r="BE135" i="1" s="1"/>
  <c r="BA135" i="1"/>
  <c r="AG128" i="1"/>
  <c r="AH128" i="1" s="1"/>
  <c r="N128" i="1"/>
  <c r="AY128" i="1" s="1"/>
  <c r="AR128" i="1"/>
  <c r="N127" i="1"/>
  <c r="AY127" i="1" s="1"/>
  <c r="AR127" i="1"/>
  <c r="AZ124" i="1"/>
  <c r="AK124" i="1"/>
  <c r="AR123" i="1"/>
  <c r="N123" i="1"/>
  <c r="AY123" i="1" s="1"/>
  <c r="AG123" i="1"/>
  <c r="AH123" i="1" s="1"/>
  <c r="AO122" i="1"/>
  <c r="G122" i="1"/>
  <c r="AG120" i="1"/>
  <c r="AH120" i="1" s="1"/>
  <c r="N120" i="1"/>
  <c r="AY120" i="1" s="1"/>
  <c r="AR120" i="1"/>
  <c r="AZ116" i="1"/>
  <c r="P116" i="1"/>
  <c r="AG116" i="1"/>
  <c r="AH116" i="1" s="1"/>
  <c r="AK116" i="1"/>
  <c r="AG114" i="1"/>
  <c r="AH114" i="1" s="1"/>
  <c r="N114" i="1"/>
  <c r="AY114" i="1" s="1"/>
  <c r="AR114" i="1"/>
  <c r="AK109" i="1"/>
  <c r="AZ109" i="1"/>
  <c r="AO108" i="1"/>
  <c r="G108" i="1"/>
  <c r="AK181" i="1"/>
  <c r="AK180" i="1"/>
  <c r="P180" i="1"/>
  <c r="AK179" i="1"/>
  <c r="P179" i="1"/>
  <c r="AK178" i="1"/>
  <c r="AG178" i="1"/>
  <c r="AH178" i="1" s="1"/>
  <c r="P178" i="1"/>
  <c r="AK177" i="1"/>
  <c r="AG177" i="1"/>
  <c r="AH177" i="1" s="1"/>
  <c r="AK176" i="1"/>
  <c r="AG176" i="1"/>
  <c r="AH176" i="1" s="1"/>
  <c r="AK175" i="1"/>
  <c r="AG175" i="1"/>
  <c r="AH175" i="1" s="1"/>
  <c r="AK174" i="1"/>
  <c r="AG174" i="1"/>
  <c r="AH174" i="1" s="1"/>
  <c r="AK173" i="1"/>
  <c r="AG173" i="1"/>
  <c r="AH173" i="1" s="1"/>
  <c r="AK172" i="1"/>
  <c r="AG172" i="1"/>
  <c r="AH172" i="1" s="1"/>
  <c r="AK171" i="1"/>
  <c r="AG171" i="1"/>
  <c r="AH171" i="1" s="1"/>
  <c r="AK170" i="1"/>
  <c r="AG170" i="1"/>
  <c r="AH170" i="1" s="1"/>
  <c r="AK169" i="1"/>
  <c r="AG169" i="1"/>
  <c r="AH169" i="1" s="1"/>
  <c r="AK168" i="1"/>
  <c r="AG168" i="1"/>
  <c r="AH168" i="1" s="1"/>
  <c r="AK167" i="1"/>
  <c r="AG167" i="1"/>
  <c r="AH167" i="1" s="1"/>
  <c r="AK166" i="1"/>
  <c r="AG166" i="1"/>
  <c r="AH166" i="1" s="1"/>
  <c r="AK165" i="1"/>
  <c r="AG165" i="1"/>
  <c r="AH165" i="1" s="1"/>
  <c r="AK164" i="1"/>
  <c r="AG164" i="1"/>
  <c r="AH164" i="1" s="1"/>
  <c r="AK163" i="1"/>
  <c r="AG163" i="1"/>
  <c r="AH163" i="1" s="1"/>
  <c r="AK162" i="1"/>
  <c r="AG162" i="1"/>
  <c r="AH162" i="1" s="1"/>
  <c r="AK161" i="1"/>
  <c r="AG161" i="1"/>
  <c r="AH161" i="1" s="1"/>
  <c r="AK160" i="1"/>
  <c r="AG160" i="1"/>
  <c r="AH160" i="1" s="1"/>
  <c r="AK159" i="1"/>
  <c r="AG159" i="1"/>
  <c r="AH159" i="1" s="1"/>
  <c r="AK158" i="1"/>
  <c r="AG158" i="1"/>
  <c r="AH158" i="1" s="1"/>
  <c r="AK157" i="1"/>
  <c r="AG157" i="1"/>
  <c r="AH157" i="1" s="1"/>
  <c r="AK156" i="1"/>
  <c r="AG156" i="1"/>
  <c r="AH156" i="1" s="1"/>
  <c r="AK155" i="1"/>
  <c r="AG155" i="1"/>
  <c r="AH155" i="1" s="1"/>
  <c r="AK154" i="1"/>
  <c r="AG154" i="1"/>
  <c r="AH154" i="1" s="1"/>
  <c r="AK153" i="1"/>
  <c r="AG153" i="1"/>
  <c r="AH153" i="1" s="1"/>
  <c r="AK152" i="1"/>
  <c r="AG152" i="1"/>
  <c r="AH152" i="1" s="1"/>
  <c r="AK151" i="1"/>
  <c r="AG151" i="1"/>
  <c r="AH151" i="1" s="1"/>
  <c r="AK150" i="1"/>
  <c r="AG150" i="1"/>
  <c r="AH150" i="1" s="1"/>
  <c r="AK149" i="1"/>
  <c r="AG149" i="1"/>
  <c r="AH149" i="1" s="1"/>
  <c r="AK148" i="1"/>
  <c r="AG148" i="1"/>
  <c r="AH148" i="1" s="1"/>
  <c r="AK147" i="1"/>
  <c r="AG147" i="1"/>
  <c r="AH147" i="1" s="1"/>
  <c r="AK146" i="1"/>
  <c r="AG146" i="1"/>
  <c r="AH146" i="1" s="1"/>
  <c r="AK145" i="1"/>
  <c r="AG145" i="1"/>
  <c r="AH145" i="1" s="1"/>
  <c r="AK144" i="1"/>
  <c r="AG144" i="1"/>
  <c r="AH144" i="1" s="1"/>
  <c r="AK143" i="1"/>
  <c r="AG143" i="1"/>
  <c r="AH143" i="1" s="1"/>
  <c r="AK142" i="1"/>
  <c r="AK141" i="1"/>
  <c r="AG141" i="1"/>
  <c r="AH141" i="1" s="1"/>
  <c r="AK140" i="1"/>
  <c r="AK139" i="1"/>
  <c r="AK138" i="1"/>
  <c r="AK137" i="1"/>
  <c r="S135" i="1"/>
  <c r="BC135" i="1" s="1"/>
  <c r="AY133" i="1"/>
  <c r="P132" i="1"/>
  <c r="AY132" i="1"/>
  <c r="P130" i="1"/>
  <c r="AY130" i="1"/>
  <c r="P129" i="1"/>
  <c r="N119" i="1"/>
  <c r="AR119" i="1"/>
  <c r="AG119" i="1"/>
  <c r="AH119" i="1" s="1"/>
  <c r="G115" i="1"/>
  <c r="AO115" i="1"/>
  <c r="P112" i="1"/>
  <c r="AY112" i="1"/>
  <c r="AO110" i="1"/>
  <c r="G110" i="1"/>
  <c r="AZ108" i="1"/>
  <c r="AK108" i="1"/>
  <c r="Q135" i="1"/>
  <c r="AR129" i="1"/>
  <c r="N129" i="1"/>
  <c r="AY129" i="1" s="1"/>
  <c r="AG129" i="1"/>
  <c r="AH129" i="1" s="1"/>
  <c r="P126" i="1"/>
  <c r="G125" i="1"/>
  <c r="AO125" i="1"/>
  <c r="AO124" i="1"/>
  <c r="G124" i="1"/>
  <c r="AZ122" i="1"/>
  <c r="AK122" i="1"/>
  <c r="P121" i="1"/>
  <c r="N118" i="1"/>
  <c r="AR118" i="1"/>
  <c r="AG118" i="1"/>
  <c r="AH118" i="1" s="1"/>
  <c r="AZ115" i="1"/>
  <c r="AK115" i="1"/>
  <c r="AZ113" i="1"/>
  <c r="P113" i="1"/>
  <c r="AG113" i="1"/>
  <c r="AH113" i="1" s="1"/>
  <c r="AK113" i="1"/>
  <c r="AO111" i="1"/>
  <c r="G111" i="1"/>
  <c r="AO107" i="1"/>
  <c r="G107" i="1"/>
  <c r="AG106" i="1"/>
  <c r="AH106" i="1" s="1"/>
  <c r="N106" i="1"/>
  <c r="AY106" i="1" s="1"/>
  <c r="AR106" i="1"/>
  <c r="AR178" i="1"/>
  <c r="AR177" i="1"/>
  <c r="AR176" i="1"/>
  <c r="AR175" i="1"/>
  <c r="AR174" i="1"/>
  <c r="AR173" i="1"/>
  <c r="AR172" i="1"/>
  <c r="AR171" i="1"/>
  <c r="AR170" i="1"/>
  <c r="AR169" i="1"/>
  <c r="AR168" i="1"/>
  <c r="AR167" i="1"/>
  <c r="AR166" i="1"/>
  <c r="AR165" i="1"/>
  <c r="AR164" i="1"/>
  <c r="AR163" i="1"/>
  <c r="AR162" i="1"/>
  <c r="AR161" i="1"/>
  <c r="AR160" i="1"/>
  <c r="AR159" i="1"/>
  <c r="AR158" i="1"/>
  <c r="AR157" i="1"/>
  <c r="AR156" i="1"/>
  <c r="AR155" i="1"/>
  <c r="AR154" i="1"/>
  <c r="AR153" i="1"/>
  <c r="AR152" i="1"/>
  <c r="AR151" i="1"/>
  <c r="AR150" i="1"/>
  <c r="AR149" i="1"/>
  <c r="AR148" i="1"/>
  <c r="AR147" i="1"/>
  <c r="AR146" i="1"/>
  <c r="AR145" i="1"/>
  <c r="AR144" i="1"/>
  <c r="AR143" i="1"/>
  <c r="N134" i="1"/>
  <c r="AR134" i="1"/>
  <c r="AG134" i="1"/>
  <c r="AH134" i="1" s="1"/>
  <c r="S133" i="1"/>
  <c r="BC133" i="1" s="1"/>
  <c r="T133" i="1"/>
  <c r="BE133" i="1" s="1"/>
  <c r="BA133" i="1"/>
  <c r="Q133" i="1"/>
  <c r="P131" i="1"/>
  <c r="AY131" i="1"/>
  <c r="AR126" i="1"/>
  <c r="N126" i="1"/>
  <c r="AY126" i="1" s="1"/>
  <c r="AG126" i="1"/>
  <c r="AH126" i="1" s="1"/>
  <c r="AK125" i="1"/>
  <c r="AZ125" i="1"/>
  <c r="AZ123" i="1"/>
  <c r="AK123" i="1"/>
  <c r="P123" i="1"/>
  <c r="AR121" i="1"/>
  <c r="N121" i="1"/>
  <c r="AY121" i="1" s="1"/>
  <c r="AG121" i="1"/>
  <c r="AH121" i="1" s="1"/>
  <c r="AK120" i="1"/>
  <c r="AZ120" i="1"/>
  <c r="P120" i="1"/>
  <c r="N117" i="1"/>
  <c r="AR117" i="1"/>
  <c r="AG117" i="1"/>
  <c r="AH117" i="1" s="1"/>
  <c r="AK114" i="1"/>
  <c r="AZ114" i="1"/>
  <c r="P114" i="1"/>
  <c r="AZ111" i="1"/>
  <c r="AK111" i="1"/>
  <c r="G109" i="1"/>
  <c r="AO109" i="1"/>
  <c r="N105" i="1"/>
  <c r="AY105" i="1" s="1"/>
  <c r="AG105" i="1"/>
  <c r="AH105" i="1" s="1"/>
  <c r="AZ101" i="1"/>
  <c r="AK101" i="1"/>
  <c r="AG76" i="1"/>
  <c r="AH76" i="1" s="1"/>
  <c r="N76" i="1"/>
  <c r="AR76" i="1"/>
  <c r="AG133" i="1"/>
  <c r="AH133" i="1" s="1"/>
  <c r="AG132" i="1"/>
  <c r="AH132" i="1" s="1"/>
  <c r="AG131" i="1"/>
  <c r="AH131" i="1" s="1"/>
  <c r="AG130" i="1"/>
  <c r="AH130" i="1" s="1"/>
  <c r="AK129" i="1"/>
  <c r="BD128" i="1"/>
  <c r="AZ128" i="1"/>
  <c r="BD127" i="1"/>
  <c r="O127" i="1"/>
  <c r="AO126" i="1"/>
  <c r="BG123" i="1"/>
  <c r="AK121" i="1"/>
  <c r="BD120" i="1"/>
  <c r="AO119" i="1"/>
  <c r="AO118" i="1"/>
  <c r="AO117" i="1"/>
  <c r="AG112" i="1"/>
  <c r="AH112" i="1" s="1"/>
  <c r="AR105" i="1"/>
  <c r="AO103" i="1"/>
  <c r="G103" i="1"/>
  <c r="AZ100" i="1"/>
  <c r="AK100" i="1"/>
  <c r="AG75" i="1"/>
  <c r="AH75" i="1" s="1"/>
  <c r="N75" i="1"/>
  <c r="AR75" i="1"/>
  <c r="AO129" i="1"/>
  <c r="AZ126" i="1"/>
  <c r="AO123" i="1"/>
  <c r="AO121" i="1"/>
  <c r="BD116" i="1"/>
  <c r="AR116" i="1"/>
  <c r="BD113" i="1"/>
  <c r="AR113" i="1"/>
  <c r="AK110" i="1"/>
  <c r="AK107" i="1"/>
  <c r="AZ104" i="1"/>
  <c r="P104" i="1"/>
  <c r="AK104" i="1"/>
  <c r="AO101" i="1"/>
  <c r="G101" i="1"/>
  <c r="AZ99" i="1"/>
  <c r="AK99" i="1"/>
  <c r="AG74" i="1"/>
  <c r="AH74" i="1" s="1"/>
  <c r="N74" i="1"/>
  <c r="AR74" i="1"/>
  <c r="AR133" i="1"/>
  <c r="AR132" i="1"/>
  <c r="AR131" i="1"/>
  <c r="AR130" i="1"/>
  <c r="AZ129" i="1"/>
  <c r="AK128" i="1"/>
  <c r="AZ121" i="1"/>
  <c r="AR112" i="1"/>
  <c r="AK106" i="1"/>
  <c r="P105" i="1"/>
  <c r="AK105" i="1"/>
  <c r="N104" i="1"/>
  <c r="AY104" i="1" s="1"/>
  <c r="AR104" i="1"/>
  <c r="AG104" i="1"/>
  <c r="AH104" i="1" s="1"/>
  <c r="AZ103" i="1"/>
  <c r="AK103" i="1"/>
  <c r="G102" i="1"/>
  <c r="AO102" i="1"/>
  <c r="AO100" i="1"/>
  <c r="G100" i="1"/>
  <c r="AO99" i="1"/>
  <c r="G99" i="1"/>
  <c r="AG77" i="1"/>
  <c r="AH77" i="1" s="1"/>
  <c r="N77" i="1"/>
  <c r="AR77" i="1"/>
  <c r="AO77" i="1"/>
  <c r="AO76" i="1"/>
  <c r="AO75" i="1"/>
  <c r="AO74" i="1"/>
  <c r="AG70" i="1"/>
  <c r="AH70" i="1" s="1"/>
  <c r="N70" i="1"/>
  <c r="AY70" i="1" s="1"/>
  <c r="AR70" i="1"/>
  <c r="P64" i="1"/>
  <c r="AG58" i="1"/>
  <c r="AH58" i="1" s="1"/>
  <c r="N58" i="1"/>
  <c r="AY58" i="1" s="1"/>
  <c r="AR58" i="1"/>
  <c r="P52" i="1"/>
  <c r="AY52" i="1"/>
  <c r="AR96" i="1"/>
  <c r="N96" i="1"/>
  <c r="AR95" i="1"/>
  <c r="N95" i="1"/>
  <c r="AR94" i="1"/>
  <c r="N94" i="1"/>
  <c r="AR93" i="1"/>
  <c r="N93" i="1"/>
  <c r="AR92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AG55" i="1"/>
  <c r="AH55" i="1" s="1"/>
  <c r="N55" i="1"/>
  <c r="AY55" i="1" s="1"/>
  <c r="AR55" i="1"/>
  <c r="AG53" i="1"/>
  <c r="AH53" i="1" s="1"/>
  <c r="N53" i="1"/>
  <c r="AR53" i="1"/>
  <c r="AG48" i="1"/>
  <c r="AH48" i="1" s="1"/>
  <c r="N48" i="1"/>
  <c r="AR48" i="1"/>
  <c r="P69" i="1"/>
  <c r="AK69" i="1"/>
  <c r="AZ69" i="1"/>
  <c r="P65" i="1"/>
  <c r="P56" i="1"/>
  <c r="P51" i="1"/>
  <c r="N73" i="1"/>
  <c r="AR73" i="1"/>
  <c r="N72" i="1"/>
  <c r="AR72" i="1"/>
  <c r="N71" i="1"/>
  <c r="AR71" i="1"/>
  <c r="P70" i="1"/>
  <c r="AK70" i="1"/>
  <c r="AZ70" i="1"/>
  <c r="AG59" i="1"/>
  <c r="AH59" i="1" s="1"/>
  <c r="N59" i="1"/>
  <c r="AY59" i="1" s="1"/>
  <c r="AR59" i="1"/>
  <c r="AG54" i="1"/>
  <c r="AH54" i="1" s="1"/>
  <c r="N54" i="1"/>
  <c r="AR54" i="1"/>
  <c r="P50" i="1"/>
  <c r="AG49" i="1"/>
  <c r="AH49" i="1" s="1"/>
  <c r="N49" i="1"/>
  <c r="AR49" i="1"/>
  <c r="AR69" i="1"/>
  <c r="N69" i="1"/>
  <c r="AY69" i="1" s="1"/>
  <c r="AZ68" i="1"/>
  <c r="AR68" i="1"/>
  <c r="N68" i="1"/>
  <c r="AY68" i="1" s="1"/>
  <c r="AZ67" i="1"/>
  <c r="AR67" i="1"/>
  <c r="N67" i="1"/>
  <c r="AY67" i="1" s="1"/>
  <c r="AZ66" i="1"/>
  <c r="AR66" i="1"/>
  <c r="N66" i="1"/>
  <c r="AY66" i="1" s="1"/>
  <c r="AZ65" i="1"/>
  <c r="AR65" i="1"/>
  <c r="N65" i="1"/>
  <c r="AY65" i="1" s="1"/>
  <c r="AZ64" i="1"/>
  <c r="AR64" i="1"/>
  <c r="N64" i="1"/>
  <c r="AY64" i="1" s="1"/>
  <c r="AZ63" i="1"/>
  <c r="AR63" i="1"/>
  <c r="N63" i="1"/>
  <c r="AY63" i="1" s="1"/>
  <c r="AZ62" i="1"/>
  <c r="AR62" i="1"/>
  <c r="N62" i="1"/>
  <c r="AY62" i="1" s="1"/>
  <c r="AZ61" i="1"/>
  <c r="AR61" i="1"/>
  <c r="N61" i="1"/>
  <c r="AY61" i="1" s="1"/>
  <c r="AZ60" i="1"/>
  <c r="AR60" i="1"/>
  <c r="N60" i="1"/>
  <c r="AY60" i="1" s="1"/>
  <c r="AZ59" i="1"/>
  <c r="AZ58" i="1"/>
  <c r="AZ57" i="1"/>
  <c r="AR57" i="1"/>
  <c r="N57" i="1"/>
  <c r="AY57" i="1" s="1"/>
  <c r="AZ56" i="1"/>
  <c r="AR56" i="1"/>
  <c r="N56" i="1"/>
  <c r="AY56" i="1" s="1"/>
  <c r="AZ55" i="1"/>
  <c r="AR52" i="1"/>
  <c r="AZ51" i="1"/>
  <c r="AR51" i="1"/>
  <c r="N51" i="1"/>
  <c r="AY51" i="1" s="1"/>
  <c r="AZ50" i="1"/>
  <c r="AR50" i="1"/>
  <c r="AR47" i="1"/>
  <c r="AK47" i="1"/>
  <c r="AG45" i="1"/>
  <c r="AH45" i="1" s="1"/>
  <c r="AG44" i="1"/>
  <c r="AH44" i="1" s="1"/>
  <c r="N44" i="1"/>
  <c r="AY44" i="1" s="1"/>
  <c r="P43" i="1"/>
  <c r="AK43" i="1"/>
  <c r="AZ43" i="1"/>
  <c r="AG40" i="1"/>
  <c r="AH40" i="1" s="1"/>
  <c r="N40" i="1"/>
  <c r="AY40" i="1" s="1"/>
  <c r="AR40" i="1"/>
  <c r="AK39" i="1"/>
  <c r="AZ39" i="1"/>
  <c r="P31" i="1"/>
  <c r="N47" i="1"/>
  <c r="AY47" i="1" s="1"/>
  <c r="AR46" i="1"/>
  <c r="P46" i="1"/>
  <c r="AK46" i="1"/>
  <c r="AG43" i="1"/>
  <c r="AH43" i="1" s="1"/>
  <c r="N43" i="1"/>
  <c r="AY43" i="1" s="1"/>
  <c r="AR43" i="1"/>
  <c r="AK42" i="1"/>
  <c r="AZ42" i="1"/>
  <c r="AG39" i="1"/>
  <c r="AH39" i="1" s="1"/>
  <c r="N39" i="1"/>
  <c r="AY39" i="1" s="1"/>
  <c r="AR3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N46" i="1"/>
  <c r="AY46" i="1" s="1"/>
  <c r="P45" i="1"/>
  <c r="AK45" i="1"/>
  <c r="AG42" i="1"/>
  <c r="AH42" i="1" s="1"/>
  <c r="N42" i="1"/>
  <c r="AY42" i="1" s="1"/>
  <c r="AR42" i="1"/>
  <c r="AK41" i="1"/>
  <c r="AZ41" i="1"/>
  <c r="P34" i="1"/>
  <c r="P32" i="1"/>
  <c r="P44" i="1"/>
  <c r="AK44" i="1"/>
  <c r="AG41" i="1"/>
  <c r="AH41" i="1" s="1"/>
  <c r="N41" i="1"/>
  <c r="AY41" i="1" s="1"/>
  <c r="AR41" i="1"/>
  <c r="P40" i="1"/>
  <c r="AK40" i="1"/>
  <c r="AZ40" i="1"/>
  <c r="AZ38" i="1"/>
  <c r="AR38" i="1"/>
  <c r="N38" i="1"/>
  <c r="AY38" i="1" s="1"/>
  <c r="AZ37" i="1"/>
  <c r="AR37" i="1"/>
  <c r="N37" i="1"/>
  <c r="AY37" i="1" s="1"/>
  <c r="AZ36" i="1"/>
  <c r="AR36" i="1"/>
  <c r="N36" i="1"/>
  <c r="AY36" i="1" s="1"/>
  <c r="AZ35" i="1"/>
  <c r="AR35" i="1"/>
  <c r="N35" i="1"/>
  <c r="AY35" i="1" s="1"/>
  <c r="AZ34" i="1"/>
  <c r="AR34" i="1"/>
  <c r="N34" i="1"/>
  <c r="AY34" i="1" s="1"/>
  <c r="AZ33" i="1"/>
  <c r="AR33" i="1"/>
  <c r="N33" i="1"/>
  <c r="AY33" i="1" s="1"/>
  <c r="AZ32" i="1"/>
  <c r="AR32" i="1"/>
  <c r="N32" i="1"/>
  <c r="AY32" i="1" s="1"/>
  <c r="AZ31" i="1"/>
  <c r="AR31" i="1"/>
  <c r="N31" i="1"/>
  <c r="AY31" i="1" s="1"/>
  <c r="AZ30" i="1"/>
  <c r="AR30" i="1"/>
  <c r="N30" i="1"/>
  <c r="AY30" i="1" s="1"/>
  <c r="AZ29" i="1"/>
  <c r="AR29" i="1"/>
  <c r="N29" i="1"/>
  <c r="AY29" i="1" s="1"/>
  <c r="P28" i="1"/>
  <c r="AK28" i="1"/>
  <c r="AG25" i="1"/>
  <c r="AH25" i="1" s="1"/>
  <c r="P24" i="1"/>
  <c r="AK24" i="1"/>
  <c r="AZ24" i="1"/>
  <c r="AK20" i="1"/>
  <c r="AZ20" i="1"/>
  <c r="AG17" i="1"/>
  <c r="AH17" i="1" s="1"/>
  <c r="N17" i="1"/>
  <c r="AR17" i="1"/>
  <c r="AZ16" i="1"/>
  <c r="AK15" i="1"/>
  <c r="AZ15" i="1"/>
  <c r="AK13" i="1"/>
  <c r="AZ13" i="1"/>
  <c r="AG12" i="1"/>
  <c r="AH12" i="1" s="1"/>
  <c r="N12" i="1"/>
  <c r="AY12" i="1" s="1"/>
  <c r="AR12" i="1"/>
  <c r="AR27" i="1"/>
  <c r="AK27" i="1"/>
  <c r="AG24" i="1"/>
  <c r="AH24" i="1" s="1"/>
  <c r="P23" i="1"/>
  <c r="AK23" i="1"/>
  <c r="AZ23" i="1"/>
  <c r="P21" i="1"/>
  <c r="AK21" i="1"/>
  <c r="AZ21" i="1"/>
  <c r="AG20" i="1"/>
  <c r="AH20" i="1" s="1"/>
  <c r="P18" i="1"/>
  <c r="AK18" i="1"/>
  <c r="AZ18" i="1"/>
  <c r="AO17" i="1"/>
  <c r="AL17" i="1"/>
  <c r="BD17" i="1"/>
  <c r="G16" i="1"/>
  <c r="AO16" i="1"/>
  <c r="AG13" i="1"/>
  <c r="AH13" i="1" s="1"/>
  <c r="AZ10" i="1"/>
  <c r="AK10" i="1"/>
  <c r="AK9" i="1"/>
  <c r="AZ9" i="1"/>
  <c r="AK8" i="1"/>
  <c r="AZ8" i="1"/>
  <c r="AK7" i="1"/>
  <c r="AZ7" i="1"/>
  <c r="AK38" i="1"/>
  <c r="AK37" i="1"/>
  <c r="AK36" i="1"/>
  <c r="AK35" i="1"/>
  <c r="AK34" i="1"/>
  <c r="AK33" i="1"/>
  <c r="AK32" i="1"/>
  <c r="AK31" i="1"/>
  <c r="AK30" i="1"/>
  <c r="AK29" i="1"/>
  <c r="AG28" i="1"/>
  <c r="AH28" i="1" s="1"/>
  <c r="N27" i="1"/>
  <c r="AY27" i="1" s="1"/>
  <c r="P26" i="1"/>
  <c r="AK26" i="1"/>
  <c r="AZ26" i="1"/>
  <c r="AG23" i="1"/>
  <c r="AH23" i="1" s="1"/>
  <c r="P22" i="1"/>
  <c r="AK22" i="1"/>
  <c r="AZ22" i="1"/>
  <c r="P19" i="1"/>
  <c r="AK19" i="1"/>
  <c r="AZ19" i="1"/>
  <c r="AL15" i="1"/>
  <c r="BD15" i="1"/>
  <c r="P14" i="1"/>
  <c r="AG14" i="1"/>
  <c r="AH14" i="1" s="1"/>
  <c r="AK14" i="1"/>
  <c r="AL12" i="1"/>
  <c r="BD12" i="1"/>
  <c r="BL11" i="1"/>
  <c r="D11" i="1"/>
  <c r="AR10" i="1"/>
  <c r="N10" i="1"/>
  <c r="AY10" i="1" s="1"/>
  <c r="AG10" i="1"/>
  <c r="AH10" i="1" s="1"/>
  <c r="AG9" i="1"/>
  <c r="AH9" i="1" s="1"/>
  <c r="N9" i="1"/>
  <c r="AY9" i="1" s="1"/>
  <c r="AR9" i="1"/>
  <c r="AG8" i="1"/>
  <c r="AH8" i="1" s="1"/>
  <c r="N8" i="1"/>
  <c r="AY8" i="1" s="1"/>
  <c r="AR8" i="1"/>
  <c r="AG7" i="1"/>
  <c r="AH7" i="1" s="1"/>
  <c r="N7" i="1"/>
  <c r="AY7" i="1" s="1"/>
  <c r="AR7" i="1"/>
  <c r="P25" i="1"/>
  <c r="AK25" i="1"/>
  <c r="AZ25" i="1"/>
  <c r="P12" i="1"/>
  <c r="AK12" i="1"/>
  <c r="AZ12" i="1"/>
  <c r="AR26" i="1"/>
  <c r="N26" i="1"/>
  <c r="AY26" i="1" s="1"/>
  <c r="AR25" i="1"/>
  <c r="N25" i="1"/>
  <c r="AY25" i="1" s="1"/>
  <c r="AR24" i="1"/>
  <c r="N24" i="1"/>
  <c r="AY24" i="1" s="1"/>
  <c r="AR23" i="1"/>
  <c r="N23" i="1"/>
  <c r="AY23" i="1" s="1"/>
  <c r="AR22" i="1"/>
  <c r="N22" i="1"/>
  <c r="AY22" i="1" s="1"/>
  <c r="N20" i="1"/>
  <c r="AY20" i="1" s="1"/>
  <c r="N19" i="1"/>
  <c r="AY19" i="1" s="1"/>
  <c r="AR13" i="1"/>
  <c r="N13" i="1"/>
  <c r="AY13" i="1" s="1"/>
  <c r="AZ11" i="1"/>
  <c r="D15" i="1"/>
  <c r="AO10" i="1"/>
  <c r="BG15" i="1"/>
  <c r="Q24" i="1" l="1"/>
  <c r="S24" i="1"/>
  <c r="BC24" i="1" s="1"/>
  <c r="T24" i="1"/>
  <c r="BE24" i="1" s="1"/>
  <c r="BA24" i="1"/>
  <c r="S46" i="1"/>
  <c r="BC46" i="1" s="1"/>
  <c r="T46" i="1"/>
  <c r="BE46" i="1" s="1"/>
  <c r="Q46" i="1"/>
  <c r="BA46" i="1"/>
  <c r="S70" i="1"/>
  <c r="BC70" i="1" s="1"/>
  <c r="Q70" i="1"/>
  <c r="T70" i="1"/>
  <c r="BE70" i="1" s="1"/>
  <c r="BA70" i="1"/>
  <c r="T65" i="1"/>
  <c r="BE65" i="1" s="1"/>
  <c r="BA65" i="1"/>
  <c r="Q65" i="1"/>
  <c r="S65" i="1"/>
  <c r="BC65" i="1" s="1"/>
  <c r="P84" i="1"/>
  <c r="AY84" i="1"/>
  <c r="P74" i="1"/>
  <c r="AY74" i="1"/>
  <c r="S104" i="1"/>
  <c r="BC104" i="1" s="1"/>
  <c r="T104" i="1"/>
  <c r="BE104" i="1" s="1"/>
  <c r="BA104" i="1"/>
  <c r="Q104" i="1"/>
  <c r="AR108" i="1"/>
  <c r="AG108" i="1"/>
  <c r="AH108" i="1" s="1"/>
  <c r="N108" i="1"/>
  <c r="N122" i="1"/>
  <c r="AR122" i="1"/>
  <c r="AG122" i="1"/>
  <c r="AH122" i="1" s="1"/>
  <c r="Q186" i="1"/>
  <c r="BA186" i="1"/>
  <c r="S186" i="1"/>
  <c r="BC186" i="1" s="1"/>
  <c r="T186" i="1"/>
  <c r="BE186" i="1" s="1"/>
  <c r="S149" i="1"/>
  <c r="BC149" i="1" s="1"/>
  <c r="T149" i="1"/>
  <c r="BE149" i="1" s="1"/>
  <c r="BA149" i="1"/>
  <c r="Q149" i="1"/>
  <c r="S157" i="1"/>
  <c r="BC157" i="1" s="1"/>
  <c r="T157" i="1"/>
  <c r="BE157" i="1" s="1"/>
  <c r="BA157" i="1"/>
  <c r="Q157" i="1"/>
  <c r="S165" i="1"/>
  <c r="BC165" i="1" s="1"/>
  <c r="T165" i="1"/>
  <c r="BE165" i="1" s="1"/>
  <c r="BA165" i="1"/>
  <c r="Q165" i="1"/>
  <c r="S173" i="1"/>
  <c r="BC173" i="1" s="1"/>
  <c r="T173" i="1"/>
  <c r="BE173" i="1" s="1"/>
  <c r="BA173" i="1"/>
  <c r="Q173" i="1"/>
  <c r="T183" i="1"/>
  <c r="BE183" i="1" s="1"/>
  <c r="Q183" i="1"/>
  <c r="BA183" i="1"/>
  <c r="S183" i="1"/>
  <c r="BC183" i="1" s="1"/>
  <c r="S146" i="1"/>
  <c r="BC146" i="1" s="1"/>
  <c r="T146" i="1"/>
  <c r="BE146" i="1" s="1"/>
  <c r="BA146" i="1"/>
  <c r="Q146" i="1"/>
  <c r="S154" i="1"/>
  <c r="BC154" i="1" s="1"/>
  <c r="T154" i="1"/>
  <c r="BE154" i="1" s="1"/>
  <c r="BA154" i="1"/>
  <c r="Q154" i="1"/>
  <c r="S162" i="1"/>
  <c r="BC162" i="1" s="1"/>
  <c r="T162" i="1"/>
  <c r="BE162" i="1" s="1"/>
  <c r="BA162" i="1"/>
  <c r="Q162" i="1"/>
  <c r="S170" i="1"/>
  <c r="BC170" i="1" s="1"/>
  <c r="T170" i="1"/>
  <c r="BE170" i="1" s="1"/>
  <c r="BA170" i="1"/>
  <c r="Q170" i="1"/>
  <c r="P197" i="1"/>
  <c r="P205" i="1"/>
  <c r="P213" i="1"/>
  <c r="P221" i="1"/>
  <c r="Q226" i="1"/>
  <c r="S226" i="1"/>
  <c r="BC226" i="1" s="1"/>
  <c r="T226" i="1"/>
  <c r="BE226" i="1" s="1"/>
  <c r="BA226" i="1"/>
  <c r="S228" i="1"/>
  <c r="BC228" i="1" s="1"/>
  <c r="Q228" i="1"/>
  <c r="T228" i="1"/>
  <c r="BE228" i="1" s="1"/>
  <c r="BA228" i="1"/>
  <c r="T194" i="1"/>
  <c r="BE194" i="1" s="1"/>
  <c r="BA194" i="1"/>
  <c r="Q194" i="1"/>
  <c r="S194" i="1"/>
  <c r="BC194" i="1" s="1"/>
  <c r="T202" i="1"/>
  <c r="BE202" i="1" s="1"/>
  <c r="BA202" i="1"/>
  <c r="Q202" i="1"/>
  <c r="S202" i="1"/>
  <c r="BC202" i="1" s="1"/>
  <c r="T210" i="1"/>
  <c r="BE210" i="1" s="1"/>
  <c r="BA210" i="1"/>
  <c r="Q210" i="1"/>
  <c r="S210" i="1"/>
  <c r="BC210" i="1" s="1"/>
  <c r="T218" i="1"/>
  <c r="BE218" i="1" s="1"/>
  <c r="BA218" i="1"/>
  <c r="Q218" i="1"/>
  <c r="S218" i="1"/>
  <c r="BC218" i="1" s="1"/>
  <c r="S230" i="1"/>
  <c r="BC230" i="1" s="1"/>
  <c r="Q230" i="1"/>
  <c r="T230" i="1"/>
  <c r="BE230" i="1" s="1"/>
  <c r="BA230" i="1"/>
  <c r="AY235" i="1"/>
  <c r="P235" i="1"/>
  <c r="AY237" i="1"/>
  <c r="P237" i="1"/>
  <c r="AY239" i="1"/>
  <c r="P239" i="1"/>
  <c r="Q243" i="1"/>
  <c r="S243" i="1"/>
  <c r="BC243" i="1" s="1"/>
  <c r="T243" i="1"/>
  <c r="BE243" i="1" s="1"/>
  <c r="BA243" i="1"/>
  <c r="Q247" i="1"/>
  <c r="S247" i="1"/>
  <c r="BC247" i="1" s="1"/>
  <c r="T247" i="1"/>
  <c r="BE247" i="1" s="1"/>
  <c r="BA247" i="1"/>
  <c r="Q251" i="1"/>
  <c r="S251" i="1"/>
  <c r="BC251" i="1" s="1"/>
  <c r="T251" i="1"/>
  <c r="BE251" i="1" s="1"/>
  <c r="BA251" i="1"/>
  <c r="Q255" i="1"/>
  <c r="S255" i="1"/>
  <c r="BC255" i="1" s="1"/>
  <c r="T255" i="1"/>
  <c r="BE255" i="1" s="1"/>
  <c r="BA255" i="1"/>
  <c r="Q259" i="1"/>
  <c r="S259" i="1"/>
  <c r="BC259" i="1" s="1"/>
  <c r="T259" i="1"/>
  <c r="BE259" i="1" s="1"/>
  <c r="BA259" i="1"/>
  <c r="Q263" i="1"/>
  <c r="S263" i="1"/>
  <c r="BC263" i="1" s="1"/>
  <c r="T263" i="1"/>
  <c r="BE263" i="1" s="1"/>
  <c r="BA263" i="1"/>
  <c r="Q267" i="1"/>
  <c r="S267" i="1"/>
  <c r="BC267" i="1" s="1"/>
  <c r="T267" i="1"/>
  <c r="BE267" i="1" s="1"/>
  <c r="BA267" i="1"/>
  <c r="Q271" i="1"/>
  <c r="S271" i="1"/>
  <c r="BC271" i="1" s="1"/>
  <c r="T271" i="1"/>
  <c r="BE271" i="1" s="1"/>
  <c r="BA271" i="1"/>
  <c r="Q288" i="1"/>
  <c r="S288" i="1"/>
  <c r="BC288" i="1" s="1"/>
  <c r="T288" i="1"/>
  <c r="BE288" i="1" s="1"/>
  <c r="BA288" i="1"/>
  <c r="P300" i="1"/>
  <c r="AY300" i="1"/>
  <c r="P316" i="1"/>
  <c r="AY316" i="1"/>
  <c r="N330" i="1"/>
  <c r="AR330" i="1"/>
  <c r="AG330" i="1"/>
  <c r="AH330" i="1" s="1"/>
  <c r="AR335" i="1"/>
  <c r="N335" i="1"/>
  <c r="AG335" i="1"/>
  <c r="AH335" i="1" s="1"/>
  <c r="P293" i="1"/>
  <c r="AY293" i="1"/>
  <c r="P309" i="1"/>
  <c r="AY309" i="1"/>
  <c r="P325" i="1"/>
  <c r="AY325" i="1"/>
  <c r="N337" i="1"/>
  <c r="AG337" i="1"/>
  <c r="AH337" i="1" s="1"/>
  <c r="AR337" i="1"/>
  <c r="P284" i="1"/>
  <c r="P294" i="1"/>
  <c r="AY294" i="1"/>
  <c r="P310" i="1"/>
  <c r="AY310" i="1"/>
  <c r="P326" i="1"/>
  <c r="AY326" i="1"/>
  <c r="S356" i="1"/>
  <c r="BC356" i="1" s="1"/>
  <c r="T356" i="1"/>
  <c r="BE356" i="1" s="1"/>
  <c r="BA356" i="1"/>
  <c r="Q356" i="1"/>
  <c r="AO393" i="1"/>
  <c r="G393" i="1"/>
  <c r="S398" i="1"/>
  <c r="BC398" i="1" s="1"/>
  <c r="T398" i="1"/>
  <c r="BE398" i="1" s="1"/>
  <c r="BA398" i="1"/>
  <c r="Q398" i="1"/>
  <c r="AO400" i="1"/>
  <c r="G400" i="1"/>
  <c r="AO405" i="1"/>
  <c r="G405" i="1"/>
  <c r="T285" i="1"/>
  <c r="BE285" i="1" s="1"/>
  <c r="BA285" i="1"/>
  <c r="Q285" i="1"/>
  <c r="S285" i="1"/>
  <c r="BC285" i="1" s="1"/>
  <c r="P303" i="1"/>
  <c r="AY303" i="1"/>
  <c r="P319" i="1"/>
  <c r="AY319" i="1"/>
  <c r="N343" i="1"/>
  <c r="AG343" i="1"/>
  <c r="AH343" i="1" s="1"/>
  <c r="AR343" i="1"/>
  <c r="N349" i="1"/>
  <c r="AR349" i="1"/>
  <c r="AG349" i="1"/>
  <c r="AH349" i="1" s="1"/>
  <c r="N353" i="1"/>
  <c r="AR353" i="1"/>
  <c r="AG353" i="1"/>
  <c r="AH353" i="1" s="1"/>
  <c r="N387" i="1"/>
  <c r="AG387" i="1"/>
  <c r="AH387" i="1" s="1"/>
  <c r="AR387" i="1"/>
  <c r="AK409" i="1"/>
  <c r="AZ409" i="1"/>
  <c r="AR403" i="1"/>
  <c r="N403" i="1"/>
  <c r="AG403" i="1"/>
  <c r="AH403" i="1" s="1"/>
  <c r="P394" i="1"/>
  <c r="N412" i="1"/>
  <c r="AR412" i="1"/>
  <c r="AG412" i="1"/>
  <c r="AH412" i="1" s="1"/>
  <c r="AG456" i="1"/>
  <c r="AH456" i="1" s="1"/>
  <c r="N456" i="1"/>
  <c r="AR456" i="1"/>
  <c r="AG460" i="1"/>
  <c r="AH460" i="1" s="1"/>
  <c r="N460" i="1"/>
  <c r="AR460" i="1"/>
  <c r="T338" i="1"/>
  <c r="BE338" i="1" s="1"/>
  <c r="BA338" i="1"/>
  <c r="Q338" i="1"/>
  <c r="S338" i="1"/>
  <c r="BC338" i="1" s="1"/>
  <c r="T346" i="1"/>
  <c r="BE346" i="1" s="1"/>
  <c r="BA346" i="1"/>
  <c r="Q346" i="1"/>
  <c r="S346" i="1"/>
  <c r="BC346" i="1" s="1"/>
  <c r="T384" i="1"/>
  <c r="BE384" i="1" s="1"/>
  <c r="BA384" i="1"/>
  <c r="Q384" i="1"/>
  <c r="S384" i="1"/>
  <c r="BC384" i="1" s="1"/>
  <c r="T392" i="1"/>
  <c r="BE392" i="1" s="1"/>
  <c r="BA392" i="1"/>
  <c r="Q392" i="1"/>
  <c r="S392" i="1"/>
  <c r="BC392" i="1" s="1"/>
  <c r="AR411" i="1"/>
  <c r="N411" i="1"/>
  <c r="AG411" i="1"/>
  <c r="AH411" i="1" s="1"/>
  <c r="N467" i="1"/>
  <c r="AR467" i="1"/>
  <c r="AG467" i="1"/>
  <c r="AH467" i="1" s="1"/>
  <c r="N469" i="1"/>
  <c r="AR469" i="1"/>
  <c r="AG469" i="1"/>
  <c r="AH469" i="1" s="1"/>
  <c r="AY482" i="1"/>
  <c r="P482" i="1"/>
  <c r="AY490" i="1"/>
  <c r="P490" i="1"/>
  <c r="AY498" i="1"/>
  <c r="P498" i="1"/>
  <c r="P478" i="1"/>
  <c r="Q487" i="1"/>
  <c r="S487" i="1"/>
  <c r="BC487" i="1" s="1"/>
  <c r="T487" i="1"/>
  <c r="BE487" i="1" s="1"/>
  <c r="BA487" i="1"/>
  <c r="AY489" i="1"/>
  <c r="P489" i="1"/>
  <c r="Q495" i="1"/>
  <c r="S495" i="1"/>
  <c r="BC495" i="1" s="1"/>
  <c r="T495" i="1"/>
  <c r="BE495" i="1" s="1"/>
  <c r="BA495" i="1"/>
  <c r="AY497" i="1"/>
  <c r="P497" i="1"/>
  <c r="AY492" i="1"/>
  <c r="P492" i="1"/>
  <c r="P501" i="1"/>
  <c r="AY501" i="1"/>
  <c r="P503" i="1"/>
  <c r="AY503" i="1"/>
  <c r="N473" i="1"/>
  <c r="AR473" i="1"/>
  <c r="AG473" i="1"/>
  <c r="AH473" i="1" s="1"/>
  <c r="Q576" i="1"/>
  <c r="S576" i="1"/>
  <c r="BC576" i="1" s="1"/>
  <c r="BA576" i="1"/>
  <c r="T576" i="1"/>
  <c r="BE576" i="1" s="1"/>
  <c r="Q580" i="1"/>
  <c r="S580" i="1"/>
  <c r="BC580" i="1" s="1"/>
  <c r="BA580" i="1"/>
  <c r="T580" i="1"/>
  <c r="BE580" i="1" s="1"/>
  <c r="Q584" i="1"/>
  <c r="S584" i="1"/>
  <c r="BC584" i="1" s="1"/>
  <c r="BA584" i="1"/>
  <c r="T584" i="1"/>
  <c r="BE584" i="1" s="1"/>
  <c r="Q588" i="1"/>
  <c r="S588" i="1"/>
  <c r="BC588" i="1" s="1"/>
  <c r="BA588" i="1"/>
  <c r="T588" i="1"/>
  <c r="BE588" i="1" s="1"/>
  <c r="Q592" i="1"/>
  <c r="S592" i="1"/>
  <c r="BC592" i="1" s="1"/>
  <c r="BA592" i="1"/>
  <c r="T592" i="1"/>
  <c r="BE592" i="1" s="1"/>
  <c r="P551" i="1"/>
  <c r="P555" i="1"/>
  <c r="P559" i="1"/>
  <c r="P563" i="1"/>
  <c r="P567" i="1"/>
  <c r="Q594" i="1"/>
  <c r="S594" i="1"/>
  <c r="BC594" i="1" s="1"/>
  <c r="T594" i="1"/>
  <c r="BE594" i="1" s="1"/>
  <c r="BA594" i="1"/>
  <c r="Q599" i="1"/>
  <c r="S599" i="1"/>
  <c r="BC599" i="1" s="1"/>
  <c r="T599" i="1"/>
  <c r="BE599" i="1" s="1"/>
  <c r="BA599" i="1"/>
  <c r="AY617" i="1"/>
  <c r="P617" i="1"/>
  <c r="AY633" i="1"/>
  <c r="P633" i="1"/>
  <c r="AY649" i="1"/>
  <c r="P649" i="1"/>
  <c r="AY665" i="1"/>
  <c r="P665" i="1"/>
  <c r="AY681" i="1"/>
  <c r="P681" i="1"/>
  <c r="AY610" i="1"/>
  <c r="P610" i="1"/>
  <c r="AY626" i="1"/>
  <c r="P626" i="1"/>
  <c r="AY642" i="1"/>
  <c r="P642" i="1"/>
  <c r="AY658" i="1"/>
  <c r="P658" i="1"/>
  <c r="AY674" i="1"/>
  <c r="P674" i="1"/>
  <c r="AY690" i="1"/>
  <c r="P690" i="1"/>
  <c r="Q698" i="1"/>
  <c r="S698" i="1"/>
  <c r="BC698" i="1" s="1"/>
  <c r="T698" i="1"/>
  <c r="BE698" i="1" s="1"/>
  <c r="BA698" i="1"/>
  <c r="Q702" i="1"/>
  <c r="S702" i="1"/>
  <c r="BC702" i="1" s="1"/>
  <c r="T702" i="1"/>
  <c r="BE702" i="1" s="1"/>
  <c r="BA702" i="1"/>
  <c r="N706" i="1"/>
  <c r="AR706" i="1"/>
  <c r="AG706" i="1"/>
  <c r="AH706" i="1" s="1"/>
  <c r="N709" i="1"/>
  <c r="AR709" i="1"/>
  <c r="AG709" i="1"/>
  <c r="AH709" i="1" s="1"/>
  <c r="Q713" i="1"/>
  <c r="S713" i="1"/>
  <c r="BC713" i="1" s="1"/>
  <c r="BA713" i="1"/>
  <c r="T713" i="1"/>
  <c r="BE713" i="1" s="1"/>
  <c r="AY611" i="1"/>
  <c r="P611" i="1"/>
  <c r="AY627" i="1"/>
  <c r="P627" i="1"/>
  <c r="AY643" i="1"/>
  <c r="P643" i="1"/>
  <c r="AY659" i="1"/>
  <c r="P659" i="1"/>
  <c r="AY675" i="1"/>
  <c r="P675" i="1"/>
  <c r="AY691" i="1"/>
  <c r="P691" i="1"/>
  <c r="Q699" i="1"/>
  <c r="S699" i="1"/>
  <c r="BC699" i="1" s="1"/>
  <c r="T699" i="1"/>
  <c r="BE699" i="1" s="1"/>
  <c r="BA699" i="1"/>
  <c r="Q703" i="1"/>
  <c r="BA703" i="1"/>
  <c r="S703" i="1"/>
  <c r="BC703" i="1" s="1"/>
  <c r="T703" i="1"/>
  <c r="BE703" i="1" s="1"/>
  <c r="N719" i="1"/>
  <c r="AR719" i="1"/>
  <c r="AG719" i="1"/>
  <c r="AH719" i="1" s="1"/>
  <c r="N727" i="1"/>
  <c r="AR727" i="1"/>
  <c r="AG727" i="1"/>
  <c r="AH727" i="1" s="1"/>
  <c r="N735" i="1"/>
  <c r="AR735" i="1"/>
  <c r="AG735" i="1"/>
  <c r="AH735" i="1" s="1"/>
  <c r="AO765" i="1"/>
  <c r="G765" i="1"/>
  <c r="S776" i="1"/>
  <c r="BC776" i="1" s="1"/>
  <c r="BA776" i="1"/>
  <c r="Q776" i="1"/>
  <c r="T776" i="1"/>
  <c r="BE776" i="1" s="1"/>
  <c r="Q812" i="1"/>
  <c r="BA812" i="1"/>
  <c r="S812" i="1"/>
  <c r="BC812" i="1" s="1"/>
  <c r="T812" i="1"/>
  <c r="BE812" i="1" s="1"/>
  <c r="AZ834" i="1"/>
  <c r="AK834" i="1"/>
  <c r="Q839" i="1"/>
  <c r="BA839" i="1"/>
  <c r="S839" i="1"/>
  <c r="BC839" i="1" s="1"/>
  <c r="T839" i="1"/>
  <c r="BE839" i="1" s="1"/>
  <c r="Q847" i="1"/>
  <c r="BA847" i="1"/>
  <c r="S847" i="1"/>
  <c r="BC847" i="1" s="1"/>
  <c r="T847" i="1"/>
  <c r="BE847" i="1" s="1"/>
  <c r="N726" i="1"/>
  <c r="AR726" i="1"/>
  <c r="AG726" i="1"/>
  <c r="AH726" i="1" s="1"/>
  <c r="P743" i="1"/>
  <c r="AY743" i="1"/>
  <c r="T750" i="1"/>
  <c r="BE750" i="1" s="1"/>
  <c r="BA750" i="1"/>
  <c r="Q750" i="1"/>
  <c r="S750" i="1"/>
  <c r="BC750" i="1" s="1"/>
  <c r="S773" i="1"/>
  <c r="BC773" i="1" s="1"/>
  <c r="Q773" i="1"/>
  <c r="T773" i="1"/>
  <c r="BE773" i="1" s="1"/>
  <c r="BA773" i="1"/>
  <c r="AR777" i="1"/>
  <c r="N777" i="1"/>
  <c r="AG777" i="1"/>
  <c r="AH777" i="1" s="1"/>
  <c r="AZ779" i="1"/>
  <c r="AK779" i="1"/>
  <c r="P779" i="1"/>
  <c r="T840" i="1"/>
  <c r="BE840" i="1" s="1"/>
  <c r="Q840" i="1"/>
  <c r="BA840" i="1"/>
  <c r="S840" i="1"/>
  <c r="BC840" i="1" s="1"/>
  <c r="T848" i="1"/>
  <c r="BE848" i="1" s="1"/>
  <c r="Q848" i="1"/>
  <c r="BA848" i="1"/>
  <c r="S848" i="1"/>
  <c r="BC848" i="1" s="1"/>
  <c r="T885" i="1"/>
  <c r="BE885" i="1" s="1"/>
  <c r="Q885" i="1"/>
  <c r="BA885" i="1"/>
  <c r="S885" i="1"/>
  <c r="BC885" i="1" s="1"/>
  <c r="T893" i="1"/>
  <c r="BE893" i="1" s="1"/>
  <c r="Q893" i="1"/>
  <c r="BA893" i="1"/>
  <c r="S893" i="1"/>
  <c r="BC893" i="1" s="1"/>
  <c r="AY901" i="1"/>
  <c r="P901" i="1"/>
  <c r="AY903" i="1"/>
  <c r="P903" i="1"/>
  <c r="AY905" i="1"/>
  <c r="P905" i="1"/>
  <c r="AY907" i="1"/>
  <c r="P907" i="1"/>
  <c r="AY909" i="1"/>
  <c r="P909" i="1"/>
  <c r="AY911" i="1"/>
  <c r="P911" i="1"/>
  <c r="AY913" i="1"/>
  <c r="P913" i="1"/>
  <c r="AY915" i="1"/>
  <c r="P915" i="1"/>
  <c r="P742" i="1"/>
  <c r="AY742" i="1"/>
  <c r="Q789" i="1"/>
  <c r="T789" i="1"/>
  <c r="BE789" i="1" s="1"/>
  <c r="BA789" i="1"/>
  <c r="S789" i="1"/>
  <c r="BC789" i="1" s="1"/>
  <c r="S814" i="1"/>
  <c r="BC814" i="1" s="1"/>
  <c r="T814" i="1"/>
  <c r="BE814" i="1" s="1"/>
  <c r="Q814" i="1"/>
  <c r="BA814" i="1"/>
  <c r="P823" i="1"/>
  <c r="AY823" i="1"/>
  <c r="AO838" i="1"/>
  <c r="G838" i="1"/>
  <c r="S845" i="1"/>
  <c r="BC845" i="1" s="1"/>
  <c r="T845" i="1"/>
  <c r="BE845" i="1" s="1"/>
  <c r="Q845" i="1"/>
  <c r="BA845" i="1"/>
  <c r="AG856" i="1"/>
  <c r="AH856" i="1" s="1"/>
  <c r="AR856" i="1"/>
  <c r="N856" i="1"/>
  <c r="Q863" i="1"/>
  <c r="T863" i="1"/>
  <c r="BE863" i="1" s="1"/>
  <c r="BA863" i="1"/>
  <c r="S863" i="1"/>
  <c r="BC863" i="1" s="1"/>
  <c r="AY873" i="1"/>
  <c r="P873" i="1"/>
  <c r="AY608" i="1"/>
  <c r="P608" i="1"/>
  <c r="AY624" i="1"/>
  <c r="P624" i="1"/>
  <c r="AY640" i="1"/>
  <c r="P640" i="1"/>
  <c r="AY656" i="1"/>
  <c r="P656" i="1"/>
  <c r="AY672" i="1"/>
  <c r="P672" i="1"/>
  <c r="AY688" i="1"/>
  <c r="P688" i="1"/>
  <c r="P700" i="1"/>
  <c r="P741" i="1"/>
  <c r="AY741" i="1"/>
  <c r="AK770" i="1"/>
  <c r="AZ770" i="1"/>
  <c r="N778" i="1"/>
  <c r="AG778" i="1"/>
  <c r="AH778" i="1" s="1"/>
  <c r="AR778" i="1"/>
  <c r="Q800" i="1"/>
  <c r="S800" i="1"/>
  <c r="BC800" i="1" s="1"/>
  <c r="T800" i="1"/>
  <c r="BE800" i="1" s="1"/>
  <c r="BA800" i="1"/>
  <c r="Q811" i="1"/>
  <c r="BA811" i="1"/>
  <c r="S811" i="1"/>
  <c r="BC811" i="1" s="1"/>
  <c r="T811" i="1"/>
  <c r="BE811" i="1" s="1"/>
  <c r="Q815" i="1"/>
  <c r="BA815" i="1"/>
  <c r="S815" i="1"/>
  <c r="BC815" i="1" s="1"/>
  <c r="T815" i="1"/>
  <c r="BE815" i="1" s="1"/>
  <c r="Q842" i="1"/>
  <c r="BA842" i="1"/>
  <c r="S842" i="1"/>
  <c r="BC842" i="1" s="1"/>
  <c r="T842" i="1"/>
  <c r="BE842" i="1" s="1"/>
  <c r="Q846" i="1"/>
  <c r="BA846" i="1"/>
  <c r="S846" i="1"/>
  <c r="BC846" i="1" s="1"/>
  <c r="T846" i="1"/>
  <c r="BE846" i="1" s="1"/>
  <c r="Q850" i="1"/>
  <c r="BA850" i="1"/>
  <c r="S850" i="1"/>
  <c r="BC850" i="1" s="1"/>
  <c r="T850" i="1"/>
  <c r="BE850" i="1" s="1"/>
  <c r="AK882" i="1"/>
  <c r="AZ882" i="1"/>
  <c r="AY860" i="1"/>
  <c r="P860" i="1"/>
  <c r="Q1026" i="1"/>
  <c r="BA1026" i="1"/>
  <c r="S1026" i="1"/>
  <c r="BC1026" i="1" s="1"/>
  <c r="T1026" i="1"/>
  <c r="BE1026" i="1" s="1"/>
  <c r="S1032" i="1"/>
  <c r="BC1032" i="1" s="1"/>
  <c r="Q1032" i="1"/>
  <c r="T1032" i="1"/>
  <c r="BE1032" i="1" s="1"/>
  <c r="BA1032" i="1"/>
  <c r="N1039" i="1"/>
  <c r="AG1039" i="1"/>
  <c r="AH1039" i="1" s="1"/>
  <c r="AR1039" i="1"/>
  <c r="N835" i="1"/>
  <c r="AY835" i="1" s="1"/>
  <c r="AG835" i="1"/>
  <c r="AH835" i="1" s="1"/>
  <c r="AR835" i="1"/>
  <c r="T857" i="1"/>
  <c r="BE857" i="1" s="1"/>
  <c r="BA857" i="1"/>
  <c r="Q857" i="1"/>
  <c r="S857" i="1"/>
  <c r="BC857" i="1" s="1"/>
  <c r="AK897" i="1"/>
  <c r="AY920" i="1"/>
  <c r="P920" i="1"/>
  <c r="Q925" i="1"/>
  <c r="S925" i="1"/>
  <c r="BC925" i="1" s="1"/>
  <c r="T925" i="1"/>
  <c r="BE925" i="1" s="1"/>
  <c r="BA925" i="1"/>
  <c r="Q941" i="1"/>
  <c r="S941" i="1"/>
  <c r="BC941" i="1" s="1"/>
  <c r="T941" i="1"/>
  <c r="BE941" i="1" s="1"/>
  <c r="BA941" i="1"/>
  <c r="N994" i="1"/>
  <c r="AG994" i="1"/>
  <c r="AH994" i="1" s="1"/>
  <c r="AR994" i="1"/>
  <c r="T1041" i="1"/>
  <c r="BE1041" i="1" s="1"/>
  <c r="BA1041" i="1"/>
  <c r="Q1041" i="1"/>
  <c r="S1041" i="1"/>
  <c r="BC1041" i="1" s="1"/>
  <c r="Q791" i="1"/>
  <c r="BA791" i="1"/>
  <c r="S791" i="1"/>
  <c r="BC791" i="1" s="1"/>
  <c r="T791" i="1"/>
  <c r="BE791" i="1" s="1"/>
  <c r="AY917" i="1"/>
  <c r="P917" i="1"/>
  <c r="Q1024" i="1"/>
  <c r="S1024" i="1"/>
  <c r="BC1024" i="1" s="1"/>
  <c r="T1024" i="1"/>
  <c r="BE1024" i="1" s="1"/>
  <c r="BA1024" i="1"/>
  <c r="N882" i="1"/>
  <c r="AY882" i="1" s="1"/>
  <c r="AG882" i="1"/>
  <c r="AH882" i="1" s="1"/>
  <c r="AR882" i="1"/>
  <c r="AY918" i="1"/>
  <c r="P918" i="1"/>
  <c r="Q923" i="1"/>
  <c r="S923" i="1"/>
  <c r="BC923" i="1" s="1"/>
  <c r="T923" i="1"/>
  <c r="BE923" i="1" s="1"/>
  <c r="BA923" i="1"/>
  <c r="Q931" i="1"/>
  <c r="S931" i="1"/>
  <c r="BC931" i="1" s="1"/>
  <c r="T931" i="1"/>
  <c r="BE931" i="1" s="1"/>
  <c r="BA931" i="1"/>
  <c r="Q939" i="1"/>
  <c r="S939" i="1"/>
  <c r="BC939" i="1" s="1"/>
  <c r="T939" i="1"/>
  <c r="BE939" i="1" s="1"/>
  <c r="BA939" i="1"/>
  <c r="Q947" i="1"/>
  <c r="S947" i="1"/>
  <c r="BC947" i="1" s="1"/>
  <c r="T947" i="1"/>
  <c r="BE947" i="1" s="1"/>
  <c r="BA947" i="1"/>
  <c r="P1044" i="1"/>
  <c r="AY1044" i="1"/>
  <c r="AY1031" i="1"/>
  <c r="P1031" i="1"/>
  <c r="AL464" i="1"/>
  <c r="Q23" i="1"/>
  <c r="S23" i="1"/>
  <c r="BC23" i="1" s="1"/>
  <c r="BA23" i="1"/>
  <c r="T23" i="1"/>
  <c r="BE23" i="1" s="1"/>
  <c r="S40" i="1"/>
  <c r="BC40" i="1" s="1"/>
  <c r="Q40" i="1"/>
  <c r="T40" i="1"/>
  <c r="BE40" i="1" s="1"/>
  <c r="BA40" i="1"/>
  <c r="T34" i="1"/>
  <c r="BE34" i="1" s="1"/>
  <c r="BA34" i="1"/>
  <c r="Q34" i="1"/>
  <c r="S34" i="1"/>
  <c r="BC34" i="1" s="1"/>
  <c r="T31" i="1"/>
  <c r="BE31" i="1" s="1"/>
  <c r="BA31" i="1"/>
  <c r="Q31" i="1"/>
  <c r="S31" i="1"/>
  <c r="BC31" i="1" s="1"/>
  <c r="S43" i="1"/>
  <c r="BC43" i="1" s="1"/>
  <c r="Q43" i="1"/>
  <c r="T43" i="1"/>
  <c r="BE43" i="1" s="1"/>
  <c r="BA43" i="1"/>
  <c r="P49" i="1"/>
  <c r="AY49" i="1"/>
  <c r="AY72" i="1"/>
  <c r="P72" i="1"/>
  <c r="P88" i="1"/>
  <c r="AY88" i="1"/>
  <c r="P96" i="1"/>
  <c r="AY96" i="1"/>
  <c r="P66" i="1"/>
  <c r="Q123" i="1"/>
  <c r="S123" i="1"/>
  <c r="BC123" i="1" s="1"/>
  <c r="BA123" i="1"/>
  <c r="T123" i="1"/>
  <c r="BE123" i="1" s="1"/>
  <c r="AR111" i="1"/>
  <c r="AG111" i="1"/>
  <c r="AH111" i="1" s="1"/>
  <c r="N111" i="1"/>
  <c r="S113" i="1"/>
  <c r="BC113" i="1" s="1"/>
  <c r="T113" i="1"/>
  <c r="BE113" i="1" s="1"/>
  <c r="BA113" i="1"/>
  <c r="Q113" i="1"/>
  <c r="Q121" i="1"/>
  <c r="BA121" i="1"/>
  <c r="S121" i="1"/>
  <c r="BC121" i="1" s="1"/>
  <c r="T121" i="1"/>
  <c r="BE121" i="1" s="1"/>
  <c r="S180" i="1"/>
  <c r="BC180" i="1" s="1"/>
  <c r="T180" i="1"/>
  <c r="BE180" i="1" s="1"/>
  <c r="BA180" i="1"/>
  <c r="Q180" i="1"/>
  <c r="Q12" i="1"/>
  <c r="S12" i="1"/>
  <c r="BC12" i="1" s="1"/>
  <c r="T12" i="1"/>
  <c r="BE12" i="1" s="1"/>
  <c r="BA12" i="1"/>
  <c r="G11" i="1"/>
  <c r="AO11" i="1"/>
  <c r="P8" i="1"/>
  <c r="Q18" i="1"/>
  <c r="S18" i="1"/>
  <c r="BC18" i="1" s="1"/>
  <c r="T18" i="1"/>
  <c r="BE18" i="1" s="1"/>
  <c r="BA18" i="1"/>
  <c r="Q21" i="1"/>
  <c r="S21" i="1"/>
  <c r="BC21" i="1" s="1"/>
  <c r="T21" i="1"/>
  <c r="BE21" i="1" s="1"/>
  <c r="BA21" i="1"/>
  <c r="AY17" i="1"/>
  <c r="P17" i="1"/>
  <c r="P20" i="1"/>
  <c r="Q44" i="1"/>
  <c r="BA44" i="1"/>
  <c r="S44" i="1"/>
  <c r="BC44" i="1" s="1"/>
  <c r="T44" i="1"/>
  <c r="BE44" i="1" s="1"/>
  <c r="P36" i="1"/>
  <c r="P41" i="1"/>
  <c r="P33" i="1"/>
  <c r="P47" i="1"/>
  <c r="P59" i="1"/>
  <c r="P67" i="1"/>
  <c r="P53" i="1"/>
  <c r="AY53" i="1"/>
  <c r="P81" i="1"/>
  <c r="AY81" i="1"/>
  <c r="P85" i="1"/>
  <c r="AY85" i="1"/>
  <c r="P89" i="1"/>
  <c r="AY89" i="1"/>
  <c r="P57" i="1"/>
  <c r="P60" i="1"/>
  <c r="P68" i="1"/>
  <c r="AR102" i="1"/>
  <c r="N102" i="1"/>
  <c r="AG102" i="1"/>
  <c r="AH102" i="1" s="1"/>
  <c r="Q105" i="1"/>
  <c r="S105" i="1"/>
  <c r="BC105" i="1" s="1"/>
  <c r="T105" i="1"/>
  <c r="BE105" i="1" s="1"/>
  <c r="BA105" i="1"/>
  <c r="N101" i="1"/>
  <c r="AR101" i="1"/>
  <c r="AG101" i="1"/>
  <c r="AH101" i="1" s="1"/>
  <c r="P75" i="1"/>
  <c r="AY75" i="1"/>
  <c r="AY117" i="1"/>
  <c r="P117" i="1"/>
  <c r="P128" i="1"/>
  <c r="P106" i="1"/>
  <c r="S112" i="1"/>
  <c r="BC112" i="1" s="1"/>
  <c r="T112" i="1"/>
  <c r="BE112" i="1" s="1"/>
  <c r="BA112" i="1"/>
  <c r="Q112" i="1"/>
  <c r="S130" i="1"/>
  <c r="BC130" i="1" s="1"/>
  <c r="T130" i="1"/>
  <c r="BE130" i="1" s="1"/>
  <c r="BA130" i="1"/>
  <c r="Q130" i="1"/>
  <c r="S143" i="1"/>
  <c r="BC143" i="1" s="1"/>
  <c r="T143" i="1"/>
  <c r="BE143" i="1" s="1"/>
  <c r="BA143" i="1"/>
  <c r="Q143" i="1"/>
  <c r="S151" i="1"/>
  <c r="BC151" i="1" s="1"/>
  <c r="T151" i="1"/>
  <c r="BE151" i="1" s="1"/>
  <c r="BA151" i="1"/>
  <c r="Q151" i="1"/>
  <c r="S159" i="1"/>
  <c r="BC159" i="1" s="1"/>
  <c r="T159" i="1"/>
  <c r="BE159" i="1" s="1"/>
  <c r="BA159" i="1"/>
  <c r="Q159" i="1"/>
  <c r="S167" i="1"/>
  <c r="BC167" i="1" s="1"/>
  <c r="T167" i="1"/>
  <c r="BE167" i="1" s="1"/>
  <c r="BA167" i="1"/>
  <c r="Q167" i="1"/>
  <c r="S175" i="1"/>
  <c r="BC175" i="1" s="1"/>
  <c r="T175" i="1"/>
  <c r="BE175" i="1" s="1"/>
  <c r="BA175" i="1"/>
  <c r="Q175" i="1"/>
  <c r="P184" i="1"/>
  <c r="P188" i="1"/>
  <c r="S148" i="1"/>
  <c r="BC148" i="1" s="1"/>
  <c r="T148" i="1"/>
  <c r="BE148" i="1" s="1"/>
  <c r="BA148" i="1"/>
  <c r="Q148" i="1"/>
  <c r="S156" i="1"/>
  <c r="BC156" i="1" s="1"/>
  <c r="T156" i="1"/>
  <c r="BE156" i="1" s="1"/>
  <c r="BA156" i="1"/>
  <c r="Q156" i="1"/>
  <c r="S164" i="1"/>
  <c r="BC164" i="1" s="1"/>
  <c r="T164" i="1"/>
  <c r="BE164" i="1" s="1"/>
  <c r="BA164" i="1"/>
  <c r="Q164" i="1"/>
  <c r="S172" i="1"/>
  <c r="BC172" i="1" s="1"/>
  <c r="T172" i="1"/>
  <c r="BE172" i="1" s="1"/>
  <c r="BA172" i="1"/>
  <c r="Q172" i="1"/>
  <c r="P182" i="1"/>
  <c r="Q185" i="1"/>
  <c r="BA185" i="1"/>
  <c r="S185" i="1"/>
  <c r="BC185" i="1" s="1"/>
  <c r="T185" i="1"/>
  <c r="BE185" i="1" s="1"/>
  <c r="Q189" i="1"/>
  <c r="BA189" i="1"/>
  <c r="S189" i="1"/>
  <c r="BC189" i="1" s="1"/>
  <c r="T189" i="1"/>
  <c r="BE189" i="1" s="1"/>
  <c r="P191" i="1"/>
  <c r="P199" i="1"/>
  <c r="P207" i="1"/>
  <c r="P215" i="1"/>
  <c r="P223" i="1"/>
  <c r="P227" i="1"/>
  <c r="P196" i="1"/>
  <c r="P204" i="1"/>
  <c r="P212" i="1"/>
  <c r="P220" i="1"/>
  <c r="P224" i="1"/>
  <c r="P229" i="1"/>
  <c r="P225" i="1"/>
  <c r="Q240" i="1"/>
  <c r="S240" i="1"/>
  <c r="BC240" i="1" s="1"/>
  <c r="T240" i="1"/>
  <c r="BE240" i="1" s="1"/>
  <c r="BA240" i="1"/>
  <c r="Q244" i="1"/>
  <c r="S244" i="1"/>
  <c r="BC244" i="1" s="1"/>
  <c r="T244" i="1"/>
  <c r="BE244" i="1" s="1"/>
  <c r="BA244" i="1"/>
  <c r="Q248" i="1"/>
  <c r="S248" i="1"/>
  <c r="BC248" i="1" s="1"/>
  <c r="T248" i="1"/>
  <c r="BE248" i="1" s="1"/>
  <c r="BA248" i="1"/>
  <c r="Q252" i="1"/>
  <c r="S252" i="1"/>
  <c r="BC252" i="1" s="1"/>
  <c r="T252" i="1"/>
  <c r="BE252" i="1" s="1"/>
  <c r="BA252" i="1"/>
  <c r="Q256" i="1"/>
  <c r="S256" i="1"/>
  <c r="BC256" i="1" s="1"/>
  <c r="T256" i="1"/>
  <c r="BE256" i="1" s="1"/>
  <c r="BA256" i="1"/>
  <c r="Q260" i="1"/>
  <c r="S260" i="1"/>
  <c r="BC260" i="1" s="1"/>
  <c r="T260" i="1"/>
  <c r="BE260" i="1" s="1"/>
  <c r="BA260" i="1"/>
  <c r="Q264" i="1"/>
  <c r="S264" i="1"/>
  <c r="BC264" i="1" s="1"/>
  <c r="T264" i="1"/>
  <c r="BE264" i="1" s="1"/>
  <c r="BA264" i="1"/>
  <c r="Q268" i="1"/>
  <c r="S268" i="1"/>
  <c r="BC268" i="1" s="1"/>
  <c r="T268" i="1"/>
  <c r="BE268" i="1" s="1"/>
  <c r="BA268" i="1"/>
  <c r="AK279" i="1"/>
  <c r="AZ279" i="1"/>
  <c r="P279" i="1"/>
  <c r="P275" i="1"/>
  <c r="AY275" i="1"/>
  <c r="P276" i="1"/>
  <c r="AY276" i="1"/>
  <c r="P296" i="1"/>
  <c r="AY296" i="1"/>
  <c r="P312" i="1"/>
  <c r="AY312" i="1"/>
  <c r="P328" i="1"/>
  <c r="AY328" i="1"/>
  <c r="P289" i="1"/>
  <c r="AY289" i="1"/>
  <c r="P305" i="1"/>
  <c r="AY305" i="1"/>
  <c r="P321" i="1"/>
  <c r="AY321" i="1"/>
  <c r="N341" i="1"/>
  <c r="AG341" i="1"/>
  <c r="AH341" i="1" s="1"/>
  <c r="AR341" i="1"/>
  <c r="P290" i="1"/>
  <c r="AY290" i="1"/>
  <c r="P306" i="1"/>
  <c r="AY306" i="1"/>
  <c r="P322" i="1"/>
  <c r="AY322" i="1"/>
  <c r="AR334" i="1"/>
  <c r="N334" i="1"/>
  <c r="AG334" i="1"/>
  <c r="AH334" i="1" s="1"/>
  <c r="S357" i="1"/>
  <c r="BC357" i="1" s="1"/>
  <c r="T357" i="1"/>
  <c r="BE357" i="1" s="1"/>
  <c r="BA357" i="1"/>
  <c r="Q357" i="1"/>
  <c r="P360" i="1"/>
  <c r="AG377" i="1"/>
  <c r="AH377" i="1" s="1"/>
  <c r="N377" i="1"/>
  <c r="AR377" i="1"/>
  <c r="P299" i="1"/>
  <c r="AY299" i="1"/>
  <c r="P315" i="1"/>
  <c r="AY315" i="1"/>
  <c r="N331" i="1"/>
  <c r="AR331" i="1"/>
  <c r="AG331" i="1"/>
  <c r="AH331" i="1" s="1"/>
  <c r="P344" i="1"/>
  <c r="AY344" i="1"/>
  <c r="N350" i="1"/>
  <c r="AR350" i="1"/>
  <c r="AG350" i="1"/>
  <c r="AH350" i="1" s="1"/>
  <c r="N354" i="1"/>
  <c r="AR354" i="1"/>
  <c r="AG354" i="1"/>
  <c r="AH354" i="1" s="1"/>
  <c r="G389" i="1"/>
  <c r="AO389" i="1"/>
  <c r="P355" i="1"/>
  <c r="AY355" i="1"/>
  <c r="N380" i="1"/>
  <c r="AR380" i="1"/>
  <c r="AG380" i="1"/>
  <c r="AH380" i="1" s="1"/>
  <c r="AR388" i="1"/>
  <c r="N388" i="1"/>
  <c r="AG388" i="1"/>
  <c r="AH388" i="1" s="1"/>
  <c r="AG407" i="1"/>
  <c r="AH407" i="1" s="1"/>
  <c r="N407" i="1"/>
  <c r="AR407" i="1"/>
  <c r="P395" i="1"/>
  <c r="N399" i="1"/>
  <c r="AR399" i="1"/>
  <c r="AG399" i="1"/>
  <c r="AH399" i="1" s="1"/>
  <c r="P423" i="1"/>
  <c r="AY423" i="1"/>
  <c r="P425" i="1"/>
  <c r="AY425" i="1"/>
  <c r="P427" i="1"/>
  <c r="AY427" i="1"/>
  <c r="P429" i="1"/>
  <c r="AY429" i="1"/>
  <c r="P431" i="1"/>
  <c r="AY431" i="1"/>
  <c r="P433" i="1"/>
  <c r="AY433" i="1"/>
  <c r="P435" i="1"/>
  <c r="AY435" i="1"/>
  <c r="P437" i="1"/>
  <c r="AY437" i="1"/>
  <c r="P439" i="1"/>
  <c r="AY439" i="1"/>
  <c r="P441" i="1"/>
  <c r="AY441" i="1"/>
  <c r="P443" i="1"/>
  <c r="AY443" i="1"/>
  <c r="P445" i="1"/>
  <c r="AY445" i="1"/>
  <c r="P447" i="1"/>
  <c r="AY447" i="1"/>
  <c r="P449" i="1"/>
  <c r="AY449" i="1"/>
  <c r="AG453" i="1"/>
  <c r="AH453" i="1" s="1"/>
  <c r="N453" i="1"/>
  <c r="AR453" i="1"/>
  <c r="AG457" i="1"/>
  <c r="AH457" i="1" s="1"/>
  <c r="N457" i="1"/>
  <c r="AR457" i="1"/>
  <c r="AG461" i="1"/>
  <c r="AH461" i="1" s="1"/>
  <c r="N461" i="1"/>
  <c r="AR461" i="1"/>
  <c r="P379" i="1"/>
  <c r="N404" i="1"/>
  <c r="AR404" i="1"/>
  <c r="AG404" i="1"/>
  <c r="AH404" i="1" s="1"/>
  <c r="AG408" i="1"/>
  <c r="AH408" i="1" s="1"/>
  <c r="N408" i="1"/>
  <c r="AR408" i="1"/>
  <c r="P410" i="1"/>
  <c r="T475" i="1"/>
  <c r="BE475" i="1" s="1"/>
  <c r="Q475" i="1"/>
  <c r="S475" i="1"/>
  <c r="BC475" i="1" s="1"/>
  <c r="BA475" i="1"/>
  <c r="N417" i="1"/>
  <c r="AG417" i="1"/>
  <c r="AH417" i="1" s="1"/>
  <c r="AR417" i="1"/>
  <c r="P477" i="1"/>
  <c r="P481" i="1"/>
  <c r="AY496" i="1"/>
  <c r="P496" i="1"/>
  <c r="T546" i="1"/>
  <c r="BE546" i="1" s="1"/>
  <c r="BA546" i="1"/>
  <c r="Q546" i="1"/>
  <c r="S546" i="1"/>
  <c r="BC546" i="1" s="1"/>
  <c r="T553" i="1"/>
  <c r="BE553" i="1" s="1"/>
  <c r="BA553" i="1"/>
  <c r="Q553" i="1"/>
  <c r="S553" i="1"/>
  <c r="BC553" i="1" s="1"/>
  <c r="T557" i="1"/>
  <c r="BE557" i="1" s="1"/>
  <c r="BA557" i="1"/>
  <c r="Q557" i="1"/>
  <c r="S557" i="1"/>
  <c r="BC557" i="1" s="1"/>
  <c r="T561" i="1"/>
  <c r="BE561" i="1" s="1"/>
  <c r="BA561" i="1"/>
  <c r="Q561" i="1"/>
  <c r="S561" i="1"/>
  <c r="BC561" i="1" s="1"/>
  <c r="T565" i="1"/>
  <c r="BE565" i="1" s="1"/>
  <c r="BA565" i="1"/>
  <c r="Q565" i="1"/>
  <c r="S565" i="1"/>
  <c r="BC565" i="1" s="1"/>
  <c r="P550" i="1"/>
  <c r="P554" i="1"/>
  <c r="P558" i="1"/>
  <c r="P562" i="1"/>
  <c r="P566" i="1"/>
  <c r="P575" i="1"/>
  <c r="P579" i="1"/>
  <c r="P583" i="1"/>
  <c r="P587" i="1"/>
  <c r="P591" i="1"/>
  <c r="Q598" i="1"/>
  <c r="T598" i="1"/>
  <c r="BE598" i="1" s="1"/>
  <c r="BA598" i="1"/>
  <c r="S598" i="1"/>
  <c r="BC598" i="1" s="1"/>
  <c r="AY613" i="1"/>
  <c r="P613" i="1"/>
  <c r="AY629" i="1"/>
  <c r="P629" i="1"/>
  <c r="AY645" i="1"/>
  <c r="P645" i="1"/>
  <c r="AY661" i="1"/>
  <c r="P661" i="1"/>
  <c r="AY677" i="1"/>
  <c r="P677" i="1"/>
  <c r="AY693" i="1"/>
  <c r="P693" i="1"/>
  <c r="Q701" i="1"/>
  <c r="S701" i="1"/>
  <c r="BC701" i="1" s="1"/>
  <c r="T701" i="1"/>
  <c r="BE701" i="1" s="1"/>
  <c r="BA701" i="1"/>
  <c r="N704" i="1"/>
  <c r="AR704" i="1"/>
  <c r="AG704" i="1"/>
  <c r="AH704" i="1" s="1"/>
  <c r="N708" i="1"/>
  <c r="AR708" i="1"/>
  <c r="AG708" i="1"/>
  <c r="AH708" i="1" s="1"/>
  <c r="N721" i="1"/>
  <c r="AR721" i="1"/>
  <c r="AG721" i="1"/>
  <c r="AH721" i="1" s="1"/>
  <c r="N729" i="1"/>
  <c r="AR729" i="1"/>
  <c r="AG729" i="1"/>
  <c r="AH729" i="1" s="1"/>
  <c r="N737" i="1"/>
  <c r="AR737" i="1"/>
  <c r="AG737" i="1"/>
  <c r="AH737" i="1" s="1"/>
  <c r="AY606" i="1"/>
  <c r="P606" i="1"/>
  <c r="AY622" i="1"/>
  <c r="P622" i="1"/>
  <c r="AY638" i="1"/>
  <c r="P638" i="1"/>
  <c r="AY654" i="1"/>
  <c r="P654" i="1"/>
  <c r="AY670" i="1"/>
  <c r="P670" i="1"/>
  <c r="AY686" i="1"/>
  <c r="P686" i="1"/>
  <c r="N720" i="1"/>
  <c r="AR720" i="1"/>
  <c r="AG720" i="1"/>
  <c r="AH720" i="1" s="1"/>
  <c r="N728" i="1"/>
  <c r="AR728" i="1"/>
  <c r="AG728" i="1"/>
  <c r="AH728" i="1" s="1"/>
  <c r="N736" i="1"/>
  <c r="AR736" i="1"/>
  <c r="AG736" i="1"/>
  <c r="AH736" i="1" s="1"/>
  <c r="AY607" i="1"/>
  <c r="P607" i="1"/>
  <c r="AY623" i="1"/>
  <c r="P623" i="1"/>
  <c r="AY639" i="1"/>
  <c r="P639" i="1"/>
  <c r="AY655" i="1"/>
  <c r="P655" i="1"/>
  <c r="AY671" i="1"/>
  <c r="P671" i="1"/>
  <c r="AY687" i="1"/>
  <c r="P687" i="1"/>
  <c r="P712" i="1"/>
  <c r="S754" i="1"/>
  <c r="BC754" i="1" s="1"/>
  <c r="T754" i="1"/>
  <c r="BE754" i="1" s="1"/>
  <c r="BA754" i="1"/>
  <c r="Q754" i="1"/>
  <c r="P756" i="1"/>
  <c r="P744" i="1"/>
  <c r="AY744" i="1"/>
  <c r="BA762" i="1"/>
  <c r="S762" i="1"/>
  <c r="Q762" i="1"/>
  <c r="T762" i="1"/>
  <c r="Q808" i="1"/>
  <c r="BA808" i="1"/>
  <c r="S808" i="1"/>
  <c r="BC808" i="1" s="1"/>
  <c r="T808" i="1"/>
  <c r="BE808" i="1" s="1"/>
  <c r="AG822" i="1"/>
  <c r="AH822" i="1" s="1"/>
  <c r="AR822" i="1"/>
  <c r="N822" i="1"/>
  <c r="Q884" i="1"/>
  <c r="BA884" i="1"/>
  <c r="S884" i="1"/>
  <c r="BC884" i="1" s="1"/>
  <c r="T884" i="1"/>
  <c r="BE884" i="1" s="1"/>
  <c r="Q892" i="1"/>
  <c r="BA892" i="1"/>
  <c r="S892" i="1"/>
  <c r="BC892" i="1" s="1"/>
  <c r="T892" i="1"/>
  <c r="BE892" i="1" s="1"/>
  <c r="P739" i="1"/>
  <c r="AY739" i="1"/>
  <c r="AR769" i="1"/>
  <c r="N769" i="1"/>
  <c r="AG769" i="1"/>
  <c r="AH769" i="1" s="1"/>
  <c r="AG779" i="1"/>
  <c r="AH779" i="1" s="1"/>
  <c r="P813" i="1"/>
  <c r="G763" i="1"/>
  <c r="AO763" i="1"/>
  <c r="P764" i="1"/>
  <c r="AO784" i="1"/>
  <c r="G784" i="1"/>
  <c r="Q793" i="1"/>
  <c r="T793" i="1"/>
  <c r="BE793" i="1" s="1"/>
  <c r="BA793" i="1"/>
  <c r="S793" i="1"/>
  <c r="BC793" i="1" s="1"/>
  <c r="AK835" i="1"/>
  <c r="AZ835" i="1"/>
  <c r="P835" i="1"/>
  <c r="S849" i="1"/>
  <c r="BC849" i="1" s="1"/>
  <c r="T849" i="1"/>
  <c r="BE849" i="1" s="1"/>
  <c r="Q849" i="1"/>
  <c r="BA849" i="1"/>
  <c r="AY869" i="1"/>
  <c r="P869" i="1"/>
  <c r="Q875" i="1"/>
  <c r="T875" i="1"/>
  <c r="BE875" i="1" s="1"/>
  <c r="BA875" i="1"/>
  <c r="S875" i="1"/>
  <c r="BC875" i="1" s="1"/>
  <c r="S886" i="1"/>
  <c r="BC886" i="1" s="1"/>
  <c r="T886" i="1"/>
  <c r="BE886" i="1" s="1"/>
  <c r="Q886" i="1"/>
  <c r="BA886" i="1"/>
  <c r="AY604" i="1"/>
  <c r="P604" i="1"/>
  <c r="AY620" i="1"/>
  <c r="P620" i="1"/>
  <c r="AY636" i="1"/>
  <c r="P636" i="1"/>
  <c r="AY652" i="1"/>
  <c r="P652" i="1"/>
  <c r="AY668" i="1"/>
  <c r="P668" i="1"/>
  <c r="AY684" i="1"/>
  <c r="P684" i="1"/>
  <c r="N722" i="1"/>
  <c r="AR722" i="1"/>
  <c r="AG722" i="1"/>
  <c r="AH722" i="1" s="1"/>
  <c r="N738" i="1"/>
  <c r="AR738" i="1"/>
  <c r="AG738" i="1"/>
  <c r="AH738" i="1" s="1"/>
  <c r="Q796" i="1"/>
  <c r="S796" i="1"/>
  <c r="BC796" i="1" s="1"/>
  <c r="T796" i="1"/>
  <c r="BE796" i="1" s="1"/>
  <c r="BA796" i="1"/>
  <c r="AK807" i="1"/>
  <c r="P807" i="1"/>
  <c r="AZ807" i="1"/>
  <c r="AY824" i="1"/>
  <c r="P824" i="1"/>
  <c r="AY826" i="1"/>
  <c r="P826" i="1"/>
  <c r="N766" i="1"/>
  <c r="AR766" i="1"/>
  <c r="AG766" i="1"/>
  <c r="AH766" i="1" s="1"/>
  <c r="P819" i="1"/>
  <c r="N834" i="1"/>
  <c r="AY834" i="1" s="1"/>
  <c r="AG834" i="1"/>
  <c r="AH834" i="1" s="1"/>
  <c r="AR834" i="1"/>
  <c r="AY1027" i="1"/>
  <c r="P1027" i="1"/>
  <c r="S1034" i="1"/>
  <c r="BC1034" i="1" s="1"/>
  <c r="Q1034" i="1"/>
  <c r="T1034" i="1"/>
  <c r="BE1034" i="1" s="1"/>
  <c r="BA1034" i="1"/>
  <c r="S881" i="1"/>
  <c r="BA881" i="1"/>
  <c r="Q881" i="1"/>
  <c r="T881" i="1"/>
  <c r="Q937" i="1"/>
  <c r="S937" i="1"/>
  <c r="BC937" i="1" s="1"/>
  <c r="T937" i="1"/>
  <c r="BE937" i="1" s="1"/>
  <c r="BA937" i="1"/>
  <c r="P1000" i="1"/>
  <c r="AY1042" i="1"/>
  <c r="P1042" i="1"/>
  <c r="P795" i="1"/>
  <c r="N837" i="1"/>
  <c r="AG837" i="1"/>
  <c r="AH837" i="1" s="1"/>
  <c r="AR837" i="1"/>
  <c r="Q926" i="1"/>
  <c r="T926" i="1"/>
  <c r="BE926" i="1" s="1"/>
  <c r="BA926" i="1"/>
  <c r="S926" i="1"/>
  <c r="BC926" i="1" s="1"/>
  <c r="Q934" i="1"/>
  <c r="T934" i="1"/>
  <c r="BE934" i="1" s="1"/>
  <c r="BA934" i="1"/>
  <c r="S934" i="1"/>
  <c r="BC934" i="1" s="1"/>
  <c r="Q942" i="1"/>
  <c r="T942" i="1"/>
  <c r="BE942" i="1" s="1"/>
  <c r="BA942" i="1"/>
  <c r="S942" i="1"/>
  <c r="BC942" i="1" s="1"/>
  <c r="S996" i="1"/>
  <c r="BC996" i="1" s="1"/>
  <c r="T996" i="1"/>
  <c r="BE996" i="1" s="1"/>
  <c r="BA996" i="1"/>
  <c r="Q996" i="1"/>
  <c r="P1035" i="1"/>
  <c r="P1046" i="1"/>
  <c r="P970" i="1"/>
  <c r="BB970" i="1" s="1"/>
  <c r="P968" i="1"/>
  <c r="BB968" i="1" s="1"/>
  <c r="BB966" i="1"/>
  <c r="AK951" i="1"/>
  <c r="AK1002" i="1"/>
  <c r="AY1029" i="1"/>
  <c r="P1029" i="1"/>
  <c r="P1040" i="1"/>
  <c r="AY1040" i="1"/>
  <c r="Q25" i="1"/>
  <c r="S25" i="1"/>
  <c r="BC25" i="1" s="1"/>
  <c r="T25" i="1"/>
  <c r="BE25" i="1" s="1"/>
  <c r="BA25" i="1"/>
  <c r="Q19" i="1"/>
  <c r="S19" i="1"/>
  <c r="BC19" i="1" s="1"/>
  <c r="BA19" i="1"/>
  <c r="T19" i="1"/>
  <c r="BE19" i="1" s="1"/>
  <c r="P9" i="1"/>
  <c r="P54" i="1"/>
  <c r="AY54" i="1"/>
  <c r="T56" i="1"/>
  <c r="BE56" i="1" s="1"/>
  <c r="BA56" i="1"/>
  <c r="Q56" i="1"/>
  <c r="S56" i="1"/>
  <c r="BC56" i="1" s="1"/>
  <c r="Q69" i="1"/>
  <c r="S69" i="1"/>
  <c r="BC69" i="1" s="1"/>
  <c r="BA69" i="1"/>
  <c r="T69" i="1"/>
  <c r="BE69" i="1" s="1"/>
  <c r="P80" i="1"/>
  <c r="AY80" i="1"/>
  <c r="P94" i="1"/>
  <c r="AY94" i="1"/>
  <c r="P55" i="1"/>
  <c r="P76" i="1"/>
  <c r="AY76" i="1"/>
  <c r="N109" i="1"/>
  <c r="AG109" i="1"/>
  <c r="AH109" i="1" s="1"/>
  <c r="AR109" i="1"/>
  <c r="Q114" i="1"/>
  <c r="S114" i="1"/>
  <c r="BC114" i="1" s="1"/>
  <c r="T114" i="1"/>
  <c r="BE114" i="1" s="1"/>
  <c r="BA114" i="1"/>
  <c r="N124" i="1"/>
  <c r="AR124" i="1"/>
  <c r="AG124" i="1"/>
  <c r="AH124" i="1" s="1"/>
  <c r="Q126" i="1"/>
  <c r="S126" i="1"/>
  <c r="BC126" i="1" s="1"/>
  <c r="BA126" i="1"/>
  <c r="T126" i="1"/>
  <c r="BE126" i="1" s="1"/>
  <c r="P7" i="1"/>
  <c r="P13" i="1"/>
  <c r="P30" i="1"/>
  <c r="P38" i="1"/>
  <c r="T45" i="1"/>
  <c r="BE45" i="1" s="1"/>
  <c r="Q45" i="1"/>
  <c r="BA45" i="1"/>
  <c r="S45" i="1"/>
  <c r="BC45" i="1" s="1"/>
  <c r="P35" i="1"/>
  <c r="P39" i="1"/>
  <c r="T50" i="1"/>
  <c r="BE50" i="1" s="1"/>
  <c r="BA50" i="1"/>
  <c r="Q50" i="1"/>
  <c r="S50" i="1"/>
  <c r="BC50" i="1" s="1"/>
  <c r="P58" i="1"/>
  <c r="AY71" i="1"/>
  <c r="P71" i="1"/>
  <c r="AY73" i="1"/>
  <c r="P73" i="1"/>
  <c r="P61" i="1"/>
  <c r="P48" i="1"/>
  <c r="AY48" i="1"/>
  <c r="P78" i="1"/>
  <c r="AY78" i="1"/>
  <c r="P82" i="1"/>
  <c r="AY82" i="1"/>
  <c r="P86" i="1"/>
  <c r="AY86" i="1"/>
  <c r="P90" i="1"/>
  <c r="AY90" i="1"/>
  <c r="P93" i="1"/>
  <c r="AY93" i="1"/>
  <c r="P95" i="1"/>
  <c r="AY95" i="1"/>
  <c r="P62" i="1"/>
  <c r="P77" i="1"/>
  <c r="AY77" i="1"/>
  <c r="N100" i="1"/>
  <c r="AR100" i="1"/>
  <c r="AG100" i="1"/>
  <c r="AH100" i="1" s="1"/>
  <c r="AK127" i="1"/>
  <c r="AK464" i="1" s="1"/>
  <c r="AZ127" i="1"/>
  <c r="P127" i="1"/>
  <c r="Q120" i="1"/>
  <c r="S120" i="1"/>
  <c r="BC120" i="1" s="1"/>
  <c r="T120" i="1"/>
  <c r="BE120" i="1" s="1"/>
  <c r="BA120" i="1"/>
  <c r="P134" i="1"/>
  <c r="AY134" i="1"/>
  <c r="AG107" i="1"/>
  <c r="AH107" i="1" s="1"/>
  <c r="N107" i="1"/>
  <c r="AR107" i="1"/>
  <c r="AG110" i="1"/>
  <c r="AH110" i="1" s="1"/>
  <c r="N110" i="1"/>
  <c r="AR110" i="1"/>
  <c r="AY119" i="1"/>
  <c r="P119" i="1"/>
  <c r="S179" i="1"/>
  <c r="BC179" i="1" s="1"/>
  <c r="T179" i="1"/>
  <c r="BE179" i="1" s="1"/>
  <c r="BA179" i="1"/>
  <c r="Q179" i="1"/>
  <c r="P181" i="1"/>
  <c r="AG127" i="1"/>
  <c r="AH127" i="1" s="1"/>
  <c r="S145" i="1"/>
  <c r="BC145" i="1" s="1"/>
  <c r="T145" i="1"/>
  <c r="BE145" i="1" s="1"/>
  <c r="BA145" i="1"/>
  <c r="Q145" i="1"/>
  <c r="S153" i="1"/>
  <c r="BC153" i="1" s="1"/>
  <c r="T153" i="1"/>
  <c r="BE153" i="1" s="1"/>
  <c r="BA153" i="1"/>
  <c r="Q153" i="1"/>
  <c r="S161" i="1"/>
  <c r="BC161" i="1" s="1"/>
  <c r="T161" i="1"/>
  <c r="BE161" i="1" s="1"/>
  <c r="BA161" i="1"/>
  <c r="Q161" i="1"/>
  <c r="S169" i="1"/>
  <c r="BC169" i="1" s="1"/>
  <c r="T169" i="1"/>
  <c r="BE169" i="1" s="1"/>
  <c r="BA169" i="1"/>
  <c r="Q169" i="1"/>
  <c r="S177" i="1"/>
  <c r="BC177" i="1" s="1"/>
  <c r="T177" i="1"/>
  <c r="BE177" i="1" s="1"/>
  <c r="BA177" i="1"/>
  <c r="Q177" i="1"/>
  <c r="S150" i="1"/>
  <c r="BC150" i="1" s="1"/>
  <c r="T150" i="1"/>
  <c r="BE150" i="1" s="1"/>
  <c r="BA150" i="1"/>
  <c r="Q150" i="1"/>
  <c r="S158" i="1"/>
  <c r="BC158" i="1" s="1"/>
  <c r="T158" i="1"/>
  <c r="BE158" i="1" s="1"/>
  <c r="BA158" i="1"/>
  <c r="Q158" i="1"/>
  <c r="S166" i="1"/>
  <c r="BC166" i="1" s="1"/>
  <c r="T166" i="1"/>
  <c r="BE166" i="1" s="1"/>
  <c r="BA166" i="1"/>
  <c r="Q166" i="1"/>
  <c r="S174" i="1"/>
  <c r="BC174" i="1" s="1"/>
  <c r="T174" i="1"/>
  <c r="BE174" i="1" s="1"/>
  <c r="BA174" i="1"/>
  <c r="Q174" i="1"/>
  <c r="P193" i="1"/>
  <c r="P201" i="1"/>
  <c r="P209" i="1"/>
  <c r="P217" i="1"/>
  <c r="P232" i="1"/>
  <c r="P190" i="1"/>
  <c r="P198" i="1"/>
  <c r="P206" i="1"/>
  <c r="P214" i="1"/>
  <c r="P222" i="1"/>
  <c r="P234" i="1"/>
  <c r="AY236" i="1"/>
  <c r="P236" i="1"/>
  <c r="AY238" i="1"/>
  <c r="P238" i="1"/>
  <c r="Q241" i="1"/>
  <c r="S241" i="1"/>
  <c r="BC241" i="1" s="1"/>
  <c r="T241" i="1"/>
  <c r="BE241" i="1" s="1"/>
  <c r="BA241" i="1"/>
  <c r="Q245" i="1"/>
  <c r="S245" i="1"/>
  <c r="BC245" i="1" s="1"/>
  <c r="T245" i="1"/>
  <c r="BE245" i="1" s="1"/>
  <c r="BA245" i="1"/>
  <c r="Q249" i="1"/>
  <c r="S249" i="1"/>
  <c r="BC249" i="1" s="1"/>
  <c r="T249" i="1"/>
  <c r="BE249" i="1" s="1"/>
  <c r="BA249" i="1"/>
  <c r="Q253" i="1"/>
  <c r="S253" i="1"/>
  <c r="BC253" i="1" s="1"/>
  <c r="T253" i="1"/>
  <c r="BE253" i="1" s="1"/>
  <c r="BA253" i="1"/>
  <c r="Q257" i="1"/>
  <c r="S257" i="1"/>
  <c r="BC257" i="1" s="1"/>
  <c r="T257" i="1"/>
  <c r="BE257" i="1" s="1"/>
  <c r="BA257" i="1"/>
  <c r="Q261" i="1"/>
  <c r="S261" i="1"/>
  <c r="BC261" i="1" s="1"/>
  <c r="T261" i="1"/>
  <c r="BE261" i="1" s="1"/>
  <c r="BA261" i="1"/>
  <c r="Q265" i="1"/>
  <c r="S265" i="1"/>
  <c r="BC265" i="1" s="1"/>
  <c r="T265" i="1"/>
  <c r="BE265" i="1" s="1"/>
  <c r="BA265" i="1"/>
  <c r="Q269" i="1"/>
  <c r="S269" i="1"/>
  <c r="BC269" i="1" s="1"/>
  <c r="T269" i="1"/>
  <c r="BE269" i="1" s="1"/>
  <c r="BA269" i="1"/>
  <c r="P273" i="1"/>
  <c r="AY273" i="1"/>
  <c r="P292" i="1"/>
  <c r="AY292" i="1"/>
  <c r="P308" i="1"/>
  <c r="AY308" i="1"/>
  <c r="P324" i="1"/>
  <c r="AY324" i="1"/>
  <c r="AR333" i="1"/>
  <c r="N333" i="1"/>
  <c r="AG333" i="1"/>
  <c r="AH333" i="1" s="1"/>
  <c r="P283" i="1"/>
  <c r="P286" i="1"/>
  <c r="P301" i="1"/>
  <c r="AY301" i="1"/>
  <c r="P317" i="1"/>
  <c r="AY317" i="1"/>
  <c r="N345" i="1"/>
  <c r="AG345" i="1"/>
  <c r="AH345" i="1" s="1"/>
  <c r="AR345" i="1"/>
  <c r="P302" i="1"/>
  <c r="AY302" i="1"/>
  <c r="P318" i="1"/>
  <c r="AY318" i="1"/>
  <c r="S358" i="1"/>
  <c r="BC358" i="1" s="1"/>
  <c r="T358" i="1"/>
  <c r="BE358" i="1" s="1"/>
  <c r="BA358" i="1"/>
  <c r="Q358" i="1"/>
  <c r="AG378" i="1"/>
  <c r="AH378" i="1" s="1"/>
  <c r="N378" i="1"/>
  <c r="AR378" i="1"/>
  <c r="S397" i="1"/>
  <c r="BC397" i="1" s="1"/>
  <c r="T397" i="1"/>
  <c r="BE397" i="1" s="1"/>
  <c r="BA397" i="1"/>
  <c r="Q397" i="1"/>
  <c r="AG279" i="1"/>
  <c r="AH279" i="1" s="1"/>
  <c r="AG287" i="1"/>
  <c r="AH287" i="1" s="1"/>
  <c r="AR287" i="1"/>
  <c r="N287" i="1"/>
  <c r="P295" i="1"/>
  <c r="AY295" i="1"/>
  <c r="P311" i="1"/>
  <c r="AY311" i="1"/>
  <c r="P327" i="1"/>
  <c r="AY327" i="1"/>
  <c r="N339" i="1"/>
  <c r="AG339" i="1"/>
  <c r="AH339" i="1" s="1"/>
  <c r="AR339" i="1"/>
  <c r="N347" i="1"/>
  <c r="AG347" i="1"/>
  <c r="AH347" i="1" s="1"/>
  <c r="AR347" i="1"/>
  <c r="N351" i="1"/>
  <c r="AR351" i="1"/>
  <c r="AG351" i="1"/>
  <c r="AH351" i="1" s="1"/>
  <c r="Q396" i="1"/>
  <c r="S396" i="1"/>
  <c r="BC396" i="1" s="1"/>
  <c r="BA396" i="1"/>
  <c r="T396" i="1"/>
  <c r="BE396" i="1" s="1"/>
  <c r="G401" i="1"/>
  <c r="AO401" i="1"/>
  <c r="G406" i="1"/>
  <c r="AO406" i="1"/>
  <c r="AG376" i="1"/>
  <c r="AH376" i="1" s="1"/>
  <c r="N376" i="1"/>
  <c r="AR376" i="1"/>
  <c r="P381" i="1"/>
  <c r="AY381" i="1"/>
  <c r="AG402" i="1"/>
  <c r="AH402" i="1" s="1"/>
  <c r="N402" i="1"/>
  <c r="AR402" i="1"/>
  <c r="AG391" i="1"/>
  <c r="AH391" i="1" s="1"/>
  <c r="N391" i="1"/>
  <c r="AR391" i="1"/>
  <c r="AG454" i="1"/>
  <c r="AH454" i="1" s="1"/>
  <c r="N454" i="1"/>
  <c r="AR454" i="1"/>
  <c r="AG458" i="1"/>
  <c r="AH458" i="1" s="1"/>
  <c r="N458" i="1"/>
  <c r="AR458" i="1"/>
  <c r="AG462" i="1"/>
  <c r="AH462" i="1" s="1"/>
  <c r="N462" i="1"/>
  <c r="AR462" i="1"/>
  <c r="T342" i="1"/>
  <c r="BE342" i="1" s="1"/>
  <c r="BA342" i="1"/>
  <c r="Q342" i="1"/>
  <c r="S342" i="1"/>
  <c r="BC342" i="1" s="1"/>
  <c r="AG409" i="1"/>
  <c r="AH409" i="1" s="1"/>
  <c r="N409" i="1"/>
  <c r="AY409" i="1" s="1"/>
  <c r="AR409" i="1"/>
  <c r="P415" i="1"/>
  <c r="AL759" i="1"/>
  <c r="N468" i="1"/>
  <c r="AR468" i="1"/>
  <c r="AG468" i="1"/>
  <c r="AH468" i="1" s="1"/>
  <c r="N470" i="1"/>
  <c r="AR470" i="1"/>
  <c r="AG470" i="1"/>
  <c r="AH470" i="1" s="1"/>
  <c r="AY486" i="1"/>
  <c r="P486" i="1"/>
  <c r="AY494" i="1"/>
  <c r="P494" i="1"/>
  <c r="AZ472" i="1"/>
  <c r="AK472" i="1"/>
  <c r="P476" i="1"/>
  <c r="P480" i="1"/>
  <c r="Q483" i="1"/>
  <c r="S483" i="1"/>
  <c r="BC483" i="1" s="1"/>
  <c r="T483" i="1"/>
  <c r="BE483" i="1" s="1"/>
  <c r="BA483" i="1"/>
  <c r="AY485" i="1"/>
  <c r="P485" i="1"/>
  <c r="Q491" i="1"/>
  <c r="S491" i="1"/>
  <c r="BC491" i="1" s="1"/>
  <c r="T491" i="1"/>
  <c r="BE491" i="1" s="1"/>
  <c r="BA491" i="1"/>
  <c r="AY493" i="1"/>
  <c r="P493" i="1"/>
  <c r="Q499" i="1"/>
  <c r="S499" i="1"/>
  <c r="BC499" i="1" s="1"/>
  <c r="BA499" i="1"/>
  <c r="T499" i="1"/>
  <c r="BE499" i="1" s="1"/>
  <c r="AG418" i="1"/>
  <c r="AH418" i="1" s="1"/>
  <c r="N418" i="1"/>
  <c r="AR418" i="1"/>
  <c r="AY484" i="1"/>
  <c r="P484" i="1"/>
  <c r="P500" i="1"/>
  <c r="AY500" i="1"/>
  <c r="P502" i="1"/>
  <c r="AY502" i="1"/>
  <c r="BA420" i="1"/>
  <c r="Q420" i="1"/>
  <c r="S420" i="1"/>
  <c r="BC420" i="1" s="1"/>
  <c r="T420" i="1"/>
  <c r="BE420" i="1" s="1"/>
  <c r="Q596" i="1"/>
  <c r="S596" i="1"/>
  <c r="BC596" i="1" s="1"/>
  <c r="T596" i="1"/>
  <c r="BE596" i="1" s="1"/>
  <c r="BA596" i="1"/>
  <c r="Q600" i="1"/>
  <c r="S600" i="1"/>
  <c r="BC600" i="1" s="1"/>
  <c r="T600" i="1"/>
  <c r="BE600" i="1" s="1"/>
  <c r="BA600" i="1"/>
  <c r="P574" i="1"/>
  <c r="P578" i="1"/>
  <c r="Q582" i="1"/>
  <c r="S582" i="1"/>
  <c r="BC582" i="1" s="1"/>
  <c r="BA582" i="1"/>
  <c r="T582" i="1"/>
  <c r="BE582" i="1" s="1"/>
  <c r="Q586" i="1"/>
  <c r="S586" i="1"/>
  <c r="BC586" i="1" s="1"/>
  <c r="BA586" i="1"/>
  <c r="T586" i="1"/>
  <c r="BE586" i="1" s="1"/>
  <c r="Q590" i="1"/>
  <c r="S590" i="1"/>
  <c r="BC590" i="1" s="1"/>
  <c r="BA590" i="1"/>
  <c r="T590" i="1"/>
  <c r="BE590" i="1" s="1"/>
  <c r="Q601" i="1"/>
  <c r="S601" i="1"/>
  <c r="BC601" i="1" s="1"/>
  <c r="T601" i="1"/>
  <c r="BE601" i="1" s="1"/>
  <c r="BA601" i="1"/>
  <c r="AK711" i="1"/>
  <c r="AZ711" i="1"/>
  <c r="P711" i="1"/>
  <c r="P552" i="1"/>
  <c r="P556" i="1"/>
  <c r="P560" i="1"/>
  <c r="P564" i="1"/>
  <c r="P572" i="1"/>
  <c r="Q595" i="1"/>
  <c r="S595" i="1"/>
  <c r="BC595" i="1" s="1"/>
  <c r="T595" i="1"/>
  <c r="BE595" i="1" s="1"/>
  <c r="BA595" i="1"/>
  <c r="AY609" i="1"/>
  <c r="P609" i="1"/>
  <c r="AY625" i="1"/>
  <c r="P625" i="1"/>
  <c r="AY641" i="1"/>
  <c r="P641" i="1"/>
  <c r="AY657" i="1"/>
  <c r="P657" i="1"/>
  <c r="AY673" i="1"/>
  <c r="P673" i="1"/>
  <c r="AY689" i="1"/>
  <c r="P689" i="1"/>
  <c r="S715" i="1"/>
  <c r="BC715" i="1" s="1"/>
  <c r="T715" i="1"/>
  <c r="BE715" i="1" s="1"/>
  <c r="BA715" i="1"/>
  <c r="Q715" i="1"/>
  <c r="AY618" i="1"/>
  <c r="P618" i="1"/>
  <c r="AY634" i="1"/>
  <c r="P634" i="1"/>
  <c r="AY650" i="1"/>
  <c r="P650" i="1"/>
  <c r="AY666" i="1"/>
  <c r="P666" i="1"/>
  <c r="AY682" i="1"/>
  <c r="P682" i="1"/>
  <c r="AY619" i="1"/>
  <c r="P619" i="1"/>
  <c r="AY635" i="1"/>
  <c r="P635" i="1"/>
  <c r="AY651" i="1"/>
  <c r="P651" i="1"/>
  <c r="AY667" i="1"/>
  <c r="P667" i="1"/>
  <c r="AY683" i="1"/>
  <c r="P683" i="1"/>
  <c r="N723" i="1"/>
  <c r="AR723" i="1"/>
  <c r="AG723" i="1"/>
  <c r="AH723" i="1" s="1"/>
  <c r="N731" i="1"/>
  <c r="AR731" i="1"/>
  <c r="AG731" i="1"/>
  <c r="AH731" i="1" s="1"/>
  <c r="AG749" i="1"/>
  <c r="AH749" i="1" s="1"/>
  <c r="AR749" i="1"/>
  <c r="N749" i="1"/>
  <c r="P740" i="1"/>
  <c r="AY740" i="1"/>
  <c r="AZ767" i="1"/>
  <c r="AK767" i="1"/>
  <c r="P767" i="1"/>
  <c r="AZ836" i="1"/>
  <c r="AK836" i="1"/>
  <c r="Q843" i="1"/>
  <c r="BA843" i="1"/>
  <c r="S843" i="1"/>
  <c r="BC843" i="1" s="1"/>
  <c r="T843" i="1"/>
  <c r="BE843" i="1" s="1"/>
  <c r="Q851" i="1"/>
  <c r="BA851" i="1"/>
  <c r="S851" i="1"/>
  <c r="BC851" i="1" s="1"/>
  <c r="T851" i="1"/>
  <c r="BE851" i="1" s="1"/>
  <c r="N718" i="1"/>
  <c r="AR718" i="1"/>
  <c r="AG718" i="1"/>
  <c r="AH718" i="1" s="1"/>
  <c r="N734" i="1"/>
  <c r="AR734" i="1"/>
  <c r="AG734" i="1"/>
  <c r="AH734" i="1" s="1"/>
  <c r="N747" i="1"/>
  <c r="AG747" i="1"/>
  <c r="AH747" i="1" s="1"/>
  <c r="AR747" i="1"/>
  <c r="AY748" i="1"/>
  <c r="P748" i="1"/>
  <c r="T844" i="1"/>
  <c r="BE844" i="1" s="1"/>
  <c r="Q844" i="1"/>
  <c r="BA844" i="1"/>
  <c r="S844" i="1"/>
  <c r="BC844" i="1" s="1"/>
  <c r="T852" i="1"/>
  <c r="BE852" i="1" s="1"/>
  <c r="Q852" i="1"/>
  <c r="BA852" i="1"/>
  <c r="S852" i="1"/>
  <c r="BC852" i="1" s="1"/>
  <c r="T889" i="1"/>
  <c r="BE889" i="1" s="1"/>
  <c r="Q889" i="1"/>
  <c r="BA889" i="1"/>
  <c r="S889" i="1"/>
  <c r="BC889" i="1" s="1"/>
  <c r="AY900" i="1"/>
  <c r="P900" i="1"/>
  <c r="AY902" i="1"/>
  <c r="P902" i="1"/>
  <c r="AY904" i="1"/>
  <c r="P904" i="1"/>
  <c r="AY906" i="1"/>
  <c r="P906" i="1"/>
  <c r="AY908" i="1"/>
  <c r="P908" i="1"/>
  <c r="AY910" i="1"/>
  <c r="P910" i="1"/>
  <c r="AY912" i="1"/>
  <c r="P912" i="1"/>
  <c r="AY914" i="1"/>
  <c r="P914" i="1"/>
  <c r="AY916" i="1"/>
  <c r="P916" i="1"/>
  <c r="S746" i="1"/>
  <c r="BC746" i="1" s="1"/>
  <c r="T746" i="1"/>
  <c r="BE746" i="1" s="1"/>
  <c r="BA746" i="1"/>
  <c r="Q746" i="1"/>
  <c r="AJ829" i="1"/>
  <c r="BA774" i="1"/>
  <c r="S774" i="1"/>
  <c r="BC774" i="1" s="1"/>
  <c r="T774" i="1"/>
  <c r="BE774" i="1" s="1"/>
  <c r="Q774" i="1"/>
  <c r="Q797" i="1"/>
  <c r="T797" i="1"/>
  <c r="BE797" i="1" s="1"/>
  <c r="BA797" i="1"/>
  <c r="S797" i="1"/>
  <c r="BC797" i="1" s="1"/>
  <c r="S820" i="1"/>
  <c r="BC820" i="1" s="1"/>
  <c r="T820" i="1"/>
  <c r="BE820" i="1" s="1"/>
  <c r="BA820" i="1"/>
  <c r="Q820" i="1"/>
  <c r="S853" i="1"/>
  <c r="BC853" i="1" s="1"/>
  <c r="T853" i="1"/>
  <c r="BE853" i="1" s="1"/>
  <c r="Q853" i="1"/>
  <c r="BA853" i="1"/>
  <c r="AY865" i="1"/>
  <c r="P865" i="1"/>
  <c r="Q871" i="1"/>
  <c r="T871" i="1"/>
  <c r="BE871" i="1" s="1"/>
  <c r="BA871" i="1"/>
  <c r="S871" i="1"/>
  <c r="BC871" i="1" s="1"/>
  <c r="S890" i="1"/>
  <c r="BC890" i="1" s="1"/>
  <c r="T890" i="1"/>
  <c r="BE890" i="1" s="1"/>
  <c r="Q890" i="1"/>
  <c r="BA890" i="1"/>
  <c r="AY616" i="1"/>
  <c r="P616" i="1"/>
  <c r="AY632" i="1"/>
  <c r="P632" i="1"/>
  <c r="AY648" i="1"/>
  <c r="P648" i="1"/>
  <c r="AY664" i="1"/>
  <c r="P664" i="1"/>
  <c r="AY680" i="1"/>
  <c r="P680" i="1"/>
  <c r="P745" i="1"/>
  <c r="AY745" i="1"/>
  <c r="T775" i="1"/>
  <c r="BE775" i="1" s="1"/>
  <c r="Q775" i="1"/>
  <c r="S775" i="1"/>
  <c r="BC775" i="1" s="1"/>
  <c r="BA775" i="1"/>
  <c r="Q792" i="1"/>
  <c r="S792" i="1"/>
  <c r="BC792" i="1" s="1"/>
  <c r="T792" i="1"/>
  <c r="BE792" i="1" s="1"/>
  <c r="BA792" i="1"/>
  <c r="Q862" i="1"/>
  <c r="S862" i="1"/>
  <c r="BC862" i="1" s="1"/>
  <c r="T862" i="1"/>
  <c r="BE862" i="1" s="1"/>
  <c r="BA862" i="1"/>
  <c r="Q866" i="1"/>
  <c r="S866" i="1"/>
  <c r="BC866" i="1" s="1"/>
  <c r="T866" i="1"/>
  <c r="BE866" i="1" s="1"/>
  <c r="BA866" i="1"/>
  <c r="Q870" i="1"/>
  <c r="S870" i="1"/>
  <c r="BC870" i="1" s="1"/>
  <c r="T870" i="1"/>
  <c r="BE870" i="1" s="1"/>
  <c r="BA870" i="1"/>
  <c r="Q874" i="1"/>
  <c r="S874" i="1"/>
  <c r="BC874" i="1" s="1"/>
  <c r="T874" i="1"/>
  <c r="BE874" i="1" s="1"/>
  <c r="BA874" i="1"/>
  <c r="G883" i="1"/>
  <c r="AO883" i="1"/>
  <c r="P887" i="1"/>
  <c r="P891" i="1"/>
  <c r="P895" i="1"/>
  <c r="P780" i="1"/>
  <c r="Q924" i="1"/>
  <c r="S924" i="1"/>
  <c r="BC924" i="1" s="1"/>
  <c r="T924" i="1"/>
  <c r="BE924" i="1" s="1"/>
  <c r="BA924" i="1"/>
  <c r="Q928" i="1"/>
  <c r="S928" i="1"/>
  <c r="BC928" i="1" s="1"/>
  <c r="T928" i="1"/>
  <c r="BE928" i="1" s="1"/>
  <c r="BA928" i="1"/>
  <c r="Q932" i="1"/>
  <c r="S932" i="1"/>
  <c r="BC932" i="1" s="1"/>
  <c r="T932" i="1"/>
  <c r="BE932" i="1" s="1"/>
  <c r="BA932" i="1"/>
  <c r="Q936" i="1"/>
  <c r="S936" i="1"/>
  <c r="BC936" i="1" s="1"/>
  <c r="T936" i="1"/>
  <c r="BE936" i="1" s="1"/>
  <c r="BA936" i="1"/>
  <c r="Q940" i="1"/>
  <c r="S940" i="1"/>
  <c r="BC940" i="1" s="1"/>
  <c r="T940" i="1"/>
  <c r="BE940" i="1" s="1"/>
  <c r="BA940" i="1"/>
  <c r="Q944" i="1"/>
  <c r="S944" i="1"/>
  <c r="BC944" i="1" s="1"/>
  <c r="T944" i="1"/>
  <c r="BE944" i="1" s="1"/>
  <c r="BA944" i="1"/>
  <c r="Q948" i="1"/>
  <c r="S948" i="1"/>
  <c r="BC948" i="1" s="1"/>
  <c r="T948" i="1"/>
  <c r="BE948" i="1" s="1"/>
  <c r="BA948" i="1"/>
  <c r="Q997" i="1"/>
  <c r="S997" i="1"/>
  <c r="BC997" i="1" s="1"/>
  <c r="T997" i="1"/>
  <c r="BE997" i="1" s="1"/>
  <c r="BA997" i="1"/>
  <c r="Q1028" i="1"/>
  <c r="S1028" i="1"/>
  <c r="BC1028" i="1" s="1"/>
  <c r="T1028" i="1"/>
  <c r="BE1028" i="1" s="1"/>
  <c r="BA1028" i="1"/>
  <c r="S1036" i="1"/>
  <c r="BC1036" i="1" s="1"/>
  <c r="Q1036" i="1"/>
  <c r="T1036" i="1"/>
  <c r="BE1036" i="1" s="1"/>
  <c r="BA1036" i="1"/>
  <c r="BA1045" i="1"/>
  <c r="Q1045" i="1"/>
  <c r="S1045" i="1"/>
  <c r="BC1045" i="1" s="1"/>
  <c r="T1045" i="1"/>
  <c r="BE1045" i="1" s="1"/>
  <c r="N836" i="1"/>
  <c r="AY836" i="1" s="1"/>
  <c r="AG836" i="1"/>
  <c r="AH836" i="1" s="1"/>
  <c r="AR836" i="1"/>
  <c r="Q933" i="1"/>
  <c r="S933" i="1"/>
  <c r="BC933" i="1" s="1"/>
  <c r="T933" i="1"/>
  <c r="BE933" i="1" s="1"/>
  <c r="BA933" i="1"/>
  <c r="Q949" i="1"/>
  <c r="S949" i="1"/>
  <c r="BC949" i="1" s="1"/>
  <c r="T949" i="1"/>
  <c r="BE949" i="1" s="1"/>
  <c r="BA949" i="1"/>
  <c r="Q993" i="1"/>
  <c r="S993" i="1"/>
  <c r="BC993" i="1" s="1"/>
  <c r="T993" i="1"/>
  <c r="BE993" i="1" s="1"/>
  <c r="BA993" i="1"/>
  <c r="T1023" i="1"/>
  <c r="Q1023" i="1"/>
  <c r="S1023" i="1"/>
  <c r="BA1023" i="1"/>
  <c r="P799" i="1"/>
  <c r="AH951" i="1"/>
  <c r="S1025" i="1"/>
  <c r="BC1025" i="1" s="1"/>
  <c r="BA1025" i="1"/>
  <c r="T1025" i="1"/>
  <c r="BE1025" i="1" s="1"/>
  <c r="Q1025" i="1"/>
  <c r="S1037" i="1"/>
  <c r="BC1037" i="1" s="1"/>
  <c r="T1037" i="1"/>
  <c r="BE1037" i="1" s="1"/>
  <c r="BA1037" i="1"/>
  <c r="Q1037" i="1"/>
  <c r="N818" i="1"/>
  <c r="AG818" i="1"/>
  <c r="AH818" i="1" s="1"/>
  <c r="AR818" i="1"/>
  <c r="AR859" i="1"/>
  <c r="N859" i="1"/>
  <c r="AG859" i="1"/>
  <c r="AH859" i="1" s="1"/>
  <c r="S922" i="1"/>
  <c r="BC922" i="1" s="1"/>
  <c r="Q922" i="1"/>
  <c r="T922" i="1"/>
  <c r="BE922" i="1" s="1"/>
  <c r="BA922" i="1"/>
  <c r="Q927" i="1"/>
  <c r="S927" i="1"/>
  <c r="BC927" i="1" s="1"/>
  <c r="T927" i="1"/>
  <c r="BE927" i="1" s="1"/>
  <c r="BA927" i="1"/>
  <c r="Q935" i="1"/>
  <c r="S935" i="1"/>
  <c r="BC935" i="1" s="1"/>
  <c r="T935" i="1"/>
  <c r="BE935" i="1" s="1"/>
  <c r="BA935" i="1"/>
  <c r="Q943" i="1"/>
  <c r="S943" i="1"/>
  <c r="BC943" i="1" s="1"/>
  <c r="T943" i="1"/>
  <c r="BE943" i="1" s="1"/>
  <c r="BA943" i="1"/>
  <c r="Q992" i="1"/>
  <c r="S992" i="1"/>
  <c r="BC992" i="1" s="1"/>
  <c r="T992" i="1"/>
  <c r="BE992" i="1" s="1"/>
  <c r="BA992" i="1"/>
  <c r="AY991" i="1"/>
  <c r="P991" i="1"/>
  <c r="AY1033" i="1"/>
  <c r="P1033" i="1"/>
  <c r="P92" i="1"/>
  <c r="AY92" i="1"/>
  <c r="AR99" i="1"/>
  <c r="AG99" i="1"/>
  <c r="AH99" i="1" s="1"/>
  <c r="N99" i="1"/>
  <c r="G15" i="1"/>
  <c r="AO15" i="1"/>
  <c r="BA14" i="1"/>
  <c r="Q14" i="1"/>
  <c r="S14" i="1"/>
  <c r="BC14" i="1" s="1"/>
  <c r="T14" i="1"/>
  <c r="BE14" i="1" s="1"/>
  <c r="Q22" i="1"/>
  <c r="S22" i="1"/>
  <c r="BC22" i="1" s="1"/>
  <c r="BA22" i="1"/>
  <c r="T22" i="1"/>
  <c r="BE22" i="1" s="1"/>
  <c r="Q26" i="1"/>
  <c r="S26" i="1"/>
  <c r="BC26" i="1" s="1"/>
  <c r="T26" i="1"/>
  <c r="BE26" i="1" s="1"/>
  <c r="BA26" i="1"/>
  <c r="P10" i="1"/>
  <c r="AR16" i="1"/>
  <c r="N16" i="1"/>
  <c r="AG16" i="1"/>
  <c r="AH16" i="1" s="1"/>
  <c r="P27" i="1"/>
  <c r="Q28" i="1"/>
  <c r="BA28" i="1"/>
  <c r="S28" i="1"/>
  <c r="BC28" i="1" s="1"/>
  <c r="T28" i="1"/>
  <c r="BE28" i="1" s="1"/>
  <c r="T32" i="1"/>
  <c r="BE32" i="1" s="1"/>
  <c r="BA32" i="1"/>
  <c r="Q32" i="1"/>
  <c r="S32" i="1"/>
  <c r="BC32" i="1" s="1"/>
  <c r="P42" i="1"/>
  <c r="P29" i="1"/>
  <c r="P37" i="1"/>
  <c r="T51" i="1"/>
  <c r="BE51" i="1" s="1"/>
  <c r="BA51" i="1"/>
  <c r="Q51" i="1"/>
  <c r="S51" i="1"/>
  <c r="BC51" i="1" s="1"/>
  <c r="P63" i="1"/>
  <c r="P79" i="1"/>
  <c r="AY79" i="1"/>
  <c r="P83" i="1"/>
  <c r="AY83" i="1"/>
  <c r="P87" i="1"/>
  <c r="AY87" i="1"/>
  <c r="P91" i="1"/>
  <c r="AY91" i="1"/>
  <c r="T52" i="1"/>
  <c r="BE52" i="1" s="1"/>
  <c r="BA52" i="1"/>
  <c r="Q52" i="1"/>
  <c r="S52" i="1"/>
  <c r="BC52" i="1" s="1"/>
  <c r="T64" i="1"/>
  <c r="BE64" i="1" s="1"/>
  <c r="BA64" i="1"/>
  <c r="Q64" i="1"/>
  <c r="S64" i="1"/>
  <c r="BC64" i="1" s="1"/>
  <c r="N103" i="1"/>
  <c r="AR103" i="1"/>
  <c r="AG103" i="1"/>
  <c r="AH103" i="1" s="1"/>
  <c r="S131" i="1"/>
  <c r="BC131" i="1" s="1"/>
  <c r="T131" i="1"/>
  <c r="BE131" i="1" s="1"/>
  <c r="BA131" i="1"/>
  <c r="Q131" i="1"/>
  <c r="AY118" i="1"/>
  <c r="P118" i="1"/>
  <c r="N125" i="1"/>
  <c r="AG125" i="1"/>
  <c r="AH125" i="1" s="1"/>
  <c r="AR125" i="1"/>
  <c r="AR115" i="1"/>
  <c r="AG115" i="1"/>
  <c r="AH115" i="1" s="1"/>
  <c r="N115" i="1"/>
  <c r="Q129" i="1"/>
  <c r="BA129" i="1"/>
  <c r="S129" i="1"/>
  <c r="BC129" i="1" s="1"/>
  <c r="T129" i="1"/>
  <c r="BE129" i="1" s="1"/>
  <c r="S132" i="1"/>
  <c r="BC132" i="1" s="1"/>
  <c r="T132" i="1"/>
  <c r="BE132" i="1" s="1"/>
  <c r="BA132" i="1"/>
  <c r="Q132" i="1"/>
  <c r="S178" i="1"/>
  <c r="BC178" i="1" s="1"/>
  <c r="T178" i="1"/>
  <c r="BE178" i="1" s="1"/>
  <c r="BA178" i="1"/>
  <c r="Q178" i="1"/>
  <c r="S116" i="1"/>
  <c r="BC116" i="1" s="1"/>
  <c r="T116" i="1"/>
  <c r="BE116" i="1" s="1"/>
  <c r="BA116" i="1"/>
  <c r="Q116" i="1"/>
  <c r="S147" i="1"/>
  <c r="BC147" i="1" s="1"/>
  <c r="T147" i="1"/>
  <c r="BE147" i="1" s="1"/>
  <c r="BA147" i="1"/>
  <c r="Q147" i="1"/>
  <c r="S155" i="1"/>
  <c r="BC155" i="1" s="1"/>
  <c r="T155" i="1"/>
  <c r="BE155" i="1" s="1"/>
  <c r="BA155" i="1"/>
  <c r="Q155" i="1"/>
  <c r="S163" i="1"/>
  <c r="BC163" i="1" s="1"/>
  <c r="T163" i="1"/>
  <c r="BE163" i="1" s="1"/>
  <c r="BA163" i="1"/>
  <c r="Q163" i="1"/>
  <c r="S171" i="1"/>
  <c r="BC171" i="1" s="1"/>
  <c r="T171" i="1"/>
  <c r="BE171" i="1" s="1"/>
  <c r="BA171" i="1"/>
  <c r="Q171" i="1"/>
  <c r="T187" i="1"/>
  <c r="BE187" i="1" s="1"/>
  <c r="Q187" i="1"/>
  <c r="BA187" i="1"/>
  <c r="S187" i="1"/>
  <c r="BC187" i="1" s="1"/>
  <c r="S144" i="1"/>
  <c r="BC144" i="1" s="1"/>
  <c r="T144" i="1"/>
  <c r="BE144" i="1" s="1"/>
  <c r="BA144" i="1"/>
  <c r="Q144" i="1"/>
  <c r="S152" i="1"/>
  <c r="BC152" i="1" s="1"/>
  <c r="T152" i="1"/>
  <c r="BE152" i="1" s="1"/>
  <c r="BA152" i="1"/>
  <c r="Q152" i="1"/>
  <c r="S160" i="1"/>
  <c r="BC160" i="1" s="1"/>
  <c r="T160" i="1"/>
  <c r="BE160" i="1" s="1"/>
  <c r="BA160" i="1"/>
  <c r="Q160" i="1"/>
  <c r="S168" i="1"/>
  <c r="BC168" i="1" s="1"/>
  <c r="T168" i="1"/>
  <c r="BE168" i="1" s="1"/>
  <c r="BA168" i="1"/>
  <c r="Q168" i="1"/>
  <c r="S176" i="1"/>
  <c r="BC176" i="1" s="1"/>
  <c r="T176" i="1"/>
  <c r="BE176" i="1" s="1"/>
  <c r="BA176" i="1"/>
  <c r="Q176" i="1"/>
  <c r="P195" i="1"/>
  <c r="P203" i="1"/>
  <c r="T211" i="1"/>
  <c r="BE211" i="1" s="1"/>
  <c r="BA211" i="1"/>
  <c r="Q211" i="1"/>
  <c r="S211" i="1"/>
  <c r="BC211" i="1" s="1"/>
  <c r="T219" i="1"/>
  <c r="BE219" i="1" s="1"/>
  <c r="BA219" i="1"/>
  <c r="Q219" i="1"/>
  <c r="S219" i="1"/>
  <c r="BC219" i="1" s="1"/>
  <c r="S231" i="1"/>
  <c r="BC231" i="1" s="1"/>
  <c r="Q231" i="1"/>
  <c r="T231" i="1"/>
  <c r="BE231" i="1" s="1"/>
  <c r="BA231" i="1"/>
  <c r="P192" i="1"/>
  <c r="P200" i="1"/>
  <c r="P208" i="1"/>
  <c r="P216" i="1"/>
  <c r="P233" i="1"/>
  <c r="Q242" i="1"/>
  <c r="S242" i="1"/>
  <c r="BC242" i="1" s="1"/>
  <c r="T242" i="1"/>
  <c r="BE242" i="1" s="1"/>
  <c r="BA242" i="1"/>
  <c r="Q246" i="1"/>
  <c r="S246" i="1"/>
  <c r="BC246" i="1" s="1"/>
  <c r="T246" i="1"/>
  <c r="BE246" i="1" s="1"/>
  <c r="BA246" i="1"/>
  <c r="Q250" i="1"/>
  <c r="S250" i="1"/>
  <c r="BC250" i="1" s="1"/>
  <c r="T250" i="1"/>
  <c r="BE250" i="1" s="1"/>
  <c r="BA250" i="1"/>
  <c r="Q254" i="1"/>
  <c r="S254" i="1"/>
  <c r="BC254" i="1" s="1"/>
  <c r="T254" i="1"/>
  <c r="BE254" i="1" s="1"/>
  <c r="BA254" i="1"/>
  <c r="Q258" i="1"/>
  <c r="S258" i="1"/>
  <c r="BC258" i="1" s="1"/>
  <c r="T258" i="1"/>
  <c r="BE258" i="1" s="1"/>
  <c r="BA258" i="1"/>
  <c r="Q262" i="1"/>
  <c r="S262" i="1"/>
  <c r="BC262" i="1" s="1"/>
  <c r="T262" i="1"/>
  <c r="BE262" i="1" s="1"/>
  <c r="BA262" i="1"/>
  <c r="Q266" i="1"/>
  <c r="S266" i="1"/>
  <c r="BC266" i="1" s="1"/>
  <c r="T266" i="1"/>
  <c r="BE266" i="1" s="1"/>
  <c r="BA266" i="1"/>
  <c r="Q270" i="1"/>
  <c r="S270" i="1"/>
  <c r="BC270" i="1" s="1"/>
  <c r="T270" i="1"/>
  <c r="BE270" i="1" s="1"/>
  <c r="BA270" i="1"/>
  <c r="AO282" i="1"/>
  <c r="G282" i="1"/>
  <c r="P274" i="1"/>
  <c r="AY274" i="1"/>
  <c r="AG280" i="1"/>
  <c r="AH280" i="1" s="1"/>
  <c r="AR280" i="1"/>
  <c r="N280" i="1"/>
  <c r="P304" i="1"/>
  <c r="AY304" i="1"/>
  <c r="P320" i="1"/>
  <c r="AY320" i="1"/>
  <c r="P297" i="1"/>
  <c r="AY297" i="1"/>
  <c r="P313" i="1"/>
  <c r="AY313" i="1"/>
  <c r="N329" i="1"/>
  <c r="AR329" i="1"/>
  <c r="AG329" i="1"/>
  <c r="AH329" i="1" s="1"/>
  <c r="AK382" i="1"/>
  <c r="P382" i="1"/>
  <c r="AZ382" i="1"/>
  <c r="P298" i="1"/>
  <c r="AY298" i="1"/>
  <c r="P314" i="1"/>
  <c r="AY314" i="1"/>
  <c r="AR332" i="1"/>
  <c r="N332" i="1"/>
  <c r="AG332" i="1"/>
  <c r="AH332" i="1" s="1"/>
  <c r="AR336" i="1"/>
  <c r="N336" i="1"/>
  <c r="AG336" i="1"/>
  <c r="AH336" i="1" s="1"/>
  <c r="P359" i="1"/>
  <c r="S361" i="1"/>
  <c r="BC361" i="1" s="1"/>
  <c r="T361" i="1"/>
  <c r="BE361" i="1" s="1"/>
  <c r="BA361" i="1"/>
  <c r="Q361" i="1"/>
  <c r="P291" i="1"/>
  <c r="AY291" i="1"/>
  <c r="P307" i="1"/>
  <c r="AY307" i="1"/>
  <c r="P323" i="1"/>
  <c r="AY323" i="1"/>
  <c r="P340" i="1"/>
  <c r="AY340" i="1"/>
  <c r="N348" i="1"/>
  <c r="AR348" i="1"/>
  <c r="AG348" i="1"/>
  <c r="AH348" i="1" s="1"/>
  <c r="N352" i="1"/>
  <c r="AR352" i="1"/>
  <c r="AG352" i="1"/>
  <c r="AH352" i="1" s="1"/>
  <c r="G390" i="1"/>
  <c r="AO390" i="1"/>
  <c r="N385" i="1"/>
  <c r="AR385" i="1"/>
  <c r="AG385" i="1"/>
  <c r="AH385" i="1" s="1"/>
  <c r="P386" i="1"/>
  <c r="AY386" i="1"/>
  <c r="P422" i="1"/>
  <c r="AY422" i="1"/>
  <c r="P424" i="1"/>
  <c r="AY424" i="1"/>
  <c r="P426" i="1"/>
  <c r="AY426" i="1"/>
  <c r="P428" i="1"/>
  <c r="AY428" i="1"/>
  <c r="P430" i="1"/>
  <c r="AY430" i="1"/>
  <c r="P432" i="1"/>
  <c r="AY432" i="1"/>
  <c r="P434" i="1"/>
  <c r="AY434" i="1"/>
  <c r="P436" i="1"/>
  <c r="AY436" i="1"/>
  <c r="P438" i="1"/>
  <c r="AY438" i="1"/>
  <c r="P440" i="1"/>
  <c r="AY440" i="1"/>
  <c r="P442" i="1"/>
  <c r="AY442" i="1"/>
  <c r="P444" i="1"/>
  <c r="AY444" i="1"/>
  <c r="P446" i="1"/>
  <c r="AY446" i="1"/>
  <c r="P448" i="1"/>
  <c r="AY448" i="1"/>
  <c r="P450" i="1"/>
  <c r="AY450" i="1"/>
  <c r="AG455" i="1"/>
  <c r="AH455" i="1" s="1"/>
  <c r="N455" i="1"/>
  <c r="AR455" i="1"/>
  <c r="AG459" i="1"/>
  <c r="AH459" i="1" s="1"/>
  <c r="N459" i="1"/>
  <c r="AR459" i="1"/>
  <c r="P416" i="1"/>
  <c r="P419" i="1"/>
  <c r="Q471" i="1"/>
  <c r="S471" i="1"/>
  <c r="BC471" i="1" s="1"/>
  <c r="T471" i="1"/>
  <c r="BE471" i="1" s="1"/>
  <c r="BA471" i="1"/>
  <c r="AO474" i="1"/>
  <c r="G474" i="1"/>
  <c r="P421" i="1"/>
  <c r="P479" i="1"/>
  <c r="AY488" i="1"/>
  <c r="P488" i="1"/>
  <c r="AK759" i="1"/>
  <c r="AR472" i="1"/>
  <c r="N472" i="1"/>
  <c r="AY472" i="1" s="1"/>
  <c r="AG472" i="1"/>
  <c r="AH472" i="1" s="1"/>
  <c r="P573" i="1"/>
  <c r="P577" i="1"/>
  <c r="P581" i="1"/>
  <c r="P585" i="1"/>
  <c r="P589" i="1"/>
  <c r="P593" i="1"/>
  <c r="Q597" i="1"/>
  <c r="S597" i="1"/>
  <c r="BC597" i="1" s="1"/>
  <c r="T597" i="1"/>
  <c r="BE597" i="1" s="1"/>
  <c r="BA597" i="1"/>
  <c r="S602" i="1"/>
  <c r="BC602" i="1" s="1"/>
  <c r="T602" i="1"/>
  <c r="BE602" i="1" s="1"/>
  <c r="Q602" i="1"/>
  <c r="BA602" i="1"/>
  <c r="AY605" i="1"/>
  <c r="P605" i="1"/>
  <c r="AY621" i="1"/>
  <c r="P621" i="1"/>
  <c r="AY637" i="1"/>
  <c r="P637" i="1"/>
  <c r="AY653" i="1"/>
  <c r="P653" i="1"/>
  <c r="AY669" i="1"/>
  <c r="P669" i="1"/>
  <c r="AY685" i="1"/>
  <c r="P685" i="1"/>
  <c r="N705" i="1"/>
  <c r="AR705" i="1"/>
  <c r="AG705" i="1"/>
  <c r="AH705" i="1" s="1"/>
  <c r="N717" i="1"/>
  <c r="AR717" i="1"/>
  <c r="AG717" i="1"/>
  <c r="AH717" i="1" s="1"/>
  <c r="N725" i="1"/>
  <c r="AR725" i="1"/>
  <c r="AG725" i="1"/>
  <c r="AH725" i="1" s="1"/>
  <c r="N733" i="1"/>
  <c r="AR733" i="1"/>
  <c r="AG733" i="1"/>
  <c r="AH733" i="1" s="1"/>
  <c r="AY614" i="1"/>
  <c r="P614" i="1"/>
  <c r="AY630" i="1"/>
  <c r="P630" i="1"/>
  <c r="AY646" i="1"/>
  <c r="P646" i="1"/>
  <c r="AY662" i="1"/>
  <c r="P662" i="1"/>
  <c r="AY678" i="1"/>
  <c r="P678" i="1"/>
  <c r="AY694" i="1"/>
  <c r="P694" i="1"/>
  <c r="S707" i="1"/>
  <c r="BC707" i="1" s="1"/>
  <c r="T707" i="1"/>
  <c r="BE707" i="1" s="1"/>
  <c r="BA707" i="1"/>
  <c r="Q707" i="1"/>
  <c r="N716" i="1"/>
  <c r="AR716" i="1"/>
  <c r="AG716" i="1"/>
  <c r="AH716" i="1" s="1"/>
  <c r="N724" i="1"/>
  <c r="AR724" i="1"/>
  <c r="AG724" i="1"/>
  <c r="AH724" i="1" s="1"/>
  <c r="N732" i="1"/>
  <c r="AR732" i="1"/>
  <c r="AG732" i="1"/>
  <c r="AH732" i="1" s="1"/>
  <c r="AY615" i="1"/>
  <c r="P615" i="1"/>
  <c r="AY631" i="1"/>
  <c r="P631" i="1"/>
  <c r="AY647" i="1"/>
  <c r="P647" i="1"/>
  <c r="AY663" i="1"/>
  <c r="P663" i="1"/>
  <c r="AY679" i="1"/>
  <c r="P679" i="1"/>
  <c r="AY695" i="1"/>
  <c r="P695" i="1"/>
  <c r="N710" i="1"/>
  <c r="AR710" i="1"/>
  <c r="AG710" i="1"/>
  <c r="AH710" i="1" s="1"/>
  <c r="S714" i="1"/>
  <c r="BC714" i="1" s="1"/>
  <c r="T714" i="1"/>
  <c r="BE714" i="1" s="1"/>
  <c r="BA714" i="1"/>
  <c r="Q714" i="1"/>
  <c r="P753" i="1"/>
  <c r="S755" i="1"/>
  <c r="BC755" i="1" s="1"/>
  <c r="T755" i="1"/>
  <c r="BE755" i="1" s="1"/>
  <c r="BA755" i="1"/>
  <c r="Q755" i="1"/>
  <c r="P757" i="1"/>
  <c r="N751" i="1"/>
  <c r="AG751" i="1"/>
  <c r="AH751" i="1" s="1"/>
  <c r="AR751" i="1"/>
  <c r="AY752" i="1"/>
  <c r="P752" i="1"/>
  <c r="AG767" i="1"/>
  <c r="AH767" i="1" s="1"/>
  <c r="S768" i="1"/>
  <c r="BC768" i="1" s="1"/>
  <c r="BA768" i="1"/>
  <c r="Q768" i="1"/>
  <c r="T768" i="1"/>
  <c r="BE768" i="1" s="1"/>
  <c r="Q888" i="1"/>
  <c r="BA888" i="1"/>
  <c r="S888" i="1"/>
  <c r="BC888" i="1" s="1"/>
  <c r="T888" i="1"/>
  <c r="BE888" i="1" s="1"/>
  <c r="AO806" i="1"/>
  <c r="G806" i="1"/>
  <c r="P809" i="1"/>
  <c r="AZ763" i="1"/>
  <c r="AK763" i="1"/>
  <c r="AK765" i="1"/>
  <c r="AZ765" i="1"/>
  <c r="P771" i="1"/>
  <c r="AK771" i="1"/>
  <c r="AZ771" i="1"/>
  <c r="Q785" i="1"/>
  <c r="T785" i="1"/>
  <c r="BE785" i="1" s="1"/>
  <c r="BA785" i="1"/>
  <c r="S785" i="1"/>
  <c r="BC785" i="1" s="1"/>
  <c r="Q801" i="1"/>
  <c r="T801" i="1"/>
  <c r="BE801" i="1" s="1"/>
  <c r="BA801" i="1"/>
  <c r="S801" i="1"/>
  <c r="BC801" i="1" s="1"/>
  <c r="S810" i="1"/>
  <c r="BC810" i="1" s="1"/>
  <c r="T810" i="1"/>
  <c r="BE810" i="1" s="1"/>
  <c r="Q810" i="1"/>
  <c r="BA810" i="1"/>
  <c r="S841" i="1"/>
  <c r="BC841" i="1" s="1"/>
  <c r="T841" i="1"/>
  <c r="BE841" i="1" s="1"/>
  <c r="Q841" i="1"/>
  <c r="BA841" i="1"/>
  <c r="AY861" i="1"/>
  <c r="P861" i="1"/>
  <c r="Q867" i="1"/>
  <c r="T867" i="1"/>
  <c r="BE867" i="1" s="1"/>
  <c r="BA867" i="1"/>
  <c r="S867" i="1"/>
  <c r="BC867" i="1" s="1"/>
  <c r="S894" i="1"/>
  <c r="BC894" i="1" s="1"/>
  <c r="T894" i="1"/>
  <c r="BE894" i="1" s="1"/>
  <c r="Q894" i="1"/>
  <c r="BA894" i="1"/>
  <c r="AY612" i="1"/>
  <c r="P612" i="1"/>
  <c r="AY628" i="1"/>
  <c r="P628" i="1"/>
  <c r="AY644" i="1"/>
  <c r="P644" i="1"/>
  <c r="AY660" i="1"/>
  <c r="P660" i="1"/>
  <c r="AY676" i="1"/>
  <c r="P676" i="1"/>
  <c r="AY692" i="1"/>
  <c r="P692" i="1"/>
  <c r="N730" i="1"/>
  <c r="AR730" i="1"/>
  <c r="AG730" i="1"/>
  <c r="AH730" i="1" s="1"/>
  <c r="G770" i="1"/>
  <c r="AO770" i="1"/>
  <c r="P781" i="1"/>
  <c r="AK781" i="1"/>
  <c r="AZ781" i="1"/>
  <c r="Q788" i="1"/>
  <c r="S788" i="1"/>
  <c r="BC788" i="1" s="1"/>
  <c r="T788" i="1"/>
  <c r="BE788" i="1" s="1"/>
  <c r="BA788" i="1"/>
  <c r="AY825" i="1"/>
  <c r="P825" i="1"/>
  <c r="AY827" i="1"/>
  <c r="P827" i="1"/>
  <c r="AY919" i="1"/>
  <c r="P919" i="1"/>
  <c r="N998" i="1"/>
  <c r="AG998" i="1"/>
  <c r="AH998" i="1" s="1"/>
  <c r="AH1002" i="1" s="1"/>
  <c r="O1007" i="1" s="1"/>
  <c r="AR998" i="1"/>
  <c r="P1030" i="1"/>
  <c r="S1038" i="1"/>
  <c r="BC1038" i="1" s="1"/>
  <c r="Q1038" i="1"/>
  <c r="T1038" i="1"/>
  <c r="BE1038" i="1" s="1"/>
  <c r="BA1038" i="1"/>
  <c r="P821" i="1"/>
  <c r="Q929" i="1"/>
  <c r="S929" i="1"/>
  <c r="BC929" i="1" s="1"/>
  <c r="T929" i="1"/>
  <c r="BE929" i="1" s="1"/>
  <c r="BA929" i="1"/>
  <c r="Q945" i="1"/>
  <c r="S945" i="1"/>
  <c r="BC945" i="1" s="1"/>
  <c r="T945" i="1"/>
  <c r="BE945" i="1" s="1"/>
  <c r="BA945" i="1"/>
  <c r="P973" i="1"/>
  <c r="BB973" i="1" s="1"/>
  <c r="BB961" i="1"/>
  <c r="P787" i="1"/>
  <c r="P803" i="1"/>
  <c r="P921" i="1"/>
  <c r="AY921" i="1"/>
  <c r="Q930" i="1"/>
  <c r="T930" i="1"/>
  <c r="BE930" i="1" s="1"/>
  <c r="BA930" i="1"/>
  <c r="S930" i="1"/>
  <c r="BC930" i="1" s="1"/>
  <c r="Q938" i="1"/>
  <c r="T938" i="1"/>
  <c r="BE938" i="1" s="1"/>
  <c r="BA938" i="1"/>
  <c r="S938" i="1"/>
  <c r="BC938" i="1" s="1"/>
  <c r="Q946" i="1"/>
  <c r="T946" i="1"/>
  <c r="BE946" i="1" s="1"/>
  <c r="BA946" i="1"/>
  <c r="S946" i="1"/>
  <c r="BC946" i="1" s="1"/>
  <c r="AH1048" i="1"/>
  <c r="O1053" i="1" s="1"/>
  <c r="AK1048" i="1"/>
  <c r="P1011" i="1"/>
  <c r="BB1011" i="1" s="1"/>
  <c r="BB1007" i="1"/>
  <c r="P1009" i="1"/>
  <c r="BB1009" i="1" s="1"/>
  <c r="T995" i="1"/>
  <c r="BE995" i="1" s="1"/>
  <c r="S995" i="1"/>
  <c r="BC995" i="1" s="1"/>
  <c r="BA995" i="1"/>
  <c r="Q995" i="1"/>
  <c r="BA1007" i="1" l="1"/>
  <c r="O1009" i="1"/>
  <c r="BA1009" i="1" s="1"/>
  <c r="O1011" i="1"/>
  <c r="BA1011" i="1" s="1"/>
  <c r="S827" i="1"/>
  <c r="BC827" i="1" s="1"/>
  <c r="BA827" i="1"/>
  <c r="Q827" i="1"/>
  <c r="T827" i="1"/>
  <c r="BE827" i="1" s="1"/>
  <c r="AG770" i="1"/>
  <c r="AH770" i="1" s="1"/>
  <c r="AR770" i="1"/>
  <c r="N770" i="1"/>
  <c r="Q660" i="1"/>
  <c r="S660" i="1"/>
  <c r="BC660" i="1" s="1"/>
  <c r="T660" i="1"/>
  <c r="BE660" i="1" s="1"/>
  <c r="BA660" i="1"/>
  <c r="BA771" i="1"/>
  <c r="S771" i="1"/>
  <c r="BC771" i="1" s="1"/>
  <c r="T771" i="1"/>
  <c r="BE771" i="1" s="1"/>
  <c r="Q771" i="1"/>
  <c r="AG806" i="1"/>
  <c r="AH806" i="1" s="1"/>
  <c r="N806" i="1"/>
  <c r="AR806" i="1"/>
  <c r="Q646" i="1"/>
  <c r="S646" i="1"/>
  <c r="BC646" i="1" s="1"/>
  <c r="T646" i="1"/>
  <c r="BE646" i="1" s="1"/>
  <c r="BA646" i="1"/>
  <c r="Q637" i="1"/>
  <c r="S637" i="1"/>
  <c r="BC637" i="1" s="1"/>
  <c r="T637" i="1"/>
  <c r="BE637" i="1" s="1"/>
  <c r="BA637" i="1"/>
  <c r="Q605" i="1"/>
  <c r="S605" i="1"/>
  <c r="BC605" i="1" s="1"/>
  <c r="T605" i="1"/>
  <c r="BE605" i="1" s="1"/>
  <c r="BA605" i="1"/>
  <c r="N474" i="1"/>
  <c r="AG474" i="1"/>
  <c r="AH474" i="1" s="1"/>
  <c r="AR474" i="1"/>
  <c r="Q323" i="1"/>
  <c r="S323" i="1"/>
  <c r="BC323" i="1" s="1"/>
  <c r="T323" i="1"/>
  <c r="BE323" i="1" s="1"/>
  <c r="BA323" i="1"/>
  <c r="Q291" i="1"/>
  <c r="S291" i="1"/>
  <c r="BC291" i="1" s="1"/>
  <c r="T291" i="1"/>
  <c r="BE291" i="1" s="1"/>
  <c r="BA291" i="1"/>
  <c r="Q787" i="1"/>
  <c r="BA787" i="1"/>
  <c r="S787" i="1"/>
  <c r="BC787" i="1" s="1"/>
  <c r="T787" i="1"/>
  <c r="BE787" i="1" s="1"/>
  <c r="S821" i="1"/>
  <c r="BC821" i="1" s="1"/>
  <c r="BA821" i="1"/>
  <c r="Q821" i="1"/>
  <c r="T821" i="1"/>
  <c r="BE821" i="1" s="1"/>
  <c r="AY998" i="1"/>
  <c r="P998" i="1"/>
  <c r="AK829" i="1"/>
  <c r="S753" i="1"/>
  <c r="BC753" i="1" s="1"/>
  <c r="T753" i="1"/>
  <c r="BE753" i="1" s="1"/>
  <c r="BA753" i="1"/>
  <c r="Q753" i="1"/>
  <c r="Q695" i="1"/>
  <c r="S695" i="1"/>
  <c r="BC695" i="1" s="1"/>
  <c r="T695" i="1"/>
  <c r="BE695" i="1" s="1"/>
  <c r="BA695" i="1"/>
  <c r="Q663" i="1"/>
  <c r="S663" i="1"/>
  <c r="BC663" i="1" s="1"/>
  <c r="T663" i="1"/>
  <c r="BE663" i="1" s="1"/>
  <c r="BA663" i="1"/>
  <c r="Q631" i="1"/>
  <c r="S631" i="1"/>
  <c r="BC631" i="1" s="1"/>
  <c r="T631" i="1"/>
  <c r="BE631" i="1" s="1"/>
  <c r="BA631" i="1"/>
  <c r="AY716" i="1"/>
  <c r="P716" i="1"/>
  <c r="AY705" i="1"/>
  <c r="P705" i="1"/>
  <c r="Q581" i="1"/>
  <c r="S581" i="1"/>
  <c r="BC581" i="1" s="1"/>
  <c r="BA581" i="1"/>
  <c r="T581" i="1"/>
  <c r="BE581" i="1" s="1"/>
  <c r="P459" i="1"/>
  <c r="AY459" i="1"/>
  <c r="Q448" i="1"/>
  <c r="S448" i="1"/>
  <c r="BC448" i="1" s="1"/>
  <c r="T448" i="1"/>
  <c r="BE448" i="1" s="1"/>
  <c r="BA448" i="1"/>
  <c r="Q444" i="1"/>
  <c r="S444" i="1"/>
  <c r="BC444" i="1" s="1"/>
  <c r="T444" i="1"/>
  <c r="BE444" i="1" s="1"/>
  <c r="BA444" i="1"/>
  <c r="Q440" i="1"/>
  <c r="S440" i="1"/>
  <c r="BC440" i="1" s="1"/>
  <c r="T440" i="1"/>
  <c r="BE440" i="1" s="1"/>
  <c r="BA440" i="1"/>
  <c r="Q436" i="1"/>
  <c r="S436" i="1"/>
  <c r="BC436" i="1" s="1"/>
  <c r="T436" i="1"/>
  <c r="BE436" i="1" s="1"/>
  <c r="BA436" i="1"/>
  <c r="Q432" i="1"/>
  <c r="S432" i="1"/>
  <c r="BC432" i="1" s="1"/>
  <c r="T432" i="1"/>
  <c r="BE432" i="1" s="1"/>
  <c r="BA432" i="1"/>
  <c r="Q428" i="1"/>
  <c r="S428" i="1"/>
  <c r="BC428" i="1" s="1"/>
  <c r="T428" i="1"/>
  <c r="BE428" i="1" s="1"/>
  <c r="BA428" i="1"/>
  <c r="Q424" i="1"/>
  <c r="S424" i="1"/>
  <c r="BC424" i="1" s="1"/>
  <c r="T424" i="1"/>
  <c r="BE424" i="1" s="1"/>
  <c r="BA424" i="1"/>
  <c r="S386" i="1"/>
  <c r="BC386" i="1" s="1"/>
  <c r="T386" i="1"/>
  <c r="BE386" i="1" s="1"/>
  <c r="BA386" i="1"/>
  <c r="Q386" i="1"/>
  <c r="P352" i="1"/>
  <c r="AY352" i="1"/>
  <c r="S359" i="1"/>
  <c r="BC359" i="1" s="1"/>
  <c r="T359" i="1"/>
  <c r="BE359" i="1" s="1"/>
  <c r="BA359" i="1"/>
  <c r="Q359" i="1"/>
  <c r="Q314" i="1"/>
  <c r="S314" i="1"/>
  <c r="BC314" i="1" s="1"/>
  <c r="T314" i="1"/>
  <c r="BE314" i="1" s="1"/>
  <c r="BA314" i="1"/>
  <c r="S382" i="1"/>
  <c r="BC382" i="1" s="1"/>
  <c r="T382" i="1"/>
  <c r="BE382" i="1" s="1"/>
  <c r="Q382" i="1"/>
  <c r="BA382" i="1"/>
  <c r="AY329" i="1"/>
  <c r="P329" i="1"/>
  <c r="Q297" i="1"/>
  <c r="S297" i="1"/>
  <c r="BC297" i="1" s="1"/>
  <c r="T297" i="1"/>
  <c r="BE297" i="1" s="1"/>
  <c r="BA297" i="1"/>
  <c r="Q304" i="1"/>
  <c r="S304" i="1"/>
  <c r="BC304" i="1" s="1"/>
  <c r="T304" i="1"/>
  <c r="BE304" i="1" s="1"/>
  <c r="BA304" i="1"/>
  <c r="S233" i="1"/>
  <c r="BC233" i="1" s="1"/>
  <c r="T233" i="1"/>
  <c r="BE233" i="1" s="1"/>
  <c r="BA233" i="1"/>
  <c r="Q233" i="1"/>
  <c r="T192" i="1"/>
  <c r="BE192" i="1" s="1"/>
  <c r="BA192" i="1"/>
  <c r="Q192" i="1"/>
  <c r="S192" i="1"/>
  <c r="BC192" i="1" s="1"/>
  <c r="AY125" i="1"/>
  <c r="P125" i="1"/>
  <c r="T29" i="1"/>
  <c r="BE29" i="1" s="1"/>
  <c r="BA29" i="1"/>
  <c r="Q29" i="1"/>
  <c r="S29" i="1"/>
  <c r="BC29" i="1" s="1"/>
  <c r="AY16" i="1"/>
  <c r="P16" i="1"/>
  <c r="AG15" i="1"/>
  <c r="AH15" i="1" s="1"/>
  <c r="AR15" i="1"/>
  <c r="N15" i="1"/>
  <c r="T991" i="1"/>
  <c r="Q991" i="1"/>
  <c r="S991" i="1"/>
  <c r="BA991" i="1"/>
  <c r="Q887" i="1"/>
  <c r="BA887" i="1"/>
  <c r="S887" i="1"/>
  <c r="BC887" i="1" s="1"/>
  <c r="T887" i="1"/>
  <c r="BE887" i="1" s="1"/>
  <c r="S745" i="1"/>
  <c r="BC745" i="1" s="1"/>
  <c r="T745" i="1"/>
  <c r="BE745" i="1" s="1"/>
  <c r="BA745" i="1"/>
  <c r="Q745" i="1"/>
  <c r="S914" i="1"/>
  <c r="BC914" i="1" s="1"/>
  <c r="Q914" i="1"/>
  <c r="T914" i="1"/>
  <c r="BE914" i="1" s="1"/>
  <c r="BA914" i="1"/>
  <c r="S910" i="1"/>
  <c r="BC910" i="1" s="1"/>
  <c r="Q910" i="1"/>
  <c r="T910" i="1"/>
  <c r="BE910" i="1" s="1"/>
  <c r="BA910" i="1"/>
  <c r="S906" i="1"/>
  <c r="BC906" i="1" s="1"/>
  <c r="Q906" i="1"/>
  <c r="T906" i="1"/>
  <c r="BE906" i="1" s="1"/>
  <c r="BA906" i="1"/>
  <c r="S902" i="1"/>
  <c r="BC902" i="1" s="1"/>
  <c r="Q902" i="1"/>
  <c r="T902" i="1"/>
  <c r="BE902" i="1" s="1"/>
  <c r="BA902" i="1"/>
  <c r="T748" i="1"/>
  <c r="BE748" i="1" s="1"/>
  <c r="BA748" i="1"/>
  <c r="S748" i="1"/>
  <c r="BC748" i="1" s="1"/>
  <c r="Q748" i="1"/>
  <c r="AY747" i="1"/>
  <c r="P747" i="1"/>
  <c r="P836" i="1"/>
  <c r="P749" i="1"/>
  <c r="AY749" i="1"/>
  <c r="AY723" i="1"/>
  <c r="P723" i="1"/>
  <c r="T556" i="1"/>
  <c r="BE556" i="1" s="1"/>
  <c r="BA556" i="1"/>
  <c r="Q556" i="1"/>
  <c r="S556" i="1"/>
  <c r="BC556" i="1" s="1"/>
  <c r="S502" i="1"/>
  <c r="BC502" i="1" s="1"/>
  <c r="BA502" i="1"/>
  <c r="Q502" i="1"/>
  <c r="T502" i="1"/>
  <c r="BE502" i="1" s="1"/>
  <c r="Q493" i="1"/>
  <c r="S493" i="1"/>
  <c r="BC493" i="1" s="1"/>
  <c r="T493" i="1"/>
  <c r="BE493" i="1" s="1"/>
  <c r="BA493" i="1"/>
  <c r="Q480" i="1"/>
  <c r="S480" i="1"/>
  <c r="BC480" i="1" s="1"/>
  <c r="BA480" i="1"/>
  <c r="T480" i="1"/>
  <c r="BE480" i="1" s="1"/>
  <c r="Q415" i="1"/>
  <c r="S415" i="1"/>
  <c r="BC415" i="1" s="1"/>
  <c r="T415" i="1"/>
  <c r="BE415" i="1" s="1"/>
  <c r="BA415" i="1"/>
  <c r="P458" i="1"/>
  <c r="AY458" i="1"/>
  <c r="S381" i="1"/>
  <c r="BC381" i="1" s="1"/>
  <c r="T381" i="1"/>
  <c r="BE381" i="1" s="1"/>
  <c r="BA381" i="1"/>
  <c r="Q381" i="1"/>
  <c r="AY339" i="1"/>
  <c r="P339" i="1"/>
  <c r="Q311" i="1"/>
  <c r="S311" i="1"/>
  <c r="BC311" i="1" s="1"/>
  <c r="T311" i="1"/>
  <c r="BE311" i="1" s="1"/>
  <c r="BA311" i="1"/>
  <c r="P378" i="1"/>
  <c r="AY378" i="1"/>
  <c r="P345" i="1"/>
  <c r="AY345" i="1"/>
  <c r="Q301" i="1"/>
  <c r="S301" i="1"/>
  <c r="BC301" i="1" s="1"/>
  <c r="T301" i="1"/>
  <c r="BE301" i="1" s="1"/>
  <c r="BA301" i="1"/>
  <c r="AY333" i="1"/>
  <c r="P333" i="1"/>
  <c r="S236" i="1"/>
  <c r="BC236" i="1" s="1"/>
  <c r="BA236" i="1"/>
  <c r="Q236" i="1"/>
  <c r="T236" i="1"/>
  <c r="BE236" i="1" s="1"/>
  <c r="T214" i="1"/>
  <c r="BE214" i="1" s="1"/>
  <c r="BA214" i="1"/>
  <c r="Q214" i="1"/>
  <c r="S214" i="1"/>
  <c r="BC214" i="1" s="1"/>
  <c r="S232" i="1"/>
  <c r="BC232" i="1" s="1"/>
  <c r="Q232" i="1"/>
  <c r="T232" i="1"/>
  <c r="BE232" i="1" s="1"/>
  <c r="BA232" i="1"/>
  <c r="T193" i="1"/>
  <c r="BE193" i="1" s="1"/>
  <c r="BA193" i="1"/>
  <c r="Q193" i="1"/>
  <c r="S193" i="1"/>
  <c r="BC193" i="1" s="1"/>
  <c r="S134" i="1"/>
  <c r="BC134" i="1" s="1"/>
  <c r="T134" i="1"/>
  <c r="BE134" i="1" s="1"/>
  <c r="BA134" i="1"/>
  <c r="Q134" i="1"/>
  <c r="Q77" i="1"/>
  <c r="S77" i="1"/>
  <c r="BC77" i="1" s="1"/>
  <c r="T77" i="1"/>
  <c r="BE77" i="1" s="1"/>
  <c r="BA77" i="1"/>
  <c r="T61" i="1"/>
  <c r="BE61" i="1" s="1"/>
  <c r="BA61" i="1"/>
  <c r="Q61" i="1"/>
  <c r="S61" i="1"/>
  <c r="BC61" i="1" s="1"/>
  <c r="T38" i="1"/>
  <c r="BE38" i="1" s="1"/>
  <c r="Q38" i="1"/>
  <c r="S38" i="1"/>
  <c r="BC38" i="1" s="1"/>
  <c r="BA38" i="1"/>
  <c r="T55" i="1"/>
  <c r="BE55" i="1" s="1"/>
  <c r="BA55" i="1"/>
  <c r="Q55" i="1"/>
  <c r="S55" i="1"/>
  <c r="BC55" i="1" s="1"/>
  <c r="Q80" i="1"/>
  <c r="S80" i="1"/>
  <c r="BC80" i="1" s="1"/>
  <c r="T80" i="1"/>
  <c r="BE80" i="1" s="1"/>
  <c r="BA80" i="1"/>
  <c r="Q1042" i="1"/>
  <c r="S1042" i="1"/>
  <c r="BC1042" i="1" s="1"/>
  <c r="T1042" i="1"/>
  <c r="BE1042" i="1" s="1"/>
  <c r="BA1042" i="1"/>
  <c r="Q819" i="1"/>
  <c r="T819" i="1"/>
  <c r="BE819" i="1" s="1"/>
  <c r="S819" i="1"/>
  <c r="BC819" i="1" s="1"/>
  <c r="BA819" i="1"/>
  <c r="S826" i="1"/>
  <c r="BC826" i="1" s="1"/>
  <c r="BA826" i="1"/>
  <c r="Q826" i="1"/>
  <c r="T826" i="1"/>
  <c r="BE826" i="1" s="1"/>
  <c r="AY722" i="1"/>
  <c r="P722" i="1"/>
  <c r="S764" i="1"/>
  <c r="BC764" i="1" s="1"/>
  <c r="T764" i="1"/>
  <c r="BE764" i="1" s="1"/>
  <c r="BA764" i="1"/>
  <c r="Q764" i="1"/>
  <c r="BC762" i="1"/>
  <c r="S756" i="1"/>
  <c r="BC756" i="1" s="1"/>
  <c r="T756" i="1"/>
  <c r="BE756" i="1" s="1"/>
  <c r="BA756" i="1"/>
  <c r="Q756" i="1"/>
  <c r="Q671" i="1"/>
  <c r="S671" i="1"/>
  <c r="BC671" i="1" s="1"/>
  <c r="T671" i="1"/>
  <c r="BE671" i="1" s="1"/>
  <c r="BA671" i="1"/>
  <c r="Q639" i="1"/>
  <c r="S639" i="1"/>
  <c r="BC639" i="1" s="1"/>
  <c r="T639" i="1"/>
  <c r="BE639" i="1" s="1"/>
  <c r="BA639" i="1"/>
  <c r="Q607" i="1"/>
  <c r="S607" i="1"/>
  <c r="BC607" i="1" s="1"/>
  <c r="T607" i="1"/>
  <c r="BE607" i="1" s="1"/>
  <c r="BA607" i="1"/>
  <c r="AY736" i="1"/>
  <c r="P736" i="1"/>
  <c r="AY729" i="1"/>
  <c r="P729" i="1"/>
  <c r="Q677" i="1"/>
  <c r="S677" i="1"/>
  <c r="BC677" i="1" s="1"/>
  <c r="T677" i="1"/>
  <c r="BE677" i="1" s="1"/>
  <c r="BA677" i="1"/>
  <c r="Q645" i="1"/>
  <c r="S645" i="1"/>
  <c r="BC645" i="1" s="1"/>
  <c r="T645" i="1"/>
  <c r="BE645" i="1" s="1"/>
  <c r="BA645" i="1"/>
  <c r="Q613" i="1"/>
  <c r="S613" i="1"/>
  <c r="BC613" i="1" s="1"/>
  <c r="T613" i="1"/>
  <c r="BE613" i="1" s="1"/>
  <c r="BA613" i="1"/>
  <c r="Q583" i="1"/>
  <c r="S583" i="1"/>
  <c r="BC583" i="1" s="1"/>
  <c r="BA583" i="1"/>
  <c r="T583" i="1"/>
  <c r="BE583" i="1" s="1"/>
  <c r="T562" i="1"/>
  <c r="BE562" i="1" s="1"/>
  <c r="BA562" i="1"/>
  <c r="Q562" i="1"/>
  <c r="S562" i="1"/>
  <c r="BC562" i="1" s="1"/>
  <c r="Q496" i="1"/>
  <c r="S496" i="1"/>
  <c r="BC496" i="1" s="1"/>
  <c r="T496" i="1"/>
  <c r="BE496" i="1" s="1"/>
  <c r="BA496" i="1"/>
  <c r="P461" i="1"/>
  <c r="AY461" i="1"/>
  <c r="AY388" i="1"/>
  <c r="P388" i="1"/>
  <c r="AY380" i="1"/>
  <c r="P380" i="1"/>
  <c r="N389" i="1"/>
  <c r="AR389" i="1"/>
  <c r="AG389" i="1"/>
  <c r="AH389" i="1" s="1"/>
  <c r="T344" i="1"/>
  <c r="BE344" i="1" s="1"/>
  <c r="BA344" i="1"/>
  <c r="Q344" i="1"/>
  <c r="S344" i="1"/>
  <c r="BC344" i="1" s="1"/>
  <c r="Q322" i="1"/>
  <c r="S322" i="1"/>
  <c r="BC322" i="1" s="1"/>
  <c r="T322" i="1"/>
  <c r="BE322" i="1" s="1"/>
  <c r="BA322" i="1"/>
  <c r="Q290" i="1"/>
  <c r="S290" i="1"/>
  <c r="BC290" i="1" s="1"/>
  <c r="T290" i="1"/>
  <c r="BE290" i="1" s="1"/>
  <c r="BA290" i="1"/>
  <c r="S279" i="1"/>
  <c r="BC279" i="1" s="1"/>
  <c r="T279" i="1"/>
  <c r="BE279" i="1" s="1"/>
  <c r="BA279" i="1"/>
  <c r="Q279" i="1"/>
  <c r="S229" i="1"/>
  <c r="BC229" i="1" s="1"/>
  <c r="T229" i="1"/>
  <c r="BE229" i="1" s="1"/>
  <c r="BA229" i="1"/>
  <c r="Q229" i="1"/>
  <c r="T204" i="1"/>
  <c r="BE204" i="1" s="1"/>
  <c r="BA204" i="1"/>
  <c r="Q204" i="1"/>
  <c r="S204" i="1"/>
  <c r="BC204" i="1" s="1"/>
  <c r="T215" i="1"/>
  <c r="BE215" i="1" s="1"/>
  <c r="BA215" i="1"/>
  <c r="Q215" i="1"/>
  <c r="S215" i="1"/>
  <c r="BC215" i="1" s="1"/>
  <c r="S182" i="1"/>
  <c r="BC182" i="1" s="1"/>
  <c r="Q182" i="1"/>
  <c r="T182" i="1"/>
  <c r="BE182" i="1" s="1"/>
  <c r="BA182" i="1"/>
  <c r="Q128" i="1"/>
  <c r="S128" i="1"/>
  <c r="BC128" i="1" s="1"/>
  <c r="T128" i="1"/>
  <c r="BE128" i="1" s="1"/>
  <c r="BA128" i="1"/>
  <c r="Q75" i="1"/>
  <c r="S75" i="1"/>
  <c r="BC75" i="1" s="1"/>
  <c r="T75" i="1"/>
  <c r="BE75" i="1" s="1"/>
  <c r="BA75" i="1"/>
  <c r="T60" i="1"/>
  <c r="BE60" i="1" s="1"/>
  <c r="BA60" i="1"/>
  <c r="Q60" i="1"/>
  <c r="S60" i="1"/>
  <c r="BC60" i="1" s="1"/>
  <c r="Q47" i="1"/>
  <c r="BA47" i="1"/>
  <c r="S47" i="1"/>
  <c r="BC47" i="1" s="1"/>
  <c r="T47" i="1"/>
  <c r="BE47" i="1" s="1"/>
  <c r="Q20" i="1"/>
  <c r="S20" i="1"/>
  <c r="BC20" i="1" s="1"/>
  <c r="T20" i="1"/>
  <c r="BE20" i="1" s="1"/>
  <c r="BA20" i="1"/>
  <c r="AL831" i="1"/>
  <c r="AL878" i="1" s="1"/>
  <c r="S920" i="1"/>
  <c r="BC920" i="1" s="1"/>
  <c r="Q920" i="1"/>
  <c r="BA920" i="1"/>
  <c r="T920" i="1"/>
  <c r="BE920" i="1" s="1"/>
  <c r="AY1039" i="1"/>
  <c r="P1039" i="1"/>
  <c r="AY778" i="1"/>
  <c r="P778" i="1"/>
  <c r="AG838" i="1"/>
  <c r="AH838" i="1" s="1"/>
  <c r="AR838" i="1"/>
  <c r="N838" i="1"/>
  <c r="S913" i="1"/>
  <c r="BC913" i="1" s="1"/>
  <c r="Q913" i="1"/>
  <c r="T913" i="1"/>
  <c r="BE913" i="1" s="1"/>
  <c r="BA913" i="1"/>
  <c r="S909" i="1"/>
  <c r="BC909" i="1" s="1"/>
  <c r="Q909" i="1"/>
  <c r="T909" i="1"/>
  <c r="BE909" i="1" s="1"/>
  <c r="BA909" i="1"/>
  <c r="S905" i="1"/>
  <c r="BC905" i="1" s="1"/>
  <c r="Q905" i="1"/>
  <c r="T905" i="1"/>
  <c r="BE905" i="1" s="1"/>
  <c r="BA905" i="1"/>
  <c r="S901" i="1"/>
  <c r="BC901" i="1" s="1"/>
  <c r="Q901" i="1"/>
  <c r="T901" i="1"/>
  <c r="BE901" i="1" s="1"/>
  <c r="BA901" i="1"/>
  <c r="AY726" i="1"/>
  <c r="P726" i="1"/>
  <c r="N765" i="1"/>
  <c r="AR765" i="1"/>
  <c r="AG765" i="1"/>
  <c r="AH765" i="1" s="1"/>
  <c r="AY735" i="1"/>
  <c r="P735" i="1"/>
  <c r="AY706" i="1"/>
  <c r="P706" i="1"/>
  <c r="T563" i="1"/>
  <c r="BE563" i="1" s="1"/>
  <c r="BA563" i="1"/>
  <c r="Q563" i="1"/>
  <c r="S563" i="1"/>
  <c r="BC563" i="1" s="1"/>
  <c r="S503" i="1"/>
  <c r="BC503" i="1" s="1"/>
  <c r="BA503" i="1"/>
  <c r="Q503" i="1"/>
  <c r="T503" i="1"/>
  <c r="BE503" i="1" s="1"/>
  <c r="Q490" i="1"/>
  <c r="S490" i="1"/>
  <c r="BC490" i="1" s="1"/>
  <c r="T490" i="1"/>
  <c r="BE490" i="1" s="1"/>
  <c r="BA490" i="1"/>
  <c r="AJ831" i="1"/>
  <c r="P958" i="1" s="1"/>
  <c r="P456" i="1"/>
  <c r="AY456" i="1"/>
  <c r="AY412" i="1"/>
  <c r="P412" i="1"/>
  <c r="P349" i="1"/>
  <c r="AY349" i="1"/>
  <c r="N405" i="1"/>
  <c r="AR405" i="1"/>
  <c r="AG405" i="1"/>
  <c r="AH405" i="1" s="1"/>
  <c r="N393" i="1"/>
  <c r="AR393" i="1"/>
  <c r="AG393" i="1"/>
  <c r="AH393" i="1" s="1"/>
  <c r="T284" i="1"/>
  <c r="BE284" i="1" s="1"/>
  <c r="BA284" i="1"/>
  <c r="Q284" i="1"/>
  <c r="S284" i="1"/>
  <c r="BC284" i="1" s="1"/>
  <c r="S239" i="1"/>
  <c r="BC239" i="1" s="1"/>
  <c r="Q239" i="1"/>
  <c r="BA239" i="1"/>
  <c r="T239" i="1"/>
  <c r="BE239" i="1" s="1"/>
  <c r="S235" i="1"/>
  <c r="BC235" i="1" s="1"/>
  <c r="BA235" i="1"/>
  <c r="Q235" i="1"/>
  <c r="T235" i="1"/>
  <c r="BE235" i="1" s="1"/>
  <c r="T205" i="1"/>
  <c r="BE205" i="1" s="1"/>
  <c r="BA205" i="1"/>
  <c r="Q205" i="1"/>
  <c r="S205" i="1"/>
  <c r="BC205" i="1" s="1"/>
  <c r="AY122" i="1"/>
  <c r="P122" i="1"/>
  <c r="Q692" i="1"/>
  <c r="S692" i="1"/>
  <c r="BC692" i="1" s="1"/>
  <c r="T692" i="1"/>
  <c r="BE692" i="1" s="1"/>
  <c r="BA692" i="1"/>
  <c r="Q628" i="1"/>
  <c r="S628" i="1"/>
  <c r="BC628" i="1" s="1"/>
  <c r="T628" i="1"/>
  <c r="BE628" i="1" s="1"/>
  <c r="BA628" i="1"/>
  <c r="Q861" i="1"/>
  <c r="BA861" i="1"/>
  <c r="S861" i="1"/>
  <c r="BC861" i="1" s="1"/>
  <c r="T861" i="1"/>
  <c r="BE861" i="1" s="1"/>
  <c r="S757" i="1"/>
  <c r="BC757" i="1" s="1"/>
  <c r="T757" i="1"/>
  <c r="BE757" i="1" s="1"/>
  <c r="BA757" i="1"/>
  <c r="Q757" i="1"/>
  <c r="AY710" i="1"/>
  <c r="P710" i="1"/>
  <c r="Q678" i="1"/>
  <c r="S678" i="1"/>
  <c r="BC678" i="1" s="1"/>
  <c r="T678" i="1"/>
  <c r="BE678" i="1" s="1"/>
  <c r="BA678" i="1"/>
  <c r="Q614" i="1"/>
  <c r="S614" i="1"/>
  <c r="BC614" i="1" s="1"/>
  <c r="T614" i="1"/>
  <c r="BE614" i="1" s="1"/>
  <c r="BA614" i="1"/>
  <c r="AY733" i="1"/>
  <c r="P733" i="1"/>
  <c r="Q669" i="1"/>
  <c r="S669" i="1"/>
  <c r="BC669" i="1" s="1"/>
  <c r="T669" i="1"/>
  <c r="BE669" i="1" s="1"/>
  <c r="BA669" i="1"/>
  <c r="P455" i="1"/>
  <c r="AY455" i="1"/>
  <c r="P348" i="1"/>
  <c r="AY348" i="1"/>
  <c r="O1055" i="1"/>
  <c r="BA1055" i="1" s="1"/>
  <c r="O1057" i="1"/>
  <c r="BA1057" i="1" s="1"/>
  <c r="BA1053" i="1"/>
  <c r="S1030" i="1"/>
  <c r="BC1030" i="1" s="1"/>
  <c r="Q1030" i="1"/>
  <c r="T1030" i="1"/>
  <c r="BE1030" i="1" s="1"/>
  <c r="BA1030" i="1"/>
  <c r="S919" i="1"/>
  <c r="BC919" i="1" s="1"/>
  <c r="Q919" i="1"/>
  <c r="BA919" i="1"/>
  <c r="T919" i="1"/>
  <c r="BE919" i="1" s="1"/>
  <c r="S825" i="1"/>
  <c r="BC825" i="1" s="1"/>
  <c r="BA825" i="1"/>
  <c r="Q825" i="1"/>
  <c r="T825" i="1"/>
  <c r="BE825" i="1" s="1"/>
  <c r="S781" i="1"/>
  <c r="BC781" i="1" s="1"/>
  <c r="BA781" i="1"/>
  <c r="Q781" i="1"/>
  <c r="T781" i="1"/>
  <c r="BE781" i="1" s="1"/>
  <c r="Q676" i="1"/>
  <c r="S676" i="1"/>
  <c r="BC676" i="1" s="1"/>
  <c r="T676" i="1"/>
  <c r="BE676" i="1" s="1"/>
  <c r="BA676" i="1"/>
  <c r="Q644" i="1"/>
  <c r="S644" i="1"/>
  <c r="BC644" i="1" s="1"/>
  <c r="T644" i="1"/>
  <c r="BE644" i="1" s="1"/>
  <c r="BA644" i="1"/>
  <c r="Q612" i="1"/>
  <c r="S612" i="1"/>
  <c r="BC612" i="1" s="1"/>
  <c r="T612" i="1"/>
  <c r="BE612" i="1" s="1"/>
  <c r="BA612" i="1"/>
  <c r="AY724" i="1"/>
  <c r="P724" i="1"/>
  <c r="Q694" i="1"/>
  <c r="S694" i="1"/>
  <c r="BC694" i="1" s="1"/>
  <c r="T694" i="1"/>
  <c r="BE694" i="1" s="1"/>
  <c r="BA694" i="1"/>
  <c r="Q662" i="1"/>
  <c r="S662" i="1"/>
  <c r="BC662" i="1" s="1"/>
  <c r="T662" i="1"/>
  <c r="BE662" i="1" s="1"/>
  <c r="BA662" i="1"/>
  <c r="Q630" i="1"/>
  <c r="S630" i="1"/>
  <c r="BC630" i="1" s="1"/>
  <c r="T630" i="1"/>
  <c r="BE630" i="1" s="1"/>
  <c r="BA630" i="1"/>
  <c r="AY717" i="1"/>
  <c r="P717" i="1"/>
  <c r="Q685" i="1"/>
  <c r="S685" i="1"/>
  <c r="BC685" i="1" s="1"/>
  <c r="T685" i="1"/>
  <c r="BE685" i="1" s="1"/>
  <c r="BA685" i="1"/>
  <c r="Q653" i="1"/>
  <c r="S653" i="1"/>
  <c r="BC653" i="1" s="1"/>
  <c r="T653" i="1"/>
  <c r="BE653" i="1" s="1"/>
  <c r="BA653" i="1"/>
  <c r="Q621" i="1"/>
  <c r="S621" i="1"/>
  <c r="BC621" i="1" s="1"/>
  <c r="T621" i="1"/>
  <c r="BE621" i="1" s="1"/>
  <c r="BA621" i="1"/>
  <c r="Q593" i="1"/>
  <c r="S593" i="1"/>
  <c r="BC593" i="1" s="1"/>
  <c r="BA593" i="1"/>
  <c r="T593" i="1"/>
  <c r="BE593" i="1" s="1"/>
  <c r="Q577" i="1"/>
  <c r="S577" i="1"/>
  <c r="BC577" i="1" s="1"/>
  <c r="BA577" i="1"/>
  <c r="T577" i="1"/>
  <c r="BE577" i="1" s="1"/>
  <c r="Q479" i="1"/>
  <c r="S479" i="1"/>
  <c r="BC479" i="1" s="1"/>
  <c r="BA479" i="1"/>
  <c r="T479" i="1"/>
  <c r="BE479" i="1" s="1"/>
  <c r="Q419" i="1"/>
  <c r="S419" i="1"/>
  <c r="BC419" i="1" s="1"/>
  <c r="T419" i="1"/>
  <c r="BE419" i="1" s="1"/>
  <c r="BA419" i="1"/>
  <c r="AG390" i="1"/>
  <c r="AH390" i="1" s="1"/>
  <c r="N390" i="1"/>
  <c r="AR390" i="1"/>
  <c r="T340" i="1"/>
  <c r="BE340" i="1" s="1"/>
  <c r="BA340" i="1"/>
  <c r="Q340" i="1"/>
  <c r="S340" i="1"/>
  <c r="BC340" i="1" s="1"/>
  <c r="Q307" i="1"/>
  <c r="S307" i="1"/>
  <c r="BC307" i="1" s="1"/>
  <c r="T307" i="1"/>
  <c r="BE307" i="1" s="1"/>
  <c r="BA307" i="1"/>
  <c r="AY332" i="1"/>
  <c r="P332" i="1"/>
  <c r="AY280" i="1"/>
  <c r="P280" i="1"/>
  <c r="T274" i="1"/>
  <c r="BE274" i="1" s="1"/>
  <c r="BA274" i="1"/>
  <c r="Q274" i="1"/>
  <c r="S274" i="1"/>
  <c r="BC274" i="1" s="1"/>
  <c r="T216" i="1"/>
  <c r="BE216" i="1" s="1"/>
  <c r="BA216" i="1"/>
  <c r="Q216" i="1"/>
  <c r="S216" i="1"/>
  <c r="BC216" i="1" s="1"/>
  <c r="T203" i="1"/>
  <c r="BE203" i="1" s="1"/>
  <c r="BA203" i="1"/>
  <c r="Q203" i="1"/>
  <c r="S203" i="1"/>
  <c r="BC203" i="1" s="1"/>
  <c r="Q118" i="1"/>
  <c r="S118" i="1"/>
  <c r="BC118" i="1" s="1"/>
  <c r="T118" i="1"/>
  <c r="BE118" i="1" s="1"/>
  <c r="BA118" i="1"/>
  <c r="AY103" i="1"/>
  <c r="P103" i="1"/>
  <c r="Q87" i="1"/>
  <c r="S87" i="1"/>
  <c r="BC87" i="1" s="1"/>
  <c r="T87" i="1"/>
  <c r="BE87" i="1" s="1"/>
  <c r="BA87" i="1"/>
  <c r="Q79" i="1"/>
  <c r="S79" i="1"/>
  <c r="BC79" i="1" s="1"/>
  <c r="T79" i="1"/>
  <c r="BE79" i="1" s="1"/>
  <c r="BA79" i="1"/>
  <c r="S42" i="1"/>
  <c r="BC42" i="1" s="1"/>
  <c r="T42" i="1"/>
  <c r="BE42" i="1" s="1"/>
  <c r="BA42" i="1"/>
  <c r="Q42" i="1"/>
  <c r="AY99" i="1"/>
  <c r="P99" i="1"/>
  <c r="Q92" i="1"/>
  <c r="S92" i="1"/>
  <c r="BC92" i="1" s="1"/>
  <c r="T92" i="1"/>
  <c r="BE92" i="1" s="1"/>
  <c r="BA92" i="1"/>
  <c r="Q799" i="1"/>
  <c r="BA799" i="1"/>
  <c r="S799" i="1"/>
  <c r="BC799" i="1" s="1"/>
  <c r="T799" i="1"/>
  <c r="BE799" i="1" s="1"/>
  <c r="BE1023" i="1"/>
  <c r="S780" i="1"/>
  <c r="BC780" i="1" s="1"/>
  <c r="BA780" i="1"/>
  <c r="Q780" i="1"/>
  <c r="T780" i="1"/>
  <c r="BE780" i="1" s="1"/>
  <c r="Q680" i="1"/>
  <c r="S680" i="1"/>
  <c r="BC680" i="1" s="1"/>
  <c r="T680" i="1"/>
  <c r="BE680" i="1" s="1"/>
  <c r="BA680" i="1"/>
  <c r="Q648" i="1"/>
  <c r="S648" i="1"/>
  <c r="BC648" i="1" s="1"/>
  <c r="T648" i="1"/>
  <c r="BE648" i="1" s="1"/>
  <c r="BA648" i="1"/>
  <c r="Q616" i="1"/>
  <c r="S616" i="1"/>
  <c r="BC616" i="1" s="1"/>
  <c r="T616" i="1"/>
  <c r="BE616" i="1" s="1"/>
  <c r="BA616" i="1"/>
  <c r="AY731" i="1"/>
  <c r="P731" i="1"/>
  <c r="Q683" i="1"/>
  <c r="S683" i="1"/>
  <c r="BC683" i="1" s="1"/>
  <c r="T683" i="1"/>
  <c r="BE683" i="1" s="1"/>
  <c r="BA683" i="1"/>
  <c r="Q651" i="1"/>
  <c r="S651" i="1"/>
  <c r="BC651" i="1" s="1"/>
  <c r="T651" i="1"/>
  <c r="BE651" i="1" s="1"/>
  <c r="BA651" i="1"/>
  <c r="Q619" i="1"/>
  <c r="S619" i="1"/>
  <c r="BC619" i="1" s="1"/>
  <c r="T619" i="1"/>
  <c r="BE619" i="1" s="1"/>
  <c r="BA619" i="1"/>
  <c r="Q666" i="1"/>
  <c r="S666" i="1"/>
  <c r="BC666" i="1" s="1"/>
  <c r="T666" i="1"/>
  <c r="BE666" i="1" s="1"/>
  <c r="BA666" i="1"/>
  <c r="Q634" i="1"/>
  <c r="S634" i="1"/>
  <c r="BC634" i="1" s="1"/>
  <c r="T634" i="1"/>
  <c r="BE634" i="1" s="1"/>
  <c r="BA634" i="1"/>
  <c r="Q689" i="1"/>
  <c r="S689" i="1"/>
  <c r="BC689" i="1" s="1"/>
  <c r="T689" i="1"/>
  <c r="BE689" i="1" s="1"/>
  <c r="BA689" i="1"/>
  <c r="Q657" i="1"/>
  <c r="S657" i="1"/>
  <c r="BC657" i="1" s="1"/>
  <c r="T657" i="1"/>
  <c r="BE657" i="1" s="1"/>
  <c r="BA657" i="1"/>
  <c r="Q625" i="1"/>
  <c r="S625" i="1"/>
  <c r="BC625" i="1" s="1"/>
  <c r="T625" i="1"/>
  <c r="BE625" i="1" s="1"/>
  <c r="BA625" i="1"/>
  <c r="T572" i="1"/>
  <c r="BE572" i="1" s="1"/>
  <c r="BA572" i="1"/>
  <c r="Q572" i="1"/>
  <c r="S572" i="1"/>
  <c r="BC572" i="1" s="1"/>
  <c r="T552" i="1"/>
  <c r="BE552" i="1" s="1"/>
  <c r="BA552" i="1"/>
  <c r="Q552" i="1"/>
  <c r="S552" i="1"/>
  <c r="BC552" i="1" s="1"/>
  <c r="Q578" i="1"/>
  <c r="S578" i="1"/>
  <c r="BC578" i="1" s="1"/>
  <c r="BA578" i="1"/>
  <c r="T578" i="1"/>
  <c r="BE578" i="1" s="1"/>
  <c r="Q476" i="1"/>
  <c r="S476" i="1"/>
  <c r="BC476" i="1" s="1"/>
  <c r="BA476" i="1"/>
  <c r="T476" i="1"/>
  <c r="BE476" i="1" s="1"/>
  <c r="Q494" i="1"/>
  <c r="S494" i="1"/>
  <c r="BC494" i="1" s="1"/>
  <c r="T494" i="1"/>
  <c r="BE494" i="1" s="1"/>
  <c r="BA494" i="1"/>
  <c r="P462" i="1"/>
  <c r="AY462" i="1"/>
  <c r="AY402" i="1"/>
  <c r="P402" i="1"/>
  <c r="AG406" i="1"/>
  <c r="AH406" i="1" s="1"/>
  <c r="N406" i="1"/>
  <c r="AR406" i="1"/>
  <c r="AY347" i="1"/>
  <c r="P347" i="1"/>
  <c r="Q302" i="1"/>
  <c r="S302" i="1"/>
  <c r="BC302" i="1" s="1"/>
  <c r="T302" i="1"/>
  <c r="BE302" i="1" s="1"/>
  <c r="BA302" i="1"/>
  <c r="T286" i="1"/>
  <c r="BE286" i="1" s="1"/>
  <c r="BA286" i="1"/>
  <c r="Q286" i="1"/>
  <c r="S286" i="1"/>
  <c r="BC286" i="1" s="1"/>
  <c r="Q308" i="1"/>
  <c r="S308" i="1"/>
  <c r="BC308" i="1" s="1"/>
  <c r="T308" i="1"/>
  <c r="BE308" i="1" s="1"/>
  <c r="BA308" i="1"/>
  <c r="T273" i="1"/>
  <c r="BE273" i="1" s="1"/>
  <c r="BA273" i="1"/>
  <c r="Q273" i="1"/>
  <c r="S273" i="1"/>
  <c r="BC273" i="1" s="1"/>
  <c r="T206" i="1"/>
  <c r="BE206" i="1" s="1"/>
  <c r="BA206" i="1"/>
  <c r="Q206" i="1"/>
  <c r="S206" i="1"/>
  <c r="BC206" i="1" s="1"/>
  <c r="T217" i="1"/>
  <c r="BE217" i="1" s="1"/>
  <c r="BA217" i="1"/>
  <c r="Q217" i="1"/>
  <c r="S217" i="1"/>
  <c r="BC217" i="1" s="1"/>
  <c r="AY107" i="1"/>
  <c r="P107" i="1"/>
  <c r="Q127" i="1"/>
  <c r="S127" i="1"/>
  <c r="BC127" i="1" s="1"/>
  <c r="T127" i="1"/>
  <c r="BE127" i="1" s="1"/>
  <c r="BA127" i="1"/>
  <c r="T62" i="1"/>
  <c r="BE62" i="1" s="1"/>
  <c r="BA62" i="1"/>
  <c r="Q62" i="1"/>
  <c r="S62" i="1"/>
  <c r="BC62" i="1" s="1"/>
  <c r="Q93" i="1"/>
  <c r="S93" i="1"/>
  <c r="BC93" i="1" s="1"/>
  <c r="T93" i="1"/>
  <c r="BE93" i="1" s="1"/>
  <c r="BA93" i="1"/>
  <c r="Q86" i="1"/>
  <c r="S86" i="1"/>
  <c r="BC86" i="1" s="1"/>
  <c r="T86" i="1"/>
  <c r="BE86" i="1" s="1"/>
  <c r="BA86" i="1"/>
  <c r="Q78" i="1"/>
  <c r="S78" i="1"/>
  <c r="BC78" i="1" s="1"/>
  <c r="T78" i="1"/>
  <c r="BE78" i="1" s="1"/>
  <c r="BA78" i="1"/>
  <c r="S73" i="1"/>
  <c r="BC73" i="1" s="1"/>
  <c r="T73" i="1"/>
  <c r="BE73" i="1" s="1"/>
  <c r="Q73" i="1"/>
  <c r="BA73" i="1"/>
  <c r="T58" i="1"/>
  <c r="BE58" i="1" s="1"/>
  <c r="BA58" i="1"/>
  <c r="Q58" i="1"/>
  <c r="S58" i="1"/>
  <c r="BC58" i="1" s="1"/>
  <c r="T30" i="1"/>
  <c r="BE30" i="1" s="1"/>
  <c r="BA30" i="1"/>
  <c r="Q30" i="1"/>
  <c r="S30" i="1"/>
  <c r="BC30" i="1" s="1"/>
  <c r="AY109" i="1"/>
  <c r="P109" i="1"/>
  <c r="T1040" i="1"/>
  <c r="BE1040" i="1" s="1"/>
  <c r="S1040" i="1"/>
  <c r="BC1040" i="1" s="1"/>
  <c r="BA1040" i="1"/>
  <c r="Q1040" i="1"/>
  <c r="S807" i="1"/>
  <c r="BC807" i="1" s="1"/>
  <c r="BA807" i="1"/>
  <c r="Q807" i="1"/>
  <c r="T807" i="1"/>
  <c r="BE807" i="1" s="1"/>
  <c r="AY738" i="1"/>
  <c r="P738" i="1"/>
  <c r="Q684" i="1"/>
  <c r="S684" i="1"/>
  <c r="BC684" i="1" s="1"/>
  <c r="T684" i="1"/>
  <c r="BE684" i="1" s="1"/>
  <c r="BA684" i="1"/>
  <c r="Q652" i="1"/>
  <c r="S652" i="1"/>
  <c r="BC652" i="1" s="1"/>
  <c r="T652" i="1"/>
  <c r="BE652" i="1" s="1"/>
  <c r="BA652" i="1"/>
  <c r="Q620" i="1"/>
  <c r="S620" i="1"/>
  <c r="BC620" i="1" s="1"/>
  <c r="T620" i="1"/>
  <c r="BE620" i="1" s="1"/>
  <c r="BA620" i="1"/>
  <c r="Q869" i="1"/>
  <c r="BA869" i="1"/>
  <c r="S869" i="1"/>
  <c r="BC869" i="1" s="1"/>
  <c r="T869" i="1"/>
  <c r="BE869" i="1" s="1"/>
  <c r="S739" i="1"/>
  <c r="BC739" i="1" s="1"/>
  <c r="T739" i="1"/>
  <c r="BE739" i="1" s="1"/>
  <c r="BA739" i="1"/>
  <c r="Q739" i="1"/>
  <c r="Q712" i="1"/>
  <c r="S712" i="1"/>
  <c r="BC712" i="1" s="1"/>
  <c r="BA712" i="1"/>
  <c r="T712" i="1"/>
  <c r="BE712" i="1" s="1"/>
  <c r="Q670" i="1"/>
  <c r="S670" i="1"/>
  <c r="BC670" i="1" s="1"/>
  <c r="T670" i="1"/>
  <c r="BE670" i="1" s="1"/>
  <c r="BA670" i="1"/>
  <c r="Q638" i="1"/>
  <c r="S638" i="1"/>
  <c r="BC638" i="1" s="1"/>
  <c r="T638" i="1"/>
  <c r="BE638" i="1" s="1"/>
  <c r="BA638" i="1"/>
  <c r="Q606" i="1"/>
  <c r="S606" i="1"/>
  <c r="BC606" i="1" s="1"/>
  <c r="T606" i="1"/>
  <c r="BE606" i="1" s="1"/>
  <c r="BA606" i="1"/>
  <c r="AY737" i="1"/>
  <c r="P737" i="1"/>
  <c r="AY704" i="1"/>
  <c r="P704" i="1"/>
  <c r="Q579" i="1"/>
  <c r="S579" i="1"/>
  <c r="BC579" i="1" s="1"/>
  <c r="BA579" i="1"/>
  <c r="T579" i="1"/>
  <c r="BE579" i="1" s="1"/>
  <c r="T558" i="1"/>
  <c r="BE558" i="1" s="1"/>
  <c r="BA558" i="1"/>
  <c r="Q558" i="1"/>
  <c r="S558" i="1"/>
  <c r="BC558" i="1" s="1"/>
  <c r="AY408" i="1"/>
  <c r="P408" i="1"/>
  <c r="AY404" i="1"/>
  <c r="P404" i="1"/>
  <c r="Q449" i="1"/>
  <c r="S449" i="1"/>
  <c r="BC449" i="1" s="1"/>
  <c r="T449" i="1"/>
  <c r="BE449" i="1" s="1"/>
  <c r="BA449" i="1"/>
  <c r="Q445" i="1"/>
  <c r="S445" i="1"/>
  <c r="BC445" i="1" s="1"/>
  <c r="T445" i="1"/>
  <c r="BE445" i="1" s="1"/>
  <c r="BA445" i="1"/>
  <c r="Q441" i="1"/>
  <c r="S441" i="1"/>
  <c r="BC441" i="1" s="1"/>
  <c r="T441" i="1"/>
  <c r="BE441" i="1" s="1"/>
  <c r="BA441" i="1"/>
  <c r="Q437" i="1"/>
  <c r="S437" i="1"/>
  <c r="BC437" i="1" s="1"/>
  <c r="T437" i="1"/>
  <c r="BE437" i="1" s="1"/>
  <c r="BA437" i="1"/>
  <c r="Q433" i="1"/>
  <c r="S433" i="1"/>
  <c r="BC433" i="1" s="1"/>
  <c r="T433" i="1"/>
  <c r="BE433" i="1" s="1"/>
  <c r="BA433" i="1"/>
  <c r="Q429" i="1"/>
  <c r="S429" i="1"/>
  <c r="BC429" i="1" s="1"/>
  <c r="T429" i="1"/>
  <c r="BE429" i="1" s="1"/>
  <c r="BA429" i="1"/>
  <c r="Q425" i="1"/>
  <c r="S425" i="1"/>
  <c r="BC425" i="1" s="1"/>
  <c r="T425" i="1"/>
  <c r="BE425" i="1" s="1"/>
  <c r="BA425" i="1"/>
  <c r="AY407" i="1"/>
  <c r="P407" i="1"/>
  <c r="Q315" i="1"/>
  <c r="S315" i="1"/>
  <c r="BC315" i="1" s="1"/>
  <c r="T315" i="1"/>
  <c r="BE315" i="1" s="1"/>
  <c r="BA315" i="1"/>
  <c r="P377" i="1"/>
  <c r="AY377" i="1"/>
  <c r="AY334" i="1"/>
  <c r="P334" i="1"/>
  <c r="Q321" i="1"/>
  <c r="S321" i="1"/>
  <c r="BC321" i="1" s="1"/>
  <c r="T321" i="1"/>
  <c r="BE321" i="1" s="1"/>
  <c r="BA321" i="1"/>
  <c r="Q289" i="1"/>
  <c r="S289" i="1"/>
  <c r="BC289" i="1" s="1"/>
  <c r="T289" i="1"/>
  <c r="BE289" i="1" s="1"/>
  <c r="BA289" i="1"/>
  <c r="Q312" i="1"/>
  <c r="S312" i="1"/>
  <c r="BC312" i="1" s="1"/>
  <c r="T312" i="1"/>
  <c r="BE312" i="1" s="1"/>
  <c r="BA312" i="1"/>
  <c r="T276" i="1"/>
  <c r="BE276" i="1" s="1"/>
  <c r="BA276" i="1"/>
  <c r="Q276" i="1"/>
  <c r="S276" i="1"/>
  <c r="BC276" i="1" s="1"/>
  <c r="Q224" i="1"/>
  <c r="S224" i="1"/>
  <c r="BC224" i="1" s="1"/>
  <c r="BA224" i="1"/>
  <c r="T224" i="1"/>
  <c r="BE224" i="1" s="1"/>
  <c r="T196" i="1"/>
  <c r="BE196" i="1" s="1"/>
  <c r="BA196" i="1"/>
  <c r="Q196" i="1"/>
  <c r="S196" i="1"/>
  <c r="BC196" i="1" s="1"/>
  <c r="T207" i="1"/>
  <c r="BE207" i="1" s="1"/>
  <c r="BA207" i="1"/>
  <c r="Q207" i="1"/>
  <c r="S207" i="1"/>
  <c r="BC207" i="1" s="1"/>
  <c r="S188" i="1"/>
  <c r="BC188" i="1" s="1"/>
  <c r="T188" i="1"/>
  <c r="BE188" i="1" s="1"/>
  <c r="Q188" i="1"/>
  <c r="BA188" i="1"/>
  <c r="Q117" i="1"/>
  <c r="S117" i="1"/>
  <c r="BC117" i="1" s="1"/>
  <c r="T117" i="1"/>
  <c r="BE117" i="1" s="1"/>
  <c r="BA117" i="1"/>
  <c r="AY102" i="1"/>
  <c r="P102" i="1"/>
  <c r="T57" i="1"/>
  <c r="BE57" i="1" s="1"/>
  <c r="BA57" i="1"/>
  <c r="Q57" i="1"/>
  <c r="S57" i="1"/>
  <c r="BC57" i="1" s="1"/>
  <c r="Q85" i="1"/>
  <c r="S85" i="1"/>
  <c r="BC85" i="1" s="1"/>
  <c r="T85" i="1"/>
  <c r="BE85" i="1" s="1"/>
  <c r="BA85" i="1"/>
  <c r="T53" i="1"/>
  <c r="BE53" i="1" s="1"/>
  <c r="BA53" i="1"/>
  <c r="Q53" i="1"/>
  <c r="S53" i="1"/>
  <c r="BC53" i="1" s="1"/>
  <c r="T33" i="1"/>
  <c r="BE33" i="1" s="1"/>
  <c r="BA33" i="1"/>
  <c r="Q33" i="1"/>
  <c r="S33" i="1"/>
  <c r="BC33" i="1" s="1"/>
  <c r="Q17" i="1"/>
  <c r="S17" i="1"/>
  <c r="BC17" i="1" s="1"/>
  <c r="T17" i="1"/>
  <c r="BE17" i="1" s="1"/>
  <c r="BA17" i="1"/>
  <c r="AK831" i="1"/>
  <c r="AK955" i="1" s="1"/>
  <c r="N11" i="1"/>
  <c r="AG11" i="1"/>
  <c r="AH11" i="1" s="1"/>
  <c r="AR11" i="1"/>
  <c r="T66" i="1"/>
  <c r="BE66" i="1" s="1"/>
  <c r="BA66" i="1"/>
  <c r="Q66" i="1"/>
  <c r="S66" i="1"/>
  <c r="BC66" i="1" s="1"/>
  <c r="Q88" i="1"/>
  <c r="S88" i="1"/>
  <c r="BC88" i="1" s="1"/>
  <c r="T88" i="1"/>
  <c r="BE88" i="1" s="1"/>
  <c r="BA88" i="1"/>
  <c r="T49" i="1"/>
  <c r="BE49" i="1" s="1"/>
  <c r="BA49" i="1"/>
  <c r="Q49" i="1"/>
  <c r="S49" i="1"/>
  <c r="BC49" i="1" s="1"/>
  <c r="T1044" i="1"/>
  <c r="BE1044" i="1" s="1"/>
  <c r="BA1044" i="1"/>
  <c r="Q1044" i="1"/>
  <c r="S1044" i="1"/>
  <c r="BC1044" i="1" s="1"/>
  <c r="S860" i="1"/>
  <c r="BC860" i="1" s="1"/>
  <c r="Q860" i="1"/>
  <c r="BA860" i="1"/>
  <c r="T860" i="1"/>
  <c r="BE860" i="1" s="1"/>
  <c r="P882" i="1"/>
  <c r="S741" i="1"/>
  <c r="BC741" i="1" s="1"/>
  <c r="T741" i="1"/>
  <c r="BE741" i="1" s="1"/>
  <c r="BA741" i="1"/>
  <c r="Q741" i="1"/>
  <c r="Q672" i="1"/>
  <c r="S672" i="1"/>
  <c r="BC672" i="1" s="1"/>
  <c r="T672" i="1"/>
  <c r="BE672" i="1" s="1"/>
  <c r="BA672" i="1"/>
  <c r="Q640" i="1"/>
  <c r="S640" i="1"/>
  <c r="BC640" i="1" s="1"/>
  <c r="T640" i="1"/>
  <c r="BE640" i="1" s="1"/>
  <c r="BA640" i="1"/>
  <c r="Q608" i="1"/>
  <c r="S608" i="1"/>
  <c r="BC608" i="1" s="1"/>
  <c r="T608" i="1"/>
  <c r="BE608" i="1" s="1"/>
  <c r="BA608" i="1"/>
  <c r="P856" i="1"/>
  <c r="AY856" i="1"/>
  <c r="S742" i="1"/>
  <c r="BC742" i="1" s="1"/>
  <c r="T742" i="1"/>
  <c r="BE742" i="1" s="1"/>
  <c r="BA742" i="1"/>
  <c r="Q742" i="1"/>
  <c r="S743" i="1"/>
  <c r="BC743" i="1" s="1"/>
  <c r="T743" i="1"/>
  <c r="BE743" i="1" s="1"/>
  <c r="BA743" i="1"/>
  <c r="Q743" i="1"/>
  <c r="AK877" i="1"/>
  <c r="Q675" i="1"/>
  <c r="S675" i="1"/>
  <c r="BC675" i="1" s="1"/>
  <c r="T675" i="1"/>
  <c r="BE675" i="1" s="1"/>
  <c r="BA675" i="1"/>
  <c r="Q643" i="1"/>
  <c r="S643" i="1"/>
  <c r="BC643" i="1" s="1"/>
  <c r="T643" i="1"/>
  <c r="BE643" i="1" s="1"/>
  <c r="BA643" i="1"/>
  <c r="Q611" i="1"/>
  <c r="S611" i="1"/>
  <c r="BC611" i="1" s="1"/>
  <c r="T611" i="1"/>
  <c r="BE611" i="1" s="1"/>
  <c r="BA611" i="1"/>
  <c r="AY709" i="1"/>
  <c r="P709" i="1"/>
  <c r="Q690" i="1"/>
  <c r="S690" i="1"/>
  <c r="BC690" i="1" s="1"/>
  <c r="T690" i="1"/>
  <c r="BE690" i="1" s="1"/>
  <c r="BA690" i="1"/>
  <c r="Q658" i="1"/>
  <c r="S658" i="1"/>
  <c r="BC658" i="1" s="1"/>
  <c r="T658" i="1"/>
  <c r="BE658" i="1" s="1"/>
  <c r="BA658" i="1"/>
  <c r="Q626" i="1"/>
  <c r="S626" i="1"/>
  <c r="BC626" i="1" s="1"/>
  <c r="T626" i="1"/>
  <c r="BE626" i="1" s="1"/>
  <c r="BA626" i="1"/>
  <c r="Q681" i="1"/>
  <c r="S681" i="1"/>
  <c r="BC681" i="1" s="1"/>
  <c r="T681" i="1"/>
  <c r="BE681" i="1" s="1"/>
  <c r="BA681" i="1"/>
  <c r="Q649" i="1"/>
  <c r="S649" i="1"/>
  <c r="BC649" i="1" s="1"/>
  <c r="T649" i="1"/>
  <c r="BE649" i="1" s="1"/>
  <c r="BA649" i="1"/>
  <c r="Q617" i="1"/>
  <c r="S617" i="1"/>
  <c r="BC617" i="1" s="1"/>
  <c r="T617" i="1"/>
  <c r="BE617" i="1" s="1"/>
  <c r="BA617" i="1"/>
  <c r="T559" i="1"/>
  <c r="BE559" i="1" s="1"/>
  <c r="BA559" i="1"/>
  <c r="Q559" i="1"/>
  <c r="S559" i="1"/>
  <c r="BC559" i="1" s="1"/>
  <c r="Q497" i="1"/>
  <c r="S497" i="1"/>
  <c r="BC497" i="1" s="1"/>
  <c r="T497" i="1"/>
  <c r="BE497" i="1" s="1"/>
  <c r="BA497" i="1"/>
  <c r="Q478" i="1"/>
  <c r="S478" i="1"/>
  <c r="BC478" i="1" s="1"/>
  <c r="BA478" i="1"/>
  <c r="T478" i="1"/>
  <c r="BE478" i="1" s="1"/>
  <c r="AY467" i="1"/>
  <c r="P467" i="1"/>
  <c r="P460" i="1"/>
  <c r="AY460" i="1"/>
  <c r="Q394" i="1"/>
  <c r="S394" i="1"/>
  <c r="BC394" i="1" s="1"/>
  <c r="T394" i="1"/>
  <c r="BE394" i="1" s="1"/>
  <c r="BA394" i="1"/>
  <c r="P353" i="1"/>
  <c r="AY353" i="1"/>
  <c r="Q319" i="1"/>
  <c r="S319" i="1"/>
  <c r="BC319" i="1" s="1"/>
  <c r="T319" i="1"/>
  <c r="BE319" i="1" s="1"/>
  <c r="BA319" i="1"/>
  <c r="Q310" i="1"/>
  <c r="S310" i="1"/>
  <c r="BC310" i="1" s="1"/>
  <c r="T310" i="1"/>
  <c r="BE310" i="1" s="1"/>
  <c r="BA310" i="1"/>
  <c r="Q325" i="1"/>
  <c r="S325" i="1"/>
  <c r="BC325" i="1" s="1"/>
  <c r="T325" i="1"/>
  <c r="BE325" i="1" s="1"/>
  <c r="BA325" i="1"/>
  <c r="Q293" i="1"/>
  <c r="S293" i="1"/>
  <c r="BC293" i="1" s="1"/>
  <c r="T293" i="1"/>
  <c r="BE293" i="1" s="1"/>
  <c r="BA293" i="1"/>
  <c r="Q316" i="1"/>
  <c r="S316" i="1"/>
  <c r="BC316" i="1" s="1"/>
  <c r="T316" i="1"/>
  <c r="BE316" i="1" s="1"/>
  <c r="BA316" i="1"/>
  <c r="T197" i="1"/>
  <c r="BE197" i="1" s="1"/>
  <c r="BA197" i="1"/>
  <c r="Q197" i="1"/>
  <c r="S197" i="1"/>
  <c r="BC197" i="1" s="1"/>
  <c r="AY108" i="1"/>
  <c r="P108" i="1"/>
  <c r="Q74" i="1"/>
  <c r="S74" i="1"/>
  <c r="BC74" i="1" s="1"/>
  <c r="T74" i="1"/>
  <c r="BE74" i="1" s="1"/>
  <c r="BA74" i="1"/>
  <c r="S921" i="1"/>
  <c r="BC921" i="1" s="1"/>
  <c r="Q921" i="1"/>
  <c r="T921" i="1"/>
  <c r="BE921" i="1" s="1"/>
  <c r="BA921" i="1"/>
  <c r="AY730" i="1"/>
  <c r="P730" i="1"/>
  <c r="T809" i="1"/>
  <c r="BE809" i="1" s="1"/>
  <c r="Q809" i="1"/>
  <c r="BA809" i="1"/>
  <c r="S809" i="1"/>
  <c r="BC809" i="1" s="1"/>
  <c r="T752" i="1"/>
  <c r="BE752" i="1" s="1"/>
  <c r="BA752" i="1"/>
  <c r="S752" i="1"/>
  <c r="BC752" i="1" s="1"/>
  <c r="Q752" i="1"/>
  <c r="AY751" i="1"/>
  <c r="P751" i="1"/>
  <c r="Q679" i="1"/>
  <c r="S679" i="1"/>
  <c r="BC679" i="1" s="1"/>
  <c r="T679" i="1"/>
  <c r="BE679" i="1" s="1"/>
  <c r="BA679" i="1"/>
  <c r="Q647" i="1"/>
  <c r="S647" i="1"/>
  <c r="BC647" i="1" s="1"/>
  <c r="T647" i="1"/>
  <c r="BE647" i="1" s="1"/>
  <c r="BA647" i="1"/>
  <c r="Q615" i="1"/>
  <c r="S615" i="1"/>
  <c r="BC615" i="1" s="1"/>
  <c r="T615" i="1"/>
  <c r="BE615" i="1" s="1"/>
  <c r="BA615" i="1"/>
  <c r="AY732" i="1"/>
  <c r="P732" i="1"/>
  <c r="AY725" i="1"/>
  <c r="P725" i="1"/>
  <c r="Q589" i="1"/>
  <c r="S589" i="1"/>
  <c r="BC589" i="1" s="1"/>
  <c r="BA589" i="1"/>
  <c r="T589" i="1"/>
  <c r="BE589" i="1" s="1"/>
  <c r="Q573" i="1"/>
  <c r="S573" i="1"/>
  <c r="BC573" i="1" s="1"/>
  <c r="BA573" i="1"/>
  <c r="T573" i="1"/>
  <c r="BE573" i="1" s="1"/>
  <c r="T421" i="1"/>
  <c r="BE421" i="1" s="1"/>
  <c r="Q421" i="1"/>
  <c r="S421" i="1"/>
  <c r="BC421" i="1" s="1"/>
  <c r="BA421" i="1"/>
  <c r="Q416" i="1"/>
  <c r="BA416" i="1"/>
  <c r="S416" i="1"/>
  <c r="BC416" i="1" s="1"/>
  <c r="T416" i="1"/>
  <c r="BE416" i="1" s="1"/>
  <c r="Q450" i="1"/>
  <c r="S450" i="1"/>
  <c r="BC450" i="1" s="1"/>
  <c r="T450" i="1"/>
  <c r="BE450" i="1" s="1"/>
  <c r="BA450" i="1"/>
  <c r="Q446" i="1"/>
  <c r="S446" i="1"/>
  <c r="BC446" i="1" s="1"/>
  <c r="T446" i="1"/>
  <c r="BE446" i="1" s="1"/>
  <c r="BA446" i="1"/>
  <c r="Q442" i="1"/>
  <c r="S442" i="1"/>
  <c r="BC442" i="1" s="1"/>
  <c r="T442" i="1"/>
  <c r="BE442" i="1" s="1"/>
  <c r="BA442" i="1"/>
  <c r="Q438" i="1"/>
  <c r="S438" i="1"/>
  <c r="BC438" i="1" s="1"/>
  <c r="T438" i="1"/>
  <c r="BE438" i="1" s="1"/>
  <c r="BA438" i="1"/>
  <c r="Q434" i="1"/>
  <c r="S434" i="1"/>
  <c r="BC434" i="1" s="1"/>
  <c r="T434" i="1"/>
  <c r="BE434" i="1" s="1"/>
  <c r="BA434" i="1"/>
  <c r="Q430" i="1"/>
  <c r="S430" i="1"/>
  <c r="BC430" i="1" s="1"/>
  <c r="T430" i="1"/>
  <c r="BE430" i="1" s="1"/>
  <c r="BA430" i="1"/>
  <c r="Q426" i="1"/>
  <c r="S426" i="1"/>
  <c r="BC426" i="1" s="1"/>
  <c r="T426" i="1"/>
  <c r="BE426" i="1" s="1"/>
  <c r="BA426" i="1"/>
  <c r="Q422" i="1"/>
  <c r="S422" i="1"/>
  <c r="BC422" i="1" s="1"/>
  <c r="T422" i="1"/>
  <c r="BE422" i="1" s="1"/>
  <c r="BA422" i="1"/>
  <c r="AY336" i="1"/>
  <c r="P336" i="1"/>
  <c r="Q298" i="1"/>
  <c r="S298" i="1"/>
  <c r="BC298" i="1" s="1"/>
  <c r="T298" i="1"/>
  <c r="BE298" i="1" s="1"/>
  <c r="BA298" i="1"/>
  <c r="Q313" i="1"/>
  <c r="S313" i="1"/>
  <c r="BC313" i="1" s="1"/>
  <c r="T313" i="1"/>
  <c r="BE313" i="1" s="1"/>
  <c r="BA313" i="1"/>
  <c r="Q320" i="1"/>
  <c r="S320" i="1"/>
  <c r="BC320" i="1" s="1"/>
  <c r="T320" i="1"/>
  <c r="BE320" i="1" s="1"/>
  <c r="BA320" i="1"/>
  <c r="AG282" i="1"/>
  <c r="AH282" i="1" s="1"/>
  <c r="N282" i="1"/>
  <c r="AR282" i="1"/>
  <c r="T208" i="1"/>
  <c r="BE208" i="1" s="1"/>
  <c r="BA208" i="1"/>
  <c r="Q208" i="1"/>
  <c r="S208" i="1"/>
  <c r="BC208" i="1" s="1"/>
  <c r="T195" i="1"/>
  <c r="BE195" i="1" s="1"/>
  <c r="BA195" i="1"/>
  <c r="Q195" i="1"/>
  <c r="S195" i="1"/>
  <c r="BC195" i="1" s="1"/>
  <c r="T63" i="1"/>
  <c r="BE63" i="1" s="1"/>
  <c r="BA63" i="1"/>
  <c r="Q63" i="1"/>
  <c r="S63" i="1"/>
  <c r="BC63" i="1" s="1"/>
  <c r="S27" i="1"/>
  <c r="BC27" i="1" s="1"/>
  <c r="T27" i="1"/>
  <c r="BE27" i="1" s="1"/>
  <c r="Q27" i="1"/>
  <c r="BA27" i="1"/>
  <c r="Q10" i="1"/>
  <c r="BA10" i="1"/>
  <c r="S10" i="1"/>
  <c r="BC10" i="1" s="1"/>
  <c r="T10" i="1"/>
  <c r="BE10" i="1" s="1"/>
  <c r="S1033" i="1"/>
  <c r="BC1033" i="1" s="1"/>
  <c r="T1033" i="1"/>
  <c r="BE1033" i="1" s="1"/>
  <c r="BA1033" i="1"/>
  <c r="Q1033" i="1"/>
  <c r="Q895" i="1"/>
  <c r="BA895" i="1"/>
  <c r="S895" i="1"/>
  <c r="BC895" i="1" s="1"/>
  <c r="T895" i="1"/>
  <c r="BE895" i="1" s="1"/>
  <c r="AG883" i="1"/>
  <c r="AH883" i="1" s="1"/>
  <c r="AH897" i="1" s="1"/>
  <c r="AR883" i="1"/>
  <c r="N883" i="1"/>
  <c r="S916" i="1"/>
  <c r="BC916" i="1" s="1"/>
  <c r="Q916" i="1"/>
  <c r="T916" i="1"/>
  <c r="BE916" i="1" s="1"/>
  <c r="BA916" i="1"/>
  <c r="S912" i="1"/>
  <c r="BC912" i="1" s="1"/>
  <c r="Q912" i="1"/>
  <c r="T912" i="1"/>
  <c r="BE912" i="1" s="1"/>
  <c r="BA912" i="1"/>
  <c r="S908" i="1"/>
  <c r="BC908" i="1" s="1"/>
  <c r="Q908" i="1"/>
  <c r="T908" i="1"/>
  <c r="BE908" i="1" s="1"/>
  <c r="BA908" i="1"/>
  <c r="S904" i="1"/>
  <c r="BC904" i="1" s="1"/>
  <c r="Q904" i="1"/>
  <c r="T904" i="1"/>
  <c r="BE904" i="1" s="1"/>
  <c r="BA904" i="1"/>
  <c r="S900" i="1"/>
  <c r="Q900" i="1"/>
  <c r="T900" i="1"/>
  <c r="BA900" i="1"/>
  <c r="AY718" i="1"/>
  <c r="P718" i="1"/>
  <c r="T767" i="1"/>
  <c r="BE767" i="1" s="1"/>
  <c r="Q767" i="1"/>
  <c r="BA767" i="1"/>
  <c r="S767" i="1"/>
  <c r="BC767" i="1" s="1"/>
  <c r="T564" i="1"/>
  <c r="BE564" i="1" s="1"/>
  <c r="BA564" i="1"/>
  <c r="Q564" i="1"/>
  <c r="S564" i="1"/>
  <c r="BC564" i="1" s="1"/>
  <c r="Q711" i="1"/>
  <c r="S711" i="1"/>
  <c r="BC711" i="1" s="1"/>
  <c r="T711" i="1"/>
  <c r="BE711" i="1" s="1"/>
  <c r="BA711" i="1"/>
  <c r="Q574" i="1"/>
  <c r="S574" i="1"/>
  <c r="BC574" i="1" s="1"/>
  <c r="BA574" i="1"/>
  <c r="T574" i="1"/>
  <c r="BE574" i="1" s="1"/>
  <c r="S500" i="1"/>
  <c r="BC500" i="1" s="1"/>
  <c r="BA500" i="1"/>
  <c r="Q500" i="1"/>
  <c r="T500" i="1"/>
  <c r="BE500" i="1" s="1"/>
  <c r="AY418" i="1"/>
  <c r="P418" i="1"/>
  <c r="Q485" i="1"/>
  <c r="S485" i="1"/>
  <c r="BC485" i="1" s="1"/>
  <c r="T485" i="1"/>
  <c r="BE485" i="1" s="1"/>
  <c r="BA485" i="1"/>
  <c r="P472" i="1"/>
  <c r="AY468" i="1"/>
  <c r="P468" i="1"/>
  <c r="AY391" i="1"/>
  <c r="P391" i="1"/>
  <c r="AY376" i="1"/>
  <c r="P376" i="1"/>
  <c r="P351" i="1"/>
  <c r="AY351" i="1"/>
  <c r="Q327" i="1"/>
  <c r="S327" i="1"/>
  <c r="BC327" i="1" s="1"/>
  <c r="T327" i="1"/>
  <c r="BE327" i="1" s="1"/>
  <c r="BA327" i="1"/>
  <c r="Q295" i="1"/>
  <c r="S295" i="1"/>
  <c r="BC295" i="1" s="1"/>
  <c r="T295" i="1"/>
  <c r="BE295" i="1" s="1"/>
  <c r="BA295" i="1"/>
  <c r="Q317" i="1"/>
  <c r="S317" i="1"/>
  <c r="BC317" i="1" s="1"/>
  <c r="T317" i="1"/>
  <c r="BE317" i="1" s="1"/>
  <c r="BA317" i="1"/>
  <c r="T283" i="1"/>
  <c r="BE283" i="1" s="1"/>
  <c r="BA283" i="1"/>
  <c r="Q283" i="1"/>
  <c r="S283" i="1"/>
  <c r="BC283" i="1" s="1"/>
  <c r="S238" i="1"/>
  <c r="BC238" i="1" s="1"/>
  <c r="BA238" i="1"/>
  <c r="Q238" i="1"/>
  <c r="T238" i="1"/>
  <c r="BE238" i="1" s="1"/>
  <c r="S234" i="1"/>
  <c r="BC234" i="1" s="1"/>
  <c r="Q234" i="1"/>
  <c r="T234" i="1"/>
  <c r="BE234" i="1" s="1"/>
  <c r="BA234" i="1"/>
  <c r="T198" i="1"/>
  <c r="BE198" i="1" s="1"/>
  <c r="BA198" i="1"/>
  <c r="Q198" i="1"/>
  <c r="S198" i="1"/>
  <c r="BC198" i="1" s="1"/>
  <c r="T209" i="1"/>
  <c r="BE209" i="1" s="1"/>
  <c r="BA209" i="1"/>
  <c r="Q209" i="1"/>
  <c r="S209" i="1"/>
  <c r="BC209" i="1" s="1"/>
  <c r="S181" i="1"/>
  <c r="BC181" i="1" s="1"/>
  <c r="T181" i="1"/>
  <c r="BE181" i="1" s="1"/>
  <c r="Q181" i="1"/>
  <c r="BA181" i="1"/>
  <c r="AY110" i="1"/>
  <c r="P110" i="1"/>
  <c r="AY100" i="1"/>
  <c r="P100" i="1"/>
  <c r="S39" i="1"/>
  <c r="BC39" i="1" s="1"/>
  <c r="Q39" i="1"/>
  <c r="T39" i="1"/>
  <c r="BE39" i="1" s="1"/>
  <c r="BA39" i="1"/>
  <c r="Q13" i="1"/>
  <c r="S13" i="1"/>
  <c r="BC13" i="1" s="1"/>
  <c r="T13" i="1"/>
  <c r="BE13" i="1" s="1"/>
  <c r="BA13" i="1"/>
  <c r="AY124" i="1"/>
  <c r="P124" i="1"/>
  <c r="Q94" i="1"/>
  <c r="S94" i="1"/>
  <c r="BC94" i="1" s="1"/>
  <c r="T94" i="1"/>
  <c r="BE94" i="1" s="1"/>
  <c r="BA94" i="1"/>
  <c r="T54" i="1"/>
  <c r="BE54" i="1" s="1"/>
  <c r="BA54" i="1"/>
  <c r="Q54" i="1"/>
  <c r="S54" i="1"/>
  <c r="BC54" i="1" s="1"/>
  <c r="S1029" i="1"/>
  <c r="BC1029" i="1" s="1"/>
  <c r="T1029" i="1"/>
  <c r="BE1029" i="1" s="1"/>
  <c r="BA1029" i="1"/>
  <c r="Q1029" i="1"/>
  <c r="Q1046" i="1"/>
  <c r="T1046" i="1"/>
  <c r="BE1046" i="1" s="1"/>
  <c r="BA1046" i="1"/>
  <c r="S1046" i="1"/>
  <c r="BC1046" i="1" s="1"/>
  <c r="AY837" i="1"/>
  <c r="P837" i="1"/>
  <c r="T1000" i="1"/>
  <c r="BE1000" i="1" s="1"/>
  <c r="BA1000" i="1"/>
  <c r="Q1000" i="1"/>
  <c r="S1000" i="1"/>
  <c r="BC1000" i="1" s="1"/>
  <c r="BC881" i="1"/>
  <c r="AH877" i="1"/>
  <c r="O966" i="1" s="1"/>
  <c r="S824" i="1"/>
  <c r="BC824" i="1" s="1"/>
  <c r="BA824" i="1"/>
  <c r="Q824" i="1"/>
  <c r="T824" i="1"/>
  <c r="BE824" i="1" s="1"/>
  <c r="N784" i="1"/>
  <c r="AG784" i="1"/>
  <c r="AH784" i="1" s="1"/>
  <c r="AR784" i="1"/>
  <c r="AR763" i="1"/>
  <c r="AG763" i="1"/>
  <c r="AH763" i="1" s="1"/>
  <c r="AH829" i="1" s="1"/>
  <c r="N763" i="1"/>
  <c r="AY769" i="1"/>
  <c r="P769" i="1"/>
  <c r="BE762" i="1"/>
  <c r="Q687" i="1"/>
  <c r="S687" i="1"/>
  <c r="BC687" i="1" s="1"/>
  <c r="T687" i="1"/>
  <c r="BE687" i="1" s="1"/>
  <c r="BA687" i="1"/>
  <c r="Q655" i="1"/>
  <c r="S655" i="1"/>
  <c r="BC655" i="1" s="1"/>
  <c r="T655" i="1"/>
  <c r="BE655" i="1" s="1"/>
  <c r="BA655" i="1"/>
  <c r="Q623" i="1"/>
  <c r="S623" i="1"/>
  <c r="BC623" i="1" s="1"/>
  <c r="T623" i="1"/>
  <c r="BE623" i="1" s="1"/>
  <c r="BA623" i="1"/>
  <c r="AY720" i="1"/>
  <c r="P720" i="1"/>
  <c r="AY708" i="1"/>
  <c r="P708" i="1"/>
  <c r="Q693" i="1"/>
  <c r="S693" i="1"/>
  <c r="BC693" i="1" s="1"/>
  <c r="T693" i="1"/>
  <c r="BE693" i="1" s="1"/>
  <c r="BA693" i="1"/>
  <c r="Q661" i="1"/>
  <c r="S661" i="1"/>
  <c r="BC661" i="1" s="1"/>
  <c r="T661" i="1"/>
  <c r="BE661" i="1" s="1"/>
  <c r="BA661" i="1"/>
  <c r="Q629" i="1"/>
  <c r="S629" i="1"/>
  <c r="BC629" i="1" s="1"/>
  <c r="T629" i="1"/>
  <c r="BE629" i="1" s="1"/>
  <c r="BA629" i="1"/>
  <c r="Q591" i="1"/>
  <c r="S591" i="1"/>
  <c r="BC591" i="1" s="1"/>
  <c r="BA591" i="1"/>
  <c r="T591" i="1"/>
  <c r="BE591" i="1" s="1"/>
  <c r="Q575" i="1"/>
  <c r="S575" i="1"/>
  <c r="BC575" i="1" s="1"/>
  <c r="BA575" i="1"/>
  <c r="T575" i="1"/>
  <c r="BE575" i="1" s="1"/>
  <c r="T554" i="1"/>
  <c r="BE554" i="1" s="1"/>
  <c r="BA554" i="1"/>
  <c r="Q554" i="1"/>
  <c r="S554" i="1"/>
  <c r="BC554" i="1" s="1"/>
  <c r="Q481" i="1"/>
  <c r="S481" i="1"/>
  <c r="BC481" i="1" s="1"/>
  <c r="BA481" i="1"/>
  <c r="T481" i="1"/>
  <c r="BE481" i="1" s="1"/>
  <c r="AY417" i="1"/>
  <c r="P417" i="1"/>
  <c r="T379" i="1"/>
  <c r="BE379" i="1" s="1"/>
  <c r="BA379" i="1"/>
  <c r="Q379" i="1"/>
  <c r="S379" i="1"/>
  <c r="BC379" i="1" s="1"/>
  <c r="P453" i="1"/>
  <c r="AY453" i="1"/>
  <c r="AY399" i="1"/>
  <c r="P399" i="1"/>
  <c r="S355" i="1"/>
  <c r="BC355" i="1" s="1"/>
  <c r="T355" i="1"/>
  <c r="BE355" i="1" s="1"/>
  <c r="BA355" i="1"/>
  <c r="Q355" i="1"/>
  <c r="P350" i="1"/>
  <c r="AY350" i="1"/>
  <c r="Q306" i="1"/>
  <c r="S306" i="1"/>
  <c r="BC306" i="1" s="1"/>
  <c r="T306" i="1"/>
  <c r="BE306" i="1" s="1"/>
  <c r="BA306" i="1"/>
  <c r="T220" i="1"/>
  <c r="BE220" i="1" s="1"/>
  <c r="BA220" i="1"/>
  <c r="Q220" i="1"/>
  <c r="S220" i="1"/>
  <c r="BC220" i="1" s="1"/>
  <c r="Q227" i="1"/>
  <c r="S227" i="1"/>
  <c r="BC227" i="1" s="1"/>
  <c r="T227" i="1"/>
  <c r="BE227" i="1" s="1"/>
  <c r="BA227" i="1"/>
  <c r="T199" i="1"/>
  <c r="BE199" i="1" s="1"/>
  <c r="BA199" i="1"/>
  <c r="Q199" i="1"/>
  <c r="S199" i="1"/>
  <c r="BC199" i="1" s="1"/>
  <c r="S184" i="1"/>
  <c r="BC184" i="1" s="1"/>
  <c r="T184" i="1"/>
  <c r="BE184" i="1" s="1"/>
  <c r="Q184" i="1"/>
  <c r="BA184" i="1"/>
  <c r="T67" i="1"/>
  <c r="BE67" i="1" s="1"/>
  <c r="BA67" i="1"/>
  <c r="Q67" i="1"/>
  <c r="S67" i="1"/>
  <c r="BC67" i="1" s="1"/>
  <c r="S41" i="1"/>
  <c r="BC41" i="1" s="1"/>
  <c r="Q41" i="1"/>
  <c r="T41" i="1"/>
  <c r="BE41" i="1" s="1"/>
  <c r="BA41" i="1"/>
  <c r="AK878" i="1"/>
  <c r="AK953" i="1" s="1"/>
  <c r="AY111" i="1"/>
  <c r="P111" i="1"/>
  <c r="S72" i="1"/>
  <c r="BC72" i="1" s="1"/>
  <c r="T72" i="1"/>
  <c r="BE72" i="1" s="1"/>
  <c r="BA72" i="1"/>
  <c r="Q72" i="1"/>
  <c r="S1031" i="1"/>
  <c r="BC1031" i="1" s="1"/>
  <c r="T1031" i="1"/>
  <c r="BE1031" i="1" s="1"/>
  <c r="BA1031" i="1"/>
  <c r="Q1031" i="1"/>
  <c r="S918" i="1"/>
  <c r="BC918" i="1" s="1"/>
  <c r="Q918" i="1"/>
  <c r="BA918" i="1"/>
  <c r="T918" i="1"/>
  <c r="BE918" i="1" s="1"/>
  <c r="Q700" i="1"/>
  <c r="S700" i="1"/>
  <c r="BC700" i="1" s="1"/>
  <c r="T700" i="1"/>
  <c r="BE700" i="1" s="1"/>
  <c r="BA700" i="1"/>
  <c r="S915" i="1"/>
  <c r="BC915" i="1" s="1"/>
  <c r="Q915" i="1"/>
  <c r="T915" i="1"/>
  <c r="BE915" i="1" s="1"/>
  <c r="BA915" i="1"/>
  <c r="S911" i="1"/>
  <c r="BC911" i="1" s="1"/>
  <c r="Q911" i="1"/>
  <c r="T911" i="1"/>
  <c r="BE911" i="1" s="1"/>
  <c r="BA911" i="1"/>
  <c r="S907" i="1"/>
  <c r="BC907" i="1" s="1"/>
  <c r="Q907" i="1"/>
  <c r="T907" i="1"/>
  <c r="BE907" i="1" s="1"/>
  <c r="BA907" i="1"/>
  <c r="S903" i="1"/>
  <c r="BC903" i="1" s="1"/>
  <c r="Q903" i="1"/>
  <c r="T903" i="1"/>
  <c r="BE903" i="1" s="1"/>
  <c r="BA903" i="1"/>
  <c r="Q779" i="1"/>
  <c r="T779" i="1"/>
  <c r="BE779" i="1" s="1"/>
  <c r="S779" i="1"/>
  <c r="BC779" i="1" s="1"/>
  <c r="BA779" i="1"/>
  <c r="AY777" i="1"/>
  <c r="P777" i="1"/>
  <c r="P834" i="1"/>
  <c r="AY719" i="1"/>
  <c r="P719" i="1"/>
  <c r="T555" i="1"/>
  <c r="BE555" i="1" s="1"/>
  <c r="BA555" i="1"/>
  <c r="Q555" i="1"/>
  <c r="S555" i="1"/>
  <c r="BC555" i="1" s="1"/>
  <c r="AY473" i="1"/>
  <c r="P473" i="1"/>
  <c r="S501" i="1"/>
  <c r="BC501" i="1" s="1"/>
  <c r="BA501" i="1"/>
  <c r="Q501" i="1"/>
  <c r="T501" i="1"/>
  <c r="BE501" i="1" s="1"/>
  <c r="Q498" i="1"/>
  <c r="S498" i="1"/>
  <c r="BC498" i="1" s="1"/>
  <c r="T498" i="1"/>
  <c r="BE498" i="1" s="1"/>
  <c r="BA498" i="1"/>
  <c r="Q482" i="1"/>
  <c r="S482" i="1"/>
  <c r="BC482" i="1" s="1"/>
  <c r="T482" i="1"/>
  <c r="BE482" i="1" s="1"/>
  <c r="BA482" i="1"/>
  <c r="AY469" i="1"/>
  <c r="P469" i="1"/>
  <c r="AY411" i="1"/>
  <c r="P411" i="1"/>
  <c r="AY387" i="1"/>
  <c r="P387" i="1"/>
  <c r="N400" i="1"/>
  <c r="AR400" i="1"/>
  <c r="AG400" i="1"/>
  <c r="AH400" i="1" s="1"/>
  <c r="S237" i="1"/>
  <c r="BC237" i="1" s="1"/>
  <c r="BA237" i="1"/>
  <c r="Q237" i="1"/>
  <c r="T237" i="1"/>
  <c r="BE237" i="1" s="1"/>
  <c r="T221" i="1"/>
  <c r="BE221" i="1" s="1"/>
  <c r="BA221" i="1"/>
  <c r="Q221" i="1"/>
  <c r="S221" i="1"/>
  <c r="BC221" i="1" s="1"/>
  <c r="Q803" i="1"/>
  <c r="BA803" i="1"/>
  <c r="S803" i="1"/>
  <c r="BC803" i="1" s="1"/>
  <c r="T803" i="1"/>
  <c r="BE803" i="1" s="1"/>
  <c r="Q585" i="1"/>
  <c r="S585" i="1"/>
  <c r="BC585" i="1" s="1"/>
  <c r="BA585" i="1"/>
  <c r="T585" i="1"/>
  <c r="BE585" i="1" s="1"/>
  <c r="Q488" i="1"/>
  <c r="S488" i="1"/>
  <c r="BC488" i="1" s="1"/>
  <c r="T488" i="1"/>
  <c r="BE488" i="1" s="1"/>
  <c r="BA488" i="1"/>
  <c r="AY385" i="1"/>
  <c r="P385" i="1"/>
  <c r="T200" i="1"/>
  <c r="BE200" i="1" s="1"/>
  <c r="BA200" i="1"/>
  <c r="Q200" i="1"/>
  <c r="S200" i="1"/>
  <c r="BC200" i="1" s="1"/>
  <c r="AY115" i="1"/>
  <c r="P115" i="1"/>
  <c r="Q91" i="1"/>
  <c r="S91" i="1"/>
  <c r="BC91" i="1" s="1"/>
  <c r="T91" i="1"/>
  <c r="BE91" i="1" s="1"/>
  <c r="BA91" i="1"/>
  <c r="Q83" i="1"/>
  <c r="S83" i="1"/>
  <c r="BC83" i="1" s="1"/>
  <c r="T83" i="1"/>
  <c r="BE83" i="1" s="1"/>
  <c r="BA83" i="1"/>
  <c r="T37" i="1"/>
  <c r="BE37" i="1" s="1"/>
  <c r="BA37" i="1"/>
  <c r="Q37" i="1"/>
  <c r="S37" i="1"/>
  <c r="BC37" i="1" s="1"/>
  <c r="P859" i="1"/>
  <c r="AY859" i="1"/>
  <c r="AY818" i="1"/>
  <c r="P818" i="1"/>
  <c r="BC1023" i="1"/>
  <c r="Q891" i="1"/>
  <c r="BA891" i="1"/>
  <c r="S891" i="1"/>
  <c r="BC891" i="1" s="1"/>
  <c r="T891" i="1"/>
  <c r="BE891" i="1" s="1"/>
  <c r="Q664" i="1"/>
  <c r="S664" i="1"/>
  <c r="BC664" i="1" s="1"/>
  <c r="T664" i="1"/>
  <c r="BE664" i="1" s="1"/>
  <c r="BA664" i="1"/>
  <c r="Q632" i="1"/>
  <c r="S632" i="1"/>
  <c r="BC632" i="1" s="1"/>
  <c r="T632" i="1"/>
  <c r="BE632" i="1" s="1"/>
  <c r="BA632" i="1"/>
  <c r="Q865" i="1"/>
  <c r="BA865" i="1"/>
  <c r="S865" i="1"/>
  <c r="BC865" i="1" s="1"/>
  <c r="T865" i="1"/>
  <c r="BE865" i="1" s="1"/>
  <c r="AY734" i="1"/>
  <c r="P734" i="1"/>
  <c r="S740" i="1"/>
  <c r="BC740" i="1" s="1"/>
  <c r="T740" i="1"/>
  <c r="BE740" i="1" s="1"/>
  <c r="BA740" i="1"/>
  <c r="Q740" i="1"/>
  <c r="Q667" i="1"/>
  <c r="S667" i="1"/>
  <c r="BC667" i="1" s="1"/>
  <c r="T667" i="1"/>
  <c r="BE667" i="1" s="1"/>
  <c r="BA667" i="1"/>
  <c r="Q635" i="1"/>
  <c r="S635" i="1"/>
  <c r="BC635" i="1" s="1"/>
  <c r="T635" i="1"/>
  <c r="BE635" i="1" s="1"/>
  <c r="BA635" i="1"/>
  <c r="Q682" i="1"/>
  <c r="S682" i="1"/>
  <c r="BC682" i="1" s="1"/>
  <c r="T682" i="1"/>
  <c r="BE682" i="1" s="1"/>
  <c r="BA682" i="1"/>
  <c r="Q650" i="1"/>
  <c r="S650" i="1"/>
  <c r="BC650" i="1" s="1"/>
  <c r="T650" i="1"/>
  <c r="BE650" i="1" s="1"/>
  <c r="BA650" i="1"/>
  <c r="Q618" i="1"/>
  <c r="S618" i="1"/>
  <c r="BC618" i="1" s="1"/>
  <c r="T618" i="1"/>
  <c r="BE618" i="1" s="1"/>
  <c r="BA618" i="1"/>
  <c r="Q673" i="1"/>
  <c r="S673" i="1"/>
  <c r="BC673" i="1" s="1"/>
  <c r="T673" i="1"/>
  <c r="BE673" i="1" s="1"/>
  <c r="BA673" i="1"/>
  <c r="Q641" i="1"/>
  <c r="S641" i="1"/>
  <c r="BC641" i="1" s="1"/>
  <c r="T641" i="1"/>
  <c r="BE641" i="1" s="1"/>
  <c r="BA641" i="1"/>
  <c r="Q609" i="1"/>
  <c r="S609" i="1"/>
  <c r="BC609" i="1" s="1"/>
  <c r="T609" i="1"/>
  <c r="BE609" i="1" s="1"/>
  <c r="BA609" i="1"/>
  <c r="T560" i="1"/>
  <c r="BE560" i="1" s="1"/>
  <c r="BA560" i="1"/>
  <c r="Q560" i="1"/>
  <c r="S560" i="1"/>
  <c r="BC560" i="1" s="1"/>
  <c r="Q484" i="1"/>
  <c r="S484" i="1"/>
  <c r="BC484" i="1" s="1"/>
  <c r="T484" i="1"/>
  <c r="BE484" i="1" s="1"/>
  <c r="BA484" i="1"/>
  <c r="Q486" i="1"/>
  <c r="S486" i="1"/>
  <c r="BC486" i="1" s="1"/>
  <c r="T486" i="1"/>
  <c r="BE486" i="1" s="1"/>
  <c r="BA486" i="1"/>
  <c r="AY470" i="1"/>
  <c r="P470" i="1"/>
  <c r="P454" i="1"/>
  <c r="AY454" i="1"/>
  <c r="AG401" i="1"/>
  <c r="AH401" i="1" s="1"/>
  <c r="N401" i="1"/>
  <c r="AR401" i="1"/>
  <c r="AY287" i="1"/>
  <c r="P287" i="1"/>
  <c r="Q318" i="1"/>
  <c r="S318" i="1"/>
  <c r="BC318" i="1" s="1"/>
  <c r="T318" i="1"/>
  <c r="BE318" i="1" s="1"/>
  <c r="BA318" i="1"/>
  <c r="Q324" i="1"/>
  <c r="S324" i="1"/>
  <c r="BC324" i="1" s="1"/>
  <c r="T324" i="1"/>
  <c r="BE324" i="1" s="1"/>
  <c r="BA324" i="1"/>
  <c r="Q292" i="1"/>
  <c r="S292" i="1"/>
  <c r="BC292" i="1" s="1"/>
  <c r="T292" i="1"/>
  <c r="BE292" i="1" s="1"/>
  <c r="BA292" i="1"/>
  <c r="T222" i="1"/>
  <c r="BE222" i="1" s="1"/>
  <c r="BA222" i="1"/>
  <c r="Q222" i="1"/>
  <c r="S222" i="1"/>
  <c r="BC222" i="1" s="1"/>
  <c r="T190" i="1"/>
  <c r="BE190" i="1" s="1"/>
  <c r="BA190" i="1"/>
  <c r="Q190" i="1"/>
  <c r="S190" i="1"/>
  <c r="BC190" i="1" s="1"/>
  <c r="T201" i="1"/>
  <c r="BE201" i="1" s="1"/>
  <c r="BA201" i="1"/>
  <c r="Q201" i="1"/>
  <c r="S201" i="1"/>
  <c r="BC201" i="1" s="1"/>
  <c r="Q119" i="1"/>
  <c r="S119" i="1"/>
  <c r="BC119" i="1" s="1"/>
  <c r="T119" i="1"/>
  <c r="BE119" i="1" s="1"/>
  <c r="BA119" i="1"/>
  <c r="Q95" i="1"/>
  <c r="S95" i="1"/>
  <c r="BC95" i="1" s="1"/>
  <c r="T95" i="1"/>
  <c r="BE95" i="1" s="1"/>
  <c r="BA95" i="1"/>
  <c r="Q90" i="1"/>
  <c r="S90" i="1"/>
  <c r="BC90" i="1" s="1"/>
  <c r="T90" i="1"/>
  <c r="BE90" i="1" s="1"/>
  <c r="BA90" i="1"/>
  <c r="Q82" i="1"/>
  <c r="S82" i="1"/>
  <c r="BC82" i="1" s="1"/>
  <c r="T82" i="1"/>
  <c r="BE82" i="1" s="1"/>
  <c r="BA82" i="1"/>
  <c r="T48" i="1"/>
  <c r="BE48" i="1" s="1"/>
  <c r="BA48" i="1"/>
  <c r="Q48" i="1"/>
  <c r="S48" i="1"/>
  <c r="BC48" i="1" s="1"/>
  <c r="S71" i="1"/>
  <c r="BC71" i="1" s="1"/>
  <c r="T71" i="1"/>
  <c r="BE71" i="1" s="1"/>
  <c r="BA71" i="1"/>
  <c r="Q71" i="1"/>
  <c r="T35" i="1"/>
  <c r="BE35" i="1" s="1"/>
  <c r="BA35" i="1"/>
  <c r="Q35" i="1"/>
  <c r="S35" i="1"/>
  <c r="BC35" i="1" s="1"/>
  <c r="Q7" i="1"/>
  <c r="S7" i="1"/>
  <c r="BA7" i="1"/>
  <c r="T7" i="1"/>
  <c r="Q76" i="1"/>
  <c r="S76" i="1"/>
  <c r="BC76" i="1" s="1"/>
  <c r="T76" i="1"/>
  <c r="BE76" i="1" s="1"/>
  <c r="BA76" i="1"/>
  <c r="Q9" i="1"/>
  <c r="S9" i="1"/>
  <c r="BC9" i="1" s="1"/>
  <c r="BA9" i="1"/>
  <c r="T9" i="1"/>
  <c r="BE9" i="1" s="1"/>
  <c r="S1035" i="1"/>
  <c r="BC1035" i="1" s="1"/>
  <c r="T1035" i="1"/>
  <c r="BE1035" i="1" s="1"/>
  <c r="BA1035" i="1"/>
  <c r="Q1035" i="1"/>
  <c r="Q795" i="1"/>
  <c r="BA795" i="1"/>
  <c r="S795" i="1"/>
  <c r="BC795" i="1" s="1"/>
  <c r="T795" i="1"/>
  <c r="BE795" i="1" s="1"/>
  <c r="BE881" i="1"/>
  <c r="Q1027" i="1"/>
  <c r="T1027" i="1"/>
  <c r="BE1027" i="1" s="1"/>
  <c r="BA1027" i="1"/>
  <c r="S1027" i="1"/>
  <c r="BC1027" i="1" s="1"/>
  <c r="AY766" i="1"/>
  <c r="P766" i="1"/>
  <c r="Q668" i="1"/>
  <c r="S668" i="1"/>
  <c r="BC668" i="1" s="1"/>
  <c r="T668" i="1"/>
  <c r="BE668" i="1" s="1"/>
  <c r="BA668" i="1"/>
  <c r="Q636" i="1"/>
  <c r="S636" i="1"/>
  <c r="BC636" i="1" s="1"/>
  <c r="T636" i="1"/>
  <c r="BE636" i="1" s="1"/>
  <c r="BA636" i="1"/>
  <c r="Q604" i="1"/>
  <c r="S604" i="1"/>
  <c r="BC604" i="1" s="1"/>
  <c r="T604" i="1"/>
  <c r="BE604" i="1" s="1"/>
  <c r="BA604" i="1"/>
  <c r="T835" i="1"/>
  <c r="BE835" i="1" s="1"/>
  <c r="BA835" i="1"/>
  <c r="Q835" i="1"/>
  <c r="S835" i="1"/>
  <c r="BC835" i="1" s="1"/>
  <c r="T813" i="1"/>
  <c r="BE813" i="1" s="1"/>
  <c r="Q813" i="1"/>
  <c r="BA813" i="1"/>
  <c r="S813" i="1"/>
  <c r="BC813" i="1" s="1"/>
  <c r="P822" i="1"/>
  <c r="AY822" i="1"/>
  <c r="S744" i="1"/>
  <c r="BC744" i="1" s="1"/>
  <c r="T744" i="1"/>
  <c r="BE744" i="1" s="1"/>
  <c r="BA744" i="1"/>
  <c r="Q744" i="1"/>
  <c r="AY728" i="1"/>
  <c r="P728" i="1"/>
  <c r="Q686" i="1"/>
  <c r="S686" i="1"/>
  <c r="BC686" i="1" s="1"/>
  <c r="T686" i="1"/>
  <c r="BE686" i="1" s="1"/>
  <c r="BA686" i="1"/>
  <c r="Q654" i="1"/>
  <c r="S654" i="1"/>
  <c r="BC654" i="1" s="1"/>
  <c r="T654" i="1"/>
  <c r="BE654" i="1" s="1"/>
  <c r="BA654" i="1"/>
  <c r="Q622" i="1"/>
  <c r="S622" i="1"/>
  <c r="BC622" i="1" s="1"/>
  <c r="T622" i="1"/>
  <c r="BE622" i="1" s="1"/>
  <c r="BA622" i="1"/>
  <c r="AY721" i="1"/>
  <c r="P721" i="1"/>
  <c r="Q587" i="1"/>
  <c r="S587" i="1"/>
  <c r="BC587" i="1" s="1"/>
  <c r="BA587" i="1"/>
  <c r="T587" i="1"/>
  <c r="BE587" i="1" s="1"/>
  <c r="T566" i="1"/>
  <c r="BE566" i="1" s="1"/>
  <c r="BA566" i="1"/>
  <c r="Q566" i="1"/>
  <c r="S566" i="1"/>
  <c r="BC566" i="1" s="1"/>
  <c r="T550" i="1"/>
  <c r="BE550" i="1" s="1"/>
  <c r="BA550" i="1"/>
  <c r="Q550" i="1"/>
  <c r="S550" i="1"/>
  <c r="BC550" i="1" s="1"/>
  <c r="Q477" i="1"/>
  <c r="S477" i="1"/>
  <c r="BC477" i="1" s="1"/>
  <c r="BA477" i="1"/>
  <c r="T477" i="1"/>
  <c r="BE477" i="1" s="1"/>
  <c r="T410" i="1"/>
  <c r="BE410" i="1" s="1"/>
  <c r="Q410" i="1"/>
  <c r="S410" i="1"/>
  <c r="BC410" i="1" s="1"/>
  <c r="BA410" i="1"/>
  <c r="P457" i="1"/>
  <c r="AY457" i="1"/>
  <c r="Q447" i="1"/>
  <c r="S447" i="1"/>
  <c r="BC447" i="1" s="1"/>
  <c r="T447" i="1"/>
  <c r="BE447" i="1" s="1"/>
  <c r="BA447" i="1"/>
  <c r="Q443" i="1"/>
  <c r="S443" i="1"/>
  <c r="BC443" i="1" s="1"/>
  <c r="T443" i="1"/>
  <c r="BE443" i="1" s="1"/>
  <c r="BA443" i="1"/>
  <c r="Q439" i="1"/>
  <c r="S439" i="1"/>
  <c r="BC439" i="1" s="1"/>
  <c r="T439" i="1"/>
  <c r="BE439" i="1" s="1"/>
  <c r="BA439" i="1"/>
  <c r="Q435" i="1"/>
  <c r="S435" i="1"/>
  <c r="BC435" i="1" s="1"/>
  <c r="T435" i="1"/>
  <c r="BE435" i="1" s="1"/>
  <c r="BA435" i="1"/>
  <c r="Q431" i="1"/>
  <c r="S431" i="1"/>
  <c r="BC431" i="1" s="1"/>
  <c r="T431" i="1"/>
  <c r="BE431" i="1" s="1"/>
  <c r="BA431" i="1"/>
  <c r="Q427" i="1"/>
  <c r="S427" i="1"/>
  <c r="BC427" i="1" s="1"/>
  <c r="T427" i="1"/>
  <c r="BE427" i="1" s="1"/>
  <c r="BA427" i="1"/>
  <c r="Q423" i="1"/>
  <c r="S423" i="1"/>
  <c r="BC423" i="1" s="1"/>
  <c r="T423" i="1"/>
  <c r="BE423" i="1" s="1"/>
  <c r="BA423" i="1"/>
  <c r="Q395" i="1"/>
  <c r="S395" i="1"/>
  <c r="BC395" i="1" s="1"/>
  <c r="T395" i="1"/>
  <c r="BE395" i="1" s="1"/>
  <c r="BA395" i="1"/>
  <c r="P354" i="1"/>
  <c r="AY354" i="1"/>
  <c r="AY331" i="1"/>
  <c r="P331" i="1"/>
  <c r="Q299" i="1"/>
  <c r="S299" i="1"/>
  <c r="BC299" i="1" s="1"/>
  <c r="T299" i="1"/>
  <c r="BE299" i="1" s="1"/>
  <c r="BA299" i="1"/>
  <c r="S360" i="1"/>
  <c r="BC360" i="1" s="1"/>
  <c r="T360" i="1"/>
  <c r="BE360" i="1" s="1"/>
  <c r="BA360" i="1"/>
  <c r="Q360" i="1"/>
  <c r="P341" i="1"/>
  <c r="AY341" i="1"/>
  <c r="Q305" i="1"/>
  <c r="S305" i="1"/>
  <c r="BC305" i="1" s="1"/>
  <c r="T305" i="1"/>
  <c r="BE305" i="1" s="1"/>
  <c r="BA305" i="1"/>
  <c r="Q328" i="1"/>
  <c r="S328" i="1"/>
  <c r="BC328" i="1" s="1"/>
  <c r="T328" i="1"/>
  <c r="BE328" i="1" s="1"/>
  <c r="BA328" i="1"/>
  <c r="Q296" i="1"/>
  <c r="S296" i="1"/>
  <c r="BC296" i="1" s="1"/>
  <c r="T296" i="1"/>
  <c r="BE296" i="1" s="1"/>
  <c r="BA296" i="1"/>
  <c r="T275" i="1"/>
  <c r="BE275" i="1" s="1"/>
  <c r="BA275" i="1"/>
  <c r="S275" i="1"/>
  <c r="BC275" i="1" s="1"/>
  <c r="Q275" i="1"/>
  <c r="Q225" i="1"/>
  <c r="S225" i="1"/>
  <c r="BC225" i="1" s="1"/>
  <c r="T225" i="1"/>
  <c r="BE225" i="1" s="1"/>
  <c r="BA225" i="1"/>
  <c r="T212" i="1"/>
  <c r="BE212" i="1" s="1"/>
  <c r="BA212" i="1"/>
  <c r="Q212" i="1"/>
  <c r="S212" i="1"/>
  <c r="BC212" i="1" s="1"/>
  <c r="T223" i="1"/>
  <c r="BE223" i="1" s="1"/>
  <c r="BA223" i="1"/>
  <c r="Q223" i="1"/>
  <c r="S223" i="1"/>
  <c r="BC223" i="1" s="1"/>
  <c r="T191" i="1"/>
  <c r="BE191" i="1" s="1"/>
  <c r="BA191" i="1"/>
  <c r="Q191" i="1"/>
  <c r="S191" i="1"/>
  <c r="BC191" i="1" s="1"/>
  <c r="Q106" i="1"/>
  <c r="S106" i="1"/>
  <c r="BC106" i="1" s="1"/>
  <c r="T106" i="1"/>
  <c r="BE106" i="1" s="1"/>
  <c r="BA106" i="1"/>
  <c r="AY101" i="1"/>
  <c r="P101" i="1"/>
  <c r="T68" i="1"/>
  <c r="BE68" i="1" s="1"/>
  <c r="BA68" i="1"/>
  <c r="Q68" i="1"/>
  <c r="S68" i="1"/>
  <c r="BC68" i="1" s="1"/>
  <c r="Q89" i="1"/>
  <c r="S89" i="1"/>
  <c r="BC89" i="1" s="1"/>
  <c r="T89" i="1"/>
  <c r="BE89" i="1" s="1"/>
  <c r="BA89" i="1"/>
  <c r="Q81" i="1"/>
  <c r="S81" i="1"/>
  <c r="BC81" i="1" s="1"/>
  <c r="T81" i="1"/>
  <c r="BE81" i="1" s="1"/>
  <c r="BA81" i="1"/>
  <c r="T59" i="1"/>
  <c r="BE59" i="1" s="1"/>
  <c r="BA59" i="1"/>
  <c r="Q59" i="1"/>
  <c r="S59" i="1"/>
  <c r="BC59" i="1" s="1"/>
  <c r="T36" i="1"/>
  <c r="BE36" i="1" s="1"/>
  <c r="BA36" i="1"/>
  <c r="Q36" i="1"/>
  <c r="S36" i="1"/>
  <c r="BC36" i="1" s="1"/>
  <c r="Q8" i="1"/>
  <c r="S8" i="1"/>
  <c r="BC8" i="1" s="1"/>
  <c r="BA8" i="1"/>
  <c r="T8" i="1"/>
  <c r="BE8" i="1" s="1"/>
  <c r="Q96" i="1"/>
  <c r="S96" i="1"/>
  <c r="BC96" i="1" s="1"/>
  <c r="T96" i="1"/>
  <c r="BE96" i="1" s="1"/>
  <c r="BA96" i="1"/>
  <c r="S917" i="1"/>
  <c r="BC917" i="1" s="1"/>
  <c r="Q917" i="1"/>
  <c r="BA917" i="1"/>
  <c r="T917" i="1"/>
  <c r="BE917" i="1" s="1"/>
  <c r="AY994" i="1"/>
  <c r="P994" i="1"/>
  <c r="Q688" i="1"/>
  <c r="S688" i="1"/>
  <c r="BC688" i="1" s="1"/>
  <c r="T688" i="1"/>
  <c r="BE688" i="1" s="1"/>
  <c r="BA688" i="1"/>
  <c r="Q656" i="1"/>
  <c r="S656" i="1"/>
  <c r="BC656" i="1" s="1"/>
  <c r="T656" i="1"/>
  <c r="BE656" i="1" s="1"/>
  <c r="BA656" i="1"/>
  <c r="Q624" i="1"/>
  <c r="S624" i="1"/>
  <c r="BC624" i="1" s="1"/>
  <c r="T624" i="1"/>
  <c r="BE624" i="1" s="1"/>
  <c r="BA624" i="1"/>
  <c r="Q873" i="1"/>
  <c r="BA873" i="1"/>
  <c r="S873" i="1"/>
  <c r="BC873" i="1" s="1"/>
  <c r="T873" i="1"/>
  <c r="BE873" i="1" s="1"/>
  <c r="T823" i="1"/>
  <c r="BE823" i="1" s="1"/>
  <c r="Q823" i="1"/>
  <c r="S823" i="1"/>
  <c r="BC823" i="1" s="1"/>
  <c r="BA823" i="1"/>
  <c r="AY727" i="1"/>
  <c r="P727" i="1"/>
  <c r="Q691" i="1"/>
  <c r="S691" i="1"/>
  <c r="BC691" i="1" s="1"/>
  <c r="T691" i="1"/>
  <c r="BE691" i="1" s="1"/>
  <c r="BA691" i="1"/>
  <c r="Q659" i="1"/>
  <c r="S659" i="1"/>
  <c r="BC659" i="1" s="1"/>
  <c r="T659" i="1"/>
  <c r="BE659" i="1" s="1"/>
  <c r="BA659" i="1"/>
  <c r="Q627" i="1"/>
  <c r="S627" i="1"/>
  <c r="BC627" i="1" s="1"/>
  <c r="T627" i="1"/>
  <c r="BE627" i="1" s="1"/>
  <c r="BA627" i="1"/>
  <c r="Q674" i="1"/>
  <c r="S674" i="1"/>
  <c r="BC674" i="1" s="1"/>
  <c r="T674" i="1"/>
  <c r="BE674" i="1" s="1"/>
  <c r="BA674" i="1"/>
  <c r="Q642" i="1"/>
  <c r="S642" i="1"/>
  <c r="BC642" i="1" s="1"/>
  <c r="T642" i="1"/>
  <c r="BE642" i="1" s="1"/>
  <c r="BA642" i="1"/>
  <c r="Q610" i="1"/>
  <c r="S610" i="1"/>
  <c r="BC610" i="1" s="1"/>
  <c r="T610" i="1"/>
  <c r="BE610" i="1" s="1"/>
  <c r="BA610" i="1"/>
  <c r="Q665" i="1"/>
  <c r="S665" i="1"/>
  <c r="BC665" i="1" s="1"/>
  <c r="T665" i="1"/>
  <c r="BE665" i="1" s="1"/>
  <c r="BA665" i="1"/>
  <c r="Q633" i="1"/>
  <c r="S633" i="1"/>
  <c r="BC633" i="1" s="1"/>
  <c r="T633" i="1"/>
  <c r="BE633" i="1" s="1"/>
  <c r="BA633" i="1"/>
  <c r="T567" i="1"/>
  <c r="BE567" i="1" s="1"/>
  <c r="BA567" i="1"/>
  <c r="Q567" i="1"/>
  <c r="S567" i="1"/>
  <c r="BC567" i="1" s="1"/>
  <c r="T551" i="1"/>
  <c r="BE551" i="1" s="1"/>
  <c r="BA551" i="1"/>
  <c r="Q551" i="1"/>
  <c r="S551" i="1"/>
  <c r="BC551" i="1" s="1"/>
  <c r="Q492" i="1"/>
  <c r="S492" i="1"/>
  <c r="BC492" i="1" s="1"/>
  <c r="T492" i="1"/>
  <c r="BE492" i="1" s="1"/>
  <c r="BA492" i="1"/>
  <c r="Q489" i="1"/>
  <c r="S489" i="1"/>
  <c r="BC489" i="1" s="1"/>
  <c r="T489" i="1"/>
  <c r="BE489" i="1" s="1"/>
  <c r="BA489" i="1"/>
  <c r="AH759" i="1"/>
  <c r="AY403" i="1"/>
  <c r="P403" i="1"/>
  <c r="P409" i="1"/>
  <c r="AY343" i="1"/>
  <c r="P343" i="1"/>
  <c r="Q303" i="1"/>
  <c r="S303" i="1"/>
  <c r="BC303" i="1" s="1"/>
  <c r="T303" i="1"/>
  <c r="BE303" i="1" s="1"/>
  <c r="BA303" i="1"/>
  <c r="Q326" i="1"/>
  <c r="S326" i="1"/>
  <c r="BC326" i="1" s="1"/>
  <c r="T326" i="1"/>
  <c r="BE326" i="1" s="1"/>
  <c r="BA326" i="1"/>
  <c r="Q294" i="1"/>
  <c r="S294" i="1"/>
  <c r="BC294" i="1" s="1"/>
  <c r="T294" i="1"/>
  <c r="BE294" i="1" s="1"/>
  <c r="BA294" i="1"/>
  <c r="P337" i="1"/>
  <c r="AY337" i="1"/>
  <c r="Q309" i="1"/>
  <c r="S309" i="1"/>
  <c r="BC309" i="1" s="1"/>
  <c r="T309" i="1"/>
  <c r="BE309" i="1" s="1"/>
  <c r="BA309" i="1"/>
  <c r="AY335" i="1"/>
  <c r="P335" i="1"/>
  <c r="AY330" i="1"/>
  <c r="P330" i="1"/>
  <c r="Q300" i="1"/>
  <c r="S300" i="1"/>
  <c r="BC300" i="1" s="1"/>
  <c r="T300" i="1"/>
  <c r="BE300" i="1" s="1"/>
  <c r="BA300" i="1"/>
  <c r="T213" i="1"/>
  <c r="BE213" i="1" s="1"/>
  <c r="BA213" i="1"/>
  <c r="Q213" i="1"/>
  <c r="S213" i="1"/>
  <c r="BC213" i="1" s="1"/>
  <c r="Q84" i="1"/>
  <c r="S84" i="1"/>
  <c r="BC84" i="1" s="1"/>
  <c r="T84" i="1"/>
  <c r="BE84" i="1" s="1"/>
  <c r="BA84" i="1"/>
  <c r="AL953" i="1" l="1"/>
  <c r="AL955" i="1"/>
  <c r="T337" i="1"/>
  <c r="BE337" i="1" s="1"/>
  <c r="BA337" i="1"/>
  <c r="Q337" i="1"/>
  <c r="S337" i="1"/>
  <c r="BC337" i="1" s="1"/>
  <c r="T457" i="1"/>
  <c r="BE457" i="1" s="1"/>
  <c r="BA457" i="1"/>
  <c r="Q457" i="1"/>
  <c r="S457" i="1"/>
  <c r="BC457" i="1" s="1"/>
  <c r="S385" i="1"/>
  <c r="BC385" i="1" s="1"/>
  <c r="T385" i="1"/>
  <c r="BE385" i="1" s="1"/>
  <c r="BA385" i="1"/>
  <c r="Q385" i="1"/>
  <c r="AY400" i="1"/>
  <c r="P400" i="1"/>
  <c r="S473" i="1"/>
  <c r="BC473" i="1" s="1"/>
  <c r="T473" i="1"/>
  <c r="BE473" i="1" s="1"/>
  <c r="BA473" i="1"/>
  <c r="Q473" i="1"/>
  <c r="T453" i="1"/>
  <c r="BE453" i="1" s="1"/>
  <c r="BA453" i="1"/>
  <c r="Q453" i="1"/>
  <c r="S453" i="1"/>
  <c r="BC453" i="1" s="1"/>
  <c r="Q335" i="1"/>
  <c r="T335" i="1"/>
  <c r="BE335" i="1" s="1"/>
  <c r="BA335" i="1"/>
  <c r="S335" i="1"/>
  <c r="BC335" i="1" s="1"/>
  <c r="T343" i="1"/>
  <c r="BE343" i="1" s="1"/>
  <c r="BA343" i="1"/>
  <c r="S343" i="1"/>
  <c r="BC343" i="1" s="1"/>
  <c r="Q343" i="1"/>
  <c r="S994" i="1"/>
  <c r="BC994" i="1" s="1"/>
  <c r="BA994" i="1"/>
  <c r="Q994" i="1"/>
  <c r="T994" i="1"/>
  <c r="BE994" i="1" s="1"/>
  <c r="S721" i="1"/>
  <c r="BC721" i="1" s="1"/>
  <c r="T721" i="1"/>
  <c r="BE721" i="1" s="1"/>
  <c r="BA721" i="1"/>
  <c r="Q721" i="1"/>
  <c r="BC7" i="1"/>
  <c r="T454" i="1"/>
  <c r="BE454" i="1" s="1"/>
  <c r="BA454" i="1"/>
  <c r="Q454" i="1"/>
  <c r="S454" i="1"/>
  <c r="BC454" i="1" s="1"/>
  <c r="T859" i="1"/>
  <c r="BE859" i="1" s="1"/>
  <c r="S859" i="1"/>
  <c r="BC859" i="1" s="1"/>
  <c r="BA859" i="1"/>
  <c r="Q859" i="1"/>
  <c r="S387" i="1"/>
  <c r="BC387" i="1" s="1"/>
  <c r="BA387" i="1"/>
  <c r="T387" i="1"/>
  <c r="BE387" i="1" s="1"/>
  <c r="Q387" i="1"/>
  <c r="Q777" i="1"/>
  <c r="T777" i="1"/>
  <c r="BE777" i="1" s="1"/>
  <c r="BA777" i="1"/>
  <c r="S777" i="1"/>
  <c r="BC777" i="1" s="1"/>
  <c r="S399" i="1"/>
  <c r="BC399" i="1" s="1"/>
  <c r="T399" i="1"/>
  <c r="BE399" i="1" s="1"/>
  <c r="BA399" i="1"/>
  <c r="Q399" i="1"/>
  <c r="T417" i="1"/>
  <c r="BE417" i="1" s="1"/>
  <c r="BA417" i="1"/>
  <c r="Q417" i="1"/>
  <c r="S417" i="1"/>
  <c r="BC417" i="1" s="1"/>
  <c r="S720" i="1"/>
  <c r="BC720" i="1" s="1"/>
  <c r="T720" i="1"/>
  <c r="BE720" i="1" s="1"/>
  <c r="BA720" i="1"/>
  <c r="Q720" i="1"/>
  <c r="Q769" i="1"/>
  <c r="T769" i="1"/>
  <c r="BE769" i="1" s="1"/>
  <c r="BA769" i="1"/>
  <c r="S769" i="1"/>
  <c r="BC769" i="1" s="1"/>
  <c r="S837" i="1"/>
  <c r="BC837" i="1" s="1"/>
  <c r="Q837" i="1"/>
  <c r="BA837" i="1"/>
  <c r="T837" i="1"/>
  <c r="BE837" i="1" s="1"/>
  <c r="S100" i="1"/>
  <c r="BC100" i="1" s="1"/>
  <c r="T100" i="1"/>
  <c r="BE100" i="1" s="1"/>
  <c r="BA100" i="1"/>
  <c r="Q100" i="1"/>
  <c r="BA391" i="1"/>
  <c r="Q391" i="1"/>
  <c r="S391" i="1"/>
  <c r="BC391" i="1" s="1"/>
  <c r="T391" i="1"/>
  <c r="BE391" i="1" s="1"/>
  <c r="Q472" i="1"/>
  <c r="S472" i="1"/>
  <c r="BC472" i="1" s="1"/>
  <c r="BA472" i="1"/>
  <c r="T472" i="1"/>
  <c r="BE472" i="1" s="1"/>
  <c r="BC900" i="1"/>
  <c r="S951" i="1"/>
  <c r="BC951" i="1" s="1"/>
  <c r="S353" i="1"/>
  <c r="BC353" i="1" s="1"/>
  <c r="T353" i="1"/>
  <c r="BE353" i="1" s="1"/>
  <c r="BA353" i="1"/>
  <c r="Q353" i="1"/>
  <c r="Q102" i="1"/>
  <c r="S102" i="1"/>
  <c r="BC102" i="1" s="1"/>
  <c r="BA102" i="1"/>
  <c r="T102" i="1"/>
  <c r="BE102" i="1" s="1"/>
  <c r="S404" i="1"/>
  <c r="BC404" i="1" s="1"/>
  <c r="T404" i="1"/>
  <c r="BE404" i="1" s="1"/>
  <c r="BA404" i="1"/>
  <c r="Q404" i="1"/>
  <c r="S704" i="1"/>
  <c r="BC704" i="1" s="1"/>
  <c r="T704" i="1"/>
  <c r="BE704" i="1" s="1"/>
  <c r="BA704" i="1"/>
  <c r="Q704" i="1"/>
  <c r="S738" i="1"/>
  <c r="BC738" i="1" s="1"/>
  <c r="T738" i="1"/>
  <c r="BE738" i="1" s="1"/>
  <c r="BA738" i="1"/>
  <c r="Q738" i="1"/>
  <c r="BA107" i="1"/>
  <c r="Q107" i="1"/>
  <c r="S107" i="1"/>
  <c r="BC107" i="1" s="1"/>
  <c r="T107" i="1"/>
  <c r="BE107" i="1" s="1"/>
  <c r="S717" i="1"/>
  <c r="BC717" i="1" s="1"/>
  <c r="T717" i="1"/>
  <c r="BE717" i="1" s="1"/>
  <c r="BA717" i="1"/>
  <c r="Q717" i="1"/>
  <c r="S348" i="1"/>
  <c r="BC348" i="1" s="1"/>
  <c r="T348" i="1"/>
  <c r="BE348" i="1" s="1"/>
  <c r="BA348" i="1"/>
  <c r="Q348" i="1"/>
  <c r="S349" i="1"/>
  <c r="BC349" i="1" s="1"/>
  <c r="T349" i="1"/>
  <c r="BE349" i="1" s="1"/>
  <c r="BA349" i="1"/>
  <c r="Q349" i="1"/>
  <c r="T456" i="1"/>
  <c r="BE456" i="1" s="1"/>
  <c r="BA456" i="1"/>
  <c r="Q456" i="1"/>
  <c r="S456" i="1"/>
  <c r="BC456" i="1" s="1"/>
  <c r="S735" i="1"/>
  <c r="BC735" i="1" s="1"/>
  <c r="T735" i="1"/>
  <c r="BE735" i="1" s="1"/>
  <c r="BA735" i="1"/>
  <c r="Q735" i="1"/>
  <c r="AY765" i="1"/>
  <c r="P765" i="1"/>
  <c r="S1039" i="1"/>
  <c r="S1061" i="1" s="1"/>
  <c r="BA1061" i="1" s="1"/>
  <c r="BA1039" i="1"/>
  <c r="T1039" i="1"/>
  <c r="BE1039" i="1" s="1"/>
  <c r="Q1039" i="1"/>
  <c r="T461" i="1"/>
  <c r="BE461" i="1" s="1"/>
  <c r="BA461" i="1"/>
  <c r="Q461" i="1"/>
  <c r="S461" i="1"/>
  <c r="BC461" i="1" s="1"/>
  <c r="T345" i="1"/>
  <c r="BE345" i="1" s="1"/>
  <c r="BA345" i="1"/>
  <c r="Q345" i="1"/>
  <c r="S345" i="1"/>
  <c r="BC345" i="1" s="1"/>
  <c r="T747" i="1"/>
  <c r="BE747" i="1" s="1"/>
  <c r="BA747" i="1"/>
  <c r="Q747" i="1"/>
  <c r="S747" i="1"/>
  <c r="BC747" i="1" s="1"/>
  <c r="S352" i="1"/>
  <c r="BC352" i="1" s="1"/>
  <c r="T352" i="1"/>
  <c r="BE352" i="1" s="1"/>
  <c r="BA352" i="1"/>
  <c r="Q352" i="1"/>
  <c r="S998" i="1"/>
  <c r="BC998" i="1" s="1"/>
  <c r="BA998" i="1"/>
  <c r="T998" i="1"/>
  <c r="BE998" i="1" s="1"/>
  <c r="Q998" i="1"/>
  <c r="AY474" i="1"/>
  <c r="P474" i="1"/>
  <c r="AY770" i="1"/>
  <c r="P770" i="1"/>
  <c r="T341" i="1"/>
  <c r="BE341" i="1" s="1"/>
  <c r="BA341" i="1"/>
  <c r="Q341" i="1"/>
  <c r="S341" i="1"/>
  <c r="BC341" i="1" s="1"/>
  <c r="S354" i="1"/>
  <c r="BC354" i="1" s="1"/>
  <c r="T354" i="1"/>
  <c r="BE354" i="1" s="1"/>
  <c r="BA354" i="1"/>
  <c r="Q354" i="1"/>
  <c r="Q822" i="1"/>
  <c r="BA822" i="1"/>
  <c r="S822" i="1"/>
  <c r="BC822" i="1" s="1"/>
  <c r="T822" i="1"/>
  <c r="BE822" i="1" s="1"/>
  <c r="AY401" i="1"/>
  <c r="P401" i="1"/>
  <c r="Q470" i="1"/>
  <c r="S470" i="1"/>
  <c r="BC470" i="1" s="1"/>
  <c r="T470" i="1"/>
  <c r="BE470" i="1" s="1"/>
  <c r="BA470" i="1"/>
  <c r="T818" i="1"/>
  <c r="BE818" i="1" s="1"/>
  <c r="S818" i="1"/>
  <c r="BC818" i="1" s="1"/>
  <c r="Q818" i="1"/>
  <c r="BA818" i="1"/>
  <c r="T115" i="1"/>
  <c r="BE115" i="1" s="1"/>
  <c r="BA115" i="1"/>
  <c r="Q115" i="1"/>
  <c r="S115" i="1"/>
  <c r="BC115" i="1" s="1"/>
  <c r="Q469" i="1"/>
  <c r="S469" i="1"/>
  <c r="BC469" i="1" s="1"/>
  <c r="T469" i="1"/>
  <c r="BE469" i="1" s="1"/>
  <c r="BA469" i="1"/>
  <c r="S719" i="1"/>
  <c r="BC719" i="1" s="1"/>
  <c r="T719" i="1"/>
  <c r="BE719" i="1" s="1"/>
  <c r="BA719" i="1"/>
  <c r="Q719" i="1"/>
  <c r="BA966" i="1"/>
  <c r="O970" i="1"/>
  <c r="BA970" i="1" s="1"/>
  <c r="O968" i="1"/>
  <c r="BA968" i="1" s="1"/>
  <c r="S351" i="1"/>
  <c r="BC351" i="1" s="1"/>
  <c r="T351" i="1"/>
  <c r="BE351" i="1" s="1"/>
  <c r="BA351" i="1"/>
  <c r="Q351" i="1"/>
  <c r="Q418" i="1"/>
  <c r="S418" i="1"/>
  <c r="BC418" i="1" s="1"/>
  <c r="T418" i="1"/>
  <c r="BE418" i="1" s="1"/>
  <c r="BA418" i="1"/>
  <c r="AY883" i="1"/>
  <c r="P883" i="1"/>
  <c r="AY282" i="1"/>
  <c r="P282" i="1"/>
  <c r="S725" i="1"/>
  <c r="BC725" i="1" s="1"/>
  <c r="T725" i="1"/>
  <c r="BE725" i="1" s="1"/>
  <c r="BA725" i="1"/>
  <c r="Q725" i="1"/>
  <c r="T751" i="1"/>
  <c r="BE751" i="1" s="1"/>
  <c r="BA751" i="1"/>
  <c r="Q751" i="1"/>
  <c r="S751" i="1"/>
  <c r="BC751" i="1" s="1"/>
  <c r="T108" i="1"/>
  <c r="BE108" i="1" s="1"/>
  <c r="BA108" i="1"/>
  <c r="Q108" i="1"/>
  <c r="S108" i="1"/>
  <c r="BC108" i="1" s="1"/>
  <c r="S709" i="1"/>
  <c r="BC709" i="1" s="1"/>
  <c r="T709" i="1"/>
  <c r="BE709" i="1" s="1"/>
  <c r="BA709" i="1"/>
  <c r="Q709" i="1"/>
  <c r="AH464" i="1"/>
  <c r="AH831" i="1" s="1"/>
  <c r="O958" i="1" s="1"/>
  <c r="T377" i="1"/>
  <c r="BE377" i="1" s="1"/>
  <c r="BA377" i="1"/>
  <c r="Q377" i="1"/>
  <c r="S377" i="1"/>
  <c r="BC377" i="1" s="1"/>
  <c r="AY406" i="1"/>
  <c r="P406" i="1"/>
  <c r="T99" i="1"/>
  <c r="BE99" i="1" s="1"/>
  <c r="BA99" i="1"/>
  <c r="Q99" i="1"/>
  <c r="S99" i="1"/>
  <c r="BC99" i="1" s="1"/>
  <c r="BA280" i="1"/>
  <c r="Q280" i="1"/>
  <c r="S280" i="1"/>
  <c r="BC280" i="1" s="1"/>
  <c r="T280" i="1"/>
  <c r="BE280" i="1" s="1"/>
  <c r="S710" i="1"/>
  <c r="BC710" i="1" s="1"/>
  <c r="T710" i="1"/>
  <c r="BE710" i="1" s="1"/>
  <c r="BA710" i="1"/>
  <c r="Q710" i="1"/>
  <c r="Q412" i="1"/>
  <c r="S412" i="1"/>
  <c r="BC412" i="1" s="1"/>
  <c r="T412" i="1"/>
  <c r="BE412" i="1" s="1"/>
  <c r="BA412" i="1"/>
  <c r="P962" i="1"/>
  <c r="BB962" i="1" s="1"/>
  <c r="BB958" i="1"/>
  <c r="P964" i="1"/>
  <c r="BB964" i="1" s="1"/>
  <c r="P972" i="1"/>
  <c r="S726" i="1"/>
  <c r="BC726" i="1" s="1"/>
  <c r="T726" i="1"/>
  <c r="BE726" i="1" s="1"/>
  <c r="BA726" i="1"/>
  <c r="Q726" i="1"/>
  <c r="T388" i="1"/>
  <c r="BE388" i="1" s="1"/>
  <c r="Q388" i="1"/>
  <c r="BA388" i="1"/>
  <c r="S388" i="1"/>
  <c r="BC388" i="1" s="1"/>
  <c r="S729" i="1"/>
  <c r="BC729" i="1" s="1"/>
  <c r="T729" i="1"/>
  <c r="BE729" i="1" s="1"/>
  <c r="BA729" i="1"/>
  <c r="Q729" i="1"/>
  <c r="Q333" i="1"/>
  <c r="T333" i="1"/>
  <c r="BE333" i="1" s="1"/>
  <c r="BA333" i="1"/>
  <c r="S333" i="1"/>
  <c r="BC333" i="1" s="1"/>
  <c r="T1002" i="1"/>
  <c r="BE1002" i="1" s="1"/>
  <c r="T1015" i="1"/>
  <c r="BB1015" i="1" s="1"/>
  <c r="T1016" i="1"/>
  <c r="BB1016" i="1" s="1"/>
  <c r="BE991" i="1"/>
  <c r="Q16" i="1"/>
  <c r="S16" i="1"/>
  <c r="BC16" i="1" s="1"/>
  <c r="BA16" i="1"/>
  <c r="T16" i="1"/>
  <c r="BE16" i="1" s="1"/>
  <c r="Q329" i="1"/>
  <c r="S329" i="1"/>
  <c r="BC329" i="1" s="1"/>
  <c r="T329" i="1"/>
  <c r="BE329" i="1" s="1"/>
  <c r="BA329" i="1"/>
  <c r="S716" i="1"/>
  <c r="BC716" i="1" s="1"/>
  <c r="T716" i="1"/>
  <c r="BE716" i="1" s="1"/>
  <c r="BA716" i="1"/>
  <c r="Q716" i="1"/>
  <c r="S101" i="1"/>
  <c r="BC101" i="1" s="1"/>
  <c r="T101" i="1"/>
  <c r="BE101" i="1" s="1"/>
  <c r="BA101" i="1"/>
  <c r="Q101" i="1"/>
  <c r="Q331" i="1"/>
  <c r="S331" i="1"/>
  <c r="BC331" i="1" s="1"/>
  <c r="T331" i="1"/>
  <c r="BE331" i="1" s="1"/>
  <c r="BA331" i="1"/>
  <c r="Q411" i="1"/>
  <c r="S411" i="1"/>
  <c r="BC411" i="1" s="1"/>
  <c r="BA411" i="1"/>
  <c r="T411" i="1"/>
  <c r="BE411" i="1" s="1"/>
  <c r="S708" i="1"/>
  <c r="BC708" i="1" s="1"/>
  <c r="T708" i="1"/>
  <c r="BE708" i="1" s="1"/>
  <c r="BA708" i="1"/>
  <c r="Q708" i="1"/>
  <c r="AY763" i="1"/>
  <c r="P763" i="1"/>
  <c r="S124" i="1"/>
  <c r="BC124" i="1" s="1"/>
  <c r="T124" i="1"/>
  <c r="BE124" i="1" s="1"/>
  <c r="BA124" i="1"/>
  <c r="Q124" i="1"/>
  <c r="BA110" i="1"/>
  <c r="Q110" i="1"/>
  <c r="S110" i="1"/>
  <c r="BC110" i="1" s="1"/>
  <c r="T110" i="1"/>
  <c r="BE110" i="1" s="1"/>
  <c r="BA376" i="1"/>
  <c r="Q376" i="1"/>
  <c r="S376" i="1"/>
  <c r="BC376" i="1" s="1"/>
  <c r="T376" i="1"/>
  <c r="BE376" i="1" s="1"/>
  <c r="Q468" i="1"/>
  <c r="S468" i="1"/>
  <c r="BC468" i="1" s="1"/>
  <c r="T468" i="1"/>
  <c r="BE468" i="1" s="1"/>
  <c r="BA468" i="1"/>
  <c r="BE900" i="1"/>
  <c r="T951" i="1"/>
  <c r="BE951" i="1" s="1"/>
  <c r="T460" i="1"/>
  <c r="BE460" i="1" s="1"/>
  <c r="BA460" i="1"/>
  <c r="Q460" i="1"/>
  <c r="S460" i="1"/>
  <c r="BC460" i="1" s="1"/>
  <c r="T856" i="1"/>
  <c r="BE856" i="1" s="1"/>
  <c r="BA856" i="1"/>
  <c r="Q856" i="1"/>
  <c r="S856" i="1"/>
  <c r="BC856" i="1" s="1"/>
  <c r="AY11" i="1"/>
  <c r="P11" i="1"/>
  <c r="Q334" i="1"/>
  <c r="T334" i="1"/>
  <c r="BE334" i="1" s="1"/>
  <c r="BA334" i="1"/>
  <c r="S334" i="1"/>
  <c r="BC334" i="1" s="1"/>
  <c r="Q407" i="1"/>
  <c r="S407" i="1"/>
  <c r="BC407" i="1" s="1"/>
  <c r="T407" i="1"/>
  <c r="BE407" i="1" s="1"/>
  <c r="BA407" i="1"/>
  <c r="Q408" i="1"/>
  <c r="S408" i="1"/>
  <c r="BC408" i="1" s="1"/>
  <c r="T408" i="1"/>
  <c r="BE408" i="1" s="1"/>
  <c r="BA408" i="1"/>
  <c r="S737" i="1"/>
  <c r="BC737" i="1" s="1"/>
  <c r="T737" i="1"/>
  <c r="BE737" i="1" s="1"/>
  <c r="BA737" i="1"/>
  <c r="Q737" i="1"/>
  <c r="S109" i="1"/>
  <c r="BC109" i="1" s="1"/>
  <c r="T109" i="1"/>
  <c r="BE109" i="1" s="1"/>
  <c r="Q109" i="1"/>
  <c r="BA109" i="1"/>
  <c r="T347" i="1"/>
  <c r="BE347" i="1" s="1"/>
  <c r="BA347" i="1"/>
  <c r="S347" i="1"/>
  <c r="BC347" i="1" s="1"/>
  <c r="Q347" i="1"/>
  <c r="T462" i="1"/>
  <c r="BE462" i="1" s="1"/>
  <c r="BA462" i="1"/>
  <c r="Q462" i="1"/>
  <c r="S462" i="1"/>
  <c r="BC462" i="1" s="1"/>
  <c r="T1048" i="1"/>
  <c r="BE1048" i="1" s="1"/>
  <c r="AY390" i="1"/>
  <c r="P390" i="1"/>
  <c r="S724" i="1"/>
  <c r="BC724" i="1" s="1"/>
  <c r="T724" i="1"/>
  <c r="BE724" i="1" s="1"/>
  <c r="BA724" i="1"/>
  <c r="Q724" i="1"/>
  <c r="T455" i="1"/>
  <c r="BE455" i="1" s="1"/>
  <c r="BA455" i="1"/>
  <c r="Q455" i="1"/>
  <c r="S455" i="1"/>
  <c r="BC455" i="1" s="1"/>
  <c r="AY405" i="1"/>
  <c r="P405" i="1"/>
  <c r="S706" i="1"/>
  <c r="BC706" i="1" s="1"/>
  <c r="T706" i="1"/>
  <c r="BE706" i="1" s="1"/>
  <c r="BA706" i="1"/>
  <c r="Q706" i="1"/>
  <c r="Q778" i="1"/>
  <c r="T778" i="1"/>
  <c r="BE778" i="1" s="1"/>
  <c r="BA778" i="1"/>
  <c r="S778" i="1"/>
  <c r="BC778" i="1" s="1"/>
  <c r="AY389" i="1"/>
  <c r="P389" i="1"/>
  <c r="T378" i="1"/>
  <c r="BE378" i="1" s="1"/>
  <c r="BA378" i="1"/>
  <c r="Q378" i="1"/>
  <c r="S378" i="1"/>
  <c r="BC378" i="1" s="1"/>
  <c r="T458" i="1"/>
  <c r="BE458" i="1" s="1"/>
  <c r="BA458" i="1"/>
  <c r="Q458" i="1"/>
  <c r="S458" i="1"/>
  <c r="BC458" i="1" s="1"/>
  <c r="T749" i="1"/>
  <c r="BE749" i="1" s="1"/>
  <c r="BA749" i="1"/>
  <c r="Q749" i="1"/>
  <c r="S749" i="1"/>
  <c r="BC749" i="1" s="1"/>
  <c r="AY15" i="1"/>
  <c r="P15" i="1"/>
  <c r="T459" i="1"/>
  <c r="BE459" i="1" s="1"/>
  <c r="BA459" i="1"/>
  <c r="Q459" i="1"/>
  <c r="S459" i="1"/>
  <c r="BC459" i="1" s="1"/>
  <c r="AY806" i="1"/>
  <c r="P806" i="1"/>
  <c r="Q330" i="1"/>
  <c r="S330" i="1"/>
  <c r="BC330" i="1" s="1"/>
  <c r="T330" i="1"/>
  <c r="BE330" i="1" s="1"/>
  <c r="BA330" i="1"/>
  <c r="BA409" i="1"/>
  <c r="Q409" i="1"/>
  <c r="S409" i="1"/>
  <c r="BC409" i="1" s="1"/>
  <c r="T409" i="1"/>
  <c r="BE409" i="1" s="1"/>
  <c r="S727" i="1"/>
  <c r="BC727" i="1" s="1"/>
  <c r="T727" i="1"/>
  <c r="BE727" i="1" s="1"/>
  <c r="BA727" i="1"/>
  <c r="Q727" i="1"/>
  <c r="S728" i="1"/>
  <c r="BC728" i="1" s="1"/>
  <c r="T728" i="1"/>
  <c r="BE728" i="1" s="1"/>
  <c r="BA728" i="1"/>
  <c r="Q728" i="1"/>
  <c r="Q766" i="1"/>
  <c r="BA766" i="1"/>
  <c r="T766" i="1"/>
  <c r="BE766" i="1" s="1"/>
  <c r="S766" i="1"/>
  <c r="BC766" i="1" s="1"/>
  <c r="BE7" i="1"/>
  <c r="T287" i="1"/>
  <c r="BE287" i="1" s="1"/>
  <c r="Q287" i="1"/>
  <c r="S287" i="1"/>
  <c r="BC287" i="1" s="1"/>
  <c r="BA287" i="1"/>
  <c r="Q403" i="1"/>
  <c r="BA403" i="1"/>
  <c r="S403" i="1"/>
  <c r="BC403" i="1" s="1"/>
  <c r="T403" i="1"/>
  <c r="BE403" i="1" s="1"/>
  <c r="S734" i="1"/>
  <c r="BC734" i="1" s="1"/>
  <c r="T734" i="1"/>
  <c r="BE734" i="1" s="1"/>
  <c r="BA734" i="1"/>
  <c r="Q734" i="1"/>
  <c r="T834" i="1"/>
  <c r="BA834" i="1"/>
  <c r="Q834" i="1"/>
  <c r="S834" i="1"/>
  <c r="T111" i="1"/>
  <c r="BE111" i="1" s="1"/>
  <c r="BA111" i="1"/>
  <c r="Q111" i="1"/>
  <c r="S111" i="1"/>
  <c r="BC111" i="1" s="1"/>
  <c r="S350" i="1"/>
  <c r="BC350" i="1" s="1"/>
  <c r="T350" i="1"/>
  <c r="BE350" i="1" s="1"/>
  <c r="BA350" i="1"/>
  <c r="Q350" i="1"/>
  <c r="AY784" i="1"/>
  <c r="P784" i="1"/>
  <c r="S718" i="1"/>
  <c r="BC718" i="1" s="1"/>
  <c r="T718" i="1"/>
  <c r="BE718" i="1" s="1"/>
  <c r="BA718" i="1"/>
  <c r="Q718" i="1"/>
  <c r="Q336" i="1"/>
  <c r="T336" i="1"/>
  <c r="BE336" i="1" s="1"/>
  <c r="BA336" i="1"/>
  <c r="S336" i="1"/>
  <c r="BC336" i="1" s="1"/>
  <c r="S732" i="1"/>
  <c r="BC732" i="1" s="1"/>
  <c r="T732" i="1"/>
  <c r="BE732" i="1" s="1"/>
  <c r="BA732" i="1"/>
  <c r="Q732" i="1"/>
  <c r="S730" i="1"/>
  <c r="BC730" i="1" s="1"/>
  <c r="T730" i="1"/>
  <c r="BE730" i="1" s="1"/>
  <c r="BA730" i="1"/>
  <c r="Q730" i="1"/>
  <c r="Q467" i="1"/>
  <c r="S467" i="1"/>
  <c r="T467" i="1"/>
  <c r="BA467" i="1"/>
  <c r="T882" i="1"/>
  <c r="BA882" i="1"/>
  <c r="Q882" i="1"/>
  <c r="S882" i="1"/>
  <c r="Q402" i="1"/>
  <c r="S402" i="1"/>
  <c r="BC402" i="1" s="1"/>
  <c r="T402" i="1"/>
  <c r="BE402" i="1" s="1"/>
  <c r="BA402" i="1"/>
  <c r="S731" i="1"/>
  <c r="BC731" i="1" s="1"/>
  <c r="T731" i="1"/>
  <c r="BE731" i="1" s="1"/>
  <c r="BA731" i="1"/>
  <c r="Q731" i="1"/>
  <c r="T1062" i="1"/>
  <c r="BB1062" i="1" s="1"/>
  <c r="S103" i="1"/>
  <c r="BC103" i="1" s="1"/>
  <c r="T103" i="1"/>
  <c r="BE103" i="1" s="1"/>
  <c r="BA103" i="1"/>
  <c r="Q103" i="1"/>
  <c r="Q332" i="1"/>
  <c r="T332" i="1"/>
  <c r="BE332" i="1" s="1"/>
  <c r="BA332" i="1"/>
  <c r="S332" i="1"/>
  <c r="BC332" i="1" s="1"/>
  <c r="S733" i="1"/>
  <c r="BC733" i="1" s="1"/>
  <c r="T733" i="1"/>
  <c r="BE733" i="1" s="1"/>
  <c r="BA733" i="1"/>
  <c r="Q733" i="1"/>
  <c r="S122" i="1"/>
  <c r="BC122" i="1" s="1"/>
  <c r="T122" i="1"/>
  <c r="BE122" i="1" s="1"/>
  <c r="BA122" i="1"/>
  <c r="Q122" i="1"/>
  <c r="AY393" i="1"/>
  <c r="P393" i="1"/>
  <c r="AY838" i="1"/>
  <c r="P838" i="1"/>
  <c r="S380" i="1"/>
  <c r="BC380" i="1" s="1"/>
  <c r="T380" i="1"/>
  <c r="BE380" i="1" s="1"/>
  <c r="BA380" i="1"/>
  <c r="Q380" i="1"/>
  <c r="S736" i="1"/>
  <c r="BC736" i="1" s="1"/>
  <c r="T736" i="1"/>
  <c r="BE736" i="1" s="1"/>
  <c r="BA736" i="1"/>
  <c r="Q736" i="1"/>
  <c r="S722" i="1"/>
  <c r="BC722" i="1" s="1"/>
  <c r="T722" i="1"/>
  <c r="BE722" i="1" s="1"/>
  <c r="BA722" i="1"/>
  <c r="Q722" i="1"/>
  <c r="T339" i="1"/>
  <c r="BE339" i="1" s="1"/>
  <c r="BA339" i="1"/>
  <c r="S339" i="1"/>
  <c r="BC339" i="1" s="1"/>
  <c r="Q339" i="1"/>
  <c r="S723" i="1"/>
  <c r="BC723" i="1" s="1"/>
  <c r="T723" i="1"/>
  <c r="BE723" i="1" s="1"/>
  <c r="BA723" i="1"/>
  <c r="Q723" i="1"/>
  <c r="T836" i="1"/>
  <c r="BE836" i="1" s="1"/>
  <c r="BA836" i="1"/>
  <c r="Q836" i="1"/>
  <c r="S836" i="1"/>
  <c r="BC836" i="1" s="1"/>
  <c r="S1002" i="1"/>
  <c r="BC1002" i="1" s="1"/>
  <c r="BG1007" i="1" s="1"/>
  <c r="S1015" i="1"/>
  <c r="BA1015" i="1" s="1"/>
  <c r="S1016" i="1"/>
  <c r="BA1016" i="1" s="1"/>
  <c r="BC991" i="1"/>
  <c r="S125" i="1"/>
  <c r="BC125" i="1" s="1"/>
  <c r="T125" i="1"/>
  <c r="BE125" i="1" s="1"/>
  <c r="Q125" i="1"/>
  <c r="BA125" i="1"/>
  <c r="S705" i="1"/>
  <c r="BC705" i="1" s="1"/>
  <c r="T705" i="1"/>
  <c r="BE705" i="1" s="1"/>
  <c r="BA705" i="1"/>
  <c r="Q705" i="1"/>
  <c r="AJ878" i="1"/>
  <c r="BA958" i="1" l="1"/>
  <c r="O964" i="1"/>
  <c r="BA964" i="1" s="1"/>
  <c r="O972" i="1"/>
  <c r="O962" i="1"/>
  <c r="BA962" i="1" s="1"/>
  <c r="BC882" i="1"/>
  <c r="T784" i="1"/>
  <c r="BE784" i="1" s="1"/>
  <c r="BA784" i="1"/>
  <c r="Q784" i="1"/>
  <c r="S784" i="1"/>
  <c r="BC784" i="1" s="1"/>
  <c r="S11" i="1"/>
  <c r="T11" i="1"/>
  <c r="BA11" i="1"/>
  <c r="Q11" i="1"/>
  <c r="T763" i="1"/>
  <c r="Q763" i="1"/>
  <c r="S763" i="1"/>
  <c r="BA763" i="1"/>
  <c r="T282" i="1"/>
  <c r="BE282" i="1" s="1"/>
  <c r="Q282" i="1"/>
  <c r="BA282" i="1"/>
  <c r="S282" i="1"/>
  <c r="BC282" i="1" s="1"/>
  <c r="Q401" i="1"/>
  <c r="S401" i="1"/>
  <c r="BC401" i="1" s="1"/>
  <c r="T401" i="1"/>
  <c r="BE401" i="1" s="1"/>
  <c r="BA401" i="1"/>
  <c r="S474" i="1"/>
  <c r="BC474" i="1" s="1"/>
  <c r="BA474" i="1"/>
  <c r="T474" i="1"/>
  <c r="BE474" i="1" s="1"/>
  <c r="Q474" i="1"/>
  <c r="T1061" i="1"/>
  <c r="BB1061" i="1" s="1"/>
  <c r="S400" i="1"/>
  <c r="BC400" i="1" s="1"/>
  <c r="T400" i="1"/>
  <c r="BE400" i="1" s="1"/>
  <c r="BA400" i="1"/>
  <c r="Q400" i="1"/>
  <c r="S393" i="1"/>
  <c r="BC393" i="1" s="1"/>
  <c r="T393" i="1"/>
  <c r="BE393" i="1" s="1"/>
  <c r="BA393" i="1"/>
  <c r="Q393" i="1"/>
  <c r="BE467" i="1"/>
  <c r="T759" i="1"/>
  <c r="BE759" i="1" s="1"/>
  <c r="BE834" i="1"/>
  <c r="Q806" i="1"/>
  <c r="BA806" i="1"/>
  <c r="S806" i="1"/>
  <c r="BC806" i="1" s="1"/>
  <c r="T806" i="1"/>
  <c r="BE806" i="1" s="1"/>
  <c r="Q389" i="1"/>
  <c r="S389" i="1"/>
  <c r="BC389" i="1" s="1"/>
  <c r="T389" i="1"/>
  <c r="BE389" i="1" s="1"/>
  <c r="BA389" i="1"/>
  <c r="Q390" i="1"/>
  <c r="S390" i="1"/>
  <c r="BC390" i="1" s="1"/>
  <c r="T390" i="1"/>
  <c r="BE390" i="1" s="1"/>
  <c r="BA390" i="1"/>
  <c r="AH878" i="1"/>
  <c r="AH953" i="1" s="1"/>
  <c r="BC1039" i="1"/>
  <c r="S1048" i="1"/>
  <c r="BC1048" i="1" s="1"/>
  <c r="BG1053" i="1" s="1"/>
  <c r="AJ953" i="1"/>
  <c r="AJ955" i="1"/>
  <c r="BG1011" i="1"/>
  <c r="BG1009" i="1"/>
  <c r="BC467" i="1"/>
  <c r="S759" i="1"/>
  <c r="BC759" i="1" s="1"/>
  <c r="BC834" i="1"/>
  <c r="S980" i="1"/>
  <c r="BA980" i="1" s="1"/>
  <c r="BB972" i="1"/>
  <c r="P974" i="1"/>
  <c r="BB974" i="1" s="1"/>
  <c r="Q406" i="1"/>
  <c r="S406" i="1"/>
  <c r="BC406" i="1" s="1"/>
  <c r="T406" i="1"/>
  <c r="BE406" i="1" s="1"/>
  <c r="BA406" i="1"/>
  <c r="T883" i="1"/>
  <c r="BE883" i="1" s="1"/>
  <c r="S883" i="1"/>
  <c r="BC883" i="1" s="1"/>
  <c r="BA883" i="1"/>
  <c r="Q883" i="1"/>
  <c r="Q770" i="1"/>
  <c r="T770" i="1"/>
  <c r="BE770" i="1" s="1"/>
  <c r="S770" i="1"/>
  <c r="BC770" i="1" s="1"/>
  <c r="BA770" i="1"/>
  <c r="S765" i="1"/>
  <c r="BC765" i="1" s="1"/>
  <c r="BA765" i="1"/>
  <c r="T765" i="1"/>
  <c r="BE765" i="1" s="1"/>
  <c r="Q765" i="1"/>
  <c r="Q838" i="1"/>
  <c r="BA838" i="1"/>
  <c r="S838" i="1"/>
  <c r="BC838" i="1" s="1"/>
  <c r="T838" i="1"/>
  <c r="BE838" i="1" s="1"/>
  <c r="BE882" i="1"/>
  <c r="T15" i="1"/>
  <c r="BE15" i="1" s="1"/>
  <c r="Q15" i="1"/>
  <c r="S15" i="1"/>
  <c r="BC15" i="1" s="1"/>
  <c r="BA15" i="1"/>
  <c r="S405" i="1"/>
  <c r="BC405" i="1" s="1"/>
  <c r="T405" i="1"/>
  <c r="BE405" i="1" s="1"/>
  <c r="BA405" i="1"/>
  <c r="Q405" i="1"/>
  <c r="S1062" i="1"/>
  <c r="BA1062" i="1" s="1"/>
  <c r="T981" i="1" l="1"/>
  <c r="BB981" i="1" s="1"/>
  <c r="AH955" i="1"/>
  <c r="BE763" i="1"/>
  <c r="T829" i="1"/>
  <c r="BE829" i="1" s="1"/>
  <c r="BC11" i="1"/>
  <c r="S978" i="1"/>
  <c r="S464" i="1"/>
  <c r="BC464" i="1" s="1"/>
  <c r="S977" i="1"/>
  <c r="S877" i="1"/>
  <c r="BG1055" i="1"/>
  <c r="BG1057" i="1"/>
  <c r="T980" i="1"/>
  <c r="BB980" i="1" s="1"/>
  <c r="S897" i="1"/>
  <c r="BC897" i="1" s="1"/>
  <c r="BA972" i="1"/>
  <c r="O974" i="1"/>
  <c r="BA974" i="1" s="1"/>
  <c r="T897" i="1"/>
  <c r="BE897" i="1" s="1"/>
  <c r="S981" i="1"/>
  <c r="BA981" i="1" s="1"/>
  <c r="BC763" i="1"/>
  <c r="S829" i="1"/>
  <c r="BC829" i="1" s="1"/>
  <c r="T877" i="1"/>
  <c r="BE877" i="1" s="1"/>
  <c r="BE11" i="1"/>
  <c r="T464" i="1"/>
  <c r="BE464" i="1" s="1"/>
  <c r="T978" i="1"/>
  <c r="T977" i="1"/>
  <c r="T831" i="1" l="1"/>
  <c r="BC877" i="1"/>
  <c r="T983" i="1"/>
  <c r="BB983" i="1" s="1"/>
  <c r="BB977" i="1"/>
  <c r="BB978" i="1"/>
  <c r="T984" i="1"/>
  <c r="BB984" i="1" s="1"/>
  <c r="S831" i="1"/>
  <c r="BC831" i="1" s="1"/>
  <c r="S983" i="1"/>
  <c r="BA983" i="1" s="1"/>
  <c r="BA977" i="1"/>
  <c r="S984" i="1"/>
  <c r="BA984" i="1" s="1"/>
  <c r="BA978" i="1"/>
  <c r="S878" i="1"/>
  <c r="BC878" i="1" s="1"/>
  <c r="S955" i="1" l="1"/>
  <c r="BC955" i="1" s="1"/>
  <c r="S953" i="1"/>
  <c r="BC953" i="1" s="1"/>
  <c r="BE831" i="1"/>
  <c r="T878" i="1"/>
  <c r="BE878" i="1" l="1"/>
  <c r="T953" i="1"/>
  <c r="BE953" i="1" l="1"/>
  <c r="T955" i="1"/>
  <c r="BE955" i="1" s="1"/>
</calcChain>
</file>

<file path=xl/sharedStrings.xml><?xml version="1.0" encoding="utf-8"?>
<sst xmlns="http://schemas.openxmlformats.org/spreadsheetml/2006/main" count="639" uniqueCount="319">
  <si>
    <t>Total Tobacco Shortage</t>
  </si>
  <si>
    <t>Total Tobacco Excess</t>
  </si>
  <si>
    <t>As Per Cost</t>
  </si>
  <si>
    <t>As Per Sales</t>
  </si>
  <si>
    <t>Tobacco Cost %age with Discounts</t>
  </si>
  <si>
    <t>Discount Sales</t>
  </si>
  <si>
    <t>Tobacco Cost %age</t>
  </si>
  <si>
    <t>Tobacco Sale</t>
  </si>
  <si>
    <t>Tobacco Consumption Cost</t>
  </si>
  <si>
    <t>Variance</t>
  </si>
  <si>
    <t>Potential</t>
  </si>
  <si>
    <t>Actual</t>
  </si>
  <si>
    <t>Total Tobacco</t>
  </si>
  <si>
    <t>.</t>
  </si>
  <si>
    <t>B &amp; H Blue 20nos</t>
  </si>
  <si>
    <t>B &amp; H Blue 10nos</t>
  </si>
  <si>
    <t>Classic  20nos</t>
  </si>
  <si>
    <t>Classic Mild 10nos</t>
  </si>
  <si>
    <t>Gold Flaks 20nos</t>
  </si>
  <si>
    <t>Gold Flaks 10nos</t>
  </si>
  <si>
    <t>Tobacco</t>
  </si>
  <si>
    <t>Physical
Stock
Valuation</t>
  </si>
  <si>
    <t>Gross
Potential
Cost</t>
  </si>
  <si>
    <t>Gross
Potential
Qty</t>
  </si>
  <si>
    <t>Actual
Cons.
Cost</t>
  </si>
  <si>
    <t>Actual
Cons.
Qty</t>
  </si>
  <si>
    <t>Cost Price</t>
  </si>
  <si>
    <t>Opening
Balance</t>
  </si>
  <si>
    <t>Closing
Balance</t>
  </si>
  <si>
    <t>Variance
in Cost</t>
  </si>
  <si>
    <t>Variance
in Sales</t>
  </si>
  <si>
    <t>Selling
Price</t>
  </si>
  <si>
    <t>Variance %age</t>
  </si>
  <si>
    <t>Variance
Qty</t>
  </si>
  <si>
    <t xml:space="preserve"> Physical Closing</t>
  </si>
  <si>
    <t>Closing Balance</t>
  </si>
  <si>
    <t>Spoilage</t>
  </si>
  <si>
    <t>Banquet
Sale</t>
  </si>
  <si>
    <t>Adjustments
(+ / -)</t>
  </si>
  <si>
    <t>Cocktail
Sale / NC</t>
  </si>
  <si>
    <t>NC
Ala Carte</t>
  </si>
  <si>
    <t xml:space="preserve"> Sale
Ala Carte</t>
  </si>
  <si>
    <t>Total</t>
  </si>
  <si>
    <t>Transfer
In / Out</t>
  </si>
  <si>
    <t>Receipt</t>
  </si>
  <si>
    <t>Opening Balance</t>
  </si>
  <si>
    <t>Sale
UOM</t>
  </si>
  <si>
    <t>Receipt
UOM</t>
  </si>
  <si>
    <t>Particulars</t>
  </si>
  <si>
    <t>Tobacco Variance Report for Feb'16</t>
  </si>
  <si>
    <t>Total Coffee Shortage</t>
  </si>
  <si>
    <t>Total Coffee Excess</t>
  </si>
  <si>
    <t>Coffee Cost %age with Discounts</t>
  </si>
  <si>
    <t>Coffee Cost %age</t>
  </si>
  <si>
    <t>Coffee Sale</t>
  </si>
  <si>
    <t>Coffee Consumption Cost</t>
  </si>
  <si>
    <t>Total Coffee</t>
  </si>
  <si>
    <t>Coffee Lavazza</t>
  </si>
  <si>
    <t>Coffee</t>
  </si>
  <si>
    <t xml:space="preserve">Coffee Variance Report for Mar - </t>
  </si>
  <si>
    <t>Total Liq. &amp; Bev. Shortage</t>
  </si>
  <si>
    <t>Total Liq. &amp; Bev. Excess</t>
  </si>
  <si>
    <t>Total Beverages Shortage</t>
  </si>
  <si>
    <t>Total Beverages Excess</t>
  </si>
  <si>
    <t>Total Liquor Shortage</t>
  </si>
  <si>
    <t>Total Liquor Excess</t>
  </si>
  <si>
    <t>Total Bar Liquor &amp; Beverages Cost %age</t>
  </si>
  <si>
    <t>Total Bar Liquor &amp; Beverages Sale</t>
  </si>
  <si>
    <t>Total Bar Liquor &amp; Beverages Cost</t>
  </si>
  <si>
    <t>Beverage Cost %age with Discounts</t>
  </si>
  <si>
    <t>Beverage Cost %age</t>
  </si>
  <si>
    <t>Beverage Sale</t>
  </si>
  <si>
    <t>Beverage Consumption Cost</t>
  </si>
  <si>
    <t>Liquor Cost %age with Discounts</t>
  </si>
  <si>
    <t>Liquor Cost %age</t>
  </si>
  <si>
    <t>Total Liquor Sale</t>
  </si>
  <si>
    <t>Liquor Sale (Banquet)</t>
  </si>
  <si>
    <t>Liquor Sale</t>
  </si>
  <si>
    <t>Liquor Consumption Cost</t>
  </si>
  <si>
    <t>Grand Total Liq &amp; Bev</t>
  </si>
  <si>
    <t>Total Bev, Juices &amp; Syrups</t>
  </si>
  <si>
    <t>Soft Bevg</t>
  </si>
  <si>
    <t>Total Syrups</t>
  </si>
  <si>
    <t>Monin Watermelon Syrup</t>
  </si>
  <si>
    <t>Monin Vanilla</t>
  </si>
  <si>
    <t>Monin Triple Sec</t>
  </si>
  <si>
    <t xml:space="preserve">Monin Rose </t>
  </si>
  <si>
    <t>Monin Peach</t>
  </si>
  <si>
    <t xml:space="preserve">Monin Passion Fruit </t>
  </si>
  <si>
    <t xml:space="preserve">Monin Naisettle Hazelnut </t>
  </si>
  <si>
    <t xml:space="preserve">Monin Mint </t>
  </si>
  <si>
    <t xml:space="preserve">Monin Melon </t>
  </si>
  <si>
    <t>Monin Litchi</t>
  </si>
  <si>
    <t>Monin Kiwi</t>
  </si>
  <si>
    <t>Monin Grenadine</t>
  </si>
  <si>
    <t xml:space="preserve">Monin Green Apple </t>
  </si>
  <si>
    <t>Monin Fraise Starwberry</t>
  </si>
  <si>
    <t xml:space="preserve">Monin Cucumber </t>
  </si>
  <si>
    <t>Monin Coffee</t>
  </si>
  <si>
    <t>Monin Coconut</t>
  </si>
  <si>
    <t xml:space="preserve">Monin Caramel </t>
  </si>
  <si>
    <t xml:space="preserve">Monin Blue Curacao </t>
  </si>
  <si>
    <t xml:space="preserve">Monin Blue berry </t>
  </si>
  <si>
    <t>Monin Black Currant</t>
  </si>
  <si>
    <t xml:space="preserve">Monin Anise </t>
  </si>
  <si>
    <t xml:space="preserve">Monin Almond Syrup </t>
  </si>
  <si>
    <t>Syrups</t>
  </si>
  <si>
    <t>Total Beverages</t>
  </si>
  <si>
    <t>Soda</t>
  </si>
  <si>
    <t>Sprite</t>
  </si>
  <si>
    <t xml:space="preserve">Coke </t>
  </si>
  <si>
    <t>Beverages</t>
  </si>
  <si>
    <t>Grand Total Liquor &amp; Beverages</t>
  </si>
  <si>
    <t>Juices</t>
  </si>
  <si>
    <t>Tomato Juice</t>
  </si>
  <si>
    <t>Pineapple Juice</t>
  </si>
  <si>
    <t>Orange Juice</t>
  </si>
  <si>
    <t>Litche Juice</t>
  </si>
  <si>
    <t>Mango Juice</t>
  </si>
  <si>
    <t>Guava Juice</t>
  </si>
  <si>
    <t>Cranberry Juice</t>
  </si>
  <si>
    <t>Apple Juice</t>
  </si>
  <si>
    <t>Juices &amp; Syrups</t>
  </si>
  <si>
    <t>Water</t>
  </si>
  <si>
    <t xml:space="preserve">Water Bottle </t>
  </si>
  <si>
    <t>Tonic Water 250</t>
  </si>
  <si>
    <t>Red Bull</t>
  </si>
  <si>
    <t>Ginger Ale</t>
  </si>
  <si>
    <t>Diet Coke</t>
  </si>
  <si>
    <t>Grand Total Liquor</t>
  </si>
  <si>
    <t>Total Beers</t>
  </si>
  <si>
    <t>Breezers</t>
  </si>
  <si>
    <t>Smirnoff Ice original</t>
  </si>
  <si>
    <t xml:space="preserve">Smirnoff Ice Black </t>
  </si>
  <si>
    <t>Smirnoff Ice</t>
  </si>
  <si>
    <t>Bacardi Breezers Lime</t>
  </si>
  <si>
    <t xml:space="preserve">Bacardi Breezers Blackberry </t>
  </si>
  <si>
    <t xml:space="preserve">Bacardi Breezers Cranberry </t>
  </si>
  <si>
    <t xml:space="preserve">Bacardi Breezer Orange </t>
  </si>
  <si>
    <t>Bacardi Breezer Blueberry</t>
  </si>
  <si>
    <t xml:space="preserve">Bacardi Breezer Jambacan </t>
  </si>
  <si>
    <t>Ind Beer</t>
  </si>
  <si>
    <t>Foster (Draught) Spoilage</t>
  </si>
  <si>
    <t>Kingfisher(Draught)</t>
  </si>
  <si>
    <t>Foster (Draught)</t>
  </si>
  <si>
    <t>Draught Beers</t>
  </si>
  <si>
    <t>Krombacher  Beer</t>
  </si>
  <si>
    <t xml:space="preserve">Bear </t>
  </si>
  <si>
    <t>K F Buzz lychee</t>
  </si>
  <si>
    <t>K F Buzz Berry</t>
  </si>
  <si>
    <t>Viru Pre Beer</t>
  </si>
  <si>
    <t xml:space="preserve">Fuller Lonndon </t>
  </si>
  <si>
    <t>Amestel White</t>
  </si>
  <si>
    <t>Bira Blond</t>
  </si>
  <si>
    <t>Bira White</t>
  </si>
  <si>
    <t xml:space="preserve">K F Ultra Max </t>
  </si>
  <si>
    <t xml:space="preserve">Stella </t>
  </si>
  <si>
    <t xml:space="preserve">Peroni Nastro Azzurro </t>
  </si>
  <si>
    <t xml:space="preserve">Beer </t>
  </si>
  <si>
    <t>Millers Ace</t>
  </si>
  <si>
    <t>Miller High Life</t>
  </si>
  <si>
    <t>Leffe</t>
  </si>
  <si>
    <t>K F Ultra</t>
  </si>
  <si>
    <t>K F Premium</t>
  </si>
  <si>
    <t>Hoegaarden</t>
  </si>
  <si>
    <t>Heineken</t>
  </si>
  <si>
    <t>Foster</t>
  </si>
  <si>
    <t xml:space="preserve">Corona </t>
  </si>
  <si>
    <t>Budwiser</t>
  </si>
  <si>
    <t>Beers</t>
  </si>
  <si>
    <t>Total Wines</t>
  </si>
  <si>
    <t>Nine Hills  Sauvignon Balnco</t>
  </si>
  <si>
    <t>Nine Hills Cabernet Sauvignon</t>
  </si>
  <si>
    <t>Ind Wine</t>
  </si>
  <si>
    <t>Four Seasons Chenin Blanc</t>
  </si>
  <si>
    <t>Four Seasons -Shiraz</t>
  </si>
  <si>
    <t xml:space="preserve">THB Shiraz cabernet </t>
  </si>
  <si>
    <t>THB Sauvignong Blanc</t>
  </si>
  <si>
    <t xml:space="preserve">Sula Brut </t>
  </si>
  <si>
    <t xml:space="preserve">Reserve Shiraz </t>
  </si>
  <si>
    <t xml:space="preserve">Myra Shiraz </t>
  </si>
  <si>
    <t xml:space="preserve">Myra Sauvignon Blanc </t>
  </si>
  <si>
    <t xml:space="preserve">Myra Chenin Blance </t>
  </si>
  <si>
    <t xml:space="preserve">Myra Caberrnet Sau </t>
  </si>
  <si>
    <t xml:space="preserve">Four Seasons Sauvigon </t>
  </si>
  <si>
    <t xml:space="preserve">Four Seasons Classic Viognier </t>
  </si>
  <si>
    <t xml:space="preserve">Four Seasons Classic Sauvingnon </t>
  </si>
  <si>
    <t xml:space="preserve">Four Seasons Cabernet Sauvignon </t>
  </si>
  <si>
    <t>Indian Wines-750</t>
  </si>
  <si>
    <t>Imp Wine</t>
  </si>
  <si>
    <t>Treblle White</t>
  </si>
  <si>
    <t>Treblle Red</t>
  </si>
  <si>
    <t>Jacobs Creek Reserv Roso</t>
  </si>
  <si>
    <t>Kafer Point Grigo</t>
  </si>
  <si>
    <t>Champagne</t>
  </si>
  <si>
    <t>Eagale  Creek Chardonnay</t>
  </si>
  <si>
    <t>Chandan Brut</t>
  </si>
  <si>
    <t xml:space="preserve">Two Oceans Chadonnay </t>
  </si>
  <si>
    <t>Jacobs Creek Shiraz Cabernet</t>
  </si>
  <si>
    <t xml:space="preserve">Jacobs Creek Chardonnay </t>
  </si>
  <si>
    <t>Imported Wines</t>
  </si>
  <si>
    <t>Total Spirits</t>
  </si>
  <si>
    <t>Domestic Spirits - Other UOM</t>
  </si>
  <si>
    <t>Absolut Elyx</t>
  </si>
  <si>
    <t>Signature Rare Whisky</t>
  </si>
  <si>
    <t>Vodka</t>
  </si>
  <si>
    <t>Absolut India vodka</t>
  </si>
  <si>
    <t>Rum</t>
  </si>
  <si>
    <t>Old Monk White Rum</t>
  </si>
  <si>
    <t>Absolut Citron</t>
  </si>
  <si>
    <t>Absolut Mandrin</t>
  </si>
  <si>
    <t>Brandy</t>
  </si>
  <si>
    <t>Morpheus Brandy</t>
  </si>
  <si>
    <t>Morebrandy</t>
  </si>
  <si>
    <t>Fuel Vodka</t>
  </si>
  <si>
    <t>Whisky</t>
  </si>
  <si>
    <t>Royal Challenges</t>
  </si>
  <si>
    <t xml:space="preserve">Paul Johin Single Malt </t>
  </si>
  <si>
    <t xml:space="preserve">Stolichnaya Vodka </t>
  </si>
  <si>
    <t xml:space="preserve">Mc Doweels Brandy </t>
  </si>
  <si>
    <t xml:space="preserve">Vat 69 </t>
  </si>
  <si>
    <t>Teachers Highland Cream</t>
  </si>
  <si>
    <t xml:space="preserve">Smirnoff Vanilla </t>
  </si>
  <si>
    <t xml:space="preserve">Smirnoff Red </t>
  </si>
  <si>
    <t xml:space="preserve">Smirnoff Orange </t>
  </si>
  <si>
    <t xml:space="preserve">Smirnoff Espresso </t>
  </si>
  <si>
    <t xml:space="preserve">Smirnoff Black </t>
  </si>
  <si>
    <t xml:space="preserve">Smirnoff Apple </t>
  </si>
  <si>
    <t>Old Monk</t>
  </si>
  <si>
    <t>Mansion House</t>
  </si>
  <si>
    <t xml:space="preserve">Honey Bee </t>
  </si>
  <si>
    <t xml:space="preserve">Havana Club 3 yrs </t>
  </si>
  <si>
    <t>Liqueur</t>
  </si>
  <si>
    <t xml:space="preserve">Desmondji orange </t>
  </si>
  <si>
    <t xml:space="preserve">Desmondji 51 % Agave </t>
  </si>
  <si>
    <t xml:space="preserve">Captain Morgan </t>
  </si>
  <si>
    <t>Gin</t>
  </si>
  <si>
    <t>Blue Riband Gin</t>
  </si>
  <si>
    <t>Blender's Pride</t>
  </si>
  <si>
    <t>Black Dog Centenary 8 yr</t>
  </si>
  <si>
    <t xml:space="preserve">Black Dog Centenary 12 yr </t>
  </si>
  <si>
    <t xml:space="preserve">Black &amp; White </t>
  </si>
  <si>
    <t>Bacardi Peach</t>
  </si>
  <si>
    <t xml:space="preserve">Bacardi Orange </t>
  </si>
  <si>
    <t xml:space="preserve">Bacardi Lemon </t>
  </si>
  <si>
    <t xml:space="preserve">Bacardi Guava </t>
  </si>
  <si>
    <t>Bacardi CB</t>
  </si>
  <si>
    <t>Bacardi Black</t>
  </si>
  <si>
    <t xml:space="preserve">Bacardi Apple </t>
  </si>
  <si>
    <t xml:space="preserve">Antiquity Rare </t>
  </si>
  <si>
    <t xml:space="preserve">Antiquity Blue </t>
  </si>
  <si>
    <t>Absolut vodka</t>
  </si>
  <si>
    <t xml:space="preserve">Absolut Peppar </t>
  </si>
  <si>
    <t xml:space="preserve">Absolut Kurant </t>
  </si>
  <si>
    <t>100 Pipers</t>
  </si>
  <si>
    <t>Domestic Spirits - 750ml</t>
  </si>
  <si>
    <t>Imported Spirits - Other UOM</t>
  </si>
  <si>
    <t>Tequila</t>
  </si>
  <si>
    <t>whisky</t>
  </si>
  <si>
    <t>Tequila Don Angel  Oro</t>
  </si>
  <si>
    <t xml:space="preserve">Oban Single Malt Scotch Whisky </t>
  </si>
  <si>
    <t xml:space="preserve">Tequila Don Angel </t>
  </si>
  <si>
    <t xml:space="preserve">Midori Melon </t>
  </si>
  <si>
    <t xml:space="preserve">jagamister </t>
  </si>
  <si>
    <t xml:space="preserve">Henessey Vsop </t>
  </si>
  <si>
    <t>Henessey V.s Cognac</t>
  </si>
  <si>
    <t xml:space="preserve">Grand marnier </t>
  </si>
  <si>
    <t xml:space="preserve">Cointrue </t>
  </si>
  <si>
    <t xml:space="preserve">Belvender Vodka </t>
  </si>
  <si>
    <t>Imported Spirits - 700 ml</t>
  </si>
  <si>
    <t>Ciroc Vodka</t>
  </si>
  <si>
    <t>The Glenlivet 12yeard</t>
  </si>
  <si>
    <t>Ballantains Finast Whisky</t>
  </si>
  <si>
    <t>Jagamister 750ml</t>
  </si>
  <si>
    <t>Wine</t>
  </si>
  <si>
    <t xml:space="preserve">Mateus Rose </t>
  </si>
  <si>
    <t xml:space="preserve">Tequila Camino Real Blanco </t>
  </si>
  <si>
    <t xml:space="preserve">Malibu Rum </t>
  </si>
  <si>
    <t xml:space="preserve">Tequila Patron XO Café </t>
  </si>
  <si>
    <t xml:space="preserve">Tequila Camino Real Gold </t>
  </si>
  <si>
    <t xml:space="preserve">Tanqueray London Dry Gin </t>
  </si>
  <si>
    <t xml:space="preserve">Sambuca Extra </t>
  </si>
  <si>
    <t xml:space="preserve">Ron Zacapa Rum </t>
  </si>
  <si>
    <t xml:space="preserve">Laphroaig Single malt </t>
  </si>
  <si>
    <t xml:space="preserve">ketel One Vodka </t>
  </si>
  <si>
    <t xml:space="preserve">Jim beam </t>
  </si>
  <si>
    <t xml:space="preserve">Jemson Irish </t>
  </si>
  <si>
    <t>Jack Daniel Silver Select</t>
  </si>
  <si>
    <t xml:space="preserve">Jack Daniel </t>
  </si>
  <si>
    <t>J/W Red Label</t>
  </si>
  <si>
    <t xml:space="preserve">J/W Double Black </t>
  </si>
  <si>
    <t>J/W Black Label</t>
  </si>
  <si>
    <t xml:space="preserve">J &amp; B Rare </t>
  </si>
  <si>
    <t>Grey Goose  Vodka</t>
  </si>
  <si>
    <t xml:space="preserve">Gordon's Gin </t>
  </si>
  <si>
    <t>Chivas Regal 12yrs</t>
  </si>
  <si>
    <t>Caolila Aged 12 Years</t>
  </si>
  <si>
    <t xml:space="preserve">Campari Bitter </t>
  </si>
  <si>
    <t>Bombay sapphire Gin</t>
  </si>
  <si>
    <t xml:space="preserve">Beefeater GIN </t>
  </si>
  <si>
    <t>Baileys irish Cream</t>
  </si>
  <si>
    <t>Imported Spirits - 750 ml</t>
  </si>
  <si>
    <t>Black Dog Centenary 8 yr 1000Ml</t>
  </si>
  <si>
    <t>Cointrue Liqueur 1000ml</t>
  </si>
  <si>
    <t xml:space="preserve">Teqiula Don Angle Oro </t>
  </si>
  <si>
    <t xml:space="preserve">S'off Vodka </t>
  </si>
  <si>
    <t xml:space="preserve">Teqiula Don Angle </t>
  </si>
  <si>
    <t>Martini Rose'</t>
  </si>
  <si>
    <t xml:space="preserve">Martini Bianco </t>
  </si>
  <si>
    <t>Appertips</t>
  </si>
  <si>
    <t>Imported Spirits - 1000 ml</t>
  </si>
  <si>
    <t>Category</t>
  </si>
  <si>
    <t>Net Sales
Potential
Cost</t>
  </si>
  <si>
    <t xml:space="preserve">Store Opening </t>
  </si>
  <si>
    <t>Main Bar Opening</t>
  </si>
  <si>
    <t xml:space="preserve">Store Closing </t>
  </si>
  <si>
    <t>Main Bar Closing</t>
  </si>
  <si>
    <t>Watsons Bar Variance Report   for Feb'16_15th</t>
  </si>
  <si>
    <t>Watson's Assay 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</si>
</sst>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43" formatCode="_(* #,##0.00_);_(* \(#,##0.00\);_(* &quot;-&quot;??_);_(@_)"/>
    <numFmt numFmtId="164" formatCode="_(* #,##0.00_);_(* \(#,##0.00\);_(* &quot;-&quot;_);_(@_)"/>
    <numFmt numFmtId="165" formatCode="_(* #,##0_);_(* \(#,##0\);_(* &quot;-&quot;??_);_(@_)"/>
    <numFmt numFmtId="166" formatCode="_ * #,##0.00_ ;_ * \-#,##0.00_ ;_ * &quot;-&quot;??_ ;_ @_ "/>
    <numFmt numFmtId="167" formatCode="_(* #,##0.0_);_(* \(#,##0.0\);_(* &quot;-&quot;??_);_(@_)"/>
    <numFmt numFmtId="168" formatCode="#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b/>
      <u val="singleAccounting"/>
      <sz val="10"/>
      <name val="Trebuchet MS"/>
      <family val="2"/>
    </font>
    <font>
      <b/>
      <u/>
      <sz val="10"/>
      <name val="Trebuchet MS"/>
      <family val="2"/>
    </font>
    <font>
      <sz val="11"/>
      <color indexed="8"/>
      <name val="Calibri"/>
      <family val="2"/>
    </font>
    <font>
      <sz val="10"/>
      <color indexed="12"/>
      <name val="Trebuchet MS"/>
      <family val="2"/>
    </font>
    <font>
      <sz val="11"/>
      <name val="Trebuchet MS"/>
      <family val="2"/>
    </font>
    <font>
      <b/>
      <sz val="10"/>
      <name val="Trebuchet MS"/>
      <family val="2"/>
    </font>
    <font>
      <b/>
      <i/>
      <sz val="10"/>
      <color indexed="60"/>
      <name val="Trebuchet MS"/>
      <family val="2"/>
    </font>
    <font>
      <b/>
      <sz val="10"/>
      <color indexed="48"/>
      <name val="Trebuchet MS"/>
      <family val="2"/>
    </font>
    <font>
      <b/>
      <sz val="10"/>
      <color indexed="10"/>
      <name val="Trebuchet MS"/>
      <family val="2"/>
    </font>
    <font>
      <i/>
      <sz val="10"/>
      <name val="Trebuchet MS"/>
      <family val="2"/>
    </font>
    <font>
      <sz val="10"/>
      <color rgb="FFC00000"/>
      <name val="Trebuchet MS"/>
      <family val="2"/>
    </font>
    <font>
      <b/>
      <sz val="16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" fillId="0" borderId="0"/>
    <xf numFmtId="166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82">
    <xf numFmtId="0" fontId="0" fillId="0" borderId="0" xfId="0"/>
    <xf numFmtId="41" fontId="3" fillId="0" borderId="0" xfId="2" applyNumberFormat="1" applyFont="1" applyProtection="1">
      <protection hidden="1"/>
    </xf>
    <xf numFmtId="41" fontId="3" fillId="0" borderId="0" xfId="2" applyNumberFormat="1" applyFont="1" applyProtection="1">
      <protection locked="0"/>
    </xf>
    <xf numFmtId="41" fontId="3" fillId="0" borderId="0" xfId="2" applyNumberFormat="1" applyFont="1" applyAlignment="1" applyProtection="1">
      <alignment horizontal="center"/>
      <protection hidden="1"/>
    </xf>
    <xf numFmtId="0" fontId="3" fillId="0" borderId="0" xfId="2" applyFont="1" applyProtection="1">
      <protection hidden="1"/>
    </xf>
    <xf numFmtId="43" fontId="3" fillId="0" borderId="0" xfId="1" applyFont="1" applyProtection="1">
      <protection locked="0"/>
    </xf>
    <xf numFmtId="43" fontId="3" fillId="0" borderId="0" xfId="1" applyFont="1" applyAlignment="1" applyProtection="1">
      <alignment horizontal="center"/>
      <protection locked="0"/>
    </xf>
    <xf numFmtId="10" fontId="3" fillId="0" borderId="0" xfId="2" applyNumberFormat="1" applyFont="1" applyAlignment="1" applyProtection="1">
      <alignment horizontal="center"/>
      <protection hidden="1"/>
    </xf>
    <xf numFmtId="41" fontId="3" fillId="0" borderId="0" xfId="2" applyNumberFormat="1" applyFont="1" applyAlignment="1" applyProtection="1">
      <alignment horizontal="center"/>
      <protection locked="0"/>
    </xf>
    <xf numFmtId="0" fontId="3" fillId="0" borderId="0" xfId="2" applyFont="1" applyProtection="1">
      <protection locked="0"/>
    </xf>
    <xf numFmtId="41" fontId="3" fillId="0" borderId="0" xfId="3" applyNumberFormat="1" applyFont="1"/>
    <xf numFmtId="41" fontId="3" fillId="0" borderId="0" xfId="3" applyNumberFormat="1" applyFont="1" applyProtection="1">
      <protection hidden="1"/>
    </xf>
    <xf numFmtId="41" fontId="3" fillId="0" borderId="0" xfId="2" applyNumberFormat="1" applyFont="1" applyAlignment="1" applyProtection="1">
      <alignment horizontal="right"/>
      <protection hidden="1"/>
    </xf>
    <xf numFmtId="43" fontId="3" fillId="0" borderId="0" xfId="1" applyFont="1" applyProtection="1">
      <protection hidden="1"/>
    </xf>
    <xf numFmtId="41" fontId="3" fillId="0" borderId="0" xfId="3" applyNumberFormat="1" applyFont="1" applyAlignment="1" applyProtection="1">
      <alignment horizontal="center"/>
      <protection hidden="1"/>
    </xf>
    <xf numFmtId="43" fontId="3" fillId="0" borderId="0" xfId="1" applyFont="1" applyAlignment="1" applyProtection="1">
      <alignment horizontal="center"/>
      <protection hidden="1"/>
    </xf>
    <xf numFmtId="41" fontId="3" fillId="0" borderId="0" xfId="3" applyNumberFormat="1" applyFont="1" applyAlignment="1" applyProtection="1">
      <alignment horizontal="center"/>
      <protection locked="0"/>
    </xf>
    <xf numFmtId="0" fontId="3" fillId="0" borderId="0" xfId="3" applyFont="1" applyProtection="1">
      <protection locked="0"/>
    </xf>
    <xf numFmtId="41" fontId="4" fillId="0" borderId="0" xfId="2" applyNumberFormat="1" applyFont="1" applyAlignment="1" applyProtection="1">
      <alignment horizontal="center"/>
      <protection hidden="1"/>
    </xf>
    <xf numFmtId="41" fontId="5" fillId="0" borderId="0" xfId="3" applyNumberFormat="1" applyFont="1" applyAlignment="1" applyProtection="1">
      <alignment horizontal="center"/>
      <protection hidden="1"/>
    </xf>
    <xf numFmtId="10" fontId="3" fillId="0" borderId="0" xfId="3" applyNumberFormat="1" applyFont="1" applyAlignment="1" applyProtection="1">
      <alignment horizontal="center"/>
      <protection hidden="1"/>
    </xf>
    <xf numFmtId="10" fontId="3" fillId="0" borderId="1" xfId="4" applyNumberFormat="1" applyFont="1" applyBorder="1" applyProtection="1">
      <protection hidden="1"/>
    </xf>
    <xf numFmtId="10" fontId="3" fillId="0" borderId="1" xfId="2" applyNumberFormat="1" applyFont="1" applyBorder="1" applyAlignment="1" applyProtection="1">
      <alignment horizontal="right"/>
      <protection hidden="1"/>
    </xf>
    <xf numFmtId="41" fontId="3" fillId="0" borderId="0" xfId="2" applyNumberFormat="1" applyFont="1" applyAlignment="1" applyProtection="1">
      <alignment horizontal="left"/>
      <protection hidden="1"/>
    </xf>
    <xf numFmtId="10" fontId="3" fillId="0" borderId="1" xfId="5" applyNumberFormat="1" applyFont="1" applyBorder="1" applyAlignment="1" applyProtection="1">
      <alignment horizontal="right"/>
      <protection hidden="1"/>
    </xf>
    <xf numFmtId="41" fontId="3" fillId="0" borderId="0" xfId="3" applyNumberFormat="1" applyFont="1" applyAlignment="1" applyProtection="1">
      <alignment horizontal="left"/>
      <protection hidden="1"/>
    </xf>
    <xf numFmtId="41" fontId="3" fillId="0" borderId="1" xfId="4" applyNumberFormat="1" applyFont="1" applyBorder="1" applyProtection="1">
      <protection hidden="1"/>
    </xf>
    <xf numFmtId="41" fontId="7" fillId="0" borderId="0" xfId="2" applyNumberFormat="1" applyFont="1" applyProtection="1">
      <protection hidden="1"/>
    </xf>
    <xf numFmtId="41" fontId="3" fillId="0" borderId="1" xfId="2" applyNumberFormat="1" applyFont="1" applyBorder="1" applyAlignment="1" applyProtection="1">
      <alignment horizontal="center"/>
      <protection hidden="1"/>
    </xf>
    <xf numFmtId="41" fontId="3" fillId="0" borderId="1" xfId="3" applyNumberFormat="1" applyFont="1" applyBorder="1" applyAlignment="1" applyProtection="1">
      <alignment horizontal="center"/>
      <protection hidden="1"/>
    </xf>
    <xf numFmtId="41" fontId="3" fillId="0" borderId="1" xfId="3" applyNumberFormat="1" applyFont="1" applyBorder="1" applyAlignment="1" applyProtection="1">
      <alignment horizontal="center"/>
      <protection locked="0"/>
    </xf>
    <xf numFmtId="41" fontId="8" fillId="0" borderId="0" xfId="3" applyNumberFormat="1" applyFont="1" applyAlignment="1" applyProtection="1">
      <alignment horizontal="left"/>
      <protection hidden="1"/>
    </xf>
    <xf numFmtId="10" fontId="3" fillId="0" borderId="1" xfId="3" applyNumberFormat="1" applyFont="1" applyBorder="1" applyAlignment="1" applyProtection="1">
      <alignment horizontal="right"/>
      <protection hidden="1"/>
    </xf>
    <xf numFmtId="41" fontId="3" fillId="0" borderId="1" xfId="2" applyNumberFormat="1" applyFont="1" applyBorder="1" applyProtection="1">
      <protection hidden="1"/>
    </xf>
    <xf numFmtId="41" fontId="9" fillId="2" borderId="1" xfId="2" applyNumberFormat="1" applyFont="1" applyFill="1" applyBorder="1" applyAlignment="1" applyProtection="1">
      <alignment horizontal="center"/>
      <protection hidden="1"/>
    </xf>
    <xf numFmtId="10" fontId="9" fillId="2" borderId="1" xfId="3" applyNumberFormat="1" applyFont="1" applyFill="1" applyBorder="1" applyAlignment="1" applyProtection="1">
      <alignment horizontal="center"/>
      <protection hidden="1"/>
    </xf>
    <xf numFmtId="10" fontId="9" fillId="2" borderId="2" xfId="3" applyNumberFormat="1" applyFont="1" applyFill="1" applyBorder="1" applyAlignment="1" applyProtection="1">
      <alignment horizontal="center"/>
      <protection hidden="1"/>
    </xf>
    <xf numFmtId="164" fontId="3" fillId="0" borderId="1" xfId="2" applyNumberFormat="1" applyFont="1" applyBorder="1" applyAlignment="1" applyProtection="1">
      <alignment horizontal="center"/>
      <protection locked="0" hidden="1"/>
    </xf>
    <xf numFmtId="41" fontId="3" fillId="3" borderId="1" xfId="2" applyNumberFormat="1" applyFont="1" applyFill="1" applyBorder="1" applyProtection="1">
      <protection hidden="1"/>
    </xf>
    <xf numFmtId="41" fontId="9" fillId="3" borderId="1" xfId="2" applyNumberFormat="1" applyFont="1" applyFill="1" applyBorder="1" applyAlignment="1" applyProtection="1">
      <alignment horizontal="center"/>
      <protection hidden="1"/>
    </xf>
    <xf numFmtId="41" fontId="3" fillId="3" borderId="1" xfId="2" applyNumberFormat="1" applyFont="1" applyFill="1" applyBorder="1" applyAlignment="1" applyProtection="1">
      <alignment horizontal="center"/>
      <protection hidden="1"/>
    </xf>
    <xf numFmtId="0" fontId="9" fillId="3" borderId="1" xfId="2" applyFont="1" applyFill="1" applyBorder="1" applyProtection="1">
      <protection hidden="1"/>
    </xf>
    <xf numFmtId="41" fontId="3" fillId="3" borderId="0" xfId="2" applyNumberFormat="1" applyFont="1" applyFill="1" applyProtection="1">
      <protection hidden="1"/>
    </xf>
    <xf numFmtId="41" fontId="9" fillId="3" borderId="1" xfId="3" applyNumberFormat="1" applyFont="1" applyFill="1" applyBorder="1" applyAlignment="1" applyProtection="1">
      <alignment horizontal="center"/>
      <protection hidden="1"/>
    </xf>
    <xf numFmtId="41" fontId="3" fillId="3" borderId="1" xfId="3" applyNumberFormat="1" applyFont="1" applyFill="1" applyBorder="1" applyAlignment="1" applyProtection="1">
      <alignment horizontal="center"/>
      <protection hidden="1"/>
    </xf>
    <xf numFmtId="43" fontId="9" fillId="3" borderId="1" xfId="1" applyFont="1" applyFill="1" applyBorder="1" applyAlignment="1" applyProtection="1">
      <alignment horizontal="right"/>
      <protection locked="0"/>
    </xf>
    <xf numFmtId="41" fontId="3" fillId="3" borderId="1" xfId="3" applyNumberFormat="1" applyFont="1" applyFill="1" applyBorder="1" applyProtection="1">
      <protection locked="0"/>
    </xf>
    <xf numFmtId="43" fontId="3" fillId="3" borderId="1" xfId="1" applyFont="1" applyFill="1" applyBorder="1" applyAlignment="1" applyProtection="1">
      <alignment horizontal="center"/>
      <protection locked="0"/>
    </xf>
    <xf numFmtId="10" fontId="3" fillId="3" borderId="1" xfId="3" applyNumberFormat="1" applyFont="1" applyFill="1" applyBorder="1" applyProtection="1">
      <protection hidden="1"/>
    </xf>
    <xf numFmtId="41" fontId="3" fillId="3" borderId="1" xfId="3" applyNumberFormat="1" applyFont="1" applyFill="1" applyBorder="1" applyAlignment="1" applyProtection="1">
      <alignment horizontal="center"/>
      <protection locked="0"/>
    </xf>
    <xf numFmtId="0" fontId="9" fillId="3" borderId="1" xfId="3" applyFont="1" applyFill="1" applyBorder="1" applyProtection="1">
      <protection locked="0"/>
    </xf>
    <xf numFmtId="0" fontId="3" fillId="0" borderId="1" xfId="2" applyFont="1" applyBorder="1" applyProtection="1">
      <protection hidden="1"/>
    </xf>
    <xf numFmtId="43" fontId="3" fillId="0" borderId="1" xfId="1" applyFont="1" applyBorder="1" applyAlignment="1" applyProtection="1">
      <alignment horizontal="right"/>
      <protection locked="0"/>
    </xf>
    <xf numFmtId="41" fontId="3" fillId="0" borderId="1" xfId="3" applyNumberFormat="1" applyFont="1" applyBorder="1" applyProtection="1">
      <protection locked="0"/>
    </xf>
    <xf numFmtId="43" fontId="3" fillId="0" borderId="1" xfId="1" applyFont="1" applyBorder="1" applyAlignment="1" applyProtection="1">
      <alignment horizontal="center"/>
      <protection locked="0"/>
    </xf>
    <xf numFmtId="10" fontId="3" fillId="0" borderId="1" xfId="3" applyNumberFormat="1" applyFont="1" applyBorder="1" applyProtection="1">
      <protection hidden="1"/>
    </xf>
    <xf numFmtId="0" fontId="3" fillId="0" borderId="1" xfId="3" applyFont="1" applyBorder="1" applyProtection="1">
      <protection locked="0"/>
    </xf>
    <xf numFmtId="164" fontId="3" fillId="0" borderId="1" xfId="2" applyNumberFormat="1" applyFont="1" applyBorder="1" applyAlignment="1" applyProtection="1">
      <alignment horizontal="center"/>
      <protection hidden="1"/>
    </xf>
    <xf numFmtId="41" fontId="3" fillId="0" borderId="2" xfId="2" applyNumberFormat="1" applyFont="1" applyBorder="1" applyAlignment="1" applyProtection="1">
      <alignment horizontal="center"/>
      <protection hidden="1"/>
    </xf>
    <xf numFmtId="41" fontId="3" fillId="0" borderId="0" xfId="3" applyNumberFormat="1" applyFont="1" applyProtection="1">
      <protection locked="0"/>
    </xf>
    <xf numFmtId="165" fontId="3" fillId="0" borderId="1" xfId="6" applyNumberFormat="1" applyFont="1" applyBorder="1" applyAlignment="1" applyProtection="1">
      <alignment horizontal="center"/>
      <protection hidden="1"/>
    </xf>
    <xf numFmtId="10" fontId="3" fillId="0" borderId="1" xfId="2" applyNumberFormat="1" applyFont="1" applyBorder="1" applyProtection="1">
      <protection hidden="1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" xfId="1" applyNumberFormat="1" applyFont="1" applyBorder="1" applyAlignment="1" applyProtection="1">
      <alignment horizontal="left"/>
      <protection locked="0"/>
    </xf>
    <xf numFmtId="0" fontId="3" fillId="0" borderId="1" xfId="2" applyFont="1" applyBorder="1" applyProtection="1">
      <protection locked="0" hidden="1"/>
    </xf>
    <xf numFmtId="0" fontId="10" fillId="0" borderId="1" xfId="2" applyFont="1" applyBorder="1" applyProtection="1">
      <protection hidden="1"/>
    </xf>
    <xf numFmtId="43" fontId="9" fillId="0" borderId="1" xfId="1" applyFont="1" applyBorder="1" applyAlignment="1" applyProtection="1">
      <alignment horizontal="right"/>
      <protection locked="0"/>
    </xf>
    <xf numFmtId="43" fontId="3" fillId="0" borderId="1" xfId="1" applyFont="1" applyBorder="1" applyProtection="1">
      <protection locked="0"/>
    </xf>
    <xf numFmtId="41" fontId="3" fillId="0" borderId="0" xfId="3" applyNumberFormat="1" applyFont="1" applyAlignment="1">
      <alignment vertical="top"/>
    </xf>
    <xf numFmtId="41" fontId="9" fillId="3" borderId="1" xfId="2" applyNumberFormat="1" applyFont="1" applyFill="1" applyBorder="1" applyAlignment="1" applyProtection="1">
      <alignment horizontal="center" vertical="top" wrapText="1"/>
      <protection locked="0" hidden="1"/>
    </xf>
    <xf numFmtId="41" fontId="9" fillId="3" borderId="1" xfId="2" applyNumberFormat="1" applyFont="1" applyFill="1" applyBorder="1" applyAlignment="1" applyProtection="1">
      <alignment horizontal="center" vertical="top" wrapText="1"/>
      <protection hidden="1"/>
    </xf>
    <xf numFmtId="41" fontId="3" fillId="0" borderId="0" xfId="2" applyNumberFormat="1" applyFont="1" applyAlignment="1" applyProtection="1">
      <alignment vertical="top"/>
      <protection hidden="1"/>
    </xf>
    <xf numFmtId="41" fontId="3" fillId="3" borderId="0" xfId="2" applyNumberFormat="1" applyFont="1" applyFill="1" applyAlignment="1" applyProtection="1">
      <alignment vertical="top"/>
      <protection hidden="1"/>
    </xf>
    <xf numFmtId="43" fontId="9" fillId="3" borderId="1" xfId="1" applyFont="1" applyFill="1" applyBorder="1" applyAlignment="1" applyProtection="1">
      <alignment horizontal="center" vertical="top" wrapText="1"/>
      <protection locked="0"/>
    </xf>
    <xf numFmtId="41" fontId="3" fillId="0" borderId="0" xfId="3" applyNumberFormat="1" applyFont="1" applyAlignment="1" applyProtection="1">
      <alignment vertical="top"/>
      <protection hidden="1"/>
    </xf>
    <xf numFmtId="41" fontId="9" fillId="3" borderId="1" xfId="3" applyNumberFormat="1" applyFont="1" applyFill="1" applyBorder="1" applyAlignment="1" applyProtection="1">
      <alignment horizontal="center" vertical="top" wrapText="1"/>
      <protection locked="0"/>
    </xf>
    <xf numFmtId="41" fontId="3" fillId="0" borderId="0" xfId="3" applyNumberFormat="1" applyFont="1" applyAlignment="1" applyProtection="1">
      <alignment horizontal="center" vertical="top"/>
      <protection hidden="1"/>
    </xf>
    <xf numFmtId="10" fontId="9" fillId="3" borderId="1" xfId="2" applyNumberFormat="1" applyFont="1" applyFill="1" applyBorder="1" applyAlignment="1" applyProtection="1">
      <alignment horizontal="center" vertical="top" wrapText="1"/>
      <protection hidden="1"/>
    </xf>
    <xf numFmtId="41" fontId="9" fillId="3" borderId="1" xfId="2" applyNumberFormat="1" applyFont="1" applyFill="1" applyBorder="1" applyAlignment="1" applyProtection="1">
      <alignment horizontal="center" vertical="top" wrapText="1"/>
      <protection locked="0"/>
    </xf>
    <xf numFmtId="0" fontId="9" fillId="3" borderId="1" xfId="2" applyFont="1" applyFill="1" applyBorder="1" applyAlignment="1" applyProtection="1">
      <alignment horizontal="center" vertical="top" wrapText="1"/>
      <protection locked="0"/>
    </xf>
    <xf numFmtId="41" fontId="9" fillId="0" borderId="0" xfId="3" applyNumberFormat="1" applyFont="1" applyProtection="1">
      <protection hidden="1"/>
    </xf>
    <xf numFmtId="0" fontId="11" fillId="0" borderId="0" xfId="2" applyFont="1" applyAlignment="1" applyProtection="1">
      <alignment horizontal="left"/>
      <protection locked="0"/>
    </xf>
    <xf numFmtId="41" fontId="3" fillId="2" borderId="1" xfId="2" applyNumberFormat="1" applyFont="1" applyFill="1" applyBorder="1" applyProtection="1">
      <protection hidden="1"/>
    </xf>
    <xf numFmtId="41" fontId="3" fillId="2" borderId="1" xfId="2" applyNumberFormat="1" applyFont="1" applyFill="1" applyBorder="1" applyAlignment="1" applyProtection="1">
      <alignment horizontal="center"/>
      <protection hidden="1"/>
    </xf>
    <xf numFmtId="0" fontId="9" fillId="2" borderId="1" xfId="2" applyFont="1" applyFill="1" applyBorder="1" applyProtection="1">
      <protection hidden="1"/>
    </xf>
    <xf numFmtId="41" fontId="9" fillId="2" borderId="1" xfId="3" applyNumberFormat="1" applyFont="1" applyFill="1" applyBorder="1" applyAlignment="1" applyProtection="1">
      <alignment horizontal="center"/>
      <protection hidden="1"/>
    </xf>
    <xf numFmtId="41" fontId="3" fillId="2" borderId="1" xfId="3" applyNumberFormat="1" applyFont="1" applyFill="1" applyBorder="1" applyAlignment="1" applyProtection="1">
      <alignment horizontal="center"/>
      <protection hidden="1"/>
    </xf>
    <xf numFmtId="43" fontId="9" fillId="2" borderId="1" xfId="1" applyFont="1" applyFill="1" applyBorder="1" applyAlignment="1" applyProtection="1">
      <alignment horizontal="right"/>
      <protection locked="0"/>
    </xf>
    <xf numFmtId="41" fontId="3" fillId="2" borderId="1" xfId="3" applyNumberFormat="1" applyFont="1" applyFill="1" applyBorder="1" applyProtection="1">
      <protection locked="0"/>
    </xf>
    <xf numFmtId="43" fontId="3" fillId="2" borderId="1" xfId="1" applyFont="1" applyFill="1" applyBorder="1" applyAlignment="1" applyProtection="1">
      <alignment horizontal="center"/>
      <protection locked="0"/>
    </xf>
    <xf numFmtId="10" fontId="3" fillId="2" borderId="1" xfId="3" applyNumberFormat="1" applyFont="1" applyFill="1" applyBorder="1" applyProtection="1">
      <protection hidden="1"/>
    </xf>
    <xf numFmtId="41" fontId="3" fillId="2" borderId="1" xfId="3" applyNumberFormat="1" applyFont="1" applyFill="1" applyBorder="1" applyAlignment="1" applyProtection="1">
      <alignment horizontal="center"/>
      <protection locked="0"/>
    </xf>
    <xf numFmtId="0" fontId="9" fillId="2" borderId="1" xfId="3" applyFont="1" applyFill="1" applyBorder="1" applyProtection="1">
      <protection locked="0"/>
    </xf>
    <xf numFmtId="41" fontId="3" fillId="0" borderId="1" xfId="2" applyNumberFormat="1" applyFont="1" applyBorder="1" applyProtection="1">
      <protection locked="0"/>
    </xf>
    <xf numFmtId="0" fontId="3" fillId="0" borderId="1" xfId="2" applyFont="1" applyBorder="1" applyProtection="1">
      <protection locked="0"/>
    </xf>
    <xf numFmtId="41" fontId="9" fillId="4" borderId="1" xfId="2" applyNumberFormat="1" applyFont="1" applyFill="1" applyBorder="1" applyAlignment="1" applyProtection="1">
      <alignment horizontal="center" vertical="top" wrapText="1"/>
      <protection hidden="1"/>
    </xf>
    <xf numFmtId="41" fontId="9" fillId="2" borderId="1" xfId="2" applyNumberFormat="1" applyFont="1" applyFill="1" applyBorder="1" applyAlignment="1" applyProtection="1">
      <alignment horizontal="center" vertical="top" wrapText="1"/>
      <protection hidden="1"/>
    </xf>
    <xf numFmtId="43" fontId="9" fillId="2" borderId="1" xfId="1" applyFont="1" applyFill="1" applyBorder="1" applyAlignment="1" applyProtection="1">
      <alignment horizontal="center" vertical="top" wrapText="1"/>
      <protection locked="0"/>
    </xf>
    <xf numFmtId="41" fontId="9" fillId="2" borderId="1" xfId="3" applyNumberFormat="1" applyFont="1" applyFill="1" applyBorder="1" applyAlignment="1" applyProtection="1">
      <alignment horizontal="center" vertical="top" wrapText="1"/>
      <protection locked="0"/>
    </xf>
    <xf numFmtId="10" fontId="9" fillId="2" borderId="1" xfId="2" applyNumberFormat="1" applyFont="1" applyFill="1" applyBorder="1" applyAlignment="1" applyProtection="1">
      <alignment horizontal="center" vertical="top" wrapText="1"/>
      <protection hidden="1"/>
    </xf>
    <xf numFmtId="41" fontId="9" fillId="2" borderId="1" xfId="2" applyNumberFormat="1" applyFont="1" applyFill="1" applyBorder="1" applyAlignment="1" applyProtection="1">
      <alignment horizontal="center" vertical="top" wrapText="1"/>
      <protection locked="0" hidden="1"/>
    </xf>
    <xf numFmtId="41" fontId="9" fillId="2" borderId="1" xfId="2" applyNumberFormat="1" applyFont="1" applyFill="1" applyBorder="1" applyAlignment="1" applyProtection="1">
      <alignment horizontal="center" vertical="top" wrapText="1"/>
      <protection locked="0"/>
    </xf>
    <xf numFmtId="0" fontId="9" fillId="2" borderId="1" xfId="2" applyFont="1" applyFill="1" applyBorder="1" applyAlignment="1" applyProtection="1">
      <alignment horizontal="center" vertical="top" wrapText="1"/>
      <protection locked="0"/>
    </xf>
    <xf numFmtId="41" fontId="3" fillId="0" borderId="0" xfId="3" applyNumberFormat="1" applyFont="1" applyAlignment="1" applyProtection="1">
      <alignment horizontal="center"/>
      <protection locked="0" hidden="1"/>
    </xf>
    <xf numFmtId="41" fontId="9" fillId="0" borderId="0" xfId="3" applyNumberFormat="1" applyFont="1" applyAlignment="1" applyProtection="1">
      <alignment horizontal="center"/>
      <protection hidden="1"/>
    </xf>
    <xf numFmtId="43" fontId="9" fillId="0" borderId="0" xfId="1" applyFont="1" applyAlignment="1" applyProtection="1">
      <alignment horizontal="center"/>
      <protection hidden="1"/>
    </xf>
    <xf numFmtId="10" fontId="9" fillId="0" borderId="0" xfId="3" applyNumberFormat="1" applyFont="1" applyAlignment="1" applyProtection="1">
      <alignment horizontal="center"/>
      <protection hidden="1"/>
    </xf>
    <xf numFmtId="41" fontId="9" fillId="0" borderId="0" xfId="3" applyNumberFormat="1" applyFont="1" applyAlignment="1" applyProtection="1">
      <alignment horizontal="center"/>
      <protection locked="0"/>
    </xf>
    <xf numFmtId="41" fontId="3" fillId="0" borderId="0" xfId="2" applyNumberFormat="1" applyFont="1" applyAlignment="1" applyProtection="1">
      <alignment horizontal="left"/>
      <protection locked="0"/>
    </xf>
    <xf numFmtId="10" fontId="3" fillId="0" borderId="0" xfId="2" applyNumberFormat="1" applyFont="1" applyAlignment="1" applyProtection="1">
      <alignment horizontal="right"/>
      <protection hidden="1"/>
    </xf>
    <xf numFmtId="41" fontId="7" fillId="0" borderId="0" xfId="2" applyNumberFormat="1" applyFont="1" applyProtection="1">
      <protection locked="0"/>
    </xf>
    <xf numFmtId="43" fontId="3" fillId="0" borderId="0" xfId="1" applyFont="1" applyBorder="1" applyAlignment="1" applyProtection="1">
      <alignment horizontal="center"/>
      <protection locked="0"/>
    </xf>
    <xf numFmtId="12" fontId="3" fillId="0" borderId="0" xfId="2" applyNumberFormat="1" applyFont="1" applyProtection="1">
      <protection locked="0"/>
    </xf>
    <xf numFmtId="41" fontId="3" fillId="0" borderId="1" xfId="2" applyNumberFormat="1" applyFont="1" applyBorder="1" applyAlignment="1" applyProtection="1">
      <alignment horizontal="center"/>
      <protection locked="0"/>
    </xf>
    <xf numFmtId="41" fontId="12" fillId="0" borderId="0" xfId="2" applyNumberFormat="1" applyFont="1" applyProtection="1">
      <protection locked="0"/>
    </xf>
    <xf numFmtId="10" fontId="9" fillId="2" borderId="1" xfId="2" applyNumberFormat="1" applyFont="1" applyFill="1" applyBorder="1" applyAlignment="1" applyProtection="1">
      <alignment horizontal="center"/>
      <protection hidden="1"/>
    </xf>
    <xf numFmtId="41" fontId="3" fillId="3" borderId="0" xfId="2" applyNumberFormat="1" applyFont="1" applyFill="1" applyAlignment="1" applyProtection="1">
      <alignment horizontal="center"/>
      <protection locked="0"/>
    </xf>
    <xf numFmtId="41" fontId="9" fillId="3" borderId="2" xfId="2" applyNumberFormat="1" applyFont="1" applyFill="1" applyBorder="1" applyAlignment="1" applyProtection="1">
      <alignment horizontal="center"/>
      <protection hidden="1"/>
    </xf>
    <xf numFmtId="43" fontId="9" fillId="3" borderId="1" xfId="1" applyFont="1" applyFill="1" applyBorder="1" applyProtection="1">
      <protection locked="0"/>
    </xf>
    <xf numFmtId="41" fontId="3" fillId="3" borderId="1" xfId="2" applyNumberFormat="1" applyFont="1" applyFill="1" applyBorder="1" applyProtection="1">
      <protection locked="0"/>
    </xf>
    <xf numFmtId="10" fontId="3" fillId="3" borderId="1" xfId="2" applyNumberFormat="1" applyFont="1" applyFill="1" applyBorder="1" applyProtection="1">
      <protection hidden="1"/>
    </xf>
    <xf numFmtId="41" fontId="3" fillId="3" borderId="1" xfId="2" applyNumberFormat="1" applyFont="1" applyFill="1" applyBorder="1" applyAlignment="1" applyProtection="1">
      <alignment horizontal="center"/>
      <protection locked="0" hidden="1"/>
    </xf>
    <xf numFmtId="41" fontId="3" fillId="3" borderId="1" xfId="2" applyNumberFormat="1" applyFont="1" applyFill="1" applyBorder="1" applyAlignment="1" applyProtection="1">
      <alignment horizontal="center"/>
      <protection locked="0"/>
    </xf>
    <xf numFmtId="0" fontId="9" fillId="3" borderId="1" xfId="2" applyFont="1" applyFill="1" applyBorder="1" applyProtection="1">
      <protection locked="0"/>
    </xf>
    <xf numFmtId="164" fontId="3" fillId="0" borderId="0" xfId="2" applyNumberFormat="1" applyFont="1" applyAlignment="1" applyProtection="1">
      <alignment horizontal="center"/>
      <protection locked="0"/>
    </xf>
    <xf numFmtId="41" fontId="3" fillId="0" borderId="1" xfId="2" applyNumberFormat="1" applyFont="1" applyBorder="1" applyAlignment="1" applyProtection="1">
      <alignment horizontal="center"/>
      <protection locked="0" hidden="1"/>
    </xf>
    <xf numFmtId="41" fontId="3" fillId="3" borderId="0" xfId="2" applyNumberFormat="1" applyFont="1" applyFill="1" applyProtection="1">
      <protection locked="0" hidden="1"/>
    </xf>
    <xf numFmtId="41" fontId="9" fillId="2" borderId="2" xfId="2" applyNumberFormat="1" applyFont="1" applyFill="1" applyBorder="1" applyAlignment="1" applyProtection="1">
      <alignment horizontal="center"/>
      <protection hidden="1"/>
    </xf>
    <xf numFmtId="43" fontId="9" fillId="2" borderId="1" xfId="1" applyFont="1" applyFill="1" applyBorder="1" applyProtection="1">
      <protection locked="0"/>
    </xf>
    <xf numFmtId="41" fontId="3" fillId="2" borderId="1" xfId="2" applyNumberFormat="1" applyFont="1" applyFill="1" applyBorder="1" applyProtection="1">
      <protection locked="0"/>
    </xf>
    <xf numFmtId="10" fontId="3" fillId="2" borderId="1" xfId="2" applyNumberFormat="1" applyFont="1" applyFill="1" applyBorder="1" applyProtection="1">
      <protection hidden="1"/>
    </xf>
    <xf numFmtId="41" fontId="3" fillId="2" borderId="1" xfId="2" applyNumberFormat="1" applyFont="1" applyFill="1" applyBorder="1" applyAlignment="1" applyProtection="1">
      <alignment horizontal="center"/>
      <protection locked="0" hidden="1"/>
    </xf>
    <xf numFmtId="41" fontId="3" fillId="2" borderId="1" xfId="2" applyNumberFormat="1" applyFont="1" applyFill="1" applyBorder="1" applyAlignment="1" applyProtection="1">
      <alignment horizontal="center"/>
      <protection locked="0"/>
    </xf>
    <xf numFmtId="0" fontId="9" fillId="2" borderId="1" xfId="2" applyFont="1" applyFill="1" applyBorder="1" applyProtection="1">
      <protection locked="0"/>
    </xf>
    <xf numFmtId="0" fontId="3" fillId="0" borderId="1" xfId="7" applyFont="1" applyBorder="1" applyProtection="1">
      <protection locked="0"/>
    </xf>
    <xf numFmtId="0" fontId="10" fillId="0" borderId="1" xfId="2" applyFont="1" applyBorder="1" applyProtection="1">
      <protection locked="0"/>
    </xf>
    <xf numFmtId="41" fontId="3" fillId="5" borderId="1" xfId="2" applyNumberFormat="1" applyFont="1" applyFill="1" applyBorder="1" applyAlignment="1" applyProtection="1">
      <alignment horizontal="center"/>
      <protection hidden="1"/>
    </xf>
    <xf numFmtId="41" fontId="9" fillId="5" borderId="1" xfId="2" applyNumberFormat="1" applyFont="1" applyFill="1" applyBorder="1" applyAlignment="1" applyProtection="1">
      <alignment horizontal="center"/>
      <protection hidden="1"/>
    </xf>
    <xf numFmtId="0" fontId="9" fillId="5" borderId="1" xfId="2" applyFont="1" applyFill="1" applyBorder="1" applyProtection="1">
      <protection hidden="1"/>
    </xf>
    <xf numFmtId="41" fontId="9" fillId="5" borderId="2" xfId="2" applyNumberFormat="1" applyFont="1" applyFill="1" applyBorder="1" applyAlignment="1" applyProtection="1">
      <alignment horizontal="center"/>
      <protection hidden="1"/>
    </xf>
    <xf numFmtId="41" fontId="3" fillId="5" borderId="1" xfId="2" applyNumberFormat="1" applyFont="1" applyFill="1" applyBorder="1" applyAlignment="1" applyProtection="1">
      <alignment horizontal="center"/>
      <protection locked="0" hidden="1"/>
    </xf>
    <xf numFmtId="41" fontId="3" fillId="5" borderId="1" xfId="2" applyNumberFormat="1" applyFont="1" applyFill="1" applyBorder="1" applyAlignment="1" applyProtection="1">
      <alignment horizontal="center"/>
      <protection locked="0"/>
    </xf>
    <xf numFmtId="10" fontId="3" fillId="5" borderId="1" xfId="2" applyNumberFormat="1" applyFont="1" applyFill="1" applyBorder="1" applyProtection="1">
      <protection hidden="1"/>
    </xf>
    <xf numFmtId="0" fontId="9" fillId="5" borderId="1" xfId="2" applyFont="1" applyFill="1" applyBorder="1" applyProtection="1">
      <protection locked="0"/>
    </xf>
    <xf numFmtId="10" fontId="3" fillId="0" borderId="0" xfId="2" applyNumberFormat="1" applyFont="1" applyProtection="1">
      <protection hidden="1"/>
    </xf>
    <xf numFmtId="41" fontId="3" fillId="0" borderId="0" xfId="2" applyNumberFormat="1" applyFont="1" applyAlignment="1" applyProtection="1">
      <alignment horizontal="center"/>
      <protection locked="0" hidden="1"/>
    </xf>
    <xf numFmtId="41" fontId="3" fillId="3" borderId="3" xfId="2" applyNumberFormat="1" applyFont="1" applyFill="1" applyBorder="1" applyAlignment="1" applyProtection="1">
      <alignment horizontal="center"/>
      <protection locked="0"/>
    </xf>
    <xf numFmtId="43" fontId="3" fillId="3" borderId="1" xfId="1" applyFont="1" applyFill="1" applyBorder="1" applyAlignment="1" applyProtection="1">
      <alignment horizontal="center"/>
      <protection locked="0" hidden="1"/>
    </xf>
    <xf numFmtId="41" fontId="3" fillId="0" borderId="3" xfId="2" applyNumberFormat="1" applyFont="1" applyBorder="1" applyAlignment="1" applyProtection="1">
      <alignment horizontal="center"/>
      <protection locked="0"/>
    </xf>
    <xf numFmtId="41" fontId="3" fillId="0" borderId="3" xfId="2" applyNumberFormat="1" applyFont="1" applyBorder="1" applyAlignment="1" applyProtection="1">
      <alignment horizontal="center"/>
      <protection hidden="1"/>
    </xf>
    <xf numFmtId="0" fontId="3" fillId="0" borderId="3" xfId="2" applyFont="1" applyBorder="1" applyProtection="1">
      <protection hidden="1"/>
    </xf>
    <xf numFmtId="41" fontId="3" fillId="0" borderId="4" xfId="2" applyNumberFormat="1" applyFont="1" applyBorder="1" applyAlignment="1" applyProtection="1">
      <alignment horizontal="center"/>
      <protection hidden="1"/>
    </xf>
    <xf numFmtId="10" fontId="3" fillId="0" borderId="3" xfId="2" applyNumberFormat="1" applyFont="1" applyBorder="1" applyProtection="1">
      <protection hidden="1"/>
    </xf>
    <xf numFmtId="41" fontId="3" fillId="0" borderId="3" xfId="2" applyNumberFormat="1" applyFont="1" applyBorder="1" applyAlignment="1" applyProtection="1">
      <alignment horizontal="center"/>
      <protection locked="0" hidden="1"/>
    </xf>
    <xf numFmtId="0" fontId="3" fillId="0" borderId="3" xfId="2" applyFont="1" applyBorder="1" applyProtection="1">
      <protection locked="0"/>
    </xf>
    <xf numFmtId="164" fontId="3" fillId="0" borderId="1" xfId="2" applyNumberFormat="1" applyFont="1" applyBorder="1" applyAlignment="1" applyProtection="1">
      <alignment horizontal="center"/>
      <protection locked="0"/>
    </xf>
    <xf numFmtId="0" fontId="0" fillId="0" borderId="1" xfId="2" applyFont="1" applyBorder="1" applyProtection="1">
      <protection locked="0" hidden="1"/>
    </xf>
    <xf numFmtId="0" fontId="3" fillId="0" borderId="5" xfId="2" applyFont="1" applyBorder="1" applyProtection="1">
      <protection locked="0"/>
    </xf>
    <xf numFmtId="0" fontId="3" fillId="0" borderId="5" xfId="7" applyFont="1" applyBorder="1" applyProtection="1">
      <protection locked="0"/>
    </xf>
    <xf numFmtId="0" fontId="9" fillId="0" borderId="1" xfId="2" applyFont="1" applyBorder="1" applyProtection="1">
      <protection hidden="1"/>
    </xf>
    <xf numFmtId="0" fontId="3" fillId="6" borderId="1" xfId="2" applyFont="1" applyFill="1" applyBorder="1" applyProtection="1">
      <protection locked="0"/>
    </xf>
    <xf numFmtId="0" fontId="13" fillId="0" borderId="1" xfId="2" applyFont="1" applyBorder="1" applyProtection="1">
      <protection locked="0"/>
    </xf>
    <xf numFmtId="164" fontId="3" fillId="7" borderId="1" xfId="2" applyNumberFormat="1" applyFont="1" applyFill="1" applyBorder="1" applyAlignment="1" applyProtection="1">
      <alignment horizontal="center"/>
      <protection locked="0"/>
    </xf>
    <xf numFmtId="164" fontId="14" fillId="7" borderId="1" xfId="2" applyNumberFormat="1" applyFont="1" applyFill="1" applyBorder="1" applyAlignment="1" applyProtection="1">
      <alignment horizontal="center"/>
      <protection locked="0"/>
    </xf>
    <xf numFmtId="41" fontId="3" fillId="0" borderId="1" xfId="8" applyNumberFormat="1" applyFont="1" applyFill="1" applyBorder="1" applyProtection="1">
      <protection locked="0" hidden="1"/>
    </xf>
    <xf numFmtId="0" fontId="3" fillId="6" borderId="1" xfId="7" applyFont="1" applyFill="1" applyBorder="1" applyProtection="1">
      <protection locked="0"/>
    </xf>
    <xf numFmtId="167" fontId="3" fillId="0" borderId="1" xfId="9" applyNumberFormat="1" applyFont="1" applyBorder="1" applyAlignment="1" applyProtection="1">
      <alignment horizontal="center"/>
      <protection hidden="1"/>
    </xf>
    <xf numFmtId="164" fontId="14" fillId="0" borderId="1" xfId="2" applyNumberFormat="1" applyFont="1" applyBorder="1" applyAlignment="1" applyProtection="1">
      <alignment horizontal="center"/>
      <protection locked="0"/>
    </xf>
    <xf numFmtId="0" fontId="3" fillId="0" borderId="1" xfId="2" quotePrefix="1" applyFont="1" applyBorder="1" applyAlignment="1" applyProtection="1">
      <alignment horizontal="left"/>
      <protection locked="0"/>
    </xf>
    <xf numFmtId="168" fontId="0" fillId="0" borderId="0" xfId="0" applyNumberFormat="1" applyAlignment="1" applyProtection="1">
      <alignment horizontal="left"/>
      <protection locked="0"/>
    </xf>
    <xf numFmtId="43" fontId="9" fillId="0" borderId="1" xfId="1" applyFont="1" applyBorder="1" applyProtection="1">
      <protection locked="0"/>
    </xf>
    <xf numFmtId="41" fontId="9" fillId="3" borderId="2" xfId="2" applyNumberFormat="1" applyFont="1" applyFill="1" applyBorder="1" applyAlignment="1" applyProtection="1">
      <alignment horizontal="center" vertical="top" wrapText="1"/>
      <protection hidden="1"/>
    </xf>
    <xf numFmtId="41" fontId="3" fillId="0" borderId="0" xfId="2" applyNumberFormat="1" applyFont="1" applyAlignment="1" applyProtection="1">
      <alignment vertical="top"/>
      <protection locked="0"/>
    </xf>
    <xf numFmtId="41" fontId="3" fillId="0" borderId="0" xfId="2" applyNumberFormat="1" applyFont="1" applyAlignment="1" applyProtection="1">
      <alignment horizontal="center" vertical="top"/>
      <protection hidden="1"/>
    </xf>
    <xf numFmtId="41" fontId="9" fillId="0" borderId="0" xfId="2" applyNumberFormat="1" applyFont="1" applyAlignment="1" applyProtection="1">
      <alignment horizontal="center"/>
      <protection hidden="1"/>
    </xf>
    <xf numFmtId="0" fontId="9" fillId="0" borderId="0" xfId="2" applyFont="1" applyAlignment="1" applyProtection="1">
      <alignment horizontal="left"/>
      <protection hidden="1"/>
    </xf>
    <xf numFmtId="43" fontId="9" fillId="0" borderId="0" xfId="1" applyFont="1" applyAlignment="1" applyProtection="1">
      <alignment horizontal="center"/>
      <protection locked="0"/>
    </xf>
    <xf numFmtId="10" fontId="9" fillId="0" borderId="0" xfId="2" applyNumberFormat="1" applyFont="1" applyAlignment="1" applyProtection="1">
      <alignment horizontal="center"/>
      <protection hidden="1"/>
    </xf>
    <xf numFmtId="13" fontId="9" fillId="0" borderId="0" xfId="2" applyNumberFormat="1" applyFont="1" applyAlignment="1" applyProtection="1">
      <alignment horizontal="center"/>
      <protection hidden="1"/>
    </xf>
    <xf numFmtId="41" fontId="9" fillId="0" borderId="0" xfId="2" applyNumberFormat="1" applyFont="1" applyAlignment="1" applyProtection="1">
      <alignment horizontal="center"/>
      <protection locked="0"/>
    </xf>
    <xf numFmtId="0" fontId="15" fillId="0" borderId="0" xfId="2" applyFont="1" applyProtection="1">
      <protection hidden="1"/>
    </xf>
    <xf numFmtId="0" fontId="15" fillId="0" borderId="0" xfId="2" applyFont="1" applyProtection="1">
      <protection locked="0"/>
    </xf>
  </cellXfs>
  <cellStyles count="10">
    <cellStyle name="Comma" xfId="1" builtinId="3"/>
    <cellStyle name="Comma 10" xfId="8" xr:uid="{94157842-B907-489C-9013-69268C939A75}"/>
    <cellStyle name="Comma 2" xfId="6" xr:uid="{E4FC6887-AE17-4FE4-9641-CFA524FA7706}"/>
    <cellStyle name="Comma 3 2" xfId="9" xr:uid="{03285FF0-5DBE-4342-92D5-31F856F6853F}"/>
    <cellStyle name="Normal" xfId="0" builtinId="0"/>
    <cellStyle name="Normal 2" xfId="2" xr:uid="{5C44DD79-6DF4-4359-90C9-F7B387B4936B}"/>
    <cellStyle name="Normal 4" xfId="7" xr:uid="{F14FFEF3-9690-4D12-8C65-CADCF42BC75E}"/>
    <cellStyle name="Normal_HRC Mumbai Cigaratte Variance Report Feb'09_HRC Mumbai Bar Variance Report April'09" xfId="3" xr:uid="{A2674EE2-1397-4E0A-9881-1B4260320425}"/>
    <cellStyle name="Percent 2" xfId="4" xr:uid="{ABAA3D63-D2E1-468B-A3D9-77AC8C6F220E}"/>
    <cellStyle name="Percent 3" xfId="5" xr:uid="{63139E4A-4753-4FF4-B372-FDF61A4738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B68D-169E-42C0-B8FC-672862B2F632}">
  <sheetPr codeName="Sheet16"/>
  <dimension ref="A1:BQ1065"/>
  <sheetViews>
    <sheetView tabSelected="1" zoomScale="85" zoomScaleNormal="85" workbookViewId="0">
      <pane xSplit="1" ySplit="4" topLeftCell="T379" activePane="bottomRight" state="frozen"/>
      <selection activeCell="T100" sqref="T100"/>
      <selection pane="topRight" activeCell="T100" sqref="T100"/>
      <selection pane="bottomLeft" activeCell="T100" sqref="T100"/>
      <selection pane="bottomRight" activeCell="AK405" sqref="AK405"/>
    </sheetView>
  </sheetViews>
  <sheetFormatPr defaultColWidth="9.109375" defaultRowHeight="14.4" x14ac:dyDescent="0.35"/>
  <cols>
    <col min="1" max="1" width="47.5546875" style="9" customWidth="1"/>
    <col min="2" max="2" width="8.6640625" style="3" customWidth="1"/>
    <col min="3" max="3" width="5.5546875" style="3" customWidth="1"/>
    <col min="4" max="4" width="12.6640625" style="3" customWidth="1"/>
    <col min="5" max="6" width="12.6640625" style="8" customWidth="1"/>
    <col min="7" max="7" width="12.6640625" style="3" customWidth="1"/>
    <col min="8" max="11" width="12.6640625" style="8" customWidth="1"/>
    <col min="12" max="12" width="12.6640625" style="8" hidden="1" customWidth="1"/>
    <col min="13" max="13" width="12.6640625" style="8" customWidth="1"/>
    <col min="14" max="16" width="12.6640625" style="3" customWidth="1"/>
    <col min="17" max="17" width="12.6640625" style="7" hidden="1" customWidth="1"/>
    <col min="18" max="18" width="12.6640625" style="6" customWidth="1"/>
    <col min="19" max="20" width="12.6640625" style="3" customWidth="1"/>
    <col min="21" max="21" width="3.6640625" style="3" customWidth="1"/>
    <col min="22" max="23" width="12.6640625" style="2" customWidth="1"/>
    <col min="24" max="25" width="12.6640625" style="2" hidden="1" customWidth="1"/>
    <col min="26" max="26" width="3.6640625" style="1" customWidth="1"/>
    <col min="27" max="30" width="12.6640625" style="2" customWidth="1"/>
    <col min="31" max="31" width="3.6640625" style="1" customWidth="1"/>
    <col min="32" max="32" width="12.6640625" style="5" customWidth="1"/>
    <col min="33" max="38" width="12.6640625" style="1" customWidth="1"/>
    <col min="39" max="39" width="3.6640625" style="1" customWidth="1"/>
    <col min="40" max="40" width="45.88671875" style="4" customWidth="1"/>
    <col min="41" max="53" width="12.6640625" style="3" customWidth="1"/>
    <col min="54" max="54" width="12.6640625" style="1" customWidth="1"/>
    <col min="55" max="57" width="12.6640625" style="3" customWidth="1"/>
    <col min="58" max="58" width="3.6640625" style="1" customWidth="1"/>
    <col min="59" max="60" width="12.6640625" style="1" customWidth="1"/>
    <col min="61" max="62" width="12.6640625" style="1" hidden="1" customWidth="1"/>
    <col min="63" max="63" width="3.6640625" style="1" customWidth="1"/>
    <col min="64" max="65" width="12.6640625" style="1" customWidth="1"/>
    <col min="66" max="67" width="12.6640625" style="1" hidden="1" customWidth="1"/>
    <col min="68" max="68" width="9.109375" style="1" customWidth="1"/>
    <col min="69" max="69" width="12.6640625" style="2" customWidth="1"/>
    <col min="70" max="16384" width="9.109375" style="1"/>
  </cols>
  <sheetData>
    <row r="1" spans="1:69" ht="22.2" x14ac:dyDescent="0.45">
      <c r="A1" s="181" t="s">
        <v>318</v>
      </c>
      <c r="AN1" s="180" t="str">
        <f>A1</f>
        <v>Watson's Assay Road</v>
      </c>
    </row>
    <row r="3" spans="1:69" ht="15" customHeight="1" x14ac:dyDescent="0.35">
      <c r="A3" s="81" t="s">
        <v>317</v>
      </c>
      <c r="B3" s="174"/>
      <c r="C3" s="174"/>
      <c r="D3" s="174"/>
      <c r="E3" s="179"/>
      <c r="F3" s="179"/>
      <c r="G3" s="174"/>
      <c r="H3" s="179"/>
      <c r="I3" s="179"/>
      <c r="J3" s="179"/>
      <c r="K3" s="179"/>
      <c r="L3" s="179"/>
      <c r="M3" s="179"/>
      <c r="N3" s="174"/>
      <c r="O3" s="174"/>
      <c r="P3" s="178"/>
      <c r="Q3" s="177"/>
      <c r="R3" s="176"/>
      <c r="S3" s="174"/>
      <c r="T3" s="174"/>
      <c r="U3" s="174"/>
      <c r="AN3" s="175" t="str">
        <f>A3</f>
        <v>Watsons Bar Variance Report   for Feb'16_15th</v>
      </c>
      <c r="AO3" s="174"/>
      <c r="AP3" s="174"/>
      <c r="AQ3" s="174"/>
      <c r="AR3" s="174"/>
      <c r="AS3" s="174"/>
      <c r="AT3" s="174"/>
      <c r="AU3" s="174"/>
      <c r="AV3" s="174"/>
      <c r="AW3" s="174"/>
      <c r="AX3" s="174"/>
      <c r="AY3" s="174"/>
      <c r="AZ3" s="174"/>
      <c r="BA3" s="174"/>
      <c r="BC3" s="174"/>
      <c r="BD3" s="174"/>
      <c r="BE3" s="174"/>
    </row>
    <row r="4" spans="1:69" s="71" customFormat="1" ht="43.5" customHeight="1" x14ac:dyDescent="0.3">
      <c r="A4" s="79" t="s">
        <v>48</v>
      </c>
      <c r="B4" s="78" t="s">
        <v>47</v>
      </c>
      <c r="C4" s="78" t="s">
        <v>46</v>
      </c>
      <c r="D4" s="70" t="s">
        <v>45</v>
      </c>
      <c r="E4" s="78" t="s">
        <v>44</v>
      </c>
      <c r="F4" s="78" t="s">
        <v>43</v>
      </c>
      <c r="G4" s="70" t="s">
        <v>42</v>
      </c>
      <c r="H4" s="78" t="s">
        <v>41</v>
      </c>
      <c r="I4" s="78" t="s">
        <v>40</v>
      </c>
      <c r="J4" s="78" t="s">
        <v>39</v>
      </c>
      <c r="K4" s="78" t="s">
        <v>38</v>
      </c>
      <c r="L4" s="78" t="s">
        <v>37</v>
      </c>
      <c r="M4" s="78" t="s">
        <v>36</v>
      </c>
      <c r="N4" s="70" t="s">
        <v>35</v>
      </c>
      <c r="O4" s="69" t="s">
        <v>34</v>
      </c>
      <c r="P4" s="70" t="s">
        <v>33</v>
      </c>
      <c r="Q4" s="77" t="s">
        <v>32</v>
      </c>
      <c r="R4" s="73" t="s">
        <v>31</v>
      </c>
      <c r="S4" s="70" t="s">
        <v>30</v>
      </c>
      <c r="T4" s="70" t="s">
        <v>29</v>
      </c>
      <c r="U4" s="173"/>
      <c r="V4" s="78" t="s">
        <v>316</v>
      </c>
      <c r="W4" s="78" t="s">
        <v>315</v>
      </c>
      <c r="X4" s="78">
        <v>0</v>
      </c>
      <c r="Y4" s="78">
        <v>0</v>
      </c>
      <c r="Z4" s="172"/>
      <c r="AA4" s="78" t="s">
        <v>314</v>
      </c>
      <c r="AB4" s="78" t="s">
        <v>313</v>
      </c>
      <c r="AC4" s="78">
        <v>0</v>
      </c>
      <c r="AD4" s="78">
        <v>0</v>
      </c>
      <c r="AF4" s="73" t="s">
        <v>26</v>
      </c>
      <c r="AG4" s="70" t="s">
        <v>25</v>
      </c>
      <c r="AH4" s="70" t="s">
        <v>24</v>
      </c>
      <c r="AI4" s="70" t="s">
        <v>23</v>
      </c>
      <c r="AJ4" s="70" t="s">
        <v>22</v>
      </c>
      <c r="AK4" s="171" t="s">
        <v>21</v>
      </c>
      <c r="AL4" s="70" t="s">
        <v>312</v>
      </c>
      <c r="AN4" s="70" t="str">
        <f>A4</f>
        <v>Particulars</v>
      </c>
      <c r="AO4" s="70" t="str">
        <f>D4</f>
        <v>Opening Balance</v>
      </c>
      <c r="AP4" s="70" t="str">
        <f>E4</f>
        <v>Receipt</v>
      </c>
      <c r="AQ4" s="70" t="str">
        <f>F4</f>
        <v>Transfer
In / Out</v>
      </c>
      <c r="AR4" s="70" t="str">
        <f>G4</f>
        <v>Total</v>
      </c>
      <c r="AS4" s="70" t="str">
        <f>H4</f>
        <v xml:space="preserve"> Sale
Ala Carte</v>
      </c>
      <c r="AT4" s="70" t="str">
        <f>I4</f>
        <v>NC
Ala Carte</v>
      </c>
      <c r="AU4" s="70" t="str">
        <f>J4</f>
        <v>Cocktail
Sale / NC</v>
      </c>
      <c r="AV4" s="70" t="str">
        <f>K4</f>
        <v>Adjustments
(+ / -)</v>
      </c>
      <c r="AW4" s="70" t="str">
        <f>L4</f>
        <v>Banquet
Sale</v>
      </c>
      <c r="AX4" s="70" t="str">
        <f>M4</f>
        <v>Spoilage</v>
      </c>
      <c r="AY4" s="70" t="str">
        <f>N4</f>
        <v>Closing Balance</v>
      </c>
      <c r="AZ4" s="70" t="str">
        <f>O4</f>
        <v xml:space="preserve"> Physical Closing</v>
      </c>
      <c r="BA4" s="70" t="str">
        <f>P4</f>
        <v>Variance
Qty</v>
      </c>
      <c r="BB4" s="70" t="str">
        <f>R4</f>
        <v>Selling
Price</v>
      </c>
      <c r="BC4" s="70" t="str">
        <f>S4</f>
        <v>Variance
in Sales</v>
      </c>
      <c r="BD4" s="70" t="str">
        <f>AF4</f>
        <v>Cost Price</v>
      </c>
      <c r="BE4" s="70" t="str">
        <f>T4</f>
        <v>Variance
in Cost</v>
      </c>
      <c r="BG4" s="70" t="str">
        <f>V4</f>
        <v>Main Bar Closing</v>
      </c>
      <c r="BH4" s="70" t="str">
        <f>W4</f>
        <v xml:space="preserve">Store Closing </v>
      </c>
      <c r="BI4" s="70">
        <f>X4</f>
        <v>0</v>
      </c>
      <c r="BJ4" s="70">
        <f>Y4</f>
        <v>0</v>
      </c>
      <c r="BL4" s="70" t="str">
        <f>AA4</f>
        <v>Main Bar Opening</v>
      </c>
      <c r="BM4" s="70" t="str">
        <f>AB4</f>
        <v xml:space="preserve">Store Opening </v>
      </c>
      <c r="BN4" s="70">
        <f>AC4</f>
        <v>0</v>
      </c>
      <c r="BO4" s="70">
        <f>AD4</f>
        <v>0</v>
      </c>
      <c r="BQ4" s="78" t="s">
        <v>311</v>
      </c>
    </row>
    <row r="5" spans="1:69" x14ac:dyDescent="0.35">
      <c r="A5" s="94"/>
      <c r="B5" s="113"/>
      <c r="C5" s="113"/>
      <c r="D5" s="28"/>
      <c r="E5" s="113"/>
      <c r="F5" s="113"/>
      <c r="G5" s="28"/>
      <c r="H5" s="113"/>
      <c r="I5" s="113"/>
      <c r="J5" s="113"/>
      <c r="K5" s="113"/>
      <c r="L5" s="113"/>
      <c r="M5" s="113"/>
      <c r="N5" s="28"/>
      <c r="O5" s="125"/>
      <c r="P5" s="28"/>
      <c r="Q5" s="61"/>
      <c r="R5" s="54"/>
      <c r="S5" s="28"/>
      <c r="T5" s="28"/>
      <c r="V5" s="93"/>
      <c r="W5" s="93"/>
      <c r="X5" s="93"/>
      <c r="Y5" s="93"/>
      <c r="AA5" s="93"/>
      <c r="AB5" s="93"/>
      <c r="AC5" s="93"/>
      <c r="AD5" s="93"/>
      <c r="AF5" s="67"/>
      <c r="AG5" s="28"/>
      <c r="AH5" s="58"/>
      <c r="AI5" s="28"/>
      <c r="AJ5" s="28"/>
      <c r="AK5" s="58"/>
      <c r="AL5" s="28"/>
      <c r="AN5" s="51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33"/>
      <c r="BC5" s="28"/>
      <c r="BD5" s="28"/>
      <c r="BE5" s="28"/>
      <c r="BG5" s="33"/>
      <c r="BH5" s="33"/>
      <c r="BI5" s="33"/>
      <c r="BJ5" s="33"/>
      <c r="BL5" s="33"/>
      <c r="BM5" s="33"/>
      <c r="BN5" s="33"/>
      <c r="BO5" s="33"/>
      <c r="BQ5" s="93"/>
    </row>
    <row r="6" spans="1:69" x14ac:dyDescent="0.35">
      <c r="A6" s="135" t="s">
        <v>310</v>
      </c>
      <c r="B6" s="113"/>
      <c r="C6" s="113"/>
      <c r="D6" s="28"/>
      <c r="E6" s="113"/>
      <c r="F6" s="113"/>
      <c r="G6" s="28"/>
      <c r="H6" s="113"/>
      <c r="I6" s="113"/>
      <c r="J6" s="113"/>
      <c r="K6" s="113"/>
      <c r="L6" s="113"/>
      <c r="M6" s="113"/>
      <c r="N6" s="28"/>
      <c r="O6" s="125"/>
      <c r="P6" s="28"/>
      <c r="Q6" s="61"/>
      <c r="R6" s="54"/>
      <c r="S6" s="28"/>
      <c r="T6" s="28"/>
      <c r="V6" s="93"/>
      <c r="W6" s="93"/>
      <c r="X6" s="93"/>
      <c r="Y6" s="93"/>
      <c r="AA6" s="93"/>
      <c r="AB6" s="93"/>
      <c r="AC6" s="93"/>
      <c r="AD6" s="93"/>
      <c r="AF6" s="170"/>
      <c r="AG6" s="28"/>
      <c r="AH6" s="58"/>
      <c r="AI6" s="28"/>
      <c r="AJ6" s="28"/>
      <c r="AK6" s="58"/>
      <c r="AL6" s="28"/>
      <c r="AN6" s="65" t="str">
        <f>A6</f>
        <v>Imported Spirits - 1000 ml</v>
      </c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33"/>
      <c r="BC6" s="28"/>
      <c r="BD6" s="28"/>
      <c r="BE6" s="28"/>
      <c r="BG6" s="33"/>
      <c r="BH6" s="33"/>
      <c r="BI6" s="33"/>
      <c r="BJ6" s="33"/>
      <c r="BL6" s="33"/>
      <c r="BM6" s="33"/>
      <c r="BN6" s="33"/>
      <c r="BO6" s="33"/>
      <c r="BQ6" s="93"/>
    </row>
    <row r="7" spans="1:69" hidden="1" x14ac:dyDescent="0.35">
      <c r="B7" s="113">
        <v>1000</v>
      </c>
      <c r="C7" s="113">
        <v>30</v>
      </c>
      <c r="D7" s="28">
        <f>SUM(AA7:AD7)</f>
        <v>0</v>
      </c>
      <c r="E7" s="113">
        <v>0</v>
      </c>
      <c r="F7" s="113">
        <v>0</v>
      </c>
      <c r="G7" s="28">
        <f>SUM(D7:F7)</f>
        <v>0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28">
        <f>G7-SUM(H7:M7)</f>
        <v>0</v>
      </c>
      <c r="O7" s="28">
        <f>SUM(V7:Y7)</f>
        <v>0</v>
      </c>
      <c r="P7" s="28">
        <f>O7-N7</f>
        <v>0</v>
      </c>
      <c r="Q7" s="61" t="str">
        <f>IF(ISERROR(P7/SUM(H7:L7)),"",P7/SUM(H7:L7))</f>
        <v/>
      </c>
      <c r="R7" s="113">
        <v>0</v>
      </c>
      <c r="S7" s="28">
        <f>IF(ISERROR(P7/C7*R7),0,(P7/C7*R7))</f>
        <v>0</v>
      </c>
      <c r="T7" s="60">
        <f>IF(ISERROR(P7/B7*AF7),0,(P7/B7*AF7))</f>
        <v>0</v>
      </c>
      <c r="V7" s="113">
        <v>0</v>
      </c>
      <c r="W7" s="113">
        <v>0</v>
      </c>
      <c r="X7" s="113">
        <v>0</v>
      </c>
      <c r="Y7" s="113">
        <v>0</v>
      </c>
      <c r="AA7" s="113">
        <v>0</v>
      </c>
      <c r="AB7" s="113">
        <v>0</v>
      </c>
      <c r="AC7" s="113">
        <v>0</v>
      </c>
      <c r="AD7" s="113">
        <v>0</v>
      </c>
      <c r="AF7" s="113">
        <v>0</v>
      </c>
      <c r="AG7" s="28">
        <f>G7-O7</f>
        <v>0</v>
      </c>
      <c r="AH7" s="58">
        <f>IF(ISERROR(AG7/B7*AF7),0,(AG7/B7*AF7))</f>
        <v>0</v>
      </c>
      <c r="AI7" s="28">
        <f>SUM(H7:M7)</f>
        <v>0</v>
      </c>
      <c r="AJ7" s="28">
        <f>IF(ISERROR(AI7/B7*AF7),0,(AI7/B7*AF7))</f>
        <v>0</v>
      </c>
      <c r="AK7" s="58">
        <f>IF(ISERROR(O7/B7*AF7),0,(O7/B7*AF7))</f>
        <v>0</v>
      </c>
      <c r="AL7" s="28">
        <f>IF(ISERROR(H7/B7*AF7),0,(H7/B7*AF7))</f>
        <v>0</v>
      </c>
      <c r="AN7" s="51">
        <f>A25</f>
        <v>0</v>
      </c>
      <c r="AO7" s="57">
        <f>IF(ISERROR(IF(B7=C7,D7/C7,(INT(D7/B7)+(((D7-B7*INT(D7/B7)))/C7)/100))),0,(IF(B7=C7,D7/C7,(INT(D7/B7)+(((D7-B7*INT(D7/B7)))/C7)/100))))</f>
        <v>0</v>
      </c>
      <c r="AP7" s="57">
        <f>IF(ISERROR(IF(B7=C7,E7/C7,(INT(E7/B7)+(((E7-B7*INT(E7/B7)))/C7)/100))),0,(IF(B7=C7,E7/C7,(INT(E7/B7)+(((E7-B7*INT(E7/B7)))/C7)/100))))</f>
        <v>0</v>
      </c>
      <c r="AQ7" s="57">
        <f>IF(ISERROR(IF(B7=C7,F7/C7,IF((INT(F7/B7)+(((F7-B7*INT(F7/B7)))/C7)/100)&lt;0,(INT(F7/B7)+(((F7-B7*INT(F7/B7)))/C7)/100)+(1-(B7/C7/100)),(INT(F7/B7)+(((F7-B7*INT(F7/B7)))/C7)/100)))),0,IF(B7=C7,F7/C7,IF((INT(F7/B7)+(((F7-B7*INT(F7/B7)))/C7)/100)&lt;0,(INT(F7/B7)+(((F7-B7*INT(F7/B7)))/C7)/100)+(1-(B7/C7/100)),(INT(F7/B7)+(((F7-B7*INT(F7/B7)))/C7)/100))))</f>
        <v>0</v>
      </c>
      <c r="AR7" s="57">
        <f>IF(ISERROR(IF(B7=C7,G7/C7,(INT(G7/B7)+(((G7-B7*INT(G7/B7)))/C7)/100))),0,(IF(B7=C7,G7/C7,(INT(G7/B7)+(((G7-B7*INT(G7/B7)))/C7)/100))))</f>
        <v>0</v>
      </c>
      <c r="AS7" s="57">
        <f>IF(ISERROR(IF(B7=C7,H7/C7,(INT(H7/B7)+(((H7-B7*INT(H7/B7)))/C7)/100))),0,(IF(B7=C7,H7/C7,(INT(H7/B7)+(((H7-B7*INT(H7/B7)))/C7)/100))))</f>
        <v>0</v>
      </c>
      <c r="AT7" s="57">
        <f>IF(ISERROR(IF(B7=C7,I7/C7,(INT(I7/B7)+(((I7-B7*INT(I7/B7)))/C7)/100))),0,(IF(B7=C7,I7/C7,(INT(I7/B7)+(((I7-B7*INT(I7/B7)))/C7)/100))))</f>
        <v>0</v>
      </c>
      <c r="AU7" s="57">
        <f>IF(ISERROR(IF(B7=C7,J7/C7,(INT(J7/B7)+(((J7-B7*INT(J7/B7)))/C7)/100))),0,(IF(B7=C7,J7/C7,(INT(J7/B7)+(((J7-B7*INT(J7/B7)))/C7)/100))))</f>
        <v>0</v>
      </c>
      <c r="AV7" s="57">
        <f>IF(ISERROR(IF(B7=C7,K7/C7,IF((INT(K7/B7)+(((K7-B7*INT(K7/B7)))/C7)/100)&lt;0,(INT(K7/B7)+(((K7-B7*INT(K7/B7)))/C7)/100)+(1-(B7/C7/100)),(INT(K7/B7)+(((K7-B7*INT(K7/B7)))/C7)/100)))),0,IF(B7=C7,K7/C7,IF((INT(K7/B7)+(((K7-B7*INT(K7/B7)))/C7)/100)&lt;0,(INT(K7/B7)+(((K7-B7*INT(K7/B7)))/C7)/100)+(1-(B7/C7/100)),(INT(K7/B7)+(((K7-B7*INT(K7/B7)))/C7)/100))))</f>
        <v>0</v>
      </c>
      <c r="AW7" s="57">
        <f>IF(ISERROR(IF(B7=C7,L7/C7,(INT(L7/B7)+(((L7-B7*INT(L7/B7)))/C7)/100))),0,(IF(B7=C7,L7/C7,(INT(L7/B7)+(((L7-B7*INT(L7/B7)))/C7)/100))))</f>
        <v>0</v>
      </c>
      <c r="AX7" s="57">
        <f>IF(ISERROR(IF(B7=C7,M7/C7,(INT(M7/B7)+(((M7-B7*INT(M7/B7)))/C7)/100))),0,(IF(B7=C7,M7/C7,(INT(M7/B7)+(((M7-B7*INT(M7/B7)))/C7)/100))))</f>
        <v>0</v>
      </c>
      <c r="AY7" s="57">
        <f>IF(ISERROR(IF(B7=C7,N7/C7,IF((INT(N7/B7)+(((N7-B7*INT(N7/B7)))/C7)/100)&lt;0,(INT(N7/B7)+(((N7-B7*INT(N7/B7)))/C7)/100)+(1-(B7/C7/100)),(INT(N7/B7)+(((N7-B7*INT(N7/B7)))/C7)/100)))),0,IF(B7=C7,N7/C7,IF((INT(N7/B7)+(((N7-B7*INT(N7/B7)))/C7)/100)&lt;0,(INT(N7/B7)+(((N7-B7*INT(N7/B7)))/C7)/100)+(1-(B7/C7/100)),(INT(N7/B7)+(((N7-B7*INT(N7/B7)))/C7)/100))))</f>
        <v>0</v>
      </c>
      <c r="AZ7" s="57">
        <f>IF(ISERROR(IF(B7=C7,O7/C7,(INT(O7/B7)+(((O7-B7*INT(O7/B7)))/C7)/100))),0,(IF(B7=C7,O7/C7,(INT(O7/B7)+(((O7-B7*INT(O7/B7)))/C7)/100))))</f>
        <v>0</v>
      </c>
      <c r="BA7" s="57">
        <f>IF(ISERROR(IF(B7=C7,P7/C7,IF((INT(P7/B7)+(((P7-B7*INT(P7/B7)))/C7)/100)&lt;0,(INT(P7/B7)+(((P7-B7*INT(P7/B7)))/C7)/100)+(1-(B7/C7/100)),(INT(P7/B7)+(((P7-B7*INT(P7/B7)))/C7)/100)))),0,IF(B7=C7,P7/C7,IF((INT(P7/B7)+(((P7-B7*INT(P7/B7)))/C7)/100)&lt;0,(INT(P7/B7)+(((P7-B7*INT(P7/B7)))/C7)/100)+(1-(B7/C7/100)),(INT(P7/B7)+(((P7-B7*INT(P7/B7)))/C7)/100))))</f>
        <v>0</v>
      </c>
      <c r="BB7" s="28">
        <f>R7</f>
        <v>0</v>
      </c>
      <c r="BC7" s="28">
        <f>S7</f>
        <v>0</v>
      </c>
      <c r="BD7" s="28">
        <f>AF7</f>
        <v>0</v>
      </c>
      <c r="BE7" s="28">
        <f>T7</f>
        <v>0</v>
      </c>
      <c r="BG7" s="57">
        <f>IF(ISERROR(IF(B7=C7,V7/C7,(INT(V7/B7)+(((V7-B7*INT(V7/B7)))/C7)/100))),0,(IF(B7=C7,V7/C7,(INT(V7/B7)+(((V7-B7*INT(V7/B7)))/C7)/100))))</f>
        <v>0</v>
      </c>
      <c r="BH7" s="57">
        <f>IF(ISERROR(IF(B7=C7,W7/C7,(INT(W7/B7)+(((W7-B7*INT(W7/B7)))/C7)/100))),0,(IF(B7=C7,W7/C7,(INT(W7/B7)+(((W7-B7*INT(W7/B7)))/C7)/100))))</f>
        <v>0</v>
      </c>
      <c r="BI7" s="57">
        <f>IF(ISERROR(IF(B7=C7,X7/C7,(INT(X7/B7)+(((X7-B7*INT(X7/B7)))/C7)/100))),0,(IF(B7=C7,X7/C7,(INT(X7/B7)+(((X7-B7*INT(X7/B7)))/C7)/100))))</f>
        <v>0</v>
      </c>
      <c r="BJ7" s="57">
        <f>IF(ISERROR(IF(B7=C7,Y7/C7,(INT(Y7/B7)+(((Y7-B7*INT(Y7/B7)))/C7)/100))),0,(IF(B7=C7,Y7/C7,(INT(Y7/B7)+(((Y7-B7*INT(Y7/B7)))/C7)/100))))</f>
        <v>0</v>
      </c>
      <c r="BL7" s="57">
        <f>IF(ISERROR(IF(B7=C7,AA7/C7,(INT(AA7/B7)+(((AA7-B7*INT(AA7/B7)))/C7)/100))),0,(IF(B7=C7,AA7/C7,(INT(AA7/B7)+(((AA7-B7*INT(AA7/B7)))/C7)/100))))</f>
        <v>0</v>
      </c>
      <c r="BM7" s="57">
        <f>IF(ISERROR(IF(B7=C7,AB7/C7,(INT(AB7/B7)+(((AB7-B7*INT(AB7/B7)))/C7)/100))),0,(IF(B7=C7,AB7/C7,(INT(AB7/B7)+(((AB7-B7*INT(AB7/B7)))/C7)/100))))</f>
        <v>0</v>
      </c>
      <c r="BN7" s="57">
        <f>IF(ISERROR(IF(B7=C7,AC7/C7,(INT(AC7/B7)+(((AC7-B7*INT(AC7/B7)))/C7)/100))),0,(IF(B7=C7,AC7/C7,(INT(AC7/B7)+(((AC7-B7*INT(AC7/B7)))/C7)/100))))</f>
        <v>0</v>
      </c>
      <c r="BO7" s="57">
        <f>IF(ISERROR(IF(B7=C7,AD7/C7,(INT(AD7/B7)+(((AD7-B7*INT(AD7/B7)))/C7)/100))),0,(IF(B7=C7,AD7/C7,(INT(AD7/B7)+(((AD7-B7*INT(AD7/B7)))/C7)/100))))</f>
        <v>0</v>
      </c>
      <c r="BQ7" s="155" t="s">
        <v>309</v>
      </c>
    </row>
    <row r="8" spans="1:69" hidden="1" x14ac:dyDescent="0.35">
      <c r="B8" s="113">
        <v>1000</v>
      </c>
      <c r="C8" s="113">
        <v>30</v>
      </c>
      <c r="D8" s="28">
        <f>SUM(AA8:AD8)</f>
        <v>0</v>
      </c>
      <c r="E8" s="113">
        <v>0</v>
      </c>
      <c r="F8" s="113">
        <v>0</v>
      </c>
      <c r="G8" s="28">
        <f>SUM(D8:F8)</f>
        <v>0</v>
      </c>
      <c r="H8" s="113">
        <v>0</v>
      </c>
      <c r="I8" s="113">
        <v>0</v>
      </c>
      <c r="J8" s="113">
        <v>0</v>
      </c>
      <c r="K8" s="113">
        <v>0</v>
      </c>
      <c r="L8" s="113">
        <v>0</v>
      </c>
      <c r="M8" s="113">
        <v>0</v>
      </c>
      <c r="N8" s="28">
        <f>G8-SUM(H8:M8)</f>
        <v>0</v>
      </c>
      <c r="O8" s="28">
        <f>SUM(V8:Y8)</f>
        <v>0</v>
      </c>
      <c r="P8" s="28">
        <f>O8-N8</f>
        <v>0</v>
      </c>
      <c r="Q8" s="61" t="str">
        <f>IF(ISERROR(P8/SUM(H8:L8)),"",P8/SUM(H8:L8))</f>
        <v/>
      </c>
      <c r="R8" s="113">
        <v>0</v>
      </c>
      <c r="S8" s="28">
        <f>IF(ISERROR(P8/C8*R8),0,(P8/C8*R8))</f>
        <v>0</v>
      </c>
      <c r="T8" s="60">
        <f>IF(ISERROR(P8/B8*AF8),0,(P8/B8*AF8))</f>
        <v>0</v>
      </c>
      <c r="V8" s="113">
        <v>0</v>
      </c>
      <c r="W8" s="113">
        <v>0</v>
      </c>
      <c r="X8" s="113">
        <v>0</v>
      </c>
      <c r="Y8" s="113">
        <v>0</v>
      </c>
      <c r="AA8" s="113">
        <v>0</v>
      </c>
      <c r="AB8" s="113">
        <v>0</v>
      </c>
      <c r="AC8" s="113">
        <v>0</v>
      </c>
      <c r="AD8" s="113">
        <v>0</v>
      </c>
      <c r="AF8" s="113">
        <v>1770.4568749999999</v>
      </c>
      <c r="AG8" s="28">
        <f>G8-O8</f>
        <v>0</v>
      </c>
      <c r="AH8" s="58">
        <f>IF(ISERROR(AG8/B8*AF8),0,(AG8/B8*AF8))</f>
        <v>0</v>
      </c>
      <c r="AI8" s="28">
        <f>SUM(H8:M8)</f>
        <v>0</v>
      </c>
      <c r="AJ8" s="28">
        <f>IF(ISERROR(AI8/B8*AF8),0,(AI8/B8*AF8))</f>
        <v>0</v>
      </c>
      <c r="AK8" s="58">
        <f>IF(ISERROR(O8/B8*AF8),0,(O8/B8*AF8))</f>
        <v>0</v>
      </c>
      <c r="AL8" s="28">
        <f>IF(ISERROR(H8/B8*AF8),0,(H8/B8*AF8))</f>
        <v>0</v>
      </c>
      <c r="AN8" s="51">
        <f>A8</f>
        <v>0</v>
      </c>
      <c r="AO8" s="57">
        <f>IF(ISERROR(IF(B8=C8,D8/C8,(INT(D8/B8)+(((D8-B8*INT(D8/B8)))/C8)/100))),0,(IF(B8=C8,D8/C8,(INT(D8/B8)+(((D8-B8*INT(D8/B8)))/C8)/100))))</f>
        <v>0</v>
      </c>
      <c r="AP8" s="57">
        <f>IF(ISERROR(IF(B8=C8,E8/C8,(INT(E8/B8)+(((E8-B8*INT(E8/B8)))/C8)/100))),0,(IF(B8=C8,E8/C8,(INT(E8/B8)+(((E8-B8*INT(E8/B8)))/C8)/100))))</f>
        <v>0</v>
      </c>
      <c r="AQ8" s="57">
        <f>IF(ISERROR(IF(B8=C8,F8/C8,IF((INT(F8/B8)+(((F8-B8*INT(F8/B8)))/C8)/100)&lt;0,(INT(F8/B8)+(((F8-B8*INT(F8/B8)))/C8)/100)+(1-(B8/C8/100)),(INT(F8/B8)+(((F8-B8*INT(F8/B8)))/C8)/100)))),0,IF(B8=C8,F8/C8,IF((INT(F8/B8)+(((F8-B8*INT(F8/B8)))/C8)/100)&lt;0,(INT(F8/B8)+(((F8-B8*INT(F8/B8)))/C8)/100)+(1-(B8/C8/100)),(INT(F8/B8)+(((F8-B8*INT(F8/B8)))/C8)/100))))</f>
        <v>0</v>
      </c>
      <c r="AR8" s="57">
        <f>IF(ISERROR(IF(B8=C8,G8/C8,(INT(G8/B8)+(((G8-B8*INT(G8/B8)))/C8)/100))),0,(IF(B8=C8,G8/C8,(INT(G8/B8)+(((G8-B8*INT(G8/B8)))/C8)/100))))</f>
        <v>0</v>
      </c>
      <c r="AS8" s="57">
        <f>IF(ISERROR(IF(B8=C8,H8/C8,(INT(H8/B8)+(((H8-B8*INT(H8/B8)))/C8)/100))),0,(IF(B8=C8,H8/C8,(INT(H8/B8)+(((H8-B8*INT(H8/B8)))/C8)/100))))</f>
        <v>0</v>
      </c>
      <c r="AT8" s="57">
        <f>IF(ISERROR(IF(B8=C8,I8/C8,(INT(I8/B8)+(((I8-B8*INT(I8/B8)))/C8)/100))),0,(IF(B8=C8,I8/C8,(INT(I8/B8)+(((I8-B8*INT(I8/B8)))/C8)/100))))</f>
        <v>0</v>
      </c>
      <c r="AU8" s="57">
        <f>IF(ISERROR(IF(B8=C8,J8/C8,(INT(J8/B8)+(((J8-B8*INT(J8/B8)))/C8)/100))),0,(IF(B8=C8,J8/C8,(INT(J8/B8)+(((J8-B8*INT(J8/B8)))/C8)/100))))</f>
        <v>0</v>
      </c>
      <c r="AV8" s="57">
        <f>IF(ISERROR(IF(B8=C8,K8/C8,IF((INT(K8/B8)+(((K8-B8*INT(K8/B8)))/C8)/100)&lt;0,(INT(K8/B8)+(((K8-B8*INT(K8/B8)))/C8)/100)+(1-(B8/C8/100)),(INT(K8/B8)+(((K8-B8*INT(K8/B8)))/C8)/100)))),0,IF(B8=C8,K8/C8,IF((INT(K8/B8)+(((K8-B8*INT(K8/B8)))/C8)/100)&lt;0,(INT(K8/B8)+(((K8-B8*INT(K8/B8)))/C8)/100)+(1-(B8/C8/100)),(INT(K8/B8)+(((K8-B8*INT(K8/B8)))/C8)/100))))</f>
        <v>0</v>
      </c>
      <c r="AW8" s="57">
        <f>IF(ISERROR(IF(B8=C8,L8/C8,(INT(L8/B8)+(((L8-B8*INT(L8/B8)))/C8)/100))),0,(IF(B8=C8,L8/C8,(INT(L8/B8)+(((L8-B8*INT(L8/B8)))/C8)/100))))</f>
        <v>0</v>
      </c>
      <c r="AX8" s="57">
        <f>IF(ISERROR(IF(B8=C8,M8/C8,(INT(M8/B8)+(((M8-B8*INT(M8/B8)))/C8)/100))),0,(IF(B8=C8,M8/C8,(INT(M8/B8)+(((M8-B8*INT(M8/B8)))/C8)/100))))</f>
        <v>0</v>
      </c>
      <c r="AY8" s="57">
        <f>IF(ISERROR(IF(B8=C8,N8/C8,IF((INT(N8/B8)+(((N8-B8*INT(N8/B8)))/C8)/100)&lt;0,(INT(N8/B8)+(((N8-B8*INT(N8/B8)))/C8)/100)+(1-(B8/C8/100)),(INT(N8/B8)+(((N8-B8*INT(N8/B8)))/C8)/100)))),0,IF(B8=C8,N8/C8,IF((INT(N8/B8)+(((N8-B8*INT(N8/B8)))/C8)/100)&lt;0,(INT(N8/B8)+(((N8-B8*INT(N8/B8)))/C8)/100)+(1-(B8/C8/100)),(INT(N8/B8)+(((N8-B8*INT(N8/B8)))/C8)/100))))</f>
        <v>0</v>
      </c>
      <c r="AZ8" s="57">
        <f>IF(ISERROR(IF(B8=C8,O8/C8,(INT(O8/B8)+(((O8-B8*INT(O8/B8)))/C8)/100))),0,(IF(B8=C8,O8/C8,(INT(O8/B8)+(((O8-B8*INT(O8/B8)))/C8)/100))))</f>
        <v>0</v>
      </c>
      <c r="BA8" s="57">
        <f>IF(ISERROR(IF(B8=C8,P8/C8,IF((INT(P8/B8)+(((P8-B8*INT(P8/B8)))/C8)/100)&lt;0,(INT(P8/B8)+(((P8-B8*INT(P8/B8)))/C8)/100)+(1-(B8/C8/100)),(INT(P8/B8)+(((P8-B8*INT(P8/B8)))/C8)/100)))),0,IF(B8=C8,P8/C8,IF((INT(P8/B8)+(((P8-B8*INT(P8/B8)))/C8)/100)&lt;0,(INT(P8/B8)+(((P8-B8*INT(P8/B8)))/C8)/100)+(1-(B8/C8/100)),(INT(P8/B8)+(((P8-B8*INT(P8/B8)))/C8)/100))))</f>
        <v>0</v>
      </c>
      <c r="BB8" s="28">
        <f>R8</f>
        <v>0</v>
      </c>
      <c r="BC8" s="28">
        <f>S8</f>
        <v>0</v>
      </c>
      <c r="BD8" s="28">
        <f>AF8</f>
        <v>1770.4568749999999</v>
      </c>
      <c r="BE8" s="28">
        <f>T8</f>
        <v>0</v>
      </c>
      <c r="BG8" s="57">
        <f>IF(ISERROR(IF(B8=C8,V8/C8,(INT(V8/B8)+(((V8-B8*INT(V8/B8)))/C8)/100))),0,(IF(B8=C8,V8/C8,(INT(V8/B8)+(((V8-B8*INT(V8/B8)))/C8)/100))))</f>
        <v>0</v>
      </c>
      <c r="BH8" s="57">
        <f>IF(ISERROR(IF(B8=C8,W8/C8,(INT(W8/B8)+(((W8-B8*INT(W8/B8)))/C8)/100))),0,(IF(B8=C8,W8/C8,(INT(W8/B8)+(((W8-B8*INT(W8/B8)))/C8)/100))))</f>
        <v>0</v>
      </c>
      <c r="BI8" s="57">
        <f>IF(ISERROR(IF(B8=C8,X8/C8,(INT(X8/B8)+(((X8-B8*INT(X8/B8)))/C8)/100))),0,(IF(B8=C8,X8/C8,(INT(X8/B8)+(((X8-B8*INT(X8/B8)))/C8)/100))))</f>
        <v>0</v>
      </c>
      <c r="BJ8" s="57">
        <f>IF(ISERROR(IF(B8=C8,Y8/C8,(INT(Y8/B8)+(((Y8-B8*INT(Y8/B8)))/C8)/100))),0,(IF(B8=C8,Y8/C8,(INT(Y8/B8)+(((Y8-B8*INT(Y8/B8)))/C8)/100))))</f>
        <v>0</v>
      </c>
      <c r="BL8" s="57">
        <f>IF(ISERROR(IF(B8=C8,AA8/C8,(INT(AA8/B8)+(((AA8-B8*INT(AA8/B8)))/C8)/100))),0,(IF(B8=C8,AA8/C8,(INT(AA8/B8)+(((AA8-B8*INT(AA8/B8)))/C8)/100))))</f>
        <v>0</v>
      </c>
      <c r="BM8" s="57">
        <f>IF(ISERROR(IF(B8=C8,AB8/C8,(INT(AB8/B8)+(((AB8-B8*INT(AB8/B8)))/C8)/100))),0,(IF(B8=C8,AB8/C8,(INT(AB8/B8)+(((AB8-B8*INT(AB8/B8)))/C8)/100))))</f>
        <v>0</v>
      </c>
      <c r="BN8" s="57">
        <f>IF(ISERROR(IF(B8=C8,AC8/C8,(INT(AC8/B8)+(((AC8-B8*INT(AC8/B8)))/C8)/100))),0,(IF(B8=C8,AC8/C8,(INT(AC8/B8)+(((AC8-B8*INT(AC8/B8)))/C8)/100))))</f>
        <v>0</v>
      </c>
      <c r="BO8" s="57">
        <f>IF(ISERROR(IF(B8=C8,AD8/C8,(INT(AD8/B8)+(((AD8-B8*INT(AD8/B8)))/C8)/100))),0,(IF(B8=C8,AD8/C8,(INT(AD8/B8)+(((AD8-B8*INT(AD8/B8)))/C8)/100))))</f>
        <v>0</v>
      </c>
      <c r="BQ8" s="155" t="s">
        <v>309</v>
      </c>
    </row>
    <row r="9" spans="1:69" hidden="1" x14ac:dyDescent="0.35">
      <c r="A9" s="160"/>
      <c r="B9" s="113">
        <v>1000</v>
      </c>
      <c r="C9" s="113">
        <v>30</v>
      </c>
      <c r="D9" s="28">
        <f>SUM(AA9:AD9)</f>
        <v>0</v>
      </c>
      <c r="E9" s="113">
        <v>0</v>
      </c>
      <c r="F9" s="113">
        <v>0</v>
      </c>
      <c r="G9" s="28">
        <f>SUM(D9:F9)</f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28">
        <f>G9-SUM(H9:M9)</f>
        <v>0</v>
      </c>
      <c r="O9" s="28">
        <f>SUM(V9:Y9)</f>
        <v>0</v>
      </c>
      <c r="P9" s="28">
        <f>O9-N9</f>
        <v>0</v>
      </c>
      <c r="Q9" s="61" t="str">
        <f>IF(ISERROR(P9/SUM(H9:L9)),"",P9/SUM(H9:L9))</f>
        <v/>
      </c>
      <c r="R9" s="113">
        <v>175</v>
      </c>
      <c r="S9" s="28">
        <f>IF(ISERROR(P9/C9*R9),0,(P9/C9*R9))</f>
        <v>0</v>
      </c>
      <c r="T9" s="60">
        <f>IF(ISERROR(P9/B9*AF9),0,(P9/B9*AF9))</f>
        <v>0</v>
      </c>
      <c r="V9" s="113">
        <v>0</v>
      </c>
      <c r="W9" s="113">
        <v>0</v>
      </c>
      <c r="X9" s="113">
        <v>0</v>
      </c>
      <c r="Y9" s="113">
        <v>0</v>
      </c>
      <c r="AA9" s="113">
        <v>0</v>
      </c>
      <c r="AB9" s="113">
        <v>0</v>
      </c>
      <c r="AC9" s="113">
        <v>0</v>
      </c>
      <c r="AD9" s="113">
        <v>0</v>
      </c>
      <c r="AF9" s="113">
        <v>2692</v>
      </c>
      <c r="AG9" s="28">
        <f>G9-O9</f>
        <v>0</v>
      </c>
      <c r="AH9" s="58">
        <f>IF(ISERROR(AG9/B9*AF9),0,(AG9/B9*AF9))</f>
        <v>0</v>
      </c>
      <c r="AI9" s="28">
        <f>SUM(H9:M9)</f>
        <v>0</v>
      </c>
      <c r="AJ9" s="28">
        <f>IF(ISERROR(AI9/B9*AF9),0,(AI9/B9*AF9))</f>
        <v>0</v>
      </c>
      <c r="AK9" s="58">
        <f>IF(ISERROR(O9/B9*AF9),0,(O9/B9*AF9))</f>
        <v>0</v>
      </c>
      <c r="AL9" s="28">
        <f>IF(ISERROR(H9/B9*AF9),0,(H9/B9*AF9))</f>
        <v>0</v>
      </c>
      <c r="AN9" s="51">
        <f>A9</f>
        <v>0</v>
      </c>
      <c r="AO9" s="57">
        <f>IF(ISERROR(IF(B9=C9,D9/C9,(INT(D9/B9)+(((D9-B9*INT(D9/B9)))/C9)/100))),0,(IF(B9=C9,D9/C9,(INT(D9/B9)+(((D9-B9*INT(D9/B9)))/C9)/100))))</f>
        <v>0</v>
      </c>
      <c r="AP9" s="57">
        <f>IF(ISERROR(IF(B9=C9,E9/C9,(INT(E9/B9)+(((E9-B9*INT(E9/B9)))/C9)/100))),0,(IF(B9=C9,E9/C9,(INT(E9/B9)+(((E9-B9*INT(E9/B9)))/C9)/100))))</f>
        <v>0</v>
      </c>
      <c r="AQ9" s="57">
        <f>IF(ISERROR(IF(B9=C9,F9/C9,IF((INT(F9/B9)+(((F9-B9*INT(F9/B9)))/C9)/100)&lt;0,(INT(F9/B9)+(((F9-B9*INT(F9/B9)))/C9)/100)+(1-(B9/C9/100)),(INT(F9/B9)+(((F9-B9*INT(F9/B9)))/C9)/100)))),0,IF(B9=C9,F9/C9,IF((INT(F9/B9)+(((F9-B9*INT(F9/B9)))/C9)/100)&lt;0,(INT(F9/B9)+(((F9-B9*INT(F9/B9)))/C9)/100)+(1-(B9/C9/100)),(INT(F9/B9)+(((F9-B9*INT(F9/B9)))/C9)/100))))</f>
        <v>0</v>
      </c>
      <c r="AR9" s="57">
        <f>IF(ISERROR(IF(B9=C9,G9/C9,(INT(G9/B9)+(((G9-B9*INT(G9/B9)))/C9)/100))),0,(IF(B9=C9,G9/C9,(INT(G9/B9)+(((G9-B9*INT(G9/B9)))/C9)/100))))</f>
        <v>0</v>
      </c>
      <c r="AS9" s="57">
        <f>IF(ISERROR(IF(B9=C9,H9/C9,(INT(H9/B9)+(((H9-B9*INT(H9/B9)))/C9)/100))),0,(IF(B9=C9,H9/C9,(INT(H9/B9)+(((H9-B9*INT(H9/B9)))/C9)/100))))</f>
        <v>0</v>
      </c>
      <c r="AT9" s="57">
        <f>IF(ISERROR(IF(B9=C9,I9/C9,(INT(I9/B9)+(((I9-B9*INT(I9/B9)))/C9)/100))),0,(IF(B9=C9,I9/C9,(INT(I9/B9)+(((I9-B9*INT(I9/B9)))/C9)/100))))</f>
        <v>0</v>
      </c>
      <c r="AU9" s="57">
        <f>IF(ISERROR(IF(B9=C9,J9/C9,(INT(J9/B9)+(((J9-B9*INT(J9/B9)))/C9)/100))),0,(IF(B9=C9,J9/C9,(INT(J9/B9)+(((J9-B9*INT(J9/B9)))/C9)/100))))</f>
        <v>0</v>
      </c>
      <c r="AV9" s="57">
        <f>IF(ISERROR(IF(B9=C9,K9/C9,IF((INT(K9/B9)+(((K9-B9*INT(K9/B9)))/C9)/100)&lt;0,(INT(K9/B9)+(((K9-B9*INT(K9/B9)))/C9)/100)+(1-(B9/C9/100)),(INT(K9/B9)+(((K9-B9*INT(K9/B9)))/C9)/100)))),0,IF(B9=C9,K9/C9,IF((INT(K9/B9)+(((K9-B9*INT(K9/B9)))/C9)/100)&lt;0,(INT(K9/B9)+(((K9-B9*INT(K9/B9)))/C9)/100)+(1-(B9/C9/100)),(INT(K9/B9)+(((K9-B9*INT(K9/B9)))/C9)/100))))</f>
        <v>0</v>
      </c>
      <c r="AW9" s="57">
        <f>IF(ISERROR(IF(B9=C9,L9/C9,(INT(L9/B9)+(((L9-B9*INT(L9/B9)))/C9)/100))),0,(IF(B9=C9,L9/C9,(INT(L9/B9)+(((L9-B9*INT(L9/B9)))/C9)/100))))</f>
        <v>0</v>
      </c>
      <c r="AX9" s="57">
        <f>IF(ISERROR(IF(B9=C9,M9/C9,(INT(M9/B9)+(((M9-B9*INT(M9/B9)))/C9)/100))),0,(IF(B9=C9,M9/C9,(INT(M9/B9)+(((M9-B9*INT(M9/B9)))/C9)/100))))</f>
        <v>0</v>
      </c>
      <c r="AY9" s="57">
        <f>IF(ISERROR(IF(B9=C9,N9/C9,IF((INT(N9/B9)+(((N9-B9*INT(N9/B9)))/C9)/100)&lt;0,(INT(N9/B9)+(((N9-B9*INT(N9/B9)))/C9)/100)+(1-(B9/C9/100)),(INT(N9/B9)+(((N9-B9*INT(N9/B9)))/C9)/100)))),0,IF(B9=C9,N9/C9,IF((INT(N9/B9)+(((N9-B9*INT(N9/B9)))/C9)/100)&lt;0,(INT(N9/B9)+(((N9-B9*INT(N9/B9)))/C9)/100)+(1-(B9/C9/100)),(INT(N9/B9)+(((N9-B9*INT(N9/B9)))/C9)/100))))</f>
        <v>0</v>
      </c>
      <c r="AZ9" s="57">
        <f>IF(ISERROR(IF(B9=C9,O9/C9,(INT(O9/B9)+(((O9-B9*INT(O9/B9)))/C9)/100))),0,(IF(B9=C9,O9/C9,(INT(O9/B9)+(((O9-B9*INT(O9/B9)))/C9)/100))))</f>
        <v>0</v>
      </c>
      <c r="BA9" s="57">
        <f>IF(ISERROR(IF(B9=C9,P9/C9,IF((INT(P9/B9)+(((P9-B9*INT(P9/B9)))/C9)/100)&lt;0,(INT(P9/B9)+(((P9-B9*INT(P9/B9)))/C9)/100)+(1-(B9/C9/100)),(INT(P9/B9)+(((P9-B9*INT(P9/B9)))/C9)/100)))),0,IF(B9=C9,P9/C9,IF((INT(P9/B9)+(((P9-B9*INT(P9/B9)))/C9)/100)&lt;0,(INT(P9/B9)+(((P9-B9*INT(P9/B9)))/C9)/100)+(1-(B9/C9/100)),(INT(P9/B9)+(((P9-B9*INT(P9/B9)))/C9)/100))))</f>
        <v>0</v>
      </c>
      <c r="BB9" s="28">
        <f>R9</f>
        <v>175</v>
      </c>
      <c r="BC9" s="28">
        <f>S9</f>
        <v>0</v>
      </c>
      <c r="BD9" s="28">
        <f>AF9</f>
        <v>2692</v>
      </c>
      <c r="BE9" s="28">
        <f>T9</f>
        <v>0</v>
      </c>
      <c r="BG9" s="57">
        <f>IF(ISERROR(IF(B9=C9,V9/C9,(INT(V9/B9)+(((V9-B9*INT(V9/B9)))/C9)/100))),0,(IF(B9=C9,V9/C9,(INT(V9/B9)+(((V9-B9*INT(V9/B9)))/C9)/100))))</f>
        <v>0</v>
      </c>
      <c r="BH9" s="57">
        <f>IF(ISERROR(IF(B9=C9,W9/C9,(INT(W9/B9)+(((W9-B9*INT(W9/B9)))/C9)/100))),0,(IF(B9=C9,W9/C9,(INT(W9/B9)+(((W9-B9*INT(W9/B9)))/C9)/100))))</f>
        <v>0</v>
      </c>
      <c r="BI9" s="57">
        <f>IF(ISERROR(IF(B9=C9,X9/C9,(INT(X9/B9)+(((X9-B9*INT(X9/B9)))/C9)/100))),0,(IF(B9=C9,X9/C9,(INT(X9/B9)+(((X9-B9*INT(X9/B9)))/C9)/100))))</f>
        <v>0</v>
      </c>
      <c r="BJ9" s="57">
        <f>IF(ISERROR(IF(B9=C9,Y9/C9,(INT(Y9/B9)+(((Y9-B9*INT(Y9/B9)))/C9)/100))),0,(IF(B9=C9,Y9/C9,(INT(Y9/B9)+(((Y9-B9*INT(Y9/B9)))/C9)/100))))</f>
        <v>0</v>
      </c>
      <c r="BL9" s="57">
        <f>IF(ISERROR(IF(B9=C9,AA9/C9,(INT(AA9/B9)+(((AA9-B9*INT(AA9/B9)))/C9)/100))),0,(IF(B9=C9,AA9/C9,(INT(AA9/B9)+(((AA9-B9*INT(AA9/B9)))/C9)/100))))</f>
        <v>0</v>
      </c>
      <c r="BM9" s="57">
        <f>IF(ISERROR(IF(B9=C9,AB9/C9,(INT(AB9/B9)+(((AB9-B9*INT(AB9/B9)))/C9)/100))),0,(IF(B9=C9,AB9/C9,(INT(AB9/B9)+(((AB9-B9*INT(AB9/B9)))/C9)/100))))</f>
        <v>0</v>
      </c>
      <c r="BN9" s="57">
        <f>IF(ISERROR(IF(B9=C9,AC9/C9,(INT(AC9/B9)+(((AC9-B9*INT(AC9/B9)))/C9)/100))),0,(IF(B9=C9,AC9/C9,(INT(AC9/B9)+(((AC9-B9*INT(AC9/B9)))/C9)/100))))</f>
        <v>0</v>
      </c>
      <c r="BO9" s="57">
        <f>IF(ISERROR(IF(B9=C9,AD9/C9,(INT(AD9/B9)+(((AD9-B9*INT(AD9/B9)))/C9)/100))),0,(IF(B9=C9,AD9/C9,(INT(AD9/B9)+(((AD9-B9*INT(AD9/B9)))/C9)/100))))</f>
        <v>0</v>
      </c>
      <c r="BQ9" s="155" t="s">
        <v>309</v>
      </c>
    </row>
    <row r="10" spans="1:69" ht="15.75" customHeight="1" x14ac:dyDescent="0.35">
      <c r="A10" s="9" t="s">
        <v>308</v>
      </c>
      <c r="B10" s="113">
        <v>1000</v>
      </c>
      <c r="C10" s="113">
        <v>30</v>
      </c>
      <c r="D10" s="28">
        <f>SUM(AA10:AD10)</f>
        <v>660</v>
      </c>
      <c r="E10" s="113">
        <v>0</v>
      </c>
      <c r="F10" s="113">
        <v>0</v>
      </c>
      <c r="G10" s="28">
        <f>SUM(D10:F10)</f>
        <v>660</v>
      </c>
      <c r="H10" s="125">
        <v>0</v>
      </c>
      <c r="I10" s="113">
        <v>0</v>
      </c>
      <c r="J10" s="125">
        <v>0</v>
      </c>
      <c r="K10" s="113">
        <v>0</v>
      </c>
      <c r="L10" s="113">
        <v>0</v>
      </c>
      <c r="M10" s="113">
        <v>0</v>
      </c>
      <c r="N10" s="28">
        <f>G10-SUM(H10:M10)</f>
        <v>660</v>
      </c>
      <c r="O10" s="28">
        <f>SUM(V10:Y10)</f>
        <v>660</v>
      </c>
      <c r="P10" s="28">
        <f>O10-N10</f>
        <v>0</v>
      </c>
      <c r="Q10" s="61" t="str">
        <f>IF(ISERROR(P10/SUM(H10:L10)),"",P10/SUM(H10:L10))</f>
        <v/>
      </c>
      <c r="R10" s="113">
        <v>249.99999999999997</v>
      </c>
      <c r="S10" s="28">
        <f>IF(ISERROR(P10/C10*R10),0,(P10/C10*R10))</f>
        <v>0</v>
      </c>
      <c r="T10" s="60">
        <f>IF(ISERROR(P10/B10*AF10),0,(P10/B10*AF10))</f>
        <v>0</v>
      </c>
      <c r="V10" s="113">
        <f>22*30</f>
        <v>660</v>
      </c>
      <c r="W10" s="113">
        <v>0</v>
      </c>
      <c r="X10" s="113"/>
      <c r="Y10" s="113"/>
      <c r="AA10" s="113">
        <f>22*30</f>
        <v>660</v>
      </c>
      <c r="AB10" s="113">
        <v>0</v>
      </c>
      <c r="AC10" s="113"/>
      <c r="AD10" s="113"/>
      <c r="AF10" s="167">
        <v>1436.3666666666668</v>
      </c>
      <c r="AG10" s="28">
        <f>G10-O10</f>
        <v>0</v>
      </c>
      <c r="AH10" s="58">
        <f>IF(ISERROR(AG10/B10*AF10),0,(AG10/B10*AF10))</f>
        <v>0</v>
      </c>
      <c r="AI10" s="28">
        <f>SUM(H10:M10)</f>
        <v>0</v>
      </c>
      <c r="AJ10" s="28">
        <f>IF(ISERROR(AI10/B10*AF10),0,(AI10/B10*AF10))</f>
        <v>0</v>
      </c>
      <c r="AK10" s="58">
        <f>IF(ISERROR(O10/B10*AF10),0,(O10/B10*AF10))</f>
        <v>948.00200000000018</v>
      </c>
      <c r="AL10" s="28">
        <f>IF(ISERROR(H10/B10*AF10),0,(H10/B10*AF10))</f>
        <v>0</v>
      </c>
      <c r="AN10" s="51" t="str">
        <f>A10</f>
        <v xml:space="preserve">Martini Bianco </v>
      </c>
      <c r="AO10" s="57">
        <f>IF(ISERROR(IF(B10=C10,D10/C10,(INT(D10/B10)+(((D10-B10*INT(D10/B10)))/C10)/100))),0,(IF(B10=C10,D10/C10,(INT(D10/B10)+(((D10-B10*INT(D10/B10)))/C10)/100))))</f>
        <v>0.22</v>
      </c>
      <c r="AP10" s="57">
        <f>IF(ISERROR(IF(B10=C10,E10/C10,(INT(E10/B10)+(((E10-B10*INT(E10/B10)))/C10)/100))),0,(IF(B10=C10,E10/C10,(INT(E10/B10)+(((E10-B10*INT(E10/B10)))/C10)/100))))</f>
        <v>0</v>
      </c>
      <c r="AQ10" s="57">
        <f>IF(ISERROR(IF(B10=C10,F10/C10,IF((INT(F10/B10)+(((F10-B10*INT(F10/B10)))/C10)/100)&lt;0,(INT(F10/B10)+(((F10-B10*INT(F10/B10)))/C10)/100)+(1-(B10/C10/100)),(INT(F10/B10)+(((F10-B10*INT(F10/B10)))/C10)/100)))),0,IF(B10=C10,F10/C10,IF((INT(F10/B10)+(((F10-B10*INT(F10/B10)))/C10)/100)&lt;0,(INT(F10/B10)+(((F10-B10*INT(F10/B10)))/C10)/100)+(1-(B10/C10/100)),(INT(F10/B10)+(((F10-B10*INT(F10/B10)))/C10)/100))))</f>
        <v>0</v>
      </c>
      <c r="AR10" s="57">
        <f>IF(ISERROR(IF(B10=C10,G10/C10,(INT(G10/B10)+(((G10-B10*INT(G10/B10)))/C10)/100))),0,(IF(B10=C10,G10/C10,(INT(G10/B10)+(((G10-B10*INT(G10/B10)))/C10)/100))))</f>
        <v>0.22</v>
      </c>
      <c r="AS10" s="57">
        <f>IF(ISERROR(IF(B10=C10,H10/C10,(INT(H10/B10)+(((H10-B10*INT(H10/B10)))/C10)/100))),0,(IF(B10=C10,H10/C10,(INT(H10/B10)+(((H10-B10*INT(H10/B10)))/C10)/100))))</f>
        <v>0</v>
      </c>
      <c r="AT10" s="57">
        <f>IF(ISERROR(IF(B10=C10,I10/C10,(INT(I10/B10)+(((I10-B10*INT(I10/B10)))/C10)/100))),0,(IF(B10=C10,I10/C10,(INT(I10/B10)+(((I10-B10*INT(I10/B10)))/C10)/100))))</f>
        <v>0</v>
      </c>
      <c r="AU10" s="57">
        <f>IF(ISERROR(IF(B10=C10,J10/C10,(INT(J10/B10)+(((J10-B10*INT(J10/B10)))/C10)/100))),0,(IF(B10=C10,J10/C10,(INT(J10/B10)+(((J10-B10*INT(J10/B10)))/C10)/100))))</f>
        <v>0</v>
      </c>
      <c r="AV10" s="57">
        <f>IF(ISERROR(IF(B10=C10,K10/C10,IF((INT(K10/B10)+(((K10-B10*INT(K10/B10)))/C10)/100)&lt;0,(INT(K10/B10)+(((K10-B10*INT(K10/B10)))/C10)/100)+(1-(B10/C10/100)),(INT(K10/B10)+(((K10-B10*INT(K10/B10)))/C10)/100)))),0,IF(B10=C10,K10/C10,IF((INT(K10/B10)+(((K10-B10*INT(K10/B10)))/C10)/100)&lt;0,(INT(K10/B10)+(((K10-B10*INT(K10/B10)))/C10)/100)+(1-(B10/C10/100)),(INT(K10/B10)+(((K10-B10*INT(K10/B10)))/C10)/100))))</f>
        <v>0</v>
      </c>
      <c r="AW10" s="57">
        <f>IF(ISERROR(IF(B10=C10,L10/C10,(INT(L10/B10)+(((L10-B10*INT(L10/B10)))/C10)/100))),0,(IF(B10=C10,L10/C10,(INT(L10/B10)+(((L10-B10*INT(L10/B10)))/C10)/100))))</f>
        <v>0</v>
      </c>
      <c r="AX10" s="57">
        <f>IF(ISERROR(IF(B10=C10,M10/C10,(INT(M10/B10)+(((M10-B10*INT(M10/B10)))/C10)/100))),0,(IF(B10=C10,M10/C10,(INT(M10/B10)+(((M10-B10*INT(M10/B10)))/C10)/100))))</f>
        <v>0</v>
      </c>
      <c r="AY10" s="57">
        <f>IF(ISERROR(IF(B10=C10,N10/C10,IF((INT(N10/B10)+(((N10-B10*INT(N10/B10)))/C10)/100)&lt;0,(INT(N10/B10)+(((N10-B10*INT(N10/B10)))/C10)/100)+(1-(B10/C10/100)),(INT(N10/B10)+(((N10-B10*INT(N10/B10)))/C10)/100)))),0,IF(B10=C10,N10/C10,IF((INT(N10/B10)+(((N10-B10*INT(N10/B10)))/C10)/100)&lt;0,(INT(N10/B10)+(((N10-B10*INT(N10/B10)))/C10)/100)+(1-(B10/C10/100)),(INT(N10/B10)+(((N10-B10*INT(N10/B10)))/C10)/100))))</f>
        <v>0.22</v>
      </c>
      <c r="AZ10" s="57">
        <f>IF(ISERROR(IF(B10=C10,O10/C10,(INT(O10/B10)+(((O10-B10*INT(O10/B10)))/C10)/100))),0,(IF(B10=C10,O10/C10,(INT(O10/B10)+(((O10-B10*INT(O10/B10)))/C10)/100))))</f>
        <v>0.22</v>
      </c>
      <c r="BA10" s="57">
        <f>IF(ISERROR(IF(B10=C10,P10/C10,IF((INT(P10/B10)+(((P10-B10*INT(P10/B10)))/C10)/100)&lt;0,(INT(P10/B10)+(((P10-B10*INT(P10/B10)))/C10)/100)+(1-(B10/C10/100)),(INT(P10/B10)+(((P10-B10*INT(P10/B10)))/C10)/100)))),0,IF(B10=C10,P10/C10,IF((INT(P10/B10)+(((P10-B10*INT(P10/B10)))/C10)/100)&lt;0,(INT(P10/B10)+(((P10-B10*INT(P10/B10)))/C10)/100)+(1-(B10/C10/100)),(INT(P10/B10)+(((P10-B10*INT(P10/B10)))/C10)/100))))</f>
        <v>0</v>
      </c>
      <c r="BB10" s="28">
        <f>R10</f>
        <v>249.99999999999997</v>
      </c>
      <c r="BC10" s="28">
        <f>S10</f>
        <v>0</v>
      </c>
      <c r="BD10" s="28">
        <f>AF10</f>
        <v>1436.3666666666668</v>
      </c>
      <c r="BE10" s="28">
        <f>T10</f>
        <v>0</v>
      </c>
      <c r="BG10" s="57">
        <f>IF(ISERROR(IF(B10=C10,V10/C10,(INT(V10/B10)+(((V10-B10*INT(V10/B10)))/C10)/100))),0,(IF(B10=C10,V10/C10,(INT(V10/B10)+(((V10-B10*INT(V10/B10)))/C10)/100))))</f>
        <v>0.22</v>
      </c>
      <c r="BH10" s="57">
        <f>IF(ISERROR(IF(B10=C10,W10/C10,(INT(W10/B10)+(((W10-B10*INT(W10/B10)))/C10)/100))),0,(IF(B10=C10,W10/C10,(INT(W10/B10)+(((W10-B10*INT(W10/B10)))/C10)/100))))</f>
        <v>0</v>
      </c>
      <c r="BI10" s="57">
        <f>IF(ISERROR(IF(B10=C10,X10/C10,(INT(X10/B10)+(((X10-B10*INT(X10/B10)))/C10)/100))),0,(IF(B10=C10,X10/C10,(INT(X10/B10)+(((X10-B10*INT(X10/B10)))/C10)/100))))</f>
        <v>0</v>
      </c>
      <c r="BJ10" s="57">
        <f>IF(ISERROR(IF(B10=C10,Y10/C10,(INT(Y10/B10)+(((Y10-B10*INT(Y10/B10)))/C10)/100))),0,(IF(B10=C10,Y10/C10,(INT(Y10/B10)+(((Y10-B10*INT(Y10/B10)))/C10)/100))))</f>
        <v>0</v>
      </c>
      <c r="BL10" s="57">
        <f>IF(ISERROR(IF(B10=C10,AA10/C10,(INT(AA10/B10)+(((AA10-B10*INT(AA10/B10)))/C10)/100))),0,(IF(B10=C10,AA10/C10,(INT(AA10/B10)+(((AA10-B10*INT(AA10/B10)))/C10)/100))))</f>
        <v>0.22</v>
      </c>
      <c r="BM10" s="57">
        <f>IF(ISERROR(IF(B10=C10,AB10/C10,(INT(AB10/B10)+(((AB10-B10*INT(AB10/B10)))/C10)/100))),0,(IF(B10=C10,AB10/C10,(INT(AB10/B10)+(((AB10-B10*INT(AB10/B10)))/C10)/100))))</f>
        <v>0</v>
      </c>
      <c r="BN10" s="57">
        <f>IF(ISERROR(IF(B10=C10,AC10/C10,(INT(AC10/B10)+(((AC10-B10*INT(AC10/B10)))/C10)/100))),0,(IF(B10=C10,AC10/C10,(INT(AC10/B10)+(((AC10-B10*INT(AC10/B10)))/C10)/100))))</f>
        <v>0</v>
      </c>
      <c r="BO10" s="57">
        <f>IF(ISERROR(IF(B10=C10,AD10/C10,(INT(AD10/B10)+(((AD10-B10*INT(AD10/B10)))/C10)/100))),0,(IF(B10=C10,AD10/C10,(INT(AD10/B10)+(((AD10-B10*INT(AD10/B10)))/C10)/100))))</f>
        <v>0</v>
      </c>
      <c r="BQ10" s="155" t="s">
        <v>232</v>
      </c>
    </row>
    <row r="11" spans="1:69" x14ac:dyDescent="0.35">
      <c r="A11" s="94" t="s">
        <v>307</v>
      </c>
      <c r="B11" s="113">
        <v>1000</v>
      </c>
      <c r="C11" s="113">
        <v>30</v>
      </c>
      <c r="D11" s="28">
        <f>SUM(AA11:AD11)</f>
        <v>1240</v>
      </c>
      <c r="E11" s="113">
        <v>0</v>
      </c>
      <c r="F11" s="113">
        <v>0</v>
      </c>
      <c r="G11" s="28">
        <f>SUM(D11:F11)</f>
        <v>1240</v>
      </c>
      <c r="H11" s="125">
        <v>0</v>
      </c>
      <c r="I11" s="113">
        <v>0</v>
      </c>
      <c r="J11" s="125">
        <v>0</v>
      </c>
      <c r="K11" s="113">
        <v>0</v>
      </c>
      <c r="L11" s="113">
        <v>0</v>
      </c>
      <c r="M11" s="113">
        <v>0</v>
      </c>
      <c r="N11" s="28">
        <f>G11-SUM(H11:M11)</f>
        <v>1240</v>
      </c>
      <c r="O11" s="28">
        <f>SUM(V11:Y11)</f>
        <v>1240</v>
      </c>
      <c r="P11" s="28">
        <f>O11-N11</f>
        <v>0</v>
      </c>
      <c r="Q11" s="61" t="str">
        <f>IF(ISERROR(P11/SUM(H11:L11)),"",P11/SUM(H11:L11))</f>
        <v/>
      </c>
      <c r="R11" s="113">
        <v>249.99999999999997</v>
      </c>
      <c r="S11" s="28">
        <f>IF(ISERROR(P11/C11*R11),0,(P11/C11*R11))</f>
        <v>0</v>
      </c>
      <c r="T11" s="60">
        <f>IF(ISERROR(P11/B11*AF11),0,(P11/B11*AF11))</f>
        <v>0</v>
      </c>
      <c r="V11" s="113">
        <f>8*30</f>
        <v>240</v>
      </c>
      <c r="W11" s="113">
        <v>1000</v>
      </c>
      <c r="X11" s="113">
        <v>0</v>
      </c>
      <c r="Y11" s="113">
        <v>0</v>
      </c>
      <c r="AA11" s="113">
        <f>8*30</f>
        <v>240</v>
      </c>
      <c r="AB11" s="113">
        <v>1000</v>
      </c>
      <c r="AC11" s="113">
        <v>0</v>
      </c>
      <c r="AD11" s="113">
        <v>0</v>
      </c>
      <c r="AF11" s="167">
        <v>1436.3666666666668</v>
      </c>
      <c r="AG11" s="28">
        <f>G11-O11</f>
        <v>0</v>
      </c>
      <c r="AH11" s="58">
        <f>IF(ISERROR(AG11/B11*AF11),0,(AG11/B11*AF11))</f>
        <v>0</v>
      </c>
      <c r="AI11" s="28">
        <f>SUM(H11:M11)</f>
        <v>0</v>
      </c>
      <c r="AJ11" s="28">
        <f>IF(ISERROR(AI11/B11*AF11),0,(AI11/B11*AF11))</f>
        <v>0</v>
      </c>
      <c r="AK11" s="58">
        <f>IF(ISERROR(O11/B11*AF11),0,(O11/B11*AF11))</f>
        <v>1781.0946666666669</v>
      </c>
      <c r="AL11" s="28">
        <f>IF(ISERROR(H11/B11*AF11),0,(H11/B11*AF11))</f>
        <v>0</v>
      </c>
      <c r="AN11" s="51" t="str">
        <f>A11</f>
        <v>Martini Rose'</v>
      </c>
      <c r="AO11" s="57">
        <f>IF(ISERROR(IF(B11=C11,D11/C11,(INT(D11/B11)+(((D11-B11*INT(D11/B11)))/C11)/100))),0,(IF(B11=C11,D11/C11,(INT(D11/B11)+(((D11-B11*INT(D11/B11)))/C11)/100))))</f>
        <v>1.08</v>
      </c>
      <c r="AP11" s="57">
        <f>IF(ISERROR(IF(B11=C11,E11/C11,(INT(E11/B11)+(((E11-B11*INT(E11/B11)))/C11)/100))),0,(IF(B11=C11,E11/C11,(INT(E11/B11)+(((E11-B11*INT(E11/B11)))/C11)/100))))</f>
        <v>0</v>
      </c>
      <c r="AQ11" s="57">
        <f>IF(ISERROR(IF(B11=C11,F11/C11,IF((INT(F11/B11)+(((F11-B11*INT(F11/B11)))/C11)/100)&lt;0,(INT(F11/B11)+(((F11-B11*INT(F11/B11)))/C11)/100)+(1-(B11/C11/100)),(INT(F11/B11)+(((F11-B11*INT(F11/B11)))/C11)/100)))),0,IF(B11=C11,F11/C11,IF((INT(F11/B11)+(((F11-B11*INT(F11/B11)))/C11)/100)&lt;0,(INT(F11/B11)+(((F11-B11*INT(F11/B11)))/C11)/100)+(1-(B11/C11/100)),(INT(F11/B11)+(((F11-B11*INT(F11/B11)))/C11)/100))))</f>
        <v>0</v>
      </c>
      <c r="AR11" s="57">
        <f>IF(ISERROR(IF(B11=C11,G11/C11,(INT(G11/B11)+(((G11-B11*INT(G11/B11)))/C11)/100))),0,(IF(B11=C11,G11/C11,(INT(G11/B11)+(((G11-B11*INT(G11/B11)))/C11)/100))))</f>
        <v>1.08</v>
      </c>
      <c r="AS11" s="57">
        <f>IF(ISERROR(IF(B11=C11,H11/C11,(INT(H11/B11)+(((H11-B11*INT(H11/B11)))/C11)/100))),0,(IF(B11=C11,H11/C11,(INT(H11/B11)+(((H11-B11*INT(H11/B11)))/C11)/100))))</f>
        <v>0</v>
      </c>
      <c r="AT11" s="57">
        <f>IF(ISERROR(IF(B11=C11,I11/C11,(INT(I11/B11)+(((I11-B11*INT(I11/B11)))/C11)/100))),0,(IF(B11=C11,I11/C11,(INT(I11/B11)+(((I11-B11*INT(I11/B11)))/C11)/100))))</f>
        <v>0</v>
      </c>
      <c r="AU11" s="57">
        <f>IF(ISERROR(IF(B11=C11,J11/C11,(INT(J11/B11)+(((J11-B11*INT(J11/B11)))/C11)/100))),0,(IF(B11=C11,J11/C11,(INT(J11/B11)+(((J11-B11*INT(J11/B11)))/C11)/100))))</f>
        <v>0</v>
      </c>
      <c r="AV11" s="57">
        <f>IF(ISERROR(IF(B11=C11,K11/C11,IF((INT(K11/B11)+(((K11-B11*INT(K11/B11)))/C11)/100)&lt;0,(INT(K11/B11)+(((K11-B11*INT(K11/B11)))/C11)/100)+(1-(B11/C11/100)),(INT(K11/B11)+(((K11-B11*INT(K11/B11)))/C11)/100)))),0,IF(B11=C11,K11/C11,IF((INT(K11/B11)+(((K11-B11*INT(K11/B11)))/C11)/100)&lt;0,(INT(K11/B11)+(((K11-B11*INT(K11/B11)))/C11)/100)+(1-(B11/C11/100)),(INT(K11/B11)+(((K11-B11*INT(K11/B11)))/C11)/100))))</f>
        <v>0</v>
      </c>
      <c r="AW11" s="57">
        <f>IF(ISERROR(IF(B11=C11,L11/C11,(INT(L11/B11)+(((L11-B11*INT(L11/B11)))/C11)/100))),0,(IF(B11=C11,L11/C11,(INT(L11/B11)+(((L11-B11*INT(L11/B11)))/C11)/100))))</f>
        <v>0</v>
      </c>
      <c r="AX11" s="57">
        <f>IF(ISERROR(IF(B11=C11,M11/C11,(INT(M11/B11)+(((M11-B11*INT(M11/B11)))/C11)/100))),0,(IF(B11=C11,M11/C11,(INT(M11/B11)+(((M11-B11*INT(M11/B11)))/C11)/100))))</f>
        <v>0</v>
      </c>
      <c r="AY11" s="57">
        <f>IF(ISERROR(IF(B11=C11,N11/C11,IF((INT(N11/B11)+(((N11-B11*INT(N11/B11)))/C11)/100)&lt;0,(INT(N11/B11)+(((N11-B11*INT(N11/B11)))/C11)/100)+(1-(B11/C11/100)),(INT(N11/B11)+(((N11-B11*INT(N11/B11)))/C11)/100)))),0,IF(B11=C11,N11/C11,IF((INT(N11/B11)+(((N11-B11*INT(N11/B11)))/C11)/100)&lt;0,(INT(N11/B11)+(((N11-B11*INT(N11/B11)))/C11)/100)+(1-(B11/C11/100)),(INT(N11/B11)+(((N11-B11*INT(N11/B11)))/C11)/100))))</f>
        <v>1.08</v>
      </c>
      <c r="AZ11" s="57">
        <f>IF(ISERROR(IF(B11=C11,O11/C11,(INT(O11/B11)+(((O11-B11*INT(O11/B11)))/C11)/100))),0,(IF(B11=C11,O11/C11,(INT(O11/B11)+(((O11-B11*INT(O11/B11)))/C11)/100))))</f>
        <v>1.08</v>
      </c>
      <c r="BA11" s="57">
        <f>IF(ISERROR(IF(B11=C11,P11/C11,IF((INT(P11/B11)+(((P11-B11*INT(P11/B11)))/C11)/100)&lt;0,(INT(P11/B11)+(((P11-B11*INT(P11/B11)))/C11)/100)+(1-(B11/C11/100)),(INT(P11/B11)+(((P11-B11*INT(P11/B11)))/C11)/100)))),0,IF(B11=C11,P11/C11,IF((INT(P11/B11)+(((P11-B11*INT(P11/B11)))/C11)/100)&lt;0,(INT(P11/B11)+(((P11-B11*INT(P11/B11)))/C11)/100)+(1-(B11/C11/100)),(INT(P11/B11)+(((P11-B11*INT(P11/B11)))/C11)/100))))</f>
        <v>0</v>
      </c>
      <c r="BB11" s="28">
        <f>R11</f>
        <v>249.99999999999997</v>
      </c>
      <c r="BC11" s="28">
        <f>S11</f>
        <v>0</v>
      </c>
      <c r="BD11" s="28">
        <f>AF11</f>
        <v>1436.3666666666668</v>
      </c>
      <c r="BE11" s="28">
        <f>T11</f>
        <v>0</v>
      </c>
      <c r="BG11" s="57">
        <f>IF(ISERROR(IF(B11=C11,V11/C11,(INT(V11/B11)+(((V11-B11*INT(V11/B11)))/C11)/100))),0,(IF(B11=C11,V11/C11,(INT(V11/B11)+(((V11-B11*INT(V11/B11)))/C11)/100))))</f>
        <v>0.08</v>
      </c>
      <c r="BH11" s="57">
        <f>IF(ISERROR(IF(B11=C11,W11/C11,(INT(W11/B11)+(((W11-B11*INT(W11/B11)))/C11)/100))),0,(IF(B11=C11,W11/C11,(INT(W11/B11)+(((W11-B11*INT(W11/B11)))/C11)/100))))</f>
        <v>1</v>
      </c>
      <c r="BI11" s="57">
        <f>IF(ISERROR(IF(B11=C11,X11/C11,(INT(X11/B11)+(((X11-B11*INT(X11/B11)))/C11)/100))),0,(IF(B11=C11,X11/C11,(INT(X11/B11)+(((X11-B11*INT(X11/B11)))/C11)/100))))</f>
        <v>0</v>
      </c>
      <c r="BJ11" s="57">
        <f>IF(ISERROR(IF(B11=C11,Y11/C11,(INT(Y11/B11)+(((Y11-B11*INT(Y11/B11)))/C11)/100))),0,(IF(B11=C11,Y11/C11,(INT(Y11/B11)+(((Y11-B11*INT(Y11/B11)))/C11)/100))))</f>
        <v>0</v>
      </c>
      <c r="BL11" s="57">
        <f>IF(ISERROR(IF(B11=C11,AA11/C11,(INT(AA11/B11)+(((AA11-B11*INT(AA11/B11)))/C11)/100))),0,(IF(B11=C11,AA11/C11,(INT(AA11/B11)+(((AA11-B11*INT(AA11/B11)))/C11)/100))))</f>
        <v>0.08</v>
      </c>
      <c r="BM11" s="57">
        <f>IF(ISERROR(IF(B11=C11,AB11/C11,(INT(AB11/B11)+(((AB11-B11*INT(AB11/B11)))/C11)/100))),0,(IF(B11=C11,AB11/C11,(INT(AB11/B11)+(((AB11-B11*INT(AB11/B11)))/C11)/100))))</f>
        <v>1</v>
      </c>
      <c r="BN11" s="57">
        <f>IF(ISERROR(IF(B11=C11,AC11/C11,(INT(AC11/B11)+(((AC11-B11*INT(AC11/B11)))/C11)/100))),0,(IF(B11=C11,AC11/C11,(INT(AC11/B11)+(((AC11-B11*INT(AC11/B11)))/C11)/100))))</f>
        <v>0</v>
      </c>
      <c r="BO11" s="57">
        <f>IF(ISERROR(IF(B11=C11,AD11/C11,(INT(AD11/B11)+(((AD11-B11*INT(AD11/B11)))/C11)/100))),0,(IF(B11=C11,AD11/C11,(INT(AD11/B11)+(((AD11-B11*INT(AD11/B11)))/C11)/100))))</f>
        <v>0</v>
      </c>
      <c r="BQ11" s="155" t="s">
        <v>232</v>
      </c>
    </row>
    <row r="12" spans="1:69" x14ac:dyDescent="0.35">
      <c r="A12" s="160" t="s">
        <v>306</v>
      </c>
      <c r="B12" s="113">
        <v>1000</v>
      </c>
      <c r="C12" s="113">
        <v>30</v>
      </c>
      <c r="D12" s="28">
        <f>SUM(AA12:AD12)</f>
        <v>8390</v>
      </c>
      <c r="E12" s="113">
        <v>0</v>
      </c>
      <c r="F12" s="113">
        <v>0</v>
      </c>
      <c r="G12" s="28">
        <f>SUM(D12:F12)</f>
        <v>8390</v>
      </c>
      <c r="H12" s="164">
        <v>0</v>
      </c>
      <c r="I12" s="113">
        <v>0</v>
      </c>
      <c r="J12" s="125">
        <v>0</v>
      </c>
      <c r="K12" s="113">
        <v>0</v>
      </c>
      <c r="L12" s="113">
        <v>0</v>
      </c>
      <c r="M12" s="113">
        <v>0</v>
      </c>
      <c r="N12" s="28">
        <f>G12-SUM(H12:M12)</f>
        <v>8390</v>
      </c>
      <c r="O12" s="28">
        <f>SUM(V12:Y12)</f>
        <v>8390</v>
      </c>
      <c r="P12" s="28">
        <f>O12-N12</f>
        <v>0</v>
      </c>
      <c r="Q12" s="61" t="str">
        <f>IF(ISERROR(P12/SUM(H12:L12)),"",P12/SUM(H12:L12))</f>
        <v/>
      </c>
      <c r="R12" s="113">
        <v>200</v>
      </c>
      <c r="S12" s="28">
        <f>IF(ISERROR(P12/C12*R12),0,(P12/C12*R12))</f>
        <v>0</v>
      </c>
      <c r="T12" s="60">
        <f>IF(ISERROR(P12/B12*AF12),0,(P12/B12*AF12))</f>
        <v>0</v>
      </c>
      <c r="V12" s="113">
        <f>13*30</f>
        <v>390</v>
      </c>
      <c r="W12" s="113">
        <f>5*1000+3000</f>
        <v>8000</v>
      </c>
      <c r="X12" s="113">
        <v>0</v>
      </c>
      <c r="Y12" s="113">
        <v>0</v>
      </c>
      <c r="AA12" s="113">
        <f>13*30</f>
        <v>390</v>
      </c>
      <c r="AB12" s="113">
        <v>8000</v>
      </c>
      <c r="AC12" s="113">
        <v>0</v>
      </c>
      <c r="AD12" s="113">
        <v>0</v>
      </c>
      <c r="AF12" s="162">
        <f>36478.8/12</f>
        <v>3039.9</v>
      </c>
      <c r="AG12" s="28">
        <f>G12-O12</f>
        <v>0</v>
      </c>
      <c r="AH12" s="58">
        <f>IF(ISERROR(AG12/B12*AF12),0,(AG12/B12*AF12))</f>
        <v>0</v>
      </c>
      <c r="AI12" s="28">
        <f>SUM(H12:M12)</f>
        <v>0</v>
      </c>
      <c r="AJ12" s="28">
        <f>IF(ISERROR(AI12/B12*AF12),0,(AI12/B12*AF12))</f>
        <v>0</v>
      </c>
      <c r="AK12" s="58">
        <f>IF(ISERROR(O12/B12*AF12),0,(O12/B12*AF12))</f>
        <v>25504.761000000002</v>
      </c>
      <c r="AL12" s="28">
        <f>IF(ISERROR(H12/B12*AF12),0,(H12/B12*AF12))</f>
        <v>0</v>
      </c>
      <c r="AN12" s="51" t="str">
        <f>A12</f>
        <v xml:space="preserve">Teqiula Don Angle </v>
      </c>
      <c r="AO12" s="57">
        <f>IF(ISERROR(IF(B12=C12,D12/C12,(INT(D12/B12)+(((D12-B12*INT(D12/B12)))/C12)/100))),0,(IF(B12=C12,D12/C12,(INT(D12/B12)+(((D12-B12*INT(D12/B12)))/C12)/100))))</f>
        <v>8.1300000000000008</v>
      </c>
      <c r="AP12" s="57">
        <f>IF(ISERROR(IF(B12=C12,E12/C12,(INT(E12/B12)+(((E12-B12*INT(E12/B12)))/C12)/100))),0,(IF(B12=C12,E12/C12,(INT(E12/B12)+(((E12-B12*INT(E12/B12)))/C12)/100))))</f>
        <v>0</v>
      </c>
      <c r="AQ12" s="57">
        <f>IF(ISERROR(IF(B12=C12,F12/C12,IF((INT(F12/B12)+(((F12-B12*INT(F12/B12)))/C12)/100)&lt;0,(INT(F12/B12)+(((F12-B12*INT(F12/B12)))/C12)/100)+(1-(B12/C12/100)),(INT(F12/B12)+(((F12-B12*INT(F12/B12)))/C12)/100)))),0,IF(B12=C12,F12/C12,IF((INT(F12/B12)+(((F12-B12*INT(F12/B12)))/C12)/100)&lt;0,(INT(F12/B12)+(((F12-B12*INT(F12/B12)))/C12)/100)+(1-(B12/C12/100)),(INT(F12/B12)+(((F12-B12*INT(F12/B12)))/C12)/100))))</f>
        <v>0</v>
      </c>
      <c r="AR12" s="57">
        <f>IF(ISERROR(IF(B12=C12,G12/C12,(INT(G12/B12)+(((G12-B12*INT(G12/B12)))/C12)/100))),0,(IF(B12=C12,G12/C12,(INT(G12/B12)+(((G12-B12*INT(G12/B12)))/C12)/100))))</f>
        <v>8.1300000000000008</v>
      </c>
      <c r="AS12" s="57">
        <f>IF(ISERROR(IF(B12=C12,H12/C12,(INT(H12/B12)+(((H12-B12*INT(H12/B12)))/C12)/100))),0,(IF(B12=C12,H12/C12,(INT(H12/B12)+(((H12-B12*INT(H12/B12)))/C12)/100))))</f>
        <v>0</v>
      </c>
      <c r="AT12" s="57">
        <f>IF(ISERROR(IF(B12=C12,I12/C12,(INT(I12/B12)+(((I12-B12*INT(I12/B12)))/C12)/100))),0,(IF(B12=C12,I12/C12,(INT(I12/B12)+(((I12-B12*INT(I12/B12)))/C12)/100))))</f>
        <v>0</v>
      </c>
      <c r="AU12" s="57">
        <f>IF(ISERROR(IF(B12=C12,J12/C12,(INT(J12/B12)+(((J12-B12*INT(J12/B12)))/C12)/100))),0,(IF(B12=C12,J12/C12,(INT(J12/B12)+(((J12-B12*INT(J12/B12)))/C12)/100))))</f>
        <v>0</v>
      </c>
      <c r="AV12" s="57">
        <f>IF(ISERROR(IF(B12=C12,K12/C12,IF((INT(K12/B12)+(((K12-B12*INT(K12/B12)))/C12)/100)&lt;0,(INT(K12/B12)+(((K12-B12*INT(K12/B12)))/C12)/100)+(1-(B12/C12/100)),(INT(K12/B12)+(((K12-B12*INT(K12/B12)))/C12)/100)))),0,IF(B12=C12,K12/C12,IF((INT(K12/B12)+(((K12-B12*INT(K12/B12)))/C12)/100)&lt;0,(INT(K12/B12)+(((K12-B12*INT(K12/B12)))/C12)/100)+(1-(B12/C12/100)),(INT(K12/B12)+(((K12-B12*INT(K12/B12)))/C12)/100))))</f>
        <v>0</v>
      </c>
      <c r="AW12" s="57">
        <f>IF(ISERROR(IF(B12=C12,L12/C12,(INT(L12/B12)+(((L12-B12*INT(L12/B12)))/C12)/100))),0,(IF(B12=C12,L12/C12,(INT(L12/B12)+(((L12-B12*INT(L12/B12)))/C12)/100))))</f>
        <v>0</v>
      </c>
      <c r="AX12" s="57">
        <f>IF(ISERROR(IF(B12=C12,M12/C12,(INT(M12/B12)+(((M12-B12*INT(M12/B12)))/C12)/100))),0,(IF(B12=C12,M12/C12,(INT(M12/B12)+(((M12-B12*INT(M12/B12)))/C12)/100))))</f>
        <v>0</v>
      </c>
      <c r="AY12" s="57">
        <f>IF(ISERROR(IF(B12=C12,N12/C12,IF((INT(N12/B12)+(((N12-B12*INT(N12/B12)))/C12)/100)&lt;0,(INT(N12/B12)+(((N12-B12*INT(N12/B12)))/C12)/100)+(1-(B12/C12/100)),(INT(N12/B12)+(((N12-B12*INT(N12/B12)))/C12)/100)))),0,IF(B12=C12,N12/C12,IF((INT(N12/B12)+(((N12-B12*INT(N12/B12)))/C12)/100)&lt;0,(INT(N12/B12)+(((N12-B12*INT(N12/B12)))/C12)/100)+(1-(B12/C12/100)),(INT(N12/B12)+(((N12-B12*INT(N12/B12)))/C12)/100))))</f>
        <v>8.1300000000000008</v>
      </c>
      <c r="AZ12" s="57">
        <f>IF(ISERROR(IF(B12=C12,O12/C12,(INT(O12/B12)+(((O12-B12*INT(O12/B12)))/C12)/100))),0,(IF(B12=C12,O12/C12,(INT(O12/B12)+(((O12-B12*INT(O12/B12)))/C12)/100))))</f>
        <v>8.1300000000000008</v>
      </c>
      <c r="BA12" s="57">
        <f>IF(ISERROR(IF(B12=C12,P12/C12,IF((INT(P12/B12)+(((P12-B12*INT(P12/B12)))/C12)/100)&lt;0,(INT(P12/B12)+(((P12-B12*INT(P12/B12)))/C12)/100)+(1-(B12/C12/100)),(INT(P12/B12)+(((P12-B12*INT(P12/B12)))/C12)/100)))),0,IF(B12=C12,P12/C12,IF((INT(P12/B12)+(((P12-B12*INT(P12/B12)))/C12)/100)&lt;0,(INT(P12/B12)+(((P12-B12*INT(P12/B12)))/C12)/100)+(1-(B12/C12/100)),(INT(P12/B12)+(((P12-B12*INT(P12/B12)))/C12)/100))))</f>
        <v>0</v>
      </c>
      <c r="BB12" s="28">
        <f>R12</f>
        <v>200</v>
      </c>
      <c r="BC12" s="28">
        <f>S12</f>
        <v>0</v>
      </c>
      <c r="BD12" s="28">
        <f>AF12</f>
        <v>3039.9</v>
      </c>
      <c r="BE12" s="28">
        <f>T12</f>
        <v>0</v>
      </c>
      <c r="BG12" s="57">
        <f>IF(ISERROR(IF(B12=C12,V12/C12,(INT(V12/B12)+(((V12-B12*INT(V12/B12)))/C12)/100))),0,(IF(B12=C12,V12/C12,(INT(V12/B12)+(((V12-B12*INT(V12/B12)))/C12)/100))))</f>
        <v>0.13</v>
      </c>
      <c r="BH12" s="57">
        <f>IF(ISERROR(IF(B12=C12,W12/C12,(INT(W12/B12)+(((W12-B12*INT(W12/B12)))/C12)/100))),0,(IF(B12=C12,W12/C12,(INT(W12/B12)+(((W12-B12*INT(W12/B12)))/C12)/100))))</f>
        <v>8</v>
      </c>
      <c r="BI12" s="57">
        <f>IF(ISERROR(IF(B12=C12,X12/C12,(INT(X12/B12)+(((X12-B12*INT(X12/B12)))/C12)/100))),0,(IF(B12=C12,X12/C12,(INT(X12/B12)+(((X12-B12*INT(X12/B12)))/C12)/100))))</f>
        <v>0</v>
      </c>
      <c r="BJ12" s="57">
        <f>IF(ISERROR(IF(B12=C12,Y12/C12,(INT(Y12/B12)+(((Y12-B12*INT(Y12/B12)))/C12)/100))),0,(IF(B12=C12,Y12/C12,(INT(Y12/B12)+(((Y12-B12*INT(Y12/B12)))/C12)/100))))</f>
        <v>0</v>
      </c>
      <c r="BL12" s="57">
        <f>IF(ISERROR(IF(B12=C12,AA12/C12,(INT(AA12/B12)+(((AA12-B12*INT(AA12/B12)))/C12)/100))),0,(IF(B12=C12,AA12/C12,(INT(AA12/B12)+(((AA12-B12*INT(AA12/B12)))/C12)/100))))</f>
        <v>0.13</v>
      </c>
      <c r="BM12" s="57">
        <f>IF(ISERROR(IF(B12=C12,AB12/C12,(INT(AB12/B12)+(((AB12-B12*INT(AB12/B12)))/C12)/100))),0,(IF(B12=C12,AB12/C12,(INT(AB12/B12)+(((AB12-B12*INT(AB12/B12)))/C12)/100))))</f>
        <v>8</v>
      </c>
      <c r="BN12" s="57">
        <f>IF(ISERROR(IF(B12=C12,AC12/C12,(INT(AC12/B12)+(((AC12-B12*INT(AC12/B12)))/C12)/100))),0,(IF(B12=C12,AC12/C12,(INT(AC12/B12)+(((AC12-B12*INT(AC12/B12)))/C12)/100))))</f>
        <v>0</v>
      </c>
      <c r="BO12" s="57">
        <f>IF(ISERROR(IF(B12=C12,AD12/C12,(INT(AD12/B12)+(((AD12-B12*INT(AD12/B12)))/C12)/100))),0,(IF(B12=C12,AD12/C12,(INT(AD12/B12)+(((AD12-B12*INT(AD12/B12)))/C12)/100))))</f>
        <v>0</v>
      </c>
      <c r="BQ12" s="155" t="s">
        <v>257</v>
      </c>
    </row>
    <row r="13" spans="1:69" hidden="1" x14ac:dyDescent="0.35">
      <c r="A13" s="94" t="s">
        <v>305</v>
      </c>
      <c r="B13" s="113">
        <v>1000</v>
      </c>
      <c r="C13" s="113">
        <v>30</v>
      </c>
      <c r="D13" s="28">
        <f>SUM(AA13:AD13)</f>
        <v>0</v>
      </c>
      <c r="E13" s="113">
        <v>0</v>
      </c>
      <c r="F13" s="113">
        <v>0</v>
      </c>
      <c r="G13" s="28">
        <f>SUM(D13:F13)</f>
        <v>0</v>
      </c>
      <c r="H13" s="125">
        <v>0</v>
      </c>
      <c r="I13" s="113">
        <v>0</v>
      </c>
      <c r="J13" s="125">
        <v>0</v>
      </c>
      <c r="K13" s="113">
        <v>0</v>
      </c>
      <c r="L13" s="113">
        <v>0</v>
      </c>
      <c r="M13" s="113">
        <v>0</v>
      </c>
      <c r="N13" s="28">
        <f>G13-SUM(H13:M13)</f>
        <v>0</v>
      </c>
      <c r="O13" s="28">
        <f>SUM(V13:Y13)</f>
        <v>0</v>
      </c>
      <c r="P13" s="28">
        <f>O13-N13</f>
        <v>0</v>
      </c>
      <c r="Q13" s="61" t="str">
        <f>IF(ISERROR(P13/SUM(H13:L13)),"",P13/SUM(H13:L13))</f>
        <v/>
      </c>
      <c r="R13" s="113">
        <v>135</v>
      </c>
      <c r="S13" s="28">
        <f>IF(ISERROR(P13/C13*R13),0,(P13/C13*R13))</f>
        <v>0</v>
      </c>
      <c r="T13" s="60">
        <f>IF(ISERROR(P13/B13*AF13),0,(P13/B13*AF13))</f>
        <v>0</v>
      </c>
      <c r="V13" s="113">
        <v>0</v>
      </c>
      <c r="W13" s="113">
        <v>0</v>
      </c>
      <c r="X13" s="113">
        <v>0</v>
      </c>
      <c r="Y13" s="113">
        <v>0</v>
      </c>
      <c r="AA13" s="113">
        <v>0</v>
      </c>
      <c r="AB13" s="113">
        <v>0</v>
      </c>
      <c r="AC13" s="113">
        <v>0</v>
      </c>
      <c r="AD13" s="113">
        <v>0</v>
      </c>
      <c r="AF13" s="162">
        <v>1245.4555555555555</v>
      </c>
      <c r="AG13" s="28">
        <f>G13-O13</f>
        <v>0</v>
      </c>
      <c r="AH13" s="58">
        <f>IF(ISERROR(AG13/B13*AF13),0,(AG13/B13*AF13))</f>
        <v>0</v>
      </c>
      <c r="AI13" s="28">
        <f>SUM(H13:M13)</f>
        <v>0</v>
      </c>
      <c r="AJ13" s="28">
        <f>IF(ISERROR(AI13/B13*AF13),0,(AI13/B13*AF13))</f>
        <v>0</v>
      </c>
      <c r="AK13" s="58">
        <f>IF(ISERROR(O13/B13*AF13),0,(O13/B13*AF13))</f>
        <v>0</v>
      </c>
      <c r="AL13" s="28">
        <f>IF(ISERROR(H13/B13*AF13),0,(H13/B13*AF13))</f>
        <v>0</v>
      </c>
      <c r="AN13" s="51" t="str">
        <f>A13</f>
        <v xml:space="preserve">S'off Vodka </v>
      </c>
      <c r="AO13" s="57">
        <f>IF(ISERROR(IF(B13=C13,D13/C13,(INT(D13/B13)+(((D13-B13*INT(D13/B13)))/C13)/100))),0,(IF(B13=C13,D13/C13,(INT(D13/B13)+(((D13-B13*INT(D13/B13)))/C13)/100))))</f>
        <v>0</v>
      </c>
      <c r="AP13" s="57">
        <f>IF(ISERROR(IF(B13=C13,E13/C13,(INT(E13/B13)+(((E13-B13*INT(E13/B13)))/C13)/100))),0,(IF(B13=C13,E13/C13,(INT(E13/B13)+(((E13-B13*INT(E13/B13)))/C13)/100))))</f>
        <v>0</v>
      </c>
      <c r="AQ13" s="57">
        <f>IF(ISERROR(IF(B13=C13,F13/C13,IF((INT(F13/B13)+(((F13-B13*INT(F13/B13)))/C13)/100)&lt;0,(INT(F13/B13)+(((F13-B13*INT(F13/B13)))/C13)/100)+(1-(B13/C13/100)),(INT(F13/B13)+(((F13-B13*INT(F13/B13)))/C13)/100)))),0,IF(B13=C13,F13/C13,IF((INT(F13/B13)+(((F13-B13*INT(F13/B13)))/C13)/100)&lt;0,(INT(F13/B13)+(((F13-B13*INT(F13/B13)))/C13)/100)+(1-(B13/C13/100)),(INT(F13/B13)+(((F13-B13*INT(F13/B13)))/C13)/100))))</f>
        <v>0</v>
      </c>
      <c r="AR13" s="57">
        <f>IF(ISERROR(IF(B13=C13,G13/C13,(INT(G13/B13)+(((G13-B13*INT(G13/B13)))/C13)/100))),0,(IF(B13=C13,G13/C13,(INT(G13/B13)+(((G13-B13*INT(G13/B13)))/C13)/100))))</f>
        <v>0</v>
      </c>
      <c r="AS13" s="57">
        <f>IF(ISERROR(IF(B13=C13,H13/C13,(INT(H13/B13)+(((H13-B13*INT(H13/B13)))/C13)/100))),0,(IF(B13=C13,H13/C13,(INT(H13/B13)+(((H13-B13*INT(H13/B13)))/C13)/100))))</f>
        <v>0</v>
      </c>
      <c r="AT13" s="57">
        <f>IF(ISERROR(IF(B13=C13,I13/C13,(INT(I13/B13)+(((I13-B13*INT(I13/B13)))/C13)/100))),0,(IF(B13=C13,I13/C13,(INT(I13/B13)+(((I13-B13*INT(I13/B13)))/C13)/100))))</f>
        <v>0</v>
      </c>
      <c r="AU13" s="57">
        <f>IF(ISERROR(IF(B13=C13,J13/C13,(INT(J13/B13)+(((J13-B13*INT(J13/B13)))/C13)/100))),0,(IF(B13=C13,J13/C13,(INT(J13/B13)+(((J13-B13*INT(J13/B13)))/C13)/100))))</f>
        <v>0</v>
      </c>
      <c r="AV13" s="57">
        <f>IF(ISERROR(IF(B13=C13,K13/C13,IF((INT(K13/B13)+(((K13-B13*INT(K13/B13)))/C13)/100)&lt;0,(INT(K13/B13)+(((K13-B13*INT(K13/B13)))/C13)/100)+(1-(B13/C13/100)),(INT(K13/B13)+(((K13-B13*INT(K13/B13)))/C13)/100)))),0,IF(B13=C13,K13/C13,IF((INT(K13/B13)+(((K13-B13*INT(K13/B13)))/C13)/100)&lt;0,(INT(K13/B13)+(((K13-B13*INT(K13/B13)))/C13)/100)+(1-(B13/C13/100)),(INT(K13/B13)+(((K13-B13*INT(K13/B13)))/C13)/100))))</f>
        <v>0</v>
      </c>
      <c r="AW13" s="57">
        <f>IF(ISERROR(IF(B13=C13,L13/C13,(INT(L13/B13)+(((L13-B13*INT(L13/B13)))/C13)/100))),0,(IF(B13=C13,L13/C13,(INT(L13/B13)+(((L13-B13*INT(L13/B13)))/C13)/100))))</f>
        <v>0</v>
      </c>
      <c r="AX13" s="57">
        <f>IF(ISERROR(IF(B13=C13,M13/C13,(INT(M13/B13)+(((M13-B13*INT(M13/B13)))/C13)/100))),0,(IF(B13=C13,M13/C13,(INT(M13/B13)+(((M13-B13*INT(M13/B13)))/C13)/100))))</f>
        <v>0</v>
      </c>
      <c r="AY13" s="57">
        <f>IF(ISERROR(IF(B13=C13,N13/C13,IF((INT(N13/B13)+(((N13-B13*INT(N13/B13)))/C13)/100)&lt;0,(INT(N13/B13)+(((N13-B13*INT(N13/B13)))/C13)/100)+(1-(B13/C13/100)),(INT(N13/B13)+(((N13-B13*INT(N13/B13)))/C13)/100)))),0,IF(B13=C13,N13/C13,IF((INT(N13/B13)+(((N13-B13*INT(N13/B13)))/C13)/100)&lt;0,(INT(N13/B13)+(((N13-B13*INT(N13/B13)))/C13)/100)+(1-(B13/C13/100)),(INT(N13/B13)+(((N13-B13*INT(N13/B13)))/C13)/100))))</f>
        <v>0</v>
      </c>
      <c r="AZ13" s="57">
        <f>IF(ISERROR(IF(B13=C13,O13/C13,(INT(O13/B13)+(((O13-B13*INT(O13/B13)))/C13)/100))),0,(IF(B13=C13,O13/C13,(INT(O13/B13)+(((O13-B13*INT(O13/B13)))/C13)/100))))</f>
        <v>0</v>
      </c>
      <c r="BA13" s="57">
        <f>IF(ISERROR(IF(B13=C13,P13/C13,IF((INT(P13/B13)+(((P13-B13*INT(P13/B13)))/C13)/100)&lt;0,(INT(P13/B13)+(((P13-B13*INT(P13/B13)))/C13)/100)+(1-(B13/C13/100)),(INT(P13/B13)+(((P13-B13*INT(P13/B13)))/C13)/100)))),0,IF(B13=C13,P13/C13,IF((INT(P13/B13)+(((P13-B13*INT(P13/B13)))/C13)/100)&lt;0,(INT(P13/B13)+(((P13-B13*INT(P13/B13)))/C13)/100)+(1-(B13/C13/100)),(INT(P13/B13)+(((P13-B13*INT(P13/B13)))/C13)/100))))</f>
        <v>0</v>
      </c>
      <c r="BB13" s="28">
        <f>R13</f>
        <v>135</v>
      </c>
      <c r="BC13" s="28">
        <f>S13</f>
        <v>0</v>
      </c>
      <c r="BD13" s="28">
        <f>AF13</f>
        <v>1245.4555555555555</v>
      </c>
      <c r="BE13" s="28">
        <f>T13</f>
        <v>0</v>
      </c>
      <c r="BG13" s="57">
        <f>IF(ISERROR(IF(B13=C13,V13/C13,(INT(V13/B13)+(((V13-B13*INT(V13/B13)))/C13)/100))),0,(IF(B13=C13,V13/C13,(INT(V13/B13)+(((V13-B13*INT(V13/B13)))/C13)/100))))</f>
        <v>0</v>
      </c>
      <c r="BH13" s="57">
        <f>IF(ISERROR(IF(B13=C13,W13/C13,(INT(W13/B13)+(((W13-B13*INT(W13/B13)))/C13)/100))),0,(IF(B13=C13,W13/C13,(INT(W13/B13)+(((W13-B13*INT(W13/B13)))/C13)/100))))</f>
        <v>0</v>
      </c>
      <c r="BI13" s="57">
        <f>IF(ISERROR(IF(B13=C13,X13/C13,(INT(X13/B13)+(((X13-B13*INT(X13/B13)))/C13)/100))),0,(IF(B13=C13,X13/C13,(INT(X13/B13)+(((X13-B13*INT(X13/B13)))/C13)/100))))</f>
        <v>0</v>
      </c>
      <c r="BJ13" s="57">
        <f>IF(ISERROR(IF(B13=C13,Y13/C13,(INT(Y13/B13)+(((Y13-B13*INT(Y13/B13)))/C13)/100))),0,(IF(B13=C13,Y13/C13,(INT(Y13/B13)+(((Y13-B13*INT(Y13/B13)))/C13)/100))))</f>
        <v>0</v>
      </c>
      <c r="BL13" s="57">
        <f>IF(ISERROR(IF(B13=C13,AA13/C13,(INT(AA13/B13)+(((AA13-B13*INT(AA13/B13)))/C13)/100))),0,(IF(B13=C13,AA13/C13,(INT(AA13/B13)+(((AA13-B13*INT(AA13/B13)))/C13)/100))))</f>
        <v>0</v>
      </c>
      <c r="BM13" s="57">
        <f>IF(ISERROR(IF(B13=C13,AB13/C13,(INT(AB13/B13)+(((AB13-B13*INT(AB13/B13)))/C13)/100))),0,(IF(B13=C13,AB13/C13,(INT(AB13/B13)+(((AB13-B13*INT(AB13/B13)))/C13)/100))))</f>
        <v>0</v>
      </c>
      <c r="BN13" s="57">
        <f>IF(ISERROR(IF(B13=C13,AC13/C13,(INT(AC13/B13)+(((AC13-B13*INT(AC13/B13)))/C13)/100))),0,(IF(B13=C13,AC13/C13,(INT(AC13/B13)+(((AC13-B13*INT(AC13/B13)))/C13)/100))))</f>
        <v>0</v>
      </c>
      <c r="BO13" s="57">
        <f>IF(ISERROR(IF(B13=C13,AD13/C13,(INT(AD13/B13)+(((AD13-B13*INT(AD13/B13)))/C13)/100))),0,(IF(B13=C13,AD13/C13,(INT(AD13/B13)+(((AD13-B13*INT(AD13/B13)))/C13)/100))))</f>
        <v>0</v>
      </c>
      <c r="BQ13" s="155" t="s">
        <v>205</v>
      </c>
    </row>
    <row r="14" spans="1:69" x14ac:dyDescent="0.35">
      <c r="A14" s="160" t="s">
        <v>304</v>
      </c>
      <c r="B14" s="113">
        <v>1000</v>
      </c>
      <c r="C14" s="113">
        <v>30</v>
      </c>
      <c r="D14" s="28">
        <f>SUM(AA14:AD14)</f>
        <v>2000</v>
      </c>
      <c r="E14" s="113">
        <v>0</v>
      </c>
      <c r="F14" s="113">
        <v>0</v>
      </c>
      <c r="G14" s="28">
        <f>SUM(D14:F14)</f>
        <v>2000</v>
      </c>
      <c r="H14" s="164">
        <v>0</v>
      </c>
      <c r="I14" s="113">
        <v>0</v>
      </c>
      <c r="J14" s="125">
        <v>0</v>
      </c>
      <c r="K14" s="113">
        <v>0</v>
      </c>
      <c r="L14" s="113">
        <v>0</v>
      </c>
      <c r="M14" s="113">
        <v>0</v>
      </c>
      <c r="N14" s="28">
        <f>G14-SUM(H14:M14)</f>
        <v>2000</v>
      </c>
      <c r="O14" s="28">
        <f>SUM(V14:Y14)</f>
        <v>2000</v>
      </c>
      <c r="P14" s="28">
        <f>O14-N14</f>
        <v>0</v>
      </c>
      <c r="Q14" s="61" t="str">
        <f>IF(ISERROR(P14/SUM(H14:L14)),"",P14/SUM(H14:L14))</f>
        <v/>
      </c>
      <c r="R14" s="113">
        <v>200</v>
      </c>
      <c r="S14" s="28">
        <f>IF(ISERROR(P14/C14*R14),0,(P14/C14*R14))</f>
        <v>0</v>
      </c>
      <c r="T14" s="60">
        <f>IF(ISERROR(P14/B14*AF14),0,(P14/B14*AF14))</f>
        <v>0</v>
      </c>
      <c r="V14" s="113">
        <v>1000</v>
      </c>
      <c r="W14" s="113">
        <v>1000</v>
      </c>
      <c r="X14" s="113">
        <v>0</v>
      </c>
      <c r="Y14" s="113">
        <v>0</v>
      </c>
      <c r="AA14" s="113">
        <v>1000</v>
      </c>
      <c r="AB14" s="113">
        <v>1000</v>
      </c>
      <c r="AC14" s="113">
        <v>0</v>
      </c>
      <c r="AD14" s="113">
        <v>0</v>
      </c>
      <c r="AF14" s="162">
        <f>36478.8/12</f>
        <v>3039.9</v>
      </c>
      <c r="AG14" s="28">
        <f>G14-O14</f>
        <v>0</v>
      </c>
      <c r="AH14" s="58">
        <f>IF(ISERROR(AG14/B14*AF14),0,(AG14/B14*AF14))</f>
        <v>0</v>
      </c>
      <c r="AI14" s="28">
        <f>SUM(H14:M14)</f>
        <v>0</v>
      </c>
      <c r="AJ14" s="28">
        <f>IF(ISERROR(AI14/B14*AF14),0,(AI14/B14*AF14))</f>
        <v>0</v>
      </c>
      <c r="AK14" s="58">
        <f>IF(ISERROR(O14/B14*AF14),0,(O14/B14*AF14))</f>
        <v>6079.8</v>
      </c>
      <c r="AL14" s="28">
        <f>IF(ISERROR(H14/B14*AF14),0,(H14/B14*AF14))</f>
        <v>0</v>
      </c>
      <c r="AN14" s="51" t="str">
        <f>A14</f>
        <v xml:space="preserve">Teqiula Don Angle Oro </v>
      </c>
      <c r="AO14" s="57">
        <f>IF(ISERROR(IF(B14=C14,D14/C14,(INT(D14/B14)+(((D14-B14*INT(D14/B14)))/C14)/100))),0,(IF(B14=C14,D14/C14,(INT(D14/B14)+(((D14-B14*INT(D14/B14)))/C14)/100))))</f>
        <v>2</v>
      </c>
      <c r="AP14" s="57">
        <f>IF(ISERROR(IF(B14=C14,E14/C14,(INT(E14/B14)+(((E14-B14*INT(E14/B14)))/C14)/100))),0,(IF(B14=C14,E14/C14,(INT(E14/B14)+(((E14-B14*INT(E14/B14)))/C14)/100))))</f>
        <v>0</v>
      </c>
      <c r="AQ14" s="57">
        <f>IF(ISERROR(IF(B14=C14,F14/C14,IF((INT(F14/B14)+(((F14-B14*INT(F14/B14)))/C14)/100)&lt;0,(INT(F14/B14)+(((F14-B14*INT(F14/B14)))/C14)/100)+(1-(B14/C14/100)),(INT(F14/B14)+(((F14-B14*INT(F14/B14)))/C14)/100)))),0,IF(B14=C14,F14/C14,IF((INT(F14/B14)+(((F14-B14*INT(F14/B14)))/C14)/100)&lt;0,(INT(F14/B14)+(((F14-B14*INT(F14/B14)))/C14)/100)+(1-(B14/C14/100)),(INT(F14/B14)+(((F14-B14*INT(F14/B14)))/C14)/100))))</f>
        <v>0</v>
      </c>
      <c r="AR14" s="57">
        <f>IF(ISERROR(IF(B14=C14,G14/C14,(INT(G14/B14)+(((G14-B14*INT(G14/B14)))/C14)/100))),0,(IF(B14=C14,G14/C14,(INT(G14/B14)+(((G14-B14*INT(G14/B14)))/C14)/100))))</f>
        <v>2</v>
      </c>
      <c r="AS14" s="57">
        <f>IF(ISERROR(IF(B14=C14,H14/C14,(INT(H14/B14)+(((H14-B14*INT(H14/B14)))/C14)/100))),0,(IF(B14=C14,H14/C14,(INT(H14/B14)+(((H14-B14*INT(H14/B14)))/C14)/100))))</f>
        <v>0</v>
      </c>
      <c r="AT14" s="57">
        <f>IF(ISERROR(IF(B14=C14,I14/C14,(INT(I14/B14)+(((I14-B14*INT(I14/B14)))/C14)/100))),0,(IF(B14=C14,I14/C14,(INT(I14/B14)+(((I14-B14*INT(I14/B14)))/C14)/100))))</f>
        <v>0</v>
      </c>
      <c r="AU14" s="57">
        <f>IF(ISERROR(IF(B14=C14,J14/C14,(INT(J14/B14)+(((J14-B14*INT(J14/B14)))/C14)/100))),0,(IF(B14=C14,J14/C14,(INT(J14/B14)+(((J14-B14*INT(J14/B14)))/C14)/100))))</f>
        <v>0</v>
      </c>
      <c r="AV14" s="57">
        <f>IF(ISERROR(IF(B14=C14,K14/C14,IF((INT(K14/B14)+(((K14-B14*INT(K14/B14)))/C14)/100)&lt;0,(INT(K14/B14)+(((K14-B14*INT(K14/B14)))/C14)/100)+(1-(B14/C14/100)),(INT(K14/B14)+(((K14-B14*INT(K14/B14)))/C14)/100)))),0,IF(B14=C14,K14/C14,IF((INT(K14/B14)+(((K14-B14*INT(K14/B14)))/C14)/100)&lt;0,(INT(K14/B14)+(((K14-B14*INT(K14/B14)))/C14)/100)+(1-(B14/C14/100)),(INT(K14/B14)+(((K14-B14*INT(K14/B14)))/C14)/100))))</f>
        <v>0</v>
      </c>
      <c r="AW14" s="57">
        <f>IF(ISERROR(IF(B14=C14,L14/C14,(INT(L14/B14)+(((L14-B14*INT(L14/B14)))/C14)/100))),0,(IF(B14=C14,L14/C14,(INT(L14/B14)+(((L14-B14*INT(L14/B14)))/C14)/100))))</f>
        <v>0</v>
      </c>
      <c r="AX14" s="57">
        <f>IF(ISERROR(IF(B14=C14,M14/C14,(INT(M14/B14)+(((M14-B14*INT(M14/B14)))/C14)/100))),0,(IF(B14=C14,M14/C14,(INT(M14/B14)+(((M14-B14*INT(M14/B14)))/C14)/100))))</f>
        <v>0</v>
      </c>
      <c r="AY14" s="57">
        <f>IF(ISERROR(IF(B14=C14,N14/C14,IF((INT(N14/B14)+(((N14-B14*INT(N14/B14)))/C14)/100)&lt;0,(INT(N14/B14)+(((N14-B14*INT(N14/B14)))/C14)/100)+(1-(B14/C14/100)),(INT(N14/B14)+(((N14-B14*INT(N14/B14)))/C14)/100)))),0,IF(B14=C14,N14/C14,IF((INT(N14/B14)+(((N14-B14*INT(N14/B14)))/C14)/100)&lt;0,(INT(N14/B14)+(((N14-B14*INT(N14/B14)))/C14)/100)+(1-(B14/C14/100)),(INT(N14/B14)+(((N14-B14*INT(N14/B14)))/C14)/100))))</f>
        <v>2</v>
      </c>
      <c r="AZ14" s="57">
        <f>IF(ISERROR(IF(B14=C14,O14/C14,(INT(O14/B14)+(((O14-B14*INT(O14/B14)))/C14)/100))),0,(IF(B14=C14,O14/C14,(INT(O14/B14)+(((O14-B14*INT(O14/B14)))/C14)/100))))</f>
        <v>2</v>
      </c>
      <c r="BA14" s="57">
        <f>IF(ISERROR(IF(B14=C14,P14/C14,IF((INT(P14/B14)+(((P14-B14*INT(P14/B14)))/C14)/100)&lt;0,(INT(P14/B14)+(((P14-B14*INT(P14/B14)))/C14)/100)+(1-(B14/C14/100)),(INT(P14/B14)+(((P14-B14*INT(P14/B14)))/C14)/100)))),0,IF(B14=C14,P14/C14,IF((INT(P14/B14)+(((P14-B14*INT(P14/B14)))/C14)/100)&lt;0,(INT(P14/B14)+(((P14-B14*INT(P14/B14)))/C14)/100)+(1-(B14/C14/100)),(INT(P14/B14)+(((P14-B14*INT(P14/B14)))/C14)/100))))</f>
        <v>0</v>
      </c>
      <c r="BB14" s="28">
        <f>R14</f>
        <v>200</v>
      </c>
      <c r="BC14" s="28">
        <f>S14</f>
        <v>0</v>
      </c>
      <c r="BD14" s="28">
        <f>AF14</f>
        <v>3039.9</v>
      </c>
      <c r="BE14" s="28">
        <f>T14</f>
        <v>0</v>
      </c>
      <c r="BG14" s="57">
        <f>IF(ISERROR(IF(B14=C14,V14/C14,(INT(V14/B14)+(((V14-B14*INT(V14/B14)))/C14)/100))),0,(IF(B14=C14,V14/C14,(INT(V14/B14)+(((V14-B14*INT(V14/B14)))/C14)/100))))</f>
        <v>1</v>
      </c>
      <c r="BH14" s="57">
        <f>IF(ISERROR(IF(B14=C14,W14/C14,(INT(W14/B14)+(((W14-B14*INT(W14/B14)))/C14)/100))),0,(IF(B14=C14,W14/C14,(INT(W14/B14)+(((W14-B14*INT(W14/B14)))/C14)/100))))</f>
        <v>1</v>
      </c>
      <c r="BI14" s="57">
        <f>IF(ISERROR(IF(B14=C14,X14/C14,(INT(X14/B14)+(((X14-B14*INT(X14/B14)))/C14)/100))),0,(IF(B14=C14,X14/C14,(INT(X14/B14)+(((X14-B14*INT(X14/B14)))/C14)/100))))</f>
        <v>0</v>
      </c>
      <c r="BJ14" s="57">
        <f>IF(ISERROR(IF(B14=C14,Y14/C14,(INT(Y14/B14)+(((Y14-B14*INT(Y14/B14)))/C14)/100))),0,(IF(B14=C14,Y14/C14,(INT(Y14/B14)+(((Y14-B14*INT(Y14/B14)))/C14)/100))))</f>
        <v>0</v>
      </c>
      <c r="BL14" s="57">
        <f>IF(ISERROR(IF(B14=C14,AA14/C14,(INT(AA14/B14)+(((AA14-B14*INT(AA14/B14)))/C14)/100))),0,(IF(B14=C14,AA14/C14,(INT(AA14/B14)+(((AA14-B14*INT(AA14/B14)))/C14)/100))))</f>
        <v>1</v>
      </c>
      <c r="BM14" s="57">
        <f>IF(ISERROR(IF(B14=C14,AB14/C14,(INT(AB14/B14)+(((AB14-B14*INT(AB14/B14)))/C14)/100))),0,(IF(B14=C14,AB14/C14,(INT(AB14/B14)+(((AB14-B14*INT(AB14/B14)))/C14)/100))))</f>
        <v>1</v>
      </c>
      <c r="BN14" s="57">
        <f>IF(ISERROR(IF(B14=C14,AC14/C14,(INT(AC14/B14)+(((AC14-B14*INT(AC14/B14)))/C14)/100))),0,(IF(B14=C14,AC14/C14,(INT(AC14/B14)+(((AC14-B14*INT(AC14/B14)))/C14)/100))))</f>
        <v>0</v>
      </c>
      <c r="BO14" s="57">
        <f>IF(ISERROR(IF(B14=C14,AD14/C14,(INT(AD14/B14)+(((AD14-B14*INT(AD14/B14)))/C14)/100))),0,(IF(B14=C14,AD14/C14,(INT(AD14/B14)+(((AD14-B14*INT(AD14/B14)))/C14)/100))))</f>
        <v>0</v>
      </c>
      <c r="BQ14" s="155" t="s">
        <v>257</v>
      </c>
    </row>
    <row r="15" spans="1:69" x14ac:dyDescent="0.35">
      <c r="A15" s="160" t="s">
        <v>268</v>
      </c>
      <c r="B15" s="113">
        <v>1000</v>
      </c>
      <c r="C15" s="113">
        <v>30</v>
      </c>
      <c r="D15" s="28">
        <f>SUM(AA15:AD15)</f>
        <v>10000</v>
      </c>
      <c r="E15" s="113">
        <v>0</v>
      </c>
      <c r="F15" s="113">
        <v>0</v>
      </c>
      <c r="G15" s="28">
        <f>SUM(D15:F15)</f>
        <v>10000</v>
      </c>
      <c r="H15" s="125">
        <v>0</v>
      </c>
      <c r="I15" s="113">
        <v>0</v>
      </c>
      <c r="J15" s="125">
        <v>0</v>
      </c>
      <c r="K15" s="113">
        <v>0</v>
      </c>
      <c r="L15" s="113">
        <v>0</v>
      </c>
      <c r="M15" s="113">
        <v>0</v>
      </c>
      <c r="N15" s="28">
        <f>G15-SUM(H15:M15)</f>
        <v>10000</v>
      </c>
      <c r="O15" s="28">
        <f>SUM(V15:Y15)</f>
        <v>10000</v>
      </c>
      <c r="P15" s="28">
        <f>O15-N15</f>
        <v>0</v>
      </c>
      <c r="Q15" s="61" t="str">
        <f>IF(ISERROR(P15/SUM(H15:L15)),"",P15/SUM(H15:L15))</f>
        <v/>
      </c>
      <c r="R15" s="113">
        <v>375</v>
      </c>
      <c r="S15" s="28">
        <f>IF(ISERROR(P15/C15*R15),0,(P15/C15*R15))</f>
        <v>0</v>
      </c>
      <c r="T15" s="60">
        <f>IF(ISERROR(P15/B15*AF15),0,(P15/B15*AF15))</f>
        <v>0</v>
      </c>
      <c r="V15" s="113">
        <f>2*1000</f>
        <v>2000</v>
      </c>
      <c r="W15" s="113">
        <v>8000</v>
      </c>
      <c r="X15" s="113">
        <v>0</v>
      </c>
      <c r="Y15" s="113">
        <v>0</v>
      </c>
      <c r="AA15" s="113">
        <f>2*1000</f>
        <v>2000</v>
      </c>
      <c r="AB15" s="113">
        <v>8000</v>
      </c>
      <c r="AC15" s="113">
        <v>0</v>
      </c>
      <c r="AD15" s="113">
        <v>0</v>
      </c>
      <c r="AF15" s="162">
        <f>55874.75/9</f>
        <v>6208.3055555555557</v>
      </c>
      <c r="AG15" s="28">
        <f>G15-O15</f>
        <v>0</v>
      </c>
      <c r="AH15" s="58">
        <f>IF(ISERROR(AG15/B15*AF15),0,(AG15/B15*AF15))</f>
        <v>0</v>
      </c>
      <c r="AI15" s="28">
        <f>SUM(H15:M15)</f>
        <v>0</v>
      </c>
      <c r="AJ15" s="28">
        <f>IF(ISERROR(AI15/B15*AF15),0,(AI15/B15*AF15))</f>
        <v>0</v>
      </c>
      <c r="AK15" s="58">
        <f>IF(ISERROR(O15/B15*AF15),0,(O15/B15*AF15))</f>
        <v>62083.055555555555</v>
      </c>
      <c r="AL15" s="28">
        <f>IF(ISERROR(H15/B15*AF15),0,(H15/B15*AF15))</f>
        <v>0</v>
      </c>
      <c r="AN15" s="51" t="str">
        <f>A15</f>
        <v xml:space="preserve">Belvender Vodka </v>
      </c>
      <c r="AO15" s="57">
        <f>IF(ISERROR(IF(B15=C15,D15/C15,(INT(D15/B15)+(((D15-B15*INT(D15/B15)))/C15)/100))),0,(IF(B15=C15,D15/C15,(INT(D15/B15)+(((D15-B15*INT(D15/B15)))/C15)/100))))</f>
        <v>10</v>
      </c>
      <c r="AP15" s="57">
        <f>IF(ISERROR(IF(B15=C15,E15/C15,(INT(E15/B15)+(((E15-B15*INT(E15/B15)))/C15)/100))),0,(IF(B15=C15,E15/C15,(INT(E15/B15)+(((E15-B15*INT(E15/B15)))/C15)/100))))</f>
        <v>0</v>
      </c>
      <c r="AQ15" s="57">
        <f>IF(ISERROR(IF(B15=C15,F15/C15,IF((INT(F15/B15)+(((F15-B15*INT(F15/B15)))/C15)/100)&lt;0,(INT(F15/B15)+(((F15-B15*INT(F15/B15)))/C15)/100)+(1-(B15/C15/100)),(INT(F15/B15)+(((F15-B15*INT(F15/B15)))/C15)/100)))),0,IF(B15=C15,F15/C15,IF((INT(F15/B15)+(((F15-B15*INT(F15/B15)))/C15)/100)&lt;0,(INT(F15/B15)+(((F15-B15*INT(F15/B15)))/C15)/100)+(1-(B15/C15/100)),(INT(F15/B15)+(((F15-B15*INT(F15/B15)))/C15)/100))))</f>
        <v>0</v>
      </c>
      <c r="AR15" s="57">
        <f>IF(ISERROR(IF(B15=C15,G15/C15,(INT(G15/B15)+(((G15-B15*INT(G15/B15)))/C15)/100))),0,(IF(B15=C15,G15/C15,(INT(G15/B15)+(((G15-B15*INT(G15/B15)))/C15)/100))))</f>
        <v>10</v>
      </c>
      <c r="AS15" s="57">
        <f>IF(ISERROR(IF(B15=C15,H15/C15,(INT(H15/B15)+(((H15-B15*INT(H15/B15)))/C15)/100))),0,(IF(B15=C15,H15/C15,(INT(H15/B15)+(((H15-B15*INT(H15/B15)))/C15)/100))))</f>
        <v>0</v>
      </c>
      <c r="AT15" s="57">
        <f>IF(ISERROR(IF(B15=C15,I15/C15,(INT(I15/B15)+(((I15-B15*INT(I15/B15)))/C15)/100))),0,(IF(B15=C15,I15/C15,(INT(I15/B15)+(((I15-B15*INT(I15/B15)))/C15)/100))))</f>
        <v>0</v>
      </c>
      <c r="AU15" s="57">
        <f>IF(ISERROR(IF(B15=C15,J15/C15,(INT(J15/B15)+(((J15-B15*INT(J15/B15)))/C15)/100))),0,(IF(B15=C15,J15/C15,(INT(J15/B15)+(((J15-B15*INT(J15/B15)))/C15)/100))))</f>
        <v>0</v>
      </c>
      <c r="AV15" s="57">
        <f>IF(ISERROR(IF(B15=C15,K15/C15,IF((INT(K15/B15)+(((K15-B15*INT(K15/B15)))/C15)/100)&lt;0,(INT(K15/B15)+(((K15-B15*INT(K15/B15)))/C15)/100)+(1-(B15/C15/100)),(INT(K15/B15)+(((K15-B15*INT(K15/B15)))/C15)/100)))),0,IF(B15=C15,K15/C15,IF((INT(K15/B15)+(((K15-B15*INT(K15/B15)))/C15)/100)&lt;0,(INT(K15/B15)+(((K15-B15*INT(K15/B15)))/C15)/100)+(1-(B15/C15/100)),(INT(K15/B15)+(((K15-B15*INT(K15/B15)))/C15)/100))))</f>
        <v>0</v>
      </c>
      <c r="AW15" s="57">
        <f>IF(ISERROR(IF(B15=C15,L15/C15,(INT(L15/B15)+(((L15-B15*INT(L15/B15)))/C15)/100))),0,(IF(B15=C15,L15/C15,(INT(L15/B15)+(((L15-B15*INT(L15/B15)))/C15)/100))))</f>
        <v>0</v>
      </c>
      <c r="AX15" s="57">
        <f>IF(ISERROR(IF(B15=C15,M15/C15,(INT(M15/B15)+(((M15-B15*INT(M15/B15)))/C15)/100))),0,(IF(B15=C15,M15/C15,(INT(M15/B15)+(((M15-B15*INT(M15/B15)))/C15)/100))))</f>
        <v>0</v>
      </c>
      <c r="AY15" s="57">
        <f>IF(ISERROR(IF(B15=C15,N15/C15,IF((INT(N15/B15)+(((N15-B15*INT(N15/B15)))/C15)/100)&lt;0,(INT(N15/B15)+(((N15-B15*INT(N15/B15)))/C15)/100)+(1-(B15/C15/100)),(INT(N15/B15)+(((N15-B15*INT(N15/B15)))/C15)/100)))),0,IF(B15=C15,N15/C15,IF((INT(N15/B15)+(((N15-B15*INT(N15/B15)))/C15)/100)&lt;0,(INT(N15/B15)+(((N15-B15*INT(N15/B15)))/C15)/100)+(1-(B15/C15/100)),(INT(N15/B15)+(((N15-B15*INT(N15/B15)))/C15)/100))))</f>
        <v>10</v>
      </c>
      <c r="AZ15" s="57">
        <f>IF(ISERROR(IF(B15=C15,O15/C15,(INT(O15/B15)+(((O15-B15*INT(O15/B15)))/C15)/100))),0,(IF(B15=C15,O15/C15,(INT(O15/B15)+(((O15-B15*INT(O15/B15)))/C15)/100))))</f>
        <v>10</v>
      </c>
      <c r="BA15" s="57">
        <f>IF(ISERROR(IF(B15=C15,P15/C15,IF((INT(P15/B15)+(((P15-B15*INT(P15/B15)))/C15)/100)&lt;0,(INT(P15/B15)+(((P15-B15*INT(P15/B15)))/C15)/100)+(1-(B15/C15/100)),(INT(P15/B15)+(((P15-B15*INT(P15/B15)))/C15)/100)))),0,IF(B15=C15,P15/C15,IF((INT(P15/B15)+(((P15-B15*INT(P15/B15)))/C15)/100)&lt;0,(INT(P15/B15)+(((P15-B15*INT(P15/B15)))/C15)/100)+(1-(B15/C15/100)),(INT(P15/B15)+(((P15-B15*INT(P15/B15)))/C15)/100))))</f>
        <v>0</v>
      </c>
      <c r="BB15" s="28">
        <f>R15</f>
        <v>375</v>
      </c>
      <c r="BC15" s="28">
        <f>S15</f>
        <v>0</v>
      </c>
      <c r="BD15" s="28">
        <f>AF15</f>
        <v>6208.3055555555557</v>
      </c>
      <c r="BE15" s="28">
        <f>T15</f>
        <v>0</v>
      </c>
      <c r="BG15" s="57">
        <f>IF(ISERROR(IF(B15=C15,V15/C15,(INT(V15/B15)+(((V15-B15*INT(V15/B15)))/C15)/100))),0,(IF(B15=C15,V15/C15,(INT(V15/B15)+(((V15-B15*INT(V15/B15)))/C15)/100))))</f>
        <v>2</v>
      </c>
      <c r="BH15" s="57">
        <f>IF(ISERROR(IF(B15=C15,W15/C15,(INT(W15/B15)+(((W15-B15*INT(W15/B15)))/C15)/100))),0,(IF(B15=C15,W15/C15,(INT(W15/B15)+(((W15-B15*INT(W15/B15)))/C15)/100))))</f>
        <v>8</v>
      </c>
      <c r="BI15" s="57">
        <f>IF(ISERROR(IF(B15=C15,X15/C15,(INT(X15/B15)+(((X15-B15*INT(X15/B15)))/C15)/100))),0,(IF(B15=C15,X15/C15,(INT(X15/B15)+(((X15-B15*INT(X15/B15)))/C15)/100))))</f>
        <v>0</v>
      </c>
      <c r="BJ15" s="57">
        <f>IF(ISERROR(IF(B15=C15,Y15/C15,(INT(Y15/B15)+(((Y15-B15*INT(Y15/B15)))/C15)/100))),0,(IF(B15=C15,Y15/C15,(INT(Y15/B15)+(((Y15-B15*INT(Y15/B15)))/C15)/100))))</f>
        <v>0</v>
      </c>
      <c r="BL15" s="57">
        <f>IF(ISERROR(IF(B15=C15,AA15/C15,(INT(AA15/B15)+(((AA15-B15*INT(AA15/B15)))/C15)/100))),0,(IF(B15=C15,AA15/C15,(INT(AA15/B15)+(((AA15-B15*INT(AA15/B15)))/C15)/100))))</f>
        <v>2</v>
      </c>
      <c r="BM15" s="57">
        <f>IF(ISERROR(IF(B15=C15,AB15/C15,(INT(AB15/B15)+(((AB15-B15*INT(AB15/B15)))/C15)/100))),0,(IF(B15=C15,AB15/C15,(INT(AB15/B15)+(((AB15-B15*INT(AB15/B15)))/C15)/100))))</f>
        <v>8</v>
      </c>
      <c r="BN15" s="57">
        <f>IF(ISERROR(IF(B15=C15,AC15/C15,(INT(AC15/B15)+(((AC15-B15*INT(AC15/B15)))/C15)/100))),0,(IF(B15=C15,AC15/C15,(INT(AC15/B15)+(((AC15-B15*INT(AC15/B15)))/C15)/100))))</f>
        <v>0</v>
      </c>
      <c r="BO15" s="57">
        <f>IF(ISERROR(IF(B15=C15,AD15/C15,(INT(AD15/B15)+(((AD15-B15*INT(AD15/B15)))/C15)/100))),0,(IF(B15=C15,AD15/C15,(INT(AD15/B15)+(((AD15-B15*INT(AD15/B15)))/C15)/100))))</f>
        <v>0</v>
      </c>
      <c r="BQ15" s="155" t="s">
        <v>205</v>
      </c>
    </row>
    <row r="16" spans="1:69" x14ac:dyDescent="0.35">
      <c r="A16" s="165" t="s">
        <v>303</v>
      </c>
      <c r="B16" s="113">
        <v>1000</v>
      </c>
      <c r="C16" s="113">
        <v>30</v>
      </c>
      <c r="D16" s="28">
        <f>SUM(AA16:AD16)</f>
        <v>780</v>
      </c>
      <c r="E16" s="113">
        <v>0</v>
      </c>
      <c r="F16" s="113">
        <v>0</v>
      </c>
      <c r="G16" s="28">
        <f>SUM(D16:F16)</f>
        <v>780</v>
      </c>
      <c r="H16" s="125">
        <v>0</v>
      </c>
      <c r="I16" s="113">
        <v>0</v>
      </c>
      <c r="J16" s="125">
        <v>0</v>
      </c>
      <c r="K16" s="113">
        <v>0</v>
      </c>
      <c r="L16" s="113">
        <v>0</v>
      </c>
      <c r="M16" s="113">
        <v>0</v>
      </c>
      <c r="N16" s="28">
        <f>G16-SUM(H16:M16)</f>
        <v>780</v>
      </c>
      <c r="O16" s="28">
        <f>SUM(V16:Y16)</f>
        <v>780</v>
      </c>
      <c r="P16" s="28">
        <f>O16-N16</f>
        <v>0</v>
      </c>
      <c r="Q16" s="61" t="str">
        <f>IF(ISERROR(P16/SUM(H16:L16)),"",P16/SUM(H16:L16))</f>
        <v/>
      </c>
      <c r="R16" s="113">
        <v>300</v>
      </c>
      <c r="S16" s="28">
        <f>IF(ISERROR(P16/C16*R16),0,(P16/C16*R16))</f>
        <v>0</v>
      </c>
      <c r="T16" s="60">
        <f>IF(ISERROR(P16/B16*AF16),0,(P16/B16*AF16))</f>
        <v>0</v>
      </c>
      <c r="V16" s="113">
        <f>26*30</f>
        <v>780</v>
      </c>
      <c r="W16" s="113">
        <v>0</v>
      </c>
      <c r="X16" s="113">
        <v>0</v>
      </c>
      <c r="Y16" s="113">
        <v>0</v>
      </c>
      <c r="AA16" s="113">
        <f>26*30</f>
        <v>780</v>
      </c>
      <c r="AB16" s="113">
        <v>0</v>
      </c>
      <c r="AC16" s="113">
        <v>0</v>
      </c>
      <c r="AD16" s="113">
        <v>0</v>
      </c>
      <c r="AF16" s="162">
        <f>42283.65/9</f>
        <v>4698.1833333333334</v>
      </c>
      <c r="AG16" s="28">
        <f>G16-O16</f>
        <v>0</v>
      </c>
      <c r="AH16" s="58">
        <f>IF(ISERROR(AG16/B16*AF16),0,(AG16/B16*AF16))</f>
        <v>0</v>
      </c>
      <c r="AI16" s="28">
        <f>SUM(H16:M16)</f>
        <v>0</v>
      </c>
      <c r="AJ16" s="28">
        <f>IF(ISERROR(AI16/B16*AF16),0,(AI16/B16*AF16))</f>
        <v>0</v>
      </c>
      <c r="AK16" s="58">
        <f>IF(ISERROR(O16/B16*AF16),0,(O16/B16*AF16))</f>
        <v>3664.5830000000001</v>
      </c>
      <c r="AL16" s="28">
        <f>IF(ISERROR(H16/B16*AF16),0,(H16/B16*AF16))</f>
        <v>0</v>
      </c>
      <c r="AN16" s="51" t="str">
        <f>A16</f>
        <v>Cointrue Liqueur 1000ml</v>
      </c>
      <c r="AO16" s="57">
        <f>IF(ISERROR(IF(B16=C16,D16/C16,(INT(D16/B16)+(((D16-B16*INT(D16/B16)))/C16)/100))),0,(IF(B16=C16,D16/C16,(INT(D16/B16)+(((D16-B16*INT(D16/B16)))/C16)/100))))</f>
        <v>0.26</v>
      </c>
      <c r="AP16" s="57">
        <f>IF(ISERROR(IF(B16=C16,E16/C16,(INT(E16/B16)+(((E16-B16*INT(E16/B16)))/C16)/100))),0,(IF(B16=C16,E16/C16,(INT(E16/B16)+(((E16-B16*INT(E16/B16)))/C16)/100))))</f>
        <v>0</v>
      </c>
      <c r="AQ16" s="57">
        <f>IF(ISERROR(IF(B16=C16,F16/C16,IF((INT(F16/B16)+(((F16-B16*INT(F16/B16)))/C16)/100)&lt;0,(INT(F16/B16)+(((F16-B16*INT(F16/B16)))/C16)/100)+(1-(B16/C16/100)),(INT(F16/B16)+(((F16-B16*INT(F16/B16)))/C16)/100)))),0,IF(B16=C16,F16/C16,IF((INT(F16/B16)+(((F16-B16*INT(F16/B16)))/C16)/100)&lt;0,(INT(F16/B16)+(((F16-B16*INT(F16/B16)))/C16)/100)+(1-(B16/C16/100)),(INT(F16/B16)+(((F16-B16*INT(F16/B16)))/C16)/100))))</f>
        <v>0</v>
      </c>
      <c r="AR16" s="57">
        <f>IF(ISERROR(IF(B16=C16,G16/C16,(INT(G16/B16)+(((G16-B16*INT(G16/B16)))/C16)/100))),0,(IF(B16=C16,G16/C16,(INT(G16/B16)+(((G16-B16*INT(G16/B16)))/C16)/100))))</f>
        <v>0.26</v>
      </c>
      <c r="AS16" s="57">
        <f>IF(ISERROR(IF(B16=C16,H16/C16,(INT(H16/B16)+(((H16-B16*INT(H16/B16)))/C16)/100))),0,(IF(B16=C16,H16/C16,(INT(H16/B16)+(((H16-B16*INT(H16/B16)))/C16)/100))))</f>
        <v>0</v>
      </c>
      <c r="AT16" s="57">
        <f>IF(ISERROR(IF(B16=C16,I16/C16,(INT(I16/B16)+(((I16-B16*INT(I16/B16)))/C16)/100))),0,(IF(B16=C16,I16/C16,(INT(I16/B16)+(((I16-B16*INT(I16/B16)))/C16)/100))))</f>
        <v>0</v>
      </c>
      <c r="AU16" s="57">
        <f>IF(ISERROR(IF(B16=C16,J16/C16,(INT(J16/B16)+(((J16-B16*INT(J16/B16)))/C16)/100))),0,(IF(B16=C16,J16/C16,(INT(J16/B16)+(((J16-B16*INT(J16/B16)))/C16)/100))))</f>
        <v>0</v>
      </c>
      <c r="AV16" s="57">
        <f>IF(ISERROR(IF(B16=C16,K16/C16,IF((INT(K16/B16)+(((K16-B16*INT(K16/B16)))/C16)/100)&lt;0,(INT(K16/B16)+(((K16-B16*INT(K16/B16)))/C16)/100)+(1-(B16/C16/100)),(INT(K16/B16)+(((K16-B16*INT(K16/B16)))/C16)/100)))),0,IF(B16=C16,K16/C16,IF((INT(K16/B16)+(((K16-B16*INT(K16/B16)))/C16)/100)&lt;0,(INT(K16/B16)+(((K16-B16*INT(K16/B16)))/C16)/100)+(1-(B16/C16/100)),(INT(K16/B16)+(((K16-B16*INT(K16/B16)))/C16)/100))))</f>
        <v>0</v>
      </c>
      <c r="AW16" s="57">
        <f>IF(ISERROR(IF(B16=C16,L16/C16,(INT(L16/B16)+(((L16-B16*INT(L16/B16)))/C16)/100))),0,(IF(B16=C16,L16/C16,(INT(L16/B16)+(((L16-B16*INT(L16/B16)))/C16)/100))))</f>
        <v>0</v>
      </c>
      <c r="AX16" s="57">
        <f>IF(ISERROR(IF(B16=C16,M16/C16,(INT(M16/B16)+(((M16-B16*INT(M16/B16)))/C16)/100))),0,(IF(B16=C16,M16/C16,(INT(M16/B16)+(((M16-B16*INT(M16/B16)))/C16)/100))))</f>
        <v>0</v>
      </c>
      <c r="AY16" s="57">
        <f>IF(ISERROR(IF(B16=C16,N16/C16,IF((INT(N16/B16)+(((N16-B16*INT(N16/B16)))/C16)/100)&lt;0,(INT(N16/B16)+(((N16-B16*INT(N16/B16)))/C16)/100)+(1-(B16/C16/100)),(INT(N16/B16)+(((N16-B16*INT(N16/B16)))/C16)/100)))),0,IF(B16=C16,N16/C16,IF((INT(N16/B16)+(((N16-B16*INT(N16/B16)))/C16)/100)&lt;0,(INT(N16/B16)+(((N16-B16*INT(N16/B16)))/C16)/100)+(1-(B16/C16/100)),(INT(N16/B16)+(((N16-B16*INT(N16/B16)))/C16)/100))))</f>
        <v>0.26</v>
      </c>
      <c r="AZ16" s="57">
        <f>IF(ISERROR(IF(B16=C16,O16/C16,(INT(O16/B16)+(((O16-B16*INT(O16/B16)))/C16)/100))),0,(IF(B16=C16,O16/C16,(INT(O16/B16)+(((O16-B16*INT(O16/B16)))/C16)/100))))</f>
        <v>0.26</v>
      </c>
      <c r="BA16" s="57">
        <f>IF(ISERROR(IF(B16=C16,P16/C16,IF((INT(P16/B16)+(((P16-B16*INT(P16/B16)))/C16)/100)&lt;0,(INT(P16/B16)+(((P16-B16*INT(P16/B16)))/C16)/100)+(1-(B16/C16/100)),(INT(P16/B16)+(((P16-B16*INT(P16/B16)))/C16)/100)))),0,IF(B16=C16,P16/C16,IF((INT(P16/B16)+(((P16-B16*INT(P16/B16)))/C16)/100)&lt;0,(INT(P16/B16)+(((P16-B16*INT(P16/B16)))/C16)/100)+(1-(B16/C16/100)),(INT(P16/B16)+(((P16-B16*INT(P16/B16)))/C16)/100))))</f>
        <v>0</v>
      </c>
      <c r="BB16" s="28">
        <f>R16</f>
        <v>300</v>
      </c>
      <c r="BC16" s="28">
        <f>S16</f>
        <v>0</v>
      </c>
      <c r="BD16" s="28">
        <f>AF16</f>
        <v>4698.1833333333334</v>
      </c>
      <c r="BE16" s="28">
        <f>T16</f>
        <v>0</v>
      </c>
      <c r="BG16" s="57">
        <f>IF(ISERROR(IF(B16=C16,V16/C16,(INT(V16/B16)+(((V16-B16*INT(V16/B16)))/C16)/100))),0,(IF(B16=C16,V16/C16,(INT(V16/B16)+(((V16-B16*INT(V16/B16)))/C16)/100))))</f>
        <v>0.26</v>
      </c>
      <c r="BH16" s="57">
        <f>IF(ISERROR(IF(B16=C16,W16/C16,(INT(W16/B16)+(((W16-B16*INT(W16/B16)))/C16)/100))),0,(IF(B16=C16,W16/C16,(INT(W16/B16)+(((W16-B16*INT(W16/B16)))/C16)/100))))</f>
        <v>0</v>
      </c>
      <c r="BI16" s="57">
        <f>IF(ISERROR(IF(B16=C16,X16/C16,(INT(X16/B16)+(((X16-B16*INT(X16/B16)))/C16)/100))),0,(IF(B16=C16,X16/C16,(INT(X16/B16)+(((X16-B16*INT(X16/B16)))/C16)/100))))</f>
        <v>0</v>
      </c>
      <c r="BJ16" s="57">
        <f>IF(ISERROR(IF(B16=C16,Y16/C16,(INT(Y16/B16)+(((Y16-B16*INT(Y16/B16)))/C16)/100))),0,(IF(B16=C16,Y16/C16,(INT(Y16/B16)+(((Y16-B16*INT(Y16/B16)))/C16)/100))))</f>
        <v>0</v>
      </c>
      <c r="BL16" s="57">
        <f>IF(ISERROR(IF(B16=C16,AA16/C16,(INT(AA16/B16)+(((AA16-B16*INT(AA16/B16)))/C16)/100))),0,(IF(B16=C16,AA16/C16,(INT(AA16/B16)+(((AA16-B16*INT(AA16/B16)))/C16)/100))))</f>
        <v>0.26</v>
      </c>
      <c r="BM16" s="57">
        <f>IF(ISERROR(IF(B16=C16,AB16/C16,(INT(AB16/B16)+(((AB16-B16*INT(AB16/B16)))/C16)/100))),0,(IF(B16=C16,AB16/C16,(INT(AB16/B16)+(((AB16-B16*INT(AB16/B16)))/C16)/100))))</f>
        <v>0</v>
      </c>
      <c r="BN16" s="57">
        <f>IF(ISERROR(IF(B16=C16,AC16/C16,(INT(AC16/B16)+(((AC16-B16*INT(AC16/B16)))/C16)/100))),0,(IF(B16=C16,AC16/C16,(INT(AC16/B16)+(((AC16-B16*INT(AC16/B16)))/C16)/100))))</f>
        <v>0</v>
      </c>
      <c r="BO16" s="57">
        <f>IF(ISERROR(IF(B16=C16,AD16/C16,(INT(AD16/B16)+(((AD16-B16*INT(AD16/B16)))/C16)/100))),0,(IF(B16=C16,AD16/C16,(INT(AD16/B16)+(((AD16-B16*INT(AD16/B16)))/C16)/100))))</f>
        <v>0</v>
      </c>
      <c r="BQ16" s="155" t="s">
        <v>232</v>
      </c>
    </row>
    <row r="17" spans="1:69" x14ac:dyDescent="0.35">
      <c r="A17" s="165" t="s">
        <v>302</v>
      </c>
      <c r="B17" s="113">
        <v>1000</v>
      </c>
      <c r="C17" s="113">
        <v>30</v>
      </c>
      <c r="D17" s="28">
        <f>SUM(AA17:AD17)</f>
        <v>0</v>
      </c>
      <c r="E17" s="113">
        <v>0</v>
      </c>
      <c r="F17" s="113">
        <v>0</v>
      </c>
      <c r="G17" s="28">
        <f>SUM(D17:F17)</f>
        <v>0</v>
      </c>
      <c r="H17" s="125">
        <v>0</v>
      </c>
      <c r="I17" s="113">
        <v>0</v>
      </c>
      <c r="J17" s="125">
        <v>0</v>
      </c>
      <c r="K17" s="113">
        <v>0</v>
      </c>
      <c r="L17" s="113">
        <v>0</v>
      </c>
      <c r="M17" s="113">
        <v>0</v>
      </c>
      <c r="N17" s="28">
        <f>G17-SUM(H17:M17)</f>
        <v>0</v>
      </c>
      <c r="O17" s="28">
        <f>SUM(V17:Y17)</f>
        <v>0</v>
      </c>
      <c r="P17" s="28">
        <f>O17-N17</f>
        <v>0</v>
      </c>
      <c r="Q17" s="61" t="str">
        <f>IF(ISERROR(P17/SUM(H17:L17)),"",P17/SUM(H17:L17))</f>
        <v/>
      </c>
      <c r="R17" s="113">
        <v>175</v>
      </c>
      <c r="S17" s="28">
        <f>IF(ISERROR(P17/C17*R17),0,(P17/C17*R17))</f>
        <v>0</v>
      </c>
      <c r="T17" s="60">
        <f>IF(ISERROR(P17/B17*AF17),0,(P17/B17*AF17))</f>
        <v>0</v>
      </c>
      <c r="V17" s="113">
        <v>0</v>
      </c>
      <c r="W17" s="113">
        <v>0</v>
      </c>
      <c r="X17" s="113">
        <v>0</v>
      </c>
      <c r="Y17" s="113">
        <v>0</v>
      </c>
      <c r="AA17" s="113">
        <v>0</v>
      </c>
      <c r="AB17" s="113">
        <v>0</v>
      </c>
      <c r="AC17" s="113">
        <v>0</v>
      </c>
      <c r="AD17" s="113">
        <v>0</v>
      </c>
      <c r="AF17" s="162">
        <f>16820.2/9</f>
        <v>1868.9111111111113</v>
      </c>
      <c r="AG17" s="28">
        <f>G17-O17</f>
        <v>0</v>
      </c>
      <c r="AH17" s="58">
        <f>IF(ISERROR(AG17/B17*AF17),0,(AG17/B17*AF17))</f>
        <v>0</v>
      </c>
      <c r="AI17" s="28">
        <f>SUM(H17:M17)</f>
        <v>0</v>
      </c>
      <c r="AJ17" s="28">
        <f>IF(ISERROR(AI17/B17*AF17),0,(AI17/B17*AF17))</f>
        <v>0</v>
      </c>
      <c r="AK17" s="58">
        <f>IF(ISERROR(O17/B17*AF17),0,(O17/B17*AF17))</f>
        <v>0</v>
      </c>
      <c r="AL17" s="28">
        <f>IF(ISERROR(H17/B17*AF17),0,(H17/B17*AF17))</f>
        <v>0</v>
      </c>
      <c r="AN17" s="51" t="str">
        <f>A17</f>
        <v>Black Dog Centenary 8 yr 1000Ml</v>
      </c>
      <c r="AO17" s="57">
        <f>IF(ISERROR(IF(B17=C17,D17/C17,(INT(D17/B17)+(((D17-B17*INT(D17/B17)))/C17)/100))),0,(IF(B17=C17,D17/C17,(INT(D17/B17)+(((D17-B17*INT(D17/B17)))/C17)/100))))</f>
        <v>0</v>
      </c>
      <c r="AP17" s="57">
        <f>IF(ISERROR(IF(B17=C17,E17/C17,(INT(E17/B17)+(((E17-B17*INT(E17/B17)))/C17)/100))),0,(IF(B17=C17,E17/C17,(INT(E17/B17)+(((E17-B17*INT(E17/B17)))/C17)/100))))</f>
        <v>0</v>
      </c>
      <c r="AQ17" s="57">
        <f>IF(ISERROR(IF(B17=C17,F17/C17,IF((INT(F17/B17)+(((F17-B17*INT(F17/B17)))/C17)/100)&lt;0,(INT(F17/B17)+(((F17-B17*INT(F17/B17)))/C17)/100)+(1-(B17/C17/100)),(INT(F17/B17)+(((F17-B17*INT(F17/B17)))/C17)/100)))),0,IF(B17=C17,F17/C17,IF((INT(F17/B17)+(((F17-B17*INT(F17/B17)))/C17)/100)&lt;0,(INT(F17/B17)+(((F17-B17*INT(F17/B17)))/C17)/100)+(1-(B17/C17/100)),(INT(F17/B17)+(((F17-B17*INT(F17/B17)))/C17)/100))))</f>
        <v>0</v>
      </c>
      <c r="AR17" s="57">
        <f>IF(ISERROR(IF(B17=C17,G17/C17,(INT(G17/B17)+(((G17-B17*INT(G17/B17)))/C17)/100))),0,(IF(B17=C17,G17/C17,(INT(G17/B17)+(((G17-B17*INT(G17/B17)))/C17)/100))))</f>
        <v>0</v>
      </c>
      <c r="AS17" s="57">
        <f>IF(ISERROR(IF(B17=C17,H17/C17,(INT(H17/B17)+(((H17-B17*INT(H17/B17)))/C17)/100))),0,(IF(B17=C17,H17/C17,(INT(H17/B17)+(((H17-B17*INT(H17/B17)))/C17)/100))))</f>
        <v>0</v>
      </c>
      <c r="AT17" s="57">
        <f>IF(ISERROR(IF(B17=C17,I17/C17,(INT(I17/B17)+(((I17-B17*INT(I17/B17)))/C17)/100))),0,(IF(B17=C17,I17/C17,(INT(I17/B17)+(((I17-B17*INT(I17/B17)))/C17)/100))))</f>
        <v>0</v>
      </c>
      <c r="AU17" s="57">
        <f>IF(ISERROR(IF(B17=C17,J17/C17,(INT(J17/B17)+(((J17-B17*INT(J17/B17)))/C17)/100))),0,(IF(B17=C17,J17/C17,(INT(J17/B17)+(((J17-B17*INT(J17/B17)))/C17)/100))))</f>
        <v>0</v>
      </c>
      <c r="AV17" s="57">
        <f>IF(ISERROR(IF(B17=C17,K17/C17,IF((INT(K17/B17)+(((K17-B17*INT(K17/B17)))/C17)/100)&lt;0,(INT(K17/B17)+(((K17-B17*INT(K17/B17)))/C17)/100)+(1-(B17/C17/100)),(INT(K17/B17)+(((K17-B17*INT(K17/B17)))/C17)/100)))),0,IF(B17=C17,K17/C17,IF((INT(K17/B17)+(((K17-B17*INT(K17/B17)))/C17)/100)&lt;0,(INT(K17/B17)+(((K17-B17*INT(K17/B17)))/C17)/100)+(1-(B17/C17/100)),(INT(K17/B17)+(((K17-B17*INT(K17/B17)))/C17)/100))))</f>
        <v>0</v>
      </c>
      <c r="AW17" s="57">
        <f>IF(ISERROR(IF(B17=C17,L17/C17,(INT(L17/B17)+(((L17-B17*INT(L17/B17)))/C17)/100))),0,(IF(B17=C17,L17/C17,(INT(L17/B17)+(((L17-B17*INT(L17/B17)))/C17)/100))))</f>
        <v>0</v>
      </c>
      <c r="AX17" s="57">
        <f>IF(ISERROR(IF(B17=C17,M17/C17,(INT(M17/B17)+(((M17-B17*INT(M17/B17)))/C17)/100))),0,(IF(B17=C17,M17/C17,(INT(M17/B17)+(((M17-B17*INT(M17/B17)))/C17)/100))))</f>
        <v>0</v>
      </c>
      <c r="AY17" s="57">
        <f>IF(ISERROR(IF(B17=C17,N17/C17,IF((INT(N17/B17)+(((N17-B17*INT(N17/B17)))/C17)/100)&lt;0,(INT(N17/B17)+(((N17-B17*INT(N17/B17)))/C17)/100)+(1-(B17/C17/100)),(INT(N17/B17)+(((N17-B17*INT(N17/B17)))/C17)/100)))),0,IF(B17=C17,N17/C17,IF((INT(N17/B17)+(((N17-B17*INT(N17/B17)))/C17)/100)&lt;0,(INT(N17/B17)+(((N17-B17*INT(N17/B17)))/C17)/100)+(1-(B17/C17/100)),(INT(N17/B17)+(((N17-B17*INT(N17/B17)))/C17)/100))))</f>
        <v>0</v>
      </c>
      <c r="AZ17" s="57">
        <f>IF(ISERROR(IF(B17=C17,O17/C17,(INT(O17/B17)+(((O17-B17*INT(O17/B17)))/C17)/100))),0,(IF(B17=C17,O17/C17,(INT(O17/B17)+(((O17-B17*INT(O17/B17)))/C17)/100))))</f>
        <v>0</v>
      </c>
      <c r="BA17" s="57">
        <f>IF(ISERROR(IF(B17=C17,P17/C17,IF((INT(P17/B17)+(((P17-B17*INT(P17/B17)))/C17)/100)&lt;0,(INT(P17/B17)+(((P17-B17*INT(P17/B17)))/C17)/100)+(1-(B17/C17/100)),(INT(P17/B17)+(((P17-B17*INT(P17/B17)))/C17)/100)))),0,IF(B17=C17,P17/C17,IF((INT(P17/B17)+(((P17-B17*INT(P17/B17)))/C17)/100)&lt;0,(INT(P17/B17)+(((P17-B17*INT(P17/B17)))/C17)/100)+(1-(B17/C17/100)),(INT(P17/B17)+(((P17-B17*INT(P17/B17)))/C17)/100))))</f>
        <v>0</v>
      </c>
      <c r="BB17" s="28">
        <f>R17</f>
        <v>175</v>
      </c>
      <c r="BC17" s="28">
        <f>S17</f>
        <v>0</v>
      </c>
      <c r="BD17" s="28">
        <f>AF17</f>
        <v>1868.9111111111113</v>
      </c>
      <c r="BE17" s="28">
        <f>T17</f>
        <v>0</v>
      </c>
      <c r="BG17" s="57">
        <f>IF(ISERROR(IF(B17=C17,V17/C17,(INT(V17/B17)+(((V17-B17*INT(V17/B17)))/C17)/100))),0,(IF(B17=C17,V17/C17,(INT(V17/B17)+(((V17-B17*INT(V17/B17)))/C17)/100))))</f>
        <v>0</v>
      </c>
      <c r="BH17" s="57">
        <f>IF(ISERROR(IF(B17=C17,W17/C17,(INT(W17/B17)+(((W17-B17*INT(W17/B17)))/C17)/100))),0,(IF(B17=C17,W17/C17,(INT(W17/B17)+(((W17-B17*INT(W17/B17)))/C17)/100))))</f>
        <v>0</v>
      </c>
      <c r="BI17" s="57">
        <f>IF(ISERROR(IF(B17=C17,X17/C17,(INT(X17/B17)+(((X17-B17*INT(X17/B17)))/C17)/100))),0,(IF(B17=C17,X17/C17,(INT(X17/B17)+(((X17-B17*INT(X17/B17)))/C17)/100))))</f>
        <v>0</v>
      </c>
      <c r="BJ17" s="57">
        <f>IF(ISERROR(IF(B17=C17,Y17/C17,(INT(Y17/B17)+(((Y17-B17*INT(Y17/B17)))/C17)/100))),0,(IF(B17=C17,Y17/C17,(INT(Y17/B17)+(((Y17-B17*INT(Y17/B17)))/C17)/100))))</f>
        <v>0</v>
      </c>
      <c r="BL17" s="57">
        <f>IF(ISERROR(IF(B17=C17,AA17/C17,(INT(AA17/B17)+(((AA17-B17*INT(AA17/B17)))/C17)/100))),0,(IF(B17=C17,AA17/C17,(INT(AA17/B17)+(((AA17-B17*INT(AA17/B17)))/C17)/100))))</f>
        <v>0</v>
      </c>
      <c r="BM17" s="57">
        <f>IF(ISERROR(IF(B17=C17,AB17/C17,(INT(AB17/B17)+(((AB17-B17*INT(AB17/B17)))/C17)/100))),0,(IF(B17=C17,AB17/C17,(INT(AB17/B17)+(((AB17-B17*INT(AB17/B17)))/C17)/100))))</f>
        <v>0</v>
      </c>
      <c r="BN17" s="57">
        <f>IF(ISERROR(IF(B17=C17,AC17/C17,(INT(AC17/B17)+(((AC17-B17*INT(AC17/B17)))/C17)/100))),0,(IF(B17=C17,AC17/C17,(INT(AC17/B17)+(((AC17-B17*INT(AC17/B17)))/C17)/100))))</f>
        <v>0</v>
      </c>
      <c r="BO17" s="57">
        <f>IF(ISERROR(IF(B17=C17,AD17/C17,(INT(AD17/B17)+(((AD17-B17*INT(AD17/B17)))/C17)/100))),0,(IF(B17=C17,AD17/C17,(INT(AD17/B17)+(((AD17-B17*INT(AD17/B17)))/C17)/100))))</f>
        <v>0</v>
      </c>
      <c r="BQ17" s="155" t="s">
        <v>215</v>
      </c>
    </row>
    <row r="18" spans="1:69" hidden="1" x14ac:dyDescent="0.35">
      <c r="A18" s="134"/>
      <c r="B18" s="113">
        <v>1000</v>
      </c>
      <c r="C18" s="113">
        <v>30</v>
      </c>
      <c r="D18" s="28">
        <f>SUM(AA18:AD18)</f>
        <v>0</v>
      </c>
      <c r="E18" s="113">
        <v>0</v>
      </c>
      <c r="F18" s="113">
        <v>0</v>
      </c>
      <c r="G18" s="28">
        <f>SUM(D18:F18)</f>
        <v>0</v>
      </c>
      <c r="H18" s="125">
        <v>0</v>
      </c>
      <c r="I18" s="113">
        <v>0</v>
      </c>
      <c r="J18" s="125">
        <v>0</v>
      </c>
      <c r="K18" s="113">
        <v>0</v>
      </c>
      <c r="L18" s="113">
        <v>0</v>
      </c>
      <c r="M18" s="113">
        <v>0</v>
      </c>
      <c r="N18" s="28">
        <f>G18-SUM(H18:M18)</f>
        <v>0</v>
      </c>
      <c r="O18" s="28">
        <f>SUM(V18:Y18)</f>
        <v>0</v>
      </c>
      <c r="P18" s="28">
        <f>O18-N18</f>
        <v>0</v>
      </c>
      <c r="Q18" s="61" t="str">
        <f>IF(ISERROR(P18/SUM(H18:L18)),"",P18/SUM(H18:L18))</f>
        <v/>
      </c>
      <c r="R18" s="113">
        <v>0</v>
      </c>
      <c r="S18" s="28">
        <f>IF(ISERROR(P18/C18*R18),0,(P18/C18*R18))</f>
        <v>0</v>
      </c>
      <c r="T18" s="60">
        <f>IF(ISERROR(P18/B18*AF18),0,(P18/B18*AF18))</f>
        <v>0</v>
      </c>
      <c r="V18" s="113">
        <v>0</v>
      </c>
      <c r="W18" s="113">
        <v>0</v>
      </c>
      <c r="X18" s="113">
        <v>0</v>
      </c>
      <c r="Y18" s="113">
        <v>0</v>
      </c>
      <c r="AA18" s="113">
        <v>0</v>
      </c>
      <c r="AB18" s="113">
        <v>0</v>
      </c>
      <c r="AC18" s="113">
        <v>0</v>
      </c>
      <c r="AD18" s="113">
        <v>0</v>
      </c>
      <c r="AF18" s="113">
        <v>0</v>
      </c>
      <c r="AG18" s="28">
        <f>G18-O18</f>
        <v>0</v>
      </c>
      <c r="AH18" s="58">
        <f>IF(ISERROR(AG18/B18*AF18),0,(AG18/B18*AF18))</f>
        <v>0</v>
      </c>
      <c r="AI18" s="28">
        <f>SUM(H18:M18)</f>
        <v>0</v>
      </c>
      <c r="AJ18" s="28">
        <f>IF(ISERROR(AI18/B18*AF18),0,(AI18/B18*AF18))</f>
        <v>0</v>
      </c>
      <c r="AK18" s="58">
        <f>IF(ISERROR(O18/B18*AF18),0,(O18/B18*AF18))</f>
        <v>0</v>
      </c>
      <c r="AL18" s="28">
        <f>IF(ISERROR(H18/B18*AF18),0,(H18/B18*AF18))</f>
        <v>0</v>
      </c>
      <c r="AN18" s="51">
        <f>A18</f>
        <v>0</v>
      </c>
      <c r="AO18" s="57">
        <f>IF(ISERROR(IF(B18=C18,D18/C18,(INT(D18/B18)+(((D18-B18*INT(D18/B18)))/C18)/100))),0,(IF(B18=C18,D18/C18,(INT(D18/B18)+(((D18-B18*INT(D18/B18)))/C18)/100))))</f>
        <v>0</v>
      </c>
      <c r="AP18" s="57">
        <f>IF(ISERROR(IF(B18=C18,E18/C18,(INT(E18/B18)+(((E18-B18*INT(E18/B18)))/C18)/100))),0,(IF(B18=C18,E18/C18,(INT(E18/B18)+(((E18-B18*INT(E18/B18)))/C18)/100))))</f>
        <v>0</v>
      </c>
      <c r="AQ18" s="57">
        <f>IF(ISERROR(IF(B18=C18,F18/C18,IF((INT(F18/B18)+(((F18-B18*INT(F18/B18)))/C18)/100)&lt;0,(INT(F18/B18)+(((F18-B18*INT(F18/B18)))/C18)/100)+(1-(B18/C18/100)),(INT(F18/B18)+(((F18-B18*INT(F18/B18)))/C18)/100)))),0,IF(B18=C18,F18/C18,IF((INT(F18/B18)+(((F18-B18*INT(F18/B18)))/C18)/100)&lt;0,(INT(F18/B18)+(((F18-B18*INT(F18/B18)))/C18)/100)+(1-(B18/C18/100)),(INT(F18/B18)+(((F18-B18*INT(F18/B18)))/C18)/100))))</f>
        <v>0</v>
      </c>
      <c r="AR18" s="57">
        <f>IF(ISERROR(IF(B18=C18,G18/C18,(INT(G18/B18)+(((G18-B18*INT(G18/B18)))/C18)/100))),0,(IF(B18=C18,G18/C18,(INT(G18/B18)+(((G18-B18*INT(G18/B18)))/C18)/100))))</f>
        <v>0</v>
      </c>
      <c r="AS18" s="57">
        <f>IF(ISERROR(IF(B18=C18,H18/C18,(INT(H18/B18)+(((H18-B18*INT(H18/B18)))/C18)/100))),0,(IF(B18=C18,H18/C18,(INT(H18/B18)+(((H18-B18*INT(H18/B18)))/C18)/100))))</f>
        <v>0</v>
      </c>
      <c r="AT18" s="57">
        <f>IF(ISERROR(IF(B18=C18,I18/C18,(INT(I18/B18)+(((I18-B18*INT(I18/B18)))/C18)/100))),0,(IF(B18=C18,I18/C18,(INT(I18/B18)+(((I18-B18*INT(I18/B18)))/C18)/100))))</f>
        <v>0</v>
      </c>
      <c r="AU18" s="57">
        <f>IF(ISERROR(IF(B18=C18,J18/C18,(INT(J18/B18)+(((J18-B18*INT(J18/B18)))/C18)/100))),0,(IF(B18=C18,J18/C18,(INT(J18/B18)+(((J18-B18*INT(J18/B18)))/C18)/100))))</f>
        <v>0</v>
      </c>
      <c r="AV18" s="57">
        <f>IF(ISERROR(IF(B18=C18,K18/C18,IF((INT(K18/B18)+(((K18-B18*INT(K18/B18)))/C18)/100)&lt;0,(INT(K18/B18)+(((K18-B18*INT(K18/B18)))/C18)/100)+(1-(B18/C18/100)),(INT(K18/B18)+(((K18-B18*INT(K18/B18)))/C18)/100)))),0,IF(B18=C18,K18/C18,IF((INT(K18/B18)+(((K18-B18*INT(K18/B18)))/C18)/100)&lt;0,(INT(K18/B18)+(((K18-B18*INT(K18/B18)))/C18)/100)+(1-(B18/C18/100)),(INT(K18/B18)+(((K18-B18*INT(K18/B18)))/C18)/100))))</f>
        <v>0</v>
      </c>
      <c r="AW18" s="57">
        <f>IF(ISERROR(IF(B18=C18,L18/C18,(INT(L18/B18)+(((L18-B18*INT(L18/B18)))/C18)/100))),0,(IF(B18=C18,L18/C18,(INT(L18/B18)+(((L18-B18*INT(L18/B18)))/C18)/100))))</f>
        <v>0</v>
      </c>
      <c r="AX18" s="57">
        <f>IF(ISERROR(IF(B18=C18,M18/C18,(INT(M18/B18)+(((M18-B18*INT(M18/B18)))/C18)/100))),0,(IF(B18=C18,M18/C18,(INT(M18/B18)+(((M18-B18*INT(M18/B18)))/C18)/100))))</f>
        <v>0</v>
      </c>
      <c r="AY18" s="57">
        <f>IF(ISERROR(IF(B18=C18,N18/C18,IF((INT(N18/B18)+(((N18-B18*INT(N18/B18)))/C18)/100)&lt;0,(INT(N18/B18)+(((N18-B18*INT(N18/B18)))/C18)/100)+(1-(B18/C18/100)),(INT(N18/B18)+(((N18-B18*INT(N18/B18)))/C18)/100)))),0,IF(B18=C18,N18/C18,IF((INT(N18/B18)+(((N18-B18*INT(N18/B18)))/C18)/100)&lt;0,(INT(N18/B18)+(((N18-B18*INT(N18/B18)))/C18)/100)+(1-(B18/C18/100)),(INT(N18/B18)+(((N18-B18*INT(N18/B18)))/C18)/100))))</f>
        <v>0</v>
      </c>
      <c r="AZ18" s="57">
        <f>IF(ISERROR(IF(B18=C18,O18/C18,(INT(O18/B18)+(((O18-B18*INT(O18/B18)))/C18)/100))),0,(IF(B18=C18,O18/C18,(INT(O18/B18)+(((O18-B18*INT(O18/B18)))/C18)/100))))</f>
        <v>0</v>
      </c>
      <c r="BA18" s="57">
        <f>IF(ISERROR(IF(B18=C18,P18/C18,IF((INT(P18/B18)+(((P18-B18*INT(P18/B18)))/C18)/100)&lt;0,(INT(P18/B18)+(((P18-B18*INT(P18/B18)))/C18)/100)+(1-(B18/C18/100)),(INT(P18/B18)+(((P18-B18*INT(P18/B18)))/C18)/100)))),0,IF(B18=C18,P18/C18,IF((INT(P18/B18)+(((P18-B18*INT(P18/B18)))/C18)/100)&lt;0,(INT(P18/B18)+(((P18-B18*INT(P18/B18)))/C18)/100)+(1-(B18/C18/100)),(INT(P18/B18)+(((P18-B18*INT(P18/B18)))/C18)/100))))</f>
        <v>0</v>
      </c>
      <c r="BB18" s="28">
        <f>R18</f>
        <v>0</v>
      </c>
      <c r="BC18" s="28">
        <f>S18</f>
        <v>0</v>
      </c>
      <c r="BD18" s="28">
        <f>AF18</f>
        <v>0</v>
      </c>
      <c r="BE18" s="28">
        <f>T18</f>
        <v>0</v>
      </c>
      <c r="BG18" s="57">
        <f>IF(ISERROR(IF(B18=C18,V18/C18,(INT(V18/B18)+(((V18-B18*INT(V18/B18)))/C18)/100))),0,(IF(B18=C18,V18/C18,(INT(V18/B18)+(((V18-B18*INT(V18/B18)))/C18)/100))))</f>
        <v>0</v>
      </c>
      <c r="BH18" s="57">
        <f>IF(ISERROR(IF(B18=C18,W18/C18,(INT(W18/B18)+(((W18-B18*INT(W18/B18)))/C18)/100))),0,(IF(B18=C18,W18/C18,(INT(W18/B18)+(((W18-B18*INT(W18/B18)))/C18)/100))))</f>
        <v>0</v>
      </c>
      <c r="BI18" s="57">
        <f>IF(ISERROR(IF(B18=C18,X18/C18,(INT(X18/B18)+(((X18-B18*INT(X18/B18)))/C18)/100))),0,(IF(B18=C18,X18/C18,(INT(X18/B18)+(((X18-B18*INT(X18/B18)))/C18)/100))))</f>
        <v>0</v>
      </c>
      <c r="BJ18" s="57">
        <f>IF(ISERROR(IF(B18=C18,Y18/C18,(INT(Y18/B18)+(((Y18-B18*INT(Y18/B18)))/C18)/100))),0,(IF(B18=C18,Y18/C18,(INT(Y18/B18)+(((Y18-B18*INT(Y18/B18)))/C18)/100))))</f>
        <v>0</v>
      </c>
      <c r="BL18" s="57">
        <f>IF(ISERROR(IF(B18=C18,AA18/C18,(INT(AA18/B18)+(((AA18-B18*INT(AA18/B18)))/C18)/100))),0,(IF(B18=C18,AA18/C18,(INT(AA18/B18)+(((AA18-B18*INT(AA18/B18)))/C18)/100))))</f>
        <v>0</v>
      </c>
      <c r="BM18" s="57">
        <f>IF(ISERROR(IF(B18=C18,AB18/C18,(INT(AB18/B18)+(((AB18-B18*INT(AB18/B18)))/C18)/100))),0,(IF(B18=C18,AB18/C18,(INT(AB18/B18)+(((AB18-B18*INT(AB18/B18)))/C18)/100))))</f>
        <v>0</v>
      </c>
      <c r="BN18" s="57">
        <f>IF(ISERROR(IF(B18=C18,AC18/C18,(INT(AC18/B18)+(((AC18-B18*INT(AC18/B18)))/C18)/100))),0,(IF(B18=C18,AC18/C18,(INT(AC18/B18)+(((AC18-B18*INT(AC18/B18)))/C18)/100))))</f>
        <v>0</v>
      </c>
      <c r="BO18" s="57">
        <f>IF(ISERROR(IF(B18=C18,AD18/C18,(INT(AD18/B18)+(((AD18-B18*INT(AD18/B18)))/C18)/100))),0,(IF(B18=C18,AD18/C18,(INT(AD18/B18)+(((AD18-B18*INT(AD18/B18)))/C18)/100))))</f>
        <v>0</v>
      </c>
      <c r="BQ18" s="155"/>
    </row>
    <row r="19" spans="1:69" hidden="1" x14ac:dyDescent="0.35">
      <c r="A19" s="134"/>
      <c r="B19" s="113">
        <v>1000</v>
      </c>
      <c r="C19" s="113">
        <v>30</v>
      </c>
      <c r="D19" s="28">
        <f>SUM(AA19:AD19)</f>
        <v>0</v>
      </c>
      <c r="E19" s="113">
        <v>0</v>
      </c>
      <c r="F19" s="113">
        <v>0</v>
      </c>
      <c r="G19" s="28">
        <f>SUM(D19:F19)</f>
        <v>0</v>
      </c>
      <c r="H19" s="125">
        <v>0</v>
      </c>
      <c r="I19" s="113">
        <v>0</v>
      </c>
      <c r="J19" s="125">
        <v>0</v>
      </c>
      <c r="K19" s="113">
        <v>0</v>
      </c>
      <c r="L19" s="113">
        <v>0</v>
      </c>
      <c r="M19" s="113">
        <v>0</v>
      </c>
      <c r="N19" s="28">
        <f>G19-SUM(H19:M19)</f>
        <v>0</v>
      </c>
      <c r="O19" s="28">
        <f>SUM(V19:Y19)</f>
        <v>0</v>
      </c>
      <c r="P19" s="28">
        <f>O19-N19</f>
        <v>0</v>
      </c>
      <c r="Q19" s="61" t="str">
        <f>IF(ISERROR(P19/SUM(H19:L19)),"",P19/SUM(H19:L19))</f>
        <v/>
      </c>
      <c r="R19" s="113">
        <v>0</v>
      </c>
      <c r="S19" s="28">
        <f>IF(ISERROR(P19/C19*R19),0,(P19/C19*R19))</f>
        <v>0</v>
      </c>
      <c r="T19" s="60">
        <f>IF(ISERROR(P19/B19*AF19),0,(P19/B19*AF19))</f>
        <v>0</v>
      </c>
      <c r="V19" s="113">
        <v>0</v>
      </c>
      <c r="W19" s="113">
        <v>0</v>
      </c>
      <c r="X19" s="113">
        <v>0</v>
      </c>
      <c r="Y19" s="113">
        <v>0</v>
      </c>
      <c r="AA19" s="113">
        <v>0</v>
      </c>
      <c r="AB19" s="113">
        <v>0</v>
      </c>
      <c r="AC19" s="113">
        <v>0</v>
      </c>
      <c r="AD19" s="113">
        <v>0</v>
      </c>
      <c r="AF19" s="113">
        <v>0</v>
      </c>
      <c r="AG19" s="28">
        <f>G19-O19</f>
        <v>0</v>
      </c>
      <c r="AH19" s="58">
        <f>IF(ISERROR(AG19/B19*AF19),0,(AG19/B19*AF19))</f>
        <v>0</v>
      </c>
      <c r="AI19" s="28">
        <f>SUM(H19:M19)</f>
        <v>0</v>
      </c>
      <c r="AJ19" s="28">
        <f>IF(ISERROR(AI19/B19*AF19),0,(AI19/B19*AF19))</f>
        <v>0</v>
      </c>
      <c r="AK19" s="58">
        <f>IF(ISERROR(O19/B19*AF19),0,(O19/B19*AF19))</f>
        <v>0</v>
      </c>
      <c r="AL19" s="28">
        <f>IF(ISERROR(H19/B19*AF19),0,(H19/B19*AF19))</f>
        <v>0</v>
      </c>
      <c r="AN19" s="51">
        <f>A19</f>
        <v>0</v>
      </c>
      <c r="AO19" s="57">
        <f>IF(ISERROR(IF(B19=C19,D19/C19,(INT(D19/B19)+(((D19-B19*INT(D19/B19)))/C19)/100))),0,(IF(B19=C19,D19/C19,(INT(D19/B19)+(((D19-B19*INT(D19/B19)))/C19)/100))))</f>
        <v>0</v>
      </c>
      <c r="AP19" s="57">
        <f>IF(ISERROR(IF(B19=C19,E19/C19,(INT(E19/B19)+(((E19-B19*INT(E19/B19)))/C19)/100))),0,(IF(B19=C19,E19/C19,(INT(E19/B19)+(((E19-B19*INT(E19/B19)))/C19)/100))))</f>
        <v>0</v>
      </c>
      <c r="AQ19" s="57">
        <f>IF(ISERROR(IF(B19=C19,F19/C19,IF((INT(F19/B19)+(((F19-B19*INT(F19/B19)))/C19)/100)&lt;0,(INT(F19/B19)+(((F19-B19*INT(F19/B19)))/C19)/100)+(1-(B19/C19/100)),(INT(F19/B19)+(((F19-B19*INT(F19/B19)))/C19)/100)))),0,IF(B19=C19,F19/C19,IF((INT(F19/B19)+(((F19-B19*INT(F19/B19)))/C19)/100)&lt;0,(INT(F19/B19)+(((F19-B19*INT(F19/B19)))/C19)/100)+(1-(B19/C19/100)),(INT(F19/B19)+(((F19-B19*INT(F19/B19)))/C19)/100))))</f>
        <v>0</v>
      </c>
      <c r="AR19" s="57">
        <f>IF(ISERROR(IF(B19=C19,G19/C19,(INT(G19/B19)+(((G19-B19*INT(G19/B19)))/C19)/100))),0,(IF(B19=C19,G19/C19,(INT(G19/B19)+(((G19-B19*INT(G19/B19)))/C19)/100))))</f>
        <v>0</v>
      </c>
      <c r="AS19" s="57">
        <f>IF(ISERROR(IF(B19=C19,H19/C19,(INT(H19/B19)+(((H19-B19*INT(H19/B19)))/C19)/100))),0,(IF(B19=C19,H19/C19,(INT(H19/B19)+(((H19-B19*INT(H19/B19)))/C19)/100))))</f>
        <v>0</v>
      </c>
      <c r="AT19" s="57">
        <f>IF(ISERROR(IF(B19=C19,I19/C19,(INT(I19/B19)+(((I19-B19*INT(I19/B19)))/C19)/100))),0,(IF(B19=C19,I19/C19,(INT(I19/B19)+(((I19-B19*INT(I19/B19)))/C19)/100))))</f>
        <v>0</v>
      </c>
      <c r="AU19" s="57">
        <f>IF(ISERROR(IF(B19=C19,J19/C19,(INT(J19/B19)+(((J19-B19*INT(J19/B19)))/C19)/100))),0,(IF(B19=C19,J19/C19,(INT(J19/B19)+(((J19-B19*INT(J19/B19)))/C19)/100))))</f>
        <v>0</v>
      </c>
      <c r="AV19" s="57">
        <f>IF(ISERROR(IF(B19=C19,K19/C19,IF((INT(K19/B19)+(((K19-B19*INT(K19/B19)))/C19)/100)&lt;0,(INT(K19/B19)+(((K19-B19*INT(K19/B19)))/C19)/100)+(1-(B19/C19/100)),(INT(K19/B19)+(((K19-B19*INT(K19/B19)))/C19)/100)))),0,IF(B19=C19,K19/C19,IF((INT(K19/B19)+(((K19-B19*INT(K19/B19)))/C19)/100)&lt;0,(INT(K19/B19)+(((K19-B19*INT(K19/B19)))/C19)/100)+(1-(B19/C19/100)),(INT(K19/B19)+(((K19-B19*INT(K19/B19)))/C19)/100))))</f>
        <v>0</v>
      </c>
      <c r="AW19" s="57">
        <f>IF(ISERROR(IF(B19=C19,L19/C19,(INT(L19/B19)+(((L19-B19*INT(L19/B19)))/C19)/100))),0,(IF(B19=C19,L19/C19,(INT(L19/B19)+(((L19-B19*INT(L19/B19)))/C19)/100))))</f>
        <v>0</v>
      </c>
      <c r="AX19" s="57">
        <f>IF(ISERROR(IF(B19=C19,M19/C19,(INT(M19/B19)+(((M19-B19*INT(M19/B19)))/C19)/100))),0,(IF(B19=C19,M19/C19,(INT(M19/B19)+(((M19-B19*INT(M19/B19)))/C19)/100))))</f>
        <v>0</v>
      </c>
      <c r="AY19" s="57">
        <f>IF(ISERROR(IF(B19=C19,N19/C19,IF((INT(N19/B19)+(((N19-B19*INT(N19/B19)))/C19)/100)&lt;0,(INT(N19/B19)+(((N19-B19*INT(N19/B19)))/C19)/100)+(1-(B19/C19/100)),(INT(N19/B19)+(((N19-B19*INT(N19/B19)))/C19)/100)))),0,IF(B19=C19,N19/C19,IF((INT(N19/B19)+(((N19-B19*INT(N19/B19)))/C19)/100)&lt;0,(INT(N19/B19)+(((N19-B19*INT(N19/B19)))/C19)/100)+(1-(B19/C19/100)),(INT(N19/B19)+(((N19-B19*INT(N19/B19)))/C19)/100))))</f>
        <v>0</v>
      </c>
      <c r="AZ19" s="57">
        <f>IF(ISERROR(IF(B19=C19,O19/C19,(INT(O19/B19)+(((O19-B19*INT(O19/B19)))/C19)/100))),0,(IF(B19=C19,O19/C19,(INT(O19/B19)+(((O19-B19*INT(O19/B19)))/C19)/100))))</f>
        <v>0</v>
      </c>
      <c r="BA19" s="57">
        <f>IF(ISERROR(IF(B19=C19,P19/C19,IF((INT(P19/B19)+(((P19-B19*INT(P19/B19)))/C19)/100)&lt;0,(INT(P19/B19)+(((P19-B19*INT(P19/B19)))/C19)/100)+(1-(B19/C19/100)),(INT(P19/B19)+(((P19-B19*INT(P19/B19)))/C19)/100)))),0,IF(B19=C19,P19/C19,IF((INT(P19/B19)+(((P19-B19*INT(P19/B19)))/C19)/100)&lt;0,(INT(P19/B19)+(((P19-B19*INT(P19/B19)))/C19)/100)+(1-(B19/C19/100)),(INT(P19/B19)+(((P19-B19*INT(P19/B19)))/C19)/100))))</f>
        <v>0</v>
      </c>
      <c r="BB19" s="28">
        <f>R19</f>
        <v>0</v>
      </c>
      <c r="BC19" s="28">
        <f>S19</f>
        <v>0</v>
      </c>
      <c r="BD19" s="28">
        <f>AF19</f>
        <v>0</v>
      </c>
      <c r="BE19" s="28">
        <f>T19</f>
        <v>0</v>
      </c>
      <c r="BG19" s="57">
        <f>IF(ISERROR(IF(B19=C19,V19/C19,(INT(V19/B19)+(((V19-B19*INT(V19/B19)))/C19)/100))),0,(IF(B19=C19,V19/C19,(INT(V19/B19)+(((V19-B19*INT(V19/B19)))/C19)/100))))</f>
        <v>0</v>
      </c>
      <c r="BH19" s="57">
        <f>IF(ISERROR(IF(B19=C19,W19/C19,(INT(W19/B19)+(((W19-B19*INT(W19/B19)))/C19)/100))),0,(IF(B19=C19,W19/C19,(INT(W19/B19)+(((W19-B19*INT(W19/B19)))/C19)/100))))</f>
        <v>0</v>
      </c>
      <c r="BI19" s="57">
        <f>IF(ISERROR(IF(B19=C19,X19/C19,(INT(X19/B19)+(((X19-B19*INT(X19/B19)))/C19)/100))),0,(IF(B19=C19,X19/C19,(INT(X19/B19)+(((X19-B19*INT(X19/B19)))/C19)/100))))</f>
        <v>0</v>
      </c>
      <c r="BJ19" s="57">
        <f>IF(ISERROR(IF(B19=C19,Y19/C19,(INT(Y19/B19)+(((Y19-B19*INT(Y19/B19)))/C19)/100))),0,(IF(B19=C19,Y19/C19,(INT(Y19/B19)+(((Y19-B19*INT(Y19/B19)))/C19)/100))))</f>
        <v>0</v>
      </c>
      <c r="BL19" s="57">
        <f>IF(ISERROR(IF(B19=C19,AA19/C19,(INT(AA19/B19)+(((AA19-B19*INT(AA19/B19)))/C19)/100))),0,(IF(B19=C19,AA19/C19,(INT(AA19/B19)+(((AA19-B19*INT(AA19/B19)))/C19)/100))))</f>
        <v>0</v>
      </c>
      <c r="BM19" s="57">
        <f>IF(ISERROR(IF(B19=C19,AB19/C19,(INT(AB19/B19)+(((AB19-B19*INT(AB19/B19)))/C19)/100))),0,(IF(B19=C19,AB19/C19,(INT(AB19/B19)+(((AB19-B19*INT(AB19/B19)))/C19)/100))))</f>
        <v>0</v>
      </c>
      <c r="BN19" s="57">
        <f>IF(ISERROR(IF(B19=C19,AC19/C19,(INT(AC19/B19)+(((AC19-B19*INT(AC19/B19)))/C19)/100))),0,(IF(B19=C19,AC19/C19,(INT(AC19/B19)+(((AC19-B19*INT(AC19/B19)))/C19)/100))))</f>
        <v>0</v>
      </c>
      <c r="BO19" s="57">
        <f>IF(ISERROR(IF(B19=C19,AD19/C19,(INT(AD19/B19)+(((AD19-B19*INT(AD19/B19)))/C19)/100))),0,(IF(B19=C19,AD19/C19,(INT(AD19/B19)+(((AD19-B19*INT(AD19/B19)))/C19)/100))))</f>
        <v>0</v>
      </c>
      <c r="BQ19" s="155"/>
    </row>
    <row r="20" spans="1:69" hidden="1" x14ac:dyDescent="0.35">
      <c r="A20" s="134"/>
      <c r="B20" s="113">
        <v>1000</v>
      </c>
      <c r="C20" s="113">
        <v>30</v>
      </c>
      <c r="D20" s="28">
        <f>SUM(AA20:AD20)</f>
        <v>0</v>
      </c>
      <c r="E20" s="113">
        <v>0</v>
      </c>
      <c r="F20" s="113">
        <v>0</v>
      </c>
      <c r="G20" s="28">
        <f>SUM(D20:F20)</f>
        <v>0</v>
      </c>
      <c r="H20" s="125">
        <v>0</v>
      </c>
      <c r="I20" s="113">
        <v>0</v>
      </c>
      <c r="J20" s="125">
        <v>0</v>
      </c>
      <c r="K20" s="113">
        <v>0</v>
      </c>
      <c r="L20" s="113">
        <v>0</v>
      </c>
      <c r="M20" s="113">
        <v>0</v>
      </c>
      <c r="N20" s="28">
        <f>G20-SUM(H20:M20)</f>
        <v>0</v>
      </c>
      <c r="O20" s="28">
        <f>SUM(V20:Y20)</f>
        <v>0</v>
      </c>
      <c r="P20" s="28">
        <f>O20-N20</f>
        <v>0</v>
      </c>
      <c r="Q20" s="61" t="str">
        <f>IF(ISERROR(P20/SUM(H20:L20)),"",P20/SUM(H20:L20))</f>
        <v/>
      </c>
      <c r="R20" s="113">
        <v>0</v>
      </c>
      <c r="S20" s="28">
        <f>IF(ISERROR(P20/C20*R20),0,(P20/C20*R20))</f>
        <v>0</v>
      </c>
      <c r="T20" s="60">
        <f>IF(ISERROR(P20/B20*AF20),0,(P20/B20*AF20))</f>
        <v>0</v>
      </c>
      <c r="V20" s="113">
        <v>0</v>
      </c>
      <c r="W20" s="113">
        <v>0</v>
      </c>
      <c r="X20" s="113">
        <v>0</v>
      </c>
      <c r="Y20" s="113">
        <v>0</v>
      </c>
      <c r="AA20" s="113">
        <v>0</v>
      </c>
      <c r="AB20" s="113">
        <v>0</v>
      </c>
      <c r="AC20" s="113">
        <v>0</v>
      </c>
      <c r="AD20" s="113">
        <v>0</v>
      </c>
      <c r="AF20" s="113">
        <v>0</v>
      </c>
      <c r="AG20" s="28">
        <f>G20-O20</f>
        <v>0</v>
      </c>
      <c r="AH20" s="58">
        <f>IF(ISERROR(AG20/B20*AF20),0,(AG20/B20*AF20))</f>
        <v>0</v>
      </c>
      <c r="AI20" s="28">
        <f>SUM(H20:M20)</f>
        <v>0</v>
      </c>
      <c r="AJ20" s="28">
        <f>IF(ISERROR(AI20/B20*AF20),0,(AI20/B20*AF20))</f>
        <v>0</v>
      </c>
      <c r="AK20" s="58">
        <f>IF(ISERROR(O20/B20*AF20),0,(O20/B20*AF20))</f>
        <v>0</v>
      </c>
      <c r="AL20" s="28">
        <f>IF(ISERROR(H20/B20*AF20),0,(H20/B20*AF20))</f>
        <v>0</v>
      </c>
      <c r="AN20" s="51">
        <f>A20</f>
        <v>0</v>
      </c>
      <c r="AO20" s="57">
        <f>IF(ISERROR(IF(B20=C20,D20/C20,(INT(D20/B20)+(((D20-B20*INT(D20/B20)))/C20)/100))),0,(IF(B20=C20,D20/C20,(INT(D20/B20)+(((D20-B20*INT(D20/B20)))/C20)/100))))</f>
        <v>0</v>
      </c>
      <c r="AP20" s="57">
        <f>IF(ISERROR(IF(B20=C20,E20/C20,(INT(E20/B20)+(((E20-B20*INT(E20/B20)))/C20)/100))),0,(IF(B20=C20,E20/C20,(INT(E20/B20)+(((E20-B20*INT(E20/B20)))/C20)/100))))</f>
        <v>0</v>
      </c>
      <c r="AQ20" s="57">
        <f>IF(ISERROR(IF(B20=C20,F20/C20,IF((INT(F20/B20)+(((F20-B20*INT(F20/B20)))/C20)/100)&lt;0,(INT(F20/B20)+(((F20-B20*INT(F20/B20)))/C20)/100)+(1-(B20/C20/100)),(INT(F20/B20)+(((F20-B20*INT(F20/B20)))/C20)/100)))),0,IF(B20=C20,F20/C20,IF((INT(F20/B20)+(((F20-B20*INT(F20/B20)))/C20)/100)&lt;0,(INT(F20/B20)+(((F20-B20*INT(F20/B20)))/C20)/100)+(1-(B20/C20/100)),(INT(F20/B20)+(((F20-B20*INT(F20/B20)))/C20)/100))))</f>
        <v>0</v>
      </c>
      <c r="AR20" s="57">
        <f>IF(ISERROR(IF(B20=C20,G20/C20,(INT(G20/B20)+(((G20-B20*INT(G20/B20)))/C20)/100))),0,(IF(B20=C20,G20/C20,(INT(G20/B20)+(((G20-B20*INT(G20/B20)))/C20)/100))))</f>
        <v>0</v>
      </c>
      <c r="AS20" s="57">
        <f>IF(ISERROR(IF(B20=C20,H20/C20,(INT(H20/B20)+(((H20-B20*INT(H20/B20)))/C20)/100))),0,(IF(B20=C20,H20/C20,(INT(H20/B20)+(((H20-B20*INT(H20/B20)))/C20)/100))))</f>
        <v>0</v>
      </c>
      <c r="AT20" s="57">
        <f>IF(ISERROR(IF(B20=C20,I20/C20,(INT(I20/B20)+(((I20-B20*INT(I20/B20)))/C20)/100))),0,(IF(B20=C20,I20/C20,(INT(I20/B20)+(((I20-B20*INT(I20/B20)))/C20)/100))))</f>
        <v>0</v>
      </c>
      <c r="AU20" s="57">
        <f>IF(ISERROR(IF(B20=C20,J20/C20,(INT(J20/B20)+(((J20-B20*INT(J20/B20)))/C20)/100))),0,(IF(B20=C20,J20/C20,(INT(J20/B20)+(((J20-B20*INT(J20/B20)))/C20)/100))))</f>
        <v>0</v>
      </c>
      <c r="AV20" s="57">
        <f>IF(ISERROR(IF(B20=C20,K20/C20,IF((INT(K20/B20)+(((K20-B20*INT(K20/B20)))/C20)/100)&lt;0,(INT(K20/B20)+(((K20-B20*INT(K20/B20)))/C20)/100)+(1-(B20/C20/100)),(INT(K20/B20)+(((K20-B20*INT(K20/B20)))/C20)/100)))),0,IF(B20=C20,K20/C20,IF((INT(K20/B20)+(((K20-B20*INT(K20/B20)))/C20)/100)&lt;0,(INT(K20/B20)+(((K20-B20*INT(K20/B20)))/C20)/100)+(1-(B20/C20/100)),(INT(K20/B20)+(((K20-B20*INT(K20/B20)))/C20)/100))))</f>
        <v>0</v>
      </c>
      <c r="AW20" s="57">
        <f>IF(ISERROR(IF(B20=C20,L20/C20,(INT(L20/B20)+(((L20-B20*INT(L20/B20)))/C20)/100))),0,(IF(B20=C20,L20/C20,(INT(L20/B20)+(((L20-B20*INT(L20/B20)))/C20)/100))))</f>
        <v>0</v>
      </c>
      <c r="AX20" s="57">
        <f>IF(ISERROR(IF(B20=C20,M20/C20,(INT(M20/B20)+(((M20-B20*INT(M20/B20)))/C20)/100))),0,(IF(B20=C20,M20/C20,(INT(M20/B20)+(((M20-B20*INT(M20/B20)))/C20)/100))))</f>
        <v>0</v>
      </c>
      <c r="AY20" s="57">
        <f>IF(ISERROR(IF(B20=C20,N20/C20,IF((INT(N20/B20)+(((N20-B20*INT(N20/B20)))/C20)/100)&lt;0,(INT(N20/B20)+(((N20-B20*INT(N20/B20)))/C20)/100)+(1-(B20/C20/100)),(INT(N20/B20)+(((N20-B20*INT(N20/B20)))/C20)/100)))),0,IF(B20=C20,N20/C20,IF((INT(N20/B20)+(((N20-B20*INT(N20/B20)))/C20)/100)&lt;0,(INT(N20/B20)+(((N20-B20*INT(N20/B20)))/C20)/100)+(1-(B20/C20/100)),(INT(N20/B20)+(((N20-B20*INT(N20/B20)))/C20)/100))))</f>
        <v>0</v>
      </c>
      <c r="AZ20" s="57">
        <f>IF(ISERROR(IF(B20=C20,O20/C20,(INT(O20/B20)+(((O20-B20*INT(O20/B20)))/C20)/100))),0,(IF(B20=C20,O20/C20,(INT(O20/B20)+(((O20-B20*INT(O20/B20)))/C20)/100))))</f>
        <v>0</v>
      </c>
      <c r="BA20" s="57">
        <f>IF(ISERROR(IF(B20=C20,P20/C20,IF((INT(P20/B20)+(((P20-B20*INT(P20/B20)))/C20)/100)&lt;0,(INT(P20/B20)+(((P20-B20*INT(P20/B20)))/C20)/100)+(1-(B20/C20/100)),(INT(P20/B20)+(((P20-B20*INT(P20/B20)))/C20)/100)))),0,IF(B20=C20,P20/C20,IF((INT(P20/B20)+(((P20-B20*INT(P20/B20)))/C20)/100)&lt;0,(INT(P20/B20)+(((P20-B20*INT(P20/B20)))/C20)/100)+(1-(B20/C20/100)),(INT(P20/B20)+(((P20-B20*INT(P20/B20)))/C20)/100))))</f>
        <v>0</v>
      </c>
      <c r="BB20" s="28">
        <f>R20</f>
        <v>0</v>
      </c>
      <c r="BC20" s="28">
        <f>S20</f>
        <v>0</v>
      </c>
      <c r="BD20" s="28">
        <f>AF20</f>
        <v>0</v>
      </c>
      <c r="BE20" s="28">
        <f>T20</f>
        <v>0</v>
      </c>
      <c r="BG20" s="57">
        <f>IF(ISERROR(IF(B20=C20,V20/C20,(INT(V20/B20)+(((V20-B20*INT(V20/B20)))/C20)/100))),0,(IF(B20=C20,V20/C20,(INT(V20/B20)+(((V20-B20*INT(V20/B20)))/C20)/100))))</f>
        <v>0</v>
      </c>
      <c r="BH20" s="57">
        <f>IF(ISERROR(IF(B20=C20,W20/C20,(INT(W20/B20)+(((W20-B20*INT(W20/B20)))/C20)/100))),0,(IF(B20=C20,W20/C20,(INT(W20/B20)+(((W20-B20*INT(W20/B20)))/C20)/100))))</f>
        <v>0</v>
      </c>
      <c r="BI20" s="57">
        <f>IF(ISERROR(IF(B20=C20,X20/C20,(INT(X20/B20)+(((X20-B20*INT(X20/B20)))/C20)/100))),0,(IF(B20=C20,X20/C20,(INT(X20/B20)+(((X20-B20*INT(X20/B20)))/C20)/100))))</f>
        <v>0</v>
      </c>
      <c r="BJ20" s="57">
        <f>IF(ISERROR(IF(B20=C20,Y20/C20,(INT(Y20/B20)+(((Y20-B20*INT(Y20/B20)))/C20)/100))),0,(IF(B20=C20,Y20/C20,(INT(Y20/B20)+(((Y20-B20*INT(Y20/B20)))/C20)/100))))</f>
        <v>0</v>
      </c>
      <c r="BL20" s="57">
        <f>IF(ISERROR(IF(B20=C20,AA20/C20,(INT(AA20/B20)+(((AA20-B20*INT(AA20/B20)))/C20)/100))),0,(IF(B20=C20,AA20/C20,(INT(AA20/B20)+(((AA20-B20*INT(AA20/B20)))/C20)/100))))</f>
        <v>0</v>
      </c>
      <c r="BM20" s="57">
        <f>IF(ISERROR(IF(B20=C20,AB20/C20,(INT(AB20/B20)+(((AB20-B20*INT(AB20/B20)))/C20)/100))),0,(IF(B20=C20,AB20/C20,(INT(AB20/B20)+(((AB20-B20*INT(AB20/B20)))/C20)/100))))</f>
        <v>0</v>
      </c>
      <c r="BN20" s="57">
        <f>IF(ISERROR(IF(B20=C20,AC20/C20,(INT(AC20/B20)+(((AC20-B20*INT(AC20/B20)))/C20)/100))),0,(IF(B20=C20,AC20/C20,(INT(AC20/B20)+(((AC20-B20*INT(AC20/B20)))/C20)/100))))</f>
        <v>0</v>
      </c>
      <c r="BO20" s="57">
        <f>IF(ISERROR(IF(B20=C20,AD20/C20,(INT(AD20/B20)+(((AD20-B20*INT(AD20/B20)))/C20)/100))),0,(IF(B20=C20,AD20/C20,(INT(AD20/B20)+(((AD20-B20*INT(AD20/B20)))/C20)/100))))</f>
        <v>0</v>
      </c>
      <c r="BQ20" s="155"/>
    </row>
    <row r="21" spans="1:69" hidden="1" x14ac:dyDescent="0.35">
      <c r="A21" s="94"/>
      <c r="B21" s="113">
        <v>1000</v>
      </c>
      <c r="C21" s="113">
        <v>30</v>
      </c>
      <c r="D21" s="28">
        <f>SUM(AA21:AD21)</f>
        <v>0</v>
      </c>
      <c r="E21" s="113">
        <v>0</v>
      </c>
      <c r="F21" s="113">
        <v>0</v>
      </c>
      <c r="G21" s="28">
        <f>SUM(D21:F21)</f>
        <v>0</v>
      </c>
      <c r="H21" s="125">
        <v>0</v>
      </c>
      <c r="I21" s="113">
        <v>0</v>
      </c>
      <c r="J21" s="125">
        <v>0</v>
      </c>
      <c r="K21" s="113">
        <v>0</v>
      </c>
      <c r="L21" s="113">
        <v>0</v>
      </c>
      <c r="M21" s="113">
        <v>0</v>
      </c>
      <c r="N21" s="28">
        <f>G21-SUM(H21:M21)</f>
        <v>0</v>
      </c>
      <c r="O21" s="28">
        <f>SUM(V21:Y21)</f>
        <v>0</v>
      </c>
      <c r="P21" s="28">
        <f>O21-N21</f>
        <v>0</v>
      </c>
      <c r="Q21" s="61" t="str">
        <f>IF(ISERROR(P21/SUM(H21:L21)),"",P21/SUM(H21:L21))</f>
        <v/>
      </c>
      <c r="R21" s="113">
        <v>0</v>
      </c>
      <c r="S21" s="28">
        <f>IF(ISERROR(P21/C21*R21),0,(P21/C21*R21))</f>
        <v>0</v>
      </c>
      <c r="T21" s="60">
        <f>IF(ISERROR(P21/B21*AF21),0,(P21/B21*AF21))</f>
        <v>0</v>
      </c>
      <c r="V21" s="113">
        <v>0</v>
      </c>
      <c r="W21" s="113">
        <v>0</v>
      </c>
      <c r="X21" s="113">
        <v>0</v>
      </c>
      <c r="Y21" s="113">
        <v>0</v>
      </c>
      <c r="AA21" s="113">
        <v>0</v>
      </c>
      <c r="AB21" s="113">
        <v>0</v>
      </c>
      <c r="AC21" s="113">
        <v>0</v>
      </c>
      <c r="AD21" s="113">
        <v>0</v>
      </c>
      <c r="AF21" s="113">
        <v>0</v>
      </c>
      <c r="AG21" s="28">
        <f>G21-O21</f>
        <v>0</v>
      </c>
      <c r="AH21" s="58">
        <f>IF(ISERROR(AG21/B21*AF21),0,(AG21/B21*AF21))</f>
        <v>0</v>
      </c>
      <c r="AI21" s="28">
        <f>SUM(H21:M21)</f>
        <v>0</v>
      </c>
      <c r="AJ21" s="28">
        <f>IF(ISERROR(AI21/B21*AF21),0,(AI21/B21*AF21))</f>
        <v>0</v>
      </c>
      <c r="AK21" s="58">
        <f>IF(ISERROR(O21/B21*AF21),0,(O21/B21*AF21))</f>
        <v>0</v>
      </c>
      <c r="AL21" s="28">
        <f>IF(ISERROR(H21/B21*AF21),0,(H21/B21*AF21))</f>
        <v>0</v>
      </c>
      <c r="AN21" s="51">
        <f>A21</f>
        <v>0</v>
      </c>
      <c r="AO21" s="57">
        <f>IF(ISERROR(IF(B21=C21,D21/C21,(INT(D21/B21)+(((D21-B21*INT(D21/B21)))/C21)/100))),0,(IF(B21=C21,D21/C21,(INT(D21/B21)+(((D21-B21*INT(D21/B21)))/C21)/100))))</f>
        <v>0</v>
      </c>
      <c r="AP21" s="57">
        <f>IF(ISERROR(IF(B21=C21,E21/C21,(INT(E21/B21)+(((E21-B21*INT(E21/B21)))/C21)/100))),0,(IF(B21=C21,E21/C21,(INT(E21/B21)+(((E21-B21*INT(E21/B21)))/C21)/100))))</f>
        <v>0</v>
      </c>
      <c r="AQ21" s="57">
        <f>IF(ISERROR(IF(B21=C21,F21/C21,IF((INT(F21/B21)+(((F21-B21*INT(F21/B21)))/C21)/100)&lt;0,(INT(F21/B21)+(((F21-B21*INT(F21/B21)))/C21)/100)+(1-(B21/C21/100)),(INT(F21/B21)+(((F21-B21*INT(F21/B21)))/C21)/100)))),0,IF(B21=C21,F21/C21,IF((INT(F21/B21)+(((F21-B21*INT(F21/B21)))/C21)/100)&lt;0,(INT(F21/B21)+(((F21-B21*INT(F21/B21)))/C21)/100)+(1-(B21/C21/100)),(INT(F21/B21)+(((F21-B21*INT(F21/B21)))/C21)/100))))</f>
        <v>0</v>
      </c>
      <c r="AR21" s="57">
        <f>IF(ISERROR(IF(B21=C21,G21/C21,(INT(G21/B21)+(((G21-B21*INT(G21/B21)))/C21)/100))),0,(IF(B21=C21,G21/C21,(INT(G21/B21)+(((G21-B21*INT(G21/B21)))/C21)/100))))</f>
        <v>0</v>
      </c>
      <c r="AS21" s="57">
        <f>IF(ISERROR(IF(B21=C21,H21/C21,(INT(H21/B21)+(((H21-B21*INT(H21/B21)))/C21)/100))),0,(IF(B21=C21,H21/C21,(INT(H21/B21)+(((H21-B21*INT(H21/B21)))/C21)/100))))</f>
        <v>0</v>
      </c>
      <c r="AT21" s="57">
        <f>IF(ISERROR(IF(B21=C21,I21/C21,(INT(I21/B21)+(((I21-B21*INT(I21/B21)))/C21)/100))),0,(IF(B21=C21,I21/C21,(INT(I21/B21)+(((I21-B21*INT(I21/B21)))/C21)/100))))</f>
        <v>0</v>
      </c>
      <c r="AU21" s="57">
        <f>IF(ISERROR(IF(B21=C21,J21/C21,(INT(J21/B21)+(((J21-B21*INT(J21/B21)))/C21)/100))),0,(IF(B21=C21,J21/C21,(INT(J21/B21)+(((J21-B21*INT(J21/B21)))/C21)/100))))</f>
        <v>0</v>
      </c>
      <c r="AV21" s="57">
        <f>IF(ISERROR(IF(B21=C21,K21/C21,IF((INT(K21/B21)+(((K21-B21*INT(K21/B21)))/C21)/100)&lt;0,(INT(K21/B21)+(((K21-B21*INT(K21/B21)))/C21)/100)+(1-(B21/C21/100)),(INT(K21/B21)+(((K21-B21*INT(K21/B21)))/C21)/100)))),0,IF(B21=C21,K21/C21,IF((INT(K21/B21)+(((K21-B21*INT(K21/B21)))/C21)/100)&lt;0,(INT(K21/B21)+(((K21-B21*INT(K21/B21)))/C21)/100)+(1-(B21/C21/100)),(INT(K21/B21)+(((K21-B21*INT(K21/B21)))/C21)/100))))</f>
        <v>0</v>
      </c>
      <c r="AW21" s="57">
        <f>IF(ISERROR(IF(B21=C21,L21/C21,(INT(L21/B21)+(((L21-B21*INT(L21/B21)))/C21)/100))),0,(IF(B21=C21,L21/C21,(INT(L21/B21)+(((L21-B21*INT(L21/B21)))/C21)/100))))</f>
        <v>0</v>
      </c>
      <c r="AX21" s="57">
        <f>IF(ISERROR(IF(B21=C21,M21/C21,(INT(M21/B21)+(((M21-B21*INT(M21/B21)))/C21)/100))),0,(IF(B21=C21,M21/C21,(INT(M21/B21)+(((M21-B21*INT(M21/B21)))/C21)/100))))</f>
        <v>0</v>
      </c>
      <c r="AY21" s="57">
        <f>IF(ISERROR(IF(B21=C21,N21/C21,IF((INT(N21/B21)+(((N21-B21*INT(N21/B21)))/C21)/100)&lt;0,(INT(N21/B21)+(((N21-B21*INT(N21/B21)))/C21)/100)+(1-(B21/C21/100)),(INT(N21/B21)+(((N21-B21*INT(N21/B21)))/C21)/100)))),0,IF(B21=C21,N21/C21,IF((INT(N21/B21)+(((N21-B21*INT(N21/B21)))/C21)/100)&lt;0,(INT(N21/B21)+(((N21-B21*INT(N21/B21)))/C21)/100)+(1-(B21/C21/100)),(INT(N21/B21)+(((N21-B21*INT(N21/B21)))/C21)/100))))</f>
        <v>0</v>
      </c>
      <c r="AZ21" s="57">
        <f>IF(ISERROR(IF(B21=C21,O21/C21,(INT(O21/B21)+(((O21-B21*INT(O21/B21)))/C21)/100))),0,(IF(B21=C21,O21/C21,(INT(O21/B21)+(((O21-B21*INT(O21/B21)))/C21)/100))))</f>
        <v>0</v>
      </c>
      <c r="BA21" s="57">
        <f>IF(ISERROR(IF(B21=C21,P21/C21,IF((INT(P21/B21)+(((P21-B21*INT(P21/B21)))/C21)/100)&lt;0,(INT(P21/B21)+(((P21-B21*INT(P21/B21)))/C21)/100)+(1-(B21/C21/100)),(INT(P21/B21)+(((P21-B21*INT(P21/B21)))/C21)/100)))),0,IF(B21=C21,P21/C21,IF((INT(P21/B21)+(((P21-B21*INT(P21/B21)))/C21)/100)&lt;0,(INT(P21/B21)+(((P21-B21*INT(P21/B21)))/C21)/100)+(1-(B21/C21/100)),(INT(P21/B21)+(((P21-B21*INT(P21/B21)))/C21)/100))))</f>
        <v>0</v>
      </c>
      <c r="BB21" s="28">
        <f>R21</f>
        <v>0</v>
      </c>
      <c r="BC21" s="28">
        <f>S21</f>
        <v>0</v>
      </c>
      <c r="BD21" s="28">
        <f>AF21</f>
        <v>0</v>
      </c>
      <c r="BE21" s="28">
        <f>T21</f>
        <v>0</v>
      </c>
      <c r="BG21" s="57">
        <f>IF(ISERROR(IF(B21=C21,V21/C21,(INT(V21/B21)+(((V21-B21*INT(V21/B21)))/C21)/100))),0,(IF(B21=C21,V21/C21,(INT(V21/B21)+(((V21-B21*INT(V21/B21)))/C21)/100))))</f>
        <v>0</v>
      </c>
      <c r="BH21" s="57">
        <f>IF(ISERROR(IF(B21=C21,W21/C21,(INT(W21/B21)+(((W21-B21*INT(W21/B21)))/C21)/100))),0,(IF(B21=C21,W21/C21,(INT(W21/B21)+(((W21-B21*INT(W21/B21)))/C21)/100))))</f>
        <v>0</v>
      </c>
      <c r="BI21" s="57">
        <f>IF(ISERROR(IF(B21=C21,X21/C21,(INT(X21/B21)+(((X21-B21*INT(X21/B21)))/C21)/100))),0,(IF(B21=C21,X21/C21,(INT(X21/B21)+(((X21-B21*INT(X21/B21)))/C21)/100))))</f>
        <v>0</v>
      </c>
      <c r="BJ21" s="57">
        <f>IF(ISERROR(IF(B21=C21,Y21/C21,(INT(Y21/B21)+(((Y21-B21*INT(Y21/B21)))/C21)/100))),0,(IF(B21=C21,Y21/C21,(INT(Y21/B21)+(((Y21-B21*INT(Y21/B21)))/C21)/100))))</f>
        <v>0</v>
      </c>
      <c r="BL21" s="57">
        <f>IF(ISERROR(IF(B21=C21,AA21/C21,(INT(AA21/B21)+(((AA21-B21*INT(AA21/B21)))/C21)/100))),0,(IF(B21=C21,AA21/C21,(INT(AA21/B21)+(((AA21-B21*INT(AA21/B21)))/C21)/100))))</f>
        <v>0</v>
      </c>
      <c r="BM21" s="57">
        <f>IF(ISERROR(IF(B21=C21,AB21/C21,(INT(AB21/B21)+(((AB21-B21*INT(AB21/B21)))/C21)/100))),0,(IF(B21=C21,AB21/C21,(INT(AB21/B21)+(((AB21-B21*INT(AB21/B21)))/C21)/100))))</f>
        <v>0</v>
      </c>
      <c r="BN21" s="57">
        <f>IF(ISERROR(IF(B21=C21,AC21/C21,(INT(AC21/B21)+(((AC21-B21*INT(AC21/B21)))/C21)/100))),0,(IF(B21=C21,AC21/C21,(INT(AC21/B21)+(((AC21-B21*INT(AC21/B21)))/C21)/100))))</f>
        <v>0</v>
      </c>
      <c r="BO21" s="57">
        <f>IF(ISERROR(IF(B21=C21,AD21/C21,(INT(AD21/B21)+(((AD21-B21*INT(AD21/B21)))/C21)/100))),0,(IF(B21=C21,AD21/C21,(INT(AD21/B21)+(((AD21-B21*INT(AD21/B21)))/C21)/100))))</f>
        <v>0</v>
      </c>
      <c r="BQ21" s="155"/>
    </row>
    <row r="22" spans="1:69" hidden="1" x14ac:dyDescent="0.35">
      <c r="A22" s="94"/>
      <c r="B22" s="113">
        <v>1000</v>
      </c>
      <c r="C22" s="113">
        <v>30</v>
      </c>
      <c r="D22" s="28">
        <f>SUM(AA22:AD22)</f>
        <v>0</v>
      </c>
      <c r="E22" s="113">
        <v>0</v>
      </c>
      <c r="F22" s="113">
        <v>0</v>
      </c>
      <c r="G22" s="28">
        <f>SUM(D22:F22)</f>
        <v>0</v>
      </c>
      <c r="H22" s="125">
        <v>0</v>
      </c>
      <c r="I22" s="113">
        <v>0</v>
      </c>
      <c r="J22" s="125">
        <v>0</v>
      </c>
      <c r="K22" s="113">
        <v>0</v>
      </c>
      <c r="L22" s="113">
        <v>0</v>
      </c>
      <c r="M22" s="113">
        <v>0</v>
      </c>
      <c r="N22" s="28">
        <f>G22-SUM(H22:M22)</f>
        <v>0</v>
      </c>
      <c r="O22" s="28">
        <f>SUM(V22:Y22)</f>
        <v>0</v>
      </c>
      <c r="P22" s="28">
        <f>O22-N22</f>
        <v>0</v>
      </c>
      <c r="Q22" s="61" t="str">
        <f>IF(ISERROR(P22/SUM(H22:L22)),"",P22/SUM(H22:L22))</f>
        <v/>
      </c>
      <c r="R22" s="113">
        <v>0</v>
      </c>
      <c r="S22" s="28">
        <f>IF(ISERROR(P22/C22*R22),0,(P22/C22*R22))</f>
        <v>0</v>
      </c>
      <c r="T22" s="60">
        <f>IF(ISERROR(P22/B22*AF22),0,(P22/B22*AF22))</f>
        <v>0</v>
      </c>
      <c r="V22" s="113">
        <v>0</v>
      </c>
      <c r="W22" s="113">
        <v>0</v>
      </c>
      <c r="X22" s="113">
        <v>0</v>
      </c>
      <c r="Y22" s="113">
        <v>0</v>
      </c>
      <c r="AA22" s="113">
        <v>0</v>
      </c>
      <c r="AB22" s="113">
        <v>0</v>
      </c>
      <c r="AC22" s="113">
        <v>0</v>
      </c>
      <c r="AD22" s="113">
        <v>0</v>
      </c>
      <c r="AF22" s="113">
        <v>0</v>
      </c>
      <c r="AG22" s="28">
        <f>G22-O22</f>
        <v>0</v>
      </c>
      <c r="AH22" s="58">
        <f>IF(ISERROR(AG22/B22*AF22),0,(AG22/B22*AF22))</f>
        <v>0</v>
      </c>
      <c r="AI22" s="28">
        <f>SUM(H22:M22)</f>
        <v>0</v>
      </c>
      <c r="AJ22" s="28">
        <f>IF(ISERROR(AI22/B22*AF22),0,(AI22/B22*AF22))</f>
        <v>0</v>
      </c>
      <c r="AK22" s="58">
        <f>IF(ISERROR(O22/B22*AF22),0,(O22/B22*AF22))</f>
        <v>0</v>
      </c>
      <c r="AL22" s="28">
        <f>IF(ISERROR(H22/B22*AF22),0,(H22/B22*AF22))</f>
        <v>0</v>
      </c>
      <c r="AN22" s="51">
        <f>A22</f>
        <v>0</v>
      </c>
      <c r="AO22" s="57">
        <f>IF(ISERROR(IF(B22=C22,D22/C22,(INT(D22/B22)+(((D22-B22*INT(D22/B22)))/C22)/100))),0,(IF(B22=C22,D22/C22,(INT(D22/B22)+(((D22-B22*INT(D22/B22)))/C22)/100))))</f>
        <v>0</v>
      </c>
      <c r="AP22" s="57">
        <f>IF(ISERROR(IF(B22=C22,E22/C22,(INT(E22/B22)+(((E22-B22*INT(E22/B22)))/C22)/100))),0,(IF(B22=C22,E22/C22,(INT(E22/B22)+(((E22-B22*INT(E22/B22)))/C22)/100))))</f>
        <v>0</v>
      </c>
      <c r="AQ22" s="57">
        <f>IF(ISERROR(IF(B22=C22,F22/C22,IF((INT(F22/B22)+(((F22-B22*INT(F22/B22)))/C22)/100)&lt;0,(INT(F22/B22)+(((F22-B22*INT(F22/B22)))/C22)/100)+(1-(B22/C22/100)),(INT(F22/B22)+(((F22-B22*INT(F22/B22)))/C22)/100)))),0,IF(B22=C22,F22/C22,IF((INT(F22/B22)+(((F22-B22*INT(F22/B22)))/C22)/100)&lt;0,(INT(F22/B22)+(((F22-B22*INT(F22/B22)))/C22)/100)+(1-(B22/C22/100)),(INT(F22/B22)+(((F22-B22*INT(F22/B22)))/C22)/100))))</f>
        <v>0</v>
      </c>
      <c r="AR22" s="57">
        <f>IF(ISERROR(IF(B22=C22,G22/C22,(INT(G22/B22)+(((G22-B22*INT(G22/B22)))/C22)/100))),0,(IF(B22=C22,G22/C22,(INT(G22/B22)+(((G22-B22*INT(G22/B22)))/C22)/100))))</f>
        <v>0</v>
      </c>
      <c r="AS22" s="57">
        <f>IF(ISERROR(IF(B22=C22,H22/C22,(INT(H22/B22)+(((H22-B22*INT(H22/B22)))/C22)/100))),0,(IF(B22=C22,H22/C22,(INT(H22/B22)+(((H22-B22*INT(H22/B22)))/C22)/100))))</f>
        <v>0</v>
      </c>
      <c r="AT22" s="57">
        <f>IF(ISERROR(IF(B22=C22,I22/C22,(INT(I22/B22)+(((I22-B22*INT(I22/B22)))/C22)/100))),0,(IF(B22=C22,I22/C22,(INT(I22/B22)+(((I22-B22*INT(I22/B22)))/C22)/100))))</f>
        <v>0</v>
      </c>
      <c r="AU22" s="57">
        <f>IF(ISERROR(IF(B22=C22,J22/C22,(INT(J22/B22)+(((J22-B22*INT(J22/B22)))/C22)/100))),0,(IF(B22=C22,J22/C22,(INT(J22/B22)+(((J22-B22*INT(J22/B22)))/C22)/100))))</f>
        <v>0</v>
      </c>
      <c r="AV22" s="57">
        <f>IF(ISERROR(IF(B22=C22,K22/C22,IF((INT(K22/B22)+(((K22-B22*INT(K22/B22)))/C22)/100)&lt;0,(INT(K22/B22)+(((K22-B22*INT(K22/B22)))/C22)/100)+(1-(B22/C22/100)),(INT(K22/B22)+(((K22-B22*INT(K22/B22)))/C22)/100)))),0,IF(B22=C22,K22/C22,IF((INT(K22/B22)+(((K22-B22*INT(K22/B22)))/C22)/100)&lt;0,(INT(K22/B22)+(((K22-B22*INT(K22/B22)))/C22)/100)+(1-(B22/C22/100)),(INT(K22/B22)+(((K22-B22*INT(K22/B22)))/C22)/100))))</f>
        <v>0</v>
      </c>
      <c r="AW22" s="57">
        <f>IF(ISERROR(IF(B22=C22,L22/C22,(INT(L22/B22)+(((L22-B22*INT(L22/B22)))/C22)/100))),0,(IF(B22=C22,L22/C22,(INT(L22/B22)+(((L22-B22*INT(L22/B22)))/C22)/100))))</f>
        <v>0</v>
      </c>
      <c r="AX22" s="57">
        <f>IF(ISERROR(IF(B22=C22,M22/C22,(INT(M22/B22)+(((M22-B22*INT(M22/B22)))/C22)/100))),0,(IF(B22=C22,M22/C22,(INT(M22/B22)+(((M22-B22*INT(M22/B22)))/C22)/100))))</f>
        <v>0</v>
      </c>
      <c r="AY22" s="57">
        <f>IF(ISERROR(IF(B22=C22,N22/C22,IF((INT(N22/B22)+(((N22-B22*INT(N22/B22)))/C22)/100)&lt;0,(INT(N22/B22)+(((N22-B22*INT(N22/B22)))/C22)/100)+(1-(B22/C22/100)),(INT(N22/B22)+(((N22-B22*INT(N22/B22)))/C22)/100)))),0,IF(B22=C22,N22/C22,IF((INT(N22/B22)+(((N22-B22*INT(N22/B22)))/C22)/100)&lt;0,(INT(N22/B22)+(((N22-B22*INT(N22/B22)))/C22)/100)+(1-(B22/C22/100)),(INT(N22/B22)+(((N22-B22*INT(N22/B22)))/C22)/100))))</f>
        <v>0</v>
      </c>
      <c r="AZ22" s="57">
        <f>IF(ISERROR(IF(B22=C22,O22/C22,(INT(O22/B22)+(((O22-B22*INT(O22/B22)))/C22)/100))),0,(IF(B22=C22,O22/C22,(INT(O22/B22)+(((O22-B22*INT(O22/B22)))/C22)/100))))</f>
        <v>0</v>
      </c>
      <c r="BA22" s="57">
        <f>IF(ISERROR(IF(B22=C22,P22/C22,IF((INT(P22/B22)+(((P22-B22*INT(P22/B22)))/C22)/100)&lt;0,(INT(P22/B22)+(((P22-B22*INT(P22/B22)))/C22)/100)+(1-(B22/C22/100)),(INT(P22/B22)+(((P22-B22*INT(P22/B22)))/C22)/100)))),0,IF(B22=C22,P22/C22,IF((INT(P22/B22)+(((P22-B22*INT(P22/B22)))/C22)/100)&lt;0,(INT(P22/B22)+(((P22-B22*INT(P22/B22)))/C22)/100)+(1-(B22/C22/100)),(INT(P22/B22)+(((P22-B22*INT(P22/B22)))/C22)/100))))</f>
        <v>0</v>
      </c>
      <c r="BB22" s="28">
        <f>R22</f>
        <v>0</v>
      </c>
      <c r="BC22" s="28">
        <f>S22</f>
        <v>0</v>
      </c>
      <c r="BD22" s="28">
        <f>AF22</f>
        <v>0</v>
      </c>
      <c r="BE22" s="28">
        <f>T22</f>
        <v>0</v>
      </c>
      <c r="BG22" s="57">
        <f>IF(ISERROR(IF(B22=C22,V22/C22,(INT(V22/B22)+(((V22-B22*INT(V22/B22)))/C22)/100))),0,(IF(B22=C22,V22/C22,(INT(V22/B22)+(((V22-B22*INT(V22/B22)))/C22)/100))))</f>
        <v>0</v>
      </c>
      <c r="BH22" s="57">
        <f>IF(ISERROR(IF(B22=C22,W22/C22,(INT(W22/B22)+(((W22-B22*INT(W22/B22)))/C22)/100))),0,(IF(B22=C22,W22/C22,(INT(W22/B22)+(((W22-B22*INT(W22/B22)))/C22)/100))))</f>
        <v>0</v>
      </c>
      <c r="BI22" s="57">
        <f>IF(ISERROR(IF(B22=C22,X22/C22,(INT(X22/B22)+(((X22-B22*INT(X22/B22)))/C22)/100))),0,(IF(B22=C22,X22/C22,(INT(X22/B22)+(((X22-B22*INT(X22/B22)))/C22)/100))))</f>
        <v>0</v>
      </c>
      <c r="BJ22" s="57">
        <f>IF(ISERROR(IF(B22=C22,Y22/C22,(INT(Y22/B22)+(((Y22-B22*INT(Y22/B22)))/C22)/100))),0,(IF(B22=C22,Y22/C22,(INT(Y22/B22)+(((Y22-B22*INT(Y22/B22)))/C22)/100))))</f>
        <v>0</v>
      </c>
      <c r="BL22" s="57">
        <f>IF(ISERROR(IF(B22=C22,AA22/C22,(INT(AA22/B22)+(((AA22-B22*INT(AA22/B22)))/C22)/100))),0,(IF(B22=C22,AA22/C22,(INT(AA22/B22)+(((AA22-B22*INT(AA22/B22)))/C22)/100))))</f>
        <v>0</v>
      </c>
      <c r="BM22" s="57">
        <f>IF(ISERROR(IF(B22=C22,AB22/C22,(INT(AB22/B22)+(((AB22-B22*INT(AB22/B22)))/C22)/100))),0,(IF(B22=C22,AB22/C22,(INT(AB22/B22)+(((AB22-B22*INT(AB22/B22)))/C22)/100))))</f>
        <v>0</v>
      </c>
      <c r="BN22" s="57">
        <f>IF(ISERROR(IF(B22=C22,AC22/C22,(INT(AC22/B22)+(((AC22-B22*INT(AC22/B22)))/C22)/100))),0,(IF(B22=C22,AC22/C22,(INT(AC22/B22)+(((AC22-B22*INT(AC22/B22)))/C22)/100))))</f>
        <v>0</v>
      </c>
      <c r="BO22" s="57">
        <f>IF(ISERROR(IF(B22=C22,AD22/C22,(INT(AD22/B22)+(((AD22-B22*INT(AD22/B22)))/C22)/100))),0,(IF(B22=C22,AD22/C22,(INT(AD22/B22)+(((AD22-B22*INT(AD22/B22)))/C22)/100))))</f>
        <v>0</v>
      </c>
      <c r="BQ22" s="155"/>
    </row>
    <row r="23" spans="1:69" hidden="1" x14ac:dyDescent="0.35">
      <c r="A23" s="94"/>
      <c r="B23" s="113">
        <v>1000</v>
      </c>
      <c r="C23" s="113">
        <v>30</v>
      </c>
      <c r="D23" s="28">
        <f>SUM(AA23:AD23)</f>
        <v>0</v>
      </c>
      <c r="E23" s="113">
        <v>0</v>
      </c>
      <c r="F23" s="113">
        <v>0</v>
      </c>
      <c r="G23" s="28">
        <f>SUM(D23:F23)</f>
        <v>0</v>
      </c>
      <c r="H23" s="125">
        <v>0</v>
      </c>
      <c r="I23" s="113">
        <v>0</v>
      </c>
      <c r="J23" s="125">
        <v>0</v>
      </c>
      <c r="K23" s="113">
        <v>0</v>
      </c>
      <c r="L23" s="113">
        <v>0</v>
      </c>
      <c r="M23" s="113">
        <v>0</v>
      </c>
      <c r="N23" s="28">
        <f>G23-SUM(H23:M23)</f>
        <v>0</v>
      </c>
      <c r="O23" s="28">
        <f>SUM(V23:Y23)</f>
        <v>0</v>
      </c>
      <c r="P23" s="28">
        <f>O23-N23</f>
        <v>0</v>
      </c>
      <c r="Q23" s="61" t="str">
        <f>IF(ISERROR(P23/SUM(H23:L23)),"",P23/SUM(H23:L23))</f>
        <v/>
      </c>
      <c r="R23" s="113">
        <v>0</v>
      </c>
      <c r="S23" s="28">
        <f>IF(ISERROR(P23/C23*R23),0,(P23/C23*R23))</f>
        <v>0</v>
      </c>
      <c r="T23" s="60">
        <f>IF(ISERROR(P23/B23*AF23),0,(P23/B23*AF23))</f>
        <v>0</v>
      </c>
      <c r="V23" s="113">
        <v>0</v>
      </c>
      <c r="W23" s="113">
        <v>0</v>
      </c>
      <c r="X23" s="113">
        <v>0</v>
      </c>
      <c r="Y23" s="113">
        <v>0</v>
      </c>
      <c r="AA23" s="113">
        <v>0</v>
      </c>
      <c r="AB23" s="113">
        <v>0</v>
      </c>
      <c r="AC23" s="113">
        <v>0</v>
      </c>
      <c r="AD23" s="113">
        <v>0</v>
      </c>
      <c r="AF23" s="113">
        <v>0</v>
      </c>
      <c r="AG23" s="28">
        <f>G23-O23</f>
        <v>0</v>
      </c>
      <c r="AH23" s="58">
        <f>IF(ISERROR(AG23/B23*AF23),0,(AG23/B23*AF23))</f>
        <v>0</v>
      </c>
      <c r="AI23" s="28">
        <f>SUM(H23:M23)</f>
        <v>0</v>
      </c>
      <c r="AJ23" s="28">
        <f>IF(ISERROR(AI23/B23*AF23),0,(AI23/B23*AF23))</f>
        <v>0</v>
      </c>
      <c r="AK23" s="58">
        <f>IF(ISERROR(O23/B23*AF23),0,(O23/B23*AF23))</f>
        <v>0</v>
      </c>
      <c r="AL23" s="28">
        <f>IF(ISERROR(H23/B23*AF23),0,(H23/B23*AF23))</f>
        <v>0</v>
      </c>
      <c r="AN23" s="51">
        <f>A23</f>
        <v>0</v>
      </c>
      <c r="AO23" s="57">
        <f>IF(ISERROR(IF(B23=C23,D23/C23,(INT(D23/B23)+(((D23-B23*INT(D23/B23)))/C23)/100))),0,(IF(B23=C23,D23/C23,(INT(D23/B23)+(((D23-B23*INT(D23/B23)))/C23)/100))))</f>
        <v>0</v>
      </c>
      <c r="AP23" s="57">
        <f>IF(ISERROR(IF(B23=C23,E23/C23,(INT(E23/B23)+(((E23-B23*INT(E23/B23)))/C23)/100))),0,(IF(B23=C23,E23/C23,(INT(E23/B23)+(((E23-B23*INT(E23/B23)))/C23)/100))))</f>
        <v>0</v>
      </c>
      <c r="AQ23" s="57">
        <f>IF(ISERROR(IF(B23=C23,F23/C23,IF((INT(F23/B23)+(((F23-B23*INT(F23/B23)))/C23)/100)&lt;0,(INT(F23/B23)+(((F23-B23*INT(F23/B23)))/C23)/100)+(1-(B23/C23/100)),(INT(F23/B23)+(((F23-B23*INT(F23/B23)))/C23)/100)))),0,IF(B23=C23,F23/C23,IF((INT(F23/B23)+(((F23-B23*INT(F23/B23)))/C23)/100)&lt;0,(INT(F23/B23)+(((F23-B23*INT(F23/B23)))/C23)/100)+(1-(B23/C23/100)),(INT(F23/B23)+(((F23-B23*INT(F23/B23)))/C23)/100))))</f>
        <v>0</v>
      </c>
      <c r="AR23" s="57">
        <f>IF(ISERROR(IF(B23=C23,G23/C23,(INT(G23/B23)+(((G23-B23*INT(G23/B23)))/C23)/100))),0,(IF(B23=C23,G23/C23,(INT(G23/B23)+(((G23-B23*INT(G23/B23)))/C23)/100))))</f>
        <v>0</v>
      </c>
      <c r="AS23" s="57">
        <f>IF(ISERROR(IF(B23=C23,H23/C23,(INT(H23/B23)+(((H23-B23*INT(H23/B23)))/C23)/100))),0,(IF(B23=C23,H23/C23,(INT(H23/B23)+(((H23-B23*INT(H23/B23)))/C23)/100))))</f>
        <v>0</v>
      </c>
      <c r="AT23" s="57">
        <f>IF(ISERROR(IF(B23=C23,I23/C23,(INT(I23/B23)+(((I23-B23*INT(I23/B23)))/C23)/100))),0,(IF(B23=C23,I23/C23,(INT(I23/B23)+(((I23-B23*INT(I23/B23)))/C23)/100))))</f>
        <v>0</v>
      </c>
      <c r="AU23" s="57">
        <f>IF(ISERROR(IF(B23=C23,J23/C23,(INT(J23/B23)+(((J23-B23*INT(J23/B23)))/C23)/100))),0,(IF(B23=C23,J23/C23,(INT(J23/B23)+(((J23-B23*INT(J23/B23)))/C23)/100))))</f>
        <v>0</v>
      </c>
      <c r="AV23" s="57">
        <f>IF(ISERROR(IF(B23=C23,K23/C23,IF((INT(K23/B23)+(((K23-B23*INT(K23/B23)))/C23)/100)&lt;0,(INT(K23/B23)+(((K23-B23*INT(K23/B23)))/C23)/100)+(1-(B23/C23/100)),(INT(K23/B23)+(((K23-B23*INT(K23/B23)))/C23)/100)))),0,IF(B23=C23,K23/C23,IF((INT(K23/B23)+(((K23-B23*INT(K23/B23)))/C23)/100)&lt;0,(INT(K23/B23)+(((K23-B23*INT(K23/B23)))/C23)/100)+(1-(B23/C23/100)),(INT(K23/B23)+(((K23-B23*INT(K23/B23)))/C23)/100))))</f>
        <v>0</v>
      </c>
      <c r="AW23" s="57">
        <f>IF(ISERROR(IF(B23=C23,L23/C23,(INT(L23/B23)+(((L23-B23*INT(L23/B23)))/C23)/100))),0,(IF(B23=C23,L23/C23,(INT(L23/B23)+(((L23-B23*INT(L23/B23)))/C23)/100))))</f>
        <v>0</v>
      </c>
      <c r="AX23" s="57">
        <f>IF(ISERROR(IF(B23=C23,M23/C23,(INT(M23/B23)+(((M23-B23*INT(M23/B23)))/C23)/100))),0,(IF(B23=C23,M23/C23,(INT(M23/B23)+(((M23-B23*INT(M23/B23)))/C23)/100))))</f>
        <v>0</v>
      </c>
      <c r="AY23" s="57">
        <f>IF(ISERROR(IF(B23=C23,N23/C23,IF((INT(N23/B23)+(((N23-B23*INT(N23/B23)))/C23)/100)&lt;0,(INT(N23/B23)+(((N23-B23*INT(N23/B23)))/C23)/100)+(1-(B23/C23/100)),(INT(N23/B23)+(((N23-B23*INT(N23/B23)))/C23)/100)))),0,IF(B23=C23,N23/C23,IF((INT(N23/B23)+(((N23-B23*INT(N23/B23)))/C23)/100)&lt;0,(INT(N23/B23)+(((N23-B23*INT(N23/B23)))/C23)/100)+(1-(B23/C23/100)),(INT(N23/B23)+(((N23-B23*INT(N23/B23)))/C23)/100))))</f>
        <v>0</v>
      </c>
      <c r="AZ23" s="57">
        <f>IF(ISERROR(IF(B23=C23,O23/C23,(INT(O23/B23)+(((O23-B23*INT(O23/B23)))/C23)/100))),0,(IF(B23=C23,O23/C23,(INT(O23/B23)+(((O23-B23*INT(O23/B23)))/C23)/100))))</f>
        <v>0</v>
      </c>
      <c r="BA23" s="57">
        <f>IF(ISERROR(IF(B23=C23,P23/C23,IF((INT(P23/B23)+(((P23-B23*INT(P23/B23)))/C23)/100)&lt;0,(INT(P23/B23)+(((P23-B23*INT(P23/B23)))/C23)/100)+(1-(B23/C23/100)),(INT(P23/B23)+(((P23-B23*INT(P23/B23)))/C23)/100)))),0,IF(B23=C23,P23/C23,IF((INT(P23/B23)+(((P23-B23*INT(P23/B23)))/C23)/100)&lt;0,(INT(P23/B23)+(((P23-B23*INT(P23/B23)))/C23)/100)+(1-(B23/C23/100)),(INT(P23/B23)+(((P23-B23*INT(P23/B23)))/C23)/100))))</f>
        <v>0</v>
      </c>
      <c r="BB23" s="28">
        <f>R23</f>
        <v>0</v>
      </c>
      <c r="BC23" s="28">
        <f>S23</f>
        <v>0</v>
      </c>
      <c r="BD23" s="28">
        <f>AF23</f>
        <v>0</v>
      </c>
      <c r="BE23" s="28">
        <f>T23</f>
        <v>0</v>
      </c>
      <c r="BG23" s="57">
        <f>IF(ISERROR(IF(B23=C23,V23/C23,(INT(V23/B23)+(((V23-B23*INT(V23/B23)))/C23)/100))),0,(IF(B23=C23,V23/C23,(INT(V23/B23)+(((V23-B23*INT(V23/B23)))/C23)/100))))</f>
        <v>0</v>
      </c>
      <c r="BH23" s="57">
        <f>IF(ISERROR(IF(B23=C23,W23/C23,(INT(W23/B23)+(((W23-B23*INT(W23/B23)))/C23)/100))),0,(IF(B23=C23,W23/C23,(INT(W23/B23)+(((W23-B23*INT(W23/B23)))/C23)/100))))</f>
        <v>0</v>
      </c>
      <c r="BI23" s="57">
        <f>IF(ISERROR(IF(B23=C23,X23/C23,(INT(X23/B23)+(((X23-B23*INT(X23/B23)))/C23)/100))),0,(IF(B23=C23,X23/C23,(INT(X23/B23)+(((X23-B23*INT(X23/B23)))/C23)/100))))</f>
        <v>0</v>
      </c>
      <c r="BJ23" s="57">
        <f>IF(ISERROR(IF(B23=C23,Y23/C23,(INT(Y23/B23)+(((Y23-B23*INT(Y23/B23)))/C23)/100))),0,(IF(B23=C23,Y23/C23,(INT(Y23/B23)+(((Y23-B23*INT(Y23/B23)))/C23)/100))))</f>
        <v>0</v>
      </c>
      <c r="BL23" s="57">
        <f>IF(ISERROR(IF(B23=C23,AA23/C23,(INT(AA23/B23)+(((AA23-B23*INT(AA23/B23)))/C23)/100))),0,(IF(B23=C23,AA23/C23,(INT(AA23/B23)+(((AA23-B23*INT(AA23/B23)))/C23)/100))))</f>
        <v>0</v>
      </c>
      <c r="BM23" s="57">
        <f>IF(ISERROR(IF(B23=C23,AB23/C23,(INT(AB23/B23)+(((AB23-B23*INT(AB23/B23)))/C23)/100))),0,(IF(B23=C23,AB23/C23,(INT(AB23/B23)+(((AB23-B23*INT(AB23/B23)))/C23)/100))))</f>
        <v>0</v>
      </c>
      <c r="BN23" s="57">
        <f>IF(ISERROR(IF(B23=C23,AC23/C23,(INT(AC23/B23)+(((AC23-B23*INT(AC23/B23)))/C23)/100))),0,(IF(B23=C23,AC23/C23,(INT(AC23/B23)+(((AC23-B23*INT(AC23/B23)))/C23)/100))))</f>
        <v>0</v>
      </c>
      <c r="BO23" s="57">
        <f>IF(ISERROR(IF(B23=C23,AD23/C23,(INT(AD23/B23)+(((AD23-B23*INT(AD23/B23)))/C23)/100))),0,(IF(B23=C23,AD23/C23,(INT(AD23/B23)+(((AD23-B23*INT(AD23/B23)))/C23)/100))))</f>
        <v>0</v>
      </c>
      <c r="BQ23" s="155"/>
    </row>
    <row r="24" spans="1:69" hidden="1" x14ac:dyDescent="0.35">
      <c r="A24" s="94"/>
      <c r="B24" s="113">
        <v>1000</v>
      </c>
      <c r="C24" s="113">
        <v>30</v>
      </c>
      <c r="D24" s="28">
        <f>SUM(AA24:AD24)</f>
        <v>0</v>
      </c>
      <c r="E24" s="113">
        <v>0</v>
      </c>
      <c r="F24" s="113">
        <v>0</v>
      </c>
      <c r="G24" s="28">
        <f>SUM(D24:F24)</f>
        <v>0</v>
      </c>
      <c r="H24" s="125">
        <v>0</v>
      </c>
      <c r="I24" s="113">
        <v>0</v>
      </c>
      <c r="J24" s="125">
        <v>0</v>
      </c>
      <c r="K24" s="113">
        <v>0</v>
      </c>
      <c r="L24" s="113">
        <v>0</v>
      </c>
      <c r="M24" s="113">
        <v>0</v>
      </c>
      <c r="N24" s="28">
        <f>G24-SUM(H24:M24)</f>
        <v>0</v>
      </c>
      <c r="O24" s="28">
        <f>SUM(V24:Y24)</f>
        <v>0</v>
      </c>
      <c r="P24" s="28">
        <f>O24-N24</f>
        <v>0</v>
      </c>
      <c r="Q24" s="61" t="str">
        <f>IF(ISERROR(P24/SUM(H24:L24)),"",P24/SUM(H24:L24))</f>
        <v/>
      </c>
      <c r="R24" s="113">
        <v>0</v>
      </c>
      <c r="S24" s="28">
        <f>IF(ISERROR(P24/C24*R24),0,(P24/C24*R24))</f>
        <v>0</v>
      </c>
      <c r="T24" s="60">
        <f>IF(ISERROR(P24/B24*AF24),0,(P24/B24*AF24))</f>
        <v>0</v>
      </c>
      <c r="V24" s="113">
        <v>0</v>
      </c>
      <c r="W24" s="113">
        <v>0</v>
      </c>
      <c r="X24" s="113">
        <v>0</v>
      </c>
      <c r="Y24" s="113">
        <v>0</v>
      </c>
      <c r="AA24" s="113">
        <v>0</v>
      </c>
      <c r="AB24" s="113">
        <v>0</v>
      </c>
      <c r="AC24" s="113">
        <v>0</v>
      </c>
      <c r="AD24" s="113">
        <v>0</v>
      </c>
      <c r="AF24" s="113">
        <v>0</v>
      </c>
      <c r="AG24" s="28">
        <f>G24-O24</f>
        <v>0</v>
      </c>
      <c r="AH24" s="58">
        <f>IF(ISERROR(AG24/B24*AF24),0,(AG24/B24*AF24))</f>
        <v>0</v>
      </c>
      <c r="AI24" s="28">
        <f>SUM(H24:M24)</f>
        <v>0</v>
      </c>
      <c r="AJ24" s="28">
        <f>IF(ISERROR(AI24/B24*AF24),0,(AI24/B24*AF24))</f>
        <v>0</v>
      </c>
      <c r="AK24" s="58">
        <f>IF(ISERROR(O24/B24*AF24),0,(O24/B24*AF24))</f>
        <v>0</v>
      </c>
      <c r="AL24" s="28">
        <f>IF(ISERROR(H24/B24*AF24),0,(H24/B24*AF24))</f>
        <v>0</v>
      </c>
      <c r="AN24" s="51">
        <f>A24</f>
        <v>0</v>
      </c>
      <c r="AO24" s="57">
        <f>IF(ISERROR(IF(B24=C24,D24/C24,(INT(D24/B24)+(((D24-B24*INT(D24/B24)))/C24)/100))),0,(IF(B24=C24,D24/C24,(INT(D24/B24)+(((D24-B24*INT(D24/B24)))/C24)/100))))</f>
        <v>0</v>
      </c>
      <c r="AP24" s="57">
        <f>IF(ISERROR(IF(B24=C24,E24/C24,(INT(E24/B24)+(((E24-B24*INT(E24/B24)))/C24)/100))),0,(IF(B24=C24,E24/C24,(INT(E24/B24)+(((E24-B24*INT(E24/B24)))/C24)/100))))</f>
        <v>0</v>
      </c>
      <c r="AQ24" s="57">
        <f>IF(ISERROR(IF(B24=C24,F24/C24,IF((INT(F24/B24)+(((F24-B24*INT(F24/B24)))/C24)/100)&lt;0,(INT(F24/B24)+(((F24-B24*INT(F24/B24)))/C24)/100)+(1-(B24/C24/100)),(INT(F24/B24)+(((F24-B24*INT(F24/B24)))/C24)/100)))),0,IF(B24=C24,F24/C24,IF((INT(F24/B24)+(((F24-B24*INT(F24/B24)))/C24)/100)&lt;0,(INT(F24/B24)+(((F24-B24*INT(F24/B24)))/C24)/100)+(1-(B24/C24/100)),(INT(F24/B24)+(((F24-B24*INT(F24/B24)))/C24)/100))))</f>
        <v>0</v>
      </c>
      <c r="AR24" s="57">
        <f>IF(ISERROR(IF(B24=C24,G24/C24,(INT(G24/B24)+(((G24-B24*INT(G24/B24)))/C24)/100))),0,(IF(B24=C24,G24/C24,(INT(G24/B24)+(((G24-B24*INT(G24/B24)))/C24)/100))))</f>
        <v>0</v>
      </c>
      <c r="AS24" s="57">
        <f>IF(ISERROR(IF(B24=C24,H24/C24,(INT(H24/B24)+(((H24-B24*INT(H24/B24)))/C24)/100))),0,(IF(B24=C24,H24/C24,(INT(H24/B24)+(((H24-B24*INT(H24/B24)))/C24)/100))))</f>
        <v>0</v>
      </c>
      <c r="AT24" s="57">
        <f>IF(ISERROR(IF(B24=C24,I24/C24,(INT(I24/B24)+(((I24-B24*INT(I24/B24)))/C24)/100))),0,(IF(B24=C24,I24/C24,(INT(I24/B24)+(((I24-B24*INT(I24/B24)))/C24)/100))))</f>
        <v>0</v>
      </c>
      <c r="AU24" s="57">
        <f>IF(ISERROR(IF(B24=C24,J24/C24,(INT(J24/B24)+(((J24-B24*INT(J24/B24)))/C24)/100))),0,(IF(B24=C24,J24/C24,(INT(J24/B24)+(((J24-B24*INT(J24/B24)))/C24)/100))))</f>
        <v>0</v>
      </c>
      <c r="AV24" s="57">
        <f>IF(ISERROR(IF(B24=C24,K24/C24,IF((INT(K24/B24)+(((K24-B24*INT(K24/B24)))/C24)/100)&lt;0,(INT(K24/B24)+(((K24-B24*INT(K24/B24)))/C24)/100)+(1-(B24/C24/100)),(INT(K24/B24)+(((K24-B24*INT(K24/B24)))/C24)/100)))),0,IF(B24=C24,K24/C24,IF((INT(K24/B24)+(((K24-B24*INT(K24/B24)))/C24)/100)&lt;0,(INT(K24/B24)+(((K24-B24*INT(K24/B24)))/C24)/100)+(1-(B24/C24/100)),(INT(K24/B24)+(((K24-B24*INT(K24/B24)))/C24)/100))))</f>
        <v>0</v>
      </c>
      <c r="AW24" s="57">
        <f>IF(ISERROR(IF(B24=C24,L24/C24,(INT(L24/B24)+(((L24-B24*INT(L24/B24)))/C24)/100))),0,(IF(B24=C24,L24/C24,(INT(L24/B24)+(((L24-B24*INT(L24/B24)))/C24)/100))))</f>
        <v>0</v>
      </c>
      <c r="AX24" s="57">
        <f>IF(ISERROR(IF(B24=C24,M24/C24,(INT(M24/B24)+(((M24-B24*INT(M24/B24)))/C24)/100))),0,(IF(B24=C24,M24/C24,(INT(M24/B24)+(((M24-B24*INT(M24/B24)))/C24)/100))))</f>
        <v>0</v>
      </c>
      <c r="AY24" s="57">
        <f>IF(ISERROR(IF(B24=C24,N24/C24,IF((INT(N24/B24)+(((N24-B24*INT(N24/B24)))/C24)/100)&lt;0,(INT(N24/B24)+(((N24-B24*INT(N24/B24)))/C24)/100)+(1-(B24/C24/100)),(INT(N24/B24)+(((N24-B24*INT(N24/B24)))/C24)/100)))),0,IF(B24=C24,N24/C24,IF((INT(N24/B24)+(((N24-B24*INT(N24/B24)))/C24)/100)&lt;0,(INT(N24/B24)+(((N24-B24*INT(N24/B24)))/C24)/100)+(1-(B24/C24/100)),(INT(N24/B24)+(((N24-B24*INT(N24/B24)))/C24)/100))))</f>
        <v>0</v>
      </c>
      <c r="AZ24" s="57">
        <f>IF(ISERROR(IF(B24=C24,O24/C24,(INT(O24/B24)+(((O24-B24*INT(O24/B24)))/C24)/100))),0,(IF(B24=C24,O24/C24,(INT(O24/B24)+(((O24-B24*INT(O24/B24)))/C24)/100))))</f>
        <v>0</v>
      </c>
      <c r="BA24" s="57">
        <f>IF(ISERROR(IF(B24=C24,P24/C24,IF((INT(P24/B24)+(((P24-B24*INT(P24/B24)))/C24)/100)&lt;0,(INT(P24/B24)+(((P24-B24*INT(P24/B24)))/C24)/100)+(1-(B24/C24/100)),(INT(P24/B24)+(((P24-B24*INT(P24/B24)))/C24)/100)))),0,IF(B24=C24,P24/C24,IF((INT(P24/B24)+(((P24-B24*INT(P24/B24)))/C24)/100)&lt;0,(INT(P24/B24)+(((P24-B24*INT(P24/B24)))/C24)/100)+(1-(B24/C24/100)),(INT(P24/B24)+(((P24-B24*INT(P24/B24)))/C24)/100))))</f>
        <v>0</v>
      </c>
      <c r="BB24" s="28">
        <f>R24</f>
        <v>0</v>
      </c>
      <c r="BC24" s="28">
        <f>S24</f>
        <v>0</v>
      </c>
      <c r="BD24" s="28">
        <f>AF24</f>
        <v>0</v>
      </c>
      <c r="BE24" s="28">
        <f>T24</f>
        <v>0</v>
      </c>
      <c r="BG24" s="57">
        <f>IF(ISERROR(IF(B24=C24,V24/C24,(INT(V24/B24)+(((V24-B24*INT(V24/B24)))/C24)/100))),0,(IF(B24=C24,V24/C24,(INT(V24/B24)+(((V24-B24*INT(V24/B24)))/C24)/100))))</f>
        <v>0</v>
      </c>
      <c r="BH24" s="57">
        <f>IF(ISERROR(IF(B24=C24,W24/C24,(INT(W24/B24)+(((W24-B24*INT(W24/B24)))/C24)/100))),0,(IF(B24=C24,W24/C24,(INT(W24/B24)+(((W24-B24*INT(W24/B24)))/C24)/100))))</f>
        <v>0</v>
      </c>
      <c r="BI24" s="57">
        <f>IF(ISERROR(IF(B24=C24,X24/C24,(INT(X24/B24)+(((X24-B24*INT(X24/B24)))/C24)/100))),0,(IF(B24=C24,X24/C24,(INT(X24/B24)+(((X24-B24*INT(X24/B24)))/C24)/100))))</f>
        <v>0</v>
      </c>
      <c r="BJ24" s="57">
        <f>IF(ISERROR(IF(B24=C24,Y24/C24,(INT(Y24/B24)+(((Y24-B24*INT(Y24/B24)))/C24)/100))),0,(IF(B24=C24,Y24/C24,(INT(Y24/B24)+(((Y24-B24*INT(Y24/B24)))/C24)/100))))</f>
        <v>0</v>
      </c>
      <c r="BL24" s="57">
        <f>IF(ISERROR(IF(B24=C24,AA24/C24,(INT(AA24/B24)+(((AA24-B24*INT(AA24/B24)))/C24)/100))),0,(IF(B24=C24,AA24/C24,(INT(AA24/B24)+(((AA24-B24*INT(AA24/B24)))/C24)/100))))</f>
        <v>0</v>
      </c>
      <c r="BM24" s="57">
        <f>IF(ISERROR(IF(B24=C24,AB24/C24,(INT(AB24/B24)+(((AB24-B24*INT(AB24/B24)))/C24)/100))),0,(IF(B24=C24,AB24/C24,(INT(AB24/B24)+(((AB24-B24*INT(AB24/B24)))/C24)/100))))</f>
        <v>0</v>
      </c>
      <c r="BN24" s="57">
        <f>IF(ISERROR(IF(B24=C24,AC24/C24,(INT(AC24/B24)+(((AC24-B24*INT(AC24/B24)))/C24)/100))),0,(IF(B24=C24,AC24/C24,(INT(AC24/B24)+(((AC24-B24*INT(AC24/B24)))/C24)/100))))</f>
        <v>0</v>
      </c>
      <c r="BO24" s="57">
        <f>IF(ISERROR(IF(B24=C24,AD24/C24,(INT(AD24/B24)+(((AD24-B24*INT(AD24/B24)))/C24)/100))),0,(IF(B24=C24,AD24/C24,(INT(AD24/B24)+(((AD24-B24*INT(AD24/B24)))/C24)/100))))</f>
        <v>0</v>
      </c>
      <c r="BQ24" s="155"/>
    </row>
    <row r="25" spans="1:69" hidden="1" x14ac:dyDescent="0.35">
      <c r="A25" s="160"/>
      <c r="B25" s="113">
        <v>1000</v>
      </c>
      <c r="C25" s="113">
        <v>30</v>
      </c>
      <c r="D25" s="28">
        <f>SUM(AA25:AD25)</f>
        <v>0</v>
      </c>
      <c r="E25" s="113">
        <v>0</v>
      </c>
      <c r="F25" s="113">
        <v>0</v>
      </c>
      <c r="G25" s="28">
        <f>SUM(D25:F25)</f>
        <v>0</v>
      </c>
      <c r="H25" s="125">
        <v>0</v>
      </c>
      <c r="I25" s="113">
        <v>0</v>
      </c>
      <c r="J25" s="125">
        <v>0</v>
      </c>
      <c r="K25" s="113">
        <v>0</v>
      </c>
      <c r="L25" s="113">
        <v>0</v>
      </c>
      <c r="M25" s="113">
        <v>0</v>
      </c>
      <c r="N25" s="28">
        <f>G25-SUM(H25:M25)</f>
        <v>0</v>
      </c>
      <c r="O25" s="28">
        <f>SUM(V25:Y25)</f>
        <v>0</v>
      </c>
      <c r="P25" s="28">
        <f>O25-N25</f>
        <v>0</v>
      </c>
      <c r="Q25" s="61" t="str">
        <f>IF(ISERROR(P25/SUM(H25:L25)),"",P25/SUM(H25:L25))</f>
        <v/>
      </c>
      <c r="R25" s="113">
        <v>0</v>
      </c>
      <c r="S25" s="28">
        <f>IF(ISERROR(P25/C25*R25),0,(P25/C25*R25))</f>
        <v>0</v>
      </c>
      <c r="T25" s="60">
        <f>IF(ISERROR(P25/B25*AF25),0,(P25/B25*AF25))</f>
        <v>0</v>
      </c>
      <c r="V25" s="113">
        <v>0</v>
      </c>
      <c r="W25" s="113">
        <v>0</v>
      </c>
      <c r="X25" s="113">
        <v>0</v>
      </c>
      <c r="Y25" s="113">
        <v>0</v>
      </c>
      <c r="AA25" s="113">
        <v>0</v>
      </c>
      <c r="AB25" s="113">
        <v>0</v>
      </c>
      <c r="AC25" s="113">
        <v>0</v>
      </c>
      <c r="AD25" s="113">
        <v>0</v>
      </c>
      <c r="AF25" s="113">
        <v>0</v>
      </c>
      <c r="AG25" s="28">
        <f>G25-O25</f>
        <v>0</v>
      </c>
      <c r="AH25" s="58">
        <f>IF(ISERROR(AG25/B25*AF25),0,(AG25/B25*AF25))</f>
        <v>0</v>
      </c>
      <c r="AI25" s="28">
        <f>SUM(H25:M25)</f>
        <v>0</v>
      </c>
      <c r="AJ25" s="28">
        <f>IF(ISERROR(AI25/B25*AF25),0,(AI25/B25*AF25))</f>
        <v>0</v>
      </c>
      <c r="AK25" s="58">
        <f>IF(ISERROR(O25/B25*AF25),0,(O25/B25*AF25))</f>
        <v>0</v>
      </c>
      <c r="AL25" s="28">
        <f>IF(ISERROR(H25/B25*AF25),0,(H25/B25*AF25))</f>
        <v>0</v>
      </c>
      <c r="AN25" s="51" t="e">
        <f>#REF!</f>
        <v>#REF!</v>
      </c>
      <c r="AO25" s="57">
        <f>IF(ISERROR(IF(B25=C25,D25/C25,(INT(D25/B25)+(((D25-B25*INT(D25/B25)))/C25)/100))),0,(IF(B25=C25,D25/C25,(INT(D25/B25)+(((D25-B25*INT(D25/B25)))/C25)/100))))</f>
        <v>0</v>
      </c>
      <c r="AP25" s="57">
        <f>IF(ISERROR(IF(B25=C25,E25/C25,(INT(E25/B25)+(((E25-B25*INT(E25/B25)))/C25)/100))),0,(IF(B25=C25,E25/C25,(INT(E25/B25)+(((E25-B25*INT(E25/B25)))/C25)/100))))</f>
        <v>0</v>
      </c>
      <c r="AQ25" s="57">
        <f>IF(ISERROR(IF(B25=C25,F25/C25,IF((INT(F25/B25)+(((F25-B25*INT(F25/B25)))/C25)/100)&lt;0,(INT(F25/B25)+(((F25-B25*INT(F25/B25)))/C25)/100)+(1-(B25/C25/100)),(INT(F25/B25)+(((F25-B25*INT(F25/B25)))/C25)/100)))),0,IF(B25=C25,F25/C25,IF((INT(F25/B25)+(((F25-B25*INT(F25/B25)))/C25)/100)&lt;0,(INT(F25/B25)+(((F25-B25*INT(F25/B25)))/C25)/100)+(1-(B25/C25/100)),(INT(F25/B25)+(((F25-B25*INT(F25/B25)))/C25)/100))))</f>
        <v>0</v>
      </c>
      <c r="AR25" s="57">
        <f>IF(ISERROR(IF(B25=C25,G25/C25,(INT(G25/B25)+(((G25-B25*INT(G25/B25)))/C25)/100))),0,(IF(B25=C25,G25/C25,(INT(G25/B25)+(((G25-B25*INT(G25/B25)))/C25)/100))))</f>
        <v>0</v>
      </c>
      <c r="AS25" s="57">
        <f>IF(ISERROR(IF(B25=C25,H25/C25,(INT(H25/B25)+(((H25-B25*INT(H25/B25)))/C25)/100))),0,(IF(B25=C25,H25/C25,(INT(H25/B25)+(((H25-B25*INT(H25/B25)))/C25)/100))))</f>
        <v>0</v>
      </c>
      <c r="AT25" s="57">
        <f>IF(ISERROR(IF(B25=C25,I25/C25,(INT(I25/B25)+(((I25-B25*INT(I25/B25)))/C25)/100))),0,(IF(B25=C25,I25/C25,(INT(I25/B25)+(((I25-B25*INT(I25/B25)))/C25)/100))))</f>
        <v>0</v>
      </c>
      <c r="AU25" s="57">
        <f>IF(ISERROR(IF(B25=C25,J25/C25,(INT(J25/B25)+(((J25-B25*INT(J25/B25)))/C25)/100))),0,(IF(B25=C25,J25/C25,(INT(J25/B25)+(((J25-B25*INT(J25/B25)))/C25)/100))))</f>
        <v>0</v>
      </c>
      <c r="AV25" s="57">
        <f>IF(ISERROR(IF(B25=C25,K25/C25,IF((INT(K25/B25)+(((K25-B25*INT(K25/B25)))/C25)/100)&lt;0,(INT(K25/B25)+(((K25-B25*INT(K25/B25)))/C25)/100)+(1-(B25/C25/100)),(INT(K25/B25)+(((K25-B25*INT(K25/B25)))/C25)/100)))),0,IF(B25=C25,K25/C25,IF((INT(K25/B25)+(((K25-B25*INT(K25/B25)))/C25)/100)&lt;0,(INT(K25/B25)+(((K25-B25*INT(K25/B25)))/C25)/100)+(1-(B25/C25/100)),(INT(K25/B25)+(((K25-B25*INT(K25/B25)))/C25)/100))))</f>
        <v>0</v>
      </c>
      <c r="AW25" s="57">
        <f>IF(ISERROR(IF(B25=C25,L25/C25,(INT(L25/B25)+(((L25-B25*INT(L25/B25)))/C25)/100))),0,(IF(B25=C25,L25/C25,(INT(L25/B25)+(((L25-B25*INT(L25/B25)))/C25)/100))))</f>
        <v>0</v>
      </c>
      <c r="AX25" s="57">
        <f>IF(ISERROR(IF(B25=C25,M25/C25,(INT(M25/B25)+(((M25-B25*INT(M25/B25)))/C25)/100))),0,(IF(B25=C25,M25/C25,(INT(M25/B25)+(((M25-B25*INT(M25/B25)))/C25)/100))))</f>
        <v>0</v>
      </c>
      <c r="AY25" s="57">
        <f>IF(ISERROR(IF(B25=C25,N25/C25,IF((INT(N25/B25)+(((N25-B25*INT(N25/B25)))/C25)/100)&lt;0,(INT(N25/B25)+(((N25-B25*INT(N25/B25)))/C25)/100)+(1-(B25/C25/100)),(INT(N25/B25)+(((N25-B25*INT(N25/B25)))/C25)/100)))),0,IF(B25=C25,N25/C25,IF((INT(N25/B25)+(((N25-B25*INT(N25/B25)))/C25)/100)&lt;0,(INT(N25/B25)+(((N25-B25*INT(N25/B25)))/C25)/100)+(1-(B25/C25/100)),(INT(N25/B25)+(((N25-B25*INT(N25/B25)))/C25)/100))))</f>
        <v>0</v>
      </c>
      <c r="AZ25" s="57">
        <f>IF(ISERROR(IF(B25=C25,O25/C25,(INT(O25/B25)+(((O25-B25*INT(O25/B25)))/C25)/100))),0,(IF(B25=C25,O25/C25,(INT(O25/B25)+(((O25-B25*INT(O25/B25)))/C25)/100))))</f>
        <v>0</v>
      </c>
      <c r="BA25" s="57">
        <f>IF(ISERROR(IF(B25=C25,P25/C25,IF((INT(P25/B25)+(((P25-B25*INT(P25/B25)))/C25)/100)&lt;0,(INT(P25/B25)+(((P25-B25*INT(P25/B25)))/C25)/100)+(1-(B25/C25/100)),(INT(P25/B25)+(((P25-B25*INT(P25/B25)))/C25)/100)))),0,IF(B25=C25,P25/C25,IF((INT(P25/B25)+(((P25-B25*INT(P25/B25)))/C25)/100)&lt;0,(INT(P25/B25)+(((P25-B25*INT(P25/B25)))/C25)/100)+(1-(B25/C25/100)),(INT(P25/B25)+(((P25-B25*INT(P25/B25)))/C25)/100))))</f>
        <v>0</v>
      </c>
      <c r="BB25" s="28">
        <f>R25</f>
        <v>0</v>
      </c>
      <c r="BC25" s="28">
        <f>S25</f>
        <v>0</v>
      </c>
      <c r="BD25" s="28">
        <f>AF25</f>
        <v>0</v>
      </c>
      <c r="BE25" s="28">
        <f>T25</f>
        <v>0</v>
      </c>
      <c r="BG25" s="57">
        <f>IF(ISERROR(IF(B25=C25,V25/C25,(INT(V25/B25)+(((V25-B25*INT(V25/B25)))/C25)/100))),0,(IF(B25=C25,V25/C25,(INT(V25/B25)+(((V25-B25*INT(V25/B25)))/C25)/100))))</f>
        <v>0</v>
      </c>
      <c r="BH25" s="57">
        <f>IF(ISERROR(IF(B25=C25,W25/C25,(INT(W25/B25)+(((W25-B25*INT(W25/B25)))/C25)/100))),0,(IF(B25=C25,W25/C25,(INT(W25/B25)+(((W25-B25*INT(W25/B25)))/C25)/100))))</f>
        <v>0</v>
      </c>
      <c r="BI25" s="57">
        <f>IF(ISERROR(IF(B25=C25,X25/C25,(INT(X25/B25)+(((X25-B25*INT(X25/B25)))/C25)/100))),0,(IF(B25=C25,X25/C25,(INT(X25/B25)+(((X25-B25*INT(X25/B25)))/C25)/100))))</f>
        <v>0</v>
      </c>
      <c r="BJ25" s="57">
        <f>IF(ISERROR(IF(B25=C25,Y25/C25,(INT(Y25/B25)+(((Y25-B25*INT(Y25/B25)))/C25)/100))),0,(IF(B25=C25,Y25/C25,(INT(Y25/B25)+(((Y25-B25*INT(Y25/B25)))/C25)/100))))</f>
        <v>0</v>
      </c>
      <c r="BL25" s="57">
        <f>IF(ISERROR(IF(B25=C25,AA25/C25,(INT(AA25/B25)+(((AA25-B25*INT(AA25/B25)))/C25)/100))),0,(IF(B25=C25,AA25/C25,(INT(AA25/B25)+(((AA25-B25*INT(AA25/B25)))/C25)/100))))</f>
        <v>0</v>
      </c>
      <c r="BM25" s="57">
        <f>IF(ISERROR(IF(B25=C25,AB25/C25,(INT(AB25/B25)+(((AB25-B25*INT(AB25/B25)))/C25)/100))),0,(IF(B25=C25,AB25/C25,(INT(AB25/B25)+(((AB25-B25*INT(AB25/B25)))/C25)/100))))</f>
        <v>0</v>
      </c>
      <c r="BN25" s="57">
        <f>IF(ISERROR(IF(B25=C25,AC25/C25,(INT(AC25/B25)+(((AC25-B25*INT(AC25/B25)))/C25)/100))),0,(IF(B25=C25,AC25/C25,(INT(AC25/B25)+(((AC25-B25*INT(AC25/B25)))/C25)/100))))</f>
        <v>0</v>
      </c>
      <c r="BO25" s="57">
        <f>IF(ISERROR(IF(B25=C25,AD25/C25,(INT(AD25/B25)+(((AD25-B25*INT(AD25/B25)))/C25)/100))),0,(IF(B25=C25,AD25/C25,(INT(AD25/B25)+(((AD25-B25*INT(AD25/B25)))/C25)/100))))</f>
        <v>0</v>
      </c>
      <c r="BQ25" s="155"/>
    </row>
    <row r="26" spans="1:69" hidden="1" x14ac:dyDescent="0.35">
      <c r="A26" s="134"/>
      <c r="B26" s="113">
        <v>1000</v>
      </c>
      <c r="C26" s="113">
        <v>30</v>
      </c>
      <c r="D26" s="28">
        <f>SUM(AA26:AD26)</f>
        <v>0</v>
      </c>
      <c r="E26" s="113">
        <v>0</v>
      </c>
      <c r="F26" s="113">
        <v>0</v>
      </c>
      <c r="G26" s="28">
        <f>SUM(D26:F26)</f>
        <v>0</v>
      </c>
      <c r="H26" s="125">
        <v>0</v>
      </c>
      <c r="I26" s="113">
        <v>0</v>
      </c>
      <c r="J26" s="125">
        <v>0</v>
      </c>
      <c r="K26" s="113">
        <v>0</v>
      </c>
      <c r="L26" s="113">
        <v>0</v>
      </c>
      <c r="M26" s="113">
        <v>0</v>
      </c>
      <c r="N26" s="28">
        <f>G26-SUM(H26:M26)</f>
        <v>0</v>
      </c>
      <c r="O26" s="28">
        <f>SUM(V26:Y26)</f>
        <v>0</v>
      </c>
      <c r="P26" s="28">
        <f>O26-N26</f>
        <v>0</v>
      </c>
      <c r="Q26" s="61" t="str">
        <f>IF(ISERROR(P26/SUM(H26:L26)),"",P26/SUM(H26:L26))</f>
        <v/>
      </c>
      <c r="R26" s="113">
        <v>0</v>
      </c>
      <c r="S26" s="28">
        <f>IF(ISERROR(P26/C26*R26),0,(P26/C26*R26))</f>
        <v>0</v>
      </c>
      <c r="T26" s="60">
        <f>IF(ISERROR(P26/B26*AF26),0,(P26/B26*AF26))</f>
        <v>0</v>
      </c>
      <c r="V26" s="113">
        <v>0</v>
      </c>
      <c r="W26" s="113">
        <v>0</v>
      </c>
      <c r="X26" s="113">
        <v>0</v>
      </c>
      <c r="Y26" s="113">
        <v>0</v>
      </c>
      <c r="AA26" s="113">
        <v>0</v>
      </c>
      <c r="AB26" s="113">
        <v>0</v>
      </c>
      <c r="AC26" s="113">
        <v>0</v>
      </c>
      <c r="AD26" s="113">
        <v>0</v>
      </c>
      <c r="AF26" s="113">
        <v>0</v>
      </c>
      <c r="AG26" s="28">
        <f>G26-O26</f>
        <v>0</v>
      </c>
      <c r="AH26" s="58">
        <f>IF(ISERROR(AG26/B26*AF26),0,(AG26/B26*AF26))</f>
        <v>0</v>
      </c>
      <c r="AI26" s="28">
        <f>SUM(H26:M26)</f>
        <v>0</v>
      </c>
      <c r="AJ26" s="28">
        <f>IF(ISERROR(AI26/B26*AF26),0,(AI26/B26*AF26))</f>
        <v>0</v>
      </c>
      <c r="AK26" s="58">
        <f>IF(ISERROR(O26/B26*AF26),0,(O26/B26*AF26))</f>
        <v>0</v>
      </c>
      <c r="AL26" s="28">
        <f>IF(ISERROR(H26/B26*AF26),0,(H26/B26*AF26))</f>
        <v>0</v>
      </c>
      <c r="AN26" s="51">
        <f>A26</f>
        <v>0</v>
      </c>
      <c r="AO26" s="57">
        <f>IF(ISERROR(IF(B26=C26,D26/C26,(INT(D26/B26)+(((D26-B26*INT(D26/B26)))/C26)/100))),0,(IF(B26=C26,D26/C26,(INT(D26/B26)+(((D26-B26*INT(D26/B26)))/C26)/100))))</f>
        <v>0</v>
      </c>
      <c r="AP26" s="57">
        <f>IF(ISERROR(IF(B26=C26,E26/C26,(INT(E26/B26)+(((E26-B26*INT(E26/B26)))/C26)/100))),0,(IF(B26=C26,E26/C26,(INT(E26/B26)+(((E26-B26*INT(E26/B26)))/C26)/100))))</f>
        <v>0</v>
      </c>
      <c r="AQ26" s="57">
        <f>IF(ISERROR(IF(B26=C26,F26/C26,IF((INT(F26/B26)+(((F26-B26*INT(F26/B26)))/C26)/100)&lt;0,(INT(F26/B26)+(((F26-B26*INT(F26/B26)))/C26)/100)+(1-(B26/C26/100)),(INT(F26/B26)+(((F26-B26*INT(F26/B26)))/C26)/100)))),0,IF(B26=C26,F26/C26,IF((INT(F26/B26)+(((F26-B26*INT(F26/B26)))/C26)/100)&lt;0,(INT(F26/B26)+(((F26-B26*INT(F26/B26)))/C26)/100)+(1-(B26/C26/100)),(INT(F26/B26)+(((F26-B26*INT(F26/B26)))/C26)/100))))</f>
        <v>0</v>
      </c>
      <c r="AR26" s="57">
        <f>IF(ISERROR(IF(B26=C26,G26/C26,(INT(G26/B26)+(((G26-B26*INT(G26/B26)))/C26)/100))),0,(IF(B26=C26,G26/C26,(INT(G26/B26)+(((G26-B26*INT(G26/B26)))/C26)/100))))</f>
        <v>0</v>
      </c>
      <c r="AS26" s="57">
        <f>IF(ISERROR(IF(B26=C26,H26/C26,(INT(H26/B26)+(((H26-B26*INT(H26/B26)))/C26)/100))),0,(IF(B26=C26,H26/C26,(INT(H26/B26)+(((H26-B26*INT(H26/B26)))/C26)/100))))</f>
        <v>0</v>
      </c>
      <c r="AT26" s="57">
        <f>IF(ISERROR(IF(B26=C26,I26/C26,(INT(I26/B26)+(((I26-B26*INT(I26/B26)))/C26)/100))),0,(IF(B26=C26,I26/C26,(INT(I26/B26)+(((I26-B26*INT(I26/B26)))/C26)/100))))</f>
        <v>0</v>
      </c>
      <c r="AU26" s="57">
        <f>IF(ISERROR(IF(B26=C26,J26/C26,(INT(J26/B26)+(((J26-B26*INT(J26/B26)))/C26)/100))),0,(IF(B26=C26,J26/C26,(INT(J26/B26)+(((J26-B26*INT(J26/B26)))/C26)/100))))</f>
        <v>0</v>
      </c>
      <c r="AV26" s="57">
        <f>IF(ISERROR(IF(B26=C26,K26/C26,IF((INT(K26/B26)+(((K26-B26*INT(K26/B26)))/C26)/100)&lt;0,(INT(K26/B26)+(((K26-B26*INT(K26/B26)))/C26)/100)+(1-(B26/C26/100)),(INT(K26/B26)+(((K26-B26*INT(K26/B26)))/C26)/100)))),0,IF(B26=C26,K26/C26,IF((INT(K26/B26)+(((K26-B26*INT(K26/B26)))/C26)/100)&lt;0,(INT(K26/B26)+(((K26-B26*INT(K26/B26)))/C26)/100)+(1-(B26/C26/100)),(INT(K26/B26)+(((K26-B26*INT(K26/B26)))/C26)/100))))</f>
        <v>0</v>
      </c>
      <c r="AW26" s="57">
        <f>IF(ISERROR(IF(B26=C26,L26/C26,(INT(L26/B26)+(((L26-B26*INT(L26/B26)))/C26)/100))),0,(IF(B26=C26,L26/C26,(INT(L26/B26)+(((L26-B26*INT(L26/B26)))/C26)/100))))</f>
        <v>0</v>
      </c>
      <c r="AX26" s="57">
        <f>IF(ISERROR(IF(B26=C26,M26/C26,(INT(M26/B26)+(((M26-B26*INT(M26/B26)))/C26)/100))),0,(IF(B26=C26,M26/C26,(INT(M26/B26)+(((M26-B26*INT(M26/B26)))/C26)/100))))</f>
        <v>0</v>
      </c>
      <c r="AY26" s="57">
        <f>IF(ISERROR(IF(B26=C26,N26/C26,IF((INT(N26/B26)+(((N26-B26*INT(N26/B26)))/C26)/100)&lt;0,(INT(N26/B26)+(((N26-B26*INT(N26/B26)))/C26)/100)+(1-(B26/C26/100)),(INT(N26/B26)+(((N26-B26*INT(N26/B26)))/C26)/100)))),0,IF(B26=C26,N26/C26,IF((INT(N26/B26)+(((N26-B26*INT(N26/B26)))/C26)/100)&lt;0,(INT(N26/B26)+(((N26-B26*INT(N26/B26)))/C26)/100)+(1-(B26/C26/100)),(INT(N26/B26)+(((N26-B26*INT(N26/B26)))/C26)/100))))</f>
        <v>0</v>
      </c>
      <c r="AZ26" s="57">
        <f>IF(ISERROR(IF(B26=C26,O26/C26,(INT(O26/B26)+(((O26-B26*INT(O26/B26)))/C26)/100))),0,(IF(B26=C26,O26/C26,(INT(O26/B26)+(((O26-B26*INT(O26/B26)))/C26)/100))))</f>
        <v>0</v>
      </c>
      <c r="BA26" s="57">
        <f>IF(ISERROR(IF(B26=C26,P26/C26,IF((INT(P26/B26)+(((P26-B26*INT(P26/B26)))/C26)/100)&lt;0,(INT(P26/B26)+(((P26-B26*INT(P26/B26)))/C26)/100)+(1-(B26/C26/100)),(INT(P26/B26)+(((P26-B26*INT(P26/B26)))/C26)/100)))),0,IF(B26=C26,P26/C26,IF((INT(P26/B26)+(((P26-B26*INT(P26/B26)))/C26)/100)&lt;0,(INT(P26/B26)+(((P26-B26*INT(P26/B26)))/C26)/100)+(1-(B26/C26/100)),(INT(P26/B26)+(((P26-B26*INT(P26/B26)))/C26)/100))))</f>
        <v>0</v>
      </c>
      <c r="BB26" s="28">
        <f>R26</f>
        <v>0</v>
      </c>
      <c r="BC26" s="28">
        <f>S26</f>
        <v>0</v>
      </c>
      <c r="BD26" s="28">
        <f>AF26</f>
        <v>0</v>
      </c>
      <c r="BE26" s="28">
        <f>T26</f>
        <v>0</v>
      </c>
      <c r="BG26" s="57">
        <f>IF(ISERROR(IF(B26=C26,V26/C26,(INT(V26/B26)+(((V26-B26*INT(V26/B26)))/C26)/100))),0,(IF(B26=C26,V26/C26,(INT(V26/B26)+(((V26-B26*INT(V26/B26)))/C26)/100))))</f>
        <v>0</v>
      </c>
      <c r="BH26" s="57">
        <f>IF(ISERROR(IF(B26=C26,W26/C26,(INT(W26/B26)+(((W26-B26*INT(W26/B26)))/C26)/100))),0,(IF(B26=C26,W26/C26,(INT(W26/B26)+(((W26-B26*INT(W26/B26)))/C26)/100))))</f>
        <v>0</v>
      </c>
      <c r="BI26" s="57">
        <f>IF(ISERROR(IF(B26=C26,X26/C26,(INT(X26/B26)+(((X26-B26*INT(X26/B26)))/C26)/100))),0,(IF(B26=C26,X26/C26,(INT(X26/B26)+(((X26-B26*INT(X26/B26)))/C26)/100))))</f>
        <v>0</v>
      </c>
      <c r="BJ26" s="57">
        <f>IF(ISERROR(IF(B26=C26,Y26/C26,(INT(Y26/B26)+(((Y26-B26*INT(Y26/B26)))/C26)/100))),0,(IF(B26=C26,Y26/C26,(INT(Y26/B26)+(((Y26-B26*INT(Y26/B26)))/C26)/100))))</f>
        <v>0</v>
      </c>
      <c r="BL26" s="57">
        <f>IF(ISERROR(IF(B26=C26,AA26/C26,(INT(AA26/B26)+(((AA26-B26*INT(AA26/B26)))/C26)/100))),0,(IF(B26=C26,AA26/C26,(INT(AA26/B26)+(((AA26-B26*INT(AA26/B26)))/C26)/100))))</f>
        <v>0</v>
      </c>
      <c r="BM26" s="57">
        <f>IF(ISERROR(IF(B26=C26,AB26/C26,(INT(AB26/B26)+(((AB26-B26*INT(AB26/B26)))/C26)/100))),0,(IF(B26=C26,AB26/C26,(INT(AB26/B26)+(((AB26-B26*INT(AB26/B26)))/C26)/100))))</f>
        <v>0</v>
      </c>
      <c r="BN26" s="57">
        <f>IF(ISERROR(IF(B26=C26,AC26/C26,(INT(AC26/B26)+(((AC26-B26*INT(AC26/B26)))/C26)/100))),0,(IF(B26=C26,AC26/C26,(INT(AC26/B26)+(((AC26-B26*INT(AC26/B26)))/C26)/100))))</f>
        <v>0</v>
      </c>
      <c r="BO26" s="57">
        <f>IF(ISERROR(IF(B26=C26,AD26/C26,(INT(AD26/B26)+(((AD26-B26*INT(AD26/B26)))/C26)/100))),0,(IF(B26=C26,AD26/C26,(INT(AD26/B26)+(((AD26-B26*INT(AD26/B26)))/C26)/100))))</f>
        <v>0</v>
      </c>
      <c r="BQ26" s="155"/>
    </row>
    <row r="27" spans="1:69" hidden="1" x14ac:dyDescent="0.35">
      <c r="A27" s="134"/>
      <c r="B27" s="113">
        <v>1000</v>
      </c>
      <c r="C27" s="113">
        <v>30</v>
      </c>
      <c r="D27" s="28">
        <f>SUM(AA27:AD27)</f>
        <v>0</v>
      </c>
      <c r="E27" s="113">
        <v>0</v>
      </c>
      <c r="F27" s="113">
        <v>0</v>
      </c>
      <c r="G27" s="28">
        <f>SUM(D27:F27)</f>
        <v>0</v>
      </c>
      <c r="H27" s="125">
        <v>0</v>
      </c>
      <c r="I27" s="113">
        <v>0</v>
      </c>
      <c r="J27" s="125">
        <v>0</v>
      </c>
      <c r="K27" s="113">
        <v>0</v>
      </c>
      <c r="L27" s="113">
        <v>0</v>
      </c>
      <c r="M27" s="113">
        <v>0</v>
      </c>
      <c r="N27" s="28">
        <f>G27-SUM(H27:M27)</f>
        <v>0</v>
      </c>
      <c r="O27" s="28">
        <f>SUM(V27:Y27)</f>
        <v>0</v>
      </c>
      <c r="P27" s="28">
        <f>O27-N27</f>
        <v>0</v>
      </c>
      <c r="Q27" s="61" t="str">
        <f>IF(ISERROR(P27/SUM(H27:L27)),"",P27/SUM(H27:L27))</f>
        <v/>
      </c>
      <c r="R27" s="113">
        <v>0</v>
      </c>
      <c r="S27" s="28">
        <f>IF(ISERROR(P27/C27*R27),0,(P27/C27*R27))</f>
        <v>0</v>
      </c>
      <c r="T27" s="60">
        <f>IF(ISERROR(P27/B27*AF27),0,(P27/B27*AF27))</f>
        <v>0</v>
      </c>
      <c r="V27" s="113">
        <v>0</v>
      </c>
      <c r="W27" s="113">
        <v>0</v>
      </c>
      <c r="X27" s="113">
        <v>0</v>
      </c>
      <c r="Y27" s="113">
        <v>0</v>
      </c>
      <c r="AA27" s="113">
        <v>0</v>
      </c>
      <c r="AB27" s="113">
        <v>0</v>
      </c>
      <c r="AC27" s="113">
        <v>0</v>
      </c>
      <c r="AD27" s="113">
        <v>0</v>
      </c>
      <c r="AF27" s="113">
        <v>0</v>
      </c>
      <c r="AG27" s="28">
        <f>G27-O27</f>
        <v>0</v>
      </c>
      <c r="AH27" s="58">
        <f>IF(ISERROR(AG27/B27*AF27),0,(AG27/B27*AF27))</f>
        <v>0</v>
      </c>
      <c r="AI27" s="28">
        <f>SUM(H27:M27)</f>
        <v>0</v>
      </c>
      <c r="AJ27" s="28">
        <f>IF(ISERROR(AI27/B27*AF27),0,(AI27/B27*AF27))</f>
        <v>0</v>
      </c>
      <c r="AK27" s="58">
        <f>IF(ISERROR(O27/B27*AF27),0,(O27/B27*AF27))</f>
        <v>0</v>
      </c>
      <c r="AL27" s="28">
        <f>IF(ISERROR(H27/B27*AF27),0,(H27/B27*AF27))</f>
        <v>0</v>
      </c>
      <c r="AN27" s="51">
        <f>A27</f>
        <v>0</v>
      </c>
      <c r="AO27" s="57">
        <f>IF(ISERROR(IF(B27=C27,D27/C27,(INT(D27/B27)+(((D27-B27*INT(D27/B27)))/C27)/100))),0,(IF(B27=C27,D27/C27,(INT(D27/B27)+(((D27-B27*INT(D27/B27)))/C27)/100))))</f>
        <v>0</v>
      </c>
      <c r="AP27" s="57">
        <f>IF(ISERROR(IF(B27=C27,E27/C27,(INT(E27/B27)+(((E27-B27*INT(E27/B27)))/C27)/100))),0,(IF(B27=C27,E27/C27,(INT(E27/B27)+(((E27-B27*INT(E27/B27)))/C27)/100))))</f>
        <v>0</v>
      </c>
      <c r="AQ27" s="57">
        <f>IF(ISERROR(IF(B27=C27,F27/C27,IF((INT(F27/B27)+(((F27-B27*INT(F27/B27)))/C27)/100)&lt;0,(INT(F27/B27)+(((F27-B27*INT(F27/B27)))/C27)/100)+(1-(B27/C27/100)),(INT(F27/B27)+(((F27-B27*INT(F27/B27)))/C27)/100)))),0,IF(B27=C27,F27/C27,IF((INT(F27/B27)+(((F27-B27*INT(F27/B27)))/C27)/100)&lt;0,(INT(F27/B27)+(((F27-B27*INT(F27/B27)))/C27)/100)+(1-(B27/C27/100)),(INT(F27/B27)+(((F27-B27*INT(F27/B27)))/C27)/100))))</f>
        <v>0</v>
      </c>
      <c r="AR27" s="57">
        <f>IF(ISERROR(IF(B27=C27,G27/C27,(INT(G27/B27)+(((G27-B27*INT(G27/B27)))/C27)/100))),0,(IF(B27=C27,G27/C27,(INT(G27/B27)+(((G27-B27*INT(G27/B27)))/C27)/100))))</f>
        <v>0</v>
      </c>
      <c r="AS27" s="57">
        <f>IF(ISERROR(IF(B27=C27,H27/C27,(INT(H27/B27)+(((H27-B27*INT(H27/B27)))/C27)/100))),0,(IF(B27=C27,H27/C27,(INT(H27/B27)+(((H27-B27*INT(H27/B27)))/C27)/100))))</f>
        <v>0</v>
      </c>
      <c r="AT27" s="57">
        <f>IF(ISERROR(IF(B27=C27,I27/C27,(INT(I27/B27)+(((I27-B27*INT(I27/B27)))/C27)/100))),0,(IF(B27=C27,I27/C27,(INT(I27/B27)+(((I27-B27*INT(I27/B27)))/C27)/100))))</f>
        <v>0</v>
      </c>
      <c r="AU27" s="57">
        <f>IF(ISERROR(IF(B27=C27,J27/C27,(INT(J27/B27)+(((J27-B27*INT(J27/B27)))/C27)/100))),0,(IF(B27=C27,J27/C27,(INT(J27/B27)+(((J27-B27*INT(J27/B27)))/C27)/100))))</f>
        <v>0</v>
      </c>
      <c r="AV27" s="57">
        <f>IF(ISERROR(IF(B27=C27,K27/C27,IF((INT(K27/B27)+(((K27-B27*INT(K27/B27)))/C27)/100)&lt;0,(INT(K27/B27)+(((K27-B27*INT(K27/B27)))/C27)/100)+(1-(B27/C27/100)),(INT(K27/B27)+(((K27-B27*INT(K27/B27)))/C27)/100)))),0,IF(B27=C27,K27/C27,IF((INT(K27/B27)+(((K27-B27*INT(K27/B27)))/C27)/100)&lt;0,(INT(K27/B27)+(((K27-B27*INT(K27/B27)))/C27)/100)+(1-(B27/C27/100)),(INT(K27/B27)+(((K27-B27*INT(K27/B27)))/C27)/100))))</f>
        <v>0</v>
      </c>
      <c r="AW27" s="57">
        <f>IF(ISERROR(IF(B27=C27,L27/C27,(INT(L27/B27)+(((L27-B27*INT(L27/B27)))/C27)/100))),0,(IF(B27=C27,L27/C27,(INT(L27/B27)+(((L27-B27*INT(L27/B27)))/C27)/100))))</f>
        <v>0</v>
      </c>
      <c r="AX27" s="57">
        <f>IF(ISERROR(IF(B27=C27,M27/C27,(INT(M27/B27)+(((M27-B27*INT(M27/B27)))/C27)/100))),0,(IF(B27=C27,M27/C27,(INT(M27/B27)+(((M27-B27*INT(M27/B27)))/C27)/100))))</f>
        <v>0</v>
      </c>
      <c r="AY27" s="57">
        <f>IF(ISERROR(IF(B27=C27,N27/C27,IF((INT(N27/B27)+(((N27-B27*INT(N27/B27)))/C27)/100)&lt;0,(INT(N27/B27)+(((N27-B27*INT(N27/B27)))/C27)/100)+(1-(B27/C27/100)),(INT(N27/B27)+(((N27-B27*INT(N27/B27)))/C27)/100)))),0,IF(B27=C27,N27/C27,IF((INT(N27/B27)+(((N27-B27*INT(N27/B27)))/C27)/100)&lt;0,(INT(N27/B27)+(((N27-B27*INT(N27/B27)))/C27)/100)+(1-(B27/C27/100)),(INT(N27/B27)+(((N27-B27*INT(N27/B27)))/C27)/100))))</f>
        <v>0</v>
      </c>
      <c r="AZ27" s="57">
        <f>IF(ISERROR(IF(B27=C27,O27/C27,(INT(O27/B27)+(((O27-B27*INT(O27/B27)))/C27)/100))),0,(IF(B27=C27,O27/C27,(INT(O27/B27)+(((O27-B27*INT(O27/B27)))/C27)/100))))</f>
        <v>0</v>
      </c>
      <c r="BA27" s="57">
        <f>IF(ISERROR(IF(B27=C27,P27/C27,IF((INT(P27/B27)+(((P27-B27*INT(P27/B27)))/C27)/100)&lt;0,(INT(P27/B27)+(((P27-B27*INT(P27/B27)))/C27)/100)+(1-(B27/C27/100)),(INT(P27/B27)+(((P27-B27*INT(P27/B27)))/C27)/100)))),0,IF(B27=C27,P27/C27,IF((INT(P27/B27)+(((P27-B27*INT(P27/B27)))/C27)/100)&lt;0,(INT(P27/B27)+(((P27-B27*INT(P27/B27)))/C27)/100)+(1-(B27/C27/100)),(INT(P27/B27)+(((P27-B27*INT(P27/B27)))/C27)/100))))</f>
        <v>0</v>
      </c>
      <c r="BB27" s="28">
        <f>R27</f>
        <v>0</v>
      </c>
      <c r="BC27" s="28">
        <f>S27</f>
        <v>0</v>
      </c>
      <c r="BD27" s="28">
        <f>AF27</f>
        <v>0</v>
      </c>
      <c r="BE27" s="28">
        <f>T27</f>
        <v>0</v>
      </c>
      <c r="BG27" s="57">
        <f>IF(ISERROR(IF(B27=C27,V27/C27,(INT(V27/B27)+(((V27-B27*INT(V27/B27)))/C27)/100))),0,(IF(B27=C27,V27/C27,(INT(V27/B27)+(((V27-B27*INT(V27/B27)))/C27)/100))))</f>
        <v>0</v>
      </c>
      <c r="BH27" s="57">
        <f>IF(ISERROR(IF(B27=C27,W27/C27,(INT(W27/B27)+(((W27-B27*INT(W27/B27)))/C27)/100))),0,(IF(B27=C27,W27/C27,(INT(W27/B27)+(((W27-B27*INT(W27/B27)))/C27)/100))))</f>
        <v>0</v>
      </c>
      <c r="BI27" s="57">
        <f>IF(ISERROR(IF(B27=C27,X27/C27,(INT(X27/B27)+(((X27-B27*INT(X27/B27)))/C27)/100))),0,(IF(B27=C27,X27/C27,(INT(X27/B27)+(((X27-B27*INT(X27/B27)))/C27)/100))))</f>
        <v>0</v>
      </c>
      <c r="BJ27" s="57">
        <f>IF(ISERROR(IF(B27=C27,Y27/C27,(INT(Y27/B27)+(((Y27-B27*INT(Y27/B27)))/C27)/100))),0,(IF(B27=C27,Y27/C27,(INT(Y27/B27)+(((Y27-B27*INT(Y27/B27)))/C27)/100))))</f>
        <v>0</v>
      </c>
      <c r="BL27" s="57">
        <f>IF(ISERROR(IF(B27=C27,AA27/C27,(INT(AA27/B27)+(((AA27-B27*INT(AA27/B27)))/C27)/100))),0,(IF(B27=C27,AA27/C27,(INT(AA27/B27)+(((AA27-B27*INT(AA27/B27)))/C27)/100))))</f>
        <v>0</v>
      </c>
      <c r="BM27" s="57">
        <f>IF(ISERROR(IF(B27=C27,AB27/C27,(INT(AB27/B27)+(((AB27-B27*INT(AB27/B27)))/C27)/100))),0,(IF(B27=C27,AB27/C27,(INT(AB27/B27)+(((AB27-B27*INT(AB27/B27)))/C27)/100))))</f>
        <v>0</v>
      </c>
      <c r="BN27" s="57">
        <f>IF(ISERROR(IF(B27=C27,AC27/C27,(INT(AC27/B27)+(((AC27-B27*INT(AC27/B27)))/C27)/100))),0,(IF(B27=C27,AC27/C27,(INT(AC27/B27)+(((AC27-B27*INT(AC27/B27)))/C27)/100))))</f>
        <v>0</v>
      </c>
      <c r="BO27" s="57">
        <f>IF(ISERROR(IF(B27=C27,AD27/C27,(INT(AD27/B27)+(((AD27-B27*INT(AD27/B27)))/C27)/100))),0,(IF(B27=C27,AD27/C27,(INT(AD27/B27)+(((AD27-B27*INT(AD27/B27)))/C27)/100))))</f>
        <v>0</v>
      </c>
      <c r="BQ27" s="155"/>
    </row>
    <row r="28" spans="1:69" hidden="1" x14ac:dyDescent="0.35">
      <c r="A28" s="94"/>
      <c r="B28" s="113">
        <v>1000</v>
      </c>
      <c r="C28" s="113">
        <v>30</v>
      </c>
      <c r="D28" s="28">
        <f>SUM(AA28:AD28)</f>
        <v>0</v>
      </c>
      <c r="E28" s="113">
        <v>0</v>
      </c>
      <c r="F28" s="113">
        <v>0</v>
      </c>
      <c r="G28" s="28">
        <f>SUM(D28:F28)</f>
        <v>0</v>
      </c>
      <c r="H28" s="125">
        <v>0</v>
      </c>
      <c r="I28" s="113">
        <v>0</v>
      </c>
      <c r="J28" s="125">
        <v>0</v>
      </c>
      <c r="K28" s="113">
        <v>0</v>
      </c>
      <c r="L28" s="113">
        <v>0</v>
      </c>
      <c r="M28" s="113">
        <v>0</v>
      </c>
      <c r="N28" s="28">
        <f>G28-SUM(H28:M28)</f>
        <v>0</v>
      </c>
      <c r="O28" s="28">
        <f>SUM(V28:Y28)</f>
        <v>0</v>
      </c>
      <c r="P28" s="28">
        <f>O28-N28</f>
        <v>0</v>
      </c>
      <c r="Q28" s="61" t="str">
        <f>IF(ISERROR(P28/SUM(H28:L28)),"",P28/SUM(H28:L28))</f>
        <v/>
      </c>
      <c r="R28" s="113">
        <v>0</v>
      </c>
      <c r="S28" s="28">
        <f>IF(ISERROR(P28/C28*R28),0,(P28/C28*R28))</f>
        <v>0</v>
      </c>
      <c r="T28" s="60">
        <f>IF(ISERROR(P28/B28*AF28),0,(P28/B28*AF28))</f>
        <v>0</v>
      </c>
      <c r="V28" s="113">
        <v>0</v>
      </c>
      <c r="W28" s="113">
        <v>0</v>
      </c>
      <c r="X28" s="113">
        <v>0</v>
      </c>
      <c r="Y28" s="113">
        <v>0</v>
      </c>
      <c r="AA28" s="113">
        <v>0</v>
      </c>
      <c r="AB28" s="113">
        <v>0</v>
      </c>
      <c r="AC28" s="113">
        <v>0</v>
      </c>
      <c r="AD28" s="113">
        <v>0</v>
      </c>
      <c r="AF28" s="113">
        <v>0</v>
      </c>
      <c r="AG28" s="28">
        <f>G28-O28</f>
        <v>0</v>
      </c>
      <c r="AH28" s="58">
        <f>IF(ISERROR(AG28/B28*AF28),0,(AG28/B28*AF28))</f>
        <v>0</v>
      </c>
      <c r="AI28" s="28">
        <f>SUM(H28:M28)</f>
        <v>0</v>
      </c>
      <c r="AJ28" s="28">
        <f>IF(ISERROR(AI28/B28*AF28),0,(AI28/B28*AF28))</f>
        <v>0</v>
      </c>
      <c r="AK28" s="58">
        <f>IF(ISERROR(O28/B28*AF28),0,(O28/B28*AF28))</f>
        <v>0</v>
      </c>
      <c r="AL28" s="28">
        <f>IF(ISERROR(H28/B28*AF28),0,(H28/B28*AF28))</f>
        <v>0</v>
      </c>
      <c r="AN28" s="51">
        <f>A28</f>
        <v>0</v>
      </c>
      <c r="AO28" s="57">
        <f>IF(ISERROR(IF(B28=C28,D28/C28,(INT(D28/B28)+(((D28-B28*INT(D28/B28)))/C28)/100))),0,(IF(B28=C28,D28/C28,(INT(D28/B28)+(((D28-B28*INT(D28/B28)))/C28)/100))))</f>
        <v>0</v>
      </c>
      <c r="AP28" s="57">
        <f>IF(ISERROR(IF(B28=C28,E28/C28,(INT(E28/B28)+(((E28-B28*INT(E28/B28)))/C28)/100))),0,(IF(B28=C28,E28/C28,(INT(E28/B28)+(((E28-B28*INT(E28/B28)))/C28)/100))))</f>
        <v>0</v>
      </c>
      <c r="AQ28" s="57">
        <f>IF(ISERROR(IF(B28=C28,F28/C28,IF((INT(F28/B28)+(((F28-B28*INT(F28/B28)))/C28)/100)&lt;0,(INT(F28/B28)+(((F28-B28*INT(F28/B28)))/C28)/100)+(1-(B28/C28/100)),(INT(F28/B28)+(((F28-B28*INT(F28/B28)))/C28)/100)))),0,IF(B28=C28,F28/C28,IF((INT(F28/B28)+(((F28-B28*INT(F28/B28)))/C28)/100)&lt;0,(INT(F28/B28)+(((F28-B28*INT(F28/B28)))/C28)/100)+(1-(B28/C28/100)),(INT(F28/B28)+(((F28-B28*INT(F28/B28)))/C28)/100))))</f>
        <v>0</v>
      </c>
      <c r="AR28" s="57">
        <f>IF(ISERROR(IF(B28=C28,G28/C28,(INT(G28/B28)+(((G28-B28*INT(G28/B28)))/C28)/100))),0,(IF(B28=C28,G28/C28,(INT(G28/B28)+(((G28-B28*INT(G28/B28)))/C28)/100))))</f>
        <v>0</v>
      </c>
      <c r="AS28" s="57">
        <f>IF(ISERROR(IF(B28=C28,H28/C28,(INT(H28/B28)+(((H28-B28*INT(H28/B28)))/C28)/100))),0,(IF(B28=C28,H28/C28,(INT(H28/B28)+(((H28-B28*INT(H28/B28)))/C28)/100))))</f>
        <v>0</v>
      </c>
      <c r="AT28" s="57">
        <f>IF(ISERROR(IF(B28=C28,I28/C28,(INT(I28/B28)+(((I28-B28*INT(I28/B28)))/C28)/100))),0,(IF(B28=C28,I28/C28,(INT(I28/B28)+(((I28-B28*INT(I28/B28)))/C28)/100))))</f>
        <v>0</v>
      </c>
      <c r="AU28" s="57">
        <f>IF(ISERROR(IF(B28=C28,J28/C28,(INT(J28/B28)+(((J28-B28*INT(J28/B28)))/C28)/100))),0,(IF(B28=C28,J28/C28,(INT(J28/B28)+(((J28-B28*INT(J28/B28)))/C28)/100))))</f>
        <v>0</v>
      </c>
      <c r="AV28" s="57">
        <f>IF(ISERROR(IF(B28=C28,K28/C28,IF((INT(K28/B28)+(((K28-B28*INT(K28/B28)))/C28)/100)&lt;0,(INT(K28/B28)+(((K28-B28*INT(K28/B28)))/C28)/100)+(1-(B28/C28/100)),(INT(K28/B28)+(((K28-B28*INT(K28/B28)))/C28)/100)))),0,IF(B28=C28,K28/C28,IF((INT(K28/B28)+(((K28-B28*INT(K28/B28)))/C28)/100)&lt;0,(INT(K28/B28)+(((K28-B28*INT(K28/B28)))/C28)/100)+(1-(B28/C28/100)),(INT(K28/B28)+(((K28-B28*INT(K28/B28)))/C28)/100))))</f>
        <v>0</v>
      </c>
      <c r="AW28" s="57">
        <f>IF(ISERROR(IF(B28=C28,L28/C28,(INT(L28/B28)+(((L28-B28*INT(L28/B28)))/C28)/100))),0,(IF(B28=C28,L28/C28,(INT(L28/B28)+(((L28-B28*INT(L28/B28)))/C28)/100))))</f>
        <v>0</v>
      </c>
      <c r="AX28" s="57">
        <f>IF(ISERROR(IF(B28=C28,M28/C28,(INT(M28/B28)+(((M28-B28*INT(M28/B28)))/C28)/100))),0,(IF(B28=C28,M28/C28,(INT(M28/B28)+(((M28-B28*INT(M28/B28)))/C28)/100))))</f>
        <v>0</v>
      </c>
      <c r="AY28" s="57">
        <f>IF(ISERROR(IF(B28=C28,N28/C28,IF((INT(N28/B28)+(((N28-B28*INT(N28/B28)))/C28)/100)&lt;0,(INT(N28/B28)+(((N28-B28*INT(N28/B28)))/C28)/100)+(1-(B28/C28/100)),(INT(N28/B28)+(((N28-B28*INT(N28/B28)))/C28)/100)))),0,IF(B28=C28,N28/C28,IF((INT(N28/B28)+(((N28-B28*INT(N28/B28)))/C28)/100)&lt;0,(INT(N28/B28)+(((N28-B28*INT(N28/B28)))/C28)/100)+(1-(B28/C28/100)),(INT(N28/B28)+(((N28-B28*INT(N28/B28)))/C28)/100))))</f>
        <v>0</v>
      </c>
      <c r="AZ28" s="57">
        <f>IF(ISERROR(IF(B28=C28,O28/C28,(INT(O28/B28)+(((O28-B28*INT(O28/B28)))/C28)/100))),0,(IF(B28=C28,O28/C28,(INT(O28/B28)+(((O28-B28*INT(O28/B28)))/C28)/100))))</f>
        <v>0</v>
      </c>
      <c r="BA28" s="57">
        <f>IF(ISERROR(IF(B28=C28,P28/C28,IF((INT(P28/B28)+(((P28-B28*INT(P28/B28)))/C28)/100)&lt;0,(INT(P28/B28)+(((P28-B28*INT(P28/B28)))/C28)/100)+(1-(B28/C28/100)),(INT(P28/B28)+(((P28-B28*INT(P28/B28)))/C28)/100)))),0,IF(B28=C28,P28/C28,IF((INT(P28/B28)+(((P28-B28*INT(P28/B28)))/C28)/100)&lt;0,(INT(P28/B28)+(((P28-B28*INT(P28/B28)))/C28)/100)+(1-(B28/C28/100)),(INT(P28/B28)+(((P28-B28*INT(P28/B28)))/C28)/100))))</f>
        <v>0</v>
      </c>
      <c r="BB28" s="28">
        <f>R28</f>
        <v>0</v>
      </c>
      <c r="BC28" s="28">
        <f>S28</f>
        <v>0</v>
      </c>
      <c r="BD28" s="28">
        <f>AF28</f>
        <v>0</v>
      </c>
      <c r="BE28" s="28">
        <f>T28</f>
        <v>0</v>
      </c>
      <c r="BG28" s="57">
        <f>IF(ISERROR(IF(B28=C28,V28/C28,(INT(V28/B28)+(((V28-B28*INT(V28/B28)))/C28)/100))),0,(IF(B28=C28,V28/C28,(INT(V28/B28)+(((V28-B28*INT(V28/B28)))/C28)/100))))</f>
        <v>0</v>
      </c>
      <c r="BH28" s="57">
        <f>IF(ISERROR(IF(B28=C28,W28/C28,(INT(W28/B28)+(((W28-B28*INT(W28/B28)))/C28)/100))),0,(IF(B28=C28,W28/C28,(INT(W28/B28)+(((W28-B28*INT(W28/B28)))/C28)/100))))</f>
        <v>0</v>
      </c>
      <c r="BI28" s="57">
        <f>IF(ISERROR(IF(B28=C28,X28/C28,(INT(X28/B28)+(((X28-B28*INT(X28/B28)))/C28)/100))),0,(IF(B28=C28,X28/C28,(INT(X28/B28)+(((X28-B28*INT(X28/B28)))/C28)/100))))</f>
        <v>0</v>
      </c>
      <c r="BJ28" s="57">
        <f>IF(ISERROR(IF(B28=C28,Y28/C28,(INT(Y28/B28)+(((Y28-B28*INT(Y28/B28)))/C28)/100))),0,(IF(B28=C28,Y28/C28,(INT(Y28/B28)+(((Y28-B28*INT(Y28/B28)))/C28)/100))))</f>
        <v>0</v>
      </c>
      <c r="BL28" s="57">
        <f>IF(ISERROR(IF(B28=C28,AA28/C28,(INT(AA28/B28)+(((AA28-B28*INT(AA28/B28)))/C28)/100))),0,(IF(B28=C28,AA28/C28,(INT(AA28/B28)+(((AA28-B28*INT(AA28/B28)))/C28)/100))))</f>
        <v>0</v>
      </c>
      <c r="BM28" s="57">
        <f>IF(ISERROR(IF(B28=C28,AB28/C28,(INT(AB28/B28)+(((AB28-B28*INT(AB28/B28)))/C28)/100))),0,(IF(B28=C28,AB28/C28,(INT(AB28/B28)+(((AB28-B28*INT(AB28/B28)))/C28)/100))))</f>
        <v>0</v>
      </c>
      <c r="BN28" s="57">
        <f>IF(ISERROR(IF(B28=C28,AC28/C28,(INT(AC28/B28)+(((AC28-B28*INT(AC28/B28)))/C28)/100))),0,(IF(B28=C28,AC28/C28,(INT(AC28/B28)+(((AC28-B28*INT(AC28/B28)))/C28)/100))))</f>
        <v>0</v>
      </c>
      <c r="BO28" s="57">
        <f>IF(ISERROR(IF(B28=C28,AD28/C28,(INT(AD28/B28)+(((AD28-B28*INT(AD28/B28)))/C28)/100))),0,(IF(B28=C28,AD28/C28,(INT(AD28/B28)+(((AD28-B28*INT(AD28/B28)))/C28)/100))))</f>
        <v>0</v>
      </c>
      <c r="BQ28" s="155"/>
    </row>
    <row r="29" spans="1:69" hidden="1" x14ac:dyDescent="0.35">
      <c r="A29" s="134"/>
      <c r="B29" s="113">
        <v>1000</v>
      </c>
      <c r="C29" s="113">
        <v>30</v>
      </c>
      <c r="D29" s="28">
        <f>SUM(AA29:AD29)</f>
        <v>0</v>
      </c>
      <c r="E29" s="113">
        <v>0</v>
      </c>
      <c r="F29" s="113">
        <v>0</v>
      </c>
      <c r="G29" s="28">
        <f>SUM(D29:F29)</f>
        <v>0</v>
      </c>
      <c r="H29" s="125">
        <v>0</v>
      </c>
      <c r="I29" s="113">
        <v>0</v>
      </c>
      <c r="J29" s="125">
        <v>0</v>
      </c>
      <c r="K29" s="113">
        <v>0</v>
      </c>
      <c r="L29" s="113">
        <v>0</v>
      </c>
      <c r="M29" s="113">
        <v>0</v>
      </c>
      <c r="N29" s="28">
        <f>G29-SUM(H29:M29)</f>
        <v>0</v>
      </c>
      <c r="O29" s="28">
        <f>SUM(V29:Y29)</f>
        <v>0</v>
      </c>
      <c r="P29" s="28">
        <f>O29-N29</f>
        <v>0</v>
      </c>
      <c r="Q29" s="61" t="str">
        <f>IF(ISERROR(P29/SUM(H29:L29)),"",P29/SUM(H29:L29))</f>
        <v/>
      </c>
      <c r="R29" s="113">
        <v>0</v>
      </c>
      <c r="S29" s="28">
        <f>IF(ISERROR(P29/C29*R29),0,(P29/C29*R29))</f>
        <v>0</v>
      </c>
      <c r="T29" s="60">
        <f>IF(ISERROR(P29/B29*AF29),0,(P29/B29*AF29))</f>
        <v>0</v>
      </c>
      <c r="V29" s="113">
        <v>0</v>
      </c>
      <c r="W29" s="113">
        <v>0</v>
      </c>
      <c r="X29" s="113">
        <v>0</v>
      </c>
      <c r="Y29" s="113">
        <v>0</v>
      </c>
      <c r="AA29" s="113">
        <v>0</v>
      </c>
      <c r="AB29" s="113">
        <v>0</v>
      </c>
      <c r="AC29" s="113">
        <v>0</v>
      </c>
      <c r="AD29" s="113">
        <v>0</v>
      </c>
      <c r="AF29" s="113">
        <v>0</v>
      </c>
      <c r="AG29" s="28">
        <f>G29-O29</f>
        <v>0</v>
      </c>
      <c r="AH29" s="58">
        <f>IF(ISERROR(AG29/B29*AF29),0,(AG29/B29*AF29))</f>
        <v>0</v>
      </c>
      <c r="AI29" s="28">
        <f>SUM(H29:M29)</f>
        <v>0</v>
      </c>
      <c r="AJ29" s="28">
        <f>IF(ISERROR(AI29/B29*AF29),0,(AI29/B29*AF29))</f>
        <v>0</v>
      </c>
      <c r="AK29" s="58">
        <f>IF(ISERROR(O29/B29*AF29),0,(O29/B29*AF29))</f>
        <v>0</v>
      </c>
      <c r="AL29" s="28">
        <f>IF(ISERROR(H29/B29*AF29),0,(H29/B29*AF29))</f>
        <v>0</v>
      </c>
      <c r="AN29" s="51">
        <f>A29</f>
        <v>0</v>
      </c>
      <c r="AO29" s="57">
        <f>IF(ISERROR(IF(B29=C29,D29/C29,(INT(D29/B29)+(((D29-B29*INT(D29/B29)))/C29)/100))),0,(IF(B29=C29,D29/C29,(INT(D29/B29)+(((D29-B29*INT(D29/B29)))/C29)/100))))</f>
        <v>0</v>
      </c>
      <c r="AP29" s="57">
        <f>IF(ISERROR(IF(B29=C29,E29/C29,(INT(E29/B29)+(((E29-B29*INT(E29/B29)))/C29)/100))),0,(IF(B29=C29,E29/C29,(INT(E29/B29)+(((E29-B29*INT(E29/B29)))/C29)/100))))</f>
        <v>0</v>
      </c>
      <c r="AQ29" s="57">
        <f>IF(ISERROR(IF(B29=C29,F29/C29,IF((INT(F29/B29)+(((F29-B29*INT(F29/B29)))/C29)/100)&lt;0,(INT(F29/B29)+(((F29-B29*INT(F29/B29)))/C29)/100)+(1-(B29/C29/100)),(INT(F29/B29)+(((F29-B29*INT(F29/B29)))/C29)/100)))),0,IF(B29=C29,F29/C29,IF((INT(F29/B29)+(((F29-B29*INT(F29/B29)))/C29)/100)&lt;0,(INT(F29/B29)+(((F29-B29*INT(F29/B29)))/C29)/100)+(1-(B29/C29/100)),(INT(F29/B29)+(((F29-B29*INT(F29/B29)))/C29)/100))))</f>
        <v>0</v>
      </c>
      <c r="AR29" s="57">
        <f>IF(ISERROR(IF(B29=C29,G29/C29,(INT(G29/B29)+(((G29-B29*INT(G29/B29)))/C29)/100))),0,(IF(B29=C29,G29/C29,(INT(G29/B29)+(((G29-B29*INT(G29/B29)))/C29)/100))))</f>
        <v>0</v>
      </c>
      <c r="AS29" s="57">
        <f>IF(ISERROR(IF(B29=C29,H29/C29,(INT(H29/B29)+(((H29-B29*INT(H29/B29)))/C29)/100))),0,(IF(B29=C29,H29/C29,(INT(H29/B29)+(((H29-B29*INT(H29/B29)))/C29)/100))))</f>
        <v>0</v>
      </c>
      <c r="AT29" s="57">
        <f>IF(ISERROR(IF(B29=C29,I29/C29,(INT(I29/B29)+(((I29-B29*INT(I29/B29)))/C29)/100))),0,(IF(B29=C29,I29/C29,(INT(I29/B29)+(((I29-B29*INT(I29/B29)))/C29)/100))))</f>
        <v>0</v>
      </c>
      <c r="AU29" s="57">
        <f>IF(ISERROR(IF(B29=C29,J29/C29,(INT(J29/B29)+(((J29-B29*INT(J29/B29)))/C29)/100))),0,(IF(B29=C29,J29/C29,(INT(J29/B29)+(((J29-B29*INT(J29/B29)))/C29)/100))))</f>
        <v>0</v>
      </c>
      <c r="AV29" s="57">
        <f>IF(ISERROR(IF(B29=C29,K29/C29,IF((INT(K29/B29)+(((K29-B29*INT(K29/B29)))/C29)/100)&lt;0,(INT(K29/B29)+(((K29-B29*INT(K29/B29)))/C29)/100)+(1-(B29/C29/100)),(INT(K29/B29)+(((K29-B29*INT(K29/B29)))/C29)/100)))),0,IF(B29=C29,K29/C29,IF((INT(K29/B29)+(((K29-B29*INT(K29/B29)))/C29)/100)&lt;0,(INT(K29/B29)+(((K29-B29*INT(K29/B29)))/C29)/100)+(1-(B29/C29/100)),(INT(K29/B29)+(((K29-B29*INT(K29/B29)))/C29)/100))))</f>
        <v>0</v>
      </c>
      <c r="AW29" s="57">
        <f>IF(ISERROR(IF(B29=C29,L29/C29,(INT(L29/B29)+(((L29-B29*INT(L29/B29)))/C29)/100))),0,(IF(B29=C29,L29/C29,(INT(L29/B29)+(((L29-B29*INT(L29/B29)))/C29)/100))))</f>
        <v>0</v>
      </c>
      <c r="AX29" s="57">
        <f>IF(ISERROR(IF(B29=C29,M29/C29,(INT(M29/B29)+(((M29-B29*INT(M29/B29)))/C29)/100))),0,(IF(B29=C29,M29/C29,(INT(M29/B29)+(((M29-B29*INT(M29/B29)))/C29)/100))))</f>
        <v>0</v>
      </c>
      <c r="AY29" s="57">
        <f>IF(ISERROR(IF(B29=C29,N29/C29,IF((INT(N29/B29)+(((N29-B29*INT(N29/B29)))/C29)/100)&lt;0,(INT(N29/B29)+(((N29-B29*INT(N29/B29)))/C29)/100)+(1-(B29/C29/100)),(INT(N29/B29)+(((N29-B29*INT(N29/B29)))/C29)/100)))),0,IF(B29=C29,N29/C29,IF((INT(N29/B29)+(((N29-B29*INT(N29/B29)))/C29)/100)&lt;0,(INT(N29/B29)+(((N29-B29*INT(N29/B29)))/C29)/100)+(1-(B29/C29/100)),(INT(N29/B29)+(((N29-B29*INT(N29/B29)))/C29)/100))))</f>
        <v>0</v>
      </c>
      <c r="AZ29" s="57">
        <f>IF(ISERROR(IF(B29=C29,O29/C29,(INT(O29/B29)+(((O29-B29*INT(O29/B29)))/C29)/100))),0,(IF(B29=C29,O29/C29,(INT(O29/B29)+(((O29-B29*INT(O29/B29)))/C29)/100))))</f>
        <v>0</v>
      </c>
      <c r="BA29" s="57">
        <f>IF(ISERROR(IF(B29=C29,P29/C29,IF((INT(P29/B29)+(((P29-B29*INT(P29/B29)))/C29)/100)&lt;0,(INT(P29/B29)+(((P29-B29*INT(P29/B29)))/C29)/100)+(1-(B29/C29/100)),(INT(P29/B29)+(((P29-B29*INT(P29/B29)))/C29)/100)))),0,IF(B29=C29,P29/C29,IF((INT(P29/B29)+(((P29-B29*INT(P29/B29)))/C29)/100)&lt;0,(INT(P29/B29)+(((P29-B29*INT(P29/B29)))/C29)/100)+(1-(B29/C29/100)),(INT(P29/B29)+(((P29-B29*INT(P29/B29)))/C29)/100))))</f>
        <v>0</v>
      </c>
      <c r="BB29" s="28">
        <f>R29</f>
        <v>0</v>
      </c>
      <c r="BC29" s="28">
        <f>S29</f>
        <v>0</v>
      </c>
      <c r="BD29" s="28">
        <f>AF29</f>
        <v>0</v>
      </c>
      <c r="BE29" s="28">
        <f>T29</f>
        <v>0</v>
      </c>
      <c r="BG29" s="57">
        <f>IF(ISERROR(IF(B29=C29,V29/C29,(INT(V29/B29)+(((V29-B29*INT(V29/B29)))/C29)/100))),0,(IF(B29=C29,V29/C29,(INT(V29/B29)+(((V29-B29*INT(V29/B29)))/C29)/100))))</f>
        <v>0</v>
      </c>
      <c r="BH29" s="57">
        <f>IF(ISERROR(IF(B29=C29,W29/C29,(INT(W29/B29)+(((W29-B29*INT(W29/B29)))/C29)/100))),0,(IF(B29=C29,W29/C29,(INT(W29/B29)+(((W29-B29*INT(W29/B29)))/C29)/100))))</f>
        <v>0</v>
      </c>
      <c r="BI29" s="57">
        <f>IF(ISERROR(IF(B29=C29,X29/C29,(INT(X29/B29)+(((X29-B29*INT(X29/B29)))/C29)/100))),0,(IF(B29=C29,X29/C29,(INT(X29/B29)+(((X29-B29*INT(X29/B29)))/C29)/100))))</f>
        <v>0</v>
      </c>
      <c r="BJ29" s="57">
        <f>IF(ISERROR(IF(B29=C29,Y29/C29,(INT(Y29/B29)+(((Y29-B29*INT(Y29/B29)))/C29)/100))),0,(IF(B29=C29,Y29/C29,(INT(Y29/B29)+(((Y29-B29*INT(Y29/B29)))/C29)/100))))</f>
        <v>0</v>
      </c>
      <c r="BL29" s="57">
        <f>IF(ISERROR(IF(B29=C29,AA29/C29,(INT(AA29/B29)+(((AA29-B29*INT(AA29/B29)))/C29)/100))),0,(IF(B29=C29,AA29/C29,(INT(AA29/B29)+(((AA29-B29*INT(AA29/B29)))/C29)/100))))</f>
        <v>0</v>
      </c>
      <c r="BM29" s="57">
        <f>IF(ISERROR(IF(B29=C29,AB29/C29,(INT(AB29/B29)+(((AB29-B29*INT(AB29/B29)))/C29)/100))),0,(IF(B29=C29,AB29/C29,(INT(AB29/B29)+(((AB29-B29*INT(AB29/B29)))/C29)/100))))</f>
        <v>0</v>
      </c>
      <c r="BN29" s="57">
        <f>IF(ISERROR(IF(B29=C29,AC29/C29,(INT(AC29/B29)+(((AC29-B29*INT(AC29/B29)))/C29)/100))),0,(IF(B29=C29,AC29/C29,(INT(AC29/B29)+(((AC29-B29*INT(AC29/B29)))/C29)/100))))</f>
        <v>0</v>
      </c>
      <c r="BO29" s="57">
        <f>IF(ISERROR(IF(B29=C29,AD29/C29,(INT(AD29/B29)+(((AD29-B29*INT(AD29/B29)))/C29)/100))),0,(IF(B29=C29,AD29/C29,(INT(AD29/B29)+(((AD29-B29*INT(AD29/B29)))/C29)/100))))</f>
        <v>0</v>
      </c>
      <c r="BQ29" s="155"/>
    </row>
    <row r="30" spans="1:69" hidden="1" x14ac:dyDescent="0.35">
      <c r="A30" s="134"/>
      <c r="B30" s="113">
        <v>1000</v>
      </c>
      <c r="C30" s="113">
        <v>30</v>
      </c>
      <c r="D30" s="28">
        <f>SUM(AA30:AD30)</f>
        <v>0</v>
      </c>
      <c r="E30" s="113">
        <v>0</v>
      </c>
      <c r="F30" s="113">
        <v>0</v>
      </c>
      <c r="G30" s="28">
        <f>SUM(D30:F30)</f>
        <v>0</v>
      </c>
      <c r="H30" s="125">
        <v>0</v>
      </c>
      <c r="I30" s="113">
        <v>0</v>
      </c>
      <c r="J30" s="125">
        <v>0</v>
      </c>
      <c r="K30" s="113">
        <v>0</v>
      </c>
      <c r="L30" s="113">
        <v>0</v>
      </c>
      <c r="M30" s="113">
        <v>0</v>
      </c>
      <c r="N30" s="28">
        <f>G30-SUM(H30:M30)</f>
        <v>0</v>
      </c>
      <c r="O30" s="28">
        <f>SUM(V30:Y30)</f>
        <v>0</v>
      </c>
      <c r="P30" s="28">
        <f>O30-N30</f>
        <v>0</v>
      </c>
      <c r="Q30" s="61" t="str">
        <f>IF(ISERROR(P30/SUM(H30:L30)),"",P30/SUM(H30:L30))</f>
        <v/>
      </c>
      <c r="R30" s="113">
        <v>0</v>
      </c>
      <c r="S30" s="28">
        <f>IF(ISERROR(P30/C30*R30),0,(P30/C30*R30))</f>
        <v>0</v>
      </c>
      <c r="T30" s="60">
        <f>IF(ISERROR(P30/B30*AF30),0,(P30/B30*AF30))</f>
        <v>0</v>
      </c>
      <c r="V30" s="113">
        <v>0</v>
      </c>
      <c r="W30" s="113">
        <v>0</v>
      </c>
      <c r="X30" s="113">
        <v>0</v>
      </c>
      <c r="Y30" s="113">
        <v>0</v>
      </c>
      <c r="AA30" s="113">
        <v>0</v>
      </c>
      <c r="AB30" s="113">
        <v>0</v>
      </c>
      <c r="AC30" s="113">
        <v>0</v>
      </c>
      <c r="AD30" s="113">
        <v>0</v>
      </c>
      <c r="AF30" s="113">
        <v>0</v>
      </c>
      <c r="AG30" s="28">
        <f>G30-O30</f>
        <v>0</v>
      </c>
      <c r="AH30" s="58">
        <f>IF(ISERROR(AG30/B30*AF30),0,(AG30/B30*AF30))</f>
        <v>0</v>
      </c>
      <c r="AI30" s="28">
        <f>SUM(H30:M30)</f>
        <v>0</v>
      </c>
      <c r="AJ30" s="28">
        <f>IF(ISERROR(AI30/B30*AF30),0,(AI30/B30*AF30))</f>
        <v>0</v>
      </c>
      <c r="AK30" s="58">
        <f>IF(ISERROR(O30/B30*AF30),0,(O30/B30*AF30))</f>
        <v>0</v>
      </c>
      <c r="AL30" s="28">
        <f>IF(ISERROR(H30/B30*AF30),0,(H30/B30*AF30))</f>
        <v>0</v>
      </c>
      <c r="AN30" s="51">
        <f>A30</f>
        <v>0</v>
      </c>
      <c r="AO30" s="57">
        <f>IF(ISERROR(IF(B30=C30,D30/C30,(INT(D30/B30)+(((D30-B30*INT(D30/B30)))/C30)/100))),0,(IF(B30=C30,D30/C30,(INT(D30/B30)+(((D30-B30*INT(D30/B30)))/C30)/100))))</f>
        <v>0</v>
      </c>
      <c r="AP30" s="57">
        <f>IF(ISERROR(IF(B30=C30,E30/C30,(INT(E30/B30)+(((E30-B30*INT(E30/B30)))/C30)/100))),0,(IF(B30=C30,E30/C30,(INT(E30/B30)+(((E30-B30*INT(E30/B30)))/C30)/100))))</f>
        <v>0</v>
      </c>
      <c r="AQ30" s="57">
        <f>IF(ISERROR(IF(B30=C30,F30/C30,IF((INT(F30/B30)+(((F30-B30*INT(F30/B30)))/C30)/100)&lt;0,(INT(F30/B30)+(((F30-B30*INT(F30/B30)))/C30)/100)+(1-(B30/C30/100)),(INT(F30/B30)+(((F30-B30*INT(F30/B30)))/C30)/100)))),0,IF(B30=C30,F30/C30,IF((INT(F30/B30)+(((F30-B30*INT(F30/B30)))/C30)/100)&lt;0,(INT(F30/B30)+(((F30-B30*INT(F30/B30)))/C30)/100)+(1-(B30/C30/100)),(INT(F30/B30)+(((F30-B30*INT(F30/B30)))/C30)/100))))</f>
        <v>0</v>
      </c>
      <c r="AR30" s="57">
        <f>IF(ISERROR(IF(B30=C30,G30/C30,(INT(G30/B30)+(((G30-B30*INT(G30/B30)))/C30)/100))),0,(IF(B30=C30,G30/C30,(INT(G30/B30)+(((G30-B30*INT(G30/B30)))/C30)/100))))</f>
        <v>0</v>
      </c>
      <c r="AS30" s="57">
        <f>IF(ISERROR(IF(B30=C30,H30/C30,(INT(H30/B30)+(((H30-B30*INT(H30/B30)))/C30)/100))),0,(IF(B30=C30,H30/C30,(INT(H30/B30)+(((H30-B30*INT(H30/B30)))/C30)/100))))</f>
        <v>0</v>
      </c>
      <c r="AT30" s="57">
        <f>IF(ISERROR(IF(B30=C30,I30/C30,(INT(I30/B30)+(((I30-B30*INT(I30/B30)))/C30)/100))),0,(IF(B30=C30,I30/C30,(INT(I30/B30)+(((I30-B30*INT(I30/B30)))/C30)/100))))</f>
        <v>0</v>
      </c>
      <c r="AU30" s="57">
        <f>IF(ISERROR(IF(B30=C30,J30/C30,(INT(J30/B30)+(((J30-B30*INT(J30/B30)))/C30)/100))),0,(IF(B30=C30,J30/C30,(INT(J30/B30)+(((J30-B30*INT(J30/B30)))/C30)/100))))</f>
        <v>0</v>
      </c>
      <c r="AV30" s="57">
        <f>IF(ISERROR(IF(B30=C30,K30/C30,IF((INT(K30/B30)+(((K30-B30*INT(K30/B30)))/C30)/100)&lt;0,(INT(K30/B30)+(((K30-B30*INT(K30/B30)))/C30)/100)+(1-(B30/C30/100)),(INT(K30/B30)+(((K30-B30*INT(K30/B30)))/C30)/100)))),0,IF(B30=C30,K30/C30,IF((INT(K30/B30)+(((K30-B30*INT(K30/B30)))/C30)/100)&lt;0,(INT(K30/B30)+(((K30-B30*INT(K30/B30)))/C30)/100)+(1-(B30/C30/100)),(INT(K30/B30)+(((K30-B30*INT(K30/B30)))/C30)/100))))</f>
        <v>0</v>
      </c>
      <c r="AW30" s="57">
        <f>IF(ISERROR(IF(B30=C30,L30/C30,(INT(L30/B30)+(((L30-B30*INT(L30/B30)))/C30)/100))),0,(IF(B30=C30,L30/C30,(INT(L30/B30)+(((L30-B30*INT(L30/B30)))/C30)/100))))</f>
        <v>0</v>
      </c>
      <c r="AX30" s="57">
        <f>IF(ISERROR(IF(B30=C30,M30/C30,(INT(M30/B30)+(((M30-B30*INT(M30/B30)))/C30)/100))),0,(IF(B30=C30,M30/C30,(INT(M30/B30)+(((M30-B30*INT(M30/B30)))/C30)/100))))</f>
        <v>0</v>
      </c>
      <c r="AY30" s="57">
        <f>IF(ISERROR(IF(B30=C30,N30/C30,IF((INT(N30/B30)+(((N30-B30*INT(N30/B30)))/C30)/100)&lt;0,(INT(N30/B30)+(((N30-B30*INT(N30/B30)))/C30)/100)+(1-(B30/C30/100)),(INT(N30/B30)+(((N30-B30*INT(N30/B30)))/C30)/100)))),0,IF(B30=C30,N30/C30,IF((INT(N30/B30)+(((N30-B30*INT(N30/B30)))/C30)/100)&lt;0,(INT(N30/B30)+(((N30-B30*INT(N30/B30)))/C30)/100)+(1-(B30/C30/100)),(INT(N30/B30)+(((N30-B30*INT(N30/B30)))/C30)/100))))</f>
        <v>0</v>
      </c>
      <c r="AZ30" s="57">
        <f>IF(ISERROR(IF(B30=C30,O30/C30,(INT(O30/B30)+(((O30-B30*INT(O30/B30)))/C30)/100))),0,(IF(B30=C30,O30/C30,(INT(O30/B30)+(((O30-B30*INT(O30/B30)))/C30)/100))))</f>
        <v>0</v>
      </c>
      <c r="BA30" s="57">
        <f>IF(ISERROR(IF(B30=C30,P30/C30,IF((INT(P30/B30)+(((P30-B30*INT(P30/B30)))/C30)/100)&lt;0,(INT(P30/B30)+(((P30-B30*INT(P30/B30)))/C30)/100)+(1-(B30/C30/100)),(INT(P30/B30)+(((P30-B30*INT(P30/B30)))/C30)/100)))),0,IF(B30=C30,P30/C30,IF((INT(P30/B30)+(((P30-B30*INT(P30/B30)))/C30)/100)&lt;0,(INT(P30/B30)+(((P30-B30*INT(P30/B30)))/C30)/100)+(1-(B30/C30/100)),(INT(P30/B30)+(((P30-B30*INT(P30/B30)))/C30)/100))))</f>
        <v>0</v>
      </c>
      <c r="BB30" s="28">
        <f>R30</f>
        <v>0</v>
      </c>
      <c r="BC30" s="28">
        <f>S30</f>
        <v>0</v>
      </c>
      <c r="BD30" s="28">
        <f>AF30</f>
        <v>0</v>
      </c>
      <c r="BE30" s="28">
        <f>T30</f>
        <v>0</v>
      </c>
      <c r="BG30" s="57">
        <f>IF(ISERROR(IF(B30=C30,V30/C30,(INT(V30/B30)+(((V30-B30*INT(V30/B30)))/C30)/100))),0,(IF(B30=C30,V30/C30,(INT(V30/B30)+(((V30-B30*INT(V30/B30)))/C30)/100))))</f>
        <v>0</v>
      </c>
      <c r="BH30" s="57">
        <f>IF(ISERROR(IF(B30=C30,W30/C30,(INT(W30/B30)+(((W30-B30*INT(W30/B30)))/C30)/100))),0,(IF(B30=C30,W30/C30,(INT(W30/B30)+(((W30-B30*INT(W30/B30)))/C30)/100))))</f>
        <v>0</v>
      </c>
      <c r="BI30" s="57">
        <f>IF(ISERROR(IF(B30=C30,X30/C30,(INT(X30/B30)+(((X30-B30*INT(X30/B30)))/C30)/100))),0,(IF(B30=C30,X30/C30,(INT(X30/B30)+(((X30-B30*INT(X30/B30)))/C30)/100))))</f>
        <v>0</v>
      </c>
      <c r="BJ30" s="57">
        <f>IF(ISERROR(IF(B30=C30,Y30/C30,(INT(Y30/B30)+(((Y30-B30*INT(Y30/B30)))/C30)/100))),0,(IF(B30=C30,Y30/C30,(INT(Y30/B30)+(((Y30-B30*INT(Y30/B30)))/C30)/100))))</f>
        <v>0</v>
      </c>
      <c r="BL30" s="57">
        <f>IF(ISERROR(IF(B30=C30,AA30/C30,(INT(AA30/B30)+(((AA30-B30*INT(AA30/B30)))/C30)/100))),0,(IF(B30=C30,AA30/C30,(INT(AA30/B30)+(((AA30-B30*INT(AA30/B30)))/C30)/100))))</f>
        <v>0</v>
      </c>
      <c r="BM30" s="57">
        <f>IF(ISERROR(IF(B30=C30,AB30/C30,(INT(AB30/B30)+(((AB30-B30*INT(AB30/B30)))/C30)/100))),0,(IF(B30=C30,AB30/C30,(INT(AB30/B30)+(((AB30-B30*INT(AB30/B30)))/C30)/100))))</f>
        <v>0</v>
      </c>
      <c r="BN30" s="57">
        <f>IF(ISERROR(IF(B30=C30,AC30/C30,(INT(AC30/B30)+(((AC30-B30*INT(AC30/B30)))/C30)/100))),0,(IF(B30=C30,AC30/C30,(INT(AC30/B30)+(((AC30-B30*INT(AC30/B30)))/C30)/100))))</f>
        <v>0</v>
      </c>
      <c r="BO30" s="57">
        <f>IF(ISERROR(IF(B30=C30,AD30/C30,(INT(AD30/B30)+(((AD30-B30*INT(AD30/B30)))/C30)/100))),0,(IF(B30=C30,AD30/C30,(INT(AD30/B30)+(((AD30-B30*INT(AD30/B30)))/C30)/100))))</f>
        <v>0</v>
      </c>
      <c r="BQ30" s="155"/>
    </row>
    <row r="31" spans="1:69" hidden="1" x14ac:dyDescent="0.35">
      <c r="A31" s="134"/>
      <c r="B31" s="113">
        <v>1000</v>
      </c>
      <c r="C31" s="113">
        <v>30</v>
      </c>
      <c r="D31" s="28">
        <f>SUM(AA31:AD31)</f>
        <v>0</v>
      </c>
      <c r="E31" s="113">
        <v>0</v>
      </c>
      <c r="F31" s="113">
        <v>0</v>
      </c>
      <c r="G31" s="28">
        <f>SUM(D31:F31)</f>
        <v>0</v>
      </c>
      <c r="H31" s="125">
        <v>0</v>
      </c>
      <c r="I31" s="113">
        <v>0</v>
      </c>
      <c r="J31" s="125">
        <v>0</v>
      </c>
      <c r="K31" s="113">
        <v>0</v>
      </c>
      <c r="L31" s="113">
        <v>0</v>
      </c>
      <c r="M31" s="113">
        <v>0</v>
      </c>
      <c r="N31" s="28">
        <f>G31-SUM(H31:M31)</f>
        <v>0</v>
      </c>
      <c r="O31" s="28">
        <f>SUM(V31:Y31)</f>
        <v>0</v>
      </c>
      <c r="P31" s="28">
        <f>O31-N31</f>
        <v>0</v>
      </c>
      <c r="Q31" s="61" t="str">
        <f>IF(ISERROR(P31/SUM(H31:L31)),"",P31/SUM(H31:L31))</f>
        <v/>
      </c>
      <c r="R31" s="113">
        <v>0</v>
      </c>
      <c r="S31" s="28">
        <f>IF(ISERROR(P31/C31*R31),0,(P31/C31*R31))</f>
        <v>0</v>
      </c>
      <c r="T31" s="60">
        <f>IF(ISERROR(P31/B31*AF31),0,(P31/B31*AF31))</f>
        <v>0</v>
      </c>
      <c r="V31" s="113">
        <v>0</v>
      </c>
      <c r="W31" s="113">
        <v>0</v>
      </c>
      <c r="X31" s="113">
        <v>0</v>
      </c>
      <c r="Y31" s="113">
        <v>0</v>
      </c>
      <c r="AA31" s="113">
        <v>0</v>
      </c>
      <c r="AB31" s="113">
        <v>0</v>
      </c>
      <c r="AC31" s="113">
        <v>0</v>
      </c>
      <c r="AD31" s="113">
        <v>0</v>
      </c>
      <c r="AF31" s="113">
        <v>0</v>
      </c>
      <c r="AG31" s="28">
        <f>G31-O31</f>
        <v>0</v>
      </c>
      <c r="AH31" s="58">
        <f>IF(ISERROR(AG31/B31*AF31),0,(AG31/B31*AF31))</f>
        <v>0</v>
      </c>
      <c r="AI31" s="28">
        <f>SUM(H31:M31)</f>
        <v>0</v>
      </c>
      <c r="AJ31" s="28">
        <f>IF(ISERROR(AI31/B31*AF31),0,(AI31/B31*AF31))</f>
        <v>0</v>
      </c>
      <c r="AK31" s="58">
        <f>IF(ISERROR(O31/B31*AF31),0,(O31/B31*AF31))</f>
        <v>0</v>
      </c>
      <c r="AL31" s="28">
        <f>IF(ISERROR(H31/B31*AF31),0,(H31/B31*AF31))</f>
        <v>0</v>
      </c>
      <c r="AN31" s="51">
        <f>A31</f>
        <v>0</v>
      </c>
      <c r="AO31" s="57">
        <f>IF(ISERROR(IF(B31=C31,D31/C31,(INT(D31/B31)+(((D31-B31*INT(D31/B31)))/C31)/100))),0,(IF(B31=C31,D31/C31,(INT(D31/B31)+(((D31-B31*INT(D31/B31)))/C31)/100))))</f>
        <v>0</v>
      </c>
      <c r="AP31" s="57">
        <f>IF(ISERROR(IF(B31=C31,E31/C31,(INT(E31/B31)+(((E31-B31*INT(E31/B31)))/C31)/100))),0,(IF(B31=C31,E31/C31,(INT(E31/B31)+(((E31-B31*INT(E31/B31)))/C31)/100))))</f>
        <v>0</v>
      </c>
      <c r="AQ31" s="57">
        <f>IF(ISERROR(IF(B31=C31,F31/C31,IF((INT(F31/B31)+(((F31-B31*INT(F31/B31)))/C31)/100)&lt;0,(INT(F31/B31)+(((F31-B31*INT(F31/B31)))/C31)/100)+(1-(B31/C31/100)),(INT(F31/B31)+(((F31-B31*INT(F31/B31)))/C31)/100)))),0,IF(B31=C31,F31/C31,IF((INT(F31/B31)+(((F31-B31*INT(F31/B31)))/C31)/100)&lt;0,(INT(F31/B31)+(((F31-B31*INT(F31/B31)))/C31)/100)+(1-(B31/C31/100)),(INT(F31/B31)+(((F31-B31*INT(F31/B31)))/C31)/100))))</f>
        <v>0</v>
      </c>
      <c r="AR31" s="57">
        <f>IF(ISERROR(IF(B31=C31,G31/C31,(INT(G31/B31)+(((G31-B31*INT(G31/B31)))/C31)/100))),0,(IF(B31=C31,G31/C31,(INT(G31/B31)+(((G31-B31*INT(G31/B31)))/C31)/100))))</f>
        <v>0</v>
      </c>
      <c r="AS31" s="57">
        <f>IF(ISERROR(IF(B31=C31,H31/C31,(INT(H31/B31)+(((H31-B31*INT(H31/B31)))/C31)/100))),0,(IF(B31=C31,H31/C31,(INT(H31/B31)+(((H31-B31*INT(H31/B31)))/C31)/100))))</f>
        <v>0</v>
      </c>
      <c r="AT31" s="57">
        <f>IF(ISERROR(IF(B31=C31,I31/C31,(INT(I31/B31)+(((I31-B31*INT(I31/B31)))/C31)/100))),0,(IF(B31=C31,I31/C31,(INT(I31/B31)+(((I31-B31*INT(I31/B31)))/C31)/100))))</f>
        <v>0</v>
      </c>
      <c r="AU31" s="57">
        <f>IF(ISERROR(IF(B31=C31,J31/C31,(INT(J31/B31)+(((J31-B31*INT(J31/B31)))/C31)/100))),0,(IF(B31=C31,J31/C31,(INT(J31/B31)+(((J31-B31*INT(J31/B31)))/C31)/100))))</f>
        <v>0</v>
      </c>
      <c r="AV31" s="57">
        <f>IF(ISERROR(IF(B31=C31,K31/C31,IF((INT(K31/B31)+(((K31-B31*INT(K31/B31)))/C31)/100)&lt;0,(INT(K31/B31)+(((K31-B31*INT(K31/B31)))/C31)/100)+(1-(B31/C31/100)),(INT(K31/B31)+(((K31-B31*INT(K31/B31)))/C31)/100)))),0,IF(B31=C31,K31/C31,IF((INT(K31/B31)+(((K31-B31*INT(K31/B31)))/C31)/100)&lt;0,(INT(K31/B31)+(((K31-B31*INT(K31/B31)))/C31)/100)+(1-(B31/C31/100)),(INT(K31/B31)+(((K31-B31*INT(K31/B31)))/C31)/100))))</f>
        <v>0</v>
      </c>
      <c r="AW31" s="57">
        <f>IF(ISERROR(IF(B31=C31,L31/C31,(INT(L31/B31)+(((L31-B31*INT(L31/B31)))/C31)/100))),0,(IF(B31=C31,L31/C31,(INT(L31/B31)+(((L31-B31*INT(L31/B31)))/C31)/100))))</f>
        <v>0</v>
      </c>
      <c r="AX31" s="57">
        <f>IF(ISERROR(IF(B31=C31,M31/C31,(INT(M31/B31)+(((M31-B31*INT(M31/B31)))/C31)/100))),0,(IF(B31=C31,M31/C31,(INT(M31/B31)+(((M31-B31*INT(M31/B31)))/C31)/100))))</f>
        <v>0</v>
      </c>
      <c r="AY31" s="57">
        <f>IF(ISERROR(IF(B31=C31,N31/C31,IF((INT(N31/B31)+(((N31-B31*INT(N31/B31)))/C31)/100)&lt;0,(INT(N31/B31)+(((N31-B31*INT(N31/B31)))/C31)/100)+(1-(B31/C31/100)),(INT(N31/B31)+(((N31-B31*INT(N31/B31)))/C31)/100)))),0,IF(B31=C31,N31/C31,IF((INT(N31/B31)+(((N31-B31*INT(N31/B31)))/C31)/100)&lt;0,(INT(N31/B31)+(((N31-B31*INT(N31/B31)))/C31)/100)+(1-(B31/C31/100)),(INT(N31/B31)+(((N31-B31*INT(N31/B31)))/C31)/100))))</f>
        <v>0</v>
      </c>
      <c r="AZ31" s="57">
        <f>IF(ISERROR(IF(B31=C31,O31/C31,(INT(O31/B31)+(((O31-B31*INT(O31/B31)))/C31)/100))),0,(IF(B31=C31,O31/C31,(INT(O31/B31)+(((O31-B31*INT(O31/B31)))/C31)/100))))</f>
        <v>0</v>
      </c>
      <c r="BA31" s="57">
        <f>IF(ISERROR(IF(B31=C31,P31/C31,IF((INT(P31/B31)+(((P31-B31*INT(P31/B31)))/C31)/100)&lt;0,(INT(P31/B31)+(((P31-B31*INT(P31/B31)))/C31)/100)+(1-(B31/C31/100)),(INT(P31/B31)+(((P31-B31*INT(P31/B31)))/C31)/100)))),0,IF(B31=C31,P31/C31,IF((INT(P31/B31)+(((P31-B31*INT(P31/B31)))/C31)/100)&lt;0,(INT(P31/B31)+(((P31-B31*INT(P31/B31)))/C31)/100)+(1-(B31/C31/100)),(INT(P31/B31)+(((P31-B31*INT(P31/B31)))/C31)/100))))</f>
        <v>0</v>
      </c>
      <c r="BB31" s="28">
        <f>R31</f>
        <v>0</v>
      </c>
      <c r="BC31" s="28">
        <f>S31</f>
        <v>0</v>
      </c>
      <c r="BD31" s="28">
        <f>AF31</f>
        <v>0</v>
      </c>
      <c r="BE31" s="28">
        <f>T31</f>
        <v>0</v>
      </c>
      <c r="BG31" s="57">
        <f>IF(ISERROR(IF(B31=C31,V31/C31,(INT(V31/B31)+(((V31-B31*INT(V31/B31)))/C31)/100))),0,(IF(B31=C31,V31/C31,(INT(V31/B31)+(((V31-B31*INT(V31/B31)))/C31)/100))))</f>
        <v>0</v>
      </c>
      <c r="BH31" s="57">
        <f>IF(ISERROR(IF(B31=C31,W31/C31,(INT(W31/B31)+(((W31-B31*INT(W31/B31)))/C31)/100))),0,(IF(B31=C31,W31/C31,(INT(W31/B31)+(((W31-B31*INT(W31/B31)))/C31)/100))))</f>
        <v>0</v>
      </c>
      <c r="BI31" s="57">
        <f>IF(ISERROR(IF(B31=C31,X31/C31,(INT(X31/B31)+(((X31-B31*INT(X31/B31)))/C31)/100))),0,(IF(B31=C31,X31/C31,(INT(X31/B31)+(((X31-B31*INT(X31/B31)))/C31)/100))))</f>
        <v>0</v>
      </c>
      <c r="BJ31" s="57">
        <f>IF(ISERROR(IF(B31=C31,Y31/C31,(INT(Y31/B31)+(((Y31-B31*INT(Y31/B31)))/C31)/100))),0,(IF(B31=C31,Y31/C31,(INT(Y31/B31)+(((Y31-B31*INT(Y31/B31)))/C31)/100))))</f>
        <v>0</v>
      </c>
      <c r="BL31" s="57">
        <f>IF(ISERROR(IF(B31=C31,AA31/C31,(INT(AA31/B31)+(((AA31-B31*INT(AA31/B31)))/C31)/100))),0,(IF(B31=C31,AA31/C31,(INT(AA31/B31)+(((AA31-B31*INT(AA31/B31)))/C31)/100))))</f>
        <v>0</v>
      </c>
      <c r="BM31" s="57">
        <f>IF(ISERROR(IF(B31=C31,AB31/C31,(INT(AB31/B31)+(((AB31-B31*INT(AB31/B31)))/C31)/100))),0,(IF(B31=C31,AB31/C31,(INT(AB31/B31)+(((AB31-B31*INT(AB31/B31)))/C31)/100))))</f>
        <v>0</v>
      </c>
      <c r="BN31" s="57">
        <f>IF(ISERROR(IF(B31=C31,AC31/C31,(INT(AC31/B31)+(((AC31-B31*INT(AC31/B31)))/C31)/100))),0,(IF(B31=C31,AC31/C31,(INT(AC31/B31)+(((AC31-B31*INT(AC31/B31)))/C31)/100))))</f>
        <v>0</v>
      </c>
      <c r="BO31" s="57">
        <f>IF(ISERROR(IF(B31=C31,AD31/C31,(INT(AD31/B31)+(((AD31-B31*INT(AD31/B31)))/C31)/100))),0,(IF(B31=C31,AD31/C31,(INT(AD31/B31)+(((AD31-B31*INT(AD31/B31)))/C31)/100))))</f>
        <v>0</v>
      </c>
      <c r="BQ31" s="155"/>
    </row>
    <row r="32" spans="1:69" hidden="1" x14ac:dyDescent="0.35">
      <c r="A32" s="94"/>
      <c r="B32" s="113">
        <v>0</v>
      </c>
      <c r="C32" s="113">
        <v>0</v>
      </c>
      <c r="D32" s="28">
        <f>SUM(AA32:AD32)</f>
        <v>0</v>
      </c>
      <c r="E32" s="113">
        <v>0</v>
      </c>
      <c r="F32" s="113">
        <v>0</v>
      </c>
      <c r="G32" s="28">
        <f>SUM(D32:F32)</f>
        <v>0</v>
      </c>
      <c r="H32" s="125">
        <v>0</v>
      </c>
      <c r="I32" s="113">
        <v>0</v>
      </c>
      <c r="J32" s="125">
        <v>0</v>
      </c>
      <c r="K32" s="113">
        <v>0</v>
      </c>
      <c r="L32" s="113">
        <v>0</v>
      </c>
      <c r="M32" s="113">
        <v>0</v>
      </c>
      <c r="N32" s="28">
        <f>G32-SUM(H32:M32)</f>
        <v>0</v>
      </c>
      <c r="O32" s="28">
        <f>SUM(V32:Y32)</f>
        <v>0</v>
      </c>
      <c r="P32" s="28">
        <f>O32-N32</f>
        <v>0</v>
      </c>
      <c r="Q32" s="61" t="str">
        <f>IF(ISERROR(P32/SUM(H32:L32)),"",P32/SUM(H32:L32))</f>
        <v/>
      </c>
      <c r="R32" s="113">
        <v>0</v>
      </c>
      <c r="S32" s="28">
        <f>IF(ISERROR(P32/C32*R32),0,(P32/C32*R32))</f>
        <v>0</v>
      </c>
      <c r="T32" s="60">
        <f>IF(ISERROR(P32/B32*AF32),0,(P32/B32*AF32))</f>
        <v>0</v>
      </c>
      <c r="V32" s="113">
        <v>0</v>
      </c>
      <c r="W32" s="113">
        <v>0</v>
      </c>
      <c r="X32" s="113">
        <v>0</v>
      </c>
      <c r="Y32" s="113">
        <v>0</v>
      </c>
      <c r="AA32" s="113">
        <v>0</v>
      </c>
      <c r="AB32" s="113">
        <v>0</v>
      </c>
      <c r="AC32" s="113">
        <v>0</v>
      </c>
      <c r="AD32" s="113">
        <v>0</v>
      </c>
      <c r="AF32" s="113">
        <v>0</v>
      </c>
      <c r="AG32" s="28">
        <f>G32-O32</f>
        <v>0</v>
      </c>
      <c r="AH32" s="58">
        <f>IF(ISERROR(AG32/B32*AF32),0,(AG32/B32*AF32))</f>
        <v>0</v>
      </c>
      <c r="AI32" s="28">
        <f>SUM(H32:M32)</f>
        <v>0</v>
      </c>
      <c r="AJ32" s="28">
        <f>IF(ISERROR(AI32/B32*AF32),0,(AI32/B32*AF32))</f>
        <v>0</v>
      </c>
      <c r="AK32" s="58">
        <f>IF(ISERROR(O32/B32*AF32),0,(O32/B32*AF32))</f>
        <v>0</v>
      </c>
      <c r="AL32" s="28">
        <f>IF(ISERROR(H32/B32*AF32),0,(H32/B32*AF32))</f>
        <v>0</v>
      </c>
      <c r="AN32" s="51">
        <f>A32</f>
        <v>0</v>
      </c>
      <c r="AO32" s="57">
        <f>IF(ISERROR(IF(B32=C32,D32/C32,(INT(D32/B32)+(((D32-B32*INT(D32/B32)))/C32)/100))),0,(IF(B32=C32,D32/C32,(INT(D32/B32)+(((D32-B32*INT(D32/B32)))/C32)/100))))</f>
        <v>0</v>
      </c>
      <c r="AP32" s="57">
        <f>IF(ISERROR(IF(B32=C32,E32/C32,(INT(E32/B32)+(((E32-B32*INT(E32/B32)))/C32)/100))),0,(IF(B32=C32,E32/C32,(INT(E32/B32)+(((E32-B32*INT(E32/B32)))/C32)/100))))</f>
        <v>0</v>
      </c>
      <c r="AQ32" s="57">
        <f>IF(ISERROR(IF(B32=C32,F32/C32,IF((INT(F32/B32)+(((F32-B32*INT(F32/B32)))/C32)/100)&lt;0,(INT(F32/B32)+(((F32-B32*INT(F32/B32)))/C32)/100)+(1-(B32/C32/100)),(INT(F32/B32)+(((F32-B32*INT(F32/B32)))/C32)/100)))),0,IF(B32=C32,F32/C32,IF((INT(F32/B32)+(((F32-B32*INT(F32/B32)))/C32)/100)&lt;0,(INT(F32/B32)+(((F32-B32*INT(F32/B32)))/C32)/100)+(1-(B32/C32/100)),(INT(F32/B32)+(((F32-B32*INT(F32/B32)))/C32)/100))))</f>
        <v>0</v>
      </c>
      <c r="AR32" s="57">
        <f>IF(ISERROR(IF(B32=C32,G32/C32,(INT(G32/B32)+(((G32-B32*INT(G32/B32)))/C32)/100))),0,(IF(B32=C32,G32/C32,(INT(G32/B32)+(((G32-B32*INT(G32/B32)))/C32)/100))))</f>
        <v>0</v>
      </c>
      <c r="AS32" s="57">
        <f>IF(ISERROR(IF(B32=C32,H32/C32,(INT(H32/B32)+(((H32-B32*INT(H32/B32)))/C32)/100))),0,(IF(B32=C32,H32/C32,(INT(H32/B32)+(((H32-B32*INT(H32/B32)))/C32)/100))))</f>
        <v>0</v>
      </c>
      <c r="AT32" s="57">
        <f>IF(ISERROR(IF(B32=C32,I32/C32,(INT(I32/B32)+(((I32-B32*INT(I32/B32)))/C32)/100))),0,(IF(B32=C32,I32/C32,(INT(I32/B32)+(((I32-B32*INT(I32/B32)))/C32)/100))))</f>
        <v>0</v>
      </c>
      <c r="AU32" s="57">
        <f>IF(ISERROR(IF(B32=C32,J32/C32,(INT(J32/B32)+(((J32-B32*INT(J32/B32)))/C32)/100))),0,(IF(B32=C32,J32/C32,(INT(J32/B32)+(((J32-B32*INT(J32/B32)))/C32)/100))))</f>
        <v>0</v>
      </c>
      <c r="AV32" s="57">
        <f>IF(ISERROR(IF(B32=C32,K32/C32,IF((INT(K32/B32)+(((K32-B32*INT(K32/B32)))/C32)/100)&lt;0,(INT(K32/B32)+(((K32-B32*INT(K32/B32)))/C32)/100)+(1-(B32/C32/100)),(INT(K32/B32)+(((K32-B32*INT(K32/B32)))/C32)/100)))),0,IF(B32=C32,K32/C32,IF((INT(K32/B32)+(((K32-B32*INT(K32/B32)))/C32)/100)&lt;0,(INT(K32/B32)+(((K32-B32*INT(K32/B32)))/C32)/100)+(1-(B32/C32/100)),(INT(K32/B32)+(((K32-B32*INT(K32/B32)))/C32)/100))))</f>
        <v>0</v>
      </c>
      <c r="AW32" s="57">
        <f>IF(ISERROR(IF(B32=C32,L32/C32,(INT(L32/B32)+(((L32-B32*INT(L32/B32)))/C32)/100))),0,(IF(B32=C32,L32/C32,(INT(L32/B32)+(((L32-B32*INT(L32/B32)))/C32)/100))))</f>
        <v>0</v>
      </c>
      <c r="AX32" s="57">
        <f>IF(ISERROR(IF(B32=C32,M32/C32,(INT(M32/B32)+(((M32-B32*INT(M32/B32)))/C32)/100))),0,(IF(B32=C32,M32/C32,(INT(M32/B32)+(((M32-B32*INT(M32/B32)))/C32)/100))))</f>
        <v>0</v>
      </c>
      <c r="AY32" s="57">
        <f>IF(ISERROR(IF(B32=C32,N32/C32,IF((INT(N32/B32)+(((N32-B32*INT(N32/B32)))/C32)/100)&lt;0,(INT(N32/B32)+(((N32-B32*INT(N32/B32)))/C32)/100)+(1-(B32/C32/100)),(INT(N32/B32)+(((N32-B32*INT(N32/B32)))/C32)/100)))),0,IF(B32=C32,N32/C32,IF((INT(N32/B32)+(((N32-B32*INT(N32/B32)))/C32)/100)&lt;0,(INT(N32/B32)+(((N32-B32*INT(N32/B32)))/C32)/100)+(1-(B32/C32/100)),(INT(N32/B32)+(((N32-B32*INT(N32/B32)))/C32)/100))))</f>
        <v>0</v>
      </c>
      <c r="AZ32" s="57">
        <f>IF(ISERROR(IF(B32=C32,O32/C32,(INT(O32/B32)+(((O32-B32*INT(O32/B32)))/C32)/100))),0,(IF(B32=C32,O32/C32,(INT(O32/B32)+(((O32-B32*INT(O32/B32)))/C32)/100))))</f>
        <v>0</v>
      </c>
      <c r="BA32" s="57">
        <f>IF(ISERROR(IF(B32=C32,P32/C32,IF((INT(P32/B32)+(((P32-B32*INT(P32/B32)))/C32)/100)&lt;0,(INT(P32/B32)+(((P32-B32*INT(P32/B32)))/C32)/100)+(1-(B32/C32/100)),(INT(P32/B32)+(((P32-B32*INT(P32/B32)))/C32)/100)))),0,IF(B32=C32,P32/C32,IF((INT(P32/B32)+(((P32-B32*INT(P32/B32)))/C32)/100)&lt;0,(INT(P32/B32)+(((P32-B32*INT(P32/B32)))/C32)/100)+(1-(B32/C32/100)),(INT(P32/B32)+(((P32-B32*INT(P32/B32)))/C32)/100))))</f>
        <v>0</v>
      </c>
      <c r="BB32" s="28">
        <f>R32</f>
        <v>0</v>
      </c>
      <c r="BC32" s="28">
        <f>S32</f>
        <v>0</v>
      </c>
      <c r="BD32" s="28">
        <f>AF32</f>
        <v>0</v>
      </c>
      <c r="BE32" s="28">
        <f>T32</f>
        <v>0</v>
      </c>
      <c r="BG32" s="57">
        <f>IF(ISERROR(IF(B32=C32,V32/C32,(INT(V32/B32)+(((V32-B32*INT(V32/B32)))/C32)/100))),0,(IF(B32=C32,V32/C32,(INT(V32/B32)+(((V32-B32*INT(V32/B32)))/C32)/100))))</f>
        <v>0</v>
      </c>
      <c r="BH32" s="57">
        <f>IF(ISERROR(IF(B32=C32,W32/C32,(INT(W32/B32)+(((W32-B32*INT(W32/B32)))/C32)/100))),0,(IF(B32=C32,W32/C32,(INT(W32/B32)+(((W32-B32*INT(W32/B32)))/C32)/100))))</f>
        <v>0</v>
      </c>
      <c r="BI32" s="57">
        <f>IF(ISERROR(IF(B32=C32,X32/C32,(INT(X32/B32)+(((X32-B32*INT(X32/B32)))/C32)/100))),0,(IF(B32=C32,X32/C32,(INT(X32/B32)+(((X32-B32*INT(X32/B32)))/C32)/100))))</f>
        <v>0</v>
      </c>
      <c r="BJ32" s="57">
        <f>IF(ISERROR(IF(B32=C32,Y32/C32,(INT(Y32/B32)+(((Y32-B32*INT(Y32/B32)))/C32)/100))),0,(IF(B32=C32,Y32/C32,(INT(Y32/B32)+(((Y32-B32*INT(Y32/B32)))/C32)/100))))</f>
        <v>0</v>
      </c>
      <c r="BL32" s="57">
        <f>IF(ISERROR(IF(B32=C32,AA32/C32,(INT(AA32/B32)+(((AA32-B32*INT(AA32/B32)))/C32)/100))),0,(IF(B32=C32,AA32/C32,(INT(AA32/B32)+(((AA32-B32*INT(AA32/B32)))/C32)/100))))</f>
        <v>0</v>
      </c>
      <c r="BM32" s="57">
        <f>IF(ISERROR(IF(B32=C32,AB32/C32,(INT(AB32/B32)+(((AB32-B32*INT(AB32/B32)))/C32)/100))),0,(IF(B32=C32,AB32/C32,(INT(AB32/B32)+(((AB32-B32*INT(AB32/B32)))/C32)/100))))</f>
        <v>0</v>
      </c>
      <c r="BN32" s="57">
        <f>IF(ISERROR(IF(B32=C32,AC32/C32,(INT(AC32/B32)+(((AC32-B32*INT(AC32/B32)))/C32)/100))),0,(IF(B32=C32,AC32/C32,(INT(AC32/B32)+(((AC32-B32*INT(AC32/B32)))/C32)/100))))</f>
        <v>0</v>
      </c>
      <c r="BO32" s="57">
        <f>IF(ISERROR(IF(B32=C32,AD32/C32,(INT(AD32/B32)+(((AD32-B32*INT(AD32/B32)))/C32)/100))),0,(IF(B32=C32,AD32/C32,(INT(AD32/B32)+(((AD32-B32*INT(AD32/B32)))/C32)/100))))</f>
        <v>0</v>
      </c>
      <c r="BQ32" s="155"/>
    </row>
    <row r="33" spans="1:69" hidden="1" x14ac:dyDescent="0.35">
      <c r="A33" s="94"/>
      <c r="B33" s="113">
        <v>0</v>
      </c>
      <c r="C33" s="113">
        <v>0</v>
      </c>
      <c r="D33" s="28">
        <f>SUM(AA33:AD33)</f>
        <v>0</v>
      </c>
      <c r="E33" s="113">
        <v>0</v>
      </c>
      <c r="F33" s="113">
        <v>0</v>
      </c>
      <c r="G33" s="28">
        <f>SUM(D33:F33)</f>
        <v>0</v>
      </c>
      <c r="H33" s="125">
        <v>0</v>
      </c>
      <c r="I33" s="113">
        <v>0</v>
      </c>
      <c r="J33" s="125">
        <v>0</v>
      </c>
      <c r="K33" s="113">
        <v>0</v>
      </c>
      <c r="L33" s="113">
        <v>0</v>
      </c>
      <c r="M33" s="113">
        <v>0</v>
      </c>
      <c r="N33" s="28">
        <f>G33-SUM(H33:M33)</f>
        <v>0</v>
      </c>
      <c r="O33" s="28">
        <f>SUM(V33:Y33)</f>
        <v>0</v>
      </c>
      <c r="P33" s="28">
        <f>O33-N33</f>
        <v>0</v>
      </c>
      <c r="Q33" s="61" t="str">
        <f>IF(ISERROR(P33/SUM(H33:L33)),"",P33/SUM(H33:L33))</f>
        <v/>
      </c>
      <c r="R33" s="113">
        <v>0</v>
      </c>
      <c r="S33" s="28">
        <f>IF(ISERROR(P33/C33*R33),0,(P33/C33*R33))</f>
        <v>0</v>
      </c>
      <c r="T33" s="60">
        <f>IF(ISERROR(P33/B33*AF33),0,(P33/B33*AF33))</f>
        <v>0</v>
      </c>
      <c r="V33" s="113">
        <v>0</v>
      </c>
      <c r="W33" s="113">
        <v>0</v>
      </c>
      <c r="X33" s="113">
        <v>0</v>
      </c>
      <c r="Y33" s="113">
        <v>0</v>
      </c>
      <c r="AA33" s="113">
        <v>0</v>
      </c>
      <c r="AB33" s="113">
        <v>0</v>
      </c>
      <c r="AC33" s="113">
        <v>0</v>
      </c>
      <c r="AD33" s="113">
        <v>0</v>
      </c>
      <c r="AF33" s="113">
        <v>0</v>
      </c>
      <c r="AG33" s="28">
        <f>G33-O33</f>
        <v>0</v>
      </c>
      <c r="AH33" s="58">
        <f>IF(ISERROR(AG33/B33*AF33),0,(AG33/B33*AF33))</f>
        <v>0</v>
      </c>
      <c r="AI33" s="28">
        <f>SUM(H33:M33)</f>
        <v>0</v>
      </c>
      <c r="AJ33" s="28">
        <f>IF(ISERROR(AI33/B33*AF33),0,(AI33/B33*AF33))</f>
        <v>0</v>
      </c>
      <c r="AK33" s="58">
        <f>IF(ISERROR(O33/B33*AF33),0,(O33/B33*AF33))</f>
        <v>0</v>
      </c>
      <c r="AL33" s="28">
        <f>IF(ISERROR(H33/B33*AF33),0,(H33/B33*AF33))</f>
        <v>0</v>
      </c>
      <c r="AN33" s="51">
        <f>A33</f>
        <v>0</v>
      </c>
      <c r="AO33" s="57">
        <f>IF(ISERROR(IF(B33=C33,D33/C33,(INT(D33/B33)+(((D33-B33*INT(D33/B33)))/C33)/100))),0,(IF(B33=C33,D33/C33,(INT(D33/B33)+(((D33-B33*INT(D33/B33)))/C33)/100))))</f>
        <v>0</v>
      </c>
      <c r="AP33" s="57">
        <f>IF(ISERROR(IF(B33=C33,E33/C33,(INT(E33/B33)+(((E33-B33*INT(E33/B33)))/C33)/100))),0,(IF(B33=C33,E33/C33,(INT(E33/B33)+(((E33-B33*INT(E33/B33)))/C33)/100))))</f>
        <v>0</v>
      </c>
      <c r="AQ33" s="57">
        <f>IF(ISERROR(IF(B33=C33,F33/C33,IF((INT(F33/B33)+(((F33-B33*INT(F33/B33)))/C33)/100)&lt;0,(INT(F33/B33)+(((F33-B33*INT(F33/B33)))/C33)/100)+(1-(B33/C33/100)),(INT(F33/B33)+(((F33-B33*INT(F33/B33)))/C33)/100)))),0,IF(B33=C33,F33/C33,IF((INT(F33/B33)+(((F33-B33*INT(F33/B33)))/C33)/100)&lt;0,(INT(F33/B33)+(((F33-B33*INT(F33/B33)))/C33)/100)+(1-(B33/C33/100)),(INT(F33/B33)+(((F33-B33*INT(F33/B33)))/C33)/100))))</f>
        <v>0</v>
      </c>
      <c r="AR33" s="57">
        <f>IF(ISERROR(IF(B33=C33,G33/C33,(INT(G33/B33)+(((G33-B33*INT(G33/B33)))/C33)/100))),0,(IF(B33=C33,G33/C33,(INT(G33/B33)+(((G33-B33*INT(G33/B33)))/C33)/100))))</f>
        <v>0</v>
      </c>
      <c r="AS33" s="57">
        <f>IF(ISERROR(IF(B33=C33,H33/C33,(INT(H33/B33)+(((H33-B33*INT(H33/B33)))/C33)/100))),0,(IF(B33=C33,H33/C33,(INT(H33/B33)+(((H33-B33*INT(H33/B33)))/C33)/100))))</f>
        <v>0</v>
      </c>
      <c r="AT33" s="57">
        <f>IF(ISERROR(IF(B33=C33,I33/C33,(INT(I33/B33)+(((I33-B33*INT(I33/B33)))/C33)/100))),0,(IF(B33=C33,I33/C33,(INT(I33/B33)+(((I33-B33*INT(I33/B33)))/C33)/100))))</f>
        <v>0</v>
      </c>
      <c r="AU33" s="57">
        <f>IF(ISERROR(IF(B33=C33,J33/C33,(INT(J33/B33)+(((J33-B33*INT(J33/B33)))/C33)/100))),0,(IF(B33=C33,J33/C33,(INT(J33/B33)+(((J33-B33*INT(J33/B33)))/C33)/100))))</f>
        <v>0</v>
      </c>
      <c r="AV33" s="57">
        <f>IF(ISERROR(IF(B33=C33,K33/C33,IF((INT(K33/B33)+(((K33-B33*INT(K33/B33)))/C33)/100)&lt;0,(INT(K33/B33)+(((K33-B33*INT(K33/B33)))/C33)/100)+(1-(B33/C33/100)),(INT(K33/B33)+(((K33-B33*INT(K33/B33)))/C33)/100)))),0,IF(B33=C33,K33/C33,IF((INT(K33/B33)+(((K33-B33*INT(K33/B33)))/C33)/100)&lt;0,(INT(K33/B33)+(((K33-B33*INT(K33/B33)))/C33)/100)+(1-(B33/C33/100)),(INT(K33/B33)+(((K33-B33*INT(K33/B33)))/C33)/100))))</f>
        <v>0</v>
      </c>
      <c r="AW33" s="57">
        <f>IF(ISERROR(IF(B33=C33,L33/C33,(INT(L33/B33)+(((L33-B33*INT(L33/B33)))/C33)/100))),0,(IF(B33=C33,L33/C33,(INT(L33/B33)+(((L33-B33*INT(L33/B33)))/C33)/100))))</f>
        <v>0</v>
      </c>
      <c r="AX33" s="57">
        <f>IF(ISERROR(IF(B33=C33,M33/C33,(INT(M33/B33)+(((M33-B33*INT(M33/B33)))/C33)/100))),0,(IF(B33=C33,M33/C33,(INT(M33/B33)+(((M33-B33*INT(M33/B33)))/C33)/100))))</f>
        <v>0</v>
      </c>
      <c r="AY33" s="57">
        <f>IF(ISERROR(IF(B33=C33,N33/C33,IF((INT(N33/B33)+(((N33-B33*INT(N33/B33)))/C33)/100)&lt;0,(INT(N33/B33)+(((N33-B33*INT(N33/B33)))/C33)/100)+(1-(B33/C33/100)),(INT(N33/B33)+(((N33-B33*INT(N33/B33)))/C33)/100)))),0,IF(B33=C33,N33/C33,IF((INT(N33/B33)+(((N33-B33*INT(N33/B33)))/C33)/100)&lt;0,(INT(N33/B33)+(((N33-B33*INT(N33/B33)))/C33)/100)+(1-(B33/C33/100)),(INT(N33/B33)+(((N33-B33*INT(N33/B33)))/C33)/100))))</f>
        <v>0</v>
      </c>
      <c r="AZ33" s="57">
        <f>IF(ISERROR(IF(B33=C33,O33/C33,(INT(O33/B33)+(((O33-B33*INT(O33/B33)))/C33)/100))),0,(IF(B33=C33,O33/C33,(INT(O33/B33)+(((O33-B33*INT(O33/B33)))/C33)/100))))</f>
        <v>0</v>
      </c>
      <c r="BA33" s="57">
        <f>IF(ISERROR(IF(B33=C33,P33/C33,IF((INT(P33/B33)+(((P33-B33*INT(P33/B33)))/C33)/100)&lt;0,(INT(P33/B33)+(((P33-B33*INT(P33/B33)))/C33)/100)+(1-(B33/C33/100)),(INT(P33/B33)+(((P33-B33*INT(P33/B33)))/C33)/100)))),0,IF(B33=C33,P33/C33,IF((INT(P33/B33)+(((P33-B33*INT(P33/B33)))/C33)/100)&lt;0,(INT(P33/B33)+(((P33-B33*INT(P33/B33)))/C33)/100)+(1-(B33/C33/100)),(INT(P33/B33)+(((P33-B33*INT(P33/B33)))/C33)/100))))</f>
        <v>0</v>
      </c>
      <c r="BB33" s="28">
        <f>R33</f>
        <v>0</v>
      </c>
      <c r="BC33" s="28">
        <f>S33</f>
        <v>0</v>
      </c>
      <c r="BD33" s="28">
        <f>AF33</f>
        <v>0</v>
      </c>
      <c r="BE33" s="28">
        <f>T33</f>
        <v>0</v>
      </c>
      <c r="BG33" s="57">
        <f>IF(ISERROR(IF(B33=C33,V33/C33,(INT(V33/B33)+(((V33-B33*INT(V33/B33)))/C33)/100))),0,(IF(B33=C33,V33/C33,(INT(V33/B33)+(((V33-B33*INT(V33/B33)))/C33)/100))))</f>
        <v>0</v>
      </c>
      <c r="BH33" s="57">
        <f>IF(ISERROR(IF(B33=C33,W33/C33,(INT(W33/B33)+(((W33-B33*INT(W33/B33)))/C33)/100))),0,(IF(B33=C33,W33/C33,(INT(W33/B33)+(((W33-B33*INT(W33/B33)))/C33)/100))))</f>
        <v>0</v>
      </c>
      <c r="BI33" s="57">
        <f>IF(ISERROR(IF(B33=C33,X33/C33,(INT(X33/B33)+(((X33-B33*INT(X33/B33)))/C33)/100))),0,(IF(B33=C33,X33/C33,(INT(X33/B33)+(((X33-B33*INT(X33/B33)))/C33)/100))))</f>
        <v>0</v>
      </c>
      <c r="BJ33" s="57">
        <f>IF(ISERROR(IF(B33=C33,Y33/C33,(INT(Y33/B33)+(((Y33-B33*INT(Y33/B33)))/C33)/100))),0,(IF(B33=C33,Y33/C33,(INT(Y33/B33)+(((Y33-B33*INT(Y33/B33)))/C33)/100))))</f>
        <v>0</v>
      </c>
      <c r="BL33" s="57">
        <f>IF(ISERROR(IF(B33=C33,AA33/C33,(INT(AA33/B33)+(((AA33-B33*INT(AA33/B33)))/C33)/100))),0,(IF(B33=C33,AA33/C33,(INT(AA33/B33)+(((AA33-B33*INT(AA33/B33)))/C33)/100))))</f>
        <v>0</v>
      </c>
      <c r="BM33" s="57">
        <f>IF(ISERROR(IF(B33=C33,AB33/C33,(INT(AB33/B33)+(((AB33-B33*INT(AB33/B33)))/C33)/100))),0,(IF(B33=C33,AB33/C33,(INT(AB33/B33)+(((AB33-B33*INT(AB33/B33)))/C33)/100))))</f>
        <v>0</v>
      </c>
      <c r="BN33" s="57">
        <f>IF(ISERROR(IF(B33=C33,AC33/C33,(INT(AC33/B33)+(((AC33-B33*INT(AC33/B33)))/C33)/100))),0,(IF(B33=C33,AC33/C33,(INT(AC33/B33)+(((AC33-B33*INT(AC33/B33)))/C33)/100))))</f>
        <v>0</v>
      </c>
      <c r="BO33" s="57">
        <f>IF(ISERROR(IF(B33=C33,AD33/C33,(INT(AD33/B33)+(((AD33-B33*INT(AD33/B33)))/C33)/100))),0,(IF(B33=C33,AD33/C33,(INT(AD33/B33)+(((AD33-B33*INT(AD33/B33)))/C33)/100))))</f>
        <v>0</v>
      </c>
      <c r="BQ33" s="155"/>
    </row>
    <row r="34" spans="1:69" hidden="1" x14ac:dyDescent="0.35">
      <c r="A34" s="94"/>
      <c r="B34" s="113">
        <v>0</v>
      </c>
      <c r="C34" s="113">
        <v>0</v>
      </c>
      <c r="D34" s="28">
        <f>SUM(AA34:AD34)</f>
        <v>0</v>
      </c>
      <c r="E34" s="113">
        <v>0</v>
      </c>
      <c r="F34" s="113">
        <v>0</v>
      </c>
      <c r="G34" s="28">
        <f>SUM(D34:F34)</f>
        <v>0</v>
      </c>
      <c r="H34" s="125">
        <v>0</v>
      </c>
      <c r="I34" s="113">
        <v>0</v>
      </c>
      <c r="J34" s="125">
        <v>0</v>
      </c>
      <c r="K34" s="113">
        <v>0</v>
      </c>
      <c r="L34" s="113">
        <v>0</v>
      </c>
      <c r="M34" s="113">
        <v>0</v>
      </c>
      <c r="N34" s="28">
        <f>G34-SUM(H34:M34)</f>
        <v>0</v>
      </c>
      <c r="O34" s="28">
        <f>SUM(V34:Y34)</f>
        <v>0</v>
      </c>
      <c r="P34" s="28">
        <f>O34-N34</f>
        <v>0</v>
      </c>
      <c r="Q34" s="61" t="str">
        <f>IF(ISERROR(P34/SUM(H34:L34)),"",P34/SUM(H34:L34))</f>
        <v/>
      </c>
      <c r="R34" s="113">
        <v>0</v>
      </c>
      <c r="S34" s="28">
        <f>IF(ISERROR(P34/C34*R34),0,(P34/C34*R34))</f>
        <v>0</v>
      </c>
      <c r="T34" s="60">
        <f>IF(ISERROR(P34/B34*AF34),0,(P34/B34*AF34))</f>
        <v>0</v>
      </c>
      <c r="V34" s="113">
        <v>0</v>
      </c>
      <c r="W34" s="113">
        <v>0</v>
      </c>
      <c r="X34" s="113">
        <v>0</v>
      </c>
      <c r="Y34" s="113">
        <v>0</v>
      </c>
      <c r="AA34" s="113">
        <v>0</v>
      </c>
      <c r="AB34" s="113">
        <v>0</v>
      </c>
      <c r="AC34" s="113">
        <v>0</v>
      </c>
      <c r="AD34" s="113">
        <v>0</v>
      </c>
      <c r="AF34" s="113">
        <v>0</v>
      </c>
      <c r="AG34" s="28">
        <f>G34-O34</f>
        <v>0</v>
      </c>
      <c r="AH34" s="58">
        <f>IF(ISERROR(AG34/B34*AF34),0,(AG34/B34*AF34))</f>
        <v>0</v>
      </c>
      <c r="AI34" s="28">
        <f>SUM(H34:M34)</f>
        <v>0</v>
      </c>
      <c r="AJ34" s="28">
        <f>IF(ISERROR(AI34/B34*AF34),0,(AI34/B34*AF34))</f>
        <v>0</v>
      </c>
      <c r="AK34" s="58">
        <f>IF(ISERROR(O34/B34*AF34),0,(O34/B34*AF34))</f>
        <v>0</v>
      </c>
      <c r="AL34" s="28">
        <f>IF(ISERROR(H34/B34*AF34),0,(H34/B34*AF34))</f>
        <v>0</v>
      </c>
      <c r="AN34" s="51">
        <f>A34</f>
        <v>0</v>
      </c>
      <c r="AO34" s="57">
        <f>IF(ISERROR(IF(B34=C34,D34/C34,(INT(D34/B34)+(((D34-B34*INT(D34/B34)))/C34)/100))),0,(IF(B34=C34,D34/C34,(INT(D34/B34)+(((D34-B34*INT(D34/B34)))/C34)/100))))</f>
        <v>0</v>
      </c>
      <c r="AP34" s="57">
        <f>IF(ISERROR(IF(B34=C34,E34/C34,(INT(E34/B34)+(((E34-B34*INT(E34/B34)))/C34)/100))),0,(IF(B34=C34,E34/C34,(INT(E34/B34)+(((E34-B34*INT(E34/B34)))/C34)/100))))</f>
        <v>0</v>
      </c>
      <c r="AQ34" s="57">
        <f>IF(ISERROR(IF(B34=C34,F34/C34,IF((INT(F34/B34)+(((F34-B34*INT(F34/B34)))/C34)/100)&lt;0,(INT(F34/B34)+(((F34-B34*INT(F34/B34)))/C34)/100)+(1-(B34/C34/100)),(INT(F34/B34)+(((F34-B34*INT(F34/B34)))/C34)/100)))),0,IF(B34=C34,F34/C34,IF((INT(F34/B34)+(((F34-B34*INT(F34/B34)))/C34)/100)&lt;0,(INT(F34/B34)+(((F34-B34*INT(F34/B34)))/C34)/100)+(1-(B34/C34/100)),(INT(F34/B34)+(((F34-B34*INT(F34/B34)))/C34)/100))))</f>
        <v>0</v>
      </c>
      <c r="AR34" s="57">
        <f>IF(ISERROR(IF(B34=C34,G34/C34,(INT(G34/B34)+(((G34-B34*INT(G34/B34)))/C34)/100))),0,(IF(B34=C34,G34/C34,(INT(G34/B34)+(((G34-B34*INT(G34/B34)))/C34)/100))))</f>
        <v>0</v>
      </c>
      <c r="AS34" s="57">
        <f>IF(ISERROR(IF(B34=C34,H34/C34,(INT(H34/B34)+(((H34-B34*INT(H34/B34)))/C34)/100))),0,(IF(B34=C34,H34/C34,(INT(H34/B34)+(((H34-B34*INT(H34/B34)))/C34)/100))))</f>
        <v>0</v>
      </c>
      <c r="AT34" s="57">
        <f>IF(ISERROR(IF(B34=C34,I34/C34,(INT(I34/B34)+(((I34-B34*INT(I34/B34)))/C34)/100))),0,(IF(B34=C34,I34/C34,(INT(I34/B34)+(((I34-B34*INT(I34/B34)))/C34)/100))))</f>
        <v>0</v>
      </c>
      <c r="AU34" s="57">
        <f>IF(ISERROR(IF(B34=C34,J34/C34,(INT(J34/B34)+(((J34-B34*INT(J34/B34)))/C34)/100))),0,(IF(B34=C34,J34/C34,(INT(J34/B34)+(((J34-B34*INT(J34/B34)))/C34)/100))))</f>
        <v>0</v>
      </c>
      <c r="AV34" s="57">
        <f>IF(ISERROR(IF(B34=C34,K34/C34,IF((INT(K34/B34)+(((K34-B34*INT(K34/B34)))/C34)/100)&lt;0,(INT(K34/B34)+(((K34-B34*INT(K34/B34)))/C34)/100)+(1-(B34/C34/100)),(INT(K34/B34)+(((K34-B34*INT(K34/B34)))/C34)/100)))),0,IF(B34=C34,K34/C34,IF((INT(K34/B34)+(((K34-B34*INT(K34/B34)))/C34)/100)&lt;0,(INT(K34/B34)+(((K34-B34*INT(K34/B34)))/C34)/100)+(1-(B34/C34/100)),(INT(K34/B34)+(((K34-B34*INT(K34/B34)))/C34)/100))))</f>
        <v>0</v>
      </c>
      <c r="AW34" s="57">
        <f>IF(ISERROR(IF(B34=C34,L34/C34,(INT(L34/B34)+(((L34-B34*INT(L34/B34)))/C34)/100))),0,(IF(B34=C34,L34/C34,(INT(L34/B34)+(((L34-B34*INT(L34/B34)))/C34)/100))))</f>
        <v>0</v>
      </c>
      <c r="AX34" s="57">
        <f>IF(ISERROR(IF(B34=C34,M34/C34,(INT(M34/B34)+(((M34-B34*INT(M34/B34)))/C34)/100))),0,(IF(B34=C34,M34/C34,(INT(M34/B34)+(((M34-B34*INT(M34/B34)))/C34)/100))))</f>
        <v>0</v>
      </c>
      <c r="AY34" s="57">
        <f>IF(ISERROR(IF(B34=C34,N34/C34,IF((INT(N34/B34)+(((N34-B34*INT(N34/B34)))/C34)/100)&lt;0,(INT(N34/B34)+(((N34-B34*INT(N34/B34)))/C34)/100)+(1-(B34/C34/100)),(INT(N34/B34)+(((N34-B34*INT(N34/B34)))/C34)/100)))),0,IF(B34=C34,N34/C34,IF((INT(N34/B34)+(((N34-B34*INT(N34/B34)))/C34)/100)&lt;0,(INT(N34/B34)+(((N34-B34*INT(N34/B34)))/C34)/100)+(1-(B34/C34/100)),(INT(N34/B34)+(((N34-B34*INT(N34/B34)))/C34)/100))))</f>
        <v>0</v>
      </c>
      <c r="AZ34" s="57">
        <f>IF(ISERROR(IF(B34=C34,O34/C34,(INT(O34/B34)+(((O34-B34*INT(O34/B34)))/C34)/100))),0,(IF(B34=C34,O34/C34,(INT(O34/B34)+(((O34-B34*INT(O34/B34)))/C34)/100))))</f>
        <v>0</v>
      </c>
      <c r="BA34" s="57">
        <f>IF(ISERROR(IF(B34=C34,P34/C34,IF((INT(P34/B34)+(((P34-B34*INT(P34/B34)))/C34)/100)&lt;0,(INT(P34/B34)+(((P34-B34*INT(P34/B34)))/C34)/100)+(1-(B34/C34/100)),(INT(P34/B34)+(((P34-B34*INT(P34/B34)))/C34)/100)))),0,IF(B34=C34,P34/C34,IF((INT(P34/B34)+(((P34-B34*INT(P34/B34)))/C34)/100)&lt;0,(INT(P34/B34)+(((P34-B34*INT(P34/B34)))/C34)/100)+(1-(B34/C34/100)),(INT(P34/B34)+(((P34-B34*INT(P34/B34)))/C34)/100))))</f>
        <v>0</v>
      </c>
      <c r="BB34" s="28">
        <f>R34</f>
        <v>0</v>
      </c>
      <c r="BC34" s="28">
        <f>S34</f>
        <v>0</v>
      </c>
      <c r="BD34" s="28">
        <f>AF34</f>
        <v>0</v>
      </c>
      <c r="BE34" s="28">
        <f>T34</f>
        <v>0</v>
      </c>
      <c r="BG34" s="57">
        <f>IF(ISERROR(IF(B34=C34,V34/C34,(INT(V34/B34)+(((V34-B34*INT(V34/B34)))/C34)/100))),0,(IF(B34=C34,V34/C34,(INT(V34/B34)+(((V34-B34*INT(V34/B34)))/C34)/100))))</f>
        <v>0</v>
      </c>
      <c r="BH34" s="57">
        <f>IF(ISERROR(IF(B34=C34,W34/C34,(INT(W34/B34)+(((W34-B34*INT(W34/B34)))/C34)/100))),0,(IF(B34=C34,W34/C34,(INT(W34/B34)+(((W34-B34*INT(W34/B34)))/C34)/100))))</f>
        <v>0</v>
      </c>
      <c r="BI34" s="57">
        <f>IF(ISERROR(IF(B34=C34,X34/C34,(INT(X34/B34)+(((X34-B34*INT(X34/B34)))/C34)/100))),0,(IF(B34=C34,X34/C34,(INT(X34/B34)+(((X34-B34*INT(X34/B34)))/C34)/100))))</f>
        <v>0</v>
      </c>
      <c r="BJ34" s="57">
        <f>IF(ISERROR(IF(B34=C34,Y34/C34,(INT(Y34/B34)+(((Y34-B34*INT(Y34/B34)))/C34)/100))),0,(IF(B34=C34,Y34/C34,(INT(Y34/B34)+(((Y34-B34*INT(Y34/B34)))/C34)/100))))</f>
        <v>0</v>
      </c>
      <c r="BL34" s="57">
        <f>IF(ISERROR(IF(B34=C34,AA34/C34,(INT(AA34/B34)+(((AA34-B34*INT(AA34/B34)))/C34)/100))),0,(IF(B34=C34,AA34/C34,(INT(AA34/B34)+(((AA34-B34*INT(AA34/B34)))/C34)/100))))</f>
        <v>0</v>
      </c>
      <c r="BM34" s="57">
        <f>IF(ISERROR(IF(B34=C34,AB34/C34,(INT(AB34/B34)+(((AB34-B34*INT(AB34/B34)))/C34)/100))),0,(IF(B34=C34,AB34/C34,(INT(AB34/B34)+(((AB34-B34*INT(AB34/B34)))/C34)/100))))</f>
        <v>0</v>
      </c>
      <c r="BN34" s="57">
        <f>IF(ISERROR(IF(B34=C34,AC34/C34,(INT(AC34/B34)+(((AC34-B34*INT(AC34/B34)))/C34)/100))),0,(IF(B34=C34,AC34/C34,(INT(AC34/B34)+(((AC34-B34*INT(AC34/B34)))/C34)/100))))</f>
        <v>0</v>
      </c>
      <c r="BO34" s="57">
        <f>IF(ISERROR(IF(B34=C34,AD34/C34,(INT(AD34/B34)+(((AD34-B34*INT(AD34/B34)))/C34)/100))),0,(IF(B34=C34,AD34/C34,(INT(AD34/B34)+(((AD34-B34*INT(AD34/B34)))/C34)/100))))</f>
        <v>0</v>
      </c>
      <c r="BQ34" s="155"/>
    </row>
    <row r="35" spans="1:69" hidden="1" x14ac:dyDescent="0.35">
      <c r="A35" s="94"/>
      <c r="B35" s="113">
        <v>0</v>
      </c>
      <c r="C35" s="113">
        <v>0</v>
      </c>
      <c r="D35" s="28">
        <f>SUM(AA35:AD35)</f>
        <v>0</v>
      </c>
      <c r="E35" s="113">
        <v>0</v>
      </c>
      <c r="F35" s="113">
        <v>0</v>
      </c>
      <c r="G35" s="28">
        <f>SUM(D35:F35)</f>
        <v>0</v>
      </c>
      <c r="H35" s="125">
        <v>0</v>
      </c>
      <c r="I35" s="113">
        <v>0</v>
      </c>
      <c r="J35" s="125">
        <v>0</v>
      </c>
      <c r="K35" s="113">
        <v>0</v>
      </c>
      <c r="L35" s="113">
        <v>0</v>
      </c>
      <c r="M35" s="113">
        <v>0</v>
      </c>
      <c r="N35" s="28">
        <f>G35-SUM(H35:M35)</f>
        <v>0</v>
      </c>
      <c r="O35" s="28">
        <f>SUM(V35:Y35)</f>
        <v>0</v>
      </c>
      <c r="P35" s="28">
        <f>O35-N35</f>
        <v>0</v>
      </c>
      <c r="Q35" s="61" t="str">
        <f>IF(ISERROR(P35/SUM(H35:L35)),"",P35/SUM(H35:L35))</f>
        <v/>
      </c>
      <c r="R35" s="113">
        <v>0</v>
      </c>
      <c r="S35" s="28">
        <f>IF(ISERROR(P35/C35*R35),0,(P35/C35*R35))</f>
        <v>0</v>
      </c>
      <c r="T35" s="60">
        <f>IF(ISERROR(P35/B35*AF35),0,(P35/B35*AF35))</f>
        <v>0</v>
      </c>
      <c r="V35" s="113">
        <v>0</v>
      </c>
      <c r="W35" s="113">
        <v>0</v>
      </c>
      <c r="X35" s="113">
        <v>0</v>
      </c>
      <c r="Y35" s="113">
        <v>0</v>
      </c>
      <c r="AA35" s="113">
        <v>0</v>
      </c>
      <c r="AB35" s="113">
        <v>0</v>
      </c>
      <c r="AC35" s="113">
        <v>0</v>
      </c>
      <c r="AD35" s="113">
        <v>0</v>
      </c>
      <c r="AF35" s="113">
        <v>0</v>
      </c>
      <c r="AG35" s="28">
        <f>G35-O35</f>
        <v>0</v>
      </c>
      <c r="AH35" s="58">
        <f>IF(ISERROR(AG35/B35*AF35),0,(AG35/B35*AF35))</f>
        <v>0</v>
      </c>
      <c r="AI35" s="28">
        <f>SUM(H35:M35)</f>
        <v>0</v>
      </c>
      <c r="AJ35" s="28">
        <f>IF(ISERROR(AI35/B35*AF35),0,(AI35/B35*AF35))</f>
        <v>0</v>
      </c>
      <c r="AK35" s="58">
        <f>IF(ISERROR(O35/B35*AF35),0,(O35/B35*AF35))</f>
        <v>0</v>
      </c>
      <c r="AL35" s="28">
        <f>IF(ISERROR(H35/B35*AF35),0,(H35/B35*AF35))</f>
        <v>0</v>
      </c>
      <c r="AN35" s="51">
        <f>A35</f>
        <v>0</v>
      </c>
      <c r="AO35" s="57">
        <f>IF(ISERROR(IF(B35=C35,D35/C35,(INT(D35/B35)+(((D35-B35*INT(D35/B35)))/C35)/100))),0,(IF(B35=C35,D35/C35,(INT(D35/B35)+(((D35-B35*INT(D35/B35)))/C35)/100))))</f>
        <v>0</v>
      </c>
      <c r="AP35" s="57">
        <f>IF(ISERROR(IF(B35=C35,E35/C35,(INT(E35/B35)+(((E35-B35*INT(E35/B35)))/C35)/100))),0,(IF(B35=C35,E35/C35,(INT(E35/B35)+(((E35-B35*INT(E35/B35)))/C35)/100))))</f>
        <v>0</v>
      </c>
      <c r="AQ35" s="57">
        <f>IF(ISERROR(IF(B35=C35,F35/C35,IF((INT(F35/B35)+(((F35-B35*INT(F35/B35)))/C35)/100)&lt;0,(INT(F35/B35)+(((F35-B35*INT(F35/B35)))/C35)/100)+(1-(B35/C35/100)),(INT(F35/B35)+(((F35-B35*INT(F35/B35)))/C35)/100)))),0,IF(B35=C35,F35/C35,IF((INT(F35/B35)+(((F35-B35*INT(F35/B35)))/C35)/100)&lt;0,(INT(F35/B35)+(((F35-B35*INT(F35/B35)))/C35)/100)+(1-(B35/C35/100)),(INT(F35/B35)+(((F35-B35*INT(F35/B35)))/C35)/100))))</f>
        <v>0</v>
      </c>
      <c r="AR35" s="57">
        <f>IF(ISERROR(IF(B35=C35,G35/C35,(INT(G35/B35)+(((G35-B35*INT(G35/B35)))/C35)/100))),0,(IF(B35=C35,G35/C35,(INT(G35/B35)+(((G35-B35*INT(G35/B35)))/C35)/100))))</f>
        <v>0</v>
      </c>
      <c r="AS35" s="57">
        <f>IF(ISERROR(IF(B35=C35,H35/C35,(INT(H35/B35)+(((H35-B35*INT(H35/B35)))/C35)/100))),0,(IF(B35=C35,H35/C35,(INT(H35/B35)+(((H35-B35*INT(H35/B35)))/C35)/100))))</f>
        <v>0</v>
      </c>
      <c r="AT35" s="57">
        <f>IF(ISERROR(IF(B35=C35,I35/C35,(INT(I35/B35)+(((I35-B35*INT(I35/B35)))/C35)/100))),0,(IF(B35=C35,I35/C35,(INT(I35/B35)+(((I35-B35*INT(I35/B35)))/C35)/100))))</f>
        <v>0</v>
      </c>
      <c r="AU35" s="57">
        <f>IF(ISERROR(IF(B35=C35,J35/C35,(INT(J35/B35)+(((J35-B35*INT(J35/B35)))/C35)/100))),0,(IF(B35=C35,J35/C35,(INT(J35/B35)+(((J35-B35*INT(J35/B35)))/C35)/100))))</f>
        <v>0</v>
      </c>
      <c r="AV35" s="57">
        <f>IF(ISERROR(IF(B35=C35,K35/C35,IF((INT(K35/B35)+(((K35-B35*INT(K35/B35)))/C35)/100)&lt;0,(INT(K35/B35)+(((K35-B35*INT(K35/B35)))/C35)/100)+(1-(B35/C35/100)),(INT(K35/B35)+(((K35-B35*INT(K35/B35)))/C35)/100)))),0,IF(B35=C35,K35/C35,IF((INT(K35/B35)+(((K35-B35*INT(K35/B35)))/C35)/100)&lt;0,(INT(K35/B35)+(((K35-B35*INT(K35/B35)))/C35)/100)+(1-(B35/C35/100)),(INT(K35/B35)+(((K35-B35*INT(K35/B35)))/C35)/100))))</f>
        <v>0</v>
      </c>
      <c r="AW35" s="57">
        <f>IF(ISERROR(IF(B35=C35,L35/C35,(INT(L35/B35)+(((L35-B35*INT(L35/B35)))/C35)/100))),0,(IF(B35=C35,L35/C35,(INT(L35/B35)+(((L35-B35*INT(L35/B35)))/C35)/100))))</f>
        <v>0</v>
      </c>
      <c r="AX35" s="57">
        <f>IF(ISERROR(IF(B35=C35,M35/C35,(INT(M35/B35)+(((M35-B35*INT(M35/B35)))/C35)/100))),0,(IF(B35=C35,M35/C35,(INT(M35/B35)+(((M35-B35*INT(M35/B35)))/C35)/100))))</f>
        <v>0</v>
      </c>
      <c r="AY35" s="57">
        <f>IF(ISERROR(IF(B35=C35,N35/C35,IF((INT(N35/B35)+(((N35-B35*INT(N35/B35)))/C35)/100)&lt;0,(INT(N35/B35)+(((N35-B35*INT(N35/B35)))/C35)/100)+(1-(B35/C35/100)),(INT(N35/B35)+(((N35-B35*INT(N35/B35)))/C35)/100)))),0,IF(B35=C35,N35/C35,IF((INT(N35/B35)+(((N35-B35*INT(N35/B35)))/C35)/100)&lt;0,(INT(N35/B35)+(((N35-B35*INT(N35/B35)))/C35)/100)+(1-(B35/C35/100)),(INT(N35/B35)+(((N35-B35*INT(N35/B35)))/C35)/100))))</f>
        <v>0</v>
      </c>
      <c r="AZ35" s="57">
        <f>IF(ISERROR(IF(B35=C35,O35/C35,(INT(O35/B35)+(((O35-B35*INT(O35/B35)))/C35)/100))),0,(IF(B35=C35,O35/C35,(INT(O35/B35)+(((O35-B35*INT(O35/B35)))/C35)/100))))</f>
        <v>0</v>
      </c>
      <c r="BA35" s="57">
        <f>IF(ISERROR(IF(B35=C35,P35/C35,IF((INT(P35/B35)+(((P35-B35*INT(P35/B35)))/C35)/100)&lt;0,(INT(P35/B35)+(((P35-B35*INT(P35/B35)))/C35)/100)+(1-(B35/C35/100)),(INT(P35/B35)+(((P35-B35*INT(P35/B35)))/C35)/100)))),0,IF(B35=C35,P35/C35,IF((INT(P35/B35)+(((P35-B35*INT(P35/B35)))/C35)/100)&lt;0,(INT(P35/B35)+(((P35-B35*INT(P35/B35)))/C35)/100)+(1-(B35/C35/100)),(INT(P35/B35)+(((P35-B35*INT(P35/B35)))/C35)/100))))</f>
        <v>0</v>
      </c>
      <c r="BB35" s="28">
        <f>R35</f>
        <v>0</v>
      </c>
      <c r="BC35" s="28">
        <f>S35</f>
        <v>0</v>
      </c>
      <c r="BD35" s="28">
        <f>AF35</f>
        <v>0</v>
      </c>
      <c r="BE35" s="28">
        <f>T35</f>
        <v>0</v>
      </c>
      <c r="BG35" s="57">
        <f>IF(ISERROR(IF(B35=C35,V35/C35,(INT(V35/B35)+(((V35-B35*INT(V35/B35)))/C35)/100))),0,(IF(B35=C35,V35/C35,(INT(V35/B35)+(((V35-B35*INT(V35/B35)))/C35)/100))))</f>
        <v>0</v>
      </c>
      <c r="BH35" s="57">
        <f>IF(ISERROR(IF(B35=C35,W35/C35,(INT(W35/B35)+(((W35-B35*INT(W35/B35)))/C35)/100))),0,(IF(B35=C35,W35/C35,(INT(W35/B35)+(((W35-B35*INT(W35/B35)))/C35)/100))))</f>
        <v>0</v>
      </c>
      <c r="BI35" s="57">
        <f>IF(ISERROR(IF(B35=C35,X35/C35,(INT(X35/B35)+(((X35-B35*INT(X35/B35)))/C35)/100))),0,(IF(B35=C35,X35/C35,(INT(X35/B35)+(((X35-B35*INT(X35/B35)))/C35)/100))))</f>
        <v>0</v>
      </c>
      <c r="BJ35" s="57">
        <f>IF(ISERROR(IF(B35=C35,Y35/C35,(INT(Y35/B35)+(((Y35-B35*INT(Y35/B35)))/C35)/100))),0,(IF(B35=C35,Y35/C35,(INT(Y35/B35)+(((Y35-B35*INT(Y35/B35)))/C35)/100))))</f>
        <v>0</v>
      </c>
      <c r="BL35" s="57">
        <f>IF(ISERROR(IF(B35=C35,AA35/C35,(INT(AA35/B35)+(((AA35-B35*INT(AA35/B35)))/C35)/100))),0,(IF(B35=C35,AA35/C35,(INT(AA35/B35)+(((AA35-B35*INT(AA35/B35)))/C35)/100))))</f>
        <v>0</v>
      </c>
      <c r="BM35" s="57">
        <f>IF(ISERROR(IF(B35=C35,AB35/C35,(INT(AB35/B35)+(((AB35-B35*INT(AB35/B35)))/C35)/100))),0,(IF(B35=C35,AB35/C35,(INT(AB35/B35)+(((AB35-B35*INT(AB35/B35)))/C35)/100))))</f>
        <v>0</v>
      </c>
      <c r="BN35" s="57">
        <f>IF(ISERROR(IF(B35=C35,AC35/C35,(INT(AC35/B35)+(((AC35-B35*INT(AC35/B35)))/C35)/100))),0,(IF(B35=C35,AC35/C35,(INT(AC35/B35)+(((AC35-B35*INT(AC35/B35)))/C35)/100))))</f>
        <v>0</v>
      </c>
      <c r="BO35" s="57">
        <f>IF(ISERROR(IF(B35=C35,AD35/C35,(INT(AD35/B35)+(((AD35-B35*INT(AD35/B35)))/C35)/100))),0,(IF(B35=C35,AD35/C35,(INT(AD35/B35)+(((AD35-B35*INT(AD35/B35)))/C35)/100))))</f>
        <v>0</v>
      </c>
      <c r="BQ35" s="155"/>
    </row>
    <row r="36" spans="1:69" hidden="1" x14ac:dyDescent="0.35">
      <c r="A36" s="94"/>
      <c r="B36" s="113">
        <v>0</v>
      </c>
      <c r="C36" s="113">
        <v>0</v>
      </c>
      <c r="D36" s="28">
        <f>SUM(AA36:AD36)</f>
        <v>0</v>
      </c>
      <c r="E36" s="113">
        <v>0</v>
      </c>
      <c r="F36" s="113">
        <v>0</v>
      </c>
      <c r="G36" s="28">
        <f>SUM(D36:F36)</f>
        <v>0</v>
      </c>
      <c r="H36" s="125">
        <v>0</v>
      </c>
      <c r="I36" s="113">
        <v>0</v>
      </c>
      <c r="J36" s="125">
        <v>0</v>
      </c>
      <c r="K36" s="113">
        <v>0</v>
      </c>
      <c r="L36" s="113">
        <v>0</v>
      </c>
      <c r="M36" s="113">
        <v>0</v>
      </c>
      <c r="N36" s="28">
        <f>G36-SUM(H36:M36)</f>
        <v>0</v>
      </c>
      <c r="O36" s="28">
        <f>SUM(V36:Y36)</f>
        <v>0</v>
      </c>
      <c r="P36" s="28">
        <f>O36-N36</f>
        <v>0</v>
      </c>
      <c r="Q36" s="61" t="str">
        <f>IF(ISERROR(P36/SUM(H36:L36)),"",P36/SUM(H36:L36))</f>
        <v/>
      </c>
      <c r="R36" s="113">
        <v>0</v>
      </c>
      <c r="S36" s="28">
        <f>IF(ISERROR(P36/C36*R36),0,(P36/C36*R36))</f>
        <v>0</v>
      </c>
      <c r="T36" s="60">
        <f>IF(ISERROR(P36/B36*AF36),0,(P36/B36*AF36))</f>
        <v>0</v>
      </c>
      <c r="V36" s="113">
        <v>0</v>
      </c>
      <c r="W36" s="113">
        <v>0</v>
      </c>
      <c r="X36" s="113">
        <v>0</v>
      </c>
      <c r="Y36" s="113">
        <v>0</v>
      </c>
      <c r="AA36" s="113">
        <v>0</v>
      </c>
      <c r="AB36" s="113">
        <v>0</v>
      </c>
      <c r="AC36" s="113">
        <v>0</v>
      </c>
      <c r="AD36" s="113">
        <v>0</v>
      </c>
      <c r="AF36" s="113">
        <v>0</v>
      </c>
      <c r="AG36" s="28">
        <f>G36-O36</f>
        <v>0</v>
      </c>
      <c r="AH36" s="58">
        <f>IF(ISERROR(AG36/B36*AF36),0,(AG36/B36*AF36))</f>
        <v>0</v>
      </c>
      <c r="AI36" s="28">
        <f>SUM(H36:M36)</f>
        <v>0</v>
      </c>
      <c r="AJ36" s="28">
        <f>IF(ISERROR(AI36/B36*AF36),0,(AI36/B36*AF36))</f>
        <v>0</v>
      </c>
      <c r="AK36" s="58">
        <f>IF(ISERROR(O36/B36*AF36),0,(O36/B36*AF36))</f>
        <v>0</v>
      </c>
      <c r="AL36" s="28">
        <f>IF(ISERROR(H36/B36*AF36),0,(H36/B36*AF36))</f>
        <v>0</v>
      </c>
      <c r="AN36" s="51">
        <f>A36</f>
        <v>0</v>
      </c>
      <c r="AO36" s="57">
        <f>IF(ISERROR(IF(B36=C36,D36/C36,(INT(D36/B36)+(((D36-B36*INT(D36/B36)))/C36)/100))),0,(IF(B36=C36,D36/C36,(INT(D36/B36)+(((D36-B36*INT(D36/B36)))/C36)/100))))</f>
        <v>0</v>
      </c>
      <c r="AP36" s="57">
        <f>IF(ISERROR(IF(B36=C36,E36/C36,(INT(E36/B36)+(((E36-B36*INT(E36/B36)))/C36)/100))),0,(IF(B36=C36,E36/C36,(INT(E36/B36)+(((E36-B36*INT(E36/B36)))/C36)/100))))</f>
        <v>0</v>
      </c>
      <c r="AQ36" s="57">
        <f>IF(ISERROR(IF(B36=C36,F36/C36,IF((INT(F36/B36)+(((F36-B36*INT(F36/B36)))/C36)/100)&lt;0,(INT(F36/B36)+(((F36-B36*INT(F36/B36)))/C36)/100)+(1-(B36/C36/100)),(INT(F36/B36)+(((F36-B36*INT(F36/B36)))/C36)/100)))),0,IF(B36=C36,F36/C36,IF((INT(F36/B36)+(((F36-B36*INT(F36/B36)))/C36)/100)&lt;0,(INT(F36/B36)+(((F36-B36*INT(F36/B36)))/C36)/100)+(1-(B36/C36/100)),(INT(F36/B36)+(((F36-B36*INT(F36/B36)))/C36)/100))))</f>
        <v>0</v>
      </c>
      <c r="AR36" s="57">
        <f>IF(ISERROR(IF(B36=C36,G36/C36,(INT(G36/B36)+(((G36-B36*INT(G36/B36)))/C36)/100))),0,(IF(B36=C36,G36/C36,(INT(G36/B36)+(((G36-B36*INT(G36/B36)))/C36)/100))))</f>
        <v>0</v>
      </c>
      <c r="AS36" s="57">
        <f>IF(ISERROR(IF(B36=C36,H36/C36,(INT(H36/B36)+(((H36-B36*INT(H36/B36)))/C36)/100))),0,(IF(B36=C36,H36/C36,(INT(H36/B36)+(((H36-B36*INT(H36/B36)))/C36)/100))))</f>
        <v>0</v>
      </c>
      <c r="AT36" s="57">
        <f>IF(ISERROR(IF(B36=C36,I36/C36,(INT(I36/B36)+(((I36-B36*INT(I36/B36)))/C36)/100))),0,(IF(B36=C36,I36/C36,(INT(I36/B36)+(((I36-B36*INT(I36/B36)))/C36)/100))))</f>
        <v>0</v>
      </c>
      <c r="AU36" s="57">
        <f>IF(ISERROR(IF(B36=C36,J36/C36,(INT(J36/B36)+(((J36-B36*INT(J36/B36)))/C36)/100))),0,(IF(B36=C36,J36/C36,(INT(J36/B36)+(((J36-B36*INT(J36/B36)))/C36)/100))))</f>
        <v>0</v>
      </c>
      <c r="AV36" s="57">
        <f>IF(ISERROR(IF(B36=C36,K36/C36,IF((INT(K36/B36)+(((K36-B36*INT(K36/B36)))/C36)/100)&lt;0,(INT(K36/B36)+(((K36-B36*INT(K36/B36)))/C36)/100)+(1-(B36/C36/100)),(INT(K36/B36)+(((K36-B36*INT(K36/B36)))/C36)/100)))),0,IF(B36=C36,K36/C36,IF((INT(K36/B36)+(((K36-B36*INT(K36/B36)))/C36)/100)&lt;0,(INT(K36/B36)+(((K36-B36*INT(K36/B36)))/C36)/100)+(1-(B36/C36/100)),(INT(K36/B36)+(((K36-B36*INT(K36/B36)))/C36)/100))))</f>
        <v>0</v>
      </c>
      <c r="AW36" s="57">
        <f>IF(ISERROR(IF(B36=C36,L36/C36,(INT(L36/B36)+(((L36-B36*INT(L36/B36)))/C36)/100))),0,(IF(B36=C36,L36/C36,(INT(L36/B36)+(((L36-B36*INT(L36/B36)))/C36)/100))))</f>
        <v>0</v>
      </c>
      <c r="AX36" s="57">
        <f>IF(ISERROR(IF(B36=C36,M36/C36,(INT(M36/B36)+(((M36-B36*INT(M36/B36)))/C36)/100))),0,(IF(B36=C36,M36/C36,(INT(M36/B36)+(((M36-B36*INT(M36/B36)))/C36)/100))))</f>
        <v>0</v>
      </c>
      <c r="AY36" s="57">
        <f>IF(ISERROR(IF(B36=C36,N36/C36,IF((INT(N36/B36)+(((N36-B36*INT(N36/B36)))/C36)/100)&lt;0,(INT(N36/B36)+(((N36-B36*INT(N36/B36)))/C36)/100)+(1-(B36/C36/100)),(INT(N36/B36)+(((N36-B36*INT(N36/B36)))/C36)/100)))),0,IF(B36=C36,N36/C36,IF((INT(N36/B36)+(((N36-B36*INT(N36/B36)))/C36)/100)&lt;0,(INT(N36/B36)+(((N36-B36*INT(N36/B36)))/C36)/100)+(1-(B36/C36/100)),(INT(N36/B36)+(((N36-B36*INT(N36/B36)))/C36)/100))))</f>
        <v>0</v>
      </c>
      <c r="AZ36" s="57">
        <f>IF(ISERROR(IF(B36=C36,O36/C36,(INT(O36/B36)+(((O36-B36*INT(O36/B36)))/C36)/100))),0,(IF(B36=C36,O36/C36,(INT(O36/B36)+(((O36-B36*INT(O36/B36)))/C36)/100))))</f>
        <v>0</v>
      </c>
      <c r="BA36" s="57">
        <f>IF(ISERROR(IF(B36=C36,P36/C36,IF((INT(P36/B36)+(((P36-B36*INT(P36/B36)))/C36)/100)&lt;0,(INT(P36/B36)+(((P36-B36*INT(P36/B36)))/C36)/100)+(1-(B36/C36/100)),(INT(P36/B36)+(((P36-B36*INT(P36/B36)))/C36)/100)))),0,IF(B36=C36,P36/C36,IF((INT(P36/B36)+(((P36-B36*INT(P36/B36)))/C36)/100)&lt;0,(INT(P36/B36)+(((P36-B36*INT(P36/B36)))/C36)/100)+(1-(B36/C36/100)),(INT(P36/B36)+(((P36-B36*INT(P36/B36)))/C36)/100))))</f>
        <v>0</v>
      </c>
      <c r="BB36" s="28">
        <f>R36</f>
        <v>0</v>
      </c>
      <c r="BC36" s="28">
        <f>S36</f>
        <v>0</v>
      </c>
      <c r="BD36" s="28">
        <f>AF36</f>
        <v>0</v>
      </c>
      <c r="BE36" s="28">
        <f>T36</f>
        <v>0</v>
      </c>
      <c r="BG36" s="57">
        <f>IF(ISERROR(IF(B36=C36,V36/C36,(INT(V36/B36)+(((V36-B36*INT(V36/B36)))/C36)/100))),0,(IF(B36=C36,V36/C36,(INT(V36/B36)+(((V36-B36*INT(V36/B36)))/C36)/100))))</f>
        <v>0</v>
      </c>
      <c r="BH36" s="57">
        <f>IF(ISERROR(IF(B36=C36,W36/C36,(INT(W36/B36)+(((W36-B36*INT(W36/B36)))/C36)/100))),0,(IF(B36=C36,W36/C36,(INT(W36/B36)+(((W36-B36*INT(W36/B36)))/C36)/100))))</f>
        <v>0</v>
      </c>
      <c r="BI36" s="57">
        <f>IF(ISERROR(IF(B36=C36,X36/C36,(INT(X36/B36)+(((X36-B36*INT(X36/B36)))/C36)/100))),0,(IF(B36=C36,X36/C36,(INT(X36/B36)+(((X36-B36*INT(X36/B36)))/C36)/100))))</f>
        <v>0</v>
      </c>
      <c r="BJ36" s="57">
        <f>IF(ISERROR(IF(B36=C36,Y36/C36,(INT(Y36/B36)+(((Y36-B36*INT(Y36/B36)))/C36)/100))),0,(IF(B36=C36,Y36/C36,(INT(Y36/B36)+(((Y36-B36*INT(Y36/B36)))/C36)/100))))</f>
        <v>0</v>
      </c>
      <c r="BL36" s="57">
        <f>IF(ISERROR(IF(B36=C36,AA36/C36,(INT(AA36/B36)+(((AA36-B36*INT(AA36/B36)))/C36)/100))),0,(IF(B36=C36,AA36/C36,(INT(AA36/B36)+(((AA36-B36*INT(AA36/B36)))/C36)/100))))</f>
        <v>0</v>
      </c>
      <c r="BM36" s="57">
        <f>IF(ISERROR(IF(B36=C36,AB36/C36,(INT(AB36/B36)+(((AB36-B36*INT(AB36/B36)))/C36)/100))),0,(IF(B36=C36,AB36/C36,(INT(AB36/B36)+(((AB36-B36*INT(AB36/B36)))/C36)/100))))</f>
        <v>0</v>
      </c>
      <c r="BN36" s="57">
        <f>IF(ISERROR(IF(B36=C36,AC36/C36,(INT(AC36/B36)+(((AC36-B36*INT(AC36/B36)))/C36)/100))),0,(IF(B36=C36,AC36/C36,(INT(AC36/B36)+(((AC36-B36*INT(AC36/B36)))/C36)/100))))</f>
        <v>0</v>
      </c>
      <c r="BO36" s="57">
        <f>IF(ISERROR(IF(B36=C36,AD36/C36,(INT(AD36/B36)+(((AD36-B36*INT(AD36/B36)))/C36)/100))),0,(IF(B36=C36,AD36/C36,(INT(AD36/B36)+(((AD36-B36*INT(AD36/B36)))/C36)/100))))</f>
        <v>0</v>
      </c>
      <c r="BQ36" s="155"/>
    </row>
    <row r="37" spans="1:69" hidden="1" x14ac:dyDescent="0.35">
      <c r="A37" s="94"/>
      <c r="B37" s="113">
        <v>0</v>
      </c>
      <c r="C37" s="113">
        <v>0</v>
      </c>
      <c r="D37" s="28">
        <f>SUM(AA37:AD37)</f>
        <v>0</v>
      </c>
      <c r="E37" s="113">
        <v>0</v>
      </c>
      <c r="F37" s="113">
        <v>0</v>
      </c>
      <c r="G37" s="28">
        <f>SUM(D37:F37)</f>
        <v>0</v>
      </c>
      <c r="H37" s="125">
        <v>0</v>
      </c>
      <c r="I37" s="113">
        <v>0</v>
      </c>
      <c r="J37" s="125">
        <v>0</v>
      </c>
      <c r="K37" s="113">
        <v>0</v>
      </c>
      <c r="L37" s="113">
        <v>0</v>
      </c>
      <c r="M37" s="113">
        <v>0</v>
      </c>
      <c r="N37" s="28">
        <f>G37-SUM(H37:M37)</f>
        <v>0</v>
      </c>
      <c r="O37" s="28">
        <f>SUM(V37:Y37)</f>
        <v>0</v>
      </c>
      <c r="P37" s="28">
        <f>O37-N37</f>
        <v>0</v>
      </c>
      <c r="Q37" s="61" t="str">
        <f>IF(ISERROR(P37/SUM(H37:L37)),"",P37/SUM(H37:L37))</f>
        <v/>
      </c>
      <c r="R37" s="113">
        <v>0</v>
      </c>
      <c r="S37" s="28">
        <f>IF(ISERROR(P37/C37*R37),0,(P37/C37*R37))</f>
        <v>0</v>
      </c>
      <c r="T37" s="60">
        <f>IF(ISERROR(P37/B37*AF37),0,(P37/B37*AF37))</f>
        <v>0</v>
      </c>
      <c r="V37" s="113">
        <v>0</v>
      </c>
      <c r="W37" s="113">
        <v>0</v>
      </c>
      <c r="X37" s="113">
        <v>0</v>
      </c>
      <c r="Y37" s="113">
        <v>0</v>
      </c>
      <c r="AA37" s="113">
        <v>0</v>
      </c>
      <c r="AB37" s="113">
        <v>0</v>
      </c>
      <c r="AC37" s="113">
        <v>0</v>
      </c>
      <c r="AD37" s="113">
        <v>0</v>
      </c>
      <c r="AF37" s="113">
        <v>0</v>
      </c>
      <c r="AG37" s="28">
        <f>G37-O37</f>
        <v>0</v>
      </c>
      <c r="AH37" s="58">
        <f>IF(ISERROR(AG37/B37*AF37),0,(AG37/B37*AF37))</f>
        <v>0</v>
      </c>
      <c r="AI37" s="28">
        <f>SUM(H37:M37)</f>
        <v>0</v>
      </c>
      <c r="AJ37" s="28">
        <f>IF(ISERROR(AI37/B37*AF37),0,(AI37/B37*AF37))</f>
        <v>0</v>
      </c>
      <c r="AK37" s="58">
        <f>IF(ISERROR(O37/B37*AF37),0,(O37/B37*AF37))</f>
        <v>0</v>
      </c>
      <c r="AL37" s="28">
        <f>IF(ISERROR(H37/B37*AF37),0,(H37/B37*AF37))</f>
        <v>0</v>
      </c>
      <c r="AN37" s="51">
        <f>A37</f>
        <v>0</v>
      </c>
      <c r="AO37" s="57">
        <f>IF(ISERROR(IF(B37=C37,D37/C37,(INT(D37/B37)+(((D37-B37*INT(D37/B37)))/C37)/100))),0,(IF(B37=C37,D37/C37,(INT(D37/B37)+(((D37-B37*INT(D37/B37)))/C37)/100))))</f>
        <v>0</v>
      </c>
      <c r="AP37" s="57">
        <f>IF(ISERROR(IF(B37=C37,E37/C37,(INT(E37/B37)+(((E37-B37*INT(E37/B37)))/C37)/100))),0,(IF(B37=C37,E37/C37,(INT(E37/B37)+(((E37-B37*INT(E37/B37)))/C37)/100))))</f>
        <v>0</v>
      </c>
      <c r="AQ37" s="57">
        <f>IF(ISERROR(IF(B37=C37,F37/C37,IF((INT(F37/B37)+(((F37-B37*INT(F37/B37)))/C37)/100)&lt;0,(INT(F37/B37)+(((F37-B37*INT(F37/B37)))/C37)/100)+(1-(B37/C37/100)),(INT(F37/B37)+(((F37-B37*INT(F37/B37)))/C37)/100)))),0,IF(B37=C37,F37/C37,IF((INT(F37/B37)+(((F37-B37*INT(F37/B37)))/C37)/100)&lt;0,(INT(F37/B37)+(((F37-B37*INT(F37/B37)))/C37)/100)+(1-(B37/C37/100)),(INT(F37/B37)+(((F37-B37*INT(F37/B37)))/C37)/100))))</f>
        <v>0</v>
      </c>
      <c r="AR37" s="57">
        <f>IF(ISERROR(IF(B37=C37,G37/C37,(INT(G37/B37)+(((G37-B37*INT(G37/B37)))/C37)/100))),0,(IF(B37=C37,G37/C37,(INT(G37/B37)+(((G37-B37*INT(G37/B37)))/C37)/100))))</f>
        <v>0</v>
      </c>
      <c r="AS37" s="57">
        <f>IF(ISERROR(IF(B37=C37,H37/C37,(INT(H37/B37)+(((H37-B37*INT(H37/B37)))/C37)/100))),0,(IF(B37=C37,H37/C37,(INT(H37/B37)+(((H37-B37*INT(H37/B37)))/C37)/100))))</f>
        <v>0</v>
      </c>
      <c r="AT37" s="57">
        <f>IF(ISERROR(IF(B37=C37,I37/C37,(INT(I37/B37)+(((I37-B37*INT(I37/B37)))/C37)/100))),0,(IF(B37=C37,I37/C37,(INT(I37/B37)+(((I37-B37*INT(I37/B37)))/C37)/100))))</f>
        <v>0</v>
      </c>
      <c r="AU37" s="57">
        <f>IF(ISERROR(IF(B37=C37,J37/C37,(INT(J37/B37)+(((J37-B37*INT(J37/B37)))/C37)/100))),0,(IF(B37=C37,J37/C37,(INT(J37/B37)+(((J37-B37*INT(J37/B37)))/C37)/100))))</f>
        <v>0</v>
      </c>
      <c r="AV37" s="57">
        <f>IF(ISERROR(IF(B37=C37,K37/C37,IF((INT(K37/B37)+(((K37-B37*INT(K37/B37)))/C37)/100)&lt;0,(INT(K37/B37)+(((K37-B37*INT(K37/B37)))/C37)/100)+(1-(B37/C37/100)),(INT(K37/B37)+(((K37-B37*INT(K37/B37)))/C37)/100)))),0,IF(B37=C37,K37/C37,IF((INT(K37/B37)+(((K37-B37*INT(K37/B37)))/C37)/100)&lt;0,(INT(K37/B37)+(((K37-B37*INT(K37/B37)))/C37)/100)+(1-(B37/C37/100)),(INT(K37/B37)+(((K37-B37*INT(K37/B37)))/C37)/100))))</f>
        <v>0</v>
      </c>
      <c r="AW37" s="57">
        <f>IF(ISERROR(IF(B37=C37,L37/C37,(INT(L37/B37)+(((L37-B37*INT(L37/B37)))/C37)/100))),0,(IF(B37=C37,L37/C37,(INT(L37/B37)+(((L37-B37*INT(L37/B37)))/C37)/100))))</f>
        <v>0</v>
      </c>
      <c r="AX37" s="57">
        <f>IF(ISERROR(IF(B37=C37,M37/C37,(INT(M37/B37)+(((M37-B37*INT(M37/B37)))/C37)/100))),0,(IF(B37=C37,M37/C37,(INT(M37/B37)+(((M37-B37*INT(M37/B37)))/C37)/100))))</f>
        <v>0</v>
      </c>
      <c r="AY37" s="57">
        <f>IF(ISERROR(IF(B37=C37,N37/C37,IF((INT(N37/B37)+(((N37-B37*INT(N37/B37)))/C37)/100)&lt;0,(INT(N37/B37)+(((N37-B37*INT(N37/B37)))/C37)/100)+(1-(B37/C37/100)),(INT(N37/B37)+(((N37-B37*INT(N37/B37)))/C37)/100)))),0,IF(B37=C37,N37/C37,IF((INT(N37/B37)+(((N37-B37*INT(N37/B37)))/C37)/100)&lt;0,(INT(N37/B37)+(((N37-B37*INT(N37/B37)))/C37)/100)+(1-(B37/C37/100)),(INT(N37/B37)+(((N37-B37*INT(N37/B37)))/C37)/100))))</f>
        <v>0</v>
      </c>
      <c r="AZ37" s="57">
        <f>IF(ISERROR(IF(B37=C37,O37/C37,(INT(O37/B37)+(((O37-B37*INT(O37/B37)))/C37)/100))),0,(IF(B37=C37,O37/C37,(INT(O37/B37)+(((O37-B37*INT(O37/B37)))/C37)/100))))</f>
        <v>0</v>
      </c>
      <c r="BA37" s="57">
        <f>IF(ISERROR(IF(B37=C37,P37/C37,IF((INT(P37/B37)+(((P37-B37*INT(P37/B37)))/C37)/100)&lt;0,(INT(P37/B37)+(((P37-B37*INT(P37/B37)))/C37)/100)+(1-(B37/C37/100)),(INT(P37/B37)+(((P37-B37*INT(P37/B37)))/C37)/100)))),0,IF(B37=C37,P37/C37,IF((INT(P37/B37)+(((P37-B37*INT(P37/B37)))/C37)/100)&lt;0,(INT(P37/B37)+(((P37-B37*INT(P37/B37)))/C37)/100)+(1-(B37/C37/100)),(INT(P37/B37)+(((P37-B37*INT(P37/B37)))/C37)/100))))</f>
        <v>0</v>
      </c>
      <c r="BB37" s="28">
        <f>R37</f>
        <v>0</v>
      </c>
      <c r="BC37" s="28">
        <f>S37</f>
        <v>0</v>
      </c>
      <c r="BD37" s="28">
        <f>AF37</f>
        <v>0</v>
      </c>
      <c r="BE37" s="28">
        <f>T37</f>
        <v>0</v>
      </c>
      <c r="BG37" s="57">
        <f>IF(ISERROR(IF(B37=C37,V37/C37,(INT(V37/B37)+(((V37-B37*INT(V37/B37)))/C37)/100))),0,(IF(B37=C37,V37/C37,(INT(V37/B37)+(((V37-B37*INT(V37/B37)))/C37)/100))))</f>
        <v>0</v>
      </c>
      <c r="BH37" s="57">
        <f>IF(ISERROR(IF(B37=C37,W37/C37,(INT(W37/B37)+(((W37-B37*INT(W37/B37)))/C37)/100))),0,(IF(B37=C37,W37/C37,(INT(W37/B37)+(((W37-B37*INT(W37/B37)))/C37)/100))))</f>
        <v>0</v>
      </c>
      <c r="BI37" s="57">
        <f>IF(ISERROR(IF(B37=C37,X37/C37,(INT(X37/B37)+(((X37-B37*INT(X37/B37)))/C37)/100))),0,(IF(B37=C37,X37/C37,(INT(X37/B37)+(((X37-B37*INT(X37/B37)))/C37)/100))))</f>
        <v>0</v>
      </c>
      <c r="BJ37" s="57">
        <f>IF(ISERROR(IF(B37=C37,Y37/C37,(INT(Y37/B37)+(((Y37-B37*INT(Y37/B37)))/C37)/100))),0,(IF(B37=C37,Y37/C37,(INT(Y37/B37)+(((Y37-B37*INT(Y37/B37)))/C37)/100))))</f>
        <v>0</v>
      </c>
      <c r="BL37" s="57">
        <f>IF(ISERROR(IF(B37=C37,AA37/C37,(INT(AA37/B37)+(((AA37-B37*INT(AA37/B37)))/C37)/100))),0,(IF(B37=C37,AA37/C37,(INT(AA37/B37)+(((AA37-B37*INT(AA37/B37)))/C37)/100))))</f>
        <v>0</v>
      </c>
      <c r="BM37" s="57">
        <f>IF(ISERROR(IF(B37=C37,AB37/C37,(INT(AB37/B37)+(((AB37-B37*INT(AB37/B37)))/C37)/100))),0,(IF(B37=C37,AB37/C37,(INT(AB37/B37)+(((AB37-B37*INT(AB37/B37)))/C37)/100))))</f>
        <v>0</v>
      </c>
      <c r="BN37" s="57">
        <f>IF(ISERROR(IF(B37=C37,AC37/C37,(INT(AC37/B37)+(((AC37-B37*INT(AC37/B37)))/C37)/100))),0,(IF(B37=C37,AC37/C37,(INT(AC37/B37)+(((AC37-B37*INT(AC37/B37)))/C37)/100))))</f>
        <v>0</v>
      </c>
      <c r="BO37" s="57">
        <f>IF(ISERROR(IF(B37=C37,AD37/C37,(INT(AD37/B37)+(((AD37-B37*INT(AD37/B37)))/C37)/100))),0,(IF(B37=C37,AD37/C37,(INT(AD37/B37)+(((AD37-B37*INT(AD37/B37)))/C37)/100))))</f>
        <v>0</v>
      </c>
      <c r="BQ37" s="155"/>
    </row>
    <row r="38" spans="1:69" hidden="1" x14ac:dyDescent="0.35">
      <c r="A38" s="94"/>
      <c r="B38" s="113">
        <v>0</v>
      </c>
      <c r="C38" s="113">
        <v>0</v>
      </c>
      <c r="D38" s="28">
        <f>SUM(AA38:AD38)</f>
        <v>0</v>
      </c>
      <c r="E38" s="113">
        <v>0</v>
      </c>
      <c r="F38" s="113">
        <v>0</v>
      </c>
      <c r="G38" s="28">
        <f>SUM(D38:F38)</f>
        <v>0</v>
      </c>
      <c r="H38" s="125">
        <v>0</v>
      </c>
      <c r="I38" s="113">
        <v>0</v>
      </c>
      <c r="J38" s="125">
        <v>0</v>
      </c>
      <c r="K38" s="113">
        <v>0</v>
      </c>
      <c r="L38" s="113">
        <v>0</v>
      </c>
      <c r="M38" s="113">
        <v>0</v>
      </c>
      <c r="N38" s="28">
        <f>G38-SUM(H38:M38)</f>
        <v>0</v>
      </c>
      <c r="O38" s="28">
        <f>SUM(V38:Y38)</f>
        <v>0</v>
      </c>
      <c r="P38" s="28">
        <f>O38-N38</f>
        <v>0</v>
      </c>
      <c r="Q38" s="61" t="str">
        <f>IF(ISERROR(P38/SUM(H38:L38)),"",P38/SUM(H38:L38))</f>
        <v/>
      </c>
      <c r="R38" s="113">
        <v>0</v>
      </c>
      <c r="S38" s="28">
        <f>IF(ISERROR(P38/C38*R38),0,(P38/C38*R38))</f>
        <v>0</v>
      </c>
      <c r="T38" s="60">
        <f>IF(ISERROR(P38/B38*AF38),0,(P38/B38*AF38))</f>
        <v>0</v>
      </c>
      <c r="V38" s="113">
        <v>0</v>
      </c>
      <c r="W38" s="113">
        <v>0</v>
      </c>
      <c r="X38" s="113">
        <v>0</v>
      </c>
      <c r="Y38" s="113">
        <v>0</v>
      </c>
      <c r="AA38" s="113">
        <v>0</v>
      </c>
      <c r="AB38" s="113">
        <v>0</v>
      </c>
      <c r="AC38" s="113">
        <v>0</v>
      </c>
      <c r="AD38" s="113">
        <v>0</v>
      </c>
      <c r="AF38" s="113">
        <v>0</v>
      </c>
      <c r="AG38" s="28">
        <f>G38-O38</f>
        <v>0</v>
      </c>
      <c r="AH38" s="58">
        <f>IF(ISERROR(AG38/B38*AF38),0,(AG38/B38*AF38))</f>
        <v>0</v>
      </c>
      <c r="AI38" s="28">
        <f>SUM(H38:M38)</f>
        <v>0</v>
      </c>
      <c r="AJ38" s="28">
        <f>IF(ISERROR(AI38/B38*AF38),0,(AI38/B38*AF38))</f>
        <v>0</v>
      </c>
      <c r="AK38" s="58">
        <f>IF(ISERROR(O38/B38*AF38),0,(O38/B38*AF38))</f>
        <v>0</v>
      </c>
      <c r="AL38" s="28">
        <f>IF(ISERROR(H38/B38*AF38),0,(H38/B38*AF38))</f>
        <v>0</v>
      </c>
      <c r="AN38" s="51">
        <f>A38</f>
        <v>0</v>
      </c>
      <c r="AO38" s="57">
        <f>IF(ISERROR(IF(B38=C38,D38/C38,(INT(D38/B38)+(((D38-B38*INT(D38/B38)))/C38)/100))),0,(IF(B38=C38,D38/C38,(INT(D38/B38)+(((D38-B38*INT(D38/B38)))/C38)/100))))</f>
        <v>0</v>
      </c>
      <c r="AP38" s="57">
        <f>IF(ISERROR(IF(B38=C38,E38/C38,(INT(E38/B38)+(((E38-B38*INT(E38/B38)))/C38)/100))),0,(IF(B38=C38,E38/C38,(INT(E38/B38)+(((E38-B38*INT(E38/B38)))/C38)/100))))</f>
        <v>0</v>
      </c>
      <c r="AQ38" s="57">
        <f>IF(ISERROR(IF(B38=C38,F38/C38,IF((INT(F38/B38)+(((F38-B38*INT(F38/B38)))/C38)/100)&lt;0,(INT(F38/B38)+(((F38-B38*INT(F38/B38)))/C38)/100)+(1-(B38/C38/100)),(INT(F38/B38)+(((F38-B38*INT(F38/B38)))/C38)/100)))),0,IF(B38=C38,F38/C38,IF((INT(F38/B38)+(((F38-B38*INT(F38/B38)))/C38)/100)&lt;0,(INT(F38/B38)+(((F38-B38*INT(F38/B38)))/C38)/100)+(1-(B38/C38/100)),(INT(F38/B38)+(((F38-B38*INT(F38/B38)))/C38)/100))))</f>
        <v>0</v>
      </c>
      <c r="AR38" s="57">
        <f>IF(ISERROR(IF(B38=C38,G38/C38,(INT(G38/B38)+(((G38-B38*INT(G38/B38)))/C38)/100))),0,(IF(B38=C38,G38/C38,(INT(G38/B38)+(((G38-B38*INT(G38/B38)))/C38)/100))))</f>
        <v>0</v>
      </c>
      <c r="AS38" s="57">
        <f>IF(ISERROR(IF(B38=C38,H38/C38,(INT(H38/B38)+(((H38-B38*INT(H38/B38)))/C38)/100))),0,(IF(B38=C38,H38/C38,(INT(H38/B38)+(((H38-B38*INT(H38/B38)))/C38)/100))))</f>
        <v>0</v>
      </c>
      <c r="AT38" s="57">
        <f>IF(ISERROR(IF(B38=C38,I38/C38,(INT(I38/B38)+(((I38-B38*INT(I38/B38)))/C38)/100))),0,(IF(B38=C38,I38/C38,(INT(I38/B38)+(((I38-B38*INT(I38/B38)))/C38)/100))))</f>
        <v>0</v>
      </c>
      <c r="AU38" s="57">
        <f>IF(ISERROR(IF(B38=C38,J38/C38,(INT(J38/B38)+(((J38-B38*INT(J38/B38)))/C38)/100))),0,(IF(B38=C38,J38/C38,(INT(J38/B38)+(((J38-B38*INT(J38/B38)))/C38)/100))))</f>
        <v>0</v>
      </c>
      <c r="AV38" s="57">
        <f>IF(ISERROR(IF(B38=C38,K38/C38,IF((INT(K38/B38)+(((K38-B38*INT(K38/B38)))/C38)/100)&lt;0,(INT(K38/B38)+(((K38-B38*INT(K38/B38)))/C38)/100)+(1-(B38/C38/100)),(INT(K38/B38)+(((K38-B38*INT(K38/B38)))/C38)/100)))),0,IF(B38=C38,K38/C38,IF((INT(K38/B38)+(((K38-B38*INT(K38/B38)))/C38)/100)&lt;0,(INT(K38/B38)+(((K38-B38*INT(K38/B38)))/C38)/100)+(1-(B38/C38/100)),(INT(K38/B38)+(((K38-B38*INT(K38/B38)))/C38)/100))))</f>
        <v>0</v>
      </c>
      <c r="AW38" s="57">
        <f>IF(ISERROR(IF(B38=C38,L38/C38,(INT(L38/B38)+(((L38-B38*INT(L38/B38)))/C38)/100))),0,(IF(B38=C38,L38/C38,(INT(L38/B38)+(((L38-B38*INT(L38/B38)))/C38)/100))))</f>
        <v>0</v>
      </c>
      <c r="AX38" s="57">
        <f>IF(ISERROR(IF(B38=C38,M38/C38,(INT(M38/B38)+(((M38-B38*INT(M38/B38)))/C38)/100))),0,(IF(B38=C38,M38/C38,(INT(M38/B38)+(((M38-B38*INT(M38/B38)))/C38)/100))))</f>
        <v>0</v>
      </c>
      <c r="AY38" s="57">
        <f>IF(ISERROR(IF(B38=C38,N38/C38,IF((INT(N38/B38)+(((N38-B38*INT(N38/B38)))/C38)/100)&lt;0,(INT(N38/B38)+(((N38-B38*INT(N38/B38)))/C38)/100)+(1-(B38/C38/100)),(INT(N38/B38)+(((N38-B38*INT(N38/B38)))/C38)/100)))),0,IF(B38=C38,N38/C38,IF((INT(N38/B38)+(((N38-B38*INT(N38/B38)))/C38)/100)&lt;0,(INT(N38/B38)+(((N38-B38*INT(N38/B38)))/C38)/100)+(1-(B38/C38/100)),(INT(N38/B38)+(((N38-B38*INT(N38/B38)))/C38)/100))))</f>
        <v>0</v>
      </c>
      <c r="AZ38" s="57">
        <f>IF(ISERROR(IF(B38=C38,O38/C38,(INT(O38/B38)+(((O38-B38*INT(O38/B38)))/C38)/100))),0,(IF(B38=C38,O38/C38,(INT(O38/B38)+(((O38-B38*INT(O38/B38)))/C38)/100))))</f>
        <v>0</v>
      </c>
      <c r="BA38" s="57">
        <f>IF(ISERROR(IF(B38=C38,P38/C38,IF((INT(P38/B38)+(((P38-B38*INT(P38/B38)))/C38)/100)&lt;0,(INT(P38/B38)+(((P38-B38*INT(P38/B38)))/C38)/100)+(1-(B38/C38/100)),(INT(P38/B38)+(((P38-B38*INT(P38/B38)))/C38)/100)))),0,IF(B38=C38,P38/C38,IF((INT(P38/B38)+(((P38-B38*INT(P38/B38)))/C38)/100)&lt;0,(INT(P38/B38)+(((P38-B38*INT(P38/B38)))/C38)/100)+(1-(B38/C38/100)),(INT(P38/B38)+(((P38-B38*INT(P38/B38)))/C38)/100))))</f>
        <v>0</v>
      </c>
      <c r="BB38" s="28">
        <f>R38</f>
        <v>0</v>
      </c>
      <c r="BC38" s="28">
        <f>S38</f>
        <v>0</v>
      </c>
      <c r="BD38" s="28">
        <f>AF38</f>
        <v>0</v>
      </c>
      <c r="BE38" s="28">
        <f>T38</f>
        <v>0</v>
      </c>
      <c r="BG38" s="57">
        <f>IF(ISERROR(IF(B38=C38,V38/C38,(INT(V38/B38)+(((V38-B38*INT(V38/B38)))/C38)/100))),0,(IF(B38=C38,V38/C38,(INT(V38/B38)+(((V38-B38*INT(V38/B38)))/C38)/100))))</f>
        <v>0</v>
      </c>
      <c r="BH38" s="57">
        <f>IF(ISERROR(IF(B38=C38,W38/C38,(INT(W38/B38)+(((W38-B38*INT(W38/B38)))/C38)/100))),0,(IF(B38=C38,W38/C38,(INT(W38/B38)+(((W38-B38*INT(W38/B38)))/C38)/100))))</f>
        <v>0</v>
      </c>
      <c r="BI38" s="57">
        <f>IF(ISERROR(IF(B38=C38,X38/C38,(INT(X38/B38)+(((X38-B38*INT(X38/B38)))/C38)/100))),0,(IF(B38=C38,X38/C38,(INT(X38/B38)+(((X38-B38*INT(X38/B38)))/C38)/100))))</f>
        <v>0</v>
      </c>
      <c r="BJ38" s="57">
        <f>IF(ISERROR(IF(B38=C38,Y38/C38,(INT(Y38/B38)+(((Y38-B38*INT(Y38/B38)))/C38)/100))),0,(IF(B38=C38,Y38/C38,(INT(Y38/B38)+(((Y38-B38*INT(Y38/B38)))/C38)/100))))</f>
        <v>0</v>
      </c>
      <c r="BL38" s="57">
        <f>IF(ISERROR(IF(B38=C38,AA38/C38,(INT(AA38/B38)+(((AA38-B38*INT(AA38/B38)))/C38)/100))),0,(IF(B38=C38,AA38/C38,(INT(AA38/B38)+(((AA38-B38*INT(AA38/B38)))/C38)/100))))</f>
        <v>0</v>
      </c>
      <c r="BM38" s="57">
        <f>IF(ISERROR(IF(B38=C38,AB38/C38,(INT(AB38/B38)+(((AB38-B38*INT(AB38/B38)))/C38)/100))),0,(IF(B38=C38,AB38/C38,(INT(AB38/B38)+(((AB38-B38*INT(AB38/B38)))/C38)/100))))</f>
        <v>0</v>
      </c>
      <c r="BN38" s="57">
        <f>IF(ISERROR(IF(B38=C38,AC38/C38,(INT(AC38/B38)+(((AC38-B38*INT(AC38/B38)))/C38)/100))),0,(IF(B38=C38,AC38/C38,(INT(AC38/B38)+(((AC38-B38*INT(AC38/B38)))/C38)/100))))</f>
        <v>0</v>
      </c>
      <c r="BO38" s="57">
        <f>IF(ISERROR(IF(B38=C38,AD38/C38,(INT(AD38/B38)+(((AD38-B38*INT(AD38/B38)))/C38)/100))),0,(IF(B38=C38,AD38/C38,(INT(AD38/B38)+(((AD38-B38*INT(AD38/B38)))/C38)/100))))</f>
        <v>0</v>
      </c>
      <c r="BQ38" s="155"/>
    </row>
    <row r="39" spans="1:69" hidden="1" x14ac:dyDescent="0.35">
      <c r="A39" s="94"/>
      <c r="B39" s="113">
        <v>0</v>
      </c>
      <c r="C39" s="113">
        <v>0</v>
      </c>
      <c r="D39" s="28">
        <f>SUM(AA39:AD39)</f>
        <v>0</v>
      </c>
      <c r="E39" s="113">
        <v>0</v>
      </c>
      <c r="F39" s="113">
        <v>0</v>
      </c>
      <c r="G39" s="28">
        <f>SUM(D39:F39)</f>
        <v>0</v>
      </c>
      <c r="H39" s="125">
        <v>0</v>
      </c>
      <c r="I39" s="113">
        <v>0</v>
      </c>
      <c r="J39" s="125">
        <v>0</v>
      </c>
      <c r="K39" s="113">
        <v>0</v>
      </c>
      <c r="L39" s="113">
        <v>0</v>
      </c>
      <c r="M39" s="113">
        <v>0</v>
      </c>
      <c r="N39" s="28">
        <f>G39-SUM(H39:M39)</f>
        <v>0</v>
      </c>
      <c r="O39" s="28">
        <f>SUM(V39:Y39)</f>
        <v>0</v>
      </c>
      <c r="P39" s="28">
        <f>O39-N39</f>
        <v>0</v>
      </c>
      <c r="Q39" s="61" t="str">
        <f>IF(ISERROR(P39/SUM(H39:L39)),"",P39/SUM(H39:L39))</f>
        <v/>
      </c>
      <c r="R39" s="113">
        <v>0</v>
      </c>
      <c r="S39" s="28">
        <f>IF(ISERROR(P39/C39*R39),0,(P39/C39*R39))</f>
        <v>0</v>
      </c>
      <c r="T39" s="60">
        <f>IF(ISERROR(P39/B39*AF39),0,(P39/B39*AF39))</f>
        <v>0</v>
      </c>
      <c r="V39" s="113">
        <v>0</v>
      </c>
      <c r="W39" s="113">
        <v>0</v>
      </c>
      <c r="X39" s="113">
        <v>0</v>
      </c>
      <c r="Y39" s="113">
        <v>0</v>
      </c>
      <c r="AA39" s="113">
        <v>0</v>
      </c>
      <c r="AB39" s="113">
        <v>0</v>
      </c>
      <c r="AC39" s="113">
        <v>0</v>
      </c>
      <c r="AD39" s="113">
        <v>0</v>
      </c>
      <c r="AF39" s="113">
        <v>0</v>
      </c>
      <c r="AG39" s="28">
        <f>G39-O39</f>
        <v>0</v>
      </c>
      <c r="AH39" s="58">
        <f>IF(ISERROR(AG39/B39*AF39),0,(AG39/B39*AF39))</f>
        <v>0</v>
      </c>
      <c r="AI39" s="28">
        <f>SUM(H39:M39)</f>
        <v>0</v>
      </c>
      <c r="AJ39" s="28">
        <f>IF(ISERROR(AI39/B39*AF39),0,(AI39/B39*AF39))</f>
        <v>0</v>
      </c>
      <c r="AK39" s="58">
        <f>IF(ISERROR(O39/B39*AF39),0,(O39/B39*AF39))</f>
        <v>0</v>
      </c>
      <c r="AL39" s="28">
        <f>IF(ISERROR(H39/B39*AF39),0,(H39/B39*AF39))</f>
        <v>0</v>
      </c>
      <c r="AN39" s="51">
        <f>A39</f>
        <v>0</v>
      </c>
      <c r="AO39" s="57">
        <f>IF(ISERROR(IF(B39=C39,D39/C39,(INT(D39/B39)+(((D39-B39*INT(D39/B39)))/C39)/100))),0,(IF(B39=C39,D39/C39,(INT(D39/B39)+(((D39-B39*INT(D39/B39)))/C39)/100))))</f>
        <v>0</v>
      </c>
      <c r="AP39" s="57">
        <f>IF(ISERROR(IF(B39=C39,E39/C39,(INT(E39/B39)+(((E39-B39*INT(E39/B39)))/C39)/100))),0,(IF(B39=C39,E39/C39,(INT(E39/B39)+(((E39-B39*INT(E39/B39)))/C39)/100))))</f>
        <v>0</v>
      </c>
      <c r="AQ39" s="57">
        <f>IF(ISERROR(IF(B39=C39,F39/C39,IF((INT(F39/B39)+(((F39-B39*INT(F39/B39)))/C39)/100)&lt;0,(INT(F39/B39)+(((F39-B39*INT(F39/B39)))/C39)/100)+(1-(B39/C39/100)),(INT(F39/B39)+(((F39-B39*INT(F39/B39)))/C39)/100)))),0,IF(B39=C39,F39/C39,IF((INT(F39/B39)+(((F39-B39*INT(F39/B39)))/C39)/100)&lt;0,(INT(F39/B39)+(((F39-B39*INT(F39/B39)))/C39)/100)+(1-(B39/C39/100)),(INT(F39/B39)+(((F39-B39*INT(F39/B39)))/C39)/100))))</f>
        <v>0</v>
      </c>
      <c r="AR39" s="57">
        <f>IF(ISERROR(IF(B39=C39,G39/C39,(INT(G39/B39)+(((G39-B39*INT(G39/B39)))/C39)/100))),0,(IF(B39=C39,G39/C39,(INT(G39/B39)+(((G39-B39*INT(G39/B39)))/C39)/100))))</f>
        <v>0</v>
      </c>
      <c r="AS39" s="57">
        <f>IF(ISERROR(IF(B39=C39,H39/C39,(INT(H39/B39)+(((H39-B39*INT(H39/B39)))/C39)/100))),0,(IF(B39=C39,H39/C39,(INT(H39/B39)+(((H39-B39*INT(H39/B39)))/C39)/100))))</f>
        <v>0</v>
      </c>
      <c r="AT39" s="57">
        <f>IF(ISERROR(IF(B39=C39,I39/C39,(INT(I39/B39)+(((I39-B39*INT(I39/B39)))/C39)/100))),0,(IF(B39=C39,I39/C39,(INT(I39/B39)+(((I39-B39*INT(I39/B39)))/C39)/100))))</f>
        <v>0</v>
      </c>
      <c r="AU39" s="57">
        <f>IF(ISERROR(IF(B39=C39,J39/C39,(INT(J39/B39)+(((J39-B39*INT(J39/B39)))/C39)/100))),0,(IF(B39=C39,J39/C39,(INT(J39/B39)+(((J39-B39*INT(J39/B39)))/C39)/100))))</f>
        <v>0</v>
      </c>
      <c r="AV39" s="57">
        <f>IF(ISERROR(IF(B39=C39,K39/C39,IF((INT(K39/B39)+(((K39-B39*INT(K39/B39)))/C39)/100)&lt;0,(INT(K39/B39)+(((K39-B39*INT(K39/B39)))/C39)/100)+(1-(B39/C39/100)),(INT(K39/B39)+(((K39-B39*INT(K39/B39)))/C39)/100)))),0,IF(B39=C39,K39/C39,IF((INT(K39/B39)+(((K39-B39*INT(K39/B39)))/C39)/100)&lt;0,(INT(K39/B39)+(((K39-B39*INT(K39/B39)))/C39)/100)+(1-(B39/C39/100)),(INT(K39/B39)+(((K39-B39*INT(K39/B39)))/C39)/100))))</f>
        <v>0</v>
      </c>
      <c r="AW39" s="57">
        <f>IF(ISERROR(IF(B39=C39,L39/C39,(INT(L39/B39)+(((L39-B39*INT(L39/B39)))/C39)/100))),0,(IF(B39=C39,L39/C39,(INT(L39/B39)+(((L39-B39*INT(L39/B39)))/C39)/100))))</f>
        <v>0</v>
      </c>
      <c r="AX39" s="57">
        <f>IF(ISERROR(IF(B39=C39,M39/C39,(INT(M39/B39)+(((M39-B39*INT(M39/B39)))/C39)/100))),0,(IF(B39=C39,M39/C39,(INT(M39/B39)+(((M39-B39*INT(M39/B39)))/C39)/100))))</f>
        <v>0</v>
      </c>
      <c r="AY39" s="57">
        <f>IF(ISERROR(IF(B39=C39,N39/C39,IF((INT(N39/B39)+(((N39-B39*INT(N39/B39)))/C39)/100)&lt;0,(INT(N39/B39)+(((N39-B39*INT(N39/B39)))/C39)/100)+(1-(B39/C39/100)),(INT(N39/B39)+(((N39-B39*INT(N39/B39)))/C39)/100)))),0,IF(B39=C39,N39/C39,IF((INT(N39/B39)+(((N39-B39*INT(N39/B39)))/C39)/100)&lt;0,(INT(N39/B39)+(((N39-B39*INT(N39/B39)))/C39)/100)+(1-(B39/C39/100)),(INT(N39/B39)+(((N39-B39*INT(N39/B39)))/C39)/100))))</f>
        <v>0</v>
      </c>
      <c r="AZ39" s="57">
        <f>IF(ISERROR(IF(B39=C39,O39/C39,(INT(O39/B39)+(((O39-B39*INT(O39/B39)))/C39)/100))),0,(IF(B39=C39,O39/C39,(INT(O39/B39)+(((O39-B39*INT(O39/B39)))/C39)/100))))</f>
        <v>0</v>
      </c>
      <c r="BA39" s="57">
        <f>IF(ISERROR(IF(B39=C39,P39/C39,IF((INT(P39/B39)+(((P39-B39*INT(P39/B39)))/C39)/100)&lt;0,(INT(P39/B39)+(((P39-B39*INT(P39/B39)))/C39)/100)+(1-(B39/C39/100)),(INT(P39/B39)+(((P39-B39*INT(P39/B39)))/C39)/100)))),0,IF(B39=C39,P39/C39,IF((INT(P39/B39)+(((P39-B39*INT(P39/B39)))/C39)/100)&lt;0,(INT(P39/B39)+(((P39-B39*INT(P39/B39)))/C39)/100)+(1-(B39/C39/100)),(INT(P39/B39)+(((P39-B39*INT(P39/B39)))/C39)/100))))</f>
        <v>0</v>
      </c>
      <c r="BB39" s="28">
        <f>R39</f>
        <v>0</v>
      </c>
      <c r="BC39" s="28">
        <f>S39</f>
        <v>0</v>
      </c>
      <c r="BD39" s="28">
        <f>AF39</f>
        <v>0</v>
      </c>
      <c r="BE39" s="28">
        <f>T39</f>
        <v>0</v>
      </c>
      <c r="BG39" s="57">
        <f>IF(ISERROR(IF(B39=C39,V39/C39,(INT(V39/B39)+(((V39-B39*INT(V39/B39)))/C39)/100))),0,(IF(B39=C39,V39/C39,(INT(V39/B39)+(((V39-B39*INT(V39/B39)))/C39)/100))))</f>
        <v>0</v>
      </c>
      <c r="BH39" s="57">
        <f>IF(ISERROR(IF(B39=C39,W39/C39,(INT(W39/B39)+(((W39-B39*INT(W39/B39)))/C39)/100))),0,(IF(B39=C39,W39/C39,(INT(W39/B39)+(((W39-B39*INT(W39/B39)))/C39)/100))))</f>
        <v>0</v>
      </c>
      <c r="BI39" s="57">
        <f>IF(ISERROR(IF(B39=C39,X39/C39,(INT(X39/B39)+(((X39-B39*INT(X39/B39)))/C39)/100))),0,(IF(B39=C39,X39/C39,(INT(X39/B39)+(((X39-B39*INT(X39/B39)))/C39)/100))))</f>
        <v>0</v>
      </c>
      <c r="BJ39" s="57">
        <f>IF(ISERROR(IF(B39=C39,Y39/C39,(INT(Y39/B39)+(((Y39-B39*INT(Y39/B39)))/C39)/100))),0,(IF(B39=C39,Y39/C39,(INT(Y39/B39)+(((Y39-B39*INT(Y39/B39)))/C39)/100))))</f>
        <v>0</v>
      </c>
      <c r="BL39" s="57">
        <f>IF(ISERROR(IF(B39=C39,AA39/C39,(INT(AA39/B39)+(((AA39-B39*INT(AA39/B39)))/C39)/100))),0,(IF(B39=C39,AA39/C39,(INT(AA39/B39)+(((AA39-B39*INT(AA39/B39)))/C39)/100))))</f>
        <v>0</v>
      </c>
      <c r="BM39" s="57">
        <f>IF(ISERROR(IF(B39=C39,AB39/C39,(INT(AB39/B39)+(((AB39-B39*INT(AB39/B39)))/C39)/100))),0,(IF(B39=C39,AB39/C39,(INT(AB39/B39)+(((AB39-B39*INT(AB39/B39)))/C39)/100))))</f>
        <v>0</v>
      </c>
      <c r="BN39" s="57">
        <f>IF(ISERROR(IF(B39=C39,AC39/C39,(INT(AC39/B39)+(((AC39-B39*INT(AC39/B39)))/C39)/100))),0,(IF(B39=C39,AC39/C39,(INT(AC39/B39)+(((AC39-B39*INT(AC39/B39)))/C39)/100))))</f>
        <v>0</v>
      </c>
      <c r="BO39" s="57">
        <f>IF(ISERROR(IF(B39=C39,AD39/C39,(INT(AD39/B39)+(((AD39-B39*INT(AD39/B39)))/C39)/100))),0,(IF(B39=C39,AD39/C39,(INT(AD39/B39)+(((AD39-B39*INT(AD39/B39)))/C39)/100))))</f>
        <v>0</v>
      </c>
      <c r="BQ39" s="155"/>
    </row>
    <row r="40" spans="1:69" hidden="1" x14ac:dyDescent="0.35">
      <c r="A40" s="94"/>
      <c r="B40" s="113">
        <v>0</v>
      </c>
      <c r="C40" s="113">
        <v>0</v>
      </c>
      <c r="D40" s="28">
        <f>SUM(AA40:AD40)</f>
        <v>0</v>
      </c>
      <c r="E40" s="113">
        <v>0</v>
      </c>
      <c r="F40" s="113">
        <v>0</v>
      </c>
      <c r="G40" s="28">
        <f>SUM(D40:F40)</f>
        <v>0</v>
      </c>
      <c r="H40" s="125">
        <v>0</v>
      </c>
      <c r="I40" s="113">
        <v>0</v>
      </c>
      <c r="J40" s="125">
        <v>0</v>
      </c>
      <c r="K40" s="113">
        <v>0</v>
      </c>
      <c r="L40" s="113">
        <v>0</v>
      </c>
      <c r="M40" s="113">
        <v>0</v>
      </c>
      <c r="N40" s="28">
        <f>G40-SUM(H40:M40)</f>
        <v>0</v>
      </c>
      <c r="O40" s="28">
        <f>SUM(V40:Y40)</f>
        <v>0</v>
      </c>
      <c r="P40" s="28">
        <f>O40-N40</f>
        <v>0</v>
      </c>
      <c r="Q40" s="61" t="str">
        <f>IF(ISERROR(P40/SUM(H40:L40)),"",P40/SUM(H40:L40))</f>
        <v/>
      </c>
      <c r="R40" s="113">
        <v>0</v>
      </c>
      <c r="S40" s="28">
        <f>IF(ISERROR(P40/C40*R40),0,(P40/C40*R40))</f>
        <v>0</v>
      </c>
      <c r="T40" s="60">
        <f>IF(ISERROR(P40/B40*AF40),0,(P40/B40*AF40))</f>
        <v>0</v>
      </c>
      <c r="V40" s="113">
        <v>0</v>
      </c>
      <c r="W40" s="113">
        <v>0</v>
      </c>
      <c r="X40" s="113">
        <v>0</v>
      </c>
      <c r="Y40" s="113">
        <v>0</v>
      </c>
      <c r="AA40" s="113">
        <v>0</v>
      </c>
      <c r="AB40" s="113">
        <v>0</v>
      </c>
      <c r="AC40" s="113">
        <v>0</v>
      </c>
      <c r="AD40" s="113">
        <v>0</v>
      </c>
      <c r="AF40" s="113">
        <v>0</v>
      </c>
      <c r="AG40" s="28">
        <f>G40-O40</f>
        <v>0</v>
      </c>
      <c r="AH40" s="58">
        <f>IF(ISERROR(AG40/B40*AF40),0,(AG40/B40*AF40))</f>
        <v>0</v>
      </c>
      <c r="AI40" s="28">
        <f>SUM(H40:M40)</f>
        <v>0</v>
      </c>
      <c r="AJ40" s="28">
        <f>IF(ISERROR(AI40/B40*AF40),0,(AI40/B40*AF40))</f>
        <v>0</v>
      </c>
      <c r="AK40" s="58">
        <f>IF(ISERROR(O40/B40*AF40),0,(O40/B40*AF40))</f>
        <v>0</v>
      </c>
      <c r="AL40" s="28">
        <f>IF(ISERROR(H40/B40*AF40),0,(H40/B40*AF40))</f>
        <v>0</v>
      </c>
      <c r="AN40" s="51">
        <f>A40</f>
        <v>0</v>
      </c>
      <c r="AO40" s="57">
        <f>IF(ISERROR(IF(B40=C40,D40/C40,(INT(D40/B40)+(((D40-B40*INT(D40/B40)))/C40)/100))),0,(IF(B40=C40,D40/C40,(INT(D40/B40)+(((D40-B40*INT(D40/B40)))/C40)/100))))</f>
        <v>0</v>
      </c>
      <c r="AP40" s="57">
        <f>IF(ISERROR(IF(B40=C40,E40/C40,(INT(E40/B40)+(((E40-B40*INT(E40/B40)))/C40)/100))),0,(IF(B40=C40,E40/C40,(INT(E40/B40)+(((E40-B40*INT(E40/B40)))/C40)/100))))</f>
        <v>0</v>
      </c>
      <c r="AQ40" s="57">
        <f>IF(ISERROR(IF(B40=C40,F40/C40,IF((INT(F40/B40)+(((F40-B40*INT(F40/B40)))/C40)/100)&lt;0,(INT(F40/B40)+(((F40-B40*INT(F40/B40)))/C40)/100)+(1-(B40/C40/100)),(INT(F40/B40)+(((F40-B40*INT(F40/B40)))/C40)/100)))),0,IF(B40=C40,F40/C40,IF((INT(F40/B40)+(((F40-B40*INT(F40/B40)))/C40)/100)&lt;0,(INT(F40/B40)+(((F40-B40*INT(F40/B40)))/C40)/100)+(1-(B40/C40/100)),(INT(F40/B40)+(((F40-B40*INT(F40/B40)))/C40)/100))))</f>
        <v>0</v>
      </c>
      <c r="AR40" s="57">
        <f>IF(ISERROR(IF(B40=C40,G40/C40,(INT(G40/B40)+(((G40-B40*INT(G40/B40)))/C40)/100))),0,(IF(B40=C40,G40/C40,(INT(G40/B40)+(((G40-B40*INT(G40/B40)))/C40)/100))))</f>
        <v>0</v>
      </c>
      <c r="AS40" s="57">
        <f>IF(ISERROR(IF(B40=C40,H40/C40,(INT(H40/B40)+(((H40-B40*INT(H40/B40)))/C40)/100))),0,(IF(B40=C40,H40/C40,(INT(H40/B40)+(((H40-B40*INT(H40/B40)))/C40)/100))))</f>
        <v>0</v>
      </c>
      <c r="AT40" s="57">
        <f>IF(ISERROR(IF(B40=C40,I40/C40,(INT(I40/B40)+(((I40-B40*INT(I40/B40)))/C40)/100))),0,(IF(B40=C40,I40/C40,(INT(I40/B40)+(((I40-B40*INT(I40/B40)))/C40)/100))))</f>
        <v>0</v>
      </c>
      <c r="AU40" s="57">
        <f>IF(ISERROR(IF(B40=C40,J40/C40,(INT(J40/B40)+(((J40-B40*INT(J40/B40)))/C40)/100))),0,(IF(B40=C40,J40/C40,(INT(J40/B40)+(((J40-B40*INT(J40/B40)))/C40)/100))))</f>
        <v>0</v>
      </c>
      <c r="AV40" s="57">
        <f>IF(ISERROR(IF(B40=C40,K40/C40,IF((INT(K40/B40)+(((K40-B40*INT(K40/B40)))/C40)/100)&lt;0,(INT(K40/B40)+(((K40-B40*INT(K40/B40)))/C40)/100)+(1-(B40/C40/100)),(INT(K40/B40)+(((K40-B40*INT(K40/B40)))/C40)/100)))),0,IF(B40=C40,K40/C40,IF((INT(K40/B40)+(((K40-B40*INT(K40/B40)))/C40)/100)&lt;0,(INT(K40/B40)+(((K40-B40*INT(K40/B40)))/C40)/100)+(1-(B40/C40/100)),(INT(K40/B40)+(((K40-B40*INT(K40/B40)))/C40)/100))))</f>
        <v>0</v>
      </c>
      <c r="AW40" s="57">
        <f>IF(ISERROR(IF(B40=C40,L40/C40,(INT(L40/B40)+(((L40-B40*INT(L40/B40)))/C40)/100))),0,(IF(B40=C40,L40/C40,(INT(L40/B40)+(((L40-B40*INT(L40/B40)))/C40)/100))))</f>
        <v>0</v>
      </c>
      <c r="AX40" s="57">
        <f>IF(ISERROR(IF(B40=C40,M40/C40,(INT(M40/B40)+(((M40-B40*INT(M40/B40)))/C40)/100))),0,(IF(B40=C40,M40/C40,(INT(M40/B40)+(((M40-B40*INT(M40/B40)))/C40)/100))))</f>
        <v>0</v>
      </c>
      <c r="AY40" s="57">
        <f>IF(ISERROR(IF(B40=C40,N40/C40,IF((INT(N40/B40)+(((N40-B40*INT(N40/B40)))/C40)/100)&lt;0,(INT(N40/B40)+(((N40-B40*INT(N40/B40)))/C40)/100)+(1-(B40/C40/100)),(INT(N40/B40)+(((N40-B40*INT(N40/B40)))/C40)/100)))),0,IF(B40=C40,N40/C40,IF((INT(N40/B40)+(((N40-B40*INT(N40/B40)))/C40)/100)&lt;0,(INT(N40/B40)+(((N40-B40*INT(N40/B40)))/C40)/100)+(1-(B40/C40/100)),(INT(N40/B40)+(((N40-B40*INT(N40/B40)))/C40)/100))))</f>
        <v>0</v>
      </c>
      <c r="AZ40" s="57">
        <f>IF(ISERROR(IF(B40=C40,O40/C40,(INT(O40/B40)+(((O40-B40*INT(O40/B40)))/C40)/100))),0,(IF(B40=C40,O40/C40,(INT(O40/B40)+(((O40-B40*INT(O40/B40)))/C40)/100))))</f>
        <v>0</v>
      </c>
      <c r="BA40" s="57">
        <f>IF(ISERROR(IF(B40=C40,P40/C40,IF((INT(P40/B40)+(((P40-B40*INT(P40/B40)))/C40)/100)&lt;0,(INT(P40/B40)+(((P40-B40*INT(P40/B40)))/C40)/100)+(1-(B40/C40/100)),(INT(P40/B40)+(((P40-B40*INT(P40/B40)))/C40)/100)))),0,IF(B40=C40,P40/C40,IF((INT(P40/B40)+(((P40-B40*INT(P40/B40)))/C40)/100)&lt;0,(INT(P40/B40)+(((P40-B40*INT(P40/B40)))/C40)/100)+(1-(B40/C40/100)),(INT(P40/B40)+(((P40-B40*INT(P40/B40)))/C40)/100))))</f>
        <v>0</v>
      </c>
      <c r="BB40" s="28">
        <f>R40</f>
        <v>0</v>
      </c>
      <c r="BC40" s="28">
        <f>S40</f>
        <v>0</v>
      </c>
      <c r="BD40" s="28">
        <f>AF40</f>
        <v>0</v>
      </c>
      <c r="BE40" s="28">
        <f>T40</f>
        <v>0</v>
      </c>
      <c r="BG40" s="57">
        <f>IF(ISERROR(IF(B40=C40,V40/C40,(INT(V40/B40)+(((V40-B40*INT(V40/B40)))/C40)/100))),0,(IF(B40=C40,V40/C40,(INT(V40/B40)+(((V40-B40*INT(V40/B40)))/C40)/100))))</f>
        <v>0</v>
      </c>
      <c r="BH40" s="57">
        <f>IF(ISERROR(IF(B40=C40,W40/C40,(INT(W40/B40)+(((W40-B40*INT(W40/B40)))/C40)/100))),0,(IF(B40=C40,W40/C40,(INT(W40/B40)+(((W40-B40*INT(W40/B40)))/C40)/100))))</f>
        <v>0</v>
      </c>
      <c r="BI40" s="57">
        <f>IF(ISERROR(IF(B40=C40,X40/C40,(INT(X40/B40)+(((X40-B40*INT(X40/B40)))/C40)/100))),0,(IF(B40=C40,X40/C40,(INT(X40/B40)+(((X40-B40*INT(X40/B40)))/C40)/100))))</f>
        <v>0</v>
      </c>
      <c r="BJ40" s="57">
        <f>IF(ISERROR(IF(B40=C40,Y40/C40,(INT(Y40/B40)+(((Y40-B40*INT(Y40/B40)))/C40)/100))),0,(IF(B40=C40,Y40/C40,(INT(Y40/B40)+(((Y40-B40*INT(Y40/B40)))/C40)/100))))</f>
        <v>0</v>
      </c>
      <c r="BL40" s="57">
        <f>IF(ISERROR(IF(B40=C40,AA40/C40,(INT(AA40/B40)+(((AA40-B40*INT(AA40/B40)))/C40)/100))),0,(IF(B40=C40,AA40/C40,(INT(AA40/B40)+(((AA40-B40*INT(AA40/B40)))/C40)/100))))</f>
        <v>0</v>
      </c>
      <c r="BM40" s="57">
        <f>IF(ISERROR(IF(B40=C40,AB40/C40,(INT(AB40/B40)+(((AB40-B40*INT(AB40/B40)))/C40)/100))),0,(IF(B40=C40,AB40/C40,(INT(AB40/B40)+(((AB40-B40*INT(AB40/B40)))/C40)/100))))</f>
        <v>0</v>
      </c>
      <c r="BN40" s="57">
        <f>IF(ISERROR(IF(B40=C40,AC40/C40,(INT(AC40/B40)+(((AC40-B40*INT(AC40/B40)))/C40)/100))),0,(IF(B40=C40,AC40/C40,(INT(AC40/B40)+(((AC40-B40*INT(AC40/B40)))/C40)/100))))</f>
        <v>0</v>
      </c>
      <c r="BO40" s="57">
        <f>IF(ISERROR(IF(B40=C40,AD40/C40,(INT(AD40/B40)+(((AD40-B40*INT(AD40/B40)))/C40)/100))),0,(IF(B40=C40,AD40/C40,(INT(AD40/B40)+(((AD40-B40*INT(AD40/B40)))/C40)/100))))</f>
        <v>0</v>
      </c>
      <c r="BQ40" s="155"/>
    </row>
    <row r="41" spans="1:69" hidden="1" x14ac:dyDescent="0.35">
      <c r="A41" s="94"/>
      <c r="B41" s="113">
        <v>0</v>
      </c>
      <c r="C41" s="113">
        <v>0</v>
      </c>
      <c r="D41" s="28">
        <f>SUM(AA41:AD41)</f>
        <v>0</v>
      </c>
      <c r="E41" s="113">
        <v>0</v>
      </c>
      <c r="F41" s="113">
        <v>0</v>
      </c>
      <c r="G41" s="28">
        <f>SUM(D41:F41)</f>
        <v>0</v>
      </c>
      <c r="H41" s="125">
        <v>0</v>
      </c>
      <c r="I41" s="113">
        <v>0</v>
      </c>
      <c r="J41" s="125">
        <v>0</v>
      </c>
      <c r="K41" s="113">
        <v>0</v>
      </c>
      <c r="L41" s="113">
        <v>0</v>
      </c>
      <c r="M41" s="113">
        <v>0</v>
      </c>
      <c r="N41" s="28">
        <f>G41-SUM(H41:M41)</f>
        <v>0</v>
      </c>
      <c r="O41" s="28">
        <f>SUM(V41:Y41)</f>
        <v>0</v>
      </c>
      <c r="P41" s="28">
        <f>O41-N41</f>
        <v>0</v>
      </c>
      <c r="Q41" s="61" t="str">
        <f>IF(ISERROR(P41/SUM(H41:L41)),"",P41/SUM(H41:L41))</f>
        <v/>
      </c>
      <c r="R41" s="113">
        <v>0</v>
      </c>
      <c r="S41" s="28">
        <f>IF(ISERROR(P41/C41*R41),0,(P41/C41*R41))</f>
        <v>0</v>
      </c>
      <c r="T41" s="60">
        <f>IF(ISERROR(P41/B41*AF41),0,(P41/B41*AF41))</f>
        <v>0</v>
      </c>
      <c r="V41" s="113">
        <v>0</v>
      </c>
      <c r="W41" s="113">
        <v>0</v>
      </c>
      <c r="X41" s="113">
        <v>0</v>
      </c>
      <c r="Y41" s="113">
        <v>0</v>
      </c>
      <c r="AA41" s="113">
        <v>0</v>
      </c>
      <c r="AB41" s="113">
        <v>0</v>
      </c>
      <c r="AC41" s="113">
        <v>0</v>
      </c>
      <c r="AD41" s="113">
        <v>0</v>
      </c>
      <c r="AF41" s="113">
        <v>0</v>
      </c>
      <c r="AG41" s="28">
        <f>G41-O41</f>
        <v>0</v>
      </c>
      <c r="AH41" s="58">
        <f>IF(ISERROR(AG41/B41*AF41),0,(AG41/B41*AF41))</f>
        <v>0</v>
      </c>
      <c r="AI41" s="28">
        <f>SUM(H41:M41)</f>
        <v>0</v>
      </c>
      <c r="AJ41" s="28">
        <f>IF(ISERROR(AI41/B41*AF41),0,(AI41/B41*AF41))</f>
        <v>0</v>
      </c>
      <c r="AK41" s="58">
        <f>IF(ISERROR(O41/B41*AF41),0,(O41/B41*AF41))</f>
        <v>0</v>
      </c>
      <c r="AL41" s="28">
        <f>IF(ISERROR(H41/B41*AF41),0,(H41/B41*AF41))</f>
        <v>0</v>
      </c>
      <c r="AN41" s="51">
        <f>A41</f>
        <v>0</v>
      </c>
      <c r="AO41" s="57">
        <f>IF(ISERROR(IF(B41=C41,D41/C41,(INT(D41/B41)+(((D41-B41*INT(D41/B41)))/C41)/100))),0,(IF(B41=C41,D41/C41,(INT(D41/B41)+(((D41-B41*INT(D41/B41)))/C41)/100))))</f>
        <v>0</v>
      </c>
      <c r="AP41" s="57">
        <f>IF(ISERROR(IF(B41=C41,E41/C41,(INT(E41/B41)+(((E41-B41*INT(E41/B41)))/C41)/100))),0,(IF(B41=C41,E41/C41,(INT(E41/B41)+(((E41-B41*INT(E41/B41)))/C41)/100))))</f>
        <v>0</v>
      </c>
      <c r="AQ41" s="57">
        <f>IF(ISERROR(IF(B41=C41,F41/C41,IF((INT(F41/B41)+(((F41-B41*INT(F41/B41)))/C41)/100)&lt;0,(INT(F41/B41)+(((F41-B41*INT(F41/B41)))/C41)/100)+(1-(B41/C41/100)),(INT(F41/B41)+(((F41-B41*INT(F41/B41)))/C41)/100)))),0,IF(B41=C41,F41/C41,IF((INT(F41/B41)+(((F41-B41*INT(F41/B41)))/C41)/100)&lt;0,(INT(F41/B41)+(((F41-B41*INT(F41/B41)))/C41)/100)+(1-(B41/C41/100)),(INT(F41/B41)+(((F41-B41*INT(F41/B41)))/C41)/100))))</f>
        <v>0</v>
      </c>
      <c r="AR41" s="57">
        <f>IF(ISERROR(IF(B41=C41,G41/C41,(INT(G41/B41)+(((G41-B41*INT(G41/B41)))/C41)/100))),0,(IF(B41=C41,G41/C41,(INT(G41/B41)+(((G41-B41*INT(G41/B41)))/C41)/100))))</f>
        <v>0</v>
      </c>
      <c r="AS41" s="57">
        <f>IF(ISERROR(IF(B41=C41,H41/C41,(INT(H41/B41)+(((H41-B41*INT(H41/B41)))/C41)/100))),0,(IF(B41=C41,H41/C41,(INT(H41/B41)+(((H41-B41*INT(H41/B41)))/C41)/100))))</f>
        <v>0</v>
      </c>
      <c r="AT41" s="57">
        <f>IF(ISERROR(IF(B41=C41,I41/C41,(INT(I41/B41)+(((I41-B41*INT(I41/B41)))/C41)/100))),0,(IF(B41=C41,I41/C41,(INT(I41/B41)+(((I41-B41*INT(I41/B41)))/C41)/100))))</f>
        <v>0</v>
      </c>
      <c r="AU41" s="57">
        <f>IF(ISERROR(IF(B41=C41,J41/C41,(INT(J41/B41)+(((J41-B41*INT(J41/B41)))/C41)/100))),0,(IF(B41=C41,J41/C41,(INT(J41/B41)+(((J41-B41*INT(J41/B41)))/C41)/100))))</f>
        <v>0</v>
      </c>
      <c r="AV41" s="57">
        <f>IF(ISERROR(IF(B41=C41,K41/C41,IF((INT(K41/B41)+(((K41-B41*INT(K41/B41)))/C41)/100)&lt;0,(INT(K41/B41)+(((K41-B41*INT(K41/B41)))/C41)/100)+(1-(B41/C41/100)),(INT(K41/B41)+(((K41-B41*INT(K41/B41)))/C41)/100)))),0,IF(B41=C41,K41/C41,IF((INT(K41/B41)+(((K41-B41*INT(K41/B41)))/C41)/100)&lt;0,(INT(K41/B41)+(((K41-B41*INT(K41/B41)))/C41)/100)+(1-(B41/C41/100)),(INT(K41/B41)+(((K41-B41*INT(K41/B41)))/C41)/100))))</f>
        <v>0</v>
      </c>
      <c r="AW41" s="57">
        <f>IF(ISERROR(IF(B41=C41,L41/C41,(INT(L41/B41)+(((L41-B41*INT(L41/B41)))/C41)/100))),0,(IF(B41=C41,L41/C41,(INT(L41/B41)+(((L41-B41*INT(L41/B41)))/C41)/100))))</f>
        <v>0</v>
      </c>
      <c r="AX41" s="57">
        <f>IF(ISERROR(IF(B41=C41,M41/C41,(INT(M41/B41)+(((M41-B41*INT(M41/B41)))/C41)/100))),0,(IF(B41=C41,M41/C41,(INT(M41/B41)+(((M41-B41*INT(M41/B41)))/C41)/100))))</f>
        <v>0</v>
      </c>
      <c r="AY41" s="57">
        <f>IF(ISERROR(IF(B41=C41,N41/C41,IF((INT(N41/B41)+(((N41-B41*INT(N41/B41)))/C41)/100)&lt;0,(INT(N41/B41)+(((N41-B41*INT(N41/B41)))/C41)/100)+(1-(B41/C41/100)),(INT(N41/B41)+(((N41-B41*INT(N41/B41)))/C41)/100)))),0,IF(B41=C41,N41/C41,IF((INT(N41/B41)+(((N41-B41*INT(N41/B41)))/C41)/100)&lt;0,(INT(N41/B41)+(((N41-B41*INT(N41/B41)))/C41)/100)+(1-(B41/C41/100)),(INT(N41/B41)+(((N41-B41*INT(N41/B41)))/C41)/100))))</f>
        <v>0</v>
      </c>
      <c r="AZ41" s="57">
        <f>IF(ISERROR(IF(B41=C41,O41/C41,(INT(O41/B41)+(((O41-B41*INT(O41/B41)))/C41)/100))),0,(IF(B41=C41,O41/C41,(INT(O41/B41)+(((O41-B41*INT(O41/B41)))/C41)/100))))</f>
        <v>0</v>
      </c>
      <c r="BA41" s="57">
        <f>IF(ISERROR(IF(B41=C41,P41/C41,IF((INT(P41/B41)+(((P41-B41*INT(P41/B41)))/C41)/100)&lt;0,(INT(P41/B41)+(((P41-B41*INT(P41/B41)))/C41)/100)+(1-(B41/C41/100)),(INT(P41/B41)+(((P41-B41*INT(P41/B41)))/C41)/100)))),0,IF(B41=C41,P41/C41,IF((INT(P41/B41)+(((P41-B41*INT(P41/B41)))/C41)/100)&lt;0,(INT(P41/B41)+(((P41-B41*INT(P41/B41)))/C41)/100)+(1-(B41/C41/100)),(INT(P41/B41)+(((P41-B41*INT(P41/B41)))/C41)/100))))</f>
        <v>0</v>
      </c>
      <c r="BB41" s="28">
        <f>R41</f>
        <v>0</v>
      </c>
      <c r="BC41" s="28">
        <f>S41</f>
        <v>0</v>
      </c>
      <c r="BD41" s="28">
        <f>AF41</f>
        <v>0</v>
      </c>
      <c r="BE41" s="28">
        <f>T41</f>
        <v>0</v>
      </c>
      <c r="BG41" s="57">
        <f>IF(ISERROR(IF(B41=C41,V41/C41,(INT(V41/B41)+(((V41-B41*INT(V41/B41)))/C41)/100))),0,(IF(B41=C41,V41/C41,(INT(V41/B41)+(((V41-B41*INT(V41/B41)))/C41)/100))))</f>
        <v>0</v>
      </c>
      <c r="BH41" s="57">
        <f>IF(ISERROR(IF(B41=C41,W41/C41,(INT(W41/B41)+(((W41-B41*INT(W41/B41)))/C41)/100))),0,(IF(B41=C41,W41/C41,(INT(W41/B41)+(((W41-B41*INT(W41/B41)))/C41)/100))))</f>
        <v>0</v>
      </c>
      <c r="BI41" s="57">
        <f>IF(ISERROR(IF(B41=C41,X41/C41,(INT(X41/B41)+(((X41-B41*INT(X41/B41)))/C41)/100))),0,(IF(B41=C41,X41/C41,(INT(X41/B41)+(((X41-B41*INT(X41/B41)))/C41)/100))))</f>
        <v>0</v>
      </c>
      <c r="BJ41" s="57">
        <f>IF(ISERROR(IF(B41=C41,Y41/C41,(INT(Y41/B41)+(((Y41-B41*INT(Y41/B41)))/C41)/100))),0,(IF(B41=C41,Y41/C41,(INT(Y41/B41)+(((Y41-B41*INT(Y41/B41)))/C41)/100))))</f>
        <v>0</v>
      </c>
      <c r="BL41" s="57">
        <f>IF(ISERROR(IF(B41=C41,AA41/C41,(INT(AA41/B41)+(((AA41-B41*INT(AA41/B41)))/C41)/100))),0,(IF(B41=C41,AA41/C41,(INT(AA41/B41)+(((AA41-B41*INT(AA41/B41)))/C41)/100))))</f>
        <v>0</v>
      </c>
      <c r="BM41" s="57">
        <f>IF(ISERROR(IF(B41=C41,AB41/C41,(INT(AB41/B41)+(((AB41-B41*INT(AB41/B41)))/C41)/100))),0,(IF(B41=C41,AB41/C41,(INT(AB41/B41)+(((AB41-B41*INT(AB41/B41)))/C41)/100))))</f>
        <v>0</v>
      </c>
      <c r="BN41" s="57">
        <f>IF(ISERROR(IF(B41=C41,AC41/C41,(INT(AC41/B41)+(((AC41-B41*INT(AC41/B41)))/C41)/100))),0,(IF(B41=C41,AC41/C41,(INT(AC41/B41)+(((AC41-B41*INT(AC41/B41)))/C41)/100))))</f>
        <v>0</v>
      </c>
      <c r="BO41" s="57">
        <f>IF(ISERROR(IF(B41=C41,AD41/C41,(INT(AD41/B41)+(((AD41-B41*INT(AD41/B41)))/C41)/100))),0,(IF(B41=C41,AD41/C41,(INT(AD41/B41)+(((AD41-B41*INT(AD41/B41)))/C41)/100))))</f>
        <v>0</v>
      </c>
      <c r="BQ41" s="155"/>
    </row>
    <row r="42" spans="1:69" hidden="1" x14ac:dyDescent="0.35">
      <c r="A42" s="94"/>
      <c r="B42" s="113">
        <v>0</v>
      </c>
      <c r="C42" s="113">
        <v>0</v>
      </c>
      <c r="D42" s="28">
        <f>SUM(AA42:AD42)</f>
        <v>0</v>
      </c>
      <c r="E42" s="113">
        <v>0</v>
      </c>
      <c r="F42" s="113">
        <v>0</v>
      </c>
      <c r="G42" s="28">
        <f>SUM(D42:F42)</f>
        <v>0</v>
      </c>
      <c r="H42" s="125">
        <v>0</v>
      </c>
      <c r="I42" s="113">
        <v>0</v>
      </c>
      <c r="J42" s="125">
        <v>0</v>
      </c>
      <c r="K42" s="113">
        <v>0</v>
      </c>
      <c r="L42" s="113">
        <v>0</v>
      </c>
      <c r="M42" s="113">
        <v>0</v>
      </c>
      <c r="N42" s="28">
        <f>G42-SUM(H42:M42)</f>
        <v>0</v>
      </c>
      <c r="O42" s="28">
        <f>SUM(V42:Y42)</f>
        <v>0</v>
      </c>
      <c r="P42" s="28">
        <f>O42-N42</f>
        <v>0</v>
      </c>
      <c r="Q42" s="61" t="str">
        <f>IF(ISERROR(P42/SUM(H42:L42)),"",P42/SUM(H42:L42))</f>
        <v/>
      </c>
      <c r="R42" s="113">
        <v>0</v>
      </c>
      <c r="S42" s="28">
        <f>IF(ISERROR(P42/C42*R42),0,(P42/C42*R42))</f>
        <v>0</v>
      </c>
      <c r="T42" s="60">
        <f>IF(ISERROR(P42/B42*AF42),0,(P42/B42*AF42))</f>
        <v>0</v>
      </c>
      <c r="V42" s="113">
        <v>0</v>
      </c>
      <c r="W42" s="113">
        <v>0</v>
      </c>
      <c r="X42" s="113">
        <v>0</v>
      </c>
      <c r="Y42" s="113">
        <v>0</v>
      </c>
      <c r="AA42" s="113">
        <v>0</v>
      </c>
      <c r="AB42" s="113">
        <v>0</v>
      </c>
      <c r="AC42" s="113">
        <v>0</v>
      </c>
      <c r="AD42" s="113">
        <v>0</v>
      </c>
      <c r="AF42" s="113">
        <v>0</v>
      </c>
      <c r="AG42" s="28">
        <f>G42-O42</f>
        <v>0</v>
      </c>
      <c r="AH42" s="58">
        <f>IF(ISERROR(AG42/B42*AF42),0,(AG42/B42*AF42))</f>
        <v>0</v>
      </c>
      <c r="AI42" s="28">
        <f>SUM(H42:M42)</f>
        <v>0</v>
      </c>
      <c r="AJ42" s="28">
        <f>IF(ISERROR(AI42/B42*AF42),0,(AI42/B42*AF42))</f>
        <v>0</v>
      </c>
      <c r="AK42" s="58">
        <f>IF(ISERROR(O42/B42*AF42),0,(O42/B42*AF42))</f>
        <v>0</v>
      </c>
      <c r="AL42" s="28">
        <f>IF(ISERROR(H42/B42*AF42),0,(H42/B42*AF42))</f>
        <v>0</v>
      </c>
      <c r="AN42" s="51">
        <f>A42</f>
        <v>0</v>
      </c>
      <c r="AO42" s="57">
        <f>IF(ISERROR(IF(B42=C42,D42/C42,(INT(D42/B42)+(((D42-B42*INT(D42/B42)))/C42)/100))),0,(IF(B42=C42,D42/C42,(INT(D42/B42)+(((D42-B42*INT(D42/B42)))/C42)/100))))</f>
        <v>0</v>
      </c>
      <c r="AP42" s="57">
        <f>IF(ISERROR(IF(B42=C42,E42/C42,(INT(E42/B42)+(((E42-B42*INT(E42/B42)))/C42)/100))),0,(IF(B42=C42,E42/C42,(INT(E42/B42)+(((E42-B42*INT(E42/B42)))/C42)/100))))</f>
        <v>0</v>
      </c>
      <c r="AQ42" s="57">
        <f>IF(ISERROR(IF(B42=C42,F42/C42,IF((INT(F42/B42)+(((F42-B42*INT(F42/B42)))/C42)/100)&lt;0,(INT(F42/B42)+(((F42-B42*INT(F42/B42)))/C42)/100)+(1-(B42/C42/100)),(INT(F42/B42)+(((F42-B42*INT(F42/B42)))/C42)/100)))),0,IF(B42=C42,F42/C42,IF((INT(F42/B42)+(((F42-B42*INT(F42/B42)))/C42)/100)&lt;0,(INT(F42/B42)+(((F42-B42*INT(F42/B42)))/C42)/100)+(1-(B42/C42/100)),(INT(F42/B42)+(((F42-B42*INT(F42/B42)))/C42)/100))))</f>
        <v>0</v>
      </c>
      <c r="AR42" s="57">
        <f>IF(ISERROR(IF(B42=C42,G42/C42,(INT(G42/B42)+(((G42-B42*INT(G42/B42)))/C42)/100))),0,(IF(B42=C42,G42/C42,(INT(G42/B42)+(((G42-B42*INT(G42/B42)))/C42)/100))))</f>
        <v>0</v>
      </c>
      <c r="AS42" s="57">
        <f>IF(ISERROR(IF(B42=C42,H42/C42,(INT(H42/B42)+(((H42-B42*INT(H42/B42)))/C42)/100))),0,(IF(B42=C42,H42/C42,(INT(H42/B42)+(((H42-B42*INT(H42/B42)))/C42)/100))))</f>
        <v>0</v>
      </c>
      <c r="AT42" s="57">
        <f>IF(ISERROR(IF(B42=C42,I42/C42,(INT(I42/B42)+(((I42-B42*INT(I42/B42)))/C42)/100))),0,(IF(B42=C42,I42/C42,(INT(I42/B42)+(((I42-B42*INT(I42/B42)))/C42)/100))))</f>
        <v>0</v>
      </c>
      <c r="AU42" s="57">
        <f>IF(ISERROR(IF(B42=C42,J42/C42,(INT(J42/B42)+(((J42-B42*INT(J42/B42)))/C42)/100))),0,(IF(B42=C42,J42/C42,(INT(J42/B42)+(((J42-B42*INT(J42/B42)))/C42)/100))))</f>
        <v>0</v>
      </c>
      <c r="AV42" s="57">
        <f>IF(ISERROR(IF(B42=C42,K42/C42,IF((INT(K42/B42)+(((K42-B42*INT(K42/B42)))/C42)/100)&lt;0,(INT(K42/B42)+(((K42-B42*INT(K42/B42)))/C42)/100)+(1-(B42/C42/100)),(INT(K42/B42)+(((K42-B42*INT(K42/B42)))/C42)/100)))),0,IF(B42=C42,K42/C42,IF((INT(K42/B42)+(((K42-B42*INT(K42/B42)))/C42)/100)&lt;0,(INT(K42/B42)+(((K42-B42*INT(K42/B42)))/C42)/100)+(1-(B42/C42/100)),(INT(K42/B42)+(((K42-B42*INT(K42/B42)))/C42)/100))))</f>
        <v>0</v>
      </c>
      <c r="AW42" s="57">
        <f>IF(ISERROR(IF(B42=C42,L42/C42,(INT(L42/B42)+(((L42-B42*INT(L42/B42)))/C42)/100))),0,(IF(B42=C42,L42/C42,(INT(L42/B42)+(((L42-B42*INT(L42/B42)))/C42)/100))))</f>
        <v>0</v>
      </c>
      <c r="AX42" s="57">
        <f>IF(ISERROR(IF(B42=C42,M42/C42,(INT(M42/B42)+(((M42-B42*INT(M42/B42)))/C42)/100))),0,(IF(B42=C42,M42/C42,(INT(M42/B42)+(((M42-B42*INT(M42/B42)))/C42)/100))))</f>
        <v>0</v>
      </c>
      <c r="AY42" s="57">
        <f>IF(ISERROR(IF(B42=C42,N42/C42,IF((INT(N42/B42)+(((N42-B42*INT(N42/B42)))/C42)/100)&lt;0,(INT(N42/B42)+(((N42-B42*INT(N42/B42)))/C42)/100)+(1-(B42/C42/100)),(INT(N42/B42)+(((N42-B42*INT(N42/B42)))/C42)/100)))),0,IF(B42=C42,N42/C42,IF((INT(N42/B42)+(((N42-B42*INT(N42/B42)))/C42)/100)&lt;0,(INT(N42/B42)+(((N42-B42*INT(N42/B42)))/C42)/100)+(1-(B42/C42/100)),(INT(N42/B42)+(((N42-B42*INT(N42/B42)))/C42)/100))))</f>
        <v>0</v>
      </c>
      <c r="AZ42" s="57">
        <f>IF(ISERROR(IF(B42=C42,O42/C42,(INT(O42/B42)+(((O42-B42*INT(O42/B42)))/C42)/100))),0,(IF(B42=C42,O42/C42,(INT(O42/B42)+(((O42-B42*INT(O42/B42)))/C42)/100))))</f>
        <v>0</v>
      </c>
      <c r="BA42" s="57">
        <f>IF(ISERROR(IF(B42=C42,P42/C42,IF((INT(P42/B42)+(((P42-B42*INT(P42/B42)))/C42)/100)&lt;0,(INT(P42/B42)+(((P42-B42*INT(P42/B42)))/C42)/100)+(1-(B42/C42/100)),(INT(P42/B42)+(((P42-B42*INT(P42/B42)))/C42)/100)))),0,IF(B42=C42,P42/C42,IF((INT(P42/B42)+(((P42-B42*INT(P42/B42)))/C42)/100)&lt;0,(INT(P42/B42)+(((P42-B42*INT(P42/B42)))/C42)/100)+(1-(B42/C42/100)),(INT(P42/B42)+(((P42-B42*INT(P42/B42)))/C42)/100))))</f>
        <v>0</v>
      </c>
      <c r="BB42" s="28">
        <f>R42</f>
        <v>0</v>
      </c>
      <c r="BC42" s="28">
        <f>S42</f>
        <v>0</v>
      </c>
      <c r="BD42" s="28">
        <f>AF42</f>
        <v>0</v>
      </c>
      <c r="BE42" s="28">
        <f>T42</f>
        <v>0</v>
      </c>
      <c r="BG42" s="57">
        <f>IF(ISERROR(IF(B42=C42,V42/C42,(INT(V42/B42)+(((V42-B42*INT(V42/B42)))/C42)/100))),0,(IF(B42=C42,V42/C42,(INT(V42/B42)+(((V42-B42*INT(V42/B42)))/C42)/100))))</f>
        <v>0</v>
      </c>
      <c r="BH42" s="57">
        <f>IF(ISERROR(IF(B42=C42,W42/C42,(INT(W42/B42)+(((W42-B42*INT(W42/B42)))/C42)/100))),0,(IF(B42=C42,W42/C42,(INT(W42/B42)+(((W42-B42*INT(W42/B42)))/C42)/100))))</f>
        <v>0</v>
      </c>
      <c r="BI42" s="57">
        <f>IF(ISERROR(IF(B42=C42,X42/C42,(INT(X42/B42)+(((X42-B42*INT(X42/B42)))/C42)/100))),0,(IF(B42=C42,X42/C42,(INT(X42/B42)+(((X42-B42*INT(X42/B42)))/C42)/100))))</f>
        <v>0</v>
      </c>
      <c r="BJ42" s="57">
        <f>IF(ISERROR(IF(B42=C42,Y42/C42,(INT(Y42/B42)+(((Y42-B42*INT(Y42/B42)))/C42)/100))),0,(IF(B42=C42,Y42/C42,(INT(Y42/B42)+(((Y42-B42*INT(Y42/B42)))/C42)/100))))</f>
        <v>0</v>
      </c>
      <c r="BL42" s="57">
        <f>IF(ISERROR(IF(B42=C42,AA42/C42,(INT(AA42/B42)+(((AA42-B42*INT(AA42/B42)))/C42)/100))),0,(IF(B42=C42,AA42/C42,(INT(AA42/B42)+(((AA42-B42*INT(AA42/B42)))/C42)/100))))</f>
        <v>0</v>
      </c>
      <c r="BM42" s="57">
        <f>IF(ISERROR(IF(B42=C42,AB42/C42,(INT(AB42/B42)+(((AB42-B42*INT(AB42/B42)))/C42)/100))),0,(IF(B42=C42,AB42/C42,(INT(AB42/B42)+(((AB42-B42*INT(AB42/B42)))/C42)/100))))</f>
        <v>0</v>
      </c>
      <c r="BN42" s="57">
        <f>IF(ISERROR(IF(B42=C42,AC42/C42,(INT(AC42/B42)+(((AC42-B42*INT(AC42/B42)))/C42)/100))),0,(IF(B42=C42,AC42/C42,(INT(AC42/B42)+(((AC42-B42*INT(AC42/B42)))/C42)/100))))</f>
        <v>0</v>
      </c>
      <c r="BO42" s="57">
        <f>IF(ISERROR(IF(B42=C42,AD42/C42,(INT(AD42/B42)+(((AD42-B42*INT(AD42/B42)))/C42)/100))),0,(IF(B42=C42,AD42/C42,(INT(AD42/B42)+(((AD42-B42*INT(AD42/B42)))/C42)/100))))</f>
        <v>0</v>
      </c>
      <c r="BQ42" s="155"/>
    </row>
    <row r="43" spans="1:69" hidden="1" x14ac:dyDescent="0.35">
      <c r="A43" s="94"/>
      <c r="B43" s="113">
        <v>0</v>
      </c>
      <c r="C43" s="113">
        <v>0</v>
      </c>
      <c r="D43" s="28">
        <f>SUM(AA43:AD43)</f>
        <v>0</v>
      </c>
      <c r="E43" s="113">
        <v>0</v>
      </c>
      <c r="F43" s="113">
        <v>0</v>
      </c>
      <c r="G43" s="28">
        <f>SUM(D43:F43)</f>
        <v>0</v>
      </c>
      <c r="H43" s="125">
        <v>0</v>
      </c>
      <c r="I43" s="113">
        <v>0</v>
      </c>
      <c r="J43" s="125">
        <v>0</v>
      </c>
      <c r="K43" s="113">
        <v>0</v>
      </c>
      <c r="L43" s="113">
        <v>0</v>
      </c>
      <c r="M43" s="113">
        <v>0</v>
      </c>
      <c r="N43" s="28">
        <f>G43-SUM(H43:M43)</f>
        <v>0</v>
      </c>
      <c r="O43" s="28">
        <f>SUM(V43:Y43)</f>
        <v>0</v>
      </c>
      <c r="P43" s="28">
        <f>O43-N43</f>
        <v>0</v>
      </c>
      <c r="Q43" s="61" t="str">
        <f>IF(ISERROR(P43/SUM(H43:L43)),"",P43/SUM(H43:L43))</f>
        <v/>
      </c>
      <c r="R43" s="113">
        <v>0</v>
      </c>
      <c r="S43" s="28">
        <f>IF(ISERROR(P43/C43*R43),0,(P43/C43*R43))</f>
        <v>0</v>
      </c>
      <c r="T43" s="60">
        <f>IF(ISERROR(P43/B43*AF43),0,(P43/B43*AF43))</f>
        <v>0</v>
      </c>
      <c r="V43" s="113">
        <v>0</v>
      </c>
      <c r="W43" s="113">
        <v>0</v>
      </c>
      <c r="X43" s="113">
        <v>0</v>
      </c>
      <c r="Y43" s="113">
        <v>0</v>
      </c>
      <c r="AA43" s="113">
        <v>0</v>
      </c>
      <c r="AB43" s="113">
        <v>0</v>
      </c>
      <c r="AC43" s="113">
        <v>0</v>
      </c>
      <c r="AD43" s="113">
        <v>0</v>
      </c>
      <c r="AF43" s="113">
        <v>0</v>
      </c>
      <c r="AG43" s="28">
        <f>G43-O43</f>
        <v>0</v>
      </c>
      <c r="AH43" s="58">
        <f>IF(ISERROR(AG43/B43*AF43),0,(AG43/B43*AF43))</f>
        <v>0</v>
      </c>
      <c r="AI43" s="28">
        <f>SUM(H43:M43)</f>
        <v>0</v>
      </c>
      <c r="AJ43" s="28">
        <f>IF(ISERROR(AI43/B43*AF43),0,(AI43/B43*AF43))</f>
        <v>0</v>
      </c>
      <c r="AK43" s="58">
        <f>IF(ISERROR(O43/B43*AF43),0,(O43/B43*AF43))</f>
        <v>0</v>
      </c>
      <c r="AL43" s="28">
        <f>IF(ISERROR(H43/B43*AF43),0,(H43/B43*AF43))</f>
        <v>0</v>
      </c>
      <c r="AN43" s="51">
        <f>A43</f>
        <v>0</v>
      </c>
      <c r="AO43" s="57">
        <f>IF(ISERROR(IF(B43=C43,D43/C43,(INT(D43/B43)+(((D43-B43*INT(D43/B43)))/C43)/100))),0,(IF(B43=C43,D43/C43,(INT(D43/B43)+(((D43-B43*INT(D43/B43)))/C43)/100))))</f>
        <v>0</v>
      </c>
      <c r="AP43" s="57">
        <f>IF(ISERROR(IF(B43=C43,E43/C43,(INT(E43/B43)+(((E43-B43*INT(E43/B43)))/C43)/100))),0,(IF(B43=C43,E43/C43,(INT(E43/B43)+(((E43-B43*INT(E43/B43)))/C43)/100))))</f>
        <v>0</v>
      </c>
      <c r="AQ43" s="57">
        <f>IF(ISERROR(IF(B43=C43,F43/C43,IF((INT(F43/B43)+(((F43-B43*INT(F43/B43)))/C43)/100)&lt;0,(INT(F43/B43)+(((F43-B43*INT(F43/B43)))/C43)/100)+(1-(B43/C43/100)),(INT(F43/B43)+(((F43-B43*INT(F43/B43)))/C43)/100)))),0,IF(B43=C43,F43/C43,IF((INT(F43/B43)+(((F43-B43*INT(F43/B43)))/C43)/100)&lt;0,(INT(F43/B43)+(((F43-B43*INT(F43/B43)))/C43)/100)+(1-(B43/C43/100)),(INT(F43/B43)+(((F43-B43*INT(F43/B43)))/C43)/100))))</f>
        <v>0</v>
      </c>
      <c r="AR43" s="57">
        <f>IF(ISERROR(IF(B43=C43,G43/C43,(INT(G43/B43)+(((G43-B43*INT(G43/B43)))/C43)/100))),0,(IF(B43=C43,G43/C43,(INT(G43/B43)+(((G43-B43*INT(G43/B43)))/C43)/100))))</f>
        <v>0</v>
      </c>
      <c r="AS43" s="57">
        <f>IF(ISERROR(IF(B43=C43,H43/C43,(INT(H43/B43)+(((H43-B43*INT(H43/B43)))/C43)/100))),0,(IF(B43=C43,H43/C43,(INT(H43/B43)+(((H43-B43*INT(H43/B43)))/C43)/100))))</f>
        <v>0</v>
      </c>
      <c r="AT43" s="57">
        <f>IF(ISERROR(IF(B43=C43,I43/C43,(INT(I43/B43)+(((I43-B43*INT(I43/B43)))/C43)/100))),0,(IF(B43=C43,I43/C43,(INT(I43/B43)+(((I43-B43*INT(I43/B43)))/C43)/100))))</f>
        <v>0</v>
      </c>
      <c r="AU43" s="57">
        <f>IF(ISERROR(IF(B43=C43,J43/C43,(INT(J43/B43)+(((J43-B43*INT(J43/B43)))/C43)/100))),0,(IF(B43=C43,J43/C43,(INT(J43/B43)+(((J43-B43*INT(J43/B43)))/C43)/100))))</f>
        <v>0</v>
      </c>
      <c r="AV43" s="57">
        <f>IF(ISERROR(IF(B43=C43,K43/C43,IF((INT(K43/B43)+(((K43-B43*INT(K43/B43)))/C43)/100)&lt;0,(INT(K43/B43)+(((K43-B43*INT(K43/B43)))/C43)/100)+(1-(B43/C43/100)),(INT(K43/B43)+(((K43-B43*INT(K43/B43)))/C43)/100)))),0,IF(B43=C43,K43/C43,IF((INT(K43/B43)+(((K43-B43*INT(K43/B43)))/C43)/100)&lt;0,(INT(K43/B43)+(((K43-B43*INT(K43/B43)))/C43)/100)+(1-(B43/C43/100)),(INT(K43/B43)+(((K43-B43*INT(K43/B43)))/C43)/100))))</f>
        <v>0</v>
      </c>
      <c r="AW43" s="57">
        <f>IF(ISERROR(IF(B43=C43,L43/C43,(INT(L43/B43)+(((L43-B43*INT(L43/B43)))/C43)/100))),0,(IF(B43=C43,L43/C43,(INT(L43/B43)+(((L43-B43*INT(L43/B43)))/C43)/100))))</f>
        <v>0</v>
      </c>
      <c r="AX43" s="57">
        <f>IF(ISERROR(IF(B43=C43,M43/C43,(INT(M43/B43)+(((M43-B43*INT(M43/B43)))/C43)/100))),0,(IF(B43=C43,M43/C43,(INT(M43/B43)+(((M43-B43*INT(M43/B43)))/C43)/100))))</f>
        <v>0</v>
      </c>
      <c r="AY43" s="57">
        <f>IF(ISERROR(IF(B43=C43,N43/C43,IF((INT(N43/B43)+(((N43-B43*INT(N43/B43)))/C43)/100)&lt;0,(INT(N43/B43)+(((N43-B43*INT(N43/B43)))/C43)/100)+(1-(B43/C43/100)),(INT(N43/B43)+(((N43-B43*INT(N43/B43)))/C43)/100)))),0,IF(B43=C43,N43/C43,IF((INT(N43/B43)+(((N43-B43*INT(N43/B43)))/C43)/100)&lt;0,(INT(N43/B43)+(((N43-B43*INT(N43/B43)))/C43)/100)+(1-(B43/C43/100)),(INT(N43/B43)+(((N43-B43*INT(N43/B43)))/C43)/100))))</f>
        <v>0</v>
      </c>
      <c r="AZ43" s="57">
        <f>IF(ISERROR(IF(B43=C43,O43/C43,(INT(O43/B43)+(((O43-B43*INT(O43/B43)))/C43)/100))),0,(IF(B43=C43,O43/C43,(INT(O43/B43)+(((O43-B43*INT(O43/B43)))/C43)/100))))</f>
        <v>0</v>
      </c>
      <c r="BA43" s="57">
        <f>IF(ISERROR(IF(B43=C43,P43/C43,IF((INT(P43/B43)+(((P43-B43*INT(P43/B43)))/C43)/100)&lt;0,(INT(P43/B43)+(((P43-B43*INT(P43/B43)))/C43)/100)+(1-(B43/C43/100)),(INT(P43/B43)+(((P43-B43*INT(P43/B43)))/C43)/100)))),0,IF(B43=C43,P43/C43,IF((INT(P43/B43)+(((P43-B43*INT(P43/B43)))/C43)/100)&lt;0,(INT(P43/B43)+(((P43-B43*INT(P43/B43)))/C43)/100)+(1-(B43/C43/100)),(INT(P43/B43)+(((P43-B43*INT(P43/B43)))/C43)/100))))</f>
        <v>0</v>
      </c>
      <c r="BB43" s="28">
        <f>R43</f>
        <v>0</v>
      </c>
      <c r="BC43" s="28">
        <f>S43</f>
        <v>0</v>
      </c>
      <c r="BD43" s="28">
        <f>AF43</f>
        <v>0</v>
      </c>
      <c r="BE43" s="28">
        <f>T43</f>
        <v>0</v>
      </c>
      <c r="BG43" s="57">
        <f>IF(ISERROR(IF(B43=C43,V43/C43,(INT(V43/B43)+(((V43-B43*INT(V43/B43)))/C43)/100))),0,(IF(B43=C43,V43/C43,(INT(V43/B43)+(((V43-B43*INT(V43/B43)))/C43)/100))))</f>
        <v>0</v>
      </c>
      <c r="BH43" s="57">
        <f>IF(ISERROR(IF(B43=C43,W43/C43,(INT(W43/B43)+(((W43-B43*INT(W43/B43)))/C43)/100))),0,(IF(B43=C43,W43/C43,(INT(W43/B43)+(((W43-B43*INT(W43/B43)))/C43)/100))))</f>
        <v>0</v>
      </c>
      <c r="BI43" s="57">
        <f>IF(ISERROR(IF(B43=C43,X43/C43,(INT(X43/B43)+(((X43-B43*INT(X43/B43)))/C43)/100))),0,(IF(B43=C43,X43/C43,(INT(X43/B43)+(((X43-B43*INT(X43/B43)))/C43)/100))))</f>
        <v>0</v>
      </c>
      <c r="BJ43" s="57">
        <f>IF(ISERROR(IF(B43=C43,Y43/C43,(INT(Y43/B43)+(((Y43-B43*INT(Y43/B43)))/C43)/100))),0,(IF(B43=C43,Y43/C43,(INT(Y43/B43)+(((Y43-B43*INT(Y43/B43)))/C43)/100))))</f>
        <v>0</v>
      </c>
      <c r="BL43" s="57">
        <f>IF(ISERROR(IF(B43=C43,AA43/C43,(INT(AA43/B43)+(((AA43-B43*INT(AA43/B43)))/C43)/100))),0,(IF(B43=C43,AA43/C43,(INT(AA43/B43)+(((AA43-B43*INT(AA43/B43)))/C43)/100))))</f>
        <v>0</v>
      </c>
      <c r="BM43" s="57">
        <f>IF(ISERROR(IF(B43=C43,AB43/C43,(INT(AB43/B43)+(((AB43-B43*INT(AB43/B43)))/C43)/100))),0,(IF(B43=C43,AB43/C43,(INT(AB43/B43)+(((AB43-B43*INT(AB43/B43)))/C43)/100))))</f>
        <v>0</v>
      </c>
      <c r="BN43" s="57">
        <f>IF(ISERROR(IF(B43=C43,AC43/C43,(INT(AC43/B43)+(((AC43-B43*INT(AC43/B43)))/C43)/100))),0,(IF(B43=C43,AC43/C43,(INT(AC43/B43)+(((AC43-B43*INT(AC43/B43)))/C43)/100))))</f>
        <v>0</v>
      </c>
      <c r="BO43" s="57">
        <f>IF(ISERROR(IF(B43=C43,AD43/C43,(INT(AD43/B43)+(((AD43-B43*INT(AD43/B43)))/C43)/100))),0,(IF(B43=C43,AD43/C43,(INT(AD43/B43)+(((AD43-B43*INT(AD43/B43)))/C43)/100))))</f>
        <v>0</v>
      </c>
      <c r="BQ43" s="155"/>
    </row>
    <row r="44" spans="1:69" hidden="1" x14ac:dyDescent="0.35">
      <c r="A44" s="94"/>
      <c r="B44" s="113">
        <v>0</v>
      </c>
      <c r="C44" s="113">
        <v>0</v>
      </c>
      <c r="D44" s="28">
        <f>SUM(AA44:AD44)</f>
        <v>0</v>
      </c>
      <c r="E44" s="113">
        <v>0</v>
      </c>
      <c r="F44" s="113">
        <v>0</v>
      </c>
      <c r="G44" s="28">
        <f>SUM(D44:F44)</f>
        <v>0</v>
      </c>
      <c r="H44" s="125">
        <v>0</v>
      </c>
      <c r="I44" s="113">
        <v>0</v>
      </c>
      <c r="J44" s="125">
        <v>0</v>
      </c>
      <c r="K44" s="113">
        <v>0</v>
      </c>
      <c r="L44" s="113">
        <v>0</v>
      </c>
      <c r="M44" s="113">
        <v>0</v>
      </c>
      <c r="N44" s="28">
        <f>G44-SUM(H44:M44)</f>
        <v>0</v>
      </c>
      <c r="O44" s="28">
        <f>SUM(V44:Y44)</f>
        <v>0</v>
      </c>
      <c r="P44" s="28">
        <f>O44-N44</f>
        <v>0</v>
      </c>
      <c r="Q44" s="61" t="str">
        <f>IF(ISERROR(P44/SUM(H44:L44)),"",P44/SUM(H44:L44))</f>
        <v/>
      </c>
      <c r="R44" s="113">
        <v>0</v>
      </c>
      <c r="S44" s="28">
        <f>IF(ISERROR(P44/C44*R44),0,(P44/C44*R44))</f>
        <v>0</v>
      </c>
      <c r="T44" s="60">
        <f>IF(ISERROR(P44/B44*AF44),0,(P44/B44*AF44))</f>
        <v>0</v>
      </c>
      <c r="V44" s="113">
        <v>0</v>
      </c>
      <c r="W44" s="113">
        <v>0</v>
      </c>
      <c r="X44" s="113">
        <v>0</v>
      </c>
      <c r="Y44" s="113">
        <v>0</v>
      </c>
      <c r="AA44" s="113">
        <v>0</v>
      </c>
      <c r="AB44" s="113">
        <v>0</v>
      </c>
      <c r="AC44" s="113">
        <v>0</v>
      </c>
      <c r="AD44" s="113">
        <v>0</v>
      </c>
      <c r="AF44" s="113">
        <v>0</v>
      </c>
      <c r="AG44" s="28">
        <f>G44-O44</f>
        <v>0</v>
      </c>
      <c r="AH44" s="58">
        <f>IF(ISERROR(AG44/B44*AF44),0,(AG44/B44*AF44))</f>
        <v>0</v>
      </c>
      <c r="AI44" s="28">
        <f>SUM(H44:M44)</f>
        <v>0</v>
      </c>
      <c r="AJ44" s="28">
        <f>IF(ISERROR(AI44/B44*AF44),0,(AI44/B44*AF44))</f>
        <v>0</v>
      </c>
      <c r="AK44" s="58">
        <f>IF(ISERROR(O44/B44*AF44),0,(O44/B44*AF44))</f>
        <v>0</v>
      </c>
      <c r="AL44" s="28">
        <f>IF(ISERROR(H44/B44*AF44),0,(H44/B44*AF44))</f>
        <v>0</v>
      </c>
      <c r="AN44" s="51">
        <f>A44</f>
        <v>0</v>
      </c>
      <c r="AO44" s="57">
        <f>IF(ISERROR(IF(B44=C44,D44/C44,(INT(D44/B44)+(((D44-B44*INT(D44/B44)))/C44)/100))),0,(IF(B44=C44,D44/C44,(INT(D44/B44)+(((D44-B44*INT(D44/B44)))/C44)/100))))</f>
        <v>0</v>
      </c>
      <c r="AP44" s="57">
        <f>IF(ISERROR(IF(B44=C44,E44/C44,(INT(E44/B44)+(((E44-B44*INT(E44/B44)))/C44)/100))),0,(IF(B44=C44,E44/C44,(INT(E44/B44)+(((E44-B44*INT(E44/B44)))/C44)/100))))</f>
        <v>0</v>
      </c>
      <c r="AQ44" s="57">
        <f>IF(ISERROR(IF(B44=C44,F44/C44,IF((INT(F44/B44)+(((F44-B44*INT(F44/B44)))/C44)/100)&lt;0,(INT(F44/B44)+(((F44-B44*INT(F44/B44)))/C44)/100)+(1-(B44/C44/100)),(INT(F44/B44)+(((F44-B44*INT(F44/B44)))/C44)/100)))),0,IF(B44=C44,F44/C44,IF((INT(F44/B44)+(((F44-B44*INT(F44/B44)))/C44)/100)&lt;0,(INT(F44/B44)+(((F44-B44*INT(F44/B44)))/C44)/100)+(1-(B44/C44/100)),(INT(F44/B44)+(((F44-B44*INT(F44/B44)))/C44)/100))))</f>
        <v>0</v>
      </c>
      <c r="AR44" s="57">
        <f>IF(ISERROR(IF(B44=C44,G44/C44,(INT(G44/B44)+(((G44-B44*INT(G44/B44)))/C44)/100))),0,(IF(B44=C44,G44/C44,(INT(G44/B44)+(((G44-B44*INT(G44/B44)))/C44)/100))))</f>
        <v>0</v>
      </c>
      <c r="AS44" s="57">
        <f>IF(ISERROR(IF(B44=C44,H44/C44,(INT(H44/B44)+(((H44-B44*INT(H44/B44)))/C44)/100))),0,(IF(B44=C44,H44/C44,(INT(H44/B44)+(((H44-B44*INT(H44/B44)))/C44)/100))))</f>
        <v>0</v>
      </c>
      <c r="AT44" s="57">
        <f>IF(ISERROR(IF(B44=C44,I44/C44,(INT(I44/B44)+(((I44-B44*INT(I44/B44)))/C44)/100))),0,(IF(B44=C44,I44/C44,(INT(I44/B44)+(((I44-B44*INT(I44/B44)))/C44)/100))))</f>
        <v>0</v>
      </c>
      <c r="AU44" s="57">
        <f>IF(ISERROR(IF(B44=C44,J44/C44,(INT(J44/B44)+(((J44-B44*INT(J44/B44)))/C44)/100))),0,(IF(B44=C44,J44/C44,(INT(J44/B44)+(((J44-B44*INT(J44/B44)))/C44)/100))))</f>
        <v>0</v>
      </c>
      <c r="AV44" s="57">
        <f>IF(ISERROR(IF(B44=C44,K44/C44,IF((INT(K44/B44)+(((K44-B44*INT(K44/B44)))/C44)/100)&lt;0,(INT(K44/B44)+(((K44-B44*INT(K44/B44)))/C44)/100)+(1-(B44/C44/100)),(INT(K44/B44)+(((K44-B44*INT(K44/B44)))/C44)/100)))),0,IF(B44=C44,K44/C44,IF((INT(K44/B44)+(((K44-B44*INT(K44/B44)))/C44)/100)&lt;0,(INT(K44/B44)+(((K44-B44*INT(K44/B44)))/C44)/100)+(1-(B44/C44/100)),(INT(K44/B44)+(((K44-B44*INT(K44/B44)))/C44)/100))))</f>
        <v>0</v>
      </c>
      <c r="AW44" s="57">
        <f>IF(ISERROR(IF(B44=C44,L44/C44,(INT(L44/B44)+(((L44-B44*INT(L44/B44)))/C44)/100))),0,(IF(B44=C44,L44/C44,(INT(L44/B44)+(((L44-B44*INT(L44/B44)))/C44)/100))))</f>
        <v>0</v>
      </c>
      <c r="AX44" s="57">
        <f>IF(ISERROR(IF(B44=C44,M44/C44,(INT(M44/B44)+(((M44-B44*INT(M44/B44)))/C44)/100))),0,(IF(B44=C44,M44/C44,(INT(M44/B44)+(((M44-B44*INT(M44/B44)))/C44)/100))))</f>
        <v>0</v>
      </c>
      <c r="AY44" s="57">
        <f>IF(ISERROR(IF(B44=C44,N44/C44,IF((INT(N44/B44)+(((N44-B44*INT(N44/B44)))/C44)/100)&lt;0,(INT(N44/B44)+(((N44-B44*INT(N44/B44)))/C44)/100)+(1-(B44/C44/100)),(INT(N44/B44)+(((N44-B44*INT(N44/B44)))/C44)/100)))),0,IF(B44=C44,N44/C44,IF((INT(N44/B44)+(((N44-B44*INT(N44/B44)))/C44)/100)&lt;0,(INT(N44/B44)+(((N44-B44*INT(N44/B44)))/C44)/100)+(1-(B44/C44/100)),(INT(N44/B44)+(((N44-B44*INT(N44/B44)))/C44)/100))))</f>
        <v>0</v>
      </c>
      <c r="AZ44" s="57">
        <f>IF(ISERROR(IF(B44=C44,O44/C44,(INT(O44/B44)+(((O44-B44*INT(O44/B44)))/C44)/100))),0,(IF(B44=C44,O44/C44,(INT(O44/B44)+(((O44-B44*INT(O44/B44)))/C44)/100))))</f>
        <v>0</v>
      </c>
      <c r="BA44" s="57">
        <f>IF(ISERROR(IF(B44=C44,P44/C44,IF((INT(P44/B44)+(((P44-B44*INT(P44/B44)))/C44)/100)&lt;0,(INT(P44/B44)+(((P44-B44*INT(P44/B44)))/C44)/100)+(1-(B44/C44/100)),(INT(P44/B44)+(((P44-B44*INT(P44/B44)))/C44)/100)))),0,IF(B44=C44,P44/C44,IF((INT(P44/B44)+(((P44-B44*INT(P44/B44)))/C44)/100)&lt;0,(INT(P44/B44)+(((P44-B44*INT(P44/B44)))/C44)/100)+(1-(B44/C44/100)),(INT(P44/B44)+(((P44-B44*INT(P44/B44)))/C44)/100))))</f>
        <v>0</v>
      </c>
      <c r="BB44" s="28">
        <f>R44</f>
        <v>0</v>
      </c>
      <c r="BC44" s="28">
        <f>S44</f>
        <v>0</v>
      </c>
      <c r="BD44" s="28">
        <f>AF44</f>
        <v>0</v>
      </c>
      <c r="BE44" s="28">
        <f>T44</f>
        <v>0</v>
      </c>
      <c r="BG44" s="57">
        <f>IF(ISERROR(IF(B44=C44,V44/C44,(INT(V44/B44)+(((V44-B44*INT(V44/B44)))/C44)/100))),0,(IF(B44=C44,V44/C44,(INT(V44/B44)+(((V44-B44*INT(V44/B44)))/C44)/100))))</f>
        <v>0</v>
      </c>
      <c r="BH44" s="57">
        <f>IF(ISERROR(IF(B44=C44,W44/C44,(INT(W44/B44)+(((W44-B44*INT(W44/B44)))/C44)/100))),0,(IF(B44=C44,W44/C44,(INT(W44/B44)+(((W44-B44*INT(W44/B44)))/C44)/100))))</f>
        <v>0</v>
      </c>
      <c r="BI44" s="57">
        <f>IF(ISERROR(IF(B44=C44,X44/C44,(INT(X44/B44)+(((X44-B44*INT(X44/B44)))/C44)/100))),0,(IF(B44=C44,X44/C44,(INT(X44/B44)+(((X44-B44*INT(X44/B44)))/C44)/100))))</f>
        <v>0</v>
      </c>
      <c r="BJ44" s="57">
        <f>IF(ISERROR(IF(B44=C44,Y44/C44,(INT(Y44/B44)+(((Y44-B44*INT(Y44/B44)))/C44)/100))),0,(IF(B44=C44,Y44/C44,(INT(Y44/B44)+(((Y44-B44*INT(Y44/B44)))/C44)/100))))</f>
        <v>0</v>
      </c>
      <c r="BL44" s="57">
        <f>IF(ISERROR(IF(B44=C44,AA44/C44,(INT(AA44/B44)+(((AA44-B44*INT(AA44/B44)))/C44)/100))),0,(IF(B44=C44,AA44/C44,(INT(AA44/B44)+(((AA44-B44*INT(AA44/B44)))/C44)/100))))</f>
        <v>0</v>
      </c>
      <c r="BM44" s="57">
        <f>IF(ISERROR(IF(B44=C44,AB44/C44,(INT(AB44/B44)+(((AB44-B44*INT(AB44/B44)))/C44)/100))),0,(IF(B44=C44,AB44/C44,(INT(AB44/B44)+(((AB44-B44*INT(AB44/B44)))/C44)/100))))</f>
        <v>0</v>
      </c>
      <c r="BN44" s="57">
        <f>IF(ISERROR(IF(B44=C44,AC44/C44,(INT(AC44/B44)+(((AC44-B44*INT(AC44/B44)))/C44)/100))),0,(IF(B44=C44,AC44/C44,(INT(AC44/B44)+(((AC44-B44*INT(AC44/B44)))/C44)/100))))</f>
        <v>0</v>
      </c>
      <c r="BO44" s="57">
        <f>IF(ISERROR(IF(B44=C44,AD44/C44,(INT(AD44/B44)+(((AD44-B44*INT(AD44/B44)))/C44)/100))),0,(IF(B44=C44,AD44/C44,(INT(AD44/B44)+(((AD44-B44*INT(AD44/B44)))/C44)/100))))</f>
        <v>0</v>
      </c>
      <c r="BQ44" s="155"/>
    </row>
    <row r="45" spans="1:69" hidden="1" x14ac:dyDescent="0.35">
      <c r="A45" s="94"/>
      <c r="B45" s="113">
        <v>0</v>
      </c>
      <c r="C45" s="113">
        <v>0</v>
      </c>
      <c r="D45" s="28">
        <f>SUM(AA45:AD45)</f>
        <v>0</v>
      </c>
      <c r="E45" s="113">
        <v>0</v>
      </c>
      <c r="F45" s="113">
        <v>0</v>
      </c>
      <c r="G45" s="28">
        <f>SUM(D45:F45)</f>
        <v>0</v>
      </c>
      <c r="H45" s="125">
        <v>0</v>
      </c>
      <c r="I45" s="113">
        <v>0</v>
      </c>
      <c r="J45" s="125">
        <v>0</v>
      </c>
      <c r="K45" s="113">
        <v>0</v>
      </c>
      <c r="L45" s="113">
        <v>0</v>
      </c>
      <c r="M45" s="113">
        <v>0</v>
      </c>
      <c r="N45" s="28">
        <f>G45-SUM(H45:M45)</f>
        <v>0</v>
      </c>
      <c r="O45" s="28">
        <f>SUM(V45:Y45)</f>
        <v>0</v>
      </c>
      <c r="P45" s="28">
        <f>O45-N45</f>
        <v>0</v>
      </c>
      <c r="Q45" s="61" t="str">
        <f>IF(ISERROR(P45/SUM(H45:L45)),"",P45/SUM(H45:L45))</f>
        <v/>
      </c>
      <c r="R45" s="113">
        <v>0</v>
      </c>
      <c r="S45" s="28">
        <f>IF(ISERROR(P45/C45*R45),0,(P45/C45*R45))</f>
        <v>0</v>
      </c>
      <c r="T45" s="60">
        <f>IF(ISERROR(P45/B45*AF45),0,(P45/B45*AF45))</f>
        <v>0</v>
      </c>
      <c r="V45" s="113">
        <v>0</v>
      </c>
      <c r="W45" s="113">
        <v>0</v>
      </c>
      <c r="X45" s="113">
        <v>0</v>
      </c>
      <c r="Y45" s="113">
        <v>0</v>
      </c>
      <c r="AA45" s="113">
        <v>0</v>
      </c>
      <c r="AB45" s="113">
        <v>0</v>
      </c>
      <c r="AC45" s="113">
        <v>0</v>
      </c>
      <c r="AD45" s="113">
        <v>0</v>
      </c>
      <c r="AF45" s="113">
        <v>0</v>
      </c>
      <c r="AG45" s="28">
        <f>G45-O45</f>
        <v>0</v>
      </c>
      <c r="AH45" s="58">
        <f>IF(ISERROR(AG45/B45*AF45),0,(AG45/B45*AF45))</f>
        <v>0</v>
      </c>
      <c r="AI45" s="28">
        <f>SUM(H45:M45)</f>
        <v>0</v>
      </c>
      <c r="AJ45" s="28">
        <f>IF(ISERROR(AI45/B45*AF45),0,(AI45/B45*AF45))</f>
        <v>0</v>
      </c>
      <c r="AK45" s="58">
        <f>IF(ISERROR(O45/B45*AF45),0,(O45/B45*AF45))</f>
        <v>0</v>
      </c>
      <c r="AL45" s="28">
        <f>IF(ISERROR(H45/B45*AF45),0,(H45/B45*AF45))</f>
        <v>0</v>
      </c>
      <c r="AN45" s="51">
        <f>A45</f>
        <v>0</v>
      </c>
      <c r="AO45" s="57">
        <f>IF(ISERROR(IF(B45=C45,D45/C45,(INT(D45/B45)+(((D45-B45*INT(D45/B45)))/C45)/100))),0,(IF(B45=C45,D45/C45,(INT(D45/B45)+(((D45-B45*INT(D45/B45)))/C45)/100))))</f>
        <v>0</v>
      </c>
      <c r="AP45" s="57">
        <f>IF(ISERROR(IF(B45=C45,E45/C45,(INT(E45/B45)+(((E45-B45*INT(E45/B45)))/C45)/100))),0,(IF(B45=C45,E45/C45,(INT(E45/B45)+(((E45-B45*INT(E45/B45)))/C45)/100))))</f>
        <v>0</v>
      </c>
      <c r="AQ45" s="57">
        <f>IF(ISERROR(IF(B45=C45,F45/C45,IF((INT(F45/B45)+(((F45-B45*INT(F45/B45)))/C45)/100)&lt;0,(INT(F45/B45)+(((F45-B45*INT(F45/B45)))/C45)/100)+(1-(B45/C45/100)),(INT(F45/B45)+(((F45-B45*INT(F45/B45)))/C45)/100)))),0,IF(B45=C45,F45/C45,IF((INT(F45/B45)+(((F45-B45*INT(F45/B45)))/C45)/100)&lt;0,(INT(F45/B45)+(((F45-B45*INT(F45/B45)))/C45)/100)+(1-(B45/C45/100)),(INT(F45/B45)+(((F45-B45*INT(F45/B45)))/C45)/100))))</f>
        <v>0</v>
      </c>
      <c r="AR45" s="57">
        <f>IF(ISERROR(IF(B45=C45,G45/C45,(INT(G45/B45)+(((G45-B45*INT(G45/B45)))/C45)/100))),0,(IF(B45=C45,G45/C45,(INT(G45/B45)+(((G45-B45*INT(G45/B45)))/C45)/100))))</f>
        <v>0</v>
      </c>
      <c r="AS45" s="57">
        <f>IF(ISERROR(IF(B45=C45,H45/C45,(INT(H45/B45)+(((H45-B45*INT(H45/B45)))/C45)/100))),0,(IF(B45=C45,H45/C45,(INT(H45/B45)+(((H45-B45*INT(H45/B45)))/C45)/100))))</f>
        <v>0</v>
      </c>
      <c r="AT45" s="57">
        <f>IF(ISERROR(IF(B45=C45,I45/C45,(INT(I45/B45)+(((I45-B45*INT(I45/B45)))/C45)/100))),0,(IF(B45=C45,I45/C45,(INT(I45/B45)+(((I45-B45*INT(I45/B45)))/C45)/100))))</f>
        <v>0</v>
      </c>
      <c r="AU45" s="57">
        <f>IF(ISERROR(IF(B45=C45,J45/C45,(INT(J45/B45)+(((J45-B45*INT(J45/B45)))/C45)/100))),0,(IF(B45=C45,J45/C45,(INT(J45/B45)+(((J45-B45*INT(J45/B45)))/C45)/100))))</f>
        <v>0</v>
      </c>
      <c r="AV45" s="57">
        <f>IF(ISERROR(IF(B45=C45,K45/C45,IF((INT(K45/B45)+(((K45-B45*INT(K45/B45)))/C45)/100)&lt;0,(INT(K45/B45)+(((K45-B45*INT(K45/B45)))/C45)/100)+(1-(B45/C45/100)),(INT(K45/B45)+(((K45-B45*INT(K45/B45)))/C45)/100)))),0,IF(B45=C45,K45/C45,IF((INT(K45/B45)+(((K45-B45*INT(K45/B45)))/C45)/100)&lt;0,(INT(K45/B45)+(((K45-B45*INT(K45/B45)))/C45)/100)+(1-(B45/C45/100)),(INT(K45/B45)+(((K45-B45*INT(K45/B45)))/C45)/100))))</f>
        <v>0</v>
      </c>
      <c r="AW45" s="57">
        <f>IF(ISERROR(IF(B45=C45,L45/C45,(INT(L45/B45)+(((L45-B45*INT(L45/B45)))/C45)/100))),0,(IF(B45=C45,L45/C45,(INT(L45/B45)+(((L45-B45*INT(L45/B45)))/C45)/100))))</f>
        <v>0</v>
      </c>
      <c r="AX45" s="57">
        <f>IF(ISERROR(IF(B45=C45,M45/C45,(INT(M45/B45)+(((M45-B45*INT(M45/B45)))/C45)/100))),0,(IF(B45=C45,M45/C45,(INT(M45/B45)+(((M45-B45*INT(M45/B45)))/C45)/100))))</f>
        <v>0</v>
      </c>
      <c r="AY45" s="57">
        <f>IF(ISERROR(IF(B45=C45,N45/C45,IF((INT(N45/B45)+(((N45-B45*INT(N45/B45)))/C45)/100)&lt;0,(INT(N45/B45)+(((N45-B45*INT(N45/B45)))/C45)/100)+(1-(B45/C45/100)),(INT(N45/B45)+(((N45-B45*INT(N45/B45)))/C45)/100)))),0,IF(B45=C45,N45/C45,IF((INT(N45/B45)+(((N45-B45*INT(N45/B45)))/C45)/100)&lt;0,(INT(N45/B45)+(((N45-B45*INT(N45/B45)))/C45)/100)+(1-(B45/C45/100)),(INT(N45/B45)+(((N45-B45*INT(N45/B45)))/C45)/100))))</f>
        <v>0</v>
      </c>
      <c r="AZ45" s="57">
        <f>IF(ISERROR(IF(B45=C45,O45/C45,(INT(O45/B45)+(((O45-B45*INT(O45/B45)))/C45)/100))),0,(IF(B45=C45,O45/C45,(INT(O45/B45)+(((O45-B45*INT(O45/B45)))/C45)/100))))</f>
        <v>0</v>
      </c>
      <c r="BA45" s="57">
        <f>IF(ISERROR(IF(B45=C45,P45/C45,IF((INT(P45/B45)+(((P45-B45*INT(P45/B45)))/C45)/100)&lt;0,(INT(P45/B45)+(((P45-B45*INT(P45/B45)))/C45)/100)+(1-(B45/C45/100)),(INT(P45/B45)+(((P45-B45*INT(P45/B45)))/C45)/100)))),0,IF(B45=C45,P45/C45,IF((INT(P45/B45)+(((P45-B45*INT(P45/B45)))/C45)/100)&lt;0,(INT(P45/B45)+(((P45-B45*INT(P45/B45)))/C45)/100)+(1-(B45/C45/100)),(INT(P45/B45)+(((P45-B45*INT(P45/B45)))/C45)/100))))</f>
        <v>0</v>
      </c>
      <c r="BB45" s="28">
        <f>R45</f>
        <v>0</v>
      </c>
      <c r="BC45" s="28">
        <f>S45</f>
        <v>0</v>
      </c>
      <c r="BD45" s="28">
        <f>AF45</f>
        <v>0</v>
      </c>
      <c r="BE45" s="28">
        <f>T45</f>
        <v>0</v>
      </c>
      <c r="BG45" s="57">
        <f>IF(ISERROR(IF(B45=C45,V45/C45,(INT(V45/B45)+(((V45-B45*INT(V45/B45)))/C45)/100))),0,(IF(B45=C45,V45/C45,(INT(V45/B45)+(((V45-B45*INT(V45/B45)))/C45)/100))))</f>
        <v>0</v>
      </c>
      <c r="BH45" s="57">
        <f>IF(ISERROR(IF(B45=C45,W45/C45,(INT(W45/B45)+(((W45-B45*INT(W45/B45)))/C45)/100))),0,(IF(B45=C45,W45/C45,(INT(W45/B45)+(((W45-B45*INT(W45/B45)))/C45)/100))))</f>
        <v>0</v>
      </c>
      <c r="BI45" s="57">
        <f>IF(ISERROR(IF(B45=C45,X45/C45,(INT(X45/B45)+(((X45-B45*INT(X45/B45)))/C45)/100))),0,(IF(B45=C45,X45/C45,(INT(X45/B45)+(((X45-B45*INT(X45/B45)))/C45)/100))))</f>
        <v>0</v>
      </c>
      <c r="BJ45" s="57">
        <f>IF(ISERROR(IF(B45=C45,Y45/C45,(INT(Y45/B45)+(((Y45-B45*INT(Y45/B45)))/C45)/100))),0,(IF(B45=C45,Y45/C45,(INT(Y45/B45)+(((Y45-B45*INT(Y45/B45)))/C45)/100))))</f>
        <v>0</v>
      </c>
      <c r="BL45" s="57">
        <f>IF(ISERROR(IF(B45=C45,AA45/C45,(INT(AA45/B45)+(((AA45-B45*INT(AA45/B45)))/C45)/100))),0,(IF(B45=C45,AA45/C45,(INT(AA45/B45)+(((AA45-B45*INT(AA45/B45)))/C45)/100))))</f>
        <v>0</v>
      </c>
      <c r="BM45" s="57">
        <f>IF(ISERROR(IF(B45=C45,AB45/C45,(INT(AB45/B45)+(((AB45-B45*INT(AB45/B45)))/C45)/100))),0,(IF(B45=C45,AB45/C45,(INT(AB45/B45)+(((AB45-B45*INT(AB45/B45)))/C45)/100))))</f>
        <v>0</v>
      </c>
      <c r="BN45" s="57">
        <f>IF(ISERROR(IF(B45=C45,AC45/C45,(INT(AC45/B45)+(((AC45-B45*INT(AC45/B45)))/C45)/100))),0,(IF(B45=C45,AC45/C45,(INT(AC45/B45)+(((AC45-B45*INT(AC45/B45)))/C45)/100))))</f>
        <v>0</v>
      </c>
      <c r="BO45" s="57">
        <f>IF(ISERROR(IF(B45=C45,AD45/C45,(INT(AD45/B45)+(((AD45-B45*INT(AD45/B45)))/C45)/100))),0,(IF(B45=C45,AD45/C45,(INT(AD45/B45)+(((AD45-B45*INT(AD45/B45)))/C45)/100))))</f>
        <v>0</v>
      </c>
      <c r="BQ45" s="155"/>
    </row>
    <row r="46" spans="1:69" hidden="1" x14ac:dyDescent="0.35">
      <c r="A46" s="94"/>
      <c r="B46" s="113">
        <v>0</v>
      </c>
      <c r="C46" s="113">
        <v>0</v>
      </c>
      <c r="D46" s="28">
        <f>SUM(AA46:AD46)</f>
        <v>0</v>
      </c>
      <c r="E46" s="113">
        <v>0</v>
      </c>
      <c r="F46" s="113">
        <v>0</v>
      </c>
      <c r="G46" s="28">
        <f>SUM(D46:F46)</f>
        <v>0</v>
      </c>
      <c r="H46" s="125">
        <v>0</v>
      </c>
      <c r="I46" s="113">
        <v>0</v>
      </c>
      <c r="J46" s="125">
        <v>0</v>
      </c>
      <c r="K46" s="113">
        <v>0</v>
      </c>
      <c r="L46" s="113">
        <v>0</v>
      </c>
      <c r="M46" s="113">
        <v>0</v>
      </c>
      <c r="N46" s="28">
        <f>G46-SUM(H46:M46)</f>
        <v>0</v>
      </c>
      <c r="O46" s="28">
        <f>SUM(V46:Y46)</f>
        <v>0</v>
      </c>
      <c r="P46" s="28">
        <f>O46-N46</f>
        <v>0</v>
      </c>
      <c r="Q46" s="61" t="str">
        <f>IF(ISERROR(P46/SUM(H46:L46)),"",P46/SUM(H46:L46))</f>
        <v/>
      </c>
      <c r="R46" s="113">
        <v>0</v>
      </c>
      <c r="S46" s="28">
        <f>IF(ISERROR(P46/C46*R46),0,(P46/C46*R46))</f>
        <v>0</v>
      </c>
      <c r="T46" s="60">
        <f>IF(ISERROR(P46/B46*AF46),0,(P46/B46*AF46))</f>
        <v>0</v>
      </c>
      <c r="V46" s="113">
        <v>0</v>
      </c>
      <c r="W46" s="113">
        <v>0</v>
      </c>
      <c r="X46" s="113">
        <v>0</v>
      </c>
      <c r="Y46" s="113">
        <v>0</v>
      </c>
      <c r="AA46" s="113">
        <v>0</v>
      </c>
      <c r="AB46" s="113">
        <v>0</v>
      </c>
      <c r="AC46" s="113">
        <v>0</v>
      </c>
      <c r="AD46" s="113">
        <v>0</v>
      </c>
      <c r="AF46" s="113">
        <v>0</v>
      </c>
      <c r="AG46" s="28">
        <f>G46-O46</f>
        <v>0</v>
      </c>
      <c r="AH46" s="58">
        <f>IF(ISERROR(AG46/B46*AF46),0,(AG46/B46*AF46))</f>
        <v>0</v>
      </c>
      <c r="AI46" s="28">
        <f>SUM(H46:M46)</f>
        <v>0</v>
      </c>
      <c r="AJ46" s="28">
        <f>IF(ISERROR(AI46/B46*AF46),0,(AI46/B46*AF46))</f>
        <v>0</v>
      </c>
      <c r="AK46" s="58">
        <f>IF(ISERROR(O46/B46*AF46),0,(O46/B46*AF46))</f>
        <v>0</v>
      </c>
      <c r="AL46" s="28">
        <f>IF(ISERROR(H46/B46*AF46),0,(H46/B46*AF46))</f>
        <v>0</v>
      </c>
      <c r="AN46" s="51">
        <f>A46</f>
        <v>0</v>
      </c>
      <c r="AO46" s="57">
        <f>IF(ISERROR(IF(B46=C46,D46/C46,(INT(D46/B46)+(((D46-B46*INT(D46/B46)))/C46)/100))),0,(IF(B46=C46,D46/C46,(INT(D46/B46)+(((D46-B46*INT(D46/B46)))/C46)/100))))</f>
        <v>0</v>
      </c>
      <c r="AP46" s="57">
        <f>IF(ISERROR(IF(B46=C46,E46/C46,(INT(E46/B46)+(((E46-B46*INT(E46/B46)))/C46)/100))),0,(IF(B46=C46,E46/C46,(INT(E46/B46)+(((E46-B46*INT(E46/B46)))/C46)/100))))</f>
        <v>0</v>
      </c>
      <c r="AQ46" s="57">
        <f>IF(ISERROR(IF(B46=C46,F46/C46,IF((INT(F46/B46)+(((F46-B46*INT(F46/B46)))/C46)/100)&lt;0,(INT(F46/B46)+(((F46-B46*INT(F46/B46)))/C46)/100)+(1-(B46/C46/100)),(INT(F46/B46)+(((F46-B46*INT(F46/B46)))/C46)/100)))),0,IF(B46=C46,F46/C46,IF((INT(F46/B46)+(((F46-B46*INT(F46/B46)))/C46)/100)&lt;0,(INT(F46/B46)+(((F46-B46*INT(F46/B46)))/C46)/100)+(1-(B46/C46/100)),(INT(F46/B46)+(((F46-B46*INT(F46/B46)))/C46)/100))))</f>
        <v>0</v>
      </c>
      <c r="AR46" s="57">
        <f>IF(ISERROR(IF(B46=C46,G46/C46,(INT(G46/B46)+(((G46-B46*INT(G46/B46)))/C46)/100))),0,(IF(B46=C46,G46/C46,(INT(G46/B46)+(((G46-B46*INT(G46/B46)))/C46)/100))))</f>
        <v>0</v>
      </c>
      <c r="AS46" s="57">
        <f>IF(ISERROR(IF(B46=C46,H46/C46,(INT(H46/B46)+(((H46-B46*INT(H46/B46)))/C46)/100))),0,(IF(B46=C46,H46/C46,(INT(H46/B46)+(((H46-B46*INT(H46/B46)))/C46)/100))))</f>
        <v>0</v>
      </c>
      <c r="AT46" s="57">
        <f>IF(ISERROR(IF(B46=C46,I46/C46,(INT(I46/B46)+(((I46-B46*INT(I46/B46)))/C46)/100))),0,(IF(B46=C46,I46/C46,(INT(I46/B46)+(((I46-B46*INT(I46/B46)))/C46)/100))))</f>
        <v>0</v>
      </c>
      <c r="AU46" s="57">
        <f>IF(ISERROR(IF(B46=C46,J46/C46,(INT(J46/B46)+(((J46-B46*INT(J46/B46)))/C46)/100))),0,(IF(B46=C46,J46/C46,(INT(J46/B46)+(((J46-B46*INT(J46/B46)))/C46)/100))))</f>
        <v>0</v>
      </c>
      <c r="AV46" s="57">
        <f>IF(ISERROR(IF(B46=C46,K46/C46,IF((INT(K46/B46)+(((K46-B46*INT(K46/B46)))/C46)/100)&lt;0,(INT(K46/B46)+(((K46-B46*INT(K46/B46)))/C46)/100)+(1-(B46/C46/100)),(INT(K46/B46)+(((K46-B46*INT(K46/B46)))/C46)/100)))),0,IF(B46=C46,K46/C46,IF((INT(K46/B46)+(((K46-B46*INT(K46/B46)))/C46)/100)&lt;0,(INT(K46/B46)+(((K46-B46*INT(K46/B46)))/C46)/100)+(1-(B46/C46/100)),(INT(K46/B46)+(((K46-B46*INT(K46/B46)))/C46)/100))))</f>
        <v>0</v>
      </c>
      <c r="AW46" s="57">
        <f>IF(ISERROR(IF(B46=C46,L46/C46,(INT(L46/B46)+(((L46-B46*INT(L46/B46)))/C46)/100))),0,(IF(B46=C46,L46/C46,(INT(L46/B46)+(((L46-B46*INT(L46/B46)))/C46)/100))))</f>
        <v>0</v>
      </c>
      <c r="AX46" s="57">
        <f>IF(ISERROR(IF(B46=C46,M46/C46,(INT(M46/B46)+(((M46-B46*INT(M46/B46)))/C46)/100))),0,(IF(B46=C46,M46/C46,(INT(M46/B46)+(((M46-B46*INT(M46/B46)))/C46)/100))))</f>
        <v>0</v>
      </c>
      <c r="AY46" s="57">
        <f>IF(ISERROR(IF(B46=C46,N46/C46,IF((INT(N46/B46)+(((N46-B46*INT(N46/B46)))/C46)/100)&lt;0,(INT(N46/B46)+(((N46-B46*INT(N46/B46)))/C46)/100)+(1-(B46/C46/100)),(INT(N46/B46)+(((N46-B46*INT(N46/B46)))/C46)/100)))),0,IF(B46=C46,N46/C46,IF((INT(N46/B46)+(((N46-B46*INT(N46/B46)))/C46)/100)&lt;0,(INT(N46/B46)+(((N46-B46*INT(N46/B46)))/C46)/100)+(1-(B46/C46/100)),(INT(N46/B46)+(((N46-B46*INT(N46/B46)))/C46)/100))))</f>
        <v>0</v>
      </c>
      <c r="AZ46" s="57">
        <f>IF(ISERROR(IF(B46=C46,O46/C46,(INT(O46/B46)+(((O46-B46*INT(O46/B46)))/C46)/100))),0,(IF(B46=C46,O46/C46,(INT(O46/B46)+(((O46-B46*INT(O46/B46)))/C46)/100))))</f>
        <v>0</v>
      </c>
      <c r="BA46" s="57">
        <f>IF(ISERROR(IF(B46=C46,P46/C46,IF((INT(P46/B46)+(((P46-B46*INT(P46/B46)))/C46)/100)&lt;0,(INT(P46/B46)+(((P46-B46*INT(P46/B46)))/C46)/100)+(1-(B46/C46/100)),(INT(P46/B46)+(((P46-B46*INT(P46/B46)))/C46)/100)))),0,IF(B46=C46,P46/C46,IF((INT(P46/B46)+(((P46-B46*INT(P46/B46)))/C46)/100)&lt;0,(INT(P46/B46)+(((P46-B46*INT(P46/B46)))/C46)/100)+(1-(B46/C46/100)),(INT(P46/B46)+(((P46-B46*INT(P46/B46)))/C46)/100))))</f>
        <v>0</v>
      </c>
      <c r="BB46" s="28">
        <f>R46</f>
        <v>0</v>
      </c>
      <c r="BC46" s="28">
        <f>S46</f>
        <v>0</v>
      </c>
      <c r="BD46" s="28">
        <f>AF46</f>
        <v>0</v>
      </c>
      <c r="BE46" s="28">
        <f>T46</f>
        <v>0</v>
      </c>
      <c r="BG46" s="57">
        <f>IF(ISERROR(IF(B46=C46,V46/C46,(INT(V46/B46)+(((V46-B46*INT(V46/B46)))/C46)/100))),0,(IF(B46=C46,V46/C46,(INT(V46/B46)+(((V46-B46*INT(V46/B46)))/C46)/100))))</f>
        <v>0</v>
      </c>
      <c r="BH46" s="57">
        <f>IF(ISERROR(IF(B46=C46,W46/C46,(INT(W46/B46)+(((W46-B46*INT(W46/B46)))/C46)/100))),0,(IF(B46=C46,W46/C46,(INT(W46/B46)+(((W46-B46*INT(W46/B46)))/C46)/100))))</f>
        <v>0</v>
      </c>
      <c r="BI46" s="57">
        <f>IF(ISERROR(IF(B46=C46,X46/C46,(INT(X46/B46)+(((X46-B46*INT(X46/B46)))/C46)/100))),0,(IF(B46=C46,X46/C46,(INT(X46/B46)+(((X46-B46*INT(X46/B46)))/C46)/100))))</f>
        <v>0</v>
      </c>
      <c r="BJ46" s="57">
        <f>IF(ISERROR(IF(B46=C46,Y46/C46,(INT(Y46/B46)+(((Y46-B46*INT(Y46/B46)))/C46)/100))),0,(IF(B46=C46,Y46/C46,(INT(Y46/B46)+(((Y46-B46*INT(Y46/B46)))/C46)/100))))</f>
        <v>0</v>
      </c>
      <c r="BL46" s="57">
        <f>IF(ISERROR(IF(B46=C46,AA46/C46,(INT(AA46/B46)+(((AA46-B46*INT(AA46/B46)))/C46)/100))),0,(IF(B46=C46,AA46/C46,(INT(AA46/B46)+(((AA46-B46*INT(AA46/B46)))/C46)/100))))</f>
        <v>0</v>
      </c>
      <c r="BM46" s="57">
        <f>IF(ISERROR(IF(B46=C46,AB46/C46,(INT(AB46/B46)+(((AB46-B46*INT(AB46/B46)))/C46)/100))),0,(IF(B46=C46,AB46/C46,(INT(AB46/B46)+(((AB46-B46*INT(AB46/B46)))/C46)/100))))</f>
        <v>0</v>
      </c>
      <c r="BN46" s="57">
        <f>IF(ISERROR(IF(B46=C46,AC46/C46,(INT(AC46/B46)+(((AC46-B46*INT(AC46/B46)))/C46)/100))),0,(IF(B46=C46,AC46/C46,(INT(AC46/B46)+(((AC46-B46*INT(AC46/B46)))/C46)/100))))</f>
        <v>0</v>
      </c>
      <c r="BO46" s="57">
        <f>IF(ISERROR(IF(B46=C46,AD46/C46,(INT(AD46/B46)+(((AD46-B46*INT(AD46/B46)))/C46)/100))),0,(IF(B46=C46,AD46/C46,(INT(AD46/B46)+(((AD46-B46*INT(AD46/B46)))/C46)/100))))</f>
        <v>0</v>
      </c>
      <c r="BQ46" s="155"/>
    </row>
    <row r="47" spans="1:69" hidden="1" x14ac:dyDescent="0.35">
      <c r="A47" s="94"/>
      <c r="B47" s="113">
        <v>0</v>
      </c>
      <c r="C47" s="113">
        <v>0</v>
      </c>
      <c r="D47" s="28">
        <f>SUM(AA47:AD47)</f>
        <v>0</v>
      </c>
      <c r="E47" s="113">
        <v>0</v>
      </c>
      <c r="F47" s="113">
        <v>0</v>
      </c>
      <c r="G47" s="28">
        <f>SUM(D47:F47)</f>
        <v>0</v>
      </c>
      <c r="H47" s="125">
        <v>0</v>
      </c>
      <c r="I47" s="113">
        <v>0</v>
      </c>
      <c r="J47" s="125">
        <v>0</v>
      </c>
      <c r="K47" s="113">
        <v>0</v>
      </c>
      <c r="L47" s="113">
        <v>0</v>
      </c>
      <c r="M47" s="113">
        <v>0</v>
      </c>
      <c r="N47" s="28">
        <f>G47-SUM(H47:M47)</f>
        <v>0</v>
      </c>
      <c r="O47" s="28">
        <f>SUM(V47:Y47)</f>
        <v>0</v>
      </c>
      <c r="P47" s="28">
        <f>O47-N47</f>
        <v>0</v>
      </c>
      <c r="Q47" s="61" t="str">
        <f>IF(ISERROR(P47/SUM(H47:L47)),"",P47/SUM(H47:L47))</f>
        <v/>
      </c>
      <c r="R47" s="113">
        <v>0</v>
      </c>
      <c r="S47" s="28">
        <f>IF(ISERROR(P47/C47*R47),0,(P47/C47*R47))</f>
        <v>0</v>
      </c>
      <c r="T47" s="60">
        <f>IF(ISERROR(P47/B47*AF47),0,(P47/B47*AF47))</f>
        <v>0</v>
      </c>
      <c r="V47" s="113">
        <v>0</v>
      </c>
      <c r="W47" s="113">
        <v>0</v>
      </c>
      <c r="X47" s="113">
        <v>0</v>
      </c>
      <c r="Y47" s="113">
        <v>0</v>
      </c>
      <c r="AA47" s="113">
        <v>0</v>
      </c>
      <c r="AB47" s="113">
        <v>0</v>
      </c>
      <c r="AC47" s="113">
        <v>0</v>
      </c>
      <c r="AD47" s="113">
        <v>0</v>
      </c>
      <c r="AF47" s="113">
        <v>0</v>
      </c>
      <c r="AG47" s="28">
        <f>G47-O47</f>
        <v>0</v>
      </c>
      <c r="AH47" s="58">
        <f>IF(ISERROR(AG47/B47*AF47),0,(AG47/B47*AF47))</f>
        <v>0</v>
      </c>
      <c r="AI47" s="28">
        <f>SUM(H47:M47)</f>
        <v>0</v>
      </c>
      <c r="AJ47" s="28">
        <f>IF(ISERROR(AI47/B47*AF47),0,(AI47/B47*AF47))</f>
        <v>0</v>
      </c>
      <c r="AK47" s="58">
        <f>IF(ISERROR(O47/B47*AF47),0,(O47/B47*AF47))</f>
        <v>0</v>
      </c>
      <c r="AL47" s="28">
        <f>IF(ISERROR(H47/B47*AF47),0,(H47/B47*AF47))</f>
        <v>0</v>
      </c>
      <c r="AN47" s="51">
        <f>A47</f>
        <v>0</v>
      </c>
      <c r="AO47" s="57">
        <f>IF(ISERROR(IF(B47=C47,D47/C47,(INT(D47/B47)+(((D47-B47*INT(D47/B47)))/C47)/100))),0,(IF(B47=C47,D47/C47,(INT(D47/B47)+(((D47-B47*INT(D47/B47)))/C47)/100))))</f>
        <v>0</v>
      </c>
      <c r="AP47" s="57">
        <f>IF(ISERROR(IF(B47=C47,E47/C47,(INT(E47/B47)+(((E47-B47*INT(E47/B47)))/C47)/100))),0,(IF(B47=C47,E47/C47,(INT(E47/B47)+(((E47-B47*INT(E47/B47)))/C47)/100))))</f>
        <v>0</v>
      </c>
      <c r="AQ47" s="57">
        <f>IF(ISERROR(IF(B47=C47,F47/C47,IF((INT(F47/B47)+(((F47-B47*INT(F47/B47)))/C47)/100)&lt;0,(INT(F47/B47)+(((F47-B47*INT(F47/B47)))/C47)/100)+(1-(B47/C47/100)),(INT(F47/B47)+(((F47-B47*INT(F47/B47)))/C47)/100)))),0,IF(B47=C47,F47/C47,IF((INT(F47/B47)+(((F47-B47*INT(F47/B47)))/C47)/100)&lt;0,(INT(F47/B47)+(((F47-B47*INT(F47/B47)))/C47)/100)+(1-(B47/C47/100)),(INT(F47/B47)+(((F47-B47*INT(F47/B47)))/C47)/100))))</f>
        <v>0</v>
      </c>
      <c r="AR47" s="57">
        <f>IF(ISERROR(IF(B47=C47,G47/C47,(INT(G47/B47)+(((G47-B47*INT(G47/B47)))/C47)/100))),0,(IF(B47=C47,G47/C47,(INT(G47/B47)+(((G47-B47*INT(G47/B47)))/C47)/100))))</f>
        <v>0</v>
      </c>
      <c r="AS47" s="57">
        <f>IF(ISERROR(IF(B47=C47,H47/C47,(INT(H47/B47)+(((H47-B47*INT(H47/B47)))/C47)/100))),0,(IF(B47=C47,H47/C47,(INT(H47/B47)+(((H47-B47*INT(H47/B47)))/C47)/100))))</f>
        <v>0</v>
      </c>
      <c r="AT47" s="57">
        <f>IF(ISERROR(IF(B47=C47,I47/C47,(INT(I47/B47)+(((I47-B47*INT(I47/B47)))/C47)/100))),0,(IF(B47=C47,I47/C47,(INT(I47/B47)+(((I47-B47*INT(I47/B47)))/C47)/100))))</f>
        <v>0</v>
      </c>
      <c r="AU47" s="57">
        <f>IF(ISERROR(IF(B47=C47,J47/C47,(INT(J47/B47)+(((J47-B47*INT(J47/B47)))/C47)/100))),0,(IF(B47=C47,J47/C47,(INT(J47/B47)+(((J47-B47*INT(J47/B47)))/C47)/100))))</f>
        <v>0</v>
      </c>
      <c r="AV47" s="57">
        <f>IF(ISERROR(IF(B47=C47,K47/C47,IF((INT(K47/B47)+(((K47-B47*INT(K47/B47)))/C47)/100)&lt;0,(INT(K47/B47)+(((K47-B47*INT(K47/B47)))/C47)/100)+(1-(B47/C47/100)),(INT(K47/B47)+(((K47-B47*INT(K47/B47)))/C47)/100)))),0,IF(B47=C47,K47/C47,IF((INT(K47/B47)+(((K47-B47*INT(K47/B47)))/C47)/100)&lt;0,(INT(K47/B47)+(((K47-B47*INT(K47/B47)))/C47)/100)+(1-(B47/C47/100)),(INT(K47/B47)+(((K47-B47*INT(K47/B47)))/C47)/100))))</f>
        <v>0</v>
      </c>
      <c r="AW47" s="57">
        <f>IF(ISERROR(IF(B47=C47,L47/C47,(INT(L47/B47)+(((L47-B47*INT(L47/B47)))/C47)/100))),0,(IF(B47=C47,L47/C47,(INT(L47/B47)+(((L47-B47*INT(L47/B47)))/C47)/100))))</f>
        <v>0</v>
      </c>
      <c r="AX47" s="57">
        <f>IF(ISERROR(IF(B47=C47,M47/C47,(INT(M47/B47)+(((M47-B47*INT(M47/B47)))/C47)/100))),0,(IF(B47=C47,M47/C47,(INT(M47/B47)+(((M47-B47*INT(M47/B47)))/C47)/100))))</f>
        <v>0</v>
      </c>
      <c r="AY47" s="57">
        <f>IF(ISERROR(IF(B47=C47,N47/C47,IF((INT(N47/B47)+(((N47-B47*INT(N47/B47)))/C47)/100)&lt;0,(INT(N47/B47)+(((N47-B47*INT(N47/B47)))/C47)/100)+(1-(B47/C47/100)),(INT(N47/B47)+(((N47-B47*INT(N47/B47)))/C47)/100)))),0,IF(B47=C47,N47/C47,IF((INT(N47/B47)+(((N47-B47*INT(N47/B47)))/C47)/100)&lt;0,(INT(N47/B47)+(((N47-B47*INT(N47/B47)))/C47)/100)+(1-(B47/C47/100)),(INT(N47/B47)+(((N47-B47*INT(N47/B47)))/C47)/100))))</f>
        <v>0</v>
      </c>
      <c r="AZ47" s="57">
        <f>IF(ISERROR(IF(B47=C47,O47/C47,(INT(O47/B47)+(((O47-B47*INT(O47/B47)))/C47)/100))),0,(IF(B47=C47,O47/C47,(INT(O47/B47)+(((O47-B47*INT(O47/B47)))/C47)/100))))</f>
        <v>0</v>
      </c>
      <c r="BA47" s="57">
        <f>IF(ISERROR(IF(B47=C47,P47/C47,IF((INT(P47/B47)+(((P47-B47*INT(P47/B47)))/C47)/100)&lt;0,(INT(P47/B47)+(((P47-B47*INT(P47/B47)))/C47)/100)+(1-(B47/C47/100)),(INT(P47/B47)+(((P47-B47*INT(P47/B47)))/C47)/100)))),0,IF(B47=C47,P47/C47,IF((INT(P47/B47)+(((P47-B47*INT(P47/B47)))/C47)/100)&lt;0,(INT(P47/B47)+(((P47-B47*INT(P47/B47)))/C47)/100)+(1-(B47/C47/100)),(INT(P47/B47)+(((P47-B47*INT(P47/B47)))/C47)/100))))</f>
        <v>0</v>
      </c>
      <c r="BB47" s="28">
        <f>R47</f>
        <v>0</v>
      </c>
      <c r="BC47" s="28">
        <f>S47</f>
        <v>0</v>
      </c>
      <c r="BD47" s="28">
        <f>AF47</f>
        <v>0</v>
      </c>
      <c r="BE47" s="28">
        <f>T47</f>
        <v>0</v>
      </c>
      <c r="BG47" s="57">
        <f>IF(ISERROR(IF(B47=C47,V47/C47,(INT(V47/B47)+(((V47-B47*INT(V47/B47)))/C47)/100))),0,(IF(B47=C47,V47/C47,(INT(V47/B47)+(((V47-B47*INT(V47/B47)))/C47)/100))))</f>
        <v>0</v>
      </c>
      <c r="BH47" s="57">
        <f>IF(ISERROR(IF(B47=C47,W47/C47,(INT(W47/B47)+(((W47-B47*INT(W47/B47)))/C47)/100))),0,(IF(B47=C47,W47/C47,(INT(W47/B47)+(((W47-B47*INT(W47/B47)))/C47)/100))))</f>
        <v>0</v>
      </c>
      <c r="BI47" s="57">
        <f>IF(ISERROR(IF(B47=C47,X47/C47,(INT(X47/B47)+(((X47-B47*INT(X47/B47)))/C47)/100))),0,(IF(B47=C47,X47/C47,(INT(X47/B47)+(((X47-B47*INT(X47/B47)))/C47)/100))))</f>
        <v>0</v>
      </c>
      <c r="BJ47" s="57">
        <f>IF(ISERROR(IF(B47=C47,Y47/C47,(INT(Y47/B47)+(((Y47-B47*INT(Y47/B47)))/C47)/100))),0,(IF(B47=C47,Y47/C47,(INT(Y47/B47)+(((Y47-B47*INT(Y47/B47)))/C47)/100))))</f>
        <v>0</v>
      </c>
      <c r="BL47" s="57">
        <f>IF(ISERROR(IF(B47=C47,AA47/C47,(INT(AA47/B47)+(((AA47-B47*INT(AA47/B47)))/C47)/100))),0,(IF(B47=C47,AA47/C47,(INT(AA47/B47)+(((AA47-B47*INT(AA47/B47)))/C47)/100))))</f>
        <v>0</v>
      </c>
      <c r="BM47" s="57">
        <f>IF(ISERROR(IF(B47=C47,AB47/C47,(INT(AB47/B47)+(((AB47-B47*INT(AB47/B47)))/C47)/100))),0,(IF(B47=C47,AB47/C47,(INT(AB47/B47)+(((AB47-B47*INT(AB47/B47)))/C47)/100))))</f>
        <v>0</v>
      </c>
      <c r="BN47" s="57">
        <f>IF(ISERROR(IF(B47=C47,AC47/C47,(INT(AC47/B47)+(((AC47-B47*INT(AC47/B47)))/C47)/100))),0,(IF(B47=C47,AC47/C47,(INT(AC47/B47)+(((AC47-B47*INT(AC47/B47)))/C47)/100))))</f>
        <v>0</v>
      </c>
      <c r="BO47" s="57">
        <f>IF(ISERROR(IF(B47=C47,AD47/C47,(INT(AD47/B47)+(((AD47-B47*INT(AD47/B47)))/C47)/100))),0,(IF(B47=C47,AD47/C47,(INT(AD47/B47)+(((AD47-B47*INT(AD47/B47)))/C47)/100))))</f>
        <v>0</v>
      </c>
      <c r="BQ47" s="155"/>
    </row>
    <row r="48" spans="1:69" hidden="1" x14ac:dyDescent="0.35">
      <c r="A48" s="94"/>
      <c r="B48" s="113">
        <v>0</v>
      </c>
      <c r="C48" s="113">
        <v>0</v>
      </c>
      <c r="D48" s="28">
        <f>SUM(AA48:AD48)</f>
        <v>0</v>
      </c>
      <c r="E48" s="113">
        <v>0</v>
      </c>
      <c r="F48" s="113">
        <v>0</v>
      </c>
      <c r="G48" s="28">
        <f>SUM(D48:F48)</f>
        <v>0</v>
      </c>
      <c r="H48" s="125">
        <v>0</v>
      </c>
      <c r="I48" s="113">
        <v>0</v>
      </c>
      <c r="J48" s="125">
        <v>0</v>
      </c>
      <c r="K48" s="113">
        <v>0</v>
      </c>
      <c r="L48" s="113">
        <v>0</v>
      </c>
      <c r="M48" s="113">
        <v>0</v>
      </c>
      <c r="N48" s="28">
        <f>G48-SUM(H48:M48)</f>
        <v>0</v>
      </c>
      <c r="O48" s="28">
        <f>SUM(V48:Y48)</f>
        <v>0</v>
      </c>
      <c r="P48" s="28">
        <f>O48-N48</f>
        <v>0</v>
      </c>
      <c r="Q48" s="61" t="str">
        <f>IF(ISERROR(P48/SUM(H48:L48)),"",P48/SUM(H48:L48))</f>
        <v/>
      </c>
      <c r="R48" s="113">
        <v>0</v>
      </c>
      <c r="S48" s="28">
        <f>IF(ISERROR(P48/C48*R48),0,(P48/C48*R48))</f>
        <v>0</v>
      </c>
      <c r="T48" s="60">
        <f>IF(ISERROR(P48/B48*AF48),0,(P48/B48*AF48))</f>
        <v>0</v>
      </c>
      <c r="V48" s="113">
        <v>0</v>
      </c>
      <c r="W48" s="113">
        <v>0</v>
      </c>
      <c r="X48" s="113">
        <v>0</v>
      </c>
      <c r="Y48" s="113">
        <v>0</v>
      </c>
      <c r="AA48" s="113">
        <v>0</v>
      </c>
      <c r="AB48" s="113">
        <v>0</v>
      </c>
      <c r="AC48" s="113">
        <v>0</v>
      </c>
      <c r="AD48" s="113">
        <v>0</v>
      </c>
      <c r="AF48" s="113">
        <v>0</v>
      </c>
      <c r="AG48" s="28">
        <f>G48-O48</f>
        <v>0</v>
      </c>
      <c r="AH48" s="58">
        <f>IF(ISERROR(AG48/B48*AF48),0,(AG48/B48*AF48))</f>
        <v>0</v>
      </c>
      <c r="AI48" s="28">
        <f>SUM(H48:M48)</f>
        <v>0</v>
      </c>
      <c r="AJ48" s="28">
        <f>IF(ISERROR(AI48/B48*AF48),0,(AI48/B48*AF48))</f>
        <v>0</v>
      </c>
      <c r="AK48" s="58">
        <f>IF(ISERROR(O48/B48*AF48),0,(O48/B48*AF48))</f>
        <v>0</v>
      </c>
      <c r="AL48" s="28">
        <f>IF(ISERROR(H48/B48*AF48),0,(H48/B48*AF48))</f>
        <v>0</v>
      </c>
      <c r="AN48" s="51">
        <f>A48</f>
        <v>0</v>
      </c>
      <c r="AO48" s="57">
        <f>IF(ISERROR(IF(B48=C48,D48/C48,(INT(D48/B48)+(((D48-B48*INT(D48/B48)))/C48)/100))),0,(IF(B48=C48,D48/C48,(INT(D48/B48)+(((D48-B48*INT(D48/B48)))/C48)/100))))</f>
        <v>0</v>
      </c>
      <c r="AP48" s="57">
        <f>IF(ISERROR(IF(B48=C48,E48/C48,(INT(E48/B48)+(((E48-B48*INT(E48/B48)))/C48)/100))),0,(IF(B48=C48,E48/C48,(INT(E48/B48)+(((E48-B48*INT(E48/B48)))/C48)/100))))</f>
        <v>0</v>
      </c>
      <c r="AQ48" s="57">
        <f>IF(ISERROR(IF(B48=C48,F48/C48,IF((INT(F48/B48)+(((F48-B48*INT(F48/B48)))/C48)/100)&lt;0,(INT(F48/B48)+(((F48-B48*INT(F48/B48)))/C48)/100)+(1-(B48/C48/100)),(INT(F48/B48)+(((F48-B48*INT(F48/B48)))/C48)/100)))),0,IF(B48=C48,F48/C48,IF((INT(F48/B48)+(((F48-B48*INT(F48/B48)))/C48)/100)&lt;0,(INT(F48/B48)+(((F48-B48*INT(F48/B48)))/C48)/100)+(1-(B48/C48/100)),(INT(F48/B48)+(((F48-B48*INT(F48/B48)))/C48)/100))))</f>
        <v>0</v>
      </c>
      <c r="AR48" s="57">
        <f>IF(ISERROR(IF(B48=C48,G48/C48,(INT(G48/B48)+(((G48-B48*INT(G48/B48)))/C48)/100))),0,(IF(B48=C48,G48/C48,(INT(G48/B48)+(((G48-B48*INT(G48/B48)))/C48)/100))))</f>
        <v>0</v>
      </c>
      <c r="AS48" s="57">
        <f>IF(ISERROR(IF(B48=C48,H48/C48,(INT(H48/B48)+(((H48-B48*INT(H48/B48)))/C48)/100))),0,(IF(B48=C48,H48/C48,(INT(H48/B48)+(((H48-B48*INT(H48/B48)))/C48)/100))))</f>
        <v>0</v>
      </c>
      <c r="AT48" s="57">
        <f>IF(ISERROR(IF(B48=C48,I48/C48,(INT(I48/B48)+(((I48-B48*INT(I48/B48)))/C48)/100))),0,(IF(B48=C48,I48/C48,(INT(I48/B48)+(((I48-B48*INT(I48/B48)))/C48)/100))))</f>
        <v>0</v>
      </c>
      <c r="AU48" s="57">
        <f>IF(ISERROR(IF(B48=C48,J48/C48,(INT(J48/B48)+(((J48-B48*INT(J48/B48)))/C48)/100))),0,(IF(B48=C48,J48/C48,(INT(J48/B48)+(((J48-B48*INT(J48/B48)))/C48)/100))))</f>
        <v>0</v>
      </c>
      <c r="AV48" s="57">
        <f>IF(ISERROR(IF(B48=C48,K48/C48,IF((INT(K48/B48)+(((K48-B48*INT(K48/B48)))/C48)/100)&lt;0,(INT(K48/B48)+(((K48-B48*INT(K48/B48)))/C48)/100)+(1-(B48/C48/100)),(INT(K48/B48)+(((K48-B48*INT(K48/B48)))/C48)/100)))),0,IF(B48=C48,K48/C48,IF((INT(K48/B48)+(((K48-B48*INT(K48/B48)))/C48)/100)&lt;0,(INT(K48/B48)+(((K48-B48*INT(K48/B48)))/C48)/100)+(1-(B48/C48/100)),(INT(K48/B48)+(((K48-B48*INT(K48/B48)))/C48)/100))))</f>
        <v>0</v>
      </c>
      <c r="AW48" s="57">
        <f>IF(ISERROR(IF(B48=C48,L48/C48,(INT(L48/B48)+(((L48-B48*INT(L48/B48)))/C48)/100))),0,(IF(B48=C48,L48/C48,(INT(L48/B48)+(((L48-B48*INT(L48/B48)))/C48)/100))))</f>
        <v>0</v>
      </c>
      <c r="AX48" s="57">
        <f>IF(ISERROR(IF(B48=C48,M48/C48,(INT(M48/B48)+(((M48-B48*INT(M48/B48)))/C48)/100))),0,(IF(B48=C48,M48/C48,(INT(M48/B48)+(((M48-B48*INT(M48/B48)))/C48)/100))))</f>
        <v>0</v>
      </c>
      <c r="AY48" s="57">
        <f>IF(ISERROR(IF(B48=C48,N48/C48,IF((INT(N48/B48)+(((N48-B48*INT(N48/B48)))/C48)/100)&lt;0,(INT(N48/B48)+(((N48-B48*INT(N48/B48)))/C48)/100)+(1-(B48/C48/100)),(INT(N48/B48)+(((N48-B48*INT(N48/B48)))/C48)/100)))),0,IF(B48=C48,N48/C48,IF((INT(N48/B48)+(((N48-B48*INT(N48/B48)))/C48)/100)&lt;0,(INT(N48/B48)+(((N48-B48*INT(N48/B48)))/C48)/100)+(1-(B48/C48/100)),(INT(N48/B48)+(((N48-B48*INT(N48/B48)))/C48)/100))))</f>
        <v>0</v>
      </c>
      <c r="AZ48" s="57">
        <f>IF(ISERROR(IF(B48=C48,O48/C48,(INT(O48/B48)+(((O48-B48*INT(O48/B48)))/C48)/100))),0,(IF(B48=C48,O48/C48,(INT(O48/B48)+(((O48-B48*INT(O48/B48)))/C48)/100))))</f>
        <v>0</v>
      </c>
      <c r="BA48" s="57">
        <f>IF(ISERROR(IF(B48=C48,P48/C48,IF((INT(P48/B48)+(((P48-B48*INT(P48/B48)))/C48)/100)&lt;0,(INT(P48/B48)+(((P48-B48*INT(P48/B48)))/C48)/100)+(1-(B48/C48/100)),(INT(P48/B48)+(((P48-B48*INT(P48/B48)))/C48)/100)))),0,IF(B48=C48,P48/C48,IF((INT(P48/B48)+(((P48-B48*INT(P48/B48)))/C48)/100)&lt;0,(INT(P48/B48)+(((P48-B48*INT(P48/B48)))/C48)/100)+(1-(B48/C48/100)),(INT(P48/B48)+(((P48-B48*INT(P48/B48)))/C48)/100))))</f>
        <v>0</v>
      </c>
      <c r="BB48" s="28">
        <f>R48</f>
        <v>0</v>
      </c>
      <c r="BC48" s="28">
        <f>S48</f>
        <v>0</v>
      </c>
      <c r="BD48" s="28">
        <f>AF48</f>
        <v>0</v>
      </c>
      <c r="BE48" s="28">
        <f>T48</f>
        <v>0</v>
      </c>
      <c r="BG48" s="57">
        <f>IF(ISERROR(IF(B48=C48,V48/C48,(INT(V48/B48)+(((V48-B48*INT(V48/B48)))/C48)/100))),0,(IF(B48=C48,V48/C48,(INT(V48/B48)+(((V48-B48*INT(V48/B48)))/C48)/100))))</f>
        <v>0</v>
      </c>
      <c r="BH48" s="57">
        <f>IF(ISERROR(IF(B48=C48,W48/C48,(INT(W48/B48)+(((W48-B48*INT(W48/B48)))/C48)/100))),0,(IF(B48=C48,W48/C48,(INT(W48/B48)+(((W48-B48*INT(W48/B48)))/C48)/100))))</f>
        <v>0</v>
      </c>
      <c r="BI48" s="57">
        <f>IF(ISERROR(IF(B48=C48,X48/C48,(INT(X48/B48)+(((X48-B48*INT(X48/B48)))/C48)/100))),0,(IF(B48=C48,X48/C48,(INT(X48/B48)+(((X48-B48*INT(X48/B48)))/C48)/100))))</f>
        <v>0</v>
      </c>
      <c r="BJ48" s="57">
        <f>IF(ISERROR(IF(B48=C48,Y48/C48,(INT(Y48/B48)+(((Y48-B48*INT(Y48/B48)))/C48)/100))),0,(IF(B48=C48,Y48/C48,(INT(Y48/B48)+(((Y48-B48*INT(Y48/B48)))/C48)/100))))</f>
        <v>0</v>
      </c>
      <c r="BL48" s="57">
        <f>IF(ISERROR(IF(B48=C48,AA48/C48,(INT(AA48/B48)+(((AA48-B48*INT(AA48/B48)))/C48)/100))),0,(IF(B48=C48,AA48/C48,(INT(AA48/B48)+(((AA48-B48*INT(AA48/B48)))/C48)/100))))</f>
        <v>0</v>
      </c>
      <c r="BM48" s="57">
        <f>IF(ISERROR(IF(B48=C48,AB48/C48,(INT(AB48/B48)+(((AB48-B48*INT(AB48/B48)))/C48)/100))),0,(IF(B48=C48,AB48/C48,(INT(AB48/B48)+(((AB48-B48*INT(AB48/B48)))/C48)/100))))</f>
        <v>0</v>
      </c>
      <c r="BN48" s="57">
        <f>IF(ISERROR(IF(B48=C48,AC48/C48,(INT(AC48/B48)+(((AC48-B48*INT(AC48/B48)))/C48)/100))),0,(IF(B48=C48,AC48/C48,(INT(AC48/B48)+(((AC48-B48*INT(AC48/B48)))/C48)/100))))</f>
        <v>0</v>
      </c>
      <c r="BO48" s="57">
        <f>IF(ISERROR(IF(B48=C48,AD48/C48,(INT(AD48/B48)+(((AD48-B48*INT(AD48/B48)))/C48)/100))),0,(IF(B48=C48,AD48/C48,(INT(AD48/B48)+(((AD48-B48*INT(AD48/B48)))/C48)/100))))</f>
        <v>0</v>
      </c>
      <c r="BQ48" s="155"/>
    </row>
    <row r="49" spans="1:69" hidden="1" x14ac:dyDescent="0.35">
      <c r="A49" s="94"/>
      <c r="B49" s="113">
        <v>0</v>
      </c>
      <c r="C49" s="113">
        <v>0</v>
      </c>
      <c r="D49" s="28">
        <f>SUM(AA49:AD49)</f>
        <v>0</v>
      </c>
      <c r="E49" s="113">
        <v>0</v>
      </c>
      <c r="F49" s="113">
        <v>0</v>
      </c>
      <c r="G49" s="28">
        <f>SUM(D49:F49)</f>
        <v>0</v>
      </c>
      <c r="H49" s="125">
        <v>0</v>
      </c>
      <c r="I49" s="113">
        <v>0</v>
      </c>
      <c r="J49" s="125">
        <v>0</v>
      </c>
      <c r="K49" s="113">
        <v>0</v>
      </c>
      <c r="L49" s="113">
        <v>0</v>
      </c>
      <c r="M49" s="113">
        <v>0</v>
      </c>
      <c r="N49" s="28">
        <f>G49-SUM(H49:M49)</f>
        <v>0</v>
      </c>
      <c r="O49" s="28">
        <f>SUM(V49:Y49)</f>
        <v>0</v>
      </c>
      <c r="P49" s="28">
        <f>O49-N49</f>
        <v>0</v>
      </c>
      <c r="Q49" s="61" t="str">
        <f>IF(ISERROR(P49/SUM(H49:L49)),"",P49/SUM(H49:L49))</f>
        <v/>
      </c>
      <c r="R49" s="113">
        <v>0</v>
      </c>
      <c r="S49" s="28">
        <f>IF(ISERROR(P49/C49*R49),0,(P49/C49*R49))</f>
        <v>0</v>
      </c>
      <c r="T49" s="60">
        <f>IF(ISERROR(P49/B49*AF49),0,(P49/B49*AF49))</f>
        <v>0</v>
      </c>
      <c r="V49" s="113">
        <v>0</v>
      </c>
      <c r="W49" s="113">
        <v>0</v>
      </c>
      <c r="X49" s="113">
        <v>0</v>
      </c>
      <c r="Y49" s="113">
        <v>0</v>
      </c>
      <c r="AA49" s="113">
        <v>0</v>
      </c>
      <c r="AB49" s="113">
        <v>0</v>
      </c>
      <c r="AC49" s="113">
        <v>0</v>
      </c>
      <c r="AD49" s="113">
        <v>0</v>
      </c>
      <c r="AF49" s="113">
        <v>0</v>
      </c>
      <c r="AG49" s="28">
        <f>G49-O49</f>
        <v>0</v>
      </c>
      <c r="AH49" s="58">
        <f>IF(ISERROR(AG49/B49*AF49),0,(AG49/B49*AF49))</f>
        <v>0</v>
      </c>
      <c r="AI49" s="28">
        <f>SUM(H49:M49)</f>
        <v>0</v>
      </c>
      <c r="AJ49" s="28">
        <f>IF(ISERROR(AI49/B49*AF49),0,(AI49/B49*AF49))</f>
        <v>0</v>
      </c>
      <c r="AK49" s="58">
        <f>IF(ISERROR(O49/B49*AF49),0,(O49/B49*AF49))</f>
        <v>0</v>
      </c>
      <c r="AL49" s="28">
        <f>IF(ISERROR(H49/B49*AF49),0,(H49/B49*AF49))</f>
        <v>0</v>
      </c>
      <c r="AN49" s="51">
        <f>A49</f>
        <v>0</v>
      </c>
      <c r="AO49" s="57">
        <f>IF(ISERROR(IF(B49=C49,D49/C49,(INT(D49/B49)+(((D49-B49*INT(D49/B49)))/C49)/100))),0,(IF(B49=C49,D49/C49,(INT(D49/B49)+(((D49-B49*INT(D49/B49)))/C49)/100))))</f>
        <v>0</v>
      </c>
      <c r="AP49" s="57">
        <f>IF(ISERROR(IF(B49=C49,E49/C49,(INT(E49/B49)+(((E49-B49*INT(E49/B49)))/C49)/100))),0,(IF(B49=C49,E49/C49,(INT(E49/B49)+(((E49-B49*INT(E49/B49)))/C49)/100))))</f>
        <v>0</v>
      </c>
      <c r="AQ49" s="57">
        <f>IF(ISERROR(IF(B49=C49,F49/C49,IF((INT(F49/B49)+(((F49-B49*INT(F49/B49)))/C49)/100)&lt;0,(INT(F49/B49)+(((F49-B49*INT(F49/B49)))/C49)/100)+(1-(B49/C49/100)),(INT(F49/B49)+(((F49-B49*INT(F49/B49)))/C49)/100)))),0,IF(B49=C49,F49/C49,IF((INT(F49/B49)+(((F49-B49*INT(F49/B49)))/C49)/100)&lt;0,(INT(F49/B49)+(((F49-B49*INT(F49/B49)))/C49)/100)+(1-(B49/C49/100)),(INT(F49/B49)+(((F49-B49*INT(F49/B49)))/C49)/100))))</f>
        <v>0</v>
      </c>
      <c r="AR49" s="57">
        <f>IF(ISERROR(IF(B49=C49,G49/C49,(INT(G49/B49)+(((G49-B49*INT(G49/B49)))/C49)/100))),0,(IF(B49=C49,G49/C49,(INT(G49/B49)+(((G49-B49*INT(G49/B49)))/C49)/100))))</f>
        <v>0</v>
      </c>
      <c r="AS49" s="57">
        <f>IF(ISERROR(IF(B49=C49,H49/C49,(INT(H49/B49)+(((H49-B49*INT(H49/B49)))/C49)/100))),0,(IF(B49=C49,H49/C49,(INT(H49/B49)+(((H49-B49*INT(H49/B49)))/C49)/100))))</f>
        <v>0</v>
      </c>
      <c r="AT49" s="57">
        <f>IF(ISERROR(IF(B49=C49,I49/C49,(INT(I49/B49)+(((I49-B49*INT(I49/B49)))/C49)/100))),0,(IF(B49=C49,I49/C49,(INT(I49/B49)+(((I49-B49*INT(I49/B49)))/C49)/100))))</f>
        <v>0</v>
      </c>
      <c r="AU49" s="57">
        <f>IF(ISERROR(IF(B49=C49,J49/C49,(INT(J49/B49)+(((J49-B49*INT(J49/B49)))/C49)/100))),0,(IF(B49=C49,J49/C49,(INT(J49/B49)+(((J49-B49*INT(J49/B49)))/C49)/100))))</f>
        <v>0</v>
      </c>
      <c r="AV49" s="57">
        <f>IF(ISERROR(IF(B49=C49,K49/C49,IF((INT(K49/B49)+(((K49-B49*INT(K49/B49)))/C49)/100)&lt;0,(INT(K49/B49)+(((K49-B49*INT(K49/B49)))/C49)/100)+(1-(B49/C49/100)),(INT(K49/B49)+(((K49-B49*INT(K49/B49)))/C49)/100)))),0,IF(B49=C49,K49/C49,IF((INT(K49/B49)+(((K49-B49*INT(K49/B49)))/C49)/100)&lt;0,(INT(K49/B49)+(((K49-B49*INT(K49/B49)))/C49)/100)+(1-(B49/C49/100)),(INT(K49/B49)+(((K49-B49*INT(K49/B49)))/C49)/100))))</f>
        <v>0</v>
      </c>
      <c r="AW49" s="57">
        <f>IF(ISERROR(IF(B49=C49,L49/C49,(INT(L49/B49)+(((L49-B49*INT(L49/B49)))/C49)/100))),0,(IF(B49=C49,L49/C49,(INT(L49/B49)+(((L49-B49*INT(L49/B49)))/C49)/100))))</f>
        <v>0</v>
      </c>
      <c r="AX49" s="57">
        <f>IF(ISERROR(IF(B49=C49,M49/C49,(INT(M49/B49)+(((M49-B49*INT(M49/B49)))/C49)/100))),0,(IF(B49=C49,M49/C49,(INT(M49/B49)+(((M49-B49*INT(M49/B49)))/C49)/100))))</f>
        <v>0</v>
      </c>
      <c r="AY49" s="57">
        <f>IF(ISERROR(IF(B49=C49,N49/C49,IF((INT(N49/B49)+(((N49-B49*INT(N49/B49)))/C49)/100)&lt;0,(INT(N49/B49)+(((N49-B49*INT(N49/B49)))/C49)/100)+(1-(B49/C49/100)),(INT(N49/B49)+(((N49-B49*INT(N49/B49)))/C49)/100)))),0,IF(B49=C49,N49/C49,IF((INT(N49/B49)+(((N49-B49*INT(N49/B49)))/C49)/100)&lt;0,(INT(N49/B49)+(((N49-B49*INT(N49/B49)))/C49)/100)+(1-(B49/C49/100)),(INT(N49/B49)+(((N49-B49*INT(N49/B49)))/C49)/100))))</f>
        <v>0</v>
      </c>
      <c r="AZ49" s="57">
        <f>IF(ISERROR(IF(B49=C49,O49/C49,(INT(O49/B49)+(((O49-B49*INT(O49/B49)))/C49)/100))),0,(IF(B49=C49,O49/C49,(INT(O49/B49)+(((O49-B49*INT(O49/B49)))/C49)/100))))</f>
        <v>0</v>
      </c>
      <c r="BA49" s="57">
        <f>IF(ISERROR(IF(B49=C49,P49/C49,IF((INT(P49/B49)+(((P49-B49*INT(P49/B49)))/C49)/100)&lt;0,(INT(P49/B49)+(((P49-B49*INT(P49/B49)))/C49)/100)+(1-(B49/C49/100)),(INT(P49/B49)+(((P49-B49*INT(P49/B49)))/C49)/100)))),0,IF(B49=C49,P49/C49,IF((INT(P49/B49)+(((P49-B49*INT(P49/B49)))/C49)/100)&lt;0,(INT(P49/B49)+(((P49-B49*INT(P49/B49)))/C49)/100)+(1-(B49/C49/100)),(INT(P49/B49)+(((P49-B49*INT(P49/B49)))/C49)/100))))</f>
        <v>0</v>
      </c>
      <c r="BB49" s="28">
        <f>R49</f>
        <v>0</v>
      </c>
      <c r="BC49" s="28">
        <f>S49</f>
        <v>0</v>
      </c>
      <c r="BD49" s="28">
        <f>AF49</f>
        <v>0</v>
      </c>
      <c r="BE49" s="28">
        <f>T49</f>
        <v>0</v>
      </c>
      <c r="BG49" s="57">
        <f>IF(ISERROR(IF(B49=C49,V49/C49,(INT(V49/B49)+(((V49-B49*INT(V49/B49)))/C49)/100))),0,(IF(B49=C49,V49/C49,(INT(V49/B49)+(((V49-B49*INT(V49/B49)))/C49)/100))))</f>
        <v>0</v>
      </c>
      <c r="BH49" s="57">
        <f>IF(ISERROR(IF(B49=C49,W49/C49,(INT(W49/B49)+(((W49-B49*INT(W49/B49)))/C49)/100))),0,(IF(B49=C49,W49/C49,(INT(W49/B49)+(((W49-B49*INT(W49/B49)))/C49)/100))))</f>
        <v>0</v>
      </c>
      <c r="BI49" s="57">
        <f>IF(ISERROR(IF(B49=C49,X49/C49,(INT(X49/B49)+(((X49-B49*INT(X49/B49)))/C49)/100))),0,(IF(B49=C49,X49/C49,(INT(X49/B49)+(((X49-B49*INT(X49/B49)))/C49)/100))))</f>
        <v>0</v>
      </c>
      <c r="BJ49" s="57">
        <f>IF(ISERROR(IF(B49=C49,Y49/C49,(INT(Y49/B49)+(((Y49-B49*INT(Y49/B49)))/C49)/100))),0,(IF(B49=C49,Y49/C49,(INT(Y49/B49)+(((Y49-B49*INT(Y49/B49)))/C49)/100))))</f>
        <v>0</v>
      </c>
      <c r="BL49" s="57">
        <f>IF(ISERROR(IF(B49=C49,AA49/C49,(INT(AA49/B49)+(((AA49-B49*INT(AA49/B49)))/C49)/100))),0,(IF(B49=C49,AA49/C49,(INT(AA49/B49)+(((AA49-B49*INT(AA49/B49)))/C49)/100))))</f>
        <v>0</v>
      </c>
      <c r="BM49" s="57">
        <f>IF(ISERROR(IF(B49=C49,AB49/C49,(INT(AB49/B49)+(((AB49-B49*INT(AB49/B49)))/C49)/100))),0,(IF(B49=C49,AB49/C49,(INT(AB49/B49)+(((AB49-B49*INT(AB49/B49)))/C49)/100))))</f>
        <v>0</v>
      </c>
      <c r="BN49" s="57">
        <f>IF(ISERROR(IF(B49=C49,AC49/C49,(INT(AC49/B49)+(((AC49-B49*INT(AC49/B49)))/C49)/100))),0,(IF(B49=C49,AC49/C49,(INT(AC49/B49)+(((AC49-B49*INT(AC49/B49)))/C49)/100))))</f>
        <v>0</v>
      </c>
      <c r="BO49" s="57">
        <f>IF(ISERROR(IF(B49=C49,AD49/C49,(INT(AD49/B49)+(((AD49-B49*INT(AD49/B49)))/C49)/100))),0,(IF(B49=C49,AD49/C49,(INT(AD49/B49)+(((AD49-B49*INT(AD49/B49)))/C49)/100))))</f>
        <v>0</v>
      </c>
      <c r="BQ49" s="155"/>
    </row>
    <row r="50" spans="1:69" hidden="1" x14ac:dyDescent="0.35">
      <c r="A50" s="94"/>
      <c r="B50" s="113">
        <v>0</v>
      </c>
      <c r="C50" s="113">
        <v>0</v>
      </c>
      <c r="D50" s="28">
        <f>SUM(AA50:AD50)</f>
        <v>0</v>
      </c>
      <c r="E50" s="113">
        <v>0</v>
      </c>
      <c r="F50" s="113">
        <v>0</v>
      </c>
      <c r="G50" s="28">
        <f>SUM(D50:F50)</f>
        <v>0</v>
      </c>
      <c r="H50" s="125">
        <v>0</v>
      </c>
      <c r="I50" s="113">
        <v>0</v>
      </c>
      <c r="J50" s="125">
        <v>0</v>
      </c>
      <c r="K50" s="113">
        <v>0</v>
      </c>
      <c r="L50" s="113">
        <v>0</v>
      </c>
      <c r="M50" s="113">
        <v>0</v>
      </c>
      <c r="N50" s="28">
        <f>G50-SUM(H50:M50)</f>
        <v>0</v>
      </c>
      <c r="O50" s="28">
        <f>SUM(V50:Y50)</f>
        <v>0</v>
      </c>
      <c r="P50" s="28">
        <f>O50-N50</f>
        <v>0</v>
      </c>
      <c r="Q50" s="61" t="str">
        <f>IF(ISERROR(P50/SUM(H50:L50)),"",P50/SUM(H50:L50))</f>
        <v/>
      </c>
      <c r="R50" s="113">
        <v>0</v>
      </c>
      <c r="S50" s="28">
        <f>IF(ISERROR(P50/C50*R50),0,(P50/C50*R50))</f>
        <v>0</v>
      </c>
      <c r="T50" s="60">
        <f>IF(ISERROR(P50/B50*AF50),0,(P50/B50*AF50))</f>
        <v>0</v>
      </c>
      <c r="V50" s="113">
        <v>0</v>
      </c>
      <c r="W50" s="113">
        <v>0</v>
      </c>
      <c r="X50" s="113">
        <v>0</v>
      </c>
      <c r="Y50" s="113">
        <v>0</v>
      </c>
      <c r="AA50" s="113">
        <v>0</v>
      </c>
      <c r="AB50" s="113">
        <v>0</v>
      </c>
      <c r="AC50" s="113">
        <v>0</v>
      </c>
      <c r="AD50" s="113">
        <v>0</v>
      </c>
      <c r="AF50" s="113">
        <v>0</v>
      </c>
      <c r="AG50" s="28">
        <f>G50-O50</f>
        <v>0</v>
      </c>
      <c r="AH50" s="58">
        <f>IF(ISERROR(AG50/B50*AF50),0,(AG50/B50*AF50))</f>
        <v>0</v>
      </c>
      <c r="AI50" s="28">
        <f>SUM(H50:M50)</f>
        <v>0</v>
      </c>
      <c r="AJ50" s="28">
        <f>IF(ISERROR(AI50/B50*AF50),0,(AI50/B50*AF50))</f>
        <v>0</v>
      </c>
      <c r="AK50" s="58">
        <f>IF(ISERROR(O50/B50*AF50),0,(O50/B50*AF50))</f>
        <v>0</v>
      </c>
      <c r="AL50" s="28">
        <f>IF(ISERROR(H50/B50*AF50),0,(H50/B50*AF50))</f>
        <v>0</v>
      </c>
      <c r="AN50" s="51">
        <f>A50</f>
        <v>0</v>
      </c>
      <c r="AO50" s="57">
        <f>IF(ISERROR(IF(B50=C50,D50/C50,(INT(D50/B50)+(((D50-B50*INT(D50/B50)))/C50)/100))),0,(IF(B50=C50,D50/C50,(INT(D50/B50)+(((D50-B50*INT(D50/B50)))/C50)/100))))</f>
        <v>0</v>
      </c>
      <c r="AP50" s="57">
        <f>IF(ISERROR(IF(B50=C50,E50/C50,(INT(E50/B50)+(((E50-B50*INT(E50/B50)))/C50)/100))),0,(IF(B50=C50,E50/C50,(INT(E50/B50)+(((E50-B50*INT(E50/B50)))/C50)/100))))</f>
        <v>0</v>
      </c>
      <c r="AQ50" s="57">
        <f>IF(ISERROR(IF(B50=C50,F50/C50,IF((INT(F50/B50)+(((F50-B50*INT(F50/B50)))/C50)/100)&lt;0,(INT(F50/B50)+(((F50-B50*INT(F50/B50)))/C50)/100)+(1-(B50/C50/100)),(INT(F50/B50)+(((F50-B50*INT(F50/B50)))/C50)/100)))),0,IF(B50=C50,F50/C50,IF((INT(F50/B50)+(((F50-B50*INT(F50/B50)))/C50)/100)&lt;0,(INT(F50/B50)+(((F50-B50*INT(F50/B50)))/C50)/100)+(1-(B50/C50/100)),(INT(F50/B50)+(((F50-B50*INT(F50/B50)))/C50)/100))))</f>
        <v>0</v>
      </c>
      <c r="AR50" s="57">
        <f>IF(ISERROR(IF(B50=C50,G50/C50,(INT(G50/B50)+(((G50-B50*INT(G50/B50)))/C50)/100))),0,(IF(B50=C50,G50/C50,(INT(G50/B50)+(((G50-B50*INT(G50/B50)))/C50)/100))))</f>
        <v>0</v>
      </c>
      <c r="AS50" s="57">
        <f>IF(ISERROR(IF(B50=C50,H50/C50,(INT(H50/B50)+(((H50-B50*INT(H50/B50)))/C50)/100))),0,(IF(B50=C50,H50/C50,(INT(H50/B50)+(((H50-B50*INT(H50/B50)))/C50)/100))))</f>
        <v>0</v>
      </c>
      <c r="AT50" s="57">
        <f>IF(ISERROR(IF(B50=C50,I50/C50,(INT(I50/B50)+(((I50-B50*INT(I50/B50)))/C50)/100))),0,(IF(B50=C50,I50/C50,(INT(I50/B50)+(((I50-B50*INT(I50/B50)))/C50)/100))))</f>
        <v>0</v>
      </c>
      <c r="AU50" s="57">
        <f>IF(ISERROR(IF(B50=C50,J50/C50,(INT(J50/B50)+(((J50-B50*INT(J50/B50)))/C50)/100))),0,(IF(B50=C50,J50/C50,(INT(J50/B50)+(((J50-B50*INT(J50/B50)))/C50)/100))))</f>
        <v>0</v>
      </c>
      <c r="AV50" s="57">
        <f>IF(ISERROR(IF(B50=C50,K50/C50,IF((INT(K50/B50)+(((K50-B50*INT(K50/B50)))/C50)/100)&lt;0,(INT(K50/B50)+(((K50-B50*INT(K50/B50)))/C50)/100)+(1-(B50/C50/100)),(INT(K50/B50)+(((K50-B50*INT(K50/B50)))/C50)/100)))),0,IF(B50=C50,K50/C50,IF((INT(K50/B50)+(((K50-B50*INT(K50/B50)))/C50)/100)&lt;0,(INT(K50/B50)+(((K50-B50*INT(K50/B50)))/C50)/100)+(1-(B50/C50/100)),(INT(K50/B50)+(((K50-B50*INT(K50/B50)))/C50)/100))))</f>
        <v>0</v>
      </c>
      <c r="AW50" s="57">
        <f>IF(ISERROR(IF(B50=C50,L50/C50,(INT(L50/B50)+(((L50-B50*INT(L50/B50)))/C50)/100))),0,(IF(B50=C50,L50/C50,(INT(L50/B50)+(((L50-B50*INT(L50/B50)))/C50)/100))))</f>
        <v>0</v>
      </c>
      <c r="AX50" s="57">
        <f>IF(ISERROR(IF(B50=C50,M50/C50,(INT(M50/B50)+(((M50-B50*INT(M50/B50)))/C50)/100))),0,(IF(B50=C50,M50/C50,(INT(M50/B50)+(((M50-B50*INT(M50/B50)))/C50)/100))))</f>
        <v>0</v>
      </c>
      <c r="AY50" s="57">
        <f>IF(ISERROR(IF(B50=C50,N50/C50,IF((INT(N50/B50)+(((N50-B50*INT(N50/B50)))/C50)/100)&lt;0,(INT(N50/B50)+(((N50-B50*INT(N50/B50)))/C50)/100)+(1-(B50/C50/100)),(INT(N50/B50)+(((N50-B50*INT(N50/B50)))/C50)/100)))),0,IF(B50=C50,N50/C50,IF((INT(N50/B50)+(((N50-B50*INT(N50/B50)))/C50)/100)&lt;0,(INT(N50/B50)+(((N50-B50*INT(N50/B50)))/C50)/100)+(1-(B50/C50/100)),(INT(N50/B50)+(((N50-B50*INT(N50/B50)))/C50)/100))))</f>
        <v>0</v>
      </c>
      <c r="AZ50" s="57">
        <f>IF(ISERROR(IF(B50=C50,O50/C50,(INT(O50/B50)+(((O50-B50*INT(O50/B50)))/C50)/100))),0,(IF(B50=C50,O50/C50,(INT(O50/B50)+(((O50-B50*INT(O50/B50)))/C50)/100))))</f>
        <v>0</v>
      </c>
      <c r="BA50" s="57">
        <f>IF(ISERROR(IF(B50=C50,P50/C50,IF((INT(P50/B50)+(((P50-B50*INT(P50/B50)))/C50)/100)&lt;0,(INT(P50/B50)+(((P50-B50*INT(P50/B50)))/C50)/100)+(1-(B50/C50/100)),(INT(P50/B50)+(((P50-B50*INT(P50/B50)))/C50)/100)))),0,IF(B50=C50,P50/C50,IF((INT(P50/B50)+(((P50-B50*INT(P50/B50)))/C50)/100)&lt;0,(INT(P50/B50)+(((P50-B50*INT(P50/B50)))/C50)/100)+(1-(B50/C50/100)),(INT(P50/B50)+(((P50-B50*INT(P50/B50)))/C50)/100))))</f>
        <v>0</v>
      </c>
      <c r="BB50" s="28">
        <f>R50</f>
        <v>0</v>
      </c>
      <c r="BC50" s="28">
        <f>S50</f>
        <v>0</v>
      </c>
      <c r="BD50" s="28">
        <f>AF50</f>
        <v>0</v>
      </c>
      <c r="BE50" s="28">
        <f>T50</f>
        <v>0</v>
      </c>
      <c r="BG50" s="57">
        <f>IF(ISERROR(IF(B50=C50,V50/C50,(INT(V50/B50)+(((V50-B50*INT(V50/B50)))/C50)/100))),0,(IF(B50=C50,V50/C50,(INT(V50/B50)+(((V50-B50*INT(V50/B50)))/C50)/100))))</f>
        <v>0</v>
      </c>
      <c r="BH50" s="57">
        <f>IF(ISERROR(IF(B50=C50,W50/C50,(INT(W50/B50)+(((W50-B50*INT(W50/B50)))/C50)/100))),0,(IF(B50=C50,W50/C50,(INT(W50/B50)+(((W50-B50*INT(W50/B50)))/C50)/100))))</f>
        <v>0</v>
      </c>
      <c r="BI50" s="57">
        <f>IF(ISERROR(IF(B50=C50,X50/C50,(INT(X50/B50)+(((X50-B50*INT(X50/B50)))/C50)/100))),0,(IF(B50=C50,X50/C50,(INT(X50/B50)+(((X50-B50*INT(X50/B50)))/C50)/100))))</f>
        <v>0</v>
      </c>
      <c r="BJ50" s="57">
        <f>IF(ISERROR(IF(B50=C50,Y50/C50,(INT(Y50/B50)+(((Y50-B50*INT(Y50/B50)))/C50)/100))),0,(IF(B50=C50,Y50/C50,(INT(Y50/B50)+(((Y50-B50*INT(Y50/B50)))/C50)/100))))</f>
        <v>0</v>
      </c>
      <c r="BL50" s="57">
        <f>IF(ISERROR(IF(B50=C50,AA50/C50,(INT(AA50/B50)+(((AA50-B50*INT(AA50/B50)))/C50)/100))),0,(IF(B50=C50,AA50/C50,(INT(AA50/B50)+(((AA50-B50*INT(AA50/B50)))/C50)/100))))</f>
        <v>0</v>
      </c>
      <c r="BM50" s="57">
        <f>IF(ISERROR(IF(B50=C50,AB50/C50,(INT(AB50/B50)+(((AB50-B50*INT(AB50/B50)))/C50)/100))),0,(IF(B50=C50,AB50/C50,(INT(AB50/B50)+(((AB50-B50*INT(AB50/B50)))/C50)/100))))</f>
        <v>0</v>
      </c>
      <c r="BN50" s="57">
        <f>IF(ISERROR(IF(B50=C50,AC50/C50,(INT(AC50/B50)+(((AC50-B50*INT(AC50/B50)))/C50)/100))),0,(IF(B50=C50,AC50/C50,(INT(AC50/B50)+(((AC50-B50*INT(AC50/B50)))/C50)/100))))</f>
        <v>0</v>
      </c>
      <c r="BO50" s="57">
        <f>IF(ISERROR(IF(B50=C50,AD50/C50,(INT(AD50/B50)+(((AD50-B50*INT(AD50/B50)))/C50)/100))),0,(IF(B50=C50,AD50/C50,(INT(AD50/B50)+(((AD50-B50*INT(AD50/B50)))/C50)/100))))</f>
        <v>0</v>
      </c>
      <c r="BQ50" s="155"/>
    </row>
    <row r="51" spans="1:69" hidden="1" x14ac:dyDescent="0.35">
      <c r="A51" s="94"/>
      <c r="B51" s="113">
        <v>0</v>
      </c>
      <c r="C51" s="113">
        <v>0</v>
      </c>
      <c r="D51" s="28">
        <f>SUM(AA51:AD51)</f>
        <v>0</v>
      </c>
      <c r="E51" s="113">
        <v>0</v>
      </c>
      <c r="F51" s="113">
        <v>0</v>
      </c>
      <c r="G51" s="28">
        <f>SUM(D51:F51)</f>
        <v>0</v>
      </c>
      <c r="H51" s="125">
        <v>0</v>
      </c>
      <c r="I51" s="113">
        <v>0</v>
      </c>
      <c r="J51" s="125">
        <v>0</v>
      </c>
      <c r="K51" s="113">
        <v>0</v>
      </c>
      <c r="L51" s="113">
        <v>0</v>
      </c>
      <c r="M51" s="113">
        <v>0</v>
      </c>
      <c r="N51" s="28">
        <f>G51-SUM(H51:M51)</f>
        <v>0</v>
      </c>
      <c r="O51" s="28">
        <f>SUM(V51:Y51)</f>
        <v>0</v>
      </c>
      <c r="P51" s="28">
        <f>O51-N51</f>
        <v>0</v>
      </c>
      <c r="Q51" s="61" t="str">
        <f>IF(ISERROR(P51/SUM(H51:L51)),"",P51/SUM(H51:L51))</f>
        <v/>
      </c>
      <c r="R51" s="113">
        <v>0</v>
      </c>
      <c r="S51" s="28">
        <f>IF(ISERROR(P51/C51*R51),0,(P51/C51*R51))</f>
        <v>0</v>
      </c>
      <c r="T51" s="60">
        <f>IF(ISERROR(P51/B51*AF51),0,(P51/B51*AF51))</f>
        <v>0</v>
      </c>
      <c r="V51" s="113">
        <v>0</v>
      </c>
      <c r="W51" s="113">
        <v>0</v>
      </c>
      <c r="X51" s="113">
        <v>0</v>
      </c>
      <c r="Y51" s="113">
        <v>0</v>
      </c>
      <c r="AA51" s="113">
        <v>0</v>
      </c>
      <c r="AB51" s="113">
        <v>0</v>
      </c>
      <c r="AC51" s="113">
        <v>0</v>
      </c>
      <c r="AD51" s="113">
        <v>0</v>
      </c>
      <c r="AF51" s="113">
        <v>0</v>
      </c>
      <c r="AG51" s="28">
        <f>G51-O51</f>
        <v>0</v>
      </c>
      <c r="AH51" s="58">
        <f>IF(ISERROR(AG51/B51*AF51),0,(AG51/B51*AF51))</f>
        <v>0</v>
      </c>
      <c r="AI51" s="28">
        <f>SUM(H51:M51)</f>
        <v>0</v>
      </c>
      <c r="AJ51" s="28">
        <f>IF(ISERROR(AI51/B51*AF51),0,(AI51/B51*AF51))</f>
        <v>0</v>
      </c>
      <c r="AK51" s="58">
        <f>IF(ISERROR(O51/B51*AF51),0,(O51/B51*AF51))</f>
        <v>0</v>
      </c>
      <c r="AL51" s="28">
        <f>IF(ISERROR(H51/B51*AF51),0,(H51/B51*AF51))</f>
        <v>0</v>
      </c>
      <c r="AN51" s="51">
        <f>A51</f>
        <v>0</v>
      </c>
      <c r="AO51" s="57">
        <f>IF(ISERROR(IF(B51=C51,D51/C51,(INT(D51/B51)+(((D51-B51*INT(D51/B51)))/C51)/100))),0,(IF(B51=C51,D51/C51,(INT(D51/B51)+(((D51-B51*INT(D51/B51)))/C51)/100))))</f>
        <v>0</v>
      </c>
      <c r="AP51" s="57">
        <f>IF(ISERROR(IF(B51=C51,E51/C51,(INT(E51/B51)+(((E51-B51*INT(E51/B51)))/C51)/100))),0,(IF(B51=C51,E51/C51,(INT(E51/B51)+(((E51-B51*INT(E51/B51)))/C51)/100))))</f>
        <v>0</v>
      </c>
      <c r="AQ51" s="57">
        <f>IF(ISERROR(IF(B51=C51,F51/C51,IF((INT(F51/B51)+(((F51-B51*INT(F51/B51)))/C51)/100)&lt;0,(INT(F51/B51)+(((F51-B51*INT(F51/B51)))/C51)/100)+(1-(B51/C51/100)),(INT(F51/B51)+(((F51-B51*INT(F51/B51)))/C51)/100)))),0,IF(B51=C51,F51/C51,IF((INT(F51/B51)+(((F51-B51*INT(F51/B51)))/C51)/100)&lt;0,(INT(F51/B51)+(((F51-B51*INT(F51/B51)))/C51)/100)+(1-(B51/C51/100)),(INT(F51/B51)+(((F51-B51*INT(F51/B51)))/C51)/100))))</f>
        <v>0</v>
      </c>
      <c r="AR51" s="57">
        <f>IF(ISERROR(IF(B51=C51,G51/C51,(INT(G51/B51)+(((G51-B51*INT(G51/B51)))/C51)/100))),0,(IF(B51=C51,G51/C51,(INT(G51/B51)+(((G51-B51*INT(G51/B51)))/C51)/100))))</f>
        <v>0</v>
      </c>
      <c r="AS51" s="57">
        <f>IF(ISERROR(IF(B51=C51,H51/C51,(INT(H51/B51)+(((H51-B51*INT(H51/B51)))/C51)/100))),0,(IF(B51=C51,H51/C51,(INT(H51/B51)+(((H51-B51*INT(H51/B51)))/C51)/100))))</f>
        <v>0</v>
      </c>
      <c r="AT51" s="57">
        <f>IF(ISERROR(IF(B51=C51,I51/C51,(INT(I51/B51)+(((I51-B51*INT(I51/B51)))/C51)/100))),0,(IF(B51=C51,I51/C51,(INT(I51/B51)+(((I51-B51*INT(I51/B51)))/C51)/100))))</f>
        <v>0</v>
      </c>
      <c r="AU51" s="57">
        <f>IF(ISERROR(IF(B51=C51,J51/C51,(INT(J51/B51)+(((J51-B51*INT(J51/B51)))/C51)/100))),0,(IF(B51=C51,J51/C51,(INT(J51/B51)+(((J51-B51*INT(J51/B51)))/C51)/100))))</f>
        <v>0</v>
      </c>
      <c r="AV51" s="57">
        <f>IF(ISERROR(IF(B51=C51,K51/C51,IF((INT(K51/B51)+(((K51-B51*INT(K51/B51)))/C51)/100)&lt;0,(INT(K51/B51)+(((K51-B51*INT(K51/B51)))/C51)/100)+(1-(B51/C51/100)),(INT(K51/B51)+(((K51-B51*INT(K51/B51)))/C51)/100)))),0,IF(B51=C51,K51/C51,IF((INT(K51/B51)+(((K51-B51*INT(K51/B51)))/C51)/100)&lt;0,(INT(K51/B51)+(((K51-B51*INT(K51/B51)))/C51)/100)+(1-(B51/C51/100)),(INT(K51/B51)+(((K51-B51*INT(K51/B51)))/C51)/100))))</f>
        <v>0</v>
      </c>
      <c r="AW51" s="57">
        <f>IF(ISERROR(IF(B51=C51,L51/C51,(INT(L51/B51)+(((L51-B51*INT(L51/B51)))/C51)/100))),0,(IF(B51=C51,L51/C51,(INT(L51/B51)+(((L51-B51*INT(L51/B51)))/C51)/100))))</f>
        <v>0</v>
      </c>
      <c r="AX51" s="57">
        <f>IF(ISERROR(IF(B51=C51,M51/C51,(INT(M51/B51)+(((M51-B51*INT(M51/B51)))/C51)/100))),0,(IF(B51=C51,M51/C51,(INT(M51/B51)+(((M51-B51*INT(M51/B51)))/C51)/100))))</f>
        <v>0</v>
      </c>
      <c r="AY51" s="57">
        <f>IF(ISERROR(IF(B51=C51,N51/C51,IF((INT(N51/B51)+(((N51-B51*INT(N51/B51)))/C51)/100)&lt;0,(INT(N51/B51)+(((N51-B51*INT(N51/B51)))/C51)/100)+(1-(B51/C51/100)),(INT(N51/B51)+(((N51-B51*INT(N51/B51)))/C51)/100)))),0,IF(B51=C51,N51/C51,IF((INT(N51/B51)+(((N51-B51*INT(N51/B51)))/C51)/100)&lt;0,(INT(N51/B51)+(((N51-B51*INT(N51/B51)))/C51)/100)+(1-(B51/C51/100)),(INT(N51/B51)+(((N51-B51*INT(N51/B51)))/C51)/100))))</f>
        <v>0</v>
      </c>
      <c r="AZ51" s="57">
        <f>IF(ISERROR(IF(B51=C51,O51/C51,(INT(O51/B51)+(((O51-B51*INT(O51/B51)))/C51)/100))),0,(IF(B51=C51,O51/C51,(INT(O51/B51)+(((O51-B51*INT(O51/B51)))/C51)/100))))</f>
        <v>0</v>
      </c>
      <c r="BA51" s="57">
        <f>IF(ISERROR(IF(B51=C51,P51/C51,IF((INT(P51/B51)+(((P51-B51*INT(P51/B51)))/C51)/100)&lt;0,(INT(P51/B51)+(((P51-B51*INT(P51/B51)))/C51)/100)+(1-(B51/C51/100)),(INT(P51/B51)+(((P51-B51*INT(P51/B51)))/C51)/100)))),0,IF(B51=C51,P51/C51,IF((INT(P51/B51)+(((P51-B51*INT(P51/B51)))/C51)/100)&lt;0,(INT(P51/B51)+(((P51-B51*INT(P51/B51)))/C51)/100)+(1-(B51/C51/100)),(INT(P51/B51)+(((P51-B51*INT(P51/B51)))/C51)/100))))</f>
        <v>0</v>
      </c>
      <c r="BB51" s="28">
        <f>R51</f>
        <v>0</v>
      </c>
      <c r="BC51" s="28">
        <f>S51</f>
        <v>0</v>
      </c>
      <c r="BD51" s="28">
        <f>AF51</f>
        <v>0</v>
      </c>
      <c r="BE51" s="28">
        <f>T51</f>
        <v>0</v>
      </c>
      <c r="BG51" s="57">
        <f>IF(ISERROR(IF(B51=C51,V51/C51,(INT(V51/B51)+(((V51-B51*INT(V51/B51)))/C51)/100))),0,(IF(B51=C51,V51/C51,(INT(V51/B51)+(((V51-B51*INT(V51/B51)))/C51)/100))))</f>
        <v>0</v>
      </c>
      <c r="BH51" s="57">
        <f>IF(ISERROR(IF(B51=C51,W51/C51,(INT(W51/B51)+(((W51-B51*INT(W51/B51)))/C51)/100))),0,(IF(B51=C51,W51/C51,(INT(W51/B51)+(((W51-B51*INT(W51/B51)))/C51)/100))))</f>
        <v>0</v>
      </c>
      <c r="BI51" s="57">
        <f>IF(ISERROR(IF(B51=C51,X51/C51,(INT(X51/B51)+(((X51-B51*INT(X51/B51)))/C51)/100))),0,(IF(B51=C51,X51/C51,(INT(X51/B51)+(((X51-B51*INT(X51/B51)))/C51)/100))))</f>
        <v>0</v>
      </c>
      <c r="BJ51" s="57">
        <f>IF(ISERROR(IF(B51=C51,Y51/C51,(INT(Y51/B51)+(((Y51-B51*INT(Y51/B51)))/C51)/100))),0,(IF(B51=C51,Y51/C51,(INT(Y51/B51)+(((Y51-B51*INT(Y51/B51)))/C51)/100))))</f>
        <v>0</v>
      </c>
      <c r="BL51" s="57">
        <f>IF(ISERROR(IF(B51=C51,AA51/C51,(INT(AA51/B51)+(((AA51-B51*INT(AA51/B51)))/C51)/100))),0,(IF(B51=C51,AA51/C51,(INT(AA51/B51)+(((AA51-B51*INT(AA51/B51)))/C51)/100))))</f>
        <v>0</v>
      </c>
      <c r="BM51" s="57">
        <f>IF(ISERROR(IF(B51=C51,AB51/C51,(INT(AB51/B51)+(((AB51-B51*INT(AB51/B51)))/C51)/100))),0,(IF(B51=C51,AB51/C51,(INT(AB51/B51)+(((AB51-B51*INT(AB51/B51)))/C51)/100))))</f>
        <v>0</v>
      </c>
      <c r="BN51" s="57">
        <f>IF(ISERROR(IF(B51=C51,AC51/C51,(INT(AC51/B51)+(((AC51-B51*INT(AC51/B51)))/C51)/100))),0,(IF(B51=C51,AC51/C51,(INT(AC51/B51)+(((AC51-B51*INT(AC51/B51)))/C51)/100))))</f>
        <v>0</v>
      </c>
      <c r="BO51" s="57">
        <f>IF(ISERROR(IF(B51=C51,AD51/C51,(INT(AD51/B51)+(((AD51-B51*INT(AD51/B51)))/C51)/100))),0,(IF(B51=C51,AD51/C51,(INT(AD51/B51)+(((AD51-B51*INT(AD51/B51)))/C51)/100))))</f>
        <v>0</v>
      </c>
      <c r="BQ51" s="155"/>
    </row>
    <row r="52" spans="1:69" hidden="1" x14ac:dyDescent="0.35">
      <c r="A52" s="94"/>
      <c r="B52" s="113">
        <v>0</v>
      </c>
      <c r="C52" s="113">
        <v>0</v>
      </c>
      <c r="D52" s="28">
        <f>SUM(AA52:AD52)</f>
        <v>0</v>
      </c>
      <c r="E52" s="113">
        <v>0</v>
      </c>
      <c r="F52" s="113">
        <v>0</v>
      </c>
      <c r="G52" s="28">
        <f>SUM(D52:F52)</f>
        <v>0</v>
      </c>
      <c r="H52" s="125">
        <v>0</v>
      </c>
      <c r="I52" s="113">
        <v>0</v>
      </c>
      <c r="J52" s="125">
        <v>0</v>
      </c>
      <c r="K52" s="113">
        <v>0</v>
      </c>
      <c r="L52" s="113">
        <v>0</v>
      </c>
      <c r="M52" s="113">
        <v>0</v>
      </c>
      <c r="N52" s="28">
        <f>G52-SUM(H52:M52)</f>
        <v>0</v>
      </c>
      <c r="O52" s="28">
        <f>SUM(V52:Y52)</f>
        <v>0</v>
      </c>
      <c r="P52" s="28">
        <f>O52-N52</f>
        <v>0</v>
      </c>
      <c r="Q52" s="61" t="str">
        <f>IF(ISERROR(P52/SUM(H52:L52)),"",P52/SUM(H52:L52))</f>
        <v/>
      </c>
      <c r="R52" s="113">
        <v>0</v>
      </c>
      <c r="S52" s="28">
        <f>IF(ISERROR(P52/C52*R52),0,(P52/C52*R52))</f>
        <v>0</v>
      </c>
      <c r="T52" s="60">
        <f>IF(ISERROR(P52/B52*AF52),0,(P52/B52*AF52))</f>
        <v>0</v>
      </c>
      <c r="V52" s="113">
        <v>0</v>
      </c>
      <c r="W52" s="113">
        <v>0</v>
      </c>
      <c r="X52" s="113">
        <v>0</v>
      </c>
      <c r="Y52" s="113">
        <v>0</v>
      </c>
      <c r="AA52" s="113">
        <v>0</v>
      </c>
      <c r="AB52" s="113">
        <v>0</v>
      </c>
      <c r="AC52" s="113">
        <v>0</v>
      </c>
      <c r="AD52" s="113">
        <v>0</v>
      </c>
      <c r="AF52" s="113">
        <v>0</v>
      </c>
      <c r="AG52" s="28">
        <f>G52-O52</f>
        <v>0</v>
      </c>
      <c r="AH52" s="58">
        <f>IF(ISERROR(AG52/B52*AF52),0,(AG52/B52*AF52))</f>
        <v>0</v>
      </c>
      <c r="AI52" s="28">
        <f>SUM(H52:M52)</f>
        <v>0</v>
      </c>
      <c r="AJ52" s="28">
        <f>IF(ISERROR(AI52/B52*AF52),0,(AI52/B52*AF52))</f>
        <v>0</v>
      </c>
      <c r="AK52" s="58">
        <f>IF(ISERROR(O52/B52*AF52),0,(O52/B52*AF52))</f>
        <v>0</v>
      </c>
      <c r="AL52" s="28">
        <f>IF(ISERROR(H52/B52*AF52),0,(H52/B52*AF52))</f>
        <v>0</v>
      </c>
      <c r="AN52" s="51">
        <f>A52</f>
        <v>0</v>
      </c>
      <c r="AO52" s="57">
        <f>IF(ISERROR(IF(B52=C52,D52/C52,(INT(D52/B52)+(((D52-B52*INT(D52/B52)))/C52)/100))),0,(IF(B52=C52,D52/C52,(INT(D52/B52)+(((D52-B52*INT(D52/B52)))/C52)/100))))</f>
        <v>0</v>
      </c>
      <c r="AP52" s="57">
        <f>IF(ISERROR(IF(B52=C52,E52/C52,(INT(E52/B52)+(((E52-B52*INT(E52/B52)))/C52)/100))),0,(IF(B52=C52,E52/C52,(INT(E52/B52)+(((E52-B52*INT(E52/B52)))/C52)/100))))</f>
        <v>0</v>
      </c>
      <c r="AQ52" s="57">
        <f>IF(ISERROR(IF(B52=C52,F52/C52,IF((INT(F52/B52)+(((F52-B52*INT(F52/B52)))/C52)/100)&lt;0,(INT(F52/B52)+(((F52-B52*INT(F52/B52)))/C52)/100)+(1-(B52/C52/100)),(INT(F52/B52)+(((F52-B52*INT(F52/B52)))/C52)/100)))),0,IF(B52=C52,F52/C52,IF((INT(F52/B52)+(((F52-B52*INT(F52/B52)))/C52)/100)&lt;0,(INT(F52/B52)+(((F52-B52*INT(F52/B52)))/C52)/100)+(1-(B52/C52/100)),(INT(F52/B52)+(((F52-B52*INT(F52/B52)))/C52)/100))))</f>
        <v>0</v>
      </c>
      <c r="AR52" s="57">
        <f>IF(ISERROR(IF(B52=C52,G52/C52,(INT(G52/B52)+(((G52-B52*INT(G52/B52)))/C52)/100))),0,(IF(B52=C52,G52/C52,(INT(G52/B52)+(((G52-B52*INT(G52/B52)))/C52)/100))))</f>
        <v>0</v>
      </c>
      <c r="AS52" s="57">
        <f>IF(ISERROR(IF(B52=C52,H52/C52,(INT(H52/B52)+(((H52-B52*INT(H52/B52)))/C52)/100))),0,(IF(B52=C52,H52/C52,(INT(H52/B52)+(((H52-B52*INT(H52/B52)))/C52)/100))))</f>
        <v>0</v>
      </c>
      <c r="AT52" s="57">
        <f>IF(ISERROR(IF(B52=C52,I52/C52,(INT(I52/B52)+(((I52-B52*INT(I52/B52)))/C52)/100))),0,(IF(B52=C52,I52/C52,(INT(I52/B52)+(((I52-B52*INT(I52/B52)))/C52)/100))))</f>
        <v>0</v>
      </c>
      <c r="AU52" s="57">
        <f>IF(ISERROR(IF(B52=C52,J52/C52,(INT(J52/B52)+(((J52-B52*INT(J52/B52)))/C52)/100))),0,(IF(B52=C52,J52/C52,(INT(J52/B52)+(((J52-B52*INT(J52/B52)))/C52)/100))))</f>
        <v>0</v>
      </c>
      <c r="AV52" s="57">
        <f>IF(ISERROR(IF(B52=C52,K52/C52,IF((INT(K52/B52)+(((K52-B52*INT(K52/B52)))/C52)/100)&lt;0,(INT(K52/B52)+(((K52-B52*INT(K52/B52)))/C52)/100)+(1-(B52/C52/100)),(INT(K52/B52)+(((K52-B52*INT(K52/B52)))/C52)/100)))),0,IF(B52=C52,K52/C52,IF((INT(K52/B52)+(((K52-B52*INT(K52/B52)))/C52)/100)&lt;0,(INT(K52/B52)+(((K52-B52*INT(K52/B52)))/C52)/100)+(1-(B52/C52/100)),(INT(K52/B52)+(((K52-B52*INT(K52/B52)))/C52)/100))))</f>
        <v>0</v>
      </c>
      <c r="AW52" s="57">
        <f>IF(ISERROR(IF(B52=C52,L52/C52,(INT(L52/B52)+(((L52-B52*INT(L52/B52)))/C52)/100))),0,(IF(B52=C52,L52/C52,(INT(L52/B52)+(((L52-B52*INT(L52/B52)))/C52)/100))))</f>
        <v>0</v>
      </c>
      <c r="AX52" s="57">
        <f>IF(ISERROR(IF(B52=C52,M52/C52,(INT(M52/B52)+(((M52-B52*INT(M52/B52)))/C52)/100))),0,(IF(B52=C52,M52/C52,(INT(M52/B52)+(((M52-B52*INT(M52/B52)))/C52)/100))))</f>
        <v>0</v>
      </c>
      <c r="AY52" s="57">
        <f>IF(ISERROR(IF(B52=C52,N52/C52,IF((INT(N52/B52)+(((N52-B52*INT(N52/B52)))/C52)/100)&lt;0,(INT(N52/B52)+(((N52-B52*INT(N52/B52)))/C52)/100)+(1-(B52/C52/100)),(INT(N52/B52)+(((N52-B52*INT(N52/B52)))/C52)/100)))),0,IF(B52=C52,N52/C52,IF((INT(N52/B52)+(((N52-B52*INT(N52/B52)))/C52)/100)&lt;0,(INT(N52/B52)+(((N52-B52*INT(N52/B52)))/C52)/100)+(1-(B52/C52/100)),(INT(N52/B52)+(((N52-B52*INT(N52/B52)))/C52)/100))))</f>
        <v>0</v>
      </c>
      <c r="AZ52" s="57">
        <f>IF(ISERROR(IF(B52=C52,O52/C52,(INT(O52/B52)+(((O52-B52*INT(O52/B52)))/C52)/100))),0,(IF(B52=C52,O52/C52,(INT(O52/B52)+(((O52-B52*INT(O52/B52)))/C52)/100))))</f>
        <v>0</v>
      </c>
      <c r="BA52" s="57">
        <f>IF(ISERROR(IF(B52=C52,P52/C52,IF((INT(P52/B52)+(((P52-B52*INT(P52/B52)))/C52)/100)&lt;0,(INT(P52/B52)+(((P52-B52*INT(P52/B52)))/C52)/100)+(1-(B52/C52/100)),(INT(P52/B52)+(((P52-B52*INT(P52/B52)))/C52)/100)))),0,IF(B52=C52,P52/C52,IF((INT(P52/B52)+(((P52-B52*INT(P52/B52)))/C52)/100)&lt;0,(INT(P52/B52)+(((P52-B52*INT(P52/B52)))/C52)/100)+(1-(B52/C52/100)),(INT(P52/B52)+(((P52-B52*INT(P52/B52)))/C52)/100))))</f>
        <v>0</v>
      </c>
      <c r="BB52" s="28">
        <f>R52</f>
        <v>0</v>
      </c>
      <c r="BC52" s="28">
        <f>S52</f>
        <v>0</v>
      </c>
      <c r="BD52" s="28">
        <f>AF52</f>
        <v>0</v>
      </c>
      <c r="BE52" s="28">
        <f>T52</f>
        <v>0</v>
      </c>
      <c r="BG52" s="57">
        <f>IF(ISERROR(IF(B52=C52,V52/C52,(INT(V52/B52)+(((V52-B52*INT(V52/B52)))/C52)/100))),0,(IF(B52=C52,V52/C52,(INT(V52/B52)+(((V52-B52*INT(V52/B52)))/C52)/100))))</f>
        <v>0</v>
      </c>
      <c r="BH52" s="57">
        <f>IF(ISERROR(IF(B52=C52,W52/C52,(INT(W52/B52)+(((W52-B52*INT(W52/B52)))/C52)/100))),0,(IF(B52=C52,W52/C52,(INT(W52/B52)+(((W52-B52*INT(W52/B52)))/C52)/100))))</f>
        <v>0</v>
      </c>
      <c r="BI52" s="57">
        <f>IF(ISERROR(IF(B52=C52,X52/C52,(INT(X52/B52)+(((X52-B52*INT(X52/B52)))/C52)/100))),0,(IF(B52=C52,X52/C52,(INT(X52/B52)+(((X52-B52*INT(X52/B52)))/C52)/100))))</f>
        <v>0</v>
      </c>
      <c r="BJ52" s="57">
        <f>IF(ISERROR(IF(B52=C52,Y52/C52,(INT(Y52/B52)+(((Y52-B52*INT(Y52/B52)))/C52)/100))),0,(IF(B52=C52,Y52/C52,(INT(Y52/B52)+(((Y52-B52*INT(Y52/B52)))/C52)/100))))</f>
        <v>0</v>
      </c>
      <c r="BL52" s="57">
        <f>IF(ISERROR(IF(B52=C52,AA52/C52,(INT(AA52/B52)+(((AA52-B52*INT(AA52/B52)))/C52)/100))),0,(IF(B52=C52,AA52/C52,(INT(AA52/B52)+(((AA52-B52*INT(AA52/B52)))/C52)/100))))</f>
        <v>0</v>
      </c>
      <c r="BM52" s="57">
        <f>IF(ISERROR(IF(B52=C52,AB52/C52,(INT(AB52/B52)+(((AB52-B52*INT(AB52/B52)))/C52)/100))),0,(IF(B52=C52,AB52/C52,(INT(AB52/B52)+(((AB52-B52*INT(AB52/B52)))/C52)/100))))</f>
        <v>0</v>
      </c>
      <c r="BN52" s="57">
        <f>IF(ISERROR(IF(B52=C52,AC52/C52,(INT(AC52/B52)+(((AC52-B52*INT(AC52/B52)))/C52)/100))),0,(IF(B52=C52,AC52/C52,(INT(AC52/B52)+(((AC52-B52*INT(AC52/B52)))/C52)/100))))</f>
        <v>0</v>
      </c>
      <c r="BO52" s="57">
        <f>IF(ISERROR(IF(B52=C52,AD52/C52,(INT(AD52/B52)+(((AD52-B52*INT(AD52/B52)))/C52)/100))),0,(IF(B52=C52,AD52/C52,(INT(AD52/B52)+(((AD52-B52*INT(AD52/B52)))/C52)/100))))</f>
        <v>0</v>
      </c>
      <c r="BQ52" s="155"/>
    </row>
    <row r="53" spans="1:69" hidden="1" x14ac:dyDescent="0.35">
      <c r="A53" s="94"/>
      <c r="B53" s="113">
        <v>0</v>
      </c>
      <c r="C53" s="113">
        <v>0</v>
      </c>
      <c r="D53" s="28">
        <f>SUM(AA53:AD53)</f>
        <v>0</v>
      </c>
      <c r="E53" s="113">
        <v>0</v>
      </c>
      <c r="F53" s="113">
        <v>0</v>
      </c>
      <c r="G53" s="28">
        <f>SUM(D53:F53)</f>
        <v>0</v>
      </c>
      <c r="H53" s="125">
        <v>0</v>
      </c>
      <c r="I53" s="113">
        <v>0</v>
      </c>
      <c r="J53" s="125">
        <v>0</v>
      </c>
      <c r="K53" s="113">
        <v>0</v>
      </c>
      <c r="L53" s="113">
        <v>0</v>
      </c>
      <c r="M53" s="113">
        <v>0</v>
      </c>
      <c r="N53" s="28">
        <f>G53-SUM(H53:M53)</f>
        <v>0</v>
      </c>
      <c r="O53" s="28">
        <f>SUM(V53:Y53)</f>
        <v>0</v>
      </c>
      <c r="P53" s="28">
        <f>O53-N53</f>
        <v>0</v>
      </c>
      <c r="Q53" s="61" t="str">
        <f>IF(ISERROR(P53/SUM(H53:L53)),"",P53/SUM(H53:L53))</f>
        <v/>
      </c>
      <c r="R53" s="113">
        <v>0</v>
      </c>
      <c r="S53" s="28">
        <f>IF(ISERROR(P53/C53*R53),0,(P53/C53*R53))</f>
        <v>0</v>
      </c>
      <c r="T53" s="60">
        <f>IF(ISERROR(P53/B53*AF53),0,(P53/B53*AF53))</f>
        <v>0</v>
      </c>
      <c r="V53" s="113">
        <v>0</v>
      </c>
      <c r="W53" s="113">
        <v>0</v>
      </c>
      <c r="X53" s="113">
        <v>0</v>
      </c>
      <c r="Y53" s="113">
        <v>0</v>
      </c>
      <c r="AA53" s="113">
        <v>0</v>
      </c>
      <c r="AB53" s="113">
        <v>0</v>
      </c>
      <c r="AC53" s="113">
        <v>0</v>
      </c>
      <c r="AD53" s="113">
        <v>0</v>
      </c>
      <c r="AF53" s="113">
        <v>0</v>
      </c>
      <c r="AG53" s="28">
        <f>G53-O53</f>
        <v>0</v>
      </c>
      <c r="AH53" s="58">
        <f>IF(ISERROR(AG53/B53*AF53),0,(AG53/B53*AF53))</f>
        <v>0</v>
      </c>
      <c r="AI53" s="28">
        <f>SUM(H53:M53)</f>
        <v>0</v>
      </c>
      <c r="AJ53" s="28">
        <f>IF(ISERROR(AI53/B53*AF53),0,(AI53/B53*AF53))</f>
        <v>0</v>
      </c>
      <c r="AK53" s="58">
        <f>IF(ISERROR(O53/B53*AF53),0,(O53/B53*AF53))</f>
        <v>0</v>
      </c>
      <c r="AL53" s="28">
        <f>IF(ISERROR(H53/B53*AF53),0,(H53/B53*AF53))</f>
        <v>0</v>
      </c>
      <c r="AN53" s="51">
        <f>A53</f>
        <v>0</v>
      </c>
      <c r="AO53" s="57">
        <f>IF(ISERROR(IF(B53=C53,D53/C53,(INT(D53/B53)+(((D53-B53*INT(D53/B53)))/C53)/100))),0,(IF(B53=C53,D53/C53,(INT(D53/B53)+(((D53-B53*INT(D53/B53)))/C53)/100))))</f>
        <v>0</v>
      </c>
      <c r="AP53" s="57">
        <f>IF(ISERROR(IF(B53=C53,E53/C53,(INT(E53/B53)+(((E53-B53*INT(E53/B53)))/C53)/100))),0,(IF(B53=C53,E53/C53,(INT(E53/B53)+(((E53-B53*INT(E53/B53)))/C53)/100))))</f>
        <v>0</v>
      </c>
      <c r="AQ53" s="57">
        <f>IF(ISERROR(IF(B53=C53,F53/C53,IF((INT(F53/B53)+(((F53-B53*INT(F53/B53)))/C53)/100)&lt;0,(INT(F53/B53)+(((F53-B53*INT(F53/B53)))/C53)/100)+(1-(B53/C53/100)),(INT(F53/B53)+(((F53-B53*INT(F53/B53)))/C53)/100)))),0,IF(B53=C53,F53/C53,IF((INT(F53/B53)+(((F53-B53*INT(F53/B53)))/C53)/100)&lt;0,(INT(F53/B53)+(((F53-B53*INT(F53/B53)))/C53)/100)+(1-(B53/C53/100)),(INT(F53/B53)+(((F53-B53*INT(F53/B53)))/C53)/100))))</f>
        <v>0</v>
      </c>
      <c r="AR53" s="57">
        <f>IF(ISERROR(IF(B53=C53,G53/C53,(INT(G53/B53)+(((G53-B53*INT(G53/B53)))/C53)/100))),0,(IF(B53=C53,G53/C53,(INT(G53/B53)+(((G53-B53*INT(G53/B53)))/C53)/100))))</f>
        <v>0</v>
      </c>
      <c r="AS53" s="57">
        <f>IF(ISERROR(IF(B53=C53,H53/C53,(INT(H53/B53)+(((H53-B53*INT(H53/B53)))/C53)/100))),0,(IF(B53=C53,H53/C53,(INT(H53/B53)+(((H53-B53*INT(H53/B53)))/C53)/100))))</f>
        <v>0</v>
      </c>
      <c r="AT53" s="57">
        <f>IF(ISERROR(IF(B53=C53,I53/C53,(INT(I53/B53)+(((I53-B53*INT(I53/B53)))/C53)/100))),0,(IF(B53=C53,I53/C53,(INT(I53/B53)+(((I53-B53*INT(I53/B53)))/C53)/100))))</f>
        <v>0</v>
      </c>
      <c r="AU53" s="57">
        <f>IF(ISERROR(IF(B53=C53,J53/C53,(INT(J53/B53)+(((J53-B53*INT(J53/B53)))/C53)/100))),0,(IF(B53=C53,J53/C53,(INT(J53/B53)+(((J53-B53*INT(J53/B53)))/C53)/100))))</f>
        <v>0</v>
      </c>
      <c r="AV53" s="57">
        <f>IF(ISERROR(IF(B53=C53,K53/C53,IF((INT(K53/B53)+(((K53-B53*INT(K53/B53)))/C53)/100)&lt;0,(INT(K53/B53)+(((K53-B53*INT(K53/B53)))/C53)/100)+(1-(B53/C53/100)),(INT(K53/B53)+(((K53-B53*INT(K53/B53)))/C53)/100)))),0,IF(B53=C53,K53/C53,IF((INT(K53/B53)+(((K53-B53*INT(K53/B53)))/C53)/100)&lt;0,(INT(K53/B53)+(((K53-B53*INT(K53/B53)))/C53)/100)+(1-(B53/C53/100)),(INT(K53/B53)+(((K53-B53*INT(K53/B53)))/C53)/100))))</f>
        <v>0</v>
      </c>
      <c r="AW53" s="57">
        <f>IF(ISERROR(IF(B53=C53,L53/C53,(INT(L53/B53)+(((L53-B53*INT(L53/B53)))/C53)/100))),0,(IF(B53=C53,L53/C53,(INT(L53/B53)+(((L53-B53*INT(L53/B53)))/C53)/100))))</f>
        <v>0</v>
      </c>
      <c r="AX53" s="57">
        <f>IF(ISERROR(IF(B53=C53,M53/C53,(INT(M53/B53)+(((M53-B53*INT(M53/B53)))/C53)/100))),0,(IF(B53=C53,M53/C53,(INT(M53/B53)+(((M53-B53*INT(M53/B53)))/C53)/100))))</f>
        <v>0</v>
      </c>
      <c r="AY53" s="57">
        <f>IF(ISERROR(IF(B53=C53,N53/C53,IF((INT(N53/B53)+(((N53-B53*INT(N53/B53)))/C53)/100)&lt;0,(INT(N53/B53)+(((N53-B53*INT(N53/B53)))/C53)/100)+(1-(B53/C53/100)),(INT(N53/B53)+(((N53-B53*INT(N53/B53)))/C53)/100)))),0,IF(B53=C53,N53/C53,IF((INT(N53/B53)+(((N53-B53*INT(N53/B53)))/C53)/100)&lt;0,(INT(N53/B53)+(((N53-B53*INT(N53/B53)))/C53)/100)+(1-(B53/C53/100)),(INT(N53/B53)+(((N53-B53*INT(N53/B53)))/C53)/100))))</f>
        <v>0</v>
      </c>
      <c r="AZ53" s="57">
        <f>IF(ISERROR(IF(B53=C53,O53/C53,(INT(O53/B53)+(((O53-B53*INT(O53/B53)))/C53)/100))),0,(IF(B53=C53,O53/C53,(INT(O53/B53)+(((O53-B53*INT(O53/B53)))/C53)/100))))</f>
        <v>0</v>
      </c>
      <c r="BA53" s="57">
        <f>IF(ISERROR(IF(B53=C53,P53/C53,IF((INT(P53/B53)+(((P53-B53*INT(P53/B53)))/C53)/100)&lt;0,(INT(P53/B53)+(((P53-B53*INT(P53/B53)))/C53)/100)+(1-(B53/C53/100)),(INT(P53/B53)+(((P53-B53*INT(P53/B53)))/C53)/100)))),0,IF(B53=C53,P53/C53,IF((INT(P53/B53)+(((P53-B53*INT(P53/B53)))/C53)/100)&lt;0,(INT(P53/B53)+(((P53-B53*INT(P53/B53)))/C53)/100)+(1-(B53/C53/100)),(INT(P53/B53)+(((P53-B53*INT(P53/B53)))/C53)/100))))</f>
        <v>0</v>
      </c>
      <c r="BB53" s="28">
        <f>R53</f>
        <v>0</v>
      </c>
      <c r="BC53" s="28">
        <f>S53</f>
        <v>0</v>
      </c>
      <c r="BD53" s="28">
        <f>AF53</f>
        <v>0</v>
      </c>
      <c r="BE53" s="28">
        <f>T53</f>
        <v>0</v>
      </c>
      <c r="BG53" s="57">
        <f>IF(ISERROR(IF(B53=C53,V53/C53,(INT(V53/B53)+(((V53-B53*INT(V53/B53)))/C53)/100))),0,(IF(B53=C53,V53/C53,(INT(V53/B53)+(((V53-B53*INT(V53/B53)))/C53)/100))))</f>
        <v>0</v>
      </c>
      <c r="BH53" s="57">
        <f>IF(ISERROR(IF(B53=C53,W53/C53,(INT(W53/B53)+(((W53-B53*INT(W53/B53)))/C53)/100))),0,(IF(B53=C53,W53/C53,(INT(W53/B53)+(((W53-B53*INT(W53/B53)))/C53)/100))))</f>
        <v>0</v>
      </c>
      <c r="BI53" s="57">
        <f>IF(ISERROR(IF(B53=C53,X53/C53,(INT(X53/B53)+(((X53-B53*INT(X53/B53)))/C53)/100))),0,(IF(B53=C53,X53/C53,(INT(X53/B53)+(((X53-B53*INT(X53/B53)))/C53)/100))))</f>
        <v>0</v>
      </c>
      <c r="BJ53" s="57">
        <f>IF(ISERROR(IF(B53=C53,Y53/C53,(INT(Y53/B53)+(((Y53-B53*INT(Y53/B53)))/C53)/100))),0,(IF(B53=C53,Y53/C53,(INT(Y53/B53)+(((Y53-B53*INT(Y53/B53)))/C53)/100))))</f>
        <v>0</v>
      </c>
      <c r="BL53" s="57">
        <f>IF(ISERROR(IF(B53=C53,AA53/C53,(INT(AA53/B53)+(((AA53-B53*INT(AA53/B53)))/C53)/100))),0,(IF(B53=C53,AA53/C53,(INT(AA53/B53)+(((AA53-B53*INT(AA53/B53)))/C53)/100))))</f>
        <v>0</v>
      </c>
      <c r="BM53" s="57">
        <f>IF(ISERROR(IF(B53=C53,AB53/C53,(INT(AB53/B53)+(((AB53-B53*INT(AB53/B53)))/C53)/100))),0,(IF(B53=C53,AB53/C53,(INT(AB53/B53)+(((AB53-B53*INT(AB53/B53)))/C53)/100))))</f>
        <v>0</v>
      </c>
      <c r="BN53" s="57">
        <f>IF(ISERROR(IF(B53=C53,AC53/C53,(INT(AC53/B53)+(((AC53-B53*INT(AC53/B53)))/C53)/100))),0,(IF(B53=C53,AC53/C53,(INT(AC53/B53)+(((AC53-B53*INT(AC53/B53)))/C53)/100))))</f>
        <v>0</v>
      </c>
      <c r="BO53" s="57">
        <f>IF(ISERROR(IF(B53=C53,AD53/C53,(INT(AD53/B53)+(((AD53-B53*INT(AD53/B53)))/C53)/100))),0,(IF(B53=C53,AD53/C53,(INT(AD53/B53)+(((AD53-B53*INT(AD53/B53)))/C53)/100))))</f>
        <v>0</v>
      </c>
      <c r="BQ53" s="155"/>
    </row>
    <row r="54" spans="1:69" hidden="1" x14ac:dyDescent="0.35">
      <c r="A54" s="94"/>
      <c r="B54" s="113">
        <v>0</v>
      </c>
      <c r="C54" s="113">
        <v>0</v>
      </c>
      <c r="D54" s="28">
        <f>SUM(AA54:AD54)</f>
        <v>0</v>
      </c>
      <c r="E54" s="113">
        <v>0</v>
      </c>
      <c r="F54" s="113">
        <v>0</v>
      </c>
      <c r="G54" s="28">
        <f>SUM(D54:F54)</f>
        <v>0</v>
      </c>
      <c r="H54" s="125">
        <v>0</v>
      </c>
      <c r="I54" s="113">
        <v>0</v>
      </c>
      <c r="J54" s="125">
        <v>0</v>
      </c>
      <c r="K54" s="113">
        <v>0</v>
      </c>
      <c r="L54" s="113">
        <v>0</v>
      </c>
      <c r="M54" s="113">
        <v>0</v>
      </c>
      <c r="N54" s="28">
        <f>G54-SUM(H54:M54)</f>
        <v>0</v>
      </c>
      <c r="O54" s="28">
        <f>SUM(V54:Y54)</f>
        <v>0</v>
      </c>
      <c r="P54" s="28">
        <f>O54-N54</f>
        <v>0</v>
      </c>
      <c r="Q54" s="61" t="str">
        <f>IF(ISERROR(P54/SUM(H54:L54)),"",P54/SUM(H54:L54))</f>
        <v/>
      </c>
      <c r="R54" s="113">
        <v>0</v>
      </c>
      <c r="S54" s="28">
        <f>IF(ISERROR(P54/C54*R54),0,(P54/C54*R54))</f>
        <v>0</v>
      </c>
      <c r="T54" s="60">
        <f>IF(ISERROR(P54/B54*AF54),0,(P54/B54*AF54))</f>
        <v>0</v>
      </c>
      <c r="V54" s="113">
        <v>0</v>
      </c>
      <c r="W54" s="113">
        <v>0</v>
      </c>
      <c r="X54" s="113">
        <v>0</v>
      </c>
      <c r="Y54" s="113">
        <v>0</v>
      </c>
      <c r="AA54" s="113">
        <v>0</v>
      </c>
      <c r="AB54" s="113">
        <v>0</v>
      </c>
      <c r="AC54" s="113">
        <v>0</v>
      </c>
      <c r="AD54" s="113">
        <v>0</v>
      </c>
      <c r="AF54" s="113">
        <v>0</v>
      </c>
      <c r="AG54" s="28">
        <f>G54-O54</f>
        <v>0</v>
      </c>
      <c r="AH54" s="58">
        <f>IF(ISERROR(AG54/B54*AF54),0,(AG54/B54*AF54))</f>
        <v>0</v>
      </c>
      <c r="AI54" s="28">
        <f>SUM(H54:M54)</f>
        <v>0</v>
      </c>
      <c r="AJ54" s="28">
        <f>IF(ISERROR(AI54/B54*AF54),0,(AI54/B54*AF54))</f>
        <v>0</v>
      </c>
      <c r="AK54" s="58">
        <f>IF(ISERROR(O54/B54*AF54),0,(O54/B54*AF54))</f>
        <v>0</v>
      </c>
      <c r="AL54" s="28">
        <f>IF(ISERROR(H54/B54*AF54),0,(H54/B54*AF54))</f>
        <v>0</v>
      </c>
      <c r="AN54" s="51">
        <f>A54</f>
        <v>0</v>
      </c>
      <c r="AO54" s="57">
        <f>IF(ISERROR(IF(B54=C54,D54/C54,(INT(D54/B54)+(((D54-B54*INT(D54/B54)))/C54)/100))),0,(IF(B54=C54,D54/C54,(INT(D54/B54)+(((D54-B54*INT(D54/B54)))/C54)/100))))</f>
        <v>0</v>
      </c>
      <c r="AP54" s="57">
        <f>IF(ISERROR(IF(B54=C54,E54/C54,(INT(E54/B54)+(((E54-B54*INT(E54/B54)))/C54)/100))),0,(IF(B54=C54,E54/C54,(INT(E54/B54)+(((E54-B54*INT(E54/B54)))/C54)/100))))</f>
        <v>0</v>
      </c>
      <c r="AQ54" s="57">
        <f>IF(ISERROR(IF(B54=C54,F54/C54,IF((INT(F54/B54)+(((F54-B54*INT(F54/B54)))/C54)/100)&lt;0,(INT(F54/B54)+(((F54-B54*INT(F54/B54)))/C54)/100)+(1-(B54/C54/100)),(INT(F54/B54)+(((F54-B54*INT(F54/B54)))/C54)/100)))),0,IF(B54=C54,F54/C54,IF((INT(F54/B54)+(((F54-B54*INT(F54/B54)))/C54)/100)&lt;0,(INT(F54/B54)+(((F54-B54*INT(F54/B54)))/C54)/100)+(1-(B54/C54/100)),(INT(F54/B54)+(((F54-B54*INT(F54/B54)))/C54)/100))))</f>
        <v>0</v>
      </c>
      <c r="AR54" s="57">
        <f>IF(ISERROR(IF(B54=C54,G54/C54,(INT(G54/B54)+(((G54-B54*INT(G54/B54)))/C54)/100))),0,(IF(B54=C54,G54/C54,(INT(G54/B54)+(((G54-B54*INT(G54/B54)))/C54)/100))))</f>
        <v>0</v>
      </c>
      <c r="AS54" s="57">
        <f>IF(ISERROR(IF(B54=C54,H54/C54,(INT(H54/B54)+(((H54-B54*INT(H54/B54)))/C54)/100))),0,(IF(B54=C54,H54/C54,(INT(H54/B54)+(((H54-B54*INT(H54/B54)))/C54)/100))))</f>
        <v>0</v>
      </c>
      <c r="AT54" s="57">
        <f>IF(ISERROR(IF(B54=C54,I54/C54,(INT(I54/B54)+(((I54-B54*INT(I54/B54)))/C54)/100))),0,(IF(B54=C54,I54/C54,(INT(I54/B54)+(((I54-B54*INT(I54/B54)))/C54)/100))))</f>
        <v>0</v>
      </c>
      <c r="AU54" s="57">
        <f>IF(ISERROR(IF(B54=C54,J54/C54,(INT(J54/B54)+(((J54-B54*INT(J54/B54)))/C54)/100))),0,(IF(B54=C54,J54/C54,(INT(J54/B54)+(((J54-B54*INT(J54/B54)))/C54)/100))))</f>
        <v>0</v>
      </c>
      <c r="AV54" s="57">
        <f>IF(ISERROR(IF(B54=C54,K54/C54,IF((INT(K54/B54)+(((K54-B54*INT(K54/B54)))/C54)/100)&lt;0,(INT(K54/B54)+(((K54-B54*INT(K54/B54)))/C54)/100)+(1-(B54/C54/100)),(INT(K54/B54)+(((K54-B54*INT(K54/B54)))/C54)/100)))),0,IF(B54=C54,K54/C54,IF((INT(K54/B54)+(((K54-B54*INT(K54/B54)))/C54)/100)&lt;0,(INT(K54/B54)+(((K54-B54*INT(K54/B54)))/C54)/100)+(1-(B54/C54/100)),(INT(K54/B54)+(((K54-B54*INT(K54/B54)))/C54)/100))))</f>
        <v>0</v>
      </c>
      <c r="AW54" s="57">
        <f>IF(ISERROR(IF(B54=C54,L54/C54,(INT(L54/B54)+(((L54-B54*INT(L54/B54)))/C54)/100))),0,(IF(B54=C54,L54/C54,(INT(L54/B54)+(((L54-B54*INT(L54/B54)))/C54)/100))))</f>
        <v>0</v>
      </c>
      <c r="AX54" s="57">
        <f>IF(ISERROR(IF(B54=C54,M54/C54,(INT(M54/B54)+(((M54-B54*INT(M54/B54)))/C54)/100))),0,(IF(B54=C54,M54/C54,(INT(M54/B54)+(((M54-B54*INT(M54/B54)))/C54)/100))))</f>
        <v>0</v>
      </c>
      <c r="AY54" s="57">
        <f>IF(ISERROR(IF(B54=C54,N54/C54,IF((INT(N54/B54)+(((N54-B54*INT(N54/B54)))/C54)/100)&lt;0,(INT(N54/B54)+(((N54-B54*INT(N54/B54)))/C54)/100)+(1-(B54/C54/100)),(INT(N54/B54)+(((N54-B54*INT(N54/B54)))/C54)/100)))),0,IF(B54=C54,N54/C54,IF((INT(N54/B54)+(((N54-B54*INT(N54/B54)))/C54)/100)&lt;0,(INT(N54/B54)+(((N54-B54*INT(N54/B54)))/C54)/100)+(1-(B54/C54/100)),(INT(N54/B54)+(((N54-B54*INT(N54/B54)))/C54)/100))))</f>
        <v>0</v>
      </c>
      <c r="AZ54" s="57">
        <f>IF(ISERROR(IF(B54=C54,O54/C54,(INT(O54/B54)+(((O54-B54*INT(O54/B54)))/C54)/100))),0,(IF(B54=C54,O54/C54,(INT(O54/B54)+(((O54-B54*INT(O54/B54)))/C54)/100))))</f>
        <v>0</v>
      </c>
      <c r="BA54" s="57">
        <f>IF(ISERROR(IF(B54=C54,P54/C54,IF((INT(P54/B54)+(((P54-B54*INT(P54/B54)))/C54)/100)&lt;0,(INT(P54/B54)+(((P54-B54*INT(P54/B54)))/C54)/100)+(1-(B54/C54/100)),(INT(P54/B54)+(((P54-B54*INT(P54/B54)))/C54)/100)))),0,IF(B54=C54,P54/C54,IF((INT(P54/B54)+(((P54-B54*INT(P54/B54)))/C54)/100)&lt;0,(INT(P54/B54)+(((P54-B54*INT(P54/B54)))/C54)/100)+(1-(B54/C54/100)),(INT(P54/B54)+(((P54-B54*INT(P54/B54)))/C54)/100))))</f>
        <v>0</v>
      </c>
      <c r="BB54" s="28">
        <f>R54</f>
        <v>0</v>
      </c>
      <c r="BC54" s="28">
        <f>S54</f>
        <v>0</v>
      </c>
      <c r="BD54" s="28">
        <f>AF54</f>
        <v>0</v>
      </c>
      <c r="BE54" s="28">
        <f>T54</f>
        <v>0</v>
      </c>
      <c r="BG54" s="57">
        <f>IF(ISERROR(IF(B54=C54,V54/C54,(INT(V54/B54)+(((V54-B54*INT(V54/B54)))/C54)/100))),0,(IF(B54=C54,V54/C54,(INT(V54/B54)+(((V54-B54*INT(V54/B54)))/C54)/100))))</f>
        <v>0</v>
      </c>
      <c r="BH54" s="57">
        <f>IF(ISERROR(IF(B54=C54,W54/C54,(INT(W54/B54)+(((W54-B54*INT(W54/B54)))/C54)/100))),0,(IF(B54=C54,W54/C54,(INT(W54/B54)+(((W54-B54*INT(W54/B54)))/C54)/100))))</f>
        <v>0</v>
      </c>
      <c r="BI54" s="57">
        <f>IF(ISERROR(IF(B54=C54,X54/C54,(INT(X54/B54)+(((X54-B54*INT(X54/B54)))/C54)/100))),0,(IF(B54=C54,X54/C54,(INT(X54/B54)+(((X54-B54*INT(X54/B54)))/C54)/100))))</f>
        <v>0</v>
      </c>
      <c r="BJ54" s="57">
        <f>IF(ISERROR(IF(B54=C54,Y54/C54,(INT(Y54/B54)+(((Y54-B54*INT(Y54/B54)))/C54)/100))),0,(IF(B54=C54,Y54/C54,(INT(Y54/B54)+(((Y54-B54*INT(Y54/B54)))/C54)/100))))</f>
        <v>0</v>
      </c>
      <c r="BL54" s="57">
        <f>IF(ISERROR(IF(B54=C54,AA54/C54,(INT(AA54/B54)+(((AA54-B54*INT(AA54/B54)))/C54)/100))),0,(IF(B54=C54,AA54/C54,(INT(AA54/B54)+(((AA54-B54*INT(AA54/B54)))/C54)/100))))</f>
        <v>0</v>
      </c>
      <c r="BM54" s="57">
        <f>IF(ISERROR(IF(B54=C54,AB54/C54,(INT(AB54/B54)+(((AB54-B54*INT(AB54/B54)))/C54)/100))),0,(IF(B54=C54,AB54/C54,(INT(AB54/B54)+(((AB54-B54*INT(AB54/B54)))/C54)/100))))</f>
        <v>0</v>
      </c>
      <c r="BN54" s="57">
        <f>IF(ISERROR(IF(B54=C54,AC54/C54,(INT(AC54/B54)+(((AC54-B54*INT(AC54/B54)))/C54)/100))),0,(IF(B54=C54,AC54/C54,(INT(AC54/B54)+(((AC54-B54*INT(AC54/B54)))/C54)/100))))</f>
        <v>0</v>
      </c>
      <c r="BO54" s="57">
        <f>IF(ISERROR(IF(B54=C54,AD54/C54,(INT(AD54/B54)+(((AD54-B54*INT(AD54/B54)))/C54)/100))),0,(IF(B54=C54,AD54/C54,(INT(AD54/B54)+(((AD54-B54*INT(AD54/B54)))/C54)/100))))</f>
        <v>0</v>
      </c>
      <c r="BQ54" s="155"/>
    </row>
    <row r="55" spans="1:69" hidden="1" x14ac:dyDescent="0.35">
      <c r="A55" s="94"/>
      <c r="B55" s="113">
        <v>0</v>
      </c>
      <c r="C55" s="113">
        <v>0</v>
      </c>
      <c r="D55" s="28">
        <f>SUM(AA55:AD55)</f>
        <v>0</v>
      </c>
      <c r="E55" s="113">
        <v>0</v>
      </c>
      <c r="F55" s="113">
        <v>0</v>
      </c>
      <c r="G55" s="28">
        <f>SUM(D55:F55)</f>
        <v>0</v>
      </c>
      <c r="H55" s="125">
        <v>0</v>
      </c>
      <c r="I55" s="113">
        <v>0</v>
      </c>
      <c r="J55" s="125">
        <v>0</v>
      </c>
      <c r="K55" s="113">
        <v>0</v>
      </c>
      <c r="L55" s="113">
        <v>0</v>
      </c>
      <c r="M55" s="113">
        <v>0</v>
      </c>
      <c r="N55" s="28">
        <f>G55-SUM(H55:M55)</f>
        <v>0</v>
      </c>
      <c r="O55" s="28">
        <f>SUM(V55:Y55)</f>
        <v>0</v>
      </c>
      <c r="P55" s="28">
        <f>O55-N55</f>
        <v>0</v>
      </c>
      <c r="Q55" s="61" t="str">
        <f>IF(ISERROR(P55/SUM(H55:L55)),"",P55/SUM(H55:L55))</f>
        <v/>
      </c>
      <c r="R55" s="113">
        <v>0</v>
      </c>
      <c r="S55" s="28">
        <f>IF(ISERROR(P55/C55*R55),0,(P55/C55*R55))</f>
        <v>0</v>
      </c>
      <c r="T55" s="60">
        <f>IF(ISERROR(P55/B55*AF55),0,(P55/B55*AF55))</f>
        <v>0</v>
      </c>
      <c r="V55" s="113">
        <v>0</v>
      </c>
      <c r="W55" s="113">
        <v>0</v>
      </c>
      <c r="X55" s="113">
        <v>0</v>
      </c>
      <c r="Y55" s="113">
        <v>0</v>
      </c>
      <c r="AA55" s="113">
        <v>0</v>
      </c>
      <c r="AB55" s="113">
        <v>0</v>
      </c>
      <c r="AC55" s="113">
        <v>0</v>
      </c>
      <c r="AD55" s="113">
        <v>0</v>
      </c>
      <c r="AF55" s="113">
        <v>0</v>
      </c>
      <c r="AG55" s="28">
        <f>G55-O55</f>
        <v>0</v>
      </c>
      <c r="AH55" s="58">
        <f>IF(ISERROR(AG55/B55*AF55),0,(AG55/B55*AF55))</f>
        <v>0</v>
      </c>
      <c r="AI55" s="28">
        <f>SUM(H55:M55)</f>
        <v>0</v>
      </c>
      <c r="AJ55" s="28">
        <f>IF(ISERROR(AI55/B55*AF55),0,(AI55/B55*AF55))</f>
        <v>0</v>
      </c>
      <c r="AK55" s="58">
        <f>IF(ISERROR(O55/B55*AF55),0,(O55/B55*AF55))</f>
        <v>0</v>
      </c>
      <c r="AL55" s="28">
        <f>IF(ISERROR(H55/B55*AF55),0,(H55/B55*AF55))</f>
        <v>0</v>
      </c>
      <c r="AN55" s="51">
        <f>A55</f>
        <v>0</v>
      </c>
      <c r="AO55" s="57">
        <f>IF(ISERROR(IF(B55=C55,D55/C55,(INT(D55/B55)+(((D55-B55*INT(D55/B55)))/C55)/100))),0,(IF(B55=C55,D55/C55,(INT(D55/B55)+(((D55-B55*INT(D55/B55)))/C55)/100))))</f>
        <v>0</v>
      </c>
      <c r="AP55" s="57">
        <f>IF(ISERROR(IF(B55=C55,E55/C55,(INT(E55/B55)+(((E55-B55*INT(E55/B55)))/C55)/100))),0,(IF(B55=C55,E55/C55,(INT(E55/B55)+(((E55-B55*INT(E55/B55)))/C55)/100))))</f>
        <v>0</v>
      </c>
      <c r="AQ55" s="57">
        <f>IF(ISERROR(IF(B55=C55,F55/C55,IF((INT(F55/B55)+(((F55-B55*INT(F55/B55)))/C55)/100)&lt;0,(INT(F55/B55)+(((F55-B55*INT(F55/B55)))/C55)/100)+(1-(B55/C55/100)),(INT(F55/B55)+(((F55-B55*INT(F55/B55)))/C55)/100)))),0,IF(B55=C55,F55/C55,IF((INT(F55/B55)+(((F55-B55*INT(F55/B55)))/C55)/100)&lt;0,(INT(F55/B55)+(((F55-B55*INT(F55/B55)))/C55)/100)+(1-(B55/C55/100)),(INT(F55/B55)+(((F55-B55*INT(F55/B55)))/C55)/100))))</f>
        <v>0</v>
      </c>
      <c r="AR55" s="57">
        <f>IF(ISERROR(IF(B55=C55,G55/C55,(INT(G55/B55)+(((G55-B55*INT(G55/B55)))/C55)/100))),0,(IF(B55=C55,G55/C55,(INT(G55/B55)+(((G55-B55*INT(G55/B55)))/C55)/100))))</f>
        <v>0</v>
      </c>
      <c r="AS55" s="57">
        <f>IF(ISERROR(IF(B55=C55,H55/C55,(INT(H55/B55)+(((H55-B55*INT(H55/B55)))/C55)/100))),0,(IF(B55=C55,H55/C55,(INT(H55/B55)+(((H55-B55*INT(H55/B55)))/C55)/100))))</f>
        <v>0</v>
      </c>
      <c r="AT55" s="57">
        <f>IF(ISERROR(IF(B55=C55,I55/C55,(INT(I55/B55)+(((I55-B55*INT(I55/B55)))/C55)/100))),0,(IF(B55=C55,I55/C55,(INT(I55/B55)+(((I55-B55*INT(I55/B55)))/C55)/100))))</f>
        <v>0</v>
      </c>
      <c r="AU55" s="57">
        <f>IF(ISERROR(IF(B55=C55,J55/C55,(INT(J55/B55)+(((J55-B55*INT(J55/B55)))/C55)/100))),0,(IF(B55=C55,J55/C55,(INT(J55/B55)+(((J55-B55*INT(J55/B55)))/C55)/100))))</f>
        <v>0</v>
      </c>
      <c r="AV55" s="57">
        <f>IF(ISERROR(IF(B55=C55,K55/C55,IF((INT(K55/B55)+(((K55-B55*INT(K55/B55)))/C55)/100)&lt;0,(INT(K55/B55)+(((K55-B55*INT(K55/B55)))/C55)/100)+(1-(B55/C55/100)),(INT(K55/B55)+(((K55-B55*INT(K55/B55)))/C55)/100)))),0,IF(B55=C55,K55/C55,IF((INT(K55/B55)+(((K55-B55*INT(K55/B55)))/C55)/100)&lt;0,(INT(K55/B55)+(((K55-B55*INT(K55/B55)))/C55)/100)+(1-(B55/C55/100)),(INT(K55/B55)+(((K55-B55*INT(K55/B55)))/C55)/100))))</f>
        <v>0</v>
      </c>
      <c r="AW55" s="57">
        <f>IF(ISERROR(IF(B55=C55,L55/C55,(INT(L55/B55)+(((L55-B55*INT(L55/B55)))/C55)/100))),0,(IF(B55=C55,L55/C55,(INT(L55/B55)+(((L55-B55*INT(L55/B55)))/C55)/100))))</f>
        <v>0</v>
      </c>
      <c r="AX55" s="57">
        <f>IF(ISERROR(IF(B55=C55,M55/C55,(INT(M55/B55)+(((M55-B55*INT(M55/B55)))/C55)/100))),0,(IF(B55=C55,M55/C55,(INT(M55/B55)+(((M55-B55*INT(M55/B55)))/C55)/100))))</f>
        <v>0</v>
      </c>
      <c r="AY55" s="57">
        <f>IF(ISERROR(IF(B55=C55,N55/C55,IF((INT(N55/B55)+(((N55-B55*INT(N55/B55)))/C55)/100)&lt;0,(INT(N55/B55)+(((N55-B55*INT(N55/B55)))/C55)/100)+(1-(B55/C55/100)),(INT(N55/B55)+(((N55-B55*INT(N55/B55)))/C55)/100)))),0,IF(B55=C55,N55/C55,IF((INT(N55/B55)+(((N55-B55*INT(N55/B55)))/C55)/100)&lt;0,(INT(N55/B55)+(((N55-B55*INT(N55/B55)))/C55)/100)+(1-(B55/C55/100)),(INT(N55/B55)+(((N55-B55*INT(N55/B55)))/C55)/100))))</f>
        <v>0</v>
      </c>
      <c r="AZ55" s="57">
        <f>IF(ISERROR(IF(B55=C55,O55/C55,(INT(O55/B55)+(((O55-B55*INT(O55/B55)))/C55)/100))),0,(IF(B55=C55,O55/C55,(INT(O55/B55)+(((O55-B55*INT(O55/B55)))/C55)/100))))</f>
        <v>0</v>
      </c>
      <c r="BA55" s="57">
        <f>IF(ISERROR(IF(B55=C55,P55/C55,IF((INT(P55/B55)+(((P55-B55*INT(P55/B55)))/C55)/100)&lt;0,(INT(P55/B55)+(((P55-B55*INT(P55/B55)))/C55)/100)+(1-(B55/C55/100)),(INT(P55/B55)+(((P55-B55*INT(P55/B55)))/C55)/100)))),0,IF(B55=C55,P55/C55,IF((INT(P55/B55)+(((P55-B55*INT(P55/B55)))/C55)/100)&lt;0,(INT(P55/B55)+(((P55-B55*INT(P55/B55)))/C55)/100)+(1-(B55/C55/100)),(INT(P55/B55)+(((P55-B55*INT(P55/B55)))/C55)/100))))</f>
        <v>0</v>
      </c>
      <c r="BB55" s="28">
        <f>R55</f>
        <v>0</v>
      </c>
      <c r="BC55" s="28">
        <f>S55</f>
        <v>0</v>
      </c>
      <c r="BD55" s="28">
        <f>AF55</f>
        <v>0</v>
      </c>
      <c r="BE55" s="28">
        <f>T55</f>
        <v>0</v>
      </c>
      <c r="BG55" s="57">
        <f>IF(ISERROR(IF(B55=C55,V55/C55,(INT(V55/B55)+(((V55-B55*INT(V55/B55)))/C55)/100))),0,(IF(B55=C55,V55/C55,(INT(V55/B55)+(((V55-B55*INT(V55/B55)))/C55)/100))))</f>
        <v>0</v>
      </c>
      <c r="BH55" s="57">
        <f>IF(ISERROR(IF(B55=C55,W55/C55,(INT(W55/B55)+(((W55-B55*INT(W55/B55)))/C55)/100))),0,(IF(B55=C55,W55/C55,(INT(W55/B55)+(((W55-B55*INT(W55/B55)))/C55)/100))))</f>
        <v>0</v>
      </c>
      <c r="BI55" s="57">
        <f>IF(ISERROR(IF(B55=C55,X55/C55,(INT(X55/B55)+(((X55-B55*INT(X55/B55)))/C55)/100))),0,(IF(B55=C55,X55/C55,(INT(X55/B55)+(((X55-B55*INT(X55/B55)))/C55)/100))))</f>
        <v>0</v>
      </c>
      <c r="BJ55" s="57">
        <f>IF(ISERROR(IF(B55=C55,Y55/C55,(INT(Y55/B55)+(((Y55-B55*INT(Y55/B55)))/C55)/100))),0,(IF(B55=C55,Y55/C55,(INT(Y55/B55)+(((Y55-B55*INT(Y55/B55)))/C55)/100))))</f>
        <v>0</v>
      </c>
      <c r="BL55" s="57">
        <f>IF(ISERROR(IF(B55=C55,AA55/C55,(INT(AA55/B55)+(((AA55-B55*INT(AA55/B55)))/C55)/100))),0,(IF(B55=C55,AA55/C55,(INT(AA55/B55)+(((AA55-B55*INT(AA55/B55)))/C55)/100))))</f>
        <v>0</v>
      </c>
      <c r="BM55" s="57">
        <f>IF(ISERROR(IF(B55=C55,AB55/C55,(INT(AB55/B55)+(((AB55-B55*INT(AB55/B55)))/C55)/100))),0,(IF(B55=C55,AB55/C55,(INT(AB55/B55)+(((AB55-B55*INT(AB55/B55)))/C55)/100))))</f>
        <v>0</v>
      </c>
      <c r="BN55" s="57">
        <f>IF(ISERROR(IF(B55=C55,AC55/C55,(INT(AC55/B55)+(((AC55-B55*INT(AC55/B55)))/C55)/100))),0,(IF(B55=C55,AC55/C55,(INT(AC55/B55)+(((AC55-B55*INT(AC55/B55)))/C55)/100))))</f>
        <v>0</v>
      </c>
      <c r="BO55" s="57">
        <f>IF(ISERROR(IF(B55=C55,AD55/C55,(INT(AD55/B55)+(((AD55-B55*INT(AD55/B55)))/C55)/100))),0,(IF(B55=C55,AD55/C55,(INT(AD55/B55)+(((AD55-B55*INT(AD55/B55)))/C55)/100))))</f>
        <v>0</v>
      </c>
      <c r="BQ55" s="155"/>
    </row>
    <row r="56" spans="1:69" hidden="1" x14ac:dyDescent="0.35">
      <c r="A56" s="94"/>
      <c r="B56" s="113">
        <v>0</v>
      </c>
      <c r="C56" s="113">
        <v>0</v>
      </c>
      <c r="D56" s="28">
        <f>SUM(AA56:AD56)</f>
        <v>0</v>
      </c>
      <c r="E56" s="113">
        <v>0</v>
      </c>
      <c r="F56" s="113">
        <v>0</v>
      </c>
      <c r="G56" s="28">
        <f>SUM(D56:F56)</f>
        <v>0</v>
      </c>
      <c r="H56" s="125">
        <v>0</v>
      </c>
      <c r="I56" s="113">
        <v>0</v>
      </c>
      <c r="J56" s="125">
        <v>0</v>
      </c>
      <c r="K56" s="113">
        <v>0</v>
      </c>
      <c r="L56" s="113">
        <v>0</v>
      </c>
      <c r="M56" s="113">
        <v>0</v>
      </c>
      <c r="N56" s="28">
        <f>G56-SUM(H56:M56)</f>
        <v>0</v>
      </c>
      <c r="O56" s="28">
        <f>SUM(V56:Y56)</f>
        <v>0</v>
      </c>
      <c r="P56" s="28">
        <f>O56-N56</f>
        <v>0</v>
      </c>
      <c r="Q56" s="61" t="str">
        <f>IF(ISERROR(P56/SUM(H56:L56)),"",P56/SUM(H56:L56))</f>
        <v/>
      </c>
      <c r="R56" s="113">
        <v>0</v>
      </c>
      <c r="S56" s="28">
        <f>IF(ISERROR(P56/C56*R56),0,(P56/C56*R56))</f>
        <v>0</v>
      </c>
      <c r="T56" s="60">
        <f>IF(ISERROR(P56/B56*AF56),0,(P56/B56*AF56))</f>
        <v>0</v>
      </c>
      <c r="V56" s="113">
        <v>0</v>
      </c>
      <c r="W56" s="113">
        <v>0</v>
      </c>
      <c r="X56" s="113">
        <v>0</v>
      </c>
      <c r="Y56" s="113">
        <v>0</v>
      </c>
      <c r="AA56" s="113">
        <v>0</v>
      </c>
      <c r="AB56" s="113">
        <v>0</v>
      </c>
      <c r="AC56" s="113">
        <v>0</v>
      </c>
      <c r="AD56" s="113">
        <v>0</v>
      </c>
      <c r="AF56" s="113">
        <v>0</v>
      </c>
      <c r="AG56" s="28">
        <f>G56-O56</f>
        <v>0</v>
      </c>
      <c r="AH56" s="58">
        <f>IF(ISERROR(AG56/B56*AF56),0,(AG56/B56*AF56))</f>
        <v>0</v>
      </c>
      <c r="AI56" s="28">
        <f>SUM(H56:M56)</f>
        <v>0</v>
      </c>
      <c r="AJ56" s="28">
        <f>IF(ISERROR(AI56/B56*AF56),0,(AI56/B56*AF56))</f>
        <v>0</v>
      </c>
      <c r="AK56" s="58">
        <f>IF(ISERROR(O56/B56*AF56),0,(O56/B56*AF56))</f>
        <v>0</v>
      </c>
      <c r="AL56" s="28">
        <f>IF(ISERROR(H56/B56*AF56),0,(H56/B56*AF56))</f>
        <v>0</v>
      </c>
      <c r="AN56" s="51">
        <f>A56</f>
        <v>0</v>
      </c>
      <c r="AO56" s="57">
        <f>IF(ISERROR(IF(B56=C56,D56/C56,(INT(D56/B56)+(((D56-B56*INT(D56/B56)))/C56)/100))),0,(IF(B56=C56,D56/C56,(INT(D56/B56)+(((D56-B56*INT(D56/B56)))/C56)/100))))</f>
        <v>0</v>
      </c>
      <c r="AP56" s="57">
        <f>IF(ISERROR(IF(B56=C56,E56/C56,(INT(E56/B56)+(((E56-B56*INT(E56/B56)))/C56)/100))),0,(IF(B56=C56,E56/C56,(INT(E56/B56)+(((E56-B56*INT(E56/B56)))/C56)/100))))</f>
        <v>0</v>
      </c>
      <c r="AQ56" s="57">
        <f>IF(ISERROR(IF(B56=C56,F56/C56,IF((INT(F56/B56)+(((F56-B56*INT(F56/B56)))/C56)/100)&lt;0,(INT(F56/B56)+(((F56-B56*INT(F56/B56)))/C56)/100)+(1-(B56/C56/100)),(INT(F56/B56)+(((F56-B56*INT(F56/B56)))/C56)/100)))),0,IF(B56=C56,F56/C56,IF((INT(F56/B56)+(((F56-B56*INT(F56/B56)))/C56)/100)&lt;0,(INT(F56/B56)+(((F56-B56*INT(F56/B56)))/C56)/100)+(1-(B56/C56/100)),(INT(F56/B56)+(((F56-B56*INT(F56/B56)))/C56)/100))))</f>
        <v>0</v>
      </c>
      <c r="AR56" s="57">
        <f>IF(ISERROR(IF(B56=C56,G56/C56,(INT(G56/B56)+(((G56-B56*INT(G56/B56)))/C56)/100))),0,(IF(B56=C56,G56/C56,(INT(G56/B56)+(((G56-B56*INT(G56/B56)))/C56)/100))))</f>
        <v>0</v>
      </c>
      <c r="AS56" s="57">
        <f>IF(ISERROR(IF(B56=C56,H56/C56,(INT(H56/B56)+(((H56-B56*INT(H56/B56)))/C56)/100))),0,(IF(B56=C56,H56/C56,(INT(H56/B56)+(((H56-B56*INT(H56/B56)))/C56)/100))))</f>
        <v>0</v>
      </c>
      <c r="AT56" s="57">
        <f>IF(ISERROR(IF(B56=C56,I56/C56,(INT(I56/B56)+(((I56-B56*INT(I56/B56)))/C56)/100))),0,(IF(B56=C56,I56/C56,(INT(I56/B56)+(((I56-B56*INT(I56/B56)))/C56)/100))))</f>
        <v>0</v>
      </c>
      <c r="AU56" s="57">
        <f>IF(ISERROR(IF(B56=C56,J56/C56,(INT(J56/B56)+(((J56-B56*INT(J56/B56)))/C56)/100))),0,(IF(B56=C56,J56/C56,(INT(J56/B56)+(((J56-B56*INT(J56/B56)))/C56)/100))))</f>
        <v>0</v>
      </c>
      <c r="AV56" s="57">
        <f>IF(ISERROR(IF(B56=C56,K56/C56,IF((INT(K56/B56)+(((K56-B56*INT(K56/B56)))/C56)/100)&lt;0,(INT(K56/B56)+(((K56-B56*INT(K56/B56)))/C56)/100)+(1-(B56/C56/100)),(INT(K56/B56)+(((K56-B56*INT(K56/B56)))/C56)/100)))),0,IF(B56=C56,K56/C56,IF((INT(K56/B56)+(((K56-B56*INT(K56/B56)))/C56)/100)&lt;0,(INT(K56/B56)+(((K56-B56*INT(K56/B56)))/C56)/100)+(1-(B56/C56/100)),(INT(K56/B56)+(((K56-B56*INT(K56/B56)))/C56)/100))))</f>
        <v>0</v>
      </c>
      <c r="AW56" s="57">
        <f>IF(ISERROR(IF(B56=C56,L56/C56,(INT(L56/B56)+(((L56-B56*INT(L56/B56)))/C56)/100))),0,(IF(B56=C56,L56/C56,(INT(L56/B56)+(((L56-B56*INT(L56/B56)))/C56)/100))))</f>
        <v>0</v>
      </c>
      <c r="AX56" s="57">
        <f>IF(ISERROR(IF(B56=C56,M56/C56,(INT(M56/B56)+(((M56-B56*INT(M56/B56)))/C56)/100))),0,(IF(B56=C56,M56/C56,(INT(M56/B56)+(((M56-B56*INT(M56/B56)))/C56)/100))))</f>
        <v>0</v>
      </c>
      <c r="AY56" s="57">
        <f>IF(ISERROR(IF(B56=C56,N56/C56,IF((INT(N56/B56)+(((N56-B56*INT(N56/B56)))/C56)/100)&lt;0,(INT(N56/B56)+(((N56-B56*INT(N56/B56)))/C56)/100)+(1-(B56/C56/100)),(INT(N56/B56)+(((N56-B56*INT(N56/B56)))/C56)/100)))),0,IF(B56=C56,N56/C56,IF((INT(N56/B56)+(((N56-B56*INT(N56/B56)))/C56)/100)&lt;0,(INT(N56/B56)+(((N56-B56*INT(N56/B56)))/C56)/100)+(1-(B56/C56/100)),(INT(N56/B56)+(((N56-B56*INT(N56/B56)))/C56)/100))))</f>
        <v>0</v>
      </c>
      <c r="AZ56" s="57">
        <f>IF(ISERROR(IF(B56=C56,O56/C56,(INT(O56/B56)+(((O56-B56*INT(O56/B56)))/C56)/100))),0,(IF(B56=C56,O56/C56,(INT(O56/B56)+(((O56-B56*INT(O56/B56)))/C56)/100))))</f>
        <v>0</v>
      </c>
      <c r="BA56" s="57">
        <f>IF(ISERROR(IF(B56=C56,P56/C56,IF((INT(P56/B56)+(((P56-B56*INT(P56/B56)))/C56)/100)&lt;0,(INT(P56/B56)+(((P56-B56*INT(P56/B56)))/C56)/100)+(1-(B56/C56/100)),(INT(P56/B56)+(((P56-B56*INT(P56/B56)))/C56)/100)))),0,IF(B56=C56,P56/C56,IF((INT(P56/B56)+(((P56-B56*INT(P56/B56)))/C56)/100)&lt;0,(INT(P56/B56)+(((P56-B56*INT(P56/B56)))/C56)/100)+(1-(B56/C56/100)),(INT(P56/B56)+(((P56-B56*INT(P56/B56)))/C56)/100))))</f>
        <v>0</v>
      </c>
      <c r="BB56" s="28">
        <f>R56</f>
        <v>0</v>
      </c>
      <c r="BC56" s="28">
        <f>S56</f>
        <v>0</v>
      </c>
      <c r="BD56" s="28">
        <f>AF56</f>
        <v>0</v>
      </c>
      <c r="BE56" s="28">
        <f>T56</f>
        <v>0</v>
      </c>
      <c r="BG56" s="57">
        <f>IF(ISERROR(IF(B56=C56,V56/C56,(INT(V56/B56)+(((V56-B56*INT(V56/B56)))/C56)/100))),0,(IF(B56=C56,V56/C56,(INT(V56/B56)+(((V56-B56*INT(V56/B56)))/C56)/100))))</f>
        <v>0</v>
      </c>
      <c r="BH56" s="57">
        <f>IF(ISERROR(IF(B56=C56,W56/C56,(INT(W56/B56)+(((W56-B56*INT(W56/B56)))/C56)/100))),0,(IF(B56=C56,W56/C56,(INT(W56/B56)+(((W56-B56*INT(W56/B56)))/C56)/100))))</f>
        <v>0</v>
      </c>
      <c r="BI56" s="57">
        <f>IF(ISERROR(IF(B56=C56,X56/C56,(INT(X56/B56)+(((X56-B56*INT(X56/B56)))/C56)/100))),0,(IF(B56=C56,X56/C56,(INT(X56/B56)+(((X56-B56*INT(X56/B56)))/C56)/100))))</f>
        <v>0</v>
      </c>
      <c r="BJ56" s="57">
        <f>IF(ISERROR(IF(B56=C56,Y56/C56,(INT(Y56/B56)+(((Y56-B56*INT(Y56/B56)))/C56)/100))),0,(IF(B56=C56,Y56/C56,(INT(Y56/B56)+(((Y56-B56*INT(Y56/B56)))/C56)/100))))</f>
        <v>0</v>
      </c>
      <c r="BL56" s="57">
        <f>IF(ISERROR(IF(B56=C56,AA56/C56,(INT(AA56/B56)+(((AA56-B56*INT(AA56/B56)))/C56)/100))),0,(IF(B56=C56,AA56/C56,(INT(AA56/B56)+(((AA56-B56*INT(AA56/B56)))/C56)/100))))</f>
        <v>0</v>
      </c>
      <c r="BM56" s="57">
        <f>IF(ISERROR(IF(B56=C56,AB56/C56,(INT(AB56/B56)+(((AB56-B56*INT(AB56/B56)))/C56)/100))),0,(IF(B56=C56,AB56/C56,(INT(AB56/B56)+(((AB56-B56*INT(AB56/B56)))/C56)/100))))</f>
        <v>0</v>
      </c>
      <c r="BN56" s="57">
        <f>IF(ISERROR(IF(B56=C56,AC56/C56,(INT(AC56/B56)+(((AC56-B56*INT(AC56/B56)))/C56)/100))),0,(IF(B56=C56,AC56/C56,(INT(AC56/B56)+(((AC56-B56*INT(AC56/B56)))/C56)/100))))</f>
        <v>0</v>
      </c>
      <c r="BO56" s="57">
        <f>IF(ISERROR(IF(B56=C56,AD56/C56,(INT(AD56/B56)+(((AD56-B56*INT(AD56/B56)))/C56)/100))),0,(IF(B56=C56,AD56/C56,(INT(AD56/B56)+(((AD56-B56*INT(AD56/B56)))/C56)/100))))</f>
        <v>0</v>
      </c>
      <c r="BQ56" s="155"/>
    </row>
    <row r="57" spans="1:69" hidden="1" x14ac:dyDescent="0.35">
      <c r="A57" s="94"/>
      <c r="B57" s="113">
        <v>0</v>
      </c>
      <c r="C57" s="113">
        <v>0</v>
      </c>
      <c r="D57" s="28">
        <f>SUM(AA57:AD57)</f>
        <v>0</v>
      </c>
      <c r="E57" s="113">
        <v>0</v>
      </c>
      <c r="F57" s="113">
        <v>0</v>
      </c>
      <c r="G57" s="28">
        <f>SUM(D57:F57)</f>
        <v>0</v>
      </c>
      <c r="H57" s="125">
        <v>0</v>
      </c>
      <c r="I57" s="113">
        <v>0</v>
      </c>
      <c r="J57" s="125">
        <v>0</v>
      </c>
      <c r="K57" s="113">
        <v>0</v>
      </c>
      <c r="L57" s="113">
        <v>0</v>
      </c>
      <c r="M57" s="113">
        <v>0</v>
      </c>
      <c r="N57" s="28">
        <f>G57-SUM(H57:M57)</f>
        <v>0</v>
      </c>
      <c r="O57" s="28">
        <f>SUM(V57:Y57)</f>
        <v>0</v>
      </c>
      <c r="P57" s="28">
        <f>O57-N57</f>
        <v>0</v>
      </c>
      <c r="Q57" s="61" t="str">
        <f>IF(ISERROR(P57/SUM(H57:L57)),"",P57/SUM(H57:L57))</f>
        <v/>
      </c>
      <c r="R57" s="113">
        <v>0</v>
      </c>
      <c r="S57" s="28">
        <f>IF(ISERROR(P57/C57*R57),0,(P57/C57*R57))</f>
        <v>0</v>
      </c>
      <c r="T57" s="60">
        <f>IF(ISERROR(P57/B57*AF57),0,(P57/B57*AF57))</f>
        <v>0</v>
      </c>
      <c r="V57" s="113">
        <v>0</v>
      </c>
      <c r="W57" s="113">
        <v>0</v>
      </c>
      <c r="X57" s="113">
        <v>0</v>
      </c>
      <c r="Y57" s="113">
        <v>0</v>
      </c>
      <c r="AA57" s="113">
        <v>0</v>
      </c>
      <c r="AB57" s="113">
        <v>0</v>
      </c>
      <c r="AC57" s="113">
        <v>0</v>
      </c>
      <c r="AD57" s="113">
        <v>0</v>
      </c>
      <c r="AF57" s="113">
        <v>0</v>
      </c>
      <c r="AG57" s="28">
        <f>G57-O57</f>
        <v>0</v>
      </c>
      <c r="AH57" s="58">
        <f>IF(ISERROR(AG57/B57*AF57),0,(AG57/B57*AF57))</f>
        <v>0</v>
      </c>
      <c r="AI57" s="28">
        <f>SUM(H57:M57)</f>
        <v>0</v>
      </c>
      <c r="AJ57" s="28">
        <f>IF(ISERROR(AI57/B57*AF57),0,(AI57/B57*AF57))</f>
        <v>0</v>
      </c>
      <c r="AK57" s="58">
        <f>IF(ISERROR(O57/B57*AF57),0,(O57/B57*AF57))</f>
        <v>0</v>
      </c>
      <c r="AL57" s="28">
        <f>IF(ISERROR(H57/B57*AF57),0,(H57/B57*AF57))</f>
        <v>0</v>
      </c>
      <c r="AN57" s="51">
        <f>A57</f>
        <v>0</v>
      </c>
      <c r="AO57" s="57">
        <f>IF(ISERROR(IF(B57=C57,D57/C57,(INT(D57/B57)+(((D57-B57*INT(D57/B57)))/C57)/100))),0,(IF(B57=C57,D57/C57,(INT(D57/B57)+(((D57-B57*INT(D57/B57)))/C57)/100))))</f>
        <v>0</v>
      </c>
      <c r="AP57" s="57">
        <f>IF(ISERROR(IF(B57=C57,E57/C57,(INT(E57/B57)+(((E57-B57*INT(E57/B57)))/C57)/100))),0,(IF(B57=C57,E57/C57,(INT(E57/B57)+(((E57-B57*INT(E57/B57)))/C57)/100))))</f>
        <v>0</v>
      </c>
      <c r="AQ57" s="57">
        <f>IF(ISERROR(IF(B57=C57,F57/C57,IF((INT(F57/B57)+(((F57-B57*INT(F57/B57)))/C57)/100)&lt;0,(INT(F57/B57)+(((F57-B57*INT(F57/B57)))/C57)/100)+(1-(B57/C57/100)),(INT(F57/B57)+(((F57-B57*INT(F57/B57)))/C57)/100)))),0,IF(B57=C57,F57/C57,IF((INT(F57/B57)+(((F57-B57*INT(F57/B57)))/C57)/100)&lt;0,(INT(F57/B57)+(((F57-B57*INT(F57/B57)))/C57)/100)+(1-(B57/C57/100)),(INT(F57/B57)+(((F57-B57*INT(F57/B57)))/C57)/100))))</f>
        <v>0</v>
      </c>
      <c r="AR57" s="57">
        <f>IF(ISERROR(IF(B57=C57,G57/C57,(INT(G57/B57)+(((G57-B57*INT(G57/B57)))/C57)/100))),0,(IF(B57=C57,G57/C57,(INT(G57/B57)+(((G57-B57*INT(G57/B57)))/C57)/100))))</f>
        <v>0</v>
      </c>
      <c r="AS57" s="57">
        <f>IF(ISERROR(IF(B57=C57,H57/C57,(INT(H57/B57)+(((H57-B57*INT(H57/B57)))/C57)/100))),0,(IF(B57=C57,H57/C57,(INT(H57/B57)+(((H57-B57*INT(H57/B57)))/C57)/100))))</f>
        <v>0</v>
      </c>
      <c r="AT57" s="57">
        <f>IF(ISERROR(IF(B57=C57,I57/C57,(INT(I57/B57)+(((I57-B57*INT(I57/B57)))/C57)/100))),0,(IF(B57=C57,I57/C57,(INT(I57/B57)+(((I57-B57*INT(I57/B57)))/C57)/100))))</f>
        <v>0</v>
      </c>
      <c r="AU57" s="57">
        <f>IF(ISERROR(IF(B57=C57,J57/C57,(INT(J57/B57)+(((J57-B57*INT(J57/B57)))/C57)/100))),0,(IF(B57=C57,J57/C57,(INT(J57/B57)+(((J57-B57*INT(J57/B57)))/C57)/100))))</f>
        <v>0</v>
      </c>
      <c r="AV57" s="57">
        <f>IF(ISERROR(IF(B57=C57,K57/C57,IF((INT(K57/B57)+(((K57-B57*INT(K57/B57)))/C57)/100)&lt;0,(INT(K57/B57)+(((K57-B57*INT(K57/B57)))/C57)/100)+(1-(B57/C57/100)),(INT(K57/B57)+(((K57-B57*INT(K57/B57)))/C57)/100)))),0,IF(B57=C57,K57/C57,IF((INT(K57/B57)+(((K57-B57*INT(K57/B57)))/C57)/100)&lt;0,(INT(K57/B57)+(((K57-B57*INT(K57/B57)))/C57)/100)+(1-(B57/C57/100)),(INT(K57/B57)+(((K57-B57*INT(K57/B57)))/C57)/100))))</f>
        <v>0</v>
      </c>
      <c r="AW57" s="57">
        <f>IF(ISERROR(IF(B57=C57,L57/C57,(INT(L57/B57)+(((L57-B57*INT(L57/B57)))/C57)/100))),0,(IF(B57=C57,L57/C57,(INT(L57/B57)+(((L57-B57*INT(L57/B57)))/C57)/100))))</f>
        <v>0</v>
      </c>
      <c r="AX57" s="57">
        <f>IF(ISERROR(IF(B57=C57,M57/C57,(INT(M57/B57)+(((M57-B57*INT(M57/B57)))/C57)/100))),0,(IF(B57=C57,M57/C57,(INT(M57/B57)+(((M57-B57*INT(M57/B57)))/C57)/100))))</f>
        <v>0</v>
      </c>
      <c r="AY57" s="57">
        <f>IF(ISERROR(IF(B57=C57,N57/C57,IF((INT(N57/B57)+(((N57-B57*INT(N57/B57)))/C57)/100)&lt;0,(INT(N57/B57)+(((N57-B57*INT(N57/B57)))/C57)/100)+(1-(B57/C57/100)),(INT(N57/B57)+(((N57-B57*INT(N57/B57)))/C57)/100)))),0,IF(B57=C57,N57/C57,IF((INT(N57/B57)+(((N57-B57*INT(N57/B57)))/C57)/100)&lt;0,(INT(N57/B57)+(((N57-B57*INT(N57/B57)))/C57)/100)+(1-(B57/C57/100)),(INT(N57/B57)+(((N57-B57*INT(N57/B57)))/C57)/100))))</f>
        <v>0</v>
      </c>
      <c r="AZ57" s="57">
        <f>IF(ISERROR(IF(B57=C57,O57/C57,(INT(O57/B57)+(((O57-B57*INT(O57/B57)))/C57)/100))),0,(IF(B57=C57,O57/C57,(INT(O57/B57)+(((O57-B57*INT(O57/B57)))/C57)/100))))</f>
        <v>0</v>
      </c>
      <c r="BA57" s="57">
        <f>IF(ISERROR(IF(B57=C57,P57/C57,IF((INT(P57/B57)+(((P57-B57*INT(P57/B57)))/C57)/100)&lt;0,(INT(P57/B57)+(((P57-B57*INT(P57/B57)))/C57)/100)+(1-(B57/C57/100)),(INT(P57/B57)+(((P57-B57*INT(P57/B57)))/C57)/100)))),0,IF(B57=C57,P57/C57,IF((INT(P57/B57)+(((P57-B57*INT(P57/B57)))/C57)/100)&lt;0,(INT(P57/B57)+(((P57-B57*INT(P57/B57)))/C57)/100)+(1-(B57/C57/100)),(INT(P57/B57)+(((P57-B57*INT(P57/B57)))/C57)/100))))</f>
        <v>0</v>
      </c>
      <c r="BB57" s="28">
        <f>R57</f>
        <v>0</v>
      </c>
      <c r="BC57" s="28">
        <f>S57</f>
        <v>0</v>
      </c>
      <c r="BD57" s="28">
        <f>AF57</f>
        <v>0</v>
      </c>
      <c r="BE57" s="28">
        <f>T57</f>
        <v>0</v>
      </c>
      <c r="BG57" s="57">
        <f>IF(ISERROR(IF(B57=C57,V57/C57,(INT(V57/B57)+(((V57-B57*INT(V57/B57)))/C57)/100))),0,(IF(B57=C57,V57/C57,(INT(V57/B57)+(((V57-B57*INT(V57/B57)))/C57)/100))))</f>
        <v>0</v>
      </c>
      <c r="BH57" s="57">
        <f>IF(ISERROR(IF(B57=C57,W57/C57,(INT(W57/B57)+(((W57-B57*INT(W57/B57)))/C57)/100))),0,(IF(B57=C57,W57/C57,(INT(W57/B57)+(((W57-B57*INT(W57/B57)))/C57)/100))))</f>
        <v>0</v>
      </c>
      <c r="BI57" s="57">
        <f>IF(ISERROR(IF(B57=C57,X57/C57,(INT(X57/B57)+(((X57-B57*INT(X57/B57)))/C57)/100))),0,(IF(B57=C57,X57/C57,(INT(X57/B57)+(((X57-B57*INT(X57/B57)))/C57)/100))))</f>
        <v>0</v>
      </c>
      <c r="BJ57" s="57">
        <f>IF(ISERROR(IF(B57=C57,Y57/C57,(INT(Y57/B57)+(((Y57-B57*INT(Y57/B57)))/C57)/100))),0,(IF(B57=C57,Y57/C57,(INT(Y57/B57)+(((Y57-B57*INT(Y57/B57)))/C57)/100))))</f>
        <v>0</v>
      </c>
      <c r="BL57" s="57">
        <f>IF(ISERROR(IF(B57=C57,AA57/C57,(INT(AA57/B57)+(((AA57-B57*INT(AA57/B57)))/C57)/100))),0,(IF(B57=C57,AA57/C57,(INT(AA57/B57)+(((AA57-B57*INT(AA57/B57)))/C57)/100))))</f>
        <v>0</v>
      </c>
      <c r="BM57" s="57">
        <f>IF(ISERROR(IF(B57=C57,AB57/C57,(INT(AB57/B57)+(((AB57-B57*INT(AB57/B57)))/C57)/100))),0,(IF(B57=C57,AB57/C57,(INT(AB57/B57)+(((AB57-B57*INT(AB57/B57)))/C57)/100))))</f>
        <v>0</v>
      </c>
      <c r="BN57" s="57">
        <f>IF(ISERROR(IF(B57=C57,AC57/C57,(INT(AC57/B57)+(((AC57-B57*INT(AC57/B57)))/C57)/100))),0,(IF(B57=C57,AC57/C57,(INT(AC57/B57)+(((AC57-B57*INT(AC57/B57)))/C57)/100))))</f>
        <v>0</v>
      </c>
      <c r="BO57" s="57">
        <f>IF(ISERROR(IF(B57=C57,AD57/C57,(INT(AD57/B57)+(((AD57-B57*INT(AD57/B57)))/C57)/100))),0,(IF(B57=C57,AD57/C57,(INT(AD57/B57)+(((AD57-B57*INT(AD57/B57)))/C57)/100))))</f>
        <v>0</v>
      </c>
      <c r="BQ57" s="155"/>
    </row>
    <row r="58" spans="1:69" hidden="1" x14ac:dyDescent="0.35">
      <c r="A58" s="94"/>
      <c r="B58" s="113">
        <v>0</v>
      </c>
      <c r="C58" s="113">
        <v>0</v>
      </c>
      <c r="D58" s="28">
        <f>SUM(AA58:AD58)</f>
        <v>0</v>
      </c>
      <c r="E58" s="113">
        <v>0</v>
      </c>
      <c r="F58" s="113">
        <v>0</v>
      </c>
      <c r="G58" s="28">
        <f>SUM(D58:F58)</f>
        <v>0</v>
      </c>
      <c r="H58" s="125">
        <v>0</v>
      </c>
      <c r="I58" s="113">
        <v>0</v>
      </c>
      <c r="J58" s="125">
        <v>0</v>
      </c>
      <c r="K58" s="113">
        <v>0</v>
      </c>
      <c r="L58" s="113">
        <v>0</v>
      </c>
      <c r="M58" s="113">
        <v>0</v>
      </c>
      <c r="N58" s="28">
        <f>G58-SUM(H58:M58)</f>
        <v>0</v>
      </c>
      <c r="O58" s="28">
        <f>SUM(V58:Y58)</f>
        <v>0</v>
      </c>
      <c r="P58" s="28">
        <f>O58-N58</f>
        <v>0</v>
      </c>
      <c r="Q58" s="61" t="str">
        <f>IF(ISERROR(P58/SUM(H58:L58)),"",P58/SUM(H58:L58))</f>
        <v/>
      </c>
      <c r="R58" s="113">
        <v>0</v>
      </c>
      <c r="S58" s="28">
        <f>IF(ISERROR(P58/C58*R58),0,(P58/C58*R58))</f>
        <v>0</v>
      </c>
      <c r="T58" s="60">
        <f>IF(ISERROR(P58/B58*AF58),0,(P58/B58*AF58))</f>
        <v>0</v>
      </c>
      <c r="V58" s="113">
        <v>0</v>
      </c>
      <c r="W58" s="113">
        <v>0</v>
      </c>
      <c r="X58" s="113">
        <v>0</v>
      </c>
      <c r="Y58" s="113">
        <v>0</v>
      </c>
      <c r="AA58" s="113">
        <v>0</v>
      </c>
      <c r="AB58" s="113">
        <v>0</v>
      </c>
      <c r="AC58" s="113">
        <v>0</v>
      </c>
      <c r="AD58" s="113">
        <v>0</v>
      </c>
      <c r="AF58" s="113">
        <v>0</v>
      </c>
      <c r="AG58" s="28">
        <f>G58-O58</f>
        <v>0</v>
      </c>
      <c r="AH58" s="58">
        <f>IF(ISERROR(AG58/B58*AF58),0,(AG58/B58*AF58))</f>
        <v>0</v>
      </c>
      <c r="AI58" s="28">
        <f>SUM(H58:M58)</f>
        <v>0</v>
      </c>
      <c r="AJ58" s="28">
        <f>IF(ISERROR(AI58/B58*AF58),0,(AI58/B58*AF58))</f>
        <v>0</v>
      </c>
      <c r="AK58" s="58">
        <f>IF(ISERROR(O58/B58*AF58),0,(O58/B58*AF58))</f>
        <v>0</v>
      </c>
      <c r="AL58" s="28">
        <f>IF(ISERROR(H58/B58*AF58),0,(H58/B58*AF58))</f>
        <v>0</v>
      </c>
      <c r="AN58" s="51">
        <f>A58</f>
        <v>0</v>
      </c>
      <c r="AO58" s="57">
        <f>IF(ISERROR(IF(B58=C58,D58/C58,(INT(D58/B58)+(((D58-B58*INT(D58/B58)))/C58)/100))),0,(IF(B58=C58,D58/C58,(INT(D58/B58)+(((D58-B58*INT(D58/B58)))/C58)/100))))</f>
        <v>0</v>
      </c>
      <c r="AP58" s="57">
        <f>IF(ISERROR(IF(B58=C58,E58/C58,(INT(E58/B58)+(((E58-B58*INT(E58/B58)))/C58)/100))),0,(IF(B58=C58,E58/C58,(INT(E58/B58)+(((E58-B58*INT(E58/B58)))/C58)/100))))</f>
        <v>0</v>
      </c>
      <c r="AQ58" s="57">
        <f>IF(ISERROR(IF(B58=C58,F58/C58,IF((INT(F58/B58)+(((F58-B58*INT(F58/B58)))/C58)/100)&lt;0,(INT(F58/B58)+(((F58-B58*INT(F58/B58)))/C58)/100)+(1-(B58/C58/100)),(INT(F58/B58)+(((F58-B58*INT(F58/B58)))/C58)/100)))),0,IF(B58=C58,F58/C58,IF((INT(F58/B58)+(((F58-B58*INT(F58/B58)))/C58)/100)&lt;0,(INT(F58/B58)+(((F58-B58*INT(F58/B58)))/C58)/100)+(1-(B58/C58/100)),(INT(F58/B58)+(((F58-B58*INT(F58/B58)))/C58)/100))))</f>
        <v>0</v>
      </c>
      <c r="AR58" s="57">
        <f>IF(ISERROR(IF(B58=C58,G58/C58,(INT(G58/B58)+(((G58-B58*INT(G58/B58)))/C58)/100))),0,(IF(B58=C58,G58/C58,(INT(G58/B58)+(((G58-B58*INT(G58/B58)))/C58)/100))))</f>
        <v>0</v>
      </c>
      <c r="AS58" s="57">
        <f>IF(ISERROR(IF(B58=C58,H58/C58,(INT(H58/B58)+(((H58-B58*INT(H58/B58)))/C58)/100))),0,(IF(B58=C58,H58/C58,(INT(H58/B58)+(((H58-B58*INT(H58/B58)))/C58)/100))))</f>
        <v>0</v>
      </c>
      <c r="AT58" s="57">
        <f>IF(ISERROR(IF(B58=C58,I58/C58,(INT(I58/B58)+(((I58-B58*INT(I58/B58)))/C58)/100))),0,(IF(B58=C58,I58/C58,(INT(I58/B58)+(((I58-B58*INT(I58/B58)))/C58)/100))))</f>
        <v>0</v>
      </c>
      <c r="AU58" s="57">
        <f>IF(ISERROR(IF(B58=C58,J58/C58,(INT(J58/B58)+(((J58-B58*INT(J58/B58)))/C58)/100))),0,(IF(B58=C58,J58/C58,(INT(J58/B58)+(((J58-B58*INT(J58/B58)))/C58)/100))))</f>
        <v>0</v>
      </c>
      <c r="AV58" s="57">
        <f>IF(ISERROR(IF(B58=C58,K58/C58,IF((INT(K58/B58)+(((K58-B58*INT(K58/B58)))/C58)/100)&lt;0,(INT(K58/B58)+(((K58-B58*INT(K58/B58)))/C58)/100)+(1-(B58/C58/100)),(INT(K58/B58)+(((K58-B58*INT(K58/B58)))/C58)/100)))),0,IF(B58=C58,K58/C58,IF((INT(K58/B58)+(((K58-B58*INT(K58/B58)))/C58)/100)&lt;0,(INT(K58/B58)+(((K58-B58*INT(K58/B58)))/C58)/100)+(1-(B58/C58/100)),(INT(K58/B58)+(((K58-B58*INT(K58/B58)))/C58)/100))))</f>
        <v>0</v>
      </c>
      <c r="AW58" s="57">
        <f>IF(ISERROR(IF(B58=C58,L58/C58,(INT(L58/B58)+(((L58-B58*INT(L58/B58)))/C58)/100))),0,(IF(B58=C58,L58/C58,(INT(L58/B58)+(((L58-B58*INT(L58/B58)))/C58)/100))))</f>
        <v>0</v>
      </c>
      <c r="AX58" s="57">
        <f>IF(ISERROR(IF(B58=C58,M58/C58,(INT(M58/B58)+(((M58-B58*INT(M58/B58)))/C58)/100))),0,(IF(B58=C58,M58/C58,(INT(M58/B58)+(((M58-B58*INT(M58/B58)))/C58)/100))))</f>
        <v>0</v>
      </c>
      <c r="AY58" s="57">
        <f>IF(ISERROR(IF(B58=C58,N58/C58,IF((INT(N58/B58)+(((N58-B58*INT(N58/B58)))/C58)/100)&lt;0,(INT(N58/B58)+(((N58-B58*INT(N58/B58)))/C58)/100)+(1-(B58/C58/100)),(INT(N58/B58)+(((N58-B58*INT(N58/B58)))/C58)/100)))),0,IF(B58=C58,N58/C58,IF((INT(N58/B58)+(((N58-B58*INT(N58/B58)))/C58)/100)&lt;0,(INT(N58/B58)+(((N58-B58*INT(N58/B58)))/C58)/100)+(1-(B58/C58/100)),(INT(N58/B58)+(((N58-B58*INT(N58/B58)))/C58)/100))))</f>
        <v>0</v>
      </c>
      <c r="AZ58" s="57">
        <f>IF(ISERROR(IF(B58=C58,O58/C58,(INT(O58/B58)+(((O58-B58*INT(O58/B58)))/C58)/100))),0,(IF(B58=C58,O58/C58,(INT(O58/B58)+(((O58-B58*INT(O58/B58)))/C58)/100))))</f>
        <v>0</v>
      </c>
      <c r="BA58" s="57">
        <f>IF(ISERROR(IF(B58=C58,P58/C58,IF((INT(P58/B58)+(((P58-B58*INT(P58/B58)))/C58)/100)&lt;0,(INT(P58/B58)+(((P58-B58*INT(P58/B58)))/C58)/100)+(1-(B58/C58/100)),(INT(P58/B58)+(((P58-B58*INT(P58/B58)))/C58)/100)))),0,IF(B58=C58,P58/C58,IF((INT(P58/B58)+(((P58-B58*INT(P58/B58)))/C58)/100)&lt;0,(INT(P58/B58)+(((P58-B58*INT(P58/B58)))/C58)/100)+(1-(B58/C58/100)),(INT(P58/B58)+(((P58-B58*INT(P58/B58)))/C58)/100))))</f>
        <v>0</v>
      </c>
      <c r="BB58" s="28">
        <f>R58</f>
        <v>0</v>
      </c>
      <c r="BC58" s="28">
        <f>S58</f>
        <v>0</v>
      </c>
      <c r="BD58" s="28">
        <f>AF58</f>
        <v>0</v>
      </c>
      <c r="BE58" s="28">
        <f>T58</f>
        <v>0</v>
      </c>
      <c r="BG58" s="57">
        <f>IF(ISERROR(IF(B58=C58,V58/C58,(INT(V58/B58)+(((V58-B58*INT(V58/B58)))/C58)/100))),0,(IF(B58=C58,V58/C58,(INT(V58/B58)+(((V58-B58*INT(V58/B58)))/C58)/100))))</f>
        <v>0</v>
      </c>
      <c r="BH58" s="57">
        <f>IF(ISERROR(IF(B58=C58,W58/C58,(INT(W58/B58)+(((W58-B58*INT(W58/B58)))/C58)/100))),0,(IF(B58=C58,W58/C58,(INT(W58/B58)+(((W58-B58*INT(W58/B58)))/C58)/100))))</f>
        <v>0</v>
      </c>
      <c r="BI58" s="57">
        <f>IF(ISERROR(IF(B58=C58,X58/C58,(INT(X58/B58)+(((X58-B58*INT(X58/B58)))/C58)/100))),0,(IF(B58=C58,X58/C58,(INT(X58/B58)+(((X58-B58*INT(X58/B58)))/C58)/100))))</f>
        <v>0</v>
      </c>
      <c r="BJ58" s="57">
        <f>IF(ISERROR(IF(B58=C58,Y58/C58,(INT(Y58/B58)+(((Y58-B58*INT(Y58/B58)))/C58)/100))),0,(IF(B58=C58,Y58/C58,(INT(Y58/B58)+(((Y58-B58*INT(Y58/B58)))/C58)/100))))</f>
        <v>0</v>
      </c>
      <c r="BL58" s="57">
        <f>IF(ISERROR(IF(B58=C58,AA58/C58,(INT(AA58/B58)+(((AA58-B58*INT(AA58/B58)))/C58)/100))),0,(IF(B58=C58,AA58/C58,(INT(AA58/B58)+(((AA58-B58*INT(AA58/B58)))/C58)/100))))</f>
        <v>0</v>
      </c>
      <c r="BM58" s="57">
        <f>IF(ISERROR(IF(B58=C58,AB58/C58,(INT(AB58/B58)+(((AB58-B58*INT(AB58/B58)))/C58)/100))),0,(IF(B58=C58,AB58/C58,(INT(AB58/B58)+(((AB58-B58*INT(AB58/B58)))/C58)/100))))</f>
        <v>0</v>
      </c>
      <c r="BN58" s="57">
        <f>IF(ISERROR(IF(B58=C58,AC58/C58,(INT(AC58/B58)+(((AC58-B58*INT(AC58/B58)))/C58)/100))),0,(IF(B58=C58,AC58/C58,(INT(AC58/B58)+(((AC58-B58*INT(AC58/B58)))/C58)/100))))</f>
        <v>0</v>
      </c>
      <c r="BO58" s="57">
        <f>IF(ISERROR(IF(B58=C58,AD58/C58,(INT(AD58/B58)+(((AD58-B58*INT(AD58/B58)))/C58)/100))),0,(IF(B58=C58,AD58/C58,(INT(AD58/B58)+(((AD58-B58*INT(AD58/B58)))/C58)/100))))</f>
        <v>0</v>
      </c>
      <c r="BQ58" s="155"/>
    </row>
    <row r="59" spans="1:69" hidden="1" x14ac:dyDescent="0.35">
      <c r="A59" s="94"/>
      <c r="B59" s="113">
        <v>0</v>
      </c>
      <c r="C59" s="113">
        <v>0</v>
      </c>
      <c r="D59" s="28">
        <f>SUM(AA59:AD59)</f>
        <v>0</v>
      </c>
      <c r="E59" s="113">
        <v>0</v>
      </c>
      <c r="F59" s="113">
        <v>0</v>
      </c>
      <c r="G59" s="28">
        <f>SUM(D59:F59)</f>
        <v>0</v>
      </c>
      <c r="H59" s="125">
        <v>0</v>
      </c>
      <c r="I59" s="113">
        <v>0</v>
      </c>
      <c r="J59" s="125">
        <v>0</v>
      </c>
      <c r="K59" s="113">
        <v>0</v>
      </c>
      <c r="L59" s="113">
        <v>0</v>
      </c>
      <c r="M59" s="113">
        <v>0</v>
      </c>
      <c r="N59" s="28">
        <f>G59-SUM(H59:M59)</f>
        <v>0</v>
      </c>
      <c r="O59" s="28">
        <f>SUM(V59:Y59)</f>
        <v>0</v>
      </c>
      <c r="P59" s="28">
        <f>O59-N59</f>
        <v>0</v>
      </c>
      <c r="Q59" s="61" t="str">
        <f>IF(ISERROR(P59/SUM(H59:L59)),"",P59/SUM(H59:L59))</f>
        <v/>
      </c>
      <c r="R59" s="113">
        <v>0</v>
      </c>
      <c r="S59" s="28">
        <f>IF(ISERROR(P59/C59*R59),0,(P59/C59*R59))</f>
        <v>0</v>
      </c>
      <c r="T59" s="60">
        <f>IF(ISERROR(P59/B59*AF59),0,(P59/B59*AF59))</f>
        <v>0</v>
      </c>
      <c r="V59" s="113">
        <v>0</v>
      </c>
      <c r="W59" s="113">
        <v>0</v>
      </c>
      <c r="X59" s="113">
        <v>0</v>
      </c>
      <c r="Y59" s="113">
        <v>0</v>
      </c>
      <c r="AA59" s="113">
        <v>0</v>
      </c>
      <c r="AB59" s="113">
        <v>0</v>
      </c>
      <c r="AC59" s="113">
        <v>0</v>
      </c>
      <c r="AD59" s="113">
        <v>0</v>
      </c>
      <c r="AF59" s="113">
        <v>0</v>
      </c>
      <c r="AG59" s="28">
        <f>G59-O59</f>
        <v>0</v>
      </c>
      <c r="AH59" s="58">
        <f>IF(ISERROR(AG59/B59*AF59),0,(AG59/B59*AF59))</f>
        <v>0</v>
      </c>
      <c r="AI59" s="28">
        <f>SUM(H59:M59)</f>
        <v>0</v>
      </c>
      <c r="AJ59" s="28">
        <f>IF(ISERROR(AI59/B59*AF59),0,(AI59/B59*AF59))</f>
        <v>0</v>
      </c>
      <c r="AK59" s="58">
        <f>IF(ISERROR(O59/B59*AF59),0,(O59/B59*AF59))</f>
        <v>0</v>
      </c>
      <c r="AL59" s="28">
        <f>IF(ISERROR(H59/B59*AF59),0,(H59/B59*AF59))</f>
        <v>0</v>
      </c>
      <c r="AN59" s="51">
        <f>A59</f>
        <v>0</v>
      </c>
      <c r="AO59" s="57">
        <f>IF(ISERROR(IF(B59=C59,D59/C59,(INT(D59/B59)+(((D59-B59*INT(D59/B59)))/C59)/100))),0,(IF(B59=C59,D59/C59,(INT(D59/B59)+(((D59-B59*INT(D59/B59)))/C59)/100))))</f>
        <v>0</v>
      </c>
      <c r="AP59" s="57">
        <f>IF(ISERROR(IF(B59=C59,E59/C59,(INT(E59/B59)+(((E59-B59*INT(E59/B59)))/C59)/100))),0,(IF(B59=C59,E59/C59,(INT(E59/B59)+(((E59-B59*INT(E59/B59)))/C59)/100))))</f>
        <v>0</v>
      </c>
      <c r="AQ59" s="57">
        <f>IF(ISERROR(IF(B59=C59,F59/C59,IF((INT(F59/B59)+(((F59-B59*INT(F59/B59)))/C59)/100)&lt;0,(INT(F59/B59)+(((F59-B59*INT(F59/B59)))/C59)/100)+(1-(B59/C59/100)),(INT(F59/B59)+(((F59-B59*INT(F59/B59)))/C59)/100)))),0,IF(B59=C59,F59/C59,IF((INT(F59/B59)+(((F59-B59*INT(F59/B59)))/C59)/100)&lt;0,(INT(F59/B59)+(((F59-B59*INT(F59/B59)))/C59)/100)+(1-(B59/C59/100)),(INT(F59/B59)+(((F59-B59*INT(F59/B59)))/C59)/100))))</f>
        <v>0</v>
      </c>
      <c r="AR59" s="57">
        <f>IF(ISERROR(IF(B59=C59,G59/C59,(INT(G59/B59)+(((G59-B59*INT(G59/B59)))/C59)/100))),0,(IF(B59=C59,G59/C59,(INT(G59/B59)+(((G59-B59*INT(G59/B59)))/C59)/100))))</f>
        <v>0</v>
      </c>
      <c r="AS59" s="57">
        <f>IF(ISERROR(IF(B59=C59,H59/C59,(INT(H59/B59)+(((H59-B59*INT(H59/B59)))/C59)/100))),0,(IF(B59=C59,H59/C59,(INT(H59/B59)+(((H59-B59*INT(H59/B59)))/C59)/100))))</f>
        <v>0</v>
      </c>
      <c r="AT59" s="57">
        <f>IF(ISERROR(IF(B59=C59,I59/C59,(INT(I59/B59)+(((I59-B59*INT(I59/B59)))/C59)/100))),0,(IF(B59=C59,I59/C59,(INT(I59/B59)+(((I59-B59*INT(I59/B59)))/C59)/100))))</f>
        <v>0</v>
      </c>
      <c r="AU59" s="57">
        <f>IF(ISERROR(IF(B59=C59,J59/C59,(INT(J59/B59)+(((J59-B59*INT(J59/B59)))/C59)/100))),0,(IF(B59=C59,J59/C59,(INT(J59/B59)+(((J59-B59*INT(J59/B59)))/C59)/100))))</f>
        <v>0</v>
      </c>
      <c r="AV59" s="57">
        <f>IF(ISERROR(IF(B59=C59,K59/C59,IF((INT(K59/B59)+(((K59-B59*INT(K59/B59)))/C59)/100)&lt;0,(INT(K59/B59)+(((K59-B59*INT(K59/B59)))/C59)/100)+(1-(B59/C59/100)),(INT(K59/B59)+(((K59-B59*INT(K59/B59)))/C59)/100)))),0,IF(B59=C59,K59/C59,IF((INT(K59/B59)+(((K59-B59*INT(K59/B59)))/C59)/100)&lt;0,(INT(K59/B59)+(((K59-B59*INT(K59/B59)))/C59)/100)+(1-(B59/C59/100)),(INT(K59/B59)+(((K59-B59*INT(K59/B59)))/C59)/100))))</f>
        <v>0</v>
      </c>
      <c r="AW59" s="57">
        <f>IF(ISERROR(IF(B59=C59,L59/C59,(INT(L59/B59)+(((L59-B59*INT(L59/B59)))/C59)/100))),0,(IF(B59=C59,L59/C59,(INT(L59/B59)+(((L59-B59*INT(L59/B59)))/C59)/100))))</f>
        <v>0</v>
      </c>
      <c r="AX59" s="57">
        <f>IF(ISERROR(IF(B59=C59,M59/C59,(INT(M59/B59)+(((M59-B59*INT(M59/B59)))/C59)/100))),0,(IF(B59=C59,M59/C59,(INT(M59/B59)+(((M59-B59*INT(M59/B59)))/C59)/100))))</f>
        <v>0</v>
      </c>
      <c r="AY59" s="57">
        <f>IF(ISERROR(IF(B59=C59,N59/C59,IF((INT(N59/B59)+(((N59-B59*INT(N59/B59)))/C59)/100)&lt;0,(INT(N59/B59)+(((N59-B59*INT(N59/B59)))/C59)/100)+(1-(B59/C59/100)),(INT(N59/B59)+(((N59-B59*INT(N59/B59)))/C59)/100)))),0,IF(B59=C59,N59/C59,IF((INT(N59/B59)+(((N59-B59*INT(N59/B59)))/C59)/100)&lt;0,(INT(N59/B59)+(((N59-B59*INT(N59/B59)))/C59)/100)+(1-(B59/C59/100)),(INT(N59/B59)+(((N59-B59*INT(N59/B59)))/C59)/100))))</f>
        <v>0</v>
      </c>
      <c r="AZ59" s="57">
        <f>IF(ISERROR(IF(B59=C59,O59/C59,(INT(O59/B59)+(((O59-B59*INT(O59/B59)))/C59)/100))),0,(IF(B59=C59,O59/C59,(INT(O59/B59)+(((O59-B59*INT(O59/B59)))/C59)/100))))</f>
        <v>0</v>
      </c>
      <c r="BA59" s="57">
        <f>IF(ISERROR(IF(B59=C59,P59/C59,IF((INT(P59/B59)+(((P59-B59*INT(P59/B59)))/C59)/100)&lt;0,(INT(P59/B59)+(((P59-B59*INT(P59/B59)))/C59)/100)+(1-(B59/C59/100)),(INT(P59/B59)+(((P59-B59*INT(P59/B59)))/C59)/100)))),0,IF(B59=C59,P59/C59,IF((INT(P59/B59)+(((P59-B59*INT(P59/B59)))/C59)/100)&lt;0,(INT(P59/B59)+(((P59-B59*INT(P59/B59)))/C59)/100)+(1-(B59/C59/100)),(INT(P59/B59)+(((P59-B59*INT(P59/B59)))/C59)/100))))</f>
        <v>0</v>
      </c>
      <c r="BB59" s="28">
        <f>R59</f>
        <v>0</v>
      </c>
      <c r="BC59" s="28">
        <f>S59</f>
        <v>0</v>
      </c>
      <c r="BD59" s="28">
        <f>AF59</f>
        <v>0</v>
      </c>
      <c r="BE59" s="28">
        <f>T59</f>
        <v>0</v>
      </c>
      <c r="BG59" s="57">
        <f>IF(ISERROR(IF(B59=C59,V59/C59,(INT(V59/B59)+(((V59-B59*INT(V59/B59)))/C59)/100))),0,(IF(B59=C59,V59/C59,(INT(V59/B59)+(((V59-B59*INT(V59/B59)))/C59)/100))))</f>
        <v>0</v>
      </c>
      <c r="BH59" s="57">
        <f>IF(ISERROR(IF(B59=C59,W59/C59,(INT(W59/B59)+(((W59-B59*INT(W59/B59)))/C59)/100))),0,(IF(B59=C59,W59/C59,(INT(W59/B59)+(((W59-B59*INT(W59/B59)))/C59)/100))))</f>
        <v>0</v>
      </c>
      <c r="BI59" s="57">
        <f>IF(ISERROR(IF(B59=C59,X59/C59,(INT(X59/B59)+(((X59-B59*INT(X59/B59)))/C59)/100))),0,(IF(B59=C59,X59/C59,(INT(X59/B59)+(((X59-B59*INT(X59/B59)))/C59)/100))))</f>
        <v>0</v>
      </c>
      <c r="BJ59" s="57">
        <f>IF(ISERROR(IF(B59=C59,Y59/C59,(INT(Y59/B59)+(((Y59-B59*INT(Y59/B59)))/C59)/100))),0,(IF(B59=C59,Y59/C59,(INT(Y59/B59)+(((Y59-B59*INT(Y59/B59)))/C59)/100))))</f>
        <v>0</v>
      </c>
      <c r="BL59" s="57">
        <f>IF(ISERROR(IF(B59=C59,AA59/C59,(INT(AA59/B59)+(((AA59-B59*INT(AA59/B59)))/C59)/100))),0,(IF(B59=C59,AA59/C59,(INT(AA59/B59)+(((AA59-B59*INT(AA59/B59)))/C59)/100))))</f>
        <v>0</v>
      </c>
      <c r="BM59" s="57">
        <f>IF(ISERROR(IF(B59=C59,AB59/C59,(INT(AB59/B59)+(((AB59-B59*INT(AB59/B59)))/C59)/100))),0,(IF(B59=C59,AB59/C59,(INT(AB59/B59)+(((AB59-B59*INT(AB59/B59)))/C59)/100))))</f>
        <v>0</v>
      </c>
      <c r="BN59" s="57">
        <f>IF(ISERROR(IF(B59=C59,AC59/C59,(INT(AC59/B59)+(((AC59-B59*INT(AC59/B59)))/C59)/100))),0,(IF(B59=C59,AC59/C59,(INT(AC59/B59)+(((AC59-B59*INT(AC59/B59)))/C59)/100))))</f>
        <v>0</v>
      </c>
      <c r="BO59" s="57">
        <f>IF(ISERROR(IF(B59=C59,AD59/C59,(INT(AD59/B59)+(((AD59-B59*INT(AD59/B59)))/C59)/100))),0,(IF(B59=C59,AD59/C59,(INT(AD59/B59)+(((AD59-B59*INT(AD59/B59)))/C59)/100))))</f>
        <v>0</v>
      </c>
      <c r="BQ59" s="155"/>
    </row>
    <row r="60" spans="1:69" hidden="1" x14ac:dyDescent="0.35">
      <c r="A60" s="94"/>
      <c r="B60" s="113">
        <v>0</v>
      </c>
      <c r="C60" s="113">
        <v>0</v>
      </c>
      <c r="D60" s="28">
        <f>SUM(AA60:AD60)</f>
        <v>0</v>
      </c>
      <c r="E60" s="113">
        <v>0</v>
      </c>
      <c r="F60" s="113">
        <v>0</v>
      </c>
      <c r="G60" s="28">
        <f>SUM(D60:F60)</f>
        <v>0</v>
      </c>
      <c r="H60" s="125">
        <v>0</v>
      </c>
      <c r="I60" s="113">
        <v>0</v>
      </c>
      <c r="J60" s="125">
        <v>0</v>
      </c>
      <c r="K60" s="113">
        <v>0</v>
      </c>
      <c r="L60" s="113">
        <v>0</v>
      </c>
      <c r="M60" s="113">
        <v>0</v>
      </c>
      <c r="N60" s="28">
        <f>G60-SUM(H60:M60)</f>
        <v>0</v>
      </c>
      <c r="O60" s="28">
        <f>SUM(V60:Y60)</f>
        <v>0</v>
      </c>
      <c r="P60" s="28">
        <f>O60-N60</f>
        <v>0</v>
      </c>
      <c r="Q60" s="61" t="str">
        <f>IF(ISERROR(P60/SUM(H60:L60)),"",P60/SUM(H60:L60))</f>
        <v/>
      </c>
      <c r="R60" s="113">
        <v>0</v>
      </c>
      <c r="S60" s="28">
        <f>IF(ISERROR(P60/C60*R60),0,(P60/C60*R60))</f>
        <v>0</v>
      </c>
      <c r="T60" s="60">
        <f>IF(ISERROR(P60/B60*AF60),0,(P60/B60*AF60))</f>
        <v>0</v>
      </c>
      <c r="V60" s="113">
        <v>0</v>
      </c>
      <c r="W60" s="113">
        <v>0</v>
      </c>
      <c r="X60" s="113">
        <v>0</v>
      </c>
      <c r="Y60" s="113">
        <v>0</v>
      </c>
      <c r="AA60" s="113">
        <v>0</v>
      </c>
      <c r="AB60" s="113">
        <v>0</v>
      </c>
      <c r="AC60" s="113">
        <v>0</v>
      </c>
      <c r="AD60" s="113">
        <v>0</v>
      </c>
      <c r="AF60" s="113">
        <v>0</v>
      </c>
      <c r="AG60" s="28">
        <f>G60-O60</f>
        <v>0</v>
      </c>
      <c r="AH60" s="58">
        <f>IF(ISERROR(AG60/B60*AF60),0,(AG60/B60*AF60))</f>
        <v>0</v>
      </c>
      <c r="AI60" s="28">
        <f>SUM(H60:M60)</f>
        <v>0</v>
      </c>
      <c r="AJ60" s="28">
        <f>IF(ISERROR(AI60/B60*AF60),0,(AI60/B60*AF60))</f>
        <v>0</v>
      </c>
      <c r="AK60" s="58">
        <f>IF(ISERROR(O60/B60*AF60),0,(O60/B60*AF60))</f>
        <v>0</v>
      </c>
      <c r="AL60" s="28">
        <f>IF(ISERROR(H60/B60*AF60),0,(H60/B60*AF60))</f>
        <v>0</v>
      </c>
      <c r="AN60" s="51">
        <f>A60</f>
        <v>0</v>
      </c>
      <c r="AO60" s="57">
        <f>IF(ISERROR(IF(B60=C60,D60/C60,(INT(D60/B60)+(((D60-B60*INT(D60/B60)))/C60)/100))),0,(IF(B60=C60,D60/C60,(INT(D60/B60)+(((D60-B60*INT(D60/B60)))/C60)/100))))</f>
        <v>0</v>
      </c>
      <c r="AP60" s="57">
        <f>IF(ISERROR(IF(B60=C60,E60/C60,(INT(E60/B60)+(((E60-B60*INT(E60/B60)))/C60)/100))),0,(IF(B60=C60,E60/C60,(INT(E60/B60)+(((E60-B60*INT(E60/B60)))/C60)/100))))</f>
        <v>0</v>
      </c>
      <c r="AQ60" s="57">
        <f>IF(ISERROR(IF(B60=C60,F60/C60,IF((INT(F60/B60)+(((F60-B60*INT(F60/B60)))/C60)/100)&lt;0,(INT(F60/B60)+(((F60-B60*INT(F60/B60)))/C60)/100)+(1-(B60/C60/100)),(INT(F60/B60)+(((F60-B60*INT(F60/B60)))/C60)/100)))),0,IF(B60=C60,F60/C60,IF((INT(F60/B60)+(((F60-B60*INT(F60/B60)))/C60)/100)&lt;0,(INT(F60/B60)+(((F60-B60*INT(F60/B60)))/C60)/100)+(1-(B60/C60/100)),(INT(F60/B60)+(((F60-B60*INT(F60/B60)))/C60)/100))))</f>
        <v>0</v>
      </c>
      <c r="AR60" s="57">
        <f>IF(ISERROR(IF(B60=C60,G60/C60,(INT(G60/B60)+(((G60-B60*INT(G60/B60)))/C60)/100))),0,(IF(B60=C60,G60/C60,(INT(G60/B60)+(((G60-B60*INT(G60/B60)))/C60)/100))))</f>
        <v>0</v>
      </c>
      <c r="AS60" s="57">
        <f>IF(ISERROR(IF(B60=C60,H60/C60,(INT(H60/B60)+(((H60-B60*INT(H60/B60)))/C60)/100))),0,(IF(B60=C60,H60/C60,(INT(H60/B60)+(((H60-B60*INT(H60/B60)))/C60)/100))))</f>
        <v>0</v>
      </c>
      <c r="AT60" s="57">
        <f>IF(ISERROR(IF(B60=C60,I60/C60,(INT(I60/B60)+(((I60-B60*INT(I60/B60)))/C60)/100))),0,(IF(B60=C60,I60/C60,(INT(I60/B60)+(((I60-B60*INT(I60/B60)))/C60)/100))))</f>
        <v>0</v>
      </c>
      <c r="AU60" s="57">
        <f>IF(ISERROR(IF(B60=C60,J60/C60,(INT(J60/B60)+(((J60-B60*INT(J60/B60)))/C60)/100))),0,(IF(B60=C60,J60/C60,(INT(J60/B60)+(((J60-B60*INT(J60/B60)))/C60)/100))))</f>
        <v>0</v>
      </c>
      <c r="AV60" s="57">
        <f>IF(ISERROR(IF(B60=C60,K60/C60,IF((INT(K60/B60)+(((K60-B60*INT(K60/B60)))/C60)/100)&lt;0,(INT(K60/B60)+(((K60-B60*INT(K60/B60)))/C60)/100)+(1-(B60/C60/100)),(INT(K60/B60)+(((K60-B60*INT(K60/B60)))/C60)/100)))),0,IF(B60=C60,K60/C60,IF((INT(K60/B60)+(((K60-B60*INT(K60/B60)))/C60)/100)&lt;0,(INT(K60/B60)+(((K60-B60*INT(K60/B60)))/C60)/100)+(1-(B60/C60/100)),(INT(K60/B60)+(((K60-B60*INT(K60/B60)))/C60)/100))))</f>
        <v>0</v>
      </c>
      <c r="AW60" s="57">
        <f>IF(ISERROR(IF(B60=C60,L60/C60,(INT(L60/B60)+(((L60-B60*INT(L60/B60)))/C60)/100))),0,(IF(B60=C60,L60/C60,(INT(L60/B60)+(((L60-B60*INT(L60/B60)))/C60)/100))))</f>
        <v>0</v>
      </c>
      <c r="AX60" s="57">
        <f>IF(ISERROR(IF(B60=C60,M60/C60,(INT(M60/B60)+(((M60-B60*INT(M60/B60)))/C60)/100))),0,(IF(B60=C60,M60/C60,(INT(M60/B60)+(((M60-B60*INT(M60/B60)))/C60)/100))))</f>
        <v>0</v>
      </c>
      <c r="AY60" s="57">
        <f>IF(ISERROR(IF(B60=C60,N60/C60,IF((INT(N60/B60)+(((N60-B60*INT(N60/B60)))/C60)/100)&lt;0,(INT(N60/B60)+(((N60-B60*INT(N60/B60)))/C60)/100)+(1-(B60/C60/100)),(INT(N60/B60)+(((N60-B60*INT(N60/B60)))/C60)/100)))),0,IF(B60=C60,N60/C60,IF((INT(N60/B60)+(((N60-B60*INT(N60/B60)))/C60)/100)&lt;0,(INT(N60/B60)+(((N60-B60*INT(N60/B60)))/C60)/100)+(1-(B60/C60/100)),(INT(N60/B60)+(((N60-B60*INT(N60/B60)))/C60)/100))))</f>
        <v>0</v>
      </c>
      <c r="AZ60" s="57">
        <f>IF(ISERROR(IF(B60=C60,O60/C60,(INT(O60/B60)+(((O60-B60*INT(O60/B60)))/C60)/100))),0,(IF(B60=C60,O60/C60,(INT(O60/B60)+(((O60-B60*INT(O60/B60)))/C60)/100))))</f>
        <v>0</v>
      </c>
      <c r="BA60" s="57">
        <f>IF(ISERROR(IF(B60=C60,P60/C60,IF((INT(P60/B60)+(((P60-B60*INT(P60/B60)))/C60)/100)&lt;0,(INT(P60/B60)+(((P60-B60*INT(P60/B60)))/C60)/100)+(1-(B60/C60/100)),(INT(P60/B60)+(((P60-B60*INT(P60/B60)))/C60)/100)))),0,IF(B60=C60,P60/C60,IF((INT(P60/B60)+(((P60-B60*INT(P60/B60)))/C60)/100)&lt;0,(INT(P60/B60)+(((P60-B60*INT(P60/B60)))/C60)/100)+(1-(B60/C60/100)),(INT(P60/B60)+(((P60-B60*INT(P60/B60)))/C60)/100))))</f>
        <v>0</v>
      </c>
      <c r="BB60" s="28">
        <f>R60</f>
        <v>0</v>
      </c>
      <c r="BC60" s="28">
        <f>S60</f>
        <v>0</v>
      </c>
      <c r="BD60" s="28">
        <f>AF60</f>
        <v>0</v>
      </c>
      <c r="BE60" s="28">
        <f>T60</f>
        <v>0</v>
      </c>
      <c r="BG60" s="57">
        <f>IF(ISERROR(IF(B60=C60,V60/C60,(INT(V60/B60)+(((V60-B60*INT(V60/B60)))/C60)/100))),0,(IF(B60=C60,V60/C60,(INT(V60/B60)+(((V60-B60*INT(V60/B60)))/C60)/100))))</f>
        <v>0</v>
      </c>
      <c r="BH60" s="57">
        <f>IF(ISERROR(IF(B60=C60,W60/C60,(INT(W60/B60)+(((W60-B60*INT(W60/B60)))/C60)/100))),0,(IF(B60=C60,W60/C60,(INT(W60/B60)+(((W60-B60*INT(W60/B60)))/C60)/100))))</f>
        <v>0</v>
      </c>
      <c r="BI60" s="57">
        <f>IF(ISERROR(IF(B60=C60,X60/C60,(INT(X60/B60)+(((X60-B60*INT(X60/B60)))/C60)/100))),0,(IF(B60=C60,X60/C60,(INT(X60/B60)+(((X60-B60*INT(X60/B60)))/C60)/100))))</f>
        <v>0</v>
      </c>
      <c r="BJ60" s="57">
        <f>IF(ISERROR(IF(B60=C60,Y60/C60,(INT(Y60/B60)+(((Y60-B60*INT(Y60/B60)))/C60)/100))),0,(IF(B60=C60,Y60/C60,(INT(Y60/B60)+(((Y60-B60*INT(Y60/B60)))/C60)/100))))</f>
        <v>0</v>
      </c>
      <c r="BL60" s="57">
        <f>IF(ISERROR(IF(B60=C60,AA60/C60,(INT(AA60/B60)+(((AA60-B60*INT(AA60/B60)))/C60)/100))),0,(IF(B60=C60,AA60/C60,(INT(AA60/B60)+(((AA60-B60*INT(AA60/B60)))/C60)/100))))</f>
        <v>0</v>
      </c>
      <c r="BM60" s="57">
        <f>IF(ISERROR(IF(B60=C60,AB60/C60,(INT(AB60/B60)+(((AB60-B60*INT(AB60/B60)))/C60)/100))),0,(IF(B60=C60,AB60/C60,(INT(AB60/B60)+(((AB60-B60*INT(AB60/B60)))/C60)/100))))</f>
        <v>0</v>
      </c>
      <c r="BN60" s="57">
        <f>IF(ISERROR(IF(B60=C60,AC60/C60,(INT(AC60/B60)+(((AC60-B60*INT(AC60/B60)))/C60)/100))),0,(IF(B60=C60,AC60/C60,(INT(AC60/B60)+(((AC60-B60*INT(AC60/B60)))/C60)/100))))</f>
        <v>0</v>
      </c>
      <c r="BO60" s="57">
        <f>IF(ISERROR(IF(B60=C60,AD60/C60,(INT(AD60/B60)+(((AD60-B60*INT(AD60/B60)))/C60)/100))),0,(IF(B60=C60,AD60/C60,(INT(AD60/B60)+(((AD60-B60*INT(AD60/B60)))/C60)/100))))</f>
        <v>0</v>
      </c>
      <c r="BQ60" s="155"/>
    </row>
    <row r="61" spans="1:69" hidden="1" x14ac:dyDescent="0.35">
      <c r="A61" s="94"/>
      <c r="B61" s="113">
        <v>0</v>
      </c>
      <c r="C61" s="113">
        <v>0</v>
      </c>
      <c r="D61" s="28">
        <f>SUM(AA61:AD61)</f>
        <v>0</v>
      </c>
      <c r="E61" s="113">
        <v>0</v>
      </c>
      <c r="F61" s="113">
        <v>0</v>
      </c>
      <c r="G61" s="28">
        <f>SUM(D61:F61)</f>
        <v>0</v>
      </c>
      <c r="H61" s="125">
        <v>0</v>
      </c>
      <c r="I61" s="113">
        <v>0</v>
      </c>
      <c r="J61" s="125">
        <v>0</v>
      </c>
      <c r="K61" s="113">
        <v>0</v>
      </c>
      <c r="L61" s="113">
        <v>0</v>
      </c>
      <c r="M61" s="113">
        <v>0</v>
      </c>
      <c r="N61" s="28">
        <f>G61-SUM(H61:M61)</f>
        <v>0</v>
      </c>
      <c r="O61" s="28">
        <f>SUM(V61:Y61)</f>
        <v>0</v>
      </c>
      <c r="P61" s="28">
        <f>O61-N61</f>
        <v>0</v>
      </c>
      <c r="Q61" s="61" t="str">
        <f>IF(ISERROR(P61/SUM(H61:L61)),"",P61/SUM(H61:L61))</f>
        <v/>
      </c>
      <c r="R61" s="113">
        <v>0</v>
      </c>
      <c r="S61" s="28">
        <f>IF(ISERROR(P61/C61*R61),0,(P61/C61*R61))</f>
        <v>0</v>
      </c>
      <c r="T61" s="60">
        <f>IF(ISERROR(P61/B61*AF61),0,(P61/B61*AF61))</f>
        <v>0</v>
      </c>
      <c r="V61" s="113">
        <v>0</v>
      </c>
      <c r="W61" s="113">
        <v>0</v>
      </c>
      <c r="X61" s="113">
        <v>0</v>
      </c>
      <c r="Y61" s="113">
        <v>0</v>
      </c>
      <c r="AA61" s="113">
        <v>0</v>
      </c>
      <c r="AB61" s="113">
        <v>0</v>
      </c>
      <c r="AC61" s="113">
        <v>0</v>
      </c>
      <c r="AD61" s="113">
        <v>0</v>
      </c>
      <c r="AF61" s="113">
        <v>0</v>
      </c>
      <c r="AG61" s="28">
        <f>G61-O61</f>
        <v>0</v>
      </c>
      <c r="AH61" s="58">
        <f>IF(ISERROR(AG61/B61*AF61),0,(AG61/B61*AF61))</f>
        <v>0</v>
      </c>
      <c r="AI61" s="28">
        <f>SUM(H61:M61)</f>
        <v>0</v>
      </c>
      <c r="AJ61" s="28">
        <f>IF(ISERROR(AI61/B61*AF61),0,(AI61/B61*AF61))</f>
        <v>0</v>
      </c>
      <c r="AK61" s="58">
        <f>IF(ISERROR(O61/B61*AF61),0,(O61/B61*AF61))</f>
        <v>0</v>
      </c>
      <c r="AL61" s="28">
        <f>IF(ISERROR(H61/B61*AF61),0,(H61/B61*AF61))</f>
        <v>0</v>
      </c>
      <c r="AN61" s="51">
        <f>A61</f>
        <v>0</v>
      </c>
      <c r="AO61" s="57">
        <f>IF(ISERROR(IF(B61=C61,D61/C61,(INT(D61/B61)+(((D61-B61*INT(D61/B61)))/C61)/100))),0,(IF(B61=C61,D61/C61,(INT(D61/B61)+(((D61-B61*INT(D61/B61)))/C61)/100))))</f>
        <v>0</v>
      </c>
      <c r="AP61" s="57">
        <f>IF(ISERROR(IF(B61=C61,E61/C61,(INT(E61/B61)+(((E61-B61*INT(E61/B61)))/C61)/100))),0,(IF(B61=C61,E61/C61,(INT(E61/B61)+(((E61-B61*INT(E61/B61)))/C61)/100))))</f>
        <v>0</v>
      </c>
      <c r="AQ61" s="57">
        <f>IF(ISERROR(IF(B61=C61,F61/C61,IF((INT(F61/B61)+(((F61-B61*INT(F61/B61)))/C61)/100)&lt;0,(INT(F61/B61)+(((F61-B61*INT(F61/B61)))/C61)/100)+(1-(B61/C61/100)),(INT(F61/B61)+(((F61-B61*INT(F61/B61)))/C61)/100)))),0,IF(B61=C61,F61/C61,IF((INT(F61/B61)+(((F61-B61*INT(F61/B61)))/C61)/100)&lt;0,(INT(F61/B61)+(((F61-B61*INT(F61/B61)))/C61)/100)+(1-(B61/C61/100)),(INT(F61/B61)+(((F61-B61*INT(F61/B61)))/C61)/100))))</f>
        <v>0</v>
      </c>
      <c r="AR61" s="57">
        <f>IF(ISERROR(IF(B61=C61,G61/C61,(INT(G61/B61)+(((G61-B61*INT(G61/B61)))/C61)/100))),0,(IF(B61=C61,G61/C61,(INT(G61/B61)+(((G61-B61*INT(G61/B61)))/C61)/100))))</f>
        <v>0</v>
      </c>
      <c r="AS61" s="57">
        <f>IF(ISERROR(IF(B61=C61,H61/C61,(INT(H61/B61)+(((H61-B61*INT(H61/B61)))/C61)/100))),0,(IF(B61=C61,H61/C61,(INT(H61/B61)+(((H61-B61*INT(H61/B61)))/C61)/100))))</f>
        <v>0</v>
      </c>
      <c r="AT61" s="57">
        <f>IF(ISERROR(IF(B61=C61,I61/C61,(INT(I61/B61)+(((I61-B61*INT(I61/B61)))/C61)/100))),0,(IF(B61=C61,I61/C61,(INT(I61/B61)+(((I61-B61*INT(I61/B61)))/C61)/100))))</f>
        <v>0</v>
      </c>
      <c r="AU61" s="57">
        <f>IF(ISERROR(IF(B61=C61,J61/C61,(INT(J61/B61)+(((J61-B61*INT(J61/B61)))/C61)/100))),0,(IF(B61=C61,J61/C61,(INT(J61/B61)+(((J61-B61*INT(J61/B61)))/C61)/100))))</f>
        <v>0</v>
      </c>
      <c r="AV61" s="57">
        <f>IF(ISERROR(IF(B61=C61,K61/C61,IF((INT(K61/B61)+(((K61-B61*INT(K61/B61)))/C61)/100)&lt;0,(INT(K61/B61)+(((K61-B61*INT(K61/B61)))/C61)/100)+(1-(B61/C61/100)),(INT(K61/B61)+(((K61-B61*INT(K61/B61)))/C61)/100)))),0,IF(B61=C61,K61/C61,IF((INT(K61/B61)+(((K61-B61*INT(K61/B61)))/C61)/100)&lt;0,(INT(K61/B61)+(((K61-B61*INT(K61/B61)))/C61)/100)+(1-(B61/C61/100)),(INT(K61/B61)+(((K61-B61*INT(K61/B61)))/C61)/100))))</f>
        <v>0</v>
      </c>
      <c r="AW61" s="57">
        <f>IF(ISERROR(IF(B61=C61,L61/C61,(INT(L61/B61)+(((L61-B61*INT(L61/B61)))/C61)/100))),0,(IF(B61=C61,L61/C61,(INT(L61/B61)+(((L61-B61*INT(L61/B61)))/C61)/100))))</f>
        <v>0</v>
      </c>
      <c r="AX61" s="57">
        <f>IF(ISERROR(IF(B61=C61,M61/C61,(INT(M61/B61)+(((M61-B61*INT(M61/B61)))/C61)/100))),0,(IF(B61=C61,M61/C61,(INT(M61/B61)+(((M61-B61*INT(M61/B61)))/C61)/100))))</f>
        <v>0</v>
      </c>
      <c r="AY61" s="57">
        <f>IF(ISERROR(IF(B61=C61,N61/C61,IF((INT(N61/B61)+(((N61-B61*INT(N61/B61)))/C61)/100)&lt;0,(INT(N61/B61)+(((N61-B61*INT(N61/B61)))/C61)/100)+(1-(B61/C61/100)),(INT(N61/B61)+(((N61-B61*INT(N61/B61)))/C61)/100)))),0,IF(B61=C61,N61/C61,IF((INT(N61/B61)+(((N61-B61*INT(N61/B61)))/C61)/100)&lt;0,(INT(N61/B61)+(((N61-B61*INT(N61/B61)))/C61)/100)+(1-(B61/C61/100)),(INT(N61/B61)+(((N61-B61*INT(N61/B61)))/C61)/100))))</f>
        <v>0</v>
      </c>
      <c r="AZ61" s="57">
        <f>IF(ISERROR(IF(B61=C61,O61/C61,(INT(O61/B61)+(((O61-B61*INT(O61/B61)))/C61)/100))),0,(IF(B61=C61,O61/C61,(INT(O61/B61)+(((O61-B61*INT(O61/B61)))/C61)/100))))</f>
        <v>0</v>
      </c>
      <c r="BA61" s="57">
        <f>IF(ISERROR(IF(B61=C61,P61/C61,IF((INT(P61/B61)+(((P61-B61*INT(P61/B61)))/C61)/100)&lt;0,(INT(P61/B61)+(((P61-B61*INT(P61/B61)))/C61)/100)+(1-(B61/C61/100)),(INT(P61/B61)+(((P61-B61*INT(P61/B61)))/C61)/100)))),0,IF(B61=C61,P61/C61,IF((INT(P61/B61)+(((P61-B61*INT(P61/B61)))/C61)/100)&lt;0,(INT(P61/B61)+(((P61-B61*INT(P61/B61)))/C61)/100)+(1-(B61/C61/100)),(INT(P61/B61)+(((P61-B61*INT(P61/B61)))/C61)/100))))</f>
        <v>0</v>
      </c>
      <c r="BB61" s="28">
        <f>R61</f>
        <v>0</v>
      </c>
      <c r="BC61" s="28">
        <f>S61</f>
        <v>0</v>
      </c>
      <c r="BD61" s="28">
        <f>AF61</f>
        <v>0</v>
      </c>
      <c r="BE61" s="28">
        <f>T61</f>
        <v>0</v>
      </c>
      <c r="BG61" s="57">
        <f>IF(ISERROR(IF(B61=C61,V61/C61,(INT(V61/B61)+(((V61-B61*INT(V61/B61)))/C61)/100))),0,(IF(B61=C61,V61/C61,(INT(V61/B61)+(((V61-B61*INT(V61/B61)))/C61)/100))))</f>
        <v>0</v>
      </c>
      <c r="BH61" s="57">
        <f>IF(ISERROR(IF(B61=C61,W61/C61,(INT(W61/B61)+(((W61-B61*INT(W61/B61)))/C61)/100))),0,(IF(B61=C61,W61/C61,(INT(W61/B61)+(((W61-B61*INT(W61/B61)))/C61)/100))))</f>
        <v>0</v>
      </c>
      <c r="BI61" s="57">
        <f>IF(ISERROR(IF(B61=C61,X61/C61,(INT(X61/B61)+(((X61-B61*INT(X61/B61)))/C61)/100))),0,(IF(B61=C61,X61/C61,(INT(X61/B61)+(((X61-B61*INT(X61/B61)))/C61)/100))))</f>
        <v>0</v>
      </c>
      <c r="BJ61" s="57">
        <f>IF(ISERROR(IF(B61=C61,Y61/C61,(INT(Y61/B61)+(((Y61-B61*INT(Y61/B61)))/C61)/100))),0,(IF(B61=C61,Y61/C61,(INT(Y61/B61)+(((Y61-B61*INT(Y61/B61)))/C61)/100))))</f>
        <v>0</v>
      </c>
      <c r="BL61" s="57">
        <f>IF(ISERROR(IF(B61=C61,AA61/C61,(INT(AA61/B61)+(((AA61-B61*INT(AA61/B61)))/C61)/100))),0,(IF(B61=C61,AA61/C61,(INT(AA61/B61)+(((AA61-B61*INT(AA61/B61)))/C61)/100))))</f>
        <v>0</v>
      </c>
      <c r="BM61" s="57">
        <f>IF(ISERROR(IF(B61=C61,AB61/C61,(INT(AB61/B61)+(((AB61-B61*INT(AB61/B61)))/C61)/100))),0,(IF(B61=C61,AB61/C61,(INT(AB61/B61)+(((AB61-B61*INT(AB61/B61)))/C61)/100))))</f>
        <v>0</v>
      </c>
      <c r="BN61" s="57">
        <f>IF(ISERROR(IF(B61=C61,AC61/C61,(INT(AC61/B61)+(((AC61-B61*INT(AC61/B61)))/C61)/100))),0,(IF(B61=C61,AC61/C61,(INT(AC61/B61)+(((AC61-B61*INT(AC61/B61)))/C61)/100))))</f>
        <v>0</v>
      </c>
      <c r="BO61" s="57">
        <f>IF(ISERROR(IF(B61=C61,AD61/C61,(INT(AD61/B61)+(((AD61-B61*INT(AD61/B61)))/C61)/100))),0,(IF(B61=C61,AD61/C61,(INT(AD61/B61)+(((AD61-B61*INT(AD61/B61)))/C61)/100))))</f>
        <v>0</v>
      </c>
      <c r="BQ61" s="155"/>
    </row>
    <row r="62" spans="1:69" hidden="1" x14ac:dyDescent="0.35">
      <c r="A62" s="94"/>
      <c r="B62" s="113">
        <v>0</v>
      </c>
      <c r="C62" s="113">
        <v>0</v>
      </c>
      <c r="D62" s="28">
        <f>SUM(AA62:AD62)</f>
        <v>0</v>
      </c>
      <c r="E62" s="113">
        <v>0</v>
      </c>
      <c r="F62" s="113">
        <v>0</v>
      </c>
      <c r="G62" s="28">
        <f>SUM(D62:F62)</f>
        <v>0</v>
      </c>
      <c r="H62" s="125">
        <v>0</v>
      </c>
      <c r="I62" s="113">
        <v>0</v>
      </c>
      <c r="J62" s="125">
        <v>0</v>
      </c>
      <c r="K62" s="113">
        <v>0</v>
      </c>
      <c r="L62" s="113">
        <v>0</v>
      </c>
      <c r="M62" s="113">
        <v>0</v>
      </c>
      <c r="N62" s="28">
        <f>G62-SUM(H62:M62)</f>
        <v>0</v>
      </c>
      <c r="O62" s="28">
        <f>SUM(V62:Y62)</f>
        <v>0</v>
      </c>
      <c r="P62" s="28">
        <f>O62-N62</f>
        <v>0</v>
      </c>
      <c r="Q62" s="61" t="str">
        <f>IF(ISERROR(P62/SUM(H62:L62)),"",P62/SUM(H62:L62))</f>
        <v/>
      </c>
      <c r="R62" s="113">
        <v>0</v>
      </c>
      <c r="S62" s="28">
        <f>IF(ISERROR(P62/C62*R62),0,(P62/C62*R62))</f>
        <v>0</v>
      </c>
      <c r="T62" s="60">
        <f>IF(ISERROR(P62/B62*AF62),0,(P62/B62*AF62))</f>
        <v>0</v>
      </c>
      <c r="V62" s="113">
        <v>0</v>
      </c>
      <c r="W62" s="113">
        <v>0</v>
      </c>
      <c r="X62" s="113">
        <v>0</v>
      </c>
      <c r="Y62" s="113">
        <v>0</v>
      </c>
      <c r="AA62" s="113">
        <v>0</v>
      </c>
      <c r="AB62" s="113">
        <v>0</v>
      </c>
      <c r="AC62" s="113">
        <v>0</v>
      </c>
      <c r="AD62" s="113">
        <v>0</v>
      </c>
      <c r="AF62" s="113">
        <v>0</v>
      </c>
      <c r="AG62" s="28">
        <f>G62-O62</f>
        <v>0</v>
      </c>
      <c r="AH62" s="58">
        <f>IF(ISERROR(AG62/B62*AF62),0,(AG62/B62*AF62))</f>
        <v>0</v>
      </c>
      <c r="AI62" s="28">
        <f>SUM(H62:M62)</f>
        <v>0</v>
      </c>
      <c r="AJ62" s="28">
        <f>IF(ISERROR(AI62/B62*AF62),0,(AI62/B62*AF62))</f>
        <v>0</v>
      </c>
      <c r="AK62" s="58">
        <f>IF(ISERROR(O62/B62*AF62),0,(O62/B62*AF62))</f>
        <v>0</v>
      </c>
      <c r="AL62" s="28">
        <f>IF(ISERROR(H62/B62*AF62),0,(H62/B62*AF62))</f>
        <v>0</v>
      </c>
      <c r="AN62" s="51">
        <f>A62</f>
        <v>0</v>
      </c>
      <c r="AO62" s="57">
        <f>IF(ISERROR(IF(B62=C62,D62/C62,(INT(D62/B62)+(((D62-B62*INT(D62/B62)))/C62)/100))),0,(IF(B62=C62,D62/C62,(INT(D62/B62)+(((D62-B62*INT(D62/B62)))/C62)/100))))</f>
        <v>0</v>
      </c>
      <c r="AP62" s="57">
        <f>IF(ISERROR(IF(B62=C62,E62/C62,(INT(E62/B62)+(((E62-B62*INT(E62/B62)))/C62)/100))),0,(IF(B62=C62,E62/C62,(INT(E62/B62)+(((E62-B62*INT(E62/B62)))/C62)/100))))</f>
        <v>0</v>
      </c>
      <c r="AQ62" s="57">
        <f>IF(ISERROR(IF(B62=C62,F62/C62,IF((INT(F62/B62)+(((F62-B62*INT(F62/B62)))/C62)/100)&lt;0,(INT(F62/B62)+(((F62-B62*INT(F62/B62)))/C62)/100)+(1-(B62/C62/100)),(INT(F62/B62)+(((F62-B62*INT(F62/B62)))/C62)/100)))),0,IF(B62=C62,F62/C62,IF((INT(F62/B62)+(((F62-B62*INT(F62/B62)))/C62)/100)&lt;0,(INT(F62/B62)+(((F62-B62*INT(F62/B62)))/C62)/100)+(1-(B62/C62/100)),(INT(F62/B62)+(((F62-B62*INT(F62/B62)))/C62)/100))))</f>
        <v>0</v>
      </c>
      <c r="AR62" s="57">
        <f>IF(ISERROR(IF(B62=C62,G62/C62,(INT(G62/B62)+(((G62-B62*INT(G62/B62)))/C62)/100))),0,(IF(B62=C62,G62/C62,(INT(G62/B62)+(((G62-B62*INT(G62/B62)))/C62)/100))))</f>
        <v>0</v>
      </c>
      <c r="AS62" s="57">
        <f>IF(ISERROR(IF(B62=C62,H62/C62,(INT(H62/B62)+(((H62-B62*INT(H62/B62)))/C62)/100))),0,(IF(B62=C62,H62/C62,(INT(H62/B62)+(((H62-B62*INT(H62/B62)))/C62)/100))))</f>
        <v>0</v>
      </c>
      <c r="AT62" s="57">
        <f>IF(ISERROR(IF(B62=C62,I62/C62,(INT(I62/B62)+(((I62-B62*INT(I62/B62)))/C62)/100))),0,(IF(B62=C62,I62/C62,(INT(I62/B62)+(((I62-B62*INT(I62/B62)))/C62)/100))))</f>
        <v>0</v>
      </c>
      <c r="AU62" s="57">
        <f>IF(ISERROR(IF(B62=C62,J62/C62,(INT(J62/B62)+(((J62-B62*INT(J62/B62)))/C62)/100))),0,(IF(B62=C62,J62/C62,(INT(J62/B62)+(((J62-B62*INT(J62/B62)))/C62)/100))))</f>
        <v>0</v>
      </c>
      <c r="AV62" s="57">
        <f>IF(ISERROR(IF(B62=C62,K62/C62,IF((INT(K62/B62)+(((K62-B62*INT(K62/B62)))/C62)/100)&lt;0,(INT(K62/B62)+(((K62-B62*INT(K62/B62)))/C62)/100)+(1-(B62/C62/100)),(INT(K62/B62)+(((K62-B62*INT(K62/B62)))/C62)/100)))),0,IF(B62=C62,K62/C62,IF((INT(K62/B62)+(((K62-B62*INT(K62/B62)))/C62)/100)&lt;0,(INT(K62/B62)+(((K62-B62*INT(K62/B62)))/C62)/100)+(1-(B62/C62/100)),(INT(K62/B62)+(((K62-B62*INT(K62/B62)))/C62)/100))))</f>
        <v>0</v>
      </c>
      <c r="AW62" s="57">
        <f>IF(ISERROR(IF(B62=C62,L62/C62,(INT(L62/B62)+(((L62-B62*INT(L62/B62)))/C62)/100))),0,(IF(B62=C62,L62/C62,(INT(L62/B62)+(((L62-B62*INT(L62/B62)))/C62)/100))))</f>
        <v>0</v>
      </c>
      <c r="AX62" s="57">
        <f>IF(ISERROR(IF(B62=C62,M62/C62,(INT(M62/B62)+(((M62-B62*INT(M62/B62)))/C62)/100))),0,(IF(B62=C62,M62/C62,(INT(M62/B62)+(((M62-B62*INT(M62/B62)))/C62)/100))))</f>
        <v>0</v>
      </c>
      <c r="AY62" s="57">
        <f>IF(ISERROR(IF(B62=C62,N62/C62,IF((INT(N62/B62)+(((N62-B62*INT(N62/B62)))/C62)/100)&lt;0,(INT(N62/B62)+(((N62-B62*INT(N62/B62)))/C62)/100)+(1-(B62/C62/100)),(INT(N62/B62)+(((N62-B62*INT(N62/B62)))/C62)/100)))),0,IF(B62=C62,N62/C62,IF((INT(N62/B62)+(((N62-B62*INT(N62/B62)))/C62)/100)&lt;0,(INT(N62/B62)+(((N62-B62*INT(N62/B62)))/C62)/100)+(1-(B62/C62/100)),(INT(N62/B62)+(((N62-B62*INT(N62/B62)))/C62)/100))))</f>
        <v>0</v>
      </c>
      <c r="AZ62" s="57">
        <f>IF(ISERROR(IF(B62=C62,O62/C62,(INT(O62/B62)+(((O62-B62*INT(O62/B62)))/C62)/100))),0,(IF(B62=C62,O62/C62,(INT(O62/B62)+(((O62-B62*INT(O62/B62)))/C62)/100))))</f>
        <v>0</v>
      </c>
      <c r="BA62" s="57">
        <f>IF(ISERROR(IF(B62=C62,P62/C62,IF((INT(P62/B62)+(((P62-B62*INT(P62/B62)))/C62)/100)&lt;0,(INT(P62/B62)+(((P62-B62*INT(P62/B62)))/C62)/100)+(1-(B62/C62/100)),(INT(P62/B62)+(((P62-B62*INT(P62/B62)))/C62)/100)))),0,IF(B62=C62,P62/C62,IF((INT(P62/B62)+(((P62-B62*INT(P62/B62)))/C62)/100)&lt;0,(INT(P62/B62)+(((P62-B62*INT(P62/B62)))/C62)/100)+(1-(B62/C62/100)),(INT(P62/B62)+(((P62-B62*INT(P62/B62)))/C62)/100))))</f>
        <v>0</v>
      </c>
      <c r="BB62" s="28">
        <f>R62</f>
        <v>0</v>
      </c>
      <c r="BC62" s="28">
        <f>S62</f>
        <v>0</v>
      </c>
      <c r="BD62" s="28">
        <f>AF62</f>
        <v>0</v>
      </c>
      <c r="BE62" s="28">
        <f>T62</f>
        <v>0</v>
      </c>
      <c r="BG62" s="57">
        <f>IF(ISERROR(IF(B62=C62,V62/C62,(INT(V62/B62)+(((V62-B62*INT(V62/B62)))/C62)/100))),0,(IF(B62=C62,V62/C62,(INT(V62/B62)+(((V62-B62*INT(V62/B62)))/C62)/100))))</f>
        <v>0</v>
      </c>
      <c r="BH62" s="57">
        <f>IF(ISERROR(IF(B62=C62,W62/C62,(INT(W62/B62)+(((W62-B62*INT(W62/B62)))/C62)/100))),0,(IF(B62=C62,W62/C62,(INT(W62/B62)+(((W62-B62*INT(W62/B62)))/C62)/100))))</f>
        <v>0</v>
      </c>
      <c r="BI62" s="57">
        <f>IF(ISERROR(IF(B62=C62,X62/C62,(INT(X62/B62)+(((X62-B62*INT(X62/B62)))/C62)/100))),0,(IF(B62=C62,X62/C62,(INT(X62/B62)+(((X62-B62*INT(X62/B62)))/C62)/100))))</f>
        <v>0</v>
      </c>
      <c r="BJ62" s="57">
        <f>IF(ISERROR(IF(B62=C62,Y62/C62,(INT(Y62/B62)+(((Y62-B62*INT(Y62/B62)))/C62)/100))),0,(IF(B62=C62,Y62/C62,(INT(Y62/B62)+(((Y62-B62*INT(Y62/B62)))/C62)/100))))</f>
        <v>0</v>
      </c>
      <c r="BL62" s="57">
        <f>IF(ISERROR(IF(B62=C62,AA62/C62,(INT(AA62/B62)+(((AA62-B62*INT(AA62/B62)))/C62)/100))),0,(IF(B62=C62,AA62/C62,(INT(AA62/B62)+(((AA62-B62*INT(AA62/B62)))/C62)/100))))</f>
        <v>0</v>
      </c>
      <c r="BM62" s="57">
        <f>IF(ISERROR(IF(B62=C62,AB62/C62,(INT(AB62/B62)+(((AB62-B62*INT(AB62/B62)))/C62)/100))),0,(IF(B62=C62,AB62/C62,(INT(AB62/B62)+(((AB62-B62*INT(AB62/B62)))/C62)/100))))</f>
        <v>0</v>
      </c>
      <c r="BN62" s="57">
        <f>IF(ISERROR(IF(B62=C62,AC62/C62,(INT(AC62/B62)+(((AC62-B62*INT(AC62/B62)))/C62)/100))),0,(IF(B62=C62,AC62/C62,(INT(AC62/B62)+(((AC62-B62*INT(AC62/B62)))/C62)/100))))</f>
        <v>0</v>
      </c>
      <c r="BO62" s="57">
        <f>IF(ISERROR(IF(B62=C62,AD62/C62,(INT(AD62/B62)+(((AD62-B62*INT(AD62/B62)))/C62)/100))),0,(IF(B62=C62,AD62/C62,(INT(AD62/B62)+(((AD62-B62*INT(AD62/B62)))/C62)/100))))</f>
        <v>0</v>
      </c>
      <c r="BQ62" s="155"/>
    </row>
    <row r="63" spans="1:69" hidden="1" x14ac:dyDescent="0.35">
      <c r="A63" s="94"/>
      <c r="B63" s="113">
        <v>0</v>
      </c>
      <c r="C63" s="113">
        <v>0</v>
      </c>
      <c r="D63" s="28">
        <f>SUM(AA63:AD63)</f>
        <v>0</v>
      </c>
      <c r="E63" s="113">
        <v>0</v>
      </c>
      <c r="F63" s="113">
        <v>0</v>
      </c>
      <c r="G63" s="28">
        <f>SUM(D63:F63)</f>
        <v>0</v>
      </c>
      <c r="H63" s="125">
        <v>0</v>
      </c>
      <c r="I63" s="113">
        <v>0</v>
      </c>
      <c r="J63" s="125">
        <v>0</v>
      </c>
      <c r="K63" s="113">
        <v>0</v>
      </c>
      <c r="L63" s="113">
        <v>0</v>
      </c>
      <c r="M63" s="113">
        <v>0</v>
      </c>
      <c r="N63" s="28">
        <f>G63-SUM(H63:M63)</f>
        <v>0</v>
      </c>
      <c r="O63" s="28">
        <f>SUM(V63:Y63)</f>
        <v>0</v>
      </c>
      <c r="P63" s="28">
        <f>O63-N63</f>
        <v>0</v>
      </c>
      <c r="Q63" s="61" t="str">
        <f>IF(ISERROR(P63/SUM(H63:L63)),"",P63/SUM(H63:L63))</f>
        <v/>
      </c>
      <c r="R63" s="113">
        <v>0</v>
      </c>
      <c r="S63" s="28">
        <f>IF(ISERROR(P63/C63*R63),0,(P63/C63*R63))</f>
        <v>0</v>
      </c>
      <c r="T63" s="60">
        <f>IF(ISERROR(P63/B63*AF63),0,(P63/B63*AF63))</f>
        <v>0</v>
      </c>
      <c r="V63" s="113">
        <v>0</v>
      </c>
      <c r="W63" s="113">
        <v>0</v>
      </c>
      <c r="X63" s="113">
        <v>0</v>
      </c>
      <c r="Y63" s="113">
        <v>0</v>
      </c>
      <c r="AA63" s="113">
        <v>0</v>
      </c>
      <c r="AB63" s="113">
        <v>0</v>
      </c>
      <c r="AC63" s="113">
        <v>0</v>
      </c>
      <c r="AD63" s="113">
        <v>0</v>
      </c>
      <c r="AF63" s="113">
        <v>0</v>
      </c>
      <c r="AG63" s="28">
        <f>G63-O63</f>
        <v>0</v>
      </c>
      <c r="AH63" s="58">
        <f>IF(ISERROR(AG63/B63*AF63),0,(AG63/B63*AF63))</f>
        <v>0</v>
      </c>
      <c r="AI63" s="28">
        <f>SUM(H63:M63)</f>
        <v>0</v>
      </c>
      <c r="AJ63" s="28">
        <f>IF(ISERROR(AI63/B63*AF63),0,(AI63/B63*AF63))</f>
        <v>0</v>
      </c>
      <c r="AK63" s="58">
        <f>IF(ISERROR(O63/B63*AF63),0,(O63/B63*AF63))</f>
        <v>0</v>
      </c>
      <c r="AL63" s="28">
        <f>IF(ISERROR(H63/B63*AF63),0,(H63/B63*AF63))</f>
        <v>0</v>
      </c>
      <c r="AN63" s="51">
        <f>A63</f>
        <v>0</v>
      </c>
      <c r="AO63" s="57">
        <f>IF(ISERROR(IF(B63=C63,D63/C63,(INT(D63/B63)+(((D63-B63*INT(D63/B63)))/C63)/100))),0,(IF(B63=C63,D63/C63,(INT(D63/B63)+(((D63-B63*INT(D63/B63)))/C63)/100))))</f>
        <v>0</v>
      </c>
      <c r="AP63" s="57">
        <f>IF(ISERROR(IF(B63=C63,E63/C63,(INT(E63/B63)+(((E63-B63*INT(E63/B63)))/C63)/100))),0,(IF(B63=C63,E63/C63,(INT(E63/B63)+(((E63-B63*INT(E63/B63)))/C63)/100))))</f>
        <v>0</v>
      </c>
      <c r="AQ63" s="57">
        <f>IF(ISERROR(IF(B63=C63,F63/C63,IF((INT(F63/B63)+(((F63-B63*INT(F63/B63)))/C63)/100)&lt;0,(INT(F63/B63)+(((F63-B63*INT(F63/B63)))/C63)/100)+(1-(B63/C63/100)),(INT(F63/B63)+(((F63-B63*INT(F63/B63)))/C63)/100)))),0,IF(B63=C63,F63/C63,IF((INT(F63/B63)+(((F63-B63*INT(F63/B63)))/C63)/100)&lt;0,(INT(F63/B63)+(((F63-B63*INT(F63/B63)))/C63)/100)+(1-(B63/C63/100)),(INT(F63/B63)+(((F63-B63*INT(F63/B63)))/C63)/100))))</f>
        <v>0</v>
      </c>
      <c r="AR63" s="57">
        <f>IF(ISERROR(IF(B63=C63,G63/C63,(INT(G63/B63)+(((G63-B63*INT(G63/B63)))/C63)/100))),0,(IF(B63=C63,G63/C63,(INT(G63/B63)+(((G63-B63*INT(G63/B63)))/C63)/100))))</f>
        <v>0</v>
      </c>
      <c r="AS63" s="57">
        <f>IF(ISERROR(IF(B63=C63,H63/C63,(INT(H63/B63)+(((H63-B63*INT(H63/B63)))/C63)/100))),0,(IF(B63=C63,H63/C63,(INT(H63/B63)+(((H63-B63*INT(H63/B63)))/C63)/100))))</f>
        <v>0</v>
      </c>
      <c r="AT63" s="57">
        <f>IF(ISERROR(IF(B63=C63,I63/C63,(INT(I63/B63)+(((I63-B63*INT(I63/B63)))/C63)/100))),0,(IF(B63=C63,I63/C63,(INT(I63/B63)+(((I63-B63*INT(I63/B63)))/C63)/100))))</f>
        <v>0</v>
      </c>
      <c r="AU63" s="57">
        <f>IF(ISERROR(IF(B63=C63,J63/C63,(INT(J63/B63)+(((J63-B63*INT(J63/B63)))/C63)/100))),0,(IF(B63=C63,J63/C63,(INT(J63/B63)+(((J63-B63*INT(J63/B63)))/C63)/100))))</f>
        <v>0</v>
      </c>
      <c r="AV63" s="57">
        <f>IF(ISERROR(IF(B63=C63,K63/C63,IF((INT(K63/B63)+(((K63-B63*INT(K63/B63)))/C63)/100)&lt;0,(INT(K63/B63)+(((K63-B63*INT(K63/B63)))/C63)/100)+(1-(B63/C63/100)),(INT(K63/B63)+(((K63-B63*INT(K63/B63)))/C63)/100)))),0,IF(B63=C63,K63/C63,IF((INT(K63/B63)+(((K63-B63*INT(K63/B63)))/C63)/100)&lt;0,(INT(K63/B63)+(((K63-B63*INT(K63/B63)))/C63)/100)+(1-(B63/C63/100)),(INT(K63/B63)+(((K63-B63*INT(K63/B63)))/C63)/100))))</f>
        <v>0</v>
      </c>
      <c r="AW63" s="57">
        <f>IF(ISERROR(IF(B63=C63,L63/C63,(INT(L63/B63)+(((L63-B63*INT(L63/B63)))/C63)/100))),0,(IF(B63=C63,L63/C63,(INT(L63/B63)+(((L63-B63*INT(L63/B63)))/C63)/100))))</f>
        <v>0</v>
      </c>
      <c r="AX63" s="57">
        <f>IF(ISERROR(IF(B63=C63,M63/C63,(INT(M63/B63)+(((M63-B63*INT(M63/B63)))/C63)/100))),0,(IF(B63=C63,M63/C63,(INT(M63/B63)+(((M63-B63*INT(M63/B63)))/C63)/100))))</f>
        <v>0</v>
      </c>
      <c r="AY63" s="57">
        <f>IF(ISERROR(IF(B63=C63,N63/C63,IF((INT(N63/B63)+(((N63-B63*INT(N63/B63)))/C63)/100)&lt;0,(INT(N63/B63)+(((N63-B63*INT(N63/B63)))/C63)/100)+(1-(B63/C63/100)),(INT(N63/B63)+(((N63-B63*INT(N63/B63)))/C63)/100)))),0,IF(B63=C63,N63/C63,IF((INT(N63/B63)+(((N63-B63*INT(N63/B63)))/C63)/100)&lt;0,(INT(N63/B63)+(((N63-B63*INT(N63/B63)))/C63)/100)+(1-(B63/C63/100)),(INT(N63/B63)+(((N63-B63*INT(N63/B63)))/C63)/100))))</f>
        <v>0</v>
      </c>
      <c r="AZ63" s="57">
        <f>IF(ISERROR(IF(B63=C63,O63/C63,(INT(O63/B63)+(((O63-B63*INT(O63/B63)))/C63)/100))),0,(IF(B63=C63,O63/C63,(INT(O63/B63)+(((O63-B63*INT(O63/B63)))/C63)/100))))</f>
        <v>0</v>
      </c>
      <c r="BA63" s="57">
        <f>IF(ISERROR(IF(B63=C63,P63/C63,IF((INT(P63/B63)+(((P63-B63*INT(P63/B63)))/C63)/100)&lt;0,(INT(P63/B63)+(((P63-B63*INT(P63/B63)))/C63)/100)+(1-(B63/C63/100)),(INT(P63/B63)+(((P63-B63*INT(P63/B63)))/C63)/100)))),0,IF(B63=C63,P63/C63,IF((INT(P63/B63)+(((P63-B63*INT(P63/B63)))/C63)/100)&lt;0,(INT(P63/B63)+(((P63-B63*INT(P63/B63)))/C63)/100)+(1-(B63/C63/100)),(INT(P63/B63)+(((P63-B63*INT(P63/B63)))/C63)/100))))</f>
        <v>0</v>
      </c>
      <c r="BB63" s="28">
        <f>R63</f>
        <v>0</v>
      </c>
      <c r="BC63" s="28">
        <f>S63</f>
        <v>0</v>
      </c>
      <c r="BD63" s="28">
        <f>AF63</f>
        <v>0</v>
      </c>
      <c r="BE63" s="28">
        <f>T63</f>
        <v>0</v>
      </c>
      <c r="BG63" s="57">
        <f>IF(ISERROR(IF(B63=C63,V63/C63,(INT(V63/B63)+(((V63-B63*INT(V63/B63)))/C63)/100))),0,(IF(B63=C63,V63/C63,(INT(V63/B63)+(((V63-B63*INT(V63/B63)))/C63)/100))))</f>
        <v>0</v>
      </c>
      <c r="BH63" s="57">
        <f>IF(ISERROR(IF(B63=C63,W63/C63,(INT(W63/B63)+(((W63-B63*INT(W63/B63)))/C63)/100))),0,(IF(B63=C63,W63/C63,(INT(W63/B63)+(((W63-B63*INT(W63/B63)))/C63)/100))))</f>
        <v>0</v>
      </c>
      <c r="BI63" s="57">
        <f>IF(ISERROR(IF(B63=C63,X63/C63,(INT(X63/B63)+(((X63-B63*INT(X63/B63)))/C63)/100))),0,(IF(B63=C63,X63/C63,(INT(X63/B63)+(((X63-B63*INT(X63/B63)))/C63)/100))))</f>
        <v>0</v>
      </c>
      <c r="BJ63" s="57">
        <f>IF(ISERROR(IF(B63=C63,Y63/C63,(INT(Y63/B63)+(((Y63-B63*INT(Y63/B63)))/C63)/100))),0,(IF(B63=C63,Y63/C63,(INT(Y63/B63)+(((Y63-B63*INT(Y63/B63)))/C63)/100))))</f>
        <v>0</v>
      </c>
      <c r="BL63" s="57">
        <f>IF(ISERROR(IF(B63=C63,AA63/C63,(INT(AA63/B63)+(((AA63-B63*INT(AA63/B63)))/C63)/100))),0,(IF(B63=C63,AA63/C63,(INT(AA63/B63)+(((AA63-B63*INT(AA63/B63)))/C63)/100))))</f>
        <v>0</v>
      </c>
      <c r="BM63" s="57">
        <f>IF(ISERROR(IF(B63=C63,AB63/C63,(INT(AB63/B63)+(((AB63-B63*INT(AB63/B63)))/C63)/100))),0,(IF(B63=C63,AB63/C63,(INT(AB63/B63)+(((AB63-B63*INT(AB63/B63)))/C63)/100))))</f>
        <v>0</v>
      </c>
      <c r="BN63" s="57">
        <f>IF(ISERROR(IF(B63=C63,AC63/C63,(INT(AC63/B63)+(((AC63-B63*INT(AC63/B63)))/C63)/100))),0,(IF(B63=C63,AC63/C63,(INT(AC63/B63)+(((AC63-B63*INT(AC63/B63)))/C63)/100))))</f>
        <v>0</v>
      </c>
      <c r="BO63" s="57">
        <f>IF(ISERROR(IF(B63=C63,AD63/C63,(INT(AD63/B63)+(((AD63-B63*INT(AD63/B63)))/C63)/100))),0,(IF(B63=C63,AD63/C63,(INT(AD63/B63)+(((AD63-B63*INT(AD63/B63)))/C63)/100))))</f>
        <v>0</v>
      </c>
      <c r="BQ63" s="155"/>
    </row>
    <row r="64" spans="1:69" hidden="1" x14ac:dyDescent="0.35">
      <c r="A64" s="94"/>
      <c r="B64" s="113">
        <v>0</v>
      </c>
      <c r="C64" s="113">
        <v>0</v>
      </c>
      <c r="D64" s="28">
        <f>SUM(AA64:AD64)</f>
        <v>0</v>
      </c>
      <c r="E64" s="113">
        <v>0</v>
      </c>
      <c r="F64" s="113">
        <v>0</v>
      </c>
      <c r="G64" s="28">
        <f>SUM(D64:F64)</f>
        <v>0</v>
      </c>
      <c r="H64" s="125">
        <v>0</v>
      </c>
      <c r="I64" s="113">
        <v>0</v>
      </c>
      <c r="J64" s="125">
        <v>0</v>
      </c>
      <c r="K64" s="113">
        <v>0</v>
      </c>
      <c r="L64" s="113">
        <v>0</v>
      </c>
      <c r="M64" s="113">
        <v>0</v>
      </c>
      <c r="N64" s="28">
        <f>G64-SUM(H64:M64)</f>
        <v>0</v>
      </c>
      <c r="O64" s="28">
        <f>SUM(V64:Y64)</f>
        <v>0</v>
      </c>
      <c r="P64" s="28">
        <f>O64-N64</f>
        <v>0</v>
      </c>
      <c r="Q64" s="61" t="str">
        <f>IF(ISERROR(P64/SUM(H64:L64)),"",P64/SUM(H64:L64))</f>
        <v/>
      </c>
      <c r="R64" s="113">
        <v>0</v>
      </c>
      <c r="S64" s="28">
        <f>IF(ISERROR(P64/C64*R64),0,(P64/C64*R64))</f>
        <v>0</v>
      </c>
      <c r="T64" s="60">
        <f>IF(ISERROR(P64/B64*AF64),0,(P64/B64*AF64))</f>
        <v>0</v>
      </c>
      <c r="V64" s="113">
        <v>0</v>
      </c>
      <c r="W64" s="113">
        <v>0</v>
      </c>
      <c r="X64" s="113">
        <v>0</v>
      </c>
      <c r="Y64" s="113">
        <v>0</v>
      </c>
      <c r="AA64" s="113">
        <v>0</v>
      </c>
      <c r="AB64" s="113">
        <v>0</v>
      </c>
      <c r="AC64" s="113">
        <v>0</v>
      </c>
      <c r="AD64" s="113">
        <v>0</v>
      </c>
      <c r="AF64" s="113">
        <v>0</v>
      </c>
      <c r="AG64" s="28">
        <f>G64-O64</f>
        <v>0</v>
      </c>
      <c r="AH64" s="58">
        <f>IF(ISERROR(AG64/B64*AF64),0,(AG64/B64*AF64))</f>
        <v>0</v>
      </c>
      <c r="AI64" s="28">
        <f>SUM(H64:M64)</f>
        <v>0</v>
      </c>
      <c r="AJ64" s="28">
        <f>IF(ISERROR(AI64/B64*AF64),0,(AI64/B64*AF64))</f>
        <v>0</v>
      </c>
      <c r="AK64" s="58">
        <f>IF(ISERROR(O64/B64*AF64),0,(O64/B64*AF64))</f>
        <v>0</v>
      </c>
      <c r="AL64" s="28">
        <f>IF(ISERROR(H64/B64*AF64),0,(H64/B64*AF64))</f>
        <v>0</v>
      </c>
      <c r="AN64" s="51">
        <f>A64</f>
        <v>0</v>
      </c>
      <c r="AO64" s="57">
        <f>IF(ISERROR(IF(B64=C64,D64/C64,(INT(D64/B64)+(((D64-B64*INT(D64/B64)))/C64)/100))),0,(IF(B64=C64,D64/C64,(INT(D64/B64)+(((D64-B64*INT(D64/B64)))/C64)/100))))</f>
        <v>0</v>
      </c>
      <c r="AP64" s="57">
        <f>IF(ISERROR(IF(B64=C64,E64/C64,(INT(E64/B64)+(((E64-B64*INT(E64/B64)))/C64)/100))),0,(IF(B64=C64,E64/C64,(INT(E64/B64)+(((E64-B64*INT(E64/B64)))/C64)/100))))</f>
        <v>0</v>
      </c>
      <c r="AQ64" s="57">
        <f>IF(ISERROR(IF(B64=C64,F64/C64,IF((INT(F64/B64)+(((F64-B64*INT(F64/B64)))/C64)/100)&lt;0,(INT(F64/B64)+(((F64-B64*INT(F64/B64)))/C64)/100)+(1-(B64/C64/100)),(INT(F64/B64)+(((F64-B64*INT(F64/B64)))/C64)/100)))),0,IF(B64=C64,F64/C64,IF((INT(F64/B64)+(((F64-B64*INT(F64/B64)))/C64)/100)&lt;0,(INT(F64/B64)+(((F64-B64*INT(F64/B64)))/C64)/100)+(1-(B64/C64/100)),(INT(F64/B64)+(((F64-B64*INT(F64/B64)))/C64)/100))))</f>
        <v>0</v>
      </c>
      <c r="AR64" s="57">
        <f>IF(ISERROR(IF(B64=C64,G64/C64,(INT(G64/B64)+(((G64-B64*INT(G64/B64)))/C64)/100))),0,(IF(B64=C64,G64/C64,(INT(G64/B64)+(((G64-B64*INT(G64/B64)))/C64)/100))))</f>
        <v>0</v>
      </c>
      <c r="AS64" s="57">
        <f>IF(ISERROR(IF(B64=C64,H64/C64,(INT(H64/B64)+(((H64-B64*INT(H64/B64)))/C64)/100))),0,(IF(B64=C64,H64/C64,(INT(H64/B64)+(((H64-B64*INT(H64/B64)))/C64)/100))))</f>
        <v>0</v>
      </c>
      <c r="AT64" s="57">
        <f>IF(ISERROR(IF(B64=C64,I64/C64,(INT(I64/B64)+(((I64-B64*INT(I64/B64)))/C64)/100))),0,(IF(B64=C64,I64/C64,(INT(I64/B64)+(((I64-B64*INT(I64/B64)))/C64)/100))))</f>
        <v>0</v>
      </c>
      <c r="AU64" s="57">
        <f>IF(ISERROR(IF(B64=C64,J64/C64,(INT(J64/B64)+(((J64-B64*INT(J64/B64)))/C64)/100))),0,(IF(B64=C64,J64/C64,(INT(J64/B64)+(((J64-B64*INT(J64/B64)))/C64)/100))))</f>
        <v>0</v>
      </c>
      <c r="AV64" s="57">
        <f>IF(ISERROR(IF(B64=C64,K64/C64,IF((INT(K64/B64)+(((K64-B64*INT(K64/B64)))/C64)/100)&lt;0,(INT(K64/B64)+(((K64-B64*INT(K64/B64)))/C64)/100)+(1-(B64/C64/100)),(INT(K64/B64)+(((K64-B64*INT(K64/B64)))/C64)/100)))),0,IF(B64=C64,K64/C64,IF((INT(K64/B64)+(((K64-B64*INT(K64/B64)))/C64)/100)&lt;0,(INT(K64/B64)+(((K64-B64*INT(K64/B64)))/C64)/100)+(1-(B64/C64/100)),(INT(K64/B64)+(((K64-B64*INT(K64/B64)))/C64)/100))))</f>
        <v>0</v>
      </c>
      <c r="AW64" s="57">
        <f>IF(ISERROR(IF(B64=C64,L64/C64,(INT(L64/B64)+(((L64-B64*INT(L64/B64)))/C64)/100))),0,(IF(B64=C64,L64/C64,(INT(L64/B64)+(((L64-B64*INT(L64/B64)))/C64)/100))))</f>
        <v>0</v>
      </c>
      <c r="AX64" s="57">
        <f>IF(ISERROR(IF(B64=C64,M64/C64,(INT(M64/B64)+(((M64-B64*INT(M64/B64)))/C64)/100))),0,(IF(B64=C64,M64/C64,(INT(M64/B64)+(((M64-B64*INT(M64/B64)))/C64)/100))))</f>
        <v>0</v>
      </c>
      <c r="AY64" s="57">
        <f>IF(ISERROR(IF(B64=C64,N64/C64,IF((INT(N64/B64)+(((N64-B64*INT(N64/B64)))/C64)/100)&lt;0,(INT(N64/B64)+(((N64-B64*INT(N64/B64)))/C64)/100)+(1-(B64/C64/100)),(INT(N64/B64)+(((N64-B64*INT(N64/B64)))/C64)/100)))),0,IF(B64=C64,N64/C64,IF((INT(N64/B64)+(((N64-B64*INT(N64/B64)))/C64)/100)&lt;0,(INT(N64/B64)+(((N64-B64*INT(N64/B64)))/C64)/100)+(1-(B64/C64/100)),(INT(N64/B64)+(((N64-B64*INT(N64/B64)))/C64)/100))))</f>
        <v>0</v>
      </c>
      <c r="AZ64" s="57">
        <f>IF(ISERROR(IF(B64=C64,O64/C64,(INT(O64/B64)+(((O64-B64*INT(O64/B64)))/C64)/100))),0,(IF(B64=C64,O64/C64,(INT(O64/B64)+(((O64-B64*INT(O64/B64)))/C64)/100))))</f>
        <v>0</v>
      </c>
      <c r="BA64" s="57">
        <f>IF(ISERROR(IF(B64=C64,P64/C64,IF((INT(P64/B64)+(((P64-B64*INT(P64/B64)))/C64)/100)&lt;0,(INT(P64/B64)+(((P64-B64*INT(P64/B64)))/C64)/100)+(1-(B64/C64/100)),(INT(P64/B64)+(((P64-B64*INT(P64/B64)))/C64)/100)))),0,IF(B64=C64,P64/C64,IF((INT(P64/B64)+(((P64-B64*INT(P64/B64)))/C64)/100)&lt;0,(INT(P64/B64)+(((P64-B64*INT(P64/B64)))/C64)/100)+(1-(B64/C64/100)),(INT(P64/B64)+(((P64-B64*INT(P64/B64)))/C64)/100))))</f>
        <v>0</v>
      </c>
      <c r="BB64" s="28">
        <f>R64</f>
        <v>0</v>
      </c>
      <c r="BC64" s="28">
        <f>S64</f>
        <v>0</v>
      </c>
      <c r="BD64" s="28">
        <f>AF64</f>
        <v>0</v>
      </c>
      <c r="BE64" s="28">
        <f>T64</f>
        <v>0</v>
      </c>
      <c r="BG64" s="57">
        <f>IF(ISERROR(IF(B64=C64,V64/C64,(INT(V64/B64)+(((V64-B64*INT(V64/B64)))/C64)/100))),0,(IF(B64=C64,V64/C64,(INT(V64/B64)+(((V64-B64*INT(V64/B64)))/C64)/100))))</f>
        <v>0</v>
      </c>
      <c r="BH64" s="57">
        <f>IF(ISERROR(IF(B64=C64,W64/C64,(INT(W64/B64)+(((W64-B64*INT(W64/B64)))/C64)/100))),0,(IF(B64=C64,W64/C64,(INT(W64/B64)+(((W64-B64*INT(W64/B64)))/C64)/100))))</f>
        <v>0</v>
      </c>
      <c r="BI64" s="57">
        <f>IF(ISERROR(IF(B64=C64,X64/C64,(INT(X64/B64)+(((X64-B64*INT(X64/B64)))/C64)/100))),0,(IF(B64=C64,X64/C64,(INT(X64/B64)+(((X64-B64*INT(X64/B64)))/C64)/100))))</f>
        <v>0</v>
      </c>
      <c r="BJ64" s="57">
        <f>IF(ISERROR(IF(B64=C64,Y64/C64,(INT(Y64/B64)+(((Y64-B64*INT(Y64/B64)))/C64)/100))),0,(IF(B64=C64,Y64/C64,(INT(Y64/B64)+(((Y64-B64*INT(Y64/B64)))/C64)/100))))</f>
        <v>0</v>
      </c>
      <c r="BL64" s="57">
        <f>IF(ISERROR(IF(B64=C64,AA64/C64,(INT(AA64/B64)+(((AA64-B64*INT(AA64/B64)))/C64)/100))),0,(IF(B64=C64,AA64/C64,(INT(AA64/B64)+(((AA64-B64*INT(AA64/B64)))/C64)/100))))</f>
        <v>0</v>
      </c>
      <c r="BM64" s="57">
        <f>IF(ISERROR(IF(B64=C64,AB64/C64,(INT(AB64/B64)+(((AB64-B64*INT(AB64/B64)))/C64)/100))),0,(IF(B64=C64,AB64/C64,(INT(AB64/B64)+(((AB64-B64*INT(AB64/B64)))/C64)/100))))</f>
        <v>0</v>
      </c>
      <c r="BN64" s="57">
        <f>IF(ISERROR(IF(B64=C64,AC64/C64,(INT(AC64/B64)+(((AC64-B64*INT(AC64/B64)))/C64)/100))),0,(IF(B64=C64,AC64/C64,(INT(AC64/B64)+(((AC64-B64*INT(AC64/B64)))/C64)/100))))</f>
        <v>0</v>
      </c>
      <c r="BO64" s="57">
        <f>IF(ISERROR(IF(B64=C64,AD64/C64,(INT(AD64/B64)+(((AD64-B64*INT(AD64/B64)))/C64)/100))),0,(IF(B64=C64,AD64/C64,(INT(AD64/B64)+(((AD64-B64*INT(AD64/B64)))/C64)/100))))</f>
        <v>0</v>
      </c>
      <c r="BQ64" s="155"/>
    </row>
    <row r="65" spans="1:69" hidden="1" x14ac:dyDescent="0.35">
      <c r="A65" s="94"/>
      <c r="B65" s="113">
        <v>0</v>
      </c>
      <c r="C65" s="113">
        <v>0</v>
      </c>
      <c r="D65" s="28">
        <f>SUM(AA65:AD65)</f>
        <v>0</v>
      </c>
      <c r="E65" s="113">
        <v>0</v>
      </c>
      <c r="F65" s="113">
        <v>0</v>
      </c>
      <c r="G65" s="28">
        <f>SUM(D65:F65)</f>
        <v>0</v>
      </c>
      <c r="H65" s="125">
        <v>0</v>
      </c>
      <c r="I65" s="113">
        <v>0</v>
      </c>
      <c r="J65" s="125">
        <v>0</v>
      </c>
      <c r="K65" s="113">
        <v>0</v>
      </c>
      <c r="L65" s="113">
        <v>0</v>
      </c>
      <c r="M65" s="113">
        <v>0</v>
      </c>
      <c r="N65" s="28">
        <f>G65-SUM(H65:M65)</f>
        <v>0</v>
      </c>
      <c r="O65" s="28">
        <f>SUM(V65:Y65)</f>
        <v>0</v>
      </c>
      <c r="P65" s="28">
        <f>O65-N65</f>
        <v>0</v>
      </c>
      <c r="Q65" s="61" t="str">
        <f>IF(ISERROR(P65/SUM(H65:L65)),"",P65/SUM(H65:L65))</f>
        <v/>
      </c>
      <c r="R65" s="113">
        <v>0</v>
      </c>
      <c r="S65" s="28">
        <f>IF(ISERROR(P65/C65*R65),0,(P65/C65*R65))</f>
        <v>0</v>
      </c>
      <c r="T65" s="60">
        <f>IF(ISERROR(P65/B65*AF65),0,(P65/B65*AF65))</f>
        <v>0</v>
      </c>
      <c r="V65" s="113">
        <v>0</v>
      </c>
      <c r="W65" s="113">
        <v>0</v>
      </c>
      <c r="X65" s="113">
        <v>0</v>
      </c>
      <c r="Y65" s="113">
        <v>0</v>
      </c>
      <c r="AA65" s="113">
        <v>0</v>
      </c>
      <c r="AB65" s="113">
        <v>0</v>
      </c>
      <c r="AC65" s="113">
        <v>0</v>
      </c>
      <c r="AD65" s="113">
        <v>0</v>
      </c>
      <c r="AF65" s="113">
        <v>0</v>
      </c>
      <c r="AG65" s="28">
        <f>G65-O65</f>
        <v>0</v>
      </c>
      <c r="AH65" s="58">
        <f>IF(ISERROR(AG65/B65*AF65),0,(AG65/B65*AF65))</f>
        <v>0</v>
      </c>
      <c r="AI65" s="28">
        <f>SUM(H65:M65)</f>
        <v>0</v>
      </c>
      <c r="AJ65" s="28">
        <f>IF(ISERROR(AI65/B65*AF65),0,(AI65/B65*AF65))</f>
        <v>0</v>
      </c>
      <c r="AK65" s="58">
        <f>IF(ISERROR(O65/B65*AF65),0,(O65/B65*AF65))</f>
        <v>0</v>
      </c>
      <c r="AL65" s="28">
        <f>IF(ISERROR(H65/B65*AF65),0,(H65/B65*AF65))</f>
        <v>0</v>
      </c>
      <c r="AN65" s="51">
        <f>A65</f>
        <v>0</v>
      </c>
      <c r="AO65" s="57">
        <f>IF(ISERROR(IF(B65=C65,D65/C65,(INT(D65/B65)+(((D65-B65*INT(D65/B65)))/C65)/100))),0,(IF(B65=C65,D65/C65,(INT(D65/B65)+(((D65-B65*INT(D65/B65)))/C65)/100))))</f>
        <v>0</v>
      </c>
      <c r="AP65" s="57">
        <f>IF(ISERROR(IF(B65=C65,E65/C65,(INT(E65/B65)+(((E65-B65*INT(E65/B65)))/C65)/100))),0,(IF(B65=C65,E65/C65,(INT(E65/B65)+(((E65-B65*INT(E65/B65)))/C65)/100))))</f>
        <v>0</v>
      </c>
      <c r="AQ65" s="57">
        <f>IF(ISERROR(IF(B65=C65,F65/C65,IF((INT(F65/B65)+(((F65-B65*INT(F65/B65)))/C65)/100)&lt;0,(INT(F65/B65)+(((F65-B65*INT(F65/B65)))/C65)/100)+(1-(B65/C65/100)),(INT(F65/B65)+(((F65-B65*INT(F65/B65)))/C65)/100)))),0,IF(B65=C65,F65/C65,IF((INT(F65/B65)+(((F65-B65*INT(F65/B65)))/C65)/100)&lt;0,(INT(F65/B65)+(((F65-B65*INT(F65/B65)))/C65)/100)+(1-(B65/C65/100)),(INT(F65/B65)+(((F65-B65*INT(F65/B65)))/C65)/100))))</f>
        <v>0</v>
      </c>
      <c r="AR65" s="57">
        <f>IF(ISERROR(IF(B65=C65,G65/C65,(INT(G65/B65)+(((G65-B65*INT(G65/B65)))/C65)/100))),0,(IF(B65=C65,G65/C65,(INT(G65/B65)+(((G65-B65*INT(G65/B65)))/C65)/100))))</f>
        <v>0</v>
      </c>
      <c r="AS65" s="57">
        <f>IF(ISERROR(IF(B65=C65,H65/C65,(INT(H65/B65)+(((H65-B65*INT(H65/B65)))/C65)/100))),0,(IF(B65=C65,H65/C65,(INT(H65/B65)+(((H65-B65*INT(H65/B65)))/C65)/100))))</f>
        <v>0</v>
      </c>
      <c r="AT65" s="57">
        <f>IF(ISERROR(IF(B65=C65,I65/C65,(INT(I65/B65)+(((I65-B65*INT(I65/B65)))/C65)/100))),0,(IF(B65=C65,I65/C65,(INT(I65/B65)+(((I65-B65*INT(I65/B65)))/C65)/100))))</f>
        <v>0</v>
      </c>
      <c r="AU65" s="57">
        <f>IF(ISERROR(IF(B65=C65,J65/C65,(INT(J65/B65)+(((J65-B65*INT(J65/B65)))/C65)/100))),0,(IF(B65=C65,J65/C65,(INT(J65/B65)+(((J65-B65*INT(J65/B65)))/C65)/100))))</f>
        <v>0</v>
      </c>
      <c r="AV65" s="57">
        <f>IF(ISERROR(IF(B65=C65,K65/C65,IF((INT(K65/B65)+(((K65-B65*INT(K65/B65)))/C65)/100)&lt;0,(INT(K65/B65)+(((K65-B65*INT(K65/B65)))/C65)/100)+(1-(B65/C65/100)),(INT(K65/B65)+(((K65-B65*INT(K65/B65)))/C65)/100)))),0,IF(B65=C65,K65/C65,IF((INT(K65/B65)+(((K65-B65*INT(K65/B65)))/C65)/100)&lt;0,(INT(K65/B65)+(((K65-B65*INT(K65/B65)))/C65)/100)+(1-(B65/C65/100)),(INT(K65/B65)+(((K65-B65*INT(K65/B65)))/C65)/100))))</f>
        <v>0</v>
      </c>
      <c r="AW65" s="57">
        <f>IF(ISERROR(IF(B65=C65,L65/C65,(INT(L65/B65)+(((L65-B65*INT(L65/B65)))/C65)/100))),0,(IF(B65=C65,L65/C65,(INT(L65/B65)+(((L65-B65*INT(L65/B65)))/C65)/100))))</f>
        <v>0</v>
      </c>
      <c r="AX65" s="57">
        <f>IF(ISERROR(IF(B65=C65,M65/C65,(INT(M65/B65)+(((M65-B65*INT(M65/B65)))/C65)/100))),0,(IF(B65=C65,M65/C65,(INT(M65/B65)+(((M65-B65*INT(M65/B65)))/C65)/100))))</f>
        <v>0</v>
      </c>
      <c r="AY65" s="57">
        <f>IF(ISERROR(IF(B65=C65,N65/C65,IF((INT(N65/B65)+(((N65-B65*INT(N65/B65)))/C65)/100)&lt;0,(INT(N65/B65)+(((N65-B65*INT(N65/B65)))/C65)/100)+(1-(B65/C65/100)),(INT(N65/B65)+(((N65-B65*INT(N65/B65)))/C65)/100)))),0,IF(B65=C65,N65/C65,IF((INT(N65/B65)+(((N65-B65*INT(N65/B65)))/C65)/100)&lt;0,(INT(N65/B65)+(((N65-B65*INT(N65/B65)))/C65)/100)+(1-(B65/C65/100)),(INT(N65/B65)+(((N65-B65*INT(N65/B65)))/C65)/100))))</f>
        <v>0</v>
      </c>
      <c r="AZ65" s="57">
        <f>IF(ISERROR(IF(B65=C65,O65/C65,(INT(O65/B65)+(((O65-B65*INT(O65/B65)))/C65)/100))),0,(IF(B65=C65,O65/C65,(INT(O65/B65)+(((O65-B65*INT(O65/B65)))/C65)/100))))</f>
        <v>0</v>
      </c>
      <c r="BA65" s="57">
        <f>IF(ISERROR(IF(B65=C65,P65/C65,IF((INT(P65/B65)+(((P65-B65*INT(P65/B65)))/C65)/100)&lt;0,(INT(P65/B65)+(((P65-B65*INT(P65/B65)))/C65)/100)+(1-(B65/C65/100)),(INT(P65/B65)+(((P65-B65*INT(P65/B65)))/C65)/100)))),0,IF(B65=C65,P65/C65,IF((INT(P65/B65)+(((P65-B65*INT(P65/B65)))/C65)/100)&lt;0,(INT(P65/B65)+(((P65-B65*INT(P65/B65)))/C65)/100)+(1-(B65/C65/100)),(INT(P65/B65)+(((P65-B65*INT(P65/B65)))/C65)/100))))</f>
        <v>0</v>
      </c>
      <c r="BB65" s="28">
        <f>R65</f>
        <v>0</v>
      </c>
      <c r="BC65" s="28">
        <f>S65</f>
        <v>0</v>
      </c>
      <c r="BD65" s="28">
        <f>AF65</f>
        <v>0</v>
      </c>
      <c r="BE65" s="28">
        <f>T65</f>
        <v>0</v>
      </c>
      <c r="BG65" s="57">
        <f>IF(ISERROR(IF(B65=C65,V65/C65,(INT(V65/B65)+(((V65-B65*INT(V65/B65)))/C65)/100))),0,(IF(B65=C65,V65/C65,(INT(V65/B65)+(((V65-B65*INT(V65/B65)))/C65)/100))))</f>
        <v>0</v>
      </c>
      <c r="BH65" s="57">
        <f>IF(ISERROR(IF(B65=C65,W65/C65,(INT(W65/B65)+(((W65-B65*INT(W65/B65)))/C65)/100))),0,(IF(B65=C65,W65/C65,(INT(W65/B65)+(((W65-B65*INT(W65/B65)))/C65)/100))))</f>
        <v>0</v>
      </c>
      <c r="BI65" s="57">
        <f>IF(ISERROR(IF(B65=C65,X65/C65,(INT(X65/B65)+(((X65-B65*INT(X65/B65)))/C65)/100))),0,(IF(B65=C65,X65/C65,(INT(X65/B65)+(((X65-B65*INT(X65/B65)))/C65)/100))))</f>
        <v>0</v>
      </c>
      <c r="BJ65" s="57">
        <f>IF(ISERROR(IF(B65=C65,Y65/C65,(INT(Y65/B65)+(((Y65-B65*INT(Y65/B65)))/C65)/100))),0,(IF(B65=C65,Y65/C65,(INT(Y65/B65)+(((Y65-B65*INT(Y65/B65)))/C65)/100))))</f>
        <v>0</v>
      </c>
      <c r="BL65" s="57">
        <f>IF(ISERROR(IF(B65=C65,AA65/C65,(INT(AA65/B65)+(((AA65-B65*INT(AA65/B65)))/C65)/100))),0,(IF(B65=C65,AA65/C65,(INT(AA65/B65)+(((AA65-B65*INT(AA65/B65)))/C65)/100))))</f>
        <v>0</v>
      </c>
      <c r="BM65" s="57">
        <f>IF(ISERROR(IF(B65=C65,AB65/C65,(INT(AB65/B65)+(((AB65-B65*INT(AB65/B65)))/C65)/100))),0,(IF(B65=C65,AB65/C65,(INT(AB65/B65)+(((AB65-B65*INT(AB65/B65)))/C65)/100))))</f>
        <v>0</v>
      </c>
      <c r="BN65" s="57">
        <f>IF(ISERROR(IF(B65=C65,AC65/C65,(INT(AC65/B65)+(((AC65-B65*INT(AC65/B65)))/C65)/100))),0,(IF(B65=C65,AC65/C65,(INT(AC65/B65)+(((AC65-B65*INT(AC65/B65)))/C65)/100))))</f>
        <v>0</v>
      </c>
      <c r="BO65" s="57">
        <f>IF(ISERROR(IF(B65=C65,AD65/C65,(INT(AD65/B65)+(((AD65-B65*INT(AD65/B65)))/C65)/100))),0,(IF(B65=C65,AD65/C65,(INT(AD65/B65)+(((AD65-B65*INT(AD65/B65)))/C65)/100))))</f>
        <v>0</v>
      </c>
      <c r="BQ65" s="155"/>
    </row>
    <row r="66" spans="1:69" hidden="1" x14ac:dyDescent="0.35">
      <c r="A66" s="94"/>
      <c r="B66" s="113">
        <v>0</v>
      </c>
      <c r="C66" s="113">
        <v>0</v>
      </c>
      <c r="D66" s="28">
        <f>SUM(AA66:AD66)</f>
        <v>0</v>
      </c>
      <c r="E66" s="113">
        <v>0</v>
      </c>
      <c r="F66" s="113">
        <v>0</v>
      </c>
      <c r="G66" s="28">
        <f>SUM(D66:F66)</f>
        <v>0</v>
      </c>
      <c r="H66" s="125">
        <v>0</v>
      </c>
      <c r="I66" s="113">
        <v>0</v>
      </c>
      <c r="J66" s="125">
        <v>0</v>
      </c>
      <c r="K66" s="113">
        <v>0</v>
      </c>
      <c r="L66" s="113">
        <v>0</v>
      </c>
      <c r="M66" s="113">
        <v>0</v>
      </c>
      <c r="N66" s="28">
        <f>G66-SUM(H66:M66)</f>
        <v>0</v>
      </c>
      <c r="O66" s="28">
        <f>SUM(V66:Y66)</f>
        <v>0</v>
      </c>
      <c r="P66" s="28">
        <f>O66-N66</f>
        <v>0</v>
      </c>
      <c r="Q66" s="61" t="str">
        <f>IF(ISERROR(P66/SUM(H66:L66)),"",P66/SUM(H66:L66))</f>
        <v/>
      </c>
      <c r="R66" s="113">
        <v>0</v>
      </c>
      <c r="S66" s="28">
        <f>IF(ISERROR(P66/C66*R66),0,(P66/C66*R66))</f>
        <v>0</v>
      </c>
      <c r="T66" s="60">
        <f>IF(ISERROR(P66/B66*AF66),0,(P66/B66*AF66))</f>
        <v>0</v>
      </c>
      <c r="V66" s="113">
        <v>0</v>
      </c>
      <c r="W66" s="113">
        <v>0</v>
      </c>
      <c r="X66" s="113">
        <v>0</v>
      </c>
      <c r="Y66" s="113">
        <v>0</v>
      </c>
      <c r="AA66" s="113">
        <v>0</v>
      </c>
      <c r="AB66" s="113">
        <v>0</v>
      </c>
      <c r="AC66" s="113">
        <v>0</v>
      </c>
      <c r="AD66" s="113">
        <v>0</v>
      </c>
      <c r="AF66" s="113">
        <v>0</v>
      </c>
      <c r="AG66" s="28">
        <f>G66-O66</f>
        <v>0</v>
      </c>
      <c r="AH66" s="58">
        <f>IF(ISERROR(AG66/B66*AF66),0,(AG66/B66*AF66))</f>
        <v>0</v>
      </c>
      <c r="AI66" s="28">
        <f>SUM(H66:M66)</f>
        <v>0</v>
      </c>
      <c r="AJ66" s="28">
        <f>IF(ISERROR(AI66/B66*AF66),0,(AI66/B66*AF66))</f>
        <v>0</v>
      </c>
      <c r="AK66" s="58">
        <f>IF(ISERROR(O66/B66*AF66),0,(O66/B66*AF66))</f>
        <v>0</v>
      </c>
      <c r="AL66" s="28">
        <f>IF(ISERROR(H66/B66*AF66),0,(H66/B66*AF66))</f>
        <v>0</v>
      </c>
      <c r="AN66" s="51">
        <f>A66</f>
        <v>0</v>
      </c>
      <c r="AO66" s="57">
        <f>IF(ISERROR(IF(B66=C66,D66/C66,(INT(D66/B66)+(((D66-B66*INT(D66/B66)))/C66)/100))),0,(IF(B66=C66,D66/C66,(INT(D66/B66)+(((D66-B66*INT(D66/B66)))/C66)/100))))</f>
        <v>0</v>
      </c>
      <c r="AP66" s="57">
        <f>IF(ISERROR(IF(B66=C66,E66/C66,(INT(E66/B66)+(((E66-B66*INT(E66/B66)))/C66)/100))),0,(IF(B66=C66,E66/C66,(INT(E66/B66)+(((E66-B66*INT(E66/B66)))/C66)/100))))</f>
        <v>0</v>
      </c>
      <c r="AQ66" s="57">
        <f>IF(ISERROR(IF(B66=C66,F66/C66,IF((INT(F66/B66)+(((F66-B66*INT(F66/B66)))/C66)/100)&lt;0,(INT(F66/B66)+(((F66-B66*INT(F66/B66)))/C66)/100)+(1-(B66/C66/100)),(INT(F66/B66)+(((F66-B66*INT(F66/B66)))/C66)/100)))),0,IF(B66=C66,F66/C66,IF((INT(F66/B66)+(((F66-B66*INT(F66/B66)))/C66)/100)&lt;0,(INT(F66/B66)+(((F66-B66*INT(F66/B66)))/C66)/100)+(1-(B66/C66/100)),(INT(F66/B66)+(((F66-B66*INT(F66/B66)))/C66)/100))))</f>
        <v>0</v>
      </c>
      <c r="AR66" s="57">
        <f>IF(ISERROR(IF(B66=C66,G66/C66,(INT(G66/B66)+(((G66-B66*INT(G66/B66)))/C66)/100))),0,(IF(B66=C66,G66/C66,(INT(G66/B66)+(((G66-B66*INT(G66/B66)))/C66)/100))))</f>
        <v>0</v>
      </c>
      <c r="AS66" s="57">
        <f>IF(ISERROR(IF(B66=C66,H66/C66,(INT(H66/B66)+(((H66-B66*INT(H66/B66)))/C66)/100))),0,(IF(B66=C66,H66/C66,(INT(H66/B66)+(((H66-B66*INT(H66/B66)))/C66)/100))))</f>
        <v>0</v>
      </c>
      <c r="AT66" s="57">
        <f>IF(ISERROR(IF(B66=C66,I66/C66,(INT(I66/B66)+(((I66-B66*INT(I66/B66)))/C66)/100))),0,(IF(B66=C66,I66/C66,(INT(I66/B66)+(((I66-B66*INT(I66/B66)))/C66)/100))))</f>
        <v>0</v>
      </c>
      <c r="AU66" s="57">
        <f>IF(ISERROR(IF(B66=C66,J66/C66,(INT(J66/B66)+(((J66-B66*INT(J66/B66)))/C66)/100))),0,(IF(B66=C66,J66/C66,(INT(J66/B66)+(((J66-B66*INT(J66/B66)))/C66)/100))))</f>
        <v>0</v>
      </c>
      <c r="AV66" s="57">
        <f>IF(ISERROR(IF(B66=C66,K66/C66,IF((INT(K66/B66)+(((K66-B66*INT(K66/B66)))/C66)/100)&lt;0,(INT(K66/B66)+(((K66-B66*INT(K66/B66)))/C66)/100)+(1-(B66/C66/100)),(INT(K66/B66)+(((K66-B66*INT(K66/B66)))/C66)/100)))),0,IF(B66=C66,K66/C66,IF((INT(K66/B66)+(((K66-B66*INT(K66/B66)))/C66)/100)&lt;0,(INT(K66/B66)+(((K66-B66*INT(K66/B66)))/C66)/100)+(1-(B66/C66/100)),(INT(K66/B66)+(((K66-B66*INT(K66/B66)))/C66)/100))))</f>
        <v>0</v>
      </c>
      <c r="AW66" s="57">
        <f>IF(ISERROR(IF(B66=C66,L66/C66,(INT(L66/B66)+(((L66-B66*INT(L66/B66)))/C66)/100))),0,(IF(B66=C66,L66/C66,(INT(L66/B66)+(((L66-B66*INT(L66/B66)))/C66)/100))))</f>
        <v>0</v>
      </c>
      <c r="AX66" s="57">
        <f>IF(ISERROR(IF(B66=C66,M66/C66,(INT(M66/B66)+(((M66-B66*INT(M66/B66)))/C66)/100))),0,(IF(B66=C66,M66/C66,(INT(M66/B66)+(((M66-B66*INT(M66/B66)))/C66)/100))))</f>
        <v>0</v>
      </c>
      <c r="AY66" s="57">
        <f>IF(ISERROR(IF(B66=C66,N66/C66,IF((INT(N66/B66)+(((N66-B66*INT(N66/B66)))/C66)/100)&lt;0,(INT(N66/B66)+(((N66-B66*INT(N66/B66)))/C66)/100)+(1-(B66/C66/100)),(INT(N66/B66)+(((N66-B66*INT(N66/B66)))/C66)/100)))),0,IF(B66=C66,N66/C66,IF((INT(N66/B66)+(((N66-B66*INT(N66/B66)))/C66)/100)&lt;0,(INT(N66/B66)+(((N66-B66*INT(N66/B66)))/C66)/100)+(1-(B66/C66/100)),(INT(N66/B66)+(((N66-B66*INT(N66/B66)))/C66)/100))))</f>
        <v>0</v>
      </c>
      <c r="AZ66" s="57">
        <f>IF(ISERROR(IF(B66=C66,O66/C66,(INT(O66/B66)+(((O66-B66*INT(O66/B66)))/C66)/100))),0,(IF(B66=C66,O66/C66,(INT(O66/B66)+(((O66-B66*INT(O66/B66)))/C66)/100))))</f>
        <v>0</v>
      </c>
      <c r="BA66" s="57">
        <f>IF(ISERROR(IF(B66=C66,P66/C66,IF((INT(P66/B66)+(((P66-B66*INT(P66/B66)))/C66)/100)&lt;0,(INT(P66/B66)+(((P66-B66*INT(P66/B66)))/C66)/100)+(1-(B66/C66/100)),(INT(P66/B66)+(((P66-B66*INT(P66/B66)))/C66)/100)))),0,IF(B66=C66,P66/C66,IF((INT(P66/B66)+(((P66-B66*INT(P66/B66)))/C66)/100)&lt;0,(INT(P66/B66)+(((P66-B66*INT(P66/B66)))/C66)/100)+(1-(B66/C66/100)),(INT(P66/B66)+(((P66-B66*INT(P66/B66)))/C66)/100))))</f>
        <v>0</v>
      </c>
      <c r="BB66" s="28">
        <f>R66</f>
        <v>0</v>
      </c>
      <c r="BC66" s="28">
        <f>S66</f>
        <v>0</v>
      </c>
      <c r="BD66" s="28">
        <f>AF66</f>
        <v>0</v>
      </c>
      <c r="BE66" s="28">
        <f>T66</f>
        <v>0</v>
      </c>
      <c r="BG66" s="57">
        <f>IF(ISERROR(IF(B66=C66,V66/C66,(INT(V66/B66)+(((V66-B66*INT(V66/B66)))/C66)/100))),0,(IF(B66=C66,V66/C66,(INT(V66/B66)+(((V66-B66*INT(V66/B66)))/C66)/100))))</f>
        <v>0</v>
      </c>
      <c r="BH66" s="57">
        <f>IF(ISERROR(IF(B66=C66,W66/C66,(INT(W66/B66)+(((W66-B66*INT(W66/B66)))/C66)/100))),0,(IF(B66=C66,W66/C66,(INT(W66/B66)+(((W66-B66*INT(W66/B66)))/C66)/100))))</f>
        <v>0</v>
      </c>
      <c r="BI66" s="57">
        <f>IF(ISERROR(IF(B66=C66,X66/C66,(INT(X66/B66)+(((X66-B66*INT(X66/B66)))/C66)/100))),0,(IF(B66=C66,X66/C66,(INT(X66/B66)+(((X66-B66*INT(X66/B66)))/C66)/100))))</f>
        <v>0</v>
      </c>
      <c r="BJ66" s="57">
        <f>IF(ISERROR(IF(B66=C66,Y66/C66,(INT(Y66/B66)+(((Y66-B66*INT(Y66/B66)))/C66)/100))),0,(IF(B66=C66,Y66/C66,(INT(Y66/B66)+(((Y66-B66*INT(Y66/B66)))/C66)/100))))</f>
        <v>0</v>
      </c>
      <c r="BL66" s="57">
        <f>IF(ISERROR(IF(B66=C66,AA66/C66,(INT(AA66/B66)+(((AA66-B66*INT(AA66/B66)))/C66)/100))),0,(IF(B66=C66,AA66/C66,(INT(AA66/B66)+(((AA66-B66*INT(AA66/B66)))/C66)/100))))</f>
        <v>0</v>
      </c>
      <c r="BM66" s="57">
        <f>IF(ISERROR(IF(B66=C66,AB66/C66,(INT(AB66/B66)+(((AB66-B66*INT(AB66/B66)))/C66)/100))),0,(IF(B66=C66,AB66/C66,(INT(AB66/B66)+(((AB66-B66*INT(AB66/B66)))/C66)/100))))</f>
        <v>0</v>
      </c>
      <c r="BN66" s="57">
        <f>IF(ISERROR(IF(B66=C66,AC66/C66,(INT(AC66/B66)+(((AC66-B66*INT(AC66/B66)))/C66)/100))),0,(IF(B66=C66,AC66/C66,(INT(AC66/B66)+(((AC66-B66*INT(AC66/B66)))/C66)/100))))</f>
        <v>0</v>
      </c>
      <c r="BO66" s="57">
        <f>IF(ISERROR(IF(B66=C66,AD66/C66,(INT(AD66/B66)+(((AD66-B66*INT(AD66/B66)))/C66)/100))),0,(IF(B66=C66,AD66/C66,(INT(AD66/B66)+(((AD66-B66*INT(AD66/B66)))/C66)/100))))</f>
        <v>0</v>
      </c>
      <c r="BQ66" s="155"/>
    </row>
    <row r="67" spans="1:69" hidden="1" x14ac:dyDescent="0.35">
      <c r="A67" s="94"/>
      <c r="B67" s="113">
        <v>0</v>
      </c>
      <c r="C67" s="113">
        <v>0</v>
      </c>
      <c r="D67" s="28">
        <f>SUM(AA67:AD67)</f>
        <v>0</v>
      </c>
      <c r="E67" s="113">
        <v>0</v>
      </c>
      <c r="F67" s="113">
        <v>0</v>
      </c>
      <c r="G67" s="28">
        <f>SUM(D67:F67)</f>
        <v>0</v>
      </c>
      <c r="H67" s="125">
        <v>0</v>
      </c>
      <c r="I67" s="113">
        <v>0</v>
      </c>
      <c r="J67" s="125">
        <v>0</v>
      </c>
      <c r="K67" s="113">
        <v>0</v>
      </c>
      <c r="L67" s="113">
        <v>0</v>
      </c>
      <c r="M67" s="113">
        <v>0</v>
      </c>
      <c r="N67" s="28">
        <f>G67-SUM(H67:M67)</f>
        <v>0</v>
      </c>
      <c r="O67" s="28">
        <f>SUM(V67:Y67)</f>
        <v>0</v>
      </c>
      <c r="P67" s="28">
        <f>O67-N67</f>
        <v>0</v>
      </c>
      <c r="Q67" s="61" t="str">
        <f>IF(ISERROR(P67/SUM(H67:L67)),"",P67/SUM(H67:L67))</f>
        <v/>
      </c>
      <c r="R67" s="113">
        <v>0</v>
      </c>
      <c r="S67" s="28">
        <f>IF(ISERROR(P67/C67*R67),0,(P67/C67*R67))</f>
        <v>0</v>
      </c>
      <c r="T67" s="60">
        <f>IF(ISERROR(P67/B67*AF67),0,(P67/B67*AF67))</f>
        <v>0</v>
      </c>
      <c r="V67" s="113">
        <v>0</v>
      </c>
      <c r="W67" s="113">
        <v>0</v>
      </c>
      <c r="X67" s="113">
        <v>0</v>
      </c>
      <c r="Y67" s="113">
        <v>0</v>
      </c>
      <c r="AA67" s="113">
        <v>0</v>
      </c>
      <c r="AB67" s="113">
        <v>0</v>
      </c>
      <c r="AC67" s="113">
        <v>0</v>
      </c>
      <c r="AD67" s="113">
        <v>0</v>
      </c>
      <c r="AF67" s="113">
        <v>0</v>
      </c>
      <c r="AG67" s="28">
        <f>G67-O67</f>
        <v>0</v>
      </c>
      <c r="AH67" s="58">
        <f>IF(ISERROR(AG67/B67*AF67),0,(AG67/B67*AF67))</f>
        <v>0</v>
      </c>
      <c r="AI67" s="28">
        <f>SUM(H67:M67)</f>
        <v>0</v>
      </c>
      <c r="AJ67" s="28">
        <f>IF(ISERROR(AI67/B67*AF67),0,(AI67/B67*AF67))</f>
        <v>0</v>
      </c>
      <c r="AK67" s="58">
        <f>IF(ISERROR(O67/B67*AF67),0,(O67/B67*AF67))</f>
        <v>0</v>
      </c>
      <c r="AL67" s="28">
        <f>IF(ISERROR(H67/B67*AF67),0,(H67/B67*AF67))</f>
        <v>0</v>
      </c>
      <c r="AN67" s="51">
        <f>A67</f>
        <v>0</v>
      </c>
      <c r="AO67" s="57">
        <f>IF(ISERROR(IF(B67=C67,D67/C67,(INT(D67/B67)+(((D67-B67*INT(D67/B67)))/C67)/100))),0,(IF(B67=C67,D67/C67,(INT(D67/B67)+(((D67-B67*INT(D67/B67)))/C67)/100))))</f>
        <v>0</v>
      </c>
      <c r="AP67" s="57">
        <f>IF(ISERROR(IF(B67=C67,E67/C67,(INT(E67/B67)+(((E67-B67*INT(E67/B67)))/C67)/100))),0,(IF(B67=C67,E67/C67,(INT(E67/B67)+(((E67-B67*INT(E67/B67)))/C67)/100))))</f>
        <v>0</v>
      </c>
      <c r="AQ67" s="57">
        <f>IF(ISERROR(IF(B67=C67,F67/C67,IF((INT(F67/B67)+(((F67-B67*INT(F67/B67)))/C67)/100)&lt;0,(INT(F67/B67)+(((F67-B67*INT(F67/B67)))/C67)/100)+(1-(B67/C67/100)),(INT(F67/B67)+(((F67-B67*INT(F67/B67)))/C67)/100)))),0,IF(B67=C67,F67/C67,IF((INT(F67/B67)+(((F67-B67*INT(F67/B67)))/C67)/100)&lt;0,(INT(F67/B67)+(((F67-B67*INT(F67/B67)))/C67)/100)+(1-(B67/C67/100)),(INT(F67/B67)+(((F67-B67*INT(F67/B67)))/C67)/100))))</f>
        <v>0</v>
      </c>
      <c r="AR67" s="57">
        <f>IF(ISERROR(IF(B67=C67,G67/C67,(INT(G67/B67)+(((G67-B67*INT(G67/B67)))/C67)/100))),0,(IF(B67=C67,G67/C67,(INT(G67/B67)+(((G67-B67*INT(G67/B67)))/C67)/100))))</f>
        <v>0</v>
      </c>
      <c r="AS67" s="57">
        <f>IF(ISERROR(IF(B67=C67,H67/C67,(INT(H67/B67)+(((H67-B67*INT(H67/B67)))/C67)/100))),0,(IF(B67=C67,H67/C67,(INT(H67/B67)+(((H67-B67*INT(H67/B67)))/C67)/100))))</f>
        <v>0</v>
      </c>
      <c r="AT67" s="57">
        <f>IF(ISERROR(IF(B67=C67,I67/C67,(INT(I67/B67)+(((I67-B67*INT(I67/B67)))/C67)/100))),0,(IF(B67=C67,I67/C67,(INT(I67/B67)+(((I67-B67*INT(I67/B67)))/C67)/100))))</f>
        <v>0</v>
      </c>
      <c r="AU67" s="57">
        <f>IF(ISERROR(IF(B67=C67,J67/C67,(INT(J67/B67)+(((J67-B67*INT(J67/B67)))/C67)/100))),0,(IF(B67=C67,J67/C67,(INT(J67/B67)+(((J67-B67*INT(J67/B67)))/C67)/100))))</f>
        <v>0</v>
      </c>
      <c r="AV67" s="57">
        <f>IF(ISERROR(IF(B67=C67,K67/C67,IF((INT(K67/B67)+(((K67-B67*INT(K67/B67)))/C67)/100)&lt;0,(INT(K67/B67)+(((K67-B67*INT(K67/B67)))/C67)/100)+(1-(B67/C67/100)),(INT(K67/B67)+(((K67-B67*INT(K67/B67)))/C67)/100)))),0,IF(B67=C67,K67/C67,IF((INT(K67/B67)+(((K67-B67*INT(K67/B67)))/C67)/100)&lt;0,(INT(K67/B67)+(((K67-B67*INT(K67/B67)))/C67)/100)+(1-(B67/C67/100)),(INT(K67/B67)+(((K67-B67*INT(K67/B67)))/C67)/100))))</f>
        <v>0</v>
      </c>
      <c r="AW67" s="57">
        <f>IF(ISERROR(IF(B67=C67,L67/C67,(INT(L67/B67)+(((L67-B67*INT(L67/B67)))/C67)/100))),0,(IF(B67=C67,L67/C67,(INT(L67/B67)+(((L67-B67*INT(L67/B67)))/C67)/100))))</f>
        <v>0</v>
      </c>
      <c r="AX67" s="57">
        <f>IF(ISERROR(IF(B67=C67,M67/C67,(INT(M67/B67)+(((M67-B67*INT(M67/B67)))/C67)/100))),0,(IF(B67=C67,M67/C67,(INT(M67/B67)+(((M67-B67*INT(M67/B67)))/C67)/100))))</f>
        <v>0</v>
      </c>
      <c r="AY67" s="57">
        <f>IF(ISERROR(IF(B67=C67,N67/C67,IF((INT(N67/B67)+(((N67-B67*INT(N67/B67)))/C67)/100)&lt;0,(INT(N67/B67)+(((N67-B67*INT(N67/B67)))/C67)/100)+(1-(B67/C67/100)),(INT(N67/B67)+(((N67-B67*INT(N67/B67)))/C67)/100)))),0,IF(B67=C67,N67/C67,IF((INT(N67/B67)+(((N67-B67*INT(N67/B67)))/C67)/100)&lt;0,(INT(N67/B67)+(((N67-B67*INT(N67/B67)))/C67)/100)+(1-(B67/C67/100)),(INT(N67/B67)+(((N67-B67*INT(N67/B67)))/C67)/100))))</f>
        <v>0</v>
      </c>
      <c r="AZ67" s="57">
        <f>IF(ISERROR(IF(B67=C67,O67/C67,(INT(O67/B67)+(((O67-B67*INT(O67/B67)))/C67)/100))),0,(IF(B67=C67,O67/C67,(INT(O67/B67)+(((O67-B67*INT(O67/B67)))/C67)/100))))</f>
        <v>0</v>
      </c>
      <c r="BA67" s="57">
        <f>IF(ISERROR(IF(B67=C67,P67/C67,IF((INT(P67/B67)+(((P67-B67*INT(P67/B67)))/C67)/100)&lt;0,(INT(P67/B67)+(((P67-B67*INT(P67/B67)))/C67)/100)+(1-(B67/C67/100)),(INT(P67/B67)+(((P67-B67*INT(P67/B67)))/C67)/100)))),0,IF(B67=C67,P67/C67,IF((INT(P67/B67)+(((P67-B67*INT(P67/B67)))/C67)/100)&lt;0,(INT(P67/B67)+(((P67-B67*INT(P67/B67)))/C67)/100)+(1-(B67/C67/100)),(INT(P67/B67)+(((P67-B67*INT(P67/B67)))/C67)/100))))</f>
        <v>0</v>
      </c>
      <c r="BB67" s="28">
        <f>R67</f>
        <v>0</v>
      </c>
      <c r="BC67" s="28">
        <f>S67</f>
        <v>0</v>
      </c>
      <c r="BD67" s="28">
        <f>AF67</f>
        <v>0</v>
      </c>
      <c r="BE67" s="28">
        <f>T67</f>
        <v>0</v>
      </c>
      <c r="BG67" s="57">
        <f>IF(ISERROR(IF(B67=C67,V67/C67,(INT(V67/B67)+(((V67-B67*INT(V67/B67)))/C67)/100))),0,(IF(B67=C67,V67/C67,(INT(V67/B67)+(((V67-B67*INT(V67/B67)))/C67)/100))))</f>
        <v>0</v>
      </c>
      <c r="BH67" s="57">
        <f>IF(ISERROR(IF(B67=C67,W67/C67,(INT(W67/B67)+(((W67-B67*INT(W67/B67)))/C67)/100))),0,(IF(B67=C67,W67/C67,(INT(W67/B67)+(((W67-B67*INT(W67/B67)))/C67)/100))))</f>
        <v>0</v>
      </c>
      <c r="BI67" s="57">
        <f>IF(ISERROR(IF(B67=C67,X67/C67,(INT(X67/B67)+(((X67-B67*INT(X67/B67)))/C67)/100))),0,(IF(B67=C67,X67/C67,(INT(X67/B67)+(((X67-B67*INT(X67/B67)))/C67)/100))))</f>
        <v>0</v>
      </c>
      <c r="BJ67" s="57">
        <f>IF(ISERROR(IF(B67=C67,Y67/C67,(INT(Y67/B67)+(((Y67-B67*INT(Y67/B67)))/C67)/100))),0,(IF(B67=C67,Y67/C67,(INT(Y67/B67)+(((Y67-B67*INT(Y67/B67)))/C67)/100))))</f>
        <v>0</v>
      </c>
      <c r="BL67" s="57">
        <f>IF(ISERROR(IF(B67=C67,AA67/C67,(INT(AA67/B67)+(((AA67-B67*INT(AA67/B67)))/C67)/100))),0,(IF(B67=C67,AA67/C67,(INT(AA67/B67)+(((AA67-B67*INT(AA67/B67)))/C67)/100))))</f>
        <v>0</v>
      </c>
      <c r="BM67" s="57">
        <f>IF(ISERROR(IF(B67=C67,AB67/C67,(INT(AB67/B67)+(((AB67-B67*INT(AB67/B67)))/C67)/100))),0,(IF(B67=C67,AB67/C67,(INT(AB67/B67)+(((AB67-B67*INT(AB67/B67)))/C67)/100))))</f>
        <v>0</v>
      </c>
      <c r="BN67" s="57">
        <f>IF(ISERROR(IF(B67=C67,AC67/C67,(INT(AC67/B67)+(((AC67-B67*INT(AC67/B67)))/C67)/100))),0,(IF(B67=C67,AC67/C67,(INT(AC67/B67)+(((AC67-B67*INT(AC67/B67)))/C67)/100))))</f>
        <v>0</v>
      </c>
      <c r="BO67" s="57">
        <f>IF(ISERROR(IF(B67=C67,AD67/C67,(INT(AD67/B67)+(((AD67-B67*INT(AD67/B67)))/C67)/100))),0,(IF(B67=C67,AD67/C67,(INT(AD67/B67)+(((AD67-B67*INT(AD67/B67)))/C67)/100))))</f>
        <v>0</v>
      </c>
      <c r="BQ67" s="155"/>
    </row>
    <row r="68" spans="1:69" hidden="1" x14ac:dyDescent="0.35">
      <c r="A68" s="94"/>
      <c r="B68" s="113">
        <v>0</v>
      </c>
      <c r="C68" s="113">
        <v>0</v>
      </c>
      <c r="D68" s="28">
        <f>SUM(AA68:AD68)</f>
        <v>0</v>
      </c>
      <c r="E68" s="113">
        <v>0</v>
      </c>
      <c r="F68" s="113">
        <v>0</v>
      </c>
      <c r="G68" s="28">
        <f>SUM(D68:F68)</f>
        <v>0</v>
      </c>
      <c r="H68" s="125">
        <v>0</v>
      </c>
      <c r="I68" s="113">
        <v>0</v>
      </c>
      <c r="J68" s="125">
        <v>0</v>
      </c>
      <c r="K68" s="113">
        <v>0</v>
      </c>
      <c r="L68" s="113">
        <v>0</v>
      </c>
      <c r="M68" s="113">
        <v>0</v>
      </c>
      <c r="N68" s="28">
        <f>G68-SUM(H68:M68)</f>
        <v>0</v>
      </c>
      <c r="O68" s="28">
        <f>SUM(V68:Y68)</f>
        <v>0</v>
      </c>
      <c r="P68" s="28">
        <f>O68-N68</f>
        <v>0</v>
      </c>
      <c r="Q68" s="61" t="str">
        <f>IF(ISERROR(P68/SUM(H68:L68)),"",P68/SUM(H68:L68))</f>
        <v/>
      </c>
      <c r="R68" s="113">
        <v>0</v>
      </c>
      <c r="S68" s="28">
        <f>IF(ISERROR(P68/C68*R68),0,(P68/C68*R68))</f>
        <v>0</v>
      </c>
      <c r="T68" s="60">
        <f>IF(ISERROR(P68/B68*AF68),0,(P68/B68*AF68))</f>
        <v>0</v>
      </c>
      <c r="V68" s="113">
        <v>0</v>
      </c>
      <c r="W68" s="113">
        <v>0</v>
      </c>
      <c r="X68" s="113">
        <v>0</v>
      </c>
      <c r="Y68" s="113">
        <v>0</v>
      </c>
      <c r="AA68" s="113">
        <v>0</v>
      </c>
      <c r="AB68" s="113">
        <v>0</v>
      </c>
      <c r="AC68" s="113">
        <v>0</v>
      </c>
      <c r="AD68" s="113">
        <v>0</v>
      </c>
      <c r="AF68" s="113">
        <v>0</v>
      </c>
      <c r="AG68" s="28">
        <f>G68-O68</f>
        <v>0</v>
      </c>
      <c r="AH68" s="58">
        <f>IF(ISERROR(AG68/B68*AF68),0,(AG68/B68*AF68))</f>
        <v>0</v>
      </c>
      <c r="AI68" s="28">
        <f>SUM(H68:M68)</f>
        <v>0</v>
      </c>
      <c r="AJ68" s="28">
        <f>IF(ISERROR(AI68/B68*AF68),0,(AI68/B68*AF68))</f>
        <v>0</v>
      </c>
      <c r="AK68" s="58">
        <f>IF(ISERROR(O68/B68*AF68),0,(O68/B68*AF68))</f>
        <v>0</v>
      </c>
      <c r="AL68" s="28">
        <f>IF(ISERROR(H68/B68*AF68),0,(H68/B68*AF68))</f>
        <v>0</v>
      </c>
      <c r="AN68" s="51">
        <f>A68</f>
        <v>0</v>
      </c>
      <c r="AO68" s="57">
        <f>IF(ISERROR(IF(B68=C68,D68/C68,(INT(D68/B68)+(((D68-B68*INT(D68/B68)))/C68)/100))),0,(IF(B68=C68,D68/C68,(INT(D68/B68)+(((D68-B68*INT(D68/B68)))/C68)/100))))</f>
        <v>0</v>
      </c>
      <c r="AP68" s="57">
        <f>IF(ISERROR(IF(B68=C68,E68/C68,(INT(E68/B68)+(((E68-B68*INT(E68/B68)))/C68)/100))),0,(IF(B68=C68,E68/C68,(INT(E68/B68)+(((E68-B68*INT(E68/B68)))/C68)/100))))</f>
        <v>0</v>
      </c>
      <c r="AQ68" s="57">
        <f>IF(ISERROR(IF(B68=C68,F68/C68,IF((INT(F68/B68)+(((F68-B68*INT(F68/B68)))/C68)/100)&lt;0,(INT(F68/B68)+(((F68-B68*INT(F68/B68)))/C68)/100)+(1-(B68/C68/100)),(INT(F68/B68)+(((F68-B68*INT(F68/B68)))/C68)/100)))),0,IF(B68=C68,F68/C68,IF((INT(F68/B68)+(((F68-B68*INT(F68/B68)))/C68)/100)&lt;0,(INT(F68/B68)+(((F68-B68*INT(F68/B68)))/C68)/100)+(1-(B68/C68/100)),(INT(F68/B68)+(((F68-B68*INT(F68/B68)))/C68)/100))))</f>
        <v>0</v>
      </c>
      <c r="AR68" s="57">
        <f>IF(ISERROR(IF(B68=C68,G68/C68,(INT(G68/B68)+(((G68-B68*INT(G68/B68)))/C68)/100))),0,(IF(B68=C68,G68/C68,(INT(G68/B68)+(((G68-B68*INT(G68/B68)))/C68)/100))))</f>
        <v>0</v>
      </c>
      <c r="AS68" s="57">
        <f>IF(ISERROR(IF(B68=C68,H68/C68,(INT(H68/B68)+(((H68-B68*INT(H68/B68)))/C68)/100))),0,(IF(B68=C68,H68/C68,(INT(H68/B68)+(((H68-B68*INT(H68/B68)))/C68)/100))))</f>
        <v>0</v>
      </c>
      <c r="AT68" s="57">
        <f>IF(ISERROR(IF(B68=C68,I68/C68,(INT(I68/B68)+(((I68-B68*INT(I68/B68)))/C68)/100))),0,(IF(B68=C68,I68/C68,(INT(I68/B68)+(((I68-B68*INT(I68/B68)))/C68)/100))))</f>
        <v>0</v>
      </c>
      <c r="AU68" s="57">
        <f>IF(ISERROR(IF(B68=C68,J68/C68,(INT(J68/B68)+(((J68-B68*INT(J68/B68)))/C68)/100))),0,(IF(B68=C68,J68/C68,(INT(J68/B68)+(((J68-B68*INT(J68/B68)))/C68)/100))))</f>
        <v>0</v>
      </c>
      <c r="AV68" s="57">
        <f>IF(ISERROR(IF(B68=C68,K68/C68,IF((INT(K68/B68)+(((K68-B68*INT(K68/B68)))/C68)/100)&lt;0,(INT(K68/B68)+(((K68-B68*INT(K68/B68)))/C68)/100)+(1-(B68/C68/100)),(INT(K68/B68)+(((K68-B68*INT(K68/B68)))/C68)/100)))),0,IF(B68=C68,K68/C68,IF((INT(K68/B68)+(((K68-B68*INT(K68/B68)))/C68)/100)&lt;0,(INT(K68/B68)+(((K68-B68*INT(K68/B68)))/C68)/100)+(1-(B68/C68/100)),(INT(K68/B68)+(((K68-B68*INT(K68/B68)))/C68)/100))))</f>
        <v>0</v>
      </c>
      <c r="AW68" s="57">
        <f>IF(ISERROR(IF(B68=C68,L68/C68,(INT(L68/B68)+(((L68-B68*INT(L68/B68)))/C68)/100))),0,(IF(B68=C68,L68/C68,(INT(L68/B68)+(((L68-B68*INT(L68/B68)))/C68)/100))))</f>
        <v>0</v>
      </c>
      <c r="AX68" s="57">
        <f>IF(ISERROR(IF(B68=C68,M68/C68,(INT(M68/B68)+(((M68-B68*INT(M68/B68)))/C68)/100))),0,(IF(B68=C68,M68/C68,(INT(M68/B68)+(((M68-B68*INT(M68/B68)))/C68)/100))))</f>
        <v>0</v>
      </c>
      <c r="AY68" s="57">
        <f>IF(ISERROR(IF(B68=C68,N68/C68,IF((INT(N68/B68)+(((N68-B68*INT(N68/B68)))/C68)/100)&lt;0,(INT(N68/B68)+(((N68-B68*INT(N68/B68)))/C68)/100)+(1-(B68/C68/100)),(INT(N68/B68)+(((N68-B68*INT(N68/B68)))/C68)/100)))),0,IF(B68=C68,N68/C68,IF((INT(N68/B68)+(((N68-B68*INT(N68/B68)))/C68)/100)&lt;0,(INT(N68/B68)+(((N68-B68*INT(N68/B68)))/C68)/100)+(1-(B68/C68/100)),(INT(N68/B68)+(((N68-B68*INT(N68/B68)))/C68)/100))))</f>
        <v>0</v>
      </c>
      <c r="AZ68" s="57">
        <f>IF(ISERROR(IF(B68=C68,O68/C68,(INT(O68/B68)+(((O68-B68*INT(O68/B68)))/C68)/100))),0,(IF(B68=C68,O68/C68,(INT(O68/B68)+(((O68-B68*INT(O68/B68)))/C68)/100))))</f>
        <v>0</v>
      </c>
      <c r="BA68" s="57">
        <f>IF(ISERROR(IF(B68=C68,P68/C68,IF((INT(P68/B68)+(((P68-B68*INT(P68/B68)))/C68)/100)&lt;0,(INT(P68/B68)+(((P68-B68*INT(P68/B68)))/C68)/100)+(1-(B68/C68/100)),(INT(P68/B68)+(((P68-B68*INT(P68/B68)))/C68)/100)))),0,IF(B68=C68,P68/C68,IF((INT(P68/B68)+(((P68-B68*INT(P68/B68)))/C68)/100)&lt;0,(INT(P68/B68)+(((P68-B68*INT(P68/B68)))/C68)/100)+(1-(B68/C68/100)),(INT(P68/B68)+(((P68-B68*INT(P68/B68)))/C68)/100))))</f>
        <v>0</v>
      </c>
      <c r="BB68" s="28">
        <f>R68</f>
        <v>0</v>
      </c>
      <c r="BC68" s="28">
        <f>S68</f>
        <v>0</v>
      </c>
      <c r="BD68" s="28">
        <f>AF68</f>
        <v>0</v>
      </c>
      <c r="BE68" s="28">
        <f>T68</f>
        <v>0</v>
      </c>
      <c r="BG68" s="57">
        <f>IF(ISERROR(IF(B68=C68,V68/C68,(INT(V68/B68)+(((V68-B68*INT(V68/B68)))/C68)/100))),0,(IF(B68=C68,V68/C68,(INT(V68/B68)+(((V68-B68*INT(V68/B68)))/C68)/100))))</f>
        <v>0</v>
      </c>
      <c r="BH68" s="57">
        <f>IF(ISERROR(IF(B68=C68,W68/C68,(INT(W68/B68)+(((W68-B68*INT(W68/B68)))/C68)/100))),0,(IF(B68=C68,W68/C68,(INT(W68/B68)+(((W68-B68*INT(W68/B68)))/C68)/100))))</f>
        <v>0</v>
      </c>
      <c r="BI68" s="57">
        <f>IF(ISERROR(IF(B68=C68,X68/C68,(INT(X68/B68)+(((X68-B68*INT(X68/B68)))/C68)/100))),0,(IF(B68=C68,X68/C68,(INT(X68/B68)+(((X68-B68*INT(X68/B68)))/C68)/100))))</f>
        <v>0</v>
      </c>
      <c r="BJ68" s="57">
        <f>IF(ISERROR(IF(B68=C68,Y68/C68,(INT(Y68/B68)+(((Y68-B68*INT(Y68/B68)))/C68)/100))),0,(IF(B68=C68,Y68/C68,(INT(Y68/B68)+(((Y68-B68*INT(Y68/B68)))/C68)/100))))</f>
        <v>0</v>
      </c>
      <c r="BL68" s="57">
        <f>IF(ISERROR(IF(B68=C68,AA68/C68,(INT(AA68/B68)+(((AA68-B68*INT(AA68/B68)))/C68)/100))),0,(IF(B68=C68,AA68/C68,(INT(AA68/B68)+(((AA68-B68*INT(AA68/B68)))/C68)/100))))</f>
        <v>0</v>
      </c>
      <c r="BM68" s="57">
        <f>IF(ISERROR(IF(B68=C68,AB68/C68,(INT(AB68/B68)+(((AB68-B68*INT(AB68/B68)))/C68)/100))),0,(IF(B68=C68,AB68/C68,(INT(AB68/B68)+(((AB68-B68*INT(AB68/B68)))/C68)/100))))</f>
        <v>0</v>
      </c>
      <c r="BN68" s="57">
        <f>IF(ISERROR(IF(B68=C68,AC68/C68,(INT(AC68/B68)+(((AC68-B68*INT(AC68/B68)))/C68)/100))),0,(IF(B68=C68,AC68/C68,(INT(AC68/B68)+(((AC68-B68*INT(AC68/B68)))/C68)/100))))</f>
        <v>0</v>
      </c>
      <c r="BO68" s="57">
        <f>IF(ISERROR(IF(B68=C68,AD68/C68,(INT(AD68/B68)+(((AD68-B68*INT(AD68/B68)))/C68)/100))),0,(IF(B68=C68,AD68/C68,(INT(AD68/B68)+(((AD68-B68*INT(AD68/B68)))/C68)/100))))</f>
        <v>0</v>
      </c>
      <c r="BQ68" s="155"/>
    </row>
    <row r="69" spans="1:69" hidden="1" x14ac:dyDescent="0.35">
      <c r="A69" s="94"/>
      <c r="B69" s="113">
        <v>0</v>
      </c>
      <c r="C69" s="113">
        <v>0</v>
      </c>
      <c r="D69" s="28">
        <f>SUM(AA69:AD69)</f>
        <v>0</v>
      </c>
      <c r="E69" s="113">
        <v>0</v>
      </c>
      <c r="F69" s="113">
        <v>0</v>
      </c>
      <c r="G69" s="28">
        <f>SUM(D69:F69)</f>
        <v>0</v>
      </c>
      <c r="H69" s="125">
        <v>0</v>
      </c>
      <c r="I69" s="113">
        <v>0</v>
      </c>
      <c r="J69" s="125">
        <v>0</v>
      </c>
      <c r="K69" s="113">
        <v>0</v>
      </c>
      <c r="L69" s="113">
        <v>0</v>
      </c>
      <c r="M69" s="113">
        <v>0</v>
      </c>
      <c r="N69" s="28">
        <f>G69-SUM(H69:M69)</f>
        <v>0</v>
      </c>
      <c r="O69" s="28">
        <f>SUM(V69:Y69)</f>
        <v>0</v>
      </c>
      <c r="P69" s="28">
        <f>O69-N69</f>
        <v>0</v>
      </c>
      <c r="Q69" s="61" t="str">
        <f>IF(ISERROR(P69/SUM(H69:L69)),"",P69/SUM(H69:L69))</f>
        <v/>
      </c>
      <c r="R69" s="113">
        <v>0</v>
      </c>
      <c r="S69" s="28">
        <f>IF(ISERROR(P69/C69*R69),0,(P69/C69*R69))</f>
        <v>0</v>
      </c>
      <c r="T69" s="60">
        <f>IF(ISERROR(P69/B69*AF69),0,(P69/B69*AF69))</f>
        <v>0</v>
      </c>
      <c r="V69" s="113">
        <v>0</v>
      </c>
      <c r="W69" s="113">
        <v>0</v>
      </c>
      <c r="X69" s="113">
        <v>0</v>
      </c>
      <c r="Y69" s="113">
        <v>0</v>
      </c>
      <c r="AA69" s="113">
        <v>0</v>
      </c>
      <c r="AB69" s="113">
        <v>0</v>
      </c>
      <c r="AC69" s="113">
        <v>0</v>
      </c>
      <c r="AD69" s="113">
        <v>0</v>
      </c>
      <c r="AF69" s="113">
        <v>0</v>
      </c>
      <c r="AG69" s="28">
        <f>G69-O69</f>
        <v>0</v>
      </c>
      <c r="AH69" s="58">
        <f>IF(ISERROR(AG69/B69*AF69),0,(AG69/B69*AF69))</f>
        <v>0</v>
      </c>
      <c r="AI69" s="28">
        <f>SUM(H69:M69)</f>
        <v>0</v>
      </c>
      <c r="AJ69" s="28">
        <f>IF(ISERROR(AI69/B69*AF69),0,(AI69/B69*AF69))</f>
        <v>0</v>
      </c>
      <c r="AK69" s="58">
        <f>IF(ISERROR(O69/B69*AF69),0,(O69/B69*AF69))</f>
        <v>0</v>
      </c>
      <c r="AL69" s="28">
        <f>IF(ISERROR(H69/B69*AF69),0,(H69/B69*AF69))</f>
        <v>0</v>
      </c>
      <c r="AN69" s="51">
        <f>A69</f>
        <v>0</v>
      </c>
      <c r="AO69" s="57">
        <f>IF(ISERROR(IF(B69=C69,D69/C69,(INT(D69/B69)+(((D69-B69*INT(D69/B69)))/C69)/100))),0,(IF(B69=C69,D69/C69,(INT(D69/B69)+(((D69-B69*INT(D69/B69)))/C69)/100))))</f>
        <v>0</v>
      </c>
      <c r="AP69" s="57">
        <f>IF(ISERROR(IF(B69=C69,E69/C69,(INT(E69/B69)+(((E69-B69*INT(E69/B69)))/C69)/100))),0,(IF(B69=C69,E69/C69,(INT(E69/B69)+(((E69-B69*INT(E69/B69)))/C69)/100))))</f>
        <v>0</v>
      </c>
      <c r="AQ69" s="57">
        <f>IF(ISERROR(IF(B69=C69,F69/C69,IF((INT(F69/B69)+(((F69-B69*INT(F69/B69)))/C69)/100)&lt;0,(INT(F69/B69)+(((F69-B69*INT(F69/B69)))/C69)/100)+(1-(B69/C69/100)),(INT(F69/B69)+(((F69-B69*INT(F69/B69)))/C69)/100)))),0,IF(B69=C69,F69/C69,IF((INT(F69/B69)+(((F69-B69*INT(F69/B69)))/C69)/100)&lt;0,(INT(F69/B69)+(((F69-B69*INT(F69/B69)))/C69)/100)+(1-(B69/C69/100)),(INT(F69/B69)+(((F69-B69*INT(F69/B69)))/C69)/100))))</f>
        <v>0</v>
      </c>
      <c r="AR69" s="57">
        <f>IF(ISERROR(IF(B69=C69,G69/C69,(INT(G69/B69)+(((G69-B69*INT(G69/B69)))/C69)/100))),0,(IF(B69=C69,G69/C69,(INT(G69/B69)+(((G69-B69*INT(G69/B69)))/C69)/100))))</f>
        <v>0</v>
      </c>
      <c r="AS69" s="57">
        <f>IF(ISERROR(IF(B69=C69,H69/C69,(INT(H69/B69)+(((H69-B69*INT(H69/B69)))/C69)/100))),0,(IF(B69=C69,H69/C69,(INT(H69/B69)+(((H69-B69*INT(H69/B69)))/C69)/100))))</f>
        <v>0</v>
      </c>
      <c r="AT69" s="57">
        <f>IF(ISERROR(IF(B69=C69,I69/C69,(INT(I69/B69)+(((I69-B69*INT(I69/B69)))/C69)/100))),0,(IF(B69=C69,I69/C69,(INT(I69/B69)+(((I69-B69*INT(I69/B69)))/C69)/100))))</f>
        <v>0</v>
      </c>
      <c r="AU69" s="57">
        <f>IF(ISERROR(IF(B69=C69,J69/C69,(INT(J69/B69)+(((J69-B69*INT(J69/B69)))/C69)/100))),0,(IF(B69=C69,J69/C69,(INT(J69/B69)+(((J69-B69*INT(J69/B69)))/C69)/100))))</f>
        <v>0</v>
      </c>
      <c r="AV69" s="57">
        <f>IF(ISERROR(IF(B69=C69,K69/C69,IF((INT(K69/B69)+(((K69-B69*INT(K69/B69)))/C69)/100)&lt;0,(INT(K69/B69)+(((K69-B69*INT(K69/B69)))/C69)/100)+(1-(B69/C69/100)),(INT(K69/B69)+(((K69-B69*INT(K69/B69)))/C69)/100)))),0,IF(B69=C69,K69/C69,IF((INT(K69/B69)+(((K69-B69*INT(K69/B69)))/C69)/100)&lt;0,(INT(K69/B69)+(((K69-B69*INT(K69/B69)))/C69)/100)+(1-(B69/C69/100)),(INT(K69/B69)+(((K69-B69*INT(K69/B69)))/C69)/100))))</f>
        <v>0</v>
      </c>
      <c r="AW69" s="57">
        <f>IF(ISERROR(IF(B69=C69,L69/C69,(INT(L69/B69)+(((L69-B69*INT(L69/B69)))/C69)/100))),0,(IF(B69=C69,L69/C69,(INT(L69/B69)+(((L69-B69*INT(L69/B69)))/C69)/100))))</f>
        <v>0</v>
      </c>
      <c r="AX69" s="57">
        <f>IF(ISERROR(IF(B69=C69,M69/C69,(INT(M69/B69)+(((M69-B69*INT(M69/B69)))/C69)/100))),0,(IF(B69=C69,M69/C69,(INT(M69/B69)+(((M69-B69*INT(M69/B69)))/C69)/100))))</f>
        <v>0</v>
      </c>
      <c r="AY69" s="57">
        <f>IF(ISERROR(IF(B69=C69,N69/C69,IF((INT(N69/B69)+(((N69-B69*INT(N69/B69)))/C69)/100)&lt;0,(INT(N69/B69)+(((N69-B69*INT(N69/B69)))/C69)/100)+(1-(B69/C69/100)),(INT(N69/B69)+(((N69-B69*INT(N69/B69)))/C69)/100)))),0,IF(B69=C69,N69/C69,IF((INT(N69/B69)+(((N69-B69*INT(N69/B69)))/C69)/100)&lt;0,(INT(N69/B69)+(((N69-B69*INT(N69/B69)))/C69)/100)+(1-(B69/C69/100)),(INT(N69/B69)+(((N69-B69*INT(N69/B69)))/C69)/100))))</f>
        <v>0</v>
      </c>
      <c r="AZ69" s="57">
        <f>IF(ISERROR(IF(B69=C69,O69/C69,(INT(O69/B69)+(((O69-B69*INT(O69/B69)))/C69)/100))),0,(IF(B69=C69,O69/C69,(INT(O69/B69)+(((O69-B69*INT(O69/B69)))/C69)/100))))</f>
        <v>0</v>
      </c>
      <c r="BA69" s="57">
        <f>IF(ISERROR(IF(B69=C69,P69/C69,IF((INT(P69/B69)+(((P69-B69*INT(P69/B69)))/C69)/100)&lt;0,(INT(P69/B69)+(((P69-B69*INT(P69/B69)))/C69)/100)+(1-(B69/C69/100)),(INT(P69/B69)+(((P69-B69*INT(P69/B69)))/C69)/100)))),0,IF(B69=C69,P69/C69,IF((INT(P69/B69)+(((P69-B69*INT(P69/B69)))/C69)/100)&lt;0,(INT(P69/B69)+(((P69-B69*INT(P69/B69)))/C69)/100)+(1-(B69/C69/100)),(INT(P69/B69)+(((P69-B69*INT(P69/B69)))/C69)/100))))</f>
        <v>0</v>
      </c>
      <c r="BB69" s="28">
        <f>R69</f>
        <v>0</v>
      </c>
      <c r="BC69" s="28">
        <f>S69</f>
        <v>0</v>
      </c>
      <c r="BD69" s="28">
        <f>AF69</f>
        <v>0</v>
      </c>
      <c r="BE69" s="28">
        <f>T69</f>
        <v>0</v>
      </c>
      <c r="BG69" s="57">
        <f>IF(ISERROR(IF(B69=C69,V69/C69,(INT(V69/B69)+(((V69-B69*INT(V69/B69)))/C69)/100))),0,(IF(B69=C69,V69/C69,(INT(V69/B69)+(((V69-B69*INT(V69/B69)))/C69)/100))))</f>
        <v>0</v>
      </c>
      <c r="BH69" s="57">
        <f>IF(ISERROR(IF(B69=C69,W69/C69,(INT(W69/B69)+(((W69-B69*INT(W69/B69)))/C69)/100))),0,(IF(B69=C69,W69/C69,(INT(W69/B69)+(((W69-B69*INT(W69/B69)))/C69)/100))))</f>
        <v>0</v>
      </c>
      <c r="BI69" s="57">
        <f>IF(ISERROR(IF(B69=C69,X69/C69,(INT(X69/B69)+(((X69-B69*INT(X69/B69)))/C69)/100))),0,(IF(B69=C69,X69/C69,(INT(X69/B69)+(((X69-B69*INT(X69/B69)))/C69)/100))))</f>
        <v>0</v>
      </c>
      <c r="BJ69" s="57">
        <f>IF(ISERROR(IF(B69=C69,Y69/C69,(INT(Y69/B69)+(((Y69-B69*INT(Y69/B69)))/C69)/100))),0,(IF(B69=C69,Y69/C69,(INT(Y69/B69)+(((Y69-B69*INT(Y69/B69)))/C69)/100))))</f>
        <v>0</v>
      </c>
      <c r="BL69" s="57">
        <f>IF(ISERROR(IF(B69=C69,AA69/C69,(INT(AA69/B69)+(((AA69-B69*INT(AA69/B69)))/C69)/100))),0,(IF(B69=C69,AA69/C69,(INT(AA69/B69)+(((AA69-B69*INT(AA69/B69)))/C69)/100))))</f>
        <v>0</v>
      </c>
      <c r="BM69" s="57">
        <f>IF(ISERROR(IF(B69=C69,AB69/C69,(INT(AB69/B69)+(((AB69-B69*INT(AB69/B69)))/C69)/100))),0,(IF(B69=C69,AB69/C69,(INT(AB69/B69)+(((AB69-B69*INT(AB69/B69)))/C69)/100))))</f>
        <v>0</v>
      </c>
      <c r="BN69" s="57">
        <f>IF(ISERROR(IF(B69=C69,AC69/C69,(INT(AC69/B69)+(((AC69-B69*INT(AC69/B69)))/C69)/100))),0,(IF(B69=C69,AC69/C69,(INT(AC69/B69)+(((AC69-B69*INT(AC69/B69)))/C69)/100))))</f>
        <v>0</v>
      </c>
      <c r="BO69" s="57">
        <f>IF(ISERROR(IF(B69=C69,AD69/C69,(INT(AD69/B69)+(((AD69-B69*INT(AD69/B69)))/C69)/100))),0,(IF(B69=C69,AD69/C69,(INT(AD69/B69)+(((AD69-B69*INT(AD69/B69)))/C69)/100))))</f>
        <v>0</v>
      </c>
      <c r="BQ69" s="155"/>
    </row>
    <row r="70" spans="1:69" hidden="1" x14ac:dyDescent="0.35">
      <c r="A70" s="94"/>
      <c r="B70" s="113">
        <v>0</v>
      </c>
      <c r="C70" s="113">
        <v>0</v>
      </c>
      <c r="D70" s="28">
        <f>SUM(AA70:AD70)</f>
        <v>0</v>
      </c>
      <c r="E70" s="113">
        <v>0</v>
      </c>
      <c r="F70" s="113">
        <v>0</v>
      </c>
      <c r="G70" s="28">
        <f>SUM(D70:F70)</f>
        <v>0</v>
      </c>
      <c r="H70" s="125">
        <v>0</v>
      </c>
      <c r="I70" s="113">
        <v>0</v>
      </c>
      <c r="J70" s="125">
        <v>0</v>
      </c>
      <c r="K70" s="113">
        <v>0</v>
      </c>
      <c r="L70" s="113">
        <v>0</v>
      </c>
      <c r="M70" s="113">
        <v>0</v>
      </c>
      <c r="N70" s="28">
        <f>G70-SUM(H70:M70)</f>
        <v>0</v>
      </c>
      <c r="O70" s="28">
        <f>SUM(V70:Y70)</f>
        <v>0</v>
      </c>
      <c r="P70" s="28">
        <f>O70-N70</f>
        <v>0</v>
      </c>
      <c r="Q70" s="61" t="str">
        <f>IF(ISERROR(P70/SUM(H70:L70)),"",P70/SUM(H70:L70))</f>
        <v/>
      </c>
      <c r="R70" s="113">
        <v>0</v>
      </c>
      <c r="S70" s="28">
        <f>IF(ISERROR(P70/C70*R70),0,(P70/C70*R70))</f>
        <v>0</v>
      </c>
      <c r="T70" s="60">
        <f>IF(ISERROR(P70/B70*AF70),0,(P70/B70*AF70))</f>
        <v>0</v>
      </c>
      <c r="V70" s="113">
        <v>0</v>
      </c>
      <c r="W70" s="113">
        <v>0</v>
      </c>
      <c r="X70" s="113">
        <v>0</v>
      </c>
      <c r="Y70" s="113">
        <v>0</v>
      </c>
      <c r="AA70" s="113">
        <v>0</v>
      </c>
      <c r="AB70" s="113">
        <v>0</v>
      </c>
      <c r="AC70" s="113">
        <v>0</v>
      </c>
      <c r="AD70" s="113">
        <v>0</v>
      </c>
      <c r="AF70" s="113">
        <v>0</v>
      </c>
      <c r="AG70" s="28">
        <f>G70-O70</f>
        <v>0</v>
      </c>
      <c r="AH70" s="58">
        <f>IF(ISERROR(AG70/B70*AF70),0,(AG70/B70*AF70))</f>
        <v>0</v>
      </c>
      <c r="AI70" s="28">
        <f>SUM(H70:M70)</f>
        <v>0</v>
      </c>
      <c r="AJ70" s="28">
        <f>IF(ISERROR(AI70/B70*AF70),0,(AI70/B70*AF70))</f>
        <v>0</v>
      </c>
      <c r="AK70" s="58">
        <f>IF(ISERROR(O70/B70*AF70),0,(O70/B70*AF70))</f>
        <v>0</v>
      </c>
      <c r="AL70" s="28">
        <f>IF(ISERROR(H70/B70*AF70),0,(H70/B70*AF70))</f>
        <v>0</v>
      </c>
      <c r="AN70" s="51">
        <f>A70</f>
        <v>0</v>
      </c>
      <c r="AO70" s="57">
        <f>IF(ISERROR(IF(B70=C70,D70/C70,(INT(D70/B70)+(((D70-B70*INT(D70/B70)))/C70)/100))),0,(IF(B70=C70,D70/C70,(INT(D70/B70)+(((D70-B70*INT(D70/B70)))/C70)/100))))</f>
        <v>0</v>
      </c>
      <c r="AP70" s="57">
        <f>IF(ISERROR(IF(B70=C70,E70/C70,(INT(E70/B70)+(((E70-B70*INT(E70/B70)))/C70)/100))),0,(IF(B70=C70,E70/C70,(INT(E70/B70)+(((E70-B70*INT(E70/B70)))/C70)/100))))</f>
        <v>0</v>
      </c>
      <c r="AQ70" s="57">
        <f>IF(ISERROR(IF(B70=C70,F70/C70,IF((INT(F70/B70)+(((F70-B70*INT(F70/B70)))/C70)/100)&lt;0,(INT(F70/B70)+(((F70-B70*INT(F70/B70)))/C70)/100)+(1-(B70/C70/100)),(INT(F70/B70)+(((F70-B70*INT(F70/B70)))/C70)/100)))),0,IF(B70=C70,F70/C70,IF((INT(F70/B70)+(((F70-B70*INT(F70/B70)))/C70)/100)&lt;0,(INT(F70/B70)+(((F70-B70*INT(F70/B70)))/C70)/100)+(1-(B70/C70/100)),(INT(F70/B70)+(((F70-B70*INT(F70/B70)))/C70)/100))))</f>
        <v>0</v>
      </c>
      <c r="AR70" s="57">
        <f>IF(ISERROR(IF(B70=C70,G70/C70,(INT(G70/B70)+(((G70-B70*INT(G70/B70)))/C70)/100))),0,(IF(B70=C70,G70/C70,(INT(G70/B70)+(((G70-B70*INT(G70/B70)))/C70)/100))))</f>
        <v>0</v>
      </c>
      <c r="AS70" s="57">
        <f>IF(ISERROR(IF(B70=C70,H70/C70,(INT(H70/B70)+(((H70-B70*INT(H70/B70)))/C70)/100))),0,(IF(B70=C70,H70/C70,(INT(H70/B70)+(((H70-B70*INT(H70/B70)))/C70)/100))))</f>
        <v>0</v>
      </c>
      <c r="AT70" s="57">
        <f>IF(ISERROR(IF(B70=C70,I70/C70,(INT(I70/B70)+(((I70-B70*INT(I70/B70)))/C70)/100))),0,(IF(B70=C70,I70/C70,(INT(I70/B70)+(((I70-B70*INT(I70/B70)))/C70)/100))))</f>
        <v>0</v>
      </c>
      <c r="AU70" s="57">
        <f>IF(ISERROR(IF(B70=C70,J70/C70,(INT(J70/B70)+(((J70-B70*INT(J70/B70)))/C70)/100))),0,(IF(B70=C70,J70/C70,(INT(J70/B70)+(((J70-B70*INT(J70/B70)))/C70)/100))))</f>
        <v>0</v>
      </c>
      <c r="AV70" s="57">
        <f>IF(ISERROR(IF(B70=C70,K70/C70,IF((INT(K70/B70)+(((K70-B70*INT(K70/B70)))/C70)/100)&lt;0,(INT(K70/B70)+(((K70-B70*INT(K70/B70)))/C70)/100)+(1-(B70/C70/100)),(INT(K70/B70)+(((K70-B70*INT(K70/B70)))/C70)/100)))),0,IF(B70=C70,K70/C70,IF((INT(K70/B70)+(((K70-B70*INT(K70/B70)))/C70)/100)&lt;0,(INT(K70/B70)+(((K70-B70*INT(K70/B70)))/C70)/100)+(1-(B70/C70/100)),(INT(K70/B70)+(((K70-B70*INT(K70/B70)))/C70)/100))))</f>
        <v>0</v>
      </c>
      <c r="AW70" s="57">
        <f>IF(ISERROR(IF(B70=C70,L70/C70,(INT(L70/B70)+(((L70-B70*INT(L70/B70)))/C70)/100))),0,(IF(B70=C70,L70/C70,(INT(L70/B70)+(((L70-B70*INT(L70/B70)))/C70)/100))))</f>
        <v>0</v>
      </c>
      <c r="AX70" s="57">
        <f>IF(ISERROR(IF(B70=C70,M70/C70,(INT(M70/B70)+(((M70-B70*INT(M70/B70)))/C70)/100))),0,(IF(B70=C70,M70/C70,(INT(M70/B70)+(((M70-B70*INT(M70/B70)))/C70)/100))))</f>
        <v>0</v>
      </c>
      <c r="AY70" s="57">
        <f>IF(ISERROR(IF(B70=C70,N70/C70,IF((INT(N70/B70)+(((N70-B70*INT(N70/B70)))/C70)/100)&lt;0,(INT(N70/B70)+(((N70-B70*INT(N70/B70)))/C70)/100)+(1-(B70/C70/100)),(INT(N70/B70)+(((N70-B70*INT(N70/B70)))/C70)/100)))),0,IF(B70=C70,N70/C70,IF((INT(N70/B70)+(((N70-B70*INT(N70/B70)))/C70)/100)&lt;0,(INT(N70/B70)+(((N70-B70*INT(N70/B70)))/C70)/100)+(1-(B70/C70/100)),(INT(N70/B70)+(((N70-B70*INT(N70/B70)))/C70)/100))))</f>
        <v>0</v>
      </c>
      <c r="AZ70" s="57">
        <f>IF(ISERROR(IF(B70=C70,O70/C70,(INT(O70/B70)+(((O70-B70*INT(O70/B70)))/C70)/100))),0,(IF(B70=C70,O70/C70,(INT(O70/B70)+(((O70-B70*INT(O70/B70)))/C70)/100))))</f>
        <v>0</v>
      </c>
      <c r="BA70" s="57">
        <f>IF(ISERROR(IF(B70=C70,P70/C70,IF((INT(P70/B70)+(((P70-B70*INT(P70/B70)))/C70)/100)&lt;0,(INT(P70/B70)+(((P70-B70*INT(P70/B70)))/C70)/100)+(1-(B70/C70/100)),(INT(P70/B70)+(((P70-B70*INT(P70/B70)))/C70)/100)))),0,IF(B70=C70,P70/C70,IF((INT(P70/B70)+(((P70-B70*INT(P70/B70)))/C70)/100)&lt;0,(INT(P70/B70)+(((P70-B70*INT(P70/B70)))/C70)/100)+(1-(B70/C70/100)),(INT(P70/B70)+(((P70-B70*INT(P70/B70)))/C70)/100))))</f>
        <v>0</v>
      </c>
      <c r="BB70" s="28">
        <f>R70</f>
        <v>0</v>
      </c>
      <c r="BC70" s="28">
        <f>S70</f>
        <v>0</v>
      </c>
      <c r="BD70" s="28">
        <f>AF70</f>
        <v>0</v>
      </c>
      <c r="BE70" s="28">
        <f>T70</f>
        <v>0</v>
      </c>
      <c r="BG70" s="57">
        <f>IF(ISERROR(IF(B70=C70,V70/C70,(INT(V70/B70)+(((V70-B70*INT(V70/B70)))/C70)/100))),0,(IF(B70=C70,V70/C70,(INT(V70/B70)+(((V70-B70*INT(V70/B70)))/C70)/100))))</f>
        <v>0</v>
      </c>
      <c r="BH70" s="57">
        <f>IF(ISERROR(IF(B70=C70,W70/C70,(INT(W70/B70)+(((W70-B70*INT(W70/B70)))/C70)/100))),0,(IF(B70=C70,W70/C70,(INT(W70/B70)+(((W70-B70*INT(W70/B70)))/C70)/100))))</f>
        <v>0</v>
      </c>
      <c r="BI70" s="57">
        <f>IF(ISERROR(IF(B70=C70,X70/C70,(INT(X70/B70)+(((X70-B70*INT(X70/B70)))/C70)/100))),0,(IF(B70=C70,X70/C70,(INT(X70/B70)+(((X70-B70*INT(X70/B70)))/C70)/100))))</f>
        <v>0</v>
      </c>
      <c r="BJ70" s="57">
        <f>IF(ISERROR(IF(B70=C70,Y70/C70,(INT(Y70/B70)+(((Y70-B70*INT(Y70/B70)))/C70)/100))),0,(IF(B70=C70,Y70/C70,(INT(Y70/B70)+(((Y70-B70*INT(Y70/B70)))/C70)/100))))</f>
        <v>0</v>
      </c>
      <c r="BL70" s="57">
        <f>IF(ISERROR(IF(B70=C70,AA70/C70,(INT(AA70/B70)+(((AA70-B70*INT(AA70/B70)))/C70)/100))),0,(IF(B70=C70,AA70/C70,(INT(AA70/B70)+(((AA70-B70*INT(AA70/B70)))/C70)/100))))</f>
        <v>0</v>
      </c>
      <c r="BM70" s="57">
        <f>IF(ISERROR(IF(B70=C70,AB70/C70,(INT(AB70/B70)+(((AB70-B70*INT(AB70/B70)))/C70)/100))),0,(IF(B70=C70,AB70/C70,(INT(AB70/B70)+(((AB70-B70*INT(AB70/B70)))/C70)/100))))</f>
        <v>0</v>
      </c>
      <c r="BN70" s="57">
        <f>IF(ISERROR(IF(B70=C70,AC70/C70,(INT(AC70/B70)+(((AC70-B70*INT(AC70/B70)))/C70)/100))),0,(IF(B70=C70,AC70/C70,(INT(AC70/B70)+(((AC70-B70*INT(AC70/B70)))/C70)/100))))</f>
        <v>0</v>
      </c>
      <c r="BO70" s="57">
        <f>IF(ISERROR(IF(B70=C70,AD70/C70,(INT(AD70/B70)+(((AD70-B70*INT(AD70/B70)))/C70)/100))),0,(IF(B70=C70,AD70/C70,(INT(AD70/B70)+(((AD70-B70*INT(AD70/B70)))/C70)/100))))</f>
        <v>0</v>
      </c>
      <c r="BQ70" s="155"/>
    </row>
    <row r="71" spans="1:69" hidden="1" x14ac:dyDescent="0.35">
      <c r="A71" s="94"/>
      <c r="B71" s="113">
        <v>0</v>
      </c>
      <c r="C71" s="113">
        <v>0</v>
      </c>
      <c r="D71" s="28">
        <f>SUM(AA71:AD71)</f>
        <v>0</v>
      </c>
      <c r="E71" s="113">
        <v>0</v>
      </c>
      <c r="F71" s="113">
        <v>0</v>
      </c>
      <c r="G71" s="28">
        <f>SUM(D71:F71)</f>
        <v>0</v>
      </c>
      <c r="H71" s="125">
        <v>0</v>
      </c>
      <c r="I71" s="113">
        <v>0</v>
      </c>
      <c r="J71" s="125">
        <v>0</v>
      </c>
      <c r="K71" s="113">
        <v>0</v>
      </c>
      <c r="L71" s="113">
        <v>0</v>
      </c>
      <c r="M71" s="113">
        <v>0</v>
      </c>
      <c r="N71" s="28">
        <f>G71-SUM(H71:M71)</f>
        <v>0</v>
      </c>
      <c r="O71" s="28">
        <f>SUM(V71:Y71)</f>
        <v>0</v>
      </c>
      <c r="P71" s="28">
        <f>O71-N71</f>
        <v>0</v>
      </c>
      <c r="Q71" s="61" t="str">
        <f>IF(ISERROR(P71/SUM(H71:L71)),"",P71/SUM(H71:L71))</f>
        <v/>
      </c>
      <c r="R71" s="113">
        <v>0</v>
      </c>
      <c r="S71" s="28">
        <f>IF(ISERROR(P71/C71*R71),0,(P71/C71*R71))</f>
        <v>0</v>
      </c>
      <c r="T71" s="60">
        <f>IF(ISERROR(P71/B71*AF71),0,(P71/B71*AF71))</f>
        <v>0</v>
      </c>
      <c r="V71" s="113">
        <v>0</v>
      </c>
      <c r="W71" s="113">
        <v>0</v>
      </c>
      <c r="X71" s="113">
        <v>0</v>
      </c>
      <c r="Y71" s="113">
        <v>0</v>
      </c>
      <c r="AA71" s="113">
        <v>0</v>
      </c>
      <c r="AB71" s="113">
        <v>0</v>
      </c>
      <c r="AC71" s="113">
        <v>0</v>
      </c>
      <c r="AD71" s="113">
        <v>0</v>
      </c>
      <c r="AF71" s="113">
        <v>0</v>
      </c>
      <c r="AG71" s="28">
        <f>G71-O71</f>
        <v>0</v>
      </c>
      <c r="AH71" s="58">
        <f>IF(ISERROR(AG71/B71*AF71),0,(AG71/B71*AF71))</f>
        <v>0</v>
      </c>
      <c r="AI71" s="28">
        <f>SUM(H71:M71)</f>
        <v>0</v>
      </c>
      <c r="AJ71" s="28">
        <f>IF(ISERROR(AI71/B71*AF71),0,(AI71/B71*AF71))</f>
        <v>0</v>
      </c>
      <c r="AK71" s="58">
        <f>IF(ISERROR(O71/B71*AF71),0,(O71/B71*AF71))</f>
        <v>0</v>
      </c>
      <c r="AL71" s="28">
        <f>IF(ISERROR(H71/B71*AF71),0,(H71/B71*AF71))</f>
        <v>0</v>
      </c>
      <c r="AN71" s="51">
        <f>A71</f>
        <v>0</v>
      </c>
      <c r="AO71" s="57">
        <f>IF(ISERROR(IF(B71=C71,D71/C71,(INT(D71/B71)+(((D71-B71*INT(D71/B71)))/C71)/100))),0,(IF(B71=C71,D71/C71,(INT(D71/B71)+(((D71-B71*INT(D71/B71)))/C71)/100))))</f>
        <v>0</v>
      </c>
      <c r="AP71" s="57">
        <f>IF(ISERROR(IF(B71=C71,E71/C71,(INT(E71/B71)+(((E71-B71*INT(E71/B71)))/C71)/100))),0,(IF(B71=C71,E71/C71,(INT(E71/B71)+(((E71-B71*INT(E71/B71)))/C71)/100))))</f>
        <v>0</v>
      </c>
      <c r="AQ71" s="57">
        <f>IF(ISERROR(IF(B71=C71,F71/C71,IF((INT(F71/B71)+(((F71-B71*INT(F71/B71)))/C71)/100)&lt;0,(INT(F71/B71)+(((F71-B71*INT(F71/B71)))/C71)/100)+(1-(B71/C71/100)),(INT(F71/B71)+(((F71-B71*INT(F71/B71)))/C71)/100)))),0,IF(B71=C71,F71/C71,IF((INT(F71/B71)+(((F71-B71*INT(F71/B71)))/C71)/100)&lt;0,(INT(F71/B71)+(((F71-B71*INT(F71/B71)))/C71)/100)+(1-(B71/C71/100)),(INT(F71/B71)+(((F71-B71*INT(F71/B71)))/C71)/100))))</f>
        <v>0</v>
      </c>
      <c r="AR71" s="57">
        <f>IF(ISERROR(IF(B71=C71,G71/C71,(INT(G71/B71)+(((G71-B71*INT(G71/B71)))/C71)/100))),0,(IF(B71=C71,G71/C71,(INT(G71/B71)+(((G71-B71*INT(G71/B71)))/C71)/100))))</f>
        <v>0</v>
      </c>
      <c r="AS71" s="57">
        <f>IF(ISERROR(IF(B71=C71,H71/C71,(INT(H71/B71)+(((H71-B71*INT(H71/B71)))/C71)/100))),0,(IF(B71=C71,H71/C71,(INT(H71/B71)+(((H71-B71*INT(H71/B71)))/C71)/100))))</f>
        <v>0</v>
      </c>
      <c r="AT71" s="57">
        <f>IF(ISERROR(IF(B71=C71,I71/C71,(INT(I71/B71)+(((I71-B71*INT(I71/B71)))/C71)/100))),0,(IF(B71=C71,I71/C71,(INT(I71/B71)+(((I71-B71*INT(I71/B71)))/C71)/100))))</f>
        <v>0</v>
      </c>
      <c r="AU71" s="57">
        <f>IF(ISERROR(IF(B71=C71,J71/C71,(INT(J71/B71)+(((J71-B71*INT(J71/B71)))/C71)/100))),0,(IF(B71=C71,J71/C71,(INT(J71/B71)+(((J71-B71*INT(J71/B71)))/C71)/100))))</f>
        <v>0</v>
      </c>
      <c r="AV71" s="57">
        <f>IF(ISERROR(IF(B71=C71,K71/C71,IF((INT(K71/B71)+(((K71-B71*INT(K71/B71)))/C71)/100)&lt;0,(INT(K71/B71)+(((K71-B71*INT(K71/B71)))/C71)/100)+(1-(B71/C71/100)),(INT(K71/B71)+(((K71-B71*INT(K71/B71)))/C71)/100)))),0,IF(B71=C71,K71/C71,IF((INT(K71/B71)+(((K71-B71*INT(K71/B71)))/C71)/100)&lt;0,(INT(K71/B71)+(((K71-B71*INT(K71/B71)))/C71)/100)+(1-(B71/C71/100)),(INT(K71/B71)+(((K71-B71*INT(K71/B71)))/C71)/100))))</f>
        <v>0</v>
      </c>
      <c r="AW71" s="57">
        <f>IF(ISERROR(IF(B71=C71,L71/C71,(INT(L71/B71)+(((L71-B71*INT(L71/B71)))/C71)/100))),0,(IF(B71=C71,L71/C71,(INT(L71/B71)+(((L71-B71*INT(L71/B71)))/C71)/100))))</f>
        <v>0</v>
      </c>
      <c r="AX71" s="57">
        <f>IF(ISERROR(IF(B71=C71,M71/C71,(INT(M71/B71)+(((M71-B71*INT(M71/B71)))/C71)/100))),0,(IF(B71=C71,M71/C71,(INT(M71/B71)+(((M71-B71*INT(M71/B71)))/C71)/100))))</f>
        <v>0</v>
      </c>
      <c r="AY71" s="57">
        <f>IF(ISERROR(IF(B71=C71,N71/C71,IF((INT(N71/B71)+(((N71-B71*INT(N71/B71)))/C71)/100)&lt;0,(INT(N71/B71)+(((N71-B71*INT(N71/B71)))/C71)/100)+(1-(B71/C71/100)),(INT(N71/B71)+(((N71-B71*INT(N71/B71)))/C71)/100)))),0,IF(B71=C71,N71/C71,IF((INT(N71/B71)+(((N71-B71*INT(N71/B71)))/C71)/100)&lt;0,(INT(N71/B71)+(((N71-B71*INT(N71/B71)))/C71)/100)+(1-(B71/C71/100)),(INT(N71/B71)+(((N71-B71*INT(N71/B71)))/C71)/100))))</f>
        <v>0</v>
      </c>
      <c r="AZ71" s="57">
        <f>IF(ISERROR(IF(B71=C71,O71/C71,(INT(O71/B71)+(((O71-B71*INT(O71/B71)))/C71)/100))),0,(IF(B71=C71,O71/C71,(INT(O71/B71)+(((O71-B71*INT(O71/B71)))/C71)/100))))</f>
        <v>0</v>
      </c>
      <c r="BA71" s="57">
        <f>IF(ISERROR(IF(B71=C71,P71/C71,IF((INT(P71/B71)+(((P71-B71*INT(P71/B71)))/C71)/100)&lt;0,(INT(P71/B71)+(((P71-B71*INT(P71/B71)))/C71)/100)+(1-(B71/C71/100)),(INT(P71/B71)+(((P71-B71*INT(P71/B71)))/C71)/100)))),0,IF(B71=C71,P71/C71,IF((INT(P71/B71)+(((P71-B71*INT(P71/B71)))/C71)/100)&lt;0,(INT(P71/B71)+(((P71-B71*INT(P71/B71)))/C71)/100)+(1-(B71/C71/100)),(INT(P71/B71)+(((P71-B71*INT(P71/B71)))/C71)/100))))</f>
        <v>0</v>
      </c>
      <c r="BB71" s="28">
        <f>R71</f>
        <v>0</v>
      </c>
      <c r="BC71" s="28">
        <f>S71</f>
        <v>0</v>
      </c>
      <c r="BD71" s="28">
        <f>AF71</f>
        <v>0</v>
      </c>
      <c r="BE71" s="28">
        <f>T71</f>
        <v>0</v>
      </c>
      <c r="BG71" s="57">
        <f>IF(ISERROR(IF(B71=C71,V71/C71,(INT(V71/B71)+(((V71-B71*INT(V71/B71)))/C71)/100))),0,(IF(B71=C71,V71/C71,(INT(V71/B71)+(((V71-B71*INT(V71/B71)))/C71)/100))))</f>
        <v>0</v>
      </c>
      <c r="BH71" s="57">
        <f>IF(ISERROR(IF(B71=C71,W71/C71,(INT(W71/B71)+(((W71-B71*INT(W71/B71)))/C71)/100))),0,(IF(B71=C71,W71/C71,(INT(W71/B71)+(((W71-B71*INT(W71/B71)))/C71)/100))))</f>
        <v>0</v>
      </c>
      <c r="BI71" s="57">
        <f>IF(ISERROR(IF(B71=C71,X71/C71,(INT(X71/B71)+(((X71-B71*INT(X71/B71)))/C71)/100))),0,(IF(B71=C71,X71/C71,(INT(X71/B71)+(((X71-B71*INT(X71/B71)))/C71)/100))))</f>
        <v>0</v>
      </c>
      <c r="BJ71" s="57">
        <f>IF(ISERROR(IF(B71=C71,Y71/C71,(INT(Y71/B71)+(((Y71-B71*INT(Y71/B71)))/C71)/100))),0,(IF(B71=C71,Y71/C71,(INT(Y71/B71)+(((Y71-B71*INT(Y71/B71)))/C71)/100))))</f>
        <v>0</v>
      </c>
      <c r="BL71" s="57">
        <f>IF(ISERROR(IF(B71=C71,AA71/C71,(INT(AA71/B71)+(((AA71-B71*INT(AA71/B71)))/C71)/100))),0,(IF(B71=C71,AA71/C71,(INT(AA71/B71)+(((AA71-B71*INT(AA71/B71)))/C71)/100))))</f>
        <v>0</v>
      </c>
      <c r="BM71" s="57">
        <f>IF(ISERROR(IF(B71=C71,AB71/C71,(INT(AB71/B71)+(((AB71-B71*INT(AB71/B71)))/C71)/100))),0,(IF(B71=C71,AB71/C71,(INT(AB71/B71)+(((AB71-B71*INT(AB71/B71)))/C71)/100))))</f>
        <v>0</v>
      </c>
      <c r="BN71" s="57">
        <f>IF(ISERROR(IF(B71=C71,AC71/C71,(INT(AC71/B71)+(((AC71-B71*INT(AC71/B71)))/C71)/100))),0,(IF(B71=C71,AC71/C71,(INT(AC71/B71)+(((AC71-B71*INT(AC71/B71)))/C71)/100))))</f>
        <v>0</v>
      </c>
      <c r="BO71" s="57">
        <f>IF(ISERROR(IF(B71=C71,AD71/C71,(INT(AD71/B71)+(((AD71-B71*INT(AD71/B71)))/C71)/100))),0,(IF(B71=C71,AD71/C71,(INT(AD71/B71)+(((AD71-B71*INT(AD71/B71)))/C71)/100))))</f>
        <v>0</v>
      </c>
      <c r="BQ71" s="155"/>
    </row>
    <row r="72" spans="1:69" hidden="1" x14ac:dyDescent="0.35">
      <c r="A72" s="94"/>
      <c r="B72" s="113">
        <v>0</v>
      </c>
      <c r="C72" s="113">
        <v>0</v>
      </c>
      <c r="D72" s="28">
        <f>SUM(AA72:AD72)</f>
        <v>0</v>
      </c>
      <c r="E72" s="113">
        <v>0</v>
      </c>
      <c r="F72" s="113">
        <v>0</v>
      </c>
      <c r="G72" s="28">
        <f>SUM(D72:F72)</f>
        <v>0</v>
      </c>
      <c r="H72" s="125">
        <v>0</v>
      </c>
      <c r="I72" s="113">
        <v>0</v>
      </c>
      <c r="J72" s="125">
        <v>0</v>
      </c>
      <c r="K72" s="113">
        <v>0</v>
      </c>
      <c r="L72" s="113">
        <v>0</v>
      </c>
      <c r="M72" s="113">
        <v>0</v>
      </c>
      <c r="N72" s="28">
        <f>G72-SUM(H72:M72)</f>
        <v>0</v>
      </c>
      <c r="O72" s="28">
        <f>SUM(V72:Y72)</f>
        <v>0</v>
      </c>
      <c r="P72" s="28">
        <f>O72-N72</f>
        <v>0</v>
      </c>
      <c r="Q72" s="61" t="str">
        <f>IF(ISERROR(P72/SUM(H72:L72)),"",P72/SUM(H72:L72))</f>
        <v/>
      </c>
      <c r="R72" s="113">
        <v>0</v>
      </c>
      <c r="S72" s="28">
        <f>IF(ISERROR(P72/C72*R72),0,(P72/C72*R72))</f>
        <v>0</v>
      </c>
      <c r="T72" s="60">
        <f>IF(ISERROR(P72/B72*AF72),0,(P72/B72*AF72))</f>
        <v>0</v>
      </c>
      <c r="V72" s="113">
        <v>0</v>
      </c>
      <c r="W72" s="113">
        <v>0</v>
      </c>
      <c r="X72" s="113">
        <v>0</v>
      </c>
      <c r="Y72" s="113">
        <v>0</v>
      </c>
      <c r="AA72" s="113">
        <v>0</v>
      </c>
      <c r="AB72" s="113">
        <v>0</v>
      </c>
      <c r="AC72" s="113">
        <v>0</v>
      </c>
      <c r="AD72" s="113">
        <v>0</v>
      </c>
      <c r="AF72" s="113">
        <v>0</v>
      </c>
      <c r="AG72" s="28">
        <f>G72-O72</f>
        <v>0</v>
      </c>
      <c r="AH72" s="58">
        <f>IF(ISERROR(AG72/B72*AF72),0,(AG72/B72*AF72))</f>
        <v>0</v>
      </c>
      <c r="AI72" s="28">
        <f>SUM(H72:M72)</f>
        <v>0</v>
      </c>
      <c r="AJ72" s="28">
        <f>IF(ISERROR(AI72/B72*AF72),0,(AI72/B72*AF72))</f>
        <v>0</v>
      </c>
      <c r="AK72" s="58">
        <f>IF(ISERROR(O72/B72*AF72),0,(O72/B72*AF72))</f>
        <v>0</v>
      </c>
      <c r="AL72" s="28">
        <f>IF(ISERROR(H72/B72*AF72),0,(H72/B72*AF72))</f>
        <v>0</v>
      </c>
      <c r="AN72" s="51">
        <f>A72</f>
        <v>0</v>
      </c>
      <c r="AO72" s="57">
        <f>IF(ISERROR(IF(B72=C72,D72/C72,(INT(D72/B72)+(((D72-B72*INT(D72/B72)))/C72)/100))),0,(IF(B72=C72,D72/C72,(INT(D72/B72)+(((D72-B72*INT(D72/B72)))/C72)/100))))</f>
        <v>0</v>
      </c>
      <c r="AP72" s="57">
        <f>IF(ISERROR(IF(B72=C72,E72/C72,(INT(E72/B72)+(((E72-B72*INT(E72/B72)))/C72)/100))),0,(IF(B72=C72,E72/C72,(INT(E72/B72)+(((E72-B72*INT(E72/B72)))/C72)/100))))</f>
        <v>0</v>
      </c>
      <c r="AQ72" s="57">
        <f>IF(ISERROR(IF(B72=C72,F72/C72,IF((INT(F72/B72)+(((F72-B72*INT(F72/B72)))/C72)/100)&lt;0,(INT(F72/B72)+(((F72-B72*INT(F72/B72)))/C72)/100)+(1-(B72/C72/100)),(INT(F72/B72)+(((F72-B72*INT(F72/B72)))/C72)/100)))),0,IF(B72=C72,F72/C72,IF((INT(F72/B72)+(((F72-B72*INT(F72/B72)))/C72)/100)&lt;0,(INT(F72/B72)+(((F72-B72*INT(F72/B72)))/C72)/100)+(1-(B72/C72/100)),(INT(F72/B72)+(((F72-B72*INT(F72/B72)))/C72)/100))))</f>
        <v>0</v>
      </c>
      <c r="AR72" s="57">
        <f>IF(ISERROR(IF(B72=C72,G72/C72,(INT(G72/B72)+(((G72-B72*INT(G72/B72)))/C72)/100))),0,(IF(B72=C72,G72/C72,(INT(G72/B72)+(((G72-B72*INT(G72/B72)))/C72)/100))))</f>
        <v>0</v>
      </c>
      <c r="AS72" s="57">
        <f>IF(ISERROR(IF(B72=C72,H72/C72,(INT(H72/B72)+(((H72-B72*INT(H72/B72)))/C72)/100))),0,(IF(B72=C72,H72/C72,(INT(H72/B72)+(((H72-B72*INT(H72/B72)))/C72)/100))))</f>
        <v>0</v>
      </c>
      <c r="AT72" s="57">
        <f>IF(ISERROR(IF(B72=C72,I72/C72,(INT(I72/B72)+(((I72-B72*INT(I72/B72)))/C72)/100))),0,(IF(B72=C72,I72/C72,(INT(I72/B72)+(((I72-B72*INT(I72/B72)))/C72)/100))))</f>
        <v>0</v>
      </c>
      <c r="AU72" s="57">
        <f>IF(ISERROR(IF(B72=C72,J72/C72,(INT(J72/B72)+(((J72-B72*INT(J72/B72)))/C72)/100))),0,(IF(B72=C72,J72/C72,(INT(J72/B72)+(((J72-B72*INT(J72/B72)))/C72)/100))))</f>
        <v>0</v>
      </c>
      <c r="AV72" s="57">
        <f>IF(ISERROR(IF(B72=C72,K72/C72,IF((INT(K72/B72)+(((K72-B72*INT(K72/B72)))/C72)/100)&lt;0,(INT(K72/B72)+(((K72-B72*INT(K72/B72)))/C72)/100)+(1-(B72/C72/100)),(INT(K72/B72)+(((K72-B72*INT(K72/B72)))/C72)/100)))),0,IF(B72=C72,K72/C72,IF((INT(K72/B72)+(((K72-B72*INT(K72/B72)))/C72)/100)&lt;0,(INT(K72/B72)+(((K72-B72*INT(K72/B72)))/C72)/100)+(1-(B72/C72/100)),(INT(K72/B72)+(((K72-B72*INT(K72/B72)))/C72)/100))))</f>
        <v>0</v>
      </c>
      <c r="AW72" s="57">
        <f>IF(ISERROR(IF(B72=C72,L72/C72,(INT(L72/B72)+(((L72-B72*INT(L72/B72)))/C72)/100))),0,(IF(B72=C72,L72/C72,(INT(L72/B72)+(((L72-B72*INT(L72/B72)))/C72)/100))))</f>
        <v>0</v>
      </c>
      <c r="AX72" s="57">
        <f>IF(ISERROR(IF(B72=C72,M72/C72,(INT(M72/B72)+(((M72-B72*INT(M72/B72)))/C72)/100))),0,(IF(B72=C72,M72/C72,(INT(M72/B72)+(((M72-B72*INT(M72/B72)))/C72)/100))))</f>
        <v>0</v>
      </c>
      <c r="AY72" s="57">
        <f>IF(ISERROR(IF(B72=C72,N72/C72,IF((INT(N72/B72)+(((N72-B72*INT(N72/B72)))/C72)/100)&lt;0,(INT(N72/B72)+(((N72-B72*INT(N72/B72)))/C72)/100)+(1-(B72/C72/100)),(INT(N72/B72)+(((N72-B72*INT(N72/B72)))/C72)/100)))),0,IF(B72=C72,N72/C72,IF((INT(N72/B72)+(((N72-B72*INT(N72/B72)))/C72)/100)&lt;0,(INT(N72/B72)+(((N72-B72*INT(N72/B72)))/C72)/100)+(1-(B72/C72/100)),(INT(N72/B72)+(((N72-B72*INT(N72/B72)))/C72)/100))))</f>
        <v>0</v>
      </c>
      <c r="AZ72" s="57">
        <f>IF(ISERROR(IF(B72=C72,O72/C72,(INT(O72/B72)+(((O72-B72*INT(O72/B72)))/C72)/100))),0,(IF(B72=C72,O72/C72,(INT(O72/B72)+(((O72-B72*INT(O72/B72)))/C72)/100))))</f>
        <v>0</v>
      </c>
      <c r="BA72" s="57">
        <f>IF(ISERROR(IF(B72=C72,P72/C72,IF((INT(P72/B72)+(((P72-B72*INT(P72/B72)))/C72)/100)&lt;0,(INT(P72/B72)+(((P72-B72*INT(P72/B72)))/C72)/100)+(1-(B72/C72/100)),(INT(P72/B72)+(((P72-B72*INT(P72/B72)))/C72)/100)))),0,IF(B72=C72,P72/C72,IF((INT(P72/B72)+(((P72-B72*INT(P72/B72)))/C72)/100)&lt;0,(INT(P72/B72)+(((P72-B72*INT(P72/B72)))/C72)/100)+(1-(B72/C72/100)),(INT(P72/B72)+(((P72-B72*INT(P72/B72)))/C72)/100))))</f>
        <v>0</v>
      </c>
      <c r="BB72" s="28">
        <f>R72</f>
        <v>0</v>
      </c>
      <c r="BC72" s="28">
        <f>S72</f>
        <v>0</v>
      </c>
      <c r="BD72" s="28">
        <f>AF72</f>
        <v>0</v>
      </c>
      <c r="BE72" s="28">
        <f>T72</f>
        <v>0</v>
      </c>
      <c r="BG72" s="57">
        <f>IF(ISERROR(IF(B72=C72,V72/C72,(INT(V72/B72)+(((V72-B72*INT(V72/B72)))/C72)/100))),0,(IF(B72=C72,V72/C72,(INT(V72/B72)+(((V72-B72*INT(V72/B72)))/C72)/100))))</f>
        <v>0</v>
      </c>
      <c r="BH72" s="57">
        <f>IF(ISERROR(IF(B72=C72,W72/C72,(INT(W72/B72)+(((W72-B72*INT(W72/B72)))/C72)/100))),0,(IF(B72=C72,W72/C72,(INT(W72/B72)+(((W72-B72*INT(W72/B72)))/C72)/100))))</f>
        <v>0</v>
      </c>
      <c r="BI72" s="57">
        <f>IF(ISERROR(IF(B72=C72,X72/C72,(INT(X72/B72)+(((X72-B72*INT(X72/B72)))/C72)/100))),0,(IF(B72=C72,X72/C72,(INT(X72/B72)+(((X72-B72*INT(X72/B72)))/C72)/100))))</f>
        <v>0</v>
      </c>
      <c r="BJ72" s="57">
        <f>IF(ISERROR(IF(B72=C72,Y72/C72,(INT(Y72/B72)+(((Y72-B72*INT(Y72/B72)))/C72)/100))),0,(IF(B72=C72,Y72/C72,(INT(Y72/B72)+(((Y72-B72*INT(Y72/B72)))/C72)/100))))</f>
        <v>0</v>
      </c>
      <c r="BL72" s="57">
        <f>IF(ISERROR(IF(B72=C72,AA72/C72,(INT(AA72/B72)+(((AA72-B72*INT(AA72/B72)))/C72)/100))),0,(IF(B72=C72,AA72/C72,(INT(AA72/B72)+(((AA72-B72*INT(AA72/B72)))/C72)/100))))</f>
        <v>0</v>
      </c>
      <c r="BM72" s="57">
        <f>IF(ISERROR(IF(B72=C72,AB72/C72,(INT(AB72/B72)+(((AB72-B72*INT(AB72/B72)))/C72)/100))),0,(IF(B72=C72,AB72/C72,(INT(AB72/B72)+(((AB72-B72*INT(AB72/B72)))/C72)/100))))</f>
        <v>0</v>
      </c>
      <c r="BN72" s="57">
        <f>IF(ISERROR(IF(B72=C72,AC72/C72,(INT(AC72/B72)+(((AC72-B72*INT(AC72/B72)))/C72)/100))),0,(IF(B72=C72,AC72/C72,(INT(AC72/B72)+(((AC72-B72*INT(AC72/B72)))/C72)/100))))</f>
        <v>0</v>
      </c>
      <c r="BO72" s="57">
        <f>IF(ISERROR(IF(B72=C72,AD72/C72,(INT(AD72/B72)+(((AD72-B72*INT(AD72/B72)))/C72)/100))),0,(IF(B72=C72,AD72/C72,(INT(AD72/B72)+(((AD72-B72*INT(AD72/B72)))/C72)/100))))</f>
        <v>0</v>
      </c>
      <c r="BQ72" s="155"/>
    </row>
    <row r="73" spans="1:69" hidden="1" x14ac:dyDescent="0.35">
      <c r="A73" s="94"/>
      <c r="B73" s="113">
        <v>0</v>
      </c>
      <c r="C73" s="113">
        <v>0</v>
      </c>
      <c r="D73" s="28">
        <f>SUM(AA73:AD73)</f>
        <v>0</v>
      </c>
      <c r="E73" s="113">
        <v>0</v>
      </c>
      <c r="F73" s="113">
        <v>0</v>
      </c>
      <c r="G73" s="28">
        <f>SUM(D73:F73)</f>
        <v>0</v>
      </c>
      <c r="H73" s="125">
        <v>0</v>
      </c>
      <c r="I73" s="113">
        <v>0</v>
      </c>
      <c r="J73" s="125">
        <v>0</v>
      </c>
      <c r="K73" s="113">
        <v>0</v>
      </c>
      <c r="L73" s="113">
        <v>0</v>
      </c>
      <c r="M73" s="113">
        <v>0</v>
      </c>
      <c r="N73" s="28">
        <f>G73-SUM(H73:M73)</f>
        <v>0</v>
      </c>
      <c r="O73" s="28">
        <f>SUM(V73:Y73)</f>
        <v>0</v>
      </c>
      <c r="P73" s="28">
        <f>O73-N73</f>
        <v>0</v>
      </c>
      <c r="Q73" s="61" t="str">
        <f>IF(ISERROR(P73/SUM(H73:L73)),"",P73/SUM(H73:L73))</f>
        <v/>
      </c>
      <c r="R73" s="113">
        <v>0</v>
      </c>
      <c r="S73" s="28">
        <f>IF(ISERROR(P73/C73*R73),0,(P73/C73*R73))</f>
        <v>0</v>
      </c>
      <c r="T73" s="60">
        <f>IF(ISERROR(P73/B73*AF73),0,(P73/B73*AF73))</f>
        <v>0</v>
      </c>
      <c r="V73" s="113">
        <v>0</v>
      </c>
      <c r="W73" s="113">
        <v>0</v>
      </c>
      <c r="X73" s="113">
        <v>0</v>
      </c>
      <c r="Y73" s="113">
        <v>0</v>
      </c>
      <c r="AA73" s="113">
        <v>0</v>
      </c>
      <c r="AB73" s="113">
        <v>0</v>
      </c>
      <c r="AC73" s="113">
        <v>0</v>
      </c>
      <c r="AD73" s="113">
        <v>0</v>
      </c>
      <c r="AF73" s="113">
        <v>0</v>
      </c>
      <c r="AG73" s="28">
        <f>G73-O73</f>
        <v>0</v>
      </c>
      <c r="AH73" s="58">
        <f>IF(ISERROR(AG73/B73*AF73),0,(AG73/B73*AF73))</f>
        <v>0</v>
      </c>
      <c r="AI73" s="28">
        <f>SUM(H73:M73)</f>
        <v>0</v>
      </c>
      <c r="AJ73" s="28">
        <f>IF(ISERROR(AI73/B73*AF73),0,(AI73/B73*AF73))</f>
        <v>0</v>
      </c>
      <c r="AK73" s="58">
        <f>IF(ISERROR(O73/B73*AF73),0,(O73/B73*AF73))</f>
        <v>0</v>
      </c>
      <c r="AL73" s="28">
        <f>IF(ISERROR(H73/B73*AF73),0,(H73/B73*AF73))</f>
        <v>0</v>
      </c>
      <c r="AN73" s="51">
        <f>A73</f>
        <v>0</v>
      </c>
      <c r="AO73" s="57">
        <f>IF(ISERROR(IF(B73=C73,D73/C73,(INT(D73/B73)+(((D73-B73*INT(D73/B73)))/C73)/100))),0,(IF(B73=C73,D73/C73,(INT(D73/B73)+(((D73-B73*INT(D73/B73)))/C73)/100))))</f>
        <v>0</v>
      </c>
      <c r="AP73" s="57">
        <f>IF(ISERROR(IF(B73=C73,E73/C73,(INT(E73/B73)+(((E73-B73*INT(E73/B73)))/C73)/100))),0,(IF(B73=C73,E73/C73,(INT(E73/B73)+(((E73-B73*INT(E73/B73)))/C73)/100))))</f>
        <v>0</v>
      </c>
      <c r="AQ73" s="57">
        <f>IF(ISERROR(IF(B73=C73,F73/C73,IF((INT(F73/B73)+(((F73-B73*INT(F73/B73)))/C73)/100)&lt;0,(INT(F73/B73)+(((F73-B73*INT(F73/B73)))/C73)/100)+(1-(B73/C73/100)),(INT(F73/B73)+(((F73-B73*INT(F73/B73)))/C73)/100)))),0,IF(B73=C73,F73/C73,IF((INT(F73/B73)+(((F73-B73*INT(F73/B73)))/C73)/100)&lt;0,(INT(F73/B73)+(((F73-B73*INT(F73/B73)))/C73)/100)+(1-(B73/C73/100)),(INT(F73/B73)+(((F73-B73*INT(F73/B73)))/C73)/100))))</f>
        <v>0</v>
      </c>
      <c r="AR73" s="57">
        <f>IF(ISERROR(IF(B73=C73,G73/C73,(INT(G73/B73)+(((G73-B73*INT(G73/B73)))/C73)/100))),0,(IF(B73=C73,G73/C73,(INT(G73/B73)+(((G73-B73*INT(G73/B73)))/C73)/100))))</f>
        <v>0</v>
      </c>
      <c r="AS73" s="57">
        <f>IF(ISERROR(IF(B73=C73,H73/C73,(INT(H73/B73)+(((H73-B73*INT(H73/B73)))/C73)/100))),0,(IF(B73=C73,H73/C73,(INT(H73/B73)+(((H73-B73*INT(H73/B73)))/C73)/100))))</f>
        <v>0</v>
      </c>
      <c r="AT73" s="57">
        <f>IF(ISERROR(IF(B73=C73,I73/C73,(INT(I73/B73)+(((I73-B73*INT(I73/B73)))/C73)/100))),0,(IF(B73=C73,I73/C73,(INT(I73/B73)+(((I73-B73*INT(I73/B73)))/C73)/100))))</f>
        <v>0</v>
      </c>
      <c r="AU73" s="57">
        <f>IF(ISERROR(IF(B73=C73,J73/C73,(INT(J73/B73)+(((J73-B73*INT(J73/B73)))/C73)/100))),0,(IF(B73=C73,J73/C73,(INT(J73/B73)+(((J73-B73*INT(J73/B73)))/C73)/100))))</f>
        <v>0</v>
      </c>
      <c r="AV73" s="57">
        <f>IF(ISERROR(IF(B73=C73,K73/C73,IF((INT(K73/B73)+(((K73-B73*INT(K73/B73)))/C73)/100)&lt;0,(INT(K73/B73)+(((K73-B73*INT(K73/B73)))/C73)/100)+(1-(B73/C73/100)),(INT(K73/B73)+(((K73-B73*INT(K73/B73)))/C73)/100)))),0,IF(B73=C73,K73/C73,IF((INT(K73/B73)+(((K73-B73*INT(K73/B73)))/C73)/100)&lt;0,(INT(K73/B73)+(((K73-B73*INT(K73/B73)))/C73)/100)+(1-(B73/C73/100)),(INT(K73/B73)+(((K73-B73*INT(K73/B73)))/C73)/100))))</f>
        <v>0</v>
      </c>
      <c r="AW73" s="57">
        <f>IF(ISERROR(IF(B73=C73,L73/C73,(INT(L73/B73)+(((L73-B73*INT(L73/B73)))/C73)/100))),0,(IF(B73=C73,L73/C73,(INT(L73/B73)+(((L73-B73*INT(L73/B73)))/C73)/100))))</f>
        <v>0</v>
      </c>
      <c r="AX73" s="57">
        <f>IF(ISERROR(IF(B73=C73,M73/C73,(INT(M73/B73)+(((M73-B73*INT(M73/B73)))/C73)/100))),0,(IF(B73=C73,M73/C73,(INT(M73/B73)+(((M73-B73*INT(M73/B73)))/C73)/100))))</f>
        <v>0</v>
      </c>
      <c r="AY73" s="57">
        <f>IF(ISERROR(IF(B73=C73,N73/C73,IF((INT(N73/B73)+(((N73-B73*INT(N73/B73)))/C73)/100)&lt;0,(INT(N73/B73)+(((N73-B73*INT(N73/B73)))/C73)/100)+(1-(B73/C73/100)),(INT(N73/B73)+(((N73-B73*INT(N73/B73)))/C73)/100)))),0,IF(B73=C73,N73/C73,IF((INT(N73/B73)+(((N73-B73*INT(N73/B73)))/C73)/100)&lt;0,(INT(N73/B73)+(((N73-B73*INT(N73/B73)))/C73)/100)+(1-(B73/C73/100)),(INT(N73/B73)+(((N73-B73*INT(N73/B73)))/C73)/100))))</f>
        <v>0</v>
      </c>
      <c r="AZ73" s="57">
        <f>IF(ISERROR(IF(B73=C73,O73/C73,(INT(O73/B73)+(((O73-B73*INT(O73/B73)))/C73)/100))),0,(IF(B73=C73,O73/C73,(INT(O73/B73)+(((O73-B73*INT(O73/B73)))/C73)/100))))</f>
        <v>0</v>
      </c>
      <c r="BA73" s="57">
        <f>IF(ISERROR(IF(B73=C73,P73/C73,IF((INT(P73/B73)+(((P73-B73*INT(P73/B73)))/C73)/100)&lt;0,(INT(P73/B73)+(((P73-B73*INT(P73/B73)))/C73)/100)+(1-(B73/C73/100)),(INT(P73/B73)+(((P73-B73*INT(P73/B73)))/C73)/100)))),0,IF(B73=C73,P73/C73,IF((INT(P73/B73)+(((P73-B73*INT(P73/B73)))/C73)/100)&lt;0,(INT(P73/B73)+(((P73-B73*INT(P73/B73)))/C73)/100)+(1-(B73/C73/100)),(INT(P73/B73)+(((P73-B73*INT(P73/B73)))/C73)/100))))</f>
        <v>0</v>
      </c>
      <c r="BB73" s="28">
        <f>R73</f>
        <v>0</v>
      </c>
      <c r="BC73" s="28">
        <f>S73</f>
        <v>0</v>
      </c>
      <c r="BD73" s="28">
        <f>AF73</f>
        <v>0</v>
      </c>
      <c r="BE73" s="28">
        <f>T73</f>
        <v>0</v>
      </c>
      <c r="BG73" s="57">
        <f>IF(ISERROR(IF(B73=C73,V73/C73,(INT(V73/B73)+(((V73-B73*INT(V73/B73)))/C73)/100))),0,(IF(B73=C73,V73/C73,(INT(V73/B73)+(((V73-B73*INT(V73/B73)))/C73)/100))))</f>
        <v>0</v>
      </c>
      <c r="BH73" s="57">
        <f>IF(ISERROR(IF(B73=C73,W73/C73,(INT(W73/B73)+(((W73-B73*INT(W73/B73)))/C73)/100))),0,(IF(B73=C73,W73/C73,(INT(W73/B73)+(((W73-B73*INT(W73/B73)))/C73)/100))))</f>
        <v>0</v>
      </c>
      <c r="BI73" s="57">
        <f>IF(ISERROR(IF(B73=C73,X73/C73,(INT(X73/B73)+(((X73-B73*INT(X73/B73)))/C73)/100))),0,(IF(B73=C73,X73/C73,(INT(X73/B73)+(((X73-B73*INT(X73/B73)))/C73)/100))))</f>
        <v>0</v>
      </c>
      <c r="BJ73" s="57">
        <f>IF(ISERROR(IF(B73=C73,Y73/C73,(INT(Y73/B73)+(((Y73-B73*INT(Y73/B73)))/C73)/100))),0,(IF(B73=C73,Y73/C73,(INT(Y73/B73)+(((Y73-B73*INT(Y73/B73)))/C73)/100))))</f>
        <v>0</v>
      </c>
      <c r="BL73" s="57">
        <f>IF(ISERROR(IF(B73=C73,AA73/C73,(INT(AA73/B73)+(((AA73-B73*INT(AA73/B73)))/C73)/100))),0,(IF(B73=C73,AA73/C73,(INT(AA73/B73)+(((AA73-B73*INT(AA73/B73)))/C73)/100))))</f>
        <v>0</v>
      </c>
      <c r="BM73" s="57">
        <f>IF(ISERROR(IF(B73=C73,AB73/C73,(INT(AB73/B73)+(((AB73-B73*INT(AB73/B73)))/C73)/100))),0,(IF(B73=C73,AB73/C73,(INT(AB73/B73)+(((AB73-B73*INT(AB73/B73)))/C73)/100))))</f>
        <v>0</v>
      </c>
      <c r="BN73" s="57">
        <f>IF(ISERROR(IF(B73=C73,AC73/C73,(INT(AC73/B73)+(((AC73-B73*INT(AC73/B73)))/C73)/100))),0,(IF(B73=C73,AC73/C73,(INT(AC73/B73)+(((AC73-B73*INT(AC73/B73)))/C73)/100))))</f>
        <v>0</v>
      </c>
      <c r="BO73" s="57">
        <f>IF(ISERROR(IF(B73=C73,AD73/C73,(INT(AD73/B73)+(((AD73-B73*INT(AD73/B73)))/C73)/100))),0,(IF(B73=C73,AD73/C73,(INT(AD73/B73)+(((AD73-B73*INT(AD73/B73)))/C73)/100))))</f>
        <v>0</v>
      </c>
      <c r="BQ73" s="155"/>
    </row>
    <row r="74" spans="1:69" hidden="1" x14ac:dyDescent="0.35">
      <c r="A74" s="94"/>
      <c r="B74" s="113">
        <v>0</v>
      </c>
      <c r="C74" s="113">
        <v>0</v>
      </c>
      <c r="D74" s="28">
        <f>SUM(AA74:AD74)</f>
        <v>0</v>
      </c>
      <c r="E74" s="113">
        <v>0</v>
      </c>
      <c r="F74" s="113">
        <v>0</v>
      </c>
      <c r="G74" s="28">
        <f>SUM(D74:F74)</f>
        <v>0</v>
      </c>
      <c r="H74" s="125">
        <v>0</v>
      </c>
      <c r="I74" s="113">
        <v>0</v>
      </c>
      <c r="J74" s="125">
        <v>0</v>
      </c>
      <c r="K74" s="113">
        <v>0</v>
      </c>
      <c r="L74" s="113">
        <v>0</v>
      </c>
      <c r="M74" s="113">
        <v>0</v>
      </c>
      <c r="N74" s="28">
        <f>G74-SUM(H74:M74)</f>
        <v>0</v>
      </c>
      <c r="O74" s="28">
        <f>SUM(V74:Y74)</f>
        <v>0</v>
      </c>
      <c r="P74" s="28">
        <f>O74-N74</f>
        <v>0</v>
      </c>
      <c r="Q74" s="61" t="str">
        <f>IF(ISERROR(P74/SUM(H74:L74)),"",P74/SUM(H74:L74))</f>
        <v/>
      </c>
      <c r="R74" s="113">
        <v>0</v>
      </c>
      <c r="S74" s="28">
        <f>IF(ISERROR(P74/C74*R74),0,(P74/C74*R74))</f>
        <v>0</v>
      </c>
      <c r="T74" s="60">
        <f>IF(ISERROR(P74/B74*AF74),0,(P74/B74*AF74))</f>
        <v>0</v>
      </c>
      <c r="V74" s="113">
        <v>0</v>
      </c>
      <c r="W74" s="113">
        <v>0</v>
      </c>
      <c r="X74" s="113">
        <v>0</v>
      </c>
      <c r="Y74" s="113">
        <v>0</v>
      </c>
      <c r="AA74" s="113">
        <v>0</v>
      </c>
      <c r="AB74" s="113">
        <v>0</v>
      </c>
      <c r="AC74" s="113">
        <v>0</v>
      </c>
      <c r="AD74" s="113">
        <v>0</v>
      </c>
      <c r="AF74" s="113">
        <v>0</v>
      </c>
      <c r="AG74" s="28">
        <f>G74-O74</f>
        <v>0</v>
      </c>
      <c r="AH74" s="58">
        <f>IF(ISERROR(AG74/B74*AF74),0,(AG74/B74*AF74))</f>
        <v>0</v>
      </c>
      <c r="AI74" s="28">
        <f>SUM(H74:M74)</f>
        <v>0</v>
      </c>
      <c r="AJ74" s="28">
        <f>IF(ISERROR(AI74/B74*AF74),0,(AI74/B74*AF74))</f>
        <v>0</v>
      </c>
      <c r="AK74" s="58">
        <f>IF(ISERROR(O74/B74*AF74),0,(O74/B74*AF74))</f>
        <v>0</v>
      </c>
      <c r="AL74" s="28">
        <f>IF(ISERROR(H74/B74*AF74),0,(H74/B74*AF74))</f>
        <v>0</v>
      </c>
      <c r="AN74" s="51">
        <f>A74</f>
        <v>0</v>
      </c>
      <c r="AO74" s="57">
        <f>IF(ISERROR(IF(B74=C74,D74/C74,(INT(D74/B74)+(((D74-B74*INT(D74/B74)))/C74)/100))),0,(IF(B74=C74,D74/C74,(INT(D74/B74)+(((D74-B74*INT(D74/B74)))/C74)/100))))</f>
        <v>0</v>
      </c>
      <c r="AP74" s="57">
        <f>IF(ISERROR(IF(B74=C74,E74/C74,(INT(E74/B74)+(((E74-B74*INT(E74/B74)))/C74)/100))),0,(IF(B74=C74,E74/C74,(INT(E74/B74)+(((E74-B74*INT(E74/B74)))/C74)/100))))</f>
        <v>0</v>
      </c>
      <c r="AQ74" s="57">
        <f>IF(ISERROR(IF(B74=C74,F74/C74,IF((INT(F74/B74)+(((F74-B74*INT(F74/B74)))/C74)/100)&lt;0,(INT(F74/B74)+(((F74-B74*INT(F74/B74)))/C74)/100)+(1-(B74/C74/100)),(INT(F74/B74)+(((F74-B74*INT(F74/B74)))/C74)/100)))),0,IF(B74=C74,F74/C74,IF((INT(F74/B74)+(((F74-B74*INT(F74/B74)))/C74)/100)&lt;0,(INT(F74/B74)+(((F74-B74*INT(F74/B74)))/C74)/100)+(1-(B74/C74/100)),(INT(F74/B74)+(((F74-B74*INT(F74/B74)))/C74)/100))))</f>
        <v>0</v>
      </c>
      <c r="AR74" s="57">
        <f>IF(ISERROR(IF(B74=C74,G74/C74,(INT(G74/B74)+(((G74-B74*INT(G74/B74)))/C74)/100))),0,(IF(B74=C74,G74/C74,(INT(G74/B74)+(((G74-B74*INT(G74/B74)))/C74)/100))))</f>
        <v>0</v>
      </c>
      <c r="AS74" s="57">
        <f>IF(ISERROR(IF(B74=C74,H74/C74,(INT(H74/B74)+(((H74-B74*INT(H74/B74)))/C74)/100))),0,(IF(B74=C74,H74/C74,(INT(H74/B74)+(((H74-B74*INT(H74/B74)))/C74)/100))))</f>
        <v>0</v>
      </c>
      <c r="AT74" s="57">
        <f>IF(ISERROR(IF(B74=C74,I74/C74,(INT(I74/B74)+(((I74-B74*INT(I74/B74)))/C74)/100))),0,(IF(B74=C74,I74/C74,(INT(I74/B74)+(((I74-B74*INT(I74/B74)))/C74)/100))))</f>
        <v>0</v>
      </c>
      <c r="AU74" s="57">
        <f>IF(ISERROR(IF(B74=C74,J74/C74,(INT(J74/B74)+(((J74-B74*INT(J74/B74)))/C74)/100))),0,(IF(B74=C74,J74/C74,(INT(J74/B74)+(((J74-B74*INT(J74/B74)))/C74)/100))))</f>
        <v>0</v>
      </c>
      <c r="AV74" s="57">
        <f>IF(ISERROR(IF(B74=C74,K74/C74,IF((INT(K74/B74)+(((K74-B74*INT(K74/B74)))/C74)/100)&lt;0,(INT(K74/B74)+(((K74-B74*INT(K74/B74)))/C74)/100)+(1-(B74/C74/100)),(INT(K74/B74)+(((K74-B74*INT(K74/B74)))/C74)/100)))),0,IF(B74=C74,K74/C74,IF((INT(K74/B74)+(((K74-B74*INT(K74/B74)))/C74)/100)&lt;0,(INT(K74/B74)+(((K74-B74*INT(K74/B74)))/C74)/100)+(1-(B74/C74/100)),(INT(K74/B74)+(((K74-B74*INT(K74/B74)))/C74)/100))))</f>
        <v>0</v>
      </c>
      <c r="AW74" s="57">
        <f>IF(ISERROR(IF(B74=C74,L74/C74,(INT(L74/B74)+(((L74-B74*INT(L74/B74)))/C74)/100))),0,(IF(B74=C74,L74/C74,(INT(L74/B74)+(((L74-B74*INT(L74/B74)))/C74)/100))))</f>
        <v>0</v>
      </c>
      <c r="AX74" s="57">
        <f>IF(ISERROR(IF(B74=C74,M74/C74,(INT(M74/B74)+(((M74-B74*INT(M74/B74)))/C74)/100))),0,(IF(B74=C74,M74/C74,(INT(M74/B74)+(((M74-B74*INT(M74/B74)))/C74)/100))))</f>
        <v>0</v>
      </c>
      <c r="AY74" s="57">
        <f>IF(ISERROR(IF(B74=C74,N74/C74,IF((INT(N74/B74)+(((N74-B74*INT(N74/B74)))/C74)/100)&lt;0,(INT(N74/B74)+(((N74-B74*INT(N74/B74)))/C74)/100)+(1-(B74/C74/100)),(INT(N74/B74)+(((N74-B74*INT(N74/B74)))/C74)/100)))),0,IF(B74=C74,N74/C74,IF((INT(N74/B74)+(((N74-B74*INT(N74/B74)))/C74)/100)&lt;0,(INT(N74/B74)+(((N74-B74*INT(N74/B74)))/C74)/100)+(1-(B74/C74/100)),(INT(N74/B74)+(((N74-B74*INT(N74/B74)))/C74)/100))))</f>
        <v>0</v>
      </c>
      <c r="AZ74" s="57">
        <f>IF(ISERROR(IF(B74=C74,O74/C74,(INT(O74/B74)+(((O74-B74*INT(O74/B74)))/C74)/100))),0,(IF(B74=C74,O74/C74,(INT(O74/B74)+(((O74-B74*INT(O74/B74)))/C74)/100))))</f>
        <v>0</v>
      </c>
      <c r="BA74" s="57">
        <f>IF(ISERROR(IF(B74=C74,P74/C74,IF((INT(P74/B74)+(((P74-B74*INT(P74/B74)))/C74)/100)&lt;0,(INT(P74/B74)+(((P74-B74*INT(P74/B74)))/C74)/100)+(1-(B74/C74/100)),(INT(P74/B74)+(((P74-B74*INT(P74/B74)))/C74)/100)))),0,IF(B74=C74,P74/C74,IF((INT(P74/B74)+(((P74-B74*INT(P74/B74)))/C74)/100)&lt;0,(INT(P74/B74)+(((P74-B74*INT(P74/B74)))/C74)/100)+(1-(B74/C74/100)),(INT(P74/B74)+(((P74-B74*INT(P74/B74)))/C74)/100))))</f>
        <v>0</v>
      </c>
      <c r="BB74" s="28">
        <f>R74</f>
        <v>0</v>
      </c>
      <c r="BC74" s="28">
        <f>S74</f>
        <v>0</v>
      </c>
      <c r="BD74" s="28">
        <f>AF74</f>
        <v>0</v>
      </c>
      <c r="BE74" s="28">
        <f>T74</f>
        <v>0</v>
      </c>
      <c r="BG74" s="57">
        <f>IF(ISERROR(IF(B74=C74,V74/C74,(INT(V74/B74)+(((V74-B74*INT(V74/B74)))/C74)/100))),0,(IF(B74=C74,V74/C74,(INT(V74/B74)+(((V74-B74*INT(V74/B74)))/C74)/100))))</f>
        <v>0</v>
      </c>
      <c r="BH74" s="57">
        <f>IF(ISERROR(IF(B74=C74,W74/C74,(INT(W74/B74)+(((W74-B74*INT(W74/B74)))/C74)/100))),0,(IF(B74=C74,W74/C74,(INT(W74/B74)+(((W74-B74*INT(W74/B74)))/C74)/100))))</f>
        <v>0</v>
      </c>
      <c r="BI74" s="57">
        <f>IF(ISERROR(IF(B74=C74,X74/C74,(INT(X74/B74)+(((X74-B74*INT(X74/B74)))/C74)/100))),0,(IF(B74=C74,X74/C74,(INT(X74/B74)+(((X74-B74*INT(X74/B74)))/C74)/100))))</f>
        <v>0</v>
      </c>
      <c r="BJ74" s="57">
        <f>IF(ISERROR(IF(B74=C74,Y74/C74,(INT(Y74/B74)+(((Y74-B74*INT(Y74/B74)))/C74)/100))),0,(IF(B74=C74,Y74/C74,(INT(Y74/B74)+(((Y74-B74*INT(Y74/B74)))/C74)/100))))</f>
        <v>0</v>
      </c>
      <c r="BL74" s="57">
        <f>IF(ISERROR(IF(B74=C74,AA74/C74,(INT(AA74/B74)+(((AA74-B74*INT(AA74/B74)))/C74)/100))),0,(IF(B74=C74,AA74/C74,(INT(AA74/B74)+(((AA74-B74*INT(AA74/B74)))/C74)/100))))</f>
        <v>0</v>
      </c>
      <c r="BM74" s="57">
        <f>IF(ISERROR(IF(B74=C74,AB74/C74,(INT(AB74/B74)+(((AB74-B74*INT(AB74/B74)))/C74)/100))),0,(IF(B74=C74,AB74/C74,(INT(AB74/B74)+(((AB74-B74*INT(AB74/B74)))/C74)/100))))</f>
        <v>0</v>
      </c>
      <c r="BN74" s="57">
        <f>IF(ISERROR(IF(B74=C74,AC74/C74,(INT(AC74/B74)+(((AC74-B74*INT(AC74/B74)))/C74)/100))),0,(IF(B74=C74,AC74/C74,(INT(AC74/B74)+(((AC74-B74*INT(AC74/B74)))/C74)/100))))</f>
        <v>0</v>
      </c>
      <c r="BO74" s="57">
        <f>IF(ISERROR(IF(B74=C74,AD74/C74,(INT(AD74/B74)+(((AD74-B74*INT(AD74/B74)))/C74)/100))),0,(IF(B74=C74,AD74/C74,(INT(AD74/B74)+(((AD74-B74*INT(AD74/B74)))/C74)/100))))</f>
        <v>0</v>
      </c>
      <c r="BQ74" s="155"/>
    </row>
    <row r="75" spans="1:69" hidden="1" x14ac:dyDescent="0.35">
      <c r="A75" s="94"/>
      <c r="B75" s="113">
        <v>0</v>
      </c>
      <c r="C75" s="113">
        <v>0</v>
      </c>
      <c r="D75" s="28">
        <f>SUM(AA75:AD75)</f>
        <v>0</v>
      </c>
      <c r="E75" s="113">
        <v>0</v>
      </c>
      <c r="F75" s="113">
        <v>0</v>
      </c>
      <c r="G75" s="28">
        <f>SUM(D75:F75)</f>
        <v>0</v>
      </c>
      <c r="H75" s="125">
        <v>0</v>
      </c>
      <c r="I75" s="113">
        <v>0</v>
      </c>
      <c r="J75" s="125">
        <v>0</v>
      </c>
      <c r="K75" s="113">
        <v>0</v>
      </c>
      <c r="L75" s="113">
        <v>0</v>
      </c>
      <c r="M75" s="113">
        <v>0</v>
      </c>
      <c r="N75" s="28">
        <f>G75-SUM(H75:M75)</f>
        <v>0</v>
      </c>
      <c r="O75" s="28">
        <f>SUM(V75:Y75)</f>
        <v>0</v>
      </c>
      <c r="P75" s="28">
        <f>O75-N75</f>
        <v>0</v>
      </c>
      <c r="Q75" s="61" t="str">
        <f>IF(ISERROR(P75/SUM(H75:L75)),"",P75/SUM(H75:L75))</f>
        <v/>
      </c>
      <c r="R75" s="113">
        <v>0</v>
      </c>
      <c r="S75" s="28">
        <f>IF(ISERROR(P75/C75*R75),0,(P75/C75*R75))</f>
        <v>0</v>
      </c>
      <c r="T75" s="60">
        <f>IF(ISERROR(P75/B75*AF75),0,(P75/B75*AF75))</f>
        <v>0</v>
      </c>
      <c r="V75" s="113">
        <v>0</v>
      </c>
      <c r="W75" s="113">
        <v>0</v>
      </c>
      <c r="X75" s="113">
        <v>0</v>
      </c>
      <c r="Y75" s="113">
        <v>0</v>
      </c>
      <c r="AA75" s="113">
        <v>0</v>
      </c>
      <c r="AB75" s="113">
        <v>0</v>
      </c>
      <c r="AC75" s="113">
        <v>0</v>
      </c>
      <c r="AD75" s="113">
        <v>0</v>
      </c>
      <c r="AF75" s="113">
        <v>0</v>
      </c>
      <c r="AG75" s="28">
        <f>G75-O75</f>
        <v>0</v>
      </c>
      <c r="AH75" s="58">
        <f>IF(ISERROR(AG75/B75*AF75),0,(AG75/B75*AF75))</f>
        <v>0</v>
      </c>
      <c r="AI75" s="28">
        <f>SUM(H75:M75)</f>
        <v>0</v>
      </c>
      <c r="AJ75" s="28">
        <f>IF(ISERROR(AI75/B75*AF75),0,(AI75/B75*AF75))</f>
        <v>0</v>
      </c>
      <c r="AK75" s="58">
        <f>IF(ISERROR(O75/B75*AF75),0,(O75/B75*AF75))</f>
        <v>0</v>
      </c>
      <c r="AL75" s="28">
        <f>IF(ISERROR(H75/B75*AF75),0,(H75/B75*AF75))</f>
        <v>0</v>
      </c>
      <c r="AN75" s="51">
        <f>A75</f>
        <v>0</v>
      </c>
      <c r="AO75" s="57">
        <f>IF(ISERROR(IF(B75=C75,D75/C75,(INT(D75/B75)+(((D75-B75*INT(D75/B75)))/C75)/100))),0,(IF(B75=C75,D75/C75,(INT(D75/B75)+(((D75-B75*INT(D75/B75)))/C75)/100))))</f>
        <v>0</v>
      </c>
      <c r="AP75" s="57">
        <f>IF(ISERROR(IF(B75=C75,E75/C75,(INT(E75/B75)+(((E75-B75*INT(E75/B75)))/C75)/100))),0,(IF(B75=C75,E75/C75,(INT(E75/B75)+(((E75-B75*INT(E75/B75)))/C75)/100))))</f>
        <v>0</v>
      </c>
      <c r="AQ75" s="57">
        <f>IF(ISERROR(IF(B75=C75,F75/C75,IF((INT(F75/B75)+(((F75-B75*INT(F75/B75)))/C75)/100)&lt;0,(INT(F75/B75)+(((F75-B75*INT(F75/B75)))/C75)/100)+(1-(B75/C75/100)),(INT(F75/B75)+(((F75-B75*INT(F75/B75)))/C75)/100)))),0,IF(B75=C75,F75/C75,IF((INT(F75/B75)+(((F75-B75*INT(F75/B75)))/C75)/100)&lt;0,(INT(F75/B75)+(((F75-B75*INT(F75/B75)))/C75)/100)+(1-(B75/C75/100)),(INT(F75/B75)+(((F75-B75*INT(F75/B75)))/C75)/100))))</f>
        <v>0</v>
      </c>
      <c r="AR75" s="57">
        <f>IF(ISERROR(IF(B75=C75,G75/C75,(INT(G75/B75)+(((G75-B75*INT(G75/B75)))/C75)/100))),0,(IF(B75=C75,G75/C75,(INT(G75/B75)+(((G75-B75*INT(G75/B75)))/C75)/100))))</f>
        <v>0</v>
      </c>
      <c r="AS75" s="57">
        <f>IF(ISERROR(IF(B75=C75,H75/C75,(INT(H75/B75)+(((H75-B75*INT(H75/B75)))/C75)/100))),0,(IF(B75=C75,H75/C75,(INT(H75/B75)+(((H75-B75*INT(H75/B75)))/C75)/100))))</f>
        <v>0</v>
      </c>
      <c r="AT75" s="57">
        <f>IF(ISERROR(IF(B75=C75,I75/C75,(INT(I75/B75)+(((I75-B75*INT(I75/B75)))/C75)/100))),0,(IF(B75=C75,I75/C75,(INT(I75/B75)+(((I75-B75*INT(I75/B75)))/C75)/100))))</f>
        <v>0</v>
      </c>
      <c r="AU75" s="57">
        <f>IF(ISERROR(IF(B75=C75,J75/C75,(INT(J75/B75)+(((J75-B75*INT(J75/B75)))/C75)/100))),0,(IF(B75=C75,J75/C75,(INT(J75/B75)+(((J75-B75*INT(J75/B75)))/C75)/100))))</f>
        <v>0</v>
      </c>
      <c r="AV75" s="57">
        <f>IF(ISERROR(IF(B75=C75,K75/C75,IF((INT(K75/B75)+(((K75-B75*INT(K75/B75)))/C75)/100)&lt;0,(INT(K75/B75)+(((K75-B75*INT(K75/B75)))/C75)/100)+(1-(B75/C75/100)),(INT(K75/B75)+(((K75-B75*INT(K75/B75)))/C75)/100)))),0,IF(B75=C75,K75/C75,IF((INT(K75/B75)+(((K75-B75*INT(K75/B75)))/C75)/100)&lt;0,(INT(K75/B75)+(((K75-B75*INT(K75/B75)))/C75)/100)+(1-(B75/C75/100)),(INT(K75/B75)+(((K75-B75*INT(K75/B75)))/C75)/100))))</f>
        <v>0</v>
      </c>
      <c r="AW75" s="57">
        <f>IF(ISERROR(IF(B75=C75,L75/C75,(INT(L75/B75)+(((L75-B75*INT(L75/B75)))/C75)/100))),0,(IF(B75=C75,L75/C75,(INT(L75/B75)+(((L75-B75*INT(L75/B75)))/C75)/100))))</f>
        <v>0</v>
      </c>
      <c r="AX75" s="57">
        <f>IF(ISERROR(IF(B75=C75,M75/C75,(INT(M75/B75)+(((M75-B75*INT(M75/B75)))/C75)/100))),0,(IF(B75=C75,M75/C75,(INT(M75/B75)+(((M75-B75*INT(M75/B75)))/C75)/100))))</f>
        <v>0</v>
      </c>
      <c r="AY75" s="57">
        <f>IF(ISERROR(IF(B75=C75,N75/C75,IF((INT(N75/B75)+(((N75-B75*INT(N75/B75)))/C75)/100)&lt;0,(INT(N75/B75)+(((N75-B75*INT(N75/B75)))/C75)/100)+(1-(B75/C75/100)),(INT(N75/B75)+(((N75-B75*INT(N75/B75)))/C75)/100)))),0,IF(B75=C75,N75/C75,IF((INT(N75/B75)+(((N75-B75*INT(N75/B75)))/C75)/100)&lt;0,(INT(N75/B75)+(((N75-B75*INT(N75/B75)))/C75)/100)+(1-(B75/C75/100)),(INT(N75/B75)+(((N75-B75*INT(N75/B75)))/C75)/100))))</f>
        <v>0</v>
      </c>
      <c r="AZ75" s="57">
        <f>IF(ISERROR(IF(B75=C75,O75/C75,(INT(O75/B75)+(((O75-B75*INT(O75/B75)))/C75)/100))),0,(IF(B75=C75,O75/C75,(INT(O75/B75)+(((O75-B75*INT(O75/B75)))/C75)/100))))</f>
        <v>0</v>
      </c>
      <c r="BA75" s="57">
        <f>IF(ISERROR(IF(B75=C75,P75/C75,IF((INT(P75/B75)+(((P75-B75*INT(P75/B75)))/C75)/100)&lt;0,(INT(P75/B75)+(((P75-B75*INT(P75/B75)))/C75)/100)+(1-(B75/C75/100)),(INT(P75/B75)+(((P75-B75*INT(P75/B75)))/C75)/100)))),0,IF(B75=C75,P75/C75,IF((INT(P75/B75)+(((P75-B75*INT(P75/B75)))/C75)/100)&lt;0,(INT(P75/B75)+(((P75-B75*INT(P75/B75)))/C75)/100)+(1-(B75/C75/100)),(INT(P75/B75)+(((P75-B75*INT(P75/B75)))/C75)/100))))</f>
        <v>0</v>
      </c>
      <c r="BB75" s="28">
        <f>R75</f>
        <v>0</v>
      </c>
      <c r="BC75" s="28">
        <f>S75</f>
        <v>0</v>
      </c>
      <c r="BD75" s="28">
        <f>AF75</f>
        <v>0</v>
      </c>
      <c r="BE75" s="28">
        <f>T75</f>
        <v>0</v>
      </c>
      <c r="BG75" s="57">
        <f>IF(ISERROR(IF(B75=C75,V75/C75,(INT(V75/B75)+(((V75-B75*INT(V75/B75)))/C75)/100))),0,(IF(B75=C75,V75/C75,(INT(V75/B75)+(((V75-B75*INT(V75/B75)))/C75)/100))))</f>
        <v>0</v>
      </c>
      <c r="BH75" s="57">
        <f>IF(ISERROR(IF(B75=C75,W75/C75,(INT(W75/B75)+(((W75-B75*INT(W75/B75)))/C75)/100))),0,(IF(B75=C75,W75/C75,(INT(W75/B75)+(((W75-B75*INT(W75/B75)))/C75)/100))))</f>
        <v>0</v>
      </c>
      <c r="BI75" s="57">
        <f>IF(ISERROR(IF(B75=C75,X75/C75,(INT(X75/B75)+(((X75-B75*INT(X75/B75)))/C75)/100))),0,(IF(B75=C75,X75/C75,(INT(X75/B75)+(((X75-B75*INT(X75/B75)))/C75)/100))))</f>
        <v>0</v>
      </c>
      <c r="BJ75" s="57">
        <f>IF(ISERROR(IF(B75=C75,Y75/C75,(INT(Y75/B75)+(((Y75-B75*INT(Y75/B75)))/C75)/100))),0,(IF(B75=C75,Y75/C75,(INT(Y75/B75)+(((Y75-B75*INT(Y75/B75)))/C75)/100))))</f>
        <v>0</v>
      </c>
      <c r="BL75" s="57">
        <f>IF(ISERROR(IF(B75=C75,AA75/C75,(INT(AA75/B75)+(((AA75-B75*INT(AA75/B75)))/C75)/100))),0,(IF(B75=C75,AA75/C75,(INT(AA75/B75)+(((AA75-B75*INT(AA75/B75)))/C75)/100))))</f>
        <v>0</v>
      </c>
      <c r="BM75" s="57">
        <f>IF(ISERROR(IF(B75=C75,AB75/C75,(INT(AB75/B75)+(((AB75-B75*INT(AB75/B75)))/C75)/100))),0,(IF(B75=C75,AB75/C75,(INT(AB75/B75)+(((AB75-B75*INT(AB75/B75)))/C75)/100))))</f>
        <v>0</v>
      </c>
      <c r="BN75" s="57">
        <f>IF(ISERROR(IF(B75=C75,AC75/C75,(INT(AC75/B75)+(((AC75-B75*INT(AC75/B75)))/C75)/100))),0,(IF(B75=C75,AC75/C75,(INT(AC75/B75)+(((AC75-B75*INT(AC75/B75)))/C75)/100))))</f>
        <v>0</v>
      </c>
      <c r="BO75" s="57">
        <f>IF(ISERROR(IF(B75=C75,AD75/C75,(INT(AD75/B75)+(((AD75-B75*INT(AD75/B75)))/C75)/100))),0,(IF(B75=C75,AD75/C75,(INT(AD75/B75)+(((AD75-B75*INT(AD75/B75)))/C75)/100))))</f>
        <v>0</v>
      </c>
      <c r="BQ75" s="155"/>
    </row>
    <row r="76" spans="1:69" hidden="1" x14ac:dyDescent="0.35">
      <c r="A76" s="94"/>
      <c r="B76" s="113">
        <v>0</v>
      </c>
      <c r="C76" s="113">
        <v>0</v>
      </c>
      <c r="D76" s="28">
        <f>SUM(AA76:AD76)</f>
        <v>0</v>
      </c>
      <c r="E76" s="113">
        <v>0</v>
      </c>
      <c r="F76" s="113">
        <v>0</v>
      </c>
      <c r="G76" s="28">
        <f>SUM(D76:F76)</f>
        <v>0</v>
      </c>
      <c r="H76" s="125">
        <v>0</v>
      </c>
      <c r="I76" s="113">
        <v>0</v>
      </c>
      <c r="J76" s="125">
        <v>0</v>
      </c>
      <c r="K76" s="113">
        <v>0</v>
      </c>
      <c r="L76" s="113">
        <v>0</v>
      </c>
      <c r="M76" s="113">
        <v>0</v>
      </c>
      <c r="N76" s="28">
        <f>G76-SUM(H76:M76)</f>
        <v>0</v>
      </c>
      <c r="O76" s="28">
        <f>SUM(V76:Y76)</f>
        <v>0</v>
      </c>
      <c r="P76" s="28">
        <f>O76-N76</f>
        <v>0</v>
      </c>
      <c r="Q76" s="61" t="str">
        <f>IF(ISERROR(P76/SUM(H76:L76)),"",P76/SUM(H76:L76))</f>
        <v/>
      </c>
      <c r="R76" s="113">
        <v>0</v>
      </c>
      <c r="S76" s="28">
        <f>IF(ISERROR(P76/C76*R76),0,(P76/C76*R76))</f>
        <v>0</v>
      </c>
      <c r="T76" s="60">
        <f>IF(ISERROR(P76/B76*AF76),0,(P76/B76*AF76))</f>
        <v>0</v>
      </c>
      <c r="V76" s="113">
        <v>0</v>
      </c>
      <c r="W76" s="113">
        <v>0</v>
      </c>
      <c r="X76" s="113">
        <v>0</v>
      </c>
      <c r="Y76" s="113">
        <v>0</v>
      </c>
      <c r="AA76" s="113">
        <v>0</v>
      </c>
      <c r="AB76" s="113">
        <v>0</v>
      </c>
      <c r="AC76" s="113">
        <v>0</v>
      </c>
      <c r="AD76" s="113">
        <v>0</v>
      </c>
      <c r="AF76" s="113">
        <v>0</v>
      </c>
      <c r="AG76" s="28">
        <f>G76-O76</f>
        <v>0</v>
      </c>
      <c r="AH76" s="58">
        <f>IF(ISERROR(AG76/B76*AF76),0,(AG76/B76*AF76))</f>
        <v>0</v>
      </c>
      <c r="AI76" s="28">
        <f>SUM(H76:M76)</f>
        <v>0</v>
      </c>
      <c r="AJ76" s="28">
        <f>IF(ISERROR(AI76/B76*AF76),0,(AI76/B76*AF76))</f>
        <v>0</v>
      </c>
      <c r="AK76" s="58">
        <f>IF(ISERROR(O76/B76*AF76),0,(O76/B76*AF76))</f>
        <v>0</v>
      </c>
      <c r="AL76" s="28">
        <f>IF(ISERROR(H76/B76*AF76),0,(H76/B76*AF76))</f>
        <v>0</v>
      </c>
      <c r="AN76" s="51">
        <f>A76</f>
        <v>0</v>
      </c>
      <c r="AO76" s="57">
        <f>IF(ISERROR(IF(B76=C76,D76/C76,(INT(D76/B76)+(((D76-B76*INT(D76/B76)))/C76)/100))),0,(IF(B76=C76,D76/C76,(INT(D76/B76)+(((D76-B76*INT(D76/B76)))/C76)/100))))</f>
        <v>0</v>
      </c>
      <c r="AP76" s="57">
        <f>IF(ISERROR(IF(B76=C76,E76/C76,(INT(E76/B76)+(((E76-B76*INT(E76/B76)))/C76)/100))),0,(IF(B76=C76,E76/C76,(INT(E76/B76)+(((E76-B76*INT(E76/B76)))/C76)/100))))</f>
        <v>0</v>
      </c>
      <c r="AQ76" s="57">
        <f>IF(ISERROR(IF(B76=C76,F76/C76,IF((INT(F76/B76)+(((F76-B76*INT(F76/B76)))/C76)/100)&lt;0,(INT(F76/B76)+(((F76-B76*INT(F76/B76)))/C76)/100)+(1-(B76/C76/100)),(INT(F76/B76)+(((F76-B76*INT(F76/B76)))/C76)/100)))),0,IF(B76=C76,F76/C76,IF((INT(F76/B76)+(((F76-B76*INT(F76/B76)))/C76)/100)&lt;0,(INT(F76/B76)+(((F76-B76*INT(F76/B76)))/C76)/100)+(1-(B76/C76/100)),(INT(F76/B76)+(((F76-B76*INT(F76/B76)))/C76)/100))))</f>
        <v>0</v>
      </c>
      <c r="AR76" s="57">
        <f>IF(ISERROR(IF(B76=C76,G76/C76,(INT(G76/B76)+(((G76-B76*INT(G76/B76)))/C76)/100))),0,(IF(B76=C76,G76/C76,(INT(G76/B76)+(((G76-B76*INT(G76/B76)))/C76)/100))))</f>
        <v>0</v>
      </c>
      <c r="AS76" s="57">
        <f>IF(ISERROR(IF(B76=C76,H76/C76,(INT(H76/B76)+(((H76-B76*INT(H76/B76)))/C76)/100))),0,(IF(B76=C76,H76/C76,(INT(H76/B76)+(((H76-B76*INT(H76/B76)))/C76)/100))))</f>
        <v>0</v>
      </c>
      <c r="AT76" s="57">
        <f>IF(ISERROR(IF(B76=C76,I76/C76,(INT(I76/B76)+(((I76-B76*INT(I76/B76)))/C76)/100))),0,(IF(B76=C76,I76/C76,(INT(I76/B76)+(((I76-B76*INT(I76/B76)))/C76)/100))))</f>
        <v>0</v>
      </c>
      <c r="AU76" s="57">
        <f>IF(ISERROR(IF(B76=C76,J76/C76,(INT(J76/B76)+(((J76-B76*INT(J76/B76)))/C76)/100))),0,(IF(B76=C76,J76/C76,(INT(J76/B76)+(((J76-B76*INT(J76/B76)))/C76)/100))))</f>
        <v>0</v>
      </c>
      <c r="AV76" s="57">
        <f>IF(ISERROR(IF(B76=C76,K76/C76,IF((INT(K76/B76)+(((K76-B76*INT(K76/B76)))/C76)/100)&lt;0,(INT(K76/B76)+(((K76-B76*INT(K76/B76)))/C76)/100)+(1-(B76/C76/100)),(INT(K76/B76)+(((K76-B76*INT(K76/B76)))/C76)/100)))),0,IF(B76=C76,K76/C76,IF((INT(K76/B76)+(((K76-B76*INT(K76/B76)))/C76)/100)&lt;0,(INT(K76/B76)+(((K76-B76*INT(K76/B76)))/C76)/100)+(1-(B76/C76/100)),(INT(K76/B76)+(((K76-B76*INT(K76/B76)))/C76)/100))))</f>
        <v>0</v>
      </c>
      <c r="AW76" s="57">
        <f>IF(ISERROR(IF(B76=C76,L76/C76,(INT(L76/B76)+(((L76-B76*INT(L76/B76)))/C76)/100))),0,(IF(B76=C76,L76/C76,(INT(L76/B76)+(((L76-B76*INT(L76/B76)))/C76)/100))))</f>
        <v>0</v>
      </c>
      <c r="AX76" s="57">
        <f>IF(ISERROR(IF(B76=C76,M76/C76,(INT(M76/B76)+(((M76-B76*INT(M76/B76)))/C76)/100))),0,(IF(B76=C76,M76/C76,(INT(M76/B76)+(((M76-B76*INT(M76/B76)))/C76)/100))))</f>
        <v>0</v>
      </c>
      <c r="AY76" s="57">
        <f>IF(ISERROR(IF(B76=C76,N76/C76,IF((INT(N76/B76)+(((N76-B76*INT(N76/B76)))/C76)/100)&lt;0,(INT(N76/B76)+(((N76-B76*INT(N76/B76)))/C76)/100)+(1-(B76/C76/100)),(INT(N76/B76)+(((N76-B76*INT(N76/B76)))/C76)/100)))),0,IF(B76=C76,N76/C76,IF((INT(N76/B76)+(((N76-B76*INT(N76/B76)))/C76)/100)&lt;0,(INT(N76/B76)+(((N76-B76*INT(N76/B76)))/C76)/100)+(1-(B76/C76/100)),(INT(N76/B76)+(((N76-B76*INT(N76/B76)))/C76)/100))))</f>
        <v>0</v>
      </c>
      <c r="AZ76" s="57">
        <f>IF(ISERROR(IF(B76=C76,O76/C76,(INT(O76/B76)+(((O76-B76*INT(O76/B76)))/C76)/100))),0,(IF(B76=C76,O76/C76,(INT(O76/B76)+(((O76-B76*INT(O76/B76)))/C76)/100))))</f>
        <v>0</v>
      </c>
      <c r="BA76" s="57">
        <f>IF(ISERROR(IF(B76=C76,P76/C76,IF((INT(P76/B76)+(((P76-B76*INT(P76/B76)))/C76)/100)&lt;0,(INT(P76/B76)+(((P76-B76*INT(P76/B76)))/C76)/100)+(1-(B76/C76/100)),(INT(P76/B76)+(((P76-B76*INT(P76/B76)))/C76)/100)))),0,IF(B76=C76,P76/C76,IF((INT(P76/B76)+(((P76-B76*INT(P76/B76)))/C76)/100)&lt;0,(INT(P76/B76)+(((P76-B76*INT(P76/B76)))/C76)/100)+(1-(B76/C76/100)),(INT(P76/B76)+(((P76-B76*INT(P76/B76)))/C76)/100))))</f>
        <v>0</v>
      </c>
      <c r="BB76" s="28">
        <f>R76</f>
        <v>0</v>
      </c>
      <c r="BC76" s="28">
        <f>S76</f>
        <v>0</v>
      </c>
      <c r="BD76" s="28">
        <f>AF76</f>
        <v>0</v>
      </c>
      <c r="BE76" s="28">
        <f>T76</f>
        <v>0</v>
      </c>
      <c r="BG76" s="57">
        <f>IF(ISERROR(IF(B76=C76,V76/C76,(INT(V76/B76)+(((V76-B76*INT(V76/B76)))/C76)/100))),0,(IF(B76=C76,V76/C76,(INT(V76/B76)+(((V76-B76*INT(V76/B76)))/C76)/100))))</f>
        <v>0</v>
      </c>
      <c r="BH76" s="57">
        <f>IF(ISERROR(IF(B76=C76,W76/C76,(INT(W76/B76)+(((W76-B76*INT(W76/B76)))/C76)/100))),0,(IF(B76=C76,W76/C76,(INT(W76/B76)+(((W76-B76*INT(W76/B76)))/C76)/100))))</f>
        <v>0</v>
      </c>
      <c r="BI76" s="57">
        <f>IF(ISERROR(IF(B76=C76,X76/C76,(INT(X76/B76)+(((X76-B76*INT(X76/B76)))/C76)/100))),0,(IF(B76=C76,X76/C76,(INT(X76/B76)+(((X76-B76*INT(X76/B76)))/C76)/100))))</f>
        <v>0</v>
      </c>
      <c r="BJ76" s="57">
        <f>IF(ISERROR(IF(B76=C76,Y76/C76,(INT(Y76/B76)+(((Y76-B76*INT(Y76/B76)))/C76)/100))),0,(IF(B76=C76,Y76/C76,(INT(Y76/B76)+(((Y76-B76*INT(Y76/B76)))/C76)/100))))</f>
        <v>0</v>
      </c>
      <c r="BL76" s="57">
        <f>IF(ISERROR(IF(B76=C76,AA76/C76,(INT(AA76/B76)+(((AA76-B76*INT(AA76/B76)))/C76)/100))),0,(IF(B76=C76,AA76/C76,(INT(AA76/B76)+(((AA76-B76*INT(AA76/B76)))/C76)/100))))</f>
        <v>0</v>
      </c>
      <c r="BM76" s="57">
        <f>IF(ISERROR(IF(B76=C76,AB76/C76,(INT(AB76/B76)+(((AB76-B76*INT(AB76/B76)))/C76)/100))),0,(IF(B76=C76,AB76/C76,(INT(AB76/B76)+(((AB76-B76*INT(AB76/B76)))/C76)/100))))</f>
        <v>0</v>
      </c>
      <c r="BN76" s="57">
        <f>IF(ISERROR(IF(B76=C76,AC76/C76,(INT(AC76/B76)+(((AC76-B76*INT(AC76/B76)))/C76)/100))),0,(IF(B76=C76,AC76/C76,(INT(AC76/B76)+(((AC76-B76*INT(AC76/B76)))/C76)/100))))</f>
        <v>0</v>
      </c>
      <c r="BO76" s="57">
        <f>IF(ISERROR(IF(B76=C76,AD76/C76,(INT(AD76/B76)+(((AD76-B76*INT(AD76/B76)))/C76)/100))),0,(IF(B76=C76,AD76/C76,(INT(AD76/B76)+(((AD76-B76*INT(AD76/B76)))/C76)/100))))</f>
        <v>0</v>
      </c>
      <c r="BQ76" s="155"/>
    </row>
    <row r="77" spans="1:69" hidden="1" x14ac:dyDescent="0.35">
      <c r="A77" s="94"/>
      <c r="B77" s="113">
        <v>0</v>
      </c>
      <c r="C77" s="113">
        <v>0</v>
      </c>
      <c r="D77" s="28">
        <f>SUM(AA77:AD77)</f>
        <v>0</v>
      </c>
      <c r="E77" s="113">
        <v>0</v>
      </c>
      <c r="F77" s="113">
        <v>0</v>
      </c>
      <c r="G77" s="28">
        <f>SUM(D77:F77)</f>
        <v>0</v>
      </c>
      <c r="H77" s="125">
        <v>0</v>
      </c>
      <c r="I77" s="113">
        <v>0</v>
      </c>
      <c r="J77" s="125">
        <v>0</v>
      </c>
      <c r="K77" s="113">
        <v>0</v>
      </c>
      <c r="L77" s="113">
        <v>0</v>
      </c>
      <c r="M77" s="113">
        <v>0</v>
      </c>
      <c r="N77" s="28">
        <f>G77-SUM(H77:M77)</f>
        <v>0</v>
      </c>
      <c r="O77" s="28">
        <f>SUM(V77:Y77)</f>
        <v>0</v>
      </c>
      <c r="P77" s="28">
        <f>O77-N77</f>
        <v>0</v>
      </c>
      <c r="Q77" s="61" t="str">
        <f>IF(ISERROR(P77/SUM(H77:L77)),"",P77/SUM(H77:L77))</f>
        <v/>
      </c>
      <c r="R77" s="113">
        <v>0</v>
      </c>
      <c r="S77" s="28">
        <f>IF(ISERROR(P77/C77*R77),0,(P77/C77*R77))</f>
        <v>0</v>
      </c>
      <c r="T77" s="60">
        <f>IF(ISERROR(P77/B77*AF77),0,(P77/B77*AF77))</f>
        <v>0</v>
      </c>
      <c r="V77" s="113">
        <v>0</v>
      </c>
      <c r="W77" s="113">
        <v>0</v>
      </c>
      <c r="X77" s="113">
        <v>0</v>
      </c>
      <c r="Y77" s="113">
        <v>0</v>
      </c>
      <c r="AA77" s="113">
        <v>0</v>
      </c>
      <c r="AB77" s="113">
        <v>0</v>
      </c>
      <c r="AC77" s="113">
        <v>0</v>
      </c>
      <c r="AD77" s="113">
        <v>0</v>
      </c>
      <c r="AF77" s="113">
        <v>0</v>
      </c>
      <c r="AG77" s="28">
        <f>G77-O77</f>
        <v>0</v>
      </c>
      <c r="AH77" s="58">
        <f>IF(ISERROR(AG77/B77*AF77),0,(AG77/B77*AF77))</f>
        <v>0</v>
      </c>
      <c r="AI77" s="28">
        <f>SUM(H77:M77)</f>
        <v>0</v>
      </c>
      <c r="AJ77" s="28">
        <f>IF(ISERROR(AI77/B77*AF77),0,(AI77/B77*AF77))</f>
        <v>0</v>
      </c>
      <c r="AK77" s="58">
        <f>IF(ISERROR(O77/B77*AF77),0,(O77/B77*AF77))</f>
        <v>0</v>
      </c>
      <c r="AL77" s="28">
        <f>IF(ISERROR(H77/B77*AF77),0,(H77/B77*AF77))</f>
        <v>0</v>
      </c>
      <c r="AN77" s="51">
        <f>A77</f>
        <v>0</v>
      </c>
      <c r="AO77" s="57">
        <f>IF(ISERROR(IF(B77=C77,D77/C77,(INT(D77/B77)+(((D77-B77*INT(D77/B77)))/C77)/100))),0,(IF(B77=C77,D77/C77,(INT(D77/B77)+(((D77-B77*INT(D77/B77)))/C77)/100))))</f>
        <v>0</v>
      </c>
      <c r="AP77" s="57">
        <f>IF(ISERROR(IF(B77=C77,E77/C77,(INT(E77/B77)+(((E77-B77*INT(E77/B77)))/C77)/100))),0,(IF(B77=C77,E77/C77,(INT(E77/B77)+(((E77-B77*INT(E77/B77)))/C77)/100))))</f>
        <v>0</v>
      </c>
      <c r="AQ77" s="57">
        <f>IF(ISERROR(IF(B77=C77,F77/C77,IF((INT(F77/B77)+(((F77-B77*INT(F77/B77)))/C77)/100)&lt;0,(INT(F77/B77)+(((F77-B77*INT(F77/B77)))/C77)/100)+(1-(B77/C77/100)),(INT(F77/B77)+(((F77-B77*INT(F77/B77)))/C77)/100)))),0,IF(B77=C77,F77/C77,IF((INT(F77/B77)+(((F77-B77*INT(F77/B77)))/C77)/100)&lt;0,(INT(F77/B77)+(((F77-B77*INT(F77/B77)))/C77)/100)+(1-(B77/C77/100)),(INT(F77/B77)+(((F77-B77*INT(F77/B77)))/C77)/100))))</f>
        <v>0</v>
      </c>
      <c r="AR77" s="57">
        <f>IF(ISERROR(IF(B77=C77,G77/C77,(INT(G77/B77)+(((G77-B77*INT(G77/B77)))/C77)/100))),0,(IF(B77=C77,G77/C77,(INT(G77/B77)+(((G77-B77*INT(G77/B77)))/C77)/100))))</f>
        <v>0</v>
      </c>
      <c r="AS77" s="57">
        <f>IF(ISERROR(IF(B77=C77,H77/C77,(INT(H77/B77)+(((H77-B77*INT(H77/B77)))/C77)/100))),0,(IF(B77=C77,H77/C77,(INT(H77/B77)+(((H77-B77*INT(H77/B77)))/C77)/100))))</f>
        <v>0</v>
      </c>
      <c r="AT77" s="57">
        <f>IF(ISERROR(IF(B77=C77,I77/C77,(INT(I77/B77)+(((I77-B77*INT(I77/B77)))/C77)/100))),0,(IF(B77=C77,I77/C77,(INT(I77/B77)+(((I77-B77*INT(I77/B77)))/C77)/100))))</f>
        <v>0</v>
      </c>
      <c r="AU77" s="57">
        <f>IF(ISERROR(IF(B77=C77,J77/C77,(INT(J77/B77)+(((J77-B77*INT(J77/B77)))/C77)/100))),0,(IF(B77=C77,J77/C77,(INT(J77/B77)+(((J77-B77*INT(J77/B77)))/C77)/100))))</f>
        <v>0</v>
      </c>
      <c r="AV77" s="57">
        <f>IF(ISERROR(IF(B77=C77,K77/C77,IF((INT(K77/B77)+(((K77-B77*INT(K77/B77)))/C77)/100)&lt;0,(INT(K77/B77)+(((K77-B77*INT(K77/B77)))/C77)/100)+(1-(B77/C77/100)),(INT(K77/B77)+(((K77-B77*INT(K77/B77)))/C77)/100)))),0,IF(B77=C77,K77/C77,IF((INT(K77/B77)+(((K77-B77*INT(K77/B77)))/C77)/100)&lt;0,(INT(K77/B77)+(((K77-B77*INT(K77/B77)))/C77)/100)+(1-(B77/C77/100)),(INT(K77/B77)+(((K77-B77*INT(K77/B77)))/C77)/100))))</f>
        <v>0</v>
      </c>
      <c r="AW77" s="57">
        <f>IF(ISERROR(IF(B77=C77,L77/C77,(INT(L77/B77)+(((L77-B77*INT(L77/B77)))/C77)/100))),0,(IF(B77=C77,L77/C77,(INT(L77/B77)+(((L77-B77*INT(L77/B77)))/C77)/100))))</f>
        <v>0</v>
      </c>
      <c r="AX77" s="57">
        <f>IF(ISERROR(IF(B77=C77,M77/C77,(INT(M77/B77)+(((M77-B77*INT(M77/B77)))/C77)/100))),0,(IF(B77=C77,M77/C77,(INT(M77/B77)+(((M77-B77*INT(M77/B77)))/C77)/100))))</f>
        <v>0</v>
      </c>
      <c r="AY77" s="57">
        <f>IF(ISERROR(IF(B77=C77,N77/C77,IF((INT(N77/B77)+(((N77-B77*INT(N77/B77)))/C77)/100)&lt;0,(INT(N77/B77)+(((N77-B77*INT(N77/B77)))/C77)/100)+(1-(B77/C77/100)),(INT(N77/B77)+(((N77-B77*INT(N77/B77)))/C77)/100)))),0,IF(B77=C77,N77/C77,IF((INT(N77/B77)+(((N77-B77*INT(N77/B77)))/C77)/100)&lt;0,(INT(N77/B77)+(((N77-B77*INT(N77/B77)))/C77)/100)+(1-(B77/C77/100)),(INT(N77/B77)+(((N77-B77*INT(N77/B77)))/C77)/100))))</f>
        <v>0</v>
      </c>
      <c r="AZ77" s="57">
        <f>IF(ISERROR(IF(B77=C77,O77/C77,(INT(O77/B77)+(((O77-B77*INT(O77/B77)))/C77)/100))),0,(IF(B77=C77,O77/C77,(INT(O77/B77)+(((O77-B77*INT(O77/B77)))/C77)/100))))</f>
        <v>0</v>
      </c>
      <c r="BA77" s="57">
        <f>IF(ISERROR(IF(B77=C77,P77/C77,IF((INT(P77/B77)+(((P77-B77*INT(P77/B77)))/C77)/100)&lt;0,(INT(P77/B77)+(((P77-B77*INT(P77/B77)))/C77)/100)+(1-(B77/C77/100)),(INT(P77/B77)+(((P77-B77*INT(P77/B77)))/C77)/100)))),0,IF(B77=C77,P77/C77,IF((INT(P77/B77)+(((P77-B77*INT(P77/B77)))/C77)/100)&lt;0,(INT(P77/B77)+(((P77-B77*INT(P77/B77)))/C77)/100)+(1-(B77/C77/100)),(INT(P77/B77)+(((P77-B77*INT(P77/B77)))/C77)/100))))</f>
        <v>0</v>
      </c>
      <c r="BB77" s="28">
        <f>R77</f>
        <v>0</v>
      </c>
      <c r="BC77" s="28">
        <f>S77</f>
        <v>0</v>
      </c>
      <c r="BD77" s="28">
        <f>AF77</f>
        <v>0</v>
      </c>
      <c r="BE77" s="28">
        <f>T77</f>
        <v>0</v>
      </c>
      <c r="BG77" s="57">
        <f>IF(ISERROR(IF(B77=C77,V77/C77,(INT(V77/B77)+(((V77-B77*INT(V77/B77)))/C77)/100))),0,(IF(B77=C77,V77/C77,(INT(V77/B77)+(((V77-B77*INT(V77/B77)))/C77)/100))))</f>
        <v>0</v>
      </c>
      <c r="BH77" s="57">
        <f>IF(ISERROR(IF(B77=C77,W77/C77,(INT(W77/B77)+(((W77-B77*INT(W77/B77)))/C77)/100))),0,(IF(B77=C77,W77/C77,(INT(W77/B77)+(((W77-B77*INT(W77/B77)))/C77)/100))))</f>
        <v>0</v>
      </c>
      <c r="BI77" s="57">
        <f>IF(ISERROR(IF(B77=C77,X77/C77,(INT(X77/B77)+(((X77-B77*INT(X77/B77)))/C77)/100))),0,(IF(B77=C77,X77/C77,(INT(X77/B77)+(((X77-B77*INT(X77/B77)))/C77)/100))))</f>
        <v>0</v>
      </c>
      <c r="BJ77" s="57">
        <f>IF(ISERROR(IF(B77=C77,Y77/C77,(INT(Y77/B77)+(((Y77-B77*INT(Y77/B77)))/C77)/100))),0,(IF(B77=C77,Y77/C77,(INT(Y77/B77)+(((Y77-B77*INT(Y77/B77)))/C77)/100))))</f>
        <v>0</v>
      </c>
      <c r="BL77" s="57">
        <f>IF(ISERROR(IF(B77=C77,AA77/C77,(INT(AA77/B77)+(((AA77-B77*INT(AA77/B77)))/C77)/100))),0,(IF(B77=C77,AA77/C77,(INT(AA77/B77)+(((AA77-B77*INT(AA77/B77)))/C77)/100))))</f>
        <v>0</v>
      </c>
      <c r="BM77" s="57">
        <f>IF(ISERROR(IF(B77=C77,AB77/C77,(INT(AB77/B77)+(((AB77-B77*INT(AB77/B77)))/C77)/100))),0,(IF(B77=C77,AB77/C77,(INT(AB77/B77)+(((AB77-B77*INT(AB77/B77)))/C77)/100))))</f>
        <v>0</v>
      </c>
      <c r="BN77" s="57">
        <f>IF(ISERROR(IF(B77=C77,AC77/C77,(INT(AC77/B77)+(((AC77-B77*INT(AC77/B77)))/C77)/100))),0,(IF(B77=C77,AC77/C77,(INT(AC77/B77)+(((AC77-B77*INT(AC77/B77)))/C77)/100))))</f>
        <v>0</v>
      </c>
      <c r="BO77" s="57">
        <f>IF(ISERROR(IF(B77=C77,AD77/C77,(INT(AD77/B77)+(((AD77-B77*INT(AD77/B77)))/C77)/100))),0,(IF(B77=C77,AD77/C77,(INT(AD77/B77)+(((AD77-B77*INT(AD77/B77)))/C77)/100))))</f>
        <v>0</v>
      </c>
      <c r="BQ77" s="155"/>
    </row>
    <row r="78" spans="1:69" hidden="1" x14ac:dyDescent="0.35">
      <c r="A78" s="94"/>
      <c r="B78" s="113">
        <v>0</v>
      </c>
      <c r="C78" s="113">
        <v>0</v>
      </c>
      <c r="D78" s="28">
        <f>SUM(AA78:AD78)</f>
        <v>0</v>
      </c>
      <c r="E78" s="113">
        <v>0</v>
      </c>
      <c r="F78" s="113">
        <v>0</v>
      </c>
      <c r="G78" s="28">
        <f>SUM(D78:F78)</f>
        <v>0</v>
      </c>
      <c r="H78" s="125">
        <v>0</v>
      </c>
      <c r="I78" s="113">
        <v>0</v>
      </c>
      <c r="J78" s="125">
        <v>0</v>
      </c>
      <c r="K78" s="113">
        <v>0</v>
      </c>
      <c r="L78" s="113">
        <v>0</v>
      </c>
      <c r="M78" s="113">
        <v>0</v>
      </c>
      <c r="N78" s="28">
        <f>G78-SUM(H78:M78)</f>
        <v>0</v>
      </c>
      <c r="O78" s="28">
        <f>SUM(V78:Y78)</f>
        <v>0</v>
      </c>
      <c r="P78" s="28">
        <f>O78-N78</f>
        <v>0</v>
      </c>
      <c r="Q78" s="61" t="str">
        <f>IF(ISERROR(P78/SUM(H78:L78)),"",P78/SUM(H78:L78))</f>
        <v/>
      </c>
      <c r="R78" s="113">
        <v>0</v>
      </c>
      <c r="S78" s="28">
        <f>IF(ISERROR(P78/C78*R78),0,(P78/C78*R78))</f>
        <v>0</v>
      </c>
      <c r="T78" s="60">
        <f>IF(ISERROR(P78/B78*AF78),0,(P78/B78*AF78))</f>
        <v>0</v>
      </c>
      <c r="V78" s="113">
        <v>0</v>
      </c>
      <c r="W78" s="113">
        <v>0</v>
      </c>
      <c r="X78" s="113">
        <v>0</v>
      </c>
      <c r="Y78" s="113">
        <v>0</v>
      </c>
      <c r="AA78" s="113">
        <v>0</v>
      </c>
      <c r="AB78" s="113">
        <v>0</v>
      </c>
      <c r="AC78" s="113">
        <v>0</v>
      </c>
      <c r="AD78" s="113">
        <v>0</v>
      </c>
      <c r="AF78" s="113">
        <v>0</v>
      </c>
      <c r="AG78" s="28">
        <f>G78-O78</f>
        <v>0</v>
      </c>
      <c r="AH78" s="58">
        <f>IF(ISERROR(AG78/B78*AF78),0,(AG78/B78*AF78))</f>
        <v>0</v>
      </c>
      <c r="AI78" s="28">
        <f>SUM(H78:M78)</f>
        <v>0</v>
      </c>
      <c r="AJ78" s="28">
        <f>IF(ISERROR(AI78/B78*AF78),0,(AI78/B78*AF78))</f>
        <v>0</v>
      </c>
      <c r="AK78" s="58">
        <f>IF(ISERROR(O78/B78*AF78),0,(O78/B78*AF78))</f>
        <v>0</v>
      </c>
      <c r="AL78" s="28">
        <f>IF(ISERROR(H78/B78*AF78),0,(H78/B78*AF78))</f>
        <v>0</v>
      </c>
      <c r="AN78" s="51">
        <f>A78</f>
        <v>0</v>
      </c>
      <c r="AO78" s="57">
        <f>IF(ISERROR(IF(B78=C78,D78/C78,(INT(D78/B78)+(((D78-B78*INT(D78/B78)))/C78)/100))),0,(IF(B78=C78,D78/C78,(INT(D78/B78)+(((D78-B78*INT(D78/B78)))/C78)/100))))</f>
        <v>0</v>
      </c>
      <c r="AP78" s="57">
        <f>IF(ISERROR(IF(B78=C78,E78/C78,(INT(E78/B78)+(((E78-B78*INT(E78/B78)))/C78)/100))),0,(IF(B78=C78,E78/C78,(INT(E78/B78)+(((E78-B78*INT(E78/B78)))/C78)/100))))</f>
        <v>0</v>
      </c>
      <c r="AQ78" s="57">
        <f>IF(ISERROR(IF(B78=C78,F78/C78,IF((INT(F78/B78)+(((F78-B78*INT(F78/B78)))/C78)/100)&lt;0,(INT(F78/B78)+(((F78-B78*INT(F78/B78)))/C78)/100)+(1-(B78/C78/100)),(INT(F78/B78)+(((F78-B78*INT(F78/B78)))/C78)/100)))),0,IF(B78=C78,F78/C78,IF((INT(F78/B78)+(((F78-B78*INT(F78/B78)))/C78)/100)&lt;0,(INT(F78/B78)+(((F78-B78*INT(F78/B78)))/C78)/100)+(1-(B78/C78/100)),(INT(F78/B78)+(((F78-B78*INT(F78/B78)))/C78)/100))))</f>
        <v>0</v>
      </c>
      <c r="AR78" s="57">
        <f>IF(ISERROR(IF(B78=C78,G78/C78,(INT(G78/B78)+(((G78-B78*INT(G78/B78)))/C78)/100))),0,(IF(B78=C78,G78/C78,(INT(G78/B78)+(((G78-B78*INT(G78/B78)))/C78)/100))))</f>
        <v>0</v>
      </c>
      <c r="AS78" s="57">
        <f>IF(ISERROR(IF(B78=C78,H78/C78,(INT(H78/B78)+(((H78-B78*INT(H78/B78)))/C78)/100))),0,(IF(B78=C78,H78/C78,(INT(H78/B78)+(((H78-B78*INT(H78/B78)))/C78)/100))))</f>
        <v>0</v>
      </c>
      <c r="AT78" s="57">
        <f>IF(ISERROR(IF(B78=C78,I78/C78,(INT(I78/B78)+(((I78-B78*INT(I78/B78)))/C78)/100))),0,(IF(B78=C78,I78/C78,(INT(I78/B78)+(((I78-B78*INT(I78/B78)))/C78)/100))))</f>
        <v>0</v>
      </c>
      <c r="AU78" s="57">
        <f>IF(ISERROR(IF(B78=C78,J78/C78,(INT(J78/B78)+(((J78-B78*INT(J78/B78)))/C78)/100))),0,(IF(B78=C78,J78/C78,(INT(J78/B78)+(((J78-B78*INT(J78/B78)))/C78)/100))))</f>
        <v>0</v>
      </c>
      <c r="AV78" s="57">
        <f>IF(ISERROR(IF(B78=C78,K78/C78,IF((INT(K78/B78)+(((K78-B78*INT(K78/B78)))/C78)/100)&lt;0,(INT(K78/B78)+(((K78-B78*INT(K78/B78)))/C78)/100)+(1-(B78/C78/100)),(INT(K78/B78)+(((K78-B78*INT(K78/B78)))/C78)/100)))),0,IF(B78=C78,K78/C78,IF((INT(K78/B78)+(((K78-B78*INT(K78/B78)))/C78)/100)&lt;0,(INT(K78/B78)+(((K78-B78*INT(K78/B78)))/C78)/100)+(1-(B78/C78/100)),(INT(K78/B78)+(((K78-B78*INT(K78/B78)))/C78)/100))))</f>
        <v>0</v>
      </c>
      <c r="AW78" s="57">
        <f>IF(ISERROR(IF(B78=C78,L78/C78,(INT(L78/B78)+(((L78-B78*INT(L78/B78)))/C78)/100))),0,(IF(B78=C78,L78/C78,(INT(L78/B78)+(((L78-B78*INT(L78/B78)))/C78)/100))))</f>
        <v>0</v>
      </c>
      <c r="AX78" s="57">
        <f>IF(ISERROR(IF(B78=C78,M78/C78,(INT(M78/B78)+(((M78-B78*INT(M78/B78)))/C78)/100))),0,(IF(B78=C78,M78/C78,(INT(M78/B78)+(((M78-B78*INT(M78/B78)))/C78)/100))))</f>
        <v>0</v>
      </c>
      <c r="AY78" s="57">
        <f>IF(ISERROR(IF(B78=C78,N78/C78,IF((INT(N78/B78)+(((N78-B78*INT(N78/B78)))/C78)/100)&lt;0,(INT(N78/B78)+(((N78-B78*INT(N78/B78)))/C78)/100)+(1-(B78/C78/100)),(INT(N78/B78)+(((N78-B78*INT(N78/B78)))/C78)/100)))),0,IF(B78=C78,N78/C78,IF((INT(N78/B78)+(((N78-B78*INT(N78/B78)))/C78)/100)&lt;0,(INT(N78/B78)+(((N78-B78*INT(N78/B78)))/C78)/100)+(1-(B78/C78/100)),(INT(N78/B78)+(((N78-B78*INT(N78/B78)))/C78)/100))))</f>
        <v>0</v>
      </c>
      <c r="AZ78" s="57">
        <f>IF(ISERROR(IF(B78=C78,O78/C78,(INT(O78/B78)+(((O78-B78*INT(O78/B78)))/C78)/100))),0,(IF(B78=C78,O78/C78,(INT(O78/B78)+(((O78-B78*INT(O78/B78)))/C78)/100))))</f>
        <v>0</v>
      </c>
      <c r="BA78" s="57">
        <f>IF(ISERROR(IF(B78=C78,P78/C78,IF((INT(P78/B78)+(((P78-B78*INT(P78/B78)))/C78)/100)&lt;0,(INT(P78/B78)+(((P78-B78*INT(P78/B78)))/C78)/100)+(1-(B78/C78/100)),(INT(P78/B78)+(((P78-B78*INT(P78/B78)))/C78)/100)))),0,IF(B78=C78,P78/C78,IF((INT(P78/B78)+(((P78-B78*INT(P78/B78)))/C78)/100)&lt;0,(INT(P78/B78)+(((P78-B78*INT(P78/B78)))/C78)/100)+(1-(B78/C78/100)),(INT(P78/B78)+(((P78-B78*INT(P78/B78)))/C78)/100))))</f>
        <v>0</v>
      </c>
      <c r="BB78" s="28">
        <f>R78</f>
        <v>0</v>
      </c>
      <c r="BC78" s="28">
        <f>S78</f>
        <v>0</v>
      </c>
      <c r="BD78" s="28">
        <f>AF78</f>
        <v>0</v>
      </c>
      <c r="BE78" s="28">
        <f>T78</f>
        <v>0</v>
      </c>
      <c r="BG78" s="57">
        <f>IF(ISERROR(IF(B78=C78,V78/C78,(INT(V78/B78)+(((V78-B78*INT(V78/B78)))/C78)/100))),0,(IF(B78=C78,V78/C78,(INT(V78/B78)+(((V78-B78*INT(V78/B78)))/C78)/100))))</f>
        <v>0</v>
      </c>
      <c r="BH78" s="57">
        <f>IF(ISERROR(IF(B78=C78,W78/C78,(INT(W78/B78)+(((W78-B78*INT(W78/B78)))/C78)/100))),0,(IF(B78=C78,W78/C78,(INT(W78/B78)+(((W78-B78*INT(W78/B78)))/C78)/100))))</f>
        <v>0</v>
      </c>
      <c r="BI78" s="57">
        <f>IF(ISERROR(IF(B78=C78,X78/C78,(INT(X78/B78)+(((X78-B78*INT(X78/B78)))/C78)/100))),0,(IF(B78=C78,X78/C78,(INT(X78/B78)+(((X78-B78*INT(X78/B78)))/C78)/100))))</f>
        <v>0</v>
      </c>
      <c r="BJ78" s="57">
        <f>IF(ISERROR(IF(B78=C78,Y78/C78,(INT(Y78/B78)+(((Y78-B78*INT(Y78/B78)))/C78)/100))),0,(IF(B78=C78,Y78/C78,(INT(Y78/B78)+(((Y78-B78*INT(Y78/B78)))/C78)/100))))</f>
        <v>0</v>
      </c>
      <c r="BL78" s="57">
        <f>IF(ISERROR(IF(B78=C78,AA78/C78,(INT(AA78/B78)+(((AA78-B78*INT(AA78/B78)))/C78)/100))),0,(IF(B78=C78,AA78/C78,(INT(AA78/B78)+(((AA78-B78*INT(AA78/B78)))/C78)/100))))</f>
        <v>0</v>
      </c>
      <c r="BM78" s="57">
        <f>IF(ISERROR(IF(B78=C78,AB78/C78,(INT(AB78/B78)+(((AB78-B78*INT(AB78/B78)))/C78)/100))),0,(IF(B78=C78,AB78/C78,(INT(AB78/B78)+(((AB78-B78*INT(AB78/B78)))/C78)/100))))</f>
        <v>0</v>
      </c>
      <c r="BN78" s="57">
        <f>IF(ISERROR(IF(B78=C78,AC78/C78,(INT(AC78/B78)+(((AC78-B78*INT(AC78/B78)))/C78)/100))),0,(IF(B78=C78,AC78/C78,(INT(AC78/B78)+(((AC78-B78*INT(AC78/B78)))/C78)/100))))</f>
        <v>0</v>
      </c>
      <c r="BO78" s="57">
        <f>IF(ISERROR(IF(B78=C78,AD78/C78,(INT(AD78/B78)+(((AD78-B78*INT(AD78/B78)))/C78)/100))),0,(IF(B78=C78,AD78/C78,(INT(AD78/B78)+(((AD78-B78*INT(AD78/B78)))/C78)/100))))</f>
        <v>0</v>
      </c>
      <c r="BQ78" s="155"/>
    </row>
    <row r="79" spans="1:69" hidden="1" x14ac:dyDescent="0.35">
      <c r="A79" s="94"/>
      <c r="B79" s="113">
        <v>0</v>
      </c>
      <c r="C79" s="113">
        <v>0</v>
      </c>
      <c r="D79" s="28">
        <f>SUM(AA79:AD79)</f>
        <v>0</v>
      </c>
      <c r="E79" s="113">
        <v>0</v>
      </c>
      <c r="F79" s="113">
        <v>0</v>
      </c>
      <c r="G79" s="28">
        <f>SUM(D79:F79)</f>
        <v>0</v>
      </c>
      <c r="H79" s="125">
        <v>0</v>
      </c>
      <c r="I79" s="113">
        <v>0</v>
      </c>
      <c r="J79" s="125">
        <v>0</v>
      </c>
      <c r="K79" s="113">
        <v>0</v>
      </c>
      <c r="L79" s="113">
        <v>0</v>
      </c>
      <c r="M79" s="113">
        <v>0</v>
      </c>
      <c r="N79" s="28">
        <f>G79-SUM(H79:M79)</f>
        <v>0</v>
      </c>
      <c r="O79" s="28">
        <f>SUM(V79:Y79)</f>
        <v>0</v>
      </c>
      <c r="P79" s="28">
        <f>O79-N79</f>
        <v>0</v>
      </c>
      <c r="Q79" s="61" t="str">
        <f>IF(ISERROR(P79/SUM(H79:L79)),"",P79/SUM(H79:L79))</f>
        <v/>
      </c>
      <c r="R79" s="113">
        <v>0</v>
      </c>
      <c r="S79" s="28">
        <f>IF(ISERROR(P79/C79*R79),0,(P79/C79*R79))</f>
        <v>0</v>
      </c>
      <c r="T79" s="60">
        <f>IF(ISERROR(P79/B79*AF79),0,(P79/B79*AF79))</f>
        <v>0</v>
      </c>
      <c r="V79" s="113">
        <v>0</v>
      </c>
      <c r="W79" s="113">
        <v>0</v>
      </c>
      <c r="X79" s="113">
        <v>0</v>
      </c>
      <c r="Y79" s="113">
        <v>0</v>
      </c>
      <c r="AA79" s="113">
        <v>0</v>
      </c>
      <c r="AB79" s="113">
        <v>0</v>
      </c>
      <c r="AC79" s="113">
        <v>0</v>
      </c>
      <c r="AD79" s="113">
        <v>0</v>
      </c>
      <c r="AF79" s="113">
        <v>0</v>
      </c>
      <c r="AG79" s="28">
        <f>G79-O79</f>
        <v>0</v>
      </c>
      <c r="AH79" s="58">
        <f>IF(ISERROR(AG79/B79*AF79),0,(AG79/B79*AF79))</f>
        <v>0</v>
      </c>
      <c r="AI79" s="28">
        <f>SUM(H79:M79)</f>
        <v>0</v>
      </c>
      <c r="AJ79" s="28">
        <f>IF(ISERROR(AI79/B79*AF79),0,(AI79/B79*AF79))</f>
        <v>0</v>
      </c>
      <c r="AK79" s="58">
        <f>IF(ISERROR(O79/B79*AF79),0,(O79/B79*AF79))</f>
        <v>0</v>
      </c>
      <c r="AL79" s="28">
        <f>IF(ISERROR(H79/B79*AF79),0,(H79/B79*AF79))</f>
        <v>0</v>
      </c>
      <c r="AN79" s="51">
        <f>A79</f>
        <v>0</v>
      </c>
      <c r="AO79" s="57">
        <f>IF(ISERROR(IF(B79=C79,D79/C79,(INT(D79/B79)+(((D79-B79*INT(D79/B79)))/C79)/100))),0,(IF(B79=C79,D79/C79,(INT(D79/B79)+(((D79-B79*INT(D79/B79)))/C79)/100))))</f>
        <v>0</v>
      </c>
      <c r="AP79" s="57">
        <f>IF(ISERROR(IF(B79=C79,E79/C79,(INT(E79/B79)+(((E79-B79*INT(E79/B79)))/C79)/100))),0,(IF(B79=C79,E79/C79,(INT(E79/B79)+(((E79-B79*INT(E79/B79)))/C79)/100))))</f>
        <v>0</v>
      </c>
      <c r="AQ79" s="57">
        <f>IF(ISERROR(IF(B79=C79,F79/C79,IF((INT(F79/B79)+(((F79-B79*INT(F79/B79)))/C79)/100)&lt;0,(INT(F79/B79)+(((F79-B79*INT(F79/B79)))/C79)/100)+(1-(B79/C79/100)),(INT(F79/B79)+(((F79-B79*INT(F79/B79)))/C79)/100)))),0,IF(B79=C79,F79/C79,IF((INT(F79/B79)+(((F79-B79*INT(F79/B79)))/C79)/100)&lt;0,(INT(F79/B79)+(((F79-B79*INT(F79/B79)))/C79)/100)+(1-(B79/C79/100)),(INT(F79/B79)+(((F79-B79*INT(F79/B79)))/C79)/100))))</f>
        <v>0</v>
      </c>
      <c r="AR79" s="57">
        <f>IF(ISERROR(IF(B79=C79,G79/C79,(INT(G79/B79)+(((G79-B79*INT(G79/B79)))/C79)/100))),0,(IF(B79=C79,G79/C79,(INT(G79/B79)+(((G79-B79*INT(G79/B79)))/C79)/100))))</f>
        <v>0</v>
      </c>
      <c r="AS79" s="57">
        <f>IF(ISERROR(IF(B79=C79,H79/C79,(INT(H79/B79)+(((H79-B79*INT(H79/B79)))/C79)/100))),0,(IF(B79=C79,H79/C79,(INT(H79/B79)+(((H79-B79*INT(H79/B79)))/C79)/100))))</f>
        <v>0</v>
      </c>
      <c r="AT79" s="57">
        <f>IF(ISERROR(IF(B79=C79,I79/C79,(INT(I79/B79)+(((I79-B79*INT(I79/B79)))/C79)/100))),0,(IF(B79=C79,I79/C79,(INT(I79/B79)+(((I79-B79*INT(I79/B79)))/C79)/100))))</f>
        <v>0</v>
      </c>
      <c r="AU79" s="57">
        <f>IF(ISERROR(IF(B79=C79,J79/C79,(INT(J79/B79)+(((J79-B79*INT(J79/B79)))/C79)/100))),0,(IF(B79=C79,J79/C79,(INT(J79/B79)+(((J79-B79*INT(J79/B79)))/C79)/100))))</f>
        <v>0</v>
      </c>
      <c r="AV79" s="57">
        <f>IF(ISERROR(IF(B79=C79,K79/C79,IF((INT(K79/B79)+(((K79-B79*INT(K79/B79)))/C79)/100)&lt;0,(INT(K79/B79)+(((K79-B79*INT(K79/B79)))/C79)/100)+(1-(B79/C79/100)),(INT(K79/B79)+(((K79-B79*INT(K79/B79)))/C79)/100)))),0,IF(B79=C79,K79/C79,IF((INT(K79/B79)+(((K79-B79*INT(K79/B79)))/C79)/100)&lt;0,(INT(K79/B79)+(((K79-B79*INT(K79/B79)))/C79)/100)+(1-(B79/C79/100)),(INT(K79/B79)+(((K79-B79*INT(K79/B79)))/C79)/100))))</f>
        <v>0</v>
      </c>
      <c r="AW79" s="57">
        <f>IF(ISERROR(IF(B79=C79,L79/C79,(INT(L79/B79)+(((L79-B79*INT(L79/B79)))/C79)/100))),0,(IF(B79=C79,L79/C79,(INT(L79/B79)+(((L79-B79*INT(L79/B79)))/C79)/100))))</f>
        <v>0</v>
      </c>
      <c r="AX79" s="57">
        <f>IF(ISERROR(IF(B79=C79,M79/C79,(INT(M79/B79)+(((M79-B79*INT(M79/B79)))/C79)/100))),0,(IF(B79=C79,M79/C79,(INT(M79/B79)+(((M79-B79*INT(M79/B79)))/C79)/100))))</f>
        <v>0</v>
      </c>
      <c r="AY79" s="57">
        <f>IF(ISERROR(IF(B79=C79,N79/C79,IF((INT(N79/B79)+(((N79-B79*INT(N79/B79)))/C79)/100)&lt;0,(INT(N79/B79)+(((N79-B79*INT(N79/B79)))/C79)/100)+(1-(B79/C79/100)),(INT(N79/B79)+(((N79-B79*INT(N79/B79)))/C79)/100)))),0,IF(B79=C79,N79/C79,IF((INT(N79/B79)+(((N79-B79*INT(N79/B79)))/C79)/100)&lt;0,(INT(N79/B79)+(((N79-B79*INT(N79/B79)))/C79)/100)+(1-(B79/C79/100)),(INT(N79/B79)+(((N79-B79*INT(N79/B79)))/C79)/100))))</f>
        <v>0</v>
      </c>
      <c r="AZ79" s="57">
        <f>IF(ISERROR(IF(B79=C79,O79/C79,(INT(O79/B79)+(((O79-B79*INT(O79/B79)))/C79)/100))),0,(IF(B79=C79,O79/C79,(INT(O79/B79)+(((O79-B79*INT(O79/B79)))/C79)/100))))</f>
        <v>0</v>
      </c>
      <c r="BA79" s="57">
        <f>IF(ISERROR(IF(B79=C79,P79/C79,IF((INT(P79/B79)+(((P79-B79*INT(P79/B79)))/C79)/100)&lt;0,(INT(P79/B79)+(((P79-B79*INT(P79/B79)))/C79)/100)+(1-(B79/C79/100)),(INT(P79/B79)+(((P79-B79*INT(P79/B79)))/C79)/100)))),0,IF(B79=C79,P79/C79,IF((INT(P79/B79)+(((P79-B79*INT(P79/B79)))/C79)/100)&lt;0,(INT(P79/B79)+(((P79-B79*INT(P79/B79)))/C79)/100)+(1-(B79/C79/100)),(INT(P79/B79)+(((P79-B79*INT(P79/B79)))/C79)/100))))</f>
        <v>0</v>
      </c>
      <c r="BB79" s="28">
        <f>R79</f>
        <v>0</v>
      </c>
      <c r="BC79" s="28">
        <f>S79</f>
        <v>0</v>
      </c>
      <c r="BD79" s="28">
        <f>AF79</f>
        <v>0</v>
      </c>
      <c r="BE79" s="28">
        <f>T79</f>
        <v>0</v>
      </c>
      <c r="BG79" s="57">
        <f>IF(ISERROR(IF(B79=C79,V79/C79,(INT(V79/B79)+(((V79-B79*INT(V79/B79)))/C79)/100))),0,(IF(B79=C79,V79/C79,(INT(V79/B79)+(((V79-B79*INT(V79/B79)))/C79)/100))))</f>
        <v>0</v>
      </c>
      <c r="BH79" s="57">
        <f>IF(ISERROR(IF(B79=C79,W79/C79,(INT(W79/B79)+(((W79-B79*INT(W79/B79)))/C79)/100))),0,(IF(B79=C79,W79/C79,(INT(W79/B79)+(((W79-B79*INT(W79/B79)))/C79)/100))))</f>
        <v>0</v>
      </c>
      <c r="BI79" s="57">
        <f>IF(ISERROR(IF(B79=C79,X79/C79,(INT(X79/B79)+(((X79-B79*INT(X79/B79)))/C79)/100))),0,(IF(B79=C79,X79/C79,(INT(X79/B79)+(((X79-B79*INT(X79/B79)))/C79)/100))))</f>
        <v>0</v>
      </c>
      <c r="BJ79" s="57">
        <f>IF(ISERROR(IF(B79=C79,Y79/C79,(INT(Y79/B79)+(((Y79-B79*INT(Y79/B79)))/C79)/100))),0,(IF(B79=C79,Y79/C79,(INT(Y79/B79)+(((Y79-B79*INT(Y79/B79)))/C79)/100))))</f>
        <v>0</v>
      </c>
      <c r="BL79" s="57">
        <f>IF(ISERROR(IF(B79=C79,AA79/C79,(INT(AA79/B79)+(((AA79-B79*INT(AA79/B79)))/C79)/100))),0,(IF(B79=C79,AA79/C79,(INT(AA79/B79)+(((AA79-B79*INT(AA79/B79)))/C79)/100))))</f>
        <v>0</v>
      </c>
      <c r="BM79" s="57">
        <f>IF(ISERROR(IF(B79=C79,AB79/C79,(INT(AB79/B79)+(((AB79-B79*INT(AB79/B79)))/C79)/100))),0,(IF(B79=C79,AB79/C79,(INT(AB79/B79)+(((AB79-B79*INT(AB79/B79)))/C79)/100))))</f>
        <v>0</v>
      </c>
      <c r="BN79" s="57">
        <f>IF(ISERROR(IF(B79=C79,AC79/C79,(INT(AC79/B79)+(((AC79-B79*INT(AC79/B79)))/C79)/100))),0,(IF(B79=C79,AC79/C79,(INT(AC79/B79)+(((AC79-B79*INT(AC79/B79)))/C79)/100))))</f>
        <v>0</v>
      </c>
      <c r="BO79" s="57">
        <f>IF(ISERROR(IF(B79=C79,AD79/C79,(INT(AD79/B79)+(((AD79-B79*INT(AD79/B79)))/C79)/100))),0,(IF(B79=C79,AD79/C79,(INT(AD79/B79)+(((AD79-B79*INT(AD79/B79)))/C79)/100))))</f>
        <v>0</v>
      </c>
      <c r="BQ79" s="155"/>
    </row>
    <row r="80" spans="1:69" hidden="1" x14ac:dyDescent="0.35">
      <c r="A80" s="94"/>
      <c r="B80" s="113">
        <v>0</v>
      </c>
      <c r="C80" s="113">
        <v>0</v>
      </c>
      <c r="D80" s="28">
        <f>SUM(AA80:AD80)</f>
        <v>0</v>
      </c>
      <c r="E80" s="113">
        <v>0</v>
      </c>
      <c r="F80" s="113">
        <v>0</v>
      </c>
      <c r="G80" s="28">
        <f>SUM(D80:F80)</f>
        <v>0</v>
      </c>
      <c r="H80" s="125">
        <v>0</v>
      </c>
      <c r="I80" s="113">
        <v>0</v>
      </c>
      <c r="J80" s="125">
        <v>0</v>
      </c>
      <c r="K80" s="113">
        <v>0</v>
      </c>
      <c r="L80" s="113">
        <v>0</v>
      </c>
      <c r="M80" s="113">
        <v>0</v>
      </c>
      <c r="N80" s="28">
        <f>G80-SUM(H80:M80)</f>
        <v>0</v>
      </c>
      <c r="O80" s="28">
        <f>SUM(V80:Y80)</f>
        <v>0</v>
      </c>
      <c r="P80" s="28">
        <f>O80-N80</f>
        <v>0</v>
      </c>
      <c r="Q80" s="61" t="str">
        <f>IF(ISERROR(P80/SUM(H80:L80)),"",P80/SUM(H80:L80))</f>
        <v/>
      </c>
      <c r="R80" s="113">
        <v>0</v>
      </c>
      <c r="S80" s="28">
        <f>IF(ISERROR(P80/C80*R80),0,(P80/C80*R80))</f>
        <v>0</v>
      </c>
      <c r="T80" s="60">
        <f>IF(ISERROR(P80/B80*AF80),0,(P80/B80*AF80))</f>
        <v>0</v>
      </c>
      <c r="V80" s="113">
        <v>0</v>
      </c>
      <c r="W80" s="113">
        <v>0</v>
      </c>
      <c r="X80" s="113">
        <v>0</v>
      </c>
      <c r="Y80" s="113">
        <v>0</v>
      </c>
      <c r="AA80" s="113">
        <v>0</v>
      </c>
      <c r="AB80" s="113">
        <v>0</v>
      </c>
      <c r="AC80" s="113">
        <v>0</v>
      </c>
      <c r="AD80" s="113">
        <v>0</v>
      </c>
      <c r="AF80" s="113">
        <v>0</v>
      </c>
      <c r="AG80" s="28">
        <f>G80-O80</f>
        <v>0</v>
      </c>
      <c r="AH80" s="58">
        <f>IF(ISERROR(AG80/B80*AF80),0,(AG80/B80*AF80))</f>
        <v>0</v>
      </c>
      <c r="AI80" s="28">
        <f>SUM(H80:M80)</f>
        <v>0</v>
      </c>
      <c r="AJ80" s="28">
        <f>IF(ISERROR(AI80/B80*AF80),0,(AI80/B80*AF80))</f>
        <v>0</v>
      </c>
      <c r="AK80" s="58">
        <f>IF(ISERROR(O80/B80*AF80),0,(O80/B80*AF80))</f>
        <v>0</v>
      </c>
      <c r="AL80" s="28">
        <f>IF(ISERROR(H80/B80*AF80),0,(H80/B80*AF80))</f>
        <v>0</v>
      </c>
      <c r="AN80" s="51">
        <f>A80</f>
        <v>0</v>
      </c>
      <c r="AO80" s="57">
        <f>IF(ISERROR(IF(B80=C80,D80/C80,(INT(D80/B80)+(((D80-B80*INT(D80/B80)))/C80)/100))),0,(IF(B80=C80,D80/C80,(INT(D80/B80)+(((D80-B80*INT(D80/B80)))/C80)/100))))</f>
        <v>0</v>
      </c>
      <c r="AP80" s="57">
        <f>IF(ISERROR(IF(B80=C80,E80/C80,(INT(E80/B80)+(((E80-B80*INT(E80/B80)))/C80)/100))),0,(IF(B80=C80,E80/C80,(INT(E80/B80)+(((E80-B80*INT(E80/B80)))/C80)/100))))</f>
        <v>0</v>
      </c>
      <c r="AQ80" s="57">
        <f>IF(ISERROR(IF(B80=C80,F80/C80,IF((INT(F80/B80)+(((F80-B80*INT(F80/B80)))/C80)/100)&lt;0,(INT(F80/B80)+(((F80-B80*INT(F80/B80)))/C80)/100)+(1-(B80/C80/100)),(INT(F80/B80)+(((F80-B80*INT(F80/B80)))/C80)/100)))),0,IF(B80=C80,F80/C80,IF((INT(F80/B80)+(((F80-B80*INT(F80/B80)))/C80)/100)&lt;0,(INT(F80/B80)+(((F80-B80*INT(F80/B80)))/C80)/100)+(1-(B80/C80/100)),(INT(F80/B80)+(((F80-B80*INT(F80/B80)))/C80)/100))))</f>
        <v>0</v>
      </c>
      <c r="AR80" s="57">
        <f>IF(ISERROR(IF(B80=C80,G80/C80,(INT(G80/B80)+(((G80-B80*INT(G80/B80)))/C80)/100))),0,(IF(B80=C80,G80/C80,(INT(G80/B80)+(((G80-B80*INT(G80/B80)))/C80)/100))))</f>
        <v>0</v>
      </c>
      <c r="AS80" s="57">
        <f>IF(ISERROR(IF(B80=C80,H80/C80,(INT(H80/B80)+(((H80-B80*INT(H80/B80)))/C80)/100))),0,(IF(B80=C80,H80/C80,(INT(H80/B80)+(((H80-B80*INT(H80/B80)))/C80)/100))))</f>
        <v>0</v>
      </c>
      <c r="AT80" s="57">
        <f>IF(ISERROR(IF(B80=C80,I80/C80,(INT(I80/B80)+(((I80-B80*INT(I80/B80)))/C80)/100))),0,(IF(B80=C80,I80/C80,(INT(I80/B80)+(((I80-B80*INT(I80/B80)))/C80)/100))))</f>
        <v>0</v>
      </c>
      <c r="AU80" s="57">
        <f>IF(ISERROR(IF(B80=C80,J80/C80,(INT(J80/B80)+(((J80-B80*INT(J80/B80)))/C80)/100))),0,(IF(B80=C80,J80/C80,(INT(J80/B80)+(((J80-B80*INT(J80/B80)))/C80)/100))))</f>
        <v>0</v>
      </c>
      <c r="AV80" s="57">
        <f>IF(ISERROR(IF(B80=C80,K80/C80,IF((INT(K80/B80)+(((K80-B80*INT(K80/B80)))/C80)/100)&lt;0,(INT(K80/B80)+(((K80-B80*INT(K80/B80)))/C80)/100)+(1-(B80/C80/100)),(INT(K80/B80)+(((K80-B80*INT(K80/B80)))/C80)/100)))),0,IF(B80=C80,K80/C80,IF((INT(K80/B80)+(((K80-B80*INT(K80/B80)))/C80)/100)&lt;0,(INT(K80/B80)+(((K80-B80*INT(K80/B80)))/C80)/100)+(1-(B80/C80/100)),(INT(K80/B80)+(((K80-B80*INT(K80/B80)))/C80)/100))))</f>
        <v>0</v>
      </c>
      <c r="AW80" s="57">
        <f>IF(ISERROR(IF(B80=C80,L80/C80,(INT(L80/B80)+(((L80-B80*INT(L80/B80)))/C80)/100))),0,(IF(B80=C80,L80/C80,(INT(L80/B80)+(((L80-B80*INT(L80/B80)))/C80)/100))))</f>
        <v>0</v>
      </c>
      <c r="AX80" s="57">
        <f>IF(ISERROR(IF(B80=C80,M80/C80,(INT(M80/B80)+(((M80-B80*INT(M80/B80)))/C80)/100))),0,(IF(B80=C80,M80/C80,(INT(M80/B80)+(((M80-B80*INT(M80/B80)))/C80)/100))))</f>
        <v>0</v>
      </c>
      <c r="AY80" s="57">
        <f>IF(ISERROR(IF(B80=C80,N80/C80,IF((INT(N80/B80)+(((N80-B80*INT(N80/B80)))/C80)/100)&lt;0,(INT(N80/B80)+(((N80-B80*INT(N80/B80)))/C80)/100)+(1-(B80/C80/100)),(INT(N80/B80)+(((N80-B80*INT(N80/B80)))/C80)/100)))),0,IF(B80=C80,N80/C80,IF((INT(N80/B80)+(((N80-B80*INT(N80/B80)))/C80)/100)&lt;0,(INT(N80/B80)+(((N80-B80*INT(N80/B80)))/C80)/100)+(1-(B80/C80/100)),(INT(N80/B80)+(((N80-B80*INT(N80/B80)))/C80)/100))))</f>
        <v>0</v>
      </c>
      <c r="AZ80" s="57">
        <f>IF(ISERROR(IF(B80=C80,O80/C80,(INT(O80/B80)+(((O80-B80*INT(O80/B80)))/C80)/100))),0,(IF(B80=C80,O80/C80,(INT(O80/B80)+(((O80-B80*INT(O80/B80)))/C80)/100))))</f>
        <v>0</v>
      </c>
      <c r="BA80" s="57">
        <f>IF(ISERROR(IF(B80=C80,P80/C80,IF((INT(P80/B80)+(((P80-B80*INT(P80/B80)))/C80)/100)&lt;0,(INT(P80/B80)+(((P80-B80*INT(P80/B80)))/C80)/100)+(1-(B80/C80/100)),(INT(P80/B80)+(((P80-B80*INT(P80/B80)))/C80)/100)))),0,IF(B80=C80,P80/C80,IF((INT(P80/B80)+(((P80-B80*INT(P80/B80)))/C80)/100)&lt;0,(INT(P80/B80)+(((P80-B80*INT(P80/B80)))/C80)/100)+(1-(B80/C80/100)),(INT(P80/B80)+(((P80-B80*INT(P80/B80)))/C80)/100))))</f>
        <v>0</v>
      </c>
      <c r="BB80" s="28">
        <f>R80</f>
        <v>0</v>
      </c>
      <c r="BC80" s="28">
        <f>S80</f>
        <v>0</v>
      </c>
      <c r="BD80" s="28">
        <f>AF80</f>
        <v>0</v>
      </c>
      <c r="BE80" s="28">
        <f>T80</f>
        <v>0</v>
      </c>
      <c r="BG80" s="57">
        <f>IF(ISERROR(IF(B80=C80,V80/C80,(INT(V80/B80)+(((V80-B80*INT(V80/B80)))/C80)/100))),0,(IF(B80=C80,V80/C80,(INT(V80/B80)+(((V80-B80*INT(V80/B80)))/C80)/100))))</f>
        <v>0</v>
      </c>
      <c r="BH80" s="57">
        <f>IF(ISERROR(IF(B80=C80,W80/C80,(INT(W80/B80)+(((W80-B80*INT(W80/B80)))/C80)/100))),0,(IF(B80=C80,W80/C80,(INT(W80/B80)+(((W80-B80*INT(W80/B80)))/C80)/100))))</f>
        <v>0</v>
      </c>
      <c r="BI80" s="57">
        <f>IF(ISERROR(IF(B80=C80,X80/C80,(INT(X80/B80)+(((X80-B80*INT(X80/B80)))/C80)/100))),0,(IF(B80=C80,X80/C80,(INT(X80/B80)+(((X80-B80*INT(X80/B80)))/C80)/100))))</f>
        <v>0</v>
      </c>
      <c r="BJ80" s="57">
        <f>IF(ISERROR(IF(B80=C80,Y80/C80,(INT(Y80/B80)+(((Y80-B80*INT(Y80/B80)))/C80)/100))),0,(IF(B80=C80,Y80/C80,(INT(Y80/B80)+(((Y80-B80*INT(Y80/B80)))/C80)/100))))</f>
        <v>0</v>
      </c>
      <c r="BL80" s="57">
        <f>IF(ISERROR(IF(B80=C80,AA80/C80,(INT(AA80/B80)+(((AA80-B80*INT(AA80/B80)))/C80)/100))),0,(IF(B80=C80,AA80/C80,(INT(AA80/B80)+(((AA80-B80*INT(AA80/B80)))/C80)/100))))</f>
        <v>0</v>
      </c>
      <c r="BM80" s="57">
        <f>IF(ISERROR(IF(B80=C80,AB80/C80,(INT(AB80/B80)+(((AB80-B80*INT(AB80/B80)))/C80)/100))),0,(IF(B80=C80,AB80/C80,(INT(AB80/B80)+(((AB80-B80*INT(AB80/B80)))/C80)/100))))</f>
        <v>0</v>
      </c>
      <c r="BN80" s="57">
        <f>IF(ISERROR(IF(B80=C80,AC80/C80,(INT(AC80/B80)+(((AC80-B80*INT(AC80/B80)))/C80)/100))),0,(IF(B80=C80,AC80/C80,(INT(AC80/B80)+(((AC80-B80*INT(AC80/B80)))/C80)/100))))</f>
        <v>0</v>
      </c>
      <c r="BO80" s="57">
        <f>IF(ISERROR(IF(B80=C80,AD80/C80,(INT(AD80/B80)+(((AD80-B80*INT(AD80/B80)))/C80)/100))),0,(IF(B80=C80,AD80/C80,(INT(AD80/B80)+(((AD80-B80*INT(AD80/B80)))/C80)/100))))</f>
        <v>0</v>
      </c>
      <c r="BQ80" s="155"/>
    </row>
    <row r="81" spans="1:69" hidden="1" x14ac:dyDescent="0.35">
      <c r="A81" s="94"/>
      <c r="B81" s="113">
        <v>0</v>
      </c>
      <c r="C81" s="113">
        <v>0</v>
      </c>
      <c r="D81" s="28">
        <f>SUM(AA81:AD81)</f>
        <v>0</v>
      </c>
      <c r="E81" s="113">
        <v>0</v>
      </c>
      <c r="F81" s="113">
        <v>0</v>
      </c>
      <c r="G81" s="28">
        <f>SUM(D81:F81)</f>
        <v>0</v>
      </c>
      <c r="H81" s="125">
        <v>0</v>
      </c>
      <c r="I81" s="113">
        <v>0</v>
      </c>
      <c r="J81" s="125">
        <v>0</v>
      </c>
      <c r="K81" s="113">
        <v>0</v>
      </c>
      <c r="L81" s="113">
        <v>0</v>
      </c>
      <c r="M81" s="113">
        <v>0</v>
      </c>
      <c r="N81" s="28">
        <f>G81-SUM(H81:M81)</f>
        <v>0</v>
      </c>
      <c r="O81" s="28">
        <f>SUM(V81:Y81)</f>
        <v>0</v>
      </c>
      <c r="P81" s="28">
        <f>O81-N81</f>
        <v>0</v>
      </c>
      <c r="Q81" s="61" t="str">
        <f>IF(ISERROR(P81/SUM(H81:L81)),"",P81/SUM(H81:L81))</f>
        <v/>
      </c>
      <c r="R81" s="113">
        <v>0</v>
      </c>
      <c r="S81" s="28">
        <f>IF(ISERROR(P81/C81*R81),0,(P81/C81*R81))</f>
        <v>0</v>
      </c>
      <c r="T81" s="60">
        <f>IF(ISERROR(P81/B81*AF81),0,(P81/B81*AF81))</f>
        <v>0</v>
      </c>
      <c r="V81" s="113">
        <v>0</v>
      </c>
      <c r="W81" s="113">
        <v>0</v>
      </c>
      <c r="X81" s="113">
        <v>0</v>
      </c>
      <c r="Y81" s="113">
        <v>0</v>
      </c>
      <c r="AA81" s="113">
        <v>0</v>
      </c>
      <c r="AB81" s="113">
        <v>0</v>
      </c>
      <c r="AC81" s="113">
        <v>0</v>
      </c>
      <c r="AD81" s="113">
        <v>0</v>
      </c>
      <c r="AF81" s="113">
        <v>0</v>
      </c>
      <c r="AG81" s="28">
        <f>G81-O81</f>
        <v>0</v>
      </c>
      <c r="AH81" s="58">
        <f>IF(ISERROR(AG81/B81*AF81),0,(AG81/B81*AF81))</f>
        <v>0</v>
      </c>
      <c r="AI81" s="28">
        <f>SUM(H81:M81)</f>
        <v>0</v>
      </c>
      <c r="AJ81" s="28">
        <f>IF(ISERROR(AI81/B81*AF81),0,(AI81/B81*AF81))</f>
        <v>0</v>
      </c>
      <c r="AK81" s="58">
        <f>IF(ISERROR(O81/B81*AF81),0,(O81/B81*AF81))</f>
        <v>0</v>
      </c>
      <c r="AL81" s="28">
        <f>IF(ISERROR(H81/B81*AF81),0,(H81/B81*AF81))</f>
        <v>0</v>
      </c>
      <c r="AN81" s="51">
        <f>A81</f>
        <v>0</v>
      </c>
      <c r="AO81" s="57">
        <f>IF(ISERROR(IF(B81=C81,D81/C81,(INT(D81/B81)+(((D81-B81*INT(D81/B81)))/C81)/100))),0,(IF(B81=C81,D81/C81,(INT(D81/B81)+(((D81-B81*INT(D81/B81)))/C81)/100))))</f>
        <v>0</v>
      </c>
      <c r="AP81" s="57">
        <f>IF(ISERROR(IF(B81=C81,E81/C81,(INT(E81/B81)+(((E81-B81*INT(E81/B81)))/C81)/100))),0,(IF(B81=C81,E81/C81,(INT(E81/B81)+(((E81-B81*INT(E81/B81)))/C81)/100))))</f>
        <v>0</v>
      </c>
      <c r="AQ81" s="57">
        <f>IF(ISERROR(IF(B81=C81,F81/C81,IF((INT(F81/B81)+(((F81-B81*INT(F81/B81)))/C81)/100)&lt;0,(INT(F81/B81)+(((F81-B81*INT(F81/B81)))/C81)/100)+(1-(B81/C81/100)),(INT(F81/B81)+(((F81-B81*INT(F81/B81)))/C81)/100)))),0,IF(B81=C81,F81/C81,IF((INT(F81/B81)+(((F81-B81*INT(F81/B81)))/C81)/100)&lt;0,(INT(F81/B81)+(((F81-B81*INT(F81/B81)))/C81)/100)+(1-(B81/C81/100)),(INT(F81/B81)+(((F81-B81*INT(F81/B81)))/C81)/100))))</f>
        <v>0</v>
      </c>
      <c r="AR81" s="57">
        <f>IF(ISERROR(IF(B81=C81,G81/C81,(INT(G81/B81)+(((G81-B81*INT(G81/B81)))/C81)/100))),0,(IF(B81=C81,G81/C81,(INT(G81/B81)+(((G81-B81*INT(G81/B81)))/C81)/100))))</f>
        <v>0</v>
      </c>
      <c r="AS81" s="57">
        <f>IF(ISERROR(IF(B81=C81,H81/C81,(INT(H81/B81)+(((H81-B81*INT(H81/B81)))/C81)/100))),0,(IF(B81=C81,H81/C81,(INT(H81/B81)+(((H81-B81*INT(H81/B81)))/C81)/100))))</f>
        <v>0</v>
      </c>
      <c r="AT81" s="57">
        <f>IF(ISERROR(IF(B81=C81,I81/C81,(INT(I81/B81)+(((I81-B81*INT(I81/B81)))/C81)/100))),0,(IF(B81=C81,I81/C81,(INT(I81/B81)+(((I81-B81*INT(I81/B81)))/C81)/100))))</f>
        <v>0</v>
      </c>
      <c r="AU81" s="57">
        <f>IF(ISERROR(IF(B81=C81,J81/C81,(INT(J81/B81)+(((J81-B81*INT(J81/B81)))/C81)/100))),0,(IF(B81=C81,J81/C81,(INT(J81/B81)+(((J81-B81*INT(J81/B81)))/C81)/100))))</f>
        <v>0</v>
      </c>
      <c r="AV81" s="57">
        <f>IF(ISERROR(IF(B81=C81,K81/C81,IF((INT(K81/B81)+(((K81-B81*INT(K81/B81)))/C81)/100)&lt;0,(INT(K81/B81)+(((K81-B81*INT(K81/B81)))/C81)/100)+(1-(B81/C81/100)),(INT(K81/B81)+(((K81-B81*INT(K81/B81)))/C81)/100)))),0,IF(B81=C81,K81/C81,IF((INT(K81/B81)+(((K81-B81*INT(K81/B81)))/C81)/100)&lt;0,(INT(K81/B81)+(((K81-B81*INT(K81/B81)))/C81)/100)+(1-(B81/C81/100)),(INT(K81/B81)+(((K81-B81*INT(K81/B81)))/C81)/100))))</f>
        <v>0</v>
      </c>
      <c r="AW81" s="57">
        <f>IF(ISERROR(IF(B81=C81,L81/C81,(INT(L81/B81)+(((L81-B81*INT(L81/B81)))/C81)/100))),0,(IF(B81=C81,L81/C81,(INT(L81/B81)+(((L81-B81*INT(L81/B81)))/C81)/100))))</f>
        <v>0</v>
      </c>
      <c r="AX81" s="57">
        <f>IF(ISERROR(IF(B81=C81,M81/C81,(INT(M81/B81)+(((M81-B81*INT(M81/B81)))/C81)/100))),0,(IF(B81=C81,M81/C81,(INT(M81/B81)+(((M81-B81*INT(M81/B81)))/C81)/100))))</f>
        <v>0</v>
      </c>
      <c r="AY81" s="57">
        <f>IF(ISERROR(IF(B81=C81,N81/C81,IF((INT(N81/B81)+(((N81-B81*INT(N81/B81)))/C81)/100)&lt;0,(INT(N81/B81)+(((N81-B81*INT(N81/B81)))/C81)/100)+(1-(B81/C81/100)),(INT(N81/B81)+(((N81-B81*INT(N81/B81)))/C81)/100)))),0,IF(B81=C81,N81/C81,IF((INT(N81/B81)+(((N81-B81*INT(N81/B81)))/C81)/100)&lt;0,(INT(N81/B81)+(((N81-B81*INT(N81/B81)))/C81)/100)+(1-(B81/C81/100)),(INT(N81/B81)+(((N81-B81*INT(N81/B81)))/C81)/100))))</f>
        <v>0</v>
      </c>
      <c r="AZ81" s="57">
        <f>IF(ISERROR(IF(B81=C81,O81/C81,(INT(O81/B81)+(((O81-B81*INT(O81/B81)))/C81)/100))),0,(IF(B81=C81,O81/C81,(INT(O81/B81)+(((O81-B81*INT(O81/B81)))/C81)/100))))</f>
        <v>0</v>
      </c>
      <c r="BA81" s="57">
        <f>IF(ISERROR(IF(B81=C81,P81/C81,IF((INT(P81/B81)+(((P81-B81*INT(P81/B81)))/C81)/100)&lt;0,(INT(P81/B81)+(((P81-B81*INT(P81/B81)))/C81)/100)+(1-(B81/C81/100)),(INT(P81/B81)+(((P81-B81*INT(P81/B81)))/C81)/100)))),0,IF(B81=C81,P81/C81,IF((INT(P81/B81)+(((P81-B81*INT(P81/B81)))/C81)/100)&lt;0,(INT(P81/B81)+(((P81-B81*INT(P81/B81)))/C81)/100)+(1-(B81/C81/100)),(INT(P81/B81)+(((P81-B81*INT(P81/B81)))/C81)/100))))</f>
        <v>0</v>
      </c>
      <c r="BB81" s="28">
        <f>R81</f>
        <v>0</v>
      </c>
      <c r="BC81" s="28">
        <f>S81</f>
        <v>0</v>
      </c>
      <c r="BD81" s="28">
        <f>AF81</f>
        <v>0</v>
      </c>
      <c r="BE81" s="28">
        <f>T81</f>
        <v>0</v>
      </c>
      <c r="BG81" s="57">
        <f>IF(ISERROR(IF(B81=C81,V81/C81,(INT(V81/B81)+(((V81-B81*INT(V81/B81)))/C81)/100))),0,(IF(B81=C81,V81/C81,(INT(V81/B81)+(((V81-B81*INT(V81/B81)))/C81)/100))))</f>
        <v>0</v>
      </c>
      <c r="BH81" s="57">
        <f>IF(ISERROR(IF(B81=C81,W81/C81,(INT(W81/B81)+(((W81-B81*INT(W81/B81)))/C81)/100))),0,(IF(B81=C81,W81/C81,(INT(W81/B81)+(((W81-B81*INT(W81/B81)))/C81)/100))))</f>
        <v>0</v>
      </c>
      <c r="BI81" s="57">
        <f>IF(ISERROR(IF(B81=C81,X81/C81,(INT(X81/B81)+(((X81-B81*INT(X81/B81)))/C81)/100))),0,(IF(B81=C81,X81/C81,(INT(X81/B81)+(((X81-B81*INT(X81/B81)))/C81)/100))))</f>
        <v>0</v>
      </c>
      <c r="BJ81" s="57">
        <f>IF(ISERROR(IF(B81=C81,Y81/C81,(INT(Y81/B81)+(((Y81-B81*INT(Y81/B81)))/C81)/100))),0,(IF(B81=C81,Y81/C81,(INT(Y81/B81)+(((Y81-B81*INT(Y81/B81)))/C81)/100))))</f>
        <v>0</v>
      </c>
      <c r="BL81" s="57">
        <f>IF(ISERROR(IF(B81=C81,AA81/C81,(INT(AA81/B81)+(((AA81-B81*INT(AA81/B81)))/C81)/100))),0,(IF(B81=C81,AA81/C81,(INT(AA81/B81)+(((AA81-B81*INT(AA81/B81)))/C81)/100))))</f>
        <v>0</v>
      </c>
      <c r="BM81" s="57">
        <f>IF(ISERROR(IF(B81=C81,AB81/C81,(INT(AB81/B81)+(((AB81-B81*INT(AB81/B81)))/C81)/100))),0,(IF(B81=C81,AB81/C81,(INT(AB81/B81)+(((AB81-B81*INT(AB81/B81)))/C81)/100))))</f>
        <v>0</v>
      </c>
      <c r="BN81" s="57">
        <f>IF(ISERROR(IF(B81=C81,AC81/C81,(INT(AC81/B81)+(((AC81-B81*INT(AC81/B81)))/C81)/100))),0,(IF(B81=C81,AC81/C81,(INT(AC81/B81)+(((AC81-B81*INT(AC81/B81)))/C81)/100))))</f>
        <v>0</v>
      </c>
      <c r="BO81" s="57">
        <f>IF(ISERROR(IF(B81=C81,AD81/C81,(INT(AD81/B81)+(((AD81-B81*INT(AD81/B81)))/C81)/100))),0,(IF(B81=C81,AD81/C81,(INT(AD81/B81)+(((AD81-B81*INT(AD81/B81)))/C81)/100))))</f>
        <v>0</v>
      </c>
      <c r="BQ81" s="155"/>
    </row>
    <row r="82" spans="1:69" hidden="1" x14ac:dyDescent="0.35">
      <c r="A82" s="94"/>
      <c r="B82" s="113">
        <v>0</v>
      </c>
      <c r="C82" s="113">
        <v>0</v>
      </c>
      <c r="D82" s="28">
        <f>SUM(AA82:AD82)</f>
        <v>0</v>
      </c>
      <c r="E82" s="113">
        <v>0</v>
      </c>
      <c r="F82" s="113">
        <v>0</v>
      </c>
      <c r="G82" s="28">
        <f>SUM(D82:F82)</f>
        <v>0</v>
      </c>
      <c r="H82" s="125">
        <v>0</v>
      </c>
      <c r="I82" s="113">
        <v>0</v>
      </c>
      <c r="J82" s="125">
        <v>0</v>
      </c>
      <c r="K82" s="113">
        <v>0</v>
      </c>
      <c r="L82" s="113">
        <v>0</v>
      </c>
      <c r="M82" s="113">
        <v>0</v>
      </c>
      <c r="N82" s="28">
        <f>G82-SUM(H82:M82)</f>
        <v>0</v>
      </c>
      <c r="O82" s="28">
        <f>SUM(V82:Y82)</f>
        <v>0</v>
      </c>
      <c r="P82" s="28">
        <f>O82-N82</f>
        <v>0</v>
      </c>
      <c r="Q82" s="61" t="str">
        <f>IF(ISERROR(P82/SUM(H82:L82)),"",P82/SUM(H82:L82))</f>
        <v/>
      </c>
      <c r="R82" s="113">
        <v>0</v>
      </c>
      <c r="S82" s="28">
        <f>IF(ISERROR(P82/C82*R82),0,(P82/C82*R82))</f>
        <v>0</v>
      </c>
      <c r="T82" s="60">
        <f>IF(ISERROR(P82/B82*AF82),0,(P82/B82*AF82))</f>
        <v>0</v>
      </c>
      <c r="V82" s="113">
        <v>0</v>
      </c>
      <c r="W82" s="113">
        <v>0</v>
      </c>
      <c r="X82" s="113">
        <v>0</v>
      </c>
      <c r="Y82" s="113">
        <v>0</v>
      </c>
      <c r="AA82" s="113">
        <v>0</v>
      </c>
      <c r="AB82" s="113">
        <v>0</v>
      </c>
      <c r="AC82" s="113">
        <v>0</v>
      </c>
      <c r="AD82" s="113">
        <v>0</v>
      </c>
      <c r="AF82" s="113">
        <v>0</v>
      </c>
      <c r="AG82" s="28">
        <f>G82-O82</f>
        <v>0</v>
      </c>
      <c r="AH82" s="58">
        <f>IF(ISERROR(AG82/B82*AF82),0,(AG82/B82*AF82))</f>
        <v>0</v>
      </c>
      <c r="AI82" s="28">
        <f>SUM(H82:M82)</f>
        <v>0</v>
      </c>
      <c r="AJ82" s="28">
        <f>IF(ISERROR(AI82/B82*AF82),0,(AI82/B82*AF82))</f>
        <v>0</v>
      </c>
      <c r="AK82" s="58">
        <f>IF(ISERROR(O82/B82*AF82),0,(O82/B82*AF82))</f>
        <v>0</v>
      </c>
      <c r="AL82" s="28">
        <f>IF(ISERROR(H82/B82*AF82),0,(H82/B82*AF82))</f>
        <v>0</v>
      </c>
      <c r="AN82" s="51">
        <f>A82</f>
        <v>0</v>
      </c>
      <c r="AO82" s="57">
        <f>IF(ISERROR(IF(B82=C82,D82/C82,(INT(D82/B82)+(((D82-B82*INT(D82/B82)))/C82)/100))),0,(IF(B82=C82,D82/C82,(INT(D82/B82)+(((D82-B82*INT(D82/B82)))/C82)/100))))</f>
        <v>0</v>
      </c>
      <c r="AP82" s="57">
        <f>IF(ISERROR(IF(B82=C82,E82/C82,(INT(E82/B82)+(((E82-B82*INT(E82/B82)))/C82)/100))),0,(IF(B82=C82,E82/C82,(INT(E82/B82)+(((E82-B82*INT(E82/B82)))/C82)/100))))</f>
        <v>0</v>
      </c>
      <c r="AQ82" s="57">
        <f>IF(ISERROR(IF(B82=C82,F82/C82,IF((INT(F82/B82)+(((F82-B82*INT(F82/B82)))/C82)/100)&lt;0,(INT(F82/B82)+(((F82-B82*INT(F82/B82)))/C82)/100)+(1-(B82/C82/100)),(INT(F82/B82)+(((F82-B82*INT(F82/B82)))/C82)/100)))),0,IF(B82=C82,F82/C82,IF((INT(F82/B82)+(((F82-B82*INT(F82/B82)))/C82)/100)&lt;0,(INT(F82/B82)+(((F82-B82*INT(F82/B82)))/C82)/100)+(1-(B82/C82/100)),(INT(F82/B82)+(((F82-B82*INT(F82/B82)))/C82)/100))))</f>
        <v>0</v>
      </c>
      <c r="AR82" s="57">
        <f>IF(ISERROR(IF(B82=C82,G82/C82,(INT(G82/B82)+(((G82-B82*INT(G82/B82)))/C82)/100))),0,(IF(B82=C82,G82/C82,(INT(G82/B82)+(((G82-B82*INT(G82/B82)))/C82)/100))))</f>
        <v>0</v>
      </c>
      <c r="AS82" s="57">
        <f>IF(ISERROR(IF(B82=C82,H82/C82,(INT(H82/B82)+(((H82-B82*INT(H82/B82)))/C82)/100))),0,(IF(B82=C82,H82/C82,(INT(H82/B82)+(((H82-B82*INT(H82/B82)))/C82)/100))))</f>
        <v>0</v>
      </c>
      <c r="AT82" s="57">
        <f>IF(ISERROR(IF(B82=C82,I82/C82,(INT(I82/B82)+(((I82-B82*INT(I82/B82)))/C82)/100))),0,(IF(B82=C82,I82/C82,(INT(I82/B82)+(((I82-B82*INT(I82/B82)))/C82)/100))))</f>
        <v>0</v>
      </c>
      <c r="AU82" s="57">
        <f>IF(ISERROR(IF(B82=C82,J82/C82,(INT(J82/B82)+(((J82-B82*INT(J82/B82)))/C82)/100))),0,(IF(B82=C82,J82/C82,(INT(J82/B82)+(((J82-B82*INT(J82/B82)))/C82)/100))))</f>
        <v>0</v>
      </c>
      <c r="AV82" s="57">
        <f>IF(ISERROR(IF(B82=C82,K82/C82,IF((INT(K82/B82)+(((K82-B82*INT(K82/B82)))/C82)/100)&lt;0,(INT(K82/B82)+(((K82-B82*INT(K82/B82)))/C82)/100)+(1-(B82/C82/100)),(INT(K82/B82)+(((K82-B82*INT(K82/B82)))/C82)/100)))),0,IF(B82=C82,K82/C82,IF((INT(K82/B82)+(((K82-B82*INT(K82/B82)))/C82)/100)&lt;0,(INT(K82/B82)+(((K82-B82*INT(K82/B82)))/C82)/100)+(1-(B82/C82/100)),(INT(K82/B82)+(((K82-B82*INT(K82/B82)))/C82)/100))))</f>
        <v>0</v>
      </c>
      <c r="AW82" s="57">
        <f>IF(ISERROR(IF(B82=C82,L82/C82,(INT(L82/B82)+(((L82-B82*INT(L82/B82)))/C82)/100))),0,(IF(B82=C82,L82/C82,(INT(L82/B82)+(((L82-B82*INT(L82/B82)))/C82)/100))))</f>
        <v>0</v>
      </c>
      <c r="AX82" s="57">
        <f>IF(ISERROR(IF(B82=C82,M82/C82,(INT(M82/B82)+(((M82-B82*INT(M82/B82)))/C82)/100))),0,(IF(B82=C82,M82/C82,(INT(M82/B82)+(((M82-B82*INT(M82/B82)))/C82)/100))))</f>
        <v>0</v>
      </c>
      <c r="AY82" s="57">
        <f>IF(ISERROR(IF(B82=C82,N82/C82,IF((INT(N82/B82)+(((N82-B82*INT(N82/B82)))/C82)/100)&lt;0,(INT(N82/B82)+(((N82-B82*INT(N82/B82)))/C82)/100)+(1-(B82/C82/100)),(INT(N82/B82)+(((N82-B82*INT(N82/B82)))/C82)/100)))),0,IF(B82=C82,N82/C82,IF((INT(N82/B82)+(((N82-B82*INT(N82/B82)))/C82)/100)&lt;0,(INT(N82/B82)+(((N82-B82*INT(N82/B82)))/C82)/100)+(1-(B82/C82/100)),(INT(N82/B82)+(((N82-B82*INT(N82/B82)))/C82)/100))))</f>
        <v>0</v>
      </c>
      <c r="AZ82" s="57">
        <f>IF(ISERROR(IF(B82=C82,O82/C82,(INT(O82/B82)+(((O82-B82*INT(O82/B82)))/C82)/100))),0,(IF(B82=C82,O82/C82,(INT(O82/B82)+(((O82-B82*INT(O82/B82)))/C82)/100))))</f>
        <v>0</v>
      </c>
      <c r="BA82" s="57">
        <f>IF(ISERROR(IF(B82=C82,P82/C82,IF((INT(P82/B82)+(((P82-B82*INT(P82/B82)))/C82)/100)&lt;0,(INT(P82/B82)+(((P82-B82*INT(P82/B82)))/C82)/100)+(1-(B82/C82/100)),(INT(P82/B82)+(((P82-B82*INT(P82/B82)))/C82)/100)))),0,IF(B82=C82,P82/C82,IF((INT(P82/B82)+(((P82-B82*INT(P82/B82)))/C82)/100)&lt;0,(INT(P82/B82)+(((P82-B82*INT(P82/B82)))/C82)/100)+(1-(B82/C82/100)),(INT(P82/B82)+(((P82-B82*INT(P82/B82)))/C82)/100))))</f>
        <v>0</v>
      </c>
      <c r="BB82" s="28">
        <f>R82</f>
        <v>0</v>
      </c>
      <c r="BC82" s="28">
        <f>S82</f>
        <v>0</v>
      </c>
      <c r="BD82" s="28">
        <f>AF82</f>
        <v>0</v>
      </c>
      <c r="BE82" s="28">
        <f>T82</f>
        <v>0</v>
      </c>
      <c r="BG82" s="57">
        <f>IF(ISERROR(IF(B82=C82,V82/C82,(INT(V82/B82)+(((V82-B82*INT(V82/B82)))/C82)/100))),0,(IF(B82=C82,V82/C82,(INT(V82/B82)+(((V82-B82*INT(V82/B82)))/C82)/100))))</f>
        <v>0</v>
      </c>
      <c r="BH82" s="57">
        <f>IF(ISERROR(IF(B82=C82,W82/C82,(INT(W82/B82)+(((W82-B82*INT(W82/B82)))/C82)/100))),0,(IF(B82=C82,W82/C82,(INT(W82/B82)+(((W82-B82*INT(W82/B82)))/C82)/100))))</f>
        <v>0</v>
      </c>
      <c r="BI82" s="57">
        <f>IF(ISERROR(IF(B82=C82,X82/C82,(INT(X82/B82)+(((X82-B82*INT(X82/B82)))/C82)/100))),0,(IF(B82=C82,X82/C82,(INT(X82/B82)+(((X82-B82*INT(X82/B82)))/C82)/100))))</f>
        <v>0</v>
      </c>
      <c r="BJ82" s="57">
        <f>IF(ISERROR(IF(B82=C82,Y82/C82,(INT(Y82/B82)+(((Y82-B82*INT(Y82/B82)))/C82)/100))),0,(IF(B82=C82,Y82/C82,(INT(Y82/B82)+(((Y82-B82*INT(Y82/B82)))/C82)/100))))</f>
        <v>0</v>
      </c>
      <c r="BL82" s="57">
        <f>IF(ISERROR(IF(B82=C82,AA82/C82,(INT(AA82/B82)+(((AA82-B82*INT(AA82/B82)))/C82)/100))),0,(IF(B82=C82,AA82/C82,(INT(AA82/B82)+(((AA82-B82*INT(AA82/B82)))/C82)/100))))</f>
        <v>0</v>
      </c>
      <c r="BM82" s="57">
        <f>IF(ISERROR(IF(B82=C82,AB82/C82,(INT(AB82/B82)+(((AB82-B82*INT(AB82/B82)))/C82)/100))),0,(IF(B82=C82,AB82/C82,(INT(AB82/B82)+(((AB82-B82*INT(AB82/B82)))/C82)/100))))</f>
        <v>0</v>
      </c>
      <c r="BN82" s="57">
        <f>IF(ISERROR(IF(B82=C82,AC82/C82,(INT(AC82/B82)+(((AC82-B82*INT(AC82/B82)))/C82)/100))),0,(IF(B82=C82,AC82/C82,(INT(AC82/B82)+(((AC82-B82*INT(AC82/B82)))/C82)/100))))</f>
        <v>0</v>
      </c>
      <c r="BO82" s="57">
        <f>IF(ISERROR(IF(B82=C82,AD82/C82,(INT(AD82/B82)+(((AD82-B82*INT(AD82/B82)))/C82)/100))),0,(IF(B82=C82,AD82/C82,(INT(AD82/B82)+(((AD82-B82*INT(AD82/B82)))/C82)/100))))</f>
        <v>0</v>
      </c>
      <c r="BQ82" s="155"/>
    </row>
    <row r="83" spans="1:69" hidden="1" x14ac:dyDescent="0.35">
      <c r="A83" s="94"/>
      <c r="B83" s="113">
        <v>0</v>
      </c>
      <c r="C83" s="113">
        <v>0</v>
      </c>
      <c r="D83" s="28">
        <f>SUM(AA83:AD83)</f>
        <v>0</v>
      </c>
      <c r="E83" s="113">
        <v>0</v>
      </c>
      <c r="F83" s="113">
        <v>0</v>
      </c>
      <c r="G83" s="28">
        <f>SUM(D83:F83)</f>
        <v>0</v>
      </c>
      <c r="H83" s="125">
        <v>0</v>
      </c>
      <c r="I83" s="113">
        <v>0</v>
      </c>
      <c r="J83" s="125">
        <v>0</v>
      </c>
      <c r="K83" s="113">
        <v>0</v>
      </c>
      <c r="L83" s="113">
        <v>0</v>
      </c>
      <c r="M83" s="113">
        <v>0</v>
      </c>
      <c r="N83" s="28">
        <f>G83-SUM(H83:M83)</f>
        <v>0</v>
      </c>
      <c r="O83" s="28">
        <f>SUM(V83:Y83)</f>
        <v>0</v>
      </c>
      <c r="P83" s="28">
        <f>O83-N83</f>
        <v>0</v>
      </c>
      <c r="Q83" s="61" t="str">
        <f>IF(ISERROR(P83/SUM(H83:L83)),"",P83/SUM(H83:L83))</f>
        <v/>
      </c>
      <c r="R83" s="113">
        <v>0</v>
      </c>
      <c r="S83" s="28">
        <f>IF(ISERROR(P83/C83*R83),0,(P83/C83*R83))</f>
        <v>0</v>
      </c>
      <c r="T83" s="60">
        <f>IF(ISERROR(P83/B83*AF83),0,(P83/B83*AF83))</f>
        <v>0</v>
      </c>
      <c r="V83" s="113">
        <v>0</v>
      </c>
      <c r="W83" s="113">
        <v>0</v>
      </c>
      <c r="X83" s="113">
        <v>0</v>
      </c>
      <c r="Y83" s="113">
        <v>0</v>
      </c>
      <c r="AA83" s="113">
        <v>0</v>
      </c>
      <c r="AB83" s="113">
        <v>0</v>
      </c>
      <c r="AC83" s="113">
        <v>0</v>
      </c>
      <c r="AD83" s="113">
        <v>0</v>
      </c>
      <c r="AF83" s="113">
        <v>0</v>
      </c>
      <c r="AG83" s="28">
        <f>G83-O83</f>
        <v>0</v>
      </c>
      <c r="AH83" s="58">
        <f>IF(ISERROR(AG83/B83*AF83),0,(AG83/B83*AF83))</f>
        <v>0</v>
      </c>
      <c r="AI83" s="28">
        <f>SUM(H83:M83)</f>
        <v>0</v>
      </c>
      <c r="AJ83" s="28">
        <f>IF(ISERROR(AI83/B83*AF83),0,(AI83/B83*AF83))</f>
        <v>0</v>
      </c>
      <c r="AK83" s="58">
        <f>IF(ISERROR(O83/B83*AF83),0,(O83/B83*AF83))</f>
        <v>0</v>
      </c>
      <c r="AL83" s="28">
        <f>IF(ISERROR(H83/B83*AF83),0,(H83/B83*AF83))</f>
        <v>0</v>
      </c>
      <c r="AN83" s="51">
        <f>A83</f>
        <v>0</v>
      </c>
      <c r="AO83" s="57">
        <f>IF(ISERROR(IF(B83=C83,D83/C83,(INT(D83/B83)+(((D83-B83*INT(D83/B83)))/C83)/100))),0,(IF(B83=C83,D83/C83,(INT(D83/B83)+(((D83-B83*INT(D83/B83)))/C83)/100))))</f>
        <v>0</v>
      </c>
      <c r="AP83" s="57">
        <f>IF(ISERROR(IF(B83=C83,E83/C83,(INT(E83/B83)+(((E83-B83*INT(E83/B83)))/C83)/100))),0,(IF(B83=C83,E83/C83,(INT(E83/B83)+(((E83-B83*INT(E83/B83)))/C83)/100))))</f>
        <v>0</v>
      </c>
      <c r="AQ83" s="57">
        <f>IF(ISERROR(IF(B83=C83,F83/C83,IF((INT(F83/B83)+(((F83-B83*INT(F83/B83)))/C83)/100)&lt;0,(INT(F83/B83)+(((F83-B83*INT(F83/B83)))/C83)/100)+(1-(B83/C83/100)),(INT(F83/B83)+(((F83-B83*INT(F83/B83)))/C83)/100)))),0,IF(B83=C83,F83/C83,IF((INT(F83/B83)+(((F83-B83*INT(F83/B83)))/C83)/100)&lt;0,(INT(F83/B83)+(((F83-B83*INT(F83/B83)))/C83)/100)+(1-(B83/C83/100)),(INT(F83/B83)+(((F83-B83*INT(F83/B83)))/C83)/100))))</f>
        <v>0</v>
      </c>
      <c r="AR83" s="57">
        <f>IF(ISERROR(IF(B83=C83,G83/C83,(INT(G83/B83)+(((G83-B83*INT(G83/B83)))/C83)/100))),0,(IF(B83=C83,G83/C83,(INT(G83/B83)+(((G83-B83*INT(G83/B83)))/C83)/100))))</f>
        <v>0</v>
      </c>
      <c r="AS83" s="57">
        <f>IF(ISERROR(IF(B83=C83,H83/C83,(INT(H83/B83)+(((H83-B83*INT(H83/B83)))/C83)/100))),0,(IF(B83=C83,H83/C83,(INT(H83/B83)+(((H83-B83*INT(H83/B83)))/C83)/100))))</f>
        <v>0</v>
      </c>
      <c r="AT83" s="57">
        <f>IF(ISERROR(IF(B83=C83,I83/C83,(INT(I83/B83)+(((I83-B83*INT(I83/B83)))/C83)/100))),0,(IF(B83=C83,I83/C83,(INT(I83/B83)+(((I83-B83*INT(I83/B83)))/C83)/100))))</f>
        <v>0</v>
      </c>
      <c r="AU83" s="57">
        <f>IF(ISERROR(IF(B83=C83,J83/C83,(INT(J83/B83)+(((J83-B83*INT(J83/B83)))/C83)/100))),0,(IF(B83=C83,J83/C83,(INT(J83/B83)+(((J83-B83*INT(J83/B83)))/C83)/100))))</f>
        <v>0</v>
      </c>
      <c r="AV83" s="57">
        <f>IF(ISERROR(IF(B83=C83,K83/C83,IF((INT(K83/B83)+(((K83-B83*INT(K83/B83)))/C83)/100)&lt;0,(INT(K83/B83)+(((K83-B83*INT(K83/B83)))/C83)/100)+(1-(B83/C83/100)),(INT(K83/B83)+(((K83-B83*INT(K83/B83)))/C83)/100)))),0,IF(B83=C83,K83/C83,IF((INT(K83/B83)+(((K83-B83*INT(K83/B83)))/C83)/100)&lt;0,(INT(K83/B83)+(((K83-B83*INT(K83/B83)))/C83)/100)+(1-(B83/C83/100)),(INT(K83/B83)+(((K83-B83*INT(K83/B83)))/C83)/100))))</f>
        <v>0</v>
      </c>
      <c r="AW83" s="57">
        <f>IF(ISERROR(IF(B83=C83,L83/C83,(INT(L83/B83)+(((L83-B83*INT(L83/B83)))/C83)/100))),0,(IF(B83=C83,L83/C83,(INT(L83/B83)+(((L83-B83*INT(L83/B83)))/C83)/100))))</f>
        <v>0</v>
      </c>
      <c r="AX83" s="57">
        <f>IF(ISERROR(IF(B83=C83,M83/C83,(INT(M83/B83)+(((M83-B83*INT(M83/B83)))/C83)/100))),0,(IF(B83=C83,M83/C83,(INT(M83/B83)+(((M83-B83*INT(M83/B83)))/C83)/100))))</f>
        <v>0</v>
      </c>
      <c r="AY83" s="57">
        <f>IF(ISERROR(IF(B83=C83,N83/C83,IF((INT(N83/B83)+(((N83-B83*INT(N83/B83)))/C83)/100)&lt;0,(INT(N83/B83)+(((N83-B83*INT(N83/B83)))/C83)/100)+(1-(B83/C83/100)),(INT(N83/B83)+(((N83-B83*INT(N83/B83)))/C83)/100)))),0,IF(B83=C83,N83/C83,IF((INT(N83/B83)+(((N83-B83*INT(N83/B83)))/C83)/100)&lt;0,(INT(N83/B83)+(((N83-B83*INT(N83/B83)))/C83)/100)+(1-(B83/C83/100)),(INT(N83/B83)+(((N83-B83*INT(N83/B83)))/C83)/100))))</f>
        <v>0</v>
      </c>
      <c r="AZ83" s="57">
        <f>IF(ISERROR(IF(B83=C83,O83/C83,(INT(O83/B83)+(((O83-B83*INT(O83/B83)))/C83)/100))),0,(IF(B83=C83,O83/C83,(INT(O83/B83)+(((O83-B83*INT(O83/B83)))/C83)/100))))</f>
        <v>0</v>
      </c>
      <c r="BA83" s="57">
        <f>IF(ISERROR(IF(B83=C83,P83/C83,IF((INT(P83/B83)+(((P83-B83*INT(P83/B83)))/C83)/100)&lt;0,(INT(P83/B83)+(((P83-B83*INT(P83/B83)))/C83)/100)+(1-(B83/C83/100)),(INT(P83/B83)+(((P83-B83*INT(P83/B83)))/C83)/100)))),0,IF(B83=C83,P83/C83,IF((INT(P83/B83)+(((P83-B83*INT(P83/B83)))/C83)/100)&lt;0,(INT(P83/B83)+(((P83-B83*INT(P83/B83)))/C83)/100)+(1-(B83/C83/100)),(INT(P83/B83)+(((P83-B83*INT(P83/B83)))/C83)/100))))</f>
        <v>0</v>
      </c>
      <c r="BB83" s="28">
        <f>R83</f>
        <v>0</v>
      </c>
      <c r="BC83" s="28">
        <f>S83</f>
        <v>0</v>
      </c>
      <c r="BD83" s="28">
        <f>AF83</f>
        <v>0</v>
      </c>
      <c r="BE83" s="28">
        <f>T83</f>
        <v>0</v>
      </c>
      <c r="BG83" s="57">
        <f>IF(ISERROR(IF(B83=C83,V83/C83,(INT(V83/B83)+(((V83-B83*INT(V83/B83)))/C83)/100))),0,(IF(B83=C83,V83/C83,(INT(V83/B83)+(((V83-B83*INT(V83/B83)))/C83)/100))))</f>
        <v>0</v>
      </c>
      <c r="BH83" s="57">
        <f>IF(ISERROR(IF(B83=C83,W83/C83,(INT(W83/B83)+(((W83-B83*INT(W83/B83)))/C83)/100))),0,(IF(B83=C83,W83/C83,(INT(W83/B83)+(((W83-B83*INT(W83/B83)))/C83)/100))))</f>
        <v>0</v>
      </c>
      <c r="BI83" s="57">
        <f>IF(ISERROR(IF(B83=C83,X83/C83,(INT(X83/B83)+(((X83-B83*INT(X83/B83)))/C83)/100))),0,(IF(B83=C83,X83/C83,(INT(X83/B83)+(((X83-B83*INT(X83/B83)))/C83)/100))))</f>
        <v>0</v>
      </c>
      <c r="BJ83" s="57">
        <f>IF(ISERROR(IF(B83=C83,Y83/C83,(INT(Y83/B83)+(((Y83-B83*INT(Y83/B83)))/C83)/100))),0,(IF(B83=C83,Y83/C83,(INT(Y83/B83)+(((Y83-B83*INT(Y83/B83)))/C83)/100))))</f>
        <v>0</v>
      </c>
      <c r="BL83" s="57">
        <f>IF(ISERROR(IF(B83=C83,AA83/C83,(INT(AA83/B83)+(((AA83-B83*INT(AA83/B83)))/C83)/100))),0,(IF(B83=C83,AA83/C83,(INT(AA83/B83)+(((AA83-B83*INT(AA83/B83)))/C83)/100))))</f>
        <v>0</v>
      </c>
      <c r="BM83" s="57">
        <f>IF(ISERROR(IF(B83=C83,AB83/C83,(INT(AB83/B83)+(((AB83-B83*INT(AB83/B83)))/C83)/100))),0,(IF(B83=C83,AB83/C83,(INT(AB83/B83)+(((AB83-B83*INT(AB83/B83)))/C83)/100))))</f>
        <v>0</v>
      </c>
      <c r="BN83" s="57">
        <f>IF(ISERROR(IF(B83=C83,AC83/C83,(INT(AC83/B83)+(((AC83-B83*INT(AC83/B83)))/C83)/100))),0,(IF(B83=C83,AC83/C83,(INT(AC83/B83)+(((AC83-B83*INT(AC83/B83)))/C83)/100))))</f>
        <v>0</v>
      </c>
      <c r="BO83" s="57">
        <f>IF(ISERROR(IF(B83=C83,AD83/C83,(INT(AD83/B83)+(((AD83-B83*INT(AD83/B83)))/C83)/100))),0,(IF(B83=C83,AD83/C83,(INT(AD83/B83)+(((AD83-B83*INT(AD83/B83)))/C83)/100))))</f>
        <v>0</v>
      </c>
      <c r="BQ83" s="155"/>
    </row>
    <row r="84" spans="1:69" hidden="1" x14ac:dyDescent="0.35">
      <c r="A84" s="94"/>
      <c r="B84" s="113">
        <v>0</v>
      </c>
      <c r="C84" s="113">
        <v>0</v>
      </c>
      <c r="D84" s="28">
        <f>SUM(AA84:AD84)</f>
        <v>0</v>
      </c>
      <c r="E84" s="113">
        <v>0</v>
      </c>
      <c r="F84" s="113">
        <v>0</v>
      </c>
      <c r="G84" s="28">
        <f>SUM(D84:F84)</f>
        <v>0</v>
      </c>
      <c r="H84" s="125">
        <v>0</v>
      </c>
      <c r="I84" s="113">
        <v>0</v>
      </c>
      <c r="J84" s="125">
        <v>0</v>
      </c>
      <c r="K84" s="113">
        <v>0</v>
      </c>
      <c r="L84" s="113">
        <v>0</v>
      </c>
      <c r="M84" s="113">
        <v>0</v>
      </c>
      <c r="N84" s="28">
        <f>G84-SUM(H84:M84)</f>
        <v>0</v>
      </c>
      <c r="O84" s="28">
        <f>SUM(V84:Y84)</f>
        <v>0</v>
      </c>
      <c r="P84" s="28">
        <f>O84-N84</f>
        <v>0</v>
      </c>
      <c r="Q84" s="61" t="str">
        <f>IF(ISERROR(P84/SUM(H84:L84)),"",P84/SUM(H84:L84))</f>
        <v/>
      </c>
      <c r="R84" s="113">
        <v>0</v>
      </c>
      <c r="S84" s="28">
        <f>IF(ISERROR(P84/C84*R84),0,(P84/C84*R84))</f>
        <v>0</v>
      </c>
      <c r="T84" s="60">
        <f>IF(ISERROR(P84/B84*AF84),0,(P84/B84*AF84))</f>
        <v>0</v>
      </c>
      <c r="V84" s="113">
        <v>0</v>
      </c>
      <c r="W84" s="113">
        <v>0</v>
      </c>
      <c r="X84" s="113">
        <v>0</v>
      </c>
      <c r="Y84" s="113">
        <v>0</v>
      </c>
      <c r="AA84" s="113">
        <v>0</v>
      </c>
      <c r="AB84" s="113">
        <v>0</v>
      </c>
      <c r="AC84" s="113">
        <v>0</v>
      </c>
      <c r="AD84" s="113">
        <v>0</v>
      </c>
      <c r="AF84" s="113">
        <v>0</v>
      </c>
      <c r="AG84" s="28">
        <f>G84-O84</f>
        <v>0</v>
      </c>
      <c r="AH84" s="58">
        <f>IF(ISERROR(AG84/B84*AF84),0,(AG84/B84*AF84))</f>
        <v>0</v>
      </c>
      <c r="AI84" s="28">
        <f>SUM(H84:M84)</f>
        <v>0</v>
      </c>
      <c r="AJ84" s="28">
        <f>IF(ISERROR(AI84/B84*AF84),0,(AI84/B84*AF84))</f>
        <v>0</v>
      </c>
      <c r="AK84" s="58">
        <f>IF(ISERROR(O84/B84*AF84),0,(O84/B84*AF84))</f>
        <v>0</v>
      </c>
      <c r="AL84" s="28">
        <f>IF(ISERROR(H84/B84*AF84),0,(H84/B84*AF84))</f>
        <v>0</v>
      </c>
      <c r="AN84" s="51">
        <f>A84</f>
        <v>0</v>
      </c>
      <c r="AO84" s="57">
        <f>IF(ISERROR(IF(B84=C84,D84/C84,(INT(D84/B84)+(((D84-B84*INT(D84/B84)))/C84)/100))),0,(IF(B84=C84,D84/C84,(INT(D84/B84)+(((D84-B84*INT(D84/B84)))/C84)/100))))</f>
        <v>0</v>
      </c>
      <c r="AP84" s="57">
        <f>IF(ISERROR(IF(B84=C84,E84/C84,(INT(E84/B84)+(((E84-B84*INT(E84/B84)))/C84)/100))),0,(IF(B84=C84,E84/C84,(INT(E84/B84)+(((E84-B84*INT(E84/B84)))/C84)/100))))</f>
        <v>0</v>
      </c>
      <c r="AQ84" s="57">
        <f>IF(ISERROR(IF(B84=C84,F84/C84,IF((INT(F84/B84)+(((F84-B84*INT(F84/B84)))/C84)/100)&lt;0,(INT(F84/B84)+(((F84-B84*INT(F84/B84)))/C84)/100)+(1-(B84/C84/100)),(INT(F84/B84)+(((F84-B84*INT(F84/B84)))/C84)/100)))),0,IF(B84=C84,F84/C84,IF((INT(F84/B84)+(((F84-B84*INT(F84/B84)))/C84)/100)&lt;0,(INT(F84/B84)+(((F84-B84*INT(F84/B84)))/C84)/100)+(1-(B84/C84/100)),(INT(F84/B84)+(((F84-B84*INT(F84/B84)))/C84)/100))))</f>
        <v>0</v>
      </c>
      <c r="AR84" s="57">
        <f>IF(ISERROR(IF(B84=C84,G84/C84,(INT(G84/B84)+(((G84-B84*INT(G84/B84)))/C84)/100))),0,(IF(B84=C84,G84/C84,(INT(G84/B84)+(((G84-B84*INT(G84/B84)))/C84)/100))))</f>
        <v>0</v>
      </c>
      <c r="AS84" s="57">
        <f>IF(ISERROR(IF(B84=C84,H84/C84,(INT(H84/B84)+(((H84-B84*INT(H84/B84)))/C84)/100))),0,(IF(B84=C84,H84/C84,(INT(H84/B84)+(((H84-B84*INT(H84/B84)))/C84)/100))))</f>
        <v>0</v>
      </c>
      <c r="AT84" s="57">
        <f>IF(ISERROR(IF(B84=C84,I84/C84,(INT(I84/B84)+(((I84-B84*INT(I84/B84)))/C84)/100))),0,(IF(B84=C84,I84/C84,(INT(I84/B84)+(((I84-B84*INT(I84/B84)))/C84)/100))))</f>
        <v>0</v>
      </c>
      <c r="AU84" s="57">
        <f>IF(ISERROR(IF(B84=C84,J84/C84,(INT(J84/B84)+(((J84-B84*INT(J84/B84)))/C84)/100))),0,(IF(B84=C84,J84/C84,(INT(J84/B84)+(((J84-B84*INT(J84/B84)))/C84)/100))))</f>
        <v>0</v>
      </c>
      <c r="AV84" s="57">
        <f>IF(ISERROR(IF(B84=C84,K84/C84,IF((INT(K84/B84)+(((K84-B84*INT(K84/B84)))/C84)/100)&lt;0,(INT(K84/B84)+(((K84-B84*INT(K84/B84)))/C84)/100)+(1-(B84/C84/100)),(INT(K84/B84)+(((K84-B84*INT(K84/B84)))/C84)/100)))),0,IF(B84=C84,K84/C84,IF((INT(K84/B84)+(((K84-B84*INT(K84/B84)))/C84)/100)&lt;0,(INT(K84/B84)+(((K84-B84*INT(K84/B84)))/C84)/100)+(1-(B84/C84/100)),(INT(K84/B84)+(((K84-B84*INT(K84/B84)))/C84)/100))))</f>
        <v>0</v>
      </c>
      <c r="AW84" s="57">
        <f>IF(ISERROR(IF(B84=C84,L84/C84,(INT(L84/B84)+(((L84-B84*INT(L84/B84)))/C84)/100))),0,(IF(B84=C84,L84/C84,(INT(L84/B84)+(((L84-B84*INT(L84/B84)))/C84)/100))))</f>
        <v>0</v>
      </c>
      <c r="AX84" s="57">
        <f>IF(ISERROR(IF(B84=C84,M84/C84,(INT(M84/B84)+(((M84-B84*INT(M84/B84)))/C84)/100))),0,(IF(B84=C84,M84/C84,(INT(M84/B84)+(((M84-B84*INT(M84/B84)))/C84)/100))))</f>
        <v>0</v>
      </c>
      <c r="AY84" s="57">
        <f>IF(ISERROR(IF(B84=C84,N84/C84,IF((INT(N84/B84)+(((N84-B84*INT(N84/B84)))/C84)/100)&lt;0,(INT(N84/B84)+(((N84-B84*INT(N84/B84)))/C84)/100)+(1-(B84/C84/100)),(INT(N84/B84)+(((N84-B84*INT(N84/B84)))/C84)/100)))),0,IF(B84=C84,N84/C84,IF((INT(N84/B84)+(((N84-B84*INT(N84/B84)))/C84)/100)&lt;0,(INT(N84/B84)+(((N84-B84*INT(N84/B84)))/C84)/100)+(1-(B84/C84/100)),(INT(N84/B84)+(((N84-B84*INT(N84/B84)))/C84)/100))))</f>
        <v>0</v>
      </c>
      <c r="AZ84" s="57">
        <f>IF(ISERROR(IF(B84=C84,O84/C84,(INT(O84/B84)+(((O84-B84*INT(O84/B84)))/C84)/100))),0,(IF(B84=C84,O84/C84,(INT(O84/B84)+(((O84-B84*INT(O84/B84)))/C84)/100))))</f>
        <v>0</v>
      </c>
      <c r="BA84" s="57">
        <f>IF(ISERROR(IF(B84=C84,P84/C84,IF((INT(P84/B84)+(((P84-B84*INT(P84/B84)))/C84)/100)&lt;0,(INT(P84/B84)+(((P84-B84*INT(P84/B84)))/C84)/100)+(1-(B84/C84/100)),(INT(P84/B84)+(((P84-B84*INT(P84/B84)))/C84)/100)))),0,IF(B84=C84,P84/C84,IF((INT(P84/B84)+(((P84-B84*INT(P84/B84)))/C84)/100)&lt;0,(INT(P84/B84)+(((P84-B84*INT(P84/B84)))/C84)/100)+(1-(B84/C84/100)),(INT(P84/B84)+(((P84-B84*INT(P84/B84)))/C84)/100))))</f>
        <v>0</v>
      </c>
      <c r="BB84" s="28">
        <f>R84</f>
        <v>0</v>
      </c>
      <c r="BC84" s="28">
        <f>S84</f>
        <v>0</v>
      </c>
      <c r="BD84" s="28">
        <f>AF84</f>
        <v>0</v>
      </c>
      <c r="BE84" s="28">
        <f>T84</f>
        <v>0</v>
      </c>
      <c r="BG84" s="57">
        <f>IF(ISERROR(IF(B84=C84,V84/C84,(INT(V84/B84)+(((V84-B84*INT(V84/B84)))/C84)/100))),0,(IF(B84=C84,V84/C84,(INT(V84/B84)+(((V84-B84*INT(V84/B84)))/C84)/100))))</f>
        <v>0</v>
      </c>
      <c r="BH84" s="57">
        <f>IF(ISERROR(IF(B84=C84,W84/C84,(INT(W84/B84)+(((W84-B84*INT(W84/B84)))/C84)/100))),0,(IF(B84=C84,W84/C84,(INT(W84/B84)+(((W84-B84*INT(W84/B84)))/C84)/100))))</f>
        <v>0</v>
      </c>
      <c r="BI84" s="57">
        <f>IF(ISERROR(IF(B84=C84,X84/C84,(INT(X84/B84)+(((X84-B84*INT(X84/B84)))/C84)/100))),0,(IF(B84=C84,X84/C84,(INT(X84/B84)+(((X84-B84*INT(X84/B84)))/C84)/100))))</f>
        <v>0</v>
      </c>
      <c r="BJ84" s="57">
        <f>IF(ISERROR(IF(B84=C84,Y84/C84,(INT(Y84/B84)+(((Y84-B84*INT(Y84/B84)))/C84)/100))),0,(IF(B84=C84,Y84/C84,(INT(Y84/B84)+(((Y84-B84*INT(Y84/B84)))/C84)/100))))</f>
        <v>0</v>
      </c>
      <c r="BL84" s="57">
        <f>IF(ISERROR(IF(B84=C84,AA84/C84,(INT(AA84/B84)+(((AA84-B84*INT(AA84/B84)))/C84)/100))),0,(IF(B84=C84,AA84/C84,(INT(AA84/B84)+(((AA84-B84*INT(AA84/B84)))/C84)/100))))</f>
        <v>0</v>
      </c>
      <c r="BM84" s="57">
        <f>IF(ISERROR(IF(B84=C84,AB84/C84,(INT(AB84/B84)+(((AB84-B84*INT(AB84/B84)))/C84)/100))),0,(IF(B84=C84,AB84/C84,(INT(AB84/B84)+(((AB84-B84*INT(AB84/B84)))/C84)/100))))</f>
        <v>0</v>
      </c>
      <c r="BN84" s="57">
        <f>IF(ISERROR(IF(B84=C84,AC84/C84,(INT(AC84/B84)+(((AC84-B84*INT(AC84/B84)))/C84)/100))),0,(IF(B84=C84,AC84/C84,(INT(AC84/B84)+(((AC84-B84*INT(AC84/B84)))/C84)/100))))</f>
        <v>0</v>
      </c>
      <c r="BO84" s="57">
        <f>IF(ISERROR(IF(B84=C84,AD84/C84,(INT(AD84/B84)+(((AD84-B84*INT(AD84/B84)))/C84)/100))),0,(IF(B84=C84,AD84/C84,(INT(AD84/B84)+(((AD84-B84*INT(AD84/B84)))/C84)/100))))</f>
        <v>0</v>
      </c>
      <c r="BQ84" s="155"/>
    </row>
    <row r="85" spans="1:69" hidden="1" x14ac:dyDescent="0.35">
      <c r="A85" s="94"/>
      <c r="B85" s="113">
        <v>0</v>
      </c>
      <c r="C85" s="113">
        <v>0</v>
      </c>
      <c r="D85" s="28">
        <f>SUM(AA85:AD85)</f>
        <v>0</v>
      </c>
      <c r="E85" s="113">
        <v>0</v>
      </c>
      <c r="F85" s="113">
        <v>0</v>
      </c>
      <c r="G85" s="28">
        <f>SUM(D85:F85)</f>
        <v>0</v>
      </c>
      <c r="H85" s="125">
        <v>0</v>
      </c>
      <c r="I85" s="113">
        <v>0</v>
      </c>
      <c r="J85" s="125">
        <v>0</v>
      </c>
      <c r="K85" s="113">
        <v>0</v>
      </c>
      <c r="L85" s="113">
        <v>0</v>
      </c>
      <c r="M85" s="113">
        <v>0</v>
      </c>
      <c r="N85" s="28">
        <f>G85-SUM(H85:M85)</f>
        <v>0</v>
      </c>
      <c r="O85" s="28">
        <f>SUM(V85:Y85)</f>
        <v>0</v>
      </c>
      <c r="P85" s="28">
        <f>O85-N85</f>
        <v>0</v>
      </c>
      <c r="Q85" s="61" t="str">
        <f>IF(ISERROR(P85/SUM(H85:L85)),"",P85/SUM(H85:L85))</f>
        <v/>
      </c>
      <c r="R85" s="113">
        <v>0</v>
      </c>
      <c r="S85" s="28">
        <f>IF(ISERROR(P85/C85*R85),0,(P85/C85*R85))</f>
        <v>0</v>
      </c>
      <c r="T85" s="60">
        <f>IF(ISERROR(P85/B85*AF85),0,(P85/B85*AF85))</f>
        <v>0</v>
      </c>
      <c r="V85" s="113">
        <v>0</v>
      </c>
      <c r="W85" s="113">
        <v>0</v>
      </c>
      <c r="X85" s="113">
        <v>0</v>
      </c>
      <c r="Y85" s="113">
        <v>0</v>
      </c>
      <c r="AA85" s="113">
        <v>0</v>
      </c>
      <c r="AB85" s="113">
        <v>0</v>
      </c>
      <c r="AC85" s="113">
        <v>0</v>
      </c>
      <c r="AD85" s="113">
        <v>0</v>
      </c>
      <c r="AF85" s="113">
        <v>0</v>
      </c>
      <c r="AG85" s="28">
        <f>G85-O85</f>
        <v>0</v>
      </c>
      <c r="AH85" s="58">
        <f>IF(ISERROR(AG85/B85*AF85),0,(AG85/B85*AF85))</f>
        <v>0</v>
      </c>
      <c r="AI85" s="28">
        <f>SUM(H85:M85)</f>
        <v>0</v>
      </c>
      <c r="AJ85" s="28">
        <f>IF(ISERROR(AI85/B85*AF85),0,(AI85/B85*AF85))</f>
        <v>0</v>
      </c>
      <c r="AK85" s="58">
        <f>IF(ISERROR(O85/B85*AF85),0,(O85/B85*AF85))</f>
        <v>0</v>
      </c>
      <c r="AL85" s="28">
        <f>IF(ISERROR(H85/B85*AF85),0,(H85/B85*AF85))</f>
        <v>0</v>
      </c>
      <c r="AN85" s="51">
        <f>A85</f>
        <v>0</v>
      </c>
      <c r="AO85" s="57">
        <f>IF(ISERROR(IF(B85=C85,D85/C85,(INT(D85/B85)+(((D85-B85*INT(D85/B85)))/C85)/100))),0,(IF(B85=C85,D85/C85,(INT(D85/B85)+(((D85-B85*INT(D85/B85)))/C85)/100))))</f>
        <v>0</v>
      </c>
      <c r="AP85" s="57">
        <f>IF(ISERROR(IF(B85=C85,E85/C85,(INT(E85/B85)+(((E85-B85*INT(E85/B85)))/C85)/100))),0,(IF(B85=C85,E85/C85,(INT(E85/B85)+(((E85-B85*INT(E85/B85)))/C85)/100))))</f>
        <v>0</v>
      </c>
      <c r="AQ85" s="57">
        <f>IF(ISERROR(IF(B85=C85,F85/C85,IF((INT(F85/B85)+(((F85-B85*INT(F85/B85)))/C85)/100)&lt;0,(INT(F85/B85)+(((F85-B85*INT(F85/B85)))/C85)/100)+(1-(B85/C85/100)),(INT(F85/B85)+(((F85-B85*INT(F85/B85)))/C85)/100)))),0,IF(B85=C85,F85/C85,IF((INT(F85/B85)+(((F85-B85*INT(F85/B85)))/C85)/100)&lt;0,(INT(F85/B85)+(((F85-B85*INT(F85/B85)))/C85)/100)+(1-(B85/C85/100)),(INT(F85/B85)+(((F85-B85*INT(F85/B85)))/C85)/100))))</f>
        <v>0</v>
      </c>
      <c r="AR85" s="57">
        <f>IF(ISERROR(IF(B85=C85,G85/C85,(INT(G85/B85)+(((G85-B85*INT(G85/B85)))/C85)/100))),0,(IF(B85=C85,G85/C85,(INT(G85/B85)+(((G85-B85*INT(G85/B85)))/C85)/100))))</f>
        <v>0</v>
      </c>
      <c r="AS85" s="57">
        <f>IF(ISERROR(IF(B85=C85,H85/C85,(INT(H85/B85)+(((H85-B85*INT(H85/B85)))/C85)/100))),0,(IF(B85=C85,H85/C85,(INT(H85/B85)+(((H85-B85*INT(H85/B85)))/C85)/100))))</f>
        <v>0</v>
      </c>
      <c r="AT85" s="57">
        <f>IF(ISERROR(IF(B85=C85,I85/C85,(INT(I85/B85)+(((I85-B85*INT(I85/B85)))/C85)/100))),0,(IF(B85=C85,I85/C85,(INT(I85/B85)+(((I85-B85*INT(I85/B85)))/C85)/100))))</f>
        <v>0</v>
      </c>
      <c r="AU85" s="57">
        <f>IF(ISERROR(IF(B85=C85,J85/C85,(INT(J85/B85)+(((J85-B85*INT(J85/B85)))/C85)/100))),0,(IF(B85=C85,J85/C85,(INT(J85/B85)+(((J85-B85*INT(J85/B85)))/C85)/100))))</f>
        <v>0</v>
      </c>
      <c r="AV85" s="57">
        <f>IF(ISERROR(IF(B85=C85,K85/C85,IF((INT(K85/B85)+(((K85-B85*INT(K85/B85)))/C85)/100)&lt;0,(INT(K85/B85)+(((K85-B85*INT(K85/B85)))/C85)/100)+(1-(B85/C85/100)),(INT(K85/B85)+(((K85-B85*INT(K85/B85)))/C85)/100)))),0,IF(B85=C85,K85/C85,IF((INT(K85/B85)+(((K85-B85*INT(K85/B85)))/C85)/100)&lt;0,(INT(K85/B85)+(((K85-B85*INT(K85/B85)))/C85)/100)+(1-(B85/C85/100)),(INT(K85/B85)+(((K85-B85*INT(K85/B85)))/C85)/100))))</f>
        <v>0</v>
      </c>
      <c r="AW85" s="57">
        <f>IF(ISERROR(IF(B85=C85,L85/C85,(INT(L85/B85)+(((L85-B85*INT(L85/B85)))/C85)/100))),0,(IF(B85=C85,L85/C85,(INT(L85/B85)+(((L85-B85*INT(L85/B85)))/C85)/100))))</f>
        <v>0</v>
      </c>
      <c r="AX85" s="57">
        <f>IF(ISERROR(IF(B85=C85,M85/C85,(INT(M85/B85)+(((M85-B85*INT(M85/B85)))/C85)/100))),0,(IF(B85=C85,M85/C85,(INT(M85/B85)+(((M85-B85*INT(M85/B85)))/C85)/100))))</f>
        <v>0</v>
      </c>
      <c r="AY85" s="57">
        <f>IF(ISERROR(IF(B85=C85,N85/C85,IF((INT(N85/B85)+(((N85-B85*INT(N85/B85)))/C85)/100)&lt;0,(INT(N85/B85)+(((N85-B85*INT(N85/B85)))/C85)/100)+(1-(B85/C85/100)),(INT(N85/B85)+(((N85-B85*INT(N85/B85)))/C85)/100)))),0,IF(B85=C85,N85/C85,IF((INT(N85/B85)+(((N85-B85*INT(N85/B85)))/C85)/100)&lt;0,(INT(N85/B85)+(((N85-B85*INT(N85/B85)))/C85)/100)+(1-(B85/C85/100)),(INT(N85/B85)+(((N85-B85*INT(N85/B85)))/C85)/100))))</f>
        <v>0</v>
      </c>
      <c r="AZ85" s="57">
        <f>IF(ISERROR(IF(B85=C85,O85/C85,(INT(O85/B85)+(((O85-B85*INT(O85/B85)))/C85)/100))),0,(IF(B85=C85,O85/C85,(INT(O85/B85)+(((O85-B85*INT(O85/B85)))/C85)/100))))</f>
        <v>0</v>
      </c>
      <c r="BA85" s="57">
        <f>IF(ISERROR(IF(B85=C85,P85/C85,IF((INT(P85/B85)+(((P85-B85*INT(P85/B85)))/C85)/100)&lt;0,(INT(P85/B85)+(((P85-B85*INT(P85/B85)))/C85)/100)+(1-(B85/C85/100)),(INT(P85/B85)+(((P85-B85*INT(P85/B85)))/C85)/100)))),0,IF(B85=C85,P85/C85,IF((INT(P85/B85)+(((P85-B85*INT(P85/B85)))/C85)/100)&lt;0,(INT(P85/B85)+(((P85-B85*INT(P85/B85)))/C85)/100)+(1-(B85/C85/100)),(INT(P85/B85)+(((P85-B85*INT(P85/B85)))/C85)/100))))</f>
        <v>0</v>
      </c>
      <c r="BB85" s="28">
        <f>R85</f>
        <v>0</v>
      </c>
      <c r="BC85" s="28">
        <f>S85</f>
        <v>0</v>
      </c>
      <c r="BD85" s="28">
        <f>AF85</f>
        <v>0</v>
      </c>
      <c r="BE85" s="28">
        <f>T85</f>
        <v>0</v>
      </c>
      <c r="BG85" s="57">
        <f>IF(ISERROR(IF(B85=C85,V85/C85,(INT(V85/B85)+(((V85-B85*INT(V85/B85)))/C85)/100))),0,(IF(B85=C85,V85/C85,(INT(V85/B85)+(((V85-B85*INT(V85/B85)))/C85)/100))))</f>
        <v>0</v>
      </c>
      <c r="BH85" s="57">
        <f>IF(ISERROR(IF(B85=C85,W85/C85,(INT(W85/B85)+(((W85-B85*INT(W85/B85)))/C85)/100))),0,(IF(B85=C85,W85/C85,(INT(W85/B85)+(((W85-B85*INT(W85/B85)))/C85)/100))))</f>
        <v>0</v>
      </c>
      <c r="BI85" s="57">
        <f>IF(ISERROR(IF(B85=C85,X85/C85,(INT(X85/B85)+(((X85-B85*INT(X85/B85)))/C85)/100))),0,(IF(B85=C85,X85/C85,(INT(X85/B85)+(((X85-B85*INT(X85/B85)))/C85)/100))))</f>
        <v>0</v>
      </c>
      <c r="BJ85" s="57">
        <f>IF(ISERROR(IF(B85=C85,Y85/C85,(INT(Y85/B85)+(((Y85-B85*INT(Y85/B85)))/C85)/100))),0,(IF(B85=C85,Y85/C85,(INT(Y85/B85)+(((Y85-B85*INT(Y85/B85)))/C85)/100))))</f>
        <v>0</v>
      </c>
      <c r="BL85" s="57">
        <f>IF(ISERROR(IF(B85=C85,AA85/C85,(INT(AA85/B85)+(((AA85-B85*INT(AA85/B85)))/C85)/100))),0,(IF(B85=C85,AA85/C85,(INT(AA85/B85)+(((AA85-B85*INT(AA85/B85)))/C85)/100))))</f>
        <v>0</v>
      </c>
      <c r="BM85" s="57">
        <f>IF(ISERROR(IF(B85=C85,AB85/C85,(INT(AB85/B85)+(((AB85-B85*INT(AB85/B85)))/C85)/100))),0,(IF(B85=C85,AB85/C85,(INT(AB85/B85)+(((AB85-B85*INT(AB85/B85)))/C85)/100))))</f>
        <v>0</v>
      </c>
      <c r="BN85" s="57">
        <f>IF(ISERROR(IF(B85=C85,AC85/C85,(INT(AC85/B85)+(((AC85-B85*INT(AC85/B85)))/C85)/100))),0,(IF(B85=C85,AC85/C85,(INT(AC85/B85)+(((AC85-B85*INT(AC85/B85)))/C85)/100))))</f>
        <v>0</v>
      </c>
      <c r="BO85" s="57">
        <f>IF(ISERROR(IF(B85=C85,AD85/C85,(INT(AD85/B85)+(((AD85-B85*INT(AD85/B85)))/C85)/100))),0,(IF(B85=C85,AD85/C85,(INT(AD85/B85)+(((AD85-B85*INT(AD85/B85)))/C85)/100))))</f>
        <v>0</v>
      </c>
      <c r="BQ85" s="155"/>
    </row>
    <row r="86" spans="1:69" hidden="1" x14ac:dyDescent="0.35">
      <c r="A86" s="94"/>
      <c r="B86" s="113">
        <v>0</v>
      </c>
      <c r="C86" s="113">
        <v>0</v>
      </c>
      <c r="D86" s="28">
        <f>SUM(AA86:AD86)</f>
        <v>0</v>
      </c>
      <c r="E86" s="113">
        <v>0</v>
      </c>
      <c r="F86" s="113">
        <v>0</v>
      </c>
      <c r="G86" s="28">
        <f>SUM(D86:F86)</f>
        <v>0</v>
      </c>
      <c r="H86" s="125">
        <v>0</v>
      </c>
      <c r="I86" s="113">
        <v>0</v>
      </c>
      <c r="J86" s="125">
        <v>0</v>
      </c>
      <c r="K86" s="113">
        <v>0</v>
      </c>
      <c r="L86" s="113">
        <v>0</v>
      </c>
      <c r="M86" s="113">
        <v>0</v>
      </c>
      <c r="N86" s="28">
        <f>G86-SUM(H86:M86)</f>
        <v>0</v>
      </c>
      <c r="O86" s="28">
        <f>SUM(V86:Y86)</f>
        <v>0</v>
      </c>
      <c r="P86" s="28">
        <f>O86-N86</f>
        <v>0</v>
      </c>
      <c r="Q86" s="61" t="str">
        <f>IF(ISERROR(P86/SUM(H86:L86)),"",P86/SUM(H86:L86))</f>
        <v/>
      </c>
      <c r="R86" s="113">
        <v>0</v>
      </c>
      <c r="S86" s="28">
        <f>IF(ISERROR(P86/C86*R86),0,(P86/C86*R86))</f>
        <v>0</v>
      </c>
      <c r="T86" s="60">
        <f>IF(ISERROR(P86/B86*AF86),0,(P86/B86*AF86))</f>
        <v>0</v>
      </c>
      <c r="V86" s="113">
        <v>0</v>
      </c>
      <c r="W86" s="113">
        <v>0</v>
      </c>
      <c r="X86" s="113">
        <v>0</v>
      </c>
      <c r="Y86" s="113">
        <v>0</v>
      </c>
      <c r="AA86" s="113">
        <v>0</v>
      </c>
      <c r="AB86" s="113">
        <v>0</v>
      </c>
      <c r="AC86" s="113">
        <v>0</v>
      </c>
      <c r="AD86" s="113">
        <v>0</v>
      </c>
      <c r="AF86" s="113">
        <v>0</v>
      </c>
      <c r="AG86" s="28">
        <f>G86-O86</f>
        <v>0</v>
      </c>
      <c r="AH86" s="58">
        <f>IF(ISERROR(AG86/B86*AF86),0,(AG86/B86*AF86))</f>
        <v>0</v>
      </c>
      <c r="AI86" s="28">
        <f>SUM(H86:M86)</f>
        <v>0</v>
      </c>
      <c r="AJ86" s="28">
        <f>IF(ISERROR(AI86/B86*AF86),0,(AI86/B86*AF86))</f>
        <v>0</v>
      </c>
      <c r="AK86" s="58">
        <f>IF(ISERROR(O86/B86*AF86),0,(O86/B86*AF86))</f>
        <v>0</v>
      </c>
      <c r="AL86" s="28">
        <f>IF(ISERROR(H86/B86*AF86),0,(H86/B86*AF86))</f>
        <v>0</v>
      </c>
      <c r="AN86" s="51">
        <f>A86</f>
        <v>0</v>
      </c>
      <c r="AO86" s="57">
        <f>IF(ISERROR(IF(B86=C86,D86/C86,(INT(D86/B86)+(((D86-B86*INT(D86/B86)))/C86)/100))),0,(IF(B86=C86,D86/C86,(INT(D86/B86)+(((D86-B86*INT(D86/B86)))/C86)/100))))</f>
        <v>0</v>
      </c>
      <c r="AP86" s="57">
        <f>IF(ISERROR(IF(B86=C86,E86/C86,(INT(E86/B86)+(((E86-B86*INT(E86/B86)))/C86)/100))),0,(IF(B86=C86,E86/C86,(INT(E86/B86)+(((E86-B86*INT(E86/B86)))/C86)/100))))</f>
        <v>0</v>
      </c>
      <c r="AQ86" s="57">
        <f>IF(ISERROR(IF(B86=C86,F86/C86,IF((INT(F86/B86)+(((F86-B86*INT(F86/B86)))/C86)/100)&lt;0,(INT(F86/B86)+(((F86-B86*INT(F86/B86)))/C86)/100)+(1-(B86/C86/100)),(INT(F86/B86)+(((F86-B86*INT(F86/B86)))/C86)/100)))),0,IF(B86=C86,F86/C86,IF((INT(F86/B86)+(((F86-B86*INT(F86/B86)))/C86)/100)&lt;0,(INT(F86/B86)+(((F86-B86*INT(F86/B86)))/C86)/100)+(1-(B86/C86/100)),(INT(F86/B86)+(((F86-B86*INT(F86/B86)))/C86)/100))))</f>
        <v>0</v>
      </c>
      <c r="AR86" s="57">
        <f>IF(ISERROR(IF(B86=C86,G86/C86,(INT(G86/B86)+(((G86-B86*INT(G86/B86)))/C86)/100))),0,(IF(B86=C86,G86/C86,(INT(G86/B86)+(((G86-B86*INT(G86/B86)))/C86)/100))))</f>
        <v>0</v>
      </c>
      <c r="AS86" s="57">
        <f>IF(ISERROR(IF(B86=C86,H86/C86,(INT(H86/B86)+(((H86-B86*INT(H86/B86)))/C86)/100))),0,(IF(B86=C86,H86/C86,(INT(H86/B86)+(((H86-B86*INT(H86/B86)))/C86)/100))))</f>
        <v>0</v>
      </c>
      <c r="AT86" s="57">
        <f>IF(ISERROR(IF(B86=C86,I86/C86,(INT(I86/B86)+(((I86-B86*INT(I86/B86)))/C86)/100))),0,(IF(B86=C86,I86/C86,(INT(I86/B86)+(((I86-B86*INT(I86/B86)))/C86)/100))))</f>
        <v>0</v>
      </c>
      <c r="AU86" s="57">
        <f>IF(ISERROR(IF(B86=C86,J86/C86,(INT(J86/B86)+(((J86-B86*INT(J86/B86)))/C86)/100))),0,(IF(B86=C86,J86/C86,(INT(J86/B86)+(((J86-B86*INT(J86/B86)))/C86)/100))))</f>
        <v>0</v>
      </c>
      <c r="AV86" s="57">
        <f>IF(ISERROR(IF(B86=C86,K86/C86,IF((INT(K86/B86)+(((K86-B86*INT(K86/B86)))/C86)/100)&lt;0,(INT(K86/B86)+(((K86-B86*INT(K86/B86)))/C86)/100)+(1-(B86/C86/100)),(INT(K86/B86)+(((K86-B86*INT(K86/B86)))/C86)/100)))),0,IF(B86=C86,K86/C86,IF((INT(K86/B86)+(((K86-B86*INT(K86/B86)))/C86)/100)&lt;0,(INT(K86/B86)+(((K86-B86*INT(K86/B86)))/C86)/100)+(1-(B86/C86/100)),(INT(K86/B86)+(((K86-B86*INT(K86/B86)))/C86)/100))))</f>
        <v>0</v>
      </c>
      <c r="AW86" s="57">
        <f>IF(ISERROR(IF(B86=C86,L86/C86,(INT(L86/B86)+(((L86-B86*INT(L86/B86)))/C86)/100))),0,(IF(B86=C86,L86/C86,(INT(L86/B86)+(((L86-B86*INT(L86/B86)))/C86)/100))))</f>
        <v>0</v>
      </c>
      <c r="AX86" s="57">
        <f>IF(ISERROR(IF(B86=C86,M86/C86,(INT(M86/B86)+(((M86-B86*INT(M86/B86)))/C86)/100))),0,(IF(B86=C86,M86/C86,(INT(M86/B86)+(((M86-B86*INT(M86/B86)))/C86)/100))))</f>
        <v>0</v>
      </c>
      <c r="AY86" s="57">
        <f>IF(ISERROR(IF(B86=C86,N86/C86,IF((INT(N86/B86)+(((N86-B86*INT(N86/B86)))/C86)/100)&lt;0,(INT(N86/B86)+(((N86-B86*INT(N86/B86)))/C86)/100)+(1-(B86/C86/100)),(INT(N86/B86)+(((N86-B86*INT(N86/B86)))/C86)/100)))),0,IF(B86=C86,N86/C86,IF((INT(N86/B86)+(((N86-B86*INT(N86/B86)))/C86)/100)&lt;0,(INT(N86/B86)+(((N86-B86*INT(N86/B86)))/C86)/100)+(1-(B86/C86/100)),(INT(N86/B86)+(((N86-B86*INT(N86/B86)))/C86)/100))))</f>
        <v>0</v>
      </c>
      <c r="AZ86" s="57">
        <f>IF(ISERROR(IF(B86=C86,O86/C86,(INT(O86/B86)+(((O86-B86*INT(O86/B86)))/C86)/100))),0,(IF(B86=C86,O86/C86,(INT(O86/B86)+(((O86-B86*INT(O86/B86)))/C86)/100))))</f>
        <v>0</v>
      </c>
      <c r="BA86" s="57">
        <f>IF(ISERROR(IF(B86=C86,P86/C86,IF((INT(P86/B86)+(((P86-B86*INT(P86/B86)))/C86)/100)&lt;0,(INT(P86/B86)+(((P86-B86*INT(P86/B86)))/C86)/100)+(1-(B86/C86/100)),(INT(P86/B86)+(((P86-B86*INT(P86/B86)))/C86)/100)))),0,IF(B86=C86,P86/C86,IF((INT(P86/B86)+(((P86-B86*INT(P86/B86)))/C86)/100)&lt;0,(INT(P86/B86)+(((P86-B86*INT(P86/B86)))/C86)/100)+(1-(B86/C86/100)),(INT(P86/B86)+(((P86-B86*INT(P86/B86)))/C86)/100))))</f>
        <v>0</v>
      </c>
      <c r="BB86" s="28">
        <f>R86</f>
        <v>0</v>
      </c>
      <c r="BC86" s="28">
        <f>S86</f>
        <v>0</v>
      </c>
      <c r="BD86" s="28">
        <f>AF86</f>
        <v>0</v>
      </c>
      <c r="BE86" s="28">
        <f>T86</f>
        <v>0</v>
      </c>
      <c r="BG86" s="57">
        <f>IF(ISERROR(IF(B86=C86,V86/C86,(INT(V86/B86)+(((V86-B86*INT(V86/B86)))/C86)/100))),0,(IF(B86=C86,V86/C86,(INT(V86/B86)+(((V86-B86*INT(V86/B86)))/C86)/100))))</f>
        <v>0</v>
      </c>
      <c r="BH86" s="57">
        <f>IF(ISERROR(IF(B86=C86,W86/C86,(INT(W86/B86)+(((W86-B86*INT(W86/B86)))/C86)/100))),0,(IF(B86=C86,W86/C86,(INT(W86/B86)+(((W86-B86*INT(W86/B86)))/C86)/100))))</f>
        <v>0</v>
      </c>
      <c r="BI86" s="57">
        <f>IF(ISERROR(IF(B86=C86,X86/C86,(INT(X86/B86)+(((X86-B86*INT(X86/B86)))/C86)/100))),0,(IF(B86=C86,X86/C86,(INT(X86/B86)+(((X86-B86*INT(X86/B86)))/C86)/100))))</f>
        <v>0</v>
      </c>
      <c r="BJ86" s="57">
        <f>IF(ISERROR(IF(B86=C86,Y86/C86,(INT(Y86/B86)+(((Y86-B86*INT(Y86/B86)))/C86)/100))),0,(IF(B86=C86,Y86/C86,(INT(Y86/B86)+(((Y86-B86*INT(Y86/B86)))/C86)/100))))</f>
        <v>0</v>
      </c>
      <c r="BL86" s="57">
        <f>IF(ISERROR(IF(B86=C86,AA86/C86,(INT(AA86/B86)+(((AA86-B86*INT(AA86/B86)))/C86)/100))),0,(IF(B86=C86,AA86/C86,(INT(AA86/B86)+(((AA86-B86*INT(AA86/B86)))/C86)/100))))</f>
        <v>0</v>
      </c>
      <c r="BM86" s="57">
        <f>IF(ISERROR(IF(B86=C86,AB86/C86,(INT(AB86/B86)+(((AB86-B86*INT(AB86/B86)))/C86)/100))),0,(IF(B86=C86,AB86/C86,(INT(AB86/B86)+(((AB86-B86*INT(AB86/B86)))/C86)/100))))</f>
        <v>0</v>
      </c>
      <c r="BN86" s="57">
        <f>IF(ISERROR(IF(B86=C86,AC86/C86,(INT(AC86/B86)+(((AC86-B86*INT(AC86/B86)))/C86)/100))),0,(IF(B86=C86,AC86/C86,(INT(AC86/B86)+(((AC86-B86*INT(AC86/B86)))/C86)/100))))</f>
        <v>0</v>
      </c>
      <c r="BO86" s="57">
        <f>IF(ISERROR(IF(B86=C86,AD86/C86,(INT(AD86/B86)+(((AD86-B86*INT(AD86/B86)))/C86)/100))),0,(IF(B86=C86,AD86/C86,(INT(AD86/B86)+(((AD86-B86*INT(AD86/B86)))/C86)/100))))</f>
        <v>0</v>
      </c>
      <c r="BQ86" s="155"/>
    </row>
    <row r="87" spans="1:69" hidden="1" x14ac:dyDescent="0.35">
      <c r="A87" s="94"/>
      <c r="B87" s="113">
        <v>0</v>
      </c>
      <c r="C87" s="113">
        <v>0</v>
      </c>
      <c r="D87" s="28">
        <f>SUM(AA87:AD87)</f>
        <v>0</v>
      </c>
      <c r="E87" s="113">
        <v>0</v>
      </c>
      <c r="F87" s="113">
        <v>0</v>
      </c>
      <c r="G87" s="28">
        <f>SUM(D87:F87)</f>
        <v>0</v>
      </c>
      <c r="H87" s="125">
        <v>0</v>
      </c>
      <c r="I87" s="113">
        <v>0</v>
      </c>
      <c r="J87" s="125">
        <v>0</v>
      </c>
      <c r="K87" s="113">
        <v>0</v>
      </c>
      <c r="L87" s="113">
        <v>0</v>
      </c>
      <c r="M87" s="113">
        <v>0</v>
      </c>
      <c r="N87" s="28">
        <f>G87-SUM(H87:M87)</f>
        <v>0</v>
      </c>
      <c r="O87" s="28">
        <f>SUM(V87:Y87)</f>
        <v>0</v>
      </c>
      <c r="P87" s="28">
        <f>O87-N87</f>
        <v>0</v>
      </c>
      <c r="Q87" s="61" t="str">
        <f>IF(ISERROR(P87/SUM(H87:L87)),"",P87/SUM(H87:L87))</f>
        <v/>
      </c>
      <c r="R87" s="113">
        <v>0</v>
      </c>
      <c r="S87" s="28">
        <f>IF(ISERROR(P87/C87*R87),0,(P87/C87*R87))</f>
        <v>0</v>
      </c>
      <c r="T87" s="60">
        <f>IF(ISERROR(P87/B87*AF87),0,(P87/B87*AF87))</f>
        <v>0</v>
      </c>
      <c r="V87" s="113">
        <v>0</v>
      </c>
      <c r="W87" s="113">
        <v>0</v>
      </c>
      <c r="X87" s="113">
        <v>0</v>
      </c>
      <c r="Y87" s="113">
        <v>0</v>
      </c>
      <c r="AA87" s="113">
        <v>0</v>
      </c>
      <c r="AB87" s="113">
        <v>0</v>
      </c>
      <c r="AC87" s="113">
        <v>0</v>
      </c>
      <c r="AD87" s="113">
        <v>0</v>
      </c>
      <c r="AF87" s="113">
        <v>0</v>
      </c>
      <c r="AG87" s="28">
        <f>G87-O87</f>
        <v>0</v>
      </c>
      <c r="AH87" s="58">
        <f>IF(ISERROR(AG87/B87*AF87),0,(AG87/B87*AF87))</f>
        <v>0</v>
      </c>
      <c r="AI87" s="28">
        <f>SUM(H87:M87)</f>
        <v>0</v>
      </c>
      <c r="AJ87" s="28">
        <f>IF(ISERROR(AI87/B87*AF87),0,(AI87/B87*AF87))</f>
        <v>0</v>
      </c>
      <c r="AK87" s="58">
        <f>IF(ISERROR(O87/B87*AF87),0,(O87/B87*AF87))</f>
        <v>0</v>
      </c>
      <c r="AL87" s="28">
        <f>IF(ISERROR(H87/B87*AF87),0,(H87/B87*AF87))</f>
        <v>0</v>
      </c>
      <c r="AN87" s="51">
        <f>A87</f>
        <v>0</v>
      </c>
      <c r="AO87" s="57">
        <f>IF(ISERROR(IF(B87=C87,D87/C87,(INT(D87/B87)+(((D87-B87*INT(D87/B87)))/C87)/100))),0,(IF(B87=C87,D87/C87,(INT(D87/B87)+(((D87-B87*INT(D87/B87)))/C87)/100))))</f>
        <v>0</v>
      </c>
      <c r="AP87" s="57">
        <f>IF(ISERROR(IF(B87=C87,E87/C87,(INT(E87/B87)+(((E87-B87*INT(E87/B87)))/C87)/100))),0,(IF(B87=C87,E87/C87,(INT(E87/B87)+(((E87-B87*INT(E87/B87)))/C87)/100))))</f>
        <v>0</v>
      </c>
      <c r="AQ87" s="57">
        <f>IF(ISERROR(IF(B87=C87,F87/C87,IF((INT(F87/B87)+(((F87-B87*INT(F87/B87)))/C87)/100)&lt;0,(INT(F87/B87)+(((F87-B87*INT(F87/B87)))/C87)/100)+(1-(B87/C87/100)),(INT(F87/B87)+(((F87-B87*INT(F87/B87)))/C87)/100)))),0,IF(B87=C87,F87/C87,IF((INT(F87/B87)+(((F87-B87*INT(F87/B87)))/C87)/100)&lt;0,(INT(F87/B87)+(((F87-B87*INT(F87/B87)))/C87)/100)+(1-(B87/C87/100)),(INT(F87/B87)+(((F87-B87*INT(F87/B87)))/C87)/100))))</f>
        <v>0</v>
      </c>
      <c r="AR87" s="57">
        <f>IF(ISERROR(IF(B87=C87,G87/C87,(INT(G87/B87)+(((G87-B87*INT(G87/B87)))/C87)/100))),0,(IF(B87=C87,G87/C87,(INT(G87/B87)+(((G87-B87*INT(G87/B87)))/C87)/100))))</f>
        <v>0</v>
      </c>
      <c r="AS87" s="57">
        <f>IF(ISERROR(IF(B87=C87,H87/C87,(INT(H87/B87)+(((H87-B87*INT(H87/B87)))/C87)/100))),0,(IF(B87=C87,H87/C87,(INT(H87/B87)+(((H87-B87*INT(H87/B87)))/C87)/100))))</f>
        <v>0</v>
      </c>
      <c r="AT87" s="57">
        <f>IF(ISERROR(IF(B87=C87,I87/C87,(INT(I87/B87)+(((I87-B87*INT(I87/B87)))/C87)/100))),0,(IF(B87=C87,I87/C87,(INT(I87/B87)+(((I87-B87*INT(I87/B87)))/C87)/100))))</f>
        <v>0</v>
      </c>
      <c r="AU87" s="57">
        <f>IF(ISERROR(IF(B87=C87,J87/C87,(INT(J87/B87)+(((J87-B87*INT(J87/B87)))/C87)/100))),0,(IF(B87=C87,J87/C87,(INT(J87/B87)+(((J87-B87*INT(J87/B87)))/C87)/100))))</f>
        <v>0</v>
      </c>
      <c r="AV87" s="57">
        <f>IF(ISERROR(IF(B87=C87,K87/C87,IF((INT(K87/B87)+(((K87-B87*INT(K87/B87)))/C87)/100)&lt;0,(INT(K87/B87)+(((K87-B87*INT(K87/B87)))/C87)/100)+(1-(B87/C87/100)),(INT(K87/B87)+(((K87-B87*INT(K87/B87)))/C87)/100)))),0,IF(B87=C87,K87/C87,IF((INT(K87/B87)+(((K87-B87*INT(K87/B87)))/C87)/100)&lt;0,(INT(K87/B87)+(((K87-B87*INT(K87/B87)))/C87)/100)+(1-(B87/C87/100)),(INT(K87/B87)+(((K87-B87*INT(K87/B87)))/C87)/100))))</f>
        <v>0</v>
      </c>
      <c r="AW87" s="57">
        <f>IF(ISERROR(IF(B87=C87,L87/C87,(INT(L87/B87)+(((L87-B87*INT(L87/B87)))/C87)/100))),0,(IF(B87=C87,L87/C87,(INT(L87/B87)+(((L87-B87*INT(L87/B87)))/C87)/100))))</f>
        <v>0</v>
      </c>
      <c r="AX87" s="57">
        <f>IF(ISERROR(IF(B87=C87,M87/C87,(INT(M87/B87)+(((M87-B87*INT(M87/B87)))/C87)/100))),0,(IF(B87=C87,M87/C87,(INT(M87/B87)+(((M87-B87*INT(M87/B87)))/C87)/100))))</f>
        <v>0</v>
      </c>
      <c r="AY87" s="57">
        <f>IF(ISERROR(IF(B87=C87,N87/C87,IF((INT(N87/B87)+(((N87-B87*INT(N87/B87)))/C87)/100)&lt;0,(INT(N87/B87)+(((N87-B87*INT(N87/B87)))/C87)/100)+(1-(B87/C87/100)),(INT(N87/B87)+(((N87-B87*INT(N87/B87)))/C87)/100)))),0,IF(B87=C87,N87/C87,IF((INT(N87/B87)+(((N87-B87*INT(N87/B87)))/C87)/100)&lt;0,(INT(N87/B87)+(((N87-B87*INT(N87/B87)))/C87)/100)+(1-(B87/C87/100)),(INT(N87/B87)+(((N87-B87*INT(N87/B87)))/C87)/100))))</f>
        <v>0</v>
      </c>
      <c r="AZ87" s="57">
        <f>IF(ISERROR(IF(B87=C87,O87/C87,(INT(O87/B87)+(((O87-B87*INT(O87/B87)))/C87)/100))),0,(IF(B87=C87,O87/C87,(INT(O87/B87)+(((O87-B87*INT(O87/B87)))/C87)/100))))</f>
        <v>0</v>
      </c>
      <c r="BA87" s="57">
        <f>IF(ISERROR(IF(B87=C87,P87/C87,IF((INT(P87/B87)+(((P87-B87*INT(P87/B87)))/C87)/100)&lt;0,(INT(P87/B87)+(((P87-B87*INT(P87/B87)))/C87)/100)+(1-(B87/C87/100)),(INT(P87/B87)+(((P87-B87*INT(P87/B87)))/C87)/100)))),0,IF(B87=C87,P87/C87,IF((INT(P87/B87)+(((P87-B87*INT(P87/B87)))/C87)/100)&lt;0,(INT(P87/B87)+(((P87-B87*INT(P87/B87)))/C87)/100)+(1-(B87/C87/100)),(INT(P87/B87)+(((P87-B87*INT(P87/B87)))/C87)/100))))</f>
        <v>0</v>
      </c>
      <c r="BB87" s="28">
        <f>R87</f>
        <v>0</v>
      </c>
      <c r="BC87" s="28">
        <f>S87</f>
        <v>0</v>
      </c>
      <c r="BD87" s="28">
        <f>AF87</f>
        <v>0</v>
      </c>
      <c r="BE87" s="28">
        <f>T87</f>
        <v>0</v>
      </c>
      <c r="BG87" s="57">
        <f>IF(ISERROR(IF(B87=C87,V87/C87,(INT(V87/B87)+(((V87-B87*INT(V87/B87)))/C87)/100))),0,(IF(B87=C87,V87/C87,(INT(V87/B87)+(((V87-B87*INT(V87/B87)))/C87)/100))))</f>
        <v>0</v>
      </c>
      <c r="BH87" s="57">
        <f>IF(ISERROR(IF(B87=C87,W87/C87,(INT(W87/B87)+(((W87-B87*INT(W87/B87)))/C87)/100))),0,(IF(B87=C87,W87/C87,(INT(W87/B87)+(((W87-B87*INT(W87/B87)))/C87)/100))))</f>
        <v>0</v>
      </c>
      <c r="BI87" s="57">
        <f>IF(ISERROR(IF(B87=C87,X87/C87,(INT(X87/B87)+(((X87-B87*INT(X87/B87)))/C87)/100))),0,(IF(B87=C87,X87/C87,(INT(X87/B87)+(((X87-B87*INT(X87/B87)))/C87)/100))))</f>
        <v>0</v>
      </c>
      <c r="BJ87" s="57">
        <f>IF(ISERROR(IF(B87=C87,Y87/C87,(INT(Y87/B87)+(((Y87-B87*INT(Y87/B87)))/C87)/100))),0,(IF(B87=C87,Y87/C87,(INT(Y87/B87)+(((Y87-B87*INT(Y87/B87)))/C87)/100))))</f>
        <v>0</v>
      </c>
      <c r="BL87" s="57">
        <f>IF(ISERROR(IF(B87=C87,AA87/C87,(INT(AA87/B87)+(((AA87-B87*INT(AA87/B87)))/C87)/100))),0,(IF(B87=C87,AA87/C87,(INT(AA87/B87)+(((AA87-B87*INT(AA87/B87)))/C87)/100))))</f>
        <v>0</v>
      </c>
      <c r="BM87" s="57">
        <f>IF(ISERROR(IF(B87=C87,AB87/C87,(INT(AB87/B87)+(((AB87-B87*INT(AB87/B87)))/C87)/100))),0,(IF(B87=C87,AB87/C87,(INT(AB87/B87)+(((AB87-B87*INT(AB87/B87)))/C87)/100))))</f>
        <v>0</v>
      </c>
      <c r="BN87" s="57">
        <f>IF(ISERROR(IF(B87=C87,AC87/C87,(INT(AC87/B87)+(((AC87-B87*INT(AC87/B87)))/C87)/100))),0,(IF(B87=C87,AC87/C87,(INT(AC87/B87)+(((AC87-B87*INT(AC87/B87)))/C87)/100))))</f>
        <v>0</v>
      </c>
      <c r="BO87" s="57">
        <f>IF(ISERROR(IF(B87=C87,AD87/C87,(INT(AD87/B87)+(((AD87-B87*INT(AD87/B87)))/C87)/100))),0,(IF(B87=C87,AD87/C87,(INT(AD87/B87)+(((AD87-B87*INT(AD87/B87)))/C87)/100))))</f>
        <v>0</v>
      </c>
      <c r="BQ87" s="155"/>
    </row>
    <row r="88" spans="1:69" hidden="1" x14ac:dyDescent="0.35">
      <c r="A88" s="94"/>
      <c r="B88" s="113">
        <v>0</v>
      </c>
      <c r="C88" s="113">
        <v>0</v>
      </c>
      <c r="D88" s="28">
        <f>SUM(AA88:AD88)</f>
        <v>0</v>
      </c>
      <c r="E88" s="113">
        <v>0</v>
      </c>
      <c r="F88" s="113">
        <v>0</v>
      </c>
      <c r="G88" s="28">
        <f>SUM(D88:F88)</f>
        <v>0</v>
      </c>
      <c r="H88" s="125">
        <v>0</v>
      </c>
      <c r="I88" s="113">
        <v>0</v>
      </c>
      <c r="J88" s="125">
        <v>0</v>
      </c>
      <c r="K88" s="113">
        <v>0</v>
      </c>
      <c r="L88" s="113">
        <v>0</v>
      </c>
      <c r="M88" s="113">
        <v>0</v>
      </c>
      <c r="N88" s="28">
        <f>G88-SUM(H88:M88)</f>
        <v>0</v>
      </c>
      <c r="O88" s="28">
        <f>SUM(V88:Y88)</f>
        <v>0</v>
      </c>
      <c r="P88" s="28">
        <f>O88-N88</f>
        <v>0</v>
      </c>
      <c r="Q88" s="61" t="str">
        <f>IF(ISERROR(P88/SUM(H88:L88)),"",P88/SUM(H88:L88))</f>
        <v/>
      </c>
      <c r="R88" s="113">
        <v>0</v>
      </c>
      <c r="S88" s="28">
        <f>IF(ISERROR(P88/C88*R88),0,(P88/C88*R88))</f>
        <v>0</v>
      </c>
      <c r="T88" s="60">
        <f>IF(ISERROR(P88/B88*AF88),0,(P88/B88*AF88))</f>
        <v>0</v>
      </c>
      <c r="V88" s="113">
        <v>0</v>
      </c>
      <c r="W88" s="113">
        <v>0</v>
      </c>
      <c r="X88" s="113">
        <v>0</v>
      </c>
      <c r="Y88" s="113">
        <v>0</v>
      </c>
      <c r="AA88" s="113">
        <v>0</v>
      </c>
      <c r="AB88" s="113">
        <v>0</v>
      </c>
      <c r="AC88" s="113">
        <v>0</v>
      </c>
      <c r="AD88" s="113">
        <v>0</v>
      </c>
      <c r="AF88" s="113">
        <v>0</v>
      </c>
      <c r="AG88" s="28">
        <f>G88-O88</f>
        <v>0</v>
      </c>
      <c r="AH88" s="58">
        <f>IF(ISERROR(AG88/B88*AF88),0,(AG88/B88*AF88))</f>
        <v>0</v>
      </c>
      <c r="AI88" s="28">
        <f>SUM(H88:M88)</f>
        <v>0</v>
      </c>
      <c r="AJ88" s="28">
        <f>IF(ISERROR(AI88/B88*AF88),0,(AI88/B88*AF88))</f>
        <v>0</v>
      </c>
      <c r="AK88" s="58">
        <f>IF(ISERROR(O88/B88*AF88),0,(O88/B88*AF88))</f>
        <v>0</v>
      </c>
      <c r="AL88" s="28">
        <f>IF(ISERROR(H88/B88*AF88),0,(H88/B88*AF88))</f>
        <v>0</v>
      </c>
      <c r="AN88" s="51">
        <f>A88</f>
        <v>0</v>
      </c>
      <c r="AO88" s="57">
        <f>IF(ISERROR(IF(B88=C88,D88/C88,(INT(D88/B88)+(((D88-B88*INT(D88/B88)))/C88)/100))),0,(IF(B88=C88,D88/C88,(INT(D88/B88)+(((D88-B88*INT(D88/B88)))/C88)/100))))</f>
        <v>0</v>
      </c>
      <c r="AP88" s="57">
        <f>IF(ISERROR(IF(B88=C88,E88/C88,(INT(E88/B88)+(((E88-B88*INT(E88/B88)))/C88)/100))),0,(IF(B88=C88,E88/C88,(INT(E88/B88)+(((E88-B88*INT(E88/B88)))/C88)/100))))</f>
        <v>0</v>
      </c>
      <c r="AQ88" s="57">
        <f>IF(ISERROR(IF(B88=C88,F88/C88,IF((INT(F88/B88)+(((F88-B88*INT(F88/B88)))/C88)/100)&lt;0,(INT(F88/B88)+(((F88-B88*INT(F88/B88)))/C88)/100)+(1-(B88/C88/100)),(INT(F88/B88)+(((F88-B88*INT(F88/B88)))/C88)/100)))),0,IF(B88=C88,F88/C88,IF((INT(F88/B88)+(((F88-B88*INT(F88/B88)))/C88)/100)&lt;0,(INT(F88/B88)+(((F88-B88*INT(F88/B88)))/C88)/100)+(1-(B88/C88/100)),(INT(F88/B88)+(((F88-B88*INT(F88/B88)))/C88)/100))))</f>
        <v>0</v>
      </c>
      <c r="AR88" s="57">
        <f>IF(ISERROR(IF(B88=C88,G88/C88,(INT(G88/B88)+(((G88-B88*INT(G88/B88)))/C88)/100))),0,(IF(B88=C88,G88/C88,(INT(G88/B88)+(((G88-B88*INT(G88/B88)))/C88)/100))))</f>
        <v>0</v>
      </c>
      <c r="AS88" s="57">
        <f>IF(ISERROR(IF(B88=C88,H88/C88,(INT(H88/B88)+(((H88-B88*INT(H88/B88)))/C88)/100))),0,(IF(B88=C88,H88/C88,(INT(H88/B88)+(((H88-B88*INT(H88/B88)))/C88)/100))))</f>
        <v>0</v>
      </c>
      <c r="AT88" s="57">
        <f>IF(ISERROR(IF(B88=C88,I88/C88,(INT(I88/B88)+(((I88-B88*INT(I88/B88)))/C88)/100))),0,(IF(B88=C88,I88/C88,(INT(I88/B88)+(((I88-B88*INT(I88/B88)))/C88)/100))))</f>
        <v>0</v>
      </c>
      <c r="AU88" s="57">
        <f>IF(ISERROR(IF(B88=C88,J88/C88,(INT(J88/B88)+(((J88-B88*INT(J88/B88)))/C88)/100))),0,(IF(B88=C88,J88/C88,(INT(J88/B88)+(((J88-B88*INT(J88/B88)))/C88)/100))))</f>
        <v>0</v>
      </c>
      <c r="AV88" s="57">
        <f>IF(ISERROR(IF(B88=C88,K88/C88,IF((INT(K88/B88)+(((K88-B88*INT(K88/B88)))/C88)/100)&lt;0,(INT(K88/B88)+(((K88-B88*INT(K88/B88)))/C88)/100)+(1-(B88/C88/100)),(INT(K88/B88)+(((K88-B88*INT(K88/B88)))/C88)/100)))),0,IF(B88=C88,K88/C88,IF((INT(K88/B88)+(((K88-B88*INT(K88/B88)))/C88)/100)&lt;0,(INT(K88/B88)+(((K88-B88*INT(K88/B88)))/C88)/100)+(1-(B88/C88/100)),(INT(K88/B88)+(((K88-B88*INT(K88/B88)))/C88)/100))))</f>
        <v>0</v>
      </c>
      <c r="AW88" s="57">
        <f>IF(ISERROR(IF(B88=C88,L88/C88,(INT(L88/B88)+(((L88-B88*INT(L88/B88)))/C88)/100))),0,(IF(B88=C88,L88/C88,(INT(L88/B88)+(((L88-B88*INT(L88/B88)))/C88)/100))))</f>
        <v>0</v>
      </c>
      <c r="AX88" s="57">
        <f>IF(ISERROR(IF(B88=C88,M88/C88,(INT(M88/B88)+(((M88-B88*INT(M88/B88)))/C88)/100))),0,(IF(B88=C88,M88/C88,(INT(M88/B88)+(((M88-B88*INT(M88/B88)))/C88)/100))))</f>
        <v>0</v>
      </c>
      <c r="AY88" s="57">
        <f>IF(ISERROR(IF(B88=C88,N88/C88,IF((INT(N88/B88)+(((N88-B88*INT(N88/B88)))/C88)/100)&lt;0,(INT(N88/B88)+(((N88-B88*INT(N88/B88)))/C88)/100)+(1-(B88/C88/100)),(INT(N88/B88)+(((N88-B88*INT(N88/B88)))/C88)/100)))),0,IF(B88=C88,N88/C88,IF((INT(N88/B88)+(((N88-B88*INT(N88/B88)))/C88)/100)&lt;0,(INT(N88/B88)+(((N88-B88*INT(N88/B88)))/C88)/100)+(1-(B88/C88/100)),(INT(N88/B88)+(((N88-B88*INT(N88/B88)))/C88)/100))))</f>
        <v>0</v>
      </c>
      <c r="AZ88" s="57">
        <f>IF(ISERROR(IF(B88=C88,O88/C88,(INT(O88/B88)+(((O88-B88*INT(O88/B88)))/C88)/100))),0,(IF(B88=C88,O88/C88,(INT(O88/B88)+(((O88-B88*INT(O88/B88)))/C88)/100))))</f>
        <v>0</v>
      </c>
      <c r="BA88" s="57">
        <f>IF(ISERROR(IF(B88=C88,P88/C88,IF((INT(P88/B88)+(((P88-B88*INT(P88/B88)))/C88)/100)&lt;0,(INT(P88/B88)+(((P88-B88*INT(P88/B88)))/C88)/100)+(1-(B88/C88/100)),(INT(P88/B88)+(((P88-B88*INT(P88/B88)))/C88)/100)))),0,IF(B88=C88,P88/C88,IF((INT(P88/B88)+(((P88-B88*INT(P88/B88)))/C88)/100)&lt;0,(INT(P88/B88)+(((P88-B88*INT(P88/B88)))/C88)/100)+(1-(B88/C88/100)),(INT(P88/B88)+(((P88-B88*INT(P88/B88)))/C88)/100))))</f>
        <v>0</v>
      </c>
      <c r="BB88" s="28">
        <f>R88</f>
        <v>0</v>
      </c>
      <c r="BC88" s="28">
        <f>S88</f>
        <v>0</v>
      </c>
      <c r="BD88" s="28">
        <f>AF88</f>
        <v>0</v>
      </c>
      <c r="BE88" s="28">
        <f>T88</f>
        <v>0</v>
      </c>
      <c r="BG88" s="57">
        <f>IF(ISERROR(IF(B88=C88,V88/C88,(INT(V88/B88)+(((V88-B88*INT(V88/B88)))/C88)/100))),0,(IF(B88=C88,V88/C88,(INT(V88/B88)+(((V88-B88*INT(V88/B88)))/C88)/100))))</f>
        <v>0</v>
      </c>
      <c r="BH88" s="57">
        <f>IF(ISERROR(IF(B88=C88,W88/C88,(INT(W88/B88)+(((W88-B88*INT(W88/B88)))/C88)/100))),0,(IF(B88=C88,W88/C88,(INT(W88/B88)+(((W88-B88*INT(W88/B88)))/C88)/100))))</f>
        <v>0</v>
      </c>
      <c r="BI88" s="57">
        <f>IF(ISERROR(IF(B88=C88,X88/C88,(INT(X88/B88)+(((X88-B88*INT(X88/B88)))/C88)/100))),0,(IF(B88=C88,X88/C88,(INT(X88/B88)+(((X88-B88*INT(X88/B88)))/C88)/100))))</f>
        <v>0</v>
      </c>
      <c r="BJ88" s="57">
        <f>IF(ISERROR(IF(B88=C88,Y88/C88,(INT(Y88/B88)+(((Y88-B88*INT(Y88/B88)))/C88)/100))),0,(IF(B88=C88,Y88/C88,(INT(Y88/B88)+(((Y88-B88*INT(Y88/B88)))/C88)/100))))</f>
        <v>0</v>
      </c>
      <c r="BL88" s="57">
        <f>IF(ISERROR(IF(B88=C88,AA88/C88,(INT(AA88/B88)+(((AA88-B88*INT(AA88/B88)))/C88)/100))),0,(IF(B88=C88,AA88/C88,(INT(AA88/B88)+(((AA88-B88*INT(AA88/B88)))/C88)/100))))</f>
        <v>0</v>
      </c>
      <c r="BM88" s="57">
        <f>IF(ISERROR(IF(B88=C88,AB88/C88,(INT(AB88/B88)+(((AB88-B88*INT(AB88/B88)))/C88)/100))),0,(IF(B88=C88,AB88/C88,(INT(AB88/B88)+(((AB88-B88*INT(AB88/B88)))/C88)/100))))</f>
        <v>0</v>
      </c>
      <c r="BN88" s="57">
        <f>IF(ISERROR(IF(B88=C88,AC88/C88,(INT(AC88/B88)+(((AC88-B88*INT(AC88/B88)))/C88)/100))),0,(IF(B88=C88,AC88/C88,(INT(AC88/B88)+(((AC88-B88*INT(AC88/B88)))/C88)/100))))</f>
        <v>0</v>
      </c>
      <c r="BO88" s="57">
        <f>IF(ISERROR(IF(B88=C88,AD88/C88,(INT(AD88/B88)+(((AD88-B88*INT(AD88/B88)))/C88)/100))),0,(IF(B88=C88,AD88/C88,(INT(AD88/B88)+(((AD88-B88*INT(AD88/B88)))/C88)/100))))</f>
        <v>0</v>
      </c>
      <c r="BQ88" s="155"/>
    </row>
    <row r="89" spans="1:69" hidden="1" x14ac:dyDescent="0.35">
      <c r="A89" s="94"/>
      <c r="B89" s="113">
        <v>0</v>
      </c>
      <c r="C89" s="113">
        <v>0</v>
      </c>
      <c r="D89" s="28">
        <f>SUM(AA89:AD89)</f>
        <v>0</v>
      </c>
      <c r="E89" s="113">
        <v>0</v>
      </c>
      <c r="F89" s="113">
        <v>0</v>
      </c>
      <c r="G89" s="28">
        <f>SUM(D89:F89)</f>
        <v>0</v>
      </c>
      <c r="H89" s="125">
        <v>0</v>
      </c>
      <c r="I89" s="113">
        <v>0</v>
      </c>
      <c r="J89" s="125">
        <v>0</v>
      </c>
      <c r="K89" s="113">
        <v>0</v>
      </c>
      <c r="L89" s="113">
        <v>0</v>
      </c>
      <c r="M89" s="113">
        <v>0</v>
      </c>
      <c r="N89" s="28">
        <f>G89-SUM(H89:M89)</f>
        <v>0</v>
      </c>
      <c r="O89" s="28">
        <f>SUM(V89:Y89)</f>
        <v>0</v>
      </c>
      <c r="P89" s="28">
        <f>O89-N89</f>
        <v>0</v>
      </c>
      <c r="Q89" s="61" t="str">
        <f>IF(ISERROR(P89/SUM(H89:L89)),"",P89/SUM(H89:L89))</f>
        <v/>
      </c>
      <c r="R89" s="113">
        <v>0</v>
      </c>
      <c r="S89" s="28">
        <f>IF(ISERROR(P89/C89*R89),0,(P89/C89*R89))</f>
        <v>0</v>
      </c>
      <c r="T89" s="60">
        <f>IF(ISERROR(P89/B89*AF89),0,(P89/B89*AF89))</f>
        <v>0</v>
      </c>
      <c r="V89" s="113">
        <v>0</v>
      </c>
      <c r="W89" s="113">
        <v>0</v>
      </c>
      <c r="X89" s="113">
        <v>0</v>
      </c>
      <c r="Y89" s="113">
        <v>0</v>
      </c>
      <c r="AA89" s="113">
        <v>0</v>
      </c>
      <c r="AB89" s="113">
        <v>0</v>
      </c>
      <c r="AC89" s="113">
        <v>0</v>
      </c>
      <c r="AD89" s="113">
        <v>0</v>
      </c>
      <c r="AF89" s="113">
        <v>0</v>
      </c>
      <c r="AG89" s="28">
        <f>G89-O89</f>
        <v>0</v>
      </c>
      <c r="AH89" s="58">
        <f>IF(ISERROR(AG89/B89*AF89),0,(AG89/B89*AF89))</f>
        <v>0</v>
      </c>
      <c r="AI89" s="28">
        <f>SUM(H89:M89)</f>
        <v>0</v>
      </c>
      <c r="AJ89" s="28">
        <f>IF(ISERROR(AI89/B89*AF89),0,(AI89/B89*AF89))</f>
        <v>0</v>
      </c>
      <c r="AK89" s="58">
        <f>IF(ISERROR(O89/B89*AF89),0,(O89/B89*AF89))</f>
        <v>0</v>
      </c>
      <c r="AL89" s="28">
        <f>IF(ISERROR(H89/B89*AF89),0,(H89/B89*AF89))</f>
        <v>0</v>
      </c>
      <c r="AN89" s="51">
        <f>A89</f>
        <v>0</v>
      </c>
      <c r="AO89" s="57">
        <f>IF(ISERROR(IF(B89=C89,D89/C89,(INT(D89/B89)+(((D89-B89*INT(D89/B89)))/C89)/100))),0,(IF(B89=C89,D89/C89,(INT(D89/B89)+(((D89-B89*INT(D89/B89)))/C89)/100))))</f>
        <v>0</v>
      </c>
      <c r="AP89" s="57">
        <f>IF(ISERROR(IF(B89=C89,E89/C89,(INT(E89/B89)+(((E89-B89*INT(E89/B89)))/C89)/100))),0,(IF(B89=C89,E89/C89,(INT(E89/B89)+(((E89-B89*INT(E89/B89)))/C89)/100))))</f>
        <v>0</v>
      </c>
      <c r="AQ89" s="57">
        <f>IF(ISERROR(IF(B89=C89,F89/C89,IF((INT(F89/B89)+(((F89-B89*INT(F89/B89)))/C89)/100)&lt;0,(INT(F89/B89)+(((F89-B89*INT(F89/B89)))/C89)/100)+(1-(B89/C89/100)),(INT(F89/B89)+(((F89-B89*INT(F89/B89)))/C89)/100)))),0,IF(B89=C89,F89/C89,IF((INT(F89/B89)+(((F89-B89*INT(F89/B89)))/C89)/100)&lt;0,(INT(F89/B89)+(((F89-B89*INT(F89/B89)))/C89)/100)+(1-(B89/C89/100)),(INT(F89/B89)+(((F89-B89*INT(F89/B89)))/C89)/100))))</f>
        <v>0</v>
      </c>
      <c r="AR89" s="57">
        <f>IF(ISERROR(IF(B89=C89,G89/C89,(INT(G89/B89)+(((G89-B89*INT(G89/B89)))/C89)/100))),0,(IF(B89=C89,G89/C89,(INT(G89/B89)+(((G89-B89*INT(G89/B89)))/C89)/100))))</f>
        <v>0</v>
      </c>
      <c r="AS89" s="57">
        <f>IF(ISERROR(IF(B89=C89,H89/C89,(INT(H89/B89)+(((H89-B89*INT(H89/B89)))/C89)/100))),0,(IF(B89=C89,H89/C89,(INT(H89/B89)+(((H89-B89*INT(H89/B89)))/C89)/100))))</f>
        <v>0</v>
      </c>
      <c r="AT89" s="57">
        <f>IF(ISERROR(IF(B89=C89,I89/C89,(INT(I89/B89)+(((I89-B89*INT(I89/B89)))/C89)/100))),0,(IF(B89=C89,I89/C89,(INT(I89/B89)+(((I89-B89*INT(I89/B89)))/C89)/100))))</f>
        <v>0</v>
      </c>
      <c r="AU89" s="57">
        <f>IF(ISERROR(IF(B89=C89,J89/C89,(INT(J89/B89)+(((J89-B89*INT(J89/B89)))/C89)/100))),0,(IF(B89=C89,J89/C89,(INT(J89/B89)+(((J89-B89*INT(J89/B89)))/C89)/100))))</f>
        <v>0</v>
      </c>
      <c r="AV89" s="57">
        <f>IF(ISERROR(IF(B89=C89,K89/C89,IF((INT(K89/B89)+(((K89-B89*INT(K89/B89)))/C89)/100)&lt;0,(INT(K89/B89)+(((K89-B89*INT(K89/B89)))/C89)/100)+(1-(B89/C89/100)),(INT(K89/B89)+(((K89-B89*INT(K89/B89)))/C89)/100)))),0,IF(B89=C89,K89/C89,IF((INT(K89/B89)+(((K89-B89*INT(K89/B89)))/C89)/100)&lt;0,(INT(K89/B89)+(((K89-B89*INT(K89/B89)))/C89)/100)+(1-(B89/C89/100)),(INT(K89/B89)+(((K89-B89*INT(K89/B89)))/C89)/100))))</f>
        <v>0</v>
      </c>
      <c r="AW89" s="57">
        <f>IF(ISERROR(IF(B89=C89,L89/C89,(INT(L89/B89)+(((L89-B89*INT(L89/B89)))/C89)/100))),0,(IF(B89=C89,L89/C89,(INT(L89/B89)+(((L89-B89*INT(L89/B89)))/C89)/100))))</f>
        <v>0</v>
      </c>
      <c r="AX89" s="57">
        <f>IF(ISERROR(IF(B89=C89,M89/C89,(INT(M89/B89)+(((M89-B89*INT(M89/B89)))/C89)/100))),0,(IF(B89=C89,M89/C89,(INT(M89/B89)+(((M89-B89*INT(M89/B89)))/C89)/100))))</f>
        <v>0</v>
      </c>
      <c r="AY89" s="57">
        <f>IF(ISERROR(IF(B89=C89,N89/C89,IF((INT(N89/B89)+(((N89-B89*INT(N89/B89)))/C89)/100)&lt;0,(INT(N89/B89)+(((N89-B89*INT(N89/B89)))/C89)/100)+(1-(B89/C89/100)),(INT(N89/B89)+(((N89-B89*INT(N89/B89)))/C89)/100)))),0,IF(B89=C89,N89/C89,IF((INT(N89/B89)+(((N89-B89*INT(N89/B89)))/C89)/100)&lt;0,(INT(N89/B89)+(((N89-B89*INT(N89/B89)))/C89)/100)+(1-(B89/C89/100)),(INT(N89/B89)+(((N89-B89*INT(N89/B89)))/C89)/100))))</f>
        <v>0</v>
      </c>
      <c r="AZ89" s="57">
        <f>IF(ISERROR(IF(B89=C89,O89/C89,(INT(O89/B89)+(((O89-B89*INT(O89/B89)))/C89)/100))),0,(IF(B89=C89,O89/C89,(INT(O89/B89)+(((O89-B89*INT(O89/B89)))/C89)/100))))</f>
        <v>0</v>
      </c>
      <c r="BA89" s="57">
        <f>IF(ISERROR(IF(B89=C89,P89/C89,IF((INT(P89/B89)+(((P89-B89*INT(P89/B89)))/C89)/100)&lt;0,(INT(P89/B89)+(((P89-B89*INT(P89/B89)))/C89)/100)+(1-(B89/C89/100)),(INT(P89/B89)+(((P89-B89*INT(P89/B89)))/C89)/100)))),0,IF(B89=C89,P89/C89,IF((INT(P89/B89)+(((P89-B89*INT(P89/B89)))/C89)/100)&lt;0,(INT(P89/B89)+(((P89-B89*INT(P89/B89)))/C89)/100)+(1-(B89/C89/100)),(INT(P89/B89)+(((P89-B89*INT(P89/B89)))/C89)/100))))</f>
        <v>0</v>
      </c>
      <c r="BB89" s="28">
        <f>R89</f>
        <v>0</v>
      </c>
      <c r="BC89" s="28">
        <f>S89</f>
        <v>0</v>
      </c>
      <c r="BD89" s="28">
        <f>AF89</f>
        <v>0</v>
      </c>
      <c r="BE89" s="28">
        <f>T89</f>
        <v>0</v>
      </c>
      <c r="BG89" s="57">
        <f>IF(ISERROR(IF(B89=C89,V89/C89,(INT(V89/B89)+(((V89-B89*INT(V89/B89)))/C89)/100))),0,(IF(B89=C89,V89/C89,(INT(V89/B89)+(((V89-B89*INT(V89/B89)))/C89)/100))))</f>
        <v>0</v>
      </c>
      <c r="BH89" s="57">
        <f>IF(ISERROR(IF(B89=C89,W89/C89,(INT(W89/B89)+(((W89-B89*INT(W89/B89)))/C89)/100))),0,(IF(B89=C89,W89/C89,(INT(W89/B89)+(((W89-B89*INT(W89/B89)))/C89)/100))))</f>
        <v>0</v>
      </c>
      <c r="BI89" s="57">
        <f>IF(ISERROR(IF(B89=C89,X89/C89,(INT(X89/B89)+(((X89-B89*INT(X89/B89)))/C89)/100))),0,(IF(B89=C89,X89/C89,(INT(X89/B89)+(((X89-B89*INT(X89/B89)))/C89)/100))))</f>
        <v>0</v>
      </c>
      <c r="BJ89" s="57">
        <f>IF(ISERROR(IF(B89=C89,Y89/C89,(INT(Y89/B89)+(((Y89-B89*INT(Y89/B89)))/C89)/100))),0,(IF(B89=C89,Y89/C89,(INT(Y89/B89)+(((Y89-B89*INT(Y89/B89)))/C89)/100))))</f>
        <v>0</v>
      </c>
      <c r="BL89" s="57">
        <f>IF(ISERROR(IF(B89=C89,AA89/C89,(INT(AA89/B89)+(((AA89-B89*INT(AA89/B89)))/C89)/100))),0,(IF(B89=C89,AA89/C89,(INT(AA89/B89)+(((AA89-B89*INT(AA89/B89)))/C89)/100))))</f>
        <v>0</v>
      </c>
      <c r="BM89" s="57">
        <f>IF(ISERROR(IF(B89=C89,AB89/C89,(INT(AB89/B89)+(((AB89-B89*INT(AB89/B89)))/C89)/100))),0,(IF(B89=C89,AB89/C89,(INT(AB89/B89)+(((AB89-B89*INT(AB89/B89)))/C89)/100))))</f>
        <v>0</v>
      </c>
      <c r="BN89" s="57">
        <f>IF(ISERROR(IF(B89=C89,AC89/C89,(INT(AC89/B89)+(((AC89-B89*INT(AC89/B89)))/C89)/100))),0,(IF(B89=C89,AC89/C89,(INT(AC89/B89)+(((AC89-B89*INT(AC89/B89)))/C89)/100))))</f>
        <v>0</v>
      </c>
      <c r="BO89" s="57">
        <f>IF(ISERROR(IF(B89=C89,AD89/C89,(INT(AD89/B89)+(((AD89-B89*INT(AD89/B89)))/C89)/100))),0,(IF(B89=C89,AD89/C89,(INT(AD89/B89)+(((AD89-B89*INT(AD89/B89)))/C89)/100))))</f>
        <v>0</v>
      </c>
      <c r="BQ89" s="155"/>
    </row>
    <row r="90" spans="1:69" hidden="1" x14ac:dyDescent="0.35">
      <c r="A90" s="94"/>
      <c r="B90" s="113">
        <v>0</v>
      </c>
      <c r="C90" s="113">
        <v>0</v>
      </c>
      <c r="D90" s="28">
        <f>SUM(AA90:AD90)</f>
        <v>0</v>
      </c>
      <c r="E90" s="113">
        <v>0</v>
      </c>
      <c r="F90" s="113">
        <v>0</v>
      </c>
      <c r="G90" s="28">
        <f>SUM(D90:F90)</f>
        <v>0</v>
      </c>
      <c r="H90" s="125">
        <v>0</v>
      </c>
      <c r="I90" s="113">
        <v>0</v>
      </c>
      <c r="J90" s="125">
        <v>0</v>
      </c>
      <c r="K90" s="113">
        <v>0</v>
      </c>
      <c r="L90" s="113">
        <v>0</v>
      </c>
      <c r="M90" s="113">
        <v>0</v>
      </c>
      <c r="N90" s="28">
        <f>G90-SUM(H90:M90)</f>
        <v>0</v>
      </c>
      <c r="O90" s="28">
        <f>SUM(V90:Y90)</f>
        <v>0</v>
      </c>
      <c r="P90" s="28">
        <f>O90-N90</f>
        <v>0</v>
      </c>
      <c r="Q90" s="61" t="str">
        <f>IF(ISERROR(P90/SUM(H90:L90)),"",P90/SUM(H90:L90))</f>
        <v/>
      </c>
      <c r="R90" s="113">
        <v>0</v>
      </c>
      <c r="S90" s="28">
        <f>IF(ISERROR(P90/C90*R90),0,(P90/C90*R90))</f>
        <v>0</v>
      </c>
      <c r="T90" s="60">
        <f>IF(ISERROR(P90/B90*AF90),0,(P90/B90*AF90))</f>
        <v>0</v>
      </c>
      <c r="V90" s="113">
        <v>0</v>
      </c>
      <c r="W90" s="113">
        <v>0</v>
      </c>
      <c r="X90" s="113">
        <v>0</v>
      </c>
      <c r="Y90" s="113">
        <v>0</v>
      </c>
      <c r="AA90" s="113">
        <v>0</v>
      </c>
      <c r="AB90" s="113">
        <v>0</v>
      </c>
      <c r="AC90" s="113">
        <v>0</v>
      </c>
      <c r="AD90" s="113">
        <v>0</v>
      </c>
      <c r="AF90" s="113">
        <v>0</v>
      </c>
      <c r="AG90" s="28">
        <f>G90-O90</f>
        <v>0</v>
      </c>
      <c r="AH90" s="58">
        <f>IF(ISERROR(AG90/B90*AF90),0,(AG90/B90*AF90))</f>
        <v>0</v>
      </c>
      <c r="AI90" s="28">
        <f>SUM(H90:M90)</f>
        <v>0</v>
      </c>
      <c r="AJ90" s="28">
        <f>IF(ISERROR(AI90/B90*AF90),0,(AI90/B90*AF90))</f>
        <v>0</v>
      </c>
      <c r="AK90" s="58">
        <f>IF(ISERROR(O90/B90*AF90),0,(O90/B90*AF90))</f>
        <v>0</v>
      </c>
      <c r="AL90" s="28">
        <f>IF(ISERROR(H90/B90*AF90),0,(H90/B90*AF90))</f>
        <v>0</v>
      </c>
      <c r="AN90" s="51">
        <f>A90</f>
        <v>0</v>
      </c>
      <c r="AO90" s="57">
        <f>IF(ISERROR(IF(B90=C90,D90/C90,(INT(D90/B90)+(((D90-B90*INT(D90/B90)))/C90)/100))),0,(IF(B90=C90,D90/C90,(INT(D90/B90)+(((D90-B90*INT(D90/B90)))/C90)/100))))</f>
        <v>0</v>
      </c>
      <c r="AP90" s="57">
        <f>IF(ISERROR(IF(B90=C90,E90/C90,(INT(E90/B90)+(((E90-B90*INT(E90/B90)))/C90)/100))),0,(IF(B90=C90,E90/C90,(INT(E90/B90)+(((E90-B90*INT(E90/B90)))/C90)/100))))</f>
        <v>0</v>
      </c>
      <c r="AQ90" s="57">
        <f>IF(ISERROR(IF(B90=C90,F90/C90,IF((INT(F90/B90)+(((F90-B90*INT(F90/B90)))/C90)/100)&lt;0,(INT(F90/B90)+(((F90-B90*INT(F90/B90)))/C90)/100)+(1-(B90/C90/100)),(INT(F90/B90)+(((F90-B90*INT(F90/B90)))/C90)/100)))),0,IF(B90=C90,F90/C90,IF((INT(F90/B90)+(((F90-B90*INT(F90/B90)))/C90)/100)&lt;0,(INT(F90/B90)+(((F90-B90*INT(F90/B90)))/C90)/100)+(1-(B90/C90/100)),(INT(F90/B90)+(((F90-B90*INT(F90/B90)))/C90)/100))))</f>
        <v>0</v>
      </c>
      <c r="AR90" s="57">
        <f>IF(ISERROR(IF(B90=C90,G90/C90,(INT(G90/B90)+(((G90-B90*INT(G90/B90)))/C90)/100))),0,(IF(B90=C90,G90/C90,(INT(G90/B90)+(((G90-B90*INT(G90/B90)))/C90)/100))))</f>
        <v>0</v>
      </c>
      <c r="AS90" s="57">
        <f>IF(ISERROR(IF(B90=C90,H90/C90,(INT(H90/B90)+(((H90-B90*INT(H90/B90)))/C90)/100))),0,(IF(B90=C90,H90/C90,(INT(H90/B90)+(((H90-B90*INT(H90/B90)))/C90)/100))))</f>
        <v>0</v>
      </c>
      <c r="AT90" s="57">
        <f>IF(ISERROR(IF(B90=C90,I90/C90,(INT(I90/B90)+(((I90-B90*INT(I90/B90)))/C90)/100))),0,(IF(B90=C90,I90/C90,(INT(I90/B90)+(((I90-B90*INT(I90/B90)))/C90)/100))))</f>
        <v>0</v>
      </c>
      <c r="AU90" s="57">
        <f>IF(ISERROR(IF(B90=C90,J90/C90,(INT(J90/B90)+(((J90-B90*INT(J90/B90)))/C90)/100))),0,(IF(B90=C90,J90/C90,(INT(J90/B90)+(((J90-B90*INT(J90/B90)))/C90)/100))))</f>
        <v>0</v>
      </c>
      <c r="AV90" s="57">
        <f>IF(ISERROR(IF(B90=C90,K90/C90,IF((INT(K90/B90)+(((K90-B90*INT(K90/B90)))/C90)/100)&lt;0,(INT(K90/B90)+(((K90-B90*INT(K90/B90)))/C90)/100)+(1-(B90/C90/100)),(INT(K90/B90)+(((K90-B90*INT(K90/B90)))/C90)/100)))),0,IF(B90=C90,K90/C90,IF((INT(K90/B90)+(((K90-B90*INT(K90/B90)))/C90)/100)&lt;0,(INT(K90/B90)+(((K90-B90*INT(K90/B90)))/C90)/100)+(1-(B90/C90/100)),(INT(K90/B90)+(((K90-B90*INT(K90/B90)))/C90)/100))))</f>
        <v>0</v>
      </c>
      <c r="AW90" s="57">
        <f>IF(ISERROR(IF(B90=C90,L90/C90,(INT(L90/B90)+(((L90-B90*INT(L90/B90)))/C90)/100))),0,(IF(B90=C90,L90/C90,(INT(L90/B90)+(((L90-B90*INT(L90/B90)))/C90)/100))))</f>
        <v>0</v>
      </c>
      <c r="AX90" s="57">
        <f>IF(ISERROR(IF(B90=C90,M90/C90,(INT(M90/B90)+(((M90-B90*INT(M90/B90)))/C90)/100))),0,(IF(B90=C90,M90/C90,(INT(M90/B90)+(((M90-B90*INT(M90/B90)))/C90)/100))))</f>
        <v>0</v>
      </c>
      <c r="AY90" s="57">
        <f>IF(ISERROR(IF(B90=C90,N90/C90,IF((INT(N90/B90)+(((N90-B90*INT(N90/B90)))/C90)/100)&lt;0,(INT(N90/B90)+(((N90-B90*INT(N90/B90)))/C90)/100)+(1-(B90/C90/100)),(INT(N90/B90)+(((N90-B90*INT(N90/B90)))/C90)/100)))),0,IF(B90=C90,N90/C90,IF((INT(N90/B90)+(((N90-B90*INT(N90/B90)))/C90)/100)&lt;0,(INT(N90/B90)+(((N90-B90*INT(N90/B90)))/C90)/100)+(1-(B90/C90/100)),(INT(N90/B90)+(((N90-B90*INT(N90/B90)))/C90)/100))))</f>
        <v>0</v>
      </c>
      <c r="AZ90" s="57">
        <f>IF(ISERROR(IF(B90=C90,O90/C90,(INT(O90/B90)+(((O90-B90*INT(O90/B90)))/C90)/100))),0,(IF(B90=C90,O90/C90,(INT(O90/B90)+(((O90-B90*INT(O90/B90)))/C90)/100))))</f>
        <v>0</v>
      </c>
      <c r="BA90" s="57">
        <f>IF(ISERROR(IF(B90=C90,P90/C90,IF((INT(P90/B90)+(((P90-B90*INT(P90/B90)))/C90)/100)&lt;0,(INT(P90/B90)+(((P90-B90*INT(P90/B90)))/C90)/100)+(1-(B90/C90/100)),(INT(P90/B90)+(((P90-B90*INT(P90/B90)))/C90)/100)))),0,IF(B90=C90,P90/C90,IF((INT(P90/B90)+(((P90-B90*INT(P90/B90)))/C90)/100)&lt;0,(INT(P90/B90)+(((P90-B90*INT(P90/B90)))/C90)/100)+(1-(B90/C90/100)),(INT(P90/B90)+(((P90-B90*INT(P90/B90)))/C90)/100))))</f>
        <v>0</v>
      </c>
      <c r="BB90" s="28">
        <f>R90</f>
        <v>0</v>
      </c>
      <c r="BC90" s="28">
        <f>S90</f>
        <v>0</v>
      </c>
      <c r="BD90" s="28">
        <f>AF90</f>
        <v>0</v>
      </c>
      <c r="BE90" s="28">
        <f>T90</f>
        <v>0</v>
      </c>
      <c r="BG90" s="57">
        <f>IF(ISERROR(IF(B90=C90,V90/C90,(INT(V90/B90)+(((V90-B90*INT(V90/B90)))/C90)/100))),0,(IF(B90=C90,V90/C90,(INT(V90/B90)+(((V90-B90*INT(V90/B90)))/C90)/100))))</f>
        <v>0</v>
      </c>
      <c r="BH90" s="57">
        <f>IF(ISERROR(IF(B90=C90,W90/C90,(INT(W90/B90)+(((W90-B90*INT(W90/B90)))/C90)/100))),0,(IF(B90=C90,W90/C90,(INT(W90/B90)+(((W90-B90*INT(W90/B90)))/C90)/100))))</f>
        <v>0</v>
      </c>
      <c r="BI90" s="57">
        <f>IF(ISERROR(IF(B90=C90,X90/C90,(INT(X90/B90)+(((X90-B90*INT(X90/B90)))/C90)/100))),0,(IF(B90=C90,X90/C90,(INT(X90/B90)+(((X90-B90*INT(X90/B90)))/C90)/100))))</f>
        <v>0</v>
      </c>
      <c r="BJ90" s="57">
        <f>IF(ISERROR(IF(B90=C90,Y90/C90,(INT(Y90/B90)+(((Y90-B90*INT(Y90/B90)))/C90)/100))),0,(IF(B90=C90,Y90/C90,(INT(Y90/B90)+(((Y90-B90*INT(Y90/B90)))/C90)/100))))</f>
        <v>0</v>
      </c>
      <c r="BL90" s="57">
        <f>IF(ISERROR(IF(B90=C90,AA90/C90,(INT(AA90/B90)+(((AA90-B90*INT(AA90/B90)))/C90)/100))),0,(IF(B90=C90,AA90/C90,(INT(AA90/B90)+(((AA90-B90*INT(AA90/B90)))/C90)/100))))</f>
        <v>0</v>
      </c>
      <c r="BM90" s="57">
        <f>IF(ISERROR(IF(B90=C90,AB90/C90,(INT(AB90/B90)+(((AB90-B90*INT(AB90/B90)))/C90)/100))),0,(IF(B90=C90,AB90/C90,(INT(AB90/B90)+(((AB90-B90*INT(AB90/B90)))/C90)/100))))</f>
        <v>0</v>
      </c>
      <c r="BN90" s="57">
        <f>IF(ISERROR(IF(B90=C90,AC90/C90,(INT(AC90/B90)+(((AC90-B90*INT(AC90/B90)))/C90)/100))),0,(IF(B90=C90,AC90/C90,(INT(AC90/B90)+(((AC90-B90*INT(AC90/B90)))/C90)/100))))</f>
        <v>0</v>
      </c>
      <c r="BO90" s="57">
        <f>IF(ISERROR(IF(B90=C90,AD90/C90,(INT(AD90/B90)+(((AD90-B90*INT(AD90/B90)))/C90)/100))),0,(IF(B90=C90,AD90/C90,(INT(AD90/B90)+(((AD90-B90*INT(AD90/B90)))/C90)/100))))</f>
        <v>0</v>
      </c>
      <c r="BQ90" s="155"/>
    </row>
    <row r="91" spans="1:69" hidden="1" x14ac:dyDescent="0.35">
      <c r="A91" s="94"/>
      <c r="B91" s="113">
        <v>0</v>
      </c>
      <c r="C91" s="113">
        <v>0</v>
      </c>
      <c r="D91" s="28">
        <f>SUM(AA91:AD91)</f>
        <v>0</v>
      </c>
      <c r="E91" s="113">
        <v>0</v>
      </c>
      <c r="F91" s="113">
        <v>0</v>
      </c>
      <c r="G91" s="28">
        <f>SUM(D91:F91)</f>
        <v>0</v>
      </c>
      <c r="H91" s="125">
        <v>0</v>
      </c>
      <c r="I91" s="113">
        <v>0</v>
      </c>
      <c r="J91" s="125">
        <v>0</v>
      </c>
      <c r="K91" s="113">
        <v>0</v>
      </c>
      <c r="L91" s="113">
        <v>0</v>
      </c>
      <c r="M91" s="113">
        <v>0</v>
      </c>
      <c r="N91" s="28">
        <f>G91-SUM(H91:M91)</f>
        <v>0</v>
      </c>
      <c r="O91" s="28">
        <f>SUM(V91:Y91)</f>
        <v>0</v>
      </c>
      <c r="P91" s="28">
        <f>O91-N91</f>
        <v>0</v>
      </c>
      <c r="Q91" s="61" t="str">
        <f>IF(ISERROR(P91/SUM(H91:L91)),"",P91/SUM(H91:L91))</f>
        <v/>
      </c>
      <c r="R91" s="113">
        <v>0</v>
      </c>
      <c r="S91" s="28">
        <f>IF(ISERROR(P91/C91*R91),0,(P91/C91*R91))</f>
        <v>0</v>
      </c>
      <c r="T91" s="60">
        <f>IF(ISERROR(P91/B91*AF91),0,(P91/B91*AF91))</f>
        <v>0</v>
      </c>
      <c r="V91" s="113">
        <v>0</v>
      </c>
      <c r="W91" s="113">
        <v>0</v>
      </c>
      <c r="X91" s="113">
        <v>0</v>
      </c>
      <c r="Y91" s="113">
        <v>0</v>
      </c>
      <c r="AA91" s="113">
        <v>0</v>
      </c>
      <c r="AB91" s="113">
        <v>0</v>
      </c>
      <c r="AC91" s="113">
        <v>0</v>
      </c>
      <c r="AD91" s="113">
        <v>0</v>
      </c>
      <c r="AF91" s="113">
        <v>0</v>
      </c>
      <c r="AG91" s="28">
        <f>G91-O91</f>
        <v>0</v>
      </c>
      <c r="AH91" s="58">
        <f>IF(ISERROR(AG91/B91*AF91),0,(AG91/B91*AF91))</f>
        <v>0</v>
      </c>
      <c r="AI91" s="28">
        <f>SUM(H91:M91)</f>
        <v>0</v>
      </c>
      <c r="AJ91" s="28">
        <f>IF(ISERROR(AI91/B91*AF91),0,(AI91/B91*AF91))</f>
        <v>0</v>
      </c>
      <c r="AK91" s="58">
        <f>IF(ISERROR(O91/B91*AF91),0,(O91/B91*AF91))</f>
        <v>0</v>
      </c>
      <c r="AL91" s="28">
        <f>IF(ISERROR(H91/B91*AF91),0,(H91/B91*AF91))</f>
        <v>0</v>
      </c>
      <c r="AN91" s="51">
        <f>A91</f>
        <v>0</v>
      </c>
      <c r="AO91" s="57">
        <f>IF(ISERROR(IF(B91=C91,D91/C91,(INT(D91/B91)+(((D91-B91*INT(D91/B91)))/C91)/100))),0,(IF(B91=C91,D91/C91,(INT(D91/B91)+(((D91-B91*INT(D91/B91)))/C91)/100))))</f>
        <v>0</v>
      </c>
      <c r="AP91" s="57">
        <f>IF(ISERROR(IF(B91=C91,E91/C91,(INT(E91/B91)+(((E91-B91*INT(E91/B91)))/C91)/100))),0,(IF(B91=C91,E91/C91,(INT(E91/B91)+(((E91-B91*INT(E91/B91)))/C91)/100))))</f>
        <v>0</v>
      </c>
      <c r="AQ91" s="57">
        <f>IF(ISERROR(IF(B91=C91,F91/C91,IF((INT(F91/B91)+(((F91-B91*INT(F91/B91)))/C91)/100)&lt;0,(INT(F91/B91)+(((F91-B91*INT(F91/B91)))/C91)/100)+(1-(B91/C91/100)),(INT(F91/B91)+(((F91-B91*INT(F91/B91)))/C91)/100)))),0,IF(B91=C91,F91/C91,IF((INT(F91/B91)+(((F91-B91*INT(F91/B91)))/C91)/100)&lt;0,(INT(F91/B91)+(((F91-B91*INT(F91/B91)))/C91)/100)+(1-(B91/C91/100)),(INT(F91/B91)+(((F91-B91*INT(F91/B91)))/C91)/100))))</f>
        <v>0</v>
      </c>
      <c r="AR91" s="57">
        <f>IF(ISERROR(IF(B91=C91,G91/C91,(INT(G91/B91)+(((G91-B91*INT(G91/B91)))/C91)/100))),0,(IF(B91=C91,G91/C91,(INT(G91/B91)+(((G91-B91*INT(G91/B91)))/C91)/100))))</f>
        <v>0</v>
      </c>
      <c r="AS91" s="57">
        <f>IF(ISERROR(IF(B91=C91,H91/C91,(INT(H91/B91)+(((H91-B91*INT(H91/B91)))/C91)/100))),0,(IF(B91=C91,H91/C91,(INT(H91/B91)+(((H91-B91*INT(H91/B91)))/C91)/100))))</f>
        <v>0</v>
      </c>
      <c r="AT91" s="57">
        <f>IF(ISERROR(IF(B91=C91,I91/C91,(INT(I91/B91)+(((I91-B91*INT(I91/B91)))/C91)/100))),0,(IF(B91=C91,I91/C91,(INT(I91/B91)+(((I91-B91*INT(I91/B91)))/C91)/100))))</f>
        <v>0</v>
      </c>
      <c r="AU91" s="57">
        <f>IF(ISERROR(IF(B91=C91,J91/C91,(INT(J91/B91)+(((J91-B91*INT(J91/B91)))/C91)/100))),0,(IF(B91=C91,J91/C91,(INT(J91/B91)+(((J91-B91*INT(J91/B91)))/C91)/100))))</f>
        <v>0</v>
      </c>
      <c r="AV91" s="57">
        <f>IF(ISERROR(IF(B91=C91,K91/C91,IF((INT(K91/B91)+(((K91-B91*INT(K91/B91)))/C91)/100)&lt;0,(INT(K91/B91)+(((K91-B91*INT(K91/B91)))/C91)/100)+(1-(B91/C91/100)),(INT(K91/B91)+(((K91-B91*INT(K91/B91)))/C91)/100)))),0,IF(B91=C91,K91/C91,IF((INT(K91/B91)+(((K91-B91*INT(K91/B91)))/C91)/100)&lt;0,(INT(K91/B91)+(((K91-B91*INT(K91/B91)))/C91)/100)+(1-(B91/C91/100)),(INT(K91/B91)+(((K91-B91*INT(K91/B91)))/C91)/100))))</f>
        <v>0</v>
      </c>
      <c r="AW91" s="57">
        <f>IF(ISERROR(IF(B91=C91,L91/C91,(INT(L91/B91)+(((L91-B91*INT(L91/B91)))/C91)/100))),0,(IF(B91=C91,L91/C91,(INT(L91/B91)+(((L91-B91*INT(L91/B91)))/C91)/100))))</f>
        <v>0</v>
      </c>
      <c r="AX91" s="57">
        <f>IF(ISERROR(IF(B91=C91,M91/C91,(INT(M91/B91)+(((M91-B91*INT(M91/B91)))/C91)/100))),0,(IF(B91=C91,M91/C91,(INT(M91/B91)+(((M91-B91*INT(M91/B91)))/C91)/100))))</f>
        <v>0</v>
      </c>
      <c r="AY91" s="57">
        <f>IF(ISERROR(IF(B91=C91,N91/C91,IF((INT(N91/B91)+(((N91-B91*INT(N91/B91)))/C91)/100)&lt;0,(INT(N91/B91)+(((N91-B91*INT(N91/B91)))/C91)/100)+(1-(B91/C91/100)),(INT(N91/B91)+(((N91-B91*INT(N91/B91)))/C91)/100)))),0,IF(B91=C91,N91/C91,IF((INT(N91/B91)+(((N91-B91*INT(N91/B91)))/C91)/100)&lt;0,(INT(N91/B91)+(((N91-B91*INT(N91/B91)))/C91)/100)+(1-(B91/C91/100)),(INT(N91/B91)+(((N91-B91*INT(N91/B91)))/C91)/100))))</f>
        <v>0</v>
      </c>
      <c r="AZ91" s="57">
        <f>IF(ISERROR(IF(B91=C91,O91/C91,(INT(O91/B91)+(((O91-B91*INT(O91/B91)))/C91)/100))),0,(IF(B91=C91,O91/C91,(INT(O91/B91)+(((O91-B91*INT(O91/B91)))/C91)/100))))</f>
        <v>0</v>
      </c>
      <c r="BA91" s="57">
        <f>IF(ISERROR(IF(B91=C91,P91/C91,IF((INT(P91/B91)+(((P91-B91*INT(P91/B91)))/C91)/100)&lt;0,(INT(P91/B91)+(((P91-B91*INT(P91/B91)))/C91)/100)+(1-(B91/C91/100)),(INT(P91/B91)+(((P91-B91*INT(P91/B91)))/C91)/100)))),0,IF(B91=C91,P91/C91,IF((INT(P91/B91)+(((P91-B91*INT(P91/B91)))/C91)/100)&lt;0,(INT(P91/B91)+(((P91-B91*INT(P91/B91)))/C91)/100)+(1-(B91/C91/100)),(INT(P91/B91)+(((P91-B91*INT(P91/B91)))/C91)/100))))</f>
        <v>0</v>
      </c>
      <c r="BB91" s="28">
        <f>R91</f>
        <v>0</v>
      </c>
      <c r="BC91" s="28">
        <f>S91</f>
        <v>0</v>
      </c>
      <c r="BD91" s="28">
        <f>AF91</f>
        <v>0</v>
      </c>
      <c r="BE91" s="28">
        <f>T91</f>
        <v>0</v>
      </c>
      <c r="BG91" s="57">
        <f>IF(ISERROR(IF(B91=C91,V91/C91,(INT(V91/B91)+(((V91-B91*INT(V91/B91)))/C91)/100))),0,(IF(B91=C91,V91/C91,(INT(V91/B91)+(((V91-B91*INT(V91/B91)))/C91)/100))))</f>
        <v>0</v>
      </c>
      <c r="BH91" s="57">
        <f>IF(ISERROR(IF(B91=C91,W91/C91,(INT(W91/B91)+(((W91-B91*INT(W91/B91)))/C91)/100))),0,(IF(B91=C91,W91/C91,(INT(W91/B91)+(((W91-B91*INT(W91/B91)))/C91)/100))))</f>
        <v>0</v>
      </c>
      <c r="BI91" s="57">
        <f>IF(ISERROR(IF(B91=C91,X91/C91,(INT(X91/B91)+(((X91-B91*INT(X91/B91)))/C91)/100))),0,(IF(B91=C91,X91/C91,(INT(X91/B91)+(((X91-B91*INT(X91/B91)))/C91)/100))))</f>
        <v>0</v>
      </c>
      <c r="BJ91" s="57">
        <f>IF(ISERROR(IF(B91=C91,Y91/C91,(INT(Y91/B91)+(((Y91-B91*INT(Y91/B91)))/C91)/100))),0,(IF(B91=C91,Y91/C91,(INT(Y91/B91)+(((Y91-B91*INT(Y91/B91)))/C91)/100))))</f>
        <v>0</v>
      </c>
      <c r="BL91" s="57">
        <f>IF(ISERROR(IF(B91=C91,AA91/C91,(INT(AA91/B91)+(((AA91-B91*INT(AA91/B91)))/C91)/100))),0,(IF(B91=C91,AA91/C91,(INT(AA91/B91)+(((AA91-B91*INT(AA91/B91)))/C91)/100))))</f>
        <v>0</v>
      </c>
      <c r="BM91" s="57">
        <f>IF(ISERROR(IF(B91=C91,AB91/C91,(INT(AB91/B91)+(((AB91-B91*INT(AB91/B91)))/C91)/100))),0,(IF(B91=C91,AB91/C91,(INT(AB91/B91)+(((AB91-B91*INT(AB91/B91)))/C91)/100))))</f>
        <v>0</v>
      </c>
      <c r="BN91" s="57">
        <f>IF(ISERROR(IF(B91=C91,AC91/C91,(INT(AC91/B91)+(((AC91-B91*INT(AC91/B91)))/C91)/100))),0,(IF(B91=C91,AC91/C91,(INT(AC91/B91)+(((AC91-B91*INT(AC91/B91)))/C91)/100))))</f>
        <v>0</v>
      </c>
      <c r="BO91" s="57">
        <f>IF(ISERROR(IF(B91=C91,AD91/C91,(INT(AD91/B91)+(((AD91-B91*INT(AD91/B91)))/C91)/100))),0,(IF(B91=C91,AD91/C91,(INT(AD91/B91)+(((AD91-B91*INT(AD91/B91)))/C91)/100))))</f>
        <v>0</v>
      </c>
      <c r="BQ91" s="155"/>
    </row>
    <row r="92" spans="1:69" hidden="1" x14ac:dyDescent="0.35">
      <c r="A92" s="94"/>
      <c r="B92" s="113">
        <v>0</v>
      </c>
      <c r="C92" s="113">
        <v>0</v>
      </c>
      <c r="D92" s="28">
        <f>SUM(AA92:AD92)</f>
        <v>0</v>
      </c>
      <c r="E92" s="113">
        <v>0</v>
      </c>
      <c r="F92" s="113">
        <v>0</v>
      </c>
      <c r="G92" s="28">
        <f>SUM(D92:F92)</f>
        <v>0</v>
      </c>
      <c r="H92" s="125">
        <v>0</v>
      </c>
      <c r="I92" s="113">
        <v>0</v>
      </c>
      <c r="J92" s="125">
        <v>0</v>
      </c>
      <c r="K92" s="113">
        <v>0</v>
      </c>
      <c r="L92" s="113">
        <v>0</v>
      </c>
      <c r="M92" s="113">
        <v>0</v>
      </c>
      <c r="N92" s="28">
        <f>G92-SUM(H92:M92)</f>
        <v>0</v>
      </c>
      <c r="O92" s="28">
        <f>SUM(V92:Y92)</f>
        <v>0</v>
      </c>
      <c r="P92" s="28">
        <f>O92-N92</f>
        <v>0</v>
      </c>
      <c r="Q92" s="61" t="str">
        <f>IF(ISERROR(P92/SUM(H92:L92)),"",P92/SUM(H92:L92))</f>
        <v/>
      </c>
      <c r="R92" s="113">
        <v>0</v>
      </c>
      <c r="S92" s="28">
        <f>IF(ISERROR(P92/C92*R92),0,(P92/C92*R92))</f>
        <v>0</v>
      </c>
      <c r="T92" s="60">
        <f>IF(ISERROR(P92/B92*AF92),0,(P92/B92*AF92))</f>
        <v>0</v>
      </c>
      <c r="V92" s="113">
        <v>0</v>
      </c>
      <c r="W92" s="113">
        <v>0</v>
      </c>
      <c r="X92" s="113">
        <v>0</v>
      </c>
      <c r="Y92" s="113">
        <v>0</v>
      </c>
      <c r="AA92" s="113">
        <v>0</v>
      </c>
      <c r="AB92" s="113">
        <v>0</v>
      </c>
      <c r="AC92" s="113">
        <v>0</v>
      </c>
      <c r="AD92" s="113">
        <v>0</v>
      </c>
      <c r="AF92" s="113">
        <v>0</v>
      </c>
      <c r="AG92" s="28">
        <f>G92-O92</f>
        <v>0</v>
      </c>
      <c r="AH92" s="58">
        <f>IF(ISERROR(AG92/B92*AF92),0,(AG92/B92*AF92))</f>
        <v>0</v>
      </c>
      <c r="AI92" s="28">
        <f>SUM(H92:M92)</f>
        <v>0</v>
      </c>
      <c r="AJ92" s="28">
        <f>IF(ISERROR(AI92/B92*AF92),0,(AI92/B92*AF92))</f>
        <v>0</v>
      </c>
      <c r="AK92" s="58">
        <f>IF(ISERROR(O92/B92*AF92),0,(O92/B92*AF92))</f>
        <v>0</v>
      </c>
      <c r="AL92" s="28">
        <f>IF(ISERROR(H92/B92*AF92),0,(H92/B92*AF92))</f>
        <v>0</v>
      </c>
      <c r="AN92" s="51">
        <f>A92</f>
        <v>0</v>
      </c>
      <c r="AO92" s="57">
        <f>IF(ISERROR(IF(B92=C92,D92/C92,(INT(D92/B92)+(((D92-B92*INT(D92/B92)))/C92)/100))),0,(IF(B92=C92,D92/C92,(INT(D92/B92)+(((D92-B92*INT(D92/B92)))/C92)/100))))</f>
        <v>0</v>
      </c>
      <c r="AP92" s="57">
        <f>IF(ISERROR(IF(B92=C92,E92/C92,(INT(E92/B92)+(((E92-B92*INT(E92/B92)))/C92)/100))),0,(IF(B92=C92,E92/C92,(INT(E92/B92)+(((E92-B92*INT(E92/B92)))/C92)/100))))</f>
        <v>0</v>
      </c>
      <c r="AQ92" s="57">
        <f>IF(ISERROR(IF(B92=C92,F92/C92,IF((INT(F92/B92)+(((F92-B92*INT(F92/B92)))/C92)/100)&lt;0,(INT(F92/B92)+(((F92-B92*INT(F92/B92)))/C92)/100)+(1-(B92/C92/100)),(INT(F92/B92)+(((F92-B92*INT(F92/B92)))/C92)/100)))),0,IF(B92=C92,F92/C92,IF((INT(F92/B92)+(((F92-B92*INT(F92/B92)))/C92)/100)&lt;0,(INT(F92/B92)+(((F92-B92*INT(F92/B92)))/C92)/100)+(1-(B92/C92/100)),(INT(F92/B92)+(((F92-B92*INT(F92/B92)))/C92)/100))))</f>
        <v>0</v>
      </c>
      <c r="AR92" s="57">
        <f>IF(ISERROR(IF(B92=C92,G92/C92,(INT(G92/B92)+(((G92-B92*INT(G92/B92)))/C92)/100))),0,(IF(B92=C92,G92/C92,(INT(G92/B92)+(((G92-B92*INT(G92/B92)))/C92)/100))))</f>
        <v>0</v>
      </c>
      <c r="AS92" s="57">
        <f>IF(ISERROR(IF(B92=C92,H92/C92,(INT(H92/B92)+(((H92-B92*INT(H92/B92)))/C92)/100))),0,(IF(B92=C92,H92/C92,(INT(H92/B92)+(((H92-B92*INT(H92/B92)))/C92)/100))))</f>
        <v>0</v>
      </c>
      <c r="AT92" s="57">
        <f>IF(ISERROR(IF(B92=C92,I92/C92,(INT(I92/B92)+(((I92-B92*INT(I92/B92)))/C92)/100))),0,(IF(B92=C92,I92/C92,(INT(I92/B92)+(((I92-B92*INT(I92/B92)))/C92)/100))))</f>
        <v>0</v>
      </c>
      <c r="AU92" s="57">
        <f>IF(ISERROR(IF(B92=C92,J92/C92,(INT(J92/B92)+(((J92-B92*INT(J92/B92)))/C92)/100))),0,(IF(B92=C92,J92/C92,(INT(J92/B92)+(((J92-B92*INT(J92/B92)))/C92)/100))))</f>
        <v>0</v>
      </c>
      <c r="AV92" s="57">
        <f>IF(ISERROR(IF(B92=C92,K92/C92,IF((INT(K92/B92)+(((K92-B92*INT(K92/B92)))/C92)/100)&lt;0,(INT(K92/B92)+(((K92-B92*INT(K92/B92)))/C92)/100)+(1-(B92/C92/100)),(INT(K92/B92)+(((K92-B92*INT(K92/B92)))/C92)/100)))),0,IF(B92=C92,K92/C92,IF((INT(K92/B92)+(((K92-B92*INT(K92/B92)))/C92)/100)&lt;0,(INT(K92/B92)+(((K92-B92*INT(K92/B92)))/C92)/100)+(1-(B92/C92/100)),(INT(K92/B92)+(((K92-B92*INT(K92/B92)))/C92)/100))))</f>
        <v>0</v>
      </c>
      <c r="AW92" s="57">
        <f>IF(ISERROR(IF(B92=C92,L92/C92,(INT(L92/B92)+(((L92-B92*INT(L92/B92)))/C92)/100))),0,(IF(B92=C92,L92/C92,(INT(L92/B92)+(((L92-B92*INT(L92/B92)))/C92)/100))))</f>
        <v>0</v>
      </c>
      <c r="AX92" s="57">
        <f>IF(ISERROR(IF(B92=C92,M92/C92,(INT(M92/B92)+(((M92-B92*INT(M92/B92)))/C92)/100))),0,(IF(B92=C92,M92/C92,(INT(M92/B92)+(((M92-B92*INT(M92/B92)))/C92)/100))))</f>
        <v>0</v>
      </c>
      <c r="AY92" s="57">
        <f>IF(ISERROR(IF(B92=C92,N92/C92,IF((INT(N92/B92)+(((N92-B92*INT(N92/B92)))/C92)/100)&lt;0,(INT(N92/B92)+(((N92-B92*INT(N92/B92)))/C92)/100)+(1-(B92/C92/100)),(INT(N92/B92)+(((N92-B92*INT(N92/B92)))/C92)/100)))),0,IF(B92=C92,N92/C92,IF((INT(N92/B92)+(((N92-B92*INT(N92/B92)))/C92)/100)&lt;0,(INT(N92/B92)+(((N92-B92*INT(N92/B92)))/C92)/100)+(1-(B92/C92/100)),(INT(N92/B92)+(((N92-B92*INT(N92/B92)))/C92)/100))))</f>
        <v>0</v>
      </c>
      <c r="AZ92" s="57">
        <f>IF(ISERROR(IF(B92=C92,O92/C92,(INT(O92/B92)+(((O92-B92*INT(O92/B92)))/C92)/100))),0,(IF(B92=C92,O92/C92,(INT(O92/B92)+(((O92-B92*INT(O92/B92)))/C92)/100))))</f>
        <v>0</v>
      </c>
      <c r="BA92" s="57">
        <f>IF(ISERROR(IF(B92=C92,P92/C92,IF((INT(P92/B92)+(((P92-B92*INT(P92/B92)))/C92)/100)&lt;0,(INT(P92/B92)+(((P92-B92*INT(P92/B92)))/C92)/100)+(1-(B92/C92/100)),(INT(P92/B92)+(((P92-B92*INT(P92/B92)))/C92)/100)))),0,IF(B92=C92,P92/C92,IF((INT(P92/B92)+(((P92-B92*INT(P92/B92)))/C92)/100)&lt;0,(INT(P92/B92)+(((P92-B92*INT(P92/B92)))/C92)/100)+(1-(B92/C92/100)),(INT(P92/B92)+(((P92-B92*INT(P92/B92)))/C92)/100))))</f>
        <v>0</v>
      </c>
      <c r="BB92" s="28">
        <f>R92</f>
        <v>0</v>
      </c>
      <c r="BC92" s="28">
        <f>S92</f>
        <v>0</v>
      </c>
      <c r="BD92" s="28">
        <f>AF92</f>
        <v>0</v>
      </c>
      <c r="BE92" s="28">
        <f>T92</f>
        <v>0</v>
      </c>
      <c r="BG92" s="57">
        <f>IF(ISERROR(IF(B92=C92,V92/C92,(INT(V92/B92)+(((V92-B92*INT(V92/B92)))/C92)/100))),0,(IF(B92=C92,V92/C92,(INT(V92/B92)+(((V92-B92*INT(V92/B92)))/C92)/100))))</f>
        <v>0</v>
      </c>
      <c r="BH92" s="57">
        <f>IF(ISERROR(IF(B92=C92,W92/C92,(INT(W92/B92)+(((W92-B92*INT(W92/B92)))/C92)/100))),0,(IF(B92=C92,W92/C92,(INT(W92/B92)+(((W92-B92*INT(W92/B92)))/C92)/100))))</f>
        <v>0</v>
      </c>
      <c r="BI92" s="57">
        <f>IF(ISERROR(IF(B92=C92,X92/C92,(INT(X92/B92)+(((X92-B92*INT(X92/B92)))/C92)/100))),0,(IF(B92=C92,X92/C92,(INT(X92/B92)+(((X92-B92*INT(X92/B92)))/C92)/100))))</f>
        <v>0</v>
      </c>
      <c r="BJ92" s="57">
        <f>IF(ISERROR(IF(B92=C92,Y92/C92,(INT(Y92/B92)+(((Y92-B92*INT(Y92/B92)))/C92)/100))),0,(IF(B92=C92,Y92/C92,(INT(Y92/B92)+(((Y92-B92*INT(Y92/B92)))/C92)/100))))</f>
        <v>0</v>
      </c>
      <c r="BL92" s="57">
        <f>IF(ISERROR(IF(B92=C92,AA92/C92,(INT(AA92/B92)+(((AA92-B92*INT(AA92/B92)))/C92)/100))),0,(IF(B92=C92,AA92/C92,(INT(AA92/B92)+(((AA92-B92*INT(AA92/B92)))/C92)/100))))</f>
        <v>0</v>
      </c>
      <c r="BM92" s="57">
        <f>IF(ISERROR(IF(B92=C92,AB92/C92,(INT(AB92/B92)+(((AB92-B92*INT(AB92/B92)))/C92)/100))),0,(IF(B92=C92,AB92/C92,(INT(AB92/B92)+(((AB92-B92*INT(AB92/B92)))/C92)/100))))</f>
        <v>0</v>
      </c>
      <c r="BN92" s="57">
        <f>IF(ISERROR(IF(B92=C92,AC92/C92,(INT(AC92/B92)+(((AC92-B92*INT(AC92/B92)))/C92)/100))),0,(IF(B92=C92,AC92/C92,(INT(AC92/B92)+(((AC92-B92*INT(AC92/B92)))/C92)/100))))</f>
        <v>0</v>
      </c>
      <c r="BO92" s="57">
        <f>IF(ISERROR(IF(B92=C92,AD92/C92,(INT(AD92/B92)+(((AD92-B92*INT(AD92/B92)))/C92)/100))),0,(IF(B92=C92,AD92/C92,(INT(AD92/B92)+(((AD92-B92*INT(AD92/B92)))/C92)/100))))</f>
        <v>0</v>
      </c>
      <c r="BQ92" s="155"/>
    </row>
    <row r="93" spans="1:69" hidden="1" x14ac:dyDescent="0.35">
      <c r="A93" s="94"/>
      <c r="B93" s="113">
        <v>0</v>
      </c>
      <c r="C93" s="113">
        <v>0</v>
      </c>
      <c r="D93" s="28">
        <f>SUM(AA93:AD93)</f>
        <v>0</v>
      </c>
      <c r="E93" s="113">
        <v>0</v>
      </c>
      <c r="F93" s="113">
        <v>0</v>
      </c>
      <c r="G93" s="28">
        <f>SUM(D93:F93)</f>
        <v>0</v>
      </c>
      <c r="H93" s="125">
        <v>0</v>
      </c>
      <c r="I93" s="113">
        <v>0</v>
      </c>
      <c r="J93" s="125">
        <v>0</v>
      </c>
      <c r="K93" s="113">
        <v>0</v>
      </c>
      <c r="L93" s="113">
        <v>0</v>
      </c>
      <c r="M93" s="113">
        <v>0</v>
      </c>
      <c r="N93" s="28">
        <f>G93-SUM(H93:M93)</f>
        <v>0</v>
      </c>
      <c r="O93" s="28">
        <f>SUM(V93:Y93)</f>
        <v>0</v>
      </c>
      <c r="P93" s="28">
        <f>O93-N93</f>
        <v>0</v>
      </c>
      <c r="Q93" s="61" t="str">
        <f>IF(ISERROR(P93/SUM(H93:L93)),"",P93/SUM(H93:L93))</f>
        <v/>
      </c>
      <c r="R93" s="113">
        <v>0</v>
      </c>
      <c r="S93" s="28">
        <f>IF(ISERROR(P93/C93*R93),0,(P93/C93*R93))</f>
        <v>0</v>
      </c>
      <c r="T93" s="60">
        <f>IF(ISERROR(P93/B93*AF93),0,(P93/B93*AF93))</f>
        <v>0</v>
      </c>
      <c r="V93" s="113">
        <v>0</v>
      </c>
      <c r="W93" s="113">
        <v>0</v>
      </c>
      <c r="X93" s="113">
        <v>0</v>
      </c>
      <c r="Y93" s="113">
        <v>0</v>
      </c>
      <c r="AA93" s="113">
        <v>0</v>
      </c>
      <c r="AB93" s="113">
        <v>0</v>
      </c>
      <c r="AC93" s="113">
        <v>0</v>
      </c>
      <c r="AD93" s="113">
        <v>0</v>
      </c>
      <c r="AF93" s="113">
        <v>0</v>
      </c>
      <c r="AG93" s="28">
        <f>G93-O93</f>
        <v>0</v>
      </c>
      <c r="AH93" s="58">
        <f>IF(ISERROR(AG93/B93*AF93),0,(AG93/B93*AF93))</f>
        <v>0</v>
      </c>
      <c r="AI93" s="28">
        <f>SUM(H93:M93)</f>
        <v>0</v>
      </c>
      <c r="AJ93" s="28">
        <f>IF(ISERROR(AI93/B93*AF93),0,(AI93/B93*AF93))</f>
        <v>0</v>
      </c>
      <c r="AK93" s="58">
        <f>IF(ISERROR(O93/B93*AF93),0,(O93/B93*AF93))</f>
        <v>0</v>
      </c>
      <c r="AL93" s="28">
        <f>IF(ISERROR(H93/B93*AF93),0,(H93/B93*AF93))</f>
        <v>0</v>
      </c>
      <c r="AN93" s="51">
        <f>A93</f>
        <v>0</v>
      </c>
      <c r="AO93" s="57">
        <f>IF(ISERROR(IF(B93=C93,D93/C93,(INT(D93/B93)+(((D93-B93*INT(D93/B93)))/C93)/100))),0,(IF(B93=C93,D93/C93,(INT(D93/B93)+(((D93-B93*INT(D93/B93)))/C93)/100))))</f>
        <v>0</v>
      </c>
      <c r="AP93" s="57">
        <f>IF(ISERROR(IF(B93=C93,E93/C93,(INT(E93/B93)+(((E93-B93*INT(E93/B93)))/C93)/100))),0,(IF(B93=C93,E93/C93,(INT(E93/B93)+(((E93-B93*INT(E93/B93)))/C93)/100))))</f>
        <v>0</v>
      </c>
      <c r="AQ93" s="57">
        <f>IF(ISERROR(IF(B93=C93,F93/C93,IF((INT(F93/B93)+(((F93-B93*INT(F93/B93)))/C93)/100)&lt;0,(INT(F93/B93)+(((F93-B93*INT(F93/B93)))/C93)/100)+(1-(B93/C93/100)),(INT(F93/B93)+(((F93-B93*INT(F93/B93)))/C93)/100)))),0,IF(B93=C93,F93/C93,IF((INT(F93/B93)+(((F93-B93*INT(F93/B93)))/C93)/100)&lt;0,(INT(F93/B93)+(((F93-B93*INT(F93/B93)))/C93)/100)+(1-(B93/C93/100)),(INT(F93/B93)+(((F93-B93*INT(F93/B93)))/C93)/100))))</f>
        <v>0</v>
      </c>
      <c r="AR93" s="57">
        <f>IF(ISERROR(IF(B93=C93,G93/C93,(INT(G93/B93)+(((G93-B93*INT(G93/B93)))/C93)/100))),0,(IF(B93=C93,G93/C93,(INT(G93/B93)+(((G93-B93*INT(G93/B93)))/C93)/100))))</f>
        <v>0</v>
      </c>
      <c r="AS93" s="57">
        <f>IF(ISERROR(IF(B93=C93,H93/C93,(INT(H93/B93)+(((H93-B93*INT(H93/B93)))/C93)/100))),0,(IF(B93=C93,H93/C93,(INT(H93/B93)+(((H93-B93*INT(H93/B93)))/C93)/100))))</f>
        <v>0</v>
      </c>
      <c r="AT93" s="57">
        <f>IF(ISERROR(IF(B93=C93,I93/C93,(INT(I93/B93)+(((I93-B93*INT(I93/B93)))/C93)/100))),0,(IF(B93=C93,I93/C93,(INT(I93/B93)+(((I93-B93*INT(I93/B93)))/C93)/100))))</f>
        <v>0</v>
      </c>
      <c r="AU93" s="57">
        <f>IF(ISERROR(IF(B93=C93,J93/C93,(INT(J93/B93)+(((J93-B93*INT(J93/B93)))/C93)/100))),0,(IF(B93=C93,J93/C93,(INT(J93/B93)+(((J93-B93*INT(J93/B93)))/C93)/100))))</f>
        <v>0</v>
      </c>
      <c r="AV93" s="57">
        <f>IF(ISERROR(IF(B93=C93,K93/C93,IF((INT(K93/B93)+(((K93-B93*INT(K93/B93)))/C93)/100)&lt;0,(INT(K93/B93)+(((K93-B93*INT(K93/B93)))/C93)/100)+(1-(B93/C93/100)),(INT(K93/B93)+(((K93-B93*INT(K93/B93)))/C93)/100)))),0,IF(B93=C93,K93/C93,IF((INT(K93/B93)+(((K93-B93*INT(K93/B93)))/C93)/100)&lt;0,(INT(K93/B93)+(((K93-B93*INT(K93/B93)))/C93)/100)+(1-(B93/C93/100)),(INT(K93/B93)+(((K93-B93*INT(K93/B93)))/C93)/100))))</f>
        <v>0</v>
      </c>
      <c r="AW93" s="57">
        <f>IF(ISERROR(IF(B93=C93,L93/C93,(INT(L93/B93)+(((L93-B93*INT(L93/B93)))/C93)/100))),0,(IF(B93=C93,L93/C93,(INT(L93/B93)+(((L93-B93*INT(L93/B93)))/C93)/100))))</f>
        <v>0</v>
      </c>
      <c r="AX93" s="57">
        <f>IF(ISERROR(IF(B93=C93,M93/C93,(INT(M93/B93)+(((M93-B93*INT(M93/B93)))/C93)/100))),0,(IF(B93=C93,M93/C93,(INT(M93/B93)+(((M93-B93*INT(M93/B93)))/C93)/100))))</f>
        <v>0</v>
      </c>
      <c r="AY93" s="57">
        <f>IF(ISERROR(IF(B93=C93,N93/C93,IF((INT(N93/B93)+(((N93-B93*INT(N93/B93)))/C93)/100)&lt;0,(INT(N93/B93)+(((N93-B93*INT(N93/B93)))/C93)/100)+(1-(B93/C93/100)),(INT(N93/B93)+(((N93-B93*INT(N93/B93)))/C93)/100)))),0,IF(B93=C93,N93/C93,IF((INT(N93/B93)+(((N93-B93*INT(N93/B93)))/C93)/100)&lt;0,(INT(N93/B93)+(((N93-B93*INT(N93/B93)))/C93)/100)+(1-(B93/C93/100)),(INT(N93/B93)+(((N93-B93*INT(N93/B93)))/C93)/100))))</f>
        <v>0</v>
      </c>
      <c r="AZ93" s="57">
        <f>IF(ISERROR(IF(B93=C93,O93/C93,(INT(O93/B93)+(((O93-B93*INT(O93/B93)))/C93)/100))),0,(IF(B93=C93,O93/C93,(INT(O93/B93)+(((O93-B93*INT(O93/B93)))/C93)/100))))</f>
        <v>0</v>
      </c>
      <c r="BA93" s="57">
        <f>IF(ISERROR(IF(B93=C93,P93/C93,IF((INT(P93/B93)+(((P93-B93*INT(P93/B93)))/C93)/100)&lt;0,(INT(P93/B93)+(((P93-B93*INT(P93/B93)))/C93)/100)+(1-(B93/C93/100)),(INT(P93/B93)+(((P93-B93*INT(P93/B93)))/C93)/100)))),0,IF(B93=C93,P93/C93,IF((INT(P93/B93)+(((P93-B93*INT(P93/B93)))/C93)/100)&lt;0,(INT(P93/B93)+(((P93-B93*INT(P93/B93)))/C93)/100)+(1-(B93/C93/100)),(INT(P93/B93)+(((P93-B93*INT(P93/B93)))/C93)/100))))</f>
        <v>0</v>
      </c>
      <c r="BB93" s="28">
        <f>R93</f>
        <v>0</v>
      </c>
      <c r="BC93" s="28">
        <f>S93</f>
        <v>0</v>
      </c>
      <c r="BD93" s="28">
        <f>AF93</f>
        <v>0</v>
      </c>
      <c r="BE93" s="28">
        <f>T93</f>
        <v>0</v>
      </c>
      <c r="BG93" s="57">
        <f>IF(ISERROR(IF(B93=C93,V93/C93,(INT(V93/B93)+(((V93-B93*INT(V93/B93)))/C93)/100))),0,(IF(B93=C93,V93/C93,(INT(V93/B93)+(((V93-B93*INT(V93/B93)))/C93)/100))))</f>
        <v>0</v>
      </c>
      <c r="BH93" s="57">
        <f>IF(ISERROR(IF(B93=C93,W93/C93,(INT(W93/B93)+(((W93-B93*INT(W93/B93)))/C93)/100))),0,(IF(B93=C93,W93/C93,(INT(W93/B93)+(((W93-B93*INT(W93/B93)))/C93)/100))))</f>
        <v>0</v>
      </c>
      <c r="BI93" s="57">
        <f>IF(ISERROR(IF(B93=C93,X93/C93,(INT(X93/B93)+(((X93-B93*INT(X93/B93)))/C93)/100))),0,(IF(B93=C93,X93/C93,(INT(X93/B93)+(((X93-B93*INT(X93/B93)))/C93)/100))))</f>
        <v>0</v>
      </c>
      <c r="BJ93" s="57">
        <f>IF(ISERROR(IF(B93=C93,Y93/C93,(INT(Y93/B93)+(((Y93-B93*INT(Y93/B93)))/C93)/100))),0,(IF(B93=C93,Y93/C93,(INT(Y93/B93)+(((Y93-B93*INT(Y93/B93)))/C93)/100))))</f>
        <v>0</v>
      </c>
      <c r="BL93" s="57">
        <f>IF(ISERROR(IF(B93=C93,AA93/C93,(INT(AA93/B93)+(((AA93-B93*INT(AA93/B93)))/C93)/100))),0,(IF(B93=C93,AA93/C93,(INT(AA93/B93)+(((AA93-B93*INT(AA93/B93)))/C93)/100))))</f>
        <v>0</v>
      </c>
      <c r="BM93" s="57">
        <f>IF(ISERROR(IF(B93=C93,AB93/C93,(INT(AB93/B93)+(((AB93-B93*INT(AB93/B93)))/C93)/100))),0,(IF(B93=C93,AB93/C93,(INT(AB93/B93)+(((AB93-B93*INT(AB93/B93)))/C93)/100))))</f>
        <v>0</v>
      </c>
      <c r="BN93" s="57">
        <f>IF(ISERROR(IF(B93=C93,AC93/C93,(INT(AC93/B93)+(((AC93-B93*INT(AC93/B93)))/C93)/100))),0,(IF(B93=C93,AC93/C93,(INT(AC93/B93)+(((AC93-B93*INT(AC93/B93)))/C93)/100))))</f>
        <v>0</v>
      </c>
      <c r="BO93" s="57">
        <f>IF(ISERROR(IF(B93=C93,AD93/C93,(INT(AD93/B93)+(((AD93-B93*INT(AD93/B93)))/C93)/100))),0,(IF(B93=C93,AD93/C93,(INT(AD93/B93)+(((AD93-B93*INT(AD93/B93)))/C93)/100))))</f>
        <v>0</v>
      </c>
      <c r="BQ93" s="155"/>
    </row>
    <row r="94" spans="1:69" hidden="1" x14ac:dyDescent="0.35">
      <c r="A94" s="94"/>
      <c r="B94" s="113">
        <v>0</v>
      </c>
      <c r="C94" s="113">
        <v>0</v>
      </c>
      <c r="D94" s="28">
        <f>SUM(AA94:AD94)</f>
        <v>0</v>
      </c>
      <c r="E94" s="113">
        <v>0</v>
      </c>
      <c r="F94" s="113">
        <v>0</v>
      </c>
      <c r="G94" s="28">
        <f>SUM(D94:F94)</f>
        <v>0</v>
      </c>
      <c r="H94" s="125">
        <v>0</v>
      </c>
      <c r="I94" s="113">
        <v>0</v>
      </c>
      <c r="J94" s="125">
        <v>0</v>
      </c>
      <c r="K94" s="113">
        <v>0</v>
      </c>
      <c r="L94" s="113">
        <v>0</v>
      </c>
      <c r="M94" s="113">
        <v>0</v>
      </c>
      <c r="N94" s="28">
        <f>G94-SUM(H94:M94)</f>
        <v>0</v>
      </c>
      <c r="O94" s="28">
        <f>SUM(V94:Y94)</f>
        <v>0</v>
      </c>
      <c r="P94" s="28">
        <f>O94-N94</f>
        <v>0</v>
      </c>
      <c r="Q94" s="61" t="str">
        <f>IF(ISERROR(P94/SUM(H94:L94)),"",P94/SUM(H94:L94))</f>
        <v/>
      </c>
      <c r="R94" s="113">
        <v>0</v>
      </c>
      <c r="S94" s="28">
        <f>IF(ISERROR(P94/C94*R94),0,(P94/C94*R94))</f>
        <v>0</v>
      </c>
      <c r="T94" s="60">
        <f>IF(ISERROR(P94/B94*AF94),0,(P94/B94*AF94))</f>
        <v>0</v>
      </c>
      <c r="V94" s="113">
        <v>0</v>
      </c>
      <c r="W94" s="113">
        <v>0</v>
      </c>
      <c r="X94" s="113">
        <v>0</v>
      </c>
      <c r="Y94" s="113">
        <v>0</v>
      </c>
      <c r="AA94" s="113">
        <v>0</v>
      </c>
      <c r="AB94" s="113">
        <v>0</v>
      </c>
      <c r="AC94" s="113">
        <v>0</v>
      </c>
      <c r="AD94" s="113">
        <v>0</v>
      </c>
      <c r="AF94" s="113">
        <v>0</v>
      </c>
      <c r="AG94" s="28">
        <f>G94-O94</f>
        <v>0</v>
      </c>
      <c r="AH94" s="58">
        <f>IF(ISERROR(AG94/B94*AF94),0,(AG94/B94*AF94))</f>
        <v>0</v>
      </c>
      <c r="AI94" s="28">
        <f>SUM(H94:M94)</f>
        <v>0</v>
      </c>
      <c r="AJ94" s="28">
        <f>IF(ISERROR(AI94/B94*AF94),0,(AI94/B94*AF94))</f>
        <v>0</v>
      </c>
      <c r="AK94" s="58">
        <f>IF(ISERROR(O94/B94*AF94),0,(O94/B94*AF94))</f>
        <v>0</v>
      </c>
      <c r="AL94" s="28">
        <f>IF(ISERROR(H94/B94*AF94),0,(H94/B94*AF94))</f>
        <v>0</v>
      </c>
      <c r="AN94" s="51">
        <f>A94</f>
        <v>0</v>
      </c>
      <c r="AO94" s="57">
        <f>IF(ISERROR(IF(B94=C94,D94/C94,(INT(D94/B94)+(((D94-B94*INT(D94/B94)))/C94)/100))),0,(IF(B94=C94,D94/C94,(INT(D94/B94)+(((D94-B94*INT(D94/B94)))/C94)/100))))</f>
        <v>0</v>
      </c>
      <c r="AP94" s="57">
        <f>IF(ISERROR(IF(B94=C94,E94/C94,(INT(E94/B94)+(((E94-B94*INT(E94/B94)))/C94)/100))),0,(IF(B94=C94,E94/C94,(INT(E94/B94)+(((E94-B94*INT(E94/B94)))/C94)/100))))</f>
        <v>0</v>
      </c>
      <c r="AQ94" s="57">
        <f>IF(ISERROR(IF(B94=C94,F94/C94,IF((INT(F94/B94)+(((F94-B94*INT(F94/B94)))/C94)/100)&lt;0,(INT(F94/B94)+(((F94-B94*INT(F94/B94)))/C94)/100)+(1-(B94/C94/100)),(INT(F94/B94)+(((F94-B94*INT(F94/B94)))/C94)/100)))),0,IF(B94=C94,F94/C94,IF((INT(F94/B94)+(((F94-B94*INT(F94/B94)))/C94)/100)&lt;0,(INT(F94/B94)+(((F94-B94*INT(F94/B94)))/C94)/100)+(1-(B94/C94/100)),(INT(F94/B94)+(((F94-B94*INT(F94/B94)))/C94)/100))))</f>
        <v>0</v>
      </c>
      <c r="AR94" s="57">
        <f>IF(ISERROR(IF(B94=C94,G94/C94,(INT(G94/B94)+(((G94-B94*INT(G94/B94)))/C94)/100))),0,(IF(B94=C94,G94/C94,(INT(G94/B94)+(((G94-B94*INT(G94/B94)))/C94)/100))))</f>
        <v>0</v>
      </c>
      <c r="AS94" s="57">
        <f>IF(ISERROR(IF(B94=C94,H94/C94,(INT(H94/B94)+(((H94-B94*INT(H94/B94)))/C94)/100))),0,(IF(B94=C94,H94/C94,(INT(H94/B94)+(((H94-B94*INT(H94/B94)))/C94)/100))))</f>
        <v>0</v>
      </c>
      <c r="AT94" s="57">
        <f>IF(ISERROR(IF(B94=C94,I94/C94,(INT(I94/B94)+(((I94-B94*INT(I94/B94)))/C94)/100))),0,(IF(B94=C94,I94/C94,(INT(I94/B94)+(((I94-B94*INT(I94/B94)))/C94)/100))))</f>
        <v>0</v>
      </c>
      <c r="AU94" s="57">
        <f>IF(ISERROR(IF(B94=C94,J94/C94,(INT(J94/B94)+(((J94-B94*INT(J94/B94)))/C94)/100))),0,(IF(B94=C94,J94/C94,(INT(J94/B94)+(((J94-B94*INT(J94/B94)))/C94)/100))))</f>
        <v>0</v>
      </c>
      <c r="AV94" s="57">
        <f>IF(ISERROR(IF(B94=C94,K94/C94,IF((INT(K94/B94)+(((K94-B94*INT(K94/B94)))/C94)/100)&lt;0,(INT(K94/B94)+(((K94-B94*INT(K94/B94)))/C94)/100)+(1-(B94/C94/100)),(INT(K94/B94)+(((K94-B94*INT(K94/B94)))/C94)/100)))),0,IF(B94=C94,K94/C94,IF((INT(K94/B94)+(((K94-B94*INT(K94/B94)))/C94)/100)&lt;0,(INT(K94/B94)+(((K94-B94*INT(K94/B94)))/C94)/100)+(1-(B94/C94/100)),(INT(K94/B94)+(((K94-B94*INT(K94/B94)))/C94)/100))))</f>
        <v>0</v>
      </c>
      <c r="AW94" s="57">
        <f>IF(ISERROR(IF(B94=C94,L94/C94,(INT(L94/B94)+(((L94-B94*INT(L94/B94)))/C94)/100))),0,(IF(B94=C94,L94/C94,(INT(L94/B94)+(((L94-B94*INT(L94/B94)))/C94)/100))))</f>
        <v>0</v>
      </c>
      <c r="AX94" s="57">
        <f>IF(ISERROR(IF(B94=C94,M94/C94,(INT(M94/B94)+(((M94-B94*INT(M94/B94)))/C94)/100))),0,(IF(B94=C94,M94/C94,(INT(M94/B94)+(((M94-B94*INT(M94/B94)))/C94)/100))))</f>
        <v>0</v>
      </c>
      <c r="AY94" s="57">
        <f>IF(ISERROR(IF(B94=C94,N94/C94,IF((INT(N94/B94)+(((N94-B94*INT(N94/B94)))/C94)/100)&lt;0,(INT(N94/B94)+(((N94-B94*INT(N94/B94)))/C94)/100)+(1-(B94/C94/100)),(INT(N94/B94)+(((N94-B94*INT(N94/B94)))/C94)/100)))),0,IF(B94=C94,N94/C94,IF((INT(N94/B94)+(((N94-B94*INT(N94/B94)))/C94)/100)&lt;0,(INT(N94/B94)+(((N94-B94*INT(N94/B94)))/C94)/100)+(1-(B94/C94/100)),(INT(N94/B94)+(((N94-B94*INT(N94/B94)))/C94)/100))))</f>
        <v>0</v>
      </c>
      <c r="AZ94" s="57">
        <f>IF(ISERROR(IF(B94=C94,O94/C94,(INT(O94/B94)+(((O94-B94*INT(O94/B94)))/C94)/100))),0,(IF(B94=C94,O94/C94,(INT(O94/B94)+(((O94-B94*INT(O94/B94)))/C94)/100))))</f>
        <v>0</v>
      </c>
      <c r="BA94" s="57">
        <f>IF(ISERROR(IF(B94=C94,P94/C94,IF((INT(P94/B94)+(((P94-B94*INT(P94/B94)))/C94)/100)&lt;0,(INT(P94/B94)+(((P94-B94*INT(P94/B94)))/C94)/100)+(1-(B94/C94/100)),(INT(P94/B94)+(((P94-B94*INT(P94/B94)))/C94)/100)))),0,IF(B94=C94,P94/C94,IF((INT(P94/B94)+(((P94-B94*INT(P94/B94)))/C94)/100)&lt;0,(INT(P94/B94)+(((P94-B94*INT(P94/B94)))/C94)/100)+(1-(B94/C94/100)),(INT(P94/B94)+(((P94-B94*INT(P94/B94)))/C94)/100))))</f>
        <v>0</v>
      </c>
      <c r="BB94" s="28">
        <f>R94</f>
        <v>0</v>
      </c>
      <c r="BC94" s="28">
        <f>S94</f>
        <v>0</v>
      </c>
      <c r="BD94" s="28">
        <f>AF94</f>
        <v>0</v>
      </c>
      <c r="BE94" s="28">
        <f>T94</f>
        <v>0</v>
      </c>
      <c r="BG94" s="57">
        <f>IF(ISERROR(IF(B94=C94,V94/C94,(INT(V94/B94)+(((V94-B94*INT(V94/B94)))/C94)/100))),0,(IF(B94=C94,V94/C94,(INT(V94/B94)+(((V94-B94*INT(V94/B94)))/C94)/100))))</f>
        <v>0</v>
      </c>
      <c r="BH94" s="57">
        <f>IF(ISERROR(IF(B94=C94,W94/C94,(INT(W94/B94)+(((W94-B94*INT(W94/B94)))/C94)/100))),0,(IF(B94=C94,W94/C94,(INT(W94/B94)+(((W94-B94*INT(W94/B94)))/C94)/100))))</f>
        <v>0</v>
      </c>
      <c r="BI94" s="57">
        <f>IF(ISERROR(IF(B94=C94,X94/C94,(INT(X94/B94)+(((X94-B94*INT(X94/B94)))/C94)/100))),0,(IF(B94=C94,X94/C94,(INT(X94/B94)+(((X94-B94*INT(X94/B94)))/C94)/100))))</f>
        <v>0</v>
      </c>
      <c r="BJ94" s="57">
        <f>IF(ISERROR(IF(B94=C94,Y94/C94,(INT(Y94/B94)+(((Y94-B94*INT(Y94/B94)))/C94)/100))),0,(IF(B94=C94,Y94/C94,(INT(Y94/B94)+(((Y94-B94*INT(Y94/B94)))/C94)/100))))</f>
        <v>0</v>
      </c>
      <c r="BL94" s="57">
        <f>IF(ISERROR(IF(B94=C94,AA94/C94,(INT(AA94/B94)+(((AA94-B94*INT(AA94/B94)))/C94)/100))),0,(IF(B94=C94,AA94/C94,(INT(AA94/B94)+(((AA94-B94*INT(AA94/B94)))/C94)/100))))</f>
        <v>0</v>
      </c>
      <c r="BM94" s="57">
        <f>IF(ISERROR(IF(B94=C94,AB94/C94,(INT(AB94/B94)+(((AB94-B94*INT(AB94/B94)))/C94)/100))),0,(IF(B94=C94,AB94/C94,(INT(AB94/B94)+(((AB94-B94*INT(AB94/B94)))/C94)/100))))</f>
        <v>0</v>
      </c>
      <c r="BN94" s="57">
        <f>IF(ISERROR(IF(B94=C94,AC94/C94,(INT(AC94/B94)+(((AC94-B94*INT(AC94/B94)))/C94)/100))),0,(IF(B94=C94,AC94/C94,(INT(AC94/B94)+(((AC94-B94*INT(AC94/B94)))/C94)/100))))</f>
        <v>0</v>
      </c>
      <c r="BO94" s="57">
        <f>IF(ISERROR(IF(B94=C94,AD94/C94,(INT(AD94/B94)+(((AD94-B94*INT(AD94/B94)))/C94)/100))),0,(IF(B94=C94,AD94/C94,(INT(AD94/B94)+(((AD94-B94*INT(AD94/B94)))/C94)/100))))</f>
        <v>0</v>
      </c>
      <c r="BQ94" s="155"/>
    </row>
    <row r="95" spans="1:69" hidden="1" x14ac:dyDescent="0.35">
      <c r="A95" s="94"/>
      <c r="B95" s="113">
        <v>0</v>
      </c>
      <c r="C95" s="113">
        <v>0</v>
      </c>
      <c r="D95" s="28">
        <f>SUM(AA95:AD95)</f>
        <v>0</v>
      </c>
      <c r="E95" s="113">
        <v>0</v>
      </c>
      <c r="F95" s="113">
        <v>0</v>
      </c>
      <c r="G95" s="28">
        <f>SUM(D95:F95)</f>
        <v>0</v>
      </c>
      <c r="H95" s="125">
        <v>0</v>
      </c>
      <c r="I95" s="113">
        <v>0</v>
      </c>
      <c r="J95" s="125">
        <v>0</v>
      </c>
      <c r="K95" s="113">
        <v>0</v>
      </c>
      <c r="L95" s="113">
        <v>0</v>
      </c>
      <c r="M95" s="113">
        <v>0</v>
      </c>
      <c r="N95" s="28">
        <f>G95-SUM(H95:M95)</f>
        <v>0</v>
      </c>
      <c r="O95" s="28">
        <f>SUM(V95:Y95)</f>
        <v>0</v>
      </c>
      <c r="P95" s="28">
        <f>O95-N95</f>
        <v>0</v>
      </c>
      <c r="Q95" s="61" t="str">
        <f>IF(ISERROR(P95/SUM(H95:L95)),"",P95/SUM(H95:L95))</f>
        <v/>
      </c>
      <c r="R95" s="113">
        <v>0</v>
      </c>
      <c r="S95" s="28">
        <f>IF(ISERROR(P95/C95*R95),0,(P95/C95*R95))</f>
        <v>0</v>
      </c>
      <c r="T95" s="60">
        <f>IF(ISERROR(P95/B95*AF95),0,(P95/B95*AF95))</f>
        <v>0</v>
      </c>
      <c r="V95" s="113">
        <v>0</v>
      </c>
      <c r="W95" s="113">
        <v>0</v>
      </c>
      <c r="X95" s="113">
        <v>0</v>
      </c>
      <c r="Y95" s="113">
        <v>0</v>
      </c>
      <c r="AA95" s="113">
        <v>0</v>
      </c>
      <c r="AB95" s="113">
        <v>0</v>
      </c>
      <c r="AC95" s="113">
        <v>0</v>
      </c>
      <c r="AD95" s="113">
        <v>0</v>
      </c>
      <c r="AF95" s="113">
        <v>0</v>
      </c>
      <c r="AG95" s="28">
        <f>G95-O95</f>
        <v>0</v>
      </c>
      <c r="AH95" s="58">
        <f>IF(ISERROR(AG95/B95*AF95),0,(AG95/B95*AF95))</f>
        <v>0</v>
      </c>
      <c r="AI95" s="28">
        <f>SUM(H95:M95)</f>
        <v>0</v>
      </c>
      <c r="AJ95" s="28">
        <f>IF(ISERROR(AI95/B95*AF95),0,(AI95/B95*AF95))</f>
        <v>0</v>
      </c>
      <c r="AK95" s="58">
        <f>IF(ISERROR(O95/B95*AF95),0,(O95/B95*AF95))</f>
        <v>0</v>
      </c>
      <c r="AL95" s="28">
        <f>IF(ISERROR(H95/B95*AF95),0,(H95/B95*AF95))</f>
        <v>0</v>
      </c>
      <c r="AN95" s="51">
        <f>A95</f>
        <v>0</v>
      </c>
      <c r="AO95" s="57">
        <f>IF(ISERROR(IF(B95=C95,D95/C95,(INT(D95/B95)+(((D95-B95*INT(D95/B95)))/C95)/100))),0,(IF(B95=C95,D95/C95,(INT(D95/B95)+(((D95-B95*INT(D95/B95)))/C95)/100))))</f>
        <v>0</v>
      </c>
      <c r="AP95" s="57">
        <f>IF(ISERROR(IF(B95=C95,E95/C95,(INT(E95/B95)+(((E95-B95*INT(E95/B95)))/C95)/100))),0,(IF(B95=C95,E95/C95,(INT(E95/B95)+(((E95-B95*INT(E95/B95)))/C95)/100))))</f>
        <v>0</v>
      </c>
      <c r="AQ95" s="57">
        <f>IF(ISERROR(IF(B95=C95,F95/C95,IF((INT(F95/B95)+(((F95-B95*INT(F95/B95)))/C95)/100)&lt;0,(INT(F95/B95)+(((F95-B95*INT(F95/B95)))/C95)/100)+(1-(B95/C95/100)),(INT(F95/B95)+(((F95-B95*INT(F95/B95)))/C95)/100)))),0,IF(B95=C95,F95/C95,IF((INT(F95/B95)+(((F95-B95*INT(F95/B95)))/C95)/100)&lt;0,(INT(F95/B95)+(((F95-B95*INT(F95/B95)))/C95)/100)+(1-(B95/C95/100)),(INT(F95/B95)+(((F95-B95*INT(F95/B95)))/C95)/100))))</f>
        <v>0</v>
      </c>
      <c r="AR95" s="57">
        <f>IF(ISERROR(IF(B95=C95,G95/C95,(INT(G95/B95)+(((G95-B95*INT(G95/B95)))/C95)/100))),0,(IF(B95=C95,G95/C95,(INT(G95/B95)+(((G95-B95*INT(G95/B95)))/C95)/100))))</f>
        <v>0</v>
      </c>
      <c r="AS95" s="57">
        <f>IF(ISERROR(IF(B95=C95,H95/C95,(INT(H95/B95)+(((H95-B95*INT(H95/B95)))/C95)/100))),0,(IF(B95=C95,H95/C95,(INT(H95/B95)+(((H95-B95*INT(H95/B95)))/C95)/100))))</f>
        <v>0</v>
      </c>
      <c r="AT95" s="57">
        <f>IF(ISERROR(IF(B95=C95,I95/C95,(INT(I95/B95)+(((I95-B95*INT(I95/B95)))/C95)/100))),0,(IF(B95=C95,I95/C95,(INT(I95/B95)+(((I95-B95*INT(I95/B95)))/C95)/100))))</f>
        <v>0</v>
      </c>
      <c r="AU95" s="57">
        <f>IF(ISERROR(IF(B95=C95,J95/C95,(INT(J95/B95)+(((J95-B95*INT(J95/B95)))/C95)/100))),0,(IF(B95=C95,J95/C95,(INT(J95/B95)+(((J95-B95*INT(J95/B95)))/C95)/100))))</f>
        <v>0</v>
      </c>
      <c r="AV95" s="57">
        <f>IF(ISERROR(IF(B95=C95,K95/C95,IF((INT(K95/B95)+(((K95-B95*INT(K95/B95)))/C95)/100)&lt;0,(INT(K95/B95)+(((K95-B95*INT(K95/B95)))/C95)/100)+(1-(B95/C95/100)),(INT(K95/B95)+(((K95-B95*INT(K95/B95)))/C95)/100)))),0,IF(B95=C95,K95/C95,IF((INT(K95/B95)+(((K95-B95*INT(K95/B95)))/C95)/100)&lt;0,(INT(K95/B95)+(((K95-B95*INT(K95/B95)))/C95)/100)+(1-(B95/C95/100)),(INT(K95/B95)+(((K95-B95*INT(K95/B95)))/C95)/100))))</f>
        <v>0</v>
      </c>
      <c r="AW95" s="57">
        <f>IF(ISERROR(IF(B95=C95,L95/C95,(INT(L95/B95)+(((L95-B95*INT(L95/B95)))/C95)/100))),0,(IF(B95=C95,L95/C95,(INT(L95/B95)+(((L95-B95*INT(L95/B95)))/C95)/100))))</f>
        <v>0</v>
      </c>
      <c r="AX95" s="57">
        <f>IF(ISERROR(IF(B95=C95,M95/C95,(INT(M95/B95)+(((M95-B95*INT(M95/B95)))/C95)/100))),0,(IF(B95=C95,M95/C95,(INT(M95/B95)+(((M95-B95*INT(M95/B95)))/C95)/100))))</f>
        <v>0</v>
      </c>
      <c r="AY95" s="57">
        <f>IF(ISERROR(IF(B95=C95,N95/C95,IF((INT(N95/B95)+(((N95-B95*INT(N95/B95)))/C95)/100)&lt;0,(INT(N95/B95)+(((N95-B95*INT(N95/B95)))/C95)/100)+(1-(B95/C95/100)),(INT(N95/B95)+(((N95-B95*INT(N95/B95)))/C95)/100)))),0,IF(B95=C95,N95/C95,IF((INT(N95/B95)+(((N95-B95*INT(N95/B95)))/C95)/100)&lt;0,(INT(N95/B95)+(((N95-B95*INT(N95/B95)))/C95)/100)+(1-(B95/C95/100)),(INT(N95/B95)+(((N95-B95*INT(N95/B95)))/C95)/100))))</f>
        <v>0</v>
      </c>
      <c r="AZ95" s="57">
        <f>IF(ISERROR(IF(B95=C95,O95/C95,(INT(O95/B95)+(((O95-B95*INT(O95/B95)))/C95)/100))),0,(IF(B95=C95,O95/C95,(INT(O95/B95)+(((O95-B95*INT(O95/B95)))/C95)/100))))</f>
        <v>0</v>
      </c>
      <c r="BA95" s="57">
        <f>IF(ISERROR(IF(B95=C95,P95/C95,IF((INT(P95/B95)+(((P95-B95*INT(P95/B95)))/C95)/100)&lt;0,(INT(P95/B95)+(((P95-B95*INT(P95/B95)))/C95)/100)+(1-(B95/C95/100)),(INT(P95/B95)+(((P95-B95*INT(P95/B95)))/C95)/100)))),0,IF(B95=C95,P95/C95,IF((INT(P95/B95)+(((P95-B95*INT(P95/B95)))/C95)/100)&lt;0,(INT(P95/B95)+(((P95-B95*INT(P95/B95)))/C95)/100)+(1-(B95/C95/100)),(INT(P95/B95)+(((P95-B95*INT(P95/B95)))/C95)/100))))</f>
        <v>0</v>
      </c>
      <c r="BB95" s="28">
        <f>R95</f>
        <v>0</v>
      </c>
      <c r="BC95" s="28">
        <f>S95</f>
        <v>0</v>
      </c>
      <c r="BD95" s="28">
        <f>AF95</f>
        <v>0</v>
      </c>
      <c r="BE95" s="28">
        <f>T95</f>
        <v>0</v>
      </c>
      <c r="BG95" s="57">
        <f>IF(ISERROR(IF(B95=C95,V95/C95,(INT(V95/B95)+(((V95-B95*INT(V95/B95)))/C95)/100))),0,(IF(B95=C95,V95/C95,(INT(V95/B95)+(((V95-B95*INT(V95/B95)))/C95)/100))))</f>
        <v>0</v>
      </c>
      <c r="BH95" s="57">
        <f>IF(ISERROR(IF(B95=C95,W95/C95,(INT(W95/B95)+(((W95-B95*INT(W95/B95)))/C95)/100))),0,(IF(B95=C95,W95/C95,(INT(W95/B95)+(((W95-B95*INT(W95/B95)))/C95)/100))))</f>
        <v>0</v>
      </c>
      <c r="BI95" s="57">
        <f>IF(ISERROR(IF(B95=C95,X95/C95,(INT(X95/B95)+(((X95-B95*INT(X95/B95)))/C95)/100))),0,(IF(B95=C95,X95/C95,(INT(X95/B95)+(((X95-B95*INT(X95/B95)))/C95)/100))))</f>
        <v>0</v>
      </c>
      <c r="BJ95" s="57">
        <f>IF(ISERROR(IF(B95=C95,Y95/C95,(INT(Y95/B95)+(((Y95-B95*INT(Y95/B95)))/C95)/100))),0,(IF(B95=C95,Y95/C95,(INT(Y95/B95)+(((Y95-B95*INT(Y95/B95)))/C95)/100))))</f>
        <v>0</v>
      </c>
      <c r="BL95" s="57">
        <f>IF(ISERROR(IF(B95=C95,AA95/C95,(INT(AA95/B95)+(((AA95-B95*INT(AA95/B95)))/C95)/100))),0,(IF(B95=C95,AA95/C95,(INT(AA95/B95)+(((AA95-B95*INT(AA95/B95)))/C95)/100))))</f>
        <v>0</v>
      </c>
      <c r="BM95" s="57">
        <f>IF(ISERROR(IF(B95=C95,AB95/C95,(INT(AB95/B95)+(((AB95-B95*INT(AB95/B95)))/C95)/100))),0,(IF(B95=C95,AB95/C95,(INT(AB95/B95)+(((AB95-B95*INT(AB95/B95)))/C95)/100))))</f>
        <v>0</v>
      </c>
      <c r="BN95" s="57">
        <f>IF(ISERROR(IF(B95=C95,AC95/C95,(INT(AC95/B95)+(((AC95-B95*INT(AC95/B95)))/C95)/100))),0,(IF(B95=C95,AC95/C95,(INT(AC95/B95)+(((AC95-B95*INT(AC95/B95)))/C95)/100))))</f>
        <v>0</v>
      </c>
      <c r="BO95" s="57">
        <f>IF(ISERROR(IF(B95=C95,AD95/C95,(INT(AD95/B95)+(((AD95-B95*INT(AD95/B95)))/C95)/100))),0,(IF(B95=C95,AD95/C95,(INT(AD95/B95)+(((AD95-B95*INT(AD95/B95)))/C95)/100))))</f>
        <v>0</v>
      </c>
      <c r="BQ95" s="155"/>
    </row>
    <row r="96" spans="1:69" hidden="1" x14ac:dyDescent="0.35">
      <c r="A96" s="94"/>
      <c r="B96" s="113">
        <v>0</v>
      </c>
      <c r="C96" s="113">
        <v>0</v>
      </c>
      <c r="D96" s="28">
        <f>SUM(AA96:AD96)</f>
        <v>0</v>
      </c>
      <c r="E96" s="113">
        <v>0</v>
      </c>
      <c r="F96" s="113">
        <v>0</v>
      </c>
      <c r="G96" s="28">
        <f>SUM(D96:F96)</f>
        <v>0</v>
      </c>
      <c r="H96" s="125">
        <v>0</v>
      </c>
      <c r="I96" s="113">
        <v>0</v>
      </c>
      <c r="J96" s="125">
        <v>0</v>
      </c>
      <c r="K96" s="113">
        <v>0</v>
      </c>
      <c r="L96" s="113">
        <v>0</v>
      </c>
      <c r="M96" s="113">
        <v>0</v>
      </c>
      <c r="N96" s="28">
        <f>G96-SUM(H96:M96)</f>
        <v>0</v>
      </c>
      <c r="O96" s="28">
        <f>SUM(V96:Y96)</f>
        <v>0</v>
      </c>
      <c r="P96" s="28">
        <f>O96-N96</f>
        <v>0</v>
      </c>
      <c r="Q96" s="61" t="str">
        <f>IF(ISERROR(P96/SUM(H96:L96)),"",P96/SUM(H96:L96))</f>
        <v/>
      </c>
      <c r="R96" s="113">
        <v>0</v>
      </c>
      <c r="S96" s="28">
        <f>IF(ISERROR(P96/C96*R96),0,(P96/C96*R96))</f>
        <v>0</v>
      </c>
      <c r="T96" s="60">
        <f>IF(ISERROR(P96/B96*AF96),0,(P96/B96*AF96))</f>
        <v>0</v>
      </c>
      <c r="V96" s="113">
        <v>0</v>
      </c>
      <c r="W96" s="113">
        <v>0</v>
      </c>
      <c r="X96" s="113">
        <v>0</v>
      </c>
      <c r="Y96" s="113">
        <v>0</v>
      </c>
      <c r="AA96" s="113">
        <v>0</v>
      </c>
      <c r="AB96" s="113">
        <v>0</v>
      </c>
      <c r="AC96" s="113">
        <v>0</v>
      </c>
      <c r="AD96" s="113">
        <v>0</v>
      </c>
      <c r="AF96" s="113">
        <v>0</v>
      </c>
      <c r="AG96" s="28">
        <f>G96-O96</f>
        <v>0</v>
      </c>
      <c r="AH96" s="58">
        <f>IF(ISERROR(AG96/B96*AF96),0,(AG96/B96*AF96))</f>
        <v>0</v>
      </c>
      <c r="AI96" s="28">
        <f>SUM(H96:M96)</f>
        <v>0</v>
      </c>
      <c r="AJ96" s="28">
        <f>IF(ISERROR(AI96/B96*AF96),0,(AI96/B96*AF96))</f>
        <v>0</v>
      </c>
      <c r="AK96" s="58">
        <f>IF(ISERROR(O96/B96*AF96),0,(O96/B96*AF96))</f>
        <v>0</v>
      </c>
      <c r="AL96" s="28">
        <f>IF(ISERROR(H96/B96*AF96),0,(H96/B96*AF96))</f>
        <v>0</v>
      </c>
      <c r="AN96" s="51">
        <f>A96</f>
        <v>0</v>
      </c>
      <c r="AO96" s="57">
        <f>IF(ISERROR(IF(B96=C96,D96/C96,(INT(D96/B96)+(((D96-B96*INT(D96/B96)))/C96)/100))),0,(IF(B96=C96,D96/C96,(INT(D96/B96)+(((D96-B96*INT(D96/B96)))/C96)/100))))</f>
        <v>0</v>
      </c>
      <c r="AP96" s="57">
        <f>IF(ISERROR(IF(B96=C96,E96/C96,(INT(E96/B96)+(((E96-B96*INT(E96/B96)))/C96)/100))),0,(IF(B96=C96,E96/C96,(INT(E96/B96)+(((E96-B96*INT(E96/B96)))/C96)/100))))</f>
        <v>0</v>
      </c>
      <c r="AQ96" s="57">
        <f>IF(ISERROR(IF(B96=C96,F96/C96,IF((INT(F96/B96)+(((F96-B96*INT(F96/B96)))/C96)/100)&lt;0,(INT(F96/B96)+(((F96-B96*INT(F96/B96)))/C96)/100)+(1-(B96/C96/100)),(INT(F96/B96)+(((F96-B96*INT(F96/B96)))/C96)/100)))),0,IF(B96=C96,F96/C96,IF((INT(F96/B96)+(((F96-B96*INT(F96/B96)))/C96)/100)&lt;0,(INT(F96/B96)+(((F96-B96*INT(F96/B96)))/C96)/100)+(1-(B96/C96/100)),(INT(F96/B96)+(((F96-B96*INT(F96/B96)))/C96)/100))))</f>
        <v>0</v>
      </c>
      <c r="AR96" s="57">
        <f>IF(ISERROR(IF(B96=C96,G96/C96,(INT(G96/B96)+(((G96-B96*INT(G96/B96)))/C96)/100))),0,(IF(B96=C96,G96/C96,(INT(G96/B96)+(((G96-B96*INT(G96/B96)))/C96)/100))))</f>
        <v>0</v>
      </c>
      <c r="AS96" s="57">
        <f>IF(ISERROR(IF(B96=C96,H96/C96,(INT(H96/B96)+(((H96-B96*INT(H96/B96)))/C96)/100))),0,(IF(B96=C96,H96/C96,(INT(H96/B96)+(((H96-B96*INT(H96/B96)))/C96)/100))))</f>
        <v>0</v>
      </c>
      <c r="AT96" s="57">
        <f>IF(ISERROR(IF(B96=C96,I96/C96,(INT(I96/B96)+(((I96-B96*INT(I96/B96)))/C96)/100))),0,(IF(B96=C96,I96/C96,(INT(I96/B96)+(((I96-B96*INT(I96/B96)))/C96)/100))))</f>
        <v>0</v>
      </c>
      <c r="AU96" s="57">
        <f>IF(ISERROR(IF(B96=C96,J96/C96,(INT(J96/B96)+(((J96-B96*INT(J96/B96)))/C96)/100))),0,(IF(B96=C96,J96/C96,(INT(J96/B96)+(((J96-B96*INT(J96/B96)))/C96)/100))))</f>
        <v>0</v>
      </c>
      <c r="AV96" s="57">
        <f>IF(ISERROR(IF(B96=C96,K96/C96,IF((INT(K96/B96)+(((K96-B96*INT(K96/B96)))/C96)/100)&lt;0,(INT(K96/B96)+(((K96-B96*INT(K96/B96)))/C96)/100)+(1-(B96/C96/100)),(INT(K96/B96)+(((K96-B96*INT(K96/B96)))/C96)/100)))),0,IF(B96=C96,K96/C96,IF((INT(K96/B96)+(((K96-B96*INT(K96/B96)))/C96)/100)&lt;0,(INT(K96/B96)+(((K96-B96*INT(K96/B96)))/C96)/100)+(1-(B96/C96/100)),(INT(K96/B96)+(((K96-B96*INT(K96/B96)))/C96)/100))))</f>
        <v>0</v>
      </c>
      <c r="AW96" s="57">
        <f>IF(ISERROR(IF(B96=C96,L96/C96,(INT(L96/B96)+(((L96-B96*INT(L96/B96)))/C96)/100))),0,(IF(B96=C96,L96/C96,(INT(L96/B96)+(((L96-B96*INT(L96/B96)))/C96)/100))))</f>
        <v>0</v>
      </c>
      <c r="AX96" s="57">
        <f>IF(ISERROR(IF(B96=C96,M96/C96,(INT(M96/B96)+(((M96-B96*INT(M96/B96)))/C96)/100))),0,(IF(B96=C96,M96/C96,(INT(M96/B96)+(((M96-B96*INT(M96/B96)))/C96)/100))))</f>
        <v>0</v>
      </c>
      <c r="AY96" s="57">
        <f>IF(ISERROR(IF(B96=C96,N96/C96,IF((INT(N96/B96)+(((N96-B96*INT(N96/B96)))/C96)/100)&lt;0,(INT(N96/B96)+(((N96-B96*INT(N96/B96)))/C96)/100)+(1-(B96/C96/100)),(INT(N96/B96)+(((N96-B96*INT(N96/B96)))/C96)/100)))),0,IF(B96=C96,N96/C96,IF((INT(N96/B96)+(((N96-B96*INT(N96/B96)))/C96)/100)&lt;0,(INT(N96/B96)+(((N96-B96*INT(N96/B96)))/C96)/100)+(1-(B96/C96/100)),(INT(N96/B96)+(((N96-B96*INT(N96/B96)))/C96)/100))))</f>
        <v>0</v>
      </c>
      <c r="AZ96" s="57">
        <f>IF(ISERROR(IF(B96=C96,O96/C96,(INT(O96/B96)+(((O96-B96*INT(O96/B96)))/C96)/100))),0,(IF(B96=C96,O96/C96,(INT(O96/B96)+(((O96-B96*INT(O96/B96)))/C96)/100))))</f>
        <v>0</v>
      </c>
      <c r="BA96" s="57">
        <f>IF(ISERROR(IF(B96=C96,P96/C96,IF((INT(P96/B96)+(((P96-B96*INT(P96/B96)))/C96)/100)&lt;0,(INT(P96/B96)+(((P96-B96*INT(P96/B96)))/C96)/100)+(1-(B96/C96/100)),(INT(P96/B96)+(((P96-B96*INT(P96/B96)))/C96)/100)))),0,IF(B96=C96,P96/C96,IF((INT(P96/B96)+(((P96-B96*INT(P96/B96)))/C96)/100)&lt;0,(INT(P96/B96)+(((P96-B96*INT(P96/B96)))/C96)/100)+(1-(B96/C96/100)),(INT(P96/B96)+(((P96-B96*INT(P96/B96)))/C96)/100))))</f>
        <v>0</v>
      </c>
      <c r="BB96" s="28">
        <f>R96</f>
        <v>0</v>
      </c>
      <c r="BC96" s="28">
        <f>S96</f>
        <v>0</v>
      </c>
      <c r="BD96" s="28">
        <f>AF96</f>
        <v>0</v>
      </c>
      <c r="BE96" s="28">
        <f>T96</f>
        <v>0</v>
      </c>
      <c r="BG96" s="57">
        <f>IF(ISERROR(IF(B96=C96,V96/C96,(INT(V96/B96)+(((V96-B96*INT(V96/B96)))/C96)/100))),0,(IF(B96=C96,V96/C96,(INT(V96/B96)+(((V96-B96*INT(V96/B96)))/C96)/100))))</f>
        <v>0</v>
      </c>
      <c r="BH96" s="57">
        <f>IF(ISERROR(IF(B96=C96,W96/C96,(INT(W96/B96)+(((W96-B96*INT(W96/B96)))/C96)/100))),0,(IF(B96=C96,W96/C96,(INT(W96/B96)+(((W96-B96*INT(W96/B96)))/C96)/100))))</f>
        <v>0</v>
      </c>
      <c r="BI96" s="57">
        <f>IF(ISERROR(IF(B96=C96,X96/C96,(INT(X96/B96)+(((X96-B96*INT(X96/B96)))/C96)/100))),0,(IF(B96=C96,X96/C96,(INT(X96/B96)+(((X96-B96*INT(X96/B96)))/C96)/100))))</f>
        <v>0</v>
      </c>
      <c r="BJ96" s="57">
        <f>IF(ISERROR(IF(B96=C96,Y96/C96,(INT(Y96/B96)+(((Y96-B96*INT(Y96/B96)))/C96)/100))),0,(IF(B96=C96,Y96/C96,(INT(Y96/B96)+(((Y96-B96*INT(Y96/B96)))/C96)/100))))</f>
        <v>0</v>
      </c>
      <c r="BL96" s="57">
        <f>IF(ISERROR(IF(B96=C96,AA96/C96,(INT(AA96/B96)+(((AA96-B96*INT(AA96/B96)))/C96)/100))),0,(IF(B96=C96,AA96/C96,(INT(AA96/B96)+(((AA96-B96*INT(AA96/B96)))/C96)/100))))</f>
        <v>0</v>
      </c>
      <c r="BM96" s="57">
        <f>IF(ISERROR(IF(B96=C96,AB96/C96,(INT(AB96/B96)+(((AB96-B96*INT(AB96/B96)))/C96)/100))),0,(IF(B96=C96,AB96/C96,(INT(AB96/B96)+(((AB96-B96*INT(AB96/B96)))/C96)/100))))</f>
        <v>0</v>
      </c>
      <c r="BN96" s="57">
        <f>IF(ISERROR(IF(B96=C96,AC96/C96,(INT(AC96/B96)+(((AC96-B96*INT(AC96/B96)))/C96)/100))),0,(IF(B96=C96,AC96/C96,(INT(AC96/B96)+(((AC96-B96*INT(AC96/B96)))/C96)/100))))</f>
        <v>0</v>
      </c>
      <c r="BO96" s="57">
        <f>IF(ISERROR(IF(B96=C96,AD96/C96,(INT(AD96/B96)+(((AD96-B96*INT(AD96/B96)))/C96)/100))),0,(IF(B96=C96,AD96/C96,(INT(AD96/B96)+(((AD96-B96*INT(AD96/B96)))/C96)/100))))</f>
        <v>0</v>
      </c>
      <c r="BQ96" s="155"/>
    </row>
    <row r="97" spans="1:69" x14ac:dyDescent="0.35">
      <c r="A97" s="94"/>
      <c r="B97" s="113"/>
      <c r="C97" s="113"/>
      <c r="D97" s="28"/>
      <c r="E97" s="113"/>
      <c r="F97" s="113"/>
      <c r="G97" s="28"/>
      <c r="H97" s="125"/>
      <c r="I97" s="113"/>
      <c r="J97" s="125"/>
      <c r="K97" s="113"/>
      <c r="L97" s="113"/>
      <c r="M97" s="113"/>
      <c r="N97" s="28"/>
      <c r="O97" s="28"/>
      <c r="P97" s="28"/>
      <c r="Q97" s="61"/>
      <c r="R97" s="113"/>
      <c r="S97" s="28"/>
      <c r="T97" s="28"/>
      <c r="V97" s="113"/>
      <c r="W97" s="113"/>
      <c r="X97" s="113"/>
      <c r="Y97" s="113"/>
      <c r="AA97" s="113"/>
      <c r="AB97" s="113"/>
      <c r="AC97" s="113"/>
      <c r="AD97" s="113"/>
      <c r="AF97" s="113"/>
      <c r="AG97" s="28"/>
      <c r="AH97" s="58"/>
      <c r="AI97" s="28"/>
      <c r="AJ97" s="28"/>
      <c r="AK97" s="58"/>
      <c r="AL97" s="28"/>
      <c r="AN97" s="51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G97" s="28"/>
      <c r="BH97" s="28"/>
      <c r="BI97" s="28"/>
      <c r="BJ97" s="28"/>
      <c r="BL97" s="28"/>
      <c r="BM97" s="28"/>
      <c r="BN97" s="28"/>
      <c r="BO97" s="28"/>
      <c r="BQ97" s="113"/>
    </row>
    <row r="98" spans="1:69" x14ac:dyDescent="0.35">
      <c r="A98" s="135" t="s">
        <v>301</v>
      </c>
      <c r="B98" s="113"/>
      <c r="C98" s="113"/>
      <c r="D98" s="28"/>
      <c r="E98" s="113"/>
      <c r="F98" s="113"/>
      <c r="G98" s="28"/>
      <c r="H98" s="125"/>
      <c r="I98" s="113"/>
      <c r="J98" s="125"/>
      <c r="K98" s="113"/>
      <c r="L98" s="113"/>
      <c r="M98" s="113"/>
      <c r="N98" s="28"/>
      <c r="O98" s="125"/>
      <c r="P98" s="28"/>
      <c r="Q98" s="61"/>
      <c r="R98" s="113"/>
      <c r="S98" s="28"/>
      <c r="T98" s="28"/>
      <c r="V98" s="113"/>
      <c r="W98" s="113"/>
      <c r="X98" s="113"/>
      <c r="Y98" s="113"/>
      <c r="AA98" s="113"/>
      <c r="AB98" s="113"/>
      <c r="AC98" s="113"/>
      <c r="AD98" s="113"/>
      <c r="AF98" s="113"/>
      <c r="AG98" s="28"/>
      <c r="AH98" s="58"/>
      <c r="AI98" s="28"/>
      <c r="AJ98" s="28"/>
      <c r="AK98" s="58"/>
      <c r="AL98" s="28"/>
      <c r="AN98" s="65" t="str">
        <f>A98</f>
        <v>Imported Spirits - 750 ml</v>
      </c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G98" s="28"/>
      <c r="BH98" s="28"/>
      <c r="BI98" s="28"/>
      <c r="BJ98" s="28"/>
      <c r="BL98" s="28"/>
      <c r="BM98" s="28"/>
      <c r="BN98" s="28"/>
      <c r="BO98" s="28"/>
      <c r="BQ98" s="113"/>
    </row>
    <row r="99" spans="1:69" x14ac:dyDescent="0.35">
      <c r="A99" s="94" t="s">
        <v>300</v>
      </c>
      <c r="B99" s="113">
        <v>750</v>
      </c>
      <c r="C99" s="113">
        <v>30</v>
      </c>
      <c r="D99" s="28">
        <f>SUM(AA99:AD99)</f>
        <v>5610</v>
      </c>
      <c r="E99" s="113">
        <v>0</v>
      </c>
      <c r="F99" s="113">
        <v>0</v>
      </c>
      <c r="G99" s="28">
        <f>SUM(D99:F99)</f>
        <v>5610</v>
      </c>
      <c r="H99" s="164">
        <v>30</v>
      </c>
      <c r="I99" s="113">
        <v>0</v>
      </c>
      <c r="J99" s="125">
        <v>100</v>
      </c>
      <c r="K99" s="113">
        <v>0</v>
      </c>
      <c r="L99" s="113">
        <v>0</v>
      </c>
      <c r="M99" s="113">
        <v>0</v>
      </c>
      <c r="N99" s="28">
        <f>G99-SUM(H99:M99)</f>
        <v>5480</v>
      </c>
      <c r="O99" s="28">
        <f>SUM(V99:Y99)</f>
        <v>5490</v>
      </c>
      <c r="P99" s="28">
        <f>O99-N99</f>
        <v>10</v>
      </c>
      <c r="Q99" s="61">
        <f>IF(ISERROR(P99/SUM(H99:L99)),"",P99/SUM(H99:L99))</f>
        <v>7.6923076923076927E-2</v>
      </c>
      <c r="R99" s="113">
        <v>300</v>
      </c>
      <c r="S99" s="28">
        <f>IF(ISERROR(P99/C99*R99),0,(P99/C99*R99))</f>
        <v>100</v>
      </c>
      <c r="T99" s="60">
        <f>IF(ISERROR(P99/B99*AF99),0,(P99/B99*AF99))</f>
        <v>42.424277777777782</v>
      </c>
      <c r="V99" s="113">
        <f>1*750+8*30</f>
        <v>990</v>
      </c>
      <c r="W99" s="113">
        <f>6*750</f>
        <v>4500</v>
      </c>
      <c r="X99" s="113">
        <v>0</v>
      </c>
      <c r="Y99" s="113">
        <v>0</v>
      </c>
      <c r="AA99" s="113">
        <f>1*750+12*30</f>
        <v>1110</v>
      </c>
      <c r="AB99" s="113">
        <f>6*750</f>
        <v>4500</v>
      </c>
      <c r="AC99" s="113">
        <v>0</v>
      </c>
      <c r="AD99" s="113">
        <v>0</v>
      </c>
      <c r="AF99" s="162">
        <f>38181.85/12</f>
        <v>3181.8208333333332</v>
      </c>
      <c r="AG99" s="28">
        <f>G99-O99</f>
        <v>120</v>
      </c>
      <c r="AH99" s="58">
        <f>IF(ISERROR(AG99/B99*AF99),0,(AG99/B99*AF99))</f>
        <v>509.09133333333335</v>
      </c>
      <c r="AI99" s="28">
        <f>SUM(H99:M99)</f>
        <v>130</v>
      </c>
      <c r="AJ99" s="28">
        <f>IF(ISERROR(AI99/B99*AF99),0,(AI99/B99*AF99))</f>
        <v>551.51561111111107</v>
      </c>
      <c r="AK99" s="58">
        <f>IF(ISERROR(O99/B99*AF99),0,(O99/B99*AF99))</f>
        <v>23290.928500000002</v>
      </c>
      <c r="AL99" s="28">
        <f>IF(ISERROR(H99/B99*AF99),0,(H99/B99*AF99))</f>
        <v>127.27283333333334</v>
      </c>
      <c r="AN99" s="51" t="str">
        <f>A99</f>
        <v>Baileys irish Cream</v>
      </c>
      <c r="AO99" s="57">
        <f>IF(ISERROR(IF(B99=C99,D99/C99,(INT(D99/B99)+(((D99-B99*INT(D99/B99)))/C99)/100))),0,(IF(B99=C99,D99/C99,(INT(D99/B99)+(((D99-B99*INT(D99/B99)))/C99)/100))))</f>
        <v>7.12</v>
      </c>
      <c r="AP99" s="57">
        <f>IF(ISERROR(IF(B99=C99,E99/C99,(INT(E99/B99)+(((E99-B99*INT(E99/B99)))/C99)/100))),0,(IF(B99=C99,E99/C99,(INT(E99/B99)+(((E99-B99*INT(E99/B99)))/C99)/100))))</f>
        <v>0</v>
      </c>
      <c r="AQ99" s="57">
        <f>IF(ISERROR(IF(B99=C99,F99/C99,IF((INT(F99/B99)+(((F99-B99*INT(F99/B99)))/C99)/100)&lt;0,(INT(F99/B99)+(((F99-B99*INT(F99/B99)))/C99)/100)+(1-(B99/C99/100)),(INT(F99/B99)+(((F99-B99*INT(F99/B99)))/C99)/100)))),0,IF(B99=C99,F99/C99,IF((INT(F99/B99)+(((F99-B99*INT(F99/B99)))/C99)/100)&lt;0,(INT(F99/B99)+(((F99-B99*INT(F99/B99)))/C99)/100)+(1-(B99/C99/100)),(INT(F99/B99)+(((F99-B99*INT(F99/B99)))/C99)/100))))</f>
        <v>0</v>
      </c>
      <c r="AR99" s="57">
        <f>IF(ISERROR(IF(B99=C99,G99/C99,(INT(G99/B99)+(((G99-B99*INT(G99/B99)))/C99)/100))),0,(IF(B99=C99,G99/C99,(INT(G99/B99)+(((G99-B99*INT(G99/B99)))/C99)/100))))</f>
        <v>7.12</v>
      </c>
      <c r="AS99" s="57">
        <f>IF(ISERROR(IF(B99=C99,H99/C99,(INT(H99/B99)+(((H99-B99*INT(H99/B99)))/C99)/100))),0,(IF(B99=C99,H99/C99,(INT(H99/B99)+(((H99-B99*INT(H99/B99)))/C99)/100))))</f>
        <v>0.01</v>
      </c>
      <c r="AT99" s="57">
        <f>IF(ISERROR(IF(B99=C99,I99/C99,(INT(I99/B99)+(((I99-B99*INT(I99/B99)))/C99)/100))),0,(IF(B99=C99,I99/C99,(INT(I99/B99)+(((I99-B99*INT(I99/B99)))/C99)/100))))</f>
        <v>0</v>
      </c>
      <c r="AU99" s="57">
        <f>IF(ISERROR(IF(B99=C99,J99/C99,(INT(J99/B99)+(((J99-B99*INT(J99/B99)))/C99)/100))),0,(IF(B99=C99,J99/C99,(INT(J99/B99)+(((J99-B99*INT(J99/B99)))/C99)/100))))</f>
        <v>3.3333333333333333E-2</v>
      </c>
      <c r="AV99" s="57">
        <f>IF(ISERROR(IF(B99=C99,K99/C99,IF((INT(K99/B99)+(((K99-B99*INT(K99/B99)))/C99)/100)&lt;0,(INT(K99/B99)+(((K99-B99*INT(K99/B99)))/C99)/100)+(1-(B99/C99/100)),(INT(K99/B99)+(((K99-B99*INT(K99/B99)))/C99)/100)))),0,IF(B99=C99,K99/C99,IF((INT(K99/B99)+(((K99-B99*INT(K99/B99)))/C99)/100)&lt;0,(INT(K99/B99)+(((K99-B99*INT(K99/B99)))/C99)/100)+(1-(B99/C99/100)),(INT(K99/B99)+(((K99-B99*INT(K99/B99)))/C99)/100))))</f>
        <v>0</v>
      </c>
      <c r="AW99" s="57">
        <f>IF(ISERROR(IF(B99=C99,L99/C99,(INT(L99/B99)+(((L99-B99*INT(L99/B99)))/C99)/100))),0,(IF(B99=C99,L99/C99,(INT(L99/B99)+(((L99-B99*INT(L99/B99)))/C99)/100))))</f>
        <v>0</v>
      </c>
      <c r="AX99" s="57">
        <f>IF(ISERROR(IF(B99=C99,M99/C99,(INT(M99/B99)+(((M99-B99*INT(M99/B99)))/C99)/100))),0,(IF(B99=C99,M99/C99,(INT(M99/B99)+(((M99-B99*INT(M99/B99)))/C99)/100))))</f>
        <v>0</v>
      </c>
      <c r="AY99" s="57">
        <f>IF(ISERROR(IF(B99=C99,N99/C99,IF((INT(N99/B99)+(((N99-B99*INT(N99/B99)))/C99)/100)&lt;0,(INT(N99/B99)+(((N99-B99*INT(N99/B99)))/C99)/100)+(1-(B99/C99/100)),(INT(N99/B99)+(((N99-B99*INT(N99/B99)))/C99)/100)))),0,IF(B99=C99,N99/C99,IF((INT(N99/B99)+(((N99-B99*INT(N99/B99)))/C99)/100)&lt;0,(INT(N99/B99)+(((N99-B99*INT(N99/B99)))/C99)/100)+(1-(B99/C99/100)),(INT(N99/B99)+(((N99-B99*INT(N99/B99)))/C99)/100))))</f>
        <v>7.0766666666666671</v>
      </c>
      <c r="AZ99" s="57">
        <f>IF(ISERROR(IF(B99=C99,O99/C99,(INT(O99/B99)+(((O99-B99*INT(O99/B99)))/C99)/100))),0,(IF(B99=C99,O99/C99,(INT(O99/B99)+(((O99-B99*INT(O99/B99)))/C99)/100))))</f>
        <v>7.08</v>
      </c>
      <c r="BA99" s="57">
        <f>IF(ISERROR(IF(B99=C99,P99/C99,IF((INT(P99/B99)+(((P99-B99*INT(P99/B99)))/C99)/100)&lt;0,(INT(P99/B99)+(((P99-B99*INT(P99/B99)))/C99)/100)+(1-(B99/C99/100)),(INT(P99/B99)+(((P99-B99*INT(P99/B99)))/C99)/100)))),0,IF(B99=C99,P99/C99,IF((INT(P99/B99)+(((P99-B99*INT(P99/B99)))/C99)/100)&lt;0,(INT(P99/B99)+(((P99-B99*INT(P99/B99)))/C99)/100)+(1-(B99/C99/100)),(INT(P99/B99)+(((P99-B99*INT(P99/B99)))/C99)/100))))</f>
        <v>3.3333333333333331E-3</v>
      </c>
      <c r="BB99" s="28">
        <f>R99</f>
        <v>300</v>
      </c>
      <c r="BC99" s="28">
        <f>S99</f>
        <v>100</v>
      </c>
      <c r="BD99" s="28">
        <f>AF99</f>
        <v>3181.8208333333332</v>
      </c>
      <c r="BE99" s="28">
        <f>T99</f>
        <v>42.424277777777782</v>
      </c>
      <c r="BG99" s="57">
        <f>IF(ISERROR(IF(B99=C99,V99/C99,(INT(V99/B99)+(((V99-B99*INT(V99/B99)))/C99)/100))),0,(IF(B99=C99,V99/C99,(INT(V99/B99)+(((V99-B99*INT(V99/B99)))/C99)/100))))</f>
        <v>1.08</v>
      </c>
      <c r="BH99" s="57">
        <f>IF(ISERROR(IF(B99=C99,W99/C99,(INT(W99/B99)+(((W99-B99*INT(W99/B99)))/C99)/100))),0,(IF(B99=C99,W99/C99,(INT(W99/B99)+(((W99-B99*INT(W99/B99)))/C99)/100))))</f>
        <v>6</v>
      </c>
      <c r="BI99" s="57">
        <f>IF(ISERROR(IF(B99=C99,X99/C99,(INT(X99/B99)+(((X99-B99*INT(X99/B99)))/C99)/100))),0,(IF(B99=C99,X99/C99,(INT(X99/B99)+(((X99-B99*INT(X99/B99)))/C99)/100))))</f>
        <v>0</v>
      </c>
      <c r="BJ99" s="57">
        <f>IF(ISERROR(IF(B99=C99,Y99/C99,(INT(Y99/B99)+(((Y99-B99*INT(Y99/B99)))/C99)/100))),0,(IF(B99=C99,Y99/C99,(INT(Y99/B99)+(((Y99-B99*INT(Y99/B99)))/C99)/100))))</f>
        <v>0</v>
      </c>
      <c r="BL99" s="57">
        <f>IF(ISERROR(IF(B99=C99,AA99/C99,(INT(AA99/B99)+(((AA99-B99*INT(AA99/B99)))/C99)/100))),0,(IF(B99=C99,AA99/C99,(INT(AA99/B99)+(((AA99-B99*INT(AA99/B99)))/C99)/100))))</f>
        <v>1.1200000000000001</v>
      </c>
      <c r="BM99" s="57">
        <f>IF(ISERROR(IF(B99=C99,AB99/C99,(INT(AB99/B99)+(((AB99-B99*INT(AB99/B99)))/C99)/100))),0,(IF(B99=C99,AB99/C99,(INT(AB99/B99)+(((AB99-B99*INT(AB99/B99)))/C99)/100))))</f>
        <v>6</v>
      </c>
      <c r="BN99" s="57">
        <f>IF(ISERROR(IF(B99=C99,AC99/C99,(INT(AC99/B99)+(((AC99-B99*INT(AC99/B99)))/C99)/100))),0,(IF(B99=C99,AC99/C99,(INT(AC99/B99)+(((AC99-B99*INT(AC99/B99)))/C99)/100))))</f>
        <v>0</v>
      </c>
      <c r="BO99" s="57">
        <f>IF(ISERROR(IF(B99=C99,AD99/C99,(INT(AD99/B99)+(((AD99-B99*INT(AD99/B99)))/C99)/100))),0,(IF(B99=C99,AD99/C99,(INT(AD99/B99)+(((AD99-B99*INT(AD99/B99)))/C99)/100))))</f>
        <v>0</v>
      </c>
      <c r="BQ99" s="155" t="s">
        <v>232</v>
      </c>
    </row>
    <row r="100" spans="1:69" x14ac:dyDescent="0.35">
      <c r="A100" s="134" t="s">
        <v>299</v>
      </c>
      <c r="B100" s="113">
        <v>750</v>
      </c>
      <c r="C100" s="113">
        <v>30</v>
      </c>
      <c r="D100" s="28">
        <f>SUM(AA100:AD100)</f>
        <v>4380</v>
      </c>
      <c r="E100" s="113">
        <v>0</v>
      </c>
      <c r="F100" s="113">
        <v>0</v>
      </c>
      <c r="G100" s="28">
        <f>SUM(D100:F100)</f>
        <v>4380</v>
      </c>
      <c r="H100" s="164">
        <v>0</v>
      </c>
      <c r="I100" s="113">
        <v>0</v>
      </c>
      <c r="J100" s="125">
        <v>0</v>
      </c>
      <c r="K100" s="113">
        <v>0</v>
      </c>
      <c r="L100" s="113">
        <v>0</v>
      </c>
      <c r="M100" s="113">
        <v>0</v>
      </c>
      <c r="N100" s="28">
        <f>G100-SUM(H100:M100)</f>
        <v>4380</v>
      </c>
      <c r="O100" s="28">
        <f>SUM(V100:Y100)</f>
        <v>4380</v>
      </c>
      <c r="P100" s="28">
        <f>O100-N100</f>
        <v>0</v>
      </c>
      <c r="Q100" s="61" t="str">
        <f>IF(ISERROR(P100/SUM(H100:L100)),"",P100/SUM(H100:L100))</f>
        <v/>
      </c>
      <c r="R100" s="113">
        <v>210</v>
      </c>
      <c r="S100" s="28">
        <f>IF(ISERROR(P100/C100*R100),0,(P100/C100*R100))</f>
        <v>0</v>
      </c>
      <c r="T100" s="60">
        <f>IF(ISERROR(P100/B100*AF100),0,(P100/B100*AF100))</f>
        <v>0</v>
      </c>
      <c r="V100" s="113">
        <f>21*30</f>
        <v>630</v>
      </c>
      <c r="W100" s="113">
        <f>5*750</f>
        <v>3750</v>
      </c>
      <c r="X100" s="113">
        <v>0</v>
      </c>
      <c r="Y100" s="113">
        <v>0</v>
      </c>
      <c r="AA100" s="113">
        <f>21*30</f>
        <v>630</v>
      </c>
      <c r="AB100" s="113">
        <f>5*750</f>
        <v>3750</v>
      </c>
      <c r="AC100" s="113">
        <v>0</v>
      </c>
      <c r="AD100" s="113">
        <v>0</v>
      </c>
      <c r="AF100" s="162">
        <v>2181.8166666666666</v>
      </c>
      <c r="AG100" s="28">
        <f>G100-O100</f>
        <v>0</v>
      </c>
      <c r="AH100" s="58">
        <f>IF(ISERROR(AG100/B100*AF100),0,(AG100/B100*AF100))</f>
        <v>0</v>
      </c>
      <c r="AI100" s="28">
        <f>SUM(H100:M100)</f>
        <v>0</v>
      </c>
      <c r="AJ100" s="28">
        <f>IF(ISERROR(AI100/B100*AF100),0,(AI100/B100*AF100))</f>
        <v>0</v>
      </c>
      <c r="AK100" s="58">
        <f>IF(ISERROR(O100/B100*AF100),0,(O100/B100*AF100))</f>
        <v>12741.809333333333</v>
      </c>
      <c r="AL100" s="28">
        <f>IF(ISERROR(H100/B100*AF100),0,(H100/B100*AF100))</f>
        <v>0</v>
      </c>
      <c r="AN100" s="51" t="str">
        <f>A100</f>
        <v xml:space="preserve">Beefeater GIN </v>
      </c>
      <c r="AO100" s="57">
        <f>IF(ISERROR(IF(B100=C100,D100/C100,(INT(D100/B100)+(((D100-B100*INT(D100/B100)))/C100)/100))),0,(IF(B100=C100,D100/C100,(INT(D100/B100)+(((D100-B100*INT(D100/B100)))/C100)/100))))</f>
        <v>5.21</v>
      </c>
      <c r="AP100" s="57">
        <f>IF(ISERROR(IF(B100=C100,E100/C100,(INT(E100/B100)+(((E100-B100*INT(E100/B100)))/C100)/100))),0,(IF(B100=C100,E100/C100,(INT(E100/B100)+(((E100-B100*INT(E100/B100)))/C100)/100))))</f>
        <v>0</v>
      </c>
      <c r="AQ100" s="57">
        <f>IF(ISERROR(IF(B100=C100,F100/C100,IF((INT(F100/B100)+(((F100-B100*INT(F100/B100)))/C100)/100)&lt;0,(INT(F100/B100)+(((F100-B100*INT(F100/B100)))/C100)/100)+(1-(B100/C100/100)),(INT(F100/B100)+(((F100-B100*INT(F100/B100)))/C100)/100)))),0,IF(B100=C100,F100/C100,IF((INT(F100/B100)+(((F100-B100*INT(F100/B100)))/C100)/100)&lt;0,(INT(F100/B100)+(((F100-B100*INT(F100/B100)))/C100)/100)+(1-(B100/C100/100)),(INT(F100/B100)+(((F100-B100*INT(F100/B100)))/C100)/100))))</f>
        <v>0</v>
      </c>
      <c r="AR100" s="57">
        <f>IF(ISERROR(IF(B100=C100,G100/C100,(INT(G100/B100)+(((G100-B100*INT(G100/B100)))/C100)/100))),0,(IF(B100=C100,G100/C100,(INT(G100/B100)+(((G100-B100*INT(G100/B100)))/C100)/100))))</f>
        <v>5.21</v>
      </c>
      <c r="AS100" s="57">
        <f>IF(ISERROR(IF(B100=C100,H100/C100,(INT(H100/B100)+(((H100-B100*INT(H100/B100)))/C100)/100))),0,(IF(B100=C100,H100/C100,(INT(H100/B100)+(((H100-B100*INT(H100/B100)))/C100)/100))))</f>
        <v>0</v>
      </c>
      <c r="AT100" s="57">
        <f>IF(ISERROR(IF(B100=C100,I100/C100,(INT(I100/B100)+(((I100-B100*INT(I100/B100)))/C100)/100))),0,(IF(B100=C100,I100/C100,(INT(I100/B100)+(((I100-B100*INT(I100/B100)))/C100)/100))))</f>
        <v>0</v>
      </c>
      <c r="AU100" s="57">
        <f>IF(ISERROR(IF(B100=C100,J100/C100,(INT(J100/B100)+(((J100-B100*INT(J100/B100)))/C100)/100))),0,(IF(B100=C100,J100/C100,(INT(J100/B100)+(((J100-B100*INT(J100/B100)))/C100)/100))))</f>
        <v>0</v>
      </c>
      <c r="AV100" s="57">
        <f>IF(ISERROR(IF(B100=C100,K100/C100,IF((INT(K100/B100)+(((K100-B100*INT(K100/B100)))/C100)/100)&lt;0,(INT(K100/B100)+(((K100-B100*INT(K100/B100)))/C100)/100)+(1-(B100/C100/100)),(INT(K100/B100)+(((K100-B100*INT(K100/B100)))/C100)/100)))),0,IF(B100=C100,K100/C100,IF((INT(K100/B100)+(((K100-B100*INT(K100/B100)))/C100)/100)&lt;0,(INT(K100/B100)+(((K100-B100*INT(K100/B100)))/C100)/100)+(1-(B100/C100/100)),(INT(K100/B100)+(((K100-B100*INT(K100/B100)))/C100)/100))))</f>
        <v>0</v>
      </c>
      <c r="AW100" s="57">
        <f>IF(ISERROR(IF(B100=C100,L100/C100,(INT(L100/B100)+(((L100-B100*INT(L100/B100)))/C100)/100))),0,(IF(B100=C100,L100/C100,(INT(L100/B100)+(((L100-B100*INT(L100/B100)))/C100)/100))))</f>
        <v>0</v>
      </c>
      <c r="AX100" s="57">
        <f>IF(ISERROR(IF(B100=C100,M100/C100,(INT(M100/B100)+(((M100-B100*INT(M100/B100)))/C100)/100))),0,(IF(B100=C100,M100/C100,(INT(M100/B100)+(((M100-B100*INT(M100/B100)))/C100)/100))))</f>
        <v>0</v>
      </c>
      <c r="AY100" s="57">
        <f>IF(ISERROR(IF(B100=C100,N100/C100,IF((INT(N100/B100)+(((N100-B100*INT(N100/B100)))/C100)/100)&lt;0,(INT(N100/B100)+(((N100-B100*INT(N100/B100)))/C100)/100)+(1-(B100/C100/100)),(INT(N100/B100)+(((N100-B100*INT(N100/B100)))/C100)/100)))),0,IF(B100=C100,N100/C100,IF((INT(N100/B100)+(((N100-B100*INT(N100/B100)))/C100)/100)&lt;0,(INT(N100/B100)+(((N100-B100*INT(N100/B100)))/C100)/100)+(1-(B100/C100/100)),(INT(N100/B100)+(((N100-B100*INT(N100/B100)))/C100)/100))))</f>
        <v>5.21</v>
      </c>
      <c r="AZ100" s="57">
        <f>IF(ISERROR(IF(B100=C100,O100/C100,(INT(O100/B100)+(((O100-B100*INT(O100/B100)))/C100)/100))),0,(IF(B100=C100,O100/C100,(INT(O100/B100)+(((O100-B100*INT(O100/B100)))/C100)/100))))</f>
        <v>5.21</v>
      </c>
      <c r="BA100" s="57">
        <f>IF(ISERROR(IF(B100=C100,P100/C100,IF((INT(P100/B100)+(((P100-B100*INT(P100/B100)))/C100)/100)&lt;0,(INT(P100/B100)+(((P100-B100*INT(P100/B100)))/C100)/100)+(1-(B100/C100/100)),(INT(P100/B100)+(((P100-B100*INT(P100/B100)))/C100)/100)))),0,IF(B100=C100,P100/C100,IF((INT(P100/B100)+(((P100-B100*INT(P100/B100)))/C100)/100)&lt;0,(INT(P100/B100)+(((P100-B100*INT(P100/B100)))/C100)/100)+(1-(B100/C100/100)),(INT(P100/B100)+(((P100-B100*INT(P100/B100)))/C100)/100))))</f>
        <v>0</v>
      </c>
      <c r="BB100" s="28">
        <f>R100</f>
        <v>210</v>
      </c>
      <c r="BC100" s="28">
        <f>S100</f>
        <v>0</v>
      </c>
      <c r="BD100" s="28">
        <f>AF100</f>
        <v>2181.8166666666666</v>
      </c>
      <c r="BE100" s="28">
        <f>T100</f>
        <v>0</v>
      </c>
      <c r="BG100" s="57">
        <f>IF(ISERROR(IF(B100=C100,V100/C100,(INT(V100/B100)+(((V100-B100*INT(V100/B100)))/C100)/100))),0,(IF(B100=C100,V100/C100,(INT(V100/B100)+(((V100-B100*INT(V100/B100)))/C100)/100))))</f>
        <v>0.21</v>
      </c>
      <c r="BH100" s="57">
        <f>IF(ISERROR(IF(B100=C100,W100/C100,(INT(W100/B100)+(((W100-B100*INT(W100/B100)))/C100)/100))),0,(IF(B100=C100,W100/C100,(INT(W100/B100)+(((W100-B100*INT(W100/B100)))/C100)/100))))</f>
        <v>5</v>
      </c>
      <c r="BI100" s="57">
        <f>IF(ISERROR(IF(B100=C100,X100/C100,(INT(X100/B100)+(((X100-B100*INT(X100/B100)))/C100)/100))),0,(IF(B100=C100,X100/C100,(INT(X100/B100)+(((X100-B100*INT(X100/B100)))/C100)/100))))</f>
        <v>0</v>
      </c>
      <c r="BJ100" s="57">
        <f>IF(ISERROR(IF(B100=C100,Y100/C100,(INT(Y100/B100)+(((Y100-B100*INT(Y100/B100)))/C100)/100))),0,(IF(B100=C100,Y100/C100,(INT(Y100/B100)+(((Y100-B100*INT(Y100/B100)))/C100)/100))))</f>
        <v>0</v>
      </c>
      <c r="BL100" s="57">
        <f>IF(ISERROR(IF(B100=C100,AA100/C100,(INT(AA100/B100)+(((AA100-B100*INT(AA100/B100)))/C100)/100))),0,(IF(B100=C100,AA100/C100,(INT(AA100/B100)+(((AA100-B100*INT(AA100/B100)))/C100)/100))))</f>
        <v>0.21</v>
      </c>
      <c r="BM100" s="57">
        <f>IF(ISERROR(IF(B100=C100,AB100/C100,(INT(AB100/B100)+(((AB100-B100*INT(AB100/B100)))/C100)/100))),0,(IF(B100=C100,AB100/C100,(INT(AB100/B100)+(((AB100-B100*INT(AB100/B100)))/C100)/100))))</f>
        <v>5</v>
      </c>
      <c r="BN100" s="57">
        <f>IF(ISERROR(IF(B100=C100,AC100/C100,(INT(AC100/B100)+(((AC100-B100*INT(AC100/B100)))/C100)/100))),0,(IF(B100=C100,AC100/C100,(INT(AC100/B100)+(((AC100-B100*INT(AC100/B100)))/C100)/100))))</f>
        <v>0</v>
      </c>
      <c r="BO100" s="57">
        <f>IF(ISERROR(IF(B100=C100,AD100/C100,(INT(AD100/B100)+(((AD100-B100*INT(AD100/B100)))/C100)/100))),0,(IF(B100=C100,AD100/C100,(INT(AD100/B100)+(((AD100-B100*INT(AD100/B100)))/C100)/100))))</f>
        <v>0</v>
      </c>
      <c r="BQ100" s="155" t="s">
        <v>236</v>
      </c>
    </row>
    <row r="101" spans="1:69" x14ac:dyDescent="0.35">
      <c r="A101" s="165" t="s">
        <v>298</v>
      </c>
      <c r="B101" s="113">
        <v>750</v>
      </c>
      <c r="C101" s="113">
        <v>30</v>
      </c>
      <c r="D101" s="28">
        <f>SUM(AA101:AD101)</f>
        <v>2640</v>
      </c>
      <c r="E101" s="113">
        <v>0</v>
      </c>
      <c r="F101" s="113">
        <v>0</v>
      </c>
      <c r="G101" s="28">
        <f>SUM(D101:F101)</f>
        <v>2640</v>
      </c>
      <c r="H101" s="164">
        <v>0</v>
      </c>
      <c r="I101" s="113">
        <v>0</v>
      </c>
      <c r="J101" s="125">
        <v>0</v>
      </c>
      <c r="K101" s="113">
        <v>0</v>
      </c>
      <c r="L101" s="113">
        <v>0</v>
      </c>
      <c r="M101" s="113">
        <v>0</v>
      </c>
      <c r="N101" s="28">
        <f>G101-SUM(H101:M101)</f>
        <v>2640</v>
      </c>
      <c r="O101" s="28">
        <f>SUM(V101:Y101)</f>
        <v>2640</v>
      </c>
      <c r="P101" s="28">
        <f>O101-N101</f>
        <v>0</v>
      </c>
      <c r="Q101" s="61" t="str">
        <f>IF(ISERROR(P101/SUM(H101:L101)),"",P101/SUM(H101:L101))</f>
        <v/>
      </c>
      <c r="R101" s="113">
        <v>250</v>
      </c>
      <c r="S101" s="28">
        <f>IF(ISERROR(P101/C101*R101),0,(P101/C101*R101))</f>
        <v>0</v>
      </c>
      <c r="T101" s="60">
        <f>IF(ISERROR(P101/B101*AF101),0,(P101/B101*AF101))</f>
        <v>0</v>
      </c>
      <c r="V101" s="113">
        <f>13*30</f>
        <v>390</v>
      </c>
      <c r="W101" s="113">
        <f>3*750</f>
        <v>2250</v>
      </c>
      <c r="X101" s="113">
        <v>0</v>
      </c>
      <c r="Y101" s="113">
        <v>0</v>
      </c>
      <c r="AA101" s="113">
        <f>13*30</f>
        <v>390</v>
      </c>
      <c r="AB101" s="113">
        <f>3*750</f>
        <v>2250</v>
      </c>
      <c r="AC101" s="113">
        <v>0</v>
      </c>
      <c r="AD101" s="113">
        <v>0</v>
      </c>
      <c r="AF101" s="162">
        <f>28363.65/12</f>
        <v>2363.6375000000003</v>
      </c>
      <c r="AG101" s="28">
        <f>G101-O101</f>
        <v>0</v>
      </c>
      <c r="AH101" s="58">
        <f>IF(ISERROR(AG101/B101*AF101),0,(AG101/B101*AF101))</f>
        <v>0</v>
      </c>
      <c r="AI101" s="28">
        <f>SUM(H101:M101)</f>
        <v>0</v>
      </c>
      <c r="AJ101" s="28">
        <f>IF(ISERROR(AI101/B101*AF101),0,(AI101/B101*AF101))</f>
        <v>0</v>
      </c>
      <c r="AK101" s="58">
        <f>IF(ISERROR(O101/B101*AF101),0,(O101/B101*AF101))</f>
        <v>8320.0040000000008</v>
      </c>
      <c r="AL101" s="28">
        <f>IF(ISERROR(H101/B101*AF101),0,(H101/B101*AF101))</f>
        <v>0</v>
      </c>
      <c r="AN101" s="51" t="str">
        <f>A101</f>
        <v>Bombay sapphire Gin</v>
      </c>
      <c r="AO101" s="57">
        <f>IF(ISERROR(IF(B101=C101,D101/C101,(INT(D101/B101)+(((D101-B101*INT(D101/B101)))/C101)/100))),0,(IF(B101=C101,D101/C101,(INT(D101/B101)+(((D101-B101*INT(D101/B101)))/C101)/100))))</f>
        <v>3.13</v>
      </c>
      <c r="AP101" s="57">
        <f>IF(ISERROR(IF(B101=C101,E101/C101,(INT(E101/B101)+(((E101-B101*INT(E101/B101)))/C101)/100))),0,(IF(B101=C101,E101/C101,(INT(E101/B101)+(((E101-B101*INT(E101/B101)))/C101)/100))))</f>
        <v>0</v>
      </c>
      <c r="AQ101" s="57">
        <f>IF(ISERROR(IF(B101=C101,F101/C101,IF((INT(F101/B101)+(((F101-B101*INT(F101/B101)))/C101)/100)&lt;0,(INT(F101/B101)+(((F101-B101*INT(F101/B101)))/C101)/100)+(1-(B101/C101/100)),(INT(F101/B101)+(((F101-B101*INT(F101/B101)))/C101)/100)))),0,IF(B101=C101,F101/C101,IF((INT(F101/B101)+(((F101-B101*INT(F101/B101)))/C101)/100)&lt;0,(INT(F101/B101)+(((F101-B101*INT(F101/B101)))/C101)/100)+(1-(B101/C101/100)),(INT(F101/B101)+(((F101-B101*INT(F101/B101)))/C101)/100))))</f>
        <v>0</v>
      </c>
      <c r="AR101" s="57">
        <f>IF(ISERROR(IF(B101=C101,G101/C101,(INT(G101/B101)+(((G101-B101*INT(G101/B101)))/C101)/100))),0,(IF(B101=C101,G101/C101,(INT(G101/B101)+(((G101-B101*INT(G101/B101)))/C101)/100))))</f>
        <v>3.13</v>
      </c>
      <c r="AS101" s="57">
        <f>IF(ISERROR(IF(B101=C101,H101/C101,(INT(H101/B101)+(((H101-B101*INT(H101/B101)))/C101)/100))),0,(IF(B101=C101,H101/C101,(INT(H101/B101)+(((H101-B101*INT(H101/B101)))/C101)/100))))</f>
        <v>0</v>
      </c>
      <c r="AT101" s="57">
        <f>IF(ISERROR(IF(B101=C101,I101/C101,(INT(I101/B101)+(((I101-B101*INT(I101/B101)))/C101)/100))),0,(IF(B101=C101,I101/C101,(INT(I101/B101)+(((I101-B101*INT(I101/B101)))/C101)/100))))</f>
        <v>0</v>
      </c>
      <c r="AU101" s="57">
        <f>IF(ISERROR(IF(B101=C101,J101/C101,(INT(J101/B101)+(((J101-B101*INT(J101/B101)))/C101)/100))),0,(IF(B101=C101,J101/C101,(INT(J101/B101)+(((J101-B101*INT(J101/B101)))/C101)/100))))</f>
        <v>0</v>
      </c>
      <c r="AV101" s="57">
        <f>IF(ISERROR(IF(B101=C101,K101/C101,IF((INT(K101/B101)+(((K101-B101*INT(K101/B101)))/C101)/100)&lt;0,(INT(K101/B101)+(((K101-B101*INT(K101/B101)))/C101)/100)+(1-(B101/C101/100)),(INT(K101/B101)+(((K101-B101*INT(K101/B101)))/C101)/100)))),0,IF(B101=C101,K101/C101,IF((INT(K101/B101)+(((K101-B101*INT(K101/B101)))/C101)/100)&lt;0,(INT(K101/B101)+(((K101-B101*INT(K101/B101)))/C101)/100)+(1-(B101/C101/100)),(INT(K101/B101)+(((K101-B101*INT(K101/B101)))/C101)/100))))</f>
        <v>0</v>
      </c>
      <c r="AW101" s="57">
        <f>IF(ISERROR(IF(B101=C101,L101/C101,(INT(L101/B101)+(((L101-B101*INT(L101/B101)))/C101)/100))),0,(IF(B101=C101,L101/C101,(INT(L101/B101)+(((L101-B101*INT(L101/B101)))/C101)/100))))</f>
        <v>0</v>
      </c>
      <c r="AX101" s="57">
        <f>IF(ISERROR(IF(B101=C101,M101/C101,(INT(M101/B101)+(((M101-B101*INT(M101/B101)))/C101)/100))),0,(IF(B101=C101,M101/C101,(INT(M101/B101)+(((M101-B101*INT(M101/B101)))/C101)/100))))</f>
        <v>0</v>
      </c>
      <c r="AY101" s="57">
        <f>IF(ISERROR(IF(B101=C101,N101/C101,IF((INT(N101/B101)+(((N101-B101*INT(N101/B101)))/C101)/100)&lt;0,(INT(N101/B101)+(((N101-B101*INT(N101/B101)))/C101)/100)+(1-(B101/C101/100)),(INT(N101/B101)+(((N101-B101*INT(N101/B101)))/C101)/100)))),0,IF(B101=C101,N101/C101,IF((INT(N101/B101)+(((N101-B101*INT(N101/B101)))/C101)/100)&lt;0,(INT(N101/B101)+(((N101-B101*INT(N101/B101)))/C101)/100)+(1-(B101/C101/100)),(INT(N101/B101)+(((N101-B101*INT(N101/B101)))/C101)/100))))</f>
        <v>3.13</v>
      </c>
      <c r="AZ101" s="57">
        <f>IF(ISERROR(IF(B101=C101,O101/C101,(INT(O101/B101)+(((O101-B101*INT(O101/B101)))/C101)/100))),0,(IF(B101=C101,O101/C101,(INT(O101/B101)+(((O101-B101*INT(O101/B101)))/C101)/100))))</f>
        <v>3.13</v>
      </c>
      <c r="BA101" s="57">
        <f>IF(ISERROR(IF(B101=C101,P101/C101,IF((INT(P101/B101)+(((P101-B101*INT(P101/B101)))/C101)/100)&lt;0,(INT(P101/B101)+(((P101-B101*INT(P101/B101)))/C101)/100)+(1-(B101/C101/100)),(INT(P101/B101)+(((P101-B101*INT(P101/B101)))/C101)/100)))),0,IF(B101=C101,P101/C101,IF((INT(P101/B101)+(((P101-B101*INT(P101/B101)))/C101)/100)&lt;0,(INT(P101/B101)+(((P101-B101*INT(P101/B101)))/C101)/100)+(1-(B101/C101/100)),(INT(P101/B101)+(((P101-B101*INT(P101/B101)))/C101)/100))))</f>
        <v>0</v>
      </c>
      <c r="BB101" s="28">
        <f>R101</f>
        <v>250</v>
      </c>
      <c r="BC101" s="28">
        <f>S101</f>
        <v>0</v>
      </c>
      <c r="BD101" s="28">
        <f>AF101</f>
        <v>2363.6375000000003</v>
      </c>
      <c r="BE101" s="28">
        <f>T101</f>
        <v>0</v>
      </c>
      <c r="BG101" s="57">
        <f>IF(ISERROR(IF(B101=C101,V101/C101,(INT(V101/B101)+(((V101-B101*INT(V101/B101)))/C101)/100))),0,(IF(B101=C101,V101/C101,(INT(V101/B101)+(((V101-B101*INT(V101/B101)))/C101)/100))))</f>
        <v>0.13</v>
      </c>
      <c r="BH101" s="57">
        <f>IF(ISERROR(IF(B101=C101,W101/C101,(INT(W101/B101)+(((W101-B101*INT(W101/B101)))/C101)/100))),0,(IF(B101=C101,W101/C101,(INT(W101/B101)+(((W101-B101*INT(W101/B101)))/C101)/100))))</f>
        <v>3</v>
      </c>
      <c r="BI101" s="57">
        <f>IF(ISERROR(IF(B101=C101,X101/C101,(INT(X101/B101)+(((X101-B101*INT(X101/B101)))/C101)/100))),0,(IF(B101=C101,X101/C101,(INT(X101/B101)+(((X101-B101*INT(X101/B101)))/C101)/100))))</f>
        <v>0</v>
      </c>
      <c r="BJ101" s="57">
        <f>IF(ISERROR(IF(B101=C101,Y101/C101,(INT(Y101/B101)+(((Y101-B101*INT(Y101/B101)))/C101)/100))),0,(IF(B101=C101,Y101/C101,(INT(Y101/B101)+(((Y101-B101*INT(Y101/B101)))/C101)/100))))</f>
        <v>0</v>
      </c>
      <c r="BL101" s="57">
        <f>IF(ISERROR(IF(B101=C101,AA101/C101,(INT(AA101/B101)+(((AA101-B101*INT(AA101/B101)))/C101)/100))),0,(IF(B101=C101,AA101/C101,(INT(AA101/B101)+(((AA101-B101*INT(AA101/B101)))/C101)/100))))</f>
        <v>0.13</v>
      </c>
      <c r="BM101" s="57">
        <f>IF(ISERROR(IF(B101=C101,AB101/C101,(INT(AB101/B101)+(((AB101-B101*INT(AB101/B101)))/C101)/100))),0,(IF(B101=C101,AB101/C101,(INT(AB101/B101)+(((AB101-B101*INT(AB101/B101)))/C101)/100))))</f>
        <v>3</v>
      </c>
      <c r="BN101" s="57">
        <f>IF(ISERROR(IF(B101=C101,AC101/C101,(INT(AC101/B101)+(((AC101-B101*INT(AC101/B101)))/C101)/100))),0,(IF(B101=C101,AC101/C101,(INT(AC101/B101)+(((AC101-B101*INT(AC101/B101)))/C101)/100))))</f>
        <v>0</v>
      </c>
      <c r="BO101" s="57">
        <f>IF(ISERROR(IF(B101=C101,AD101/C101,(INT(AD101/B101)+(((AD101-B101*INT(AD101/B101)))/C101)/100))),0,(IF(B101=C101,AD101/C101,(INT(AD101/B101)+(((AD101-B101*INT(AD101/B101)))/C101)/100))))</f>
        <v>0</v>
      </c>
      <c r="BQ101" s="155" t="s">
        <v>236</v>
      </c>
    </row>
    <row r="102" spans="1:69" x14ac:dyDescent="0.35">
      <c r="A102" s="134" t="s">
        <v>297</v>
      </c>
      <c r="B102" s="113">
        <v>750</v>
      </c>
      <c r="C102" s="113">
        <v>30</v>
      </c>
      <c r="D102" s="28">
        <f>SUM(AA102:AD102)</f>
        <v>600</v>
      </c>
      <c r="E102" s="113">
        <v>0</v>
      </c>
      <c r="F102" s="113">
        <v>0</v>
      </c>
      <c r="G102" s="28">
        <f>SUM(D102:F102)</f>
        <v>600</v>
      </c>
      <c r="H102" s="125">
        <v>0</v>
      </c>
      <c r="I102" s="113">
        <v>0</v>
      </c>
      <c r="J102" s="125">
        <v>0</v>
      </c>
      <c r="K102" s="113">
        <v>0</v>
      </c>
      <c r="L102" s="113">
        <v>0</v>
      </c>
      <c r="M102" s="113">
        <v>0</v>
      </c>
      <c r="N102" s="28">
        <f>G102-SUM(H102:M102)</f>
        <v>600</v>
      </c>
      <c r="O102" s="28">
        <f>SUM(V102:Y102)</f>
        <v>600</v>
      </c>
      <c r="P102" s="28">
        <f>O102-N102</f>
        <v>0</v>
      </c>
      <c r="Q102" s="61" t="str">
        <f>IF(ISERROR(P102/SUM(H102:L102)),"",P102/SUM(H102:L102))</f>
        <v/>
      </c>
      <c r="R102" s="113">
        <v>300</v>
      </c>
      <c r="S102" s="28">
        <f>IF(ISERROR(P102/C102*R102),0,(P102/C102*R102))</f>
        <v>0</v>
      </c>
      <c r="T102" s="60">
        <f>IF(ISERROR(P102/B102*AF102),0,(P102/B102*AF102))</f>
        <v>0</v>
      </c>
      <c r="V102" s="113">
        <f>20*30</f>
        <v>600</v>
      </c>
      <c r="W102" s="113">
        <v>0</v>
      </c>
      <c r="X102" s="113">
        <v>0</v>
      </c>
      <c r="Y102" s="113">
        <v>0</v>
      </c>
      <c r="AA102" s="113">
        <f>20*30</f>
        <v>600</v>
      </c>
      <c r="AB102" s="113">
        <v>0</v>
      </c>
      <c r="AC102" s="113">
        <v>0</v>
      </c>
      <c r="AD102" s="113">
        <v>0</v>
      </c>
      <c r="AF102" s="162">
        <f>51236.9/12</f>
        <v>4269.7416666666668</v>
      </c>
      <c r="AG102" s="28">
        <f>G102-O102</f>
        <v>0</v>
      </c>
      <c r="AH102" s="58">
        <f>IF(ISERROR(AG102/B102*AF102),0,(AG102/B102*AF102))</f>
        <v>0</v>
      </c>
      <c r="AI102" s="28">
        <f>SUM(H102:M102)</f>
        <v>0</v>
      </c>
      <c r="AJ102" s="28">
        <f>IF(ISERROR(AI102/B102*AF102),0,(AI102/B102*AF102))</f>
        <v>0</v>
      </c>
      <c r="AK102" s="58">
        <f>IF(ISERROR(O102/B102*AF102),0,(O102/B102*AF102))</f>
        <v>3415.7933333333335</v>
      </c>
      <c r="AL102" s="28">
        <f>IF(ISERROR(H102/B102*AF102),0,(H102/B102*AF102))</f>
        <v>0</v>
      </c>
      <c r="AN102" s="51" t="str">
        <f>A102</f>
        <v xml:space="preserve">Campari Bitter </v>
      </c>
      <c r="AO102" s="57">
        <f>IF(ISERROR(IF(B102=C102,D102/C102,(INT(D102/B102)+(((D102-B102*INT(D102/B102)))/C102)/100))),0,(IF(B102=C102,D102/C102,(INT(D102/B102)+(((D102-B102*INT(D102/B102)))/C102)/100))))</f>
        <v>0.2</v>
      </c>
      <c r="AP102" s="57">
        <f>IF(ISERROR(IF(B102=C102,E102/C102,(INT(E102/B102)+(((E102-B102*INT(E102/B102)))/C102)/100))),0,(IF(B102=C102,E102/C102,(INT(E102/B102)+(((E102-B102*INT(E102/B102)))/C102)/100))))</f>
        <v>0</v>
      </c>
      <c r="AQ102" s="57">
        <f>IF(ISERROR(IF(B102=C102,F102/C102,IF((INT(F102/B102)+(((F102-B102*INT(F102/B102)))/C102)/100)&lt;0,(INT(F102/B102)+(((F102-B102*INT(F102/B102)))/C102)/100)+(1-(B102/C102/100)),(INT(F102/B102)+(((F102-B102*INT(F102/B102)))/C102)/100)))),0,IF(B102=C102,F102/C102,IF((INT(F102/B102)+(((F102-B102*INT(F102/B102)))/C102)/100)&lt;0,(INT(F102/B102)+(((F102-B102*INT(F102/B102)))/C102)/100)+(1-(B102/C102/100)),(INT(F102/B102)+(((F102-B102*INT(F102/B102)))/C102)/100))))</f>
        <v>0</v>
      </c>
      <c r="AR102" s="57">
        <f>IF(ISERROR(IF(B102=C102,G102/C102,(INT(G102/B102)+(((G102-B102*INT(G102/B102)))/C102)/100))),0,(IF(B102=C102,G102/C102,(INT(G102/B102)+(((G102-B102*INT(G102/B102)))/C102)/100))))</f>
        <v>0.2</v>
      </c>
      <c r="AS102" s="57">
        <f>IF(ISERROR(IF(B102=C102,H102/C102,(INT(H102/B102)+(((H102-B102*INT(H102/B102)))/C102)/100))),0,(IF(B102=C102,H102/C102,(INT(H102/B102)+(((H102-B102*INT(H102/B102)))/C102)/100))))</f>
        <v>0</v>
      </c>
      <c r="AT102" s="57">
        <f>IF(ISERROR(IF(B102=C102,I102/C102,(INT(I102/B102)+(((I102-B102*INT(I102/B102)))/C102)/100))),0,(IF(B102=C102,I102/C102,(INT(I102/B102)+(((I102-B102*INT(I102/B102)))/C102)/100))))</f>
        <v>0</v>
      </c>
      <c r="AU102" s="57">
        <f>IF(ISERROR(IF(B102=C102,J102/C102,(INT(J102/B102)+(((J102-B102*INT(J102/B102)))/C102)/100))),0,(IF(B102=C102,J102/C102,(INT(J102/B102)+(((J102-B102*INT(J102/B102)))/C102)/100))))</f>
        <v>0</v>
      </c>
      <c r="AV102" s="57">
        <f>IF(ISERROR(IF(B102=C102,K102/C102,IF((INT(K102/B102)+(((K102-B102*INT(K102/B102)))/C102)/100)&lt;0,(INT(K102/B102)+(((K102-B102*INT(K102/B102)))/C102)/100)+(1-(B102/C102/100)),(INT(K102/B102)+(((K102-B102*INT(K102/B102)))/C102)/100)))),0,IF(B102=C102,K102/C102,IF((INT(K102/B102)+(((K102-B102*INT(K102/B102)))/C102)/100)&lt;0,(INT(K102/B102)+(((K102-B102*INT(K102/B102)))/C102)/100)+(1-(B102/C102/100)),(INT(K102/B102)+(((K102-B102*INT(K102/B102)))/C102)/100))))</f>
        <v>0</v>
      </c>
      <c r="AW102" s="57">
        <f>IF(ISERROR(IF(B102=C102,L102/C102,(INT(L102/B102)+(((L102-B102*INT(L102/B102)))/C102)/100))),0,(IF(B102=C102,L102/C102,(INT(L102/B102)+(((L102-B102*INT(L102/B102)))/C102)/100))))</f>
        <v>0</v>
      </c>
      <c r="AX102" s="57">
        <f>IF(ISERROR(IF(B102=C102,M102/C102,(INT(M102/B102)+(((M102-B102*INT(M102/B102)))/C102)/100))),0,(IF(B102=C102,M102/C102,(INT(M102/B102)+(((M102-B102*INT(M102/B102)))/C102)/100))))</f>
        <v>0</v>
      </c>
      <c r="AY102" s="57">
        <f>IF(ISERROR(IF(B102=C102,N102/C102,IF((INT(N102/B102)+(((N102-B102*INT(N102/B102)))/C102)/100)&lt;0,(INT(N102/B102)+(((N102-B102*INT(N102/B102)))/C102)/100)+(1-(B102/C102/100)),(INT(N102/B102)+(((N102-B102*INT(N102/B102)))/C102)/100)))),0,IF(B102=C102,N102/C102,IF((INT(N102/B102)+(((N102-B102*INT(N102/B102)))/C102)/100)&lt;0,(INT(N102/B102)+(((N102-B102*INT(N102/B102)))/C102)/100)+(1-(B102/C102/100)),(INT(N102/B102)+(((N102-B102*INT(N102/B102)))/C102)/100))))</f>
        <v>0.2</v>
      </c>
      <c r="AZ102" s="57">
        <f>IF(ISERROR(IF(B102=C102,O102/C102,(INT(O102/B102)+(((O102-B102*INT(O102/B102)))/C102)/100))),0,(IF(B102=C102,O102/C102,(INT(O102/B102)+(((O102-B102*INT(O102/B102)))/C102)/100))))</f>
        <v>0.2</v>
      </c>
      <c r="BA102" s="57">
        <f>IF(ISERROR(IF(B102=C102,P102/C102,IF((INT(P102/B102)+(((P102-B102*INT(P102/B102)))/C102)/100)&lt;0,(INT(P102/B102)+(((P102-B102*INT(P102/B102)))/C102)/100)+(1-(B102/C102/100)),(INT(P102/B102)+(((P102-B102*INT(P102/B102)))/C102)/100)))),0,IF(B102=C102,P102/C102,IF((INT(P102/B102)+(((P102-B102*INT(P102/B102)))/C102)/100)&lt;0,(INT(P102/B102)+(((P102-B102*INT(P102/B102)))/C102)/100)+(1-(B102/C102/100)),(INT(P102/B102)+(((P102-B102*INT(P102/B102)))/C102)/100))))</f>
        <v>0</v>
      </c>
      <c r="BB102" s="28">
        <f>R102</f>
        <v>300</v>
      </c>
      <c r="BC102" s="28">
        <f>S102</f>
        <v>0</v>
      </c>
      <c r="BD102" s="28">
        <f>AF102</f>
        <v>4269.7416666666668</v>
      </c>
      <c r="BE102" s="28">
        <f>T102</f>
        <v>0</v>
      </c>
      <c r="BG102" s="57">
        <f>IF(ISERROR(IF(B102=C102,V102/C102,(INT(V102/B102)+(((V102-B102*INT(V102/B102)))/C102)/100))),0,(IF(B102=C102,V102/C102,(INT(V102/B102)+(((V102-B102*INT(V102/B102)))/C102)/100))))</f>
        <v>0.2</v>
      </c>
      <c r="BH102" s="57">
        <f>IF(ISERROR(IF(B102=C102,W102/C102,(INT(W102/B102)+(((W102-B102*INT(W102/B102)))/C102)/100))),0,(IF(B102=C102,W102/C102,(INT(W102/B102)+(((W102-B102*INT(W102/B102)))/C102)/100))))</f>
        <v>0</v>
      </c>
      <c r="BI102" s="57">
        <f>IF(ISERROR(IF(B102=C102,X102/C102,(INT(X102/B102)+(((X102-B102*INT(X102/B102)))/C102)/100))),0,(IF(B102=C102,X102/C102,(INT(X102/B102)+(((X102-B102*INT(X102/B102)))/C102)/100))))</f>
        <v>0</v>
      </c>
      <c r="BJ102" s="57">
        <f>IF(ISERROR(IF(B102=C102,Y102/C102,(INT(Y102/B102)+(((Y102-B102*INT(Y102/B102)))/C102)/100))),0,(IF(B102=C102,Y102/C102,(INT(Y102/B102)+(((Y102-B102*INT(Y102/B102)))/C102)/100))))</f>
        <v>0</v>
      </c>
      <c r="BL102" s="57">
        <f>IF(ISERROR(IF(B102=C102,AA102/C102,(INT(AA102/B102)+(((AA102-B102*INT(AA102/B102)))/C102)/100))),0,(IF(B102=C102,AA102/C102,(INT(AA102/B102)+(((AA102-B102*INT(AA102/B102)))/C102)/100))))</f>
        <v>0.2</v>
      </c>
      <c r="BM102" s="57">
        <f>IF(ISERROR(IF(B102=C102,AB102/C102,(INT(AB102/B102)+(((AB102-B102*INT(AB102/B102)))/C102)/100))),0,(IF(B102=C102,AB102/C102,(INT(AB102/B102)+(((AB102-B102*INT(AB102/B102)))/C102)/100))))</f>
        <v>0</v>
      </c>
      <c r="BN102" s="57">
        <f>IF(ISERROR(IF(B102=C102,AC102/C102,(INT(AC102/B102)+(((AC102-B102*INT(AC102/B102)))/C102)/100))),0,(IF(B102=C102,AC102/C102,(INT(AC102/B102)+(((AC102-B102*INT(AC102/B102)))/C102)/100))))</f>
        <v>0</v>
      </c>
      <c r="BO102" s="57">
        <f>IF(ISERROR(IF(B102=C102,AD102/C102,(INT(AD102/B102)+(((AD102-B102*INT(AD102/B102)))/C102)/100))),0,(IF(B102=C102,AD102/C102,(INT(AD102/B102)+(((AD102-B102*INT(AD102/B102)))/C102)/100))))</f>
        <v>0</v>
      </c>
      <c r="BQ102" s="155" t="s">
        <v>232</v>
      </c>
    </row>
    <row r="103" spans="1:69" x14ac:dyDescent="0.35">
      <c r="A103" s="134" t="s">
        <v>296</v>
      </c>
      <c r="B103" s="113">
        <v>750</v>
      </c>
      <c r="C103" s="113">
        <v>30</v>
      </c>
      <c r="D103" s="28">
        <f>SUM(AA103:AD103)</f>
        <v>1860</v>
      </c>
      <c r="E103" s="113">
        <v>0</v>
      </c>
      <c r="F103" s="113">
        <v>0</v>
      </c>
      <c r="G103" s="28">
        <f>SUM(D103:F103)</f>
        <v>1860</v>
      </c>
      <c r="H103" s="164">
        <v>0</v>
      </c>
      <c r="I103" s="113">
        <v>0</v>
      </c>
      <c r="J103" s="125">
        <v>0</v>
      </c>
      <c r="K103" s="113">
        <v>0</v>
      </c>
      <c r="L103" s="113">
        <v>0</v>
      </c>
      <c r="M103" s="113">
        <v>0</v>
      </c>
      <c r="N103" s="28">
        <f>G103-SUM(H103:M103)</f>
        <v>1860</v>
      </c>
      <c r="O103" s="28">
        <f>SUM(V103:Y103)</f>
        <v>1860</v>
      </c>
      <c r="P103" s="28">
        <f>O103-N103</f>
        <v>0</v>
      </c>
      <c r="Q103" s="61" t="str">
        <f>IF(ISERROR(P103/SUM(H103:L103)),"",P103/SUM(H103:L103))</f>
        <v/>
      </c>
      <c r="R103" s="113">
        <v>450</v>
      </c>
      <c r="S103" s="28">
        <f>IF(ISERROR(P103/C103*R103),0,(P103/C103*R103))</f>
        <v>0</v>
      </c>
      <c r="T103" s="60">
        <f>IF(ISERROR(P103/B103*AF103),0,(P103/B103*AF103))</f>
        <v>0</v>
      </c>
      <c r="V103" s="113">
        <f>1*750+12*30</f>
        <v>1110</v>
      </c>
      <c r="W103" s="113">
        <v>750</v>
      </c>
      <c r="X103" s="113">
        <v>0</v>
      </c>
      <c r="Y103" s="113">
        <v>0</v>
      </c>
      <c r="AA103" s="113">
        <f>1*750+12*30</f>
        <v>1110</v>
      </c>
      <c r="AB103" s="113">
        <f>1*750</f>
        <v>750</v>
      </c>
      <c r="AC103" s="113">
        <v>0</v>
      </c>
      <c r="AD103" s="113">
        <v>0</v>
      </c>
      <c r="AF103" s="163">
        <f>105818.2/12</f>
        <v>8818.1833333333325</v>
      </c>
      <c r="AG103" s="28">
        <f>G103-O103</f>
        <v>0</v>
      </c>
      <c r="AH103" s="58">
        <f>IF(ISERROR(AG103/B103*AF103),0,(AG103/B103*AF103))</f>
        <v>0</v>
      </c>
      <c r="AI103" s="28">
        <f>SUM(H103:M103)</f>
        <v>0</v>
      </c>
      <c r="AJ103" s="28">
        <f>IF(ISERROR(AI103/B103*AF103),0,(AI103/B103*AF103))</f>
        <v>0</v>
      </c>
      <c r="AK103" s="58">
        <f>IF(ISERROR(O103/B103*AF103),0,(O103/B103*AF103))</f>
        <v>21869.094666666664</v>
      </c>
      <c r="AL103" s="28">
        <f>IF(ISERROR(H103/B103*AF103),0,(H103/B103*AF103))</f>
        <v>0</v>
      </c>
      <c r="AN103" s="51" t="str">
        <f>A103</f>
        <v>Caolila Aged 12 Years</v>
      </c>
      <c r="AO103" s="57">
        <f>IF(ISERROR(IF(B103=C103,D103/C103,(INT(D103/B103)+(((D103-B103*INT(D103/B103)))/C103)/100))),0,(IF(B103=C103,D103/C103,(INT(D103/B103)+(((D103-B103*INT(D103/B103)))/C103)/100))))</f>
        <v>2.12</v>
      </c>
      <c r="AP103" s="57">
        <f>IF(ISERROR(IF(B103=C103,E103/C103,(INT(E103/B103)+(((E103-B103*INT(E103/B103)))/C103)/100))),0,(IF(B103=C103,E103/C103,(INT(E103/B103)+(((E103-B103*INT(E103/B103)))/C103)/100))))</f>
        <v>0</v>
      </c>
      <c r="AQ103" s="57">
        <f>IF(ISERROR(IF(B103=C103,F103/C103,IF((INT(F103/B103)+(((F103-B103*INT(F103/B103)))/C103)/100)&lt;0,(INT(F103/B103)+(((F103-B103*INT(F103/B103)))/C103)/100)+(1-(B103/C103/100)),(INT(F103/B103)+(((F103-B103*INT(F103/B103)))/C103)/100)))),0,IF(B103=C103,F103/C103,IF((INT(F103/B103)+(((F103-B103*INT(F103/B103)))/C103)/100)&lt;0,(INT(F103/B103)+(((F103-B103*INT(F103/B103)))/C103)/100)+(1-(B103/C103/100)),(INT(F103/B103)+(((F103-B103*INT(F103/B103)))/C103)/100))))</f>
        <v>0</v>
      </c>
      <c r="AR103" s="57">
        <f>IF(ISERROR(IF(B103=C103,G103/C103,(INT(G103/B103)+(((G103-B103*INT(G103/B103)))/C103)/100))),0,(IF(B103=C103,G103/C103,(INT(G103/B103)+(((G103-B103*INT(G103/B103)))/C103)/100))))</f>
        <v>2.12</v>
      </c>
      <c r="AS103" s="57">
        <f>IF(ISERROR(IF(B103=C103,H103/C103,(INT(H103/B103)+(((H103-B103*INT(H103/B103)))/C103)/100))),0,(IF(B103=C103,H103/C103,(INT(H103/B103)+(((H103-B103*INT(H103/B103)))/C103)/100))))</f>
        <v>0</v>
      </c>
      <c r="AT103" s="57">
        <f>IF(ISERROR(IF(B103=C103,I103/C103,(INT(I103/B103)+(((I103-B103*INT(I103/B103)))/C103)/100))),0,(IF(B103=C103,I103/C103,(INT(I103/B103)+(((I103-B103*INT(I103/B103)))/C103)/100))))</f>
        <v>0</v>
      </c>
      <c r="AU103" s="57">
        <f>IF(ISERROR(IF(B103=C103,J103/C103,(INT(J103/B103)+(((J103-B103*INT(J103/B103)))/C103)/100))),0,(IF(B103=C103,J103/C103,(INT(J103/B103)+(((J103-B103*INT(J103/B103)))/C103)/100))))</f>
        <v>0</v>
      </c>
      <c r="AV103" s="57">
        <f>IF(ISERROR(IF(B103=C103,K103/C103,IF((INT(K103/B103)+(((K103-B103*INT(K103/B103)))/C103)/100)&lt;0,(INT(K103/B103)+(((K103-B103*INT(K103/B103)))/C103)/100)+(1-(B103/C103/100)),(INT(K103/B103)+(((K103-B103*INT(K103/B103)))/C103)/100)))),0,IF(B103=C103,K103/C103,IF((INT(K103/B103)+(((K103-B103*INT(K103/B103)))/C103)/100)&lt;0,(INT(K103/B103)+(((K103-B103*INT(K103/B103)))/C103)/100)+(1-(B103/C103/100)),(INT(K103/B103)+(((K103-B103*INT(K103/B103)))/C103)/100))))</f>
        <v>0</v>
      </c>
      <c r="AW103" s="57">
        <f>IF(ISERROR(IF(B103=C103,L103/C103,(INT(L103/B103)+(((L103-B103*INT(L103/B103)))/C103)/100))),0,(IF(B103=C103,L103/C103,(INT(L103/B103)+(((L103-B103*INT(L103/B103)))/C103)/100))))</f>
        <v>0</v>
      </c>
      <c r="AX103" s="57">
        <f>IF(ISERROR(IF(B103=C103,M103/C103,(INT(M103/B103)+(((M103-B103*INT(M103/B103)))/C103)/100))),0,(IF(B103=C103,M103/C103,(INT(M103/B103)+(((M103-B103*INT(M103/B103)))/C103)/100))))</f>
        <v>0</v>
      </c>
      <c r="AY103" s="57">
        <f>IF(ISERROR(IF(B103=C103,N103/C103,IF((INT(N103/B103)+(((N103-B103*INT(N103/B103)))/C103)/100)&lt;0,(INT(N103/B103)+(((N103-B103*INT(N103/B103)))/C103)/100)+(1-(B103/C103/100)),(INT(N103/B103)+(((N103-B103*INT(N103/B103)))/C103)/100)))),0,IF(B103=C103,N103/C103,IF((INT(N103/B103)+(((N103-B103*INT(N103/B103)))/C103)/100)&lt;0,(INT(N103/B103)+(((N103-B103*INT(N103/B103)))/C103)/100)+(1-(B103/C103/100)),(INT(N103/B103)+(((N103-B103*INT(N103/B103)))/C103)/100))))</f>
        <v>2.12</v>
      </c>
      <c r="AZ103" s="57">
        <f>IF(ISERROR(IF(B103=C103,O103/C103,(INT(O103/B103)+(((O103-B103*INT(O103/B103)))/C103)/100))),0,(IF(B103=C103,O103/C103,(INT(O103/B103)+(((O103-B103*INT(O103/B103)))/C103)/100))))</f>
        <v>2.12</v>
      </c>
      <c r="BA103" s="57">
        <f>IF(ISERROR(IF(B103=C103,P103/C103,IF((INT(P103/B103)+(((P103-B103*INT(P103/B103)))/C103)/100)&lt;0,(INT(P103/B103)+(((P103-B103*INT(P103/B103)))/C103)/100)+(1-(B103/C103/100)),(INT(P103/B103)+(((P103-B103*INT(P103/B103)))/C103)/100)))),0,IF(B103=C103,P103/C103,IF((INT(P103/B103)+(((P103-B103*INT(P103/B103)))/C103)/100)&lt;0,(INT(P103/B103)+(((P103-B103*INT(P103/B103)))/C103)/100)+(1-(B103/C103/100)),(INT(P103/B103)+(((P103-B103*INT(P103/B103)))/C103)/100))))</f>
        <v>0</v>
      </c>
      <c r="BB103" s="28">
        <f>R103</f>
        <v>450</v>
      </c>
      <c r="BC103" s="28">
        <f>S103</f>
        <v>0</v>
      </c>
      <c r="BD103" s="28">
        <f>AF103</f>
        <v>8818.1833333333325</v>
      </c>
      <c r="BE103" s="28">
        <f>T103</f>
        <v>0</v>
      </c>
      <c r="BG103" s="57">
        <f>IF(ISERROR(IF(B103=C103,V103/C103,(INT(V103/B103)+(((V103-B103*INT(V103/B103)))/C103)/100))),0,(IF(B103=C103,V103/C103,(INT(V103/B103)+(((V103-B103*INT(V103/B103)))/C103)/100))))</f>
        <v>1.1200000000000001</v>
      </c>
      <c r="BH103" s="57">
        <f>IF(ISERROR(IF(B103=C103,W103/C103,(INT(W103/B103)+(((W103-B103*INT(W103/B103)))/C103)/100))),0,(IF(B103=C103,W103/C103,(INT(W103/B103)+(((W103-B103*INT(W103/B103)))/C103)/100))))</f>
        <v>1</v>
      </c>
      <c r="BI103" s="57">
        <f>IF(ISERROR(IF(B103=C103,X103/C103,(INT(X103/B103)+(((X103-B103*INT(X103/B103)))/C103)/100))),0,(IF(B103=C103,X103/C103,(INT(X103/B103)+(((X103-B103*INT(X103/B103)))/C103)/100))))</f>
        <v>0</v>
      </c>
      <c r="BJ103" s="57">
        <f>IF(ISERROR(IF(B103=C103,Y103/C103,(INT(Y103/B103)+(((Y103-B103*INT(Y103/B103)))/C103)/100))),0,(IF(B103=C103,Y103/C103,(INT(Y103/B103)+(((Y103-B103*INT(Y103/B103)))/C103)/100))))</f>
        <v>0</v>
      </c>
      <c r="BL103" s="57">
        <f>IF(ISERROR(IF(B103=C103,AA103/C103,(INT(AA103/B103)+(((AA103-B103*INT(AA103/B103)))/C103)/100))),0,(IF(B103=C103,AA103/C103,(INT(AA103/B103)+(((AA103-B103*INT(AA103/B103)))/C103)/100))))</f>
        <v>1.1200000000000001</v>
      </c>
      <c r="BM103" s="57">
        <f>IF(ISERROR(IF(B103=C103,AB103/C103,(INT(AB103/B103)+(((AB103-B103*INT(AB103/B103)))/C103)/100))),0,(IF(B103=C103,AB103/C103,(INT(AB103/B103)+(((AB103-B103*INT(AB103/B103)))/C103)/100))))</f>
        <v>1</v>
      </c>
      <c r="BN103" s="57">
        <f>IF(ISERROR(IF(B103=C103,AC103/C103,(INT(AC103/B103)+(((AC103-B103*INT(AC103/B103)))/C103)/100))),0,(IF(B103=C103,AC103/C103,(INT(AC103/B103)+(((AC103-B103*INT(AC103/B103)))/C103)/100))))</f>
        <v>0</v>
      </c>
      <c r="BO103" s="57">
        <f>IF(ISERROR(IF(B103=C103,AD103/C103,(INT(AD103/B103)+(((AD103-B103*INT(AD103/B103)))/C103)/100))),0,(IF(B103=C103,AD103/C103,(INT(AD103/B103)+(((AD103-B103*INT(AD103/B103)))/C103)/100))))</f>
        <v>0</v>
      </c>
      <c r="BQ103" s="155" t="s">
        <v>215</v>
      </c>
    </row>
    <row r="104" spans="1:69" x14ac:dyDescent="0.35">
      <c r="A104" s="134" t="s">
        <v>295</v>
      </c>
      <c r="B104" s="113">
        <v>750</v>
      </c>
      <c r="C104" s="113">
        <v>30</v>
      </c>
      <c r="D104" s="28">
        <f>SUM(AA104:AD104)</f>
        <v>14670</v>
      </c>
      <c r="E104" s="113">
        <v>0</v>
      </c>
      <c r="F104" s="113">
        <v>0</v>
      </c>
      <c r="G104" s="28">
        <f>SUM(D104:F104)</f>
        <v>14670</v>
      </c>
      <c r="H104" s="164">
        <v>0</v>
      </c>
      <c r="I104" s="113">
        <v>0</v>
      </c>
      <c r="J104" s="125">
        <v>0</v>
      </c>
      <c r="K104" s="113">
        <v>0</v>
      </c>
      <c r="L104" s="113">
        <v>0</v>
      </c>
      <c r="M104" s="113">
        <v>0</v>
      </c>
      <c r="N104" s="28">
        <f>G104-SUM(H104:M104)</f>
        <v>14670</v>
      </c>
      <c r="O104" s="28">
        <f>SUM(V104:Y104)</f>
        <v>14670</v>
      </c>
      <c r="P104" s="28">
        <f>O104-N104</f>
        <v>0</v>
      </c>
      <c r="Q104" s="61" t="str">
        <f>IF(ISERROR(P104/SUM(H104:L104)),"",P104/SUM(H104:L104))</f>
        <v/>
      </c>
      <c r="R104" s="113">
        <v>350</v>
      </c>
      <c r="S104" s="28">
        <f>IF(ISERROR(P104/C104*R104),0,(P104/C104*R104))</f>
        <v>0</v>
      </c>
      <c r="T104" s="60">
        <f>IF(ISERROR(P104/B104*AF104),0,(P104/B104*AF104))</f>
        <v>0</v>
      </c>
      <c r="V104" s="113">
        <f>2*750+14*30</f>
        <v>1920</v>
      </c>
      <c r="W104" s="113">
        <f>17*750</f>
        <v>12750</v>
      </c>
      <c r="X104" s="113">
        <v>0</v>
      </c>
      <c r="Y104" s="113">
        <v>0</v>
      </c>
      <c r="AA104" s="113">
        <f>2*750+14*30</f>
        <v>1920</v>
      </c>
      <c r="AB104" s="113">
        <f>17*750</f>
        <v>12750</v>
      </c>
      <c r="AC104" s="113">
        <v>0</v>
      </c>
      <c r="AD104" s="113">
        <v>0</v>
      </c>
      <c r="AF104" s="162">
        <f>61636.4/12</f>
        <v>5136.3666666666668</v>
      </c>
      <c r="AG104" s="28">
        <f>G104-O104</f>
        <v>0</v>
      </c>
      <c r="AH104" s="58">
        <f>IF(ISERROR(AG104/B104*AF104),0,(AG104/B104*AF104))</f>
        <v>0</v>
      </c>
      <c r="AI104" s="28">
        <f>SUM(H104:M104)</f>
        <v>0</v>
      </c>
      <c r="AJ104" s="28">
        <f>IF(ISERROR(AI104/B104*AF104),0,(AI104/B104*AF104))</f>
        <v>0</v>
      </c>
      <c r="AK104" s="58">
        <f>IF(ISERROR(O104/B104*AF104),0,(O104/B104*AF104))</f>
        <v>100467.33199999999</v>
      </c>
      <c r="AL104" s="28">
        <f>IF(ISERROR(H104/B104*AF104),0,(H104/B104*AF104))</f>
        <v>0</v>
      </c>
      <c r="AN104" s="51" t="str">
        <f>A104</f>
        <v>Chivas Regal 12yrs</v>
      </c>
      <c r="AO104" s="57">
        <f>IF(ISERROR(IF(B104=C104,D104/C104,(INT(D104/B104)+(((D104-B104*INT(D104/B104)))/C104)/100))),0,(IF(B104=C104,D104/C104,(INT(D104/B104)+(((D104-B104*INT(D104/B104)))/C104)/100))))</f>
        <v>19.14</v>
      </c>
      <c r="AP104" s="57">
        <f>IF(ISERROR(IF(B104=C104,E104/C104,(INT(E104/B104)+(((E104-B104*INT(E104/B104)))/C104)/100))),0,(IF(B104=C104,E104/C104,(INT(E104/B104)+(((E104-B104*INT(E104/B104)))/C104)/100))))</f>
        <v>0</v>
      </c>
      <c r="AQ104" s="57">
        <f>IF(ISERROR(IF(B104=C104,F104/C104,IF((INT(F104/B104)+(((F104-B104*INT(F104/B104)))/C104)/100)&lt;0,(INT(F104/B104)+(((F104-B104*INT(F104/B104)))/C104)/100)+(1-(B104/C104/100)),(INT(F104/B104)+(((F104-B104*INT(F104/B104)))/C104)/100)))),0,IF(B104=C104,F104/C104,IF((INT(F104/B104)+(((F104-B104*INT(F104/B104)))/C104)/100)&lt;0,(INT(F104/B104)+(((F104-B104*INT(F104/B104)))/C104)/100)+(1-(B104/C104/100)),(INT(F104/B104)+(((F104-B104*INT(F104/B104)))/C104)/100))))</f>
        <v>0</v>
      </c>
      <c r="AR104" s="57">
        <f>IF(ISERROR(IF(B104=C104,G104/C104,(INT(G104/B104)+(((G104-B104*INT(G104/B104)))/C104)/100))),0,(IF(B104=C104,G104/C104,(INT(G104/B104)+(((G104-B104*INT(G104/B104)))/C104)/100))))</f>
        <v>19.14</v>
      </c>
      <c r="AS104" s="57">
        <f>IF(ISERROR(IF(B104=C104,H104/C104,(INT(H104/B104)+(((H104-B104*INT(H104/B104)))/C104)/100))),0,(IF(B104=C104,H104/C104,(INT(H104/B104)+(((H104-B104*INT(H104/B104)))/C104)/100))))</f>
        <v>0</v>
      </c>
      <c r="AT104" s="57">
        <f>IF(ISERROR(IF(B104=C104,I104/C104,(INT(I104/B104)+(((I104-B104*INT(I104/B104)))/C104)/100))),0,(IF(B104=C104,I104/C104,(INT(I104/B104)+(((I104-B104*INT(I104/B104)))/C104)/100))))</f>
        <v>0</v>
      </c>
      <c r="AU104" s="57">
        <f>IF(ISERROR(IF(B104=C104,J104/C104,(INT(J104/B104)+(((J104-B104*INT(J104/B104)))/C104)/100))),0,(IF(B104=C104,J104/C104,(INT(J104/B104)+(((J104-B104*INT(J104/B104)))/C104)/100))))</f>
        <v>0</v>
      </c>
      <c r="AV104" s="57">
        <f>IF(ISERROR(IF(B104=C104,K104/C104,IF((INT(K104/B104)+(((K104-B104*INT(K104/B104)))/C104)/100)&lt;0,(INT(K104/B104)+(((K104-B104*INT(K104/B104)))/C104)/100)+(1-(B104/C104/100)),(INT(K104/B104)+(((K104-B104*INT(K104/B104)))/C104)/100)))),0,IF(B104=C104,K104/C104,IF((INT(K104/B104)+(((K104-B104*INT(K104/B104)))/C104)/100)&lt;0,(INT(K104/B104)+(((K104-B104*INT(K104/B104)))/C104)/100)+(1-(B104/C104/100)),(INT(K104/B104)+(((K104-B104*INT(K104/B104)))/C104)/100))))</f>
        <v>0</v>
      </c>
      <c r="AW104" s="57">
        <f>IF(ISERROR(IF(B104=C104,L104/C104,(INT(L104/B104)+(((L104-B104*INT(L104/B104)))/C104)/100))),0,(IF(B104=C104,L104/C104,(INT(L104/B104)+(((L104-B104*INT(L104/B104)))/C104)/100))))</f>
        <v>0</v>
      </c>
      <c r="AX104" s="57">
        <f>IF(ISERROR(IF(B104=C104,M104/C104,(INT(M104/B104)+(((M104-B104*INT(M104/B104)))/C104)/100))),0,(IF(B104=C104,M104/C104,(INT(M104/B104)+(((M104-B104*INT(M104/B104)))/C104)/100))))</f>
        <v>0</v>
      </c>
      <c r="AY104" s="57">
        <f>IF(ISERROR(IF(B104=C104,N104/C104,IF((INT(N104/B104)+(((N104-B104*INT(N104/B104)))/C104)/100)&lt;0,(INT(N104/B104)+(((N104-B104*INT(N104/B104)))/C104)/100)+(1-(B104/C104/100)),(INT(N104/B104)+(((N104-B104*INT(N104/B104)))/C104)/100)))),0,IF(B104=C104,N104/C104,IF((INT(N104/B104)+(((N104-B104*INT(N104/B104)))/C104)/100)&lt;0,(INT(N104/B104)+(((N104-B104*INT(N104/B104)))/C104)/100)+(1-(B104/C104/100)),(INT(N104/B104)+(((N104-B104*INT(N104/B104)))/C104)/100))))</f>
        <v>19.14</v>
      </c>
      <c r="AZ104" s="57">
        <f>IF(ISERROR(IF(B104=C104,O104/C104,(INT(O104/B104)+(((O104-B104*INT(O104/B104)))/C104)/100))),0,(IF(B104=C104,O104/C104,(INT(O104/B104)+(((O104-B104*INT(O104/B104)))/C104)/100))))</f>
        <v>19.14</v>
      </c>
      <c r="BA104" s="57">
        <f>IF(ISERROR(IF(B104=C104,P104/C104,IF((INT(P104/B104)+(((P104-B104*INT(P104/B104)))/C104)/100)&lt;0,(INT(P104/B104)+(((P104-B104*INT(P104/B104)))/C104)/100)+(1-(B104/C104/100)),(INT(P104/B104)+(((P104-B104*INT(P104/B104)))/C104)/100)))),0,IF(B104=C104,P104/C104,IF((INT(P104/B104)+(((P104-B104*INT(P104/B104)))/C104)/100)&lt;0,(INT(P104/B104)+(((P104-B104*INT(P104/B104)))/C104)/100)+(1-(B104/C104/100)),(INT(P104/B104)+(((P104-B104*INT(P104/B104)))/C104)/100))))</f>
        <v>0</v>
      </c>
      <c r="BB104" s="28">
        <f>R104</f>
        <v>350</v>
      </c>
      <c r="BC104" s="28">
        <f>S104</f>
        <v>0</v>
      </c>
      <c r="BD104" s="28">
        <f>AF104</f>
        <v>5136.3666666666668</v>
      </c>
      <c r="BE104" s="28">
        <f>T104</f>
        <v>0</v>
      </c>
      <c r="BG104" s="57">
        <f>IF(ISERROR(IF(B104=C104,V104/C104,(INT(V104/B104)+(((V104-B104*INT(V104/B104)))/C104)/100))),0,(IF(B104=C104,V104/C104,(INT(V104/B104)+(((V104-B104*INT(V104/B104)))/C104)/100))))</f>
        <v>2.14</v>
      </c>
      <c r="BH104" s="57">
        <f>IF(ISERROR(IF(B104=C104,W104/C104,(INT(W104/B104)+(((W104-B104*INT(W104/B104)))/C104)/100))),0,(IF(B104=C104,W104/C104,(INT(W104/B104)+(((W104-B104*INT(W104/B104)))/C104)/100))))</f>
        <v>17</v>
      </c>
      <c r="BI104" s="57">
        <f>IF(ISERROR(IF(B104=C104,X104/C104,(INT(X104/B104)+(((X104-B104*INT(X104/B104)))/C104)/100))),0,(IF(B104=C104,X104/C104,(INT(X104/B104)+(((X104-B104*INT(X104/B104)))/C104)/100))))</f>
        <v>0</v>
      </c>
      <c r="BJ104" s="57">
        <f>IF(ISERROR(IF(B104=C104,Y104/C104,(INT(Y104/B104)+(((Y104-B104*INT(Y104/B104)))/C104)/100))),0,(IF(B104=C104,Y104/C104,(INT(Y104/B104)+(((Y104-B104*INT(Y104/B104)))/C104)/100))))</f>
        <v>0</v>
      </c>
      <c r="BL104" s="57">
        <f>IF(ISERROR(IF(B104=C104,AA104/C104,(INT(AA104/B104)+(((AA104-B104*INT(AA104/B104)))/C104)/100))),0,(IF(B104=C104,AA104/C104,(INT(AA104/B104)+(((AA104-B104*INT(AA104/B104)))/C104)/100))))</f>
        <v>2.14</v>
      </c>
      <c r="BM104" s="57">
        <f>IF(ISERROR(IF(B104=C104,AB104/C104,(INT(AB104/B104)+(((AB104-B104*INT(AB104/B104)))/C104)/100))),0,(IF(B104=C104,AB104/C104,(INT(AB104/B104)+(((AB104-B104*INT(AB104/B104)))/C104)/100))))</f>
        <v>17</v>
      </c>
      <c r="BN104" s="57">
        <f>IF(ISERROR(IF(B104=C104,AC104/C104,(INT(AC104/B104)+(((AC104-B104*INT(AC104/B104)))/C104)/100))),0,(IF(B104=C104,AC104/C104,(INT(AC104/B104)+(((AC104-B104*INT(AC104/B104)))/C104)/100))))</f>
        <v>0</v>
      </c>
      <c r="BO104" s="57">
        <f>IF(ISERROR(IF(B104=C104,AD104/C104,(INT(AD104/B104)+(((AD104-B104*INT(AD104/B104)))/C104)/100))),0,(IF(B104=C104,AD104/C104,(INT(AD104/B104)+(((AD104-B104*INT(AD104/B104)))/C104)/100))))</f>
        <v>0</v>
      </c>
      <c r="BQ104" s="155" t="s">
        <v>215</v>
      </c>
    </row>
    <row r="105" spans="1:69" x14ac:dyDescent="0.35">
      <c r="A105" s="134" t="s">
        <v>294</v>
      </c>
      <c r="B105" s="113">
        <v>750</v>
      </c>
      <c r="C105" s="113">
        <v>30</v>
      </c>
      <c r="D105" s="28">
        <f>SUM(AA105:AD105)</f>
        <v>2580</v>
      </c>
      <c r="E105" s="113">
        <v>0</v>
      </c>
      <c r="F105" s="113">
        <v>0</v>
      </c>
      <c r="G105" s="28">
        <f>SUM(D105:F105)</f>
        <v>2580</v>
      </c>
      <c r="H105" s="164">
        <v>0</v>
      </c>
      <c r="I105" s="113">
        <v>0</v>
      </c>
      <c r="J105" s="125">
        <v>0</v>
      </c>
      <c r="K105" s="113">
        <v>0</v>
      </c>
      <c r="L105" s="113">
        <v>0</v>
      </c>
      <c r="M105" s="113">
        <v>0</v>
      </c>
      <c r="N105" s="28">
        <f>G105-SUM(H105:M105)</f>
        <v>2580</v>
      </c>
      <c r="O105" s="28">
        <f>SUM(V105:Y105)</f>
        <v>2580</v>
      </c>
      <c r="P105" s="28">
        <f>O105-N105</f>
        <v>0</v>
      </c>
      <c r="Q105" s="61" t="str">
        <f>IF(ISERROR(P105/SUM(H105:L105)),"",P105/SUM(H105:L105))</f>
        <v/>
      </c>
      <c r="R105" s="113">
        <v>210</v>
      </c>
      <c r="S105" s="28">
        <f>IF(ISERROR(P105/C105*R105),0,(P105/C105*R105))</f>
        <v>0</v>
      </c>
      <c r="T105" s="60">
        <f>IF(ISERROR(P105/B105*AF105),0,(P105/B105*AF105))</f>
        <v>0</v>
      </c>
      <c r="V105" s="113">
        <f>2*750+11*30</f>
        <v>1830</v>
      </c>
      <c r="W105" s="113">
        <v>750</v>
      </c>
      <c r="X105" s="113">
        <v>0</v>
      </c>
      <c r="Y105" s="113">
        <v>0</v>
      </c>
      <c r="AA105" s="113">
        <f>2*750+11*30</f>
        <v>1830</v>
      </c>
      <c r="AB105" s="113">
        <f>1*750</f>
        <v>750</v>
      </c>
      <c r="AC105" s="113">
        <v>0</v>
      </c>
      <c r="AD105" s="113">
        <v>0</v>
      </c>
      <c r="AF105" s="162">
        <f>2200</f>
        <v>2200</v>
      </c>
      <c r="AG105" s="28">
        <f>G105-O105</f>
        <v>0</v>
      </c>
      <c r="AH105" s="58">
        <f>IF(ISERROR(AG105/B105*AF105),0,(AG105/B105*AF105))</f>
        <v>0</v>
      </c>
      <c r="AI105" s="28">
        <f>SUM(H105:M105)</f>
        <v>0</v>
      </c>
      <c r="AJ105" s="28">
        <f>IF(ISERROR(AI105/B105*AF105),0,(AI105/B105*AF105))</f>
        <v>0</v>
      </c>
      <c r="AK105" s="58">
        <f>IF(ISERROR(O105/B105*AF105),0,(O105/B105*AF105))</f>
        <v>7568</v>
      </c>
      <c r="AL105" s="28">
        <f>IF(ISERROR(H105/B105*AF105),0,(H105/B105*AF105))</f>
        <v>0</v>
      </c>
      <c r="AN105" s="51" t="str">
        <f>A105</f>
        <v xml:space="preserve">Gordon's Gin </v>
      </c>
      <c r="AO105" s="57">
        <f>IF(ISERROR(IF(B105=C105,D105/C105,(INT(D105/B105)+(((D105-B105*INT(D105/B105)))/C105)/100))),0,(IF(B105=C105,D105/C105,(INT(D105/B105)+(((D105-B105*INT(D105/B105)))/C105)/100))))</f>
        <v>3.11</v>
      </c>
      <c r="AP105" s="57">
        <f>IF(ISERROR(IF(B105=C105,E105/C105,(INT(E105/B105)+(((E105-B105*INT(E105/B105)))/C105)/100))),0,(IF(B105=C105,E105/C105,(INT(E105/B105)+(((E105-B105*INT(E105/B105)))/C105)/100))))</f>
        <v>0</v>
      </c>
      <c r="AQ105" s="57">
        <f>IF(ISERROR(IF(B105=C105,F105/C105,IF((INT(F105/B105)+(((F105-B105*INT(F105/B105)))/C105)/100)&lt;0,(INT(F105/B105)+(((F105-B105*INT(F105/B105)))/C105)/100)+(1-(B105/C105/100)),(INT(F105/B105)+(((F105-B105*INT(F105/B105)))/C105)/100)))),0,IF(B105=C105,F105/C105,IF((INT(F105/B105)+(((F105-B105*INT(F105/B105)))/C105)/100)&lt;0,(INT(F105/B105)+(((F105-B105*INT(F105/B105)))/C105)/100)+(1-(B105/C105/100)),(INT(F105/B105)+(((F105-B105*INT(F105/B105)))/C105)/100))))</f>
        <v>0</v>
      </c>
      <c r="AR105" s="57">
        <f>IF(ISERROR(IF(B105=C105,G105/C105,(INT(G105/B105)+(((G105-B105*INT(G105/B105)))/C105)/100))),0,(IF(B105=C105,G105/C105,(INT(G105/B105)+(((G105-B105*INT(G105/B105)))/C105)/100))))</f>
        <v>3.11</v>
      </c>
      <c r="AS105" s="57">
        <f>IF(ISERROR(IF(B105=C105,H105/C105,(INT(H105/B105)+(((H105-B105*INT(H105/B105)))/C105)/100))),0,(IF(B105=C105,H105/C105,(INT(H105/B105)+(((H105-B105*INT(H105/B105)))/C105)/100))))</f>
        <v>0</v>
      </c>
      <c r="AT105" s="57">
        <f>IF(ISERROR(IF(B105=C105,I105/C105,(INT(I105/B105)+(((I105-B105*INT(I105/B105)))/C105)/100))),0,(IF(B105=C105,I105/C105,(INT(I105/B105)+(((I105-B105*INT(I105/B105)))/C105)/100))))</f>
        <v>0</v>
      </c>
      <c r="AU105" s="57">
        <f>IF(ISERROR(IF(B105=C105,J105/C105,(INT(J105/B105)+(((J105-B105*INT(J105/B105)))/C105)/100))),0,(IF(B105=C105,J105/C105,(INT(J105/B105)+(((J105-B105*INT(J105/B105)))/C105)/100))))</f>
        <v>0</v>
      </c>
      <c r="AV105" s="57">
        <f>IF(ISERROR(IF(B105=C105,K105/C105,IF((INT(K105/B105)+(((K105-B105*INT(K105/B105)))/C105)/100)&lt;0,(INT(K105/B105)+(((K105-B105*INT(K105/B105)))/C105)/100)+(1-(B105/C105/100)),(INT(K105/B105)+(((K105-B105*INT(K105/B105)))/C105)/100)))),0,IF(B105=C105,K105/C105,IF((INT(K105/B105)+(((K105-B105*INT(K105/B105)))/C105)/100)&lt;0,(INT(K105/B105)+(((K105-B105*INT(K105/B105)))/C105)/100)+(1-(B105/C105/100)),(INT(K105/B105)+(((K105-B105*INT(K105/B105)))/C105)/100))))</f>
        <v>0</v>
      </c>
      <c r="AW105" s="57">
        <f>IF(ISERROR(IF(B105=C105,L105/C105,(INT(L105/B105)+(((L105-B105*INT(L105/B105)))/C105)/100))),0,(IF(B105=C105,L105/C105,(INT(L105/B105)+(((L105-B105*INT(L105/B105)))/C105)/100))))</f>
        <v>0</v>
      </c>
      <c r="AX105" s="57">
        <f>IF(ISERROR(IF(B105=C105,M105/C105,(INT(M105/B105)+(((M105-B105*INT(M105/B105)))/C105)/100))),0,(IF(B105=C105,M105/C105,(INT(M105/B105)+(((M105-B105*INT(M105/B105)))/C105)/100))))</f>
        <v>0</v>
      </c>
      <c r="AY105" s="57">
        <f>IF(ISERROR(IF(B105=C105,N105/C105,IF((INT(N105/B105)+(((N105-B105*INT(N105/B105)))/C105)/100)&lt;0,(INT(N105/B105)+(((N105-B105*INT(N105/B105)))/C105)/100)+(1-(B105/C105/100)),(INT(N105/B105)+(((N105-B105*INT(N105/B105)))/C105)/100)))),0,IF(B105=C105,N105/C105,IF((INT(N105/B105)+(((N105-B105*INT(N105/B105)))/C105)/100)&lt;0,(INT(N105/B105)+(((N105-B105*INT(N105/B105)))/C105)/100)+(1-(B105/C105/100)),(INT(N105/B105)+(((N105-B105*INT(N105/B105)))/C105)/100))))</f>
        <v>3.11</v>
      </c>
      <c r="AZ105" s="57">
        <f>IF(ISERROR(IF(B105=C105,O105/C105,(INT(O105/B105)+(((O105-B105*INT(O105/B105)))/C105)/100))),0,(IF(B105=C105,O105/C105,(INT(O105/B105)+(((O105-B105*INT(O105/B105)))/C105)/100))))</f>
        <v>3.11</v>
      </c>
      <c r="BA105" s="57">
        <f>IF(ISERROR(IF(B105=C105,P105/C105,IF((INT(P105/B105)+(((P105-B105*INT(P105/B105)))/C105)/100)&lt;0,(INT(P105/B105)+(((P105-B105*INT(P105/B105)))/C105)/100)+(1-(B105/C105/100)),(INT(P105/B105)+(((P105-B105*INT(P105/B105)))/C105)/100)))),0,IF(B105=C105,P105/C105,IF((INT(P105/B105)+(((P105-B105*INT(P105/B105)))/C105)/100)&lt;0,(INT(P105/B105)+(((P105-B105*INT(P105/B105)))/C105)/100)+(1-(B105/C105/100)),(INT(P105/B105)+(((P105-B105*INT(P105/B105)))/C105)/100))))</f>
        <v>0</v>
      </c>
      <c r="BB105" s="28">
        <f>R105</f>
        <v>210</v>
      </c>
      <c r="BC105" s="28">
        <f>S105</f>
        <v>0</v>
      </c>
      <c r="BD105" s="28">
        <f>AF105</f>
        <v>2200</v>
      </c>
      <c r="BE105" s="28">
        <f>T105</f>
        <v>0</v>
      </c>
      <c r="BG105" s="57">
        <f>IF(ISERROR(IF(B105=C105,V105/C105,(INT(V105/B105)+(((V105-B105*INT(V105/B105)))/C105)/100))),0,(IF(B105=C105,V105/C105,(INT(V105/B105)+(((V105-B105*INT(V105/B105)))/C105)/100))))</f>
        <v>2.11</v>
      </c>
      <c r="BH105" s="57">
        <f>IF(ISERROR(IF(B105=C105,W105/C105,(INT(W105/B105)+(((W105-B105*INT(W105/B105)))/C105)/100))),0,(IF(B105=C105,W105/C105,(INT(W105/B105)+(((W105-B105*INT(W105/B105)))/C105)/100))))</f>
        <v>1</v>
      </c>
      <c r="BI105" s="57">
        <f>IF(ISERROR(IF(B105=C105,X105/C105,(INT(X105/B105)+(((X105-B105*INT(X105/B105)))/C105)/100))),0,(IF(B105=C105,X105/C105,(INT(X105/B105)+(((X105-B105*INT(X105/B105)))/C105)/100))))</f>
        <v>0</v>
      </c>
      <c r="BJ105" s="57">
        <f>IF(ISERROR(IF(B105=C105,Y105/C105,(INT(Y105/B105)+(((Y105-B105*INT(Y105/B105)))/C105)/100))),0,(IF(B105=C105,Y105/C105,(INT(Y105/B105)+(((Y105-B105*INT(Y105/B105)))/C105)/100))))</f>
        <v>0</v>
      </c>
      <c r="BL105" s="57">
        <f>IF(ISERROR(IF(B105=C105,AA105/C105,(INT(AA105/B105)+(((AA105-B105*INT(AA105/B105)))/C105)/100))),0,(IF(B105=C105,AA105/C105,(INT(AA105/B105)+(((AA105-B105*INT(AA105/B105)))/C105)/100))))</f>
        <v>2.11</v>
      </c>
      <c r="BM105" s="57">
        <f>IF(ISERROR(IF(B105=C105,AB105/C105,(INT(AB105/B105)+(((AB105-B105*INT(AB105/B105)))/C105)/100))),0,(IF(B105=C105,AB105/C105,(INT(AB105/B105)+(((AB105-B105*INT(AB105/B105)))/C105)/100))))</f>
        <v>1</v>
      </c>
      <c r="BN105" s="57">
        <f>IF(ISERROR(IF(B105=C105,AC105/C105,(INT(AC105/B105)+(((AC105-B105*INT(AC105/B105)))/C105)/100))),0,(IF(B105=C105,AC105/C105,(INT(AC105/B105)+(((AC105-B105*INT(AC105/B105)))/C105)/100))))</f>
        <v>0</v>
      </c>
      <c r="BO105" s="57">
        <f>IF(ISERROR(IF(B105=C105,AD105/C105,(INT(AD105/B105)+(((AD105-B105*INT(AD105/B105)))/C105)/100))),0,(IF(B105=C105,AD105/C105,(INT(AD105/B105)+(((AD105-B105*INT(AD105/B105)))/C105)/100))))</f>
        <v>0</v>
      </c>
      <c r="BQ105" s="155" t="s">
        <v>236</v>
      </c>
    </row>
    <row r="106" spans="1:69" x14ac:dyDescent="0.35">
      <c r="A106" s="134" t="s">
        <v>293</v>
      </c>
      <c r="B106" s="113">
        <v>750</v>
      </c>
      <c r="C106" s="113">
        <v>30</v>
      </c>
      <c r="D106" s="28">
        <f>SUM(AA106:AD106)</f>
        <v>2010</v>
      </c>
      <c r="E106" s="113">
        <v>0</v>
      </c>
      <c r="F106" s="113">
        <v>0</v>
      </c>
      <c r="G106" s="28">
        <f>SUM(D106:F106)</f>
        <v>2010</v>
      </c>
      <c r="H106" s="164">
        <v>0</v>
      </c>
      <c r="I106" s="113">
        <v>0</v>
      </c>
      <c r="J106" s="125">
        <v>0</v>
      </c>
      <c r="K106" s="113">
        <v>0</v>
      </c>
      <c r="L106" s="113">
        <v>0</v>
      </c>
      <c r="M106" s="113">
        <v>0</v>
      </c>
      <c r="N106" s="28">
        <f>G106-SUM(H106:M106)</f>
        <v>2010</v>
      </c>
      <c r="O106" s="28">
        <f>SUM(V106:Y106)</f>
        <v>2010</v>
      </c>
      <c r="P106" s="28">
        <f>O106-N106</f>
        <v>0</v>
      </c>
      <c r="Q106" s="61" t="str">
        <f>IF(ISERROR(P106/SUM(H106:L106)),"",P106/SUM(H106:L106))</f>
        <v/>
      </c>
      <c r="R106" s="113">
        <v>375</v>
      </c>
      <c r="S106" s="28">
        <f>IF(ISERROR(P106/C106*R106),0,(P106/C106*R106))</f>
        <v>0</v>
      </c>
      <c r="T106" s="60">
        <f>IF(ISERROR(P106/B106*AF106),0,(P106/B106*AF106))</f>
        <v>0</v>
      </c>
      <c r="V106" s="113">
        <f>1*750+17*30</f>
        <v>1260</v>
      </c>
      <c r="W106" s="113">
        <v>750</v>
      </c>
      <c r="X106" s="113">
        <v>0</v>
      </c>
      <c r="Y106" s="113">
        <v>0</v>
      </c>
      <c r="AA106" s="113">
        <f>1*750+17*30</f>
        <v>1260</v>
      </c>
      <c r="AB106" s="113">
        <f>1*750</f>
        <v>750</v>
      </c>
      <c r="AC106" s="113">
        <v>0</v>
      </c>
      <c r="AD106" s="113">
        <v>0</v>
      </c>
      <c r="AF106" s="163">
        <f>54545.54/12</f>
        <v>4545.461666666667</v>
      </c>
      <c r="AG106" s="28">
        <f>G106-O106</f>
        <v>0</v>
      </c>
      <c r="AH106" s="58">
        <f>IF(ISERROR(AG106/B106*AF106),0,(AG106/B106*AF106))</f>
        <v>0</v>
      </c>
      <c r="AI106" s="28">
        <f>SUM(H106:M106)</f>
        <v>0</v>
      </c>
      <c r="AJ106" s="28">
        <f>IF(ISERROR(AI106/B106*AF106),0,(AI106/B106*AF106))</f>
        <v>0</v>
      </c>
      <c r="AK106" s="58">
        <f>IF(ISERROR(O106/B106*AF106),0,(O106/B106*AF106))</f>
        <v>12181.837266666669</v>
      </c>
      <c r="AL106" s="28">
        <f>IF(ISERROR(H106/B106*AF106),0,(H106/B106*AF106))</f>
        <v>0</v>
      </c>
      <c r="AN106" s="51" t="str">
        <f>A106</f>
        <v>Grey Goose  Vodka</v>
      </c>
      <c r="AO106" s="57">
        <f>IF(ISERROR(IF(B106=C106,D106/C106,(INT(D106/B106)+(((D106-B106*INT(D106/B106)))/C106)/100))),0,(IF(B106=C106,D106/C106,(INT(D106/B106)+(((D106-B106*INT(D106/B106)))/C106)/100))))</f>
        <v>2.17</v>
      </c>
      <c r="AP106" s="57">
        <f>IF(ISERROR(IF(B106=C106,E106/C106,(INT(E106/B106)+(((E106-B106*INT(E106/B106)))/C106)/100))),0,(IF(B106=C106,E106/C106,(INT(E106/B106)+(((E106-B106*INT(E106/B106)))/C106)/100))))</f>
        <v>0</v>
      </c>
      <c r="AQ106" s="57">
        <f>IF(ISERROR(IF(B106=C106,F106/C106,IF((INT(F106/B106)+(((F106-B106*INT(F106/B106)))/C106)/100)&lt;0,(INT(F106/B106)+(((F106-B106*INT(F106/B106)))/C106)/100)+(1-(B106/C106/100)),(INT(F106/B106)+(((F106-B106*INT(F106/B106)))/C106)/100)))),0,IF(B106=C106,F106/C106,IF((INT(F106/B106)+(((F106-B106*INT(F106/B106)))/C106)/100)&lt;0,(INT(F106/B106)+(((F106-B106*INT(F106/B106)))/C106)/100)+(1-(B106/C106/100)),(INT(F106/B106)+(((F106-B106*INT(F106/B106)))/C106)/100))))</f>
        <v>0</v>
      </c>
      <c r="AR106" s="57">
        <f>IF(ISERROR(IF(B106=C106,G106/C106,(INT(G106/B106)+(((G106-B106*INT(G106/B106)))/C106)/100))),0,(IF(B106=C106,G106/C106,(INT(G106/B106)+(((G106-B106*INT(G106/B106)))/C106)/100))))</f>
        <v>2.17</v>
      </c>
      <c r="AS106" s="57">
        <f>IF(ISERROR(IF(B106=C106,H106/C106,(INT(H106/B106)+(((H106-B106*INT(H106/B106)))/C106)/100))),0,(IF(B106=C106,H106/C106,(INT(H106/B106)+(((H106-B106*INT(H106/B106)))/C106)/100))))</f>
        <v>0</v>
      </c>
      <c r="AT106" s="57">
        <f>IF(ISERROR(IF(B106=C106,I106/C106,(INT(I106/B106)+(((I106-B106*INT(I106/B106)))/C106)/100))),0,(IF(B106=C106,I106/C106,(INT(I106/B106)+(((I106-B106*INT(I106/B106)))/C106)/100))))</f>
        <v>0</v>
      </c>
      <c r="AU106" s="57">
        <f>IF(ISERROR(IF(B106=C106,J106/C106,(INT(J106/B106)+(((J106-B106*INT(J106/B106)))/C106)/100))),0,(IF(B106=C106,J106/C106,(INT(J106/B106)+(((J106-B106*INT(J106/B106)))/C106)/100))))</f>
        <v>0</v>
      </c>
      <c r="AV106" s="57">
        <f>IF(ISERROR(IF(B106=C106,K106/C106,IF((INT(K106/B106)+(((K106-B106*INT(K106/B106)))/C106)/100)&lt;0,(INT(K106/B106)+(((K106-B106*INT(K106/B106)))/C106)/100)+(1-(B106/C106/100)),(INT(K106/B106)+(((K106-B106*INT(K106/B106)))/C106)/100)))),0,IF(B106=C106,K106/C106,IF((INT(K106/B106)+(((K106-B106*INT(K106/B106)))/C106)/100)&lt;0,(INT(K106/B106)+(((K106-B106*INT(K106/B106)))/C106)/100)+(1-(B106/C106/100)),(INT(K106/B106)+(((K106-B106*INT(K106/B106)))/C106)/100))))</f>
        <v>0</v>
      </c>
      <c r="AW106" s="57">
        <f>IF(ISERROR(IF(B106=C106,L106/C106,(INT(L106/B106)+(((L106-B106*INT(L106/B106)))/C106)/100))),0,(IF(B106=C106,L106/C106,(INT(L106/B106)+(((L106-B106*INT(L106/B106)))/C106)/100))))</f>
        <v>0</v>
      </c>
      <c r="AX106" s="57">
        <f>IF(ISERROR(IF(B106=C106,M106/C106,(INT(M106/B106)+(((M106-B106*INT(M106/B106)))/C106)/100))),0,(IF(B106=C106,M106/C106,(INT(M106/B106)+(((M106-B106*INT(M106/B106)))/C106)/100))))</f>
        <v>0</v>
      </c>
      <c r="AY106" s="57">
        <f>IF(ISERROR(IF(B106=C106,N106/C106,IF((INT(N106/B106)+(((N106-B106*INT(N106/B106)))/C106)/100)&lt;0,(INT(N106/B106)+(((N106-B106*INT(N106/B106)))/C106)/100)+(1-(B106/C106/100)),(INT(N106/B106)+(((N106-B106*INT(N106/B106)))/C106)/100)))),0,IF(B106=C106,N106/C106,IF((INT(N106/B106)+(((N106-B106*INT(N106/B106)))/C106)/100)&lt;0,(INT(N106/B106)+(((N106-B106*INT(N106/B106)))/C106)/100)+(1-(B106/C106/100)),(INT(N106/B106)+(((N106-B106*INT(N106/B106)))/C106)/100))))</f>
        <v>2.17</v>
      </c>
      <c r="AZ106" s="57">
        <f>IF(ISERROR(IF(B106=C106,O106/C106,(INT(O106/B106)+(((O106-B106*INT(O106/B106)))/C106)/100))),0,(IF(B106=C106,O106/C106,(INT(O106/B106)+(((O106-B106*INT(O106/B106)))/C106)/100))))</f>
        <v>2.17</v>
      </c>
      <c r="BA106" s="57">
        <f>IF(ISERROR(IF(B106=C106,P106/C106,IF((INT(P106/B106)+(((P106-B106*INT(P106/B106)))/C106)/100)&lt;0,(INT(P106/B106)+(((P106-B106*INT(P106/B106)))/C106)/100)+(1-(B106/C106/100)),(INT(P106/B106)+(((P106-B106*INT(P106/B106)))/C106)/100)))),0,IF(B106=C106,P106/C106,IF((INT(P106/B106)+(((P106-B106*INT(P106/B106)))/C106)/100)&lt;0,(INT(P106/B106)+(((P106-B106*INT(P106/B106)))/C106)/100)+(1-(B106/C106/100)),(INT(P106/B106)+(((P106-B106*INT(P106/B106)))/C106)/100))))</f>
        <v>0</v>
      </c>
      <c r="BB106" s="28">
        <f>R106</f>
        <v>375</v>
      </c>
      <c r="BC106" s="28">
        <f>S106</f>
        <v>0</v>
      </c>
      <c r="BD106" s="28">
        <f>AF106</f>
        <v>4545.461666666667</v>
      </c>
      <c r="BE106" s="28">
        <f>T106</f>
        <v>0</v>
      </c>
      <c r="BG106" s="57">
        <f>IF(ISERROR(IF(B106=C106,V106/C106,(INT(V106/B106)+(((V106-B106*INT(V106/B106)))/C106)/100))),0,(IF(B106=C106,V106/C106,(INT(V106/B106)+(((V106-B106*INT(V106/B106)))/C106)/100))))</f>
        <v>1.17</v>
      </c>
      <c r="BH106" s="57">
        <f>IF(ISERROR(IF(B106=C106,W106/C106,(INT(W106/B106)+(((W106-B106*INT(W106/B106)))/C106)/100))),0,(IF(B106=C106,W106/C106,(INT(W106/B106)+(((W106-B106*INT(W106/B106)))/C106)/100))))</f>
        <v>1</v>
      </c>
      <c r="BI106" s="57">
        <f>IF(ISERROR(IF(B106=C106,X106/C106,(INT(X106/B106)+(((X106-B106*INT(X106/B106)))/C106)/100))),0,(IF(B106=C106,X106/C106,(INT(X106/B106)+(((X106-B106*INT(X106/B106)))/C106)/100))))</f>
        <v>0</v>
      </c>
      <c r="BJ106" s="57">
        <f>IF(ISERROR(IF(B106=C106,Y106/C106,(INT(Y106/B106)+(((Y106-B106*INT(Y106/B106)))/C106)/100))),0,(IF(B106=C106,Y106/C106,(INT(Y106/B106)+(((Y106-B106*INT(Y106/B106)))/C106)/100))))</f>
        <v>0</v>
      </c>
      <c r="BL106" s="57">
        <f>IF(ISERROR(IF(B106=C106,AA106/C106,(INT(AA106/B106)+(((AA106-B106*INT(AA106/B106)))/C106)/100))),0,(IF(B106=C106,AA106/C106,(INT(AA106/B106)+(((AA106-B106*INT(AA106/B106)))/C106)/100))))</f>
        <v>1.17</v>
      </c>
      <c r="BM106" s="57">
        <f>IF(ISERROR(IF(B106=C106,AB106/C106,(INT(AB106/B106)+(((AB106-B106*INT(AB106/B106)))/C106)/100))),0,(IF(B106=C106,AB106/C106,(INT(AB106/B106)+(((AB106-B106*INT(AB106/B106)))/C106)/100))))</f>
        <v>1</v>
      </c>
      <c r="BN106" s="57">
        <f>IF(ISERROR(IF(B106=C106,AC106/C106,(INT(AC106/B106)+(((AC106-B106*INT(AC106/B106)))/C106)/100))),0,(IF(B106=C106,AC106/C106,(INT(AC106/B106)+(((AC106-B106*INT(AC106/B106)))/C106)/100))))</f>
        <v>0</v>
      </c>
      <c r="BO106" s="57">
        <f>IF(ISERROR(IF(B106=C106,AD106/C106,(INT(AD106/B106)+(((AD106-B106*INT(AD106/B106)))/C106)/100))),0,(IF(B106=C106,AD106/C106,(INT(AD106/B106)+(((AD106-B106*INT(AD106/B106)))/C106)/100))))</f>
        <v>0</v>
      </c>
      <c r="BQ106" s="155" t="s">
        <v>205</v>
      </c>
    </row>
    <row r="107" spans="1:69" x14ac:dyDescent="0.35">
      <c r="A107" s="134" t="s">
        <v>292</v>
      </c>
      <c r="B107" s="113">
        <v>750</v>
      </c>
      <c r="C107" s="113">
        <v>30</v>
      </c>
      <c r="D107" s="28">
        <f>SUM(AA107:AD107)</f>
        <v>4890</v>
      </c>
      <c r="E107" s="113">
        <v>0</v>
      </c>
      <c r="F107" s="113">
        <v>0</v>
      </c>
      <c r="G107" s="28">
        <f>SUM(D107:F107)</f>
        <v>4890</v>
      </c>
      <c r="H107" s="164">
        <v>0</v>
      </c>
      <c r="I107" s="113">
        <v>0</v>
      </c>
      <c r="J107" s="125">
        <v>0</v>
      </c>
      <c r="K107" s="113">
        <v>0</v>
      </c>
      <c r="L107" s="113">
        <v>0</v>
      </c>
      <c r="M107" s="113">
        <v>0</v>
      </c>
      <c r="N107" s="28">
        <f>G107-SUM(H107:M107)</f>
        <v>4890</v>
      </c>
      <c r="O107" s="28">
        <f>SUM(V107:Y107)</f>
        <v>4890</v>
      </c>
      <c r="P107" s="28">
        <f>O107-N107</f>
        <v>0</v>
      </c>
      <c r="Q107" s="61" t="str">
        <f>IF(ISERROR(P107/SUM(H107:L107)),"",P107/SUM(H107:L107))</f>
        <v/>
      </c>
      <c r="R107" s="113">
        <v>210</v>
      </c>
      <c r="S107" s="28">
        <f>IF(ISERROR(P107/C107*R107),0,(P107/C107*R107))</f>
        <v>0</v>
      </c>
      <c r="T107" s="60">
        <f>IF(ISERROR(P107/B107*AF107),0,(P107/B107*AF107))</f>
        <v>0</v>
      </c>
      <c r="V107" s="113">
        <f>2*750+13*30</f>
        <v>1890</v>
      </c>
      <c r="W107" s="113">
        <f>4*750</f>
        <v>3000</v>
      </c>
      <c r="X107" s="113">
        <v>0</v>
      </c>
      <c r="Y107" s="113">
        <v>0</v>
      </c>
      <c r="AA107" s="113">
        <f>2*750+13*30</f>
        <v>1890</v>
      </c>
      <c r="AB107" s="113">
        <f>4*750</f>
        <v>3000</v>
      </c>
      <c r="AC107" s="113">
        <v>0</v>
      </c>
      <c r="AD107" s="113">
        <v>0</v>
      </c>
      <c r="AF107" s="162">
        <f>26181.85/12</f>
        <v>2181.8208333333332</v>
      </c>
      <c r="AG107" s="28">
        <f>G107-O107</f>
        <v>0</v>
      </c>
      <c r="AH107" s="58">
        <f>IF(ISERROR(AG107/B107*AF107),0,(AG107/B107*AF107))</f>
        <v>0</v>
      </c>
      <c r="AI107" s="28">
        <f>SUM(H107:M107)</f>
        <v>0</v>
      </c>
      <c r="AJ107" s="28">
        <f>IF(ISERROR(AI107/B107*AF107),0,(AI107/B107*AF107))</f>
        <v>0</v>
      </c>
      <c r="AK107" s="58">
        <f>IF(ISERROR(O107/B107*AF107),0,(O107/B107*AF107))</f>
        <v>14225.471833333331</v>
      </c>
      <c r="AL107" s="28">
        <f>IF(ISERROR(H107/B107*AF107),0,(H107/B107*AF107))</f>
        <v>0</v>
      </c>
      <c r="AN107" s="51" t="str">
        <f>A107</f>
        <v xml:space="preserve">J &amp; B Rare </v>
      </c>
      <c r="AO107" s="57">
        <f>IF(ISERROR(IF(B107=C107,D107/C107,(INT(D107/B107)+(((D107-B107*INT(D107/B107)))/C107)/100))),0,(IF(B107=C107,D107/C107,(INT(D107/B107)+(((D107-B107*INT(D107/B107)))/C107)/100))))</f>
        <v>6.13</v>
      </c>
      <c r="AP107" s="57">
        <f>IF(ISERROR(IF(B107=C107,E107/C107,(INT(E107/B107)+(((E107-B107*INT(E107/B107)))/C107)/100))),0,(IF(B107=C107,E107/C107,(INT(E107/B107)+(((E107-B107*INT(E107/B107)))/C107)/100))))</f>
        <v>0</v>
      </c>
      <c r="AQ107" s="57">
        <f>IF(ISERROR(IF(B107=C107,F107/C107,IF((INT(F107/B107)+(((F107-B107*INT(F107/B107)))/C107)/100)&lt;0,(INT(F107/B107)+(((F107-B107*INT(F107/B107)))/C107)/100)+(1-(B107/C107/100)),(INT(F107/B107)+(((F107-B107*INT(F107/B107)))/C107)/100)))),0,IF(B107=C107,F107/C107,IF((INT(F107/B107)+(((F107-B107*INT(F107/B107)))/C107)/100)&lt;0,(INT(F107/B107)+(((F107-B107*INT(F107/B107)))/C107)/100)+(1-(B107/C107/100)),(INT(F107/B107)+(((F107-B107*INT(F107/B107)))/C107)/100))))</f>
        <v>0</v>
      </c>
      <c r="AR107" s="57">
        <f>IF(ISERROR(IF(B107=C107,G107/C107,(INT(G107/B107)+(((G107-B107*INT(G107/B107)))/C107)/100))),0,(IF(B107=C107,G107/C107,(INT(G107/B107)+(((G107-B107*INT(G107/B107)))/C107)/100))))</f>
        <v>6.13</v>
      </c>
      <c r="AS107" s="57">
        <f>IF(ISERROR(IF(B107=C107,H107/C107,(INT(H107/B107)+(((H107-B107*INT(H107/B107)))/C107)/100))),0,(IF(B107=C107,H107/C107,(INT(H107/B107)+(((H107-B107*INT(H107/B107)))/C107)/100))))</f>
        <v>0</v>
      </c>
      <c r="AT107" s="57">
        <f>IF(ISERROR(IF(B107=C107,I107/C107,(INT(I107/B107)+(((I107-B107*INT(I107/B107)))/C107)/100))),0,(IF(B107=C107,I107/C107,(INT(I107/B107)+(((I107-B107*INT(I107/B107)))/C107)/100))))</f>
        <v>0</v>
      </c>
      <c r="AU107" s="57">
        <f>IF(ISERROR(IF(B107=C107,J107/C107,(INT(J107/B107)+(((J107-B107*INT(J107/B107)))/C107)/100))),0,(IF(B107=C107,J107/C107,(INT(J107/B107)+(((J107-B107*INT(J107/B107)))/C107)/100))))</f>
        <v>0</v>
      </c>
      <c r="AV107" s="57">
        <f>IF(ISERROR(IF(B107=C107,K107/C107,IF((INT(K107/B107)+(((K107-B107*INT(K107/B107)))/C107)/100)&lt;0,(INT(K107/B107)+(((K107-B107*INT(K107/B107)))/C107)/100)+(1-(B107/C107/100)),(INT(K107/B107)+(((K107-B107*INT(K107/B107)))/C107)/100)))),0,IF(B107=C107,K107/C107,IF((INT(K107/B107)+(((K107-B107*INT(K107/B107)))/C107)/100)&lt;0,(INT(K107/B107)+(((K107-B107*INT(K107/B107)))/C107)/100)+(1-(B107/C107/100)),(INT(K107/B107)+(((K107-B107*INT(K107/B107)))/C107)/100))))</f>
        <v>0</v>
      </c>
      <c r="AW107" s="57">
        <f>IF(ISERROR(IF(B107=C107,L107/C107,(INT(L107/B107)+(((L107-B107*INT(L107/B107)))/C107)/100))),0,(IF(B107=C107,L107/C107,(INT(L107/B107)+(((L107-B107*INT(L107/B107)))/C107)/100))))</f>
        <v>0</v>
      </c>
      <c r="AX107" s="57">
        <f>IF(ISERROR(IF(B107=C107,M107/C107,(INT(M107/B107)+(((M107-B107*INT(M107/B107)))/C107)/100))),0,(IF(B107=C107,M107/C107,(INT(M107/B107)+(((M107-B107*INT(M107/B107)))/C107)/100))))</f>
        <v>0</v>
      </c>
      <c r="AY107" s="57">
        <f>IF(ISERROR(IF(B107=C107,N107/C107,IF((INT(N107/B107)+(((N107-B107*INT(N107/B107)))/C107)/100)&lt;0,(INT(N107/B107)+(((N107-B107*INT(N107/B107)))/C107)/100)+(1-(B107/C107/100)),(INT(N107/B107)+(((N107-B107*INT(N107/B107)))/C107)/100)))),0,IF(B107=C107,N107/C107,IF((INT(N107/B107)+(((N107-B107*INT(N107/B107)))/C107)/100)&lt;0,(INT(N107/B107)+(((N107-B107*INT(N107/B107)))/C107)/100)+(1-(B107/C107/100)),(INT(N107/B107)+(((N107-B107*INT(N107/B107)))/C107)/100))))</f>
        <v>6.13</v>
      </c>
      <c r="AZ107" s="57">
        <f>IF(ISERROR(IF(B107=C107,O107/C107,(INT(O107/B107)+(((O107-B107*INT(O107/B107)))/C107)/100))),0,(IF(B107=C107,O107/C107,(INT(O107/B107)+(((O107-B107*INT(O107/B107)))/C107)/100))))</f>
        <v>6.13</v>
      </c>
      <c r="BA107" s="57">
        <f>IF(ISERROR(IF(B107=C107,P107/C107,IF((INT(P107/B107)+(((P107-B107*INT(P107/B107)))/C107)/100)&lt;0,(INT(P107/B107)+(((P107-B107*INT(P107/B107)))/C107)/100)+(1-(B107/C107/100)),(INT(P107/B107)+(((P107-B107*INT(P107/B107)))/C107)/100)))),0,IF(B107=C107,P107/C107,IF((INT(P107/B107)+(((P107-B107*INT(P107/B107)))/C107)/100)&lt;0,(INT(P107/B107)+(((P107-B107*INT(P107/B107)))/C107)/100)+(1-(B107/C107/100)),(INT(P107/B107)+(((P107-B107*INT(P107/B107)))/C107)/100))))</f>
        <v>0</v>
      </c>
      <c r="BB107" s="28">
        <f>R107</f>
        <v>210</v>
      </c>
      <c r="BC107" s="28">
        <f>S107</f>
        <v>0</v>
      </c>
      <c r="BD107" s="28">
        <f>AF107</f>
        <v>2181.8208333333332</v>
      </c>
      <c r="BE107" s="28">
        <f>T107</f>
        <v>0</v>
      </c>
      <c r="BG107" s="57">
        <f>IF(ISERROR(IF(B107=C107,V107/C107,(INT(V107/B107)+(((V107-B107*INT(V107/B107)))/C107)/100))),0,(IF(B107=C107,V107/C107,(INT(V107/B107)+(((V107-B107*INT(V107/B107)))/C107)/100))))</f>
        <v>2.13</v>
      </c>
      <c r="BH107" s="57">
        <f>IF(ISERROR(IF(B107=C107,W107/C107,(INT(W107/B107)+(((W107-B107*INT(W107/B107)))/C107)/100))),0,(IF(B107=C107,W107/C107,(INT(W107/B107)+(((W107-B107*INT(W107/B107)))/C107)/100))))</f>
        <v>4</v>
      </c>
      <c r="BI107" s="57">
        <f>IF(ISERROR(IF(B107=C107,X107/C107,(INT(X107/B107)+(((X107-B107*INT(X107/B107)))/C107)/100))),0,(IF(B107=C107,X107/C107,(INT(X107/B107)+(((X107-B107*INT(X107/B107)))/C107)/100))))</f>
        <v>0</v>
      </c>
      <c r="BJ107" s="57">
        <f>IF(ISERROR(IF(B107=C107,Y107/C107,(INT(Y107/B107)+(((Y107-B107*INT(Y107/B107)))/C107)/100))),0,(IF(B107=C107,Y107/C107,(INT(Y107/B107)+(((Y107-B107*INT(Y107/B107)))/C107)/100))))</f>
        <v>0</v>
      </c>
      <c r="BL107" s="57">
        <f>IF(ISERROR(IF(B107=C107,AA107/C107,(INT(AA107/B107)+(((AA107-B107*INT(AA107/B107)))/C107)/100))),0,(IF(B107=C107,AA107/C107,(INT(AA107/B107)+(((AA107-B107*INT(AA107/B107)))/C107)/100))))</f>
        <v>2.13</v>
      </c>
      <c r="BM107" s="57">
        <f>IF(ISERROR(IF(B107=C107,AB107/C107,(INT(AB107/B107)+(((AB107-B107*INT(AB107/B107)))/C107)/100))),0,(IF(B107=C107,AB107/C107,(INT(AB107/B107)+(((AB107-B107*INT(AB107/B107)))/C107)/100))))</f>
        <v>4</v>
      </c>
      <c r="BN107" s="57">
        <f>IF(ISERROR(IF(B107=C107,AC107/C107,(INT(AC107/B107)+(((AC107-B107*INT(AC107/B107)))/C107)/100))),0,(IF(B107=C107,AC107/C107,(INT(AC107/B107)+(((AC107-B107*INT(AC107/B107)))/C107)/100))))</f>
        <v>0</v>
      </c>
      <c r="BO107" s="57">
        <f>IF(ISERROR(IF(B107=C107,AD107/C107,(INT(AD107/B107)+(((AD107-B107*INT(AD107/B107)))/C107)/100))),0,(IF(B107=C107,AD107/C107,(INT(AD107/B107)+(((AD107-B107*INT(AD107/B107)))/C107)/100))))</f>
        <v>0</v>
      </c>
      <c r="BQ107" s="155" t="s">
        <v>215</v>
      </c>
    </row>
    <row r="108" spans="1:69" x14ac:dyDescent="0.35">
      <c r="A108" s="94" t="s">
        <v>291</v>
      </c>
      <c r="B108" s="113">
        <v>750</v>
      </c>
      <c r="C108" s="113">
        <v>30</v>
      </c>
      <c r="D108" s="28">
        <f>SUM(AA108:AD108)</f>
        <v>8280</v>
      </c>
      <c r="E108" s="113">
        <v>0</v>
      </c>
      <c r="F108" s="113">
        <v>0</v>
      </c>
      <c r="G108" s="28">
        <f>SUM(D108:F108)</f>
        <v>8280</v>
      </c>
      <c r="H108" s="164">
        <v>0</v>
      </c>
      <c r="I108" s="113">
        <v>0</v>
      </c>
      <c r="J108" s="125">
        <v>0</v>
      </c>
      <c r="K108" s="113">
        <v>0</v>
      </c>
      <c r="L108" s="113">
        <v>0</v>
      </c>
      <c r="M108" s="113">
        <v>0</v>
      </c>
      <c r="N108" s="28">
        <f>G108-SUM(H108:M108)</f>
        <v>8280</v>
      </c>
      <c r="O108" s="28">
        <f>SUM(V108:Y108)</f>
        <v>8280</v>
      </c>
      <c r="P108" s="28">
        <f>O108-N108</f>
        <v>0</v>
      </c>
      <c r="Q108" s="61" t="str">
        <f>IF(ISERROR(P108/SUM(H108:L108)),"",P108/SUM(H108:L108))</f>
        <v/>
      </c>
      <c r="R108" s="113">
        <v>350</v>
      </c>
      <c r="S108" s="28">
        <f>IF(ISERROR(P108/C108*R108),0,(P108/C108*R108))</f>
        <v>0</v>
      </c>
      <c r="T108" s="60">
        <f>IF(ISERROR(P108/B108*AF108),0,(P108/B108*AF108))</f>
        <v>0</v>
      </c>
      <c r="V108" s="113">
        <f>2*750+1*30</f>
        <v>1530</v>
      </c>
      <c r="W108" s="113">
        <f>9*750</f>
        <v>6750</v>
      </c>
      <c r="X108" s="113">
        <v>0</v>
      </c>
      <c r="Y108" s="113">
        <v>0</v>
      </c>
      <c r="AA108" s="113">
        <f>1*30+2*750</f>
        <v>1530</v>
      </c>
      <c r="AB108" s="113">
        <f>9*750</f>
        <v>6750</v>
      </c>
      <c r="AC108" s="113">
        <v>0</v>
      </c>
      <c r="AD108" s="113">
        <v>0</v>
      </c>
      <c r="AF108" s="162">
        <f>63272.7/12</f>
        <v>5272.7249999999995</v>
      </c>
      <c r="AG108" s="28">
        <f>G108-O108</f>
        <v>0</v>
      </c>
      <c r="AH108" s="58">
        <f>IF(ISERROR(AG108/B108*AF108),0,(AG108/B108*AF108))</f>
        <v>0</v>
      </c>
      <c r="AI108" s="28">
        <f>SUM(H108:M108)</f>
        <v>0</v>
      </c>
      <c r="AJ108" s="28">
        <f>IF(ISERROR(AI108/B108*AF108),0,(AI108/B108*AF108))</f>
        <v>0</v>
      </c>
      <c r="AK108" s="58">
        <f>IF(ISERROR(O108/B108*AF108),0,(O108/B108*AF108))</f>
        <v>58210.883999999991</v>
      </c>
      <c r="AL108" s="28">
        <f>IF(ISERROR(H108/B108*AF108),0,(H108/B108*AF108))</f>
        <v>0</v>
      </c>
      <c r="AN108" s="51" t="str">
        <f>A108</f>
        <v>J/W Black Label</v>
      </c>
      <c r="AO108" s="57">
        <f>IF(ISERROR(IF(B108=C108,D108/C108,(INT(D108/B108)+(((D108-B108*INT(D108/B108)))/C108)/100))),0,(IF(B108=C108,D108/C108,(INT(D108/B108)+(((D108-B108*INT(D108/B108)))/C108)/100))))</f>
        <v>11.01</v>
      </c>
      <c r="AP108" s="57">
        <f>IF(ISERROR(IF(B108=C108,E108/C108,(INT(E108/B108)+(((E108-B108*INT(E108/B108)))/C108)/100))),0,(IF(B108=C108,E108/C108,(INT(E108/B108)+(((E108-B108*INT(E108/B108)))/C108)/100))))</f>
        <v>0</v>
      </c>
      <c r="AQ108" s="57">
        <f>IF(ISERROR(IF(B108=C108,F108/C108,IF((INT(F108/B108)+(((F108-B108*INT(F108/B108)))/C108)/100)&lt;0,(INT(F108/B108)+(((F108-B108*INT(F108/B108)))/C108)/100)+(1-(B108/C108/100)),(INT(F108/B108)+(((F108-B108*INT(F108/B108)))/C108)/100)))),0,IF(B108=C108,F108/C108,IF((INT(F108/B108)+(((F108-B108*INT(F108/B108)))/C108)/100)&lt;0,(INT(F108/B108)+(((F108-B108*INT(F108/B108)))/C108)/100)+(1-(B108/C108/100)),(INT(F108/B108)+(((F108-B108*INT(F108/B108)))/C108)/100))))</f>
        <v>0</v>
      </c>
      <c r="AR108" s="57">
        <f>IF(ISERROR(IF(B108=C108,G108/C108,(INT(G108/B108)+(((G108-B108*INT(G108/B108)))/C108)/100))),0,(IF(B108=C108,G108/C108,(INT(G108/B108)+(((G108-B108*INT(G108/B108)))/C108)/100))))</f>
        <v>11.01</v>
      </c>
      <c r="AS108" s="57">
        <f>IF(ISERROR(IF(B108=C108,H108/C108,(INT(H108/B108)+(((H108-B108*INT(H108/B108)))/C108)/100))),0,(IF(B108=C108,H108/C108,(INT(H108/B108)+(((H108-B108*INT(H108/B108)))/C108)/100))))</f>
        <v>0</v>
      </c>
      <c r="AT108" s="57">
        <f>IF(ISERROR(IF(B108=C108,I108/C108,(INT(I108/B108)+(((I108-B108*INT(I108/B108)))/C108)/100))),0,(IF(B108=C108,I108/C108,(INT(I108/B108)+(((I108-B108*INT(I108/B108)))/C108)/100))))</f>
        <v>0</v>
      </c>
      <c r="AU108" s="57">
        <f>IF(ISERROR(IF(B108=C108,J108/C108,(INT(J108/B108)+(((J108-B108*INT(J108/B108)))/C108)/100))),0,(IF(B108=C108,J108/C108,(INT(J108/B108)+(((J108-B108*INT(J108/B108)))/C108)/100))))</f>
        <v>0</v>
      </c>
      <c r="AV108" s="57">
        <f>IF(ISERROR(IF(B108=C108,K108/C108,IF((INT(K108/B108)+(((K108-B108*INT(K108/B108)))/C108)/100)&lt;0,(INT(K108/B108)+(((K108-B108*INT(K108/B108)))/C108)/100)+(1-(B108/C108/100)),(INT(K108/B108)+(((K108-B108*INT(K108/B108)))/C108)/100)))),0,IF(B108=C108,K108/C108,IF((INT(K108/B108)+(((K108-B108*INT(K108/B108)))/C108)/100)&lt;0,(INT(K108/B108)+(((K108-B108*INT(K108/B108)))/C108)/100)+(1-(B108/C108/100)),(INT(K108/B108)+(((K108-B108*INT(K108/B108)))/C108)/100))))</f>
        <v>0</v>
      </c>
      <c r="AW108" s="57">
        <f>IF(ISERROR(IF(B108=C108,L108/C108,(INT(L108/B108)+(((L108-B108*INT(L108/B108)))/C108)/100))),0,(IF(B108=C108,L108/C108,(INT(L108/B108)+(((L108-B108*INT(L108/B108)))/C108)/100))))</f>
        <v>0</v>
      </c>
      <c r="AX108" s="57">
        <f>IF(ISERROR(IF(B108=C108,M108/C108,(INT(M108/B108)+(((M108-B108*INT(M108/B108)))/C108)/100))),0,(IF(B108=C108,M108/C108,(INT(M108/B108)+(((M108-B108*INT(M108/B108)))/C108)/100))))</f>
        <v>0</v>
      </c>
      <c r="AY108" s="57">
        <f>IF(ISERROR(IF(B108=C108,N108/C108,IF((INT(N108/B108)+(((N108-B108*INT(N108/B108)))/C108)/100)&lt;0,(INT(N108/B108)+(((N108-B108*INT(N108/B108)))/C108)/100)+(1-(B108/C108/100)),(INT(N108/B108)+(((N108-B108*INT(N108/B108)))/C108)/100)))),0,IF(B108=C108,N108/C108,IF((INT(N108/B108)+(((N108-B108*INT(N108/B108)))/C108)/100)&lt;0,(INT(N108/B108)+(((N108-B108*INT(N108/B108)))/C108)/100)+(1-(B108/C108/100)),(INT(N108/B108)+(((N108-B108*INT(N108/B108)))/C108)/100))))</f>
        <v>11.01</v>
      </c>
      <c r="AZ108" s="57">
        <f>IF(ISERROR(IF(B108=C108,O108/C108,(INT(O108/B108)+(((O108-B108*INT(O108/B108)))/C108)/100))),0,(IF(B108=C108,O108/C108,(INT(O108/B108)+(((O108-B108*INT(O108/B108)))/C108)/100))))</f>
        <v>11.01</v>
      </c>
      <c r="BA108" s="57">
        <f>IF(ISERROR(IF(B108=C108,P108/C108,IF((INT(P108/B108)+(((P108-B108*INT(P108/B108)))/C108)/100)&lt;0,(INT(P108/B108)+(((P108-B108*INT(P108/B108)))/C108)/100)+(1-(B108/C108/100)),(INT(P108/B108)+(((P108-B108*INT(P108/B108)))/C108)/100)))),0,IF(B108=C108,P108/C108,IF((INT(P108/B108)+(((P108-B108*INT(P108/B108)))/C108)/100)&lt;0,(INT(P108/B108)+(((P108-B108*INT(P108/B108)))/C108)/100)+(1-(B108/C108/100)),(INT(P108/B108)+(((P108-B108*INT(P108/B108)))/C108)/100))))</f>
        <v>0</v>
      </c>
      <c r="BB108" s="28">
        <f>R108</f>
        <v>350</v>
      </c>
      <c r="BC108" s="28">
        <f>S108</f>
        <v>0</v>
      </c>
      <c r="BD108" s="28">
        <f>AF108</f>
        <v>5272.7249999999995</v>
      </c>
      <c r="BE108" s="28">
        <f>T108</f>
        <v>0</v>
      </c>
      <c r="BG108" s="57">
        <f>IF(ISERROR(IF(B108=C108,V108/C108,(INT(V108/B108)+(((V108-B108*INT(V108/B108)))/C108)/100))),0,(IF(B108=C108,V108/C108,(INT(V108/B108)+(((V108-B108*INT(V108/B108)))/C108)/100))))</f>
        <v>2.0099999999999998</v>
      </c>
      <c r="BH108" s="57">
        <f>IF(ISERROR(IF(B108=C108,W108/C108,(INT(W108/B108)+(((W108-B108*INT(W108/B108)))/C108)/100))),0,(IF(B108=C108,W108/C108,(INT(W108/B108)+(((W108-B108*INT(W108/B108)))/C108)/100))))</f>
        <v>9</v>
      </c>
      <c r="BI108" s="57">
        <f>IF(ISERROR(IF(B108=C108,X108/C108,(INT(X108/B108)+(((X108-B108*INT(X108/B108)))/C108)/100))),0,(IF(B108=C108,X108/C108,(INT(X108/B108)+(((X108-B108*INT(X108/B108)))/C108)/100))))</f>
        <v>0</v>
      </c>
      <c r="BJ108" s="57">
        <f>IF(ISERROR(IF(B108=C108,Y108/C108,(INT(Y108/B108)+(((Y108-B108*INT(Y108/B108)))/C108)/100))),0,(IF(B108=C108,Y108/C108,(INT(Y108/B108)+(((Y108-B108*INT(Y108/B108)))/C108)/100))))</f>
        <v>0</v>
      </c>
      <c r="BL108" s="57">
        <f>IF(ISERROR(IF(B108=C108,AA108/C108,(INT(AA108/B108)+(((AA108-B108*INT(AA108/B108)))/C108)/100))),0,(IF(B108=C108,AA108/C108,(INT(AA108/B108)+(((AA108-B108*INT(AA108/B108)))/C108)/100))))</f>
        <v>2.0099999999999998</v>
      </c>
      <c r="BM108" s="57">
        <f>IF(ISERROR(IF(B108=C108,AB108/C108,(INT(AB108/B108)+(((AB108-B108*INT(AB108/B108)))/C108)/100))),0,(IF(B108=C108,AB108/C108,(INT(AB108/B108)+(((AB108-B108*INT(AB108/B108)))/C108)/100))))</f>
        <v>9</v>
      </c>
      <c r="BN108" s="57">
        <f>IF(ISERROR(IF(B108=C108,AC108/C108,(INT(AC108/B108)+(((AC108-B108*INT(AC108/B108)))/C108)/100))),0,(IF(B108=C108,AC108/C108,(INT(AC108/B108)+(((AC108-B108*INT(AC108/B108)))/C108)/100))))</f>
        <v>0</v>
      </c>
      <c r="BO108" s="57">
        <f>IF(ISERROR(IF(B108=C108,AD108/C108,(INT(AD108/B108)+(((AD108-B108*INT(AD108/B108)))/C108)/100))),0,(IF(B108=C108,AD108/C108,(INT(AD108/B108)+(((AD108-B108*INT(AD108/B108)))/C108)/100))))</f>
        <v>0</v>
      </c>
      <c r="BQ108" s="155" t="s">
        <v>215</v>
      </c>
    </row>
    <row r="109" spans="1:69" x14ac:dyDescent="0.35">
      <c r="A109" s="134" t="s">
        <v>290</v>
      </c>
      <c r="B109" s="113">
        <v>750</v>
      </c>
      <c r="C109" s="113">
        <v>30</v>
      </c>
      <c r="D109" s="28">
        <f>SUM(AA109:AD109)</f>
        <v>1050</v>
      </c>
      <c r="E109" s="113">
        <v>0</v>
      </c>
      <c r="F109" s="113">
        <v>0</v>
      </c>
      <c r="G109" s="28">
        <f>SUM(D109:F109)</f>
        <v>1050</v>
      </c>
      <c r="H109" s="164">
        <v>0</v>
      </c>
      <c r="I109" s="113">
        <v>0</v>
      </c>
      <c r="J109" s="125">
        <v>0</v>
      </c>
      <c r="K109" s="113">
        <v>0</v>
      </c>
      <c r="L109" s="113">
        <v>0</v>
      </c>
      <c r="M109" s="113">
        <v>0</v>
      </c>
      <c r="N109" s="28">
        <f>G109-SUM(H109:M109)</f>
        <v>1050</v>
      </c>
      <c r="O109" s="28">
        <f>SUM(V109:Y109)</f>
        <v>1050</v>
      </c>
      <c r="P109" s="28">
        <f>O109-N109</f>
        <v>0</v>
      </c>
      <c r="Q109" s="61" t="str">
        <f>IF(ISERROR(P109/SUM(H109:L109)),"",P109/SUM(H109:L109))</f>
        <v/>
      </c>
      <c r="R109" s="113">
        <v>350</v>
      </c>
      <c r="S109" s="28">
        <f>IF(ISERROR(P109/C109*R109),0,(P109/C109*R109))</f>
        <v>0</v>
      </c>
      <c r="T109" s="60">
        <f>IF(ISERROR(P109/B109*AF109),0,(P109/B109*AF109))</f>
        <v>0</v>
      </c>
      <c r="V109" s="113">
        <f>1*750+10*30</f>
        <v>1050</v>
      </c>
      <c r="W109" s="113">
        <v>0</v>
      </c>
      <c r="X109" s="113">
        <v>0</v>
      </c>
      <c r="Y109" s="113">
        <v>0</v>
      </c>
      <c r="AA109" s="113">
        <f>1*750+10*30</f>
        <v>1050</v>
      </c>
      <c r="AB109" s="113">
        <v>0</v>
      </c>
      <c r="AC109" s="113">
        <v>0</v>
      </c>
      <c r="AD109" s="113">
        <v>0</v>
      </c>
      <c r="AF109" s="162">
        <v>6168.1833333333334</v>
      </c>
      <c r="AG109" s="28">
        <f>G109-O109</f>
        <v>0</v>
      </c>
      <c r="AH109" s="58">
        <f>IF(ISERROR(AG109/B109*AF109),0,(AG109/B109*AF109))</f>
        <v>0</v>
      </c>
      <c r="AI109" s="28">
        <f>SUM(H109:M109)</f>
        <v>0</v>
      </c>
      <c r="AJ109" s="28">
        <f>IF(ISERROR(AI109/B109*AF109),0,(AI109/B109*AF109))</f>
        <v>0</v>
      </c>
      <c r="AK109" s="58">
        <f>IF(ISERROR(O109/B109*AF109),0,(O109/B109*AF109))</f>
        <v>8635.4566666666669</v>
      </c>
      <c r="AL109" s="28">
        <f>IF(ISERROR(H109/B109*AF109),0,(H109/B109*AF109))</f>
        <v>0</v>
      </c>
      <c r="AN109" s="51" t="str">
        <f>A109</f>
        <v xml:space="preserve">J/W Double Black </v>
      </c>
      <c r="AO109" s="57">
        <f>IF(ISERROR(IF(B109=C109,D109/C109,(INT(D109/B109)+(((D109-B109*INT(D109/B109)))/C109)/100))),0,(IF(B109=C109,D109/C109,(INT(D109/B109)+(((D109-B109*INT(D109/B109)))/C109)/100))))</f>
        <v>1.1000000000000001</v>
      </c>
      <c r="AP109" s="57">
        <f>IF(ISERROR(IF(B109=C109,E109/C109,(INT(E109/B109)+(((E109-B109*INT(E109/B109)))/C109)/100))),0,(IF(B109=C109,E109/C109,(INT(E109/B109)+(((E109-B109*INT(E109/B109)))/C109)/100))))</f>
        <v>0</v>
      </c>
      <c r="AQ109" s="57">
        <f>IF(ISERROR(IF(B109=C109,F109/C109,IF((INT(F109/B109)+(((F109-B109*INT(F109/B109)))/C109)/100)&lt;0,(INT(F109/B109)+(((F109-B109*INT(F109/B109)))/C109)/100)+(1-(B109/C109/100)),(INT(F109/B109)+(((F109-B109*INT(F109/B109)))/C109)/100)))),0,IF(B109=C109,F109/C109,IF((INT(F109/B109)+(((F109-B109*INT(F109/B109)))/C109)/100)&lt;0,(INT(F109/B109)+(((F109-B109*INT(F109/B109)))/C109)/100)+(1-(B109/C109/100)),(INT(F109/B109)+(((F109-B109*INT(F109/B109)))/C109)/100))))</f>
        <v>0</v>
      </c>
      <c r="AR109" s="57">
        <f>IF(ISERROR(IF(B109=C109,G109/C109,(INT(G109/B109)+(((G109-B109*INT(G109/B109)))/C109)/100))),0,(IF(B109=C109,G109/C109,(INT(G109/B109)+(((G109-B109*INT(G109/B109)))/C109)/100))))</f>
        <v>1.1000000000000001</v>
      </c>
      <c r="AS109" s="57">
        <f>IF(ISERROR(IF(B109=C109,H109/C109,(INT(H109/B109)+(((H109-B109*INT(H109/B109)))/C109)/100))),0,(IF(B109=C109,H109/C109,(INT(H109/B109)+(((H109-B109*INT(H109/B109)))/C109)/100))))</f>
        <v>0</v>
      </c>
      <c r="AT109" s="57">
        <f>IF(ISERROR(IF(B109=C109,I109/C109,(INT(I109/B109)+(((I109-B109*INT(I109/B109)))/C109)/100))),0,(IF(B109=C109,I109/C109,(INT(I109/B109)+(((I109-B109*INT(I109/B109)))/C109)/100))))</f>
        <v>0</v>
      </c>
      <c r="AU109" s="57">
        <f>IF(ISERROR(IF(B109=C109,J109/C109,(INT(J109/B109)+(((J109-B109*INT(J109/B109)))/C109)/100))),0,(IF(B109=C109,J109/C109,(INT(J109/B109)+(((J109-B109*INT(J109/B109)))/C109)/100))))</f>
        <v>0</v>
      </c>
      <c r="AV109" s="57">
        <f>IF(ISERROR(IF(B109=C109,K109/C109,IF((INT(K109/B109)+(((K109-B109*INT(K109/B109)))/C109)/100)&lt;0,(INT(K109/B109)+(((K109-B109*INT(K109/B109)))/C109)/100)+(1-(B109/C109/100)),(INT(K109/B109)+(((K109-B109*INT(K109/B109)))/C109)/100)))),0,IF(B109=C109,K109/C109,IF((INT(K109/B109)+(((K109-B109*INT(K109/B109)))/C109)/100)&lt;0,(INT(K109/B109)+(((K109-B109*INT(K109/B109)))/C109)/100)+(1-(B109/C109/100)),(INT(K109/B109)+(((K109-B109*INT(K109/B109)))/C109)/100))))</f>
        <v>0</v>
      </c>
      <c r="AW109" s="57">
        <f>IF(ISERROR(IF(B109=C109,L109/C109,(INT(L109/B109)+(((L109-B109*INT(L109/B109)))/C109)/100))),0,(IF(B109=C109,L109/C109,(INT(L109/B109)+(((L109-B109*INT(L109/B109)))/C109)/100))))</f>
        <v>0</v>
      </c>
      <c r="AX109" s="57">
        <f>IF(ISERROR(IF(B109=C109,M109/C109,(INT(M109/B109)+(((M109-B109*INT(M109/B109)))/C109)/100))),0,(IF(B109=C109,M109/C109,(INT(M109/B109)+(((M109-B109*INT(M109/B109)))/C109)/100))))</f>
        <v>0</v>
      </c>
      <c r="AY109" s="57">
        <f>IF(ISERROR(IF(B109=C109,N109/C109,IF((INT(N109/B109)+(((N109-B109*INT(N109/B109)))/C109)/100)&lt;0,(INT(N109/B109)+(((N109-B109*INT(N109/B109)))/C109)/100)+(1-(B109/C109/100)),(INT(N109/B109)+(((N109-B109*INT(N109/B109)))/C109)/100)))),0,IF(B109=C109,N109/C109,IF((INT(N109/B109)+(((N109-B109*INT(N109/B109)))/C109)/100)&lt;0,(INT(N109/B109)+(((N109-B109*INT(N109/B109)))/C109)/100)+(1-(B109/C109/100)),(INT(N109/B109)+(((N109-B109*INT(N109/B109)))/C109)/100))))</f>
        <v>1.1000000000000001</v>
      </c>
      <c r="AZ109" s="57">
        <f>IF(ISERROR(IF(B109=C109,O109/C109,(INT(O109/B109)+(((O109-B109*INT(O109/B109)))/C109)/100))),0,(IF(B109=C109,O109/C109,(INT(O109/B109)+(((O109-B109*INT(O109/B109)))/C109)/100))))</f>
        <v>1.1000000000000001</v>
      </c>
      <c r="BA109" s="57">
        <f>IF(ISERROR(IF(B109=C109,P109/C109,IF((INT(P109/B109)+(((P109-B109*INT(P109/B109)))/C109)/100)&lt;0,(INT(P109/B109)+(((P109-B109*INT(P109/B109)))/C109)/100)+(1-(B109/C109/100)),(INT(P109/B109)+(((P109-B109*INT(P109/B109)))/C109)/100)))),0,IF(B109=C109,P109/C109,IF((INT(P109/B109)+(((P109-B109*INT(P109/B109)))/C109)/100)&lt;0,(INT(P109/B109)+(((P109-B109*INT(P109/B109)))/C109)/100)+(1-(B109/C109/100)),(INT(P109/B109)+(((P109-B109*INT(P109/B109)))/C109)/100))))</f>
        <v>0</v>
      </c>
      <c r="BB109" s="28">
        <f>R109</f>
        <v>350</v>
      </c>
      <c r="BC109" s="28">
        <f>S109</f>
        <v>0</v>
      </c>
      <c r="BD109" s="28">
        <f>AF109</f>
        <v>6168.1833333333334</v>
      </c>
      <c r="BE109" s="28">
        <f>T109</f>
        <v>0</v>
      </c>
      <c r="BG109" s="57">
        <f>IF(ISERROR(IF(B109=C109,V109/C109,(INT(V109/B109)+(((V109-B109*INT(V109/B109)))/C109)/100))),0,(IF(B109=C109,V109/C109,(INT(V109/B109)+(((V109-B109*INT(V109/B109)))/C109)/100))))</f>
        <v>1.1000000000000001</v>
      </c>
      <c r="BH109" s="57">
        <f>IF(ISERROR(IF(B109=C109,W109/C109,(INT(W109/B109)+(((W109-B109*INT(W109/B109)))/C109)/100))),0,(IF(B109=C109,W109/C109,(INT(W109/B109)+(((W109-B109*INT(W109/B109)))/C109)/100))))</f>
        <v>0</v>
      </c>
      <c r="BI109" s="57">
        <f>IF(ISERROR(IF(B109=C109,X109/C109,(INT(X109/B109)+(((X109-B109*INT(X109/B109)))/C109)/100))),0,(IF(B109=C109,X109/C109,(INT(X109/B109)+(((X109-B109*INT(X109/B109)))/C109)/100))))</f>
        <v>0</v>
      </c>
      <c r="BJ109" s="57">
        <f>IF(ISERROR(IF(B109=C109,Y109/C109,(INT(Y109/B109)+(((Y109-B109*INT(Y109/B109)))/C109)/100))),0,(IF(B109=C109,Y109/C109,(INT(Y109/B109)+(((Y109-B109*INT(Y109/B109)))/C109)/100))))</f>
        <v>0</v>
      </c>
      <c r="BL109" s="57">
        <f>IF(ISERROR(IF(B109=C109,AA109/C109,(INT(AA109/B109)+(((AA109-B109*INT(AA109/B109)))/C109)/100))),0,(IF(B109=C109,AA109/C109,(INT(AA109/B109)+(((AA109-B109*INT(AA109/B109)))/C109)/100))))</f>
        <v>1.1000000000000001</v>
      </c>
      <c r="BM109" s="57">
        <f>IF(ISERROR(IF(B109=C109,AB109/C109,(INT(AB109/B109)+(((AB109-B109*INT(AB109/B109)))/C109)/100))),0,(IF(B109=C109,AB109/C109,(INT(AB109/B109)+(((AB109-B109*INT(AB109/B109)))/C109)/100))))</f>
        <v>0</v>
      </c>
      <c r="BN109" s="57">
        <f>IF(ISERROR(IF(B109=C109,AC109/C109,(INT(AC109/B109)+(((AC109-B109*INT(AC109/B109)))/C109)/100))),0,(IF(B109=C109,AC109/C109,(INT(AC109/B109)+(((AC109-B109*INT(AC109/B109)))/C109)/100))))</f>
        <v>0</v>
      </c>
      <c r="BO109" s="57">
        <f>IF(ISERROR(IF(B109=C109,AD109/C109,(INT(AD109/B109)+(((AD109-B109*INT(AD109/B109)))/C109)/100))),0,(IF(B109=C109,AD109/C109,(INT(AD109/B109)+(((AD109-B109*INT(AD109/B109)))/C109)/100))))</f>
        <v>0</v>
      </c>
      <c r="BQ109" s="155" t="s">
        <v>215</v>
      </c>
    </row>
    <row r="110" spans="1:69" x14ac:dyDescent="0.35">
      <c r="A110" s="134" t="s">
        <v>289</v>
      </c>
      <c r="B110" s="113">
        <v>750</v>
      </c>
      <c r="C110" s="113">
        <v>30</v>
      </c>
      <c r="D110" s="28">
        <f>SUM(AA110:AD110)</f>
        <v>2910</v>
      </c>
      <c r="E110" s="113">
        <v>0</v>
      </c>
      <c r="F110" s="113">
        <v>0</v>
      </c>
      <c r="G110" s="28">
        <f>SUM(D110:F110)</f>
        <v>2910</v>
      </c>
      <c r="H110" s="164">
        <v>60</v>
      </c>
      <c r="I110" s="113">
        <v>0</v>
      </c>
      <c r="J110" s="125">
        <v>0</v>
      </c>
      <c r="K110" s="113">
        <v>0</v>
      </c>
      <c r="L110" s="113">
        <v>0</v>
      </c>
      <c r="M110" s="113">
        <v>0</v>
      </c>
      <c r="N110" s="28">
        <f>G110-SUM(H110:M110)</f>
        <v>2850</v>
      </c>
      <c r="O110" s="28">
        <f>SUM(V110:Y110)</f>
        <v>2880</v>
      </c>
      <c r="P110" s="28">
        <f>O110-N110</f>
        <v>30</v>
      </c>
      <c r="Q110" s="61">
        <f>IF(ISERROR(P110/SUM(H110:L110)),"",P110/SUM(H110:L110))</f>
        <v>0.5</v>
      </c>
      <c r="R110" s="113">
        <v>210</v>
      </c>
      <c r="S110" s="28">
        <f>IF(ISERROR(P110/C110*R110),0,(P110/C110*R110))</f>
        <v>210</v>
      </c>
      <c r="T110" s="60">
        <f>IF(ISERROR(P110/B110*AF110),0,(P110/B110*AF110))</f>
        <v>89.81816666666667</v>
      </c>
      <c r="V110" s="113">
        <f>1*750+21*30</f>
        <v>1380</v>
      </c>
      <c r="W110" s="113">
        <f>2*750</f>
        <v>1500</v>
      </c>
      <c r="X110" s="113">
        <v>0</v>
      </c>
      <c r="Y110" s="113">
        <v>0</v>
      </c>
      <c r="AA110" s="113">
        <f>1*750+22*30</f>
        <v>1410</v>
      </c>
      <c r="AB110" s="113">
        <f>2*750</f>
        <v>1500</v>
      </c>
      <c r="AC110" s="113">
        <v>0</v>
      </c>
      <c r="AD110" s="113">
        <v>0</v>
      </c>
      <c r="AF110" s="162">
        <f>26945.45/12</f>
        <v>2245.4541666666669</v>
      </c>
      <c r="AG110" s="28">
        <f>G110-O110</f>
        <v>30</v>
      </c>
      <c r="AH110" s="58">
        <f>IF(ISERROR(AG110/B110*AF110),0,(AG110/B110*AF110))</f>
        <v>89.81816666666667</v>
      </c>
      <c r="AI110" s="28">
        <f>SUM(H110:M110)</f>
        <v>60</v>
      </c>
      <c r="AJ110" s="28">
        <f>IF(ISERROR(AI110/B110*AF110),0,(AI110/B110*AF110))</f>
        <v>179.63633333333334</v>
      </c>
      <c r="AK110" s="58">
        <f>IF(ISERROR(O110/B110*AF110),0,(O110/B110*AF110))</f>
        <v>8622.5439999999999</v>
      </c>
      <c r="AL110" s="28">
        <f>IF(ISERROR(H110/B110*AF110),0,(H110/B110*AF110))</f>
        <v>179.63633333333334</v>
      </c>
      <c r="AN110" s="51" t="str">
        <f>A110</f>
        <v>J/W Red Label</v>
      </c>
      <c r="AO110" s="57">
        <f>IF(ISERROR(IF(B110=C110,D110/C110,(INT(D110/B110)+(((D110-B110*INT(D110/B110)))/C110)/100))),0,(IF(B110=C110,D110/C110,(INT(D110/B110)+(((D110-B110*INT(D110/B110)))/C110)/100))))</f>
        <v>3.22</v>
      </c>
      <c r="AP110" s="57">
        <f>IF(ISERROR(IF(B110=C110,E110/C110,(INT(E110/B110)+(((E110-B110*INT(E110/B110)))/C110)/100))),0,(IF(B110=C110,E110/C110,(INT(E110/B110)+(((E110-B110*INT(E110/B110)))/C110)/100))))</f>
        <v>0</v>
      </c>
      <c r="AQ110" s="57">
        <f>IF(ISERROR(IF(B110=C110,F110/C110,IF((INT(F110/B110)+(((F110-B110*INT(F110/B110)))/C110)/100)&lt;0,(INT(F110/B110)+(((F110-B110*INT(F110/B110)))/C110)/100)+(1-(B110/C110/100)),(INT(F110/B110)+(((F110-B110*INT(F110/B110)))/C110)/100)))),0,IF(B110=C110,F110/C110,IF((INT(F110/B110)+(((F110-B110*INT(F110/B110)))/C110)/100)&lt;0,(INT(F110/B110)+(((F110-B110*INT(F110/B110)))/C110)/100)+(1-(B110/C110/100)),(INT(F110/B110)+(((F110-B110*INT(F110/B110)))/C110)/100))))</f>
        <v>0</v>
      </c>
      <c r="AR110" s="57">
        <f>IF(ISERROR(IF(B110=C110,G110/C110,(INT(G110/B110)+(((G110-B110*INT(G110/B110)))/C110)/100))),0,(IF(B110=C110,G110/C110,(INT(G110/B110)+(((G110-B110*INT(G110/B110)))/C110)/100))))</f>
        <v>3.22</v>
      </c>
      <c r="AS110" s="57">
        <f>IF(ISERROR(IF(B110=C110,H110/C110,(INT(H110/B110)+(((H110-B110*INT(H110/B110)))/C110)/100))),0,(IF(B110=C110,H110/C110,(INT(H110/B110)+(((H110-B110*INT(H110/B110)))/C110)/100))))</f>
        <v>0.02</v>
      </c>
      <c r="AT110" s="57">
        <f>IF(ISERROR(IF(B110=C110,I110/C110,(INT(I110/B110)+(((I110-B110*INT(I110/B110)))/C110)/100))),0,(IF(B110=C110,I110/C110,(INT(I110/B110)+(((I110-B110*INT(I110/B110)))/C110)/100))))</f>
        <v>0</v>
      </c>
      <c r="AU110" s="57">
        <f>IF(ISERROR(IF(B110=C110,J110/C110,(INT(J110/B110)+(((J110-B110*INT(J110/B110)))/C110)/100))),0,(IF(B110=C110,J110/C110,(INT(J110/B110)+(((J110-B110*INT(J110/B110)))/C110)/100))))</f>
        <v>0</v>
      </c>
      <c r="AV110" s="57">
        <f>IF(ISERROR(IF(B110=C110,K110/C110,IF((INT(K110/B110)+(((K110-B110*INT(K110/B110)))/C110)/100)&lt;0,(INT(K110/B110)+(((K110-B110*INT(K110/B110)))/C110)/100)+(1-(B110/C110/100)),(INT(K110/B110)+(((K110-B110*INT(K110/B110)))/C110)/100)))),0,IF(B110=C110,K110/C110,IF((INT(K110/B110)+(((K110-B110*INT(K110/B110)))/C110)/100)&lt;0,(INT(K110/B110)+(((K110-B110*INT(K110/B110)))/C110)/100)+(1-(B110/C110/100)),(INT(K110/B110)+(((K110-B110*INT(K110/B110)))/C110)/100))))</f>
        <v>0</v>
      </c>
      <c r="AW110" s="57">
        <f>IF(ISERROR(IF(B110=C110,L110/C110,(INT(L110/B110)+(((L110-B110*INT(L110/B110)))/C110)/100))),0,(IF(B110=C110,L110/C110,(INT(L110/B110)+(((L110-B110*INT(L110/B110)))/C110)/100))))</f>
        <v>0</v>
      </c>
      <c r="AX110" s="57">
        <f>IF(ISERROR(IF(B110=C110,M110/C110,(INT(M110/B110)+(((M110-B110*INT(M110/B110)))/C110)/100))),0,(IF(B110=C110,M110/C110,(INT(M110/B110)+(((M110-B110*INT(M110/B110)))/C110)/100))))</f>
        <v>0</v>
      </c>
      <c r="AY110" s="57">
        <f>IF(ISERROR(IF(B110=C110,N110/C110,IF((INT(N110/B110)+(((N110-B110*INT(N110/B110)))/C110)/100)&lt;0,(INT(N110/B110)+(((N110-B110*INT(N110/B110)))/C110)/100)+(1-(B110/C110/100)),(INT(N110/B110)+(((N110-B110*INT(N110/B110)))/C110)/100)))),0,IF(B110=C110,N110/C110,IF((INT(N110/B110)+(((N110-B110*INT(N110/B110)))/C110)/100)&lt;0,(INT(N110/B110)+(((N110-B110*INT(N110/B110)))/C110)/100)+(1-(B110/C110/100)),(INT(N110/B110)+(((N110-B110*INT(N110/B110)))/C110)/100))))</f>
        <v>3.2</v>
      </c>
      <c r="AZ110" s="57">
        <f>IF(ISERROR(IF(B110=C110,O110/C110,(INT(O110/B110)+(((O110-B110*INT(O110/B110)))/C110)/100))),0,(IF(B110=C110,O110/C110,(INT(O110/B110)+(((O110-B110*INT(O110/B110)))/C110)/100))))</f>
        <v>3.21</v>
      </c>
      <c r="BA110" s="57">
        <f>IF(ISERROR(IF(B110=C110,P110/C110,IF((INT(P110/B110)+(((P110-B110*INT(P110/B110)))/C110)/100)&lt;0,(INT(P110/B110)+(((P110-B110*INT(P110/B110)))/C110)/100)+(1-(B110/C110/100)),(INT(P110/B110)+(((P110-B110*INT(P110/B110)))/C110)/100)))),0,IF(B110=C110,P110/C110,IF((INT(P110/B110)+(((P110-B110*INT(P110/B110)))/C110)/100)&lt;0,(INT(P110/B110)+(((P110-B110*INT(P110/B110)))/C110)/100)+(1-(B110/C110/100)),(INT(P110/B110)+(((P110-B110*INT(P110/B110)))/C110)/100))))</f>
        <v>0.01</v>
      </c>
      <c r="BB110" s="28">
        <f>R110</f>
        <v>210</v>
      </c>
      <c r="BC110" s="28">
        <f>S110</f>
        <v>210</v>
      </c>
      <c r="BD110" s="28">
        <f>AF110</f>
        <v>2245.4541666666669</v>
      </c>
      <c r="BE110" s="28">
        <f>T110</f>
        <v>89.81816666666667</v>
      </c>
      <c r="BG110" s="57">
        <f>IF(ISERROR(IF(B110=C110,V110/C110,(INT(V110/B110)+(((V110-B110*INT(V110/B110)))/C110)/100))),0,(IF(B110=C110,V110/C110,(INT(V110/B110)+(((V110-B110*INT(V110/B110)))/C110)/100))))</f>
        <v>1.21</v>
      </c>
      <c r="BH110" s="57">
        <f>IF(ISERROR(IF(B110=C110,W110/C110,(INT(W110/B110)+(((W110-B110*INT(W110/B110)))/C110)/100))),0,(IF(B110=C110,W110/C110,(INT(W110/B110)+(((W110-B110*INT(W110/B110)))/C110)/100))))</f>
        <v>2</v>
      </c>
      <c r="BI110" s="57">
        <f>IF(ISERROR(IF(B110=C110,X110/C110,(INT(X110/B110)+(((X110-B110*INT(X110/B110)))/C110)/100))),0,(IF(B110=C110,X110/C110,(INT(X110/B110)+(((X110-B110*INT(X110/B110)))/C110)/100))))</f>
        <v>0</v>
      </c>
      <c r="BJ110" s="57">
        <f>IF(ISERROR(IF(B110=C110,Y110/C110,(INT(Y110/B110)+(((Y110-B110*INT(Y110/B110)))/C110)/100))),0,(IF(B110=C110,Y110/C110,(INT(Y110/B110)+(((Y110-B110*INT(Y110/B110)))/C110)/100))))</f>
        <v>0</v>
      </c>
      <c r="BL110" s="57">
        <f>IF(ISERROR(IF(B110=C110,AA110/C110,(INT(AA110/B110)+(((AA110-B110*INT(AA110/B110)))/C110)/100))),0,(IF(B110=C110,AA110/C110,(INT(AA110/B110)+(((AA110-B110*INT(AA110/B110)))/C110)/100))))</f>
        <v>1.22</v>
      </c>
      <c r="BM110" s="57">
        <f>IF(ISERROR(IF(B110=C110,AB110/C110,(INT(AB110/B110)+(((AB110-B110*INT(AB110/B110)))/C110)/100))),0,(IF(B110=C110,AB110/C110,(INT(AB110/B110)+(((AB110-B110*INT(AB110/B110)))/C110)/100))))</f>
        <v>2</v>
      </c>
      <c r="BN110" s="57">
        <f>IF(ISERROR(IF(B110=C110,AC110/C110,(INT(AC110/B110)+(((AC110-B110*INT(AC110/B110)))/C110)/100))),0,(IF(B110=C110,AC110/C110,(INT(AC110/B110)+(((AC110-B110*INT(AC110/B110)))/C110)/100))))</f>
        <v>0</v>
      </c>
      <c r="BO110" s="57">
        <f>IF(ISERROR(IF(B110=C110,AD110/C110,(INT(AD110/B110)+(((AD110-B110*INT(AD110/B110)))/C110)/100))),0,(IF(B110=C110,AD110/C110,(INT(AD110/B110)+(((AD110-B110*INT(AD110/B110)))/C110)/100))))</f>
        <v>0</v>
      </c>
      <c r="BQ110" s="155" t="s">
        <v>215</v>
      </c>
    </row>
    <row r="111" spans="1:69" x14ac:dyDescent="0.35">
      <c r="A111" s="94" t="s">
        <v>288</v>
      </c>
      <c r="B111" s="113">
        <v>750</v>
      </c>
      <c r="C111" s="113">
        <v>30</v>
      </c>
      <c r="D111" s="28">
        <f>SUM(AA111:AD111)</f>
        <v>5310</v>
      </c>
      <c r="E111" s="113">
        <v>0</v>
      </c>
      <c r="F111" s="113">
        <v>0</v>
      </c>
      <c r="G111" s="28">
        <f>SUM(D111:F111)</f>
        <v>5310</v>
      </c>
      <c r="H111" s="125">
        <v>0</v>
      </c>
      <c r="I111" s="113">
        <v>0</v>
      </c>
      <c r="J111" s="125">
        <v>0</v>
      </c>
      <c r="K111" s="113">
        <v>0</v>
      </c>
      <c r="L111" s="113">
        <v>0</v>
      </c>
      <c r="M111" s="113">
        <v>0</v>
      </c>
      <c r="N111" s="28">
        <f>G111-SUM(H111:M111)</f>
        <v>5310</v>
      </c>
      <c r="O111" s="28">
        <f>SUM(V111:Y111)</f>
        <v>5310</v>
      </c>
      <c r="P111" s="28">
        <f>O111-N111</f>
        <v>0</v>
      </c>
      <c r="Q111" s="61" t="str">
        <f>IF(ISERROR(P111/SUM(H111:L111)),"",P111/SUM(H111:L111))</f>
        <v/>
      </c>
      <c r="R111" s="113">
        <v>350</v>
      </c>
      <c r="S111" s="28">
        <f>IF(ISERROR(P111/C111*R111),0,(P111/C111*R111))</f>
        <v>0</v>
      </c>
      <c r="T111" s="60">
        <f>IF(ISERROR(P111/B111*AF111),0,(P111/B111*AF111))</f>
        <v>0</v>
      </c>
      <c r="V111" s="113">
        <f>2*750+2*30</f>
        <v>1560</v>
      </c>
      <c r="W111" s="113">
        <f>5*750</f>
        <v>3750</v>
      </c>
      <c r="X111" s="113">
        <v>0</v>
      </c>
      <c r="Y111" s="113">
        <v>0</v>
      </c>
      <c r="AA111" s="113">
        <f>2*750+2*30</f>
        <v>1560</v>
      </c>
      <c r="AB111" s="113">
        <f>5*750</f>
        <v>3750</v>
      </c>
      <c r="AC111" s="113">
        <v>0</v>
      </c>
      <c r="AD111" s="113">
        <v>0</v>
      </c>
      <c r="AF111" s="162">
        <f>70867.75/12</f>
        <v>5905.645833333333</v>
      </c>
      <c r="AG111" s="28">
        <f>G111-O111</f>
        <v>0</v>
      </c>
      <c r="AH111" s="58">
        <f>IF(ISERROR(AG111/B111*AF111),0,(AG111/B111*AF111))</f>
        <v>0</v>
      </c>
      <c r="AI111" s="28">
        <f>SUM(H111:M111)</f>
        <v>0</v>
      </c>
      <c r="AJ111" s="28">
        <f>IF(ISERROR(AI111/B111*AF111),0,(AI111/B111*AF111))</f>
        <v>0</v>
      </c>
      <c r="AK111" s="58">
        <f>IF(ISERROR(O111/B111*AF111),0,(O111/B111*AF111))</f>
        <v>41811.972499999996</v>
      </c>
      <c r="AL111" s="28">
        <f>IF(ISERROR(H111/B111*AF111),0,(H111/B111*AF111))</f>
        <v>0</v>
      </c>
      <c r="AN111" s="51" t="str">
        <f>A111</f>
        <v xml:space="preserve">Jack Daniel </v>
      </c>
      <c r="AO111" s="57">
        <f>IF(ISERROR(IF(B111=C111,D111/C111,(INT(D111/B111)+(((D111-B111*INT(D111/B111)))/C111)/100))),0,(IF(B111=C111,D111/C111,(INT(D111/B111)+(((D111-B111*INT(D111/B111)))/C111)/100))))</f>
        <v>7.02</v>
      </c>
      <c r="AP111" s="57">
        <f>IF(ISERROR(IF(B111=C111,E111/C111,(INT(E111/B111)+(((E111-B111*INT(E111/B111)))/C111)/100))),0,(IF(B111=C111,E111/C111,(INT(E111/B111)+(((E111-B111*INT(E111/B111)))/C111)/100))))</f>
        <v>0</v>
      </c>
      <c r="AQ111" s="57">
        <f>IF(ISERROR(IF(B111=C111,F111/C111,IF((INT(F111/B111)+(((F111-B111*INT(F111/B111)))/C111)/100)&lt;0,(INT(F111/B111)+(((F111-B111*INT(F111/B111)))/C111)/100)+(1-(B111/C111/100)),(INT(F111/B111)+(((F111-B111*INT(F111/B111)))/C111)/100)))),0,IF(B111=C111,F111/C111,IF((INT(F111/B111)+(((F111-B111*INT(F111/B111)))/C111)/100)&lt;0,(INT(F111/B111)+(((F111-B111*INT(F111/B111)))/C111)/100)+(1-(B111/C111/100)),(INT(F111/B111)+(((F111-B111*INT(F111/B111)))/C111)/100))))</f>
        <v>0</v>
      </c>
      <c r="AR111" s="57">
        <f>IF(ISERROR(IF(B111=C111,G111/C111,(INT(G111/B111)+(((G111-B111*INT(G111/B111)))/C111)/100))),0,(IF(B111=C111,G111/C111,(INT(G111/B111)+(((G111-B111*INT(G111/B111)))/C111)/100))))</f>
        <v>7.02</v>
      </c>
      <c r="AS111" s="57">
        <f>IF(ISERROR(IF(B111=C111,H111/C111,(INT(H111/B111)+(((H111-B111*INT(H111/B111)))/C111)/100))),0,(IF(B111=C111,H111/C111,(INT(H111/B111)+(((H111-B111*INT(H111/B111)))/C111)/100))))</f>
        <v>0</v>
      </c>
      <c r="AT111" s="57">
        <f>IF(ISERROR(IF(B111=C111,I111/C111,(INT(I111/B111)+(((I111-B111*INT(I111/B111)))/C111)/100))),0,(IF(B111=C111,I111/C111,(INT(I111/B111)+(((I111-B111*INT(I111/B111)))/C111)/100))))</f>
        <v>0</v>
      </c>
      <c r="AU111" s="57">
        <f>IF(ISERROR(IF(B111=C111,J111/C111,(INT(J111/B111)+(((J111-B111*INT(J111/B111)))/C111)/100))),0,(IF(B111=C111,J111/C111,(INT(J111/B111)+(((J111-B111*INT(J111/B111)))/C111)/100))))</f>
        <v>0</v>
      </c>
      <c r="AV111" s="57">
        <f>IF(ISERROR(IF(B111=C111,K111/C111,IF((INT(K111/B111)+(((K111-B111*INT(K111/B111)))/C111)/100)&lt;0,(INT(K111/B111)+(((K111-B111*INT(K111/B111)))/C111)/100)+(1-(B111/C111/100)),(INT(K111/B111)+(((K111-B111*INT(K111/B111)))/C111)/100)))),0,IF(B111=C111,K111/C111,IF((INT(K111/B111)+(((K111-B111*INT(K111/B111)))/C111)/100)&lt;0,(INT(K111/B111)+(((K111-B111*INT(K111/B111)))/C111)/100)+(1-(B111/C111/100)),(INT(K111/B111)+(((K111-B111*INT(K111/B111)))/C111)/100))))</f>
        <v>0</v>
      </c>
      <c r="AW111" s="57">
        <f>IF(ISERROR(IF(B111=C111,L111/C111,(INT(L111/B111)+(((L111-B111*INT(L111/B111)))/C111)/100))),0,(IF(B111=C111,L111/C111,(INT(L111/B111)+(((L111-B111*INT(L111/B111)))/C111)/100))))</f>
        <v>0</v>
      </c>
      <c r="AX111" s="57">
        <f>IF(ISERROR(IF(B111=C111,M111/C111,(INT(M111/B111)+(((M111-B111*INT(M111/B111)))/C111)/100))),0,(IF(B111=C111,M111/C111,(INT(M111/B111)+(((M111-B111*INT(M111/B111)))/C111)/100))))</f>
        <v>0</v>
      </c>
      <c r="AY111" s="57">
        <f>IF(ISERROR(IF(B111=C111,N111/C111,IF((INT(N111/B111)+(((N111-B111*INT(N111/B111)))/C111)/100)&lt;0,(INT(N111/B111)+(((N111-B111*INT(N111/B111)))/C111)/100)+(1-(B111/C111/100)),(INT(N111/B111)+(((N111-B111*INT(N111/B111)))/C111)/100)))),0,IF(B111=C111,N111/C111,IF((INT(N111/B111)+(((N111-B111*INT(N111/B111)))/C111)/100)&lt;0,(INT(N111/B111)+(((N111-B111*INT(N111/B111)))/C111)/100)+(1-(B111/C111/100)),(INT(N111/B111)+(((N111-B111*INT(N111/B111)))/C111)/100))))</f>
        <v>7.02</v>
      </c>
      <c r="AZ111" s="57">
        <f>IF(ISERROR(IF(B111=C111,O111/C111,(INT(O111/B111)+(((O111-B111*INT(O111/B111)))/C111)/100))),0,(IF(B111=C111,O111/C111,(INT(O111/B111)+(((O111-B111*INT(O111/B111)))/C111)/100))))</f>
        <v>7.02</v>
      </c>
      <c r="BA111" s="57">
        <f>IF(ISERROR(IF(B111=C111,P111/C111,IF((INT(P111/B111)+(((P111-B111*INT(P111/B111)))/C111)/100)&lt;0,(INT(P111/B111)+(((P111-B111*INT(P111/B111)))/C111)/100)+(1-(B111/C111/100)),(INT(P111/B111)+(((P111-B111*INT(P111/B111)))/C111)/100)))),0,IF(B111=C111,P111/C111,IF((INT(P111/B111)+(((P111-B111*INT(P111/B111)))/C111)/100)&lt;0,(INT(P111/B111)+(((P111-B111*INT(P111/B111)))/C111)/100)+(1-(B111/C111/100)),(INT(P111/B111)+(((P111-B111*INT(P111/B111)))/C111)/100))))</f>
        <v>0</v>
      </c>
      <c r="BB111" s="28">
        <f>R111</f>
        <v>350</v>
      </c>
      <c r="BC111" s="28">
        <f>S111</f>
        <v>0</v>
      </c>
      <c r="BD111" s="28">
        <f>AF111</f>
        <v>5905.645833333333</v>
      </c>
      <c r="BE111" s="28">
        <f>T111</f>
        <v>0</v>
      </c>
      <c r="BG111" s="57">
        <f>IF(ISERROR(IF(B111=C111,V111/C111,(INT(V111/B111)+(((V111-B111*INT(V111/B111)))/C111)/100))),0,(IF(B111=C111,V111/C111,(INT(V111/B111)+(((V111-B111*INT(V111/B111)))/C111)/100))))</f>
        <v>2.02</v>
      </c>
      <c r="BH111" s="57">
        <f>IF(ISERROR(IF(B111=C111,W111/C111,(INT(W111/B111)+(((W111-B111*INT(W111/B111)))/C111)/100))),0,(IF(B111=C111,W111/C111,(INT(W111/B111)+(((W111-B111*INT(W111/B111)))/C111)/100))))</f>
        <v>5</v>
      </c>
      <c r="BI111" s="57">
        <f>IF(ISERROR(IF(B111=C111,X111/C111,(INT(X111/B111)+(((X111-B111*INT(X111/B111)))/C111)/100))),0,(IF(B111=C111,X111/C111,(INT(X111/B111)+(((X111-B111*INT(X111/B111)))/C111)/100))))</f>
        <v>0</v>
      </c>
      <c r="BJ111" s="57">
        <f>IF(ISERROR(IF(B111=C111,Y111/C111,(INT(Y111/B111)+(((Y111-B111*INT(Y111/B111)))/C111)/100))),0,(IF(B111=C111,Y111/C111,(INT(Y111/B111)+(((Y111-B111*INT(Y111/B111)))/C111)/100))))</f>
        <v>0</v>
      </c>
      <c r="BL111" s="57">
        <f>IF(ISERROR(IF(B111=C111,AA111/C111,(INT(AA111/B111)+(((AA111-B111*INT(AA111/B111)))/C111)/100))),0,(IF(B111=C111,AA111/C111,(INT(AA111/B111)+(((AA111-B111*INT(AA111/B111)))/C111)/100))))</f>
        <v>2.02</v>
      </c>
      <c r="BM111" s="57">
        <f>IF(ISERROR(IF(B111=C111,AB111/C111,(INT(AB111/B111)+(((AB111-B111*INT(AB111/B111)))/C111)/100))),0,(IF(B111=C111,AB111/C111,(INT(AB111/B111)+(((AB111-B111*INT(AB111/B111)))/C111)/100))))</f>
        <v>5</v>
      </c>
      <c r="BN111" s="57">
        <f>IF(ISERROR(IF(B111=C111,AC111/C111,(INT(AC111/B111)+(((AC111-B111*INT(AC111/B111)))/C111)/100))),0,(IF(B111=C111,AC111/C111,(INT(AC111/B111)+(((AC111-B111*INT(AC111/B111)))/C111)/100))))</f>
        <v>0</v>
      </c>
      <c r="BO111" s="57">
        <f>IF(ISERROR(IF(B111=C111,AD111/C111,(INT(AD111/B111)+(((AD111-B111*INT(AD111/B111)))/C111)/100))),0,(IF(B111=C111,AD111/C111,(INT(AD111/B111)+(((AD111-B111*INT(AD111/B111)))/C111)/100))))</f>
        <v>0</v>
      </c>
      <c r="BQ111" s="155" t="s">
        <v>215</v>
      </c>
    </row>
    <row r="112" spans="1:69" x14ac:dyDescent="0.35">
      <c r="A112" s="94" t="s">
        <v>287</v>
      </c>
      <c r="B112" s="113">
        <v>750</v>
      </c>
      <c r="C112" s="113">
        <v>30</v>
      </c>
      <c r="D112" s="28">
        <f>SUM(AA112:AD112)</f>
        <v>0</v>
      </c>
      <c r="E112" s="113">
        <v>0</v>
      </c>
      <c r="F112" s="113">
        <v>0</v>
      </c>
      <c r="G112" s="28">
        <f>SUM(D112:F112)</f>
        <v>0</v>
      </c>
      <c r="H112" s="125">
        <v>0</v>
      </c>
      <c r="I112" s="113">
        <v>0</v>
      </c>
      <c r="J112" s="125">
        <v>0</v>
      </c>
      <c r="K112" s="113">
        <v>0</v>
      </c>
      <c r="L112" s="113">
        <v>0</v>
      </c>
      <c r="M112" s="113">
        <v>0</v>
      </c>
      <c r="N112" s="28">
        <f>G112-SUM(H112:M112)</f>
        <v>0</v>
      </c>
      <c r="O112" s="28">
        <f>SUM(V112:Y112)</f>
        <v>0</v>
      </c>
      <c r="P112" s="28">
        <f>O112-N112</f>
        <v>0</v>
      </c>
      <c r="Q112" s="61" t="str">
        <f>IF(ISERROR(P112/SUM(H112:L112)),"",P112/SUM(H112:L112))</f>
        <v/>
      </c>
      <c r="R112" s="113">
        <v>900</v>
      </c>
      <c r="S112" s="28">
        <f>IF(ISERROR(P112/C112*R112),0,(P112/C112*R112))</f>
        <v>0</v>
      </c>
      <c r="T112" s="60">
        <f>IF(ISERROR(P112/B112*AF112),0,(P112/B112*AF112))</f>
        <v>0</v>
      </c>
      <c r="V112" s="113">
        <v>0</v>
      </c>
      <c r="W112" s="113">
        <v>0</v>
      </c>
      <c r="X112" s="113">
        <v>0</v>
      </c>
      <c r="Y112" s="113">
        <v>0</v>
      </c>
      <c r="AA112" s="113">
        <v>0</v>
      </c>
      <c r="AB112" s="113">
        <v>0</v>
      </c>
      <c r="AC112" s="113">
        <v>0</v>
      </c>
      <c r="AD112" s="113">
        <v>0</v>
      </c>
      <c r="AF112" s="155">
        <v>10650</v>
      </c>
      <c r="AG112" s="28">
        <f>G112-O112</f>
        <v>0</v>
      </c>
      <c r="AH112" s="58">
        <f>IF(ISERROR(AG112/B112*AF112),0,(AG112/B112*AF112))</f>
        <v>0</v>
      </c>
      <c r="AI112" s="28">
        <f>SUM(H112:M112)</f>
        <v>0</v>
      </c>
      <c r="AJ112" s="28">
        <f>IF(ISERROR(AI112/B112*AF112),0,(AI112/B112*AF112))</f>
        <v>0</v>
      </c>
      <c r="AK112" s="58">
        <f>IF(ISERROR(O112/B112*AF112),0,(O112/B112*AF112))</f>
        <v>0</v>
      </c>
      <c r="AL112" s="28">
        <f>IF(ISERROR(H112/B112*AF112),0,(H112/B112*AF112))</f>
        <v>0</v>
      </c>
      <c r="AN112" s="51" t="str">
        <f>A112</f>
        <v>Jack Daniel Silver Select</v>
      </c>
      <c r="AO112" s="57">
        <f>IF(ISERROR(IF(B112=C112,D112/C112,(INT(D112/B112)+(((D112-B112*INT(D112/B112)))/C112)/100))),0,(IF(B112=C112,D112/C112,(INT(D112/B112)+(((D112-B112*INT(D112/B112)))/C112)/100))))</f>
        <v>0</v>
      </c>
      <c r="AP112" s="57">
        <f>IF(ISERROR(IF(B112=C112,E112/C112,(INT(E112/B112)+(((E112-B112*INT(E112/B112)))/C112)/100))),0,(IF(B112=C112,E112/C112,(INT(E112/B112)+(((E112-B112*INT(E112/B112)))/C112)/100))))</f>
        <v>0</v>
      </c>
      <c r="AQ112" s="57">
        <f>IF(ISERROR(IF(B112=C112,F112/C112,IF((INT(F112/B112)+(((F112-B112*INT(F112/B112)))/C112)/100)&lt;0,(INT(F112/B112)+(((F112-B112*INT(F112/B112)))/C112)/100)+(1-(B112/C112/100)),(INT(F112/B112)+(((F112-B112*INT(F112/B112)))/C112)/100)))),0,IF(B112=C112,F112/C112,IF((INT(F112/B112)+(((F112-B112*INT(F112/B112)))/C112)/100)&lt;0,(INT(F112/B112)+(((F112-B112*INT(F112/B112)))/C112)/100)+(1-(B112/C112/100)),(INT(F112/B112)+(((F112-B112*INT(F112/B112)))/C112)/100))))</f>
        <v>0</v>
      </c>
      <c r="AR112" s="57">
        <f>IF(ISERROR(IF(B112=C112,G112/C112,(INT(G112/B112)+(((G112-B112*INT(G112/B112)))/C112)/100))),0,(IF(B112=C112,G112/C112,(INT(G112/B112)+(((G112-B112*INT(G112/B112)))/C112)/100))))</f>
        <v>0</v>
      </c>
      <c r="AS112" s="57">
        <f>IF(ISERROR(IF(B112=C112,H112/C112,(INT(H112/B112)+(((H112-B112*INT(H112/B112)))/C112)/100))),0,(IF(B112=C112,H112/C112,(INT(H112/B112)+(((H112-B112*INT(H112/B112)))/C112)/100))))</f>
        <v>0</v>
      </c>
      <c r="AT112" s="57">
        <f>IF(ISERROR(IF(B112=C112,I112/C112,(INT(I112/B112)+(((I112-B112*INT(I112/B112)))/C112)/100))),0,(IF(B112=C112,I112/C112,(INT(I112/B112)+(((I112-B112*INT(I112/B112)))/C112)/100))))</f>
        <v>0</v>
      </c>
      <c r="AU112" s="57">
        <f>IF(ISERROR(IF(B112=C112,J112/C112,(INT(J112/B112)+(((J112-B112*INT(J112/B112)))/C112)/100))),0,(IF(B112=C112,J112/C112,(INT(J112/B112)+(((J112-B112*INT(J112/B112)))/C112)/100))))</f>
        <v>0</v>
      </c>
      <c r="AV112" s="57">
        <f>IF(ISERROR(IF(B112=C112,K112/C112,IF((INT(K112/B112)+(((K112-B112*INT(K112/B112)))/C112)/100)&lt;0,(INT(K112/B112)+(((K112-B112*INT(K112/B112)))/C112)/100)+(1-(B112/C112/100)),(INT(K112/B112)+(((K112-B112*INT(K112/B112)))/C112)/100)))),0,IF(B112=C112,K112/C112,IF((INT(K112/B112)+(((K112-B112*INT(K112/B112)))/C112)/100)&lt;0,(INT(K112/B112)+(((K112-B112*INT(K112/B112)))/C112)/100)+(1-(B112/C112/100)),(INT(K112/B112)+(((K112-B112*INT(K112/B112)))/C112)/100))))</f>
        <v>0</v>
      </c>
      <c r="AW112" s="57">
        <f>IF(ISERROR(IF(B112=C112,L112/C112,(INT(L112/B112)+(((L112-B112*INT(L112/B112)))/C112)/100))),0,(IF(B112=C112,L112/C112,(INT(L112/B112)+(((L112-B112*INT(L112/B112)))/C112)/100))))</f>
        <v>0</v>
      </c>
      <c r="AX112" s="57">
        <f>IF(ISERROR(IF(B112=C112,M112/C112,(INT(M112/B112)+(((M112-B112*INT(M112/B112)))/C112)/100))),0,(IF(B112=C112,M112/C112,(INT(M112/B112)+(((M112-B112*INT(M112/B112)))/C112)/100))))</f>
        <v>0</v>
      </c>
      <c r="AY112" s="57">
        <f>IF(ISERROR(IF(B112=C112,N112/C112,IF((INT(N112/B112)+(((N112-B112*INT(N112/B112)))/C112)/100)&lt;0,(INT(N112/B112)+(((N112-B112*INT(N112/B112)))/C112)/100)+(1-(B112/C112/100)),(INT(N112/B112)+(((N112-B112*INT(N112/B112)))/C112)/100)))),0,IF(B112=C112,N112/C112,IF((INT(N112/B112)+(((N112-B112*INT(N112/B112)))/C112)/100)&lt;0,(INT(N112/B112)+(((N112-B112*INT(N112/B112)))/C112)/100)+(1-(B112/C112/100)),(INT(N112/B112)+(((N112-B112*INT(N112/B112)))/C112)/100))))</f>
        <v>0</v>
      </c>
      <c r="AZ112" s="57">
        <f>IF(ISERROR(IF(B112=C112,O112/C112,(INT(O112/B112)+(((O112-B112*INT(O112/B112)))/C112)/100))),0,(IF(B112=C112,O112/C112,(INT(O112/B112)+(((O112-B112*INT(O112/B112)))/C112)/100))))</f>
        <v>0</v>
      </c>
      <c r="BA112" s="57">
        <f>IF(ISERROR(IF(B112=C112,P112/C112,IF((INT(P112/B112)+(((P112-B112*INT(P112/B112)))/C112)/100)&lt;0,(INT(P112/B112)+(((P112-B112*INT(P112/B112)))/C112)/100)+(1-(B112/C112/100)),(INT(P112/B112)+(((P112-B112*INT(P112/B112)))/C112)/100)))),0,IF(B112=C112,P112/C112,IF((INT(P112/B112)+(((P112-B112*INT(P112/B112)))/C112)/100)&lt;0,(INT(P112/B112)+(((P112-B112*INT(P112/B112)))/C112)/100)+(1-(B112/C112/100)),(INT(P112/B112)+(((P112-B112*INT(P112/B112)))/C112)/100))))</f>
        <v>0</v>
      </c>
      <c r="BB112" s="28">
        <f>R112</f>
        <v>900</v>
      </c>
      <c r="BC112" s="28">
        <f>S112</f>
        <v>0</v>
      </c>
      <c r="BD112" s="28">
        <f>AF112</f>
        <v>10650</v>
      </c>
      <c r="BE112" s="28">
        <f>T112</f>
        <v>0</v>
      </c>
      <c r="BG112" s="57">
        <f>IF(ISERROR(IF(B112=C112,V112/C112,(INT(V112/B112)+(((V112-B112*INT(V112/B112)))/C112)/100))),0,(IF(B112=C112,V112/C112,(INT(V112/B112)+(((V112-B112*INT(V112/B112)))/C112)/100))))</f>
        <v>0</v>
      </c>
      <c r="BH112" s="57">
        <f>IF(ISERROR(IF(B112=C112,W112/C112,(INT(W112/B112)+(((W112-B112*INT(W112/B112)))/C112)/100))),0,(IF(B112=C112,W112/C112,(INT(W112/B112)+(((W112-B112*INT(W112/B112)))/C112)/100))))</f>
        <v>0</v>
      </c>
      <c r="BI112" s="57">
        <f>IF(ISERROR(IF(B112=C112,X112/C112,(INT(X112/B112)+(((X112-B112*INT(X112/B112)))/C112)/100))),0,(IF(B112=C112,X112/C112,(INT(X112/B112)+(((X112-B112*INT(X112/B112)))/C112)/100))))</f>
        <v>0</v>
      </c>
      <c r="BJ112" s="57">
        <f>IF(ISERROR(IF(B112=C112,Y112/C112,(INT(Y112/B112)+(((Y112-B112*INT(Y112/B112)))/C112)/100))),0,(IF(B112=C112,Y112/C112,(INT(Y112/B112)+(((Y112-B112*INT(Y112/B112)))/C112)/100))))</f>
        <v>0</v>
      </c>
      <c r="BL112" s="57">
        <f>IF(ISERROR(IF(B112=C112,AA112/C112,(INT(AA112/B112)+(((AA112-B112*INT(AA112/B112)))/C112)/100))),0,(IF(B112=C112,AA112/C112,(INT(AA112/B112)+(((AA112-B112*INT(AA112/B112)))/C112)/100))))</f>
        <v>0</v>
      </c>
      <c r="BM112" s="57">
        <f>IF(ISERROR(IF(B112=C112,AB112/C112,(INT(AB112/B112)+(((AB112-B112*INT(AB112/B112)))/C112)/100))),0,(IF(B112=C112,AB112/C112,(INT(AB112/B112)+(((AB112-B112*INT(AB112/B112)))/C112)/100))))</f>
        <v>0</v>
      </c>
      <c r="BN112" s="57">
        <f>IF(ISERROR(IF(B112=C112,AC112/C112,(INT(AC112/B112)+(((AC112-B112*INT(AC112/B112)))/C112)/100))),0,(IF(B112=C112,AC112/C112,(INT(AC112/B112)+(((AC112-B112*INT(AC112/B112)))/C112)/100))))</f>
        <v>0</v>
      </c>
      <c r="BO112" s="57">
        <f>IF(ISERROR(IF(B112=C112,AD112/C112,(INT(AD112/B112)+(((AD112-B112*INT(AD112/B112)))/C112)/100))),0,(IF(B112=C112,AD112/C112,(INT(AD112/B112)+(((AD112-B112*INT(AD112/B112)))/C112)/100))))</f>
        <v>0</v>
      </c>
      <c r="BQ112" s="155" t="s">
        <v>215</v>
      </c>
    </row>
    <row r="113" spans="1:69" x14ac:dyDescent="0.35">
      <c r="A113" s="134" t="s">
        <v>286</v>
      </c>
      <c r="B113" s="113">
        <v>750</v>
      </c>
      <c r="C113" s="113">
        <v>30</v>
      </c>
      <c r="D113" s="28">
        <f>SUM(AA113:AD113)</f>
        <v>6090</v>
      </c>
      <c r="E113" s="113">
        <v>0</v>
      </c>
      <c r="F113" s="113">
        <v>0</v>
      </c>
      <c r="G113" s="28">
        <f>SUM(D113:F113)</f>
        <v>6090</v>
      </c>
      <c r="H113" s="164">
        <v>0</v>
      </c>
      <c r="I113" s="113">
        <v>0</v>
      </c>
      <c r="J113" s="125">
        <v>0</v>
      </c>
      <c r="K113" s="113">
        <v>0</v>
      </c>
      <c r="L113" s="113">
        <v>0</v>
      </c>
      <c r="M113" s="113">
        <v>0</v>
      </c>
      <c r="N113" s="28">
        <f>G113-SUM(H113:M113)</f>
        <v>6090</v>
      </c>
      <c r="O113" s="28">
        <f>SUM(V113:Y113)</f>
        <v>6090</v>
      </c>
      <c r="P113" s="28">
        <f>O113-N113</f>
        <v>0</v>
      </c>
      <c r="Q113" s="61" t="str">
        <f>IF(ISERROR(P113/SUM(H113:L113)),"",P113/SUM(H113:L113))</f>
        <v/>
      </c>
      <c r="R113" s="113">
        <v>250</v>
      </c>
      <c r="S113" s="28">
        <f>IF(ISERROR(P113/C113*R113),0,(P113/C113*R113))</f>
        <v>0</v>
      </c>
      <c r="T113" s="60">
        <f>IF(ISERROR(P113/B113*AF113),0,(P113/B113*AF113))</f>
        <v>0</v>
      </c>
      <c r="V113" s="113">
        <f>1*750+3*30</f>
        <v>840</v>
      </c>
      <c r="W113" s="113">
        <f>7*750</f>
        <v>5250</v>
      </c>
      <c r="X113" s="113">
        <v>0</v>
      </c>
      <c r="Y113" s="113">
        <v>0</v>
      </c>
      <c r="AA113" s="113">
        <f>1*750+3*30</f>
        <v>840</v>
      </c>
      <c r="AB113" s="113">
        <f>7*750</f>
        <v>5250</v>
      </c>
      <c r="AC113" s="113">
        <v>0</v>
      </c>
      <c r="AD113" s="113">
        <v>0</v>
      </c>
      <c r="AF113" s="162">
        <f>32727.3/12</f>
        <v>2727.2750000000001</v>
      </c>
      <c r="AG113" s="28">
        <f>G113-O113</f>
        <v>0</v>
      </c>
      <c r="AH113" s="58">
        <f>IF(ISERROR(AG113/B113*AF113),0,(AG113/B113*AF113))</f>
        <v>0</v>
      </c>
      <c r="AI113" s="28">
        <f>SUM(H113:M113)</f>
        <v>0</v>
      </c>
      <c r="AJ113" s="28">
        <f>IF(ISERROR(AI113/B113*AF113),0,(AI113/B113*AF113))</f>
        <v>0</v>
      </c>
      <c r="AK113" s="58">
        <f>IF(ISERROR(O113/B113*AF113),0,(O113/B113*AF113))</f>
        <v>22145.472999999998</v>
      </c>
      <c r="AL113" s="28">
        <f>IF(ISERROR(H113/B113*AF113),0,(H113/B113*AF113))</f>
        <v>0</v>
      </c>
      <c r="AN113" s="51" t="str">
        <f>A113</f>
        <v xml:space="preserve">Jemson Irish </v>
      </c>
      <c r="AO113" s="57">
        <f>IF(ISERROR(IF(B113=C113,D113/C113,(INT(D113/B113)+(((D113-B113*INT(D113/B113)))/C113)/100))),0,(IF(B113=C113,D113/C113,(INT(D113/B113)+(((D113-B113*INT(D113/B113)))/C113)/100))))</f>
        <v>8.0299999999999994</v>
      </c>
      <c r="AP113" s="57">
        <f>IF(ISERROR(IF(B113=C113,E113/C113,(INT(E113/B113)+(((E113-B113*INT(E113/B113)))/C113)/100))),0,(IF(B113=C113,E113/C113,(INT(E113/B113)+(((E113-B113*INT(E113/B113)))/C113)/100))))</f>
        <v>0</v>
      </c>
      <c r="AQ113" s="57">
        <f>IF(ISERROR(IF(B113=C113,F113/C113,IF((INT(F113/B113)+(((F113-B113*INT(F113/B113)))/C113)/100)&lt;0,(INT(F113/B113)+(((F113-B113*INT(F113/B113)))/C113)/100)+(1-(B113/C113/100)),(INT(F113/B113)+(((F113-B113*INT(F113/B113)))/C113)/100)))),0,IF(B113=C113,F113/C113,IF((INT(F113/B113)+(((F113-B113*INT(F113/B113)))/C113)/100)&lt;0,(INT(F113/B113)+(((F113-B113*INT(F113/B113)))/C113)/100)+(1-(B113/C113/100)),(INT(F113/B113)+(((F113-B113*INT(F113/B113)))/C113)/100))))</f>
        <v>0</v>
      </c>
      <c r="AR113" s="57">
        <f>IF(ISERROR(IF(B113=C113,G113/C113,(INT(G113/B113)+(((G113-B113*INT(G113/B113)))/C113)/100))),0,(IF(B113=C113,G113/C113,(INT(G113/B113)+(((G113-B113*INT(G113/B113)))/C113)/100))))</f>
        <v>8.0299999999999994</v>
      </c>
      <c r="AS113" s="57">
        <f>IF(ISERROR(IF(B113=C113,H113/C113,(INT(H113/B113)+(((H113-B113*INT(H113/B113)))/C113)/100))),0,(IF(B113=C113,H113/C113,(INT(H113/B113)+(((H113-B113*INT(H113/B113)))/C113)/100))))</f>
        <v>0</v>
      </c>
      <c r="AT113" s="57">
        <f>IF(ISERROR(IF(B113=C113,I113/C113,(INT(I113/B113)+(((I113-B113*INT(I113/B113)))/C113)/100))),0,(IF(B113=C113,I113/C113,(INT(I113/B113)+(((I113-B113*INT(I113/B113)))/C113)/100))))</f>
        <v>0</v>
      </c>
      <c r="AU113" s="57">
        <f>IF(ISERROR(IF(B113=C113,J113/C113,(INT(J113/B113)+(((J113-B113*INT(J113/B113)))/C113)/100))),0,(IF(B113=C113,J113/C113,(INT(J113/B113)+(((J113-B113*INT(J113/B113)))/C113)/100))))</f>
        <v>0</v>
      </c>
      <c r="AV113" s="57">
        <f>IF(ISERROR(IF(B113=C113,K113/C113,IF((INT(K113/B113)+(((K113-B113*INT(K113/B113)))/C113)/100)&lt;0,(INT(K113/B113)+(((K113-B113*INT(K113/B113)))/C113)/100)+(1-(B113/C113/100)),(INT(K113/B113)+(((K113-B113*INT(K113/B113)))/C113)/100)))),0,IF(B113=C113,K113/C113,IF((INT(K113/B113)+(((K113-B113*INT(K113/B113)))/C113)/100)&lt;0,(INT(K113/B113)+(((K113-B113*INT(K113/B113)))/C113)/100)+(1-(B113/C113/100)),(INT(K113/B113)+(((K113-B113*INT(K113/B113)))/C113)/100))))</f>
        <v>0</v>
      </c>
      <c r="AW113" s="57">
        <f>IF(ISERROR(IF(B113=C113,L113/C113,(INT(L113/B113)+(((L113-B113*INT(L113/B113)))/C113)/100))),0,(IF(B113=C113,L113/C113,(INT(L113/B113)+(((L113-B113*INT(L113/B113)))/C113)/100))))</f>
        <v>0</v>
      </c>
      <c r="AX113" s="57">
        <f>IF(ISERROR(IF(B113=C113,M113/C113,(INT(M113/B113)+(((M113-B113*INT(M113/B113)))/C113)/100))),0,(IF(B113=C113,M113/C113,(INT(M113/B113)+(((M113-B113*INT(M113/B113)))/C113)/100))))</f>
        <v>0</v>
      </c>
      <c r="AY113" s="57">
        <f>IF(ISERROR(IF(B113=C113,N113/C113,IF((INT(N113/B113)+(((N113-B113*INT(N113/B113)))/C113)/100)&lt;0,(INT(N113/B113)+(((N113-B113*INT(N113/B113)))/C113)/100)+(1-(B113/C113/100)),(INT(N113/B113)+(((N113-B113*INT(N113/B113)))/C113)/100)))),0,IF(B113=C113,N113/C113,IF((INT(N113/B113)+(((N113-B113*INT(N113/B113)))/C113)/100)&lt;0,(INT(N113/B113)+(((N113-B113*INT(N113/B113)))/C113)/100)+(1-(B113/C113/100)),(INT(N113/B113)+(((N113-B113*INT(N113/B113)))/C113)/100))))</f>
        <v>8.0299999999999994</v>
      </c>
      <c r="AZ113" s="57">
        <f>IF(ISERROR(IF(B113=C113,O113/C113,(INT(O113/B113)+(((O113-B113*INT(O113/B113)))/C113)/100))),0,(IF(B113=C113,O113/C113,(INT(O113/B113)+(((O113-B113*INT(O113/B113)))/C113)/100))))</f>
        <v>8.0299999999999994</v>
      </c>
      <c r="BA113" s="57">
        <f>IF(ISERROR(IF(B113=C113,P113/C113,IF((INT(P113/B113)+(((P113-B113*INT(P113/B113)))/C113)/100)&lt;0,(INT(P113/B113)+(((P113-B113*INT(P113/B113)))/C113)/100)+(1-(B113/C113/100)),(INT(P113/B113)+(((P113-B113*INT(P113/B113)))/C113)/100)))),0,IF(B113=C113,P113/C113,IF((INT(P113/B113)+(((P113-B113*INT(P113/B113)))/C113)/100)&lt;0,(INT(P113/B113)+(((P113-B113*INT(P113/B113)))/C113)/100)+(1-(B113/C113/100)),(INT(P113/B113)+(((P113-B113*INT(P113/B113)))/C113)/100))))</f>
        <v>0</v>
      </c>
      <c r="BB113" s="28">
        <f>R113</f>
        <v>250</v>
      </c>
      <c r="BC113" s="28">
        <f>S113</f>
        <v>0</v>
      </c>
      <c r="BD113" s="28">
        <f>AF113</f>
        <v>2727.2750000000001</v>
      </c>
      <c r="BE113" s="28">
        <f>T113</f>
        <v>0</v>
      </c>
      <c r="BG113" s="57">
        <f>IF(ISERROR(IF(B113=C113,V113/C113,(INT(V113/B113)+(((V113-B113*INT(V113/B113)))/C113)/100))),0,(IF(B113=C113,V113/C113,(INT(V113/B113)+(((V113-B113*INT(V113/B113)))/C113)/100))))</f>
        <v>1.03</v>
      </c>
      <c r="BH113" s="57">
        <f>IF(ISERROR(IF(B113=C113,W113/C113,(INT(W113/B113)+(((W113-B113*INT(W113/B113)))/C113)/100))),0,(IF(B113=C113,W113/C113,(INT(W113/B113)+(((W113-B113*INT(W113/B113)))/C113)/100))))</f>
        <v>7</v>
      </c>
      <c r="BI113" s="57">
        <f>IF(ISERROR(IF(B113=C113,X113/C113,(INT(X113/B113)+(((X113-B113*INT(X113/B113)))/C113)/100))),0,(IF(B113=C113,X113/C113,(INT(X113/B113)+(((X113-B113*INT(X113/B113)))/C113)/100))))</f>
        <v>0</v>
      </c>
      <c r="BJ113" s="57">
        <f>IF(ISERROR(IF(B113=C113,Y113/C113,(INT(Y113/B113)+(((Y113-B113*INT(Y113/B113)))/C113)/100))),0,(IF(B113=C113,Y113/C113,(INT(Y113/B113)+(((Y113-B113*INT(Y113/B113)))/C113)/100))))</f>
        <v>0</v>
      </c>
      <c r="BL113" s="57">
        <f>IF(ISERROR(IF(B113=C113,AA113/C113,(INT(AA113/B113)+(((AA113-B113*INT(AA113/B113)))/C113)/100))),0,(IF(B113=C113,AA113/C113,(INT(AA113/B113)+(((AA113-B113*INT(AA113/B113)))/C113)/100))))</f>
        <v>1.03</v>
      </c>
      <c r="BM113" s="57">
        <f>IF(ISERROR(IF(B113=C113,AB113/C113,(INT(AB113/B113)+(((AB113-B113*INT(AB113/B113)))/C113)/100))),0,(IF(B113=C113,AB113/C113,(INT(AB113/B113)+(((AB113-B113*INT(AB113/B113)))/C113)/100))))</f>
        <v>7</v>
      </c>
      <c r="BN113" s="57">
        <f>IF(ISERROR(IF(B113=C113,AC113/C113,(INT(AC113/B113)+(((AC113-B113*INT(AC113/B113)))/C113)/100))),0,(IF(B113=C113,AC113/C113,(INT(AC113/B113)+(((AC113-B113*INT(AC113/B113)))/C113)/100))))</f>
        <v>0</v>
      </c>
      <c r="BO113" s="57">
        <f>IF(ISERROR(IF(B113=C113,AD113/C113,(INT(AD113/B113)+(((AD113-B113*INT(AD113/B113)))/C113)/100))),0,(IF(B113=C113,AD113/C113,(INT(AD113/B113)+(((AD113-B113*INT(AD113/B113)))/C113)/100))))</f>
        <v>0</v>
      </c>
      <c r="BQ113" s="155" t="s">
        <v>215</v>
      </c>
    </row>
    <row r="114" spans="1:69" x14ac:dyDescent="0.35">
      <c r="A114" s="94" t="s">
        <v>285</v>
      </c>
      <c r="B114" s="113">
        <v>750</v>
      </c>
      <c r="C114" s="113">
        <v>30</v>
      </c>
      <c r="D114" s="28">
        <f>SUM(AA114:AD114)</f>
        <v>2820</v>
      </c>
      <c r="E114" s="113">
        <v>0</v>
      </c>
      <c r="F114" s="113">
        <v>0</v>
      </c>
      <c r="G114" s="28">
        <f>SUM(D114:F114)</f>
        <v>2820</v>
      </c>
      <c r="H114" s="125">
        <v>0</v>
      </c>
      <c r="I114" s="113">
        <v>0</v>
      </c>
      <c r="J114" s="125">
        <v>0</v>
      </c>
      <c r="K114" s="113">
        <v>0</v>
      </c>
      <c r="L114" s="113">
        <v>0</v>
      </c>
      <c r="M114" s="113">
        <v>0</v>
      </c>
      <c r="N114" s="28">
        <f>G114-SUM(H114:M114)</f>
        <v>2820</v>
      </c>
      <c r="O114" s="28">
        <f>SUM(V114:Y114)</f>
        <v>2820</v>
      </c>
      <c r="P114" s="28">
        <f>O114-N114</f>
        <v>0</v>
      </c>
      <c r="Q114" s="61" t="str">
        <f>IF(ISERROR(P114/SUM(H114:L114)),"",P114/SUM(H114:L114))</f>
        <v/>
      </c>
      <c r="R114" s="113">
        <v>250</v>
      </c>
      <c r="S114" s="28">
        <f>IF(ISERROR(P114/C114*R114),0,(P114/C114*R114))</f>
        <v>0</v>
      </c>
      <c r="T114" s="60">
        <f>IF(ISERROR(P114/B114*AF114),0,(P114/B114*AF114))</f>
        <v>0</v>
      </c>
      <c r="V114" s="113">
        <f>19*30</f>
        <v>570</v>
      </c>
      <c r="W114" s="113">
        <f>3*750</f>
        <v>2250</v>
      </c>
      <c r="X114" s="113">
        <v>0</v>
      </c>
      <c r="Y114" s="113">
        <v>0</v>
      </c>
      <c r="AA114" s="113">
        <f>19*30</f>
        <v>570</v>
      </c>
      <c r="AB114" s="113">
        <f>3*750</f>
        <v>2250</v>
      </c>
      <c r="AC114" s="113">
        <v>0</v>
      </c>
      <c r="AD114" s="113">
        <v>0</v>
      </c>
      <c r="AF114" s="162">
        <f>17646.55/12</f>
        <v>1470.5458333333333</v>
      </c>
      <c r="AG114" s="28">
        <f>G114-O114</f>
        <v>0</v>
      </c>
      <c r="AH114" s="58">
        <f>IF(ISERROR(AG114/B114*AF114),0,(AG114/B114*AF114))</f>
        <v>0</v>
      </c>
      <c r="AI114" s="28">
        <f>SUM(H114:M114)</f>
        <v>0</v>
      </c>
      <c r="AJ114" s="28">
        <f>IF(ISERROR(AI114/B114*AF114),0,(AI114/B114*AF114))</f>
        <v>0</v>
      </c>
      <c r="AK114" s="58">
        <f>IF(ISERROR(O114/B114*AF114),0,(O114/B114*AF114))</f>
        <v>5529.2523333333329</v>
      </c>
      <c r="AL114" s="28">
        <f>IF(ISERROR(H114/B114*AF114),0,(H114/B114*AF114))</f>
        <v>0</v>
      </c>
      <c r="AN114" s="51" t="str">
        <f>A114</f>
        <v xml:space="preserve">Jim beam </v>
      </c>
      <c r="AO114" s="57">
        <f>IF(ISERROR(IF(B114=C114,D114/C114,(INT(D114/B114)+(((D114-B114*INT(D114/B114)))/C114)/100))),0,(IF(B114=C114,D114/C114,(INT(D114/B114)+(((D114-B114*INT(D114/B114)))/C114)/100))))</f>
        <v>3.19</v>
      </c>
      <c r="AP114" s="57">
        <f>IF(ISERROR(IF(B114=C114,E114/C114,(INT(E114/B114)+(((E114-B114*INT(E114/B114)))/C114)/100))),0,(IF(B114=C114,E114/C114,(INT(E114/B114)+(((E114-B114*INT(E114/B114)))/C114)/100))))</f>
        <v>0</v>
      </c>
      <c r="AQ114" s="57">
        <f>IF(ISERROR(IF(B114=C114,F114/C114,IF((INT(F114/B114)+(((F114-B114*INT(F114/B114)))/C114)/100)&lt;0,(INT(F114/B114)+(((F114-B114*INT(F114/B114)))/C114)/100)+(1-(B114/C114/100)),(INT(F114/B114)+(((F114-B114*INT(F114/B114)))/C114)/100)))),0,IF(B114=C114,F114/C114,IF((INT(F114/B114)+(((F114-B114*INT(F114/B114)))/C114)/100)&lt;0,(INT(F114/B114)+(((F114-B114*INT(F114/B114)))/C114)/100)+(1-(B114/C114/100)),(INT(F114/B114)+(((F114-B114*INT(F114/B114)))/C114)/100))))</f>
        <v>0</v>
      </c>
      <c r="AR114" s="57">
        <f>IF(ISERROR(IF(B114=C114,G114/C114,(INT(G114/B114)+(((G114-B114*INT(G114/B114)))/C114)/100))),0,(IF(B114=C114,G114/C114,(INT(G114/B114)+(((G114-B114*INT(G114/B114)))/C114)/100))))</f>
        <v>3.19</v>
      </c>
      <c r="AS114" s="57">
        <f>IF(ISERROR(IF(B114=C114,H114/C114,(INT(H114/B114)+(((H114-B114*INT(H114/B114)))/C114)/100))),0,(IF(B114=C114,H114/C114,(INT(H114/B114)+(((H114-B114*INT(H114/B114)))/C114)/100))))</f>
        <v>0</v>
      </c>
      <c r="AT114" s="57">
        <f>IF(ISERROR(IF(B114=C114,I114/C114,(INT(I114/B114)+(((I114-B114*INT(I114/B114)))/C114)/100))),0,(IF(B114=C114,I114/C114,(INT(I114/B114)+(((I114-B114*INT(I114/B114)))/C114)/100))))</f>
        <v>0</v>
      </c>
      <c r="AU114" s="57">
        <f>IF(ISERROR(IF(B114=C114,J114/C114,(INT(J114/B114)+(((J114-B114*INT(J114/B114)))/C114)/100))),0,(IF(B114=C114,J114/C114,(INT(J114/B114)+(((J114-B114*INT(J114/B114)))/C114)/100))))</f>
        <v>0</v>
      </c>
      <c r="AV114" s="57">
        <f>IF(ISERROR(IF(B114=C114,K114/C114,IF((INT(K114/B114)+(((K114-B114*INT(K114/B114)))/C114)/100)&lt;0,(INT(K114/B114)+(((K114-B114*INT(K114/B114)))/C114)/100)+(1-(B114/C114/100)),(INT(K114/B114)+(((K114-B114*INT(K114/B114)))/C114)/100)))),0,IF(B114=C114,K114/C114,IF((INT(K114/B114)+(((K114-B114*INT(K114/B114)))/C114)/100)&lt;0,(INT(K114/B114)+(((K114-B114*INT(K114/B114)))/C114)/100)+(1-(B114/C114/100)),(INT(K114/B114)+(((K114-B114*INT(K114/B114)))/C114)/100))))</f>
        <v>0</v>
      </c>
      <c r="AW114" s="57">
        <f>IF(ISERROR(IF(B114=C114,L114/C114,(INT(L114/B114)+(((L114-B114*INT(L114/B114)))/C114)/100))),0,(IF(B114=C114,L114/C114,(INT(L114/B114)+(((L114-B114*INT(L114/B114)))/C114)/100))))</f>
        <v>0</v>
      </c>
      <c r="AX114" s="57">
        <f>IF(ISERROR(IF(B114=C114,M114/C114,(INT(M114/B114)+(((M114-B114*INT(M114/B114)))/C114)/100))),0,(IF(B114=C114,M114/C114,(INT(M114/B114)+(((M114-B114*INT(M114/B114)))/C114)/100))))</f>
        <v>0</v>
      </c>
      <c r="AY114" s="57">
        <f>IF(ISERROR(IF(B114=C114,N114/C114,IF((INT(N114/B114)+(((N114-B114*INT(N114/B114)))/C114)/100)&lt;0,(INT(N114/B114)+(((N114-B114*INT(N114/B114)))/C114)/100)+(1-(B114/C114/100)),(INT(N114/B114)+(((N114-B114*INT(N114/B114)))/C114)/100)))),0,IF(B114=C114,N114/C114,IF((INT(N114/B114)+(((N114-B114*INT(N114/B114)))/C114)/100)&lt;0,(INT(N114/B114)+(((N114-B114*INT(N114/B114)))/C114)/100)+(1-(B114/C114/100)),(INT(N114/B114)+(((N114-B114*INT(N114/B114)))/C114)/100))))</f>
        <v>3.19</v>
      </c>
      <c r="AZ114" s="57">
        <f>IF(ISERROR(IF(B114=C114,O114/C114,(INT(O114/B114)+(((O114-B114*INT(O114/B114)))/C114)/100))),0,(IF(B114=C114,O114/C114,(INT(O114/B114)+(((O114-B114*INT(O114/B114)))/C114)/100))))</f>
        <v>3.19</v>
      </c>
      <c r="BA114" s="57">
        <f>IF(ISERROR(IF(B114=C114,P114/C114,IF((INT(P114/B114)+(((P114-B114*INT(P114/B114)))/C114)/100)&lt;0,(INT(P114/B114)+(((P114-B114*INT(P114/B114)))/C114)/100)+(1-(B114/C114/100)),(INT(P114/B114)+(((P114-B114*INT(P114/B114)))/C114)/100)))),0,IF(B114=C114,P114/C114,IF((INT(P114/B114)+(((P114-B114*INT(P114/B114)))/C114)/100)&lt;0,(INT(P114/B114)+(((P114-B114*INT(P114/B114)))/C114)/100)+(1-(B114/C114/100)),(INT(P114/B114)+(((P114-B114*INT(P114/B114)))/C114)/100))))</f>
        <v>0</v>
      </c>
      <c r="BB114" s="28">
        <f>R114</f>
        <v>250</v>
      </c>
      <c r="BC114" s="28">
        <f>S114</f>
        <v>0</v>
      </c>
      <c r="BD114" s="28">
        <f>AF114</f>
        <v>1470.5458333333333</v>
      </c>
      <c r="BE114" s="28">
        <f>T114</f>
        <v>0</v>
      </c>
      <c r="BG114" s="57">
        <f>IF(ISERROR(IF(B114=C114,V114/C114,(INT(V114/B114)+(((V114-B114*INT(V114/B114)))/C114)/100))),0,(IF(B114=C114,V114/C114,(INT(V114/B114)+(((V114-B114*INT(V114/B114)))/C114)/100))))</f>
        <v>0.19</v>
      </c>
      <c r="BH114" s="57">
        <f>IF(ISERROR(IF(B114=C114,W114/C114,(INT(W114/B114)+(((W114-B114*INT(W114/B114)))/C114)/100))),0,(IF(B114=C114,W114/C114,(INT(W114/B114)+(((W114-B114*INT(W114/B114)))/C114)/100))))</f>
        <v>3</v>
      </c>
      <c r="BI114" s="57">
        <f>IF(ISERROR(IF(B114=C114,X114/C114,(INT(X114/B114)+(((X114-B114*INT(X114/B114)))/C114)/100))),0,(IF(B114=C114,X114/C114,(INT(X114/B114)+(((X114-B114*INT(X114/B114)))/C114)/100))))</f>
        <v>0</v>
      </c>
      <c r="BJ114" s="57">
        <f>IF(ISERROR(IF(B114=C114,Y114/C114,(INT(Y114/B114)+(((Y114-B114*INT(Y114/B114)))/C114)/100))),0,(IF(B114=C114,Y114/C114,(INT(Y114/B114)+(((Y114-B114*INT(Y114/B114)))/C114)/100))))</f>
        <v>0</v>
      </c>
      <c r="BL114" s="57">
        <f>IF(ISERROR(IF(B114=C114,AA114/C114,(INT(AA114/B114)+(((AA114-B114*INT(AA114/B114)))/C114)/100))),0,(IF(B114=C114,AA114/C114,(INT(AA114/B114)+(((AA114-B114*INT(AA114/B114)))/C114)/100))))</f>
        <v>0.19</v>
      </c>
      <c r="BM114" s="57">
        <f>IF(ISERROR(IF(B114=C114,AB114/C114,(INT(AB114/B114)+(((AB114-B114*INT(AB114/B114)))/C114)/100))),0,(IF(B114=C114,AB114/C114,(INT(AB114/B114)+(((AB114-B114*INT(AB114/B114)))/C114)/100))))</f>
        <v>3</v>
      </c>
      <c r="BN114" s="57">
        <f>IF(ISERROR(IF(B114=C114,AC114/C114,(INT(AC114/B114)+(((AC114-B114*INT(AC114/B114)))/C114)/100))),0,(IF(B114=C114,AC114/C114,(INT(AC114/B114)+(((AC114-B114*INT(AC114/B114)))/C114)/100))))</f>
        <v>0</v>
      </c>
      <c r="BO114" s="57">
        <f>IF(ISERROR(IF(B114=C114,AD114/C114,(INT(AD114/B114)+(((AD114-B114*INT(AD114/B114)))/C114)/100))),0,(IF(B114=C114,AD114/C114,(INT(AD114/B114)+(((AD114-B114*INT(AD114/B114)))/C114)/100))))</f>
        <v>0</v>
      </c>
      <c r="BQ114" s="155" t="s">
        <v>215</v>
      </c>
    </row>
    <row r="115" spans="1:69" x14ac:dyDescent="0.35">
      <c r="A115" s="134" t="s">
        <v>284</v>
      </c>
      <c r="B115" s="113">
        <v>750</v>
      </c>
      <c r="C115" s="113">
        <v>30</v>
      </c>
      <c r="D115" s="28">
        <f>SUM(AA115:AD115)</f>
        <v>4770</v>
      </c>
      <c r="E115" s="113">
        <v>0</v>
      </c>
      <c r="F115" s="113">
        <v>0</v>
      </c>
      <c r="G115" s="28">
        <f>SUM(D115:F115)</f>
        <v>4770</v>
      </c>
      <c r="H115" s="164">
        <v>0</v>
      </c>
      <c r="I115" s="113">
        <f>4*30</f>
        <v>120</v>
      </c>
      <c r="J115" s="125">
        <v>0</v>
      </c>
      <c r="K115" s="113">
        <v>0</v>
      </c>
      <c r="L115" s="113">
        <v>0</v>
      </c>
      <c r="M115" s="113">
        <v>0</v>
      </c>
      <c r="N115" s="28">
        <f>G115-SUM(H115:M115)</f>
        <v>4650</v>
      </c>
      <c r="O115" s="28">
        <f>SUM(V115:Y115)</f>
        <v>4650</v>
      </c>
      <c r="P115" s="28">
        <f>O115-N115</f>
        <v>0</v>
      </c>
      <c r="Q115" s="61">
        <f>IF(ISERROR(P115/SUM(H115:L115)),"",P115/SUM(H115:L115))</f>
        <v>0</v>
      </c>
      <c r="R115" s="113">
        <v>195</v>
      </c>
      <c r="S115" s="28">
        <f>IF(ISERROR(P115/C115*R115),0,(P115/C115*R115))</f>
        <v>0</v>
      </c>
      <c r="T115" s="60">
        <f>IF(ISERROR(P115/B115*AF115),0,(P115/B115*AF115))</f>
        <v>0</v>
      </c>
      <c r="V115" s="113">
        <f>1*750+5*30</f>
        <v>900</v>
      </c>
      <c r="W115" s="113">
        <f>5*750</f>
        <v>3750</v>
      </c>
      <c r="X115" s="113">
        <v>0</v>
      </c>
      <c r="Y115" s="113">
        <v>0</v>
      </c>
      <c r="AA115" s="113">
        <f>750+9*30</f>
        <v>1020</v>
      </c>
      <c r="AB115" s="113">
        <f>5*750</f>
        <v>3750</v>
      </c>
      <c r="AC115" s="113">
        <v>0</v>
      </c>
      <c r="AD115" s="113">
        <v>0</v>
      </c>
      <c r="AF115" s="162">
        <f>29454.55/12</f>
        <v>2454.5458333333331</v>
      </c>
      <c r="AG115" s="28">
        <f>G115-O115</f>
        <v>120</v>
      </c>
      <c r="AH115" s="58">
        <f>IF(ISERROR(AG115/B115*AF115),0,(AG115/B115*AF115))</f>
        <v>392.72733333333332</v>
      </c>
      <c r="AI115" s="28">
        <f>SUM(H115:M115)</f>
        <v>120</v>
      </c>
      <c r="AJ115" s="28">
        <f>IF(ISERROR(AI115/B115*AF115),0,(AI115/B115*AF115))</f>
        <v>392.72733333333332</v>
      </c>
      <c r="AK115" s="58">
        <f>IF(ISERROR(O115/B115*AF115),0,(O115/B115*AF115))</f>
        <v>15218.184166666666</v>
      </c>
      <c r="AL115" s="28">
        <f>IF(ISERROR(H115/B115*AF115),0,(H115/B115*AF115))</f>
        <v>0</v>
      </c>
      <c r="AN115" s="51" t="str">
        <f>A115</f>
        <v xml:space="preserve">ketel One Vodka </v>
      </c>
      <c r="AO115" s="57">
        <f>IF(ISERROR(IF(B115=C115,D115/C115,(INT(D115/B115)+(((D115-B115*INT(D115/B115)))/C115)/100))),0,(IF(B115=C115,D115/C115,(INT(D115/B115)+(((D115-B115*INT(D115/B115)))/C115)/100))))</f>
        <v>6.09</v>
      </c>
      <c r="AP115" s="57">
        <f>IF(ISERROR(IF(B115=C115,E115/C115,(INT(E115/B115)+(((E115-B115*INT(E115/B115)))/C115)/100))),0,(IF(B115=C115,E115/C115,(INT(E115/B115)+(((E115-B115*INT(E115/B115)))/C115)/100))))</f>
        <v>0</v>
      </c>
      <c r="AQ115" s="57">
        <f>IF(ISERROR(IF(B115=C115,F115/C115,IF((INT(F115/B115)+(((F115-B115*INT(F115/B115)))/C115)/100)&lt;0,(INT(F115/B115)+(((F115-B115*INT(F115/B115)))/C115)/100)+(1-(B115/C115/100)),(INT(F115/B115)+(((F115-B115*INT(F115/B115)))/C115)/100)))),0,IF(B115=C115,F115/C115,IF((INT(F115/B115)+(((F115-B115*INT(F115/B115)))/C115)/100)&lt;0,(INT(F115/B115)+(((F115-B115*INT(F115/B115)))/C115)/100)+(1-(B115/C115/100)),(INT(F115/B115)+(((F115-B115*INT(F115/B115)))/C115)/100))))</f>
        <v>0</v>
      </c>
      <c r="AR115" s="57">
        <f>IF(ISERROR(IF(B115=C115,G115/C115,(INT(G115/B115)+(((G115-B115*INT(G115/B115)))/C115)/100))),0,(IF(B115=C115,G115/C115,(INT(G115/B115)+(((G115-B115*INT(G115/B115)))/C115)/100))))</f>
        <v>6.09</v>
      </c>
      <c r="AS115" s="57">
        <f>IF(ISERROR(IF(B115=C115,H115/C115,(INT(H115/B115)+(((H115-B115*INT(H115/B115)))/C115)/100))),0,(IF(B115=C115,H115/C115,(INT(H115/B115)+(((H115-B115*INT(H115/B115)))/C115)/100))))</f>
        <v>0</v>
      </c>
      <c r="AT115" s="57">
        <f>IF(ISERROR(IF(B115=C115,I115/C115,(INT(I115/B115)+(((I115-B115*INT(I115/B115)))/C115)/100))),0,(IF(B115=C115,I115/C115,(INT(I115/B115)+(((I115-B115*INT(I115/B115)))/C115)/100))))</f>
        <v>0.04</v>
      </c>
      <c r="AU115" s="57">
        <f>IF(ISERROR(IF(B115=C115,J115/C115,(INT(J115/B115)+(((J115-B115*INT(J115/B115)))/C115)/100))),0,(IF(B115=C115,J115/C115,(INT(J115/B115)+(((J115-B115*INT(J115/B115)))/C115)/100))))</f>
        <v>0</v>
      </c>
      <c r="AV115" s="57">
        <f>IF(ISERROR(IF(B115=C115,K115/C115,IF((INT(K115/B115)+(((K115-B115*INT(K115/B115)))/C115)/100)&lt;0,(INT(K115/B115)+(((K115-B115*INT(K115/B115)))/C115)/100)+(1-(B115/C115/100)),(INT(K115/B115)+(((K115-B115*INT(K115/B115)))/C115)/100)))),0,IF(B115=C115,K115/C115,IF((INT(K115/B115)+(((K115-B115*INT(K115/B115)))/C115)/100)&lt;0,(INT(K115/B115)+(((K115-B115*INT(K115/B115)))/C115)/100)+(1-(B115/C115/100)),(INT(K115/B115)+(((K115-B115*INT(K115/B115)))/C115)/100))))</f>
        <v>0</v>
      </c>
      <c r="AW115" s="57">
        <f>IF(ISERROR(IF(B115=C115,L115/C115,(INT(L115/B115)+(((L115-B115*INT(L115/B115)))/C115)/100))),0,(IF(B115=C115,L115/C115,(INT(L115/B115)+(((L115-B115*INT(L115/B115)))/C115)/100))))</f>
        <v>0</v>
      </c>
      <c r="AX115" s="57">
        <f>IF(ISERROR(IF(B115=C115,M115/C115,(INT(M115/B115)+(((M115-B115*INT(M115/B115)))/C115)/100))),0,(IF(B115=C115,M115/C115,(INT(M115/B115)+(((M115-B115*INT(M115/B115)))/C115)/100))))</f>
        <v>0</v>
      </c>
      <c r="AY115" s="57">
        <f>IF(ISERROR(IF(B115=C115,N115/C115,IF((INT(N115/B115)+(((N115-B115*INT(N115/B115)))/C115)/100)&lt;0,(INT(N115/B115)+(((N115-B115*INT(N115/B115)))/C115)/100)+(1-(B115/C115/100)),(INT(N115/B115)+(((N115-B115*INT(N115/B115)))/C115)/100)))),0,IF(B115=C115,N115/C115,IF((INT(N115/B115)+(((N115-B115*INT(N115/B115)))/C115)/100)&lt;0,(INT(N115/B115)+(((N115-B115*INT(N115/B115)))/C115)/100)+(1-(B115/C115/100)),(INT(N115/B115)+(((N115-B115*INT(N115/B115)))/C115)/100))))</f>
        <v>6.05</v>
      </c>
      <c r="AZ115" s="57">
        <f>IF(ISERROR(IF(B115=C115,O115/C115,(INT(O115/B115)+(((O115-B115*INT(O115/B115)))/C115)/100))),0,(IF(B115=C115,O115/C115,(INT(O115/B115)+(((O115-B115*INT(O115/B115)))/C115)/100))))</f>
        <v>6.05</v>
      </c>
      <c r="BA115" s="57">
        <f>IF(ISERROR(IF(B115=C115,P115/C115,IF((INT(P115/B115)+(((P115-B115*INT(P115/B115)))/C115)/100)&lt;0,(INT(P115/B115)+(((P115-B115*INT(P115/B115)))/C115)/100)+(1-(B115/C115/100)),(INT(P115/B115)+(((P115-B115*INT(P115/B115)))/C115)/100)))),0,IF(B115=C115,P115/C115,IF((INT(P115/B115)+(((P115-B115*INT(P115/B115)))/C115)/100)&lt;0,(INT(P115/B115)+(((P115-B115*INT(P115/B115)))/C115)/100)+(1-(B115/C115/100)),(INT(P115/B115)+(((P115-B115*INT(P115/B115)))/C115)/100))))</f>
        <v>0</v>
      </c>
      <c r="BB115" s="28">
        <f>R115</f>
        <v>195</v>
      </c>
      <c r="BC115" s="28">
        <f>S115</f>
        <v>0</v>
      </c>
      <c r="BD115" s="28">
        <f>AF115</f>
        <v>2454.5458333333331</v>
      </c>
      <c r="BE115" s="28">
        <f>T115</f>
        <v>0</v>
      </c>
      <c r="BG115" s="57">
        <f>IF(ISERROR(IF(B115=C115,V115/C115,(INT(V115/B115)+(((V115-B115*INT(V115/B115)))/C115)/100))),0,(IF(B115=C115,V115/C115,(INT(V115/B115)+(((V115-B115*INT(V115/B115)))/C115)/100))))</f>
        <v>1.05</v>
      </c>
      <c r="BH115" s="57">
        <f>IF(ISERROR(IF(B115=C115,W115/C115,(INT(W115/B115)+(((W115-B115*INT(W115/B115)))/C115)/100))),0,(IF(B115=C115,W115/C115,(INT(W115/B115)+(((W115-B115*INT(W115/B115)))/C115)/100))))</f>
        <v>5</v>
      </c>
      <c r="BI115" s="57">
        <f>IF(ISERROR(IF(B115=C115,X115/C115,(INT(X115/B115)+(((X115-B115*INT(X115/B115)))/C115)/100))),0,(IF(B115=C115,X115/C115,(INT(X115/B115)+(((X115-B115*INT(X115/B115)))/C115)/100))))</f>
        <v>0</v>
      </c>
      <c r="BJ115" s="57">
        <f>IF(ISERROR(IF(B115=C115,Y115/C115,(INT(Y115/B115)+(((Y115-B115*INT(Y115/B115)))/C115)/100))),0,(IF(B115=C115,Y115/C115,(INT(Y115/B115)+(((Y115-B115*INT(Y115/B115)))/C115)/100))))</f>
        <v>0</v>
      </c>
      <c r="BL115" s="57">
        <f>IF(ISERROR(IF(B115=C115,AA115/C115,(INT(AA115/B115)+(((AA115-B115*INT(AA115/B115)))/C115)/100))),0,(IF(B115=C115,AA115/C115,(INT(AA115/B115)+(((AA115-B115*INT(AA115/B115)))/C115)/100))))</f>
        <v>1.0900000000000001</v>
      </c>
      <c r="BM115" s="57">
        <f>IF(ISERROR(IF(B115=C115,AB115/C115,(INT(AB115/B115)+(((AB115-B115*INT(AB115/B115)))/C115)/100))),0,(IF(B115=C115,AB115/C115,(INT(AB115/B115)+(((AB115-B115*INT(AB115/B115)))/C115)/100))))</f>
        <v>5</v>
      </c>
      <c r="BN115" s="57">
        <f>IF(ISERROR(IF(B115=C115,AC115/C115,(INT(AC115/B115)+(((AC115-B115*INT(AC115/B115)))/C115)/100))),0,(IF(B115=C115,AC115/C115,(INT(AC115/B115)+(((AC115-B115*INT(AC115/B115)))/C115)/100))))</f>
        <v>0</v>
      </c>
      <c r="BO115" s="57">
        <f>IF(ISERROR(IF(B115=C115,AD115/C115,(INT(AD115/B115)+(((AD115-B115*INT(AD115/B115)))/C115)/100))),0,(IF(B115=C115,AD115/C115,(INT(AD115/B115)+(((AD115-B115*INT(AD115/B115)))/C115)/100))))</f>
        <v>0</v>
      </c>
      <c r="BQ115" s="155" t="s">
        <v>205</v>
      </c>
    </row>
    <row r="116" spans="1:69" x14ac:dyDescent="0.35">
      <c r="A116" s="134" t="s">
        <v>283</v>
      </c>
      <c r="B116" s="113">
        <v>750</v>
      </c>
      <c r="C116" s="113">
        <v>30</v>
      </c>
      <c r="D116" s="28">
        <f>SUM(AA116:AD116)</f>
        <v>1200</v>
      </c>
      <c r="E116" s="113">
        <v>0</v>
      </c>
      <c r="F116" s="113">
        <v>0</v>
      </c>
      <c r="G116" s="28">
        <f>SUM(D116:F116)</f>
        <v>1200</v>
      </c>
      <c r="H116" s="164">
        <v>0</v>
      </c>
      <c r="I116" s="113">
        <v>0</v>
      </c>
      <c r="J116" s="125">
        <v>0</v>
      </c>
      <c r="K116" s="113">
        <v>0</v>
      </c>
      <c r="L116" s="113">
        <v>0</v>
      </c>
      <c r="M116" s="113">
        <v>0</v>
      </c>
      <c r="N116" s="28">
        <f>G116-SUM(H116:M116)</f>
        <v>1200</v>
      </c>
      <c r="O116" s="28">
        <f>SUM(V116:Y116)</f>
        <v>1200</v>
      </c>
      <c r="P116" s="28">
        <f>O116-N116</f>
        <v>0</v>
      </c>
      <c r="Q116" s="61" t="str">
        <f>IF(ISERROR(P116/SUM(H116:L116)),"",P116/SUM(H116:L116))</f>
        <v/>
      </c>
      <c r="R116" s="113">
        <v>400</v>
      </c>
      <c r="S116" s="28">
        <f>IF(ISERROR(P116/C116*R116),0,(P116/C116*R116))</f>
        <v>0</v>
      </c>
      <c r="T116" s="60">
        <f>IF(ISERROR(P116/B116*AF116),0,(P116/B116*AF116))</f>
        <v>0</v>
      </c>
      <c r="V116" s="113">
        <f>15*30</f>
        <v>450</v>
      </c>
      <c r="W116" s="113">
        <f>1*750</f>
        <v>750</v>
      </c>
      <c r="X116" s="113">
        <v>0</v>
      </c>
      <c r="Y116" s="113">
        <v>0</v>
      </c>
      <c r="AA116" s="113">
        <f>15*30</f>
        <v>450</v>
      </c>
      <c r="AB116" s="113">
        <f>1*750</f>
        <v>750</v>
      </c>
      <c r="AC116" s="113">
        <v>0</v>
      </c>
      <c r="AD116" s="113">
        <v>0</v>
      </c>
      <c r="AF116" s="162">
        <f>83800.25/12</f>
        <v>6983.354166666667</v>
      </c>
      <c r="AG116" s="28">
        <f>G116-O116</f>
        <v>0</v>
      </c>
      <c r="AH116" s="58">
        <f>IF(ISERROR(AG116/B116*AF116),0,(AG116/B116*AF116))</f>
        <v>0</v>
      </c>
      <c r="AI116" s="28">
        <f>SUM(H116:M116)</f>
        <v>0</v>
      </c>
      <c r="AJ116" s="28">
        <f>IF(ISERROR(AI116/B116*AF116),0,(AI116/B116*AF116))</f>
        <v>0</v>
      </c>
      <c r="AK116" s="58">
        <f>IF(ISERROR(O116/B116*AF116),0,(O116/B116*AF116))</f>
        <v>11173.366666666669</v>
      </c>
      <c r="AL116" s="28">
        <f>IF(ISERROR(H116/B116*AF116),0,(H116/B116*AF116))</f>
        <v>0</v>
      </c>
      <c r="AN116" s="51" t="str">
        <f>A116</f>
        <v xml:space="preserve">Laphroaig Single malt </v>
      </c>
      <c r="AO116" s="57">
        <f>IF(ISERROR(IF(B116=C116,D116/C116,(INT(D116/B116)+(((D116-B116*INT(D116/B116)))/C116)/100))),0,(IF(B116=C116,D116/C116,(INT(D116/B116)+(((D116-B116*INT(D116/B116)))/C116)/100))))</f>
        <v>1.1499999999999999</v>
      </c>
      <c r="AP116" s="57">
        <f>IF(ISERROR(IF(B116=C116,E116/C116,(INT(E116/B116)+(((E116-B116*INT(E116/B116)))/C116)/100))),0,(IF(B116=C116,E116/C116,(INT(E116/B116)+(((E116-B116*INT(E116/B116)))/C116)/100))))</f>
        <v>0</v>
      </c>
      <c r="AQ116" s="57">
        <f>IF(ISERROR(IF(B116=C116,F116/C116,IF((INT(F116/B116)+(((F116-B116*INT(F116/B116)))/C116)/100)&lt;0,(INT(F116/B116)+(((F116-B116*INT(F116/B116)))/C116)/100)+(1-(B116/C116/100)),(INT(F116/B116)+(((F116-B116*INT(F116/B116)))/C116)/100)))),0,IF(B116=C116,F116/C116,IF((INT(F116/B116)+(((F116-B116*INT(F116/B116)))/C116)/100)&lt;0,(INT(F116/B116)+(((F116-B116*INT(F116/B116)))/C116)/100)+(1-(B116/C116/100)),(INT(F116/B116)+(((F116-B116*INT(F116/B116)))/C116)/100))))</f>
        <v>0</v>
      </c>
      <c r="AR116" s="57">
        <f>IF(ISERROR(IF(B116=C116,G116/C116,(INT(G116/B116)+(((G116-B116*INT(G116/B116)))/C116)/100))),0,(IF(B116=C116,G116/C116,(INT(G116/B116)+(((G116-B116*INT(G116/B116)))/C116)/100))))</f>
        <v>1.1499999999999999</v>
      </c>
      <c r="AS116" s="57">
        <f>IF(ISERROR(IF(B116=C116,H116/C116,(INT(H116/B116)+(((H116-B116*INT(H116/B116)))/C116)/100))),0,(IF(B116=C116,H116/C116,(INT(H116/B116)+(((H116-B116*INT(H116/B116)))/C116)/100))))</f>
        <v>0</v>
      </c>
      <c r="AT116" s="57">
        <f>IF(ISERROR(IF(B116=C116,I116/C116,(INT(I116/B116)+(((I116-B116*INT(I116/B116)))/C116)/100))),0,(IF(B116=C116,I116/C116,(INT(I116/B116)+(((I116-B116*INT(I116/B116)))/C116)/100))))</f>
        <v>0</v>
      </c>
      <c r="AU116" s="57">
        <f>IF(ISERROR(IF(B116=C116,J116/C116,(INT(J116/B116)+(((J116-B116*INT(J116/B116)))/C116)/100))),0,(IF(B116=C116,J116/C116,(INT(J116/B116)+(((J116-B116*INT(J116/B116)))/C116)/100))))</f>
        <v>0</v>
      </c>
      <c r="AV116" s="57">
        <f>IF(ISERROR(IF(B116=C116,K116/C116,IF((INT(K116/B116)+(((K116-B116*INT(K116/B116)))/C116)/100)&lt;0,(INT(K116/B116)+(((K116-B116*INT(K116/B116)))/C116)/100)+(1-(B116/C116/100)),(INT(K116/B116)+(((K116-B116*INT(K116/B116)))/C116)/100)))),0,IF(B116=C116,K116/C116,IF((INT(K116/B116)+(((K116-B116*INT(K116/B116)))/C116)/100)&lt;0,(INT(K116/B116)+(((K116-B116*INT(K116/B116)))/C116)/100)+(1-(B116/C116/100)),(INT(K116/B116)+(((K116-B116*INT(K116/B116)))/C116)/100))))</f>
        <v>0</v>
      </c>
      <c r="AW116" s="57">
        <f>IF(ISERROR(IF(B116=C116,L116/C116,(INT(L116/B116)+(((L116-B116*INT(L116/B116)))/C116)/100))),0,(IF(B116=C116,L116/C116,(INT(L116/B116)+(((L116-B116*INT(L116/B116)))/C116)/100))))</f>
        <v>0</v>
      </c>
      <c r="AX116" s="57">
        <f>IF(ISERROR(IF(B116=C116,M116/C116,(INT(M116/B116)+(((M116-B116*INT(M116/B116)))/C116)/100))),0,(IF(B116=C116,M116/C116,(INT(M116/B116)+(((M116-B116*INT(M116/B116)))/C116)/100))))</f>
        <v>0</v>
      </c>
      <c r="AY116" s="57">
        <f>IF(ISERROR(IF(B116=C116,N116/C116,IF((INT(N116/B116)+(((N116-B116*INT(N116/B116)))/C116)/100)&lt;0,(INT(N116/B116)+(((N116-B116*INT(N116/B116)))/C116)/100)+(1-(B116/C116/100)),(INT(N116/B116)+(((N116-B116*INT(N116/B116)))/C116)/100)))),0,IF(B116=C116,N116/C116,IF((INT(N116/B116)+(((N116-B116*INT(N116/B116)))/C116)/100)&lt;0,(INT(N116/B116)+(((N116-B116*INT(N116/B116)))/C116)/100)+(1-(B116/C116/100)),(INT(N116/B116)+(((N116-B116*INT(N116/B116)))/C116)/100))))</f>
        <v>1.1499999999999999</v>
      </c>
      <c r="AZ116" s="57">
        <f>IF(ISERROR(IF(B116=C116,O116/C116,(INT(O116/B116)+(((O116-B116*INT(O116/B116)))/C116)/100))),0,(IF(B116=C116,O116/C116,(INT(O116/B116)+(((O116-B116*INT(O116/B116)))/C116)/100))))</f>
        <v>1.1499999999999999</v>
      </c>
      <c r="BA116" s="57">
        <f>IF(ISERROR(IF(B116=C116,P116/C116,IF((INT(P116/B116)+(((P116-B116*INT(P116/B116)))/C116)/100)&lt;0,(INT(P116/B116)+(((P116-B116*INT(P116/B116)))/C116)/100)+(1-(B116/C116/100)),(INT(P116/B116)+(((P116-B116*INT(P116/B116)))/C116)/100)))),0,IF(B116=C116,P116/C116,IF((INT(P116/B116)+(((P116-B116*INT(P116/B116)))/C116)/100)&lt;0,(INT(P116/B116)+(((P116-B116*INT(P116/B116)))/C116)/100)+(1-(B116/C116/100)),(INT(P116/B116)+(((P116-B116*INT(P116/B116)))/C116)/100))))</f>
        <v>0</v>
      </c>
      <c r="BB116" s="28">
        <f>R116</f>
        <v>400</v>
      </c>
      <c r="BC116" s="28">
        <f>S116</f>
        <v>0</v>
      </c>
      <c r="BD116" s="28">
        <f>AF116</f>
        <v>6983.354166666667</v>
      </c>
      <c r="BE116" s="28">
        <f>T116</f>
        <v>0</v>
      </c>
      <c r="BG116" s="57">
        <f>IF(ISERROR(IF(B116=C116,V116/C116,(INT(V116/B116)+(((V116-B116*INT(V116/B116)))/C116)/100))),0,(IF(B116=C116,V116/C116,(INT(V116/B116)+(((V116-B116*INT(V116/B116)))/C116)/100))))</f>
        <v>0.15</v>
      </c>
      <c r="BH116" s="57">
        <f>IF(ISERROR(IF(B116=C116,W116/C116,(INT(W116/B116)+(((W116-B116*INT(W116/B116)))/C116)/100))),0,(IF(B116=C116,W116/C116,(INT(W116/B116)+(((W116-B116*INT(W116/B116)))/C116)/100))))</f>
        <v>1</v>
      </c>
      <c r="BI116" s="57">
        <f>IF(ISERROR(IF(B116=C116,X116/C116,(INT(X116/B116)+(((X116-B116*INT(X116/B116)))/C116)/100))),0,(IF(B116=C116,X116/C116,(INT(X116/B116)+(((X116-B116*INT(X116/B116)))/C116)/100))))</f>
        <v>0</v>
      </c>
      <c r="BJ116" s="57">
        <f>IF(ISERROR(IF(B116=C116,Y116/C116,(INT(Y116/B116)+(((Y116-B116*INT(Y116/B116)))/C116)/100))),0,(IF(B116=C116,Y116/C116,(INT(Y116/B116)+(((Y116-B116*INT(Y116/B116)))/C116)/100))))</f>
        <v>0</v>
      </c>
      <c r="BL116" s="57">
        <f>IF(ISERROR(IF(B116=C116,AA116/C116,(INT(AA116/B116)+(((AA116-B116*INT(AA116/B116)))/C116)/100))),0,(IF(B116=C116,AA116/C116,(INT(AA116/B116)+(((AA116-B116*INT(AA116/B116)))/C116)/100))))</f>
        <v>0.15</v>
      </c>
      <c r="BM116" s="57">
        <f>IF(ISERROR(IF(B116=C116,AB116/C116,(INT(AB116/B116)+(((AB116-B116*INT(AB116/B116)))/C116)/100))),0,(IF(B116=C116,AB116/C116,(INT(AB116/B116)+(((AB116-B116*INT(AB116/B116)))/C116)/100))))</f>
        <v>1</v>
      </c>
      <c r="BN116" s="57">
        <f>IF(ISERROR(IF(B116=C116,AC116/C116,(INT(AC116/B116)+(((AC116-B116*INT(AC116/B116)))/C116)/100))),0,(IF(B116=C116,AC116/C116,(INT(AC116/B116)+(((AC116-B116*INT(AC116/B116)))/C116)/100))))</f>
        <v>0</v>
      </c>
      <c r="BO116" s="57">
        <f>IF(ISERROR(IF(B116=C116,AD116/C116,(INT(AD116/B116)+(((AD116-B116*INT(AD116/B116)))/C116)/100))),0,(IF(B116=C116,AD116/C116,(INT(AD116/B116)+(((AD116-B116*INT(AD116/B116)))/C116)/100))))</f>
        <v>0</v>
      </c>
      <c r="BQ116" s="155" t="s">
        <v>215</v>
      </c>
    </row>
    <row r="117" spans="1:69" hidden="1" x14ac:dyDescent="0.35">
      <c r="A117" s="94" t="s">
        <v>260</v>
      </c>
      <c r="B117" s="113">
        <v>750</v>
      </c>
      <c r="C117" s="113">
        <v>30</v>
      </c>
      <c r="D117" s="28">
        <f>SUM(AA117:AD117)</f>
        <v>0</v>
      </c>
      <c r="E117" s="113">
        <v>0</v>
      </c>
      <c r="F117" s="113">
        <v>0</v>
      </c>
      <c r="G117" s="28">
        <f>SUM(D117:F117)</f>
        <v>0</v>
      </c>
      <c r="H117" s="125">
        <v>0</v>
      </c>
      <c r="I117" s="113">
        <v>0</v>
      </c>
      <c r="J117" s="125">
        <v>0</v>
      </c>
      <c r="K117" s="113">
        <v>0</v>
      </c>
      <c r="L117" s="113">
        <v>0</v>
      </c>
      <c r="M117" s="113">
        <v>0</v>
      </c>
      <c r="N117" s="28">
        <f>G117-SUM(H117:M117)</f>
        <v>0</v>
      </c>
      <c r="O117" s="28">
        <f>SUM(V117:Y117)</f>
        <v>0</v>
      </c>
      <c r="P117" s="28">
        <f>O117-N117</f>
        <v>0</v>
      </c>
      <c r="Q117" s="61" t="str">
        <f>IF(ISERROR(P117/SUM(H117:L117)),"",P117/SUM(H117:L117))</f>
        <v/>
      </c>
      <c r="R117" s="113">
        <v>400</v>
      </c>
      <c r="S117" s="28">
        <f>IF(ISERROR(P117/C117*R117),0,(P117/C117*R117))</f>
        <v>0</v>
      </c>
      <c r="T117" s="60">
        <f>IF(ISERROR(P117/B117*AF117),0,(P117/B117*AF117))</f>
        <v>0</v>
      </c>
      <c r="V117" s="113">
        <v>0</v>
      </c>
      <c r="W117" s="113">
        <v>0</v>
      </c>
      <c r="X117" s="113">
        <v>0</v>
      </c>
      <c r="Y117" s="113">
        <v>0</v>
      </c>
      <c r="AA117" s="113">
        <v>0</v>
      </c>
      <c r="AB117" s="113">
        <v>0</v>
      </c>
      <c r="AC117" s="113">
        <v>0</v>
      </c>
      <c r="AD117" s="113">
        <v>0</v>
      </c>
      <c r="AF117" s="155">
        <v>7407.9611458333338</v>
      </c>
      <c r="AG117" s="28">
        <f>G117-O117</f>
        <v>0</v>
      </c>
      <c r="AH117" s="58">
        <f>IF(ISERROR(AG117/B117*AF117),0,(AG117/B117*AF117))</f>
        <v>0</v>
      </c>
      <c r="AI117" s="28">
        <f>SUM(H117:M117)</f>
        <v>0</v>
      </c>
      <c r="AJ117" s="28">
        <f>IF(ISERROR(AI117/B117*AF117),0,(AI117/B117*AF117))</f>
        <v>0</v>
      </c>
      <c r="AK117" s="58">
        <f>IF(ISERROR(O117/B117*AF117),0,(O117/B117*AF117))</f>
        <v>0</v>
      </c>
      <c r="AL117" s="28">
        <f>IF(ISERROR(H117/B117*AF117),0,(H117/B117*AF117))</f>
        <v>0</v>
      </c>
      <c r="AN117" s="51" t="str">
        <f>A117</f>
        <v xml:space="preserve">Oban Single Malt Scotch Whisky </v>
      </c>
      <c r="AO117" s="57">
        <f>IF(ISERROR(IF(B117=C117,D117/C117,(INT(D117/B117)+(((D117-B117*INT(D117/B117)))/C117)/100))),0,(IF(B117=C117,D117/C117,(INT(D117/B117)+(((D117-B117*INT(D117/B117)))/C117)/100))))</f>
        <v>0</v>
      </c>
      <c r="AP117" s="57">
        <f>IF(ISERROR(IF(B117=C117,E117/C117,(INT(E117/B117)+(((E117-B117*INT(E117/B117)))/C117)/100))),0,(IF(B117=C117,E117/C117,(INT(E117/B117)+(((E117-B117*INT(E117/B117)))/C117)/100))))</f>
        <v>0</v>
      </c>
      <c r="AQ117" s="57">
        <f>IF(ISERROR(IF(B117=C117,F117/C117,IF((INT(F117/B117)+(((F117-B117*INT(F117/B117)))/C117)/100)&lt;0,(INT(F117/B117)+(((F117-B117*INT(F117/B117)))/C117)/100)+(1-(B117/C117/100)),(INT(F117/B117)+(((F117-B117*INT(F117/B117)))/C117)/100)))),0,IF(B117=C117,F117/C117,IF((INT(F117/B117)+(((F117-B117*INT(F117/B117)))/C117)/100)&lt;0,(INT(F117/B117)+(((F117-B117*INT(F117/B117)))/C117)/100)+(1-(B117/C117/100)),(INT(F117/B117)+(((F117-B117*INT(F117/B117)))/C117)/100))))</f>
        <v>0</v>
      </c>
      <c r="AR117" s="57">
        <f>IF(ISERROR(IF(B117=C117,G117/C117,(INT(G117/B117)+(((G117-B117*INT(G117/B117)))/C117)/100))),0,(IF(B117=C117,G117/C117,(INT(G117/B117)+(((G117-B117*INT(G117/B117)))/C117)/100))))</f>
        <v>0</v>
      </c>
      <c r="AS117" s="57">
        <f>IF(ISERROR(IF(B117=C117,H117/C117,(INT(H117/B117)+(((H117-B117*INT(H117/B117)))/C117)/100))),0,(IF(B117=C117,H117/C117,(INT(H117/B117)+(((H117-B117*INT(H117/B117)))/C117)/100))))</f>
        <v>0</v>
      </c>
      <c r="AT117" s="57">
        <f>IF(ISERROR(IF(B117=C117,I117/C117,(INT(I117/B117)+(((I117-B117*INT(I117/B117)))/C117)/100))),0,(IF(B117=C117,I117/C117,(INT(I117/B117)+(((I117-B117*INT(I117/B117)))/C117)/100))))</f>
        <v>0</v>
      </c>
      <c r="AU117" s="57">
        <f>IF(ISERROR(IF(B117=C117,J117/C117,(INT(J117/B117)+(((J117-B117*INT(J117/B117)))/C117)/100))),0,(IF(B117=C117,J117/C117,(INT(J117/B117)+(((J117-B117*INT(J117/B117)))/C117)/100))))</f>
        <v>0</v>
      </c>
      <c r="AV117" s="57">
        <f>IF(ISERROR(IF(B117=C117,K117/C117,IF((INT(K117/B117)+(((K117-B117*INT(K117/B117)))/C117)/100)&lt;0,(INT(K117/B117)+(((K117-B117*INT(K117/B117)))/C117)/100)+(1-(B117/C117/100)),(INT(K117/B117)+(((K117-B117*INT(K117/B117)))/C117)/100)))),0,IF(B117=C117,K117/C117,IF((INT(K117/B117)+(((K117-B117*INT(K117/B117)))/C117)/100)&lt;0,(INT(K117/B117)+(((K117-B117*INT(K117/B117)))/C117)/100)+(1-(B117/C117/100)),(INT(K117/B117)+(((K117-B117*INT(K117/B117)))/C117)/100))))</f>
        <v>0</v>
      </c>
      <c r="AW117" s="57">
        <f>IF(ISERROR(IF(B117=C117,L117/C117,(INT(L117/B117)+(((L117-B117*INT(L117/B117)))/C117)/100))),0,(IF(B117=C117,L117/C117,(INT(L117/B117)+(((L117-B117*INT(L117/B117)))/C117)/100))))</f>
        <v>0</v>
      </c>
      <c r="AX117" s="57">
        <f>IF(ISERROR(IF(B117=C117,M117/C117,(INT(M117/B117)+(((M117-B117*INT(M117/B117)))/C117)/100))),0,(IF(B117=C117,M117/C117,(INT(M117/B117)+(((M117-B117*INT(M117/B117)))/C117)/100))))</f>
        <v>0</v>
      </c>
      <c r="AY117" s="57">
        <f>IF(ISERROR(IF(B117=C117,N117/C117,IF((INT(N117/B117)+(((N117-B117*INT(N117/B117)))/C117)/100)&lt;0,(INT(N117/B117)+(((N117-B117*INT(N117/B117)))/C117)/100)+(1-(B117/C117/100)),(INT(N117/B117)+(((N117-B117*INT(N117/B117)))/C117)/100)))),0,IF(B117=C117,N117/C117,IF((INT(N117/B117)+(((N117-B117*INT(N117/B117)))/C117)/100)&lt;0,(INT(N117/B117)+(((N117-B117*INT(N117/B117)))/C117)/100)+(1-(B117/C117/100)),(INT(N117/B117)+(((N117-B117*INT(N117/B117)))/C117)/100))))</f>
        <v>0</v>
      </c>
      <c r="AZ117" s="57">
        <f>IF(ISERROR(IF(B117=C117,O117/C117,(INT(O117/B117)+(((O117-B117*INT(O117/B117)))/C117)/100))),0,(IF(B117=C117,O117/C117,(INT(O117/B117)+(((O117-B117*INT(O117/B117)))/C117)/100))))</f>
        <v>0</v>
      </c>
      <c r="BA117" s="57">
        <f>IF(ISERROR(IF(B117=C117,P117/C117,IF((INT(P117/B117)+(((P117-B117*INT(P117/B117)))/C117)/100)&lt;0,(INT(P117/B117)+(((P117-B117*INT(P117/B117)))/C117)/100)+(1-(B117/C117/100)),(INT(P117/B117)+(((P117-B117*INT(P117/B117)))/C117)/100)))),0,IF(B117=C117,P117/C117,IF((INT(P117/B117)+(((P117-B117*INT(P117/B117)))/C117)/100)&lt;0,(INT(P117/B117)+(((P117-B117*INT(P117/B117)))/C117)/100)+(1-(B117/C117/100)),(INT(P117/B117)+(((P117-B117*INT(P117/B117)))/C117)/100))))</f>
        <v>0</v>
      </c>
      <c r="BB117" s="28">
        <f>R117</f>
        <v>400</v>
      </c>
      <c r="BC117" s="28">
        <f>S117</f>
        <v>0</v>
      </c>
      <c r="BD117" s="28">
        <f>AF117</f>
        <v>7407.9611458333338</v>
      </c>
      <c r="BE117" s="28">
        <f>T117</f>
        <v>0</v>
      </c>
      <c r="BG117" s="57">
        <f>IF(ISERROR(IF(B117=C117,V117/C117,(INT(V117/B117)+(((V117-B117*INT(V117/B117)))/C117)/100))),0,(IF(B117=C117,V117/C117,(INT(V117/B117)+(((V117-B117*INT(V117/B117)))/C117)/100))))</f>
        <v>0</v>
      </c>
      <c r="BH117" s="57">
        <f>IF(ISERROR(IF(B117=C117,W117/C117,(INT(W117/B117)+(((W117-B117*INT(W117/B117)))/C117)/100))),0,(IF(B117=C117,W117/C117,(INT(W117/B117)+(((W117-B117*INT(W117/B117)))/C117)/100))))</f>
        <v>0</v>
      </c>
      <c r="BI117" s="57">
        <f>IF(ISERROR(IF(B117=C117,X117/C117,(INT(X117/B117)+(((X117-B117*INT(X117/B117)))/C117)/100))),0,(IF(B117=C117,X117/C117,(INT(X117/B117)+(((X117-B117*INT(X117/B117)))/C117)/100))))</f>
        <v>0</v>
      </c>
      <c r="BJ117" s="57">
        <f>IF(ISERROR(IF(B117=C117,Y117/C117,(INT(Y117/B117)+(((Y117-B117*INT(Y117/B117)))/C117)/100))),0,(IF(B117=C117,Y117/C117,(INT(Y117/B117)+(((Y117-B117*INT(Y117/B117)))/C117)/100))))</f>
        <v>0</v>
      </c>
      <c r="BL117" s="57">
        <f>IF(ISERROR(IF(B117=C117,AA117/C117,(INT(AA117/B117)+(((AA117-B117*INT(AA117/B117)))/C117)/100))),0,(IF(B117=C117,AA117/C117,(INT(AA117/B117)+(((AA117-B117*INT(AA117/B117)))/C117)/100))))</f>
        <v>0</v>
      </c>
      <c r="BM117" s="57">
        <f>IF(ISERROR(IF(B117=C117,AB117/C117,(INT(AB117/B117)+(((AB117-B117*INT(AB117/B117)))/C117)/100))),0,(IF(B117=C117,AB117/C117,(INT(AB117/B117)+(((AB117-B117*INT(AB117/B117)))/C117)/100))))</f>
        <v>0</v>
      </c>
      <c r="BN117" s="57">
        <f>IF(ISERROR(IF(B117=C117,AC117/C117,(INT(AC117/B117)+(((AC117-B117*INT(AC117/B117)))/C117)/100))),0,(IF(B117=C117,AC117/C117,(INT(AC117/B117)+(((AC117-B117*INT(AC117/B117)))/C117)/100))))</f>
        <v>0</v>
      </c>
      <c r="BO117" s="57">
        <f>IF(ISERROR(IF(B117=C117,AD117/C117,(INT(AD117/B117)+(((AD117-B117*INT(AD117/B117)))/C117)/100))),0,(IF(B117=C117,AD117/C117,(INT(AD117/B117)+(((AD117-B117*INT(AD117/B117)))/C117)/100))))</f>
        <v>0</v>
      </c>
      <c r="BQ117" s="155" t="s">
        <v>232</v>
      </c>
    </row>
    <row r="118" spans="1:69" x14ac:dyDescent="0.35">
      <c r="A118" s="134" t="s">
        <v>282</v>
      </c>
      <c r="B118" s="113">
        <v>750</v>
      </c>
      <c r="C118" s="113">
        <v>30</v>
      </c>
      <c r="D118" s="28">
        <f>SUM(AA118:AD118)</f>
        <v>30</v>
      </c>
      <c r="E118" s="113">
        <v>0</v>
      </c>
      <c r="F118" s="113">
        <v>0</v>
      </c>
      <c r="G118" s="28">
        <f>SUM(D118:F118)</f>
        <v>30</v>
      </c>
      <c r="H118" s="164">
        <v>0</v>
      </c>
      <c r="I118" s="113">
        <v>0</v>
      </c>
      <c r="J118" s="125">
        <v>0</v>
      </c>
      <c r="K118" s="113">
        <v>0</v>
      </c>
      <c r="L118" s="113">
        <v>0</v>
      </c>
      <c r="M118" s="113">
        <v>0</v>
      </c>
      <c r="N118" s="28">
        <f>G118-SUM(H118:M118)</f>
        <v>30</v>
      </c>
      <c r="O118" s="28">
        <f>SUM(V118:Y118)</f>
        <v>30</v>
      </c>
      <c r="P118" s="28">
        <f>O118-N118</f>
        <v>0</v>
      </c>
      <c r="Q118" s="61" t="str">
        <f>IF(ISERROR(P118/SUM(H118:L118)),"",P118/SUM(H118:L118))</f>
        <v/>
      </c>
      <c r="R118" s="113">
        <v>650</v>
      </c>
      <c r="S118" s="28">
        <f>IF(ISERROR(P118/C118*R118),0,(P118/C118*R118))</f>
        <v>0</v>
      </c>
      <c r="T118" s="60">
        <f>IF(ISERROR(P118/B118*AF118),0,(P118/B118*AF118))</f>
        <v>0</v>
      </c>
      <c r="V118" s="113">
        <v>30</v>
      </c>
      <c r="W118" s="113">
        <v>0</v>
      </c>
      <c r="X118" s="113">
        <v>0</v>
      </c>
      <c r="Y118" s="113">
        <v>0</v>
      </c>
      <c r="AA118" s="113">
        <v>30</v>
      </c>
      <c r="AB118" s="113">
        <v>0</v>
      </c>
      <c r="AC118" s="113">
        <v>0</v>
      </c>
      <c r="AD118" s="113">
        <v>0</v>
      </c>
      <c r="AF118" s="155">
        <v>6378.3272916666674</v>
      </c>
      <c r="AG118" s="28">
        <f>G118-O118</f>
        <v>0</v>
      </c>
      <c r="AH118" s="58">
        <f>IF(ISERROR(AG118/B118*AF118),0,(AG118/B118*AF118))</f>
        <v>0</v>
      </c>
      <c r="AI118" s="28">
        <f>SUM(H118:M118)</f>
        <v>0</v>
      </c>
      <c r="AJ118" s="28">
        <f>IF(ISERROR(AI118/B118*AF118),0,(AI118/B118*AF118))</f>
        <v>0</v>
      </c>
      <c r="AK118" s="58">
        <f>IF(ISERROR(O118/B118*AF118),0,(O118/B118*AF118))</f>
        <v>255.1330916666667</v>
      </c>
      <c r="AL118" s="28">
        <f>IF(ISERROR(H118/B118*AF118),0,(H118/B118*AF118))</f>
        <v>0</v>
      </c>
      <c r="AN118" s="51" t="str">
        <f>A118</f>
        <v xml:space="preserve">Ron Zacapa Rum </v>
      </c>
      <c r="AO118" s="57">
        <f>IF(ISERROR(IF(B118=C118,D118/C118,(INT(D118/B118)+(((D118-B118*INT(D118/B118)))/C118)/100))),0,(IF(B118=C118,D118/C118,(INT(D118/B118)+(((D118-B118*INT(D118/B118)))/C118)/100))))</f>
        <v>0.01</v>
      </c>
      <c r="AP118" s="57">
        <f>IF(ISERROR(IF(B118=C118,E118/C118,(INT(E118/B118)+(((E118-B118*INT(E118/B118)))/C118)/100))),0,(IF(B118=C118,E118/C118,(INT(E118/B118)+(((E118-B118*INT(E118/B118)))/C118)/100))))</f>
        <v>0</v>
      </c>
      <c r="AQ118" s="57">
        <f>IF(ISERROR(IF(B118=C118,F118/C118,IF((INT(F118/B118)+(((F118-B118*INT(F118/B118)))/C118)/100)&lt;0,(INT(F118/B118)+(((F118-B118*INT(F118/B118)))/C118)/100)+(1-(B118/C118/100)),(INT(F118/B118)+(((F118-B118*INT(F118/B118)))/C118)/100)))),0,IF(B118=C118,F118/C118,IF((INT(F118/B118)+(((F118-B118*INT(F118/B118)))/C118)/100)&lt;0,(INT(F118/B118)+(((F118-B118*INT(F118/B118)))/C118)/100)+(1-(B118/C118/100)),(INT(F118/B118)+(((F118-B118*INT(F118/B118)))/C118)/100))))</f>
        <v>0</v>
      </c>
      <c r="AR118" s="57">
        <f>IF(ISERROR(IF(B118=C118,G118/C118,(INT(G118/B118)+(((G118-B118*INT(G118/B118)))/C118)/100))),0,(IF(B118=C118,G118/C118,(INT(G118/B118)+(((G118-B118*INT(G118/B118)))/C118)/100))))</f>
        <v>0.01</v>
      </c>
      <c r="AS118" s="57">
        <f>IF(ISERROR(IF(B118=C118,H118/C118,(INT(H118/B118)+(((H118-B118*INT(H118/B118)))/C118)/100))),0,(IF(B118=C118,H118/C118,(INT(H118/B118)+(((H118-B118*INT(H118/B118)))/C118)/100))))</f>
        <v>0</v>
      </c>
      <c r="AT118" s="57">
        <f>IF(ISERROR(IF(B118=C118,I118/C118,(INT(I118/B118)+(((I118-B118*INT(I118/B118)))/C118)/100))),0,(IF(B118=C118,I118/C118,(INT(I118/B118)+(((I118-B118*INT(I118/B118)))/C118)/100))))</f>
        <v>0</v>
      </c>
      <c r="AU118" s="57">
        <f>IF(ISERROR(IF(B118=C118,J118/C118,(INT(J118/B118)+(((J118-B118*INT(J118/B118)))/C118)/100))),0,(IF(B118=C118,J118/C118,(INT(J118/B118)+(((J118-B118*INT(J118/B118)))/C118)/100))))</f>
        <v>0</v>
      </c>
      <c r="AV118" s="57">
        <f>IF(ISERROR(IF(B118=C118,K118/C118,IF((INT(K118/B118)+(((K118-B118*INT(K118/B118)))/C118)/100)&lt;0,(INT(K118/B118)+(((K118-B118*INT(K118/B118)))/C118)/100)+(1-(B118/C118/100)),(INT(K118/B118)+(((K118-B118*INT(K118/B118)))/C118)/100)))),0,IF(B118=C118,K118/C118,IF((INT(K118/B118)+(((K118-B118*INT(K118/B118)))/C118)/100)&lt;0,(INT(K118/B118)+(((K118-B118*INT(K118/B118)))/C118)/100)+(1-(B118/C118/100)),(INT(K118/B118)+(((K118-B118*INT(K118/B118)))/C118)/100))))</f>
        <v>0</v>
      </c>
      <c r="AW118" s="57">
        <f>IF(ISERROR(IF(B118=C118,L118/C118,(INT(L118/B118)+(((L118-B118*INT(L118/B118)))/C118)/100))),0,(IF(B118=C118,L118/C118,(INT(L118/B118)+(((L118-B118*INT(L118/B118)))/C118)/100))))</f>
        <v>0</v>
      </c>
      <c r="AX118" s="57">
        <f>IF(ISERROR(IF(B118=C118,M118/C118,(INT(M118/B118)+(((M118-B118*INT(M118/B118)))/C118)/100))),0,(IF(B118=C118,M118/C118,(INT(M118/B118)+(((M118-B118*INT(M118/B118)))/C118)/100))))</f>
        <v>0</v>
      </c>
      <c r="AY118" s="57">
        <f>IF(ISERROR(IF(B118=C118,N118/C118,IF((INT(N118/B118)+(((N118-B118*INT(N118/B118)))/C118)/100)&lt;0,(INT(N118/B118)+(((N118-B118*INT(N118/B118)))/C118)/100)+(1-(B118/C118/100)),(INT(N118/B118)+(((N118-B118*INT(N118/B118)))/C118)/100)))),0,IF(B118=C118,N118/C118,IF((INT(N118/B118)+(((N118-B118*INT(N118/B118)))/C118)/100)&lt;0,(INT(N118/B118)+(((N118-B118*INT(N118/B118)))/C118)/100)+(1-(B118/C118/100)),(INT(N118/B118)+(((N118-B118*INT(N118/B118)))/C118)/100))))</f>
        <v>0.01</v>
      </c>
      <c r="AZ118" s="57">
        <f>IF(ISERROR(IF(B118=C118,O118/C118,(INT(O118/B118)+(((O118-B118*INT(O118/B118)))/C118)/100))),0,(IF(B118=C118,O118/C118,(INT(O118/B118)+(((O118-B118*INT(O118/B118)))/C118)/100))))</f>
        <v>0.01</v>
      </c>
      <c r="BA118" s="57">
        <f>IF(ISERROR(IF(B118=C118,P118/C118,IF((INT(P118/B118)+(((P118-B118*INT(P118/B118)))/C118)/100)&lt;0,(INT(P118/B118)+(((P118-B118*INT(P118/B118)))/C118)/100)+(1-(B118/C118/100)),(INT(P118/B118)+(((P118-B118*INT(P118/B118)))/C118)/100)))),0,IF(B118=C118,P118/C118,IF((INT(P118/B118)+(((P118-B118*INT(P118/B118)))/C118)/100)&lt;0,(INT(P118/B118)+(((P118-B118*INT(P118/B118)))/C118)/100)+(1-(B118/C118/100)),(INT(P118/B118)+(((P118-B118*INT(P118/B118)))/C118)/100))))</f>
        <v>0</v>
      </c>
      <c r="BB118" s="28">
        <f>R118</f>
        <v>650</v>
      </c>
      <c r="BC118" s="28">
        <f>S118</f>
        <v>0</v>
      </c>
      <c r="BD118" s="28">
        <f>AF118</f>
        <v>6378.3272916666674</v>
      </c>
      <c r="BE118" s="28">
        <f>T118</f>
        <v>0</v>
      </c>
      <c r="BG118" s="57">
        <f>IF(ISERROR(IF(B118=C118,V118/C118,(INT(V118/B118)+(((V118-B118*INT(V118/B118)))/C118)/100))),0,(IF(B118=C118,V118/C118,(INT(V118/B118)+(((V118-B118*INT(V118/B118)))/C118)/100))))</f>
        <v>0.01</v>
      </c>
      <c r="BH118" s="57">
        <f>IF(ISERROR(IF(B118=C118,W118/C118,(INT(W118/B118)+(((W118-B118*INT(W118/B118)))/C118)/100))),0,(IF(B118=C118,W118/C118,(INT(W118/B118)+(((W118-B118*INT(W118/B118)))/C118)/100))))</f>
        <v>0</v>
      </c>
      <c r="BI118" s="57">
        <f>IF(ISERROR(IF(B118=C118,X118/C118,(INT(X118/B118)+(((X118-B118*INT(X118/B118)))/C118)/100))),0,(IF(B118=C118,X118/C118,(INT(X118/B118)+(((X118-B118*INT(X118/B118)))/C118)/100))))</f>
        <v>0</v>
      </c>
      <c r="BJ118" s="57">
        <f>IF(ISERROR(IF(B118=C118,Y118/C118,(INT(Y118/B118)+(((Y118-B118*INT(Y118/B118)))/C118)/100))),0,(IF(B118=C118,Y118/C118,(INT(Y118/B118)+(((Y118-B118*INT(Y118/B118)))/C118)/100))))</f>
        <v>0</v>
      </c>
      <c r="BL118" s="57">
        <f>IF(ISERROR(IF(B118=C118,AA118/C118,(INT(AA118/B118)+(((AA118-B118*INT(AA118/B118)))/C118)/100))),0,(IF(B118=C118,AA118/C118,(INT(AA118/B118)+(((AA118-B118*INT(AA118/B118)))/C118)/100))))</f>
        <v>0.01</v>
      </c>
      <c r="BM118" s="57">
        <f>IF(ISERROR(IF(B118=C118,AB118/C118,(INT(AB118/B118)+(((AB118-B118*INT(AB118/B118)))/C118)/100))),0,(IF(B118=C118,AB118/C118,(INT(AB118/B118)+(((AB118-B118*INT(AB118/B118)))/C118)/100))))</f>
        <v>0</v>
      </c>
      <c r="BN118" s="57">
        <f>IF(ISERROR(IF(B118=C118,AC118/C118,(INT(AC118/B118)+(((AC118-B118*INT(AC118/B118)))/C118)/100))),0,(IF(B118=C118,AC118/C118,(INT(AC118/B118)+(((AC118-B118*INT(AC118/B118)))/C118)/100))))</f>
        <v>0</v>
      </c>
      <c r="BO118" s="57">
        <f>IF(ISERROR(IF(B118=C118,AD118/C118,(INT(AD118/B118)+(((AD118-B118*INT(AD118/B118)))/C118)/100))),0,(IF(B118=C118,AD118/C118,(INT(AD118/B118)+(((AD118-B118*INT(AD118/B118)))/C118)/100))))</f>
        <v>0</v>
      </c>
      <c r="BQ118" s="155" t="s">
        <v>207</v>
      </c>
    </row>
    <row r="119" spans="1:69" x14ac:dyDescent="0.35">
      <c r="A119" s="134" t="s">
        <v>281</v>
      </c>
      <c r="B119" s="113">
        <v>750</v>
      </c>
      <c r="C119" s="113">
        <v>30</v>
      </c>
      <c r="D119" s="28">
        <f>SUM(AA119:AD119)</f>
        <v>0</v>
      </c>
      <c r="E119" s="113">
        <v>0</v>
      </c>
      <c r="F119" s="113">
        <v>0</v>
      </c>
      <c r="G119" s="28">
        <f>SUM(D119:F119)</f>
        <v>0</v>
      </c>
      <c r="H119" s="164">
        <v>0</v>
      </c>
      <c r="I119" s="113">
        <v>0</v>
      </c>
      <c r="J119" s="125">
        <v>0</v>
      </c>
      <c r="K119" s="113">
        <v>0</v>
      </c>
      <c r="L119" s="113">
        <v>0</v>
      </c>
      <c r="M119" s="113">
        <v>0</v>
      </c>
      <c r="N119" s="28">
        <f>G119-SUM(H119:M119)</f>
        <v>0</v>
      </c>
      <c r="O119" s="28">
        <f>SUM(V119:Y119)</f>
        <v>0</v>
      </c>
      <c r="P119" s="28">
        <f>O119-N119</f>
        <v>0</v>
      </c>
      <c r="Q119" s="61" t="str">
        <f>IF(ISERROR(P119/SUM(H119:L119)),"",P119/SUM(H119:L119))</f>
        <v/>
      </c>
      <c r="R119" s="113">
        <v>300</v>
      </c>
      <c r="S119" s="28">
        <f>IF(ISERROR(P119/C119*R119),0,(P119/C119*R119))</f>
        <v>0</v>
      </c>
      <c r="T119" s="60">
        <f>IF(ISERROR(P119/B119*AF119),0,(P119/B119*AF119))</f>
        <v>0</v>
      </c>
      <c r="V119" s="113">
        <v>0</v>
      </c>
      <c r="W119" s="113">
        <v>0</v>
      </c>
      <c r="X119" s="113">
        <v>0</v>
      </c>
      <c r="Y119" s="113">
        <v>0</v>
      </c>
      <c r="AA119" s="113">
        <v>0</v>
      </c>
      <c r="AB119" s="113">
        <v>0</v>
      </c>
      <c r="AC119" s="113">
        <v>0</v>
      </c>
      <c r="AD119" s="113">
        <v>0</v>
      </c>
      <c r="AF119" s="155">
        <v>3512.9124999999999</v>
      </c>
      <c r="AG119" s="28">
        <f>G119-O119</f>
        <v>0</v>
      </c>
      <c r="AH119" s="58">
        <f>IF(ISERROR(AG119/B119*AF119),0,(AG119/B119*AF119))</f>
        <v>0</v>
      </c>
      <c r="AI119" s="28">
        <f>SUM(H119:M119)</f>
        <v>0</v>
      </c>
      <c r="AJ119" s="28">
        <f>IF(ISERROR(AI119/B119*AF119),0,(AI119/B119*AF119))</f>
        <v>0</v>
      </c>
      <c r="AK119" s="58">
        <f>IF(ISERROR(O119/B119*AF119),0,(O119/B119*AF119))</f>
        <v>0</v>
      </c>
      <c r="AL119" s="28">
        <f>IF(ISERROR(H119/B119*AF119),0,(H119/B119*AF119))</f>
        <v>0</v>
      </c>
      <c r="AN119" s="51" t="str">
        <f>A119</f>
        <v xml:space="preserve">Sambuca Extra </v>
      </c>
      <c r="AO119" s="57">
        <f>IF(ISERROR(IF(B119=C119,D119/C119,(INT(D119/B119)+(((D119-B119*INT(D119/B119)))/C119)/100))),0,(IF(B119=C119,D119/C119,(INT(D119/B119)+(((D119-B119*INT(D119/B119)))/C119)/100))))</f>
        <v>0</v>
      </c>
      <c r="AP119" s="57">
        <f>IF(ISERROR(IF(B119=C119,E119/C119,(INT(E119/B119)+(((E119-B119*INT(E119/B119)))/C119)/100))),0,(IF(B119=C119,E119/C119,(INT(E119/B119)+(((E119-B119*INT(E119/B119)))/C119)/100))))</f>
        <v>0</v>
      </c>
      <c r="AQ119" s="57">
        <f>IF(ISERROR(IF(B119=C119,F119/C119,IF((INT(F119/B119)+(((F119-B119*INT(F119/B119)))/C119)/100)&lt;0,(INT(F119/B119)+(((F119-B119*INT(F119/B119)))/C119)/100)+(1-(B119/C119/100)),(INT(F119/B119)+(((F119-B119*INT(F119/B119)))/C119)/100)))),0,IF(B119=C119,F119/C119,IF((INT(F119/B119)+(((F119-B119*INT(F119/B119)))/C119)/100)&lt;0,(INT(F119/B119)+(((F119-B119*INT(F119/B119)))/C119)/100)+(1-(B119/C119/100)),(INT(F119/B119)+(((F119-B119*INT(F119/B119)))/C119)/100))))</f>
        <v>0</v>
      </c>
      <c r="AR119" s="57">
        <f>IF(ISERROR(IF(B119=C119,G119/C119,(INT(G119/B119)+(((G119-B119*INT(G119/B119)))/C119)/100))),0,(IF(B119=C119,G119/C119,(INT(G119/B119)+(((G119-B119*INT(G119/B119)))/C119)/100))))</f>
        <v>0</v>
      </c>
      <c r="AS119" s="57">
        <f>IF(ISERROR(IF(B119=C119,H119/C119,(INT(H119/B119)+(((H119-B119*INT(H119/B119)))/C119)/100))),0,(IF(B119=C119,H119/C119,(INT(H119/B119)+(((H119-B119*INT(H119/B119)))/C119)/100))))</f>
        <v>0</v>
      </c>
      <c r="AT119" s="57">
        <f>IF(ISERROR(IF(B119=C119,I119/C119,(INT(I119/B119)+(((I119-B119*INT(I119/B119)))/C119)/100))),0,(IF(B119=C119,I119/C119,(INT(I119/B119)+(((I119-B119*INT(I119/B119)))/C119)/100))))</f>
        <v>0</v>
      </c>
      <c r="AU119" s="57">
        <f>IF(ISERROR(IF(B119=C119,J119/C119,(INT(J119/B119)+(((J119-B119*INT(J119/B119)))/C119)/100))),0,(IF(B119=C119,J119/C119,(INT(J119/B119)+(((J119-B119*INT(J119/B119)))/C119)/100))))</f>
        <v>0</v>
      </c>
      <c r="AV119" s="57">
        <f>IF(ISERROR(IF(B119=C119,K119/C119,IF((INT(K119/B119)+(((K119-B119*INT(K119/B119)))/C119)/100)&lt;0,(INT(K119/B119)+(((K119-B119*INT(K119/B119)))/C119)/100)+(1-(B119/C119/100)),(INT(K119/B119)+(((K119-B119*INT(K119/B119)))/C119)/100)))),0,IF(B119=C119,K119/C119,IF((INT(K119/B119)+(((K119-B119*INT(K119/B119)))/C119)/100)&lt;0,(INT(K119/B119)+(((K119-B119*INT(K119/B119)))/C119)/100)+(1-(B119/C119/100)),(INT(K119/B119)+(((K119-B119*INT(K119/B119)))/C119)/100))))</f>
        <v>0</v>
      </c>
      <c r="AW119" s="57">
        <f>IF(ISERROR(IF(B119=C119,L119/C119,(INT(L119/B119)+(((L119-B119*INT(L119/B119)))/C119)/100))),0,(IF(B119=C119,L119/C119,(INT(L119/B119)+(((L119-B119*INT(L119/B119)))/C119)/100))))</f>
        <v>0</v>
      </c>
      <c r="AX119" s="57">
        <f>IF(ISERROR(IF(B119=C119,M119/C119,(INT(M119/B119)+(((M119-B119*INT(M119/B119)))/C119)/100))),0,(IF(B119=C119,M119/C119,(INT(M119/B119)+(((M119-B119*INT(M119/B119)))/C119)/100))))</f>
        <v>0</v>
      </c>
      <c r="AY119" s="57">
        <f>IF(ISERROR(IF(B119=C119,N119/C119,IF((INT(N119/B119)+(((N119-B119*INT(N119/B119)))/C119)/100)&lt;0,(INT(N119/B119)+(((N119-B119*INT(N119/B119)))/C119)/100)+(1-(B119/C119/100)),(INT(N119/B119)+(((N119-B119*INT(N119/B119)))/C119)/100)))),0,IF(B119=C119,N119/C119,IF((INT(N119/B119)+(((N119-B119*INT(N119/B119)))/C119)/100)&lt;0,(INT(N119/B119)+(((N119-B119*INT(N119/B119)))/C119)/100)+(1-(B119/C119/100)),(INT(N119/B119)+(((N119-B119*INT(N119/B119)))/C119)/100))))</f>
        <v>0</v>
      </c>
      <c r="AZ119" s="57">
        <f>IF(ISERROR(IF(B119=C119,O119/C119,(INT(O119/B119)+(((O119-B119*INT(O119/B119)))/C119)/100))),0,(IF(B119=C119,O119/C119,(INT(O119/B119)+(((O119-B119*INT(O119/B119)))/C119)/100))))</f>
        <v>0</v>
      </c>
      <c r="BA119" s="57">
        <f>IF(ISERROR(IF(B119=C119,P119/C119,IF((INT(P119/B119)+(((P119-B119*INT(P119/B119)))/C119)/100)&lt;0,(INT(P119/B119)+(((P119-B119*INT(P119/B119)))/C119)/100)+(1-(B119/C119/100)),(INT(P119/B119)+(((P119-B119*INT(P119/B119)))/C119)/100)))),0,IF(B119=C119,P119/C119,IF((INT(P119/B119)+(((P119-B119*INT(P119/B119)))/C119)/100)&lt;0,(INT(P119/B119)+(((P119-B119*INT(P119/B119)))/C119)/100)+(1-(B119/C119/100)),(INT(P119/B119)+(((P119-B119*INT(P119/B119)))/C119)/100))))</f>
        <v>0</v>
      </c>
      <c r="BB119" s="28">
        <f>R119</f>
        <v>300</v>
      </c>
      <c r="BC119" s="28">
        <f>S119</f>
        <v>0</v>
      </c>
      <c r="BD119" s="28">
        <f>AF119</f>
        <v>3512.9124999999999</v>
      </c>
      <c r="BE119" s="28">
        <f>T119</f>
        <v>0</v>
      </c>
      <c r="BG119" s="57">
        <f>IF(ISERROR(IF(B119=C119,V119/C119,(INT(V119/B119)+(((V119-B119*INT(V119/B119)))/C119)/100))),0,(IF(B119=C119,V119/C119,(INT(V119/B119)+(((V119-B119*INT(V119/B119)))/C119)/100))))</f>
        <v>0</v>
      </c>
      <c r="BH119" s="57">
        <f>IF(ISERROR(IF(B119=C119,W119/C119,(INT(W119/B119)+(((W119-B119*INT(W119/B119)))/C119)/100))),0,(IF(B119=C119,W119/C119,(INT(W119/B119)+(((W119-B119*INT(W119/B119)))/C119)/100))))</f>
        <v>0</v>
      </c>
      <c r="BI119" s="57">
        <f>IF(ISERROR(IF(B119=C119,X119/C119,(INT(X119/B119)+(((X119-B119*INT(X119/B119)))/C119)/100))),0,(IF(B119=C119,X119/C119,(INT(X119/B119)+(((X119-B119*INT(X119/B119)))/C119)/100))))</f>
        <v>0</v>
      </c>
      <c r="BJ119" s="57">
        <f>IF(ISERROR(IF(B119=C119,Y119/C119,(INT(Y119/B119)+(((Y119-B119*INT(Y119/B119)))/C119)/100))),0,(IF(B119=C119,Y119/C119,(INT(Y119/B119)+(((Y119-B119*INT(Y119/B119)))/C119)/100))))</f>
        <v>0</v>
      </c>
      <c r="BL119" s="57">
        <f>IF(ISERROR(IF(B119=C119,AA119/C119,(INT(AA119/B119)+(((AA119-B119*INT(AA119/B119)))/C119)/100))),0,(IF(B119=C119,AA119/C119,(INT(AA119/B119)+(((AA119-B119*INT(AA119/B119)))/C119)/100))))</f>
        <v>0</v>
      </c>
      <c r="BM119" s="57">
        <f>IF(ISERROR(IF(B119=C119,AB119/C119,(INT(AB119/B119)+(((AB119-B119*INT(AB119/B119)))/C119)/100))),0,(IF(B119=C119,AB119/C119,(INT(AB119/B119)+(((AB119-B119*INT(AB119/B119)))/C119)/100))))</f>
        <v>0</v>
      </c>
      <c r="BN119" s="57">
        <f>IF(ISERROR(IF(B119=C119,AC119/C119,(INT(AC119/B119)+(((AC119-B119*INT(AC119/B119)))/C119)/100))),0,(IF(B119=C119,AC119/C119,(INT(AC119/B119)+(((AC119-B119*INT(AC119/B119)))/C119)/100))))</f>
        <v>0</v>
      </c>
      <c r="BO119" s="57">
        <f>IF(ISERROR(IF(B119=C119,AD119/C119,(INT(AD119/B119)+(((AD119-B119*INT(AD119/B119)))/C119)/100))),0,(IF(B119=C119,AD119/C119,(INT(AD119/B119)+(((AD119-B119*INT(AD119/B119)))/C119)/100))))</f>
        <v>0</v>
      </c>
      <c r="BQ119" s="155" t="s">
        <v>232</v>
      </c>
    </row>
    <row r="120" spans="1:69" x14ac:dyDescent="0.35">
      <c r="A120" s="94" t="s">
        <v>280</v>
      </c>
      <c r="B120" s="113">
        <v>750</v>
      </c>
      <c r="C120" s="113">
        <v>30</v>
      </c>
      <c r="D120" s="28">
        <f>SUM(AA120:AD120)</f>
        <v>2880</v>
      </c>
      <c r="E120" s="113">
        <v>0</v>
      </c>
      <c r="F120" s="113">
        <v>0</v>
      </c>
      <c r="G120" s="28">
        <f>SUM(D120:F120)</f>
        <v>2880</v>
      </c>
      <c r="H120" s="164">
        <v>150</v>
      </c>
      <c r="I120" s="113">
        <v>0</v>
      </c>
      <c r="J120" s="125">
        <v>0</v>
      </c>
      <c r="K120" s="113">
        <v>0</v>
      </c>
      <c r="L120" s="113">
        <v>0</v>
      </c>
      <c r="M120" s="113">
        <v>0</v>
      </c>
      <c r="N120" s="28">
        <f>G120-SUM(H120:M120)</f>
        <v>2730</v>
      </c>
      <c r="O120" s="28">
        <f>SUM(V120:Y120)</f>
        <v>2760</v>
      </c>
      <c r="P120" s="28">
        <f>O120-N120</f>
        <v>30</v>
      </c>
      <c r="Q120" s="61">
        <f>IF(ISERROR(P120/SUM(H120:L120)),"",P120/SUM(H120:L120))</f>
        <v>0.2</v>
      </c>
      <c r="R120" s="113">
        <v>210</v>
      </c>
      <c r="S120" s="28">
        <f>IF(ISERROR(P120/C120*R120),0,(P120/C120*R120))</f>
        <v>210</v>
      </c>
      <c r="T120" s="60">
        <f>IF(ISERROR(P120/B120*AF120),0,(P120/B120*AF120))</f>
        <v>92.909499999999994</v>
      </c>
      <c r="V120" s="113">
        <f>1*750+17*30</f>
        <v>1260</v>
      </c>
      <c r="W120" s="113">
        <f>2*750</f>
        <v>1500</v>
      </c>
      <c r="X120" s="113">
        <v>0</v>
      </c>
      <c r="Y120" s="113">
        <v>0</v>
      </c>
      <c r="AA120" s="113">
        <f>1*750+21*30</f>
        <v>1380</v>
      </c>
      <c r="AB120" s="113">
        <f>2*750</f>
        <v>1500</v>
      </c>
      <c r="AC120" s="113">
        <v>0</v>
      </c>
      <c r="AD120" s="113">
        <v>0</v>
      </c>
      <c r="AF120" s="162">
        <f>27872.85/12</f>
        <v>2322.7374999999997</v>
      </c>
      <c r="AG120" s="28">
        <f>G120-O120</f>
        <v>120</v>
      </c>
      <c r="AH120" s="58">
        <f>IF(ISERROR(AG120/B120*AF120),0,(AG120/B120*AF120))</f>
        <v>371.63799999999998</v>
      </c>
      <c r="AI120" s="28">
        <f>SUM(H120:M120)</f>
        <v>150</v>
      </c>
      <c r="AJ120" s="28">
        <f>IF(ISERROR(AI120/B120*AF120),0,(AI120/B120*AF120))</f>
        <v>464.54749999999996</v>
      </c>
      <c r="AK120" s="58">
        <f>IF(ISERROR(O120/B120*AF120),0,(O120/B120*AF120))</f>
        <v>8547.6739999999991</v>
      </c>
      <c r="AL120" s="28">
        <f>IF(ISERROR(H120/B120*AF120),0,(H120/B120*AF120))</f>
        <v>464.54749999999996</v>
      </c>
      <c r="AN120" s="51" t="str">
        <f>A120</f>
        <v xml:space="preserve">Tanqueray London Dry Gin </v>
      </c>
      <c r="AO120" s="57">
        <f>IF(ISERROR(IF(B120=C120,D120/C120,(INT(D120/B120)+(((D120-B120*INT(D120/B120)))/C120)/100))),0,(IF(B120=C120,D120/C120,(INT(D120/B120)+(((D120-B120*INT(D120/B120)))/C120)/100))))</f>
        <v>3.21</v>
      </c>
      <c r="AP120" s="57">
        <f>IF(ISERROR(IF(B120=C120,E120/C120,(INT(E120/B120)+(((E120-B120*INT(E120/B120)))/C120)/100))),0,(IF(B120=C120,E120/C120,(INT(E120/B120)+(((E120-B120*INT(E120/B120)))/C120)/100))))</f>
        <v>0</v>
      </c>
      <c r="AQ120" s="57">
        <f>IF(ISERROR(IF(B120=C120,F120/C120,IF((INT(F120/B120)+(((F120-B120*INT(F120/B120)))/C120)/100)&lt;0,(INT(F120/B120)+(((F120-B120*INT(F120/B120)))/C120)/100)+(1-(B120/C120/100)),(INT(F120/B120)+(((F120-B120*INT(F120/B120)))/C120)/100)))),0,IF(B120=C120,F120/C120,IF((INT(F120/B120)+(((F120-B120*INT(F120/B120)))/C120)/100)&lt;0,(INT(F120/B120)+(((F120-B120*INT(F120/B120)))/C120)/100)+(1-(B120/C120/100)),(INT(F120/B120)+(((F120-B120*INT(F120/B120)))/C120)/100))))</f>
        <v>0</v>
      </c>
      <c r="AR120" s="57">
        <f>IF(ISERROR(IF(B120=C120,G120/C120,(INT(G120/B120)+(((G120-B120*INT(G120/B120)))/C120)/100))),0,(IF(B120=C120,G120/C120,(INT(G120/B120)+(((G120-B120*INT(G120/B120)))/C120)/100))))</f>
        <v>3.21</v>
      </c>
      <c r="AS120" s="57">
        <f>IF(ISERROR(IF(B120=C120,H120/C120,(INT(H120/B120)+(((H120-B120*INT(H120/B120)))/C120)/100))),0,(IF(B120=C120,H120/C120,(INT(H120/B120)+(((H120-B120*INT(H120/B120)))/C120)/100))))</f>
        <v>0.05</v>
      </c>
      <c r="AT120" s="57">
        <f>IF(ISERROR(IF(B120=C120,I120/C120,(INT(I120/B120)+(((I120-B120*INT(I120/B120)))/C120)/100))),0,(IF(B120=C120,I120/C120,(INT(I120/B120)+(((I120-B120*INT(I120/B120)))/C120)/100))))</f>
        <v>0</v>
      </c>
      <c r="AU120" s="57">
        <f>IF(ISERROR(IF(B120=C120,J120/C120,(INT(J120/B120)+(((J120-B120*INT(J120/B120)))/C120)/100))),0,(IF(B120=C120,J120/C120,(INT(J120/B120)+(((J120-B120*INT(J120/B120)))/C120)/100))))</f>
        <v>0</v>
      </c>
      <c r="AV120" s="57">
        <f>IF(ISERROR(IF(B120=C120,K120/C120,IF((INT(K120/B120)+(((K120-B120*INT(K120/B120)))/C120)/100)&lt;0,(INT(K120/B120)+(((K120-B120*INT(K120/B120)))/C120)/100)+(1-(B120/C120/100)),(INT(K120/B120)+(((K120-B120*INT(K120/B120)))/C120)/100)))),0,IF(B120=C120,K120/C120,IF((INT(K120/B120)+(((K120-B120*INT(K120/B120)))/C120)/100)&lt;0,(INT(K120/B120)+(((K120-B120*INT(K120/B120)))/C120)/100)+(1-(B120/C120/100)),(INT(K120/B120)+(((K120-B120*INT(K120/B120)))/C120)/100))))</f>
        <v>0</v>
      </c>
      <c r="AW120" s="57">
        <f>IF(ISERROR(IF(B120=C120,L120/C120,(INT(L120/B120)+(((L120-B120*INT(L120/B120)))/C120)/100))),0,(IF(B120=C120,L120/C120,(INT(L120/B120)+(((L120-B120*INT(L120/B120)))/C120)/100))))</f>
        <v>0</v>
      </c>
      <c r="AX120" s="57">
        <f>IF(ISERROR(IF(B120=C120,M120/C120,(INT(M120/B120)+(((M120-B120*INT(M120/B120)))/C120)/100))),0,(IF(B120=C120,M120/C120,(INT(M120/B120)+(((M120-B120*INT(M120/B120)))/C120)/100))))</f>
        <v>0</v>
      </c>
      <c r="AY120" s="57">
        <f>IF(ISERROR(IF(B120=C120,N120/C120,IF((INT(N120/B120)+(((N120-B120*INT(N120/B120)))/C120)/100)&lt;0,(INT(N120/B120)+(((N120-B120*INT(N120/B120)))/C120)/100)+(1-(B120/C120/100)),(INT(N120/B120)+(((N120-B120*INT(N120/B120)))/C120)/100)))),0,IF(B120=C120,N120/C120,IF((INT(N120/B120)+(((N120-B120*INT(N120/B120)))/C120)/100)&lt;0,(INT(N120/B120)+(((N120-B120*INT(N120/B120)))/C120)/100)+(1-(B120/C120/100)),(INT(N120/B120)+(((N120-B120*INT(N120/B120)))/C120)/100))))</f>
        <v>3.16</v>
      </c>
      <c r="AZ120" s="57">
        <f>IF(ISERROR(IF(B120=C120,O120/C120,(INT(O120/B120)+(((O120-B120*INT(O120/B120)))/C120)/100))),0,(IF(B120=C120,O120/C120,(INT(O120/B120)+(((O120-B120*INT(O120/B120)))/C120)/100))))</f>
        <v>3.17</v>
      </c>
      <c r="BA120" s="57">
        <f>IF(ISERROR(IF(B120=C120,P120/C120,IF((INT(P120/B120)+(((P120-B120*INT(P120/B120)))/C120)/100)&lt;0,(INT(P120/B120)+(((P120-B120*INT(P120/B120)))/C120)/100)+(1-(B120/C120/100)),(INT(P120/B120)+(((P120-B120*INT(P120/B120)))/C120)/100)))),0,IF(B120=C120,P120/C120,IF((INT(P120/B120)+(((P120-B120*INT(P120/B120)))/C120)/100)&lt;0,(INT(P120/B120)+(((P120-B120*INT(P120/B120)))/C120)/100)+(1-(B120/C120/100)),(INT(P120/B120)+(((P120-B120*INT(P120/B120)))/C120)/100))))</f>
        <v>0.01</v>
      </c>
      <c r="BB120" s="28">
        <f>R120</f>
        <v>210</v>
      </c>
      <c r="BC120" s="28">
        <f>S120</f>
        <v>210</v>
      </c>
      <c r="BD120" s="28">
        <f>AF120</f>
        <v>2322.7374999999997</v>
      </c>
      <c r="BE120" s="28">
        <f>T120</f>
        <v>92.909499999999994</v>
      </c>
      <c r="BG120" s="57">
        <f>IF(ISERROR(IF(B120=C120,V120/C120,(INT(V120/B120)+(((V120-B120*INT(V120/B120)))/C120)/100))),0,(IF(B120=C120,V120/C120,(INT(V120/B120)+(((V120-B120*INT(V120/B120)))/C120)/100))))</f>
        <v>1.17</v>
      </c>
      <c r="BH120" s="57">
        <f>IF(ISERROR(IF(B120=C120,W120/C120,(INT(W120/B120)+(((W120-B120*INT(W120/B120)))/C120)/100))),0,(IF(B120=C120,W120/C120,(INT(W120/B120)+(((W120-B120*INT(W120/B120)))/C120)/100))))</f>
        <v>2</v>
      </c>
      <c r="BI120" s="57">
        <f>IF(ISERROR(IF(B120=C120,X120/C120,(INT(X120/B120)+(((X120-B120*INT(X120/B120)))/C120)/100))),0,(IF(B120=C120,X120/C120,(INT(X120/B120)+(((X120-B120*INT(X120/B120)))/C120)/100))))</f>
        <v>0</v>
      </c>
      <c r="BJ120" s="57">
        <f>IF(ISERROR(IF(B120=C120,Y120/C120,(INT(Y120/B120)+(((Y120-B120*INT(Y120/B120)))/C120)/100))),0,(IF(B120=C120,Y120/C120,(INT(Y120/B120)+(((Y120-B120*INT(Y120/B120)))/C120)/100))))</f>
        <v>0</v>
      </c>
      <c r="BL120" s="57">
        <f>IF(ISERROR(IF(B120=C120,AA120/C120,(INT(AA120/B120)+(((AA120-B120*INT(AA120/B120)))/C120)/100))),0,(IF(B120=C120,AA120/C120,(INT(AA120/B120)+(((AA120-B120*INT(AA120/B120)))/C120)/100))))</f>
        <v>1.21</v>
      </c>
      <c r="BM120" s="57">
        <f>IF(ISERROR(IF(B120=C120,AB120/C120,(INT(AB120/B120)+(((AB120-B120*INT(AB120/B120)))/C120)/100))),0,(IF(B120=C120,AB120/C120,(INT(AB120/B120)+(((AB120-B120*INT(AB120/B120)))/C120)/100))))</f>
        <v>2</v>
      </c>
      <c r="BN120" s="57">
        <f>IF(ISERROR(IF(B120=C120,AC120/C120,(INT(AC120/B120)+(((AC120-B120*INT(AC120/B120)))/C120)/100))),0,(IF(B120=C120,AC120/C120,(INT(AC120/B120)+(((AC120-B120*INT(AC120/B120)))/C120)/100))))</f>
        <v>0</v>
      </c>
      <c r="BO120" s="57">
        <f>IF(ISERROR(IF(B120=C120,AD120/C120,(INT(AD120/B120)+(((AD120-B120*INT(AD120/B120)))/C120)/100))),0,(IF(B120=C120,AD120/C120,(INT(AD120/B120)+(((AD120-B120*INT(AD120/B120)))/C120)/100))))</f>
        <v>0</v>
      </c>
      <c r="BQ120" s="155" t="s">
        <v>236</v>
      </c>
    </row>
    <row r="121" spans="1:69" x14ac:dyDescent="0.35">
      <c r="A121" s="134" t="s">
        <v>279</v>
      </c>
      <c r="B121" s="113">
        <v>750</v>
      </c>
      <c r="C121" s="113">
        <v>30</v>
      </c>
      <c r="D121" s="28">
        <f>SUM(AA121:AD121)</f>
        <v>1080</v>
      </c>
      <c r="E121" s="113">
        <v>0</v>
      </c>
      <c r="F121" s="113">
        <v>0</v>
      </c>
      <c r="G121" s="28">
        <f>SUM(D121:F121)</f>
        <v>1080</v>
      </c>
      <c r="H121" s="164">
        <v>0</v>
      </c>
      <c r="I121" s="113">
        <v>0</v>
      </c>
      <c r="J121" s="125">
        <v>0</v>
      </c>
      <c r="K121" s="113">
        <v>0</v>
      </c>
      <c r="L121" s="113">
        <v>0</v>
      </c>
      <c r="M121" s="113">
        <v>0</v>
      </c>
      <c r="N121" s="28">
        <f>G121-SUM(H121:M121)</f>
        <v>1080</v>
      </c>
      <c r="O121" s="28">
        <f>SUM(V121:Y121)</f>
        <v>1080</v>
      </c>
      <c r="P121" s="28">
        <f>O121-N121</f>
        <v>0</v>
      </c>
      <c r="Q121" s="61" t="str">
        <f>IF(ISERROR(P121/SUM(H121:L121)),"",P121/SUM(H121:L121))</f>
        <v/>
      </c>
      <c r="R121" s="113">
        <v>200</v>
      </c>
      <c r="S121" s="28">
        <f>IF(ISERROR(P121/C121*R121),0,(P121/C121*R121))</f>
        <v>0</v>
      </c>
      <c r="T121" s="60">
        <f>IF(ISERROR(P121/B121*AF121),0,(P121/B121*AF121))</f>
        <v>0</v>
      </c>
      <c r="V121" s="113">
        <f>1*750+11*30</f>
        <v>1080</v>
      </c>
      <c r="W121" s="113">
        <v>0</v>
      </c>
      <c r="X121" s="113">
        <v>0</v>
      </c>
      <c r="Y121" s="113">
        <v>0</v>
      </c>
      <c r="AA121" s="113">
        <f>1*750+11*30</f>
        <v>1080</v>
      </c>
      <c r="AB121" s="113">
        <v>0</v>
      </c>
      <c r="AC121" s="113">
        <v>0</v>
      </c>
      <c r="AD121" s="113">
        <v>0</v>
      </c>
      <c r="AF121" s="163">
        <v>2727.2791666666667</v>
      </c>
      <c r="AG121" s="28">
        <f>G121-O121</f>
        <v>0</v>
      </c>
      <c r="AH121" s="58">
        <f>IF(ISERROR(AG121/B121*AF121),0,(AG121/B121*AF121))</f>
        <v>0</v>
      </c>
      <c r="AI121" s="28">
        <f>SUM(H121:M121)</f>
        <v>0</v>
      </c>
      <c r="AJ121" s="28">
        <f>IF(ISERROR(AI121/B121*AF121),0,(AI121/B121*AF121))</f>
        <v>0</v>
      </c>
      <c r="AK121" s="58">
        <f>IF(ISERROR(O121/B121*AF121),0,(O121/B121*AF121))</f>
        <v>3927.2819999999997</v>
      </c>
      <c r="AL121" s="28">
        <f>IF(ISERROR(H121/B121*AF121),0,(H121/B121*AF121))</f>
        <v>0</v>
      </c>
      <c r="AN121" s="51" t="str">
        <f>A121</f>
        <v xml:space="preserve">Tequila Camino Real Gold </v>
      </c>
      <c r="AO121" s="57">
        <f>IF(ISERROR(IF(B121=C121,D121/C121,(INT(D121/B121)+(((D121-B121*INT(D121/B121)))/C121)/100))),0,(IF(B121=C121,D121/C121,(INT(D121/B121)+(((D121-B121*INT(D121/B121)))/C121)/100))))</f>
        <v>1.1100000000000001</v>
      </c>
      <c r="AP121" s="57">
        <f>IF(ISERROR(IF(B121=C121,E121/C121,(INT(E121/B121)+(((E121-B121*INT(E121/B121)))/C121)/100))),0,(IF(B121=C121,E121/C121,(INT(E121/B121)+(((E121-B121*INT(E121/B121)))/C121)/100))))</f>
        <v>0</v>
      </c>
      <c r="AQ121" s="57">
        <f>IF(ISERROR(IF(B121=C121,F121/C121,IF((INT(F121/B121)+(((F121-B121*INT(F121/B121)))/C121)/100)&lt;0,(INT(F121/B121)+(((F121-B121*INT(F121/B121)))/C121)/100)+(1-(B121/C121/100)),(INT(F121/B121)+(((F121-B121*INT(F121/B121)))/C121)/100)))),0,IF(B121=C121,F121/C121,IF((INT(F121/B121)+(((F121-B121*INT(F121/B121)))/C121)/100)&lt;0,(INT(F121/B121)+(((F121-B121*INT(F121/B121)))/C121)/100)+(1-(B121/C121/100)),(INT(F121/B121)+(((F121-B121*INT(F121/B121)))/C121)/100))))</f>
        <v>0</v>
      </c>
      <c r="AR121" s="57">
        <f>IF(ISERROR(IF(B121=C121,G121/C121,(INT(G121/B121)+(((G121-B121*INT(G121/B121)))/C121)/100))),0,(IF(B121=C121,G121/C121,(INT(G121/B121)+(((G121-B121*INT(G121/B121)))/C121)/100))))</f>
        <v>1.1100000000000001</v>
      </c>
      <c r="AS121" s="57">
        <f>IF(ISERROR(IF(B121=C121,H121/C121,(INT(H121/B121)+(((H121-B121*INT(H121/B121)))/C121)/100))),0,(IF(B121=C121,H121/C121,(INT(H121/B121)+(((H121-B121*INT(H121/B121)))/C121)/100))))</f>
        <v>0</v>
      </c>
      <c r="AT121" s="57">
        <f>IF(ISERROR(IF(B121=C121,I121/C121,(INT(I121/B121)+(((I121-B121*INT(I121/B121)))/C121)/100))),0,(IF(B121=C121,I121/C121,(INT(I121/B121)+(((I121-B121*INT(I121/B121)))/C121)/100))))</f>
        <v>0</v>
      </c>
      <c r="AU121" s="57">
        <f>IF(ISERROR(IF(B121=C121,J121/C121,(INT(J121/B121)+(((J121-B121*INT(J121/B121)))/C121)/100))),0,(IF(B121=C121,J121/C121,(INT(J121/B121)+(((J121-B121*INT(J121/B121)))/C121)/100))))</f>
        <v>0</v>
      </c>
      <c r="AV121" s="57">
        <f>IF(ISERROR(IF(B121=C121,K121/C121,IF((INT(K121/B121)+(((K121-B121*INT(K121/B121)))/C121)/100)&lt;0,(INT(K121/B121)+(((K121-B121*INT(K121/B121)))/C121)/100)+(1-(B121/C121/100)),(INT(K121/B121)+(((K121-B121*INT(K121/B121)))/C121)/100)))),0,IF(B121=C121,K121/C121,IF((INT(K121/B121)+(((K121-B121*INT(K121/B121)))/C121)/100)&lt;0,(INT(K121/B121)+(((K121-B121*INT(K121/B121)))/C121)/100)+(1-(B121/C121/100)),(INT(K121/B121)+(((K121-B121*INT(K121/B121)))/C121)/100))))</f>
        <v>0</v>
      </c>
      <c r="AW121" s="57">
        <f>IF(ISERROR(IF(B121=C121,L121/C121,(INT(L121/B121)+(((L121-B121*INT(L121/B121)))/C121)/100))),0,(IF(B121=C121,L121/C121,(INT(L121/B121)+(((L121-B121*INT(L121/B121)))/C121)/100))))</f>
        <v>0</v>
      </c>
      <c r="AX121" s="57">
        <f>IF(ISERROR(IF(B121=C121,M121/C121,(INT(M121/B121)+(((M121-B121*INT(M121/B121)))/C121)/100))),0,(IF(B121=C121,M121/C121,(INT(M121/B121)+(((M121-B121*INT(M121/B121)))/C121)/100))))</f>
        <v>0</v>
      </c>
      <c r="AY121" s="57">
        <f>IF(ISERROR(IF(B121=C121,N121/C121,IF((INT(N121/B121)+(((N121-B121*INT(N121/B121)))/C121)/100)&lt;0,(INT(N121/B121)+(((N121-B121*INT(N121/B121)))/C121)/100)+(1-(B121/C121/100)),(INT(N121/B121)+(((N121-B121*INT(N121/B121)))/C121)/100)))),0,IF(B121=C121,N121/C121,IF((INT(N121/B121)+(((N121-B121*INT(N121/B121)))/C121)/100)&lt;0,(INT(N121/B121)+(((N121-B121*INT(N121/B121)))/C121)/100)+(1-(B121/C121/100)),(INT(N121/B121)+(((N121-B121*INT(N121/B121)))/C121)/100))))</f>
        <v>1.1100000000000001</v>
      </c>
      <c r="AZ121" s="57">
        <f>IF(ISERROR(IF(B121=C121,O121/C121,(INT(O121/B121)+(((O121-B121*INT(O121/B121)))/C121)/100))),0,(IF(B121=C121,O121/C121,(INT(O121/B121)+(((O121-B121*INT(O121/B121)))/C121)/100))))</f>
        <v>1.1100000000000001</v>
      </c>
      <c r="BA121" s="57">
        <f>IF(ISERROR(IF(B121=C121,P121/C121,IF((INT(P121/B121)+(((P121-B121*INT(P121/B121)))/C121)/100)&lt;0,(INT(P121/B121)+(((P121-B121*INT(P121/B121)))/C121)/100)+(1-(B121/C121/100)),(INT(P121/B121)+(((P121-B121*INT(P121/B121)))/C121)/100)))),0,IF(B121=C121,P121/C121,IF((INT(P121/B121)+(((P121-B121*INT(P121/B121)))/C121)/100)&lt;0,(INT(P121/B121)+(((P121-B121*INT(P121/B121)))/C121)/100)+(1-(B121/C121/100)),(INT(P121/B121)+(((P121-B121*INT(P121/B121)))/C121)/100))))</f>
        <v>0</v>
      </c>
      <c r="BB121" s="28">
        <f>R121</f>
        <v>200</v>
      </c>
      <c r="BC121" s="28">
        <f>S121</f>
        <v>0</v>
      </c>
      <c r="BD121" s="28">
        <f>AF121</f>
        <v>2727.2791666666667</v>
      </c>
      <c r="BE121" s="28">
        <f>T121</f>
        <v>0</v>
      </c>
      <c r="BG121" s="57">
        <f>IF(ISERROR(IF(B121=C121,V121/C121,(INT(V121/B121)+(((V121-B121*INT(V121/B121)))/C121)/100))),0,(IF(B121=C121,V121/C121,(INT(V121/B121)+(((V121-B121*INT(V121/B121)))/C121)/100))))</f>
        <v>1.1100000000000001</v>
      </c>
      <c r="BH121" s="57">
        <f>IF(ISERROR(IF(B121=C121,W121/C121,(INT(W121/B121)+(((W121-B121*INT(W121/B121)))/C121)/100))),0,(IF(B121=C121,W121/C121,(INT(W121/B121)+(((W121-B121*INT(W121/B121)))/C121)/100))))</f>
        <v>0</v>
      </c>
      <c r="BI121" s="57">
        <f>IF(ISERROR(IF(B121=C121,X121/C121,(INT(X121/B121)+(((X121-B121*INT(X121/B121)))/C121)/100))),0,(IF(B121=C121,X121/C121,(INT(X121/B121)+(((X121-B121*INT(X121/B121)))/C121)/100))))</f>
        <v>0</v>
      </c>
      <c r="BJ121" s="57">
        <f>IF(ISERROR(IF(B121=C121,Y121/C121,(INT(Y121/B121)+(((Y121-B121*INT(Y121/B121)))/C121)/100))),0,(IF(B121=C121,Y121/C121,(INT(Y121/B121)+(((Y121-B121*INT(Y121/B121)))/C121)/100))))</f>
        <v>0</v>
      </c>
      <c r="BL121" s="57">
        <f>IF(ISERROR(IF(B121=C121,AA121/C121,(INT(AA121/B121)+(((AA121-B121*INT(AA121/B121)))/C121)/100))),0,(IF(B121=C121,AA121/C121,(INT(AA121/B121)+(((AA121-B121*INT(AA121/B121)))/C121)/100))))</f>
        <v>1.1100000000000001</v>
      </c>
      <c r="BM121" s="57">
        <f>IF(ISERROR(IF(B121=C121,AB121/C121,(INT(AB121/B121)+(((AB121-B121*INT(AB121/B121)))/C121)/100))),0,(IF(B121=C121,AB121/C121,(INT(AB121/B121)+(((AB121-B121*INT(AB121/B121)))/C121)/100))))</f>
        <v>0</v>
      </c>
      <c r="BN121" s="57">
        <f>IF(ISERROR(IF(B121=C121,AC121/C121,(INT(AC121/B121)+(((AC121-B121*INT(AC121/B121)))/C121)/100))),0,(IF(B121=C121,AC121/C121,(INT(AC121/B121)+(((AC121-B121*INT(AC121/B121)))/C121)/100))))</f>
        <v>0</v>
      </c>
      <c r="BO121" s="57">
        <f>IF(ISERROR(IF(B121=C121,AD121/C121,(INT(AD121/B121)+(((AD121-B121*INT(AD121/B121)))/C121)/100))),0,(IF(B121=C121,AD121/C121,(INT(AD121/B121)+(((AD121-B121*INT(AD121/B121)))/C121)/100))))</f>
        <v>0</v>
      </c>
      <c r="BQ121" s="155" t="s">
        <v>257</v>
      </c>
    </row>
    <row r="122" spans="1:69" x14ac:dyDescent="0.35">
      <c r="A122" s="134" t="s">
        <v>278</v>
      </c>
      <c r="B122" s="113">
        <v>750</v>
      </c>
      <c r="C122" s="113">
        <v>30</v>
      </c>
      <c r="D122" s="28">
        <f>SUM(AA122:AD122)</f>
        <v>1410</v>
      </c>
      <c r="E122" s="113">
        <v>0</v>
      </c>
      <c r="F122" s="113">
        <v>0</v>
      </c>
      <c r="G122" s="28">
        <f>SUM(D122:F122)</f>
        <v>1410</v>
      </c>
      <c r="H122" s="164">
        <v>0</v>
      </c>
      <c r="I122" s="113">
        <v>0</v>
      </c>
      <c r="J122" s="125">
        <v>0</v>
      </c>
      <c r="K122" s="113">
        <v>0</v>
      </c>
      <c r="L122" s="113">
        <v>0</v>
      </c>
      <c r="M122" s="113">
        <v>0</v>
      </c>
      <c r="N122" s="28">
        <f>G122-SUM(H122:M122)</f>
        <v>1410</v>
      </c>
      <c r="O122" s="28">
        <f>SUM(V122:Y122)</f>
        <v>1410</v>
      </c>
      <c r="P122" s="28">
        <f>O122-N122</f>
        <v>0</v>
      </c>
      <c r="Q122" s="61" t="str">
        <f>IF(ISERROR(P122/SUM(H122:L122)),"",P122/SUM(H122:L122))</f>
        <v/>
      </c>
      <c r="R122" s="113">
        <v>500</v>
      </c>
      <c r="S122" s="28">
        <f>IF(ISERROR(P122/C122*R122),0,(P122/C122*R122))</f>
        <v>0</v>
      </c>
      <c r="T122" s="60">
        <f>IF(ISERROR(P122/B122*AF122),0,(P122/B122*AF122))</f>
        <v>0</v>
      </c>
      <c r="V122" s="113">
        <f>22*30</f>
        <v>660</v>
      </c>
      <c r="W122" s="113">
        <f>1*750</f>
        <v>750</v>
      </c>
      <c r="X122" s="113">
        <v>0</v>
      </c>
      <c r="Y122" s="113">
        <v>0</v>
      </c>
      <c r="AA122" s="113">
        <f>22*30</f>
        <v>660</v>
      </c>
      <c r="AB122" s="113">
        <f>1*750</f>
        <v>750</v>
      </c>
      <c r="AC122" s="113">
        <v>0</v>
      </c>
      <c r="AD122" s="113">
        <v>0</v>
      </c>
      <c r="AF122" s="162">
        <f>81034.05/12</f>
        <v>6752.8375000000005</v>
      </c>
      <c r="AG122" s="28">
        <f>G122-O122</f>
        <v>0</v>
      </c>
      <c r="AH122" s="58">
        <f>IF(ISERROR(AG122/B122*AF122),0,(AG122/B122*AF122))</f>
        <v>0</v>
      </c>
      <c r="AI122" s="28">
        <f>SUM(H122:M122)</f>
        <v>0</v>
      </c>
      <c r="AJ122" s="28">
        <f>IF(ISERROR(AI122/B122*AF122),0,(AI122/B122*AF122))</f>
        <v>0</v>
      </c>
      <c r="AK122" s="58">
        <f>IF(ISERROR(O122/B122*AF122),0,(O122/B122*AF122))</f>
        <v>12695.334500000001</v>
      </c>
      <c r="AL122" s="28">
        <f>IF(ISERROR(H122/B122*AF122),0,(H122/B122*AF122))</f>
        <v>0</v>
      </c>
      <c r="AN122" s="51" t="str">
        <f>A122</f>
        <v xml:space="preserve">Tequila Patron XO Café </v>
      </c>
      <c r="AO122" s="57">
        <f>IF(ISERROR(IF(B122=C122,D122/C122,(INT(D122/B122)+(((D122-B122*INT(D122/B122)))/C122)/100))),0,(IF(B122=C122,D122/C122,(INT(D122/B122)+(((D122-B122*INT(D122/B122)))/C122)/100))))</f>
        <v>1.22</v>
      </c>
      <c r="AP122" s="57">
        <f>IF(ISERROR(IF(B122=C122,E122/C122,(INT(E122/B122)+(((E122-B122*INT(E122/B122)))/C122)/100))),0,(IF(B122=C122,E122/C122,(INT(E122/B122)+(((E122-B122*INT(E122/B122)))/C122)/100))))</f>
        <v>0</v>
      </c>
      <c r="AQ122" s="57">
        <f>IF(ISERROR(IF(B122=C122,F122/C122,IF((INT(F122/B122)+(((F122-B122*INT(F122/B122)))/C122)/100)&lt;0,(INT(F122/B122)+(((F122-B122*INT(F122/B122)))/C122)/100)+(1-(B122/C122/100)),(INT(F122/B122)+(((F122-B122*INT(F122/B122)))/C122)/100)))),0,IF(B122=C122,F122/C122,IF((INT(F122/B122)+(((F122-B122*INT(F122/B122)))/C122)/100)&lt;0,(INT(F122/B122)+(((F122-B122*INT(F122/B122)))/C122)/100)+(1-(B122/C122/100)),(INT(F122/B122)+(((F122-B122*INT(F122/B122)))/C122)/100))))</f>
        <v>0</v>
      </c>
      <c r="AR122" s="57">
        <f>IF(ISERROR(IF(B122=C122,G122/C122,(INT(G122/B122)+(((G122-B122*INT(G122/B122)))/C122)/100))),0,(IF(B122=C122,G122/C122,(INT(G122/B122)+(((G122-B122*INT(G122/B122)))/C122)/100))))</f>
        <v>1.22</v>
      </c>
      <c r="AS122" s="57">
        <f>IF(ISERROR(IF(B122=C122,H122/C122,(INT(H122/B122)+(((H122-B122*INT(H122/B122)))/C122)/100))),0,(IF(B122=C122,H122/C122,(INT(H122/B122)+(((H122-B122*INT(H122/B122)))/C122)/100))))</f>
        <v>0</v>
      </c>
      <c r="AT122" s="57">
        <f>IF(ISERROR(IF(B122=C122,I122/C122,(INT(I122/B122)+(((I122-B122*INT(I122/B122)))/C122)/100))),0,(IF(B122=C122,I122/C122,(INT(I122/B122)+(((I122-B122*INT(I122/B122)))/C122)/100))))</f>
        <v>0</v>
      </c>
      <c r="AU122" s="57">
        <f>IF(ISERROR(IF(B122=C122,J122/C122,(INT(J122/B122)+(((J122-B122*INT(J122/B122)))/C122)/100))),0,(IF(B122=C122,J122/C122,(INT(J122/B122)+(((J122-B122*INT(J122/B122)))/C122)/100))))</f>
        <v>0</v>
      </c>
      <c r="AV122" s="57">
        <f>IF(ISERROR(IF(B122=C122,K122/C122,IF((INT(K122/B122)+(((K122-B122*INT(K122/B122)))/C122)/100)&lt;0,(INT(K122/B122)+(((K122-B122*INT(K122/B122)))/C122)/100)+(1-(B122/C122/100)),(INT(K122/B122)+(((K122-B122*INT(K122/B122)))/C122)/100)))),0,IF(B122=C122,K122/C122,IF((INT(K122/B122)+(((K122-B122*INT(K122/B122)))/C122)/100)&lt;0,(INT(K122/B122)+(((K122-B122*INT(K122/B122)))/C122)/100)+(1-(B122/C122/100)),(INT(K122/B122)+(((K122-B122*INT(K122/B122)))/C122)/100))))</f>
        <v>0</v>
      </c>
      <c r="AW122" s="57">
        <f>IF(ISERROR(IF(B122=C122,L122/C122,(INT(L122/B122)+(((L122-B122*INT(L122/B122)))/C122)/100))),0,(IF(B122=C122,L122/C122,(INT(L122/B122)+(((L122-B122*INT(L122/B122)))/C122)/100))))</f>
        <v>0</v>
      </c>
      <c r="AX122" s="57">
        <f>IF(ISERROR(IF(B122=C122,M122/C122,(INT(M122/B122)+(((M122-B122*INT(M122/B122)))/C122)/100))),0,(IF(B122=C122,M122/C122,(INT(M122/B122)+(((M122-B122*INT(M122/B122)))/C122)/100))))</f>
        <v>0</v>
      </c>
      <c r="AY122" s="57">
        <f>IF(ISERROR(IF(B122=C122,N122/C122,IF((INT(N122/B122)+(((N122-B122*INT(N122/B122)))/C122)/100)&lt;0,(INT(N122/B122)+(((N122-B122*INT(N122/B122)))/C122)/100)+(1-(B122/C122/100)),(INT(N122/B122)+(((N122-B122*INT(N122/B122)))/C122)/100)))),0,IF(B122=C122,N122/C122,IF((INT(N122/B122)+(((N122-B122*INT(N122/B122)))/C122)/100)&lt;0,(INT(N122/B122)+(((N122-B122*INT(N122/B122)))/C122)/100)+(1-(B122/C122/100)),(INT(N122/B122)+(((N122-B122*INT(N122/B122)))/C122)/100))))</f>
        <v>1.22</v>
      </c>
      <c r="AZ122" s="57">
        <f>IF(ISERROR(IF(B122=C122,O122/C122,(INT(O122/B122)+(((O122-B122*INT(O122/B122)))/C122)/100))),0,(IF(B122=C122,O122/C122,(INT(O122/B122)+(((O122-B122*INT(O122/B122)))/C122)/100))))</f>
        <v>1.22</v>
      </c>
      <c r="BA122" s="57">
        <f>IF(ISERROR(IF(B122=C122,P122/C122,IF((INT(P122/B122)+(((P122-B122*INT(P122/B122)))/C122)/100)&lt;0,(INT(P122/B122)+(((P122-B122*INT(P122/B122)))/C122)/100)+(1-(B122/C122/100)),(INT(P122/B122)+(((P122-B122*INT(P122/B122)))/C122)/100)))),0,IF(B122=C122,P122/C122,IF((INT(P122/B122)+(((P122-B122*INT(P122/B122)))/C122)/100)&lt;0,(INT(P122/B122)+(((P122-B122*INT(P122/B122)))/C122)/100)+(1-(B122/C122/100)),(INT(P122/B122)+(((P122-B122*INT(P122/B122)))/C122)/100))))</f>
        <v>0</v>
      </c>
      <c r="BB122" s="28">
        <f>R122</f>
        <v>500</v>
      </c>
      <c r="BC122" s="28">
        <f>S122</f>
        <v>0</v>
      </c>
      <c r="BD122" s="28">
        <f>AF122</f>
        <v>6752.8375000000005</v>
      </c>
      <c r="BE122" s="28">
        <f>T122</f>
        <v>0</v>
      </c>
      <c r="BG122" s="57">
        <f>IF(ISERROR(IF(B122=C122,V122/C122,(INT(V122/B122)+(((V122-B122*INT(V122/B122)))/C122)/100))),0,(IF(B122=C122,V122/C122,(INT(V122/B122)+(((V122-B122*INT(V122/B122)))/C122)/100))))</f>
        <v>0.22</v>
      </c>
      <c r="BH122" s="57">
        <f>IF(ISERROR(IF(B122=C122,W122/C122,(INT(W122/B122)+(((W122-B122*INT(W122/B122)))/C122)/100))),0,(IF(B122=C122,W122/C122,(INT(W122/B122)+(((W122-B122*INT(W122/B122)))/C122)/100))))</f>
        <v>1</v>
      </c>
      <c r="BI122" s="57">
        <f>IF(ISERROR(IF(B122=C122,X122/C122,(INT(X122/B122)+(((X122-B122*INT(X122/B122)))/C122)/100))),0,(IF(B122=C122,X122/C122,(INT(X122/B122)+(((X122-B122*INT(X122/B122)))/C122)/100))))</f>
        <v>0</v>
      </c>
      <c r="BJ122" s="57">
        <f>IF(ISERROR(IF(B122=C122,Y122/C122,(INT(Y122/B122)+(((Y122-B122*INT(Y122/B122)))/C122)/100))),0,(IF(B122=C122,Y122/C122,(INT(Y122/B122)+(((Y122-B122*INT(Y122/B122)))/C122)/100))))</f>
        <v>0</v>
      </c>
      <c r="BL122" s="57">
        <f>IF(ISERROR(IF(B122=C122,AA122/C122,(INT(AA122/B122)+(((AA122-B122*INT(AA122/B122)))/C122)/100))),0,(IF(B122=C122,AA122/C122,(INT(AA122/B122)+(((AA122-B122*INT(AA122/B122)))/C122)/100))))</f>
        <v>0.22</v>
      </c>
      <c r="BM122" s="57">
        <f>IF(ISERROR(IF(B122=C122,AB122/C122,(INT(AB122/B122)+(((AB122-B122*INT(AB122/B122)))/C122)/100))),0,(IF(B122=C122,AB122/C122,(INT(AB122/B122)+(((AB122-B122*INT(AB122/B122)))/C122)/100))))</f>
        <v>1</v>
      </c>
      <c r="BN122" s="57">
        <f>IF(ISERROR(IF(B122=C122,AC122/C122,(INT(AC122/B122)+(((AC122-B122*INT(AC122/B122)))/C122)/100))),0,(IF(B122=C122,AC122/C122,(INT(AC122/B122)+(((AC122-B122*INT(AC122/B122)))/C122)/100))))</f>
        <v>0</v>
      </c>
      <c r="BO122" s="57">
        <f>IF(ISERROR(IF(B122=C122,AD122/C122,(INT(AD122/B122)+(((AD122-B122*INT(AD122/B122)))/C122)/100))),0,(IF(B122=C122,AD122/C122,(INT(AD122/B122)+(((AD122-B122*INT(AD122/B122)))/C122)/100))))</f>
        <v>0</v>
      </c>
      <c r="BQ122" s="155" t="s">
        <v>257</v>
      </c>
    </row>
    <row r="123" spans="1:69" ht="15" x14ac:dyDescent="0.35">
      <c r="A123" s="169" t="s">
        <v>277</v>
      </c>
      <c r="B123" s="113">
        <v>750</v>
      </c>
      <c r="C123" s="113">
        <v>30</v>
      </c>
      <c r="D123" s="28">
        <f>SUM(AA123:AD123)</f>
        <v>1140</v>
      </c>
      <c r="E123" s="113">
        <v>0</v>
      </c>
      <c r="F123" s="113">
        <v>0</v>
      </c>
      <c r="G123" s="28">
        <f>SUM(D123:F123)</f>
        <v>1140</v>
      </c>
      <c r="H123" s="164">
        <v>0</v>
      </c>
      <c r="I123" s="113">
        <v>0</v>
      </c>
      <c r="J123" s="125">
        <v>0</v>
      </c>
      <c r="K123" s="113">
        <v>0</v>
      </c>
      <c r="L123" s="113">
        <v>0</v>
      </c>
      <c r="M123" s="113">
        <v>0</v>
      </c>
      <c r="N123" s="28">
        <f>G123-SUM(H123:M123)</f>
        <v>1140</v>
      </c>
      <c r="O123" s="28">
        <f>SUM(V123:Y123)</f>
        <v>1140</v>
      </c>
      <c r="P123" s="28">
        <f>O123-N123</f>
        <v>0</v>
      </c>
      <c r="Q123" s="61" t="str">
        <f>IF(ISERROR(P123/SUM(H123:L123)),"",P123/SUM(H123:L123))</f>
        <v/>
      </c>
      <c r="R123" s="113">
        <v>250</v>
      </c>
      <c r="S123" s="28">
        <f>IF(ISERROR(P123/C123*R123),0,(P123/C123*R123))</f>
        <v>0</v>
      </c>
      <c r="T123" s="60">
        <f>IF(ISERROR(P123/B123*AF123),0,(P123/B123*AF123))</f>
        <v>0</v>
      </c>
      <c r="V123" s="113">
        <f>1*750+13*30</f>
        <v>1140</v>
      </c>
      <c r="W123" s="113">
        <v>0</v>
      </c>
      <c r="X123" s="113">
        <v>0</v>
      </c>
      <c r="Y123" s="113">
        <v>0</v>
      </c>
      <c r="AA123" s="113">
        <f>1*750+13*30</f>
        <v>1140</v>
      </c>
      <c r="AB123" s="113">
        <v>0</v>
      </c>
      <c r="AC123" s="113">
        <v>0</v>
      </c>
      <c r="AD123" s="113">
        <v>0</v>
      </c>
      <c r="AF123" s="162">
        <f>26181.8/12</f>
        <v>2181.8166666666666</v>
      </c>
      <c r="AG123" s="28">
        <f>G123-O123</f>
        <v>0</v>
      </c>
      <c r="AH123" s="58">
        <f>IF(ISERROR(AG123/B123*AF123),0,(AG123/B123*AF123))</f>
        <v>0</v>
      </c>
      <c r="AI123" s="28">
        <f>SUM(H123:M123)</f>
        <v>0</v>
      </c>
      <c r="AJ123" s="28">
        <f>IF(ISERROR(AI123/B123*AF123),0,(AI123/B123*AF123))</f>
        <v>0</v>
      </c>
      <c r="AK123" s="58">
        <f>IF(ISERROR(O123/B123*AF123),0,(O123/B123*AF123))</f>
        <v>3316.3613333333333</v>
      </c>
      <c r="AL123" s="28">
        <f>IF(ISERROR(H123/B123*AF123),0,(H123/B123*AF123))</f>
        <v>0</v>
      </c>
      <c r="AN123" s="51" t="str">
        <f>A123</f>
        <v xml:space="preserve">Malibu Rum </v>
      </c>
      <c r="AO123" s="57">
        <f>IF(ISERROR(IF(B123=C123,D123/C123,(INT(D123/B123)+(((D123-B123*INT(D123/B123)))/C123)/100))),0,(IF(B123=C123,D123/C123,(INT(D123/B123)+(((D123-B123*INT(D123/B123)))/C123)/100))))</f>
        <v>1.1299999999999999</v>
      </c>
      <c r="AP123" s="57">
        <f>IF(ISERROR(IF(B123=C123,E123/C123,(INT(E123/B123)+(((E123-B123*INT(E123/B123)))/C123)/100))),0,(IF(B123=C123,E123/C123,(INT(E123/B123)+(((E123-B123*INT(E123/B123)))/C123)/100))))</f>
        <v>0</v>
      </c>
      <c r="AQ123" s="57">
        <f>IF(ISERROR(IF(B123=C123,F123/C123,IF((INT(F123/B123)+(((F123-B123*INT(F123/B123)))/C123)/100)&lt;0,(INT(F123/B123)+(((F123-B123*INT(F123/B123)))/C123)/100)+(1-(B123/C123/100)),(INT(F123/B123)+(((F123-B123*INT(F123/B123)))/C123)/100)))),0,IF(B123=C123,F123/C123,IF((INT(F123/B123)+(((F123-B123*INT(F123/B123)))/C123)/100)&lt;0,(INT(F123/B123)+(((F123-B123*INT(F123/B123)))/C123)/100)+(1-(B123/C123/100)),(INT(F123/B123)+(((F123-B123*INT(F123/B123)))/C123)/100))))</f>
        <v>0</v>
      </c>
      <c r="AR123" s="57">
        <f>IF(ISERROR(IF(B123=C123,G123/C123,(INT(G123/B123)+(((G123-B123*INT(G123/B123)))/C123)/100))),0,(IF(B123=C123,G123/C123,(INT(G123/B123)+(((G123-B123*INT(G123/B123)))/C123)/100))))</f>
        <v>1.1299999999999999</v>
      </c>
      <c r="AS123" s="57">
        <f>IF(ISERROR(IF(B123=C123,H123/C123,(INT(H123/B123)+(((H123-B123*INT(H123/B123)))/C123)/100))),0,(IF(B123=C123,H123/C123,(INT(H123/B123)+(((H123-B123*INT(H123/B123)))/C123)/100))))</f>
        <v>0</v>
      </c>
      <c r="AT123" s="57">
        <f>IF(ISERROR(IF(B123=C123,I123/C123,(INT(I123/B123)+(((I123-B123*INT(I123/B123)))/C123)/100))),0,(IF(B123=C123,I123/C123,(INT(I123/B123)+(((I123-B123*INT(I123/B123)))/C123)/100))))</f>
        <v>0</v>
      </c>
      <c r="AU123" s="57">
        <f>IF(ISERROR(IF(B123=C123,J123/C123,(INT(J123/B123)+(((J123-B123*INT(J123/B123)))/C123)/100))),0,(IF(B123=C123,J123/C123,(INT(J123/B123)+(((J123-B123*INT(J123/B123)))/C123)/100))))</f>
        <v>0</v>
      </c>
      <c r="AV123" s="57">
        <f>IF(ISERROR(IF(B123=C123,K123/C123,IF((INT(K123/B123)+(((K123-B123*INT(K123/B123)))/C123)/100)&lt;0,(INT(K123/B123)+(((K123-B123*INT(K123/B123)))/C123)/100)+(1-(B123/C123/100)),(INT(K123/B123)+(((K123-B123*INT(K123/B123)))/C123)/100)))),0,IF(B123=C123,K123/C123,IF((INT(K123/B123)+(((K123-B123*INT(K123/B123)))/C123)/100)&lt;0,(INT(K123/B123)+(((K123-B123*INT(K123/B123)))/C123)/100)+(1-(B123/C123/100)),(INT(K123/B123)+(((K123-B123*INT(K123/B123)))/C123)/100))))</f>
        <v>0</v>
      </c>
      <c r="AW123" s="57">
        <f>IF(ISERROR(IF(B123=C123,L123/C123,(INT(L123/B123)+(((L123-B123*INT(L123/B123)))/C123)/100))),0,(IF(B123=C123,L123/C123,(INT(L123/B123)+(((L123-B123*INT(L123/B123)))/C123)/100))))</f>
        <v>0</v>
      </c>
      <c r="AX123" s="57">
        <f>IF(ISERROR(IF(B123=C123,M123/C123,(INT(M123/B123)+(((M123-B123*INT(M123/B123)))/C123)/100))),0,(IF(B123=C123,M123/C123,(INT(M123/B123)+(((M123-B123*INT(M123/B123)))/C123)/100))))</f>
        <v>0</v>
      </c>
      <c r="AY123" s="57">
        <f>IF(ISERROR(IF(B123=C123,N123/C123,IF((INT(N123/B123)+(((N123-B123*INT(N123/B123)))/C123)/100)&lt;0,(INT(N123/B123)+(((N123-B123*INT(N123/B123)))/C123)/100)+(1-(B123/C123/100)),(INT(N123/B123)+(((N123-B123*INT(N123/B123)))/C123)/100)))),0,IF(B123=C123,N123/C123,IF((INT(N123/B123)+(((N123-B123*INT(N123/B123)))/C123)/100)&lt;0,(INT(N123/B123)+(((N123-B123*INT(N123/B123)))/C123)/100)+(1-(B123/C123/100)),(INT(N123/B123)+(((N123-B123*INT(N123/B123)))/C123)/100))))</f>
        <v>1.1299999999999999</v>
      </c>
      <c r="AZ123" s="57">
        <f>IF(ISERROR(IF(B123=C123,O123/C123,(INT(O123/B123)+(((O123-B123*INT(O123/B123)))/C123)/100))),0,(IF(B123=C123,O123/C123,(INT(O123/B123)+(((O123-B123*INT(O123/B123)))/C123)/100))))</f>
        <v>1.1299999999999999</v>
      </c>
      <c r="BA123" s="57">
        <f>IF(ISERROR(IF(B123=C123,P123/C123,IF((INT(P123/B123)+(((P123-B123*INT(P123/B123)))/C123)/100)&lt;0,(INT(P123/B123)+(((P123-B123*INT(P123/B123)))/C123)/100)+(1-(B123/C123/100)),(INT(P123/B123)+(((P123-B123*INT(P123/B123)))/C123)/100)))),0,IF(B123=C123,P123/C123,IF((INT(P123/B123)+(((P123-B123*INT(P123/B123)))/C123)/100)&lt;0,(INT(P123/B123)+(((P123-B123*INT(P123/B123)))/C123)/100)+(1-(B123/C123/100)),(INT(P123/B123)+(((P123-B123*INT(P123/B123)))/C123)/100))))</f>
        <v>0</v>
      </c>
      <c r="BB123" s="28">
        <f>R123</f>
        <v>250</v>
      </c>
      <c r="BC123" s="28">
        <f>S123</f>
        <v>0</v>
      </c>
      <c r="BD123" s="28">
        <f>AF123</f>
        <v>2181.8166666666666</v>
      </c>
      <c r="BE123" s="28">
        <f>T123</f>
        <v>0</v>
      </c>
      <c r="BG123" s="57">
        <f>IF(ISERROR(IF(B123=C123,V123/C123,(INT(V123/B123)+(((V123-B123*INT(V123/B123)))/C123)/100))),0,(IF(B123=C123,V123/C123,(INT(V123/B123)+(((V123-B123*INT(V123/B123)))/C123)/100))))</f>
        <v>1.1299999999999999</v>
      </c>
      <c r="BH123" s="57">
        <f>IF(ISERROR(IF(B123=C123,W123/C123,(INT(W123/B123)+(((W123-B123*INT(W123/B123)))/C123)/100))),0,(IF(B123=C123,W123/C123,(INT(W123/B123)+(((W123-B123*INT(W123/B123)))/C123)/100))))</f>
        <v>0</v>
      </c>
      <c r="BI123" s="57">
        <f>IF(ISERROR(IF(B123=C123,X123/C123,(INT(X123/B123)+(((X123-B123*INT(X123/B123)))/C123)/100))),0,(IF(B123=C123,X123/C123,(INT(X123/B123)+(((X123-B123*INT(X123/B123)))/C123)/100))))</f>
        <v>0</v>
      </c>
      <c r="BJ123" s="57">
        <f>IF(ISERROR(IF(B123=C123,Y123/C123,(INT(Y123/B123)+(((Y123-B123*INT(Y123/B123)))/C123)/100))),0,(IF(B123=C123,Y123/C123,(INT(Y123/B123)+(((Y123-B123*INT(Y123/B123)))/C123)/100))))</f>
        <v>0</v>
      </c>
      <c r="BL123" s="57">
        <f>IF(ISERROR(IF(B123=C123,AA123/C123,(INT(AA123/B123)+(((AA123-B123*INT(AA123/B123)))/C123)/100))),0,(IF(B123=C123,AA123/C123,(INT(AA123/B123)+(((AA123-B123*INT(AA123/B123)))/C123)/100))))</f>
        <v>1.1299999999999999</v>
      </c>
      <c r="BM123" s="57">
        <f>IF(ISERROR(IF(B123=C123,AB123/C123,(INT(AB123/B123)+(((AB123-B123*INT(AB123/B123)))/C123)/100))),0,(IF(B123=C123,AB123/C123,(INT(AB123/B123)+(((AB123-B123*INT(AB123/B123)))/C123)/100))))</f>
        <v>0</v>
      </c>
      <c r="BN123" s="57">
        <f>IF(ISERROR(IF(B123=C123,AC123/C123,(INT(AC123/B123)+(((AC123-B123*INT(AC123/B123)))/C123)/100))),0,(IF(B123=C123,AC123/C123,(INT(AC123/B123)+(((AC123-B123*INT(AC123/B123)))/C123)/100))))</f>
        <v>0</v>
      </c>
      <c r="BO123" s="57">
        <f>IF(ISERROR(IF(B123=C123,AD123/C123,(INT(AD123/B123)+(((AD123-B123*INT(AD123/B123)))/C123)/100))),0,(IF(B123=C123,AD123/C123,(INT(AD123/B123)+(((AD123-B123*INT(AD123/B123)))/C123)/100))))</f>
        <v>0</v>
      </c>
      <c r="BQ123" s="155" t="s">
        <v>207</v>
      </c>
    </row>
    <row r="124" spans="1:69" x14ac:dyDescent="0.35">
      <c r="A124" s="134" t="s">
        <v>276</v>
      </c>
      <c r="B124" s="113">
        <v>750</v>
      </c>
      <c r="C124" s="113">
        <v>30</v>
      </c>
      <c r="D124" s="28">
        <f>SUM(AA124:AD124)</f>
        <v>4440</v>
      </c>
      <c r="E124" s="113">
        <v>0</v>
      </c>
      <c r="F124" s="113">
        <v>0</v>
      </c>
      <c r="G124" s="28">
        <f>SUM(D124:F124)</f>
        <v>4440</v>
      </c>
      <c r="H124" s="164">
        <v>0</v>
      </c>
      <c r="I124" s="113">
        <v>0</v>
      </c>
      <c r="J124" s="125">
        <v>0</v>
      </c>
      <c r="K124" s="113">
        <v>0</v>
      </c>
      <c r="L124" s="113">
        <v>0</v>
      </c>
      <c r="M124" s="113">
        <v>0</v>
      </c>
      <c r="N124" s="28">
        <f>G124-SUM(H124:M124)</f>
        <v>4440</v>
      </c>
      <c r="O124" s="28">
        <f>SUM(V124:Y124)</f>
        <v>4440</v>
      </c>
      <c r="P124" s="28">
        <f>O124-N124</f>
        <v>0</v>
      </c>
      <c r="Q124" s="61" t="str">
        <f>IF(ISERROR(P124/SUM(H124:L124)),"",P124/SUM(H124:L124))</f>
        <v/>
      </c>
      <c r="R124" s="113">
        <v>200</v>
      </c>
      <c r="S124" s="28">
        <f>IF(ISERROR(P124/C124*R124),0,(P124/C124*R124))</f>
        <v>0</v>
      </c>
      <c r="T124" s="60">
        <f>IF(ISERROR(P124/B124*AF124),0,(P124/B124*AF124))</f>
        <v>0</v>
      </c>
      <c r="V124" s="113">
        <f>1*750+23*30</f>
        <v>1440</v>
      </c>
      <c r="W124" s="113">
        <f>4*750</f>
        <v>3000</v>
      </c>
      <c r="X124" s="113">
        <v>0</v>
      </c>
      <c r="Y124" s="113">
        <v>0</v>
      </c>
      <c r="AA124" s="113">
        <f>1*750+23*30</f>
        <v>1440</v>
      </c>
      <c r="AB124" s="113">
        <f>4*750</f>
        <v>3000</v>
      </c>
      <c r="AC124" s="113">
        <v>0</v>
      </c>
      <c r="AD124" s="113">
        <v>0</v>
      </c>
      <c r="AF124" s="162">
        <v>2500</v>
      </c>
      <c r="AG124" s="28">
        <f>G124-O124</f>
        <v>0</v>
      </c>
      <c r="AH124" s="58">
        <f>IF(ISERROR(AG124/B124*AF124),0,(AG124/B124*AF124))</f>
        <v>0</v>
      </c>
      <c r="AI124" s="28">
        <f>SUM(H124:M124)</f>
        <v>0</v>
      </c>
      <c r="AJ124" s="28">
        <f>IF(ISERROR(AI124/B124*AF124),0,(AI124/B124*AF124))</f>
        <v>0</v>
      </c>
      <c r="AK124" s="58">
        <f>IF(ISERROR(O124/B124*AF124),0,(O124/B124*AF124))</f>
        <v>14800</v>
      </c>
      <c r="AL124" s="28">
        <f>IF(ISERROR(H124/B124*AF124),0,(H124/B124*AF124))</f>
        <v>0</v>
      </c>
      <c r="AN124" s="51" t="str">
        <f>A124</f>
        <v xml:space="preserve">Tequila Camino Real Blanco </v>
      </c>
      <c r="AO124" s="57">
        <f>IF(ISERROR(IF(B124=C124,D124/C124,(INT(D124/B124)+(((D124-B124*INT(D124/B124)))/C124)/100))),0,(IF(B124=C124,D124/C124,(INT(D124/B124)+(((D124-B124*INT(D124/B124)))/C124)/100))))</f>
        <v>5.23</v>
      </c>
      <c r="AP124" s="57">
        <f>IF(ISERROR(IF(B124=C124,E124/C124,(INT(E124/B124)+(((E124-B124*INT(E124/B124)))/C124)/100))),0,(IF(B124=C124,E124/C124,(INT(E124/B124)+(((E124-B124*INT(E124/B124)))/C124)/100))))</f>
        <v>0</v>
      </c>
      <c r="AQ124" s="57">
        <f>IF(ISERROR(IF(B124=C124,F124/C124,IF((INT(F124/B124)+(((F124-B124*INT(F124/B124)))/C124)/100)&lt;0,(INT(F124/B124)+(((F124-B124*INT(F124/B124)))/C124)/100)+(1-(B124/C124/100)),(INT(F124/B124)+(((F124-B124*INT(F124/B124)))/C124)/100)))),0,IF(B124=C124,F124/C124,IF((INT(F124/B124)+(((F124-B124*INT(F124/B124)))/C124)/100)&lt;0,(INT(F124/B124)+(((F124-B124*INT(F124/B124)))/C124)/100)+(1-(B124/C124/100)),(INT(F124/B124)+(((F124-B124*INT(F124/B124)))/C124)/100))))</f>
        <v>0</v>
      </c>
      <c r="AR124" s="57">
        <f>IF(ISERROR(IF(B124=C124,G124/C124,(INT(G124/B124)+(((G124-B124*INT(G124/B124)))/C124)/100))),0,(IF(B124=C124,G124/C124,(INT(G124/B124)+(((G124-B124*INT(G124/B124)))/C124)/100))))</f>
        <v>5.23</v>
      </c>
      <c r="AS124" s="57">
        <f>IF(ISERROR(IF(B124=C124,H124/C124,(INT(H124/B124)+(((H124-B124*INT(H124/B124)))/C124)/100))),0,(IF(B124=C124,H124/C124,(INT(H124/B124)+(((H124-B124*INT(H124/B124)))/C124)/100))))</f>
        <v>0</v>
      </c>
      <c r="AT124" s="57">
        <f>IF(ISERROR(IF(B124=C124,I124/C124,(INT(I124/B124)+(((I124-B124*INT(I124/B124)))/C124)/100))),0,(IF(B124=C124,I124/C124,(INT(I124/B124)+(((I124-B124*INT(I124/B124)))/C124)/100))))</f>
        <v>0</v>
      </c>
      <c r="AU124" s="57">
        <f>IF(ISERROR(IF(B124=C124,J124/C124,(INT(J124/B124)+(((J124-B124*INT(J124/B124)))/C124)/100))),0,(IF(B124=C124,J124/C124,(INT(J124/B124)+(((J124-B124*INT(J124/B124)))/C124)/100))))</f>
        <v>0</v>
      </c>
      <c r="AV124" s="57">
        <f>IF(ISERROR(IF(B124=C124,K124/C124,IF((INT(K124/B124)+(((K124-B124*INT(K124/B124)))/C124)/100)&lt;0,(INT(K124/B124)+(((K124-B124*INT(K124/B124)))/C124)/100)+(1-(B124/C124/100)),(INT(K124/B124)+(((K124-B124*INT(K124/B124)))/C124)/100)))),0,IF(B124=C124,K124/C124,IF((INT(K124/B124)+(((K124-B124*INT(K124/B124)))/C124)/100)&lt;0,(INT(K124/B124)+(((K124-B124*INT(K124/B124)))/C124)/100)+(1-(B124/C124/100)),(INT(K124/B124)+(((K124-B124*INT(K124/B124)))/C124)/100))))</f>
        <v>0</v>
      </c>
      <c r="AW124" s="57">
        <f>IF(ISERROR(IF(B124=C124,L124/C124,(INT(L124/B124)+(((L124-B124*INT(L124/B124)))/C124)/100))),0,(IF(B124=C124,L124/C124,(INT(L124/B124)+(((L124-B124*INT(L124/B124)))/C124)/100))))</f>
        <v>0</v>
      </c>
      <c r="AX124" s="57">
        <f>IF(ISERROR(IF(B124=C124,M124/C124,(INT(M124/B124)+(((M124-B124*INT(M124/B124)))/C124)/100))),0,(IF(B124=C124,M124/C124,(INT(M124/B124)+(((M124-B124*INT(M124/B124)))/C124)/100))))</f>
        <v>0</v>
      </c>
      <c r="AY124" s="57">
        <f>IF(ISERROR(IF(B124=C124,N124/C124,IF((INT(N124/B124)+(((N124-B124*INT(N124/B124)))/C124)/100)&lt;0,(INT(N124/B124)+(((N124-B124*INT(N124/B124)))/C124)/100)+(1-(B124/C124/100)),(INT(N124/B124)+(((N124-B124*INT(N124/B124)))/C124)/100)))),0,IF(B124=C124,N124/C124,IF((INT(N124/B124)+(((N124-B124*INT(N124/B124)))/C124)/100)&lt;0,(INT(N124/B124)+(((N124-B124*INT(N124/B124)))/C124)/100)+(1-(B124/C124/100)),(INT(N124/B124)+(((N124-B124*INT(N124/B124)))/C124)/100))))</f>
        <v>5.23</v>
      </c>
      <c r="AZ124" s="57">
        <f>IF(ISERROR(IF(B124=C124,O124/C124,(INT(O124/B124)+(((O124-B124*INT(O124/B124)))/C124)/100))),0,(IF(B124=C124,O124/C124,(INT(O124/B124)+(((O124-B124*INT(O124/B124)))/C124)/100))))</f>
        <v>5.23</v>
      </c>
      <c r="BA124" s="57">
        <f>IF(ISERROR(IF(B124=C124,P124/C124,IF((INT(P124/B124)+(((P124-B124*INT(P124/B124)))/C124)/100)&lt;0,(INT(P124/B124)+(((P124-B124*INT(P124/B124)))/C124)/100)+(1-(B124/C124/100)),(INT(P124/B124)+(((P124-B124*INT(P124/B124)))/C124)/100)))),0,IF(B124=C124,P124/C124,IF((INT(P124/B124)+(((P124-B124*INT(P124/B124)))/C124)/100)&lt;0,(INT(P124/B124)+(((P124-B124*INT(P124/B124)))/C124)/100)+(1-(B124/C124/100)),(INT(P124/B124)+(((P124-B124*INT(P124/B124)))/C124)/100))))</f>
        <v>0</v>
      </c>
      <c r="BB124" s="28">
        <f>R124</f>
        <v>200</v>
      </c>
      <c r="BC124" s="28">
        <f>S124</f>
        <v>0</v>
      </c>
      <c r="BD124" s="28">
        <f>AF124</f>
        <v>2500</v>
      </c>
      <c r="BE124" s="28">
        <f>T124</f>
        <v>0</v>
      </c>
      <c r="BG124" s="57">
        <f>IF(ISERROR(IF(B124=C124,V124/C124,(INT(V124/B124)+(((V124-B124*INT(V124/B124)))/C124)/100))),0,(IF(B124=C124,V124/C124,(INT(V124/B124)+(((V124-B124*INT(V124/B124)))/C124)/100))))</f>
        <v>1.23</v>
      </c>
      <c r="BH124" s="57">
        <f>IF(ISERROR(IF(B124=C124,W124/C124,(INT(W124/B124)+(((W124-B124*INT(W124/B124)))/C124)/100))),0,(IF(B124=C124,W124/C124,(INT(W124/B124)+(((W124-B124*INT(W124/B124)))/C124)/100))))</f>
        <v>4</v>
      </c>
      <c r="BI124" s="57">
        <f>IF(ISERROR(IF(B124=C124,X124/C124,(INT(X124/B124)+(((X124-B124*INT(X124/B124)))/C124)/100))),0,(IF(B124=C124,X124/C124,(INT(X124/B124)+(((X124-B124*INT(X124/B124)))/C124)/100))))</f>
        <v>0</v>
      </c>
      <c r="BJ124" s="57">
        <f>IF(ISERROR(IF(B124=C124,Y124/C124,(INT(Y124/B124)+(((Y124-B124*INT(Y124/B124)))/C124)/100))),0,(IF(B124=C124,Y124/C124,(INT(Y124/B124)+(((Y124-B124*INT(Y124/B124)))/C124)/100))))</f>
        <v>0</v>
      </c>
      <c r="BL124" s="57">
        <f>IF(ISERROR(IF(B124=C124,AA124/C124,(INT(AA124/B124)+(((AA124-B124*INT(AA124/B124)))/C124)/100))),0,(IF(B124=C124,AA124/C124,(INT(AA124/B124)+(((AA124-B124*INT(AA124/B124)))/C124)/100))))</f>
        <v>1.23</v>
      </c>
      <c r="BM124" s="57">
        <f>IF(ISERROR(IF(B124=C124,AB124/C124,(INT(AB124/B124)+(((AB124-B124*INT(AB124/B124)))/C124)/100))),0,(IF(B124=C124,AB124/C124,(INT(AB124/B124)+(((AB124-B124*INT(AB124/B124)))/C124)/100))))</f>
        <v>4</v>
      </c>
      <c r="BN124" s="57">
        <f>IF(ISERROR(IF(B124=C124,AC124/C124,(INT(AC124/B124)+(((AC124-B124*INT(AC124/B124)))/C124)/100))),0,(IF(B124=C124,AC124/C124,(INT(AC124/B124)+(((AC124-B124*INT(AC124/B124)))/C124)/100))))</f>
        <v>0</v>
      </c>
      <c r="BO124" s="57">
        <f>IF(ISERROR(IF(B124=C124,AD124/C124,(INT(AD124/B124)+(((AD124-B124*INT(AD124/B124)))/C124)/100))),0,(IF(B124=C124,AD124/C124,(INT(AD124/B124)+(((AD124-B124*INT(AD124/B124)))/C124)/100))))</f>
        <v>0</v>
      </c>
      <c r="BQ124" s="155" t="s">
        <v>257</v>
      </c>
    </row>
    <row r="125" spans="1:69" x14ac:dyDescent="0.35">
      <c r="A125" s="94" t="s">
        <v>275</v>
      </c>
      <c r="B125" s="113">
        <v>750</v>
      </c>
      <c r="C125" s="113">
        <v>30</v>
      </c>
      <c r="D125" s="28">
        <f>SUM(AA125:AD125)</f>
        <v>1050</v>
      </c>
      <c r="E125" s="113">
        <v>0</v>
      </c>
      <c r="F125" s="113">
        <v>0</v>
      </c>
      <c r="G125" s="28">
        <f>SUM(D125:F125)</f>
        <v>1050</v>
      </c>
      <c r="H125" s="125">
        <v>0</v>
      </c>
      <c r="I125" s="113">
        <v>0</v>
      </c>
      <c r="J125" s="125">
        <v>0</v>
      </c>
      <c r="K125" s="113">
        <v>0</v>
      </c>
      <c r="L125" s="113">
        <v>0</v>
      </c>
      <c r="M125" s="113">
        <v>0</v>
      </c>
      <c r="N125" s="28">
        <f>G125-SUM(H125:M125)</f>
        <v>1050</v>
      </c>
      <c r="O125" s="28">
        <f>SUM(V125:Y125)</f>
        <v>1050</v>
      </c>
      <c r="P125" s="28">
        <f>O125-N125</f>
        <v>0</v>
      </c>
      <c r="Q125" s="61" t="str">
        <f>IF(ISERROR(P125/SUM(H125:L125)),"",P125/SUM(H125:L125))</f>
        <v/>
      </c>
      <c r="R125" s="113">
        <v>0</v>
      </c>
      <c r="S125" s="28">
        <f>IF(ISERROR(P125/C125*R125),0,(P125/C125*R125))</f>
        <v>0</v>
      </c>
      <c r="T125" s="60">
        <f>IF(ISERROR(P125/B125*AF125),0,(P125/B125*AF125))</f>
        <v>0</v>
      </c>
      <c r="V125" s="113">
        <f>1*750+10*30</f>
        <v>1050</v>
      </c>
      <c r="W125" s="113">
        <v>0</v>
      </c>
      <c r="X125" s="113">
        <v>0</v>
      </c>
      <c r="Y125" s="113">
        <v>0</v>
      </c>
      <c r="AA125" s="113">
        <f>1*750+10*30</f>
        <v>1050</v>
      </c>
      <c r="AB125" s="113">
        <v>0</v>
      </c>
      <c r="AC125" s="113">
        <v>0</v>
      </c>
      <c r="AD125" s="113">
        <v>0</v>
      </c>
      <c r="AF125" s="155">
        <v>1148.8333333333301</v>
      </c>
      <c r="AG125" s="28">
        <f>G125-O125</f>
        <v>0</v>
      </c>
      <c r="AH125" s="58">
        <f>IF(ISERROR(AG125/B125*AF125),0,(AG125/B125*AF125))</f>
        <v>0</v>
      </c>
      <c r="AI125" s="28">
        <f>SUM(H125:M125)</f>
        <v>0</v>
      </c>
      <c r="AJ125" s="28">
        <f>IF(ISERROR(AI125/B125*AF125),0,(AI125/B125*AF125))</f>
        <v>0</v>
      </c>
      <c r="AK125" s="58">
        <f>IF(ISERROR(O125/B125*AF125),0,(O125/B125*AF125))</f>
        <v>1608.366666666662</v>
      </c>
      <c r="AL125" s="28">
        <f>IF(ISERROR(H125/B125*AF125),0,(H125/B125*AF125))</f>
        <v>0</v>
      </c>
      <c r="AN125" s="51" t="str">
        <f>A125</f>
        <v xml:space="preserve">Mateus Rose </v>
      </c>
      <c r="AO125" s="57">
        <f>IF(ISERROR(IF(B125=C125,D125/C125,(INT(D125/B125)+(((D125-B125*INT(D125/B125)))/C125)/100))),0,(IF(B125=C125,D125/C125,(INT(D125/B125)+(((D125-B125*INT(D125/B125)))/C125)/100))))</f>
        <v>1.1000000000000001</v>
      </c>
      <c r="AP125" s="57">
        <f>IF(ISERROR(IF(B125=C125,E125/C125,(INT(E125/B125)+(((E125-B125*INT(E125/B125)))/C125)/100))),0,(IF(B125=C125,E125/C125,(INT(E125/B125)+(((E125-B125*INT(E125/B125)))/C125)/100))))</f>
        <v>0</v>
      </c>
      <c r="AQ125" s="57">
        <f>IF(ISERROR(IF(B125=C125,F125/C125,IF((INT(F125/B125)+(((F125-B125*INT(F125/B125)))/C125)/100)&lt;0,(INT(F125/B125)+(((F125-B125*INT(F125/B125)))/C125)/100)+(1-(B125/C125/100)),(INT(F125/B125)+(((F125-B125*INT(F125/B125)))/C125)/100)))),0,IF(B125=C125,F125/C125,IF((INT(F125/B125)+(((F125-B125*INT(F125/B125)))/C125)/100)&lt;0,(INT(F125/B125)+(((F125-B125*INT(F125/B125)))/C125)/100)+(1-(B125/C125/100)),(INT(F125/B125)+(((F125-B125*INT(F125/B125)))/C125)/100))))</f>
        <v>0</v>
      </c>
      <c r="AR125" s="57">
        <f>IF(ISERROR(IF(B125=C125,G125/C125,(INT(G125/B125)+(((G125-B125*INT(G125/B125)))/C125)/100))),0,(IF(B125=C125,G125/C125,(INT(G125/B125)+(((G125-B125*INT(G125/B125)))/C125)/100))))</f>
        <v>1.1000000000000001</v>
      </c>
      <c r="AS125" s="57">
        <f>IF(ISERROR(IF(B125=C125,H125/C125,(INT(H125/B125)+(((H125-B125*INT(H125/B125)))/C125)/100))),0,(IF(B125=C125,H125/C125,(INT(H125/B125)+(((H125-B125*INT(H125/B125)))/C125)/100))))</f>
        <v>0</v>
      </c>
      <c r="AT125" s="57">
        <f>IF(ISERROR(IF(B125=C125,I125/C125,(INT(I125/B125)+(((I125-B125*INT(I125/B125)))/C125)/100))),0,(IF(B125=C125,I125/C125,(INT(I125/B125)+(((I125-B125*INT(I125/B125)))/C125)/100))))</f>
        <v>0</v>
      </c>
      <c r="AU125" s="57">
        <f>IF(ISERROR(IF(B125=C125,J125/C125,(INT(J125/B125)+(((J125-B125*INT(J125/B125)))/C125)/100))),0,(IF(B125=C125,J125/C125,(INT(J125/B125)+(((J125-B125*INT(J125/B125)))/C125)/100))))</f>
        <v>0</v>
      </c>
      <c r="AV125" s="57">
        <f>IF(ISERROR(IF(B125=C125,K125/C125,IF((INT(K125/B125)+(((K125-B125*INT(K125/B125)))/C125)/100)&lt;0,(INT(K125/B125)+(((K125-B125*INT(K125/B125)))/C125)/100)+(1-(B125/C125/100)),(INT(K125/B125)+(((K125-B125*INT(K125/B125)))/C125)/100)))),0,IF(B125=C125,K125/C125,IF((INT(K125/B125)+(((K125-B125*INT(K125/B125)))/C125)/100)&lt;0,(INT(K125/B125)+(((K125-B125*INT(K125/B125)))/C125)/100)+(1-(B125/C125/100)),(INT(K125/B125)+(((K125-B125*INT(K125/B125)))/C125)/100))))</f>
        <v>0</v>
      </c>
      <c r="AW125" s="57">
        <f>IF(ISERROR(IF(B125=C125,L125/C125,(INT(L125/B125)+(((L125-B125*INT(L125/B125)))/C125)/100))),0,(IF(B125=C125,L125/C125,(INT(L125/B125)+(((L125-B125*INT(L125/B125)))/C125)/100))))</f>
        <v>0</v>
      </c>
      <c r="AX125" s="57">
        <f>IF(ISERROR(IF(B125=C125,M125/C125,(INT(M125/B125)+(((M125-B125*INT(M125/B125)))/C125)/100))),0,(IF(B125=C125,M125/C125,(INT(M125/B125)+(((M125-B125*INT(M125/B125)))/C125)/100))))</f>
        <v>0</v>
      </c>
      <c r="AY125" s="57">
        <f>IF(ISERROR(IF(B125=C125,N125/C125,IF((INT(N125/B125)+(((N125-B125*INT(N125/B125)))/C125)/100)&lt;0,(INT(N125/B125)+(((N125-B125*INT(N125/B125)))/C125)/100)+(1-(B125/C125/100)),(INT(N125/B125)+(((N125-B125*INT(N125/B125)))/C125)/100)))),0,IF(B125=C125,N125/C125,IF((INT(N125/B125)+(((N125-B125*INT(N125/B125)))/C125)/100)&lt;0,(INT(N125/B125)+(((N125-B125*INT(N125/B125)))/C125)/100)+(1-(B125/C125/100)),(INT(N125/B125)+(((N125-B125*INT(N125/B125)))/C125)/100))))</f>
        <v>1.1000000000000001</v>
      </c>
      <c r="AZ125" s="57">
        <f>IF(ISERROR(IF(B125=C125,O125/C125,(INT(O125/B125)+(((O125-B125*INT(O125/B125)))/C125)/100))),0,(IF(B125=C125,O125/C125,(INT(O125/B125)+(((O125-B125*INT(O125/B125)))/C125)/100))))</f>
        <v>1.1000000000000001</v>
      </c>
      <c r="BA125" s="57">
        <f>IF(ISERROR(IF(B125=C125,P125/C125,IF((INT(P125/B125)+(((P125-B125*INT(P125/B125)))/C125)/100)&lt;0,(INT(P125/B125)+(((P125-B125*INT(P125/B125)))/C125)/100)+(1-(B125/C125/100)),(INT(P125/B125)+(((P125-B125*INT(P125/B125)))/C125)/100)))),0,IF(B125=C125,P125/C125,IF((INT(P125/B125)+(((P125-B125*INT(P125/B125)))/C125)/100)&lt;0,(INT(P125/B125)+(((P125-B125*INT(P125/B125)))/C125)/100)+(1-(B125/C125/100)),(INT(P125/B125)+(((P125-B125*INT(P125/B125)))/C125)/100))))</f>
        <v>0</v>
      </c>
      <c r="BB125" s="28">
        <f>R125</f>
        <v>0</v>
      </c>
      <c r="BC125" s="28">
        <f>S125</f>
        <v>0</v>
      </c>
      <c r="BD125" s="28">
        <f>AF125</f>
        <v>1148.8333333333301</v>
      </c>
      <c r="BE125" s="28">
        <f>T125</f>
        <v>0</v>
      </c>
      <c r="BG125" s="57">
        <f>IF(ISERROR(IF(B125=C125,V125/C125,(INT(V125/B125)+(((V125-B125*INT(V125/B125)))/C125)/100))),0,(IF(B125=C125,V125/C125,(INT(V125/B125)+(((V125-B125*INT(V125/B125)))/C125)/100))))</f>
        <v>1.1000000000000001</v>
      </c>
      <c r="BH125" s="57">
        <f>IF(ISERROR(IF(B125=C125,W125/C125,(INT(W125/B125)+(((W125-B125*INT(W125/B125)))/C125)/100))),0,(IF(B125=C125,W125/C125,(INT(W125/B125)+(((W125-B125*INT(W125/B125)))/C125)/100))))</f>
        <v>0</v>
      </c>
      <c r="BI125" s="57">
        <f>IF(ISERROR(IF(B125=C125,X125/C125,(INT(X125/B125)+(((X125-B125*INT(X125/B125)))/C125)/100))),0,(IF(B125=C125,X125/C125,(INT(X125/B125)+(((X125-B125*INT(X125/B125)))/C125)/100))))</f>
        <v>0</v>
      </c>
      <c r="BJ125" s="57">
        <f>IF(ISERROR(IF(B125=C125,Y125/C125,(INT(Y125/B125)+(((Y125-B125*INT(Y125/B125)))/C125)/100))),0,(IF(B125=C125,Y125/C125,(INT(Y125/B125)+(((Y125-B125*INT(Y125/B125)))/C125)/100))))</f>
        <v>0</v>
      </c>
      <c r="BL125" s="57">
        <f>IF(ISERROR(IF(B125=C125,AA125/C125,(INT(AA125/B125)+(((AA125-B125*INT(AA125/B125)))/C125)/100))),0,(IF(B125=C125,AA125/C125,(INT(AA125/B125)+(((AA125-B125*INT(AA125/B125)))/C125)/100))))</f>
        <v>1.1000000000000001</v>
      </c>
      <c r="BM125" s="57">
        <f>IF(ISERROR(IF(B125=C125,AB125/C125,(INT(AB125/B125)+(((AB125-B125*INT(AB125/B125)))/C125)/100))),0,(IF(B125=C125,AB125/C125,(INT(AB125/B125)+(((AB125-B125*INT(AB125/B125)))/C125)/100))))</f>
        <v>0</v>
      </c>
      <c r="BN125" s="57">
        <f>IF(ISERROR(IF(B125=C125,AC125/C125,(INT(AC125/B125)+(((AC125-B125*INT(AC125/B125)))/C125)/100))),0,(IF(B125=C125,AC125/C125,(INT(AC125/B125)+(((AC125-B125*INT(AC125/B125)))/C125)/100))))</f>
        <v>0</v>
      </c>
      <c r="BO125" s="57">
        <f>IF(ISERROR(IF(B125=C125,AD125/C125,(INT(AD125/B125)+(((AD125-B125*INT(AD125/B125)))/C125)/100))),0,(IF(B125=C125,AD125/C125,(INT(AD125/B125)+(((AD125-B125*INT(AD125/B125)))/C125)/100))))</f>
        <v>0</v>
      </c>
      <c r="BQ125" s="155" t="s">
        <v>274</v>
      </c>
    </row>
    <row r="126" spans="1:69" x14ac:dyDescent="0.35">
      <c r="A126" s="165" t="s">
        <v>273</v>
      </c>
      <c r="B126" s="113">
        <v>750</v>
      </c>
      <c r="C126" s="113">
        <v>30</v>
      </c>
      <c r="D126" s="28">
        <f>SUM(AA126:AD126)</f>
        <v>1440</v>
      </c>
      <c r="E126" s="113">
        <v>0</v>
      </c>
      <c r="F126" s="113">
        <v>0</v>
      </c>
      <c r="G126" s="28">
        <f>SUM(D126:F126)</f>
        <v>1440</v>
      </c>
      <c r="H126" s="164">
        <v>0</v>
      </c>
      <c r="I126" s="113">
        <v>0</v>
      </c>
      <c r="J126" s="125">
        <v>0</v>
      </c>
      <c r="K126" s="113">
        <v>0</v>
      </c>
      <c r="L126" s="113">
        <v>0</v>
      </c>
      <c r="M126" s="113">
        <v>0</v>
      </c>
      <c r="N126" s="28">
        <f>G126-SUM(H126:M126)</f>
        <v>1440</v>
      </c>
      <c r="O126" s="28">
        <f>SUM(V126:Y126)</f>
        <v>1440</v>
      </c>
      <c r="P126" s="28">
        <f>O126-N126</f>
        <v>0</v>
      </c>
      <c r="Q126" s="61" t="str">
        <f>IF(ISERROR(P126/SUM(H126:L126)),"",P126/SUM(H126:L126))</f>
        <v/>
      </c>
      <c r="R126" s="113">
        <v>400</v>
      </c>
      <c r="S126" s="28">
        <f>IF(ISERROR(P126/C126*R126),0,(P126/C126*R126))</f>
        <v>0</v>
      </c>
      <c r="T126" s="60">
        <f>IF(ISERROR(P126/B126*AF126),0,(P126/B126*AF126))</f>
        <v>0</v>
      </c>
      <c r="V126" s="113">
        <f>1*750+23*30</f>
        <v>1440</v>
      </c>
      <c r="W126" s="113">
        <v>0</v>
      </c>
      <c r="X126" s="113">
        <v>0</v>
      </c>
      <c r="Y126" s="113">
        <v>0</v>
      </c>
      <c r="AA126" s="113">
        <f>1*750+23*30</f>
        <v>1440</v>
      </c>
      <c r="AB126" s="113">
        <v>0</v>
      </c>
      <c r="AC126" s="113">
        <v>0</v>
      </c>
      <c r="AD126" s="113">
        <v>0</v>
      </c>
      <c r="AF126" s="162">
        <f>58853.5/12</f>
        <v>4904.458333333333</v>
      </c>
      <c r="AG126" s="28">
        <f>G126-O126</f>
        <v>0</v>
      </c>
      <c r="AH126" s="58">
        <f>IF(ISERROR(AG126/B126*AF126),0,(AG126/B126*AF126))</f>
        <v>0</v>
      </c>
      <c r="AI126" s="28">
        <f>SUM(H126:M126)</f>
        <v>0</v>
      </c>
      <c r="AJ126" s="28">
        <f>IF(ISERROR(AI126/B126*AF126),0,(AI126/B126*AF126))</f>
        <v>0</v>
      </c>
      <c r="AK126" s="58">
        <f>IF(ISERROR(O126/B126*AF126),0,(O126/B126*AF126))</f>
        <v>9416.56</v>
      </c>
      <c r="AL126" s="28">
        <f>IF(ISERROR(H126/B126*AF126),0,(H126/B126*AF126))</f>
        <v>0</v>
      </c>
      <c r="AN126" s="51" t="str">
        <f>A126</f>
        <v>Jagamister 750ml</v>
      </c>
      <c r="AO126" s="57">
        <f>IF(ISERROR(IF(B126=C126,D126/C126,(INT(D126/B126)+(((D126-B126*INT(D126/B126)))/C126)/100))),0,(IF(B126=C126,D126/C126,(INT(D126/B126)+(((D126-B126*INT(D126/B126)))/C126)/100))))</f>
        <v>1.23</v>
      </c>
      <c r="AP126" s="57">
        <f>IF(ISERROR(IF(B126=C126,E126/C126,(INT(E126/B126)+(((E126-B126*INT(E126/B126)))/C126)/100))),0,(IF(B126=C126,E126/C126,(INT(E126/B126)+(((E126-B126*INT(E126/B126)))/C126)/100))))</f>
        <v>0</v>
      </c>
      <c r="AQ126" s="57">
        <f>IF(ISERROR(IF(B126=C126,F126/C126,IF((INT(F126/B126)+(((F126-B126*INT(F126/B126)))/C126)/100)&lt;0,(INT(F126/B126)+(((F126-B126*INT(F126/B126)))/C126)/100)+(1-(B126/C126/100)),(INT(F126/B126)+(((F126-B126*INT(F126/B126)))/C126)/100)))),0,IF(B126=C126,F126/C126,IF((INT(F126/B126)+(((F126-B126*INT(F126/B126)))/C126)/100)&lt;0,(INT(F126/B126)+(((F126-B126*INT(F126/B126)))/C126)/100)+(1-(B126/C126/100)),(INT(F126/B126)+(((F126-B126*INT(F126/B126)))/C126)/100))))</f>
        <v>0</v>
      </c>
      <c r="AR126" s="57">
        <f>IF(ISERROR(IF(B126=C126,G126/C126,(INT(G126/B126)+(((G126-B126*INT(G126/B126)))/C126)/100))),0,(IF(B126=C126,G126/C126,(INT(G126/B126)+(((G126-B126*INT(G126/B126)))/C126)/100))))</f>
        <v>1.23</v>
      </c>
      <c r="AS126" s="57">
        <f>IF(ISERROR(IF(B126=C126,H126/C126,(INT(H126/B126)+(((H126-B126*INT(H126/B126)))/C126)/100))),0,(IF(B126=C126,H126/C126,(INT(H126/B126)+(((H126-B126*INT(H126/B126)))/C126)/100))))</f>
        <v>0</v>
      </c>
      <c r="AT126" s="57">
        <f>IF(ISERROR(IF(B126=C126,I126/C126,(INT(I126/B126)+(((I126-B126*INT(I126/B126)))/C126)/100))),0,(IF(B126=C126,I126/C126,(INT(I126/B126)+(((I126-B126*INT(I126/B126)))/C126)/100))))</f>
        <v>0</v>
      </c>
      <c r="AU126" s="57">
        <f>IF(ISERROR(IF(B126=C126,J126/C126,(INT(J126/B126)+(((J126-B126*INT(J126/B126)))/C126)/100))),0,(IF(B126=C126,J126/C126,(INT(J126/B126)+(((J126-B126*INT(J126/B126)))/C126)/100))))</f>
        <v>0</v>
      </c>
      <c r="AV126" s="57">
        <f>IF(ISERROR(IF(B126=C126,K126/C126,IF((INT(K126/B126)+(((K126-B126*INT(K126/B126)))/C126)/100)&lt;0,(INT(K126/B126)+(((K126-B126*INT(K126/B126)))/C126)/100)+(1-(B126/C126/100)),(INT(K126/B126)+(((K126-B126*INT(K126/B126)))/C126)/100)))),0,IF(B126=C126,K126/C126,IF((INT(K126/B126)+(((K126-B126*INT(K126/B126)))/C126)/100)&lt;0,(INT(K126/B126)+(((K126-B126*INT(K126/B126)))/C126)/100)+(1-(B126/C126/100)),(INT(K126/B126)+(((K126-B126*INT(K126/B126)))/C126)/100))))</f>
        <v>0</v>
      </c>
      <c r="AW126" s="57">
        <f>IF(ISERROR(IF(B126=C126,L126/C126,(INT(L126/B126)+(((L126-B126*INT(L126/B126)))/C126)/100))),0,(IF(B126=C126,L126/C126,(INT(L126/B126)+(((L126-B126*INT(L126/B126)))/C126)/100))))</f>
        <v>0</v>
      </c>
      <c r="AX126" s="57">
        <f>IF(ISERROR(IF(B126=C126,M126/C126,(INT(M126/B126)+(((M126-B126*INT(M126/B126)))/C126)/100))),0,(IF(B126=C126,M126/C126,(INT(M126/B126)+(((M126-B126*INT(M126/B126)))/C126)/100))))</f>
        <v>0</v>
      </c>
      <c r="AY126" s="57">
        <f>IF(ISERROR(IF(B126=C126,N126/C126,IF((INT(N126/B126)+(((N126-B126*INT(N126/B126)))/C126)/100)&lt;0,(INT(N126/B126)+(((N126-B126*INT(N126/B126)))/C126)/100)+(1-(B126/C126/100)),(INT(N126/B126)+(((N126-B126*INT(N126/B126)))/C126)/100)))),0,IF(B126=C126,N126/C126,IF((INT(N126/B126)+(((N126-B126*INT(N126/B126)))/C126)/100)&lt;0,(INT(N126/B126)+(((N126-B126*INT(N126/B126)))/C126)/100)+(1-(B126/C126/100)),(INT(N126/B126)+(((N126-B126*INT(N126/B126)))/C126)/100))))</f>
        <v>1.23</v>
      </c>
      <c r="AZ126" s="57">
        <f>IF(ISERROR(IF(B126=C126,O126/C126,(INT(O126/B126)+(((O126-B126*INT(O126/B126)))/C126)/100))),0,(IF(B126=C126,O126/C126,(INT(O126/B126)+(((O126-B126*INT(O126/B126)))/C126)/100))))</f>
        <v>1.23</v>
      </c>
      <c r="BA126" s="57">
        <f>IF(ISERROR(IF(B126=C126,P126/C126,IF((INT(P126/B126)+(((P126-B126*INT(P126/B126)))/C126)/100)&lt;0,(INT(P126/B126)+(((P126-B126*INT(P126/B126)))/C126)/100)+(1-(B126/C126/100)),(INT(P126/B126)+(((P126-B126*INT(P126/B126)))/C126)/100)))),0,IF(B126=C126,P126/C126,IF((INT(P126/B126)+(((P126-B126*INT(P126/B126)))/C126)/100)&lt;0,(INT(P126/B126)+(((P126-B126*INT(P126/B126)))/C126)/100)+(1-(B126/C126/100)),(INT(P126/B126)+(((P126-B126*INT(P126/B126)))/C126)/100))))</f>
        <v>0</v>
      </c>
      <c r="BB126" s="28">
        <f>R126</f>
        <v>400</v>
      </c>
      <c r="BC126" s="28">
        <f>S126</f>
        <v>0</v>
      </c>
      <c r="BD126" s="28">
        <f>AF126</f>
        <v>4904.458333333333</v>
      </c>
      <c r="BE126" s="28">
        <f>T126</f>
        <v>0</v>
      </c>
      <c r="BG126" s="57">
        <f>IF(ISERROR(IF(B126=C126,V126/C126,(INT(V126/B126)+(((V126-B126*INT(V126/B126)))/C126)/100))),0,(IF(B126=C126,V126/C126,(INT(V126/B126)+(((V126-B126*INT(V126/B126)))/C126)/100))))</f>
        <v>1.23</v>
      </c>
      <c r="BH126" s="57">
        <f>IF(ISERROR(IF(B126=C126,W126/C126,(INT(W126/B126)+(((W126-B126*INT(W126/B126)))/C126)/100))),0,(IF(B126=C126,W126/C126,(INT(W126/B126)+(((W126-B126*INT(W126/B126)))/C126)/100))))</f>
        <v>0</v>
      </c>
      <c r="BI126" s="57">
        <f>IF(ISERROR(IF(B126=C126,X126/C126,(INT(X126/B126)+(((X126-B126*INT(X126/B126)))/C126)/100))),0,(IF(B126=C126,X126/C126,(INT(X126/B126)+(((X126-B126*INT(X126/B126)))/C126)/100))))</f>
        <v>0</v>
      </c>
      <c r="BJ126" s="57">
        <f>IF(ISERROR(IF(B126=C126,Y126/C126,(INT(Y126/B126)+(((Y126-B126*INT(Y126/B126)))/C126)/100))),0,(IF(B126=C126,Y126/C126,(INT(Y126/B126)+(((Y126-B126*INT(Y126/B126)))/C126)/100))))</f>
        <v>0</v>
      </c>
      <c r="BL126" s="57">
        <f>IF(ISERROR(IF(B126=C126,AA126/C126,(INT(AA126/B126)+(((AA126-B126*INT(AA126/B126)))/C126)/100))),0,(IF(B126=C126,AA126/C126,(INT(AA126/B126)+(((AA126-B126*INT(AA126/B126)))/C126)/100))))</f>
        <v>1.23</v>
      </c>
      <c r="BM126" s="57">
        <f>IF(ISERROR(IF(B126=C126,AB126/C126,(INT(AB126/B126)+(((AB126-B126*INT(AB126/B126)))/C126)/100))),0,(IF(B126=C126,AB126/C126,(INT(AB126/B126)+(((AB126-B126*INT(AB126/B126)))/C126)/100))))</f>
        <v>0</v>
      </c>
      <c r="BN126" s="57">
        <f>IF(ISERROR(IF(B126=C126,AC126/C126,(INT(AC126/B126)+(((AC126-B126*INT(AC126/B126)))/C126)/100))),0,(IF(B126=C126,AC126/C126,(INT(AC126/B126)+(((AC126-B126*INT(AC126/B126)))/C126)/100))))</f>
        <v>0</v>
      </c>
      <c r="BO126" s="57">
        <f>IF(ISERROR(IF(B126=C126,AD126/C126,(INT(AD126/B126)+(((AD126-B126*INT(AD126/B126)))/C126)/100))),0,(IF(B126=C126,AD126/C126,(INT(AD126/B126)+(((AD126-B126*INT(AD126/B126)))/C126)/100))))</f>
        <v>0</v>
      </c>
      <c r="BQ126" s="155" t="s">
        <v>232</v>
      </c>
    </row>
    <row r="127" spans="1:69" x14ac:dyDescent="0.35">
      <c r="A127" s="134" t="s">
        <v>272</v>
      </c>
      <c r="B127" s="113">
        <v>750</v>
      </c>
      <c r="C127" s="113">
        <v>30</v>
      </c>
      <c r="D127" s="28">
        <f>SUM(AA127:AD127)</f>
        <v>3210</v>
      </c>
      <c r="E127" s="113">
        <v>0</v>
      </c>
      <c r="F127" s="113">
        <v>0</v>
      </c>
      <c r="G127" s="28">
        <f>SUM(D127:F127)</f>
        <v>3210</v>
      </c>
      <c r="H127" s="125">
        <v>0</v>
      </c>
      <c r="I127" s="113">
        <v>0</v>
      </c>
      <c r="J127" s="125">
        <v>0</v>
      </c>
      <c r="K127" s="113">
        <v>0</v>
      </c>
      <c r="L127" s="113">
        <v>0</v>
      </c>
      <c r="M127" s="113">
        <v>0</v>
      </c>
      <c r="N127" s="28">
        <f>G127-SUM(H127:M127)</f>
        <v>3210</v>
      </c>
      <c r="O127" s="28">
        <f>SUM(V127:Y127)</f>
        <v>3210</v>
      </c>
      <c r="P127" s="28">
        <f>O127-N127</f>
        <v>0</v>
      </c>
      <c r="Q127" s="61" t="str">
        <f>IF(ISERROR(P127/SUM(H127:L127)),"",P127/SUM(H127:L127))</f>
        <v/>
      </c>
      <c r="R127" s="113">
        <v>210</v>
      </c>
      <c r="S127" s="28">
        <f>IF(ISERROR(P127/C127*R127),0,(P127/C127*R127))</f>
        <v>0</v>
      </c>
      <c r="T127" s="60">
        <f>IF(ISERROR(P127/B127*AF127),0,(P127/B127*AF127))</f>
        <v>0</v>
      </c>
      <c r="V127" s="113">
        <f>7*30</f>
        <v>210</v>
      </c>
      <c r="W127" s="113">
        <f>4*750</f>
        <v>3000</v>
      </c>
      <c r="X127" s="113">
        <v>0</v>
      </c>
      <c r="Y127" s="113">
        <v>0</v>
      </c>
      <c r="AA127" s="113">
        <f>7*30</f>
        <v>210</v>
      </c>
      <c r="AB127" s="113">
        <f>4*750</f>
        <v>3000</v>
      </c>
      <c r="AC127" s="113">
        <v>0</v>
      </c>
      <c r="AD127" s="113">
        <v>0</v>
      </c>
      <c r="AF127" s="113">
        <f>26181.85/12</f>
        <v>2181.8208333333332</v>
      </c>
      <c r="AG127" s="28">
        <f>G127-O127</f>
        <v>0</v>
      </c>
      <c r="AH127" s="58">
        <f>IF(ISERROR(AG127/B127*AF127),0,(AG127/B127*AF127))</f>
        <v>0</v>
      </c>
      <c r="AI127" s="28">
        <f>SUM(H127:M127)</f>
        <v>0</v>
      </c>
      <c r="AJ127" s="28">
        <f>IF(ISERROR(AI127/B127*AF127),0,(AI127/B127*AF127))</f>
        <v>0</v>
      </c>
      <c r="AK127" s="58">
        <f>IF(ISERROR(O127/B127*AF127),0,(O127/B127*AF127))</f>
        <v>9338.193166666666</v>
      </c>
      <c r="AL127" s="28">
        <f>IF(ISERROR(H127/B127*AF127),0,(H127/B127*AF127))</f>
        <v>0</v>
      </c>
      <c r="AN127" s="51" t="str">
        <f>A127</f>
        <v>Ballantains Finast Whisky</v>
      </c>
      <c r="AO127" s="57">
        <f>IF(ISERROR(IF(B127=C127,D127/C127,(INT(D127/B127)+(((D127-B127*INT(D127/B127)))/C127)/100))),0,(IF(B127=C127,D127/C127,(INT(D127/B127)+(((D127-B127*INT(D127/B127)))/C127)/100))))</f>
        <v>4.07</v>
      </c>
      <c r="AP127" s="57">
        <f>IF(ISERROR(IF(B127=C127,E127/C127,(INT(E127/B127)+(((E127-B127*INT(E127/B127)))/C127)/100))),0,(IF(B127=C127,E127/C127,(INT(E127/B127)+(((E127-B127*INT(E127/B127)))/C127)/100))))</f>
        <v>0</v>
      </c>
      <c r="AQ127" s="57">
        <f>IF(ISERROR(IF(B127=C127,F127/C127,IF((INT(F127/B127)+(((F127-B127*INT(F127/B127)))/C127)/100)&lt;0,(INT(F127/B127)+(((F127-B127*INT(F127/B127)))/C127)/100)+(1-(B127/C127/100)),(INT(F127/B127)+(((F127-B127*INT(F127/B127)))/C127)/100)))),0,IF(B127=C127,F127/C127,IF((INT(F127/B127)+(((F127-B127*INT(F127/B127)))/C127)/100)&lt;0,(INT(F127/B127)+(((F127-B127*INT(F127/B127)))/C127)/100)+(1-(B127/C127/100)),(INT(F127/B127)+(((F127-B127*INT(F127/B127)))/C127)/100))))</f>
        <v>0</v>
      </c>
      <c r="AR127" s="57">
        <f>IF(ISERROR(IF(B127=C127,G127/C127,(INT(G127/B127)+(((G127-B127*INT(G127/B127)))/C127)/100))),0,(IF(B127=C127,G127/C127,(INT(G127/B127)+(((G127-B127*INT(G127/B127)))/C127)/100))))</f>
        <v>4.07</v>
      </c>
      <c r="AS127" s="57">
        <f>IF(ISERROR(IF(B127=C127,H127/C127,(INT(H127/B127)+(((H127-B127*INT(H127/B127)))/C127)/100))),0,(IF(B127=C127,H127/C127,(INT(H127/B127)+(((H127-B127*INT(H127/B127)))/C127)/100))))</f>
        <v>0</v>
      </c>
      <c r="AT127" s="57">
        <f>IF(ISERROR(IF(B127=C127,I127/C127,(INT(I127/B127)+(((I127-B127*INT(I127/B127)))/C127)/100))),0,(IF(B127=C127,I127/C127,(INT(I127/B127)+(((I127-B127*INT(I127/B127)))/C127)/100))))</f>
        <v>0</v>
      </c>
      <c r="AU127" s="57">
        <f>IF(ISERROR(IF(B127=C127,J127/C127,(INT(J127/B127)+(((J127-B127*INT(J127/B127)))/C127)/100))),0,(IF(B127=C127,J127/C127,(INT(J127/B127)+(((J127-B127*INT(J127/B127)))/C127)/100))))</f>
        <v>0</v>
      </c>
      <c r="AV127" s="57">
        <f>IF(ISERROR(IF(B127=C127,K127/C127,IF((INT(K127/B127)+(((K127-B127*INT(K127/B127)))/C127)/100)&lt;0,(INT(K127/B127)+(((K127-B127*INT(K127/B127)))/C127)/100)+(1-(B127/C127/100)),(INT(K127/B127)+(((K127-B127*INT(K127/B127)))/C127)/100)))),0,IF(B127=C127,K127/C127,IF((INT(K127/B127)+(((K127-B127*INT(K127/B127)))/C127)/100)&lt;0,(INT(K127/B127)+(((K127-B127*INT(K127/B127)))/C127)/100)+(1-(B127/C127/100)),(INT(K127/B127)+(((K127-B127*INT(K127/B127)))/C127)/100))))</f>
        <v>0</v>
      </c>
      <c r="AW127" s="57">
        <f>IF(ISERROR(IF(B127=C127,L127/C127,(INT(L127/B127)+(((L127-B127*INT(L127/B127)))/C127)/100))),0,(IF(B127=C127,L127/C127,(INT(L127/B127)+(((L127-B127*INT(L127/B127)))/C127)/100))))</f>
        <v>0</v>
      </c>
      <c r="AX127" s="57">
        <f>IF(ISERROR(IF(B127=C127,M127/C127,(INT(M127/B127)+(((M127-B127*INT(M127/B127)))/C127)/100))),0,(IF(B127=C127,M127/C127,(INT(M127/B127)+(((M127-B127*INT(M127/B127)))/C127)/100))))</f>
        <v>0</v>
      </c>
      <c r="AY127" s="57">
        <f>IF(ISERROR(IF(B127=C127,N127/C127,IF((INT(N127/B127)+(((N127-B127*INT(N127/B127)))/C127)/100)&lt;0,(INT(N127/B127)+(((N127-B127*INT(N127/B127)))/C127)/100)+(1-(B127/C127/100)),(INT(N127/B127)+(((N127-B127*INT(N127/B127)))/C127)/100)))),0,IF(B127=C127,N127/C127,IF((INT(N127/B127)+(((N127-B127*INT(N127/B127)))/C127)/100)&lt;0,(INT(N127/B127)+(((N127-B127*INT(N127/B127)))/C127)/100)+(1-(B127/C127/100)),(INT(N127/B127)+(((N127-B127*INT(N127/B127)))/C127)/100))))</f>
        <v>4.07</v>
      </c>
      <c r="AZ127" s="57">
        <f>IF(ISERROR(IF(B127=C127,O127/C127,(INT(O127/B127)+(((O127-B127*INT(O127/B127)))/C127)/100))),0,(IF(B127=C127,O127/C127,(INT(O127/B127)+(((O127-B127*INT(O127/B127)))/C127)/100))))</f>
        <v>4.07</v>
      </c>
      <c r="BA127" s="57">
        <f>IF(ISERROR(IF(B127=C127,P127/C127,IF((INT(P127/B127)+(((P127-B127*INT(P127/B127)))/C127)/100)&lt;0,(INT(P127/B127)+(((P127-B127*INT(P127/B127)))/C127)/100)+(1-(B127/C127/100)),(INT(P127/B127)+(((P127-B127*INT(P127/B127)))/C127)/100)))),0,IF(B127=C127,P127/C127,IF((INT(P127/B127)+(((P127-B127*INT(P127/B127)))/C127)/100)&lt;0,(INT(P127/B127)+(((P127-B127*INT(P127/B127)))/C127)/100)+(1-(B127/C127/100)),(INT(P127/B127)+(((P127-B127*INT(P127/B127)))/C127)/100))))</f>
        <v>0</v>
      </c>
      <c r="BB127" s="28">
        <f>R127</f>
        <v>210</v>
      </c>
      <c r="BC127" s="28">
        <f>S127</f>
        <v>0</v>
      </c>
      <c r="BD127" s="28">
        <f>AF127</f>
        <v>2181.8208333333332</v>
      </c>
      <c r="BE127" s="28">
        <f>T127</f>
        <v>0</v>
      </c>
      <c r="BG127" s="57">
        <f>IF(ISERROR(IF(B127=C127,V127/C127,(INT(V127/B127)+(((V127-B127*INT(V127/B127)))/C127)/100))),0,(IF(B127=C127,V127/C127,(INT(V127/B127)+(((V127-B127*INT(V127/B127)))/C127)/100))))</f>
        <v>7.0000000000000007E-2</v>
      </c>
      <c r="BH127" s="57">
        <f>IF(ISERROR(IF(B127=C127,W127/C127,(INT(W127/B127)+(((W127-B127*INT(W127/B127)))/C127)/100))),0,(IF(B127=C127,W127/C127,(INT(W127/B127)+(((W127-B127*INT(W127/B127)))/C127)/100))))</f>
        <v>4</v>
      </c>
      <c r="BI127" s="57">
        <f>IF(ISERROR(IF(B127=C127,X127/C127,(INT(X127/B127)+(((X127-B127*INT(X127/B127)))/C127)/100))),0,(IF(B127=C127,X127/C127,(INT(X127/B127)+(((X127-B127*INT(X127/B127)))/C127)/100))))</f>
        <v>0</v>
      </c>
      <c r="BJ127" s="57">
        <f>IF(ISERROR(IF(B127=C127,Y127/C127,(INT(Y127/B127)+(((Y127-B127*INT(Y127/B127)))/C127)/100))),0,(IF(B127=C127,Y127/C127,(INT(Y127/B127)+(((Y127-B127*INT(Y127/B127)))/C127)/100))))</f>
        <v>0</v>
      </c>
      <c r="BL127" s="57">
        <f>IF(ISERROR(IF(B127=C127,AA127/C127,(INT(AA127/B127)+(((AA127-B127*INT(AA127/B127)))/C127)/100))),0,(IF(B127=C127,AA127/C127,(INT(AA127/B127)+(((AA127-B127*INT(AA127/B127)))/C127)/100))))</f>
        <v>7.0000000000000007E-2</v>
      </c>
      <c r="BM127" s="57">
        <f>IF(ISERROR(IF(B127=C127,AB127/C127,(INT(AB127/B127)+(((AB127-B127*INT(AB127/B127)))/C127)/100))),0,(IF(B127=C127,AB127/C127,(INT(AB127/B127)+(((AB127-B127*INT(AB127/B127)))/C127)/100))))</f>
        <v>4</v>
      </c>
      <c r="BN127" s="57">
        <f>IF(ISERROR(IF(B127=C127,AC127/C127,(INT(AC127/B127)+(((AC127-B127*INT(AC127/B127)))/C127)/100))),0,(IF(B127=C127,AC127/C127,(INT(AC127/B127)+(((AC127-B127*INT(AC127/B127)))/C127)/100))))</f>
        <v>0</v>
      </c>
      <c r="BO127" s="57">
        <f>IF(ISERROR(IF(B127=C127,AD127/C127,(INT(AD127/B127)+(((AD127-B127*INT(AD127/B127)))/C127)/100))),0,(IF(B127=C127,AD127/C127,(INT(AD127/B127)+(((AD127-B127*INT(AD127/B127)))/C127)/100))))</f>
        <v>0</v>
      </c>
      <c r="BQ127" s="155" t="s">
        <v>215</v>
      </c>
    </row>
    <row r="128" spans="1:69" x14ac:dyDescent="0.35">
      <c r="A128" s="94" t="s">
        <v>271</v>
      </c>
      <c r="B128" s="113">
        <v>750</v>
      </c>
      <c r="C128" s="113">
        <v>30</v>
      </c>
      <c r="D128" s="28">
        <f>SUM(AA128:AD128)</f>
        <v>1500</v>
      </c>
      <c r="E128" s="113">
        <v>0</v>
      </c>
      <c r="F128" s="113">
        <v>0</v>
      </c>
      <c r="G128" s="28">
        <f>SUM(D128:F128)</f>
        <v>1500</v>
      </c>
      <c r="H128" s="125">
        <v>0</v>
      </c>
      <c r="I128" s="113">
        <v>0</v>
      </c>
      <c r="J128" s="125">
        <v>0</v>
      </c>
      <c r="K128" s="113">
        <v>0</v>
      </c>
      <c r="L128" s="113">
        <v>0</v>
      </c>
      <c r="M128" s="113">
        <v>0</v>
      </c>
      <c r="N128" s="28">
        <f>G128-SUM(H128:M128)</f>
        <v>1500</v>
      </c>
      <c r="O128" s="28">
        <f>SUM(V128:Y128)</f>
        <v>1500</v>
      </c>
      <c r="P128" s="28">
        <f>O128-N128</f>
        <v>0</v>
      </c>
      <c r="Q128" s="61" t="str">
        <f>IF(ISERROR(P128/SUM(H128:L128)),"",P128/SUM(H128:L128))</f>
        <v/>
      </c>
      <c r="R128" s="113">
        <v>425</v>
      </c>
      <c r="S128" s="28">
        <f>IF(ISERROR(P128/C128*R128),0,(P128/C128*R128))</f>
        <v>0</v>
      </c>
      <c r="T128" s="60">
        <f>IF(ISERROR(P128/B128*AF128),0,(P128/B128*AF128))</f>
        <v>0</v>
      </c>
      <c r="V128" s="113">
        <f>1*750</f>
        <v>750</v>
      </c>
      <c r="W128" s="113">
        <f>1*750</f>
        <v>750</v>
      </c>
      <c r="X128" s="113">
        <v>0</v>
      </c>
      <c r="Y128" s="113">
        <v>0</v>
      </c>
      <c r="AA128" s="113">
        <v>750</v>
      </c>
      <c r="AB128" s="113">
        <f>1*750</f>
        <v>750</v>
      </c>
      <c r="AC128" s="113">
        <v>0</v>
      </c>
      <c r="AD128" s="113">
        <v>0</v>
      </c>
      <c r="AF128" s="113">
        <f>74181.8/12</f>
        <v>6181.8166666666666</v>
      </c>
      <c r="AG128" s="28">
        <f>G128-O128</f>
        <v>0</v>
      </c>
      <c r="AH128" s="58">
        <f>IF(ISERROR(AG128/B128*AF128),0,(AG128/B128*AF128))</f>
        <v>0</v>
      </c>
      <c r="AI128" s="28">
        <f>SUM(H128:M128)</f>
        <v>0</v>
      </c>
      <c r="AJ128" s="28">
        <f>IF(ISERROR(AI128/B128*AF128),0,(AI128/B128*AF128))</f>
        <v>0</v>
      </c>
      <c r="AK128" s="58">
        <f>IF(ISERROR(O128/B128*AF128),0,(O128/B128*AF128))</f>
        <v>12363.633333333333</v>
      </c>
      <c r="AL128" s="28">
        <f>IF(ISERROR(H128/B128*AF128),0,(H128/B128*AF128))</f>
        <v>0</v>
      </c>
      <c r="AN128" s="51" t="str">
        <f>A128</f>
        <v>The Glenlivet 12yeard</v>
      </c>
      <c r="AO128" s="57">
        <f>IF(ISERROR(IF(B128=C128,D128/C128,(INT(D128/B128)+(((D128-B128*INT(D128/B128)))/C128)/100))),0,(IF(B128=C128,D128/C128,(INT(D128/B128)+(((D128-B128*INT(D128/B128)))/C128)/100))))</f>
        <v>2</v>
      </c>
      <c r="AP128" s="57">
        <f>IF(ISERROR(IF(B128=C128,E128/C128,(INT(E128/B128)+(((E128-B128*INT(E128/B128)))/C128)/100))),0,(IF(B128=C128,E128/C128,(INT(E128/B128)+(((E128-B128*INT(E128/B128)))/C128)/100))))</f>
        <v>0</v>
      </c>
      <c r="AQ128" s="57">
        <f>IF(ISERROR(IF(B128=C128,F128/C128,IF((INT(F128/B128)+(((F128-B128*INT(F128/B128)))/C128)/100)&lt;0,(INT(F128/B128)+(((F128-B128*INT(F128/B128)))/C128)/100)+(1-(B128/C128/100)),(INT(F128/B128)+(((F128-B128*INT(F128/B128)))/C128)/100)))),0,IF(B128=C128,F128/C128,IF((INT(F128/B128)+(((F128-B128*INT(F128/B128)))/C128)/100)&lt;0,(INT(F128/B128)+(((F128-B128*INT(F128/B128)))/C128)/100)+(1-(B128/C128/100)),(INT(F128/B128)+(((F128-B128*INT(F128/B128)))/C128)/100))))</f>
        <v>0</v>
      </c>
      <c r="AR128" s="57">
        <f>IF(ISERROR(IF(B128=C128,G128/C128,(INT(G128/B128)+(((G128-B128*INT(G128/B128)))/C128)/100))),0,(IF(B128=C128,G128/C128,(INT(G128/B128)+(((G128-B128*INT(G128/B128)))/C128)/100))))</f>
        <v>2</v>
      </c>
      <c r="AS128" s="57">
        <f>IF(ISERROR(IF(B128=C128,H128/C128,(INT(H128/B128)+(((H128-B128*INT(H128/B128)))/C128)/100))),0,(IF(B128=C128,H128/C128,(INT(H128/B128)+(((H128-B128*INT(H128/B128)))/C128)/100))))</f>
        <v>0</v>
      </c>
      <c r="AT128" s="57">
        <f>IF(ISERROR(IF(B128=C128,I128/C128,(INT(I128/B128)+(((I128-B128*INT(I128/B128)))/C128)/100))),0,(IF(B128=C128,I128/C128,(INT(I128/B128)+(((I128-B128*INT(I128/B128)))/C128)/100))))</f>
        <v>0</v>
      </c>
      <c r="AU128" s="57">
        <f>IF(ISERROR(IF(B128=C128,J128/C128,(INT(J128/B128)+(((J128-B128*INT(J128/B128)))/C128)/100))),0,(IF(B128=C128,J128/C128,(INT(J128/B128)+(((J128-B128*INT(J128/B128)))/C128)/100))))</f>
        <v>0</v>
      </c>
      <c r="AV128" s="57">
        <f>IF(ISERROR(IF(B128=C128,K128/C128,IF((INT(K128/B128)+(((K128-B128*INT(K128/B128)))/C128)/100)&lt;0,(INT(K128/B128)+(((K128-B128*INT(K128/B128)))/C128)/100)+(1-(B128/C128/100)),(INT(K128/B128)+(((K128-B128*INT(K128/B128)))/C128)/100)))),0,IF(B128=C128,K128/C128,IF((INT(K128/B128)+(((K128-B128*INT(K128/B128)))/C128)/100)&lt;0,(INT(K128/B128)+(((K128-B128*INT(K128/B128)))/C128)/100)+(1-(B128/C128/100)),(INT(K128/B128)+(((K128-B128*INT(K128/B128)))/C128)/100))))</f>
        <v>0</v>
      </c>
      <c r="AW128" s="57">
        <f>IF(ISERROR(IF(B128=C128,L128/C128,(INT(L128/B128)+(((L128-B128*INT(L128/B128)))/C128)/100))),0,(IF(B128=C128,L128/C128,(INT(L128/B128)+(((L128-B128*INT(L128/B128)))/C128)/100))))</f>
        <v>0</v>
      </c>
      <c r="AX128" s="57">
        <f>IF(ISERROR(IF(B128=C128,M128/C128,(INT(M128/B128)+(((M128-B128*INT(M128/B128)))/C128)/100))),0,(IF(B128=C128,M128/C128,(INT(M128/B128)+(((M128-B128*INT(M128/B128)))/C128)/100))))</f>
        <v>0</v>
      </c>
      <c r="AY128" s="57">
        <f>IF(ISERROR(IF(B128=C128,N128/C128,IF((INT(N128/B128)+(((N128-B128*INT(N128/B128)))/C128)/100)&lt;0,(INT(N128/B128)+(((N128-B128*INT(N128/B128)))/C128)/100)+(1-(B128/C128/100)),(INT(N128/B128)+(((N128-B128*INT(N128/B128)))/C128)/100)))),0,IF(B128=C128,N128/C128,IF((INT(N128/B128)+(((N128-B128*INT(N128/B128)))/C128)/100)&lt;0,(INT(N128/B128)+(((N128-B128*INT(N128/B128)))/C128)/100)+(1-(B128/C128/100)),(INT(N128/B128)+(((N128-B128*INT(N128/B128)))/C128)/100))))</f>
        <v>2</v>
      </c>
      <c r="AZ128" s="57">
        <f>IF(ISERROR(IF(B128=C128,O128/C128,(INT(O128/B128)+(((O128-B128*INT(O128/B128)))/C128)/100))),0,(IF(B128=C128,O128/C128,(INT(O128/B128)+(((O128-B128*INT(O128/B128)))/C128)/100))))</f>
        <v>2</v>
      </c>
      <c r="BA128" s="57">
        <f>IF(ISERROR(IF(B128=C128,P128/C128,IF((INT(P128/B128)+(((P128-B128*INT(P128/B128)))/C128)/100)&lt;0,(INT(P128/B128)+(((P128-B128*INT(P128/B128)))/C128)/100)+(1-(B128/C128/100)),(INT(P128/B128)+(((P128-B128*INT(P128/B128)))/C128)/100)))),0,IF(B128=C128,P128/C128,IF((INT(P128/B128)+(((P128-B128*INT(P128/B128)))/C128)/100)&lt;0,(INT(P128/B128)+(((P128-B128*INT(P128/B128)))/C128)/100)+(1-(B128/C128/100)),(INT(P128/B128)+(((P128-B128*INT(P128/B128)))/C128)/100))))</f>
        <v>0</v>
      </c>
      <c r="BB128" s="28">
        <f>R128</f>
        <v>425</v>
      </c>
      <c r="BC128" s="28">
        <f>S128</f>
        <v>0</v>
      </c>
      <c r="BD128" s="28">
        <f>AF128</f>
        <v>6181.8166666666666</v>
      </c>
      <c r="BE128" s="28">
        <f>T128</f>
        <v>0</v>
      </c>
      <c r="BG128" s="57">
        <f>IF(ISERROR(IF(B128=C128,V128/C128,(INT(V128/B128)+(((V128-B128*INT(V128/B128)))/C128)/100))),0,(IF(B128=C128,V128/C128,(INT(V128/B128)+(((V128-B128*INT(V128/B128)))/C128)/100))))</f>
        <v>1</v>
      </c>
      <c r="BH128" s="57">
        <f>IF(ISERROR(IF(B128=C128,W128/C128,(INT(W128/B128)+(((W128-B128*INT(W128/B128)))/C128)/100))),0,(IF(B128=C128,W128/C128,(INT(W128/B128)+(((W128-B128*INT(W128/B128)))/C128)/100))))</f>
        <v>1</v>
      </c>
      <c r="BI128" s="57">
        <f>IF(ISERROR(IF(B128=C128,X128/C128,(INT(X128/B128)+(((X128-B128*INT(X128/B128)))/C128)/100))),0,(IF(B128=C128,X128/C128,(INT(X128/B128)+(((X128-B128*INT(X128/B128)))/C128)/100))))</f>
        <v>0</v>
      </c>
      <c r="BJ128" s="57">
        <f>IF(ISERROR(IF(B128=C128,Y128/C128,(INT(Y128/B128)+(((Y128-B128*INT(Y128/B128)))/C128)/100))),0,(IF(B128=C128,Y128/C128,(INT(Y128/B128)+(((Y128-B128*INT(Y128/B128)))/C128)/100))))</f>
        <v>0</v>
      </c>
      <c r="BL128" s="57">
        <f>IF(ISERROR(IF(B128=C128,AA128/C128,(INT(AA128/B128)+(((AA128-B128*INT(AA128/B128)))/C128)/100))),0,(IF(B128=C128,AA128/C128,(INT(AA128/B128)+(((AA128-B128*INT(AA128/B128)))/C128)/100))))</f>
        <v>1</v>
      </c>
      <c r="BM128" s="57">
        <f>IF(ISERROR(IF(B128=C128,AB128/C128,(INT(AB128/B128)+(((AB128-B128*INT(AB128/B128)))/C128)/100))),0,(IF(B128=C128,AB128/C128,(INT(AB128/B128)+(((AB128-B128*INT(AB128/B128)))/C128)/100))))</f>
        <v>1</v>
      </c>
      <c r="BN128" s="57">
        <f>IF(ISERROR(IF(B128=C128,AC128/C128,(INT(AC128/B128)+(((AC128-B128*INT(AC128/B128)))/C128)/100))),0,(IF(B128=C128,AC128/C128,(INT(AC128/B128)+(((AC128-B128*INT(AC128/B128)))/C128)/100))))</f>
        <v>0</v>
      </c>
      <c r="BO128" s="57">
        <f>IF(ISERROR(IF(B128=C128,AD128/C128,(INT(AD128/B128)+(((AD128-B128*INT(AD128/B128)))/C128)/100))),0,(IF(B128=C128,AD128/C128,(INT(AD128/B128)+(((AD128-B128*INT(AD128/B128)))/C128)/100))))</f>
        <v>0</v>
      </c>
      <c r="BQ128" s="155" t="s">
        <v>207</v>
      </c>
    </row>
    <row r="129" spans="1:69" x14ac:dyDescent="0.35">
      <c r="A129" s="94" t="s">
        <v>270</v>
      </c>
      <c r="B129" s="113">
        <v>750</v>
      </c>
      <c r="C129" s="113">
        <v>30</v>
      </c>
      <c r="D129" s="28">
        <f>SUM(AA129:AD129)</f>
        <v>750</v>
      </c>
      <c r="E129" s="113">
        <v>0</v>
      </c>
      <c r="F129" s="113">
        <v>0</v>
      </c>
      <c r="G129" s="28">
        <f>SUM(D129:F129)</f>
        <v>750</v>
      </c>
      <c r="H129" s="125">
        <v>0</v>
      </c>
      <c r="I129" s="113">
        <v>0</v>
      </c>
      <c r="J129" s="125">
        <v>0</v>
      </c>
      <c r="K129" s="113">
        <v>0</v>
      </c>
      <c r="L129" s="113">
        <v>0</v>
      </c>
      <c r="M129" s="113">
        <v>0</v>
      </c>
      <c r="N129" s="28">
        <f>G129-SUM(H129:M129)</f>
        <v>750</v>
      </c>
      <c r="O129" s="28">
        <f>SUM(V129:Y129)</f>
        <v>750</v>
      </c>
      <c r="P129" s="28">
        <f>O129-N129</f>
        <v>0</v>
      </c>
      <c r="Q129" s="61" t="str">
        <f>IF(ISERROR(P129/SUM(H129:L129)),"",P129/SUM(H129:L129))</f>
        <v/>
      </c>
      <c r="R129" s="113">
        <v>375</v>
      </c>
      <c r="S129" s="28">
        <f>IF(ISERROR(P129/C129*R129),0,(P129/C129*R129))</f>
        <v>0</v>
      </c>
      <c r="T129" s="60">
        <f>IF(ISERROR(P129/B129*AF129),0,(P129/B129*AF129))</f>
        <v>0</v>
      </c>
      <c r="V129" s="113">
        <f>1*750</f>
        <v>750</v>
      </c>
      <c r="W129" s="113">
        <v>0</v>
      </c>
      <c r="X129" s="113">
        <v>0</v>
      </c>
      <c r="Y129" s="113">
        <v>0</v>
      </c>
      <c r="AA129" s="113">
        <v>750</v>
      </c>
      <c r="AB129" s="113">
        <v>0</v>
      </c>
      <c r="AC129" s="113">
        <v>0</v>
      </c>
      <c r="AD129" s="113">
        <v>0</v>
      </c>
      <c r="AF129" s="113">
        <f>54545.45/12</f>
        <v>4545.4541666666664</v>
      </c>
      <c r="AG129" s="28">
        <f>G129-O129</f>
        <v>0</v>
      </c>
      <c r="AH129" s="58">
        <f>IF(ISERROR(AG129/B129*AF129),0,(AG129/B129*AF129))</f>
        <v>0</v>
      </c>
      <c r="AI129" s="28">
        <f>SUM(H129:M129)</f>
        <v>0</v>
      </c>
      <c r="AJ129" s="28">
        <f>IF(ISERROR(AI129/B129*AF129),0,(AI129/B129*AF129))</f>
        <v>0</v>
      </c>
      <c r="AK129" s="58">
        <f>IF(ISERROR(O129/B129*AF129),0,(O129/B129*AF129))</f>
        <v>4545.4541666666664</v>
      </c>
      <c r="AL129" s="28">
        <f>IF(ISERROR(H129/B129*AF129),0,(H129/B129*AF129))</f>
        <v>0</v>
      </c>
      <c r="AN129" s="51" t="str">
        <f>A129</f>
        <v>Ciroc Vodka</v>
      </c>
      <c r="AO129" s="57">
        <f>IF(ISERROR(IF(B129=C129,D129/C129,(INT(D129/B129)+(((D129-B129*INT(D129/B129)))/C129)/100))),0,(IF(B129=C129,D129/C129,(INT(D129/B129)+(((D129-B129*INT(D129/B129)))/C129)/100))))</f>
        <v>1</v>
      </c>
      <c r="AP129" s="57">
        <f>IF(ISERROR(IF(B129=C129,E129/C129,(INT(E129/B129)+(((E129-B129*INT(E129/B129)))/C129)/100))),0,(IF(B129=C129,E129/C129,(INT(E129/B129)+(((E129-B129*INT(E129/B129)))/C129)/100))))</f>
        <v>0</v>
      </c>
      <c r="AQ129" s="57">
        <f>IF(ISERROR(IF(B129=C129,F129/C129,IF((INT(F129/B129)+(((F129-B129*INT(F129/B129)))/C129)/100)&lt;0,(INT(F129/B129)+(((F129-B129*INT(F129/B129)))/C129)/100)+(1-(B129/C129/100)),(INT(F129/B129)+(((F129-B129*INT(F129/B129)))/C129)/100)))),0,IF(B129=C129,F129/C129,IF((INT(F129/B129)+(((F129-B129*INT(F129/B129)))/C129)/100)&lt;0,(INT(F129/B129)+(((F129-B129*INT(F129/B129)))/C129)/100)+(1-(B129/C129/100)),(INT(F129/B129)+(((F129-B129*INT(F129/B129)))/C129)/100))))</f>
        <v>0</v>
      </c>
      <c r="AR129" s="57">
        <f>IF(ISERROR(IF(B129=C129,G129/C129,(INT(G129/B129)+(((G129-B129*INT(G129/B129)))/C129)/100))),0,(IF(B129=C129,G129/C129,(INT(G129/B129)+(((G129-B129*INT(G129/B129)))/C129)/100))))</f>
        <v>1</v>
      </c>
      <c r="AS129" s="57">
        <f>IF(ISERROR(IF(B129=C129,H129/C129,(INT(H129/B129)+(((H129-B129*INT(H129/B129)))/C129)/100))),0,(IF(B129=C129,H129/C129,(INT(H129/B129)+(((H129-B129*INT(H129/B129)))/C129)/100))))</f>
        <v>0</v>
      </c>
      <c r="AT129" s="57">
        <f>IF(ISERROR(IF(B129=C129,I129/C129,(INT(I129/B129)+(((I129-B129*INT(I129/B129)))/C129)/100))),0,(IF(B129=C129,I129/C129,(INT(I129/B129)+(((I129-B129*INT(I129/B129)))/C129)/100))))</f>
        <v>0</v>
      </c>
      <c r="AU129" s="57">
        <f>IF(ISERROR(IF(B129=C129,J129/C129,(INT(J129/B129)+(((J129-B129*INT(J129/B129)))/C129)/100))),0,(IF(B129=C129,J129/C129,(INT(J129/B129)+(((J129-B129*INT(J129/B129)))/C129)/100))))</f>
        <v>0</v>
      </c>
      <c r="AV129" s="57">
        <f>IF(ISERROR(IF(B129=C129,K129/C129,IF((INT(K129/B129)+(((K129-B129*INT(K129/B129)))/C129)/100)&lt;0,(INT(K129/B129)+(((K129-B129*INT(K129/B129)))/C129)/100)+(1-(B129/C129/100)),(INT(K129/B129)+(((K129-B129*INT(K129/B129)))/C129)/100)))),0,IF(B129=C129,K129/C129,IF((INT(K129/B129)+(((K129-B129*INT(K129/B129)))/C129)/100)&lt;0,(INT(K129/B129)+(((K129-B129*INT(K129/B129)))/C129)/100)+(1-(B129/C129/100)),(INT(K129/B129)+(((K129-B129*INT(K129/B129)))/C129)/100))))</f>
        <v>0</v>
      </c>
      <c r="AW129" s="57">
        <f>IF(ISERROR(IF(B129=C129,L129/C129,(INT(L129/B129)+(((L129-B129*INT(L129/B129)))/C129)/100))),0,(IF(B129=C129,L129/C129,(INT(L129/B129)+(((L129-B129*INT(L129/B129)))/C129)/100))))</f>
        <v>0</v>
      </c>
      <c r="AX129" s="57">
        <f>IF(ISERROR(IF(B129=C129,M129/C129,(INT(M129/B129)+(((M129-B129*INT(M129/B129)))/C129)/100))),0,(IF(B129=C129,M129/C129,(INT(M129/B129)+(((M129-B129*INT(M129/B129)))/C129)/100))))</f>
        <v>0</v>
      </c>
      <c r="AY129" s="57">
        <f>IF(ISERROR(IF(B129=C129,N129/C129,IF((INT(N129/B129)+(((N129-B129*INT(N129/B129)))/C129)/100)&lt;0,(INT(N129/B129)+(((N129-B129*INT(N129/B129)))/C129)/100)+(1-(B129/C129/100)),(INT(N129/B129)+(((N129-B129*INT(N129/B129)))/C129)/100)))),0,IF(B129=C129,N129/C129,IF((INT(N129/B129)+(((N129-B129*INT(N129/B129)))/C129)/100)&lt;0,(INT(N129/B129)+(((N129-B129*INT(N129/B129)))/C129)/100)+(1-(B129/C129/100)),(INT(N129/B129)+(((N129-B129*INT(N129/B129)))/C129)/100))))</f>
        <v>1</v>
      </c>
      <c r="AZ129" s="57">
        <f>IF(ISERROR(IF(B129=C129,O129/C129,(INT(O129/B129)+(((O129-B129*INT(O129/B129)))/C129)/100))),0,(IF(B129=C129,O129/C129,(INT(O129/B129)+(((O129-B129*INT(O129/B129)))/C129)/100))))</f>
        <v>1</v>
      </c>
      <c r="BA129" s="57">
        <f>IF(ISERROR(IF(B129=C129,P129/C129,IF((INT(P129/B129)+(((P129-B129*INT(P129/B129)))/C129)/100)&lt;0,(INT(P129/B129)+(((P129-B129*INT(P129/B129)))/C129)/100)+(1-(B129/C129/100)),(INT(P129/B129)+(((P129-B129*INT(P129/B129)))/C129)/100)))),0,IF(B129=C129,P129/C129,IF((INT(P129/B129)+(((P129-B129*INT(P129/B129)))/C129)/100)&lt;0,(INT(P129/B129)+(((P129-B129*INT(P129/B129)))/C129)/100)+(1-(B129/C129/100)),(INT(P129/B129)+(((P129-B129*INT(P129/B129)))/C129)/100))))</f>
        <v>0</v>
      </c>
      <c r="BB129" s="28">
        <f>R129</f>
        <v>375</v>
      </c>
      <c r="BC129" s="28">
        <f>S129</f>
        <v>0</v>
      </c>
      <c r="BD129" s="28">
        <f>AF129</f>
        <v>4545.4541666666664</v>
      </c>
      <c r="BE129" s="28">
        <f>T129</f>
        <v>0</v>
      </c>
      <c r="BG129" s="57">
        <f>IF(ISERROR(IF(B129=C129,V129/C129,(INT(V129/B129)+(((V129-B129*INT(V129/B129)))/C129)/100))),0,(IF(B129=C129,V129/C129,(INT(V129/B129)+(((V129-B129*INT(V129/B129)))/C129)/100))))</f>
        <v>1</v>
      </c>
      <c r="BH129" s="57">
        <f>IF(ISERROR(IF(B129=C129,W129/C129,(INT(W129/B129)+(((W129-B129*INT(W129/B129)))/C129)/100))),0,(IF(B129=C129,W129/C129,(INT(W129/B129)+(((W129-B129*INT(W129/B129)))/C129)/100))))</f>
        <v>0</v>
      </c>
      <c r="BI129" s="57">
        <f>IF(ISERROR(IF(B129=C129,X129/C129,(INT(X129/B129)+(((X129-B129*INT(X129/B129)))/C129)/100))),0,(IF(B129=C129,X129/C129,(INT(X129/B129)+(((X129-B129*INT(X129/B129)))/C129)/100))))</f>
        <v>0</v>
      </c>
      <c r="BJ129" s="57">
        <f>IF(ISERROR(IF(B129=C129,Y129/C129,(INT(Y129/B129)+(((Y129-B129*INT(Y129/B129)))/C129)/100))),0,(IF(B129=C129,Y129/C129,(INT(Y129/B129)+(((Y129-B129*INT(Y129/B129)))/C129)/100))))</f>
        <v>0</v>
      </c>
      <c r="BL129" s="57">
        <f>IF(ISERROR(IF(B129=C129,AA129/C129,(INT(AA129/B129)+(((AA129-B129*INT(AA129/B129)))/C129)/100))),0,(IF(B129=C129,AA129/C129,(INT(AA129/B129)+(((AA129-B129*INT(AA129/B129)))/C129)/100))))</f>
        <v>1</v>
      </c>
      <c r="BM129" s="57">
        <f>IF(ISERROR(IF(B129=C129,AB129/C129,(INT(AB129/B129)+(((AB129-B129*INT(AB129/B129)))/C129)/100))),0,(IF(B129=C129,AB129/C129,(INT(AB129/B129)+(((AB129-B129*INT(AB129/B129)))/C129)/100))))</f>
        <v>0</v>
      </c>
      <c r="BN129" s="57">
        <f>IF(ISERROR(IF(B129=C129,AC129/C129,(INT(AC129/B129)+(((AC129-B129*INT(AC129/B129)))/C129)/100))),0,(IF(B129=C129,AC129/C129,(INT(AC129/B129)+(((AC129-B129*INT(AC129/B129)))/C129)/100))))</f>
        <v>0</v>
      </c>
      <c r="BO129" s="57">
        <f>IF(ISERROR(IF(B129=C129,AD129/C129,(INT(AD129/B129)+(((AD129-B129*INT(AD129/B129)))/C129)/100))),0,(IF(B129=C129,AD129/C129,(INT(AD129/B129)+(((AD129-B129*INT(AD129/B129)))/C129)/100))))</f>
        <v>0</v>
      </c>
      <c r="BQ129" s="155" t="s">
        <v>205</v>
      </c>
    </row>
    <row r="130" spans="1:69" hidden="1" x14ac:dyDescent="0.35">
      <c r="A130" s="94"/>
      <c r="B130" s="113">
        <v>750</v>
      </c>
      <c r="C130" s="113">
        <v>30</v>
      </c>
      <c r="D130" s="28">
        <f>SUM(AA130:AD130)</f>
        <v>0</v>
      </c>
      <c r="E130" s="113">
        <v>0</v>
      </c>
      <c r="F130" s="113">
        <v>0</v>
      </c>
      <c r="G130" s="28">
        <f>SUM(D130:F130)</f>
        <v>0</v>
      </c>
      <c r="H130" s="125">
        <v>0</v>
      </c>
      <c r="I130" s="113">
        <v>0</v>
      </c>
      <c r="J130" s="125">
        <v>0</v>
      </c>
      <c r="K130" s="113">
        <v>0</v>
      </c>
      <c r="L130" s="113">
        <v>0</v>
      </c>
      <c r="M130" s="113">
        <v>0</v>
      </c>
      <c r="N130" s="28">
        <f>G130-SUM(H130:M130)</f>
        <v>0</v>
      </c>
      <c r="O130" s="28">
        <f>SUM(V130:Y130)</f>
        <v>0</v>
      </c>
      <c r="P130" s="28">
        <f>O130-N130</f>
        <v>0</v>
      </c>
      <c r="Q130" s="61" t="str">
        <f>IF(ISERROR(P130/SUM(H130:L130)),"",P130/SUM(H130:L130))</f>
        <v/>
      </c>
      <c r="R130" s="113">
        <v>0</v>
      </c>
      <c r="S130" s="28">
        <f>IF(ISERROR(P130/C130*R130),0,(P130/C130*R130))</f>
        <v>0</v>
      </c>
      <c r="T130" s="60">
        <f>IF(ISERROR(P130/B130*AF130),0,(P130/B130*AF130))</f>
        <v>0</v>
      </c>
      <c r="V130" s="113">
        <v>0</v>
      </c>
      <c r="W130" s="113">
        <v>0</v>
      </c>
      <c r="X130" s="113">
        <v>0</v>
      </c>
      <c r="Y130" s="113">
        <v>0</v>
      </c>
      <c r="AA130" s="113">
        <v>0</v>
      </c>
      <c r="AB130" s="113">
        <v>0</v>
      </c>
      <c r="AC130" s="113">
        <v>0</v>
      </c>
      <c r="AD130" s="113">
        <v>0</v>
      </c>
      <c r="AF130" s="113">
        <v>0</v>
      </c>
      <c r="AG130" s="28">
        <f>G130-O130</f>
        <v>0</v>
      </c>
      <c r="AH130" s="58">
        <f>IF(ISERROR(AG130/B130*AF130),0,(AG130/B130*AF130))</f>
        <v>0</v>
      </c>
      <c r="AI130" s="28">
        <f>SUM(H130:M130)</f>
        <v>0</v>
      </c>
      <c r="AJ130" s="28">
        <f>IF(ISERROR(AI130/B130*AF130),0,(AI130/B130*AF130))</f>
        <v>0</v>
      </c>
      <c r="AK130" s="58">
        <f>IF(ISERROR(O130/B130*AF130),0,(O130/B130*AF130))</f>
        <v>0</v>
      </c>
      <c r="AL130" s="28">
        <f>IF(ISERROR(H130/B130*AF130),0,(H130/B130*AF130))</f>
        <v>0</v>
      </c>
      <c r="AN130" s="51">
        <f>A130</f>
        <v>0</v>
      </c>
      <c r="AO130" s="57">
        <f>IF(ISERROR(IF(B130=C130,D130/C130,(INT(D130/B130)+(((D130-B130*INT(D130/B130)))/C130)/100))),0,(IF(B130=C130,D130/C130,(INT(D130/B130)+(((D130-B130*INT(D130/B130)))/C130)/100))))</f>
        <v>0</v>
      </c>
      <c r="AP130" s="57">
        <f>IF(ISERROR(IF(B130=C130,E130/C130,(INT(E130/B130)+(((E130-B130*INT(E130/B130)))/C130)/100))),0,(IF(B130=C130,E130/C130,(INT(E130/B130)+(((E130-B130*INT(E130/B130)))/C130)/100))))</f>
        <v>0</v>
      </c>
      <c r="AQ130" s="57">
        <f>IF(ISERROR(IF(B130=C130,F130/C130,IF((INT(F130/B130)+(((F130-B130*INT(F130/B130)))/C130)/100)&lt;0,(INT(F130/B130)+(((F130-B130*INT(F130/B130)))/C130)/100)+(1-(B130/C130/100)),(INT(F130/B130)+(((F130-B130*INT(F130/B130)))/C130)/100)))),0,IF(B130=C130,F130/C130,IF((INT(F130/B130)+(((F130-B130*INT(F130/B130)))/C130)/100)&lt;0,(INT(F130/B130)+(((F130-B130*INT(F130/B130)))/C130)/100)+(1-(B130/C130/100)),(INT(F130/B130)+(((F130-B130*INT(F130/B130)))/C130)/100))))</f>
        <v>0</v>
      </c>
      <c r="AR130" s="57">
        <f>IF(ISERROR(IF(B130=C130,G130/C130,(INT(G130/B130)+(((G130-B130*INT(G130/B130)))/C130)/100))),0,(IF(B130=C130,G130/C130,(INT(G130/B130)+(((G130-B130*INT(G130/B130)))/C130)/100))))</f>
        <v>0</v>
      </c>
      <c r="AS130" s="57">
        <f>IF(ISERROR(IF(B130=C130,H130/C130,(INT(H130/B130)+(((H130-B130*INT(H130/B130)))/C130)/100))),0,(IF(B130=C130,H130/C130,(INT(H130/B130)+(((H130-B130*INT(H130/B130)))/C130)/100))))</f>
        <v>0</v>
      </c>
      <c r="AT130" s="57">
        <f>IF(ISERROR(IF(B130=C130,I130/C130,(INT(I130/B130)+(((I130-B130*INT(I130/B130)))/C130)/100))),0,(IF(B130=C130,I130/C130,(INT(I130/B130)+(((I130-B130*INT(I130/B130)))/C130)/100))))</f>
        <v>0</v>
      </c>
      <c r="AU130" s="57">
        <f>IF(ISERROR(IF(B130=C130,J130/C130,(INT(J130/B130)+(((J130-B130*INT(J130/B130)))/C130)/100))),0,(IF(B130=C130,J130/C130,(INT(J130/B130)+(((J130-B130*INT(J130/B130)))/C130)/100))))</f>
        <v>0</v>
      </c>
      <c r="AV130" s="57">
        <f>IF(ISERROR(IF(B130=C130,K130/C130,IF((INT(K130/B130)+(((K130-B130*INT(K130/B130)))/C130)/100)&lt;0,(INT(K130/B130)+(((K130-B130*INT(K130/B130)))/C130)/100)+(1-(B130/C130/100)),(INT(K130/B130)+(((K130-B130*INT(K130/B130)))/C130)/100)))),0,IF(B130=C130,K130/C130,IF((INT(K130/B130)+(((K130-B130*INT(K130/B130)))/C130)/100)&lt;0,(INT(K130/B130)+(((K130-B130*INT(K130/B130)))/C130)/100)+(1-(B130/C130/100)),(INT(K130/B130)+(((K130-B130*INT(K130/B130)))/C130)/100))))</f>
        <v>0</v>
      </c>
      <c r="AW130" s="57">
        <f>IF(ISERROR(IF(B130=C130,L130/C130,(INT(L130/B130)+(((L130-B130*INT(L130/B130)))/C130)/100))),0,(IF(B130=C130,L130/C130,(INT(L130/B130)+(((L130-B130*INT(L130/B130)))/C130)/100))))</f>
        <v>0</v>
      </c>
      <c r="AX130" s="57">
        <f>IF(ISERROR(IF(B130=C130,M130/C130,(INT(M130/B130)+(((M130-B130*INT(M130/B130)))/C130)/100))),0,(IF(B130=C130,M130/C130,(INT(M130/B130)+(((M130-B130*INT(M130/B130)))/C130)/100))))</f>
        <v>0</v>
      </c>
      <c r="AY130" s="57">
        <f>IF(ISERROR(IF(B130=C130,N130/C130,IF((INT(N130/B130)+(((N130-B130*INT(N130/B130)))/C130)/100)&lt;0,(INT(N130/B130)+(((N130-B130*INT(N130/B130)))/C130)/100)+(1-(B130/C130/100)),(INT(N130/B130)+(((N130-B130*INT(N130/B130)))/C130)/100)))),0,IF(B130=C130,N130/C130,IF((INT(N130/B130)+(((N130-B130*INT(N130/B130)))/C130)/100)&lt;0,(INT(N130/B130)+(((N130-B130*INT(N130/B130)))/C130)/100)+(1-(B130/C130/100)),(INT(N130/B130)+(((N130-B130*INT(N130/B130)))/C130)/100))))</f>
        <v>0</v>
      </c>
      <c r="AZ130" s="57">
        <f>IF(ISERROR(IF(B130=C130,O130/C130,(INT(O130/B130)+(((O130-B130*INT(O130/B130)))/C130)/100))),0,(IF(B130=C130,O130/C130,(INT(O130/B130)+(((O130-B130*INT(O130/B130)))/C130)/100))))</f>
        <v>0</v>
      </c>
      <c r="BA130" s="57">
        <f>IF(ISERROR(IF(B130=C130,P130/C130,IF((INT(P130/B130)+(((P130-B130*INT(P130/B130)))/C130)/100)&lt;0,(INT(P130/B130)+(((P130-B130*INT(P130/B130)))/C130)/100)+(1-(B130/C130/100)),(INT(P130/B130)+(((P130-B130*INT(P130/B130)))/C130)/100)))),0,IF(B130=C130,P130/C130,IF((INT(P130/B130)+(((P130-B130*INT(P130/B130)))/C130)/100)&lt;0,(INT(P130/B130)+(((P130-B130*INT(P130/B130)))/C130)/100)+(1-(B130/C130/100)),(INT(P130/B130)+(((P130-B130*INT(P130/B130)))/C130)/100))))</f>
        <v>0</v>
      </c>
      <c r="BB130" s="28">
        <f>R130</f>
        <v>0</v>
      </c>
      <c r="BC130" s="28">
        <f>S130</f>
        <v>0</v>
      </c>
      <c r="BD130" s="28">
        <f>AF130</f>
        <v>0</v>
      </c>
      <c r="BE130" s="28">
        <f>T130</f>
        <v>0</v>
      </c>
      <c r="BG130" s="57">
        <f>IF(ISERROR(IF(B130=C130,V130/C130,(INT(V130/B130)+(((V130-B130*INT(V130/B130)))/C130)/100))),0,(IF(B130=C130,V130/C130,(INT(V130/B130)+(((V130-B130*INT(V130/B130)))/C130)/100))))</f>
        <v>0</v>
      </c>
      <c r="BH130" s="57">
        <f>IF(ISERROR(IF(B130=C130,W130/C130,(INT(W130/B130)+(((W130-B130*INT(W130/B130)))/C130)/100))),0,(IF(B130=C130,W130/C130,(INT(W130/B130)+(((W130-B130*INT(W130/B130)))/C130)/100))))</f>
        <v>0</v>
      </c>
      <c r="BI130" s="57">
        <f>IF(ISERROR(IF(B130=C130,X130/C130,(INT(X130/B130)+(((X130-B130*INT(X130/B130)))/C130)/100))),0,(IF(B130=C130,X130/C130,(INT(X130/B130)+(((X130-B130*INT(X130/B130)))/C130)/100))))</f>
        <v>0</v>
      </c>
      <c r="BJ130" s="57">
        <f>IF(ISERROR(IF(B130=C130,Y130/C130,(INT(Y130/B130)+(((Y130-B130*INT(Y130/B130)))/C130)/100))),0,(IF(B130=C130,Y130/C130,(INT(Y130/B130)+(((Y130-B130*INT(Y130/B130)))/C130)/100))))</f>
        <v>0</v>
      </c>
      <c r="BL130" s="57">
        <f>IF(ISERROR(IF(B130=C130,AA130/C130,(INT(AA130/B130)+(((AA130-B130*INT(AA130/B130)))/C130)/100))),0,(IF(B130=C130,AA130/C130,(INT(AA130/B130)+(((AA130-B130*INT(AA130/B130)))/C130)/100))))</f>
        <v>0</v>
      </c>
      <c r="BM130" s="57">
        <f>IF(ISERROR(IF(B130=C130,AB130/C130,(INT(AB130/B130)+(((AB130-B130*INT(AB130/B130)))/C130)/100))),0,(IF(B130=C130,AB130/C130,(INT(AB130/B130)+(((AB130-B130*INT(AB130/B130)))/C130)/100))))</f>
        <v>0</v>
      </c>
      <c r="BN130" s="57">
        <f>IF(ISERROR(IF(B130=C130,AC130/C130,(INT(AC130/B130)+(((AC130-B130*INT(AC130/B130)))/C130)/100))),0,(IF(B130=C130,AC130/C130,(INT(AC130/B130)+(((AC130-B130*INT(AC130/B130)))/C130)/100))))</f>
        <v>0</v>
      </c>
      <c r="BO130" s="57">
        <f>IF(ISERROR(IF(B130=C130,AD130/C130,(INT(AD130/B130)+(((AD130-B130*INT(AD130/B130)))/C130)/100))),0,(IF(B130=C130,AD130/C130,(INT(AD130/B130)+(((AD130-B130*INT(AD130/B130)))/C130)/100))))</f>
        <v>0</v>
      </c>
      <c r="BQ130" s="155" t="s">
        <v>215</v>
      </c>
    </row>
    <row r="131" spans="1:69" hidden="1" x14ac:dyDescent="0.35">
      <c r="A131" s="94"/>
      <c r="B131" s="113">
        <v>750</v>
      </c>
      <c r="C131" s="113">
        <v>30</v>
      </c>
      <c r="D131" s="28">
        <f>SUM(AA131:AD131)</f>
        <v>0</v>
      </c>
      <c r="E131" s="113">
        <v>0</v>
      </c>
      <c r="F131" s="113">
        <v>0</v>
      </c>
      <c r="G131" s="28">
        <f>SUM(D131:F131)</f>
        <v>0</v>
      </c>
      <c r="H131" s="125">
        <v>0</v>
      </c>
      <c r="I131" s="113">
        <v>0</v>
      </c>
      <c r="J131" s="125">
        <v>0</v>
      </c>
      <c r="K131" s="113">
        <v>0</v>
      </c>
      <c r="L131" s="113">
        <v>0</v>
      </c>
      <c r="M131" s="113">
        <v>0</v>
      </c>
      <c r="N131" s="28">
        <f>G131-SUM(H131:M131)</f>
        <v>0</v>
      </c>
      <c r="O131" s="28">
        <f>SUM(V131:Y131)</f>
        <v>0</v>
      </c>
      <c r="P131" s="28">
        <f>O131-N131</f>
        <v>0</v>
      </c>
      <c r="Q131" s="61" t="str">
        <f>IF(ISERROR(P131/SUM(H131:L131)),"",P131/SUM(H131:L131))</f>
        <v/>
      </c>
      <c r="R131" s="113">
        <v>0</v>
      </c>
      <c r="S131" s="28">
        <f>IF(ISERROR(P131/C131*R131),0,(P131/C131*R131))</f>
        <v>0</v>
      </c>
      <c r="T131" s="60">
        <f>IF(ISERROR(P131/B131*AF131),0,(P131/B131*AF131))</f>
        <v>0</v>
      </c>
      <c r="V131" s="113">
        <v>0</v>
      </c>
      <c r="W131" s="113">
        <v>0</v>
      </c>
      <c r="X131" s="113">
        <v>0</v>
      </c>
      <c r="Y131" s="113">
        <v>0</v>
      </c>
      <c r="AA131" s="113">
        <v>0</v>
      </c>
      <c r="AB131" s="113">
        <v>0</v>
      </c>
      <c r="AC131" s="113">
        <v>0</v>
      </c>
      <c r="AD131" s="113">
        <v>0</v>
      </c>
      <c r="AF131" s="113">
        <v>0</v>
      </c>
      <c r="AG131" s="28">
        <f>G131-O131</f>
        <v>0</v>
      </c>
      <c r="AH131" s="58">
        <f>IF(ISERROR(AG131/B131*AF131),0,(AG131/B131*AF131))</f>
        <v>0</v>
      </c>
      <c r="AI131" s="28">
        <f>SUM(H131:M131)</f>
        <v>0</v>
      </c>
      <c r="AJ131" s="28">
        <f>IF(ISERROR(AI131/B131*AF131),0,(AI131/B131*AF131))</f>
        <v>0</v>
      </c>
      <c r="AK131" s="58">
        <f>IF(ISERROR(O131/B131*AF131),0,(O131/B131*AF131))</f>
        <v>0</v>
      </c>
      <c r="AL131" s="28">
        <f>IF(ISERROR(H131/B131*AF131),0,(H131/B131*AF131))</f>
        <v>0</v>
      </c>
      <c r="AN131" s="51">
        <f>A131</f>
        <v>0</v>
      </c>
      <c r="AO131" s="57">
        <f>IF(ISERROR(IF(B131=C131,D131/C131,(INT(D131/B131)+(((D131-B131*INT(D131/B131)))/C131)/100))),0,(IF(B131=C131,D131/C131,(INT(D131/B131)+(((D131-B131*INT(D131/B131)))/C131)/100))))</f>
        <v>0</v>
      </c>
      <c r="AP131" s="57">
        <f>IF(ISERROR(IF(B131=C131,E131/C131,(INT(E131/B131)+(((E131-B131*INT(E131/B131)))/C131)/100))),0,(IF(B131=C131,E131/C131,(INT(E131/B131)+(((E131-B131*INT(E131/B131)))/C131)/100))))</f>
        <v>0</v>
      </c>
      <c r="AQ131" s="57">
        <f>IF(ISERROR(IF(B131=C131,F131/C131,IF((INT(F131/B131)+(((F131-B131*INT(F131/B131)))/C131)/100)&lt;0,(INT(F131/B131)+(((F131-B131*INT(F131/B131)))/C131)/100)+(1-(B131/C131/100)),(INT(F131/B131)+(((F131-B131*INT(F131/B131)))/C131)/100)))),0,IF(B131=C131,F131/C131,IF((INT(F131/B131)+(((F131-B131*INT(F131/B131)))/C131)/100)&lt;0,(INT(F131/B131)+(((F131-B131*INT(F131/B131)))/C131)/100)+(1-(B131/C131/100)),(INT(F131/B131)+(((F131-B131*INT(F131/B131)))/C131)/100))))</f>
        <v>0</v>
      </c>
      <c r="AR131" s="57">
        <f>IF(ISERROR(IF(B131=C131,G131/C131,(INT(G131/B131)+(((G131-B131*INT(G131/B131)))/C131)/100))),0,(IF(B131=C131,G131/C131,(INT(G131/B131)+(((G131-B131*INT(G131/B131)))/C131)/100))))</f>
        <v>0</v>
      </c>
      <c r="AS131" s="57">
        <f>IF(ISERROR(IF(B131=C131,H131/C131,(INT(H131/B131)+(((H131-B131*INT(H131/B131)))/C131)/100))),0,(IF(B131=C131,H131/C131,(INT(H131/B131)+(((H131-B131*INT(H131/B131)))/C131)/100))))</f>
        <v>0</v>
      </c>
      <c r="AT131" s="57">
        <f>IF(ISERROR(IF(B131=C131,I131/C131,(INT(I131/B131)+(((I131-B131*INT(I131/B131)))/C131)/100))),0,(IF(B131=C131,I131/C131,(INT(I131/B131)+(((I131-B131*INT(I131/B131)))/C131)/100))))</f>
        <v>0</v>
      </c>
      <c r="AU131" s="57">
        <f>IF(ISERROR(IF(B131=C131,J131/C131,(INT(J131/B131)+(((J131-B131*INT(J131/B131)))/C131)/100))),0,(IF(B131=C131,J131/C131,(INT(J131/B131)+(((J131-B131*INT(J131/B131)))/C131)/100))))</f>
        <v>0</v>
      </c>
      <c r="AV131" s="57">
        <f>IF(ISERROR(IF(B131=C131,K131/C131,IF((INT(K131/B131)+(((K131-B131*INT(K131/B131)))/C131)/100)&lt;0,(INT(K131/B131)+(((K131-B131*INT(K131/B131)))/C131)/100)+(1-(B131/C131/100)),(INT(K131/B131)+(((K131-B131*INT(K131/B131)))/C131)/100)))),0,IF(B131=C131,K131/C131,IF((INT(K131/B131)+(((K131-B131*INT(K131/B131)))/C131)/100)&lt;0,(INT(K131/B131)+(((K131-B131*INT(K131/B131)))/C131)/100)+(1-(B131/C131/100)),(INT(K131/B131)+(((K131-B131*INT(K131/B131)))/C131)/100))))</f>
        <v>0</v>
      </c>
      <c r="AW131" s="57">
        <f>IF(ISERROR(IF(B131=C131,L131/C131,(INT(L131/B131)+(((L131-B131*INT(L131/B131)))/C131)/100))),0,(IF(B131=C131,L131/C131,(INT(L131/B131)+(((L131-B131*INT(L131/B131)))/C131)/100))))</f>
        <v>0</v>
      </c>
      <c r="AX131" s="57">
        <f>IF(ISERROR(IF(B131=C131,M131/C131,(INT(M131/B131)+(((M131-B131*INT(M131/B131)))/C131)/100))),0,(IF(B131=C131,M131/C131,(INT(M131/B131)+(((M131-B131*INT(M131/B131)))/C131)/100))))</f>
        <v>0</v>
      </c>
      <c r="AY131" s="57">
        <f>IF(ISERROR(IF(B131=C131,N131/C131,IF((INT(N131/B131)+(((N131-B131*INT(N131/B131)))/C131)/100)&lt;0,(INT(N131/B131)+(((N131-B131*INT(N131/B131)))/C131)/100)+(1-(B131/C131/100)),(INT(N131/B131)+(((N131-B131*INT(N131/B131)))/C131)/100)))),0,IF(B131=C131,N131/C131,IF((INT(N131/B131)+(((N131-B131*INT(N131/B131)))/C131)/100)&lt;0,(INT(N131/B131)+(((N131-B131*INT(N131/B131)))/C131)/100)+(1-(B131/C131/100)),(INT(N131/B131)+(((N131-B131*INT(N131/B131)))/C131)/100))))</f>
        <v>0</v>
      </c>
      <c r="AZ131" s="57">
        <f>IF(ISERROR(IF(B131=C131,O131/C131,(INT(O131/B131)+(((O131-B131*INT(O131/B131)))/C131)/100))),0,(IF(B131=C131,O131/C131,(INT(O131/B131)+(((O131-B131*INT(O131/B131)))/C131)/100))))</f>
        <v>0</v>
      </c>
      <c r="BA131" s="57">
        <f>IF(ISERROR(IF(B131=C131,P131/C131,IF((INT(P131/B131)+(((P131-B131*INT(P131/B131)))/C131)/100)&lt;0,(INT(P131/B131)+(((P131-B131*INT(P131/B131)))/C131)/100)+(1-(B131/C131/100)),(INT(P131/B131)+(((P131-B131*INT(P131/B131)))/C131)/100)))),0,IF(B131=C131,P131/C131,IF((INT(P131/B131)+(((P131-B131*INT(P131/B131)))/C131)/100)&lt;0,(INT(P131/B131)+(((P131-B131*INT(P131/B131)))/C131)/100)+(1-(B131/C131/100)),(INT(P131/B131)+(((P131-B131*INT(P131/B131)))/C131)/100))))</f>
        <v>0</v>
      </c>
      <c r="BB131" s="28">
        <f>R131</f>
        <v>0</v>
      </c>
      <c r="BC131" s="28">
        <f>S131</f>
        <v>0</v>
      </c>
      <c r="BD131" s="28">
        <f>AF131</f>
        <v>0</v>
      </c>
      <c r="BE131" s="28">
        <f>T131</f>
        <v>0</v>
      </c>
      <c r="BG131" s="57">
        <f>IF(ISERROR(IF(B131=C131,V131/C131,(INT(V131/B131)+(((V131-B131*INT(V131/B131)))/C131)/100))),0,(IF(B131=C131,V131/C131,(INT(V131/B131)+(((V131-B131*INT(V131/B131)))/C131)/100))))</f>
        <v>0</v>
      </c>
      <c r="BH131" s="57">
        <f>IF(ISERROR(IF(B131=C131,W131/C131,(INT(W131/B131)+(((W131-B131*INT(W131/B131)))/C131)/100))),0,(IF(B131=C131,W131/C131,(INT(W131/B131)+(((W131-B131*INT(W131/B131)))/C131)/100))))</f>
        <v>0</v>
      </c>
      <c r="BI131" s="57">
        <f>IF(ISERROR(IF(B131=C131,X131/C131,(INT(X131/B131)+(((X131-B131*INT(X131/B131)))/C131)/100))),0,(IF(B131=C131,X131/C131,(INT(X131/B131)+(((X131-B131*INT(X131/B131)))/C131)/100))))</f>
        <v>0</v>
      </c>
      <c r="BJ131" s="57">
        <f>IF(ISERROR(IF(B131=C131,Y131/C131,(INT(Y131/B131)+(((Y131-B131*INT(Y131/B131)))/C131)/100))),0,(IF(B131=C131,Y131/C131,(INT(Y131/B131)+(((Y131-B131*INT(Y131/B131)))/C131)/100))))</f>
        <v>0</v>
      </c>
      <c r="BL131" s="57">
        <f>IF(ISERROR(IF(B131=C131,AA131/C131,(INT(AA131/B131)+(((AA131-B131*INT(AA131/B131)))/C131)/100))),0,(IF(B131=C131,AA131/C131,(INT(AA131/B131)+(((AA131-B131*INT(AA131/B131)))/C131)/100))))</f>
        <v>0</v>
      </c>
      <c r="BM131" s="57">
        <f>IF(ISERROR(IF(B131=C131,AB131/C131,(INT(AB131/B131)+(((AB131-B131*INT(AB131/B131)))/C131)/100))),0,(IF(B131=C131,AB131/C131,(INT(AB131/B131)+(((AB131-B131*INT(AB131/B131)))/C131)/100))))</f>
        <v>0</v>
      </c>
      <c r="BN131" s="57">
        <f>IF(ISERROR(IF(B131=C131,AC131/C131,(INT(AC131/B131)+(((AC131-B131*INT(AC131/B131)))/C131)/100))),0,(IF(B131=C131,AC131/C131,(INT(AC131/B131)+(((AC131-B131*INT(AC131/B131)))/C131)/100))))</f>
        <v>0</v>
      </c>
      <c r="BO131" s="57">
        <f>IF(ISERROR(IF(B131=C131,AD131/C131,(INT(AD131/B131)+(((AD131-B131*INT(AD131/B131)))/C131)/100))),0,(IF(B131=C131,AD131/C131,(INT(AD131/B131)+(((AD131-B131*INT(AD131/B131)))/C131)/100))))</f>
        <v>0</v>
      </c>
      <c r="BQ131" s="155" t="s">
        <v>236</v>
      </c>
    </row>
    <row r="132" spans="1:69" hidden="1" x14ac:dyDescent="0.35">
      <c r="A132" s="94"/>
      <c r="B132" s="113">
        <v>750</v>
      </c>
      <c r="C132" s="113">
        <v>30</v>
      </c>
      <c r="D132" s="28">
        <f>SUM(AA132:AD132)</f>
        <v>0</v>
      </c>
      <c r="E132" s="113">
        <v>0</v>
      </c>
      <c r="F132" s="113">
        <v>0</v>
      </c>
      <c r="G132" s="28">
        <f>SUM(D132:F132)</f>
        <v>0</v>
      </c>
      <c r="H132" s="125">
        <v>0</v>
      </c>
      <c r="I132" s="113">
        <v>0</v>
      </c>
      <c r="J132" s="125">
        <v>0</v>
      </c>
      <c r="K132" s="113">
        <v>0</v>
      </c>
      <c r="L132" s="113">
        <v>0</v>
      </c>
      <c r="M132" s="113">
        <v>0</v>
      </c>
      <c r="N132" s="28">
        <f>G132-SUM(H132:M132)</f>
        <v>0</v>
      </c>
      <c r="O132" s="28">
        <f>SUM(V132:Y132)</f>
        <v>0</v>
      </c>
      <c r="P132" s="28">
        <f>O132-N132</f>
        <v>0</v>
      </c>
      <c r="Q132" s="61" t="str">
        <f>IF(ISERROR(P132/SUM(H132:L132)),"",P132/SUM(H132:L132))</f>
        <v/>
      </c>
      <c r="R132" s="113">
        <v>0</v>
      </c>
      <c r="S132" s="28">
        <f>IF(ISERROR(P132/C132*R132),0,(P132/C132*R132))</f>
        <v>0</v>
      </c>
      <c r="T132" s="60">
        <f>IF(ISERROR(P132/B132*AF132),0,(P132/B132*AF132))</f>
        <v>0</v>
      </c>
      <c r="V132" s="113">
        <v>0</v>
      </c>
      <c r="W132" s="113">
        <v>0</v>
      </c>
      <c r="X132" s="113">
        <v>0</v>
      </c>
      <c r="Y132" s="113">
        <v>0</v>
      </c>
      <c r="AA132" s="113">
        <v>0</v>
      </c>
      <c r="AB132" s="113">
        <v>0</v>
      </c>
      <c r="AC132" s="113">
        <v>0</v>
      </c>
      <c r="AD132" s="113">
        <v>0</v>
      </c>
      <c r="AF132" s="113">
        <v>0</v>
      </c>
      <c r="AG132" s="28">
        <f>G132-O132</f>
        <v>0</v>
      </c>
      <c r="AH132" s="58">
        <f>IF(ISERROR(AG132/B132*AF132),0,(AG132/B132*AF132))</f>
        <v>0</v>
      </c>
      <c r="AI132" s="28">
        <f>SUM(H132:M132)</f>
        <v>0</v>
      </c>
      <c r="AJ132" s="28">
        <f>IF(ISERROR(AI132/B132*AF132),0,(AI132/B132*AF132))</f>
        <v>0</v>
      </c>
      <c r="AK132" s="58">
        <f>IF(ISERROR(O132/B132*AF132),0,(O132/B132*AF132))</f>
        <v>0</v>
      </c>
      <c r="AL132" s="28">
        <f>IF(ISERROR(H132/B132*AF132),0,(H132/B132*AF132))</f>
        <v>0</v>
      </c>
      <c r="AN132" s="51">
        <f>A132</f>
        <v>0</v>
      </c>
      <c r="AO132" s="57">
        <f>IF(ISERROR(IF(B132=C132,D132/C132,(INT(D132/B132)+(((D132-B132*INT(D132/B132)))/C132)/100))),0,(IF(B132=C132,D132/C132,(INT(D132/B132)+(((D132-B132*INT(D132/B132)))/C132)/100))))</f>
        <v>0</v>
      </c>
      <c r="AP132" s="57">
        <f>IF(ISERROR(IF(B132=C132,E132/C132,(INT(E132/B132)+(((E132-B132*INT(E132/B132)))/C132)/100))),0,(IF(B132=C132,E132/C132,(INT(E132/B132)+(((E132-B132*INT(E132/B132)))/C132)/100))))</f>
        <v>0</v>
      </c>
      <c r="AQ132" s="57">
        <f>IF(ISERROR(IF(B132=C132,F132/C132,IF((INT(F132/B132)+(((F132-B132*INT(F132/B132)))/C132)/100)&lt;0,(INT(F132/B132)+(((F132-B132*INT(F132/B132)))/C132)/100)+(1-(B132/C132/100)),(INT(F132/B132)+(((F132-B132*INT(F132/B132)))/C132)/100)))),0,IF(B132=C132,F132/C132,IF((INT(F132/B132)+(((F132-B132*INT(F132/B132)))/C132)/100)&lt;0,(INT(F132/B132)+(((F132-B132*INT(F132/B132)))/C132)/100)+(1-(B132/C132/100)),(INT(F132/B132)+(((F132-B132*INT(F132/B132)))/C132)/100))))</f>
        <v>0</v>
      </c>
      <c r="AR132" s="57">
        <f>IF(ISERROR(IF(B132=C132,G132/C132,(INT(G132/B132)+(((G132-B132*INT(G132/B132)))/C132)/100))),0,(IF(B132=C132,G132/C132,(INT(G132/B132)+(((G132-B132*INT(G132/B132)))/C132)/100))))</f>
        <v>0</v>
      </c>
      <c r="AS132" s="57">
        <f>IF(ISERROR(IF(B132=C132,H132/C132,(INT(H132/B132)+(((H132-B132*INT(H132/B132)))/C132)/100))),0,(IF(B132=C132,H132/C132,(INT(H132/B132)+(((H132-B132*INT(H132/B132)))/C132)/100))))</f>
        <v>0</v>
      </c>
      <c r="AT132" s="57">
        <f>IF(ISERROR(IF(B132=C132,I132/C132,(INT(I132/B132)+(((I132-B132*INT(I132/B132)))/C132)/100))),0,(IF(B132=C132,I132/C132,(INT(I132/B132)+(((I132-B132*INT(I132/B132)))/C132)/100))))</f>
        <v>0</v>
      </c>
      <c r="AU132" s="57">
        <f>IF(ISERROR(IF(B132=C132,J132/C132,(INT(J132/B132)+(((J132-B132*INT(J132/B132)))/C132)/100))),0,(IF(B132=C132,J132/C132,(INT(J132/B132)+(((J132-B132*INT(J132/B132)))/C132)/100))))</f>
        <v>0</v>
      </c>
      <c r="AV132" s="57">
        <f>IF(ISERROR(IF(B132=C132,K132/C132,IF((INT(K132/B132)+(((K132-B132*INT(K132/B132)))/C132)/100)&lt;0,(INT(K132/B132)+(((K132-B132*INT(K132/B132)))/C132)/100)+(1-(B132/C132/100)),(INT(K132/B132)+(((K132-B132*INT(K132/B132)))/C132)/100)))),0,IF(B132=C132,K132/C132,IF((INT(K132/B132)+(((K132-B132*INT(K132/B132)))/C132)/100)&lt;0,(INT(K132/B132)+(((K132-B132*INT(K132/B132)))/C132)/100)+(1-(B132/C132/100)),(INT(K132/B132)+(((K132-B132*INT(K132/B132)))/C132)/100))))</f>
        <v>0</v>
      </c>
      <c r="AW132" s="57">
        <f>IF(ISERROR(IF(B132=C132,L132/C132,(INT(L132/B132)+(((L132-B132*INT(L132/B132)))/C132)/100))),0,(IF(B132=C132,L132/C132,(INT(L132/B132)+(((L132-B132*INT(L132/B132)))/C132)/100))))</f>
        <v>0</v>
      </c>
      <c r="AX132" s="57">
        <f>IF(ISERROR(IF(B132=C132,M132/C132,(INT(M132/B132)+(((M132-B132*INT(M132/B132)))/C132)/100))),0,(IF(B132=C132,M132/C132,(INT(M132/B132)+(((M132-B132*INT(M132/B132)))/C132)/100))))</f>
        <v>0</v>
      </c>
      <c r="AY132" s="57">
        <f>IF(ISERROR(IF(B132=C132,N132/C132,IF((INT(N132/B132)+(((N132-B132*INT(N132/B132)))/C132)/100)&lt;0,(INT(N132/B132)+(((N132-B132*INT(N132/B132)))/C132)/100)+(1-(B132/C132/100)),(INT(N132/B132)+(((N132-B132*INT(N132/B132)))/C132)/100)))),0,IF(B132=C132,N132/C132,IF((INT(N132/B132)+(((N132-B132*INT(N132/B132)))/C132)/100)&lt;0,(INT(N132/B132)+(((N132-B132*INT(N132/B132)))/C132)/100)+(1-(B132/C132/100)),(INT(N132/B132)+(((N132-B132*INT(N132/B132)))/C132)/100))))</f>
        <v>0</v>
      </c>
      <c r="AZ132" s="57">
        <f>IF(ISERROR(IF(B132=C132,O132/C132,(INT(O132/B132)+(((O132-B132*INT(O132/B132)))/C132)/100))),0,(IF(B132=C132,O132/C132,(INT(O132/B132)+(((O132-B132*INT(O132/B132)))/C132)/100))))</f>
        <v>0</v>
      </c>
      <c r="BA132" s="57">
        <f>IF(ISERROR(IF(B132=C132,P132/C132,IF((INT(P132/B132)+(((P132-B132*INT(P132/B132)))/C132)/100)&lt;0,(INT(P132/B132)+(((P132-B132*INT(P132/B132)))/C132)/100)+(1-(B132/C132/100)),(INT(P132/B132)+(((P132-B132*INT(P132/B132)))/C132)/100)))),0,IF(B132=C132,P132/C132,IF((INT(P132/B132)+(((P132-B132*INT(P132/B132)))/C132)/100)&lt;0,(INT(P132/B132)+(((P132-B132*INT(P132/B132)))/C132)/100)+(1-(B132/C132/100)),(INT(P132/B132)+(((P132-B132*INT(P132/B132)))/C132)/100))))</f>
        <v>0</v>
      </c>
      <c r="BB132" s="28">
        <f>R132</f>
        <v>0</v>
      </c>
      <c r="BC132" s="28">
        <f>S132</f>
        <v>0</v>
      </c>
      <c r="BD132" s="28">
        <f>AF132</f>
        <v>0</v>
      </c>
      <c r="BE132" s="28">
        <f>T132</f>
        <v>0</v>
      </c>
      <c r="BG132" s="57">
        <f>IF(ISERROR(IF(B132=C132,V132/C132,(INT(V132/B132)+(((V132-B132*INT(V132/B132)))/C132)/100))),0,(IF(B132=C132,V132/C132,(INT(V132/B132)+(((V132-B132*INT(V132/B132)))/C132)/100))))</f>
        <v>0</v>
      </c>
      <c r="BH132" s="57">
        <f>IF(ISERROR(IF(B132=C132,W132/C132,(INT(W132/B132)+(((W132-B132*INT(W132/B132)))/C132)/100))),0,(IF(B132=C132,W132/C132,(INT(W132/B132)+(((W132-B132*INT(W132/B132)))/C132)/100))))</f>
        <v>0</v>
      </c>
      <c r="BI132" s="57">
        <f>IF(ISERROR(IF(B132=C132,X132/C132,(INT(X132/B132)+(((X132-B132*INT(X132/B132)))/C132)/100))),0,(IF(B132=C132,X132/C132,(INT(X132/B132)+(((X132-B132*INT(X132/B132)))/C132)/100))))</f>
        <v>0</v>
      </c>
      <c r="BJ132" s="57">
        <f>IF(ISERROR(IF(B132=C132,Y132/C132,(INT(Y132/B132)+(((Y132-B132*INT(Y132/B132)))/C132)/100))),0,(IF(B132=C132,Y132/C132,(INT(Y132/B132)+(((Y132-B132*INT(Y132/B132)))/C132)/100))))</f>
        <v>0</v>
      </c>
      <c r="BL132" s="57">
        <f>IF(ISERROR(IF(B132=C132,AA132/C132,(INT(AA132/B132)+(((AA132-B132*INT(AA132/B132)))/C132)/100))),0,(IF(B132=C132,AA132/C132,(INT(AA132/B132)+(((AA132-B132*INT(AA132/B132)))/C132)/100))))</f>
        <v>0</v>
      </c>
      <c r="BM132" s="57">
        <f>IF(ISERROR(IF(B132=C132,AB132/C132,(INT(AB132/B132)+(((AB132-B132*INT(AB132/B132)))/C132)/100))),0,(IF(B132=C132,AB132/C132,(INT(AB132/B132)+(((AB132-B132*INT(AB132/B132)))/C132)/100))))</f>
        <v>0</v>
      </c>
      <c r="BN132" s="57">
        <f>IF(ISERROR(IF(B132=C132,AC132/C132,(INT(AC132/B132)+(((AC132-B132*INT(AC132/B132)))/C132)/100))),0,(IF(B132=C132,AC132/C132,(INT(AC132/B132)+(((AC132-B132*INT(AC132/B132)))/C132)/100))))</f>
        <v>0</v>
      </c>
      <c r="BO132" s="57">
        <f>IF(ISERROR(IF(B132=C132,AD132/C132,(INT(AD132/B132)+(((AD132-B132*INT(AD132/B132)))/C132)/100))),0,(IF(B132=C132,AD132/C132,(INT(AD132/B132)+(((AD132-B132*INT(AD132/B132)))/C132)/100))))</f>
        <v>0</v>
      </c>
      <c r="BQ132" s="155" t="s">
        <v>215</v>
      </c>
    </row>
    <row r="133" spans="1:69" hidden="1" x14ac:dyDescent="0.35">
      <c r="A133" s="94"/>
      <c r="B133" s="113">
        <v>750</v>
      </c>
      <c r="C133" s="113">
        <v>30</v>
      </c>
      <c r="D133" s="28">
        <f>SUM(AA133:AD133)</f>
        <v>0</v>
      </c>
      <c r="E133" s="113">
        <v>0</v>
      </c>
      <c r="F133" s="113">
        <v>0</v>
      </c>
      <c r="G133" s="28">
        <f>SUM(D133:F133)</f>
        <v>0</v>
      </c>
      <c r="H133" s="125">
        <v>0</v>
      </c>
      <c r="I133" s="113">
        <v>0</v>
      </c>
      <c r="J133" s="125">
        <v>0</v>
      </c>
      <c r="K133" s="113">
        <v>0</v>
      </c>
      <c r="L133" s="113">
        <v>0</v>
      </c>
      <c r="M133" s="113">
        <v>0</v>
      </c>
      <c r="N133" s="28">
        <f>G133-SUM(H133:M133)</f>
        <v>0</v>
      </c>
      <c r="O133" s="28">
        <f>SUM(V133:Y133)</f>
        <v>0</v>
      </c>
      <c r="P133" s="28">
        <f>O133-N133</f>
        <v>0</v>
      </c>
      <c r="Q133" s="61" t="str">
        <f>IF(ISERROR(P133/SUM(H133:L133)),"",P133/SUM(H133:L133))</f>
        <v/>
      </c>
      <c r="R133" s="113">
        <v>0</v>
      </c>
      <c r="S133" s="28">
        <f>IF(ISERROR(P133/C133*R133),0,(P133/C133*R133))</f>
        <v>0</v>
      </c>
      <c r="T133" s="60">
        <f>IF(ISERROR(P133/B133*AF133),0,(P133/B133*AF133))</f>
        <v>0</v>
      </c>
      <c r="V133" s="113">
        <v>0</v>
      </c>
      <c r="W133" s="113">
        <v>0</v>
      </c>
      <c r="X133" s="113">
        <v>0</v>
      </c>
      <c r="Y133" s="113">
        <v>0</v>
      </c>
      <c r="AA133" s="113">
        <v>0</v>
      </c>
      <c r="AB133" s="113">
        <v>0</v>
      </c>
      <c r="AC133" s="113">
        <v>0</v>
      </c>
      <c r="AD133" s="113">
        <v>0</v>
      </c>
      <c r="AF133" s="113">
        <v>0</v>
      </c>
      <c r="AG133" s="28">
        <f>G133-O133</f>
        <v>0</v>
      </c>
      <c r="AH133" s="58">
        <f>IF(ISERROR(AG133/B133*AF133),0,(AG133/B133*AF133))</f>
        <v>0</v>
      </c>
      <c r="AI133" s="28">
        <f>SUM(H133:M133)</f>
        <v>0</v>
      </c>
      <c r="AJ133" s="28">
        <f>IF(ISERROR(AI133/B133*AF133),0,(AI133/B133*AF133))</f>
        <v>0</v>
      </c>
      <c r="AK133" s="58">
        <f>IF(ISERROR(O133/B133*AF133),0,(O133/B133*AF133))</f>
        <v>0</v>
      </c>
      <c r="AL133" s="28">
        <f>IF(ISERROR(H133/B133*AF133),0,(H133/B133*AF133))</f>
        <v>0</v>
      </c>
      <c r="AN133" s="51">
        <f>A133</f>
        <v>0</v>
      </c>
      <c r="AO133" s="57">
        <f>IF(ISERROR(IF(B133=C133,D133/C133,(INT(D133/B133)+(((D133-B133*INT(D133/B133)))/C133)/100))),0,(IF(B133=C133,D133/C133,(INT(D133/B133)+(((D133-B133*INT(D133/B133)))/C133)/100))))</f>
        <v>0</v>
      </c>
      <c r="AP133" s="57">
        <f>IF(ISERROR(IF(B133=C133,E133/C133,(INT(E133/B133)+(((E133-B133*INT(E133/B133)))/C133)/100))),0,(IF(B133=C133,E133/C133,(INT(E133/B133)+(((E133-B133*INT(E133/B133)))/C133)/100))))</f>
        <v>0</v>
      </c>
      <c r="AQ133" s="57">
        <f>IF(ISERROR(IF(B133=C133,F133/C133,IF((INT(F133/B133)+(((F133-B133*INT(F133/B133)))/C133)/100)&lt;0,(INT(F133/B133)+(((F133-B133*INT(F133/B133)))/C133)/100)+(1-(B133/C133/100)),(INT(F133/B133)+(((F133-B133*INT(F133/B133)))/C133)/100)))),0,IF(B133=C133,F133/C133,IF((INT(F133/B133)+(((F133-B133*INT(F133/B133)))/C133)/100)&lt;0,(INT(F133/B133)+(((F133-B133*INT(F133/B133)))/C133)/100)+(1-(B133/C133/100)),(INT(F133/B133)+(((F133-B133*INT(F133/B133)))/C133)/100))))</f>
        <v>0</v>
      </c>
      <c r="AR133" s="57">
        <f>IF(ISERROR(IF(B133=C133,G133/C133,(INT(G133/B133)+(((G133-B133*INT(G133/B133)))/C133)/100))),0,(IF(B133=C133,G133/C133,(INT(G133/B133)+(((G133-B133*INT(G133/B133)))/C133)/100))))</f>
        <v>0</v>
      </c>
      <c r="AS133" s="57">
        <f>IF(ISERROR(IF(B133=C133,H133/C133,(INT(H133/B133)+(((H133-B133*INT(H133/B133)))/C133)/100))),0,(IF(B133=C133,H133/C133,(INT(H133/B133)+(((H133-B133*INT(H133/B133)))/C133)/100))))</f>
        <v>0</v>
      </c>
      <c r="AT133" s="57">
        <f>IF(ISERROR(IF(B133=C133,I133/C133,(INT(I133/B133)+(((I133-B133*INT(I133/B133)))/C133)/100))),0,(IF(B133=C133,I133/C133,(INT(I133/B133)+(((I133-B133*INT(I133/B133)))/C133)/100))))</f>
        <v>0</v>
      </c>
      <c r="AU133" s="57">
        <f>IF(ISERROR(IF(B133=C133,J133/C133,(INT(J133/B133)+(((J133-B133*INT(J133/B133)))/C133)/100))),0,(IF(B133=C133,J133/C133,(INT(J133/B133)+(((J133-B133*INT(J133/B133)))/C133)/100))))</f>
        <v>0</v>
      </c>
      <c r="AV133" s="57">
        <f>IF(ISERROR(IF(B133=C133,K133/C133,IF((INT(K133/B133)+(((K133-B133*INT(K133/B133)))/C133)/100)&lt;0,(INT(K133/B133)+(((K133-B133*INT(K133/B133)))/C133)/100)+(1-(B133/C133/100)),(INT(K133/B133)+(((K133-B133*INT(K133/B133)))/C133)/100)))),0,IF(B133=C133,K133/C133,IF((INT(K133/B133)+(((K133-B133*INT(K133/B133)))/C133)/100)&lt;0,(INT(K133/B133)+(((K133-B133*INT(K133/B133)))/C133)/100)+(1-(B133/C133/100)),(INT(K133/B133)+(((K133-B133*INT(K133/B133)))/C133)/100))))</f>
        <v>0</v>
      </c>
      <c r="AW133" s="57">
        <f>IF(ISERROR(IF(B133=C133,L133/C133,(INT(L133/B133)+(((L133-B133*INT(L133/B133)))/C133)/100))),0,(IF(B133=C133,L133/C133,(INT(L133/B133)+(((L133-B133*INT(L133/B133)))/C133)/100))))</f>
        <v>0</v>
      </c>
      <c r="AX133" s="57">
        <f>IF(ISERROR(IF(B133=C133,M133/C133,(INT(M133/B133)+(((M133-B133*INT(M133/B133)))/C133)/100))),0,(IF(B133=C133,M133/C133,(INT(M133/B133)+(((M133-B133*INT(M133/B133)))/C133)/100))))</f>
        <v>0</v>
      </c>
      <c r="AY133" s="57">
        <f>IF(ISERROR(IF(B133=C133,N133/C133,IF((INT(N133/B133)+(((N133-B133*INT(N133/B133)))/C133)/100)&lt;0,(INT(N133/B133)+(((N133-B133*INT(N133/B133)))/C133)/100)+(1-(B133/C133/100)),(INT(N133/B133)+(((N133-B133*INT(N133/B133)))/C133)/100)))),0,IF(B133=C133,N133/C133,IF((INT(N133/B133)+(((N133-B133*INT(N133/B133)))/C133)/100)&lt;0,(INT(N133/B133)+(((N133-B133*INT(N133/B133)))/C133)/100)+(1-(B133/C133/100)),(INT(N133/B133)+(((N133-B133*INT(N133/B133)))/C133)/100))))</f>
        <v>0</v>
      </c>
      <c r="AZ133" s="57">
        <f>IF(ISERROR(IF(B133=C133,O133/C133,(INT(O133/B133)+(((O133-B133*INT(O133/B133)))/C133)/100))),0,(IF(B133=C133,O133/C133,(INT(O133/B133)+(((O133-B133*INT(O133/B133)))/C133)/100))))</f>
        <v>0</v>
      </c>
      <c r="BA133" s="57">
        <f>IF(ISERROR(IF(B133=C133,P133/C133,IF((INT(P133/B133)+(((P133-B133*INT(P133/B133)))/C133)/100)&lt;0,(INT(P133/B133)+(((P133-B133*INT(P133/B133)))/C133)/100)+(1-(B133/C133/100)),(INT(P133/B133)+(((P133-B133*INT(P133/B133)))/C133)/100)))),0,IF(B133=C133,P133/C133,IF((INT(P133/B133)+(((P133-B133*INT(P133/B133)))/C133)/100)&lt;0,(INT(P133/B133)+(((P133-B133*INT(P133/B133)))/C133)/100)+(1-(B133/C133/100)),(INT(P133/B133)+(((P133-B133*INT(P133/B133)))/C133)/100))))</f>
        <v>0</v>
      </c>
      <c r="BB133" s="28">
        <f>R133</f>
        <v>0</v>
      </c>
      <c r="BC133" s="28">
        <f>S133</f>
        <v>0</v>
      </c>
      <c r="BD133" s="28">
        <f>AF133</f>
        <v>0</v>
      </c>
      <c r="BE133" s="28">
        <f>T133</f>
        <v>0</v>
      </c>
      <c r="BG133" s="57">
        <f>IF(ISERROR(IF(B133=C133,V133/C133,(INT(V133/B133)+(((V133-B133*INT(V133/B133)))/C133)/100))),0,(IF(B133=C133,V133/C133,(INT(V133/B133)+(((V133-B133*INT(V133/B133)))/C133)/100))))</f>
        <v>0</v>
      </c>
      <c r="BH133" s="57">
        <f>IF(ISERROR(IF(B133=C133,W133/C133,(INT(W133/B133)+(((W133-B133*INT(W133/B133)))/C133)/100))),0,(IF(B133=C133,W133/C133,(INT(W133/B133)+(((W133-B133*INT(W133/B133)))/C133)/100))))</f>
        <v>0</v>
      </c>
      <c r="BI133" s="57">
        <f>IF(ISERROR(IF(B133=C133,X133/C133,(INT(X133/B133)+(((X133-B133*INT(X133/B133)))/C133)/100))),0,(IF(B133=C133,X133/C133,(INT(X133/B133)+(((X133-B133*INT(X133/B133)))/C133)/100))))</f>
        <v>0</v>
      </c>
      <c r="BJ133" s="57">
        <f>IF(ISERROR(IF(B133=C133,Y133/C133,(INT(Y133/B133)+(((Y133-B133*INT(Y133/B133)))/C133)/100))),0,(IF(B133=C133,Y133/C133,(INT(Y133/B133)+(((Y133-B133*INT(Y133/B133)))/C133)/100))))</f>
        <v>0</v>
      </c>
      <c r="BL133" s="57">
        <f>IF(ISERROR(IF(B133=C133,AA133/C133,(INT(AA133/B133)+(((AA133-B133*INT(AA133/B133)))/C133)/100))),0,(IF(B133=C133,AA133/C133,(INT(AA133/B133)+(((AA133-B133*INT(AA133/B133)))/C133)/100))))</f>
        <v>0</v>
      </c>
      <c r="BM133" s="57">
        <f>IF(ISERROR(IF(B133=C133,AB133/C133,(INT(AB133/B133)+(((AB133-B133*INT(AB133/B133)))/C133)/100))),0,(IF(B133=C133,AB133/C133,(INT(AB133/B133)+(((AB133-B133*INT(AB133/B133)))/C133)/100))))</f>
        <v>0</v>
      </c>
      <c r="BN133" s="57">
        <f>IF(ISERROR(IF(B133=C133,AC133/C133,(INT(AC133/B133)+(((AC133-B133*INT(AC133/B133)))/C133)/100))),0,(IF(B133=C133,AC133/C133,(INT(AC133/B133)+(((AC133-B133*INT(AC133/B133)))/C133)/100))))</f>
        <v>0</v>
      </c>
      <c r="BO133" s="57">
        <f>IF(ISERROR(IF(B133=C133,AD133/C133,(INT(AD133/B133)+(((AD133-B133*INT(AD133/B133)))/C133)/100))),0,(IF(B133=C133,AD133/C133,(INT(AD133/B133)+(((AD133-B133*INT(AD133/B133)))/C133)/100))))</f>
        <v>0</v>
      </c>
      <c r="BQ133" s="155" t="s">
        <v>215</v>
      </c>
    </row>
    <row r="134" spans="1:69" hidden="1" x14ac:dyDescent="0.35">
      <c r="A134" s="134"/>
      <c r="B134" s="113">
        <v>750</v>
      </c>
      <c r="C134" s="113">
        <v>30</v>
      </c>
      <c r="D134" s="28">
        <f>SUM(AA134:AD134)</f>
        <v>0</v>
      </c>
      <c r="E134" s="113">
        <v>0</v>
      </c>
      <c r="F134" s="113">
        <v>0</v>
      </c>
      <c r="G134" s="28">
        <f>SUM(D134:F134)</f>
        <v>0</v>
      </c>
      <c r="H134" s="125">
        <v>0</v>
      </c>
      <c r="I134" s="113">
        <v>0</v>
      </c>
      <c r="J134" s="125">
        <v>0</v>
      </c>
      <c r="K134" s="113">
        <v>0</v>
      </c>
      <c r="L134" s="113">
        <v>0</v>
      </c>
      <c r="M134" s="113">
        <v>0</v>
      </c>
      <c r="N134" s="28">
        <f>G134-SUM(H134:M134)</f>
        <v>0</v>
      </c>
      <c r="O134" s="28">
        <f>SUM(V134:Y134)</f>
        <v>0</v>
      </c>
      <c r="P134" s="28">
        <f>O134-N134</f>
        <v>0</v>
      </c>
      <c r="Q134" s="61" t="str">
        <f>IF(ISERROR(P134/SUM(H134:L134)),"",P134/SUM(H134:L134))</f>
        <v/>
      </c>
      <c r="R134" s="113">
        <v>0</v>
      </c>
      <c r="S134" s="28">
        <f>IF(ISERROR(P134/C134*R134),0,(P134/C134*R134))</f>
        <v>0</v>
      </c>
      <c r="T134" s="60">
        <f>IF(ISERROR(P134/B134*AF134),0,(P134/B134*AF134))</f>
        <v>0</v>
      </c>
      <c r="V134" s="113">
        <v>0</v>
      </c>
      <c r="W134" s="113">
        <v>0</v>
      </c>
      <c r="X134" s="113">
        <v>0</v>
      </c>
      <c r="Y134" s="113">
        <v>0</v>
      </c>
      <c r="AA134" s="113">
        <v>0</v>
      </c>
      <c r="AB134" s="113">
        <v>0</v>
      </c>
      <c r="AC134" s="113">
        <v>0</v>
      </c>
      <c r="AD134" s="113">
        <v>0</v>
      </c>
      <c r="AF134" s="113">
        <v>0</v>
      </c>
      <c r="AG134" s="28">
        <f>G134-O134</f>
        <v>0</v>
      </c>
      <c r="AH134" s="58">
        <f>IF(ISERROR(AG134/B134*AF134),0,(AG134/B134*AF134))</f>
        <v>0</v>
      </c>
      <c r="AI134" s="28">
        <f>SUM(H134:M134)</f>
        <v>0</v>
      </c>
      <c r="AJ134" s="28">
        <f>IF(ISERROR(AI134/B134*AF134),0,(AI134/B134*AF134))</f>
        <v>0</v>
      </c>
      <c r="AK134" s="58">
        <f>IF(ISERROR(O134/B134*AF134),0,(O134/B134*AF134))</f>
        <v>0</v>
      </c>
      <c r="AL134" s="28">
        <f>IF(ISERROR(H134/B134*AF134),0,(H134/B134*AF134))</f>
        <v>0</v>
      </c>
      <c r="AN134" s="51">
        <f>A134</f>
        <v>0</v>
      </c>
      <c r="AO134" s="57">
        <f>IF(ISERROR(IF(B134=C134,D134/C134,(INT(D134/B134)+(((D134-B134*INT(D134/B134)))/C134)/100))),0,(IF(B134=C134,D134/C134,(INT(D134/B134)+(((D134-B134*INT(D134/B134)))/C134)/100))))</f>
        <v>0</v>
      </c>
      <c r="AP134" s="57">
        <f>IF(ISERROR(IF(B134=C134,E134/C134,(INT(E134/B134)+(((E134-B134*INT(E134/B134)))/C134)/100))),0,(IF(B134=C134,E134/C134,(INT(E134/B134)+(((E134-B134*INT(E134/B134)))/C134)/100))))</f>
        <v>0</v>
      </c>
      <c r="AQ134" s="57">
        <f>IF(ISERROR(IF(B134=C134,F134/C134,IF((INT(F134/B134)+(((F134-B134*INT(F134/B134)))/C134)/100)&lt;0,(INT(F134/B134)+(((F134-B134*INT(F134/B134)))/C134)/100)+(1-(B134/C134/100)),(INT(F134/B134)+(((F134-B134*INT(F134/B134)))/C134)/100)))),0,IF(B134=C134,F134/C134,IF((INT(F134/B134)+(((F134-B134*INT(F134/B134)))/C134)/100)&lt;0,(INT(F134/B134)+(((F134-B134*INT(F134/B134)))/C134)/100)+(1-(B134/C134/100)),(INT(F134/B134)+(((F134-B134*INT(F134/B134)))/C134)/100))))</f>
        <v>0</v>
      </c>
      <c r="AR134" s="57">
        <f>IF(ISERROR(IF(B134=C134,G134/C134,(INT(G134/B134)+(((G134-B134*INT(G134/B134)))/C134)/100))),0,(IF(B134=C134,G134/C134,(INT(G134/B134)+(((G134-B134*INT(G134/B134)))/C134)/100))))</f>
        <v>0</v>
      </c>
      <c r="AS134" s="57">
        <f>IF(ISERROR(IF(B134=C134,H134/C134,(INT(H134/B134)+(((H134-B134*INT(H134/B134)))/C134)/100))),0,(IF(B134=C134,H134/C134,(INT(H134/B134)+(((H134-B134*INT(H134/B134)))/C134)/100))))</f>
        <v>0</v>
      </c>
      <c r="AT134" s="57">
        <f>IF(ISERROR(IF(B134=C134,I134/C134,(INT(I134/B134)+(((I134-B134*INT(I134/B134)))/C134)/100))),0,(IF(B134=C134,I134/C134,(INT(I134/B134)+(((I134-B134*INT(I134/B134)))/C134)/100))))</f>
        <v>0</v>
      </c>
      <c r="AU134" s="57">
        <f>IF(ISERROR(IF(B134=C134,J134/C134,(INT(J134/B134)+(((J134-B134*INT(J134/B134)))/C134)/100))),0,(IF(B134=C134,J134/C134,(INT(J134/B134)+(((J134-B134*INT(J134/B134)))/C134)/100))))</f>
        <v>0</v>
      </c>
      <c r="AV134" s="57">
        <f>IF(ISERROR(IF(B134=C134,K134/C134,IF((INT(K134/B134)+(((K134-B134*INT(K134/B134)))/C134)/100)&lt;0,(INT(K134/B134)+(((K134-B134*INT(K134/B134)))/C134)/100)+(1-(B134/C134/100)),(INT(K134/B134)+(((K134-B134*INT(K134/B134)))/C134)/100)))),0,IF(B134=C134,K134/C134,IF((INT(K134/B134)+(((K134-B134*INT(K134/B134)))/C134)/100)&lt;0,(INT(K134/B134)+(((K134-B134*INT(K134/B134)))/C134)/100)+(1-(B134/C134/100)),(INT(K134/B134)+(((K134-B134*INT(K134/B134)))/C134)/100))))</f>
        <v>0</v>
      </c>
      <c r="AW134" s="57">
        <f>IF(ISERROR(IF(B134=C134,L134/C134,(INT(L134/B134)+(((L134-B134*INT(L134/B134)))/C134)/100))),0,(IF(B134=C134,L134/C134,(INT(L134/B134)+(((L134-B134*INT(L134/B134)))/C134)/100))))</f>
        <v>0</v>
      </c>
      <c r="AX134" s="57">
        <f>IF(ISERROR(IF(B134=C134,M134/C134,(INT(M134/B134)+(((M134-B134*INT(M134/B134)))/C134)/100))),0,(IF(B134=C134,M134/C134,(INT(M134/B134)+(((M134-B134*INT(M134/B134)))/C134)/100))))</f>
        <v>0</v>
      </c>
      <c r="AY134" s="57">
        <f>IF(ISERROR(IF(B134=C134,N134/C134,IF((INT(N134/B134)+(((N134-B134*INT(N134/B134)))/C134)/100)&lt;0,(INT(N134/B134)+(((N134-B134*INT(N134/B134)))/C134)/100)+(1-(B134/C134/100)),(INT(N134/B134)+(((N134-B134*INT(N134/B134)))/C134)/100)))),0,IF(B134=C134,N134/C134,IF((INT(N134/B134)+(((N134-B134*INT(N134/B134)))/C134)/100)&lt;0,(INT(N134/B134)+(((N134-B134*INT(N134/B134)))/C134)/100)+(1-(B134/C134/100)),(INT(N134/B134)+(((N134-B134*INT(N134/B134)))/C134)/100))))</f>
        <v>0</v>
      </c>
      <c r="AZ134" s="57">
        <f>IF(ISERROR(IF(B134=C134,O134/C134,(INT(O134/B134)+(((O134-B134*INT(O134/B134)))/C134)/100))),0,(IF(B134=C134,O134/C134,(INT(O134/B134)+(((O134-B134*INT(O134/B134)))/C134)/100))))</f>
        <v>0</v>
      </c>
      <c r="BA134" s="57">
        <f>IF(ISERROR(IF(B134=C134,P134/C134,IF((INT(P134/B134)+(((P134-B134*INT(P134/B134)))/C134)/100)&lt;0,(INT(P134/B134)+(((P134-B134*INT(P134/B134)))/C134)/100)+(1-(B134/C134/100)),(INT(P134/B134)+(((P134-B134*INT(P134/B134)))/C134)/100)))),0,IF(B134=C134,P134/C134,IF((INT(P134/B134)+(((P134-B134*INT(P134/B134)))/C134)/100)&lt;0,(INT(P134/B134)+(((P134-B134*INT(P134/B134)))/C134)/100)+(1-(B134/C134/100)),(INT(P134/B134)+(((P134-B134*INT(P134/B134)))/C134)/100))))</f>
        <v>0</v>
      </c>
      <c r="BB134" s="28">
        <f>R134</f>
        <v>0</v>
      </c>
      <c r="BC134" s="28">
        <f>S134</f>
        <v>0</v>
      </c>
      <c r="BD134" s="28">
        <f>AF134</f>
        <v>0</v>
      </c>
      <c r="BE134" s="28">
        <f>T134</f>
        <v>0</v>
      </c>
      <c r="BG134" s="57">
        <f>IF(ISERROR(IF(B134=C134,V134/C134,(INT(V134/B134)+(((V134-B134*INT(V134/B134)))/C134)/100))),0,(IF(B134=C134,V134/C134,(INT(V134/B134)+(((V134-B134*INT(V134/B134)))/C134)/100))))</f>
        <v>0</v>
      </c>
      <c r="BH134" s="57">
        <f>IF(ISERROR(IF(B134=C134,W134/C134,(INT(W134/B134)+(((W134-B134*INT(W134/B134)))/C134)/100))),0,(IF(B134=C134,W134/C134,(INT(W134/B134)+(((W134-B134*INT(W134/B134)))/C134)/100))))</f>
        <v>0</v>
      </c>
      <c r="BI134" s="57">
        <f>IF(ISERROR(IF(B134=C134,X134/C134,(INT(X134/B134)+(((X134-B134*INT(X134/B134)))/C134)/100))),0,(IF(B134=C134,X134/C134,(INT(X134/B134)+(((X134-B134*INT(X134/B134)))/C134)/100))))</f>
        <v>0</v>
      </c>
      <c r="BJ134" s="57">
        <f>IF(ISERROR(IF(B134=C134,Y134/C134,(INT(Y134/B134)+(((Y134-B134*INT(Y134/B134)))/C134)/100))),0,(IF(B134=C134,Y134/C134,(INT(Y134/B134)+(((Y134-B134*INT(Y134/B134)))/C134)/100))))</f>
        <v>0</v>
      </c>
      <c r="BL134" s="57">
        <f>IF(ISERROR(IF(B134=C134,AA134/C134,(INT(AA134/B134)+(((AA134-B134*INT(AA134/B134)))/C134)/100))),0,(IF(B134=C134,AA134/C134,(INT(AA134/B134)+(((AA134-B134*INT(AA134/B134)))/C134)/100))))</f>
        <v>0</v>
      </c>
      <c r="BM134" s="57">
        <f>IF(ISERROR(IF(B134=C134,AB134/C134,(INT(AB134/B134)+(((AB134-B134*INT(AB134/B134)))/C134)/100))),0,(IF(B134=C134,AB134/C134,(INT(AB134/B134)+(((AB134-B134*INT(AB134/B134)))/C134)/100))))</f>
        <v>0</v>
      </c>
      <c r="BN134" s="57">
        <f>IF(ISERROR(IF(B134=C134,AC134/C134,(INT(AC134/B134)+(((AC134-B134*INT(AC134/B134)))/C134)/100))),0,(IF(B134=C134,AC134/C134,(INT(AC134/B134)+(((AC134-B134*INT(AC134/B134)))/C134)/100))))</f>
        <v>0</v>
      </c>
      <c r="BO134" s="57">
        <f>IF(ISERROR(IF(B134=C134,AD134/C134,(INT(AD134/B134)+(((AD134-B134*INT(AD134/B134)))/C134)/100))),0,(IF(B134=C134,AD134/C134,(INT(AD134/B134)+(((AD134-B134*INT(AD134/B134)))/C134)/100))))</f>
        <v>0</v>
      </c>
      <c r="BQ134" s="155" t="s">
        <v>215</v>
      </c>
    </row>
    <row r="135" spans="1:69" hidden="1" x14ac:dyDescent="0.35">
      <c r="A135" s="134"/>
      <c r="B135" s="113">
        <v>750</v>
      </c>
      <c r="C135" s="113">
        <v>30</v>
      </c>
      <c r="D135" s="28">
        <f>SUM(AA135:AD135)</f>
        <v>0</v>
      </c>
      <c r="E135" s="113">
        <v>0</v>
      </c>
      <c r="F135" s="113">
        <v>0</v>
      </c>
      <c r="G135" s="28">
        <f>SUM(D135:F135)</f>
        <v>0</v>
      </c>
      <c r="H135" s="125">
        <v>0</v>
      </c>
      <c r="I135" s="113">
        <v>0</v>
      </c>
      <c r="J135" s="125">
        <v>0</v>
      </c>
      <c r="K135" s="113">
        <v>0</v>
      </c>
      <c r="L135" s="113">
        <v>0</v>
      </c>
      <c r="M135" s="113">
        <v>0</v>
      </c>
      <c r="N135" s="28">
        <f>G135-SUM(H135:M135)</f>
        <v>0</v>
      </c>
      <c r="O135" s="28">
        <f>SUM(V135:Y135)</f>
        <v>0</v>
      </c>
      <c r="P135" s="28">
        <f>O135-N135</f>
        <v>0</v>
      </c>
      <c r="Q135" s="61" t="str">
        <f>IF(ISERROR(P135/SUM(H135:L135)),"",P135/SUM(H135:L135))</f>
        <v/>
      </c>
      <c r="R135" s="113">
        <v>0</v>
      </c>
      <c r="S135" s="28">
        <f>IF(ISERROR(P135/C135*R135),0,(P135/C135*R135))</f>
        <v>0</v>
      </c>
      <c r="T135" s="60">
        <f>IF(ISERROR(P135/B135*AF135),0,(P135/B135*AF135))</f>
        <v>0</v>
      </c>
      <c r="V135" s="113">
        <v>0</v>
      </c>
      <c r="W135" s="113">
        <v>0</v>
      </c>
      <c r="X135" s="113">
        <v>0</v>
      </c>
      <c r="Y135" s="113">
        <v>0</v>
      </c>
      <c r="AA135" s="113">
        <v>0</v>
      </c>
      <c r="AB135" s="113">
        <v>0</v>
      </c>
      <c r="AC135" s="113">
        <v>0</v>
      </c>
      <c r="AD135" s="113">
        <v>0</v>
      </c>
      <c r="AF135" s="113">
        <v>0</v>
      </c>
      <c r="AG135" s="28">
        <f>G135-O135</f>
        <v>0</v>
      </c>
      <c r="AH135" s="58">
        <f>IF(ISERROR(AG135/B135*AF135),0,(AG135/B135*AF135))</f>
        <v>0</v>
      </c>
      <c r="AI135" s="28">
        <f>SUM(H135:M135)</f>
        <v>0</v>
      </c>
      <c r="AJ135" s="28">
        <f>IF(ISERROR(AI135/B135*AF135),0,(AI135/B135*AF135))</f>
        <v>0</v>
      </c>
      <c r="AK135" s="58">
        <f>IF(ISERROR(O135/B135*AF135),0,(O135/B135*AF135))</f>
        <v>0</v>
      </c>
      <c r="AL135" s="28">
        <f>IF(ISERROR(H135/B135*AF135),0,(H135/B135*AF135))</f>
        <v>0</v>
      </c>
      <c r="AN135" s="51">
        <f>A135</f>
        <v>0</v>
      </c>
      <c r="AO135" s="57">
        <f>IF(ISERROR(IF(B135=C135,D135/C135,(INT(D135/B135)+(((D135-B135*INT(D135/B135)))/C135)/100))),0,(IF(B135=C135,D135/C135,(INT(D135/B135)+(((D135-B135*INT(D135/B135)))/C135)/100))))</f>
        <v>0</v>
      </c>
      <c r="AP135" s="57">
        <f>IF(ISERROR(IF(B135=C135,E135/C135,(INT(E135/B135)+(((E135-B135*INT(E135/B135)))/C135)/100))),0,(IF(B135=C135,E135/C135,(INT(E135/B135)+(((E135-B135*INT(E135/B135)))/C135)/100))))</f>
        <v>0</v>
      </c>
      <c r="AQ135" s="57">
        <f>IF(ISERROR(IF(B135=C135,F135/C135,IF((INT(F135/B135)+(((F135-B135*INT(F135/B135)))/C135)/100)&lt;0,(INT(F135/B135)+(((F135-B135*INT(F135/B135)))/C135)/100)+(1-(B135/C135/100)),(INT(F135/B135)+(((F135-B135*INT(F135/B135)))/C135)/100)))),0,IF(B135=C135,F135/C135,IF((INT(F135/B135)+(((F135-B135*INT(F135/B135)))/C135)/100)&lt;0,(INT(F135/B135)+(((F135-B135*INT(F135/B135)))/C135)/100)+(1-(B135/C135/100)),(INT(F135/B135)+(((F135-B135*INT(F135/B135)))/C135)/100))))</f>
        <v>0</v>
      </c>
      <c r="AR135" s="57">
        <f>IF(ISERROR(IF(B135=C135,G135/C135,(INT(G135/B135)+(((G135-B135*INT(G135/B135)))/C135)/100))),0,(IF(B135=C135,G135/C135,(INT(G135/B135)+(((G135-B135*INT(G135/B135)))/C135)/100))))</f>
        <v>0</v>
      </c>
      <c r="AS135" s="57">
        <f>IF(ISERROR(IF(B135=C135,H135/C135,(INT(H135/B135)+(((H135-B135*INT(H135/B135)))/C135)/100))),0,(IF(B135=C135,H135/C135,(INT(H135/B135)+(((H135-B135*INT(H135/B135)))/C135)/100))))</f>
        <v>0</v>
      </c>
      <c r="AT135" s="57">
        <f>IF(ISERROR(IF(B135=C135,I135/C135,(INT(I135/B135)+(((I135-B135*INT(I135/B135)))/C135)/100))),0,(IF(B135=C135,I135/C135,(INT(I135/B135)+(((I135-B135*INT(I135/B135)))/C135)/100))))</f>
        <v>0</v>
      </c>
      <c r="AU135" s="57">
        <f>IF(ISERROR(IF(B135=C135,J135/C135,(INT(J135/B135)+(((J135-B135*INT(J135/B135)))/C135)/100))),0,(IF(B135=C135,J135/C135,(INT(J135/B135)+(((J135-B135*INT(J135/B135)))/C135)/100))))</f>
        <v>0</v>
      </c>
      <c r="AV135" s="57">
        <f>IF(ISERROR(IF(B135=C135,K135/C135,IF((INT(K135/B135)+(((K135-B135*INT(K135/B135)))/C135)/100)&lt;0,(INT(K135/B135)+(((K135-B135*INT(K135/B135)))/C135)/100)+(1-(B135/C135/100)),(INT(K135/B135)+(((K135-B135*INT(K135/B135)))/C135)/100)))),0,IF(B135=C135,K135/C135,IF((INT(K135/B135)+(((K135-B135*INT(K135/B135)))/C135)/100)&lt;0,(INT(K135/B135)+(((K135-B135*INT(K135/B135)))/C135)/100)+(1-(B135/C135/100)),(INT(K135/B135)+(((K135-B135*INT(K135/B135)))/C135)/100))))</f>
        <v>0</v>
      </c>
      <c r="AW135" s="57">
        <f>IF(ISERROR(IF(B135=C135,L135/C135,(INT(L135/B135)+(((L135-B135*INT(L135/B135)))/C135)/100))),0,(IF(B135=C135,L135/C135,(INT(L135/B135)+(((L135-B135*INT(L135/B135)))/C135)/100))))</f>
        <v>0</v>
      </c>
      <c r="AX135" s="57">
        <f>IF(ISERROR(IF(B135=C135,M135/C135,(INT(M135/B135)+(((M135-B135*INT(M135/B135)))/C135)/100))),0,(IF(B135=C135,M135/C135,(INT(M135/B135)+(((M135-B135*INT(M135/B135)))/C135)/100))))</f>
        <v>0</v>
      </c>
      <c r="AY135" s="57">
        <f>IF(ISERROR(IF(B135=C135,N135/C135,IF((INT(N135/B135)+(((N135-B135*INT(N135/B135)))/C135)/100)&lt;0,(INT(N135/B135)+(((N135-B135*INT(N135/B135)))/C135)/100)+(1-(B135/C135/100)),(INT(N135/B135)+(((N135-B135*INT(N135/B135)))/C135)/100)))),0,IF(B135=C135,N135/C135,IF((INT(N135/B135)+(((N135-B135*INT(N135/B135)))/C135)/100)&lt;0,(INT(N135/B135)+(((N135-B135*INT(N135/B135)))/C135)/100)+(1-(B135/C135/100)),(INT(N135/B135)+(((N135-B135*INT(N135/B135)))/C135)/100))))</f>
        <v>0</v>
      </c>
      <c r="AZ135" s="57">
        <f>IF(ISERROR(IF(B135=C135,O135/C135,(INT(O135/B135)+(((O135-B135*INT(O135/B135)))/C135)/100))),0,(IF(B135=C135,O135/C135,(INT(O135/B135)+(((O135-B135*INT(O135/B135)))/C135)/100))))</f>
        <v>0</v>
      </c>
      <c r="BA135" s="57">
        <f>IF(ISERROR(IF(B135=C135,P135/C135,IF((INT(P135/B135)+(((P135-B135*INT(P135/B135)))/C135)/100)&lt;0,(INT(P135/B135)+(((P135-B135*INT(P135/B135)))/C135)/100)+(1-(B135/C135/100)),(INT(P135/B135)+(((P135-B135*INT(P135/B135)))/C135)/100)))),0,IF(B135=C135,P135/C135,IF((INT(P135/B135)+(((P135-B135*INT(P135/B135)))/C135)/100)&lt;0,(INT(P135/B135)+(((P135-B135*INT(P135/B135)))/C135)/100)+(1-(B135/C135/100)),(INT(P135/B135)+(((P135-B135*INT(P135/B135)))/C135)/100))))</f>
        <v>0</v>
      </c>
      <c r="BB135" s="28">
        <f>R135</f>
        <v>0</v>
      </c>
      <c r="BC135" s="28">
        <f>S135</f>
        <v>0</v>
      </c>
      <c r="BD135" s="28">
        <f>AF135</f>
        <v>0</v>
      </c>
      <c r="BE135" s="28">
        <f>T135</f>
        <v>0</v>
      </c>
      <c r="BG135" s="57">
        <f>IF(ISERROR(IF(B135=C135,V135/C135,(INT(V135/B135)+(((V135-B135*INT(V135/B135)))/C135)/100))),0,(IF(B135=C135,V135/C135,(INT(V135/B135)+(((V135-B135*INT(V135/B135)))/C135)/100))))</f>
        <v>0</v>
      </c>
      <c r="BH135" s="57">
        <f>IF(ISERROR(IF(B135=C135,W135/C135,(INT(W135/B135)+(((W135-B135*INT(W135/B135)))/C135)/100))),0,(IF(B135=C135,W135/C135,(INT(W135/B135)+(((W135-B135*INT(W135/B135)))/C135)/100))))</f>
        <v>0</v>
      </c>
      <c r="BI135" s="57">
        <f>IF(ISERROR(IF(B135=C135,X135/C135,(INT(X135/B135)+(((X135-B135*INT(X135/B135)))/C135)/100))),0,(IF(B135=C135,X135/C135,(INT(X135/B135)+(((X135-B135*INT(X135/B135)))/C135)/100))))</f>
        <v>0</v>
      </c>
      <c r="BJ135" s="57">
        <f>IF(ISERROR(IF(B135=C135,Y135/C135,(INT(Y135/B135)+(((Y135-B135*INT(Y135/B135)))/C135)/100))),0,(IF(B135=C135,Y135/C135,(INT(Y135/B135)+(((Y135-B135*INT(Y135/B135)))/C135)/100))))</f>
        <v>0</v>
      </c>
      <c r="BL135" s="57">
        <f>IF(ISERROR(IF(B135=C135,AA135/C135,(INT(AA135/B135)+(((AA135-B135*INT(AA135/B135)))/C135)/100))),0,(IF(B135=C135,AA135/C135,(INT(AA135/B135)+(((AA135-B135*INT(AA135/B135)))/C135)/100))))</f>
        <v>0</v>
      </c>
      <c r="BM135" s="57">
        <f>IF(ISERROR(IF(B135=C135,AB135/C135,(INT(AB135/B135)+(((AB135-B135*INT(AB135/B135)))/C135)/100))),0,(IF(B135=C135,AB135/C135,(INT(AB135/B135)+(((AB135-B135*INT(AB135/B135)))/C135)/100))))</f>
        <v>0</v>
      </c>
      <c r="BN135" s="57">
        <f>IF(ISERROR(IF(B135=C135,AC135/C135,(INT(AC135/B135)+(((AC135-B135*INT(AC135/B135)))/C135)/100))),0,(IF(B135=C135,AC135/C135,(INT(AC135/B135)+(((AC135-B135*INT(AC135/B135)))/C135)/100))))</f>
        <v>0</v>
      </c>
      <c r="BO135" s="57">
        <f>IF(ISERROR(IF(B135=C135,AD135/C135,(INT(AD135/B135)+(((AD135-B135*INT(AD135/B135)))/C135)/100))),0,(IF(B135=C135,AD135/C135,(INT(AD135/B135)+(((AD135-B135*INT(AD135/B135)))/C135)/100))))</f>
        <v>0</v>
      </c>
      <c r="BQ135" s="155" t="s">
        <v>232</v>
      </c>
    </row>
    <row r="136" spans="1:69" hidden="1" x14ac:dyDescent="0.35">
      <c r="A136" s="94"/>
      <c r="B136" s="113">
        <v>750</v>
      </c>
      <c r="C136" s="113">
        <v>30</v>
      </c>
      <c r="D136" s="28">
        <f>SUM(AA136:AD136)</f>
        <v>0</v>
      </c>
      <c r="E136" s="113">
        <v>0</v>
      </c>
      <c r="F136" s="113">
        <v>0</v>
      </c>
      <c r="G136" s="28">
        <f>SUM(D136:F136)</f>
        <v>0</v>
      </c>
      <c r="H136" s="125">
        <v>0</v>
      </c>
      <c r="I136" s="113">
        <v>0</v>
      </c>
      <c r="J136" s="125">
        <v>0</v>
      </c>
      <c r="K136" s="113">
        <v>0</v>
      </c>
      <c r="L136" s="113">
        <v>0</v>
      </c>
      <c r="M136" s="113">
        <v>0</v>
      </c>
      <c r="N136" s="28">
        <f>G136-SUM(H136:M136)</f>
        <v>0</v>
      </c>
      <c r="O136" s="28">
        <f>SUM(V136:Y136)</f>
        <v>0</v>
      </c>
      <c r="P136" s="28">
        <f>O136-N136</f>
        <v>0</v>
      </c>
      <c r="Q136" s="61" t="str">
        <f>IF(ISERROR(P136/SUM(H136:L136)),"",P136/SUM(H136:L136))</f>
        <v/>
      </c>
      <c r="R136" s="113">
        <v>0</v>
      </c>
      <c r="S136" s="28">
        <f>IF(ISERROR(P136/C136*R136),0,(P136/C136*R136))</f>
        <v>0</v>
      </c>
      <c r="T136" s="60">
        <f>IF(ISERROR(P136/B136*AF136),0,(P136/B136*AF136))</f>
        <v>0</v>
      </c>
      <c r="V136" s="113">
        <v>0</v>
      </c>
      <c r="W136" s="113">
        <v>0</v>
      </c>
      <c r="X136" s="113">
        <v>0</v>
      </c>
      <c r="Y136" s="113">
        <v>0</v>
      </c>
      <c r="AA136" s="113">
        <v>0</v>
      </c>
      <c r="AB136" s="113">
        <v>0</v>
      </c>
      <c r="AC136" s="113">
        <v>0</v>
      </c>
      <c r="AD136" s="113">
        <v>0</v>
      </c>
      <c r="AF136" s="113">
        <v>0</v>
      </c>
      <c r="AG136" s="28">
        <f>G136-O136</f>
        <v>0</v>
      </c>
      <c r="AH136" s="58">
        <f>IF(ISERROR(AG136/B136*AF136),0,(AG136/B136*AF136))</f>
        <v>0</v>
      </c>
      <c r="AI136" s="28">
        <f>SUM(H136:M136)</f>
        <v>0</v>
      </c>
      <c r="AJ136" s="28">
        <f>IF(ISERROR(AI136/B136*AF136),0,(AI136/B136*AF136))</f>
        <v>0</v>
      </c>
      <c r="AK136" s="58">
        <f>IF(ISERROR(O136/B136*AF136),0,(O136/B136*AF136))</f>
        <v>0</v>
      </c>
      <c r="AL136" s="28">
        <f>IF(ISERROR(H136/B136*AF136),0,(H136/B136*AF136))</f>
        <v>0</v>
      </c>
      <c r="AN136" s="51">
        <f>A136</f>
        <v>0</v>
      </c>
      <c r="AO136" s="57">
        <f>IF(ISERROR(IF(B136=C136,D136/C136,(INT(D136/B136)+(((D136-B136*INT(D136/B136)))/C136)/100))),0,(IF(B136=C136,D136/C136,(INT(D136/B136)+(((D136-B136*INT(D136/B136)))/C136)/100))))</f>
        <v>0</v>
      </c>
      <c r="AP136" s="57">
        <f>IF(ISERROR(IF(B136=C136,E136/C136,(INT(E136/B136)+(((E136-B136*INT(E136/B136)))/C136)/100))),0,(IF(B136=C136,E136/C136,(INT(E136/B136)+(((E136-B136*INT(E136/B136)))/C136)/100))))</f>
        <v>0</v>
      </c>
      <c r="AQ136" s="57">
        <f>IF(ISERROR(IF(B136=C136,F136/C136,IF((INT(F136/B136)+(((F136-B136*INT(F136/B136)))/C136)/100)&lt;0,(INT(F136/B136)+(((F136-B136*INT(F136/B136)))/C136)/100)+(1-(B136/C136/100)),(INT(F136/B136)+(((F136-B136*INT(F136/B136)))/C136)/100)))),0,IF(B136=C136,F136/C136,IF((INT(F136/B136)+(((F136-B136*INT(F136/B136)))/C136)/100)&lt;0,(INT(F136/B136)+(((F136-B136*INT(F136/B136)))/C136)/100)+(1-(B136/C136/100)),(INT(F136/B136)+(((F136-B136*INT(F136/B136)))/C136)/100))))</f>
        <v>0</v>
      </c>
      <c r="AR136" s="57">
        <f>IF(ISERROR(IF(B136=C136,G136/C136,(INT(G136/B136)+(((G136-B136*INT(G136/B136)))/C136)/100))),0,(IF(B136=C136,G136/C136,(INT(G136/B136)+(((G136-B136*INT(G136/B136)))/C136)/100))))</f>
        <v>0</v>
      </c>
      <c r="AS136" s="57">
        <f>IF(ISERROR(IF(B136=C136,H136/C136,(INT(H136/B136)+(((H136-B136*INT(H136/B136)))/C136)/100))),0,(IF(B136=C136,H136/C136,(INT(H136/B136)+(((H136-B136*INT(H136/B136)))/C136)/100))))</f>
        <v>0</v>
      </c>
      <c r="AT136" s="57">
        <f>IF(ISERROR(IF(B136=C136,I136/C136,(INT(I136/B136)+(((I136-B136*INT(I136/B136)))/C136)/100))),0,(IF(B136=C136,I136/C136,(INT(I136/B136)+(((I136-B136*INT(I136/B136)))/C136)/100))))</f>
        <v>0</v>
      </c>
      <c r="AU136" s="57">
        <f>IF(ISERROR(IF(B136=C136,J136/C136,(INT(J136/B136)+(((J136-B136*INT(J136/B136)))/C136)/100))),0,(IF(B136=C136,J136/C136,(INT(J136/B136)+(((J136-B136*INT(J136/B136)))/C136)/100))))</f>
        <v>0</v>
      </c>
      <c r="AV136" s="57">
        <f>IF(ISERROR(IF(B136=C136,K136/C136,IF((INT(K136/B136)+(((K136-B136*INT(K136/B136)))/C136)/100)&lt;0,(INT(K136/B136)+(((K136-B136*INT(K136/B136)))/C136)/100)+(1-(B136/C136/100)),(INT(K136/B136)+(((K136-B136*INT(K136/B136)))/C136)/100)))),0,IF(B136=C136,K136/C136,IF((INT(K136/B136)+(((K136-B136*INT(K136/B136)))/C136)/100)&lt;0,(INT(K136/B136)+(((K136-B136*INT(K136/B136)))/C136)/100)+(1-(B136/C136/100)),(INT(K136/B136)+(((K136-B136*INT(K136/B136)))/C136)/100))))</f>
        <v>0</v>
      </c>
      <c r="AW136" s="57">
        <f>IF(ISERROR(IF(B136=C136,L136/C136,(INT(L136/B136)+(((L136-B136*INT(L136/B136)))/C136)/100))),0,(IF(B136=C136,L136/C136,(INT(L136/B136)+(((L136-B136*INT(L136/B136)))/C136)/100))))</f>
        <v>0</v>
      </c>
      <c r="AX136" s="57">
        <f>IF(ISERROR(IF(B136=C136,M136/C136,(INT(M136/B136)+(((M136-B136*INT(M136/B136)))/C136)/100))),0,(IF(B136=C136,M136/C136,(INT(M136/B136)+(((M136-B136*INT(M136/B136)))/C136)/100))))</f>
        <v>0</v>
      </c>
      <c r="AY136" s="57">
        <f>IF(ISERROR(IF(B136=C136,N136/C136,IF((INT(N136/B136)+(((N136-B136*INT(N136/B136)))/C136)/100)&lt;0,(INT(N136/B136)+(((N136-B136*INT(N136/B136)))/C136)/100)+(1-(B136/C136/100)),(INT(N136/B136)+(((N136-B136*INT(N136/B136)))/C136)/100)))),0,IF(B136=C136,N136/C136,IF((INT(N136/B136)+(((N136-B136*INT(N136/B136)))/C136)/100)&lt;0,(INT(N136/B136)+(((N136-B136*INT(N136/B136)))/C136)/100)+(1-(B136/C136/100)),(INT(N136/B136)+(((N136-B136*INT(N136/B136)))/C136)/100))))</f>
        <v>0</v>
      </c>
      <c r="AZ136" s="57">
        <f>IF(ISERROR(IF(B136=C136,O136/C136,(INT(O136/B136)+(((O136-B136*INT(O136/B136)))/C136)/100))),0,(IF(B136=C136,O136/C136,(INT(O136/B136)+(((O136-B136*INT(O136/B136)))/C136)/100))))</f>
        <v>0</v>
      </c>
      <c r="BA136" s="57">
        <f>IF(ISERROR(IF(B136=C136,P136/C136,IF((INT(P136/B136)+(((P136-B136*INT(P136/B136)))/C136)/100)&lt;0,(INT(P136/B136)+(((P136-B136*INT(P136/B136)))/C136)/100)+(1-(B136/C136/100)),(INT(P136/B136)+(((P136-B136*INT(P136/B136)))/C136)/100)))),0,IF(B136=C136,P136/C136,IF((INT(P136/B136)+(((P136-B136*INT(P136/B136)))/C136)/100)&lt;0,(INT(P136/B136)+(((P136-B136*INT(P136/B136)))/C136)/100)+(1-(B136/C136/100)),(INT(P136/B136)+(((P136-B136*INT(P136/B136)))/C136)/100))))</f>
        <v>0</v>
      </c>
      <c r="BB136" s="28">
        <f>R136</f>
        <v>0</v>
      </c>
      <c r="BC136" s="28">
        <f>S136</f>
        <v>0</v>
      </c>
      <c r="BD136" s="28">
        <f>AF136</f>
        <v>0</v>
      </c>
      <c r="BE136" s="28">
        <f>T136</f>
        <v>0</v>
      </c>
      <c r="BG136" s="57">
        <f>IF(ISERROR(IF(B136=C136,V136/C136,(INT(V136/B136)+(((V136-B136*INT(V136/B136)))/C136)/100))),0,(IF(B136=C136,V136/C136,(INT(V136/B136)+(((V136-B136*INT(V136/B136)))/C136)/100))))</f>
        <v>0</v>
      </c>
      <c r="BH136" s="57">
        <f>IF(ISERROR(IF(B136=C136,W136/C136,(INT(W136/B136)+(((W136-B136*INT(W136/B136)))/C136)/100))),0,(IF(B136=C136,W136/C136,(INT(W136/B136)+(((W136-B136*INT(W136/B136)))/C136)/100))))</f>
        <v>0</v>
      </c>
      <c r="BI136" s="57">
        <f>IF(ISERROR(IF(B136=C136,X136/C136,(INT(X136/B136)+(((X136-B136*INT(X136/B136)))/C136)/100))),0,(IF(B136=C136,X136/C136,(INT(X136/B136)+(((X136-B136*INT(X136/B136)))/C136)/100))))</f>
        <v>0</v>
      </c>
      <c r="BJ136" s="57">
        <f>IF(ISERROR(IF(B136=C136,Y136/C136,(INT(Y136/B136)+(((Y136-B136*INT(Y136/B136)))/C136)/100))),0,(IF(B136=C136,Y136/C136,(INT(Y136/B136)+(((Y136-B136*INT(Y136/B136)))/C136)/100))))</f>
        <v>0</v>
      </c>
      <c r="BL136" s="57">
        <f>IF(ISERROR(IF(B136=C136,AA136/C136,(INT(AA136/B136)+(((AA136-B136*INT(AA136/B136)))/C136)/100))),0,(IF(B136=C136,AA136/C136,(INT(AA136/B136)+(((AA136-B136*INT(AA136/B136)))/C136)/100))))</f>
        <v>0</v>
      </c>
      <c r="BM136" s="57">
        <f>IF(ISERROR(IF(B136=C136,AB136/C136,(INT(AB136/B136)+(((AB136-B136*INT(AB136/B136)))/C136)/100))),0,(IF(B136=C136,AB136/C136,(INT(AB136/B136)+(((AB136-B136*INT(AB136/B136)))/C136)/100))))</f>
        <v>0</v>
      </c>
      <c r="BN136" s="57">
        <f>IF(ISERROR(IF(B136=C136,AC136/C136,(INT(AC136/B136)+(((AC136-B136*INT(AC136/B136)))/C136)/100))),0,(IF(B136=C136,AC136/C136,(INT(AC136/B136)+(((AC136-B136*INT(AC136/B136)))/C136)/100))))</f>
        <v>0</v>
      </c>
      <c r="BO136" s="57">
        <f>IF(ISERROR(IF(B136=C136,AD136/C136,(INT(AD136/B136)+(((AD136-B136*INT(AD136/B136)))/C136)/100))),0,(IF(B136=C136,AD136/C136,(INT(AD136/B136)+(((AD136-B136*INT(AD136/B136)))/C136)/100))))</f>
        <v>0</v>
      </c>
      <c r="BQ136" s="155" t="s">
        <v>205</v>
      </c>
    </row>
    <row r="137" spans="1:69" hidden="1" x14ac:dyDescent="0.35">
      <c r="A137" s="94"/>
      <c r="B137" s="113">
        <v>750</v>
      </c>
      <c r="C137" s="113">
        <v>30</v>
      </c>
      <c r="D137" s="28">
        <f>SUM(AA137:AD137)</f>
        <v>0</v>
      </c>
      <c r="E137" s="113">
        <v>0</v>
      </c>
      <c r="F137" s="113">
        <v>0</v>
      </c>
      <c r="G137" s="28">
        <f>SUM(D137:F137)</f>
        <v>0</v>
      </c>
      <c r="H137" s="125">
        <v>0</v>
      </c>
      <c r="I137" s="113">
        <v>0</v>
      </c>
      <c r="J137" s="125">
        <v>0</v>
      </c>
      <c r="K137" s="113">
        <v>0</v>
      </c>
      <c r="L137" s="113">
        <v>0</v>
      </c>
      <c r="M137" s="113">
        <v>0</v>
      </c>
      <c r="N137" s="28">
        <f>G137-SUM(H137:M137)</f>
        <v>0</v>
      </c>
      <c r="O137" s="28">
        <f>SUM(V137:Y137)</f>
        <v>0</v>
      </c>
      <c r="P137" s="28">
        <f>O137-N137</f>
        <v>0</v>
      </c>
      <c r="Q137" s="61" t="str">
        <f>IF(ISERROR(P137/SUM(H137:L137)),"",P137/SUM(H137:L137))</f>
        <v/>
      </c>
      <c r="R137" s="113">
        <v>0</v>
      </c>
      <c r="S137" s="28">
        <f>IF(ISERROR(P137/C137*R137),0,(P137/C137*R137))</f>
        <v>0</v>
      </c>
      <c r="T137" s="60">
        <f>IF(ISERROR(P137/B137*AF137),0,(P137/B137*AF137))</f>
        <v>0</v>
      </c>
      <c r="V137" s="113">
        <v>0</v>
      </c>
      <c r="W137" s="113">
        <v>0</v>
      </c>
      <c r="X137" s="113">
        <v>0</v>
      </c>
      <c r="Y137" s="113">
        <v>0</v>
      </c>
      <c r="AA137" s="113">
        <v>0</v>
      </c>
      <c r="AB137" s="113">
        <v>0</v>
      </c>
      <c r="AC137" s="113">
        <v>0</v>
      </c>
      <c r="AD137" s="113">
        <v>0</v>
      </c>
      <c r="AF137" s="113">
        <v>0</v>
      </c>
      <c r="AG137" s="28">
        <f>G137-O137</f>
        <v>0</v>
      </c>
      <c r="AH137" s="58">
        <f>IF(ISERROR(AG137/B137*AF137),0,(AG137/B137*AF137))</f>
        <v>0</v>
      </c>
      <c r="AI137" s="28">
        <f>SUM(H137:M137)</f>
        <v>0</v>
      </c>
      <c r="AJ137" s="28">
        <f>IF(ISERROR(AI137/B137*AF137),0,(AI137/B137*AF137))</f>
        <v>0</v>
      </c>
      <c r="AK137" s="58">
        <f>IF(ISERROR(O137/B137*AF137),0,(O137/B137*AF137))</f>
        <v>0</v>
      </c>
      <c r="AL137" s="28">
        <f>IF(ISERROR(H137/B137*AF137),0,(H137/B137*AF137))</f>
        <v>0</v>
      </c>
      <c r="AN137" s="51">
        <f>A137</f>
        <v>0</v>
      </c>
      <c r="AO137" s="57">
        <f>IF(ISERROR(IF(B137=C137,D137/C137,(INT(D137/B137)+(((D137-B137*INT(D137/B137)))/C137)/100))),0,(IF(B137=C137,D137/C137,(INT(D137/B137)+(((D137-B137*INT(D137/B137)))/C137)/100))))</f>
        <v>0</v>
      </c>
      <c r="AP137" s="57">
        <f>IF(ISERROR(IF(B137=C137,E137/C137,(INT(E137/B137)+(((E137-B137*INT(E137/B137)))/C137)/100))),0,(IF(B137=C137,E137/C137,(INT(E137/B137)+(((E137-B137*INT(E137/B137)))/C137)/100))))</f>
        <v>0</v>
      </c>
      <c r="AQ137" s="57">
        <f>IF(ISERROR(IF(B137=C137,F137/C137,IF((INT(F137/B137)+(((F137-B137*INT(F137/B137)))/C137)/100)&lt;0,(INT(F137/B137)+(((F137-B137*INT(F137/B137)))/C137)/100)+(1-(B137/C137/100)),(INT(F137/B137)+(((F137-B137*INT(F137/B137)))/C137)/100)))),0,IF(B137=C137,F137/C137,IF((INT(F137/B137)+(((F137-B137*INT(F137/B137)))/C137)/100)&lt;0,(INT(F137/B137)+(((F137-B137*INT(F137/B137)))/C137)/100)+(1-(B137/C137/100)),(INT(F137/B137)+(((F137-B137*INT(F137/B137)))/C137)/100))))</f>
        <v>0</v>
      </c>
      <c r="AR137" s="57">
        <f>IF(ISERROR(IF(B137=C137,G137/C137,(INT(G137/B137)+(((G137-B137*INT(G137/B137)))/C137)/100))),0,(IF(B137=C137,G137/C137,(INT(G137/B137)+(((G137-B137*INT(G137/B137)))/C137)/100))))</f>
        <v>0</v>
      </c>
      <c r="AS137" s="57">
        <f>IF(ISERROR(IF(B137=C137,H137/C137,(INT(H137/B137)+(((H137-B137*INT(H137/B137)))/C137)/100))),0,(IF(B137=C137,H137/C137,(INT(H137/B137)+(((H137-B137*INT(H137/B137)))/C137)/100))))</f>
        <v>0</v>
      </c>
      <c r="AT137" s="57">
        <f>IF(ISERROR(IF(B137=C137,I137/C137,(INT(I137/B137)+(((I137-B137*INT(I137/B137)))/C137)/100))),0,(IF(B137=C137,I137/C137,(INT(I137/B137)+(((I137-B137*INT(I137/B137)))/C137)/100))))</f>
        <v>0</v>
      </c>
      <c r="AU137" s="57">
        <f>IF(ISERROR(IF(B137=C137,J137/C137,(INT(J137/B137)+(((J137-B137*INT(J137/B137)))/C137)/100))),0,(IF(B137=C137,J137/C137,(INT(J137/B137)+(((J137-B137*INT(J137/B137)))/C137)/100))))</f>
        <v>0</v>
      </c>
      <c r="AV137" s="57">
        <f>IF(ISERROR(IF(B137=C137,K137/C137,IF((INT(K137/B137)+(((K137-B137*INT(K137/B137)))/C137)/100)&lt;0,(INT(K137/B137)+(((K137-B137*INT(K137/B137)))/C137)/100)+(1-(B137/C137/100)),(INT(K137/B137)+(((K137-B137*INT(K137/B137)))/C137)/100)))),0,IF(B137=C137,K137/C137,IF((INT(K137/B137)+(((K137-B137*INT(K137/B137)))/C137)/100)&lt;0,(INT(K137/B137)+(((K137-B137*INT(K137/B137)))/C137)/100)+(1-(B137/C137/100)),(INT(K137/B137)+(((K137-B137*INT(K137/B137)))/C137)/100))))</f>
        <v>0</v>
      </c>
      <c r="AW137" s="57">
        <f>IF(ISERROR(IF(B137=C137,L137/C137,(INT(L137/B137)+(((L137-B137*INT(L137/B137)))/C137)/100))),0,(IF(B137=C137,L137/C137,(INT(L137/B137)+(((L137-B137*INT(L137/B137)))/C137)/100))))</f>
        <v>0</v>
      </c>
      <c r="AX137" s="57">
        <f>IF(ISERROR(IF(B137=C137,M137/C137,(INT(M137/B137)+(((M137-B137*INT(M137/B137)))/C137)/100))),0,(IF(B137=C137,M137/C137,(INT(M137/B137)+(((M137-B137*INT(M137/B137)))/C137)/100))))</f>
        <v>0</v>
      </c>
      <c r="AY137" s="57">
        <f>IF(ISERROR(IF(B137=C137,N137/C137,IF((INT(N137/B137)+(((N137-B137*INT(N137/B137)))/C137)/100)&lt;0,(INT(N137/B137)+(((N137-B137*INT(N137/B137)))/C137)/100)+(1-(B137/C137/100)),(INT(N137/B137)+(((N137-B137*INT(N137/B137)))/C137)/100)))),0,IF(B137=C137,N137/C137,IF((INT(N137/B137)+(((N137-B137*INT(N137/B137)))/C137)/100)&lt;0,(INT(N137/B137)+(((N137-B137*INT(N137/B137)))/C137)/100)+(1-(B137/C137/100)),(INT(N137/B137)+(((N137-B137*INT(N137/B137)))/C137)/100))))</f>
        <v>0</v>
      </c>
      <c r="AZ137" s="57">
        <f>IF(ISERROR(IF(B137=C137,O137/C137,(INT(O137/B137)+(((O137-B137*INT(O137/B137)))/C137)/100))),0,(IF(B137=C137,O137/C137,(INT(O137/B137)+(((O137-B137*INT(O137/B137)))/C137)/100))))</f>
        <v>0</v>
      </c>
      <c r="BA137" s="57">
        <f>IF(ISERROR(IF(B137=C137,P137/C137,IF((INT(P137/B137)+(((P137-B137*INT(P137/B137)))/C137)/100)&lt;0,(INT(P137/B137)+(((P137-B137*INT(P137/B137)))/C137)/100)+(1-(B137/C137/100)),(INT(P137/B137)+(((P137-B137*INT(P137/B137)))/C137)/100)))),0,IF(B137=C137,P137/C137,IF((INT(P137/B137)+(((P137-B137*INT(P137/B137)))/C137)/100)&lt;0,(INT(P137/B137)+(((P137-B137*INT(P137/B137)))/C137)/100)+(1-(B137/C137/100)),(INT(P137/B137)+(((P137-B137*INT(P137/B137)))/C137)/100))))</f>
        <v>0</v>
      </c>
      <c r="BB137" s="28">
        <f>R137</f>
        <v>0</v>
      </c>
      <c r="BC137" s="28">
        <f>S137</f>
        <v>0</v>
      </c>
      <c r="BD137" s="28">
        <f>AF137</f>
        <v>0</v>
      </c>
      <c r="BE137" s="28">
        <f>T137</f>
        <v>0</v>
      </c>
      <c r="BG137" s="57">
        <f>IF(ISERROR(IF(B137=C137,V137/C137,(INT(V137/B137)+(((V137-B137*INT(V137/B137)))/C137)/100))),0,(IF(B137=C137,V137/C137,(INT(V137/B137)+(((V137-B137*INT(V137/B137)))/C137)/100))))</f>
        <v>0</v>
      </c>
      <c r="BH137" s="57">
        <f>IF(ISERROR(IF(B137=C137,W137/C137,(INT(W137/B137)+(((W137-B137*INT(W137/B137)))/C137)/100))),0,(IF(B137=C137,W137/C137,(INT(W137/B137)+(((W137-B137*INT(W137/B137)))/C137)/100))))</f>
        <v>0</v>
      </c>
      <c r="BI137" s="57">
        <f>IF(ISERROR(IF(B137=C137,X137/C137,(INT(X137/B137)+(((X137-B137*INT(X137/B137)))/C137)/100))),0,(IF(B137=C137,X137/C137,(INT(X137/B137)+(((X137-B137*INT(X137/B137)))/C137)/100))))</f>
        <v>0</v>
      </c>
      <c r="BJ137" s="57">
        <f>IF(ISERROR(IF(B137=C137,Y137/C137,(INT(Y137/B137)+(((Y137-B137*INT(Y137/B137)))/C137)/100))),0,(IF(B137=C137,Y137/C137,(INT(Y137/B137)+(((Y137-B137*INT(Y137/B137)))/C137)/100))))</f>
        <v>0</v>
      </c>
      <c r="BL137" s="57">
        <f>IF(ISERROR(IF(B137=C137,AA137/C137,(INT(AA137/B137)+(((AA137-B137*INT(AA137/B137)))/C137)/100))),0,(IF(B137=C137,AA137/C137,(INT(AA137/B137)+(((AA137-B137*INT(AA137/B137)))/C137)/100))))</f>
        <v>0</v>
      </c>
      <c r="BM137" s="57">
        <f>IF(ISERROR(IF(B137=C137,AB137/C137,(INT(AB137/B137)+(((AB137-B137*INT(AB137/B137)))/C137)/100))),0,(IF(B137=C137,AB137/C137,(INT(AB137/B137)+(((AB137-B137*INT(AB137/B137)))/C137)/100))))</f>
        <v>0</v>
      </c>
      <c r="BN137" s="57">
        <f>IF(ISERROR(IF(B137=C137,AC137/C137,(INT(AC137/B137)+(((AC137-B137*INT(AC137/B137)))/C137)/100))),0,(IF(B137=C137,AC137/C137,(INT(AC137/B137)+(((AC137-B137*INT(AC137/B137)))/C137)/100))))</f>
        <v>0</v>
      </c>
      <c r="BO137" s="57">
        <f>IF(ISERROR(IF(B137=C137,AD137/C137,(INT(AD137/B137)+(((AD137-B137*INT(AD137/B137)))/C137)/100))),0,(IF(B137=C137,AD137/C137,(INT(AD137/B137)+(((AD137-B137*INT(AD137/B137)))/C137)/100))))</f>
        <v>0</v>
      </c>
      <c r="BQ137" s="155" t="s">
        <v>215</v>
      </c>
    </row>
    <row r="138" spans="1:69" hidden="1" x14ac:dyDescent="0.35">
      <c r="A138" s="134"/>
      <c r="B138" s="113">
        <v>750</v>
      </c>
      <c r="C138" s="113">
        <v>30</v>
      </c>
      <c r="D138" s="28">
        <f>SUM(AA138:AD138)</f>
        <v>0</v>
      </c>
      <c r="E138" s="113">
        <v>0</v>
      </c>
      <c r="F138" s="113">
        <v>0</v>
      </c>
      <c r="G138" s="28">
        <f>SUM(D138:F138)</f>
        <v>0</v>
      </c>
      <c r="H138" s="125">
        <v>0</v>
      </c>
      <c r="I138" s="113">
        <v>0</v>
      </c>
      <c r="J138" s="125">
        <v>0</v>
      </c>
      <c r="K138" s="113">
        <v>0</v>
      </c>
      <c r="L138" s="113">
        <v>0</v>
      </c>
      <c r="M138" s="113">
        <v>0</v>
      </c>
      <c r="N138" s="28">
        <f>G138-SUM(H138:M138)</f>
        <v>0</v>
      </c>
      <c r="O138" s="28">
        <f>SUM(V138:Y138)</f>
        <v>0</v>
      </c>
      <c r="P138" s="28">
        <f>O138-N138</f>
        <v>0</v>
      </c>
      <c r="Q138" s="61" t="str">
        <f>IF(ISERROR(P138/SUM(H138:L138)),"",P138/SUM(H138:L138))</f>
        <v/>
      </c>
      <c r="R138" s="113">
        <v>0</v>
      </c>
      <c r="S138" s="28">
        <f>IF(ISERROR(P138/C138*R138),0,(P138/C138*R138))</f>
        <v>0</v>
      </c>
      <c r="T138" s="60">
        <f>IF(ISERROR(P138/B138*AF138),0,(P138/B138*AF138))</f>
        <v>0</v>
      </c>
      <c r="V138" s="113">
        <v>0</v>
      </c>
      <c r="W138" s="113">
        <v>0</v>
      </c>
      <c r="X138" s="113">
        <v>0</v>
      </c>
      <c r="Y138" s="113">
        <v>0</v>
      </c>
      <c r="AA138" s="113">
        <v>0</v>
      </c>
      <c r="AB138" s="113">
        <v>0</v>
      </c>
      <c r="AC138" s="113">
        <v>0</v>
      </c>
      <c r="AD138" s="113">
        <v>0</v>
      </c>
      <c r="AF138" s="113">
        <v>0</v>
      </c>
      <c r="AG138" s="28">
        <f>G138-O138</f>
        <v>0</v>
      </c>
      <c r="AH138" s="58">
        <f>IF(ISERROR(AG138/B138*AF138),0,(AG138/B138*AF138))</f>
        <v>0</v>
      </c>
      <c r="AI138" s="28">
        <f>SUM(H138:M138)</f>
        <v>0</v>
      </c>
      <c r="AJ138" s="28">
        <f>IF(ISERROR(AI138/B138*AF138),0,(AI138/B138*AF138))</f>
        <v>0</v>
      </c>
      <c r="AK138" s="58">
        <f>IF(ISERROR(O138/B138*AF138),0,(O138/B138*AF138))</f>
        <v>0</v>
      </c>
      <c r="AL138" s="28">
        <f>IF(ISERROR(H138/B138*AF138),0,(H138/B138*AF138))</f>
        <v>0</v>
      </c>
      <c r="AN138" s="51">
        <f>A138</f>
        <v>0</v>
      </c>
      <c r="AO138" s="57">
        <f>IF(ISERROR(IF(B138=C138,D138/C138,(INT(D138/B138)+(((D138-B138*INT(D138/B138)))/C138)/100))),0,(IF(B138=C138,D138/C138,(INT(D138/B138)+(((D138-B138*INT(D138/B138)))/C138)/100))))</f>
        <v>0</v>
      </c>
      <c r="AP138" s="57">
        <f>IF(ISERROR(IF(B138=C138,E138/C138,(INT(E138/B138)+(((E138-B138*INT(E138/B138)))/C138)/100))),0,(IF(B138=C138,E138/C138,(INT(E138/B138)+(((E138-B138*INT(E138/B138)))/C138)/100))))</f>
        <v>0</v>
      </c>
      <c r="AQ138" s="57">
        <f>IF(ISERROR(IF(B138=C138,F138/C138,IF((INT(F138/B138)+(((F138-B138*INT(F138/B138)))/C138)/100)&lt;0,(INT(F138/B138)+(((F138-B138*INT(F138/B138)))/C138)/100)+(1-(B138/C138/100)),(INT(F138/B138)+(((F138-B138*INT(F138/B138)))/C138)/100)))),0,IF(B138=C138,F138/C138,IF((INT(F138/B138)+(((F138-B138*INT(F138/B138)))/C138)/100)&lt;0,(INT(F138/B138)+(((F138-B138*INT(F138/B138)))/C138)/100)+(1-(B138/C138/100)),(INT(F138/B138)+(((F138-B138*INT(F138/B138)))/C138)/100))))</f>
        <v>0</v>
      </c>
      <c r="AR138" s="57">
        <f>IF(ISERROR(IF(B138=C138,G138/C138,(INT(G138/B138)+(((G138-B138*INT(G138/B138)))/C138)/100))),0,(IF(B138=C138,G138/C138,(INT(G138/B138)+(((G138-B138*INT(G138/B138)))/C138)/100))))</f>
        <v>0</v>
      </c>
      <c r="AS138" s="57">
        <f>IF(ISERROR(IF(B138=C138,H138/C138,(INT(H138/B138)+(((H138-B138*INT(H138/B138)))/C138)/100))),0,(IF(B138=C138,H138/C138,(INT(H138/B138)+(((H138-B138*INT(H138/B138)))/C138)/100))))</f>
        <v>0</v>
      </c>
      <c r="AT138" s="57">
        <f>IF(ISERROR(IF(B138=C138,I138/C138,(INT(I138/B138)+(((I138-B138*INT(I138/B138)))/C138)/100))),0,(IF(B138=C138,I138/C138,(INT(I138/B138)+(((I138-B138*INT(I138/B138)))/C138)/100))))</f>
        <v>0</v>
      </c>
      <c r="AU138" s="57">
        <f>IF(ISERROR(IF(B138=C138,J138/C138,(INT(J138/B138)+(((J138-B138*INT(J138/B138)))/C138)/100))),0,(IF(B138=C138,J138/C138,(INT(J138/B138)+(((J138-B138*INT(J138/B138)))/C138)/100))))</f>
        <v>0</v>
      </c>
      <c r="AV138" s="57">
        <f>IF(ISERROR(IF(B138=C138,K138/C138,IF((INT(K138/B138)+(((K138-B138*INT(K138/B138)))/C138)/100)&lt;0,(INT(K138/B138)+(((K138-B138*INT(K138/B138)))/C138)/100)+(1-(B138/C138/100)),(INT(K138/B138)+(((K138-B138*INT(K138/B138)))/C138)/100)))),0,IF(B138=C138,K138/C138,IF((INT(K138/B138)+(((K138-B138*INT(K138/B138)))/C138)/100)&lt;0,(INT(K138/B138)+(((K138-B138*INT(K138/B138)))/C138)/100)+(1-(B138/C138/100)),(INT(K138/B138)+(((K138-B138*INT(K138/B138)))/C138)/100))))</f>
        <v>0</v>
      </c>
      <c r="AW138" s="57">
        <f>IF(ISERROR(IF(B138=C138,L138/C138,(INT(L138/B138)+(((L138-B138*INT(L138/B138)))/C138)/100))),0,(IF(B138=C138,L138/C138,(INT(L138/B138)+(((L138-B138*INT(L138/B138)))/C138)/100))))</f>
        <v>0</v>
      </c>
      <c r="AX138" s="57">
        <f>IF(ISERROR(IF(B138=C138,M138/C138,(INT(M138/B138)+(((M138-B138*INT(M138/B138)))/C138)/100))),0,(IF(B138=C138,M138/C138,(INT(M138/B138)+(((M138-B138*INT(M138/B138)))/C138)/100))))</f>
        <v>0</v>
      </c>
      <c r="AY138" s="57">
        <f>IF(ISERROR(IF(B138=C138,N138/C138,IF((INT(N138/B138)+(((N138-B138*INT(N138/B138)))/C138)/100)&lt;0,(INT(N138/B138)+(((N138-B138*INT(N138/B138)))/C138)/100)+(1-(B138/C138/100)),(INT(N138/B138)+(((N138-B138*INT(N138/B138)))/C138)/100)))),0,IF(B138=C138,N138/C138,IF((INT(N138/B138)+(((N138-B138*INT(N138/B138)))/C138)/100)&lt;0,(INT(N138/B138)+(((N138-B138*INT(N138/B138)))/C138)/100)+(1-(B138/C138/100)),(INT(N138/B138)+(((N138-B138*INT(N138/B138)))/C138)/100))))</f>
        <v>0</v>
      </c>
      <c r="AZ138" s="57">
        <f>IF(ISERROR(IF(B138=C138,O138/C138,(INT(O138/B138)+(((O138-B138*INT(O138/B138)))/C138)/100))),0,(IF(B138=C138,O138/C138,(INT(O138/B138)+(((O138-B138*INT(O138/B138)))/C138)/100))))</f>
        <v>0</v>
      </c>
      <c r="BA138" s="57">
        <f>IF(ISERROR(IF(B138=C138,P138/C138,IF((INT(P138/B138)+(((P138-B138*INT(P138/B138)))/C138)/100)&lt;0,(INT(P138/B138)+(((P138-B138*INT(P138/B138)))/C138)/100)+(1-(B138/C138/100)),(INT(P138/B138)+(((P138-B138*INT(P138/B138)))/C138)/100)))),0,IF(B138=C138,P138/C138,IF((INT(P138/B138)+(((P138-B138*INT(P138/B138)))/C138)/100)&lt;0,(INT(P138/B138)+(((P138-B138*INT(P138/B138)))/C138)/100)+(1-(B138/C138/100)),(INT(P138/B138)+(((P138-B138*INT(P138/B138)))/C138)/100))))</f>
        <v>0</v>
      </c>
      <c r="BB138" s="28">
        <f>R138</f>
        <v>0</v>
      </c>
      <c r="BC138" s="28">
        <f>S138</f>
        <v>0</v>
      </c>
      <c r="BD138" s="28">
        <f>AF138</f>
        <v>0</v>
      </c>
      <c r="BE138" s="28">
        <f>T138</f>
        <v>0</v>
      </c>
      <c r="BG138" s="57">
        <f>IF(ISERROR(IF(B138=C138,V138/C138,(INT(V138/B138)+(((V138-B138*INT(V138/B138)))/C138)/100))),0,(IF(B138=C138,V138/C138,(INT(V138/B138)+(((V138-B138*INT(V138/B138)))/C138)/100))))</f>
        <v>0</v>
      </c>
      <c r="BH138" s="57">
        <f>IF(ISERROR(IF(B138=C138,W138/C138,(INT(W138/B138)+(((W138-B138*INT(W138/B138)))/C138)/100))),0,(IF(B138=C138,W138/C138,(INT(W138/B138)+(((W138-B138*INT(W138/B138)))/C138)/100))))</f>
        <v>0</v>
      </c>
      <c r="BI138" s="57">
        <f>IF(ISERROR(IF(B138=C138,X138/C138,(INT(X138/B138)+(((X138-B138*INT(X138/B138)))/C138)/100))),0,(IF(B138=C138,X138/C138,(INT(X138/B138)+(((X138-B138*INT(X138/B138)))/C138)/100))))</f>
        <v>0</v>
      </c>
      <c r="BJ138" s="57">
        <f>IF(ISERROR(IF(B138=C138,Y138/C138,(INT(Y138/B138)+(((Y138-B138*INT(Y138/B138)))/C138)/100))),0,(IF(B138=C138,Y138/C138,(INT(Y138/B138)+(((Y138-B138*INT(Y138/B138)))/C138)/100))))</f>
        <v>0</v>
      </c>
      <c r="BL138" s="57">
        <f>IF(ISERROR(IF(B138=C138,AA138/C138,(INT(AA138/B138)+(((AA138-B138*INT(AA138/B138)))/C138)/100))),0,(IF(B138=C138,AA138/C138,(INT(AA138/B138)+(((AA138-B138*INT(AA138/B138)))/C138)/100))))</f>
        <v>0</v>
      </c>
      <c r="BM138" s="57">
        <f>IF(ISERROR(IF(B138=C138,AB138/C138,(INT(AB138/B138)+(((AB138-B138*INT(AB138/B138)))/C138)/100))),0,(IF(B138=C138,AB138/C138,(INT(AB138/B138)+(((AB138-B138*INT(AB138/B138)))/C138)/100))))</f>
        <v>0</v>
      </c>
      <c r="BN138" s="57">
        <f>IF(ISERROR(IF(B138=C138,AC138/C138,(INT(AC138/B138)+(((AC138-B138*INT(AC138/B138)))/C138)/100))),0,(IF(B138=C138,AC138/C138,(INT(AC138/B138)+(((AC138-B138*INT(AC138/B138)))/C138)/100))))</f>
        <v>0</v>
      </c>
      <c r="BO138" s="57">
        <f>IF(ISERROR(IF(B138=C138,AD138/C138,(INT(AD138/B138)+(((AD138-B138*INT(AD138/B138)))/C138)/100))),0,(IF(B138=C138,AD138/C138,(INT(AD138/B138)+(((AD138-B138*INT(AD138/B138)))/C138)/100))))</f>
        <v>0</v>
      </c>
      <c r="BQ138" s="155"/>
    </row>
    <row r="139" spans="1:69" hidden="1" x14ac:dyDescent="0.35">
      <c r="A139" s="134"/>
      <c r="B139" s="113">
        <v>750</v>
      </c>
      <c r="C139" s="113">
        <v>30</v>
      </c>
      <c r="D139" s="28">
        <f>SUM(AA139:AD139)</f>
        <v>0</v>
      </c>
      <c r="E139" s="113">
        <v>0</v>
      </c>
      <c r="F139" s="113">
        <v>0</v>
      </c>
      <c r="G139" s="28">
        <f>SUM(D139:F139)</f>
        <v>0</v>
      </c>
      <c r="H139" s="125">
        <v>0</v>
      </c>
      <c r="I139" s="113">
        <v>0</v>
      </c>
      <c r="J139" s="125">
        <v>0</v>
      </c>
      <c r="K139" s="113">
        <v>0</v>
      </c>
      <c r="L139" s="113">
        <v>0</v>
      </c>
      <c r="M139" s="113">
        <v>0</v>
      </c>
      <c r="N139" s="28">
        <f>G139-SUM(H139:M139)</f>
        <v>0</v>
      </c>
      <c r="O139" s="28">
        <f>SUM(V139:Y139)</f>
        <v>0</v>
      </c>
      <c r="P139" s="28">
        <f>O139-N139</f>
        <v>0</v>
      </c>
      <c r="Q139" s="61" t="str">
        <f>IF(ISERROR(P139/SUM(H139:L139)),"",P139/SUM(H139:L139))</f>
        <v/>
      </c>
      <c r="R139" s="113">
        <v>0</v>
      </c>
      <c r="S139" s="28">
        <f>IF(ISERROR(P139/C139*R139),0,(P139/C139*R139))</f>
        <v>0</v>
      </c>
      <c r="T139" s="60">
        <f>IF(ISERROR(P139/B139*AF139),0,(P139/B139*AF139))</f>
        <v>0</v>
      </c>
      <c r="V139" s="113">
        <v>0</v>
      </c>
      <c r="W139" s="113">
        <v>0</v>
      </c>
      <c r="X139" s="113">
        <v>0</v>
      </c>
      <c r="Y139" s="113">
        <v>0</v>
      </c>
      <c r="AA139" s="113">
        <v>0</v>
      </c>
      <c r="AB139" s="113">
        <v>0</v>
      </c>
      <c r="AC139" s="113">
        <v>0</v>
      </c>
      <c r="AD139" s="113">
        <v>0</v>
      </c>
      <c r="AF139" s="113">
        <v>0</v>
      </c>
      <c r="AG139" s="28">
        <f>G139-O139</f>
        <v>0</v>
      </c>
      <c r="AH139" s="58">
        <f>IF(ISERROR(AG139/B139*AF139),0,(AG139/B139*AF139))</f>
        <v>0</v>
      </c>
      <c r="AI139" s="28">
        <f>SUM(H139:M139)</f>
        <v>0</v>
      </c>
      <c r="AJ139" s="28">
        <f>IF(ISERROR(AI139/B139*AF139),0,(AI139/B139*AF139))</f>
        <v>0</v>
      </c>
      <c r="AK139" s="58">
        <f>IF(ISERROR(O139/B139*AF139),0,(O139/B139*AF139))</f>
        <v>0</v>
      </c>
      <c r="AL139" s="28">
        <f>IF(ISERROR(H139/B139*AF139),0,(H139/B139*AF139))</f>
        <v>0</v>
      </c>
      <c r="AN139" s="51">
        <f>A139</f>
        <v>0</v>
      </c>
      <c r="AO139" s="57">
        <f>IF(ISERROR(IF(B139=C139,D139/C139,(INT(D139/B139)+(((D139-B139*INT(D139/B139)))/C139)/100))),0,(IF(B139=C139,D139/C139,(INT(D139/B139)+(((D139-B139*INT(D139/B139)))/C139)/100))))</f>
        <v>0</v>
      </c>
      <c r="AP139" s="57">
        <f>IF(ISERROR(IF(B139=C139,E139/C139,(INT(E139/B139)+(((E139-B139*INT(E139/B139)))/C139)/100))),0,(IF(B139=C139,E139/C139,(INT(E139/B139)+(((E139-B139*INT(E139/B139)))/C139)/100))))</f>
        <v>0</v>
      </c>
      <c r="AQ139" s="57">
        <f>IF(ISERROR(IF(B139=C139,F139/C139,IF((INT(F139/B139)+(((F139-B139*INT(F139/B139)))/C139)/100)&lt;0,(INT(F139/B139)+(((F139-B139*INT(F139/B139)))/C139)/100)+(1-(B139/C139/100)),(INT(F139/B139)+(((F139-B139*INT(F139/B139)))/C139)/100)))),0,IF(B139=C139,F139/C139,IF((INT(F139/B139)+(((F139-B139*INT(F139/B139)))/C139)/100)&lt;0,(INT(F139/B139)+(((F139-B139*INT(F139/B139)))/C139)/100)+(1-(B139/C139/100)),(INT(F139/B139)+(((F139-B139*INT(F139/B139)))/C139)/100))))</f>
        <v>0</v>
      </c>
      <c r="AR139" s="57">
        <f>IF(ISERROR(IF(B139=C139,G139/C139,(INT(G139/B139)+(((G139-B139*INT(G139/B139)))/C139)/100))),0,(IF(B139=C139,G139/C139,(INT(G139/B139)+(((G139-B139*INT(G139/B139)))/C139)/100))))</f>
        <v>0</v>
      </c>
      <c r="AS139" s="57">
        <f>IF(ISERROR(IF(B139=C139,H139/C139,(INT(H139/B139)+(((H139-B139*INT(H139/B139)))/C139)/100))),0,(IF(B139=C139,H139/C139,(INT(H139/B139)+(((H139-B139*INT(H139/B139)))/C139)/100))))</f>
        <v>0</v>
      </c>
      <c r="AT139" s="57">
        <f>IF(ISERROR(IF(B139=C139,I139/C139,(INT(I139/B139)+(((I139-B139*INT(I139/B139)))/C139)/100))),0,(IF(B139=C139,I139/C139,(INT(I139/B139)+(((I139-B139*INT(I139/B139)))/C139)/100))))</f>
        <v>0</v>
      </c>
      <c r="AU139" s="57">
        <f>IF(ISERROR(IF(B139=C139,J139/C139,(INT(J139/B139)+(((J139-B139*INT(J139/B139)))/C139)/100))),0,(IF(B139=C139,J139/C139,(INT(J139/B139)+(((J139-B139*INT(J139/B139)))/C139)/100))))</f>
        <v>0</v>
      </c>
      <c r="AV139" s="57">
        <f>IF(ISERROR(IF(B139=C139,K139/C139,IF((INT(K139/B139)+(((K139-B139*INT(K139/B139)))/C139)/100)&lt;0,(INT(K139/B139)+(((K139-B139*INT(K139/B139)))/C139)/100)+(1-(B139/C139/100)),(INT(K139/B139)+(((K139-B139*INT(K139/B139)))/C139)/100)))),0,IF(B139=C139,K139/C139,IF((INT(K139/B139)+(((K139-B139*INT(K139/B139)))/C139)/100)&lt;0,(INT(K139/B139)+(((K139-B139*INT(K139/B139)))/C139)/100)+(1-(B139/C139/100)),(INT(K139/B139)+(((K139-B139*INT(K139/B139)))/C139)/100))))</f>
        <v>0</v>
      </c>
      <c r="AW139" s="57">
        <f>IF(ISERROR(IF(B139=C139,L139/C139,(INT(L139/B139)+(((L139-B139*INT(L139/B139)))/C139)/100))),0,(IF(B139=C139,L139/C139,(INT(L139/B139)+(((L139-B139*INT(L139/B139)))/C139)/100))))</f>
        <v>0</v>
      </c>
      <c r="AX139" s="57">
        <f>IF(ISERROR(IF(B139=C139,M139/C139,(INT(M139/B139)+(((M139-B139*INT(M139/B139)))/C139)/100))),0,(IF(B139=C139,M139/C139,(INT(M139/B139)+(((M139-B139*INT(M139/B139)))/C139)/100))))</f>
        <v>0</v>
      </c>
      <c r="AY139" s="57">
        <f>IF(ISERROR(IF(B139=C139,N139/C139,IF((INT(N139/B139)+(((N139-B139*INT(N139/B139)))/C139)/100)&lt;0,(INT(N139/B139)+(((N139-B139*INT(N139/B139)))/C139)/100)+(1-(B139/C139/100)),(INT(N139/B139)+(((N139-B139*INT(N139/B139)))/C139)/100)))),0,IF(B139=C139,N139/C139,IF((INT(N139/B139)+(((N139-B139*INT(N139/B139)))/C139)/100)&lt;0,(INT(N139/B139)+(((N139-B139*INT(N139/B139)))/C139)/100)+(1-(B139/C139/100)),(INT(N139/B139)+(((N139-B139*INT(N139/B139)))/C139)/100))))</f>
        <v>0</v>
      </c>
      <c r="AZ139" s="57">
        <f>IF(ISERROR(IF(B139=C139,O139/C139,(INT(O139/B139)+(((O139-B139*INT(O139/B139)))/C139)/100))),0,(IF(B139=C139,O139/C139,(INT(O139/B139)+(((O139-B139*INT(O139/B139)))/C139)/100))))</f>
        <v>0</v>
      </c>
      <c r="BA139" s="57">
        <f>IF(ISERROR(IF(B139=C139,P139/C139,IF((INT(P139/B139)+(((P139-B139*INT(P139/B139)))/C139)/100)&lt;0,(INT(P139/B139)+(((P139-B139*INT(P139/B139)))/C139)/100)+(1-(B139/C139/100)),(INT(P139/B139)+(((P139-B139*INT(P139/B139)))/C139)/100)))),0,IF(B139=C139,P139/C139,IF((INT(P139/B139)+(((P139-B139*INT(P139/B139)))/C139)/100)&lt;0,(INT(P139/B139)+(((P139-B139*INT(P139/B139)))/C139)/100)+(1-(B139/C139/100)),(INT(P139/B139)+(((P139-B139*INT(P139/B139)))/C139)/100))))</f>
        <v>0</v>
      </c>
      <c r="BB139" s="28">
        <f>R139</f>
        <v>0</v>
      </c>
      <c r="BC139" s="28">
        <f>S139</f>
        <v>0</v>
      </c>
      <c r="BD139" s="28">
        <f>AF139</f>
        <v>0</v>
      </c>
      <c r="BE139" s="28">
        <f>T139</f>
        <v>0</v>
      </c>
      <c r="BG139" s="57">
        <f>IF(ISERROR(IF(B139=C139,V139/C139,(INT(V139/B139)+(((V139-B139*INT(V139/B139)))/C139)/100))),0,(IF(B139=C139,V139/C139,(INT(V139/B139)+(((V139-B139*INT(V139/B139)))/C139)/100))))</f>
        <v>0</v>
      </c>
      <c r="BH139" s="57">
        <f>IF(ISERROR(IF(B139=C139,W139/C139,(INT(W139/B139)+(((W139-B139*INT(W139/B139)))/C139)/100))),0,(IF(B139=C139,W139/C139,(INT(W139/B139)+(((W139-B139*INT(W139/B139)))/C139)/100))))</f>
        <v>0</v>
      </c>
      <c r="BI139" s="57">
        <f>IF(ISERROR(IF(B139=C139,X139/C139,(INT(X139/B139)+(((X139-B139*INT(X139/B139)))/C139)/100))),0,(IF(B139=C139,X139/C139,(INT(X139/B139)+(((X139-B139*INT(X139/B139)))/C139)/100))))</f>
        <v>0</v>
      </c>
      <c r="BJ139" s="57">
        <f>IF(ISERROR(IF(B139=C139,Y139/C139,(INT(Y139/B139)+(((Y139-B139*INT(Y139/B139)))/C139)/100))),0,(IF(B139=C139,Y139/C139,(INT(Y139/B139)+(((Y139-B139*INT(Y139/B139)))/C139)/100))))</f>
        <v>0</v>
      </c>
      <c r="BL139" s="57">
        <f>IF(ISERROR(IF(B139=C139,AA139/C139,(INT(AA139/B139)+(((AA139-B139*INT(AA139/B139)))/C139)/100))),0,(IF(B139=C139,AA139/C139,(INT(AA139/B139)+(((AA139-B139*INT(AA139/B139)))/C139)/100))))</f>
        <v>0</v>
      </c>
      <c r="BM139" s="57">
        <f>IF(ISERROR(IF(B139=C139,AB139/C139,(INT(AB139/B139)+(((AB139-B139*INT(AB139/B139)))/C139)/100))),0,(IF(B139=C139,AB139/C139,(INT(AB139/B139)+(((AB139-B139*INT(AB139/B139)))/C139)/100))))</f>
        <v>0</v>
      </c>
      <c r="BN139" s="57">
        <f>IF(ISERROR(IF(B139=C139,AC139/C139,(INT(AC139/B139)+(((AC139-B139*INT(AC139/B139)))/C139)/100))),0,(IF(B139=C139,AC139/C139,(INT(AC139/B139)+(((AC139-B139*INT(AC139/B139)))/C139)/100))))</f>
        <v>0</v>
      </c>
      <c r="BO139" s="57">
        <f>IF(ISERROR(IF(B139=C139,AD139/C139,(INT(AD139/B139)+(((AD139-B139*INT(AD139/B139)))/C139)/100))),0,(IF(B139=C139,AD139/C139,(INT(AD139/B139)+(((AD139-B139*INT(AD139/B139)))/C139)/100))))</f>
        <v>0</v>
      </c>
      <c r="BQ139" s="155"/>
    </row>
    <row r="140" spans="1:69" hidden="1" x14ac:dyDescent="0.35">
      <c r="A140" s="134"/>
      <c r="B140" s="113">
        <v>750</v>
      </c>
      <c r="C140" s="113">
        <v>30</v>
      </c>
      <c r="D140" s="28">
        <f>SUM(AA140:AD140)</f>
        <v>0</v>
      </c>
      <c r="E140" s="113">
        <v>0</v>
      </c>
      <c r="F140" s="113">
        <v>0</v>
      </c>
      <c r="G140" s="28">
        <f>SUM(D140:F140)</f>
        <v>0</v>
      </c>
      <c r="H140" s="125">
        <v>0</v>
      </c>
      <c r="I140" s="113">
        <v>0</v>
      </c>
      <c r="J140" s="125">
        <v>0</v>
      </c>
      <c r="K140" s="113">
        <v>0</v>
      </c>
      <c r="L140" s="113">
        <v>0</v>
      </c>
      <c r="M140" s="113">
        <v>0</v>
      </c>
      <c r="N140" s="28">
        <f>G140-SUM(H140:M140)</f>
        <v>0</v>
      </c>
      <c r="O140" s="28">
        <f>SUM(V140:Y140)</f>
        <v>0</v>
      </c>
      <c r="P140" s="28">
        <f>O140-N140</f>
        <v>0</v>
      </c>
      <c r="Q140" s="61" t="str">
        <f>IF(ISERROR(P140/SUM(H140:L140)),"",P140/SUM(H140:L140))</f>
        <v/>
      </c>
      <c r="R140" s="113">
        <v>0</v>
      </c>
      <c r="S140" s="28">
        <f>IF(ISERROR(P140/C140*R140),0,(P140/C140*R140))</f>
        <v>0</v>
      </c>
      <c r="T140" s="60">
        <f>IF(ISERROR(P140/B140*AF140),0,(P140/B140*AF140))</f>
        <v>0</v>
      </c>
      <c r="V140" s="113">
        <v>0</v>
      </c>
      <c r="W140" s="113">
        <v>0</v>
      </c>
      <c r="X140" s="113">
        <v>0</v>
      </c>
      <c r="Y140" s="113">
        <v>0</v>
      </c>
      <c r="AA140" s="113">
        <v>0</v>
      </c>
      <c r="AB140" s="113">
        <v>0</v>
      </c>
      <c r="AC140" s="113">
        <v>0</v>
      </c>
      <c r="AD140" s="113">
        <v>0</v>
      </c>
      <c r="AF140" s="113">
        <v>0</v>
      </c>
      <c r="AG140" s="28">
        <f>G140-O140</f>
        <v>0</v>
      </c>
      <c r="AH140" s="58">
        <f>IF(ISERROR(AG140/B140*AF140),0,(AG140/B140*AF140))</f>
        <v>0</v>
      </c>
      <c r="AI140" s="28">
        <f>SUM(H140:M140)</f>
        <v>0</v>
      </c>
      <c r="AJ140" s="28">
        <f>IF(ISERROR(AI140/B140*AF140),0,(AI140/B140*AF140))</f>
        <v>0</v>
      </c>
      <c r="AK140" s="58">
        <f>IF(ISERROR(O140/B140*AF140),0,(O140/B140*AF140))</f>
        <v>0</v>
      </c>
      <c r="AL140" s="28">
        <f>IF(ISERROR(H140/B140*AF140),0,(H140/B140*AF140))</f>
        <v>0</v>
      </c>
      <c r="AN140" s="51">
        <f>A140</f>
        <v>0</v>
      </c>
      <c r="AO140" s="57">
        <f>IF(ISERROR(IF(B140=C140,D140/C140,(INT(D140/B140)+(((D140-B140*INT(D140/B140)))/C140)/100))),0,(IF(B140=C140,D140/C140,(INT(D140/B140)+(((D140-B140*INT(D140/B140)))/C140)/100))))</f>
        <v>0</v>
      </c>
      <c r="AP140" s="57">
        <f>IF(ISERROR(IF(B140=C140,E140/C140,(INT(E140/B140)+(((E140-B140*INT(E140/B140)))/C140)/100))),0,(IF(B140=C140,E140/C140,(INT(E140/B140)+(((E140-B140*INT(E140/B140)))/C140)/100))))</f>
        <v>0</v>
      </c>
      <c r="AQ140" s="57">
        <f>IF(ISERROR(IF(B140=C140,F140/C140,IF((INT(F140/B140)+(((F140-B140*INT(F140/B140)))/C140)/100)&lt;0,(INT(F140/B140)+(((F140-B140*INT(F140/B140)))/C140)/100)+(1-(B140/C140/100)),(INT(F140/B140)+(((F140-B140*INT(F140/B140)))/C140)/100)))),0,IF(B140=C140,F140/C140,IF((INT(F140/B140)+(((F140-B140*INT(F140/B140)))/C140)/100)&lt;0,(INT(F140/B140)+(((F140-B140*INT(F140/B140)))/C140)/100)+(1-(B140/C140/100)),(INT(F140/B140)+(((F140-B140*INT(F140/B140)))/C140)/100))))</f>
        <v>0</v>
      </c>
      <c r="AR140" s="57">
        <f>IF(ISERROR(IF(B140=C140,G140/C140,(INT(G140/B140)+(((G140-B140*INT(G140/B140)))/C140)/100))),0,(IF(B140=C140,G140/C140,(INT(G140/B140)+(((G140-B140*INT(G140/B140)))/C140)/100))))</f>
        <v>0</v>
      </c>
      <c r="AS140" s="57">
        <f>IF(ISERROR(IF(B140=C140,H140/C140,(INT(H140/B140)+(((H140-B140*INT(H140/B140)))/C140)/100))),0,(IF(B140=C140,H140/C140,(INT(H140/B140)+(((H140-B140*INT(H140/B140)))/C140)/100))))</f>
        <v>0</v>
      </c>
      <c r="AT140" s="57">
        <f>IF(ISERROR(IF(B140=C140,I140/C140,(INT(I140/B140)+(((I140-B140*INT(I140/B140)))/C140)/100))),0,(IF(B140=C140,I140/C140,(INT(I140/B140)+(((I140-B140*INT(I140/B140)))/C140)/100))))</f>
        <v>0</v>
      </c>
      <c r="AU140" s="57">
        <f>IF(ISERROR(IF(B140=C140,J140/C140,(INT(J140/B140)+(((J140-B140*INT(J140/B140)))/C140)/100))),0,(IF(B140=C140,J140/C140,(INT(J140/B140)+(((J140-B140*INT(J140/B140)))/C140)/100))))</f>
        <v>0</v>
      </c>
      <c r="AV140" s="57">
        <f>IF(ISERROR(IF(B140=C140,K140/C140,IF((INT(K140/B140)+(((K140-B140*INT(K140/B140)))/C140)/100)&lt;0,(INT(K140/B140)+(((K140-B140*INT(K140/B140)))/C140)/100)+(1-(B140/C140/100)),(INT(K140/B140)+(((K140-B140*INT(K140/B140)))/C140)/100)))),0,IF(B140=C140,K140/C140,IF((INT(K140/B140)+(((K140-B140*INT(K140/B140)))/C140)/100)&lt;0,(INT(K140/B140)+(((K140-B140*INT(K140/B140)))/C140)/100)+(1-(B140/C140/100)),(INT(K140/B140)+(((K140-B140*INT(K140/B140)))/C140)/100))))</f>
        <v>0</v>
      </c>
      <c r="AW140" s="57">
        <f>IF(ISERROR(IF(B140=C140,L140/C140,(INT(L140/B140)+(((L140-B140*INT(L140/B140)))/C140)/100))),0,(IF(B140=C140,L140/C140,(INT(L140/B140)+(((L140-B140*INT(L140/B140)))/C140)/100))))</f>
        <v>0</v>
      </c>
      <c r="AX140" s="57">
        <f>IF(ISERROR(IF(B140=C140,M140/C140,(INT(M140/B140)+(((M140-B140*INT(M140/B140)))/C140)/100))),0,(IF(B140=C140,M140/C140,(INT(M140/B140)+(((M140-B140*INT(M140/B140)))/C140)/100))))</f>
        <v>0</v>
      </c>
      <c r="AY140" s="57">
        <f>IF(ISERROR(IF(B140=C140,N140/C140,IF((INT(N140/B140)+(((N140-B140*INT(N140/B140)))/C140)/100)&lt;0,(INT(N140/B140)+(((N140-B140*INT(N140/B140)))/C140)/100)+(1-(B140/C140/100)),(INT(N140/B140)+(((N140-B140*INT(N140/B140)))/C140)/100)))),0,IF(B140=C140,N140/C140,IF((INT(N140/B140)+(((N140-B140*INT(N140/B140)))/C140)/100)&lt;0,(INT(N140/B140)+(((N140-B140*INT(N140/B140)))/C140)/100)+(1-(B140/C140/100)),(INT(N140/B140)+(((N140-B140*INT(N140/B140)))/C140)/100))))</f>
        <v>0</v>
      </c>
      <c r="AZ140" s="57">
        <f>IF(ISERROR(IF(B140=C140,O140/C140,(INT(O140/B140)+(((O140-B140*INT(O140/B140)))/C140)/100))),0,(IF(B140=C140,O140/C140,(INT(O140/B140)+(((O140-B140*INT(O140/B140)))/C140)/100))))</f>
        <v>0</v>
      </c>
      <c r="BA140" s="57">
        <f>IF(ISERROR(IF(B140=C140,P140/C140,IF((INT(P140/B140)+(((P140-B140*INT(P140/B140)))/C140)/100)&lt;0,(INT(P140/B140)+(((P140-B140*INT(P140/B140)))/C140)/100)+(1-(B140/C140/100)),(INT(P140/B140)+(((P140-B140*INT(P140/B140)))/C140)/100)))),0,IF(B140=C140,P140/C140,IF((INT(P140/B140)+(((P140-B140*INT(P140/B140)))/C140)/100)&lt;0,(INT(P140/B140)+(((P140-B140*INT(P140/B140)))/C140)/100)+(1-(B140/C140/100)),(INT(P140/B140)+(((P140-B140*INT(P140/B140)))/C140)/100))))</f>
        <v>0</v>
      </c>
      <c r="BB140" s="28">
        <f>R140</f>
        <v>0</v>
      </c>
      <c r="BC140" s="28">
        <f>S140</f>
        <v>0</v>
      </c>
      <c r="BD140" s="28">
        <f>AF140</f>
        <v>0</v>
      </c>
      <c r="BE140" s="28">
        <f>T140</f>
        <v>0</v>
      </c>
      <c r="BG140" s="57">
        <f>IF(ISERROR(IF(B140=C140,V140/C140,(INT(V140/B140)+(((V140-B140*INT(V140/B140)))/C140)/100))),0,(IF(B140=C140,V140/C140,(INT(V140/B140)+(((V140-B140*INT(V140/B140)))/C140)/100))))</f>
        <v>0</v>
      </c>
      <c r="BH140" s="57">
        <f>IF(ISERROR(IF(B140=C140,W140/C140,(INT(W140/B140)+(((W140-B140*INT(W140/B140)))/C140)/100))),0,(IF(B140=C140,W140/C140,(INT(W140/B140)+(((W140-B140*INT(W140/B140)))/C140)/100))))</f>
        <v>0</v>
      </c>
      <c r="BI140" s="57">
        <f>IF(ISERROR(IF(B140=C140,X140/C140,(INT(X140/B140)+(((X140-B140*INT(X140/B140)))/C140)/100))),0,(IF(B140=C140,X140/C140,(INT(X140/B140)+(((X140-B140*INT(X140/B140)))/C140)/100))))</f>
        <v>0</v>
      </c>
      <c r="BJ140" s="57">
        <f>IF(ISERROR(IF(B140=C140,Y140/C140,(INT(Y140/B140)+(((Y140-B140*INT(Y140/B140)))/C140)/100))),0,(IF(B140=C140,Y140/C140,(INT(Y140/B140)+(((Y140-B140*INT(Y140/B140)))/C140)/100))))</f>
        <v>0</v>
      </c>
      <c r="BL140" s="57">
        <f>IF(ISERROR(IF(B140=C140,AA140/C140,(INT(AA140/B140)+(((AA140-B140*INT(AA140/B140)))/C140)/100))),0,(IF(B140=C140,AA140/C140,(INT(AA140/B140)+(((AA140-B140*INT(AA140/B140)))/C140)/100))))</f>
        <v>0</v>
      </c>
      <c r="BM140" s="57">
        <f>IF(ISERROR(IF(B140=C140,AB140/C140,(INT(AB140/B140)+(((AB140-B140*INT(AB140/B140)))/C140)/100))),0,(IF(B140=C140,AB140/C140,(INT(AB140/B140)+(((AB140-B140*INT(AB140/B140)))/C140)/100))))</f>
        <v>0</v>
      </c>
      <c r="BN140" s="57">
        <f>IF(ISERROR(IF(B140=C140,AC140/C140,(INT(AC140/B140)+(((AC140-B140*INT(AC140/B140)))/C140)/100))),0,(IF(B140=C140,AC140/C140,(INT(AC140/B140)+(((AC140-B140*INT(AC140/B140)))/C140)/100))))</f>
        <v>0</v>
      </c>
      <c r="BO140" s="57">
        <f>IF(ISERROR(IF(B140=C140,AD140/C140,(INT(AD140/B140)+(((AD140-B140*INT(AD140/B140)))/C140)/100))),0,(IF(B140=C140,AD140/C140,(INT(AD140/B140)+(((AD140-B140*INT(AD140/B140)))/C140)/100))))</f>
        <v>0</v>
      </c>
      <c r="BQ140" s="155"/>
    </row>
    <row r="141" spans="1:69" hidden="1" x14ac:dyDescent="0.35">
      <c r="A141" s="134"/>
      <c r="B141" s="113">
        <v>750</v>
      </c>
      <c r="C141" s="113">
        <v>30</v>
      </c>
      <c r="D141" s="28">
        <f>SUM(AA141:AD141)</f>
        <v>0</v>
      </c>
      <c r="E141" s="113">
        <v>0</v>
      </c>
      <c r="F141" s="113">
        <v>0</v>
      </c>
      <c r="G141" s="28">
        <f>SUM(D141:F141)</f>
        <v>0</v>
      </c>
      <c r="H141" s="125">
        <v>0</v>
      </c>
      <c r="I141" s="113">
        <v>0</v>
      </c>
      <c r="J141" s="125">
        <v>0</v>
      </c>
      <c r="K141" s="113">
        <v>0</v>
      </c>
      <c r="L141" s="113">
        <v>0</v>
      </c>
      <c r="M141" s="113">
        <v>0</v>
      </c>
      <c r="N141" s="28">
        <f>G141-SUM(H141:M141)</f>
        <v>0</v>
      </c>
      <c r="O141" s="28">
        <f>SUM(V141:Y141)</f>
        <v>0</v>
      </c>
      <c r="P141" s="28">
        <f>O141-N141</f>
        <v>0</v>
      </c>
      <c r="Q141" s="61" t="str">
        <f>IF(ISERROR(P141/SUM(H141:L141)),"",P141/SUM(H141:L141))</f>
        <v/>
      </c>
      <c r="R141" s="113">
        <v>0</v>
      </c>
      <c r="S141" s="28">
        <f>IF(ISERROR(P141/C141*R141),0,(P141/C141*R141))</f>
        <v>0</v>
      </c>
      <c r="T141" s="60">
        <f>IF(ISERROR(P141/B141*AF141),0,(P141/B141*AF141))</f>
        <v>0</v>
      </c>
      <c r="V141" s="113">
        <v>0</v>
      </c>
      <c r="W141" s="113">
        <v>0</v>
      </c>
      <c r="X141" s="113">
        <v>0</v>
      </c>
      <c r="Y141" s="113">
        <v>0</v>
      </c>
      <c r="AA141" s="113">
        <v>0</v>
      </c>
      <c r="AB141" s="113">
        <v>0</v>
      </c>
      <c r="AC141" s="113">
        <v>0</v>
      </c>
      <c r="AD141" s="113">
        <v>0</v>
      </c>
      <c r="AF141" s="113">
        <v>0</v>
      </c>
      <c r="AG141" s="28">
        <f>G141-O141</f>
        <v>0</v>
      </c>
      <c r="AH141" s="58">
        <f>IF(ISERROR(AG141/B141*AF141),0,(AG141/B141*AF141))</f>
        <v>0</v>
      </c>
      <c r="AI141" s="28">
        <f>SUM(H141:M141)</f>
        <v>0</v>
      </c>
      <c r="AJ141" s="28">
        <f>IF(ISERROR(AI141/B141*AF141),0,(AI141/B141*AF141))</f>
        <v>0</v>
      </c>
      <c r="AK141" s="58">
        <f>IF(ISERROR(O141/B141*AF141),0,(O141/B141*AF141))</f>
        <v>0</v>
      </c>
      <c r="AL141" s="28">
        <f>IF(ISERROR(H141/B141*AF141),0,(H141/B141*AF141))</f>
        <v>0</v>
      </c>
      <c r="AN141" s="51">
        <f>A141</f>
        <v>0</v>
      </c>
      <c r="AO141" s="57">
        <f>IF(ISERROR(IF(B141=C141,D141/C141,(INT(D141/B141)+(((D141-B141*INT(D141/B141)))/C141)/100))),0,(IF(B141=C141,D141/C141,(INT(D141/B141)+(((D141-B141*INT(D141/B141)))/C141)/100))))</f>
        <v>0</v>
      </c>
      <c r="AP141" s="57">
        <f>IF(ISERROR(IF(B141=C141,E141/C141,(INT(E141/B141)+(((E141-B141*INT(E141/B141)))/C141)/100))),0,(IF(B141=C141,E141/C141,(INT(E141/B141)+(((E141-B141*INT(E141/B141)))/C141)/100))))</f>
        <v>0</v>
      </c>
      <c r="AQ141" s="57">
        <f>IF(ISERROR(IF(B141=C141,F141/C141,IF((INT(F141/B141)+(((F141-B141*INT(F141/B141)))/C141)/100)&lt;0,(INT(F141/B141)+(((F141-B141*INT(F141/B141)))/C141)/100)+(1-(B141/C141/100)),(INT(F141/B141)+(((F141-B141*INT(F141/B141)))/C141)/100)))),0,IF(B141=C141,F141/C141,IF((INT(F141/B141)+(((F141-B141*INT(F141/B141)))/C141)/100)&lt;0,(INT(F141/B141)+(((F141-B141*INT(F141/B141)))/C141)/100)+(1-(B141/C141/100)),(INT(F141/B141)+(((F141-B141*INT(F141/B141)))/C141)/100))))</f>
        <v>0</v>
      </c>
      <c r="AR141" s="57">
        <f>IF(ISERROR(IF(B141=C141,G141/C141,(INT(G141/B141)+(((G141-B141*INT(G141/B141)))/C141)/100))),0,(IF(B141=C141,G141/C141,(INT(G141/B141)+(((G141-B141*INT(G141/B141)))/C141)/100))))</f>
        <v>0</v>
      </c>
      <c r="AS141" s="57">
        <f>IF(ISERROR(IF(B141=C141,H141/C141,(INT(H141/B141)+(((H141-B141*INT(H141/B141)))/C141)/100))),0,(IF(B141=C141,H141/C141,(INT(H141/B141)+(((H141-B141*INT(H141/B141)))/C141)/100))))</f>
        <v>0</v>
      </c>
      <c r="AT141" s="57">
        <f>IF(ISERROR(IF(B141=C141,I141/C141,(INT(I141/B141)+(((I141-B141*INT(I141/B141)))/C141)/100))),0,(IF(B141=C141,I141/C141,(INT(I141/B141)+(((I141-B141*INT(I141/B141)))/C141)/100))))</f>
        <v>0</v>
      </c>
      <c r="AU141" s="57">
        <f>IF(ISERROR(IF(B141=C141,J141/C141,(INT(J141/B141)+(((J141-B141*INT(J141/B141)))/C141)/100))),0,(IF(B141=C141,J141/C141,(INT(J141/B141)+(((J141-B141*INT(J141/B141)))/C141)/100))))</f>
        <v>0</v>
      </c>
      <c r="AV141" s="57">
        <f>IF(ISERROR(IF(B141=C141,K141/C141,IF((INT(K141/B141)+(((K141-B141*INT(K141/B141)))/C141)/100)&lt;0,(INT(K141/B141)+(((K141-B141*INT(K141/B141)))/C141)/100)+(1-(B141/C141/100)),(INT(K141/B141)+(((K141-B141*INT(K141/B141)))/C141)/100)))),0,IF(B141=C141,K141/C141,IF((INT(K141/B141)+(((K141-B141*INT(K141/B141)))/C141)/100)&lt;0,(INT(K141/B141)+(((K141-B141*INT(K141/B141)))/C141)/100)+(1-(B141/C141/100)),(INT(K141/B141)+(((K141-B141*INT(K141/B141)))/C141)/100))))</f>
        <v>0</v>
      </c>
      <c r="AW141" s="57">
        <f>IF(ISERROR(IF(B141=C141,L141/C141,(INT(L141/B141)+(((L141-B141*INT(L141/B141)))/C141)/100))),0,(IF(B141=C141,L141/C141,(INT(L141/B141)+(((L141-B141*INT(L141/B141)))/C141)/100))))</f>
        <v>0</v>
      </c>
      <c r="AX141" s="57">
        <f>IF(ISERROR(IF(B141=C141,M141/C141,(INT(M141/B141)+(((M141-B141*INT(M141/B141)))/C141)/100))),0,(IF(B141=C141,M141/C141,(INT(M141/B141)+(((M141-B141*INT(M141/B141)))/C141)/100))))</f>
        <v>0</v>
      </c>
      <c r="AY141" s="57">
        <f>IF(ISERROR(IF(B141=C141,N141/C141,IF((INT(N141/B141)+(((N141-B141*INT(N141/B141)))/C141)/100)&lt;0,(INT(N141/B141)+(((N141-B141*INT(N141/B141)))/C141)/100)+(1-(B141/C141/100)),(INT(N141/B141)+(((N141-B141*INT(N141/B141)))/C141)/100)))),0,IF(B141=C141,N141/C141,IF((INT(N141/B141)+(((N141-B141*INT(N141/B141)))/C141)/100)&lt;0,(INT(N141/B141)+(((N141-B141*INT(N141/B141)))/C141)/100)+(1-(B141/C141/100)),(INT(N141/B141)+(((N141-B141*INT(N141/B141)))/C141)/100))))</f>
        <v>0</v>
      </c>
      <c r="AZ141" s="57">
        <f>IF(ISERROR(IF(B141=C141,O141/C141,(INT(O141/B141)+(((O141-B141*INT(O141/B141)))/C141)/100))),0,(IF(B141=C141,O141/C141,(INT(O141/B141)+(((O141-B141*INT(O141/B141)))/C141)/100))))</f>
        <v>0</v>
      </c>
      <c r="BA141" s="57">
        <f>IF(ISERROR(IF(B141=C141,P141/C141,IF((INT(P141/B141)+(((P141-B141*INT(P141/B141)))/C141)/100)&lt;0,(INT(P141/B141)+(((P141-B141*INT(P141/B141)))/C141)/100)+(1-(B141/C141/100)),(INT(P141/B141)+(((P141-B141*INT(P141/B141)))/C141)/100)))),0,IF(B141=C141,P141/C141,IF((INT(P141/B141)+(((P141-B141*INT(P141/B141)))/C141)/100)&lt;0,(INT(P141/B141)+(((P141-B141*INT(P141/B141)))/C141)/100)+(1-(B141/C141/100)),(INT(P141/B141)+(((P141-B141*INT(P141/B141)))/C141)/100))))</f>
        <v>0</v>
      </c>
      <c r="BB141" s="28">
        <f>R141</f>
        <v>0</v>
      </c>
      <c r="BC141" s="28">
        <f>S141</f>
        <v>0</v>
      </c>
      <c r="BD141" s="28">
        <f>AF141</f>
        <v>0</v>
      </c>
      <c r="BE141" s="28">
        <f>T141</f>
        <v>0</v>
      </c>
      <c r="BG141" s="57">
        <f>IF(ISERROR(IF(B141=C141,V141/C141,(INT(V141/B141)+(((V141-B141*INT(V141/B141)))/C141)/100))),0,(IF(B141=C141,V141/C141,(INT(V141/B141)+(((V141-B141*INT(V141/B141)))/C141)/100))))</f>
        <v>0</v>
      </c>
      <c r="BH141" s="57">
        <f>IF(ISERROR(IF(B141=C141,W141/C141,(INT(W141/B141)+(((W141-B141*INT(W141/B141)))/C141)/100))),0,(IF(B141=C141,W141/C141,(INT(W141/B141)+(((W141-B141*INT(W141/B141)))/C141)/100))))</f>
        <v>0</v>
      </c>
      <c r="BI141" s="57">
        <f>IF(ISERROR(IF(B141=C141,X141/C141,(INT(X141/B141)+(((X141-B141*INT(X141/B141)))/C141)/100))),0,(IF(B141=C141,X141/C141,(INT(X141/B141)+(((X141-B141*INT(X141/B141)))/C141)/100))))</f>
        <v>0</v>
      </c>
      <c r="BJ141" s="57">
        <f>IF(ISERROR(IF(B141=C141,Y141/C141,(INT(Y141/B141)+(((Y141-B141*INT(Y141/B141)))/C141)/100))),0,(IF(B141=C141,Y141/C141,(INT(Y141/B141)+(((Y141-B141*INT(Y141/B141)))/C141)/100))))</f>
        <v>0</v>
      </c>
      <c r="BL141" s="57">
        <f>IF(ISERROR(IF(B141=C141,AA141/C141,(INT(AA141/B141)+(((AA141-B141*INT(AA141/B141)))/C141)/100))),0,(IF(B141=C141,AA141/C141,(INT(AA141/B141)+(((AA141-B141*INT(AA141/B141)))/C141)/100))))</f>
        <v>0</v>
      </c>
      <c r="BM141" s="57">
        <f>IF(ISERROR(IF(B141=C141,AB141/C141,(INT(AB141/B141)+(((AB141-B141*INT(AB141/B141)))/C141)/100))),0,(IF(B141=C141,AB141/C141,(INT(AB141/B141)+(((AB141-B141*INT(AB141/B141)))/C141)/100))))</f>
        <v>0</v>
      </c>
      <c r="BN141" s="57">
        <f>IF(ISERROR(IF(B141=C141,AC141/C141,(INT(AC141/B141)+(((AC141-B141*INT(AC141/B141)))/C141)/100))),0,(IF(B141=C141,AC141/C141,(INT(AC141/B141)+(((AC141-B141*INT(AC141/B141)))/C141)/100))))</f>
        <v>0</v>
      </c>
      <c r="BO141" s="57">
        <f>IF(ISERROR(IF(B141=C141,AD141/C141,(INT(AD141/B141)+(((AD141-B141*INT(AD141/B141)))/C141)/100))),0,(IF(B141=C141,AD141/C141,(INT(AD141/B141)+(((AD141-B141*INT(AD141/B141)))/C141)/100))))</f>
        <v>0</v>
      </c>
      <c r="BQ141" s="155"/>
    </row>
    <row r="142" spans="1:69" hidden="1" x14ac:dyDescent="0.35">
      <c r="A142" s="134"/>
      <c r="B142" s="113">
        <v>750</v>
      </c>
      <c r="C142" s="113">
        <v>30</v>
      </c>
      <c r="D142" s="28">
        <f>SUM(AA142:AD142)</f>
        <v>0</v>
      </c>
      <c r="E142" s="113">
        <v>0</v>
      </c>
      <c r="F142" s="113">
        <v>0</v>
      </c>
      <c r="G142" s="28">
        <f>SUM(D142:F142)</f>
        <v>0</v>
      </c>
      <c r="H142" s="125">
        <v>0</v>
      </c>
      <c r="I142" s="113">
        <v>0</v>
      </c>
      <c r="J142" s="125">
        <v>0</v>
      </c>
      <c r="K142" s="113">
        <v>0</v>
      </c>
      <c r="L142" s="113">
        <v>0</v>
      </c>
      <c r="M142" s="113">
        <v>0</v>
      </c>
      <c r="N142" s="28">
        <f>G142-SUM(H142:M142)</f>
        <v>0</v>
      </c>
      <c r="O142" s="28">
        <f>SUM(V142:Y142)</f>
        <v>0</v>
      </c>
      <c r="P142" s="28">
        <f>O142-N142</f>
        <v>0</v>
      </c>
      <c r="Q142" s="61" t="str">
        <f>IF(ISERROR(P142/SUM(H142:L142)),"",P142/SUM(H142:L142))</f>
        <v/>
      </c>
      <c r="R142" s="113">
        <v>0</v>
      </c>
      <c r="S142" s="28">
        <f>IF(ISERROR(P142/C142*R142),0,(P142/C142*R142))</f>
        <v>0</v>
      </c>
      <c r="T142" s="60">
        <f>IF(ISERROR(P142/B142*AF142),0,(P142/B142*AF142))</f>
        <v>0</v>
      </c>
      <c r="V142" s="113">
        <v>0</v>
      </c>
      <c r="W142" s="113">
        <v>0</v>
      </c>
      <c r="X142" s="113">
        <v>0</v>
      </c>
      <c r="Y142" s="113">
        <v>0</v>
      </c>
      <c r="AA142" s="113">
        <v>0</v>
      </c>
      <c r="AB142" s="113">
        <v>0</v>
      </c>
      <c r="AC142" s="113">
        <v>0</v>
      </c>
      <c r="AD142" s="113">
        <v>0</v>
      </c>
      <c r="AF142" s="113">
        <v>0</v>
      </c>
      <c r="AG142" s="28">
        <f>G142-O142</f>
        <v>0</v>
      </c>
      <c r="AH142" s="58">
        <f>IF(ISERROR(AG142/B142*AF142),0,(AG142/B142*AF142))</f>
        <v>0</v>
      </c>
      <c r="AI142" s="28">
        <f>SUM(H142:M142)</f>
        <v>0</v>
      </c>
      <c r="AJ142" s="28">
        <f>IF(ISERROR(AI142/B142*AF142),0,(AI142/B142*AF142))</f>
        <v>0</v>
      </c>
      <c r="AK142" s="58">
        <f>IF(ISERROR(O142/B142*AF142),0,(O142/B142*AF142))</f>
        <v>0</v>
      </c>
      <c r="AL142" s="28">
        <f>IF(ISERROR(H142/B142*AF142),0,(H142/B142*AF142))</f>
        <v>0</v>
      </c>
      <c r="AN142" s="51">
        <f>A142</f>
        <v>0</v>
      </c>
      <c r="AO142" s="57">
        <f>IF(ISERROR(IF(B142=C142,D142/C142,(INT(D142/B142)+(((D142-B142*INT(D142/B142)))/C142)/100))),0,(IF(B142=C142,D142/C142,(INT(D142/B142)+(((D142-B142*INT(D142/B142)))/C142)/100))))</f>
        <v>0</v>
      </c>
      <c r="AP142" s="57">
        <f>IF(ISERROR(IF(B142=C142,E142/C142,(INT(E142/B142)+(((E142-B142*INT(E142/B142)))/C142)/100))),0,(IF(B142=C142,E142/C142,(INT(E142/B142)+(((E142-B142*INT(E142/B142)))/C142)/100))))</f>
        <v>0</v>
      </c>
      <c r="AQ142" s="57">
        <f>IF(ISERROR(IF(B142=C142,F142/C142,IF((INT(F142/B142)+(((F142-B142*INT(F142/B142)))/C142)/100)&lt;0,(INT(F142/B142)+(((F142-B142*INT(F142/B142)))/C142)/100)+(1-(B142/C142/100)),(INT(F142/B142)+(((F142-B142*INT(F142/B142)))/C142)/100)))),0,IF(B142=C142,F142/C142,IF((INT(F142/B142)+(((F142-B142*INT(F142/B142)))/C142)/100)&lt;0,(INT(F142/B142)+(((F142-B142*INT(F142/B142)))/C142)/100)+(1-(B142/C142/100)),(INT(F142/B142)+(((F142-B142*INT(F142/B142)))/C142)/100))))</f>
        <v>0</v>
      </c>
      <c r="AR142" s="57">
        <f>IF(ISERROR(IF(B142=C142,G142/C142,(INT(G142/B142)+(((G142-B142*INT(G142/B142)))/C142)/100))),0,(IF(B142=C142,G142/C142,(INT(G142/B142)+(((G142-B142*INT(G142/B142)))/C142)/100))))</f>
        <v>0</v>
      </c>
      <c r="AS142" s="57">
        <f>IF(ISERROR(IF(B142=C142,H142/C142,(INT(H142/B142)+(((H142-B142*INT(H142/B142)))/C142)/100))),0,(IF(B142=C142,H142/C142,(INT(H142/B142)+(((H142-B142*INT(H142/B142)))/C142)/100))))</f>
        <v>0</v>
      </c>
      <c r="AT142" s="57">
        <f>IF(ISERROR(IF(B142=C142,I142/C142,(INT(I142/B142)+(((I142-B142*INT(I142/B142)))/C142)/100))),0,(IF(B142=C142,I142/C142,(INT(I142/B142)+(((I142-B142*INT(I142/B142)))/C142)/100))))</f>
        <v>0</v>
      </c>
      <c r="AU142" s="57">
        <f>IF(ISERROR(IF(B142=C142,J142/C142,(INT(J142/B142)+(((J142-B142*INT(J142/B142)))/C142)/100))),0,(IF(B142=C142,J142/C142,(INT(J142/B142)+(((J142-B142*INT(J142/B142)))/C142)/100))))</f>
        <v>0</v>
      </c>
      <c r="AV142" s="57">
        <f>IF(ISERROR(IF(B142=C142,K142/C142,IF((INT(K142/B142)+(((K142-B142*INT(K142/B142)))/C142)/100)&lt;0,(INT(K142/B142)+(((K142-B142*INT(K142/B142)))/C142)/100)+(1-(B142/C142/100)),(INT(K142/B142)+(((K142-B142*INT(K142/B142)))/C142)/100)))),0,IF(B142=C142,K142/C142,IF((INT(K142/B142)+(((K142-B142*INT(K142/B142)))/C142)/100)&lt;0,(INT(K142/B142)+(((K142-B142*INT(K142/B142)))/C142)/100)+(1-(B142/C142/100)),(INT(K142/B142)+(((K142-B142*INT(K142/B142)))/C142)/100))))</f>
        <v>0</v>
      </c>
      <c r="AW142" s="57">
        <f>IF(ISERROR(IF(B142=C142,L142/C142,(INT(L142/B142)+(((L142-B142*INT(L142/B142)))/C142)/100))),0,(IF(B142=C142,L142/C142,(INT(L142/B142)+(((L142-B142*INT(L142/B142)))/C142)/100))))</f>
        <v>0</v>
      </c>
      <c r="AX142" s="57">
        <f>IF(ISERROR(IF(B142=C142,M142/C142,(INT(M142/B142)+(((M142-B142*INT(M142/B142)))/C142)/100))),0,(IF(B142=C142,M142/C142,(INT(M142/B142)+(((M142-B142*INT(M142/B142)))/C142)/100))))</f>
        <v>0</v>
      </c>
      <c r="AY142" s="57">
        <f>IF(ISERROR(IF(B142=C142,N142/C142,IF((INT(N142/B142)+(((N142-B142*INT(N142/B142)))/C142)/100)&lt;0,(INT(N142/B142)+(((N142-B142*INT(N142/B142)))/C142)/100)+(1-(B142/C142/100)),(INT(N142/B142)+(((N142-B142*INT(N142/B142)))/C142)/100)))),0,IF(B142=C142,N142/C142,IF((INT(N142/B142)+(((N142-B142*INT(N142/B142)))/C142)/100)&lt;0,(INT(N142/B142)+(((N142-B142*INT(N142/B142)))/C142)/100)+(1-(B142/C142/100)),(INT(N142/B142)+(((N142-B142*INT(N142/B142)))/C142)/100))))</f>
        <v>0</v>
      </c>
      <c r="AZ142" s="57">
        <f>IF(ISERROR(IF(B142=C142,O142/C142,(INT(O142/B142)+(((O142-B142*INT(O142/B142)))/C142)/100))),0,(IF(B142=C142,O142/C142,(INT(O142/B142)+(((O142-B142*INT(O142/B142)))/C142)/100))))</f>
        <v>0</v>
      </c>
      <c r="BA142" s="57">
        <f>IF(ISERROR(IF(B142=C142,P142/C142,IF((INT(P142/B142)+(((P142-B142*INT(P142/B142)))/C142)/100)&lt;0,(INT(P142/B142)+(((P142-B142*INT(P142/B142)))/C142)/100)+(1-(B142/C142/100)),(INT(P142/B142)+(((P142-B142*INT(P142/B142)))/C142)/100)))),0,IF(B142=C142,P142/C142,IF((INT(P142/B142)+(((P142-B142*INT(P142/B142)))/C142)/100)&lt;0,(INT(P142/B142)+(((P142-B142*INT(P142/B142)))/C142)/100)+(1-(B142/C142/100)),(INT(P142/B142)+(((P142-B142*INT(P142/B142)))/C142)/100))))</f>
        <v>0</v>
      </c>
      <c r="BB142" s="28">
        <f>R142</f>
        <v>0</v>
      </c>
      <c r="BC142" s="28">
        <f>S142</f>
        <v>0</v>
      </c>
      <c r="BD142" s="28">
        <f>AF142</f>
        <v>0</v>
      </c>
      <c r="BE142" s="28">
        <f>T142</f>
        <v>0</v>
      </c>
      <c r="BG142" s="57">
        <f>IF(ISERROR(IF(B142=C142,V142/C142,(INT(V142/B142)+(((V142-B142*INT(V142/B142)))/C142)/100))),0,(IF(B142=C142,V142/C142,(INT(V142/B142)+(((V142-B142*INT(V142/B142)))/C142)/100))))</f>
        <v>0</v>
      </c>
      <c r="BH142" s="57">
        <f>IF(ISERROR(IF(B142=C142,W142/C142,(INT(W142/B142)+(((W142-B142*INT(W142/B142)))/C142)/100))),0,(IF(B142=C142,W142/C142,(INT(W142/B142)+(((W142-B142*INT(W142/B142)))/C142)/100))))</f>
        <v>0</v>
      </c>
      <c r="BI142" s="57">
        <f>IF(ISERROR(IF(B142=C142,X142/C142,(INT(X142/B142)+(((X142-B142*INT(X142/B142)))/C142)/100))),0,(IF(B142=C142,X142/C142,(INT(X142/B142)+(((X142-B142*INT(X142/B142)))/C142)/100))))</f>
        <v>0</v>
      </c>
      <c r="BJ142" s="57">
        <f>IF(ISERROR(IF(B142=C142,Y142/C142,(INT(Y142/B142)+(((Y142-B142*INT(Y142/B142)))/C142)/100))),0,(IF(B142=C142,Y142/C142,(INT(Y142/B142)+(((Y142-B142*INT(Y142/B142)))/C142)/100))))</f>
        <v>0</v>
      </c>
      <c r="BL142" s="57">
        <f>IF(ISERROR(IF(B142=C142,AA142/C142,(INT(AA142/B142)+(((AA142-B142*INT(AA142/B142)))/C142)/100))),0,(IF(B142=C142,AA142/C142,(INT(AA142/B142)+(((AA142-B142*INT(AA142/B142)))/C142)/100))))</f>
        <v>0</v>
      </c>
      <c r="BM142" s="57">
        <f>IF(ISERROR(IF(B142=C142,AB142/C142,(INT(AB142/B142)+(((AB142-B142*INT(AB142/B142)))/C142)/100))),0,(IF(B142=C142,AB142/C142,(INT(AB142/B142)+(((AB142-B142*INT(AB142/B142)))/C142)/100))))</f>
        <v>0</v>
      </c>
      <c r="BN142" s="57">
        <f>IF(ISERROR(IF(B142=C142,AC142/C142,(INT(AC142/B142)+(((AC142-B142*INT(AC142/B142)))/C142)/100))),0,(IF(B142=C142,AC142/C142,(INT(AC142/B142)+(((AC142-B142*INT(AC142/B142)))/C142)/100))))</f>
        <v>0</v>
      </c>
      <c r="BO142" s="57">
        <f>IF(ISERROR(IF(B142=C142,AD142/C142,(INT(AD142/B142)+(((AD142-B142*INT(AD142/B142)))/C142)/100))),0,(IF(B142=C142,AD142/C142,(INT(AD142/B142)+(((AD142-B142*INT(AD142/B142)))/C142)/100))))</f>
        <v>0</v>
      </c>
      <c r="BQ142" s="155"/>
    </row>
    <row r="143" spans="1:69" hidden="1" x14ac:dyDescent="0.35">
      <c r="A143" s="134"/>
      <c r="B143" s="113">
        <v>750</v>
      </c>
      <c r="C143" s="113">
        <v>30</v>
      </c>
      <c r="D143" s="28">
        <f>SUM(AA143:AD143)</f>
        <v>0</v>
      </c>
      <c r="E143" s="113">
        <v>0</v>
      </c>
      <c r="F143" s="113">
        <v>0</v>
      </c>
      <c r="G143" s="28">
        <f>SUM(D143:F143)</f>
        <v>0</v>
      </c>
      <c r="H143" s="125">
        <v>0</v>
      </c>
      <c r="I143" s="113">
        <v>0</v>
      </c>
      <c r="J143" s="125">
        <v>0</v>
      </c>
      <c r="K143" s="113">
        <v>0</v>
      </c>
      <c r="L143" s="113">
        <v>0</v>
      </c>
      <c r="M143" s="113">
        <v>0</v>
      </c>
      <c r="N143" s="28">
        <f>G143-SUM(H143:M143)</f>
        <v>0</v>
      </c>
      <c r="O143" s="28">
        <f>SUM(V143:Y143)</f>
        <v>0</v>
      </c>
      <c r="P143" s="28">
        <f>O143-N143</f>
        <v>0</v>
      </c>
      <c r="Q143" s="61" t="str">
        <f>IF(ISERROR(P143/SUM(H143:L143)),"",P143/SUM(H143:L143))</f>
        <v/>
      </c>
      <c r="R143" s="113">
        <v>0</v>
      </c>
      <c r="S143" s="28">
        <f>IF(ISERROR(P143/C143*R143),0,(P143/C143*R143))</f>
        <v>0</v>
      </c>
      <c r="T143" s="60">
        <f>IF(ISERROR(P143/B143*AF143),0,(P143/B143*AF143))</f>
        <v>0</v>
      </c>
      <c r="V143" s="113">
        <v>0</v>
      </c>
      <c r="W143" s="113">
        <v>0</v>
      </c>
      <c r="X143" s="113">
        <v>0</v>
      </c>
      <c r="Y143" s="113">
        <v>0</v>
      </c>
      <c r="AA143" s="113">
        <v>0</v>
      </c>
      <c r="AB143" s="113">
        <v>0</v>
      </c>
      <c r="AC143" s="113">
        <v>0</v>
      </c>
      <c r="AD143" s="113">
        <v>0</v>
      </c>
      <c r="AF143" s="113">
        <v>0</v>
      </c>
      <c r="AG143" s="28">
        <f>G143-O143</f>
        <v>0</v>
      </c>
      <c r="AH143" s="58">
        <f>IF(ISERROR(AG143/B143*AF143),0,(AG143/B143*AF143))</f>
        <v>0</v>
      </c>
      <c r="AI143" s="28">
        <f>SUM(H143:M143)</f>
        <v>0</v>
      </c>
      <c r="AJ143" s="28">
        <f>IF(ISERROR(AI143/B143*AF143),0,(AI143/B143*AF143))</f>
        <v>0</v>
      </c>
      <c r="AK143" s="58">
        <f>IF(ISERROR(O143/B143*AF143),0,(O143/B143*AF143))</f>
        <v>0</v>
      </c>
      <c r="AL143" s="28">
        <f>IF(ISERROR(H143/B143*AF143),0,(H143/B143*AF143))</f>
        <v>0</v>
      </c>
      <c r="AN143" s="51">
        <f>A143</f>
        <v>0</v>
      </c>
      <c r="AO143" s="57">
        <f>IF(ISERROR(IF(B143=C143,D143/C143,(INT(D143/B143)+(((D143-B143*INT(D143/B143)))/C143)/100))),0,(IF(B143=C143,D143/C143,(INT(D143/B143)+(((D143-B143*INT(D143/B143)))/C143)/100))))</f>
        <v>0</v>
      </c>
      <c r="AP143" s="57">
        <f>IF(ISERROR(IF(B143=C143,E143/C143,(INT(E143/B143)+(((E143-B143*INT(E143/B143)))/C143)/100))),0,(IF(B143=C143,E143/C143,(INT(E143/B143)+(((E143-B143*INT(E143/B143)))/C143)/100))))</f>
        <v>0</v>
      </c>
      <c r="AQ143" s="57">
        <f>IF(ISERROR(IF(B143=C143,F143/C143,IF((INT(F143/B143)+(((F143-B143*INT(F143/B143)))/C143)/100)&lt;0,(INT(F143/B143)+(((F143-B143*INT(F143/B143)))/C143)/100)+(1-(B143/C143/100)),(INT(F143/B143)+(((F143-B143*INT(F143/B143)))/C143)/100)))),0,IF(B143=C143,F143/C143,IF((INT(F143/B143)+(((F143-B143*INT(F143/B143)))/C143)/100)&lt;0,(INT(F143/B143)+(((F143-B143*INT(F143/B143)))/C143)/100)+(1-(B143/C143/100)),(INT(F143/B143)+(((F143-B143*INT(F143/B143)))/C143)/100))))</f>
        <v>0</v>
      </c>
      <c r="AR143" s="57">
        <f>IF(ISERROR(IF(B143=C143,G143/C143,(INT(G143/B143)+(((G143-B143*INT(G143/B143)))/C143)/100))),0,(IF(B143=C143,G143/C143,(INT(G143/B143)+(((G143-B143*INT(G143/B143)))/C143)/100))))</f>
        <v>0</v>
      </c>
      <c r="AS143" s="57">
        <f>IF(ISERROR(IF(B143=C143,H143/C143,(INT(H143/B143)+(((H143-B143*INT(H143/B143)))/C143)/100))),0,(IF(B143=C143,H143/C143,(INT(H143/B143)+(((H143-B143*INT(H143/B143)))/C143)/100))))</f>
        <v>0</v>
      </c>
      <c r="AT143" s="57">
        <f>IF(ISERROR(IF(B143=C143,I143/C143,(INT(I143/B143)+(((I143-B143*INT(I143/B143)))/C143)/100))),0,(IF(B143=C143,I143/C143,(INT(I143/B143)+(((I143-B143*INT(I143/B143)))/C143)/100))))</f>
        <v>0</v>
      </c>
      <c r="AU143" s="57">
        <f>IF(ISERROR(IF(B143=C143,J143/C143,(INT(J143/B143)+(((J143-B143*INT(J143/B143)))/C143)/100))),0,(IF(B143=C143,J143/C143,(INT(J143/B143)+(((J143-B143*INT(J143/B143)))/C143)/100))))</f>
        <v>0</v>
      </c>
      <c r="AV143" s="57">
        <f>IF(ISERROR(IF(B143=C143,K143/C143,IF((INT(K143/B143)+(((K143-B143*INT(K143/B143)))/C143)/100)&lt;0,(INT(K143/B143)+(((K143-B143*INT(K143/B143)))/C143)/100)+(1-(B143/C143/100)),(INT(K143/B143)+(((K143-B143*INT(K143/B143)))/C143)/100)))),0,IF(B143=C143,K143/C143,IF((INT(K143/B143)+(((K143-B143*INT(K143/B143)))/C143)/100)&lt;0,(INT(K143/B143)+(((K143-B143*INT(K143/B143)))/C143)/100)+(1-(B143/C143/100)),(INT(K143/B143)+(((K143-B143*INT(K143/B143)))/C143)/100))))</f>
        <v>0</v>
      </c>
      <c r="AW143" s="57">
        <f>IF(ISERROR(IF(B143=C143,L143/C143,(INT(L143/B143)+(((L143-B143*INT(L143/B143)))/C143)/100))),0,(IF(B143=C143,L143/C143,(INT(L143/B143)+(((L143-B143*INT(L143/B143)))/C143)/100))))</f>
        <v>0</v>
      </c>
      <c r="AX143" s="57">
        <f>IF(ISERROR(IF(B143=C143,M143/C143,(INT(M143/B143)+(((M143-B143*INT(M143/B143)))/C143)/100))),0,(IF(B143=C143,M143/C143,(INT(M143/B143)+(((M143-B143*INT(M143/B143)))/C143)/100))))</f>
        <v>0</v>
      </c>
      <c r="AY143" s="57">
        <f>IF(ISERROR(IF(B143=C143,N143/C143,IF((INT(N143/B143)+(((N143-B143*INT(N143/B143)))/C143)/100)&lt;0,(INT(N143/B143)+(((N143-B143*INT(N143/B143)))/C143)/100)+(1-(B143/C143/100)),(INT(N143/B143)+(((N143-B143*INT(N143/B143)))/C143)/100)))),0,IF(B143=C143,N143/C143,IF((INT(N143/B143)+(((N143-B143*INT(N143/B143)))/C143)/100)&lt;0,(INT(N143/B143)+(((N143-B143*INT(N143/B143)))/C143)/100)+(1-(B143/C143/100)),(INT(N143/B143)+(((N143-B143*INT(N143/B143)))/C143)/100))))</f>
        <v>0</v>
      </c>
      <c r="AZ143" s="57">
        <f>IF(ISERROR(IF(B143=C143,O143/C143,(INT(O143/B143)+(((O143-B143*INT(O143/B143)))/C143)/100))),0,(IF(B143=C143,O143/C143,(INT(O143/B143)+(((O143-B143*INT(O143/B143)))/C143)/100))))</f>
        <v>0</v>
      </c>
      <c r="BA143" s="57">
        <f>IF(ISERROR(IF(B143=C143,P143/C143,IF((INT(P143/B143)+(((P143-B143*INT(P143/B143)))/C143)/100)&lt;0,(INT(P143/B143)+(((P143-B143*INT(P143/B143)))/C143)/100)+(1-(B143/C143/100)),(INT(P143/B143)+(((P143-B143*INT(P143/B143)))/C143)/100)))),0,IF(B143=C143,P143/C143,IF((INT(P143/B143)+(((P143-B143*INT(P143/B143)))/C143)/100)&lt;0,(INT(P143/B143)+(((P143-B143*INT(P143/B143)))/C143)/100)+(1-(B143/C143/100)),(INT(P143/B143)+(((P143-B143*INT(P143/B143)))/C143)/100))))</f>
        <v>0</v>
      </c>
      <c r="BB143" s="28">
        <f>R143</f>
        <v>0</v>
      </c>
      <c r="BC143" s="28">
        <f>S143</f>
        <v>0</v>
      </c>
      <c r="BD143" s="28">
        <f>AF143</f>
        <v>0</v>
      </c>
      <c r="BE143" s="28">
        <f>T143</f>
        <v>0</v>
      </c>
      <c r="BG143" s="57">
        <f>IF(ISERROR(IF(B143=C143,V143/C143,(INT(V143/B143)+(((V143-B143*INT(V143/B143)))/C143)/100))),0,(IF(B143=C143,V143/C143,(INT(V143/B143)+(((V143-B143*INT(V143/B143)))/C143)/100))))</f>
        <v>0</v>
      </c>
      <c r="BH143" s="57">
        <f>IF(ISERROR(IF(B143=C143,W143/C143,(INT(W143/B143)+(((W143-B143*INT(W143/B143)))/C143)/100))),0,(IF(B143=C143,W143/C143,(INT(W143/B143)+(((W143-B143*INT(W143/B143)))/C143)/100))))</f>
        <v>0</v>
      </c>
      <c r="BI143" s="57">
        <f>IF(ISERROR(IF(B143=C143,X143/C143,(INT(X143/B143)+(((X143-B143*INT(X143/B143)))/C143)/100))),0,(IF(B143=C143,X143/C143,(INT(X143/B143)+(((X143-B143*INT(X143/B143)))/C143)/100))))</f>
        <v>0</v>
      </c>
      <c r="BJ143" s="57">
        <f>IF(ISERROR(IF(B143=C143,Y143/C143,(INT(Y143/B143)+(((Y143-B143*INT(Y143/B143)))/C143)/100))),0,(IF(B143=C143,Y143/C143,(INT(Y143/B143)+(((Y143-B143*INT(Y143/B143)))/C143)/100))))</f>
        <v>0</v>
      </c>
      <c r="BL143" s="57">
        <f>IF(ISERROR(IF(B143=C143,AA143/C143,(INT(AA143/B143)+(((AA143-B143*INT(AA143/B143)))/C143)/100))),0,(IF(B143=C143,AA143/C143,(INT(AA143/B143)+(((AA143-B143*INT(AA143/B143)))/C143)/100))))</f>
        <v>0</v>
      </c>
      <c r="BM143" s="57">
        <f>IF(ISERROR(IF(B143=C143,AB143/C143,(INT(AB143/B143)+(((AB143-B143*INT(AB143/B143)))/C143)/100))),0,(IF(B143=C143,AB143/C143,(INT(AB143/B143)+(((AB143-B143*INT(AB143/B143)))/C143)/100))))</f>
        <v>0</v>
      </c>
      <c r="BN143" s="57">
        <f>IF(ISERROR(IF(B143=C143,AC143/C143,(INT(AC143/B143)+(((AC143-B143*INT(AC143/B143)))/C143)/100))),0,(IF(B143=C143,AC143/C143,(INT(AC143/B143)+(((AC143-B143*INT(AC143/B143)))/C143)/100))))</f>
        <v>0</v>
      </c>
      <c r="BO143" s="57">
        <f>IF(ISERROR(IF(B143=C143,AD143/C143,(INT(AD143/B143)+(((AD143-B143*INT(AD143/B143)))/C143)/100))),0,(IF(B143=C143,AD143/C143,(INT(AD143/B143)+(((AD143-B143*INT(AD143/B143)))/C143)/100))))</f>
        <v>0</v>
      </c>
      <c r="BQ143" s="155"/>
    </row>
    <row r="144" spans="1:69" hidden="1" x14ac:dyDescent="0.35">
      <c r="A144" s="134"/>
      <c r="B144" s="113">
        <v>750</v>
      </c>
      <c r="C144" s="113">
        <v>30</v>
      </c>
      <c r="D144" s="28">
        <f>SUM(AA144:AD144)</f>
        <v>0</v>
      </c>
      <c r="E144" s="113">
        <v>0</v>
      </c>
      <c r="F144" s="113">
        <v>0</v>
      </c>
      <c r="G144" s="28">
        <f>SUM(D144:F144)</f>
        <v>0</v>
      </c>
      <c r="H144" s="125">
        <v>0</v>
      </c>
      <c r="I144" s="113">
        <v>0</v>
      </c>
      <c r="J144" s="125">
        <v>0</v>
      </c>
      <c r="K144" s="113">
        <v>0</v>
      </c>
      <c r="L144" s="113">
        <v>0</v>
      </c>
      <c r="M144" s="113">
        <v>0</v>
      </c>
      <c r="N144" s="28">
        <f>G144-SUM(H144:M144)</f>
        <v>0</v>
      </c>
      <c r="O144" s="28">
        <f>SUM(V144:Y144)</f>
        <v>0</v>
      </c>
      <c r="P144" s="28">
        <f>O144-N144</f>
        <v>0</v>
      </c>
      <c r="Q144" s="61" t="str">
        <f>IF(ISERROR(P144/SUM(H144:L144)),"",P144/SUM(H144:L144))</f>
        <v/>
      </c>
      <c r="R144" s="113">
        <v>0</v>
      </c>
      <c r="S144" s="28">
        <f>IF(ISERROR(P144/C144*R144),0,(P144/C144*R144))</f>
        <v>0</v>
      </c>
      <c r="T144" s="60">
        <f>IF(ISERROR(P144/B144*AF144),0,(P144/B144*AF144))</f>
        <v>0</v>
      </c>
      <c r="V144" s="113">
        <v>0</v>
      </c>
      <c r="W144" s="113">
        <v>0</v>
      </c>
      <c r="X144" s="113">
        <v>0</v>
      </c>
      <c r="Y144" s="113">
        <v>0</v>
      </c>
      <c r="AA144" s="113">
        <v>0</v>
      </c>
      <c r="AB144" s="113">
        <v>0</v>
      </c>
      <c r="AC144" s="113">
        <v>0</v>
      </c>
      <c r="AD144" s="113">
        <v>0</v>
      </c>
      <c r="AF144" s="113">
        <v>0</v>
      </c>
      <c r="AG144" s="28">
        <f>G144-O144</f>
        <v>0</v>
      </c>
      <c r="AH144" s="58">
        <f>IF(ISERROR(AG144/B144*AF144),0,(AG144/B144*AF144))</f>
        <v>0</v>
      </c>
      <c r="AI144" s="28">
        <f>SUM(H144:M144)</f>
        <v>0</v>
      </c>
      <c r="AJ144" s="28">
        <f>IF(ISERROR(AI144/B144*AF144),0,(AI144/B144*AF144))</f>
        <v>0</v>
      </c>
      <c r="AK144" s="58">
        <f>IF(ISERROR(O144/B144*AF144),0,(O144/B144*AF144))</f>
        <v>0</v>
      </c>
      <c r="AL144" s="28">
        <f>IF(ISERROR(H144/B144*AF144),0,(H144/B144*AF144))</f>
        <v>0</v>
      </c>
      <c r="AN144" s="51">
        <f>A144</f>
        <v>0</v>
      </c>
      <c r="AO144" s="57">
        <f>IF(ISERROR(IF(B144=C144,D144/C144,(INT(D144/B144)+(((D144-B144*INT(D144/B144)))/C144)/100))),0,(IF(B144=C144,D144/C144,(INT(D144/B144)+(((D144-B144*INT(D144/B144)))/C144)/100))))</f>
        <v>0</v>
      </c>
      <c r="AP144" s="57">
        <f>IF(ISERROR(IF(B144=C144,E144/C144,(INT(E144/B144)+(((E144-B144*INT(E144/B144)))/C144)/100))),0,(IF(B144=C144,E144/C144,(INT(E144/B144)+(((E144-B144*INT(E144/B144)))/C144)/100))))</f>
        <v>0</v>
      </c>
      <c r="AQ144" s="57">
        <f>IF(ISERROR(IF(B144=C144,F144/C144,IF((INT(F144/B144)+(((F144-B144*INT(F144/B144)))/C144)/100)&lt;0,(INT(F144/B144)+(((F144-B144*INT(F144/B144)))/C144)/100)+(1-(B144/C144/100)),(INT(F144/B144)+(((F144-B144*INT(F144/B144)))/C144)/100)))),0,IF(B144=C144,F144/C144,IF((INT(F144/B144)+(((F144-B144*INT(F144/B144)))/C144)/100)&lt;0,(INT(F144/B144)+(((F144-B144*INT(F144/B144)))/C144)/100)+(1-(B144/C144/100)),(INT(F144/B144)+(((F144-B144*INT(F144/B144)))/C144)/100))))</f>
        <v>0</v>
      </c>
      <c r="AR144" s="57">
        <f>IF(ISERROR(IF(B144=C144,G144/C144,(INT(G144/B144)+(((G144-B144*INT(G144/B144)))/C144)/100))),0,(IF(B144=C144,G144/C144,(INT(G144/B144)+(((G144-B144*INT(G144/B144)))/C144)/100))))</f>
        <v>0</v>
      </c>
      <c r="AS144" s="57">
        <f>IF(ISERROR(IF(B144=C144,H144/C144,(INT(H144/B144)+(((H144-B144*INT(H144/B144)))/C144)/100))),0,(IF(B144=C144,H144/C144,(INT(H144/B144)+(((H144-B144*INT(H144/B144)))/C144)/100))))</f>
        <v>0</v>
      </c>
      <c r="AT144" s="57">
        <f>IF(ISERROR(IF(B144=C144,I144/C144,(INT(I144/B144)+(((I144-B144*INT(I144/B144)))/C144)/100))),0,(IF(B144=C144,I144/C144,(INT(I144/B144)+(((I144-B144*INT(I144/B144)))/C144)/100))))</f>
        <v>0</v>
      </c>
      <c r="AU144" s="57">
        <f>IF(ISERROR(IF(B144=C144,J144/C144,(INT(J144/B144)+(((J144-B144*INT(J144/B144)))/C144)/100))),0,(IF(B144=C144,J144/C144,(INT(J144/B144)+(((J144-B144*INT(J144/B144)))/C144)/100))))</f>
        <v>0</v>
      </c>
      <c r="AV144" s="57">
        <f>IF(ISERROR(IF(B144=C144,K144/C144,IF((INT(K144/B144)+(((K144-B144*INT(K144/B144)))/C144)/100)&lt;0,(INT(K144/B144)+(((K144-B144*INT(K144/B144)))/C144)/100)+(1-(B144/C144/100)),(INT(K144/B144)+(((K144-B144*INT(K144/B144)))/C144)/100)))),0,IF(B144=C144,K144/C144,IF((INT(K144/B144)+(((K144-B144*INT(K144/B144)))/C144)/100)&lt;0,(INT(K144/B144)+(((K144-B144*INT(K144/B144)))/C144)/100)+(1-(B144/C144/100)),(INT(K144/B144)+(((K144-B144*INT(K144/B144)))/C144)/100))))</f>
        <v>0</v>
      </c>
      <c r="AW144" s="57">
        <f>IF(ISERROR(IF(B144=C144,L144/C144,(INT(L144/B144)+(((L144-B144*INT(L144/B144)))/C144)/100))),0,(IF(B144=C144,L144/C144,(INT(L144/B144)+(((L144-B144*INT(L144/B144)))/C144)/100))))</f>
        <v>0</v>
      </c>
      <c r="AX144" s="57">
        <f>IF(ISERROR(IF(B144=C144,M144/C144,(INT(M144/B144)+(((M144-B144*INT(M144/B144)))/C144)/100))),0,(IF(B144=C144,M144/C144,(INT(M144/B144)+(((M144-B144*INT(M144/B144)))/C144)/100))))</f>
        <v>0</v>
      </c>
      <c r="AY144" s="57">
        <f>IF(ISERROR(IF(B144=C144,N144/C144,IF((INT(N144/B144)+(((N144-B144*INT(N144/B144)))/C144)/100)&lt;0,(INT(N144/B144)+(((N144-B144*INT(N144/B144)))/C144)/100)+(1-(B144/C144/100)),(INT(N144/B144)+(((N144-B144*INT(N144/B144)))/C144)/100)))),0,IF(B144=C144,N144/C144,IF((INT(N144/B144)+(((N144-B144*INT(N144/B144)))/C144)/100)&lt;0,(INT(N144/B144)+(((N144-B144*INT(N144/B144)))/C144)/100)+(1-(B144/C144/100)),(INT(N144/B144)+(((N144-B144*INT(N144/B144)))/C144)/100))))</f>
        <v>0</v>
      </c>
      <c r="AZ144" s="57">
        <f>IF(ISERROR(IF(B144=C144,O144/C144,(INT(O144/B144)+(((O144-B144*INT(O144/B144)))/C144)/100))),0,(IF(B144=C144,O144/C144,(INT(O144/B144)+(((O144-B144*INT(O144/B144)))/C144)/100))))</f>
        <v>0</v>
      </c>
      <c r="BA144" s="57">
        <f>IF(ISERROR(IF(B144=C144,P144/C144,IF((INT(P144/B144)+(((P144-B144*INT(P144/B144)))/C144)/100)&lt;0,(INT(P144/B144)+(((P144-B144*INT(P144/B144)))/C144)/100)+(1-(B144/C144/100)),(INT(P144/B144)+(((P144-B144*INT(P144/B144)))/C144)/100)))),0,IF(B144=C144,P144/C144,IF((INT(P144/B144)+(((P144-B144*INT(P144/B144)))/C144)/100)&lt;0,(INT(P144/B144)+(((P144-B144*INT(P144/B144)))/C144)/100)+(1-(B144/C144/100)),(INT(P144/B144)+(((P144-B144*INT(P144/B144)))/C144)/100))))</f>
        <v>0</v>
      </c>
      <c r="BB144" s="28">
        <f>R144</f>
        <v>0</v>
      </c>
      <c r="BC144" s="28">
        <f>S144</f>
        <v>0</v>
      </c>
      <c r="BD144" s="28">
        <f>AF144</f>
        <v>0</v>
      </c>
      <c r="BE144" s="28">
        <f>T144</f>
        <v>0</v>
      </c>
      <c r="BG144" s="57">
        <f>IF(ISERROR(IF(B144=C144,V144/C144,(INT(V144/B144)+(((V144-B144*INT(V144/B144)))/C144)/100))),0,(IF(B144=C144,V144/C144,(INT(V144/B144)+(((V144-B144*INT(V144/B144)))/C144)/100))))</f>
        <v>0</v>
      </c>
      <c r="BH144" s="57">
        <f>IF(ISERROR(IF(B144=C144,W144/C144,(INT(W144/B144)+(((W144-B144*INT(W144/B144)))/C144)/100))),0,(IF(B144=C144,W144/C144,(INT(W144/B144)+(((W144-B144*INT(W144/B144)))/C144)/100))))</f>
        <v>0</v>
      </c>
      <c r="BI144" s="57">
        <f>IF(ISERROR(IF(B144=C144,X144/C144,(INT(X144/B144)+(((X144-B144*INT(X144/B144)))/C144)/100))),0,(IF(B144=C144,X144/C144,(INT(X144/B144)+(((X144-B144*INT(X144/B144)))/C144)/100))))</f>
        <v>0</v>
      </c>
      <c r="BJ144" s="57">
        <f>IF(ISERROR(IF(B144=C144,Y144/C144,(INT(Y144/B144)+(((Y144-B144*INT(Y144/B144)))/C144)/100))),0,(IF(B144=C144,Y144/C144,(INT(Y144/B144)+(((Y144-B144*INT(Y144/B144)))/C144)/100))))</f>
        <v>0</v>
      </c>
      <c r="BL144" s="57">
        <f>IF(ISERROR(IF(B144=C144,AA144/C144,(INT(AA144/B144)+(((AA144-B144*INT(AA144/B144)))/C144)/100))),0,(IF(B144=C144,AA144/C144,(INT(AA144/B144)+(((AA144-B144*INT(AA144/B144)))/C144)/100))))</f>
        <v>0</v>
      </c>
      <c r="BM144" s="57">
        <f>IF(ISERROR(IF(B144=C144,AB144/C144,(INT(AB144/B144)+(((AB144-B144*INT(AB144/B144)))/C144)/100))),0,(IF(B144=C144,AB144/C144,(INT(AB144/B144)+(((AB144-B144*INT(AB144/B144)))/C144)/100))))</f>
        <v>0</v>
      </c>
      <c r="BN144" s="57">
        <f>IF(ISERROR(IF(B144=C144,AC144/C144,(INT(AC144/B144)+(((AC144-B144*INT(AC144/B144)))/C144)/100))),0,(IF(B144=C144,AC144/C144,(INT(AC144/B144)+(((AC144-B144*INT(AC144/B144)))/C144)/100))))</f>
        <v>0</v>
      </c>
      <c r="BO144" s="57">
        <f>IF(ISERROR(IF(B144=C144,AD144/C144,(INT(AD144/B144)+(((AD144-B144*INT(AD144/B144)))/C144)/100))),0,(IF(B144=C144,AD144/C144,(INT(AD144/B144)+(((AD144-B144*INT(AD144/B144)))/C144)/100))))</f>
        <v>0</v>
      </c>
      <c r="BQ144" s="155"/>
    </row>
    <row r="145" spans="1:69" hidden="1" x14ac:dyDescent="0.35">
      <c r="A145" s="94"/>
      <c r="B145" s="113">
        <v>750</v>
      </c>
      <c r="C145" s="113">
        <v>30</v>
      </c>
      <c r="D145" s="28">
        <f>SUM(AA145:AD145)</f>
        <v>0</v>
      </c>
      <c r="E145" s="113">
        <v>0</v>
      </c>
      <c r="F145" s="113">
        <v>0</v>
      </c>
      <c r="G145" s="28">
        <f>SUM(D145:F145)</f>
        <v>0</v>
      </c>
      <c r="H145" s="125">
        <v>0</v>
      </c>
      <c r="I145" s="113">
        <v>0</v>
      </c>
      <c r="J145" s="125">
        <v>0</v>
      </c>
      <c r="K145" s="113">
        <v>0</v>
      </c>
      <c r="L145" s="113">
        <v>0</v>
      </c>
      <c r="M145" s="113">
        <v>0</v>
      </c>
      <c r="N145" s="28">
        <f>G145-SUM(H145:M145)</f>
        <v>0</v>
      </c>
      <c r="O145" s="28">
        <f>SUM(V145:Y145)</f>
        <v>0</v>
      </c>
      <c r="P145" s="28">
        <f>O145-N145</f>
        <v>0</v>
      </c>
      <c r="Q145" s="61" t="str">
        <f>IF(ISERROR(P145/SUM(H145:L145)),"",P145/SUM(H145:L145))</f>
        <v/>
      </c>
      <c r="R145" s="113">
        <v>0</v>
      </c>
      <c r="S145" s="28">
        <f>IF(ISERROR(P145/C145*R145),0,(P145/C145*R145))</f>
        <v>0</v>
      </c>
      <c r="T145" s="60">
        <f>IF(ISERROR(P145/B145*AF145),0,(P145/B145*AF145))</f>
        <v>0</v>
      </c>
      <c r="V145" s="113">
        <v>0</v>
      </c>
      <c r="W145" s="113">
        <v>0</v>
      </c>
      <c r="X145" s="113">
        <v>0</v>
      </c>
      <c r="Y145" s="113">
        <v>0</v>
      </c>
      <c r="AA145" s="113">
        <v>0</v>
      </c>
      <c r="AB145" s="113">
        <v>0</v>
      </c>
      <c r="AC145" s="113">
        <v>0</v>
      </c>
      <c r="AD145" s="113">
        <v>0</v>
      </c>
      <c r="AF145" s="113">
        <v>0</v>
      </c>
      <c r="AG145" s="28">
        <f>G145-O145</f>
        <v>0</v>
      </c>
      <c r="AH145" s="58">
        <f>IF(ISERROR(AG145/B145*AF145),0,(AG145/B145*AF145))</f>
        <v>0</v>
      </c>
      <c r="AI145" s="28">
        <f>SUM(H145:M145)</f>
        <v>0</v>
      </c>
      <c r="AJ145" s="28">
        <f>IF(ISERROR(AI145/B145*AF145),0,(AI145/B145*AF145))</f>
        <v>0</v>
      </c>
      <c r="AK145" s="58">
        <f>IF(ISERROR(O145/B145*AF145),0,(O145/B145*AF145))</f>
        <v>0</v>
      </c>
      <c r="AL145" s="28">
        <f>IF(ISERROR(H145/B145*AF145),0,(H145/B145*AF145))</f>
        <v>0</v>
      </c>
      <c r="AN145" s="51">
        <f>A145</f>
        <v>0</v>
      </c>
      <c r="AO145" s="57">
        <f>IF(ISERROR(IF(B145=C145,D145/C145,(INT(D145/B145)+(((D145-B145*INT(D145/B145)))/C145)/100))),0,(IF(B145=C145,D145/C145,(INT(D145/B145)+(((D145-B145*INT(D145/B145)))/C145)/100))))</f>
        <v>0</v>
      </c>
      <c r="AP145" s="57">
        <f>IF(ISERROR(IF(B145=C145,E145/C145,(INT(E145/B145)+(((E145-B145*INT(E145/B145)))/C145)/100))),0,(IF(B145=C145,E145/C145,(INT(E145/B145)+(((E145-B145*INT(E145/B145)))/C145)/100))))</f>
        <v>0</v>
      </c>
      <c r="AQ145" s="57">
        <f>IF(ISERROR(IF(B145=C145,F145/C145,IF((INT(F145/B145)+(((F145-B145*INT(F145/B145)))/C145)/100)&lt;0,(INT(F145/B145)+(((F145-B145*INT(F145/B145)))/C145)/100)+(1-(B145/C145/100)),(INT(F145/B145)+(((F145-B145*INT(F145/B145)))/C145)/100)))),0,IF(B145=C145,F145/C145,IF((INT(F145/B145)+(((F145-B145*INT(F145/B145)))/C145)/100)&lt;0,(INT(F145/B145)+(((F145-B145*INT(F145/B145)))/C145)/100)+(1-(B145/C145/100)),(INT(F145/B145)+(((F145-B145*INT(F145/B145)))/C145)/100))))</f>
        <v>0</v>
      </c>
      <c r="AR145" s="57">
        <f>IF(ISERROR(IF(B145=C145,G145/C145,(INT(G145/B145)+(((G145-B145*INT(G145/B145)))/C145)/100))),0,(IF(B145=C145,G145/C145,(INT(G145/B145)+(((G145-B145*INT(G145/B145)))/C145)/100))))</f>
        <v>0</v>
      </c>
      <c r="AS145" s="57">
        <f>IF(ISERROR(IF(B145=C145,H145/C145,(INT(H145/B145)+(((H145-B145*INT(H145/B145)))/C145)/100))),0,(IF(B145=C145,H145/C145,(INT(H145/B145)+(((H145-B145*INT(H145/B145)))/C145)/100))))</f>
        <v>0</v>
      </c>
      <c r="AT145" s="57">
        <f>IF(ISERROR(IF(B145=C145,I145/C145,(INT(I145/B145)+(((I145-B145*INT(I145/B145)))/C145)/100))),0,(IF(B145=C145,I145/C145,(INT(I145/B145)+(((I145-B145*INT(I145/B145)))/C145)/100))))</f>
        <v>0</v>
      </c>
      <c r="AU145" s="57">
        <f>IF(ISERROR(IF(B145=C145,J145/C145,(INT(J145/B145)+(((J145-B145*INT(J145/B145)))/C145)/100))),0,(IF(B145=C145,J145/C145,(INT(J145/B145)+(((J145-B145*INT(J145/B145)))/C145)/100))))</f>
        <v>0</v>
      </c>
      <c r="AV145" s="57">
        <f>IF(ISERROR(IF(B145=C145,K145/C145,IF((INT(K145/B145)+(((K145-B145*INT(K145/B145)))/C145)/100)&lt;0,(INT(K145/B145)+(((K145-B145*INT(K145/B145)))/C145)/100)+(1-(B145/C145/100)),(INT(K145/B145)+(((K145-B145*INT(K145/B145)))/C145)/100)))),0,IF(B145=C145,K145/C145,IF((INT(K145/B145)+(((K145-B145*INT(K145/B145)))/C145)/100)&lt;0,(INT(K145/B145)+(((K145-B145*INT(K145/B145)))/C145)/100)+(1-(B145/C145/100)),(INT(K145/B145)+(((K145-B145*INT(K145/B145)))/C145)/100))))</f>
        <v>0</v>
      </c>
      <c r="AW145" s="57">
        <f>IF(ISERROR(IF(B145=C145,L145/C145,(INT(L145/B145)+(((L145-B145*INT(L145/B145)))/C145)/100))),0,(IF(B145=C145,L145/C145,(INT(L145/B145)+(((L145-B145*INT(L145/B145)))/C145)/100))))</f>
        <v>0</v>
      </c>
      <c r="AX145" s="57">
        <f>IF(ISERROR(IF(B145=C145,M145/C145,(INT(M145/B145)+(((M145-B145*INT(M145/B145)))/C145)/100))),0,(IF(B145=C145,M145/C145,(INT(M145/B145)+(((M145-B145*INT(M145/B145)))/C145)/100))))</f>
        <v>0</v>
      </c>
      <c r="AY145" s="57">
        <f>IF(ISERROR(IF(B145=C145,N145/C145,IF((INT(N145/B145)+(((N145-B145*INT(N145/B145)))/C145)/100)&lt;0,(INT(N145/B145)+(((N145-B145*INT(N145/B145)))/C145)/100)+(1-(B145/C145/100)),(INT(N145/B145)+(((N145-B145*INT(N145/B145)))/C145)/100)))),0,IF(B145=C145,N145/C145,IF((INT(N145/B145)+(((N145-B145*INT(N145/B145)))/C145)/100)&lt;0,(INT(N145/B145)+(((N145-B145*INT(N145/B145)))/C145)/100)+(1-(B145/C145/100)),(INT(N145/B145)+(((N145-B145*INT(N145/B145)))/C145)/100))))</f>
        <v>0</v>
      </c>
      <c r="AZ145" s="57">
        <f>IF(ISERROR(IF(B145=C145,O145/C145,(INT(O145/B145)+(((O145-B145*INT(O145/B145)))/C145)/100))),0,(IF(B145=C145,O145/C145,(INT(O145/B145)+(((O145-B145*INT(O145/B145)))/C145)/100))))</f>
        <v>0</v>
      </c>
      <c r="BA145" s="57">
        <f>IF(ISERROR(IF(B145=C145,P145/C145,IF((INT(P145/B145)+(((P145-B145*INT(P145/B145)))/C145)/100)&lt;0,(INT(P145/B145)+(((P145-B145*INT(P145/B145)))/C145)/100)+(1-(B145/C145/100)),(INT(P145/B145)+(((P145-B145*INT(P145/B145)))/C145)/100)))),0,IF(B145=C145,P145/C145,IF((INT(P145/B145)+(((P145-B145*INT(P145/B145)))/C145)/100)&lt;0,(INT(P145/B145)+(((P145-B145*INT(P145/B145)))/C145)/100)+(1-(B145/C145/100)),(INT(P145/B145)+(((P145-B145*INT(P145/B145)))/C145)/100))))</f>
        <v>0</v>
      </c>
      <c r="BB145" s="28">
        <f>R145</f>
        <v>0</v>
      </c>
      <c r="BC145" s="28">
        <f>S145</f>
        <v>0</v>
      </c>
      <c r="BD145" s="28">
        <f>AF145</f>
        <v>0</v>
      </c>
      <c r="BE145" s="28">
        <f>T145</f>
        <v>0</v>
      </c>
      <c r="BG145" s="57">
        <f>IF(ISERROR(IF(B145=C145,V145/C145,(INT(V145/B145)+(((V145-B145*INT(V145/B145)))/C145)/100))),0,(IF(B145=C145,V145/C145,(INT(V145/B145)+(((V145-B145*INT(V145/B145)))/C145)/100))))</f>
        <v>0</v>
      </c>
      <c r="BH145" s="57">
        <f>IF(ISERROR(IF(B145=C145,W145/C145,(INT(W145/B145)+(((W145-B145*INT(W145/B145)))/C145)/100))),0,(IF(B145=C145,W145/C145,(INT(W145/B145)+(((W145-B145*INT(W145/B145)))/C145)/100))))</f>
        <v>0</v>
      </c>
      <c r="BI145" s="57">
        <f>IF(ISERROR(IF(B145=C145,X145/C145,(INT(X145/B145)+(((X145-B145*INT(X145/B145)))/C145)/100))),0,(IF(B145=C145,X145/C145,(INT(X145/B145)+(((X145-B145*INT(X145/B145)))/C145)/100))))</f>
        <v>0</v>
      </c>
      <c r="BJ145" s="57">
        <f>IF(ISERROR(IF(B145=C145,Y145/C145,(INT(Y145/B145)+(((Y145-B145*INT(Y145/B145)))/C145)/100))),0,(IF(B145=C145,Y145/C145,(INT(Y145/B145)+(((Y145-B145*INT(Y145/B145)))/C145)/100))))</f>
        <v>0</v>
      </c>
      <c r="BL145" s="57">
        <f>IF(ISERROR(IF(B145=C145,AA145/C145,(INT(AA145/B145)+(((AA145-B145*INT(AA145/B145)))/C145)/100))),0,(IF(B145=C145,AA145/C145,(INT(AA145/B145)+(((AA145-B145*INT(AA145/B145)))/C145)/100))))</f>
        <v>0</v>
      </c>
      <c r="BM145" s="57">
        <f>IF(ISERROR(IF(B145=C145,AB145/C145,(INT(AB145/B145)+(((AB145-B145*INT(AB145/B145)))/C145)/100))),0,(IF(B145=C145,AB145/C145,(INT(AB145/B145)+(((AB145-B145*INT(AB145/B145)))/C145)/100))))</f>
        <v>0</v>
      </c>
      <c r="BN145" s="57">
        <f>IF(ISERROR(IF(B145=C145,AC145/C145,(INT(AC145/B145)+(((AC145-B145*INT(AC145/B145)))/C145)/100))),0,(IF(B145=C145,AC145/C145,(INT(AC145/B145)+(((AC145-B145*INT(AC145/B145)))/C145)/100))))</f>
        <v>0</v>
      </c>
      <c r="BO145" s="57">
        <f>IF(ISERROR(IF(B145=C145,AD145/C145,(INT(AD145/B145)+(((AD145-B145*INT(AD145/B145)))/C145)/100))),0,(IF(B145=C145,AD145/C145,(INT(AD145/B145)+(((AD145-B145*INT(AD145/B145)))/C145)/100))))</f>
        <v>0</v>
      </c>
      <c r="BQ145" s="155"/>
    </row>
    <row r="146" spans="1:69" hidden="1" x14ac:dyDescent="0.35">
      <c r="A146" s="134"/>
      <c r="B146" s="113">
        <v>750</v>
      </c>
      <c r="C146" s="113">
        <v>30</v>
      </c>
      <c r="D146" s="28">
        <f>SUM(AA146:AD146)</f>
        <v>0</v>
      </c>
      <c r="E146" s="113">
        <v>0</v>
      </c>
      <c r="F146" s="113">
        <v>0</v>
      </c>
      <c r="G146" s="28">
        <f>SUM(D146:F146)</f>
        <v>0</v>
      </c>
      <c r="H146" s="125">
        <v>0</v>
      </c>
      <c r="I146" s="113">
        <v>0</v>
      </c>
      <c r="J146" s="125">
        <v>0</v>
      </c>
      <c r="K146" s="113">
        <v>0</v>
      </c>
      <c r="L146" s="113">
        <v>0</v>
      </c>
      <c r="M146" s="113">
        <v>0</v>
      </c>
      <c r="N146" s="28">
        <f>G146-SUM(H146:M146)</f>
        <v>0</v>
      </c>
      <c r="O146" s="28">
        <f>SUM(V146:Y146)</f>
        <v>0</v>
      </c>
      <c r="P146" s="28">
        <f>O146-N146</f>
        <v>0</v>
      </c>
      <c r="Q146" s="61" t="str">
        <f>IF(ISERROR(P146/SUM(H146:L146)),"",P146/SUM(H146:L146))</f>
        <v/>
      </c>
      <c r="R146" s="113">
        <v>0</v>
      </c>
      <c r="S146" s="28">
        <f>IF(ISERROR(P146/C146*R146),0,(P146/C146*R146))</f>
        <v>0</v>
      </c>
      <c r="T146" s="60">
        <f>IF(ISERROR(P146/B146*AF146),0,(P146/B146*AF146))</f>
        <v>0</v>
      </c>
      <c r="V146" s="113">
        <v>0</v>
      </c>
      <c r="W146" s="113">
        <v>0</v>
      </c>
      <c r="X146" s="113">
        <v>0</v>
      </c>
      <c r="Y146" s="113">
        <v>0</v>
      </c>
      <c r="AA146" s="113">
        <v>0</v>
      </c>
      <c r="AB146" s="113">
        <v>0</v>
      </c>
      <c r="AC146" s="113">
        <v>0</v>
      </c>
      <c r="AD146" s="113">
        <v>0</v>
      </c>
      <c r="AF146" s="113">
        <v>0</v>
      </c>
      <c r="AG146" s="28">
        <f>G146-O146</f>
        <v>0</v>
      </c>
      <c r="AH146" s="58">
        <f>IF(ISERROR(AG146/B146*AF146),0,(AG146/B146*AF146))</f>
        <v>0</v>
      </c>
      <c r="AI146" s="28">
        <f>SUM(H146:M146)</f>
        <v>0</v>
      </c>
      <c r="AJ146" s="28">
        <f>IF(ISERROR(AI146/B146*AF146),0,(AI146/B146*AF146))</f>
        <v>0</v>
      </c>
      <c r="AK146" s="58">
        <f>IF(ISERROR(O146/B146*AF146),0,(O146/B146*AF146))</f>
        <v>0</v>
      </c>
      <c r="AL146" s="28">
        <f>IF(ISERROR(H146/B146*AF146),0,(H146/B146*AF146))</f>
        <v>0</v>
      </c>
      <c r="AN146" s="51">
        <f>A146</f>
        <v>0</v>
      </c>
      <c r="AO146" s="57">
        <f>IF(ISERROR(IF(B146=C146,D146/C146,(INT(D146/B146)+(((D146-B146*INT(D146/B146)))/C146)/100))),0,(IF(B146=C146,D146/C146,(INT(D146/B146)+(((D146-B146*INT(D146/B146)))/C146)/100))))</f>
        <v>0</v>
      </c>
      <c r="AP146" s="57">
        <f>IF(ISERROR(IF(B146=C146,E146/C146,(INT(E146/B146)+(((E146-B146*INT(E146/B146)))/C146)/100))),0,(IF(B146=C146,E146/C146,(INT(E146/B146)+(((E146-B146*INT(E146/B146)))/C146)/100))))</f>
        <v>0</v>
      </c>
      <c r="AQ146" s="57">
        <f>IF(ISERROR(IF(B146=C146,F146/C146,IF((INT(F146/B146)+(((F146-B146*INT(F146/B146)))/C146)/100)&lt;0,(INT(F146/B146)+(((F146-B146*INT(F146/B146)))/C146)/100)+(1-(B146/C146/100)),(INT(F146/B146)+(((F146-B146*INT(F146/B146)))/C146)/100)))),0,IF(B146=C146,F146/C146,IF((INT(F146/B146)+(((F146-B146*INT(F146/B146)))/C146)/100)&lt;0,(INT(F146/B146)+(((F146-B146*INT(F146/B146)))/C146)/100)+(1-(B146/C146/100)),(INT(F146/B146)+(((F146-B146*INT(F146/B146)))/C146)/100))))</f>
        <v>0</v>
      </c>
      <c r="AR146" s="57">
        <f>IF(ISERROR(IF(B146=C146,G146/C146,(INT(G146/B146)+(((G146-B146*INT(G146/B146)))/C146)/100))),0,(IF(B146=C146,G146/C146,(INT(G146/B146)+(((G146-B146*INT(G146/B146)))/C146)/100))))</f>
        <v>0</v>
      </c>
      <c r="AS146" s="57">
        <f>IF(ISERROR(IF(B146=C146,H146/C146,(INT(H146/B146)+(((H146-B146*INT(H146/B146)))/C146)/100))),0,(IF(B146=C146,H146/C146,(INT(H146/B146)+(((H146-B146*INT(H146/B146)))/C146)/100))))</f>
        <v>0</v>
      </c>
      <c r="AT146" s="57">
        <f>IF(ISERROR(IF(B146=C146,I146/C146,(INT(I146/B146)+(((I146-B146*INT(I146/B146)))/C146)/100))),0,(IF(B146=C146,I146/C146,(INT(I146/B146)+(((I146-B146*INT(I146/B146)))/C146)/100))))</f>
        <v>0</v>
      </c>
      <c r="AU146" s="57">
        <f>IF(ISERROR(IF(B146=C146,J146/C146,(INT(J146/B146)+(((J146-B146*INT(J146/B146)))/C146)/100))),0,(IF(B146=C146,J146/C146,(INT(J146/B146)+(((J146-B146*INT(J146/B146)))/C146)/100))))</f>
        <v>0</v>
      </c>
      <c r="AV146" s="57">
        <f>IF(ISERROR(IF(B146=C146,K146/C146,IF((INT(K146/B146)+(((K146-B146*INT(K146/B146)))/C146)/100)&lt;0,(INT(K146/B146)+(((K146-B146*INT(K146/B146)))/C146)/100)+(1-(B146/C146/100)),(INT(K146/B146)+(((K146-B146*INT(K146/B146)))/C146)/100)))),0,IF(B146=C146,K146/C146,IF((INT(K146/B146)+(((K146-B146*INT(K146/B146)))/C146)/100)&lt;0,(INT(K146/B146)+(((K146-B146*INT(K146/B146)))/C146)/100)+(1-(B146/C146/100)),(INT(K146/B146)+(((K146-B146*INT(K146/B146)))/C146)/100))))</f>
        <v>0</v>
      </c>
      <c r="AW146" s="57">
        <f>IF(ISERROR(IF(B146=C146,L146/C146,(INT(L146/B146)+(((L146-B146*INT(L146/B146)))/C146)/100))),0,(IF(B146=C146,L146/C146,(INT(L146/B146)+(((L146-B146*INT(L146/B146)))/C146)/100))))</f>
        <v>0</v>
      </c>
      <c r="AX146" s="57">
        <f>IF(ISERROR(IF(B146=C146,M146/C146,(INT(M146/B146)+(((M146-B146*INT(M146/B146)))/C146)/100))),0,(IF(B146=C146,M146/C146,(INT(M146/B146)+(((M146-B146*INT(M146/B146)))/C146)/100))))</f>
        <v>0</v>
      </c>
      <c r="AY146" s="57">
        <f>IF(ISERROR(IF(B146=C146,N146/C146,IF((INT(N146/B146)+(((N146-B146*INT(N146/B146)))/C146)/100)&lt;0,(INT(N146/B146)+(((N146-B146*INT(N146/B146)))/C146)/100)+(1-(B146/C146/100)),(INT(N146/B146)+(((N146-B146*INT(N146/B146)))/C146)/100)))),0,IF(B146=C146,N146/C146,IF((INT(N146/B146)+(((N146-B146*INT(N146/B146)))/C146)/100)&lt;0,(INT(N146/B146)+(((N146-B146*INT(N146/B146)))/C146)/100)+(1-(B146/C146/100)),(INT(N146/B146)+(((N146-B146*INT(N146/B146)))/C146)/100))))</f>
        <v>0</v>
      </c>
      <c r="AZ146" s="57">
        <f>IF(ISERROR(IF(B146=C146,O146/C146,(INT(O146/B146)+(((O146-B146*INT(O146/B146)))/C146)/100))),0,(IF(B146=C146,O146/C146,(INT(O146/B146)+(((O146-B146*INT(O146/B146)))/C146)/100))))</f>
        <v>0</v>
      </c>
      <c r="BA146" s="57">
        <f>IF(ISERROR(IF(B146=C146,P146/C146,IF((INT(P146/B146)+(((P146-B146*INT(P146/B146)))/C146)/100)&lt;0,(INT(P146/B146)+(((P146-B146*INT(P146/B146)))/C146)/100)+(1-(B146/C146/100)),(INT(P146/B146)+(((P146-B146*INT(P146/B146)))/C146)/100)))),0,IF(B146=C146,P146/C146,IF((INT(P146/B146)+(((P146-B146*INT(P146/B146)))/C146)/100)&lt;0,(INT(P146/B146)+(((P146-B146*INT(P146/B146)))/C146)/100)+(1-(B146/C146/100)),(INT(P146/B146)+(((P146-B146*INT(P146/B146)))/C146)/100))))</f>
        <v>0</v>
      </c>
      <c r="BB146" s="28">
        <f>R146</f>
        <v>0</v>
      </c>
      <c r="BC146" s="28">
        <f>S146</f>
        <v>0</v>
      </c>
      <c r="BD146" s="28">
        <f>AF146</f>
        <v>0</v>
      </c>
      <c r="BE146" s="28">
        <f>T146</f>
        <v>0</v>
      </c>
      <c r="BG146" s="57">
        <f>IF(ISERROR(IF(B146=C146,V146/C146,(INT(V146/B146)+(((V146-B146*INT(V146/B146)))/C146)/100))),0,(IF(B146=C146,V146/C146,(INT(V146/B146)+(((V146-B146*INT(V146/B146)))/C146)/100))))</f>
        <v>0</v>
      </c>
      <c r="BH146" s="57">
        <f>IF(ISERROR(IF(B146=C146,W146/C146,(INT(W146/B146)+(((W146-B146*INT(W146/B146)))/C146)/100))),0,(IF(B146=C146,W146/C146,(INT(W146/B146)+(((W146-B146*INT(W146/B146)))/C146)/100))))</f>
        <v>0</v>
      </c>
      <c r="BI146" s="57">
        <f>IF(ISERROR(IF(B146=C146,X146/C146,(INT(X146/B146)+(((X146-B146*INT(X146/B146)))/C146)/100))),0,(IF(B146=C146,X146/C146,(INT(X146/B146)+(((X146-B146*INT(X146/B146)))/C146)/100))))</f>
        <v>0</v>
      </c>
      <c r="BJ146" s="57">
        <f>IF(ISERROR(IF(B146=C146,Y146/C146,(INT(Y146/B146)+(((Y146-B146*INT(Y146/B146)))/C146)/100))),0,(IF(B146=C146,Y146/C146,(INT(Y146/B146)+(((Y146-B146*INT(Y146/B146)))/C146)/100))))</f>
        <v>0</v>
      </c>
      <c r="BL146" s="57">
        <f>IF(ISERROR(IF(B146=C146,AA146/C146,(INT(AA146/B146)+(((AA146-B146*INT(AA146/B146)))/C146)/100))),0,(IF(B146=C146,AA146/C146,(INT(AA146/B146)+(((AA146-B146*INT(AA146/B146)))/C146)/100))))</f>
        <v>0</v>
      </c>
      <c r="BM146" s="57">
        <f>IF(ISERROR(IF(B146=C146,AB146/C146,(INT(AB146/B146)+(((AB146-B146*INT(AB146/B146)))/C146)/100))),0,(IF(B146=C146,AB146/C146,(INT(AB146/B146)+(((AB146-B146*INT(AB146/B146)))/C146)/100))))</f>
        <v>0</v>
      </c>
      <c r="BN146" s="57">
        <f>IF(ISERROR(IF(B146=C146,AC146/C146,(INT(AC146/B146)+(((AC146-B146*INT(AC146/B146)))/C146)/100))),0,(IF(B146=C146,AC146/C146,(INT(AC146/B146)+(((AC146-B146*INT(AC146/B146)))/C146)/100))))</f>
        <v>0</v>
      </c>
      <c r="BO146" s="57">
        <f>IF(ISERROR(IF(B146=C146,AD146/C146,(INT(AD146/B146)+(((AD146-B146*INT(AD146/B146)))/C146)/100))),0,(IF(B146=C146,AD146/C146,(INT(AD146/B146)+(((AD146-B146*INT(AD146/B146)))/C146)/100))))</f>
        <v>0</v>
      </c>
      <c r="BQ146" s="155"/>
    </row>
    <row r="147" spans="1:69" hidden="1" x14ac:dyDescent="0.35">
      <c r="A147" s="134"/>
      <c r="B147" s="113">
        <v>750</v>
      </c>
      <c r="C147" s="113">
        <v>30</v>
      </c>
      <c r="D147" s="28">
        <f>SUM(AA147:AD147)</f>
        <v>0</v>
      </c>
      <c r="E147" s="113">
        <v>0</v>
      </c>
      <c r="F147" s="113">
        <v>0</v>
      </c>
      <c r="G147" s="28">
        <f>SUM(D147:F147)</f>
        <v>0</v>
      </c>
      <c r="H147" s="125">
        <v>0</v>
      </c>
      <c r="I147" s="113">
        <v>0</v>
      </c>
      <c r="J147" s="125">
        <v>0</v>
      </c>
      <c r="K147" s="113">
        <v>0</v>
      </c>
      <c r="L147" s="113">
        <v>0</v>
      </c>
      <c r="M147" s="113">
        <v>0</v>
      </c>
      <c r="N147" s="28">
        <f>G147-SUM(H147:M147)</f>
        <v>0</v>
      </c>
      <c r="O147" s="28">
        <f>SUM(V147:Y147)</f>
        <v>0</v>
      </c>
      <c r="P147" s="28">
        <f>O147-N147</f>
        <v>0</v>
      </c>
      <c r="Q147" s="61" t="str">
        <f>IF(ISERROR(P147/SUM(H147:L147)),"",P147/SUM(H147:L147))</f>
        <v/>
      </c>
      <c r="R147" s="113">
        <v>0</v>
      </c>
      <c r="S147" s="28">
        <f>IF(ISERROR(P147/C147*R147),0,(P147/C147*R147))</f>
        <v>0</v>
      </c>
      <c r="T147" s="60">
        <f>IF(ISERROR(P147/B147*AF147),0,(P147/B147*AF147))</f>
        <v>0</v>
      </c>
      <c r="V147" s="113">
        <v>0</v>
      </c>
      <c r="W147" s="113">
        <v>0</v>
      </c>
      <c r="X147" s="113">
        <v>0</v>
      </c>
      <c r="Y147" s="113">
        <v>0</v>
      </c>
      <c r="AA147" s="113">
        <v>0</v>
      </c>
      <c r="AB147" s="113">
        <v>0</v>
      </c>
      <c r="AC147" s="113">
        <v>0</v>
      </c>
      <c r="AD147" s="113">
        <v>0</v>
      </c>
      <c r="AF147" s="113">
        <v>0</v>
      </c>
      <c r="AG147" s="28">
        <f>G147-O147</f>
        <v>0</v>
      </c>
      <c r="AH147" s="58">
        <f>IF(ISERROR(AG147/B147*AF147),0,(AG147/B147*AF147))</f>
        <v>0</v>
      </c>
      <c r="AI147" s="28">
        <f>SUM(H147:M147)</f>
        <v>0</v>
      </c>
      <c r="AJ147" s="28">
        <f>IF(ISERROR(AI147/B147*AF147),0,(AI147/B147*AF147))</f>
        <v>0</v>
      </c>
      <c r="AK147" s="58">
        <f>IF(ISERROR(O147/B147*AF147),0,(O147/B147*AF147))</f>
        <v>0</v>
      </c>
      <c r="AL147" s="28">
        <f>IF(ISERROR(H147/B147*AF147),0,(H147/B147*AF147))</f>
        <v>0</v>
      </c>
      <c r="AN147" s="51">
        <f>A147</f>
        <v>0</v>
      </c>
      <c r="AO147" s="57">
        <f>IF(ISERROR(IF(B147=C147,D147/C147,(INT(D147/B147)+(((D147-B147*INT(D147/B147)))/C147)/100))),0,(IF(B147=C147,D147/C147,(INT(D147/B147)+(((D147-B147*INT(D147/B147)))/C147)/100))))</f>
        <v>0</v>
      </c>
      <c r="AP147" s="57">
        <f>IF(ISERROR(IF(B147=C147,E147/C147,(INT(E147/B147)+(((E147-B147*INT(E147/B147)))/C147)/100))),0,(IF(B147=C147,E147/C147,(INT(E147/B147)+(((E147-B147*INT(E147/B147)))/C147)/100))))</f>
        <v>0</v>
      </c>
      <c r="AQ147" s="57">
        <f>IF(ISERROR(IF(B147=C147,F147/C147,IF((INT(F147/B147)+(((F147-B147*INT(F147/B147)))/C147)/100)&lt;0,(INT(F147/B147)+(((F147-B147*INT(F147/B147)))/C147)/100)+(1-(B147/C147/100)),(INT(F147/B147)+(((F147-B147*INT(F147/B147)))/C147)/100)))),0,IF(B147=C147,F147/C147,IF((INT(F147/B147)+(((F147-B147*INT(F147/B147)))/C147)/100)&lt;0,(INT(F147/B147)+(((F147-B147*INT(F147/B147)))/C147)/100)+(1-(B147/C147/100)),(INT(F147/B147)+(((F147-B147*INT(F147/B147)))/C147)/100))))</f>
        <v>0</v>
      </c>
      <c r="AR147" s="57">
        <f>IF(ISERROR(IF(B147=C147,G147/C147,(INT(G147/B147)+(((G147-B147*INT(G147/B147)))/C147)/100))),0,(IF(B147=C147,G147/C147,(INT(G147/B147)+(((G147-B147*INT(G147/B147)))/C147)/100))))</f>
        <v>0</v>
      </c>
      <c r="AS147" s="57">
        <f>IF(ISERROR(IF(B147=C147,H147/C147,(INT(H147/B147)+(((H147-B147*INT(H147/B147)))/C147)/100))),0,(IF(B147=C147,H147/C147,(INT(H147/B147)+(((H147-B147*INT(H147/B147)))/C147)/100))))</f>
        <v>0</v>
      </c>
      <c r="AT147" s="57">
        <f>IF(ISERROR(IF(B147=C147,I147/C147,(INT(I147/B147)+(((I147-B147*INT(I147/B147)))/C147)/100))),0,(IF(B147=C147,I147/C147,(INT(I147/B147)+(((I147-B147*INT(I147/B147)))/C147)/100))))</f>
        <v>0</v>
      </c>
      <c r="AU147" s="57">
        <f>IF(ISERROR(IF(B147=C147,J147/C147,(INT(J147/B147)+(((J147-B147*INT(J147/B147)))/C147)/100))),0,(IF(B147=C147,J147/C147,(INT(J147/B147)+(((J147-B147*INT(J147/B147)))/C147)/100))))</f>
        <v>0</v>
      </c>
      <c r="AV147" s="57">
        <f>IF(ISERROR(IF(B147=C147,K147/C147,IF((INT(K147/B147)+(((K147-B147*INT(K147/B147)))/C147)/100)&lt;0,(INT(K147/B147)+(((K147-B147*INT(K147/B147)))/C147)/100)+(1-(B147/C147/100)),(INT(K147/B147)+(((K147-B147*INT(K147/B147)))/C147)/100)))),0,IF(B147=C147,K147/C147,IF((INT(K147/B147)+(((K147-B147*INT(K147/B147)))/C147)/100)&lt;0,(INT(K147/B147)+(((K147-B147*INT(K147/B147)))/C147)/100)+(1-(B147/C147/100)),(INT(K147/B147)+(((K147-B147*INT(K147/B147)))/C147)/100))))</f>
        <v>0</v>
      </c>
      <c r="AW147" s="57">
        <f>IF(ISERROR(IF(B147=C147,L147/C147,(INT(L147/B147)+(((L147-B147*INT(L147/B147)))/C147)/100))),0,(IF(B147=C147,L147/C147,(INT(L147/B147)+(((L147-B147*INT(L147/B147)))/C147)/100))))</f>
        <v>0</v>
      </c>
      <c r="AX147" s="57">
        <f>IF(ISERROR(IF(B147=C147,M147/C147,(INT(M147/B147)+(((M147-B147*INT(M147/B147)))/C147)/100))),0,(IF(B147=C147,M147/C147,(INT(M147/B147)+(((M147-B147*INT(M147/B147)))/C147)/100))))</f>
        <v>0</v>
      </c>
      <c r="AY147" s="57">
        <f>IF(ISERROR(IF(B147=C147,N147/C147,IF((INT(N147/B147)+(((N147-B147*INT(N147/B147)))/C147)/100)&lt;0,(INT(N147/B147)+(((N147-B147*INT(N147/B147)))/C147)/100)+(1-(B147/C147/100)),(INT(N147/B147)+(((N147-B147*INT(N147/B147)))/C147)/100)))),0,IF(B147=C147,N147/C147,IF((INT(N147/B147)+(((N147-B147*INT(N147/B147)))/C147)/100)&lt;0,(INT(N147/B147)+(((N147-B147*INT(N147/B147)))/C147)/100)+(1-(B147/C147/100)),(INT(N147/B147)+(((N147-B147*INT(N147/B147)))/C147)/100))))</f>
        <v>0</v>
      </c>
      <c r="AZ147" s="57">
        <f>IF(ISERROR(IF(B147=C147,O147/C147,(INT(O147/B147)+(((O147-B147*INT(O147/B147)))/C147)/100))),0,(IF(B147=C147,O147/C147,(INT(O147/B147)+(((O147-B147*INT(O147/B147)))/C147)/100))))</f>
        <v>0</v>
      </c>
      <c r="BA147" s="57">
        <f>IF(ISERROR(IF(B147=C147,P147/C147,IF((INT(P147/B147)+(((P147-B147*INT(P147/B147)))/C147)/100)&lt;0,(INT(P147/B147)+(((P147-B147*INT(P147/B147)))/C147)/100)+(1-(B147/C147/100)),(INT(P147/B147)+(((P147-B147*INT(P147/B147)))/C147)/100)))),0,IF(B147=C147,P147/C147,IF((INT(P147/B147)+(((P147-B147*INT(P147/B147)))/C147)/100)&lt;0,(INT(P147/B147)+(((P147-B147*INT(P147/B147)))/C147)/100)+(1-(B147/C147/100)),(INT(P147/B147)+(((P147-B147*INT(P147/B147)))/C147)/100))))</f>
        <v>0</v>
      </c>
      <c r="BB147" s="28">
        <f>R147</f>
        <v>0</v>
      </c>
      <c r="BC147" s="28">
        <f>S147</f>
        <v>0</v>
      </c>
      <c r="BD147" s="28">
        <f>AF147</f>
        <v>0</v>
      </c>
      <c r="BE147" s="28">
        <f>T147</f>
        <v>0</v>
      </c>
      <c r="BG147" s="57">
        <f>IF(ISERROR(IF(B147=C147,V147/C147,(INT(V147/B147)+(((V147-B147*INT(V147/B147)))/C147)/100))),0,(IF(B147=C147,V147/C147,(INT(V147/B147)+(((V147-B147*INT(V147/B147)))/C147)/100))))</f>
        <v>0</v>
      </c>
      <c r="BH147" s="57">
        <f>IF(ISERROR(IF(B147=C147,W147/C147,(INT(W147/B147)+(((W147-B147*INT(W147/B147)))/C147)/100))),0,(IF(B147=C147,W147/C147,(INT(W147/B147)+(((W147-B147*INT(W147/B147)))/C147)/100))))</f>
        <v>0</v>
      </c>
      <c r="BI147" s="57">
        <f>IF(ISERROR(IF(B147=C147,X147/C147,(INT(X147/B147)+(((X147-B147*INT(X147/B147)))/C147)/100))),0,(IF(B147=C147,X147/C147,(INT(X147/B147)+(((X147-B147*INT(X147/B147)))/C147)/100))))</f>
        <v>0</v>
      </c>
      <c r="BJ147" s="57">
        <f>IF(ISERROR(IF(B147=C147,Y147/C147,(INT(Y147/B147)+(((Y147-B147*INT(Y147/B147)))/C147)/100))),0,(IF(B147=C147,Y147/C147,(INT(Y147/B147)+(((Y147-B147*INT(Y147/B147)))/C147)/100))))</f>
        <v>0</v>
      </c>
      <c r="BL147" s="57">
        <f>IF(ISERROR(IF(B147=C147,AA147/C147,(INT(AA147/B147)+(((AA147-B147*INT(AA147/B147)))/C147)/100))),0,(IF(B147=C147,AA147/C147,(INT(AA147/B147)+(((AA147-B147*INT(AA147/B147)))/C147)/100))))</f>
        <v>0</v>
      </c>
      <c r="BM147" s="57">
        <f>IF(ISERROR(IF(B147=C147,AB147/C147,(INT(AB147/B147)+(((AB147-B147*INT(AB147/B147)))/C147)/100))),0,(IF(B147=C147,AB147/C147,(INT(AB147/B147)+(((AB147-B147*INT(AB147/B147)))/C147)/100))))</f>
        <v>0</v>
      </c>
      <c r="BN147" s="57">
        <f>IF(ISERROR(IF(B147=C147,AC147/C147,(INT(AC147/B147)+(((AC147-B147*INT(AC147/B147)))/C147)/100))),0,(IF(B147=C147,AC147/C147,(INT(AC147/B147)+(((AC147-B147*INT(AC147/B147)))/C147)/100))))</f>
        <v>0</v>
      </c>
      <c r="BO147" s="57">
        <f>IF(ISERROR(IF(B147=C147,AD147/C147,(INT(AD147/B147)+(((AD147-B147*INT(AD147/B147)))/C147)/100))),0,(IF(B147=C147,AD147/C147,(INT(AD147/B147)+(((AD147-B147*INT(AD147/B147)))/C147)/100))))</f>
        <v>0</v>
      </c>
      <c r="BQ147" s="155"/>
    </row>
    <row r="148" spans="1:69" hidden="1" x14ac:dyDescent="0.35">
      <c r="A148" s="134"/>
      <c r="B148" s="113">
        <v>750</v>
      </c>
      <c r="C148" s="113">
        <v>30</v>
      </c>
      <c r="D148" s="28">
        <f>SUM(AA148:AD148)</f>
        <v>0</v>
      </c>
      <c r="E148" s="113">
        <v>0</v>
      </c>
      <c r="F148" s="113">
        <v>0</v>
      </c>
      <c r="G148" s="28">
        <f>SUM(D148:F148)</f>
        <v>0</v>
      </c>
      <c r="H148" s="125">
        <v>0</v>
      </c>
      <c r="I148" s="113">
        <v>0</v>
      </c>
      <c r="J148" s="125">
        <v>0</v>
      </c>
      <c r="K148" s="113">
        <v>0</v>
      </c>
      <c r="L148" s="113">
        <v>0</v>
      </c>
      <c r="M148" s="113">
        <v>0</v>
      </c>
      <c r="N148" s="28">
        <f>G148-SUM(H148:M148)</f>
        <v>0</v>
      </c>
      <c r="O148" s="28">
        <f>SUM(V148:Y148)</f>
        <v>0</v>
      </c>
      <c r="P148" s="28">
        <f>O148-N148</f>
        <v>0</v>
      </c>
      <c r="Q148" s="61" t="str">
        <f>IF(ISERROR(P148/SUM(H148:L148)),"",P148/SUM(H148:L148))</f>
        <v/>
      </c>
      <c r="R148" s="113">
        <v>0</v>
      </c>
      <c r="S148" s="28">
        <f>IF(ISERROR(P148/C148*R148),0,(P148/C148*R148))</f>
        <v>0</v>
      </c>
      <c r="T148" s="60">
        <f>IF(ISERROR(P148/B148*AF148),0,(P148/B148*AF148))</f>
        <v>0</v>
      </c>
      <c r="V148" s="113">
        <v>0</v>
      </c>
      <c r="W148" s="113">
        <v>0</v>
      </c>
      <c r="X148" s="113">
        <v>0</v>
      </c>
      <c r="Y148" s="113">
        <v>0</v>
      </c>
      <c r="AA148" s="113">
        <v>0</v>
      </c>
      <c r="AB148" s="113">
        <v>0</v>
      </c>
      <c r="AC148" s="113">
        <v>0</v>
      </c>
      <c r="AD148" s="113">
        <v>0</v>
      </c>
      <c r="AF148" s="113">
        <v>0</v>
      </c>
      <c r="AG148" s="28">
        <f>G148-O148</f>
        <v>0</v>
      </c>
      <c r="AH148" s="58">
        <f>IF(ISERROR(AG148/B148*AF148),0,(AG148/B148*AF148))</f>
        <v>0</v>
      </c>
      <c r="AI148" s="28">
        <f>SUM(H148:M148)</f>
        <v>0</v>
      </c>
      <c r="AJ148" s="28">
        <f>IF(ISERROR(AI148/B148*AF148),0,(AI148/B148*AF148))</f>
        <v>0</v>
      </c>
      <c r="AK148" s="58">
        <f>IF(ISERROR(O148/B148*AF148),0,(O148/B148*AF148))</f>
        <v>0</v>
      </c>
      <c r="AL148" s="28">
        <f>IF(ISERROR(H148/B148*AF148),0,(H148/B148*AF148))</f>
        <v>0</v>
      </c>
      <c r="AN148" s="51">
        <f>A148</f>
        <v>0</v>
      </c>
      <c r="AO148" s="57">
        <f>IF(ISERROR(IF(B148=C148,D148/C148,(INT(D148/B148)+(((D148-B148*INT(D148/B148)))/C148)/100))),0,(IF(B148=C148,D148/C148,(INT(D148/B148)+(((D148-B148*INT(D148/B148)))/C148)/100))))</f>
        <v>0</v>
      </c>
      <c r="AP148" s="57">
        <f>IF(ISERROR(IF(B148=C148,E148/C148,(INT(E148/B148)+(((E148-B148*INT(E148/B148)))/C148)/100))),0,(IF(B148=C148,E148/C148,(INT(E148/B148)+(((E148-B148*INT(E148/B148)))/C148)/100))))</f>
        <v>0</v>
      </c>
      <c r="AQ148" s="57">
        <f>IF(ISERROR(IF(B148=C148,F148/C148,IF((INT(F148/B148)+(((F148-B148*INT(F148/B148)))/C148)/100)&lt;0,(INT(F148/B148)+(((F148-B148*INT(F148/B148)))/C148)/100)+(1-(B148/C148/100)),(INT(F148/B148)+(((F148-B148*INT(F148/B148)))/C148)/100)))),0,IF(B148=C148,F148/C148,IF((INT(F148/B148)+(((F148-B148*INT(F148/B148)))/C148)/100)&lt;0,(INT(F148/B148)+(((F148-B148*INT(F148/B148)))/C148)/100)+(1-(B148/C148/100)),(INT(F148/B148)+(((F148-B148*INT(F148/B148)))/C148)/100))))</f>
        <v>0</v>
      </c>
      <c r="AR148" s="57">
        <f>IF(ISERROR(IF(B148=C148,G148/C148,(INT(G148/B148)+(((G148-B148*INT(G148/B148)))/C148)/100))),0,(IF(B148=C148,G148/C148,(INT(G148/B148)+(((G148-B148*INT(G148/B148)))/C148)/100))))</f>
        <v>0</v>
      </c>
      <c r="AS148" s="57">
        <f>IF(ISERROR(IF(B148=C148,H148/C148,(INT(H148/B148)+(((H148-B148*INT(H148/B148)))/C148)/100))),0,(IF(B148=C148,H148/C148,(INT(H148/B148)+(((H148-B148*INT(H148/B148)))/C148)/100))))</f>
        <v>0</v>
      </c>
      <c r="AT148" s="57">
        <f>IF(ISERROR(IF(B148=C148,I148/C148,(INT(I148/B148)+(((I148-B148*INT(I148/B148)))/C148)/100))),0,(IF(B148=C148,I148/C148,(INT(I148/B148)+(((I148-B148*INT(I148/B148)))/C148)/100))))</f>
        <v>0</v>
      </c>
      <c r="AU148" s="57">
        <f>IF(ISERROR(IF(B148=C148,J148/C148,(INT(J148/B148)+(((J148-B148*INT(J148/B148)))/C148)/100))),0,(IF(B148=C148,J148/C148,(INT(J148/B148)+(((J148-B148*INT(J148/B148)))/C148)/100))))</f>
        <v>0</v>
      </c>
      <c r="AV148" s="57">
        <f>IF(ISERROR(IF(B148=C148,K148/C148,IF((INT(K148/B148)+(((K148-B148*INT(K148/B148)))/C148)/100)&lt;0,(INT(K148/B148)+(((K148-B148*INT(K148/B148)))/C148)/100)+(1-(B148/C148/100)),(INT(K148/B148)+(((K148-B148*INT(K148/B148)))/C148)/100)))),0,IF(B148=C148,K148/C148,IF((INT(K148/B148)+(((K148-B148*INT(K148/B148)))/C148)/100)&lt;0,(INT(K148/B148)+(((K148-B148*INT(K148/B148)))/C148)/100)+(1-(B148/C148/100)),(INT(K148/B148)+(((K148-B148*INT(K148/B148)))/C148)/100))))</f>
        <v>0</v>
      </c>
      <c r="AW148" s="57">
        <f>IF(ISERROR(IF(B148=C148,L148/C148,(INT(L148/B148)+(((L148-B148*INT(L148/B148)))/C148)/100))),0,(IF(B148=C148,L148/C148,(INT(L148/B148)+(((L148-B148*INT(L148/B148)))/C148)/100))))</f>
        <v>0</v>
      </c>
      <c r="AX148" s="57">
        <f>IF(ISERROR(IF(B148=C148,M148/C148,(INT(M148/B148)+(((M148-B148*INT(M148/B148)))/C148)/100))),0,(IF(B148=C148,M148/C148,(INT(M148/B148)+(((M148-B148*INT(M148/B148)))/C148)/100))))</f>
        <v>0</v>
      </c>
      <c r="AY148" s="57">
        <f>IF(ISERROR(IF(B148=C148,N148/C148,IF((INT(N148/B148)+(((N148-B148*INT(N148/B148)))/C148)/100)&lt;0,(INT(N148/B148)+(((N148-B148*INT(N148/B148)))/C148)/100)+(1-(B148/C148/100)),(INT(N148/B148)+(((N148-B148*INT(N148/B148)))/C148)/100)))),0,IF(B148=C148,N148/C148,IF((INT(N148/B148)+(((N148-B148*INT(N148/B148)))/C148)/100)&lt;0,(INT(N148/B148)+(((N148-B148*INT(N148/B148)))/C148)/100)+(1-(B148/C148/100)),(INT(N148/B148)+(((N148-B148*INT(N148/B148)))/C148)/100))))</f>
        <v>0</v>
      </c>
      <c r="AZ148" s="57">
        <f>IF(ISERROR(IF(B148=C148,O148/C148,(INT(O148/B148)+(((O148-B148*INT(O148/B148)))/C148)/100))),0,(IF(B148=C148,O148/C148,(INT(O148/B148)+(((O148-B148*INT(O148/B148)))/C148)/100))))</f>
        <v>0</v>
      </c>
      <c r="BA148" s="57">
        <f>IF(ISERROR(IF(B148=C148,P148/C148,IF((INT(P148/B148)+(((P148-B148*INT(P148/B148)))/C148)/100)&lt;0,(INT(P148/B148)+(((P148-B148*INT(P148/B148)))/C148)/100)+(1-(B148/C148/100)),(INT(P148/B148)+(((P148-B148*INT(P148/B148)))/C148)/100)))),0,IF(B148=C148,P148/C148,IF((INT(P148/B148)+(((P148-B148*INT(P148/B148)))/C148)/100)&lt;0,(INT(P148/B148)+(((P148-B148*INT(P148/B148)))/C148)/100)+(1-(B148/C148/100)),(INT(P148/B148)+(((P148-B148*INT(P148/B148)))/C148)/100))))</f>
        <v>0</v>
      </c>
      <c r="BB148" s="28">
        <f>R148</f>
        <v>0</v>
      </c>
      <c r="BC148" s="28">
        <f>S148</f>
        <v>0</v>
      </c>
      <c r="BD148" s="28">
        <f>AF148</f>
        <v>0</v>
      </c>
      <c r="BE148" s="28">
        <f>T148</f>
        <v>0</v>
      </c>
      <c r="BG148" s="57">
        <f>IF(ISERROR(IF(B148=C148,V148/C148,(INT(V148/B148)+(((V148-B148*INT(V148/B148)))/C148)/100))),0,(IF(B148=C148,V148/C148,(INT(V148/B148)+(((V148-B148*INT(V148/B148)))/C148)/100))))</f>
        <v>0</v>
      </c>
      <c r="BH148" s="57">
        <f>IF(ISERROR(IF(B148=C148,W148/C148,(INT(W148/B148)+(((W148-B148*INT(W148/B148)))/C148)/100))),0,(IF(B148=C148,W148/C148,(INT(W148/B148)+(((W148-B148*INT(W148/B148)))/C148)/100))))</f>
        <v>0</v>
      </c>
      <c r="BI148" s="57">
        <f>IF(ISERROR(IF(B148=C148,X148/C148,(INT(X148/B148)+(((X148-B148*INT(X148/B148)))/C148)/100))),0,(IF(B148=C148,X148/C148,(INT(X148/B148)+(((X148-B148*INT(X148/B148)))/C148)/100))))</f>
        <v>0</v>
      </c>
      <c r="BJ148" s="57">
        <f>IF(ISERROR(IF(B148=C148,Y148/C148,(INT(Y148/B148)+(((Y148-B148*INT(Y148/B148)))/C148)/100))),0,(IF(B148=C148,Y148/C148,(INT(Y148/B148)+(((Y148-B148*INT(Y148/B148)))/C148)/100))))</f>
        <v>0</v>
      </c>
      <c r="BL148" s="57">
        <f>IF(ISERROR(IF(B148=C148,AA148/C148,(INT(AA148/B148)+(((AA148-B148*INT(AA148/B148)))/C148)/100))),0,(IF(B148=C148,AA148/C148,(INT(AA148/B148)+(((AA148-B148*INT(AA148/B148)))/C148)/100))))</f>
        <v>0</v>
      </c>
      <c r="BM148" s="57">
        <f>IF(ISERROR(IF(B148=C148,AB148/C148,(INT(AB148/B148)+(((AB148-B148*INT(AB148/B148)))/C148)/100))),0,(IF(B148=C148,AB148/C148,(INT(AB148/B148)+(((AB148-B148*INT(AB148/B148)))/C148)/100))))</f>
        <v>0</v>
      </c>
      <c r="BN148" s="57">
        <f>IF(ISERROR(IF(B148=C148,AC148/C148,(INT(AC148/B148)+(((AC148-B148*INT(AC148/B148)))/C148)/100))),0,(IF(B148=C148,AC148/C148,(INT(AC148/B148)+(((AC148-B148*INT(AC148/B148)))/C148)/100))))</f>
        <v>0</v>
      </c>
      <c r="BO148" s="57">
        <f>IF(ISERROR(IF(B148=C148,AD148/C148,(INT(AD148/B148)+(((AD148-B148*INT(AD148/B148)))/C148)/100))),0,(IF(B148=C148,AD148/C148,(INT(AD148/B148)+(((AD148-B148*INT(AD148/B148)))/C148)/100))))</f>
        <v>0</v>
      </c>
      <c r="BQ148" s="155"/>
    </row>
    <row r="149" spans="1:69" hidden="1" x14ac:dyDescent="0.35">
      <c r="A149" s="94"/>
      <c r="B149" s="113">
        <v>750</v>
      </c>
      <c r="C149" s="113">
        <v>30</v>
      </c>
      <c r="D149" s="28">
        <f>SUM(AA149:AD149)</f>
        <v>0</v>
      </c>
      <c r="E149" s="113">
        <v>0</v>
      </c>
      <c r="F149" s="113">
        <v>0</v>
      </c>
      <c r="G149" s="28">
        <f>SUM(D149:F149)</f>
        <v>0</v>
      </c>
      <c r="H149" s="125">
        <v>0</v>
      </c>
      <c r="I149" s="113">
        <v>0</v>
      </c>
      <c r="J149" s="125">
        <v>0</v>
      </c>
      <c r="K149" s="113">
        <v>0</v>
      </c>
      <c r="L149" s="113">
        <v>0</v>
      </c>
      <c r="M149" s="113">
        <v>0</v>
      </c>
      <c r="N149" s="28">
        <f>G149-SUM(H149:M149)</f>
        <v>0</v>
      </c>
      <c r="O149" s="28">
        <f>SUM(V149:Y149)</f>
        <v>0</v>
      </c>
      <c r="P149" s="28">
        <f>O149-N149</f>
        <v>0</v>
      </c>
      <c r="Q149" s="61" t="str">
        <f>IF(ISERROR(P149/SUM(H149:L149)),"",P149/SUM(H149:L149))</f>
        <v/>
      </c>
      <c r="R149" s="113">
        <v>0</v>
      </c>
      <c r="S149" s="28">
        <f>IF(ISERROR(P149/C149*R149),0,(P149/C149*R149))</f>
        <v>0</v>
      </c>
      <c r="T149" s="60">
        <f>IF(ISERROR(P149/B149*AF149),0,(P149/B149*AF149))</f>
        <v>0</v>
      </c>
      <c r="V149" s="113">
        <v>0</v>
      </c>
      <c r="W149" s="113">
        <v>0</v>
      </c>
      <c r="X149" s="113">
        <v>0</v>
      </c>
      <c r="Y149" s="113">
        <v>0</v>
      </c>
      <c r="AA149" s="113">
        <v>0</v>
      </c>
      <c r="AB149" s="113">
        <v>0</v>
      </c>
      <c r="AC149" s="113">
        <v>0</v>
      </c>
      <c r="AD149" s="113">
        <v>0</v>
      </c>
      <c r="AF149" s="113">
        <v>0</v>
      </c>
      <c r="AG149" s="28">
        <f>G149-O149</f>
        <v>0</v>
      </c>
      <c r="AH149" s="58">
        <f>IF(ISERROR(AG149/B149*AF149),0,(AG149/B149*AF149))</f>
        <v>0</v>
      </c>
      <c r="AI149" s="28">
        <f>SUM(H149:M149)</f>
        <v>0</v>
      </c>
      <c r="AJ149" s="28">
        <f>IF(ISERROR(AI149/B149*AF149),0,(AI149/B149*AF149))</f>
        <v>0</v>
      </c>
      <c r="AK149" s="58">
        <f>IF(ISERROR(O149/B149*AF149),0,(O149/B149*AF149))</f>
        <v>0</v>
      </c>
      <c r="AL149" s="28">
        <f>IF(ISERROR(H149/B149*AF149),0,(H149/B149*AF149))</f>
        <v>0</v>
      </c>
      <c r="AN149" s="51">
        <f>A149</f>
        <v>0</v>
      </c>
      <c r="AO149" s="57">
        <f>IF(ISERROR(IF(B149=C149,D149/C149,(INT(D149/B149)+(((D149-B149*INT(D149/B149)))/C149)/100))),0,(IF(B149=C149,D149/C149,(INT(D149/B149)+(((D149-B149*INT(D149/B149)))/C149)/100))))</f>
        <v>0</v>
      </c>
      <c r="AP149" s="57">
        <f>IF(ISERROR(IF(B149=C149,E149/C149,(INT(E149/B149)+(((E149-B149*INT(E149/B149)))/C149)/100))),0,(IF(B149=C149,E149/C149,(INT(E149/B149)+(((E149-B149*INT(E149/B149)))/C149)/100))))</f>
        <v>0</v>
      </c>
      <c r="AQ149" s="57">
        <f>IF(ISERROR(IF(B149=C149,F149/C149,IF((INT(F149/B149)+(((F149-B149*INT(F149/B149)))/C149)/100)&lt;0,(INT(F149/B149)+(((F149-B149*INT(F149/B149)))/C149)/100)+(1-(B149/C149/100)),(INT(F149/B149)+(((F149-B149*INT(F149/B149)))/C149)/100)))),0,IF(B149=C149,F149/C149,IF((INT(F149/B149)+(((F149-B149*INT(F149/B149)))/C149)/100)&lt;0,(INT(F149/B149)+(((F149-B149*INT(F149/B149)))/C149)/100)+(1-(B149/C149/100)),(INT(F149/B149)+(((F149-B149*INT(F149/B149)))/C149)/100))))</f>
        <v>0</v>
      </c>
      <c r="AR149" s="57">
        <f>IF(ISERROR(IF(B149=C149,G149/C149,(INT(G149/B149)+(((G149-B149*INT(G149/B149)))/C149)/100))),0,(IF(B149=C149,G149/C149,(INT(G149/B149)+(((G149-B149*INT(G149/B149)))/C149)/100))))</f>
        <v>0</v>
      </c>
      <c r="AS149" s="57">
        <f>IF(ISERROR(IF(B149=C149,H149/C149,(INT(H149/B149)+(((H149-B149*INT(H149/B149)))/C149)/100))),0,(IF(B149=C149,H149/C149,(INT(H149/B149)+(((H149-B149*INT(H149/B149)))/C149)/100))))</f>
        <v>0</v>
      </c>
      <c r="AT149" s="57">
        <f>IF(ISERROR(IF(B149=C149,I149/C149,(INT(I149/B149)+(((I149-B149*INT(I149/B149)))/C149)/100))),0,(IF(B149=C149,I149/C149,(INT(I149/B149)+(((I149-B149*INT(I149/B149)))/C149)/100))))</f>
        <v>0</v>
      </c>
      <c r="AU149" s="57">
        <f>IF(ISERROR(IF(B149=C149,J149/C149,(INT(J149/B149)+(((J149-B149*INT(J149/B149)))/C149)/100))),0,(IF(B149=C149,J149/C149,(INT(J149/B149)+(((J149-B149*INT(J149/B149)))/C149)/100))))</f>
        <v>0</v>
      </c>
      <c r="AV149" s="57">
        <f>IF(ISERROR(IF(B149=C149,K149/C149,IF((INT(K149/B149)+(((K149-B149*INT(K149/B149)))/C149)/100)&lt;0,(INT(K149/B149)+(((K149-B149*INT(K149/B149)))/C149)/100)+(1-(B149/C149/100)),(INT(K149/B149)+(((K149-B149*INT(K149/B149)))/C149)/100)))),0,IF(B149=C149,K149/C149,IF((INT(K149/B149)+(((K149-B149*INT(K149/B149)))/C149)/100)&lt;0,(INT(K149/B149)+(((K149-B149*INT(K149/B149)))/C149)/100)+(1-(B149/C149/100)),(INT(K149/B149)+(((K149-B149*INT(K149/B149)))/C149)/100))))</f>
        <v>0</v>
      </c>
      <c r="AW149" s="57">
        <f>IF(ISERROR(IF(B149=C149,L149/C149,(INT(L149/B149)+(((L149-B149*INT(L149/B149)))/C149)/100))),0,(IF(B149=C149,L149/C149,(INT(L149/B149)+(((L149-B149*INT(L149/B149)))/C149)/100))))</f>
        <v>0</v>
      </c>
      <c r="AX149" s="57">
        <f>IF(ISERROR(IF(B149=C149,M149/C149,(INT(M149/B149)+(((M149-B149*INT(M149/B149)))/C149)/100))),0,(IF(B149=C149,M149/C149,(INT(M149/B149)+(((M149-B149*INT(M149/B149)))/C149)/100))))</f>
        <v>0</v>
      </c>
      <c r="AY149" s="57">
        <f>IF(ISERROR(IF(B149=C149,N149/C149,IF((INT(N149/B149)+(((N149-B149*INT(N149/B149)))/C149)/100)&lt;0,(INT(N149/B149)+(((N149-B149*INT(N149/B149)))/C149)/100)+(1-(B149/C149/100)),(INT(N149/B149)+(((N149-B149*INT(N149/B149)))/C149)/100)))),0,IF(B149=C149,N149/C149,IF((INT(N149/B149)+(((N149-B149*INT(N149/B149)))/C149)/100)&lt;0,(INT(N149/B149)+(((N149-B149*INT(N149/B149)))/C149)/100)+(1-(B149/C149/100)),(INT(N149/B149)+(((N149-B149*INT(N149/B149)))/C149)/100))))</f>
        <v>0</v>
      </c>
      <c r="AZ149" s="57">
        <f>IF(ISERROR(IF(B149=C149,O149/C149,(INT(O149/B149)+(((O149-B149*INT(O149/B149)))/C149)/100))),0,(IF(B149=C149,O149/C149,(INT(O149/B149)+(((O149-B149*INT(O149/B149)))/C149)/100))))</f>
        <v>0</v>
      </c>
      <c r="BA149" s="57">
        <f>IF(ISERROR(IF(B149=C149,P149/C149,IF((INT(P149/B149)+(((P149-B149*INT(P149/B149)))/C149)/100)&lt;0,(INT(P149/B149)+(((P149-B149*INT(P149/B149)))/C149)/100)+(1-(B149/C149/100)),(INT(P149/B149)+(((P149-B149*INT(P149/B149)))/C149)/100)))),0,IF(B149=C149,P149/C149,IF((INT(P149/B149)+(((P149-B149*INT(P149/B149)))/C149)/100)&lt;0,(INT(P149/B149)+(((P149-B149*INT(P149/B149)))/C149)/100)+(1-(B149/C149/100)),(INT(P149/B149)+(((P149-B149*INT(P149/B149)))/C149)/100))))</f>
        <v>0</v>
      </c>
      <c r="BB149" s="28">
        <f>R149</f>
        <v>0</v>
      </c>
      <c r="BC149" s="28">
        <f>S149</f>
        <v>0</v>
      </c>
      <c r="BD149" s="28">
        <f>AF149</f>
        <v>0</v>
      </c>
      <c r="BE149" s="28">
        <f>T149</f>
        <v>0</v>
      </c>
      <c r="BG149" s="57">
        <f>IF(ISERROR(IF(B149=C149,V149/C149,(INT(V149/B149)+(((V149-B149*INT(V149/B149)))/C149)/100))),0,(IF(B149=C149,V149/C149,(INT(V149/B149)+(((V149-B149*INT(V149/B149)))/C149)/100))))</f>
        <v>0</v>
      </c>
      <c r="BH149" s="57">
        <f>IF(ISERROR(IF(B149=C149,W149/C149,(INT(W149/B149)+(((W149-B149*INT(W149/B149)))/C149)/100))),0,(IF(B149=C149,W149/C149,(INT(W149/B149)+(((W149-B149*INT(W149/B149)))/C149)/100))))</f>
        <v>0</v>
      </c>
      <c r="BI149" s="57">
        <f>IF(ISERROR(IF(B149=C149,X149/C149,(INT(X149/B149)+(((X149-B149*INT(X149/B149)))/C149)/100))),0,(IF(B149=C149,X149/C149,(INT(X149/B149)+(((X149-B149*INT(X149/B149)))/C149)/100))))</f>
        <v>0</v>
      </c>
      <c r="BJ149" s="57">
        <f>IF(ISERROR(IF(B149=C149,Y149/C149,(INT(Y149/B149)+(((Y149-B149*INT(Y149/B149)))/C149)/100))),0,(IF(B149=C149,Y149/C149,(INT(Y149/B149)+(((Y149-B149*INT(Y149/B149)))/C149)/100))))</f>
        <v>0</v>
      </c>
      <c r="BL149" s="57">
        <f>IF(ISERROR(IF(B149=C149,AA149/C149,(INT(AA149/B149)+(((AA149-B149*INT(AA149/B149)))/C149)/100))),0,(IF(B149=C149,AA149/C149,(INT(AA149/B149)+(((AA149-B149*INT(AA149/B149)))/C149)/100))))</f>
        <v>0</v>
      </c>
      <c r="BM149" s="57">
        <f>IF(ISERROR(IF(B149=C149,AB149/C149,(INT(AB149/B149)+(((AB149-B149*INT(AB149/B149)))/C149)/100))),0,(IF(B149=C149,AB149/C149,(INT(AB149/B149)+(((AB149-B149*INT(AB149/B149)))/C149)/100))))</f>
        <v>0</v>
      </c>
      <c r="BN149" s="57">
        <f>IF(ISERROR(IF(B149=C149,AC149/C149,(INT(AC149/B149)+(((AC149-B149*INT(AC149/B149)))/C149)/100))),0,(IF(B149=C149,AC149/C149,(INT(AC149/B149)+(((AC149-B149*INT(AC149/B149)))/C149)/100))))</f>
        <v>0</v>
      </c>
      <c r="BO149" s="57">
        <f>IF(ISERROR(IF(B149=C149,AD149/C149,(INT(AD149/B149)+(((AD149-B149*INT(AD149/B149)))/C149)/100))),0,(IF(B149=C149,AD149/C149,(INT(AD149/B149)+(((AD149-B149*INT(AD149/B149)))/C149)/100))))</f>
        <v>0</v>
      </c>
      <c r="BQ149" s="155"/>
    </row>
    <row r="150" spans="1:69" hidden="1" x14ac:dyDescent="0.35">
      <c r="A150" s="134"/>
      <c r="B150" s="113">
        <v>750</v>
      </c>
      <c r="C150" s="113">
        <v>30</v>
      </c>
      <c r="D150" s="28">
        <f>SUM(AA150:AD150)</f>
        <v>0</v>
      </c>
      <c r="E150" s="113">
        <v>0</v>
      </c>
      <c r="F150" s="113">
        <v>0</v>
      </c>
      <c r="G150" s="28">
        <f>SUM(D150:F150)</f>
        <v>0</v>
      </c>
      <c r="H150" s="125">
        <v>0</v>
      </c>
      <c r="I150" s="113">
        <v>0</v>
      </c>
      <c r="J150" s="125">
        <v>0</v>
      </c>
      <c r="K150" s="113">
        <v>0</v>
      </c>
      <c r="L150" s="113">
        <v>0</v>
      </c>
      <c r="M150" s="113">
        <v>0</v>
      </c>
      <c r="N150" s="28">
        <f>G150-SUM(H150:M150)</f>
        <v>0</v>
      </c>
      <c r="O150" s="28">
        <f>SUM(V150:Y150)</f>
        <v>0</v>
      </c>
      <c r="P150" s="28">
        <f>O150-N150</f>
        <v>0</v>
      </c>
      <c r="Q150" s="61" t="str">
        <f>IF(ISERROR(P150/SUM(H150:L150)),"",P150/SUM(H150:L150))</f>
        <v/>
      </c>
      <c r="R150" s="113">
        <v>0</v>
      </c>
      <c r="S150" s="28">
        <f>IF(ISERROR(P150/C150*R150),0,(P150/C150*R150))</f>
        <v>0</v>
      </c>
      <c r="T150" s="60">
        <f>IF(ISERROR(P150/B150*AF150),0,(P150/B150*AF150))</f>
        <v>0</v>
      </c>
      <c r="V150" s="113">
        <v>0</v>
      </c>
      <c r="W150" s="113">
        <v>0</v>
      </c>
      <c r="X150" s="113">
        <v>0</v>
      </c>
      <c r="Y150" s="113">
        <v>0</v>
      </c>
      <c r="AA150" s="113">
        <v>0</v>
      </c>
      <c r="AB150" s="113">
        <v>0</v>
      </c>
      <c r="AC150" s="113">
        <v>0</v>
      </c>
      <c r="AD150" s="113">
        <v>0</v>
      </c>
      <c r="AF150" s="113">
        <v>0</v>
      </c>
      <c r="AG150" s="28">
        <f>G150-O150</f>
        <v>0</v>
      </c>
      <c r="AH150" s="58">
        <f>IF(ISERROR(AG150/B150*AF150),0,(AG150/B150*AF150))</f>
        <v>0</v>
      </c>
      <c r="AI150" s="28">
        <f>SUM(H150:M150)</f>
        <v>0</v>
      </c>
      <c r="AJ150" s="28">
        <f>IF(ISERROR(AI150/B150*AF150),0,(AI150/B150*AF150))</f>
        <v>0</v>
      </c>
      <c r="AK150" s="58">
        <f>IF(ISERROR(O150/B150*AF150),0,(O150/B150*AF150))</f>
        <v>0</v>
      </c>
      <c r="AL150" s="28">
        <f>IF(ISERROR(H150/B150*AF150),0,(H150/B150*AF150))</f>
        <v>0</v>
      </c>
      <c r="AN150" s="51">
        <f>A150</f>
        <v>0</v>
      </c>
      <c r="AO150" s="57">
        <f>IF(ISERROR(IF(B150=C150,D150/C150,(INT(D150/B150)+(((D150-B150*INT(D150/B150)))/C150)/100))),0,(IF(B150=C150,D150/C150,(INT(D150/B150)+(((D150-B150*INT(D150/B150)))/C150)/100))))</f>
        <v>0</v>
      </c>
      <c r="AP150" s="57">
        <f>IF(ISERROR(IF(B150=C150,E150/C150,(INT(E150/B150)+(((E150-B150*INT(E150/B150)))/C150)/100))),0,(IF(B150=C150,E150/C150,(INT(E150/B150)+(((E150-B150*INT(E150/B150)))/C150)/100))))</f>
        <v>0</v>
      </c>
      <c r="AQ150" s="57">
        <f>IF(ISERROR(IF(B150=C150,F150/C150,IF((INT(F150/B150)+(((F150-B150*INT(F150/B150)))/C150)/100)&lt;0,(INT(F150/B150)+(((F150-B150*INT(F150/B150)))/C150)/100)+(1-(B150/C150/100)),(INT(F150/B150)+(((F150-B150*INT(F150/B150)))/C150)/100)))),0,IF(B150=C150,F150/C150,IF((INT(F150/B150)+(((F150-B150*INT(F150/B150)))/C150)/100)&lt;0,(INT(F150/B150)+(((F150-B150*INT(F150/B150)))/C150)/100)+(1-(B150/C150/100)),(INT(F150/B150)+(((F150-B150*INT(F150/B150)))/C150)/100))))</f>
        <v>0</v>
      </c>
      <c r="AR150" s="57">
        <f>IF(ISERROR(IF(B150=C150,G150/C150,(INT(G150/B150)+(((G150-B150*INT(G150/B150)))/C150)/100))),0,(IF(B150=C150,G150/C150,(INT(G150/B150)+(((G150-B150*INT(G150/B150)))/C150)/100))))</f>
        <v>0</v>
      </c>
      <c r="AS150" s="57">
        <f>IF(ISERROR(IF(B150=C150,H150/C150,(INT(H150/B150)+(((H150-B150*INT(H150/B150)))/C150)/100))),0,(IF(B150=C150,H150/C150,(INT(H150/B150)+(((H150-B150*INT(H150/B150)))/C150)/100))))</f>
        <v>0</v>
      </c>
      <c r="AT150" s="57">
        <f>IF(ISERROR(IF(B150=C150,I150/C150,(INT(I150/B150)+(((I150-B150*INT(I150/B150)))/C150)/100))),0,(IF(B150=C150,I150/C150,(INT(I150/B150)+(((I150-B150*INT(I150/B150)))/C150)/100))))</f>
        <v>0</v>
      </c>
      <c r="AU150" s="57">
        <f>IF(ISERROR(IF(B150=C150,J150/C150,(INT(J150/B150)+(((J150-B150*INT(J150/B150)))/C150)/100))),0,(IF(B150=C150,J150/C150,(INT(J150/B150)+(((J150-B150*INT(J150/B150)))/C150)/100))))</f>
        <v>0</v>
      </c>
      <c r="AV150" s="57">
        <f>IF(ISERROR(IF(B150=C150,K150/C150,IF((INT(K150/B150)+(((K150-B150*INT(K150/B150)))/C150)/100)&lt;0,(INT(K150/B150)+(((K150-B150*INT(K150/B150)))/C150)/100)+(1-(B150/C150/100)),(INT(K150/B150)+(((K150-B150*INT(K150/B150)))/C150)/100)))),0,IF(B150=C150,K150/C150,IF((INT(K150/B150)+(((K150-B150*INT(K150/B150)))/C150)/100)&lt;0,(INT(K150/B150)+(((K150-B150*INT(K150/B150)))/C150)/100)+(1-(B150/C150/100)),(INT(K150/B150)+(((K150-B150*INT(K150/B150)))/C150)/100))))</f>
        <v>0</v>
      </c>
      <c r="AW150" s="57">
        <f>IF(ISERROR(IF(B150=C150,L150/C150,(INT(L150/B150)+(((L150-B150*INT(L150/B150)))/C150)/100))),0,(IF(B150=C150,L150/C150,(INT(L150/B150)+(((L150-B150*INT(L150/B150)))/C150)/100))))</f>
        <v>0</v>
      </c>
      <c r="AX150" s="57">
        <f>IF(ISERROR(IF(B150=C150,M150/C150,(INT(M150/B150)+(((M150-B150*INT(M150/B150)))/C150)/100))),0,(IF(B150=C150,M150/C150,(INT(M150/B150)+(((M150-B150*INT(M150/B150)))/C150)/100))))</f>
        <v>0</v>
      </c>
      <c r="AY150" s="57">
        <f>IF(ISERROR(IF(B150=C150,N150/C150,IF((INT(N150/B150)+(((N150-B150*INT(N150/B150)))/C150)/100)&lt;0,(INT(N150/B150)+(((N150-B150*INT(N150/B150)))/C150)/100)+(1-(B150/C150/100)),(INT(N150/B150)+(((N150-B150*INT(N150/B150)))/C150)/100)))),0,IF(B150=C150,N150/C150,IF((INT(N150/B150)+(((N150-B150*INT(N150/B150)))/C150)/100)&lt;0,(INT(N150/B150)+(((N150-B150*INT(N150/B150)))/C150)/100)+(1-(B150/C150/100)),(INT(N150/B150)+(((N150-B150*INT(N150/B150)))/C150)/100))))</f>
        <v>0</v>
      </c>
      <c r="AZ150" s="57">
        <f>IF(ISERROR(IF(B150=C150,O150/C150,(INT(O150/B150)+(((O150-B150*INT(O150/B150)))/C150)/100))),0,(IF(B150=C150,O150/C150,(INT(O150/B150)+(((O150-B150*INT(O150/B150)))/C150)/100))))</f>
        <v>0</v>
      </c>
      <c r="BA150" s="57">
        <f>IF(ISERROR(IF(B150=C150,P150/C150,IF((INT(P150/B150)+(((P150-B150*INT(P150/B150)))/C150)/100)&lt;0,(INT(P150/B150)+(((P150-B150*INT(P150/B150)))/C150)/100)+(1-(B150/C150/100)),(INT(P150/B150)+(((P150-B150*INT(P150/B150)))/C150)/100)))),0,IF(B150=C150,P150/C150,IF((INT(P150/B150)+(((P150-B150*INT(P150/B150)))/C150)/100)&lt;0,(INT(P150/B150)+(((P150-B150*INT(P150/B150)))/C150)/100)+(1-(B150/C150/100)),(INT(P150/B150)+(((P150-B150*INT(P150/B150)))/C150)/100))))</f>
        <v>0</v>
      </c>
      <c r="BB150" s="28">
        <f>R150</f>
        <v>0</v>
      </c>
      <c r="BC150" s="28">
        <f>S150</f>
        <v>0</v>
      </c>
      <c r="BD150" s="28">
        <f>AF150</f>
        <v>0</v>
      </c>
      <c r="BE150" s="28">
        <f>T150</f>
        <v>0</v>
      </c>
      <c r="BG150" s="57">
        <f>IF(ISERROR(IF(B150=C150,V150/C150,(INT(V150/B150)+(((V150-B150*INT(V150/B150)))/C150)/100))),0,(IF(B150=C150,V150/C150,(INT(V150/B150)+(((V150-B150*INT(V150/B150)))/C150)/100))))</f>
        <v>0</v>
      </c>
      <c r="BH150" s="57">
        <f>IF(ISERROR(IF(B150=C150,W150/C150,(INT(W150/B150)+(((W150-B150*INT(W150/B150)))/C150)/100))),0,(IF(B150=C150,W150/C150,(INT(W150/B150)+(((W150-B150*INT(W150/B150)))/C150)/100))))</f>
        <v>0</v>
      </c>
      <c r="BI150" s="57">
        <f>IF(ISERROR(IF(B150=C150,X150/C150,(INT(X150/B150)+(((X150-B150*INT(X150/B150)))/C150)/100))),0,(IF(B150=C150,X150/C150,(INT(X150/B150)+(((X150-B150*INT(X150/B150)))/C150)/100))))</f>
        <v>0</v>
      </c>
      <c r="BJ150" s="57">
        <f>IF(ISERROR(IF(B150=C150,Y150/C150,(INT(Y150/B150)+(((Y150-B150*INT(Y150/B150)))/C150)/100))),0,(IF(B150=C150,Y150/C150,(INT(Y150/B150)+(((Y150-B150*INT(Y150/B150)))/C150)/100))))</f>
        <v>0</v>
      </c>
      <c r="BL150" s="57">
        <f>IF(ISERROR(IF(B150=C150,AA150/C150,(INT(AA150/B150)+(((AA150-B150*INT(AA150/B150)))/C150)/100))),0,(IF(B150=C150,AA150/C150,(INT(AA150/B150)+(((AA150-B150*INT(AA150/B150)))/C150)/100))))</f>
        <v>0</v>
      </c>
      <c r="BM150" s="57">
        <f>IF(ISERROR(IF(B150=C150,AB150/C150,(INT(AB150/B150)+(((AB150-B150*INT(AB150/B150)))/C150)/100))),0,(IF(B150=C150,AB150/C150,(INT(AB150/B150)+(((AB150-B150*INT(AB150/B150)))/C150)/100))))</f>
        <v>0</v>
      </c>
      <c r="BN150" s="57">
        <f>IF(ISERROR(IF(B150=C150,AC150/C150,(INT(AC150/B150)+(((AC150-B150*INT(AC150/B150)))/C150)/100))),0,(IF(B150=C150,AC150/C150,(INT(AC150/B150)+(((AC150-B150*INT(AC150/B150)))/C150)/100))))</f>
        <v>0</v>
      </c>
      <c r="BO150" s="57">
        <f>IF(ISERROR(IF(B150=C150,AD150/C150,(INT(AD150/B150)+(((AD150-B150*INT(AD150/B150)))/C150)/100))),0,(IF(B150=C150,AD150/C150,(INT(AD150/B150)+(((AD150-B150*INT(AD150/B150)))/C150)/100))))</f>
        <v>0</v>
      </c>
      <c r="BQ150" s="155"/>
    </row>
    <row r="151" spans="1:69" hidden="1" x14ac:dyDescent="0.35">
      <c r="A151" s="134"/>
      <c r="B151" s="113">
        <v>750</v>
      </c>
      <c r="C151" s="113">
        <v>30</v>
      </c>
      <c r="D151" s="28">
        <f>SUM(AA151:AD151)</f>
        <v>0</v>
      </c>
      <c r="E151" s="113">
        <v>0</v>
      </c>
      <c r="F151" s="113">
        <v>0</v>
      </c>
      <c r="G151" s="28">
        <f>SUM(D151:F151)</f>
        <v>0</v>
      </c>
      <c r="H151" s="125">
        <v>0</v>
      </c>
      <c r="I151" s="113">
        <v>0</v>
      </c>
      <c r="J151" s="125">
        <v>0</v>
      </c>
      <c r="K151" s="113">
        <v>0</v>
      </c>
      <c r="L151" s="113">
        <v>0</v>
      </c>
      <c r="M151" s="113">
        <v>0</v>
      </c>
      <c r="N151" s="28">
        <f>G151-SUM(H151:M151)</f>
        <v>0</v>
      </c>
      <c r="O151" s="28">
        <f>SUM(V151:Y151)</f>
        <v>0</v>
      </c>
      <c r="P151" s="28">
        <f>O151-N151</f>
        <v>0</v>
      </c>
      <c r="Q151" s="61" t="str">
        <f>IF(ISERROR(P151/SUM(H151:L151)),"",P151/SUM(H151:L151))</f>
        <v/>
      </c>
      <c r="R151" s="113">
        <v>0</v>
      </c>
      <c r="S151" s="28">
        <f>IF(ISERROR(P151/C151*R151),0,(P151/C151*R151))</f>
        <v>0</v>
      </c>
      <c r="T151" s="60">
        <f>IF(ISERROR(P151/B151*AF151),0,(P151/B151*AF151))</f>
        <v>0</v>
      </c>
      <c r="V151" s="113">
        <v>0</v>
      </c>
      <c r="W151" s="113">
        <v>0</v>
      </c>
      <c r="X151" s="113">
        <v>0</v>
      </c>
      <c r="Y151" s="113">
        <v>0</v>
      </c>
      <c r="AA151" s="113">
        <v>0</v>
      </c>
      <c r="AB151" s="113">
        <v>0</v>
      </c>
      <c r="AC151" s="113">
        <v>0</v>
      </c>
      <c r="AD151" s="113">
        <v>0</v>
      </c>
      <c r="AF151" s="113">
        <v>0</v>
      </c>
      <c r="AG151" s="28">
        <f>G151-O151</f>
        <v>0</v>
      </c>
      <c r="AH151" s="58">
        <f>IF(ISERROR(AG151/B151*AF151),0,(AG151/B151*AF151))</f>
        <v>0</v>
      </c>
      <c r="AI151" s="28">
        <f>SUM(H151:M151)</f>
        <v>0</v>
      </c>
      <c r="AJ151" s="28">
        <f>IF(ISERROR(AI151/B151*AF151),0,(AI151/B151*AF151))</f>
        <v>0</v>
      </c>
      <c r="AK151" s="58">
        <f>IF(ISERROR(O151/B151*AF151),0,(O151/B151*AF151))</f>
        <v>0</v>
      </c>
      <c r="AL151" s="28">
        <f>IF(ISERROR(H151/B151*AF151),0,(H151/B151*AF151))</f>
        <v>0</v>
      </c>
      <c r="AN151" s="51">
        <f>A151</f>
        <v>0</v>
      </c>
      <c r="AO151" s="57">
        <f>IF(ISERROR(IF(B151=C151,D151/C151,(INT(D151/B151)+(((D151-B151*INT(D151/B151)))/C151)/100))),0,(IF(B151=C151,D151/C151,(INT(D151/B151)+(((D151-B151*INT(D151/B151)))/C151)/100))))</f>
        <v>0</v>
      </c>
      <c r="AP151" s="57">
        <f>IF(ISERROR(IF(B151=C151,E151/C151,(INT(E151/B151)+(((E151-B151*INT(E151/B151)))/C151)/100))),0,(IF(B151=C151,E151/C151,(INT(E151/B151)+(((E151-B151*INT(E151/B151)))/C151)/100))))</f>
        <v>0</v>
      </c>
      <c r="AQ151" s="57">
        <f>IF(ISERROR(IF(B151=C151,F151/C151,IF((INT(F151/B151)+(((F151-B151*INT(F151/B151)))/C151)/100)&lt;0,(INT(F151/B151)+(((F151-B151*INT(F151/B151)))/C151)/100)+(1-(B151/C151/100)),(INT(F151/B151)+(((F151-B151*INT(F151/B151)))/C151)/100)))),0,IF(B151=C151,F151/C151,IF((INT(F151/B151)+(((F151-B151*INT(F151/B151)))/C151)/100)&lt;0,(INT(F151/B151)+(((F151-B151*INT(F151/B151)))/C151)/100)+(1-(B151/C151/100)),(INT(F151/B151)+(((F151-B151*INT(F151/B151)))/C151)/100))))</f>
        <v>0</v>
      </c>
      <c r="AR151" s="57">
        <f>IF(ISERROR(IF(B151=C151,G151/C151,(INT(G151/B151)+(((G151-B151*INT(G151/B151)))/C151)/100))),0,(IF(B151=C151,G151/C151,(INT(G151/B151)+(((G151-B151*INT(G151/B151)))/C151)/100))))</f>
        <v>0</v>
      </c>
      <c r="AS151" s="57">
        <f>IF(ISERROR(IF(B151=C151,H151/C151,(INT(H151/B151)+(((H151-B151*INT(H151/B151)))/C151)/100))),0,(IF(B151=C151,H151/C151,(INT(H151/B151)+(((H151-B151*INT(H151/B151)))/C151)/100))))</f>
        <v>0</v>
      </c>
      <c r="AT151" s="57">
        <f>IF(ISERROR(IF(B151=C151,I151/C151,(INT(I151/B151)+(((I151-B151*INT(I151/B151)))/C151)/100))),0,(IF(B151=C151,I151/C151,(INT(I151/B151)+(((I151-B151*INT(I151/B151)))/C151)/100))))</f>
        <v>0</v>
      </c>
      <c r="AU151" s="57">
        <f>IF(ISERROR(IF(B151=C151,J151/C151,(INT(J151/B151)+(((J151-B151*INT(J151/B151)))/C151)/100))),0,(IF(B151=C151,J151/C151,(INT(J151/B151)+(((J151-B151*INT(J151/B151)))/C151)/100))))</f>
        <v>0</v>
      </c>
      <c r="AV151" s="57">
        <f>IF(ISERROR(IF(B151=C151,K151/C151,IF((INT(K151/B151)+(((K151-B151*INT(K151/B151)))/C151)/100)&lt;0,(INT(K151/B151)+(((K151-B151*INT(K151/B151)))/C151)/100)+(1-(B151/C151/100)),(INT(K151/B151)+(((K151-B151*INT(K151/B151)))/C151)/100)))),0,IF(B151=C151,K151/C151,IF((INT(K151/B151)+(((K151-B151*INT(K151/B151)))/C151)/100)&lt;0,(INT(K151/B151)+(((K151-B151*INT(K151/B151)))/C151)/100)+(1-(B151/C151/100)),(INT(K151/B151)+(((K151-B151*INT(K151/B151)))/C151)/100))))</f>
        <v>0</v>
      </c>
      <c r="AW151" s="57">
        <f>IF(ISERROR(IF(B151=C151,L151/C151,(INT(L151/B151)+(((L151-B151*INT(L151/B151)))/C151)/100))),0,(IF(B151=C151,L151/C151,(INT(L151/B151)+(((L151-B151*INT(L151/B151)))/C151)/100))))</f>
        <v>0</v>
      </c>
      <c r="AX151" s="57">
        <f>IF(ISERROR(IF(B151=C151,M151/C151,(INT(M151/B151)+(((M151-B151*INT(M151/B151)))/C151)/100))),0,(IF(B151=C151,M151/C151,(INT(M151/B151)+(((M151-B151*INT(M151/B151)))/C151)/100))))</f>
        <v>0</v>
      </c>
      <c r="AY151" s="57">
        <f>IF(ISERROR(IF(B151=C151,N151/C151,IF((INT(N151/B151)+(((N151-B151*INT(N151/B151)))/C151)/100)&lt;0,(INT(N151/B151)+(((N151-B151*INT(N151/B151)))/C151)/100)+(1-(B151/C151/100)),(INT(N151/B151)+(((N151-B151*INT(N151/B151)))/C151)/100)))),0,IF(B151=C151,N151/C151,IF((INT(N151/B151)+(((N151-B151*INT(N151/B151)))/C151)/100)&lt;0,(INT(N151/B151)+(((N151-B151*INT(N151/B151)))/C151)/100)+(1-(B151/C151/100)),(INT(N151/B151)+(((N151-B151*INT(N151/B151)))/C151)/100))))</f>
        <v>0</v>
      </c>
      <c r="AZ151" s="57">
        <f>IF(ISERROR(IF(B151=C151,O151/C151,(INT(O151/B151)+(((O151-B151*INT(O151/B151)))/C151)/100))),0,(IF(B151=C151,O151/C151,(INT(O151/B151)+(((O151-B151*INT(O151/B151)))/C151)/100))))</f>
        <v>0</v>
      </c>
      <c r="BA151" s="57">
        <f>IF(ISERROR(IF(B151=C151,P151/C151,IF((INT(P151/B151)+(((P151-B151*INT(P151/B151)))/C151)/100)&lt;0,(INT(P151/B151)+(((P151-B151*INT(P151/B151)))/C151)/100)+(1-(B151/C151/100)),(INT(P151/B151)+(((P151-B151*INT(P151/B151)))/C151)/100)))),0,IF(B151=C151,P151/C151,IF((INT(P151/B151)+(((P151-B151*INT(P151/B151)))/C151)/100)&lt;0,(INT(P151/B151)+(((P151-B151*INT(P151/B151)))/C151)/100)+(1-(B151/C151/100)),(INT(P151/B151)+(((P151-B151*INT(P151/B151)))/C151)/100))))</f>
        <v>0</v>
      </c>
      <c r="BB151" s="28">
        <f>R151</f>
        <v>0</v>
      </c>
      <c r="BC151" s="28">
        <f>S151</f>
        <v>0</v>
      </c>
      <c r="BD151" s="28">
        <f>AF151</f>
        <v>0</v>
      </c>
      <c r="BE151" s="28">
        <f>T151</f>
        <v>0</v>
      </c>
      <c r="BG151" s="57">
        <f>IF(ISERROR(IF(B151=C151,V151/C151,(INT(V151/B151)+(((V151-B151*INT(V151/B151)))/C151)/100))),0,(IF(B151=C151,V151/C151,(INT(V151/B151)+(((V151-B151*INT(V151/B151)))/C151)/100))))</f>
        <v>0</v>
      </c>
      <c r="BH151" s="57">
        <f>IF(ISERROR(IF(B151=C151,W151/C151,(INT(W151/B151)+(((W151-B151*INT(W151/B151)))/C151)/100))),0,(IF(B151=C151,W151/C151,(INT(W151/B151)+(((W151-B151*INT(W151/B151)))/C151)/100))))</f>
        <v>0</v>
      </c>
      <c r="BI151" s="57">
        <f>IF(ISERROR(IF(B151=C151,X151/C151,(INT(X151/B151)+(((X151-B151*INT(X151/B151)))/C151)/100))),0,(IF(B151=C151,X151/C151,(INT(X151/B151)+(((X151-B151*INT(X151/B151)))/C151)/100))))</f>
        <v>0</v>
      </c>
      <c r="BJ151" s="57">
        <f>IF(ISERROR(IF(B151=C151,Y151/C151,(INT(Y151/B151)+(((Y151-B151*INT(Y151/B151)))/C151)/100))),0,(IF(B151=C151,Y151/C151,(INT(Y151/B151)+(((Y151-B151*INT(Y151/B151)))/C151)/100))))</f>
        <v>0</v>
      </c>
      <c r="BL151" s="57">
        <f>IF(ISERROR(IF(B151=C151,AA151/C151,(INT(AA151/B151)+(((AA151-B151*INT(AA151/B151)))/C151)/100))),0,(IF(B151=C151,AA151/C151,(INT(AA151/B151)+(((AA151-B151*INT(AA151/B151)))/C151)/100))))</f>
        <v>0</v>
      </c>
      <c r="BM151" s="57">
        <f>IF(ISERROR(IF(B151=C151,AB151/C151,(INT(AB151/B151)+(((AB151-B151*INT(AB151/B151)))/C151)/100))),0,(IF(B151=C151,AB151/C151,(INT(AB151/B151)+(((AB151-B151*INT(AB151/B151)))/C151)/100))))</f>
        <v>0</v>
      </c>
      <c r="BN151" s="57">
        <f>IF(ISERROR(IF(B151=C151,AC151/C151,(INT(AC151/B151)+(((AC151-B151*INT(AC151/B151)))/C151)/100))),0,(IF(B151=C151,AC151/C151,(INT(AC151/B151)+(((AC151-B151*INT(AC151/B151)))/C151)/100))))</f>
        <v>0</v>
      </c>
      <c r="BO151" s="57">
        <f>IF(ISERROR(IF(B151=C151,AD151/C151,(INT(AD151/B151)+(((AD151-B151*INT(AD151/B151)))/C151)/100))),0,(IF(B151=C151,AD151/C151,(INT(AD151/B151)+(((AD151-B151*INT(AD151/B151)))/C151)/100))))</f>
        <v>0</v>
      </c>
      <c r="BQ151" s="155"/>
    </row>
    <row r="152" spans="1:69" hidden="1" x14ac:dyDescent="0.35">
      <c r="A152" s="94"/>
      <c r="B152" s="113">
        <v>750</v>
      </c>
      <c r="C152" s="113">
        <v>30</v>
      </c>
      <c r="D152" s="28">
        <f>SUM(AA152:AD152)</f>
        <v>0</v>
      </c>
      <c r="E152" s="113">
        <v>0</v>
      </c>
      <c r="F152" s="113">
        <v>0</v>
      </c>
      <c r="G152" s="28">
        <f>SUM(D152:F152)</f>
        <v>0</v>
      </c>
      <c r="H152" s="125">
        <v>0</v>
      </c>
      <c r="I152" s="113">
        <v>0</v>
      </c>
      <c r="J152" s="125">
        <v>0</v>
      </c>
      <c r="K152" s="113">
        <v>0</v>
      </c>
      <c r="L152" s="113">
        <v>0</v>
      </c>
      <c r="M152" s="113">
        <v>0</v>
      </c>
      <c r="N152" s="28">
        <f>G152-SUM(H152:M152)</f>
        <v>0</v>
      </c>
      <c r="O152" s="28">
        <f>SUM(V152:Y152)</f>
        <v>0</v>
      </c>
      <c r="P152" s="28">
        <f>O152-N152</f>
        <v>0</v>
      </c>
      <c r="Q152" s="61" t="str">
        <f>IF(ISERROR(P152/SUM(H152:L152)),"",P152/SUM(H152:L152))</f>
        <v/>
      </c>
      <c r="R152" s="113">
        <v>0</v>
      </c>
      <c r="S152" s="28">
        <f>IF(ISERROR(P152/C152*R152),0,(P152/C152*R152))</f>
        <v>0</v>
      </c>
      <c r="T152" s="60">
        <f>IF(ISERROR(P152/B152*AF152),0,(P152/B152*AF152))</f>
        <v>0</v>
      </c>
      <c r="V152" s="113">
        <v>0</v>
      </c>
      <c r="W152" s="113">
        <v>0</v>
      </c>
      <c r="X152" s="113">
        <v>0</v>
      </c>
      <c r="Y152" s="113">
        <v>0</v>
      </c>
      <c r="AA152" s="113">
        <v>0</v>
      </c>
      <c r="AB152" s="113">
        <v>0</v>
      </c>
      <c r="AC152" s="113">
        <v>0</v>
      </c>
      <c r="AD152" s="113">
        <v>0</v>
      </c>
      <c r="AF152" s="113">
        <v>0</v>
      </c>
      <c r="AG152" s="28">
        <f>G152-O152</f>
        <v>0</v>
      </c>
      <c r="AH152" s="58">
        <f>IF(ISERROR(AG152/B152*AF152),0,(AG152/B152*AF152))</f>
        <v>0</v>
      </c>
      <c r="AI152" s="28">
        <f>SUM(H152:M152)</f>
        <v>0</v>
      </c>
      <c r="AJ152" s="28">
        <f>IF(ISERROR(AI152/B152*AF152),0,(AI152/B152*AF152))</f>
        <v>0</v>
      </c>
      <c r="AK152" s="58">
        <f>IF(ISERROR(O152/B152*AF152),0,(O152/B152*AF152))</f>
        <v>0</v>
      </c>
      <c r="AL152" s="28">
        <f>IF(ISERROR(H152/B152*AF152),0,(H152/B152*AF152))</f>
        <v>0</v>
      </c>
      <c r="AN152" s="51">
        <f>A152</f>
        <v>0</v>
      </c>
      <c r="AO152" s="57">
        <f>IF(ISERROR(IF(B152=C152,D152/C152,(INT(D152/B152)+(((D152-B152*INT(D152/B152)))/C152)/100))),0,(IF(B152=C152,D152/C152,(INT(D152/B152)+(((D152-B152*INT(D152/B152)))/C152)/100))))</f>
        <v>0</v>
      </c>
      <c r="AP152" s="57">
        <f>IF(ISERROR(IF(B152=C152,E152/C152,(INT(E152/B152)+(((E152-B152*INT(E152/B152)))/C152)/100))),0,(IF(B152=C152,E152/C152,(INT(E152/B152)+(((E152-B152*INT(E152/B152)))/C152)/100))))</f>
        <v>0</v>
      </c>
      <c r="AQ152" s="57">
        <f>IF(ISERROR(IF(B152=C152,F152/C152,IF((INT(F152/B152)+(((F152-B152*INT(F152/B152)))/C152)/100)&lt;0,(INT(F152/B152)+(((F152-B152*INT(F152/B152)))/C152)/100)+(1-(B152/C152/100)),(INT(F152/B152)+(((F152-B152*INT(F152/B152)))/C152)/100)))),0,IF(B152=C152,F152/C152,IF((INT(F152/B152)+(((F152-B152*INT(F152/B152)))/C152)/100)&lt;0,(INT(F152/B152)+(((F152-B152*INT(F152/B152)))/C152)/100)+(1-(B152/C152/100)),(INT(F152/B152)+(((F152-B152*INT(F152/B152)))/C152)/100))))</f>
        <v>0</v>
      </c>
      <c r="AR152" s="57">
        <f>IF(ISERROR(IF(B152=C152,G152/C152,(INT(G152/B152)+(((G152-B152*INT(G152/B152)))/C152)/100))),0,(IF(B152=C152,G152/C152,(INT(G152/B152)+(((G152-B152*INT(G152/B152)))/C152)/100))))</f>
        <v>0</v>
      </c>
      <c r="AS152" s="57">
        <f>IF(ISERROR(IF(B152=C152,H152/C152,(INT(H152/B152)+(((H152-B152*INT(H152/B152)))/C152)/100))),0,(IF(B152=C152,H152/C152,(INT(H152/B152)+(((H152-B152*INT(H152/B152)))/C152)/100))))</f>
        <v>0</v>
      </c>
      <c r="AT152" s="57">
        <f>IF(ISERROR(IF(B152=C152,I152/C152,(INT(I152/B152)+(((I152-B152*INT(I152/B152)))/C152)/100))),0,(IF(B152=C152,I152/C152,(INT(I152/B152)+(((I152-B152*INT(I152/B152)))/C152)/100))))</f>
        <v>0</v>
      </c>
      <c r="AU152" s="57">
        <f>IF(ISERROR(IF(B152=C152,J152/C152,(INT(J152/B152)+(((J152-B152*INT(J152/B152)))/C152)/100))),0,(IF(B152=C152,J152/C152,(INT(J152/B152)+(((J152-B152*INT(J152/B152)))/C152)/100))))</f>
        <v>0</v>
      </c>
      <c r="AV152" s="57">
        <f>IF(ISERROR(IF(B152=C152,K152/C152,IF((INT(K152/B152)+(((K152-B152*INT(K152/B152)))/C152)/100)&lt;0,(INT(K152/B152)+(((K152-B152*INT(K152/B152)))/C152)/100)+(1-(B152/C152/100)),(INT(K152/B152)+(((K152-B152*INT(K152/B152)))/C152)/100)))),0,IF(B152=C152,K152/C152,IF((INT(K152/B152)+(((K152-B152*INT(K152/B152)))/C152)/100)&lt;0,(INT(K152/B152)+(((K152-B152*INT(K152/B152)))/C152)/100)+(1-(B152/C152/100)),(INT(K152/B152)+(((K152-B152*INT(K152/B152)))/C152)/100))))</f>
        <v>0</v>
      </c>
      <c r="AW152" s="57">
        <f>IF(ISERROR(IF(B152=C152,L152/C152,(INT(L152/B152)+(((L152-B152*INT(L152/B152)))/C152)/100))),0,(IF(B152=C152,L152/C152,(INT(L152/B152)+(((L152-B152*INT(L152/B152)))/C152)/100))))</f>
        <v>0</v>
      </c>
      <c r="AX152" s="57">
        <f>IF(ISERROR(IF(B152=C152,M152/C152,(INT(M152/B152)+(((M152-B152*INT(M152/B152)))/C152)/100))),0,(IF(B152=C152,M152/C152,(INT(M152/B152)+(((M152-B152*INT(M152/B152)))/C152)/100))))</f>
        <v>0</v>
      </c>
      <c r="AY152" s="57">
        <f>IF(ISERROR(IF(B152=C152,N152/C152,IF((INT(N152/B152)+(((N152-B152*INT(N152/B152)))/C152)/100)&lt;0,(INT(N152/B152)+(((N152-B152*INT(N152/B152)))/C152)/100)+(1-(B152/C152/100)),(INT(N152/B152)+(((N152-B152*INT(N152/B152)))/C152)/100)))),0,IF(B152=C152,N152/C152,IF((INT(N152/B152)+(((N152-B152*INT(N152/B152)))/C152)/100)&lt;0,(INT(N152/B152)+(((N152-B152*INT(N152/B152)))/C152)/100)+(1-(B152/C152/100)),(INT(N152/B152)+(((N152-B152*INT(N152/B152)))/C152)/100))))</f>
        <v>0</v>
      </c>
      <c r="AZ152" s="57">
        <f>IF(ISERROR(IF(B152=C152,O152/C152,(INT(O152/B152)+(((O152-B152*INT(O152/B152)))/C152)/100))),0,(IF(B152=C152,O152/C152,(INT(O152/B152)+(((O152-B152*INT(O152/B152)))/C152)/100))))</f>
        <v>0</v>
      </c>
      <c r="BA152" s="57">
        <f>IF(ISERROR(IF(B152=C152,P152/C152,IF((INT(P152/B152)+(((P152-B152*INT(P152/B152)))/C152)/100)&lt;0,(INT(P152/B152)+(((P152-B152*INT(P152/B152)))/C152)/100)+(1-(B152/C152/100)),(INT(P152/B152)+(((P152-B152*INT(P152/B152)))/C152)/100)))),0,IF(B152=C152,P152/C152,IF((INT(P152/B152)+(((P152-B152*INT(P152/B152)))/C152)/100)&lt;0,(INT(P152/B152)+(((P152-B152*INT(P152/B152)))/C152)/100)+(1-(B152/C152/100)),(INT(P152/B152)+(((P152-B152*INT(P152/B152)))/C152)/100))))</f>
        <v>0</v>
      </c>
      <c r="BB152" s="28">
        <f>R152</f>
        <v>0</v>
      </c>
      <c r="BC152" s="28">
        <f>S152</f>
        <v>0</v>
      </c>
      <c r="BD152" s="28">
        <f>AF152</f>
        <v>0</v>
      </c>
      <c r="BE152" s="28">
        <f>T152</f>
        <v>0</v>
      </c>
      <c r="BG152" s="57">
        <f>IF(ISERROR(IF(B152=C152,V152/C152,(INT(V152/B152)+(((V152-B152*INT(V152/B152)))/C152)/100))),0,(IF(B152=C152,V152/C152,(INT(V152/B152)+(((V152-B152*INT(V152/B152)))/C152)/100))))</f>
        <v>0</v>
      </c>
      <c r="BH152" s="57">
        <f>IF(ISERROR(IF(B152=C152,W152/C152,(INT(W152/B152)+(((W152-B152*INT(W152/B152)))/C152)/100))),0,(IF(B152=C152,W152/C152,(INT(W152/B152)+(((W152-B152*INT(W152/B152)))/C152)/100))))</f>
        <v>0</v>
      </c>
      <c r="BI152" s="57">
        <f>IF(ISERROR(IF(B152=C152,X152/C152,(INT(X152/B152)+(((X152-B152*INT(X152/B152)))/C152)/100))),0,(IF(B152=C152,X152/C152,(INT(X152/B152)+(((X152-B152*INT(X152/B152)))/C152)/100))))</f>
        <v>0</v>
      </c>
      <c r="BJ152" s="57">
        <f>IF(ISERROR(IF(B152=C152,Y152/C152,(INT(Y152/B152)+(((Y152-B152*INT(Y152/B152)))/C152)/100))),0,(IF(B152=C152,Y152/C152,(INT(Y152/B152)+(((Y152-B152*INT(Y152/B152)))/C152)/100))))</f>
        <v>0</v>
      </c>
      <c r="BL152" s="57">
        <f>IF(ISERROR(IF(B152=C152,AA152/C152,(INT(AA152/B152)+(((AA152-B152*INT(AA152/B152)))/C152)/100))),0,(IF(B152=C152,AA152/C152,(INT(AA152/B152)+(((AA152-B152*INT(AA152/B152)))/C152)/100))))</f>
        <v>0</v>
      </c>
      <c r="BM152" s="57">
        <f>IF(ISERROR(IF(B152=C152,AB152/C152,(INT(AB152/B152)+(((AB152-B152*INT(AB152/B152)))/C152)/100))),0,(IF(B152=C152,AB152/C152,(INT(AB152/B152)+(((AB152-B152*INT(AB152/B152)))/C152)/100))))</f>
        <v>0</v>
      </c>
      <c r="BN152" s="57">
        <f>IF(ISERROR(IF(B152=C152,AC152/C152,(INT(AC152/B152)+(((AC152-B152*INT(AC152/B152)))/C152)/100))),0,(IF(B152=C152,AC152/C152,(INT(AC152/B152)+(((AC152-B152*INT(AC152/B152)))/C152)/100))))</f>
        <v>0</v>
      </c>
      <c r="BO152" s="57">
        <f>IF(ISERROR(IF(B152=C152,AD152/C152,(INT(AD152/B152)+(((AD152-B152*INT(AD152/B152)))/C152)/100))),0,(IF(B152=C152,AD152/C152,(INT(AD152/B152)+(((AD152-B152*INT(AD152/B152)))/C152)/100))))</f>
        <v>0</v>
      </c>
      <c r="BQ152" s="155"/>
    </row>
    <row r="153" spans="1:69" hidden="1" x14ac:dyDescent="0.35">
      <c r="A153" s="94"/>
      <c r="B153" s="113">
        <v>750</v>
      </c>
      <c r="C153" s="113">
        <v>30</v>
      </c>
      <c r="D153" s="28">
        <f>SUM(AA153:AD153)</f>
        <v>0</v>
      </c>
      <c r="E153" s="113">
        <v>0</v>
      </c>
      <c r="F153" s="113">
        <v>0</v>
      </c>
      <c r="G153" s="28">
        <f>SUM(D153:F153)</f>
        <v>0</v>
      </c>
      <c r="H153" s="125">
        <v>0</v>
      </c>
      <c r="I153" s="113">
        <v>0</v>
      </c>
      <c r="J153" s="125">
        <v>0</v>
      </c>
      <c r="K153" s="113">
        <v>0</v>
      </c>
      <c r="L153" s="113">
        <v>0</v>
      </c>
      <c r="M153" s="113">
        <v>0</v>
      </c>
      <c r="N153" s="28">
        <f>G153-SUM(H153:M153)</f>
        <v>0</v>
      </c>
      <c r="O153" s="28">
        <f>SUM(V153:Y153)</f>
        <v>0</v>
      </c>
      <c r="P153" s="28">
        <f>O153-N153</f>
        <v>0</v>
      </c>
      <c r="Q153" s="61" t="str">
        <f>IF(ISERROR(P153/SUM(H153:L153)),"",P153/SUM(H153:L153))</f>
        <v/>
      </c>
      <c r="R153" s="113">
        <v>0</v>
      </c>
      <c r="S153" s="28">
        <f>IF(ISERROR(P153/C153*R153),0,(P153/C153*R153))</f>
        <v>0</v>
      </c>
      <c r="T153" s="60">
        <f>IF(ISERROR(P153/B153*AF153),0,(P153/B153*AF153))</f>
        <v>0</v>
      </c>
      <c r="V153" s="113">
        <v>0</v>
      </c>
      <c r="W153" s="113">
        <v>0</v>
      </c>
      <c r="X153" s="113">
        <v>0</v>
      </c>
      <c r="Y153" s="113">
        <v>0</v>
      </c>
      <c r="AA153" s="113">
        <v>0</v>
      </c>
      <c r="AB153" s="113">
        <v>0</v>
      </c>
      <c r="AC153" s="113">
        <v>0</v>
      </c>
      <c r="AD153" s="113">
        <v>0</v>
      </c>
      <c r="AF153" s="113">
        <v>0</v>
      </c>
      <c r="AG153" s="28">
        <f>G153-O153</f>
        <v>0</v>
      </c>
      <c r="AH153" s="58">
        <f>IF(ISERROR(AG153/B153*AF153),0,(AG153/B153*AF153))</f>
        <v>0</v>
      </c>
      <c r="AI153" s="28">
        <f>SUM(H153:M153)</f>
        <v>0</v>
      </c>
      <c r="AJ153" s="28">
        <f>IF(ISERROR(AI153/B153*AF153),0,(AI153/B153*AF153))</f>
        <v>0</v>
      </c>
      <c r="AK153" s="58">
        <f>IF(ISERROR(O153/B153*AF153),0,(O153/B153*AF153))</f>
        <v>0</v>
      </c>
      <c r="AL153" s="28">
        <f>IF(ISERROR(H153/B153*AF153),0,(H153/B153*AF153))</f>
        <v>0</v>
      </c>
      <c r="AN153" s="51">
        <f>A153</f>
        <v>0</v>
      </c>
      <c r="AO153" s="57">
        <f>IF(ISERROR(IF(B153=C153,D153/C153,(INT(D153/B153)+(((D153-B153*INT(D153/B153)))/C153)/100))),0,(IF(B153=C153,D153/C153,(INT(D153/B153)+(((D153-B153*INT(D153/B153)))/C153)/100))))</f>
        <v>0</v>
      </c>
      <c r="AP153" s="57">
        <f>IF(ISERROR(IF(B153=C153,E153/C153,(INT(E153/B153)+(((E153-B153*INT(E153/B153)))/C153)/100))),0,(IF(B153=C153,E153/C153,(INT(E153/B153)+(((E153-B153*INT(E153/B153)))/C153)/100))))</f>
        <v>0</v>
      </c>
      <c r="AQ153" s="57">
        <f>IF(ISERROR(IF(B153=C153,F153/C153,IF((INT(F153/B153)+(((F153-B153*INT(F153/B153)))/C153)/100)&lt;0,(INT(F153/B153)+(((F153-B153*INT(F153/B153)))/C153)/100)+(1-(B153/C153/100)),(INT(F153/B153)+(((F153-B153*INT(F153/B153)))/C153)/100)))),0,IF(B153=C153,F153/C153,IF((INT(F153/B153)+(((F153-B153*INT(F153/B153)))/C153)/100)&lt;0,(INT(F153/B153)+(((F153-B153*INT(F153/B153)))/C153)/100)+(1-(B153/C153/100)),(INT(F153/B153)+(((F153-B153*INT(F153/B153)))/C153)/100))))</f>
        <v>0</v>
      </c>
      <c r="AR153" s="57">
        <f>IF(ISERROR(IF(B153=C153,G153/C153,(INT(G153/B153)+(((G153-B153*INT(G153/B153)))/C153)/100))),0,(IF(B153=C153,G153/C153,(INT(G153/B153)+(((G153-B153*INT(G153/B153)))/C153)/100))))</f>
        <v>0</v>
      </c>
      <c r="AS153" s="57">
        <f>IF(ISERROR(IF(B153=C153,H153/C153,(INT(H153/B153)+(((H153-B153*INT(H153/B153)))/C153)/100))),0,(IF(B153=C153,H153/C153,(INT(H153/B153)+(((H153-B153*INT(H153/B153)))/C153)/100))))</f>
        <v>0</v>
      </c>
      <c r="AT153" s="57">
        <f>IF(ISERROR(IF(B153=C153,I153/C153,(INT(I153/B153)+(((I153-B153*INT(I153/B153)))/C153)/100))),0,(IF(B153=C153,I153/C153,(INT(I153/B153)+(((I153-B153*INT(I153/B153)))/C153)/100))))</f>
        <v>0</v>
      </c>
      <c r="AU153" s="57">
        <f>IF(ISERROR(IF(B153=C153,J153/C153,(INT(J153/B153)+(((J153-B153*INT(J153/B153)))/C153)/100))),0,(IF(B153=C153,J153/C153,(INT(J153/B153)+(((J153-B153*INT(J153/B153)))/C153)/100))))</f>
        <v>0</v>
      </c>
      <c r="AV153" s="57">
        <f>IF(ISERROR(IF(B153=C153,K153/C153,IF((INT(K153/B153)+(((K153-B153*INT(K153/B153)))/C153)/100)&lt;0,(INT(K153/B153)+(((K153-B153*INT(K153/B153)))/C153)/100)+(1-(B153/C153/100)),(INT(K153/B153)+(((K153-B153*INT(K153/B153)))/C153)/100)))),0,IF(B153=C153,K153/C153,IF((INT(K153/B153)+(((K153-B153*INT(K153/B153)))/C153)/100)&lt;0,(INT(K153/B153)+(((K153-B153*INT(K153/B153)))/C153)/100)+(1-(B153/C153/100)),(INT(K153/B153)+(((K153-B153*INT(K153/B153)))/C153)/100))))</f>
        <v>0</v>
      </c>
      <c r="AW153" s="57">
        <f>IF(ISERROR(IF(B153=C153,L153/C153,(INT(L153/B153)+(((L153-B153*INT(L153/B153)))/C153)/100))),0,(IF(B153=C153,L153/C153,(INT(L153/B153)+(((L153-B153*INT(L153/B153)))/C153)/100))))</f>
        <v>0</v>
      </c>
      <c r="AX153" s="57">
        <f>IF(ISERROR(IF(B153=C153,M153/C153,(INT(M153/B153)+(((M153-B153*INT(M153/B153)))/C153)/100))),0,(IF(B153=C153,M153/C153,(INT(M153/B153)+(((M153-B153*INT(M153/B153)))/C153)/100))))</f>
        <v>0</v>
      </c>
      <c r="AY153" s="57">
        <f>IF(ISERROR(IF(B153=C153,N153/C153,IF((INT(N153/B153)+(((N153-B153*INT(N153/B153)))/C153)/100)&lt;0,(INT(N153/B153)+(((N153-B153*INT(N153/B153)))/C153)/100)+(1-(B153/C153/100)),(INT(N153/B153)+(((N153-B153*INT(N153/B153)))/C153)/100)))),0,IF(B153=C153,N153/C153,IF((INT(N153/B153)+(((N153-B153*INT(N153/B153)))/C153)/100)&lt;0,(INT(N153/B153)+(((N153-B153*INT(N153/B153)))/C153)/100)+(1-(B153/C153/100)),(INT(N153/B153)+(((N153-B153*INT(N153/B153)))/C153)/100))))</f>
        <v>0</v>
      </c>
      <c r="AZ153" s="57">
        <f>IF(ISERROR(IF(B153=C153,O153/C153,(INT(O153/B153)+(((O153-B153*INT(O153/B153)))/C153)/100))),0,(IF(B153=C153,O153/C153,(INT(O153/B153)+(((O153-B153*INT(O153/B153)))/C153)/100))))</f>
        <v>0</v>
      </c>
      <c r="BA153" s="57">
        <f>IF(ISERROR(IF(B153=C153,P153/C153,IF((INT(P153/B153)+(((P153-B153*INT(P153/B153)))/C153)/100)&lt;0,(INT(P153/B153)+(((P153-B153*INT(P153/B153)))/C153)/100)+(1-(B153/C153/100)),(INT(P153/B153)+(((P153-B153*INT(P153/B153)))/C153)/100)))),0,IF(B153=C153,P153/C153,IF((INT(P153/B153)+(((P153-B153*INT(P153/B153)))/C153)/100)&lt;0,(INT(P153/B153)+(((P153-B153*INT(P153/B153)))/C153)/100)+(1-(B153/C153/100)),(INT(P153/B153)+(((P153-B153*INT(P153/B153)))/C153)/100))))</f>
        <v>0</v>
      </c>
      <c r="BB153" s="28">
        <f>R153</f>
        <v>0</v>
      </c>
      <c r="BC153" s="28">
        <f>S153</f>
        <v>0</v>
      </c>
      <c r="BD153" s="28">
        <f>AF153</f>
        <v>0</v>
      </c>
      <c r="BE153" s="28">
        <f>T153</f>
        <v>0</v>
      </c>
      <c r="BG153" s="57">
        <f>IF(ISERROR(IF(B153=C153,V153/C153,(INT(V153/B153)+(((V153-B153*INT(V153/B153)))/C153)/100))),0,(IF(B153=C153,V153/C153,(INT(V153/B153)+(((V153-B153*INT(V153/B153)))/C153)/100))))</f>
        <v>0</v>
      </c>
      <c r="BH153" s="57">
        <f>IF(ISERROR(IF(B153=C153,W153/C153,(INT(W153/B153)+(((W153-B153*INT(W153/B153)))/C153)/100))),0,(IF(B153=C153,W153/C153,(INT(W153/B153)+(((W153-B153*INT(W153/B153)))/C153)/100))))</f>
        <v>0</v>
      </c>
      <c r="BI153" s="57">
        <f>IF(ISERROR(IF(B153=C153,X153/C153,(INT(X153/B153)+(((X153-B153*INT(X153/B153)))/C153)/100))),0,(IF(B153=C153,X153/C153,(INT(X153/B153)+(((X153-B153*INT(X153/B153)))/C153)/100))))</f>
        <v>0</v>
      </c>
      <c r="BJ153" s="57">
        <f>IF(ISERROR(IF(B153=C153,Y153/C153,(INT(Y153/B153)+(((Y153-B153*INT(Y153/B153)))/C153)/100))),0,(IF(B153=C153,Y153/C153,(INT(Y153/B153)+(((Y153-B153*INT(Y153/B153)))/C153)/100))))</f>
        <v>0</v>
      </c>
      <c r="BL153" s="57">
        <f>IF(ISERROR(IF(B153=C153,AA153/C153,(INT(AA153/B153)+(((AA153-B153*INT(AA153/B153)))/C153)/100))),0,(IF(B153=C153,AA153/C153,(INT(AA153/B153)+(((AA153-B153*INT(AA153/B153)))/C153)/100))))</f>
        <v>0</v>
      </c>
      <c r="BM153" s="57">
        <f>IF(ISERROR(IF(B153=C153,AB153/C153,(INT(AB153/B153)+(((AB153-B153*INT(AB153/B153)))/C153)/100))),0,(IF(B153=C153,AB153/C153,(INT(AB153/B153)+(((AB153-B153*INT(AB153/B153)))/C153)/100))))</f>
        <v>0</v>
      </c>
      <c r="BN153" s="57">
        <f>IF(ISERROR(IF(B153=C153,AC153/C153,(INT(AC153/B153)+(((AC153-B153*INT(AC153/B153)))/C153)/100))),0,(IF(B153=C153,AC153/C153,(INT(AC153/B153)+(((AC153-B153*INT(AC153/B153)))/C153)/100))))</f>
        <v>0</v>
      </c>
      <c r="BO153" s="57">
        <f>IF(ISERROR(IF(B153=C153,AD153/C153,(INT(AD153/B153)+(((AD153-B153*INT(AD153/B153)))/C153)/100))),0,(IF(B153=C153,AD153/C153,(INT(AD153/B153)+(((AD153-B153*INT(AD153/B153)))/C153)/100))))</f>
        <v>0</v>
      </c>
      <c r="BQ153" s="155"/>
    </row>
    <row r="154" spans="1:69" hidden="1" x14ac:dyDescent="0.35">
      <c r="A154" s="94"/>
      <c r="B154" s="113">
        <v>750</v>
      </c>
      <c r="C154" s="113">
        <v>30</v>
      </c>
      <c r="D154" s="28">
        <f>SUM(AA154:AD154)</f>
        <v>0</v>
      </c>
      <c r="E154" s="113">
        <v>0</v>
      </c>
      <c r="F154" s="113">
        <v>0</v>
      </c>
      <c r="G154" s="28">
        <f>SUM(D154:F154)</f>
        <v>0</v>
      </c>
      <c r="H154" s="125">
        <v>0</v>
      </c>
      <c r="I154" s="113">
        <v>0</v>
      </c>
      <c r="J154" s="125">
        <v>0</v>
      </c>
      <c r="K154" s="113">
        <v>0</v>
      </c>
      <c r="L154" s="113">
        <v>0</v>
      </c>
      <c r="M154" s="113">
        <v>0</v>
      </c>
      <c r="N154" s="28">
        <f>G154-SUM(H154:M154)</f>
        <v>0</v>
      </c>
      <c r="O154" s="28">
        <f>SUM(V154:Y154)</f>
        <v>0</v>
      </c>
      <c r="P154" s="28">
        <f>O154-N154</f>
        <v>0</v>
      </c>
      <c r="Q154" s="61" t="str">
        <f>IF(ISERROR(P154/SUM(H154:L154)),"",P154/SUM(H154:L154))</f>
        <v/>
      </c>
      <c r="R154" s="113">
        <v>0</v>
      </c>
      <c r="S154" s="28">
        <f>IF(ISERROR(P154/C154*R154),0,(P154/C154*R154))</f>
        <v>0</v>
      </c>
      <c r="T154" s="60">
        <f>IF(ISERROR(P154/B154*AF154),0,(P154/B154*AF154))</f>
        <v>0</v>
      </c>
      <c r="V154" s="113">
        <v>0</v>
      </c>
      <c r="W154" s="113">
        <v>0</v>
      </c>
      <c r="X154" s="113">
        <v>0</v>
      </c>
      <c r="Y154" s="113">
        <v>0</v>
      </c>
      <c r="AA154" s="113">
        <v>0</v>
      </c>
      <c r="AB154" s="113">
        <v>0</v>
      </c>
      <c r="AC154" s="113">
        <v>0</v>
      </c>
      <c r="AD154" s="113">
        <v>0</v>
      </c>
      <c r="AF154" s="113">
        <v>0</v>
      </c>
      <c r="AG154" s="28">
        <f>G154-O154</f>
        <v>0</v>
      </c>
      <c r="AH154" s="58">
        <f>IF(ISERROR(AG154/B154*AF154),0,(AG154/B154*AF154))</f>
        <v>0</v>
      </c>
      <c r="AI154" s="28">
        <f>SUM(H154:M154)</f>
        <v>0</v>
      </c>
      <c r="AJ154" s="28">
        <f>IF(ISERROR(AI154/B154*AF154),0,(AI154/B154*AF154))</f>
        <v>0</v>
      </c>
      <c r="AK154" s="58">
        <f>IF(ISERROR(O154/B154*AF154),0,(O154/B154*AF154))</f>
        <v>0</v>
      </c>
      <c r="AL154" s="28">
        <f>IF(ISERROR(H154/B154*AF154),0,(H154/B154*AF154))</f>
        <v>0</v>
      </c>
      <c r="AN154" s="51">
        <f>A154</f>
        <v>0</v>
      </c>
      <c r="AO154" s="57">
        <f>IF(ISERROR(IF(B154=C154,D154/C154,(INT(D154/B154)+(((D154-B154*INT(D154/B154)))/C154)/100))),0,(IF(B154=C154,D154/C154,(INT(D154/B154)+(((D154-B154*INT(D154/B154)))/C154)/100))))</f>
        <v>0</v>
      </c>
      <c r="AP154" s="57">
        <f>IF(ISERROR(IF(B154=C154,E154/C154,(INT(E154/B154)+(((E154-B154*INT(E154/B154)))/C154)/100))),0,(IF(B154=C154,E154/C154,(INT(E154/B154)+(((E154-B154*INT(E154/B154)))/C154)/100))))</f>
        <v>0</v>
      </c>
      <c r="AQ154" s="57">
        <f>IF(ISERROR(IF(B154=C154,F154/C154,IF((INT(F154/B154)+(((F154-B154*INT(F154/B154)))/C154)/100)&lt;0,(INT(F154/B154)+(((F154-B154*INT(F154/B154)))/C154)/100)+(1-(B154/C154/100)),(INT(F154/B154)+(((F154-B154*INT(F154/B154)))/C154)/100)))),0,IF(B154=C154,F154/C154,IF((INT(F154/B154)+(((F154-B154*INT(F154/B154)))/C154)/100)&lt;0,(INT(F154/B154)+(((F154-B154*INT(F154/B154)))/C154)/100)+(1-(B154/C154/100)),(INT(F154/B154)+(((F154-B154*INT(F154/B154)))/C154)/100))))</f>
        <v>0</v>
      </c>
      <c r="AR154" s="57">
        <f>IF(ISERROR(IF(B154=C154,G154/C154,(INT(G154/B154)+(((G154-B154*INT(G154/B154)))/C154)/100))),0,(IF(B154=C154,G154/C154,(INT(G154/B154)+(((G154-B154*INT(G154/B154)))/C154)/100))))</f>
        <v>0</v>
      </c>
      <c r="AS154" s="57">
        <f>IF(ISERROR(IF(B154=C154,H154/C154,(INT(H154/B154)+(((H154-B154*INT(H154/B154)))/C154)/100))),0,(IF(B154=C154,H154/C154,(INT(H154/B154)+(((H154-B154*INT(H154/B154)))/C154)/100))))</f>
        <v>0</v>
      </c>
      <c r="AT154" s="57">
        <f>IF(ISERROR(IF(B154=C154,I154/C154,(INT(I154/B154)+(((I154-B154*INT(I154/B154)))/C154)/100))),0,(IF(B154=C154,I154/C154,(INT(I154/B154)+(((I154-B154*INT(I154/B154)))/C154)/100))))</f>
        <v>0</v>
      </c>
      <c r="AU154" s="57">
        <f>IF(ISERROR(IF(B154=C154,J154/C154,(INT(J154/B154)+(((J154-B154*INT(J154/B154)))/C154)/100))),0,(IF(B154=C154,J154/C154,(INT(J154/B154)+(((J154-B154*INT(J154/B154)))/C154)/100))))</f>
        <v>0</v>
      </c>
      <c r="AV154" s="57">
        <f>IF(ISERROR(IF(B154=C154,K154/C154,IF((INT(K154/B154)+(((K154-B154*INT(K154/B154)))/C154)/100)&lt;0,(INT(K154/B154)+(((K154-B154*INT(K154/B154)))/C154)/100)+(1-(B154/C154/100)),(INT(K154/B154)+(((K154-B154*INT(K154/B154)))/C154)/100)))),0,IF(B154=C154,K154/C154,IF((INT(K154/B154)+(((K154-B154*INT(K154/B154)))/C154)/100)&lt;0,(INT(K154/B154)+(((K154-B154*INT(K154/B154)))/C154)/100)+(1-(B154/C154/100)),(INT(K154/B154)+(((K154-B154*INT(K154/B154)))/C154)/100))))</f>
        <v>0</v>
      </c>
      <c r="AW154" s="57">
        <f>IF(ISERROR(IF(B154=C154,L154/C154,(INT(L154/B154)+(((L154-B154*INT(L154/B154)))/C154)/100))),0,(IF(B154=C154,L154/C154,(INT(L154/B154)+(((L154-B154*INT(L154/B154)))/C154)/100))))</f>
        <v>0</v>
      </c>
      <c r="AX154" s="57">
        <f>IF(ISERROR(IF(B154=C154,M154/C154,(INT(M154/B154)+(((M154-B154*INT(M154/B154)))/C154)/100))),0,(IF(B154=C154,M154/C154,(INT(M154/B154)+(((M154-B154*INT(M154/B154)))/C154)/100))))</f>
        <v>0</v>
      </c>
      <c r="AY154" s="57">
        <f>IF(ISERROR(IF(B154=C154,N154/C154,IF((INT(N154/B154)+(((N154-B154*INT(N154/B154)))/C154)/100)&lt;0,(INT(N154/B154)+(((N154-B154*INT(N154/B154)))/C154)/100)+(1-(B154/C154/100)),(INT(N154/B154)+(((N154-B154*INT(N154/B154)))/C154)/100)))),0,IF(B154=C154,N154/C154,IF((INT(N154/B154)+(((N154-B154*INT(N154/B154)))/C154)/100)&lt;0,(INT(N154/B154)+(((N154-B154*INT(N154/B154)))/C154)/100)+(1-(B154/C154/100)),(INT(N154/B154)+(((N154-B154*INT(N154/B154)))/C154)/100))))</f>
        <v>0</v>
      </c>
      <c r="AZ154" s="57">
        <f>IF(ISERROR(IF(B154=C154,O154/C154,(INT(O154/B154)+(((O154-B154*INT(O154/B154)))/C154)/100))),0,(IF(B154=C154,O154/C154,(INT(O154/B154)+(((O154-B154*INT(O154/B154)))/C154)/100))))</f>
        <v>0</v>
      </c>
      <c r="BA154" s="57">
        <f>IF(ISERROR(IF(B154=C154,P154/C154,IF((INT(P154/B154)+(((P154-B154*INT(P154/B154)))/C154)/100)&lt;0,(INT(P154/B154)+(((P154-B154*INT(P154/B154)))/C154)/100)+(1-(B154/C154/100)),(INT(P154/B154)+(((P154-B154*INT(P154/B154)))/C154)/100)))),0,IF(B154=C154,P154/C154,IF((INT(P154/B154)+(((P154-B154*INT(P154/B154)))/C154)/100)&lt;0,(INT(P154/B154)+(((P154-B154*INT(P154/B154)))/C154)/100)+(1-(B154/C154/100)),(INT(P154/B154)+(((P154-B154*INT(P154/B154)))/C154)/100))))</f>
        <v>0</v>
      </c>
      <c r="BB154" s="28">
        <f>R154</f>
        <v>0</v>
      </c>
      <c r="BC154" s="28">
        <f>S154</f>
        <v>0</v>
      </c>
      <c r="BD154" s="28">
        <f>AF154</f>
        <v>0</v>
      </c>
      <c r="BE154" s="28">
        <f>T154</f>
        <v>0</v>
      </c>
      <c r="BG154" s="57">
        <f>IF(ISERROR(IF(B154=C154,V154/C154,(INT(V154/B154)+(((V154-B154*INT(V154/B154)))/C154)/100))),0,(IF(B154=C154,V154/C154,(INT(V154/B154)+(((V154-B154*INT(V154/B154)))/C154)/100))))</f>
        <v>0</v>
      </c>
      <c r="BH154" s="57">
        <f>IF(ISERROR(IF(B154=C154,W154/C154,(INT(W154/B154)+(((W154-B154*INT(W154/B154)))/C154)/100))),0,(IF(B154=C154,W154/C154,(INT(W154/B154)+(((W154-B154*INT(W154/B154)))/C154)/100))))</f>
        <v>0</v>
      </c>
      <c r="BI154" s="57">
        <f>IF(ISERROR(IF(B154=C154,X154/C154,(INT(X154/B154)+(((X154-B154*INT(X154/B154)))/C154)/100))),0,(IF(B154=C154,X154/C154,(INT(X154/B154)+(((X154-B154*INT(X154/B154)))/C154)/100))))</f>
        <v>0</v>
      </c>
      <c r="BJ154" s="57">
        <f>IF(ISERROR(IF(B154=C154,Y154/C154,(INT(Y154/B154)+(((Y154-B154*INT(Y154/B154)))/C154)/100))),0,(IF(B154=C154,Y154/C154,(INT(Y154/B154)+(((Y154-B154*INT(Y154/B154)))/C154)/100))))</f>
        <v>0</v>
      </c>
      <c r="BL154" s="57">
        <f>IF(ISERROR(IF(B154=C154,AA154/C154,(INT(AA154/B154)+(((AA154-B154*INT(AA154/B154)))/C154)/100))),0,(IF(B154=C154,AA154/C154,(INT(AA154/B154)+(((AA154-B154*INT(AA154/B154)))/C154)/100))))</f>
        <v>0</v>
      </c>
      <c r="BM154" s="57">
        <f>IF(ISERROR(IF(B154=C154,AB154/C154,(INT(AB154/B154)+(((AB154-B154*INT(AB154/B154)))/C154)/100))),0,(IF(B154=C154,AB154/C154,(INT(AB154/B154)+(((AB154-B154*INT(AB154/B154)))/C154)/100))))</f>
        <v>0</v>
      </c>
      <c r="BN154" s="57">
        <f>IF(ISERROR(IF(B154=C154,AC154/C154,(INT(AC154/B154)+(((AC154-B154*INT(AC154/B154)))/C154)/100))),0,(IF(B154=C154,AC154/C154,(INT(AC154/B154)+(((AC154-B154*INT(AC154/B154)))/C154)/100))))</f>
        <v>0</v>
      </c>
      <c r="BO154" s="57">
        <f>IF(ISERROR(IF(B154=C154,AD154/C154,(INT(AD154/B154)+(((AD154-B154*INT(AD154/B154)))/C154)/100))),0,(IF(B154=C154,AD154/C154,(INT(AD154/B154)+(((AD154-B154*INT(AD154/B154)))/C154)/100))))</f>
        <v>0</v>
      </c>
      <c r="BQ154" s="155"/>
    </row>
    <row r="155" spans="1:69" ht="16.5" hidden="1" customHeight="1" x14ac:dyDescent="0.35">
      <c r="A155" s="134"/>
      <c r="B155" s="113">
        <v>750</v>
      </c>
      <c r="C155" s="113">
        <v>30</v>
      </c>
      <c r="D155" s="28">
        <f>SUM(AA155:AD155)</f>
        <v>0</v>
      </c>
      <c r="E155" s="113">
        <v>0</v>
      </c>
      <c r="F155" s="113">
        <v>0</v>
      </c>
      <c r="G155" s="28">
        <f>SUM(D155:F155)</f>
        <v>0</v>
      </c>
      <c r="H155" s="125">
        <v>0</v>
      </c>
      <c r="I155" s="113">
        <v>0</v>
      </c>
      <c r="J155" s="125">
        <v>0</v>
      </c>
      <c r="K155" s="113">
        <v>0</v>
      </c>
      <c r="L155" s="113">
        <v>0</v>
      </c>
      <c r="M155" s="113">
        <v>0</v>
      </c>
      <c r="N155" s="28">
        <f>G155-SUM(H155:M155)</f>
        <v>0</v>
      </c>
      <c r="O155" s="28">
        <f>SUM(V155:Y155)</f>
        <v>0</v>
      </c>
      <c r="P155" s="28">
        <f>O155-N155</f>
        <v>0</v>
      </c>
      <c r="Q155" s="61" t="str">
        <f>IF(ISERROR(P155/SUM(H155:L155)),"",P155/SUM(H155:L155))</f>
        <v/>
      </c>
      <c r="R155" s="113">
        <v>0</v>
      </c>
      <c r="S155" s="28">
        <f>IF(ISERROR(P155/C155*R155),0,(P155/C155*R155))</f>
        <v>0</v>
      </c>
      <c r="T155" s="60">
        <f>IF(ISERROR(P155/B155*AF155),0,(P155/B155*AF155))</f>
        <v>0</v>
      </c>
      <c r="V155" s="113">
        <v>0</v>
      </c>
      <c r="W155" s="113">
        <v>0</v>
      </c>
      <c r="X155" s="113">
        <v>0</v>
      </c>
      <c r="Y155" s="113">
        <v>0</v>
      </c>
      <c r="AA155" s="113">
        <v>0</v>
      </c>
      <c r="AB155" s="113">
        <v>0</v>
      </c>
      <c r="AC155" s="113">
        <v>0</v>
      </c>
      <c r="AD155" s="113">
        <v>0</v>
      </c>
      <c r="AF155" s="113">
        <v>0</v>
      </c>
      <c r="AG155" s="28">
        <f>G155-O155</f>
        <v>0</v>
      </c>
      <c r="AH155" s="58">
        <f>IF(ISERROR(AG155/B155*AF155),0,(AG155/B155*AF155))</f>
        <v>0</v>
      </c>
      <c r="AI155" s="28">
        <f>SUM(H155:M155)</f>
        <v>0</v>
      </c>
      <c r="AJ155" s="28">
        <f>IF(ISERROR(AI155/B155*AF155),0,(AI155/B155*AF155))</f>
        <v>0</v>
      </c>
      <c r="AK155" s="58">
        <f>IF(ISERROR(O155/B155*AF155),0,(O155/B155*AF155))</f>
        <v>0</v>
      </c>
      <c r="AL155" s="28">
        <f>IF(ISERROR(H155/B155*AF155),0,(H155/B155*AF155))</f>
        <v>0</v>
      </c>
      <c r="AN155" s="51">
        <f>A155</f>
        <v>0</v>
      </c>
      <c r="AO155" s="57">
        <f>IF(ISERROR(IF(B155=C155,D155/C155,(INT(D155/B155)+(((D155-B155*INT(D155/B155)))/C155)/100))),0,(IF(B155=C155,D155/C155,(INT(D155/B155)+(((D155-B155*INT(D155/B155)))/C155)/100))))</f>
        <v>0</v>
      </c>
      <c r="AP155" s="57">
        <f>IF(ISERROR(IF(B155=C155,E155/C155,(INT(E155/B155)+(((E155-B155*INT(E155/B155)))/C155)/100))),0,(IF(B155=C155,E155/C155,(INT(E155/B155)+(((E155-B155*INT(E155/B155)))/C155)/100))))</f>
        <v>0</v>
      </c>
      <c r="AQ155" s="57">
        <f>IF(ISERROR(IF(B155=C155,F155/C155,IF((INT(F155/B155)+(((F155-B155*INT(F155/B155)))/C155)/100)&lt;0,(INT(F155/B155)+(((F155-B155*INT(F155/B155)))/C155)/100)+(1-(B155/C155/100)),(INT(F155/B155)+(((F155-B155*INT(F155/B155)))/C155)/100)))),0,IF(B155=C155,F155/C155,IF((INT(F155/B155)+(((F155-B155*INT(F155/B155)))/C155)/100)&lt;0,(INT(F155/B155)+(((F155-B155*INT(F155/B155)))/C155)/100)+(1-(B155/C155/100)),(INT(F155/B155)+(((F155-B155*INT(F155/B155)))/C155)/100))))</f>
        <v>0</v>
      </c>
      <c r="AR155" s="57">
        <f>IF(ISERROR(IF(B155=C155,G155/C155,(INT(G155/B155)+(((G155-B155*INT(G155/B155)))/C155)/100))),0,(IF(B155=C155,G155/C155,(INT(G155/B155)+(((G155-B155*INT(G155/B155)))/C155)/100))))</f>
        <v>0</v>
      </c>
      <c r="AS155" s="57">
        <f>IF(ISERROR(IF(B155=C155,H155/C155,(INT(H155/B155)+(((H155-B155*INT(H155/B155)))/C155)/100))),0,(IF(B155=C155,H155/C155,(INT(H155/B155)+(((H155-B155*INT(H155/B155)))/C155)/100))))</f>
        <v>0</v>
      </c>
      <c r="AT155" s="57">
        <f>IF(ISERROR(IF(B155=C155,I155/C155,(INT(I155/B155)+(((I155-B155*INT(I155/B155)))/C155)/100))),0,(IF(B155=C155,I155/C155,(INT(I155/B155)+(((I155-B155*INT(I155/B155)))/C155)/100))))</f>
        <v>0</v>
      </c>
      <c r="AU155" s="57">
        <f>IF(ISERROR(IF(B155=C155,J155/C155,(INT(J155/B155)+(((J155-B155*INT(J155/B155)))/C155)/100))),0,(IF(B155=C155,J155/C155,(INT(J155/B155)+(((J155-B155*INT(J155/B155)))/C155)/100))))</f>
        <v>0</v>
      </c>
      <c r="AV155" s="57">
        <f>IF(ISERROR(IF(B155=C155,K155/C155,IF((INT(K155/B155)+(((K155-B155*INT(K155/B155)))/C155)/100)&lt;0,(INT(K155/B155)+(((K155-B155*INT(K155/B155)))/C155)/100)+(1-(B155/C155/100)),(INT(K155/B155)+(((K155-B155*INT(K155/B155)))/C155)/100)))),0,IF(B155=C155,K155/C155,IF((INT(K155/B155)+(((K155-B155*INT(K155/B155)))/C155)/100)&lt;0,(INT(K155/B155)+(((K155-B155*INT(K155/B155)))/C155)/100)+(1-(B155/C155/100)),(INT(K155/B155)+(((K155-B155*INT(K155/B155)))/C155)/100))))</f>
        <v>0</v>
      </c>
      <c r="AW155" s="57">
        <f>IF(ISERROR(IF(B155=C155,L155/C155,(INT(L155/B155)+(((L155-B155*INT(L155/B155)))/C155)/100))),0,(IF(B155=C155,L155/C155,(INT(L155/B155)+(((L155-B155*INT(L155/B155)))/C155)/100))))</f>
        <v>0</v>
      </c>
      <c r="AX155" s="57">
        <f>IF(ISERROR(IF(B155=C155,M155/C155,(INT(M155/B155)+(((M155-B155*INT(M155/B155)))/C155)/100))),0,(IF(B155=C155,M155/C155,(INT(M155/B155)+(((M155-B155*INT(M155/B155)))/C155)/100))))</f>
        <v>0</v>
      </c>
      <c r="AY155" s="57">
        <f>IF(ISERROR(IF(B155=C155,N155/C155,IF((INT(N155/B155)+(((N155-B155*INT(N155/B155)))/C155)/100)&lt;0,(INT(N155/B155)+(((N155-B155*INT(N155/B155)))/C155)/100)+(1-(B155/C155/100)),(INT(N155/B155)+(((N155-B155*INT(N155/B155)))/C155)/100)))),0,IF(B155=C155,N155/C155,IF((INT(N155/B155)+(((N155-B155*INT(N155/B155)))/C155)/100)&lt;0,(INT(N155/B155)+(((N155-B155*INT(N155/B155)))/C155)/100)+(1-(B155/C155/100)),(INT(N155/B155)+(((N155-B155*INT(N155/B155)))/C155)/100))))</f>
        <v>0</v>
      </c>
      <c r="AZ155" s="57">
        <f>IF(ISERROR(IF(B155=C155,O155/C155,(INT(O155/B155)+(((O155-B155*INT(O155/B155)))/C155)/100))),0,(IF(B155=C155,O155/C155,(INT(O155/B155)+(((O155-B155*INT(O155/B155)))/C155)/100))))</f>
        <v>0</v>
      </c>
      <c r="BA155" s="57">
        <f>IF(ISERROR(IF(B155=C155,P155/C155,IF((INT(P155/B155)+(((P155-B155*INT(P155/B155)))/C155)/100)&lt;0,(INT(P155/B155)+(((P155-B155*INT(P155/B155)))/C155)/100)+(1-(B155/C155/100)),(INT(P155/B155)+(((P155-B155*INT(P155/B155)))/C155)/100)))),0,IF(B155=C155,P155/C155,IF((INT(P155/B155)+(((P155-B155*INT(P155/B155)))/C155)/100)&lt;0,(INT(P155/B155)+(((P155-B155*INT(P155/B155)))/C155)/100)+(1-(B155/C155/100)),(INT(P155/B155)+(((P155-B155*INT(P155/B155)))/C155)/100))))</f>
        <v>0</v>
      </c>
      <c r="BB155" s="28">
        <f>R155</f>
        <v>0</v>
      </c>
      <c r="BC155" s="28">
        <f>S155</f>
        <v>0</v>
      </c>
      <c r="BD155" s="28">
        <f>AF155</f>
        <v>0</v>
      </c>
      <c r="BE155" s="28">
        <f>T155</f>
        <v>0</v>
      </c>
      <c r="BG155" s="57">
        <f>IF(ISERROR(IF(B155=C155,V155/C155,(INT(V155/B155)+(((V155-B155*INT(V155/B155)))/C155)/100))),0,(IF(B155=C155,V155/C155,(INT(V155/B155)+(((V155-B155*INT(V155/B155)))/C155)/100))))</f>
        <v>0</v>
      </c>
      <c r="BH155" s="57">
        <f>IF(ISERROR(IF(B155=C155,W155/C155,(INT(W155/B155)+(((W155-B155*INT(W155/B155)))/C155)/100))),0,(IF(B155=C155,W155/C155,(INT(W155/B155)+(((W155-B155*INT(W155/B155)))/C155)/100))))</f>
        <v>0</v>
      </c>
      <c r="BI155" s="57">
        <f>IF(ISERROR(IF(B155=C155,X155/C155,(INT(X155/B155)+(((X155-B155*INT(X155/B155)))/C155)/100))),0,(IF(B155=C155,X155/C155,(INT(X155/B155)+(((X155-B155*INT(X155/B155)))/C155)/100))))</f>
        <v>0</v>
      </c>
      <c r="BJ155" s="57">
        <f>IF(ISERROR(IF(B155=C155,Y155/C155,(INT(Y155/B155)+(((Y155-B155*INT(Y155/B155)))/C155)/100))),0,(IF(B155=C155,Y155/C155,(INT(Y155/B155)+(((Y155-B155*INT(Y155/B155)))/C155)/100))))</f>
        <v>0</v>
      </c>
      <c r="BL155" s="57">
        <f>IF(ISERROR(IF(B155=C155,AA155/C155,(INT(AA155/B155)+(((AA155-B155*INT(AA155/B155)))/C155)/100))),0,(IF(B155=C155,AA155/C155,(INT(AA155/B155)+(((AA155-B155*INT(AA155/B155)))/C155)/100))))</f>
        <v>0</v>
      </c>
      <c r="BM155" s="57">
        <f>IF(ISERROR(IF(B155=C155,AB155/C155,(INT(AB155/B155)+(((AB155-B155*INT(AB155/B155)))/C155)/100))),0,(IF(B155=C155,AB155/C155,(INT(AB155/B155)+(((AB155-B155*INT(AB155/B155)))/C155)/100))))</f>
        <v>0</v>
      </c>
      <c r="BN155" s="57">
        <f>IF(ISERROR(IF(B155=C155,AC155/C155,(INT(AC155/B155)+(((AC155-B155*INT(AC155/B155)))/C155)/100))),0,(IF(B155=C155,AC155/C155,(INT(AC155/B155)+(((AC155-B155*INT(AC155/B155)))/C155)/100))))</f>
        <v>0</v>
      </c>
      <c r="BO155" s="57">
        <f>IF(ISERROR(IF(B155=C155,AD155/C155,(INT(AD155/B155)+(((AD155-B155*INT(AD155/B155)))/C155)/100))),0,(IF(B155=C155,AD155/C155,(INT(AD155/B155)+(((AD155-B155*INT(AD155/B155)))/C155)/100))))</f>
        <v>0</v>
      </c>
      <c r="BQ155" s="155"/>
    </row>
    <row r="156" spans="1:69" hidden="1" x14ac:dyDescent="0.35">
      <c r="A156" s="94"/>
      <c r="B156" s="113">
        <v>750</v>
      </c>
      <c r="C156" s="113">
        <v>30</v>
      </c>
      <c r="D156" s="28">
        <f>SUM(AA156:AD156)</f>
        <v>0</v>
      </c>
      <c r="E156" s="113">
        <v>0</v>
      </c>
      <c r="F156" s="113">
        <v>0</v>
      </c>
      <c r="G156" s="28">
        <f>SUM(D156:F156)</f>
        <v>0</v>
      </c>
      <c r="H156" s="125">
        <v>0</v>
      </c>
      <c r="I156" s="113">
        <v>0</v>
      </c>
      <c r="J156" s="125">
        <v>0</v>
      </c>
      <c r="K156" s="113">
        <v>0</v>
      </c>
      <c r="L156" s="113">
        <v>0</v>
      </c>
      <c r="M156" s="113">
        <v>0</v>
      </c>
      <c r="N156" s="28">
        <f>G156-SUM(H156:M156)</f>
        <v>0</v>
      </c>
      <c r="O156" s="28">
        <f>SUM(V156:Y156)</f>
        <v>0</v>
      </c>
      <c r="P156" s="28">
        <f>O156-N156</f>
        <v>0</v>
      </c>
      <c r="Q156" s="61" t="str">
        <f>IF(ISERROR(P156/SUM(H156:L156)),"",P156/SUM(H156:L156))</f>
        <v/>
      </c>
      <c r="R156" s="113">
        <v>0</v>
      </c>
      <c r="S156" s="28">
        <f>IF(ISERROR(P156/C156*R156),0,(P156/C156*R156))</f>
        <v>0</v>
      </c>
      <c r="T156" s="60">
        <f>IF(ISERROR(P156/B156*AF156),0,(P156/B156*AF156))</f>
        <v>0</v>
      </c>
      <c r="V156" s="113">
        <v>0</v>
      </c>
      <c r="W156" s="113">
        <v>0</v>
      </c>
      <c r="X156" s="113">
        <v>0</v>
      </c>
      <c r="Y156" s="113">
        <v>0</v>
      </c>
      <c r="AA156" s="113">
        <v>0</v>
      </c>
      <c r="AB156" s="113">
        <v>0</v>
      </c>
      <c r="AC156" s="113">
        <v>0</v>
      </c>
      <c r="AD156" s="113">
        <v>0</v>
      </c>
      <c r="AF156" s="113">
        <v>0</v>
      </c>
      <c r="AG156" s="28">
        <f>G156-O156</f>
        <v>0</v>
      </c>
      <c r="AH156" s="58">
        <f>IF(ISERROR(AG156/B156*AF156),0,(AG156/B156*AF156))</f>
        <v>0</v>
      </c>
      <c r="AI156" s="28">
        <f>SUM(H156:M156)</f>
        <v>0</v>
      </c>
      <c r="AJ156" s="28">
        <f>IF(ISERROR(AI156/B156*AF156),0,(AI156/B156*AF156))</f>
        <v>0</v>
      </c>
      <c r="AK156" s="58">
        <f>IF(ISERROR(O156/B156*AF156),0,(O156/B156*AF156))</f>
        <v>0</v>
      </c>
      <c r="AL156" s="28">
        <f>IF(ISERROR(H156/B156*AF156),0,(H156/B156*AF156))</f>
        <v>0</v>
      </c>
      <c r="AN156" s="51">
        <f>A156</f>
        <v>0</v>
      </c>
      <c r="AO156" s="57">
        <f>IF(ISERROR(IF(B156=C156,D156/C156,(INT(D156/B156)+(((D156-B156*INT(D156/B156)))/C156)/100))),0,(IF(B156=C156,D156/C156,(INT(D156/B156)+(((D156-B156*INT(D156/B156)))/C156)/100))))</f>
        <v>0</v>
      </c>
      <c r="AP156" s="57">
        <f>IF(ISERROR(IF(B156=C156,E156/C156,(INT(E156/B156)+(((E156-B156*INT(E156/B156)))/C156)/100))),0,(IF(B156=C156,E156/C156,(INT(E156/B156)+(((E156-B156*INT(E156/B156)))/C156)/100))))</f>
        <v>0</v>
      </c>
      <c r="AQ156" s="57">
        <f>IF(ISERROR(IF(B156=C156,F156/C156,IF((INT(F156/B156)+(((F156-B156*INT(F156/B156)))/C156)/100)&lt;0,(INT(F156/B156)+(((F156-B156*INT(F156/B156)))/C156)/100)+(1-(B156/C156/100)),(INT(F156/B156)+(((F156-B156*INT(F156/B156)))/C156)/100)))),0,IF(B156=C156,F156/C156,IF((INT(F156/B156)+(((F156-B156*INT(F156/B156)))/C156)/100)&lt;0,(INT(F156/B156)+(((F156-B156*INT(F156/B156)))/C156)/100)+(1-(B156/C156/100)),(INT(F156/B156)+(((F156-B156*INT(F156/B156)))/C156)/100))))</f>
        <v>0</v>
      </c>
      <c r="AR156" s="57">
        <f>IF(ISERROR(IF(B156=C156,G156/C156,(INT(G156/B156)+(((G156-B156*INT(G156/B156)))/C156)/100))),0,(IF(B156=C156,G156/C156,(INT(G156/B156)+(((G156-B156*INT(G156/B156)))/C156)/100))))</f>
        <v>0</v>
      </c>
      <c r="AS156" s="57">
        <f>IF(ISERROR(IF(B156=C156,H156/C156,(INT(H156/B156)+(((H156-B156*INT(H156/B156)))/C156)/100))),0,(IF(B156=C156,H156/C156,(INT(H156/B156)+(((H156-B156*INT(H156/B156)))/C156)/100))))</f>
        <v>0</v>
      </c>
      <c r="AT156" s="57">
        <f>IF(ISERROR(IF(B156=C156,I156/C156,(INT(I156/B156)+(((I156-B156*INT(I156/B156)))/C156)/100))),0,(IF(B156=C156,I156/C156,(INT(I156/B156)+(((I156-B156*INT(I156/B156)))/C156)/100))))</f>
        <v>0</v>
      </c>
      <c r="AU156" s="57">
        <f>IF(ISERROR(IF(B156=C156,J156/C156,(INT(J156/B156)+(((J156-B156*INT(J156/B156)))/C156)/100))),0,(IF(B156=C156,J156/C156,(INT(J156/B156)+(((J156-B156*INT(J156/B156)))/C156)/100))))</f>
        <v>0</v>
      </c>
      <c r="AV156" s="57">
        <f>IF(ISERROR(IF(B156=C156,K156/C156,IF((INT(K156/B156)+(((K156-B156*INT(K156/B156)))/C156)/100)&lt;0,(INT(K156/B156)+(((K156-B156*INT(K156/B156)))/C156)/100)+(1-(B156/C156/100)),(INT(K156/B156)+(((K156-B156*INT(K156/B156)))/C156)/100)))),0,IF(B156=C156,K156/C156,IF((INT(K156/B156)+(((K156-B156*INT(K156/B156)))/C156)/100)&lt;0,(INT(K156/B156)+(((K156-B156*INT(K156/B156)))/C156)/100)+(1-(B156/C156/100)),(INT(K156/B156)+(((K156-B156*INT(K156/B156)))/C156)/100))))</f>
        <v>0</v>
      </c>
      <c r="AW156" s="57">
        <f>IF(ISERROR(IF(B156=C156,L156/C156,(INT(L156/B156)+(((L156-B156*INT(L156/B156)))/C156)/100))),0,(IF(B156=C156,L156/C156,(INT(L156/B156)+(((L156-B156*INT(L156/B156)))/C156)/100))))</f>
        <v>0</v>
      </c>
      <c r="AX156" s="57">
        <f>IF(ISERROR(IF(B156=C156,M156/C156,(INT(M156/B156)+(((M156-B156*INT(M156/B156)))/C156)/100))),0,(IF(B156=C156,M156/C156,(INT(M156/B156)+(((M156-B156*INT(M156/B156)))/C156)/100))))</f>
        <v>0</v>
      </c>
      <c r="AY156" s="57">
        <f>IF(ISERROR(IF(B156=C156,N156/C156,IF((INT(N156/B156)+(((N156-B156*INT(N156/B156)))/C156)/100)&lt;0,(INT(N156/B156)+(((N156-B156*INT(N156/B156)))/C156)/100)+(1-(B156/C156/100)),(INT(N156/B156)+(((N156-B156*INT(N156/B156)))/C156)/100)))),0,IF(B156=C156,N156/C156,IF((INT(N156/B156)+(((N156-B156*INT(N156/B156)))/C156)/100)&lt;0,(INT(N156/B156)+(((N156-B156*INT(N156/B156)))/C156)/100)+(1-(B156/C156/100)),(INT(N156/B156)+(((N156-B156*INT(N156/B156)))/C156)/100))))</f>
        <v>0</v>
      </c>
      <c r="AZ156" s="57">
        <f>IF(ISERROR(IF(B156=C156,O156/C156,(INT(O156/B156)+(((O156-B156*INT(O156/B156)))/C156)/100))),0,(IF(B156=C156,O156/C156,(INT(O156/B156)+(((O156-B156*INT(O156/B156)))/C156)/100))))</f>
        <v>0</v>
      </c>
      <c r="BA156" s="57">
        <f>IF(ISERROR(IF(B156=C156,P156/C156,IF((INT(P156/B156)+(((P156-B156*INT(P156/B156)))/C156)/100)&lt;0,(INT(P156/B156)+(((P156-B156*INT(P156/B156)))/C156)/100)+(1-(B156/C156/100)),(INT(P156/B156)+(((P156-B156*INT(P156/B156)))/C156)/100)))),0,IF(B156=C156,P156/C156,IF((INT(P156/B156)+(((P156-B156*INT(P156/B156)))/C156)/100)&lt;0,(INT(P156/B156)+(((P156-B156*INT(P156/B156)))/C156)/100)+(1-(B156/C156/100)),(INT(P156/B156)+(((P156-B156*INT(P156/B156)))/C156)/100))))</f>
        <v>0</v>
      </c>
      <c r="BB156" s="28">
        <f>R156</f>
        <v>0</v>
      </c>
      <c r="BC156" s="28">
        <f>S156</f>
        <v>0</v>
      </c>
      <c r="BD156" s="28">
        <f>AF156</f>
        <v>0</v>
      </c>
      <c r="BE156" s="28">
        <f>T156</f>
        <v>0</v>
      </c>
      <c r="BG156" s="57">
        <f>IF(ISERROR(IF(B156=C156,V156/C156,(INT(V156/B156)+(((V156-B156*INT(V156/B156)))/C156)/100))),0,(IF(B156=C156,V156/C156,(INT(V156/B156)+(((V156-B156*INT(V156/B156)))/C156)/100))))</f>
        <v>0</v>
      </c>
      <c r="BH156" s="57">
        <f>IF(ISERROR(IF(B156=C156,W156/C156,(INT(W156/B156)+(((W156-B156*INT(W156/B156)))/C156)/100))),0,(IF(B156=C156,W156/C156,(INT(W156/B156)+(((W156-B156*INT(W156/B156)))/C156)/100))))</f>
        <v>0</v>
      </c>
      <c r="BI156" s="57">
        <f>IF(ISERROR(IF(B156=C156,X156/C156,(INT(X156/B156)+(((X156-B156*INT(X156/B156)))/C156)/100))),0,(IF(B156=C156,X156/C156,(INT(X156/B156)+(((X156-B156*INT(X156/B156)))/C156)/100))))</f>
        <v>0</v>
      </c>
      <c r="BJ156" s="57">
        <f>IF(ISERROR(IF(B156=C156,Y156/C156,(INT(Y156/B156)+(((Y156-B156*INT(Y156/B156)))/C156)/100))),0,(IF(B156=C156,Y156/C156,(INT(Y156/B156)+(((Y156-B156*INT(Y156/B156)))/C156)/100))))</f>
        <v>0</v>
      </c>
      <c r="BL156" s="57">
        <f>IF(ISERROR(IF(B156=C156,AA156/C156,(INT(AA156/B156)+(((AA156-B156*INT(AA156/B156)))/C156)/100))),0,(IF(B156=C156,AA156/C156,(INT(AA156/B156)+(((AA156-B156*INT(AA156/B156)))/C156)/100))))</f>
        <v>0</v>
      </c>
      <c r="BM156" s="57">
        <f>IF(ISERROR(IF(B156=C156,AB156/C156,(INT(AB156/B156)+(((AB156-B156*INT(AB156/B156)))/C156)/100))),0,(IF(B156=C156,AB156/C156,(INT(AB156/B156)+(((AB156-B156*INT(AB156/B156)))/C156)/100))))</f>
        <v>0</v>
      </c>
      <c r="BN156" s="57">
        <f>IF(ISERROR(IF(B156=C156,AC156/C156,(INT(AC156/B156)+(((AC156-B156*INT(AC156/B156)))/C156)/100))),0,(IF(B156=C156,AC156/C156,(INT(AC156/B156)+(((AC156-B156*INT(AC156/B156)))/C156)/100))))</f>
        <v>0</v>
      </c>
      <c r="BO156" s="57">
        <f>IF(ISERROR(IF(B156=C156,AD156/C156,(INT(AD156/B156)+(((AD156-B156*INT(AD156/B156)))/C156)/100))),0,(IF(B156=C156,AD156/C156,(INT(AD156/B156)+(((AD156-B156*INT(AD156/B156)))/C156)/100))))</f>
        <v>0</v>
      </c>
      <c r="BQ156" s="155"/>
    </row>
    <row r="157" spans="1:69" hidden="1" x14ac:dyDescent="0.35">
      <c r="A157" s="134"/>
      <c r="B157" s="113">
        <v>750</v>
      </c>
      <c r="C157" s="113">
        <v>30</v>
      </c>
      <c r="D157" s="28">
        <f>SUM(AA157:AD157)</f>
        <v>0</v>
      </c>
      <c r="E157" s="113">
        <v>0</v>
      </c>
      <c r="F157" s="113">
        <v>0</v>
      </c>
      <c r="G157" s="28">
        <f>SUM(D157:F157)</f>
        <v>0</v>
      </c>
      <c r="H157" s="125">
        <v>0</v>
      </c>
      <c r="I157" s="113">
        <v>0</v>
      </c>
      <c r="J157" s="125">
        <v>0</v>
      </c>
      <c r="K157" s="113">
        <v>0</v>
      </c>
      <c r="L157" s="113">
        <v>0</v>
      </c>
      <c r="M157" s="113">
        <v>0</v>
      </c>
      <c r="N157" s="28">
        <f>G157-SUM(H157:M157)</f>
        <v>0</v>
      </c>
      <c r="O157" s="28">
        <f>SUM(V157:Y157)</f>
        <v>0</v>
      </c>
      <c r="P157" s="28">
        <f>O157-N157</f>
        <v>0</v>
      </c>
      <c r="Q157" s="61" t="str">
        <f>IF(ISERROR(P157/SUM(H157:L157)),"",P157/SUM(H157:L157))</f>
        <v/>
      </c>
      <c r="R157" s="113">
        <v>0</v>
      </c>
      <c r="S157" s="28">
        <f>IF(ISERROR(P157/C157*R157),0,(P157/C157*R157))</f>
        <v>0</v>
      </c>
      <c r="T157" s="60">
        <f>IF(ISERROR(P157/B157*AF157),0,(P157/B157*AF157))</f>
        <v>0</v>
      </c>
      <c r="V157" s="113">
        <v>0</v>
      </c>
      <c r="W157" s="113">
        <v>0</v>
      </c>
      <c r="X157" s="113">
        <v>0</v>
      </c>
      <c r="Y157" s="113">
        <v>0</v>
      </c>
      <c r="AA157" s="113">
        <v>0</v>
      </c>
      <c r="AB157" s="113">
        <v>0</v>
      </c>
      <c r="AC157" s="113">
        <v>0</v>
      </c>
      <c r="AD157" s="113">
        <v>0</v>
      </c>
      <c r="AF157" s="113">
        <v>0</v>
      </c>
      <c r="AG157" s="28">
        <f>G157-O157</f>
        <v>0</v>
      </c>
      <c r="AH157" s="58">
        <f>IF(ISERROR(AG157/B157*AF157),0,(AG157/B157*AF157))</f>
        <v>0</v>
      </c>
      <c r="AI157" s="28">
        <f>SUM(H157:M157)</f>
        <v>0</v>
      </c>
      <c r="AJ157" s="28">
        <f>IF(ISERROR(AI157/B157*AF157),0,(AI157/B157*AF157))</f>
        <v>0</v>
      </c>
      <c r="AK157" s="58">
        <f>IF(ISERROR(O157/B157*AF157),0,(O157/B157*AF157))</f>
        <v>0</v>
      </c>
      <c r="AL157" s="28">
        <f>IF(ISERROR(H157/B157*AF157),0,(H157/B157*AF157))</f>
        <v>0</v>
      </c>
      <c r="AN157" s="51">
        <f>A157</f>
        <v>0</v>
      </c>
      <c r="AO157" s="57">
        <f>IF(ISERROR(IF(B157=C157,D157/C157,(INT(D157/B157)+(((D157-B157*INT(D157/B157)))/C157)/100))),0,(IF(B157=C157,D157/C157,(INT(D157/B157)+(((D157-B157*INT(D157/B157)))/C157)/100))))</f>
        <v>0</v>
      </c>
      <c r="AP157" s="57">
        <f>IF(ISERROR(IF(B157=C157,E157/C157,(INT(E157/B157)+(((E157-B157*INT(E157/B157)))/C157)/100))),0,(IF(B157=C157,E157/C157,(INT(E157/B157)+(((E157-B157*INT(E157/B157)))/C157)/100))))</f>
        <v>0</v>
      </c>
      <c r="AQ157" s="57">
        <f>IF(ISERROR(IF(B157=C157,F157/C157,IF((INT(F157/B157)+(((F157-B157*INT(F157/B157)))/C157)/100)&lt;0,(INT(F157/B157)+(((F157-B157*INT(F157/B157)))/C157)/100)+(1-(B157/C157/100)),(INT(F157/B157)+(((F157-B157*INT(F157/B157)))/C157)/100)))),0,IF(B157=C157,F157/C157,IF((INT(F157/B157)+(((F157-B157*INT(F157/B157)))/C157)/100)&lt;0,(INT(F157/B157)+(((F157-B157*INT(F157/B157)))/C157)/100)+(1-(B157/C157/100)),(INT(F157/B157)+(((F157-B157*INT(F157/B157)))/C157)/100))))</f>
        <v>0</v>
      </c>
      <c r="AR157" s="57">
        <f>IF(ISERROR(IF(B157=C157,G157/C157,(INT(G157/B157)+(((G157-B157*INT(G157/B157)))/C157)/100))),0,(IF(B157=C157,G157/C157,(INT(G157/B157)+(((G157-B157*INT(G157/B157)))/C157)/100))))</f>
        <v>0</v>
      </c>
      <c r="AS157" s="57">
        <f>IF(ISERROR(IF(B157=C157,H157/C157,(INT(H157/B157)+(((H157-B157*INT(H157/B157)))/C157)/100))),0,(IF(B157=C157,H157/C157,(INT(H157/B157)+(((H157-B157*INT(H157/B157)))/C157)/100))))</f>
        <v>0</v>
      </c>
      <c r="AT157" s="57">
        <f>IF(ISERROR(IF(B157=C157,I157/C157,(INT(I157/B157)+(((I157-B157*INT(I157/B157)))/C157)/100))),0,(IF(B157=C157,I157/C157,(INT(I157/B157)+(((I157-B157*INT(I157/B157)))/C157)/100))))</f>
        <v>0</v>
      </c>
      <c r="AU157" s="57">
        <f>IF(ISERROR(IF(B157=C157,J157/C157,(INT(J157/B157)+(((J157-B157*INT(J157/B157)))/C157)/100))),0,(IF(B157=C157,J157/C157,(INT(J157/B157)+(((J157-B157*INT(J157/B157)))/C157)/100))))</f>
        <v>0</v>
      </c>
      <c r="AV157" s="57">
        <f>IF(ISERROR(IF(B157=C157,K157/C157,IF((INT(K157/B157)+(((K157-B157*INT(K157/B157)))/C157)/100)&lt;0,(INT(K157/B157)+(((K157-B157*INT(K157/B157)))/C157)/100)+(1-(B157/C157/100)),(INT(K157/B157)+(((K157-B157*INT(K157/B157)))/C157)/100)))),0,IF(B157=C157,K157/C157,IF((INT(K157/B157)+(((K157-B157*INT(K157/B157)))/C157)/100)&lt;0,(INT(K157/B157)+(((K157-B157*INT(K157/B157)))/C157)/100)+(1-(B157/C157/100)),(INT(K157/B157)+(((K157-B157*INT(K157/B157)))/C157)/100))))</f>
        <v>0</v>
      </c>
      <c r="AW157" s="57">
        <f>IF(ISERROR(IF(B157=C157,L157/C157,(INT(L157/B157)+(((L157-B157*INT(L157/B157)))/C157)/100))),0,(IF(B157=C157,L157/C157,(INT(L157/B157)+(((L157-B157*INT(L157/B157)))/C157)/100))))</f>
        <v>0</v>
      </c>
      <c r="AX157" s="57">
        <f>IF(ISERROR(IF(B157=C157,M157/C157,(INT(M157/B157)+(((M157-B157*INT(M157/B157)))/C157)/100))),0,(IF(B157=C157,M157/C157,(INT(M157/B157)+(((M157-B157*INT(M157/B157)))/C157)/100))))</f>
        <v>0</v>
      </c>
      <c r="AY157" s="57">
        <f>IF(ISERROR(IF(B157=C157,N157/C157,IF((INT(N157/B157)+(((N157-B157*INT(N157/B157)))/C157)/100)&lt;0,(INT(N157/B157)+(((N157-B157*INT(N157/B157)))/C157)/100)+(1-(B157/C157/100)),(INT(N157/B157)+(((N157-B157*INT(N157/B157)))/C157)/100)))),0,IF(B157=C157,N157/C157,IF((INT(N157/B157)+(((N157-B157*INT(N157/B157)))/C157)/100)&lt;0,(INT(N157/B157)+(((N157-B157*INT(N157/B157)))/C157)/100)+(1-(B157/C157/100)),(INT(N157/B157)+(((N157-B157*INT(N157/B157)))/C157)/100))))</f>
        <v>0</v>
      </c>
      <c r="AZ157" s="57">
        <f>IF(ISERROR(IF(B157=C157,O157/C157,(INT(O157/B157)+(((O157-B157*INT(O157/B157)))/C157)/100))),0,(IF(B157=C157,O157/C157,(INT(O157/B157)+(((O157-B157*INT(O157/B157)))/C157)/100))))</f>
        <v>0</v>
      </c>
      <c r="BA157" s="57">
        <f>IF(ISERROR(IF(B157=C157,P157/C157,IF((INT(P157/B157)+(((P157-B157*INT(P157/B157)))/C157)/100)&lt;0,(INT(P157/B157)+(((P157-B157*INT(P157/B157)))/C157)/100)+(1-(B157/C157/100)),(INT(P157/B157)+(((P157-B157*INT(P157/B157)))/C157)/100)))),0,IF(B157=C157,P157/C157,IF((INT(P157/B157)+(((P157-B157*INT(P157/B157)))/C157)/100)&lt;0,(INT(P157/B157)+(((P157-B157*INT(P157/B157)))/C157)/100)+(1-(B157/C157/100)),(INT(P157/B157)+(((P157-B157*INT(P157/B157)))/C157)/100))))</f>
        <v>0</v>
      </c>
      <c r="BB157" s="28">
        <f>R157</f>
        <v>0</v>
      </c>
      <c r="BC157" s="28">
        <f>S157</f>
        <v>0</v>
      </c>
      <c r="BD157" s="28">
        <f>AF157</f>
        <v>0</v>
      </c>
      <c r="BE157" s="28">
        <f>T157</f>
        <v>0</v>
      </c>
      <c r="BG157" s="57">
        <f>IF(ISERROR(IF(B157=C157,V157/C157,(INT(V157/B157)+(((V157-B157*INT(V157/B157)))/C157)/100))),0,(IF(B157=C157,V157/C157,(INT(V157/B157)+(((V157-B157*INT(V157/B157)))/C157)/100))))</f>
        <v>0</v>
      </c>
      <c r="BH157" s="57">
        <f>IF(ISERROR(IF(B157=C157,W157/C157,(INT(W157/B157)+(((W157-B157*INT(W157/B157)))/C157)/100))),0,(IF(B157=C157,W157/C157,(INT(W157/B157)+(((W157-B157*INT(W157/B157)))/C157)/100))))</f>
        <v>0</v>
      </c>
      <c r="BI157" s="57">
        <f>IF(ISERROR(IF(B157=C157,X157/C157,(INT(X157/B157)+(((X157-B157*INT(X157/B157)))/C157)/100))),0,(IF(B157=C157,X157/C157,(INT(X157/B157)+(((X157-B157*INT(X157/B157)))/C157)/100))))</f>
        <v>0</v>
      </c>
      <c r="BJ157" s="57">
        <f>IF(ISERROR(IF(B157=C157,Y157/C157,(INT(Y157/B157)+(((Y157-B157*INT(Y157/B157)))/C157)/100))),0,(IF(B157=C157,Y157/C157,(INT(Y157/B157)+(((Y157-B157*INT(Y157/B157)))/C157)/100))))</f>
        <v>0</v>
      </c>
      <c r="BL157" s="57">
        <f>IF(ISERROR(IF(B157=C157,AA157/C157,(INT(AA157/B157)+(((AA157-B157*INT(AA157/B157)))/C157)/100))),0,(IF(B157=C157,AA157/C157,(INT(AA157/B157)+(((AA157-B157*INT(AA157/B157)))/C157)/100))))</f>
        <v>0</v>
      </c>
      <c r="BM157" s="57">
        <f>IF(ISERROR(IF(B157=C157,AB157/C157,(INT(AB157/B157)+(((AB157-B157*INT(AB157/B157)))/C157)/100))),0,(IF(B157=C157,AB157/C157,(INT(AB157/B157)+(((AB157-B157*INT(AB157/B157)))/C157)/100))))</f>
        <v>0</v>
      </c>
      <c r="BN157" s="57">
        <f>IF(ISERROR(IF(B157=C157,AC157/C157,(INT(AC157/B157)+(((AC157-B157*INT(AC157/B157)))/C157)/100))),0,(IF(B157=C157,AC157/C157,(INT(AC157/B157)+(((AC157-B157*INT(AC157/B157)))/C157)/100))))</f>
        <v>0</v>
      </c>
      <c r="BO157" s="57">
        <f>IF(ISERROR(IF(B157=C157,AD157/C157,(INT(AD157/B157)+(((AD157-B157*INT(AD157/B157)))/C157)/100))),0,(IF(B157=C157,AD157/C157,(INT(AD157/B157)+(((AD157-B157*INT(AD157/B157)))/C157)/100))))</f>
        <v>0</v>
      </c>
      <c r="BQ157" s="155"/>
    </row>
    <row r="158" spans="1:69" hidden="1" x14ac:dyDescent="0.35">
      <c r="A158" s="134"/>
      <c r="B158" s="113">
        <v>750</v>
      </c>
      <c r="C158" s="113">
        <v>30</v>
      </c>
      <c r="D158" s="28">
        <f>SUM(AA158:AD158)</f>
        <v>0</v>
      </c>
      <c r="E158" s="113">
        <v>0</v>
      </c>
      <c r="F158" s="113">
        <v>0</v>
      </c>
      <c r="G158" s="28">
        <f>SUM(D158:F158)</f>
        <v>0</v>
      </c>
      <c r="H158" s="125">
        <v>0</v>
      </c>
      <c r="I158" s="113">
        <v>0</v>
      </c>
      <c r="J158" s="125">
        <v>0</v>
      </c>
      <c r="K158" s="113">
        <v>0</v>
      </c>
      <c r="L158" s="113">
        <v>0</v>
      </c>
      <c r="M158" s="113">
        <v>0</v>
      </c>
      <c r="N158" s="28">
        <f>G158-SUM(H158:M158)</f>
        <v>0</v>
      </c>
      <c r="O158" s="28">
        <f>SUM(V158:Y158)</f>
        <v>0</v>
      </c>
      <c r="P158" s="28">
        <f>O158-N158</f>
        <v>0</v>
      </c>
      <c r="Q158" s="61" t="str">
        <f>IF(ISERROR(P158/SUM(H158:L158)),"",P158/SUM(H158:L158))</f>
        <v/>
      </c>
      <c r="R158" s="113">
        <v>0</v>
      </c>
      <c r="S158" s="28">
        <f>IF(ISERROR(P158/C158*R158),0,(P158/C158*R158))</f>
        <v>0</v>
      </c>
      <c r="T158" s="60">
        <f>IF(ISERROR(P158/B158*AF158),0,(P158/B158*AF158))</f>
        <v>0</v>
      </c>
      <c r="V158" s="113">
        <v>0</v>
      </c>
      <c r="W158" s="113">
        <v>0</v>
      </c>
      <c r="X158" s="113">
        <v>0</v>
      </c>
      <c r="Y158" s="113">
        <v>0</v>
      </c>
      <c r="AA158" s="113">
        <v>0</v>
      </c>
      <c r="AB158" s="113">
        <v>0</v>
      </c>
      <c r="AC158" s="113">
        <v>0</v>
      </c>
      <c r="AD158" s="113">
        <v>0</v>
      </c>
      <c r="AF158" s="113">
        <v>0</v>
      </c>
      <c r="AG158" s="28">
        <f>G158-O158</f>
        <v>0</v>
      </c>
      <c r="AH158" s="58">
        <f>IF(ISERROR(AG158/B158*AF158),0,(AG158/B158*AF158))</f>
        <v>0</v>
      </c>
      <c r="AI158" s="28">
        <f>SUM(H158:M158)</f>
        <v>0</v>
      </c>
      <c r="AJ158" s="28">
        <f>IF(ISERROR(AI158/B158*AF158),0,(AI158/B158*AF158))</f>
        <v>0</v>
      </c>
      <c r="AK158" s="58">
        <f>IF(ISERROR(O158/B158*AF158),0,(O158/B158*AF158))</f>
        <v>0</v>
      </c>
      <c r="AL158" s="28">
        <f>IF(ISERROR(H158/B158*AF158),0,(H158/B158*AF158))</f>
        <v>0</v>
      </c>
      <c r="AN158" s="51">
        <f>A158</f>
        <v>0</v>
      </c>
      <c r="AO158" s="57">
        <f>IF(ISERROR(IF(B158=C158,D158/C158,(INT(D158/B158)+(((D158-B158*INT(D158/B158)))/C158)/100))),0,(IF(B158=C158,D158/C158,(INT(D158/B158)+(((D158-B158*INT(D158/B158)))/C158)/100))))</f>
        <v>0</v>
      </c>
      <c r="AP158" s="57">
        <f>IF(ISERROR(IF(B158=C158,E158/C158,(INT(E158/B158)+(((E158-B158*INT(E158/B158)))/C158)/100))),0,(IF(B158=C158,E158/C158,(INT(E158/B158)+(((E158-B158*INT(E158/B158)))/C158)/100))))</f>
        <v>0</v>
      </c>
      <c r="AQ158" s="57">
        <f>IF(ISERROR(IF(B158=C158,F158/C158,IF((INT(F158/B158)+(((F158-B158*INT(F158/B158)))/C158)/100)&lt;0,(INT(F158/B158)+(((F158-B158*INT(F158/B158)))/C158)/100)+(1-(B158/C158/100)),(INT(F158/B158)+(((F158-B158*INT(F158/B158)))/C158)/100)))),0,IF(B158=C158,F158/C158,IF((INT(F158/B158)+(((F158-B158*INT(F158/B158)))/C158)/100)&lt;0,(INT(F158/B158)+(((F158-B158*INT(F158/B158)))/C158)/100)+(1-(B158/C158/100)),(INT(F158/B158)+(((F158-B158*INT(F158/B158)))/C158)/100))))</f>
        <v>0</v>
      </c>
      <c r="AR158" s="57">
        <f>IF(ISERROR(IF(B158=C158,G158/C158,(INT(G158/B158)+(((G158-B158*INT(G158/B158)))/C158)/100))),0,(IF(B158=C158,G158/C158,(INT(G158/B158)+(((G158-B158*INT(G158/B158)))/C158)/100))))</f>
        <v>0</v>
      </c>
      <c r="AS158" s="57">
        <f>IF(ISERROR(IF(B158=C158,H158/C158,(INT(H158/B158)+(((H158-B158*INT(H158/B158)))/C158)/100))),0,(IF(B158=C158,H158/C158,(INT(H158/B158)+(((H158-B158*INT(H158/B158)))/C158)/100))))</f>
        <v>0</v>
      </c>
      <c r="AT158" s="57">
        <f>IF(ISERROR(IF(B158=C158,I158/C158,(INT(I158/B158)+(((I158-B158*INT(I158/B158)))/C158)/100))),0,(IF(B158=C158,I158/C158,(INT(I158/B158)+(((I158-B158*INT(I158/B158)))/C158)/100))))</f>
        <v>0</v>
      </c>
      <c r="AU158" s="57">
        <f>IF(ISERROR(IF(B158=C158,J158/C158,(INT(J158/B158)+(((J158-B158*INT(J158/B158)))/C158)/100))),0,(IF(B158=C158,J158/C158,(INT(J158/B158)+(((J158-B158*INT(J158/B158)))/C158)/100))))</f>
        <v>0</v>
      </c>
      <c r="AV158" s="57">
        <f>IF(ISERROR(IF(B158=C158,K158/C158,IF((INT(K158/B158)+(((K158-B158*INT(K158/B158)))/C158)/100)&lt;0,(INT(K158/B158)+(((K158-B158*INT(K158/B158)))/C158)/100)+(1-(B158/C158/100)),(INT(K158/B158)+(((K158-B158*INT(K158/B158)))/C158)/100)))),0,IF(B158=C158,K158/C158,IF((INT(K158/B158)+(((K158-B158*INT(K158/B158)))/C158)/100)&lt;0,(INT(K158/B158)+(((K158-B158*INT(K158/B158)))/C158)/100)+(1-(B158/C158/100)),(INT(K158/B158)+(((K158-B158*INT(K158/B158)))/C158)/100))))</f>
        <v>0</v>
      </c>
      <c r="AW158" s="57">
        <f>IF(ISERROR(IF(B158=C158,L158/C158,(INT(L158/B158)+(((L158-B158*INT(L158/B158)))/C158)/100))),0,(IF(B158=C158,L158/C158,(INT(L158/B158)+(((L158-B158*INT(L158/B158)))/C158)/100))))</f>
        <v>0</v>
      </c>
      <c r="AX158" s="57">
        <f>IF(ISERROR(IF(B158=C158,M158/C158,(INT(M158/B158)+(((M158-B158*INT(M158/B158)))/C158)/100))),0,(IF(B158=C158,M158/C158,(INT(M158/B158)+(((M158-B158*INT(M158/B158)))/C158)/100))))</f>
        <v>0</v>
      </c>
      <c r="AY158" s="57">
        <f>IF(ISERROR(IF(B158=C158,N158/C158,IF((INT(N158/B158)+(((N158-B158*INT(N158/B158)))/C158)/100)&lt;0,(INT(N158/B158)+(((N158-B158*INT(N158/B158)))/C158)/100)+(1-(B158/C158/100)),(INT(N158/B158)+(((N158-B158*INT(N158/B158)))/C158)/100)))),0,IF(B158=C158,N158/C158,IF((INT(N158/B158)+(((N158-B158*INT(N158/B158)))/C158)/100)&lt;0,(INT(N158/B158)+(((N158-B158*INT(N158/B158)))/C158)/100)+(1-(B158/C158/100)),(INT(N158/B158)+(((N158-B158*INT(N158/B158)))/C158)/100))))</f>
        <v>0</v>
      </c>
      <c r="AZ158" s="57">
        <f>IF(ISERROR(IF(B158=C158,O158/C158,(INT(O158/B158)+(((O158-B158*INT(O158/B158)))/C158)/100))),0,(IF(B158=C158,O158/C158,(INT(O158/B158)+(((O158-B158*INT(O158/B158)))/C158)/100))))</f>
        <v>0</v>
      </c>
      <c r="BA158" s="57">
        <f>IF(ISERROR(IF(B158=C158,P158/C158,IF((INT(P158/B158)+(((P158-B158*INT(P158/B158)))/C158)/100)&lt;0,(INT(P158/B158)+(((P158-B158*INT(P158/B158)))/C158)/100)+(1-(B158/C158/100)),(INT(P158/B158)+(((P158-B158*INT(P158/B158)))/C158)/100)))),0,IF(B158=C158,P158/C158,IF((INT(P158/B158)+(((P158-B158*INT(P158/B158)))/C158)/100)&lt;0,(INT(P158/B158)+(((P158-B158*INT(P158/B158)))/C158)/100)+(1-(B158/C158/100)),(INT(P158/B158)+(((P158-B158*INT(P158/B158)))/C158)/100))))</f>
        <v>0</v>
      </c>
      <c r="BB158" s="28">
        <f>R158</f>
        <v>0</v>
      </c>
      <c r="BC158" s="28">
        <f>S158</f>
        <v>0</v>
      </c>
      <c r="BD158" s="28">
        <f>AF158</f>
        <v>0</v>
      </c>
      <c r="BE158" s="28">
        <f>T158</f>
        <v>0</v>
      </c>
      <c r="BG158" s="57">
        <f>IF(ISERROR(IF(B158=C158,V158/C158,(INT(V158/B158)+(((V158-B158*INT(V158/B158)))/C158)/100))),0,(IF(B158=C158,V158/C158,(INT(V158/B158)+(((V158-B158*INT(V158/B158)))/C158)/100))))</f>
        <v>0</v>
      </c>
      <c r="BH158" s="57">
        <f>IF(ISERROR(IF(B158=C158,W158/C158,(INT(W158/B158)+(((W158-B158*INT(W158/B158)))/C158)/100))),0,(IF(B158=C158,W158/C158,(INT(W158/B158)+(((W158-B158*INT(W158/B158)))/C158)/100))))</f>
        <v>0</v>
      </c>
      <c r="BI158" s="57">
        <f>IF(ISERROR(IF(B158=C158,X158/C158,(INT(X158/B158)+(((X158-B158*INT(X158/B158)))/C158)/100))),0,(IF(B158=C158,X158/C158,(INT(X158/B158)+(((X158-B158*INT(X158/B158)))/C158)/100))))</f>
        <v>0</v>
      </c>
      <c r="BJ158" s="57">
        <f>IF(ISERROR(IF(B158=C158,Y158/C158,(INT(Y158/B158)+(((Y158-B158*INT(Y158/B158)))/C158)/100))),0,(IF(B158=C158,Y158/C158,(INT(Y158/B158)+(((Y158-B158*INT(Y158/B158)))/C158)/100))))</f>
        <v>0</v>
      </c>
      <c r="BL158" s="57">
        <f>IF(ISERROR(IF(B158=C158,AA158/C158,(INT(AA158/B158)+(((AA158-B158*INT(AA158/B158)))/C158)/100))),0,(IF(B158=C158,AA158/C158,(INT(AA158/B158)+(((AA158-B158*INT(AA158/B158)))/C158)/100))))</f>
        <v>0</v>
      </c>
      <c r="BM158" s="57">
        <f>IF(ISERROR(IF(B158=C158,AB158/C158,(INT(AB158/B158)+(((AB158-B158*INT(AB158/B158)))/C158)/100))),0,(IF(B158=C158,AB158/C158,(INT(AB158/B158)+(((AB158-B158*INT(AB158/B158)))/C158)/100))))</f>
        <v>0</v>
      </c>
      <c r="BN158" s="57">
        <f>IF(ISERROR(IF(B158=C158,AC158/C158,(INT(AC158/B158)+(((AC158-B158*INT(AC158/B158)))/C158)/100))),0,(IF(B158=C158,AC158/C158,(INT(AC158/B158)+(((AC158-B158*INT(AC158/B158)))/C158)/100))))</f>
        <v>0</v>
      </c>
      <c r="BO158" s="57">
        <f>IF(ISERROR(IF(B158=C158,AD158/C158,(INT(AD158/B158)+(((AD158-B158*INT(AD158/B158)))/C158)/100))),0,(IF(B158=C158,AD158/C158,(INT(AD158/B158)+(((AD158-B158*INT(AD158/B158)))/C158)/100))))</f>
        <v>0</v>
      </c>
      <c r="BQ158" s="155"/>
    </row>
    <row r="159" spans="1:69" hidden="1" x14ac:dyDescent="0.35">
      <c r="A159" s="94"/>
      <c r="B159" s="113">
        <v>750</v>
      </c>
      <c r="C159" s="113">
        <v>30</v>
      </c>
      <c r="D159" s="28">
        <f>SUM(AA159:AD159)</f>
        <v>0</v>
      </c>
      <c r="E159" s="113">
        <v>0</v>
      </c>
      <c r="F159" s="113">
        <v>0</v>
      </c>
      <c r="G159" s="28">
        <f>SUM(D159:F159)</f>
        <v>0</v>
      </c>
      <c r="H159" s="125">
        <v>0</v>
      </c>
      <c r="I159" s="113">
        <v>0</v>
      </c>
      <c r="J159" s="125">
        <v>0</v>
      </c>
      <c r="K159" s="113">
        <v>0</v>
      </c>
      <c r="L159" s="113">
        <v>0</v>
      </c>
      <c r="M159" s="113">
        <v>0</v>
      </c>
      <c r="N159" s="28">
        <f>G159-SUM(H159:M159)</f>
        <v>0</v>
      </c>
      <c r="O159" s="28">
        <f>SUM(V159:Y159)</f>
        <v>0</v>
      </c>
      <c r="P159" s="28">
        <f>O159-N159</f>
        <v>0</v>
      </c>
      <c r="Q159" s="61" t="str">
        <f>IF(ISERROR(P159/SUM(H159:L159)),"",P159/SUM(H159:L159))</f>
        <v/>
      </c>
      <c r="R159" s="113">
        <v>0</v>
      </c>
      <c r="S159" s="28">
        <f>IF(ISERROR(P159/C159*R159),0,(P159/C159*R159))</f>
        <v>0</v>
      </c>
      <c r="T159" s="60">
        <f>IF(ISERROR(P159/B159*AF159),0,(P159/B159*AF159))</f>
        <v>0</v>
      </c>
      <c r="V159" s="113">
        <v>0</v>
      </c>
      <c r="W159" s="113">
        <v>0</v>
      </c>
      <c r="X159" s="113">
        <v>0</v>
      </c>
      <c r="Y159" s="113">
        <v>0</v>
      </c>
      <c r="AA159" s="113">
        <v>0</v>
      </c>
      <c r="AB159" s="113">
        <v>0</v>
      </c>
      <c r="AC159" s="113">
        <v>0</v>
      </c>
      <c r="AD159" s="113">
        <v>0</v>
      </c>
      <c r="AF159" s="113">
        <v>0</v>
      </c>
      <c r="AG159" s="28">
        <f>G159-O159</f>
        <v>0</v>
      </c>
      <c r="AH159" s="58">
        <f>IF(ISERROR(AG159/B159*AF159),0,(AG159/B159*AF159))</f>
        <v>0</v>
      </c>
      <c r="AI159" s="28">
        <f>SUM(H159:M159)</f>
        <v>0</v>
      </c>
      <c r="AJ159" s="28">
        <f>IF(ISERROR(AI159/B159*AF159),0,(AI159/B159*AF159))</f>
        <v>0</v>
      </c>
      <c r="AK159" s="58">
        <f>IF(ISERROR(O159/B159*AF159),0,(O159/B159*AF159))</f>
        <v>0</v>
      </c>
      <c r="AL159" s="28">
        <f>IF(ISERROR(H159/B159*AF159),0,(H159/B159*AF159))</f>
        <v>0</v>
      </c>
      <c r="AN159" s="51">
        <f>A159</f>
        <v>0</v>
      </c>
      <c r="AO159" s="57">
        <f>IF(ISERROR(IF(B159=C159,D159/C159,(INT(D159/B159)+(((D159-B159*INT(D159/B159)))/C159)/100))),0,(IF(B159=C159,D159/C159,(INT(D159/B159)+(((D159-B159*INT(D159/B159)))/C159)/100))))</f>
        <v>0</v>
      </c>
      <c r="AP159" s="57">
        <f>IF(ISERROR(IF(B159=C159,E159/C159,(INT(E159/B159)+(((E159-B159*INT(E159/B159)))/C159)/100))),0,(IF(B159=C159,E159/C159,(INT(E159/B159)+(((E159-B159*INT(E159/B159)))/C159)/100))))</f>
        <v>0</v>
      </c>
      <c r="AQ159" s="57">
        <f>IF(ISERROR(IF(B159=C159,F159/C159,IF((INT(F159/B159)+(((F159-B159*INT(F159/B159)))/C159)/100)&lt;0,(INT(F159/B159)+(((F159-B159*INT(F159/B159)))/C159)/100)+(1-(B159/C159/100)),(INT(F159/B159)+(((F159-B159*INT(F159/B159)))/C159)/100)))),0,IF(B159=C159,F159/C159,IF((INT(F159/B159)+(((F159-B159*INT(F159/B159)))/C159)/100)&lt;0,(INT(F159/B159)+(((F159-B159*INT(F159/B159)))/C159)/100)+(1-(B159/C159/100)),(INT(F159/B159)+(((F159-B159*INT(F159/B159)))/C159)/100))))</f>
        <v>0</v>
      </c>
      <c r="AR159" s="57">
        <f>IF(ISERROR(IF(B159=C159,G159/C159,(INT(G159/B159)+(((G159-B159*INT(G159/B159)))/C159)/100))),0,(IF(B159=C159,G159/C159,(INT(G159/B159)+(((G159-B159*INT(G159/B159)))/C159)/100))))</f>
        <v>0</v>
      </c>
      <c r="AS159" s="57">
        <f>IF(ISERROR(IF(B159=C159,H159/C159,(INT(H159/B159)+(((H159-B159*INT(H159/B159)))/C159)/100))),0,(IF(B159=C159,H159/C159,(INT(H159/B159)+(((H159-B159*INT(H159/B159)))/C159)/100))))</f>
        <v>0</v>
      </c>
      <c r="AT159" s="57">
        <f>IF(ISERROR(IF(B159=C159,I159/C159,(INT(I159/B159)+(((I159-B159*INT(I159/B159)))/C159)/100))),0,(IF(B159=C159,I159/C159,(INT(I159/B159)+(((I159-B159*INT(I159/B159)))/C159)/100))))</f>
        <v>0</v>
      </c>
      <c r="AU159" s="57">
        <f>IF(ISERROR(IF(B159=C159,J159/C159,(INT(J159/B159)+(((J159-B159*INT(J159/B159)))/C159)/100))),0,(IF(B159=C159,J159/C159,(INT(J159/B159)+(((J159-B159*INT(J159/B159)))/C159)/100))))</f>
        <v>0</v>
      </c>
      <c r="AV159" s="57">
        <f>IF(ISERROR(IF(B159=C159,K159/C159,IF((INT(K159/B159)+(((K159-B159*INT(K159/B159)))/C159)/100)&lt;0,(INT(K159/B159)+(((K159-B159*INT(K159/B159)))/C159)/100)+(1-(B159/C159/100)),(INT(K159/B159)+(((K159-B159*INT(K159/B159)))/C159)/100)))),0,IF(B159=C159,K159/C159,IF((INT(K159/B159)+(((K159-B159*INT(K159/B159)))/C159)/100)&lt;0,(INT(K159/B159)+(((K159-B159*INT(K159/B159)))/C159)/100)+(1-(B159/C159/100)),(INT(K159/B159)+(((K159-B159*INT(K159/B159)))/C159)/100))))</f>
        <v>0</v>
      </c>
      <c r="AW159" s="57">
        <f>IF(ISERROR(IF(B159=C159,L159/C159,(INT(L159/B159)+(((L159-B159*INT(L159/B159)))/C159)/100))),0,(IF(B159=C159,L159/C159,(INT(L159/B159)+(((L159-B159*INT(L159/B159)))/C159)/100))))</f>
        <v>0</v>
      </c>
      <c r="AX159" s="57">
        <f>IF(ISERROR(IF(B159=C159,M159/C159,(INT(M159/B159)+(((M159-B159*INT(M159/B159)))/C159)/100))),0,(IF(B159=C159,M159/C159,(INT(M159/B159)+(((M159-B159*INT(M159/B159)))/C159)/100))))</f>
        <v>0</v>
      </c>
      <c r="AY159" s="57">
        <f>IF(ISERROR(IF(B159=C159,N159/C159,IF((INT(N159/B159)+(((N159-B159*INT(N159/B159)))/C159)/100)&lt;0,(INT(N159/B159)+(((N159-B159*INT(N159/B159)))/C159)/100)+(1-(B159/C159/100)),(INT(N159/B159)+(((N159-B159*INT(N159/B159)))/C159)/100)))),0,IF(B159=C159,N159/C159,IF((INT(N159/B159)+(((N159-B159*INT(N159/B159)))/C159)/100)&lt;0,(INT(N159/B159)+(((N159-B159*INT(N159/B159)))/C159)/100)+(1-(B159/C159/100)),(INT(N159/B159)+(((N159-B159*INT(N159/B159)))/C159)/100))))</f>
        <v>0</v>
      </c>
      <c r="AZ159" s="57">
        <f>IF(ISERROR(IF(B159=C159,O159/C159,(INT(O159/B159)+(((O159-B159*INT(O159/B159)))/C159)/100))),0,(IF(B159=C159,O159/C159,(INT(O159/B159)+(((O159-B159*INT(O159/B159)))/C159)/100))))</f>
        <v>0</v>
      </c>
      <c r="BA159" s="57">
        <f>IF(ISERROR(IF(B159=C159,P159/C159,IF((INT(P159/B159)+(((P159-B159*INT(P159/B159)))/C159)/100)&lt;0,(INT(P159/B159)+(((P159-B159*INT(P159/B159)))/C159)/100)+(1-(B159/C159/100)),(INT(P159/B159)+(((P159-B159*INT(P159/B159)))/C159)/100)))),0,IF(B159=C159,P159/C159,IF((INT(P159/B159)+(((P159-B159*INT(P159/B159)))/C159)/100)&lt;0,(INT(P159/B159)+(((P159-B159*INT(P159/B159)))/C159)/100)+(1-(B159/C159/100)),(INT(P159/B159)+(((P159-B159*INT(P159/B159)))/C159)/100))))</f>
        <v>0</v>
      </c>
      <c r="BB159" s="28">
        <f>R159</f>
        <v>0</v>
      </c>
      <c r="BC159" s="28">
        <f>S159</f>
        <v>0</v>
      </c>
      <c r="BD159" s="28">
        <f>AF159</f>
        <v>0</v>
      </c>
      <c r="BE159" s="28">
        <f>T159</f>
        <v>0</v>
      </c>
      <c r="BG159" s="57">
        <f>IF(ISERROR(IF(B159=C159,V159/C159,(INT(V159/B159)+(((V159-B159*INT(V159/B159)))/C159)/100))),0,(IF(B159=C159,V159/C159,(INT(V159/B159)+(((V159-B159*INT(V159/B159)))/C159)/100))))</f>
        <v>0</v>
      </c>
      <c r="BH159" s="57">
        <f>IF(ISERROR(IF(B159=C159,W159/C159,(INT(W159/B159)+(((W159-B159*INT(W159/B159)))/C159)/100))),0,(IF(B159=C159,W159/C159,(INT(W159/B159)+(((W159-B159*INT(W159/B159)))/C159)/100))))</f>
        <v>0</v>
      </c>
      <c r="BI159" s="57">
        <f>IF(ISERROR(IF(B159=C159,X159/C159,(INT(X159/B159)+(((X159-B159*INT(X159/B159)))/C159)/100))),0,(IF(B159=C159,X159/C159,(INT(X159/B159)+(((X159-B159*INT(X159/B159)))/C159)/100))))</f>
        <v>0</v>
      </c>
      <c r="BJ159" s="57">
        <f>IF(ISERROR(IF(B159=C159,Y159/C159,(INT(Y159/B159)+(((Y159-B159*INT(Y159/B159)))/C159)/100))),0,(IF(B159=C159,Y159/C159,(INT(Y159/B159)+(((Y159-B159*INT(Y159/B159)))/C159)/100))))</f>
        <v>0</v>
      </c>
      <c r="BL159" s="57">
        <f>IF(ISERROR(IF(B159=C159,AA159/C159,(INT(AA159/B159)+(((AA159-B159*INT(AA159/B159)))/C159)/100))),0,(IF(B159=C159,AA159/C159,(INT(AA159/B159)+(((AA159-B159*INT(AA159/B159)))/C159)/100))))</f>
        <v>0</v>
      </c>
      <c r="BM159" s="57">
        <f>IF(ISERROR(IF(B159=C159,AB159/C159,(INT(AB159/B159)+(((AB159-B159*INT(AB159/B159)))/C159)/100))),0,(IF(B159=C159,AB159/C159,(INT(AB159/B159)+(((AB159-B159*INT(AB159/B159)))/C159)/100))))</f>
        <v>0</v>
      </c>
      <c r="BN159" s="57">
        <f>IF(ISERROR(IF(B159=C159,AC159/C159,(INT(AC159/B159)+(((AC159-B159*INT(AC159/B159)))/C159)/100))),0,(IF(B159=C159,AC159/C159,(INT(AC159/B159)+(((AC159-B159*INT(AC159/B159)))/C159)/100))))</f>
        <v>0</v>
      </c>
      <c r="BO159" s="57">
        <f>IF(ISERROR(IF(B159=C159,AD159/C159,(INT(AD159/B159)+(((AD159-B159*INT(AD159/B159)))/C159)/100))),0,(IF(B159=C159,AD159/C159,(INT(AD159/B159)+(((AD159-B159*INT(AD159/B159)))/C159)/100))))</f>
        <v>0</v>
      </c>
      <c r="BQ159" s="155"/>
    </row>
    <row r="160" spans="1:69" hidden="1" x14ac:dyDescent="0.35">
      <c r="A160" s="94"/>
      <c r="B160" s="113">
        <v>0</v>
      </c>
      <c r="C160" s="113">
        <v>0</v>
      </c>
      <c r="D160" s="28">
        <f>SUM(AA160:AD160)</f>
        <v>0</v>
      </c>
      <c r="E160" s="113">
        <v>0</v>
      </c>
      <c r="F160" s="113">
        <v>0</v>
      </c>
      <c r="G160" s="28">
        <f>SUM(D160:F160)</f>
        <v>0</v>
      </c>
      <c r="H160" s="125">
        <v>0</v>
      </c>
      <c r="I160" s="113">
        <v>0</v>
      </c>
      <c r="J160" s="125">
        <v>0</v>
      </c>
      <c r="K160" s="113">
        <v>0</v>
      </c>
      <c r="L160" s="113">
        <v>0</v>
      </c>
      <c r="M160" s="113">
        <v>0</v>
      </c>
      <c r="N160" s="28">
        <f>G160-SUM(H160:M160)</f>
        <v>0</v>
      </c>
      <c r="O160" s="28">
        <f>SUM(V160:Y160)</f>
        <v>0</v>
      </c>
      <c r="P160" s="28">
        <f>O160-N160</f>
        <v>0</v>
      </c>
      <c r="Q160" s="61" t="str">
        <f>IF(ISERROR(P160/SUM(H160:L160)),"",P160/SUM(H160:L160))</f>
        <v/>
      </c>
      <c r="R160" s="113">
        <v>0</v>
      </c>
      <c r="S160" s="28">
        <f>IF(ISERROR(P160/C160*R160),0,(P160/C160*R160))</f>
        <v>0</v>
      </c>
      <c r="T160" s="60">
        <f>IF(ISERROR(P160/B160*AF160),0,(P160/B160*AF160))</f>
        <v>0</v>
      </c>
      <c r="V160" s="113">
        <v>0</v>
      </c>
      <c r="W160" s="113">
        <v>0</v>
      </c>
      <c r="X160" s="113">
        <v>0</v>
      </c>
      <c r="Y160" s="113">
        <v>0</v>
      </c>
      <c r="AA160" s="113">
        <v>0</v>
      </c>
      <c r="AB160" s="113">
        <v>0</v>
      </c>
      <c r="AC160" s="113">
        <v>0</v>
      </c>
      <c r="AD160" s="113">
        <v>0</v>
      </c>
      <c r="AF160" s="113">
        <v>0</v>
      </c>
      <c r="AG160" s="28">
        <f>G160-O160</f>
        <v>0</v>
      </c>
      <c r="AH160" s="58">
        <f>IF(ISERROR(AG160/B160*AF160),0,(AG160/B160*AF160))</f>
        <v>0</v>
      </c>
      <c r="AI160" s="28">
        <f>SUM(H160:M160)</f>
        <v>0</v>
      </c>
      <c r="AJ160" s="28">
        <f>IF(ISERROR(AI160/B160*AF160),0,(AI160/B160*AF160))</f>
        <v>0</v>
      </c>
      <c r="AK160" s="58">
        <f>IF(ISERROR(O160/B160*AF160),0,(O160/B160*AF160))</f>
        <v>0</v>
      </c>
      <c r="AL160" s="28">
        <f>IF(ISERROR(H160/B160*AF160),0,(H160/B160*AF160))</f>
        <v>0</v>
      </c>
      <c r="AN160" s="51">
        <f>A160</f>
        <v>0</v>
      </c>
      <c r="AO160" s="57">
        <f>IF(ISERROR(IF(B160=C160,D160/C160,(INT(D160/B160)+(((D160-B160*INT(D160/B160)))/C160)/100))),0,(IF(B160=C160,D160/C160,(INT(D160/B160)+(((D160-B160*INT(D160/B160)))/C160)/100))))</f>
        <v>0</v>
      </c>
      <c r="AP160" s="57">
        <f>IF(ISERROR(IF(B160=C160,E160/C160,(INT(E160/B160)+(((E160-B160*INT(E160/B160)))/C160)/100))),0,(IF(B160=C160,E160/C160,(INT(E160/B160)+(((E160-B160*INT(E160/B160)))/C160)/100))))</f>
        <v>0</v>
      </c>
      <c r="AQ160" s="57">
        <f>IF(ISERROR(IF(B160=C160,F160/C160,IF((INT(F160/B160)+(((F160-B160*INT(F160/B160)))/C160)/100)&lt;0,(INT(F160/B160)+(((F160-B160*INT(F160/B160)))/C160)/100)+(1-(B160/C160/100)),(INT(F160/B160)+(((F160-B160*INT(F160/B160)))/C160)/100)))),0,IF(B160=C160,F160/C160,IF((INT(F160/B160)+(((F160-B160*INT(F160/B160)))/C160)/100)&lt;0,(INT(F160/B160)+(((F160-B160*INT(F160/B160)))/C160)/100)+(1-(B160/C160/100)),(INT(F160/B160)+(((F160-B160*INT(F160/B160)))/C160)/100))))</f>
        <v>0</v>
      </c>
      <c r="AR160" s="57">
        <f>IF(ISERROR(IF(B160=C160,G160/C160,(INT(G160/B160)+(((G160-B160*INT(G160/B160)))/C160)/100))),0,(IF(B160=C160,G160/C160,(INT(G160/B160)+(((G160-B160*INT(G160/B160)))/C160)/100))))</f>
        <v>0</v>
      </c>
      <c r="AS160" s="57">
        <f>IF(ISERROR(IF(B160=C160,H160/C160,(INT(H160/B160)+(((H160-B160*INT(H160/B160)))/C160)/100))),0,(IF(B160=C160,H160/C160,(INT(H160/B160)+(((H160-B160*INT(H160/B160)))/C160)/100))))</f>
        <v>0</v>
      </c>
      <c r="AT160" s="57">
        <f>IF(ISERROR(IF(B160=C160,I160/C160,(INT(I160/B160)+(((I160-B160*INT(I160/B160)))/C160)/100))),0,(IF(B160=C160,I160/C160,(INT(I160/B160)+(((I160-B160*INT(I160/B160)))/C160)/100))))</f>
        <v>0</v>
      </c>
      <c r="AU160" s="57">
        <f>IF(ISERROR(IF(B160=C160,J160/C160,(INT(J160/B160)+(((J160-B160*INT(J160/B160)))/C160)/100))),0,(IF(B160=C160,J160/C160,(INT(J160/B160)+(((J160-B160*INT(J160/B160)))/C160)/100))))</f>
        <v>0</v>
      </c>
      <c r="AV160" s="57">
        <f>IF(ISERROR(IF(B160=C160,K160/C160,IF((INT(K160/B160)+(((K160-B160*INT(K160/B160)))/C160)/100)&lt;0,(INT(K160/B160)+(((K160-B160*INT(K160/B160)))/C160)/100)+(1-(B160/C160/100)),(INT(K160/B160)+(((K160-B160*INT(K160/B160)))/C160)/100)))),0,IF(B160=C160,K160/C160,IF((INT(K160/B160)+(((K160-B160*INT(K160/B160)))/C160)/100)&lt;0,(INT(K160/B160)+(((K160-B160*INT(K160/B160)))/C160)/100)+(1-(B160/C160/100)),(INT(K160/B160)+(((K160-B160*INT(K160/B160)))/C160)/100))))</f>
        <v>0</v>
      </c>
      <c r="AW160" s="57">
        <f>IF(ISERROR(IF(B160=C160,L160/C160,(INT(L160/B160)+(((L160-B160*INT(L160/B160)))/C160)/100))),0,(IF(B160=C160,L160/C160,(INT(L160/B160)+(((L160-B160*INT(L160/B160)))/C160)/100))))</f>
        <v>0</v>
      </c>
      <c r="AX160" s="57">
        <f>IF(ISERROR(IF(B160=C160,M160/C160,(INT(M160/B160)+(((M160-B160*INT(M160/B160)))/C160)/100))),0,(IF(B160=C160,M160/C160,(INT(M160/B160)+(((M160-B160*INT(M160/B160)))/C160)/100))))</f>
        <v>0</v>
      </c>
      <c r="AY160" s="57">
        <f>IF(ISERROR(IF(B160=C160,N160/C160,IF((INT(N160/B160)+(((N160-B160*INT(N160/B160)))/C160)/100)&lt;0,(INT(N160/B160)+(((N160-B160*INT(N160/B160)))/C160)/100)+(1-(B160/C160/100)),(INT(N160/B160)+(((N160-B160*INT(N160/B160)))/C160)/100)))),0,IF(B160=C160,N160/C160,IF((INT(N160/B160)+(((N160-B160*INT(N160/B160)))/C160)/100)&lt;0,(INT(N160/B160)+(((N160-B160*INT(N160/B160)))/C160)/100)+(1-(B160/C160/100)),(INT(N160/B160)+(((N160-B160*INT(N160/B160)))/C160)/100))))</f>
        <v>0</v>
      </c>
      <c r="AZ160" s="57">
        <f>IF(ISERROR(IF(B160=C160,O160/C160,(INT(O160/B160)+(((O160-B160*INT(O160/B160)))/C160)/100))),0,(IF(B160=C160,O160/C160,(INT(O160/B160)+(((O160-B160*INT(O160/B160)))/C160)/100))))</f>
        <v>0</v>
      </c>
      <c r="BA160" s="57">
        <f>IF(ISERROR(IF(B160=C160,P160/C160,IF((INT(P160/B160)+(((P160-B160*INT(P160/B160)))/C160)/100)&lt;0,(INT(P160/B160)+(((P160-B160*INT(P160/B160)))/C160)/100)+(1-(B160/C160/100)),(INT(P160/B160)+(((P160-B160*INT(P160/B160)))/C160)/100)))),0,IF(B160=C160,P160/C160,IF((INT(P160/B160)+(((P160-B160*INT(P160/B160)))/C160)/100)&lt;0,(INT(P160/B160)+(((P160-B160*INT(P160/B160)))/C160)/100)+(1-(B160/C160/100)),(INT(P160/B160)+(((P160-B160*INT(P160/B160)))/C160)/100))))</f>
        <v>0</v>
      </c>
      <c r="BB160" s="28">
        <f>R160</f>
        <v>0</v>
      </c>
      <c r="BC160" s="28">
        <f>S160</f>
        <v>0</v>
      </c>
      <c r="BD160" s="28">
        <f>AF160</f>
        <v>0</v>
      </c>
      <c r="BE160" s="28">
        <f>T160</f>
        <v>0</v>
      </c>
      <c r="BG160" s="57">
        <f>IF(ISERROR(IF(B160=C160,V160/C160,(INT(V160/B160)+(((V160-B160*INT(V160/B160)))/C160)/100))),0,(IF(B160=C160,V160/C160,(INT(V160/B160)+(((V160-B160*INT(V160/B160)))/C160)/100))))</f>
        <v>0</v>
      </c>
      <c r="BH160" s="57">
        <f>IF(ISERROR(IF(B160=C160,W160/C160,(INT(W160/B160)+(((W160-B160*INT(W160/B160)))/C160)/100))),0,(IF(B160=C160,W160/C160,(INT(W160/B160)+(((W160-B160*INT(W160/B160)))/C160)/100))))</f>
        <v>0</v>
      </c>
      <c r="BI160" s="57">
        <f>IF(ISERROR(IF(B160=C160,X160/C160,(INT(X160/B160)+(((X160-B160*INT(X160/B160)))/C160)/100))),0,(IF(B160=C160,X160/C160,(INT(X160/B160)+(((X160-B160*INT(X160/B160)))/C160)/100))))</f>
        <v>0</v>
      </c>
      <c r="BJ160" s="57">
        <f>IF(ISERROR(IF(B160=C160,Y160/C160,(INT(Y160/B160)+(((Y160-B160*INT(Y160/B160)))/C160)/100))),0,(IF(B160=C160,Y160/C160,(INT(Y160/B160)+(((Y160-B160*INT(Y160/B160)))/C160)/100))))</f>
        <v>0</v>
      </c>
      <c r="BL160" s="57">
        <f>IF(ISERROR(IF(B160=C160,AA160/C160,(INT(AA160/B160)+(((AA160-B160*INT(AA160/B160)))/C160)/100))),0,(IF(B160=C160,AA160/C160,(INT(AA160/B160)+(((AA160-B160*INT(AA160/B160)))/C160)/100))))</f>
        <v>0</v>
      </c>
      <c r="BM160" s="57">
        <f>IF(ISERROR(IF(B160=C160,AB160/C160,(INT(AB160/B160)+(((AB160-B160*INT(AB160/B160)))/C160)/100))),0,(IF(B160=C160,AB160/C160,(INT(AB160/B160)+(((AB160-B160*INT(AB160/B160)))/C160)/100))))</f>
        <v>0</v>
      </c>
      <c r="BN160" s="57">
        <f>IF(ISERROR(IF(B160=C160,AC160/C160,(INT(AC160/B160)+(((AC160-B160*INT(AC160/B160)))/C160)/100))),0,(IF(B160=C160,AC160/C160,(INT(AC160/B160)+(((AC160-B160*INT(AC160/B160)))/C160)/100))))</f>
        <v>0</v>
      </c>
      <c r="BO160" s="57">
        <f>IF(ISERROR(IF(B160=C160,AD160/C160,(INT(AD160/B160)+(((AD160-B160*INT(AD160/B160)))/C160)/100))),0,(IF(B160=C160,AD160/C160,(INT(AD160/B160)+(((AD160-B160*INT(AD160/B160)))/C160)/100))))</f>
        <v>0</v>
      </c>
      <c r="BQ160" s="155"/>
    </row>
    <row r="161" spans="1:69" hidden="1" x14ac:dyDescent="0.35">
      <c r="A161" s="94"/>
      <c r="B161" s="113">
        <v>0</v>
      </c>
      <c r="C161" s="113">
        <v>0</v>
      </c>
      <c r="D161" s="28">
        <f>SUM(AA161:AD161)</f>
        <v>0</v>
      </c>
      <c r="E161" s="113">
        <v>0</v>
      </c>
      <c r="F161" s="113">
        <v>0</v>
      </c>
      <c r="G161" s="28">
        <f>SUM(D161:F161)</f>
        <v>0</v>
      </c>
      <c r="H161" s="125">
        <v>0</v>
      </c>
      <c r="I161" s="113">
        <v>0</v>
      </c>
      <c r="J161" s="125">
        <v>0</v>
      </c>
      <c r="K161" s="113">
        <v>0</v>
      </c>
      <c r="L161" s="113">
        <v>0</v>
      </c>
      <c r="M161" s="113">
        <v>0</v>
      </c>
      <c r="N161" s="28">
        <f>G161-SUM(H161:M161)</f>
        <v>0</v>
      </c>
      <c r="O161" s="28">
        <f>SUM(V161:Y161)</f>
        <v>0</v>
      </c>
      <c r="P161" s="28">
        <f>O161-N161</f>
        <v>0</v>
      </c>
      <c r="Q161" s="61" t="str">
        <f>IF(ISERROR(P161/SUM(H161:L161)),"",P161/SUM(H161:L161))</f>
        <v/>
      </c>
      <c r="R161" s="113">
        <v>0</v>
      </c>
      <c r="S161" s="28">
        <f>IF(ISERROR(P161/C161*R161),0,(P161/C161*R161))</f>
        <v>0</v>
      </c>
      <c r="T161" s="60">
        <f>IF(ISERROR(P161/B161*AF161),0,(P161/B161*AF161))</f>
        <v>0</v>
      </c>
      <c r="V161" s="113">
        <v>0</v>
      </c>
      <c r="W161" s="113">
        <v>0</v>
      </c>
      <c r="X161" s="113">
        <v>0</v>
      </c>
      <c r="Y161" s="113">
        <v>0</v>
      </c>
      <c r="AA161" s="113">
        <v>0</v>
      </c>
      <c r="AB161" s="113">
        <v>0</v>
      </c>
      <c r="AC161" s="113">
        <v>0</v>
      </c>
      <c r="AD161" s="113">
        <v>0</v>
      </c>
      <c r="AF161" s="113">
        <v>0</v>
      </c>
      <c r="AG161" s="28">
        <f>G161-O161</f>
        <v>0</v>
      </c>
      <c r="AH161" s="58">
        <f>IF(ISERROR(AG161/B161*AF161),0,(AG161/B161*AF161))</f>
        <v>0</v>
      </c>
      <c r="AI161" s="28">
        <f>SUM(H161:M161)</f>
        <v>0</v>
      </c>
      <c r="AJ161" s="28">
        <f>IF(ISERROR(AI161/B161*AF161),0,(AI161/B161*AF161))</f>
        <v>0</v>
      </c>
      <c r="AK161" s="58">
        <f>IF(ISERROR(O161/B161*AF161),0,(O161/B161*AF161))</f>
        <v>0</v>
      </c>
      <c r="AL161" s="28">
        <f>IF(ISERROR(H161/B161*AF161),0,(H161/B161*AF161))</f>
        <v>0</v>
      </c>
      <c r="AN161" s="51">
        <f>A161</f>
        <v>0</v>
      </c>
      <c r="AO161" s="57">
        <f>IF(ISERROR(IF(B161=C161,D161/C161,(INT(D161/B161)+(((D161-B161*INT(D161/B161)))/C161)/100))),0,(IF(B161=C161,D161/C161,(INT(D161/B161)+(((D161-B161*INT(D161/B161)))/C161)/100))))</f>
        <v>0</v>
      </c>
      <c r="AP161" s="57">
        <f>IF(ISERROR(IF(B161=C161,E161/C161,(INT(E161/B161)+(((E161-B161*INT(E161/B161)))/C161)/100))),0,(IF(B161=C161,E161/C161,(INT(E161/B161)+(((E161-B161*INT(E161/B161)))/C161)/100))))</f>
        <v>0</v>
      </c>
      <c r="AQ161" s="57">
        <f>IF(ISERROR(IF(B161=C161,F161/C161,IF((INT(F161/B161)+(((F161-B161*INT(F161/B161)))/C161)/100)&lt;0,(INT(F161/B161)+(((F161-B161*INT(F161/B161)))/C161)/100)+(1-(B161/C161/100)),(INT(F161/B161)+(((F161-B161*INT(F161/B161)))/C161)/100)))),0,IF(B161=C161,F161/C161,IF((INT(F161/B161)+(((F161-B161*INT(F161/B161)))/C161)/100)&lt;0,(INT(F161/B161)+(((F161-B161*INT(F161/B161)))/C161)/100)+(1-(B161/C161/100)),(INT(F161/B161)+(((F161-B161*INT(F161/B161)))/C161)/100))))</f>
        <v>0</v>
      </c>
      <c r="AR161" s="57">
        <f>IF(ISERROR(IF(B161=C161,G161/C161,(INT(G161/B161)+(((G161-B161*INT(G161/B161)))/C161)/100))),0,(IF(B161=C161,G161/C161,(INT(G161/B161)+(((G161-B161*INT(G161/B161)))/C161)/100))))</f>
        <v>0</v>
      </c>
      <c r="AS161" s="57">
        <f>IF(ISERROR(IF(B161=C161,H161/C161,(INT(H161/B161)+(((H161-B161*INT(H161/B161)))/C161)/100))),0,(IF(B161=C161,H161/C161,(INT(H161/B161)+(((H161-B161*INT(H161/B161)))/C161)/100))))</f>
        <v>0</v>
      </c>
      <c r="AT161" s="57">
        <f>IF(ISERROR(IF(B161=C161,I161/C161,(INT(I161/B161)+(((I161-B161*INT(I161/B161)))/C161)/100))),0,(IF(B161=C161,I161/C161,(INT(I161/B161)+(((I161-B161*INT(I161/B161)))/C161)/100))))</f>
        <v>0</v>
      </c>
      <c r="AU161" s="57">
        <f>IF(ISERROR(IF(B161=C161,J161/C161,(INT(J161/B161)+(((J161-B161*INT(J161/B161)))/C161)/100))),0,(IF(B161=C161,J161/C161,(INT(J161/B161)+(((J161-B161*INT(J161/B161)))/C161)/100))))</f>
        <v>0</v>
      </c>
      <c r="AV161" s="57">
        <f>IF(ISERROR(IF(B161=C161,K161/C161,IF((INT(K161/B161)+(((K161-B161*INT(K161/B161)))/C161)/100)&lt;0,(INT(K161/B161)+(((K161-B161*INT(K161/B161)))/C161)/100)+(1-(B161/C161/100)),(INT(K161/B161)+(((K161-B161*INT(K161/B161)))/C161)/100)))),0,IF(B161=C161,K161/C161,IF((INT(K161/B161)+(((K161-B161*INT(K161/B161)))/C161)/100)&lt;0,(INT(K161/B161)+(((K161-B161*INT(K161/B161)))/C161)/100)+(1-(B161/C161/100)),(INT(K161/B161)+(((K161-B161*INT(K161/B161)))/C161)/100))))</f>
        <v>0</v>
      </c>
      <c r="AW161" s="57">
        <f>IF(ISERROR(IF(B161=C161,L161/C161,(INT(L161/B161)+(((L161-B161*INT(L161/B161)))/C161)/100))),0,(IF(B161=C161,L161/C161,(INT(L161/B161)+(((L161-B161*INT(L161/B161)))/C161)/100))))</f>
        <v>0</v>
      </c>
      <c r="AX161" s="57">
        <f>IF(ISERROR(IF(B161=C161,M161/C161,(INT(M161/B161)+(((M161-B161*INT(M161/B161)))/C161)/100))),0,(IF(B161=C161,M161/C161,(INT(M161/B161)+(((M161-B161*INT(M161/B161)))/C161)/100))))</f>
        <v>0</v>
      </c>
      <c r="AY161" s="57">
        <f>IF(ISERROR(IF(B161=C161,N161/C161,IF((INT(N161/B161)+(((N161-B161*INT(N161/B161)))/C161)/100)&lt;0,(INT(N161/B161)+(((N161-B161*INT(N161/B161)))/C161)/100)+(1-(B161/C161/100)),(INT(N161/B161)+(((N161-B161*INT(N161/B161)))/C161)/100)))),0,IF(B161=C161,N161/C161,IF((INT(N161/B161)+(((N161-B161*INT(N161/B161)))/C161)/100)&lt;0,(INT(N161/B161)+(((N161-B161*INT(N161/B161)))/C161)/100)+(1-(B161/C161/100)),(INT(N161/B161)+(((N161-B161*INT(N161/B161)))/C161)/100))))</f>
        <v>0</v>
      </c>
      <c r="AZ161" s="57">
        <f>IF(ISERROR(IF(B161=C161,O161/C161,(INT(O161/B161)+(((O161-B161*INT(O161/B161)))/C161)/100))),0,(IF(B161=C161,O161/C161,(INT(O161/B161)+(((O161-B161*INT(O161/B161)))/C161)/100))))</f>
        <v>0</v>
      </c>
      <c r="BA161" s="57">
        <f>IF(ISERROR(IF(B161=C161,P161/C161,IF((INT(P161/B161)+(((P161-B161*INT(P161/B161)))/C161)/100)&lt;0,(INT(P161/B161)+(((P161-B161*INT(P161/B161)))/C161)/100)+(1-(B161/C161/100)),(INT(P161/B161)+(((P161-B161*INT(P161/B161)))/C161)/100)))),0,IF(B161=C161,P161/C161,IF((INT(P161/B161)+(((P161-B161*INT(P161/B161)))/C161)/100)&lt;0,(INT(P161/B161)+(((P161-B161*INT(P161/B161)))/C161)/100)+(1-(B161/C161/100)),(INT(P161/B161)+(((P161-B161*INT(P161/B161)))/C161)/100))))</f>
        <v>0</v>
      </c>
      <c r="BB161" s="28">
        <f>R161</f>
        <v>0</v>
      </c>
      <c r="BC161" s="28">
        <f>S161</f>
        <v>0</v>
      </c>
      <c r="BD161" s="28">
        <f>AF161</f>
        <v>0</v>
      </c>
      <c r="BE161" s="28">
        <f>T161</f>
        <v>0</v>
      </c>
      <c r="BG161" s="57">
        <f>IF(ISERROR(IF(B161=C161,V161/C161,(INT(V161/B161)+(((V161-B161*INT(V161/B161)))/C161)/100))),0,(IF(B161=C161,V161/C161,(INT(V161/B161)+(((V161-B161*INT(V161/B161)))/C161)/100))))</f>
        <v>0</v>
      </c>
      <c r="BH161" s="57">
        <f>IF(ISERROR(IF(B161=C161,W161/C161,(INT(W161/B161)+(((W161-B161*INT(W161/B161)))/C161)/100))),0,(IF(B161=C161,W161/C161,(INT(W161/B161)+(((W161-B161*INT(W161/B161)))/C161)/100))))</f>
        <v>0</v>
      </c>
      <c r="BI161" s="57">
        <f>IF(ISERROR(IF(B161=C161,X161/C161,(INT(X161/B161)+(((X161-B161*INT(X161/B161)))/C161)/100))),0,(IF(B161=C161,X161/C161,(INT(X161/B161)+(((X161-B161*INT(X161/B161)))/C161)/100))))</f>
        <v>0</v>
      </c>
      <c r="BJ161" s="57">
        <f>IF(ISERROR(IF(B161=C161,Y161/C161,(INT(Y161/B161)+(((Y161-B161*INT(Y161/B161)))/C161)/100))),0,(IF(B161=C161,Y161/C161,(INT(Y161/B161)+(((Y161-B161*INT(Y161/B161)))/C161)/100))))</f>
        <v>0</v>
      </c>
      <c r="BL161" s="57">
        <f>IF(ISERROR(IF(B161=C161,AA161/C161,(INT(AA161/B161)+(((AA161-B161*INT(AA161/B161)))/C161)/100))),0,(IF(B161=C161,AA161/C161,(INT(AA161/B161)+(((AA161-B161*INT(AA161/B161)))/C161)/100))))</f>
        <v>0</v>
      </c>
      <c r="BM161" s="57">
        <f>IF(ISERROR(IF(B161=C161,AB161/C161,(INT(AB161/B161)+(((AB161-B161*INT(AB161/B161)))/C161)/100))),0,(IF(B161=C161,AB161/C161,(INT(AB161/B161)+(((AB161-B161*INT(AB161/B161)))/C161)/100))))</f>
        <v>0</v>
      </c>
      <c r="BN161" s="57">
        <f>IF(ISERROR(IF(B161=C161,AC161/C161,(INT(AC161/B161)+(((AC161-B161*INT(AC161/B161)))/C161)/100))),0,(IF(B161=C161,AC161/C161,(INT(AC161/B161)+(((AC161-B161*INT(AC161/B161)))/C161)/100))))</f>
        <v>0</v>
      </c>
      <c r="BO161" s="57">
        <f>IF(ISERROR(IF(B161=C161,AD161/C161,(INT(AD161/B161)+(((AD161-B161*INT(AD161/B161)))/C161)/100))),0,(IF(B161=C161,AD161/C161,(INT(AD161/B161)+(((AD161-B161*INT(AD161/B161)))/C161)/100))))</f>
        <v>0</v>
      </c>
      <c r="BQ161" s="155"/>
    </row>
    <row r="162" spans="1:69" hidden="1" x14ac:dyDescent="0.35">
      <c r="A162" s="94"/>
      <c r="B162" s="113">
        <v>0</v>
      </c>
      <c r="C162" s="113">
        <v>0</v>
      </c>
      <c r="D162" s="28">
        <f>SUM(AA162:AD162)</f>
        <v>0</v>
      </c>
      <c r="E162" s="113">
        <v>0</v>
      </c>
      <c r="F162" s="113">
        <v>0</v>
      </c>
      <c r="G162" s="28">
        <f>SUM(D162:F162)</f>
        <v>0</v>
      </c>
      <c r="H162" s="125">
        <v>0</v>
      </c>
      <c r="I162" s="113">
        <v>0</v>
      </c>
      <c r="J162" s="125">
        <v>0</v>
      </c>
      <c r="K162" s="113">
        <v>0</v>
      </c>
      <c r="L162" s="113">
        <v>0</v>
      </c>
      <c r="M162" s="113">
        <v>0</v>
      </c>
      <c r="N162" s="28">
        <f>G162-SUM(H162:M162)</f>
        <v>0</v>
      </c>
      <c r="O162" s="28">
        <f>SUM(V162:Y162)</f>
        <v>0</v>
      </c>
      <c r="P162" s="28">
        <f>O162-N162</f>
        <v>0</v>
      </c>
      <c r="Q162" s="61" t="str">
        <f>IF(ISERROR(P162/SUM(H162:L162)),"",P162/SUM(H162:L162))</f>
        <v/>
      </c>
      <c r="R162" s="113">
        <v>0</v>
      </c>
      <c r="S162" s="28">
        <f>IF(ISERROR(P162/C162*R162),0,(P162/C162*R162))</f>
        <v>0</v>
      </c>
      <c r="T162" s="60">
        <f>IF(ISERROR(P162/B162*AF162),0,(P162/B162*AF162))</f>
        <v>0</v>
      </c>
      <c r="V162" s="113">
        <v>0</v>
      </c>
      <c r="W162" s="113">
        <v>0</v>
      </c>
      <c r="X162" s="113">
        <v>0</v>
      </c>
      <c r="Y162" s="113">
        <v>0</v>
      </c>
      <c r="AA162" s="113">
        <v>0</v>
      </c>
      <c r="AB162" s="113">
        <v>0</v>
      </c>
      <c r="AC162" s="113">
        <v>0</v>
      </c>
      <c r="AD162" s="113">
        <v>0</v>
      </c>
      <c r="AF162" s="113">
        <v>0</v>
      </c>
      <c r="AG162" s="28">
        <f>G162-O162</f>
        <v>0</v>
      </c>
      <c r="AH162" s="58">
        <f>IF(ISERROR(AG162/B162*AF162),0,(AG162/B162*AF162))</f>
        <v>0</v>
      </c>
      <c r="AI162" s="28">
        <f>SUM(H162:M162)</f>
        <v>0</v>
      </c>
      <c r="AJ162" s="28">
        <f>IF(ISERROR(AI162/B162*AF162),0,(AI162/B162*AF162))</f>
        <v>0</v>
      </c>
      <c r="AK162" s="58">
        <f>IF(ISERROR(O162/B162*AF162),0,(O162/B162*AF162))</f>
        <v>0</v>
      </c>
      <c r="AL162" s="28">
        <f>IF(ISERROR(H162/B162*AF162),0,(H162/B162*AF162))</f>
        <v>0</v>
      </c>
      <c r="AN162" s="51">
        <f>A162</f>
        <v>0</v>
      </c>
      <c r="AO162" s="57">
        <f>IF(ISERROR(IF(B162=C162,D162/C162,(INT(D162/B162)+(((D162-B162*INT(D162/B162)))/C162)/100))),0,(IF(B162=C162,D162/C162,(INT(D162/B162)+(((D162-B162*INT(D162/B162)))/C162)/100))))</f>
        <v>0</v>
      </c>
      <c r="AP162" s="57">
        <f>IF(ISERROR(IF(B162=C162,E162/C162,(INT(E162/B162)+(((E162-B162*INT(E162/B162)))/C162)/100))),0,(IF(B162=C162,E162/C162,(INT(E162/B162)+(((E162-B162*INT(E162/B162)))/C162)/100))))</f>
        <v>0</v>
      </c>
      <c r="AQ162" s="57">
        <f>IF(ISERROR(IF(B162=C162,F162/C162,IF((INT(F162/B162)+(((F162-B162*INT(F162/B162)))/C162)/100)&lt;0,(INT(F162/B162)+(((F162-B162*INT(F162/B162)))/C162)/100)+(1-(B162/C162/100)),(INT(F162/B162)+(((F162-B162*INT(F162/B162)))/C162)/100)))),0,IF(B162=C162,F162/C162,IF((INT(F162/B162)+(((F162-B162*INT(F162/B162)))/C162)/100)&lt;0,(INT(F162/B162)+(((F162-B162*INT(F162/B162)))/C162)/100)+(1-(B162/C162/100)),(INT(F162/B162)+(((F162-B162*INT(F162/B162)))/C162)/100))))</f>
        <v>0</v>
      </c>
      <c r="AR162" s="57">
        <f>IF(ISERROR(IF(B162=C162,G162/C162,(INT(G162/B162)+(((G162-B162*INT(G162/B162)))/C162)/100))),0,(IF(B162=C162,G162/C162,(INT(G162/B162)+(((G162-B162*INT(G162/B162)))/C162)/100))))</f>
        <v>0</v>
      </c>
      <c r="AS162" s="57">
        <f>IF(ISERROR(IF(B162=C162,H162/C162,(INT(H162/B162)+(((H162-B162*INT(H162/B162)))/C162)/100))),0,(IF(B162=C162,H162/C162,(INT(H162/B162)+(((H162-B162*INT(H162/B162)))/C162)/100))))</f>
        <v>0</v>
      </c>
      <c r="AT162" s="57">
        <f>IF(ISERROR(IF(B162=C162,I162/C162,(INT(I162/B162)+(((I162-B162*INT(I162/B162)))/C162)/100))),0,(IF(B162=C162,I162/C162,(INT(I162/B162)+(((I162-B162*INT(I162/B162)))/C162)/100))))</f>
        <v>0</v>
      </c>
      <c r="AU162" s="57">
        <f>IF(ISERROR(IF(B162=C162,J162/C162,(INT(J162/B162)+(((J162-B162*INT(J162/B162)))/C162)/100))),0,(IF(B162=C162,J162/C162,(INT(J162/B162)+(((J162-B162*INT(J162/B162)))/C162)/100))))</f>
        <v>0</v>
      </c>
      <c r="AV162" s="57">
        <f>IF(ISERROR(IF(B162=C162,K162/C162,IF((INT(K162/B162)+(((K162-B162*INT(K162/B162)))/C162)/100)&lt;0,(INT(K162/B162)+(((K162-B162*INT(K162/B162)))/C162)/100)+(1-(B162/C162/100)),(INT(K162/B162)+(((K162-B162*INT(K162/B162)))/C162)/100)))),0,IF(B162=C162,K162/C162,IF((INT(K162/B162)+(((K162-B162*INT(K162/B162)))/C162)/100)&lt;0,(INT(K162/B162)+(((K162-B162*INT(K162/B162)))/C162)/100)+(1-(B162/C162/100)),(INT(K162/B162)+(((K162-B162*INT(K162/B162)))/C162)/100))))</f>
        <v>0</v>
      </c>
      <c r="AW162" s="57">
        <f>IF(ISERROR(IF(B162=C162,L162/C162,(INT(L162/B162)+(((L162-B162*INT(L162/B162)))/C162)/100))),0,(IF(B162=C162,L162/C162,(INT(L162/B162)+(((L162-B162*INT(L162/B162)))/C162)/100))))</f>
        <v>0</v>
      </c>
      <c r="AX162" s="57">
        <f>IF(ISERROR(IF(B162=C162,M162/C162,(INT(M162/B162)+(((M162-B162*INT(M162/B162)))/C162)/100))),0,(IF(B162=C162,M162/C162,(INT(M162/B162)+(((M162-B162*INT(M162/B162)))/C162)/100))))</f>
        <v>0</v>
      </c>
      <c r="AY162" s="57">
        <f>IF(ISERROR(IF(B162=C162,N162/C162,IF((INT(N162/B162)+(((N162-B162*INT(N162/B162)))/C162)/100)&lt;0,(INT(N162/B162)+(((N162-B162*INT(N162/B162)))/C162)/100)+(1-(B162/C162/100)),(INT(N162/B162)+(((N162-B162*INT(N162/B162)))/C162)/100)))),0,IF(B162=C162,N162/C162,IF((INT(N162/B162)+(((N162-B162*INT(N162/B162)))/C162)/100)&lt;0,(INT(N162/B162)+(((N162-B162*INT(N162/B162)))/C162)/100)+(1-(B162/C162/100)),(INT(N162/B162)+(((N162-B162*INT(N162/B162)))/C162)/100))))</f>
        <v>0</v>
      </c>
      <c r="AZ162" s="57">
        <f>IF(ISERROR(IF(B162=C162,O162/C162,(INT(O162/B162)+(((O162-B162*INT(O162/B162)))/C162)/100))),0,(IF(B162=C162,O162/C162,(INT(O162/B162)+(((O162-B162*INT(O162/B162)))/C162)/100))))</f>
        <v>0</v>
      </c>
      <c r="BA162" s="57">
        <f>IF(ISERROR(IF(B162=C162,P162/C162,IF((INT(P162/B162)+(((P162-B162*INT(P162/B162)))/C162)/100)&lt;0,(INT(P162/B162)+(((P162-B162*INT(P162/B162)))/C162)/100)+(1-(B162/C162/100)),(INT(P162/B162)+(((P162-B162*INT(P162/B162)))/C162)/100)))),0,IF(B162=C162,P162/C162,IF((INT(P162/B162)+(((P162-B162*INT(P162/B162)))/C162)/100)&lt;0,(INT(P162/B162)+(((P162-B162*INT(P162/B162)))/C162)/100)+(1-(B162/C162/100)),(INT(P162/B162)+(((P162-B162*INT(P162/B162)))/C162)/100))))</f>
        <v>0</v>
      </c>
      <c r="BB162" s="28">
        <f>R162</f>
        <v>0</v>
      </c>
      <c r="BC162" s="28">
        <f>S162</f>
        <v>0</v>
      </c>
      <c r="BD162" s="28">
        <f>AF162</f>
        <v>0</v>
      </c>
      <c r="BE162" s="28">
        <f>T162</f>
        <v>0</v>
      </c>
      <c r="BG162" s="57">
        <f>IF(ISERROR(IF(B162=C162,V162/C162,(INT(V162/B162)+(((V162-B162*INT(V162/B162)))/C162)/100))),0,(IF(B162=C162,V162/C162,(INT(V162/B162)+(((V162-B162*INT(V162/B162)))/C162)/100))))</f>
        <v>0</v>
      </c>
      <c r="BH162" s="57">
        <f>IF(ISERROR(IF(B162=C162,W162/C162,(INT(W162/B162)+(((W162-B162*INT(W162/B162)))/C162)/100))),0,(IF(B162=C162,W162/C162,(INT(W162/B162)+(((W162-B162*INT(W162/B162)))/C162)/100))))</f>
        <v>0</v>
      </c>
      <c r="BI162" s="57">
        <f>IF(ISERROR(IF(B162=C162,X162/C162,(INT(X162/B162)+(((X162-B162*INT(X162/B162)))/C162)/100))),0,(IF(B162=C162,X162/C162,(INT(X162/B162)+(((X162-B162*INT(X162/B162)))/C162)/100))))</f>
        <v>0</v>
      </c>
      <c r="BJ162" s="57">
        <f>IF(ISERROR(IF(B162=C162,Y162/C162,(INT(Y162/B162)+(((Y162-B162*INT(Y162/B162)))/C162)/100))),0,(IF(B162=C162,Y162/C162,(INT(Y162/B162)+(((Y162-B162*INT(Y162/B162)))/C162)/100))))</f>
        <v>0</v>
      </c>
      <c r="BL162" s="57">
        <f>IF(ISERROR(IF(B162=C162,AA162/C162,(INT(AA162/B162)+(((AA162-B162*INT(AA162/B162)))/C162)/100))),0,(IF(B162=C162,AA162/C162,(INT(AA162/B162)+(((AA162-B162*INT(AA162/B162)))/C162)/100))))</f>
        <v>0</v>
      </c>
      <c r="BM162" s="57">
        <f>IF(ISERROR(IF(B162=C162,AB162/C162,(INT(AB162/B162)+(((AB162-B162*INT(AB162/B162)))/C162)/100))),0,(IF(B162=C162,AB162/C162,(INT(AB162/B162)+(((AB162-B162*INT(AB162/B162)))/C162)/100))))</f>
        <v>0</v>
      </c>
      <c r="BN162" s="57">
        <f>IF(ISERROR(IF(B162=C162,AC162/C162,(INT(AC162/B162)+(((AC162-B162*INT(AC162/B162)))/C162)/100))),0,(IF(B162=C162,AC162/C162,(INT(AC162/B162)+(((AC162-B162*INT(AC162/B162)))/C162)/100))))</f>
        <v>0</v>
      </c>
      <c r="BO162" s="57">
        <f>IF(ISERROR(IF(B162=C162,AD162/C162,(INT(AD162/B162)+(((AD162-B162*INT(AD162/B162)))/C162)/100))),0,(IF(B162=C162,AD162/C162,(INT(AD162/B162)+(((AD162-B162*INT(AD162/B162)))/C162)/100))))</f>
        <v>0</v>
      </c>
      <c r="BQ162" s="155"/>
    </row>
    <row r="163" spans="1:69" hidden="1" x14ac:dyDescent="0.35">
      <c r="A163" s="94"/>
      <c r="B163" s="113">
        <v>0</v>
      </c>
      <c r="C163" s="113">
        <v>0</v>
      </c>
      <c r="D163" s="28">
        <f>SUM(AA163:AD163)</f>
        <v>0</v>
      </c>
      <c r="E163" s="113">
        <v>0</v>
      </c>
      <c r="F163" s="113">
        <v>0</v>
      </c>
      <c r="G163" s="28">
        <f>SUM(D163:F163)</f>
        <v>0</v>
      </c>
      <c r="H163" s="125">
        <v>0</v>
      </c>
      <c r="I163" s="113">
        <v>0</v>
      </c>
      <c r="J163" s="125">
        <v>0</v>
      </c>
      <c r="K163" s="113">
        <v>0</v>
      </c>
      <c r="L163" s="113">
        <v>0</v>
      </c>
      <c r="M163" s="113">
        <v>0</v>
      </c>
      <c r="N163" s="28">
        <f>G163-SUM(H163:M163)</f>
        <v>0</v>
      </c>
      <c r="O163" s="28">
        <f>SUM(V163:Y163)</f>
        <v>0</v>
      </c>
      <c r="P163" s="28">
        <f>O163-N163</f>
        <v>0</v>
      </c>
      <c r="Q163" s="61" t="str">
        <f>IF(ISERROR(P163/SUM(H163:L163)),"",P163/SUM(H163:L163))</f>
        <v/>
      </c>
      <c r="R163" s="113">
        <v>0</v>
      </c>
      <c r="S163" s="28">
        <f>IF(ISERROR(P163/C163*R163),0,(P163/C163*R163))</f>
        <v>0</v>
      </c>
      <c r="T163" s="60">
        <f>IF(ISERROR(P163/B163*AF163),0,(P163/B163*AF163))</f>
        <v>0</v>
      </c>
      <c r="V163" s="113">
        <v>0</v>
      </c>
      <c r="W163" s="113">
        <v>0</v>
      </c>
      <c r="X163" s="113">
        <v>0</v>
      </c>
      <c r="Y163" s="113">
        <v>0</v>
      </c>
      <c r="AA163" s="113">
        <v>0</v>
      </c>
      <c r="AB163" s="113">
        <v>0</v>
      </c>
      <c r="AC163" s="113">
        <v>0</v>
      </c>
      <c r="AD163" s="113">
        <v>0</v>
      </c>
      <c r="AF163" s="113">
        <v>0</v>
      </c>
      <c r="AG163" s="28">
        <f>G163-O163</f>
        <v>0</v>
      </c>
      <c r="AH163" s="58">
        <f>IF(ISERROR(AG163/B163*AF163),0,(AG163/B163*AF163))</f>
        <v>0</v>
      </c>
      <c r="AI163" s="28">
        <f>SUM(H163:M163)</f>
        <v>0</v>
      </c>
      <c r="AJ163" s="28">
        <f>IF(ISERROR(AI163/B163*AF163),0,(AI163/B163*AF163))</f>
        <v>0</v>
      </c>
      <c r="AK163" s="58">
        <f>IF(ISERROR(O163/B163*AF163),0,(O163/B163*AF163))</f>
        <v>0</v>
      </c>
      <c r="AL163" s="28">
        <f>IF(ISERROR(H163/B163*AF163),0,(H163/B163*AF163))</f>
        <v>0</v>
      </c>
      <c r="AN163" s="51">
        <f>A163</f>
        <v>0</v>
      </c>
      <c r="AO163" s="57">
        <f>IF(ISERROR(IF(B163=C163,D163/C163,(INT(D163/B163)+(((D163-B163*INT(D163/B163)))/C163)/100))),0,(IF(B163=C163,D163/C163,(INT(D163/B163)+(((D163-B163*INT(D163/B163)))/C163)/100))))</f>
        <v>0</v>
      </c>
      <c r="AP163" s="57">
        <f>IF(ISERROR(IF(B163=C163,E163/C163,(INT(E163/B163)+(((E163-B163*INT(E163/B163)))/C163)/100))),0,(IF(B163=C163,E163/C163,(INT(E163/B163)+(((E163-B163*INT(E163/B163)))/C163)/100))))</f>
        <v>0</v>
      </c>
      <c r="AQ163" s="57">
        <f>IF(ISERROR(IF(B163=C163,F163/C163,IF((INT(F163/B163)+(((F163-B163*INT(F163/B163)))/C163)/100)&lt;0,(INT(F163/B163)+(((F163-B163*INT(F163/B163)))/C163)/100)+(1-(B163/C163/100)),(INT(F163/B163)+(((F163-B163*INT(F163/B163)))/C163)/100)))),0,IF(B163=C163,F163/C163,IF((INT(F163/B163)+(((F163-B163*INT(F163/B163)))/C163)/100)&lt;0,(INT(F163/B163)+(((F163-B163*INT(F163/B163)))/C163)/100)+(1-(B163/C163/100)),(INT(F163/B163)+(((F163-B163*INT(F163/B163)))/C163)/100))))</f>
        <v>0</v>
      </c>
      <c r="AR163" s="57">
        <f>IF(ISERROR(IF(B163=C163,G163/C163,(INT(G163/B163)+(((G163-B163*INT(G163/B163)))/C163)/100))),0,(IF(B163=C163,G163/C163,(INT(G163/B163)+(((G163-B163*INT(G163/B163)))/C163)/100))))</f>
        <v>0</v>
      </c>
      <c r="AS163" s="57">
        <f>IF(ISERROR(IF(B163=C163,H163/C163,(INT(H163/B163)+(((H163-B163*INT(H163/B163)))/C163)/100))),0,(IF(B163=C163,H163/C163,(INT(H163/B163)+(((H163-B163*INT(H163/B163)))/C163)/100))))</f>
        <v>0</v>
      </c>
      <c r="AT163" s="57">
        <f>IF(ISERROR(IF(B163=C163,I163/C163,(INT(I163/B163)+(((I163-B163*INT(I163/B163)))/C163)/100))),0,(IF(B163=C163,I163/C163,(INT(I163/B163)+(((I163-B163*INT(I163/B163)))/C163)/100))))</f>
        <v>0</v>
      </c>
      <c r="AU163" s="57">
        <f>IF(ISERROR(IF(B163=C163,J163/C163,(INT(J163/B163)+(((J163-B163*INT(J163/B163)))/C163)/100))),0,(IF(B163=C163,J163/C163,(INT(J163/B163)+(((J163-B163*INT(J163/B163)))/C163)/100))))</f>
        <v>0</v>
      </c>
      <c r="AV163" s="57">
        <f>IF(ISERROR(IF(B163=C163,K163/C163,IF((INT(K163/B163)+(((K163-B163*INT(K163/B163)))/C163)/100)&lt;0,(INT(K163/B163)+(((K163-B163*INT(K163/B163)))/C163)/100)+(1-(B163/C163/100)),(INT(K163/B163)+(((K163-B163*INT(K163/B163)))/C163)/100)))),0,IF(B163=C163,K163/C163,IF((INT(K163/B163)+(((K163-B163*INT(K163/B163)))/C163)/100)&lt;0,(INT(K163/B163)+(((K163-B163*INT(K163/B163)))/C163)/100)+(1-(B163/C163/100)),(INT(K163/B163)+(((K163-B163*INT(K163/B163)))/C163)/100))))</f>
        <v>0</v>
      </c>
      <c r="AW163" s="57">
        <f>IF(ISERROR(IF(B163=C163,L163/C163,(INT(L163/B163)+(((L163-B163*INT(L163/B163)))/C163)/100))),0,(IF(B163=C163,L163/C163,(INT(L163/B163)+(((L163-B163*INT(L163/B163)))/C163)/100))))</f>
        <v>0</v>
      </c>
      <c r="AX163" s="57">
        <f>IF(ISERROR(IF(B163=C163,M163/C163,(INT(M163/B163)+(((M163-B163*INT(M163/B163)))/C163)/100))),0,(IF(B163=C163,M163/C163,(INT(M163/B163)+(((M163-B163*INT(M163/B163)))/C163)/100))))</f>
        <v>0</v>
      </c>
      <c r="AY163" s="57">
        <f>IF(ISERROR(IF(B163=C163,N163/C163,IF((INT(N163/B163)+(((N163-B163*INT(N163/B163)))/C163)/100)&lt;0,(INT(N163/B163)+(((N163-B163*INT(N163/B163)))/C163)/100)+(1-(B163/C163/100)),(INT(N163/B163)+(((N163-B163*INT(N163/B163)))/C163)/100)))),0,IF(B163=C163,N163/C163,IF((INT(N163/B163)+(((N163-B163*INT(N163/B163)))/C163)/100)&lt;0,(INT(N163/B163)+(((N163-B163*INT(N163/B163)))/C163)/100)+(1-(B163/C163/100)),(INT(N163/B163)+(((N163-B163*INT(N163/B163)))/C163)/100))))</f>
        <v>0</v>
      </c>
      <c r="AZ163" s="57">
        <f>IF(ISERROR(IF(B163=C163,O163/C163,(INT(O163/B163)+(((O163-B163*INT(O163/B163)))/C163)/100))),0,(IF(B163=C163,O163/C163,(INT(O163/B163)+(((O163-B163*INT(O163/B163)))/C163)/100))))</f>
        <v>0</v>
      </c>
      <c r="BA163" s="57">
        <f>IF(ISERROR(IF(B163=C163,P163/C163,IF((INT(P163/B163)+(((P163-B163*INT(P163/B163)))/C163)/100)&lt;0,(INT(P163/B163)+(((P163-B163*INT(P163/B163)))/C163)/100)+(1-(B163/C163/100)),(INT(P163/B163)+(((P163-B163*INT(P163/B163)))/C163)/100)))),0,IF(B163=C163,P163/C163,IF((INT(P163/B163)+(((P163-B163*INT(P163/B163)))/C163)/100)&lt;0,(INT(P163/B163)+(((P163-B163*INT(P163/B163)))/C163)/100)+(1-(B163/C163/100)),(INT(P163/B163)+(((P163-B163*INT(P163/B163)))/C163)/100))))</f>
        <v>0</v>
      </c>
      <c r="BB163" s="28">
        <f>R163</f>
        <v>0</v>
      </c>
      <c r="BC163" s="28">
        <f>S163</f>
        <v>0</v>
      </c>
      <c r="BD163" s="28">
        <f>AF163</f>
        <v>0</v>
      </c>
      <c r="BE163" s="28">
        <f>T163</f>
        <v>0</v>
      </c>
      <c r="BG163" s="57">
        <f>IF(ISERROR(IF(B163=C163,V163/C163,(INT(V163/B163)+(((V163-B163*INT(V163/B163)))/C163)/100))),0,(IF(B163=C163,V163/C163,(INT(V163/B163)+(((V163-B163*INT(V163/B163)))/C163)/100))))</f>
        <v>0</v>
      </c>
      <c r="BH163" s="57">
        <f>IF(ISERROR(IF(B163=C163,W163/C163,(INT(W163/B163)+(((W163-B163*INT(W163/B163)))/C163)/100))),0,(IF(B163=C163,W163/C163,(INT(W163/B163)+(((W163-B163*INT(W163/B163)))/C163)/100))))</f>
        <v>0</v>
      </c>
      <c r="BI163" s="57">
        <f>IF(ISERROR(IF(B163=C163,X163/C163,(INT(X163/B163)+(((X163-B163*INT(X163/B163)))/C163)/100))),0,(IF(B163=C163,X163/C163,(INT(X163/B163)+(((X163-B163*INT(X163/B163)))/C163)/100))))</f>
        <v>0</v>
      </c>
      <c r="BJ163" s="57">
        <f>IF(ISERROR(IF(B163=C163,Y163/C163,(INT(Y163/B163)+(((Y163-B163*INT(Y163/B163)))/C163)/100))),0,(IF(B163=C163,Y163/C163,(INT(Y163/B163)+(((Y163-B163*INT(Y163/B163)))/C163)/100))))</f>
        <v>0</v>
      </c>
      <c r="BL163" s="57">
        <f>IF(ISERROR(IF(B163=C163,AA163/C163,(INT(AA163/B163)+(((AA163-B163*INT(AA163/B163)))/C163)/100))),0,(IF(B163=C163,AA163/C163,(INT(AA163/B163)+(((AA163-B163*INT(AA163/B163)))/C163)/100))))</f>
        <v>0</v>
      </c>
      <c r="BM163" s="57">
        <f>IF(ISERROR(IF(B163=C163,AB163/C163,(INT(AB163/B163)+(((AB163-B163*INT(AB163/B163)))/C163)/100))),0,(IF(B163=C163,AB163/C163,(INT(AB163/B163)+(((AB163-B163*INT(AB163/B163)))/C163)/100))))</f>
        <v>0</v>
      </c>
      <c r="BN163" s="57">
        <f>IF(ISERROR(IF(B163=C163,AC163/C163,(INT(AC163/B163)+(((AC163-B163*INT(AC163/B163)))/C163)/100))),0,(IF(B163=C163,AC163/C163,(INT(AC163/B163)+(((AC163-B163*INT(AC163/B163)))/C163)/100))))</f>
        <v>0</v>
      </c>
      <c r="BO163" s="57">
        <f>IF(ISERROR(IF(B163=C163,AD163/C163,(INT(AD163/B163)+(((AD163-B163*INT(AD163/B163)))/C163)/100))),0,(IF(B163=C163,AD163/C163,(INT(AD163/B163)+(((AD163-B163*INT(AD163/B163)))/C163)/100))))</f>
        <v>0</v>
      </c>
      <c r="BQ163" s="155"/>
    </row>
    <row r="164" spans="1:69" hidden="1" x14ac:dyDescent="0.35">
      <c r="A164" s="94"/>
      <c r="B164" s="113">
        <v>0</v>
      </c>
      <c r="C164" s="113">
        <v>0</v>
      </c>
      <c r="D164" s="28">
        <f>SUM(AA164:AD164)</f>
        <v>0</v>
      </c>
      <c r="E164" s="113">
        <v>0</v>
      </c>
      <c r="F164" s="113">
        <v>0</v>
      </c>
      <c r="G164" s="28">
        <f>SUM(D164:F164)</f>
        <v>0</v>
      </c>
      <c r="H164" s="125">
        <v>0</v>
      </c>
      <c r="I164" s="113">
        <v>0</v>
      </c>
      <c r="J164" s="125">
        <v>0</v>
      </c>
      <c r="K164" s="113">
        <v>0</v>
      </c>
      <c r="L164" s="113">
        <v>0</v>
      </c>
      <c r="M164" s="113">
        <v>0</v>
      </c>
      <c r="N164" s="28">
        <f>G164-SUM(H164:M164)</f>
        <v>0</v>
      </c>
      <c r="O164" s="28">
        <f>SUM(V164:Y164)</f>
        <v>0</v>
      </c>
      <c r="P164" s="28">
        <f>O164-N164</f>
        <v>0</v>
      </c>
      <c r="Q164" s="61" t="str">
        <f>IF(ISERROR(P164/SUM(H164:L164)),"",P164/SUM(H164:L164))</f>
        <v/>
      </c>
      <c r="R164" s="113">
        <v>0</v>
      </c>
      <c r="S164" s="28">
        <f>IF(ISERROR(P164/C164*R164),0,(P164/C164*R164))</f>
        <v>0</v>
      </c>
      <c r="T164" s="60">
        <f>IF(ISERROR(P164/B164*AF164),0,(P164/B164*AF164))</f>
        <v>0</v>
      </c>
      <c r="V164" s="113">
        <v>0</v>
      </c>
      <c r="W164" s="113">
        <v>0</v>
      </c>
      <c r="X164" s="113">
        <v>0</v>
      </c>
      <c r="Y164" s="113">
        <v>0</v>
      </c>
      <c r="AA164" s="113">
        <v>0</v>
      </c>
      <c r="AB164" s="113">
        <v>0</v>
      </c>
      <c r="AC164" s="113">
        <v>0</v>
      </c>
      <c r="AD164" s="113">
        <v>0</v>
      </c>
      <c r="AF164" s="113">
        <v>0</v>
      </c>
      <c r="AG164" s="28">
        <f>G164-O164</f>
        <v>0</v>
      </c>
      <c r="AH164" s="58">
        <f>IF(ISERROR(AG164/B164*AF164),0,(AG164/B164*AF164))</f>
        <v>0</v>
      </c>
      <c r="AI164" s="28">
        <f>SUM(H164:M164)</f>
        <v>0</v>
      </c>
      <c r="AJ164" s="28">
        <f>IF(ISERROR(AI164/B164*AF164),0,(AI164/B164*AF164))</f>
        <v>0</v>
      </c>
      <c r="AK164" s="58">
        <f>IF(ISERROR(O164/B164*AF164),0,(O164/B164*AF164))</f>
        <v>0</v>
      </c>
      <c r="AL164" s="28">
        <f>IF(ISERROR(H164/B164*AF164),0,(H164/B164*AF164))</f>
        <v>0</v>
      </c>
      <c r="AN164" s="51">
        <f>A164</f>
        <v>0</v>
      </c>
      <c r="AO164" s="57">
        <f>IF(ISERROR(IF(B164=C164,D164/C164,(INT(D164/B164)+(((D164-B164*INT(D164/B164)))/C164)/100))),0,(IF(B164=C164,D164/C164,(INT(D164/B164)+(((D164-B164*INT(D164/B164)))/C164)/100))))</f>
        <v>0</v>
      </c>
      <c r="AP164" s="57">
        <f>IF(ISERROR(IF(B164=C164,E164/C164,(INT(E164/B164)+(((E164-B164*INT(E164/B164)))/C164)/100))),0,(IF(B164=C164,E164/C164,(INT(E164/B164)+(((E164-B164*INT(E164/B164)))/C164)/100))))</f>
        <v>0</v>
      </c>
      <c r="AQ164" s="57">
        <f>IF(ISERROR(IF(B164=C164,F164/C164,IF((INT(F164/B164)+(((F164-B164*INT(F164/B164)))/C164)/100)&lt;0,(INT(F164/B164)+(((F164-B164*INT(F164/B164)))/C164)/100)+(1-(B164/C164/100)),(INT(F164/B164)+(((F164-B164*INT(F164/B164)))/C164)/100)))),0,IF(B164=C164,F164/C164,IF((INT(F164/B164)+(((F164-B164*INT(F164/B164)))/C164)/100)&lt;0,(INT(F164/B164)+(((F164-B164*INT(F164/B164)))/C164)/100)+(1-(B164/C164/100)),(INT(F164/B164)+(((F164-B164*INT(F164/B164)))/C164)/100))))</f>
        <v>0</v>
      </c>
      <c r="AR164" s="57">
        <f>IF(ISERROR(IF(B164=C164,G164/C164,(INT(G164/B164)+(((G164-B164*INT(G164/B164)))/C164)/100))),0,(IF(B164=C164,G164/C164,(INT(G164/B164)+(((G164-B164*INT(G164/B164)))/C164)/100))))</f>
        <v>0</v>
      </c>
      <c r="AS164" s="57">
        <f>IF(ISERROR(IF(B164=C164,H164/C164,(INT(H164/B164)+(((H164-B164*INT(H164/B164)))/C164)/100))),0,(IF(B164=C164,H164/C164,(INT(H164/B164)+(((H164-B164*INT(H164/B164)))/C164)/100))))</f>
        <v>0</v>
      </c>
      <c r="AT164" s="57">
        <f>IF(ISERROR(IF(B164=C164,I164/C164,(INT(I164/B164)+(((I164-B164*INT(I164/B164)))/C164)/100))),0,(IF(B164=C164,I164/C164,(INT(I164/B164)+(((I164-B164*INT(I164/B164)))/C164)/100))))</f>
        <v>0</v>
      </c>
      <c r="AU164" s="57">
        <f>IF(ISERROR(IF(B164=C164,J164/C164,(INT(J164/B164)+(((J164-B164*INT(J164/B164)))/C164)/100))),0,(IF(B164=C164,J164/C164,(INT(J164/B164)+(((J164-B164*INT(J164/B164)))/C164)/100))))</f>
        <v>0</v>
      </c>
      <c r="AV164" s="57">
        <f>IF(ISERROR(IF(B164=C164,K164/C164,IF((INT(K164/B164)+(((K164-B164*INT(K164/B164)))/C164)/100)&lt;0,(INT(K164/B164)+(((K164-B164*INT(K164/B164)))/C164)/100)+(1-(B164/C164/100)),(INT(K164/B164)+(((K164-B164*INT(K164/B164)))/C164)/100)))),0,IF(B164=C164,K164/C164,IF((INT(K164/B164)+(((K164-B164*INT(K164/B164)))/C164)/100)&lt;0,(INT(K164/B164)+(((K164-B164*INT(K164/B164)))/C164)/100)+(1-(B164/C164/100)),(INT(K164/B164)+(((K164-B164*INT(K164/B164)))/C164)/100))))</f>
        <v>0</v>
      </c>
      <c r="AW164" s="57">
        <f>IF(ISERROR(IF(B164=C164,L164/C164,(INT(L164/B164)+(((L164-B164*INT(L164/B164)))/C164)/100))),0,(IF(B164=C164,L164/C164,(INT(L164/B164)+(((L164-B164*INT(L164/B164)))/C164)/100))))</f>
        <v>0</v>
      </c>
      <c r="AX164" s="57">
        <f>IF(ISERROR(IF(B164=C164,M164/C164,(INT(M164/B164)+(((M164-B164*INT(M164/B164)))/C164)/100))),0,(IF(B164=C164,M164/C164,(INT(M164/B164)+(((M164-B164*INT(M164/B164)))/C164)/100))))</f>
        <v>0</v>
      </c>
      <c r="AY164" s="57">
        <f>IF(ISERROR(IF(B164=C164,N164/C164,IF((INT(N164/B164)+(((N164-B164*INT(N164/B164)))/C164)/100)&lt;0,(INT(N164/B164)+(((N164-B164*INT(N164/B164)))/C164)/100)+(1-(B164/C164/100)),(INT(N164/B164)+(((N164-B164*INT(N164/B164)))/C164)/100)))),0,IF(B164=C164,N164/C164,IF((INT(N164/B164)+(((N164-B164*INT(N164/B164)))/C164)/100)&lt;0,(INT(N164/B164)+(((N164-B164*INT(N164/B164)))/C164)/100)+(1-(B164/C164/100)),(INT(N164/B164)+(((N164-B164*INT(N164/B164)))/C164)/100))))</f>
        <v>0</v>
      </c>
      <c r="AZ164" s="57">
        <f>IF(ISERROR(IF(B164=C164,O164/C164,(INT(O164/B164)+(((O164-B164*INT(O164/B164)))/C164)/100))),0,(IF(B164=C164,O164/C164,(INT(O164/B164)+(((O164-B164*INT(O164/B164)))/C164)/100))))</f>
        <v>0</v>
      </c>
      <c r="BA164" s="57">
        <f>IF(ISERROR(IF(B164=C164,P164/C164,IF((INT(P164/B164)+(((P164-B164*INT(P164/B164)))/C164)/100)&lt;0,(INT(P164/B164)+(((P164-B164*INT(P164/B164)))/C164)/100)+(1-(B164/C164/100)),(INT(P164/B164)+(((P164-B164*INT(P164/B164)))/C164)/100)))),0,IF(B164=C164,P164/C164,IF((INT(P164/B164)+(((P164-B164*INT(P164/B164)))/C164)/100)&lt;0,(INT(P164/B164)+(((P164-B164*INT(P164/B164)))/C164)/100)+(1-(B164/C164/100)),(INT(P164/B164)+(((P164-B164*INT(P164/B164)))/C164)/100))))</f>
        <v>0</v>
      </c>
      <c r="BB164" s="28">
        <f>R164</f>
        <v>0</v>
      </c>
      <c r="BC164" s="28">
        <f>S164</f>
        <v>0</v>
      </c>
      <c r="BD164" s="28">
        <f>AF164</f>
        <v>0</v>
      </c>
      <c r="BE164" s="28">
        <f>T164</f>
        <v>0</v>
      </c>
      <c r="BG164" s="57">
        <f>IF(ISERROR(IF(B164=C164,V164/C164,(INT(V164/B164)+(((V164-B164*INT(V164/B164)))/C164)/100))),0,(IF(B164=C164,V164/C164,(INT(V164/B164)+(((V164-B164*INT(V164/B164)))/C164)/100))))</f>
        <v>0</v>
      </c>
      <c r="BH164" s="57">
        <f>IF(ISERROR(IF(B164=C164,W164/C164,(INT(W164/B164)+(((W164-B164*INT(W164/B164)))/C164)/100))),0,(IF(B164=C164,W164/C164,(INT(W164/B164)+(((W164-B164*INT(W164/B164)))/C164)/100))))</f>
        <v>0</v>
      </c>
      <c r="BI164" s="57">
        <f>IF(ISERROR(IF(B164=C164,X164/C164,(INT(X164/B164)+(((X164-B164*INT(X164/B164)))/C164)/100))),0,(IF(B164=C164,X164/C164,(INT(X164/B164)+(((X164-B164*INT(X164/B164)))/C164)/100))))</f>
        <v>0</v>
      </c>
      <c r="BJ164" s="57">
        <f>IF(ISERROR(IF(B164=C164,Y164/C164,(INT(Y164/B164)+(((Y164-B164*INT(Y164/B164)))/C164)/100))),0,(IF(B164=C164,Y164/C164,(INT(Y164/B164)+(((Y164-B164*INT(Y164/B164)))/C164)/100))))</f>
        <v>0</v>
      </c>
      <c r="BL164" s="57">
        <f>IF(ISERROR(IF(B164=C164,AA164/C164,(INT(AA164/B164)+(((AA164-B164*INT(AA164/B164)))/C164)/100))),0,(IF(B164=C164,AA164/C164,(INT(AA164/B164)+(((AA164-B164*INT(AA164/B164)))/C164)/100))))</f>
        <v>0</v>
      </c>
      <c r="BM164" s="57">
        <f>IF(ISERROR(IF(B164=C164,AB164/C164,(INT(AB164/B164)+(((AB164-B164*INT(AB164/B164)))/C164)/100))),0,(IF(B164=C164,AB164/C164,(INT(AB164/B164)+(((AB164-B164*INT(AB164/B164)))/C164)/100))))</f>
        <v>0</v>
      </c>
      <c r="BN164" s="57">
        <f>IF(ISERROR(IF(B164=C164,AC164/C164,(INT(AC164/B164)+(((AC164-B164*INT(AC164/B164)))/C164)/100))),0,(IF(B164=C164,AC164/C164,(INT(AC164/B164)+(((AC164-B164*INT(AC164/B164)))/C164)/100))))</f>
        <v>0</v>
      </c>
      <c r="BO164" s="57">
        <f>IF(ISERROR(IF(B164=C164,AD164/C164,(INT(AD164/B164)+(((AD164-B164*INT(AD164/B164)))/C164)/100))),0,(IF(B164=C164,AD164/C164,(INT(AD164/B164)+(((AD164-B164*INT(AD164/B164)))/C164)/100))))</f>
        <v>0</v>
      </c>
      <c r="BQ164" s="155"/>
    </row>
    <row r="165" spans="1:69" hidden="1" x14ac:dyDescent="0.35">
      <c r="A165" s="94"/>
      <c r="B165" s="113">
        <v>0</v>
      </c>
      <c r="C165" s="113">
        <v>0</v>
      </c>
      <c r="D165" s="28">
        <f>SUM(AA165:AD165)</f>
        <v>0</v>
      </c>
      <c r="E165" s="113">
        <v>0</v>
      </c>
      <c r="F165" s="113">
        <v>0</v>
      </c>
      <c r="G165" s="28">
        <f>SUM(D165:F165)</f>
        <v>0</v>
      </c>
      <c r="H165" s="125">
        <v>0</v>
      </c>
      <c r="I165" s="113">
        <v>0</v>
      </c>
      <c r="J165" s="125">
        <v>0</v>
      </c>
      <c r="K165" s="113">
        <v>0</v>
      </c>
      <c r="L165" s="113">
        <v>0</v>
      </c>
      <c r="M165" s="113">
        <v>0</v>
      </c>
      <c r="N165" s="28">
        <f>G165-SUM(H165:M165)</f>
        <v>0</v>
      </c>
      <c r="O165" s="28">
        <f>SUM(V165:Y165)</f>
        <v>0</v>
      </c>
      <c r="P165" s="28">
        <f>O165-N165</f>
        <v>0</v>
      </c>
      <c r="Q165" s="61" t="str">
        <f>IF(ISERROR(P165/SUM(H165:L165)),"",P165/SUM(H165:L165))</f>
        <v/>
      </c>
      <c r="R165" s="113">
        <v>0</v>
      </c>
      <c r="S165" s="28">
        <f>IF(ISERROR(P165/C165*R165),0,(P165/C165*R165))</f>
        <v>0</v>
      </c>
      <c r="T165" s="60">
        <f>IF(ISERROR(P165/B165*AF165),0,(P165/B165*AF165))</f>
        <v>0</v>
      </c>
      <c r="V165" s="113">
        <v>0</v>
      </c>
      <c r="W165" s="113">
        <v>0</v>
      </c>
      <c r="X165" s="113">
        <v>0</v>
      </c>
      <c r="Y165" s="113">
        <v>0</v>
      </c>
      <c r="AA165" s="113">
        <v>0</v>
      </c>
      <c r="AB165" s="113">
        <v>0</v>
      </c>
      <c r="AC165" s="113">
        <v>0</v>
      </c>
      <c r="AD165" s="113">
        <v>0</v>
      </c>
      <c r="AF165" s="113">
        <v>0</v>
      </c>
      <c r="AG165" s="28">
        <f>G165-O165</f>
        <v>0</v>
      </c>
      <c r="AH165" s="58">
        <f>IF(ISERROR(AG165/B165*AF165),0,(AG165/B165*AF165))</f>
        <v>0</v>
      </c>
      <c r="AI165" s="28">
        <f>SUM(H165:M165)</f>
        <v>0</v>
      </c>
      <c r="AJ165" s="28">
        <f>IF(ISERROR(AI165/B165*AF165),0,(AI165/B165*AF165))</f>
        <v>0</v>
      </c>
      <c r="AK165" s="58">
        <f>IF(ISERROR(O165/B165*AF165),0,(O165/B165*AF165))</f>
        <v>0</v>
      </c>
      <c r="AL165" s="28">
        <f>IF(ISERROR(H165/B165*AF165),0,(H165/B165*AF165))</f>
        <v>0</v>
      </c>
      <c r="AN165" s="51">
        <f>A165</f>
        <v>0</v>
      </c>
      <c r="AO165" s="57">
        <f>IF(ISERROR(IF(B165=C165,D165/C165,(INT(D165/B165)+(((D165-B165*INT(D165/B165)))/C165)/100))),0,(IF(B165=C165,D165/C165,(INT(D165/B165)+(((D165-B165*INT(D165/B165)))/C165)/100))))</f>
        <v>0</v>
      </c>
      <c r="AP165" s="57">
        <f>IF(ISERROR(IF(B165=C165,E165/C165,(INT(E165/B165)+(((E165-B165*INT(E165/B165)))/C165)/100))),0,(IF(B165=C165,E165/C165,(INT(E165/B165)+(((E165-B165*INT(E165/B165)))/C165)/100))))</f>
        <v>0</v>
      </c>
      <c r="AQ165" s="57">
        <f>IF(ISERROR(IF(B165=C165,F165/C165,IF((INT(F165/B165)+(((F165-B165*INT(F165/B165)))/C165)/100)&lt;0,(INT(F165/B165)+(((F165-B165*INT(F165/B165)))/C165)/100)+(1-(B165/C165/100)),(INT(F165/B165)+(((F165-B165*INT(F165/B165)))/C165)/100)))),0,IF(B165=C165,F165/C165,IF((INT(F165/B165)+(((F165-B165*INT(F165/B165)))/C165)/100)&lt;0,(INT(F165/B165)+(((F165-B165*INT(F165/B165)))/C165)/100)+(1-(B165/C165/100)),(INT(F165/B165)+(((F165-B165*INT(F165/B165)))/C165)/100))))</f>
        <v>0</v>
      </c>
      <c r="AR165" s="57">
        <f>IF(ISERROR(IF(B165=C165,G165/C165,(INT(G165/B165)+(((G165-B165*INT(G165/B165)))/C165)/100))),0,(IF(B165=C165,G165/C165,(INT(G165/B165)+(((G165-B165*INT(G165/B165)))/C165)/100))))</f>
        <v>0</v>
      </c>
      <c r="AS165" s="57">
        <f>IF(ISERROR(IF(B165=C165,H165/C165,(INT(H165/B165)+(((H165-B165*INT(H165/B165)))/C165)/100))),0,(IF(B165=C165,H165/C165,(INT(H165/B165)+(((H165-B165*INT(H165/B165)))/C165)/100))))</f>
        <v>0</v>
      </c>
      <c r="AT165" s="57">
        <f>IF(ISERROR(IF(B165=C165,I165/C165,(INT(I165/B165)+(((I165-B165*INT(I165/B165)))/C165)/100))),0,(IF(B165=C165,I165/C165,(INT(I165/B165)+(((I165-B165*INT(I165/B165)))/C165)/100))))</f>
        <v>0</v>
      </c>
      <c r="AU165" s="57">
        <f>IF(ISERROR(IF(B165=C165,J165/C165,(INT(J165/B165)+(((J165-B165*INT(J165/B165)))/C165)/100))),0,(IF(B165=C165,J165/C165,(INT(J165/B165)+(((J165-B165*INT(J165/B165)))/C165)/100))))</f>
        <v>0</v>
      </c>
      <c r="AV165" s="57">
        <f>IF(ISERROR(IF(B165=C165,K165/C165,IF((INT(K165/B165)+(((K165-B165*INT(K165/B165)))/C165)/100)&lt;0,(INT(K165/B165)+(((K165-B165*INT(K165/B165)))/C165)/100)+(1-(B165/C165/100)),(INT(K165/B165)+(((K165-B165*INT(K165/B165)))/C165)/100)))),0,IF(B165=C165,K165/C165,IF((INT(K165/B165)+(((K165-B165*INT(K165/B165)))/C165)/100)&lt;0,(INT(K165/B165)+(((K165-B165*INT(K165/B165)))/C165)/100)+(1-(B165/C165/100)),(INT(K165/B165)+(((K165-B165*INT(K165/B165)))/C165)/100))))</f>
        <v>0</v>
      </c>
      <c r="AW165" s="57">
        <f>IF(ISERROR(IF(B165=C165,L165/C165,(INT(L165/B165)+(((L165-B165*INT(L165/B165)))/C165)/100))),0,(IF(B165=C165,L165/C165,(INT(L165/B165)+(((L165-B165*INT(L165/B165)))/C165)/100))))</f>
        <v>0</v>
      </c>
      <c r="AX165" s="57">
        <f>IF(ISERROR(IF(B165=C165,M165/C165,(INT(M165/B165)+(((M165-B165*INT(M165/B165)))/C165)/100))),0,(IF(B165=C165,M165/C165,(INT(M165/B165)+(((M165-B165*INT(M165/B165)))/C165)/100))))</f>
        <v>0</v>
      </c>
      <c r="AY165" s="57">
        <f>IF(ISERROR(IF(B165=C165,N165/C165,IF((INT(N165/B165)+(((N165-B165*INT(N165/B165)))/C165)/100)&lt;0,(INT(N165/B165)+(((N165-B165*INT(N165/B165)))/C165)/100)+(1-(B165/C165/100)),(INT(N165/B165)+(((N165-B165*INT(N165/B165)))/C165)/100)))),0,IF(B165=C165,N165/C165,IF((INT(N165/B165)+(((N165-B165*INT(N165/B165)))/C165)/100)&lt;0,(INT(N165/B165)+(((N165-B165*INT(N165/B165)))/C165)/100)+(1-(B165/C165/100)),(INT(N165/B165)+(((N165-B165*INT(N165/B165)))/C165)/100))))</f>
        <v>0</v>
      </c>
      <c r="AZ165" s="57">
        <f>IF(ISERROR(IF(B165=C165,O165/C165,(INT(O165/B165)+(((O165-B165*INT(O165/B165)))/C165)/100))),0,(IF(B165=C165,O165/C165,(INT(O165/B165)+(((O165-B165*INT(O165/B165)))/C165)/100))))</f>
        <v>0</v>
      </c>
      <c r="BA165" s="57">
        <f>IF(ISERROR(IF(B165=C165,P165/C165,IF((INT(P165/B165)+(((P165-B165*INT(P165/B165)))/C165)/100)&lt;0,(INT(P165/B165)+(((P165-B165*INT(P165/B165)))/C165)/100)+(1-(B165/C165/100)),(INT(P165/B165)+(((P165-B165*INT(P165/B165)))/C165)/100)))),0,IF(B165=C165,P165/C165,IF((INT(P165/B165)+(((P165-B165*INT(P165/B165)))/C165)/100)&lt;0,(INT(P165/B165)+(((P165-B165*INT(P165/B165)))/C165)/100)+(1-(B165/C165/100)),(INT(P165/B165)+(((P165-B165*INT(P165/B165)))/C165)/100))))</f>
        <v>0</v>
      </c>
      <c r="BB165" s="28">
        <f>R165</f>
        <v>0</v>
      </c>
      <c r="BC165" s="28">
        <f>S165</f>
        <v>0</v>
      </c>
      <c r="BD165" s="28">
        <f>AF165</f>
        <v>0</v>
      </c>
      <c r="BE165" s="28">
        <f>T165</f>
        <v>0</v>
      </c>
      <c r="BG165" s="57">
        <f>IF(ISERROR(IF(B165=C165,V165/C165,(INT(V165/B165)+(((V165-B165*INT(V165/B165)))/C165)/100))),0,(IF(B165=C165,V165/C165,(INT(V165/B165)+(((V165-B165*INT(V165/B165)))/C165)/100))))</f>
        <v>0</v>
      </c>
      <c r="BH165" s="57">
        <f>IF(ISERROR(IF(B165=C165,W165/C165,(INT(W165/B165)+(((W165-B165*INT(W165/B165)))/C165)/100))),0,(IF(B165=C165,W165/C165,(INT(W165/B165)+(((W165-B165*INT(W165/B165)))/C165)/100))))</f>
        <v>0</v>
      </c>
      <c r="BI165" s="57">
        <f>IF(ISERROR(IF(B165=C165,X165/C165,(INT(X165/B165)+(((X165-B165*INT(X165/B165)))/C165)/100))),0,(IF(B165=C165,X165/C165,(INT(X165/B165)+(((X165-B165*INT(X165/B165)))/C165)/100))))</f>
        <v>0</v>
      </c>
      <c r="BJ165" s="57">
        <f>IF(ISERROR(IF(B165=C165,Y165/C165,(INT(Y165/B165)+(((Y165-B165*INT(Y165/B165)))/C165)/100))),0,(IF(B165=C165,Y165/C165,(INT(Y165/B165)+(((Y165-B165*INT(Y165/B165)))/C165)/100))))</f>
        <v>0</v>
      </c>
      <c r="BL165" s="57">
        <f>IF(ISERROR(IF(B165=C165,AA165/C165,(INT(AA165/B165)+(((AA165-B165*INT(AA165/B165)))/C165)/100))),0,(IF(B165=C165,AA165/C165,(INT(AA165/B165)+(((AA165-B165*INT(AA165/B165)))/C165)/100))))</f>
        <v>0</v>
      </c>
      <c r="BM165" s="57">
        <f>IF(ISERROR(IF(B165=C165,AB165/C165,(INT(AB165/B165)+(((AB165-B165*INT(AB165/B165)))/C165)/100))),0,(IF(B165=C165,AB165/C165,(INT(AB165/B165)+(((AB165-B165*INT(AB165/B165)))/C165)/100))))</f>
        <v>0</v>
      </c>
      <c r="BN165" s="57">
        <f>IF(ISERROR(IF(B165=C165,AC165/C165,(INT(AC165/B165)+(((AC165-B165*INT(AC165/B165)))/C165)/100))),0,(IF(B165=C165,AC165/C165,(INT(AC165/B165)+(((AC165-B165*INT(AC165/B165)))/C165)/100))))</f>
        <v>0</v>
      </c>
      <c r="BO165" s="57">
        <f>IF(ISERROR(IF(B165=C165,AD165/C165,(INT(AD165/B165)+(((AD165-B165*INT(AD165/B165)))/C165)/100))),0,(IF(B165=C165,AD165/C165,(INT(AD165/B165)+(((AD165-B165*INT(AD165/B165)))/C165)/100))))</f>
        <v>0</v>
      </c>
      <c r="BQ165" s="155"/>
    </row>
    <row r="166" spans="1:69" hidden="1" x14ac:dyDescent="0.35">
      <c r="A166" s="94"/>
      <c r="B166" s="113">
        <v>0</v>
      </c>
      <c r="C166" s="113">
        <v>0</v>
      </c>
      <c r="D166" s="28">
        <f>SUM(AA166:AD166)</f>
        <v>0</v>
      </c>
      <c r="E166" s="113">
        <v>0</v>
      </c>
      <c r="F166" s="113">
        <v>0</v>
      </c>
      <c r="G166" s="28">
        <f>SUM(D166:F166)</f>
        <v>0</v>
      </c>
      <c r="H166" s="125">
        <v>0</v>
      </c>
      <c r="I166" s="113">
        <v>0</v>
      </c>
      <c r="J166" s="125">
        <v>0</v>
      </c>
      <c r="K166" s="113">
        <v>0</v>
      </c>
      <c r="L166" s="113">
        <v>0</v>
      </c>
      <c r="M166" s="113">
        <v>0</v>
      </c>
      <c r="N166" s="28">
        <f>G166-SUM(H166:M166)</f>
        <v>0</v>
      </c>
      <c r="O166" s="28">
        <f>SUM(V166:Y166)</f>
        <v>0</v>
      </c>
      <c r="P166" s="28">
        <f>O166-N166</f>
        <v>0</v>
      </c>
      <c r="Q166" s="61" t="str">
        <f>IF(ISERROR(P166/SUM(H166:L166)),"",P166/SUM(H166:L166))</f>
        <v/>
      </c>
      <c r="R166" s="113">
        <v>0</v>
      </c>
      <c r="S166" s="28">
        <f>IF(ISERROR(P166/C166*R166),0,(P166/C166*R166))</f>
        <v>0</v>
      </c>
      <c r="T166" s="60">
        <f>IF(ISERROR(P166/B166*AF166),0,(P166/B166*AF166))</f>
        <v>0</v>
      </c>
      <c r="V166" s="113">
        <v>0</v>
      </c>
      <c r="W166" s="113">
        <v>0</v>
      </c>
      <c r="X166" s="113">
        <v>0</v>
      </c>
      <c r="Y166" s="113">
        <v>0</v>
      </c>
      <c r="AA166" s="113">
        <v>0</v>
      </c>
      <c r="AB166" s="113">
        <v>0</v>
      </c>
      <c r="AC166" s="113">
        <v>0</v>
      </c>
      <c r="AD166" s="113">
        <v>0</v>
      </c>
      <c r="AF166" s="113">
        <v>0</v>
      </c>
      <c r="AG166" s="28">
        <f>G166-O166</f>
        <v>0</v>
      </c>
      <c r="AH166" s="58">
        <f>IF(ISERROR(AG166/B166*AF166),0,(AG166/B166*AF166))</f>
        <v>0</v>
      </c>
      <c r="AI166" s="28">
        <f>SUM(H166:M166)</f>
        <v>0</v>
      </c>
      <c r="AJ166" s="28">
        <f>IF(ISERROR(AI166/B166*AF166),0,(AI166/B166*AF166))</f>
        <v>0</v>
      </c>
      <c r="AK166" s="58">
        <f>IF(ISERROR(O166/B166*AF166),0,(O166/B166*AF166))</f>
        <v>0</v>
      </c>
      <c r="AL166" s="28">
        <f>IF(ISERROR(H166/B166*AF166),0,(H166/B166*AF166))</f>
        <v>0</v>
      </c>
      <c r="AN166" s="51">
        <f>A166</f>
        <v>0</v>
      </c>
      <c r="AO166" s="57">
        <f>IF(ISERROR(IF(B166=C166,D166/C166,(INT(D166/B166)+(((D166-B166*INT(D166/B166)))/C166)/100))),0,(IF(B166=C166,D166/C166,(INT(D166/B166)+(((D166-B166*INT(D166/B166)))/C166)/100))))</f>
        <v>0</v>
      </c>
      <c r="AP166" s="57">
        <f>IF(ISERROR(IF(B166=C166,E166/C166,(INT(E166/B166)+(((E166-B166*INT(E166/B166)))/C166)/100))),0,(IF(B166=C166,E166/C166,(INT(E166/B166)+(((E166-B166*INT(E166/B166)))/C166)/100))))</f>
        <v>0</v>
      </c>
      <c r="AQ166" s="57">
        <f>IF(ISERROR(IF(B166=C166,F166/C166,IF((INT(F166/B166)+(((F166-B166*INT(F166/B166)))/C166)/100)&lt;0,(INT(F166/B166)+(((F166-B166*INT(F166/B166)))/C166)/100)+(1-(B166/C166/100)),(INT(F166/B166)+(((F166-B166*INT(F166/B166)))/C166)/100)))),0,IF(B166=C166,F166/C166,IF((INT(F166/B166)+(((F166-B166*INT(F166/B166)))/C166)/100)&lt;0,(INT(F166/B166)+(((F166-B166*INT(F166/B166)))/C166)/100)+(1-(B166/C166/100)),(INT(F166/B166)+(((F166-B166*INT(F166/B166)))/C166)/100))))</f>
        <v>0</v>
      </c>
      <c r="AR166" s="57">
        <f>IF(ISERROR(IF(B166=C166,G166/C166,(INT(G166/B166)+(((G166-B166*INT(G166/B166)))/C166)/100))),0,(IF(B166=C166,G166/C166,(INT(G166/B166)+(((G166-B166*INT(G166/B166)))/C166)/100))))</f>
        <v>0</v>
      </c>
      <c r="AS166" s="57">
        <f>IF(ISERROR(IF(B166=C166,H166/C166,(INT(H166/B166)+(((H166-B166*INT(H166/B166)))/C166)/100))),0,(IF(B166=C166,H166/C166,(INT(H166/B166)+(((H166-B166*INT(H166/B166)))/C166)/100))))</f>
        <v>0</v>
      </c>
      <c r="AT166" s="57">
        <f>IF(ISERROR(IF(B166=C166,I166/C166,(INT(I166/B166)+(((I166-B166*INT(I166/B166)))/C166)/100))),0,(IF(B166=C166,I166/C166,(INT(I166/B166)+(((I166-B166*INT(I166/B166)))/C166)/100))))</f>
        <v>0</v>
      </c>
      <c r="AU166" s="57">
        <f>IF(ISERROR(IF(B166=C166,J166/C166,(INT(J166/B166)+(((J166-B166*INT(J166/B166)))/C166)/100))),0,(IF(B166=C166,J166/C166,(INT(J166/B166)+(((J166-B166*INT(J166/B166)))/C166)/100))))</f>
        <v>0</v>
      </c>
      <c r="AV166" s="57">
        <f>IF(ISERROR(IF(B166=C166,K166/C166,IF((INT(K166/B166)+(((K166-B166*INT(K166/B166)))/C166)/100)&lt;0,(INT(K166/B166)+(((K166-B166*INT(K166/B166)))/C166)/100)+(1-(B166/C166/100)),(INT(K166/B166)+(((K166-B166*INT(K166/B166)))/C166)/100)))),0,IF(B166=C166,K166/C166,IF((INT(K166/B166)+(((K166-B166*INT(K166/B166)))/C166)/100)&lt;0,(INT(K166/B166)+(((K166-B166*INT(K166/B166)))/C166)/100)+(1-(B166/C166/100)),(INT(K166/B166)+(((K166-B166*INT(K166/B166)))/C166)/100))))</f>
        <v>0</v>
      </c>
      <c r="AW166" s="57">
        <f>IF(ISERROR(IF(B166=C166,L166/C166,(INT(L166/B166)+(((L166-B166*INT(L166/B166)))/C166)/100))),0,(IF(B166=C166,L166/C166,(INT(L166/B166)+(((L166-B166*INT(L166/B166)))/C166)/100))))</f>
        <v>0</v>
      </c>
      <c r="AX166" s="57">
        <f>IF(ISERROR(IF(B166=C166,M166/C166,(INT(M166/B166)+(((M166-B166*INT(M166/B166)))/C166)/100))),0,(IF(B166=C166,M166/C166,(INT(M166/B166)+(((M166-B166*INT(M166/B166)))/C166)/100))))</f>
        <v>0</v>
      </c>
      <c r="AY166" s="57">
        <f>IF(ISERROR(IF(B166=C166,N166/C166,IF((INT(N166/B166)+(((N166-B166*INT(N166/B166)))/C166)/100)&lt;0,(INT(N166/B166)+(((N166-B166*INT(N166/B166)))/C166)/100)+(1-(B166/C166/100)),(INT(N166/B166)+(((N166-B166*INT(N166/B166)))/C166)/100)))),0,IF(B166=C166,N166/C166,IF((INT(N166/B166)+(((N166-B166*INT(N166/B166)))/C166)/100)&lt;0,(INT(N166/B166)+(((N166-B166*INT(N166/B166)))/C166)/100)+(1-(B166/C166/100)),(INT(N166/B166)+(((N166-B166*INT(N166/B166)))/C166)/100))))</f>
        <v>0</v>
      </c>
      <c r="AZ166" s="57">
        <f>IF(ISERROR(IF(B166=C166,O166/C166,(INT(O166/B166)+(((O166-B166*INT(O166/B166)))/C166)/100))),0,(IF(B166=C166,O166/C166,(INT(O166/B166)+(((O166-B166*INT(O166/B166)))/C166)/100))))</f>
        <v>0</v>
      </c>
      <c r="BA166" s="57">
        <f>IF(ISERROR(IF(B166=C166,P166/C166,IF((INT(P166/B166)+(((P166-B166*INT(P166/B166)))/C166)/100)&lt;0,(INT(P166/B166)+(((P166-B166*INT(P166/B166)))/C166)/100)+(1-(B166/C166/100)),(INT(P166/B166)+(((P166-B166*INT(P166/B166)))/C166)/100)))),0,IF(B166=C166,P166/C166,IF((INT(P166/B166)+(((P166-B166*INT(P166/B166)))/C166)/100)&lt;0,(INT(P166/B166)+(((P166-B166*INT(P166/B166)))/C166)/100)+(1-(B166/C166/100)),(INT(P166/B166)+(((P166-B166*INT(P166/B166)))/C166)/100))))</f>
        <v>0</v>
      </c>
      <c r="BB166" s="28">
        <f>R166</f>
        <v>0</v>
      </c>
      <c r="BC166" s="28">
        <f>S166</f>
        <v>0</v>
      </c>
      <c r="BD166" s="28">
        <f>AF166</f>
        <v>0</v>
      </c>
      <c r="BE166" s="28">
        <f>T166</f>
        <v>0</v>
      </c>
      <c r="BG166" s="57">
        <f>IF(ISERROR(IF(B166=C166,V166/C166,(INT(V166/B166)+(((V166-B166*INT(V166/B166)))/C166)/100))),0,(IF(B166=C166,V166/C166,(INT(V166/B166)+(((V166-B166*INT(V166/B166)))/C166)/100))))</f>
        <v>0</v>
      </c>
      <c r="BH166" s="57">
        <f>IF(ISERROR(IF(B166=C166,W166/C166,(INT(W166/B166)+(((W166-B166*INT(W166/B166)))/C166)/100))),0,(IF(B166=C166,W166/C166,(INT(W166/B166)+(((W166-B166*INT(W166/B166)))/C166)/100))))</f>
        <v>0</v>
      </c>
      <c r="BI166" s="57">
        <f>IF(ISERROR(IF(B166=C166,X166/C166,(INT(X166/B166)+(((X166-B166*INT(X166/B166)))/C166)/100))),0,(IF(B166=C166,X166/C166,(INT(X166/B166)+(((X166-B166*INT(X166/B166)))/C166)/100))))</f>
        <v>0</v>
      </c>
      <c r="BJ166" s="57">
        <f>IF(ISERROR(IF(B166=C166,Y166/C166,(INT(Y166/B166)+(((Y166-B166*INT(Y166/B166)))/C166)/100))),0,(IF(B166=C166,Y166/C166,(INT(Y166/B166)+(((Y166-B166*INT(Y166/B166)))/C166)/100))))</f>
        <v>0</v>
      </c>
      <c r="BL166" s="57">
        <f>IF(ISERROR(IF(B166=C166,AA166/C166,(INT(AA166/B166)+(((AA166-B166*INT(AA166/B166)))/C166)/100))),0,(IF(B166=C166,AA166/C166,(INT(AA166/B166)+(((AA166-B166*INT(AA166/B166)))/C166)/100))))</f>
        <v>0</v>
      </c>
      <c r="BM166" s="57">
        <f>IF(ISERROR(IF(B166=C166,AB166/C166,(INT(AB166/B166)+(((AB166-B166*INT(AB166/B166)))/C166)/100))),0,(IF(B166=C166,AB166/C166,(INT(AB166/B166)+(((AB166-B166*INT(AB166/B166)))/C166)/100))))</f>
        <v>0</v>
      </c>
      <c r="BN166" s="57">
        <f>IF(ISERROR(IF(B166=C166,AC166/C166,(INT(AC166/B166)+(((AC166-B166*INT(AC166/B166)))/C166)/100))),0,(IF(B166=C166,AC166/C166,(INT(AC166/B166)+(((AC166-B166*INT(AC166/B166)))/C166)/100))))</f>
        <v>0</v>
      </c>
      <c r="BO166" s="57">
        <f>IF(ISERROR(IF(B166=C166,AD166/C166,(INT(AD166/B166)+(((AD166-B166*INT(AD166/B166)))/C166)/100))),0,(IF(B166=C166,AD166/C166,(INT(AD166/B166)+(((AD166-B166*INT(AD166/B166)))/C166)/100))))</f>
        <v>0</v>
      </c>
      <c r="BQ166" s="155"/>
    </row>
    <row r="167" spans="1:69" hidden="1" x14ac:dyDescent="0.35">
      <c r="A167" s="94"/>
      <c r="B167" s="113">
        <v>0</v>
      </c>
      <c r="C167" s="113">
        <v>0</v>
      </c>
      <c r="D167" s="28">
        <f>SUM(AA167:AD167)</f>
        <v>0</v>
      </c>
      <c r="E167" s="113">
        <v>0</v>
      </c>
      <c r="F167" s="113">
        <v>0</v>
      </c>
      <c r="G167" s="28">
        <f>SUM(D167:F167)</f>
        <v>0</v>
      </c>
      <c r="H167" s="125">
        <v>0</v>
      </c>
      <c r="I167" s="113">
        <v>0</v>
      </c>
      <c r="J167" s="125">
        <v>0</v>
      </c>
      <c r="K167" s="113">
        <v>0</v>
      </c>
      <c r="L167" s="113">
        <v>0</v>
      </c>
      <c r="M167" s="113">
        <v>0</v>
      </c>
      <c r="N167" s="28">
        <f>G167-SUM(H167:M167)</f>
        <v>0</v>
      </c>
      <c r="O167" s="28">
        <f>SUM(V167:Y167)</f>
        <v>0</v>
      </c>
      <c r="P167" s="28">
        <f>O167-N167</f>
        <v>0</v>
      </c>
      <c r="Q167" s="61" t="str">
        <f>IF(ISERROR(P167/SUM(H167:L167)),"",P167/SUM(H167:L167))</f>
        <v/>
      </c>
      <c r="R167" s="113">
        <v>0</v>
      </c>
      <c r="S167" s="28">
        <f>IF(ISERROR(P167/C167*R167),0,(P167/C167*R167))</f>
        <v>0</v>
      </c>
      <c r="T167" s="60">
        <f>IF(ISERROR(P167/B167*AF167),0,(P167/B167*AF167))</f>
        <v>0</v>
      </c>
      <c r="V167" s="113">
        <v>0</v>
      </c>
      <c r="W167" s="113">
        <v>0</v>
      </c>
      <c r="X167" s="113">
        <v>0</v>
      </c>
      <c r="Y167" s="113">
        <v>0</v>
      </c>
      <c r="AA167" s="113">
        <v>0</v>
      </c>
      <c r="AB167" s="113">
        <v>0</v>
      </c>
      <c r="AC167" s="113">
        <v>0</v>
      </c>
      <c r="AD167" s="113">
        <v>0</v>
      </c>
      <c r="AF167" s="113">
        <v>0</v>
      </c>
      <c r="AG167" s="28">
        <f>G167-O167</f>
        <v>0</v>
      </c>
      <c r="AH167" s="58">
        <f>IF(ISERROR(AG167/B167*AF167),0,(AG167/B167*AF167))</f>
        <v>0</v>
      </c>
      <c r="AI167" s="28">
        <f>SUM(H167:M167)</f>
        <v>0</v>
      </c>
      <c r="AJ167" s="28">
        <f>IF(ISERROR(AI167/B167*AF167),0,(AI167/B167*AF167))</f>
        <v>0</v>
      </c>
      <c r="AK167" s="58">
        <f>IF(ISERROR(O167/B167*AF167),0,(O167/B167*AF167))</f>
        <v>0</v>
      </c>
      <c r="AL167" s="28">
        <f>IF(ISERROR(H167/B167*AF167),0,(H167/B167*AF167))</f>
        <v>0</v>
      </c>
      <c r="AN167" s="51">
        <f>A167</f>
        <v>0</v>
      </c>
      <c r="AO167" s="57">
        <f>IF(ISERROR(IF(B167=C167,D167/C167,(INT(D167/B167)+(((D167-B167*INT(D167/B167)))/C167)/100))),0,(IF(B167=C167,D167/C167,(INT(D167/B167)+(((D167-B167*INT(D167/B167)))/C167)/100))))</f>
        <v>0</v>
      </c>
      <c r="AP167" s="57">
        <f>IF(ISERROR(IF(B167=C167,E167/C167,(INT(E167/B167)+(((E167-B167*INT(E167/B167)))/C167)/100))),0,(IF(B167=C167,E167/C167,(INT(E167/B167)+(((E167-B167*INT(E167/B167)))/C167)/100))))</f>
        <v>0</v>
      </c>
      <c r="AQ167" s="57">
        <f>IF(ISERROR(IF(B167=C167,F167/C167,IF((INT(F167/B167)+(((F167-B167*INT(F167/B167)))/C167)/100)&lt;0,(INT(F167/B167)+(((F167-B167*INT(F167/B167)))/C167)/100)+(1-(B167/C167/100)),(INT(F167/B167)+(((F167-B167*INT(F167/B167)))/C167)/100)))),0,IF(B167=C167,F167/C167,IF((INT(F167/B167)+(((F167-B167*INT(F167/B167)))/C167)/100)&lt;0,(INT(F167/B167)+(((F167-B167*INT(F167/B167)))/C167)/100)+(1-(B167/C167/100)),(INT(F167/B167)+(((F167-B167*INT(F167/B167)))/C167)/100))))</f>
        <v>0</v>
      </c>
      <c r="AR167" s="57">
        <f>IF(ISERROR(IF(B167=C167,G167/C167,(INT(G167/B167)+(((G167-B167*INT(G167/B167)))/C167)/100))),0,(IF(B167=C167,G167/C167,(INT(G167/B167)+(((G167-B167*INT(G167/B167)))/C167)/100))))</f>
        <v>0</v>
      </c>
      <c r="AS167" s="57">
        <f>IF(ISERROR(IF(B167=C167,H167/C167,(INT(H167/B167)+(((H167-B167*INT(H167/B167)))/C167)/100))),0,(IF(B167=C167,H167/C167,(INT(H167/B167)+(((H167-B167*INT(H167/B167)))/C167)/100))))</f>
        <v>0</v>
      </c>
      <c r="AT167" s="57">
        <f>IF(ISERROR(IF(B167=C167,I167/C167,(INT(I167/B167)+(((I167-B167*INT(I167/B167)))/C167)/100))),0,(IF(B167=C167,I167/C167,(INT(I167/B167)+(((I167-B167*INT(I167/B167)))/C167)/100))))</f>
        <v>0</v>
      </c>
      <c r="AU167" s="57">
        <f>IF(ISERROR(IF(B167=C167,J167/C167,(INT(J167/B167)+(((J167-B167*INT(J167/B167)))/C167)/100))),0,(IF(B167=C167,J167/C167,(INT(J167/B167)+(((J167-B167*INT(J167/B167)))/C167)/100))))</f>
        <v>0</v>
      </c>
      <c r="AV167" s="57">
        <f>IF(ISERROR(IF(B167=C167,K167/C167,IF((INT(K167/B167)+(((K167-B167*INT(K167/B167)))/C167)/100)&lt;0,(INT(K167/B167)+(((K167-B167*INT(K167/B167)))/C167)/100)+(1-(B167/C167/100)),(INT(K167/B167)+(((K167-B167*INT(K167/B167)))/C167)/100)))),0,IF(B167=C167,K167/C167,IF((INT(K167/B167)+(((K167-B167*INT(K167/B167)))/C167)/100)&lt;0,(INT(K167/B167)+(((K167-B167*INT(K167/B167)))/C167)/100)+(1-(B167/C167/100)),(INT(K167/B167)+(((K167-B167*INT(K167/B167)))/C167)/100))))</f>
        <v>0</v>
      </c>
      <c r="AW167" s="57">
        <f>IF(ISERROR(IF(B167=C167,L167/C167,(INT(L167/B167)+(((L167-B167*INT(L167/B167)))/C167)/100))),0,(IF(B167=C167,L167/C167,(INT(L167/B167)+(((L167-B167*INT(L167/B167)))/C167)/100))))</f>
        <v>0</v>
      </c>
      <c r="AX167" s="57">
        <f>IF(ISERROR(IF(B167=C167,M167/C167,(INT(M167/B167)+(((M167-B167*INT(M167/B167)))/C167)/100))),0,(IF(B167=C167,M167/C167,(INT(M167/B167)+(((M167-B167*INT(M167/B167)))/C167)/100))))</f>
        <v>0</v>
      </c>
      <c r="AY167" s="57">
        <f>IF(ISERROR(IF(B167=C167,N167/C167,IF((INT(N167/B167)+(((N167-B167*INT(N167/B167)))/C167)/100)&lt;0,(INT(N167/B167)+(((N167-B167*INT(N167/B167)))/C167)/100)+(1-(B167/C167/100)),(INT(N167/B167)+(((N167-B167*INT(N167/B167)))/C167)/100)))),0,IF(B167=C167,N167/C167,IF((INT(N167/B167)+(((N167-B167*INT(N167/B167)))/C167)/100)&lt;0,(INT(N167/B167)+(((N167-B167*INT(N167/B167)))/C167)/100)+(1-(B167/C167/100)),(INT(N167/B167)+(((N167-B167*INT(N167/B167)))/C167)/100))))</f>
        <v>0</v>
      </c>
      <c r="AZ167" s="57">
        <f>IF(ISERROR(IF(B167=C167,O167/C167,(INT(O167/B167)+(((O167-B167*INT(O167/B167)))/C167)/100))),0,(IF(B167=C167,O167/C167,(INT(O167/B167)+(((O167-B167*INT(O167/B167)))/C167)/100))))</f>
        <v>0</v>
      </c>
      <c r="BA167" s="57">
        <f>IF(ISERROR(IF(B167=C167,P167/C167,IF((INT(P167/B167)+(((P167-B167*INT(P167/B167)))/C167)/100)&lt;0,(INT(P167/B167)+(((P167-B167*INT(P167/B167)))/C167)/100)+(1-(B167/C167/100)),(INT(P167/B167)+(((P167-B167*INT(P167/B167)))/C167)/100)))),0,IF(B167=C167,P167/C167,IF((INT(P167/B167)+(((P167-B167*INT(P167/B167)))/C167)/100)&lt;0,(INT(P167/B167)+(((P167-B167*INT(P167/B167)))/C167)/100)+(1-(B167/C167/100)),(INT(P167/B167)+(((P167-B167*INT(P167/B167)))/C167)/100))))</f>
        <v>0</v>
      </c>
      <c r="BB167" s="28">
        <f>R167</f>
        <v>0</v>
      </c>
      <c r="BC167" s="28">
        <f>S167</f>
        <v>0</v>
      </c>
      <c r="BD167" s="28">
        <f>AF167</f>
        <v>0</v>
      </c>
      <c r="BE167" s="28">
        <f>T167</f>
        <v>0</v>
      </c>
      <c r="BG167" s="57">
        <f>IF(ISERROR(IF(B167=C167,V167/C167,(INT(V167/B167)+(((V167-B167*INT(V167/B167)))/C167)/100))),0,(IF(B167=C167,V167/C167,(INT(V167/B167)+(((V167-B167*INT(V167/B167)))/C167)/100))))</f>
        <v>0</v>
      </c>
      <c r="BH167" s="57">
        <f>IF(ISERROR(IF(B167=C167,W167/C167,(INT(W167/B167)+(((W167-B167*INT(W167/B167)))/C167)/100))),0,(IF(B167=C167,W167/C167,(INT(W167/B167)+(((W167-B167*INT(W167/B167)))/C167)/100))))</f>
        <v>0</v>
      </c>
      <c r="BI167" s="57">
        <f>IF(ISERROR(IF(B167=C167,X167/C167,(INT(X167/B167)+(((X167-B167*INT(X167/B167)))/C167)/100))),0,(IF(B167=C167,X167/C167,(INT(X167/B167)+(((X167-B167*INT(X167/B167)))/C167)/100))))</f>
        <v>0</v>
      </c>
      <c r="BJ167" s="57">
        <f>IF(ISERROR(IF(B167=C167,Y167/C167,(INT(Y167/B167)+(((Y167-B167*INT(Y167/B167)))/C167)/100))),0,(IF(B167=C167,Y167/C167,(INT(Y167/B167)+(((Y167-B167*INT(Y167/B167)))/C167)/100))))</f>
        <v>0</v>
      </c>
      <c r="BL167" s="57">
        <f>IF(ISERROR(IF(B167=C167,AA167/C167,(INT(AA167/B167)+(((AA167-B167*INT(AA167/B167)))/C167)/100))),0,(IF(B167=C167,AA167/C167,(INT(AA167/B167)+(((AA167-B167*INT(AA167/B167)))/C167)/100))))</f>
        <v>0</v>
      </c>
      <c r="BM167" s="57">
        <f>IF(ISERROR(IF(B167=C167,AB167/C167,(INT(AB167/B167)+(((AB167-B167*INT(AB167/B167)))/C167)/100))),0,(IF(B167=C167,AB167/C167,(INT(AB167/B167)+(((AB167-B167*INT(AB167/B167)))/C167)/100))))</f>
        <v>0</v>
      </c>
      <c r="BN167" s="57">
        <f>IF(ISERROR(IF(B167=C167,AC167/C167,(INT(AC167/B167)+(((AC167-B167*INT(AC167/B167)))/C167)/100))),0,(IF(B167=C167,AC167/C167,(INT(AC167/B167)+(((AC167-B167*INT(AC167/B167)))/C167)/100))))</f>
        <v>0</v>
      </c>
      <c r="BO167" s="57">
        <f>IF(ISERROR(IF(B167=C167,AD167/C167,(INT(AD167/B167)+(((AD167-B167*INT(AD167/B167)))/C167)/100))),0,(IF(B167=C167,AD167/C167,(INT(AD167/B167)+(((AD167-B167*INT(AD167/B167)))/C167)/100))))</f>
        <v>0</v>
      </c>
      <c r="BQ167" s="155"/>
    </row>
    <row r="168" spans="1:69" hidden="1" x14ac:dyDescent="0.35">
      <c r="A168" s="94"/>
      <c r="B168" s="113">
        <v>0</v>
      </c>
      <c r="C168" s="113">
        <v>0</v>
      </c>
      <c r="D168" s="28">
        <f>SUM(AA168:AD168)</f>
        <v>0</v>
      </c>
      <c r="E168" s="113">
        <v>0</v>
      </c>
      <c r="F168" s="113">
        <v>0</v>
      </c>
      <c r="G168" s="28">
        <f>SUM(D168:F168)</f>
        <v>0</v>
      </c>
      <c r="H168" s="125">
        <v>0</v>
      </c>
      <c r="I168" s="113">
        <v>0</v>
      </c>
      <c r="J168" s="125">
        <v>0</v>
      </c>
      <c r="K168" s="113">
        <v>0</v>
      </c>
      <c r="L168" s="113">
        <v>0</v>
      </c>
      <c r="M168" s="113">
        <v>0</v>
      </c>
      <c r="N168" s="28">
        <f>G168-SUM(H168:M168)</f>
        <v>0</v>
      </c>
      <c r="O168" s="28">
        <f>SUM(V168:Y168)</f>
        <v>0</v>
      </c>
      <c r="P168" s="28">
        <f>O168-N168</f>
        <v>0</v>
      </c>
      <c r="Q168" s="61" t="str">
        <f>IF(ISERROR(P168/SUM(H168:L168)),"",P168/SUM(H168:L168))</f>
        <v/>
      </c>
      <c r="R168" s="113">
        <v>0</v>
      </c>
      <c r="S168" s="28">
        <f>IF(ISERROR(P168/C168*R168),0,(P168/C168*R168))</f>
        <v>0</v>
      </c>
      <c r="T168" s="60">
        <f>IF(ISERROR(P168/B168*AF168),0,(P168/B168*AF168))</f>
        <v>0</v>
      </c>
      <c r="V168" s="113">
        <v>0</v>
      </c>
      <c r="W168" s="113">
        <v>0</v>
      </c>
      <c r="X168" s="113">
        <v>0</v>
      </c>
      <c r="Y168" s="113">
        <v>0</v>
      </c>
      <c r="AA168" s="113">
        <v>0</v>
      </c>
      <c r="AB168" s="113">
        <v>0</v>
      </c>
      <c r="AC168" s="113">
        <v>0</v>
      </c>
      <c r="AD168" s="113">
        <v>0</v>
      </c>
      <c r="AF168" s="113">
        <v>0</v>
      </c>
      <c r="AG168" s="28">
        <f>G168-O168</f>
        <v>0</v>
      </c>
      <c r="AH168" s="58">
        <f>IF(ISERROR(AG168/B168*AF168),0,(AG168/B168*AF168))</f>
        <v>0</v>
      </c>
      <c r="AI168" s="28">
        <f>SUM(H168:M168)</f>
        <v>0</v>
      </c>
      <c r="AJ168" s="28">
        <f>IF(ISERROR(AI168/B168*AF168),0,(AI168/B168*AF168))</f>
        <v>0</v>
      </c>
      <c r="AK168" s="58">
        <f>IF(ISERROR(O168/B168*AF168),0,(O168/B168*AF168))</f>
        <v>0</v>
      </c>
      <c r="AL168" s="28">
        <f>IF(ISERROR(H168/B168*AF168),0,(H168/B168*AF168))</f>
        <v>0</v>
      </c>
      <c r="AN168" s="51">
        <f>A168</f>
        <v>0</v>
      </c>
      <c r="AO168" s="57">
        <f>IF(ISERROR(IF(B168=C168,D168/C168,(INT(D168/B168)+(((D168-B168*INT(D168/B168)))/C168)/100))),0,(IF(B168=C168,D168/C168,(INT(D168/B168)+(((D168-B168*INT(D168/B168)))/C168)/100))))</f>
        <v>0</v>
      </c>
      <c r="AP168" s="57">
        <f>IF(ISERROR(IF(B168=C168,E168/C168,(INT(E168/B168)+(((E168-B168*INT(E168/B168)))/C168)/100))),0,(IF(B168=C168,E168/C168,(INT(E168/B168)+(((E168-B168*INT(E168/B168)))/C168)/100))))</f>
        <v>0</v>
      </c>
      <c r="AQ168" s="57">
        <f>IF(ISERROR(IF(B168=C168,F168/C168,IF((INT(F168/B168)+(((F168-B168*INT(F168/B168)))/C168)/100)&lt;0,(INT(F168/B168)+(((F168-B168*INT(F168/B168)))/C168)/100)+(1-(B168/C168/100)),(INT(F168/B168)+(((F168-B168*INT(F168/B168)))/C168)/100)))),0,IF(B168=C168,F168/C168,IF((INT(F168/B168)+(((F168-B168*INT(F168/B168)))/C168)/100)&lt;0,(INT(F168/B168)+(((F168-B168*INT(F168/B168)))/C168)/100)+(1-(B168/C168/100)),(INT(F168/B168)+(((F168-B168*INT(F168/B168)))/C168)/100))))</f>
        <v>0</v>
      </c>
      <c r="AR168" s="57">
        <f>IF(ISERROR(IF(B168=C168,G168/C168,(INT(G168/B168)+(((G168-B168*INT(G168/B168)))/C168)/100))),0,(IF(B168=C168,G168/C168,(INT(G168/B168)+(((G168-B168*INT(G168/B168)))/C168)/100))))</f>
        <v>0</v>
      </c>
      <c r="AS168" s="57">
        <f>IF(ISERROR(IF(B168=C168,H168/C168,(INT(H168/B168)+(((H168-B168*INT(H168/B168)))/C168)/100))),0,(IF(B168=C168,H168/C168,(INT(H168/B168)+(((H168-B168*INT(H168/B168)))/C168)/100))))</f>
        <v>0</v>
      </c>
      <c r="AT168" s="57">
        <f>IF(ISERROR(IF(B168=C168,I168/C168,(INT(I168/B168)+(((I168-B168*INT(I168/B168)))/C168)/100))),0,(IF(B168=C168,I168/C168,(INT(I168/B168)+(((I168-B168*INT(I168/B168)))/C168)/100))))</f>
        <v>0</v>
      </c>
      <c r="AU168" s="57">
        <f>IF(ISERROR(IF(B168=C168,J168/C168,(INT(J168/B168)+(((J168-B168*INT(J168/B168)))/C168)/100))),0,(IF(B168=C168,J168/C168,(INT(J168/B168)+(((J168-B168*INT(J168/B168)))/C168)/100))))</f>
        <v>0</v>
      </c>
      <c r="AV168" s="57">
        <f>IF(ISERROR(IF(B168=C168,K168/C168,IF((INT(K168/B168)+(((K168-B168*INT(K168/B168)))/C168)/100)&lt;0,(INT(K168/B168)+(((K168-B168*INT(K168/B168)))/C168)/100)+(1-(B168/C168/100)),(INT(K168/B168)+(((K168-B168*INT(K168/B168)))/C168)/100)))),0,IF(B168=C168,K168/C168,IF((INT(K168/B168)+(((K168-B168*INT(K168/B168)))/C168)/100)&lt;0,(INT(K168/B168)+(((K168-B168*INT(K168/B168)))/C168)/100)+(1-(B168/C168/100)),(INT(K168/B168)+(((K168-B168*INT(K168/B168)))/C168)/100))))</f>
        <v>0</v>
      </c>
      <c r="AW168" s="57">
        <f>IF(ISERROR(IF(B168=C168,L168/C168,(INT(L168/B168)+(((L168-B168*INT(L168/B168)))/C168)/100))),0,(IF(B168=C168,L168/C168,(INT(L168/B168)+(((L168-B168*INT(L168/B168)))/C168)/100))))</f>
        <v>0</v>
      </c>
      <c r="AX168" s="57">
        <f>IF(ISERROR(IF(B168=C168,M168/C168,(INT(M168/B168)+(((M168-B168*INT(M168/B168)))/C168)/100))),0,(IF(B168=C168,M168/C168,(INT(M168/B168)+(((M168-B168*INT(M168/B168)))/C168)/100))))</f>
        <v>0</v>
      </c>
      <c r="AY168" s="57">
        <f>IF(ISERROR(IF(B168=C168,N168/C168,IF((INT(N168/B168)+(((N168-B168*INT(N168/B168)))/C168)/100)&lt;0,(INT(N168/B168)+(((N168-B168*INT(N168/B168)))/C168)/100)+(1-(B168/C168/100)),(INT(N168/B168)+(((N168-B168*INT(N168/B168)))/C168)/100)))),0,IF(B168=C168,N168/C168,IF((INT(N168/B168)+(((N168-B168*INT(N168/B168)))/C168)/100)&lt;0,(INT(N168/B168)+(((N168-B168*INT(N168/B168)))/C168)/100)+(1-(B168/C168/100)),(INT(N168/B168)+(((N168-B168*INT(N168/B168)))/C168)/100))))</f>
        <v>0</v>
      </c>
      <c r="AZ168" s="57">
        <f>IF(ISERROR(IF(B168=C168,O168/C168,(INT(O168/B168)+(((O168-B168*INT(O168/B168)))/C168)/100))),0,(IF(B168=C168,O168/C168,(INT(O168/B168)+(((O168-B168*INT(O168/B168)))/C168)/100))))</f>
        <v>0</v>
      </c>
      <c r="BA168" s="57">
        <f>IF(ISERROR(IF(B168=C168,P168/C168,IF((INT(P168/B168)+(((P168-B168*INT(P168/B168)))/C168)/100)&lt;0,(INT(P168/B168)+(((P168-B168*INT(P168/B168)))/C168)/100)+(1-(B168/C168/100)),(INT(P168/B168)+(((P168-B168*INT(P168/B168)))/C168)/100)))),0,IF(B168=C168,P168/C168,IF((INT(P168/B168)+(((P168-B168*INT(P168/B168)))/C168)/100)&lt;0,(INT(P168/B168)+(((P168-B168*INT(P168/B168)))/C168)/100)+(1-(B168/C168/100)),(INT(P168/B168)+(((P168-B168*INT(P168/B168)))/C168)/100))))</f>
        <v>0</v>
      </c>
      <c r="BB168" s="28">
        <f>R168</f>
        <v>0</v>
      </c>
      <c r="BC168" s="28">
        <f>S168</f>
        <v>0</v>
      </c>
      <c r="BD168" s="28">
        <f>AF168</f>
        <v>0</v>
      </c>
      <c r="BE168" s="28">
        <f>T168</f>
        <v>0</v>
      </c>
      <c r="BG168" s="57">
        <f>IF(ISERROR(IF(B168=C168,V168/C168,(INT(V168/B168)+(((V168-B168*INT(V168/B168)))/C168)/100))),0,(IF(B168=C168,V168/C168,(INT(V168/B168)+(((V168-B168*INT(V168/B168)))/C168)/100))))</f>
        <v>0</v>
      </c>
      <c r="BH168" s="57">
        <f>IF(ISERROR(IF(B168=C168,W168/C168,(INT(W168/B168)+(((W168-B168*INT(W168/B168)))/C168)/100))),0,(IF(B168=C168,W168/C168,(INT(W168/B168)+(((W168-B168*INT(W168/B168)))/C168)/100))))</f>
        <v>0</v>
      </c>
      <c r="BI168" s="57">
        <f>IF(ISERROR(IF(B168=C168,X168/C168,(INT(X168/B168)+(((X168-B168*INT(X168/B168)))/C168)/100))),0,(IF(B168=C168,X168/C168,(INT(X168/B168)+(((X168-B168*INT(X168/B168)))/C168)/100))))</f>
        <v>0</v>
      </c>
      <c r="BJ168" s="57">
        <f>IF(ISERROR(IF(B168=C168,Y168/C168,(INT(Y168/B168)+(((Y168-B168*INT(Y168/B168)))/C168)/100))),0,(IF(B168=C168,Y168/C168,(INT(Y168/B168)+(((Y168-B168*INT(Y168/B168)))/C168)/100))))</f>
        <v>0</v>
      </c>
      <c r="BL168" s="57">
        <f>IF(ISERROR(IF(B168=C168,AA168/C168,(INT(AA168/B168)+(((AA168-B168*INT(AA168/B168)))/C168)/100))),0,(IF(B168=C168,AA168/C168,(INT(AA168/B168)+(((AA168-B168*INT(AA168/B168)))/C168)/100))))</f>
        <v>0</v>
      </c>
      <c r="BM168" s="57">
        <f>IF(ISERROR(IF(B168=C168,AB168/C168,(INT(AB168/B168)+(((AB168-B168*INT(AB168/B168)))/C168)/100))),0,(IF(B168=C168,AB168/C168,(INT(AB168/B168)+(((AB168-B168*INT(AB168/B168)))/C168)/100))))</f>
        <v>0</v>
      </c>
      <c r="BN168" s="57">
        <f>IF(ISERROR(IF(B168=C168,AC168/C168,(INT(AC168/B168)+(((AC168-B168*INT(AC168/B168)))/C168)/100))),0,(IF(B168=C168,AC168/C168,(INT(AC168/B168)+(((AC168-B168*INT(AC168/B168)))/C168)/100))))</f>
        <v>0</v>
      </c>
      <c r="BO168" s="57">
        <f>IF(ISERROR(IF(B168=C168,AD168/C168,(INT(AD168/B168)+(((AD168-B168*INT(AD168/B168)))/C168)/100))),0,(IF(B168=C168,AD168/C168,(INT(AD168/B168)+(((AD168-B168*INT(AD168/B168)))/C168)/100))))</f>
        <v>0</v>
      </c>
      <c r="BQ168" s="155"/>
    </row>
    <row r="169" spans="1:69" hidden="1" x14ac:dyDescent="0.35">
      <c r="A169" s="94"/>
      <c r="B169" s="113">
        <v>0</v>
      </c>
      <c r="C169" s="113">
        <v>0</v>
      </c>
      <c r="D169" s="28">
        <f>SUM(AA169:AD169)</f>
        <v>0</v>
      </c>
      <c r="E169" s="113">
        <v>0</v>
      </c>
      <c r="F169" s="113">
        <v>0</v>
      </c>
      <c r="G169" s="28">
        <f>SUM(D169:F169)</f>
        <v>0</v>
      </c>
      <c r="H169" s="125">
        <v>0</v>
      </c>
      <c r="I169" s="113">
        <v>0</v>
      </c>
      <c r="J169" s="125">
        <v>0</v>
      </c>
      <c r="K169" s="113">
        <v>0</v>
      </c>
      <c r="L169" s="113">
        <v>0</v>
      </c>
      <c r="M169" s="113">
        <v>0</v>
      </c>
      <c r="N169" s="28">
        <f>G169-SUM(H169:M169)</f>
        <v>0</v>
      </c>
      <c r="O169" s="28">
        <f>SUM(V169:Y169)</f>
        <v>0</v>
      </c>
      <c r="P169" s="28">
        <f>O169-N169</f>
        <v>0</v>
      </c>
      <c r="Q169" s="61" t="str">
        <f>IF(ISERROR(P169/SUM(H169:L169)),"",P169/SUM(H169:L169))</f>
        <v/>
      </c>
      <c r="R169" s="113">
        <v>0</v>
      </c>
      <c r="S169" s="28">
        <f>IF(ISERROR(P169/C169*R169),0,(P169/C169*R169))</f>
        <v>0</v>
      </c>
      <c r="T169" s="60">
        <f>IF(ISERROR(P169/B169*AF169),0,(P169/B169*AF169))</f>
        <v>0</v>
      </c>
      <c r="V169" s="113">
        <v>0</v>
      </c>
      <c r="W169" s="113">
        <v>0</v>
      </c>
      <c r="X169" s="113">
        <v>0</v>
      </c>
      <c r="Y169" s="113">
        <v>0</v>
      </c>
      <c r="AA169" s="113">
        <v>0</v>
      </c>
      <c r="AB169" s="113">
        <v>0</v>
      </c>
      <c r="AC169" s="113">
        <v>0</v>
      </c>
      <c r="AD169" s="113">
        <v>0</v>
      </c>
      <c r="AF169" s="113">
        <v>0</v>
      </c>
      <c r="AG169" s="28">
        <f>G169-O169</f>
        <v>0</v>
      </c>
      <c r="AH169" s="58">
        <f>IF(ISERROR(AG169/B169*AF169),0,(AG169/B169*AF169))</f>
        <v>0</v>
      </c>
      <c r="AI169" s="28">
        <f>SUM(H169:M169)</f>
        <v>0</v>
      </c>
      <c r="AJ169" s="28">
        <f>IF(ISERROR(AI169/B169*AF169),0,(AI169/B169*AF169))</f>
        <v>0</v>
      </c>
      <c r="AK169" s="58">
        <f>IF(ISERROR(O169/B169*AF169),0,(O169/B169*AF169))</f>
        <v>0</v>
      </c>
      <c r="AL169" s="28">
        <f>IF(ISERROR(H169/B169*AF169),0,(H169/B169*AF169))</f>
        <v>0</v>
      </c>
      <c r="AN169" s="51">
        <f>A169</f>
        <v>0</v>
      </c>
      <c r="AO169" s="57">
        <f>IF(ISERROR(IF(B169=C169,D169/C169,(INT(D169/B169)+(((D169-B169*INT(D169/B169)))/C169)/100))),0,(IF(B169=C169,D169/C169,(INT(D169/B169)+(((D169-B169*INT(D169/B169)))/C169)/100))))</f>
        <v>0</v>
      </c>
      <c r="AP169" s="57">
        <f>IF(ISERROR(IF(B169=C169,E169/C169,(INT(E169/B169)+(((E169-B169*INT(E169/B169)))/C169)/100))),0,(IF(B169=C169,E169/C169,(INT(E169/B169)+(((E169-B169*INT(E169/B169)))/C169)/100))))</f>
        <v>0</v>
      </c>
      <c r="AQ169" s="57">
        <f>IF(ISERROR(IF(B169=C169,F169/C169,IF((INT(F169/B169)+(((F169-B169*INT(F169/B169)))/C169)/100)&lt;0,(INT(F169/B169)+(((F169-B169*INT(F169/B169)))/C169)/100)+(1-(B169/C169/100)),(INT(F169/B169)+(((F169-B169*INT(F169/B169)))/C169)/100)))),0,IF(B169=C169,F169/C169,IF((INT(F169/B169)+(((F169-B169*INT(F169/B169)))/C169)/100)&lt;0,(INT(F169/B169)+(((F169-B169*INT(F169/B169)))/C169)/100)+(1-(B169/C169/100)),(INT(F169/B169)+(((F169-B169*INT(F169/B169)))/C169)/100))))</f>
        <v>0</v>
      </c>
      <c r="AR169" s="57">
        <f>IF(ISERROR(IF(B169=C169,G169/C169,(INT(G169/B169)+(((G169-B169*INT(G169/B169)))/C169)/100))),0,(IF(B169=C169,G169/C169,(INT(G169/B169)+(((G169-B169*INT(G169/B169)))/C169)/100))))</f>
        <v>0</v>
      </c>
      <c r="AS169" s="57">
        <f>IF(ISERROR(IF(B169=C169,H169/C169,(INT(H169/B169)+(((H169-B169*INT(H169/B169)))/C169)/100))),0,(IF(B169=C169,H169/C169,(INT(H169/B169)+(((H169-B169*INT(H169/B169)))/C169)/100))))</f>
        <v>0</v>
      </c>
      <c r="AT169" s="57">
        <f>IF(ISERROR(IF(B169=C169,I169/C169,(INT(I169/B169)+(((I169-B169*INT(I169/B169)))/C169)/100))),0,(IF(B169=C169,I169/C169,(INT(I169/B169)+(((I169-B169*INT(I169/B169)))/C169)/100))))</f>
        <v>0</v>
      </c>
      <c r="AU169" s="57">
        <f>IF(ISERROR(IF(B169=C169,J169/C169,(INT(J169/B169)+(((J169-B169*INT(J169/B169)))/C169)/100))),0,(IF(B169=C169,J169/C169,(INT(J169/B169)+(((J169-B169*INT(J169/B169)))/C169)/100))))</f>
        <v>0</v>
      </c>
      <c r="AV169" s="57">
        <f>IF(ISERROR(IF(B169=C169,K169/C169,IF((INT(K169/B169)+(((K169-B169*INT(K169/B169)))/C169)/100)&lt;0,(INT(K169/B169)+(((K169-B169*INT(K169/B169)))/C169)/100)+(1-(B169/C169/100)),(INT(K169/B169)+(((K169-B169*INT(K169/B169)))/C169)/100)))),0,IF(B169=C169,K169/C169,IF((INT(K169/B169)+(((K169-B169*INT(K169/B169)))/C169)/100)&lt;0,(INT(K169/B169)+(((K169-B169*INT(K169/B169)))/C169)/100)+(1-(B169/C169/100)),(INT(K169/B169)+(((K169-B169*INT(K169/B169)))/C169)/100))))</f>
        <v>0</v>
      </c>
      <c r="AW169" s="57">
        <f>IF(ISERROR(IF(B169=C169,L169/C169,(INT(L169/B169)+(((L169-B169*INT(L169/B169)))/C169)/100))),0,(IF(B169=C169,L169/C169,(INT(L169/B169)+(((L169-B169*INT(L169/B169)))/C169)/100))))</f>
        <v>0</v>
      </c>
      <c r="AX169" s="57">
        <f>IF(ISERROR(IF(B169=C169,M169/C169,(INT(M169/B169)+(((M169-B169*INT(M169/B169)))/C169)/100))),0,(IF(B169=C169,M169/C169,(INT(M169/B169)+(((M169-B169*INT(M169/B169)))/C169)/100))))</f>
        <v>0</v>
      </c>
      <c r="AY169" s="57">
        <f>IF(ISERROR(IF(B169=C169,N169/C169,IF((INT(N169/B169)+(((N169-B169*INT(N169/B169)))/C169)/100)&lt;0,(INT(N169/B169)+(((N169-B169*INT(N169/B169)))/C169)/100)+(1-(B169/C169/100)),(INT(N169/B169)+(((N169-B169*INT(N169/B169)))/C169)/100)))),0,IF(B169=C169,N169/C169,IF((INT(N169/B169)+(((N169-B169*INT(N169/B169)))/C169)/100)&lt;0,(INT(N169/B169)+(((N169-B169*INT(N169/B169)))/C169)/100)+(1-(B169/C169/100)),(INT(N169/B169)+(((N169-B169*INT(N169/B169)))/C169)/100))))</f>
        <v>0</v>
      </c>
      <c r="AZ169" s="57">
        <f>IF(ISERROR(IF(B169=C169,O169/C169,(INT(O169/B169)+(((O169-B169*INT(O169/B169)))/C169)/100))),0,(IF(B169=C169,O169/C169,(INT(O169/B169)+(((O169-B169*INT(O169/B169)))/C169)/100))))</f>
        <v>0</v>
      </c>
      <c r="BA169" s="57">
        <f>IF(ISERROR(IF(B169=C169,P169/C169,IF((INT(P169/B169)+(((P169-B169*INT(P169/B169)))/C169)/100)&lt;0,(INT(P169/B169)+(((P169-B169*INT(P169/B169)))/C169)/100)+(1-(B169/C169/100)),(INT(P169/B169)+(((P169-B169*INT(P169/B169)))/C169)/100)))),0,IF(B169=C169,P169/C169,IF((INT(P169/B169)+(((P169-B169*INT(P169/B169)))/C169)/100)&lt;0,(INT(P169/B169)+(((P169-B169*INT(P169/B169)))/C169)/100)+(1-(B169/C169/100)),(INT(P169/B169)+(((P169-B169*INT(P169/B169)))/C169)/100))))</f>
        <v>0</v>
      </c>
      <c r="BB169" s="28">
        <f>R169</f>
        <v>0</v>
      </c>
      <c r="BC169" s="28">
        <f>S169</f>
        <v>0</v>
      </c>
      <c r="BD169" s="28">
        <f>AF169</f>
        <v>0</v>
      </c>
      <c r="BE169" s="28">
        <f>T169</f>
        <v>0</v>
      </c>
      <c r="BG169" s="57">
        <f>IF(ISERROR(IF(B169=C169,V169/C169,(INT(V169/B169)+(((V169-B169*INT(V169/B169)))/C169)/100))),0,(IF(B169=C169,V169/C169,(INT(V169/B169)+(((V169-B169*INT(V169/B169)))/C169)/100))))</f>
        <v>0</v>
      </c>
      <c r="BH169" s="57">
        <f>IF(ISERROR(IF(B169=C169,W169/C169,(INT(W169/B169)+(((W169-B169*INT(W169/B169)))/C169)/100))),0,(IF(B169=C169,W169/C169,(INT(W169/B169)+(((W169-B169*INT(W169/B169)))/C169)/100))))</f>
        <v>0</v>
      </c>
      <c r="BI169" s="57">
        <f>IF(ISERROR(IF(B169=C169,X169/C169,(INT(X169/B169)+(((X169-B169*INT(X169/B169)))/C169)/100))),0,(IF(B169=C169,X169/C169,(INT(X169/B169)+(((X169-B169*INT(X169/B169)))/C169)/100))))</f>
        <v>0</v>
      </c>
      <c r="BJ169" s="57">
        <f>IF(ISERROR(IF(B169=C169,Y169/C169,(INT(Y169/B169)+(((Y169-B169*INT(Y169/B169)))/C169)/100))),0,(IF(B169=C169,Y169/C169,(INT(Y169/B169)+(((Y169-B169*INT(Y169/B169)))/C169)/100))))</f>
        <v>0</v>
      </c>
      <c r="BL169" s="57">
        <f>IF(ISERROR(IF(B169=C169,AA169/C169,(INT(AA169/B169)+(((AA169-B169*INT(AA169/B169)))/C169)/100))),0,(IF(B169=C169,AA169/C169,(INT(AA169/B169)+(((AA169-B169*INT(AA169/B169)))/C169)/100))))</f>
        <v>0</v>
      </c>
      <c r="BM169" s="57">
        <f>IF(ISERROR(IF(B169=C169,AB169/C169,(INT(AB169/B169)+(((AB169-B169*INT(AB169/B169)))/C169)/100))),0,(IF(B169=C169,AB169/C169,(INT(AB169/B169)+(((AB169-B169*INT(AB169/B169)))/C169)/100))))</f>
        <v>0</v>
      </c>
      <c r="BN169" s="57">
        <f>IF(ISERROR(IF(B169=C169,AC169/C169,(INT(AC169/B169)+(((AC169-B169*INT(AC169/B169)))/C169)/100))),0,(IF(B169=C169,AC169/C169,(INT(AC169/B169)+(((AC169-B169*INT(AC169/B169)))/C169)/100))))</f>
        <v>0</v>
      </c>
      <c r="BO169" s="57">
        <f>IF(ISERROR(IF(B169=C169,AD169/C169,(INT(AD169/B169)+(((AD169-B169*INT(AD169/B169)))/C169)/100))),0,(IF(B169=C169,AD169/C169,(INT(AD169/B169)+(((AD169-B169*INT(AD169/B169)))/C169)/100))))</f>
        <v>0</v>
      </c>
      <c r="BQ169" s="155"/>
    </row>
    <row r="170" spans="1:69" hidden="1" x14ac:dyDescent="0.35">
      <c r="A170" s="94"/>
      <c r="B170" s="113">
        <v>0</v>
      </c>
      <c r="C170" s="113">
        <v>0</v>
      </c>
      <c r="D170" s="28">
        <f>SUM(AA170:AD170)</f>
        <v>0</v>
      </c>
      <c r="E170" s="113">
        <v>0</v>
      </c>
      <c r="F170" s="113">
        <v>0</v>
      </c>
      <c r="G170" s="28">
        <f>SUM(D170:F170)</f>
        <v>0</v>
      </c>
      <c r="H170" s="125">
        <v>0</v>
      </c>
      <c r="I170" s="113">
        <v>0</v>
      </c>
      <c r="J170" s="125">
        <v>0</v>
      </c>
      <c r="K170" s="113">
        <v>0</v>
      </c>
      <c r="L170" s="113">
        <v>0</v>
      </c>
      <c r="M170" s="113">
        <v>0</v>
      </c>
      <c r="N170" s="28">
        <f>G170-SUM(H170:M170)</f>
        <v>0</v>
      </c>
      <c r="O170" s="28">
        <f>SUM(V170:Y170)</f>
        <v>0</v>
      </c>
      <c r="P170" s="28">
        <f>O170-N170</f>
        <v>0</v>
      </c>
      <c r="Q170" s="61" t="str">
        <f>IF(ISERROR(P170/SUM(H170:L170)),"",P170/SUM(H170:L170))</f>
        <v/>
      </c>
      <c r="R170" s="113">
        <v>0</v>
      </c>
      <c r="S170" s="28">
        <f>IF(ISERROR(P170/C170*R170),0,(P170/C170*R170))</f>
        <v>0</v>
      </c>
      <c r="T170" s="60">
        <f>IF(ISERROR(P170/B170*AF170),0,(P170/B170*AF170))</f>
        <v>0</v>
      </c>
      <c r="V170" s="113">
        <v>0</v>
      </c>
      <c r="W170" s="113">
        <v>0</v>
      </c>
      <c r="X170" s="113">
        <v>0</v>
      </c>
      <c r="Y170" s="113">
        <v>0</v>
      </c>
      <c r="AA170" s="113">
        <v>0</v>
      </c>
      <c r="AB170" s="113">
        <v>0</v>
      </c>
      <c r="AC170" s="113">
        <v>0</v>
      </c>
      <c r="AD170" s="113">
        <v>0</v>
      </c>
      <c r="AF170" s="113">
        <v>0</v>
      </c>
      <c r="AG170" s="28">
        <f>G170-O170</f>
        <v>0</v>
      </c>
      <c r="AH170" s="58">
        <f>IF(ISERROR(AG170/B170*AF170),0,(AG170/B170*AF170))</f>
        <v>0</v>
      </c>
      <c r="AI170" s="28">
        <f>SUM(H170:M170)</f>
        <v>0</v>
      </c>
      <c r="AJ170" s="28">
        <f>IF(ISERROR(AI170/B170*AF170),0,(AI170/B170*AF170))</f>
        <v>0</v>
      </c>
      <c r="AK170" s="58">
        <f>IF(ISERROR(O170/B170*AF170),0,(O170/B170*AF170))</f>
        <v>0</v>
      </c>
      <c r="AL170" s="28">
        <f>IF(ISERROR(H170/B170*AF170),0,(H170/B170*AF170))</f>
        <v>0</v>
      </c>
      <c r="AN170" s="51">
        <f>A170</f>
        <v>0</v>
      </c>
      <c r="AO170" s="57">
        <f>IF(ISERROR(IF(B170=C170,D170/C170,(INT(D170/B170)+(((D170-B170*INT(D170/B170)))/C170)/100))),0,(IF(B170=C170,D170/C170,(INT(D170/B170)+(((D170-B170*INT(D170/B170)))/C170)/100))))</f>
        <v>0</v>
      </c>
      <c r="AP170" s="57">
        <f>IF(ISERROR(IF(B170=C170,E170/C170,(INT(E170/B170)+(((E170-B170*INT(E170/B170)))/C170)/100))),0,(IF(B170=C170,E170/C170,(INT(E170/B170)+(((E170-B170*INT(E170/B170)))/C170)/100))))</f>
        <v>0</v>
      </c>
      <c r="AQ170" s="57">
        <f>IF(ISERROR(IF(B170=C170,F170/C170,IF((INT(F170/B170)+(((F170-B170*INT(F170/B170)))/C170)/100)&lt;0,(INT(F170/B170)+(((F170-B170*INT(F170/B170)))/C170)/100)+(1-(B170/C170/100)),(INT(F170/B170)+(((F170-B170*INT(F170/B170)))/C170)/100)))),0,IF(B170=C170,F170/C170,IF((INT(F170/B170)+(((F170-B170*INT(F170/B170)))/C170)/100)&lt;0,(INT(F170/B170)+(((F170-B170*INT(F170/B170)))/C170)/100)+(1-(B170/C170/100)),(INT(F170/B170)+(((F170-B170*INT(F170/B170)))/C170)/100))))</f>
        <v>0</v>
      </c>
      <c r="AR170" s="57">
        <f>IF(ISERROR(IF(B170=C170,G170/C170,(INT(G170/B170)+(((G170-B170*INT(G170/B170)))/C170)/100))),0,(IF(B170=C170,G170/C170,(INT(G170/B170)+(((G170-B170*INT(G170/B170)))/C170)/100))))</f>
        <v>0</v>
      </c>
      <c r="AS170" s="57">
        <f>IF(ISERROR(IF(B170=C170,H170/C170,(INT(H170/B170)+(((H170-B170*INT(H170/B170)))/C170)/100))),0,(IF(B170=C170,H170/C170,(INT(H170/B170)+(((H170-B170*INT(H170/B170)))/C170)/100))))</f>
        <v>0</v>
      </c>
      <c r="AT170" s="57">
        <f>IF(ISERROR(IF(B170=C170,I170/C170,(INT(I170/B170)+(((I170-B170*INT(I170/B170)))/C170)/100))),0,(IF(B170=C170,I170/C170,(INT(I170/B170)+(((I170-B170*INT(I170/B170)))/C170)/100))))</f>
        <v>0</v>
      </c>
      <c r="AU170" s="57">
        <f>IF(ISERROR(IF(B170=C170,J170/C170,(INT(J170/B170)+(((J170-B170*INT(J170/B170)))/C170)/100))),0,(IF(B170=C170,J170/C170,(INT(J170/B170)+(((J170-B170*INT(J170/B170)))/C170)/100))))</f>
        <v>0</v>
      </c>
      <c r="AV170" s="57">
        <f>IF(ISERROR(IF(B170=C170,K170/C170,IF((INT(K170/B170)+(((K170-B170*INT(K170/B170)))/C170)/100)&lt;0,(INT(K170/B170)+(((K170-B170*INT(K170/B170)))/C170)/100)+(1-(B170/C170/100)),(INT(K170/B170)+(((K170-B170*INT(K170/B170)))/C170)/100)))),0,IF(B170=C170,K170/C170,IF((INT(K170/B170)+(((K170-B170*INT(K170/B170)))/C170)/100)&lt;0,(INT(K170/B170)+(((K170-B170*INT(K170/B170)))/C170)/100)+(1-(B170/C170/100)),(INT(K170/B170)+(((K170-B170*INT(K170/B170)))/C170)/100))))</f>
        <v>0</v>
      </c>
      <c r="AW170" s="57">
        <f>IF(ISERROR(IF(B170=C170,L170/C170,(INT(L170/B170)+(((L170-B170*INT(L170/B170)))/C170)/100))),0,(IF(B170=C170,L170/C170,(INT(L170/B170)+(((L170-B170*INT(L170/B170)))/C170)/100))))</f>
        <v>0</v>
      </c>
      <c r="AX170" s="57">
        <f>IF(ISERROR(IF(B170=C170,M170/C170,(INT(M170/B170)+(((M170-B170*INT(M170/B170)))/C170)/100))),0,(IF(B170=C170,M170/C170,(INT(M170/B170)+(((M170-B170*INT(M170/B170)))/C170)/100))))</f>
        <v>0</v>
      </c>
      <c r="AY170" s="57">
        <f>IF(ISERROR(IF(B170=C170,N170/C170,IF((INT(N170/B170)+(((N170-B170*INT(N170/B170)))/C170)/100)&lt;0,(INT(N170/B170)+(((N170-B170*INT(N170/B170)))/C170)/100)+(1-(B170/C170/100)),(INT(N170/B170)+(((N170-B170*INT(N170/B170)))/C170)/100)))),0,IF(B170=C170,N170/C170,IF((INT(N170/B170)+(((N170-B170*INT(N170/B170)))/C170)/100)&lt;0,(INT(N170/B170)+(((N170-B170*INT(N170/B170)))/C170)/100)+(1-(B170/C170/100)),(INT(N170/B170)+(((N170-B170*INT(N170/B170)))/C170)/100))))</f>
        <v>0</v>
      </c>
      <c r="AZ170" s="57">
        <f>IF(ISERROR(IF(B170=C170,O170/C170,(INT(O170/B170)+(((O170-B170*INT(O170/B170)))/C170)/100))),0,(IF(B170=C170,O170/C170,(INT(O170/B170)+(((O170-B170*INT(O170/B170)))/C170)/100))))</f>
        <v>0</v>
      </c>
      <c r="BA170" s="57">
        <f>IF(ISERROR(IF(B170=C170,P170/C170,IF((INT(P170/B170)+(((P170-B170*INT(P170/B170)))/C170)/100)&lt;0,(INT(P170/B170)+(((P170-B170*INT(P170/B170)))/C170)/100)+(1-(B170/C170/100)),(INT(P170/B170)+(((P170-B170*INT(P170/B170)))/C170)/100)))),0,IF(B170=C170,P170/C170,IF((INT(P170/B170)+(((P170-B170*INT(P170/B170)))/C170)/100)&lt;0,(INT(P170/B170)+(((P170-B170*INT(P170/B170)))/C170)/100)+(1-(B170/C170/100)),(INT(P170/B170)+(((P170-B170*INT(P170/B170)))/C170)/100))))</f>
        <v>0</v>
      </c>
      <c r="BB170" s="28">
        <f>R170</f>
        <v>0</v>
      </c>
      <c r="BC170" s="28">
        <f>S170</f>
        <v>0</v>
      </c>
      <c r="BD170" s="28">
        <f>AF170</f>
        <v>0</v>
      </c>
      <c r="BE170" s="28">
        <f>T170</f>
        <v>0</v>
      </c>
      <c r="BG170" s="57">
        <f>IF(ISERROR(IF(B170=C170,V170/C170,(INT(V170/B170)+(((V170-B170*INT(V170/B170)))/C170)/100))),0,(IF(B170=C170,V170/C170,(INT(V170/B170)+(((V170-B170*INT(V170/B170)))/C170)/100))))</f>
        <v>0</v>
      </c>
      <c r="BH170" s="57">
        <f>IF(ISERROR(IF(B170=C170,W170/C170,(INT(W170/B170)+(((W170-B170*INT(W170/B170)))/C170)/100))),0,(IF(B170=C170,W170/C170,(INT(W170/B170)+(((W170-B170*INT(W170/B170)))/C170)/100))))</f>
        <v>0</v>
      </c>
      <c r="BI170" s="57">
        <f>IF(ISERROR(IF(B170=C170,X170/C170,(INT(X170/B170)+(((X170-B170*INT(X170/B170)))/C170)/100))),0,(IF(B170=C170,X170/C170,(INT(X170/B170)+(((X170-B170*INT(X170/B170)))/C170)/100))))</f>
        <v>0</v>
      </c>
      <c r="BJ170" s="57">
        <f>IF(ISERROR(IF(B170=C170,Y170/C170,(INT(Y170/B170)+(((Y170-B170*INT(Y170/B170)))/C170)/100))),0,(IF(B170=C170,Y170/C170,(INT(Y170/B170)+(((Y170-B170*INT(Y170/B170)))/C170)/100))))</f>
        <v>0</v>
      </c>
      <c r="BL170" s="57">
        <f>IF(ISERROR(IF(B170=C170,AA170/C170,(INT(AA170/B170)+(((AA170-B170*INT(AA170/B170)))/C170)/100))),0,(IF(B170=C170,AA170/C170,(INT(AA170/B170)+(((AA170-B170*INT(AA170/B170)))/C170)/100))))</f>
        <v>0</v>
      </c>
      <c r="BM170" s="57">
        <f>IF(ISERROR(IF(B170=C170,AB170/C170,(INT(AB170/B170)+(((AB170-B170*INT(AB170/B170)))/C170)/100))),0,(IF(B170=C170,AB170/C170,(INT(AB170/B170)+(((AB170-B170*INT(AB170/B170)))/C170)/100))))</f>
        <v>0</v>
      </c>
      <c r="BN170" s="57">
        <f>IF(ISERROR(IF(B170=C170,AC170/C170,(INT(AC170/B170)+(((AC170-B170*INT(AC170/B170)))/C170)/100))),0,(IF(B170=C170,AC170/C170,(INT(AC170/B170)+(((AC170-B170*INT(AC170/B170)))/C170)/100))))</f>
        <v>0</v>
      </c>
      <c r="BO170" s="57">
        <f>IF(ISERROR(IF(B170=C170,AD170/C170,(INT(AD170/B170)+(((AD170-B170*INT(AD170/B170)))/C170)/100))),0,(IF(B170=C170,AD170/C170,(INT(AD170/B170)+(((AD170-B170*INT(AD170/B170)))/C170)/100))))</f>
        <v>0</v>
      </c>
      <c r="BQ170" s="155"/>
    </row>
    <row r="171" spans="1:69" hidden="1" x14ac:dyDescent="0.35">
      <c r="A171" s="94"/>
      <c r="B171" s="113">
        <v>0</v>
      </c>
      <c r="C171" s="113">
        <v>0</v>
      </c>
      <c r="D171" s="28">
        <f>SUM(AA171:AD171)</f>
        <v>0</v>
      </c>
      <c r="E171" s="113">
        <v>0</v>
      </c>
      <c r="F171" s="113">
        <v>0</v>
      </c>
      <c r="G171" s="28">
        <f>SUM(D171:F171)</f>
        <v>0</v>
      </c>
      <c r="H171" s="125">
        <v>0</v>
      </c>
      <c r="I171" s="113">
        <v>0</v>
      </c>
      <c r="J171" s="125">
        <v>0</v>
      </c>
      <c r="K171" s="113">
        <v>0</v>
      </c>
      <c r="L171" s="113">
        <v>0</v>
      </c>
      <c r="M171" s="113">
        <v>0</v>
      </c>
      <c r="N171" s="28">
        <f>G171-SUM(H171:M171)</f>
        <v>0</v>
      </c>
      <c r="O171" s="28">
        <f>SUM(V171:Y171)</f>
        <v>0</v>
      </c>
      <c r="P171" s="28">
        <f>O171-N171</f>
        <v>0</v>
      </c>
      <c r="Q171" s="61" t="str">
        <f>IF(ISERROR(P171/SUM(H171:L171)),"",P171/SUM(H171:L171))</f>
        <v/>
      </c>
      <c r="R171" s="113">
        <v>0</v>
      </c>
      <c r="S171" s="28">
        <f>IF(ISERROR(P171/C171*R171),0,(P171/C171*R171))</f>
        <v>0</v>
      </c>
      <c r="T171" s="60">
        <f>IF(ISERROR(P171/B171*AF171),0,(P171/B171*AF171))</f>
        <v>0</v>
      </c>
      <c r="V171" s="113">
        <v>0</v>
      </c>
      <c r="W171" s="113">
        <v>0</v>
      </c>
      <c r="X171" s="113">
        <v>0</v>
      </c>
      <c r="Y171" s="113">
        <v>0</v>
      </c>
      <c r="AA171" s="113">
        <v>0</v>
      </c>
      <c r="AB171" s="113">
        <v>0</v>
      </c>
      <c r="AC171" s="113">
        <v>0</v>
      </c>
      <c r="AD171" s="113">
        <v>0</v>
      </c>
      <c r="AF171" s="113">
        <v>0</v>
      </c>
      <c r="AG171" s="28">
        <f>G171-O171</f>
        <v>0</v>
      </c>
      <c r="AH171" s="58">
        <f>IF(ISERROR(AG171/B171*AF171),0,(AG171/B171*AF171))</f>
        <v>0</v>
      </c>
      <c r="AI171" s="28">
        <f>SUM(H171:M171)</f>
        <v>0</v>
      </c>
      <c r="AJ171" s="28">
        <f>IF(ISERROR(AI171/B171*AF171),0,(AI171/B171*AF171))</f>
        <v>0</v>
      </c>
      <c r="AK171" s="58">
        <f>IF(ISERROR(O171/B171*AF171),0,(O171/B171*AF171))</f>
        <v>0</v>
      </c>
      <c r="AL171" s="28">
        <f>IF(ISERROR(H171/B171*AF171),0,(H171/B171*AF171))</f>
        <v>0</v>
      </c>
      <c r="AN171" s="51">
        <f>A171</f>
        <v>0</v>
      </c>
      <c r="AO171" s="57">
        <f>IF(ISERROR(IF(B171=C171,D171/C171,(INT(D171/B171)+(((D171-B171*INT(D171/B171)))/C171)/100))),0,(IF(B171=C171,D171/C171,(INT(D171/B171)+(((D171-B171*INT(D171/B171)))/C171)/100))))</f>
        <v>0</v>
      </c>
      <c r="AP171" s="57">
        <f>IF(ISERROR(IF(B171=C171,E171/C171,(INT(E171/B171)+(((E171-B171*INT(E171/B171)))/C171)/100))),0,(IF(B171=C171,E171/C171,(INT(E171/B171)+(((E171-B171*INT(E171/B171)))/C171)/100))))</f>
        <v>0</v>
      </c>
      <c r="AQ171" s="57">
        <f>IF(ISERROR(IF(B171=C171,F171/C171,IF((INT(F171/B171)+(((F171-B171*INT(F171/B171)))/C171)/100)&lt;0,(INT(F171/B171)+(((F171-B171*INT(F171/B171)))/C171)/100)+(1-(B171/C171/100)),(INT(F171/B171)+(((F171-B171*INT(F171/B171)))/C171)/100)))),0,IF(B171=C171,F171/C171,IF((INT(F171/B171)+(((F171-B171*INT(F171/B171)))/C171)/100)&lt;0,(INT(F171/B171)+(((F171-B171*INT(F171/B171)))/C171)/100)+(1-(B171/C171/100)),(INT(F171/B171)+(((F171-B171*INT(F171/B171)))/C171)/100))))</f>
        <v>0</v>
      </c>
      <c r="AR171" s="57">
        <f>IF(ISERROR(IF(B171=C171,G171/C171,(INT(G171/B171)+(((G171-B171*INT(G171/B171)))/C171)/100))),0,(IF(B171=C171,G171/C171,(INT(G171/B171)+(((G171-B171*INT(G171/B171)))/C171)/100))))</f>
        <v>0</v>
      </c>
      <c r="AS171" s="57">
        <f>IF(ISERROR(IF(B171=C171,H171/C171,(INT(H171/B171)+(((H171-B171*INT(H171/B171)))/C171)/100))),0,(IF(B171=C171,H171/C171,(INT(H171/B171)+(((H171-B171*INT(H171/B171)))/C171)/100))))</f>
        <v>0</v>
      </c>
      <c r="AT171" s="57">
        <f>IF(ISERROR(IF(B171=C171,I171/C171,(INT(I171/B171)+(((I171-B171*INT(I171/B171)))/C171)/100))),0,(IF(B171=C171,I171/C171,(INT(I171/B171)+(((I171-B171*INT(I171/B171)))/C171)/100))))</f>
        <v>0</v>
      </c>
      <c r="AU171" s="57">
        <f>IF(ISERROR(IF(B171=C171,J171/C171,(INT(J171/B171)+(((J171-B171*INT(J171/B171)))/C171)/100))),0,(IF(B171=C171,J171/C171,(INT(J171/B171)+(((J171-B171*INT(J171/B171)))/C171)/100))))</f>
        <v>0</v>
      </c>
      <c r="AV171" s="57">
        <f>IF(ISERROR(IF(B171=C171,K171/C171,IF((INT(K171/B171)+(((K171-B171*INT(K171/B171)))/C171)/100)&lt;0,(INT(K171/B171)+(((K171-B171*INT(K171/B171)))/C171)/100)+(1-(B171/C171/100)),(INT(K171/B171)+(((K171-B171*INT(K171/B171)))/C171)/100)))),0,IF(B171=C171,K171/C171,IF((INT(K171/B171)+(((K171-B171*INT(K171/B171)))/C171)/100)&lt;0,(INT(K171/B171)+(((K171-B171*INT(K171/B171)))/C171)/100)+(1-(B171/C171/100)),(INT(K171/B171)+(((K171-B171*INT(K171/B171)))/C171)/100))))</f>
        <v>0</v>
      </c>
      <c r="AW171" s="57">
        <f>IF(ISERROR(IF(B171=C171,L171/C171,(INT(L171/B171)+(((L171-B171*INT(L171/B171)))/C171)/100))),0,(IF(B171=C171,L171/C171,(INT(L171/B171)+(((L171-B171*INT(L171/B171)))/C171)/100))))</f>
        <v>0</v>
      </c>
      <c r="AX171" s="57">
        <f>IF(ISERROR(IF(B171=C171,M171/C171,(INT(M171/B171)+(((M171-B171*INT(M171/B171)))/C171)/100))),0,(IF(B171=C171,M171/C171,(INT(M171/B171)+(((M171-B171*INT(M171/B171)))/C171)/100))))</f>
        <v>0</v>
      </c>
      <c r="AY171" s="57">
        <f>IF(ISERROR(IF(B171=C171,N171/C171,IF((INT(N171/B171)+(((N171-B171*INT(N171/B171)))/C171)/100)&lt;0,(INT(N171/B171)+(((N171-B171*INT(N171/B171)))/C171)/100)+(1-(B171/C171/100)),(INT(N171/B171)+(((N171-B171*INT(N171/B171)))/C171)/100)))),0,IF(B171=C171,N171/C171,IF((INT(N171/B171)+(((N171-B171*INT(N171/B171)))/C171)/100)&lt;0,(INT(N171/B171)+(((N171-B171*INT(N171/B171)))/C171)/100)+(1-(B171/C171/100)),(INT(N171/B171)+(((N171-B171*INT(N171/B171)))/C171)/100))))</f>
        <v>0</v>
      </c>
      <c r="AZ171" s="57">
        <f>IF(ISERROR(IF(B171=C171,O171/C171,(INT(O171/B171)+(((O171-B171*INT(O171/B171)))/C171)/100))),0,(IF(B171=C171,O171/C171,(INT(O171/B171)+(((O171-B171*INT(O171/B171)))/C171)/100))))</f>
        <v>0</v>
      </c>
      <c r="BA171" s="57">
        <f>IF(ISERROR(IF(B171=C171,P171/C171,IF((INT(P171/B171)+(((P171-B171*INT(P171/B171)))/C171)/100)&lt;0,(INT(P171/B171)+(((P171-B171*INT(P171/B171)))/C171)/100)+(1-(B171/C171/100)),(INT(P171/B171)+(((P171-B171*INT(P171/B171)))/C171)/100)))),0,IF(B171=C171,P171/C171,IF((INT(P171/B171)+(((P171-B171*INT(P171/B171)))/C171)/100)&lt;0,(INT(P171/B171)+(((P171-B171*INT(P171/B171)))/C171)/100)+(1-(B171/C171/100)),(INT(P171/B171)+(((P171-B171*INT(P171/B171)))/C171)/100))))</f>
        <v>0</v>
      </c>
      <c r="BB171" s="28">
        <f>R171</f>
        <v>0</v>
      </c>
      <c r="BC171" s="28">
        <f>S171</f>
        <v>0</v>
      </c>
      <c r="BD171" s="28">
        <f>AF171</f>
        <v>0</v>
      </c>
      <c r="BE171" s="28">
        <f>T171</f>
        <v>0</v>
      </c>
      <c r="BG171" s="57">
        <f>IF(ISERROR(IF(B171=C171,V171/C171,(INT(V171/B171)+(((V171-B171*INT(V171/B171)))/C171)/100))),0,(IF(B171=C171,V171/C171,(INT(V171/B171)+(((V171-B171*INT(V171/B171)))/C171)/100))))</f>
        <v>0</v>
      </c>
      <c r="BH171" s="57">
        <f>IF(ISERROR(IF(B171=C171,W171/C171,(INT(W171/B171)+(((W171-B171*INT(W171/B171)))/C171)/100))),0,(IF(B171=C171,W171/C171,(INT(W171/B171)+(((W171-B171*INT(W171/B171)))/C171)/100))))</f>
        <v>0</v>
      </c>
      <c r="BI171" s="57">
        <f>IF(ISERROR(IF(B171=C171,X171/C171,(INT(X171/B171)+(((X171-B171*INT(X171/B171)))/C171)/100))),0,(IF(B171=C171,X171/C171,(INT(X171/B171)+(((X171-B171*INT(X171/B171)))/C171)/100))))</f>
        <v>0</v>
      </c>
      <c r="BJ171" s="57">
        <f>IF(ISERROR(IF(B171=C171,Y171/C171,(INT(Y171/B171)+(((Y171-B171*INT(Y171/B171)))/C171)/100))),0,(IF(B171=C171,Y171/C171,(INT(Y171/B171)+(((Y171-B171*INT(Y171/B171)))/C171)/100))))</f>
        <v>0</v>
      </c>
      <c r="BL171" s="57">
        <f>IF(ISERROR(IF(B171=C171,AA171/C171,(INT(AA171/B171)+(((AA171-B171*INT(AA171/B171)))/C171)/100))),0,(IF(B171=C171,AA171/C171,(INT(AA171/B171)+(((AA171-B171*INT(AA171/B171)))/C171)/100))))</f>
        <v>0</v>
      </c>
      <c r="BM171" s="57">
        <f>IF(ISERROR(IF(B171=C171,AB171/C171,(INT(AB171/B171)+(((AB171-B171*INT(AB171/B171)))/C171)/100))),0,(IF(B171=C171,AB171/C171,(INT(AB171/B171)+(((AB171-B171*INT(AB171/B171)))/C171)/100))))</f>
        <v>0</v>
      </c>
      <c r="BN171" s="57">
        <f>IF(ISERROR(IF(B171=C171,AC171/C171,(INT(AC171/B171)+(((AC171-B171*INT(AC171/B171)))/C171)/100))),0,(IF(B171=C171,AC171/C171,(INT(AC171/B171)+(((AC171-B171*INT(AC171/B171)))/C171)/100))))</f>
        <v>0</v>
      </c>
      <c r="BO171" s="57">
        <f>IF(ISERROR(IF(B171=C171,AD171/C171,(INT(AD171/B171)+(((AD171-B171*INT(AD171/B171)))/C171)/100))),0,(IF(B171=C171,AD171/C171,(INT(AD171/B171)+(((AD171-B171*INT(AD171/B171)))/C171)/100))))</f>
        <v>0</v>
      </c>
      <c r="BQ171" s="155"/>
    </row>
    <row r="172" spans="1:69" hidden="1" x14ac:dyDescent="0.35">
      <c r="A172" s="94"/>
      <c r="B172" s="113">
        <v>0</v>
      </c>
      <c r="C172" s="113">
        <v>0</v>
      </c>
      <c r="D172" s="28">
        <f>SUM(AA172:AD172)</f>
        <v>0</v>
      </c>
      <c r="E172" s="113">
        <v>0</v>
      </c>
      <c r="F172" s="113">
        <v>0</v>
      </c>
      <c r="G172" s="28">
        <f>SUM(D172:F172)</f>
        <v>0</v>
      </c>
      <c r="H172" s="125">
        <v>0</v>
      </c>
      <c r="I172" s="113">
        <v>0</v>
      </c>
      <c r="J172" s="125">
        <v>0</v>
      </c>
      <c r="K172" s="113">
        <v>0</v>
      </c>
      <c r="L172" s="113">
        <v>0</v>
      </c>
      <c r="M172" s="113">
        <v>0</v>
      </c>
      <c r="N172" s="28">
        <f>G172-SUM(H172:M172)</f>
        <v>0</v>
      </c>
      <c r="O172" s="28">
        <f>SUM(V172:Y172)</f>
        <v>0</v>
      </c>
      <c r="P172" s="28">
        <f>O172-N172</f>
        <v>0</v>
      </c>
      <c r="Q172" s="61" t="str">
        <f>IF(ISERROR(P172/SUM(H172:L172)),"",P172/SUM(H172:L172))</f>
        <v/>
      </c>
      <c r="R172" s="113">
        <v>0</v>
      </c>
      <c r="S172" s="28">
        <f>IF(ISERROR(P172/C172*R172),0,(P172/C172*R172))</f>
        <v>0</v>
      </c>
      <c r="T172" s="60">
        <f>IF(ISERROR(P172/B172*AF172),0,(P172/B172*AF172))</f>
        <v>0</v>
      </c>
      <c r="V172" s="113">
        <v>0</v>
      </c>
      <c r="W172" s="113">
        <v>0</v>
      </c>
      <c r="X172" s="113">
        <v>0</v>
      </c>
      <c r="Y172" s="113">
        <v>0</v>
      </c>
      <c r="AA172" s="113">
        <v>0</v>
      </c>
      <c r="AB172" s="113">
        <v>0</v>
      </c>
      <c r="AC172" s="113">
        <v>0</v>
      </c>
      <c r="AD172" s="113">
        <v>0</v>
      </c>
      <c r="AF172" s="113">
        <v>0</v>
      </c>
      <c r="AG172" s="28">
        <f>G172-O172</f>
        <v>0</v>
      </c>
      <c r="AH172" s="58">
        <f>IF(ISERROR(AG172/B172*AF172),0,(AG172/B172*AF172))</f>
        <v>0</v>
      </c>
      <c r="AI172" s="28">
        <f>SUM(H172:M172)</f>
        <v>0</v>
      </c>
      <c r="AJ172" s="28">
        <f>IF(ISERROR(AI172/B172*AF172),0,(AI172/B172*AF172))</f>
        <v>0</v>
      </c>
      <c r="AK172" s="58">
        <f>IF(ISERROR(O172/B172*AF172),0,(O172/B172*AF172))</f>
        <v>0</v>
      </c>
      <c r="AL172" s="28">
        <f>IF(ISERROR(H172/B172*AF172),0,(H172/B172*AF172))</f>
        <v>0</v>
      </c>
      <c r="AN172" s="51">
        <f>A172</f>
        <v>0</v>
      </c>
      <c r="AO172" s="57">
        <f>IF(ISERROR(IF(B172=C172,D172/C172,(INT(D172/B172)+(((D172-B172*INT(D172/B172)))/C172)/100))),0,(IF(B172=C172,D172/C172,(INT(D172/B172)+(((D172-B172*INT(D172/B172)))/C172)/100))))</f>
        <v>0</v>
      </c>
      <c r="AP172" s="57">
        <f>IF(ISERROR(IF(B172=C172,E172/C172,(INT(E172/B172)+(((E172-B172*INT(E172/B172)))/C172)/100))),0,(IF(B172=C172,E172/C172,(INT(E172/B172)+(((E172-B172*INT(E172/B172)))/C172)/100))))</f>
        <v>0</v>
      </c>
      <c r="AQ172" s="57">
        <f>IF(ISERROR(IF(B172=C172,F172/C172,IF((INT(F172/B172)+(((F172-B172*INT(F172/B172)))/C172)/100)&lt;0,(INT(F172/B172)+(((F172-B172*INT(F172/B172)))/C172)/100)+(1-(B172/C172/100)),(INT(F172/B172)+(((F172-B172*INT(F172/B172)))/C172)/100)))),0,IF(B172=C172,F172/C172,IF((INT(F172/B172)+(((F172-B172*INT(F172/B172)))/C172)/100)&lt;0,(INT(F172/B172)+(((F172-B172*INT(F172/B172)))/C172)/100)+(1-(B172/C172/100)),(INT(F172/B172)+(((F172-B172*INT(F172/B172)))/C172)/100))))</f>
        <v>0</v>
      </c>
      <c r="AR172" s="57">
        <f>IF(ISERROR(IF(B172=C172,G172/C172,(INT(G172/B172)+(((G172-B172*INT(G172/B172)))/C172)/100))),0,(IF(B172=C172,G172/C172,(INT(G172/B172)+(((G172-B172*INT(G172/B172)))/C172)/100))))</f>
        <v>0</v>
      </c>
      <c r="AS172" s="57">
        <f>IF(ISERROR(IF(B172=C172,H172/C172,(INT(H172/B172)+(((H172-B172*INT(H172/B172)))/C172)/100))),0,(IF(B172=C172,H172/C172,(INT(H172/B172)+(((H172-B172*INT(H172/B172)))/C172)/100))))</f>
        <v>0</v>
      </c>
      <c r="AT172" s="57">
        <f>IF(ISERROR(IF(B172=C172,I172/C172,(INT(I172/B172)+(((I172-B172*INT(I172/B172)))/C172)/100))),0,(IF(B172=C172,I172/C172,(INT(I172/B172)+(((I172-B172*INT(I172/B172)))/C172)/100))))</f>
        <v>0</v>
      </c>
      <c r="AU172" s="57">
        <f>IF(ISERROR(IF(B172=C172,J172/C172,(INT(J172/B172)+(((J172-B172*INT(J172/B172)))/C172)/100))),0,(IF(B172=C172,J172/C172,(INT(J172/B172)+(((J172-B172*INT(J172/B172)))/C172)/100))))</f>
        <v>0</v>
      </c>
      <c r="AV172" s="57">
        <f>IF(ISERROR(IF(B172=C172,K172/C172,IF((INT(K172/B172)+(((K172-B172*INT(K172/B172)))/C172)/100)&lt;0,(INT(K172/B172)+(((K172-B172*INT(K172/B172)))/C172)/100)+(1-(B172/C172/100)),(INT(K172/B172)+(((K172-B172*INT(K172/B172)))/C172)/100)))),0,IF(B172=C172,K172/C172,IF((INT(K172/B172)+(((K172-B172*INT(K172/B172)))/C172)/100)&lt;0,(INT(K172/B172)+(((K172-B172*INT(K172/B172)))/C172)/100)+(1-(B172/C172/100)),(INT(K172/B172)+(((K172-B172*INT(K172/B172)))/C172)/100))))</f>
        <v>0</v>
      </c>
      <c r="AW172" s="57">
        <f>IF(ISERROR(IF(B172=C172,L172/C172,(INT(L172/B172)+(((L172-B172*INT(L172/B172)))/C172)/100))),0,(IF(B172=C172,L172/C172,(INT(L172/B172)+(((L172-B172*INT(L172/B172)))/C172)/100))))</f>
        <v>0</v>
      </c>
      <c r="AX172" s="57">
        <f>IF(ISERROR(IF(B172=C172,M172/C172,(INT(M172/B172)+(((M172-B172*INT(M172/B172)))/C172)/100))),0,(IF(B172=C172,M172/C172,(INT(M172/B172)+(((M172-B172*INT(M172/B172)))/C172)/100))))</f>
        <v>0</v>
      </c>
      <c r="AY172" s="57">
        <f>IF(ISERROR(IF(B172=C172,N172/C172,IF((INT(N172/B172)+(((N172-B172*INT(N172/B172)))/C172)/100)&lt;0,(INT(N172/B172)+(((N172-B172*INT(N172/B172)))/C172)/100)+(1-(B172/C172/100)),(INT(N172/B172)+(((N172-B172*INT(N172/B172)))/C172)/100)))),0,IF(B172=C172,N172/C172,IF((INT(N172/B172)+(((N172-B172*INT(N172/B172)))/C172)/100)&lt;0,(INT(N172/B172)+(((N172-B172*INT(N172/B172)))/C172)/100)+(1-(B172/C172/100)),(INT(N172/B172)+(((N172-B172*INT(N172/B172)))/C172)/100))))</f>
        <v>0</v>
      </c>
      <c r="AZ172" s="57">
        <f>IF(ISERROR(IF(B172=C172,O172/C172,(INT(O172/B172)+(((O172-B172*INT(O172/B172)))/C172)/100))),0,(IF(B172=C172,O172/C172,(INT(O172/B172)+(((O172-B172*INT(O172/B172)))/C172)/100))))</f>
        <v>0</v>
      </c>
      <c r="BA172" s="57">
        <f>IF(ISERROR(IF(B172=C172,P172/C172,IF((INT(P172/B172)+(((P172-B172*INT(P172/B172)))/C172)/100)&lt;0,(INT(P172/B172)+(((P172-B172*INT(P172/B172)))/C172)/100)+(1-(B172/C172/100)),(INT(P172/B172)+(((P172-B172*INT(P172/B172)))/C172)/100)))),0,IF(B172=C172,P172/C172,IF((INT(P172/B172)+(((P172-B172*INT(P172/B172)))/C172)/100)&lt;0,(INT(P172/B172)+(((P172-B172*INT(P172/B172)))/C172)/100)+(1-(B172/C172/100)),(INT(P172/B172)+(((P172-B172*INT(P172/B172)))/C172)/100))))</f>
        <v>0</v>
      </c>
      <c r="BB172" s="28">
        <f>R172</f>
        <v>0</v>
      </c>
      <c r="BC172" s="28">
        <f>S172</f>
        <v>0</v>
      </c>
      <c r="BD172" s="28">
        <f>AF172</f>
        <v>0</v>
      </c>
      <c r="BE172" s="28">
        <f>T172</f>
        <v>0</v>
      </c>
      <c r="BG172" s="57">
        <f>IF(ISERROR(IF(B172=C172,V172/C172,(INT(V172/B172)+(((V172-B172*INT(V172/B172)))/C172)/100))),0,(IF(B172=C172,V172/C172,(INT(V172/B172)+(((V172-B172*INT(V172/B172)))/C172)/100))))</f>
        <v>0</v>
      </c>
      <c r="BH172" s="57">
        <f>IF(ISERROR(IF(B172=C172,W172/C172,(INT(W172/B172)+(((W172-B172*INT(W172/B172)))/C172)/100))),0,(IF(B172=C172,W172/C172,(INT(W172/B172)+(((W172-B172*INT(W172/B172)))/C172)/100))))</f>
        <v>0</v>
      </c>
      <c r="BI172" s="57">
        <f>IF(ISERROR(IF(B172=C172,X172/C172,(INT(X172/B172)+(((X172-B172*INT(X172/B172)))/C172)/100))),0,(IF(B172=C172,X172/C172,(INT(X172/B172)+(((X172-B172*INT(X172/B172)))/C172)/100))))</f>
        <v>0</v>
      </c>
      <c r="BJ172" s="57">
        <f>IF(ISERROR(IF(B172=C172,Y172/C172,(INT(Y172/B172)+(((Y172-B172*INT(Y172/B172)))/C172)/100))),0,(IF(B172=C172,Y172/C172,(INT(Y172/B172)+(((Y172-B172*INT(Y172/B172)))/C172)/100))))</f>
        <v>0</v>
      </c>
      <c r="BL172" s="57">
        <f>IF(ISERROR(IF(B172=C172,AA172/C172,(INT(AA172/B172)+(((AA172-B172*INT(AA172/B172)))/C172)/100))),0,(IF(B172=C172,AA172/C172,(INT(AA172/B172)+(((AA172-B172*INT(AA172/B172)))/C172)/100))))</f>
        <v>0</v>
      </c>
      <c r="BM172" s="57">
        <f>IF(ISERROR(IF(B172=C172,AB172/C172,(INT(AB172/B172)+(((AB172-B172*INT(AB172/B172)))/C172)/100))),0,(IF(B172=C172,AB172/C172,(INT(AB172/B172)+(((AB172-B172*INT(AB172/B172)))/C172)/100))))</f>
        <v>0</v>
      </c>
      <c r="BN172" s="57">
        <f>IF(ISERROR(IF(B172=C172,AC172/C172,(INT(AC172/B172)+(((AC172-B172*INT(AC172/B172)))/C172)/100))),0,(IF(B172=C172,AC172/C172,(INT(AC172/B172)+(((AC172-B172*INT(AC172/B172)))/C172)/100))))</f>
        <v>0</v>
      </c>
      <c r="BO172" s="57">
        <f>IF(ISERROR(IF(B172=C172,AD172/C172,(INT(AD172/B172)+(((AD172-B172*INT(AD172/B172)))/C172)/100))),0,(IF(B172=C172,AD172/C172,(INT(AD172/B172)+(((AD172-B172*INT(AD172/B172)))/C172)/100))))</f>
        <v>0</v>
      </c>
      <c r="BQ172" s="155"/>
    </row>
    <row r="173" spans="1:69" hidden="1" x14ac:dyDescent="0.35">
      <c r="A173" s="94"/>
      <c r="B173" s="113">
        <v>0</v>
      </c>
      <c r="C173" s="113">
        <v>0</v>
      </c>
      <c r="D173" s="28">
        <f>SUM(AA173:AD173)</f>
        <v>0</v>
      </c>
      <c r="E173" s="113">
        <v>0</v>
      </c>
      <c r="F173" s="113">
        <v>0</v>
      </c>
      <c r="G173" s="28">
        <f>SUM(D173:F173)</f>
        <v>0</v>
      </c>
      <c r="H173" s="125">
        <v>0</v>
      </c>
      <c r="I173" s="113">
        <v>0</v>
      </c>
      <c r="J173" s="125">
        <v>0</v>
      </c>
      <c r="K173" s="113">
        <v>0</v>
      </c>
      <c r="L173" s="113">
        <v>0</v>
      </c>
      <c r="M173" s="113">
        <v>0</v>
      </c>
      <c r="N173" s="28">
        <f>G173-SUM(H173:M173)</f>
        <v>0</v>
      </c>
      <c r="O173" s="28">
        <f>SUM(V173:Y173)</f>
        <v>0</v>
      </c>
      <c r="P173" s="28">
        <f>O173-N173</f>
        <v>0</v>
      </c>
      <c r="Q173" s="61" t="str">
        <f>IF(ISERROR(P173/SUM(H173:L173)),"",P173/SUM(H173:L173))</f>
        <v/>
      </c>
      <c r="R173" s="113">
        <v>0</v>
      </c>
      <c r="S173" s="28">
        <f>IF(ISERROR(P173/C173*R173),0,(P173/C173*R173))</f>
        <v>0</v>
      </c>
      <c r="T173" s="60">
        <f>IF(ISERROR(P173/B173*AF173),0,(P173/B173*AF173))</f>
        <v>0</v>
      </c>
      <c r="V173" s="113">
        <v>0</v>
      </c>
      <c r="W173" s="113">
        <v>0</v>
      </c>
      <c r="X173" s="113">
        <v>0</v>
      </c>
      <c r="Y173" s="113">
        <v>0</v>
      </c>
      <c r="AA173" s="113">
        <v>0</v>
      </c>
      <c r="AB173" s="113">
        <v>0</v>
      </c>
      <c r="AC173" s="113">
        <v>0</v>
      </c>
      <c r="AD173" s="113">
        <v>0</v>
      </c>
      <c r="AF173" s="113">
        <v>0</v>
      </c>
      <c r="AG173" s="28">
        <f>G173-O173</f>
        <v>0</v>
      </c>
      <c r="AH173" s="58">
        <f>IF(ISERROR(AG173/B173*AF173),0,(AG173/B173*AF173))</f>
        <v>0</v>
      </c>
      <c r="AI173" s="28">
        <f>SUM(H173:M173)</f>
        <v>0</v>
      </c>
      <c r="AJ173" s="28">
        <f>IF(ISERROR(AI173/B173*AF173),0,(AI173/B173*AF173))</f>
        <v>0</v>
      </c>
      <c r="AK173" s="58">
        <f>IF(ISERROR(O173/B173*AF173),0,(O173/B173*AF173))</f>
        <v>0</v>
      </c>
      <c r="AL173" s="28">
        <f>IF(ISERROR(H173/B173*AF173),0,(H173/B173*AF173))</f>
        <v>0</v>
      </c>
      <c r="AN173" s="51">
        <f>A173</f>
        <v>0</v>
      </c>
      <c r="AO173" s="57">
        <f>IF(ISERROR(IF(B173=C173,D173/C173,(INT(D173/B173)+(((D173-B173*INT(D173/B173)))/C173)/100))),0,(IF(B173=C173,D173/C173,(INT(D173/B173)+(((D173-B173*INT(D173/B173)))/C173)/100))))</f>
        <v>0</v>
      </c>
      <c r="AP173" s="57">
        <f>IF(ISERROR(IF(B173=C173,E173/C173,(INT(E173/B173)+(((E173-B173*INT(E173/B173)))/C173)/100))),0,(IF(B173=C173,E173/C173,(INT(E173/B173)+(((E173-B173*INT(E173/B173)))/C173)/100))))</f>
        <v>0</v>
      </c>
      <c r="AQ173" s="57">
        <f>IF(ISERROR(IF(B173=C173,F173/C173,IF((INT(F173/B173)+(((F173-B173*INT(F173/B173)))/C173)/100)&lt;0,(INT(F173/B173)+(((F173-B173*INT(F173/B173)))/C173)/100)+(1-(B173/C173/100)),(INT(F173/B173)+(((F173-B173*INT(F173/B173)))/C173)/100)))),0,IF(B173=C173,F173/C173,IF((INT(F173/B173)+(((F173-B173*INT(F173/B173)))/C173)/100)&lt;0,(INT(F173/B173)+(((F173-B173*INT(F173/B173)))/C173)/100)+(1-(B173/C173/100)),(INT(F173/B173)+(((F173-B173*INT(F173/B173)))/C173)/100))))</f>
        <v>0</v>
      </c>
      <c r="AR173" s="57">
        <f>IF(ISERROR(IF(B173=C173,G173/C173,(INT(G173/B173)+(((G173-B173*INT(G173/B173)))/C173)/100))),0,(IF(B173=C173,G173/C173,(INT(G173/B173)+(((G173-B173*INT(G173/B173)))/C173)/100))))</f>
        <v>0</v>
      </c>
      <c r="AS173" s="57">
        <f>IF(ISERROR(IF(B173=C173,H173/C173,(INT(H173/B173)+(((H173-B173*INT(H173/B173)))/C173)/100))),0,(IF(B173=C173,H173/C173,(INT(H173/B173)+(((H173-B173*INT(H173/B173)))/C173)/100))))</f>
        <v>0</v>
      </c>
      <c r="AT173" s="57">
        <f>IF(ISERROR(IF(B173=C173,I173/C173,(INT(I173/B173)+(((I173-B173*INT(I173/B173)))/C173)/100))),0,(IF(B173=C173,I173/C173,(INT(I173/B173)+(((I173-B173*INT(I173/B173)))/C173)/100))))</f>
        <v>0</v>
      </c>
      <c r="AU173" s="57">
        <f>IF(ISERROR(IF(B173=C173,J173/C173,(INT(J173/B173)+(((J173-B173*INT(J173/B173)))/C173)/100))),0,(IF(B173=C173,J173/C173,(INT(J173/B173)+(((J173-B173*INT(J173/B173)))/C173)/100))))</f>
        <v>0</v>
      </c>
      <c r="AV173" s="57">
        <f>IF(ISERROR(IF(B173=C173,K173/C173,IF((INT(K173/B173)+(((K173-B173*INT(K173/B173)))/C173)/100)&lt;0,(INT(K173/B173)+(((K173-B173*INT(K173/B173)))/C173)/100)+(1-(B173/C173/100)),(INT(K173/B173)+(((K173-B173*INT(K173/B173)))/C173)/100)))),0,IF(B173=C173,K173/C173,IF((INT(K173/B173)+(((K173-B173*INT(K173/B173)))/C173)/100)&lt;0,(INT(K173/B173)+(((K173-B173*INT(K173/B173)))/C173)/100)+(1-(B173/C173/100)),(INT(K173/B173)+(((K173-B173*INT(K173/B173)))/C173)/100))))</f>
        <v>0</v>
      </c>
      <c r="AW173" s="57">
        <f>IF(ISERROR(IF(B173=C173,L173/C173,(INT(L173/B173)+(((L173-B173*INT(L173/B173)))/C173)/100))),0,(IF(B173=C173,L173/C173,(INT(L173/B173)+(((L173-B173*INT(L173/B173)))/C173)/100))))</f>
        <v>0</v>
      </c>
      <c r="AX173" s="57">
        <f>IF(ISERROR(IF(B173=C173,M173/C173,(INT(M173/B173)+(((M173-B173*INT(M173/B173)))/C173)/100))),0,(IF(B173=C173,M173/C173,(INT(M173/B173)+(((M173-B173*INT(M173/B173)))/C173)/100))))</f>
        <v>0</v>
      </c>
      <c r="AY173" s="57">
        <f>IF(ISERROR(IF(B173=C173,N173/C173,IF((INT(N173/B173)+(((N173-B173*INT(N173/B173)))/C173)/100)&lt;0,(INT(N173/B173)+(((N173-B173*INT(N173/B173)))/C173)/100)+(1-(B173/C173/100)),(INT(N173/B173)+(((N173-B173*INT(N173/B173)))/C173)/100)))),0,IF(B173=C173,N173/C173,IF((INT(N173/B173)+(((N173-B173*INT(N173/B173)))/C173)/100)&lt;0,(INT(N173/B173)+(((N173-B173*INT(N173/B173)))/C173)/100)+(1-(B173/C173/100)),(INT(N173/B173)+(((N173-B173*INT(N173/B173)))/C173)/100))))</f>
        <v>0</v>
      </c>
      <c r="AZ173" s="57">
        <f>IF(ISERROR(IF(B173=C173,O173/C173,(INT(O173/B173)+(((O173-B173*INT(O173/B173)))/C173)/100))),0,(IF(B173=C173,O173/C173,(INT(O173/B173)+(((O173-B173*INT(O173/B173)))/C173)/100))))</f>
        <v>0</v>
      </c>
      <c r="BA173" s="57">
        <f>IF(ISERROR(IF(B173=C173,P173/C173,IF((INT(P173/B173)+(((P173-B173*INT(P173/B173)))/C173)/100)&lt;0,(INT(P173/B173)+(((P173-B173*INT(P173/B173)))/C173)/100)+(1-(B173/C173/100)),(INT(P173/B173)+(((P173-B173*INT(P173/B173)))/C173)/100)))),0,IF(B173=C173,P173/C173,IF((INT(P173/B173)+(((P173-B173*INT(P173/B173)))/C173)/100)&lt;0,(INT(P173/B173)+(((P173-B173*INT(P173/B173)))/C173)/100)+(1-(B173/C173/100)),(INT(P173/B173)+(((P173-B173*INT(P173/B173)))/C173)/100))))</f>
        <v>0</v>
      </c>
      <c r="BB173" s="28">
        <f>R173</f>
        <v>0</v>
      </c>
      <c r="BC173" s="28">
        <f>S173</f>
        <v>0</v>
      </c>
      <c r="BD173" s="28">
        <f>AF173</f>
        <v>0</v>
      </c>
      <c r="BE173" s="28">
        <f>T173</f>
        <v>0</v>
      </c>
      <c r="BG173" s="57">
        <f>IF(ISERROR(IF(B173=C173,V173/C173,(INT(V173/B173)+(((V173-B173*INT(V173/B173)))/C173)/100))),0,(IF(B173=C173,V173/C173,(INT(V173/B173)+(((V173-B173*INT(V173/B173)))/C173)/100))))</f>
        <v>0</v>
      </c>
      <c r="BH173" s="57">
        <f>IF(ISERROR(IF(B173=C173,W173/C173,(INT(W173/B173)+(((W173-B173*INT(W173/B173)))/C173)/100))),0,(IF(B173=C173,W173/C173,(INT(W173/B173)+(((W173-B173*INT(W173/B173)))/C173)/100))))</f>
        <v>0</v>
      </c>
      <c r="BI173" s="57">
        <f>IF(ISERROR(IF(B173=C173,X173/C173,(INT(X173/B173)+(((X173-B173*INT(X173/B173)))/C173)/100))),0,(IF(B173=C173,X173/C173,(INT(X173/B173)+(((X173-B173*INT(X173/B173)))/C173)/100))))</f>
        <v>0</v>
      </c>
      <c r="BJ173" s="57">
        <f>IF(ISERROR(IF(B173=C173,Y173/C173,(INT(Y173/B173)+(((Y173-B173*INT(Y173/B173)))/C173)/100))),0,(IF(B173=C173,Y173/C173,(INT(Y173/B173)+(((Y173-B173*INT(Y173/B173)))/C173)/100))))</f>
        <v>0</v>
      </c>
      <c r="BL173" s="57">
        <f>IF(ISERROR(IF(B173=C173,AA173/C173,(INT(AA173/B173)+(((AA173-B173*INT(AA173/B173)))/C173)/100))),0,(IF(B173=C173,AA173/C173,(INT(AA173/B173)+(((AA173-B173*INT(AA173/B173)))/C173)/100))))</f>
        <v>0</v>
      </c>
      <c r="BM173" s="57">
        <f>IF(ISERROR(IF(B173=C173,AB173/C173,(INT(AB173/B173)+(((AB173-B173*INT(AB173/B173)))/C173)/100))),0,(IF(B173=C173,AB173/C173,(INT(AB173/B173)+(((AB173-B173*INT(AB173/B173)))/C173)/100))))</f>
        <v>0</v>
      </c>
      <c r="BN173" s="57">
        <f>IF(ISERROR(IF(B173=C173,AC173/C173,(INT(AC173/B173)+(((AC173-B173*INT(AC173/B173)))/C173)/100))),0,(IF(B173=C173,AC173/C173,(INT(AC173/B173)+(((AC173-B173*INT(AC173/B173)))/C173)/100))))</f>
        <v>0</v>
      </c>
      <c r="BO173" s="57">
        <f>IF(ISERROR(IF(B173=C173,AD173/C173,(INT(AD173/B173)+(((AD173-B173*INT(AD173/B173)))/C173)/100))),0,(IF(B173=C173,AD173/C173,(INT(AD173/B173)+(((AD173-B173*INT(AD173/B173)))/C173)/100))))</f>
        <v>0</v>
      </c>
      <c r="BQ173" s="155"/>
    </row>
    <row r="174" spans="1:69" hidden="1" x14ac:dyDescent="0.35">
      <c r="A174" s="94"/>
      <c r="B174" s="113">
        <v>0</v>
      </c>
      <c r="C174" s="113">
        <v>0</v>
      </c>
      <c r="D174" s="28">
        <f>SUM(AA174:AD174)</f>
        <v>0</v>
      </c>
      <c r="E174" s="113">
        <v>0</v>
      </c>
      <c r="F174" s="113">
        <v>0</v>
      </c>
      <c r="G174" s="28">
        <f>SUM(D174:F174)</f>
        <v>0</v>
      </c>
      <c r="H174" s="125">
        <v>0</v>
      </c>
      <c r="I174" s="113">
        <v>0</v>
      </c>
      <c r="J174" s="125">
        <v>0</v>
      </c>
      <c r="K174" s="113">
        <v>0</v>
      </c>
      <c r="L174" s="113">
        <v>0</v>
      </c>
      <c r="M174" s="113">
        <v>0</v>
      </c>
      <c r="N174" s="28">
        <f>G174-SUM(H174:M174)</f>
        <v>0</v>
      </c>
      <c r="O174" s="28">
        <f>SUM(V174:Y174)</f>
        <v>0</v>
      </c>
      <c r="P174" s="28">
        <f>O174-N174</f>
        <v>0</v>
      </c>
      <c r="Q174" s="61" t="str">
        <f>IF(ISERROR(P174/SUM(H174:L174)),"",P174/SUM(H174:L174))</f>
        <v/>
      </c>
      <c r="R174" s="113">
        <v>0</v>
      </c>
      <c r="S174" s="28">
        <f>IF(ISERROR(P174/C174*R174),0,(P174/C174*R174))</f>
        <v>0</v>
      </c>
      <c r="T174" s="60">
        <f>IF(ISERROR(P174/B174*AF174),0,(P174/B174*AF174))</f>
        <v>0</v>
      </c>
      <c r="V174" s="113">
        <v>0</v>
      </c>
      <c r="W174" s="113">
        <v>0</v>
      </c>
      <c r="X174" s="113">
        <v>0</v>
      </c>
      <c r="Y174" s="113">
        <v>0</v>
      </c>
      <c r="AA174" s="113">
        <v>0</v>
      </c>
      <c r="AB174" s="113">
        <v>0</v>
      </c>
      <c r="AC174" s="113">
        <v>0</v>
      </c>
      <c r="AD174" s="113">
        <v>0</v>
      </c>
      <c r="AF174" s="113">
        <v>0</v>
      </c>
      <c r="AG174" s="28">
        <f>G174-O174</f>
        <v>0</v>
      </c>
      <c r="AH174" s="58">
        <f>IF(ISERROR(AG174/B174*AF174),0,(AG174/B174*AF174))</f>
        <v>0</v>
      </c>
      <c r="AI174" s="28">
        <f>SUM(H174:M174)</f>
        <v>0</v>
      </c>
      <c r="AJ174" s="28">
        <f>IF(ISERROR(AI174/B174*AF174),0,(AI174/B174*AF174))</f>
        <v>0</v>
      </c>
      <c r="AK174" s="58">
        <f>IF(ISERROR(O174/B174*AF174),0,(O174/B174*AF174))</f>
        <v>0</v>
      </c>
      <c r="AL174" s="28">
        <f>IF(ISERROR(H174/B174*AF174),0,(H174/B174*AF174))</f>
        <v>0</v>
      </c>
      <c r="AN174" s="51">
        <f>A174</f>
        <v>0</v>
      </c>
      <c r="AO174" s="57">
        <f>IF(ISERROR(IF(B174=C174,D174/C174,(INT(D174/B174)+(((D174-B174*INT(D174/B174)))/C174)/100))),0,(IF(B174=C174,D174/C174,(INT(D174/B174)+(((D174-B174*INT(D174/B174)))/C174)/100))))</f>
        <v>0</v>
      </c>
      <c r="AP174" s="57">
        <f>IF(ISERROR(IF(B174=C174,E174/C174,(INT(E174/B174)+(((E174-B174*INT(E174/B174)))/C174)/100))),0,(IF(B174=C174,E174/C174,(INT(E174/B174)+(((E174-B174*INT(E174/B174)))/C174)/100))))</f>
        <v>0</v>
      </c>
      <c r="AQ174" s="57">
        <f>IF(ISERROR(IF(B174=C174,F174/C174,IF((INT(F174/B174)+(((F174-B174*INT(F174/B174)))/C174)/100)&lt;0,(INT(F174/B174)+(((F174-B174*INT(F174/B174)))/C174)/100)+(1-(B174/C174/100)),(INT(F174/B174)+(((F174-B174*INT(F174/B174)))/C174)/100)))),0,IF(B174=C174,F174/C174,IF((INT(F174/B174)+(((F174-B174*INT(F174/B174)))/C174)/100)&lt;0,(INT(F174/B174)+(((F174-B174*INT(F174/B174)))/C174)/100)+(1-(B174/C174/100)),(INT(F174/B174)+(((F174-B174*INT(F174/B174)))/C174)/100))))</f>
        <v>0</v>
      </c>
      <c r="AR174" s="57">
        <f>IF(ISERROR(IF(B174=C174,G174/C174,(INT(G174/B174)+(((G174-B174*INT(G174/B174)))/C174)/100))),0,(IF(B174=C174,G174/C174,(INT(G174/B174)+(((G174-B174*INT(G174/B174)))/C174)/100))))</f>
        <v>0</v>
      </c>
      <c r="AS174" s="57">
        <f>IF(ISERROR(IF(B174=C174,H174/C174,(INT(H174/B174)+(((H174-B174*INT(H174/B174)))/C174)/100))),0,(IF(B174=C174,H174/C174,(INT(H174/B174)+(((H174-B174*INT(H174/B174)))/C174)/100))))</f>
        <v>0</v>
      </c>
      <c r="AT174" s="57">
        <f>IF(ISERROR(IF(B174=C174,I174/C174,(INT(I174/B174)+(((I174-B174*INT(I174/B174)))/C174)/100))),0,(IF(B174=C174,I174/C174,(INT(I174/B174)+(((I174-B174*INT(I174/B174)))/C174)/100))))</f>
        <v>0</v>
      </c>
      <c r="AU174" s="57">
        <f>IF(ISERROR(IF(B174=C174,J174/C174,(INT(J174/B174)+(((J174-B174*INT(J174/B174)))/C174)/100))),0,(IF(B174=C174,J174/C174,(INT(J174/B174)+(((J174-B174*INT(J174/B174)))/C174)/100))))</f>
        <v>0</v>
      </c>
      <c r="AV174" s="57">
        <f>IF(ISERROR(IF(B174=C174,K174/C174,IF((INT(K174/B174)+(((K174-B174*INT(K174/B174)))/C174)/100)&lt;0,(INT(K174/B174)+(((K174-B174*INT(K174/B174)))/C174)/100)+(1-(B174/C174/100)),(INT(K174/B174)+(((K174-B174*INT(K174/B174)))/C174)/100)))),0,IF(B174=C174,K174/C174,IF((INT(K174/B174)+(((K174-B174*INT(K174/B174)))/C174)/100)&lt;0,(INT(K174/B174)+(((K174-B174*INT(K174/B174)))/C174)/100)+(1-(B174/C174/100)),(INT(K174/B174)+(((K174-B174*INT(K174/B174)))/C174)/100))))</f>
        <v>0</v>
      </c>
      <c r="AW174" s="57">
        <f>IF(ISERROR(IF(B174=C174,L174/C174,(INT(L174/B174)+(((L174-B174*INT(L174/B174)))/C174)/100))),0,(IF(B174=C174,L174/C174,(INT(L174/B174)+(((L174-B174*INT(L174/B174)))/C174)/100))))</f>
        <v>0</v>
      </c>
      <c r="AX174" s="57">
        <f>IF(ISERROR(IF(B174=C174,M174/C174,(INT(M174/B174)+(((M174-B174*INT(M174/B174)))/C174)/100))),0,(IF(B174=C174,M174/C174,(INT(M174/B174)+(((M174-B174*INT(M174/B174)))/C174)/100))))</f>
        <v>0</v>
      </c>
      <c r="AY174" s="57">
        <f>IF(ISERROR(IF(B174=C174,N174/C174,IF((INT(N174/B174)+(((N174-B174*INT(N174/B174)))/C174)/100)&lt;0,(INT(N174/B174)+(((N174-B174*INT(N174/B174)))/C174)/100)+(1-(B174/C174/100)),(INT(N174/B174)+(((N174-B174*INT(N174/B174)))/C174)/100)))),0,IF(B174=C174,N174/C174,IF((INT(N174/B174)+(((N174-B174*INT(N174/B174)))/C174)/100)&lt;0,(INT(N174/B174)+(((N174-B174*INT(N174/B174)))/C174)/100)+(1-(B174/C174/100)),(INT(N174/B174)+(((N174-B174*INT(N174/B174)))/C174)/100))))</f>
        <v>0</v>
      </c>
      <c r="AZ174" s="57">
        <f>IF(ISERROR(IF(B174=C174,O174/C174,(INT(O174/B174)+(((O174-B174*INT(O174/B174)))/C174)/100))),0,(IF(B174=C174,O174/C174,(INT(O174/B174)+(((O174-B174*INT(O174/B174)))/C174)/100))))</f>
        <v>0</v>
      </c>
      <c r="BA174" s="57">
        <f>IF(ISERROR(IF(B174=C174,P174/C174,IF((INT(P174/B174)+(((P174-B174*INT(P174/B174)))/C174)/100)&lt;0,(INT(P174/B174)+(((P174-B174*INT(P174/B174)))/C174)/100)+(1-(B174/C174/100)),(INT(P174/B174)+(((P174-B174*INT(P174/B174)))/C174)/100)))),0,IF(B174=C174,P174/C174,IF((INT(P174/B174)+(((P174-B174*INT(P174/B174)))/C174)/100)&lt;0,(INT(P174/B174)+(((P174-B174*INT(P174/B174)))/C174)/100)+(1-(B174/C174/100)),(INT(P174/B174)+(((P174-B174*INT(P174/B174)))/C174)/100))))</f>
        <v>0</v>
      </c>
      <c r="BB174" s="28">
        <f>R174</f>
        <v>0</v>
      </c>
      <c r="BC174" s="28">
        <f>S174</f>
        <v>0</v>
      </c>
      <c r="BD174" s="28">
        <f>AF174</f>
        <v>0</v>
      </c>
      <c r="BE174" s="28">
        <f>T174</f>
        <v>0</v>
      </c>
      <c r="BG174" s="57">
        <f>IF(ISERROR(IF(B174=C174,V174/C174,(INT(V174/B174)+(((V174-B174*INT(V174/B174)))/C174)/100))),0,(IF(B174=C174,V174/C174,(INT(V174/B174)+(((V174-B174*INT(V174/B174)))/C174)/100))))</f>
        <v>0</v>
      </c>
      <c r="BH174" s="57">
        <f>IF(ISERROR(IF(B174=C174,W174/C174,(INT(W174/B174)+(((W174-B174*INT(W174/B174)))/C174)/100))),0,(IF(B174=C174,W174/C174,(INT(W174/B174)+(((W174-B174*INT(W174/B174)))/C174)/100))))</f>
        <v>0</v>
      </c>
      <c r="BI174" s="57">
        <f>IF(ISERROR(IF(B174=C174,X174/C174,(INT(X174/B174)+(((X174-B174*INT(X174/B174)))/C174)/100))),0,(IF(B174=C174,X174/C174,(INT(X174/B174)+(((X174-B174*INT(X174/B174)))/C174)/100))))</f>
        <v>0</v>
      </c>
      <c r="BJ174" s="57">
        <f>IF(ISERROR(IF(B174=C174,Y174/C174,(INT(Y174/B174)+(((Y174-B174*INT(Y174/B174)))/C174)/100))),0,(IF(B174=C174,Y174/C174,(INT(Y174/B174)+(((Y174-B174*INT(Y174/B174)))/C174)/100))))</f>
        <v>0</v>
      </c>
      <c r="BL174" s="57">
        <f>IF(ISERROR(IF(B174=C174,AA174/C174,(INT(AA174/B174)+(((AA174-B174*INT(AA174/B174)))/C174)/100))),0,(IF(B174=C174,AA174/C174,(INT(AA174/B174)+(((AA174-B174*INT(AA174/B174)))/C174)/100))))</f>
        <v>0</v>
      </c>
      <c r="BM174" s="57">
        <f>IF(ISERROR(IF(B174=C174,AB174/C174,(INT(AB174/B174)+(((AB174-B174*INT(AB174/B174)))/C174)/100))),0,(IF(B174=C174,AB174/C174,(INT(AB174/B174)+(((AB174-B174*INT(AB174/B174)))/C174)/100))))</f>
        <v>0</v>
      </c>
      <c r="BN174" s="57">
        <f>IF(ISERROR(IF(B174=C174,AC174/C174,(INT(AC174/B174)+(((AC174-B174*INT(AC174/B174)))/C174)/100))),0,(IF(B174=C174,AC174/C174,(INT(AC174/B174)+(((AC174-B174*INT(AC174/B174)))/C174)/100))))</f>
        <v>0</v>
      </c>
      <c r="BO174" s="57">
        <f>IF(ISERROR(IF(B174=C174,AD174/C174,(INT(AD174/B174)+(((AD174-B174*INT(AD174/B174)))/C174)/100))),0,(IF(B174=C174,AD174/C174,(INT(AD174/B174)+(((AD174-B174*INT(AD174/B174)))/C174)/100))))</f>
        <v>0</v>
      </c>
      <c r="BQ174" s="155"/>
    </row>
    <row r="175" spans="1:69" hidden="1" x14ac:dyDescent="0.35">
      <c r="A175" s="94"/>
      <c r="B175" s="113">
        <v>0</v>
      </c>
      <c r="C175" s="113">
        <v>0</v>
      </c>
      <c r="D175" s="28">
        <f>SUM(AA175:AD175)</f>
        <v>0</v>
      </c>
      <c r="E175" s="113">
        <v>0</v>
      </c>
      <c r="F175" s="113">
        <v>0</v>
      </c>
      <c r="G175" s="28">
        <f>SUM(D175:F175)</f>
        <v>0</v>
      </c>
      <c r="H175" s="125">
        <v>0</v>
      </c>
      <c r="I175" s="113">
        <v>0</v>
      </c>
      <c r="J175" s="125">
        <v>0</v>
      </c>
      <c r="K175" s="113">
        <v>0</v>
      </c>
      <c r="L175" s="113">
        <v>0</v>
      </c>
      <c r="M175" s="113">
        <v>0</v>
      </c>
      <c r="N175" s="28">
        <f>G175-SUM(H175:M175)</f>
        <v>0</v>
      </c>
      <c r="O175" s="28">
        <f>SUM(V175:Y175)</f>
        <v>0</v>
      </c>
      <c r="P175" s="28">
        <f>O175-N175</f>
        <v>0</v>
      </c>
      <c r="Q175" s="61" t="str">
        <f>IF(ISERROR(P175/SUM(H175:L175)),"",P175/SUM(H175:L175))</f>
        <v/>
      </c>
      <c r="R175" s="113">
        <v>0</v>
      </c>
      <c r="S175" s="28">
        <f>IF(ISERROR(P175/C175*R175),0,(P175/C175*R175))</f>
        <v>0</v>
      </c>
      <c r="T175" s="60">
        <f>IF(ISERROR(P175/B175*AF175),0,(P175/B175*AF175))</f>
        <v>0</v>
      </c>
      <c r="V175" s="113">
        <v>0</v>
      </c>
      <c r="W175" s="113">
        <v>0</v>
      </c>
      <c r="X175" s="113">
        <v>0</v>
      </c>
      <c r="Y175" s="113">
        <v>0</v>
      </c>
      <c r="AA175" s="113">
        <v>0</v>
      </c>
      <c r="AB175" s="113">
        <v>0</v>
      </c>
      <c r="AC175" s="113">
        <v>0</v>
      </c>
      <c r="AD175" s="113">
        <v>0</v>
      </c>
      <c r="AF175" s="113">
        <v>0</v>
      </c>
      <c r="AG175" s="28">
        <f>G175-O175</f>
        <v>0</v>
      </c>
      <c r="AH175" s="58">
        <f>IF(ISERROR(AG175/B175*AF175),0,(AG175/B175*AF175))</f>
        <v>0</v>
      </c>
      <c r="AI175" s="28">
        <f>SUM(H175:M175)</f>
        <v>0</v>
      </c>
      <c r="AJ175" s="28">
        <f>IF(ISERROR(AI175/B175*AF175),0,(AI175/B175*AF175))</f>
        <v>0</v>
      </c>
      <c r="AK175" s="58">
        <f>IF(ISERROR(O175/B175*AF175),0,(O175/B175*AF175))</f>
        <v>0</v>
      </c>
      <c r="AL175" s="28">
        <f>IF(ISERROR(H175/B175*AF175),0,(H175/B175*AF175))</f>
        <v>0</v>
      </c>
      <c r="AN175" s="51">
        <f>A175</f>
        <v>0</v>
      </c>
      <c r="AO175" s="57">
        <f>IF(ISERROR(IF(B175=C175,D175/C175,(INT(D175/B175)+(((D175-B175*INT(D175/B175)))/C175)/100))),0,(IF(B175=C175,D175/C175,(INT(D175/B175)+(((D175-B175*INT(D175/B175)))/C175)/100))))</f>
        <v>0</v>
      </c>
      <c r="AP175" s="57">
        <f>IF(ISERROR(IF(B175=C175,E175/C175,(INT(E175/B175)+(((E175-B175*INT(E175/B175)))/C175)/100))),0,(IF(B175=C175,E175/C175,(INT(E175/B175)+(((E175-B175*INT(E175/B175)))/C175)/100))))</f>
        <v>0</v>
      </c>
      <c r="AQ175" s="57">
        <f>IF(ISERROR(IF(B175=C175,F175/C175,IF((INT(F175/B175)+(((F175-B175*INT(F175/B175)))/C175)/100)&lt;0,(INT(F175/B175)+(((F175-B175*INT(F175/B175)))/C175)/100)+(1-(B175/C175/100)),(INT(F175/B175)+(((F175-B175*INT(F175/B175)))/C175)/100)))),0,IF(B175=C175,F175/C175,IF((INT(F175/B175)+(((F175-B175*INT(F175/B175)))/C175)/100)&lt;0,(INT(F175/B175)+(((F175-B175*INT(F175/B175)))/C175)/100)+(1-(B175/C175/100)),(INT(F175/B175)+(((F175-B175*INT(F175/B175)))/C175)/100))))</f>
        <v>0</v>
      </c>
      <c r="AR175" s="57">
        <f>IF(ISERROR(IF(B175=C175,G175/C175,(INT(G175/B175)+(((G175-B175*INT(G175/B175)))/C175)/100))),0,(IF(B175=C175,G175/C175,(INT(G175/B175)+(((G175-B175*INT(G175/B175)))/C175)/100))))</f>
        <v>0</v>
      </c>
      <c r="AS175" s="57">
        <f>IF(ISERROR(IF(B175=C175,H175/C175,(INT(H175/B175)+(((H175-B175*INT(H175/B175)))/C175)/100))),0,(IF(B175=C175,H175/C175,(INT(H175/B175)+(((H175-B175*INT(H175/B175)))/C175)/100))))</f>
        <v>0</v>
      </c>
      <c r="AT175" s="57">
        <f>IF(ISERROR(IF(B175=C175,I175/C175,(INT(I175/B175)+(((I175-B175*INT(I175/B175)))/C175)/100))),0,(IF(B175=C175,I175/C175,(INT(I175/B175)+(((I175-B175*INT(I175/B175)))/C175)/100))))</f>
        <v>0</v>
      </c>
      <c r="AU175" s="57">
        <f>IF(ISERROR(IF(B175=C175,J175/C175,(INT(J175/B175)+(((J175-B175*INT(J175/B175)))/C175)/100))),0,(IF(B175=C175,J175/C175,(INT(J175/B175)+(((J175-B175*INT(J175/B175)))/C175)/100))))</f>
        <v>0</v>
      </c>
      <c r="AV175" s="57">
        <f>IF(ISERROR(IF(B175=C175,K175/C175,IF((INT(K175/B175)+(((K175-B175*INT(K175/B175)))/C175)/100)&lt;0,(INT(K175/B175)+(((K175-B175*INT(K175/B175)))/C175)/100)+(1-(B175/C175/100)),(INT(K175/B175)+(((K175-B175*INT(K175/B175)))/C175)/100)))),0,IF(B175=C175,K175/C175,IF((INT(K175/B175)+(((K175-B175*INT(K175/B175)))/C175)/100)&lt;0,(INT(K175/B175)+(((K175-B175*INT(K175/B175)))/C175)/100)+(1-(B175/C175/100)),(INT(K175/B175)+(((K175-B175*INT(K175/B175)))/C175)/100))))</f>
        <v>0</v>
      </c>
      <c r="AW175" s="57">
        <f>IF(ISERROR(IF(B175=C175,L175/C175,(INT(L175/B175)+(((L175-B175*INT(L175/B175)))/C175)/100))),0,(IF(B175=C175,L175/C175,(INT(L175/B175)+(((L175-B175*INT(L175/B175)))/C175)/100))))</f>
        <v>0</v>
      </c>
      <c r="AX175" s="57">
        <f>IF(ISERROR(IF(B175=C175,M175/C175,(INT(M175/B175)+(((M175-B175*INT(M175/B175)))/C175)/100))),0,(IF(B175=C175,M175/C175,(INT(M175/B175)+(((M175-B175*INT(M175/B175)))/C175)/100))))</f>
        <v>0</v>
      </c>
      <c r="AY175" s="57">
        <f>IF(ISERROR(IF(B175=C175,N175/C175,IF((INT(N175/B175)+(((N175-B175*INT(N175/B175)))/C175)/100)&lt;0,(INT(N175/B175)+(((N175-B175*INT(N175/B175)))/C175)/100)+(1-(B175/C175/100)),(INT(N175/B175)+(((N175-B175*INT(N175/B175)))/C175)/100)))),0,IF(B175=C175,N175/C175,IF((INT(N175/B175)+(((N175-B175*INT(N175/B175)))/C175)/100)&lt;0,(INT(N175/B175)+(((N175-B175*INT(N175/B175)))/C175)/100)+(1-(B175/C175/100)),(INT(N175/B175)+(((N175-B175*INT(N175/B175)))/C175)/100))))</f>
        <v>0</v>
      </c>
      <c r="AZ175" s="57">
        <f>IF(ISERROR(IF(B175=C175,O175/C175,(INT(O175/B175)+(((O175-B175*INT(O175/B175)))/C175)/100))),0,(IF(B175=C175,O175/C175,(INT(O175/B175)+(((O175-B175*INT(O175/B175)))/C175)/100))))</f>
        <v>0</v>
      </c>
      <c r="BA175" s="57">
        <f>IF(ISERROR(IF(B175=C175,P175/C175,IF((INT(P175/B175)+(((P175-B175*INT(P175/B175)))/C175)/100)&lt;0,(INT(P175/B175)+(((P175-B175*INT(P175/B175)))/C175)/100)+(1-(B175/C175/100)),(INT(P175/B175)+(((P175-B175*INT(P175/B175)))/C175)/100)))),0,IF(B175=C175,P175/C175,IF((INT(P175/B175)+(((P175-B175*INT(P175/B175)))/C175)/100)&lt;0,(INT(P175/B175)+(((P175-B175*INT(P175/B175)))/C175)/100)+(1-(B175/C175/100)),(INT(P175/B175)+(((P175-B175*INT(P175/B175)))/C175)/100))))</f>
        <v>0</v>
      </c>
      <c r="BB175" s="28">
        <f>R175</f>
        <v>0</v>
      </c>
      <c r="BC175" s="28">
        <f>S175</f>
        <v>0</v>
      </c>
      <c r="BD175" s="28">
        <f>AF175</f>
        <v>0</v>
      </c>
      <c r="BE175" s="28">
        <f>T175</f>
        <v>0</v>
      </c>
      <c r="BG175" s="57">
        <f>IF(ISERROR(IF(B175=C175,V175/C175,(INT(V175/B175)+(((V175-B175*INT(V175/B175)))/C175)/100))),0,(IF(B175=C175,V175/C175,(INT(V175/B175)+(((V175-B175*INT(V175/B175)))/C175)/100))))</f>
        <v>0</v>
      </c>
      <c r="BH175" s="57">
        <f>IF(ISERROR(IF(B175=C175,W175/C175,(INT(W175/B175)+(((W175-B175*INT(W175/B175)))/C175)/100))),0,(IF(B175=C175,W175/C175,(INT(W175/B175)+(((W175-B175*INT(W175/B175)))/C175)/100))))</f>
        <v>0</v>
      </c>
      <c r="BI175" s="57">
        <f>IF(ISERROR(IF(B175=C175,X175/C175,(INT(X175/B175)+(((X175-B175*INT(X175/B175)))/C175)/100))),0,(IF(B175=C175,X175/C175,(INT(X175/B175)+(((X175-B175*INT(X175/B175)))/C175)/100))))</f>
        <v>0</v>
      </c>
      <c r="BJ175" s="57">
        <f>IF(ISERROR(IF(B175=C175,Y175/C175,(INT(Y175/B175)+(((Y175-B175*INT(Y175/B175)))/C175)/100))),0,(IF(B175=C175,Y175/C175,(INT(Y175/B175)+(((Y175-B175*INT(Y175/B175)))/C175)/100))))</f>
        <v>0</v>
      </c>
      <c r="BL175" s="57">
        <f>IF(ISERROR(IF(B175=C175,AA175/C175,(INT(AA175/B175)+(((AA175-B175*INT(AA175/B175)))/C175)/100))),0,(IF(B175=C175,AA175/C175,(INT(AA175/B175)+(((AA175-B175*INT(AA175/B175)))/C175)/100))))</f>
        <v>0</v>
      </c>
      <c r="BM175" s="57">
        <f>IF(ISERROR(IF(B175=C175,AB175/C175,(INT(AB175/B175)+(((AB175-B175*INT(AB175/B175)))/C175)/100))),0,(IF(B175=C175,AB175/C175,(INT(AB175/B175)+(((AB175-B175*INT(AB175/B175)))/C175)/100))))</f>
        <v>0</v>
      </c>
      <c r="BN175" s="57">
        <f>IF(ISERROR(IF(B175=C175,AC175/C175,(INT(AC175/B175)+(((AC175-B175*INT(AC175/B175)))/C175)/100))),0,(IF(B175=C175,AC175/C175,(INT(AC175/B175)+(((AC175-B175*INT(AC175/B175)))/C175)/100))))</f>
        <v>0</v>
      </c>
      <c r="BO175" s="57">
        <f>IF(ISERROR(IF(B175=C175,AD175/C175,(INT(AD175/B175)+(((AD175-B175*INT(AD175/B175)))/C175)/100))),0,(IF(B175=C175,AD175/C175,(INT(AD175/B175)+(((AD175-B175*INT(AD175/B175)))/C175)/100))))</f>
        <v>0</v>
      </c>
      <c r="BQ175" s="155"/>
    </row>
    <row r="176" spans="1:69" hidden="1" x14ac:dyDescent="0.35">
      <c r="A176" s="94"/>
      <c r="B176" s="113">
        <v>0</v>
      </c>
      <c r="C176" s="113">
        <v>0</v>
      </c>
      <c r="D176" s="28">
        <f>SUM(AA176:AD176)</f>
        <v>0</v>
      </c>
      <c r="E176" s="113">
        <v>0</v>
      </c>
      <c r="F176" s="113">
        <v>0</v>
      </c>
      <c r="G176" s="28">
        <f>SUM(D176:F176)</f>
        <v>0</v>
      </c>
      <c r="H176" s="125">
        <v>0</v>
      </c>
      <c r="I176" s="113">
        <v>0</v>
      </c>
      <c r="J176" s="125">
        <v>0</v>
      </c>
      <c r="K176" s="113">
        <v>0</v>
      </c>
      <c r="L176" s="113">
        <v>0</v>
      </c>
      <c r="M176" s="113">
        <v>0</v>
      </c>
      <c r="N176" s="28">
        <f>G176-SUM(H176:M176)</f>
        <v>0</v>
      </c>
      <c r="O176" s="28">
        <f>SUM(V176:Y176)</f>
        <v>0</v>
      </c>
      <c r="P176" s="28">
        <f>O176-N176</f>
        <v>0</v>
      </c>
      <c r="Q176" s="61" t="str">
        <f>IF(ISERROR(P176/SUM(H176:L176)),"",P176/SUM(H176:L176))</f>
        <v/>
      </c>
      <c r="R176" s="113">
        <v>0</v>
      </c>
      <c r="S176" s="28">
        <f>IF(ISERROR(P176/C176*R176),0,(P176/C176*R176))</f>
        <v>0</v>
      </c>
      <c r="T176" s="60">
        <f>IF(ISERROR(P176/B176*AF176),0,(P176/B176*AF176))</f>
        <v>0</v>
      </c>
      <c r="V176" s="113">
        <v>0</v>
      </c>
      <c r="W176" s="113">
        <v>0</v>
      </c>
      <c r="X176" s="113">
        <v>0</v>
      </c>
      <c r="Y176" s="113">
        <v>0</v>
      </c>
      <c r="AA176" s="113">
        <v>0</v>
      </c>
      <c r="AB176" s="113">
        <v>0</v>
      </c>
      <c r="AC176" s="113">
        <v>0</v>
      </c>
      <c r="AD176" s="113">
        <v>0</v>
      </c>
      <c r="AF176" s="113">
        <v>0</v>
      </c>
      <c r="AG176" s="28">
        <f>G176-O176</f>
        <v>0</v>
      </c>
      <c r="AH176" s="58">
        <f>IF(ISERROR(AG176/B176*AF176),0,(AG176/B176*AF176))</f>
        <v>0</v>
      </c>
      <c r="AI176" s="28">
        <f>SUM(H176:M176)</f>
        <v>0</v>
      </c>
      <c r="AJ176" s="28">
        <f>IF(ISERROR(AI176/B176*AF176),0,(AI176/B176*AF176))</f>
        <v>0</v>
      </c>
      <c r="AK176" s="58">
        <f>IF(ISERROR(O176/B176*AF176),0,(O176/B176*AF176))</f>
        <v>0</v>
      </c>
      <c r="AL176" s="28">
        <f>IF(ISERROR(H176/B176*AF176),0,(H176/B176*AF176))</f>
        <v>0</v>
      </c>
      <c r="AN176" s="51">
        <f>A176</f>
        <v>0</v>
      </c>
      <c r="AO176" s="57">
        <f>IF(ISERROR(IF(B176=C176,D176/C176,(INT(D176/B176)+(((D176-B176*INT(D176/B176)))/C176)/100))),0,(IF(B176=C176,D176/C176,(INT(D176/B176)+(((D176-B176*INT(D176/B176)))/C176)/100))))</f>
        <v>0</v>
      </c>
      <c r="AP176" s="57">
        <f>IF(ISERROR(IF(B176=C176,E176/C176,(INT(E176/B176)+(((E176-B176*INT(E176/B176)))/C176)/100))),0,(IF(B176=C176,E176/C176,(INT(E176/B176)+(((E176-B176*INT(E176/B176)))/C176)/100))))</f>
        <v>0</v>
      </c>
      <c r="AQ176" s="57">
        <f>IF(ISERROR(IF(B176=C176,F176/C176,IF((INT(F176/B176)+(((F176-B176*INT(F176/B176)))/C176)/100)&lt;0,(INT(F176/B176)+(((F176-B176*INT(F176/B176)))/C176)/100)+(1-(B176/C176/100)),(INT(F176/B176)+(((F176-B176*INT(F176/B176)))/C176)/100)))),0,IF(B176=C176,F176/C176,IF((INT(F176/B176)+(((F176-B176*INT(F176/B176)))/C176)/100)&lt;0,(INT(F176/B176)+(((F176-B176*INT(F176/B176)))/C176)/100)+(1-(B176/C176/100)),(INT(F176/B176)+(((F176-B176*INT(F176/B176)))/C176)/100))))</f>
        <v>0</v>
      </c>
      <c r="AR176" s="57">
        <f>IF(ISERROR(IF(B176=C176,G176/C176,(INT(G176/B176)+(((G176-B176*INT(G176/B176)))/C176)/100))),0,(IF(B176=C176,G176/C176,(INT(G176/B176)+(((G176-B176*INT(G176/B176)))/C176)/100))))</f>
        <v>0</v>
      </c>
      <c r="AS176" s="57">
        <f>IF(ISERROR(IF(B176=C176,H176/C176,(INT(H176/B176)+(((H176-B176*INT(H176/B176)))/C176)/100))),0,(IF(B176=C176,H176/C176,(INT(H176/B176)+(((H176-B176*INT(H176/B176)))/C176)/100))))</f>
        <v>0</v>
      </c>
      <c r="AT176" s="57">
        <f>IF(ISERROR(IF(B176=C176,I176/C176,(INT(I176/B176)+(((I176-B176*INT(I176/B176)))/C176)/100))),0,(IF(B176=C176,I176/C176,(INT(I176/B176)+(((I176-B176*INT(I176/B176)))/C176)/100))))</f>
        <v>0</v>
      </c>
      <c r="AU176" s="57">
        <f>IF(ISERROR(IF(B176=C176,J176/C176,(INT(J176/B176)+(((J176-B176*INT(J176/B176)))/C176)/100))),0,(IF(B176=C176,J176/C176,(INT(J176/B176)+(((J176-B176*INT(J176/B176)))/C176)/100))))</f>
        <v>0</v>
      </c>
      <c r="AV176" s="57">
        <f>IF(ISERROR(IF(B176=C176,K176/C176,IF((INT(K176/B176)+(((K176-B176*INT(K176/B176)))/C176)/100)&lt;0,(INT(K176/B176)+(((K176-B176*INT(K176/B176)))/C176)/100)+(1-(B176/C176/100)),(INT(K176/B176)+(((K176-B176*INT(K176/B176)))/C176)/100)))),0,IF(B176=C176,K176/C176,IF((INT(K176/B176)+(((K176-B176*INT(K176/B176)))/C176)/100)&lt;0,(INT(K176/B176)+(((K176-B176*INT(K176/B176)))/C176)/100)+(1-(B176/C176/100)),(INT(K176/B176)+(((K176-B176*INT(K176/B176)))/C176)/100))))</f>
        <v>0</v>
      </c>
      <c r="AW176" s="57">
        <f>IF(ISERROR(IF(B176=C176,L176/C176,(INT(L176/B176)+(((L176-B176*INT(L176/B176)))/C176)/100))),0,(IF(B176=C176,L176/C176,(INT(L176/B176)+(((L176-B176*INT(L176/B176)))/C176)/100))))</f>
        <v>0</v>
      </c>
      <c r="AX176" s="57">
        <f>IF(ISERROR(IF(B176=C176,M176/C176,(INT(M176/B176)+(((M176-B176*INT(M176/B176)))/C176)/100))),0,(IF(B176=C176,M176/C176,(INT(M176/B176)+(((M176-B176*INT(M176/B176)))/C176)/100))))</f>
        <v>0</v>
      </c>
      <c r="AY176" s="57">
        <f>IF(ISERROR(IF(B176=C176,N176/C176,IF((INT(N176/B176)+(((N176-B176*INT(N176/B176)))/C176)/100)&lt;0,(INT(N176/B176)+(((N176-B176*INT(N176/B176)))/C176)/100)+(1-(B176/C176/100)),(INT(N176/B176)+(((N176-B176*INT(N176/B176)))/C176)/100)))),0,IF(B176=C176,N176/C176,IF((INT(N176/B176)+(((N176-B176*INT(N176/B176)))/C176)/100)&lt;0,(INT(N176/B176)+(((N176-B176*INT(N176/B176)))/C176)/100)+(1-(B176/C176/100)),(INT(N176/B176)+(((N176-B176*INT(N176/B176)))/C176)/100))))</f>
        <v>0</v>
      </c>
      <c r="AZ176" s="57">
        <f>IF(ISERROR(IF(B176=C176,O176/C176,(INT(O176/B176)+(((O176-B176*INT(O176/B176)))/C176)/100))),0,(IF(B176=C176,O176/C176,(INT(O176/B176)+(((O176-B176*INT(O176/B176)))/C176)/100))))</f>
        <v>0</v>
      </c>
      <c r="BA176" s="57">
        <f>IF(ISERROR(IF(B176=C176,P176/C176,IF((INT(P176/B176)+(((P176-B176*INT(P176/B176)))/C176)/100)&lt;0,(INT(P176/B176)+(((P176-B176*INT(P176/B176)))/C176)/100)+(1-(B176/C176/100)),(INT(P176/B176)+(((P176-B176*INT(P176/B176)))/C176)/100)))),0,IF(B176=C176,P176/C176,IF((INT(P176/B176)+(((P176-B176*INT(P176/B176)))/C176)/100)&lt;0,(INT(P176/B176)+(((P176-B176*INT(P176/B176)))/C176)/100)+(1-(B176/C176/100)),(INT(P176/B176)+(((P176-B176*INT(P176/B176)))/C176)/100))))</f>
        <v>0</v>
      </c>
      <c r="BB176" s="28">
        <f>R176</f>
        <v>0</v>
      </c>
      <c r="BC176" s="28">
        <f>S176</f>
        <v>0</v>
      </c>
      <c r="BD176" s="28">
        <f>AF176</f>
        <v>0</v>
      </c>
      <c r="BE176" s="28">
        <f>T176</f>
        <v>0</v>
      </c>
      <c r="BG176" s="57">
        <f>IF(ISERROR(IF(B176=C176,V176/C176,(INT(V176/B176)+(((V176-B176*INT(V176/B176)))/C176)/100))),0,(IF(B176=C176,V176/C176,(INT(V176/B176)+(((V176-B176*INT(V176/B176)))/C176)/100))))</f>
        <v>0</v>
      </c>
      <c r="BH176" s="57">
        <f>IF(ISERROR(IF(B176=C176,W176/C176,(INT(W176/B176)+(((W176-B176*INT(W176/B176)))/C176)/100))),0,(IF(B176=C176,W176/C176,(INT(W176/B176)+(((W176-B176*INT(W176/B176)))/C176)/100))))</f>
        <v>0</v>
      </c>
      <c r="BI176" s="57">
        <f>IF(ISERROR(IF(B176=C176,X176/C176,(INT(X176/B176)+(((X176-B176*INT(X176/B176)))/C176)/100))),0,(IF(B176=C176,X176/C176,(INT(X176/B176)+(((X176-B176*INT(X176/B176)))/C176)/100))))</f>
        <v>0</v>
      </c>
      <c r="BJ176" s="57">
        <f>IF(ISERROR(IF(B176=C176,Y176/C176,(INT(Y176/B176)+(((Y176-B176*INT(Y176/B176)))/C176)/100))),0,(IF(B176=C176,Y176/C176,(INT(Y176/B176)+(((Y176-B176*INT(Y176/B176)))/C176)/100))))</f>
        <v>0</v>
      </c>
      <c r="BL176" s="57">
        <f>IF(ISERROR(IF(B176=C176,AA176/C176,(INT(AA176/B176)+(((AA176-B176*INT(AA176/B176)))/C176)/100))),0,(IF(B176=C176,AA176/C176,(INT(AA176/B176)+(((AA176-B176*INT(AA176/B176)))/C176)/100))))</f>
        <v>0</v>
      </c>
      <c r="BM176" s="57">
        <f>IF(ISERROR(IF(B176=C176,AB176/C176,(INT(AB176/B176)+(((AB176-B176*INT(AB176/B176)))/C176)/100))),0,(IF(B176=C176,AB176/C176,(INT(AB176/B176)+(((AB176-B176*INT(AB176/B176)))/C176)/100))))</f>
        <v>0</v>
      </c>
      <c r="BN176" s="57">
        <f>IF(ISERROR(IF(B176=C176,AC176/C176,(INT(AC176/B176)+(((AC176-B176*INT(AC176/B176)))/C176)/100))),0,(IF(B176=C176,AC176/C176,(INT(AC176/B176)+(((AC176-B176*INT(AC176/B176)))/C176)/100))))</f>
        <v>0</v>
      </c>
      <c r="BO176" s="57">
        <f>IF(ISERROR(IF(B176=C176,AD176/C176,(INT(AD176/B176)+(((AD176-B176*INT(AD176/B176)))/C176)/100))),0,(IF(B176=C176,AD176/C176,(INT(AD176/B176)+(((AD176-B176*INT(AD176/B176)))/C176)/100))))</f>
        <v>0</v>
      </c>
      <c r="BQ176" s="155"/>
    </row>
    <row r="177" spans="1:69" hidden="1" x14ac:dyDescent="0.35">
      <c r="A177" s="94"/>
      <c r="B177" s="113">
        <v>0</v>
      </c>
      <c r="C177" s="113">
        <v>0</v>
      </c>
      <c r="D177" s="28">
        <f>SUM(AA177:AD177)</f>
        <v>0</v>
      </c>
      <c r="E177" s="113">
        <v>0</v>
      </c>
      <c r="F177" s="113">
        <v>0</v>
      </c>
      <c r="G177" s="28">
        <f>SUM(D177:F177)</f>
        <v>0</v>
      </c>
      <c r="H177" s="125">
        <v>0</v>
      </c>
      <c r="I177" s="113">
        <v>0</v>
      </c>
      <c r="J177" s="125">
        <v>0</v>
      </c>
      <c r="K177" s="113">
        <v>0</v>
      </c>
      <c r="L177" s="113">
        <v>0</v>
      </c>
      <c r="M177" s="113">
        <v>0</v>
      </c>
      <c r="N177" s="28">
        <f>G177-SUM(H177:M177)</f>
        <v>0</v>
      </c>
      <c r="O177" s="28">
        <f>SUM(V177:Y177)</f>
        <v>0</v>
      </c>
      <c r="P177" s="28">
        <f>O177-N177</f>
        <v>0</v>
      </c>
      <c r="Q177" s="61" t="str">
        <f>IF(ISERROR(P177/SUM(H177:L177)),"",P177/SUM(H177:L177))</f>
        <v/>
      </c>
      <c r="R177" s="113">
        <v>0</v>
      </c>
      <c r="S177" s="28">
        <f>IF(ISERROR(P177/C177*R177),0,(P177/C177*R177))</f>
        <v>0</v>
      </c>
      <c r="T177" s="60">
        <f>IF(ISERROR(P177/B177*AF177),0,(P177/B177*AF177))</f>
        <v>0</v>
      </c>
      <c r="V177" s="113">
        <v>0</v>
      </c>
      <c r="W177" s="113">
        <v>0</v>
      </c>
      <c r="X177" s="113">
        <v>0</v>
      </c>
      <c r="Y177" s="113">
        <v>0</v>
      </c>
      <c r="AA177" s="113">
        <v>0</v>
      </c>
      <c r="AB177" s="113">
        <v>0</v>
      </c>
      <c r="AC177" s="113">
        <v>0</v>
      </c>
      <c r="AD177" s="113">
        <v>0</v>
      </c>
      <c r="AF177" s="113">
        <v>0</v>
      </c>
      <c r="AG177" s="28">
        <f>G177-O177</f>
        <v>0</v>
      </c>
      <c r="AH177" s="58">
        <f>IF(ISERROR(AG177/B177*AF177),0,(AG177/B177*AF177))</f>
        <v>0</v>
      </c>
      <c r="AI177" s="28">
        <f>SUM(H177:M177)</f>
        <v>0</v>
      </c>
      <c r="AJ177" s="28">
        <f>IF(ISERROR(AI177/B177*AF177),0,(AI177/B177*AF177))</f>
        <v>0</v>
      </c>
      <c r="AK177" s="58">
        <f>IF(ISERROR(O177/B177*AF177),0,(O177/B177*AF177))</f>
        <v>0</v>
      </c>
      <c r="AL177" s="28">
        <f>IF(ISERROR(H177/B177*AF177),0,(H177/B177*AF177))</f>
        <v>0</v>
      </c>
      <c r="AN177" s="51">
        <f>A177</f>
        <v>0</v>
      </c>
      <c r="AO177" s="57">
        <f>IF(ISERROR(IF(B177=C177,D177/C177,(INT(D177/B177)+(((D177-B177*INT(D177/B177)))/C177)/100))),0,(IF(B177=C177,D177/C177,(INT(D177/B177)+(((D177-B177*INT(D177/B177)))/C177)/100))))</f>
        <v>0</v>
      </c>
      <c r="AP177" s="57">
        <f>IF(ISERROR(IF(B177=C177,E177/C177,(INT(E177/B177)+(((E177-B177*INT(E177/B177)))/C177)/100))),0,(IF(B177=C177,E177/C177,(INT(E177/B177)+(((E177-B177*INT(E177/B177)))/C177)/100))))</f>
        <v>0</v>
      </c>
      <c r="AQ177" s="57">
        <f>IF(ISERROR(IF(B177=C177,F177/C177,IF((INT(F177/B177)+(((F177-B177*INT(F177/B177)))/C177)/100)&lt;0,(INT(F177/B177)+(((F177-B177*INT(F177/B177)))/C177)/100)+(1-(B177/C177/100)),(INT(F177/B177)+(((F177-B177*INT(F177/B177)))/C177)/100)))),0,IF(B177=C177,F177/C177,IF((INT(F177/B177)+(((F177-B177*INT(F177/B177)))/C177)/100)&lt;0,(INT(F177/B177)+(((F177-B177*INT(F177/B177)))/C177)/100)+(1-(B177/C177/100)),(INT(F177/B177)+(((F177-B177*INT(F177/B177)))/C177)/100))))</f>
        <v>0</v>
      </c>
      <c r="AR177" s="57">
        <f>IF(ISERROR(IF(B177=C177,G177/C177,(INT(G177/B177)+(((G177-B177*INT(G177/B177)))/C177)/100))),0,(IF(B177=C177,G177/C177,(INT(G177/B177)+(((G177-B177*INT(G177/B177)))/C177)/100))))</f>
        <v>0</v>
      </c>
      <c r="AS177" s="57">
        <f>IF(ISERROR(IF(B177=C177,H177/C177,(INT(H177/B177)+(((H177-B177*INT(H177/B177)))/C177)/100))),0,(IF(B177=C177,H177/C177,(INT(H177/B177)+(((H177-B177*INT(H177/B177)))/C177)/100))))</f>
        <v>0</v>
      </c>
      <c r="AT177" s="57">
        <f>IF(ISERROR(IF(B177=C177,I177/C177,(INT(I177/B177)+(((I177-B177*INT(I177/B177)))/C177)/100))),0,(IF(B177=C177,I177/C177,(INT(I177/B177)+(((I177-B177*INT(I177/B177)))/C177)/100))))</f>
        <v>0</v>
      </c>
      <c r="AU177" s="57">
        <f>IF(ISERROR(IF(B177=C177,J177/C177,(INT(J177/B177)+(((J177-B177*INT(J177/B177)))/C177)/100))),0,(IF(B177=C177,J177/C177,(INT(J177/B177)+(((J177-B177*INT(J177/B177)))/C177)/100))))</f>
        <v>0</v>
      </c>
      <c r="AV177" s="57">
        <f>IF(ISERROR(IF(B177=C177,K177/C177,IF((INT(K177/B177)+(((K177-B177*INT(K177/B177)))/C177)/100)&lt;0,(INT(K177/B177)+(((K177-B177*INT(K177/B177)))/C177)/100)+(1-(B177/C177/100)),(INT(K177/B177)+(((K177-B177*INT(K177/B177)))/C177)/100)))),0,IF(B177=C177,K177/C177,IF((INT(K177/B177)+(((K177-B177*INT(K177/B177)))/C177)/100)&lt;0,(INT(K177/B177)+(((K177-B177*INT(K177/B177)))/C177)/100)+(1-(B177/C177/100)),(INT(K177/B177)+(((K177-B177*INT(K177/B177)))/C177)/100))))</f>
        <v>0</v>
      </c>
      <c r="AW177" s="57">
        <f>IF(ISERROR(IF(B177=C177,L177/C177,(INT(L177/B177)+(((L177-B177*INT(L177/B177)))/C177)/100))),0,(IF(B177=C177,L177/C177,(INT(L177/B177)+(((L177-B177*INT(L177/B177)))/C177)/100))))</f>
        <v>0</v>
      </c>
      <c r="AX177" s="57">
        <f>IF(ISERROR(IF(B177=C177,M177/C177,(INT(M177/B177)+(((M177-B177*INT(M177/B177)))/C177)/100))),0,(IF(B177=C177,M177/C177,(INT(M177/B177)+(((M177-B177*INT(M177/B177)))/C177)/100))))</f>
        <v>0</v>
      </c>
      <c r="AY177" s="57">
        <f>IF(ISERROR(IF(B177=C177,N177/C177,IF((INT(N177/B177)+(((N177-B177*INT(N177/B177)))/C177)/100)&lt;0,(INT(N177/B177)+(((N177-B177*INT(N177/B177)))/C177)/100)+(1-(B177/C177/100)),(INT(N177/B177)+(((N177-B177*INT(N177/B177)))/C177)/100)))),0,IF(B177=C177,N177/C177,IF((INT(N177/B177)+(((N177-B177*INT(N177/B177)))/C177)/100)&lt;0,(INT(N177/B177)+(((N177-B177*INT(N177/B177)))/C177)/100)+(1-(B177/C177/100)),(INT(N177/B177)+(((N177-B177*INT(N177/B177)))/C177)/100))))</f>
        <v>0</v>
      </c>
      <c r="AZ177" s="57">
        <f>IF(ISERROR(IF(B177=C177,O177/C177,(INT(O177/B177)+(((O177-B177*INT(O177/B177)))/C177)/100))),0,(IF(B177=C177,O177/C177,(INT(O177/B177)+(((O177-B177*INT(O177/B177)))/C177)/100))))</f>
        <v>0</v>
      </c>
      <c r="BA177" s="57">
        <f>IF(ISERROR(IF(B177=C177,P177/C177,IF((INT(P177/B177)+(((P177-B177*INT(P177/B177)))/C177)/100)&lt;0,(INT(P177/B177)+(((P177-B177*INT(P177/B177)))/C177)/100)+(1-(B177/C177/100)),(INT(P177/B177)+(((P177-B177*INT(P177/B177)))/C177)/100)))),0,IF(B177=C177,P177/C177,IF((INT(P177/B177)+(((P177-B177*INT(P177/B177)))/C177)/100)&lt;0,(INT(P177/B177)+(((P177-B177*INT(P177/B177)))/C177)/100)+(1-(B177/C177/100)),(INT(P177/B177)+(((P177-B177*INT(P177/B177)))/C177)/100))))</f>
        <v>0</v>
      </c>
      <c r="BB177" s="28">
        <f>R177</f>
        <v>0</v>
      </c>
      <c r="BC177" s="28">
        <f>S177</f>
        <v>0</v>
      </c>
      <c r="BD177" s="28">
        <f>AF177</f>
        <v>0</v>
      </c>
      <c r="BE177" s="28">
        <f>T177</f>
        <v>0</v>
      </c>
      <c r="BG177" s="57">
        <f>IF(ISERROR(IF(B177=C177,V177/C177,(INT(V177/B177)+(((V177-B177*INT(V177/B177)))/C177)/100))),0,(IF(B177=C177,V177/C177,(INT(V177/B177)+(((V177-B177*INT(V177/B177)))/C177)/100))))</f>
        <v>0</v>
      </c>
      <c r="BH177" s="57">
        <f>IF(ISERROR(IF(B177=C177,W177/C177,(INT(W177/B177)+(((W177-B177*INT(W177/B177)))/C177)/100))),0,(IF(B177=C177,W177/C177,(INT(W177/B177)+(((W177-B177*INT(W177/B177)))/C177)/100))))</f>
        <v>0</v>
      </c>
      <c r="BI177" s="57">
        <f>IF(ISERROR(IF(B177=C177,X177/C177,(INT(X177/B177)+(((X177-B177*INT(X177/B177)))/C177)/100))),0,(IF(B177=C177,X177/C177,(INT(X177/B177)+(((X177-B177*INT(X177/B177)))/C177)/100))))</f>
        <v>0</v>
      </c>
      <c r="BJ177" s="57">
        <f>IF(ISERROR(IF(B177=C177,Y177/C177,(INT(Y177/B177)+(((Y177-B177*INT(Y177/B177)))/C177)/100))),0,(IF(B177=C177,Y177/C177,(INT(Y177/B177)+(((Y177-B177*INT(Y177/B177)))/C177)/100))))</f>
        <v>0</v>
      </c>
      <c r="BL177" s="57">
        <f>IF(ISERROR(IF(B177=C177,AA177/C177,(INT(AA177/B177)+(((AA177-B177*INT(AA177/B177)))/C177)/100))),0,(IF(B177=C177,AA177/C177,(INT(AA177/B177)+(((AA177-B177*INT(AA177/B177)))/C177)/100))))</f>
        <v>0</v>
      </c>
      <c r="BM177" s="57">
        <f>IF(ISERROR(IF(B177=C177,AB177/C177,(INT(AB177/B177)+(((AB177-B177*INT(AB177/B177)))/C177)/100))),0,(IF(B177=C177,AB177/C177,(INT(AB177/B177)+(((AB177-B177*INT(AB177/B177)))/C177)/100))))</f>
        <v>0</v>
      </c>
      <c r="BN177" s="57">
        <f>IF(ISERROR(IF(B177=C177,AC177/C177,(INT(AC177/B177)+(((AC177-B177*INT(AC177/B177)))/C177)/100))),0,(IF(B177=C177,AC177/C177,(INT(AC177/B177)+(((AC177-B177*INT(AC177/B177)))/C177)/100))))</f>
        <v>0</v>
      </c>
      <c r="BO177" s="57">
        <f>IF(ISERROR(IF(B177=C177,AD177/C177,(INT(AD177/B177)+(((AD177-B177*INT(AD177/B177)))/C177)/100))),0,(IF(B177=C177,AD177/C177,(INT(AD177/B177)+(((AD177-B177*INT(AD177/B177)))/C177)/100))))</f>
        <v>0</v>
      </c>
      <c r="BQ177" s="155"/>
    </row>
    <row r="178" spans="1:69" hidden="1" x14ac:dyDescent="0.35">
      <c r="A178" s="94"/>
      <c r="B178" s="113">
        <v>0</v>
      </c>
      <c r="C178" s="113">
        <v>0</v>
      </c>
      <c r="D178" s="28">
        <f>SUM(AA178:AD178)</f>
        <v>0</v>
      </c>
      <c r="E178" s="113">
        <v>0</v>
      </c>
      <c r="F178" s="113">
        <v>0</v>
      </c>
      <c r="G178" s="28">
        <f>SUM(D178:F178)</f>
        <v>0</v>
      </c>
      <c r="H178" s="125">
        <v>0</v>
      </c>
      <c r="I178" s="113">
        <v>0</v>
      </c>
      <c r="J178" s="125">
        <v>0</v>
      </c>
      <c r="K178" s="113">
        <v>0</v>
      </c>
      <c r="L178" s="113">
        <v>0</v>
      </c>
      <c r="M178" s="113">
        <v>0</v>
      </c>
      <c r="N178" s="28">
        <f>G178-SUM(H178:M178)</f>
        <v>0</v>
      </c>
      <c r="O178" s="28">
        <f>SUM(V178:Y178)</f>
        <v>0</v>
      </c>
      <c r="P178" s="28">
        <f>O178-N178</f>
        <v>0</v>
      </c>
      <c r="Q178" s="61" t="str">
        <f>IF(ISERROR(P178/SUM(H178:L178)),"",P178/SUM(H178:L178))</f>
        <v/>
      </c>
      <c r="R178" s="113">
        <v>0</v>
      </c>
      <c r="S178" s="28">
        <f>IF(ISERROR(P178/C178*R178),0,(P178/C178*R178))</f>
        <v>0</v>
      </c>
      <c r="T178" s="60">
        <f>IF(ISERROR(P178/B178*AF178),0,(P178/B178*AF178))</f>
        <v>0</v>
      </c>
      <c r="V178" s="113">
        <v>0</v>
      </c>
      <c r="W178" s="113">
        <v>0</v>
      </c>
      <c r="X178" s="113">
        <v>0</v>
      </c>
      <c r="Y178" s="113">
        <v>0</v>
      </c>
      <c r="AA178" s="113">
        <v>0</v>
      </c>
      <c r="AB178" s="113">
        <v>0</v>
      </c>
      <c r="AC178" s="113">
        <v>0</v>
      </c>
      <c r="AD178" s="113">
        <v>0</v>
      </c>
      <c r="AF178" s="113">
        <v>0</v>
      </c>
      <c r="AG178" s="28">
        <f>G178-O178</f>
        <v>0</v>
      </c>
      <c r="AH178" s="58">
        <f>IF(ISERROR(AG178/B178*AF178),0,(AG178/B178*AF178))</f>
        <v>0</v>
      </c>
      <c r="AI178" s="28">
        <f>SUM(H178:M178)</f>
        <v>0</v>
      </c>
      <c r="AJ178" s="28">
        <f>IF(ISERROR(AI178/B178*AF178),0,(AI178/B178*AF178))</f>
        <v>0</v>
      </c>
      <c r="AK178" s="58">
        <f>IF(ISERROR(O178/B178*AF178),0,(O178/B178*AF178))</f>
        <v>0</v>
      </c>
      <c r="AL178" s="28">
        <f>IF(ISERROR(H178/B178*AF178),0,(H178/B178*AF178))</f>
        <v>0</v>
      </c>
      <c r="AN178" s="51">
        <f>A178</f>
        <v>0</v>
      </c>
      <c r="AO178" s="57">
        <f>IF(ISERROR(IF(B178=C178,D178/C178,(INT(D178/B178)+(((D178-B178*INT(D178/B178)))/C178)/100))),0,(IF(B178=C178,D178/C178,(INT(D178/B178)+(((D178-B178*INT(D178/B178)))/C178)/100))))</f>
        <v>0</v>
      </c>
      <c r="AP178" s="57">
        <f>IF(ISERROR(IF(B178=C178,E178/C178,(INT(E178/B178)+(((E178-B178*INT(E178/B178)))/C178)/100))),0,(IF(B178=C178,E178/C178,(INT(E178/B178)+(((E178-B178*INT(E178/B178)))/C178)/100))))</f>
        <v>0</v>
      </c>
      <c r="AQ178" s="57">
        <f>IF(ISERROR(IF(B178=C178,F178/C178,IF((INT(F178/B178)+(((F178-B178*INT(F178/B178)))/C178)/100)&lt;0,(INT(F178/B178)+(((F178-B178*INT(F178/B178)))/C178)/100)+(1-(B178/C178/100)),(INT(F178/B178)+(((F178-B178*INT(F178/B178)))/C178)/100)))),0,IF(B178=C178,F178/C178,IF((INT(F178/B178)+(((F178-B178*INT(F178/B178)))/C178)/100)&lt;0,(INT(F178/B178)+(((F178-B178*INT(F178/B178)))/C178)/100)+(1-(B178/C178/100)),(INT(F178/B178)+(((F178-B178*INT(F178/B178)))/C178)/100))))</f>
        <v>0</v>
      </c>
      <c r="AR178" s="57">
        <f>IF(ISERROR(IF(B178=C178,G178/C178,(INT(G178/B178)+(((G178-B178*INT(G178/B178)))/C178)/100))),0,(IF(B178=C178,G178/C178,(INT(G178/B178)+(((G178-B178*INT(G178/B178)))/C178)/100))))</f>
        <v>0</v>
      </c>
      <c r="AS178" s="57">
        <f>IF(ISERROR(IF(B178=C178,H178/C178,(INT(H178/B178)+(((H178-B178*INT(H178/B178)))/C178)/100))),0,(IF(B178=C178,H178/C178,(INT(H178/B178)+(((H178-B178*INT(H178/B178)))/C178)/100))))</f>
        <v>0</v>
      </c>
      <c r="AT178" s="57">
        <f>IF(ISERROR(IF(B178=C178,I178/C178,(INT(I178/B178)+(((I178-B178*INT(I178/B178)))/C178)/100))),0,(IF(B178=C178,I178/C178,(INT(I178/B178)+(((I178-B178*INT(I178/B178)))/C178)/100))))</f>
        <v>0</v>
      </c>
      <c r="AU178" s="57">
        <f>IF(ISERROR(IF(B178=C178,J178/C178,(INT(J178/B178)+(((J178-B178*INT(J178/B178)))/C178)/100))),0,(IF(B178=C178,J178/C178,(INT(J178/B178)+(((J178-B178*INT(J178/B178)))/C178)/100))))</f>
        <v>0</v>
      </c>
      <c r="AV178" s="57">
        <f>IF(ISERROR(IF(B178=C178,K178/C178,IF((INT(K178/B178)+(((K178-B178*INT(K178/B178)))/C178)/100)&lt;0,(INT(K178/B178)+(((K178-B178*INT(K178/B178)))/C178)/100)+(1-(B178/C178/100)),(INT(K178/B178)+(((K178-B178*INT(K178/B178)))/C178)/100)))),0,IF(B178=C178,K178/C178,IF((INT(K178/B178)+(((K178-B178*INT(K178/B178)))/C178)/100)&lt;0,(INT(K178/B178)+(((K178-B178*INT(K178/B178)))/C178)/100)+(1-(B178/C178/100)),(INT(K178/B178)+(((K178-B178*INT(K178/B178)))/C178)/100))))</f>
        <v>0</v>
      </c>
      <c r="AW178" s="57">
        <f>IF(ISERROR(IF(B178=C178,L178/C178,(INT(L178/B178)+(((L178-B178*INT(L178/B178)))/C178)/100))),0,(IF(B178=C178,L178/C178,(INT(L178/B178)+(((L178-B178*INT(L178/B178)))/C178)/100))))</f>
        <v>0</v>
      </c>
      <c r="AX178" s="57">
        <f>IF(ISERROR(IF(B178=C178,M178/C178,(INT(M178/B178)+(((M178-B178*INT(M178/B178)))/C178)/100))),0,(IF(B178=C178,M178/C178,(INT(M178/B178)+(((M178-B178*INT(M178/B178)))/C178)/100))))</f>
        <v>0</v>
      </c>
      <c r="AY178" s="57">
        <f>IF(ISERROR(IF(B178=C178,N178/C178,IF((INT(N178/B178)+(((N178-B178*INT(N178/B178)))/C178)/100)&lt;0,(INT(N178/B178)+(((N178-B178*INT(N178/B178)))/C178)/100)+(1-(B178/C178/100)),(INT(N178/B178)+(((N178-B178*INT(N178/B178)))/C178)/100)))),0,IF(B178=C178,N178/C178,IF((INT(N178/B178)+(((N178-B178*INT(N178/B178)))/C178)/100)&lt;0,(INT(N178/B178)+(((N178-B178*INT(N178/B178)))/C178)/100)+(1-(B178/C178/100)),(INT(N178/B178)+(((N178-B178*INT(N178/B178)))/C178)/100))))</f>
        <v>0</v>
      </c>
      <c r="AZ178" s="57">
        <f>IF(ISERROR(IF(B178=C178,O178/C178,(INT(O178/B178)+(((O178-B178*INT(O178/B178)))/C178)/100))),0,(IF(B178=C178,O178/C178,(INT(O178/B178)+(((O178-B178*INT(O178/B178)))/C178)/100))))</f>
        <v>0</v>
      </c>
      <c r="BA178" s="57">
        <f>IF(ISERROR(IF(B178=C178,P178/C178,IF((INT(P178/B178)+(((P178-B178*INT(P178/B178)))/C178)/100)&lt;0,(INT(P178/B178)+(((P178-B178*INT(P178/B178)))/C178)/100)+(1-(B178/C178/100)),(INT(P178/B178)+(((P178-B178*INT(P178/B178)))/C178)/100)))),0,IF(B178=C178,P178/C178,IF((INT(P178/B178)+(((P178-B178*INT(P178/B178)))/C178)/100)&lt;0,(INT(P178/B178)+(((P178-B178*INT(P178/B178)))/C178)/100)+(1-(B178/C178/100)),(INT(P178/B178)+(((P178-B178*INT(P178/B178)))/C178)/100))))</f>
        <v>0</v>
      </c>
      <c r="BB178" s="28">
        <f>R178</f>
        <v>0</v>
      </c>
      <c r="BC178" s="28">
        <f>S178</f>
        <v>0</v>
      </c>
      <c r="BD178" s="28">
        <f>AF178</f>
        <v>0</v>
      </c>
      <c r="BE178" s="28">
        <f>T178</f>
        <v>0</v>
      </c>
      <c r="BG178" s="57">
        <f>IF(ISERROR(IF(B178=C178,V178/C178,(INT(V178/B178)+(((V178-B178*INT(V178/B178)))/C178)/100))),0,(IF(B178=C178,V178/C178,(INT(V178/B178)+(((V178-B178*INT(V178/B178)))/C178)/100))))</f>
        <v>0</v>
      </c>
      <c r="BH178" s="57">
        <f>IF(ISERROR(IF(B178=C178,W178/C178,(INT(W178/B178)+(((W178-B178*INT(W178/B178)))/C178)/100))),0,(IF(B178=C178,W178/C178,(INT(W178/B178)+(((W178-B178*INT(W178/B178)))/C178)/100))))</f>
        <v>0</v>
      </c>
      <c r="BI178" s="57">
        <f>IF(ISERROR(IF(B178=C178,X178/C178,(INT(X178/B178)+(((X178-B178*INT(X178/B178)))/C178)/100))),0,(IF(B178=C178,X178/C178,(INT(X178/B178)+(((X178-B178*INT(X178/B178)))/C178)/100))))</f>
        <v>0</v>
      </c>
      <c r="BJ178" s="57">
        <f>IF(ISERROR(IF(B178=C178,Y178/C178,(INT(Y178/B178)+(((Y178-B178*INT(Y178/B178)))/C178)/100))),0,(IF(B178=C178,Y178/C178,(INT(Y178/B178)+(((Y178-B178*INT(Y178/B178)))/C178)/100))))</f>
        <v>0</v>
      </c>
      <c r="BL178" s="57">
        <f>IF(ISERROR(IF(B178=C178,AA178/C178,(INT(AA178/B178)+(((AA178-B178*INT(AA178/B178)))/C178)/100))),0,(IF(B178=C178,AA178/C178,(INT(AA178/B178)+(((AA178-B178*INT(AA178/B178)))/C178)/100))))</f>
        <v>0</v>
      </c>
      <c r="BM178" s="57">
        <f>IF(ISERROR(IF(B178=C178,AB178/C178,(INT(AB178/B178)+(((AB178-B178*INT(AB178/B178)))/C178)/100))),0,(IF(B178=C178,AB178/C178,(INT(AB178/B178)+(((AB178-B178*INT(AB178/B178)))/C178)/100))))</f>
        <v>0</v>
      </c>
      <c r="BN178" s="57">
        <f>IF(ISERROR(IF(B178=C178,AC178/C178,(INT(AC178/B178)+(((AC178-B178*INT(AC178/B178)))/C178)/100))),0,(IF(B178=C178,AC178/C178,(INT(AC178/B178)+(((AC178-B178*INT(AC178/B178)))/C178)/100))))</f>
        <v>0</v>
      </c>
      <c r="BO178" s="57">
        <f>IF(ISERROR(IF(B178=C178,AD178/C178,(INT(AD178/B178)+(((AD178-B178*INT(AD178/B178)))/C178)/100))),0,(IF(B178=C178,AD178/C178,(INT(AD178/B178)+(((AD178-B178*INT(AD178/B178)))/C178)/100))))</f>
        <v>0</v>
      </c>
      <c r="BQ178" s="155"/>
    </row>
    <row r="179" spans="1:69" hidden="1" x14ac:dyDescent="0.35">
      <c r="A179" s="94"/>
      <c r="B179" s="113">
        <v>0</v>
      </c>
      <c r="C179" s="113">
        <v>0</v>
      </c>
      <c r="D179" s="28">
        <f>SUM(AA179:AD179)</f>
        <v>0</v>
      </c>
      <c r="E179" s="113">
        <v>0</v>
      </c>
      <c r="F179" s="113">
        <v>0</v>
      </c>
      <c r="G179" s="28">
        <f>SUM(D179:F179)</f>
        <v>0</v>
      </c>
      <c r="H179" s="125">
        <v>0</v>
      </c>
      <c r="I179" s="113">
        <v>0</v>
      </c>
      <c r="J179" s="125">
        <v>0</v>
      </c>
      <c r="K179" s="113">
        <v>0</v>
      </c>
      <c r="L179" s="113">
        <v>0</v>
      </c>
      <c r="M179" s="113">
        <v>0</v>
      </c>
      <c r="N179" s="28">
        <f>G179-SUM(H179:M179)</f>
        <v>0</v>
      </c>
      <c r="O179" s="28">
        <f>SUM(V179:Y179)</f>
        <v>0</v>
      </c>
      <c r="P179" s="28">
        <f>O179-N179</f>
        <v>0</v>
      </c>
      <c r="Q179" s="61" t="str">
        <f>IF(ISERROR(P179/SUM(H179:L179)),"",P179/SUM(H179:L179))</f>
        <v/>
      </c>
      <c r="R179" s="113">
        <v>0</v>
      </c>
      <c r="S179" s="28">
        <f>IF(ISERROR(P179/C179*R179),0,(P179/C179*R179))</f>
        <v>0</v>
      </c>
      <c r="T179" s="60">
        <f>IF(ISERROR(P179/B179*AF179),0,(P179/B179*AF179))</f>
        <v>0</v>
      </c>
      <c r="V179" s="113">
        <v>0</v>
      </c>
      <c r="W179" s="113">
        <v>0</v>
      </c>
      <c r="X179" s="113">
        <v>0</v>
      </c>
      <c r="Y179" s="113">
        <v>0</v>
      </c>
      <c r="AA179" s="113">
        <v>0</v>
      </c>
      <c r="AB179" s="113">
        <v>0</v>
      </c>
      <c r="AC179" s="113">
        <v>0</v>
      </c>
      <c r="AD179" s="113">
        <v>0</v>
      </c>
      <c r="AF179" s="113">
        <v>0</v>
      </c>
      <c r="AG179" s="28">
        <f>G179-O179</f>
        <v>0</v>
      </c>
      <c r="AH179" s="58">
        <f>IF(ISERROR(AG179/B179*AF179),0,(AG179/B179*AF179))</f>
        <v>0</v>
      </c>
      <c r="AI179" s="28">
        <f>SUM(H179:M179)</f>
        <v>0</v>
      </c>
      <c r="AJ179" s="28">
        <f>IF(ISERROR(AI179/B179*AF179),0,(AI179/B179*AF179))</f>
        <v>0</v>
      </c>
      <c r="AK179" s="58">
        <f>IF(ISERROR(O179/B179*AF179),0,(O179/B179*AF179))</f>
        <v>0</v>
      </c>
      <c r="AL179" s="28">
        <f>IF(ISERROR(H179/B179*AF179),0,(H179/B179*AF179))</f>
        <v>0</v>
      </c>
      <c r="AN179" s="51">
        <f>A179</f>
        <v>0</v>
      </c>
      <c r="AO179" s="57">
        <f>IF(ISERROR(IF(B179=C179,D179/C179,(INT(D179/B179)+(((D179-B179*INT(D179/B179)))/C179)/100))),0,(IF(B179=C179,D179/C179,(INT(D179/B179)+(((D179-B179*INT(D179/B179)))/C179)/100))))</f>
        <v>0</v>
      </c>
      <c r="AP179" s="57">
        <f>IF(ISERROR(IF(B179=C179,E179/C179,(INT(E179/B179)+(((E179-B179*INT(E179/B179)))/C179)/100))),0,(IF(B179=C179,E179/C179,(INT(E179/B179)+(((E179-B179*INT(E179/B179)))/C179)/100))))</f>
        <v>0</v>
      </c>
      <c r="AQ179" s="57">
        <f>IF(ISERROR(IF(B179=C179,F179/C179,IF((INT(F179/B179)+(((F179-B179*INT(F179/B179)))/C179)/100)&lt;0,(INT(F179/B179)+(((F179-B179*INT(F179/B179)))/C179)/100)+(1-(B179/C179/100)),(INT(F179/B179)+(((F179-B179*INT(F179/B179)))/C179)/100)))),0,IF(B179=C179,F179/C179,IF((INT(F179/B179)+(((F179-B179*INT(F179/B179)))/C179)/100)&lt;0,(INT(F179/B179)+(((F179-B179*INT(F179/B179)))/C179)/100)+(1-(B179/C179/100)),(INT(F179/B179)+(((F179-B179*INT(F179/B179)))/C179)/100))))</f>
        <v>0</v>
      </c>
      <c r="AR179" s="57">
        <f>IF(ISERROR(IF(B179=C179,G179/C179,(INT(G179/B179)+(((G179-B179*INT(G179/B179)))/C179)/100))),0,(IF(B179=C179,G179/C179,(INT(G179/B179)+(((G179-B179*INT(G179/B179)))/C179)/100))))</f>
        <v>0</v>
      </c>
      <c r="AS179" s="57">
        <f>IF(ISERROR(IF(B179=C179,H179/C179,(INT(H179/B179)+(((H179-B179*INT(H179/B179)))/C179)/100))),0,(IF(B179=C179,H179/C179,(INT(H179/B179)+(((H179-B179*INT(H179/B179)))/C179)/100))))</f>
        <v>0</v>
      </c>
      <c r="AT179" s="57">
        <f>IF(ISERROR(IF(B179=C179,I179/C179,(INT(I179/B179)+(((I179-B179*INT(I179/B179)))/C179)/100))),0,(IF(B179=C179,I179/C179,(INT(I179/B179)+(((I179-B179*INT(I179/B179)))/C179)/100))))</f>
        <v>0</v>
      </c>
      <c r="AU179" s="57">
        <f>IF(ISERROR(IF(B179=C179,J179/C179,(INT(J179/B179)+(((J179-B179*INT(J179/B179)))/C179)/100))),0,(IF(B179=C179,J179/C179,(INT(J179/B179)+(((J179-B179*INT(J179/B179)))/C179)/100))))</f>
        <v>0</v>
      </c>
      <c r="AV179" s="57">
        <f>IF(ISERROR(IF(B179=C179,K179/C179,IF((INT(K179/B179)+(((K179-B179*INT(K179/B179)))/C179)/100)&lt;0,(INT(K179/B179)+(((K179-B179*INT(K179/B179)))/C179)/100)+(1-(B179/C179/100)),(INT(K179/B179)+(((K179-B179*INT(K179/B179)))/C179)/100)))),0,IF(B179=C179,K179/C179,IF((INT(K179/B179)+(((K179-B179*INT(K179/B179)))/C179)/100)&lt;0,(INT(K179/B179)+(((K179-B179*INT(K179/B179)))/C179)/100)+(1-(B179/C179/100)),(INT(K179/B179)+(((K179-B179*INT(K179/B179)))/C179)/100))))</f>
        <v>0</v>
      </c>
      <c r="AW179" s="57">
        <f>IF(ISERROR(IF(B179=C179,L179/C179,(INT(L179/B179)+(((L179-B179*INT(L179/B179)))/C179)/100))),0,(IF(B179=C179,L179/C179,(INT(L179/B179)+(((L179-B179*INT(L179/B179)))/C179)/100))))</f>
        <v>0</v>
      </c>
      <c r="AX179" s="57">
        <f>IF(ISERROR(IF(B179=C179,M179/C179,(INT(M179/B179)+(((M179-B179*INT(M179/B179)))/C179)/100))),0,(IF(B179=C179,M179/C179,(INT(M179/B179)+(((M179-B179*INT(M179/B179)))/C179)/100))))</f>
        <v>0</v>
      </c>
      <c r="AY179" s="57">
        <f>IF(ISERROR(IF(B179=C179,N179/C179,IF((INT(N179/B179)+(((N179-B179*INT(N179/B179)))/C179)/100)&lt;0,(INT(N179/B179)+(((N179-B179*INT(N179/B179)))/C179)/100)+(1-(B179/C179/100)),(INT(N179/B179)+(((N179-B179*INT(N179/B179)))/C179)/100)))),0,IF(B179=C179,N179/C179,IF((INT(N179/B179)+(((N179-B179*INT(N179/B179)))/C179)/100)&lt;0,(INT(N179/B179)+(((N179-B179*INT(N179/B179)))/C179)/100)+(1-(B179/C179/100)),(INT(N179/B179)+(((N179-B179*INT(N179/B179)))/C179)/100))))</f>
        <v>0</v>
      </c>
      <c r="AZ179" s="57">
        <f>IF(ISERROR(IF(B179=C179,O179/C179,(INT(O179/B179)+(((O179-B179*INT(O179/B179)))/C179)/100))),0,(IF(B179=C179,O179/C179,(INT(O179/B179)+(((O179-B179*INT(O179/B179)))/C179)/100))))</f>
        <v>0</v>
      </c>
      <c r="BA179" s="57">
        <f>IF(ISERROR(IF(B179=C179,P179/C179,IF((INT(P179/B179)+(((P179-B179*INT(P179/B179)))/C179)/100)&lt;0,(INT(P179/B179)+(((P179-B179*INT(P179/B179)))/C179)/100)+(1-(B179/C179/100)),(INT(P179/B179)+(((P179-B179*INT(P179/B179)))/C179)/100)))),0,IF(B179=C179,P179/C179,IF((INT(P179/B179)+(((P179-B179*INT(P179/B179)))/C179)/100)&lt;0,(INT(P179/B179)+(((P179-B179*INT(P179/B179)))/C179)/100)+(1-(B179/C179/100)),(INT(P179/B179)+(((P179-B179*INT(P179/B179)))/C179)/100))))</f>
        <v>0</v>
      </c>
      <c r="BB179" s="28">
        <f>R179</f>
        <v>0</v>
      </c>
      <c r="BC179" s="28">
        <f>S179</f>
        <v>0</v>
      </c>
      <c r="BD179" s="28">
        <f>AF179</f>
        <v>0</v>
      </c>
      <c r="BE179" s="28">
        <f>T179</f>
        <v>0</v>
      </c>
      <c r="BG179" s="57">
        <f>IF(ISERROR(IF(B179=C179,V179/C179,(INT(V179/B179)+(((V179-B179*INT(V179/B179)))/C179)/100))),0,(IF(B179=C179,V179/C179,(INT(V179/B179)+(((V179-B179*INT(V179/B179)))/C179)/100))))</f>
        <v>0</v>
      </c>
      <c r="BH179" s="57">
        <f>IF(ISERROR(IF(B179=C179,W179/C179,(INT(W179/B179)+(((W179-B179*INT(W179/B179)))/C179)/100))),0,(IF(B179=C179,W179/C179,(INT(W179/B179)+(((W179-B179*INT(W179/B179)))/C179)/100))))</f>
        <v>0</v>
      </c>
      <c r="BI179" s="57">
        <f>IF(ISERROR(IF(B179=C179,X179/C179,(INT(X179/B179)+(((X179-B179*INT(X179/B179)))/C179)/100))),0,(IF(B179=C179,X179/C179,(INT(X179/B179)+(((X179-B179*INT(X179/B179)))/C179)/100))))</f>
        <v>0</v>
      </c>
      <c r="BJ179" s="57">
        <f>IF(ISERROR(IF(B179=C179,Y179/C179,(INT(Y179/B179)+(((Y179-B179*INT(Y179/B179)))/C179)/100))),0,(IF(B179=C179,Y179/C179,(INT(Y179/B179)+(((Y179-B179*INT(Y179/B179)))/C179)/100))))</f>
        <v>0</v>
      </c>
      <c r="BL179" s="57">
        <f>IF(ISERROR(IF(B179=C179,AA179/C179,(INT(AA179/B179)+(((AA179-B179*INT(AA179/B179)))/C179)/100))),0,(IF(B179=C179,AA179/C179,(INT(AA179/B179)+(((AA179-B179*INT(AA179/B179)))/C179)/100))))</f>
        <v>0</v>
      </c>
      <c r="BM179" s="57">
        <f>IF(ISERROR(IF(B179=C179,AB179/C179,(INT(AB179/B179)+(((AB179-B179*INT(AB179/B179)))/C179)/100))),0,(IF(B179=C179,AB179/C179,(INT(AB179/B179)+(((AB179-B179*INT(AB179/B179)))/C179)/100))))</f>
        <v>0</v>
      </c>
      <c r="BN179" s="57">
        <f>IF(ISERROR(IF(B179=C179,AC179/C179,(INT(AC179/B179)+(((AC179-B179*INT(AC179/B179)))/C179)/100))),0,(IF(B179=C179,AC179/C179,(INT(AC179/B179)+(((AC179-B179*INT(AC179/B179)))/C179)/100))))</f>
        <v>0</v>
      </c>
      <c r="BO179" s="57">
        <f>IF(ISERROR(IF(B179=C179,AD179/C179,(INT(AD179/B179)+(((AD179-B179*INT(AD179/B179)))/C179)/100))),0,(IF(B179=C179,AD179/C179,(INT(AD179/B179)+(((AD179-B179*INT(AD179/B179)))/C179)/100))))</f>
        <v>0</v>
      </c>
      <c r="BQ179" s="155"/>
    </row>
    <row r="180" spans="1:69" hidden="1" x14ac:dyDescent="0.35">
      <c r="A180" s="94"/>
      <c r="B180" s="113">
        <v>0</v>
      </c>
      <c r="C180" s="113">
        <v>0</v>
      </c>
      <c r="D180" s="28">
        <f>SUM(AA180:AD180)</f>
        <v>0</v>
      </c>
      <c r="E180" s="113">
        <v>0</v>
      </c>
      <c r="F180" s="113">
        <v>0</v>
      </c>
      <c r="G180" s="28">
        <f>SUM(D180:F180)</f>
        <v>0</v>
      </c>
      <c r="H180" s="125">
        <v>0</v>
      </c>
      <c r="I180" s="113">
        <v>0</v>
      </c>
      <c r="J180" s="125">
        <v>0</v>
      </c>
      <c r="K180" s="113">
        <v>0</v>
      </c>
      <c r="L180" s="113">
        <v>0</v>
      </c>
      <c r="M180" s="113">
        <v>0</v>
      </c>
      <c r="N180" s="28">
        <f>G180-SUM(H180:M180)</f>
        <v>0</v>
      </c>
      <c r="O180" s="28">
        <f>SUM(V180:Y180)</f>
        <v>0</v>
      </c>
      <c r="P180" s="28">
        <f>O180-N180</f>
        <v>0</v>
      </c>
      <c r="Q180" s="61" t="str">
        <f>IF(ISERROR(P180/SUM(H180:L180)),"",P180/SUM(H180:L180))</f>
        <v/>
      </c>
      <c r="R180" s="113">
        <v>0</v>
      </c>
      <c r="S180" s="28">
        <f>IF(ISERROR(P180/C180*R180),0,(P180/C180*R180))</f>
        <v>0</v>
      </c>
      <c r="T180" s="60">
        <f>IF(ISERROR(P180/B180*AF180),0,(P180/B180*AF180))</f>
        <v>0</v>
      </c>
      <c r="V180" s="113">
        <v>0</v>
      </c>
      <c r="W180" s="113">
        <v>0</v>
      </c>
      <c r="X180" s="113">
        <v>0</v>
      </c>
      <c r="Y180" s="113">
        <v>0</v>
      </c>
      <c r="AA180" s="113">
        <v>0</v>
      </c>
      <c r="AB180" s="113">
        <v>0</v>
      </c>
      <c r="AC180" s="113">
        <v>0</v>
      </c>
      <c r="AD180" s="113">
        <v>0</v>
      </c>
      <c r="AF180" s="113">
        <v>0</v>
      </c>
      <c r="AG180" s="28">
        <f>G180-O180</f>
        <v>0</v>
      </c>
      <c r="AH180" s="58">
        <f>IF(ISERROR(AG180/B180*AF180),0,(AG180/B180*AF180))</f>
        <v>0</v>
      </c>
      <c r="AI180" s="28">
        <f>SUM(H180:M180)</f>
        <v>0</v>
      </c>
      <c r="AJ180" s="28">
        <f>IF(ISERROR(AI180/B180*AF180),0,(AI180/B180*AF180))</f>
        <v>0</v>
      </c>
      <c r="AK180" s="58">
        <f>IF(ISERROR(O180/B180*AF180),0,(O180/B180*AF180))</f>
        <v>0</v>
      </c>
      <c r="AL180" s="28">
        <f>IF(ISERROR(H180/B180*AF180),0,(H180/B180*AF180))</f>
        <v>0</v>
      </c>
      <c r="AN180" s="51">
        <f>A180</f>
        <v>0</v>
      </c>
      <c r="AO180" s="57">
        <f>IF(ISERROR(IF(B180=C180,D180/C180,(INT(D180/B180)+(((D180-B180*INT(D180/B180)))/C180)/100))),0,(IF(B180=C180,D180/C180,(INT(D180/B180)+(((D180-B180*INT(D180/B180)))/C180)/100))))</f>
        <v>0</v>
      </c>
      <c r="AP180" s="57">
        <f>IF(ISERROR(IF(B180=C180,E180/C180,(INT(E180/B180)+(((E180-B180*INT(E180/B180)))/C180)/100))),0,(IF(B180=C180,E180/C180,(INT(E180/B180)+(((E180-B180*INT(E180/B180)))/C180)/100))))</f>
        <v>0</v>
      </c>
      <c r="AQ180" s="57">
        <f>IF(ISERROR(IF(B180=C180,F180/C180,IF((INT(F180/B180)+(((F180-B180*INT(F180/B180)))/C180)/100)&lt;0,(INT(F180/B180)+(((F180-B180*INT(F180/B180)))/C180)/100)+(1-(B180/C180/100)),(INT(F180/B180)+(((F180-B180*INT(F180/B180)))/C180)/100)))),0,IF(B180=C180,F180/C180,IF((INT(F180/B180)+(((F180-B180*INT(F180/B180)))/C180)/100)&lt;0,(INT(F180/B180)+(((F180-B180*INT(F180/B180)))/C180)/100)+(1-(B180/C180/100)),(INT(F180/B180)+(((F180-B180*INT(F180/B180)))/C180)/100))))</f>
        <v>0</v>
      </c>
      <c r="AR180" s="57">
        <f>IF(ISERROR(IF(B180=C180,G180/C180,(INT(G180/B180)+(((G180-B180*INT(G180/B180)))/C180)/100))),0,(IF(B180=C180,G180/C180,(INT(G180/B180)+(((G180-B180*INT(G180/B180)))/C180)/100))))</f>
        <v>0</v>
      </c>
      <c r="AS180" s="57">
        <f>IF(ISERROR(IF(B180=C180,H180/C180,(INT(H180/B180)+(((H180-B180*INT(H180/B180)))/C180)/100))),0,(IF(B180=C180,H180/C180,(INT(H180/B180)+(((H180-B180*INT(H180/B180)))/C180)/100))))</f>
        <v>0</v>
      </c>
      <c r="AT180" s="57">
        <f>IF(ISERROR(IF(B180=C180,I180/C180,(INT(I180/B180)+(((I180-B180*INT(I180/B180)))/C180)/100))),0,(IF(B180=C180,I180/C180,(INT(I180/B180)+(((I180-B180*INT(I180/B180)))/C180)/100))))</f>
        <v>0</v>
      </c>
      <c r="AU180" s="57">
        <f>IF(ISERROR(IF(B180=C180,J180/C180,(INT(J180/B180)+(((J180-B180*INT(J180/B180)))/C180)/100))),0,(IF(B180=C180,J180/C180,(INT(J180/B180)+(((J180-B180*INT(J180/B180)))/C180)/100))))</f>
        <v>0</v>
      </c>
      <c r="AV180" s="57">
        <f>IF(ISERROR(IF(B180=C180,K180/C180,IF((INT(K180/B180)+(((K180-B180*INT(K180/B180)))/C180)/100)&lt;0,(INT(K180/B180)+(((K180-B180*INT(K180/B180)))/C180)/100)+(1-(B180/C180/100)),(INT(K180/B180)+(((K180-B180*INT(K180/B180)))/C180)/100)))),0,IF(B180=C180,K180/C180,IF((INT(K180/B180)+(((K180-B180*INT(K180/B180)))/C180)/100)&lt;0,(INT(K180/B180)+(((K180-B180*INT(K180/B180)))/C180)/100)+(1-(B180/C180/100)),(INT(K180/B180)+(((K180-B180*INT(K180/B180)))/C180)/100))))</f>
        <v>0</v>
      </c>
      <c r="AW180" s="57">
        <f>IF(ISERROR(IF(B180=C180,L180/C180,(INT(L180/B180)+(((L180-B180*INT(L180/B180)))/C180)/100))),0,(IF(B180=C180,L180/C180,(INT(L180/B180)+(((L180-B180*INT(L180/B180)))/C180)/100))))</f>
        <v>0</v>
      </c>
      <c r="AX180" s="57">
        <f>IF(ISERROR(IF(B180=C180,M180/C180,(INT(M180/B180)+(((M180-B180*INT(M180/B180)))/C180)/100))),0,(IF(B180=C180,M180/C180,(INT(M180/B180)+(((M180-B180*INT(M180/B180)))/C180)/100))))</f>
        <v>0</v>
      </c>
      <c r="AY180" s="57">
        <f>IF(ISERROR(IF(B180=C180,N180/C180,IF((INT(N180/B180)+(((N180-B180*INT(N180/B180)))/C180)/100)&lt;0,(INT(N180/B180)+(((N180-B180*INT(N180/B180)))/C180)/100)+(1-(B180/C180/100)),(INT(N180/B180)+(((N180-B180*INT(N180/B180)))/C180)/100)))),0,IF(B180=C180,N180/C180,IF((INT(N180/B180)+(((N180-B180*INT(N180/B180)))/C180)/100)&lt;0,(INT(N180/B180)+(((N180-B180*INT(N180/B180)))/C180)/100)+(1-(B180/C180/100)),(INT(N180/B180)+(((N180-B180*INT(N180/B180)))/C180)/100))))</f>
        <v>0</v>
      </c>
      <c r="AZ180" s="57">
        <f>IF(ISERROR(IF(B180=C180,O180/C180,(INT(O180/B180)+(((O180-B180*INT(O180/B180)))/C180)/100))),0,(IF(B180=C180,O180/C180,(INT(O180/B180)+(((O180-B180*INT(O180/B180)))/C180)/100))))</f>
        <v>0</v>
      </c>
      <c r="BA180" s="57">
        <f>IF(ISERROR(IF(B180=C180,P180/C180,IF((INT(P180/B180)+(((P180-B180*INT(P180/B180)))/C180)/100)&lt;0,(INT(P180/B180)+(((P180-B180*INT(P180/B180)))/C180)/100)+(1-(B180/C180/100)),(INT(P180/B180)+(((P180-B180*INT(P180/B180)))/C180)/100)))),0,IF(B180=C180,P180/C180,IF((INT(P180/B180)+(((P180-B180*INT(P180/B180)))/C180)/100)&lt;0,(INT(P180/B180)+(((P180-B180*INT(P180/B180)))/C180)/100)+(1-(B180/C180/100)),(INT(P180/B180)+(((P180-B180*INT(P180/B180)))/C180)/100))))</f>
        <v>0</v>
      </c>
      <c r="BB180" s="28">
        <f>R180</f>
        <v>0</v>
      </c>
      <c r="BC180" s="28">
        <f>S180</f>
        <v>0</v>
      </c>
      <c r="BD180" s="28">
        <f>AF180</f>
        <v>0</v>
      </c>
      <c r="BE180" s="28">
        <f>T180</f>
        <v>0</v>
      </c>
      <c r="BG180" s="57">
        <f>IF(ISERROR(IF(B180=C180,V180/C180,(INT(V180/B180)+(((V180-B180*INT(V180/B180)))/C180)/100))),0,(IF(B180=C180,V180/C180,(INT(V180/B180)+(((V180-B180*INT(V180/B180)))/C180)/100))))</f>
        <v>0</v>
      </c>
      <c r="BH180" s="57">
        <f>IF(ISERROR(IF(B180=C180,W180/C180,(INT(W180/B180)+(((W180-B180*INT(W180/B180)))/C180)/100))),0,(IF(B180=C180,W180/C180,(INT(W180/B180)+(((W180-B180*INT(W180/B180)))/C180)/100))))</f>
        <v>0</v>
      </c>
      <c r="BI180" s="57">
        <f>IF(ISERROR(IF(B180=C180,X180/C180,(INT(X180/B180)+(((X180-B180*INT(X180/B180)))/C180)/100))),0,(IF(B180=C180,X180/C180,(INT(X180/B180)+(((X180-B180*INT(X180/B180)))/C180)/100))))</f>
        <v>0</v>
      </c>
      <c r="BJ180" s="57">
        <f>IF(ISERROR(IF(B180=C180,Y180/C180,(INT(Y180/B180)+(((Y180-B180*INT(Y180/B180)))/C180)/100))),0,(IF(B180=C180,Y180/C180,(INT(Y180/B180)+(((Y180-B180*INT(Y180/B180)))/C180)/100))))</f>
        <v>0</v>
      </c>
      <c r="BL180" s="57">
        <f>IF(ISERROR(IF(B180=C180,AA180/C180,(INT(AA180/B180)+(((AA180-B180*INT(AA180/B180)))/C180)/100))),0,(IF(B180=C180,AA180/C180,(INT(AA180/B180)+(((AA180-B180*INT(AA180/B180)))/C180)/100))))</f>
        <v>0</v>
      </c>
      <c r="BM180" s="57">
        <f>IF(ISERROR(IF(B180=C180,AB180/C180,(INT(AB180/B180)+(((AB180-B180*INT(AB180/B180)))/C180)/100))),0,(IF(B180=C180,AB180/C180,(INT(AB180/B180)+(((AB180-B180*INT(AB180/B180)))/C180)/100))))</f>
        <v>0</v>
      </c>
      <c r="BN180" s="57">
        <f>IF(ISERROR(IF(B180=C180,AC180/C180,(INT(AC180/B180)+(((AC180-B180*INT(AC180/B180)))/C180)/100))),0,(IF(B180=C180,AC180/C180,(INT(AC180/B180)+(((AC180-B180*INT(AC180/B180)))/C180)/100))))</f>
        <v>0</v>
      </c>
      <c r="BO180" s="57">
        <f>IF(ISERROR(IF(B180=C180,AD180/C180,(INT(AD180/B180)+(((AD180-B180*INT(AD180/B180)))/C180)/100))),0,(IF(B180=C180,AD180/C180,(INT(AD180/B180)+(((AD180-B180*INT(AD180/B180)))/C180)/100))))</f>
        <v>0</v>
      </c>
      <c r="BQ180" s="155"/>
    </row>
    <row r="181" spans="1:69" hidden="1" x14ac:dyDescent="0.35">
      <c r="A181" s="94"/>
      <c r="B181" s="113">
        <v>0</v>
      </c>
      <c r="C181" s="113">
        <v>0</v>
      </c>
      <c r="D181" s="28">
        <f>SUM(AA181:AD181)</f>
        <v>0</v>
      </c>
      <c r="E181" s="113">
        <v>0</v>
      </c>
      <c r="F181" s="113">
        <v>0</v>
      </c>
      <c r="G181" s="28">
        <f>SUM(D181:F181)</f>
        <v>0</v>
      </c>
      <c r="H181" s="125">
        <v>0</v>
      </c>
      <c r="I181" s="113">
        <v>0</v>
      </c>
      <c r="J181" s="125">
        <v>0</v>
      </c>
      <c r="K181" s="113">
        <v>0</v>
      </c>
      <c r="L181" s="113">
        <v>0</v>
      </c>
      <c r="M181" s="113">
        <v>0</v>
      </c>
      <c r="N181" s="28">
        <f>G181-SUM(H181:M181)</f>
        <v>0</v>
      </c>
      <c r="O181" s="28">
        <f>SUM(V181:Y181)</f>
        <v>0</v>
      </c>
      <c r="P181" s="28">
        <f>O181-N181</f>
        <v>0</v>
      </c>
      <c r="Q181" s="61" t="str">
        <f>IF(ISERROR(P181/SUM(H181:L181)),"",P181/SUM(H181:L181))</f>
        <v/>
      </c>
      <c r="R181" s="113">
        <v>0</v>
      </c>
      <c r="S181" s="28">
        <f>IF(ISERROR(P181/C181*R181),0,(P181/C181*R181))</f>
        <v>0</v>
      </c>
      <c r="T181" s="60">
        <f>IF(ISERROR(P181/B181*AF181),0,(P181/B181*AF181))</f>
        <v>0</v>
      </c>
      <c r="V181" s="113">
        <v>0</v>
      </c>
      <c r="W181" s="113">
        <v>0</v>
      </c>
      <c r="X181" s="113">
        <v>0</v>
      </c>
      <c r="Y181" s="113">
        <v>0</v>
      </c>
      <c r="AA181" s="113">
        <v>0</v>
      </c>
      <c r="AB181" s="113">
        <v>0</v>
      </c>
      <c r="AC181" s="113">
        <v>0</v>
      </c>
      <c r="AD181" s="113">
        <v>0</v>
      </c>
      <c r="AF181" s="113">
        <v>0</v>
      </c>
      <c r="AG181" s="28">
        <f>G181-O181</f>
        <v>0</v>
      </c>
      <c r="AH181" s="58">
        <f>IF(ISERROR(AG181/B181*AF181),0,(AG181/B181*AF181))</f>
        <v>0</v>
      </c>
      <c r="AI181" s="28">
        <f>SUM(H181:M181)</f>
        <v>0</v>
      </c>
      <c r="AJ181" s="28">
        <f>IF(ISERROR(AI181/B181*AF181),0,(AI181/B181*AF181))</f>
        <v>0</v>
      </c>
      <c r="AK181" s="58">
        <f>IF(ISERROR(O181/B181*AF181),0,(O181/B181*AF181))</f>
        <v>0</v>
      </c>
      <c r="AL181" s="28">
        <f>IF(ISERROR(H181/B181*AF181),0,(H181/B181*AF181))</f>
        <v>0</v>
      </c>
      <c r="AN181" s="51">
        <f>A181</f>
        <v>0</v>
      </c>
      <c r="AO181" s="57">
        <f>IF(ISERROR(IF(B181=C181,D181/C181,(INT(D181/B181)+(((D181-B181*INT(D181/B181)))/C181)/100))),0,(IF(B181=C181,D181/C181,(INT(D181/B181)+(((D181-B181*INT(D181/B181)))/C181)/100))))</f>
        <v>0</v>
      </c>
      <c r="AP181" s="57">
        <f>IF(ISERROR(IF(B181=C181,E181/C181,(INT(E181/B181)+(((E181-B181*INT(E181/B181)))/C181)/100))),0,(IF(B181=C181,E181/C181,(INT(E181/B181)+(((E181-B181*INT(E181/B181)))/C181)/100))))</f>
        <v>0</v>
      </c>
      <c r="AQ181" s="57">
        <f>IF(ISERROR(IF(B181=C181,F181/C181,IF((INT(F181/B181)+(((F181-B181*INT(F181/B181)))/C181)/100)&lt;0,(INT(F181/B181)+(((F181-B181*INT(F181/B181)))/C181)/100)+(1-(B181/C181/100)),(INT(F181/B181)+(((F181-B181*INT(F181/B181)))/C181)/100)))),0,IF(B181=C181,F181/C181,IF((INT(F181/B181)+(((F181-B181*INT(F181/B181)))/C181)/100)&lt;0,(INT(F181/B181)+(((F181-B181*INT(F181/B181)))/C181)/100)+(1-(B181/C181/100)),(INT(F181/B181)+(((F181-B181*INT(F181/B181)))/C181)/100))))</f>
        <v>0</v>
      </c>
      <c r="AR181" s="57">
        <f>IF(ISERROR(IF(B181=C181,G181/C181,(INT(G181/B181)+(((G181-B181*INT(G181/B181)))/C181)/100))),0,(IF(B181=C181,G181/C181,(INT(G181/B181)+(((G181-B181*INT(G181/B181)))/C181)/100))))</f>
        <v>0</v>
      </c>
      <c r="AS181" s="57">
        <f>IF(ISERROR(IF(B181=C181,H181/C181,(INT(H181/B181)+(((H181-B181*INT(H181/B181)))/C181)/100))),0,(IF(B181=C181,H181/C181,(INT(H181/B181)+(((H181-B181*INT(H181/B181)))/C181)/100))))</f>
        <v>0</v>
      </c>
      <c r="AT181" s="57">
        <f>IF(ISERROR(IF(B181=C181,I181/C181,(INT(I181/B181)+(((I181-B181*INT(I181/B181)))/C181)/100))),0,(IF(B181=C181,I181/C181,(INT(I181/B181)+(((I181-B181*INT(I181/B181)))/C181)/100))))</f>
        <v>0</v>
      </c>
      <c r="AU181" s="57">
        <f>IF(ISERROR(IF(B181=C181,J181/C181,(INT(J181/B181)+(((J181-B181*INT(J181/B181)))/C181)/100))),0,(IF(B181=C181,J181/C181,(INT(J181/B181)+(((J181-B181*INT(J181/B181)))/C181)/100))))</f>
        <v>0</v>
      </c>
      <c r="AV181" s="57">
        <f>IF(ISERROR(IF(B181=C181,K181/C181,IF((INT(K181/B181)+(((K181-B181*INT(K181/B181)))/C181)/100)&lt;0,(INT(K181/B181)+(((K181-B181*INT(K181/B181)))/C181)/100)+(1-(B181/C181/100)),(INT(K181/B181)+(((K181-B181*INT(K181/B181)))/C181)/100)))),0,IF(B181=C181,K181/C181,IF((INT(K181/B181)+(((K181-B181*INT(K181/B181)))/C181)/100)&lt;0,(INT(K181/B181)+(((K181-B181*INT(K181/B181)))/C181)/100)+(1-(B181/C181/100)),(INT(K181/B181)+(((K181-B181*INT(K181/B181)))/C181)/100))))</f>
        <v>0</v>
      </c>
      <c r="AW181" s="57">
        <f>IF(ISERROR(IF(B181=C181,L181/C181,(INT(L181/B181)+(((L181-B181*INT(L181/B181)))/C181)/100))),0,(IF(B181=C181,L181/C181,(INT(L181/B181)+(((L181-B181*INT(L181/B181)))/C181)/100))))</f>
        <v>0</v>
      </c>
      <c r="AX181" s="57">
        <f>IF(ISERROR(IF(B181=C181,M181/C181,(INT(M181/B181)+(((M181-B181*INT(M181/B181)))/C181)/100))),0,(IF(B181=C181,M181/C181,(INT(M181/B181)+(((M181-B181*INT(M181/B181)))/C181)/100))))</f>
        <v>0</v>
      </c>
      <c r="AY181" s="57">
        <f>IF(ISERROR(IF(B181=C181,N181/C181,IF((INT(N181/B181)+(((N181-B181*INT(N181/B181)))/C181)/100)&lt;0,(INT(N181/B181)+(((N181-B181*INT(N181/B181)))/C181)/100)+(1-(B181/C181/100)),(INT(N181/B181)+(((N181-B181*INT(N181/B181)))/C181)/100)))),0,IF(B181=C181,N181/C181,IF((INT(N181/B181)+(((N181-B181*INT(N181/B181)))/C181)/100)&lt;0,(INT(N181/B181)+(((N181-B181*INT(N181/B181)))/C181)/100)+(1-(B181/C181/100)),(INT(N181/B181)+(((N181-B181*INT(N181/B181)))/C181)/100))))</f>
        <v>0</v>
      </c>
      <c r="AZ181" s="57">
        <f>IF(ISERROR(IF(B181=C181,O181/C181,(INT(O181/B181)+(((O181-B181*INT(O181/B181)))/C181)/100))),0,(IF(B181=C181,O181/C181,(INT(O181/B181)+(((O181-B181*INT(O181/B181)))/C181)/100))))</f>
        <v>0</v>
      </c>
      <c r="BA181" s="57">
        <f>IF(ISERROR(IF(B181=C181,P181/C181,IF((INT(P181/B181)+(((P181-B181*INT(P181/B181)))/C181)/100)&lt;0,(INT(P181/B181)+(((P181-B181*INT(P181/B181)))/C181)/100)+(1-(B181/C181/100)),(INT(P181/B181)+(((P181-B181*INT(P181/B181)))/C181)/100)))),0,IF(B181=C181,P181/C181,IF((INT(P181/B181)+(((P181-B181*INT(P181/B181)))/C181)/100)&lt;0,(INT(P181/B181)+(((P181-B181*INT(P181/B181)))/C181)/100)+(1-(B181/C181/100)),(INT(P181/B181)+(((P181-B181*INT(P181/B181)))/C181)/100))))</f>
        <v>0</v>
      </c>
      <c r="BB181" s="28">
        <f>R181</f>
        <v>0</v>
      </c>
      <c r="BC181" s="28">
        <f>S181</f>
        <v>0</v>
      </c>
      <c r="BD181" s="28">
        <f>AF181</f>
        <v>0</v>
      </c>
      <c r="BE181" s="28">
        <f>T181</f>
        <v>0</v>
      </c>
      <c r="BG181" s="57">
        <f>IF(ISERROR(IF(B181=C181,V181/C181,(INT(V181/B181)+(((V181-B181*INT(V181/B181)))/C181)/100))),0,(IF(B181=C181,V181/C181,(INT(V181/B181)+(((V181-B181*INT(V181/B181)))/C181)/100))))</f>
        <v>0</v>
      </c>
      <c r="BH181" s="57">
        <f>IF(ISERROR(IF(B181=C181,W181/C181,(INT(W181/B181)+(((W181-B181*INT(W181/B181)))/C181)/100))),0,(IF(B181=C181,W181/C181,(INT(W181/B181)+(((W181-B181*INT(W181/B181)))/C181)/100))))</f>
        <v>0</v>
      </c>
      <c r="BI181" s="57">
        <f>IF(ISERROR(IF(B181=C181,X181/C181,(INT(X181/B181)+(((X181-B181*INT(X181/B181)))/C181)/100))),0,(IF(B181=C181,X181/C181,(INT(X181/B181)+(((X181-B181*INT(X181/B181)))/C181)/100))))</f>
        <v>0</v>
      </c>
      <c r="BJ181" s="57">
        <f>IF(ISERROR(IF(B181=C181,Y181/C181,(INT(Y181/B181)+(((Y181-B181*INT(Y181/B181)))/C181)/100))),0,(IF(B181=C181,Y181/C181,(INT(Y181/B181)+(((Y181-B181*INT(Y181/B181)))/C181)/100))))</f>
        <v>0</v>
      </c>
      <c r="BL181" s="57">
        <f>IF(ISERROR(IF(B181=C181,AA181/C181,(INT(AA181/B181)+(((AA181-B181*INT(AA181/B181)))/C181)/100))),0,(IF(B181=C181,AA181/C181,(INT(AA181/B181)+(((AA181-B181*INT(AA181/B181)))/C181)/100))))</f>
        <v>0</v>
      </c>
      <c r="BM181" s="57">
        <f>IF(ISERROR(IF(B181=C181,AB181/C181,(INT(AB181/B181)+(((AB181-B181*INT(AB181/B181)))/C181)/100))),0,(IF(B181=C181,AB181/C181,(INT(AB181/B181)+(((AB181-B181*INT(AB181/B181)))/C181)/100))))</f>
        <v>0</v>
      </c>
      <c r="BN181" s="57">
        <f>IF(ISERROR(IF(B181=C181,AC181/C181,(INT(AC181/B181)+(((AC181-B181*INT(AC181/B181)))/C181)/100))),0,(IF(B181=C181,AC181/C181,(INT(AC181/B181)+(((AC181-B181*INT(AC181/B181)))/C181)/100))))</f>
        <v>0</v>
      </c>
      <c r="BO181" s="57">
        <f>IF(ISERROR(IF(B181=C181,AD181/C181,(INT(AD181/B181)+(((AD181-B181*INT(AD181/B181)))/C181)/100))),0,(IF(B181=C181,AD181/C181,(INT(AD181/B181)+(((AD181-B181*INT(AD181/B181)))/C181)/100))))</f>
        <v>0</v>
      </c>
      <c r="BQ181" s="155"/>
    </row>
    <row r="182" spans="1:69" hidden="1" x14ac:dyDescent="0.35">
      <c r="A182" s="94"/>
      <c r="B182" s="113">
        <v>0</v>
      </c>
      <c r="C182" s="113">
        <v>0</v>
      </c>
      <c r="D182" s="28">
        <f>SUM(AA182:AD182)</f>
        <v>0</v>
      </c>
      <c r="E182" s="113">
        <v>0</v>
      </c>
      <c r="F182" s="113">
        <v>0</v>
      </c>
      <c r="G182" s="28">
        <f>SUM(D182:F182)</f>
        <v>0</v>
      </c>
      <c r="H182" s="125">
        <v>0</v>
      </c>
      <c r="I182" s="113">
        <v>0</v>
      </c>
      <c r="J182" s="125">
        <v>0</v>
      </c>
      <c r="K182" s="113">
        <v>0</v>
      </c>
      <c r="L182" s="113">
        <v>0</v>
      </c>
      <c r="M182" s="113">
        <v>0</v>
      </c>
      <c r="N182" s="28">
        <f>G182-SUM(H182:M182)</f>
        <v>0</v>
      </c>
      <c r="O182" s="28">
        <f>SUM(V182:Y182)</f>
        <v>0</v>
      </c>
      <c r="P182" s="28">
        <f>O182-N182</f>
        <v>0</v>
      </c>
      <c r="Q182" s="61" t="str">
        <f>IF(ISERROR(P182/SUM(H182:L182)),"",P182/SUM(H182:L182))</f>
        <v/>
      </c>
      <c r="R182" s="113">
        <v>0</v>
      </c>
      <c r="S182" s="28">
        <f>IF(ISERROR(P182/C182*R182),0,(P182/C182*R182))</f>
        <v>0</v>
      </c>
      <c r="T182" s="60">
        <f>IF(ISERROR(P182/B182*AF182),0,(P182/B182*AF182))</f>
        <v>0</v>
      </c>
      <c r="V182" s="113">
        <v>0</v>
      </c>
      <c r="W182" s="113">
        <v>0</v>
      </c>
      <c r="X182" s="113">
        <v>0</v>
      </c>
      <c r="Y182" s="113">
        <v>0</v>
      </c>
      <c r="AA182" s="113">
        <v>0</v>
      </c>
      <c r="AB182" s="113">
        <v>0</v>
      </c>
      <c r="AC182" s="113">
        <v>0</v>
      </c>
      <c r="AD182" s="113">
        <v>0</v>
      </c>
      <c r="AF182" s="113">
        <v>0</v>
      </c>
      <c r="AG182" s="28">
        <f>G182-O182</f>
        <v>0</v>
      </c>
      <c r="AH182" s="58">
        <f>IF(ISERROR(AG182/B182*AF182),0,(AG182/B182*AF182))</f>
        <v>0</v>
      </c>
      <c r="AI182" s="28">
        <f>SUM(H182:M182)</f>
        <v>0</v>
      </c>
      <c r="AJ182" s="28">
        <f>IF(ISERROR(AI182/B182*AF182),0,(AI182/B182*AF182))</f>
        <v>0</v>
      </c>
      <c r="AK182" s="58">
        <f>IF(ISERROR(O182/B182*AF182),0,(O182/B182*AF182))</f>
        <v>0</v>
      </c>
      <c r="AL182" s="28">
        <f>IF(ISERROR(H182/B182*AF182),0,(H182/B182*AF182))</f>
        <v>0</v>
      </c>
      <c r="AN182" s="51">
        <f>A182</f>
        <v>0</v>
      </c>
      <c r="AO182" s="57">
        <f>IF(ISERROR(IF(B182=C182,D182/C182,(INT(D182/B182)+(((D182-B182*INT(D182/B182)))/C182)/100))),0,(IF(B182=C182,D182/C182,(INT(D182/B182)+(((D182-B182*INT(D182/B182)))/C182)/100))))</f>
        <v>0</v>
      </c>
      <c r="AP182" s="57">
        <f>IF(ISERROR(IF(B182=C182,E182/C182,(INT(E182/B182)+(((E182-B182*INT(E182/B182)))/C182)/100))),0,(IF(B182=C182,E182/C182,(INT(E182/B182)+(((E182-B182*INT(E182/B182)))/C182)/100))))</f>
        <v>0</v>
      </c>
      <c r="AQ182" s="57">
        <f>IF(ISERROR(IF(B182=C182,F182/C182,IF((INT(F182/B182)+(((F182-B182*INT(F182/B182)))/C182)/100)&lt;0,(INT(F182/B182)+(((F182-B182*INT(F182/B182)))/C182)/100)+(1-(B182/C182/100)),(INT(F182/B182)+(((F182-B182*INT(F182/B182)))/C182)/100)))),0,IF(B182=C182,F182/C182,IF((INT(F182/B182)+(((F182-B182*INT(F182/B182)))/C182)/100)&lt;0,(INT(F182/B182)+(((F182-B182*INT(F182/B182)))/C182)/100)+(1-(B182/C182/100)),(INT(F182/B182)+(((F182-B182*INT(F182/B182)))/C182)/100))))</f>
        <v>0</v>
      </c>
      <c r="AR182" s="57">
        <f>IF(ISERROR(IF(B182=C182,G182/C182,(INT(G182/B182)+(((G182-B182*INT(G182/B182)))/C182)/100))),0,(IF(B182=C182,G182/C182,(INT(G182/B182)+(((G182-B182*INT(G182/B182)))/C182)/100))))</f>
        <v>0</v>
      </c>
      <c r="AS182" s="57">
        <f>IF(ISERROR(IF(B182=C182,H182/C182,(INT(H182/B182)+(((H182-B182*INT(H182/B182)))/C182)/100))),0,(IF(B182=C182,H182/C182,(INT(H182/B182)+(((H182-B182*INT(H182/B182)))/C182)/100))))</f>
        <v>0</v>
      </c>
      <c r="AT182" s="57">
        <f>IF(ISERROR(IF(B182=C182,I182/C182,(INT(I182/B182)+(((I182-B182*INT(I182/B182)))/C182)/100))),0,(IF(B182=C182,I182/C182,(INT(I182/B182)+(((I182-B182*INT(I182/B182)))/C182)/100))))</f>
        <v>0</v>
      </c>
      <c r="AU182" s="57">
        <f>IF(ISERROR(IF(B182=C182,J182/C182,(INT(J182/B182)+(((J182-B182*INT(J182/B182)))/C182)/100))),0,(IF(B182=C182,J182/C182,(INT(J182/B182)+(((J182-B182*INT(J182/B182)))/C182)/100))))</f>
        <v>0</v>
      </c>
      <c r="AV182" s="57">
        <f>IF(ISERROR(IF(B182=C182,K182/C182,IF((INT(K182/B182)+(((K182-B182*INT(K182/B182)))/C182)/100)&lt;0,(INT(K182/B182)+(((K182-B182*INT(K182/B182)))/C182)/100)+(1-(B182/C182/100)),(INT(K182/B182)+(((K182-B182*INT(K182/B182)))/C182)/100)))),0,IF(B182=C182,K182/C182,IF((INT(K182/B182)+(((K182-B182*INT(K182/B182)))/C182)/100)&lt;0,(INT(K182/B182)+(((K182-B182*INT(K182/B182)))/C182)/100)+(1-(B182/C182/100)),(INT(K182/B182)+(((K182-B182*INT(K182/B182)))/C182)/100))))</f>
        <v>0</v>
      </c>
      <c r="AW182" s="57">
        <f>IF(ISERROR(IF(B182=C182,L182/C182,(INT(L182/B182)+(((L182-B182*INT(L182/B182)))/C182)/100))),0,(IF(B182=C182,L182/C182,(INT(L182/B182)+(((L182-B182*INT(L182/B182)))/C182)/100))))</f>
        <v>0</v>
      </c>
      <c r="AX182" s="57">
        <f>IF(ISERROR(IF(B182=C182,M182/C182,(INT(M182/B182)+(((M182-B182*INT(M182/B182)))/C182)/100))),0,(IF(B182=C182,M182/C182,(INT(M182/B182)+(((M182-B182*INT(M182/B182)))/C182)/100))))</f>
        <v>0</v>
      </c>
      <c r="AY182" s="57">
        <f>IF(ISERROR(IF(B182=C182,N182/C182,IF((INT(N182/B182)+(((N182-B182*INT(N182/B182)))/C182)/100)&lt;0,(INT(N182/B182)+(((N182-B182*INT(N182/B182)))/C182)/100)+(1-(B182/C182/100)),(INT(N182/B182)+(((N182-B182*INT(N182/B182)))/C182)/100)))),0,IF(B182=C182,N182/C182,IF((INT(N182/B182)+(((N182-B182*INT(N182/B182)))/C182)/100)&lt;0,(INT(N182/B182)+(((N182-B182*INT(N182/B182)))/C182)/100)+(1-(B182/C182/100)),(INT(N182/B182)+(((N182-B182*INT(N182/B182)))/C182)/100))))</f>
        <v>0</v>
      </c>
      <c r="AZ182" s="57">
        <f>IF(ISERROR(IF(B182=C182,O182/C182,(INT(O182/B182)+(((O182-B182*INT(O182/B182)))/C182)/100))),0,(IF(B182=C182,O182/C182,(INT(O182/B182)+(((O182-B182*INT(O182/B182)))/C182)/100))))</f>
        <v>0</v>
      </c>
      <c r="BA182" s="57">
        <f>IF(ISERROR(IF(B182=C182,P182/C182,IF((INT(P182/B182)+(((P182-B182*INT(P182/B182)))/C182)/100)&lt;0,(INT(P182/B182)+(((P182-B182*INT(P182/B182)))/C182)/100)+(1-(B182/C182/100)),(INT(P182/B182)+(((P182-B182*INT(P182/B182)))/C182)/100)))),0,IF(B182=C182,P182/C182,IF((INT(P182/B182)+(((P182-B182*INT(P182/B182)))/C182)/100)&lt;0,(INT(P182/B182)+(((P182-B182*INT(P182/B182)))/C182)/100)+(1-(B182/C182/100)),(INT(P182/B182)+(((P182-B182*INT(P182/B182)))/C182)/100))))</f>
        <v>0</v>
      </c>
      <c r="BB182" s="28">
        <f>R182</f>
        <v>0</v>
      </c>
      <c r="BC182" s="28">
        <f>S182</f>
        <v>0</v>
      </c>
      <c r="BD182" s="28">
        <f>AF182</f>
        <v>0</v>
      </c>
      <c r="BE182" s="28">
        <f>T182</f>
        <v>0</v>
      </c>
      <c r="BG182" s="57">
        <f>IF(ISERROR(IF(B182=C182,V182/C182,(INT(V182/B182)+(((V182-B182*INT(V182/B182)))/C182)/100))),0,(IF(B182=C182,V182/C182,(INT(V182/B182)+(((V182-B182*INT(V182/B182)))/C182)/100))))</f>
        <v>0</v>
      </c>
      <c r="BH182" s="57">
        <f>IF(ISERROR(IF(B182=C182,W182/C182,(INT(W182/B182)+(((W182-B182*INT(W182/B182)))/C182)/100))),0,(IF(B182=C182,W182/C182,(INT(W182/B182)+(((W182-B182*INT(W182/B182)))/C182)/100))))</f>
        <v>0</v>
      </c>
      <c r="BI182" s="57">
        <f>IF(ISERROR(IF(B182=C182,X182/C182,(INT(X182/B182)+(((X182-B182*INT(X182/B182)))/C182)/100))),0,(IF(B182=C182,X182/C182,(INT(X182/B182)+(((X182-B182*INT(X182/B182)))/C182)/100))))</f>
        <v>0</v>
      </c>
      <c r="BJ182" s="57">
        <f>IF(ISERROR(IF(B182=C182,Y182/C182,(INT(Y182/B182)+(((Y182-B182*INT(Y182/B182)))/C182)/100))),0,(IF(B182=C182,Y182/C182,(INT(Y182/B182)+(((Y182-B182*INT(Y182/B182)))/C182)/100))))</f>
        <v>0</v>
      </c>
      <c r="BL182" s="57">
        <f>IF(ISERROR(IF(B182=C182,AA182/C182,(INT(AA182/B182)+(((AA182-B182*INT(AA182/B182)))/C182)/100))),0,(IF(B182=C182,AA182/C182,(INT(AA182/B182)+(((AA182-B182*INT(AA182/B182)))/C182)/100))))</f>
        <v>0</v>
      </c>
      <c r="BM182" s="57">
        <f>IF(ISERROR(IF(B182=C182,AB182/C182,(INT(AB182/B182)+(((AB182-B182*INT(AB182/B182)))/C182)/100))),0,(IF(B182=C182,AB182/C182,(INT(AB182/B182)+(((AB182-B182*INT(AB182/B182)))/C182)/100))))</f>
        <v>0</v>
      </c>
      <c r="BN182" s="57">
        <f>IF(ISERROR(IF(B182=C182,AC182/C182,(INT(AC182/B182)+(((AC182-B182*INT(AC182/B182)))/C182)/100))),0,(IF(B182=C182,AC182/C182,(INT(AC182/B182)+(((AC182-B182*INT(AC182/B182)))/C182)/100))))</f>
        <v>0</v>
      </c>
      <c r="BO182" s="57">
        <f>IF(ISERROR(IF(B182=C182,AD182/C182,(INT(AD182/B182)+(((AD182-B182*INT(AD182/B182)))/C182)/100))),0,(IF(B182=C182,AD182/C182,(INT(AD182/B182)+(((AD182-B182*INT(AD182/B182)))/C182)/100))))</f>
        <v>0</v>
      </c>
      <c r="BQ182" s="155"/>
    </row>
    <row r="183" spans="1:69" hidden="1" x14ac:dyDescent="0.35">
      <c r="A183" s="94"/>
      <c r="B183" s="113">
        <v>0</v>
      </c>
      <c r="C183" s="113">
        <v>0</v>
      </c>
      <c r="D183" s="28">
        <f>SUM(AA183:AD183)</f>
        <v>0</v>
      </c>
      <c r="E183" s="113">
        <v>0</v>
      </c>
      <c r="F183" s="113">
        <v>0</v>
      </c>
      <c r="G183" s="28">
        <f>SUM(D183:F183)</f>
        <v>0</v>
      </c>
      <c r="H183" s="125">
        <v>0</v>
      </c>
      <c r="I183" s="113">
        <v>0</v>
      </c>
      <c r="J183" s="125">
        <v>0</v>
      </c>
      <c r="K183" s="113">
        <v>0</v>
      </c>
      <c r="L183" s="113">
        <v>0</v>
      </c>
      <c r="M183" s="113">
        <v>0</v>
      </c>
      <c r="N183" s="28">
        <f>G183-SUM(H183:M183)</f>
        <v>0</v>
      </c>
      <c r="O183" s="28">
        <f>SUM(V183:Y183)</f>
        <v>0</v>
      </c>
      <c r="P183" s="28">
        <f>O183-N183</f>
        <v>0</v>
      </c>
      <c r="Q183" s="61" t="str">
        <f>IF(ISERROR(P183/SUM(H183:L183)),"",P183/SUM(H183:L183))</f>
        <v/>
      </c>
      <c r="R183" s="113">
        <v>0</v>
      </c>
      <c r="S183" s="28">
        <f>IF(ISERROR(P183/C183*R183),0,(P183/C183*R183))</f>
        <v>0</v>
      </c>
      <c r="T183" s="60">
        <f>IF(ISERROR(P183/B183*AF183),0,(P183/B183*AF183))</f>
        <v>0</v>
      </c>
      <c r="V183" s="113">
        <v>0</v>
      </c>
      <c r="W183" s="113">
        <v>0</v>
      </c>
      <c r="X183" s="113">
        <v>0</v>
      </c>
      <c r="Y183" s="113">
        <v>0</v>
      </c>
      <c r="AA183" s="113">
        <v>0</v>
      </c>
      <c r="AB183" s="113">
        <v>0</v>
      </c>
      <c r="AC183" s="113">
        <v>0</v>
      </c>
      <c r="AD183" s="113">
        <v>0</v>
      </c>
      <c r="AF183" s="113">
        <v>0</v>
      </c>
      <c r="AG183" s="28">
        <f>G183-O183</f>
        <v>0</v>
      </c>
      <c r="AH183" s="58">
        <f>IF(ISERROR(AG183/B183*AF183),0,(AG183/B183*AF183))</f>
        <v>0</v>
      </c>
      <c r="AI183" s="28">
        <f>SUM(H183:M183)</f>
        <v>0</v>
      </c>
      <c r="AJ183" s="28">
        <f>IF(ISERROR(AI183/B183*AF183),0,(AI183/B183*AF183))</f>
        <v>0</v>
      </c>
      <c r="AK183" s="58">
        <f>IF(ISERROR(O183/B183*AF183),0,(O183/B183*AF183))</f>
        <v>0</v>
      </c>
      <c r="AL183" s="28">
        <f>IF(ISERROR(H183/B183*AF183),0,(H183/B183*AF183))</f>
        <v>0</v>
      </c>
      <c r="AN183" s="51">
        <f>A183</f>
        <v>0</v>
      </c>
      <c r="AO183" s="57">
        <f>IF(ISERROR(IF(B183=C183,D183/C183,(INT(D183/B183)+(((D183-B183*INT(D183/B183)))/C183)/100))),0,(IF(B183=C183,D183/C183,(INT(D183/B183)+(((D183-B183*INT(D183/B183)))/C183)/100))))</f>
        <v>0</v>
      </c>
      <c r="AP183" s="57">
        <f>IF(ISERROR(IF(B183=C183,E183/C183,(INT(E183/B183)+(((E183-B183*INT(E183/B183)))/C183)/100))),0,(IF(B183=C183,E183/C183,(INT(E183/B183)+(((E183-B183*INT(E183/B183)))/C183)/100))))</f>
        <v>0</v>
      </c>
      <c r="AQ183" s="57">
        <f>IF(ISERROR(IF(B183=C183,F183/C183,IF((INT(F183/B183)+(((F183-B183*INT(F183/B183)))/C183)/100)&lt;0,(INT(F183/B183)+(((F183-B183*INT(F183/B183)))/C183)/100)+(1-(B183/C183/100)),(INT(F183/B183)+(((F183-B183*INT(F183/B183)))/C183)/100)))),0,IF(B183=C183,F183/C183,IF((INT(F183/B183)+(((F183-B183*INT(F183/B183)))/C183)/100)&lt;0,(INT(F183/B183)+(((F183-B183*INT(F183/B183)))/C183)/100)+(1-(B183/C183/100)),(INT(F183/B183)+(((F183-B183*INT(F183/B183)))/C183)/100))))</f>
        <v>0</v>
      </c>
      <c r="AR183" s="57">
        <f>IF(ISERROR(IF(B183=C183,G183/C183,(INT(G183/B183)+(((G183-B183*INT(G183/B183)))/C183)/100))),0,(IF(B183=C183,G183/C183,(INT(G183/B183)+(((G183-B183*INT(G183/B183)))/C183)/100))))</f>
        <v>0</v>
      </c>
      <c r="AS183" s="57">
        <f>IF(ISERROR(IF(B183=C183,H183/C183,(INT(H183/B183)+(((H183-B183*INT(H183/B183)))/C183)/100))),0,(IF(B183=C183,H183/C183,(INT(H183/B183)+(((H183-B183*INT(H183/B183)))/C183)/100))))</f>
        <v>0</v>
      </c>
      <c r="AT183" s="57">
        <f>IF(ISERROR(IF(B183=C183,I183/C183,(INT(I183/B183)+(((I183-B183*INT(I183/B183)))/C183)/100))),0,(IF(B183=C183,I183/C183,(INT(I183/B183)+(((I183-B183*INT(I183/B183)))/C183)/100))))</f>
        <v>0</v>
      </c>
      <c r="AU183" s="57">
        <f>IF(ISERROR(IF(B183=C183,J183/C183,(INT(J183/B183)+(((J183-B183*INT(J183/B183)))/C183)/100))),0,(IF(B183=C183,J183/C183,(INT(J183/B183)+(((J183-B183*INT(J183/B183)))/C183)/100))))</f>
        <v>0</v>
      </c>
      <c r="AV183" s="57">
        <f>IF(ISERROR(IF(B183=C183,K183/C183,IF((INT(K183/B183)+(((K183-B183*INT(K183/B183)))/C183)/100)&lt;0,(INT(K183/B183)+(((K183-B183*INT(K183/B183)))/C183)/100)+(1-(B183/C183/100)),(INT(K183/B183)+(((K183-B183*INT(K183/B183)))/C183)/100)))),0,IF(B183=C183,K183/C183,IF((INT(K183/B183)+(((K183-B183*INT(K183/B183)))/C183)/100)&lt;0,(INT(K183/B183)+(((K183-B183*INT(K183/B183)))/C183)/100)+(1-(B183/C183/100)),(INT(K183/B183)+(((K183-B183*INT(K183/B183)))/C183)/100))))</f>
        <v>0</v>
      </c>
      <c r="AW183" s="57">
        <f>IF(ISERROR(IF(B183=C183,L183/C183,(INT(L183/B183)+(((L183-B183*INT(L183/B183)))/C183)/100))),0,(IF(B183=C183,L183/C183,(INT(L183/B183)+(((L183-B183*INT(L183/B183)))/C183)/100))))</f>
        <v>0</v>
      </c>
      <c r="AX183" s="57">
        <f>IF(ISERROR(IF(B183=C183,M183/C183,(INT(M183/B183)+(((M183-B183*INT(M183/B183)))/C183)/100))),0,(IF(B183=C183,M183/C183,(INT(M183/B183)+(((M183-B183*INT(M183/B183)))/C183)/100))))</f>
        <v>0</v>
      </c>
      <c r="AY183" s="57">
        <f>IF(ISERROR(IF(B183=C183,N183/C183,IF((INT(N183/B183)+(((N183-B183*INT(N183/B183)))/C183)/100)&lt;0,(INT(N183/B183)+(((N183-B183*INT(N183/B183)))/C183)/100)+(1-(B183/C183/100)),(INT(N183/B183)+(((N183-B183*INT(N183/B183)))/C183)/100)))),0,IF(B183=C183,N183/C183,IF((INT(N183/B183)+(((N183-B183*INT(N183/B183)))/C183)/100)&lt;0,(INT(N183/B183)+(((N183-B183*INT(N183/B183)))/C183)/100)+(1-(B183/C183/100)),(INT(N183/B183)+(((N183-B183*INT(N183/B183)))/C183)/100))))</f>
        <v>0</v>
      </c>
      <c r="AZ183" s="57">
        <f>IF(ISERROR(IF(B183=C183,O183/C183,(INT(O183/B183)+(((O183-B183*INT(O183/B183)))/C183)/100))),0,(IF(B183=C183,O183/C183,(INT(O183/B183)+(((O183-B183*INT(O183/B183)))/C183)/100))))</f>
        <v>0</v>
      </c>
      <c r="BA183" s="57">
        <f>IF(ISERROR(IF(B183=C183,P183/C183,IF((INT(P183/B183)+(((P183-B183*INT(P183/B183)))/C183)/100)&lt;0,(INT(P183/B183)+(((P183-B183*INT(P183/B183)))/C183)/100)+(1-(B183/C183/100)),(INT(P183/B183)+(((P183-B183*INT(P183/B183)))/C183)/100)))),0,IF(B183=C183,P183/C183,IF((INT(P183/B183)+(((P183-B183*INT(P183/B183)))/C183)/100)&lt;0,(INT(P183/B183)+(((P183-B183*INT(P183/B183)))/C183)/100)+(1-(B183/C183/100)),(INT(P183/B183)+(((P183-B183*INT(P183/B183)))/C183)/100))))</f>
        <v>0</v>
      </c>
      <c r="BB183" s="28">
        <f>R183</f>
        <v>0</v>
      </c>
      <c r="BC183" s="28">
        <f>S183</f>
        <v>0</v>
      </c>
      <c r="BD183" s="28">
        <f>AF183</f>
        <v>0</v>
      </c>
      <c r="BE183" s="28">
        <f>T183</f>
        <v>0</v>
      </c>
      <c r="BG183" s="57">
        <f>IF(ISERROR(IF(B183=C183,V183/C183,(INT(V183/B183)+(((V183-B183*INT(V183/B183)))/C183)/100))),0,(IF(B183=C183,V183/C183,(INT(V183/B183)+(((V183-B183*INT(V183/B183)))/C183)/100))))</f>
        <v>0</v>
      </c>
      <c r="BH183" s="57">
        <f>IF(ISERROR(IF(B183=C183,W183/C183,(INT(W183/B183)+(((W183-B183*INT(W183/B183)))/C183)/100))),0,(IF(B183=C183,W183/C183,(INT(W183/B183)+(((W183-B183*INT(W183/B183)))/C183)/100))))</f>
        <v>0</v>
      </c>
      <c r="BI183" s="57">
        <f>IF(ISERROR(IF(B183=C183,X183/C183,(INT(X183/B183)+(((X183-B183*INT(X183/B183)))/C183)/100))),0,(IF(B183=C183,X183/C183,(INT(X183/B183)+(((X183-B183*INT(X183/B183)))/C183)/100))))</f>
        <v>0</v>
      </c>
      <c r="BJ183" s="57">
        <f>IF(ISERROR(IF(B183=C183,Y183/C183,(INT(Y183/B183)+(((Y183-B183*INT(Y183/B183)))/C183)/100))),0,(IF(B183=C183,Y183/C183,(INT(Y183/B183)+(((Y183-B183*INT(Y183/B183)))/C183)/100))))</f>
        <v>0</v>
      </c>
      <c r="BL183" s="57">
        <f>IF(ISERROR(IF(B183=C183,AA183/C183,(INT(AA183/B183)+(((AA183-B183*INT(AA183/B183)))/C183)/100))),0,(IF(B183=C183,AA183/C183,(INT(AA183/B183)+(((AA183-B183*INT(AA183/B183)))/C183)/100))))</f>
        <v>0</v>
      </c>
      <c r="BM183" s="57">
        <f>IF(ISERROR(IF(B183=C183,AB183/C183,(INT(AB183/B183)+(((AB183-B183*INT(AB183/B183)))/C183)/100))),0,(IF(B183=C183,AB183/C183,(INT(AB183/B183)+(((AB183-B183*INT(AB183/B183)))/C183)/100))))</f>
        <v>0</v>
      </c>
      <c r="BN183" s="57">
        <f>IF(ISERROR(IF(B183=C183,AC183/C183,(INT(AC183/B183)+(((AC183-B183*INT(AC183/B183)))/C183)/100))),0,(IF(B183=C183,AC183/C183,(INT(AC183/B183)+(((AC183-B183*INT(AC183/B183)))/C183)/100))))</f>
        <v>0</v>
      </c>
      <c r="BO183" s="57">
        <f>IF(ISERROR(IF(B183=C183,AD183/C183,(INT(AD183/B183)+(((AD183-B183*INT(AD183/B183)))/C183)/100))),0,(IF(B183=C183,AD183/C183,(INT(AD183/B183)+(((AD183-B183*INT(AD183/B183)))/C183)/100))))</f>
        <v>0</v>
      </c>
      <c r="BQ183" s="155"/>
    </row>
    <row r="184" spans="1:69" hidden="1" x14ac:dyDescent="0.35">
      <c r="A184" s="94"/>
      <c r="B184" s="113">
        <v>0</v>
      </c>
      <c r="C184" s="113">
        <v>0</v>
      </c>
      <c r="D184" s="28">
        <f>SUM(AA184:AD184)</f>
        <v>0</v>
      </c>
      <c r="E184" s="113">
        <v>0</v>
      </c>
      <c r="F184" s="113">
        <v>0</v>
      </c>
      <c r="G184" s="28">
        <f>SUM(D184:F184)</f>
        <v>0</v>
      </c>
      <c r="H184" s="125">
        <v>0</v>
      </c>
      <c r="I184" s="113">
        <v>0</v>
      </c>
      <c r="J184" s="125">
        <v>0</v>
      </c>
      <c r="K184" s="113">
        <v>0</v>
      </c>
      <c r="L184" s="113">
        <v>0</v>
      </c>
      <c r="M184" s="113">
        <v>0</v>
      </c>
      <c r="N184" s="28">
        <f>G184-SUM(H184:M184)</f>
        <v>0</v>
      </c>
      <c r="O184" s="28">
        <f>SUM(V184:Y184)</f>
        <v>0</v>
      </c>
      <c r="P184" s="28">
        <f>O184-N184</f>
        <v>0</v>
      </c>
      <c r="Q184" s="61" t="str">
        <f>IF(ISERROR(P184/SUM(H184:L184)),"",P184/SUM(H184:L184))</f>
        <v/>
      </c>
      <c r="R184" s="113">
        <v>0</v>
      </c>
      <c r="S184" s="28">
        <f>IF(ISERROR(P184/C184*R184),0,(P184/C184*R184))</f>
        <v>0</v>
      </c>
      <c r="T184" s="60">
        <f>IF(ISERROR(P184/B184*AF184),0,(P184/B184*AF184))</f>
        <v>0</v>
      </c>
      <c r="V184" s="113">
        <v>0</v>
      </c>
      <c r="W184" s="113">
        <v>0</v>
      </c>
      <c r="X184" s="113">
        <v>0</v>
      </c>
      <c r="Y184" s="113">
        <v>0</v>
      </c>
      <c r="AA184" s="113">
        <v>0</v>
      </c>
      <c r="AB184" s="113">
        <v>0</v>
      </c>
      <c r="AC184" s="113">
        <v>0</v>
      </c>
      <c r="AD184" s="113">
        <v>0</v>
      </c>
      <c r="AF184" s="113">
        <v>0</v>
      </c>
      <c r="AG184" s="28">
        <f>G184-O184</f>
        <v>0</v>
      </c>
      <c r="AH184" s="58">
        <f>IF(ISERROR(AG184/B184*AF184),0,(AG184/B184*AF184))</f>
        <v>0</v>
      </c>
      <c r="AI184" s="28">
        <f>SUM(H184:M184)</f>
        <v>0</v>
      </c>
      <c r="AJ184" s="28">
        <f>IF(ISERROR(AI184/B184*AF184),0,(AI184/B184*AF184))</f>
        <v>0</v>
      </c>
      <c r="AK184" s="58">
        <f>IF(ISERROR(O184/B184*AF184),0,(O184/B184*AF184))</f>
        <v>0</v>
      </c>
      <c r="AL184" s="28">
        <f>IF(ISERROR(H184/B184*AF184),0,(H184/B184*AF184))</f>
        <v>0</v>
      </c>
      <c r="AN184" s="51">
        <f>A184</f>
        <v>0</v>
      </c>
      <c r="AO184" s="57">
        <f>IF(ISERROR(IF(B184=C184,D184/C184,(INT(D184/B184)+(((D184-B184*INT(D184/B184)))/C184)/100))),0,(IF(B184=C184,D184/C184,(INT(D184/B184)+(((D184-B184*INT(D184/B184)))/C184)/100))))</f>
        <v>0</v>
      </c>
      <c r="AP184" s="57">
        <f>IF(ISERROR(IF(B184=C184,E184/C184,(INT(E184/B184)+(((E184-B184*INT(E184/B184)))/C184)/100))),0,(IF(B184=C184,E184/C184,(INT(E184/B184)+(((E184-B184*INT(E184/B184)))/C184)/100))))</f>
        <v>0</v>
      </c>
      <c r="AQ184" s="57">
        <f>IF(ISERROR(IF(B184=C184,F184/C184,IF((INT(F184/B184)+(((F184-B184*INT(F184/B184)))/C184)/100)&lt;0,(INT(F184/B184)+(((F184-B184*INT(F184/B184)))/C184)/100)+(1-(B184/C184/100)),(INT(F184/B184)+(((F184-B184*INT(F184/B184)))/C184)/100)))),0,IF(B184=C184,F184/C184,IF((INT(F184/B184)+(((F184-B184*INT(F184/B184)))/C184)/100)&lt;0,(INT(F184/B184)+(((F184-B184*INT(F184/B184)))/C184)/100)+(1-(B184/C184/100)),(INT(F184/B184)+(((F184-B184*INT(F184/B184)))/C184)/100))))</f>
        <v>0</v>
      </c>
      <c r="AR184" s="57">
        <f>IF(ISERROR(IF(B184=C184,G184/C184,(INT(G184/B184)+(((G184-B184*INT(G184/B184)))/C184)/100))),0,(IF(B184=C184,G184/C184,(INT(G184/B184)+(((G184-B184*INT(G184/B184)))/C184)/100))))</f>
        <v>0</v>
      </c>
      <c r="AS184" s="57">
        <f>IF(ISERROR(IF(B184=C184,H184/C184,(INT(H184/B184)+(((H184-B184*INT(H184/B184)))/C184)/100))),0,(IF(B184=C184,H184/C184,(INT(H184/B184)+(((H184-B184*INT(H184/B184)))/C184)/100))))</f>
        <v>0</v>
      </c>
      <c r="AT184" s="57">
        <f>IF(ISERROR(IF(B184=C184,I184/C184,(INT(I184/B184)+(((I184-B184*INT(I184/B184)))/C184)/100))),0,(IF(B184=C184,I184/C184,(INT(I184/B184)+(((I184-B184*INT(I184/B184)))/C184)/100))))</f>
        <v>0</v>
      </c>
      <c r="AU184" s="57">
        <f>IF(ISERROR(IF(B184=C184,J184/C184,(INT(J184/B184)+(((J184-B184*INT(J184/B184)))/C184)/100))),0,(IF(B184=C184,J184/C184,(INT(J184/B184)+(((J184-B184*INT(J184/B184)))/C184)/100))))</f>
        <v>0</v>
      </c>
      <c r="AV184" s="57">
        <f>IF(ISERROR(IF(B184=C184,K184/C184,IF((INT(K184/B184)+(((K184-B184*INT(K184/B184)))/C184)/100)&lt;0,(INT(K184/B184)+(((K184-B184*INT(K184/B184)))/C184)/100)+(1-(B184/C184/100)),(INT(K184/B184)+(((K184-B184*INT(K184/B184)))/C184)/100)))),0,IF(B184=C184,K184/C184,IF((INT(K184/B184)+(((K184-B184*INT(K184/B184)))/C184)/100)&lt;0,(INT(K184/B184)+(((K184-B184*INT(K184/B184)))/C184)/100)+(1-(B184/C184/100)),(INT(K184/B184)+(((K184-B184*INT(K184/B184)))/C184)/100))))</f>
        <v>0</v>
      </c>
      <c r="AW184" s="57">
        <f>IF(ISERROR(IF(B184=C184,L184/C184,(INT(L184/B184)+(((L184-B184*INT(L184/B184)))/C184)/100))),0,(IF(B184=C184,L184/C184,(INT(L184/B184)+(((L184-B184*INT(L184/B184)))/C184)/100))))</f>
        <v>0</v>
      </c>
      <c r="AX184" s="57">
        <f>IF(ISERROR(IF(B184=C184,M184/C184,(INT(M184/B184)+(((M184-B184*INT(M184/B184)))/C184)/100))),0,(IF(B184=C184,M184/C184,(INT(M184/B184)+(((M184-B184*INT(M184/B184)))/C184)/100))))</f>
        <v>0</v>
      </c>
      <c r="AY184" s="57">
        <f>IF(ISERROR(IF(B184=C184,N184/C184,IF((INT(N184/B184)+(((N184-B184*INT(N184/B184)))/C184)/100)&lt;0,(INT(N184/B184)+(((N184-B184*INT(N184/B184)))/C184)/100)+(1-(B184/C184/100)),(INT(N184/B184)+(((N184-B184*INT(N184/B184)))/C184)/100)))),0,IF(B184=C184,N184/C184,IF((INT(N184/B184)+(((N184-B184*INT(N184/B184)))/C184)/100)&lt;0,(INT(N184/B184)+(((N184-B184*INT(N184/B184)))/C184)/100)+(1-(B184/C184/100)),(INT(N184/B184)+(((N184-B184*INT(N184/B184)))/C184)/100))))</f>
        <v>0</v>
      </c>
      <c r="AZ184" s="57">
        <f>IF(ISERROR(IF(B184=C184,O184/C184,(INT(O184/B184)+(((O184-B184*INT(O184/B184)))/C184)/100))),0,(IF(B184=C184,O184/C184,(INT(O184/B184)+(((O184-B184*INT(O184/B184)))/C184)/100))))</f>
        <v>0</v>
      </c>
      <c r="BA184" s="57">
        <f>IF(ISERROR(IF(B184=C184,P184/C184,IF((INT(P184/B184)+(((P184-B184*INT(P184/B184)))/C184)/100)&lt;0,(INT(P184/B184)+(((P184-B184*INT(P184/B184)))/C184)/100)+(1-(B184/C184/100)),(INT(P184/B184)+(((P184-B184*INT(P184/B184)))/C184)/100)))),0,IF(B184=C184,P184/C184,IF((INT(P184/B184)+(((P184-B184*INT(P184/B184)))/C184)/100)&lt;0,(INT(P184/B184)+(((P184-B184*INT(P184/B184)))/C184)/100)+(1-(B184/C184/100)),(INT(P184/B184)+(((P184-B184*INT(P184/B184)))/C184)/100))))</f>
        <v>0</v>
      </c>
      <c r="BB184" s="28">
        <f>R184</f>
        <v>0</v>
      </c>
      <c r="BC184" s="28">
        <f>S184</f>
        <v>0</v>
      </c>
      <c r="BD184" s="28">
        <f>AF184</f>
        <v>0</v>
      </c>
      <c r="BE184" s="28">
        <f>T184</f>
        <v>0</v>
      </c>
      <c r="BG184" s="57">
        <f>IF(ISERROR(IF(B184=C184,V184/C184,(INT(V184/B184)+(((V184-B184*INT(V184/B184)))/C184)/100))),0,(IF(B184=C184,V184/C184,(INT(V184/B184)+(((V184-B184*INT(V184/B184)))/C184)/100))))</f>
        <v>0</v>
      </c>
      <c r="BH184" s="57">
        <f>IF(ISERROR(IF(B184=C184,W184/C184,(INT(W184/B184)+(((W184-B184*INT(W184/B184)))/C184)/100))),0,(IF(B184=C184,W184/C184,(INT(W184/B184)+(((W184-B184*INT(W184/B184)))/C184)/100))))</f>
        <v>0</v>
      </c>
      <c r="BI184" s="57">
        <f>IF(ISERROR(IF(B184=C184,X184/C184,(INT(X184/B184)+(((X184-B184*INT(X184/B184)))/C184)/100))),0,(IF(B184=C184,X184/C184,(INT(X184/B184)+(((X184-B184*INT(X184/B184)))/C184)/100))))</f>
        <v>0</v>
      </c>
      <c r="BJ184" s="57">
        <f>IF(ISERROR(IF(B184=C184,Y184/C184,(INT(Y184/B184)+(((Y184-B184*INT(Y184/B184)))/C184)/100))),0,(IF(B184=C184,Y184/C184,(INT(Y184/B184)+(((Y184-B184*INT(Y184/B184)))/C184)/100))))</f>
        <v>0</v>
      </c>
      <c r="BL184" s="57">
        <f>IF(ISERROR(IF(B184=C184,AA184/C184,(INT(AA184/B184)+(((AA184-B184*INT(AA184/B184)))/C184)/100))),0,(IF(B184=C184,AA184/C184,(INT(AA184/B184)+(((AA184-B184*INT(AA184/B184)))/C184)/100))))</f>
        <v>0</v>
      </c>
      <c r="BM184" s="57">
        <f>IF(ISERROR(IF(B184=C184,AB184/C184,(INT(AB184/B184)+(((AB184-B184*INT(AB184/B184)))/C184)/100))),0,(IF(B184=C184,AB184/C184,(INT(AB184/B184)+(((AB184-B184*INT(AB184/B184)))/C184)/100))))</f>
        <v>0</v>
      </c>
      <c r="BN184" s="57">
        <f>IF(ISERROR(IF(B184=C184,AC184/C184,(INT(AC184/B184)+(((AC184-B184*INT(AC184/B184)))/C184)/100))),0,(IF(B184=C184,AC184/C184,(INT(AC184/B184)+(((AC184-B184*INT(AC184/B184)))/C184)/100))))</f>
        <v>0</v>
      </c>
      <c r="BO184" s="57">
        <f>IF(ISERROR(IF(B184=C184,AD184/C184,(INT(AD184/B184)+(((AD184-B184*INT(AD184/B184)))/C184)/100))),0,(IF(B184=C184,AD184/C184,(INT(AD184/B184)+(((AD184-B184*INT(AD184/B184)))/C184)/100))))</f>
        <v>0</v>
      </c>
      <c r="BQ184" s="155"/>
    </row>
    <row r="185" spans="1:69" hidden="1" x14ac:dyDescent="0.35">
      <c r="A185" s="94"/>
      <c r="B185" s="113">
        <v>0</v>
      </c>
      <c r="C185" s="113">
        <v>0</v>
      </c>
      <c r="D185" s="28">
        <f>SUM(AA185:AD185)</f>
        <v>0</v>
      </c>
      <c r="E185" s="113">
        <v>0</v>
      </c>
      <c r="F185" s="113">
        <v>0</v>
      </c>
      <c r="G185" s="28">
        <f>SUM(D185:F185)</f>
        <v>0</v>
      </c>
      <c r="H185" s="125">
        <v>0</v>
      </c>
      <c r="I185" s="113">
        <v>0</v>
      </c>
      <c r="J185" s="125">
        <v>0</v>
      </c>
      <c r="K185" s="113">
        <v>0</v>
      </c>
      <c r="L185" s="113">
        <v>0</v>
      </c>
      <c r="M185" s="113">
        <v>0</v>
      </c>
      <c r="N185" s="28">
        <f>G185-SUM(H185:M185)</f>
        <v>0</v>
      </c>
      <c r="O185" s="28">
        <f>SUM(V185:Y185)</f>
        <v>0</v>
      </c>
      <c r="P185" s="28">
        <f>O185-N185</f>
        <v>0</v>
      </c>
      <c r="Q185" s="61" t="str">
        <f>IF(ISERROR(P185/SUM(H185:L185)),"",P185/SUM(H185:L185))</f>
        <v/>
      </c>
      <c r="R185" s="113">
        <v>0</v>
      </c>
      <c r="S185" s="28">
        <f>IF(ISERROR(P185/C185*R185),0,(P185/C185*R185))</f>
        <v>0</v>
      </c>
      <c r="T185" s="60">
        <f>IF(ISERROR(P185/B185*AF185),0,(P185/B185*AF185))</f>
        <v>0</v>
      </c>
      <c r="V185" s="113">
        <v>0</v>
      </c>
      <c r="W185" s="113">
        <v>0</v>
      </c>
      <c r="X185" s="113">
        <v>0</v>
      </c>
      <c r="Y185" s="113">
        <v>0</v>
      </c>
      <c r="AA185" s="113">
        <v>0</v>
      </c>
      <c r="AB185" s="113">
        <v>0</v>
      </c>
      <c r="AC185" s="113">
        <v>0</v>
      </c>
      <c r="AD185" s="113">
        <v>0</v>
      </c>
      <c r="AF185" s="113">
        <v>0</v>
      </c>
      <c r="AG185" s="28">
        <f>G185-O185</f>
        <v>0</v>
      </c>
      <c r="AH185" s="58">
        <f>IF(ISERROR(AG185/B185*AF185),0,(AG185/B185*AF185))</f>
        <v>0</v>
      </c>
      <c r="AI185" s="28">
        <f>SUM(H185:M185)</f>
        <v>0</v>
      </c>
      <c r="AJ185" s="28">
        <f>IF(ISERROR(AI185/B185*AF185),0,(AI185/B185*AF185))</f>
        <v>0</v>
      </c>
      <c r="AK185" s="58">
        <f>IF(ISERROR(O185/B185*AF185),0,(O185/B185*AF185))</f>
        <v>0</v>
      </c>
      <c r="AL185" s="28">
        <f>IF(ISERROR(H185/B185*AF185),0,(H185/B185*AF185))</f>
        <v>0</v>
      </c>
      <c r="AN185" s="51">
        <f>A185</f>
        <v>0</v>
      </c>
      <c r="AO185" s="57">
        <f>IF(ISERROR(IF(B185=C185,D185/C185,(INT(D185/B185)+(((D185-B185*INT(D185/B185)))/C185)/100))),0,(IF(B185=C185,D185/C185,(INT(D185/B185)+(((D185-B185*INT(D185/B185)))/C185)/100))))</f>
        <v>0</v>
      </c>
      <c r="AP185" s="57">
        <f>IF(ISERROR(IF(B185=C185,E185/C185,(INT(E185/B185)+(((E185-B185*INT(E185/B185)))/C185)/100))),0,(IF(B185=C185,E185/C185,(INT(E185/B185)+(((E185-B185*INT(E185/B185)))/C185)/100))))</f>
        <v>0</v>
      </c>
      <c r="AQ185" s="57">
        <f>IF(ISERROR(IF(B185=C185,F185/C185,IF((INT(F185/B185)+(((F185-B185*INT(F185/B185)))/C185)/100)&lt;0,(INT(F185/B185)+(((F185-B185*INT(F185/B185)))/C185)/100)+(1-(B185/C185/100)),(INT(F185/B185)+(((F185-B185*INT(F185/B185)))/C185)/100)))),0,IF(B185=C185,F185/C185,IF((INT(F185/B185)+(((F185-B185*INT(F185/B185)))/C185)/100)&lt;0,(INT(F185/B185)+(((F185-B185*INT(F185/B185)))/C185)/100)+(1-(B185/C185/100)),(INT(F185/B185)+(((F185-B185*INT(F185/B185)))/C185)/100))))</f>
        <v>0</v>
      </c>
      <c r="AR185" s="57">
        <f>IF(ISERROR(IF(B185=C185,G185/C185,(INT(G185/B185)+(((G185-B185*INT(G185/B185)))/C185)/100))),0,(IF(B185=C185,G185/C185,(INT(G185/B185)+(((G185-B185*INT(G185/B185)))/C185)/100))))</f>
        <v>0</v>
      </c>
      <c r="AS185" s="57">
        <f>IF(ISERROR(IF(B185=C185,H185/C185,(INT(H185/B185)+(((H185-B185*INT(H185/B185)))/C185)/100))),0,(IF(B185=C185,H185/C185,(INT(H185/B185)+(((H185-B185*INT(H185/B185)))/C185)/100))))</f>
        <v>0</v>
      </c>
      <c r="AT185" s="57">
        <f>IF(ISERROR(IF(B185=C185,I185/C185,(INT(I185/B185)+(((I185-B185*INT(I185/B185)))/C185)/100))),0,(IF(B185=C185,I185/C185,(INT(I185/B185)+(((I185-B185*INT(I185/B185)))/C185)/100))))</f>
        <v>0</v>
      </c>
      <c r="AU185" s="57">
        <f>IF(ISERROR(IF(B185=C185,J185/C185,(INT(J185/B185)+(((J185-B185*INT(J185/B185)))/C185)/100))),0,(IF(B185=C185,J185/C185,(INT(J185/B185)+(((J185-B185*INT(J185/B185)))/C185)/100))))</f>
        <v>0</v>
      </c>
      <c r="AV185" s="57">
        <f>IF(ISERROR(IF(B185=C185,K185/C185,IF((INT(K185/B185)+(((K185-B185*INT(K185/B185)))/C185)/100)&lt;0,(INT(K185/B185)+(((K185-B185*INT(K185/B185)))/C185)/100)+(1-(B185/C185/100)),(INT(K185/B185)+(((K185-B185*INT(K185/B185)))/C185)/100)))),0,IF(B185=C185,K185/C185,IF((INT(K185/B185)+(((K185-B185*INT(K185/B185)))/C185)/100)&lt;0,(INT(K185/B185)+(((K185-B185*INT(K185/B185)))/C185)/100)+(1-(B185/C185/100)),(INT(K185/B185)+(((K185-B185*INT(K185/B185)))/C185)/100))))</f>
        <v>0</v>
      </c>
      <c r="AW185" s="57">
        <f>IF(ISERROR(IF(B185=C185,L185/C185,(INT(L185/B185)+(((L185-B185*INT(L185/B185)))/C185)/100))),0,(IF(B185=C185,L185/C185,(INT(L185/B185)+(((L185-B185*INT(L185/B185)))/C185)/100))))</f>
        <v>0</v>
      </c>
      <c r="AX185" s="57">
        <f>IF(ISERROR(IF(B185=C185,M185/C185,(INT(M185/B185)+(((M185-B185*INT(M185/B185)))/C185)/100))),0,(IF(B185=C185,M185/C185,(INT(M185/B185)+(((M185-B185*INT(M185/B185)))/C185)/100))))</f>
        <v>0</v>
      </c>
      <c r="AY185" s="57">
        <f>IF(ISERROR(IF(B185=C185,N185/C185,IF((INT(N185/B185)+(((N185-B185*INT(N185/B185)))/C185)/100)&lt;0,(INT(N185/B185)+(((N185-B185*INT(N185/B185)))/C185)/100)+(1-(B185/C185/100)),(INT(N185/B185)+(((N185-B185*INT(N185/B185)))/C185)/100)))),0,IF(B185=C185,N185/C185,IF((INT(N185/B185)+(((N185-B185*INT(N185/B185)))/C185)/100)&lt;0,(INT(N185/B185)+(((N185-B185*INT(N185/B185)))/C185)/100)+(1-(B185/C185/100)),(INT(N185/B185)+(((N185-B185*INT(N185/B185)))/C185)/100))))</f>
        <v>0</v>
      </c>
      <c r="AZ185" s="57">
        <f>IF(ISERROR(IF(B185=C185,O185/C185,(INT(O185/B185)+(((O185-B185*INT(O185/B185)))/C185)/100))),0,(IF(B185=C185,O185/C185,(INT(O185/B185)+(((O185-B185*INT(O185/B185)))/C185)/100))))</f>
        <v>0</v>
      </c>
      <c r="BA185" s="57">
        <f>IF(ISERROR(IF(B185=C185,P185/C185,IF((INT(P185/B185)+(((P185-B185*INT(P185/B185)))/C185)/100)&lt;0,(INT(P185/B185)+(((P185-B185*INT(P185/B185)))/C185)/100)+(1-(B185/C185/100)),(INT(P185/B185)+(((P185-B185*INT(P185/B185)))/C185)/100)))),0,IF(B185=C185,P185/C185,IF((INT(P185/B185)+(((P185-B185*INT(P185/B185)))/C185)/100)&lt;0,(INT(P185/B185)+(((P185-B185*INT(P185/B185)))/C185)/100)+(1-(B185/C185/100)),(INT(P185/B185)+(((P185-B185*INT(P185/B185)))/C185)/100))))</f>
        <v>0</v>
      </c>
      <c r="BB185" s="28">
        <f>R185</f>
        <v>0</v>
      </c>
      <c r="BC185" s="28">
        <f>S185</f>
        <v>0</v>
      </c>
      <c r="BD185" s="28">
        <f>AF185</f>
        <v>0</v>
      </c>
      <c r="BE185" s="28">
        <f>T185</f>
        <v>0</v>
      </c>
      <c r="BG185" s="57">
        <f>IF(ISERROR(IF(B185=C185,V185/C185,(INT(V185/B185)+(((V185-B185*INT(V185/B185)))/C185)/100))),0,(IF(B185=C185,V185/C185,(INT(V185/B185)+(((V185-B185*INT(V185/B185)))/C185)/100))))</f>
        <v>0</v>
      </c>
      <c r="BH185" s="57">
        <f>IF(ISERROR(IF(B185=C185,W185/C185,(INT(W185/B185)+(((W185-B185*INT(W185/B185)))/C185)/100))),0,(IF(B185=C185,W185/C185,(INT(W185/B185)+(((W185-B185*INT(W185/B185)))/C185)/100))))</f>
        <v>0</v>
      </c>
      <c r="BI185" s="57">
        <f>IF(ISERROR(IF(B185=C185,X185/C185,(INT(X185/B185)+(((X185-B185*INT(X185/B185)))/C185)/100))),0,(IF(B185=C185,X185/C185,(INT(X185/B185)+(((X185-B185*INT(X185/B185)))/C185)/100))))</f>
        <v>0</v>
      </c>
      <c r="BJ185" s="57">
        <f>IF(ISERROR(IF(B185=C185,Y185/C185,(INT(Y185/B185)+(((Y185-B185*INT(Y185/B185)))/C185)/100))),0,(IF(B185=C185,Y185/C185,(INT(Y185/B185)+(((Y185-B185*INT(Y185/B185)))/C185)/100))))</f>
        <v>0</v>
      </c>
      <c r="BL185" s="57">
        <f>IF(ISERROR(IF(B185=C185,AA185/C185,(INT(AA185/B185)+(((AA185-B185*INT(AA185/B185)))/C185)/100))),0,(IF(B185=C185,AA185/C185,(INT(AA185/B185)+(((AA185-B185*INT(AA185/B185)))/C185)/100))))</f>
        <v>0</v>
      </c>
      <c r="BM185" s="57">
        <f>IF(ISERROR(IF(B185=C185,AB185/C185,(INT(AB185/B185)+(((AB185-B185*INT(AB185/B185)))/C185)/100))),0,(IF(B185=C185,AB185/C185,(INT(AB185/B185)+(((AB185-B185*INT(AB185/B185)))/C185)/100))))</f>
        <v>0</v>
      </c>
      <c r="BN185" s="57">
        <f>IF(ISERROR(IF(B185=C185,AC185/C185,(INT(AC185/B185)+(((AC185-B185*INT(AC185/B185)))/C185)/100))),0,(IF(B185=C185,AC185/C185,(INT(AC185/B185)+(((AC185-B185*INT(AC185/B185)))/C185)/100))))</f>
        <v>0</v>
      </c>
      <c r="BO185" s="57">
        <f>IF(ISERROR(IF(B185=C185,AD185/C185,(INT(AD185/B185)+(((AD185-B185*INT(AD185/B185)))/C185)/100))),0,(IF(B185=C185,AD185/C185,(INT(AD185/B185)+(((AD185-B185*INT(AD185/B185)))/C185)/100))))</f>
        <v>0</v>
      </c>
      <c r="BQ185" s="155"/>
    </row>
    <row r="186" spans="1:69" hidden="1" x14ac:dyDescent="0.35">
      <c r="A186" s="94"/>
      <c r="B186" s="113">
        <v>0</v>
      </c>
      <c r="C186" s="113">
        <v>0</v>
      </c>
      <c r="D186" s="28">
        <f>SUM(AA186:AD186)</f>
        <v>0</v>
      </c>
      <c r="E186" s="113">
        <v>0</v>
      </c>
      <c r="F186" s="113">
        <v>0</v>
      </c>
      <c r="G186" s="28">
        <f>SUM(D186:F186)</f>
        <v>0</v>
      </c>
      <c r="H186" s="125">
        <v>0</v>
      </c>
      <c r="I186" s="113">
        <v>0</v>
      </c>
      <c r="J186" s="125">
        <v>0</v>
      </c>
      <c r="K186" s="113">
        <v>0</v>
      </c>
      <c r="L186" s="113">
        <v>0</v>
      </c>
      <c r="M186" s="113">
        <v>0</v>
      </c>
      <c r="N186" s="28">
        <f>G186-SUM(H186:M186)</f>
        <v>0</v>
      </c>
      <c r="O186" s="28">
        <f>SUM(V186:Y186)</f>
        <v>0</v>
      </c>
      <c r="P186" s="28">
        <f>O186-N186</f>
        <v>0</v>
      </c>
      <c r="Q186" s="61" t="str">
        <f>IF(ISERROR(P186/SUM(H186:L186)),"",P186/SUM(H186:L186))</f>
        <v/>
      </c>
      <c r="R186" s="113">
        <v>0</v>
      </c>
      <c r="S186" s="28">
        <f>IF(ISERROR(P186/C186*R186),0,(P186/C186*R186))</f>
        <v>0</v>
      </c>
      <c r="T186" s="60">
        <f>IF(ISERROR(P186/B186*AF186),0,(P186/B186*AF186))</f>
        <v>0</v>
      </c>
      <c r="V186" s="113">
        <v>0</v>
      </c>
      <c r="W186" s="113">
        <v>0</v>
      </c>
      <c r="X186" s="113">
        <v>0</v>
      </c>
      <c r="Y186" s="113">
        <v>0</v>
      </c>
      <c r="AA186" s="113">
        <v>0</v>
      </c>
      <c r="AB186" s="113">
        <v>0</v>
      </c>
      <c r="AC186" s="113">
        <v>0</v>
      </c>
      <c r="AD186" s="113">
        <v>0</v>
      </c>
      <c r="AF186" s="113">
        <v>0</v>
      </c>
      <c r="AG186" s="28">
        <f>G186-O186</f>
        <v>0</v>
      </c>
      <c r="AH186" s="58">
        <f>IF(ISERROR(AG186/B186*AF186),0,(AG186/B186*AF186))</f>
        <v>0</v>
      </c>
      <c r="AI186" s="28">
        <f>SUM(H186:M186)</f>
        <v>0</v>
      </c>
      <c r="AJ186" s="28">
        <f>IF(ISERROR(AI186/B186*AF186),0,(AI186/B186*AF186))</f>
        <v>0</v>
      </c>
      <c r="AK186" s="58">
        <f>IF(ISERROR(O186/B186*AF186),0,(O186/B186*AF186))</f>
        <v>0</v>
      </c>
      <c r="AL186" s="28">
        <f>IF(ISERROR(H186/B186*AF186),0,(H186/B186*AF186))</f>
        <v>0</v>
      </c>
      <c r="AN186" s="51">
        <f>A186</f>
        <v>0</v>
      </c>
      <c r="AO186" s="57">
        <f>IF(ISERROR(IF(B186=C186,D186/C186,(INT(D186/B186)+(((D186-B186*INT(D186/B186)))/C186)/100))),0,(IF(B186=C186,D186/C186,(INT(D186/B186)+(((D186-B186*INT(D186/B186)))/C186)/100))))</f>
        <v>0</v>
      </c>
      <c r="AP186" s="57">
        <f>IF(ISERROR(IF(B186=C186,E186/C186,(INT(E186/B186)+(((E186-B186*INT(E186/B186)))/C186)/100))),0,(IF(B186=C186,E186/C186,(INT(E186/B186)+(((E186-B186*INT(E186/B186)))/C186)/100))))</f>
        <v>0</v>
      </c>
      <c r="AQ186" s="57">
        <f>IF(ISERROR(IF(B186=C186,F186/C186,IF((INT(F186/B186)+(((F186-B186*INT(F186/B186)))/C186)/100)&lt;0,(INT(F186/B186)+(((F186-B186*INT(F186/B186)))/C186)/100)+(1-(B186/C186/100)),(INT(F186/B186)+(((F186-B186*INT(F186/B186)))/C186)/100)))),0,IF(B186=C186,F186/C186,IF((INT(F186/B186)+(((F186-B186*INT(F186/B186)))/C186)/100)&lt;0,(INT(F186/B186)+(((F186-B186*INT(F186/B186)))/C186)/100)+(1-(B186/C186/100)),(INT(F186/B186)+(((F186-B186*INT(F186/B186)))/C186)/100))))</f>
        <v>0</v>
      </c>
      <c r="AR186" s="57">
        <f>IF(ISERROR(IF(B186=C186,G186/C186,(INT(G186/B186)+(((G186-B186*INT(G186/B186)))/C186)/100))),0,(IF(B186=C186,G186/C186,(INT(G186/B186)+(((G186-B186*INT(G186/B186)))/C186)/100))))</f>
        <v>0</v>
      </c>
      <c r="AS186" s="57">
        <f>IF(ISERROR(IF(B186=C186,H186/C186,(INT(H186/B186)+(((H186-B186*INT(H186/B186)))/C186)/100))),0,(IF(B186=C186,H186/C186,(INT(H186/B186)+(((H186-B186*INT(H186/B186)))/C186)/100))))</f>
        <v>0</v>
      </c>
      <c r="AT186" s="57">
        <f>IF(ISERROR(IF(B186=C186,I186/C186,(INT(I186/B186)+(((I186-B186*INT(I186/B186)))/C186)/100))),0,(IF(B186=C186,I186/C186,(INT(I186/B186)+(((I186-B186*INT(I186/B186)))/C186)/100))))</f>
        <v>0</v>
      </c>
      <c r="AU186" s="57">
        <f>IF(ISERROR(IF(B186=C186,J186/C186,(INT(J186/B186)+(((J186-B186*INT(J186/B186)))/C186)/100))),0,(IF(B186=C186,J186/C186,(INT(J186/B186)+(((J186-B186*INT(J186/B186)))/C186)/100))))</f>
        <v>0</v>
      </c>
      <c r="AV186" s="57">
        <f>IF(ISERROR(IF(B186=C186,K186/C186,IF((INT(K186/B186)+(((K186-B186*INT(K186/B186)))/C186)/100)&lt;0,(INT(K186/B186)+(((K186-B186*INT(K186/B186)))/C186)/100)+(1-(B186/C186/100)),(INT(K186/B186)+(((K186-B186*INT(K186/B186)))/C186)/100)))),0,IF(B186=C186,K186/C186,IF((INT(K186/B186)+(((K186-B186*INT(K186/B186)))/C186)/100)&lt;0,(INT(K186/B186)+(((K186-B186*INT(K186/B186)))/C186)/100)+(1-(B186/C186/100)),(INT(K186/B186)+(((K186-B186*INT(K186/B186)))/C186)/100))))</f>
        <v>0</v>
      </c>
      <c r="AW186" s="57">
        <f>IF(ISERROR(IF(B186=C186,L186/C186,(INT(L186/B186)+(((L186-B186*INT(L186/B186)))/C186)/100))),0,(IF(B186=C186,L186/C186,(INT(L186/B186)+(((L186-B186*INT(L186/B186)))/C186)/100))))</f>
        <v>0</v>
      </c>
      <c r="AX186" s="57">
        <f>IF(ISERROR(IF(B186=C186,M186/C186,(INT(M186/B186)+(((M186-B186*INT(M186/B186)))/C186)/100))),0,(IF(B186=C186,M186/C186,(INT(M186/B186)+(((M186-B186*INT(M186/B186)))/C186)/100))))</f>
        <v>0</v>
      </c>
      <c r="AY186" s="57">
        <f>IF(ISERROR(IF(B186=C186,N186/C186,IF((INT(N186/B186)+(((N186-B186*INT(N186/B186)))/C186)/100)&lt;0,(INT(N186/B186)+(((N186-B186*INT(N186/B186)))/C186)/100)+(1-(B186/C186/100)),(INT(N186/B186)+(((N186-B186*INT(N186/B186)))/C186)/100)))),0,IF(B186=C186,N186/C186,IF((INT(N186/B186)+(((N186-B186*INT(N186/B186)))/C186)/100)&lt;0,(INT(N186/B186)+(((N186-B186*INT(N186/B186)))/C186)/100)+(1-(B186/C186/100)),(INT(N186/B186)+(((N186-B186*INT(N186/B186)))/C186)/100))))</f>
        <v>0</v>
      </c>
      <c r="AZ186" s="57">
        <f>IF(ISERROR(IF(B186=C186,O186/C186,(INT(O186/B186)+(((O186-B186*INT(O186/B186)))/C186)/100))),0,(IF(B186=C186,O186/C186,(INT(O186/B186)+(((O186-B186*INT(O186/B186)))/C186)/100))))</f>
        <v>0</v>
      </c>
      <c r="BA186" s="57">
        <f>IF(ISERROR(IF(B186=C186,P186/C186,IF((INT(P186/B186)+(((P186-B186*INT(P186/B186)))/C186)/100)&lt;0,(INT(P186/B186)+(((P186-B186*INT(P186/B186)))/C186)/100)+(1-(B186/C186/100)),(INT(P186/B186)+(((P186-B186*INT(P186/B186)))/C186)/100)))),0,IF(B186=C186,P186/C186,IF((INT(P186/B186)+(((P186-B186*INT(P186/B186)))/C186)/100)&lt;0,(INT(P186/B186)+(((P186-B186*INT(P186/B186)))/C186)/100)+(1-(B186/C186/100)),(INT(P186/B186)+(((P186-B186*INT(P186/B186)))/C186)/100))))</f>
        <v>0</v>
      </c>
      <c r="BB186" s="28">
        <f>R186</f>
        <v>0</v>
      </c>
      <c r="BC186" s="28">
        <f>S186</f>
        <v>0</v>
      </c>
      <c r="BD186" s="28">
        <f>AF186</f>
        <v>0</v>
      </c>
      <c r="BE186" s="28">
        <f>T186</f>
        <v>0</v>
      </c>
      <c r="BG186" s="57">
        <f>IF(ISERROR(IF(B186=C186,V186/C186,(INT(V186/B186)+(((V186-B186*INT(V186/B186)))/C186)/100))),0,(IF(B186=C186,V186/C186,(INT(V186/B186)+(((V186-B186*INT(V186/B186)))/C186)/100))))</f>
        <v>0</v>
      </c>
      <c r="BH186" s="57">
        <f>IF(ISERROR(IF(B186=C186,W186/C186,(INT(W186/B186)+(((W186-B186*INT(W186/B186)))/C186)/100))),0,(IF(B186=C186,W186/C186,(INT(W186/B186)+(((W186-B186*INT(W186/B186)))/C186)/100))))</f>
        <v>0</v>
      </c>
      <c r="BI186" s="57">
        <f>IF(ISERROR(IF(B186=C186,X186/C186,(INT(X186/B186)+(((X186-B186*INT(X186/B186)))/C186)/100))),0,(IF(B186=C186,X186/C186,(INT(X186/B186)+(((X186-B186*INT(X186/B186)))/C186)/100))))</f>
        <v>0</v>
      </c>
      <c r="BJ186" s="57">
        <f>IF(ISERROR(IF(B186=C186,Y186/C186,(INT(Y186/B186)+(((Y186-B186*INT(Y186/B186)))/C186)/100))),0,(IF(B186=C186,Y186/C186,(INT(Y186/B186)+(((Y186-B186*INT(Y186/B186)))/C186)/100))))</f>
        <v>0</v>
      </c>
      <c r="BL186" s="57">
        <f>IF(ISERROR(IF(B186=C186,AA186/C186,(INT(AA186/B186)+(((AA186-B186*INT(AA186/B186)))/C186)/100))),0,(IF(B186=C186,AA186/C186,(INT(AA186/B186)+(((AA186-B186*INT(AA186/B186)))/C186)/100))))</f>
        <v>0</v>
      </c>
      <c r="BM186" s="57">
        <f>IF(ISERROR(IF(B186=C186,AB186/C186,(INT(AB186/B186)+(((AB186-B186*INT(AB186/B186)))/C186)/100))),0,(IF(B186=C186,AB186/C186,(INT(AB186/B186)+(((AB186-B186*INT(AB186/B186)))/C186)/100))))</f>
        <v>0</v>
      </c>
      <c r="BN186" s="57">
        <f>IF(ISERROR(IF(B186=C186,AC186/C186,(INT(AC186/B186)+(((AC186-B186*INT(AC186/B186)))/C186)/100))),0,(IF(B186=C186,AC186/C186,(INT(AC186/B186)+(((AC186-B186*INT(AC186/B186)))/C186)/100))))</f>
        <v>0</v>
      </c>
      <c r="BO186" s="57">
        <f>IF(ISERROR(IF(B186=C186,AD186/C186,(INT(AD186/B186)+(((AD186-B186*INT(AD186/B186)))/C186)/100))),0,(IF(B186=C186,AD186/C186,(INT(AD186/B186)+(((AD186-B186*INT(AD186/B186)))/C186)/100))))</f>
        <v>0</v>
      </c>
      <c r="BQ186" s="155"/>
    </row>
    <row r="187" spans="1:69" hidden="1" x14ac:dyDescent="0.35">
      <c r="A187" s="94"/>
      <c r="B187" s="113">
        <v>0</v>
      </c>
      <c r="C187" s="113">
        <v>0</v>
      </c>
      <c r="D187" s="28">
        <f>SUM(AA187:AD187)</f>
        <v>0</v>
      </c>
      <c r="E187" s="113">
        <v>0</v>
      </c>
      <c r="F187" s="113">
        <v>0</v>
      </c>
      <c r="G187" s="28">
        <f>SUM(D187:F187)</f>
        <v>0</v>
      </c>
      <c r="H187" s="125">
        <v>0</v>
      </c>
      <c r="I187" s="113">
        <v>0</v>
      </c>
      <c r="J187" s="125">
        <v>0</v>
      </c>
      <c r="K187" s="113">
        <v>0</v>
      </c>
      <c r="L187" s="113">
        <v>0</v>
      </c>
      <c r="M187" s="113">
        <v>0</v>
      </c>
      <c r="N187" s="28">
        <f>G187-SUM(H187:M187)</f>
        <v>0</v>
      </c>
      <c r="O187" s="28">
        <f>SUM(V187:Y187)</f>
        <v>0</v>
      </c>
      <c r="P187" s="28">
        <f>O187-N187</f>
        <v>0</v>
      </c>
      <c r="Q187" s="61" t="str">
        <f>IF(ISERROR(P187/SUM(H187:L187)),"",P187/SUM(H187:L187))</f>
        <v/>
      </c>
      <c r="R187" s="113">
        <v>0</v>
      </c>
      <c r="S187" s="28">
        <f>IF(ISERROR(P187/C187*R187),0,(P187/C187*R187))</f>
        <v>0</v>
      </c>
      <c r="T187" s="60">
        <f>IF(ISERROR(P187/B187*AF187),0,(P187/B187*AF187))</f>
        <v>0</v>
      </c>
      <c r="V187" s="113">
        <v>0</v>
      </c>
      <c r="W187" s="113">
        <v>0</v>
      </c>
      <c r="X187" s="113">
        <v>0</v>
      </c>
      <c r="Y187" s="113">
        <v>0</v>
      </c>
      <c r="AA187" s="113">
        <v>0</v>
      </c>
      <c r="AB187" s="113">
        <v>0</v>
      </c>
      <c r="AC187" s="113">
        <v>0</v>
      </c>
      <c r="AD187" s="113">
        <v>0</v>
      </c>
      <c r="AF187" s="113">
        <v>0</v>
      </c>
      <c r="AG187" s="28">
        <f>G187-O187</f>
        <v>0</v>
      </c>
      <c r="AH187" s="58">
        <f>IF(ISERROR(AG187/B187*AF187),0,(AG187/B187*AF187))</f>
        <v>0</v>
      </c>
      <c r="AI187" s="28">
        <f>SUM(H187:M187)</f>
        <v>0</v>
      </c>
      <c r="AJ187" s="28">
        <f>IF(ISERROR(AI187/B187*AF187),0,(AI187/B187*AF187))</f>
        <v>0</v>
      </c>
      <c r="AK187" s="58">
        <f>IF(ISERROR(O187/B187*AF187),0,(O187/B187*AF187))</f>
        <v>0</v>
      </c>
      <c r="AL187" s="28">
        <f>IF(ISERROR(H187/B187*AF187),0,(H187/B187*AF187))</f>
        <v>0</v>
      </c>
      <c r="AN187" s="51">
        <f>A187</f>
        <v>0</v>
      </c>
      <c r="AO187" s="57">
        <f>IF(ISERROR(IF(B187=C187,D187/C187,(INT(D187/B187)+(((D187-B187*INT(D187/B187)))/C187)/100))),0,(IF(B187=C187,D187/C187,(INT(D187/B187)+(((D187-B187*INT(D187/B187)))/C187)/100))))</f>
        <v>0</v>
      </c>
      <c r="AP187" s="57">
        <f>IF(ISERROR(IF(B187=C187,E187/C187,(INT(E187/B187)+(((E187-B187*INT(E187/B187)))/C187)/100))),0,(IF(B187=C187,E187/C187,(INT(E187/B187)+(((E187-B187*INT(E187/B187)))/C187)/100))))</f>
        <v>0</v>
      </c>
      <c r="AQ187" s="57">
        <f>IF(ISERROR(IF(B187=C187,F187/C187,IF((INT(F187/B187)+(((F187-B187*INT(F187/B187)))/C187)/100)&lt;0,(INT(F187/B187)+(((F187-B187*INT(F187/B187)))/C187)/100)+(1-(B187/C187/100)),(INT(F187/B187)+(((F187-B187*INT(F187/B187)))/C187)/100)))),0,IF(B187=C187,F187/C187,IF((INT(F187/B187)+(((F187-B187*INT(F187/B187)))/C187)/100)&lt;0,(INT(F187/B187)+(((F187-B187*INT(F187/B187)))/C187)/100)+(1-(B187/C187/100)),(INT(F187/B187)+(((F187-B187*INT(F187/B187)))/C187)/100))))</f>
        <v>0</v>
      </c>
      <c r="AR187" s="57">
        <f>IF(ISERROR(IF(B187=C187,G187/C187,(INT(G187/B187)+(((G187-B187*INT(G187/B187)))/C187)/100))),0,(IF(B187=C187,G187/C187,(INT(G187/B187)+(((G187-B187*INT(G187/B187)))/C187)/100))))</f>
        <v>0</v>
      </c>
      <c r="AS187" s="57">
        <f>IF(ISERROR(IF(B187=C187,H187/C187,(INT(H187/B187)+(((H187-B187*INT(H187/B187)))/C187)/100))),0,(IF(B187=C187,H187/C187,(INT(H187/B187)+(((H187-B187*INT(H187/B187)))/C187)/100))))</f>
        <v>0</v>
      </c>
      <c r="AT187" s="57">
        <f>IF(ISERROR(IF(B187=C187,I187/C187,(INT(I187/B187)+(((I187-B187*INT(I187/B187)))/C187)/100))),0,(IF(B187=C187,I187/C187,(INT(I187/B187)+(((I187-B187*INT(I187/B187)))/C187)/100))))</f>
        <v>0</v>
      </c>
      <c r="AU187" s="57">
        <f>IF(ISERROR(IF(B187=C187,J187/C187,(INT(J187/B187)+(((J187-B187*INT(J187/B187)))/C187)/100))),0,(IF(B187=C187,J187/C187,(INT(J187/B187)+(((J187-B187*INT(J187/B187)))/C187)/100))))</f>
        <v>0</v>
      </c>
      <c r="AV187" s="57">
        <f>IF(ISERROR(IF(B187=C187,K187/C187,IF((INT(K187/B187)+(((K187-B187*INT(K187/B187)))/C187)/100)&lt;0,(INT(K187/B187)+(((K187-B187*INT(K187/B187)))/C187)/100)+(1-(B187/C187/100)),(INT(K187/B187)+(((K187-B187*INT(K187/B187)))/C187)/100)))),0,IF(B187=C187,K187/C187,IF((INT(K187/B187)+(((K187-B187*INT(K187/B187)))/C187)/100)&lt;0,(INT(K187/B187)+(((K187-B187*INT(K187/B187)))/C187)/100)+(1-(B187/C187/100)),(INT(K187/B187)+(((K187-B187*INT(K187/B187)))/C187)/100))))</f>
        <v>0</v>
      </c>
      <c r="AW187" s="57">
        <f>IF(ISERROR(IF(B187=C187,L187/C187,(INT(L187/B187)+(((L187-B187*INT(L187/B187)))/C187)/100))),0,(IF(B187=C187,L187/C187,(INT(L187/B187)+(((L187-B187*INT(L187/B187)))/C187)/100))))</f>
        <v>0</v>
      </c>
      <c r="AX187" s="57">
        <f>IF(ISERROR(IF(B187=C187,M187/C187,(INT(M187/B187)+(((M187-B187*INT(M187/B187)))/C187)/100))),0,(IF(B187=C187,M187/C187,(INT(M187/B187)+(((M187-B187*INT(M187/B187)))/C187)/100))))</f>
        <v>0</v>
      </c>
      <c r="AY187" s="57">
        <f>IF(ISERROR(IF(B187=C187,N187/C187,IF((INT(N187/B187)+(((N187-B187*INT(N187/B187)))/C187)/100)&lt;0,(INT(N187/B187)+(((N187-B187*INT(N187/B187)))/C187)/100)+(1-(B187/C187/100)),(INT(N187/B187)+(((N187-B187*INT(N187/B187)))/C187)/100)))),0,IF(B187=C187,N187/C187,IF((INT(N187/B187)+(((N187-B187*INT(N187/B187)))/C187)/100)&lt;0,(INT(N187/B187)+(((N187-B187*INT(N187/B187)))/C187)/100)+(1-(B187/C187/100)),(INT(N187/B187)+(((N187-B187*INT(N187/B187)))/C187)/100))))</f>
        <v>0</v>
      </c>
      <c r="AZ187" s="57">
        <f>IF(ISERROR(IF(B187=C187,O187/C187,(INT(O187/B187)+(((O187-B187*INT(O187/B187)))/C187)/100))),0,(IF(B187=C187,O187/C187,(INT(O187/B187)+(((O187-B187*INT(O187/B187)))/C187)/100))))</f>
        <v>0</v>
      </c>
      <c r="BA187" s="57">
        <f>IF(ISERROR(IF(B187=C187,P187/C187,IF((INT(P187/B187)+(((P187-B187*INT(P187/B187)))/C187)/100)&lt;0,(INT(P187/B187)+(((P187-B187*INT(P187/B187)))/C187)/100)+(1-(B187/C187/100)),(INT(P187/B187)+(((P187-B187*INT(P187/B187)))/C187)/100)))),0,IF(B187=C187,P187/C187,IF((INT(P187/B187)+(((P187-B187*INT(P187/B187)))/C187)/100)&lt;0,(INT(P187/B187)+(((P187-B187*INT(P187/B187)))/C187)/100)+(1-(B187/C187/100)),(INT(P187/B187)+(((P187-B187*INT(P187/B187)))/C187)/100))))</f>
        <v>0</v>
      </c>
      <c r="BB187" s="28">
        <f>R187</f>
        <v>0</v>
      </c>
      <c r="BC187" s="28">
        <f>S187</f>
        <v>0</v>
      </c>
      <c r="BD187" s="28">
        <f>AF187</f>
        <v>0</v>
      </c>
      <c r="BE187" s="28">
        <f>T187</f>
        <v>0</v>
      </c>
      <c r="BG187" s="57">
        <f>IF(ISERROR(IF(B187=C187,V187/C187,(INT(V187/B187)+(((V187-B187*INT(V187/B187)))/C187)/100))),0,(IF(B187=C187,V187/C187,(INT(V187/B187)+(((V187-B187*INT(V187/B187)))/C187)/100))))</f>
        <v>0</v>
      </c>
      <c r="BH187" s="57">
        <f>IF(ISERROR(IF(B187=C187,W187/C187,(INT(W187/B187)+(((W187-B187*INT(W187/B187)))/C187)/100))),0,(IF(B187=C187,W187/C187,(INT(W187/B187)+(((W187-B187*INT(W187/B187)))/C187)/100))))</f>
        <v>0</v>
      </c>
      <c r="BI187" s="57">
        <f>IF(ISERROR(IF(B187=C187,X187/C187,(INT(X187/B187)+(((X187-B187*INT(X187/B187)))/C187)/100))),0,(IF(B187=C187,X187/C187,(INT(X187/B187)+(((X187-B187*INT(X187/B187)))/C187)/100))))</f>
        <v>0</v>
      </c>
      <c r="BJ187" s="57">
        <f>IF(ISERROR(IF(B187=C187,Y187/C187,(INT(Y187/B187)+(((Y187-B187*INT(Y187/B187)))/C187)/100))),0,(IF(B187=C187,Y187/C187,(INT(Y187/B187)+(((Y187-B187*INT(Y187/B187)))/C187)/100))))</f>
        <v>0</v>
      </c>
      <c r="BL187" s="57">
        <f>IF(ISERROR(IF(B187=C187,AA187/C187,(INT(AA187/B187)+(((AA187-B187*INT(AA187/B187)))/C187)/100))),0,(IF(B187=C187,AA187/C187,(INT(AA187/B187)+(((AA187-B187*INT(AA187/B187)))/C187)/100))))</f>
        <v>0</v>
      </c>
      <c r="BM187" s="57">
        <f>IF(ISERROR(IF(B187=C187,AB187/C187,(INT(AB187/B187)+(((AB187-B187*INT(AB187/B187)))/C187)/100))),0,(IF(B187=C187,AB187/C187,(INT(AB187/B187)+(((AB187-B187*INT(AB187/B187)))/C187)/100))))</f>
        <v>0</v>
      </c>
      <c r="BN187" s="57">
        <f>IF(ISERROR(IF(B187=C187,AC187/C187,(INT(AC187/B187)+(((AC187-B187*INT(AC187/B187)))/C187)/100))),0,(IF(B187=C187,AC187/C187,(INT(AC187/B187)+(((AC187-B187*INT(AC187/B187)))/C187)/100))))</f>
        <v>0</v>
      </c>
      <c r="BO187" s="57">
        <f>IF(ISERROR(IF(B187=C187,AD187/C187,(INT(AD187/B187)+(((AD187-B187*INT(AD187/B187)))/C187)/100))),0,(IF(B187=C187,AD187/C187,(INT(AD187/B187)+(((AD187-B187*INT(AD187/B187)))/C187)/100))))</f>
        <v>0</v>
      </c>
      <c r="BQ187" s="155"/>
    </row>
    <row r="188" spans="1:69" hidden="1" x14ac:dyDescent="0.35">
      <c r="A188" s="94"/>
      <c r="B188" s="113">
        <v>0</v>
      </c>
      <c r="C188" s="113">
        <v>0</v>
      </c>
      <c r="D188" s="28">
        <f>SUM(AA188:AD188)</f>
        <v>0</v>
      </c>
      <c r="E188" s="113">
        <v>0</v>
      </c>
      <c r="F188" s="113">
        <v>0</v>
      </c>
      <c r="G188" s="28">
        <f>SUM(D188:F188)</f>
        <v>0</v>
      </c>
      <c r="H188" s="125">
        <v>0</v>
      </c>
      <c r="I188" s="113">
        <v>0</v>
      </c>
      <c r="J188" s="125">
        <v>0</v>
      </c>
      <c r="K188" s="113">
        <v>0</v>
      </c>
      <c r="L188" s="113">
        <v>0</v>
      </c>
      <c r="M188" s="113">
        <v>0</v>
      </c>
      <c r="N188" s="28">
        <f>G188-SUM(H188:M188)</f>
        <v>0</v>
      </c>
      <c r="O188" s="28">
        <f>SUM(V188:Y188)</f>
        <v>0</v>
      </c>
      <c r="P188" s="28">
        <f>O188-N188</f>
        <v>0</v>
      </c>
      <c r="Q188" s="61" t="str">
        <f>IF(ISERROR(P188/SUM(H188:L188)),"",P188/SUM(H188:L188))</f>
        <v/>
      </c>
      <c r="R188" s="113">
        <v>0</v>
      </c>
      <c r="S188" s="28">
        <f>IF(ISERROR(P188/C188*R188),0,(P188/C188*R188))</f>
        <v>0</v>
      </c>
      <c r="T188" s="60">
        <f>IF(ISERROR(P188/B188*AF188),0,(P188/B188*AF188))</f>
        <v>0</v>
      </c>
      <c r="V188" s="113">
        <v>0</v>
      </c>
      <c r="W188" s="113">
        <v>0</v>
      </c>
      <c r="X188" s="113">
        <v>0</v>
      </c>
      <c r="Y188" s="113">
        <v>0</v>
      </c>
      <c r="AA188" s="113">
        <v>0</v>
      </c>
      <c r="AB188" s="113">
        <v>0</v>
      </c>
      <c r="AC188" s="113">
        <v>0</v>
      </c>
      <c r="AD188" s="113">
        <v>0</v>
      </c>
      <c r="AF188" s="113">
        <v>0</v>
      </c>
      <c r="AG188" s="28">
        <f>G188-O188</f>
        <v>0</v>
      </c>
      <c r="AH188" s="58">
        <f>IF(ISERROR(AG188/B188*AF188),0,(AG188/B188*AF188))</f>
        <v>0</v>
      </c>
      <c r="AI188" s="28">
        <f>SUM(H188:M188)</f>
        <v>0</v>
      </c>
      <c r="AJ188" s="28">
        <f>IF(ISERROR(AI188/B188*AF188),0,(AI188/B188*AF188))</f>
        <v>0</v>
      </c>
      <c r="AK188" s="58">
        <f>IF(ISERROR(O188/B188*AF188),0,(O188/B188*AF188))</f>
        <v>0</v>
      </c>
      <c r="AL188" s="28">
        <f>IF(ISERROR(H188/B188*AF188),0,(H188/B188*AF188))</f>
        <v>0</v>
      </c>
      <c r="AN188" s="51">
        <f>A188</f>
        <v>0</v>
      </c>
      <c r="AO188" s="57">
        <f>IF(ISERROR(IF(B188=C188,D188/C188,(INT(D188/B188)+(((D188-B188*INT(D188/B188)))/C188)/100))),0,(IF(B188=C188,D188/C188,(INT(D188/B188)+(((D188-B188*INT(D188/B188)))/C188)/100))))</f>
        <v>0</v>
      </c>
      <c r="AP188" s="57">
        <f>IF(ISERROR(IF(B188=C188,E188/C188,(INT(E188/B188)+(((E188-B188*INT(E188/B188)))/C188)/100))),0,(IF(B188=C188,E188/C188,(INT(E188/B188)+(((E188-B188*INT(E188/B188)))/C188)/100))))</f>
        <v>0</v>
      </c>
      <c r="AQ188" s="57">
        <f>IF(ISERROR(IF(B188=C188,F188/C188,IF((INT(F188/B188)+(((F188-B188*INT(F188/B188)))/C188)/100)&lt;0,(INT(F188/B188)+(((F188-B188*INT(F188/B188)))/C188)/100)+(1-(B188/C188/100)),(INT(F188/B188)+(((F188-B188*INT(F188/B188)))/C188)/100)))),0,IF(B188=C188,F188/C188,IF((INT(F188/B188)+(((F188-B188*INT(F188/B188)))/C188)/100)&lt;0,(INT(F188/B188)+(((F188-B188*INT(F188/B188)))/C188)/100)+(1-(B188/C188/100)),(INT(F188/B188)+(((F188-B188*INT(F188/B188)))/C188)/100))))</f>
        <v>0</v>
      </c>
      <c r="AR188" s="57">
        <f>IF(ISERROR(IF(B188=C188,G188/C188,(INT(G188/B188)+(((G188-B188*INT(G188/B188)))/C188)/100))),0,(IF(B188=C188,G188/C188,(INT(G188/B188)+(((G188-B188*INT(G188/B188)))/C188)/100))))</f>
        <v>0</v>
      </c>
      <c r="AS188" s="57">
        <f>IF(ISERROR(IF(B188=C188,H188/C188,(INT(H188/B188)+(((H188-B188*INT(H188/B188)))/C188)/100))),0,(IF(B188=C188,H188/C188,(INT(H188/B188)+(((H188-B188*INT(H188/B188)))/C188)/100))))</f>
        <v>0</v>
      </c>
      <c r="AT188" s="57">
        <f>IF(ISERROR(IF(B188=C188,I188/C188,(INT(I188/B188)+(((I188-B188*INT(I188/B188)))/C188)/100))),0,(IF(B188=C188,I188/C188,(INT(I188/B188)+(((I188-B188*INT(I188/B188)))/C188)/100))))</f>
        <v>0</v>
      </c>
      <c r="AU188" s="57">
        <f>IF(ISERROR(IF(B188=C188,J188/C188,(INT(J188/B188)+(((J188-B188*INT(J188/B188)))/C188)/100))),0,(IF(B188=C188,J188/C188,(INT(J188/B188)+(((J188-B188*INT(J188/B188)))/C188)/100))))</f>
        <v>0</v>
      </c>
      <c r="AV188" s="57">
        <f>IF(ISERROR(IF(B188=C188,K188/C188,IF((INT(K188/B188)+(((K188-B188*INT(K188/B188)))/C188)/100)&lt;0,(INT(K188/B188)+(((K188-B188*INT(K188/B188)))/C188)/100)+(1-(B188/C188/100)),(INT(K188/B188)+(((K188-B188*INT(K188/B188)))/C188)/100)))),0,IF(B188=C188,K188/C188,IF((INT(K188/B188)+(((K188-B188*INT(K188/B188)))/C188)/100)&lt;0,(INT(K188/B188)+(((K188-B188*INT(K188/B188)))/C188)/100)+(1-(B188/C188/100)),(INT(K188/B188)+(((K188-B188*INT(K188/B188)))/C188)/100))))</f>
        <v>0</v>
      </c>
      <c r="AW188" s="57">
        <f>IF(ISERROR(IF(B188=C188,L188/C188,(INT(L188/B188)+(((L188-B188*INT(L188/B188)))/C188)/100))),0,(IF(B188=C188,L188/C188,(INT(L188/B188)+(((L188-B188*INT(L188/B188)))/C188)/100))))</f>
        <v>0</v>
      </c>
      <c r="AX188" s="57">
        <f>IF(ISERROR(IF(B188=C188,M188/C188,(INT(M188/B188)+(((M188-B188*INT(M188/B188)))/C188)/100))),0,(IF(B188=C188,M188/C188,(INT(M188/B188)+(((M188-B188*INT(M188/B188)))/C188)/100))))</f>
        <v>0</v>
      </c>
      <c r="AY188" s="57">
        <f>IF(ISERROR(IF(B188=C188,N188/C188,IF((INT(N188/B188)+(((N188-B188*INT(N188/B188)))/C188)/100)&lt;0,(INT(N188/B188)+(((N188-B188*INT(N188/B188)))/C188)/100)+(1-(B188/C188/100)),(INT(N188/B188)+(((N188-B188*INT(N188/B188)))/C188)/100)))),0,IF(B188=C188,N188/C188,IF((INT(N188/B188)+(((N188-B188*INT(N188/B188)))/C188)/100)&lt;0,(INT(N188/B188)+(((N188-B188*INT(N188/B188)))/C188)/100)+(1-(B188/C188/100)),(INT(N188/B188)+(((N188-B188*INT(N188/B188)))/C188)/100))))</f>
        <v>0</v>
      </c>
      <c r="AZ188" s="57">
        <f>IF(ISERROR(IF(B188=C188,O188/C188,(INT(O188/B188)+(((O188-B188*INT(O188/B188)))/C188)/100))),0,(IF(B188=C188,O188/C188,(INT(O188/B188)+(((O188-B188*INT(O188/B188)))/C188)/100))))</f>
        <v>0</v>
      </c>
      <c r="BA188" s="57">
        <f>IF(ISERROR(IF(B188=C188,P188/C188,IF((INT(P188/B188)+(((P188-B188*INT(P188/B188)))/C188)/100)&lt;0,(INT(P188/B188)+(((P188-B188*INT(P188/B188)))/C188)/100)+(1-(B188/C188/100)),(INT(P188/B188)+(((P188-B188*INT(P188/B188)))/C188)/100)))),0,IF(B188=C188,P188/C188,IF((INT(P188/B188)+(((P188-B188*INT(P188/B188)))/C188)/100)&lt;0,(INT(P188/B188)+(((P188-B188*INT(P188/B188)))/C188)/100)+(1-(B188/C188/100)),(INT(P188/B188)+(((P188-B188*INT(P188/B188)))/C188)/100))))</f>
        <v>0</v>
      </c>
      <c r="BB188" s="28">
        <f>R188</f>
        <v>0</v>
      </c>
      <c r="BC188" s="28">
        <f>S188</f>
        <v>0</v>
      </c>
      <c r="BD188" s="28">
        <f>AF188</f>
        <v>0</v>
      </c>
      <c r="BE188" s="28">
        <f>T188</f>
        <v>0</v>
      </c>
      <c r="BG188" s="57">
        <f>IF(ISERROR(IF(B188=C188,V188/C188,(INT(V188/B188)+(((V188-B188*INT(V188/B188)))/C188)/100))),0,(IF(B188=C188,V188/C188,(INT(V188/B188)+(((V188-B188*INT(V188/B188)))/C188)/100))))</f>
        <v>0</v>
      </c>
      <c r="BH188" s="57">
        <f>IF(ISERROR(IF(B188=C188,W188/C188,(INT(W188/B188)+(((W188-B188*INT(W188/B188)))/C188)/100))),0,(IF(B188=C188,W188/C188,(INT(W188/B188)+(((W188-B188*INT(W188/B188)))/C188)/100))))</f>
        <v>0</v>
      </c>
      <c r="BI188" s="57">
        <f>IF(ISERROR(IF(B188=C188,X188/C188,(INT(X188/B188)+(((X188-B188*INT(X188/B188)))/C188)/100))),0,(IF(B188=C188,X188/C188,(INT(X188/B188)+(((X188-B188*INT(X188/B188)))/C188)/100))))</f>
        <v>0</v>
      </c>
      <c r="BJ188" s="57">
        <f>IF(ISERROR(IF(B188=C188,Y188/C188,(INT(Y188/B188)+(((Y188-B188*INT(Y188/B188)))/C188)/100))),0,(IF(B188=C188,Y188/C188,(INT(Y188/B188)+(((Y188-B188*INT(Y188/B188)))/C188)/100))))</f>
        <v>0</v>
      </c>
      <c r="BL188" s="57">
        <f>IF(ISERROR(IF(B188=C188,AA188/C188,(INT(AA188/B188)+(((AA188-B188*INT(AA188/B188)))/C188)/100))),0,(IF(B188=C188,AA188/C188,(INT(AA188/B188)+(((AA188-B188*INT(AA188/B188)))/C188)/100))))</f>
        <v>0</v>
      </c>
      <c r="BM188" s="57">
        <f>IF(ISERROR(IF(B188=C188,AB188/C188,(INT(AB188/B188)+(((AB188-B188*INT(AB188/B188)))/C188)/100))),0,(IF(B188=C188,AB188/C188,(INT(AB188/B188)+(((AB188-B188*INT(AB188/B188)))/C188)/100))))</f>
        <v>0</v>
      </c>
      <c r="BN188" s="57">
        <f>IF(ISERROR(IF(B188=C188,AC188/C188,(INT(AC188/B188)+(((AC188-B188*INT(AC188/B188)))/C188)/100))),0,(IF(B188=C188,AC188/C188,(INT(AC188/B188)+(((AC188-B188*INT(AC188/B188)))/C188)/100))))</f>
        <v>0</v>
      </c>
      <c r="BO188" s="57">
        <f>IF(ISERROR(IF(B188=C188,AD188/C188,(INT(AD188/B188)+(((AD188-B188*INT(AD188/B188)))/C188)/100))),0,(IF(B188=C188,AD188/C188,(INT(AD188/B188)+(((AD188-B188*INT(AD188/B188)))/C188)/100))))</f>
        <v>0</v>
      </c>
      <c r="BQ188" s="155"/>
    </row>
    <row r="189" spans="1:69" hidden="1" x14ac:dyDescent="0.35">
      <c r="A189" s="94"/>
      <c r="B189" s="113">
        <v>0</v>
      </c>
      <c r="C189" s="113">
        <v>0</v>
      </c>
      <c r="D189" s="28">
        <f>SUM(AA189:AD189)</f>
        <v>0</v>
      </c>
      <c r="E189" s="113">
        <v>0</v>
      </c>
      <c r="F189" s="113">
        <v>0</v>
      </c>
      <c r="G189" s="28">
        <f>SUM(D189:F189)</f>
        <v>0</v>
      </c>
      <c r="H189" s="125">
        <v>0</v>
      </c>
      <c r="I189" s="113">
        <v>0</v>
      </c>
      <c r="J189" s="125">
        <v>0</v>
      </c>
      <c r="K189" s="113">
        <v>0</v>
      </c>
      <c r="L189" s="113">
        <v>0</v>
      </c>
      <c r="M189" s="113">
        <v>0</v>
      </c>
      <c r="N189" s="28">
        <f>G189-SUM(H189:M189)</f>
        <v>0</v>
      </c>
      <c r="O189" s="28">
        <f>SUM(V189:Y189)</f>
        <v>0</v>
      </c>
      <c r="P189" s="28">
        <f>O189-N189</f>
        <v>0</v>
      </c>
      <c r="Q189" s="61" t="str">
        <f>IF(ISERROR(P189/SUM(H189:L189)),"",P189/SUM(H189:L189))</f>
        <v/>
      </c>
      <c r="R189" s="113">
        <v>0</v>
      </c>
      <c r="S189" s="28">
        <f>IF(ISERROR(P189/C189*R189),0,(P189/C189*R189))</f>
        <v>0</v>
      </c>
      <c r="T189" s="60">
        <f>IF(ISERROR(P189/B189*AF189),0,(P189/B189*AF189))</f>
        <v>0</v>
      </c>
      <c r="V189" s="113">
        <v>0</v>
      </c>
      <c r="W189" s="113">
        <v>0</v>
      </c>
      <c r="X189" s="113">
        <v>0</v>
      </c>
      <c r="Y189" s="113">
        <v>0</v>
      </c>
      <c r="AA189" s="113">
        <v>0</v>
      </c>
      <c r="AB189" s="113">
        <v>0</v>
      </c>
      <c r="AC189" s="113">
        <v>0</v>
      </c>
      <c r="AD189" s="113">
        <v>0</v>
      </c>
      <c r="AF189" s="113">
        <v>0</v>
      </c>
      <c r="AG189" s="28">
        <f>G189-O189</f>
        <v>0</v>
      </c>
      <c r="AH189" s="58">
        <f>IF(ISERROR(AG189/B189*AF189),0,(AG189/B189*AF189))</f>
        <v>0</v>
      </c>
      <c r="AI189" s="28">
        <f>SUM(H189:M189)</f>
        <v>0</v>
      </c>
      <c r="AJ189" s="28">
        <f>IF(ISERROR(AI189/B189*AF189),0,(AI189/B189*AF189))</f>
        <v>0</v>
      </c>
      <c r="AK189" s="58">
        <f>IF(ISERROR(O189/B189*AF189),0,(O189/B189*AF189))</f>
        <v>0</v>
      </c>
      <c r="AL189" s="28">
        <f>IF(ISERROR(H189/B189*AF189),0,(H189/B189*AF189))</f>
        <v>0</v>
      </c>
      <c r="AN189" s="51">
        <f>A189</f>
        <v>0</v>
      </c>
      <c r="AO189" s="57">
        <f>IF(ISERROR(IF(B189=C189,D189/C189,(INT(D189/B189)+(((D189-B189*INT(D189/B189)))/C189)/100))),0,(IF(B189=C189,D189/C189,(INT(D189/B189)+(((D189-B189*INT(D189/B189)))/C189)/100))))</f>
        <v>0</v>
      </c>
      <c r="AP189" s="57">
        <f>IF(ISERROR(IF(B189=C189,E189/C189,(INT(E189/B189)+(((E189-B189*INT(E189/B189)))/C189)/100))),0,(IF(B189=C189,E189/C189,(INT(E189/B189)+(((E189-B189*INT(E189/B189)))/C189)/100))))</f>
        <v>0</v>
      </c>
      <c r="AQ189" s="57">
        <f>IF(ISERROR(IF(B189=C189,F189/C189,IF((INT(F189/B189)+(((F189-B189*INT(F189/B189)))/C189)/100)&lt;0,(INT(F189/B189)+(((F189-B189*INT(F189/B189)))/C189)/100)+(1-(B189/C189/100)),(INT(F189/B189)+(((F189-B189*INT(F189/B189)))/C189)/100)))),0,IF(B189=C189,F189/C189,IF((INT(F189/B189)+(((F189-B189*INT(F189/B189)))/C189)/100)&lt;0,(INT(F189/B189)+(((F189-B189*INT(F189/B189)))/C189)/100)+(1-(B189/C189/100)),(INT(F189/B189)+(((F189-B189*INT(F189/B189)))/C189)/100))))</f>
        <v>0</v>
      </c>
      <c r="AR189" s="57">
        <f>IF(ISERROR(IF(B189=C189,G189/C189,(INT(G189/B189)+(((G189-B189*INT(G189/B189)))/C189)/100))),0,(IF(B189=C189,G189/C189,(INT(G189/B189)+(((G189-B189*INT(G189/B189)))/C189)/100))))</f>
        <v>0</v>
      </c>
      <c r="AS189" s="57">
        <f>IF(ISERROR(IF(B189=C189,H189/C189,(INT(H189/B189)+(((H189-B189*INT(H189/B189)))/C189)/100))),0,(IF(B189=C189,H189/C189,(INT(H189/B189)+(((H189-B189*INT(H189/B189)))/C189)/100))))</f>
        <v>0</v>
      </c>
      <c r="AT189" s="57">
        <f>IF(ISERROR(IF(B189=C189,I189/C189,(INT(I189/B189)+(((I189-B189*INT(I189/B189)))/C189)/100))),0,(IF(B189=C189,I189/C189,(INT(I189/B189)+(((I189-B189*INT(I189/B189)))/C189)/100))))</f>
        <v>0</v>
      </c>
      <c r="AU189" s="57">
        <f>IF(ISERROR(IF(B189=C189,J189/C189,(INT(J189/B189)+(((J189-B189*INT(J189/B189)))/C189)/100))),0,(IF(B189=C189,J189/C189,(INT(J189/B189)+(((J189-B189*INT(J189/B189)))/C189)/100))))</f>
        <v>0</v>
      </c>
      <c r="AV189" s="57">
        <f>IF(ISERROR(IF(B189=C189,K189/C189,IF((INT(K189/B189)+(((K189-B189*INT(K189/B189)))/C189)/100)&lt;0,(INT(K189/B189)+(((K189-B189*INT(K189/B189)))/C189)/100)+(1-(B189/C189/100)),(INT(K189/B189)+(((K189-B189*INT(K189/B189)))/C189)/100)))),0,IF(B189=C189,K189/C189,IF((INT(K189/B189)+(((K189-B189*INT(K189/B189)))/C189)/100)&lt;0,(INT(K189/B189)+(((K189-B189*INT(K189/B189)))/C189)/100)+(1-(B189/C189/100)),(INT(K189/B189)+(((K189-B189*INT(K189/B189)))/C189)/100))))</f>
        <v>0</v>
      </c>
      <c r="AW189" s="57">
        <f>IF(ISERROR(IF(B189=C189,L189/C189,(INT(L189/B189)+(((L189-B189*INT(L189/B189)))/C189)/100))),0,(IF(B189=C189,L189/C189,(INT(L189/B189)+(((L189-B189*INT(L189/B189)))/C189)/100))))</f>
        <v>0</v>
      </c>
      <c r="AX189" s="57">
        <f>IF(ISERROR(IF(B189=C189,M189/C189,(INT(M189/B189)+(((M189-B189*INT(M189/B189)))/C189)/100))),0,(IF(B189=C189,M189/C189,(INT(M189/B189)+(((M189-B189*INT(M189/B189)))/C189)/100))))</f>
        <v>0</v>
      </c>
      <c r="AY189" s="57">
        <f>IF(ISERROR(IF(B189=C189,N189/C189,IF((INT(N189/B189)+(((N189-B189*INT(N189/B189)))/C189)/100)&lt;0,(INT(N189/B189)+(((N189-B189*INT(N189/B189)))/C189)/100)+(1-(B189/C189/100)),(INT(N189/B189)+(((N189-B189*INT(N189/B189)))/C189)/100)))),0,IF(B189=C189,N189/C189,IF((INT(N189/B189)+(((N189-B189*INT(N189/B189)))/C189)/100)&lt;0,(INT(N189/B189)+(((N189-B189*INT(N189/B189)))/C189)/100)+(1-(B189/C189/100)),(INT(N189/B189)+(((N189-B189*INT(N189/B189)))/C189)/100))))</f>
        <v>0</v>
      </c>
      <c r="AZ189" s="57">
        <f>IF(ISERROR(IF(B189=C189,O189/C189,(INT(O189/B189)+(((O189-B189*INT(O189/B189)))/C189)/100))),0,(IF(B189=C189,O189/C189,(INT(O189/B189)+(((O189-B189*INT(O189/B189)))/C189)/100))))</f>
        <v>0</v>
      </c>
      <c r="BA189" s="57">
        <f>IF(ISERROR(IF(B189=C189,P189/C189,IF((INT(P189/B189)+(((P189-B189*INT(P189/B189)))/C189)/100)&lt;0,(INT(P189/B189)+(((P189-B189*INT(P189/B189)))/C189)/100)+(1-(B189/C189/100)),(INT(P189/B189)+(((P189-B189*INT(P189/B189)))/C189)/100)))),0,IF(B189=C189,P189/C189,IF((INT(P189/B189)+(((P189-B189*INT(P189/B189)))/C189)/100)&lt;0,(INT(P189/B189)+(((P189-B189*INT(P189/B189)))/C189)/100)+(1-(B189/C189/100)),(INT(P189/B189)+(((P189-B189*INT(P189/B189)))/C189)/100))))</f>
        <v>0</v>
      </c>
      <c r="BB189" s="28">
        <f>R189</f>
        <v>0</v>
      </c>
      <c r="BC189" s="28">
        <f>S189</f>
        <v>0</v>
      </c>
      <c r="BD189" s="28">
        <f>AF189</f>
        <v>0</v>
      </c>
      <c r="BE189" s="28">
        <f>T189</f>
        <v>0</v>
      </c>
      <c r="BG189" s="57">
        <f>IF(ISERROR(IF(B189=C189,V189/C189,(INT(V189/B189)+(((V189-B189*INT(V189/B189)))/C189)/100))),0,(IF(B189=C189,V189/C189,(INT(V189/B189)+(((V189-B189*INT(V189/B189)))/C189)/100))))</f>
        <v>0</v>
      </c>
      <c r="BH189" s="57">
        <f>IF(ISERROR(IF(B189=C189,W189/C189,(INT(W189/B189)+(((W189-B189*INT(W189/B189)))/C189)/100))),0,(IF(B189=C189,W189/C189,(INT(W189/B189)+(((W189-B189*INT(W189/B189)))/C189)/100))))</f>
        <v>0</v>
      </c>
      <c r="BI189" s="57">
        <f>IF(ISERROR(IF(B189=C189,X189/C189,(INT(X189/B189)+(((X189-B189*INT(X189/B189)))/C189)/100))),0,(IF(B189=C189,X189/C189,(INT(X189/B189)+(((X189-B189*INT(X189/B189)))/C189)/100))))</f>
        <v>0</v>
      </c>
      <c r="BJ189" s="57">
        <f>IF(ISERROR(IF(B189=C189,Y189/C189,(INT(Y189/B189)+(((Y189-B189*INT(Y189/B189)))/C189)/100))),0,(IF(B189=C189,Y189/C189,(INT(Y189/B189)+(((Y189-B189*INT(Y189/B189)))/C189)/100))))</f>
        <v>0</v>
      </c>
      <c r="BL189" s="57">
        <f>IF(ISERROR(IF(B189=C189,AA189/C189,(INT(AA189/B189)+(((AA189-B189*INT(AA189/B189)))/C189)/100))),0,(IF(B189=C189,AA189/C189,(INT(AA189/B189)+(((AA189-B189*INT(AA189/B189)))/C189)/100))))</f>
        <v>0</v>
      </c>
      <c r="BM189" s="57">
        <f>IF(ISERROR(IF(B189=C189,AB189/C189,(INT(AB189/B189)+(((AB189-B189*INT(AB189/B189)))/C189)/100))),0,(IF(B189=C189,AB189/C189,(INT(AB189/B189)+(((AB189-B189*INT(AB189/B189)))/C189)/100))))</f>
        <v>0</v>
      </c>
      <c r="BN189" s="57">
        <f>IF(ISERROR(IF(B189=C189,AC189/C189,(INT(AC189/B189)+(((AC189-B189*INT(AC189/B189)))/C189)/100))),0,(IF(B189=C189,AC189/C189,(INT(AC189/B189)+(((AC189-B189*INT(AC189/B189)))/C189)/100))))</f>
        <v>0</v>
      </c>
      <c r="BO189" s="57">
        <f>IF(ISERROR(IF(B189=C189,AD189/C189,(INT(AD189/B189)+(((AD189-B189*INT(AD189/B189)))/C189)/100))),0,(IF(B189=C189,AD189/C189,(INT(AD189/B189)+(((AD189-B189*INT(AD189/B189)))/C189)/100))))</f>
        <v>0</v>
      </c>
      <c r="BQ189" s="155"/>
    </row>
    <row r="190" spans="1:69" hidden="1" x14ac:dyDescent="0.35">
      <c r="A190" s="94"/>
      <c r="B190" s="113">
        <v>0</v>
      </c>
      <c r="C190" s="113">
        <v>0</v>
      </c>
      <c r="D190" s="28">
        <f>SUM(AA190:AD190)</f>
        <v>0</v>
      </c>
      <c r="E190" s="113">
        <v>0</v>
      </c>
      <c r="F190" s="113">
        <v>0</v>
      </c>
      <c r="G190" s="28">
        <f>SUM(D190:F190)</f>
        <v>0</v>
      </c>
      <c r="H190" s="125">
        <v>0</v>
      </c>
      <c r="I190" s="113">
        <v>0</v>
      </c>
      <c r="J190" s="125">
        <v>0</v>
      </c>
      <c r="K190" s="113">
        <v>0</v>
      </c>
      <c r="L190" s="113">
        <v>0</v>
      </c>
      <c r="M190" s="113">
        <v>0</v>
      </c>
      <c r="N190" s="28">
        <f>G190-SUM(H190:M190)</f>
        <v>0</v>
      </c>
      <c r="O190" s="28">
        <f>SUM(V190:Y190)</f>
        <v>0</v>
      </c>
      <c r="P190" s="28">
        <f>O190-N190</f>
        <v>0</v>
      </c>
      <c r="Q190" s="61" t="str">
        <f>IF(ISERROR(P190/SUM(H190:L190)),"",P190/SUM(H190:L190))</f>
        <v/>
      </c>
      <c r="R190" s="113">
        <v>0</v>
      </c>
      <c r="S190" s="28">
        <f>IF(ISERROR(P190/C190*R190),0,(P190/C190*R190))</f>
        <v>0</v>
      </c>
      <c r="T190" s="60">
        <f>IF(ISERROR(P190/B190*AF190),0,(P190/B190*AF190))</f>
        <v>0</v>
      </c>
      <c r="V190" s="113">
        <v>0</v>
      </c>
      <c r="W190" s="113">
        <v>0</v>
      </c>
      <c r="X190" s="113">
        <v>0</v>
      </c>
      <c r="Y190" s="113">
        <v>0</v>
      </c>
      <c r="AA190" s="113">
        <v>0</v>
      </c>
      <c r="AB190" s="113">
        <v>0</v>
      </c>
      <c r="AC190" s="113">
        <v>0</v>
      </c>
      <c r="AD190" s="113">
        <v>0</v>
      </c>
      <c r="AF190" s="113">
        <v>0</v>
      </c>
      <c r="AG190" s="28">
        <f>G190-O190</f>
        <v>0</v>
      </c>
      <c r="AH190" s="58">
        <f>IF(ISERROR(AG190/B190*AF190),0,(AG190/B190*AF190))</f>
        <v>0</v>
      </c>
      <c r="AI190" s="28">
        <f>SUM(H190:M190)</f>
        <v>0</v>
      </c>
      <c r="AJ190" s="28">
        <f>IF(ISERROR(AI190/B190*AF190),0,(AI190/B190*AF190))</f>
        <v>0</v>
      </c>
      <c r="AK190" s="58">
        <f>IF(ISERROR(O190/B190*AF190),0,(O190/B190*AF190))</f>
        <v>0</v>
      </c>
      <c r="AL190" s="28">
        <f>IF(ISERROR(H190/B190*AF190),0,(H190/B190*AF190))</f>
        <v>0</v>
      </c>
      <c r="AN190" s="51">
        <f>A190</f>
        <v>0</v>
      </c>
      <c r="AO190" s="57">
        <f>IF(ISERROR(IF(B190=C190,D190/C190,(INT(D190/B190)+(((D190-B190*INT(D190/B190)))/C190)/100))),0,(IF(B190=C190,D190/C190,(INT(D190/B190)+(((D190-B190*INT(D190/B190)))/C190)/100))))</f>
        <v>0</v>
      </c>
      <c r="AP190" s="57">
        <f>IF(ISERROR(IF(B190=C190,E190/C190,(INT(E190/B190)+(((E190-B190*INT(E190/B190)))/C190)/100))),0,(IF(B190=C190,E190/C190,(INT(E190/B190)+(((E190-B190*INT(E190/B190)))/C190)/100))))</f>
        <v>0</v>
      </c>
      <c r="AQ190" s="57">
        <f>IF(ISERROR(IF(B190=C190,F190/C190,IF((INT(F190/B190)+(((F190-B190*INT(F190/B190)))/C190)/100)&lt;0,(INT(F190/B190)+(((F190-B190*INT(F190/B190)))/C190)/100)+(1-(B190/C190/100)),(INT(F190/B190)+(((F190-B190*INT(F190/B190)))/C190)/100)))),0,IF(B190=C190,F190/C190,IF((INT(F190/B190)+(((F190-B190*INT(F190/B190)))/C190)/100)&lt;0,(INT(F190/B190)+(((F190-B190*INT(F190/B190)))/C190)/100)+(1-(B190/C190/100)),(INT(F190/B190)+(((F190-B190*INT(F190/B190)))/C190)/100))))</f>
        <v>0</v>
      </c>
      <c r="AR190" s="57">
        <f>IF(ISERROR(IF(B190=C190,G190/C190,(INT(G190/B190)+(((G190-B190*INT(G190/B190)))/C190)/100))),0,(IF(B190=C190,G190/C190,(INT(G190/B190)+(((G190-B190*INT(G190/B190)))/C190)/100))))</f>
        <v>0</v>
      </c>
      <c r="AS190" s="57">
        <f>IF(ISERROR(IF(B190=C190,H190/C190,(INT(H190/B190)+(((H190-B190*INT(H190/B190)))/C190)/100))),0,(IF(B190=C190,H190/C190,(INT(H190/B190)+(((H190-B190*INT(H190/B190)))/C190)/100))))</f>
        <v>0</v>
      </c>
      <c r="AT190" s="57">
        <f>IF(ISERROR(IF(B190=C190,I190/C190,(INT(I190/B190)+(((I190-B190*INT(I190/B190)))/C190)/100))),0,(IF(B190=C190,I190/C190,(INT(I190/B190)+(((I190-B190*INT(I190/B190)))/C190)/100))))</f>
        <v>0</v>
      </c>
      <c r="AU190" s="57">
        <f>IF(ISERROR(IF(B190=C190,J190/C190,(INT(J190/B190)+(((J190-B190*INT(J190/B190)))/C190)/100))),0,(IF(B190=C190,J190/C190,(INT(J190/B190)+(((J190-B190*INT(J190/B190)))/C190)/100))))</f>
        <v>0</v>
      </c>
      <c r="AV190" s="57">
        <f>IF(ISERROR(IF(B190=C190,K190/C190,IF((INT(K190/B190)+(((K190-B190*INT(K190/B190)))/C190)/100)&lt;0,(INT(K190/B190)+(((K190-B190*INT(K190/B190)))/C190)/100)+(1-(B190/C190/100)),(INT(K190/B190)+(((K190-B190*INT(K190/B190)))/C190)/100)))),0,IF(B190=C190,K190/C190,IF((INT(K190/B190)+(((K190-B190*INT(K190/B190)))/C190)/100)&lt;0,(INT(K190/B190)+(((K190-B190*INT(K190/B190)))/C190)/100)+(1-(B190/C190/100)),(INT(K190/B190)+(((K190-B190*INT(K190/B190)))/C190)/100))))</f>
        <v>0</v>
      </c>
      <c r="AW190" s="57">
        <f>IF(ISERROR(IF(B190=C190,L190/C190,(INT(L190/B190)+(((L190-B190*INT(L190/B190)))/C190)/100))),0,(IF(B190=C190,L190/C190,(INT(L190/B190)+(((L190-B190*INT(L190/B190)))/C190)/100))))</f>
        <v>0</v>
      </c>
      <c r="AX190" s="57">
        <f>IF(ISERROR(IF(B190=C190,M190/C190,(INT(M190/B190)+(((M190-B190*INT(M190/B190)))/C190)/100))),0,(IF(B190=C190,M190/C190,(INT(M190/B190)+(((M190-B190*INT(M190/B190)))/C190)/100))))</f>
        <v>0</v>
      </c>
      <c r="AY190" s="57">
        <f>IF(ISERROR(IF(B190=C190,N190/C190,IF((INT(N190/B190)+(((N190-B190*INT(N190/B190)))/C190)/100)&lt;0,(INT(N190/B190)+(((N190-B190*INT(N190/B190)))/C190)/100)+(1-(B190/C190/100)),(INT(N190/B190)+(((N190-B190*INT(N190/B190)))/C190)/100)))),0,IF(B190=C190,N190/C190,IF((INT(N190/B190)+(((N190-B190*INT(N190/B190)))/C190)/100)&lt;0,(INT(N190/B190)+(((N190-B190*INT(N190/B190)))/C190)/100)+(1-(B190/C190/100)),(INT(N190/B190)+(((N190-B190*INT(N190/B190)))/C190)/100))))</f>
        <v>0</v>
      </c>
      <c r="AZ190" s="57">
        <f>IF(ISERROR(IF(B190=C190,O190/C190,(INT(O190/B190)+(((O190-B190*INT(O190/B190)))/C190)/100))),0,(IF(B190=C190,O190/C190,(INT(O190/B190)+(((O190-B190*INT(O190/B190)))/C190)/100))))</f>
        <v>0</v>
      </c>
      <c r="BA190" s="57">
        <f>IF(ISERROR(IF(B190=C190,P190/C190,IF((INT(P190/B190)+(((P190-B190*INT(P190/B190)))/C190)/100)&lt;0,(INT(P190/B190)+(((P190-B190*INT(P190/B190)))/C190)/100)+(1-(B190/C190/100)),(INT(P190/B190)+(((P190-B190*INT(P190/B190)))/C190)/100)))),0,IF(B190=C190,P190/C190,IF((INT(P190/B190)+(((P190-B190*INT(P190/B190)))/C190)/100)&lt;0,(INT(P190/B190)+(((P190-B190*INT(P190/B190)))/C190)/100)+(1-(B190/C190/100)),(INT(P190/B190)+(((P190-B190*INT(P190/B190)))/C190)/100))))</f>
        <v>0</v>
      </c>
      <c r="BB190" s="28">
        <f>R190</f>
        <v>0</v>
      </c>
      <c r="BC190" s="28">
        <f>S190</f>
        <v>0</v>
      </c>
      <c r="BD190" s="28">
        <f>AF190</f>
        <v>0</v>
      </c>
      <c r="BE190" s="28">
        <f>T190</f>
        <v>0</v>
      </c>
      <c r="BG190" s="57">
        <f>IF(ISERROR(IF(B190=C190,V190/C190,(INT(V190/B190)+(((V190-B190*INT(V190/B190)))/C190)/100))),0,(IF(B190=C190,V190/C190,(INT(V190/B190)+(((V190-B190*INT(V190/B190)))/C190)/100))))</f>
        <v>0</v>
      </c>
      <c r="BH190" s="57">
        <f>IF(ISERROR(IF(B190=C190,W190/C190,(INT(W190/B190)+(((W190-B190*INT(W190/B190)))/C190)/100))),0,(IF(B190=C190,W190/C190,(INT(W190/B190)+(((W190-B190*INT(W190/B190)))/C190)/100))))</f>
        <v>0</v>
      </c>
      <c r="BI190" s="57">
        <f>IF(ISERROR(IF(B190=C190,X190/C190,(INT(X190/B190)+(((X190-B190*INT(X190/B190)))/C190)/100))),0,(IF(B190=C190,X190/C190,(INT(X190/B190)+(((X190-B190*INT(X190/B190)))/C190)/100))))</f>
        <v>0</v>
      </c>
      <c r="BJ190" s="57">
        <f>IF(ISERROR(IF(B190=C190,Y190/C190,(INT(Y190/B190)+(((Y190-B190*INT(Y190/B190)))/C190)/100))),0,(IF(B190=C190,Y190/C190,(INT(Y190/B190)+(((Y190-B190*INT(Y190/B190)))/C190)/100))))</f>
        <v>0</v>
      </c>
      <c r="BL190" s="57">
        <f>IF(ISERROR(IF(B190=C190,AA190/C190,(INT(AA190/B190)+(((AA190-B190*INT(AA190/B190)))/C190)/100))),0,(IF(B190=C190,AA190/C190,(INT(AA190/B190)+(((AA190-B190*INT(AA190/B190)))/C190)/100))))</f>
        <v>0</v>
      </c>
      <c r="BM190" s="57">
        <f>IF(ISERROR(IF(B190=C190,AB190/C190,(INT(AB190/B190)+(((AB190-B190*INT(AB190/B190)))/C190)/100))),0,(IF(B190=C190,AB190/C190,(INT(AB190/B190)+(((AB190-B190*INT(AB190/B190)))/C190)/100))))</f>
        <v>0</v>
      </c>
      <c r="BN190" s="57">
        <f>IF(ISERROR(IF(B190=C190,AC190/C190,(INT(AC190/B190)+(((AC190-B190*INT(AC190/B190)))/C190)/100))),0,(IF(B190=C190,AC190/C190,(INT(AC190/B190)+(((AC190-B190*INT(AC190/B190)))/C190)/100))))</f>
        <v>0</v>
      </c>
      <c r="BO190" s="57">
        <f>IF(ISERROR(IF(B190=C190,AD190/C190,(INT(AD190/B190)+(((AD190-B190*INT(AD190/B190)))/C190)/100))),0,(IF(B190=C190,AD190/C190,(INT(AD190/B190)+(((AD190-B190*INT(AD190/B190)))/C190)/100))))</f>
        <v>0</v>
      </c>
      <c r="BQ190" s="155"/>
    </row>
    <row r="191" spans="1:69" hidden="1" x14ac:dyDescent="0.35">
      <c r="A191" s="94"/>
      <c r="B191" s="113">
        <v>0</v>
      </c>
      <c r="C191" s="113">
        <v>0</v>
      </c>
      <c r="D191" s="28">
        <f>SUM(AA191:AD191)</f>
        <v>0</v>
      </c>
      <c r="E191" s="113">
        <v>0</v>
      </c>
      <c r="F191" s="113">
        <v>0</v>
      </c>
      <c r="G191" s="28">
        <f>SUM(D191:F191)</f>
        <v>0</v>
      </c>
      <c r="H191" s="125">
        <v>0</v>
      </c>
      <c r="I191" s="113">
        <v>0</v>
      </c>
      <c r="J191" s="125">
        <v>0</v>
      </c>
      <c r="K191" s="113">
        <v>0</v>
      </c>
      <c r="L191" s="113">
        <v>0</v>
      </c>
      <c r="M191" s="113">
        <v>0</v>
      </c>
      <c r="N191" s="28">
        <f>G191-SUM(H191:M191)</f>
        <v>0</v>
      </c>
      <c r="O191" s="28">
        <f>SUM(V191:Y191)</f>
        <v>0</v>
      </c>
      <c r="P191" s="28">
        <f>O191-N191</f>
        <v>0</v>
      </c>
      <c r="Q191" s="61" t="str">
        <f>IF(ISERROR(P191/SUM(H191:L191)),"",P191/SUM(H191:L191))</f>
        <v/>
      </c>
      <c r="R191" s="113">
        <v>0</v>
      </c>
      <c r="S191" s="28">
        <f>IF(ISERROR(P191/C191*R191),0,(P191/C191*R191))</f>
        <v>0</v>
      </c>
      <c r="T191" s="60">
        <f>IF(ISERROR(P191/B191*AF191),0,(P191/B191*AF191))</f>
        <v>0</v>
      </c>
      <c r="V191" s="113">
        <v>0</v>
      </c>
      <c r="W191" s="113">
        <v>0</v>
      </c>
      <c r="X191" s="113">
        <v>0</v>
      </c>
      <c r="Y191" s="113">
        <v>0</v>
      </c>
      <c r="AA191" s="113">
        <v>0</v>
      </c>
      <c r="AB191" s="113">
        <v>0</v>
      </c>
      <c r="AC191" s="113">
        <v>0</v>
      </c>
      <c r="AD191" s="113">
        <v>0</v>
      </c>
      <c r="AF191" s="113">
        <v>0</v>
      </c>
      <c r="AG191" s="28">
        <f>G191-O191</f>
        <v>0</v>
      </c>
      <c r="AH191" s="58">
        <f>IF(ISERROR(AG191/B191*AF191),0,(AG191/B191*AF191))</f>
        <v>0</v>
      </c>
      <c r="AI191" s="28">
        <f>SUM(H191:M191)</f>
        <v>0</v>
      </c>
      <c r="AJ191" s="28">
        <f>IF(ISERROR(AI191/B191*AF191),0,(AI191/B191*AF191))</f>
        <v>0</v>
      </c>
      <c r="AK191" s="58">
        <f>IF(ISERROR(O191/B191*AF191),0,(O191/B191*AF191))</f>
        <v>0</v>
      </c>
      <c r="AL191" s="28">
        <f>IF(ISERROR(H191/B191*AF191),0,(H191/B191*AF191))</f>
        <v>0</v>
      </c>
      <c r="AN191" s="51">
        <f>A191</f>
        <v>0</v>
      </c>
      <c r="AO191" s="57">
        <f>IF(ISERROR(IF(B191=C191,D191/C191,(INT(D191/B191)+(((D191-B191*INT(D191/B191)))/C191)/100))),0,(IF(B191=C191,D191/C191,(INT(D191/B191)+(((D191-B191*INT(D191/B191)))/C191)/100))))</f>
        <v>0</v>
      </c>
      <c r="AP191" s="57">
        <f>IF(ISERROR(IF(B191=C191,E191/C191,(INT(E191/B191)+(((E191-B191*INT(E191/B191)))/C191)/100))),0,(IF(B191=C191,E191/C191,(INT(E191/B191)+(((E191-B191*INT(E191/B191)))/C191)/100))))</f>
        <v>0</v>
      </c>
      <c r="AQ191" s="57">
        <f>IF(ISERROR(IF(B191=C191,F191/C191,IF((INT(F191/B191)+(((F191-B191*INT(F191/B191)))/C191)/100)&lt;0,(INT(F191/B191)+(((F191-B191*INT(F191/B191)))/C191)/100)+(1-(B191/C191/100)),(INT(F191/B191)+(((F191-B191*INT(F191/B191)))/C191)/100)))),0,IF(B191=C191,F191/C191,IF((INT(F191/B191)+(((F191-B191*INT(F191/B191)))/C191)/100)&lt;0,(INT(F191/B191)+(((F191-B191*INT(F191/B191)))/C191)/100)+(1-(B191/C191/100)),(INT(F191/B191)+(((F191-B191*INT(F191/B191)))/C191)/100))))</f>
        <v>0</v>
      </c>
      <c r="AR191" s="57">
        <f>IF(ISERROR(IF(B191=C191,G191/C191,(INT(G191/B191)+(((G191-B191*INT(G191/B191)))/C191)/100))),0,(IF(B191=C191,G191/C191,(INT(G191/B191)+(((G191-B191*INT(G191/B191)))/C191)/100))))</f>
        <v>0</v>
      </c>
      <c r="AS191" s="57">
        <f>IF(ISERROR(IF(B191=C191,H191/C191,(INT(H191/B191)+(((H191-B191*INT(H191/B191)))/C191)/100))),0,(IF(B191=C191,H191/C191,(INT(H191/B191)+(((H191-B191*INT(H191/B191)))/C191)/100))))</f>
        <v>0</v>
      </c>
      <c r="AT191" s="57">
        <f>IF(ISERROR(IF(B191=C191,I191/C191,(INT(I191/B191)+(((I191-B191*INT(I191/B191)))/C191)/100))),0,(IF(B191=C191,I191/C191,(INT(I191/B191)+(((I191-B191*INT(I191/B191)))/C191)/100))))</f>
        <v>0</v>
      </c>
      <c r="AU191" s="57">
        <f>IF(ISERROR(IF(B191=C191,J191/C191,(INT(J191/B191)+(((J191-B191*INT(J191/B191)))/C191)/100))),0,(IF(B191=C191,J191/C191,(INT(J191/B191)+(((J191-B191*INT(J191/B191)))/C191)/100))))</f>
        <v>0</v>
      </c>
      <c r="AV191" s="57">
        <f>IF(ISERROR(IF(B191=C191,K191/C191,IF((INT(K191/B191)+(((K191-B191*INT(K191/B191)))/C191)/100)&lt;0,(INT(K191/B191)+(((K191-B191*INT(K191/B191)))/C191)/100)+(1-(B191/C191/100)),(INT(K191/B191)+(((K191-B191*INT(K191/B191)))/C191)/100)))),0,IF(B191=C191,K191/C191,IF((INT(K191/B191)+(((K191-B191*INT(K191/B191)))/C191)/100)&lt;0,(INT(K191/B191)+(((K191-B191*INT(K191/B191)))/C191)/100)+(1-(B191/C191/100)),(INT(K191/B191)+(((K191-B191*INT(K191/B191)))/C191)/100))))</f>
        <v>0</v>
      </c>
      <c r="AW191" s="57">
        <f>IF(ISERROR(IF(B191=C191,L191/C191,(INT(L191/B191)+(((L191-B191*INT(L191/B191)))/C191)/100))),0,(IF(B191=C191,L191/C191,(INT(L191/B191)+(((L191-B191*INT(L191/B191)))/C191)/100))))</f>
        <v>0</v>
      </c>
      <c r="AX191" s="57">
        <f>IF(ISERROR(IF(B191=C191,M191/C191,(INT(M191/B191)+(((M191-B191*INT(M191/B191)))/C191)/100))),0,(IF(B191=C191,M191/C191,(INT(M191/B191)+(((M191-B191*INT(M191/B191)))/C191)/100))))</f>
        <v>0</v>
      </c>
      <c r="AY191" s="57">
        <f>IF(ISERROR(IF(B191=C191,N191/C191,IF((INT(N191/B191)+(((N191-B191*INT(N191/B191)))/C191)/100)&lt;0,(INT(N191/B191)+(((N191-B191*INT(N191/B191)))/C191)/100)+(1-(B191/C191/100)),(INT(N191/B191)+(((N191-B191*INT(N191/B191)))/C191)/100)))),0,IF(B191=C191,N191/C191,IF((INT(N191/B191)+(((N191-B191*INT(N191/B191)))/C191)/100)&lt;0,(INT(N191/B191)+(((N191-B191*INT(N191/B191)))/C191)/100)+(1-(B191/C191/100)),(INT(N191/B191)+(((N191-B191*INT(N191/B191)))/C191)/100))))</f>
        <v>0</v>
      </c>
      <c r="AZ191" s="57">
        <f>IF(ISERROR(IF(B191=C191,O191/C191,(INT(O191/B191)+(((O191-B191*INT(O191/B191)))/C191)/100))),0,(IF(B191=C191,O191/C191,(INT(O191/B191)+(((O191-B191*INT(O191/B191)))/C191)/100))))</f>
        <v>0</v>
      </c>
      <c r="BA191" s="57">
        <f>IF(ISERROR(IF(B191=C191,P191/C191,IF((INT(P191/B191)+(((P191-B191*INT(P191/B191)))/C191)/100)&lt;0,(INT(P191/B191)+(((P191-B191*INT(P191/B191)))/C191)/100)+(1-(B191/C191/100)),(INT(P191/B191)+(((P191-B191*INT(P191/B191)))/C191)/100)))),0,IF(B191=C191,P191/C191,IF((INT(P191/B191)+(((P191-B191*INT(P191/B191)))/C191)/100)&lt;0,(INT(P191/B191)+(((P191-B191*INT(P191/B191)))/C191)/100)+(1-(B191/C191/100)),(INT(P191/B191)+(((P191-B191*INT(P191/B191)))/C191)/100))))</f>
        <v>0</v>
      </c>
      <c r="BB191" s="28">
        <f>R191</f>
        <v>0</v>
      </c>
      <c r="BC191" s="28">
        <f>S191</f>
        <v>0</v>
      </c>
      <c r="BD191" s="28">
        <f>AF191</f>
        <v>0</v>
      </c>
      <c r="BE191" s="28">
        <f>T191</f>
        <v>0</v>
      </c>
      <c r="BG191" s="57">
        <f>IF(ISERROR(IF(B191=C191,V191/C191,(INT(V191/B191)+(((V191-B191*INT(V191/B191)))/C191)/100))),0,(IF(B191=C191,V191/C191,(INT(V191/B191)+(((V191-B191*INT(V191/B191)))/C191)/100))))</f>
        <v>0</v>
      </c>
      <c r="BH191" s="57">
        <f>IF(ISERROR(IF(B191=C191,W191/C191,(INT(W191/B191)+(((W191-B191*INT(W191/B191)))/C191)/100))),0,(IF(B191=C191,W191/C191,(INT(W191/B191)+(((W191-B191*INT(W191/B191)))/C191)/100))))</f>
        <v>0</v>
      </c>
      <c r="BI191" s="57">
        <f>IF(ISERROR(IF(B191=C191,X191/C191,(INT(X191/B191)+(((X191-B191*INT(X191/B191)))/C191)/100))),0,(IF(B191=C191,X191/C191,(INT(X191/B191)+(((X191-B191*INT(X191/B191)))/C191)/100))))</f>
        <v>0</v>
      </c>
      <c r="BJ191" s="57">
        <f>IF(ISERROR(IF(B191=C191,Y191/C191,(INT(Y191/B191)+(((Y191-B191*INT(Y191/B191)))/C191)/100))),0,(IF(B191=C191,Y191/C191,(INT(Y191/B191)+(((Y191-B191*INT(Y191/B191)))/C191)/100))))</f>
        <v>0</v>
      </c>
      <c r="BL191" s="57">
        <f>IF(ISERROR(IF(B191=C191,AA191/C191,(INT(AA191/B191)+(((AA191-B191*INT(AA191/B191)))/C191)/100))),0,(IF(B191=C191,AA191/C191,(INT(AA191/B191)+(((AA191-B191*INT(AA191/B191)))/C191)/100))))</f>
        <v>0</v>
      </c>
      <c r="BM191" s="57">
        <f>IF(ISERROR(IF(B191=C191,AB191/C191,(INT(AB191/B191)+(((AB191-B191*INT(AB191/B191)))/C191)/100))),0,(IF(B191=C191,AB191/C191,(INT(AB191/B191)+(((AB191-B191*INT(AB191/B191)))/C191)/100))))</f>
        <v>0</v>
      </c>
      <c r="BN191" s="57">
        <f>IF(ISERROR(IF(B191=C191,AC191/C191,(INT(AC191/B191)+(((AC191-B191*INT(AC191/B191)))/C191)/100))),0,(IF(B191=C191,AC191/C191,(INT(AC191/B191)+(((AC191-B191*INT(AC191/B191)))/C191)/100))))</f>
        <v>0</v>
      </c>
      <c r="BO191" s="57">
        <f>IF(ISERROR(IF(B191=C191,AD191/C191,(INT(AD191/B191)+(((AD191-B191*INT(AD191/B191)))/C191)/100))),0,(IF(B191=C191,AD191/C191,(INT(AD191/B191)+(((AD191-B191*INT(AD191/B191)))/C191)/100))))</f>
        <v>0</v>
      </c>
      <c r="BQ191" s="155"/>
    </row>
    <row r="192" spans="1:69" hidden="1" x14ac:dyDescent="0.35">
      <c r="A192" s="94"/>
      <c r="B192" s="113">
        <v>0</v>
      </c>
      <c r="C192" s="113">
        <v>0</v>
      </c>
      <c r="D192" s="28">
        <f>SUM(AA192:AD192)</f>
        <v>0</v>
      </c>
      <c r="E192" s="113">
        <v>0</v>
      </c>
      <c r="F192" s="113">
        <v>0</v>
      </c>
      <c r="G192" s="28">
        <f>SUM(D192:F192)</f>
        <v>0</v>
      </c>
      <c r="H192" s="125">
        <v>0</v>
      </c>
      <c r="I192" s="113">
        <v>0</v>
      </c>
      <c r="J192" s="125">
        <v>0</v>
      </c>
      <c r="K192" s="113">
        <v>0</v>
      </c>
      <c r="L192" s="113">
        <v>0</v>
      </c>
      <c r="M192" s="113">
        <v>0</v>
      </c>
      <c r="N192" s="28">
        <f>G192-SUM(H192:M192)</f>
        <v>0</v>
      </c>
      <c r="O192" s="28">
        <f>SUM(V192:Y192)</f>
        <v>0</v>
      </c>
      <c r="P192" s="28">
        <f>O192-N192</f>
        <v>0</v>
      </c>
      <c r="Q192" s="61" t="str">
        <f>IF(ISERROR(P192/SUM(H192:L192)),"",P192/SUM(H192:L192))</f>
        <v/>
      </c>
      <c r="R192" s="113">
        <v>0</v>
      </c>
      <c r="S192" s="28">
        <f>IF(ISERROR(P192/C192*R192),0,(P192/C192*R192))</f>
        <v>0</v>
      </c>
      <c r="T192" s="60">
        <f>IF(ISERROR(P192/B192*AF192),0,(P192/B192*AF192))</f>
        <v>0</v>
      </c>
      <c r="V192" s="113">
        <v>0</v>
      </c>
      <c r="W192" s="113">
        <v>0</v>
      </c>
      <c r="X192" s="113">
        <v>0</v>
      </c>
      <c r="Y192" s="113">
        <v>0</v>
      </c>
      <c r="AA192" s="113">
        <v>0</v>
      </c>
      <c r="AB192" s="113">
        <v>0</v>
      </c>
      <c r="AC192" s="113">
        <v>0</v>
      </c>
      <c r="AD192" s="113">
        <v>0</v>
      </c>
      <c r="AF192" s="113">
        <v>0</v>
      </c>
      <c r="AG192" s="28">
        <f>G192-O192</f>
        <v>0</v>
      </c>
      <c r="AH192" s="58">
        <f>IF(ISERROR(AG192/B192*AF192),0,(AG192/B192*AF192))</f>
        <v>0</v>
      </c>
      <c r="AI192" s="28">
        <f>SUM(H192:M192)</f>
        <v>0</v>
      </c>
      <c r="AJ192" s="28">
        <f>IF(ISERROR(AI192/B192*AF192),0,(AI192/B192*AF192))</f>
        <v>0</v>
      </c>
      <c r="AK192" s="58">
        <f>IF(ISERROR(O192/B192*AF192),0,(O192/B192*AF192))</f>
        <v>0</v>
      </c>
      <c r="AL192" s="28">
        <f>IF(ISERROR(H192/B192*AF192),0,(H192/B192*AF192))</f>
        <v>0</v>
      </c>
      <c r="AN192" s="51">
        <f>A192</f>
        <v>0</v>
      </c>
      <c r="AO192" s="57">
        <f>IF(ISERROR(IF(B192=C192,D192/C192,(INT(D192/B192)+(((D192-B192*INT(D192/B192)))/C192)/100))),0,(IF(B192=C192,D192/C192,(INT(D192/B192)+(((D192-B192*INT(D192/B192)))/C192)/100))))</f>
        <v>0</v>
      </c>
      <c r="AP192" s="57">
        <f>IF(ISERROR(IF(B192=C192,E192/C192,(INT(E192/B192)+(((E192-B192*INT(E192/B192)))/C192)/100))),0,(IF(B192=C192,E192/C192,(INT(E192/B192)+(((E192-B192*INT(E192/B192)))/C192)/100))))</f>
        <v>0</v>
      </c>
      <c r="AQ192" s="57">
        <f>IF(ISERROR(IF(B192=C192,F192/C192,IF((INT(F192/B192)+(((F192-B192*INT(F192/B192)))/C192)/100)&lt;0,(INT(F192/B192)+(((F192-B192*INT(F192/B192)))/C192)/100)+(1-(B192/C192/100)),(INT(F192/B192)+(((F192-B192*INT(F192/B192)))/C192)/100)))),0,IF(B192=C192,F192/C192,IF((INT(F192/B192)+(((F192-B192*INT(F192/B192)))/C192)/100)&lt;0,(INT(F192/B192)+(((F192-B192*INT(F192/B192)))/C192)/100)+(1-(B192/C192/100)),(INT(F192/B192)+(((F192-B192*INT(F192/B192)))/C192)/100))))</f>
        <v>0</v>
      </c>
      <c r="AR192" s="57">
        <f>IF(ISERROR(IF(B192=C192,G192/C192,(INT(G192/B192)+(((G192-B192*INT(G192/B192)))/C192)/100))),0,(IF(B192=C192,G192/C192,(INT(G192/B192)+(((G192-B192*INT(G192/B192)))/C192)/100))))</f>
        <v>0</v>
      </c>
      <c r="AS192" s="57">
        <f>IF(ISERROR(IF(B192=C192,H192/C192,(INT(H192/B192)+(((H192-B192*INT(H192/B192)))/C192)/100))),0,(IF(B192=C192,H192/C192,(INT(H192/B192)+(((H192-B192*INT(H192/B192)))/C192)/100))))</f>
        <v>0</v>
      </c>
      <c r="AT192" s="57">
        <f>IF(ISERROR(IF(B192=C192,I192/C192,(INT(I192/B192)+(((I192-B192*INT(I192/B192)))/C192)/100))),0,(IF(B192=C192,I192/C192,(INT(I192/B192)+(((I192-B192*INT(I192/B192)))/C192)/100))))</f>
        <v>0</v>
      </c>
      <c r="AU192" s="57">
        <f>IF(ISERROR(IF(B192=C192,J192/C192,(INT(J192/B192)+(((J192-B192*INT(J192/B192)))/C192)/100))),0,(IF(B192=C192,J192/C192,(INT(J192/B192)+(((J192-B192*INT(J192/B192)))/C192)/100))))</f>
        <v>0</v>
      </c>
      <c r="AV192" s="57">
        <f>IF(ISERROR(IF(B192=C192,K192/C192,IF((INT(K192/B192)+(((K192-B192*INT(K192/B192)))/C192)/100)&lt;0,(INT(K192/B192)+(((K192-B192*INT(K192/B192)))/C192)/100)+(1-(B192/C192/100)),(INT(K192/B192)+(((K192-B192*INT(K192/B192)))/C192)/100)))),0,IF(B192=C192,K192/C192,IF((INT(K192/B192)+(((K192-B192*INT(K192/B192)))/C192)/100)&lt;0,(INT(K192/B192)+(((K192-B192*INT(K192/B192)))/C192)/100)+(1-(B192/C192/100)),(INT(K192/B192)+(((K192-B192*INT(K192/B192)))/C192)/100))))</f>
        <v>0</v>
      </c>
      <c r="AW192" s="57">
        <f>IF(ISERROR(IF(B192=C192,L192/C192,(INT(L192/B192)+(((L192-B192*INT(L192/B192)))/C192)/100))),0,(IF(B192=C192,L192/C192,(INT(L192/B192)+(((L192-B192*INT(L192/B192)))/C192)/100))))</f>
        <v>0</v>
      </c>
      <c r="AX192" s="57">
        <f>IF(ISERROR(IF(B192=C192,M192/C192,(INT(M192/B192)+(((M192-B192*INT(M192/B192)))/C192)/100))),0,(IF(B192=C192,M192/C192,(INT(M192/B192)+(((M192-B192*INT(M192/B192)))/C192)/100))))</f>
        <v>0</v>
      </c>
      <c r="AY192" s="57">
        <f>IF(ISERROR(IF(B192=C192,N192/C192,IF((INT(N192/B192)+(((N192-B192*INT(N192/B192)))/C192)/100)&lt;0,(INT(N192/B192)+(((N192-B192*INT(N192/B192)))/C192)/100)+(1-(B192/C192/100)),(INT(N192/B192)+(((N192-B192*INT(N192/B192)))/C192)/100)))),0,IF(B192=C192,N192/C192,IF((INT(N192/B192)+(((N192-B192*INT(N192/B192)))/C192)/100)&lt;0,(INT(N192/B192)+(((N192-B192*INT(N192/B192)))/C192)/100)+(1-(B192/C192/100)),(INT(N192/B192)+(((N192-B192*INT(N192/B192)))/C192)/100))))</f>
        <v>0</v>
      </c>
      <c r="AZ192" s="57">
        <f>IF(ISERROR(IF(B192=C192,O192/C192,(INT(O192/B192)+(((O192-B192*INT(O192/B192)))/C192)/100))),0,(IF(B192=C192,O192/C192,(INT(O192/B192)+(((O192-B192*INT(O192/B192)))/C192)/100))))</f>
        <v>0</v>
      </c>
      <c r="BA192" s="57">
        <f>IF(ISERROR(IF(B192=C192,P192/C192,IF((INT(P192/B192)+(((P192-B192*INT(P192/B192)))/C192)/100)&lt;0,(INT(P192/B192)+(((P192-B192*INT(P192/B192)))/C192)/100)+(1-(B192/C192/100)),(INT(P192/B192)+(((P192-B192*INT(P192/B192)))/C192)/100)))),0,IF(B192=C192,P192/C192,IF((INT(P192/B192)+(((P192-B192*INT(P192/B192)))/C192)/100)&lt;0,(INT(P192/B192)+(((P192-B192*INT(P192/B192)))/C192)/100)+(1-(B192/C192/100)),(INT(P192/B192)+(((P192-B192*INT(P192/B192)))/C192)/100))))</f>
        <v>0</v>
      </c>
      <c r="BB192" s="28">
        <f>R192</f>
        <v>0</v>
      </c>
      <c r="BC192" s="28">
        <f>S192</f>
        <v>0</v>
      </c>
      <c r="BD192" s="28">
        <f>AF192</f>
        <v>0</v>
      </c>
      <c r="BE192" s="28">
        <f>T192</f>
        <v>0</v>
      </c>
      <c r="BG192" s="57">
        <f>IF(ISERROR(IF(B192=C192,V192/C192,(INT(V192/B192)+(((V192-B192*INT(V192/B192)))/C192)/100))),0,(IF(B192=C192,V192/C192,(INT(V192/B192)+(((V192-B192*INT(V192/B192)))/C192)/100))))</f>
        <v>0</v>
      </c>
      <c r="BH192" s="57">
        <f>IF(ISERROR(IF(B192=C192,W192/C192,(INT(W192/B192)+(((W192-B192*INT(W192/B192)))/C192)/100))),0,(IF(B192=C192,W192/C192,(INT(W192/B192)+(((W192-B192*INT(W192/B192)))/C192)/100))))</f>
        <v>0</v>
      </c>
      <c r="BI192" s="57">
        <f>IF(ISERROR(IF(B192=C192,X192/C192,(INT(X192/B192)+(((X192-B192*INT(X192/B192)))/C192)/100))),0,(IF(B192=C192,X192/C192,(INT(X192/B192)+(((X192-B192*INT(X192/B192)))/C192)/100))))</f>
        <v>0</v>
      </c>
      <c r="BJ192" s="57">
        <f>IF(ISERROR(IF(B192=C192,Y192/C192,(INT(Y192/B192)+(((Y192-B192*INT(Y192/B192)))/C192)/100))),0,(IF(B192=C192,Y192/C192,(INT(Y192/B192)+(((Y192-B192*INT(Y192/B192)))/C192)/100))))</f>
        <v>0</v>
      </c>
      <c r="BL192" s="57">
        <f>IF(ISERROR(IF(B192=C192,AA192/C192,(INT(AA192/B192)+(((AA192-B192*INT(AA192/B192)))/C192)/100))),0,(IF(B192=C192,AA192/C192,(INT(AA192/B192)+(((AA192-B192*INT(AA192/B192)))/C192)/100))))</f>
        <v>0</v>
      </c>
      <c r="BM192" s="57">
        <f>IF(ISERROR(IF(B192=C192,AB192/C192,(INT(AB192/B192)+(((AB192-B192*INT(AB192/B192)))/C192)/100))),0,(IF(B192=C192,AB192/C192,(INT(AB192/B192)+(((AB192-B192*INT(AB192/B192)))/C192)/100))))</f>
        <v>0</v>
      </c>
      <c r="BN192" s="57">
        <f>IF(ISERROR(IF(B192=C192,AC192/C192,(INT(AC192/B192)+(((AC192-B192*INT(AC192/B192)))/C192)/100))),0,(IF(B192=C192,AC192/C192,(INT(AC192/B192)+(((AC192-B192*INT(AC192/B192)))/C192)/100))))</f>
        <v>0</v>
      </c>
      <c r="BO192" s="57">
        <f>IF(ISERROR(IF(B192=C192,AD192/C192,(INT(AD192/B192)+(((AD192-B192*INT(AD192/B192)))/C192)/100))),0,(IF(B192=C192,AD192/C192,(INT(AD192/B192)+(((AD192-B192*INT(AD192/B192)))/C192)/100))))</f>
        <v>0</v>
      </c>
      <c r="BQ192" s="155"/>
    </row>
    <row r="193" spans="1:69" hidden="1" x14ac:dyDescent="0.35">
      <c r="A193" s="94"/>
      <c r="B193" s="113">
        <v>0</v>
      </c>
      <c r="C193" s="113">
        <v>0</v>
      </c>
      <c r="D193" s="28">
        <f>SUM(AA193:AD193)</f>
        <v>0</v>
      </c>
      <c r="E193" s="113">
        <v>0</v>
      </c>
      <c r="F193" s="113">
        <v>0</v>
      </c>
      <c r="G193" s="28">
        <f>SUM(D193:F193)</f>
        <v>0</v>
      </c>
      <c r="H193" s="125">
        <v>0</v>
      </c>
      <c r="I193" s="113">
        <v>0</v>
      </c>
      <c r="J193" s="125">
        <v>0</v>
      </c>
      <c r="K193" s="113">
        <v>0</v>
      </c>
      <c r="L193" s="113">
        <v>0</v>
      </c>
      <c r="M193" s="113">
        <v>0</v>
      </c>
      <c r="N193" s="28">
        <f>G193-SUM(H193:M193)</f>
        <v>0</v>
      </c>
      <c r="O193" s="28">
        <f>SUM(V193:Y193)</f>
        <v>0</v>
      </c>
      <c r="P193" s="28">
        <f>O193-N193</f>
        <v>0</v>
      </c>
      <c r="Q193" s="61" t="str">
        <f>IF(ISERROR(P193/SUM(H193:L193)),"",P193/SUM(H193:L193))</f>
        <v/>
      </c>
      <c r="R193" s="113">
        <v>0</v>
      </c>
      <c r="S193" s="28">
        <f>IF(ISERROR(P193/C193*R193),0,(P193/C193*R193))</f>
        <v>0</v>
      </c>
      <c r="T193" s="60">
        <f>IF(ISERROR(P193/B193*AF193),0,(P193/B193*AF193))</f>
        <v>0</v>
      </c>
      <c r="V193" s="113">
        <v>0</v>
      </c>
      <c r="W193" s="113">
        <v>0</v>
      </c>
      <c r="X193" s="113">
        <v>0</v>
      </c>
      <c r="Y193" s="113">
        <v>0</v>
      </c>
      <c r="AA193" s="113">
        <v>0</v>
      </c>
      <c r="AB193" s="113">
        <v>0</v>
      </c>
      <c r="AC193" s="113">
        <v>0</v>
      </c>
      <c r="AD193" s="113">
        <v>0</v>
      </c>
      <c r="AF193" s="113">
        <v>0</v>
      </c>
      <c r="AG193" s="28">
        <f>G193-O193</f>
        <v>0</v>
      </c>
      <c r="AH193" s="58">
        <f>IF(ISERROR(AG193/B193*AF193),0,(AG193/B193*AF193))</f>
        <v>0</v>
      </c>
      <c r="AI193" s="28">
        <f>SUM(H193:M193)</f>
        <v>0</v>
      </c>
      <c r="AJ193" s="28">
        <f>IF(ISERROR(AI193/B193*AF193),0,(AI193/B193*AF193))</f>
        <v>0</v>
      </c>
      <c r="AK193" s="58">
        <f>IF(ISERROR(O193/B193*AF193),0,(O193/B193*AF193))</f>
        <v>0</v>
      </c>
      <c r="AL193" s="28">
        <f>IF(ISERROR(H193/B193*AF193),0,(H193/B193*AF193))</f>
        <v>0</v>
      </c>
      <c r="AN193" s="51">
        <f>A193</f>
        <v>0</v>
      </c>
      <c r="AO193" s="57">
        <f>IF(ISERROR(IF(B193=C193,D193/C193,(INT(D193/B193)+(((D193-B193*INT(D193/B193)))/C193)/100))),0,(IF(B193=C193,D193/C193,(INT(D193/B193)+(((D193-B193*INT(D193/B193)))/C193)/100))))</f>
        <v>0</v>
      </c>
      <c r="AP193" s="57">
        <f>IF(ISERROR(IF(B193=C193,E193/C193,(INT(E193/B193)+(((E193-B193*INT(E193/B193)))/C193)/100))),0,(IF(B193=C193,E193/C193,(INT(E193/B193)+(((E193-B193*INT(E193/B193)))/C193)/100))))</f>
        <v>0</v>
      </c>
      <c r="AQ193" s="57">
        <f>IF(ISERROR(IF(B193=C193,F193/C193,IF((INT(F193/B193)+(((F193-B193*INT(F193/B193)))/C193)/100)&lt;0,(INT(F193/B193)+(((F193-B193*INT(F193/B193)))/C193)/100)+(1-(B193/C193/100)),(INT(F193/B193)+(((F193-B193*INT(F193/B193)))/C193)/100)))),0,IF(B193=C193,F193/C193,IF((INT(F193/B193)+(((F193-B193*INT(F193/B193)))/C193)/100)&lt;0,(INT(F193/B193)+(((F193-B193*INT(F193/B193)))/C193)/100)+(1-(B193/C193/100)),(INT(F193/B193)+(((F193-B193*INT(F193/B193)))/C193)/100))))</f>
        <v>0</v>
      </c>
      <c r="AR193" s="57">
        <f>IF(ISERROR(IF(B193=C193,G193/C193,(INT(G193/B193)+(((G193-B193*INT(G193/B193)))/C193)/100))),0,(IF(B193=C193,G193/C193,(INT(G193/B193)+(((G193-B193*INT(G193/B193)))/C193)/100))))</f>
        <v>0</v>
      </c>
      <c r="AS193" s="57">
        <f>IF(ISERROR(IF(B193=C193,H193/C193,(INT(H193/B193)+(((H193-B193*INT(H193/B193)))/C193)/100))),0,(IF(B193=C193,H193/C193,(INT(H193/B193)+(((H193-B193*INT(H193/B193)))/C193)/100))))</f>
        <v>0</v>
      </c>
      <c r="AT193" s="57">
        <f>IF(ISERROR(IF(B193=C193,I193/C193,(INT(I193/B193)+(((I193-B193*INT(I193/B193)))/C193)/100))),0,(IF(B193=C193,I193/C193,(INT(I193/B193)+(((I193-B193*INT(I193/B193)))/C193)/100))))</f>
        <v>0</v>
      </c>
      <c r="AU193" s="57">
        <f>IF(ISERROR(IF(B193=C193,J193/C193,(INT(J193/B193)+(((J193-B193*INT(J193/B193)))/C193)/100))),0,(IF(B193=C193,J193/C193,(INT(J193/B193)+(((J193-B193*INT(J193/B193)))/C193)/100))))</f>
        <v>0</v>
      </c>
      <c r="AV193" s="57">
        <f>IF(ISERROR(IF(B193=C193,K193/C193,IF((INT(K193/B193)+(((K193-B193*INT(K193/B193)))/C193)/100)&lt;0,(INT(K193/B193)+(((K193-B193*INT(K193/B193)))/C193)/100)+(1-(B193/C193/100)),(INT(K193/B193)+(((K193-B193*INT(K193/B193)))/C193)/100)))),0,IF(B193=C193,K193/C193,IF((INT(K193/B193)+(((K193-B193*INT(K193/B193)))/C193)/100)&lt;0,(INT(K193/B193)+(((K193-B193*INT(K193/B193)))/C193)/100)+(1-(B193/C193/100)),(INT(K193/B193)+(((K193-B193*INT(K193/B193)))/C193)/100))))</f>
        <v>0</v>
      </c>
      <c r="AW193" s="57">
        <f>IF(ISERROR(IF(B193=C193,L193/C193,(INT(L193/B193)+(((L193-B193*INT(L193/B193)))/C193)/100))),0,(IF(B193=C193,L193/C193,(INT(L193/B193)+(((L193-B193*INT(L193/B193)))/C193)/100))))</f>
        <v>0</v>
      </c>
      <c r="AX193" s="57">
        <f>IF(ISERROR(IF(B193=C193,M193/C193,(INT(M193/B193)+(((M193-B193*INT(M193/B193)))/C193)/100))),0,(IF(B193=C193,M193/C193,(INT(M193/B193)+(((M193-B193*INT(M193/B193)))/C193)/100))))</f>
        <v>0</v>
      </c>
      <c r="AY193" s="57">
        <f>IF(ISERROR(IF(B193=C193,N193/C193,IF((INT(N193/B193)+(((N193-B193*INT(N193/B193)))/C193)/100)&lt;0,(INT(N193/B193)+(((N193-B193*INT(N193/B193)))/C193)/100)+(1-(B193/C193/100)),(INT(N193/B193)+(((N193-B193*INT(N193/B193)))/C193)/100)))),0,IF(B193=C193,N193/C193,IF((INT(N193/B193)+(((N193-B193*INT(N193/B193)))/C193)/100)&lt;0,(INT(N193/B193)+(((N193-B193*INT(N193/B193)))/C193)/100)+(1-(B193/C193/100)),(INT(N193/B193)+(((N193-B193*INT(N193/B193)))/C193)/100))))</f>
        <v>0</v>
      </c>
      <c r="AZ193" s="57">
        <f>IF(ISERROR(IF(B193=C193,O193/C193,(INT(O193/B193)+(((O193-B193*INT(O193/B193)))/C193)/100))),0,(IF(B193=C193,O193/C193,(INT(O193/B193)+(((O193-B193*INT(O193/B193)))/C193)/100))))</f>
        <v>0</v>
      </c>
      <c r="BA193" s="57">
        <f>IF(ISERROR(IF(B193=C193,P193/C193,IF((INT(P193/B193)+(((P193-B193*INT(P193/B193)))/C193)/100)&lt;0,(INT(P193/B193)+(((P193-B193*INT(P193/B193)))/C193)/100)+(1-(B193/C193/100)),(INT(P193/B193)+(((P193-B193*INT(P193/B193)))/C193)/100)))),0,IF(B193=C193,P193/C193,IF((INT(P193/B193)+(((P193-B193*INT(P193/B193)))/C193)/100)&lt;0,(INT(P193/B193)+(((P193-B193*INT(P193/B193)))/C193)/100)+(1-(B193/C193/100)),(INT(P193/B193)+(((P193-B193*INT(P193/B193)))/C193)/100))))</f>
        <v>0</v>
      </c>
      <c r="BB193" s="28">
        <f>R193</f>
        <v>0</v>
      </c>
      <c r="BC193" s="28">
        <f>S193</f>
        <v>0</v>
      </c>
      <c r="BD193" s="28">
        <f>AF193</f>
        <v>0</v>
      </c>
      <c r="BE193" s="28">
        <f>T193</f>
        <v>0</v>
      </c>
      <c r="BG193" s="57">
        <f>IF(ISERROR(IF(B193=C193,V193/C193,(INT(V193/B193)+(((V193-B193*INT(V193/B193)))/C193)/100))),0,(IF(B193=C193,V193/C193,(INT(V193/B193)+(((V193-B193*INT(V193/B193)))/C193)/100))))</f>
        <v>0</v>
      </c>
      <c r="BH193" s="57">
        <f>IF(ISERROR(IF(B193=C193,W193/C193,(INT(W193/B193)+(((W193-B193*INT(W193/B193)))/C193)/100))),0,(IF(B193=C193,W193/C193,(INT(W193/B193)+(((W193-B193*INT(W193/B193)))/C193)/100))))</f>
        <v>0</v>
      </c>
      <c r="BI193" s="57">
        <f>IF(ISERROR(IF(B193=C193,X193/C193,(INT(X193/B193)+(((X193-B193*INT(X193/B193)))/C193)/100))),0,(IF(B193=C193,X193/C193,(INT(X193/B193)+(((X193-B193*INT(X193/B193)))/C193)/100))))</f>
        <v>0</v>
      </c>
      <c r="BJ193" s="57">
        <f>IF(ISERROR(IF(B193=C193,Y193/C193,(INT(Y193/B193)+(((Y193-B193*INT(Y193/B193)))/C193)/100))),0,(IF(B193=C193,Y193/C193,(INT(Y193/B193)+(((Y193-B193*INT(Y193/B193)))/C193)/100))))</f>
        <v>0</v>
      </c>
      <c r="BL193" s="57">
        <f>IF(ISERROR(IF(B193=C193,AA193/C193,(INT(AA193/B193)+(((AA193-B193*INT(AA193/B193)))/C193)/100))),0,(IF(B193=C193,AA193/C193,(INT(AA193/B193)+(((AA193-B193*INT(AA193/B193)))/C193)/100))))</f>
        <v>0</v>
      </c>
      <c r="BM193" s="57">
        <f>IF(ISERROR(IF(B193=C193,AB193/C193,(INT(AB193/B193)+(((AB193-B193*INT(AB193/B193)))/C193)/100))),0,(IF(B193=C193,AB193/C193,(INT(AB193/B193)+(((AB193-B193*INT(AB193/B193)))/C193)/100))))</f>
        <v>0</v>
      </c>
      <c r="BN193" s="57">
        <f>IF(ISERROR(IF(B193=C193,AC193/C193,(INT(AC193/B193)+(((AC193-B193*INT(AC193/B193)))/C193)/100))),0,(IF(B193=C193,AC193/C193,(INT(AC193/B193)+(((AC193-B193*INT(AC193/B193)))/C193)/100))))</f>
        <v>0</v>
      </c>
      <c r="BO193" s="57">
        <f>IF(ISERROR(IF(B193=C193,AD193/C193,(INT(AD193/B193)+(((AD193-B193*INT(AD193/B193)))/C193)/100))),0,(IF(B193=C193,AD193/C193,(INT(AD193/B193)+(((AD193-B193*INT(AD193/B193)))/C193)/100))))</f>
        <v>0</v>
      </c>
      <c r="BQ193" s="155"/>
    </row>
    <row r="194" spans="1:69" hidden="1" x14ac:dyDescent="0.35">
      <c r="A194" s="168"/>
      <c r="B194" s="113">
        <v>0</v>
      </c>
      <c r="C194" s="113">
        <v>0</v>
      </c>
      <c r="D194" s="28">
        <f>SUM(AA194:AD194)</f>
        <v>0</v>
      </c>
      <c r="E194" s="113">
        <v>0</v>
      </c>
      <c r="F194" s="113">
        <v>0</v>
      </c>
      <c r="G194" s="28">
        <f>SUM(D194:F194)</f>
        <v>0</v>
      </c>
      <c r="H194" s="125">
        <v>0</v>
      </c>
      <c r="I194" s="113">
        <v>0</v>
      </c>
      <c r="J194" s="125">
        <v>0</v>
      </c>
      <c r="K194" s="113">
        <v>0</v>
      </c>
      <c r="L194" s="113">
        <v>0</v>
      </c>
      <c r="M194" s="113">
        <v>0</v>
      </c>
      <c r="N194" s="28">
        <f>G194-SUM(H194:M194)</f>
        <v>0</v>
      </c>
      <c r="O194" s="28">
        <f>SUM(V194:Y194)</f>
        <v>0</v>
      </c>
      <c r="P194" s="28">
        <f>O194-N194</f>
        <v>0</v>
      </c>
      <c r="Q194" s="61" t="str">
        <f>IF(ISERROR(P194/SUM(H194:L194)),"",P194/SUM(H194:L194))</f>
        <v/>
      </c>
      <c r="R194" s="113">
        <v>0</v>
      </c>
      <c r="S194" s="28">
        <f>IF(ISERROR(P194/C194*R194),0,(P194/C194*R194))</f>
        <v>0</v>
      </c>
      <c r="T194" s="60">
        <f>IF(ISERROR(P194/B194*AF194),0,(P194/B194*AF194))</f>
        <v>0</v>
      </c>
      <c r="V194" s="113">
        <v>0</v>
      </c>
      <c r="W194" s="113">
        <v>0</v>
      </c>
      <c r="X194" s="113">
        <v>0</v>
      </c>
      <c r="Y194" s="113">
        <v>0</v>
      </c>
      <c r="AA194" s="113">
        <v>0</v>
      </c>
      <c r="AB194" s="113">
        <v>0</v>
      </c>
      <c r="AC194" s="113">
        <v>0</v>
      </c>
      <c r="AD194" s="113">
        <v>0</v>
      </c>
      <c r="AF194" s="113">
        <v>0</v>
      </c>
      <c r="AG194" s="28">
        <f>G194-O194</f>
        <v>0</v>
      </c>
      <c r="AH194" s="58">
        <f>IF(ISERROR(AG194/B194*AF194),0,(AG194/B194*AF194))</f>
        <v>0</v>
      </c>
      <c r="AI194" s="28">
        <f>SUM(H194:M194)</f>
        <v>0</v>
      </c>
      <c r="AJ194" s="28">
        <f>IF(ISERROR(AI194/B194*AF194),0,(AI194/B194*AF194))</f>
        <v>0</v>
      </c>
      <c r="AK194" s="58">
        <f>IF(ISERROR(O194/B194*AF194),0,(O194/B194*AF194))</f>
        <v>0</v>
      </c>
      <c r="AL194" s="28">
        <f>IF(ISERROR(H194/B194*AF194),0,(H194/B194*AF194))</f>
        <v>0</v>
      </c>
      <c r="AN194" s="51">
        <f>A194</f>
        <v>0</v>
      </c>
      <c r="AO194" s="57">
        <f>IF(ISERROR(IF(B194=C194,D194/C194,(INT(D194/B194)+(((D194-B194*INT(D194/B194)))/C194)/100))),0,(IF(B194=C194,D194/C194,(INT(D194/B194)+(((D194-B194*INT(D194/B194)))/C194)/100))))</f>
        <v>0</v>
      </c>
      <c r="AP194" s="57">
        <f>IF(ISERROR(IF(B194=C194,E194/C194,(INT(E194/B194)+(((E194-B194*INT(E194/B194)))/C194)/100))),0,(IF(B194=C194,E194/C194,(INT(E194/B194)+(((E194-B194*INT(E194/B194)))/C194)/100))))</f>
        <v>0</v>
      </c>
      <c r="AQ194" s="57">
        <f>IF(ISERROR(IF(B194=C194,F194/C194,IF((INT(F194/B194)+(((F194-B194*INT(F194/B194)))/C194)/100)&lt;0,(INT(F194/B194)+(((F194-B194*INT(F194/B194)))/C194)/100)+(1-(B194/C194/100)),(INT(F194/B194)+(((F194-B194*INT(F194/B194)))/C194)/100)))),0,IF(B194=C194,F194/C194,IF((INT(F194/B194)+(((F194-B194*INT(F194/B194)))/C194)/100)&lt;0,(INT(F194/B194)+(((F194-B194*INT(F194/B194)))/C194)/100)+(1-(B194/C194/100)),(INT(F194/B194)+(((F194-B194*INT(F194/B194)))/C194)/100))))</f>
        <v>0</v>
      </c>
      <c r="AR194" s="57">
        <f>IF(ISERROR(IF(B194=C194,G194/C194,(INT(G194/B194)+(((G194-B194*INT(G194/B194)))/C194)/100))),0,(IF(B194=C194,G194/C194,(INT(G194/B194)+(((G194-B194*INT(G194/B194)))/C194)/100))))</f>
        <v>0</v>
      </c>
      <c r="AS194" s="57">
        <f>IF(ISERROR(IF(B194=C194,H194/C194,(INT(H194/B194)+(((H194-B194*INT(H194/B194)))/C194)/100))),0,(IF(B194=C194,H194/C194,(INT(H194/B194)+(((H194-B194*INT(H194/B194)))/C194)/100))))</f>
        <v>0</v>
      </c>
      <c r="AT194" s="57">
        <f>IF(ISERROR(IF(B194=C194,I194/C194,(INT(I194/B194)+(((I194-B194*INT(I194/B194)))/C194)/100))),0,(IF(B194=C194,I194/C194,(INT(I194/B194)+(((I194-B194*INT(I194/B194)))/C194)/100))))</f>
        <v>0</v>
      </c>
      <c r="AU194" s="57">
        <f>IF(ISERROR(IF(B194=C194,J194/C194,(INT(J194/B194)+(((J194-B194*INT(J194/B194)))/C194)/100))),0,(IF(B194=C194,J194/C194,(INT(J194/B194)+(((J194-B194*INT(J194/B194)))/C194)/100))))</f>
        <v>0</v>
      </c>
      <c r="AV194" s="57">
        <f>IF(ISERROR(IF(B194=C194,K194/C194,IF((INT(K194/B194)+(((K194-B194*INT(K194/B194)))/C194)/100)&lt;0,(INT(K194/B194)+(((K194-B194*INT(K194/B194)))/C194)/100)+(1-(B194/C194/100)),(INT(K194/B194)+(((K194-B194*INT(K194/B194)))/C194)/100)))),0,IF(B194=C194,K194/C194,IF((INT(K194/B194)+(((K194-B194*INT(K194/B194)))/C194)/100)&lt;0,(INT(K194/B194)+(((K194-B194*INT(K194/B194)))/C194)/100)+(1-(B194/C194/100)),(INT(K194/B194)+(((K194-B194*INT(K194/B194)))/C194)/100))))</f>
        <v>0</v>
      </c>
      <c r="AW194" s="57">
        <f>IF(ISERROR(IF(B194=C194,L194/C194,(INT(L194/B194)+(((L194-B194*INT(L194/B194)))/C194)/100))),0,(IF(B194=C194,L194/C194,(INT(L194/B194)+(((L194-B194*INT(L194/B194)))/C194)/100))))</f>
        <v>0</v>
      </c>
      <c r="AX194" s="57">
        <f>IF(ISERROR(IF(B194=C194,M194/C194,(INT(M194/B194)+(((M194-B194*INT(M194/B194)))/C194)/100))),0,(IF(B194=C194,M194/C194,(INT(M194/B194)+(((M194-B194*INT(M194/B194)))/C194)/100))))</f>
        <v>0</v>
      </c>
      <c r="AY194" s="57">
        <f>IF(ISERROR(IF(B194=C194,N194/C194,IF((INT(N194/B194)+(((N194-B194*INT(N194/B194)))/C194)/100)&lt;0,(INT(N194/B194)+(((N194-B194*INT(N194/B194)))/C194)/100)+(1-(B194/C194/100)),(INT(N194/B194)+(((N194-B194*INT(N194/B194)))/C194)/100)))),0,IF(B194=C194,N194/C194,IF((INT(N194/B194)+(((N194-B194*INT(N194/B194)))/C194)/100)&lt;0,(INT(N194/B194)+(((N194-B194*INT(N194/B194)))/C194)/100)+(1-(B194/C194/100)),(INT(N194/B194)+(((N194-B194*INT(N194/B194)))/C194)/100))))</f>
        <v>0</v>
      </c>
      <c r="AZ194" s="57">
        <f>IF(ISERROR(IF(B194=C194,O194/C194,(INT(O194/B194)+(((O194-B194*INT(O194/B194)))/C194)/100))),0,(IF(B194=C194,O194/C194,(INT(O194/B194)+(((O194-B194*INT(O194/B194)))/C194)/100))))</f>
        <v>0</v>
      </c>
      <c r="BA194" s="57">
        <f>IF(ISERROR(IF(B194=C194,P194/C194,IF((INT(P194/B194)+(((P194-B194*INT(P194/B194)))/C194)/100)&lt;0,(INT(P194/B194)+(((P194-B194*INT(P194/B194)))/C194)/100)+(1-(B194/C194/100)),(INT(P194/B194)+(((P194-B194*INT(P194/B194)))/C194)/100)))),0,IF(B194=C194,P194/C194,IF((INT(P194/B194)+(((P194-B194*INT(P194/B194)))/C194)/100)&lt;0,(INT(P194/B194)+(((P194-B194*INT(P194/B194)))/C194)/100)+(1-(B194/C194/100)),(INT(P194/B194)+(((P194-B194*INT(P194/B194)))/C194)/100))))</f>
        <v>0</v>
      </c>
      <c r="BB194" s="28">
        <f>R194</f>
        <v>0</v>
      </c>
      <c r="BC194" s="28">
        <f>S194</f>
        <v>0</v>
      </c>
      <c r="BD194" s="28">
        <f>AF194</f>
        <v>0</v>
      </c>
      <c r="BE194" s="28">
        <f>T194</f>
        <v>0</v>
      </c>
      <c r="BG194" s="57">
        <f>IF(ISERROR(IF(B194=C194,V194/C194,(INT(V194/B194)+(((V194-B194*INT(V194/B194)))/C194)/100))),0,(IF(B194=C194,V194/C194,(INT(V194/B194)+(((V194-B194*INT(V194/B194)))/C194)/100))))</f>
        <v>0</v>
      </c>
      <c r="BH194" s="57">
        <f>IF(ISERROR(IF(B194=C194,W194/C194,(INT(W194/B194)+(((W194-B194*INT(W194/B194)))/C194)/100))),0,(IF(B194=C194,W194/C194,(INT(W194/B194)+(((W194-B194*INT(W194/B194)))/C194)/100))))</f>
        <v>0</v>
      </c>
      <c r="BI194" s="57">
        <f>IF(ISERROR(IF(B194=C194,X194/C194,(INT(X194/B194)+(((X194-B194*INT(X194/B194)))/C194)/100))),0,(IF(B194=C194,X194/C194,(INT(X194/B194)+(((X194-B194*INT(X194/B194)))/C194)/100))))</f>
        <v>0</v>
      </c>
      <c r="BJ194" s="57">
        <f>IF(ISERROR(IF(B194=C194,Y194/C194,(INT(Y194/B194)+(((Y194-B194*INT(Y194/B194)))/C194)/100))),0,(IF(B194=C194,Y194/C194,(INT(Y194/B194)+(((Y194-B194*INT(Y194/B194)))/C194)/100))))</f>
        <v>0</v>
      </c>
      <c r="BL194" s="57">
        <f>IF(ISERROR(IF(B194=C194,AA194/C194,(INT(AA194/B194)+(((AA194-B194*INT(AA194/B194)))/C194)/100))),0,(IF(B194=C194,AA194/C194,(INT(AA194/B194)+(((AA194-B194*INT(AA194/B194)))/C194)/100))))</f>
        <v>0</v>
      </c>
      <c r="BM194" s="57">
        <f>IF(ISERROR(IF(B194=C194,AB194/C194,(INT(AB194/B194)+(((AB194-B194*INT(AB194/B194)))/C194)/100))),0,(IF(B194=C194,AB194/C194,(INT(AB194/B194)+(((AB194-B194*INT(AB194/B194)))/C194)/100))))</f>
        <v>0</v>
      </c>
      <c r="BN194" s="57">
        <f>IF(ISERROR(IF(B194=C194,AC194/C194,(INT(AC194/B194)+(((AC194-B194*INT(AC194/B194)))/C194)/100))),0,(IF(B194=C194,AC194/C194,(INT(AC194/B194)+(((AC194-B194*INT(AC194/B194)))/C194)/100))))</f>
        <v>0</v>
      </c>
      <c r="BO194" s="57">
        <f>IF(ISERROR(IF(B194=C194,AD194/C194,(INT(AD194/B194)+(((AD194-B194*INT(AD194/B194)))/C194)/100))),0,(IF(B194=C194,AD194/C194,(INT(AD194/B194)+(((AD194-B194*INT(AD194/B194)))/C194)/100))))</f>
        <v>0</v>
      </c>
      <c r="BQ194" s="155"/>
    </row>
    <row r="195" spans="1:69" hidden="1" x14ac:dyDescent="0.35">
      <c r="A195" s="94"/>
      <c r="B195" s="113">
        <v>0</v>
      </c>
      <c r="C195" s="113">
        <v>0</v>
      </c>
      <c r="D195" s="28">
        <f>SUM(AA195:AD195)</f>
        <v>0</v>
      </c>
      <c r="E195" s="113">
        <v>0</v>
      </c>
      <c r="F195" s="113">
        <v>0</v>
      </c>
      <c r="G195" s="28">
        <f>SUM(D195:F195)</f>
        <v>0</v>
      </c>
      <c r="H195" s="125">
        <v>0</v>
      </c>
      <c r="I195" s="113">
        <v>0</v>
      </c>
      <c r="J195" s="125">
        <v>0</v>
      </c>
      <c r="K195" s="113">
        <v>0</v>
      </c>
      <c r="L195" s="113">
        <v>0</v>
      </c>
      <c r="M195" s="113">
        <v>0</v>
      </c>
      <c r="N195" s="28">
        <f>G195-SUM(H195:M195)</f>
        <v>0</v>
      </c>
      <c r="O195" s="28">
        <f>SUM(V195:Y195)</f>
        <v>0</v>
      </c>
      <c r="P195" s="28">
        <f>O195-N195</f>
        <v>0</v>
      </c>
      <c r="Q195" s="61" t="str">
        <f>IF(ISERROR(P195/SUM(H195:L195)),"",P195/SUM(H195:L195))</f>
        <v/>
      </c>
      <c r="R195" s="113">
        <v>0</v>
      </c>
      <c r="S195" s="28">
        <f>IF(ISERROR(P195/C195*R195),0,(P195/C195*R195))</f>
        <v>0</v>
      </c>
      <c r="T195" s="60">
        <f>IF(ISERROR(P195/B195*AF195),0,(P195/B195*AF195))</f>
        <v>0</v>
      </c>
      <c r="V195" s="113">
        <v>0</v>
      </c>
      <c r="W195" s="113">
        <v>0</v>
      </c>
      <c r="X195" s="113">
        <v>0</v>
      </c>
      <c r="Y195" s="113">
        <v>0</v>
      </c>
      <c r="AA195" s="113">
        <v>0</v>
      </c>
      <c r="AB195" s="113">
        <v>0</v>
      </c>
      <c r="AC195" s="113">
        <v>0</v>
      </c>
      <c r="AD195" s="113">
        <v>0</v>
      </c>
      <c r="AF195" s="113">
        <v>0</v>
      </c>
      <c r="AG195" s="28">
        <f>G195-O195</f>
        <v>0</v>
      </c>
      <c r="AH195" s="58">
        <f>IF(ISERROR(AG195/B195*AF195),0,(AG195/B195*AF195))</f>
        <v>0</v>
      </c>
      <c r="AI195" s="28">
        <f>SUM(H195:M195)</f>
        <v>0</v>
      </c>
      <c r="AJ195" s="28">
        <f>IF(ISERROR(AI195/B195*AF195),0,(AI195/B195*AF195))</f>
        <v>0</v>
      </c>
      <c r="AK195" s="58">
        <f>IF(ISERROR(O195/B195*AF195),0,(O195/B195*AF195))</f>
        <v>0</v>
      </c>
      <c r="AL195" s="28">
        <f>IF(ISERROR(H195/B195*AF195),0,(H195/B195*AF195))</f>
        <v>0</v>
      </c>
      <c r="AN195" s="51">
        <f>A195</f>
        <v>0</v>
      </c>
      <c r="AO195" s="57">
        <f>IF(ISERROR(IF(B195=C195,D195/C195,(INT(D195/B195)+(((D195-B195*INT(D195/B195)))/C195)/100))),0,(IF(B195=C195,D195/C195,(INT(D195/B195)+(((D195-B195*INT(D195/B195)))/C195)/100))))</f>
        <v>0</v>
      </c>
      <c r="AP195" s="57">
        <f>IF(ISERROR(IF(B195=C195,E195/C195,(INT(E195/B195)+(((E195-B195*INT(E195/B195)))/C195)/100))),0,(IF(B195=C195,E195/C195,(INT(E195/B195)+(((E195-B195*INT(E195/B195)))/C195)/100))))</f>
        <v>0</v>
      </c>
      <c r="AQ195" s="57">
        <f>IF(ISERROR(IF(B195=C195,F195/C195,IF((INT(F195/B195)+(((F195-B195*INT(F195/B195)))/C195)/100)&lt;0,(INT(F195/B195)+(((F195-B195*INT(F195/B195)))/C195)/100)+(1-(B195/C195/100)),(INT(F195/B195)+(((F195-B195*INT(F195/B195)))/C195)/100)))),0,IF(B195=C195,F195/C195,IF((INT(F195/B195)+(((F195-B195*INT(F195/B195)))/C195)/100)&lt;0,(INT(F195/B195)+(((F195-B195*INT(F195/B195)))/C195)/100)+(1-(B195/C195/100)),(INT(F195/B195)+(((F195-B195*INT(F195/B195)))/C195)/100))))</f>
        <v>0</v>
      </c>
      <c r="AR195" s="57">
        <f>IF(ISERROR(IF(B195=C195,G195/C195,(INT(G195/B195)+(((G195-B195*INT(G195/B195)))/C195)/100))),0,(IF(B195=C195,G195/C195,(INT(G195/B195)+(((G195-B195*INT(G195/B195)))/C195)/100))))</f>
        <v>0</v>
      </c>
      <c r="AS195" s="57">
        <f>IF(ISERROR(IF(B195=C195,H195/C195,(INT(H195/B195)+(((H195-B195*INT(H195/B195)))/C195)/100))),0,(IF(B195=C195,H195/C195,(INT(H195/B195)+(((H195-B195*INT(H195/B195)))/C195)/100))))</f>
        <v>0</v>
      </c>
      <c r="AT195" s="57">
        <f>IF(ISERROR(IF(B195=C195,I195/C195,(INT(I195/B195)+(((I195-B195*INT(I195/B195)))/C195)/100))),0,(IF(B195=C195,I195/C195,(INT(I195/B195)+(((I195-B195*INT(I195/B195)))/C195)/100))))</f>
        <v>0</v>
      </c>
      <c r="AU195" s="57">
        <f>IF(ISERROR(IF(B195=C195,J195/C195,(INT(J195/B195)+(((J195-B195*INT(J195/B195)))/C195)/100))),0,(IF(B195=C195,J195/C195,(INT(J195/B195)+(((J195-B195*INT(J195/B195)))/C195)/100))))</f>
        <v>0</v>
      </c>
      <c r="AV195" s="57">
        <f>IF(ISERROR(IF(B195=C195,K195/C195,IF((INT(K195/B195)+(((K195-B195*INT(K195/B195)))/C195)/100)&lt;0,(INT(K195/B195)+(((K195-B195*INT(K195/B195)))/C195)/100)+(1-(B195/C195/100)),(INT(K195/B195)+(((K195-B195*INT(K195/B195)))/C195)/100)))),0,IF(B195=C195,K195/C195,IF((INT(K195/B195)+(((K195-B195*INT(K195/B195)))/C195)/100)&lt;0,(INT(K195/B195)+(((K195-B195*INT(K195/B195)))/C195)/100)+(1-(B195/C195/100)),(INT(K195/B195)+(((K195-B195*INT(K195/B195)))/C195)/100))))</f>
        <v>0</v>
      </c>
      <c r="AW195" s="57">
        <f>IF(ISERROR(IF(B195=C195,L195/C195,(INT(L195/B195)+(((L195-B195*INT(L195/B195)))/C195)/100))),0,(IF(B195=C195,L195/C195,(INT(L195/B195)+(((L195-B195*INT(L195/B195)))/C195)/100))))</f>
        <v>0</v>
      </c>
      <c r="AX195" s="57">
        <f>IF(ISERROR(IF(B195=C195,M195/C195,(INT(M195/B195)+(((M195-B195*INT(M195/B195)))/C195)/100))),0,(IF(B195=C195,M195/C195,(INT(M195/B195)+(((M195-B195*INT(M195/B195)))/C195)/100))))</f>
        <v>0</v>
      </c>
      <c r="AY195" s="57">
        <f>IF(ISERROR(IF(B195=C195,N195/C195,IF((INT(N195/B195)+(((N195-B195*INT(N195/B195)))/C195)/100)&lt;0,(INT(N195/B195)+(((N195-B195*INT(N195/B195)))/C195)/100)+(1-(B195/C195/100)),(INT(N195/B195)+(((N195-B195*INT(N195/B195)))/C195)/100)))),0,IF(B195=C195,N195/C195,IF((INT(N195/B195)+(((N195-B195*INT(N195/B195)))/C195)/100)&lt;0,(INT(N195/B195)+(((N195-B195*INT(N195/B195)))/C195)/100)+(1-(B195/C195/100)),(INT(N195/B195)+(((N195-B195*INT(N195/B195)))/C195)/100))))</f>
        <v>0</v>
      </c>
      <c r="AZ195" s="57">
        <f>IF(ISERROR(IF(B195=C195,O195/C195,(INT(O195/B195)+(((O195-B195*INT(O195/B195)))/C195)/100))),0,(IF(B195=C195,O195/C195,(INT(O195/B195)+(((O195-B195*INT(O195/B195)))/C195)/100))))</f>
        <v>0</v>
      </c>
      <c r="BA195" s="57">
        <f>IF(ISERROR(IF(B195=C195,P195/C195,IF((INT(P195/B195)+(((P195-B195*INT(P195/B195)))/C195)/100)&lt;0,(INT(P195/B195)+(((P195-B195*INT(P195/B195)))/C195)/100)+(1-(B195/C195/100)),(INT(P195/B195)+(((P195-B195*INT(P195/B195)))/C195)/100)))),0,IF(B195=C195,P195/C195,IF((INT(P195/B195)+(((P195-B195*INT(P195/B195)))/C195)/100)&lt;0,(INT(P195/B195)+(((P195-B195*INT(P195/B195)))/C195)/100)+(1-(B195/C195/100)),(INT(P195/B195)+(((P195-B195*INT(P195/B195)))/C195)/100))))</f>
        <v>0</v>
      </c>
      <c r="BB195" s="28">
        <f>R195</f>
        <v>0</v>
      </c>
      <c r="BC195" s="28">
        <f>S195</f>
        <v>0</v>
      </c>
      <c r="BD195" s="28">
        <f>AF195</f>
        <v>0</v>
      </c>
      <c r="BE195" s="28">
        <f>T195</f>
        <v>0</v>
      </c>
      <c r="BG195" s="57">
        <f>IF(ISERROR(IF(B195=C195,V195/C195,(INT(V195/B195)+(((V195-B195*INT(V195/B195)))/C195)/100))),0,(IF(B195=C195,V195/C195,(INT(V195/B195)+(((V195-B195*INT(V195/B195)))/C195)/100))))</f>
        <v>0</v>
      </c>
      <c r="BH195" s="57">
        <f>IF(ISERROR(IF(B195=C195,W195/C195,(INT(W195/B195)+(((W195-B195*INT(W195/B195)))/C195)/100))),0,(IF(B195=C195,W195/C195,(INT(W195/B195)+(((W195-B195*INT(W195/B195)))/C195)/100))))</f>
        <v>0</v>
      </c>
      <c r="BI195" s="57">
        <f>IF(ISERROR(IF(B195=C195,X195/C195,(INT(X195/B195)+(((X195-B195*INT(X195/B195)))/C195)/100))),0,(IF(B195=C195,X195/C195,(INT(X195/B195)+(((X195-B195*INT(X195/B195)))/C195)/100))))</f>
        <v>0</v>
      </c>
      <c r="BJ195" s="57">
        <f>IF(ISERROR(IF(B195=C195,Y195/C195,(INT(Y195/B195)+(((Y195-B195*INT(Y195/B195)))/C195)/100))),0,(IF(B195=C195,Y195/C195,(INT(Y195/B195)+(((Y195-B195*INT(Y195/B195)))/C195)/100))))</f>
        <v>0</v>
      </c>
      <c r="BL195" s="57">
        <f>IF(ISERROR(IF(B195=C195,AA195/C195,(INT(AA195/B195)+(((AA195-B195*INT(AA195/B195)))/C195)/100))),0,(IF(B195=C195,AA195/C195,(INT(AA195/B195)+(((AA195-B195*INT(AA195/B195)))/C195)/100))))</f>
        <v>0</v>
      </c>
      <c r="BM195" s="57">
        <f>IF(ISERROR(IF(B195=C195,AB195/C195,(INT(AB195/B195)+(((AB195-B195*INT(AB195/B195)))/C195)/100))),0,(IF(B195=C195,AB195/C195,(INT(AB195/B195)+(((AB195-B195*INT(AB195/B195)))/C195)/100))))</f>
        <v>0</v>
      </c>
      <c r="BN195" s="57">
        <f>IF(ISERROR(IF(B195=C195,AC195/C195,(INT(AC195/B195)+(((AC195-B195*INT(AC195/B195)))/C195)/100))),0,(IF(B195=C195,AC195/C195,(INT(AC195/B195)+(((AC195-B195*INT(AC195/B195)))/C195)/100))))</f>
        <v>0</v>
      </c>
      <c r="BO195" s="57">
        <f>IF(ISERROR(IF(B195=C195,AD195/C195,(INT(AD195/B195)+(((AD195-B195*INT(AD195/B195)))/C195)/100))),0,(IF(B195=C195,AD195/C195,(INT(AD195/B195)+(((AD195-B195*INT(AD195/B195)))/C195)/100))))</f>
        <v>0</v>
      </c>
      <c r="BQ195" s="155"/>
    </row>
    <row r="196" spans="1:69" hidden="1" x14ac:dyDescent="0.35">
      <c r="A196" s="94"/>
      <c r="B196" s="113">
        <v>0</v>
      </c>
      <c r="C196" s="113">
        <v>0</v>
      </c>
      <c r="D196" s="28">
        <f>SUM(AA196:AD196)</f>
        <v>0</v>
      </c>
      <c r="E196" s="113">
        <v>0</v>
      </c>
      <c r="F196" s="113">
        <v>0</v>
      </c>
      <c r="G196" s="28">
        <f>SUM(D196:F196)</f>
        <v>0</v>
      </c>
      <c r="H196" s="125">
        <v>0</v>
      </c>
      <c r="I196" s="113">
        <v>0</v>
      </c>
      <c r="J196" s="125">
        <v>0</v>
      </c>
      <c r="K196" s="113">
        <v>0</v>
      </c>
      <c r="L196" s="113">
        <v>0</v>
      </c>
      <c r="M196" s="113">
        <v>0</v>
      </c>
      <c r="N196" s="28">
        <f>G196-SUM(H196:M196)</f>
        <v>0</v>
      </c>
      <c r="O196" s="28">
        <f>SUM(V196:Y196)</f>
        <v>0</v>
      </c>
      <c r="P196" s="28">
        <f>O196-N196</f>
        <v>0</v>
      </c>
      <c r="Q196" s="61" t="str">
        <f>IF(ISERROR(P196/SUM(H196:L196)),"",P196/SUM(H196:L196))</f>
        <v/>
      </c>
      <c r="R196" s="113">
        <v>0</v>
      </c>
      <c r="S196" s="28">
        <f>IF(ISERROR(P196/C196*R196),0,(P196/C196*R196))</f>
        <v>0</v>
      </c>
      <c r="T196" s="60">
        <f>IF(ISERROR(P196/B196*AF196),0,(P196/B196*AF196))</f>
        <v>0</v>
      </c>
      <c r="V196" s="113">
        <v>0</v>
      </c>
      <c r="W196" s="113">
        <v>0</v>
      </c>
      <c r="X196" s="113">
        <v>0</v>
      </c>
      <c r="Y196" s="113">
        <v>0</v>
      </c>
      <c r="AA196" s="113">
        <v>0</v>
      </c>
      <c r="AB196" s="113">
        <v>0</v>
      </c>
      <c r="AC196" s="113">
        <v>0</v>
      </c>
      <c r="AD196" s="113">
        <v>0</v>
      </c>
      <c r="AF196" s="113">
        <v>0</v>
      </c>
      <c r="AG196" s="28">
        <f>G196-O196</f>
        <v>0</v>
      </c>
      <c r="AH196" s="58">
        <f>IF(ISERROR(AG196/B196*AF196),0,(AG196/B196*AF196))</f>
        <v>0</v>
      </c>
      <c r="AI196" s="28">
        <f>SUM(H196:M196)</f>
        <v>0</v>
      </c>
      <c r="AJ196" s="28">
        <f>IF(ISERROR(AI196/B196*AF196),0,(AI196/B196*AF196))</f>
        <v>0</v>
      </c>
      <c r="AK196" s="58">
        <f>IF(ISERROR(O196/B196*AF196),0,(O196/B196*AF196))</f>
        <v>0</v>
      </c>
      <c r="AL196" s="28">
        <f>IF(ISERROR(H196/B196*AF196),0,(H196/B196*AF196))</f>
        <v>0</v>
      </c>
      <c r="AN196" s="51">
        <f>A196</f>
        <v>0</v>
      </c>
      <c r="AO196" s="57">
        <f>IF(ISERROR(IF(B196=C196,D196/C196,(INT(D196/B196)+(((D196-B196*INT(D196/B196)))/C196)/100))),0,(IF(B196=C196,D196/C196,(INT(D196/B196)+(((D196-B196*INT(D196/B196)))/C196)/100))))</f>
        <v>0</v>
      </c>
      <c r="AP196" s="57">
        <f>IF(ISERROR(IF(B196=C196,E196/C196,(INT(E196/B196)+(((E196-B196*INT(E196/B196)))/C196)/100))),0,(IF(B196=C196,E196/C196,(INT(E196/B196)+(((E196-B196*INT(E196/B196)))/C196)/100))))</f>
        <v>0</v>
      </c>
      <c r="AQ196" s="57">
        <f>IF(ISERROR(IF(B196=C196,F196/C196,IF((INT(F196/B196)+(((F196-B196*INT(F196/B196)))/C196)/100)&lt;0,(INT(F196/B196)+(((F196-B196*INT(F196/B196)))/C196)/100)+(1-(B196/C196/100)),(INT(F196/B196)+(((F196-B196*INT(F196/B196)))/C196)/100)))),0,IF(B196=C196,F196/C196,IF((INT(F196/B196)+(((F196-B196*INT(F196/B196)))/C196)/100)&lt;0,(INT(F196/B196)+(((F196-B196*INT(F196/B196)))/C196)/100)+(1-(B196/C196/100)),(INT(F196/B196)+(((F196-B196*INT(F196/B196)))/C196)/100))))</f>
        <v>0</v>
      </c>
      <c r="AR196" s="57">
        <f>IF(ISERROR(IF(B196=C196,G196/C196,(INT(G196/B196)+(((G196-B196*INT(G196/B196)))/C196)/100))),0,(IF(B196=C196,G196/C196,(INT(G196/B196)+(((G196-B196*INT(G196/B196)))/C196)/100))))</f>
        <v>0</v>
      </c>
      <c r="AS196" s="57">
        <f>IF(ISERROR(IF(B196=C196,H196/C196,(INT(H196/B196)+(((H196-B196*INT(H196/B196)))/C196)/100))),0,(IF(B196=C196,H196/C196,(INT(H196/B196)+(((H196-B196*INT(H196/B196)))/C196)/100))))</f>
        <v>0</v>
      </c>
      <c r="AT196" s="57">
        <f>IF(ISERROR(IF(B196=C196,I196/C196,(INT(I196/B196)+(((I196-B196*INT(I196/B196)))/C196)/100))),0,(IF(B196=C196,I196/C196,(INT(I196/B196)+(((I196-B196*INT(I196/B196)))/C196)/100))))</f>
        <v>0</v>
      </c>
      <c r="AU196" s="57">
        <f>IF(ISERROR(IF(B196=C196,J196/C196,(INT(J196/B196)+(((J196-B196*INT(J196/B196)))/C196)/100))),0,(IF(B196=C196,J196/C196,(INT(J196/B196)+(((J196-B196*INT(J196/B196)))/C196)/100))))</f>
        <v>0</v>
      </c>
      <c r="AV196" s="57">
        <f>IF(ISERROR(IF(B196=C196,K196/C196,IF((INT(K196/B196)+(((K196-B196*INT(K196/B196)))/C196)/100)&lt;0,(INT(K196/B196)+(((K196-B196*INT(K196/B196)))/C196)/100)+(1-(B196/C196/100)),(INT(K196/B196)+(((K196-B196*INT(K196/B196)))/C196)/100)))),0,IF(B196=C196,K196/C196,IF((INT(K196/B196)+(((K196-B196*INT(K196/B196)))/C196)/100)&lt;0,(INT(K196/B196)+(((K196-B196*INT(K196/B196)))/C196)/100)+(1-(B196/C196/100)),(INT(K196/B196)+(((K196-B196*INT(K196/B196)))/C196)/100))))</f>
        <v>0</v>
      </c>
      <c r="AW196" s="57">
        <f>IF(ISERROR(IF(B196=C196,L196/C196,(INT(L196/B196)+(((L196-B196*INT(L196/B196)))/C196)/100))),0,(IF(B196=C196,L196/C196,(INT(L196/B196)+(((L196-B196*INT(L196/B196)))/C196)/100))))</f>
        <v>0</v>
      </c>
      <c r="AX196" s="57">
        <f>IF(ISERROR(IF(B196=C196,M196/C196,(INT(M196/B196)+(((M196-B196*INT(M196/B196)))/C196)/100))),0,(IF(B196=C196,M196/C196,(INT(M196/B196)+(((M196-B196*INT(M196/B196)))/C196)/100))))</f>
        <v>0</v>
      </c>
      <c r="AY196" s="57">
        <f>IF(ISERROR(IF(B196=C196,N196/C196,IF((INT(N196/B196)+(((N196-B196*INT(N196/B196)))/C196)/100)&lt;0,(INT(N196/B196)+(((N196-B196*INT(N196/B196)))/C196)/100)+(1-(B196/C196/100)),(INT(N196/B196)+(((N196-B196*INT(N196/B196)))/C196)/100)))),0,IF(B196=C196,N196/C196,IF((INT(N196/B196)+(((N196-B196*INT(N196/B196)))/C196)/100)&lt;0,(INT(N196/B196)+(((N196-B196*INT(N196/B196)))/C196)/100)+(1-(B196/C196/100)),(INT(N196/B196)+(((N196-B196*INT(N196/B196)))/C196)/100))))</f>
        <v>0</v>
      </c>
      <c r="AZ196" s="57">
        <f>IF(ISERROR(IF(B196=C196,O196/C196,(INT(O196/B196)+(((O196-B196*INT(O196/B196)))/C196)/100))),0,(IF(B196=C196,O196/C196,(INT(O196/B196)+(((O196-B196*INT(O196/B196)))/C196)/100))))</f>
        <v>0</v>
      </c>
      <c r="BA196" s="57">
        <f>IF(ISERROR(IF(B196=C196,P196/C196,IF((INT(P196/B196)+(((P196-B196*INT(P196/B196)))/C196)/100)&lt;0,(INT(P196/B196)+(((P196-B196*INT(P196/B196)))/C196)/100)+(1-(B196/C196/100)),(INT(P196/B196)+(((P196-B196*INT(P196/B196)))/C196)/100)))),0,IF(B196=C196,P196/C196,IF((INT(P196/B196)+(((P196-B196*INT(P196/B196)))/C196)/100)&lt;0,(INT(P196/B196)+(((P196-B196*INT(P196/B196)))/C196)/100)+(1-(B196/C196/100)),(INT(P196/B196)+(((P196-B196*INT(P196/B196)))/C196)/100))))</f>
        <v>0</v>
      </c>
      <c r="BB196" s="28">
        <f>R196</f>
        <v>0</v>
      </c>
      <c r="BC196" s="28">
        <f>S196</f>
        <v>0</v>
      </c>
      <c r="BD196" s="28">
        <f>AF196</f>
        <v>0</v>
      </c>
      <c r="BE196" s="28">
        <f>T196</f>
        <v>0</v>
      </c>
      <c r="BG196" s="57">
        <f>IF(ISERROR(IF(B196=C196,V196/C196,(INT(V196/B196)+(((V196-B196*INT(V196/B196)))/C196)/100))),0,(IF(B196=C196,V196/C196,(INT(V196/B196)+(((V196-B196*INT(V196/B196)))/C196)/100))))</f>
        <v>0</v>
      </c>
      <c r="BH196" s="57">
        <f>IF(ISERROR(IF(B196=C196,W196/C196,(INT(W196/B196)+(((W196-B196*INT(W196/B196)))/C196)/100))),0,(IF(B196=C196,W196/C196,(INT(W196/B196)+(((W196-B196*INT(W196/B196)))/C196)/100))))</f>
        <v>0</v>
      </c>
      <c r="BI196" s="57">
        <f>IF(ISERROR(IF(B196=C196,X196/C196,(INT(X196/B196)+(((X196-B196*INT(X196/B196)))/C196)/100))),0,(IF(B196=C196,X196/C196,(INT(X196/B196)+(((X196-B196*INT(X196/B196)))/C196)/100))))</f>
        <v>0</v>
      </c>
      <c r="BJ196" s="57">
        <f>IF(ISERROR(IF(B196=C196,Y196/C196,(INT(Y196/B196)+(((Y196-B196*INT(Y196/B196)))/C196)/100))),0,(IF(B196=C196,Y196/C196,(INT(Y196/B196)+(((Y196-B196*INT(Y196/B196)))/C196)/100))))</f>
        <v>0</v>
      </c>
      <c r="BL196" s="57">
        <f>IF(ISERROR(IF(B196=C196,AA196/C196,(INT(AA196/B196)+(((AA196-B196*INT(AA196/B196)))/C196)/100))),0,(IF(B196=C196,AA196/C196,(INT(AA196/B196)+(((AA196-B196*INT(AA196/B196)))/C196)/100))))</f>
        <v>0</v>
      </c>
      <c r="BM196" s="57">
        <f>IF(ISERROR(IF(B196=C196,AB196/C196,(INT(AB196/B196)+(((AB196-B196*INT(AB196/B196)))/C196)/100))),0,(IF(B196=C196,AB196/C196,(INT(AB196/B196)+(((AB196-B196*INT(AB196/B196)))/C196)/100))))</f>
        <v>0</v>
      </c>
      <c r="BN196" s="57">
        <f>IF(ISERROR(IF(B196=C196,AC196/C196,(INT(AC196/B196)+(((AC196-B196*INT(AC196/B196)))/C196)/100))),0,(IF(B196=C196,AC196/C196,(INT(AC196/B196)+(((AC196-B196*INT(AC196/B196)))/C196)/100))))</f>
        <v>0</v>
      </c>
      <c r="BO196" s="57">
        <f>IF(ISERROR(IF(B196=C196,AD196/C196,(INT(AD196/B196)+(((AD196-B196*INT(AD196/B196)))/C196)/100))),0,(IF(B196=C196,AD196/C196,(INT(AD196/B196)+(((AD196-B196*INT(AD196/B196)))/C196)/100))))</f>
        <v>0</v>
      </c>
      <c r="BQ196" s="155"/>
    </row>
    <row r="197" spans="1:69" hidden="1" x14ac:dyDescent="0.35">
      <c r="A197" s="94"/>
      <c r="B197" s="113">
        <v>0</v>
      </c>
      <c r="C197" s="113">
        <v>0</v>
      </c>
      <c r="D197" s="28">
        <f>SUM(AA197:AD197)</f>
        <v>0</v>
      </c>
      <c r="E197" s="113">
        <v>0</v>
      </c>
      <c r="F197" s="113">
        <v>0</v>
      </c>
      <c r="G197" s="28">
        <f>SUM(D197:F197)</f>
        <v>0</v>
      </c>
      <c r="H197" s="125">
        <v>0</v>
      </c>
      <c r="I197" s="113">
        <v>0</v>
      </c>
      <c r="J197" s="125">
        <v>0</v>
      </c>
      <c r="K197" s="113">
        <v>0</v>
      </c>
      <c r="L197" s="113">
        <v>0</v>
      </c>
      <c r="M197" s="113">
        <v>0</v>
      </c>
      <c r="N197" s="28">
        <f>G197-SUM(H197:M197)</f>
        <v>0</v>
      </c>
      <c r="O197" s="28">
        <f>SUM(V197:Y197)</f>
        <v>0</v>
      </c>
      <c r="P197" s="28">
        <f>O197-N197</f>
        <v>0</v>
      </c>
      <c r="Q197" s="61" t="str">
        <f>IF(ISERROR(P197/SUM(H197:L197)),"",P197/SUM(H197:L197))</f>
        <v/>
      </c>
      <c r="R197" s="113">
        <v>0</v>
      </c>
      <c r="S197" s="28">
        <f>IF(ISERROR(P197/C197*R197),0,(P197/C197*R197))</f>
        <v>0</v>
      </c>
      <c r="T197" s="60">
        <f>IF(ISERROR(P197/B197*AF197),0,(P197/B197*AF197))</f>
        <v>0</v>
      </c>
      <c r="V197" s="113">
        <v>0</v>
      </c>
      <c r="W197" s="113">
        <v>0</v>
      </c>
      <c r="X197" s="113">
        <v>0</v>
      </c>
      <c r="Y197" s="113">
        <v>0</v>
      </c>
      <c r="AA197" s="113">
        <v>0</v>
      </c>
      <c r="AB197" s="113">
        <v>0</v>
      </c>
      <c r="AC197" s="113">
        <v>0</v>
      </c>
      <c r="AD197" s="113">
        <v>0</v>
      </c>
      <c r="AF197" s="113">
        <v>0</v>
      </c>
      <c r="AG197" s="28">
        <f>G197-O197</f>
        <v>0</v>
      </c>
      <c r="AH197" s="58">
        <f>IF(ISERROR(AG197/B197*AF197),0,(AG197/B197*AF197))</f>
        <v>0</v>
      </c>
      <c r="AI197" s="28">
        <f>SUM(H197:M197)</f>
        <v>0</v>
      </c>
      <c r="AJ197" s="28">
        <f>IF(ISERROR(AI197/B197*AF197),0,(AI197/B197*AF197))</f>
        <v>0</v>
      </c>
      <c r="AK197" s="58">
        <f>IF(ISERROR(O197/B197*AF197),0,(O197/B197*AF197))</f>
        <v>0</v>
      </c>
      <c r="AL197" s="28">
        <f>IF(ISERROR(H197/B197*AF197),0,(H197/B197*AF197))</f>
        <v>0</v>
      </c>
      <c r="AN197" s="51">
        <f>A197</f>
        <v>0</v>
      </c>
      <c r="AO197" s="57">
        <f>IF(ISERROR(IF(B197=C197,D197/C197,(INT(D197/B197)+(((D197-B197*INT(D197/B197)))/C197)/100))),0,(IF(B197=C197,D197/C197,(INT(D197/B197)+(((D197-B197*INT(D197/B197)))/C197)/100))))</f>
        <v>0</v>
      </c>
      <c r="AP197" s="57">
        <f>IF(ISERROR(IF(B197=C197,E197/C197,(INT(E197/B197)+(((E197-B197*INT(E197/B197)))/C197)/100))),0,(IF(B197=C197,E197/C197,(INT(E197/B197)+(((E197-B197*INT(E197/B197)))/C197)/100))))</f>
        <v>0</v>
      </c>
      <c r="AQ197" s="57">
        <f>IF(ISERROR(IF(B197=C197,F197/C197,IF((INT(F197/B197)+(((F197-B197*INT(F197/B197)))/C197)/100)&lt;0,(INT(F197/B197)+(((F197-B197*INT(F197/B197)))/C197)/100)+(1-(B197/C197/100)),(INT(F197/B197)+(((F197-B197*INT(F197/B197)))/C197)/100)))),0,IF(B197=C197,F197/C197,IF((INT(F197/B197)+(((F197-B197*INT(F197/B197)))/C197)/100)&lt;0,(INT(F197/B197)+(((F197-B197*INT(F197/B197)))/C197)/100)+(1-(B197/C197/100)),(INT(F197/B197)+(((F197-B197*INT(F197/B197)))/C197)/100))))</f>
        <v>0</v>
      </c>
      <c r="AR197" s="57">
        <f>IF(ISERROR(IF(B197=C197,G197/C197,(INT(G197/B197)+(((G197-B197*INT(G197/B197)))/C197)/100))),0,(IF(B197=C197,G197/C197,(INT(G197/B197)+(((G197-B197*INT(G197/B197)))/C197)/100))))</f>
        <v>0</v>
      </c>
      <c r="AS197" s="57">
        <f>IF(ISERROR(IF(B197=C197,H197/C197,(INT(H197/B197)+(((H197-B197*INT(H197/B197)))/C197)/100))),0,(IF(B197=C197,H197/C197,(INT(H197/B197)+(((H197-B197*INT(H197/B197)))/C197)/100))))</f>
        <v>0</v>
      </c>
      <c r="AT197" s="57">
        <f>IF(ISERROR(IF(B197=C197,I197/C197,(INT(I197/B197)+(((I197-B197*INT(I197/B197)))/C197)/100))),0,(IF(B197=C197,I197/C197,(INT(I197/B197)+(((I197-B197*INT(I197/B197)))/C197)/100))))</f>
        <v>0</v>
      </c>
      <c r="AU197" s="57">
        <f>IF(ISERROR(IF(B197=C197,J197/C197,(INT(J197/B197)+(((J197-B197*INT(J197/B197)))/C197)/100))),0,(IF(B197=C197,J197/C197,(INT(J197/B197)+(((J197-B197*INT(J197/B197)))/C197)/100))))</f>
        <v>0</v>
      </c>
      <c r="AV197" s="57">
        <f>IF(ISERROR(IF(B197=C197,K197/C197,IF((INT(K197/B197)+(((K197-B197*INT(K197/B197)))/C197)/100)&lt;0,(INT(K197/B197)+(((K197-B197*INT(K197/B197)))/C197)/100)+(1-(B197/C197/100)),(INT(K197/B197)+(((K197-B197*INT(K197/B197)))/C197)/100)))),0,IF(B197=C197,K197/C197,IF((INT(K197/B197)+(((K197-B197*INT(K197/B197)))/C197)/100)&lt;0,(INT(K197/B197)+(((K197-B197*INT(K197/B197)))/C197)/100)+(1-(B197/C197/100)),(INT(K197/B197)+(((K197-B197*INT(K197/B197)))/C197)/100))))</f>
        <v>0</v>
      </c>
      <c r="AW197" s="57">
        <f>IF(ISERROR(IF(B197=C197,L197/C197,(INT(L197/B197)+(((L197-B197*INT(L197/B197)))/C197)/100))),0,(IF(B197=C197,L197/C197,(INT(L197/B197)+(((L197-B197*INT(L197/B197)))/C197)/100))))</f>
        <v>0</v>
      </c>
      <c r="AX197" s="57">
        <f>IF(ISERROR(IF(B197=C197,M197/C197,(INT(M197/B197)+(((M197-B197*INT(M197/B197)))/C197)/100))),0,(IF(B197=C197,M197/C197,(INT(M197/B197)+(((M197-B197*INT(M197/B197)))/C197)/100))))</f>
        <v>0</v>
      </c>
      <c r="AY197" s="57">
        <f>IF(ISERROR(IF(B197=C197,N197/C197,IF((INT(N197/B197)+(((N197-B197*INT(N197/B197)))/C197)/100)&lt;0,(INT(N197/B197)+(((N197-B197*INT(N197/B197)))/C197)/100)+(1-(B197/C197/100)),(INT(N197/B197)+(((N197-B197*INT(N197/B197)))/C197)/100)))),0,IF(B197=C197,N197/C197,IF((INT(N197/B197)+(((N197-B197*INT(N197/B197)))/C197)/100)&lt;0,(INT(N197/B197)+(((N197-B197*INT(N197/B197)))/C197)/100)+(1-(B197/C197/100)),(INT(N197/B197)+(((N197-B197*INT(N197/B197)))/C197)/100))))</f>
        <v>0</v>
      </c>
      <c r="AZ197" s="57">
        <f>IF(ISERROR(IF(B197=C197,O197/C197,(INT(O197/B197)+(((O197-B197*INT(O197/B197)))/C197)/100))),0,(IF(B197=C197,O197/C197,(INT(O197/B197)+(((O197-B197*INT(O197/B197)))/C197)/100))))</f>
        <v>0</v>
      </c>
      <c r="BA197" s="57">
        <f>IF(ISERROR(IF(B197=C197,P197/C197,IF((INT(P197/B197)+(((P197-B197*INT(P197/B197)))/C197)/100)&lt;0,(INT(P197/B197)+(((P197-B197*INT(P197/B197)))/C197)/100)+(1-(B197/C197/100)),(INT(P197/B197)+(((P197-B197*INT(P197/B197)))/C197)/100)))),0,IF(B197=C197,P197/C197,IF((INT(P197/B197)+(((P197-B197*INT(P197/B197)))/C197)/100)&lt;0,(INT(P197/B197)+(((P197-B197*INT(P197/B197)))/C197)/100)+(1-(B197/C197/100)),(INT(P197/B197)+(((P197-B197*INT(P197/B197)))/C197)/100))))</f>
        <v>0</v>
      </c>
      <c r="BB197" s="28">
        <f>R197</f>
        <v>0</v>
      </c>
      <c r="BC197" s="28">
        <f>S197</f>
        <v>0</v>
      </c>
      <c r="BD197" s="28">
        <f>AF197</f>
        <v>0</v>
      </c>
      <c r="BE197" s="28">
        <f>T197</f>
        <v>0</v>
      </c>
      <c r="BG197" s="57">
        <f>IF(ISERROR(IF(B197=C197,V197/C197,(INT(V197/B197)+(((V197-B197*INT(V197/B197)))/C197)/100))),0,(IF(B197=C197,V197/C197,(INT(V197/B197)+(((V197-B197*INT(V197/B197)))/C197)/100))))</f>
        <v>0</v>
      </c>
      <c r="BH197" s="57">
        <f>IF(ISERROR(IF(B197=C197,W197/C197,(INT(W197/B197)+(((W197-B197*INT(W197/B197)))/C197)/100))),0,(IF(B197=C197,W197/C197,(INT(W197/B197)+(((W197-B197*INT(W197/B197)))/C197)/100))))</f>
        <v>0</v>
      </c>
      <c r="BI197" s="57">
        <f>IF(ISERROR(IF(B197=C197,X197/C197,(INT(X197/B197)+(((X197-B197*INT(X197/B197)))/C197)/100))),0,(IF(B197=C197,X197/C197,(INT(X197/B197)+(((X197-B197*INT(X197/B197)))/C197)/100))))</f>
        <v>0</v>
      </c>
      <c r="BJ197" s="57">
        <f>IF(ISERROR(IF(B197=C197,Y197/C197,(INT(Y197/B197)+(((Y197-B197*INT(Y197/B197)))/C197)/100))),0,(IF(B197=C197,Y197/C197,(INT(Y197/B197)+(((Y197-B197*INT(Y197/B197)))/C197)/100))))</f>
        <v>0</v>
      </c>
      <c r="BL197" s="57">
        <f>IF(ISERROR(IF(B197=C197,AA197/C197,(INT(AA197/B197)+(((AA197-B197*INT(AA197/B197)))/C197)/100))),0,(IF(B197=C197,AA197/C197,(INT(AA197/B197)+(((AA197-B197*INT(AA197/B197)))/C197)/100))))</f>
        <v>0</v>
      </c>
      <c r="BM197" s="57">
        <f>IF(ISERROR(IF(B197=C197,AB197/C197,(INT(AB197/B197)+(((AB197-B197*INT(AB197/B197)))/C197)/100))),0,(IF(B197=C197,AB197/C197,(INT(AB197/B197)+(((AB197-B197*INT(AB197/B197)))/C197)/100))))</f>
        <v>0</v>
      </c>
      <c r="BN197" s="57">
        <f>IF(ISERROR(IF(B197=C197,AC197/C197,(INT(AC197/B197)+(((AC197-B197*INT(AC197/B197)))/C197)/100))),0,(IF(B197=C197,AC197/C197,(INT(AC197/B197)+(((AC197-B197*INT(AC197/B197)))/C197)/100))))</f>
        <v>0</v>
      </c>
      <c r="BO197" s="57">
        <f>IF(ISERROR(IF(B197=C197,AD197/C197,(INT(AD197/B197)+(((AD197-B197*INT(AD197/B197)))/C197)/100))),0,(IF(B197=C197,AD197/C197,(INT(AD197/B197)+(((AD197-B197*INT(AD197/B197)))/C197)/100))))</f>
        <v>0</v>
      </c>
      <c r="BQ197" s="155"/>
    </row>
    <row r="198" spans="1:69" hidden="1" x14ac:dyDescent="0.35">
      <c r="A198" s="94"/>
      <c r="B198" s="113">
        <v>0</v>
      </c>
      <c r="C198" s="113">
        <v>0</v>
      </c>
      <c r="D198" s="28">
        <f>SUM(AA198:AD198)</f>
        <v>0</v>
      </c>
      <c r="E198" s="113">
        <v>0</v>
      </c>
      <c r="F198" s="113">
        <v>0</v>
      </c>
      <c r="G198" s="28">
        <f>SUM(D198:F198)</f>
        <v>0</v>
      </c>
      <c r="H198" s="125">
        <v>0</v>
      </c>
      <c r="I198" s="113">
        <v>0</v>
      </c>
      <c r="J198" s="125">
        <v>0</v>
      </c>
      <c r="K198" s="113">
        <v>0</v>
      </c>
      <c r="L198" s="113">
        <v>0</v>
      </c>
      <c r="M198" s="113">
        <v>0</v>
      </c>
      <c r="N198" s="28">
        <f>G198-SUM(H198:M198)</f>
        <v>0</v>
      </c>
      <c r="O198" s="28">
        <f>SUM(V198:Y198)</f>
        <v>0</v>
      </c>
      <c r="P198" s="28">
        <f>O198-N198</f>
        <v>0</v>
      </c>
      <c r="Q198" s="61" t="str">
        <f>IF(ISERROR(P198/SUM(H198:L198)),"",P198/SUM(H198:L198))</f>
        <v/>
      </c>
      <c r="R198" s="113">
        <v>0</v>
      </c>
      <c r="S198" s="28">
        <f>IF(ISERROR(P198/C198*R198),0,(P198/C198*R198))</f>
        <v>0</v>
      </c>
      <c r="T198" s="60">
        <f>IF(ISERROR(P198/B198*AF198),0,(P198/B198*AF198))</f>
        <v>0</v>
      </c>
      <c r="V198" s="113">
        <v>0</v>
      </c>
      <c r="W198" s="113">
        <v>0</v>
      </c>
      <c r="X198" s="113">
        <v>0</v>
      </c>
      <c r="Y198" s="113">
        <v>0</v>
      </c>
      <c r="AA198" s="113">
        <v>0</v>
      </c>
      <c r="AB198" s="113">
        <v>0</v>
      </c>
      <c r="AC198" s="113">
        <v>0</v>
      </c>
      <c r="AD198" s="113">
        <v>0</v>
      </c>
      <c r="AF198" s="113">
        <v>0</v>
      </c>
      <c r="AG198" s="28">
        <f>G198-O198</f>
        <v>0</v>
      </c>
      <c r="AH198" s="58">
        <f>IF(ISERROR(AG198/B198*AF198),0,(AG198/B198*AF198))</f>
        <v>0</v>
      </c>
      <c r="AI198" s="28">
        <f>SUM(H198:M198)</f>
        <v>0</v>
      </c>
      <c r="AJ198" s="28">
        <f>IF(ISERROR(AI198/B198*AF198),0,(AI198/B198*AF198))</f>
        <v>0</v>
      </c>
      <c r="AK198" s="58">
        <f>IF(ISERROR(O198/B198*AF198),0,(O198/B198*AF198))</f>
        <v>0</v>
      </c>
      <c r="AL198" s="28">
        <f>IF(ISERROR(H198/B198*AF198),0,(H198/B198*AF198))</f>
        <v>0</v>
      </c>
      <c r="AN198" s="51">
        <f>A198</f>
        <v>0</v>
      </c>
      <c r="AO198" s="57">
        <f>IF(ISERROR(IF(B198=C198,D198/C198,(INT(D198/B198)+(((D198-B198*INT(D198/B198)))/C198)/100))),0,(IF(B198=C198,D198/C198,(INT(D198/B198)+(((D198-B198*INT(D198/B198)))/C198)/100))))</f>
        <v>0</v>
      </c>
      <c r="AP198" s="57">
        <f>IF(ISERROR(IF(B198=C198,E198/C198,(INT(E198/B198)+(((E198-B198*INT(E198/B198)))/C198)/100))),0,(IF(B198=C198,E198/C198,(INT(E198/B198)+(((E198-B198*INT(E198/B198)))/C198)/100))))</f>
        <v>0</v>
      </c>
      <c r="AQ198" s="57">
        <f>IF(ISERROR(IF(B198=C198,F198/C198,IF((INT(F198/B198)+(((F198-B198*INT(F198/B198)))/C198)/100)&lt;0,(INT(F198/B198)+(((F198-B198*INT(F198/B198)))/C198)/100)+(1-(B198/C198/100)),(INT(F198/B198)+(((F198-B198*INT(F198/B198)))/C198)/100)))),0,IF(B198=C198,F198/C198,IF((INT(F198/B198)+(((F198-B198*INT(F198/B198)))/C198)/100)&lt;0,(INT(F198/B198)+(((F198-B198*INT(F198/B198)))/C198)/100)+(1-(B198/C198/100)),(INT(F198/B198)+(((F198-B198*INT(F198/B198)))/C198)/100))))</f>
        <v>0</v>
      </c>
      <c r="AR198" s="57">
        <f>IF(ISERROR(IF(B198=C198,G198/C198,(INT(G198/B198)+(((G198-B198*INT(G198/B198)))/C198)/100))),0,(IF(B198=C198,G198/C198,(INT(G198/B198)+(((G198-B198*INT(G198/B198)))/C198)/100))))</f>
        <v>0</v>
      </c>
      <c r="AS198" s="57">
        <f>IF(ISERROR(IF(B198=C198,H198/C198,(INT(H198/B198)+(((H198-B198*INT(H198/B198)))/C198)/100))),0,(IF(B198=C198,H198/C198,(INT(H198/B198)+(((H198-B198*INT(H198/B198)))/C198)/100))))</f>
        <v>0</v>
      </c>
      <c r="AT198" s="57">
        <f>IF(ISERROR(IF(B198=C198,I198/C198,(INT(I198/B198)+(((I198-B198*INT(I198/B198)))/C198)/100))),0,(IF(B198=C198,I198/C198,(INT(I198/B198)+(((I198-B198*INT(I198/B198)))/C198)/100))))</f>
        <v>0</v>
      </c>
      <c r="AU198" s="57">
        <f>IF(ISERROR(IF(B198=C198,J198/C198,(INT(J198/B198)+(((J198-B198*INT(J198/B198)))/C198)/100))),0,(IF(B198=C198,J198/C198,(INT(J198/B198)+(((J198-B198*INT(J198/B198)))/C198)/100))))</f>
        <v>0</v>
      </c>
      <c r="AV198" s="57">
        <f>IF(ISERROR(IF(B198=C198,K198/C198,IF((INT(K198/B198)+(((K198-B198*INT(K198/B198)))/C198)/100)&lt;0,(INT(K198/B198)+(((K198-B198*INT(K198/B198)))/C198)/100)+(1-(B198/C198/100)),(INT(K198/B198)+(((K198-B198*INT(K198/B198)))/C198)/100)))),0,IF(B198=C198,K198/C198,IF((INT(K198/B198)+(((K198-B198*INT(K198/B198)))/C198)/100)&lt;0,(INT(K198/B198)+(((K198-B198*INT(K198/B198)))/C198)/100)+(1-(B198/C198/100)),(INT(K198/B198)+(((K198-B198*INT(K198/B198)))/C198)/100))))</f>
        <v>0</v>
      </c>
      <c r="AW198" s="57">
        <f>IF(ISERROR(IF(B198=C198,L198/C198,(INT(L198/B198)+(((L198-B198*INT(L198/B198)))/C198)/100))),0,(IF(B198=C198,L198/C198,(INT(L198/B198)+(((L198-B198*INT(L198/B198)))/C198)/100))))</f>
        <v>0</v>
      </c>
      <c r="AX198" s="57">
        <f>IF(ISERROR(IF(B198=C198,M198/C198,(INT(M198/B198)+(((M198-B198*INT(M198/B198)))/C198)/100))),0,(IF(B198=C198,M198/C198,(INT(M198/B198)+(((M198-B198*INT(M198/B198)))/C198)/100))))</f>
        <v>0</v>
      </c>
      <c r="AY198" s="57">
        <f>IF(ISERROR(IF(B198=C198,N198/C198,IF((INT(N198/B198)+(((N198-B198*INT(N198/B198)))/C198)/100)&lt;0,(INT(N198/B198)+(((N198-B198*INT(N198/B198)))/C198)/100)+(1-(B198/C198/100)),(INT(N198/B198)+(((N198-B198*INT(N198/B198)))/C198)/100)))),0,IF(B198=C198,N198/C198,IF((INT(N198/B198)+(((N198-B198*INT(N198/B198)))/C198)/100)&lt;0,(INT(N198/B198)+(((N198-B198*INT(N198/B198)))/C198)/100)+(1-(B198/C198/100)),(INT(N198/B198)+(((N198-B198*INT(N198/B198)))/C198)/100))))</f>
        <v>0</v>
      </c>
      <c r="AZ198" s="57">
        <f>IF(ISERROR(IF(B198=C198,O198/C198,(INT(O198/B198)+(((O198-B198*INT(O198/B198)))/C198)/100))),0,(IF(B198=C198,O198/C198,(INT(O198/B198)+(((O198-B198*INT(O198/B198)))/C198)/100))))</f>
        <v>0</v>
      </c>
      <c r="BA198" s="57">
        <f>IF(ISERROR(IF(B198=C198,P198/C198,IF((INT(P198/B198)+(((P198-B198*INT(P198/B198)))/C198)/100)&lt;0,(INT(P198/B198)+(((P198-B198*INT(P198/B198)))/C198)/100)+(1-(B198/C198/100)),(INT(P198/B198)+(((P198-B198*INT(P198/B198)))/C198)/100)))),0,IF(B198=C198,P198/C198,IF((INT(P198/B198)+(((P198-B198*INT(P198/B198)))/C198)/100)&lt;0,(INT(P198/B198)+(((P198-B198*INT(P198/B198)))/C198)/100)+(1-(B198/C198/100)),(INT(P198/B198)+(((P198-B198*INT(P198/B198)))/C198)/100))))</f>
        <v>0</v>
      </c>
      <c r="BB198" s="28">
        <f>R198</f>
        <v>0</v>
      </c>
      <c r="BC198" s="28">
        <f>S198</f>
        <v>0</v>
      </c>
      <c r="BD198" s="28">
        <f>AF198</f>
        <v>0</v>
      </c>
      <c r="BE198" s="28">
        <f>T198</f>
        <v>0</v>
      </c>
      <c r="BG198" s="57">
        <f>IF(ISERROR(IF(B198=C198,V198/C198,(INT(V198/B198)+(((V198-B198*INT(V198/B198)))/C198)/100))),0,(IF(B198=C198,V198/C198,(INT(V198/B198)+(((V198-B198*INT(V198/B198)))/C198)/100))))</f>
        <v>0</v>
      </c>
      <c r="BH198" s="57">
        <f>IF(ISERROR(IF(B198=C198,W198/C198,(INT(W198/B198)+(((W198-B198*INT(W198/B198)))/C198)/100))),0,(IF(B198=C198,W198/C198,(INT(W198/B198)+(((W198-B198*INT(W198/B198)))/C198)/100))))</f>
        <v>0</v>
      </c>
      <c r="BI198" s="57">
        <f>IF(ISERROR(IF(B198=C198,X198/C198,(INT(X198/B198)+(((X198-B198*INT(X198/B198)))/C198)/100))),0,(IF(B198=C198,X198/C198,(INT(X198/B198)+(((X198-B198*INT(X198/B198)))/C198)/100))))</f>
        <v>0</v>
      </c>
      <c r="BJ198" s="57">
        <f>IF(ISERROR(IF(B198=C198,Y198/C198,(INT(Y198/B198)+(((Y198-B198*INT(Y198/B198)))/C198)/100))),0,(IF(B198=C198,Y198/C198,(INT(Y198/B198)+(((Y198-B198*INT(Y198/B198)))/C198)/100))))</f>
        <v>0</v>
      </c>
      <c r="BL198" s="57">
        <f>IF(ISERROR(IF(B198=C198,AA198/C198,(INT(AA198/B198)+(((AA198-B198*INT(AA198/B198)))/C198)/100))),0,(IF(B198=C198,AA198/C198,(INT(AA198/B198)+(((AA198-B198*INT(AA198/B198)))/C198)/100))))</f>
        <v>0</v>
      </c>
      <c r="BM198" s="57">
        <f>IF(ISERROR(IF(B198=C198,AB198/C198,(INT(AB198/B198)+(((AB198-B198*INT(AB198/B198)))/C198)/100))),0,(IF(B198=C198,AB198/C198,(INT(AB198/B198)+(((AB198-B198*INT(AB198/B198)))/C198)/100))))</f>
        <v>0</v>
      </c>
      <c r="BN198" s="57">
        <f>IF(ISERROR(IF(B198=C198,AC198/C198,(INT(AC198/B198)+(((AC198-B198*INT(AC198/B198)))/C198)/100))),0,(IF(B198=C198,AC198/C198,(INT(AC198/B198)+(((AC198-B198*INT(AC198/B198)))/C198)/100))))</f>
        <v>0</v>
      </c>
      <c r="BO198" s="57">
        <f>IF(ISERROR(IF(B198=C198,AD198/C198,(INT(AD198/B198)+(((AD198-B198*INT(AD198/B198)))/C198)/100))),0,(IF(B198=C198,AD198/C198,(INT(AD198/B198)+(((AD198-B198*INT(AD198/B198)))/C198)/100))))</f>
        <v>0</v>
      </c>
      <c r="BQ198" s="155"/>
    </row>
    <row r="199" spans="1:69" hidden="1" x14ac:dyDescent="0.35">
      <c r="A199" s="94"/>
      <c r="B199" s="113">
        <v>0</v>
      </c>
      <c r="C199" s="113">
        <v>0</v>
      </c>
      <c r="D199" s="28">
        <f>SUM(AA199:AD199)</f>
        <v>0</v>
      </c>
      <c r="E199" s="113">
        <v>0</v>
      </c>
      <c r="F199" s="113">
        <v>0</v>
      </c>
      <c r="G199" s="28">
        <f>SUM(D199:F199)</f>
        <v>0</v>
      </c>
      <c r="H199" s="125">
        <v>0</v>
      </c>
      <c r="I199" s="113">
        <v>0</v>
      </c>
      <c r="J199" s="125">
        <v>0</v>
      </c>
      <c r="K199" s="113">
        <v>0</v>
      </c>
      <c r="L199" s="113">
        <v>0</v>
      </c>
      <c r="M199" s="113">
        <v>0</v>
      </c>
      <c r="N199" s="28">
        <f>G199-SUM(H199:M199)</f>
        <v>0</v>
      </c>
      <c r="O199" s="28">
        <f>SUM(V199:Y199)</f>
        <v>0</v>
      </c>
      <c r="P199" s="28">
        <f>O199-N199</f>
        <v>0</v>
      </c>
      <c r="Q199" s="61" t="str">
        <f>IF(ISERROR(P199/SUM(H199:L199)),"",P199/SUM(H199:L199))</f>
        <v/>
      </c>
      <c r="R199" s="113">
        <v>0</v>
      </c>
      <c r="S199" s="28">
        <f>IF(ISERROR(P199/C199*R199),0,(P199/C199*R199))</f>
        <v>0</v>
      </c>
      <c r="T199" s="60">
        <f>IF(ISERROR(P199/B199*AF199),0,(P199/B199*AF199))</f>
        <v>0</v>
      </c>
      <c r="V199" s="113">
        <v>0</v>
      </c>
      <c r="W199" s="113">
        <v>0</v>
      </c>
      <c r="X199" s="113">
        <v>0</v>
      </c>
      <c r="Y199" s="113">
        <v>0</v>
      </c>
      <c r="AA199" s="113">
        <v>0</v>
      </c>
      <c r="AB199" s="113">
        <v>0</v>
      </c>
      <c r="AC199" s="113">
        <v>0</v>
      </c>
      <c r="AD199" s="113">
        <v>0</v>
      </c>
      <c r="AF199" s="113">
        <v>0</v>
      </c>
      <c r="AG199" s="28">
        <f>G199-O199</f>
        <v>0</v>
      </c>
      <c r="AH199" s="58">
        <f>IF(ISERROR(AG199/B199*AF199),0,(AG199/B199*AF199))</f>
        <v>0</v>
      </c>
      <c r="AI199" s="28">
        <f>SUM(H199:M199)</f>
        <v>0</v>
      </c>
      <c r="AJ199" s="28">
        <f>IF(ISERROR(AI199/B199*AF199),0,(AI199/B199*AF199))</f>
        <v>0</v>
      </c>
      <c r="AK199" s="58">
        <f>IF(ISERROR(O199/B199*AF199),0,(O199/B199*AF199))</f>
        <v>0</v>
      </c>
      <c r="AL199" s="28">
        <f>IF(ISERROR(H199/B199*AF199),0,(H199/B199*AF199))</f>
        <v>0</v>
      </c>
      <c r="AN199" s="51">
        <f>A199</f>
        <v>0</v>
      </c>
      <c r="AO199" s="57">
        <f>IF(ISERROR(IF(B199=C199,D199/C199,(INT(D199/B199)+(((D199-B199*INT(D199/B199)))/C199)/100))),0,(IF(B199=C199,D199/C199,(INT(D199/B199)+(((D199-B199*INT(D199/B199)))/C199)/100))))</f>
        <v>0</v>
      </c>
      <c r="AP199" s="57">
        <f>IF(ISERROR(IF(B199=C199,E199/C199,(INT(E199/B199)+(((E199-B199*INT(E199/B199)))/C199)/100))),0,(IF(B199=C199,E199/C199,(INT(E199/B199)+(((E199-B199*INT(E199/B199)))/C199)/100))))</f>
        <v>0</v>
      </c>
      <c r="AQ199" s="57">
        <f>IF(ISERROR(IF(B199=C199,F199/C199,IF((INT(F199/B199)+(((F199-B199*INT(F199/B199)))/C199)/100)&lt;0,(INT(F199/B199)+(((F199-B199*INT(F199/B199)))/C199)/100)+(1-(B199/C199/100)),(INT(F199/B199)+(((F199-B199*INT(F199/B199)))/C199)/100)))),0,IF(B199=C199,F199/C199,IF((INT(F199/B199)+(((F199-B199*INT(F199/B199)))/C199)/100)&lt;0,(INT(F199/B199)+(((F199-B199*INT(F199/B199)))/C199)/100)+(1-(B199/C199/100)),(INT(F199/B199)+(((F199-B199*INT(F199/B199)))/C199)/100))))</f>
        <v>0</v>
      </c>
      <c r="AR199" s="57">
        <f>IF(ISERROR(IF(B199=C199,G199/C199,(INT(G199/B199)+(((G199-B199*INT(G199/B199)))/C199)/100))),0,(IF(B199=C199,G199/C199,(INT(G199/B199)+(((G199-B199*INT(G199/B199)))/C199)/100))))</f>
        <v>0</v>
      </c>
      <c r="AS199" s="57">
        <f>IF(ISERROR(IF(B199=C199,H199/C199,(INT(H199/B199)+(((H199-B199*INT(H199/B199)))/C199)/100))),0,(IF(B199=C199,H199/C199,(INT(H199/B199)+(((H199-B199*INT(H199/B199)))/C199)/100))))</f>
        <v>0</v>
      </c>
      <c r="AT199" s="57">
        <f>IF(ISERROR(IF(B199=C199,I199/C199,(INT(I199/B199)+(((I199-B199*INT(I199/B199)))/C199)/100))),0,(IF(B199=C199,I199/C199,(INT(I199/B199)+(((I199-B199*INT(I199/B199)))/C199)/100))))</f>
        <v>0</v>
      </c>
      <c r="AU199" s="57">
        <f>IF(ISERROR(IF(B199=C199,J199/C199,(INT(J199/B199)+(((J199-B199*INT(J199/B199)))/C199)/100))),0,(IF(B199=C199,J199/C199,(INT(J199/B199)+(((J199-B199*INT(J199/B199)))/C199)/100))))</f>
        <v>0</v>
      </c>
      <c r="AV199" s="57">
        <f>IF(ISERROR(IF(B199=C199,K199/C199,IF((INT(K199/B199)+(((K199-B199*INT(K199/B199)))/C199)/100)&lt;0,(INT(K199/B199)+(((K199-B199*INT(K199/B199)))/C199)/100)+(1-(B199/C199/100)),(INT(K199/B199)+(((K199-B199*INT(K199/B199)))/C199)/100)))),0,IF(B199=C199,K199/C199,IF((INT(K199/B199)+(((K199-B199*INT(K199/B199)))/C199)/100)&lt;0,(INT(K199/B199)+(((K199-B199*INT(K199/B199)))/C199)/100)+(1-(B199/C199/100)),(INT(K199/B199)+(((K199-B199*INT(K199/B199)))/C199)/100))))</f>
        <v>0</v>
      </c>
      <c r="AW199" s="57">
        <f>IF(ISERROR(IF(B199=C199,L199/C199,(INT(L199/B199)+(((L199-B199*INT(L199/B199)))/C199)/100))),0,(IF(B199=C199,L199/C199,(INT(L199/B199)+(((L199-B199*INT(L199/B199)))/C199)/100))))</f>
        <v>0</v>
      </c>
      <c r="AX199" s="57">
        <f>IF(ISERROR(IF(B199=C199,M199/C199,(INT(M199/B199)+(((M199-B199*INT(M199/B199)))/C199)/100))),0,(IF(B199=C199,M199/C199,(INT(M199/B199)+(((M199-B199*INT(M199/B199)))/C199)/100))))</f>
        <v>0</v>
      </c>
      <c r="AY199" s="57">
        <f>IF(ISERROR(IF(B199=C199,N199/C199,IF((INT(N199/B199)+(((N199-B199*INT(N199/B199)))/C199)/100)&lt;0,(INT(N199/B199)+(((N199-B199*INT(N199/B199)))/C199)/100)+(1-(B199/C199/100)),(INT(N199/B199)+(((N199-B199*INT(N199/B199)))/C199)/100)))),0,IF(B199=C199,N199/C199,IF((INT(N199/B199)+(((N199-B199*INT(N199/B199)))/C199)/100)&lt;0,(INT(N199/B199)+(((N199-B199*INT(N199/B199)))/C199)/100)+(1-(B199/C199/100)),(INT(N199/B199)+(((N199-B199*INT(N199/B199)))/C199)/100))))</f>
        <v>0</v>
      </c>
      <c r="AZ199" s="57">
        <f>IF(ISERROR(IF(B199=C199,O199/C199,(INT(O199/B199)+(((O199-B199*INT(O199/B199)))/C199)/100))),0,(IF(B199=C199,O199/C199,(INT(O199/B199)+(((O199-B199*INT(O199/B199)))/C199)/100))))</f>
        <v>0</v>
      </c>
      <c r="BA199" s="57">
        <f>IF(ISERROR(IF(B199=C199,P199/C199,IF((INT(P199/B199)+(((P199-B199*INT(P199/B199)))/C199)/100)&lt;0,(INT(P199/B199)+(((P199-B199*INT(P199/B199)))/C199)/100)+(1-(B199/C199/100)),(INT(P199/B199)+(((P199-B199*INT(P199/B199)))/C199)/100)))),0,IF(B199=C199,P199/C199,IF((INT(P199/B199)+(((P199-B199*INT(P199/B199)))/C199)/100)&lt;0,(INT(P199/B199)+(((P199-B199*INT(P199/B199)))/C199)/100)+(1-(B199/C199/100)),(INT(P199/B199)+(((P199-B199*INT(P199/B199)))/C199)/100))))</f>
        <v>0</v>
      </c>
      <c r="BB199" s="28">
        <f>R199</f>
        <v>0</v>
      </c>
      <c r="BC199" s="28">
        <f>S199</f>
        <v>0</v>
      </c>
      <c r="BD199" s="28">
        <f>AF199</f>
        <v>0</v>
      </c>
      <c r="BE199" s="28">
        <f>T199</f>
        <v>0</v>
      </c>
      <c r="BG199" s="57">
        <f>IF(ISERROR(IF(B199=C199,V199/C199,(INT(V199/B199)+(((V199-B199*INT(V199/B199)))/C199)/100))),0,(IF(B199=C199,V199/C199,(INT(V199/B199)+(((V199-B199*INT(V199/B199)))/C199)/100))))</f>
        <v>0</v>
      </c>
      <c r="BH199" s="57">
        <f>IF(ISERROR(IF(B199=C199,W199/C199,(INT(W199/B199)+(((W199-B199*INT(W199/B199)))/C199)/100))),0,(IF(B199=C199,W199/C199,(INT(W199/B199)+(((W199-B199*INT(W199/B199)))/C199)/100))))</f>
        <v>0</v>
      </c>
      <c r="BI199" s="57">
        <f>IF(ISERROR(IF(B199=C199,X199/C199,(INT(X199/B199)+(((X199-B199*INT(X199/B199)))/C199)/100))),0,(IF(B199=C199,X199/C199,(INT(X199/B199)+(((X199-B199*INT(X199/B199)))/C199)/100))))</f>
        <v>0</v>
      </c>
      <c r="BJ199" s="57">
        <f>IF(ISERROR(IF(B199=C199,Y199/C199,(INT(Y199/B199)+(((Y199-B199*INT(Y199/B199)))/C199)/100))),0,(IF(B199=C199,Y199/C199,(INT(Y199/B199)+(((Y199-B199*INT(Y199/B199)))/C199)/100))))</f>
        <v>0</v>
      </c>
      <c r="BL199" s="57">
        <f>IF(ISERROR(IF(B199=C199,AA199/C199,(INT(AA199/B199)+(((AA199-B199*INT(AA199/B199)))/C199)/100))),0,(IF(B199=C199,AA199/C199,(INT(AA199/B199)+(((AA199-B199*INT(AA199/B199)))/C199)/100))))</f>
        <v>0</v>
      </c>
      <c r="BM199" s="57">
        <f>IF(ISERROR(IF(B199=C199,AB199/C199,(INT(AB199/B199)+(((AB199-B199*INT(AB199/B199)))/C199)/100))),0,(IF(B199=C199,AB199/C199,(INT(AB199/B199)+(((AB199-B199*INT(AB199/B199)))/C199)/100))))</f>
        <v>0</v>
      </c>
      <c r="BN199" s="57">
        <f>IF(ISERROR(IF(B199=C199,AC199/C199,(INT(AC199/B199)+(((AC199-B199*INT(AC199/B199)))/C199)/100))),0,(IF(B199=C199,AC199/C199,(INT(AC199/B199)+(((AC199-B199*INT(AC199/B199)))/C199)/100))))</f>
        <v>0</v>
      </c>
      <c r="BO199" s="57">
        <f>IF(ISERROR(IF(B199=C199,AD199/C199,(INT(AD199/B199)+(((AD199-B199*INT(AD199/B199)))/C199)/100))),0,(IF(B199=C199,AD199/C199,(INT(AD199/B199)+(((AD199-B199*INT(AD199/B199)))/C199)/100))))</f>
        <v>0</v>
      </c>
      <c r="BQ199" s="155"/>
    </row>
    <row r="200" spans="1:69" hidden="1" x14ac:dyDescent="0.35">
      <c r="A200" s="94"/>
      <c r="B200" s="113">
        <v>0</v>
      </c>
      <c r="C200" s="113">
        <v>0</v>
      </c>
      <c r="D200" s="28">
        <f>SUM(AA200:AD200)</f>
        <v>0</v>
      </c>
      <c r="E200" s="113">
        <v>0</v>
      </c>
      <c r="F200" s="113">
        <v>0</v>
      </c>
      <c r="G200" s="28">
        <f>SUM(D200:F200)</f>
        <v>0</v>
      </c>
      <c r="H200" s="125">
        <v>0</v>
      </c>
      <c r="I200" s="113">
        <v>0</v>
      </c>
      <c r="J200" s="125">
        <v>0</v>
      </c>
      <c r="K200" s="113">
        <v>0</v>
      </c>
      <c r="L200" s="113">
        <v>0</v>
      </c>
      <c r="M200" s="113">
        <v>0</v>
      </c>
      <c r="N200" s="28">
        <f>G200-SUM(H200:M200)</f>
        <v>0</v>
      </c>
      <c r="O200" s="28">
        <f>SUM(V200:Y200)</f>
        <v>0</v>
      </c>
      <c r="P200" s="28">
        <f>O200-N200</f>
        <v>0</v>
      </c>
      <c r="Q200" s="61" t="str">
        <f>IF(ISERROR(P200/SUM(H200:L200)),"",P200/SUM(H200:L200))</f>
        <v/>
      </c>
      <c r="R200" s="113">
        <v>0</v>
      </c>
      <c r="S200" s="28">
        <f>IF(ISERROR(P200/C200*R200),0,(P200/C200*R200))</f>
        <v>0</v>
      </c>
      <c r="T200" s="60">
        <f>IF(ISERROR(P200/B200*AF200),0,(P200/B200*AF200))</f>
        <v>0</v>
      </c>
      <c r="V200" s="113">
        <v>0</v>
      </c>
      <c r="W200" s="113">
        <v>0</v>
      </c>
      <c r="X200" s="113">
        <v>0</v>
      </c>
      <c r="Y200" s="113">
        <v>0</v>
      </c>
      <c r="AA200" s="113">
        <v>0</v>
      </c>
      <c r="AB200" s="113">
        <v>0</v>
      </c>
      <c r="AC200" s="113">
        <v>0</v>
      </c>
      <c r="AD200" s="113">
        <v>0</v>
      </c>
      <c r="AF200" s="113">
        <v>0</v>
      </c>
      <c r="AG200" s="28">
        <f>G200-O200</f>
        <v>0</v>
      </c>
      <c r="AH200" s="58">
        <f>IF(ISERROR(AG200/B200*AF200),0,(AG200/B200*AF200))</f>
        <v>0</v>
      </c>
      <c r="AI200" s="28">
        <f>SUM(H200:M200)</f>
        <v>0</v>
      </c>
      <c r="AJ200" s="28">
        <f>IF(ISERROR(AI200/B200*AF200),0,(AI200/B200*AF200))</f>
        <v>0</v>
      </c>
      <c r="AK200" s="58">
        <f>IF(ISERROR(O200/B200*AF200),0,(O200/B200*AF200))</f>
        <v>0</v>
      </c>
      <c r="AL200" s="28">
        <f>IF(ISERROR(H200/B200*AF200),0,(H200/B200*AF200))</f>
        <v>0</v>
      </c>
      <c r="AN200" s="51">
        <f>A200</f>
        <v>0</v>
      </c>
      <c r="AO200" s="57">
        <f>IF(ISERROR(IF(B200=C200,D200/C200,(INT(D200/B200)+(((D200-B200*INT(D200/B200)))/C200)/100))),0,(IF(B200=C200,D200/C200,(INT(D200/B200)+(((D200-B200*INT(D200/B200)))/C200)/100))))</f>
        <v>0</v>
      </c>
      <c r="AP200" s="57">
        <f>IF(ISERROR(IF(B200=C200,E200/C200,(INT(E200/B200)+(((E200-B200*INT(E200/B200)))/C200)/100))),0,(IF(B200=C200,E200/C200,(INT(E200/B200)+(((E200-B200*INT(E200/B200)))/C200)/100))))</f>
        <v>0</v>
      </c>
      <c r="AQ200" s="57">
        <f>IF(ISERROR(IF(B200=C200,F200/C200,IF((INT(F200/B200)+(((F200-B200*INT(F200/B200)))/C200)/100)&lt;0,(INT(F200/B200)+(((F200-B200*INT(F200/B200)))/C200)/100)+(1-(B200/C200/100)),(INT(F200/B200)+(((F200-B200*INT(F200/B200)))/C200)/100)))),0,IF(B200=C200,F200/C200,IF((INT(F200/B200)+(((F200-B200*INT(F200/B200)))/C200)/100)&lt;0,(INT(F200/B200)+(((F200-B200*INT(F200/B200)))/C200)/100)+(1-(B200/C200/100)),(INT(F200/B200)+(((F200-B200*INT(F200/B200)))/C200)/100))))</f>
        <v>0</v>
      </c>
      <c r="AR200" s="57">
        <f>IF(ISERROR(IF(B200=C200,G200/C200,(INT(G200/B200)+(((G200-B200*INT(G200/B200)))/C200)/100))),0,(IF(B200=C200,G200/C200,(INT(G200/B200)+(((G200-B200*INT(G200/B200)))/C200)/100))))</f>
        <v>0</v>
      </c>
      <c r="AS200" s="57">
        <f>IF(ISERROR(IF(B200=C200,H200/C200,(INT(H200/B200)+(((H200-B200*INT(H200/B200)))/C200)/100))),0,(IF(B200=C200,H200/C200,(INT(H200/B200)+(((H200-B200*INT(H200/B200)))/C200)/100))))</f>
        <v>0</v>
      </c>
      <c r="AT200" s="57">
        <f>IF(ISERROR(IF(B200=C200,I200/C200,(INT(I200/B200)+(((I200-B200*INT(I200/B200)))/C200)/100))),0,(IF(B200=C200,I200/C200,(INT(I200/B200)+(((I200-B200*INT(I200/B200)))/C200)/100))))</f>
        <v>0</v>
      </c>
      <c r="AU200" s="57">
        <f>IF(ISERROR(IF(B200=C200,J200/C200,(INT(J200/B200)+(((J200-B200*INT(J200/B200)))/C200)/100))),0,(IF(B200=C200,J200/C200,(INT(J200/B200)+(((J200-B200*INT(J200/B200)))/C200)/100))))</f>
        <v>0</v>
      </c>
      <c r="AV200" s="57">
        <f>IF(ISERROR(IF(B200=C200,K200/C200,IF((INT(K200/B200)+(((K200-B200*INT(K200/B200)))/C200)/100)&lt;0,(INT(K200/B200)+(((K200-B200*INT(K200/B200)))/C200)/100)+(1-(B200/C200/100)),(INT(K200/B200)+(((K200-B200*INT(K200/B200)))/C200)/100)))),0,IF(B200=C200,K200/C200,IF((INT(K200/B200)+(((K200-B200*INT(K200/B200)))/C200)/100)&lt;0,(INT(K200/B200)+(((K200-B200*INT(K200/B200)))/C200)/100)+(1-(B200/C200/100)),(INT(K200/B200)+(((K200-B200*INT(K200/B200)))/C200)/100))))</f>
        <v>0</v>
      </c>
      <c r="AW200" s="57">
        <f>IF(ISERROR(IF(B200=C200,L200/C200,(INT(L200/B200)+(((L200-B200*INT(L200/B200)))/C200)/100))),0,(IF(B200=C200,L200/C200,(INT(L200/B200)+(((L200-B200*INT(L200/B200)))/C200)/100))))</f>
        <v>0</v>
      </c>
      <c r="AX200" s="57">
        <f>IF(ISERROR(IF(B200=C200,M200/C200,(INT(M200/B200)+(((M200-B200*INT(M200/B200)))/C200)/100))),0,(IF(B200=C200,M200/C200,(INT(M200/B200)+(((M200-B200*INT(M200/B200)))/C200)/100))))</f>
        <v>0</v>
      </c>
      <c r="AY200" s="57">
        <f>IF(ISERROR(IF(B200=C200,N200/C200,IF((INT(N200/B200)+(((N200-B200*INT(N200/B200)))/C200)/100)&lt;0,(INT(N200/B200)+(((N200-B200*INT(N200/B200)))/C200)/100)+(1-(B200/C200/100)),(INT(N200/B200)+(((N200-B200*INT(N200/B200)))/C200)/100)))),0,IF(B200=C200,N200/C200,IF((INT(N200/B200)+(((N200-B200*INT(N200/B200)))/C200)/100)&lt;0,(INT(N200/B200)+(((N200-B200*INT(N200/B200)))/C200)/100)+(1-(B200/C200/100)),(INT(N200/B200)+(((N200-B200*INT(N200/B200)))/C200)/100))))</f>
        <v>0</v>
      </c>
      <c r="AZ200" s="57">
        <f>IF(ISERROR(IF(B200=C200,O200/C200,(INT(O200/B200)+(((O200-B200*INT(O200/B200)))/C200)/100))),0,(IF(B200=C200,O200/C200,(INT(O200/B200)+(((O200-B200*INT(O200/B200)))/C200)/100))))</f>
        <v>0</v>
      </c>
      <c r="BA200" s="57">
        <f>IF(ISERROR(IF(B200=C200,P200/C200,IF((INT(P200/B200)+(((P200-B200*INT(P200/B200)))/C200)/100)&lt;0,(INT(P200/B200)+(((P200-B200*INT(P200/B200)))/C200)/100)+(1-(B200/C200/100)),(INT(P200/B200)+(((P200-B200*INT(P200/B200)))/C200)/100)))),0,IF(B200=C200,P200/C200,IF((INT(P200/B200)+(((P200-B200*INT(P200/B200)))/C200)/100)&lt;0,(INT(P200/B200)+(((P200-B200*INT(P200/B200)))/C200)/100)+(1-(B200/C200/100)),(INT(P200/B200)+(((P200-B200*INT(P200/B200)))/C200)/100))))</f>
        <v>0</v>
      </c>
      <c r="BB200" s="28">
        <f>R200</f>
        <v>0</v>
      </c>
      <c r="BC200" s="28">
        <f>S200</f>
        <v>0</v>
      </c>
      <c r="BD200" s="28">
        <f>AF200</f>
        <v>0</v>
      </c>
      <c r="BE200" s="28">
        <f>T200</f>
        <v>0</v>
      </c>
      <c r="BG200" s="57">
        <f>IF(ISERROR(IF(B200=C200,V200/C200,(INT(V200/B200)+(((V200-B200*INT(V200/B200)))/C200)/100))),0,(IF(B200=C200,V200/C200,(INT(V200/B200)+(((V200-B200*INT(V200/B200)))/C200)/100))))</f>
        <v>0</v>
      </c>
      <c r="BH200" s="57">
        <f>IF(ISERROR(IF(B200=C200,W200/C200,(INT(W200/B200)+(((W200-B200*INT(W200/B200)))/C200)/100))),0,(IF(B200=C200,W200/C200,(INT(W200/B200)+(((W200-B200*INT(W200/B200)))/C200)/100))))</f>
        <v>0</v>
      </c>
      <c r="BI200" s="57">
        <f>IF(ISERROR(IF(B200=C200,X200/C200,(INT(X200/B200)+(((X200-B200*INT(X200/B200)))/C200)/100))),0,(IF(B200=C200,X200/C200,(INT(X200/B200)+(((X200-B200*INT(X200/B200)))/C200)/100))))</f>
        <v>0</v>
      </c>
      <c r="BJ200" s="57">
        <f>IF(ISERROR(IF(B200=C200,Y200/C200,(INT(Y200/B200)+(((Y200-B200*INT(Y200/B200)))/C200)/100))),0,(IF(B200=C200,Y200/C200,(INT(Y200/B200)+(((Y200-B200*INT(Y200/B200)))/C200)/100))))</f>
        <v>0</v>
      </c>
      <c r="BL200" s="57">
        <f>IF(ISERROR(IF(B200=C200,AA200/C200,(INT(AA200/B200)+(((AA200-B200*INT(AA200/B200)))/C200)/100))),0,(IF(B200=C200,AA200/C200,(INT(AA200/B200)+(((AA200-B200*INT(AA200/B200)))/C200)/100))))</f>
        <v>0</v>
      </c>
      <c r="BM200" s="57">
        <f>IF(ISERROR(IF(B200=C200,AB200/C200,(INT(AB200/B200)+(((AB200-B200*INT(AB200/B200)))/C200)/100))),0,(IF(B200=C200,AB200/C200,(INT(AB200/B200)+(((AB200-B200*INT(AB200/B200)))/C200)/100))))</f>
        <v>0</v>
      </c>
      <c r="BN200" s="57">
        <f>IF(ISERROR(IF(B200=C200,AC200/C200,(INT(AC200/B200)+(((AC200-B200*INT(AC200/B200)))/C200)/100))),0,(IF(B200=C200,AC200/C200,(INT(AC200/B200)+(((AC200-B200*INT(AC200/B200)))/C200)/100))))</f>
        <v>0</v>
      </c>
      <c r="BO200" s="57">
        <f>IF(ISERROR(IF(B200=C200,AD200/C200,(INT(AD200/B200)+(((AD200-B200*INT(AD200/B200)))/C200)/100))),0,(IF(B200=C200,AD200/C200,(INT(AD200/B200)+(((AD200-B200*INT(AD200/B200)))/C200)/100))))</f>
        <v>0</v>
      </c>
      <c r="BQ200" s="155"/>
    </row>
    <row r="201" spans="1:69" hidden="1" x14ac:dyDescent="0.35">
      <c r="A201" s="94"/>
      <c r="B201" s="113">
        <v>0</v>
      </c>
      <c r="C201" s="113">
        <v>0</v>
      </c>
      <c r="D201" s="28">
        <f>SUM(AA201:AD201)</f>
        <v>0</v>
      </c>
      <c r="E201" s="113">
        <v>0</v>
      </c>
      <c r="F201" s="113">
        <v>0</v>
      </c>
      <c r="G201" s="28">
        <f>SUM(D201:F201)</f>
        <v>0</v>
      </c>
      <c r="H201" s="125">
        <v>0</v>
      </c>
      <c r="I201" s="113">
        <v>0</v>
      </c>
      <c r="J201" s="125">
        <v>0</v>
      </c>
      <c r="K201" s="113">
        <v>0</v>
      </c>
      <c r="L201" s="113">
        <v>0</v>
      </c>
      <c r="M201" s="113">
        <v>0</v>
      </c>
      <c r="N201" s="28">
        <f>G201-SUM(H201:M201)</f>
        <v>0</v>
      </c>
      <c r="O201" s="28">
        <f>SUM(V201:Y201)</f>
        <v>0</v>
      </c>
      <c r="P201" s="28">
        <f>O201-N201</f>
        <v>0</v>
      </c>
      <c r="Q201" s="61" t="str">
        <f>IF(ISERROR(P201/SUM(H201:L201)),"",P201/SUM(H201:L201))</f>
        <v/>
      </c>
      <c r="R201" s="113">
        <v>0</v>
      </c>
      <c r="S201" s="28">
        <f>IF(ISERROR(P201/C201*R201),0,(P201/C201*R201))</f>
        <v>0</v>
      </c>
      <c r="T201" s="60">
        <f>IF(ISERROR(P201/B201*AF201),0,(P201/B201*AF201))</f>
        <v>0</v>
      </c>
      <c r="V201" s="113">
        <v>0</v>
      </c>
      <c r="W201" s="113">
        <v>0</v>
      </c>
      <c r="X201" s="113">
        <v>0</v>
      </c>
      <c r="Y201" s="113">
        <v>0</v>
      </c>
      <c r="AA201" s="113">
        <v>0</v>
      </c>
      <c r="AB201" s="113">
        <v>0</v>
      </c>
      <c r="AC201" s="113">
        <v>0</v>
      </c>
      <c r="AD201" s="113">
        <v>0</v>
      </c>
      <c r="AF201" s="113">
        <v>0</v>
      </c>
      <c r="AG201" s="28">
        <f>G201-O201</f>
        <v>0</v>
      </c>
      <c r="AH201" s="58">
        <f>IF(ISERROR(AG201/B201*AF201),0,(AG201/B201*AF201))</f>
        <v>0</v>
      </c>
      <c r="AI201" s="28">
        <f>SUM(H201:M201)</f>
        <v>0</v>
      </c>
      <c r="AJ201" s="28">
        <f>IF(ISERROR(AI201/B201*AF201),0,(AI201/B201*AF201))</f>
        <v>0</v>
      </c>
      <c r="AK201" s="58">
        <f>IF(ISERROR(O201/B201*AF201),0,(O201/B201*AF201))</f>
        <v>0</v>
      </c>
      <c r="AL201" s="28">
        <f>IF(ISERROR(H201/B201*AF201),0,(H201/B201*AF201))</f>
        <v>0</v>
      </c>
      <c r="AN201" s="51">
        <f>A201</f>
        <v>0</v>
      </c>
      <c r="AO201" s="57">
        <f>IF(ISERROR(IF(B201=C201,D201/C201,(INT(D201/B201)+(((D201-B201*INT(D201/B201)))/C201)/100))),0,(IF(B201=C201,D201/C201,(INT(D201/B201)+(((D201-B201*INT(D201/B201)))/C201)/100))))</f>
        <v>0</v>
      </c>
      <c r="AP201" s="57">
        <f>IF(ISERROR(IF(B201=C201,E201/C201,(INT(E201/B201)+(((E201-B201*INT(E201/B201)))/C201)/100))),0,(IF(B201=C201,E201/C201,(INT(E201/B201)+(((E201-B201*INT(E201/B201)))/C201)/100))))</f>
        <v>0</v>
      </c>
      <c r="AQ201" s="57">
        <f>IF(ISERROR(IF(B201=C201,F201/C201,IF((INT(F201/B201)+(((F201-B201*INT(F201/B201)))/C201)/100)&lt;0,(INT(F201/B201)+(((F201-B201*INT(F201/B201)))/C201)/100)+(1-(B201/C201/100)),(INT(F201/B201)+(((F201-B201*INT(F201/B201)))/C201)/100)))),0,IF(B201=C201,F201/C201,IF((INT(F201/B201)+(((F201-B201*INT(F201/B201)))/C201)/100)&lt;0,(INT(F201/B201)+(((F201-B201*INT(F201/B201)))/C201)/100)+(1-(B201/C201/100)),(INT(F201/B201)+(((F201-B201*INT(F201/B201)))/C201)/100))))</f>
        <v>0</v>
      </c>
      <c r="AR201" s="57">
        <f>IF(ISERROR(IF(B201=C201,G201/C201,(INT(G201/B201)+(((G201-B201*INT(G201/B201)))/C201)/100))),0,(IF(B201=C201,G201/C201,(INT(G201/B201)+(((G201-B201*INT(G201/B201)))/C201)/100))))</f>
        <v>0</v>
      </c>
      <c r="AS201" s="57">
        <f>IF(ISERROR(IF(B201=C201,H201/C201,(INT(H201/B201)+(((H201-B201*INT(H201/B201)))/C201)/100))),0,(IF(B201=C201,H201/C201,(INT(H201/B201)+(((H201-B201*INT(H201/B201)))/C201)/100))))</f>
        <v>0</v>
      </c>
      <c r="AT201" s="57">
        <f>IF(ISERROR(IF(B201=C201,I201/C201,(INT(I201/B201)+(((I201-B201*INT(I201/B201)))/C201)/100))),0,(IF(B201=C201,I201/C201,(INT(I201/B201)+(((I201-B201*INT(I201/B201)))/C201)/100))))</f>
        <v>0</v>
      </c>
      <c r="AU201" s="57">
        <f>IF(ISERROR(IF(B201=C201,J201/C201,(INT(J201/B201)+(((J201-B201*INT(J201/B201)))/C201)/100))),0,(IF(B201=C201,J201/C201,(INT(J201/B201)+(((J201-B201*INT(J201/B201)))/C201)/100))))</f>
        <v>0</v>
      </c>
      <c r="AV201" s="57">
        <f>IF(ISERROR(IF(B201=C201,K201/C201,IF((INT(K201/B201)+(((K201-B201*INT(K201/B201)))/C201)/100)&lt;0,(INT(K201/B201)+(((K201-B201*INT(K201/B201)))/C201)/100)+(1-(B201/C201/100)),(INT(K201/B201)+(((K201-B201*INT(K201/B201)))/C201)/100)))),0,IF(B201=C201,K201/C201,IF((INT(K201/B201)+(((K201-B201*INT(K201/B201)))/C201)/100)&lt;0,(INT(K201/B201)+(((K201-B201*INT(K201/B201)))/C201)/100)+(1-(B201/C201/100)),(INT(K201/B201)+(((K201-B201*INT(K201/B201)))/C201)/100))))</f>
        <v>0</v>
      </c>
      <c r="AW201" s="57">
        <f>IF(ISERROR(IF(B201=C201,L201/C201,(INT(L201/B201)+(((L201-B201*INT(L201/B201)))/C201)/100))),0,(IF(B201=C201,L201/C201,(INT(L201/B201)+(((L201-B201*INT(L201/B201)))/C201)/100))))</f>
        <v>0</v>
      </c>
      <c r="AX201" s="57">
        <f>IF(ISERROR(IF(B201=C201,M201/C201,(INT(M201/B201)+(((M201-B201*INT(M201/B201)))/C201)/100))),0,(IF(B201=C201,M201/C201,(INT(M201/B201)+(((M201-B201*INT(M201/B201)))/C201)/100))))</f>
        <v>0</v>
      </c>
      <c r="AY201" s="57">
        <f>IF(ISERROR(IF(B201=C201,N201/C201,IF((INT(N201/B201)+(((N201-B201*INT(N201/B201)))/C201)/100)&lt;0,(INT(N201/B201)+(((N201-B201*INT(N201/B201)))/C201)/100)+(1-(B201/C201/100)),(INT(N201/B201)+(((N201-B201*INT(N201/B201)))/C201)/100)))),0,IF(B201=C201,N201/C201,IF((INT(N201/B201)+(((N201-B201*INT(N201/B201)))/C201)/100)&lt;0,(INT(N201/B201)+(((N201-B201*INT(N201/B201)))/C201)/100)+(1-(B201/C201/100)),(INT(N201/B201)+(((N201-B201*INT(N201/B201)))/C201)/100))))</f>
        <v>0</v>
      </c>
      <c r="AZ201" s="57">
        <f>IF(ISERROR(IF(B201=C201,O201/C201,(INT(O201/B201)+(((O201-B201*INT(O201/B201)))/C201)/100))),0,(IF(B201=C201,O201/C201,(INT(O201/B201)+(((O201-B201*INT(O201/B201)))/C201)/100))))</f>
        <v>0</v>
      </c>
      <c r="BA201" s="57">
        <f>IF(ISERROR(IF(B201=C201,P201/C201,IF((INT(P201/B201)+(((P201-B201*INT(P201/B201)))/C201)/100)&lt;0,(INT(P201/B201)+(((P201-B201*INT(P201/B201)))/C201)/100)+(1-(B201/C201/100)),(INT(P201/B201)+(((P201-B201*INT(P201/B201)))/C201)/100)))),0,IF(B201=C201,P201/C201,IF((INT(P201/B201)+(((P201-B201*INT(P201/B201)))/C201)/100)&lt;0,(INT(P201/B201)+(((P201-B201*INT(P201/B201)))/C201)/100)+(1-(B201/C201/100)),(INT(P201/B201)+(((P201-B201*INT(P201/B201)))/C201)/100))))</f>
        <v>0</v>
      </c>
      <c r="BB201" s="28">
        <f>R201</f>
        <v>0</v>
      </c>
      <c r="BC201" s="28">
        <f>S201</f>
        <v>0</v>
      </c>
      <c r="BD201" s="28">
        <f>AF201</f>
        <v>0</v>
      </c>
      <c r="BE201" s="28">
        <f>T201</f>
        <v>0</v>
      </c>
      <c r="BG201" s="57">
        <f>IF(ISERROR(IF(B201=C201,V201/C201,(INT(V201/B201)+(((V201-B201*INT(V201/B201)))/C201)/100))),0,(IF(B201=C201,V201/C201,(INT(V201/B201)+(((V201-B201*INT(V201/B201)))/C201)/100))))</f>
        <v>0</v>
      </c>
      <c r="BH201" s="57">
        <f>IF(ISERROR(IF(B201=C201,W201/C201,(INT(W201/B201)+(((W201-B201*INT(W201/B201)))/C201)/100))),0,(IF(B201=C201,W201/C201,(INT(W201/B201)+(((W201-B201*INT(W201/B201)))/C201)/100))))</f>
        <v>0</v>
      </c>
      <c r="BI201" s="57">
        <f>IF(ISERROR(IF(B201=C201,X201/C201,(INT(X201/B201)+(((X201-B201*INT(X201/B201)))/C201)/100))),0,(IF(B201=C201,X201/C201,(INT(X201/B201)+(((X201-B201*INT(X201/B201)))/C201)/100))))</f>
        <v>0</v>
      </c>
      <c r="BJ201" s="57">
        <f>IF(ISERROR(IF(B201=C201,Y201/C201,(INT(Y201/B201)+(((Y201-B201*INT(Y201/B201)))/C201)/100))),0,(IF(B201=C201,Y201/C201,(INT(Y201/B201)+(((Y201-B201*INT(Y201/B201)))/C201)/100))))</f>
        <v>0</v>
      </c>
      <c r="BL201" s="57">
        <f>IF(ISERROR(IF(B201=C201,AA201/C201,(INT(AA201/B201)+(((AA201-B201*INT(AA201/B201)))/C201)/100))),0,(IF(B201=C201,AA201/C201,(INT(AA201/B201)+(((AA201-B201*INT(AA201/B201)))/C201)/100))))</f>
        <v>0</v>
      </c>
      <c r="BM201" s="57">
        <f>IF(ISERROR(IF(B201=C201,AB201/C201,(INT(AB201/B201)+(((AB201-B201*INT(AB201/B201)))/C201)/100))),0,(IF(B201=C201,AB201/C201,(INT(AB201/B201)+(((AB201-B201*INT(AB201/B201)))/C201)/100))))</f>
        <v>0</v>
      </c>
      <c r="BN201" s="57">
        <f>IF(ISERROR(IF(B201=C201,AC201/C201,(INT(AC201/B201)+(((AC201-B201*INT(AC201/B201)))/C201)/100))),0,(IF(B201=C201,AC201/C201,(INT(AC201/B201)+(((AC201-B201*INT(AC201/B201)))/C201)/100))))</f>
        <v>0</v>
      </c>
      <c r="BO201" s="57">
        <f>IF(ISERROR(IF(B201=C201,AD201/C201,(INT(AD201/B201)+(((AD201-B201*INT(AD201/B201)))/C201)/100))),0,(IF(B201=C201,AD201/C201,(INT(AD201/B201)+(((AD201-B201*INT(AD201/B201)))/C201)/100))))</f>
        <v>0</v>
      </c>
      <c r="BQ201" s="155"/>
    </row>
    <row r="202" spans="1:69" hidden="1" x14ac:dyDescent="0.35">
      <c r="A202" s="94"/>
      <c r="B202" s="113">
        <v>0</v>
      </c>
      <c r="C202" s="113">
        <v>0</v>
      </c>
      <c r="D202" s="28">
        <f>SUM(AA202:AD202)</f>
        <v>0</v>
      </c>
      <c r="E202" s="113">
        <v>0</v>
      </c>
      <c r="F202" s="113">
        <v>0</v>
      </c>
      <c r="G202" s="28">
        <f>SUM(D202:F202)</f>
        <v>0</v>
      </c>
      <c r="H202" s="125">
        <v>0</v>
      </c>
      <c r="I202" s="113">
        <v>0</v>
      </c>
      <c r="J202" s="125">
        <v>0</v>
      </c>
      <c r="K202" s="113">
        <v>0</v>
      </c>
      <c r="L202" s="113">
        <v>0</v>
      </c>
      <c r="M202" s="113">
        <v>0</v>
      </c>
      <c r="N202" s="28">
        <f>G202-SUM(H202:M202)</f>
        <v>0</v>
      </c>
      <c r="O202" s="28">
        <f>SUM(V202:Y202)</f>
        <v>0</v>
      </c>
      <c r="P202" s="28">
        <f>O202-N202</f>
        <v>0</v>
      </c>
      <c r="Q202" s="61" t="str">
        <f>IF(ISERROR(P202/SUM(H202:L202)),"",P202/SUM(H202:L202))</f>
        <v/>
      </c>
      <c r="R202" s="113">
        <v>0</v>
      </c>
      <c r="S202" s="28">
        <f>IF(ISERROR(P202/C202*R202),0,(P202/C202*R202))</f>
        <v>0</v>
      </c>
      <c r="T202" s="60">
        <f>IF(ISERROR(P202/B202*AF202),0,(P202/B202*AF202))</f>
        <v>0</v>
      </c>
      <c r="V202" s="113">
        <v>0</v>
      </c>
      <c r="W202" s="113">
        <v>0</v>
      </c>
      <c r="X202" s="113">
        <v>0</v>
      </c>
      <c r="Y202" s="113">
        <v>0</v>
      </c>
      <c r="AA202" s="113">
        <v>0</v>
      </c>
      <c r="AB202" s="113">
        <v>0</v>
      </c>
      <c r="AC202" s="113">
        <v>0</v>
      </c>
      <c r="AD202" s="113">
        <v>0</v>
      </c>
      <c r="AF202" s="113">
        <v>0</v>
      </c>
      <c r="AG202" s="28">
        <f>G202-O202</f>
        <v>0</v>
      </c>
      <c r="AH202" s="58">
        <f>IF(ISERROR(AG202/B202*AF202),0,(AG202/B202*AF202))</f>
        <v>0</v>
      </c>
      <c r="AI202" s="28">
        <f>SUM(H202:M202)</f>
        <v>0</v>
      </c>
      <c r="AJ202" s="28">
        <f>IF(ISERROR(AI202/B202*AF202),0,(AI202/B202*AF202))</f>
        <v>0</v>
      </c>
      <c r="AK202" s="58">
        <f>IF(ISERROR(O202/B202*AF202),0,(O202/B202*AF202))</f>
        <v>0</v>
      </c>
      <c r="AL202" s="28">
        <f>IF(ISERROR(H202/B202*AF202),0,(H202/B202*AF202))</f>
        <v>0</v>
      </c>
      <c r="AN202" s="51">
        <f>A202</f>
        <v>0</v>
      </c>
      <c r="AO202" s="57">
        <f>IF(ISERROR(IF(B202=C202,D202/C202,(INT(D202/B202)+(((D202-B202*INT(D202/B202)))/C202)/100))),0,(IF(B202=C202,D202/C202,(INT(D202/B202)+(((D202-B202*INT(D202/B202)))/C202)/100))))</f>
        <v>0</v>
      </c>
      <c r="AP202" s="57">
        <f>IF(ISERROR(IF(B202=C202,E202/C202,(INT(E202/B202)+(((E202-B202*INT(E202/B202)))/C202)/100))),0,(IF(B202=C202,E202/C202,(INT(E202/B202)+(((E202-B202*INT(E202/B202)))/C202)/100))))</f>
        <v>0</v>
      </c>
      <c r="AQ202" s="57">
        <f>IF(ISERROR(IF(B202=C202,F202/C202,IF((INT(F202/B202)+(((F202-B202*INT(F202/B202)))/C202)/100)&lt;0,(INT(F202/B202)+(((F202-B202*INT(F202/B202)))/C202)/100)+(1-(B202/C202/100)),(INT(F202/B202)+(((F202-B202*INT(F202/B202)))/C202)/100)))),0,IF(B202=C202,F202/C202,IF((INT(F202/B202)+(((F202-B202*INT(F202/B202)))/C202)/100)&lt;0,(INT(F202/B202)+(((F202-B202*INT(F202/B202)))/C202)/100)+(1-(B202/C202/100)),(INT(F202/B202)+(((F202-B202*INT(F202/B202)))/C202)/100))))</f>
        <v>0</v>
      </c>
      <c r="AR202" s="57">
        <f>IF(ISERROR(IF(B202=C202,G202/C202,(INT(G202/B202)+(((G202-B202*INT(G202/B202)))/C202)/100))),0,(IF(B202=C202,G202/C202,(INT(G202/B202)+(((G202-B202*INT(G202/B202)))/C202)/100))))</f>
        <v>0</v>
      </c>
      <c r="AS202" s="57">
        <f>IF(ISERROR(IF(B202=C202,H202/C202,(INT(H202/B202)+(((H202-B202*INT(H202/B202)))/C202)/100))),0,(IF(B202=C202,H202/C202,(INT(H202/B202)+(((H202-B202*INT(H202/B202)))/C202)/100))))</f>
        <v>0</v>
      </c>
      <c r="AT202" s="57">
        <f>IF(ISERROR(IF(B202=C202,I202/C202,(INT(I202/B202)+(((I202-B202*INT(I202/B202)))/C202)/100))),0,(IF(B202=C202,I202/C202,(INT(I202/B202)+(((I202-B202*INT(I202/B202)))/C202)/100))))</f>
        <v>0</v>
      </c>
      <c r="AU202" s="57">
        <f>IF(ISERROR(IF(B202=C202,J202/C202,(INT(J202/B202)+(((J202-B202*INT(J202/B202)))/C202)/100))),0,(IF(B202=C202,J202/C202,(INT(J202/B202)+(((J202-B202*INT(J202/B202)))/C202)/100))))</f>
        <v>0</v>
      </c>
      <c r="AV202" s="57">
        <f>IF(ISERROR(IF(B202=C202,K202/C202,IF((INT(K202/B202)+(((K202-B202*INT(K202/B202)))/C202)/100)&lt;0,(INT(K202/B202)+(((K202-B202*INT(K202/B202)))/C202)/100)+(1-(B202/C202/100)),(INT(K202/B202)+(((K202-B202*INT(K202/B202)))/C202)/100)))),0,IF(B202=C202,K202/C202,IF((INT(K202/B202)+(((K202-B202*INT(K202/B202)))/C202)/100)&lt;0,(INT(K202/B202)+(((K202-B202*INT(K202/B202)))/C202)/100)+(1-(B202/C202/100)),(INT(K202/B202)+(((K202-B202*INT(K202/B202)))/C202)/100))))</f>
        <v>0</v>
      </c>
      <c r="AW202" s="57">
        <f>IF(ISERROR(IF(B202=C202,L202/C202,(INT(L202/B202)+(((L202-B202*INT(L202/B202)))/C202)/100))),0,(IF(B202=C202,L202/C202,(INT(L202/B202)+(((L202-B202*INT(L202/B202)))/C202)/100))))</f>
        <v>0</v>
      </c>
      <c r="AX202" s="57">
        <f>IF(ISERROR(IF(B202=C202,M202/C202,(INT(M202/B202)+(((M202-B202*INT(M202/B202)))/C202)/100))),0,(IF(B202=C202,M202/C202,(INT(M202/B202)+(((M202-B202*INT(M202/B202)))/C202)/100))))</f>
        <v>0</v>
      </c>
      <c r="AY202" s="57">
        <f>IF(ISERROR(IF(B202=C202,N202/C202,IF((INT(N202/B202)+(((N202-B202*INT(N202/B202)))/C202)/100)&lt;0,(INT(N202/B202)+(((N202-B202*INT(N202/B202)))/C202)/100)+(1-(B202/C202/100)),(INT(N202/B202)+(((N202-B202*INT(N202/B202)))/C202)/100)))),0,IF(B202=C202,N202/C202,IF((INT(N202/B202)+(((N202-B202*INT(N202/B202)))/C202)/100)&lt;0,(INT(N202/B202)+(((N202-B202*INT(N202/B202)))/C202)/100)+(1-(B202/C202/100)),(INT(N202/B202)+(((N202-B202*INT(N202/B202)))/C202)/100))))</f>
        <v>0</v>
      </c>
      <c r="AZ202" s="57">
        <f>IF(ISERROR(IF(B202=C202,O202/C202,(INT(O202/B202)+(((O202-B202*INT(O202/B202)))/C202)/100))),0,(IF(B202=C202,O202/C202,(INT(O202/B202)+(((O202-B202*INT(O202/B202)))/C202)/100))))</f>
        <v>0</v>
      </c>
      <c r="BA202" s="57">
        <f>IF(ISERROR(IF(B202=C202,P202/C202,IF((INT(P202/B202)+(((P202-B202*INT(P202/B202)))/C202)/100)&lt;0,(INT(P202/B202)+(((P202-B202*INT(P202/B202)))/C202)/100)+(1-(B202/C202/100)),(INT(P202/B202)+(((P202-B202*INT(P202/B202)))/C202)/100)))),0,IF(B202=C202,P202/C202,IF((INT(P202/B202)+(((P202-B202*INT(P202/B202)))/C202)/100)&lt;0,(INT(P202/B202)+(((P202-B202*INT(P202/B202)))/C202)/100)+(1-(B202/C202/100)),(INT(P202/B202)+(((P202-B202*INT(P202/B202)))/C202)/100))))</f>
        <v>0</v>
      </c>
      <c r="BB202" s="28">
        <f>R202</f>
        <v>0</v>
      </c>
      <c r="BC202" s="28">
        <f>S202</f>
        <v>0</v>
      </c>
      <c r="BD202" s="28">
        <f>AF202</f>
        <v>0</v>
      </c>
      <c r="BE202" s="28">
        <f>T202</f>
        <v>0</v>
      </c>
      <c r="BG202" s="57">
        <f>IF(ISERROR(IF(B202=C202,V202/C202,(INT(V202/B202)+(((V202-B202*INT(V202/B202)))/C202)/100))),0,(IF(B202=C202,V202/C202,(INT(V202/B202)+(((V202-B202*INT(V202/B202)))/C202)/100))))</f>
        <v>0</v>
      </c>
      <c r="BH202" s="57">
        <f>IF(ISERROR(IF(B202=C202,W202/C202,(INT(W202/B202)+(((W202-B202*INT(W202/B202)))/C202)/100))),0,(IF(B202=C202,W202/C202,(INT(W202/B202)+(((W202-B202*INT(W202/B202)))/C202)/100))))</f>
        <v>0</v>
      </c>
      <c r="BI202" s="57">
        <f>IF(ISERROR(IF(B202=C202,X202/C202,(INT(X202/B202)+(((X202-B202*INT(X202/B202)))/C202)/100))),0,(IF(B202=C202,X202/C202,(INT(X202/B202)+(((X202-B202*INT(X202/B202)))/C202)/100))))</f>
        <v>0</v>
      </c>
      <c r="BJ202" s="57">
        <f>IF(ISERROR(IF(B202=C202,Y202/C202,(INT(Y202/B202)+(((Y202-B202*INT(Y202/B202)))/C202)/100))),0,(IF(B202=C202,Y202/C202,(INT(Y202/B202)+(((Y202-B202*INT(Y202/B202)))/C202)/100))))</f>
        <v>0</v>
      </c>
      <c r="BL202" s="57">
        <f>IF(ISERROR(IF(B202=C202,AA202/C202,(INT(AA202/B202)+(((AA202-B202*INT(AA202/B202)))/C202)/100))),0,(IF(B202=C202,AA202/C202,(INT(AA202/B202)+(((AA202-B202*INT(AA202/B202)))/C202)/100))))</f>
        <v>0</v>
      </c>
      <c r="BM202" s="57">
        <f>IF(ISERROR(IF(B202=C202,AB202/C202,(INT(AB202/B202)+(((AB202-B202*INT(AB202/B202)))/C202)/100))),0,(IF(B202=C202,AB202/C202,(INT(AB202/B202)+(((AB202-B202*INT(AB202/B202)))/C202)/100))))</f>
        <v>0</v>
      </c>
      <c r="BN202" s="57">
        <f>IF(ISERROR(IF(B202=C202,AC202/C202,(INT(AC202/B202)+(((AC202-B202*INT(AC202/B202)))/C202)/100))),0,(IF(B202=C202,AC202/C202,(INT(AC202/B202)+(((AC202-B202*INT(AC202/B202)))/C202)/100))))</f>
        <v>0</v>
      </c>
      <c r="BO202" s="57">
        <f>IF(ISERROR(IF(B202=C202,AD202/C202,(INT(AD202/B202)+(((AD202-B202*INT(AD202/B202)))/C202)/100))),0,(IF(B202=C202,AD202/C202,(INT(AD202/B202)+(((AD202-B202*INT(AD202/B202)))/C202)/100))))</f>
        <v>0</v>
      </c>
      <c r="BQ202" s="155"/>
    </row>
    <row r="203" spans="1:69" hidden="1" x14ac:dyDescent="0.35">
      <c r="A203" s="94"/>
      <c r="B203" s="113">
        <v>0</v>
      </c>
      <c r="C203" s="113">
        <v>0</v>
      </c>
      <c r="D203" s="28">
        <f>SUM(AA203:AD203)</f>
        <v>0</v>
      </c>
      <c r="E203" s="113">
        <v>0</v>
      </c>
      <c r="F203" s="113">
        <v>0</v>
      </c>
      <c r="G203" s="28">
        <f>SUM(D203:F203)</f>
        <v>0</v>
      </c>
      <c r="H203" s="125">
        <v>0</v>
      </c>
      <c r="I203" s="113">
        <v>0</v>
      </c>
      <c r="J203" s="125">
        <v>0</v>
      </c>
      <c r="K203" s="113">
        <v>0</v>
      </c>
      <c r="L203" s="113">
        <v>0</v>
      </c>
      <c r="M203" s="113">
        <v>0</v>
      </c>
      <c r="N203" s="28">
        <f>G203-SUM(H203:M203)</f>
        <v>0</v>
      </c>
      <c r="O203" s="28">
        <f>SUM(V203:Y203)</f>
        <v>0</v>
      </c>
      <c r="P203" s="28">
        <f>O203-N203</f>
        <v>0</v>
      </c>
      <c r="Q203" s="61" t="str">
        <f>IF(ISERROR(P203/SUM(H203:L203)),"",P203/SUM(H203:L203))</f>
        <v/>
      </c>
      <c r="R203" s="113">
        <v>0</v>
      </c>
      <c r="S203" s="28">
        <f>IF(ISERROR(P203/C203*R203),0,(P203/C203*R203))</f>
        <v>0</v>
      </c>
      <c r="T203" s="60">
        <f>IF(ISERROR(P203/B203*AF203),0,(P203/B203*AF203))</f>
        <v>0</v>
      </c>
      <c r="V203" s="113">
        <v>0</v>
      </c>
      <c r="W203" s="113">
        <v>0</v>
      </c>
      <c r="X203" s="113">
        <v>0</v>
      </c>
      <c r="Y203" s="113">
        <v>0</v>
      </c>
      <c r="AA203" s="113">
        <v>0</v>
      </c>
      <c r="AB203" s="113">
        <v>0</v>
      </c>
      <c r="AC203" s="113">
        <v>0</v>
      </c>
      <c r="AD203" s="113">
        <v>0</v>
      </c>
      <c r="AF203" s="113">
        <v>0</v>
      </c>
      <c r="AG203" s="28">
        <f>G203-O203</f>
        <v>0</v>
      </c>
      <c r="AH203" s="58">
        <f>IF(ISERROR(AG203/B203*AF203),0,(AG203/B203*AF203))</f>
        <v>0</v>
      </c>
      <c r="AI203" s="28">
        <f>SUM(H203:M203)</f>
        <v>0</v>
      </c>
      <c r="AJ203" s="28">
        <f>IF(ISERROR(AI203/B203*AF203),0,(AI203/B203*AF203))</f>
        <v>0</v>
      </c>
      <c r="AK203" s="58">
        <f>IF(ISERROR(O203/B203*AF203),0,(O203/B203*AF203))</f>
        <v>0</v>
      </c>
      <c r="AL203" s="28">
        <f>IF(ISERROR(H203/B203*AF203),0,(H203/B203*AF203))</f>
        <v>0</v>
      </c>
      <c r="AN203" s="51">
        <f>A203</f>
        <v>0</v>
      </c>
      <c r="AO203" s="57">
        <f>IF(ISERROR(IF(B203=C203,D203/C203,(INT(D203/B203)+(((D203-B203*INT(D203/B203)))/C203)/100))),0,(IF(B203=C203,D203/C203,(INT(D203/B203)+(((D203-B203*INT(D203/B203)))/C203)/100))))</f>
        <v>0</v>
      </c>
      <c r="AP203" s="57">
        <f>IF(ISERROR(IF(B203=C203,E203/C203,(INT(E203/B203)+(((E203-B203*INT(E203/B203)))/C203)/100))),0,(IF(B203=C203,E203/C203,(INT(E203/B203)+(((E203-B203*INT(E203/B203)))/C203)/100))))</f>
        <v>0</v>
      </c>
      <c r="AQ203" s="57">
        <f>IF(ISERROR(IF(B203=C203,F203/C203,IF((INT(F203/B203)+(((F203-B203*INT(F203/B203)))/C203)/100)&lt;0,(INT(F203/B203)+(((F203-B203*INT(F203/B203)))/C203)/100)+(1-(B203/C203/100)),(INT(F203/B203)+(((F203-B203*INT(F203/B203)))/C203)/100)))),0,IF(B203=C203,F203/C203,IF((INT(F203/B203)+(((F203-B203*INT(F203/B203)))/C203)/100)&lt;0,(INT(F203/B203)+(((F203-B203*INT(F203/B203)))/C203)/100)+(1-(B203/C203/100)),(INT(F203/B203)+(((F203-B203*INT(F203/B203)))/C203)/100))))</f>
        <v>0</v>
      </c>
      <c r="AR203" s="57">
        <f>IF(ISERROR(IF(B203=C203,G203/C203,(INT(G203/B203)+(((G203-B203*INT(G203/B203)))/C203)/100))),0,(IF(B203=C203,G203/C203,(INT(G203/B203)+(((G203-B203*INT(G203/B203)))/C203)/100))))</f>
        <v>0</v>
      </c>
      <c r="AS203" s="57">
        <f>IF(ISERROR(IF(B203=C203,H203/C203,(INT(H203/B203)+(((H203-B203*INT(H203/B203)))/C203)/100))),0,(IF(B203=C203,H203/C203,(INT(H203/B203)+(((H203-B203*INT(H203/B203)))/C203)/100))))</f>
        <v>0</v>
      </c>
      <c r="AT203" s="57">
        <f>IF(ISERROR(IF(B203=C203,I203/C203,(INT(I203/B203)+(((I203-B203*INT(I203/B203)))/C203)/100))),0,(IF(B203=C203,I203/C203,(INT(I203/B203)+(((I203-B203*INT(I203/B203)))/C203)/100))))</f>
        <v>0</v>
      </c>
      <c r="AU203" s="57">
        <f>IF(ISERROR(IF(B203=C203,J203/C203,(INT(J203/B203)+(((J203-B203*INT(J203/B203)))/C203)/100))),0,(IF(B203=C203,J203/C203,(INT(J203/B203)+(((J203-B203*INT(J203/B203)))/C203)/100))))</f>
        <v>0</v>
      </c>
      <c r="AV203" s="57">
        <f>IF(ISERROR(IF(B203=C203,K203/C203,IF((INT(K203/B203)+(((K203-B203*INT(K203/B203)))/C203)/100)&lt;0,(INT(K203/B203)+(((K203-B203*INT(K203/B203)))/C203)/100)+(1-(B203/C203/100)),(INT(K203/B203)+(((K203-B203*INT(K203/B203)))/C203)/100)))),0,IF(B203=C203,K203/C203,IF((INT(K203/B203)+(((K203-B203*INT(K203/B203)))/C203)/100)&lt;0,(INT(K203/B203)+(((K203-B203*INT(K203/B203)))/C203)/100)+(1-(B203/C203/100)),(INT(K203/B203)+(((K203-B203*INT(K203/B203)))/C203)/100))))</f>
        <v>0</v>
      </c>
      <c r="AW203" s="57">
        <f>IF(ISERROR(IF(B203=C203,L203/C203,(INT(L203/B203)+(((L203-B203*INT(L203/B203)))/C203)/100))),0,(IF(B203=C203,L203/C203,(INT(L203/B203)+(((L203-B203*INT(L203/B203)))/C203)/100))))</f>
        <v>0</v>
      </c>
      <c r="AX203" s="57">
        <f>IF(ISERROR(IF(B203=C203,M203/C203,(INT(M203/B203)+(((M203-B203*INT(M203/B203)))/C203)/100))),0,(IF(B203=C203,M203/C203,(INT(M203/B203)+(((M203-B203*INT(M203/B203)))/C203)/100))))</f>
        <v>0</v>
      </c>
      <c r="AY203" s="57">
        <f>IF(ISERROR(IF(B203=C203,N203/C203,IF((INT(N203/B203)+(((N203-B203*INT(N203/B203)))/C203)/100)&lt;0,(INT(N203/B203)+(((N203-B203*INT(N203/B203)))/C203)/100)+(1-(B203/C203/100)),(INT(N203/B203)+(((N203-B203*INT(N203/B203)))/C203)/100)))),0,IF(B203=C203,N203/C203,IF((INT(N203/B203)+(((N203-B203*INT(N203/B203)))/C203)/100)&lt;0,(INT(N203/B203)+(((N203-B203*INT(N203/B203)))/C203)/100)+(1-(B203/C203/100)),(INT(N203/B203)+(((N203-B203*INT(N203/B203)))/C203)/100))))</f>
        <v>0</v>
      </c>
      <c r="AZ203" s="57">
        <f>IF(ISERROR(IF(B203=C203,O203/C203,(INT(O203/B203)+(((O203-B203*INT(O203/B203)))/C203)/100))),0,(IF(B203=C203,O203/C203,(INT(O203/B203)+(((O203-B203*INT(O203/B203)))/C203)/100))))</f>
        <v>0</v>
      </c>
      <c r="BA203" s="57">
        <f>IF(ISERROR(IF(B203=C203,P203/C203,IF((INT(P203/B203)+(((P203-B203*INT(P203/B203)))/C203)/100)&lt;0,(INT(P203/B203)+(((P203-B203*INT(P203/B203)))/C203)/100)+(1-(B203/C203/100)),(INT(P203/B203)+(((P203-B203*INT(P203/B203)))/C203)/100)))),0,IF(B203=C203,P203/C203,IF((INT(P203/B203)+(((P203-B203*INT(P203/B203)))/C203)/100)&lt;0,(INT(P203/B203)+(((P203-B203*INT(P203/B203)))/C203)/100)+(1-(B203/C203/100)),(INT(P203/B203)+(((P203-B203*INT(P203/B203)))/C203)/100))))</f>
        <v>0</v>
      </c>
      <c r="BB203" s="28">
        <f>R203</f>
        <v>0</v>
      </c>
      <c r="BC203" s="28">
        <f>S203</f>
        <v>0</v>
      </c>
      <c r="BD203" s="28">
        <f>AF203</f>
        <v>0</v>
      </c>
      <c r="BE203" s="28">
        <f>T203</f>
        <v>0</v>
      </c>
      <c r="BG203" s="57">
        <f>IF(ISERROR(IF(B203=C203,V203/C203,(INT(V203/B203)+(((V203-B203*INT(V203/B203)))/C203)/100))),0,(IF(B203=C203,V203/C203,(INT(V203/B203)+(((V203-B203*INT(V203/B203)))/C203)/100))))</f>
        <v>0</v>
      </c>
      <c r="BH203" s="57">
        <f>IF(ISERROR(IF(B203=C203,W203/C203,(INT(W203/B203)+(((W203-B203*INT(W203/B203)))/C203)/100))),0,(IF(B203=C203,W203/C203,(INT(W203/B203)+(((W203-B203*INT(W203/B203)))/C203)/100))))</f>
        <v>0</v>
      </c>
      <c r="BI203" s="57">
        <f>IF(ISERROR(IF(B203=C203,X203/C203,(INT(X203/B203)+(((X203-B203*INT(X203/B203)))/C203)/100))),0,(IF(B203=C203,X203/C203,(INT(X203/B203)+(((X203-B203*INT(X203/B203)))/C203)/100))))</f>
        <v>0</v>
      </c>
      <c r="BJ203" s="57">
        <f>IF(ISERROR(IF(B203=C203,Y203/C203,(INT(Y203/B203)+(((Y203-B203*INT(Y203/B203)))/C203)/100))),0,(IF(B203=C203,Y203/C203,(INT(Y203/B203)+(((Y203-B203*INT(Y203/B203)))/C203)/100))))</f>
        <v>0</v>
      </c>
      <c r="BL203" s="57">
        <f>IF(ISERROR(IF(B203=C203,AA203/C203,(INT(AA203/B203)+(((AA203-B203*INT(AA203/B203)))/C203)/100))),0,(IF(B203=C203,AA203/C203,(INT(AA203/B203)+(((AA203-B203*INT(AA203/B203)))/C203)/100))))</f>
        <v>0</v>
      </c>
      <c r="BM203" s="57">
        <f>IF(ISERROR(IF(B203=C203,AB203/C203,(INT(AB203/B203)+(((AB203-B203*INT(AB203/B203)))/C203)/100))),0,(IF(B203=C203,AB203/C203,(INT(AB203/B203)+(((AB203-B203*INT(AB203/B203)))/C203)/100))))</f>
        <v>0</v>
      </c>
      <c r="BN203" s="57">
        <f>IF(ISERROR(IF(B203=C203,AC203/C203,(INT(AC203/B203)+(((AC203-B203*INT(AC203/B203)))/C203)/100))),0,(IF(B203=C203,AC203/C203,(INT(AC203/B203)+(((AC203-B203*INT(AC203/B203)))/C203)/100))))</f>
        <v>0</v>
      </c>
      <c r="BO203" s="57">
        <f>IF(ISERROR(IF(B203=C203,AD203/C203,(INT(AD203/B203)+(((AD203-B203*INT(AD203/B203)))/C203)/100))),0,(IF(B203=C203,AD203/C203,(INT(AD203/B203)+(((AD203-B203*INT(AD203/B203)))/C203)/100))))</f>
        <v>0</v>
      </c>
      <c r="BQ203" s="155"/>
    </row>
    <row r="204" spans="1:69" hidden="1" x14ac:dyDescent="0.35">
      <c r="A204" s="94"/>
      <c r="B204" s="113">
        <v>0</v>
      </c>
      <c r="C204" s="113">
        <v>0</v>
      </c>
      <c r="D204" s="28">
        <f>SUM(AA204:AD204)</f>
        <v>0</v>
      </c>
      <c r="E204" s="113">
        <v>0</v>
      </c>
      <c r="F204" s="113">
        <v>0</v>
      </c>
      <c r="G204" s="28">
        <f>SUM(D204:F204)</f>
        <v>0</v>
      </c>
      <c r="H204" s="125">
        <v>0</v>
      </c>
      <c r="I204" s="113">
        <v>0</v>
      </c>
      <c r="J204" s="125">
        <v>0</v>
      </c>
      <c r="K204" s="113">
        <v>0</v>
      </c>
      <c r="L204" s="113">
        <v>0</v>
      </c>
      <c r="M204" s="113">
        <v>0</v>
      </c>
      <c r="N204" s="28">
        <f>G204-SUM(H204:M204)</f>
        <v>0</v>
      </c>
      <c r="O204" s="28">
        <f>SUM(V204:Y204)</f>
        <v>0</v>
      </c>
      <c r="P204" s="28">
        <f>O204-N204</f>
        <v>0</v>
      </c>
      <c r="Q204" s="61" t="str">
        <f>IF(ISERROR(P204/SUM(H204:L204)),"",P204/SUM(H204:L204))</f>
        <v/>
      </c>
      <c r="R204" s="113">
        <v>0</v>
      </c>
      <c r="S204" s="28">
        <f>IF(ISERROR(P204/C204*R204),0,(P204/C204*R204))</f>
        <v>0</v>
      </c>
      <c r="T204" s="60">
        <f>IF(ISERROR(P204/B204*AF204),0,(P204/B204*AF204))</f>
        <v>0</v>
      </c>
      <c r="V204" s="113">
        <v>0</v>
      </c>
      <c r="W204" s="113">
        <v>0</v>
      </c>
      <c r="X204" s="113">
        <v>0</v>
      </c>
      <c r="Y204" s="113">
        <v>0</v>
      </c>
      <c r="AA204" s="113">
        <v>0</v>
      </c>
      <c r="AB204" s="113">
        <v>0</v>
      </c>
      <c r="AC204" s="113">
        <v>0</v>
      </c>
      <c r="AD204" s="113">
        <v>0</v>
      </c>
      <c r="AF204" s="113">
        <v>0</v>
      </c>
      <c r="AG204" s="28">
        <f>G204-O204</f>
        <v>0</v>
      </c>
      <c r="AH204" s="58">
        <f>IF(ISERROR(AG204/B204*AF204),0,(AG204/B204*AF204))</f>
        <v>0</v>
      </c>
      <c r="AI204" s="28">
        <f>SUM(H204:M204)</f>
        <v>0</v>
      </c>
      <c r="AJ204" s="28">
        <f>IF(ISERROR(AI204/B204*AF204),0,(AI204/B204*AF204))</f>
        <v>0</v>
      </c>
      <c r="AK204" s="58">
        <f>IF(ISERROR(O204/B204*AF204),0,(O204/B204*AF204))</f>
        <v>0</v>
      </c>
      <c r="AL204" s="28">
        <f>IF(ISERROR(H204/B204*AF204),0,(H204/B204*AF204))</f>
        <v>0</v>
      </c>
      <c r="AN204" s="51">
        <f>A204</f>
        <v>0</v>
      </c>
      <c r="AO204" s="57">
        <f>IF(ISERROR(IF(B204=C204,D204/C204,(INT(D204/B204)+(((D204-B204*INT(D204/B204)))/C204)/100))),0,(IF(B204=C204,D204/C204,(INT(D204/B204)+(((D204-B204*INT(D204/B204)))/C204)/100))))</f>
        <v>0</v>
      </c>
      <c r="AP204" s="57">
        <f>IF(ISERROR(IF(B204=C204,E204/C204,(INT(E204/B204)+(((E204-B204*INT(E204/B204)))/C204)/100))),0,(IF(B204=C204,E204/C204,(INT(E204/B204)+(((E204-B204*INT(E204/B204)))/C204)/100))))</f>
        <v>0</v>
      </c>
      <c r="AQ204" s="57">
        <f>IF(ISERROR(IF(B204=C204,F204/C204,IF((INT(F204/B204)+(((F204-B204*INT(F204/B204)))/C204)/100)&lt;0,(INT(F204/B204)+(((F204-B204*INT(F204/B204)))/C204)/100)+(1-(B204/C204/100)),(INT(F204/B204)+(((F204-B204*INT(F204/B204)))/C204)/100)))),0,IF(B204=C204,F204/C204,IF((INT(F204/B204)+(((F204-B204*INT(F204/B204)))/C204)/100)&lt;0,(INT(F204/B204)+(((F204-B204*INT(F204/B204)))/C204)/100)+(1-(B204/C204/100)),(INT(F204/B204)+(((F204-B204*INT(F204/B204)))/C204)/100))))</f>
        <v>0</v>
      </c>
      <c r="AR204" s="57">
        <f>IF(ISERROR(IF(B204=C204,G204/C204,(INT(G204/B204)+(((G204-B204*INT(G204/B204)))/C204)/100))),0,(IF(B204=C204,G204/C204,(INT(G204/B204)+(((G204-B204*INT(G204/B204)))/C204)/100))))</f>
        <v>0</v>
      </c>
      <c r="AS204" s="57">
        <f>IF(ISERROR(IF(B204=C204,H204/C204,(INT(H204/B204)+(((H204-B204*INT(H204/B204)))/C204)/100))),0,(IF(B204=C204,H204/C204,(INT(H204/B204)+(((H204-B204*INT(H204/B204)))/C204)/100))))</f>
        <v>0</v>
      </c>
      <c r="AT204" s="57">
        <f>IF(ISERROR(IF(B204=C204,I204/C204,(INT(I204/B204)+(((I204-B204*INT(I204/B204)))/C204)/100))),0,(IF(B204=C204,I204/C204,(INT(I204/B204)+(((I204-B204*INT(I204/B204)))/C204)/100))))</f>
        <v>0</v>
      </c>
      <c r="AU204" s="57">
        <f>IF(ISERROR(IF(B204=C204,J204/C204,(INT(J204/B204)+(((J204-B204*INT(J204/B204)))/C204)/100))),0,(IF(B204=C204,J204/C204,(INT(J204/B204)+(((J204-B204*INT(J204/B204)))/C204)/100))))</f>
        <v>0</v>
      </c>
      <c r="AV204" s="57">
        <f>IF(ISERROR(IF(B204=C204,K204/C204,IF((INT(K204/B204)+(((K204-B204*INT(K204/B204)))/C204)/100)&lt;0,(INT(K204/B204)+(((K204-B204*INT(K204/B204)))/C204)/100)+(1-(B204/C204/100)),(INT(K204/B204)+(((K204-B204*INT(K204/B204)))/C204)/100)))),0,IF(B204=C204,K204/C204,IF((INT(K204/B204)+(((K204-B204*INT(K204/B204)))/C204)/100)&lt;0,(INT(K204/B204)+(((K204-B204*INT(K204/B204)))/C204)/100)+(1-(B204/C204/100)),(INT(K204/B204)+(((K204-B204*INT(K204/B204)))/C204)/100))))</f>
        <v>0</v>
      </c>
      <c r="AW204" s="57">
        <f>IF(ISERROR(IF(B204=C204,L204/C204,(INT(L204/B204)+(((L204-B204*INT(L204/B204)))/C204)/100))),0,(IF(B204=C204,L204/C204,(INT(L204/B204)+(((L204-B204*INT(L204/B204)))/C204)/100))))</f>
        <v>0</v>
      </c>
      <c r="AX204" s="57">
        <f>IF(ISERROR(IF(B204=C204,M204/C204,(INT(M204/B204)+(((M204-B204*INT(M204/B204)))/C204)/100))),0,(IF(B204=C204,M204/C204,(INT(M204/B204)+(((M204-B204*INT(M204/B204)))/C204)/100))))</f>
        <v>0</v>
      </c>
      <c r="AY204" s="57">
        <f>IF(ISERROR(IF(B204=C204,N204/C204,IF((INT(N204/B204)+(((N204-B204*INT(N204/B204)))/C204)/100)&lt;0,(INT(N204/B204)+(((N204-B204*INT(N204/B204)))/C204)/100)+(1-(B204/C204/100)),(INT(N204/B204)+(((N204-B204*INT(N204/B204)))/C204)/100)))),0,IF(B204=C204,N204/C204,IF((INT(N204/B204)+(((N204-B204*INT(N204/B204)))/C204)/100)&lt;0,(INT(N204/B204)+(((N204-B204*INT(N204/B204)))/C204)/100)+(1-(B204/C204/100)),(INT(N204/B204)+(((N204-B204*INT(N204/B204)))/C204)/100))))</f>
        <v>0</v>
      </c>
      <c r="AZ204" s="57">
        <f>IF(ISERROR(IF(B204=C204,O204/C204,(INT(O204/B204)+(((O204-B204*INT(O204/B204)))/C204)/100))),0,(IF(B204=C204,O204/C204,(INT(O204/B204)+(((O204-B204*INT(O204/B204)))/C204)/100))))</f>
        <v>0</v>
      </c>
      <c r="BA204" s="57">
        <f>IF(ISERROR(IF(B204=C204,P204/C204,IF((INT(P204/B204)+(((P204-B204*INT(P204/B204)))/C204)/100)&lt;0,(INT(P204/B204)+(((P204-B204*INT(P204/B204)))/C204)/100)+(1-(B204/C204/100)),(INT(P204/B204)+(((P204-B204*INT(P204/B204)))/C204)/100)))),0,IF(B204=C204,P204/C204,IF((INT(P204/B204)+(((P204-B204*INT(P204/B204)))/C204)/100)&lt;0,(INT(P204/B204)+(((P204-B204*INT(P204/B204)))/C204)/100)+(1-(B204/C204/100)),(INT(P204/B204)+(((P204-B204*INT(P204/B204)))/C204)/100))))</f>
        <v>0</v>
      </c>
      <c r="BB204" s="28">
        <f>R204</f>
        <v>0</v>
      </c>
      <c r="BC204" s="28">
        <f>S204</f>
        <v>0</v>
      </c>
      <c r="BD204" s="28">
        <f>AF204</f>
        <v>0</v>
      </c>
      <c r="BE204" s="28">
        <f>T204</f>
        <v>0</v>
      </c>
      <c r="BG204" s="57">
        <f>IF(ISERROR(IF(B204=C204,V204/C204,(INT(V204/B204)+(((V204-B204*INT(V204/B204)))/C204)/100))),0,(IF(B204=C204,V204/C204,(INT(V204/B204)+(((V204-B204*INT(V204/B204)))/C204)/100))))</f>
        <v>0</v>
      </c>
      <c r="BH204" s="57">
        <f>IF(ISERROR(IF(B204=C204,W204/C204,(INT(W204/B204)+(((W204-B204*INT(W204/B204)))/C204)/100))),0,(IF(B204=C204,W204/C204,(INT(W204/B204)+(((W204-B204*INT(W204/B204)))/C204)/100))))</f>
        <v>0</v>
      </c>
      <c r="BI204" s="57">
        <f>IF(ISERROR(IF(B204=C204,X204/C204,(INT(X204/B204)+(((X204-B204*INT(X204/B204)))/C204)/100))),0,(IF(B204=C204,X204/C204,(INT(X204/B204)+(((X204-B204*INT(X204/B204)))/C204)/100))))</f>
        <v>0</v>
      </c>
      <c r="BJ204" s="57">
        <f>IF(ISERROR(IF(B204=C204,Y204/C204,(INT(Y204/B204)+(((Y204-B204*INT(Y204/B204)))/C204)/100))),0,(IF(B204=C204,Y204/C204,(INT(Y204/B204)+(((Y204-B204*INT(Y204/B204)))/C204)/100))))</f>
        <v>0</v>
      </c>
      <c r="BL204" s="57">
        <f>IF(ISERROR(IF(B204=C204,AA204/C204,(INT(AA204/B204)+(((AA204-B204*INT(AA204/B204)))/C204)/100))),0,(IF(B204=C204,AA204/C204,(INT(AA204/B204)+(((AA204-B204*INT(AA204/B204)))/C204)/100))))</f>
        <v>0</v>
      </c>
      <c r="BM204" s="57">
        <f>IF(ISERROR(IF(B204=C204,AB204/C204,(INT(AB204/B204)+(((AB204-B204*INT(AB204/B204)))/C204)/100))),0,(IF(B204=C204,AB204/C204,(INT(AB204/B204)+(((AB204-B204*INT(AB204/B204)))/C204)/100))))</f>
        <v>0</v>
      </c>
      <c r="BN204" s="57">
        <f>IF(ISERROR(IF(B204=C204,AC204/C204,(INT(AC204/B204)+(((AC204-B204*INT(AC204/B204)))/C204)/100))),0,(IF(B204=C204,AC204/C204,(INT(AC204/B204)+(((AC204-B204*INT(AC204/B204)))/C204)/100))))</f>
        <v>0</v>
      </c>
      <c r="BO204" s="57">
        <f>IF(ISERROR(IF(B204=C204,AD204/C204,(INT(AD204/B204)+(((AD204-B204*INT(AD204/B204)))/C204)/100))),0,(IF(B204=C204,AD204/C204,(INT(AD204/B204)+(((AD204-B204*INT(AD204/B204)))/C204)/100))))</f>
        <v>0</v>
      </c>
      <c r="BQ204" s="155"/>
    </row>
    <row r="205" spans="1:69" hidden="1" x14ac:dyDescent="0.35">
      <c r="A205" s="94"/>
      <c r="B205" s="113">
        <v>0</v>
      </c>
      <c r="C205" s="113">
        <v>0</v>
      </c>
      <c r="D205" s="28">
        <f>SUM(AA205:AD205)</f>
        <v>0</v>
      </c>
      <c r="E205" s="113">
        <v>0</v>
      </c>
      <c r="F205" s="113">
        <v>0</v>
      </c>
      <c r="G205" s="28">
        <f>SUM(D205:F205)</f>
        <v>0</v>
      </c>
      <c r="H205" s="125">
        <v>0</v>
      </c>
      <c r="I205" s="113">
        <v>0</v>
      </c>
      <c r="J205" s="125">
        <v>0</v>
      </c>
      <c r="K205" s="113">
        <v>0</v>
      </c>
      <c r="L205" s="113">
        <v>0</v>
      </c>
      <c r="M205" s="113">
        <v>0</v>
      </c>
      <c r="N205" s="28">
        <f>G205-SUM(H205:M205)</f>
        <v>0</v>
      </c>
      <c r="O205" s="28">
        <f>SUM(V205:Y205)</f>
        <v>0</v>
      </c>
      <c r="P205" s="28">
        <f>O205-N205</f>
        <v>0</v>
      </c>
      <c r="Q205" s="61" t="str">
        <f>IF(ISERROR(P205/SUM(H205:L205)),"",P205/SUM(H205:L205))</f>
        <v/>
      </c>
      <c r="R205" s="113">
        <v>0</v>
      </c>
      <c r="S205" s="28">
        <f>IF(ISERROR(P205/C205*R205),0,(P205/C205*R205))</f>
        <v>0</v>
      </c>
      <c r="T205" s="60">
        <f>IF(ISERROR(P205/B205*AF205),0,(P205/B205*AF205))</f>
        <v>0</v>
      </c>
      <c r="V205" s="113">
        <v>0</v>
      </c>
      <c r="W205" s="113">
        <v>0</v>
      </c>
      <c r="X205" s="113">
        <v>0</v>
      </c>
      <c r="Y205" s="113">
        <v>0</v>
      </c>
      <c r="AA205" s="113">
        <v>0</v>
      </c>
      <c r="AB205" s="113">
        <v>0</v>
      </c>
      <c r="AC205" s="113">
        <v>0</v>
      </c>
      <c r="AD205" s="113">
        <v>0</v>
      </c>
      <c r="AF205" s="113">
        <v>0</v>
      </c>
      <c r="AG205" s="28">
        <f>G205-O205</f>
        <v>0</v>
      </c>
      <c r="AH205" s="58">
        <f>IF(ISERROR(AG205/B205*AF205),0,(AG205/B205*AF205))</f>
        <v>0</v>
      </c>
      <c r="AI205" s="28">
        <f>SUM(H205:M205)</f>
        <v>0</v>
      </c>
      <c r="AJ205" s="28">
        <f>IF(ISERROR(AI205/B205*AF205),0,(AI205/B205*AF205))</f>
        <v>0</v>
      </c>
      <c r="AK205" s="58">
        <f>IF(ISERROR(O205/B205*AF205),0,(O205/B205*AF205))</f>
        <v>0</v>
      </c>
      <c r="AL205" s="28">
        <f>IF(ISERROR(H205/B205*AF205),0,(H205/B205*AF205))</f>
        <v>0</v>
      </c>
      <c r="AN205" s="51">
        <f>A205</f>
        <v>0</v>
      </c>
      <c r="AO205" s="57">
        <f>IF(ISERROR(IF(B205=C205,D205/C205,(INT(D205/B205)+(((D205-B205*INT(D205/B205)))/C205)/100))),0,(IF(B205=C205,D205/C205,(INT(D205/B205)+(((D205-B205*INT(D205/B205)))/C205)/100))))</f>
        <v>0</v>
      </c>
      <c r="AP205" s="57">
        <f>IF(ISERROR(IF(B205=C205,E205/C205,(INT(E205/B205)+(((E205-B205*INT(E205/B205)))/C205)/100))),0,(IF(B205=C205,E205/C205,(INT(E205/B205)+(((E205-B205*INT(E205/B205)))/C205)/100))))</f>
        <v>0</v>
      </c>
      <c r="AQ205" s="57">
        <f>IF(ISERROR(IF(B205=C205,F205/C205,IF((INT(F205/B205)+(((F205-B205*INT(F205/B205)))/C205)/100)&lt;0,(INT(F205/B205)+(((F205-B205*INT(F205/B205)))/C205)/100)+(1-(B205/C205/100)),(INT(F205/B205)+(((F205-B205*INT(F205/B205)))/C205)/100)))),0,IF(B205=C205,F205/C205,IF((INT(F205/B205)+(((F205-B205*INT(F205/B205)))/C205)/100)&lt;0,(INT(F205/B205)+(((F205-B205*INT(F205/B205)))/C205)/100)+(1-(B205/C205/100)),(INT(F205/B205)+(((F205-B205*INT(F205/B205)))/C205)/100))))</f>
        <v>0</v>
      </c>
      <c r="AR205" s="57">
        <f>IF(ISERROR(IF(B205=C205,G205/C205,(INT(G205/B205)+(((G205-B205*INT(G205/B205)))/C205)/100))),0,(IF(B205=C205,G205/C205,(INT(G205/B205)+(((G205-B205*INT(G205/B205)))/C205)/100))))</f>
        <v>0</v>
      </c>
      <c r="AS205" s="57">
        <f>IF(ISERROR(IF(B205=C205,H205/C205,(INT(H205/B205)+(((H205-B205*INT(H205/B205)))/C205)/100))),0,(IF(B205=C205,H205/C205,(INT(H205/B205)+(((H205-B205*INT(H205/B205)))/C205)/100))))</f>
        <v>0</v>
      </c>
      <c r="AT205" s="57">
        <f>IF(ISERROR(IF(B205=C205,I205/C205,(INT(I205/B205)+(((I205-B205*INT(I205/B205)))/C205)/100))),0,(IF(B205=C205,I205/C205,(INT(I205/B205)+(((I205-B205*INT(I205/B205)))/C205)/100))))</f>
        <v>0</v>
      </c>
      <c r="AU205" s="57">
        <f>IF(ISERROR(IF(B205=C205,J205/C205,(INT(J205/B205)+(((J205-B205*INT(J205/B205)))/C205)/100))),0,(IF(B205=C205,J205/C205,(INT(J205/B205)+(((J205-B205*INT(J205/B205)))/C205)/100))))</f>
        <v>0</v>
      </c>
      <c r="AV205" s="57">
        <f>IF(ISERROR(IF(B205=C205,K205/C205,IF((INT(K205/B205)+(((K205-B205*INT(K205/B205)))/C205)/100)&lt;0,(INT(K205/B205)+(((K205-B205*INT(K205/B205)))/C205)/100)+(1-(B205/C205/100)),(INT(K205/B205)+(((K205-B205*INT(K205/B205)))/C205)/100)))),0,IF(B205=C205,K205/C205,IF((INT(K205/B205)+(((K205-B205*INT(K205/B205)))/C205)/100)&lt;0,(INT(K205/B205)+(((K205-B205*INT(K205/B205)))/C205)/100)+(1-(B205/C205/100)),(INT(K205/B205)+(((K205-B205*INT(K205/B205)))/C205)/100))))</f>
        <v>0</v>
      </c>
      <c r="AW205" s="57">
        <f>IF(ISERROR(IF(B205=C205,L205/C205,(INT(L205/B205)+(((L205-B205*INT(L205/B205)))/C205)/100))),0,(IF(B205=C205,L205/C205,(INT(L205/B205)+(((L205-B205*INT(L205/B205)))/C205)/100))))</f>
        <v>0</v>
      </c>
      <c r="AX205" s="57">
        <f>IF(ISERROR(IF(B205=C205,M205/C205,(INT(M205/B205)+(((M205-B205*INT(M205/B205)))/C205)/100))),0,(IF(B205=C205,M205/C205,(INT(M205/B205)+(((M205-B205*INT(M205/B205)))/C205)/100))))</f>
        <v>0</v>
      </c>
      <c r="AY205" s="57">
        <f>IF(ISERROR(IF(B205=C205,N205/C205,IF((INT(N205/B205)+(((N205-B205*INT(N205/B205)))/C205)/100)&lt;0,(INT(N205/B205)+(((N205-B205*INT(N205/B205)))/C205)/100)+(1-(B205/C205/100)),(INT(N205/B205)+(((N205-B205*INT(N205/B205)))/C205)/100)))),0,IF(B205=C205,N205/C205,IF((INT(N205/B205)+(((N205-B205*INT(N205/B205)))/C205)/100)&lt;0,(INT(N205/B205)+(((N205-B205*INT(N205/B205)))/C205)/100)+(1-(B205/C205/100)),(INT(N205/B205)+(((N205-B205*INT(N205/B205)))/C205)/100))))</f>
        <v>0</v>
      </c>
      <c r="AZ205" s="57">
        <f>IF(ISERROR(IF(B205=C205,O205/C205,(INT(O205/B205)+(((O205-B205*INT(O205/B205)))/C205)/100))),0,(IF(B205=C205,O205/C205,(INT(O205/B205)+(((O205-B205*INT(O205/B205)))/C205)/100))))</f>
        <v>0</v>
      </c>
      <c r="BA205" s="57">
        <f>IF(ISERROR(IF(B205=C205,P205/C205,IF((INT(P205/B205)+(((P205-B205*INT(P205/B205)))/C205)/100)&lt;0,(INT(P205/B205)+(((P205-B205*INT(P205/B205)))/C205)/100)+(1-(B205/C205/100)),(INT(P205/B205)+(((P205-B205*INT(P205/B205)))/C205)/100)))),0,IF(B205=C205,P205/C205,IF((INT(P205/B205)+(((P205-B205*INT(P205/B205)))/C205)/100)&lt;0,(INT(P205/B205)+(((P205-B205*INT(P205/B205)))/C205)/100)+(1-(B205/C205/100)),(INT(P205/B205)+(((P205-B205*INT(P205/B205)))/C205)/100))))</f>
        <v>0</v>
      </c>
      <c r="BB205" s="28">
        <f>R205</f>
        <v>0</v>
      </c>
      <c r="BC205" s="28">
        <f>S205</f>
        <v>0</v>
      </c>
      <c r="BD205" s="28">
        <f>AF205</f>
        <v>0</v>
      </c>
      <c r="BE205" s="28">
        <f>T205</f>
        <v>0</v>
      </c>
      <c r="BG205" s="57">
        <f>IF(ISERROR(IF(B205=C205,V205/C205,(INT(V205/B205)+(((V205-B205*INT(V205/B205)))/C205)/100))),0,(IF(B205=C205,V205/C205,(INT(V205/B205)+(((V205-B205*INT(V205/B205)))/C205)/100))))</f>
        <v>0</v>
      </c>
      <c r="BH205" s="57">
        <f>IF(ISERROR(IF(B205=C205,W205/C205,(INT(W205/B205)+(((W205-B205*INT(W205/B205)))/C205)/100))),0,(IF(B205=C205,W205/C205,(INT(W205/B205)+(((W205-B205*INT(W205/B205)))/C205)/100))))</f>
        <v>0</v>
      </c>
      <c r="BI205" s="57">
        <f>IF(ISERROR(IF(B205=C205,X205/C205,(INT(X205/B205)+(((X205-B205*INT(X205/B205)))/C205)/100))),0,(IF(B205=C205,X205/C205,(INT(X205/B205)+(((X205-B205*INT(X205/B205)))/C205)/100))))</f>
        <v>0</v>
      </c>
      <c r="BJ205" s="57">
        <f>IF(ISERROR(IF(B205=C205,Y205/C205,(INT(Y205/B205)+(((Y205-B205*INT(Y205/B205)))/C205)/100))),0,(IF(B205=C205,Y205/C205,(INT(Y205/B205)+(((Y205-B205*INT(Y205/B205)))/C205)/100))))</f>
        <v>0</v>
      </c>
      <c r="BL205" s="57">
        <f>IF(ISERROR(IF(B205=C205,AA205/C205,(INT(AA205/B205)+(((AA205-B205*INT(AA205/B205)))/C205)/100))),0,(IF(B205=C205,AA205/C205,(INT(AA205/B205)+(((AA205-B205*INT(AA205/B205)))/C205)/100))))</f>
        <v>0</v>
      </c>
      <c r="BM205" s="57">
        <f>IF(ISERROR(IF(B205=C205,AB205/C205,(INT(AB205/B205)+(((AB205-B205*INT(AB205/B205)))/C205)/100))),0,(IF(B205=C205,AB205/C205,(INT(AB205/B205)+(((AB205-B205*INT(AB205/B205)))/C205)/100))))</f>
        <v>0</v>
      </c>
      <c r="BN205" s="57">
        <f>IF(ISERROR(IF(B205=C205,AC205/C205,(INT(AC205/B205)+(((AC205-B205*INT(AC205/B205)))/C205)/100))),0,(IF(B205=C205,AC205/C205,(INT(AC205/B205)+(((AC205-B205*INT(AC205/B205)))/C205)/100))))</f>
        <v>0</v>
      </c>
      <c r="BO205" s="57">
        <f>IF(ISERROR(IF(B205=C205,AD205/C205,(INT(AD205/B205)+(((AD205-B205*INT(AD205/B205)))/C205)/100))),0,(IF(B205=C205,AD205/C205,(INT(AD205/B205)+(((AD205-B205*INT(AD205/B205)))/C205)/100))))</f>
        <v>0</v>
      </c>
      <c r="BQ205" s="155"/>
    </row>
    <row r="206" spans="1:69" hidden="1" x14ac:dyDescent="0.35">
      <c r="A206" s="94"/>
      <c r="B206" s="113">
        <v>0</v>
      </c>
      <c r="C206" s="113">
        <v>0</v>
      </c>
      <c r="D206" s="28">
        <f>SUM(AA206:AD206)</f>
        <v>0</v>
      </c>
      <c r="E206" s="113">
        <v>0</v>
      </c>
      <c r="F206" s="113">
        <v>0</v>
      </c>
      <c r="G206" s="28">
        <f>SUM(D206:F206)</f>
        <v>0</v>
      </c>
      <c r="H206" s="125">
        <v>0</v>
      </c>
      <c r="I206" s="113">
        <v>0</v>
      </c>
      <c r="J206" s="125">
        <v>0</v>
      </c>
      <c r="K206" s="113">
        <v>0</v>
      </c>
      <c r="L206" s="113">
        <v>0</v>
      </c>
      <c r="M206" s="113">
        <v>0</v>
      </c>
      <c r="N206" s="28">
        <f>G206-SUM(H206:M206)</f>
        <v>0</v>
      </c>
      <c r="O206" s="28">
        <f>SUM(V206:Y206)</f>
        <v>0</v>
      </c>
      <c r="P206" s="28">
        <f>O206-N206</f>
        <v>0</v>
      </c>
      <c r="Q206" s="61" t="str">
        <f>IF(ISERROR(P206/SUM(H206:L206)),"",P206/SUM(H206:L206))</f>
        <v/>
      </c>
      <c r="R206" s="113">
        <v>0</v>
      </c>
      <c r="S206" s="28">
        <f>IF(ISERROR(P206/C206*R206),0,(P206/C206*R206))</f>
        <v>0</v>
      </c>
      <c r="T206" s="60">
        <f>IF(ISERROR(P206/B206*AF206),0,(P206/B206*AF206))</f>
        <v>0</v>
      </c>
      <c r="V206" s="113">
        <v>0</v>
      </c>
      <c r="W206" s="113">
        <v>0</v>
      </c>
      <c r="X206" s="113">
        <v>0</v>
      </c>
      <c r="Y206" s="113">
        <v>0</v>
      </c>
      <c r="AA206" s="113">
        <v>0</v>
      </c>
      <c r="AB206" s="113">
        <v>0</v>
      </c>
      <c r="AC206" s="113">
        <v>0</v>
      </c>
      <c r="AD206" s="113">
        <v>0</v>
      </c>
      <c r="AF206" s="113">
        <v>0</v>
      </c>
      <c r="AG206" s="28">
        <f>G206-O206</f>
        <v>0</v>
      </c>
      <c r="AH206" s="58">
        <f>IF(ISERROR(AG206/B206*AF206),0,(AG206/B206*AF206))</f>
        <v>0</v>
      </c>
      <c r="AI206" s="28">
        <f>SUM(H206:M206)</f>
        <v>0</v>
      </c>
      <c r="AJ206" s="28">
        <f>IF(ISERROR(AI206/B206*AF206),0,(AI206/B206*AF206))</f>
        <v>0</v>
      </c>
      <c r="AK206" s="58">
        <f>IF(ISERROR(O206/B206*AF206),0,(O206/B206*AF206))</f>
        <v>0</v>
      </c>
      <c r="AL206" s="28">
        <f>IF(ISERROR(H206/B206*AF206),0,(H206/B206*AF206))</f>
        <v>0</v>
      </c>
      <c r="AN206" s="51">
        <f>A206</f>
        <v>0</v>
      </c>
      <c r="AO206" s="57">
        <f>IF(ISERROR(IF(B206=C206,D206/C206,(INT(D206/B206)+(((D206-B206*INT(D206/B206)))/C206)/100))),0,(IF(B206=C206,D206/C206,(INT(D206/B206)+(((D206-B206*INT(D206/B206)))/C206)/100))))</f>
        <v>0</v>
      </c>
      <c r="AP206" s="57">
        <f>IF(ISERROR(IF(B206=C206,E206/C206,(INT(E206/B206)+(((E206-B206*INT(E206/B206)))/C206)/100))),0,(IF(B206=C206,E206/C206,(INT(E206/B206)+(((E206-B206*INT(E206/B206)))/C206)/100))))</f>
        <v>0</v>
      </c>
      <c r="AQ206" s="57">
        <f>IF(ISERROR(IF(B206=C206,F206/C206,IF((INT(F206/B206)+(((F206-B206*INT(F206/B206)))/C206)/100)&lt;0,(INT(F206/B206)+(((F206-B206*INT(F206/B206)))/C206)/100)+(1-(B206/C206/100)),(INT(F206/B206)+(((F206-B206*INT(F206/B206)))/C206)/100)))),0,IF(B206=C206,F206/C206,IF((INT(F206/B206)+(((F206-B206*INT(F206/B206)))/C206)/100)&lt;0,(INT(F206/B206)+(((F206-B206*INT(F206/B206)))/C206)/100)+(1-(B206/C206/100)),(INT(F206/B206)+(((F206-B206*INT(F206/B206)))/C206)/100))))</f>
        <v>0</v>
      </c>
      <c r="AR206" s="57">
        <f>IF(ISERROR(IF(B206=C206,G206/C206,(INT(G206/B206)+(((G206-B206*INT(G206/B206)))/C206)/100))),0,(IF(B206=C206,G206/C206,(INT(G206/B206)+(((G206-B206*INT(G206/B206)))/C206)/100))))</f>
        <v>0</v>
      </c>
      <c r="AS206" s="57">
        <f>IF(ISERROR(IF(B206=C206,H206/C206,(INT(H206/B206)+(((H206-B206*INT(H206/B206)))/C206)/100))),0,(IF(B206=C206,H206/C206,(INT(H206/B206)+(((H206-B206*INT(H206/B206)))/C206)/100))))</f>
        <v>0</v>
      </c>
      <c r="AT206" s="57">
        <f>IF(ISERROR(IF(B206=C206,I206/C206,(INT(I206/B206)+(((I206-B206*INT(I206/B206)))/C206)/100))),0,(IF(B206=C206,I206/C206,(INT(I206/B206)+(((I206-B206*INT(I206/B206)))/C206)/100))))</f>
        <v>0</v>
      </c>
      <c r="AU206" s="57">
        <f>IF(ISERROR(IF(B206=C206,J206/C206,(INT(J206/B206)+(((J206-B206*INT(J206/B206)))/C206)/100))),0,(IF(B206=C206,J206/C206,(INT(J206/B206)+(((J206-B206*INT(J206/B206)))/C206)/100))))</f>
        <v>0</v>
      </c>
      <c r="AV206" s="57">
        <f>IF(ISERROR(IF(B206=C206,K206/C206,IF((INT(K206/B206)+(((K206-B206*INT(K206/B206)))/C206)/100)&lt;0,(INT(K206/B206)+(((K206-B206*INT(K206/B206)))/C206)/100)+(1-(B206/C206/100)),(INT(K206/B206)+(((K206-B206*INT(K206/B206)))/C206)/100)))),0,IF(B206=C206,K206/C206,IF((INT(K206/B206)+(((K206-B206*INT(K206/B206)))/C206)/100)&lt;0,(INT(K206/B206)+(((K206-B206*INT(K206/B206)))/C206)/100)+(1-(B206/C206/100)),(INT(K206/B206)+(((K206-B206*INT(K206/B206)))/C206)/100))))</f>
        <v>0</v>
      </c>
      <c r="AW206" s="57">
        <f>IF(ISERROR(IF(B206=C206,L206/C206,(INT(L206/B206)+(((L206-B206*INT(L206/B206)))/C206)/100))),0,(IF(B206=C206,L206/C206,(INT(L206/B206)+(((L206-B206*INT(L206/B206)))/C206)/100))))</f>
        <v>0</v>
      </c>
      <c r="AX206" s="57">
        <f>IF(ISERROR(IF(B206=C206,M206/C206,(INT(M206/B206)+(((M206-B206*INT(M206/B206)))/C206)/100))),0,(IF(B206=C206,M206/C206,(INT(M206/B206)+(((M206-B206*INT(M206/B206)))/C206)/100))))</f>
        <v>0</v>
      </c>
      <c r="AY206" s="57">
        <f>IF(ISERROR(IF(B206=C206,N206/C206,IF((INT(N206/B206)+(((N206-B206*INT(N206/B206)))/C206)/100)&lt;0,(INT(N206/B206)+(((N206-B206*INT(N206/B206)))/C206)/100)+(1-(B206/C206/100)),(INT(N206/B206)+(((N206-B206*INT(N206/B206)))/C206)/100)))),0,IF(B206=C206,N206/C206,IF((INT(N206/B206)+(((N206-B206*INT(N206/B206)))/C206)/100)&lt;0,(INT(N206/B206)+(((N206-B206*INT(N206/B206)))/C206)/100)+(1-(B206/C206/100)),(INT(N206/B206)+(((N206-B206*INT(N206/B206)))/C206)/100))))</f>
        <v>0</v>
      </c>
      <c r="AZ206" s="57">
        <f>IF(ISERROR(IF(B206=C206,O206/C206,(INT(O206/B206)+(((O206-B206*INT(O206/B206)))/C206)/100))),0,(IF(B206=C206,O206/C206,(INT(O206/B206)+(((O206-B206*INT(O206/B206)))/C206)/100))))</f>
        <v>0</v>
      </c>
      <c r="BA206" s="57">
        <f>IF(ISERROR(IF(B206=C206,P206/C206,IF((INT(P206/B206)+(((P206-B206*INT(P206/B206)))/C206)/100)&lt;0,(INT(P206/B206)+(((P206-B206*INT(P206/B206)))/C206)/100)+(1-(B206/C206/100)),(INT(P206/B206)+(((P206-B206*INT(P206/B206)))/C206)/100)))),0,IF(B206=C206,P206/C206,IF((INT(P206/B206)+(((P206-B206*INT(P206/B206)))/C206)/100)&lt;0,(INT(P206/B206)+(((P206-B206*INT(P206/B206)))/C206)/100)+(1-(B206/C206/100)),(INT(P206/B206)+(((P206-B206*INT(P206/B206)))/C206)/100))))</f>
        <v>0</v>
      </c>
      <c r="BB206" s="28">
        <f>R206</f>
        <v>0</v>
      </c>
      <c r="BC206" s="28">
        <f>S206</f>
        <v>0</v>
      </c>
      <c r="BD206" s="28">
        <f>AF206</f>
        <v>0</v>
      </c>
      <c r="BE206" s="28">
        <f>T206</f>
        <v>0</v>
      </c>
      <c r="BG206" s="57">
        <f>IF(ISERROR(IF(B206=C206,V206/C206,(INT(V206/B206)+(((V206-B206*INT(V206/B206)))/C206)/100))),0,(IF(B206=C206,V206/C206,(INT(V206/B206)+(((V206-B206*INT(V206/B206)))/C206)/100))))</f>
        <v>0</v>
      </c>
      <c r="BH206" s="57">
        <f>IF(ISERROR(IF(B206=C206,W206/C206,(INT(W206/B206)+(((W206-B206*INT(W206/B206)))/C206)/100))),0,(IF(B206=C206,W206/C206,(INT(W206/B206)+(((W206-B206*INT(W206/B206)))/C206)/100))))</f>
        <v>0</v>
      </c>
      <c r="BI206" s="57">
        <f>IF(ISERROR(IF(B206=C206,X206/C206,(INT(X206/B206)+(((X206-B206*INT(X206/B206)))/C206)/100))),0,(IF(B206=C206,X206/C206,(INT(X206/B206)+(((X206-B206*INT(X206/B206)))/C206)/100))))</f>
        <v>0</v>
      </c>
      <c r="BJ206" s="57">
        <f>IF(ISERROR(IF(B206=C206,Y206/C206,(INT(Y206/B206)+(((Y206-B206*INT(Y206/B206)))/C206)/100))),0,(IF(B206=C206,Y206/C206,(INT(Y206/B206)+(((Y206-B206*INT(Y206/B206)))/C206)/100))))</f>
        <v>0</v>
      </c>
      <c r="BL206" s="57">
        <f>IF(ISERROR(IF(B206=C206,AA206/C206,(INT(AA206/B206)+(((AA206-B206*INT(AA206/B206)))/C206)/100))),0,(IF(B206=C206,AA206/C206,(INT(AA206/B206)+(((AA206-B206*INT(AA206/B206)))/C206)/100))))</f>
        <v>0</v>
      </c>
      <c r="BM206" s="57">
        <f>IF(ISERROR(IF(B206=C206,AB206/C206,(INT(AB206/B206)+(((AB206-B206*INT(AB206/B206)))/C206)/100))),0,(IF(B206=C206,AB206/C206,(INT(AB206/B206)+(((AB206-B206*INT(AB206/B206)))/C206)/100))))</f>
        <v>0</v>
      </c>
      <c r="BN206" s="57">
        <f>IF(ISERROR(IF(B206=C206,AC206/C206,(INT(AC206/B206)+(((AC206-B206*INT(AC206/B206)))/C206)/100))),0,(IF(B206=C206,AC206/C206,(INT(AC206/B206)+(((AC206-B206*INT(AC206/B206)))/C206)/100))))</f>
        <v>0</v>
      </c>
      <c r="BO206" s="57">
        <f>IF(ISERROR(IF(B206=C206,AD206/C206,(INT(AD206/B206)+(((AD206-B206*INT(AD206/B206)))/C206)/100))),0,(IF(B206=C206,AD206/C206,(INT(AD206/B206)+(((AD206-B206*INT(AD206/B206)))/C206)/100))))</f>
        <v>0</v>
      </c>
      <c r="BQ206" s="155"/>
    </row>
    <row r="207" spans="1:69" hidden="1" x14ac:dyDescent="0.35">
      <c r="A207" s="94"/>
      <c r="B207" s="113">
        <v>0</v>
      </c>
      <c r="C207" s="113">
        <v>0</v>
      </c>
      <c r="D207" s="28">
        <f>SUM(AA207:AD207)</f>
        <v>0</v>
      </c>
      <c r="E207" s="113">
        <v>0</v>
      </c>
      <c r="F207" s="113">
        <v>0</v>
      </c>
      <c r="G207" s="28">
        <f>SUM(D207:F207)</f>
        <v>0</v>
      </c>
      <c r="H207" s="125">
        <v>0</v>
      </c>
      <c r="I207" s="113">
        <v>0</v>
      </c>
      <c r="J207" s="125">
        <v>0</v>
      </c>
      <c r="K207" s="113">
        <v>0</v>
      </c>
      <c r="L207" s="113">
        <v>0</v>
      </c>
      <c r="M207" s="113">
        <v>0</v>
      </c>
      <c r="N207" s="28">
        <f>G207-SUM(H207:M207)</f>
        <v>0</v>
      </c>
      <c r="O207" s="28">
        <f>SUM(V207:Y207)</f>
        <v>0</v>
      </c>
      <c r="P207" s="28">
        <f>O207-N207</f>
        <v>0</v>
      </c>
      <c r="Q207" s="61" t="str">
        <f>IF(ISERROR(P207/SUM(H207:L207)),"",P207/SUM(H207:L207))</f>
        <v/>
      </c>
      <c r="R207" s="113">
        <v>0</v>
      </c>
      <c r="S207" s="28">
        <f>IF(ISERROR(P207/C207*R207),0,(P207/C207*R207))</f>
        <v>0</v>
      </c>
      <c r="T207" s="60">
        <f>IF(ISERROR(P207/B207*AF207),0,(P207/B207*AF207))</f>
        <v>0</v>
      </c>
      <c r="V207" s="113">
        <v>0</v>
      </c>
      <c r="W207" s="113">
        <v>0</v>
      </c>
      <c r="X207" s="113">
        <v>0</v>
      </c>
      <c r="Y207" s="113">
        <v>0</v>
      </c>
      <c r="AA207" s="113">
        <v>0</v>
      </c>
      <c r="AB207" s="113">
        <v>0</v>
      </c>
      <c r="AC207" s="113">
        <v>0</v>
      </c>
      <c r="AD207" s="113">
        <v>0</v>
      </c>
      <c r="AF207" s="113">
        <v>0</v>
      </c>
      <c r="AG207" s="28">
        <f>G207-O207</f>
        <v>0</v>
      </c>
      <c r="AH207" s="58">
        <f>IF(ISERROR(AG207/B207*AF207),0,(AG207/B207*AF207))</f>
        <v>0</v>
      </c>
      <c r="AI207" s="28">
        <f>SUM(H207:M207)</f>
        <v>0</v>
      </c>
      <c r="AJ207" s="28">
        <f>IF(ISERROR(AI207/B207*AF207),0,(AI207/B207*AF207))</f>
        <v>0</v>
      </c>
      <c r="AK207" s="58">
        <f>IF(ISERROR(O207/B207*AF207),0,(O207/B207*AF207))</f>
        <v>0</v>
      </c>
      <c r="AL207" s="28">
        <f>IF(ISERROR(H207/B207*AF207),0,(H207/B207*AF207))</f>
        <v>0</v>
      </c>
      <c r="AN207" s="51">
        <f>A207</f>
        <v>0</v>
      </c>
      <c r="AO207" s="57">
        <f>IF(ISERROR(IF(B207=C207,D207/C207,(INT(D207/B207)+(((D207-B207*INT(D207/B207)))/C207)/100))),0,(IF(B207=C207,D207/C207,(INT(D207/B207)+(((D207-B207*INT(D207/B207)))/C207)/100))))</f>
        <v>0</v>
      </c>
      <c r="AP207" s="57">
        <f>IF(ISERROR(IF(B207=C207,E207/C207,(INT(E207/B207)+(((E207-B207*INT(E207/B207)))/C207)/100))),0,(IF(B207=C207,E207/C207,(INT(E207/B207)+(((E207-B207*INT(E207/B207)))/C207)/100))))</f>
        <v>0</v>
      </c>
      <c r="AQ207" s="57">
        <f>IF(ISERROR(IF(B207=C207,F207/C207,IF((INT(F207/B207)+(((F207-B207*INT(F207/B207)))/C207)/100)&lt;0,(INT(F207/B207)+(((F207-B207*INT(F207/B207)))/C207)/100)+(1-(B207/C207/100)),(INT(F207/B207)+(((F207-B207*INT(F207/B207)))/C207)/100)))),0,IF(B207=C207,F207/C207,IF((INT(F207/B207)+(((F207-B207*INT(F207/B207)))/C207)/100)&lt;0,(INT(F207/B207)+(((F207-B207*INT(F207/B207)))/C207)/100)+(1-(B207/C207/100)),(INT(F207/B207)+(((F207-B207*INT(F207/B207)))/C207)/100))))</f>
        <v>0</v>
      </c>
      <c r="AR207" s="57">
        <f>IF(ISERROR(IF(B207=C207,G207/C207,(INT(G207/B207)+(((G207-B207*INT(G207/B207)))/C207)/100))),0,(IF(B207=C207,G207/C207,(INT(G207/B207)+(((G207-B207*INT(G207/B207)))/C207)/100))))</f>
        <v>0</v>
      </c>
      <c r="AS207" s="57">
        <f>IF(ISERROR(IF(B207=C207,H207/C207,(INT(H207/B207)+(((H207-B207*INT(H207/B207)))/C207)/100))),0,(IF(B207=C207,H207/C207,(INT(H207/B207)+(((H207-B207*INT(H207/B207)))/C207)/100))))</f>
        <v>0</v>
      </c>
      <c r="AT207" s="57">
        <f>IF(ISERROR(IF(B207=C207,I207/C207,(INT(I207/B207)+(((I207-B207*INT(I207/B207)))/C207)/100))),0,(IF(B207=C207,I207/C207,(INT(I207/B207)+(((I207-B207*INT(I207/B207)))/C207)/100))))</f>
        <v>0</v>
      </c>
      <c r="AU207" s="57">
        <f>IF(ISERROR(IF(B207=C207,J207/C207,(INT(J207/B207)+(((J207-B207*INT(J207/B207)))/C207)/100))),0,(IF(B207=C207,J207/C207,(INT(J207/B207)+(((J207-B207*INT(J207/B207)))/C207)/100))))</f>
        <v>0</v>
      </c>
      <c r="AV207" s="57">
        <f>IF(ISERROR(IF(B207=C207,K207/C207,IF((INT(K207/B207)+(((K207-B207*INT(K207/B207)))/C207)/100)&lt;0,(INT(K207/B207)+(((K207-B207*INT(K207/B207)))/C207)/100)+(1-(B207/C207/100)),(INT(K207/B207)+(((K207-B207*INT(K207/B207)))/C207)/100)))),0,IF(B207=C207,K207/C207,IF((INT(K207/B207)+(((K207-B207*INT(K207/B207)))/C207)/100)&lt;0,(INT(K207/B207)+(((K207-B207*INT(K207/B207)))/C207)/100)+(1-(B207/C207/100)),(INT(K207/B207)+(((K207-B207*INT(K207/B207)))/C207)/100))))</f>
        <v>0</v>
      </c>
      <c r="AW207" s="57">
        <f>IF(ISERROR(IF(B207=C207,L207/C207,(INT(L207/B207)+(((L207-B207*INT(L207/B207)))/C207)/100))),0,(IF(B207=C207,L207/C207,(INT(L207/B207)+(((L207-B207*INT(L207/B207)))/C207)/100))))</f>
        <v>0</v>
      </c>
      <c r="AX207" s="57">
        <f>IF(ISERROR(IF(B207=C207,M207/C207,(INT(M207/B207)+(((M207-B207*INT(M207/B207)))/C207)/100))),0,(IF(B207=C207,M207/C207,(INT(M207/B207)+(((M207-B207*INT(M207/B207)))/C207)/100))))</f>
        <v>0</v>
      </c>
      <c r="AY207" s="57">
        <f>IF(ISERROR(IF(B207=C207,N207/C207,IF((INT(N207/B207)+(((N207-B207*INT(N207/B207)))/C207)/100)&lt;0,(INT(N207/B207)+(((N207-B207*INT(N207/B207)))/C207)/100)+(1-(B207/C207/100)),(INT(N207/B207)+(((N207-B207*INT(N207/B207)))/C207)/100)))),0,IF(B207=C207,N207/C207,IF((INT(N207/B207)+(((N207-B207*INT(N207/B207)))/C207)/100)&lt;0,(INT(N207/B207)+(((N207-B207*INT(N207/B207)))/C207)/100)+(1-(B207/C207/100)),(INT(N207/B207)+(((N207-B207*INT(N207/B207)))/C207)/100))))</f>
        <v>0</v>
      </c>
      <c r="AZ207" s="57">
        <f>IF(ISERROR(IF(B207=C207,O207/C207,(INT(O207/B207)+(((O207-B207*INT(O207/B207)))/C207)/100))),0,(IF(B207=C207,O207/C207,(INT(O207/B207)+(((O207-B207*INT(O207/B207)))/C207)/100))))</f>
        <v>0</v>
      </c>
      <c r="BA207" s="57">
        <f>IF(ISERROR(IF(B207=C207,P207/C207,IF((INT(P207/B207)+(((P207-B207*INT(P207/B207)))/C207)/100)&lt;0,(INT(P207/B207)+(((P207-B207*INT(P207/B207)))/C207)/100)+(1-(B207/C207/100)),(INT(P207/B207)+(((P207-B207*INT(P207/B207)))/C207)/100)))),0,IF(B207=C207,P207/C207,IF((INT(P207/B207)+(((P207-B207*INT(P207/B207)))/C207)/100)&lt;0,(INT(P207/B207)+(((P207-B207*INT(P207/B207)))/C207)/100)+(1-(B207/C207/100)),(INT(P207/B207)+(((P207-B207*INT(P207/B207)))/C207)/100))))</f>
        <v>0</v>
      </c>
      <c r="BB207" s="28">
        <f>R207</f>
        <v>0</v>
      </c>
      <c r="BC207" s="28">
        <f>S207</f>
        <v>0</v>
      </c>
      <c r="BD207" s="28">
        <f>AF207</f>
        <v>0</v>
      </c>
      <c r="BE207" s="28">
        <f>T207</f>
        <v>0</v>
      </c>
      <c r="BG207" s="57">
        <f>IF(ISERROR(IF(B207=C207,V207/C207,(INT(V207/B207)+(((V207-B207*INT(V207/B207)))/C207)/100))),0,(IF(B207=C207,V207/C207,(INT(V207/B207)+(((V207-B207*INT(V207/B207)))/C207)/100))))</f>
        <v>0</v>
      </c>
      <c r="BH207" s="57">
        <f>IF(ISERROR(IF(B207=C207,W207/C207,(INT(W207/B207)+(((W207-B207*INT(W207/B207)))/C207)/100))),0,(IF(B207=C207,W207/C207,(INT(W207/B207)+(((W207-B207*INT(W207/B207)))/C207)/100))))</f>
        <v>0</v>
      </c>
      <c r="BI207" s="57">
        <f>IF(ISERROR(IF(B207=C207,X207/C207,(INT(X207/B207)+(((X207-B207*INT(X207/B207)))/C207)/100))),0,(IF(B207=C207,X207/C207,(INT(X207/B207)+(((X207-B207*INT(X207/B207)))/C207)/100))))</f>
        <v>0</v>
      </c>
      <c r="BJ207" s="57">
        <f>IF(ISERROR(IF(B207=C207,Y207/C207,(INT(Y207/B207)+(((Y207-B207*INT(Y207/B207)))/C207)/100))),0,(IF(B207=C207,Y207/C207,(INT(Y207/B207)+(((Y207-B207*INT(Y207/B207)))/C207)/100))))</f>
        <v>0</v>
      </c>
      <c r="BL207" s="57">
        <f>IF(ISERROR(IF(B207=C207,AA207/C207,(INT(AA207/B207)+(((AA207-B207*INT(AA207/B207)))/C207)/100))),0,(IF(B207=C207,AA207/C207,(INT(AA207/B207)+(((AA207-B207*INT(AA207/B207)))/C207)/100))))</f>
        <v>0</v>
      </c>
      <c r="BM207" s="57">
        <f>IF(ISERROR(IF(B207=C207,AB207/C207,(INT(AB207/B207)+(((AB207-B207*INT(AB207/B207)))/C207)/100))),0,(IF(B207=C207,AB207/C207,(INT(AB207/B207)+(((AB207-B207*INT(AB207/B207)))/C207)/100))))</f>
        <v>0</v>
      </c>
      <c r="BN207" s="57">
        <f>IF(ISERROR(IF(B207=C207,AC207/C207,(INT(AC207/B207)+(((AC207-B207*INT(AC207/B207)))/C207)/100))),0,(IF(B207=C207,AC207/C207,(INT(AC207/B207)+(((AC207-B207*INT(AC207/B207)))/C207)/100))))</f>
        <v>0</v>
      </c>
      <c r="BO207" s="57">
        <f>IF(ISERROR(IF(B207=C207,AD207/C207,(INT(AD207/B207)+(((AD207-B207*INT(AD207/B207)))/C207)/100))),0,(IF(B207=C207,AD207/C207,(INT(AD207/B207)+(((AD207-B207*INT(AD207/B207)))/C207)/100))))</f>
        <v>0</v>
      </c>
      <c r="BQ207" s="155"/>
    </row>
    <row r="208" spans="1:69" hidden="1" x14ac:dyDescent="0.35">
      <c r="A208" s="94"/>
      <c r="B208" s="113">
        <v>0</v>
      </c>
      <c r="C208" s="113">
        <v>0</v>
      </c>
      <c r="D208" s="28">
        <f>SUM(AA208:AD208)</f>
        <v>0</v>
      </c>
      <c r="E208" s="113">
        <v>0</v>
      </c>
      <c r="F208" s="113">
        <v>0</v>
      </c>
      <c r="G208" s="28">
        <f>SUM(D208:F208)</f>
        <v>0</v>
      </c>
      <c r="H208" s="125">
        <v>0</v>
      </c>
      <c r="I208" s="113">
        <v>0</v>
      </c>
      <c r="J208" s="125">
        <v>0</v>
      </c>
      <c r="K208" s="113">
        <v>0</v>
      </c>
      <c r="L208" s="113">
        <v>0</v>
      </c>
      <c r="M208" s="113">
        <v>0</v>
      </c>
      <c r="N208" s="28">
        <f>G208-SUM(H208:M208)</f>
        <v>0</v>
      </c>
      <c r="O208" s="28">
        <f>SUM(V208:Y208)</f>
        <v>0</v>
      </c>
      <c r="P208" s="28">
        <f>O208-N208</f>
        <v>0</v>
      </c>
      <c r="Q208" s="61" t="str">
        <f>IF(ISERROR(P208/SUM(H208:L208)),"",P208/SUM(H208:L208))</f>
        <v/>
      </c>
      <c r="R208" s="113">
        <v>0</v>
      </c>
      <c r="S208" s="28">
        <f>IF(ISERROR(P208/C208*R208),0,(P208/C208*R208))</f>
        <v>0</v>
      </c>
      <c r="T208" s="60">
        <f>IF(ISERROR(P208/B208*AF208),0,(P208/B208*AF208))</f>
        <v>0</v>
      </c>
      <c r="V208" s="113">
        <v>0</v>
      </c>
      <c r="W208" s="113">
        <v>0</v>
      </c>
      <c r="X208" s="113">
        <v>0</v>
      </c>
      <c r="Y208" s="113">
        <v>0</v>
      </c>
      <c r="AA208" s="113">
        <v>0</v>
      </c>
      <c r="AB208" s="113">
        <v>0</v>
      </c>
      <c r="AC208" s="113">
        <v>0</v>
      </c>
      <c r="AD208" s="113">
        <v>0</v>
      </c>
      <c r="AF208" s="113">
        <v>0</v>
      </c>
      <c r="AG208" s="28">
        <f>G208-O208</f>
        <v>0</v>
      </c>
      <c r="AH208" s="58">
        <f>IF(ISERROR(AG208/B208*AF208),0,(AG208/B208*AF208))</f>
        <v>0</v>
      </c>
      <c r="AI208" s="28">
        <f>SUM(H208:M208)</f>
        <v>0</v>
      </c>
      <c r="AJ208" s="28">
        <f>IF(ISERROR(AI208/B208*AF208),0,(AI208/B208*AF208))</f>
        <v>0</v>
      </c>
      <c r="AK208" s="58">
        <f>IF(ISERROR(O208/B208*AF208),0,(O208/B208*AF208))</f>
        <v>0</v>
      </c>
      <c r="AL208" s="28">
        <f>IF(ISERROR(H208/B208*AF208),0,(H208/B208*AF208))</f>
        <v>0</v>
      </c>
      <c r="AN208" s="51">
        <f>A208</f>
        <v>0</v>
      </c>
      <c r="AO208" s="57">
        <f>IF(ISERROR(IF(B208=C208,D208/C208,(INT(D208/B208)+(((D208-B208*INT(D208/B208)))/C208)/100))),0,(IF(B208=C208,D208/C208,(INT(D208/B208)+(((D208-B208*INT(D208/B208)))/C208)/100))))</f>
        <v>0</v>
      </c>
      <c r="AP208" s="57">
        <f>IF(ISERROR(IF(B208=C208,E208/C208,(INT(E208/B208)+(((E208-B208*INT(E208/B208)))/C208)/100))),0,(IF(B208=C208,E208/C208,(INT(E208/B208)+(((E208-B208*INT(E208/B208)))/C208)/100))))</f>
        <v>0</v>
      </c>
      <c r="AQ208" s="57">
        <f>IF(ISERROR(IF(B208=C208,F208/C208,IF((INT(F208/B208)+(((F208-B208*INT(F208/B208)))/C208)/100)&lt;0,(INT(F208/B208)+(((F208-B208*INT(F208/B208)))/C208)/100)+(1-(B208/C208/100)),(INT(F208/B208)+(((F208-B208*INT(F208/B208)))/C208)/100)))),0,IF(B208=C208,F208/C208,IF((INT(F208/B208)+(((F208-B208*INT(F208/B208)))/C208)/100)&lt;0,(INT(F208/B208)+(((F208-B208*INT(F208/B208)))/C208)/100)+(1-(B208/C208/100)),(INT(F208/B208)+(((F208-B208*INT(F208/B208)))/C208)/100))))</f>
        <v>0</v>
      </c>
      <c r="AR208" s="57">
        <f>IF(ISERROR(IF(B208=C208,G208/C208,(INT(G208/B208)+(((G208-B208*INT(G208/B208)))/C208)/100))),0,(IF(B208=C208,G208/C208,(INT(G208/B208)+(((G208-B208*INT(G208/B208)))/C208)/100))))</f>
        <v>0</v>
      </c>
      <c r="AS208" s="57">
        <f>IF(ISERROR(IF(B208=C208,H208/C208,(INT(H208/B208)+(((H208-B208*INT(H208/B208)))/C208)/100))),0,(IF(B208=C208,H208/C208,(INT(H208/B208)+(((H208-B208*INT(H208/B208)))/C208)/100))))</f>
        <v>0</v>
      </c>
      <c r="AT208" s="57">
        <f>IF(ISERROR(IF(B208=C208,I208/C208,(INT(I208/B208)+(((I208-B208*INT(I208/B208)))/C208)/100))),0,(IF(B208=C208,I208/C208,(INT(I208/B208)+(((I208-B208*INT(I208/B208)))/C208)/100))))</f>
        <v>0</v>
      </c>
      <c r="AU208" s="57">
        <f>IF(ISERROR(IF(B208=C208,J208/C208,(INT(J208/B208)+(((J208-B208*INT(J208/B208)))/C208)/100))),0,(IF(B208=C208,J208/C208,(INT(J208/B208)+(((J208-B208*INT(J208/B208)))/C208)/100))))</f>
        <v>0</v>
      </c>
      <c r="AV208" s="57">
        <f>IF(ISERROR(IF(B208=C208,K208/C208,IF((INT(K208/B208)+(((K208-B208*INT(K208/B208)))/C208)/100)&lt;0,(INT(K208/B208)+(((K208-B208*INT(K208/B208)))/C208)/100)+(1-(B208/C208/100)),(INT(K208/B208)+(((K208-B208*INT(K208/B208)))/C208)/100)))),0,IF(B208=C208,K208/C208,IF((INT(K208/B208)+(((K208-B208*INT(K208/B208)))/C208)/100)&lt;0,(INT(K208/B208)+(((K208-B208*INT(K208/B208)))/C208)/100)+(1-(B208/C208/100)),(INT(K208/B208)+(((K208-B208*INT(K208/B208)))/C208)/100))))</f>
        <v>0</v>
      </c>
      <c r="AW208" s="57">
        <f>IF(ISERROR(IF(B208=C208,L208/C208,(INT(L208/B208)+(((L208-B208*INT(L208/B208)))/C208)/100))),0,(IF(B208=C208,L208/C208,(INT(L208/B208)+(((L208-B208*INT(L208/B208)))/C208)/100))))</f>
        <v>0</v>
      </c>
      <c r="AX208" s="57">
        <f>IF(ISERROR(IF(B208=C208,M208/C208,(INT(M208/B208)+(((M208-B208*INT(M208/B208)))/C208)/100))),0,(IF(B208=C208,M208/C208,(INT(M208/B208)+(((M208-B208*INT(M208/B208)))/C208)/100))))</f>
        <v>0</v>
      </c>
      <c r="AY208" s="57">
        <f>IF(ISERROR(IF(B208=C208,N208/C208,IF((INT(N208/B208)+(((N208-B208*INT(N208/B208)))/C208)/100)&lt;0,(INT(N208/B208)+(((N208-B208*INT(N208/B208)))/C208)/100)+(1-(B208/C208/100)),(INT(N208/B208)+(((N208-B208*INT(N208/B208)))/C208)/100)))),0,IF(B208=C208,N208/C208,IF((INT(N208/B208)+(((N208-B208*INT(N208/B208)))/C208)/100)&lt;0,(INT(N208/B208)+(((N208-B208*INT(N208/B208)))/C208)/100)+(1-(B208/C208/100)),(INT(N208/B208)+(((N208-B208*INT(N208/B208)))/C208)/100))))</f>
        <v>0</v>
      </c>
      <c r="AZ208" s="57">
        <f>IF(ISERROR(IF(B208=C208,O208/C208,(INT(O208/B208)+(((O208-B208*INT(O208/B208)))/C208)/100))),0,(IF(B208=C208,O208/C208,(INT(O208/B208)+(((O208-B208*INT(O208/B208)))/C208)/100))))</f>
        <v>0</v>
      </c>
      <c r="BA208" s="57">
        <f>IF(ISERROR(IF(B208=C208,P208/C208,IF((INT(P208/B208)+(((P208-B208*INT(P208/B208)))/C208)/100)&lt;0,(INT(P208/B208)+(((P208-B208*INT(P208/B208)))/C208)/100)+(1-(B208/C208/100)),(INT(P208/B208)+(((P208-B208*INT(P208/B208)))/C208)/100)))),0,IF(B208=C208,P208/C208,IF((INT(P208/B208)+(((P208-B208*INT(P208/B208)))/C208)/100)&lt;0,(INT(P208/B208)+(((P208-B208*INT(P208/B208)))/C208)/100)+(1-(B208/C208/100)),(INT(P208/B208)+(((P208-B208*INT(P208/B208)))/C208)/100))))</f>
        <v>0</v>
      </c>
      <c r="BB208" s="28">
        <f>R208</f>
        <v>0</v>
      </c>
      <c r="BC208" s="28">
        <f>S208</f>
        <v>0</v>
      </c>
      <c r="BD208" s="28">
        <f>AF208</f>
        <v>0</v>
      </c>
      <c r="BE208" s="28">
        <f>T208</f>
        <v>0</v>
      </c>
      <c r="BG208" s="57">
        <f>IF(ISERROR(IF(B208=C208,V208/C208,(INT(V208/B208)+(((V208-B208*INT(V208/B208)))/C208)/100))),0,(IF(B208=C208,V208/C208,(INT(V208/B208)+(((V208-B208*INT(V208/B208)))/C208)/100))))</f>
        <v>0</v>
      </c>
      <c r="BH208" s="57">
        <f>IF(ISERROR(IF(B208=C208,W208/C208,(INT(W208/B208)+(((W208-B208*INT(W208/B208)))/C208)/100))),0,(IF(B208=C208,W208/C208,(INT(W208/B208)+(((W208-B208*INT(W208/B208)))/C208)/100))))</f>
        <v>0</v>
      </c>
      <c r="BI208" s="57">
        <f>IF(ISERROR(IF(B208=C208,X208/C208,(INT(X208/B208)+(((X208-B208*INT(X208/B208)))/C208)/100))),0,(IF(B208=C208,X208/C208,(INT(X208/B208)+(((X208-B208*INT(X208/B208)))/C208)/100))))</f>
        <v>0</v>
      </c>
      <c r="BJ208" s="57">
        <f>IF(ISERROR(IF(B208=C208,Y208/C208,(INT(Y208/B208)+(((Y208-B208*INT(Y208/B208)))/C208)/100))),0,(IF(B208=C208,Y208/C208,(INT(Y208/B208)+(((Y208-B208*INT(Y208/B208)))/C208)/100))))</f>
        <v>0</v>
      </c>
      <c r="BL208" s="57">
        <f>IF(ISERROR(IF(B208=C208,AA208/C208,(INT(AA208/B208)+(((AA208-B208*INT(AA208/B208)))/C208)/100))),0,(IF(B208=C208,AA208/C208,(INT(AA208/B208)+(((AA208-B208*INT(AA208/B208)))/C208)/100))))</f>
        <v>0</v>
      </c>
      <c r="BM208" s="57">
        <f>IF(ISERROR(IF(B208=C208,AB208/C208,(INT(AB208/B208)+(((AB208-B208*INT(AB208/B208)))/C208)/100))),0,(IF(B208=C208,AB208/C208,(INT(AB208/B208)+(((AB208-B208*INT(AB208/B208)))/C208)/100))))</f>
        <v>0</v>
      </c>
      <c r="BN208" s="57">
        <f>IF(ISERROR(IF(B208=C208,AC208/C208,(INT(AC208/B208)+(((AC208-B208*INT(AC208/B208)))/C208)/100))),0,(IF(B208=C208,AC208/C208,(INT(AC208/B208)+(((AC208-B208*INT(AC208/B208)))/C208)/100))))</f>
        <v>0</v>
      </c>
      <c r="BO208" s="57">
        <f>IF(ISERROR(IF(B208=C208,AD208/C208,(INT(AD208/B208)+(((AD208-B208*INT(AD208/B208)))/C208)/100))),0,(IF(B208=C208,AD208/C208,(INT(AD208/B208)+(((AD208-B208*INT(AD208/B208)))/C208)/100))))</f>
        <v>0</v>
      </c>
      <c r="BQ208" s="155"/>
    </row>
    <row r="209" spans="1:69" hidden="1" x14ac:dyDescent="0.35">
      <c r="A209" s="94"/>
      <c r="B209" s="113">
        <v>0</v>
      </c>
      <c r="C209" s="113">
        <v>0</v>
      </c>
      <c r="D209" s="28">
        <f>SUM(AA209:AD209)</f>
        <v>0</v>
      </c>
      <c r="E209" s="113">
        <v>0</v>
      </c>
      <c r="F209" s="113">
        <v>0</v>
      </c>
      <c r="G209" s="28">
        <f>SUM(D209:F209)</f>
        <v>0</v>
      </c>
      <c r="H209" s="125">
        <v>0</v>
      </c>
      <c r="I209" s="113">
        <v>0</v>
      </c>
      <c r="J209" s="125">
        <v>0</v>
      </c>
      <c r="K209" s="113">
        <v>0</v>
      </c>
      <c r="L209" s="113">
        <v>0</v>
      </c>
      <c r="M209" s="113">
        <v>0</v>
      </c>
      <c r="N209" s="28">
        <f>G209-SUM(H209:M209)</f>
        <v>0</v>
      </c>
      <c r="O209" s="28">
        <f>SUM(V209:Y209)</f>
        <v>0</v>
      </c>
      <c r="P209" s="28">
        <f>O209-N209</f>
        <v>0</v>
      </c>
      <c r="Q209" s="61" t="str">
        <f>IF(ISERROR(P209/SUM(H209:L209)),"",P209/SUM(H209:L209))</f>
        <v/>
      </c>
      <c r="R209" s="113">
        <v>0</v>
      </c>
      <c r="S209" s="28">
        <f>IF(ISERROR(P209/C209*R209),0,(P209/C209*R209))</f>
        <v>0</v>
      </c>
      <c r="T209" s="60">
        <f>IF(ISERROR(P209/B209*AF209),0,(P209/B209*AF209))</f>
        <v>0</v>
      </c>
      <c r="V209" s="113">
        <v>0</v>
      </c>
      <c r="W209" s="113">
        <v>0</v>
      </c>
      <c r="X209" s="113">
        <v>0</v>
      </c>
      <c r="Y209" s="113">
        <v>0</v>
      </c>
      <c r="AA209" s="113">
        <v>0</v>
      </c>
      <c r="AB209" s="113">
        <v>0</v>
      </c>
      <c r="AC209" s="113">
        <v>0</v>
      </c>
      <c r="AD209" s="113">
        <v>0</v>
      </c>
      <c r="AF209" s="113">
        <v>0</v>
      </c>
      <c r="AG209" s="28">
        <f>G209-O209</f>
        <v>0</v>
      </c>
      <c r="AH209" s="58">
        <f>IF(ISERROR(AG209/B209*AF209),0,(AG209/B209*AF209))</f>
        <v>0</v>
      </c>
      <c r="AI209" s="28">
        <f>SUM(H209:M209)</f>
        <v>0</v>
      </c>
      <c r="AJ209" s="28">
        <f>IF(ISERROR(AI209/B209*AF209),0,(AI209/B209*AF209))</f>
        <v>0</v>
      </c>
      <c r="AK209" s="58">
        <f>IF(ISERROR(O209/B209*AF209),0,(O209/B209*AF209))</f>
        <v>0</v>
      </c>
      <c r="AL209" s="28">
        <f>IF(ISERROR(H209/B209*AF209),0,(H209/B209*AF209))</f>
        <v>0</v>
      </c>
      <c r="AN209" s="51">
        <f>A209</f>
        <v>0</v>
      </c>
      <c r="AO209" s="57">
        <f>IF(ISERROR(IF(B209=C209,D209/C209,(INT(D209/B209)+(((D209-B209*INT(D209/B209)))/C209)/100))),0,(IF(B209=C209,D209/C209,(INT(D209/B209)+(((D209-B209*INT(D209/B209)))/C209)/100))))</f>
        <v>0</v>
      </c>
      <c r="AP209" s="57">
        <f>IF(ISERROR(IF(B209=C209,E209/C209,(INT(E209/B209)+(((E209-B209*INT(E209/B209)))/C209)/100))),0,(IF(B209=C209,E209/C209,(INT(E209/B209)+(((E209-B209*INT(E209/B209)))/C209)/100))))</f>
        <v>0</v>
      </c>
      <c r="AQ209" s="57">
        <f>IF(ISERROR(IF(B209=C209,F209/C209,IF((INT(F209/B209)+(((F209-B209*INT(F209/B209)))/C209)/100)&lt;0,(INT(F209/B209)+(((F209-B209*INT(F209/B209)))/C209)/100)+(1-(B209/C209/100)),(INT(F209/B209)+(((F209-B209*INT(F209/B209)))/C209)/100)))),0,IF(B209=C209,F209/C209,IF((INT(F209/B209)+(((F209-B209*INT(F209/B209)))/C209)/100)&lt;0,(INT(F209/B209)+(((F209-B209*INT(F209/B209)))/C209)/100)+(1-(B209/C209/100)),(INT(F209/B209)+(((F209-B209*INT(F209/B209)))/C209)/100))))</f>
        <v>0</v>
      </c>
      <c r="AR209" s="57">
        <f>IF(ISERROR(IF(B209=C209,G209/C209,(INT(G209/B209)+(((G209-B209*INT(G209/B209)))/C209)/100))),0,(IF(B209=C209,G209/C209,(INT(G209/B209)+(((G209-B209*INT(G209/B209)))/C209)/100))))</f>
        <v>0</v>
      </c>
      <c r="AS209" s="57">
        <f>IF(ISERROR(IF(B209=C209,H209/C209,(INT(H209/B209)+(((H209-B209*INT(H209/B209)))/C209)/100))),0,(IF(B209=C209,H209/C209,(INT(H209/B209)+(((H209-B209*INT(H209/B209)))/C209)/100))))</f>
        <v>0</v>
      </c>
      <c r="AT209" s="57">
        <f>IF(ISERROR(IF(B209=C209,I209/C209,(INT(I209/B209)+(((I209-B209*INT(I209/B209)))/C209)/100))),0,(IF(B209=C209,I209/C209,(INT(I209/B209)+(((I209-B209*INT(I209/B209)))/C209)/100))))</f>
        <v>0</v>
      </c>
      <c r="AU209" s="57">
        <f>IF(ISERROR(IF(B209=C209,J209/C209,(INT(J209/B209)+(((J209-B209*INT(J209/B209)))/C209)/100))),0,(IF(B209=C209,J209/C209,(INT(J209/B209)+(((J209-B209*INT(J209/B209)))/C209)/100))))</f>
        <v>0</v>
      </c>
      <c r="AV209" s="57">
        <f>IF(ISERROR(IF(B209=C209,K209/C209,IF((INT(K209/B209)+(((K209-B209*INT(K209/B209)))/C209)/100)&lt;0,(INT(K209/B209)+(((K209-B209*INT(K209/B209)))/C209)/100)+(1-(B209/C209/100)),(INT(K209/B209)+(((K209-B209*INT(K209/B209)))/C209)/100)))),0,IF(B209=C209,K209/C209,IF((INT(K209/B209)+(((K209-B209*INT(K209/B209)))/C209)/100)&lt;0,(INT(K209/B209)+(((K209-B209*INT(K209/B209)))/C209)/100)+(1-(B209/C209/100)),(INT(K209/B209)+(((K209-B209*INT(K209/B209)))/C209)/100))))</f>
        <v>0</v>
      </c>
      <c r="AW209" s="57">
        <f>IF(ISERROR(IF(B209=C209,L209/C209,(INT(L209/B209)+(((L209-B209*INT(L209/B209)))/C209)/100))),0,(IF(B209=C209,L209/C209,(INT(L209/B209)+(((L209-B209*INT(L209/B209)))/C209)/100))))</f>
        <v>0</v>
      </c>
      <c r="AX209" s="57">
        <f>IF(ISERROR(IF(B209=C209,M209/C209,(INT(M209/B209)+(((M209-B209*INT(M209/B209)))/C209)/100))),0,(IF(B209=C209,M209/C209,(INT(M209/B209)+(((M209-B209*INT(M209/B209)))/C209)/100))))</f>
        <v>0</v>
      </c>
      <c r="AY209" s="57">
        <f>IF(ISERROR(IF(B209=C209,N209/C209,IF((INT(N209/B209)+(((N209-B209*INT(N209/B209)))/C209)/100)&lt;0,(INT(N209/B209)+(((N209-B209*INT(N209/B209)))/C209)/100)+(1-(B209/C209/100)),(INT(N209/B209)+(((N209-B209*INT(N209/B209)))/C209)/100)))),0,IF(B209=C209,N209/C209,IF((INT(N209/B209)+(((N209-B209*INT(N209/B209)))/C209)/100)&lt;0,(INT(N209/B209)+(((N209-B209*INT(N209/B209)))/C209)/100)+(1-(B209/C209/100)),(INT(N209/B209)+(((N209-B209*INT(N209/B209)))/C209)/100))))</f>
        <v>0</v>
      </c>
      <c r="AZ209" s="57">
        <f>IF(ISERROR(IF(B209=C209,O209/C209,(INT(O209/B209)+(((O209-B209*INT(O209/B209)))/C209)/100))),0,(IF(B209=C209,O209/C209,(INT(O209/B209)+(((O209-B209*INT(O209/B209)))/C209)/100))))</f>
        <v>0</v>
      </c>
      <c r="BA209" s="57">
        <f>IF(ISERROR(IF(B209=C209,P209/C209,IF((INT(P209/B209)+(((P209-B209*INT(P209/B209)))/C209)/100)&lt;0,(INT(P209/B209)+(((P209-B209*INT(P209/B209)))/C209)/100)+(1-(B209/C209/100)),(INT(P209/B209)+(((P209-B209*INT(P209/B209)))/C209)/100)))),0,IF(B209=C209,P209/C209,IF((INT(P209/B209)+(((P209-B209*INT(P209/B209)))/C209)/100)&lt;0,(INT(P209/B209)+(((P209-B209*INT(P209/B209)))/C209)/100)+(1-(B209/C209/100)),(INT(P209/B209)+(((P209-B209*INT(P209/B209)))/C209)/100))))</f>
        <v>0</v>
      </c>
      <c r="BB209" s="28">
        <f>R209</f>
        <v>0</v>
      </c>
      <c r="BC209" s="28">
        <f>S209</f>
        <v>0</v>
      </c>
      <c r="BD209" s="28">
        <f>AF209</f>
        <v>0</v>
      </c>
      <c r="BE209" s="28">
        <f>T209</f>
        <v>0</v>
      </c>
      <c r="BG209" s="57">
        <f>IF(ISERROR(IF(B209=C209,V209/C209,(INT(V209/B209)+(((V209-B209*INT(V209/B209)))/C209)/100))),0,(IF(B209=C209,V209/C209,(INT(V209/B209)+(((V209-B209*INT(V209/B209)))/C209)/100))))</f>
        <v>0</v>
      </c>
      <c r="BH209" s="57">
        <f>IF(ISERROR(IF(B209=C209,W209/C209,(INT(W209/B209)+(((W209-B209*INT(W209/B209)))/C209)/100))),0,(IF(B209=C209,W209/C209,(INT(W209/B209)+(((W209-B209*INT(W209/B209)))/C209)/100))))</f>
        <v>0</v>
      </c>
      <c r="BI209" s="57">
        <f>IF(ISERROR(IF(B209=C209,X209/C209,(INT(X209/B209)+(((X209-B209*INT(X209/B209)))/C209)/100))),0,(IF(B209=C209,X209/C209,(INT(X209/B209)+(((X209-B209*INT(X209/B209)))/C209)/100))))</f>
        <v>0</v>
      </c>
      <c r="BJ209" s="57">
        <f>IF(ISERROR(IF(B209=C209,Y209/C209,(INT(Y209/B209)+(((Y209-B209*INT(Y209/B209)))/C209)/100))),0,(IF(B209=C209,Y209/C209,(INT(Y209/B209)+(((Y209-B209*INT(Y209/B209)))/C209)/100))))</f>
        <v>0</v>
      </c>
      <c r="BL209" s="57">
        <f>IF(ISERROR(IF(B209=C209,AA209/C209,(INT(AA209/B209)+(((AA209-B209*INT(AA209/B209)))/C209)/100))),0,(IF(B209=C209,AA209/C209,(INT(AA209/B209)+(((AA209-B209*INT(AA209/B209)))/C209)/100))))</f>
        <v>0</v>
      </c>
      <c r="BM209" s="57">
        <f>IF(ISERROR(IF(B209=C209,AB209/C209,(INT(AB209/B209)+(((AB209-B209*INT(AB209/B209)))/C209)/100))),0,(IF(B209=C209,AB209/C209,(INT(AB209/B209)+(((AB209-B209*INT(AB209/B209)))/C209)/100))))</f>
        <v>0</v>
      </c>
      <c r="BN209" s="57">
        <f>IF(ISERROR(IF(B209=C209,AC209/C209,(INT(AC209/B209)+(((AC209-B209*INT(AC209/B209)))/C209)/100))),0,(IF(B209=C209,AC209/C209,(INT(AC209/B209)+(((AC209-B209*INT(AC209/B209)))/C209)/100))))</f>
        <v>0</v>
      </c>
      <c r="BO209" s="57">
        <f>IF(ISERROR(IF(B209=C209,AD209/C209,(INT(AD209/B209)+(((AD209-B209*INT(AD209/B209)))/C209)/100))),0,(IF(B209=C209,AD209/C209,(INT(AD209/B209)+(((AD209-B209*INT(AD209/B209)))/C209)/100))))</f>
        <v>0</v>
      </c>
      <c r="BQ209" s="155"/>
    </row>
    <row r="210" spans="1:69" hidden="1" x14ac:dyDescent="0.35">
      <c r="A210" s="94"/>
      <c r="B210" s="113">
        <v>0</v>
      </c>
      <c r="C210" s="113">
        <v>0</v>
      </c>
      <c r="D210" s="28">
        <f>SUM(AA210:AD210)</f>
        <v>0</v>
      </c>
      <c r="E210" s="113">
        <v>0</v>
      </c>
      <c r="F210" s="113">
        <v>0</v>
      </c>
      <c r="G210" s="28">
        <f>SUM(D210:F210)</f>
        <v>0</v>
      </c>
      <c r="H210" s="125">
        <v>0</v>
      </c>
      <c r="I210" s="113">
        <v>0</v>
      </c>
      <c r="J210" s="125">
        <v>0</v>
      </c>
      <c r="K210" s="113">
        <v>0</v>
      </c>
      <c r="L210" s="113">
        <v>0</v>
      </c>
      <c r="M210" s="113">
        <v>0</v>
      </c>
      <c r="N210" s="28">
        <f>G210-SUM(H210:M210)</f>
        <v>0</v>
      </c>
      <c r="O210" s="28">
        <f>SUM(V210:Y210)</f>
        <v>0</v>
      </c>
      <c r="P210" s="28">
        <f>O210-N210</f>
        <v>0</v>
      </c>
      <c r="Q210" s="61" t="str">
        <f>IF(ISERROR(P210/SUM(H210:L210)),"",P210/SUM(H210:L210))</f>
        <v/>
      </c>
      <c r="R210" s="113">
        <v>0</v>
      </c>
      <c r="S210" s="28">
        <f>IF(ISERROR(P210/C210*R210),0,(P210/C210*R210))</f>
        <v>0</v>
      </c>
      <c r="T210" s="60">
        <f>IF(ISERROR(P210/B210*AF210),0,(P210/B210*AF210))</f>
        <v>0</v>
      </c>
      <c r="V210" s="113">
        <v>0</v>
      </c>
      <c r="W210" s="113">
        <v>0</v>
      </c>
      <c r="X210" s="113">
        <v>0</v>
      </c>
      <c r="Y210" s="113">
        <v>0</v>
      </c>
      <c r="AA210" s="113">
        <v>0</v>
      </c>
      <c r="AB210" s="113">
        <v>0</v>
      </c>
      <c r="AC210" s="113">
        <v>0</v>
      </c>
      <c r="AD210" s="113">
        <v>0</v>
      </c>
      <c r="AF210" s="113">
        <v>0</v>
      </c>
      <c r="AG210" s="28">
        <f>G210-O210</f>
        <v>0</v>
      </c>
      <c r="AH210" s="58">
        <f>IF(ISERROR(AG210/B210*AF210),0,(AG210/B210*AF210))</f>
        <v>0</v>
      </c>
      <c r="AI210" s="28">
        <f>SUM(H210:M210)</f>
        <v>0</v>
      </c>
      <c r="AJ210" s="28">
        <f>IF(ISERROR(AI210/B210*AF210),0,(AI210/B210*AF210))</f>
        <v>0</v>
      </c>
      <c r="AK210" s="58">
        <f>IF(ISERROR(O210/B210*AF210),0,(O210/B210*AF210))</f>
        <v>0</v>
      </c>
      <c r="AL210" s="28">
        <f>IF(ISERROR(H210/B210*AF210),0,(H210/B210*AF210))</f>
        <v>0</v>
      </c>
      <c r="AN210" s="51">
        <f>A210</f>
        <v>0</v>
      </c>
      <c r="AO210" s="57">
        <f>IF(ISERROR(IF(B210=C210,D210/C210,(INT(D210/B210)+(((D210-B210*INT(D210/B210)))/C210)/100))),0,(IF(B210=C210,D210/C210,(INT(D210/B210)+(((D210-B210*INT(D210/B210)))/C210)/100))))</f>
        <v>0</v>
      </c>
      <c r="AP210" s="57">
        <f>IF(ISERROR(IF(B210=C210,E210/C210,(INT(E210/B210)+(((E210-B210*INT(E210/B210)))/C210)/100))),0,(IF(B210=C210,E210/C210,(INT(E210/B210)+(((E210-B210*INT(E210/B210)))/C210)/100))))</f>
        <v>0</v>
      </c>
      <c r="AQ210" s="57">
        <f>IF(ISERROR(IF(B210=C210,F210/C210,IF((INT(F210/B210)+(((F210-B210*INT(F210/B210)))/C210)/100)&lt;0,(INT(F210/B210)+(((F210-B210*INT(F210/B210)))/C210)/100)+(1-(B210/C210/100)),(INT(F210/B210)+(((F210-B210*INT(F210/B210)))/C210)/100)))),0,IF(B210=C210,F210/C210,IF((INT(F210/B210)+(((F210-B210*INT(F210/B210)))/C210)/100)&lt;0,(INT(F210/B210)+(((F210-B210*INT(F210/B210)))/C210)/100)+(1-(B210/C210/100)),(INT(F210/B210)+(((F210-B210*INT(F210/B210)))/C210)/100))))</f>
        <v>0</v>
      </c>
      <c r="AR210" s="57">
        <f>IF(ISERROR(IF(B210=C210,G210/C210,(INT(G210/B210)+(((G210-B210*INT(G210/B210)))/C210)/100))),0,(IF(B210=C210,G210/C210,(INT(G210/B210)+(((G210-B210*INT(G210/B210)))/C210)/100))))</f>
        <v>0</v>
      </c>
      <c r="AS210" s="57">
        <f>IF(ISERROR(IF(B210=C210,H210/C210,(INT(H210/B210)+(((H210-B210*INT(H210/B210)))/C210)/100))),0,(IF(B210=C210,H210/C210,(INT(H210/B210)+(((H210-B210*INT(H210/B210)))/C210)/100))))</f>
        <v>0</v>
      </c>
      <c r="AT210" s="57">
        <f>IF(ISERROR(IF(B210=C210,I210/C210,(INT(I210/B210)+(((I210-B210*INT(I210/B210)))/C210)/100))),0,(IF(B210=C210,I210/C210,(INT(I210/B210)+(((I210-B210*INT(I210/B210)))/C210)/100))))</f>
        <v>0</v>
      </c>
      <c r="AU210" s="57">
        <f>IF(ISERROR(IF(B210=C210,J210/C210,(INT(J210/B210)+(((J210-B210*INT(J210/B210)))/C210)/100))),0,(IF(B210=C210,J210/C210,(INT(J210/B210)+(((J210-B210*INT(J210/B210)))/C210)/100))))</f>
        <v>0</v>
      </c>
      <c r="AV210" s="57">
        <f>IF(ISERROR(IF(B210=C210,K210/C210,IF((INT(K210/B210)+(((K210-B210*INT(K210/B210)))/C210)/100)&lt;0,(INT(K210/B210)+(((K210-B210*INT(K210/B210)))/C210)/100)+(1-(B210/C210/100)),(INT(K210/B210)+(((K210-B210*INT(K210/B210)))/C210)/100)))),0,IF(B210=C210,K210/C210,IF((INT(K210/B210)+(((K210-B210*INT(K210/B210)))/C210)/100)&lt;0,(INT(K210/B210)+(((K210-B210*INT(K210/B210)))/C210)/100)+(1-(B210/C210/100)),(INT(K210/B210)+(((K210-B210*INT(K210/B210)))/C210)/100))))</f>
        <v>0</v>
      </c>
      <c r="AW210" s="57">
        <f>IF(ISERROR(IF(B210=C210,L210/C210,(INT(L210/B210)+(((L210-B210*INT(L210/B210)))/C210)/100))),0,(IF(B210=C210,L210/C210,(INT(L210/B210)+(((L210-B210*INT(L210/B210)))/C210)/100))))</f>
        <v>0</v>
      </c>
      <c r="AX210" s="57">
        <f>IF(ISERROR(IF(B210=C210,M210/C210,(INT(M210/B210)+(((M210-B210*INT(M210/B210)))/C210)/100))),0,(IF(B210=C210,M210/C210,(INT(M210/B210)+(((M210-B210*INT(M210/B210)))/C210)/100))))</f>
        <v>0</v>
      </c>
      <c r="AY210" s="57">
        <f>IF(ISERROR(IF(B210=C210,N210/C210,IF((INT(N210/B210)+(((N210-B210*INT(N210/B210)))/C210)/100)&lt;0,(INT(N210/B210)+(((N210-B210*INT(N210/B210)))/C210)/100)+(1-(B210/C210/100)),(INT(N210/B210)+(((N210-B210*INT(N210/B210)))/C210)/100)))),0,IF(B210=C210,N210/C210,IF((INT(N210/B210)+(((N210-B210*INT(N210/B210)))/C210)/100)&lt;0,(INT(N210/B210)+(((N210-B210*INT(N210/B210)))/C210)/100)+(1-(B210/C210/100)),(INT(N210/B210)+(((N210-B210*INT(N210/B210)))/C210)/100))))</f>
        <v>0</v>
      </c>
      <c r="AZ210" s="57">
        <f>IF(ISERROR(IF(B210=C210,O210/C210,(INT(O210/B210)+(((O210-B210*INT(O210/B210)))/C210)/100))),0,(IF(B210=C210,O210/C210,(INT(O210/B210)+(((O210-B210*INT(O210/B210)))/C210)/100))))</f>
        <v>0</v>
      </c>
      <c r="BA210" s="57">
        <f>IF(ISERROR(IF(B210=C210,P210/C210,IF((INT(P210/B210)+(((P210-B210*INT(P210/B210)))/C210)/100)&lt;0,(INT(P210/B210)+(((P210-B210*INT(P210/B210)))/C210)/100)+(1-(B210/C210/100)),(INT(P210/B210)+(((P210-B210*INT(P210/B210)))/C210)/100)))),0,IF(B210=C210,P210/C210,IF((INT(P210/B210)+(((P210-B210*INT(P210/B210)))/C210)/100)&lt;0,(INT(P210/B210)+(((P210-B210*INT(P210/B210)))/C210)/100)+(1-(B210/C210/100)),(INT(P210/B210)+(((P210-B210*INT(P210/B210)))/C210)/100))))</f>
        <v>0</v>
      </c>
      <c r="BB210" s="28">
        <f>R210</f>
        <v>0</v>
      </c>
      <c r="BC210" s="28">
        <f>S210</f>
        <v>0</v>
      </c>
      <c r="BD210" s="28">
        <f>AF210</f>
        <v>0</v>
      </c>
      <c r="BE210" s="28">
        <f>T210</f>
        <v>0</v>
      </c>
      <c r="BG210" s="57">
        <f>IF(ISERROR(IF(B210=C210,V210/C210,(INT(V210/B210)+(((V210-B210*INT(V210/B210)))/C210)/100))),0,(IF(B210=C210,V210/C210,(INT(V210/B210)+(((V210-B210*INT(V210/B210)))/C210)/100))))</f>
        <v>0</v>
      </c>
      <c r="BH210" s="57">
        <f>IF(ISERROR(IF(B210=C210,W210/C210,(INT(W210/B210)+(((W210-B210*INT(W210/B210)))/C210)/100))),0,(IF(B210=C210,W210/C210,(INT(W210/B210)+(((W210-B210*INT(W210/B210)))/C210)/100))))</f>
        <v>0</v>
      </c>
      <c r="BI210" s="57">
        <f>IF(ISERROR(IF(B210=C210,X210/C210,(INT(X210/B210)+(((X210-B210*INT(X210/B210)))/C210)/100))),0,(IF(B210=C210,X210/C210,(INT(X210/B210)+(((X210-B210*INT(X210/B210)))/C210)/100))))</f>
        <v>0</v>
      </c>
      <c r="BJ210" s="57">
        <f>IF(ISERROR(IF(B210=C210,Y210/C210,(INT(Y210/B210)+(((Y210-B210*INT(Y210/B210)))/C210)/100))),0,(IF(B210=C210,Y210/C210,(INT(Y210/B210)+(((Y210-B210*INT(Y210/B210)))/C210)/100))))</f>
        <v>0</v>
      </c>
      <c r="BL210" s="57">
        <f>IF(ISERROR(IF(B210=C210,AA210/C210,(INT(AA210/B210)+(((AA210-B210*INT(AA210/B210)))/C210)/100))),0,(IF(B210=C210,AA210/C210,(INT(AA210/B210)+(((AA210-B210*INT(AA210/B210)))/C210)/100))))</f>
        <v>0</v>
      </c>
      <c r="BM210" s="57">
        <f>IF(ISERROR(IF(B210=C210,AB210/C210,(INT(AB210/B210)+(((AB210-B210*INT(AB210/B210)))/C210)/100))),0,(IF(B210=C210,AB210/C210,(INT(AB210/B210)+(((AB210-B210*INT(AB210/B210)))/C210)/100))))</f>
        <v>0</v>
      </c>
      <c r="BN210" s="57">
        <f>IF(ISERROR(IF(B210=C210,AC210/C210,(INT(AC210/B210)+(((AC210-B210*INT(AC210/B210)))/C210)/100))),0,(IF(B210=C210,AC210/C210,(INT(AC210/B210)+(((AC210-B210*INT(AC210/B210)))/C210)/100))))</f>
        <v>0</v>
      </c>
      <c r="BO210" s="57">
        <f>IF(ISERROR(IF(B210=C210,AD210/C210,(INT(AD210/B210)+(((AD210-B210*INT(AD210/B210)))/C210)/100))),0,(IF(B210=C210,AD210/C210,(INT(AD210/B210)+(((AD210-B210*INT(AD210/B210)))/C210)/100))))</f>
        <v>0</v>
      </c>
      <c r="BQ210" s="155"/>
    </row>
    <row r="211" spans="1:69" hidden="1" x14ac:dyDescent="0.35">
      <c r="A211" s="94"/>
      <c r="B211" s="113">
        <v>0</v>
      </c>
      <c r="C211" s="113">
        <v>0</v>
      </c>
      <c r="D211" s="28">
        <f>SUM(AA211:AD211)</f>
        <v>0</v>
      </c>
      <c r="E211" s="113">
        <v>0</v>
      </c>
      <c r="F211" s="113">
        <v>0</v>
      </c>
      <c r="G211" s="28">
        <f>SUM(D211:F211)</f>
        <v>0</v>
      </c>
      <c r="H211" s="125">
        <v>0</v>
      </c>
      <c r="I211" s="113">
        <v>0</v>
      </c>
      <c r="J211" s="125">
        <v>0</v>
      </c>
      <c r="K211" s="113">
        <v>0</v>
      </c>
      <c r="L211" s="113">
        <v>0</v>
      </c>
      <c r="M211" s="113">
        <v>0</v>
      </c>
      <c r="N211" s="28">
        <f>G211-SUM(H211:M211)</f>
        <v>0</v>
      </c>
      <c r="O211" s="28">
        <f>SUM(V211:Y211)</f>
        <v>0</v>
      </c>
      <c r="P211" s="28">
        <f>O211-N211</f>
        <v>0</v>
      </c>
      <c r="Q211" s="61" t="str">
        <f>IF(ISERROR(P211/SUM(H211:L211)),"",P211/SUM(H211:L211))</f>
        <v/>
      </c>
      <c r="R211" s="113">
        <v>0</v>
      </c>
      <c r="S211" s="28">
        <f>IF(ISERROR(P211/C211*R211),0,(P211/C211*R211))</f>
        <v>0</v>
      </c>
      <c r="T211" s="60">
        <f>IF(ISERROR(P211/B211*AF211),0,(P211/B211*AF211))</f>
        <v>0</v>
      </c>
      <c r="V211" s="113">
        <v>0</v>
      </c>
      <c r="W211" s="113">
        <v>0</v>
      </c>
      <c r="X211" s="113">
        <v>0</v>
      </c>
      <c r="Y211" s="113">
        <v>0</v>
      </c>
      <c r="AA211" s="113">
        <v>0</v>
      </c>
      <c r="AB211" s="113">
        <v>0</v>
      </c>
      <c r="AC211" s="113">
        <v>0</v>
      </c>
      <c r="AD211" s="113">
        <v>0</v>
      </c>
      <c r="AF211" s="113">
        <v>0</v>
      </c>
      <c r="AG211" s="28">
        <f>G211-O211</f>
        <v>0</v>
      </c>
      <c r="AH211" s="58">
        <f>IF(ISERROR(AG211/B211*AF211),0,(AG211/B211*AF211))</f>
        <v>0</v>
      </c>
      <c r="AI211" s="28">
        <f>SUM(H211:M211)</f>
        <v>0</v>
      </c>
      <c r="AJ211" s="28">
        <f>IF(ISERROR(AI211/B211*AF211),0,(AI211/B211*AF211))</f>
        <v>0</v>
      </c>
      <c r="AK211" s="58">
        <f>IF(ISERROR(O211/B211*AF211),0,(O211/B211*AF211))</f>
        <v>0</v>
      </c>
      <c r="AL211" s="28">
        <f>IF(ISERROR(H211/B211*AF211),0,(H211/B211*AF211))</f>
        <v>0</v>
      </c>
      <c r="AN211" s="51">
        <f>A211</f>
        <v>0</v>
      </c>
      <c r="AO211" s="57">
        <f>IF(ISERROR(IF(B211=C211,D211/C211,(INT(D211/B211)+(((D211-B211*INT(D211/B211)))/C211)/100))),0,(IF(B211=C211,D211/C211,(INT(D211/B211)+(((D211-B211*INT(D211/B211)))/C211)/100))))</f>
        <v>0</v>
      </c>
      <c r="AP211" s="57">
        <f>IF(ISERROR(IF(B211=C211,E211/C211,(INT(E211/B211)+(((E211-B211*INT(E211/B211)))/C211)/100))),0,(IF(B211=C211,E211/C211,(INT(E211/B211)+(((E211-B211*INT(E211/B211)))/C211)/100))))</f>
        <v>0</v>
      </c>
      <c r="AQ211" s="57">
        <f>IF(ISERROR(IF(B211=C211,F211/C211,IF((INT(F211/B211)+(((F211-B211*INT(F211/B211)))/C211)/100)&lt;0,(INT(F211/B211)+(((F211-B211*INT(F211/B211)))/C211)/100)+(1-(B211/C211/100)),(INT(F211/B211)+(((F211-B211*INT(F211/B211)))/C211)/100)))),0,IF(B211=C211,F211/C211,IF((INT(F211/B211)+(((F211-B211*INT(F211/B211)))/C211)/100)&lt;0,(INT(F211/B211)+(((F211-B211*INT(F211/B211)))/C211)/100)+(1-(B211/C211/100)),(INT(F211/B211)+(((F211-B211*INT(F211/B211)))/C211)/100))))</f>
        <v>0</v>
      </c>
      <c r="AR211" s="57">
        <f>IF(ISERROR(IF(B211=C211,G211/C211,(INT(G211/B211)+(((G211-B211*INT(G211/B211)))/C211)/100))),0,(IF(B211=C211,G211/C211,(INT(G211/B211)+(((G211-B211*INT(G211/B211)))/C211)/100))))</f>
        <v>0</v>
      </c>
      <c r="AS211" s="57">
        <f>IF(ISERROR(IF(B211=C211,H211/C211,(INT(H211/B211)+(((H211-B211*INT(H211/B211)))/C211)/100))),0,(IF(B211=C211,H211/C211,(INT(H211/B211)+(((H211-B211*INT(H211/B211)))/C211)/100))))</f>
        <v>0</v>
      </c>
      <c r="AT211" s="57">
        <f>IF(ISERROR(IF(B211=C211,I211/C211,(INT(I211/B211)+(((I211-B211*INT(I211/B211)))/C211)/100))),0,(IF(B211=C211,I211/C211,(INT(I211/B211)+(((I211-B211*INT(I211/B211)))/C211)/100))))</f>
        <v>0</v>
      </c>
      <c r="AU211" s="57">
        <f>IF(ISERROR(IF(B211=C211,J211/C211,(INT(J211/B211)+(((J211-B211*INT(J211/B211)))/C211)/100))),0,(IF(B211=C211,J211/C211,(INT(J211/B211)+(((J211-B211*INT(J211/B211)))/C211)/100))))</f>
        <v>0</v>
      </c>
      <c r="AV211" s="57">
        <f>IF(ISERROR(IF(B211=C211,K211/C211,IF((INT(K211/B211)+(((K211-B211*INT(K211/B211)))/C211)/100)&lt;0,(INT(K211/B211)+(((K211-B211*INT(K211/B211)))/C211)/100)+(1-(B211/C211/100)),(INT(K211/B211)+(((K211-B211*INT(K211/B211)))/C211)/100)))),0,IF(B211=C211,K211/C211,IF((INT(K211/B211)+(((K211-B211*INT(K211/B211)))/C211)/100)&lt;0,(INT(K211/B211)+(((K211-B211*INT(K211/B211)))/C211)/100)+(1-(B211/C211/100)),(INT(K211/B211)+(((K211-B211*INT(K211/B211)))/C211)/100))))</f>
        <v>0</v>
      </c>
      <c r="AW211" s="57">
        <f>IF(ISERROR(IF(B211=C211,L211/C211,(INT(L211/B211)+(((L211-B211*INT(L211/B211)))/C211)/100))),0,(IF(B211=C211,L211/C211,(INT(L211/B211)+(((L211-B211*INT(L211/B211)))/C211)/100))))</f>
        <v>0</v>
      </c>
      <c r="AX211" s="57">
        <f>IF(ISERROR(IF(B211=C211,M211/C211,(INT(M211/B211)+(((M211-B211*INT(M211/B211)))/C211)/100))),0,(IF(B211=C211,M211/C211,(INT(M211/B211)+(((M211-B211*INT(M211/B211)))/C211)/100))))</f>
        <v>0</v>
      </c>
      <c r="AY211" s="57">
        <f>IF(ISERROR(IF(B211=C211,N211/C211,IF((INT(N211/B211)+(((N211-B211*INT(N211/B211)))/C211)/100)&lt;0,(INT(N211/B211)+(((N211-B211*INT(N211/B211)))/C211)/100)+(1-(B211/C211/100)),(INT(N211/B211)+(((N211-B211*INT(N211/B211)))/C211)/100)))),0,IF(B211=C211,N211/C211,IF((INT(N211/B211)+(((N211-B211*INT(N211/B211)))/C211)/100)&lt;0,(INT(N211/B211)+(((N211-B211*INT(N211/B211)))/C211)/100)+(1-(B211/C211/100)),(INT(N211/B211)+(((N211-B211*INT(N211/B211)))/C211)/100))))</f>
        <v>0</v>
      </c>
      <c r="AZ211" s="57">
        <f>IF(ISERROR(IF(B211=C211,O211/C211,(INT(O211/B211)+(((O211-B211*INT(O211/B211)))/C211)/100))),0,(IF(B211=C211,O211/C211,(INT(O211/B211)+(((O211-B211*INT(O211/B211)))/C211)/100))))</f>
        <v>0</v>
      </c>
      <c r="BA211" s="57">
        <f>IF(ISERROR(IF(B211=C211,P211/C211,IF((INT(P211/B211)+(((P211-B211*INT(P211/B211)))/C211)/100)&lt;0,(INT(P211/B211)+(((P211-B211*INT(P211/B211)))/C211)/100)+(1-(B211/C211/100)),(INT(P211/B211)+(((P211-B211*INT(P211/B211)))/C211)/100)))),0,IF(B211=C211,P211/C211,IF((INT(P211/B211)+(((P211-B211*INT(P211/B211)))/C211)/100)&lt;0,(INT(P211/B211)+(((P211-B211*INT(P211/B211)))/C211)/100)+(1-(B211/C211/100)),(INT(P211/B211)+(((P211-B211*INT(P211/B211)))/C211)/100))))</f>
        <v>0</v>
      </c>
      <c r="BB211" s="28">
        <f>R211</f>
        <v>0</v>
      </c>
      <c r="BC211" s="28">
        <f>S211</f>
        <v>0</v>
      </c>
      <c r="BD211" s="28">
        <f>AF211</f>
        <v>0</v>
      </c>
      <c r="BE211" s="28">
        <f>T211</f>
        <v>0</v>
      </c>
      <c r="BG211" s="57">
        <f>IF(ISERROR(IF(B211=C211,V211/C211,(INT(V211/B211)+(((V211-B211*INT(V211/B211)))/C211)/100))),0,(IF(B211=C211,V211/C211,(INT(V211/B211)+(((V211-B211*INT(V211/B211)))/C211)/100))))</f>
        <v>0</v>
      </c>
      <c r="BH211" s="57">
        <f>IF(ISERROR(IF(B211=C211,W211/C211,(INT(W211/B211)+(((W211-B211*INT(W211/B211)))/C211)/100))),0,(IF(B211=C211,W211/C211,(INT(W211/B211)+(((W211-B211*INT(W211/B211)))/C211)/100))))</f>
        <v>0</v>
      </c>
      <c r="BI211" s="57">
        <f>IF(ISERROR(IF(B211=C211,X211/C211,(INT(X211/B211)+(((X211-B211*INT(X211/B211)))/C211)/100))),0,(IF(B211=C211,X211/C211,(INT(X211/B211)+(((X211-B211*INT(X211/B211)))/C211)/100))))</f>
        <v>0</v>
      </c>
      <c r="BJ211" s="57">
        <f>IF(ISERROR(IF(B211=C211,Y211/C211,(INT(Y211/B211)+(((Y211-B211*INT(Y211/B211)))/C211)/100))),0,(IF(B211=C211,Y211/C211,(INT(Y211/B211)+(((Y211-B211*INT(Y211/B211)))/C211)/100))))</f>
        <v>0</v>
      </c>
      <c r="BL211" s="57">
        <f>IF(ISERROR(IF(B211=C211,AA211/C211,(INT(AA211/B211)+(((AA211-B211*INT(AA211/B211)))/C211)/100))),0,(IF(B211=C211,AA211/C211,(INT(AA211/B211)+(((AA211-B211*INT(AA211/B211)))/C211)/100))))</f>
        <v>0</v>
      </c>
      <c r="BM211" s="57">
        <f>IF(ISERROR(IF(B211=C211,AB211/C211,(INT(AB211/B211)+(((AB211-B211*INT(AB211/B211)))/C211)/100))),0,(IF(B211=C211,AB211/C211,(INT(AB211/B211)+(((AB211-B211*INT(AB211/B211)))/C211)/100))))</f>
        <v>0</v>
      </c>
      <c r="BN211" s="57">
        <f>IF(ISERROR(IF(B211=C211,AC211/C211,(INT(AC211/B211)+(((AC211-B211*INT(AC211/B211)))/C211)/100))),0,(IF(B211=C211,AC211/C211,(INT(AC211/B211)+(((AC211-B211*INT(AC211/B211)))/C211)/100))))</f>
        <v>0</v>
      </c>
      <c r="BO211" s="57">
        <f>IF(ISERROR(IF(B211=C211,AD211/C211,(INT(AD211/B211)+(((AD211-B211*INT(AD211/B211)))/C211)/100))),0,(IF(B211=C211,AD211/C211,(INT(AD211/B211)+(((AD211-B211*INT(AD211/B211)))/C211)/100))))</f>
        <v>0</v>
      </c>
      <c r="BQ211" s="155"/>
    </row>
    <row r="212" spans="1:69" hidden="1" x14ac:dyDescent="0.35">
      <c r="A212" s="94"/>
      <c r="B212" s="113">
        <v>0</v>
      </c>
      <c r="C212" s="113">
        <v>0</v>
      </c>
      <c r="D212" s="28">
        <f>SUM(AA212:AD212)</f>
        <v>0</v>
      </c>
      <c r="E212" s="113">
        <v>0</v>
      </c>
      <c r="F212" s="113">
        <v>0</v>
      </c>
      <c r="G212" s="28">
        <f>SUM(D212:F212)</f>
        <v>0</v>
      </c>
      <c r="H212" s="125">
        <v>0</v>
      </c>
      <c r="I212" s="113">
        <v>0</v>
      </c>
      <c r="J212" s="125">
        <v>0</v>
      </c>
      <c r="K212" s="113">
        <v>0</v>
      </c>
      <c r="L212" s="113">
        <v>0</v>
      </c>
      <c r="M212" s="113">
        <v>0</v>
      </c>
      <c r="N212" s="28">
        <f>G212-SUM(H212:M212)</f>
        <v>0</v>
      </c>
      <c r="O212" s="28">
        <f>SUM(V212:Y212)</f>
        <v>0</v>
      </c>
      <c r="P212" s="28">
        <f>O212-N212</f>
        <v>0</v>
      </c>
      <c r="Q212" s="61" t="str">
        <f>IF(ISERROR(P212/SUM(H212:L212)),"",P212/SUM(H212:L212))</f>
        <v/>
      </c>
      <c r="R212" s="113">
        <v>0</v>
      </c>
      <c r="S212" s="28">
        <f>IF(ISERROR(P212/C212*R212),0,(P212/C212*R212))</f>
        <v>0</v>
      </c>
      <c r="T212" s="60">
        <f>IF(ISERROR(P212/B212*AF212),0,(P212/B212*AF212))</f>
        <v>0</v>
      </c>
      <c r="V212" s="113">
        <v>0</v>
      </c>
      <c r="W212" s="113">
        <v>0</v>
      </c>
      <c r="X212" s="113">
        <v>0</v>
      </c>
      <c r="Y212" s="113">
        <v>0</v>
      </c>
      <c r="AA212" s="113">
        <v>0</v>
      </c>
      <c r="AB212" s="113">
        <v>0</v>
      </c>
      <c r="AC212" s="113">
        <v>0</v>
      </c>
      <c r="AD212" s="113">
        <v>0</v>
      </c>
      <c r="AF212" s="113">
        <v>0</v>
      </c>
      <c r="AG212" s="28">
        <f>G212-O212</f>
        <v>0</v>
      </c>
      <c r="AH212" s="58">
        <f>IF(ISERROR(AG212/B212*AF212),0,(AG212/B212*AF212))</f>
        <v>0</v>
      </c>
      <c r="AI212" s="28">
        <f>SUM(H212:M212)</f>
        <v>0</v>
      </c>
      <c r="AJ212" s="28">
        <f>IF(ISERROR(AI212/B212*AF212),0,(AI212/B212*AF212))</f>
        <v>0</v>
      </c>
      <c r="AK212" s="58">
        <f>IF(ISERROR(O212/B212*AF212),0,(O212/B212*AF212))</f>
        <v>0</v>
      </c>
      <c r="AL212" s="28">
        <f>IF(ISERROR(H212/B212*AF212),0,(H212/B212*AF212))</f>
        <v>0</v>
      </c>
      <c r="AN212" s="51">
        <f>A212</f>
        <v>0</v>
      </c>
      <c r="AO212" s="57">
        <f>IF(ISERROR(IF(B212=C212,D212/C212,(INT(D212/B212)+(((D212-B212*INT(D212/B212)))/C212)/100))),0,(IF(B212=C212,D212/C212,(INT(D212/B212)+(((D212-B212*INT(D212/B212)))/C212)/100))))</f>
        <v>0</v>
      </c>
      <c r="AP212" s="57">
        <f>IF(ISERROR(IF(B212=C212,E212/C212,(INT(E212/B212)+(((E212-B212*INT(E212/B212)))/C212)/100))),0,(IF(B212=C212,E212/C212,(INT(E212/B212)+(((E212-B212*INT(E212/B212)))/C212)/100))))</f>
        <v>0</v>
      </c>
      <c r="AQ212" s="57">
        <f>IF(ISERROR(IF(B212=C212,F212/C212,IF((INT(F212/B212)+(((F212-B212*INT(F212/B212)))/C212)/100)&lt;0,(INT(F212/B212)+(((F212-B212*INT(F212/B212)))/C212)/100)+(1-(B212/C212/100)),(INT(F212/B212)+(((F212-B212*INT(F212/B212)))/C212)/100)))),0,IF(B212=C212,F212/C212,IF((INT(F212/B212)+(((F212-B212*INT(F212/B212)))/C212)/100)&lt;0,(INT(F212/B212)+(((F212-B212*INT(F212/B212)))/C212)/100)+(1-(B212/C212/100)),(INT(F212/B212)+(((F212-B212*INT(F212/B212)))/C212)/100))))</f>
        <v>0</v>
      </c>
      <c r="AR212" s="57">
        <f>IF(ISERROR(IF(B212=C212,G212/C212,(INT(G212/B212)+(((G212-B212*INT(G212/B212)))/C212)/100))),0,(IF(B212=C212,G212/C212,(INT(G212/B212)+(((G212-B212*INT(G212/B212)))/C212)/100))))</f>
        <v>0</v>
      </c>
      <c r="AS212" s="57">
        <f>IF(ISERROR(IF(B212=C212,H212/C212,(INT(H212/B212)+(((H212-B212*INT(H212/B212)))/C212)/100))),0,(IF(B212=C212,H212/C212,(INT(H212/B212)+(((H212-B212*INT(H212/B212)))/C212)/100))))</f>
        <v>0</v>
      </c>
      <c r="AT212" s="57">
        <f>IF(ISERROR(IF(B212=C212,I212/C212,(INT(I212/B212)+(((I212-B212*INT(I212/B212)))/C212)/100))),0,(IF(B212=C212,I212/C212,(INT(I212/B212)+(((I212-B212*INT(I212/B212)))/C212)/100))))</f>
        <v>0</v>
      </c>
      <c r="AU212" s="57">
        <f>IF(ISERROR(IF(B212=C212,J212/C212,(INT(J212/B212)+(((J212-B212*INT(J212/B212)))/C212)/100))),0,(IF(B212=C212,J212/C212,(INT(J212/B212)+(((J212-B212*INT(J212/B212)))/C212)/100))))</f>
        <v>0</v>
      </c>
      <c r="AV212" s="57">
        <f>IF(ISERROR(IF(B212=C212,K212/C212,IF((INT(K212/B212)+(((K212-B212*INT(K212/B212)))/C212)/100)&lt;0,(INT(K212/B212)+(((K212-B212*INT(K212/B212)))/C212)/100)+(1-(B212/C212/100)),(INT(K212/B212)+(((K212-B212*INT(K212/B212)))/C212)/100)))),0,IF(B212=C212,K212/C212,IF((INT(K212/B212)+(((K212-B212*INT(K212/B212)))/C212)/100)&lt;0,(INT(K212/B212)+(((K212-B212*INT(K212/B212)))/C212)/100)+(1-(B212/C212/100)),(INT(K212/B212)+(((K212-B212*INT(K212/B212)))/C212)/100))))</f>
        <v>0</v>
      </c>
      <c r="AW212" s="57">
        <f>IF(ISERROR(IF(B212=C212,L212/C212,(INT(L212/B212)+(((L212-B212*INT(L212/B212)))/C212)/100))),0,(IF(B212=C212,L212/C212,(INT(L212/B212)+(((L212-B212*INT(L212/B212)))/C212)/100))))</f>
        <v>0</v>
      </c>
      <c r="AX212" s="57">
        <f>IF(ISERROR(IF(B212=C212,M212/C212,(INT(M212/B212)+(((M212-B212*INT(M212/B212)))/C212)/100))),0,(IF(B212=C212,M212/C212,(INT(M212/B212)+(((M212-B212*INT(M212/B212)))/C212)/100))))</f>
        <v>0</v>
      </c>
      <c r="AY212" s="57">
        <f>IF(ISERROR(IF(B212=C212,N212/C212,IF((INT(N212/B212)+(((N212-B212*INT(N212/B212)))/C212)/100)&lt;0,(INT(N212/B212)+(((N212-B212*INT(N212/B212)))/C212)/100)+(1-(B212/C212/100)),(INT(N212/B212)+(((N212-B212*INT(N212/B212)))/C212)/100)))),0,IF(B212=C212,N212/C212,IF((INT(N212/B212)+(((N212-B212*INT(N212/B212)))/C212)/100)&lt;0,(INT(N212/B212)+(((N212-B212*INT(N212/B212)))/C212)/100)+(1-(B212/C212/100)),(INT(N212/B212)+(((N212-B212*INT(N212/B212)))/C212)/100))))</f>
        <v>0</v>
      </c>
      <c r="AZ212" s="57">
        <f>IF(ISERROR(IF(B212=C212,O212/C212,(INT(O212/B212)+(((O212-B212*INT(O212/B212)))/C212)/100))),0,(IF(B212=C212,O212/C212,(INT(O212/B212)+(((O212-B212*INT(O212/B212)))/C212)/100))))</f>
        <v>0</v>
      </c>
      <c r="BA212" s="57">
        <f>IF(ISERROR(IF(B212=C212,P212/C212,IF((INT(P212/B212)+(((P212-B212*INT(P212/B212)))/C212)/100)&lt;0,(INT(P212/B212)+(((P212-B212*INT(P212/B212)))/C212)/100)+(1-(B212/C212/100)),(INT(P212/B212)+(((P212-B212*INT(P212/B212)))/C212)/100)))),0,IF(B212=C212,P212/C212,IF((INT(P212/B212)+(((P212-B212*INT(P212/B212)))/C212)/100)&lt;0,(INT(P212/B212)+(((P212-B212*INT(P212/B212)))/C212)/100)+(1-(B212/C212/100)),(INT(P212/B212)+(((P212-B212*INT(P212/B212)))/C212)/100))))</f>
        <v>0</v>
      </c>
      <c r="BB212" s="28">
        <f>R212</f>
        <v>0</v>
      </c>
      <c r="BC212" s="28">
        <f>S212</f>
        <v>0</v>
      </c>
      <c r="BD212" s="28">
        <f>AF212</f>
        <v>0</v>
      </c>
      <c r="BE212" s="28">
        <f>T212</f>
        <v>0</v>
      </c>
      <c r="BG212" s="57">
        <f>IF(ISERROR(IF(B212=C212,V212/C212,(INT(V212/B212)+(((V212-B212*INT(V212/B212)))/C212)/100))),0,(IF(B212=C212,V212/C212,(INT(V212/B212)+(((V212-B212*INT(V212/B212)))/C212)/100))))</f>
        <v>0</v>
      </c>
      <c r="BH212" s="57">
        <f>IF(ISERROR(IF(B212=C212,W212/C212,(INT(W212/B212)+(((W212-B212*INT(W212/B212)))/C212)/100))),0,(IF(B212=C212,W212/C212,(INT(W212/B212)+(((W212-B212*INT(W212/B212)))/C212)/100))))</f>
        <v>0</v>
      </c>
      <c r="BI212" s="57">
        <f>IF(ISERROR(IF(B212=C212,X212/C212,(INT(X212/B212)+(((X212-B212*INT(X212/B212)))/C212)/100))),0,(IF(B212=C212,X212/C212,(INT(X212/B212)+(((X212-B212*INT(X212/B212)))/C212)/100))))</f>
        <v>0</v>
      </c>
      <c r="BJ212" s="57">
        <f>IF(ISERROR(IF(B212=C212,Y212/C212,(INT(Y212/B212)+(((Y212-B212*INT(Y212/B212)))/C212)/100))),0,(IF(B212=C212,Y212/C212,(INT(Y212/B212)+(((Y212-B212*INT(Y212/B212)))/C212)/100))))</f>
        <v>0</v>
      </c>
      <c r="BL212" s="57">
        <f>IF(ISERROR(IF(B212=C212,AA212/C212,(INT(AA212/B212)+(((AA212-B212*INT(AA212/B212)))/C212)/100))),0,(IF(B212=C212,AA212/C212,(INT(AA212/B212)+(((AA212-B212*INT(AA212/B212)))/C212)/100))))</f>
        <v>0</v>
      </c>
      <c r="BM212" s="57">
        <f>IF(ISERROR(IF(B212=C212,AB212/C212,(INT(AB212/B212)+(((AB212-B212*INT(AB212/B212)))/C212)/100))),0,(IF(B212=C212,AB212/C212,(INT(AB212/B212)+(((AB212-B212*INT(AB212/B212)))/C212)/100))))</f>
        <v>0</v>
      </c>
      <c r="BN212" s="57">
        <f>IF(ISERROR(IF(B212=C212,AC212/C212,(INT(AC212/B212)+(((AC212-B212*INT(AC212/B212)))/C212)/100))),0,(IF(B212=C212,AC212/C212,(INT(AC212/B212)+(((AC212-B212*INT(AC212/B212)))/C212)/100))))</f>
        <v>0</v>
      </c>
      <c r="BO212" s="57">
        <f>IF(ISERROR(IF(B212=C212,AD212/C212,(INT(AD212/B212)+(((AD212-B212*INT(AD212/B212)))/C212)/100))),0,(IF(B212=C212,AD212/C212,(INT(AD212/B212)+(((AD212-B212*INT(AD212/B212)))/C212)/100))))</f>
        <v>0</v>
      </c>
      <c r="BQ212" s="155"/>
    </row>
    <row r="213" spans="1:69" hidden="1" x14ac:dyDescent="0.35">
      <c r="A213" s="94"/>
      <c r="B213" s="113">
        <v>0</v>
      </c>
      <c r="C213" s="113">
        <v>0</v>
      </c>
      <c r="D213" s="28">
        <f>SUM(AA213:AD213)</f>
        <v>0</v>
      </c>
      <c r="E213" s="113">
        <v>0</v>
      </c>
      <c r="F213" s="113">
        <v>0</v>
      </c>
      <c r="G213" s="28">
        <f>SUM(D213:F213)</f>
        <v>0</v>
      </c>
      <c r="H213" s="125">
        <v>0</v>
      </c>
      <c r="I213" s="113">
        <v>0</v>
      </c>
      <c r="J213" s="125">
        <v>0</v>
      </c>
      <c r="K213" s="113">
        <v>0</v>
      </c>
      <c r="L213" s="113">
        <v>0</v>
      </c>
      <c r="M213" s="113">
        <v>0</v>
      </c>
      <c r="N213" s="28">
        <f>G213-SUM(H213:M213)</f>
        <v>0</v>
      </c>
      <c r="O213" s="28">
        <f>SUM(V213:Y213)</f>
        <v>0</v>
      </c>
      <c r="P213" s="28">
        <f>O213-N213</f>
        <v>0</v>
      </c>
      <c r="Q213" s="61" t="str">
        <f>IF(ISERROR(P213/SUM(H213:L213)),"",P213/SUM(H213:L213))</f>
        <v/>
      </c>
      <c r="R213" s="113">
        <v>0</v>
      </c>
      <c r="S213" s="28">
        <f>IF(ISERROR(P213/C213*R213),0,(P213/C213*R213))</f>
        <v>0</v>
      </c>
      <c r="T213" s="60">
        <f>IF(ISERROR(P213/B213*AF213),0,(P213/B213*AF213))</f>
        <v>0</v>
      </c>
      <c r="V213" s="113">
        <v>0</v>
      </c>
      <c r="W213" s="113">
        <v>0</v>
      </c>
      <c r="X213" s="113">
        <v>0</v>
      </c>
      <c r="Y213" s="113">
        <v>0</v>
      </c>
      <c r="AA213" s="113">
        <v>0</v>
      </c>
      <c r="AB213" s="113">
        <v>0</v>
      </c>
      <c r="AC213" s="113">
        <v>0</v>
      </c>
      <c r="AD213" s="113">
        <v>0</v>
      </c>
      <c r="AF213" s="113">
        <v>0</v>
      </c>
      <c r="AG213" s="28">
        <f>G213-O213</f>
        <v>0</v>
      </c>
      <c r="AH213" s="58">
        <f>IF(ISERROR(AG213/B213*AF213),0,(AG213/B213*AF213))</f>
        <v>0</v>
      </c>
      <c r="AI213" s="28">
        <f>SUM(H213:M213)</f>
        <v>0</v>
      </c>
      <c r="AJ213" s="28">
        <f>IF(ISERROR(AI213/B213*AF213),0,(AI213/B213*AF213))</f>
        <v>0</v>
      </c>
      <c r="AK213" s="58">
        <f>IF(ISERROR(O213/B213*AF213),0,(O213/B213*AF213))</f>
        <v>0</v>
      </c>
      <c r="AL213" s="28">
        <f>IF(ISERROR(H213/B213*AF213),0,(H213/B213*AF213))</f>
        <v>0</v>
      </c>
      <c r="AN213" s="51">
        <f>A213</f>
        <v>0</v>
      </c>
      <c r="AO213" s="57">
        <f>IF(ISERROR(IF(B213=C213,D213/C213,(INT(D213/B213)+(((D213-B213*INT(D213/B213)))/C213)/100))),0,(IF(B213=C213,D213/C213,(INT(D213/B213)+(((D213-B213*INT(D213/B213)))/C213)/100))))</f>
        <v>0</v>
      </c>
      <c r="AP213" s="57">
        <f>IF(ISERROR(IF(B213=C213,E213/C213,(INT(E213/B213)+(((E213-B213*INT(E213/B213)))/C213)/100))),0,(IF(B213=C213,E213/C213,(INT(E213/B213)+(((E213-B213*INT(E213/B213)))/C213)/100))))</f>
        <v>0</v>
      </c>
      <c r="AQ213" s="57">
        <f>IF(ISERROR(IF(B213=C213,F213/C213,IF((INT(F213/B213)+(((F213-B213*INT(F213/B213)))/C213)/100)&lt;0,(INT(F213/B213)+(((F213-B213*INT(F213/B213)))/C213)/100)+(1-(B213/C213/100)),(INT(F213/B213)+(((F213-B213*INT(F213/B213)))/C213)/100)))),0,IF(B213=C213,F213/C213,IF((INT(F213/B213)+(((F213-B213*INT(F213/B213)))/C213)/100)&lt;0,(INT(F213/B213)+(((F213-B213*INT(F213/B213)))/C213)/100)+(1-(B213/C213/100)),(INT(F213/B213)+(((F213-B213*INT(F213/B213)))/C213)/100))))</f>
        <v>0</v>
      </c>
      <c r="AR213" s="57">
        <f>IF(ISERROR(IF(B213=C213,G213/C213,(INT(G213/B213)+(((G213-B213*INT(G213/B213)))/C213)/100))),0,(IF(B213=C213,G213/C213,(INT(G213/B213)+(((G213-B213*INT(G213/B213)))/C213)/100))))</f>
        <v>0</v>
      </c>
      <c r="AS213" s="57">
        <f>IF(ISERROR(IF(B213=C213,H213/C213,(INT(H213/B213)+(((H213-B213*INT(H213/B213)))/C213)/100))),0,(IF(B213=C213,H213/C213,(INT(H213/B213)+(((H213-B213*INT(H213/B213)))/C213)/100))))</f>
        <v>0</v>
      </c>
      <c r="AT213" s="57">
        <f>IF(ISERROR(IF(B213=C213,I213/C213,(INT(I213/B213)+(((I213-B213*INT(I213/B213)))/C213)/100))),0,(IF(B213=C213,I213/C213,(INT(I213/B213)+(((I213-B213*INT(I213/B213)))/C213)/100))))</f>
        <v>0</v>
      </c>
      <c r="AU213" s="57">
        <f>IF(ISERROR(IF(B213=C213,J213/C213,(INT(J213/B213)+(((J213-B213*INT(J213/B213)))/C213)/100))),0,(IF(B213=C213,J213/C213,(INT(J213/B213)+(((J213-B213*INT(J213/B213)))/C213)/100))))</f>
        <v>0</v>
      </c>
      <c r="AV213" s="57">
        <f>IF(ISERROR(IF(B213=C213,K213/C213,IF((INT(K213/B213)+(((K213-B213*INT(K213/B213)))/C213)/100)&lt;0,(INT(K213/B213)+(((K213-B213*INT(K213/B213)))/C213)/100)+(1-(B213/C213/100)),(INT(K213/B213)+(((K213-B213*INT(K213/B213)))/C213)/100)))),0,IF(B213=C213,K213/C213,IF((INT(K213/B213)+(((K213-B213*INT(K213/B213)))/C213)/100)&lt;0,(INT(K213/B213)+(((K213-B213*INT(K213/B213)))/C213)/100)+(1-(B213/C213/100)),(INT(K213/B213)+(((K213-B213*INT(K213/B213)))/C213)/100))))</f>
        <v>0</v>
      </c>
      <c r="AW213" s="57">
        <f>IF(ISERROR(IF(B213=C213,L213/C213,(INT(L213/B213)+(((L213-B213*INT(L213/B213)))/C213)/100))),0,(IF(B213=C213,L213/C213,(INT(L213/B213)+(((L213-B213*INT(L213/B213)))/C213)/100))))</f>
        <v>0</v>
      </c>
      <c r="AX213" s="57">
        <f>IF(ISERROR(IF(B213=C213,M213/C213,(INT(M213/B213)+(((M213-B213*INT(M213/B213)))/C213)/100))),0,(IF(B213=C213,M213/C213,(INT(M213/B213)+(((M213-B213*INT(M213/B213)))/C213)/100))))</f>
        <v>0</v>
      </c>
      <c r="AY213" s="57">
        <f>IF(ISERROR(IF(B213=C213,N213/C213,IF((INT(N213/B213)+(((N213-B213*INT(N213/B213)))/C213)/100)&lt;0,(INT(N213/B213)+(((N213-B213*INT(N213/B213)))/C213)/100)+(1-(B213/C213/100)),(INT(N213/B213)+(((N213-B213*INT(N213/B213)))/C213)/100)))),0,IF(B213=C213,N213/C213,IF((INT(N213/B213)+(((N213-B213*INT(N213/B213)))/C213)/100)&lt;0,(INT(N213/B213)+(((N213-B213*INT(N213/B213)))/C213)/100)+(1-(B213/C213/100)),(INT(N213/B213)+(((N213-B213*INT(N213/B213)))/C213)/100))))</f>
        <v>0</v>
      </c>
      <c r="AZ213" s="57">
        <f>IF(ISERROR(IF(B213=C213,O213/C213,(INT(O213/B213)+(((O213-B213*INT(O213/B213)))/C213)/100))),0,(IF(B213=C213,O213/C213,(INT(O213/B213)+(((O213-B213*INT(O213/B213)))/C213)/100))))</f>
        <v>0</v>
      </c>
      <c r="BA213" s="57">
        <f>IF(ISERROR(IF(B213=C213,P213/C213,IF((INT(P213/B213)+(((P213-B213*INT(P213/B213)))/C213)/100)&lt;0,(INT(P213/B213)+(((P213-B213*INT(P213/B213)))/C213)/100)+(1-(B213/C213/100)),(INT(P213/B213)+(((P213-B213*INT(P213/B213)))/C213)/100)))),0,IF(B213=C213,P213/C213,IF((INT(P213/B213)+(((P213-B213*INT(P213/B213)))/C213)/100)&lt;0,(INT(P213/B213)+(((P213-B213*INT(P213/B213)))/C213)/100)+(1-(B213/C213/100)),(INT(P213/B213)+(((P213-B213*INT(P213/B213)))/C213)/100))))</f>
        <v>0</v>
      </c>
      <c r="BB213" s="28">
        <f>R213</f>
        <v>0</v>
      </c>
      <c r="BC213" s="28">
        <f>S213</f>
        <v>0</v>
      </c>
      <c r="BD213" s="28">
        <f>AF213</f>
        <v>0</v>
      </c>
      <c r="BE213" s="28">
        <f>T213</f>
        <v>0</v>
      </c>
      <c r="BG213" s="57">
        <f>IF(ISERROR(IF(B213=C213,V213/C213,(INT(V213/B213)+(((V213-B213*INT(V213/B213)))/C213)/100))),0,(IF(B213=C213,V213/C213,(INT(V213/B213)+(((V213-B213*INT(V213/B213)))/C213)/100))))</f>
        <v>0</v>
      </c>
      <c r="BH213" s="57">
        <f>IF(ISERROR(IF(B213=C213,W213/C213,(INT(W213/B213)+(((W213-B213*INT(W213/B213)))/C213)/100))),0,(IF(B213=C213,W213/C213,(INT(W213/B213)+(((W213-B213*INT(W213/B213)))/C213)/100))))</f>
        <v>0</v>
      </c>
      <c r="BI213" s="57">
        <f>IF(ISERROR(IF(B213=C213,X213/C213,(INT(X213/B213)+(((X213-B213*INT(X213/B213)))/C213)/100))),0,(IF(B213=C213,X213/C213,(INT(X213/B213)+(((X213-B213*INT(X213/B213)))/C213)/100))))</f>
        <v>0</v>
      </c>
      <c r="BJ213" s="57">
        <f>IF(ISERROR(IF(B213=C213,Y213/C213,(INT(Y213/B213)+(((Y213-B213*INT(Y213/B213)))/C213)/100))),0,(IF(B213=C213,Y213/C213,(INT(Y213/B213)+(((Y213-B213*INT(Y213/B213)))/C213)/100))))</f>
        <v>0</v>
      </c>
      <c r="BL213" s="57">
        <f>IF(ISERROR(IF(B213=C213,AA213/C213,(INT(AA213/B213)+(((AA213-B213*INT(AA213/B213)))/C213)/100))),0,(IF(B213=C213,AA213/C213,(INT(AA213/B213)+(((AA213-B213*INT(AA213/B213)))/C213)/100))))</f>
        <v>0</v>
      </c>
      <c r="BM213" s="57">
        <f>IF(ISERROR(IF(B213=C213,AB213/C213,(INT(AB213/B213)+(((AB213-B213*INT(AB213/B213)))/C213)/100))),0,(IF(B213=C213,AB213/C213,(INT(AB213/B213)+(((AB213-B213*INT(AB213/B213)))/C213)/100))))</f>
        <v>0</v>
      </c>
      <c r="BN213" s="57">
        <f>IF(ISERROR(IF(B213=C213,AC213/C213,(INT(AC213/B213)+(((AC213-B213*INT(AC213/B213)))/C213)/100))),0,(IF(B213=C213,AC213/C213,(INT(AC213/B213)+(((AC213-B213*INT(AC213/B213)))/C213)/100))))</f>
        <v>0</v>
      </c>
      <c r="BO213" s="57">
        <f>IF(ISERROR(IF(B213=C213,AD213/C213,(INT(AD213/B213)+(((AD213-B213*INT(AD213/B213)))/C213)/100))),0,(IF(B213=C213,AD213/C213,(INT(AD213/B213)+(((AD213-B213*INT(AD213/B213)))/C213)/100))))</f>
        <v>0</v>
      </c>
      <c r="BQ213" s="155"/>
    </row>
    <row r="214" spans="1:69" hidden="1" x14ac:dyDescent="0.35">
      <c r="A214" s="94"/>
      <c r="B214" s="113">
        <v>0</v>
      </c>
      <c r="C214" s="113">
        <v>0</v>
      </c>
      <c r="D214" s="28">
        <f>SUM(AA214:AD214)</f>
        <v>0</v>
      </c>
      <c r="E214" s="113">
        <v>0</v>
      </c>
      <c r="F214" s="113">
        <v>0</v>
      </c>
      <c r="G214" s="28">
        <f>SUM(D214:F214)</f>
        <v>0</v>
      </c>
      <c r="H214" s="125">
        <v>0</v>
      </c>
      <c r="I214" s="113">
        <v>0</v>
      </c>
      <c r="J214" s="125">
        <v>0</v>
      </c>
      <c r="K214" s="113">
        <v>0</v>
      </c>
      <c r="L214" s="113">
        <v>0</v>
      </c>
      <c r="M214" s="113">
        <v>0</v>
      </c>
      <c r="N214" s="28">
        <f>G214-SUM(H214:M214)</f>
        <v>0</v>
      </c>
      <c r="O214" s="28">
        <f>SUM(V214:Y214)</f>
        <v>0</v>
      </c>
      <c r="P214" s="28">
        <f>O214-N214</f>
        <v>0</v>
      </c>
      <c r="Q214" s="61" t="str">
        <f>IF(ISERROR(P214/SUM(H214:L214)),"",P214/SUM(H214:L214))</f>
        <v/>
      </c>
      <c r="R214" s="113">
        <v>0</v>
      </c>
      <c r="S214" s="28">
        <f>IF(ISERROR(P214/C214*R214),0,(P214/C214*R214))</f>
        <v>0</v>
      </c>
      <c r="T214" s="60">
        <f>IF(ISERROR(P214/B214*AF214),0,(P214/B214*AF214))</f>
        <v>0</v>
      </c>
      <c r="V214" s="113">
        <v>0</v>
      </c>
      <c r="W214" s="113">
        <v>0</v>
      </c>
      <c r="X214" s="113">
        <v>0</v>
      </c>
      <c r="Y214" s="113">
        <v>0</v>
      </c>
      <c r="AA214" s="113">
        <v>0</v>
      </c>
      <c r="AB214" s="113">
        <v>0</v>
      </c>
      <c r="AC214" s="113">
        <v>0</v>
      </c>
      <c r="AD214" s="113">
        <v>0</v>
      </c>
      <c r="AF214" s="113">
        <v>0</v>
      </c>
      <c r="AG214" s="28">
        <f>G214-O214</f>
        <v>0</v>
      </c>
      <c r="AH214" s="58">
        <f>IF(ISERROR(AG214/B214*AF214),0,(AG214/B214*AF214))</f>
        <v>0</v>
      </c>
      <c r="AI214" s="28">
        <f>SUM(H214:M214)</f>
        <v>0</v>
      </c>
      <c r="AJ214" s="28">
        <f>IF(ISERROR(AI214/B214*AF214),0,(AI214/B214*AF214))</f>
        <v>0</v>
      </c>
      <c r="AK214" s="58">
        <f>IF(ISERROR(O214/B214*AF214),0,(O214/B214*AF214))</f>
        <v>0</v>
      </c>
      <c r="AL214" s="28">
        <f>IF(ISERROR(H214/B214*AF214),0,(H214/B214*AF214))</f>
        <v>0</v>
      </c>
      <c r="AN214" s="51">
        <f>A214</f>
        <v>0</v>
      </c>
      <c r="AO214" s="57">
        <f>IF(ISERROR(IF(B214=C214,D214/C214,(INT(D214/B214)+(((D214-B214*INT(D214/B214)))/C214)/100))),0,(IF(B214=C214,D214/C214,(INT(D214/B214)+(((D214-B214*INT(D214/B214)))/C214)/100))))</f>
        <v>0</v>
      </c>
      <c r="AP214" s="57">
        <f>IF(ISERROR(IF(B214=C214,E214/C214,(INT(E214/B214)+(((E214-B214*INT(E214/B214)))/C214)/100))),0,(IF(B214=C214,E214/C214,(INT(E214/B214)+(((E214-B214*INT(E214/B214)))/C214)/100))))</f>
        <v>0</v>
      </c>
      <c r="AQ214" s="57">
        <f>IF(ISERROR(IF(B214=C214,F214/C214,IF((INT(F214/B214)+(((F214-B214*INT(F214/B214)))/C214)/100)&lt;0,(INT(F214/B214)+(((F214-B214*INT(F214/B214)))/C214)/100)+(1-(B214/C214/100)),(INT(F214/B214)+(((F214-B214*INT(F214/B214)))/C214)/100)))),0,IF(B214=C214,F214/C214,IF((INT(F214/B214)+(((F214-B214*INT(F214/B214)))/C214)/100)&lt;0,(INT(F214/B214)+(((F214-B214*INT(F214/B214)))/C214)/100)+(1-(B214/C214/100)),(INT(F214/B214)+(((F214-B214*INT(F214/B214)))/C214)/100))))</f>
        <v>0</v>
      </c>
      <c r="AR214" s="57">
        <f>IF(ISERROR(IF(B214=C214,G214/C214,(INT(G214/B214)+(((G214-B214*INT(G214/B214)))/C214)/100))),0,(IF(B214=C214,G214/C214,(INT(G214/B214)+(((G214-B214*INT(G214/B214)))/C214)/100))))</f>
        <v>0</v>
      </c>
      <c r="AS214" s="57">
        <f>IF(ISERROR(IF(B214=C214,H214/C214,(INT(H214/B214)+(((H214-B214*INT(H214/B214)))/C214)/100))),0,(IF(B214=C214,H214/C214,(INT(H214/B214)+(((H214-B214*INT(H214/B214)))/C214)/100))))</f>
        <v>0</v>
      </c>
      <c r="AT214" s="57">
        <f>IF(ISERROR(IF(B214=C214,I214/C214,(INT(I214/B214)+(((I214-B214*INT(I214/B214)))/C214)/100))),0,(IF(B214=C214,I214/C214,(INT(I214/B214)+(((I214-B214*INT(I214/B214)))/C214)/100))))</f>
        <v>0</v>
      </c>
      <c r="AU214" s="57">
        <f>IF(ISERROR(IF(B214=C214,J214/C214,(INT(J214/B214)+(((J214-B214*INT(J214/B214)))/C214)/100))),0,(IF(B214=C214,J214/C214,(INT(J214/B214)+(((J214-B214*INT(J214/B214)))/C214)/100))))</f>
        <v>0</v>
      </c>
      <c r="AV214" s="57">
        <f>IF(ISERROR(IF(B214=C214,K214/C214,IF((INT(K214/B214)+(((K214-B214*INT(K214/B214)))/C214)/100)&lt;0,(INT(K214/B214)+(((K214-B214*INT(K214/B214)))/C214)/100)+(1-(B214/C214/100)),(INT(K214/B214)+(((K214-B214*INT(K214/B214)))/C214)/100)))),0,IF(B214=C214,K214/C214,IF((INT(K214/B214)+(((K214-B214*INT(K214/B214)))/C214)/100)&lt;0,(INT(K214/B214)+(((K214-B214*INT(K214/B214)))/C214)/100)+(1-(B214/C214/100)),(INT(K214/B214)+(((K214-B214*INT(K214/B214)))/C214)/100))))</f>
        <v>0</v>
      </c>
      <c r="AW214" s="57">
        <f>IF(ISERROR(IF(B214=C214,L214/C214,(INT(L214/B214)+(((L214-B214*INT(L214/B214)))/C214)/100))),0,(IF(B214=C214,L214/C214,(INT(L214/B214)+(((L214-B214*INT(L214/B214)))/C214)/100))))</f>
        <v>0</v>
      </c>
      <c r="AX214" s="57">
        <f>IF(ISERROR(IF(B214=C214,M214/C214,(INT(M214/B214)+(((M214-B214*INT(M214/B214)))/C214)/100))),0,(IF(B214=C214,M214/C214,(INT(M214/B214)+(((M214-B214*INT(M214/B214)))/C214)/100))))</f>
        <v>0</v>
      </c>
      <c r="AY214" s="57">
        <f>IF(ISERROR(IF(B214=C214,N214/C214,IF((INT(N214/B214)+(((N214-B214*INT(N214/B214)))/C214)/100)&lt;0,(INT(N214/B214)+(((N214-B214*INT(N214/B214)))/C214)/100)+(1-(B214/C214/100)),(INT(N214/B214)+(((N214-B214*INT(N214/B214)))/C214)/100)))),0,IF(B214=C214,N214/C214,IF((INT(N214/B214)+(((N214-B214*INT(N214/B214)))/C214)/100)&lt;0,(INT(N214/B214)+(((N214-B214*INT(N214/B214)))/C214)/100)+(1-(B214/C214/100)),(INT(N214/B214)+(((N214-B214*INT(N214/B214)))/C214)/100))))</f>
        <v>0</v>
      </c>
      <c r="AZ214" s="57">
        <f>IF(ISERROR(IF(B214=C214,O214/C214,(INT(O214/B214)+(((O214-B214*INT(O214/B214)))/C214)/100))),0,(IF(B214=C214,O214/C214,(INT(O214/B214)+(((O214-B214*INT(O214/B214)))/C214)/100))))</f>
        <v>0</v>
      </c>
      <c r="BA214" s="57">
        <f>IF(ISERROR(IF(B214=C214,P214/C214,IF((INT(P214/B214)+(((P214-B214*INT(P214/B214)))/C214)/100)&lt;0,(INT(P214/B214)+(((P214-B214*INT(P214/B214)))/C214)/100)+(1-(B214/C214/100)),(INT(P214/B214)+(((P214-B214*INT(P214/B214)))/C214)/100)))),0,IF(B214=C214,P214/C214,IF((INT(P214/B214)+(((P214-B214*INT(P214/B214)))/C214)/100)&lt;0,(INT(P214/B214)+(((P214-B214*INT(P214/B214)))/C214)/100)+(1-(B214/C214/100)),(INT(P214/B214)+(((P214-B214*INT(P214/B214)))/C214)/100))))</f>
        <v>0</v>
      </c>
      <c r="BB214" s="28">
        <f>R214</f>
        <v>0</v>
      </c>
      <c r="BC214" s="28">
        <f>S214</f>
        <v>0</v>
      </c>
      <c r="BD214" s="28">
        <f>AF214</f>
        <v>0</v>
      </c>
      <c r="BE214" s="28">
        <f>T214</f>
        <v>0</v>
      </c>
      <c r="BG214" s="57">
        <f>IF(ISERROR(IF(B214=C214,V214/C214,(INT(V214/B214)+(((V214-B214*INT(V214/B214)))/C214)/100))),0,(IF(B214=C214,V214/C214,(INT(V214/B214)+(((V214-B214*INT(V214/B214)))/C214)/100))))</f>
        <v>0</v>
      </c>
      <c r="BH214" s="57">
        <f>IF(ISERROR(IF(B214=C214,W214/C214,(INT(W214/B214)+(((W214-B214*INT(W214/B214)))/C214)/100))),0,(IF(B214=C214,W214/C214,(INT(W214/B214)+(((W214-B214*INT(W214/B214)))/C214)/100))))</f>
        <v>0</v>
      </c>
      <c r="BI214" s="57">
        <f>IF(ISERROR(IF(B214=C214,X214/C214,(INT(X214/B214)+(((X214-B214*INT(X214/B214)))/C214)/100))),0,(IF(B214=C214,X214/C214,(INT(X214/B214)+(((X214-B214*INT(X214/B214)))/C214)/100))))</f>
        <v>0</v>
      </c>
      <c r="BJ214" s="57">
        <f>IF(ISERROR(IF(B214=C214,Y214/C214,(INT(Y214/B214)+(((Y214-B214*INT(Y214/B214)))/C214)/100))),0,(IF(B214=C214,Y214/C214,(INT(Y214/B214)+(((Y214-B214*INT(Y214/B214)))/C214)/100))))</f>
        <v>0</v>
      </c>
      <c r="BL214" s="57">
        <f>IF(ISERROR(IF(B214=C214,AA214/C214,(INT(AA214/B214)+(((AA214-B214*INT(AA214/B214)))/C214)/100))),0,(IF(B214=C214,AA214/C214,(INT(AA214/B214)+(((AA214-B214*INT(AA214/B214)))/C214)/100))))</f>
        <v>0</v>
      </c>
      <c r="BM214" s="57">
        <f>IF(ISERROR(IF(B214=C214,AB214/C214,(INT(AB214/B214)+(((AB214-B214*INT(AB214/B214)))/C214)/100))),0,(IF(B214=C214,AB214/C214,(INT(AB214/B214)+(((AB214-B214*INT(AB214/B214)))/C214)/100))))</f>
        <v>0</v>
      </c>
      <c r="BN214" s="57">
        <f>IF(ISERROR(IF(B214=C214,AC214/C214,(INT(AC214/B214)+(((AC214-B214*INT(AC214/B214)))/C214)/100))),0,(IF(B214=C214,AC214/C214,(INT(AC214/B214)+(((AC214-B214*INT(AC214/B214)))/C214)/100))))</f>
        <v>0</v>
      </c>
      <c r="BO214" s="57">
        <f>IF(ISERROR(IF(B214=C214,AD214/C214,(INT(AD214/B214)+(((AD214-B214*INT(AD214/B214)))/C214)/100))),0,(IF(B214=C214,AD214/C214,(INT(AD214/B214)+(((AD214-B214*INT(AD214/B214)))/C214)/100))))</f>
        <v>0</v>
      </c>
      <c r="BQ214" s="155"/>
    </row>
    <row r="215" spans="1:69" hidden="1" x14ac:dyDescent="0.35">
      <c r="A215" s="94"/>
      <c r="B215" s="113">
        <v>0</v>
      </c>
      <c r="C215" s="113">
        <v>0</v>
      </c>
      <c r="D215" s="28">
        <f>SUM(AA215:AD215)</f>
        <v>0</v>
      </c>
      <c r="E215" s="113">
        <v>0</v>
      </c>
      <c r="F215" s="113">
        <v>0</v>
      </c>
      <c r="G215" s="28">
        <f>SUM(D215:F215)</f>
        <v>0</v>
      </c>
      <c r="H215" s="125">
        <v>0</v>
      </c>
      <c r="I215" s="113">
        <v>0</v>
      </c>
      <c r="J215" s="125">
        <v>0</v>
      </c>
      <c r="K215" s="113">
        <v>0</v>
      </c>
      <c r="L215" s="113">
        <v>0</v>
      </c>
      <c r="M215" s="113">
        <v>0</v>
      </c>
      <c r="N215" s="28">
        <f>G215-SUM(H215:M215)</f>
        <v>0</v>
      </c>
      <c r="O215" s="28">
        <f>SUM(V215:Y215)</f>
        <v>0</v>
      </c>
      <c r="P215" s="28">
        <f>O215-N215</f>
        <v>0</v>
      </c>
      <c r="Q215" s="61" t="str">
        <f>IF(ISERROR(P215/SUM(H215:L215)),"",P215/SUM(H215:L215))</f>
        <v/>
      </c>
      <c r="R215" s="113">
        <v>0</v>
      </c>
      <c r="S215" s="28">
        <f>IF(ISERROR(P215/C215*R215),0,(P215/C215*R215))</f>
        <v>0</v>
      </c>
      <c r="T215" s="60">
        <f>IF(ISERROR(P215/B215*AF215),0,(P215/B215*AF215))</f>
        <v>0</v>
      </c>
      <c r="V215" s="113">
        <v>0</v>
      </c>
      <c r="W215" s="113">
        <v>0</v>
      </c>
      <c r="X215" s="113">
        <v>0</v>
      </c>
      <c r="Y215" s="113">
        <v>0</v>
      </c>
      <c r="AA215" s="113">
        <v>0</v>
      </c>
      <c r="AB215" s="113">
        <v>0</v>
      </c>
      <c r="AC215" s="113">
        <v>0</v>
      </c>
      <c r="AD215" s="113">
        <v>0</v>
      </c>
      <c r="AF215" s="113">
        <v>0</v>
      </c>
      <c r="AG215" s="28">
        <f>G215-O215</f>
        <v>0</v>
      </c>
      <c r="AH215" s="58">
        <f>IF(ISERROR(AG215/B215*AF215),0,(AG215/B215*AF215))</f>
        <v>0</v>
      </c>
      <c r="AI215" s="28">
        <f>SUM(H215:M215)</f>
        <v>0</v>
      </c>
      <c r="AJ215" s="28">
        <f>IF(ISERROR(AI215/B215*AF215),0,(AI215/B215*AF215))</f>
        <v>0</v>
      </c>
      <c r="AK215" s="58">
        <f>IF(ISERROR(O215/B215*AF215),0,(O215/B215*AF215))</f>
        <v>0</v>
      </c>
      <c r="AL215" s="28">
        <f>IF(ISERROR(H215/B215*AF215),0,(H215/B215*AF215))</f>
        <v>0</v>
      </c>
      <c r="AN215" s="51">
        <f>A215</f>
        <v>0</v>
      </c>
      <c r="AO215" s="57">
        <f>IF(ISERROR(IF(B215=C215,D215/C215,(INT(D215/B215)+(((D215-B215*INT(D215/B215)))/C215)/100))),0,(IF(B215=C215,D215/C215,(INT(D215/B215)+(((D215-B215*INT(D215/B215)))/C215)/100))))</f>
        <v>0</v>
      </c>
      <c r="AP215" s="57">
        <f>IF(ISERROR(IF(B215=C215,E215/C215,(INT(E215/B215)+(((E215-B215*INT(E215/B215)))/C215)/100))),0,(IF(B215=C215,E215/C215,(INT(E215/B215)+(((E215-B215*INT(E215/B215)))/C215)/100))))</f>
        <v>0</v>
      </c>
      <c r="AQ215" s="57">
        <f>IF(ISERROR(IF(B215=C215,F215/C215,IF((INT(F215/B215)+(((F215-B215*INT(F215/B215)))/C215)/100)&lt;0,(INT(F215/B215)+(((F215-B215*INT(F215/B215)))/C215)/100)+(1-(B215/C215/100)),(INT(F215/B215)+(((F215-B215*INT(F215/B215)))/C215)/100)))),0,IF(B215=C215,F215/C215,IF((INT(F215/B215)+(((F215-B215*INT(F215/B215)))/C215)/100)&lt;0,(INT(F215/B215)+(((F215-B215*INT(F215/B215)))/C215)/100)+(1-(B215/C215/100)),(INT(F215/B215)+(((F215-B215*INT(F215/B215)))/C215)/100))))</f>
        <v>0</v>
      </c>
      <c r="AR215" s="57">
        <f>IF(ISERROR(IF(B215=C215,G215/C215,(INT(G215/B215)+(((G215-B215*INT(G215/B215)))/C215)/100))),0,(IF(B215=C215,G215/C215,(INT(G215/B215)+(((G215-B215*INT(G215/B215)))/C215)/100))))</f>
        <v>0</v>
      </c>
      <c r="AS215" s="57">
        <f>IF(ISERROR(IF(B215=C215,H215/C215,(INT(H215/B215)+(((H215-B215*INT(H215/B215)))/C215)/100))),0,(IF(B215=C215,H215/C215,(INT(H215/B215)+(((H215-B215*INT(H215/B215)))/C215)/100))))</f>
        <v>0</v>
      </c>
      <c r="AT215" s="57">
        <f>IF(ISERROR(IF(B215=C215,I215/C215,(INT(I215/B215)+(((I215-B215*INT(I215/B215)))/C215)/100))),0,(IF(B215=C215,I215/C215,(INT(I215/B215)+(((I215-B215*INT(I215/B215)))/C215)/100))))</f>
        <v>0</v>
      </c>
      <c r="AU215" s="57">
        <f>IF(ISERROR(IF(B215=C215,J215/C215,(INT(J215/B215)+(((J215-B215*INT(J215/B215)))/C215)/100))),0,(IF(B215=C215,J215/C215,(INT(J215/B215)+(((J215-B215*INT(J215/B215)))/C215)/100))))</f>
        <v>0</v>
      </c>
      <c r="AV215" s="57">
        <f>IF(ISERROR(IF(B215=C215,K215/C215,IF((INT(K215/B215)+(((K215-B215*INT(K215/B215)))/C215)/100)&lt;0,(INT(K215/B215)+(((K215-B215*INT(K215/B215)))/C215)/100)+(1-(B215/C215/100)),(INT(K215/B215)+(((K215-B215*INT(K215/B215)))/C215)/100)))),0,IF(B215=C215,K215/C215,IF((INT(K215/B215)+(((K215-B215*INT(K215/B215)))/C215)/100)&lt;0,(INT(K215/B215)+(((K215-B215*INT(K215/B215)))/C215)/100)+(1-(B215/C215/100)),(INT(K215/B215)+(((K215-B215*INT(K215/B215)))/C215)/100))))</f>
        <v>0</v>
      </c>
      <c r="AW215" s="57">
        <f>IF(ISERROR(IF(B215=C215,L215/C215,(INT(L215/B215)+(((L215-B215*INT(L215/B215)))/C215)/100))),0,(IF(B215=C215,L215/C215,(INT(L215/B215)+(((L215-B215*INT(L215/B215)))/C215)/100))))</f>
        <v>0</v>
      </c>
      <c r="AX215" s="57">
        <f>IF(ISERROR(IF(B215=C215,M215/C215,(INT(M215/B215)+(((M215-B215*INT(M215/B215)))/C215)/100))),0,(IF(B215=C215,M215/C215,(INT(M215/B215)+(((M215-B215*INT(M215/B215)))/C215)/100))))</f>
        <v>0</v>
      </c>
      <c r="AY215" s="57">
        <f>IF(ISERROR(IF(B215=C215,N215/C215,IF((INT(N215/B215)+(((N215-B215*INT(N215/B215)))/C215)/100)&lt;0,(INT(N215/B215)+(((N215-B215*INT(N215/B215)))/C215)/100)+(1-(B215/C215/100)),(INT(N215/B215)+(((N215-B215*INT(N215/B215)))/C215)/100)))),0,IF(B215=C215,N215/C215,IF((INT(N215/B215)+(((N215-B215*INT(N215/B215)))/C215)/100)&lt;0,(INT(N215/B215)+(((N215-B215*INT(N215/B215)))/C215)/100)+(1-(B215/C215/100)),(INT(N215/B215)+(((N215-B215*INT(N215/B215)))/C215)/100))))</f>
        <v>0</v>
      </c>
      <c r="AZ215" s="57">
        <f>IF(ISERROR(IF(B215=C215,O215/C215,(INT(O215/B215)+(((O215-B215*INT(O215/B215)))/C215)/100))),0,(IF(B215=C215,O215/C215,(INT(O215/B215)+(((O215-B215*INT(O215/B215)))/C215)/100))))</f>
        <v>0</v>
      </c>
      <c r="BA215" s="57">
        <f>IF(ISERROR(IF(B215=C215,P215/C215,IF((INT(P215/B215)+(((P215-B215*INT(P215/B215)))/C215)/100)&lt;0,(INT(P215/B215)+(((P215-B215*INT(P215/B215)))/C215)/100)+(1-(B215/C215/100)),(INT(P215/B215)+(((P215-B215*INT(P215/B215)))/C215)/100)))),0,IF(B215=C215,P215/C215,IF((INT(P215/B215)+(((P215-B215*INT(P215/B215)))/C215)/100)&lt;0,(INT(P215/B215)+(((P215-B215*INT(P215/B215)))/C215)/100)+(1-(B215/C215/100)),(INT(P215/B215)+(((P215-B215*INT(P215/B215)))/C215)/100))))</f>
        <v>0</v>
      </c>
      <c r="BB215" s="28">
        <f>R215</f>
        <v>0</v>
      </c>
      <c r="BC215" s="28">
        <f>S215</f>
        <v>0</v>
      </c>
      <c r="BD215" s="28">
        <f>AF215</f>
        <v>0</v>
      </c>
      <c r="BE215" s="28">
        <f>T215</f>
        <v>0</v>
      </c>
      <c r="BG215" s="57">
        <f>IF(ISERROR(IF(B215=C215,V215/C215,(INT(V215/B215)+(((V215-B215*INT(V215/B215)))/C215)/100))),0,(IF(B215=C215,V215/C215,(INT(V215/B215)+(((V215-B215*INT(V215/B215)))/C215)/100))))</f>
        <v>0</v>
      </c>
      <c r="BH215" s="57">
        <f>IF(ISERROR(IF(B215=C215,W215/C215,(INT(W215/B215)+(((W215-B215*INT(W215/B215)))/C215)/100))),0,(IF(B215=C215,W215/C215,(INT(W215/B215)+(((W215-B215*INT(W215/B215)))/C215)/100))))</f>
        <v>0</v>
      </c>
      <c r="BI215" s="57">
        <f>IF(ISERROR(IF(B215=C215,X215/C215,(INT(X215/B215)+(((X215-B215*INT(X215/B215)))/C215)/100))),0,(IF(B215=C215,X215/C215,(INT(X215/B215)+(((X215-B215*INT(X215/B215)))/C215)/100))))</f>
        <v>0</v>
      </c>
      <c r="BJ215" s="57">
        <f>IF(ISERROR(IF(B215=C215,Y215/C215,(INT(Y215/B215)+(((Y215-B215*INT(Y215/B215)))/C215)/100))),0,(IF(B215=C215,Y215/C215,(INT(Y215/B215)+(((Y215-B215*INT(Y215/B215)))/C215)/100))))</f>
        <v>0</v>
      </c>
      <c r="BL215" s="57">
        <f>IF(ISERROR(IF(B215=C215,AA215/C215,(INT(AA215/B215)+(((AA215-B215*INT(AA215/B215)))/C215)/100))),0,(IF(B215=C215,AA215/C215,(INT(AA215/B215)+(((AA215-B215*INT(AA215/B215)))/C215)/100))))</f>
        <v>0</v>
      </c>
      <c r="BM215" s="57">
        <f>IF(ISERROR(IF(B215=C215,AB215/C215,(INT(AB215/B215)+(((AB215-B215*INT(AB215/B215)))/C215)/100))),0,(IF(B215=C215,AB215/C215,(INT(AB215/B215)+(((AB215-B215*INT(AB215/B215)))/C215)/100))))</f>
        <v>0</v>
      </c>
      <c r="BN215" s="57">
        <f>IF(ISERROR(IF(B215=C215,AC215/C215,(INT(AC215/B215)+(((AC215-B215*INT(AC215/B215)))/C215)/100))),0,(IF(B215=C215,AC215/C215,(INT(AC215/B215)+(((AC215-B215*INT(AC215/B215)))/C215)/100))))</f>
        <v>0</v>
      </c>
      <c r="BO215" s="57">
        <f>IF(ISERROR(IF(B215=C215,AD215/C215,(INT(AD215/B215)+(((AD215-B215*INT(AD215/B215)))/C215)/100))),0,(IF(B215=C215,AD215/C215,(INT(AD215/B215)+(((AD215-B215*INT(AD215/B215)))/C215)/100))))</f>
        <v>0</v>
      </c>
      <c r="BQ215" s="155"/>
    </row>
    <row r="216" spans="1:69" hidden="1" x14ac:dyDescent="0.35">
      <c r="A216" s="94"/>
      <c r="B216" s="113">
        <v>0</v>
      </c>
      <c r="C216" s="113">
        <v>0</v>
      </c>
      <c r="D216" s="28">
        <f>SUM(AA216:AD216)</f>
        <v>0</v>
      </c>
      <c r="E216" s="113">
        <v>0</v>
      </c>
      <c r="F216" s="113">
        <v>0</v>
      </c>
      <c r="G216" s="28">
        <f>SUM(D216:F216)</f>
        <v>0</v>
      </c>
      <c r="H216" s="125">
        <v>0</v>
      </c>
      <c r="I216" s="113">
        <v>0</v>
      </c>
      <c r="J216" s="125">
        <v>0</v>
      </c>
      <c r="K216" s="113">
        <v>0</v>
      </c>
      <c r="L216" s="113">
        <v>0</v>
      </c>
      <c r="M216" s="113">
        <v>0</v>
      </c>
      <c r="N216" s="28">
        <f>G216-SUM(H216:M216)</f>
        <v>0</v>
      </c>
      <c r="O216" s="28">
        <f>SUM(V216:Y216)</f>
        <v>0</v>
      </c>
      <c r="P216" s="28">
        <f>O216-N216</f>
        <v>0</v>
      </c>
      <c r="Q216" s="61" t="str">
        <f>IF(ISERROR(P216/SUM(H216:L216)),"",P216/SUM(H216:L216))</f>
        <v/>
      </c>
      <c r="R216" s="113">
        <v>0</v>
      </c>
      <c r="S216" s="28">
        <f>IF(ISERROR(P216/C216*R216),0,(P216/C216*R216))</f>
        <v>0</v>
      </c>
      <c r="T216" s="60">
        <f>IF(ISERROR(P216/B216*AF216),0,(P216/B216*AF216))</f>
        <v>0</v>
      </c>
      <c r="V216" s="113">
        <v>0</v>
      </c>
      <c r="W216" s="113">
        <v>0</v>
      </c>
      <c r="X216" s="113">
        <v>0</v>
      </c>
      <c r="Y216" s="113">
        <v>0</v>
      </c>
      <c r="AA216" s="113">
        <v>0</v>
      </c>
      <c r="AB216" s="113">
        <v>0</v>
      </c>
      <c r="AC216" s="113">
        <v>0</v>
      </c>
      <c r="AD216" s="113">
        <v>0</v>
      </c>
      <c r="AF216" s="113">
        <v>0</v>
      </c>
      <c r="AG216" s="28">
        <f>G216-O216</f>
        <v>0</v>
      </c>
      <c r="AH216" s="58">
        <f>IF(ISERROR(AG216/B216*AF216),0,(AG216/B216*AF216))</f>
        <v>0</v>
      </c>
      <c r="AI216" s="28">
        <f>SUM(H216:M216)</f>
        <v>0</v>
      </c>
      <c r="AJ216" s="28">
        <f>IF(ISERROR(AI216/B216*AF216),0,(AI216/B216*AF216))</f>
        <v>0</v>
      </c>
      <c r="AK216" s="58">
        <f>IF(ISERROR(O216/B216*AF216),0,(O216/B216*AF216))</f>
        <v>0</v>
      </c>
      <c r="AL216" s="28">
        <f>IF(ISERROR(H216/B216*AF216),0,(H216/B216*AF216))</f>
        <v>0</v>
      </c>
      <c r="AN216" s="51">
        <f>A216</f>
        <v>0</v>
      </c>
      <c r="AO216" s="57">
        <f>IF(ISERROR(IF(B216=C216,D216/C216,(INT(D216/B216)+(((D216-B216*INT(D216/B216)))/C216)/100))),0,(IF(B216=C216,D216/C216,(INT(D216/B216)+(((D216-B216*INT(D216/B216)))/C216)/100))))</f>
        <v>0</v>
      </c>
      <c r="AP216" s="57">
        <f>IF(ISERROR(IF(B216=C216,E216/C216,(INT(E216/B216)+(((E216-B216*INT(E216/B216)))/C216)/100))),0,(IF(B216=C216,E216/C216,(INT(E216/B216)+(((E216-B216*INT(E216/B216)))/C216)/100))))</f>
        <v>0</v>
      </c>
      <c r="AQ216" s="57">
        <f>IF(ISERROR(IF(B216=C216,F216/C216,IF((INT(F216/B216)+(((F216-B216*INT(F216/B216)))/C216)/100)&lt;0,(INT(F216/B216)+(((F216-B216*INT(F216/B216)))/C216)/100)+(1-(B216/C216/100)),(INT(F216/B216)+(((F216-B216*INT(F216/B216)))/C216)/100)))),0,IF(B216=C216,F216/C216,IF((INT(F216/B216)+(((F216-B216*INT(F216/B216)))/C216)/100)&lt;0,(INT(F216/B216)+(((F216-B216*INT(F216/B216)))/C216)/100)+(1-(B216/C216/100)),(INT(F216/B216)+(((F216-B216*INT(F216/B216)))/C216)/100))))</f>
        <v>0</v>
      </c>
      <c r="AR216" s="57">
        <f>IF(ISERROR(IF(B216=C216,G216/C216,(INT(G216/B216)+(((G216-B216*INT(G216/B216)))/C216)/100))),0,(IF(B216=C216,G216/C216,(INT(G216/B216)+(((G216-B216*INT(G216/B216)))/C216)/100))))</f>
        <v>0</v>
      </c>
      <c r="AS216" s="57">
        <f>IF(ISERROR(IF(B216=C216,H216/C216,(INT(H216/B216)+(((H216-B216*INT(H216/B216)))/C216)/100))),0,(IF(B216=C216,H216/C216,(INT(H216/B216)+(((H216-B216*INT(H216/B216)))/C216)/100))))</f>
        <v>0</v>
      </c>
      <c r="AT216" s="57">
        <f>IF(ISERROR(IF(B216=C216,I216/C216,(INT(I216/B216)+(((I216-B216*INT(I216/B216)))/C216)/100))),0,(IF(B216=C216,I216/C216,(INT(I216/B216)+(((I216-B216*INT(I216/B216)))/C216)/100))))</f>
        <v>0</v>
      </c>
      <c r="AU216" s="57">
        <f>IF(ISERROR(IF(B216=C216,J216/C216,(INT(J216/B216)+(((J216-B216*INT(J216/B216)))/C216)/100))),0,(IF(B216=C216,J216/C216,(INT(J216/B216)+(((J216-B216*INT(J216/B216)))/C216)/100))))</f>
        <v>0</v>
      </c>
      <c r="AV216" s="57">
        <f>IF(ISERROR(IF(B216=C216,K216/C216,IF((INT(K216/B216)+(((K216-B216*INT(K216/B216)))/C216)/100)&lt;0,(INT(K216/B216)+(((K216-B216*INT(K216/B216)))/C216)/100)+(1-(B216/C216/100)),(INT(K216/B216)+(((K216-B216*INT(K216/B216)))/C216)/100)))),0,IF(B216=C216,K216/C216,IF((INT(K216/B216)+(((K216-B216*INT(K216/B216)))/C216)/100)&lt;0,(INT(K216/B216)+(((K216-B216*INT(K216/B216)))/C216)/100)+(1-(B216/C216/100)),(INT(K216/B216)+(((K216-B216*INT(K216/B216)))/C216)/100))))</f>
        <v>0</v>
      </c>
      <c r="AW216" s="57">
        <f>IF(ISERROR(IF(B216=C216,L216/C216,(INT(L216/B216)+(((L216-B216*INT(L216/B216)))/C216)/100))),0,(IF(B216=C216,L216/C216,(INT(L216/B216)+(((L216-B216*INT(L216/B216)))/C216)/100))))</f>
        <v>0</v>
      </c>
      <c r="AX216" s="57">
        <f>IF(ISERROR(IF(B216=C216,M216/C216,(INT(M216/B216)+(((M216-B216*INT(M216/B216)))/C216)/100))),0,(IF(B216=C216,M216/C216,(INT(M216/B216)+(((M216-B216*INT(M216/B216)))/C216)/100))))</f>
        <v>0</v>
      </c>
      <c r="AY216" s="57">
        <f>IF(ISERROR(IF(B216=C216,N216/C216,IF((INT(N216/B216)+(((N216-B216*INT(N216/B216)))/C216)/100)&lt;0,(INT(N216/B216)+(((N216-B216*INT(N216/B216)))/C216)/100)+(1-(B216/C216/100)),(INT(N216/B216)+(((N216-B216*INT(N216/B216)))/C216)/100)))),0,IF(B216=C216,N216/C216,IF((INT(N216/B216)+(((N216-B216*INT(N216/B216)))/C216)/100)&lt;0,(INT(N216/B216)+(((N216-B216*INT(N216/B216)))/C216)/100)+(1-(B216/C216/100)),(INT(N216/B216)+(((N216-B216*INT(N216/B216)))/C216)/100))))</f>
        <v>0</v>
      </c>
      <c r="AZ216" s="57">
        <f>IF(ISERROR(IF(B216=C216,O216/C216,(INT(O216/B216)+(((O216-B216*INT(O216/B216)))/C216)/100))),0,(IF(B216=C216,O216/C216,(INT(O216/B216)+(((O216-B216*INT(O216/B216)))/C216)/100))))</f>
        <v>0</v>
      </c>
      <c r="BA216" s="57">
        <f>IF(ISERROR(IF(B216=C216,P216/C216,IF((INT(P216/B216)+(((P216-B216*INT(P216/B216)))/C216)/100)&lt;0,(INT(P216/B216)+(((P216-B216*INT(P216/B216)))/C216)/100)+(1-(B216/C216/100)),(INT(P216/B216)+(((P216-B216*INT(P216/B216)))/C216)/100)))),0,IF(B216=C216,P216/C216,IF((INT(P216/B216)+(((P216-B216*INT(P216/B216)))/C216)/100)&lt;0,(INT(P216/B216)+(((P216-B216*INT(P216/B216)))/C216)/100)+(1-(B216/C216/100)),(INT(P216/B216)+(((P216-B216*INT(P216/B216)))/C216)/100))))</f>
        <v>0</v>
      </c>
      <c r="BB216" s="28">
        <f>R216</f>
        <v>0</v>
      </c>
      <c r="BC216" s="28">
        <f>S216</f>
        <v>0</v>
      </c>
      <c r="BD216" s="28">
        <f>AF216</f>
        <v>0</v>
      </c>
      <c r="BE216" s="28">
        <f>T216</f>
        <v>0</v>
      </c>
      <c r="BG216" s="57">
        <f>IF(ISERROR(IF(B216=C216,V216/C216,(INT(V216/B216)+(((V216-B216*INT(V216/B216)))/C216)/100))),0,(IF(B216=C216,V216/C216,(INT(V216/B216)+(((V216-B216*INT(V216/B216)))/C216)/100))))</f>
        <v>0</v>
      </c>
      <c r="BH216" s="57">
        <f>IF(ISERROR(IF(B216=C216,W216/C216,(INT(W216/B216)+(((W216-B216*INT(W216/B216)))/C216)/100))),0,(IF(B216=C216,W216/C216,(INT(W216/B216)+(((W216-B216*INT(W216/B216)))/C216)/100))))</f>
        <v>0</v>
      </c>
      <c r="BI216" s="57">
        <f>IF(ISERROR(IF(B216=C216,X216/C216,(INT(X216/B216)+(((X216-B216*INT(X216/B216)))/C216)/100))),0,(IF(B216=C216,X216/C216,(INT(X216/B216)+(((X216-B216*INT(X216/B216)))/C216)/100))))</f>
        <v>0</v>
      </c>
      <c r="BJ216" s="57">
        <f>IF(ISERROR(IF(B216=C216,Y216/C216,(INT(Y216/B216)+(((Y216-B216*INT(Y216/B216)))/C216)/100))),0,(IF(B216=C216,Y216/C216,(INT(Y216/B216)+(((Y216-B216*INT(Y216/B216)))/C216)/100))))</f>
        <v>0</v>
      </c>
      <c r="BL216" s="57">
        <f>IF(ISERROR(IF(B216=C216,AA216/C216,(INT(AA216/B216)+(((AA216-B216*INT(AA216/B216)))/C216)/100))),0,(IF(B216=C216,AA216/C216,(INT(AA216/B216)+(((AA216-B216*INT(AA216/B216)))/C216)/100))))</f>
        <v>0</v>
      </c>
      <c r="BM216" s="57">
        <f>IF(ISERROR(IF(B216=C216,AB216/C216,(INT(AB216/B216)+(((AB216-B216*INT(AB216/B216)))/C216)/100))),0,(IF(B216=C216,AB216/C216,(INT(AB216/B216)+(((AB216-B216*INT(AB216/B216)))/C216)/100))))</f>
        <v>0</v>
      </c>
      <c r="BN216" s="57">
        <f>IF(ISERROR(IF(B216=C216,AC216/C216,(INT(AC216/B216)+(((AC216-B216*INT(AC216/B216)))/C216)/100))),0,(IF(B216=C216,AC216/C216,(INT(AC216/B216)+(((AC216-B216*INT(AC216/B216)))/C216)/100))))</f>
        <v>0</v>
      </c>
      <c r="BO216" s="57">
        <f>IF(ISERROR(IF(B216=C216,AD216/C216,(INT(AD216/B216)+(((AD216-B216*INT(AD216/B216)))/C216)/100))),0,(IF(B216=C216,AD216/C216,(INT(AD216/B216)+(((AD216-B216*INT(AD216/B216)))/C216)/100))))</f>
        <v>0</v>
      </c>
      <c r="BQ216" s="155"/>
    </row>
    <row r="217" spans="1:69" hidden="1" x14ac:dyDescent="0.35">
      <c r="A217" s="94"/>
      <c r="B217" s="113">
        <v>0</v>
      </c>
      <c r="C217" s="113">
        <v>0</v>
      </c>
      <c r="D217" s="28">
        <f>SUM(AA217:AD217)</f>
        <v>0</v>
      </c>
      <c r="E217" s="113">
        <v>0</v>
      </c>
      <c r="F217" s="113">
        <v>0</v>
      </c>
      <c r="G217" s="28">
        <f>SUM(D217:F217)</f>
        <v>0</v>
      </c>
      <c r="H217" s="125">
        <v>0</v>
      </c>
      <c r="I217" s="113">
        <v>0</v>
      </c>
      <c r="J217" s="125">
        <v>0</v>
      </c>
      <c r="K217" s="113">
        <v>0</v>
      </c>
      <c r="L217" s="113">
        <v>0</v>
      </c>
      <c r="M217" s="113">
        <v>0</v>
      </c>
      <c r="N217" s="28">
        <f>G217-SUM(H217:M217)</f>
        <v>0</v>
      </c>
      <c r="O217" s="28">
        <f>SUM(V217:Y217)</f>
        <v>0</v>
      </c>
      <c r="P217" s="28">
        <f>O217-N217</f>
        <v>0</v>
      </c>
      <c r="Q217" s="61" t="str">
        <f>IF(ISERROR(P217/SUM(H217:L217)),"",P217/SUM(H217:L217))</f>
        <v/>
      </c>
      <c r="R217" s="113">
        <v>0</v>
      </c>
      <c r="S217" s="28">
        <f>IF(ISERROR(P217/C217*R217),0,(P217/C217*R217))</f>
        <v>0</v>
      </c>
      <c r="T217" s="60">
        <f>IF(ISERROR(P217/B217*AF217),0,(P217/B217*AF217))</f>
        <v>0</v>
      </c>
      <c r="V217" s="113">
        <v>0</v>
      </c>
      <c r="W217" s="113">
        <v>0</v>
      </c>
      <c r="X217" s="113">
        <v>0</v>
      </c>
      <c r="Y217" s="113">
        <v>0</v>
      </c>
      <c r="AA217" s="113">
        <v>0</v>
      </c>
      <c r="AB217" s="113">
        <v>0</v>
      </c>
      <c r="AC217" s="113">
        <v>0</v>
      </c>
      <c r="AD217" s="113">
        <v>0</v>
      </c>
      <c r="AF217" s="113">
        <v>0</v>
      </c>
      <c r="AG217" s="28">
        <f>G217-O217</f>
        <v>0</v>
      </c>
      <c r="AH217" s="58">
        <f>IF(ISERROR(AG217/B217*AF217),0,(AG217/B217*AF217))</f>
        <v>0</v>
      </c>
      <c r="AI217" s="28">
        <f>SUM(H217:M217)</f>
        <v>0</v>
      </c>
      <c r="AJ217" s="28">
        <f>IF(ISERROR(AI217/B217*AF217),0,(AI217/B217*AF217))</f>
        <v>0</v>
      </c>
      <c r="AK217" s="58">
        <f>IF(ISERROR(O217/B217*AF217),0,(O217/B217*AF217))</f>
        <v>0</v>
      </c>
      <c r="AL217" s="28">
        <f>IF(ISERROR(H217/B217*AF217),0,(H217/B217*AF217))</f>
        <v>0</v>
      </c>
      <c r="AN217" s="51">
        <f>A217</f>
        <v>0</v>
      </c>
      <c r="AO217" s="57">
        <f>IF(ISERROR(IF(B217=C217,D217/C217,(INT(D217/B217)+(((D217-B217*INT(D217/B217)))/C217)/100))),0,(IF(B217=C217,D217/C217,(INT(D217/B217)+(((D217-B217*INT(D217/B217)))/C217)/100))))</f>
        <v>0</v>
      </c>
      <c r="AP217" s="57">
        <f>IF(ISERROR(IF(B217=C217,E217/C217,(INT(E217/B217)+(((E217-B217*INT(E217/B217)))/C217)/100))),0,(IF(B217=C217,E217/C217,(INT(E217/B217)+(((E217-B217*INT(E217/B217)))/C217)/100))))</f>
        <v>0</v>
      </c>
      <c r="AQ217" s="57">
        <f>IF(ISERROR(IF(B217=C217,F217/C217,IF((INT(F217/B217)+(((F217-B217*INT(F217/B217)))/C217)/100)&lt;0,(INT(F217/B217)+(((F217-B217*INT(F217/B217)))/C217)/100)+(1-(B217/C217/100)),(INT(F217/B217)+(((F217-B217*INT(F217/B217)))/C217)/100)))),0,IF(B217=C217,F217/C217,IF((INT(F217/B217)+(((F217-B217*INT(F217/B217)))/C217)/100)&lt;0,(INT(F217/B217)+(((F217-B217*INT(F217/B217)))/C217)/100)+(1-(B217/C217/100)),(INT(F217/B217)+(((F217-B217*INT(F217/B217)))/C217)/100))))</f>
        <v>0</v>
      </c>
      <c r="AR217" s="57">
        <f>IF(ISERROR(IF(B217=C217,G217/C217,(INT(G217/B217)+(((G217-B217*INT(G217/B217)))/C217)/100))),0,(IF(B217=C217,G217/C217,(INT(G217/B217)+(((G217-B217*INT(G217/B217)))/C217)/100))))</f>
        <v>0</v>
      </c>
      <c r="AS217" s="57">
        <f>IF(ISERROR(IF(B217=C217,H217/C217,(INT(H217/B217)+(((H217-B217*INT(H217/B217)))/C217)/100))),0,(IF(B217=C217,H217/C217,(INT(H217/B217)+(((H217-B217*INT(H217/B217)))/C217)/100))))</f>
        <v>0</v>
      </c>
      <c r="AT217" s="57">
        <f>IF(ISERROR(IF(B217=C217,I217/C217,(INT(I217/B217)+(((I217-B217*INT(I217/B217)))/C217)/100))),0,(IF(B217=C217,I217/C217,(INT(I217/B217)+(((I217-B217*INT(I217/B217)))/C217)/100))))</f>
        <v>0</v>
      </c>
      <c r="AU217" s="57">
        <f>IF(ISERROR(IF(B217=C217,J217/C217,(INT(J217/B217)+(((J217-B217*INT(J217/B217)))/C217)/100))),0,(IF(B217=C217,J217/C217,(INT(J217/B217)+(((J217-B217*INT(J217/B217)))/C217)/100))))</f>
        <v>0</v>
      </c>
      <c r="AV217" s="57">
        <f>IF(ISERROR(IF(B217=C217,K217/C217,IF((INT(K217/B217)+(((K217-B217*INT(K217/B217)))/C217)/100)&lt;0,(INT(K217/B217)+(((K217-B217*INT(K217/B217)))/C217)/100)+(1-(B217/C217/100)),(INT(K217/B217)+(((K217-B217*INT(K217/B217)))/C217)/100)))),0,IF(B217=C217,K217/C217,IF((INT(K217/B217)+(((K217-B217*INT(K217/B217)))/C217)/100)&lt;0,(INT(K217/B217)+(((K217-B217*INT(K217/B217)))/C217)/100)+(1-(B217/C217/100)),(INT(K217/B217)+(((K217-B217*INT(K217/B217)))/C217)/100))))</f>
        <v>0</v>
      </c>
      <c r="AW217" s="57">
        <f>IF(ISERROR(IF(B217=C217,L217/C217,(INT(L217/B217)+(((L217-B217*INT(L217/B217)))/C217)/100))),0,(IF(B217=C217,L217/C217,(INT(L217/B217)+(((L217-B217*INT(L217/B217)))/C217)/100))))</f>
        <v>0</v>
      </c>
      <c r="AX217" s="57">
        <f>IF(ISERROR(IF(B217=C217,M217/C217,(INT(M217/B217)+(((M217-B217*INT(M217/B217)))/C217)/100))),0,(IF(B217=C217,M217/C217,(INT(M217/B217)+(((M217-B217*INT(M217/B217)))/C217)/100))))</f>
        <v>0</v>
      </c>
      <c r="AY217" s="57">
        <f>IF(ISERROR(IF(B217=C217,N217/C217,IF((INT(N217/B217)+(((N217-B217*INT(N217/B217)))/C217)/100)&lt;0,(INT(N217/B217)+(((N217-B217*INT(N217/B217)))/C217)/100)+(1-(B217/C217/100)),(INT(N217/B217)+(((N217-B217*INT(N217/B217)))/C217)/100)))),0,IF(B217=C217,N217/C217,IF((INT(N217/B217)+(((N217-B217*INT(N217/B217)))/C217)/100)&lt;0,(INT(N217/B217)+(((N217-B217*INT(N217/B217)))/C217)/100)+(1-(B217/C217/100)),(INT(N217/B217)+(((N217-B217*INT(N217/B217)))/C217)/100))))</f>
        <v>0</v>
      </c>
      <c r="AZ217" s="57">
        <f>IF(ISERROR(IF(B217=C217,O217/C217,(INT(O217/B217)+(((O217-B217*INT(O217/B217)))/C217)/100))),0,(IF(B217=C217,O217/C217,(INT(O217/B217)+(((O217-B217*INT(O217/B217)))/C217)/100))))</f>
        <v>0</v>
      </c>
      <c r="BA217" s="57">
        <f>IF(ISERROR(IF(B217=C217,P217/C217,IF((INT(P217/B217)+(((P217-B217*INT(P217/B217)))/C217)/100)&lt;0,(INT(P217/B217)+(((P217-B217*INT(P217/B217)))/C217)/100)+(1-(B217/C217/100)),(INT(P217/B217)+(((P217-B217*INT(P217/B217)))/C217)/100)))),0,IF(B217=C217,P217/C217,IF((INT(P217/B217)+(((P217-B217*INT(P217/B217)))/C217)/100)&lt;0,(INT(P217/B217)+(((P217-B217*INT(P217/B217)))/C217)/100)+(1-(B217/C217/100)),(INT(P217/B217)+(((P217-B217*INT(P217/B217)))/C217)/100))))</f>
        <v>0</v>
      </c>
      <c r="BB217" s="28">
        <f>R217</f>
        <v>0</v>
      </c>
      <c r="BC217" s="28">
        <f>S217</f>
        <v>0</v>
      </c>
      <c r="BD217" s="28">
        <f>AF217</f>
        <v>0</v>
      </c>
      <c r="BE217" s="28">
        <f>T217</f>
        <v>0</v>
      </c>
      <c r="BG217" s="57">
        <f>IF(ISERROR(IF(B217=C217,V217/C217,(INT(V217/B217)+(((V217-B217*INT(V217/B217)))/C217)/100))),0,(IF(B217=C217,V217/C217,(INT(V217/B217)+(((V217-B217*INT(V217/B217)))/C217)/100))))</f>
        <v>0</v>
      </c>
      <c r="BH217" s="57">
        <f>IF(ISERROR(IF(B217=C217,W217/C217,(INT(W217/B217)+(((W217-B217*INT(W217/B217)))/C217)/100))),0,(IF(B217=C217,W217/C217,(INT(W217/B217)+(((W217-B217*INT(W217/B217)))/C217)/100))))</f>
        <v>0</v>
      </c>
      <c r="BI217" s="57">
        <f>IF(ISERROR(IF(B217=C217,X217/C217,(INT(X217/B217)+(((X217-B217*INT(X217/B217)))/C217)/100))),0,(IF(B217=C217,X217/C217,(INT(X217/B217)+(((X217-B217*INT(X217/B217)))/C217)/100))))</f>
        <v>0</v>
      </c>
      <c r="BJ217" s="57">
        <f>IF(ISERROR(IF(B217=C217,Y217/C217,(INT(Y217/B217)+(((Y217-B217*INT(Y217/B217)))/C217)/100))),0,(IF(B217=C217,Y217/C217,(INT(Y217/B217)+(((Y217-B217*INT(Y217/B217)))/C217)/100))))</f>
        <v>0</v>
      </c>
      <c r="BL217" s="57">
        <f>IF(ISERROR(IF(B217=C217,AA217/C217,(INT(AA217/B217)+(((AA217-B217*INT(AA217/B217)))/C217)/100))),0,(IF(B217=C217,AA217/C217,(INT(AA217/B217)+(((AA217-B217*INT(AA217/B217)))/C217)/100))))</f>
        <v>0</v>
      </c>
      <c r="BM217" s="57">
        <f>IF(ISERROR(IF(B217=C217,AB217/C217,(INT(AB217/B217)+(((AB217-B217*INT(AB217/B217)))/C217)/100))),0,(IF(B217=C217,AB217/C217,(INT(AB217/B217)+(((AB217-B217*INT(AB217/B217)))/C217)/100))))</f>
        <v>0</v>
      </c>
      <c r="BN217" s="57">
        <f>IF(ISERROR(IF(B217=C217,AC217/C217,(INT(AC217/B217)+(((AC217-B217*INT(AC217/B217)))/C217)/100))),0,(IF(B217=C217,AC217/C217,(INT(AC217/B217)+(((AC217-B217*INT(AC217/B217)))/C217)/100))))</f>
        <v>0</v>
      </c>
      <c r="BO217" s="57">
        <f>IF(ISERROR(IF(B217=C217,AD217/C217,(INT(AD217/B217)+(((AD217-B217*INT(AD217/B217)))/C217)/100))),0,(IF(B217=C217,AD217/C217,(INT(AD217/B217)+(((AD217-B217*INT(AD217/B217)))/C217)/100))))</f>
        <v>0</v>
      </c>
      <c r="BQ217" s="155"/>
    </row>
    <row r="218" spans="1:69" hidden="1" x14ac:dyDescent="0.35">
      <c r="A218" s="94"/>
      <c r="B218" s="113">
        <v>0</v>
      </c>
      <c r="C218" s="113">
        <v>0</v>
      </c>
      <c r="D218" s="28">
        <f>SUM(AA218:AD218)</f>
        <v>0</v>
      </c>
      <c r="E218" s="113">
        <v>0</v>
      </c>
      <c r="F218" s="113">
        <v>0</v>
      </c>
      <c r="G218" s="28">
        <f>SUM(D218:F218)</f>
        <v>0</v>
      </c>
      <c r="H218" s="125">
        <v>0</v>
      </c>
      <c r="I218" s="113">
        <v>0</v>
      </c>
      <c r="J218" s="125">
        <v>0</v>
      </c>
      <c r="K218" s="113">
        <v>0</v>
      </c>
      <c r="L218" s="113">
        <v>0</v>
      </c>
      <c r="M218" s="113">
        <v>0</v>
      </c>
      <c r="N218" s="28">
        <f>G218-SUM(H218:M218)</f>
        <v>0</v>
      </c>
      <c r="O218" s="28">
        <f>SUM(V218:Y218)</f>
        <v>0</v>
      </c>
      <c r="P218" s="28">
        <f>O218-N218</f>
        <v>0</v>
      </c>
      <c r="Q218" s="61" t="str">
        <f>IF(ISERROR(P218/SUM(H218:L218)),"",P218/SUM(H218:L218))</f>
        <v/>
      </c>
      <c r="R218" s="113">
        <v>0</v>
      </c>
      <c r="S218" s="28">
        <f>IF(ISERROR(P218/C218*R218),0,(P218/C218*R218))</f>
        <v>0</v>
      </c>
      <c r="T218" s="60">
        <f>IF(ISERROR(P218/B218*AF218),0,(P218/B218*AF218))</f>
        <v>0</v>
      </c>
      <c r="V218" s="113">
        <v>0</v>
      </c>
      <c r="W218" s="113">
        <v>0</v>
      </c>
      <c r="X218" s="113">
        <v>0</v>
      </c>
      <c r="Y218" s="113">
        <v>0</v>
      </c>
      <c r="AA218" s="113">
        <v>0</v>
      </c>
      <c r="AB218" s="113">
        <v>0</v>
      </c>
      <c r="AC218" s="113">
        <v>0</v>
      </c>
      <c r="AD218" s="113">
        <v>0</v>
      </c>
      <c r="AF218" s="113">
        <v>0</v>
      </c>
      <c r="AG218" s="28">
        <f>G218-O218</f>
        <v>0</v>
      </c>
      <c r="AH218" s="58">
        <f>IF(ISERROR(AG218/B218*AF218),0,(AG218/B218*AF218))</f>
        <v>0</v>
      </c>
      <c r="AI218" s="28">
        <f>SUM(H218:M218)</f>
        <v>0</v>
      </c>
      <c r="AJ218" s="28">
        <f>IF(ISERROR(AI218/B218*AF218),0,(AI218/B218*AF218))</f>
        <v>0</v>
      </c>
      <c r="AK218" s="58">
        <f>IF(ISERROR(O218/B218*AF218),0,(O218/B218*AF218))</f>
        <v>0</v>
      </c>
      <c r="AL218" s="28">
        <f>IF(ISERROR(H218/B218*AF218),0,(H218/B218*AF218))</f>
        <v>0</v>
      </c>
      <c r="AN218" s="51">
        <f>A218</f>
        <v>0</v>
      </c>
      <c r="AO218" s="57">
        <f>IF(ISERROR(IF(B218=C218,D218/C218,(INT(D218/B218)+(((D218-B218*INT(D218/B218)))/C218)/100))),0,(IF(B218=C218,D218/C218,(INT(D218/B218)+(((D218-B218*INT(D218/B218)))/C218)/100))))</f>
        <v>0</v>
      </c>
      <c r="AP218" s="57">
        <f>IF(ISERROR(IF(B218=C218,E218/C218,(INT(E218/B218)+(((E218-B218*INT(E218/B218)))/C218)/100))),0,(IF(B218=C218,E218/C218,(INT(E218/B218)+(((E218-B218*INT(E218/B218)))/C218)/100))))</f>
        <v>0</v>
      </c>
      <c r="AQ218" s="57">
        <f>IF(ISERROR(IF(B218=C218,F218/C218,IF((INT(F218/B218)+(((F218-B218*INT(F218/B218)))/C218)/100)&lt;0,(INT(F218/B218)+(((F218-B218*INT(F218/B218)))/C218)/100)+(1-(B218/C218/100)),(INT(F218/B218)+(((F218-B218*INT(F218/B218)))/C218)/100)))),0,IF(B218=C218,F218/C218,IF((INT(F218/B218)+(((F218-B218*INT(F218/B218)))/C218)/100)&lt;0,(INT(F218/B218)+(((F218-B218*INT(F218/B218)))/C218)/100)+(1-(B218/C218/100)),(INT(F218/B218)+(((F218-B218*INT(F218/B218)))/C218)/100))))</f>
        <v>0</v>
      </c>
      <c r="AR218" s="57">
        <f>IF(ISERROR(IF(B218=C218,G218/C218,(INT(G218/B218)+(((G218-B218*INT(G218/B218)))/C218)/100))),0,(IF(B218=C218,G218/C218,(INT(G218/B218)+(((G218-B218*INT(G218/B218)))/C218)/100))))</f>
        <v>0</v>
      </c>
      <c r="AS218" s="57">
        <f>IF(ISERROR(IF(B218=C218,H218/C218,(INT(H218/B218)+(((H218-B218*INT(H218/B218)))/C218)/100))),0,(IF(B218=C218,H218/C218,(INT(H218/B218)+(((H218-B218*INT(H218/B218)))/C218)/100))))</f>
        <v>0</v>
      </c>
      <c r="AT218" s="57">
        <f>IF(ISERROR(IF(B218=C218,I218/C218,(INT(I218/B218)+(((I218-B218*INT(I218/B218)))/C218)/100))),0,(IF(B218=C218,I218/C218,(INT(I218/B218)+(((I218-B218*INT(I218/B218)))/C218)/100))))</f>
        <v>0</v>
      </c>
      <c r="AU218" s="57">
        <f>IF(ISERROR(IF(B218=C218,J218/C218,(INT(J218/B218)+(((J218-B218*INT(J218/B218)))/C218)/100))),0,(IF(B218=C218,J218/C218,(INT(J218/B218)+(((J218-B218*INT(J218/B218)))/C218)/100))))</f>
        <v>0</v>
      </c>
      <c r="AV218" s="57">
        <f>IF(ISERROR(IF(B218=C218,K218/C218,IF((INT(K218/B218)+(((K218-B218*INT(K218/B218)))/C218)/100)&lt;0,(INT(K218/B218)+(((K218-B218*INT(K218/B218)))/C218)/100)+(1-(B218/C218/100)),(INT(K218/B218)+(((K218-B218*INT(K218/B218)))/C218)/100)))),0,IF(B218=C218,K218/C218,IF((INT(K218/B218)+(((K218-B218*INT(K218/B218)))/C218)/100)&lt;0,(INT(K218/B218)+(((K218-B218*INT(K218/B218)))/C218)/100)+(1-(B218/C218/100)),(INT(K218/B218)+(((K218-B218*INT(K218/B218)))/C218)/100))))</f>
        <v>0</v>
      </c>
      <c r="AW218" s="57">
        <f>IF(ISERROR(IF(B218=C218,L218/C218,(INT(L218/B218)+(((L218-B218*INT(L218/B218)))/C218)/100))),0,(IF(B218=C218,L218/C218,(INT(L218/B218)+(((L218-B218*INT(L218/B218)))/C218)/100))))</f>
        <v>0</v>
      </c>
      <c r="AX218" s="57">
        <f>IF(ISERROR(IF(B218=C218,M218/C218,(INT(M218/B218)+(((M218-B218*INT(M218/B218)))/C218)/100))),0,(IF(B218=C218,M218/C218,(INT(M218/B218)+(((M218-B218*INT(M218/B218)))/C218)/100))))</f>
        <v>0</v>
      </c>
      <c r="AY218" s="57">
        <f>IF(ISERROR(IF(B218=C218,N218/C218,IF((INT(N218/B218)+(((N218-B218*INT(N218/B218)))/C218)/100)&lt;0,(INT(N218/B218)+(((N218-B218*INT(N218/B218)))/C218)/100)+(1-(B218/C218/100)),(INT(N218/B218)+(((N218-B218*INT(N218/B218)))/C218)/100)))),0,IF(B218=C218,N218/C218,IF((INT(N218/B218)+(((N218-B218*INT(N218/B218)))/C218)/100)&lt;0,(INT(N218/B218)+(((N218-B218*INT(N218/B218)))/C218)/100)+(1-(B218/C218/100)),(INT(N218/B218)+(((N218-B218*INT(N218/B218)))/C218)/100))))</f>
        <v>0</v>
      </c>
      <c r="AZ218" s="57">
        <f>IF(ISERROR(IF(B218=C218,O218/C218,(INT(O218/B218)+(((O218-B218*INT(O218/B218)))/C218)/100))),0,(IF(B218=C218,O218/C218,(INT(O218/B218)+(((O218-B218*INT(O218/B218)))/C218)/100))))</f>
        <v>0</v>
      </c>
      <c r="BA218" s="57">
        <f>IF(ISERROR(IF(B218=C218,P218/C218,IF((INT(P218/B218)+(((P218-B218*INT(P218/B218)))/C218)/100)&lt;0,(INT(P218/B218)+(((P218-B218*INT(P218/B218)))/C218)/100)+(1-(B218/C218/100)),(INT(P218/B218)+(((P218-B218*INT(P218/B218)))/C218)/100)))),0,IF(B218=C218,P218/C218,IF((INT(P218/B218)+(((P218-B218*INT(P218/B218)))/C218)/100)&lt;0,(INT(P218/B218)+(((P218-B218*INT(P218/B218)))/C218)/100)+(1-(B218/C218/100)),(INT(P218/B218)+(((P218-B218*INT(P218/B218)))/C218)/100))))</f>
        <v>0</v>
      </c>
      <c r="BB218" s="28">
        <f>R218</f>
        <v>0</v>
      </c>
      <c r="BC218" s="28">
        <f>S218</f>
        <v>0</v>
      </c>
      <c r="BD218" s="28">
        <f>AF218</f>
        <v>0</v>
      </c>
      <c r="BE218" s="28">
        <f>T218</f>
        <v>0</v>
      </c>
      <c r="BG218" s="57">
        <f>IF(ISERROR(IF(B218=C218,V218/C218,(INT(V218/B218)+(((V218-B218*INT(V218/B218)))/C218)/100))),0,(IF(B218=C218,V218/C218,(INT(V218/B218)+(((V218-B218*INT(V218/B218)))/C218)/100))))</f>
        <v>0</v>
      </c>
      <c r="BH218" s="57">
        <f>IF(ISERROR(IF(B218=C218,W218/C218,(INT(W218/B218)+(((W218-B218*INT(W218/B218)))/C218)/100))),0,(IF(B218=C218,W218/C218,(INT(W218/B218)+(((W218-B218*INT(W218/B218)))/C218)/100))))</f>
        <v>0</v>
      </c>
      <c r="BI218" s="57">
        <f>IF(ISERROR(IF(B218=C218,X218/C218,(INT(X218/B218)+(((X218-B218*INT(X218/B218)))/C218)/100))),0,(IF(B218=C218,X218/C218,(INT(X218/B218)+(((X218-B218*INT(X218/B218)))/C218)/100))))</f>
        <v>0</v>
      </c>
      <c r="BJ218" s="57">
        <f>IF(ISERROR(IF(B218=C218,Y218/C218,(INT(Y218/B218)+(((Y218-B218*INT(Y218/B218)))/C218)/100))),0,(IF(B218=C218,Y218/C218,(INT(Y218/B218)+(((Y218-B218*INT(Y218/B218)))/C218)/100))))</f>
        <v>0</v>
      </c>
      <c r="BL218" s="57">
        <f>IF(ISERROR(IF(B218=C218,AA218/C218,(INT(AA218/B218)+(((AA218-B218*INT(AA218/B218)))/C218)/100))),0,(IF(B218=C218,AA218/C218,(INT(AA218/B218)+(((AA218-B218*INT(AA218/B218)))/C218)/100))))</f>
        <v>0</v>
      </c>
      <c r="BM218" s="57">
        <f>IF(ISERROR(IF(B218=C218,AB218/C218,(INT(AB218/B218)+(((AB218-B218*INT(AB218/B218)))/C218)/100))),0,(IF(B218=C218,AB218/C218,(INT(AB218/B218)+(((AB218-B218*INT(AB218/B218)))/C218)/100))))</f>
        <v>0</v>
      </c>
      <c r="BN218" s="57">
        <f>IF(ISERROR(IF(B218=C218,AC218/C218,(INT(AC218/B218)+(((AC218-B218*INT(AC218/B218)))/C218)/100))),0,(IF(B218=C218,AC218/C218,(INT(AC218/B218)+(((AC218-B218*INT(AC218/B218)))/C218)/100))))</f>
        <v>0</v>
      </c>
      <c r="BO218" s="57">
        <f>IF(ISERROR(IF(B218=C218,AD218/C218,(INT(AD218/B218)+(((AD218-B218*INT(AD218/B218)))/C218)/100))),0,(IF(B218=C218,AD218/C218,(INT(AD218/B218)+(((AD218-B218*INT(AD218/B218)))/C218)/100))))</f>
        <v>0</v>
      </c>
      <c r="BQ218" s="155"/>
    </row>
    <row r="219" spans="1:69" hidden="1" x14ac:dyDescent="0.35">
      <c r="A219" s="94"/>
      <c r="B219" s="113">
        <v>0</v>
      </c>
      <c r="C219" s="113">
        <v>0</v>
      </c>
      <c r="D219" s="28">
        <f>SUM(AA219:AD219)</f>
        <v>0</v>
      </c>
      <c r="E219" s="113">
        <v>0</v>
      </c>
      <c r="F219" s="113">
        <v>0</v>
      </c>
      <c r="G219" s="28">
        <f>SUM(D219:F219)</f>
        <v>0</v>
      </c>
      <c r="H219" s="125">
        <v>0</v>
      </c>
      <c r="I219" s="113">
        <v>0</v>
      </c>
      <c r="J219" s="125">
        <v>0</v>
      </c>
      <c r="K219" s="113">
        <v>0</v>
      </c>
      <c r="L219" s="113">
        <v>0</v>
      </c>
      <c r="M219" s="113">
        <v>0</v>
      </c>
      <c r="N219" s="28">
        <f>G219-SUM(H219:M219)</f>
        <v>0</v>
      </c>
      <c r="O219" s="28">
        <f>SUM(V219:Y219)</f>
        <v>0</v>
      </c>
      <c r="P219" s="28">
        <f>O219-N219</f>
        <v>0</v>
      </c>
      <c r="Q219" s="61" t="str">
        <f>IF(ISERROR(P219/SUM(H219:L219)),"",P219/SUM(H219:L219))</f>
        <v/>
      </c>
      <c r="R219" s="113">
        <v>0</v>
      </c>
      <c r="S219" s="28">
        <f>IF(ISERROR(P219/C219*R219),0,(P219/C219*R219))</f>
        <v>0</v>
      </c>
      <c r="T219" s="60">
        <f>IF(ISERROR(P219/B219*AF219),0,(P219/B219*AF219))</f>
        <v>0</v>
      </c>
      <c r="V219" s="113">
        <v>0</v>
      </c>
      <c r="W219" s="113">
        <v>0</v>
      </c>
      <c r="X219" s="113">
        <v>0</v>
      </c>
      <c r="Y219" s="113">
        <v>0</v>
      </c>
      <c r="AA219" s="113">
        <v>0</v>
      </c>
      <c r="AB219" s="113">
        <v>0</v>
      </c>
      <c r="AC219" s="113">
        <v>0</v>
      </c>
      <c r="AD219" s="113">
        <v>0</v>
      </c>
      <c r="AF219" s="113">
        <v>0</v>
      </c>
      <c r="AG219" s="28">
        <f>G219-O219</f>
        <v>0</v>
      </c>
      <c r="AH219" s="58">
        <f>IF(ISERROR(AG219/B219*AF219),0,(AG219/B219*AF219))</f>
        <v>0</v>
      </c>
      <c r="AI219" s="28">
        <f>SUM(H219:M219)</f>
        <v>0</v>
      </c>
      <c r="AJ219" s="28">
        <f>IF(ISERROR(AI219/B219*AF219),0,(AI219/B219*AF219))</f>
        <v>0</v>
      </c>
      <c r="AK219" s="58">
        <f>IF(ISERROR(O219/B219*AF219),0,(O219/B219*AF219))</f>
        <v>0</v>
      </c>
      <c r="AL219" s="28">
        <f>IF(ISERROR(H219/B219*AF219),0,(H219/B219*AF219))</f>
        <v>0</v>
      </c>
      <c r="AN219" s="51">
        <f>A219</f>
        <v>0</v>
      </c>
      <c r="AO219" s="57">
        <f>IF(ISERROR(IF(B219=C219,D219/C219,(INT(D219/B219)+(((D219-B219*INT(D219/B219)))/C219)/100))),0,(IF(B219=C219,D219/C219,(INT(D219/B219)+(((D219-B219*INT(D219/B219)))/C219)/100))))</f>
        <v>0</v>
      </c>
      <c r="AP219" s="57">
        <f>IF(ISERROR(IF(B219=C219,E219/C219,(INT(E219/B219)+(((E219-B219*INT(E219/B219)))/C219)/100))),0,(IF(B219=C219,E219/C219,(INT(E219/B219)+(((E219-B219*INT(E219/B219)))/C219)/100))))</f>
        <v>0</v>
      </c>
      <c r="AQ219" s="57">
        <f>IF(ISERROR(IF(B219=C219,F219/C219,IF((INT(F219/B219)+(((F219-B219*INT(F219/B219)))/C219)/100)&lt;0,(INT(F219/B219)+(((F219-B219*INT(F219/B219)))/C219)/100)+(1-(B219/C219/100)),(INT(F219/B219)+(((F219-B219*INT(F219/B219)))/C219)/100)))),0,IF(B219=C219,F219/C219,IF((INT(F219/B219)+(((F219-B219*INT(F219/B219)))/C219)/100)&lt;0,(INT(F219/B219)+(((F219-B219*INT(F219/B219)))/C219)/100)+(1-(B219/C219/100)),(INT(F219/B219)+(((F219-B219*INT(F219/B219)))/C219)/100))))</f>
        <v>0</v>
      </c>
      <c r="AR219" s="57">
        <f>IF(ISERROR(IF(B219=C219,G219/C219,(INT(G219/B219)+(((G219-B219*INT(G219/B219)))/C219)/100))),0,(IF(B219=C219,G219/C219,(INT(G219/B219)+(((G219-B219*INT(G219/B219)))/C219)/100))))</f>
        <v>0</v>
      </c>
      <c r="AS219" s="57">
        <f>IF(ISERROR(IF(B219=C219,H219/C219,(INT(H219/B219)+(((H219-B219*INT(H219/B219)))/C219)/100))),0,(IF(B219=C219,H219/C219,(INT(H219/B219)+(((H219-B219*INT(H219/B219)))/C219)/100))))</f>
        <v>0</v>
      </c>
      <c r="AT219" s="57">
        <f>IF(ISERROR(IF(B219=C219,I219/C219,(INT(I219/B219)+(((I219-B219*INT(I219/B219)))/C219)/100))),0,(IF(B219=C219,I219/C219,(INT(I219/B219)+(((I219-B219*INT(I219/B219)))/C219)/100))))</f>
        <v>0</v>
      </c>
      <c r="AU219" s="57">
        <f>IF(ISERROR(IF(B219=C219,J219/C219,(INT(J219/B219)+(((J219-B219*INT(J219/B219)))/C219)/100))),0,(IF(B219=C219,J219/C219,(INT(J219/B219)+(((J219-B219*INT(J219/B219)))/C219)/100))))</f>
        <v>0</v>
      </c>
      <c r="AV219" s="57">
        <f>IF(ISERROR(IF(B219=C219,K219/C219,IF((INT(K219/B219)+(((K219-B219*INT(K219/B219)))/C219)/100)&lt;0,(INT(K219/B219)+(((K219-B219*INT(K219/B219)))/C219)/100)+(1-(B219/C219/100)),(INT(K219/B219)+(((K219-B219*INT(K219/B219)))/C219)/100)))),0,IF(B219=C219,K219/C219,IF((INT(K219/B219)+(((K219-B219*INT(K219/B219)))/C219)/100)&lt;0,(INT(K219/B219)+(((K219-B219*INT(K219/B219)))/C219)/100)+(1-(B219/C219/100)),(INT(K219/B219)+(((K219-B219*INT(K219/B219)))/C219)/100))))</f>
        <v>0</v>
      </c>
      <c r="AW219" s="57">
        <f>IF(ISERROR(IF(B219=C219,L219/C219,(INT(L219/B219)+(((L219-B219*INT(L219/B219)))/C219)/100))),0,(IF(B219=C219,L219/C219,(INT(L219/B219)+(((L219-B219*INT(L219/B219)))/C219)/100))))</f>
        <v>0</v>
      </c>
      <c r="AX219" s="57">
        <f>IF(ISERROR(IF(B219=C219,M219/C219,(INT(M219/B219)+(((M219-B219*INT(M219/B219)))/C219)/100))),0,(IF(B219=C219,M219/C219,(INT(M219/B219)+(((M219-B219*INT(M219/B219)))/C219)/100))))</f>
        <v>0</v>
      </c>
      <c r="AY219" s="57">
        <f>IF(ISERROR(IF(B219=C219,N219/C219,IF((INT(N219/B219)+(((N219-B219*INT(N219/B219)))/C219)/100)&lt;0,(INT(N219/B219)+(((N219-B219*INT(N219/B219)))/C219)/100)+(1-(B219/C219/100)),(INT(N219/B219)+(((N219-B219*INT(N219/B219)))/C219)/100)))),0,IF(B219=C219,N219/C219,IF((INT(N219/B219)+(((N219-B219*INT(N219/B219)))/C219)/100)&lt;0,(INT(N219/B219)+(((N219-B219*INT(N219/B219)))/C219)/100)+(1-(B219/C219/100)),(INT(N219/B219)+(((N219-B219*INT(N219/B219)))/C219)/100))))</f>
        <v>0</v>
      </c>
      <c r="AZ219" s="57">
        <f>IF(ISERROR(IF(B219=C219,O219/C219,(INT(O219/B219)+(((O219-B219*INT(O219/B219)))/C219)/100))),0,(IF(B219=C219,O219/C219,(INT(O219/B219)+(((O219-B219*INT(O219/B219)))/C219)/100))))</f>
        <v>0</v>
      </c>
      <c r="BA219" s="57">
        <f>IF(ISERROR(IF(B219=C219,P219/C219,IF((INT(P219/B219)+(((P219-B219*INT(P219/B219)))/C219)/100)&lt;0,(INT(P219/B219)+(((P219-B219*INT(P219/B219)))/C219)/100)+(1-(B219/C219/100)),(INT(P219/B219)+(((P219-B219*INT(P219/B219)))/C219)/100)))),0,IF(B219=C219,P219/C219,IF((INT(P219/B219)+(((P219-B219*INT(P219/B219)))/C219)/100)&lt;0,(INT(P219/B219)+(((P219-B219*INT(P219/B219)))/C219)/100)+(1-(B219/C219/100)),(INT(P219/B219)+(((P219-B219*INT(P219/B219)))/C219)/100))))</f>
        <v>0</v>
      </c>
      <c r="BB219" s="28">
        <f>R219</f>
        <v>0</v>
      </c>
      <c r="BC219" s="28">
        <f>S219</f>
        <v>0</v>
      </c>
      <c r="BD219" s="28">
        <f>AF219</f>
        <v>0</v>
      </c>
      <c r="BE219" s="28">
        <f>T219</f>
        <v>0</v>
      </c>
      <c r="BG219" s="57">
        <f>IF(ISERROR(IF(B219=C219,V219/C219,(INT(V219/B219)+(((V219-B219*INT(V219/B219)))/C219)/100))),0,(IF(B219=C219,V219/C219,(INT(V219/B219)+(((V219-B219*INT(V219/B219)))/C219)/100))))</f>
        <v>0</v>
      </c>
      <c r="BH219" s="57">
        <f>IF(ISERROR(IF(B219=C219,W219/C219,(INT(W219/B219)+(((W219-B219*INT(W219/B219)))/C219)/100))),0,(IF(B219=C219,W219/C219,(INT(W219/B219)+(((W219-B219*INT(W219/B219)))/C219)/100))))</f>
        <v>0</v>
      </c>
      <c r="BI219" s="57">
        <f>IF(ISERROR(IF(B219=C219,X219/C219,(INT(X219/B219)+(((X219-B219*INT(X219/B219)))/C219)/100))),0,(IF(B219=C219,X219/C219,(INT(X219/B219)+(((X219-B219*INT(X219/B219)))/C219)/100))))</f>
        <v>0</v>
      </c>
      <c r="BJ219" s="57">
        <f>IF(ISERROR(IF(B219=C219,Y219/C219,(INT(Y219/B219)+(((Y219-B219*INT(Y219/B219)))/C219)/100))),0,(IF(B219=C219,Y219/C219,(INT(Y219/B219)+(((Y219-B219*INT(Y219/B219)))/C219)/100))))</f>
        <v>0</v>
      </c>
      <c r="BL219" s="57">
        <f>IF(ISERROR(IF(B219=C219,AA219/C219,(INT(AA219/B219)+(((AA219-B219*INT(AA219/B219)))/C219)/100))),0,(IF(B219=C219,AA219/C219,(INT(AA219/B219)+(((AA219-B219*INT(AA219/B219)))/C219)/100))))</f>
        <v>0</v>
      </c>
      <c r="BM219" s="57">
        <f>IF(ISERROR(IF(B219=C219,AB219/C219,(INT(AB219/B219)+(((AB219-B219*INT(AB219/B219)))/C219)/100))),0,(IF(B219=C219,AB219/C219,(INT(AB219/B219)+(((AB219-B219*INT(AB219/B219)))/C219)/100))))</f>
        <v>0</v>
      </c>
      <c r="BN219" s="57">
        <f>IF(ISERROR(IF(B219=C219,AC219/C219,(INT(AC219/B219)+(((AC219-B219*INT(AC219/B219)))/C219)/100))),0,(IF(B219=C219,AC219/C219,(INT(AC219/B219)+(((AC219-B219*INT(AC219/B219)))/C219)/100))))</f>
        <v>0</v>
      </c>
      <c r="BO219" s="57">
        <f>IF(ISERROR(IF(B219=C219,AD219/C219,(INT(AD219/B219)+(((AD219-B219*INT(AD219/B219)))/C219)/100))),0,(IF(B219=C219,AD219/C219,(INT(AD219/B219)+(((AD219-B219*INT(AD219/B219)))/C219)/100))))</f>
        <v>0</v>
      </c>
      <c r="BQ219" s="155"/>
    </row>
    <row r="220" spans="1:69" hidden="1" x14ac:dyDescent="0.35">
      <c r="A220" s="94"/>
      <c r="B220" s="113">
        <v>0</v>
      </c>
      <c r="C220" s="113">
        <v>0</v>
      </c>
      <c r="D220" s="28">
        <f>SUM(AA220:AD220)</f>
        <v>0</v>
      </c>
      <c r="E220" s="113">
        <v>0</v>
      </c>
      <c r="F220" s="113">
        <v>0</v>
      </c>
      <c r="G220" s="28">
        <f>SUM(D220:F220)</f>
        <v>0</v>
      </c>
      <c r="H220" s="125">
        <v>0</v>
      </c>
      <c r="I220" s="113">
        <v>0</v>
      </c>
      <c r="J220" s="125">
        <v>0</v>
      </c>
      <c r="K220" s="113">
        <v>0</v>
      </c>
      <c r="L220" s="113">
        <v>0</v>
      </c>
      <c r="M220" s="113">
        <v>0</v>
      </c>
      <c r="N220" s="28">
        <f>G220-SUM(H220:M220)</f>
        <v>0</v>
      </c>
      <c r="O220" s="28">
        <f>SUM(V220:Y220)</f>
        <v>0</v>
      </c>
      <c r="P220" s="28">
        <f>O220-N220</f>
        <v>0</v>
      </c>
      <c r="Q220" s="61" t="str">
        <f>IF(ISERROR(P220/SUM(H220:L220)),"",P220/SUM(H220:L220))</f>
        <v/>
      </c>
      <c r="R220" s="113">
        <v>0</v>
      </c>
      <c r="S220" s="28">
        <f>IF(ISERROR(P220/C220*R220),0,(P220/C220*R220))</f>
        <v>0</v>
      </c>
      <c r="T220" s="60">
        <f>IF(ISERROR(P220/B220*AF220),0,(P220/B220*AF220))</f>
        <v>0</v>
      </c>
      <c r="V220" s="113">
        <v>0</v>
      </c>
      <c r="W220" s="113">
        <v>0</v>
      </c>
      <c r="X220" s="113">
        <v>0</v>
      </c>
      <c r="Y220" s="113">
        <v>0</v>
      </c>
      <c r="AA220" s="113">
        <v>0</v>
      </c>
      <c r="AB220" s="113">
        <v>0</v>
      </c>
      <c r="AC220" s="113">
        <v>0</v>
      </c>
      <c r="AD220" s="113">
        <v>0</v>
      </c>
      <c r="AF220" s="113">
        <v>0</v>
      </c>
      <c r="AG220" s="28">
        <f>G220-O220</f>
        <v>0</v>
      </c>
      <c r="AH220" s="58">
        <f>IF(ISERROR(AG220/B220*AF220),0,(AG220/B220*AF220))</f>
        <v>0</v>
      </c>
      <c r="AI220" s="28">
        <f>SUM(H220:M220)</f>
        <v>0</v>
      </c>
      <c r="AJ220" s="28">
        <f>IF(ISERROR(AI220/B220*AF220),0,(AI220/B220*AF220))</f>
        <v>0</v>
      </c>
      <c r="AK220" s="58">
        <f>IF(ISERROR(O220/B220*AF220),0,(O220/B220*AF220))</f>
        <v>0</v>
      </c>
      <c r="AL220" s="28">
        <f>IF(ISERROR(H220/B220*AF220),0,(H220/B220*AF220))</f>
        <v>0</v>
      </c>
      <c r="AN220" s="51">
        <f>A220</f>
        <v>0</v>
      </c>
      <c r="AO220" s="57">
        <f>IF(ISERROR(IF(B220=C220,D220/C220,(INT(D220/B220)+(((D220-B220*INT(D220/B220)))/C220)/100))),0,(IF(B220=C220,D220/C220,(INT(D220/B220)+(((D220-B220*INT(D220/B220)))/C220)/100))))</f>
        <v>0</v>
      </c>
      <c r="AP220" s="57">
        <f>IF(ISERROR(IF(B220=C220,E220/C220,(INT(E220/B220)+(((E220-B220*INT(E220/B220)))/C220)/100))),0,(IF(B220=C220,E220/C220,(INT(E220/B220)+(((E220-B220*INT(E220/B220)))/C220)/100))))</f>
        <v>0</v>
      </c>
      <c r="AQ220" s="57">
        <f>IF(ISERROR(IF(B220=C220,F220/C220,IF((INT(F220/B220)+(((F220-B220*INT(F220/B220)))/C220)/100)&lt;0,(INT(F220/B220)+(((F220-B220*INT(F220/B220)))/C220)/100)+(1-(B220/C220/100)),(INT(F220/B220)+(((F220-B220*INT(F220/B220)))/C220)/100)))),0,IF(B220=C220,F220/C220,IF((INT(F220/B220)+(((F220-B220*INT(F220/B220)))/C220)/100)&lt;0,(INT(F220/B220)+(((F220-B220*INT(F220/B220)))/C220)/100)+(1-(B220/C220/100)),(INT(F220/B220)+(((F220-B220*INT(F220/B220)))/C220)/100))))</f>
        <v>0</v>
      </c>
      <c r="AR220" s="57">
        <f>IF(ISERROR(IF(B220=C220,G220/C220,(INT(G220/B220)+(((G220-B220*INT(G220/B220)))/C220)/100))),0,(IF(B220=C220,G220/C220,(INT(G220/B220)+(((G220-B220*INT(G220/B220)))/C220)/100))))</f>
        <v>0</v>
      </c>
      <c r="AS220" s="57">
        <f>IF(ISERROR(IF(B220=C220,H220/C220,(INT(H220/B220)+(((H220-B220*INT(H220/B220)))/C220)/100))),0,(IF(B220=C220,H220/C220,(INT(H220/B220)+(((H220-B220*INT(H220/B220)))/C220)/100))))</f>
        <v>0</v>
      </c>
      <c r="AT220" s="57">
        <f>IF(ISERROR(IF(B220=C220,I220/C220,(INT(I220/B220)+(((I220-B220*INT(I220/B220)))/C220)/100))),0,(IF(B220=C220,I220/C220,(INT(I220/B220)+(((I220-B220*INT(I220/B220)))/C220)/100))))</f>
        <v>0</v>
      </c>
      <c r="AU220" s="57">
        <f>IF(ISERROR(IF(B220=C220,J220/C220,(INT(J220/B220)+(((J220-B220*INT(J220/B220)))/C220)/100))),0,(IF(B220=C220,J220/C220,(INT(J220/B220)+(((J220-B220*INT(J220/B220)))/C220)/100))))</f>
        <v>0</v>
      </c>
      <c r="AV220" s="57">
        <f>IF(ISERROR(IF(B220=C220,K220/C220,IF((INT(K220/B220)+(((K220-B220*INT(K220/B220)))/C220)/100)&lt;0,(INT(K220/B220)+(((K220-B220*INT(K220/B220)))/C220)/100)+(1-(B220/C220/100)),(INT(K220/B220)+(((K220-B220*INT(K220/B220)))/C220)/100)))),0,IF(B220=C220,K220/C220,IF((INT(K220/B220)+(((K220-B220*INT(K220/B220)))/C220)/100)&lt;0,(INT(K220/B220)+(((K220-B220*INT(K220/B220)))/C220)/100)+(1-(B220/C220/100)),(INT(K220/B220)+(((K220-B220*INT(K220/B220)))/C220)/100))))</f>
        <v>0</v>
      </c>
      <c r="AW220" s="57">
        <f>IF(ISERROR(IF(B220=C220,L220/C220,(INT(L220/B220)+(((L220-B220*INT(L220/B220)))/C220)/100))),0,(IF(B220=C220,L220/C220,(INT(L220/B220)+(((L220-B220*INT(L220/B220)))/C220)/100))))</f>
        <v>0</v>
      </c>
      <c r="AX220" s="57">
        <f>IF(ISERROR(IF(B220=C220,M220/C220,(INT(M220/B220)+(((M220-B220*INT(M220/B220)))/C220)/100))),0,(IF(B220=C220,M220/C220,(INT(M220/B220)+(((M220-B220*INT(M220/B220)))/C220)/100))))</f>
        <v>0</v>
      </c>
      <c r="AY220" s="57">
        <f>IF(ISERROR(IF(B220=C220,N220/C220,IF((INT(N220/B220)+(((N220-B220*INT(N220/B220)))/C220)/100)&lt;0,(INT(N220/B220)+(((N220-B220*INT(N220/B220)))/C220)/100)+(1-(B220/C220/100)),(INT(N220/B220)+(((N220-B220*INT(N220/B220)))/C220)/100)))),0,IF(B220=C220,N220/C220,IF((INT(N220/B220)+(((N220-B220*INT(N220/B220)))/C220)/100)&lt;0,(INT(N220/B220)+(((N220-B220*INT(N220/B220)))/C220)/100)+(1-(B220/C220/100)),(INT(N220/B220)+(((N220-B220*INT(N220/B220)))/C220)/100))))</f>
        <v>0</v>
      </c>
      <c r="AZ220" s="57">
        <f>IF(ISERROR(IF(B220=C220,O220/C220,(INT(O220/B220)+(((O220-B220*INT(O220/B220)))/C220)/100))),0,(IF(B220=C220,O220/C220,(INT(O220/B220)+(((O220-B220*INT(O220/B220)))/C220)/100))))</f>
        <v>0</v>
      </c>
      <c r="BA220" s="57">
        <f>IF(ISERROR(IF(B220=C220,P220/C220,IF((INT(P220/B220)+(((P220-B220*INT(P220/B220)))/C220)/100)&lt;0,(INT(P220/B220)+(((P220-B220*INT(P220/B220)))/C220)/100)+(1-(B220/C220/100)),(INT(P220/B220)+(((P220-B220*INT(P220/B220)))/C220)/100)))),0,IF(B220=C220,P220/C220,IF((INT(P220/B220)+(((P220-B220*INT(P220/B220)))/C220)/100)&lt;0,(INT(P220/B220)+(((P220-B220*INT(P220/B220)))/C220)/100)+(1-(B220/C220/100)),(INT(P220/B220)+(((P220-B220*INT(P220/B220)))/C220)/100))))</f>
        <v>0</v>
      </c>
      <c r="BB220" s="28">
        <f>R220</f>
        <v>0</v>
      </c>
      <c r="BC220" s="28">
        <f>S220</f>
        <v>0</v>
      </c>
      <c r="BD220" s="28">
        <f>AF220</f>
        <v>0</v>
      </c>
      <c r="BE220" s="28">
        <f>T220</f>
        <v>0</v>
      </c>
      <c r="BG220" s="57">
        <f>IF(ISERROR(IF(B220=C220,V220/C220,(INT(V220/B220)+(((V220-B220*INT(V220/B220)))/C220)/100))),0,(IF(B220=C220,V220/C220,(INT(V220/B220)+(((V220-B220*INT(V220/B220)))/C220)/100))))</f>
        <v>0</v>
      </c>
      <c r="BH220" s="57">
        <f>IF(ISERROR(IF(B220=C220,W220/C220,(INT(W220/B220)+(((W220-B220*INT(W220/B220)))/C220)/100))),0,(IF(B220=C220,W220/C220,(INT(W220/B220)+(((W220-B220*INT(W220/B220)))/C220)/100))))</f>
        <v>0</v>
      </c>
      <c r="BI220" s="57">
        <f>IF(ISERROR(IF(B220=C220,X220/C220,(INT(X220/B220)+(((X220-B220*INT(X220/B220)))/C220)/100))),0,(IF(B220=C220,X220/C220,(INT(X220/B220)+(((X220-B220*INT(X220/B220)))/C220)/100))))</f>
        <v>0</v>
      </c>
      <c r="BJ220" s="57">
        <f>IF(ISERROR(IF(B220=C220,Y220/C220,(INT(Y220/B220)+(((Y220-B220*INT(Y220/B220)))/C220)/100))),0,(IF(B220=C220,Y220/C220,(INT(Y220/B220)+(((Y220-B220*INT(Y220/B220)))/C220)/100))))</f>
        <v>0</v>
      </c>
      <c r="BL220" s="57">
        <f>IF(ISERROR(IF(B220=C220,AA220/C220,(INT(AA220/B220)+(((AA220-B220*INT(AA220/B220)))/C220)/100))),0,(IF(B220=C220,AA220/C220,(INT(AA220/B220)+(((AA220-B220*INT(AA220/B220)))/C220)/100))))</f>
        <v>0</v>
      </c>
      <c r="BM220" s="57">
        <f>IF(ISERROR(IF(B220=C220,AB220/C220,(INT(AB220/B220)+(((AB220-B220*INT(AB220/B220)))/C220)/100))),0,(IF(B220=C220,AB220/C220,(INT(AB220/B220)+(((AB220-B220*INT(AB220/B220)))/C220)/100))))</f>
        <v>0</v>
      </c>
      <c r="BN220" s="57">
        <f>IF(ISERROR(IF(B220=C220,AC220/C220,(INT(AC220/B220)+(((AC220-B220*INT(AC220/B220)))/C220)/100))),0,(IF(B220=C220,AC220/C220,(INT(AC220/B220)+(((AC220-B220*INT(AC220/B220)))/C220)/100))))</f>
        <v>0</v>
      </c>
      <c r="BO220" s="57">
        <f>IF(ISERROR(IF(B220=C220,AD220/C220,(INT(AD220/B220)+(((AD220-B220*INT(AD220/B220)))/C220)/100))),0,(IF(B220=C220,AD220/C220,(INT(AD220/B220)+(((AD220-B220*INT(AD220/B220)))/C220)/100))))</f>
        <v>0</v>
      </c>
      <c r="BQ220" s="155"/>
    </row>
    <row r="221" spans="1:69" hidden="1" x14ac:dyDescent="0.35">
      <c r="A221" s="94"/>
      <c r="B221" s="113">
        <v>0</v>
      </c>
      <c r="C221" s="113">
        <v>0</v>
      </c>
      <c r="D221" s="28">
        <f>SUM(AA221:AD221)</f>
        <v>0</v>
      </c>
      <c r="E221" s="113">
        <v>0</v>
      </c>
      <c r="F221" s="113">
        <v>0</v>
      </c>
      <c r="G221" s="28">
        <f>SUM(D221:F221)</f>
        <v>0</v>
      </c>
      <c r="H221" s="125">
        <v>0</v>
      </c>
      <c r="I221" s="113">
        <v>0</v>
      </c>
      <c r="J221" s="125">
        <v>0</v>
      </c>
      <c r="K221" s="113">
        <v>0</v>
      </c>
      <c r="L221" s="113">
        <v>0</v>
      </c>
      <c r="M221" s="113">
        <v>0</v>
      </c>
      <c r="N221" s="28">
        <f>G221-SUM(H221:M221)</f>
        <v>0</v>
      </c>
      <c r="O221" s="28">
        <f>SUM(V221:Y221)</f>
        <v>0</v>
      </c>
      <c r="P221" s="28">
        <f>O221-N221</f>
        <v>0</v>
      </c>
      <c r="Q221" s="61" t="str">
        <f>IF(ISERROR(P221/SUM(H221:L221)),"",P221/SUM(H221:L221))</f>
        <v/>
      </c>
      <c r="R221" s="113">
        <v>0</v>
      </c>
      <c r="S221" s="28">
        <f>IF(ISERROR(P221/C221*R221),0,(P221/C221*R221))</f>
        <v>0</v>
      </c>
      <c r="T221" s="60">
        <f>IF(ISERROR(P221/B221*AF221),0,(P221/B221*AF221))</f>
        <v>0</v>
      </c>
      <c r="V221" s="113">
        <v>0</v>
      </c>
      <c r="W221" s="113">
        <v>0</v>
      </c>
      <c r="X221" s="113">
        <v>0</v>
      </c>
      <c r="Y221" s="113">
        <v>0</v>
      </c>
      <c r="AA221" s="113">
        <v>0</v>
      </c>
      <c r="AB221" s="113">
        <v>0</v>
      </c>
      <c r="AC221" s="113">
        <v>0</v>
      </c>
      <c r="AD221" s="113">
        <v>0</v>
      </c>
      <c r="AF221" s="113">
        <v>0</v>
      </c>
      <c r="AG221" s="28">
        <f>G221-O221</f>
        <v>0</v>
      </c>
      <c r="AH221" s="58">
        <f>IF(ISERROR(AG221/B221*AF221),0,(AG221/B221*AF221))</f>
        <v>0</v>
      </c>
      <c r="AI221" s="28">
        <f>SUM(H221:M221)</f>
        <v>0</v>
      </c>
      <c r="AJ221" s="28">
        <f>IF(ISERROR(AI221/B221*AF221),0,(AI221/B221*AF221))</f>
        <v>0</v>
      </c>
      <c r="AK221" s="58">
        <f>IF(ISERROR(O221/B221*AF221),0,(O221/B221*AF221))</f>
        <v>0</v>
      </c>
      <c r="AL221" s="28">
        <f>IF(ISERROR(H221/B221*AF221),0,(H221/B221*AF221))</f>
        <v>0</v>
      </c>
      <c r="AN221" s="51">
        <f>A221</f>
        <v>0</v>
      </c>
      <c r="AO221" s="57">
        <f>IF(ISERROR(IF(B221=C221,D221/C221,(INT(D221/B221)+(((D221-B221*INT(D221/B221)))/C221)/100))),0,(IF(B221=C221,D221/C221,(INT(D221/B221)+(((D221-B221*INT(D221/B221)))/C221)/100))))</f>
        <v>0</v>
      </c>
      <c r="AP221" s="57">
        <f>IF(ISERROR(IF(B221=C221,E221/C221,(INT(E221/B221)+(((E221-B221*INT(E221/B221)))/C221)/100))),0,(IF(B221=C221,E221/C221,(INT(E221/B221)+(((E221-B221*INT(E221/B221)))/C221)/100))))</f>
        <v>0</v>
      </c>
      <c r="AQ221" s="57">
        <f>IF(ISERROR(IF(B221=C221,F221/C221,IF((INT(F221/B221)+(((F221-B221*INT(F221/B221)))/C221)/100)&lt;0,(INT(F221/B221)+(((F221-B221*INT(F221/B221)))/C221)/100)+(1-(B221/C221/100)),(INT(F221/B221)+(((F221-B221*INT(F221/B221)))/C221)/100)))),0,IF(B221=C221,F221/C221,IF((INT(F221/B221)+(((F221-B221*INT(F221/B221)))/C221)/100)&lt;0,(INT(F221/B221)+(((F221-B221*INT(F221/B221)))/C221)/100)+(1-(B221/C221/100)),(INT(F221/B221)+(((F221-B221*INT(F221/B221)))/C221)/100))))</f>
        <v>0</v>
      </c>
      <c r="AR221" s="57">
        <f>IF(ISERROR(IF(B221=C221,G221/C221,(INT(G221/B221)+(((G221-B221*INT(G221/B221)))/C221)/100))),0,(IF(B221=C221,G221/C221,(INT(G221/B221)+(((G221-B221*INT(G221/B221)))/C221)/100))))</f>
        <v>0</v>
      </c>
      <c r="AS221" s="57">
        <f>IF(ISERROR(IF(B221=C221,H221/C221,(INT(H221/B221)+(((H221-B221*INT(H221/B221)))/C221)/100))),0,(IF(B221=C221,H221/C221,(INT(H221/B221)+(((H221-B221*INT(H221/B221)))/C221)/100))))</f>
        <v>0</v>
      </c>
      <c r="AT221" s="57">
        <f>IF(ISERROR(IF(B221=C221,I221/C221,(INT(I221/B221)+(((I221-B221*INT(I221/B221)))/C221)/100))),0,(IF(B221=C221,I221/C221,(INT(I221/B221)+(((I221-B221*INT(I221/B221)))/C221)/100))))</f>
        <v>0</v>
      </c>
      <c r="AU221" s="57">
        <f>IF(ISERROR(IF(B221=C221,J221/C221,(INT(J221/B221)+(((J221-B221*INT(J221/B221)))/C221)/100))),0,(IF(B221=C221,J221/C221,(INT(J221/B221)+(((J221-B221*INT(J221/B221)))/C221)/100))))</f>
        <v>0</v>
      </c>
      <c r="AV221" s="57">
        <f>IF(ISERROR(IF(B221=C221,K221/C221,IF((INT(K221/B221)+(((K221-B221*INT(K221/B221)))/C221)/100)&lt;0,(INT(K221/B221)+(((K221-B221*INT(K221/B221)))/C221)/100)+(1-(B221/C221/100)),(INT(K221/B221)+(((K221-B221*INT(K221/B221)))/C221)/100)))),0,IF(B221=C221,K221/C221,IF((INT(K221/B221)+(((K221-B221*INT(K221/B221)))/C221)/100)&lt;0,(INT(K221/B221)+(((K221-B221*INT(K221/B221)))/C221)/100)+(1-(B221/C221/100)),(INT(K221/B221)+(((K221-B221*INT(K221/B221)))/C221)/100))))</f>
        <v>0</v>
      </c>
      <c r="AW221" s="57">
        <f>IF(ISERROR(IF(B221=C221,L221/C221,(INT(L221/B221)+(((L221-B221*INT(L221/B221)))/C221)/100))),0,(IF(B221=C221,L221/C221,(INT(L221/B221)+(((L221-B221*INT(L221/B221)))/C221)/100))))</f>
        <v>0</v>
      </c>
      <c r="AX221" s="57">
        <f>IF(ISERROR(IF(B221=C221,M221/C221,(INT(M221/B221)+(((M221-B221*INT(M221/B221)))/C221)/100))),0,(IF(B221=C221,M221/C221,(INT(M221/B221)+(((M221-B221*INT(M221/B221)))/C221)/100))))</f>
        <v>0</v>
      </c>
      <c r="AY221" s="57">
        <f>IF(ISERROR(IF(B221=C221,N221/C221,IF((INT(N221/B221)+(((N221-B221*INT(N221/B221)))/C221)/100)&lt;0,(INT(N221/B221)+(((N221-B221*INT(N221/B221)))/C221)/100)+(1-(B221/C221/100)),(INT(N221/B221)+(((N221-B221*INT(N221/B221)))/C221)/100)))),0,IF(B221=C221,N221/C221,IF((INT(N221/B221)+(((N221-B221*INT(N221/B221)))/C221)/100)&lt;0,(INT(N221/B221)+(((N221-B221*INT(N221/B221)))/C221)/100)+(1-(B221/C221/100)),(INT(N221/B221)+(((N221-B221*INT(N221/B221)))/C221)/100))))</f>
        <v>0</v>
      </c>
      <c r="AZ221" s="57">
        <f>IF(ISERROR(IF(B221=C221,O221/C221,(INT(O221/B221)+(((O221-B221*INT(O221/B221)))/C221)/100))),0,(IF(B221=C221,O221/C221,(INT(O221/B221)+(((O221-B221*INT(O221/B221)))/C221)/100))))</f>
        <v>0</v>
      </c>
      <c r="BA221" s="57">
        <f>IF(ISERROR(IF(B221=C221,P221/C221,IF((INT(P221/B221)+(((P221-B221*INT(P221/B221)))/C221)/100)&lt;0,(INT(P221/B221)+(((P221-B221*INT(P221/B221)))/C221)/100)+(1-(B221/C221/100)),(INT(P221/B221)+(((P221-B221*INT(P221/B221)))/C221)/100)))),0,IF(B221=C221,P221/C221,IF((INT(P221/B221)+(((P221-B221*INT(P221/B221)))/C221)/100)&lt;0,(INT(P221/B221)+(((P221-B221*INT(P221/B221)))/C221)/100)+(1-(B221/C221/100)),(INT(P221/B221)+(((P221-B221*INT(P221/B221)))/C221)/100))))</f>
        <v>0</v>
      </c>
      <c r="BB221" s="28">
        <f>R221</f>
        <v>0</v>
      </c>
      <c r="BC221" s="28">
        <f>S221</f>
        <v>0</v>
      </c>
      <c r="BD221" s="28">
        <f>AF221</f>
        <v>0</v>
      </c>
      <c r="BE221" s="28">
        <f>T221</f>
        <v>0</v>
      </c>
      <c r="BG221" s="57">
        <f>IF(ISERROR(IF(B221=C221,V221/C221,(INT(V221/B221)+(((V221-B221*INT(V221/B221)))/C221)/100))),0,(IF(B221=C221,V221/C221,(INT(V221/B221)+(((V221-B221*INT(V221/B221)))/C221)/100))))</f>
        <v>0</v>
      </c>
      <c r="BH221" s="57">
        <f>IF(ISERROR(IF(B221=C221,W221/C221,(INT(W221/B221)+(((W221-B221*INT(W221/B221)))/C221)/100))),0,(IF(B221=C221,W221/C221,(INT(W221/B221)+(((W221-B221*INT(W221/B221)))/C221)/100))))</f>
        <v>0</v>
      </c>
      <c r="BI221" s="57">
        <f>IF(ISERROR(IF(B221=C221,X221/C221,(INT(X221/B221)+(((X221-B221*INT(X221/B221)))/C221)/100))),0,(IF(B221=C221,X221/C221,(INT(X221/B221)+(((X221-B221*INT(X221/B221)))/C221)/100))))</f>
        <v>0</v>
      </c>
      <c r="BJ221" s="57">
        <f>IF(ISERROR(IF(B221=C221,Y221/C221,(INT(Y221/B221)+(((Y221-B221*INT(Y221/B221)))/C221)/100))),0,(IF(B221=C221,Y221/C221,(INT(Y221/B221)+(((Y221-B221*INT(Y221/B221)))/C221)/100))))</f>
        <v>0</v>
      </c>
      <c r="BL221" s="57">
        <f>IF(ISERROR(IF(B221=C221,AA221/C221,(INT(AA221/B221)+(((AA221-B221*INT(AA221/B221)))/C221)/100))),0,(IF(B221=C221,AA221/C221,(INT(AA221/B221)+(((AA221-B221*INT(AA221/B221)))/C221)/100))))</f>
        <v>0</v>
      </c>
      <c r="BM221" s="57">
        <f>IF(ISERROR(IF(B221=C221,AB221/C221,(INT(AB221/B221)+(((AB221-B221*INT(AB221/B221)))/C221)/100))),0,(IF(B221=C221,AB221/C221,(INT(AB221/B221)+(((AB221-B221*INT(AB221/B221)))/C221)/100))))</f>
        <v>0</v>
      </c>
      <c r="BN221" s="57">
        <f>IF(ISERROR(IF(B221=C221,AC221/C221,(INT(AC221/B221)+(((AC221-B221*INT(AC221/B221)))/C221)/100))),0,(IF(B221=C221,AC221/C221,(INT(AC221/B221)+(((AC221-B221*INT(AC221/B221)))/C221)/100))))</f>
        <v>0</v>
      </c>
      <c r="BO221" s="57">
        <f>IF(ISERROR(IF(B221=C221,AD221/C221,(INT(AD221/B221)+(((AD221-B221*INT(AD221/B221)))/C221)/100))),0,(IF(B221=C221,AD221/C221,(INT(AD221/B221)+(((AD221-B221*INT(AD221/B221)))/C221)/100))))</f>
        <v>0</v>
      </c>
      <c r="BQ221" s="155"/>
    </row>
    <row r="222" spans="1:69" hidden="1" x14ac:dyDescent="0.35">
      <c r="A222" s="94"/>
      <c r="B222" s="113">
        <v>0</v>
      </c>
      <c r="C222" s="113">
        <v>0</v>
      </c>
      <c r="D222" s="28">
        <f>SUM(AA222:AD222)</f>
        <v>0</v>
      </c>
      <c r="E222" s="113">
        <v>0</v>
      </c>
      <c r="F222" s="113">
        <v>0</v>
      </c>
      <c r="G222" s="28">
        <f>SUM(D222:F222)</f>
        <v>0</v>
      </c>
      <c r="H222" s="125">
        <v>0</v>
      </c>
      <c r="I222" s="113">
        <v>0</v>
      </c>
      <c r="J222" s="125">
        <v>0</v>
      </c>
      <c r="K222" s="113">
        <v>0</v>
      </c>
      <c r="L222" s="113">
        <v>0</v>
      </c>
      <c r="M222" s="113">
        <v>0</v>
      </c>
      <c r="N222" s="28">
        <f>G222-SUM(H222:M222)</f>
        <v>0</v>
      </c>
      <c r="O222" s="28">
        <f>SUM(V222:Y222)</f>
        <v>0</v>
      </c>
      <c r="P222" s="28">
        <f>O222-N222</f>
        <v>0</v>
      </c>
      <c r="Q222" s="61" t="str">
        <f>IF(ISERROR(P222/SUM(H222:L222)),"",P222/SUM(H222:L222))</f>
        <v/>
      </c>
      <c r="R222" s="113">
        <v>0</v>
      </c>
      <c r="S222" s="28">
        <f>IF(ISERROR(P222/C222*R222),0,(P222/C222*R222))</f>
        <v>0</v>
      </c>
      <c r="T222" s="60">
        <f>IF(ISERROR(P222/B222*AF222),0,(P222/B222*AF222))</f>
        <v>0</v>
      </c>
      <c r="V222" s="113">
        <v>0</v>
      </c>
      <c r="W222" s="113">
        <v>0</v>
      </c>
      <c r="X222" s="113">
        <v>0</v>
      </c>
      <c r="Y222" s="113">
        <v>0</v>
      </c>
      <c r="AA222" s="113">
        <v>0</v>
      </c>
      <c r="AB222" s="113">
        <v>0</v>
      </c>
      <c r="AC222" s="113">
        <v>0</v>
      </c>
      <c r="AD222" s="113">
        <v>0</v>
      </c>
      <c r="AF222" s="113">
        <v>0</v>
      </c>
      <c r="AG222" s="28">
        <f>G222-O222</f>
        <v>0</v>
      </c>
      <c r="AH222" s="58">
        <f>IF(ISERROR(AG222/B222*AF222),0,(AG222/B222*AF222))</f>
        <v>0</v>
      </c>
      <c r="AI222" s="28">
        <f>SUM(H222:M222)</f>
        <v>0</v>
      </c>
      <c r="AJ222" s="28">
        <f>IF(ISERROR(AI222/B222*AF222),0,(AI222/B222*AF222))</f>
        <v>0</v>
      </c>
      <c r="AK222" s="58">
        <f>IF(ISERROR(O222/B222*AF222),0,(O222/B222*AF222))</f>
        <v>0</v>
      </c>
      <c r="AL222" s="28">
        <f>IF(ISERROR(H222/B222*AF222),0,(H222/B222*AF222))</f>
        <v>0</v>
      </c>
      <c r="AN222" s="51">
        <f>A222</f>
        <v>0</v>
      </c>
      <c r="AO222" s="57">
        <f>IF(ISERROR(IF(B222=C222,D222/C222,(INT(D222/B222)+(((D222-B222*INT(D222/B222)))/C222)/100))),0,(IF(B222=C222,D222/C222,(INT(D222/B222)+(((D222-B222*INT(D222/B222)))/C222)/100))))</f>
        <v>0</v>
      </c>
      <c r="AP222" s="57">
        <f>IF(ISERROR(IF(B222=C222,E222/C222,(INT(E222/B222)+(((E222-B222*INT(E222/B222)))/C222)/100))),0,(IF(B222=C222,E222/C222,(INT(E222/B222)+(((E222-B222*INT(E222/B222)))/C222)/100))))</f>
        <v>0</v>
      </c>
      <c r="AQ222" s="57">
        <f>IF(ISERROR(IF(B222=C222,F222/C222,IF((INT(F222/B222)+(((F222-B222*INT(F222/B222)))/C222)/100)&lt;0,(INT(F222/B222)+(((F222-B222*INT(F222/B222)))/C222)/100)+(1-(B222/C222/100)),(INT(F222/B222)+(((F222-B222*INT(F222/B222)))/C222)/100)))),0,IF(B222=C222,F222/C222,IF((INT(F222/B222)+(((F222-B222*INT(F222/B222)))/C222)/100)&lt;0,(INT(F222/B222)+(((F222-B222*INT(F222/B222)))/C222)/100)+(1-(B222/C222/100)),(INT(F222/B222)+(((F222-B222*INT(F222/B222)))/C222)/100))))</f>
        <v>0</v>
      </c>
      <c r="AR222" s="57">
        <f>IF(ISERROR(IF(B222=C222,G222/C222,(INT(G222/B222)+(((G222-B222*INT(G222/B222)))/C222)/100))),0,(IF(B222=C222,G222/C222,(INT(G222/B222)+(((G222-B222*INT(G222/B222)))/C222)/100))))</f>
        <v>0</v>
      </c>
      <c r="AS222" s="57">
        <f>IF(ISERROR(IF(B222=C222,H222/C222,(INT(H222/B222)+(((H222-B222*INT(H222/B222)))/C222)/100))),0,(IF(B222=C222,H222/C222,(INT(H222/B222)+(((H222-B222*INT(H222/B222)))/C222)/100))))</f>
        <v>0</v>
      </c>
      <c r="AT222" s="57">
        <f>IF(ISERROR(IF(B222=C222,I222/C222,(INT(I222/B222)+(((I222-B222*INT(I222/B222)))/C222)/100))),0,(IF(B222=C222,I222/C222,(INT(I222/B222)+(((I222-B222*INT(I222/B222)))/C222)/100))))</f>
        <v>0</v>
      </c>
      <c r="AU222" s="57">
        <f>IF(ISERROR(IF(B222=C222,J222/C222,(INT(J222/B222)+(((J222-B222*INT(J222/B222)))/C222)/100))),0,(IF(B222=C222,J222/C222,(INT(J222/B222)+(((J222-B222*INT(J222/B222)))/C222)/100))))</f>
        <v>0</v>
      </c>
      <c r="AV222" s="57">
        <f>IF(ISERROR(IF(B222=C222,K222/C222,IF((INT(K222/B222)+(((K222-B222*INT(K222/B222)))/C222)/100)&lt;0,(INT(K222/B222)+(((K222-B222*INT(K222/B222)))/C222)/100)+(1-(B222/C222/100)),(INT(K222/B222)+(((K222-B222*INT(K222/B222)))/C222)/100)))),0,IF(B222=C222,K222/C222,IF((INT(K222/B222)+(((K222-B222*INT(K222/B222)))/C222)/100)&lt;0,(INT(K222/B222)+(((K222-B222*INT(K222/B222)))/C222)/100)+(1-(B222/C222/100)),(INT(K222/B222)+(((K222-B222*INT(K222/B222)))/C222)/100))))</f>
        <v>0</v>
      </c>
      <c r="AW222" s="57">
        <f>IF(ISERROR(IF(B222=C222,L222/C222,(INT(L222/B222)+(((L222-B222*INT(L222/B222)))/C222)/100))),0,(IF(B222=C222,L222/C222,(INT(L222/B222)+(((L222-B222*INT(L222/B222)))/C222)/100))))</f>
        <v>0</v>
      </c>
      <c r="AX222" s="57">
        <f>IF(ISERROR(IF(B222=C222,M222/C222,(INT(M222/B222)+(((M222-B222*INT(M222/B222)))/C222)/100))),0,(IF(B222=C222,M222/C222,(INT(M222/B222)+(((M222-B222*INT(M222/B222)))/C222)/100))))</f>
        <v>0</v>
      </c>
      <c r="AY222" s="57">
        <f>IF(ISERROR(IF(B222=C222,N222/C222,IF((INT(N222/B222)+(((N222-B222*INT(N222/B222)))/C222)/100)&lt;0,(INT(N222/B222)+(((N222-B222*INT(N222/B222)))/C222)/100)+(1-(B222/C222/100)),(INT(N222/B222)+(((N222-B222*INT(N222/B222)))/C222)/100)))),0,IF(B222=C222,N222/C222,IF((INT(N222/B222)+(((N222-B222*INT(N222/B222)))/C222)/100)&lt;0,(INT(N222/B222)+(((N222-B222*INT(N222/B222)))/C222)/100)+(1-(B222/C222/100)),(INT(N222/B222)+(((N222-B222*INT(N222/B222)))/C222)/100))))</f>
        <v>0</v>
      </c>
      <c r="AZ222" s="57">
        <f>IF(ISERROR(IF(B222=C222,O222/C222,(INT(O222/B222)+(((O222-B222*INT(O222/B222)))/C222)/100))),0,(IF(B222=C222,O222/C222,(INT(O222/B222)+(((O222-B222*INT(O222/B222)))/C222)/100))))</f>
        <v>0</v>
      </c>
      <c r="BA222" s="57">
        <f>IF(ISERROR(IF(B222=C222,P222/C222,IF((INT(P222/B222)+(((P222-B222*INT(P222/B222)))/C222)/100)&lt;0,(INT(P222/B222)+(((P222-B222*INT(P222/B222)))/C222)/100)+(1-(B222/C222/100)),(INT(P222/B222)+(((P222-B222*INT(P222/B222)))/C222)/100)))),0,IF(B222=C222,P222/C222,IF((INT(P222/B222)+(((P222-B222*INT(P222/B222)))/C222)/100)&lt;0,(INT(P222/B222)+(((P222-B222*INT(P222/B222)))/C222)/100)+(1-(B222/C222/100)),(INT(P222/B222)+(((P222-B222*INT(P222/B222)))/C222)/100))))</f>
        <v>0</v>
      </c>
      <c r="BB222" s="28">
        <f>R222</f>
        <v>0</v>
      </c>
      <c r="BC222" s="28">
        <f>S222</f>
        <v>0</v>
      </c>
      <c r="BD222" s="28">
        <f>AF222</f>
        <v>0</v>
      </c>
      <c r="BE222" s="28">
        <f>T222</f>
        <v>0</v>
      </c>
      <c r="BG222" s="57">
        <f>IF(ISERROR(IF(B222=C222,V222/C222,(INT(V222/B222)+(((V222-B222*INT(V222/B222)))/C222)/100))),0,(IF(B222=C222,V222/C222,(INT(V222/B222)+(((V222-B222*INT(V222/B222)))/C222)/100))))</f>
        <v>0</v>
      </c>
      <c r="BH222" s="57">
        <f>IF(ISERROR(IF(B222=C222,W222/C222,(INT(W222/B222)+(((W222-B222*INT(W222/B222)))/C222)/100))),0,(IF(B222=C222,W222/C222,(INT(W222/B222)+(((W222-B222*INT(W222/B222)))/C222)/100))))</f>
        <v>0</v>
      </c>
      <c r="BI222" s="57">
        <f>IF(ISERROR(IF(B222=C222,X222/C222,(INT(X222/B222)+(((X222-B222*INT(X222/B222)))/C222)/100))),0,(IF(B222=C222,X222/C222,(INT(X222/B222)+(((X222-B222*INT(X222/B222)))/C222)/100))))</f>
        <v>0</v>
      </c>
      <c r="BJ222" s="57">
        <f>IF(ISERROR(IF(B222=C222,Y222/C222,(INT(Y222/B222)+(((Y222-B222*INT(Y222/B222)))/C222)/100))),0,(IF(B222=C222,Y222/C222,(INT(Y222/B222)+(((Y222-B222*INT(Y222/B222)))/C222)/100))))</f>
        <v>0</v>
      </c>
      <c r="BL222" s="57">
        <f>IF(ISERROR(IF(B222=C222,AA222/C222,(INT(AA222/B222)+(((AA222-B222*INT(AA222/B222)))/C222)/100))),0,(IF(B222=C222,AA222/C222,(INT(AA222/B222)+(((AA222-B222*INT(AA222/B222)))/C222)/100))))</f>
        <v>0</v>
      </c>
      <c r="BM222" s="57">
        <f>IF(ISERROR(IF(B222=C222,AB222/C222,(INT(AB222/B222)+(((AB222-B222*INT(AB222/B222)))/C222)/100))),0,(IF(B222=C222,AB222/C222,(INT(AB222/B222)+(((AB222-B222*INT(AB222/B222)))/C222)/100))))</f>
        <v>0</v>
      </c>
      <c r="BN222" s="57">
        <f>IF(ISERROR(IF(B222=C222,AC222/C222,(INT(AC222/B222)+(((AC222-B222*INT(AC222/B222)))/C222)/100))),0,(IF(B222=C222,AC222/C222,(INT(AC222/B222)+(((AC222-B222*INT(AC222/B222)))/C222)/100))))</f>
        <v>0</v>
      </c>
      <c r="BO222" s="57">
        <f>IF(ISERROR(IF(B222=C222,AD222/C222,(INT(AD222/B222)+(((AD222-B222*INT(AD222/B222)))/C222)/100))),0,(IF(B222=C222,AD222/C222,(INT(AD222/B222)+(((AD222-B222*INT(AD222/B222)))/C222)/100))))</f>
        <v>0</v>
      </c>
      <c r="BQ222" s="155"/>
    </row>
    <row r="223" spans="1:69" hidden="1" x14ac:dyDescent="0.35">
      <c r="A223" s="94"/>
      <c r="B223" s="113">
        <v>0</v>
      </c>
      <c r="C223" s="113">
        <v>0</v>
      </c>
      <c r="D223" s="28">
        <f>SUM(AA223:AD223)</f>
        <v>0</v>
      </c>
      <c r="E223" s="113">
        <v>0</v>
      </c>
      <c r="F223" s="113">
        <v>0</v>
      </c>
      <c r="G223" s="28">
        <f>SUM(D223:F223)</f>
        <v>0</v>
      </c>
      <c r="H223" s="125">
        <v>0</v>
      </c>
      <c r="I223" s="113">
        <v>0</v>
      </c>
      <c r="J223" s="125">
        <v>0</v>
      </c>
      <c r="K223" s="113">
        <v>0</v>
      </c>
      <c r="L223" s="113">
        <v>0</v>
      </c>
      <c r="M223" s="113">
        <v>0</v>
      </c>
      <c r="N223" s="28">
        <f>G223-SUM(H223:M223)</f>
        <v>0</v>
      </c>
      <c r="O223" s="28">
        <f>SUM(V223:Y223)</f>
        <v>0</v>
      </c>
      <c r="P223" s="28">
        <f>O223-N223</f>
        <v>0</v>
      </c>
      <c r="Q223" s="61" t="str">
        <f>IF(ISERROR(P223/SUM(H223:L223)),"",P223/SUM(H223:L223))</f>
        <v/>
      </c>
      <c r="R223" s="113">
        <v>0</v>
      </c>
      <c r="S223" s="28">
        <f>IF(ISERROR(P223/C223*R223),0,(P223/C223*R223))</f>
        <v>0</v>
      </c>
      <c r="T223" s="60">
        <f>IF(ISERROR(P223/B223*AF223),0,(P223/B223*AF223))</f>
        <v>0</v>
      </c>
      <c r="V223" s="113">
        <v>0</v>
      </c>
      <c r="W223" s="113">
        <v>0</v>
      </c>
      <c r="X223" s="113">
        <v>0</v>
      </c>
      <c r="Y223" s="113">
        <v>0</v>
      </c>
      <c r="AA223" s="113">
        <v>0</v>
      </c>
      <c r="AB223" s="113">
        <v>0</v>
      </c>
      <c r="AC223" s="113">
        <v>0</v>
      </c>
      <c r="AD223" s="113">
        <v>0</v>
      </c>
      <c r="AF223" s="113">
        <v>0</v>
      </c>
      <c r="AG223" s="28">
        <f>G223-O223</f>
        <v>0</v>
      </c>
      <c r="AH223" s="58">
        <f>IF(ISERROR(AG223/B223*AF223),0,(AG223/B223*AF223))</f>
        <v>0</v>
      </c>
      <c r="AI223" s="28">
        <f>SUM(H223:M223)</f>
        <v>0</v>
      </c>
      <c r="AJ223" s="28">
        <f>IF(ISERROR(AI223/B223*AF223),0,(AI223/B223*AF223))</f>
        <v>0</v>
      </c>
      <c r="AK223" s="58">
        <f>IF(ISERROR(O223/B223*AF223),0,(O223/B223*AF223))</f>
        <v>0</v>
      </c>
      <c r="AL223" s="28">
        <f>IF(ISERROR(H223/B223*AF223),0,(H223/B223*AF223))</f>
        <v>0</v>
      </c>
      <c r="AN223" s="51">
        <f>A223</f>
        <v>0</v>
      </c>
      <c r="AO223" s="57">
        <f>IF(ISERROR(IF(B223=C223,D223/C223,(INT(D223/B223)+(((D223-B223*INT(D223/B223)))/C223)/100))),0,(IF(B223=C223,D223/C223,(INT(D223/B223)+(((D223-B223*INT(D223/B223)))/C223)/100))))</f>
        <v>0</v>
      </c>
      <c r="AP223" s="57">
        <f>IF(ISERROR(IF(B223=C223,E223/C223,(INT(E223/B223)+(((E223-B223*INT(E223/B223)))/C223)/100))),0,(IF(B223=C223,E223/C223,(INT(E223/B223)+(((E223-B223*INT(E223/B223)))/C223)/100))))</f>
        <v>0</v>
      </c>
      <c r="AQ223" s="57">
        <f>IF(ISERROR(IF(B223=C223,F223/C223,IF((INT(F223/B223)+(((F223-B223*INT(F223/B223)))/C223)/100)&lt;0,(INT(F223/B223)+(((F223-B223*INT(F223/B223)))/C223)/100)+(1-(B223/C223/100)),(INT(F223/B223)+(((F223-B223*INT(F223/B223)))/C223)/100)))),0,IF(B223=C223,F223/C223,IF((INT(F223/B223)+(((F223-B223*INT(F223/B223)))/C223)/100)&lt;0,(INT(F223/B223)+(((F223-B223*INT(F223/B223)))/C223)/100)+(1-(B223/C223/100)),(INT(F223/B223)+(((F223-B223*INT(F223/B223)))/C223)/100))))</f>
        <v>0</v>
      </c>
      <c r="AR223" s="57">
        <f>IF(ISERROR(IF(B223=C223,G223/C223,(INT(G223/B223)+(((G223-B223*INT(G223/B223)))/C223)/100))),0,(IF(B223=C223,G223/C223,(INT(G223/B223)+(((G223-B223*INT(G223/B223)))/C223)/100))))</f>
        <v>0</v>
      </c>
      <c r="AS223" s="57">
        <f>IF(ISERROR(IF(B223=C223,H223/C223,(INT(H223/B223)+(((H223-B223*INT(H223/B223)))/C223)/100))),0,(IF(B223=C223,H223/C223,(INT(H223/B223)+(((H223-B223*INT(H223/B223)))/C223)/100))))</f>
        <v>0</v>
      </c>
      <c r="AT223" s="57">
        <f>IF(ISERROR(IF(B223=C223,I223/C223,(INT(I223/B223)+(((I223-B223*INT(I223/B223)))/C223)/100))),0,(IF(B223=C223,I223/C223,(INT(I223/B223)+(((I223-B223*INT(I223/B223)))/C223)/100))))</f>
        <v>0</v>
      </c>
      <c r="AU223" s="57">
        <f>IF(ISERROR(IF(B223=C223,J223/C223,(INT(J223/B223)+(((J223-B223*INT(J223/B223)))/C223)/100))),0,(IF(B223=C223,J223/C223,(INT(J223/B223)+(((J223-B223*INT(J223/B223)))/C223)/100))))</f>
        <v>0</v>
      </c>
      <c r="AV223" s="57">
        <f>IF(ISERROR(IF(B223=C223,K223/C223,IF((INT(K223/B223)+(((K223-B223*INT(K223/B223)))/C223)/100)&lt;0,(INT(K223/B223)+(((K223-B223*INT(K223/B223)))/C223)/100)+(1-(B223/C223/100)),(INT(K223/B223)+(((K223-B223*INT(K223/B223)))/C223)/100)))),0,IF(B223=C223,K223/C223,IF((INT(K223/B223)+(((K223-B223*INT(K223/B223)))/C223)/100)&lt;0,(INT(K223/B223)+(((K223-B223*INT(K223/B223)))/C223)/100)+(1-(B223/C223/100)),(INT(K223/B223)+(((K223-B223*INT(K223/B223)))/C223)/100))))</f>
        <v>0</v>
      </c>
      <c r="AW223" s="57">
        <f>IF(ISERROR(IF(B223=C223,L223/C223,(INT(L223/B223)+(((L223-B223*INT(L223/B223)))/C223)/100))),0,(IF(B223=C223,L223/C223,(INT(L223/B223)+(((L223-B223*INT(L223/B223)))/C223)/100))))</f>
        <v>0</v>
      </c>
      <c r="AX223" s="57">
        <f>IF(ISERROR(IF(B223=C223,M223/C223,(INT(M223/B223)+(((M223-B223*INT(M223/B223)))/C223)/100))),0,(IF(B223=C223,M223/C223,(INT(M223/B223)+(((M223-B223*INT(M223/B223)))/C223)/100))))</f>
        <v>0</v>
      </c>
      <c r="AY223" s="57">
        <f>IF(ISERROR(IF(B223=C223,N223/C223,IF((INT(N223/B223)+(((N223-B223*INT(N223/B223)))/C223)/100)&lt;0,(INT(N223/B223)+(((N223-B223*INT(N223/B223)))/C223)/100)+(1-(B223/C223/100)),(INT(N223/B223)+(((N223-B223*INT(N223/B223)))/C223)/100)))),0,IF(B223=C223,N223/C223,IF((INT(N223/B223)+(((N223-B223*INT(N223/B223)))/C223)/100)&lt;0,(INT(N223/B223)+(((N223-B223*INT(N223/B223)))/C223)/100)+(1-(B223/C223/100)),(INT(N223/B223)+(((N223-B223*INT(N223/B223)))/C223)/100))))</f>
        <v>0</v>
      </c>
      <c r="AZ223" s="57">
        <f>IF(ISERROR(IF(B223=C223,O223/C223,(INT(O223/B223)+(((O223-B223*INT(O223/B223)))/C223)/100))),0,(IF(B223=C223,O223/C223,(INT(O223/B223)+(((O223-B223*INT(O223/B223)))/C223)/100))))</f>
        <v>0</v>
      </c>
      <c r="BA223" s="57">
        <f>IF(ISERROR(IF(B223=C223,P223/C223,IF((INT(P223/B223)+(((P223-B223*INT(P223/B223)))/C223)/100)&lt;0,(INT(P223/B223)+(((P223-B223*INT(P223/B223)))/C223)/100)+(1-(B223/C223/100)),(INT(P223/B223)+(((P223-B223*INT(P223/B223)))/C223)/100)))),0,IF(B223=C223,P223/C223,IF((INT(P223/B223)+(((P223-B223*INT(P223/B223)))/C223)/100)&lt;0,(INT(P223/B223)+(((P223-B223*INT(P223/B223)))/C223)/100)+(1-(B223/C223/100)),(INT(P223/B223)+(((P223-B223*INT(P223/B223)))/C223)/100))))</f>
        <v>0</v>
      </c>
      <c r="BB223" s="28">
        <f>R223</f>
        <v>0</v>
      </c>
      <c r="BC223" s="28">
        <f>S223</f>
        <v>0</v>
      </c>
      <c r="BD223" s="28">
        <f>AF223</f>
        <v>0</v>
      </c>
      <c r="BE223" s="28">
        <f>T223</f>
        <v>0</v>
      </c>
      <c r="BG223" s="57">
        <f>IF(ISERROR(IF(B223=C223,V223/C223,(INT(V223/B223)+(((V223-B223*INT(V223/B223)))/C223)/100))),0,(IF(B223=C223,V223/C223,(INT(V223/B223)+(((V223-B223*INT(V223/B223)))/C223)/100))))</f>
        <v>0</v>
      </c>
      <c r="BH223" s="57">
        <f>IF(ISERROR(IF(B223=C223,W223/C223,(INT(W223/B223)+(((W223-B223*INT(W223/B223)))/C223)/100))),0,(IF(B223=C223,W223/C223,(INT(W223/B223)+(((W223-B223*INT(W223/B223)))/C223)/100))))</f>
        <v>0</v>
      </c>
      <c r="BI223" s="57">
        <f>IF(ISERROR(IF(B223=C223,X223/C223,(INT(X223/B223)+(((X223-B223*INT(X223/B223)))/C223)/100))),0,(IF(B223=C223,X223/C223,(INT(X223/B223)+(((X223-B223*INT(X223/B223)))/C223)/100))))</f>
        <v>0</v>
      </c>
      <c r="BJ223" s="57">
        <f>IF(ISERROR(IF(B223=C223,Y223/C223,(INT(Y223/B223)+(((Y223-B223*INT(Y223/B223)))/C223)/100))),0,(IF(B223=C223,Y223/C223,(INT(Y223/B223)+(((Y223-B223*INT(Y223/B223)))/C223)/100))))</f>
        <v>0</v>
      </c>
      <c r="BL223" s="57">
        <f>IF(ISERROR(IF(B223=C223,AA223/C223,(INT(AA223/B223)+(((AA223-B223*INT(AA223/B223)))/C223)/100))),0,(IF(B223=C223,AA223/C223,(INT(AA223/B223)+(((AA223-B223*INT(AA223/B223)))/C223)/100))))</f>
        <v>0</v>
      </c>
      <c r="BM223" s="57">
        <f>IF(ISERROR(IF(B223=C223,AB223/C223,(INT(AB223/B223)+(((AB223-B223*INT(AB223/B223)))/C223)/100))),0,(IF(B223=C223,AB223/C223,(INT(AB223/B223)+(((AB223-B223*INT(AB223/B223)))/C223)/100))))</f>
        <v>0</v>
      </c>
      <c r="BN223" s="57">
        <f>IF(ISERROR(IF(B223=C223,AC223/C223,(INT(AC223/B223)+(((AC223-B223*INT(AC223/B223)))/C223)/100))),0,(IF(B223=C223,AC223/C223,(INT(AC223/B223)+(((AC223-B223*INT(AC223/B223)))/C223)/100))))</f>
        <v>0</v>
      </c>
      <c r="BO223" s="57">
        <f>IF(ISERROR(IF(B223=C223,AD223/C223,(INT(AD223/B223)+(((AD223-B223*INT(AD223/B223)))/C223)/100))),0,(IF(B223=C223,AD223/C223,(INT(AD223/B223)+(((AD223-B223*INT(AD223/B223)))/C223)/100))))</f>
        <v>0</v>
      </c>
      <c r="BQ223" s="155"/>
    </row>
    <row r="224" spans="1:69" hidden="1" x14ac:dyDescent="0.35">
      <c r="A224" s="94"/>
      <c r="B224" s="113">
        <v>0</v>
      </c>
      <c r="C224" s="113">
        <v>0</v>
      </c>
      <c r="D224" s="28">
        <f>SUM(AA224:AD224)</f>
        <v>0</v>
      </c>
      <c r="E224" s="113">
        <v>0</v>
      </c>
      <c r="F224" s="113">
        <v>0</v>
      </c>
      <c r="G224" s="28">
        <f>SUM(D224:F224)</f>
        <v>0</v>
      </c>
      <c r="H224" s="125">
        <v>0</v>
      </c>
      <c r="I224" s="113">
        <v>0</v>
      </c>
      <c r="J224" s="125">
        <v>0</v>
      </c>
      <c r="K224" s="113">
        <v>0</v>
      </c>
      <c r="L224" s="113">
        <v>0</v>
      </c>
      <c r="M224" s="113">
        <v>0</v>
      </c>
      <c r="N224" s="28">
        <f>G224-SUM(H224:M224)</f>
        <v>0</v>
      </c>
      <c r="O224" s="28">
        <f>SUM(V224:Y224)</f>
        <v>0</v>
      </c>
      <c r="P224" s="28">
        <f>O224-N224</f>
        <v>0</v>
      </c>
      <c r="Q224" s="61" t="str">
        <f>IF(ISERROR(P224/SUM(H224:L224)),"",P224/SUM(H224:L224))</f>
        <v/>
      </c>
      <c r="R224" s="113">
        <v>0</v>
      </c>
      <c r="S224" s="28">
        <f>IF(ISERROR(P224/C224*R224),0,(P224/C224*R224))</f>
        <v>0</v>
      </c>
      <c r="T224" s="60">
        <f>IF(ISERROR(P224/B224*AF224),0,(P224/B224*AF224))</f>
        <v>0</v>
      </c>
      <c r="V224" s="113">
        <v>0</v>
      </c>
      <c r="W224" s="113">
        <v>0</v>
      </c>
      <c r="X224" s="113">
        <v>0</v>
      </c>
      <c r="Y224" s="113">
        <v>0</v>
      </c>
      <c r="AA224" s="113">
        <v>0</v>
      </c>
      <c r="AB224" s="113">
        <v>0</v>
      </c>
      <c r="AC224" s="113">
        <v>0</v>
      </c>
      <c r="AD224" s="113">
        <v>0</v>
      </c>
      <c r="AF224" s="113">
        <v>0</v>
      </c>
      <c r="AG224" s="28">
        <f>G224-O224</f>
        <v>0</v>
      </c>
      <c r="AH224" s="58">
        <f>IF(ISERROR(AG224/B224*AF224),0,(AG224/B224*AF224))</f>
        <v>0</v>
      </c>
      <c r="AI224" s="28">
        <f>SUM(H224:M224)</f>
        <v>0</v>
      </c>
      <c r="AJ224" s="28">
        <f>IF(ISERROR(AI224/B224*AF224),0,(AI224/B224*AF224))</f>
        <v>0</v>
      </c>
      <c r="AK224" s="58">
        <f>IF(ISERROR(O224/B224*AF224),0,(O224/B224*AF224))</f>
        <v>0</v>
      </c>
      <c r="AL224" s="28">
        <f>IF(ISERROR(H224/B224*AF224),0,(H224/B224*AF224))</f>
        <v>0</v>
      </c>
      <c r="AN224" s="51">
        <f>A224</f>
        <v>0</v>
      </c>
      <c r="AO224" s="57">
        <f>IF(ISERROR(IF(B224=C224,D224/C224,(INT(D224/B224)+(((D224-B224*INT(D224/B224)))/C224)/100))),0,(IF(B224=C224,D224/C224,(INT(D224/B224)+(((D224-B224*INT(D224/B224)))/C224)/100))))</f>
        <v>0</v>
      </c>
      <c r="AP224" s="57">
        <f>IF(ISERROR(IF(B224=C224,E224/C224,(INT(E224/B224)+(((E224-B224*INT(E224/B224)))/C224)/100))),0,(IF(B224=C224,E224/C224,(INT(E224/B224)+(((E224-B224*INT(E224/B224)))/C224)/100))))</f>
        <v>0</v>
      </c>
      <c r="AQ224" s="57">
        <f>IF(ISERROR(IF(B224=C224,F224/C224,IF((INT(F224/B224)+(((F224-B224*INT(F224/B224)))/C224)/100)&lt;0,(INT(F224/B224)+(((F224-B224*INT(F224/B224)))/C224)/100)+(1-(B224/C224/100)),(INT(F224/B224)+(((F224-B224*INT(F224/B224)))/C224)/100)))),0,IF(B224=C224,F224/C224,IF((INT(F224/B224)+(((F224-B224*INT(F224/B224)))/C224)/100)&lt;0,(INT(F224/B224)+(((F224-B224*INT(F224/B224)))/C224)/100)+(1-(B224/C224/100)),(INT(F224/B224)+(((F224-B224*INT(F224/B224)))/C224)/100))))</f>
        <v>0</v>
      </c>
      <c r="AR224" s="57">
        <f>IF(ISERROR(IF(B224=C224,G224/C224,(INT(G224/B224)+(((G224-B224*INT(G224/B224)))/C224)/100))),0,(IF(B224=C224,G224/C224,(INT(G224/B224)+(((G224-B224*INT(G224/B224)))/C224)/100))))</f>
        <v>0</v>
      </c>
      <c r="AS224" s="57">
        <f>IF(ISERROR(IF(B224=C224,H224/C224,(INT(H224/B224)+(((H224-B224*INT(H224/B224)))/C224)/100))),0,(IF(B224=C224,H224/C224,(INT(H224/B224)+(((H224-B224*INT(H224/B224)))/C224)/100))))</f>
        <v>0</v>
      </c>
      <c r="AT224" s="57">
        <f>IF(ISERROR(IF(B224=C224,I224/C224,(INT(I224/B224)+(((I224-B224*INT(I224/B224)))/C224)/100))),0,(IF(B224=C224,I224/C224,(INT(I224/B224)+(((I224-B224*INT(I224/B224)))/C224)/100))))</f>
        <v>0</v>
      </c>
      <c r="AU224" s="57">
        <f>IF(ISERROR(IF(B224=C224,J224/C224,(INT(J224/B224)+(((J224-B224*INT(J224/B224)))/C224)/100))),0,(IF(B224=C224,J224/C224,(INT(J224/B224)+(((J224-B224*INT(J224/B224)))/C224)/100))))</f>
        <v>0</v>
      </c>
      <c r="AV224" s="57">
        <f>IF(ISERROR(IF(B224=C224,K224/C224,IF((INT(K224/B224)+(((K224-B224*INT(K224/B224)))/C224)/100)&lt;0,(INT(K224/B224)+(((K224-B224*INT(K224/B224)))/C224)/100)+(1-(B224/C224/100)),(INT(K224/B224)+(((K224-B224*INT(K224/B224)))/C224)/100)))),0,IF(B224=C224,K224/C224,IF((INT(K224/B224)+(((K224-B224*INT(K224/B224)))/C224)/100)&lt;0,(INT(K224/B224)+(((K224-B224*INT(K224/B224)))/C224)/100)+(1-(B224/C224/100)),(INT(K224/B224)+(((K224-B224*INT(K224/B224)))/C224)/100))))</f>
        <v>0</v>
      </c>
      <c r="AW224" s="57">
        <f>IF(ISERROR(IF(B224=C224,L224/C224,(INT(L224/B224)+(((L224-B224*INT(L224/B224)))/C224)/100))),0,(IF(B224=C224,L224/C224,(INT(L224/B224)+(((L224-B224*INT(L224/B224)))/C224)/100))))</f>
        <v>0</v>
      </c>
      <c r="AX224" s="57">
        <f>IF(ISERROR(IF(B224=C224,M224/C224,(INT(M224/B224)+(((M224-B224*INT(M224/B224)))/C224)/100))),0,(IF(B224=C224,M224/C224,(INT(M224/B224)+(((M224-B224*INT(M224/B224)))/C224)/100))))</f>
        <v>0</v>
      </c>
      <c r="AY224" s="57">
        <f>IF(ISERROR(IF(B224=C224,N224/C224,IF((INT(N224/B224)+(((N224-B224*INT(N224/B224)))/C224)/100)&lt;0,(INT(N224/B224)+(((N224-B224*INT(N224/B224)))/C224)/100)+(1-(B224/C224/100)),(INT(N224/B224)+(((N224-B224*INT(N224/B224)))/C224)/100)))),0,IF(B224=C224,N224/C224,IF((INT(N224/B224)+(((N224-B224*INT(N224/B224)))/C224)/100)&lt;0,(INT(N224/B224)+(((N224-B224*INT(N224/B224)))/C224)/100)+(1-(B224/C224/100)),(INT(N224/B224)+(((N224-B224*INT(N224/B224)))/C224)/100))))</f>
        <v>0</v>
      </c>
      <c r="AZ224" s="57">
        <f>IF(ISERROR(IF(B224=C224,O224/C224,(INT(O224/B224)+(((O224-B224*INT(O224/B224)))/C224)/100))),0,(IF(B224=C224,O224/C224,(INT(O224/B224)+(((O224-B224*INT(O224/B224)))/C224)/100))))</f>
        <v>0</v>
      </c>
      <c r="BA224" s="57">
        <f>IF(ISERROR(IF(B224=C224,P224/C224,IF((INT(P224/B224)+(((P224-B224*INT(P224/B224)))/C224)/100)&lt;0,(INT(P224/B224)+(((P224-B224*INT(P224/B224)))/C224)/100)+(1-(B224/C224/100)),(INT(P224/B224)+(((P224-B224*INT(P224/B224)))/C224)/100)))),0,IF(B224=C224,P224/C224,IF((INT(P224/B224)+(((P224-B224*INT(P224/B224)))/C224)/100)&lt;0,(INT(P224/B224)+(((P224-B224*INT(P224/B224)))/C224)/100)+(1-(B224/C224/100)),(INT(P224/B224)+(((P224-B224*INT(P224/B224)))/C224)/100))))</f>
        <v>0</v>
      </c>
      <c r="BB224" s="28">
        <f>R224</f>
        <v>0</v>
      </c>
      <c r="BC224" s="28">
        <f>S224</f>
        <v>0</v>
      </c>
      <c r="BD224" s="28">
        <f>AF224</f>
        <v>0</v>
      </c>
      <c r="BE224" s="28">
        <f>T224</f>
        <v>0</v>
      </c>
      <c r="BG224" s="57">
        <f>IF(ISERROR(IF(B224=C224,V224/C224,(INT(V224/B224)+(((V224-B224*INT(V224/B224)))/C224)/100))),0,(IF(B224=C224,V224/C224,(INT(V224/B224)+(((V224-B224*INT(V224/B224)))/C224)/100))))</f>
        <v>0</v>
      </c>
      <c r="BH224" s="57">
        <f>IF(ISERROR(IF(B224=C224,W224/C224,(INT(W224/B224)+(((W224-B224*INT(W224/B224)))/C224)/100))),0,(IF(B224=C224,W224/C224,(INT(W224/B224)+(((W224-B224*INT(W224/B224)))/C224)/100))))</f>
        <v>0</v>
      </c>
      <c r="BI224" s="57">
        <f>IF(ISERROR(IF(B224=C224,X224/C224,(INT(X224/B224)+(((X224-B224*INT(X224/B224)))/C224)/100))),0,(IF(B224=C224,X224/C224,(INT(X224/B224)+(((X224-B224*INT(X224/B224)))/C224)/100))))</f>
        <v>0</v>
      </c>
      <c r="BJ224" s="57">
        <f>IF(ISERROR(IF(B224=C224,Y224/C224,(INT(Y224/B224)+(((Y224-B224*INT(Y224/B224)))/C224)/100))),0,(IF(B224=C224,Y224/C224,(INT(Y224/B224)+(((Y224-B224*INT(Y224/B224)))/C224)/100))))</f>
        <v>0</v>
      </c>
      <c r="BL224" s="57">
        <f>IF(ISERROR(IF(B224=C224,AA224/C224,(INT(AA224/B224)+(((AA224-B224*INT(AA224/B224)))/C224)/100))),0,(IF(B224=C224,AA224/C224,(INT(AA224/B224)+(((AA224-B224*INT(AA224/B224)))/C224)/100))))</f>
        <v>0</v>
      </c>
      <c r="BM224" s="57">
        <f>IF(ISERROR(IF(B224=C224,AB224/C224,(INT(AB224/B224)+(((AB224-B224*INT(AB224/B224)))/C224)/100))),0,(IF(B224=C224,AB224/C224,(INT(AB224/B224)+(((AB224-B224*INT(AB224/B224)))/C224)/100))))</f>
        <v>0</v>
      </c>
      <c r="BN224" s="57">
        <f>IF(ISERROR(IF(B224=C224,AC224/C224,(INT(AC224/B224)+(((AC224-B224*INT(AC224/B224)))/C224)/100))),0,(IF(B224=C224,AC224/C224,(INT(AC224/B224)+(((AC224-B224*INT(AC224/B224)))/C224)/100))))</f>
        <v>0</v>
      </c>
      <c r="BO224" s="57">
        <f>IF(ISERROR(IF(B224=C224,AD224/C224,(INT(AD224/B224)+(((AD224-B224*INT(AD224/B224)))/C224)/100))),0,(IF(B224=C224,AD224/C224,(INT(AD224/B224)+(((AD224-B224*INT(AD224/B224)))/C224)/100))))</f>
        <v>0</v>
      </c>
      <c r="BQ224" s="155"/>
    </row>
    <row r="225" spans="1:69" hidden="1" x14ac:dyDescent="0.35">
      <c r="A225" s="94"/>
      <c r="B225" s="113">
        <v>0</v>
      </c>
      <c r="C225" s="113">
        <v>0</v>
      </c>
      <c r="D225" s="28">
        <f>SUM(AA225:AD225)</f>
        <v>0</v>
      </c>
      <c r="E225" s="113">
        <v>0</v>
      </c>
      <c r="F225" s="113">
        <v>0</v>
      </c>
      <c r="G225" s="28">
        <f>SUM(D225:F225)</f>
        <v>0</v>
      </c>
      <c r="H225" s="125">
        <v>0</v>
      </c>
      <c r="I225" s="113">
        <v>0</v>
      </c>
      <c r="J225" s="125">
        <v>0</v>
      </c>
      <c r="K225" s="113">
        <v>0</v>
      </c>
      <c r="L225" s="113">
        <v>0</v>
      </c>
      <c r="M225" s="113">
        <v>0</v>
      </c>
      <c r="N225" s="28">
        <f>G225-SUM(H225:M225)</f>
        <v>0</v>
      </c>
      <c r="O225" s="28">
        <f>SUM(V225:Y225)</f>
        <v>0</v>
      </c>
      <c r="P225" s="28">
        <f>O225-N225</f>
        <v>0</v>
      </c>
      <c r="Q225" s="61" t="str">
        <f>IF(ISERROR(P225/SUM(H225:L225)),"",P225/SUM(H225:L225))</f>
        <v/>
      </c>
      <c r="R225" s="113">
        <v>0</v>
      </c>
      <c r="S225" s="28">
        <f>IF(ISERROR(P225/C225*R225),0,(P225/C225*R225))</f>
        <v>0</v>
      </c>
      <c r="T225" s="60">
        <f>IF(ISERROR(P225/B225*AF225),0,(P225/B225*AF225))</f>
        <v>0</v>
      </c>
      <c r="V225" s="113">
        <v>0</v>
      </c>
      <c r="W225" s="113">
        <v>0</v>
      </c>
      <c r="X225" s="113">
        <v>0</v>
      </c>
      <c r="Y225" s="113">
        <v>0</v>
      </c>
      <c r="AA225" s="113">
        <v>0</v>
      </c>
      <c r="AB225" s="113">
        <v>0</v>
      </c>
      <c r="AC225" s="113">
        <v>0</v>
      </c>
      <c r="AD225" s="113">
        <v>0</v>
      </c>
      <c r="AF225" s="113">
        <v>0</v>
      </c>
      <c r="AG225" s="28">
        <f>G225-O225</f>
        <v>0</v>
      </c>
      <c r="AH225" s="58">
        <f>IF(ISERROR(AG225/B225*AF225),0,(AG225/B225*AF225))</f>
        <v>0</v>
      </c>
      <c r="AI225" s="28">
        <f>SUM(H225:M225)</f>
        <v>0</v>
      </c>
      <c r="AJ225" s="28">
        <f>IF(ISERROR(AI225/B225*AF225),0,(AI225/B225*AF225))</f>
        <v>0</v>
      </c>
      <c r="AK225" s="58">
        <f>IF(ISERROR(O225/B225*AF225),0,(O225/B225*AF225))</f>
        <v>0</v>
      </c>
      <c r="AL225" s="28">
        <f>IF(ISERROR(H225/B225*AF225),0,(H225/B225*AF225))</f>
        <v>0</v>
      </c>
      <c r="AN225" s="51">
        <f>A225</f>
        <v>0</v>
      </c>
      <c r="AO225" s="57">
        <f>IF(ISERROR(IF(B225=C225,D225/C225,(INT(D225/B225)+(((D225-B225*INT(D225/B225)))/C225)/100))),0,(IF(B225=C225,D225/C225,(INT(D225/B225)+(((D225-B225*INT(D225/B225)))/C225)/100))))</f>
        <v>0</v>
      </c>
      <c r="AP225" s="57">
        <f>IF(ISERROR(IF(B225=C225,E225/C225,(INT(E225/B225)+(((E225-B225*INT(E225/B225)))/C225)/100))),0,(IF(B225=C225,E225/C225,(INT(E225/B225)+(((E225-B225*INT(E225/B225)))/C225)/100))))</f>
        <v>0</v>
      </c>
      <c r="AQ225" s="57">
        <f>IF(ISERROR(IF(B225=C225,F225/C225,IF((INT(F225/B225)+(((F225-B225*INT(F225/B225)))/C225)/100)&lt;0,(INT(F225/B225)+(((F225-B225*INT(F225/B225)))/C225)/100)+(1-(B225/C225/100)),(INT(F225/B225)+(((F225-B225*INT(F225/B225)))/C225)/100)))),0,IF(B225=C225,F225/C225,IF((INT(F225/B225)+(((F225-B225*INT(F225/B225)))/C225)/100)&lt;0,(INT(F225/B225)+(((F225-B225*INT(F225/B225)))/C225)/100)+(1-(B225/C225/100)),(INT(F225/B225)+(((F225-B225*INT(F225/B225)))/C225)/100))))</f>
        <v>0</v>
      </c>
      <c r="AR225" s="57">
        <f>IF(ISERROR(IF(B225=C225,G225/C225,(INT(G225/B225)+(((G225-B225*INT(G225/B225)))/C225)/100))),0,(IF(B225=C225,G225/C225,(INT(G225/B225)+(((G225-B225*INT(G225/B225)))/C225)/100))))</f>
        <v>0</v>
      </c>
      <c r="AS225" s="57">
        <f>IF(ISERROR(IF(B225=C225,H225/C225,(INT(H225/B225)+(((H225-B225*INT(H225/B225)))/C225)/100))),0,(IF(B225=C225,H225/C225,(INT(H225/B225)+(((H225-B225*INT(H225/B225)))/C225)/100))))</f>
        <v>0</v>
      </c>
      <c r="AT225" s="57">
        <f>IF(ISERROR(IF(B225=C225,I225/C225,(INT(I225/B225)+(((I225-B225*INT(I225/B225)))/C225)/100))),0,(IF(B225=C225,I225/C225,(INT(I225/B225)+(((I225-B225*INT(I225/B225)))/C225)/100))))</f>
        <v>0</v>
      </c>
      <c r="AU225" s="57">
        <f>IF(ISERROR(IF(B225=C225,J225/C225,(INT(J225/B225)+(((J225-B225*INT(J225/B225)))/C225)/100))),0,(IF(B225=C225,J225/C225,(INT(J225/B225)+(((J225-B225*INT(J225/B225)))/C225)/100))))</f>
        <v>0</v>
      </c>
      <c r="AV225" s="57">
        <f>IF(ISERROR(IF(B225=C225,K225/C225,IF((INT(K225/B225)+(((K225-B225*INT(K225/B225)))/C225)/100)&lt;0,(INT(K225/B225)+(((K225-B225*INT(K225/B225)))/C225)/100)+(1-(B225/C225/100)),(INT(K225/B225)+(((K225-B225*INT(K225/B225)))/C225)/100)))),0,IF(B225=C225,K225/C225,IF((INT(K225/B225)+(((K225-B225*INT(K225/B225)))/C225)/100)&lt;0,(INT(K225/B225)+(((K225-B225*INT(K225/B225)))/C225)/100)+(1-(B225/C225/100)),(INT(K225/B225)+(((K225-B225*INT(K225/B225)))/C225)/100))))</f>
        <v>0</v>
      </c>
      <c r="AW225" s="57">
        <f>IF(ISERROR(IF(B225=C225,L225/C225,(INT(L225/B225)+(((L225-B225*INT(L225/B225)))/C225)/100))),0,(IF(B225=C225,L225/C225,(INT(L225/B225)+(((L225-B225*INT(L225/B225)))/C225)/100))))</f>
        <v>0</v>
      </c>
      <c r="AX225" s="57">
        <f>IF(ISERROR(IF(B225=C225,M225/C225,(INT(M225/B225)+(((M225-B225*INT(M225/B225)))/C225)/100))),0,(IF(B225=C225,M225/C225,(INT(M225/B225)+(((M225-B225*INT(M225/B225)))/C225)/100))))</f>
        <v>0</v>
      </c>
      <c r="AY225" s="57">
        <f>IF(ISERROR(IF(B225=C225,N225/C225,IF((INT(N225/B225)+(((N225-B225*INT(N225/B225)))/C225)/100)&lt;0,(INT(N225/B225)+(((N225-B225*INT(N225/B225)))/C225)/100)+(1-(B225/C225/100)),(INT(N225/B225)+(((N225-B225*INT(N225/B225)))/C225)/100)))),0,IF(B225=C225,N225/C225,IF((INT(N225/B225)+(((N225-B225*INT(N225/B225)))/C225)/100)&lt;0,(INT(N225/B225)+(((N225-B225*INT(N225/B225)))/C225)/100)+(1-(B225/C225/100)),(INT(N225/B225)+(((N225-B225*INT(N225/B225)))/C225)/100))))</f>
        <v>0</v>
      </c>
      <c r="AZ225" s="57">
        <f>IF(ISERROR(IF(B225=C225,O225/C225,(INT(O225/B225)+(((O225-B225*INT(O225/B225)))/C225)/100))),0,(IF(B225=C225,O225/C225,(INT(O225/B225)+(((O225-B225*INT(O225/B225)))/C225)/100))))</f>
        <v>0</v>
      </c>
      <c r="BA225" s="57">
        <f>IF(ISERROR(IF(B225=C225,P225/C225,IF((INT(P225/B225)+(((P225-B225*INT(P225/B225)))/C225)/100)&lt;0,(INT(P225/B225)+(((P225-B225*INT(P225/B225)))/C225)/100)+(1-(B225/C225/100)),(INT(P225/B225)+(((P225-B225*INT(P225/B225)))/C225)/100)))),0,IF(B225=C225,P225/C225,IF((INT(P225/B225)+(((P225-B225*INT(P225/B225)))/C225)/100)&lt;0,(INT(P225/B225)+(((P225-B225*INT(P225/B225)))/C225)/100)+(1-(B225/C225/100)),(INT(P225/B225)+(((P225-B225*INT(P225/B225)))/C225)/100))))</f>
        <v>0</v>
      </c>
      <c r="BB225" s="28">
        <f>R225</f>
        <v>0</v>
      </c>
      <c r="BC225" s="28">
        <f>S225</f>
        <v>0</v>
      </c>
      <c r="BD225" s="28">
        <f>AF225</f>
        <v>0</v>
      </c>
      <c r="BE225" s="28">
        <f>T225</f>
        <v>0</v>
      </c>
      <c r="BG225" s="57">
        <f>IF(ISERROR(IF(B225=C225,V225/C225,(INT(V225/B225)+(((V225-B225*INT(V225/B225)))/C225)/100))),0,(IF(B225=C225,V225/C225,(INT(V225/B225)+(((V225-B225*INT(V225/B225)))/C225)/100))))</f>
        <v>0</v>
      </c>
      <c r="BH225" s="57">
        <f>IF(ISERROR(IF(B225=C225,W225/C225,(INT(W225/B225)+(((W225-B225*INT(W225/B225)))/C225)/100))),0,(IF(B225=C225,W225/C225,(INT(W225/B225)+(((W225-B225*INT(W225/B225)))/C225)/100))))</f>
        <v>0</v>
      </c>
      <c r="BI225" s="57">
        <f>IF(ISERROR(IF(B225=C225,X225/C225,(INT(X225/B225)+(((X225-B225*INT(X225/B225)))/C225)/100))),0,(IF(B225=C225,X225/C225,(INT(X225/B225)+(((X225-B225*INT(X225/B225)))/C225)/100))))</f>
        <v>0</v>
      </c>
      <c r="BJ225" s="57">
        <f>IF(ISERROR(IF(B225=C225,Y225/C225,(INT(Y225/B225)+(((Y225-B225*INT(Y225/B225)))/C225)/100))),0,(IF(B225=C225,Y225/C225,(INT(Y225/B225)+(((Y225-B225*INT(Y225/B225)))/C225)/100))))</f>
        <v>0</v>
      </c>
      <c r="BL225" s="57">
        <f>IF(ISERROR(IF(B225=C225,AA225/C225,(INT(AA225/B225)+(((AA225-B225*INT(AA225/B225)))/C225)/100))),0,(IF(B225=C225,AA225/C225,(INT(AA225/B225)+(((AA225-B225*INT(AA225/B225)))/C225)/100))))</f>
        <v>0</v>
      </c>
      <c r="BM225" s="57">
        <f>IF(ISERROR(IF(B225=C225,AB225/C225,(INT(AB225/B225)+(((AB225-B225*INT(AB225/B225)))/C225)/100))),0,(IF(B225=C225,AB225/C225,(INT(AB225/B225)+(((AB225-B225*INT(AB225/B225)))/C225)/100))))</f>
        <v>0</v>
      </c>
      <c r="BN225" s="57">
        <f>IF(ISERROR(IF(B225=C225,AC225/C225,(INT(AC225/B225)+(((AC225-B225*INT(AC225/B225)))/C225)/100))),0,(IF(B225=C225,AC225/C225,(INT(AC225/B225)+(((AC225-B225*INT(AC225/B225)))/C225)/100))))</f>
        <v>0</v>
      </c>
      <c r="BO225" s="57">
        <f>IF(ISERROR(IF(B225=C225,AD225/C225,(INT(AD225/B225)+(((AD225-B225*INT(AD225/B225)))/C225)/100))),0,(IF(B225=C225,AD225/C225,(INT(AD225/B225)+(((AD225-B225*INT(AD225/B225)))/C225)/100))))</f>
        <v>0</v>
      </c>
      <c r="BQ225" s="155"/>
    </row>
    <row r="226" spans="1:69" hidden="1" x14ac:dyDescent="0.35">
      <c r="A226" s="94"/>
      <c r="B226" s="113">
        <v>0</v>
      </c>
      <c r="C226" s="113">
        <v>0</v>
      </c>
      <c r="D226" s="28">
        <f>SUM(AA226:AD226)</f>
        <v>0</v>
      </c>
      <c r="E226" s="113">
        <v>0</v>
      </c>
      <c r="F226" s="113">
        <v>0</v>
      </c>
      <c r="G226" s="28">
        <f>SUM(D226:F226)</f>
        <v>0</v>
      </c>
      <c r="H226" s="125">
        <v>0</v>
      </c>
      <c r="I226" s="113">
        <v>0</v>
      </c>
      <c r="J226" s="125">
        <v>0</v>
      </c>
      <c r="K226" s="113">
        <v>0</v>
      </c>
      <c r="L226" s="113">
        <v>0</v>
      </c>
      <c r="M226" s="113">
        <v>0</v>
      </c>
      <c r="N226" s="28">
        <f>G226-SUM(H226:M226)</f>
        <v>0</v>
      </c>
      <c r="O226" s="28">
        <f>SUM(V226:Y226)</f>
        <v>0</v>
      </c>
      <c r="P226" s="28">
        <f>O226-N226</f>
        <v>0</v>
      </c>
      <c r="Q226" s="61" t="str">
        <f>IF(ISERROR(P226/SUM(H226:L226)),"",P226/SUM(H226:L226))</f>
        <v/>
      </c>
      <c r="R226" s="113">
        <v>0</v>
      </c>
      <c r="S226" s="28">
        <f>IF(ISERROR(P226/C226*R226),0,(P226/C226*R226))</f>
        <v>0</v>
      </c>
      <c r="T226" s="60">
        <f>IF(ISERROR(P226/B226*AF226),0,(P226/B226*AF226))</f>
        <v>0</v>
      </c>
      <c r="V226" s="113">
        <v>0</v>
      </c>
      <c r="W226" s="113">
        <v>0</v>
      </c>
      <c r="X226" s="113">
        <v>0</v>
      </c>
      <c r="Y226" s="113">
        <v>0</v>
      </c>
      <c r="AA226" s="113">
        <v>0</v>
      </c>
      <c r="AB226" s="113">
        <v>0</v>
      </c>
      <c r="AC226" s="113">
        <v>0</v>
      </c>
      <c r="AD226" s="113">
        <v>0</v>
      </c>
      <c r="AF226" s="113">
        <v>0</v>
      </c>
      <c r="AG226" s="28">
        <f>G226-O226</f>
        <v>0</v>
      </c>
      <c r="AH226" s="58">
        <f>IF(ISERROR(AG226/B226*AF226),0,(AG226/B226*AF226))</f>
        <v>0</v>
      </c>
      <c r="AI226" s="28">
        <f>SUM(H226:M226)</f>
        <v>0</v>
      </c>
      <c r="AJ226" s="28">
        <f>IF(ISERROR(AI226/B226*AF226),0,(AI226/B226*AF226))</f>
        <v>0</v>
      </c>
      <c r="AK226" s="58">
        <f>IF(ISERROR(O226/B226*AF226),0,(O226/B226*AF226))</f>
        <v>0</v>
      </c>
      <c r="AL226" s="28">
        <f>IF(ISERROR(H226/B226*AF226),0,(H226/B226*AF226))</f>
        <v>0</v>
      </c>
      <c r="AN226" s="51">
        <f>A226</f>
        <v>0</v>
      </c>
      <c r="AO226" s="57">
        <f>IF(ISERROR(IF(B226=C226,D226/C226,(INT(D226/B226)+(((D226-B226*INT(D226/B226)))/C226)/100))),0,(IF(B226=C226,D226/C226,(INT(D226/B226)+(((D226-B226*INT(D226/B226)))/C226)/100))))</f>
        <v>0</v>
      </c>
      <c r="AP226" s="57">
        <f>IF(ISERROR(IF(B226=C226,E226/C226,(INT(E226/B226)+(((E226-B226*INT(E226/B226)))/C226)/100))),0,(IF(B226=C226,E226/C226,(INT(E226/B226)+(((E226-B226*INT(E226/B226)))/C226)/100))))</f>
        <v>0</v>
      </c>
      <c r="AQ226" s="57">
        <f>IF(ISERROR(IF(B226=C226,F226/C226,IF((INT(F226/B226)+(((F226-B226*INT(F226/B226)))/C226)/100)&lt;0,(INT(F226/B226)+(((F226-B226*INT(F226/B226)))/C226)/100)+(1-(B226/C226/100)),(INT(F226/B226)+(((F226-B226*INT(F226/B226)))/C226)/100)))),0,IF(B226=C226,F226/C226,IF((INT(F226/B226)+(((F226-B226*INT(F226/B226)))/C226)/100)&lt;0,(INT(F226/B226)+(((F226-B226*INT(F226/B226)))/C226)/100)+(1-(B226/C226/100)),(INT(F226/B226)+(((F226-B226*INT(F226/B226)))/C226)/100))))</f>
        <v>0</v>
      </c>
      <c r="AR226" s="57">
        <f>IF(ISERROR(IF(B226=C226,G226/C226,(INT(G226/B226)+(((G226-B226*INT(G226/B226)))/C226)/100))),0,(IF(B226=C226,G226/C226,(INT(G226/B226)+(((G226-B226*INT(G226/B226)))/C226)/100))))</f>
        <v>0</v>
      </c>
      <c r="AS226" s="57">
        <f>IF(ISERROR(IF(B226=C226,H226/C226,(INT(H226/B226)+(((H226-B226*INT(H226/B226)))/C226)/100))),0,(IF(B226=C226,H226/C226,(INT(H226/B226)+(((H226-B226*INT(H226/B226)))/C226)/100))))</f>
        <v>0</v>
      </c>
      <c r="AT226" s="57">
        <f>IF(ISERROR(IF(B226=C226,I226/C226,(INT(I226/B226)+(((I226-B226*INT(I226/B226)))/C226)/100))),0,(IF(B226=C226,I226/C226,(INT(I226/B226)+(((I226-B226*INT(I226/B226)))/C226)/100))))</f>
        <v>0</v>
      </c>
      <c r="AU226" s="57">
        <f>IF(ISERROR(IF(B226=C226,J226/C226,(INT(J226/B226)+(((J226-B226*INT(J226/B226)))/C226)/100))),0,(IF(B226=C226,J226/C226,(INT(J226/B226)+(((J226-B226*INT(J226/B226)))/C226)/100))))</f>
        <v>0</v>
      </c>
      <c r="AV226" s="57">
        <f>IF(ISERROR(IF(B226=C226,K226/C226,IF((INT(K226/B226)+(((K226-B226*INT(K226/B226)))/C226)/100)&lt;0,(INT(K226/B226)+(((K226-B226*INT(K226/B226)))/C226)/100)+(1-(B226/C226/100)),(INT(K226/B226)+(((K226-B226*INT(K226/B226)))/C226)/100)))),0,IF(B226=C226,K226/C226,IF((INT(K226/B226)+(((K226-B226*INT(K226/B226)))/C226)/100)&lt;0,(INT(K226/B226)+(((K226-B226*INT(K226/B226)))/C226)/100)+(1-(B226/C226/100)),(INT(K226/B226)+(((K226-B226*INT(K226/B226)))/C226)/100))))</f>
        <v>0</v>
      </c>
      <c r="AW226" s="57">
        <f>IF(ISERROR(IF(B226=C226,L226/C226,(INT(L226/B226)+(((L226-B226*INT(L226/B226)))/C226)/100))),0,(IF(B226=C226,L226/C226,(INT(L226/B226)+(((L226-B226*INT(L226/B226)))/C226)/100))))</f>
        <v>0</v>
      </c>
      <c r="AX226" s="57">
        <f>IF(ISERROR(IF(B226=C226,M226/C226,(INT(M226/B226)+(((M226-B226*INT(M226/B226)))/C226)/100))),0,(IF(B226=C226,M226/C226,(INT(M226/B226)+(((M226-B226*INT(M226/B226)))/C226)/100))))</f>
        <v>0</v>
      </c>
      <c r="AY226" s="57">
        <f>IF(ISERROR(IF(B226=C226,N226/C226,IF((INT(N226/B226)+(((N226-B226*INT(N226/B226)))/C226)/100)&lt;0,(INT(N226/B226)+(((N226-B226*INT(N226/B226)))/C226)/100)+(1-(B226/C226/100)),(INT(N226/B226)+(((N226-B226*INT(N226/B226)))/C226)/100)))),0,IF(B226=C226,N226/C226,IF((INT(N226/B226)+(((N226-B226*INT(N226/B226)))/C226)/100)&lt;0,(INT(N226/B226)+(((N226-B226*INT(N226/B226)))/C226)/100)+(1-(B226/C226/100)),(INT(N226/B226)+(((N226-B226*INT(N226/B226)))/C226)/100))))</f>
        <v>0</v>
      </c>
      <c r="AZ226" s="57">
        <f>IF(ISERROR(IF(B226=C226,O226/C226,(INT(O226/B226)+(((O226-B226*INT(O226/B226)))/C226)/100))),0,(IF(B226=C226,O226/C226,(INT(O226/B226)+(((O226-B226*INT(O226/B226)))/C226)/100))))</f>
        <v>0</v>
      </c>
      <c r="BA226" s="57">
        <f>IF(ISERROR(IF(B226=C226,P226/C226,IF((INT(P226/B226)+(((P226-B226*INT(P226/B226)))/C226)/100)&lt;0,(INT(P226/B226)+(((P226-B226*INT(P226/B226)))/C226)/100)+(1-(B226/C226/100)),(INT(P226/B226)+(((P226-B226*INT(P226/B226)))/C226)/100)))),0,IF(B226=C226,P226/C226,IF((INT(P226/B226)+(((P226-B226*INT(P226/B226)))/C226)/100)&lt;0,(INT(P226/B226)+(((P226-B226*INT(P226/B226)))/C226)/100)+(1-(B226/C226/100)),(INT(P226/B226)+(((P226-B226*INT(P226/B226)))/C226)/100))))</f>
        <v>0</v>
      </c>
      <c r="BB226" s="28">
        <f>R226</f>
        <v>0</v>
      </c>
      <c r="BC226" s="28">
        <f>S226</f>
        <v>0</v>
      </c>
      <c r="BD226" s="28">
        <f>AF226</f>
        <v>0</v>
      </c>
      <c r="BE226" s="28">
        <f>T226</f>
        <v>0</v>
      </c>
      <c r="BG226" s="57">
        <f>IF(ISERROR(IF(B226=C226,V226/C226,(INT(V226/B226)+(((V226-B226*INT(V226/B226)))/C226)/100))),0,(IF(B226=C226,V226/C226,(INT(V226/B226)+(((V226-B226*INT(V226/B226)))/C226)/100))))</f>
        <v>0</v>
      </c>
      <c r="BH226" s="57">
        <f>IF(ISERROR(IF(B226=C226,W226/C226,(INT(W226/B226)+(((W226-B226*INT(W226/B226)))/C226)/100))),0,(IF(B226=C226,W226/C226,(INT(W226/B226)+(((W226-B226*INT(W226/B226)))/C226)/100))))</f>
        <v>0</v>
      </c>
      <c r="BI226" s="57">
        <f>IF(ISERROR(IF(B226=C226,X226/C226,(INT(X226/B226)+(((X226-B226*INT(X226/B226)))/C226)/100))),0,(IF(B226=C226,X226/C226,(INT(X226/B226)+(((X226-B226*INT(X226/B226)))/C226)/100))))</f>
        <v>0</v>
      </c>
      <c r="BJ226" s="57">
        <f>IF(ISERROR(IF(B226=C226,Y226/C226,(INT(Y226/B226)+(((Y226-B226*INT(Y226/B226)))/C226)/100))),0,(IF(B226=C226,Y226/C226,(INT(Y226/B226)+(((Y226-B226*INT(Y226/B226)))/C226)/100))))</f>
        <v>0</v>
      </c>
      <c r="BL226" s="57">
        <f>IF(ISERROR(IF(B226=C226,AA226/C226,(INT(AA226/B226)+(((AA226-B226*INT(AA226/B226)))/C226)/100))),0,(IF(B226=C226,AA226/C226,(INT(AA226/B226)+(((AA226-B226*INT(AA226/B226)))/C226)/100))))</f>
        <v>0</v>
      </c>
      <c r="BM226" s="57">
        <f>IF(ISERROR(IF(B226=C226,AB226/C226,(INT(AB226/B226)+(((AB226-B226*INT(AB226/B226)))/C226)/100))),0,(IF(B226=C226,AB226/C226,(INT(AB226/B226)+(((AB226-B226*INT(AB226/B226)))/C226)/100))))</f>
        <v>0</v>
      </c>
      <c r="BN226" s="57">
        <f>IF(ISERROR(IF(B226=C226,AC226/C226,(INT(AC226/B226)+(((AC226-B226*INT(AC226/B226)))/C226)/100))),0,(IF(B226=C226,AC226/C226,(INT(AC226/B226)+(((AC226-B226*INT(AC226/B226)))/C226)/100))))</f>
        <v>0</v>
      </c>
      <c r="BO226" s="57">
        <f>IF(ISERROR(IF(B226=C226,AD226/C226,(INT(AD226/B226)+(((AD226-B226*INT(AD226/B226)))/C226)/100))),0,(IF(B226=C226,AD226/C226,(INT(AD226/B226)+(((AD226-B226*INT(AD226/B226)))/C226)/100))))</f>
        <v>0</v>
      </c>
      <c r="BQ226" s="155"/>
    </row>
    <row r="227" spans="1:69" hidden="1" x14ac:dyDescent="0.35">
      <c r="A227" s="94"/>
      <c r="B227" s="113">
        <v>0</v>
      </c>
      <c r="C227" s="113">
        <v>0</v>
      </c>
      <c r="D227" s="28">
        <f>SUM(AA227:AD227)</f>
        <v>0</v>
      </c>
      <c r="E227" s="113">
        <v>0</v>
      </c>
      <c r="F227" s="113">
        <v>0</v>
      </c>
      <c r="G227" s="28">
        <f>SUM(D227:F227)</f>
        <v>0</v>
      </c>
      <c r="H227" s="125">
        <v>0</v>
      </c>
      <c r="I227" s="113">
        <v>0</v>
      </c>
      <c r="J227" s="125">
        <v>0</v>
      </c>
      <c r="K227" s="113">
        <v>0</v>
      </c>
      <c r="L227" s="113">
        <v>0</v>
      </c>
      <c r="M227" s="113">
        <v>0</v>
      </c>
      <c r="N227" s="28">
        <f>G227-SUM(H227:M227)</f>
        <v>0</v>
      </c>
      <c r="O227" s="28">
        <f>SUM(V227:Y227)</f>
        <v>0</v>
      </c>
      <c r="P227" s="28">
        <f>O227-N227</f>
        <v>0</v>
      </c>
      <c r="Q227" s="61" t="str">
        <f>IF(ISERROR(P227/SUM(H227:L227)),"",P227/SUM(H227:L227))</f>
        <v/>
      </c>
      <c r="R227" s="113">
        <v>0</v>
      </c>
      <c r="S227" s="28">
        <f>IF(ISERROR(P227/C227*R227),0,(P227/C227*R227))</f>
        <v>0</v>
      </c>
      <c r="T227" s="60">
        <f>IF(ISERROR(P227/B227*AF227),0,(P227/B227*AF227))</f>
        <v>0</v>
      </c>
      <c r="V227" s="113">
        <v>0</v>
      </c>
      <c r="W227" s="113">
        <v>0</v>
      </c>
      <c r="X227" s="113">
        <v>0</v>
      </c>
      <c r="Y227" s="113">
        <v>0</v>
      </c>
      <c r="AA227" s="113">
        <v>0</v>
      </c>
      <c r="AB227" s="113">
        <v>0</v>
      </c>
      <c r="AC227" s="113">
        <v>0</v>
      </c>
      <c r="AD227" s="113">
        <v>0</v>
      </c>
      <c r="AF227" s="113">
        <v>0</v>
      </c>
      <c r="AG227" s="28">
        <f>G227-O227</f>
        <v>0</v>
      </c>
      <c r="AH227" s="58">
        <f>IF(ISERROR(AG227/B227*AF227),0,(AG227/B227*AF227))</f>
        <v>0</v>
      </c>
      <c r="AI227" s="28">
        <f>SUM(H227:M227)</f>
        <v>0</v>
      </c>
      <c r="AJ227" s="28">
        <f>IF(ISERROR(AI227/B227*AF227),0,(AI227/B227*AF227))</f>
        <v>0</v>
      </c>
      <c r="AK227" s="58">
        <f>IF(ISERROR(O227/B227*AF227),0,(O227/B227*AF227))</f>
        <v>0</v>
      </c>
      <c r="AL227" s="28">
        <f>IF(ISERROR(H227/B227*AF227),0,(H227/B227*AF227))</f>
        <v>0</v>
      </c>
      <c r="AN227" s="51">
        <f>A227</f>
        <v>0</v>
      </c>
      <c r="AO227" s="57">
        <f>IF(ISERROR(IF(B227=C227,D227/C227,(INT(D227/B227)+(((D227-B227*INT(D227/B227)))/C227)/100))),0,(IF(B227=C227,D227/C227,(INT(D227/B227)+(((D227-B227*INT(D227/B227)))/C227)/100))))</f>
        <v>0</v>
      </c>
      <c r="AP227" s="57">
        <f>IF(ISERROR(IF(B227=C227,E227/C227,(INT(E227/B227)+(((E227-B227*INT(E227/B227)))/C227)/100))),0,(IF(B227=C227,E227/C227,(INT(E227/B227)+(((E227-B227*INT(E227/B227)))/C227)/100))))</f>
        <v>0</v>
      </c>
      <c r="AQ227" s="57">
        <f>IF(ISERROR(IF(B227=C227,F227/C227,IF((INT(F227/B227)+(((F227-B227*INT(F227/B227)))/C227)/100)&lt;0,(INT(F227/B227)+(((F227-B227*INT(F227/B227)))/C227)/100)+(1-(B227/C227/100)),(INT(F227/B227)+(((F227-B227*INT(F227/B227)))/C227)/100)))),0,IF(B227=C227,F227/C227,IF((INT(F227/B227)+(((F227-B227*INT(F227/B227)))/C227)/100)&lt;0,(INT(F227/B227)+(((F227-B227*INT(F227/B227)))/C227)/100)+(1-(B227/C227/100)),(INT(F227/B227)+(((F227-B227*INT(F227/B227)))/C227)/100))))</f>
        <v>0</v>
      </c>
      <c r="AR227" s="57">
        <f>IF(ISERROR(IF(B227=C227,G227/C227,(INT(G227/B227)+(((G227-B227*INT(G227/B227)))/C227)/100))),0,(IF(B227=C227,G227/C227,(INT(G227/B227)+(((G227-B227*INT(G227/B227)))/C227)/100))))</f>
        <v>0</v>
      </c>
      <c r="AS227" s="57">
        <f>IF(ISERROR(IF(B227=C227,H227/C227,(INT(H227/B227)+(((H227-B227*INT(H227/B227)))/C227)/100))),0,(IF(B227=C227,H227/C227,(INT(H227/B227)+(((H227-B227*INT(H227/B227)))/C227)/100))))</f>
        <v>0</v>
      </c>
      <c r="AT227" s="57">
        <f>IF(ISERROR(IF(B227=C227,I227/C227,(INT(I227/B227)+(((I227-B227*INT(I227/B227)))/C227)/100))),0,(IF(B227=C227,I227/C227,(INT(I227/B227)+(((I227-B227*INT(I227/B227)))/C227)/100))))</f>
        <v>0</v>
      </c>
      <c r="AU227" s="57">
        <f>IF(ISERROR(IF(B227=C227,J227/C227,(INT(J227/B227)+(((J227-B227*INT(J227/B227)))/C227)/100))),0,(IF(B227=C227,J227/C227,(INT(J227/B227)+(((J227-B227*INT(J227/B227)))/C227)/100))))</f>
        <v>0</v>
      </c>
      <c r="AV227" s="57">
        <f>IF(ISERROR(IF(B227=C227,K227/C227,IF((INT(K227/B227)+(((K227-B227*INT(K227/B227)))/C227)/100)&lt;0,(INT(K227/B227)+(((K227-B227*INT(K227/B227)))/C227)/100)+(1-(B227/C227/100)),(INT(K227/B227)+(((K227-B227*INT(K227/B227)))/C227)/100)))),0,IF(B227=C227,K227/C227,IF((INT(K227/B227)+(((K227-B227*INT(K227/B227)))/C227)/100)&lt;0,(INT(K227/B227)+(((K227-B227*INT(K227/B227)))/C227)/100)+(1-(B227/C227/100)),(INT(K227/B227)+(((K227-B227*INT(K227/B227)))/C227)/100))))</f>
        <v>0</v>
      </c>
      <c r="AW227" s="57">
        <f>IF(ISERROR(IF(B227=C227,L227/C227,(INT(L227/B227)+(((L227-B227*INT(L227/B227)))/C227)/100))),0,(IF(B227=C227,L227/C227,(INT(L227/B227)+(((L227-B227*INT(L227/B227)))/C227)/100))))</f>
        <v>0</v>
      </c>
      <c r="AX227" s="57">
        <f>IF(ISERROR(IF(B227=C227,M227/C227,(INT(M227/B227)+(((M227-B227*INT(M227/B227)))/C227)/100))),0,(IF(B227=C227,M227/C227,(INT(M227/B227)+(((M227-B227*INT(M227/B227)))/C227)/100))))</f>
        <v>0</v>
      </c>
      <c r="AY227" s="57">
        <f>IF(ISERROR(IF(B227=C227,N227/C227,IF((INT(N227/B227)+(((N227-B227*INT(N227/B227)))/C227)/100)&lt;0,(INT(N227/B227)+(((N227-B227*INT(N227/B227)))/C227)/100)+(1-(B227/C227/100)),(INT(N227/B227)+(((N227-B227*INT(N227/B227)))/C227)/100)))),0,IF(B227=C227,N227/C227,IF((INT(N227/B227)+(((N227-B227*INT(N227/B227)))/C227)/100)&lt;0,(INT(N227/B227)+(((N227-B227*INT(N227/B227)))/C227)/100)+(1-(B227/C227/100)),(INT(N227/B227)+(((N227-B227*INT(N227/B227)))/C227)/100))))</f>
        <v>0</v>
      </c>
      <c r="AZ227" s="57">
        <f>IF(ISERROR(IF(B227=C227,O227/C227,(INT(O227/B227)+(((O227-B227*INT(O227/B227)))/C227)/100))),0,(IF(B227=C227,O227/C227,(INT(O227/B227)+(((O227-B227*INT(O227/B227)))/C227)/100))))</f>
        <v>0</v>
      </c>
      <c r="BA227" s="57">
        <f>IF(ISERROR(IF(B227=C227,P227/C227,IF((INT(P227/B227)+(((P227-B227*INT(P227/B227)))/C227)/100)&lt;0,(INT(P227/B227)+(((P227-B227*INT(P227/B227)))/C227)/100)+(1-(B227/C227/100)),(INT(P227/B227)+(((P227-B227*INT(P227/B227)))/C227)/100)))),0,IF(B227=C227,P227/C227,IF((INT(P227/B227)+(((P227-B227*INT(P227/B227)))/C227)/100)&lt;0,(INT(P227/B227)+(((P227-B227*INT(P227/B227)))/C227)/100)+(1-(B227/C227/100)),(INT(P227/B227)+(((P227-B227*INT(P227/B227)))/C227)/100))))</f>
        <v>0</v>
      </c>
      <c r="BB227" s="28">
        <f>R227</f>
        <v>0</v>
      </c>
      <c r="BC227" s="28">
        <f>S227</f>
        <v>0</v>
      </c>
      <c r="BD227" s="28">
        <f>AF227</f>
        <v>0</v>
      </c>
      <c r="BE227" s="28">
        <f>T227</f>
        <v>0</v>
      </c>
      <c r="BG227" s="57">
        <f>IF(ISERROR(IF(B227=C227,V227/C227,(INT(V227/B227)+(((V227-B227*INT(V227/B227)))/C227)/100))),0,(IF(B227=C227,V227/C227,(INT(V227/B227)+(((V227-B227*INT(V227/B227)))/C227)/100))))</f>
        <v>0</v>
      </c>
      <c r="BH227" s="57">
        <f>IF(ISERROR(IF(B227=C227,W227/C227,(INT(W227/B227)+(((W227-B227*INT(W227/B227)))/C227)/100))),0,(IF(B227=C227,W227/C227,(INT(W227/B227)+(((W227-B227*INT(W227/B227)))/C227)/100))))</f>
        <v>0</v>
      </c>
      <c r="BI227" s="57">
        <f>IF(ISERROR(IF(B227=C227,X227/C227,(INT(X227/B227)+(((X227-B227*INT(X227/B227)))/C227)/100))),0,(IF(B227=C227,X227/C227,(INT(X227/B227)+(((X227-B227*INT(X227/B227)))/C227)/100))))</f>
        <v>0</v>
      </c>
      <c r="BJ227" s="57">
        <f>IF(ISERROR(IF(B227=C227,Y227/C227,(INT(Y227/B227)+(((Y227-B227*INT(Y227/B227)))/C227)/100))),0,(IF(B227=C227,Y227/C227,(INT(Y227/B227)+(((Y227-B227*INT(Y227/B227)))/C227)/100))))</f>
        <v>0</v>
      </c>
      <c r="BL227" s="57">
        <f>IF(ISERROR(IF(B227=C227,AA227/C227,(INT(AA227/B227)+(((AA227-B227*INT(AA227/B227)))/C227)/100))),0,(IF(B227=C227,AA227/C227,(INT(AA227/B227)+(((AA227-B227*INT(AA227/B227)))/C227)/100))))</f>
        <v>0</v>
      </c>
      <c r="BM227" s="57">
        <f>IF(ISERROR(IF(B227=C227,AB227/C227,(INT(AB227/B227)+(((AB227-B227*INT(AB227/B227)))/C227)/100))),0,(IF(B227=C227,AB227/C227,(INT(AB227/B227)+(((AB227-B227*INT(AB227/B227)))/C227)/100))))</f>
        <v>0</v>
      </c>
      <c r="BN227" s="57">
        <f>IF(ISERROR(IF(B227=C227,AC227/C227,(INT(AC227/B227)+(((AC227-B227*INT(AC227/B227)))/C227)/100))),0,(IF(B227=C227,AC227/C227,(INT(AC227/B227)+(((AC227-B227*INT(AC227/B227)))/C227)/100))))</f>
        <v>0</v>
      </c>
      <c r="BO227" s="57">
        <f>IF(ISERROR(IF(B227=C227,AD227/C227,(INT(AD227/B227)+(((AD227-B227*INT(AD227/B227)))/C227)/100))),0,(IF(B227=C227,AD227/C227,(INT(AD227/B227)+(((AD227-B227*INT(AD227/B227)))/C227)/100))))</f>
        <v>0</v>
      </c>
      <c r="BQ227" s="155"/>
    </row>
    <row r="228" spans="1:69" hidden="1" x14ac:dyDescent="0.35">
      <c r="A228" s="94"/>
      <c r="B228" s="113">
        <v>0</v>
      </c>
      <c r="C228" s="113">
        <v>0</v>
      </c>
      <c r="D228" s="28">
        <f>SUM(AA228:AD228)</f>
        <v>0</v>
      </c>
      <c r="E228" s="113">
        <v>0</v>
      </c>
      <c r="F228" s="113">
        <v>0</v>
      </c>
      <c r="G228" s="28">
        <f>SUM(D228:F228)</f>
        <v>0</v>
      </c>
      <c r="H228" s="125">
        <v>0</v>
      </c>
      <c r="I228" s="113">
        <v>0</v>
      </c>
      <c r="J228" s="125">
        <v>0</v>
      </c>
      <c r="K228" s="113">
        <v>0</v>
      </c>
      <c r="L228" s="113">
        <v>0</v>
      </c>
      <c r="M228" s="113">
        <v>0</v>
      </c>
      <c r="N228" s="28">
        <f>G228-SUM(H228:M228)</f>
        <v>0</v>
      </c>
      <c r="O228" s="28">
        <f>SUM(V228:Y228)</f>
        <v>0</v>
      </c>
      <c r="P228" s="28">
        <f>O228-N228</f>
        <v>0</v>
      </c>
      <c r="Q228" s="61" t="str">
        <f>IF(ISERROR(P228/SUM(H228:L228)),"",P228/SUM(H228:L228))</f>
        <v/>
      </c>
      <c r="R228" s="113">
        <v>0</v>
      </c>
      <c r="S228" s="28">
        <f>IF(ISERROR(P228/C228*R228),0,(P228/C228*R228))</f>
        <v>0</v>
      </c>
      <c r="T228" s="60">
        <f>IF(ISERROR(P228/B228*AF228),0,(P228/B228*AF228))</f>
        <v>0</v>
      </c>
      <c r="V228" s="113">
        <v>0</v>
      </c>
      <c r="W228" s="113">
        <v>0</v>
      </c>
      <c r="X228" s="113">
        <v>0</v>
      </c>
      <c r="Y228" s="113">
        <v>0</v>
      </c>
      <c r="AA228" s="113">
        <v>0</v>
      </c>
      <c r="AB228" s="113">
        <v>0</v>
      </c>
      <c r="AC228" s="113">
        <v>0</v>
      </c>
      <c r="AD228" s="113">
        <v>0</v>
      </c>
      <c r="AF228" s="113">
        <v>0</v>
      </c>
      <c r="AG228" s="28">
        <f>G228-O228</f>
        <v>0</v>
      </c>
      <c r="AH228" s="58">
        <f>IF(ISERROR(AG228/B228*AF228),0,(AG228/B228*AF228))</f>
        <v>0</v>
      </c>
      <c r="AI228" s="28">
        <f>SUM(H228:M228)</f>
        <v>0</v>
      </c>
      <c r="AJ228" s="28">
        <f>IF(ISERROR(AI228/B228*AF228),0,(AI228/B228*AF228))</f>
        <v>0</v>
      </c>
      <c r="AK228" s="58">
        <f>IF(ISERROR(O228/B228*AF228),0,(O228/B228*AF228))</f>
        <v>0</v>
      </c>
      <c r="AL228" s="28">
        <f>IF(ISERROR(H228/B228*AF228),0,(H228/B228*AF228))</f>
        <v>0</v>
      </c>
      <c r="AN228" s="51">
        <f>A228</f>
        <v>0</v>
      </c>
      <c r="AO228" s="57">
        <f>IF(ISERROR(IF(B228=C228,D228/C228,(INT(D228/B228)+(((D228-B228*INT(D228/B228)))/C228)/100))),0,(IF(B228=C228,D228/C228,(INT(D228/B228)+(((D228-B228*INT(D228/B228)))/C228)/100))))</f>
        <v>0</v>
      </c>
      <c r="AP228" s="57">
        <f>IF(ISERROR(IF(B228=C228,E228/C228,(INT(E228/B228)+(((E228-B228*INT(E228/B228)))/C228)/100))),0,(IF(B228=C228,E228/C228,(INT(E228/B228)+(((E228-B228*INT(E228/B228)))/C228)/100))))</f>
        <v>0</v>
      </c>
      <c r="AQ228" s="57">
        <f>IF(ISERROR(IF(B228=C228,F228/C228,IF((INT(F228/B228)+(((F228-B228*INT(F228/B228)))/C228)/100)&lt;0,(INT(F228/B228)+(((F228-B228*INT(F228/B228)))/C228)/100)+(1-(B228/C228/100)),(INT(F228/B228)+(((F228-B228*INT(F228/B228)))/C228)/100)))),0,IF(B228=C228,F228/C228,IF((INT(F228/B228)+(((F228-B228*INT(F228/B228)))/C228)/100)&lt;0,(INT(F228/B228)+(((F228-B228*INT(F228/B228)))/C228)/100)+(1-(B228/C228/100)),(INT(F228/B228)+(((F228-B228*INT(F228/B228)))/C228)/100))))</f>
        <v>0</v>
      </c>
      <c r="AR228" s="57">
        <f>IF(ISERROR(IF(B228=C228,G228/C228,(INT(G228/B228)+(((G228-B228*INT(G228/B228)))/C228)/100))),0,(IF(B228=C228,G228/C228,(INT(G228/B228)+(((G228-B228*INT(G228/B228)))/C228)/100))))</f>
        <v>0</v>
      </c>
      <c r="AS228" s="57">
        <f>IF(ISERROR(IF(B228=C228,H228/C228,(INT(H228/B228)+(((H228-B228*INT(H228/B228)))/C228)/100))),0,(IF(B228=C228,H228/C228,(INT(H228/B228)+(((H228-B228*INT(H228/B228)))/C228)/100))))</f>
        <v>0</v>
      </c>
      <c r="AT228" s="57">
        <f>IF(ISERROR(IF(B228=C228,I228/C228,(INT(I228/B228)+(((I228-B228*INT(I228/B228)))/C228)/100))),0,(IF(B228=C228,I228/C228,(INT(I228/B228)+(((I228-B228*INT(I228/B228)))/C228)/100))))</f>
        <v>0</v>
      </c>
      <c r="AU228" s="57">
        <f>IF(ISERROR(IF(B228=C228,J228/C228,(INT(J228/B228)+(((J228-B228*INT(J228/B228)))/C228)/100))),0,(IF(B228=C228,J228/C228,(INT(J228/B228)+(((J228-B228*INT(J228/B228)))/C228)/100))))</f>
        <v>0</v>
      </c>
      <c r="AV228" s="57">
        <f>IF(ISERROR(IF(B228=C228,K228/C228,IF((INT(K228/B228)+(((K228-B228*INT(K228/B228)))/C228)/100)&lt;0,(INT(K228/B228)+(((K228-B228*INT(K228/B228)))/C228)/100)+(1-(B228/C228/100)),(INT(K228/B228)+(((K228-B228*INT(K228/B228)))/C228)/100)))),0,IF(B228=C228,K228/C228,IF((INT(K228/B228)+(((K228-B228*INT(K228/B228)))/C228)/100)&lt;0,(INT(K228/B228)+(((K228-B228*INT(K228/B228)))/C228)/100)+(1-(B228/C228/100)),(INT(K228/B228)+(((K228-B228*INT(K228/B228)))/C228)/100))))</f>
        <v>0</v>
      </c>
      <c r="AW228" s="57">
        <f>IF(ISERROR(IF(B228=C228,L228/C228,(INT(L228/B228)+(((L228-B228*INT(L228/B228)))/C228)/100))),0,(IF(B228=C228,L228/C228,(INT(L228/B228)+(((L228-B228*INT(L228/B228)))/C228)/100))))</f>
        <v>0</v>
      </c>
      <c r="AX228" s="57">
        <f>IF(ISERROR(IF(B228=C228,M228/C228,(INT(M228/B228)+(((M228-B228*INT(M228/B228)))/C228)/100))),0,(IF(B228=C228,M228/C228,(INT(M228/B228)+(((M228-B228*INT(M228/B228)))/C228)/100))))</f>
        <v>0</v>
      </c>
      <c r="AY228" s="57">
        <f>IF(ISERROR(IF(B228=C228,N228/C228,IF((INT(N228/B228)+(((N228-B228*INT(N228/B228)))/C228)/100)&lt;0,(INT(N228/B228)+(((N228-B228*INT(N228/B228)))/C228)/100)+(1-(B228/C228/100)),(INT(N228/B228)+(((N228-B228*INT(N228/B228)))/C228)/100)))),0,IF(B228=C228,N228/C228,IF((INT(N228/B228)+(((N228-B228*INT(N228/B228)))/C228)/100)&lt;0,(INT(N228/B228)+(((N228-B228*INT(N228/B228)))/C228)/100)+(1-(B228/C228/100)),(INT(N228/B228)+(((N228-B228*INT(N228/B228)))/C228)/100))))</f>
        <v>0</v>
      </c>
      <c r="AZ228" s="57">
        <f>IF(ISERROR(IF(B228=C228,O228/C228,(INT(O228/B228)+(((O228-B228*INT(O228/B228)))/C228)/100))),0,(IF(B228=C228,O228/C228,(INT(O228/B228)+(((O228-B228*INT(O228/B228)))/C228)/100))))</f>
        <v>0</v>
      </c>
      <c r="BA228" s="57">
        <f>IF(ISERROR(IF(B228=C228,P228/C228,IF((INT(P228/B228)+(((P228-B228*INT(P228/B228)))/C228)/100)&lt;0,(INT(P228/B228)+(((P228-B228*INT(P228/B228)))/C228)/100)+(1-(B228/C228/100)),(INT(P228/B228)+(((P228-B228*INT(P228/B228)))/C228)/100)))),0,IF(B228=C228,P228/C228,IF((INT(P228/B228)+(((P228-B228*INT(P228/B228)))/C228)/100)&lt;0,(INT(P228/B228)+(((P228-B228*INT(P228/B228)))/C228)/100)+(1-(B228/C228/100)),(INT(P228/B228)+(((P228-B228*INT(P228/B228)))/C228)/100))))</f>
        <v>0</v>
      </c>
      <c r="BB228" s="28">
        <f>R228</f>
        <v>0</v>
      </c>
      <c r="BC228" s="28">
        <f>S228</f>
        <v>0</v>
      </c>
      <c r="BD228" s="28">
        <f>AF228</f>
        <v>0</v>
      </c>
      <c r="BE228" s="28">
        <f>T228</f>
        <v>0</v>
      </c>
      <c r="BG228" s="57">
        <f>IF(ISERROR(IF(B228=C228,V228/C228,(INT(V228/B228)+(((V228-B228*INT(V228/B228)))/C228)/100))),0,(IF(B228=C228,V228/C228,(INT(V228/B228)+(((V228-B228*INT(V228/B228)))/C228)/100))))</f>
        <v>0</v>
      </c>
      <c r="BH228" s="57">
        <f>IF(ISERROR(IF(B228=C228,W228/C228,(INT(W228/B228)+(((W228-B228*INT(W228/B228)))/C228)/100))),0,(IF(B228=C228,W228/C228,(INT(W228/B228)+(((W228-B228*INT(W228/B228)))/C228)/100))))</f>
        <v>0</v>
      </c>
      <c r="BI228" s="57">
        <f>IF(ISERROR(IF(B228=C228,X228/C228,(INT(X228/B228)+(((X228-B228*INT(X228/B228)))/C228)/100))),0,(IF(B228=C228,X228/C228,(INT(X228/B228)+(((X228-B228*INT(X228/B228)))/C228)/100))))</f>
        <v>0</v>
      </c>
      <c r="BJ228" s="57">
        <f>IF(ISERROR(IF(B228=C228,Y228/C228,(INT(Y228/B228)+(((Y228-B228*INT(Y228/B228)))/C228)/100))),0,(IF(B228=C228,Y228/C228,(INT(Y228/B228)+(((Y228-B228*INT(Y228/B228)))/C228)/100))))</f>
        <v>0</v>
      </c>
      <c r="BL228" s="57">
        <f>IF(ISERROR(IF(B228=C228,AA228/C228,(INT(AA228/B228)+(((AA228-B228*INT(AA228/B228)))/C228)/100))),0,(IF(B228=C228,AA228/C228,(INT(AA228/B228)+(((AA228-B228*INT(AA228/B228)))/C228)/100))))</f>
        <v>0</v>
      </c>
      <c r="BM228" s="57">
        <f>IF(ISERROR(IF(B228=C228,AB228/C228,(INT(AB228/B228)+(((AB228-B228*INT(AB228/B228)))/C228)/100))),0,(IF(B228=C228,AB228/C228,(INT(AB228/B228)+(((AB228-B228*INT(AB228/B228)))/C228)/100))))</f>
        <v>0</v>
      </c>
      <c r="BN228" s="57">
        <f>IF(ISERROR(IF(B228=C228,AC228/C228,(INT(AC228/B228)+(((AC228-B228*INT(AC228/B228)))/C228)/100))),0,(IF(B228=C228,AC228/C228,(INT(AC228/B228)+(((AC228-B228*INT(AC228/B228)))/C228)/100))))</f>
        <v>0</v>
      </c>
      <c r="BO228" s="57">
        <f>IF(ISERROR(IF(B228=C228,AD228/C228,(INT(AD228/B228)+(((AD228-B228*INT(AD228/B228)))/C228)/100))),0,(IF(B228=C228,AD228/C228,(INT(AD228/B228)+(((AD228-B228*INT(AD228/B228)))/C228)/100))))</f>
        <v>0</v>
      </c>
      <c r="BQ228" s="155"/>
    </row>
    <row r="229" spans="1:69" hidden="1" x14ac:dyDescent="0.35">
      <c r="A229" s="94"/>
      <c r="B229" s="113">
        <v>0</v>
      </c>
      <c r="C229" s="113">
        <v>0</v>
      </c>
      <c r="D229" s="28">
        <f>SUM(AA229:AD229)</f>
        <v>0</v>
      </c>
      <c r="E229" s="113">
        <v>0</v>
      </c>
      <c r="F229" s="113">
        <v>0</v>
      </c>
      <c r="G229" s="28">
        <f>SUM(D229:F229)</f>
        <v>0</v>
      </c>
      <c r="H229" s="125">
        <v>0</v>
      </c>
      <c r="I229" s="113">
        <v>0</v>
      </c>
      <c r="J229" s="125">
        <v>0</v>
      </c>
      <c r="K229" s="113">
        <v>0</v>
      </c>
      <c r="L229" s="113">
        <v>0</v>
      </c>
      <c r="M229" s="113">
        <v>0</v>
      </c>
      <c r="N229" s="28">
        <f>G229-SUM(H229:M229)</f>
        <v>0</v>
      </c>
      <c r="O229" s="28">
        <f>SUM(V229:Y229)</f>
        <v>0</v>
      </c>
      <c r="P229" s="28">
        <f>O229-N229</f>
        <v>0</v>
      </c>
      <c r="Q229" s="61" t="str">
        <f>IF(ISERROR(P229/SUM(H229:L229)),"",P229/SUM(H229:L229))</f>
        <v/>
      </c>
      <c r="R229" s="113">
        <v>0</v>
      </c>
      <c r="S229" s="28">
        <f>IF(ISERROR(P229/C229*R229),0,(P229/C229*R229))</f>
        <v>0</v>
      </c>
      <c r="T229" s="60">
        <f>IF(ISERROR(P229/B229*AF229),0,(P229/B229*AF229))</f>
        <v>0</v>
      </c>
      <c r="V229" s="113">
        <v>0</v>
      </c>
      <c r="W229" s="113">
        <v>0</v>
      </c>
      <c r="X229" s="113">
        <v>0</v>
      </c>
      <c r="Y229" s="113">
        <v>0</v>
      </c>
      <c r="AA229" s="113">
        <v>0</v>
      </c>
      <c r="AB229" s="113">
        <v>0</v>
      </c>
      <c r="AC229" s="113">
        <v>0</v>
      </c>
      <c r="AD229" s="113">
        <v>0</v>
      </c>
      <c r="AF229" s="113">
        <v>0</v>
      </c>
      <c r="AG229" s="28">
        <f>G229-O229</f>
        <v>0</v>
      </c>
      <c r="AH229" s="58">
        <f>IF(ISERROR(AG229/B229*AF229),0,(AG229/B229*AF229))</f>
        <v>0</v>
      </c>
      <c r="AI229" s="28">
        <f>SUM(H229:M229)</f>
        <v>0</v>
      </c>
      <c r="AJ229" s="28">
        <f>IF(ISERROR(AI229/B229*AF229),0,(AI229/B229*AF229))</f>
        <v>0</v>
      </c>
      <c r="AK229" s="58">
        <f>IF(ISERROR(O229/B229*AF229),0,(O229/B229*AF229))</f>
        <v>0</v>
      </c>
      <c r="AL229" s="28">
        <f>IF(ISERROR(H229/B229*AF229),0,(H229/B229*AF229))</f>
        <v>0</v>
      </c>
      <c r="AN229" s="51">
        <f>A229</f>
        <v>0</v>
      </c>
      <c r="AO229" s="57">
        <f>IF(ISERROR(IF(B229=C229,D229/C229,(INT(D229/B229)+(((D229-B229*INT(D229/B229)))/C229)/100))),0,(IF(B229=C229,D229/C229,(INT(D229/B229)+(((D229-B229*INT(D229/B229)))/C229)/100))))</f>
        <v>0</v>
      </c>
      <c r="AP229" s="57">
        <f>IF(ISERROR(IF(B229=C229,E229/C229,(INT(E229/B229)+(((E229-B229*INT(E229/B229)))/C229)/100))),0,(IF(B229=C229,E229/C229,(INT(E229/B229)+(((E229-B229*INT(E229/B229)))/C229)/100))))</f>
        <v>0</v>
      </c>
      <c r="AQ229" s="57">
        <f>IF(ISERROR(IF(B229=C229,F229/C229,IF((INT(F229/B229)+(((F229-B229*INT(F229/B229)))/C229)/100)&lt;0,(INT(F229/B229)+(((F229-B229*INT(F229/B229)))/C229)/100)+(1-(B229/C229/100)),(INT(F229/B229)+(((F229-B229*INT(F229/B229)))/C229)/100)))),0,IF(B229=C229,F229/C229,IF((INT(F229/B229)+(((F229-B229*INT(F229/B229)))/C229)/100)&lt;0,(INT(F229/B229)+(((F229-B229*INT(F229/B229)))/C229)/100)+(1-(B229/C229/100)),(INT(F229/B229)+(((F229-B229*INT(F229/B229)))/C229)/100))))</f>
        <v>0</v>
      </c>
      <c r="AR229" s="57">
        <f>IF(ISERROR(IF(B229=C229,G229/C229,(INT(G229/B229)+(((G229-B229*INT(G229/B229)))/C229)/100))),0,(IF(B229=C229,G229/C229,(INT(G229/B229)+(((G229-B229*INT(G229/B229)))/C229)/100))))</f>
        <v>0</v>
      </c>
      <c r="AS229" s="57">
        <f>IF(ISERROR(IF(B229=C229,H229/C229,(INT(H229/B229)+(((H229-B229*INT(H229/B229)))/C229)/100))),0,(IF(B229=C229,H229/C229,(INT(H229/B229)+(((H229-B229*INT(H229/B229)))/C229)/100))))</f>
        <v>0</v>
      </c>
      <c r="AT229" s="57">
        <f>IF(ISERROR(IF(B229=C229,I229/C229,(INT(I229/B229)+(((I229-B229*INT(I229/B229)))/C229)/100))),0,(IF(B229=C229,I229/C229,(INT(I229/B229)+(((I229-B229*INT(I229/B229)))/C229)/100))))</f>
        <v>0</v>
      </c>
      <c r="AU229" s="57">
        <f>IF(ISERROR(IF(B229=C229,J229/C229,(INT(J229/B229)+(((J229-B229*INT(J229/B229)))/C229)/100))),0,(IF(B229=C229,J229/C229,(INT(J229/B229)+(((J229-B229*INT(J229/B229)))/C229)/100))))</f>
        <v>0</v>
      </c>
      <c r="AV229" s="57">
        <f>IF(ISERROR(IF(B229=C229,K229/C229,IF((INT(K229/B229)+(((K229-B229*INT(K229/B229)))/C229)/100)&lt;0,(INT(K229/B229)+(((K229-B229*INT(K229/B229)))/C229)/100)+(1-(B229/C229/100)),(INT(K229/B229)+(((K229-B229*INT(K229/B229)))/C229)/100)))),0,IF(B229=C229,K229/C229,IF((INT(K229/B229)+(((K229-B229*INT(K229/B229)))/C229)/100)&lt;0,(INT(K229/B229)+(((K229-B229*INT(K229/B229)))/C229)/100)+(1-(B229/C229/100)),(INT(K229/B229)+(((K229-B229*INT(K229/B229)))/C229)/100))))</f>
        <v>0</v>
      </c>
      <c r="AW229" s="57">
        <f>IF(ISERROR(IF(B229=C229,L229/C229,(INT(L229/B229)+(((L229-B229*INT(L229/B229)))/C229)/100))),0,(IF(B229=C229,L229/C229,(INT(L229/B229)+(((L229-B229*INT(L229/B229)))/C229)/100))))</f>
        <v>0</v>
      </c>
      <c r="AX229" s="57">
        <f>IF(ISERROR(IF(B229=C229,M229/C229,(INT(M229/B229)+(((M229-B229*INT(M229/B229)))/C229)/100))),0,(IF(B229=C229,M229/C229,(INT(M229/B229)+(((M229-B229*INT(M229/B229)))/C229)/100))))</f>
        <v>0</v>
      </c>
      <c r="AY229" s="57">
        <f>IF(ISERROR(IF(B229=C229,N229/C229,IF((INT(N229/B229)+(((N229-B229*INT(N229/B229)))/C229)/100)&lt;0,(INT(N229/B229)+(((N229-B229*INT(N229/B229)))/C229)/100)+(1-(B229/C229/100)),(INT(N229/B229)+(((N229-B229*INT(N229/B229)))/C229)/100)))),0,IF(B229=C229,N229/C229,IF((INT(N229/B229)+(((N229-B229*INT(N229/B229)))/C229)/100)&lt;0,(INT(N229/B229)+(((N229-B229*INT(N229/B229)))/C229)/100)+(1-(B229/C229/100)),(INT(N229/B229)+(((N229-B229*INT(N229/B229)))/C229)/100))))</f>
        <v>0</v>
      </c>
      <c r="AZ229" s="57">
        <f>IF(ISERROR(IF(B229=C229,O229/C229,(INT(O229/B229)+(((O229-B229*INT(O229/B229)))/C229)/100))),0,(IF(B229=C229,O229/C229,(INT(O229/B229)+(((O229-B229*INT(O229/B229)))/C229)/100))))</f>
        <v>0</v>
      </c>
      <c r="BA229" s="57">
        <f>IF(ISERROR(IF(B229=C229,P229/C229,IF((INT(P229/B229)+(((P229-B229*INT(P229/B229)))/C229)/100)&lt;0,(INT(P229/B229)+(((P229-B229*INT(P229/B229)))/C229)/100)+(1-(B229/C229/100)),(INT(P229/B229)+(((P229-B229*INT(P229/B229)))/C229)/100)))),0,IF(B229=C229,P229/C229,IF((INT(P229/B229)+(((P229-B229*INT(P229/B229)))/C229)/100)&lt;0,(INT(P229/B229)+(((P229-B229*INT(P229/B229)))/C229)/100)+(1-(B229/C229/100)),(INT(P229/B229)+(((P229-B229*INT(P229/B229)))/C229)/100))))</f>
        <v>0</v>
      </c>
      <c r="BB229" s="28">
        <f>R229</f>
        <v>0</v>
      </c>
      <c r="BC229" s="28">
        <f>S229</f>
        <v>0</v>
      </c>
      <c r="BD229" s="28">
        <f>AF229</f>
        <v>0</v>
      </c>
      <c r="BE229" s="28">
        <f>T229</f>
        <v>0</v>
      </c>
      <c r="BG229" s="57">
        <f>IF(ISERROR(IF(B229=C229,V229/C229,(INT(V229/B229)+(((V229-B229*INT(V229/B229)))/C229)/100))),0,(IF(B229=C229,V229/C229,(INT(V229/B229)+(((V229-B229*INT(V229/B229)))/C229)/100))))</f>
        <v>0</v>
      </c>
      <c r="BH229" s="57">
        <f>IF(ISERROR(IF(B229=C229,W229/C229,(INT(W229/B229)+(((W229-B229*INT(W229/B229)))/C229)/100))),0,(IF(B229=C229,W229/C229,(INT(W229/B229)+(((W229-B229*INT(W229/B229)))/C229)/100))))</f>
        <v>0</v>
      </c>
      <c r="BI229" s="57">
        <f>IF(ISERROR(IF(B229=C229,X229/C229,(INT(X229/B229)+(((X229-B229*INT(X229/B229)))/C229)/100))),0,(IF(B229=C229,X229/C229,(INT(X229/B229)+(((X229-B229*INT(X229/B229)))/C229)/100))))</f>
        <v>0</v>
      </c>
      <c r="BJ229" s="57">
        <f>IF(ISERROR(IF(B229=C229,Y229/C229,(INT(Y229/B229)+(((Y229-B229*INT(Y229/B229)))/C229)/100))),0,(IF(B229=C229,Y229/C229,(INT(Y229/B229)+(((Y229-B229*INT(Y229/B229)))/C229)/100))))</f>
        <v>0</v>
      </c>
      <c r="BL229" s="57">
        <f>IF(ISERROR(IF(B229=C229,AA229/C229,(INT(AA229/B229)+(((AA229-B229*INT(AA229/B229)))/C229)/100))),0,(IF(B229=C229,AA229/C229,(INT(AA229/B229)+(((AA229-B229*INT(AA229/B229)))/C229)/100))))</f>
        <v>0</v>
      </c>
      <c r="BM229" s="57">
        <f>IF(ISERROR(IF(B229=C229,AB229/C229,(INT(AB229/B229)+(((AB229-B229*INT(AB229/B229)))/C229)/100))),0,(IF(B229=C229,AB229/C229,(INT(AB229/B229)+(((AB229-B229*INT(AB229/B229)))/C229)/100))))</f>
        <v>0</v>
      </c>
      <c r="BN229" s="57">
        <f>IF(ISERROR(IF(B229=C229,AC229/C229,(INT(AC229/B229)+(((AC229-B229*INT(AC229/B229)))/C229)/100))),0,(IF(B229=C229,AC229/C229,(INT(AC229/B229)+(((AC229-B229*INT(AC229/B229)))/C229)/100))))</f>
        <v>0</v>
      </c>
      <c r="BO229" s="57">
        <f>IF(ISERROR(IF(B229=C229,AD229/C229,(INT(AD229/B229)+(((AD229-B229*INT(AD229/B229)))/C229)/100))),0,(IF(B229=C229,AD229/C229,(INT(AD229/B229)+(((AD229-B229*INT(AD229/B229)))/C229)/100))))</f>
        <v>0</v>
      </c>
      <c r="BQ229" s="155"/>
    </row>
    <row r="230" spans="1:69" hidden="1" x14ac:dyDescent="0.35">
      <c r="A230" s="94"/>
      <c r="B230" s="113">
        <v>0</v>
      </c>
      <c r="C230" s="113">
        <v>0</v>
      </c>
      <c r="D230" s="28">
        <f>SUM(AA230:AD230)</f>
        <v>0</v>
      </c>
      <c r="E230" s="113">
        <v>0</v>
      </c>
      <c r="F230" s="113">
        <v>0</v>
      </c>
      <c r="G230" s="28">
        <f>SUM(D230:F230)</f>
        <v>0</v>
      </c>
      <c r="H230" s="125">
        <v>0</v>
      </c>
      <c r="I230" s="113">
        <v>0</v>
      </c>
      <c r="J230" s="125">
        <v>0</v>
      </c>
      <c r="K230" s="113">
        <v>0</v>
      </c>
      <c r="L230" s="113">
        <v>0</v>
      </c>
      <c r="M230" s="113">
        <v>0</v>
      </c>
      <c r="N230" s="28">
        <f>G230-SUM(H230:M230)</f>
        <v>0</v>
      </c>
      <c r="O230" s="28">
        <f>SUM(V230:Y230)</f>
        <v>0</v>
      </c>
      <c r="P230" s="28">
        <f>O230-N230</f>
        <v>0</v>
      </c>
      <c r="Q230" s="61" t="str">
        <f>IF(ISERROR(P230/SUM(H230:L230)),"",P230/SUM(H230:L230))</f>
        <v/>
      </c>
      <c r="R230" s="113">
        <v>0</v>
      </c>
      <c r="S230" s="28">
        <f>IF(ISERROR(P230/C230*R230),0,(P230/C230*R230))</f>
        <v>0</v>
      </c>
      <c r="T230" s="60">
        <f>IF(ISERROR(P230/B230*AF230),0,(P230/B230*AF230))</f>
        <v>0</v>
      </c>
      <c r="V230" s="113">
        <v>0</v>
      </c>
      <c r="W230" s="113">
        <v>0</v>
      </c>
      <c r="X230" s="113">
        <v>0</v>
      </c>
      <c r="Y230" s="113">
        <v>0</v>
      </c>
      <c r="AA230" s="113">
        <v>0</v>
      </c>
      <c r="AB230" s="113">
        <v>0</v>
      </c>
      <c r="AC230" s="113">
        <v>0</v>
      </c>
      <c r="AD230" s="113">
        <v>0</v>
      </c>
      <c r="AF230" s="113">
        <v>0</v>
      </c>
      <c r="AG230" s="28">
        <f>G230-O230</f>
        <v>0</v>
      </c>
      <c r="AH230" s="58">
        <f>IF(ISERROR(AG230/B230*AF230),0,(AG230/B230*AF230))</f>
        <v>0</v>
      </c>
      <c r="AI230" s="28">
        <f>SUM(H230:M230)</f>
        <v>0</v>
      </c>
      <c r="AJ230" s="28">
        <f>IF(ISERROR(AI230/B230*AF230),0,(AI230/B230*AF230))</f>
        <v>0</v>
      </c>
      <c r="AK230" s="58">
        <f>IF(ISERROR(O230/B230*AF230),0,(O230/B230*AF230))</f>
        <v>0</v>
      </c>
      <c r="AL230" s="28">
        <f>IF(ISERROR(H230/B230*AF230),0,(H230/B230*AF230))</f>
        <v>0</v>
      </c>
      <c r="AN230" s="51">
        <f>A230</f>
        <v>0</v>
      </c>
      <c r="AO230" s="57">
        <f>IF(ISERROR(IF(B230=C230,D230/C230,(INT(D230/B230)+(((D230-B230*INT(D230/B230)))/C230)/100))),0,(IF(B230=C230,D230/C230,(INT(D230/B230)+(((D230-B230*INT(D230/B230)))/C230)/100))))</f>
        <v>0</v>
      </c>
      <c r="AP230" s="57">
        <f>IF(ISERROR(IF(B230=C230,E230/C230,(INT(E230/B230)+(((E230-B230*INT(E230/B230)))/C230)/100))),0,(IF(B230=C230,E230/C230,(INT(E230/B230)+(((E230-B230*INT(E230/B230)))/C230)/100))))</f>
        <v>0</v>
      </c>
      <c r="AQ230" s="57">
        <f>IF(ISERROR(IF(B230=C230,F230/C230,IF((INT(F230/B230)+(((F230-B230*INT(F230/B230)))/C230)/100)&lt;0,(INT(F230/B230)+(((F230-B230*INT(F230/B230)))/C230)/100)+(1-(B230/C230/100)),(INT(F230/B230)+(((F230-B230*INT(F230/B230)))/C230)/100)))),0,IF(B230=C230,F230/C230,IF((INT(F230/B230)+(((F230-B230*INT(F230/B230)))/C230)/100)&lt;0,(INT(F230/B230)+(((F230-B230*INT(F230/B230)))/C230)/100)+(1-(B230/C230/100)),(INT(F230/B230)+(((F230-B230*INT(F230/B230)))/C230)/100))))</f>
        <v>0</v>
      </c>
      <c r="AR230" s="57">
        <f>IF(ISERROR(IF(B230=C230,G230/C230,(INT(G230/B230)+(((G230-B230*INT(G230/B230)))/C230)/100))),0,(IF(B230=C230,G230/C230,(INT(G230/B230)+(((G230-B230*INT(G230/B230)))/C230)/100))))</f>
        <v>0</v>
      </c>
      <c r="AS230" s="57">
        <f>IF(ISERROR(IF(B230=C230,H230/C230,(INT(H230/B230)+(((H230-B230*INT(H230/B230)))/C230)/100))),0,(IF(B230=C230,H230/C230,(INT(H230/B230)+(((H230-B230*INT(H230/B230)))/C230)/100))))</f>
        <v>0</v>
      </c>
      <c r="AT230" s="57">
        <f>IF(ISERROR(IF(B230=C230,I230/C230,(INT(I230/B230)+(((I230-B230*INT(I230/B230)))/C230)/100))),0,(IF(B230=C230,I230/C230,(INT(I230/B230)+(((I230-B230*INT(I230/B230)))/C230)/100))))</f>
        <v>0</v>
      </c>
      <c r="AU230" s="57">
        <f>IF(ISERROR(IF(B230=C230,J230/C230,(INT(J230/B230)+(((J230-B230*INT(J230/B230)))/C230)/100))),0,(IF(B230=C230,J230/C230,(INT(J230/B230)+(((J230-B230*INT(J230/B230)))/C230)/100))))</f>
        <v>0</v>
      </c>
      <c r="AV230" s="57">
        <f>IF(ISERROR(IF(B230=C230,K230/C230,IF((INT(K230/B230)+(((K230-B230*INT(K230/B230)))/C230)/100)&lt;0,(INT(K230/B230)+(((K230-B230*INT(K230/B230)))/C230)/100)+(1-(B230/C230/100)),(INT(K230/B230)+(((K230-B230*INT(K230/B230)))/C230)/100)))),0,IF(B230=C230,K230/C230,IF((INT(K230/B230)+(((K230-B230*INT(K230/B230)))/C230)/100)&lt;0,(INT(K230/B230)+(((K230-B230*INT(K230/B230)))/C230)/100)+(1-(B230/C230/100)),(INT(K230/B230)+(((K230-B230*INT(K230/B230)))/C230)/100))))</f>
        <v>0</v>
      </c>
      <c r="AW230" s="57">
        <f>IF(ISERROR(IF(B230=C230,L230/C230,(INT(L230/B230)+(((L230-B230*INT(L230/B230)))/C230)/100))),0,(IF(B230=C230,L230/C230,(INT(L230/B230)+(((L230-B230*INT(L230/B230)))/C230)/100))))</f>
        <v>0</v>
      </c>
      <c r="AX230" s="57">
        <f>IF(ISERROR(IF(B230=C230,M230/C230,(INT(M230/B230)+(((M230-B230*INT(M230/B230)))/C230)/100))),0,(IF(B230=C230,M230/C230,(INT(M230/B230)+(((M230-B230*INT(M230/B230)))/C230)/100))))</f>
        <v>0</v>
      </c>
      <c r="AY230" s="57">
        <f>IF(ISERROR(IF(B230=C230,N230/C230,IF((INT(N230/B230)+(((N230-B230*INT(N230/B230)))/C230)/100)&lt;0,(INT(N230/B230)+(((N230-B230*INT(N230/B230)))/C230)/100)+(1-(B230/C230/100)),(INT(N230/B230)+(((N230-B230*INT(N230/B230)))/C230)/100)))),0,IF(B230=C230,N230/C230,IF((INT(N230/B230)+(((N230-B230*INT(N230/B230)))/C230)/100)&lt;0,(INT(N230/B230)+(((N230-B230*INT(N230/B230)))/C230)/100)+(1-(B230/C230/100)),(INT(N230/B230)+(((N230-B230*INT(N230/B230)))/C230)/100))))</f>
        <v>0</v>
      </c>
      <c r="AZ230" s="57">
        <f>IF(ISERROR(IF(B230=C230,O230/C230,(INT(O230/B230)+(((O230-B230*INT(O230/B230)))/C230)/100))),0,(IF(B230=C230,O230/C230,(INT(O230/B230)+(((O230-B230*INT(O230/B230)))/C230)/100))))</f>
        <v>0</v>
      </c>
      <c r="BA230" s="57">
        <f>IF(ISERROR(IF(B230=C230,P230/C230,IF((INT(P230/B230)+(((P230-B230*INT(P230/B230)))/C230)/100)&lt;0,(INT(P230/B230)+(((P230-B230*INT(P230/B230)))/C230)/100)+(1-(B230/C230/100)),(INT(P230/B230)+(((P230-B230*INT(P230/B230)))/C230)/100)))),0,IF(B230=C230,P230/C230,IF((INT(P230/B230)+(((P230-B230*INT(P230/B230)))/C230)/100)&lt;0,(INT(P230/B230)+(((P230-B230*INT(P230/B230)))/C230)/100)+(1-(B230/C230/100)),(INT(P230/B230)+(((P230-B230*INT(P230/B230)))/C230)/100))))</f>
        <v>0</v>
      </c>
      <c r="BB230" s="28">
        <f>R230</f>
        <v>0</v>
      </c>
      <c r="BC230" s="28">
        <f>S230</f>
        <v>0</v>
      </c>
      <c r="BD230" s="28">
        <f>AF230</f>
        <v>0</v>
      </c>
      <c r="BE230" s="28">
        <f>T230</f>
        <v>0</v>
      </c>
      <c r="BG230" s="57">
        <f>IF(ISERROR(IF(B230=C230,V230/C230,(INT(V230/B230)+(((V230-B230*INT(V230/B230)))/C230)/100))),0,(IF(B230=C230,V230/C230,(INT(V230/B230)+(((V230-B230*INT(V230/B230)))/C230)/100))))</f>
        <v>0</v>
      </c>
      <c r="BH230" s="57">
        <f>IF(ISERROR(IF(B230=C230,W230/C230,(INT(W230/B230)+(((W230-B230*INT(W230/B230)))/C230)/100))),0,(IF(B230=C230,W230/C230,(INT(W230/B230)+(((W230-B230*INT(W230/B230)))/C230)/100))))</f>
        <v>0</v>
      </c>
      <c r="BI230" s="57">
        <f>IF(ISERROR(IF(B230=C230,X230/C230,(INT(X230/B230)+(((X230-B230*INT(X230/B230)))/C230)/100))),0,(IF(B230=C230,X230/C230,(INT(X230/B230)+(((X230-B230*INT(X230/B230)))/C230)/100))))</f>
        <v>0</v>
      </c>
      <c r="BJ230" s="57">
        <f>IF(ISERROR(IF(B230=C230,Y230/C230,(INT(Y230/B230)+(((Y230-B230*INT(Y230/B230)))/C230)/100))),0,(IF(B230=C230,Y230/C230,(INT(Y230/B230)+(((Y230-B230*INT(Y230/B230)))/C230)/100))))</f>
        <v>0</v>
      </c>
      <c r="BL230" s="57">
        <f>IF(ISERROR(IF(B230=C230,AA230/C230,(INT(AA230/B230)+(((AA230-B230*INT(AA230/B230)))/C230)/100))),0,(IF(B230=C230,AA230/C230,(INT(AA230/B230)+(((AA230-B230*INT(AA230/B230)))/C230)/100))))</f>
        <v>0</v>
      </c>
      <c r="BM230" s="57">
        <f>IF(ISERROR(IF(B230=C230,AB230/C230,(INT(AB230/B230)+(((AB230-B230*INT(AB230/B230)))/C230)/100))),0,(IF(B230=C230,AB230/C230,(INT(AB230/B230)+(((AB230-B230*INT(AB230/B230)))/C230)/100))))</f>
        <v>0</v>
      </c>
      <c r="BN230" s="57">
        <f>IF(ISERROR(IF(B230=C230,AC230/C230,(INT(AC230/B230)+(((AC230-B230*INT(AC230/B230)))/C230)/100))),0,(IF(B230=C230,AC230/C230,(INT(AC230/B230)+(((AC230-B230*INT(AC230/B230)))/C230)/100))))</f>
        <v>0</v>
      </c>
      <c r="BO230" s="57">
        <f>IF(ISERROR(IF(B230=C230,AD230/C230,(INT(AD230/B230)+(((AD230-B230*INT(AD230/B230)))/C230)/100))),0,(IF(B230=C230,AD230/C230,(INT(AD230/B230)+(((AD230-B230*INT(AD230/B230)))/C230)/100))))</f>
        <v>0</v>
      </c>
      <c r="BQ230" s="155"/>
    </row>
    <row r="231" spans="1:69" hidden="1" x14ac:dyDescent="0.35">
      <c r="A231" s="94"/>
      <c r="B231" s="113">
        <v>0</v>
      </c>
      <c r="C231" s="113">
        <v>0</v>
      </c>
      <c r="D231" s="28">
        <f>SUM(AA231:AD231)</f>
        <v>0</v>
      </c>
      <c r="E231" s="113">
        <v>0</v>
      </c>
      <c r="F231" s="113">
        <v>0</v>
      </c>
      <c r="G231" s="28">
        <f>SUM(D231:F231)</f>
        <v>0</v>
      </c>
      <c r="H231" s="125">
        <v>0</v>
      </c>
      <c r="I231" s="113">
        <v>0</v>
      </c>
      <c r="J231" s="125">
        <v>0</v>
      </c>
      <c r="K231" s="113">
        <v>0</v>
      </c>
      <c r="L231" s="113">
        <v>0</v>
      </c>
      <c r="M231" s="113">
        <v>0</v>
      </c>
      <c r="N231" s="28">
        <f>G231-SUM(H231:M231)</f>
        <v>0</v>
      </c>
      <c r="O231" s="28">
        <f>SUM(V231:Y231)</f>
        <v>0</v>
      </c>
      <c r="P231" s="28">
        <f>O231-N231</f>
        <v>0</v>
      </c>
      <c r="Q231" s="61" t="str">
        <f>IF(ISERROR(P231/SUM(H231:L231)),"",P231/SUM(H231:L231))</f>
        <v/>
      </c>
      <c r="R231" s="113">
        <v>0</v>
      </c>
      <c r="S231" s="28">
        <f>IF(ISERROR(P231/C231*R231),0,(P231/C231*R231))</f>
        <v>0</v>
      </c>
      <c r="T231" s="60">
        <f>IF(ISERROR(P231/B231*AF231),0,(P231/B231*AF231))</f>
        <v>0</v>
      </c>
      <c r="V231" s="113">
        <v>0</v>
      </c>
      <c r="W231" s="113">
        <v>0</v>
      </c>
      <c r="X231" s="113">
        <v>0</v>
      </c>
      <c r="Y231" s="113">
        <v>0</v>
      </c>
      <c r="AA231" s="113">
        <v>0</v>
      </c>
      <c r="AB231" s="113">
        <v>0</v>
      </c>
      <c r="AC231" s="113">
        <v>0</v>
      </c>
      <c r="AD231" s="113">
        <v>0</v>
      </c>
      <c r="AF231" s="113">
        <v>0</v>
      </c>
      <c r="AG231" s="28">
        <f>G231-O231</f>
        <v>0</v>
      </c>
      <c r="AH231" s="58">
        <f>IF(ISERROR(AG231/B231*AF231),0,(AG231/B231*AF231))</f>
        <v>0</v>
      </c>
      <c r="AI231" s="28">
        <f>SUM(H231:M231)</f>
        <v>0</v>
      </c>
      <c r="AJ231" s="28">
        <f>IF(ISERROR(AI231/B231*AF231),0,(AI231/B231*AF231))</f>
        <v>0</v>
      </c>
      <c r="AK231" s="58">
        <f>IF(ISERROR(O231/B231*AF231),0,(O231/B231*AF231))</f>
        <v>0</v>
      </c>
      <c r="AL231" s="28">
        <f>IF(ISERROR(H231/B231*AF231),0,(H231/B231*AF231))</f>
        <v>0</v>
      </c>
      <c r="AN231" s="51">
        <f>A231</f>
        <v>0</v>
      </c>
      <c r="AO231" s="57">
        <f>IF(ISERROR(IF(B231=C231,D231/C231,(INT(D231/B231)+(((D231-B231*INT(D231/B231)))/C231)/100))),0,(IF(B231=C231,D231/C231,(INT(D231/B231)+(((D231-B231*INT(D231/B231)))/C231)/100))))</f>
        <v>0</v>
      </c>
      <c r="AP231" s="57">
        <f>IF(ISERROR(IF(B231=C231,E231/C231,(INT(E231/B231)+(((E231-B231*INT(E231/B231)))/C231)/100))),0,(IF(B231=C231,E231/C231,(INT(E231/B231)+(((E231-B231*INT(E231/B231)))/C231)/100))))</f>
        <v>0</v>
      </c>
      <c r="AQ231" s="57">
        <f>IF(ISERROR(IF(B231=C231,F231/C231,IF((INT(F231/B231)+(((F231-B231*INT(F231/B231)))/C231)/100)&lt;0,(INT(F231/B231)+(((F231-B231*INT(F231/B231)))/C231)/100)+(1-(B231/C231/100)),(INT(F231/B231)+(((F231-B231*INT(F231/B231)))/C231)/100)))),0,IF(B231=C231,F231/C231,IF((INT(F231/B231)+(((F231-B231*INT(F231/B231)))/C231)/100)&lt;0,(INT(F231/B231)+(((F231-B231*INT(F231/B231)))/C231)/100)+(1-(B231/C231/100)),(INT(F231/B231)+(((F231-B231*INT(F231/B231)))/C231)/100))))</f>
        <v>0</v>
      </c>
      <c r="AR231" s="57">
        <f>IF(ISERROR(IF(B231=C231,G231/C231,(INT(G231/B231)+(((G231-B231*INT(G231/B231)))/C231)/100))),0,(IF(B231=C231,G231/C231,(INT(G231/B231)+(((G231-B231*INT(G231/B231)))/C231)/100))))</f>
        <v>0</v>
      </c>
      <c r="AS231" s="57">
        <f>IF(ISERROR(IF(B231=C231,H231/C231,(INT(H231/B231)+(((H231-B231*INT(H231/B231)))/C231)/100))),0,(IF(B231=C231,H231/C231,(INT(H231/B231)+(((H231-B231*INT(H231/B231)))/C231)/100))))</f>
        <v>0</v>
      </c>
      <c r="AT231" s="57">
        <f>IF(ISERROR(IF(B231=C231,I231/C231,(INT(I231/B231)+(((I231-B231*INT(I231/B231)))/C231)/100))),0,(IF(B231=C231,I231/C231,(INT(I231/B231)+(((I231-B231*INT(I231/B231)))/C231)/100))))</f>
        <v>0</v>
      </c>
      <c r="AU231" s="57">
        <f>IF(ISERROR(IF(B231=C231,J231/C231,(INT(J231/B231)+(((J231-B231*INT(J231/B231)))/C231)/100))),0,(IF(B231=C231,J231/C231,(INT(J231/B231)+(((J231-B231*INT(J231/B231)))/C231)/100))))</f>
        <v>0</v>
      </c>
      <c r="AV231" s="57">
        <f>IF(ISERROR(IF(B231=C231,K231/C231,IF((INT(K231/B231)+(((K231-B231*INT(K231/B231)))/C231)/100)&lt;0,(INT(K231/B231)+(((K231-B231*INT(K231/B231)))/C231)/100)+(1-(B231/C231/100)),(INT(K231/B231)+(((K231-B231*INT(K231/B231)))/C231)/100)))),0,IF(B231=C231,K231/C231,IF((INT(K231/B231)+(((K231-B231*INT(K231/B231)))/C231)/100)&lt;0,(INT(K231/B231)+(((K231-B231*INT(K231/B231)))/C231)/100)+(1-(B231/C231/100)),(INT(K231/B231)+(((K231-B231*INT(K231/B231)))/C231)/100))))</f>
        <v>0</v>
      </c>
      <c r="AW231" s="57">
        <f>IF(ISERROR(IF(B231=C231,L231/C231,(INT(L231/B231)+(((L231-B231*INT(L231/B231)))/C231)/100))),0,(IF(B231=C231,L231/C231,(INT(L231/B231)+(((L231-B231*INT(L231/B231)))/C231)/100))))</f>
        <v>0</v>
      </c>
      <c r="AX231" s="57">
        <f>IF(ISERROR(IF(B231=C231,M231/C231,(INT(M231/B231)+(((M231-B231*INT(M231/B231)))/C231)/100))),0,(IF(B231=C231,M231/C231,(INT(M231/B231)+(((M231-B231*INT(M231/B231)))/C231)/100))))</f>
        <v>0</v>
      </c>
      <c r="AY231" s="57">
        <f>IF(ISERROR(IF(B231=C231,N231/C231,IF((INT(N231/B231)+(((N231-B231*INT(N231/B231)))/C231)/100)&lt;0,(INT(N231/B231)+(((N231-B231*INT(N231/B231)))/C231)/100)+(1-(B231/C231/100)),(INT(N231/B231)+(((N231-B231*INT(N231/B231)))/C231)/100)))),0,IF(B231=C231,N231/C231,IF((INT(N231/B231)+(((N231-B231*INT(N231/B231)))/C231)/100)&lt;0,(INT(N231/B231)+(((N231-B231*INT(N231/B231)))/C231)/100)+(1-(B231/C231/100)),(INT(N231/B231)+(((N231-B231*INT(N231/B231)))/C231)/100))))</f>
        <v>0</v>
      </c>
      <c r="AZ231" s="57">
        <f>IF(ISERROR(IF(B231=C231,O231/C231,(INT(O231/B231)+(((O231-B231*INT(O231/B231)))/C231)/100))),0,(IF(B231=C231,O231/C231,(INT(O231/B231)+(((O231-B231*INT(O231/B231)))/C231)/100))))</f>
        <v>0</v>
      </c>
      <c r="BA231" s="57">
        <f>IF(ISERROR(IF(B231=C231,P231/C231,IF((INT(P231/B231)+(((P231-B231*INT(P231/B231)))/C231)/100)&lt;0,(INT(P231/B231)+(((P231-B231*INT(P231/B231)))/C231)/100)+(1-(B231/C231/100)),(INT(P231/B231)+(((P231-B231*INT(P231/B231)))/C231)/100)))),0,IF(B231=C231,P231/C231,IF((INT(P231/B231)+(((P231-B231*INT(P231/B231)))/C231)/100)&lt;0,(INT(P231/B231)+(((P231-B231*INT(P231/B231)))/C231)/100)+(1-(B231/C231/100)),(INT(P231/B231)+(((P231-B231*INT(P231/B231)))/C231)/100))))</f>
        <v>0</v>
      </c>
      <c r="BB231" s="28">
        <f>R231</f>
        <v>0</v>
      </c>
      <c r="BC231" s="28">
        <f>S231</f>
        <v>0</v>
      </c>
      <c r="BD231" s="28">
        <f>AF231</f>
        <v>0</v>
      </c>
      <c r="BE231" s="28">
        <f>T231</f>
        <v>0</v>
      </c>
      <c r="BG231" s="57">
        <f>IF(ISERROR(IF(B231=C231,V231/C231,(INT(V231/B231)+(((V231-B231*INT(V231/B231)))/C231)/100))),0,(IF(B231=C231,V231/C231,(INT(V231/B231)+(((V231-B231*INT(V231/B231)))/C231)/100))))</f>
        <v>0</v>
      </c>
      <c r="BH231" s="57">
        <f>IF(ISERROR(IF(B231=C231,W231/C231,(INT(W231/B231)+(((W231-B231*INT(W231/B231)))/C231)/100))),0,(IF(B231=C231,W231/C231,(INT(W231/B231)+(((W231-B231*INT(W231/B231)))/C231)/100))))</f>
        <v>0</v>
      </c>
      <c r="BI231" s="57">
        <f>IF(ISERROR(IF(B231=C231,X231/C231,(INT(X231/B231)+(((X231-B231*INT(X231/B231)))/C231)/100))),0,(IF(B231=C231,X231/C231,(INT(X231/B231)+(((X231-B231*INT(X231/B231)))/C231)/100))))</f>
        <v>0</v>
      </c>
      <c r="BJ231" s="57">
        <f>IF(ISERROR(IF(B231=C231,Y231/C231,(INT(Y231/B231)+(((Y231-B231*INT(Y231/B231)))/C231)/100))),0,(IF(B231=C231,Y231/C231,(INT(Y231/B231)+(((Y231-B231*INT(Y231/B231)))/C231)/100))))</f>
        <v>0</v>
      </c>
      <c r="BL231" s="57">
        <f>IF(ISERROR(IF(B231=C231,AA231/C231,(INT(AA231/B231)+(((AA231-B231*INT(AA231/B231)))/C231)/100))),0,(IF(B231=C231,AA231/C231,(INT(AA231/B231)+(((AA231-B231*INT(AA231/B231)))/C231)/100))))</f>
        <v>0</v>
      </c>
      <c r="BM231" s="57">
        <f>IF(ISERROR(IF(B231=C231,AB231/C231,(INT(AB231/B231)+(((AB231-B231*INT(AB231/B231)))/C231)/100))),0,(IF(B231=C231,AB231/C231,(INT(AB231/B231)+(((AB231-B231*INT(AB231/B231)))/C231)/100))))</f>
        <v>0</v>
      </c>
      <c r="BN231" s="57">
        <f>IF(ISERROR(IF(B231=C231,AC231/C231,(INT(AC231/B231)+(((AC231-B231*INT(AC231/B231)))/C231)/100))),0,(IF(B231=C231,AC231/C231,(INT(AC231/B231)+(((AC231-B231*INT(AC231/B231)))/C231)/100))))</f>
        <v>0</v>
      </c>
      <c r="BO231" s="57">
        <f>IF(ISERROR(IF(B231=C231,AD231/C231,(INT(AD231/B231)+(((AD231-B231*INT(AD231/B231)))/C231)/100))),0,(IF(B231=C231,AD231/C231,(INT(AD231/B231)+(((AD231-B231*INT(AD231/B231)))/C231)/100))))</f>
        <v>0</v>
      </c>
      <c r="BQ231" s="155"/>
    </row>
    <row r="232" spans="1:69" hidden="1" x14ac:dyDescent="0.35">
      <c r="A232" s="94"/>
      <c r="B232" s="113">
        <v>0</v>
      </c>
      <c r="C232" s="113">
        <v>0</v>
      </c>
      <c r="D232" s="28">
        <f>SUM(AA232:AD232)</f>
        <v>0</v>
      </c>
      <c r="E232" s="113">
        <v>0</v>
      </c>
      <c r="F232" s="113">
        <v>0</v>
      </c>
      <c r="G232" s="28">
        <f>SUM(D232:F232)</f>
        <v>0</v>
      </c>
      <c r="H232" s="125">
        <v>0</v>
      </c>
      <c r="I232" s="113">
        <v>0</v>
      </c>
      <c r="J232" s="125">
        <v>0</v>
      </c>
      <c r="K232" s="113">
        <v>0</v>
      </c>
      <c r="L232" s="113">
        <v>0</v>
      </c>
      <c r="M232" s="113">
        <v>0</v>
      </c>
      <c r="N232" s="28">
        <f>G232-SUM(H232:M232)</f>
        <v>0</v>
      </c>
      <c r="O232" s="28">
        <f>SUM(V232:Y232)</f>
        <v>0</v>
      </c>
      <c r="P232" s="28">
        <f>O232-N232</f>
        <v>0</v>
      </c>
      <c r="Q232" s="61" t="str">
        <f>IF(ISERROR(P232/SUM(H232:L232)),"",P232/SUM(H232:L232))</f>
        <v/>
      </c>
      <c r="R232" s="113">
        <v>0</v>
      </c>
      <c r="S232" s="28">
        <f>IF(ISERROR(P232/C232*R232),0,(P232/C232*R232))</f>
        <v>0</v>
      </c>
      <c r="T232" s="60">
        <f>IF(ISERROR(P232/B232*AF232),0,(P232/B232*AF232))</f>
        <v>0</v>
      </c>
      <c r="V232" s="113">
        <v>0</v>
      </c>
      <c r="W232" s="113">
        <v>0</v>
      </c>
      <c r="X232" s="113">
        <v>0</v>
      </c>
      <c r="Y232" s="113">
        <v>0</v>
      </c>
      <c r="AA232" s="113">
        <v>0</v>
      </c>
      <c r="AB232" s="113">
        <v>0</v>
      </c>
      <c r="AC232" s="113">
        <v>0</v>
      </c>
      <c r="AD232" s="113">
        <v>0</v>
      </c>
      <c r="AF232" s="113">
        <v>0</v>
      </c>
      <c r="AG232" s="28">
        <f>G232-O232</f>
        <v>0</v>
      </c>
      <c r="AH232" s="58">
        <f>IF(ISERROR(AG232/B232*AF232),0,(AG232/B232*AF232))</f>
        <v>0</v>
      </c>
      <c r="AI232" s="28">
        <f>SUM(H232:M232)</f>
        <v>0</v>
      </c>
      <c r="AJ232" s="28">
        <f>IF(ISERROR(AI232/B232*AF232),0,(AI232/B232*AF232))</f>
        <v>0</v>
      </c>
      <c r="AK232" s="58">
        <f>IF(ISERROR(O232/B232*AF232),0,(O232/B232*AF232))</f>
        <v>0</v>
      </c>
      <c r="AL232" s="28">
        <f>IF(ISERROR(H232/B232*AF232),0,(H232/B232*AF232))</f>
        <v>0</v>
      </c>
      <c r="AN232" s="51">
        <f>A232</f>
        <v>0</v>
      </c>
      <c r="AO232" s="57">
        <f>IF(ISERROR(IF(B232=C232,D232/C232,(INT(D232/B232)+(((D232-B232*INT(D232/B232)))/C232)/100))),0,(IF(B232=C232,D232/C232,(INT(D232/B232)+(((D232-B232*INT(D232/B232)))/C232)/100))))</f>
        <v>0</v>
      </c>
      <c r="AP232" s="57">
        <f>IF(ISERROR(IF(B232=C232,E232/C232,(INT(E232/B232)+(((E232-B232*INT(E232/B232)))/C232)/100))),0,(IF(B232=C232,E232/C232,(INT(E232/B232)+(((E232-B232*INT(E232/B232)))/C232)/100))))</f>
        <v>0</v>
      </c>
      <c r="AQ232" s="57">
        <f>IF(ISERROR(IF(B232=C232,F232/C232,IF((INT(F232/B232)+(((F232-B232*INT(F232/B232)))/C232)/100)&lt;0,(INT(F232/B232)+(((F232-B232*INT(F232/B232)))/C232)/100)+(1-(B232/C232/100)),(INT(F232/B232)+(((F232-B232*INT(F232/B232)))/C232)/100)))),0,IF(B232=C232,F232/C232,IF((INT(F232/B232)+(((F232-B232*INT(F232/B232)))/C232)/100)&lt;0,(INT(F232/B232)+(((F232-B232*INT(F232/B232)))/C232)/100)+(1-(B232/C232/100)),(INT(F232/B232)+(((F232-B232*INT(F232/B232)))/C232)/100))))</f>
        <v>0</v>
      </c>
      <c r="AR232" s="57">
        <f>IF(ISERROR(IF(B232=C232,G232/C232,(INT(G232/B232)+(((G232-B232*INT(G232/B232)))/C232)/100))),0,(IF(B232=C232,G232/C232,(INT(G232/B232)+(((G232-B232*INT(G232/B232)))/C232)/100))))</f>
        <v>0</v>
      </c>
      <c r="AS232" s="57">
        <f>IF(ISERROR(IF(B232=C232,H232/C232,(INT(H232/B232)+(((H232-B232*INT(H232/B232)))/C232)/100))),0,(IF(B232=C232,H232/C232,(INT(H232/B232)+(((H232-B232*INT(H232/B232)))/C232)/100))))</f>
        <v>0</v>
      </c>
      <c r="AT232" s="57">
        <f>IF(ISERROR(IF(B232=C232,I232/C232,(INT(I232/B232)+(((I232-B232*INT(I232/B232)))/C232)/100))),0,(IF(B232=C232,I232/C232,(INT(I232/B232)+(((I232-B232*INT(I232/B232)))/C232)/100))))</f>
        <v>0</v>
      </c>
      <c r="AU232" s="57">
        <f>IF(ISERROR(IF(B232=C232,J232/C232,(INT(J232/B232)+(((J232-B232*INT(J232/B232)))/C232)/100))),0,(IF(B232=C232,J232/C232,(INT(J232/B232)+(((J232-B232*INT(J232/B232)))/C232)/100))))</f>
        <v>0</v>
      </c>
      <c r="AV232" s="57">
        <f>IF(ISERROR(IF(B232=C232,K232/C232,IF((INT(K232/B232)+(((K232-B232*INT(K232/B232)))/C232)/100)&lt;0,(INT(K232/B232)+(((K232-B232*INT(K232/B232)))/C232)/100)+(1-(B232/C232/100)),(INT(K232/B232)+(((K232-B232*INT(K232/B232)))/C232)/100)))),0,IF(B232=C232,K232/C232,IF((INT(K232/B232)+(((K232-B232*INT(K232/B232)))/C232)/100)&lt;0,(INT(K232/B232)+(((K232-B232*INT(K232/B232)))/C232)/100)+(1-(B232/C232/100)),(INT(K232/B232)+(((K232-B232*INT(K232/B232)))/C232)/100))))</f>
        <v>0</v>
      </c>
      <c r="AW232" s="57">
        <f>IF(ISERROR(IF(B232=C232,L232/C232,(INT(L232/B232)+(((L232-B232*INT(L232/B232)))/C232)/100))),0,(IF(B232=C232,L232/C232,(INT(L232/B232)+(((L232-B232*INT(L232/B232)))/C232)/100))))</f>
        <v>0</v>
      </c>
      <c r="AX232" s="57">
        <f>IF(ISERROR(IF(B232=C232,M232/C232,(INT(M232/B232)+(((M232-B232*INT(M232/B232)))/C232)/100))),0,(IF(B232=C232,M232/C232,(INT(M232/B232)+(((M232-B232*INT(M232/B232)))/C232)/100))))</f>
        <v>0</v>
      </c>
      <c r="AY232" s="57">
        <f>IF(ISERROR(IF(B232=C232,N232/C232,IF((INT(N232/B232)+(((N232-B232*INT(N232/B232)))/C232)/100)&lt;0,(INT(N232/B232)+(((N232-B232*INT(N232/B232)))/C232)/100)+(1-(B232/C232/100)),(INT(N232/B232)+(((N232-B232*INT(N232/B232)))/C232)/100)))),0,IF(B232=C232,N232/C232,IF((INT(N232/B232)+(((N232-B232*INT(N232/B232)))/C232)/100)&lt;0,(INT(N232/B232)+(((N232-B232*INT(N232/B232)))/C232)/100)+(1-(B232/C232/100)),(INT(N232/B232)+(((N232-B232*INT(N232/B232)))/C232)/100))))</f>
        <v>0</v>
      </c>
      <c r="AZ232" s="57">
        <f>IF(ISERROR(IF(B232=C232,O232/C232,(INT(O232/B232)+(((O232-B232*INT(O232/B232)))/C232)/100))),0,(IF(B232=C232,O232/C232,(INT(O232/B232)+(((O232-B232*INT(O232/B232)))/C232)/100))))</f>
        <v>0</v>
      </c>
      <c r="BA232" s="57">
        <f>IF(ISERROR(IF(B232=C232,P232/C232,IF((INT(P232/B232)+(((P232-B232*INT(P232/B232)))/C232)/100)&lt;0,(INT(P232/B232)+(((P232-B232*INT(P232/B232)))/C232)/100)+(1-(B232/C232/100)),(INT(P232/B232)+(((P232-B232*INT(P232/B232)))/C232)/100)))),0,IF(B232=C232,P232/C232,IF((INT(P232/B232)+(((P232-B232*INT(P232/B232)))/C232)/100)&lt;0,(INT(P232/B232)+(((P232-B232*INT(P232/B232)))/C232)/100)+(1-(B232/C232/100)),(INT(P232/B232)+(((P232-B232*INT(P232/B232)))/C232)/100))))</f>
        <v>0</v>
      </c>
      <c r="BB232" s="28">
        <f>R232</f>
        <v>0</v>
      </c>
      <c r="BC232" s="28">
        <f>S232</f>
        <v>0</v>
      </c>
      <c r="BD232" s="28">
        <f>AF232</f>
        <v>0</v>
      </c>
      <c r="BE232" s="28">
        <f>T232</f>
        <v>0</v>
      </c>
      <c r="BG232" s="57">
        <f>IF(ISERROR(IF(B232=C232,V232/C232,(INT(V232/B232)+(((V232-B232*INT(V232/B232)))/C232)/100))),0,(IF(B232=C232,V232/C232,(INT(V232/B232)+(((V232-B232*INT(V232/B232)))/C232)/100))))</f>
        <v>0</v>
      </c>
      <c r="BH232" s="57">
        <f>IF(ISERROR(IF(B232=C232,W232/C232,(INT(W232/B232)+(((W232-B232*INT(W232/B232)))/C232)/100))),0,(IF(B232=C232,W232/C232,(INT(W232/B232)+(((W232-B232*INT(W232/B232)))/C232)/100))))</f>
        <v>0</v>
      </c>
      <c r="BI232" s="57">
        <f>IF(ISERROR(IF(B232=C232,X232/C232,(INT(X232/B232)+(((X232-B232*INT(X232/B232)))/C232)/100))),0,(IF(B232=C232,X232/C232,(INT(X232/B232)+(((X232-B232*INT(X232/B232)))/C232)/100))))</f>
        <v>0</v>
      </c>
      <c r="BJ232" s="57">
        <f>IF(ISERROR(IF(B232=C232,Y232/C232,(INT(Y232/B232)+(((Y232-B232*INT(Y232/B232)))/C232)/100))),0,(IF(B232=C232,Y232/C232,(INT(Y232/B232)+(((Y232-B232*INT(Y232/B232)))/C232)/100))))</f>
        <v>0</v>
      </c>
      <c r="BL232" s="57">
        <f>IF(ISERROR(IF(B232=C232,AA232/C232,(INT(AA232/B232)+(((AA232-B232*INT(AA232/B232)))/C232)/100))),0,(IF(B232=C232,AA232/C232,(INT(AA232/B232)+(((AA232-B232*INT(AA232/B232)))/C232)/100))))</f>
        <v>0</v>
      </c>
      <c r="BM232" s="57">
        <f>IF(ISERROR(IF(B232=C232,AB232/C232,(INT(AB232/B232)+(((AB232-B232*INT(AB232/B232)))/C232)/100))),0,(IF(B232=C232,AB232/C232,(INT(AB232/B232)+(((AB232-B232*INT(AB232/B232)))/C232)/100))))</f>
        <v>0</v>
      </c>
      <c r="BN232" s="57">
        <f>IF(ISERROR(IF(B232=C232,AC232/C232,(INT(AC232/B232)+(((AC232-B232*INT(AC232/B232)))/C232)/100))),0,(IF(B232=C232,AC232/C232,(INT(AC232/B232)+(((AC232-B232*INT(AC232/B232)))/C232)/100))))</f>
        <v>0</v>
      </c>
      <c r="BO232" s="57">
        <f>IF(ISERROR(IF(B232=C232,AD232/C232,(INT(AD232/B232)+(((AD232-B232*INT(AD232/B232)))/C232)/100))),0,(IF(B232=C232,AD232/C232,(INT(AD232/B232)+(((AD232-B232*INT(AD232/B232)))/C232)/100))))</f>
        <v>0</v>
      </c>
      <c r="BQ232" s="155"/>
    </row>
    <row r="233" spans="1:69" hidden="1" x14ac:dyDescent="0.35">
      <c r="A233" s="94"/>
      <c r="B233" s="113">
        <v>0</v>
      </c>
      <c r="C233" s="113">
        <v>0</v>
      </c>
      <c r="D233" s="28">
        <f>SUM(AA233:AD233)</f>
        <v>0</v>
      </c>
      <c r="E233" s="113">
        <v>0</v>
      </c>
      <c r="F233" s="113">
        <v>0</v>
      </c>
      <c r="G233" s="28">
        <f>SUM(D233:F233)</f>
        <v>0</v>
      </c>
      <c r="H233" s="125">
        <v>0</v>
      </c>
      <c r="I233" s="113">
        <v>0</v>
      </c>
      <c r="J233" s="125">
        <v>0</v>
      </c>
      <c r="K233" s="113">
        <v>0</v>
      </c>
      <c r="L233" s="113">
        <v>0</v>
      </c>
      <c r="M233" s="113">
        <v>0</v>
      </c>
      <c r="N233" s="28">
        <f>G233-SUM(H233:M233)</f>
        <v>0</v>
      </c>
      <c r="O233" s="28">
        <f>SUM(V233:Y233)</f>
        <v>0</v>
      </c>
      <c r="P233" s="28">
        <f>O233-N233</f>
        <v>0</v>
      </c>
      <c r="Q233" s="61" t="str">
        <f>IF(ISERROR(P233/SUM(H233:L233)),"",P233/SUM(H233:L233))</f>
        <v/>
      </c>
      <c r="R233" s="113">
        <v>0</v>
      </c>
      <c r="S233" s="28">
        <f>IF(ISERROR(P233/C233*R233),0,(P233/C233*R233))</f>
        <v>0</v>
      </c>
      <c r="T233" s="60">
        <f>IF(ISERROR(P233/B233*AF233),0,(P233/B233*AF233))</f>
        <v>0</v>
      </c>
      <c r="V233" s="113">
        <v>0</v>
      </c>
      <c r="W233" s="113">
        <v>0</v>
      </c>
      <c r="X233" s="113">
        <v>0</v>
      </c>
      <c r="Y233" s="113">
        <v>0</v>
      </c>
      <c r="AA233" s="113">
        <v>0</v>
      </c>
      <c r="AB233" s="113">
        <v>0</v>
      </c>
      <c r="AC233" s="113">
        <v>0</v>
      </c>
      <c r="AD233" s="113">
        <v>0</v>
      </c>
      <c r="AF233" s="113">
        <v>0</v>
      </c>
      <c r="AG233" s="28">
        <f>G233-O233</f>
        <v>0</v>
      </c>
      <c r="AH233" s="58">
        <f>IF(ISERROR(AG233/B233*AF233),0,(AG233/B233*AF233))</f>
        <v>0</v>
      </c>
      <c r="AI233" s="28">
        <f>SUM(H233:M233)</f>
        <v>0</v>
      </c>
      <c r="AJ233" s="28">
        <f>IF(ISERROR(AI233/B233*AF233),0,(AI233/B233*AF233))</f>
        <v>0</v>
      </c>
      <c r="AK233" s="58">
        <f>IF(ISERROR(O233/B233*AF233),0,(O233/B233*AF233))</f>
        <v>0</v>
      </c>
      <c r="AL233" s="28">
        <f>IF(ISERROR(H233/B233*AF233),0,(H233/B233*AF233))</f>
        <v>0</v>
      </c>
      <c r="AN233" s="51">
        <f>A233</f>
        <v>0</v>
      </c>
      <c r="AO233" s="57">
        <f>IF(ISERROR(IF(B233=C233,D233/C233,(INT(D233/B233)+(((D233-B233*INT(D233/B233)))/C233)/100))),0,(IF(B233=C233,D233/C233,(INT(D233/B233)+(((D233-B233*INT(D233/B233)))/C233)/100))))</f>
        <v>0</v>
      </c>
      <c r="AP233" s="57">
        <f>IF(ISERROR(IF(B233=C233,E233/C233,(INT(E233/B233)+(((E233-B233*INT(E233/B233)))/C233)/100))),0,(IF(B233=C233,E233/C233,(INT(E233/B233)+(((E233-B233*INT(E233/B233)))/C233)/100))))</f>
        <v>0</v>
      </c>
      <c r="AQ233" s="57">
        <f>IF(ISERROR(IF(B233=C233,F233/C233,IF((INT(F233/B233)+(((F233-B233*INT(F233/B233)))/C233)/100)&lt;0,(INT(F233/B233)+(((F233-B233*INT(F233/B233)))/C233)/100)+(1-(B233/C233/100)),(INT(F233/B233)+(((F233-B233*INT(F233/B233)))/C233)/100)))),0,IF(B233=C233,F233/C233,IF((INT(F233/B233)+(((F233-B233*INT(F233/B233)))/C233)/100)&lt;0,(INT(F233/B233)+(((F233-B233*INT(F233/B233)))/C233)/100)+(1-(B233/C233/100)),(INT(F233/B233)+(((F233-B233*INT(F233/B233)))/C233)/100))))</f>
        <v>0</v>
      </c>
      <c r="AR233" s="57">
        <f>IF(ISERROR(IF(B233=C233,G233/C233,(INT(G233/B233)+(((G233-B233*INT(G233/B233)))/C233)/100))),0,(IF(B233=C233,G233/C233,(INT(G233/B233)+(((G233-B233*INT(G233/B233)))/C233)/100))))</f>
        <v>0</v>
      </c>
      <c r="AS233" s="57">
        <f>IF(ISERROR(IF(B233=C233,H233/C233,(INT(H233/B233)+(((H233-B233*INT(H233/B233)))/C233)/100))),0,(IF(B233=C233,H233/C233,(INT(H233/B233)+(((H233-B233*INT(H233/B233)))/C233)/100))))</f>
        <v>0</v>
      </c>
      <c r="AT233" s="57">
        <f>IF(ISERROR(IF(B233=C233,I233/C233,(INT(I233/B233)+(((I233-B233*INT(I233/B233)))/C233)/100))),0,(IF(B233=C233,I233/C233,(INT(I233/B233)+(((I233-B233*INT(I233/B233)))/C233)/100))))</f>
        <v>0</v>
      </c>
      <c r="AU233" s="57">
        <f>IF(ISERROR(IF(B233=C233,J233/C233,(INT(J233/B233)+(((J233-B233*INT(J233/B233)))/C233)/100))),0,(IF(B233=C233,J233/C233,(INT(J233/B233)+(((J233-B233*INT(J233/B233)))/C233)/100))))</f>
        <v>0</v>
      </c>
      <c r="AV233" s="57">
        <f>IF(ISERROR(IF(B233=C233,K233/C233,IF((INT(K233/B233)+(((K233-B233*INT(K233/B233)))/C233)/100)&lt;0,(INT(K233/B233)+(((K233-B233*INT(K233/B233)))/C233)/100)+(1-(B233/C233/100)),(INT(K233/B233)+(((K233-B233*INT(K233/B233)))/C233)/100)))),0,IF(B233=C233,K233/C233,IF((INT(K233/B233)+(((K233-B233*INT(K233/B233)))/C233)/100)&lt;0,(INT(K233/B233)+(((K233-B233*INT(K233/B233)))/C233)/100)+(1-(B233/C233/100)),(INT(K233/B233)+(((K233-B233*INT(K233/B233)))/C233)/100))))</f>
        <v>0</v>
      </c>
      <c r="AW233" s="57">
        <f>IF(ISERROR(IF(B233=C233,L233/C233,(INT(L233/B233)+(((L233-B233*INT(L233/B233)))/C233)/100))),0,(IF(B233=C233,L233/C233,(INT(L233/B233)+(((L233-B233*INT(L233/B233)))/C233)/100))))</f>
        <v>0</v>
      </c>
      <c r="AX233" s="57">
        <f>IF(ISERROR(IF(B233=C233,M233/C233,(INT(M233/B233)+(((M233-B233*INT(M233/B233)))/C233)/100))),0,(IF(B233=C233,M233/C233,(INT(M233/B233)+(((M233-B233*INT(M233/B233)))/C233)/100))))</f>
        <v>0</v>
      </c>
      <c r="AY233" s="57">
        <f>IF(ISERROR(IF(B233=C233,N233/C233,IF((INT(N233/B233)+(((N233-B233*INT(N233/B233)))/C233)/100)&lt;0,(INT(N233/B233)+(((N233-B233*INT(N233/B233)))/C233)/100)+(1-(B233/C233/100)),(INT(N233/B233)+(((N233-B233*INT(N233/B233)))/C233)/100)))),0,IF(B233=C233,N233/C233,IF((INT(N233/B233)+(((N233-B233*INT(N233/B233)))/C233)/100)&lt;0,(INT(N233/B233)+(((N233-B233*INT(N233/B233)))/C233)/100)+(1-(B233/C233/100)),(INT(N233/B233)+(((N233-B233*INT(N233/B233)))/C233)/100))))</f>
        <v>0</v>
      </c>
      <c r="AZ233" s="57">
        <f>IF(ISERROR(IF(B233=C233,O233/C233,(INT(O233/B233)+(((O233-B233*INT(O233/B233)))/C233)/100))),0,(IF(B233=C233,O233/C233,(INT(O233/B233)+(((O233-B233*INT(O233/B233)))/C233)/100))))</f>
        <v>0</v>
      </c>
      <c r="BA233" s="57">
        <f>IF(ISERROR(IF(B233=C233,P233/C233,IF((INT(P233/B233)+(((P233-B233*INT(P233/B233)))/C233)/100)&lt;0,(INT(P233/B233)+(((P233-B233*INT(P233/B233)))/C233)/100)+(1-(B233/C233/100)),(INT(P233/B233)+(((P233-B233*INT(P233/B233)))/C233)/100)))),0,IF(B233=C233,P233/C233,IF((INT(P233/B233)+(((P233-B233*INT(P233/B233)))/C233)/100)&lt;0,(INT(P233/B233)+(((P233-B233*INT(P233/B233)))/C233)/100)+(1-(B233/C233/100)),(INT(P233/B233)+(((P233-B233*INT(P233/B233)))/C233)/100))))</f>
        <v>0</v>
      </c>
      <c r="BB233" s="28">
        <f>R233</f>
        <v>0</v>
      </c>
      <c r="BC233" s="28">
        <f>S233</f>
        <v>0</v>
      </c>
      <c r="BD233" s="28">
        <f>AF233</f>
        <v>0</v>
      </c>
      <c r="BE233" s="28">
        <f>T233</f>
        <v>0</v>
      </c>
      <c r="BG233" s="57">
        <f>IF(ISERROR(IF(B233=C233,V233/C233,(INT(V233/B233)+(((V233-B233*INT(V233/B233)))/C233)/100))),0,(IF(B233=C233,V233/C233,(INT(V233/B233)+(((V233-B233*INT(V233/B233)))/C233)/100))))</f>
        <v>0</v>
      </c>
      <c r="BH233" s="57">
        <f>IF(ISERROR(IF(B233=C233,W233/C233,(INT(W233/B233)+(((W233-B233*INT(W233/B233)))/C233)/100))),0,(IF(B233=C233,W233/C233,(INT(W233/B233)+(((W233-B233*INT(W233/B233)))/C233)/100))))</f>
        <v>0</v>
      </c>
      <c r="BI233" s="57">
        <f>IF(ISERROR(IF(B233=C233,X233/C233,(INT(X233/B233)+(((X233-B233*INT(X233/B233)))/C233)/100))),0,(IF(B233=C233,X233/C233,(INT(X233/B233)+(((X233-B233*INT(X233/B233)))/C233)/100))))</f>
        <v>0</v>
      </c>
      <c r="BJ233" s="57">
        <f>IF(ISERROR(IF(B233=C233,Y233/C233,(INT(Y233/B233)+(((Y233-B233*INT(Y233/B233)))/C233)/100))),0,(IF(B233=C233,Y233/C233,(INT(Y233/B233)+(((Y233-B233*INT(Y233/B233)))/C233)/100))))</f>
        <v>0</v>
      </c>
      <c r="BL233" s="57">
        <f>IF(ISERROR(IF(B233=C233,AA233/C233,(INT(AA233/B233)+(((AA233-B233*INT(AA233/B233)))/C233)/100))),0,(IF(B233=C233,AA233/C233,(INT(AA233/B233)+(((AA233-B233*INT(AA233/B233)))/C233)/100))))</f>
        <v>0</v>
      </c>
      <c r="BM233" s="57">
        <f>IF(ISERROR(IF(B233=C233,AB233/C233,(INT(AB233/B233)+(((AB233-B233*INT(AB233/B233)))/C233)/100))),0,(IF(B233=C233,AB233/C233,(INT(AB233/B233)+(((AB233-B233*INT(AB233/B233)))/C233)/100))))</f>
        <v>0</v>
      </c>
      <c r="BN233" s="57">
        <f>IF(ISERROR(IF(B233=C233,AC233/C233,(INT(AC233/B233)+(((AC233-B233*INT(AC233/B233)))/C233)/100))),0,(IF(B233=C233,AC233/C233,(INT(AC233/B233)+(((AC233-B233*INT(AC233/B233)))/C233)/100))))</f>
        <v>0</v>
      </c>
      <c r="BO233" s="57">
        <f>IF(ISERROR(IF(B233=C233,AD233/C233,(INT(AD233/B233)+(((AD233-B233*INT(AD233/B233)))/C233)/100))),0,(IF(B233=C233,AD233/C233,(INT(AD233/B233)+(((AD233-B233*INT(AD233/B233)))/C233)/100))))</f>
        <v>0</v>
      </c>
      <c r="BQ233" s="155"/>
    </row>
    <row r="234" spans="1:69" hidden="1" x14ac:dyDescent="0.35">
      <c r="A234" s="94"/>
      <c r="B234" s="113">
        <v>0</v>
      </c>
      <c r="C234" s="113">
        <v>0</v>
      </c>
      <c r="D234" s="28">
        <f>SUM(AA234:AD234)</f>
        <v>0</v>
      </c>
      <c r="E234" s="113">
        <v>0</v>
      </c>
      <c r="F234" s="113">
        <v>0</v>
      </c>
      <c r="G234" s="28">
        <f>SUM(D234:F234)</f>
        <v>0</v>
      </c>
      <c r="H234" s="125">
        <v>0</v>
      </c>
      <c r="I234" s="113">
        <v>0</v>
      </c>
      <c r="J234" s="125">
        <v>0</v>
      </c>
      <c r="K234" s="113">
        <v>0</v>
      </c>
      <c r="L234" s="113">
        <v>0</v>
      </c>
      <c r="M234" s="113">
        <v>0</v>
      </c>
      <c r="N234" s="28">
        <f>G234-SUM(H234:M234)</f>
        <v>0</v>
      </c>
      <c r="O234" s="28">
        <f>SUM(V234:Y234)</f>
        <v>0</v>
      </c>
      <c r="P234" s="28">
        <f>O234-N234</f>
        <v>0</v>
      </c>
      <c r="Q234" s="61" t="str">
        <f>IF(ISERROR(P234/SUM(H234:L234)),"",P234/SUM(H234:L234))</f>
        <v/>
      </c>
      <c r="R234" s="113">
        <v>0</v>
      </c>
      <c r="S234" s="28">
        <f>IF(ISERROR(P234/C234*R234),0,(P234/C234*R234))</f>
        <v>0</v>
      </c>
      <c r="T234" s="60">
        <f>IF(ISERROR(P234/B234*AF234),0,(P234/B234*AF234))</f>
        <v>0</v>
      </c>
      <c r="V234" s="113">
        <v>0</v>
      </c>
      <c r="W234" s="113">
        <v>0</v>
      </c>
      <c r="X234" s="113">
        <v>0</v>
      </c>
      <c r="Y234" s="113">
        <v>0</v>
      </c>
      <c r="AA234" s="113">
        <v>0</v>
      </c>
      <c r="AB234" s="113">
        <v>0</v>
      </c>
      <c r="AC234" s="113">
        <v>0</v>
      </c>
      <c r="AD234" s="113">
        <v>0</v>
      </c>
      <c r="AF234" s="113">
        <v>0</v>
      </c>
      <c r="AG234" s="28">
        <f>G234-O234</f>
        <v>0</v>
      </c>
      <c r="AH234" s="58">
        <f>IF(ISERROR(AG234/B234*AF234),0,(AG234/B234*AF234))</f>
        <v>0</v>
      </c>
      <c r="AI234" s="28">
        <f>SUM(H234:M234)</f>
        <v>0</v>
      </c>
      <c r="AJ234" s="28">
        <f>IF(ISERROR(AI234/B234*AF234),0,(AI234/B234*AF234))</f>
        <v>0</v>
      </c>
      <c r="AK234" s="58">
        <f>IF(ISERROR(O234/B234*AF234),0,(O234/B234*AF234))</f>
        <v>0</v>
      </c>
      <c r="AL234" s="28">
        <f>IF(ISERROR(H234/B234*AF234),0,(H234/B234*AF234))</f>
        <v>0</v>
      </c>
      <c r="AN234" s="51">
        <f>A234</f>
        <v>0</v>
      </c>
      <c r="AO234" s="57">
        <f>IF(ISERROR(IF(B234=C234,D234/C234,(INT(D234/B234)+(((D234-B234*INT(D234/B234)))/C234)/100))),0,(IF(B234=C234,D234/C234,(INT(D234/B234)+(((D234-B234*INT(D234/B234)))/C234)/100))))</f>
        <v>0</v>
      </c>
      <c r="AP234" s="57">
        <f>IF(ISERROR(IF(B234=C234,E234/C234,(INT(E234/B234)+(((E234-B234*INT(E234/B234)))/C234)/100))),0,(IF(B234=C234,E234/C234,(INT(E234/B234)+(((E234-B234*INT(E234/B234)))/C234)/100))))</f>
        <v>0</v>
      </c>
      <c r="AQ234" s="57">
        <f>IF(ISERROR(IF(B234=C234,F234/C234,IF((INT(F234/B234)+(((F234-B234*INT(F234/B234)))/C234)/100)&lt;0,(INT(F234/B234)+(((F234-B234*INT(F234/B234)))/C234)/100)+(1-(B234/C234/100)),(INT(F234/B234)+(((F234-B234*INT(F234/B234)))/C234)/100)))),0,IF(B234=C234,F234/C234,IF((INT(F234/B234)+(((F234-B234*INT(F234/B234)))/C234)/100)&lt;0,(INT(F234/B234)+(((F234-B234*INT(F234/B234)))/C234)/100)+(1-(B234/C234/100)),(INT(F234/B234)+(((F234-B234*INT(F234/B234)))/C234)/100))))</f>
        <v>0</v>
      </c>
      <c r="AR234" s="57">
        <f>IF(ISERROR(IF(B234=C234,G234/C234,(INT(G234/B234)+(((G234-B234*INT(G234/B234)))/C234)/100))),0,(IF(B234=C234,G234/C234,(INT(G234/B234)+(((G234-B234*INT(G234/B234)))/C234)/100))))</f>
        <v>0</v>
      </c>
      <c r="AS234" s="57">
        <f>IF(ISERROR(IF(B234=C234,H234/C234,(INT(H234/B234)+(((H234-B234*INT(H234/B234)))/C234)/100))),0,(IF(B234=C234,H234/C234,(INT(H234/B234)+(((H234-B234*INT(H234/B234)))/C234)/100))))</f>
        <v>0</v>
      </c>
      <c r="AT234" s="57">
        <f>IF(ISERROR(IF(B234=C234,I234/C234,(INT(I234/B234)+(((I234-B234*INT(I234/B234)))/C234)/100))),0,(IF(B234=C234,I234/C234,(INT(I234/B234)+(((I234-B234*INT(I234/B234)))/C234)/100))))</f>
        <v>0</v>
      </c>
      <c r="AU234" s="57">
        <f>IF(ISERROR(IF(B234=C234,J234/C234,(INT(J234/B234)+(((J234-B234*INT(J234/B234)))/C234)/100))),0,(IF(B234=C234,J234/C234,(INT(J234/B234)+(((J234-B234*INT(J234/B234)))/C234)/100))))</f>
        <v>0</v>
      </c>
      <c r="AV234" s="57">
        <f>IF(ISERROR(IF(B234=C234,K234/C234,IF((INT(K234/B234)+(((K234-B234*INT(K234/B234)))/C234)/100)&lt;0,(INT(K234/B234)+(((K234-B234*INT(K234/B234)))/C234)/100)+(1-(B234/C234/100)),(INT(K234/B234)+(((K234-B234*INT(K234/B234)))/C234)/100)))),0,IF(B234=C234,K234/C234,IF((INT(K234/B234)+(((K234-B234*INT(K234/B234)))/C234)/100)&lt;0,(INT(K234/B234)+(((K234-B234*INT(K234/B234)))/C234)/100)+(1-(B234/C234/100)),(INT(K234/B234)+(((K234-B234*INT(K234/B234)))/C234)/100))))</f>
        <v>0</v>
      </c>
      <c r="AW234" s="57">
        <f>IF(ISERROR(IF(B234=C234,L234/C234,(INT(L234/B234)+(((L234-B234*INT(L234/B234)))/C234)/100))),0,(IF(B234=C234,L234/C234,(INT(L234/B234)+(((L234-B234*INT(L234/B234)))/C234)/100))))</f>
        <v>0</v>
      </c>
      <c r="AX234" s="57">
        <f>IF(ISERROR(IF(B234=C234,M234/C234,(INT(M234/B234)+(((M234-B234*INT(M234/B234)))/C234)/100))),0,(IF(B234=C234,M234/C234,(INT(M234/B234)+(((M234-B234*INT(M234/B234)))/C234)/100))))</f>
        <v>0</v>
      </c>
      <c r="AY234" s="57">
        <f>IF(ISERROR(IF(B234=C234,N234/C234,IF((INT(N234/B234)+(((N234-B234*INT(N234/B234)))/C234)/100)&lt;0,(INT(N234/B234)+(((N234-B234*INT(N234/B234)))/C234)/100)+(1-(B234/C234/100)),(INT(N234/B234)+(((N234-B234*INT(N234/B234)))/C234)/100)))),0,IF(B234=C234,N234/C234,IF((INT(N234/B234)+(((N234-B234*INT(N234/B234)))/C234)/100)&lt;0,(INT(N234/B234)+(((N234-B234*INT(N234/B234)))/C234)/100)+(1-(B234/C234/100)),(INT(N234/B234)+(((N234-B234*INT(N234/B234)))/C234)/100))))</f>
        <v>0</v>
      </c>
      <c r="AZ234" s="57">
        <f>IF(ISERROR(IF(B234=C234,O234/C234,(INT(O234/B234)+(((O234-B234*INT(O234/B234)))/C234)/100))),0,(IF(B234=C234,O234/C234,(INT(O234/B234)+(((O234-B234*INT(O234/B234)))/C234)/100))))</f>
        <v>0</v>
      </c>
      <c r="BA234" s="57">
        <f>IF(ISERROR(IF(B234=C234,P234/C234,IF((INT(P234/B234)+(((P234-B234*INT(P234/B234)))/C234)/100)&lt;0,(INT(P234/B234)+(((P234-B234*INT(P234/B234)))/C234)/100)+(1-(B234/C234/100)),(INT(P234/B234)+(((P234-B234*INT(P234/B234)))/C234)/100)))),0,IF(B234=C234,P234/C234,IF((INT(P234/B234)+(((P234-B234*INT(P234/B234)))/C234)/100)&lt;0,(INT(P234/B234)+(((P234-B234*INT(P234/B234)))/C234)/100)+(1-(B234/C234/100)),(INT(P234/B234)+(((P234-B234*INT(P234/B234)))/C234)/100))))</f>
        <v>0</v>
      </c>
      <c r="BB234" s="28">
        <f>R234</f>
        <v>0</v>
      </c>
      <c r="BC234" s="28">
        <f>S234</f>
        <v>0</v>
      </c>
      <c r="BD234" s="28">
        <f>AF234</f>
        <v>0</v>
      </c>
      <c r="BE234" s="28">
        <f>T234</f>
        <v>0</v>
      </c>
      <c r="BG234" s="57">
        <f>IF(ISERROR(IF(B234=C234,V234/C234,(INT(V234/B234)+(((V234-B234*INT(V234/B234)))/C234)/100))),0,(IF(B234=C234,V234/C234,(INT(V234/B234)+(((V234-B234*INT(V234/B234)))/C234)/100))))</f>
        <v>0</v>
      </c>
      <c r="BH234" s="57">
        <f>IF(ISERROR(IF(B234=C234,W234/C234,(INT(W234/B234)+(((W234-B234*INT(W234/B234)))/C234)/100))),0,(IF(B234=C234,W234/C234,(INT(W234/B234)+(((W234-B234*INT(W234/B234)))/C234)/100))))</f>
        <v>0</v>
      </c>
      <c r="BI234" s="57">
        <f>IF(ISERROR(IF(B234=C234,X234/C234,(INT(X234/B234)+(((X234-B234*INT(X234/B234)))/C234)/100))),0,(IF(B234=C234,X234/C234,(INT(X234/B234)+(((X234-B234*INT(X234/B234)))/C234)/100))))</f>
        <v>0</v>
      </c>
      <c r="BJ234" s="57">
        <f>IF(ISERROR(IF(B234=C234,Y234/C234,(INT(Y234/B234)+(((Y234-B234*INT(Y234/B234)))/C234)/100))),0,(IF(B234=C234,Y234/C234,(INT(Y234/B234)+(((Y234-B234*INT(Y234/B234)))/C234)/100))))</f>
        <v>0</v>
      </c>
      <c r="BL234" s="57">
        <f>IF(ISERROR(IF(B234=C234,AA234/C234,(INT(AA234/B234)+(((AA234-B234*INT(AA234/B234)))/C234)/100))),0,(IF(B234=C234,AA234/C234,(INT(AA234/B234)+(((AA234-B234*INT(AA234/B234)))/C234)/100))))</f>
        <v>0</v>
      </c>
      <c r="BM234" s="57">
        <f>IF(ISERROR(IF(B234=C234,AB234/C234,(INT(AB234/B234)+(((AB234-B234*INT(AB234/B234)))/C234)/100))),0,(IF(B234=C234,AB234/C234,(INT(AB234/B234)+(((AB234-B234*INT(AB234/B234)))/C234)/100))))</f>
        <v>0</v>
      </c>
      <c r="BN234" s="57">
        <f>IF(ISERROR(IF(B234=C234,AC234/C234,(INT(AC234/B234)+(((AC234-B234*INT(AC234/B234)))/C234)/100))),0,(IF(B234=C234,AC234/C234,(INT(AC234/B234)+(((AC234-B234*INT(AC234/B234)))/C234)/100))))</f>
        <v>0</v>
      </c>
      <c r="BO234" s="57">
        <f>IF(ISERROR(IF(B234=C234,AD234/C234,(INT(AD234/B234)+(((AD234-B234*INT(AD234/B234)))/C234)/100))),0,(IF(B234=C234,AD234/C234,(INT(AD234/B234)+(((AD234-B234*INT(AD234/B234)))/C234)/100))))</f>
        <v>0</v>
      </c>
      <c r="BQ234" s="155"/>
    </row>
    <row r="235" spans="1:69" hidden="1" x14ac:dyDescent="0.35">
      <c r="A235" s="94"/>
      <c r="B235" s="113">
        <v>0</v>
      </c>
      <c r="C235" s="113">
        <v>0</v>
      </c>
      <c r="D235" s="28">
        <f>SUM(AA235:AD235)</f>
        <v>0</v>
      </c>
      <c r="E235" s="113">
        <v>0</v>
      </c>
      <c r="F235" s="113">
        <v>0</v>
      </c>
      <c r="G235" s="28">
        <f>SUM(D235:F235)</f>
        <v>0</v>
      </c>
      <c r="H235" s="125">
        <v>0</v>
      </c>
      <c r="I235" s="113">
        <v>0</v>
      </c>
      <c r="J235" s="125">
        <v>0</v>
      </c>
      <c r="K235" s="113">
        <v>0</v>
      </c>
      <c r="L235" s="113">
        <v>0</v>
      </c>
      <c r="M235" s="113">
        <v>0</v>
      </c>
      <c r="N235" s="28">
        <f>G235-SUM(H235:M235)</f>
        <v>0</v>
      </c>
      <c r="O235" s="28">
        <f>SUM(V235:Y235)</f>
        <v>0</v>
      </c>
      <c r="P235" s="28">
        <f>O235-N235</f>
        <v>0</v>
      </c>
      <c r="Q235" s="61" t="str">
        <f>IF(ISERROR(P235/SUM(H235:L235)),"",P235/SUM(H235:L235))</f>
        <v/>
      </c>
      <c r="R235" s="113">
        <v>0</v>
      </c>
      <c r="S235" s="28">
        <f>IF(ISERROR(P235/C235*R235),0,(P235/C235*R235))</f>
        <v>0</v>
      </c>
      <c r="T235" s="60">
        <f>IF(ISERROR(P235/B235*AF235),0,(P235/B235*AF235))</f>
        <v>0</v>
      </c>
      <c r="V235" s="113">
        <v>0</v>
      </c>
      <c r="W235" s="113">
        <v>0</v>
      </c>
      <c r="X235" s="113">
        <v>0</v>
      </c>
      <c r="Y235" s="113">
        <v>0</v>
      </c>
      <c r="AA235" s="113">
        <v>0</v>
      </c>
      <c r="AB235" s="113">
        <v>0</v>
      </c>
      <c r="AC235" s="113">
        <v>0</v>
      </c>
      <c r="AD235" s="113">
        <v>0</v>
      </c>
      <c r="AF235" s="113">
        <v>0</v>
      </c>
      <c r="AG235" s="28">
        <f>G235-O235</f>
        <v>0</v>
      </c>
      <c r="AH235" s="58">
        <f>IF(ISERROR(AG235/B235*AF235),0,(AG235/B235*AF235))</f>
        <v>0</v>
      </c>
      <c r="AI235" s="28">
        <f>SUM(H235:M235)</f>
        <v>0</v>
      </c>
      <c r="AJ235" s="28">
        <f>IF(ISERROR(AI235/B235*AF235),0,(AI235/B235*AF235))</f>
        <v>0</v>
      </c>
      <c r="AK235" s="58">
        <f>IF(ISERROR(O235/B235*AF235),0,(O235/B235*AF235))</f>
        <v>0</v>
      </c>
      <c r="AL235" s="28">
        <f>IF(ISERROR(H235/B235*AF235),0,(H235/B235*AF235))</f>
        <v>0</v>
      </c>
      <c r="AN235" s="51">
        <f>A235</f>
        <v>0</v>
      </c>
      <c r="AO235" s="57">
        <f>IF(ISERROR(IF(B235=C235,D235/C235,(INT(D235/B235)+(((D235-B235*INT(D235/B235)))/C235)/100))),0,(IF(B235=C235,D235/C235,(INT(D235/B235)+(((D235-B235*INT(D235/B235)))/C235)/100))))</f>
        <v>0</v>
      </c>
      <c r="AP235" s="57">
        <f>IF(ISERROR(IF(B235=C235,E235/C235,(INT(E235/B235)+(((E235-B235*INT(E235/B235)))/C235)/100))),0,(IF(B235=C235,E235/C235,(INT(E235/B235)+(((E235-B235*INT(E235/B235)))/C235)/100))))</f>
        <v>0</v>
      </c>
      <c r="AQ235" s="57">
        <f>IF(ISERROR(IF(B235=C235,F235/C235,IF((INT(F235/B235)+(((F235-B235*INT(F235/B235)))/C235)/100)&lt;0,(INT(F235/B235)+(((F235-B235*INT(F235/B235)))/C235)/100)+(1-(B235/C235/100)),(INT(F235/B235)+(((F235-B235*INT(F235/B235)))/C235)/100)))),0,IF(B235=C235,F235/C235,IF((INT(F235/B235)+(((F235-B235*INT(F235/B235)))/C235)/100)&lt;0,(INT(F235/B235)+(((F235-B235*INT(F235/B235)))/C235)/100)+(1-(B235/C235/100)),(INT(F235/B235)+(((F235-B235*INT(F235/B235)))/C235)/100))))</f>
        <v>0</v>
      </c>
      <c r="AR235" s="57">
        <f>IF(ISERROR(IF(B235=C235,G235/C235,(INT(G235/B235)+(((G235-B235*INT(G235/B235)))/C235)/100))),0,(IF(B235=C235,G235/C235,(INT(G235/B235)+(((G235-B235*INT(G235/B235)))/C235)/100))))</f>
        <v>0</v>
      </c>
      <c r="AS235" s="57">
        <f>IF(ISERROR(IF(B235=C235,H235/C235,(INT(H235/B235)+(((H235-B235*INT(H235/B235)))/C235)/100))),0,(IF(B235=C235,H235/C235,(INT(H235/B235)+(((H235-B235*INT(H235/B235)))/C235)/100))))</f>
        <v>0</v>
      </c>
      <c r="AT235" s="57">
        <f>IF(ISERROR(IF(B235=C235,I235/C235,(INT(I235/B235)+(((I235-B235*INT(I235/B235)))/C235)/100))),0,(IF(B235=C235,I235/C235,(INT(I235/B235)+(((I235-B235*INT(I235/B235)))/C235)/100))))</f>
        <v>0</v>
      </c>
      <c r="AU235" s="57">
        <f>IF(ISERROR(IF(B235=C235,J235/C235,(INT(J235/B235)+(((J235-B235*INT(J235/B235)))/C235)/100))),0,(IF(B235=C235,J235/C235,(INT(J235/B235)+(((J235-B235*INT(J235/B235)))/C235)/100))))</f>
        <v>0</v>
      </c>
      <c r="AV235" s="57">
        <f>IF(ISERROR(IF(B235=C235,K235/C235,IF((INT(K235/B235)+(((K235-B235*INT(K235/B235)))/C235)/100)&lt;0,(INT(K235/B235)+(((K235-B235*INT(K235/B235)))/C235)/100)+(1-(B235/C235/100)),(INT(K235/B235)+(((K235-B235*INT(K235/B235)))/C235)/100)))),0,IF(B235=C235,K235/C235,IF((INT(K235/B235)+(((K235-B235*INT(K235/B235)))/C235)/100)&lt;0,(INT(K235/B235)+(((K235-B235*INT(K235/B235)))/C235)/100)+(1-(B235/C235/100)),(INT(K235/B235)+(((K235-B235*INT(K235/B235)))/C235)/100))))</f>
        <v>0</v>
      </c>
      <c r="AW235" s="57">
        <f>IF(ISERROR(IF(B235=C235,L235/C235,(INT(L235/B235)+(((L235-B235*INT(L235/B235)))/C235)/100))),0,(IF(B235=C235,L235/C235,(INT(L235/B235)+(((L235-B235*INT(L235/B235)))/C235)/100))))</f>
        <v>0</v>
      </c>
      <c r="AX235" s="57">
        <f>IF(ISERROR(IF(B235=C235,M235/C235,(INT(M235/B235)+(((M235-B235*INT(M235/B235)))/C235)/100))),0,(IF(B235=C235,M235/C235,(INT(M235/B235)+(((M235-B235*INT(M235/B235)))/C235)/100))))</f>
        <v>0</v>
      </c>
      <c r="AY235" s="57">
        <f>IF(ISERROR(IF(B235=C235,N235/C235,IF((INT(N235/B235)+(((N235-B235*INT(N235/B235)))/C235)/100)&lt;0,(INT(N235/B235)+(((N235-B235*INT(N235/B235)))/C235)/100)+(1-(B235/C235/100)),(INT(N235/B235)+(((N235-B235*INT(N235/B235)))/C235)/100)))),0,IF(B235=C235,N235/C235,IF((INT(N235/B235)+(((N235-B235*INT(N235/B235)))/C235)/100)&lt;0,(INT(N235/B235)+(((N235-B235*INT(N235/B235)))/C235)/100)+(1-(B235/C235/100)),(INT(N235/B235)+(((N235-B235*INT(N235/B235)))/C235)/100))))</f>
        <v>0</v>
      </c>
      <c r="AZ235" s="57">
        <f>IF(ISERROR(IF(B235=C235,O235/C235,(INT(O235/B235)+(((O235-B235*INT(O235/B235)))/C235)/100))),0,(IF(B235=C235,O235/C235,(INT(O235/B235)+(((O235-B235*INT(O235/B235)))/C235)/100))))</f>
        <v>0</v>
      </c>
      <c r="BA235" s="57">
        <f>IF(ISERROR(IF(B235=C235,P235/C235,IF((INT(P235/B235)+(((P235-B235*INT(P235/B235)))/C235)/100)&lt;0,(INT(P235/B235)+(((P235-B235*INT(P235/B235)))/C235)/100)+(1-(B235/C235/100)),(INT(P235/B235)+(((P235-B235*INT(P235/B235)))/C235)/100)))),0,IF(B235=C235,P235/C235,IF((INT(P235/B235)+(((P235-B235*INT(P235/B235)))/C235)/100)&lt;0,(INT(P235/B235)+(((P235-B235*INT(P235/B235)))/C235)/100)+(1-(B235/C235/100)),(INT(P235/B235)+(((P235-B235*INT(P235/B235)))/C235)/100))))</f>
        <v>0</v>
      </c>
      <c r="BB235" s="28">
        <f>R235</f>
        <v>0</v>
      </c>
      <c r="BC235" s="28">
        <f>S235</f>
        <v>0</v>
      </c>
      <c r="BD235" s="28">
        <f>AF235</f>
        <v>0</v>
      </c>
      <c r="BE235" s="28">
        <f>T235</f>
        <v>0</v>
      </c>
      <c r="BG235" s="57">
        <f>IF(ISERROR(IF(B235=C235,V235/C235,(INT(V235/B235)+(((V235-B235*INT(V235/B235)))/C235)/100))),0,(IF(B235=C235,V235/C235,(INT(V235/B235)+(((V235-B235*INT(V235/B235)))/C235)/100))))</f>
        <v>0</v>
      </c>
      <c r="BH235" s="57">
        <f>IF(ISERROR(IF(B235=C235,W235/C235,(INT(W235/B235)+(((W235-B235*INT(W235/B235)))/C235)/100))),0,(IF(B235=C235,W235/C235,(INT(W235/B235)+(((W235-B235*INT(W235/B235)))/C235)/100))))</f>
        <v>0</v>
      </c>
      <c r="BI235" s="57">
        <f>IF(ISERROR(IF(B235=C235,X235/C235,(INT(X235/B235)+(((X235-B235*INT(X235/B235)))/C235)/100))),0,(IF(B235=C235,X235/C235,(INT(X235/B235)+(((X235-B235*INT(X235/B235)))/C235)/100))))</f>
        <v>0</v>
      </c>
      <c r="BJ235" s="57">
        <f>IF(ISERROR(IF(B235=C235,Y235/C235,(INT(Y235/B235)+(((Y235-B235*INT(Y235/B235)))/C235)/100))),0,(IF(B235=C235,Y235/C235,(INT(Y235/B235)+(((Y235-B235*INT(Y235/B235)))/C235)/100))))</f>
        <v>0</v>
      </c>
      <c r="BL235" s="57">
        <f>IF(ISERROR(IF(B235=C235,AA235/C235,(INT(AA235/B235)+(((AA235-B235*INT(AA235/B235)))/C235)/100))),0,(IF(B235=C235,AA235/C235,(INT(AA235/B235)+(((AA235-B235*INT(AA235/B235)))/C235)/100))))</f>
        <v>0</v>
      </c>
      <c r="BM235" s="57">
        <f>IF(ISERROR(IF(B235=C235,AB235/C235,(INT(AB235/B235)+(((AB235-B235*INT(AB235/B235)))/C235)/100))),0,(IF(B235=C235,AB235/C235,(INT(AB235/B235)+(((AB235-B235*INT(AB235/B235)))/C235)/100))))</f>
        <v>0</v>
      </c>
      <c r="BN235" s="57">
        <f>IF(ISERROR(IF(B235=C235,AC235/C235,(INT(AC235/B235)+(((AC235-B235*INT(AC235/B235)))/C235)/100))),0,(IF(B235=C235,AC235/C235,(INT(AC235/B235)+(((AC235-B235*INT(AC235/B235)))/C235)/100))))</f>
        <v>0</v>
      </c>
      <c r="BO235" s="57">
        <f>IF(ISERROR(IF(B235=C235,AD235/C235,(INT(AD235/B235)+(((AD235-B235*INT(AD235/B235)))/C235)/100))),0,(IF(B235=C235,AD235/C235,(INT(AD235/B235)+(((AD235-B235*INT(AD235/B235)))/C235)/100))))</f>
        <v>0</v>
      </c>
      <c r="BQ235" s="155"/>
    </row>
    <row r="236" spans="1:69" hidden="1" x14ac:dyDescent="0.35">
      <c r="A236" s="94"/>
      <c r="B236" s="113">
        <v>0</v>
      </c>
      <c r="C236" s="113">
        <v>0</v>
      </c>
      <c r="D236" s="28">
        <f>SUM(AA236:AD236)</f>
        <v>0</v>
      </c>
      <c r="E236" s="113">
        <v>0</v>
      </c>
      <c r="F236" s="113">
        <v>0</v>
      </c>
      <c r="G236" s="28">
        <f>SUM(D236:F236)</f>
        <v>0</v>
      </c>
      <c r="H236" s="125">
        <v>0</v>
      </c>
      <c r="I236" s="113">
        <v>0</v>
      </c>
      <c r="J236" s="125">
        <v>0</v>
      </c>
      <c r="K236" s="113">
        <v>0</v>
      </c>
      <c r="L236" s="113">
        <v>0</v>
      </c>
      <c r="M236" s="113">
        <v>0</v>
      </c>
      <c r="N236" s="28">
        <f>G236-SUM(H236:M236)</f>
        <v>0</v>
      </c>
      <c r="O236" s="28">
        <f>SUM(V236:Y236)</f>
        <v>0</v>
      </c>
      <c r="P236" s="28">
        <f>O236-N236</f>
        <v>0</v>
      </c>
      <c r="Q236" s="61" t="str">
        <f>IF(ISERROR(P236/SUM(H236:L236)),"",P236/SUM(H236:L236))</f>
        <v/>
      </c>
      <c r="R236" s="113">
        <v>0</v>
      </c>
      <c r="S236" s="28">
        <f>IF(ISERROR(P236/C236*R236),0,(P236/C236*R236))</f>
        <v>0</v>
      </c>
      <c r="T236" s="60">
        <f>IF(ISERROR(P236/B236*AF236),0,(P236/B236*AF236))</f>
        <v>0</v>
      </c>
      <c r="V236" s="113">
        <v>0</v>
      </c>
      <c r="W236" s="113">
        <v>0</v>
      </c>
      <c r="X236" s="113">
        <v>0</v>
      </c>
      <c r="Y236" s="113">
        <v>0</v>
      </c>
      <c r="AA236" s="113">
        <v>0</v>
      </c>
      <c r="AB236" s="113">
        <v>0</v>
      </c>
      <c r="AC236" s="113">
        <v>0</v>
      </c>
      <c r="AD236" s="113">
        <v>0</v>
      </c>
      <c r="AF236" s="113">
        <v>0</v>
      </c>
      <c r="AG236" s="28">
        <f>G236-O236</f>
        <v>0</v>
      </c>
      <c r="AH236" s="58">
        <f>IF(ISERROR(AG236/B236*AF236),0,(AG236/B236*AF236))</f>
        <v>0</v>
      </c>
      <c r="AI236" s="28">
        <f>SUM(H236:M236)</f>
        <v>0</v>
      </c>
      <c r="AJ236" s="28">
        <f>IF(ISERROR(AI236/B236*AF236),0,(AI236/B236*AF236))</f>
        <v>0</v>
      </c>
      <c r="AK236" s="58">
        <f>IF(ISERROR(O236/B236*AF236),0,(O236/B236*AF236))</f>
        <v>0</v>
      </c>
      <c r="AL236" s="28">
        <f>IF(ISERROR(H236/B236*AF236),0,(H236/B236*AF236))</f>
        <v>0</v>
      </c>
      <c r="AN236" s="51">
        <f>A236</f>
        <v>0</v>
      </c>
      <c r="AO236" s="57">
        <f>IF(ISERROR(IF(B236=C236,D236/C236,(INT(D236/B236)+(((D236-B236*INT(D236/B236)))/C236)/100))),0,(IF(B236=C236,D236/C236,(INT(D236/B236)+(((D236-B236*INT(D236/B236)))/C236)/100))))</f>
        <v>0</v>
      </c>
      <c r="AP236" s="57">
        <f>IF(ISERROR(IF(B236=C236,E236/C236,(INT(E236/B236)+(((E236-B236*INT(E236/B236)))/C236)/100))),0,(IF(B236=C236,E236/C236,(INT(E236/B236)+(((E236-B236*INT(E236/B236)))/C236)/100))))</f>
        <v>0</v>
      </c>
      <c r="AQ236" s="57">
        <f>IF(ISERROR(IF(B236=C236,F236/C236,IF((INT(F236/B236)+(((F236-B236*INT(F236/B236)))/C236)/100)&lt;0,(INT(F236/B236)+(((F236-B236*INT(F236/B236)))/C236)/100)+(1-(B236/C236/100)),(INT(F236/B236)+(((F236-B236*INT(F236/B236)))/C236)/100)))),0,IF(B236=C236,F236/C236,IF((INT(F236/B236)+(((F236-B236*INT(F236/B236)))/C236)/100)&lt;0,(INT(F236/B236)+(((F236-B236*INT(F236/B236)))/C236)/100)+(1-(B236/C236/100)),(INT(F236/B236)+(((F236-B236*INT(F236/B236)))/C236)/100))))</f>
        <v>0</v>
      </c>
      <c r="AR236" s="57">
        <f>IF(ISERROR(IF(B236=C236,G236/C236,(INT(G236/B236)+(((G236-B236*INT(G236/B236)))/C236)/100))),0,(IF(B236=C236,G236/C236,(INT(G236/B236)+(((G236-B236*INT(G236/B236)))/C236)/100))))</f>
        <v>0</v>
      </c>
      <c r="AS236" s="57">
        <f>IF(ISERROR(IF(B236=C236,H236/C236,(INT(H236/B236)+(((H236-B236*INT(H236/B236)))/C236)/100))),0,(IF(B236=C236,H236/C236,(INT(H236/B236)+(((H236-B236*INT(H236/B236)))/C236)/100))))</f>
        <v>0</v>
      </c>
      <c r="AT236" s="57">
        <f>IF(ISERROR(IF(B236=C236,I236/C236,(INT(I236/B236)+(((I236-B236*INT(I236/B236)))/C236)/100))),0,(IF(B236=C236,I236/C236,(INT(I236/B236)+(((I236-B236*INT(I236/B236)))/C236)/100))))</f>
        <v>0</v>
      </c>
      <c r="AU236" s="57">
        <f>IF(ISERROR(IF(B236=C236,J236/C236,(INT(J236/B236)+(((J236-B236*INT(J236/B236)))/C236)/100))),0,(IF(B236=C236,J236/C236,(INT(J236/B236)+(((J236-B236*INT(J236/B236)))/C236)/100))))</f>
        <v>0</v>
      </c>
      <c r="AV236" s="57">
        <f>IF(ISERROR(IF(B236=C236,K236/C236,IF((INT(K236/B236)+(((K236-B236*INT(K236/B236)))/C236)/100)&lt;0,(INT(K236/B236)+(((K236-B236*INT(K236/B236)))/C236)/100)+(1-(B236/C236/100)),(INT(K236/B236)+(((K236-B236*INT(K236/B236)))/C236)/100)))),0,IF(B236=C236,K236/C236,IF((INT(K236/B236)+(((K236-B236*INT(K236/B236)))/C236)/100)&lt;0,(INT(K236/B236)+(((K236-B236*INT(K236/B236)))/C236)/100)+(1-(B236/C236/100)),(INT(K236/B236)+(((K236-B236*INT(K236/B236)))/C236)/100))))</f>
        <v>0</v>
      </c>
      <c r="AW236" s="57">
        <f>IF(ISERROR(IF(B236=C236,L236/C236,(INT(L236/B236)+(((L236-B236*INT(L236/B236)))/C236)/100))),0,(IF(B236=C236,L236/C236,(INT(L236/B236)+(((L236-B236*INT(L236/B236)))/C236)/100))))</f>
        <v>0</v>
      </c>
      <c r="AX236" s="57">
        <f>IF(ISERROR(IF(B236=C236,M236/C236,(INT(M236/B236)+(((M236-B236*INT(M236/B236)))/C236)/100))),0,(IF(B236=C236,M236/C236,(INT(M236/B236)+(((M236-B236*INT(M236/B236)))/C236)/100))))</f>
        <v>0</v>
      </c>
      <c r="AY236" s="57">
        <f>IF(ISERROR(IF(B236=C236,N236/C236,IF((INT(N236/B236)+(((N236-B236*INT(N236/B236)))/C236)/100)&lt;0,(INT(N236/B236)+(((N236-B236*INT(N236/B236)))/C236)/100)+(1-(B236/C236/100)),(INT(N236/B236)+(((N236-B236*INT(N236/B236)))/C236)/100)))),0,IF(B236=C236,N236/C236,IF((INT(N236/B236)+(((N236-B236*INT(N236/B236)))/C236)/100)&lt;0,(INT(N236/B236)+(((N236-B236*INT(N236/B236)))/C236)/100)+(1-(B236/C236/100)),(INT(N236/B236)+(((N236-B236*INT(N236/B236)))/C236)/100))))</f>
        <v>0</v>
      </c>
      <c r="AZ236" s="57">
        <f>IF(ISERROR(IF(B236=C236,O236/C236,(INT(O236/B236)+(((O236-B236*INT(O236/B236)))/C236)/100))),0,(IF(B236=C236,O236/C236,(INT(O236/B236)+(((O236-B236*INT(O236/B236)))/C236)/100))))</f>
        <v>0</v>
      </c>
      <c r="BA236" s="57">
        <f>IF(ISERROR(IF(B236=C236,P236/C236,IF((INT(P236/B236)+(((P236-B236*INT(P236/B236)))/C236)/100)&lt;0,(INT(P236/B236)+(((P236-B236*INT(P236/B236)))/C236)/100)+(1-(B236/C236/100)),(INT(P236/B236)+(((P236-B236*INT(P236/B236)))/C236)/100)))),0,IF(B236=C236,P236/C236,IF((INT(P236/B236)+(((P236-B236*INT(P236/B236)))/C236)/100)&lt;0,(INT(P236/B236)+(((P236-B236*INT(P236/B236)))/C236)/100)+(1-(B236/C236/100)),(INT(P236/B236)+(((P236-B236*INT(P236/B236)))/C236)/100))))</f>
        <v>0</v>
      </c>
      <c r="BB236" s="28">
        <f>R236</f>
        <v>0</v>
      </c>
      <c r="BC236" s="28">
        <f>S236</f>
        <v>0</v>
      </c>
      <c r="BD236" s="28">
        <f>AF236</f>
        <v>0</v>
      </c>
      <c r="BE236" s="28">
        <f>T236</f>
        <v>0</v>
      </c>
      <c r="BG236" s="57">
        <f>IF(ISERROR(IF(B236=C236,V236/C236,(INT(V236/B236)+(((V236-B236*INT(V236/B236)))/C236)/100))),0,(IF(B236=C236,V236/C236,(INT(V236/B236)+(((V236-B236*INT(V236/B236)))/C236)/100))))</f>
        <v>0</v>
      </c>
      <c r="BH236" s="57">
        <f>IF(ISERROR(IF(B236=C236,W236/C236,(INT(W236/B236)+(((W236-B236*INT(W236/B236)))/C236)/100))),0,(IF(B236=C236,W236/C236,(INT(W236/B236)+(((W236-B236*INT(W236/B236)))/C236)/100))))</f>
        <v>0</v>
      </c>
      <c r="BI236" s="57">
        <f>IF(ISERROR(IF(B236=C236,X236/C236,(INT(X236/B236)+(((X236-B236*INT(X236/B236)))/C236)/100))),0,(IF(B236=C236,X236/C236,(INT(X236/B236)+(((X236-B236*INT(X236/B236)))/C236)/100))))</f>
        <v>0</v>
      </c>
      <c r="BJ236" s="57">
        <f>IF(ISERROR(IF(B236=C236,Y236/C236,(INT(Y236/B236)+(((Y236-B236*INT(Y236/B236)))/C236)/100))),0,(IF(B236=C236,Y236/C236,(INT(Y236/B236)+(((Y236-B236*INT(Y236/B236)))/C236)/100))))</f>
        <v>0</v>
      </c>
      <c r="BL236" s="57">
        <f>IF(ISERROR(IF(B236=C236,AA236/C236,(INT(AA236/B236)+(((AA236-B236*INT(AA236/B236)))/C236)/100))),0,(IF(B236=C236,AA236/C236,(INT(AA236/B236)+(((AA236-B236*INT(AA236/B236)))/C236)/100))))</f>
        <v>0</v>
      </c>
      <c r="BM236" s="57">
        <f>IF(ISERROR(IF(B236=C236,AB236/C236,(INT(AB236/B236)+(((AB236-B236*INT(AB236/B236)))/C236)/100))),0,(IF(B236=C236,AB236/C236,(INT(AB236/B236)+(((AB236-B236*INT(AB236/B236)))/C236)/100))))</f>
        <v>0</v>
      </c>
      <c r="BN236" s="57">
        <f>IF(ISERROR(IF(B236=C236,AC236/C236,(INT(AC236/B236)+(((AC236-B236*INT(AC236/B236)))/C236)/100))),0,(IF(B236=C236,AC236/C236,(INT(AC236/B236)+(((AC236-B236*INT(AC236/B236)))/C236)/100))))</f>
        <v>0</v>
      </c>
      <c r="BO236" s="57">
        <f>IF(ISERROR(IF(B236=C236,AD236/C236,(INT(AD236/B236)+(((AD236-B236*INT(AD236/B236)))/C236)/100))),0,(IF(B236=C236,AD236/C236,(INT(AD236/B236)+(((AD236-B236*INT(AD236/B236)))/C236)/100))))</f>
        <v>0</v>
      </c>
      <c r="BQ236" s="155"/>
    </row>
    <row r="237" spans="1:69" hidden="1" x14ac:dyDescent="0.35">
      <c r="A237" s="94"/>
      <c r="B237" s="113">
        <v>0</v>
      </c>
      <c r="C237" s="113">
        <v>0</v>
      </c>
      <c r="D237" s="28">
        <f>SUM(AA237:AD237)</f>
        <v>0</v>
      </c>
      <c r="E237" s="113">
        <v>0</v>
      </c>
      <c r="F237" s="113">
        <v>0</v>
      </c>
      <c r="G237" s="28">
        <f>SUM(D237:F237)</f>
        <v>0</v>
      </c>
      <c r="H237" s="125">
        <v>0</v>
      </c>
      <c r="I237" s="113">
        <v>0</v>
      </c>
      <c r="J237" s="125">
        <v>0</v>
      </c>
      <c r="K237" s="113">
        <v>0</v>
      </c>
      <c r="L237" s="113">
        <v>0</v>
      </c>
      <c r="M237" s="113">
        <v>0</v>
      </c>
      <c r="N237" s="28">
        <f>G237-SUM(H237:M237)</f>
        <v>0</v>
      </c>
      <c r="O237" s="28">
        <f>SUM(V237:Y237)</f>
        <v>0</v>
      </c>
      <c r="P237" s="28">
        <f>O237-N237</f>
        <v>0</v>
      </c>
      <c r="Q237" s="61" t="str">
        <f>IF(ISERROR(P237/SUM(H237:L237)),"",P237/SUM(H237:L237))</f>
        <v/>
      </c>
      <c r="R237" s="113">
        <v>0</v>
      </c>
      <c r="S237" s="28">
        <f>IF(ISERROR(P237/C237*R237),0,(P237/C237*R237))</f>
        <v>0</v>
      </c>
      <c r="T237" s="60">
        <f>IF(ISERROR(P237/B237*AF237),0,(P237/B237*AF237))</f>
        <v>0</v>
      </c>
      <c r="V237" s="113">
        <v>0</v>
      </c>
      <c r="W237" s="113">
        <v>0</v>
      </c>
      <c r="X237" s="113">
        <v>0</v>
      </c>
      <c r="Y237" s="113">
        <v>0</v>
      </c>
      <c r="AA237" s="113">
        <v>0</v>
      </c>
      <c r="AB237" s="113">
        <v>0</v>
      </c>
      <c r="AC237" s="113">
        <v>0</v>
      </c>
      <c r="AD237" s="113">
        <v>0</v>
      </c>
      <c r="AF237" s="113">
        <v>0</v>
      </c>
      <c r="AG237" s="28">
        <f>G237-O237</f>
        <v>0</v>
      </c>
      <c r="AH237" s="58">
        <f>IF(ISERROR(AG237/B237*AF237),0,(AG237/B237*AF237))</f>
        <v>0</v>
      </c>
      <c r="AI237" s="28">
        <f>SUM(H237:M237)</f>
        <v>0</v>
      </c>
      <c r="AJ237" s="28">
        <f>IF(ISERROR(AI237/B237*AF237),0,(AI237/B237*AF237))</f>
        <v>0</v>
      </c>
      <c r="AK237" s="58">
        <f>IF(ISERROR(O237/B237*AF237),0,(O237/B237*AF237))</f>
        <v>0</v>
      </c>
      <c r="AL237" s="28">
        <f>IF(ISERROR(H237/B237*AF237),0,(H237/B237*AF237))</f>
        <v>0</v>
      </c>
      <c r="AN237" s="51">
        <f>A237</f>
        <v>0</v>
      </c>
      <c r="AO237" s="57">
        <f>IF(ISERROR(IF(B237=C237,D237/C237,(INT(D237/B237)+(((D237-B237*INT(D237/B237)))/C237)/100))),0,(IF(B237=C237,D237/C237,(INT(D237/B237)+(((D237-B237*INT(D237/B237)))/C237)/100))))</f>
        <v>0</v>
      </c>
      <c r="AP237" s="57">
        <f>IF(ISERROR(IF(B237=C237,E237/C237,(INT(E237/B237)+(((E237-B237*INT(E237/B237)))/C237)/100))),0,(IF(B237=C237,E237/C237,(INT(E237/B237)+(((E237-B237*INT(E237/B237)))/C237)/100))))</f>
        <v>0</v>
      </c>
      <c r="AQ237" s="57">
        <f>IF(ISERROR(IF(B237=C237,F237/C237,IF((INT(F237/B237)+(((F237-B237*INT(F237/B237)))/C237)/100)&lt;0,(INT(F237/B237)+(((F237-B237*INT(F237/B237)))/C237)/100)+(1-(B237/C237/100)),(INT(F237/B237)+(((F237-B237*INT(F237/B237)))/C237)/100)))),0,IF(B237=C237,F237/C237,IF((INT(F237/B237)+(((F237-B237*INT(F237/B237)))/C237)/100)&lt;0,(INT(F237/B237)+(((F237-B237*INT(F237/B237)))/C237)/100)+(1-(B237/C237/100)),(INT(F237/B237)+(((F237-B237*INT(F237/B237)))/C237)/100))))</f>
        <v>0</v>
      </c>
      <c r="AR237" s="57">
        <f>IF(ISERROR(IF(B237=C237,G237/C237,(INT(G237/B237)+(((G237-B237*INT(G237/B237)))/C237)/100))),0,(IF(B237=C237,G237/C237,(INT(G237/B237)+(((G237-B237*INT(G237/B237)))/C237)/100))))</f>
        <v>0</v>
      </c>
      <c r="AS237" s="57">
        <f>IF(ISERROR(IF(B237=C237,H237/C237,(INT(H237/B237)+(((H237-B237*INT(H237/B237)))/C237)/100))),0,(IF(B237=C237,H237/C237,(INT(H237/B237)+(((H237-B237*INT(H237/B237)))/C237)/100))))</f>
        <v>0</v>
      </c>
      <c r="AT237" s="57">
        <f>IF(ISERROR(IF(B237=C237,I237/C237,(INT(I237/B237)+(((I237-B237*INT(I237/B237)))/C237)/100))),0,(IF(B237=C237,I237/C237,(INT(I237/B237)+(((I237-B237*INT(I237/B237)))/C237)/100))))</f>
        <v>0</v>
      </c>
      <c r="AU237" s="57">
        <f>IF(ISERROR(IF(B237=C237,J237/C237,(INT(J237/B237)+(((J237-B237*INT(J237/B237)))/C237)/100))),0,(IF(B237=C237,J237/C237,(INT(J237/B237)+(((J237-B237*INT(J237/B237)))/C237)/100))))</f>
        <v>0</v>
      </c>
      <c r="AV237" s="57">
        <f>IF(ISERROR(IF(B237=C237,K237/C237,IF((INT(K237/B237)+(((K237-B237*INT(K237/B237)))/C237)/100)&lt;0,(INT(K237/B237)+(((K237-B237*INT(K237/B237)))/C237)/100)+(1-(B237/C237/100)),(INT(K237/B237)+(((K237-B237*INT(K237/B237)))/C237)/100)))),0,IF(B237=C237,K237/C237,IF((INT(K237/B237)+(((K237-B237*INT(K237/B237)))/C237)/100)&lt;0,(INT(K237/B237)+(((K237-B237*INT(K237/B237)))/C237)/100)+(1-(B237/C237/100)),(INT(K237/B237)+(((K237-B237*INT(K237/B237)))/C237)/100))))</f>
        <v>0</v>
      </c>
      <c r="AW237" s="57">
        <f>IF(ISERROR(IF(B237=C237,L237/C237,(INT(L237/B237)+(((L237-B237*INT(L237/B237)))/C237)/100))),0,(IF(B237=C237,L237/C237,(INT(L237/B237)+(((L237-B237*INT(L237/B237)))/C237)/100))))</f>
        <v>0</v>
      </c>
      <c r="AX237" s="57">
        <f>IF(ISERROR(IF(B237=C237,M237/C237,(INT(M237/B237)+(((M237-B237*INT(M237/B237)))/C237)/100))),0,(IF(B237=C237,M237/C237,(INT(M237/B237)+(((M237-B237*INT(M237/B237)))/C237)/100))))</f>
        <v>0</v>
      </c>
      <c r="AY237" s="57">
        <f>IF(ISERROR(IF(B237=C237,N237/C237,IF((INT(N237/B237)+(((N237-B237*INT(N237/B237)))/C237)/100)&lt;0,(INT(N237/B237)+(((N237-B237*INT(N237/B237)))/C237)/100)+(1-(B237/C237/100)),(INT(N237/B237)+(((N237-B237*INT(N237/B237)))/C237)/100)))),0,IF(B237=C237,N237/C237,IF((INT(N237/B237)+(((N237-B237*INT(N237/B237)))/C237)/100)&lt;0,(INT(N237/B237)+(((N237-B237*INT(N237/B237)))/C237)/100)+(1-(B237/C237/100)),(INT(N237/B237)+(((N237-B237*INT(N237/B237)))/C237)/100))))</f>
        <v>0</v>
      </c>
      <c r="AZ237" s="57">
        <f>IF(ISERROR(IF(B237=C237,O237/C237,(INT(O237/B237)+(((O237-B237*INT(O237/B237)))/C237)/100))),0,(IF(B237=C237,O237/C237,(INT(O237/B237)+(((O237-B237*INT(O237/B237)))/C237)/100))))</f>
        <v>0</v>
      </c>
      <c r="BA237" s="57">
        <f>IF(ISERROR(IF(B237=C237,P237/C237,IF((INT(P237/B237)+(((P237-B237*INT(P237/B237)))/C237)/100)&lt;0,(INT(P237/B237)+(((P237-B237*INT(P237/B237)))/C237)/100)+(1-(B237/C237/100)),(INT(P237/B237)+(((P237-B237*INT(P237/B237)))/C237)/100)))),0,IF(B237=C237,P237/C237,IF((INT(P237/B237)+(((P237-B237*INT(P237/B237)))/C237)/100)&lt;0,(INT(P237/B237)+(((P237-B237*INT(P237/B237)))/C237)/100)+(1-(B237/C237/100)),(INT(P237/B237)+(((P237-B237*INT(P237/B237)))/C237)/100))))</f>
        <v>0</v>
      </c>
      <c r="BB237" s="28">
        <f>R237</f>
        <v>0</v>
      </c>
      <c r="BC237" s="28">
        <f>S237</f>
        <v>0</v>
      </c>
      <c r="BD237" s="28">
        <f>AF237</f>
        <v>0</v>
      </c>
      <c r="BE237" s="28">
        <f>T237</f>
        <v>0</v>
      </c>
      <c r="BG237" s="57">
        <f>IF(ISERROR(IF(B237=C237,V237/C237,(INT(V237/B237)+(((V237-B237*INT(V237/B237)))/C237)/100))),0,(IF(B237=C237,V237/C237,(INT(V237/B237)+(((V237-B237*INT(V237/B237)))/C237)/100))))</f>
        <v>0</v>
      </c>
      <c r="BH237" s="57">
        <f>IF(ISERROR(IF(B237=C237,W237/C237,(INT(W237/B237)+(((W237-B237*INT(W237/B237)))/C237)/100))),0,(IF(B237=C237,W237/C237,(INT(W237/B237)+(((W237-B237*INT(W237/B237)))/C237)/100))))</f>
        <v>0</v>
      </c>
      <c r="BI237" s="57">
        <f>IF(ISERROR(IF(B237=C237,X237/C237,(INT(X237/B237)+(((X237-B237*INT(X237/B237)))/C237)/100))),0,(IF(B237=C237,X237/C237,(INT(X237/B237)+(((X237-B237*INT(X237/B237)))/C237)/100))))</f>
        <v>0</v>
      </c>
      <c r="BJ237" s="57">
        <f>IF(ISERROR(IF(B237=C237,Y237/C237,(INT(Y237/B237)+(((Y237-B237*INT(Y237/B237)))/C237)/100))),0,(IF(B237=C237,Y237/C237,(INT(Y237/B237)+(((Y237-B237*INT(Y237/B237)))/C237)/100))))</f>
        <v>0</v>
      </c>
      <c r="BL237" s="57">
        <f>IF(ISERROR(IF(B237=C237,AA237/C237,(INT(AA237/B237)+(((AA237-B237*INT(AA237/B237)))/C237)/100))),0,(IF(B237=C237,AA237/C237,(INT(AA237/B237)+(((AA237-B237*INT(AA237/B237)))/C237)/100))))</f>
        <v>0</v>
      </c>
      <c r="BM237" s="57">
        <f>IF(ISERROR(IF(B237=C237,AB237/C237,(INT(AB237/B237)+(((AB237-B237*INT(AB237/B237)))/C237)/100))),0,(IF(B237=C237,AB237/C237,(INT(AB237/B237)+(((AB237-B237*INT(AB237/B237)))/C237)/100))))</f>
        <v>0</v>
      </c>
      <c r="BN237" s="57">
        <f>IF(ISERROR(IF(B237=C237,AC237/C237,(INT(AC237/B237)+(((AC237-B237*INT(AC237/B237)))/C237)/100))),0,(IF(B237=C237,AC237/C237,(INT(AC237/B237)+(((AC237-B237*INT(AC237/B237)))/C237)/100))))</f>
        <v>0</v>
      </c>
      <c r="BO237" s="57">
        <f>IF(ISERROR(IF(B237=C237,AD237/C237,(INT(AD237/B237)+(((AD237-B237*INT(AD237/B237)))/C237)/100))),0,(IF(B237=C237,AD237/C237,(INT(AD237/B237)+(((AD237-B237*INT(AD237/B237)))/C237)/100))))</f>
        <v>0</v>
      </c>
      <c r="BQ237" s="155"/>
    </row>
    <row r="238" spans="1:69" hidden="1" x14ac:dyDescent="0.35">
      <c r="A238" s="94"/>
      <c r="B238" s="113">
        <v>0</v>
      </c>
      <c r="C238" s="113">
        <v>0</v>
      </c>
      <c r="D238" s="28">
        <f>SUM(AA238:AD238)</f>
        <v>0</v>
      </c>
      <c r="E238" s="113">
        <v>0</v>
      </c>
      <c r="F238" s="113">
        <v>0</v>
      </c>
      <c r="G238" s="28">
        <f>SUM(D238:F238)</f>
        <v>0</v>
      </c>
      <c r="H238" s="125">
        <v>0</v>
      </c>
      <c r="I238" s="113">
        <v>0</v>
      </c>
      <c r="J238" s="125">
        <v>0</v>
      </c>
      <c r="K238" s="113">
        <v>0</v>
      </c>
      <c r="L238" s="113">
        <v>0</v>
      </c>
      <c r="M238" s="113">
        <v>0</v>
      </c>
      <c r="N238" s="28">
        <f>G238-SUM(H238:M238)</f>
        <v>0</v>
      </c>
      <c r="O238" s="28">
        <f>SUM(V238:Y238)</f>
        <v>0</v>
      </c>
      <c r="P238" s="28">
        <f>O238-N238</f>
        <v>0</v>
      </c>
      <c r="Q238" s="61" t="str">
        <f>IF(ISERROR(P238/SUM(H238:L238)),"",P238/SUM(H238:L238))</f>
        <v/>
      </c>
      <c r="R238" s="113">
        <v>0</v>
      </c>
      <c r="S238" s="28">
        <f>IF(ISERROR(P238/C238*R238),0,(P238/C238*R238))</f>
        <v>0</v>
      </c>
      <c r="T238" s="60">
        <f>IF(ISERROR(P238/B238*AF238),0,(P238/B238*AF238))</f>
        <v>0</v>
      </c>
      <c r="V238" s="113">
        <v>0</v>
      </c>
      <c r="W238" s="113">
        <v>0</v>
      </c>
      <c r="X238" s="113">
        <v>0</v>
      </c>
      <c r="Y238" s="113">
        <v>0</v>
      </c>
      <c r="AA238" s="113">
        <v>0</v>
      </c>
      <c r="AB238" s="113">
        <v>0</v>
      </c>
      <c r="AC238" s="113">
        <v>0</v>
      </c>
      <c r="AD238" s="113">
        <v>0</v>
      </c>
      <c r="AF238" s="113">
        <v>0</v>
      </c>
      <c r="AG238" s="28">
        <f>G238-O238</f>
        <v>0</v>
      </c>
      <c r="AH238" s="58">
        <f>IF(ISERROR(AG238/B238*AF238),0,(AG238/B238*AF238))</f>
        <v>0</v>
      </c>
      <c r="AI238" s="28">
        <f>SUM(H238:M238)</f>
        <v>0</v>
      </c>
      <c r="AJ238" s="28">
        <f>IF(ISERROR(AI238/B238*AF238),0,(AI238/B238*AF238))</f>
        <v>0</v>
      </c>
      <c r="AK238" s="58">
        <f>IF(ISERROR(O238/B238*AF238),0,(O238/B238*AF238))</f>
        <v>0</v>
      </c>
      <c r="AL238" s="28">
        <f>IF(ISERROR(H238/B238*AF238),0,(H238/B238*AF238))</f>
        <v>0</v>
      </c>
      <c r="AN238" s="51">
        <f>A238</f>
        <v>0</v>
      </c>
      <c r="AO238" s="57">
        <f>IF(ISERROR(IF(B238=C238,D238/C238,(INT(D238/B238)+(((D238-B238*INT(D238/B238)))/C238)/100))),0,(IF(B238=C238,D238/C238,(INT(D238/B238)+(((D238-B238*INT(D238/B238)))/C238)/100))))</f>
        <v>0</v>
      </c>
      <c r="AP238" s="57">
        <f>IF(ISERROR(IF(B238=C238,E238/C238,(INT(E238/B238)+(((E238-B238*INT(E238/B238)))/C238)/100))),0,(IF(B238=C238,E238/C238,(INT(E238/B238)+(((E238-B238*INT(E238/B238)))/C238)/100))))</f>
        <v>0</v>
      </c>
      <c r="AQ238" s="57">
        <f>IF(ISERROR(IF(B238=C238,F238/C238,IF((INT(F238/B238)+(((F238-B238*INT(F238/B238)))/C238)/100)&lt;0,(INT(F238/B238)+(((F238-B238*INT(F238/B238)))/C238)/100)+(1-(B238/C238/100)),(INT(F238/B238)+(((F238-B238*INT(F238/B238)))/C238)/100)))),0,IF(B238=C238,F238/C238,IF((INT(F238/B238)+(((F238-B238*INT(F238/B238)))/C238)/100)&lt;0,(INT(F238/B238)+(((F238-B238*INT(F238/B238)))/C238)/100)+(1-(B238/C238/100)),(INT(F238/B238)+(((F238-B238*INT(F238/B238)))/C238)/100))))</f>
        <v>0</v>
      </c>
      <c r="AR238" s="57">
        <f>IF(ISERROR(IF(B238=C238,G238/C238,(INT(G238/B238)+(((G238-B238*INT(G238/B238)))/C238)/100))),0,(IF(B238=C238,G238/C238,(INT(G238/B238)+(((G238-B238*INT(G238/B238)))/C238)/100))))</f>
        <v>0</v>
      </c>
      <c r="AS238" s="57">
        <f>IF(ISERROR(IF(B238=C238,H238/C238,(INT(H238/B238)+(((H238-B238*INT(H238/B238)))/C238)/100))),0,(IF(B238=C238,H238/C238,(INT(H238/B238)+(((H238-B238*INT(H238/B238)))/C238)/100))))</f>
        <v>0</v>
      </c>
      <c r="AT238" s="57">
        <f>IF(ISERROR(IF(B238=C238,I238/C238,(INT(I238/B238)+(((I238-B238*INT(I238/B238)))/C238)/100))),0,(IF(B238=C238,I238/C238,(INT(I238/B238)+(((I238-B238*INT(I238/B238)))/C238)/100))))</f>
        <v>0</v>
      </c>
      <c r="AU238" s="57">
        <f>IF(ISERROR(IF(B238=C238,J238/C238,(INT(J238/B238)+(((J238-B238*INT(J238/B238)))/C238)/100))),0,(IF(B238=C238,J238/C238,(INT(J238/B238)+(((J238-B238*INT(J238/B238)))/C238)/100))))</f>
        <v>0</v>
      </c>
      <c r="AV238" s="57">
        <f>IF(ISERROR(IF(B238=C238,K238/C238,IF((INT(K238/B238)+(((K238-B238*INT(K238/B238)))/C238)/100)&lt;0,(INT(K238/B238)+(((K238-B238*INT(K238/B238)))/C238)/100)+(1-(B238/C238/100)),(INT(K238/B238)+(((K238-B238*INT(K238/B238)))/C238)/100)))),0,IF(B238=C238,K238/C238,IF((INT(K238/B238)+(((K238-B238*INT(K238/B238)))/C238)/100)&lt;0,(INT(K238/B238)+(((K238-B238*INT(K238/B238)))/C238)/100)+(1-(B238/C238/100)),(INT(K238/B238)+(((K238-B238*INT(K238/B238)))/C238)/100))))</f>
        <v>0</v>
      </c>
      <c r="AW238" s="57">
        <f>IF(ISERROR(IF(B238=C238,L238/C238,(INT(L238/B238)+(((L238-B238*INT(L238/B238)))/C238)/100))),0,(IF(B238=C238,L238/C238,(INT(L238/B238)+(((L238-B238*INT(L238/B238)))/C238)/100))))</f>
        <v>0</v>
      </c>
      <c r="AX238" s="57">
        <f>IF(ISERROR(IF(B238=C238,M238/C238,(INT(M238/B238)+(((M238-B238*INT(M238/B238)))/C238)/100))),0,(IF(B238=C238,M238/C238,(INT(M238/B238)+(((M238-B238*INT(M238/B238)))/C238)/100))))</f>
        <v>0</v>
      </c>
      <c r="AY238" s="57">
        <f>IF(ISERROR(IF(B238=C238,N238/C238,IF((INT(N238/B238)+(((N238-B238*INT(N238/B238)))/C238)/100)&lt;0,(INT(N238/B238)+(((N238-B238*INT(N238/B238)))/C238)/100)+(1-(B238/C238/100)),(INT(N238/B238)+(((N238-B238*INT(N238/B238)))/C238)/100)))),0,IF(B238=C238,N238/C238,IF((INT(N238/B238)+(((N238-B238*INT(N238/B238)))/C238)/100)&lt;0,(INT(N238/B238)+(((N238-B238*INT(N238/B238)))/C238)/100)+(1-(B238/C238/100)),(INT(N238/B238)+(((N238-B238*INT(N238/B238)))/C238)/100))))</f>
        <v>0</v>
      </c>
      <c r="AZ238" s="57">
        <f>IF(ISERROR(IF(B238=C238,O238/C238,(INT(O238/B238)+(((O238-B238*INT(O238/B238)))/C238)/100))),0,(IF(B238=C238,O238/C238,(INT(O238/B238)+(((O238-B238*INT(O238/B238)))/C238)/100))))</f>
        <v>0</v>
      </c>
      <c r="BA238" s="57">
        <f>IF(ISERROR(IF(B238=C238,P238/C238,IF((INT(P238/B238)+(((P238-B238*INT(P238/B238)))/C238)/100)&lt;0,(INT(P238/B238)+(((P238-B238*INT(P238/B238)))/C238)/100)+(1-(B238/C238/100)),(INT(P238/B238)+(((P238-B238*INT(P238/B238)))/C238)/100)))),0,IF(B238=C238,P238/C238,IF((INT(P238/B238)+(((P238-B238*INT(P238/B238)))/C238)/100)&lt;0,(INT(P238/B238)+(((P238-B238*INT(P238/B238)))/C238)/100)+(1-(B238/C238/100)),(INT(P238/B238)+(((P238-B238*INT(P238/B238)))/C238)/100))))</f>
        <v>0</v>
      </c>
      <c r="BB238" s="28">
        <f>R238</f>
        <v>0</v>
      </c>
      <c r="BC238" s="28">
        <f>S238</f>
        <v>0</v>
      </c>
      <c r="BD238" s="28">
        <f>AF238</f>
        <v>0</v>
      </c>
      <c r="BE238" s="28">
        <f>T238</f>
        <v>0</v>
      </c>
      <c r="BG238" s="57">
        <f>IF(ISERROR(IF(B238=C238,V238/C238,(INT(V238/B238)+(((V238-B238*INT(V238/B238)))/C238)/100))),0,(IF(B238=C238,V238/C238,(INT(V238/B238)+(((V238-B238*INT(V238/B238)))/C238)/100))))</f>
        <v>0</v>
      </c>
      <c r="BH238" s="57">
        <f>IF(ISERROR(IF(B238=C238,W238/C238,(INT(W238/B238)+(((W238-B238*INT(W238/B238)))/C238)/100))),0,(IF(B238=C238,W238/C238,(INT(W238/B238)+(((W238-B238*INT(W238/B238)))/C238)/100))))</f>
        <v>0</v>
      </c>
      <c r="BI238" s="57">
        <f>IF(ISERROR(IF(B238=C238,X238/C238,(INT(X238/B238)+(((X238-B238*INT(X238/B238)))/C238)/100))),0,(IF(B238=C238,X238/C238,(INT(X238/B238)+(((X238-B238*INT(X238/B238)))/C238)/100))))</f>
        <v>0</v>
      </c>
      <c r="BJ238" s="57">
        <f>IF(ISERROR(IF(B238=C238,Y238/C238,(INT(Y238/B238)+(((Y238-B238*INT(Y238/B238)))/C238)/100))),0,(IF(B238=C238,Y238/C238,(INT(Y238/B238)+(((Y238-B238*INT(Y238/B238)))/C238)/100))))</f>
        <v>0</v>
      </c>
      <c r="BL238" s="57">
        <f>IF(ISERROR(IF(B238=C238,AA238/C238,(INT(AA238/B238)+(((AA238-B238*INT(AA238/B238)))/C238)/100))),0,(IF(B238=C238,AA238/C238,(INT(AA238/B238)+(((AA238-B238*INT(AA238/B238)))/C238)/100))))</f>
        <v>0</v>
      </c>
      <c r="BM238" s="57">
        <f>IF(ISERROR(IF(B238=C238,AB238/C238,(INT(AB238/B238)+(((AB238-B238*INT(AB238/B238)))/C238)/100))),0,(IF(B238=C238,AB238/C238,(INT(AB238/B238)+(((AB238-B238*INT(AB238/B238)))/C238)/100))))</f>
        <v>0</v>
      </c>
      <c r="BN238" s="57">
        <f>IF(ISERROR(IF(B238=C238,AC238/C238,(INT(AC238/B238)+(((AC238-B238*INT(AC238/B238)))/C238)/100))),0,(IF(B238=C238,AC238/C238,(INT(AC238/B238)+(((AC238-B238*INT(AC238/B238)))/C238)/100))))</f>
        <v>0</v>
      </c>
      <c r="BO238" s="57">
        <f>IF(ISERROR(IF(B238=C238,AD238/C238,(INT(AD238/B238)+(((AD238-B238*INT(AD238/B238)))/C238)/100))),0,(IF(B238=C238,AD238/C238,(INT(AD238/B238)+(((AD238-B238*INT(AD238/B238)))/C238)/100))))</f>
        <v>0</v>
      </c>
      <c r="BQ238" s="155"/>
    </row>
    <row r="239" spans="1:69" hidden="1" x14ac:dyDescent="0.35">
      <c r="A239" s="94"/>
      <c r="B239" s="113">
        <v>0</v>
      </c>
      <c r="C239" s="113">
        <v>0</v>
      </c>
      <c r="D239" s="28">
        <f>SUM(AA239:AD239)</f>
        <v>0</v>
      </c>
      <c r="E239" s="113">
        <v>0</v>
      </c>
      <c r="F239" s="113">
        <v>0</v>
      </c>
      <c r="G239" s="28">
        <f>SUM(D239:F239)</f>
        <v>0</v>
      </c>
      <c r="H239" s="125">
        <v>0</v>
      </c>
      <c r="I239" s="113">
        <v>0</v>
      </c>
      <c r="J239" s="125">
        <v>0</v>
      </c>
      <c r="K239" s="113">
        <v>0</v>
      </c>
      <c r="L239" s="113">
        <v>0</v>
      </c>
      <c r="M239" s="113">
        <v>0</v>
      </c>
      <c r="N239" s="28">
        <f>G239-SUM(H239:M239)</f>
        <v>0</v>
      </c>
      <c r="O239" s="28">
        <f>SUM(V239:Y239)</f>
        <v>0</v>
      </c>
      <c r="P239" s="28">
        <f>O239-N239</f>
        <v>0</v>
      </c>
      <c r="Q239" s="61" t="str">
        <f>IF(ISERROR(P239/SUM(H239:L239)),"",P239/SUM(H239:L239))</f>
        <v/>
      </c>
      <c r="R239" s="113">
        <v>0</v>
      </c>
      <c r="S239" s="28">
        <f>IF(ISERROR(P239/C239*R239),0,(P239/C239*R239))</f>
        <v>0</v>
      </c>
      <c r="T239" s="60">
        <f>IF(ISERROR(P239/B239*AF239),0,(P239/B239*AF239))</f>
        <v>0</v>
      </c>
      <c r="V239" s="113">
        <v>0</v>
      </c>
      <c r="W239" s="113">
        <v>0</v>
      </c>
      <c r="X239" s="113">
        <v>0</v>
      </c>
      <c r="Y239" s="113">
        <v>0</v>
      </c>
      <c r="AA239" s="113">
        <v>0</v>
      </c>
      <c r="AB239" s="113">
        <v>0</v>
      </c>
      <c r="AC239" s="113">
        <v>0</v>
      </c>
      <c r="AD239" s="113">
        <v>0</v>
      </c>
      <c r="AF239" s="113">
        <v>0</v>
      </c>
      <c r="AG239" s="28">
        <f>G239-O239</f>
        <v>0</v>
      </c>
      <c r="AH239" s="58">
        <f>IF(ISERROR(AG239/B239*AF239),0,(AG239/B239*AF239))</f>
        <v>0</v>
      </c>
      <c r="AI239" s="28">
        <f>SUM(H239:M239)</f>
        <v>0</v>
      </c>
      <c r="AJ239" s="28">
        <f>IF(ISERROR(AI239/B239*AF239),0,(AI239/B239*AF239))</f>
        <v>0</v>
      </c>
      <c r="AK239" s="58">
        <f>IF(ISERROR(O239/B239*AF239),0,(O239/B239*AF239))</f>
        <v>0</v>
      </c>
      <c r="AL239" s="28">
        <f>IF(ISERROR(H239/B239*AF239),0,(H239/B239*AF239))</f>
        <v>0</v>
      </c>
      <c r="AN239" s="51">
        <f>A239</f>
        <v>0</v>
      </c>
      <c r="AO239" s="57">
        <f>IF(ISERROR(IF(B239=C239,D239/C239,(INT(D239/B239)+(((D239-B239*INT(D239/B239)))/C239)/100))),0,(IF(B239=C239,D239/C239,(INT(D239/B239)+(((D239-B239*INT(D239/B239)))/C239)/100))))</f>
        <v>0</v>
      </c>
      <c r="AP239" s="57">
        <f>IF(ISERROR(IF(B239=C239,E239/C239,(INT(E239/B239)+(((E239-B239*INT(E239/B239)))/C239)/100))),0,(IF(B239=C239,E239/C239,(INT(E239/B239)+(((E239-B239*INT(E239/B239)))/C239)/100))))</f>
        <v>0</v>
      </c>
      <c r="AQ239" s="57">
        <f>IF(ISERROR(IF(B239=C239,F239/C239,IF((INT(F239/B239)+(((F239-B239*INT(F239/B239)))/C239)/100)&lt;0,(INT(F239/B239)+(((F239-B239*INT(F239/B239)))/C239)/100)+(1-(B239/C239/100)),(INT(F239/B239)+(((F239-B239*INT(F239/B239)))/C239)/100)))),0,IF(B239=C239,F239/C239,IF((INT(F239/B239)+(((F239-B239*INT(F239/B239)))/C239)/100)&lt;0,(INT(F239/B239)+(((F239-B239*INT(F239/B239)))/C239)/100)+(1-(B239/C239/100)),(INT(F239/B239)+(((F239-B239*INT(F239/B239)))/C239)/100))))</f>
        <v>0</v>
      </c>
      <c r="AR239" s="57">
        <f>IF(ISERROR(IF(B239=C239,G239/C239,(INT(G239/B239)+(((G239-B239*INT(G239/B239)))/C239)/100))),0,(IF(B239=C239,G239/C239,(INT(G239/B239)+(((G239-B239*INT(G239/B239)))/C239)/100))))</f>
        <v>0</v>
      </c>
      <c r="AS239" s="57">
        <f>IF(ISERROR(IF(B239=C239,H239/C239,(INT(H239/B239)+(((H239-B239*INT(H239/B239)))/C239)/100))),0,(IF(B239=C239,H239/C239,(INT(H239/B239)+(((H239-B239*INT(H239/B239)))/C239)/100))))</f>
        <v>0</v>
      </c>
      <c r="AT239" s="57">
        <f>IF(ISERROR(IF(B239=C239,I239/C239,(INT(I239/B239)+(((I239-B239*INT(I239/B239)))/C239)/100))),0,(IF(B239=C239,I239/C239,(INT(I239/B239)+(((I239-B239*INT(I239/B239)))/C239)/100))))</f>
        <v>0</v>
      </c>
      <c r="AU239" s="57">
        <f>IF(ISERROR(IF(B239=C239,J239/C239,(INT(J239/B239)+(((J239-B239*INT(J239/B239)))/C239)/100))),0,(IF(B239=C239,J239/C239,(INT(J239/B239)+(((J239-B239*INT(J239/B239)))/C239)/100))))</f>
        <v>0</v>
      </c>
      <c r="AV239" s="57">
        <f>IF(ISERROR(IF(B239=C239,K239/C239,IF((INT(K239/B239)+(((K239-B239*INT(K239/B239)))/C239)/100)&lt;0,(INT(K239/B239)+(((K239-B239*INT(K239/B239)))/C239)/100)+(1-(B239/C239/100)),(INT(K239/B239)+(((K239-B239*INT(K239/B239)))/C239)/100)))),0,IF(B239=C239,K239/C239,IF((INT(K239/B239)+(((K239-B239*INT(K239/B239)))/C239)/100)&lt;0,(INT(K239/B239)+(((K239-B239*INT(K239/B239)))/C239)/100)+(1-(B239/C239/100)),(INT(K239/B239)+(((K239-B239*INT(K239/B239)))/C239)/100))))</f>
        <v>0</v>
      </c>
      <c r="AW239" s="57">
        <f>IF(ISERROR(IF(B239=C239,L239/C239,(INT(L239/B239)+(((L239-B239*INT(L239/B239)))/C239)/100))),0,(IF(B239=C239,L239/C239,(INT(L239/B239)+(((L239-B239*INT(L239/B239)))/C239)/100))))</f>
        <v>0</v>
      </c>
      <c r="AX239" s="57">
        <f>IF(ISERROR(IF(B239=C239,M239/C239,(INT(M239/B239)+(((M239-B239*INT(M239/B239)))/C239)/100))),0,(IF(B239=C239,M239/C239,(INT(M239/B239)+(((M239-B239*INT(M239/B239)))/C239)/100))))</f>
        <v>0</v>
      </c>
      <c r="AY239" s="57">
        <f>IF(ISERROR(IF(B239=C239,N239/C239,IF((INT(N239/B239)+(((N239-B239*INT(N239/B239)))/C239)/100)&lt;0,(INT(N239/B239)+(((N239-B239*INT(N239/B239)))/C239)/100)+(1-(B239/C239/100)),(INT(N239/B239)+(((N239-B239*INT(N239/B239)))/C239)/100)))),0,IF(B239=C239,N239/C239,IF((INT(N239/B239)+(((N239-B239*INT(N239/B239)))/C239)/100)&lt;0,(INT(N239/B239)+(((N239-B239*INT(N239/B239)))/C239)/100)+(1-(B239/C239/100)),(INT(N239/B239)+(((N239-B239*INT(N239/B239)))/C239)/100))))</f>
        <v>0</v>
      </c>
      <c r="AZ239" s="57">
        <f>IF(ISERROR(IF(B239=C239,O239/C239,(INT(O239/B239)+(((O239-B239*INT(O239/B239)))/C239)/100))),0,(IF(B239=C239,O239/C239,(INT(O239/B239)+(((O239-B239*INT(O239/B239)))/C239)/100))))</f>
        <v>0</v>
      </c>
      <c r="BA239" s="57">
        <f>IF(ISERROR(IF(B239=C239,P239/C239,IF((INT(P239/B239)+(((P239-B239*INT(P239/B239)))/C239)/100)&lt;0,(INT(P239/B239)+(((P239-B239*INT(P239/B239)))/C239)/100)+(1-(B239/C239/100)),(INT(P239/B239)+(((P239-B239*INT(P239/B239)))/C239)/100)))),0,IF(B239=C239,P239/C239,IF((INT(P239/B239)+(((P239-B239*INT(P239/B239)))/C239)/100)&lt;0,(INT(P239/B239)+(((P239-B239*INT(P239/B239)))/C239)/100)+(1-(B239/C239/100)),(INT(P239/B239)+(((P239-B239*INT(P239/B239)))/C239)/100))))</f>
        <v>0</v>
      </c>
      <c r="BB239" s="28">
        <f>R239</f>
        <v>0</v>
      </c>
      <c r="BC239" s="28">
        <f>S239</f>
        <v>0</v>
      </c>
      <c r="BD239" s="28">
        <f>AF239</f>
        <v>0</v>
      </c>
      <c r="BE239" s="28">
        <f>T239</f>
        <v>0</v>
      </c>
      <c r="BG239" s="57">
        <f>IF(ISERROR(IF(B239=C239,V239/C239,(INT(V239/B239)+(((V239-B239*INT(V239/B239)))/C239)/100))),0,(IF(B239=C239,V239/C239,(INT(V239/B239)+(((V239-B239*INT(V239/B239)))/C239)/100))))</f>
        <v>0</v>
      </c>
      <c r="BH239" s="57">
        <f>IF(ISERROR(IF(B239=C239,W239/C239,(INT(W239/B239)+(((W239-B239*INT(W239/B239)))/C239)/100))),0,(IF(B239=C239,W239/C239,(INT(W239/B239)+(((W239-B239*INT(W239/B239)))/C239)/100))))</f>
        <v>0</v>
      </c>
      <c r="BI239" s="57">
        <f>IF(ISERROR(IF(B239=C239,X239/C239,(INT(X239/B239)+(((X239-B239*INT(X239/B239)))/C239)/100))),0,(IF(B239=C239,X239/C239,(INT(X239/B239)+(((X239-B239*INT(X239/B239)))/C239)/100))))</f>
        <v>0</v>
      </c>
      <c r="BJ239" s="57">
        <f>IF(ISERROR(IF(B239=C239,Y239/C239,(INT(Y239/B239)+(((Y239-B239*INT(Y239/B239)))/C239)/100))),0,(IF(B239=C239,Y239/C239,(INT(Y239/B239)+(((Y239-B239*INT(Y239/B239)))/C239)/100))))</f>
        <v>0</v>
      </c>
      <c r="BL239" s="57">
        <f>IF(ISERROR(IF(B239=C239,AA239/C239,(INT(AA239/B239)+(((AA239-B239*INT(AA239/B239)))/C239)/100))),0,(IF(B239=C239,AA239/C239,(INT(AA239/B239)+(((AA239-B239*INT(AA239/B239)))/C239)/100))))</f>
        <v>0</v>
      </c>
      <c r="BM239" s="57">
        <f>IF(ISERROR(IF(B239=C239,AB239/C239,(INT(AB239/B239)+(((AB239-B239*INT(AB239/B239)))/C239)/100))),0,(IF(B239=C239,AB239/C239,(INT(AB239/B239)+(((AB239-B239*INT(AB239/B239)))/C239)/100))))</f>
        <v>0</v>
      </c>
      <c r="BN239" s="57">
        <f>IF(ISERROR(IF(B239=C239,AC239/C239,(INT(AC239/B239)+(((AC239-B239*INT(AC239/B239)))/C239)/100))),0,(IF(B239=C239,AC239/C239,(INT(AC239/B239)+(((AC239-B239*INT(AC239/B239)))/C239)/100))))</f>
        <v>0</v>
      </c>
      <c r="BO239" s="57">
        <f>IF(ISERROR(IF(B239=C239,AD239/C239,(INT(AD239/B239)+(((AD239-B239*INT(AD239/B239)))/C239)/100))),0,(IF(B239=C239,AD239/C239,(INT(AD239/B239)+(((AD239-B239*INT(AD239/B239)))/C239)/100))))</f>
        <v>0</v>
      </c>
      <c r="BQ239" s="155"/>
    </row>
    <row r="240" spans="1:69" hidden="1" x14ac:dyDescent="0.35">
      <c r="A240" s="94"/>
      <c r="B240" s="113">
        <v>0</v>
      </c>
      <c r="C240" s="113">
        <v>0</v>
      </c>
      <c r="D240" s="28">
        <f>SUM(AA240:AD240)</f>
        <v>0</v>
      </c>
      <c r="E240" s="113">
        <v>0</v>
      </c>
      <c r="F240" s="113">
        <v>0</v>
      </c>
      <c r="G240" s="28">
        <f>SUM(D240:F240)</f>
        <v>0</v>
      </c>
      <c r="H240" s="125">
        <v>0</v>
      </c>
      <c r="I240" s="113">
        <v>0</v>
      </c>
      <c r="J240" s="125">
        <v>0</v>
      </c>
      <c r="K240" s="113">
        <v>0</v>
      </c>
      <c r="L240" s="113">
        <v>0</v>
      </c>
      <c r="M240" s="113">
        <v>0</v>
      </c>
      <c r="N240" s="28">
        <f>G240-SUM(H240:M240)</f>
        <v>0</v>
      </c>
      <c r="O240" s="28">
        <f>SUM(V240:Y240)</f>
        <v>0</v>
      </c>
      <c r="P240" s="28">
        <f>O240-N240</f>
        <v>0</v>
      </c>
      <c r="Q240" s="61" t="str">
        <f>IF(ISERROR(P240/SUM(H240:L240)),"",P240/SUM(H240:L240))</f>
        <v/>
      </c>
      <c r="R240" s="113">
        <v>0</v>
      </c>
      <c r="S240" s="28">
        <f>IF(ISERROR(P240/C240*R240),0,(P240/C240*R240))</f>
        <v>0</v>
      </c>
      <c r="T240" s="60">
        <f>IF(ISERROR(P240/B240*AF240),0,(P240/B240*AF240))</f>
        <v>0</v>
      </c>
      <c r="V240" s="113">
        <v>0</v>
      </c>
      <c r="W240" s="113">
        <v>0</v>
      </c>
      <c r="X240" s="113">
        <v>0</v>
      </c>
      <c r="Y240" s="113">
        <v>0</v>
      </c>
      <c r="AA240" s="113">
        <v>0</v>
      </c>
      <c r="AB240" s="113">
        <v>0</v>
      </c>
      <c r="AC240" s="113">
        <v>0</v>
      </c>
      <c r="AD240" s="113">
        <v>0</v>
      </c>
      <c r="AF240" s="113">
        <v>0</v>
      </c>
      <c r="AG240" s="28">
        <f>G240-O240</f>
        <v>0</v>
      </c>
      <c r="AH240" s="58">
        <f>IF(ISERROR(AG240/B240*AF240),0,(AG240/B240*AF240))</f>
        <v>0</v>
      </c>
      <c r="AI240" s="28">
        <f>SUM(H240:M240)</f>
        <v>0</v>
      </c>
      <c r="AJ240" s="28">
        <f>IF(ISERROR(AI240/B240*AF240),0,(AI240/B240*AF240))</f>
        <v>0</v>
      </c>
      <c r="AK240" s="58">
        <f>IF(ISERROR(O240/B240*AF240),0,(O240/B240*AF240))</f>
        <v>0</v>
      </c>
      <c r="AL240" s="28">
        <f>IF(ISERROR(H240/B240*AF240),0,(H240/B240*AF240))</f>
        <v>0</v>
      </c>
      <c r="AN240" s="51">
        <f>A240</f>
        <v>0</v>
      </c>
      <c r="AO240" s="57">
        <f>IF(ISERROR(IF(B240=C240,D240/C240,(INT(D240/B240)+(((D240-B240*INT(D240/B240)))/C240)/100))),0,(IF(B240=C240,D240/C240,(INT(D240/B240)+(((D240-B240*INT(D240/B240)))/C240)/100))))</f>
        <v>0</v>
      </c>
      <c r="AP240" s="57">
        <f>IF(ISERROR(IF(B240=C240,E240/C240,(INT(E240/B240)+(((E240-B240*INT(E240/B240)))/C240)/100))),0,(IF(B240=C240,E240/C240,(INT(E240/B240)+(((E240-B240*INT(E240/B240)))/C240)/100))))</f>
        <v>0</v>
      </c>
      <c r="AQ240" s="57">
        <f>IF(ISERROR(IF(B240=C240,F240/C240,IF((INT(F240/B240)+(((F240-B240*INT(F240/B240)))/C240)/100)&lt;0,(INT(F240/B240)+(((F240-B240*INT(F240/B240)))/C240)/100)+(1-(B240/C240/100)),(INT(F240/B240)+(((F240-B240*INT(F240/B240)))/C240)/100)))),0,IF(B240=C240,F240/C240,IF((INT(F240/B240)+(((F240-B240*INT(F240/B240)))/C240)/100)&lt;0,(INT(F240/B240)+(((F240-B240*INT(F240/B240)))/C240)/100)+(1-(B240/C240/100)),(INT(F240/B240)+(((F240-B240*INT(F240/B240)))/C240)/100))))</f>
        <v>0</v>
      </c>
      <c r="AR240" s="57">
        <f>IF(ISERROR(IF(B240=C240,G240/C240,(INT(G240/B240)+(((G240-B240*INT(G240/B240)))/C240)/100))),0,(IF(B240=C240,G240/C240,(INT(G240/B240)+(((G240-B240*INT(G240/B240)))/C240)/100))))</f>
        <v>0</v>
      </c>
      <c r="AS240" s="57">
        <f>IF(ISERROR(IF(B240=C240,H240/C240,(INT(H240/B240)+(((H240-B240*INT(H240/B240)))/C240)/100))),0,(IF(B240=C240,H240/C240,(INT(H240/B240)+(((H240-B240*INT(H240/B240)))/C240)/100))))</f>
        <v>0</v>
      </c>
      <c r="AT240" s="57">
        <f>IF(ISERROR(IF(B240=C240,I240/C240,(INT(I240/B240)+(((I240-B240*INT(I240/B240)))/C240)/100))),0,(IF(B240=C240,I240/C240,(INT(I240/B240)+(((I240-B240*INT(I240/B240)))/C240)/100))))</f>
        <v>0</v>
      </c>
      <c r="AU240" s="57">
        <f>IF(ISERROR(IF(B240=C240,J240/C240,(INT(J240/B240)+(((J240-B240*INT(J240/B240)))/C240)/100))),0,(IF(B240=C240,J240/C240,(INT(J240/B240)+(((J240-B240*INT(J240/B240)))/C240)/100))))</f>
        <v>0</v>
      </c>
      <c r="AV240" s="57">
        <f>IF(ISERROR(IF(B240=C240,K240/C240,IF((INT(K240/B240)+(((K240-B240*INT(K240/B240)))/C240)/100)&lt;0,(INT(K240/B240)+(((K240-B240*INT(K240/B240)))/C240)/100)+(1-(B240/C240/100)),(INT(K240/B240)+(((K240-B240*INT(K240/B240)))/C240)/100)))),0,IF(B240=C240,K240/C240,IF((INT(K240/B240)+(((K240-B240*INT(K240/B240)))/C240)/100)&lt;0,(INT(K240/B240)+(((K240-B240*INT(K240/B240)))/C240)/100)+(1-(B240/C240/100)),(INT(K240/B240)+(((K240-B240*INT(K240/B240)))/C240)/100))))</f>
        <v>0</v>
      </c>
      <c r="AW240" s="57">
        <f>IF(ISERROR(IF(B240=C240,L240/C240,(INT(L240/B240)+(((L240-B240*INT(L240/B240)))/C240)/100))),0,(IF(B240=C240,L240/C240,(INT(L240/B240)+(((L240-B240*INT(L240/B240)))/C240)/100))))</f>
        <v>0</v>
      </c>
      <c r="AX240" s="57">
        <f>IF(ISERROR(IF(B240=C240,M240/C240,(INT(M240/B240)+(((M240-B240*INT(M240/B240)))/C240)/100))),0,(IF(B240=C240,M240/C240,(INT(M240/B240)+(((M240-B240*INT(M240/B240)))/C240)/100))))</f>
        <v>0</v>
      </c>
      <c r="AY240" s="57">
        <f>IF(ISERROR(IF(B240=C240,N240/C240,IF((INT(N240/B240)+(((N240-B240*INT(N240/B240)))/C240)/100)&lt;0,(INT(N240/B240)+(((N240-B240*INT(N240/B240)))/C240)/100)+(1-(B240/C240/100)),(INT(N240/B240)+(((N240-B240*INT(N240/B240)))/C240)/100)))),0,IF(B240=C240,N240/C240,IF((INT(N240/B240)+(((N240-B240*INT(N240/B240)))/C240)/100)&lt;0,(INT(N240/B240)+(((N240-B240*INT(N240/B240)))/C240)/100)+(1-(B240/C240/100)),(INT(N240/B240)+(((N240-B240*INT(N240/B240)))/C240)/100))))</f>
        <v>0</v>
      </c>
      <c r="AZ240" s="57">
        <f>IF(ISERROR(IF(B240=C240,O240/C240,(INT(O240/B240)+(((O240-B240*INT(O240/B240)))/C240)/100))),0,(IF(B240=C240,O240/C240,(INT(O240/B240)+(((O240-B240*INT(O240/B240)))/C240)/100))))</f>
        <v>0</v>
      </c>
      <c r="BA240" s="57">
        <f>IF(ISERROR(IF(B240=C240,P240/C240,IF((INT(P240/B240)+(((P240-B240*INT(P240/B240)))/C240)/100)&lt;0,(INT(P240/B240)+(((P240-B240*INT(P240/B240)))/C240)/100)+(1-(B240/C240/100)),(INT(P240/B240)+(((P240-B240*INT(P240/B240)))/C240)/100)))),0,IF(B240=C240,P240/C240,IF((INT(P240/B240)+(((P240-B240*INT(P240/B240)))/C240)/100)&lt;0,(INT(P240/B240)+(((P240-B240*INT(P240/B240)))/C240)/100)+(1-(B240/C240/100)),(INT(P240/B240)+(((P240-B240*INT(P240/B240)))/C240)/100))))</f>
        <v>0</v>
      </c>
      <c r="BB240" s="28">
        <f>R240</f>
        <v>0</v>
      </c>
      <c r="BC240" s="28">
        <f>S240</f>
        <v>0</v>
      </c>
      <c r="BD240" s="28">
        <f>AF240</f>
        <v>0</v>
      </c>
      <c r="BE240" s="28">
        <f>T240</f>
        <v>0</v>
      </c>
      <c r="BG240" s="57">
        <f>IF(ISERROR(IF(B240=C240,V240/C240,(INT(V240/B240)+(((V240-B240*INT(V240/B240)))/C240)/100))),0,(IF(B240=C240,V240/C240,(INT(V240/B240)+(((V240-B240*INT(V240/B240)))/C240)/100))))</f>
        <v>0</v>
      </c>
      <c r="BH240" s="57">
        <f>IF(ISERROR(IF(B240=C240,W240/C240,(INT(W240/B240)+(((W240-B240*INT(W240/B240)))/C240)/100))),0,(IF(B240=C240,W240/C240,(INT(W240/B240)+(((W240-B240*INT(W240/B240)))/C240)/100))))</f>
        <v>0</v>
      </c>
      <c r="BI240" s="57">
        <f>IF(ISERROR(IF(B240=C240,X240/C240,(INT(X240/B240)+(((X240-B240*INT(X240/B240)))/C240)/100))),0,(IF(B240=C240,X240/C240,(INT(X240/B240)+(((X240-B240*INT(X240/B240)))/C240)/100))))</f>
        <v>0</v>
      </c>
      <c r="BJ240" s="57">
        <f>IF(ISERROR(IF(B240=C240,Y240/C240,(INT(Y240/B240)+(((Y240-B240*INT(Y240/B240)))/C240)/100))),0,(IF(B240=C240,Y240/C240,(INT(Y240/B240)+(((Y240-B240*INT(Y240/B240)))/C240)/100))))</f>
        <v>0</v>
      </c>
      <c r="BL240" s="57">
        <f>IF(ISERROR(IF(B240=C240,AA240/C240,(INT(AA240/B240)+(((AA240-B240*INT(AA240/B240)))/C240)/100))),0,(IF(B240=C240,AA240/C240,(INT(AA240/B240)+(((AA240-B240*INT(AA240/B240)))/C240)/100))))</f>
        <v>0</v>
      </c>
      <c r="BM240" s="57">
        <f>IF(ISERROR(IF(B240=C240,AB240/C240,(INT(AB240/B240)+(((AB240-B240*INT(AB240/B240)))/C240)/100))),0,(IF(B240=C240,AB240/C240,(INT(AB240/B240)+(((AB240-B240*INT(AB240/B240)))/C240)/100))))</f>
        <v>0</v>
      </c>
      <c r="BN240" s="57">
        <f>IF(ISERROR(IF(B240=C240,AC240/C240,(INT(AC240/B240)+(((AC240-B240*INT(AC240/B240)))/C240)/100))),0,(IF(B240=C240,AC240/C240,(INT(AC240/B240)+(((AC240-B240*INT(AC240/B240)))/C240)/100))))</f>
        <v>0</v>
      </c>
      <c r="BO240" s="57">
        <f>IF(ISERROR(IF(B240=C240,AD240/C240,(INT(AD240/B240)+(((AD240-B240*INT(AD240/B240)))/C240)/100))),0,(IF(B240=C240,AD240/C240,(INT(AD240/B240)+(((AD240-B240*INT(AD240/B240)))/C240)/100))))</f>
        <v>0</v>
      </c>
      <c r="BQ240" s="155"/>
    </row>
    <row r="241" spans="1:69" hidden="1" x14ac:dyDescent="0.35">
      <c r="A241" s="94"/>
      <c r="B241" s="113">
        <v>0</v>
      </c>
      <c r="C241" s="113">
        <v>0</v>
      </c>
      <c r="D241" s="28">
        <f>SUM(AA241:AD241)</f>
        <v>0</v>
      </c>
      <c r="E241" s="113">
        <v>0</v>
      </c>
      <c r="F241" s="113">
        <v>0</v>
      </c>
      <c r="G241" s="28">
        <f>SUM(D241:F241)</f>
        <v>0</v>
      </c>
      <c r="H241" s="125">
        <v>0</v>
      </c>
      <c r="I241" s="113">
        <v>0</v>
      </c>
      <c r="J241" s="125">
        <v>0</v>
      </c>
      <c r="K241" s="113">
        <v>0</v>
      </c>
      <c r="L241" s="113">
        <v>0</v>
      </c>
      <c r="M241" s="113">
        <v>0</v>
      </c>
      <c r="N241" s="28">
        <f>G241-SUM(H241:M241)</f>
        <v>0</v>
      </c>
      <c r="O241" s="28">
        <f>SUM(V241:Y241)</f>
        <v>0</v>
      </c>
      <c r="P241" s="28">
        <f>O241-N241</f>
        <v>0</v>
      </c>
      <c r="Q241" s="61" t="str">
        <f>IF(ISERROR(P241/SUM(H241:L241)),"",P241/SUM(H241:L241))</f>
        <v/>
      </c>
      <c r="R241" s="113">
        <v>0</v>
      </c>
      <c r="S241" s="28">
        <f>IF(ISERROR(P241/C241*R241),0,(P241/C241*R241))</f>
        <v>0</v>
      </c>
      <c r="T241" s="60">
        <f>IF(ISERROR(P241/B241*AF241),0,(P241/B241*AF241))</f>
        <v>0</v>
      </c>
      <c r="V241" s="113">
        <v>0</v>
      </c>
      <c r="W241" s="113">
        <v>0</v>
      </c>
      <c r="X241" s="113">
        <v>0</v>
      </c>
      <c r="Y241" s="113">
        <v>0</v>
      </c>
      <c r="AA241" s="113">
        <v>0</v>
      </c>
      <c r="AB241" s="113">
        <v>0</v>
      </c>
      <c r="AC241" s="113">
        <v>0</v>
      </c>
      <c r="AD241" s="113">
        <v>0</v>
      </c>
      <c r="AF241" s="113">
        <v>0</v>
      </c>
      <c r="AG241" s="28">
        <f>G241-O241</f>
        <v>0</v>
      </c>
      <c r="AH241" s="58">
        <f>IF(ISERROR(AG241/B241*AF241),0,(AG241/B241*AF241))</f>
        <v>0</v>
      </c>
      <c r="AI241" s="28">
        <f>SUM(H241:M241)</f>
        <v>0</v>
      </c>
      <c r="AJ241" s="28">
        <f>IF(ISERROR(AI241/B241*AF241),0,(AI241/B241*AF241))</f>
        <v>0</v>
      </c>
      <c r="AK241" s="58">
        <f>IF(ISERROR(O241/B241*AF241),0,(O241/B241*AF241))</f>
        <v>0</v>
      </c>
      <c r="AL241" s="28">
        <f>IF(ISERROR(H241/B241*AF241),0,(H241/B241*AF241))</f>
        <v>0</v>
      </c>
      <c r="AN241" s="51">
        <f>A241</f>
        <v>0</v>
      </c>
      <c r="AO241" s="57">
        <f>IF(ISERROR(IF(B241=C241,D241/C241,(INT(D241/B241)+(((D241-B241*INT(D241/B241)))/C241)/100))),0,(IF(B241=C241,D241/C241,(INT(D241/B241)+(((D241-B241*INT(D241/B241)))/C241)/100))))</f>
        <v>0</v>
      </c>
      <c r="AP241" s="57">
        <f>IF(ISERROR(IF(B241=C241,E241/C241,(INT(E241/B241)+(((E241-B241*INT(E241/B241)))/C241)/100))),0,(IF(B241=C241,E241/C241,(INT(E241/B241)+(((E241-B241*INT(E241/B241)))/C241)/100))))</f>
        <v>0</v>
      </c>
      <c r="AQ241" s="57">
        <f>IF(ISERROR(IF(B241=C241,F241/C241,IF((INT(F241/B241)+(((F241-B241*INT(F241/B241)))/C241)/100)&lt;0,(INT(F241/B241)+(((F241-B241*INT(F241/B241)))/C241)/100)+(1-(B241/C241/100)),(INT(F241/B241)+(((F241-B241*INT(F241/B241)))/C241)/100)))),0,IF(B241=C241,F241/C241,IF((INT(F241/B241)+(((F241-B241*INT(F241/B241)))/C241)/100)&lt;0,(INT(F241/B241)+(((F241-B241*INT(F241/B241)))/C241)/100)+(1-(B241/C241/100)),(INT(F241/B241)+(((F241-B241*INT(F241/B241)))/C241)/100))))</f>
        <v>0</v>
      </c>
      <c r="AR241" s="57">
        <f>IF(ISERROR(IF(B241=C241,G241/C241,(INT(G241/B241)+(((G241-B241*INT(G241/B241)))/C241)/100))),0,(IF(B241=C241,G241/C241,(INT(G241/B241)+(((G241-B241*INT(G241/B241)))/C241)/100))))</f>
        <v>0</v>
      </c>
      <c r="AS241" s="57">
        <f>IF(ISERROR(IF(B241=C241,H241/C241,(INT(H241/B241)+(((H241-B241*INT(H241/B241)))/C241)/100))),0,(IF(B241=C241,H241/C241,(INT(H241/B241)+(((H241-B241*INT(H241/B241)))/C241)/100))))</f>
        <v>0</v>
      </c>
      <c r="AT241" s="57">
        <f>IF(ISERROR(IF(B241=C241,I241/C241,(INT(I241/B241)+(((I241-B241*INT(I241/B241)))/C241)/100))),0,(IF(B241=C241,I241/C241,(INT(I241/B241)+(((I241-B241*INT(I241/B241)))/C241)/100))))</f>
        <v>0</v>
      </c>
      <c r="AU241" s="57">
        <f>IF(ISERROR(IF(B241=C241,J241/C241,(INT(J241/B241)+(((J241-B241*INT(J241/B241)))/C241)/100))),0,(IF(B241=C241,J241/C241,(INT(J241/B241)+(((J241-B241*INT(J241/B241)))/C241)/100))))</f>
        <v>0</v>
      </c>
      <c r="AV241" s="57">
        <f>IF(ISERROR(IF(B241=C241,K241/C241,IF((INT(K241/B241)+(((K241-B241*INT(K241/B241)))/C241)/100)&lt;0,(INT(K241/B241)+(((K241-B241*INT(K241/B241)))/C241)/100)+(1-(B241/C241/100)),(INT(K241/B241)+(((K241-B241*INT(K241/B241)))/C241)/100)))),0,IF(B241=C241,K241/C241,IF((INT(K241/B241)+(((K241-B241*INT(K241/B241)))/C241)/100)&lt;0,(INT(K241/B241)+(((K241-B241*INT(K241/B241)))/C241)/100)+(1-(B241/C241/100)),(INT(K241/B241)+(((K241-B241*INT(K241/B241)))/C241)/100))))</f>
        <v>0</v>
      </c>
      <c r="AW241" s="57">
        <f>IF(ISERROR(IF(B241=C241,L241/C241,(INT(L241/B241)+(((L241-B241*INT(L241/B241)))/C241)/100))),0,(IF(B241=C241,L241/C241,(INT(L241/B241)+(((L241-B241*INT(L241/B241)))/C241)/100))))</f>
        <v>0</v>
      </c>
      <c r="AX241" s="57">
        <f>IF(ISERROR(IF(B241=C241,M241/C241,(INT(M241/B241)+(((M241-B241*INT(M241/B241)))/C241)/100))),0,(IF(B241=C241,M241/C241,(INT(M241/B241)+(((M241-B241*INT(M241/B241)))/C241)/100))))</f>
        <v>0</v>
      </c>
      <c r="AY241" s="57">
        <f>IF(ISERROR(IF(B241=C241,N241/C241,IF((INT(N241/B241)+(((N241-B241*INT(N241/B241)))/C241)/100)&lt;0,(INT(N241/B241)+(((N241-B241*INT(N241/B241)))/C241)/100)+(1-(B241/C241/100)),(INT(N241/B241)+(((N241-B241*INT(N241/B241)))/C241)/100)))),0,IF(B241=C241,N241/C241,IF((INT(N241/B241)+(((N241-B241*INT(N241/B241)))/C241)/100)&lt;0,(INT(N241/B241)+(((N241-B241*INT(N241/B241)))/C241)/100)+(1-(B241/C241/100)),(INT(N241/B241)+(((N241-B241*INT(N241/B241)))/C241)/100))))</f>
        <v>0</v>
      </c>
      <c r="AZ241" s="57">
        <f>IF(ISERROR(IF(B241=C241,O241/C241,(INT(O241/B241)+(((O241-B241*INT(O241/B241)))/C241)/100))),0,(IF(B241=C241,O241/C241,(INT(O241/B241)+(((O241-B241*INT(O241/B241)))/C241)/100))))</f>
        <v>0</v>
      </c>
      <c r="BA241" s="57">
        <f>IF(ISERROR(IF(B241=C241,P241/C241,IF((INT(P241/B241)+(((P241-B241*INT(P241/B241)))/C241)/100)&lt;0,(INT(P241/B241)+(((P241-B241*INT(P241/B241)))/C241)/100)+(1-(B241/C241/100)),(INT(P241/B241)+(((P241-B241*INT(P241/B241)))/C241)/100)))),0,IF(B241=C241,P241/C241,IF((INT(P241/B241)+(((P241-B241*INT(P241/B241)))/C241)/100)&lt;0,(INT(P241/B241)+(((P241-B241*INT(P241/B241)))/C241)/100)+(1-(B241/C241/100)),(INT(P241/B241)+(((P241-B241*INT(P241/B241)))/C241)/100))))</f>
        <v>0</v>
      </c>
      <c r="BB241" s="28">
        <f>R241</f>
        <v>0</v>
      </c>
      <c r="BC241" s="28">
        <f>S241</f>
        <v>0</v>
      </c>
      <c r="BD241" s="28">
        <f>AF241</f>
        <v>0</v>
      </c>
      <c r="BE241" s="28">
        <f>T241</f>
        <v>0</v>
      </c>
      <c r="BG241" s="57">
        <f>IF(ISERROR(IF(B241=C241,V241/C241,(INT(V241/B241)+(((V241-B241*INT(V241/B241)))/C241)/100))),0,(IF(B241=C241,V241/C241,(INT(V241/B241)+(((V241-B241*INT(V241/B241)))/C241)/100))))</f>
        <v>0</v>
      </c>
      <c r="BH241" s="57">
        <f>IF(ISERROR(IF(B241=C241,W241/C241,(INT(W241/B241)+(((W241-B241*INT(W241/B241)))/C241)/100))),0,(IF(B241=C241,W241/C241,(INT(W241/B241)+(((W241-B241*INT(W241/B241)))/C241)/100))))</f>
        <v>0</v>
      </c>
      <c r="BI241" s="57">
        <f>IF(ISERROR(IF(B241=C241,X241/C241,(INT(X241/B241)+(((X241-B241*INT(X241/B241)))/C241)/100))),0,(IF(B241=C241,X241/C241,(INT(X241/B241)+(((X241-B241*INT(X241/B241)))/C241)/100))))</f>
        <v>0</v>
      </c>
      <c r="BJ241" s="57">
        <f>IF(ISERROR(IF(B241=C241,Y241/C241,(INT(Y241/B241)+(((Y241-B241*INT(Y241/B241)))/C241)/100))),0,(IF(B241=C241,Y241/C241,(INT(Y241/B241)+(((Y241-B241*INT(Y241/B241)))/C241)/100))))</f>
        <v>0</v>
      </c>
      <c r="BL241" s="57">
        <f>IF(ISERROR(IF(B241=C241,AA241/C241,(INT(AA241/B241)+(((AA241-B241*INT(AA241/B241)))/C241)/100))),0,(IF(B241=C241,AA241/C241,(INT(AA241/B241)+(((AA241-B241*INT(AA241/B241)))/C241)/100))))</f>
        <v>0</v>
      </c>
      <c r="BM241" s="57">
        <f>IF(ISERROR(IF(B241=C241,AB241/C241,(INT(AB241/B241)+(((AB241-B241*INT(AB241/B241)))/C241)/100))),0,(IF(B241=C241,AB241/C241,(INT(AB241/B241)+(((AB241-B241*INT(AB241/B241)))/C241)/100))))</f>
        <v>0</v>
      </c>
      <c r="BN241" s="57">
        <f>IF(ISERROR(IF(B241=C241,AC241/C241,(INT(AC241/B241)+(((AC241-B241*INT(AC241/B241)))/C241)/100))),0,(IF(B241=C241,AC241/C241,(INT(AC241/B241)+(((AC241-B241*INT(AC241/B241)))/C241)/100))))</f>
        <v>0</v>
      </c>
      <c r="BO241" s="57">
        <f>IF(ISERROR(IF(B241=C241,AD241/C241,(INT(AD241/B241)+(((AD241-B241*INT(AD241/B241)))/C241)/100))),0,(IF(B241=C241,AD241/C241,(INT(AD241/B241)+(((AD241-B241*INT(AD241/B241)))/C241)/100))))</f>
        <v>0</v>
      </c>
      <c r="BQ241" s="155"/>
    </row>
    <row r="242" spans="1:69" hidden="1" x14ac:dyDescent="0.35">
      <c r="A242" s="94"/>
      <c r="B242" s="113">
        <v>0</v>
      </c>
      <c r="C242" s="113">
        <v>0</v>
      </c>
      <c r="D242" s="28">
        <f>SUM(AA242:AD242)</f>
        <v>0</v>
      </c>
      <c r="E242" s="113">
        <v>0</v>
      </c>
      <c r="F242" s="113">
        <v>0</v>
      </c>
      <c r="G242" s="28">
        <f>SUM(D242:F242)</f>
        <v>0</v>
      </c>
      <c r="H242" s="125">
        <v>0</v>
      </c>
      <c r="I242" s="113">
        <v>0</v>
      </c>
      <c r="J242" s="125">
        <v>0</v>
      </c>
      <c r="K242" s="113">
        <v>0</v>
      </c>
      <c r="L242" s="113">
        <v>0</v>
      </c>
      <c r="M242" s="113">
        <v>0</v>
      </c>
      <c r="N242" s="28">
        <f>G242-SUM(H242:M242)</f>
        <v>0</v>
      </c>
      <c r="O242" s="28">
        <f>SUM(V242:Y242)</f>
        <v>0</v>
      </c>
      <c r="P242" s="28">
        <f>O242-N242</f>
        <v>0</v>
      </c>
      <c r="Q242" s="61" t="str">
        <f>IF(ISERROR(P242/SUM(H242:L242)),"",P242/SUM(H242:L242))</f>
        <v/>
      </c>
      <c r="R242" s="113">
        <v>0</v>
      </c>
      <c r="S242" s="28">
        <f>IF(ISERROR(P242/C242*R242),0,(P242/C242*R242))</f>
        <v>0</v>
      </c>
      <c r="T242" s="60">
        <f>IF(ISERROR(P242/B242*AF242),0,(P242/B242*AF242))</f>
        <v>0</v>
      </c>
      <c r="V242" s="113">
        <v>0</v>
      </c>
      <c r="W242" s="113">
        <v>0</v>
      </c>
      <c r="X242" s="113">
        <v>0</v>
      </c>
      <c r="Y242" s="113">
        <v>0</v>
      </c>
      <c r="AA242" s="113">
        <v>0</v>
      </c>
      <c r="AB242" s="113">
        <v>0</v>
      </c>
      <c r="AC242" s="113">
        <v>0</v>
      </c>
      <c r="AD242" s="113">
        <v>0</v>
      </c>
      <c r="AF242" s="113">
        <v>0</v>
      </c>
      <c r="AG242" s="28">
        <f>G242-O242</f>
        <v>0</v>
      </c>
      <c r="AH242" s="58">
        <f>IF(ISERROR(AG242/B242*AF242),0,(AG242/B242*AF242))</f>
        <v>0</v>
      </c>
      <c r="AI242" s="28">
        <f>SUM(H242:M242)</f>
        <v>0</v>
      </c>
      <c r="AJ242" s="28">
        <f>IF(ISERROR(AI242/B242*AF242),0,(AI242/B242*AF242))</f>
        <v>0</v>
      </c>
      <c r="AK242" s="58">
        <f>IF(ISERROR(O242/B242*AF242),0,(O242/B242*AF242))</f>
        <v>0</v>
      </c>
      <c r="AL242" s="28">
        <f>IF(ISERROR(H242/B242*AF242),0,(H242/B242*AF242))</f>
        <v>0</v>
      </c>
      <c r="AN242" s="51">
        <f>A242</f>
        <v>0</v>
      </c>
      <c r="AO242" s="57">
        <f>IF(ISERROR(IF(B242=C242,D242/C242,(INT(D242/B242)+(((D242-B242*INT(D242/B242)))/C242)/100))),0,(IF(B242=C242,D242/C242,(INT(D242/B242)+(((D242-B242*INT(D242/B242)))/C242)/100))))</f>
        <v>0</v>
      </c>
      <c r="AP242" s="57">
        <f>IF(ISERROR(IF(B242=C242,E242/C242,(INT(E242/B242)+(((E242-B242*INT(E242/B242)))/C242)/100))),0,(IF(B242=C242,E242/C242,(INT(E242/B242)+(((E242-B242*INT(E242/B242)))/C242)/100))))</f>
        <v>0</v>
      </c>
      <c r="AQ242" s="57">
        <f>IF(ISERROR(IF(B242=C242,F242/C242,IF((INT(F242/B242)+(((F242-B242*INT(F242/B242)))/C242)/100)&lt;0,(INT(F242/B242)+(((F242-B242*INT(F242/B242)))/C242)/100)+(1-(B242/C242/100)),(INT(F242/B242)+(((F242-B242*INT(F242/B242)))/C242)/100)))),0,IF(B242=C242,F242/C242,IF((INT(F242/B242)+(((F242-B242*INT(F242/B242)))/C242)/100)&lt;0,(INT(F242/B242)+(((F242-B242*INT(F242/B242)))/C242)/100)+(1-(B242/C242/100)),(INT(F242/B242)+(((F242-B242*INT(F242/B242)))/C242)/100))))</f>
        <v>0</v>
      </c>
      <c r="AR242" s="57">
        <f>IF(ISERROR(IF(B242=C242,G242/C242,(INT(G242/B242)+(((G242-B242*INT(G242/B242)))/C242)/100))),0,(IF(B242=C242,G242/C242,(INT(G242/B242)+(((G242-B242*INT(G242/B242)))/C242)/100))))</f>
        <v>0</v>
      </c>
      <c r="AS242" s="57">
        <f>IF(ISERROR(IF(B242=C242,H242/C242,(INT(H242/B242)+(((H242-B242*INT(H242/B242)))/C242)/100))),0,(IF(B242=C242,H242/C242,(INT(H242/B242)+(((H242-B242*INT(H242/B242)))/C242)/100))))</f>
        <v>0</v>
      </c>
      <c r="AT242" s="57">
        <f>IF(ISERROR(IF(B242=C242,I242/C242,(INT(I242/B242)+(((I242-B242*INT(I242/B242)))/C242)/100))),0,(IF(B242=C242,I242/C242,(INT(I242/B242)+(((I242-B242*INT(I242/B242)))/C242)/100))))</f>
        <v>0</v>
      </c>
      <c r="AU242" s="57">
        <f>IF(ISERROR(IF(B242=C242,J242/C242,(INT(J242/B242)+(((J242-B242*INT(J242/B242)))/C242)/100))),0,(IF(B242=C242,J242/C242,(INT(J242/B242)+(((J242-B242*INT(J242/B242)))/C242)/100))))</f>
        <v>0</v>
      </c>
      <c r="AV242" s="57">
        <f>IF(ISERROR(IF(B242=C242,K242/C242,IF((INT(K242/B242)+(((K242-B242*INT(K242/B242)))/C242)/100)&lt;0,(INT(K242/B242)+(((K242-B242*INT(K242/B242)))/C242)/100)+(1-(B242/C242/100)),(INT(K242/B242)+(((K242-B242*INT(K242/B242)))/C242)/100)))),0,IF(B242=C242,K242/C242,IF((INT(K242/B242)+(((K242-B242*INT(K242/B242)))/C242)/100)&lt;0,(INT(K242/B242)+(((K242-B242*INT(K242/B242)))/C242)/100)+(1-(B242/C242/100)),(INT(K242/B242)+(((K242-B242*INT(K242/B242)))/C242)/100))))</f>
        <v>0</v>
      </c>
      <c r="AW242" s="57">
        <f>IF(ISERROR(IF(B242=C242,L242/C242,(INT(L242/B242)+(((L242-B242*INT(L242/B242)))/C242)/100))),0,(IF(B242=C242,L242/C242,(INT(L242/B242)+(((L242-B242*INT(L242/B242)))/C242)/100))))</f>
        <v>0</v>
      </c>
      <c r="AX242" s="57">
        <f>IF(ISERROR(IF(B242=C242,M242/C242,(INT(M242/B242)+(((M242-B242*INT(M242/B242)))/C242)/100))),0,(IF(B242=C242,M242/C242,(INT(M242/B242)+(((M242-B242*INT(M242/B242)))/C242)/100))))</f>
        <v>0</v>
      </c>
      <c r="AY242" s="57">
        <f>IF(ISERROR(IF(B242=C242,N242/C242,IF((INT(N242/B242)+(((N242-B242*INT(N242/B242)))/C242)/100)&lt;0,(INT(N242/B242)+(((N242-B242*INT(N242/B242)))/C242)/100)+(1-(B242/C242/100)),(INT(N242/B242)+(((N242-B242*INT(N242/B242)))/C242)/100)))),0,IF(B242=C242,N242/C242,IF((INT(N242/B242)+(((N242-B242*INT(N242/B242)))/C242)/100)&lt;0,(INT(N242/B242)+(((N242-B242*INT(N242/B242)))/C242)/100)+(1-(B242/C242/100)),(INT(N242/B242)+(((N242-B242*INT(N242/B242)))/C242)/100))))</f>
        <v>0</v>
      </c>
      <c r="AZ242" s="57">
        <f>IF(ISERROR(IF(B242=C242,O242/C242,(INT(O242/B242)+(((O242-B242*INT(O242/B242)))/C242)/100))),0,(IF(B242=C242,O242/C242,(INT(O242/B242)+(((O242-B242*INT(O242/B242)))/C242)/100))))</f>
        <v>0</v>
      </c>
      <c r="BA242" s="57">
        <f>IF(ISERROR(IF(B242=C242,P242/C242,IF((INT(P242/B242)+(((P242-B242*INT(P242/B242)))/C242)/100)&lt;0,(INT(P242/B242)+(((P242-B242*INT(P242/B242)))/C242)/100)+(1-(B242/C242/100)),(INT(P242/B242)+(((P242-B242*INT(P242/B242)))/C242)/100)))),0,IF(B242=C242,P242/C242,IF((INT(P242/B242)+(((P242-B242*INT(P242/B242)))/C242)/100)&lt;0,(INT(P242/B242)+(((P242-B242*INT(P242/B242)))/C242)/100)+(1-(B242/C242/100)),(INT(P242/B242)+(((P242-B242*INT(P242/B242)))/C242)/100))))</f>
        <v>0</v>
      </c>
      <c r="BB242" s="28">
        <f>R242</f>
        <v>0</v>
      </c>
      <c r="BC242" s="28">
        <f>S242</f>
        <v>0</v>
      </c>
      <c r="BD242" s="28">
        <f>AF242</f>
        <v>0</v>
      </c>
      <c r="BE242" s="28">
        <f>T242</f>
        <v>0</v>
      </c>
      <c r="BG242" s="57">
        <f>IF(ISERROR(IF(B242=C242,V242/C242,(INT(V242/B242)+(((V242-B242*INT(V242/B242)))/C242)/100))),0,(IF(B242=C242,V242/C242,(INT(V242/B242)+(((V242-B242*INT(V242/B242)))/C242)/100))))</f>
        <v>0</v>
      </c>
      <c r="BH242" s="57">
        <f>IF(ISERROR(IF(B242=C242,W242/C242,(INT(W242/B242)+(((W242-B242*INT(W242/B242)))/C242)/100))),0,(IF(B242=C242,W242/C242,(INT(W242/B242)+(((W242-B242*INT(W242/B242)))/C242)/100))))</f>
        <v>0</v>
      </c>
      <c r="BI242" s="57">
        <f>IF(ISERROR(IF(B242=C242,X242/C242,(INT(X242/B242)+(((X242-B242*INT(X242/B242)))/C242)/100))),0,(IF(B242=C242,X242/C242,(INT(X242/B242)+(((X242-B242*INT(X242/B242)))/C242)/100))))</f>
        <v>0</v>
      </c>
      <c r="BJ242" s="57">
        <f>IF(ISERROR(IF(B242=C242,Y242/C242,(INT(Y242/B242)+(((Y242-B242*INT(Y242/B242)))/C242)/100))),0,(IF(B242=C242,Y242/C242,(INT(Y242/B242)+(((Y242-B242*INT(Y242/B242)))/C242)/100))))</f>
        <v>0</v>
      </c>
      <c r="BL242" s="57">
        <f>IF(ISERROR(IF(B242=C242,AA242/C242,(INT(AA242/B242)+(((AA242-B242*INT(AA242/B242)))/C242)/100))),0,(IF(B242=C242,AA242/C242,(INT(AA242/B242)+(((AA242-B242*INT(AA242/B242)))/C242)/100))))</f>
        <v>0</v>
      </c>
      <c r="BM242" s="57">
        <f>IF(ISERROR(IF(B242=C242,AB242/C242,(INT(AB242/B242)+(((AB242-B242*INT(AB242/B242)))/C242)/100))),0,(IF(B242=C242,AB242/C242,(INT(AB242/B242)+(((AB242-B242*INT(AB242/B242)))/C242)/100))))</f>
        <v>0</v>
      </c>
      <c r="BN242" s="57">
        <f>IF(ISERROR(IF(B242=C242,AC242/C242,(INT(AC242/B242)+(((AC242-B242*INT(AC242/B242)))/C242)/100))),0,(IF(B242=C242,AC242/C242,(INT(AC242/B242)+(((AC242-B242*INT(AC242/B242)))/C242)/100))))</f>
        <v>0</v>
      </c>
      <c r="BO242" s="57">
        <f>IF(ISERROR(IF(B242=C242,AD242/C242,(INT(AD242/B242)+(((AD242-B242*INT(AD242/B242)))/C242)/100))),0,(IF(B242=C242,AD242/C242,(INT(AD242/B242)+(((AD242-B242*INT(AD242/B242)))/C242)/100))))</f>
        <v>0</v>
      </c>
      <c r="BQ242" s="155"/>
    </row>
    <row r="243" spans="1:69" hidden="1" x14ac:dyDescent="0.35">
      <c r="A243" s="94"/>
      <c r="B243" s="113">
        <v>0</v>
      </c>
      <c r="C243" s="113">
        <v>0</v>
      </c>
      <c r="D243" s="28">
        <f>SUM(AA243:AD243)</f>
        <v>0</v>
      </c>
      <c r="E243" s="113">
        <v>0</v>
      </c>
      <c r="F243" s="113">
        <v>0</v>
      </c>
      <c r="G243" s="28">
        <f>SUM(D243:F243)</f>
        <v>0</v>
      </c>
      <c r="H243" s="125">
        <v>0</v>
      </c>
      <c r="I243" s="113">
        <v>0</v>
      </c>
      <c r="J243" s="125">
        <v>0</v>
      </c>
      <c r="K243" s="113">
        <v>0</v>
      </c>
      <c r="L243" s="113">
        <v>0</v>
      </c>
      <c r="M243" s="113">
        <v>0</v>
      </c>
      <c r="N243" s="28">
        <f>G243-SUM(H243:M243)</f>
        <v>0</v>
      </c>
      <c r="O243" s="28">
        <f>SUM(V243:Y243)</f>
        <v>0</v>
      </c>
      <c r="P243" s="28">
        <f>O243-N243</f>
        <v>0</v>
      </c>
      <c r="Q243" s="61" t="str">
        <f>IF(ISERROR(P243/SUM(H243:L243)),"",P243/SUM(H243:L243))</f>
        <v/>
      </c>
      <c r="R243" s="113">
        <v>0</v>
      </c>
      <c r="S243" s="28">
        <f>IF(ISERROR(P243/C243*R243),0,(P243/C243*R243))</f>
        <v>0</v>
      </c>
      <c r="T243" s="60">
        <f>IF(ISERROR(P243/B243*AF243),0,(P243/B243*AF243))</f>
        <v>0</v>
      </c>
      <c r="V243" s="113">
        <v>0</v>
      </c>
      <c r="W243" s="113">
        <v>0</v>
      </c>
      <c r="X243" s="113">
        <v>0</v>
      </c>
      <c r="Y243" s="113">
        <v>0</v>
      </c>
      <c r="AA243" s="113">
        <v>0</v>
      </c>
      <c r="AB243" s="113">
        <v>0</v>
      </c>
      <c r="AC243" s="113">
        <v>0</v>
      </c>
      <c r="AD243" s="113">
        <v>0</v>
      </c>
      <c r="AF243" s="113">
        <v>0</v>
      </c>
      <c r="AG243" s="28">
        <f>G243-O243</f>
        <v>0</v>
      </c>
      <c r="AH243" s="58">
        <f>IF(ISERROR(AG243/B243*AF243),0,(AG243/B243*AF243))</f>
        <v>0</v>
      </c>
      <c r="AI243" s="28">
        <f>SUM(H243:M243)</f>
        <v>0</v>
      </c>
      <c r="AJ243" s="28">
        <f>IF(ISERROR(AI243/B243*AF243),0,(AI243/B243*AF243))</f>
        <v>0</v>
      </c>
      <c r="AK243" s="58">
        <f>IF(ISERROR(O243/B243*AF243),0,(O243/B243*AF243))</f>
        <v>0</v>
      </c>
      <c r="AL243" s="28">
        <f>IF(ISERROR(H243/B243*AF243),0,(H243/B243*AF243))</f>
        <v>0</v>
      </c>
      <c r="AN243" s="51">
        <f>A243</f>
        <v>0</v>
      </c>
      <c r="AO243" s="57">
        <f>IF(ISERROR(IF(B243=C243,D243/C243,(INT(D243/B243)+(((D243-B243*INT(D243/B243)))/C243)/100))),0,(IF(B243=C243,D243/C243,(INT(D243/B243)+(((D243-B243*INT(D243/B243)))/C243)/100))))</f>
        <v>0</v>
      </c>
      <c r="AP243" s="57">
        <f>IF(ISERROR(IF(B243=C243,E243/C243,(INT(E243/B243)+(((E243-B243*INT(E243/B243)))/C243)/100))),0,(IF(B243=C243,E243/C243,(INT(E243/B243)+(((E243-B243*INT(E243/B243)))/C243)/100))))</f>
        <v>0</v>
      </c>
      <c r="AQ243" s="57">
        <f>IF(ISERROR(IF(B243=C243,F243/C243,IF((INT(F243/B243)+(((F243-B243*INT(F243/B243)))/C243)/100)&lt;0,(INT(F243/B243)+(((F243-B243*INT(F243/B243)))/C243)/100)+(1-(B243/C243/100)),(INT(F243/B243)+(((F243-B243*INT(F243/B243)))/C243)/100)))),0,IF(B243=C243,F243/C243,IF((INT(F243/B243)+(((F243-B243*INT(F243/B243)))/C243)/100)&lt;0,(INT(F243/B243)+(((F243-B243*INT(F243/B243)))/C243)/100)+(1-(B243/C243/100)),(INT(F243/B243)+(((F243-B243*INT(F243/B243)))/C243)/100))))</f>
        <v>0</v>
      </c>
      <c r="AR243" s="57">
        <f>IF(ISERROR(IF(B243=C243,G243/C243,(INT(G243/B243)+(((G243-B243*INT(G243/B243)))/C243)/100))),0,(IF(B243=C243,G243/C243,(INT(G243/B243)+(((G243-B243*INT(G243/B243)))/C243)/100))))</f>
        <v>0</v>
      </c>
      <c r="AS243" s="57">
        <f>IF(ISERROR(IF(B243=C243,H243/C243,(INT(H243/B243)+(((H243-B243*INT(H243/B243)))/C243)/100))),0,(IF(B243=C243,H243/C243,(INT(H243/B243)+(((H243-B243*INT(H243/B243)))/C243)/100))))</f>
        <v>0</v>
      </c>
      <c r="AT243" s="57">
        <f>IF(ISERROR(IF(B243=C243,I243/C243,(INT(I243/B243)+(((I243-B243*INT(I243/B243)))/C243)/100))),0,(IF(B243=C243,I243/C243,(INT(I243/B243)+(((I243-B243*INT(I243/B243)))/C243)/100))))</f>
        <v>0</v>
      </c>
      <c r="AU243" s="57">
        <f>IF(ISERROR(IF(B243=C243,J243/C243,(INT(J243/B243)+(((J243-B243*INT(J243/B243)))/C243)/100))),0,(IF(B243=C243,J243/C243,(INT(J243/B243)+(((J243-B243*INT(J243/B243)))/C243)/100))))</f>
        <v>0</v>
      </c>
      <c r="AV243" s="57">
        <f>IF(ISERROR(IF(B243=C243,K243/C243,IF((INT(K243/B243)+(((K243-B243*INT(K243/B243)))/C243)/100)&lt;0,(INT(K243/B243)+(((K243-B243*INT(K243/B243)))/C243)/100)+(1-(B243/C243/100)),(INT(K243/B243)+(((K243-B243*INT(K243/B243)))/C243)/100)))),0,IF(B243=C243,K243/C243,IF((INT(K243/B243)+(((K243-B243*INT(K243/B243)))/C243)/100)&lt;0,(INT(K243/B243)+(((K243-B243*INT(K243/B243)))/C243)/100)+(1-(B243/C243/100)),(INT(K243/B243)+(((K243-B243*INT(K243/B243)))/C243)/100))))</f>
        <v>0</v>
      </c>
      <c r="AW243" s="57">
        <f>IF(ISERROR(IF(B243=C243,L243/C243,(INT(L243/B243)+(((L243-B243*INT(L243/B243)))/C243)/100))),0,(IF(B243=C243,L243/C243,(INT(L243/B243)+(((L243-B243*INT(L243/B243)))/C243)/100))))</f>
        <v>0</v>
      </c>
      <c r="AX243" s="57">
        <f>IF(ISERROR(IF(B243=C243,M243/C243,(INT(M243/B243)+(((M243-B243*INT(M243/B243)))/C243)/100))),0,(IF(B243=C243,M243/C243,(INT(M243/B243)+(((M243-B243*INT(M243/B243)))/C243)/100))))</f>
        <v>0</v>
      </c>
      <c r="AY243" s="57">
        <f>IF(ISERROR(IF(B243=C243,N243/C243,IF((INT(N243/B243)+(((N243-B243*INT(N243/B243)))/C243)/100)&lt;0,(INT(N243/B243)+(((N243-B243*INT(N243/B243)))/C243)/100)+(1-(B243/C243/100)),(INT(N243/B243)+(((N243-B243*INT(N243/B243)))/C243)/100)))),0,IF(B243=C243,N243/C243,IF((INT(N243/B243)+(((N243-B243*INT(N243/B243)))/C243)/100)&lt;0,(INT(N243/B243)+(((N243-B243*INT(N243/B243)))/C243)/100)+(1-(B243/C243/100)),(INT(N243/B243)+(((N243-B243*INT(N243/B243)))/C243)/100))))</f>
        <v>0</v>
      </c>
      <c r="AZ243" s="57">
        <f>IF(ISERROR(IF(B243=C243,O243/C243,(INT(O243/B243)+(((O243-B243*INT(O243/B243)))/C243)/100))),0,(IF(B243=C243,O243/C243,(INT(O243/B243)+(((O243-B243*INT(O243/B243)))/C243)/100))))</f>
        <v>0</v>
      </c>
      <c r="BA243" s="57">
        <f>IF(ISERROR(IF(B243=C243,P243/C243,IF((INT(P243/B243)+(((P243-B243*INT(P243/B243)))/C243)/100)&lt;0,(INT(P243/B243)+(((P243-B243*INT(P243/B243)))/C243)/100)+(1-(B243/C243/100)),(INT(P243/B243)+(((P243-B243*INT(P243/B243)))/C243)/100)))),0,IF(B243=C243,P243/C243,IF((INT(P243/B243)+(((P243-B243*INT(P243/B243)))/C243)/100)&lt;0,(INT(P243/B243)+(((P243-B243*INT(P243/B243)))/C243)/100)+(1-(B243/C243/100)),(INT(P243/B243)+(((P243-B243*INT(P243/B243)))/C243)/100))))</f>
        <v>0</v>
      </c>
      <c r="BB243" s="28">
        <f>R243</f>
        <v>0</v>
      </c>
      <c r="BC243" s="28">
        <f>S243</f>
        <v>0</v>
      </c>
      <c r="BD243" s="28">
        <f>AF243</f>
        <v>0</v>
      </c>
      <c r="BE243" s="28">
        <f>T243</f>
        <v>0</v>
      </c>
      <c r="BG243" s="57">
        <f>IF(ISERROR(IF(B243=C243,V243/C243,(INT(V243/B243)+(((V243-B243*INT(V243/B243)))/C243)/100))),0,(IF(B243=C243,V243/C243,(INT(V243/B243)+(((V243-B243*INT(V243/B243)))/C243)/100))))</f>
        <v>0</v>
      </c>
      <c r="BH243" s="57">
        <f>IF(ISERROR(IF(B243=C243,W243/C243,(INT(W243/B243)+(((W243-B243*INT(W243/B243)))/C243)/100))),0,(IF(B243=C243,W243/C243,(INT(W243/B243)+(((W243-B243*INT(W243/B243)))/C243)/100))))</f>
        <v>0</v>
      </c>
      <c r="BI243" s="57">
        <f>IF(ISERROR(IF(B243=C243,X243/C243,(INT(X243/B243)+(((X243-B243*INT(X243/B243)))/C243)/100))),0,(IF(B243=C243,X243/C243,(INT(X243/B243)+(((X243-B243*INT(X243/B243)))/C243)/100))))</f>
        <v>0</v>
      </c>
      <c r="BJ243" s="57">
        <f>IF(ISERROR(IF(B243=C243,Y243/C243,(INT(Y243/B243)+(((Y243-B243*INT(Y243/B243)))/C243)/100))),0,(IF(B243=C243,Y243/C243,(INT(Y243/B243)+(((Y243-B243*INT(Y243/B243)))/C243)/100))))</f>
        <v>0</v>
      </c>
      <c r="BL243" s="57">
        <f>IF(ISERROR(IF(B243=C243,AA243/C243,(INT(AA243/B243)+(((AA243-B243*INT(AA243/B243)))/C243)/100))),0,(IF(B243=C243,AA243/C243,(INT(AA243/B243)+(((AA243-B243*INT(AA243/B243)))/C243)/100))))</f>
        <v>0</v>
      </c>
      <c r="BM243" s="57">
        <f>IF(ISERROR(IF(B243=C243,AB243/C243,(INT(AB243/B243)+(((AB243-B243*INT(AB243/B243)))/C243)/100))),0,(IF(B243=C243,AB243/C243,(INT(AB243/B243)+(((AB243-B243*INT(AB243/B243)))/C243)/100))))</f>
        <v>0</v>
      </c>
      <c r="BN243" s="57">
        <f>IF(ISERROR(IF(B243=C243,AC243/C243,(INT(AC243/B243)+(((AC243-B243*INT(AC243/B243)))/C243)/100))),0,(IF(B243=C243,AC243/C243,(INT(AC243/B243)+(((AC243-B243*INT(AC243/B243)))/C243)/100))))</f>
        <v>0</v>
      </c>
      <c r="BO243" s="57">
        <f>IF(ISERROR(IF(B243=C243,AD243/C243,(INT(AD243/B243)+(((AD243-B243*INT(AD243/B243)))/C243)/100))),0,(IF(B243=C243,AD243/C243,(INT(AD243/B243)+(((AD243-B243*INT(AD243/B243)))/C243)/100))))</f>
        <v>0</v>
      </c>
      <c r="BQ243" s="155"/>
    </row>
    <row r="244" spans="1:69" hidden="1" x14ac:dyDescent="0.35">
      <c r="A244" s="94"/>
      <c r="B244" s="113">
        <v>0</v>
      </c>
      <c r="C244" s="113">
        <v>0</v>
      </c>
      <c r="D244" s="28">
        <f>SUM(AA244:AD244)</f>
        <v>0</v>
      </c>
      <c r="E244" s="113">
        <v>0</v>
      </c>
      <c r="F244" s="113">
        <v>0</v>
      </c>
      <c r="G244" s="28">
        <f>SUM(D244:F244)</f>
        <v>0</v>
      </c>
      <c r="H244" s="125">
        <v>0</v>
      </c>
      <c r="I244" s="113">
        <v>0</v>
      </c>
      <c r="J244" s="125">
        <v>0</v>
      </c>
      <c r="K244" s="113">
        <v>0</v>
      </c>
      <c r="L244" s="113">
        <v>0</v>
      </c>
      <c r="M244" s="113">
        <v>0</v>
      </c>
      <c r="N244" s="28">
        <f>G244-SUM(H244:M244)</f>
        <v>0</v>
      </c>
      <c r="O244" s="28">
        <f>SUM(V244:Y244)</f>
        <v>0</v>
      </c>
      <c r="P244" s="28">
        <f>O244-N244</f>
        <v>0</v>
      </c>
      <c r="Q244" s="61" t="str">
        <f>IF(ISERROR(P244/SUM(H244:L244)),"",P244/SUM(H244:L244))</f>
        <v/>
      </c>
      <c r="R244" s="113">
        <v>0</v>
      </c>
      <c r="S244" s="28">
        <f>IF(ISERROR(P244/C244*R244),0,(P244/C244*R244))</f>
        <v>0</v>
      </c>
      <c r="T244" s="60">
        <f>IF(ISERROR(P244/B244*AF244),0,(P244/B244*AF244))</f>
        <v>0</v>
      </c>
      <c r="V244" s="113">
        <v>0</v>
      </c>
      <c r="W244" s="113">
        <v>0</v>
      </c>
      <c r="X244" s="113">
        <v>0</v>
      </c>
      <c r="Y244" s="113">
        <v>0</v>
      </c>
      <c r="AA244" s="113">
        <v>0</v>
      </c>
      <c r="AB244" s="113">
        <v>0</v>
      </c>
      <c r="AC244" s="113">
        <v>0</v>
      </c>
      <c r="AD244" s="113">
        <v>0</v>
      </c>
      <c r="AF244" s="113">
        <v>0</v>
      </c>
      <c r="AG244" s="28">
        <f>G244-O244</f>
        <v>0</v>
      </c>
      <c r="AH244" s="58">
        <f>IF(ISERROR(AG244/B244*AF244),0,(AG244/B244*AF244))</f>
        <v>0</v>
      </c>
      <c r="AI244" s="28">
        <f>SUM(H244:M244)</f>
        <v>0</v>
      </c>
      <c r="AJ244" s="28">
        <f>IF(ISERROR(AI244/B244*AF244),0,(AI244/B244*AF244))</f>
        <v>0</v>
      </c>
      <c r="AK244" s="58">
        <f>IF(ISERROR(O244/B244*AF244),0,(O244/B244*AF244))</f>
        <v>0</v>
      </c>
      <c r="AL244" s="28">
        <f>IF(ISERROR(H244/B244*AF244),0,(H244/B244*AF244))</f>
        <v>0</v>
      </c>
      <c r="AN244" s="51">
        <f>A244</f>
        <v>0</v>
      </c>
      <c r="AO244" s="57">
        <f>IF(ISERROR(IF(B244=C244,D244/C244,(INT(D244/B244)+(((D244-B244*INT(D244/B244)))/C244)/100))),0,(IF(B244=C244,D244/C244,(INT(D244/B244)+(((D244-B244*INT(D244/B244)))/C244)/100))))</f>
        <v>0</v>
      </c>
      <c r="AP244" s="57">
        <f>IF(ISERROR(IF(B244=C244,E244/C244,(INT(E244/B244)+(((E244-B244*INT(E244/B244)))/C244)/100))),0,(IF(B244=C244,E244/C244,(INT(E244/B244)+(((E244-B244*INT(E244/B244)))/C244)/100))))</f>
        <v>0</v>
      </c>
      <c r="AQ244" s="57">
        <f>IF(ISERROR(IF(B244=C244,F244/C244,IF((INT(F244/B244)+(((F244-B244*INT(F244/B244)))/C244)/100)&lt;0,(INT(F244/B244)+(((F244-B244*INT(F244/B244)))/C244)/100)+(1-(B244/C244/100)),(INT(F244/B244)+(((F244-B244*INT(F244/B244)))/C244)/100)))),0,IF(B244=C244,F244/C244,IF((INT(F244/B244)+(((F244-B244*INT(F244/B244)))/C244)/100)&lt;0,(INT(F244/B244)+(((F244-B244*INT(F244/B244)))/C244)/100)+(1-(B244/C244/100)),(INT(F244/B244)+(((F244-B244*INT(F244/B244)))/C244)/100))))</f>
        <v>0</v>
      </c>
      <c r="AR244" s="57">
        <f>IF(ISERROR(IF(B244=C244,G244/C244,(INT(G244/B244)+(((G244-B244*INT(G244/B244)))/C244)/100))),0,(IF(B244=C244,G244/C244,(INT(G244/B244)+(((G244-B244*INT(G244/B244)))/C244)/100))))</f>
        <v>0</v>
      </c>
      <c r="AS244" s="57">
        <f>IF(ISERROR(IF(B244=C244,H244/C244,(INT(H244/B244)+(((H244-B244*INT(H244/B244)))/C244)/100))),0,(IF(B244=C244,H244/C244,(INT(H244/B244)+(((H244-B244*INT(H244/B244)))/C244)/100))))</f>
        <v>0</v>
      </c>
      <c r="AT244" s="57">
        <f>IF(ISERROR(IF(B244=C244,I244/C244,(INT(I244/B244)+(((I244-B244*INT(I244/B244)))/C244)/100))),0,(IF(B244=C244,I244/C244,(INT(I244/B244)+(((I244-B244*INT(I244/B244)))/C244)/100))))</f>
        <v>0</v>
      </c>
      <c r="AU244" s="57">
        <f>IF(ISERROR(IF(B244=C244,J244/C244,(INT(J244/B244)+(((J244-B244*INT(J244/B244)))/C244)/100))),0,(IF(B244=C244,J244/C244,(INT(J244/B244)+(((J244-B244*INT(J244/B244)))/C244)/100))))</f>
        <v>0</v>
      </c>
      <c r="AV244" s="57">
        <f>IF(ISERROR(IF(B244=C244,K244/C244,IF((INT(K244/B244)+(((K244-B244*INT(K244/B244)))/C244)/100)&lt;0,(INT(K244/B244)+(((K244-B244*INT(K244/B244)))/C244)/100)+(1-(B244/C244/100)),(INT(K244/B244)+(((K244-B244*INT(K244/B244)))/C244)/100)))),0,IF(B244=C244,K244/C244,IF((INT(K244/B244)+(((K244-B244*INT(K244/B244)))/C244)/100)&lt;0,(INT(K244/B244)+(((K244-B244*INT(K244/B244)))/C244)/100)+(1-(B244/C244/100)),(INT(K244/B244)+(((K244-B244*INT(K244/B244)))/C244)/100))))</f>
        <v>0</v>
      </c>
      <c r="AW244" s="57">
        <f>IF(ISERROR(IF(B244=C244,L244/C244,(INT(L244/B244)+(((L244-B244*INT(L244/B244)))/C244)/100))),0,(IF(B244=C244,L244/C244,(INT(L244/B244)+(((L244-B244*INT(L244/B244)))/C244)/100))))</f>
        <v>0</v>
      </c>
      <c r="AX244" s="57">
        <f>IF(ISERROR(IF(B244=C244,M244/C244,(INT(M244/B244)+(((M244-B244*INT(M244/B244)))/C244)/100))),0,(IF(B244=C244,M244/C244,(INT(M244/B244)+(((M244-B244*INT(M244/B244)))/C244)/100))))</f>
        <v>0</v>
      </c>
      <c r="AY244" s="57">
        <f>IF(ISERROR(IF(B244=C244,N244/C244,IF((INT(N244/B244)+(((N244-B244*INT(N244/B244)))/C244)/100)&lt;0,(INT(N244/B244)+(((N244-B244*INT(N244/B244)))/C244)/100)+(1-(B244/C244/100)),(INT(N244/B244)+(((N244-B244*INT(N244/B244)))/C244)/100)))),0,IF(B244=C244,N244/C244,IF((INT(N244/B244)+(((N244-B244*INT(N244/B244)))/C244)/100)&lt;0,(INT(N244/B244)+(((N244-B244*INT(N244/B244)))/C244)/100)+(1-(B244/C244/100)),(INT(N244/B244)+(((N244-B244*INT(N244/B244)))/C244)/100))))</f>
        <v>0</v>
      </c>
      <c r="AZ244" s="57">
        <f>IF(ISERROR(IF(B244=C244,O244/C244,(INT(O244/B244)+(((O244-B244*INT(O244/B244)))/C244)/100))),0,(IF(B244=C244,O244/C244,(INT(O244/B244)+(((O244-B244*INT(O244/B244)))/C244)/100))))</f>
        <v>0</v>
      </c>
      <c r="BA244" s="57">
        <f>IF(ISERROR(IF(B244=C244,P244/C244,IF((INT(P244/B244)+(((P244-B244*INT(P244/B244)))/C244)/100)&lt;0,(INT(P244/B244)+(((P244-B244*INT(P244/B244)))/C244)/100)+(1-(B244/C244/100)),(INT(P244/B244)+(((P244-B244*INT(P244/B244)))/C244)/100)))),0,IF(B244=C244,P244/C244,IF((INT(P244/B244)+(((P244-B244*INT(P244/B244)))/C244)/100)&lt;0,(INT(P244/B244)+(((P244-B244*INT(P244/B244)))/C244)/100)+(1-(B244/C244/100)),(INT(P244/B244)+(((P244-B244*INT(P244/B244)))/C244)/100))))</f>
        <v>0</v>
      </c>
      <c r="BB244" s="28">
        <f>R244</f>
        <v>0</v>
      </c>
      <c r="BC244" s="28">
        <f>S244</f>
        <v>0</v>
      </c>
      <c r="BD244" s="28">
        <f>AF244</f>
        <v>0</v>
      </c>
      <c r="BE244" s="28">
        <f>T244</f>
        <v>0</v>
      </c>
      <c r="BG244" s="57">
        <f>IF(ISERROR(IF(B244=C244,V244/C244,(INT(V244/B244)+(((V244-B244*INT(V244/B244)))/C244)/100))),0,(IF(B244=C244,V244/C244,(INT(V244/B244)+(((V244-B244*INT(V244/B244)))/C244)/100))))</f>
        <v>0</v>
      </c>
      <c r="BH244" s="57">
        <f>IF(ISERROR(IF(B244=C244,W244/C244,(INT(W244/B244)+(((W244-B244*INT(W244/B244)))/C244)/100))),0,(IF(B244=C244,W244/C244,(INT(W244/B244)+(((W244-B244*INT(W244/B244)))/C244)/100))))</f>
        <v>0</v>
      </c>
      <c r="BI244" s="57">
        <f>IF(ISERROR(IF(B244=C244,X244/C244,(INT(X244/B244)+(((X244-B244*INT(X244/B244)))/C244)/100))),0,(IF(B244=C244,X244/C244,(INT(X244/B244)+(((X244-B244*INT(X244/B244)))/C244)/100))))</f>
        <v>0</v>
      </c>
      <c r="BJ244" s="57">
        <f>IF(ISERROR(IF(B244=C244,Y244/C244,(INT(Y244/B244)+(((Y244-B244*INT(Y244/B244)))/C244)/100))),0,(IF(B244=C244,Y244/C244,(INT(Y244/B244)+(((Y244-B244*INT(Y244/B244)))/C244)/100))))</f>
        <v>0</v>
      </c>
      <c r="BL244" s="57">
        <f>IF(ISERROR(IF(B244=C244,AA244/C244,(INT(AA244/B244)+(((AA244-B244*INT(AA244/B244)))/C244)/100))),0,(IF(B244=C244,AA244/C244,(INT(AA244/B244)+(((AA244-B244*INT(AA244/B244)))/C244)/100))))</f>
        <v>0</v>
      </c>
      <c r="BM244" s="57">
        <f>IF(ISERROR(IF(B244=C244,AB244/C244,(INT(AB244/B244)+(((AB244-B244*INT(AB244/B244)))/C244)/100))),0,(IF(B244=C244,AB244/C244,(INT(AB244/B244)+(((AB244-B244*INT(AB244/B244)))/C244)/100))))</f>
        <v>0</v>
      </c>
      <c r="BN244" s="57">
        <f>IF(ISERROR(IF(B244=C244,AC244/C244,(INT(AC244/B244)+(((AC244-B244*INT(AC244/B244)))/C244)/100))),0,(IF(B244=C244,AC244/C244,(INT(AC244/B244)+(((AC244-B244*INT(AC244/B244)))/C244)/100))))</f>
        <v>0</v>
      </c>
      <c r="BO244" s="57">
        <f>IF(ISERROR(IF(B244=C244,AD244/C244,(INT(AD244/B244)+(((AD244-B244*INT(AD244/B244)))/C244)/100))),0,(IF(B244=C244,AD244/C244,(INT(AD244/B244)+(((AD244-B244*INT(AD244/B244)))/C244)/100))))</f>
        <v>0</v>
      </c>
      <c r="BQ244" s="155"/>
    </row>
    <row r="245" spans="1:69" hidden="1" x14ac:dyDescent="0.35">
      <c r="A245" s="94"/>
      <c r="B245" s="113">
        <v>0</v>
      </c>
      <c r="C245" s="113">
        <v>0</v>
      </c>
      <c r="D245" s="28">
        <f>SUM(AA245:AD245)</f>
        <v>0</v>
      </c>
      <c r="E245" s="113">
        <v>0</v>
      </c>
      <c r="F245" s="113">
        <v>0</v>
      </c>
      <c r="G245" s="28">
        <f>SUM(D245:F245)</f>
        <v>0</v>
      </c>
      <c r="H245" s="125">
        <v>0</v>
      </c>
      <c r="I245" s="113">
        <v>0</v>
      </c>
      <c r="J245" s="125">
        <v>0</v>
      </c>
      <c r="K245" s="113">
        <v>0</v>
      </c>
      <c r="L245" s="113">
        <v>0</v>
      </c>
      <c r="M245" s="113">
        <v>0</v>
      </c>
      <c r="N245" s="28">
        <f>G245-SUM(H245:M245)</f>
        <v>0</v>
      </c>
      <c r="O245" s="28">
        <f>SUM(V245:Y245)</f>
        <v>0</v>
      </c>
      <c r="P245" s="28">
        <f>O245-N245</f>
        <v>0</v>
      </c>
      <c r="Q245" s="61" t="str">
        <f>IF(ISERROR(P245/SUM(H245:L245)),"",P245/SUM(H245:L245))</f>
        <v/>
      </c>
      <c r="R245" s="113">
        <v>0</v>
      </c>
      <c r="S245" s="28">
        <f>IF(ISERROR(P245/C245*R245),0,(P245/C245*R245))</f>
        <v>0</v>
      </c>
      <c r="T245" s="60">
        <f>IF(ISERROR(P245/B245*AF245),0,(P245/B245*AF245))</f>
        <v>0</v>
      </c>
      <c r="V245" s="113">
        <v>0</v>
      </c>
      <c r="W245" s="113">
        <v>0</v>
      </c>
      <c r="X245" s="113">
        <v>0</v>
      </c>
      <c r="Y245" s="113">
        <v>0</v>
      </c>
      <c r="AA245" s="113">
        <v>0</v>
      </c>
      <c r="AB245" s="113">
        <v>0</v>
      </c>
      <c r="AC245" s="113">
        <v>0</v>
      </c>
      <c r="AD245" s="113">
        <v>0</v>
      </c>
      <c r="AF245" s="113">
        <v>0</v>
      </c>
      <c r="AG245" s="28">
        <f>G245-O245</f>
        <v>0</v>
      </c>
      <c r="AH245" s="58">
        <f>IF(ISERROR(AG245/B245*AF245),0,(AG245/B245*AF245))</f>
        <v>0</v>
      </c>
      <c r="AI245" s="28">
        <f>SUM(H245:M245)</f>
        <v>0</v>
      </c>
      <c r="AJ245" s="28">
        <f>IF(ISERROR(AI245/B245*AF245),0,(AI245/B245*AF245))</f>
        <v>0</v>
      </c>
      <c r="AK245" s="58">
        <f>IF(ISERROR(O245/B245*AF245),0,(O245/B245*AF245))</f>
        <v>0</v>
      </c>
      <c r="AL245" s="28">
        <f>IF(ISERROR(H245/B245*AF245),0,(H245/B245*AF245))</f>
        <v>0</v>
      </c>
      <c r="AN245" s="51">
        <f>A245</f>
        <v>0</v>
      </c>
      <c r="AO245" s="57">
        <f>IF(ISERROR(IF(B245=C245,D245/C245,(INT(D245/B245)+(((D245-B245*INT(D245/B245)))/C245)/100))),0,(IF(B245=C245,D245/C245,(INT(D245/B245)+(((D245-B245*INT(D245/B245)))/C245)/100))))</f>
        <v>0</v>
      </c>
      <c r="AP245" s="57">
        <f>IF(ISERROR(IF(B245=C245,E245/C245,(INT(E245/B245)+(((E245-B245*INT(E245/B245)))/C245)/100))),0,(IF(B245=C245,E245/C245,(INT(E245/B245)+(((E245-B245*INT(E245/B245)))/C245)/100))))</f>
        <v>0</v>
      </c>
      <c r="AQ245" s="57">
        <f>IF(ISERROR(IF(B245=C245,F245/C245,IF((INT(F245/B245)+(((F245-B245*INT(F245/B245)))/C245)/100)&lt;0,(INT(F245/B245)+(((F245-B245*INT(F245/B245)))/C245)/100)+(1-(B245/C245/100)),(INT(F245/B245)+(((F245-B245*INT(F245/B245)))/C245)/100)))),0,IF(B245=C245,F245/C245,IF((INT(F245/B245)+(((F245-B245*INT(F245/B245)))/C245)/100)&lt;0,(INT(F245/B245)+(((F245-B245*INT(F245/B245)))/C245)/100)+(1-(B245/C245/100)),(INT(F245/B245)+(((F245-B245*INT(F245/B245)))/C245)/100))))</f>
        <v>0</v>
      </c>
      <c r="AR245" s="57">
        <f>IF(ISERROR(IF(B245=C245,G245/C245,(INT(G245/B245)+(((G245-B245*INT(G245/B245)))/C245)/100))),0,(IF(B245=C245,G245/C245,(INT(G245/B245)+(((G245-B245*INT(G245/B245)))/C245)/100))))</f>
        <v>0</v>
      </c>
      <c r="AS245" s="57">
        <f>IF(ISERROR(IF(B245=C245,H245/C245,(INT(H245/B245)+(((H245-B245*INT(H245/B245)))/C245)/100))),0,(IF(B245=C245,H245/C245,(INT(H245/B245)+(((H245-B245*INT(H245/B245)))/C245)/100))))</f>
        <v>0</v>
      </c>
      <c r="AT245" s="57">
        <f>IF(ISERROR(IF(B245=C245,I245/C245,(INT(I245/B245)+(((I245-B245*INT(I245/B245)))/C245)/100))),0,(IF(B245=C245,I245/C245,(INT(I245/B245)+(((I245-B245*INT(I245/B245)))/C245)/100))))</f>
        <v>0</v>
      </c>
      <c r="AU245" s="57">
        <f>IF(ISERROR(IF(B245=C245,J245/C245,(INT(J245/B245)+(((J245-B245*INT(J245/B245)))/C245)/100))),0,(IF(B245=C245,J245/C245,(INT(J245/B245)+(((J245-B245*INT(J245/B245)))/C245)/100))))</f>
        <v>0</v>
      </c>
      <c r="AV245" s="57">
        <f>IF(ISERROR(IF(B245=C245,K245/C245,IF((INT(K245/B245)+(((K245-B245*INT(K245/B245)))/C245)/100)&lt;0,(INT(K245/B245)+(((K245-B245*INT(K245/B245)))/C245)/100)+(1-(B245/C245/100)),(INT(K245/B245)+(((K245-B245*INT(K245/B245)))/C245)/100)))),0,IF(B245=C245,K245/C245,IF((INT(K245/B245)+(((K245-B245*INT(K245/B245)))/C245)/100)&lt;0,(INT(K245/B245)+(((K245-B245*INT(K245/B245)))/C245)/100)+(1-(B245/C245/100)),(INT(K245/B245)+(((K245-B245*INT(K245/B245)))/C245)/100))))</f>
        <v>0</v>
      </c>
      <c r="AW245" s="57">
        <f>IF(ISERROR(IF(B245=C245,L245/C245,(INT(L245/B245)+(((L245-B245*INT(L245/B245)))/C245)/100))),0,(IF(B245=C245,L245/C245,(INT(L245/B245)+(((L245-B245*INT(L245/B245)))/C245)/100))))</f>
        <v>0</v>
      </c>
      <c r="AX245" s="57">
        <f>IF(ISERROR(IF(B245=C245,M245/C245,(INT(M245/B245)+(((M245-B245*INT(M245/B245)))/C245)/100))),0,(IF(B245=C245,M245/C245,(INT(M245/B245)+(((M245-B245*INT(M245/B245)))/C245)/100))))</f>
        <v>0</v>
      </c>
      <c r="AY245" s="57">
        <f>IF(ISERROR(IF(B245=C245,N245/C245,IF((INT(N245/B245)+(((N245-B245*INT(N245/B245)))/C245)/100)&lt;0,(INT(N245/B245)+(((N245-B245*INT(N245/B245)))/C245)/100)+(1-(B245/C245/100)),(INT(N245/B245)+(((N245-B245*INT(N245/B245)))/C245)/100)))),0,IF(B245=C245,N245/C245,IF((INT(N245/B245)+(((N245-B245*INT(N245/B245)))/C245)/100)&lt;0,(INT(N245/B245)+(((N245-B245*INT(N245/B245)))/C245)/100)+(1-(B245/C245/100)),(INT(N245/B245)+(((N245-B245*INT(N245/B245)))/C245)/100))))</f>
        <v>0</v>
      </c>
      <c r="AZ245" s="57">
        <f>IF(ISERROR(IF(B245=C245,O245/C245,(INT(O245/B245)+(((O245-B245*INT(O245/B245)))/C245)/100))),0,(IF(B245=C245,O245/C245,(INT(O245/B245)+(((O245-B245*INT(O245/B245)))/C245)/100))))</f>
        <v>0</v>
      </c>
      <c r="BA245" s="57">
        <f>IF(ISERROR(IF(B245=C245,P245/C245,IF((INT(P245/B245)+(((P245-B245*INT(P245/B245)))/C245)/100)&lt;0,(INT(P245/B245)+(((P245-B245*INT(P245/B245)))/C245)/100)+(1-(B245/C245/100)),(INT(P245/B245)+(((P245-B245*INT(P245/B245)))/C245)/100)))),0,IF(B245=C245,P245/C245,IF((INT(P245/B245)+(((P245-B245*INT(P245/B245)))/C245)/100)&lt;0,(INT(P245/B245)+(((P245-B245*INT(P245/B245)))/C245)/100)+(1-(B245/C245/100)),(INT(P245/B245)+(((P245-B245*INT(P245/B245)))/C245)/100))))</f>
        <v>0</v>
      </c>
      <c r="BB245" s="28">
        <f>R245</f>
        <v>0</v>
      </c>
      <c r="BC245" s="28">
        <f>S245</f>
        <v>0</v>
      </c>
      <c r="BD245" s="28">
        <f>AF245</f>
        <v>0</v>
      </c>
      <c r="BE245" s="28">
        <f>T245</f>
        <v>0</v>
      </c>
      <c r="BG245" s="57">
        <f>IF(ISERROR(IF(B245=C245,V245/C245,(INT(V245/B245)+(((V245-B245*INT(V245/B245)))/C245)/100))),0,(IF(B245=C245,V245/C245,(INT(V245/B245)+(((V245-B245*INT(V245/B245)))/C245)/100))))</f>
        <v>0</v>
      </c>
      <c r="BH245" s="57">
        <f>IF(ISERROR(IF(B245=C245,W245/C245,(INT(W245/B245)+(((W245-B245*INT(W245/B245)))/C245)/100))),0,(IF(B245=C245,W245/C245,(INT(W245/B245)+(((W245-B245*INT(W245/B245)))/C245)/100))))</f>
        <v>0</v>
      </c>
      <c r="BI245" s="57">
        <f>IF(ISERROR(IF(B245=C245,X245/C245,(INT(X245/B245)+(((X245-B245*INT(X245/B245)))/C245)/100))),0,(IF(B245=C245,X245/C245,(INT(X245/B245)+(((X245-B245*INT(X245/B245)))/C245)/100))))</f>
        <v>0</v>
      </c>
      <c r="BJ245" s="57">
        <f>IF(ISERROR(IF(B245=C245,Y245/C245,(INT(Y245/B245)+(((Y245-B245*INT(Y245/B245)))/C245)/100))),0,(IF(B245=C245,Y245/C245,(INT(Y245/B245)+(((Y245-B245*INT(Y245/B245)))/C245)/100))))</f>
        <v>0</v>
      </c>
      <c r="BL245" s="57">
        <f>IF(ISERROR(IF(B245=C245,AA245/C245,(INT(AA245/B245)+(((AA245-B245*INT(AA245/B245)))/C245)/100))),0,(IF(B245=C245,AA245/C245,(INT(AA245/B245)+(((AA245-B245*INT(AA245/B245)))/C245)/100))))</f>
        <v>0</v>
      </c>
      <c r="BM245" s="57">
        <f>IF(ISERROR(IF(B245=C245,AB245/C245,(INT(AB245/B245)+(((AB245-B245*INT(AB245/B245)))/C245)/100))),0,(IF(B245=C245,AB245/C245,(INT(AB245/B245)+(((AB245-B245*INT(AB245/B245)))/C245)/100))))</f>
        <v>0</v>
      </c>
      <c r="BN245" s="57">
        <f>IF(ISERROR(IF(B245=C245,AC245/C245,(INT(AC245/B245)+(((AC245-B245*INT(AC245/B245)))/C245)/100))),0,(IF(B245=C245,AC245/C245,(INT(AC245/B245)+(((AC245-B245*INT(AC245/B245)))/C245)/100))))</f>
        <v>0</v>
      </c>
      <c r="BO245" s="57">
        <f>IF(ISERROR(IF(B245=C245,AD245/C245,(INT(AD245/B245)+(((AD245-B245*INT(AD245/B245)))/C245)/100))),0,(IF(B245=C245,AD245/C245,(INT(AD245/B245)+(((AD245-B245*INT(AD245/B245)))/C245)/100))))</f>
        <v>0</v>
      </c>
      <c r="BQ245" s="155"/>
    </row>
    <row r="246" spans="1:69" hidden="1" x14ac:dyDescent="0.35">
      <c r="A246" s="94"/>
      <c r="B246" s="113">
        <v>0</v>
      </c>
      <c r="C246" s="113">
        <v>0</v>
      </c>
      <c r="D246" s="28">
        <f>SUM(AA246:AD246)</f>
        <v>0</v>
      </c>
      <c r="E246" s="113">
        <v>0</v>
      </c>
      <c r="F246" s="113">
        <v>0</v>
      </c>
      <c r="G246" s="28">
        <f>SUM(D246:F246)</f>
        <v>0</v>
      </c>
      <c r="H246" s="125">
        <v>0</v>
      </c>
      <c r="I246" s="113">
        <v>0</v>
      </c>
      <c r="J246" s="125">
        <v>0</v>
      </c>
      <c r="K246" s="113">
        <v>0</v>
      </c>
      <c r="L246" s="113">
        <v>0</v>
      </c>
      <c r="M246" s="113">
        <v>0</v>
      </c>
      <c r="N246" s="28">
        <f>G246-SUM(H246:M246)</f>
        <v>0</v>
      </c>
      <c r="O246" s="28">
        <f>SUM(V246:Y246)</f>
        <v>0</v>
      </c>
      <c r="P246" s="28">
        <f>O246-N246</f>
        <v>0</v>
      </c>
      <c r="Q246" s="61" t="str">
        <f>IF(ISERROR(P246/SUM(H246:L246)),"",P246/SUM(H246:L246))</f>
        <v/>
      </c>
      <c r="R246" s="113">
        <v>0</v>
      </c>
      <c r="S246" s="28">
        <f>IF(ISERROR(P246/C246*R246),0,(P246/C246*R246))</f>
        <v>0</v>
      </c>
      <c r="T246" s="60">
        <f>IF(ISERROR(P246/B246*AF246),0,(P246/B246*AF246))</f>
        <v>0</v>
      </c>
      <c r="V246" s="113">
        <v>0</v>
      </c>
      <c r="W246" s="113">
        <v>0</v>
      </c>
      <c r="X246" s="113">
        <v>0</v>
      </c>
      <c r="Y246" s="113">
        <v>0</v>
      </c>
      <c r="AA246" s="113">
        <v>0</v>
      </c>
      <c r="AB246" s="113">
        <v>0</v>
      </c>
      <c r="AC246" s="113">
        <v>0</v>
      </c>
      <c r="AD246" s="113">
        <v>0</v>
      </c>
      <c r="AF246" s="113">
        <v>0</v>
      </c>
      <c r="AG246" s="28">
        <f>G246-O246</f>
        <v>0</v>
      </c>
      <c r="AH246" s="58">
        <f>IF(ISERROR(AG246/B246*AF246),0,(AG246/B246*AF246))</f>
        <v>0</v>
      </c>
      <c r="AI246" s="28">
        <f>SUM(H246:M246)</f>
        <v>0</v>
      </c>
      <c r="AJ246" s="28">
        <f>IF(ISERROR(AI246/B246*AF246),0,(AI246/B246*AF246))</f>
        <v>0</v>
      </c>
      <c r="AK246" s="58">
        <f>IF(ISERROR(O246/B246*AF246),0,(O246/B246*AF246))</f>
        <v>0</v>
      </c>
      <c r="AL246" s="28">
        <f>IF(ISERROR(H246/B246*AF246),0,(H246/B246*AF246))</f>
        <v>0</v>
      </c>
      <c r="AN246" s="51">
        <f>A246</f>
        <v>0</v>
      </c>
      <c r="AO246" s="57">
        <f>IF(ISERROR(IF(B246=C246,D246/C246,(INT(D246/B246)+(((D246-B246*INT(D246/B246)))/C246)/100))),0,(IF(B246=C246,D246/C246,(INT(D246/B246)+(((D246-B246*INT(D246/B246)))/C246)/100))))</f>
        <v>0</v>
      </c>
      <c r="AP246" s="57">
        <f>IF(ISERROR(IF(B246=C246,E246/C246,(INT(E246/B246)+(((E246-B246*INT(E246/B246)))/C246)/100))),0,(IF(B246=C246,E246/C246,(INT(E246/B246)+(((E246-B246*INT(E246/B246)))/C246)/100))))</f>
        <v>0</v>
      </c>
      <c r="AQ246" s="57">
        <f>IF(ISERROR(IF(B246=C246,F246/C246,IF((INT(F246/B246)+(((F246-B246*INT(F246/B246)))/C246)/100)&lt;0,(INT(F246/B246)+(((F246-B246*INT(F246/B246)))/C246)/100)+(1-(B246/C246/100)),(INT(F246/B246)+(((F246-B246*INT(F246/B246)))/C246)/100)))),0,IF(B246=C246,F246/C246,IF((INT(F246/B246)+(((F246-B246*INT(F246/B246)))/C246)/100)&lt;0,(INT(F246/B246)+(((F246-B246*INT(F246/B246)))/C246)/100)+(1-(B246/C246/100)),(INT(F246/B246)+(((F246-B246*INT(F246/B246)))/C246)/100))))</f>
        <v>0</v>
      </c>
      <c r="AR246" s="57">
        <f>IF(ISERROR(IF(B246=C246,G246/C246,(INT(G246/B246)+(((G246-B246*INT(G246/B246)))/C246)/100))),0,(IF(B246=C246,G246/C246,(INT(G246/B246)+(((G246-B246*INT(G246/B246)))/C246)/100))))</f>
        <v>0</v>
      </c>
      <c r="AS246" s="57">
        <f>IF(ISERROR(IF(B246=C246,H246/C246,(INT(H246/B246)+(((H246-B246*INT(H246/B246)))/C246)/100))),0,(IF(B246=C246,H246/C246,(INT(H246/B246)+(((H246-B246*INT(H246/B246)))/C246)/100))))</f>
        <v>0</v>
      </c>
      <c r="AT246" s="57">
        <f>IF(ISERROR(IF(B246=C246,I246/C246,(INT(I246/B246)+(((I246-B246*INT(I246/B246)))/C246)/100))),0,(IF(B246=C246,I246/C246,(INT(I246/B246)+(((I246-B246*INT(I246/B246)))/C246)/100))))</f>
        <v>0</v>
      </c>
      <c r="AU246" s="57">
        <f>IF(ISERROR(IF(B246=C246,J246/C246,(INT(J246/B246)+(((J246-B246*INT(J246/B246)))/C246)/100))),0,(IF(B246=C246,J246/C246,(INT(J246/B246)+(((J246-B246*INT(J246/B246)))/C246)/100))))</f>
        <v>0</v>
      </c>
      <c r="AV246" s="57">
        <f>IF(ISERROR(IF(B246=C246,K246/C246,IF((INT(K246/B246)+(((K246-B246*INT(K246/B246)))/C246)/100)&lt;0,(INT(K246/B246)+(((K246-B246*INT(K246/B246)))/C246)/100)+(1-(B246/C246/100)),(INT(K246/B246)+(((K246-B246*INT(K246/B246)))/C246)/100)))),0,IF(B246=C246,K246/C246,IF((INT(K246/B246)+(((K246-B246*INT(K246/B246)))/C246)/100)&lt;0,(INT(K246/B246)+(((K246-B246*INT(K246/B246)))/C246)/100)+(1-(B246/C246/100)),(INT(K246/B246)+(((K246-B246*INT(K246/B246)))/C246)/100))))</f>
        <v>0</v>
      </c>
      <c r="AW246" s="57">
        <f>IF(ISERROR(IF(B246=C246,L246/C246,(INT(L246/B246)+(((L246-B246*INT(L246/B246)))/C246)/100))),0,(IF(B246=C246,L246/C246,(INT(L246/B246)+(((L246-B246*INT(L246/B246)))/C246)/100))))</f>
        <v>0</v>
      </c>
      <c r="AX246" s="57">
        <f>IF(ISERROR(IF(B246=C246,M246/C246,(INT(M246/B246)+(((M246-B246*INT(M246/B246)))/C246)/100))),0,(IF(B246=C246,M246/C246,(INT(M246/B246)+(((M246-B246*INT(M246/B246)))/C246)/100))))</f>
        <v>0</v>
      </c>
      <c r="AY246" s="57">
        <f>IF(ISERROR(IF(B246=C246,N246/C246,IF((INT(N246/B246)+(((N246-B246*INT(N246/B246)))/C246)/100)&lt;0,(INT(N246/B246)+(((N246-B246*INT(N246/B246)))/C246)/100)+(1-(B246/C246/100)),(INT(N246/B246)+(((N246-B246*INT(N246/B246)))/C246)/100)))),0,IF(B246=C246,N246/C246,IF((INT(N246/B246)+(((N246-B246*INT(N246/B246)))/C246)/100)&lt;0,(INT(N246/B246)+(((N246-B246*INT(N246/B246)))/C246)/100)+(1-(B246/C246/100)),(INT(N246/B246)+(((N246-B246*INT(N246/B246)))/C246)/100))))</f>
        <v>0</v>
      </c>
      <c r="AZ246" s="57">
        <f>IF(ISERROR(IF(B246=C246,O246/C246,(INT(O246/B246)+(((O246-B246*INT(O246/B246)))/C246)/100))),0,(IF(B246=C246,O246/C246,(INT(O246/B246)+(((O246-B246*INT(O246/B246)))/C246)/100))))</f>
        <v>0</v>
      </c>
      <c r="BA246" s="57">
        <f>IF(ISERROR(IF(B246=C246,P246/C246,IF((INT(P246/B246)+(((P246-B246*INT(P246/B246)))/C246)/100)&lt;0,(INT(P246/B246)+(((P246-B246*INT(P246/B246)))/C246)/100)+(1-(B246/C246/100)),(INT(P246/B246)+(((P246-B246*INT(P246/B246)))/C246)/100)))),0,IF(B246=C246,P246/C246,IF((INT(P246/B246)+(((P246-B246*INT(P246/B246)))/C246)/100)&lt;0,(INT(P246/B246)+(((P246-B246*INT(P246/B246)))/C246)/100)+(1-(B246/C246/100)),(INT(P246/B246)+(((P246-B246*INT(P246/B246)))/C246)/100))))</f>
        <v>0</v>
      </c>
      <c r="BB246" s="28">
        <f>R246</f>
        <v>0</v>
      </c>
      <c r="BC246" s="28">
        <f>S246</f>
        <v>0</v>
      </c>
      <c r="BD246" s="28">
        <f>AF246</f>
        <v>0</v>
      </c>
      <c r="BE246" s="28">
        <f>T246</f>
        <v>0</v>
      </c>
      <c r="BG246" s="57">
        <f>IF(ISERROR(IF(B246=C246,V246/C246,(INT(V246/B246)+(((V246-B246*INT(V246/B246)))/C246)/100))),0,(IF(B246=C246,V246/C246,(INT(V246/B246)+(((V246-B246*INT(V246/B246)))/C246)/100))))</f>
        <v>0</v>
      </c>
      <c r="BH246" s="57">
        <f>IF(ISERROR(IF(B246=C246,W246/C246,(INT(W246/B246)+(((W246-B246*INT(W246/B246)))/C246)/100))),0,(IF(B246=C246,W246/C246,(INT(W246/B246)+(((W246-B246*INT(W246/B246)))/C246)/100))))</f>
        <v>0</v>
      </c>
      <c r="BI246" s="57">
        <f>IF(ISERROR(IF(B246=C246,X246/C246,(INT(X246/B246)+(((X246-B246*INT(X246/B246)))/C246)/100))),0,(IF(B246=C246,X246/C246,(INT(X246/B246)+(((X246-B246*INT(X246/B246)))/C246)/100))))</f>
        <v>0</v>
      </c>
      <c r="BJ246" s="57">
        <f>IF(ISERROR(IF(B246=C246,Y246/C246,(INT(Y246/B246)+(((Y246-B246*INT(Y246/B246)))/C246)/100))),0,(IF(B246=C246,Y246/C246,(INT(Y246/B246)+(((Y246-B246*INT(Y246/B246)))/C246)/100))))</f>
        <v>0</v>
      </c>
      <c r="BL246" s="57">
        <f>IF(ISERROR(IF(B246=C246,AA246/C246,(INT(AA246/B246)+(((AA246-B246*INT(AA246/B246)))/C246)/100))),0,(IF(B246=C246,AA246/C246,(INT(AA246/B246)+(((AA246-B246*INT(AA246/B246)))/C246)/100))))</f>
        <v>0</v>
      </c>
      <c r="BM246" s="57">
        <f>IF(ISERROR(IF(B246=C246,AB246/C246,(INT(AB246/B246)+(((AB246-B246*INT(AB246/B246)))/C246)/100))),0,(IF(B246=C246,AB246/C246,(INT(AB246/B246)+(((AB246-B246*INT(AB246/B246)))/C246)/100))))</f>
        <v>0</v>
      </c>
      <c r="BN246" s="57">
        <f>IF(ISERROR(IF(B246=C246,AC246/C246,(INT(AC246/B246)+(((AC246-B246*INT(AC246/B246)))/C246)/100))),0,(IF(B246=C246,AC246/C246,(INT(AC246/B246)+(((AC246-B246*INT(AC246/B246)))/C246)/100))))</f>
        <v>0</v>
      </c>
      <c r="BO246" s="57">
        <f>IF(ISERROR(IF(B246=C246,AD246/C246,(INT(AD246/B246)+(((AD246-B246*INT(AD246/B246)))/C246)/100))),0,(IF(B246=C246,AD246/C246,(INT(AD246/B246)+(((AD246-B246*INT(AD246/B246)))/C246)/100))))</f>
        <v>0</v>
      </c>
      <c r="BQ246" s="155"/>
    </row>
    <row r="247" spans="1:69" hidden="1" x14ac:dyDescent="0.35">
      <c r="A247" s="94"/>
      <c r="B247" s="113">
        <v>0</v>
      </c>
      <c r="C247" s="113">
        <v>0</v>
      </c>
      <c r="D247" s="28">
        <f>SUM(AA247:AD247)</f>
        <v>0</v>
      </c>
      <c r="E247" s="113">
        <v>0</v>
      </c>
      <c r="F247" s="113">
        <v>0</v>
      </c>
      <c r="G247" s="28">
        <f>SUM(D247:F247)</f>
        <v>0</v>
      </c>
      <c r="H247" s="125">
        <v>0</v>
      </c>
      <c r="I247" s="113">
        <v>0</v>
      </c>
      <c r="J247" s="125">
        <v>0</v>
      </c>
      <c r="K247" s="113">
        <v>0</v>
      </c>
      <c r="L247" s="113">
        <v>0</v>
      </c>
      <c r="M247" s="113">
        <v>0</v>
      </c>
      <c r="N247" s="28">
        <f>G247-SUM(H247:M247)</f>
        <v>0</v>
      </c>
      <c r="O247" s="28">
        <f>SUM(V247:Y247)</f>
        <v>0</v>
      </c>
      <c r="P247" s="28">
        <f>O247-N247</f>
        <v>0</v>
      </c>
      <c r="Q247" s="61" t="str">
        <f>IF(ISERROR(P247/SUM(H247:L247)),"",P247/SUM(H247:L247))</f>
        <v/>
      </c>
      <c r="R247" s="113">
        <v>0</v>
      </c>
      <c r="S247" s="28">
        <f>IF(ISERROR(P247/C247*R247),0,(P247/C247*R247))</f>
        <v>0</v>
      </c>
      <c r="T247" s="60">
        <f>IF(ISERROR(P247/B247*AF247),0,(P247/B247*AF247))</f>
        <v>0</v>
      </c>
      <c r="V247" s="113">
        <v>0</v>
      </c>
      <c r="W247" s="113">
        <v>0</v>
      </c>
      <c r="X247" s="113">
        <v>0</v>
      </c>
      <c r="Y247" s="113">
        <v>0</v>
      </c>
      <c r="AA247" s="113">
        <v>0</v>
      </c>
      <c r="AB247" s="113">
        <v>0</v>
      </c>
      <c r="AC247" s="113">
        <v>0</v>
      </c>
      <c r="AD247" s="113">
        <v>0</v>
      </c>
      <c r="AF247" s="113">
        <v>0</v>
      </c>
      <c r="AG247" s="28">
        <f>G247-O247</f>
        <v>0</v>
      </c>
      <c r="AH247" s="58">
        <f>IF(ISERROR(AG247/B247*AF247),0,(AG247/B247*AF247))</f>
        <v>0</v>
      </c>
      <c r="AI247" s="28">
        <f>SUM(H247:M247)</f>
        <v>0</v>
      </c>
      <c r="AJ247" s="28">
        <f>IF(ISERROR(AI247/B247*AF247),0,(AI247/B247*AF247))</f>
        <v>0</v>
      </c>
      <c r="AK247" s="58">
        <f>IF(ISERROR(O247/B247*AF247),0,(O247/B247*AF247))</f>
        <v>0</v>
      </c>
      <c r="AL247" s="28">
        <f>IF(ISERROR(H247/B247*AF247),0,(H247/B247*AF247))</f>
        <v>0</v>
      </c>
      <c r="AN247" s="51">
        <f>A247</f>
        <v>0</v>
      </c>
      <c r="AO247" s="57">
        <f>IF(ISERROR(IF(B247=C247,D247/C247,(INT(D247/B247)+(((D247-B247*INT(D247/B247)))/C247)/100))),0,(IF(B247=C247,D247/C247,(INT(D247/B247)+(((D247-B247*INT(D247/B247)))/C247)/100))))</f>
        <v>0</v>
      </c>
      <c r="AP247" s="57">
        <f>IF(ISERROR(IF(B247=C247,E247/C247,(INT(E247/B247)+(((E247-B247*INT(E247/B247)))/C247)/100))),0,(IF(B247=C247,E247/C247,(INT(E247/B247)+(((E247-B247*INT(E247/B247)))/C247)/100))))</f>
        <v>0</v>
      </c>
      <c r="AQ247" s="57">
        <f>IF(ISERROR(IF(B247=C247,F247/C247,IF((INT(F247/B247)+(((F247-B247*INT(F247/B247)))/C247)/100)&lt;0,(INT(F247/B247)+(((F247-B247*INT(F247/B247)))/C247)/100)+(1-(B247/C247/100)),(INT(F247/B247)+(((F247-B247*INT(F247/B247)))/C247)/100)))),0,IF(B247=C247,F247/C247,IF((INT(F247/B247)+(((F247-B247*INT(F247/B247)))/C247)/100)&lt;0,(INT(F247/B247)+(((F247-B247*INT(F247/B247)))/C247)/100)+(1-(B247/C247/100)),(INT(F247/B247)+(((F247-B247*INT(F247/B247)))/C247)/100))))</f>
        <v>0</v>
      </c>
      <c r="AR247" s="57">
        <f>IF(ISERROR(IF(B247=C247,G247/C247,(INT(G247/B247)+(((G247-B247*INT(G247/B247)))/C247)/100))),0,(IF(B247=C247,G247/C247,(INT(G247/B247)+(((G247-B247*INT(G247/B247)))/C247)/100))))</f>
        <v>0</v>
      </c>
      <c r="AS247" s="57">
        <f>IF(ISERROR(IF(B247=C247,H247/C247,(INT(H247/B247)+(((H247-B247*INT(H247/B247)))/C247)/100))),0,(IF(B247=C247,H247/C247,(INT(H247/B247)+(((H247-B247*INT(H247/B247)))/C247)/100))))</f>
        <v>0</v>
      </c>
      <c r="AT247" s="57">
        <f>IF(ISERROR(IF(B247=C247,I247/C247,(INT(I247/B247)+(((I247-B247*INT(I247/B247)))/C247)/100))),0,(IF(B247=C247,I247/C247,(INT(I247/B247)+(((I247-B247*INT(I247/B247)))/C247)/100))))</f>
        <v>0</v>
      </c>
      <c r="AU247" s="57">
        <f>IF(ISERROR(IF(B247=C247,J247/C247,(INT(J247/B247)+(((J247-B247*INT(J247/B247)))/C247)/100))),0,(IF(B247=C247,J247/C247,(INT(J247/B247)+(((J247-B247*INT(J247/B247)))/C247)/100))))</f>
        <v>0</v>
      </c>
      <c r="AV247" s="57">
        <f>IF(ISERROR(IF(B247=C247,K247/C247,IF((INT(K247/B247)+(((K247-B247*INT(K247/B247)))/C247)/100)&lt;0,(INT(K247/B247)+(((K247-B247*INT(K247/B247)))/C247)/100)+(1-(B247/C247/100)),(INT(K247/B247)+(((K247-B247*INT(K247/B247)))/C247)/100)))),0,IF(B247=C247,K247/C247,IF((INT(K247/B247)+(((K247-B247*INT(K247/B247)))/C247)/100)&lt;0,(INT(K247/B247)+(((K247-B247*INT(K247/B247)))/C247)/100)+(1-(B247/C247/100)),(INT(K247/B247)+(((K247-B247*INT(K247/B247)))/C247)/100))))</f>
        <v>0</v>
      </c>
      <c r="AW247" s="57">
        <f>IF(ISERROR(IF(B247=C247,L247/C247,(INT(L247/B247)+(((L247-B247*INT(L247/B247)))/C247)/100))),0,(IF(B247=C247,L247/C247,(INT(L247/B247)+(((L247-B247*INT(L247/B247)))/C247)/100))))</f>
        <v>0</v>
      </c>
      <c r="AX247" s="57">
        <f>IF(ISERROR(IF(B247=C247,M247/C247,(INT(M247/B247)+(((M247-B247*INT(M247/B247)))/C247)/100))),0,(IF(B247=C247,M247/C247,(INT(M247/B247)+(((M247-B247*INT(M247/B247)))/C247)/100))))</f>
        <v>0</v>
      </c>
      <c r="AY247" s="57">
        <f>IF(ISERROR(IF(B247=C247,N247/C247,IF((INT(N247/B247)+(((N247-B247*INT(N247/B247)))/C247)/100)&lt;0,(INT(N247/B247)+(((N247-B247*INT(N247/B247)))/C247)/100)+(1-(B247/C247/100)),(INT(N247/B247)+(((N247-B247*INT(N247/B247)))/C247)/100)))),0,IF(B247=C247,N247/C247,IF((INT(N247/B247)+(((N247-B247*INT(N247/B247)))/C247)/100)&lt;0,(INT(N247/B247)+(((N247-B247*INT(N247/B247)))/C247)/100)+(1-(B247/C247/100)),(INT(N247/B247)+(((N247-B247*INT(N247/B247)))/C247)/100))))</f>
        <v>0</v>
      </c>
      <c r="AZ247" s="57">
        <f>IF(ISERROR(IF(B247=C247,O247/C247,(INT(O247/B247)+(((O247-B247*INT(O247/B247)))/C247)/100))),0,(IF(B247=C247,O247/C247,(INT(O247/B247)+(((O247-B247*INT(O247/B247)))/C247)/100))))</f>
        <v>0</v>
      </c>
      <c r="BA247" s="57">
        <f>IF(ISERROR(IF(B247=C247,P247/C247,IF((INT(P247/B247)+(((P247-B247*INT(P247/B247)))/C247)/100)&lt;0,(INT(P247/B247)+(((P247-B247*INT(P247/B247)))/C247)/100)+(1-(B247/C247/100)),(INT(P247/B247)+(((P247-B247*INT(P247/B247)))/C247)/100)))),0,IF(B247=C247,P247/C247,IF((INT(P247/B247)+(((P247-B247*INT(P247/B247)))/C247)/100)&lt;0,(INT(P247/B247)+(((P247-B247*INT(P247/B247)))/C247)/100)+(1-(B247/C247/100)),(INT(P247/B247)+(((P247-B247*INT(P247/B247)))/C247)/100))))</f>
        <v>0</v>
      </c>
      <c r="BB247" s="28">
        <f>R247</f>
        <v>0</v>
      </c>
      <c r="BC247" s="28">
        <f>S247</f>
        <v>0</v>
      </c>
      <c r="BD247" s="28">
        <f>AF247</f>
        <v>0</v>
      </c>
      <c r="BE247" s="28">
        <f>T247</f>
        <v>0</v>
      </c>
      <c r="BG247" s="57">
        <f>IF(ISERROR(IF(B247=C247,V247/C247,(INT(V247/B247)+(((V247-B247*INT(V247/B247)))/C247)/100))),0,(IF(B247=C247,V247/C247,(INT(V247/B247)+(((V247-B247*INT(V247/B247)))/C247)/100))))</f>
        <v>0</v>
      </c>
      <c r="BH247" s="57">
        <f>IF(ISERROR(IF(B247=C247,W247/C247,(INT(W247/B247)+(((W247-B247*INT(W247/B247)))/C247)/100))),0,(IF(B247=C247,W247/C247,(INT(W247/B247)+(((W247-B247*INT(W247/B247)))/C247)/100))))</f>
        <v>0</v>
      </c>
      <c r="BI247" s="57">
        <f>IF(ISERROR(IF(B247=C247,X247/C247,(INT(X247/B247)+(((X247-B247*INT(X247/B247)))/C247)/100))),0,(IF(B247=C247,X247/C247,(INT(X247/B247)+(((X247-B247*INT(X247/B247)))/C247)/100))))</f>
        <v>0</v>
      </c>
      <c r="BJ247" s="57">
        <f>IF(ISERROR(IF(B247=C247,Y247/C247,(INT(Y247/B247)+(((Y247-B247*INT(Y247/B247)))/C247)/100))),0,(IF(B247=C247,Y247/C247,(INT(Y247/B247)+(((Y247-B247*INT(Y247/B247)))/C247)/100))))</f>
        <v>0</v>
      </c>
      <c r="BL247" s="57">
        <f>IF(ISERROR(IF(B247=C247,AA247/C247,(INT(AA247/B247)+(((AA247-B247*INT(AA247/B247)))/C247)/100))),0,(IF(B247=C247,AA247/C247,(INT(AA247/B247)+(((AA247-B247*INT(AA247/B247)))/C247)/100))))</f>
        <v>0</v>
      </c>
      <c r="BM247" s="57">
        <f>IF(ISERROR(IF(B247=C247,AB247/C247,(INT(AB247/B247)+(((AB247-B247*INT(AB247/B247)))/C247)/100))),0,(IF(B247=C247,AB247/C247,(INT(AB247/B247)+(((AB247-B247*INT(AB247/B247)))/C247)/100))))</f>
        <v>0</v>
      </c>
      <c r="BN247" s="57">
        <f>IF(ISERROR(IF(B247=C247,AC247/C247,(INT(AC247/B247)+(((AC247-B247*INT(AC247/B247)))/C247)/100))),0,(IF(B247=C247,AC247/C247,(INT(AC247/B247)+(((AC247-B247*INT(AC247/B247)))/C247)/100))))</f>
        <v>0</v>
      </c>
      <c r="BO247" s="57">
        <f>IF(ISERROR(IF(B247=C247,AD247/C247,(INT(AD247/B247)+(((AD247-B247*INT(AD247/B247)))/C247)/100))),0,(IF(B247=C247,AD247/C247,(INT(AD247/B247)+(((AD247-B247*INT(AD247/B247)))/C247)/100))))</f>
        <v>0</v>
      </c>
      <c r="BQ247" s="155"/>
    </row>
    <row r="248" spans="1:69" hidden="1" x14ac:dyDescent="0.35">
      <c r="A248" s="94"/>
      <c r="B248" s="113">
        <v>0</v>
      </c>
      <c r="C248" s="113">
        <v>0</v>
      </c>
      <c r="D248" s="28">
        <f>SUM(AA248:AD248)</f>
        <v>0</v>
      </c>
      <c r="E248" s="113">
        <v>0</v>
      </c>
      <c r="F248" s="113">
        <v>0</v>
      </c>
      <c r="G248" s="28">
        <f>SUM(D248:F248)</f>
        <v>0</v>
      </c>
      <c r="H248" s="125">
        <v>0</v>
      </c>
      <c r="I248" s="113">
        <v>0</v>
      </c>
      <c r="J248" s="125">
        <v>0</v>
      </c>
      <c r="K248" s="113">
        <v>0</v>
      </c>
      <c r="L248" s="113">
        <v>0</v>
      </c>
      <c r="M248" s="113">
        <v>0</v>
      </c>
      <c r="N248" s="28">
        <f>G248-SUM(H248:M248)</f>
        <v>0</v>
      </c>
      <c r="O248" s="28">
        <f>SUM(V248:Y248)</f>
        <v>0</v>
      </c>
      <c r="P248" s="28">
        <f>O248-N248</f>
        <v>0</v>
      </c>
      <c r="Q248" s="61" t="str">
        <f>IF(ISERROR(P248/SUM(H248:L248)),"",P248/SUM(H248:L248))</f>
        <v/>
      </c>
      <c r="R248" s="113">
        <v>0</v>
      </c>
      <c r="S248" s="28">
        <f>IF(ISERROR(P248/C248*R248),0,(P248/C248*R248))</f>
        <v>0</v>
      </c>
      <c r="T248" s="60">
        <f>IF(ISERROR(P248/B248*AF248),0,(P248/B248*AF248))</f>
        <v>0</v>
      </c>
      <c r="V248" s="113">
        <v>0</v>
      </c>
      <c r="W248" s="113">
        <v>0</v>
      </c>
      <c r="X248" s="113">
        <v>0</v>
      </c>
      <c r="Y248" s="113">
        <v>0</v>
      </c>
      <c r="AA248" s="113">
        <v>0</v>
      </c>
      <c r="AB248" s="113">
        <v>0</v>
      </c>
      <c r="AC248" s="113">
        <v>0</v>
      </c>
      <c r="AD248" s="113">
        <v>0</v>
      </c>
      <c r="AF248" s="113">
        <v>0</v>
      </c>
      <c r="AG248" s="28">
        <f>G248-O248</f>
        <v>0</v>
      </c>
      <c r="AH248" s="58">
        <f>IF(ISERROR(AG248/B248*AF248),0,(AG248/B248*AF248))</f>
        <v>0</v>
      </c>
      <c r="AI248" s="28">
        <f>SUM(H248:M248)</f>
        <v>0</v>
      </c>
      <c r="AJ248" s="28">
        <f>IF(ISERROR(AI248/B248*AF248),0,(AI248/B248*AF248))</f>
        <v>0</v>
      </c>
      <c r="AK248" s="58">
        <f>IF(ISERROR(O248/B248*AF248),0,(O248/B248*AF248))</f>
        <v>0</v>
      </c>
      <c r="AL248" s="28">
        <f>IF(ISERROR(H248/B248*AF248),0,(H248/B248*AF248))</f>
        <v>0</v>
      </c>
      <c r="AN248" s="51">
        <f>A248</f>
        <v>0</v>
      </c>
      <c r="AO248" s="57">
        <f>IF(ISERROR(IF(B248=C248,D248/C248,(INT(D248/B248)+(((D248-B248*INT(D248/B248)))/C248)/100))),0,(IF(B248=C248,D248/C248,(INT(D248/B248)+(((D248-B248*INT(D248/B248)))/C248)/100))))</f>
        <v>0</v>
      </c>
      <c r="AP248" s="57">
        <f>IF(ISERROR(IF(B248=C248,E248/C248,(INT(E248/B248)+(((E248-B248*INT(E248/B248)))/C248)/100))),0,(IF(B248=C248,E248/C248,(INT(E248/B248)+(((E248-B248*INT(E248/B248)))/C248)/100))))</f>
        <v>0</v>
      </c>
      <c r="AQ248" s="57">
        <f>IF(ISERROR(IF(B248=C248,F248/C248,IF((INT(F248/B248)+(((F248-B248*INT(F248/B248)))/C248)/100)&lt;0,(INT(F248/B248)+(((F248-B248*INT(F248/B248)))/C248)/100)+(1-(B248/C248/100)),(INT(F248/B248)+(((F248-B248*INT(F248/B248)))/C248)/100)))),0,IF(B248=C248,F248/C248,IF((INT(F248/B248)+(((F248-B248*INT(F248/B248)))/C248)/100)&lt;0,(INT(F248/B248)+(((F248-B248*INT(F248/B248)))/C248)/100)+(1-(B248/C248/100)),(INT(F248/B248)+(((F248-B248*INT(F248/B248)))/C248)/100))))</f>
        <v>0</v>
      </c>
      <c r="AR248" s="57">
        <f>IF(ISERROR(IF(B248=C248,G248/C248,(INT(G248/B248)+(((G248-B248*INT(G248/B248)))/C248)/100))),0,(IF(B248=C248,G248/C248,(INT(G248/B248)+(((G248-B248*INT(G248/B248)))/C248)/100))))</f>
        <v>0</v>
      </c>
      <c r="AS248" s="57">
        <f>IF(ISERROR(IF(B248=C248,H248/C248,(INT(H248/B248)+(((H248-B248*INT(H248/B248)))/C248)/100))),0,(IF(B248=C248,H248/C248,(INT(H248/B248)+(((H248-B248*INT(H248/B248)))/C248)/100))))</f>
        <v>0</v>
      </c>
      <c r="AT248" s="57">
        <f>IF(ISERROR(IF(B248=C248,I248/C248,(INT(I248/B248)+(((I248-B248*INT(I248/B248)))/C248)/100))),0,(IF(B248=C248,I248/C248,(INT(I248/B248)+(((I248-B248*INT(I248/B248)))/C248)/100))))</f>
        <v>0</v>
      </c>
      <c r="AU248" s="57">
        <f>IF(ISERROR(IF(B248=C248,J248/C248,(INT(J248/B248)+(((J248-B248*INT(J248/B248)))/C248)/100))),0,(IF(B248=C248,J248/C248,(INT(J248/B248)+(((J248-B248*INT(J248/B248)))/C248)/100))))</f>
        <v>0</v>
      </c>
      <c r="AV248" s="57">
        <f>IF(ISERROR(IF(B248=C248,K248/C248,IF((INT(K248/B248)+(((K248-B248*INT(K248/B248)))/C248)/100)&lt;0,(INT(K248/B248)+(((K248-B248*INT(K248/B248)))/C248)/100)+(1-(B248/C248/100)),(INT(K248/B248)+(((K248-B248*INT(K248/B248)))/C248)/100)))),0,IF(B248=C248,K248/C248,IF((INT(K248/B248)+(((K248-B248*INT(K248/B248)))/C248)/100)&lt;0,(INT(K248/B248)+(((K248-B248*INT(K248/B248)))/C248)/100)+(1-(B248/C248/100)),(INT(K248/B248)+(((K248-B248*INT(K248/B248)))/C248)/100))))</f>
        <v>0</v>
      </c>
      <c r="AW248" s="57">
        <f>IF(ISERROR(IF(B248=C248,L248/C248,(INT(L248/B248)+(((L248-B248*INT(L248/B248)))/C248)/100))),0,(IF(B248=C248,L248/C248,(INT(L248/B248)+(((L248-B248*INT(L248/B248)))/C248)/100))))</f>
        <v>0</v>
      </c>
      <c r="AX248" s="57">
        <f>IF(ISERROR(IF(B248=C248,M248/C248,(INT(M248/B248)+(((M248-B248*INT(M248/B248)))/C248)/100))),0,(IF(B248=C248,M248/C248,(INT(M248/B248)+(((M248-B248*INT(M248/B248)))/C248)/100))))</f>
        <v>0</v>
      </c>
      <c r="AY248" s="57">
        <f>IF(ISERROR(IF(B248=C248,N248/C248,IF((INT(N248/B248)+(((N248-B248*INT(N248/B248)))/C248)/100)&lt;0,(INT(N248/B248)+(((N248-B248*INT(N248/B248)))/C248)/100)+(1-(B248/C248/100)),(INT(N248/B248)+(((N248-B248*INT(N248/B248)))/C248)/100)))),0,IF(B248=C248,N248/C248,IF((INT(N248/B248)+(((N248-B248*INT(N248/B248)))/C248)/100)&lt;0,(INT(N248/B248)+(((N248-B248*INT(N248/B248)))/C248)/100)+(1-(B248/C248/100)),(INT(N248/B248)+(((N248-B248*INT(N248/B248)))/C248)/100))))</f>
        <v>0</v>
      </c>
      <c r="AZ248" s="57">
        <f>IF(ISERROR(IF(B248=C248,O248/C248,(INT(O248/B248)+(((O248-B248*INT(O248/B248)))/C248)/100))),0,(IF(B248=C248,O248/C248,(INT(O248/B248)+(((O248-B248*INT(O248/B248)))/C248)/100))))</f>
        <v>0</v>
      </c>
      <c r="BA248" s="57">
        <f>IF(ISERROR(IF(B248=C248,P248/C248,IF((INT(P248/B248)+(((P248-B248*INT(P248/B248)))/C248)/100)&lt;0,(INT(P248/B248)+(((P248-B248*INT(P248/B248)))/C248)/100)+(1-(B248/C248/100)),(INT(P248/B248)+(((P248-B248*INT(P248/B248)))/C248)/100)))),0,IF(B248=C248,P248/C248,IF((INT(P248/B248)+(((P248-B248*INT(P248/B248)))/C248)/100)&lt;0,(INT(P248/B248)+(((P248-B248*INT(P248/B248)))/C248)/100)+(1-(B248/C248/100)),(INT(P248/B248)+(((P248-B248*INT(P248/B248)))/C248)/100))))</f>
        <v>0</v>
      </c>
      <c r="BB248" s="28">
        <f>R248</f>
        <v>0</v>
      </c>
      <c r="BC248" s="28">
        <f>S248</f>
        <v>0</v>
      </c>
      <c r="BD248" s="28">
        <f>AF248</f>
        <v>0</v>
      </c>
      <c r="BE248" s="28">
        <f>T248</f>
        <v>0</v>
      </c>
      <c r="BG248" s="57">
        <f>IF(ISERROR(IF(B248=C248,V248/C248,(INT(V248/B248)+(((V248-B248*INT(V248/B248)))/C248)/100))),0,(IF(B248=C248,V248/C248,(INT(V248/B248)+(((V248-B248*INT(V248/B248)))/C248)/100))))</f>
        <v>0</v>
      </c>
      <c r="BH248" s="57">
        <f>IF(ISERROR(IF(B248=C248,W248/C248,(INT(W248/B248)+(((W248-B248*INT(W248/B248)))/C248)/100))),0,(IF(B248=C248,W248/C248,(INT(W248/B248)+(((W248-B248*INT(W248/B248)))/C248)/100))))</f>
        <v>0</v>
      </c>
      <c r="BI248" s="57">
        <f>IF(ISERROR(IF(B248=C248,X248/C248,(INT(X248/B248)+(((X248-B248*INT(X248/B248)))/C248)/100))),0,(IF(B248=C248,X248/C248,(INT(X248/B248)+(((X248-B248*INT(X248/B248)))/C248)/100))))</f>
        <v>0</v>
      </c>
      <c r="BJ248" s="57">
        <f>IF(ISERROR(IF(B248=C248,Y248/C248,(INT(Y248/B248)+(((Y248-B248*INT(Y248/B248)))/C248)/100))),0,(IF(B248=C248,Y248/C248,(INT(Y248/B248)+(((Y248-B248*INT(Y248/B248)))/C248)/100))))</f>
        <v>0</v>
      </c>
      <c r="BL248" s="57">
        <f>IF(ISERROR(IF(B248=C248,AA248/C248,(INT(AA248/B248)+(((AA248-B248*INT(AA248/B248)))/C248)/100))),0,(IF(B248=C248,AA248/C248,(INT(AA248/B248)+(((AA248-B248*INT(AA248/B248)))/C248)/100))))</f>
        <v>0</v>
      </c>
      <c r="BM248" s="57">
        <f>IF(ISERROR(IF(B248=C248,AB248/C248,(INT(AB248/B248)+(((AB248-B248*INT(AB248/B248)))/C248)/100))),0,(IF(B248=C248,AB248/C248,(INT(AB248/B248)+(((AB248-B248*INT(AB248/B248)))/C248)/100))))</f>
        <v>0</v>
      </c>
      <c r="BN248" s="57">
        <f>IF(ISERROR(IF(B248=C248,AC248/C248,(INT(AC248/B248)+(((AC248-B248*INT(AC248/B248)))/C248)/100))),0,(IF(B248=C248,AC248/C248,(INT(AC248/B248)+(((AC248-B248*INT(AC248/B248)))/C248)/100))))</f>
        <v>0</v>
      </c>
      <c r="BO248" s="57">
        <f>IF(ISERROR(IF(B248=C248,AD248/C248,(INT(AD248/B248)+(((AD248-B248*INT(AD248/B248)))/C248)/100))),0,(IF(B248=C248,AD248/C248,(INT(AD248/B248)+(((AD248-B248*INT(AD248/B248)))/C248)/100))))</f>
        <v>0</v>
      </c>
      <c r="BQ248" s="155"/>
    </row>
    <row r="249" spans="1:69" hidden="1" x14ac:dyDescent="0.35">
      <c r="A249" s="94"/>
      <c r="B249" s="113">
        <v>0</v>
      </c>
      <c r="C249" s="113">
        <v>0</v>
      </c>
      <c r="D249" s="28">
        <f>SUM(AA249:AD249)</f>
        <v>0</v>
      </c>
      <c r="E249" s="113">
        <v>0</v>
      </c>
      <c r="F249" s="113">
        <v>0</v>
      </c>
      <c r="G249" s="28">
        <f>SUM(D249:F249)</f>
        <v>0</v>
      </c>
      <c r="H249" s="125">
        <v>0</v>
      </c>
      <c r="I249" s="113">
        <v>0</v>
      </c>
      <c r="J249" s="125">
        <v>0</v>
      </c>
      <c r="K249" s="113">
        <v>0</v>
      </c>
      <c r="L249" s="113">
        <v>0</v>
      </c>
      <c r="M249" s="113">
        <v>0</v>
      </c>
      <c r="N249" s="28">
        <f>G249-SUM(H249:M249)</f>
        <v>0</v>
      </c>
      <c r="O249" s="28">
        <f>SUM(V249:Y249)</f>
        <v>0</v>
      </c>
      <c r="P249" s="28">
        <f>O249-N249</f>
        <v>0</v>
      </c>
      <c r="Q249" s="61" t="str">
        <f>IF(ISERROR(P249/SUM(H249:L249)),"",P249/SUM(H249:L249))</f>
        <v/>
      </c>
      <c r="R249" s="113">
        <v>0</v>
      </c>
      <c r="S249" s="28">
        <f>IF(ISERROR(P249/C249*R249),0,(P249/C249*R249))</f>
        <v>0</v>
      </c>
      <c r="T249" s="60">
        <f>IF(ISERROR(P249/B249*AF249),0,(P249/B249*AF249))</f>
        <v>0</v>
      </c>
      <c r="V249" s="113">
        <v>0</v>
      </c>
      <c r="W249" s="113">
        <v>0</v>
      </c>
      <c r="X249" s="113">
        <v>0</v>
      </c>
      <c r="Y249" s="113">
        <v>0</v>
      </c>
      <c r="AA249" s="113">
        <v>0</v>
      </c>
      <c r="AB249" s="113">
        <v>0</v>
      </c>
      <c r="AC249" s="113">
        <v>0</v>
      </c>
      <c r="AD249" s="113">
        <v>0</v>
      </c>
      <c r="AF249" s="113">
        <v>0</v>
      </c>
      <c r="AG249" s="28">
        <f>G249-O249</f>
        <v>0</v>
      </c>
      <c r="AH249" s="58">
        <f>IF(ISERROR(AG249/B249*AF249),0,(AG249/B249*AF249))</f>
        <v>0</v>
      </c>
      <c r="AI249" s="28">
        <f>SUM(H249:M249)</f>
        <v>0</v>
      </c>
      <c r="AJ249" s="28">
        <f>IF(ISERROR(AI249/B249*AF249),0,(AI249/B249*AF249))</f>
        <v>0</v>
      </c>
      <c r="AK249" s="58">
        <f>IF(ISERROR(O249/B249*AF249),0,(O249/B249*AF249))</f>
        <v>0</v>
      </c>
      <c r="AL249" s="28">
        <f>IF(ISERROR(H249/B249*AF249),0,(H249/B249*AF249))</f>
        <v>0</v>
      </c>
      <c r="AN249" s="51">
        <f>A249</f>
        <v>0</v>
      </c>
      <c r="AO249" s="57">
        <f>IF(ISERROR(IF(B249=C249,D249/C249,(INT(D249/B249)+(((D249-B249*INT(D249/B249)))/C249)/100))),0,(IF(B249=C249,D249/C249,(INT(D249/B249)+(((D249-B249*INT(D249/B249)))/C249)/100))))</f>
        <v>0</v>
      </c>
      <c r="AP249" s="57">
        <f>IF(ISERROR(IF(B249=C249,E249/C249,(INT(E249/B249)+(((E249-B249*INT(E249/B249)))/C249)/100))),0,(IF(B249=C249,E249/C249,(INT(E249/B249)+(((E249-B249*INT(E249/B249)))/C249)/100))))</f>
        <v>0</v>
      </c>
      <c r="AQ249" s="57">
        <f>IF(ISERROR(IF(B249=C249,F249/C249,IF((INT(F249/B249)+(((F249-B249*INT(F249/B249)))/C249)/100)&lt;0,(INT(F249/B249)+(((F249-B249*INT(F249/B249)))/C249)/100)+(1-(B249/C249/100)),(INT(F249/B249)+(((F249-B249*INT(F249/B249)))/C249)/100)))),0,IF(B249=C249,F249/C249,IF((INT(F249/B249)+(((F249-B249*INT(F249/B249)))/C249)/100)&lt;0,(INT(F249/B249)+(((F249-B249*INT(F249/B249)))/C249)/100)+(1-(B249/C249/100)),(INT(F249/B249)+(((F249-B249*INT(F249/B249)))/C249)/100))))</f>
        <v>0</v>
      </c>
      <c r="AR249" s="57">
        <f>IF(ISERROR(IF(B249=C249,G249/C249,(INT(G249/B249)+(((G249-B249*INT(G249/B249)))/C249)/100))),0,(IF(B249=C249,G249/C249,(INT(G249/B249)+(((G249-B249*INT(G249/B249)))/C249)/100))))</f>
        <v>0</v>
      </c>
      <c r="AS249" s="57">
        <f>IF(ISERROR(IF(B249=C249,H249/C249,(INT(H249/B249)+(((H249-B249*INT(H249/B249)))/C249)/100))),0,(IF(B249=C249,H249/C249,(INT(H249/B249)+(((H249-B249*INT(H249/B249)))/C249)/100))))</f>
        <v>0</v>
      </c>
      <c r="AT249" s="57">
        <f>IF(ISERROR(IF(B249=C249,I249/C249,(INT(I249/B249)+(((I249-B249*INT(I249/B249)))/C249)/100))),0,(IF(B249=C249,I249/C249,(INT(I249/B249)+(((I249-B249*INT(I249/B249)))/C249)/100))))</f>
        <v>0</v>
      </c>
      <c r="AU249" s="57">
        <f>IF(ISERROR(IF(B249=C249,J249/C249,(INT(J249/B249)+(((J249-B249*INT(J249/B249)))/C249)/100))),0,(IF(B249=C249,J249/C249,(INT(J249/B249)+(((J249-B249*INT(J249/B249)))/C249)/100))))</f>
        <v>0</v>
      </c>
      <c r="AV249" s="57">
        <f>IF(ISERROR(IF(B249=C249,K249/C249,IF((INT(K249/B249)+(((K249-B249*INT(K249/B249)))/C249)/100)&lt;0,(INT(K249/B249)+(((K249-B249*INT(K249/B249)))/C249)/100)+(1-(B249/C249/100)),(INT(K249/B249)+(((K249-B249*INT(K249/B249)))/C249)/100)))),0,IF(B249=C249,K249/C249,IF((INT(K249/B249)+(((K249-B249*INT(K249/B249)))/C249)/100)&lt;0,(INT(K249/B249)+(((K249-B249*INT(K249/B249)))/C249)/100)+(1-(B249/C249/100)),(INT(K249/B249)+(((K249-B249*INT(K249/B249)))/C249)/100))))</f>
        <v>0</v>
      </c>
      <c r="AW249" s="57">
        <f>IF(ISERROR(IF(B249=C249,L249/C249,(INT(L249/B249)+(((L249-B249*INT(L249/B249)))/C249)/100))),0,(IF(B249=C249,L249/C249,(INT(L249/B249)+(((L249-B249*INT(L249/B249)))/C249)/100))))</f>
        <v>0</v>
      </c>
      <c r="AX249" s="57">
        <f>IF(ISERROR(IF(B249=C249,M249/C249,(INT(M249/B249)+(((M249-B249*INT(M249/B249)))/C249)/100))),0,(IF(B249=C249,M249/C249,(INT(M249/B249)+(((M249-B249*INT(M249/B249)))/C249)/100))))</f>
        <v>0</v>
      </c>
      <c r="AY249" s="57">
        <f>IF(ISERROR(IF(B249=C249,N249/C249,IF((INT(N249/B249)+(((N249-B249*INT(N249/B249)))/C249)/100)&lt;0,(INT(N249/B249)+(((N249-B249*INT(N249/B249)))/C249)/100)+(1-(B249/C249/100)),(INT(N249/B249)+(((N249-B249*INT(N249/B249)))/C249)/100)))),0,IF(B249=C249,N249/C249,IF((INT(N249/B249)+(((N249-B249*INT(N249/B249)))/C249)/100)&lt;0,(INT(N249/B249)+(((N249-B249*INT(N249/B249)))/C249)/100)+(1-(B249/C249/100)),(INT(N249/B249)+(((N249-B249*INT(N249/B249)))/C249)/100))))</f>
        <v>0</v>
      </c>
      <c r="AZ249" s="57">
        <f>IF(ISERROR(IF(B249=C249,O249/C249,(INT(O249/B249)+(((O249-B249*INT(O249/B249)))/C249)/100))),0,(IF(B249=C249,O249/C249,(INT(O249/B249)+(((O249-B249*INT(O249/B249)))/C249)/100))))</f>
        <v>0</v>
      </c>
      <c r="BA249" s="57">
        <f>IF(ISERROR(IF(B249=C249,P249/C249,IF((INT(P249/B249)+(((P249-B249*INT(P249/B249)))/C249)/100)&lt;0,(INT(P249/B249)+(((P249-B249*INT(P249/B249)))/C249)/100)+(1-(B249/C249/100)),(INT(P249/B249)+(((P249-B249*INT(P249/B249)))/C249)/100)))),0,IF(B249=C249,P249/C249,IF((INT(P249/B249)+(((P249-B249*INT(P249/B249)))/C249)/100)&lt;0,(INT(P249/B249)+(((P249-B249*INT(P249/B249)))/C249)/100)+(1-(B249/C249/100)),(INT(P249/B249)+(((P249-B249*INT(P249/B249)))/C249)/100))))</f>
        <v>0</v>
      </c>
      <c r="BB249" s="28">
        <f>R249</f>
        <v>0</v>
      </c>
      <c r="BC249" s="28">
        <f>S249</f>
        <v>0</v>
      </c>
      <c r="BD249" s="28">
        <f>AF249</f>
        <v>0</v>
      </c>
      <c r="BE249" s="28">
        <f>T249</f>
        <v>0</v>
      </c>
      <c r="BG249" s="57">
        <f>IF(ISERROR(IF(B249=C249,V249/C249,(INT(V249/B249)+(((V249-B249*INT(V249/B249)))/C249)/100))),0,(IF(B249=C249,V249/C249,(INT(V249/B249)+(((V249-B249*INT(V249/B249)))/C249)/100))))</f>
        <v>0</v>
      </c>
      <c r="BH249" s="57">
        <f>IF(ISERROR(IF(B249=C249,W249/C249,(INT(W249/B249)+(((W249-B249*INT(W249/B249)))/C249)/100))),0,(IF(B249=C249,W249/C249,(INT(W249/B249)+(((W249-B249*INT(W249/B249)))/C249)/100))))</f>
        <v>0</v>
      </c>
      <c r="BI249" s="57">
        <f>IF(ISERROR(IF(B249=C249,X249/C249,(INT(X249/B249)+(((X249-B249*INT(X249/B249)))/C249)/100))),0,(IF(B249=C249,X249/C249,(INT(X249/B249)+(((X249-B249*INT(X249/B249)))/C249)/100))))</f>
        <v>0</v>
      </c>
      <c r="BJ249" s="57">
        <f>IF(ISERROR(IF(B249=C249,Y249/C249,(INT(Y249/B249)+(((Y249-B249*INT(Y249/B249)))/C249)/100))),0,(IF(B249=C249,Y249/C249,(INT(Y249/B249)+(((Y249-B249*INT(Y249/B249)))/C249)/100))))</f>
        <v>0</v>
      </c>
      <c r="BL249" s="57">
        <f>IF(ISERROR(IF(B249=C249,AA249/C249,(INT(AA249/B249)+(((AA249-B249*INT(AA249/B249)))/C249)/100))),0,(IF(B249=C249,AA249/C249,(INT(AA249/B249)+(((AA249-B249*INT(AA249/B249)))/C249)/100))))</f>
        <v>0</v>
      </c>
      <c r="BM249" s="57">
        <f>IF(ISERROR(IF(B249=C249,AB249/C249,(INT(AB249/B249)+(((AB249-B249*INT(AB249/B249)))/C249)/100))),0,(IF(B249=C249,AB249/C249,(INT(AB249/B249)+(((AB249-B249*INT(AB249/B249)))/C249)/100))))</f>
        <v>0</v>
      </c>
      <c r="BN249" s="57">
        <f>IF(ISERROR(IF(B249=C249,AC249/C249,(INT(AC249/B249)+(((AC249-B249*INT(AC249/B249)))/C249)/100))),0,(IF(B249=C249,AC249/C249,(INT(AC249/B249)+(((AC249-B249*INT(AC249/B249)))/C249)/100))))</f>
        <v>0</v>
      </c>
      <c r="BO249" s="57">
        <f>IF(ISERROR(IF(B249=C249,AD249/C249,(INT(AD249/B249)+(((AD249-B249*INT(AD249/B249)))/C249)/100))),0,(IF(B249=C249,AD249/C249,(INT(AD249/B249)+(((AD249-B249*INT(AD249/B249)))/C249)/100))))</f>
        <v>0</v>
      </c>
      <c r="BQ249" s="155"/>
    </row>
    <row r="250" spans="1:69" hidden="1" x14ac:dyDescent="0.35">
      <c r="A250" s="94"/>
      <c r="B250" s="113">
        <v>0</v>
      </c>
      <c r="C250" s="113">
        <v>0</v>
      </c>
      <c r="D250" s="28">
        <f>SUM(AA250:AD250)</f>
        <v>0</v>
      </c>
      <c r="E250" s="113">
        <v>0</v>
      </c>
      <c r="F250" s="113">
        <v>0</v>
      </c>
      <c r="G250" s="28">
        <f>SUM(D250:F250)</f>
        <v>0</v>
      </c>
      <c r="H250" s="125">
        <v>0</v>
      </c>
      <c r="I250" s="113">
        <v>0</v>
      </c>
      <c r="J250" s="125">
        <v>0</v>
      </c>
      <c r="K250" s="113">
        <v>0</v>
      </c>
      <c r="L250" s="113">
        <v>0</v>
      </c>
      <c r="M250" s="113">
        <v>0</v>
      </c>
      <c r="N250" s="28">
        <f>G250-SUM(H250:M250)</f>
        <v>0</v>
      </c>
      <c r="O250" s="28">
        <f>SUM(V250:Y250)</f>
        <v>0</v>
      </c>
      <c r="P250" s="28">
        <f>O250-N250</f>
        <v>0</v>
      </c>
      <c r="Q250" s="61" t="str">
        <f>IF(ISERROR(P250/SUM(H250:L250)),"",P250/SUM(H250:L250))</f>
        <v/>
      </c>
      <c r="R250" s="113">
        <v>0</v>
      </c>
      <c r="S250" s="28">
        <f>IF(ISERROR(P250/C250*R250),0,(P250/C250*R250))</f>
        <v>0</v>
      </c>
      <c r="T250" s="60">
        <f>IF(ISERROR(P250/B250*AF250),0,(P250/B250*AF250))</f>
        <v>0</v>
      </c>
      <c r="V250" s="113">
        <v>0</v>
      </c>
      <c r="W250" s="113">
        <v>0</v>
      </c>
      <c r="X250" s="113">
        <v>0</v>
      </c>
      <c r="Y250" s="113">
        <v>0</v>
      </c>
      <c r="AA250" s="113">
        <v>0</v>
      </c>
      <c r="AB250" s="113">
        <v>0</v>
      </c>
      <c r="AC250" s="113">
        <v>0</v>
      </c>
      <c r="AD250" s="113">
        <v>0</v>
      </c>
      <c r="AF250" s="113">
        <v>0</v>
      </c>
      <c r="AG250" s="28">
        <f>G250-O250</f>
        <v>0</v>
      </c>
      <c r="AH250" s="58">
        <f>IF(ISERROR(AG250/B250*AF250),0,(AG250/B250*AF250))</f>
        <v>0</v>
      </c>
      <c r="AI250" s="28">
        <f>SUM(H250:M250)</f>
        <v>0</v>
      </c>
      <c r="AJ250" s="28">
        <f>IF(ISERROR(AI250/B250*AF250),0,(AI250/B250*AF250))</f>
        <v>0</v>
      </c>
      <c r="AK250" s="58">
        <f>IF(ISERROR(O250/B250*AF250),0,(O250/B250*AF250))</f>
        <v>0</v>
      </c>
      <c r="AL250" s="28">
        <f>IF(ISERROR(H250/B250*AF250),0,(H250/B250*AF250))</f>
        <v>0</v>
      </c>
      <c r="AN250" s="51">
        <f>A250</f>
        <v>0</v>
      </c>
      <c r="AO250" s="57">
        <f>IF(ISERROR(IF(B250=C250,D250/C250,(INT(D250/B250)+(((D250-B250*INT(D250/B250)))/C250)/100))),0,(IF(B250=C250,D250/C250,(INT(D250/B250)+(((D250-B250*INT(D250/B250)))/C250)/100))))</f>
        <v>0</v>
      </c>
      <c r="AP250" s="57">
        <f>IF(ISERROR(IF(B250=C250,E250/C250,(INT(E250/B250)+(((E250-B250*INT(E250/B250)))/C250)/100))),0,(IF(B250=C250,E250/C250,(INT(E250/B250)+(((E250-B250*INT(E250/B250)))/C250)/100))))</f>
        <v>0</v>
      </c>
      <c r="AQ250" s="57">
        <f>IF(ISERROR(IF(B250=C250,F250/C250,IF((INT(F250/B250)+(((F250-B250*INT(F250/B250)))/C250)/100)&lt;0,(INT(F250/B250)+(((F250-B250*INT(F250/B250)))/C250)/100)+(1-(B250/C250/100)),(INT(F250/B250)+(((F250-B250*INT(F250/B250)))/C250)/100)))),0,IF(B250=C250,F250/C250,IF((INT(F250/B250)+(((F250-B250*INT(F250/B250)))/C250)/100)&lt;0,(INT(F250/B250)+(((F250-B250*INT(F250/B250)))/C250)/100)+(1-(B250/C250/100)),(INT(F250/B250)+(((F250-B250*INT(F250/B250)))/C250)/100))))</f>
        <v>0</v>
      </c>
      <c r="AR250" s="57">
        <f>IF(ISERROR(IF(B250=C250,G250/C250,(INT(G250/B250)+(((G250-B250*INT(G250/B250)))/C250)/100))),0,(IF(B250=C250,G250/C250,(INT(G250/B250)+(((G250-B250*INT(G250/B250)))/C250)/100))))</f>
        <v>0</v>
      </c>
      <c r="AS250" s="57">
        <f>IF(ISERROR(IF(B250=C250,H250/C250,(INT(H250/B250)+(((H250-B250*INT(H250/B250)))/C250)/100))),0,(IF(B250=C250,H250/C250,(INT(H250/B250)+(((H250-B250*INT(H250/B250)))/C250)/100))))</f>
        <v>0</v>
      </c>
      <c r="AT250" s="57">
        <f>IF(ISERROR(IF(B250=C250,I250/C250,(INT(I250/B250)+(((I250-B250*INT(I250/B250)))/C250)/100))),0,(IF(B250=C250,I250/C250,(INT(I250/B250)+(((I250-B250*INT(I250/B250)))/C250)/100))))</f>
        <v>0</v>
      </c>
      <c r="AU250" s="57">
        <f>IF(ISERROR(IF(B250=C250,J250/C250,(INT(J250/B250)+(((J250-B250*INT(J250/B250)))/C250)/100))),0,(IF(B250=C250,J250/C250,(INT(J250/B250)+(((J250-B250*INT(J250/B250)))/C250)/100))))</f>
        <v>0</v>
      </c>
      <c r="AV250" s="57">
        <f>IF(ISERROR(IF(B250=C250,K250/C250,IF((INT(K250/B250)+(((K250-B250*INT(K250/B250)))/C250)/100)&lt;0,(INT(K250/B250)+(((K250-B250*INT(K250/B250)))/C250)/100)+(1-(B250/C250/100)),(INT(K250/B250)+(((K250-B250*INT(K250/B250)))/C250)/100)))),0,IF(B250=C250,K250/C250,IF((INT(K250/B250)+(((K250-B250*INT(K250/B250)))/C250)/100)&lt;0,(INT(K250/B250)+(((K250-B250*INT(K250/B250)))/C250)/100)+(1-(B250/C250/100)),(INT(K250/B250)+(((K250-B250*INT(K250/B250)))/C250)/100))))</f>
        <v>0</v>
      </c>
      <c r="AW250" s="57">
        <f>IF(ISERROR(IF(B250=C250,L250/C250,(INT(L250/B250)+(((L250-B250*INT(L250/B250)))/C250)/100))),0,(IF(B250=C250,L250/C250,(INT(L250/B250)+(((L250-B250*INT(L250/B250)))/C250)/100))))</f>
        <v>0</v>
      </c>
      <c r="AX250" s="57">
        <f>IF(ISERROR(IF(B250=C250,M250/C250,(INT(M250/B250)+(((M250-B250*INT(M250/B250)))/C250)/100))),0,(IF(B250=C250,M250/C250,(INT(M250/B250)+(((M250-B250*INT(M250/B250)))/C250)/100))))</f>
        <v>0</v>
      </c>
      <c r="AY250" s="57">
        <f>IF(ISERROR(IF(B250=C250,N250/C250,IF((INT(N250/B250)+(((N250-B250*INT(N250/B250)))/C250)/100)&lt;0,(INT(N250/B250)+(((N250-B250*INT(N250/B250)))/C250)/100)+(1-(B250/C250/100)),(INT(N250/B250)+(((N250-B250*INT(N250/B250)))/C250)/100)))),0,IF(B250=C250,N250/C250,IF((INT(N250/B250)+(((N250-B250*INT(N250/B250)))/C250)/100)&lt;0,(INT(N250/B250)+(((N250-B250*INT(N250/B250)))/C250)/100)+(1-(B250/C250/100)),(INT(N250/B250)+(((N250-B250*INT(N250/B250)))/C250)/100))))</f>
        <v>0</v>
      </c>
      <c r="AZ250" s="57">
        <f>IF(ISERROR(IF(B250=C250,O250/C250,(INT(O250/B250)+(((O250-B250*INT(O250/B250)))/C250)/100))),0,(IF(B250=C250,O250/C250,(INT(O250/B250)+(((O250-B250*INT(O250/B250)))/C250)/100))))</f>
        <v>0</v>
      </c>
      <c r="BA250" s="57">
        <f>IF(ISERROR(IF(B250=C250,P250/C250,IF((INT(P250/B250)+(((P250-B250*INT(P250/B250)))/C250)/100)&lt;0,(INT(P250/B250)+(((P250-B250*INT(P250/B250)))/C250)/100)+(1-(B250/C250/100)),(INT(P250/B250)+(((P250-B250*INT(P250/B250)))/C250)/100)))),0,IF(B250=C250,P250/C250,IF((INT(P250/B250)+(((P250-B250*INT(P250/B250)))/C250)/100)&lt;0,(INT(P250/B250)+(((P250-B250*INT(P250/B250)))/C250)/100)+(1-(B250/C250/100)),(INT(P250/B250)+(((P250-B250*INT(P250/B250)))/C250)/100))))</f>
        <v>0</v>
      </c>
      <c r="BB250" s="28">
        <f>R250</f>
        <v>0</v>
      </c>
      <c r="BC250" s="28">
        <f>S250</f>
        <v>0</v>
      </c>
      <c r="BD250" s="28">
        <f>AF250</f>
        <v>0</v>
      </c>
      <c r="BE250" s="28">
        <f>T250</f>
        <v>0</v>
      </c>
      <c r="BG250" s="57">
        <f>IF(ISERROR(IF(B250=C250,V250/C250,(INT(V250/B250)+(((V250-B250*INT(V250/B250)))/C250)/100))),0,(IF(B250=C250,V250/C250,(INT(V250/B250)+(((V250-B250*INT(V250/B250)))/C250)/100))))</f>
        <v>0</v>
      </c>
      <c r="BH250" s="57">
        <f>IF(ISERROR(IF(B250=C250,W250/C250,(INT(W250/B250)+(((W250-B250*INT(W250/B250)))/C250)/100))),0,(IF(B250=C250,W250/C250,(INT(W250/B250)+(((W250-B250*INT(W250/B250)))/C250)/100))))</f>
        <v>0</v>
      </c>
      <c r="BI250" s="57">
        <f>IF(ISERROR(IF(B250=C250,X250/C250,(INT(X250/B250)+(((X250-B250*INT(X250/B250)))/C250)/100))),0,(IF(B250=C250,X250/C250,(INT(X250/B250)+(((X250-B250*INT(X250/B250)))/C250)/100))))</f>
        <v>0</v>
      </c>
      <c r="BJ250" s="57">
        <f>IF(ISERROR(IF(B250=C250,Y250/C250,(INT(Y250/B250)+(((Y250-B250*INT(Y250/B250)))/C250)/100))),0,(IF(B250=C250,Y250/C250,(INT(Y250/B250)+(((Y250-B250*INT(Y250/B250)))/C250)/100))))</f>
        <v>0</v>
      </c>
      <c r="BL250" s="57">
        <f>IF(ISERROR(IF(B250=C250,AA250/C250,(INT(AA250/B250)+(((AA250-B250*INT(AA250/B250)))/C250)/100))),0,(IF(B250=C250,AA250/C250,(INT(AA250/B250)+(((AA250-B250*INT(AA250/B250)))/C250)/100))))</f>
        <v>0</v>
      </c>
      <c r="BM250" s="57">
        <f>IF(ISERROR(IF(B250=C250,AB250/C250,(INT(AB250/B250)+(((AB250-B250*INT(AB250/B250)))/C250)/100))),0,(IF(B250=C250,AB250/C250,(INT(AB250/B250)+(((AB250-B250*INT(AB250/B250)))/C250)/100))))</f>
        <v>0</v>
      </c>
      <c r="BN250" s="57">
        <f>IF(ISERROR(IF(B250=C250,AC250/C250,(INT(AC250/B250)+(((AC250-B250*INT(AC250/B250)))/C250)/100))),0,(IF(B250=C250,AC250/C250,(INT(AC250/B250)+(((AC250-B250*INT(AC250/B250)))/C250)/100))))</f>
        <v>0</v>
      </c>
      <c r="BO250" s="57">
        <f>IF(ISERROR(IF(B250=C250,AD250/C250,(INT(AD250/B250)+(((AD250-B250*INT(AD250/B250)))/C250)/100))),0,(IF(B250=C250,AD250/C250,(INT(AD250/B250)+(((AD250-B250*INT(AD250/B250)))/C250)/100))))</f>
        <v>0</v>
      </c>
      <c r="BQ250" s="155"/>
    </row>
    <row r="251" spans="1:69" hidden="1" x14ac:dyDescent="0.35">
      <c r="A251" s="94"/>
      <c r="B251" s="113">
        <v>0</v>
      </c>
      <c r="C251" s="113">
        <v>0</v>
      </c>
      <c r="D251" s="28">
        <f>SUM(AA251:AD251)</f>
        <v>0</v>
      </c>
      <c r="E251" s="113">
        <v>0</v>
      </c>
      <c r="F251" s="113">
        <v>0</v>
      </c>
      <c r="G251" s="28">
        <f>SUM(D251:F251)</f>
        <v>0</v>
      </c>
      <c r="H251" s="125">
        <v>0</v>
      </c>
      <c r="I251" s="113">
        <v>0</v>
      </c>
      <c r="J251" s="125">
        <v>0</v>
      </c>
      <c r="K251" s="113">
        <v>0</v>
      </c>
      <c r="L251" s="113">
        <v>0</v>
      </c>
      <c r="M251" s="113">
        <v>0</v>
      </c>
      <c r="N251" s="28">
        <f>G251-SUM(H251:M251)</f>
        <v>0</v>
      </c>
      <c r="O251" s="28">
        <f>SUM(V251:Y251)</f>
        <v>0</v>
      </c>
      <c r="P251" s="28">
        <f>O251-N251</f>
        <v>0</v>
      </c>
      <c r="Q251" s="61" t="str">
        <f>IF(ISERROR(P251/SUM(H251:L251)),"",P251/SUM(H251:L251))</f>
        <v/>
      </c>
      <c r="R251" s="113">
        <v>0</v>
      </c>
      <c r="S251" s="28">
        <f>IF(ISERROR(P251/C251*R251),0,(P251/C251*R251))</f>
        <v>0</v>
      </c>
      <c r="T251" s="60">
        <f>IF(ISERROR(P251/B251*AF251),0,(P251/B251*AF251))</f>
        <v>0</v>
      </c>
      <c r="V251" s="113">
        <v>0</v>
      </c>
      <c r="W251" s="113">
        <v>0</v>
      </c>
      <c r="X251" s="113">
        <v>0</v>
      </c>
      <c r="Y251" s="113">
        <v>0</v>
      </c>
      <c r="AA251" s="113">
        <v>0</v>
      </c>
      <c r="AB251" s="113">
        <v>0</v>
      </c>
      <c r="AC251" s="113">
        <v>0</v>
      </c>
      <c r="AD251" s="113">
        <v>0</v>
      </c>
      <c r="AF251" s="113">
        <v>0</v>
      </c>
      <c r="AG251" s="28">
        <f>G251-O251</f>
        <v>0</v>
      </c>
      <c r="AH251" s="58">
        <f>IF(ISERROR(AG251/B251*AF251),0,(AG251/B251*AF251))</f>
        <v>0</v>
      </c>
      <c r="AI251" s="28">
        <f>SUM(H251:M251)</f>
        <v>0</v>
      </c>
      <c r="AJ251" s="28">
        <f>IF(ISERROR(AI251/B251*AF251),0,(AI251/B251*AF251))</f>
        <v>0</v>
      </c>
      <c r="AK251" s="58">
        <f>IF(ISERROR(O251/B251*AF251),0,(O251/B251*AF251))</f>
        <v>0</v>
      </c>
      <c r="AL251" s="28">
        <f>IF(ISERROR(H251/B251*AF251),0,(H251/B251*AF251))</f>
        <v>0</v>
      </c>
      <c r="AN251" s="51">
        <f>A251</f>
        <v>0</v>
      </c>
      <c r="AO251" s="57">
        <f>IF(ISERROR(IF(B251=C251,D251/C251,(INT(D251/B251)+(((D251-B251*INT(D251/B251)))/C251)/100))),0,(IF(B251=C251,D251/C251,(INT(D251/B251)+(((D251-B251*INT(D251/B251)))/C251)/100))))</f>
        <v>0</v>
      </c>
      <c r="AP251" s="57">
        <f>IF(ISERROR(IF(B251=C251,E251/C251,(INT(E251/B251)+(((E251-B251*INT(E251/B251)))/C251)/100))),0,(IF(B251=C251,E251/C251,(INT(E251/B251)+(((E251-B251*INT(E251/B251)))/C251)/100))))</f>
        <v>0</v>
      </c>
      <c r="AQ251" s="57">
        <f>IF(ISERROR(IF(B251=C251,F251/C251,IF((INT(F251/B251)+(((F251-B251*INT(F251/B251)))/C251)/100)&lt;0,(INT(F251/B251)+(((F251-B251*INT(F251/B251)))/C251)/100)+(1-(B251/C251/100)),(INT(F251/B251)+(((F251-B251*INT(F251/B251)))/C251)/100)))),0,IF(B251=C251,F251/C251,IF((INT(F251/B251)+(((F251-B251*INT(F251/B251)))/C251)/100)&lt;0,(INT(F251/B251)+(((F251-B251*INT(F251/B251)))/C251)/100)+(1-(B251/C251/100)),(INT(F251/B251)+(((F251-B251*INT(F251/B251)))/C251)/100))))</f>
        <v>0</v>
      </c>
      <c r="AR251" s="57">
        <f>IF(ISERROR(IF(B251=C251,G251/C251,(INT(G251/B251)+(((G251-B251*INT(G251/B251)))/C251)/100))),0,(IF(B251=C251,G251/C251,(INT(G251/B251)+(((G251-B251*INT(G251/B251)))/C251)/100))))</f>
        <v>0</v>
      </c>
      <c r="AS251" s="57">
        <f>IF(ISERROR(IF(B251=C251,H251/C251,(INT(H251/B251)+(((H251-B251*INT(H251/B251)))/C251)/100))),0,(IF(B251=C251,H251/C251,(INT(H251/B251)+(((H251-B251*INT(H251/B251)))/C251)/100))))</f>
        <v>0</v>
      </c>
      <c r="AT251" s="57">
        <f>IF(ISERROR(IF(B251=C251,I251/C251,(INT(I251/B251)+(((I251-B251*INT(I251/B251)))/C251)/100))),0,(IF(B251=C251,I251/C251,(INT(I251/B251)+(((I251-B251*INT(I251/B251)))/C251)/100))))</f>
        <v>0</v>
      </c>
      <c r="AU251" s="57">
        <f>IF(ISERROR(IF(B251=C251,J251/C251,(INT(J251/B251)+(((J251-B251*INT(J251/B251)))/C251)/100))),0,(IF(B251=C251,J251/C251,(INT(J251/B251)+(((J251-B251*INT(J251/B251)))/C251)/100))))</f>
        <v>0</v>
      </c>
      <c r="AV251" s="57">
        <f>IF(ISERROR(IF(B251=C251,K251/C251,IF((INT(K251/B251)+(((K251-B251*INT(K251/B251)))/C251)/100)&lt;0,(INT(K251/B251)+(((K251-B251*INT(K251/B251)))/C251)/100)+(1-(B251/C251/100)),(INT(K251/B251)+(((K251-B251*INT(K251/B251)))/C251)/100)))),0,IF(B251=C251,K251/C251,IF((INT(K251/B251)+(((K251-B251*INT(K251/B251)))/C251)/100)&lt;0,(INT(K251/B251)+(((K251-B251*INT(K251/B251)))/C251)/100)+(1-(B251/C251/100)),(INT(K251/B251)+(((K251-B251*INT(K251/B251)))/C251)/100))))</f>
        <v>0</v>
      </c>
      <c r="AW251" s="57">
        <f>IF(ISERROR(IF(B251=C251,L251/C251,(INT(L251/B251)+(((L251-B251*INT(L251/B251)))/C251)/100))),0,(IF(B251=C251,L251/C251,(INT(L251/B251)+(((L251-B251*INT(L251/B251)))/C251)/100))))</f>
        <v>0</v>
      </c>
      <c r="AX251" s="57">
        <f>IF(ISERROR(IF(B251=C251,M251/C251,(INT(M251/B251)+(((M251-B251*INT(M251/B251)))/C251)/100))),0,(IF(B251=C251,M251/C251,(INT(M251/B251)+(((M251-B251*INT(M251/B251)))/C251)/100))))</f>
        <v>0</v>
      </c>
      <c r="AY251" s="57">
        <f>IF(ISERROR(IF(B251=C251,N251/C251,IF((INT(N251/B251)+(((N251-B251*INT(N251/B251)))/C251)/100)&lt;0,(INT(N251/B251)+(((N251-B251*INT(N251/B251)))/C251)/100)+(1-(B251/C251/100)),(INT(N251/B251)+(((N251-B251*INT(N251/B251)))/C251)/100)))),0,IF(B251=C251,N251/C251,IF((INT(N251/B251)+(((N251-B251*INT(N251/B251)))/C251)/100)&lt;0,(INT(N251/B251)+(((N251-B251*INT(N251/B251)))/C251)/100)+(1-(B251/C251/100)),(INT(N251/B251)+(((N251-B251*INT(N251/B251)))/C251)/100))))</f>
        <v>0</v>
      </c>
      <c r="AZ251" s="57">
        <f>IF(ISERROR(IF(B251=C251,O251/C251,(INT(O251/B251)+(((O251-B251*INT(O251/B251)))/C251)/100))),0,(IF(B251=C251,O251/C251,(INT(O251/B251)+(((O251-B251*INT(O251/B251)))/C251)/100))))</f>
        <v>0</v>
      </c>
      <c r="BA251" s="57">
        <f>IF(ISERROR(IF(B251=C251,P251/C251,IF((INT(P251/B251)+(((P251-B251*INT(P251/B251)))/C251)/100)&lt;0,(INT(P251/B251)+(((P251-B251*INT(P251/B251)))/C251)/100)+(1-(B251/C251/100)),(INT(P251/B251)+(((P251-B251*INT(P251/B251)))/C251)/100)))),0,IF(B251=C251,P251/C251,IF((INT(P251/B251)+(((P251-B251*INT(P251/B251)))/C251)/100)&lt;0,(INT(P251/B251)+(((P251-B251*INT(P251/B251)))/C251)/100)+(1-(B251/C251/100)),(INT(P251/B251)+(((P251-B251*INT(P251/B251)))/C251)/100))))</f>
        <v>0</v>
      </c>
      <c r="BB251" s="28">
        <f>R251</f>
        <v>0</v>
      </c>
      <c r="BC251" s="28">
        <f>S251</f>
        <v>0</v>
      </c>
      <c r="BD251" s="28">
        <f>AF251</f>
        <v>0</v>
      </c>
      <c r="BE251" s="28">
        <f>T251</f>
        <v>0</v>
      </c>
      <c r="BG251" s="57">
        <f>IF(ISERROR(IF(B251=C251,V251/C251,(INT(V251/B251)+(((V251-B251*INT(V251/B251)))/C251)/100))),0,(IF(B251=C251,V251/C251,(INT(V251/B251)+(((V251-B251*INT(V251/B251)))/C251)/100))))</f>
        <v>0</v>
      </c>
      <c r="BH251" s="57">
        <f>IF(ISERROR(IF(B251=C251,W251/C251,(INT(W251/B251)+(((W251-B251*INT(W251/B251)))/C251)/100))),0,(IF(B251=C251,W251/C251,(INT(W251/B251)+(((W251-B251*INT(W251/B251)))/C251)/100))))</f>
        <v>0</v>
      </c>
      <c r="BI251" s="57">
        <f>IF(ISERROR(IF(B251=C251,X251/C251,(INT(X251/B251)+(((X251-B251*INT(X251/B251)))/C251)/100))),0,(IF(B251=C251,X251/C251,(INT(X251/B251)+(((X251-B251*INT(X251/B251)))/C251)/100))))</f>
        <v>0</v>
      </c>
      <c r="BJ251" s="57">
        <f>IF(ISERROR(IF(B251=C251,Y251/C251,(INT(Y251/B251)+(((Y251-B251*INT(Y251/B251)))/C251)/100))),0,(IF(B251=C251,Y251/C251,(INT(Y251/B251)+(((Y251-B251*INT(Y251/B251)))/C251)/100))))</f>
        <v>0</v>
      </c>
      <c r="BL251" s="57">
        <f>IF(ISERROR(IF(B251=C251,AA251/C251,(INT(AA251/B251)+(((AA251-B251*INT(AA251/B251)))/C251)/100))),0,(IF(B251=C251,AA251/C251,(INT(AA251/B251)+(((AA251-B251*INT(AA251/B251)))/C251)/100))))</f>
        <v>0</v>
      </c>
      <c r="BM251" s="57">
        <f>IF(ISERROR(IF(B251=C251,AB251/C251,(INT(AB251/B251)+(((AB251-B251*INT(AB251/B251)))/C251)/100))),0,(IF(B251=C251,AB251/C251,(INT(AB251/B251)+(((AB251-B251*INT(AB251/B251)))/C251)/100))))</f>
        <v>0</v>
      </c>
      <c r="BN251" s="57">
        <f>IF(ISERROR(IF(B251=C251,AC251/C251,(INT(AC251/B251)+(((AC251-B251*INT(AC251/B251)))/C251)/100))),0,(IF(B251=C251,AC251/C251,(INT(AC251/B251)+(((AC251-B251*INT(AC251/B251)))/C251)/100))))</f>
        <v>0</v>
      </c>
      <c r="BO251" s="57">
        <f>IF(ISERROR(IF(B251=C251,AD251/C251,(INT(AD251/B251)+(((AD251-B251*INT(AD251/B251)))/C251)/100))),0,(IF(B251=C251,AD251/C251,(INT(AD251/B251)+(((AD251-B251*INT(AD251/B251)))/C251)/100))))</f>
        <v>0</v>
      </c>
      <c r="BQ251" s="155"/>
    </row>
    <row r="252" spans="1:69" hidden="1" x14ac:dyDescent="0.35">
      <c r="A252" s="94"/>
      <c r="B252" s="113">
        <v>0</v>
      </c>
      <c r="C252" s="113">
        <v>0</v>
      </c>
      <c r="D252" s="28">
        <f>SUM(AA252:AD252)</f>
        <v>0</v>
      </c>
      <c r="E252" s="113">
        <v>0</v>
      </c>
      <c r="F252" s="113">
        <v>0</v>
      </c>
      <c r="G252" s="28">
        <f>SUM(D252:F252)</f>
        <v>0</v>
      </c>
      <c r="H252" s="125">
        <v>0</v>
      </c>
      <c r="I252" s="113">
        <v>0</v>
      </c>
      <c r="J252" s="125">
        <v>0</v>
      </c>
      <c r="K252" s="113">
        <v>0</v>
      </c>
      <c r="L252" s="113">
        <v>0</v>
      </c>
      <c r="M252" s="113">
        <v>0</v>
      </c>
      <c r="N252" s="28">
        <f>G252-SUM(H252:M252)</f>
        <v>0</v>
      </c>
      <c r="O252" s="28">
        <f>SUM(V252:Y252)</f>
        <v>0</v>
      </c>
      <c r="P252" s="28">
        <f>O252-N252</f>
        <v>0</v>
      </c>
      <c r="Q252" s="61" t="str">
        <f>IF(ISERROR(P252/SUM(H252:L252)),"",P252/SUM(H252:L252))</f>
        <v/>
      </c>
      <c r="R252" s="113">
        <v>0</v>
      </c>
      <c r="S252" s="28">
        <f>IF(ISERROR(P252/C252*R252),0,(P252/C252*R252))</f>
        <v>0</v>
      </c>
      <c r="T252" s="60">
        <f>IF(ISERROR(P252/B252*AF252),0,(P252/B252*AF252))</f>
        <v>0</v>
      </c>
      <c r="V252" s="113">
        <v>0</v>
      </c>
      <c r="W252" s="113">
        <v>0</v>
      </c>
      <c r="X252" s="113">
        <v>0</v>
      </c>
      <c r="Y252" s="113">
        <v>0</v>
      </c>
      <c r="AA252" s="113">
        <v>0</v>
      </c>
      <c r="AB252" s="113">
        <v>0</v>
      </c>
      <c r="AC252" s="113">
        <v>0</v>
      </c>
      <c r="AD252" s="113">
        <v>0</v>
      </c>
      <c r="AF252" s="113">
        <v>0</v>
      </c>
      <c r="AG252" s="28">
        <f>G252-O252</f>
        <v>0</v>
      </c>
      <c r="AH252" s="58">
        <f>IF(ISERROR(AG252/B252*AF252),0,(AG252/B252*AF252))</f>
        <v>0</v>
      </c>
      <c r="AI252" s="28">
        <f>SUM(H252:M252)</f>
        <v>0</v>
      </c>
      <c r="AJ252" s="28">
        <f>IF(ISERROR(AI252/B252*AF252),0,(AI252/B252*AF252))</f>
        <v>0</v>
      </c>
      <c r="AK252" s="58">
        <f>IF(ISERROR(O252/B252*AF252),0,(O252/B252*AF252))</f>
        <v>0</v>
      </c>
      <c r="AL252" s="28">
        <f>IF(ISERROR(H252/B252*AF252),0,(H252/B252*AF252))</f>
        <v>0</v>
      </c>
      <c r="AN252" s="51">
        <f>A252</f>
        <v>0</v>
      </c>
      <c r="AO252" s="57">
        <f>IF(ISERROR(IF(B252=C252,D252/C252,(INT(D252/B252)+(((D252-B252*INT(D252/B252)))/C252)/100))),0,(IF(B252=C252,D252/C252,(INT(D252/B252)+(((D252-B252*INT(D252/B252)))/C252)/100))))</f>
        <v>0</v>
      </c>
      <c r="AP252" s="57">
        <f>IF(ISERROR(IF(B252=C252,E252/C252,(INT(E252/B252)+(((E252-B252*INT(E252/B252)))/C252)/100))),0,(IF(B252=C252,E252/C252,(INT(E252/B252)+(((E252-B252*INT(E252/B252)))/C252)/100))))</f>
        <v>0</v>
      </c>
      <c r="AQ252" s="57">
        <f>IF(ISERROR(IF(B252=C252,F252/C252,IF((INT(F252/B252)+(((F252-B252*INT(F252/B252)))/C252)/100)&lt;0,(INT(F252/B252)+(((F252-B252*INT(F252/B252)))/C252)/100)+(1-(B252/C252/100)),(INT(F252/B252)+(((F252-B252*INT(F252/B252)))/C252)/100)))),0,IF(B252=C252,F252/C252,IF((INT(F252/B252)+(((F252-B252*INT(F252/B252)))/C252)/100)&lt;0,(INT(F252/B252)+(((F252-B252*INT(F252/B252)))/C252)/100)+(1-(B252/C252/100)),(INT(F252/B252)+(((F252-B252*INT(F252/B252)))/C252)/100))))</f>
        <v>0</v>
      </c>
      <c r="AR252" s="57">
        <f>IF(ISERROR(IF(B252=C252,G252/C252,(INT(G252/B252)+(((G252-B252*INT(G252/B252)))/C252)/100))),0,(IF(B252=C252,G252/C252,(INT(G252/B252)+(((G252-B252*INT(G252/B252)))/C252)/100))))</f>
        <v>0</v>
      </c>
      <c r="AS252" s="57">
        <f>IF(ISERROR(IF(B252=C252,H252/C252,(INT(H252/B252)+(((H252-B252*INT(H252/B252)))/C252)/100))),0,(IF(B252=C252,H252/C252,(INT(H252/B252)+(((H252-B252*INT(H252/B252)))/C252)/100))))</f>
        <v>0</v>
      </c>
      <c r="AT252" s="57">
        <f>IF(ISERROR(IF(B252=C252,I252/C252,(INT(I252/B252)+(((I252-B252*INT(I252/B252)))/C252)/100))),0,(IF(B252=C252,I252/C252,(INT(I252/B252)+(((I252-B252*INT(I252/B252)))/C252)/100))))</f>
        <v>0</v>
      </c>
      <c r="AU252" s="57">
        <f>IF(ISERROR(IF(B252=C252,J252/C252,(INT(J252/B252)+(((J252-B252*INT(J252/B252)))/C252)/100))),0,(IF(B252=C252,J252/C252,(INT(J252/B252)+(((J252-B252*INT(J252/B252)))/C252)/100))))</f>
        <v>0</v>
      </c>
      <c r="AV252" s="57">
        <f>IF(ISERROR(IF(B252=C252,K252/C252,IF((INT(K252/B252)+(((K252-B252*INT(K252/B252)))/C252)/100)&lt;0,(INT(K252/B252)+(((K252-B252*INT(K252/B252)))/C252)/100)+(1-(B252/C252/100)),(INT(K252/B252)+(((K252-B252*INT(K252/B252)))/C252)/100)))),0,IF(B252=C252,K252/C252,IF((INT(K252/B252)+(((K252-B252*INT(K252/B252)))/C252)/100)&lt;0,(INT(K252/B252)+(((K252-B252*INT(K252/B252)))/C252)/100)+(1-(B252/C252/100)),(INT(K252/B252)+(((K252-B252*INT(K252/B252)))/C252)/100))))</f>
        <v>0</v>
      </c>
      <c r="AW252" s="57">
        <f>IF(ISERROR(IF(B252=C252,L252/C252,(INT(L252/B252)+(((L252-B252*INT(L252/B252)))/C252)/100))),0,(IF(B252=C252,L252/C252,(INT(L252/B252)+(((L252-B252*INT(L252/B252)))/C252)/100))))</f>
        <v>0</v>
      </c>
      <c r="AX252" s="57">
        <f>IF(ISERROR(IF(B252=C252,M252/C252,(INT(M252/B252)+(((M252-B252*INT(M252/B252)))/C252)/100))),0,(IF(B252=C252,M252/C252,(INT(M252/B252)+(((M252-B252*INT(M252/B252)))/C252)/100))))</f>
        <v>0</v>
      </c>
      <c r="AY252" s="57">
        <f>IF(ISERROR(IF(B252=C252,N252/C252,IF((INT(N252/B252)+(((N252-B252*INT(N252/B252)))/C252)/100)&lt;0,(INT(N252/B252)+(((N252-B252*INT(N252/B252)))/C252)/100)+(1-(B252/C252/100)),(INT(N252/B252)+(((N252-B252*INT(N252/B252)))/C252)/100)))),0,IF(B252=C252,N252/C252,IF((INT(N252/B252)+(((N252-B252*INT(N252/B252)))/C252)/100)&lt;0,(INT(N252/B252)+(((N252-B252*INT(N252/B252)))/C252)/100)+(1-(B252/C252/100)),(INT(N252/B252)+(((N252-B252*INT(N252/B252)))/C252)/100))))</f>
        <v>0</v>
      </c>
      <c r="AZ252" s="57">
        <f>IF(ISERROR(IF(B252=C252,O252/C252,(INT(O252/B252)+(((O252-B252*INT(O252/B252)))/C252)/100))),0,(IF(B252=C252,O252/C252,(INT(O252/B252)+(((O252-B252*INT(O252/B252)))/C252)/100))))</f>
        <v>0</v>
      </c>
      <c r="BA252" s="57">
        <f>IF(ISERROR(IF(B252=C252,P252/C252,IF((INT(P252/B252)+(((P252-B252*INT(P252/B252)))/C252)/100)&lt;0,(INT(P252/B252)+(((P252-B252*INT(P252/B252)))/C252)/100)+(1-(B252/C252/100)),(INT(P252/B252)+(((P252-B252*INT(P252/B252)))/C252)/100)))),0,IF(B252=C252,P252/C252,IF((INT(P252/B252)+(((P252-B252*INT(P252/B252)))/C252)/100)&lt;0,(INT(P252/B252)+(((P252-B252*INT(P252/B252)))/C252)/100)+(1-(B252/C252/100)),(INT(P252/B252)+(((P252-B252*INT(P252/B252)))/C252)/100))))</f>
        <v>0</v>
      </c>
      <c r="BB252" s="28">
        <f>R252</f>
        <v>0</v>
      </c>
      <c r="BC252" s="28">
        <f>S252</f>
        <v>0</v>
      </c>
      <c r="BD252" s="28">
        <f>AF252</f>
        <v>0</v>
      </c>
      <c r="BE252" s="28">
        <f>T252</f>
        <v>0</v>
      </c>
      <c r="BG252" s="57">
        <f>IF(ISERROR(IF(B252=C252,V252/C252,(INT(V252/B252)+(((V252-B252*INT(V252/B252)))/C252)/100))),0,(IF(B252=C252,V252/C252,(INT(V252/B252)+(((V252-B252*INT(V252/B252)))/C252)/100))))</f>
        <v>0</v>
      </c>
      <c r="BH252" s="57">
        <f>IF(ISERROR(IF(B252=C252,W252/C252,(INT(W252/B252)+(((W252-B252*INT(W252/B252)))/C252)/100))),0,(IF(B252=C252,W252/C252,(INT(W252/B252)+(((W252-B252*INT(W252/B252)))/C252)/100))))</f>
        <v>0</v>
      </c>
      <c r="BI252" s="57">
        <f>IF(ISERROR(IF(B252=C252,X252/C252,(INT(X252/B252)+(((X252-B252*INT(X252/B252)))/C252)/100))),0,(IF(B252=C252,X252/C252,(INT(X252/B252)+(((X252-B252*INT(X252/B252)))/C252)/100))))</f>
        <v>0</v>
      </c>
      <c r="BJ252" s="57">
        <f>IF(ISERROR(IF(B252=C252,Y252/C252,(INT(Y252/B252)+(((Y252-B252*INT(Y252/B252)))/C252)/100))),0,(IF(B252=C252,Y252/C252,(INT(Y252/B252)+(((Y252-B252*INT(Y252/B252)))/C252)/100))))</f>
        <v>0</v>
      </c>
      <c r="BL252" s="57">
        <f>IF(ISERROR(IF(B252=C252,AA252/C252,(INT(AA252/B252)+(((AA252-B252*INT(AA252/B252)))/C252)/100))),0,(IF(B252=C252,AA252/C252,(INT(AA252/B252)+(((AA252-B252*INT(AA252/B252)))/C252)/100))))</f>
        <v>0</v>
      </c>
      <c r="BM252" s="57">
        <f>IF(ISERROR(IF(B252=C252,AB252/C252,(INT(AB252/B252)+(((AB252-B252*INT(AB252/B252)))/C252)/100))),0,(IF(B252=C252,AB252/C252,(INT(AB252/B252)+(((AB252-B252*INT(AB252/B252)))/C252)/100))))</f>
        <v>0</v>
      </c>
      <c r="BN252" s="57">
        <f>IF(ISERROR(IF(B252=C252,AC252/C252,(INT(AC252/B252)+(((AC252-B252*INT(AC252/B252)))/C252)/100))),0,(IF(B252=C252,AC252/C252,(INT(AC252/B252)+(((AC252-B252*INT(AC252/B252)))/C252)/100))))</f>
        <v>0</v>
      </c>
      <c r="BO252" s="57">
        <f>IF(ISERROR(IF(B252=C252,AD252/C252,(INT(AD252/B252)+(((AD252-B252*INT(AD252/B252)))/C252)/100))),0,(IF(B252=C252,AD252/C252,(INT(AD252/B252)+(((AD252-B252*INT(AD252/B252)))/C252)/100))))</f>
        <v>0</v>
      </c>
      <c r="BQ252" s="155"/>
    </row>
    <row r="253" spans="1:69" hidden="1" x14ac:dyDescent="0.35">
      <c r="A253" s="94"/>
      <c r="B253" s="113">
        <v>0</v>
      </c>
      <c r="C253" s="113">
        <v>0</v>
      </c>
      <c r="D253" s="28">
        <f>SUM(AA253:AD253)</f>
        <v>0</v>
      </c>
      <c r="E253" s="113">
        <v>0</v>
      </c>
      <c r="F253" s="113">
        <v>0</v>
      </c>
      <c r="G253" s="28">
        <f>SUM(D253:F253)</f>
        <v>0</v>
      </c>
      <c r="H253" s="125">
        <v>0</v>
      </c>
      <c r="I253" s="113">
        <v>0</v>
      </c>
      <c r="J253" s="125">
        <v>0</v>
      </c>
      <c r="K253" s="113">
        <v>0</v>
      </c>
      <c r="L253" s="113">
        <v>0</v>
      </c>
      <c r="M253" s="113">
        <v>0</v>
      </c>
      <c r="N253" s="28">
        <f>G253-SUM(H253:M253)</f>
        <v>0</v>
      </c>
      <c r="O253" s="28">
        <f>SUM(V253:Y253)</f>
        <v>0</v>
      </c>
      <c r="P253" s="28">
        <f>O253-N253</f>
        <v>0</v>
      </c>
      <c r="Q253" s="61" t="str">
        <f>IF(ISERROR(P253/SUM(H253:L253)),"",P253/SUM(H253:L253))</f>
        <v/>
      </c>
      <c r="R253" s="113">
        <v>0</v>
      </c>
      <c r="S253" s="28">
        <f>IF(ISERROR(P253/C253*R253),0,(P253/C253*R253))</f>
        <v>0</v>
      </c>
      <c r="T253" s="60">
        <f>IF(ISERROR(P253/B253*AF253),0,(P253/B253*AF253))</f>
        <v>0</v>
      </c>
      <c r="V253" s="113">
        <v>0</v>
      </c>
      <c r="W253" s="113">
        <v>0</v>
      </c>
      <c r="X253" s="113">
        <v>0</v>
      </c>
      <c r="Y253" s="113">
        <v>0</v>
      </c>
      <c r="AA253" s="113">
        <v>0</v>
      </c>
      <c r="AB253" s="113">
        <v>0</v>
      </c>
      <c r="AC253" s="113">
        <v>0</v>
      </c>
      <c r="AD253" s="113">
        <v>0</v>
      </c>
      <c r="AF253" s="113">
        <v>0</v>
      </c>
      <c r="AG253" s="28">
        <f>G253-O253</f>
        <v>0</v>
      </c>
      <c r="AH253" s="58">
        <f>IF(ISERROR(AG253/B253*AF253),0,(AG253/B253*AF253))</f>
        <v>0</v>
      </c>
      <c r="AI253" s="28">
        <f>SUM(H253:M253)</f>
        <v>0</v>
      </c>
      <c r="AJ253" s="28">
        <f>IF(ISERROR(AI253/B253*AF253),0,(AI253/B253*AF253))</f>
        <v>0</v>
      </c>
      <c r="AK253" s="58">
        <f>IF(ISERROR(O253/B253*AF253),0,(O253/B253*AF253))</f>
        <v>0</v>
      </c>
      <c r="AL253" s="28">
        <f>IF(ISERROR(H253/B253*AF253),0,(H253/B253*AF253))</f>
        <v>0</v>
      </c>
      <c r="AN253" s="51">
        <f>A253</f>
        <v>0</v>
      </c>
      <c r="AO253" s="57">
        <f>IF(ISERROR(IF(B253=C253,D253/C253,(INT(D253/B253)+(((D253-B253*INT(D253/B253)))/C253)/100))),0,(IF(B253=C253,D253/C253,(INT(D253/B253)+(((D253-B253*INT(D253/B253)))/C253)/100))))</f>
        <v>0</v>
      </c>
      <c r="AP253" s="57">
        <f>IF(ISERROR(IF(B253=C253,E253/C253,(INT(E253/B253)+(((E253-B253*INT(E253/B253)))/C253)/100))),0,(IF(B253=C253,E253/C253,(INT(E253/B253)+(((E253-B253*INT(E253/B253)))/C253)/100))))</f>
        <v>0</v>
      </c>
      <c r="AQ253" s="57">
        <f>IF(ISERROR(IF(B253=C253,F253/C253,IF((INT(F253/B253)+(((F253-B253*INT(F253/B253)))/C253)/100)&lt;0,(INT(F253/B253)+(((F253-B253*INT(F253/B253)))/C253)/100)+(1-(B253/C253/100)),(INT(F253/B253)+(((F253-B253*INT(F253/B253)))/C253)/100)))),0,IF(B253=C253,F253/C253,IF((INT(F253/B253)+(((F253-B253*INT(F253/B253)))/C253)/100)&lt;0,(INT(F253/B253)+(((F253-B253*INT(F253/B253)))/C253)/100)+(1-(B253/C253/100)),(INT(F253/B253)+(((F253-B253*INT(F253/B253)))/C253)/100))))</f>
        <v>0</v>
      </c>
      <c r="AR253" s="57">
        <f>IF(ISERROR(IF(B253=C253,G253/C253,(INT(G253/B253)+(((G253-B253*INT(G253/B253)))/C253)/100))),0,(IF(B253=C253,G253/C253,(INT(G253/B253)+(((G253-B253*INT(G253/B253)))/C253)/100))))</f>
        <v>0</v>
      </c>
      <c r="AS253" s="57">
        <f>IF(ISERROR(IF(B253=C253,H253/C253,(INT(H253/B253)+(((H253-B253*INT(H253/B253)))/C253)/100))),0,(IF(B253=C253,H253/C253,(INT(H253/B253)+(((H253-B253*INT(H253/B253)))/C253)/100))))</f>
        <v>0</v>
      </c>
      <c r="AT253" s="57">
        <f>IF(ISERROR(IF(B253=C253,I253/C253,(INT(I253/B253)+(((I253-B253*INT(I253/B253)))/C253)/100))),0,(IF(B253=C253,I253/C253,(INT(I253/B253)+(((I253-B253*INT(I253/B253)))/C253)/100))))</f>
        <v>0</v>
      </c>
      <c r="AU253" s="57">
        <f>IF(ISERROR(IF(B253=C253,J253/C253,(INT(J253/B253)+(((J253-B253*INT(J253/B253)))/C253)/100))),0,(IF(B253=C253,J253/C253,(INT(J253/B253)+(((J253-B253*INT(J253/B253)))/C253)/100))))</f>
        <v>0</v>
      </c>
      <c r="AV253" s="57">
        <f>IF(ISERROR(IF(B253=C253,K253/C253,IF((INT(K253/B253)+(((K253-B253*INT(K253/B253)))/C253)/100)&lt;0,(INT(K253/B253)+(((K253-B253*INT(K253/B253)))/C253)/100)+(1-(B253/C253/100)),(INT(K253/B253)+(((K253-B253*INT(K253/B253)))/C253)/100)))),0,IF(B253=C253,K253/C253,IF((INT(K253/B253)+(((K253-B253*INT(K253/B253)))/C253)/100)&lt;0,(INT(K253/B253)+(((K253-B253*INT(K253/B253)))/C253)/100)+(1-(B253/C253/100)),(INT(K253/B253)+(((K253-B253*INT(K253/B253)))/C253)/100))))</f>
        <v>0</v>
      </c>
      <c r="AW253" s="57">
        <f>IF(ISERROR(IF(B253=C253,L253/C253,(INT(L253/B253)+(((L253-B253*INT(L253/B253)))/C253)/100))),0,(IF(B253=C253,L253/C253,(INT(L253/B253)+(((L253-B253*INT(L253/B253)))/C253)/100))))</f>
        <v>0</v>
      </c>
      <c r="AX253" s="57">
        <f>IF(ISERROR(IF(B253=C253,M253/C253,(INT(M253/B253)+(((M253-B253*INT(M253/B253)))/C253)/100))),0,(IF(B253=C253,M253/C253,(INT(M253/B253)+(((M253-B253*INT(M253/B253)))/C253)/100))))</f>
        <v>0</v>
      </c>
      <c r="AY253" s="57">
        <f>IF(ISERROR(IF(B253=C253,N253/C253,IF((INT(N253/B253)+(((N253-B253*INT(N253/B253)))/C253)/100)&lt;0,(INT(N253/B253)+(((N253-B253*INT(N253/B253)))/C253)/100)+(1-(B253/C253/100)),(INT(N253/B253)+(((N253-B253*INT(N253/B253)))/C253)/100)))),0,IF(B253=C253,N253/C253,IF((INT(N253/B253)+(((N253-B253*INT(N253/B253)))/C253)/100)&lt;0,(INT(N253/B253)+(((N253-B253*INT(N253/B253)))/C253)/100)+(1-(B253/C253/100)),(INT(N253/B253)+(((N253-B253*INT(N253/B253)))/C253)/100))))</f>
        <v>0</v>
      </c>
      <c r="AZ253" s="57">
        <f>IF(ISERROR(IF(B253=C253,O253/C253,(INT(O253/B253)+(((O253-B253*INT(O253/B253)))/C253)/100))),0,(IF(B253=C253,O253/C253,(INT(O253/B253)+(((O253-B253*INT(O253/B253)))/C253)/100))))</f>
        <v>0</v>
      </c>
      <c r="BA253" s="57">
        <f>IF(ISERROR(IF(B253=C253,P253/C253,IF((INT(P253/B253)+(((P253-B253*INT(P253/B253)))/C253)/100)&lt;0,(INT(P253/B253)+(((P253-B253*INT(P253/B253)))/C253)/100)+(1-(B253/C253/100)),(INT(P253/B253)+(((P253-B253*INT(P253/B253)))/C253)/100)))),0,IF(B253=C253,P253/C253,IF((INT(P253/B253)+(((P253-B253*INT(P253/B253)))/C253)/100)&lt;0,(INT(P253/B253)+(((P253-B253*INT(P253/B253)))/C253)/100)+(1-(B253/C253/100)),(INT(P253/B253)+(((P253-B253*INT(P253/B253)))/C253)/100))))</f>
        <v>0</v>
      </c>
      <c r="BB253" s="28">
        <f>R253</f>
        <v>0</v>
      </c>
      <c r="BC253" s="28">
        <f>S253</f>
        <v>0</v>
      </c>
      <c r="BD253" s="28">
        <f>AF253</f>
        <v>0</v>
      </c>
      <c r="BE253" s="28">
        <f>T253</f>
        <v>0</v>
      </c>
      <c r="BG253" s="57">
        <f>IF(ISERROR(IF(B253=C253,V253/C253,(INT(V253/B253)+(((V253-B253*INT(V253/B253)))/C253)/100))),0,(IF(B253=C253,V253/C253,(INT(V253/B253)+(((V253-B253*INT(V253/B253)))/C253)/100))))</f>
        <v>0</v>
      </c>
      <c r="BH253" s="57">
        <f>IF(ISERROR(IF(B253=C253,W253/C253,(INT(W253/B253)+(((W253-B253*INT(W253/B253)))/C253)/100))),0,(IF(B253=C253,W253/C253,(INT(W253/B253)+(((W253-B253*INT(W253/B253)))/C253)/100))))</f>
        <v>0</v>
      </c>
      <c r="BI253" s="57">
        <f>IF(ISERROR(IF(B253=C253,X253/C253,(INT(X253/B253)+(((X253-B253*INT(X253/B253)))/C253)/100))),0,(IF(B253=C253,X253/C253,(INT(X253/B253)+(((X253-B253*INT(X253/B253)))/C253)/100))))</f>
        <v>0</v>
      </c>
      <c r="BJ253" s="57">
        <f>IF(ISERROR(IF(B253=C253,Y253/C253,(INT(Y253/B253)+(((Y253-B253*INT(Y253/B253)))/C253)/100))),0,(IF(B253=C253,Y253/C253,(INT(Y253/B253)+(((Y253-B253*INT(Y253/B253)))/C253)/100))))</f>
        <v>0</v>
      </c>
      <c r="BL253" s="57">
        <f>IF(ISERROR(IF(B253=C253,AA253/C253,(INT(AA253/B253)+(((AA253-B253*INT(AA253/B253)))/C253)/100))),0,(IF(B253=C253,AA253/C253,(INT(AA253/B253)+(((AA253-B253*INT(AA253/B253)))/C253)/100))))</f>
        <v>0</v>
      </c>
      <c r="BM253" s="57">
        <f>IF(ISERROR(IF(B253=C253,AB253/C253,(INT(AB253/B253)+(((AB253-B253*INT(AB253/B253)))/C253)/100))),0,(IF(B253=C253,AB253/C253,(INT(AB253/B253)+(((AB253-B253*INT(AB253/B253)))/C253)/100))))</f>
        <v>0</v>
      </c>
      <c r="BN253" s="57">
        <f>IF(ISERROR(IF(B253=C253,AC253/C253,(INT(AC253/B253)+(((AC253-B253*INT(AC253/B253)))/C253)/100))),0,(IF(B253=C253,AC253/C253,(INT(AC253/B253)+(((AC253-B253*INT(AC253/B253)))/C253)/100))))</f>
        <v>0</v>
      </c>
      <c r="BO253" s="57">
        <f>IF(ISERROR(IF(B253=C253,AD253/C253,(INT(AD253/B253)+(((AD253-B253*INT(AD253/B253)))/C253)/100))),0,(IF(B253=C253,AD253/C253,(INT(AD253/B253)+(((AD253-B253*INT(AD253/B253)))/C253)/100))))</f>
        <v>0</v>
      </c>
      <c r="BQ253" s="155"/>
    </row>
    <row r="254" spans="1:69" hidden="1" x14ac:dyDescent="0.35">
      <c r="A254" s="94"/>
      <c r="B254" s="113">
        <v>0</v>
      </c>
      <c r="C254" s="113">
        <v>0</v>
      </c>
      <c r="D254" s="28">
        <f>SUM(AA254:AD254)</f>
        <v>0</v>
      </c>
      <c r="E254" s="113">
        <v>0</v>
      </c>
      <c r="F254" s="113">
        <v>0</v>
      </c>
      <c r="G254" s="28">
        <f>SUM(D254:F254)</f>
        <v>0</v>
      </c>
      <c r="H254" s="125">
        <v>0</v>
      </c>
      <c r="I254" s="113">
        <v>0</v>
      </c>
      <c r="J254" s="125">
        <v>0</v>
      </c>
      <c r="K254" s="113">
        <v>0</v>
      </c>
      <c r="L254" s="113">
        <v>0</v>
      </c>
      <c r="M254" s="113">
        <v>0</v>
      </c>
      <c r="N254" s="28">
        <f>G254-SUM(H254:M254)</f>
        <v>0</v>
      </c>
      <c r="O254" s="28">
        <f>SUM(V254:Y254)</f>
        <v>0</v>
      </c>
      <c r="P254" s="28">
        <f>O254-N254</f>
        <v>0</v>
      </c>
      <c r="Q254" s="61" t="str">
        <f>IF(ISERROR(P254/SUM(H254:L254)),"",P254/SUM(H254:L254))</f>
        <v/>
      </c>
      <c r="R254" s="113">
        <v>0</v>
      </c>
      <c r="S254" s="28">
        <f>IF(ISERROR(P254/C254*R254),0,(P254/C254*R254))</f>
        <v>0</v>
      </c>
      <c r="T254" s="60">
        <f>IF(ISERROR(P254/B254*AF254),0,(P254/B254*AF254))</f>
        <v>0</v>
      </c>
      <c r="V254" s="113">
        <v>0</v>
      </c>
      <c r="W254" s="113">
        <v>0</v>
      </c>
      <c r="X254" s="113">
        <v>0</v>
      </c>
      <c r="Y254" s="113">
        <v>0</v>
      </c>
      <c r="AA254" s="113">
        <v>0</v>
      </c>
      <c r="AB254" s="113">
        <v>0</v>
      </c>
      <c r="AC254" s="113">
        <v>0</v>
      </c>
      <c r="AD254" s="113">
        <v>0</v>
      </c>
      <c r="AF254" s="113">
        <v>0</v>
      </c>
      <c r="AG254" s="28">
        <f>G254-O254</f>
        <v>0</v>
      </c>
      <c r="AH254" s="58">
        <f>IF(ISERROR(AG254/B254*AF254),0,(AG254/B254*AF254))</f>
        <v>0</v>
      </c>
      <c r="AI254" s="28">
        <f>SUM(H254:M254)</f>
        <v>0</v>
      </c>
      <c r="AJ254" s="28">
        <f>IF(ISERROR(AI254/B254*AF254),0,(AI254/B254*AF254))</f>
        <v>0</v>
      </c>
      <c r="AK254" s="58">
        <f>IF(ISERROR(O254/B254*AF254),0,(O254/B254*AF254))</f>
        <v>0</v>
      </c>
      <c r="AL254" s="28">
        <f>IF(ISERROR(H254/B254*AF254),0,(H254/B254*AF254))</f>
        <v>0</v>
      </c>
      <c r="AN254" s="51">
        <f>A254</f>
        <v>0</v>
      </c>
      <c r="AO254" s="57">
        <f>IF(ISERROR(IF(B254=C254,D254/C254,(INT(D254/B254)+(((D254-B254*INT(D254/B254)))/C254)/100))),0,(IF(B254=C254,D254/C254,(INT(D254/B254)+(((D254-B254*INT(D254/B254)))/C254)/100))))</f>
        <v>0</v>
      </c>
      <c r="AP254" s="57">
        <f>IF(ISERROR(IF(B254=C254,E254/C254,(INT(E254/B254)+(((E254-B254*INT(E254/B254)))/C254)/100))),0,(IF(B254=C254,E254/C254,(INT(E254/B254)+(((E254-B254*INT(E254/B254)))/C254)/100))))</f>
        <v>0</v>
      </c>
      <c r="AQ254" s="57">
        <f>IF(ISERROR(IF(B254=C254,F254/C254,IF((INT(F254/B254)+(((F254-B254*INT(F254/B254)))/C254)/100)&lt;0,(INT(F254/B254)+(((F254-B254*INT(F254/B254)))/C254)/100)+(1-(B254/C254/100)),(INT(F254/B254)+(((F254-B254*INT(F254/B254)))/C254)/100)))),0,IF(B254=C254,F254/C254,IF((INT(F254/B254)+(((F254-B254*INT(F254/B254)))/C254)/100)&lt;0,(INT(F254/B254)+(((F254-B254*INT(F254/B254)))/C254)/100)+(1-(B254/C254/100)),(INT(F254/B254)+(((F254-B254*INT(F254/B254)))/C254)/100))))</f>
        <v>0</v>
      </c>
      <c r="AR254" s="57">
        <f>IF(ISERROR(IF(B254=C254,G254/C254,(INT(G254/B254)+(((G254-B254*INT(G254/B254)))/C254)/100))),0,(IF(B254=C254,G254/C254,(INT(G254/B254)+(((G254-B254*INT(G254/B254)))/C254)/100))))</f>
        <v>0</v>
      </c>
      <c r="AS254" s="57">
        <f>IF(ISERROR(IF(B254=C254,H254/C254,(INT(H254/B254)+(((H254-B254*INT(H254/B254)))/C254)/100))),0,(IF(B254=C254,H254/C254,(INT(H254/B254)+(((H254-B254*INT(H254/B254)))/C254)/100))))</f>
        <v>0</v>
      </c>
      <c r="AT254" s="57">
        <f>IF(ISERROR(IF(B254=C254,I254/C254,(INT(I254/B254)+(((I254-B254*INT(I254/B254)))/C254)/100))),0,(IF(B254=C254,I254/C254,(INT(I254/B254)+(((I254-B254*INT(I254/B254)))/C254)/100))))</f>
        <v>0</v>
      </c>
      <c r="AU254" s="57">
        <f>IF(ISERROR(IF(B254=C254,J254/C254,(INT(J254/B254)+(((J254-B254*INT(J254/B254)))/C254)/100))),0,(IF(B254=C254,J254/C254,(INT(J254/B254)+(((J254-B254*INT(J254/B254)))/C254)/100))))</f>
        <v>0</v>
      </c>
      <c r="AV254" s="57">
        <f>IF(ISERROR(IF(B254=C254,K254/C254,IF((INT(K254/B254)+(((K254-B254*INT(K254/B254)))/C254)/100)&lt;0,(INT(K254/B254)+(((K254-B254*INT(K254/B254)))/C254)/100)+(1-(B254/C254/100)),(INT(K254/B254)+(((K254-B254*INT(K254/B254)))/C254)/100)))),0,IF(B254=C254,K254/C254,IF((INT(K254/B254)+(((K254-B254*INT(K254/B254)))/C254)/100)&lt;0,(INT(K254/B254)+(((K254-B254*INT(K254/B254)))/C254)/100)+(1-(B254/C254/100)),(INT(K254/B254)+(((K254-B254*INT(K254/B254)))/C254)/100))))</f>
        <v>0</v>
      </c>
      <c r="AW254" s="57">
        <f>IF(ISERROR(IF(B254=C254,L254/C254,(INT(L254/B254)+(((L254-B254*INT(L254/B254)))/C254)/100))),0,(IF(B254=C254,L254/C254,(INT(L254/B254)+(((L254-B254*INT(L254/B254)))/C254)/100))))</f>
        <v>0</v>
      </c>
      <c r="AX254" s="57">
        <f>IF(ISERROR(IF(B254=C254,M254/C254,(INT(M254/B254)+(((M254-B254*INT(M254/B254)))/C254)/100))),0,(IF(B254=C254,M254/C254,(INT(M254/B254)+(((M254-B254*INT(M254/B254)))/C254)/100))))</f>
        <v>0</v>
      </c>
      <c r="AY254" s="57">
        <f>IF(ISERROR(IF(B254=C254,N254/C254,IF((INT(N254/B254)+(((N254-B254*INT(N254/B254)))/C254)/100)&lt;0,(INT(N254/B254)+(((N254-B254*INT(N254/B254)))/C254)/100)+(1-(B254/C254/100)),(INT(N254/B254)+(((N254-B254*INT(N254/B254)))/C254)/100)))),0,IF(B254=C254,N254/C254,IF((INT(N254/B254)+(((N254-B254*INT(N254/B254)))/C254)/100)&lt;0,(INT(N254/B254)+(((N254-B254*INT(N254/B254)))/C254)/100)+(1-(B254/C254/100)),(INT(N254/B254)+(((N254-B254*INT(N254/B254)))/C254)/100))))</f>
        <v>0</v>
      </c>
      <c r="AZ254" s="57">
        <f>IF(ISERROR(IF(B254=C254,O254/C254,(INT(O254/B254)+(((O254-B254*INT(O254/B254)))/C254)/100))),0,(IF(B254=C254,O254/C254,(INT(O254/B254)+(((O254-B254*INT(O254/B254)))/C254)/100))))</f>
        <v>0</v>
      </c>
      <c r="BA254" s="57">
        <f>IF(ISERROR(IF(B254=C254,P254/C254,IF((INT(P254/B254)+(((P254-B254*INT(P254/B254)))/C254)/100)&lt;0,(INT(P254/B254)+(((P254-B254*INT(P254/B254)))/C254)/100)+(1-(B254/C254/100)),(INT(P254/B254)+(((P254-B254*INT(P254/B254)))/C254)/100)))),0,IF(B254=C254,P254/C254,IF((INT(P254/B254)+(((P254-B254*INT(P254/B254)))/C254)/100)&lt;0,(INT(P254/B254)+(((P254-B254*INT(P254/B254)))/C254)/100)+(1-(B254/C254/100)),(INT(P254/B254)+(((P254-B254*INT(P254/B254)))/C254)/100))))</f>
        <v>0</v>
      </c>
      <c r="BB254" s="28">
        <f>R254</f>
        <v>0</v>
      </c>
      <c r="BC254" s="28">
        <f>S254</f>
        <v>0</v>
      </c>
      <c r="BD254" s="28">
        <f>AF254</f>
        <v>0</v>
      </c>
      <c r="BE254" s="28">
        <f>T254</f>
        <v>0</v>
      </c>
      <c r="BG254" s="57">
        <f>IF(ISERROR(IF(B254=C254,V254/C254,(INT(V254/B254)+(((V254-B254*INT(V254/B254)))/C254)/100))),0,(IF(B254=C254,V254/C254,(INT(V254/B254)+(((V254-B254*INT(V254/B254)))/C254)/100))))</f>
        <v>0</v>
      </c>
      <c r="BH254" s="57">
        <f>IF(ISERROR(IF(B254=C254,W254/C254,(INT(W254/B254)+(((W254-B254*INT(W254/B254)))/C254)/100))),0,(IF(B254=C254,W254/C254,(INT(W254/B254)+(((W254-B254*INT(W254/B254)))/C254)/100))))</f>
        <v>0</v>
      </c>
      <c r="BI254" s="57">
        <f>IF(ISERROR(IF(B254=C254,X254/C254,(INT(X254/B254)+(((X254-B254*INT(X254/B254)))/C254)/100))),0,(IF(B254=C254,X254/C254,(INT(X254/B254)+(((X254-B254*INT(X254/B254)))/C254)/100))))</f>
        <v>0</v>
      </c>
      <c r="BJ254" s="57">
        <f>IF(ISERROR(IF(B254=C254,Y254/C254,(INT(Y254/B254)+(((Y254-B254*INT(Y254/B254)))/C254)/100))),0,(IF(B254=C254,Y254/C254,(INT(Y254/B254)+(((Y254-B254*INT(Y254/B254)))/C254)/100))))</f>
        <v>0</v>
      </c>
      <c r="BL254" s="57">
        <f>IF(ISERROR(IF(B254=C254,AA254/C254,(INT(AA254/B254)+(((AA254-B254*INT(AA254/B254)))/C254)/100))),0,(IF(B254=C254,AA254/C254,(INT(AA254/B254)+(((AA254-B254*INT(AA254/B254)))/C254)/100))))</f>
        <v>0</v>
      </c>
      <c r="BM254" s="57">
        <f>IF(ISERROR(IF(B254=C254,AB254/C254,(INT(AB254/B254)+(((AB254-B254*INT(AB254/B254)))/C254)/100))),0,(IF(B254=C254,AB254/C254,(INT(AB254/B254)+(((AB254-B254*INT(AB254/B254)))/C254)/100))))</f>
        <v>0</v>
      </c>
      <c r="BN254" s="57">
        <f>IF(ISERROR(IF(B254=C254,AC254/C254,(INT(AC254/B254)+(((AC254-B254*INT(AC254/B254)))/C254)/100))),0,(IF(B254=C254,AC254/C254,(INT(AC254/B254)+(((AC254-B254*INT(AC254/B254)))/C254)/100))))</f>
        <v>0</v>
      </c>
      <c r="BO254" s="57">
        <f>IF(ISERROR(IF(B254=C254,AD254/C254,(INT(AD254/B254)+(((AD254-B254*INT(AD254/B254)))/C254)/100))),0,(IF(B254=C254,AD254/C254,(INT(AD254/B254)+(((AD254-B254*INT(AD254/B254)))/C254)/100))))</f>
        <v>0</v>
      </c>
      <c r="BQ254" s="155"/>
    </row>
    <row r="255" spans="1:69" hidden="1" x14ac:dyDescent="0.35">
      <c r="A255" s="94"/>
      <c r="B255" s="113">
        <v>0</v>
      </c>
      <c r="C255" s="113">
        <v>0</v>
      </c>
      <c r="D255" s="28">
        <f>SUM(AA255:AD255)</f>
        <v>0</v>
      </c>
      <c r="E255" s="113">
        <v>0</v>
      </c>
      <c r="F255" s="113">
        <v>0</v>
      </c>
      <c r="G255" s="28">
        <f>SUM(D255:F255)</f>
        <v>0</v>
      </c>
      <c r="H255" s="125">
        <v>0</v>
      </c>
      <c r="I255" s="113">
        <v>0</v>
      </c>
      <c r="J255" s="125">
        <v>0</v>
      </c>
      <c r="K255" s="113">
        <v>0</v>
      </c>
      <c r="L255" s="113">
        <v>0</v>
      </c>
      <c r="M255" s="113">
        <v>0</v>
      </c>
      <c r="N255" s="28">
        <f>G255-SUM(H255:M255)</f>
        <v>0</v>
      </c>
      <c r="O255" s="28">
        <f>SUM(V255:Y255)</f>
        <v>0</v>
      </c>
      <c r="P255" s="28">
        <f>O255-N255</f>
        <v>0</v>
      </c>
      <c r="Q255" s="61" t="str">
        <f>IF(ISERROR(P255/SUM(H255:L255)),"",P255/SUM(H255:L255))</f>
        <v/>
      </c>
      <c r="R255" s="113">
        <v>0</v>
      </c>
      <c r="S255" s="28">
        <f>IF(ISERROR(P255/C255*R255),0,(P255/C255*R255))</f>
        <v>0</v>
      </c>
      <c r="T255" s="60">
        <f>IF(ISERROR(P255/B255*AF255),0,(P255/B255*AF255))</f>
        <v>0</v>
      </c>
      <c r="V255" s="113">
        <v>0</v>
      </c>
      <c r="W255" s="113">
        <v>0</v>
      </c>
      <c r="X255" s="113">
        <v>0</v>
      </c>
      <c r="Y255" s="113">
        <v>0</v>
      </c>
      <c r="AA255" s="113">
        <v>0</v>
      </c>
      <c r="AB255" s="113">
        <v>0</v>
      </c>
      <c r="AC255" s="113">
        <v>0</v>
      </c>
      <c r="AD255" s="113">
        <v>0</v>
      </c>
      <c r="AF255" s="113">
        <v>0</v>
      </c>
      <c r="AG255" s="28">
        <f>G255-O255</f>
        <v>0</v>
      </c>
      <c r="AH255" s="58">
        <f>IF(ISERROR(AG255/B255*AF255),0,(AG255/B255*AF255))</f>
        <v>0</v>
      </c>
      <c r="AI255" s="28">
        <f>SUM(H255:M255)</f>
        <v>0</v>
      </c>
      <c r="AJ255" s="28">
        <f>IF(ISERROR(AI255/B255*AF255),0,(AI255/B255*AF255))</f>
        <v>0</v>
      </c>
      <c r="AK255" s="58">
        <f>IF(ISERROR(O255/B255*AF255),0,(O255/B255*AF255))</f>
        <v>0</v>
      </c>
      <c r="AL255" s="28">
        <f>IF(ISERROR(H255/B255*AF255),0,(H255/B255*AF255))</f>
        <v>0</v>
      </c>
      <c r="AN255" s="51">
        <f>A255</f>
        <v>0</v>
      </c>
      <c r="AO255" s="57">
        <f>IF(ISERROR(IF(B255=C255,D255/C255,(INT(D255/B255)+(((D255-B255*INT(D255/B255)))/C255)/100))),0,(IF(B255=C255,D255/C255,(INT(D255/B255)+(((D255-B255*INT(D255/B255)))/C255)/100))))</f>
        <v>0</v>
      </c>
      <c r="AP255" s="57">
        <f>IF(ISERROR(IF(B255=C255,E255/C255,(INT(E255/B255)+(((E255-B255*INT(E255/B255)))/C255)/100))),0,(IF(B255=C255,E255/C255,(INT(E255/B255)+(((E255-B255*INT(E255/B255)))/C255)/100))))</f>
        <v>0</v>
      </c>
      <c r="AQ255" s="57">
        <f>IF(ISERROR(IF(B255=C255,F255/C255,IF((INT(F255/B255)+(((F255-B255*INT(F255/B255)))/C255)/100)&lt;0,(INT(F255/B255)+(((F255-B255*INT(F255/B255)))/C255)/100)+(1-(B255/C255/100)),(INT(F255/B255)+(((F255-B255*INT(F255/B255)))/C255)/100)))),0,IF(B255=C255,F255/C255,IF((INT(F255/B255)+(((F255-B255*INT(F255/B255)))/C255)/100)&lt;0,(INT(F255/B255)+(((F255-B255*INT(F255/B255)))/C255)/100)+(1-(B255/C255/100)),(INT(F255/B255)+(((F255-B255*INT(F255/B255)))/C255)/100))))</f>
        <v>0</v>
      </c>
      <c r="AR255" s="57">
        <f>IF(ISERROR(IF(B255=C255,G255/C255,(INT(G255/B255)+(((G255-B255*INT(G255/B255)))/C255)/100))),0,(IF(B255=C255,G255/C255,(INT(G255/B255)+(((G255-B255*INT(G255/B255)))/C255)/100))))</f>
        <v>0</v>
      </c>
      <c r="AS255" s="57">
        <f>IF(ISERROR(IF(B255=C255,H255/C255,(INT(H255/B255)+(((H255-B255*INT(H255/B255)))/C255)/100))),0,(IF(B255=C255,H255/C255,(INT(H255/B255)+(((H255-B255*INT(H255/B255)))/C255)/100))))</f>
        <v>0</v>
      </c>
      <c r="AT255" s="57">
        <f>IF(ISERROR(IF(B255=C255,I255/C255,(INT(I255/B255)+(((I255-B255*INT(I255/B255)))/C255)/100))),0,(IF(B255=C255,I255/C255,(INT(I255/B255)+(((I255-B255*INT(I255/B255)))/C255)/100))))</f>
        <v>0</v>
      </c>
      <c r="AU255" s="57">
        <f>IF(ISERROR(IF(B255=C255,J255/C255,(INT(J255/B255)+(((J255-B255*INT(J255/B255)))/C255)/100))),0,(IF(B255=C255,J255/C255,(INT(J255/B255)+(((J255-B255*INT(J255/B255)))/C255)/100))))</f>
        <v>0</v>
      </c>
      <c r="AV255" s="57">
        <f>IF(ISERROR(IF(B255=C255,K255/C255,IF((INT(K255/B255)+(((K255-B255*INT(K255/B255)))/C255)/100)&lt;0,(INT(K255/B255)+(((K255-B255*INT(K255/B255)))/C255)/100)+(1-(B255/C255/100)),(INT(K255/B255)+(((K255-B255*INT(K255/B255)))/C255)/100)))),0,IF(B255=C255,K255/C255,IF((INT(K255/B255)+(((K255-B255*INT(K255/B255)))/C255)/100)&lt;0,(INT(K255/B255)+(((K255-B255*INT(K255/B255)))/C255)/100)+(1-(B255/C255/100)),(INT(K255/B255)+(((K255-B255*INT(K255/B255)))/C255)/100))))</f>
        <v>0</v>
      </c>
      <c r="AW255" s="57">
        <f>IF(ISERROR(IF(B255=C255,L255/C255,(INT(L255/B255)+(((L255-B255*INT(L255/B255)))/C255)/100))),0,(IF(B255=C255,L255/C255,(INT(L255/B255)+(((L255-B255*INT(L255/B255)))/C255)/100))))</f>
        <v>0</v>
      </c>
      <c r="AX255" s="57">
        <f>IF(ISERROR(IF(B255=C255,M255/C255,(INT(M255/B255)+(((M255-B255*INT(M255/B255)))/C255)/100))),0,(IF(B255=C255,M255/C255,(INT(M255/B255)+(((M255-B255*INT(M255/B255)))/C255)/100))))</f>
        <v>0</v>
      </c>
      <c r="AY255" s="57">
        <f>IF(ISERROR(IF(B255=C255,N255/C255,IF((INT(N255/B255)+(((N255-B255*INT(N255/B255)))/C255)/100)&lt;0,(INT(N255/B255)+(((N255-B255*INT(N255/B255)))/C255)/100)+(1-(B255/C255/100)),(INT(N255/B255)+(((N255-B255*INT(N255/B255)))/C255)/100)))),0,IF(B255=C255,N255/C255,IF((INT(N255/B255)+(((N255-B255*INT(N255/B255)))/C255)/100)&lt;0,(INT(N255/B255)+(((N255-B255*INT(N255/B255)))/C255)/100)+(1-(B255/C255/100)),(INT(N255/B255)+(((N255-B255*INT(N255/B255)))/C255)/100))))</f>
        <v>0</v>
      </c>
      <c r="AZ255" s="57">
        <f>IF(ISERROR(IF(B255=C255,O255/C255,(INT(O255/B255)+(((O255-B255*INT(O255/B255)))/C255)/100))),0,(IF(B255=C255,O255/C255,(INT(O255/B255)+(((O255-B255*INT(O255/B255)))/C255)/100))))</f>
        <v>0</v>
      </c>
      <c r="BA255" s="57">
        <f>IF(ISERROR(IF(B255=C255,P255/C255,IF((INT(P255/B255)+(((P255-B255*INT(P255/B255)))/C255)/100)&lt;0,(INT(P255/B255)+(((P255-B255*INT(P255/B255)))/C255)/100)+(1-(B255/C255/100)),(INT(P255/B255)+(((P255-B255*INT(P255/B255)))/C255)/100)))),0,IF(B255=C255,P255/C255,IF((INT(P255/B255)+(((P255-B255*INT(P255/B255)))/C255)/100)&lt;0,(INT(P255/B255)+(((P255-B255*INT(P255/B255)))/C255)/100)+(1-(B255/C255/100)),(INT(P255/B255)+(((P255-B255*INT(P255/B255)))/C255)/100))))</f>
        <v>0</v>
      </c>
      <c r="BB255" s="28">
        <f>R255</f>
        <v>0</v>
      </c>
      <c r="BC255" s="28">
        <f>S255</f>
        <v>0</v>
      </c>
      <c r="BD255" s="28">
        <f>AF255</f>
        <v>0</v>
      </c>
      <c r="BE255" s="28">
        <f>T255</f>
        <v>0</v>
      </c>
      <c r="BG255" s="57">
        <f>IF(ISERROR(IF(B255=C255,V255/C255,(INT(V255/B255)+(((V255-B255*INT(V255/B255)))/C255)/100))),0,(IF(B255=C255,V255/C255,(INT(V255/B255)+(((V255-B255*INT(V255/B255)))/C255)/100))))</f>
        <v>0</v>
      </c>
      <c r="BH255" s="57">
        <f>IF(ISERROR(IF(B255=C255,W255/C255,(INT(W255/B255)+(((W255-B255*INT(W255/B255)))/C255)/100))),0,(IF(B255=C255,W255/C255,(INT(W255/B255)+(((W255-B255*INT(W255/B255)))/C255)/100))))</f>
        <v>0</v>
      </c>
      <c r="BI255" s="57">
        <f>IF(ISERROR(IF(B255=C255,X255/C255,(INT(X255/B255)+(((X255-B255*INT(X255/B255)))/C255)/100))),0,(IF(B255=C255,X255/C255,(INT(X255/B255)+(((X255-B255*INT(X255/B255)))/C255)/100))))</f>
        <v>0</v>
      </c>
      <c r="BJ255" s="57">
        <f>IF(ISERROR(IF(B255=C255,Y255/C255,(INT(Y255/B255)+(((Y255-B255*INT(Y255/B255)))/C255)/100))),0,(IF(B255=C255,Y255/C255,(INT(Y255/B255)+(((Y255-B255*INT(Y255/B255)))/C255)/100))))</f>
        <v>0</v>
      </c>
      <c r="BL255" s="57">
        <f>IF(ISERROR(IF(B255=C255,AA255/C255,(INT(AA255/B255)+(((AA255-B255*INT(AA255/B255)))/C255)/100))),0,(IF(B255=C255,AA255/C255,(INT(AA255/B255)+(((AA255-B255*INT(AA255/B255)))/C255)/100))))</f>
        <v>0</v>
      </c>
      <c r="BM255" s="57">
        <f>IF(ISERROR(IF(B255=C255,AB255/C255,(INT(AB255/B255)+(((AB255-B255*INT(AB255/B255)))/C255)/100))),0,(IF(B255=C255,AB255/C255,(INT(AB255/B255)+(((AB255-B255*INT(AB255/B255)))/C255)/100))))</f>
        <v>0</v>
      </c>
      <c r="BN255" s="57">
        <f>IF(ISERROR(IF(B255=C255,AC255/C255,(INT(AC255/B255)+(((AC255-B255*INT(AC255/B255)))/C255)/100))),0,(IF(B255=C255,AC255/C255,(INT(AC255/B255)+(((AC255-B255*INT(AC255/B255)))/C255)/100))))</f>
        <v>0</v>
      </c>
      <c r="BO255" s="57">
        <f>IF(ISERROR(IF(B255=C255,AD255/C255,(INT(AD255/B255)+(((AD255-B255*INT(AD255/B255)))/C255)/100))),0,(IF(B255=C255,AD255/C255,(INT(AD255/B255)+(((AD255-B255*INT(AD255/B255)))/C255)/100))))</f>
        <v>0</v>
      </c>
      <c r="BQ255" s="155"/>
    </row>
    <row r="256" spans="1:69" hidden="1" x14ac:dyDescent="0.35">
      <c r="A256" s="94"/>
      <c r="B256" s="113">
        <v>0</v>
      </c>
      <c r="C256" s="113">
        <v>0</v>
      </c>
      <c r="D256" s="28">
        <f>SUM(AA256:AD256)</f>
        <v>0</v>
      </c>
      <c r="E256" s="113">
        <v>0</v>
      </c>
      <c r="F256" s="113">
        <v>0</v>
      </c>
      <c r="G256" s="28">
        <f>SUM(D256:F256)</f>
        <v>0</v>
      </c>
      <c r="H256" s="125">
        <v>0</v>
      </c>
      <c r="I256" s="113">
        <v>0</v>
      </c>
      <c r="J256" s="125">
        <v>0</v>
      </c>
      <c r="K256" s="113">
        <v>0</v>
      </c>
      <c r="L256" s="113">
        <v>0</v>
      </c>
      <c r="M256" s="113">
        <v>0</v>
      </c>
      <c r="N256" s="28">
        <f>G256-SUM(H256:M256)</f>
        <v>0</v>
      </c>
      <c r="O256" s="28">
        <f>SUM(V256:Y256)</f>
        <v>0</v>
      </c>
      <c r="P256" s="28">
        <f>O256-N256</f>
        <v>0</v>
      </c>
      <c r="Q256" s="61" t="str">
        <f>IF(ISERROR(P256/SUM(H256:L256)),"",P256/SUM(H256:L256))</f>
        <v/>
      </c>
      <c r="R256" s="113">
        <v>0</v>
      </c>
      <c r="S256" s="28">
        <f>IF(ISERROR(P256/C256*R256),0,(P256/C256*R256))</f>
        <v>0</v>
      </c>
      <c r="T256" s="60">
        <f>IF(ISERROR(P256/B256*AF256),0,(P256/B256*AF256))</f>
        <v>0</v>
      </c>
      <c r="V256" s="113">
        <v>0</v>
      </c>
      <c r="W256" s="113">
        <v>0</v>
      </c>
      <c r="X256" s="113">
        <v>0</v>
      </c>
      <c r="Y256" s="113">
        <v>0</v>
      </c>
      <c r="AA256" s="113">
        <v>0</v>
      </c>
      <c r="AB256" s="113">
        <v>0</v>
      </c>
      <c r="AC256" s="113">
        <v>0</v>
      </c>
      <c r="AD256" s="113">
        <v>0</v>
      </c>
      <c r="AF256" s="113">
        <v>0</v>
      </c>
      <c r="AG256" s="28">
        <f>G256-O256</f>
        <v>0</v>
      </c>
      <c r="AH256" s="58">
        <f>IF(ISERROR(AG256/B256*AF256),0,(AG256/B256*AF256))</f>
        <v>0</v>
      </c>
      <c r="AI256" s="28">
        <f>SUM(H256:M256)</f>
        <v>0</v>
      </c>
      <c r="AJ256" s="28">
        <f>IF(ISERROR(AI256/B256*AF256),0,(AI256/B256*AF256))</f>
        <v>0</v>
      </c>
      <c r="AK256" s="58">
        <f>IF(ISERROR(O256/B256*AF256),0,(O256/B256*AF256))</f>
        <v>0</v>
      </c>
      <c r="AL256" s="28">
        <f>IF(ISERROR(H256/B256*AF256),0,(H256/B256*AF256))</f>
        <v>0</v>
      </c>
      <c r="AN256" s="51">
        <f>A256</f>
        <v>0</v>
      </c>
      <c r="AO256" s="57">
        <f>IF(ISERROR(IF(B256=C256,D256/C256,(INT(D256/B256)+(((D256-B256*INT(D256/B256)))/C256)/100))),0,(IF(B256=C256,D256/C256,(INT(D256/B256)+(((D256-B256*INT(D256/B256)))/C256)/100))))</f>
        <v>0</v>
      </c>
      <c r="AP256" s="57">
        <f>IF(ISERROR(IF(B256=C256,E256/C256,(INT(E256/B256)+(((E256-B256*INT(E256/B256)))/C256)/100))),0,(IF(B256=C256,E256/C256,(INT(E256/B256)+(((E256-B256*INT(E256/B256)))/C256)/100))))</f>
        <v>0</v>
      </c>
      <c r="AQ256" s="57">
        <f>IF(ISERROR(IF(B256=C256,F256/C256,IF((INT(F256/B256)+(((F256-B256*INT(F256/B256)))/C256)/100)&lt;0,(INT(F256/B256)+(((F256-B256*INT(F256/B256)))/C256)/100)+(1-(B256/C256/100)),(INT(F256/B256)+(((F256-B256*INT(F256/B256)))/C256)/100)))),0,IF(B256=C256,F256/C256,IF((INT(F256/B256)+(((F256-B256*INT(F256/B256)))/C256)/100)&lt;0,(INT(F256/B256)+(((F256-B256*INT(F256/B256)))/C256)/100)+(1-(B256/C256/100)),(INT(F256/B256)+(((F256-B256*INT(F256/B256)))/C256)/100))))</f>
        <v>0</v>
      </c>
      <c r="AR256" s="57">
        <f>IF(ISERROR(IF(B256=C256,G256/C256,(INT(G256/B256)+(((G256-B256*INT(G256/B256)))/C256)/100))),0,(IF(B256=C256,G256/C256,(INT(G256/B256)+(((G256-B256*INT(G256/B256)))/C256)/100))))</f>
        <v>0</v>
      </c>
      <c r="AS256" s="57">
        <f>IF(ISERROR(IF(B256=C256,H256/C256,(INT(H256/B256)+(((H256-B256*INT(H256/B256)))/C256)/100))),0,(IF(B256=C256,H256/C256,(INT(H256/B256)+(((H256-B256*INT(H256/B256)))/C256)/100))))</f>
        <v>0</v>
      </c>
      <c r="AT256" s="57">
        <f>IF(ISERROR(IF(B256=C256,I256/C256,(INT(I256/B256)+(((I256-B256*INT(I256/B256)))/C256)/100))),0,(IF(B256=C256,I256/C256,(INT(I256/B256)+(((I256-B256*INT(I256/B256)))/C256)/100))))</f>
        <v>0</v>
      </c>
      <c r="AU256" s="57">
        <f>IF(ISERROR(IF(B256=C256,J256/C256,(INT(J256/B256)+(((J256-B256*INT(J256/B256)))/C256)/100))),0,(IF(B256=C256,J256/C256,(INT(J256/B256)+(((J256-B256*INT(J256/B256)))/C256)/100))))</f>
        <v>0</v>
      </c>
      <c r="AV256" s="57">
        <f>IF(ISERROR(IF(B256=C256,K256/C256,IF((INT(K256/B256)+(((K256-B256*INT(K256/B256)))/C256)/100)&lt;0,(INT(K256/B256)+(((K256-B256*INT(K256/B256)))/C256)/100)+(1-(B256/C256/100)),(INT(K256/B256)+(((K256-B256*INT(K256/B256)))/C256)/100)))),0,IF(B256=C256,K256/C256,IF((INT(K256/B256)+(((K256-B256*INT(K256/B256)))/C256)/100)&lt;0,(INT(K256/B256)+(((K256-B256*INT(K256/B256)))/C256)/100)+(1-(B256/C256/100)),(INT(K256/B256)+(((K256-B256*INT(K256/B256)))/C256)/100))))</f>
        <v>0</v>
      </c>
      <c r="AW256" s="57">
        <f>IF(ISERROR(IF(B256=C256,L256/C256,(INT(L256/B256)+(((L256-B256*INT(L256/B256)))/C256)/100))),0,(IF(B256=C256,L256/C256,(INT(L256/B256)+(((L256-B256*INT(L256/B256)))/C256)/100))))</f>
        <v>0</v>
      </c>
      <c r="AX256" s="57">
        <f>IF(ISERROR(IF(B256=C256,M256/C256,(INT(M256/B256)+(((M256-B256*INT(M256/B256)))/C256)/100))),0,(IF(B256=C256,M256/C256,(INT(M256/B256)+(((M256-B256*INT(M256/B256)))/C256)/100))))</f>
        <v>0</v>
      </c>
      <c r="AY256" s="57">
        <f>IF(ISERROR(IF(B256=C256,N256/C256,IF((INT(N256/B256)+(((N256-B256*INT(N256/B256)))/C256)/100)&lt;0,(INT(N256/B256)+(((N256-B256*INT(N256/B256)))/C256)/100)+(1-(B256/C256/100)),(INT(N256/B256)+(((N256-B256*INT(N256/B256)))/C256)/100)))),0,IF(B256=C256,N256/C256,IF((INT(N256/B256)+(((N256-B256*INT(N256/B256)))/C256)/100)&lt;0,(INT(N256/B256)+(((N256-B256*INT(N256/B256)))/C256)/100)+(1-(B256/C256/100)),(INT(N256/B256)+(((N256-B256*INT(N256/B256)))/C256)/100))))</f>
        <v>0</v>
      </c>
      <c r="AZ256" s="57">
        <f>IF(ISERROR(IF(B256=C256,O256/C256,(INT(O256/B256)+(((O256-B256*INT(O256/B256)))/C256)/100))),0,(IF(B256=C256,O256/C256,(INT(O256/B256)+(((O256-B256*INT(O256/B256)))/C256)/100))))</f>
        <v>0</v>
      </c>
      <c r="BA256" s="57">
        <f>IF(ISERROR(IF(B256=C256,P256/C256,IF((INT(P256/B256)+(((P256-B256*INT(P256/B256)))/C256)/100)&lt;0,(INT(P256/B256)+(((P256-B256*INT(P256/B256)))/C256)/100)+(1-(B256/C256/100)),(INT(P256/B256)+(((P256-B256*INT(P256/B256)))/C256)/100)))),0,IF(B256=C256,P256/C256,IF((INT(P256/B256)+(((P256-B256*INT(P256/B256)))/C256)/100)&lt;0,(INT(P256/B256)+(((P256-B256*INT(P256/B256)))/C256)/100)+(1-(B256/C256/100)),(INT(P256/B256)+(((P256-B256*INT(P256/B256)))/C256)/100))))</f>
        <v>0</v>
      </c>
      <c r="BB256" s="28">
        <f>R256</f>
        <v>0</v>
      </c>
      <c r="BC256" s="28">
        <f>S256</f>
        <v>0</v>
      </c>
      <c r="BD256" s="28">
        <f>AF256</f>
        <v>0</v>
      </c>
      <c r="BE256" s="28">
        <f>T256</f>
        <v>0</v>
      </c>
      <c r="BG256" s="57">
        <f>IF(ISERROR(IF(B256=C256,V256/C256,(INT(V256/B256)+(((V256-B256*INT(V256/B256)))/C256)/100))),0,(IF(B256=C256,V256/C256,(INT(V256/B256)+(((V256-B256*INT(V256/B256)))/C256)/100))))</f>
        <v>0</v>
      </c>
      <c r="BH256" s="57">
        <f>IF(ISERROR(IF(B256=C256,W256/C256,(INT(W256/B256)+(((W256-B256*INT(W256/B256)))/C256)/100))),0,(IF(B256=C256,W256/C256,(INT(W256/B256)+(((W256-B256*INT(W256/B256)))/C256)/100))))</f>
        <v>0</v>
      </c>
      <c r="BI256" s="57">
        <f>IF(ISERROR(IF(B256=C256,X256/C256,(INT(X256/B256)+(((X256-B256*INT(X256/B256)))/C256)/100))),0,(IF(B256=C256,X256/C256,(INT(X256/B256)+(((X256-B256*INT(X256/B256)))/C256)/100))))</f>
        <v>0</v>
      </c>
      <c r="BJ256" s="57">
        <f>IF(ISERROR(IF(B256=C256,Y256/C256,(INT(Y256/B256)+(((Y256-B256*INT(Y256/B256)))/C256)/100))),0,(IF(B256=C256,Y256/C256,(INT(Y256/B256)+(((Y256-B256*INT(Y256/B256)))/C256)/100))))</f>
        <v>0</v>
      </c>
      <c r="BL256" s="57">
        <f>IF(ISERROR(IF(B256=C256,AA256/C256,(INT(AA256/B256)+(((AA256-B256*INT(AA256/B256)))/C256)/100))),0,(IF(B256=C256,AA256/C256,(INT(AA256/B256)+(((AA256-B256*INT(AA256/B256)))/C256)/100))))</f>
        <v>0</v>
      </c>
      <c r="BM256" s="57">
        <f>IF(ISERROR(IF(B256=C256,AB256/C256,(INT(AB256/B256)+(((AB256-B256*INT(AB256/B256)))/C256)/100))),0,(IF(B256=C256,AB256/C256,(INT(AB256/B256)+(((AB256-B256*INT(AB256/B256)))/C256)/100))))</f>
        <v>0</v>
      </c>
      <c r="BN256" s="57">
        <f>IF(ISERROR(IF(B256=C256,AC256/C256,(INT(AC256/B256)+(((AC256-B256*INT(AC256/B256)))/C256)/100))),0,(IF(B256=C256,AC256/C256,(INT(AC256/B256)+(((AC256-B256*INT(AC256/B256)))/C256)/100))))</f>
        <v>0</v>
      </c>
      <c r="BO256" s="57">
        <f>IF(ISERROR(IF(B256=C256,AD256/C256,(INT(AD256/B256)+(((AD256-B256*INT(AD256/B256)))/C256)/100))),0,(IF(B256=C256,AD256/C256,(INT(AD256/B256)+(((AD256-B256*INT(AD256/B256)))/C256)/100))))</f>
        <v>0</v>
      </c>
      <c r="BQ256" s="155"/>
    </row>
    <row r="257" spans="1:69" hidden="1" x14ac:dyDescent="0.35">
      <c r="A257" s="94"/>
      <c r="B257" s="113">
        <v>0</v>
      </c>
      <c r="C257" s="113">
        <v>0</v>
      </c>
      <c r="D257" s="28">
        <f>SUM(AA257:AD257)</f>
        <v>0</v>
      </c>
      <c r="E257" s="113">
        <v>0</v>
      </c>
      <c r="F257" s="113">
        <v>0</v>
      </c>
      <c r="G257" s="28">
        <f>SUM(D257:F257)</f>
        <v>0</v>
      </c>
      <c r="H257" s="125">
        <v>0</v>
      </c>
      <c r="I257" s="113">
        <v>0</v>
      </c>
      <c r="J257" s="125">
        <v>0</v>
      </c>
      <c r="K257" s="113">
        <v>0</v>
      </c>
      <c r="L257" s="113">
        <v>0</v>
      </c>
      <c r="M257" s="113">
        <v>0</v>
      </c>
      <c r="N257" s="28">
        <f>G257-SUM(H257:M257)</f>
        <v>0</v>
      </c>
      <c r="O257" s="28">
        <f>SUM(V257:Y257)</f>
        <v>0</v>
      </c>
      <c r="P257" s="28">
        <f>O257-N257</f>
        <v>0</v>
      </c>
      <c r="Q257" s="61" t="str">
        <f>IF(ISERROR(P257/SUM(H257:L257)),"",P257/SUM(H257:L257))</f>
        <v/>
      </c>
      <c r="R257" s="113">
        <v>0</v>
      </c>
      <c r="S257" s="28">
        <f>IF(ISERROR(P257/C257*R257),0,(P257/C257*R257))</f>
        <v>0</v>
      </c>
      <c r="T257" s="60">
        <f>IF(ISERROR(P257/B257*AF257),0,(P257/B257*AF257))</f>
        <v>0</v>
      </c>
      <c r="V257" s="113">
        <v>0</v>
      </c>
      <c r="W257" s="113">
        <v>0</v>
      </c>
      <c r="X257" s="113">
        <v>0</v>
      </c>
      <c r="Y257" s="113">
        <v>0</v>
      </c>
      <c r="AA257" s="113">
        <v>0</v>
      </c>
      <c r="AB257" s="113">
        <v>0</v>
      </c>
      <c r="AC257" s="113">
        <v>0</v>
      </c>
      <c r="AD257" s="113">
        <v>0</v>
      </c>
      <c r="AF257" s="113">
        <v>0</v>
      </c>
      <c r="AG257" s="28">
        <f>G257-O257</f>
        <v>0</v>
      </c>
      <c r="AH257" s="58">
        <f>IF(ISERROR(AG257/B257*AF257),0,(AG257/B257*AF257))</f>
        <v>0</v>
      </c>
      <c r="AI257" s="28">
        <f>SUM(H257:M257)</f>
        <v>0</v>
      </c>
      <c r="AJ257" s="28">
        <f>IF(ISERROR(AI257/B257*AF257),0,(AI257/B257*AF257))</f>
        <v>0</v>
      </c>
      <c r="AK257" s="58">
        <f>IF(ISERROR(O257/B257*AF257),0,(O257/B257*AF257))</f>
        <v>0</v>
      </c>
      <c r="AL257" s="28">
        <f>IF(ISERROR(H257/B257*AF257),0,(H257/B257*AF257))</f>
        <v>0</v>
      </c>
      <c r="AN257" s="51">
        <f>A257</f>
        <v>0</v>
      </c>
      <c r="AO257" s="57">
        <f>IF(ISERROR(IF(B257=C257,D257/C257,(INT(D257/B257)+(((D257-B257*INT(D257/B257)))/C257)/100))),0,(IF(B257=C257,D257/C257,(INT(D257/B257)+(((D257-B257*INT(D257/B257)))/C257)/100))))</f>
        <v>0</v>
      </c>
      <c r="AP257" s="57">
        <f>IF(ISERROR(IF(B257=C257,E257/C257,(INT(E257/B257)+(((E257-B257*INT(E257/B257)))/C257)/100))),0,(IF(B257=C257,E257/C257,(INT(E257/B257)+(((E257-B257*INT(E257/B257)))/C257)/100))))</f>
        <v>0</v>
      </c>
      <c r="AQ257" s="57">
        <f>IF(ISERROR(IF(B257=C257,F257/C257,IF((INT(F257/B257)+(((F257-B257*INT(F257/B257)))/C257)/100)&lt;0,(INT(F257/B257)+(((F257-B257*INT(F257/B257)))/C257)/100)+(1-(B257/C257/100)),(INT(F257/B257)+(((F257-B257*INT(F257/B257)))/C257)/100)))),0,IF(B257=C257,F257/C257,IF((INT(F257/B257)+(((F257-B257*INT(F257/B257)))/C257)/100)&lt;0,(INT(F257/B257)+(((F257-B257*INT(F257/B257)))/C257)/100)+(1-(B257/C257/100)),(INT(F257/B257)+(((F257-B257*INT(F257/B257)))/C257)/100))))</f>
        <v>0</v>
      </c>
      <c r="AR257" s="57">
        <f>IF(ISERROR(IF(B257=C257,G257/C257,(INT(G257/B257)+(((G257-B257*INT(G257/B257)))/C257)/100))),0,(IF(B257=C257,G257/C257,(INT(G257/B257)+(((G257-B257*INT(G257/B257)))/C257)/100))))</f>
        <v>0</v>
      </c>
      <c r="AS257" s="57">
        <f>IF(ISERROR(IF(B257=C257,H257/C257,(INT(H257/B257)+(((H257-B257*INT(H257/B257)))/C257)/100))),0,(IF(B257=C257,H257/C257,(INT(H257/B257)+(((H257-B257*INT(H257/B257)))/C257)/100))))</f>
        <v>0</v>
      </c>
      <c r="AT257" s="57">
        <f>IF(ISERROR(IF(B257=C257,I257/C257,(INT(I257/B257)+(((I257-B257*INT(I257/B257)))/C257)/100))),0,(IF(B257=C257,I257/C257,(INT(I257/B257)+(((I257-B257*INT(I257/B257)))/C257)/100))))</f>
        <v>0</v>
      </c>
      <c r="AU257" s="57">
        <f>IF(ISERROR(IF(B257=C257,J257/C257,(INT(J257/B257)+(((J257-B257*INT(J257/B257)))/C257)/100))),0,(IF(B257=C257,J257/C257,(INT(J257/B257)+(((J257-B257*INT(J257/B257)))/C257)/100))))</f>
        <v>0</v>
      </c>
      <c r="AV257" s="57">
        <f>IF(ISERROR(IF(B257=C257,K257/C257,IF((INT(K257/B257)+(((K257-B257*INT(K257/B257)))/C257)/100)&lt;0,(INT(K257/B257)+(((K257-B257*INT(K257/B257)))/C257)/100)+(1-(B257/C257/100)),(INT(K257/B257)+(((K257-B257*INT(K257/B257)))/C257)/100)))),0,IF(B257=C257,K257/C257,IF((INT(K257/B257)+(((K257-B257*INT(K257/B257)))/C257)/100)&lt;0,(INT(K257/B257)+(((K257-B257*INT(K257/B257)))/C257)/100)+(1-(B257/C257/100)),(INT(K257/B257)+(((K257-B257*INT(K257/B257)))/C257)/100))))</f>
        <v>0</v>
      </c>
      <c r="AW257" s="57">
        <f>IF(ISERROR(IF(B257=C257,L257/C257,(INT(L257/B257)+(((L257-B257*INT(L257/B257)))/C257)/100))),0,(IF(B257=C257,L257/C257,(INT(L257/B257)+(((L257-B257*INT(L257/B257)))/C257)/100))))</f>
        <v>0</v>
      </c>
      <c r="AX257" s="57">
        <f>IF(ISERROR(IF(B257=C257,M257/C257,(INT(M257/B257)+(((M257-B257*INT(M257/B257)))/C257)/100))),0,(IF(B257=C257,M257/C257,(INT(M257/B257)+(((M257-B257*INT(M257/B257)))/C257)/100))))</f>
        <v>0</v>
      </c>
      <c r="AY257" s="57">
        <f>IF(ISERROR(IF(B257=C257,N257/C257,IF((INT(N257/B257)+(((N257-B257*INT(N257/B257)))/C257)/100)&lt;0,(INT(N257/B257)+(((N257-B257*INT(N257/B257)))/C257)/100)+(1-(B257/C257/100)),(INT(N257/B257)+(((N257-B257*INT(N257/B257)))/C257)/100)))),0,IF(B257=C257,N257/C257,IF((INT(N257/B257)+(((N257-B257*INT(N257/B257)))/C257)/100)&lt;0,(INT(N257/B257)+(((N257-B257*INT(N257/B257)))/C257)/100)+(1-(B257/C257/100)),(INT(N257/B257)+(((N257-B257*INT(N257/B257)))/C257)/100))))</f>
        <v>0</v>
      </c>
      <c r="AZ257" s="57">
        <f>IF(ISERROR(IF(B257=C257,O257/C257,(INT(O257/B257)+(((O257-B257*INT(O257/B257)))/C257)/100))),0,(IF(B257=C257,O257/C257,(INT(O257/B257)+(((O257-B257*INT(O257/B257)))/C257)/100))))</f>
        <v>0</v>
      </c>
      <c r="BA257" s="57">
        <f>IF(ISERROR(IF(B257=C257,P257/C257,IF((INT(P257/B257)+(((P257-B257*INT(P257/B257)))/C257)/100)&lt;0,(INT(P257/B257)+(((P257-B257*INT(P257/B257)))/C257)/100)+(1-(B257/C257/100)),(INT(P257/B257)+(((P257-B257*INT(P257/B257)))/C257)/100)))),0,IF(B257=C257,P257/C257,IF((INT(P257/B257)+(((P257-B257*INT(P257/B257)))/C257)/100)&lt;0,(INT(P257/B257)+(((P257-B257*INT(P257/B257)))/C257)/100)+(1-(B257/C257/100)),(INT(P257/B257)+(((P257-B257*INT(P257/B257)))/C257)/100))))</f>
        <v>0</v>
      </c>
      <c r="BB257" s="28">
        <f>R257</f>
        <v>0</v>
      </c>
      <c r="BC257" s="28">
        <f>S257</f>
        <v>0</v>
      </c>
      <c r="BD257" s="28">
        <f>AF257</f>
        <v>0</v>
      </c>
      <c r="BE257" s="28">
        <f>T257</f>
        <v>0</v>
      </c>
      <c r="BG257" s="57">
        <f>IF(ISERROR(IF(B257=C257,V257/C257,(INT(V257/B257)+(((V257-B257*INT(V257/B257)))/C257)/100))),0,(IF(B257=C257,V257/C257,(INT(V257/B257)+(((V257-B257*INT(V257/B257)))/C257)/100))))</f>
        <v>0</v>
      </c>
      <c r="BH257" s="57">
        <f>IF(ISERROR(IF(B257=C257,W257/C257,(INT(W257/B257)+(((W257-B257*INT(W257/B257)))/C257)/100))),0,(IF(B257=C257,W257/C257,(INT(W257/B257)+(((W257-B257*INT(W257/B257)))/C257)/100))))</f>
        <v>0</v>
      </c>
      <c r="BI257" s="57">
        <f>IF(ISERROR(IF(B257=C257,X257/C257,(INT(X257/B257)+(((X257-B257*INT(X257/B257)))/C257)/100))),0,(IF(B257=C257,X257/C257,(INT(X257/B257)+(((X257-B257*INT(X257/B257)))/C257)/100))))</f>
        <v>0</v>
      </c>
      <c r="BJ257" s="57">
        <f>IF(ISERROR(IF(B257=C257,Y257/C257,(INT(Y257/B257)+(((Y257-B257*INT(Y257/B257)))/C257)/100))),0,(IF(B257=C257,Y257/C257,(INT(Y257/B257)+(((Y257-B257*INT(Y257/B257)))/C257)/100))))</f>
        <v>0</v>
      </c>
      <c r="BL257" s="57">
        <f>IF(ISERROR(IF(B257=C257,AA257/C257,(INT(AA257/B257)+(((AA257-B257*INT(AA257/B257)))/C257)/100))),0,(IF(B257=C257,AA257/C257,(INT(AA257/B257)+(((AA257-B257*INT(AA257/B257)))/C257)/100))))</f>
        <v>0</v>
      </c>
      <c r="BM257" s="57">
        <f>IF(ISERROR(IF(B257=C257,AB257/C257,(INT(AB257/B257)+(((AB257-B257*INT(AB257/B257)))/C257)/100))),0,(IF(B257=C257,AB257/C257,(INT(AB257/B257)+(((AB257-B257*INT(AB257/B257)))/C257)/100))))</f>
        <v>0</v>
      </c>
      <c r="BN257" s="57">
        <f>IF(ISERROR(IF(B257=C257,AC257/C257,(INT(AC257/B257)+(((AC257-B257*INT(AC257/B257)))/C257)/100))),0,(IF(B257=C257,AC257/C257,(INT(AC257/B257)+(((AC257-B257*INT(AC257/B257)))/C257)/100))))</f>
        <v>0</v>
      </c>
      <c r="BO257" s="57">
        <f>IF(ISERROR(IF(B257=C257,AD257/C257,(INT(AD257/B257)+(((AD257-B257*INT(AD257/B257)))/C257)/100))),0,(IF(B257=C257,AD257/C257,(INT(AD257/B257)+(((AD257-B257*INT(AD257/B257)))/C257)/100))))</f>
        <v>0</v>
      </c>
      <c r="BQ257" s="155"/>
    </row>
    <row r="258" spans="1:69" hidden="1" x14ac:dyDescent="0.35">
      <c r="A258" s="94"/>
      <c r="B258" s="113">
        <v>0</v>
      </c>
      <c r="C258" s="113">
        <v>0</v>
      </c>
      <c r="D258" s="28">
        <f>SUM(AA258:AD258)</f>
        <v>0</v>
      </c>
      <c r="E258" s="113">
        <v>0</v>
      </c>
      <c r="F258" s="113">
        <v>0</v>
      </c>
      <c r="G258" s="28">
        <f>SUM(D258:F258)</f>
        <v>0</v>
      </c>
      <c r="H258" s="125">
        <v>0</v>
      </c>
      <c r="I258" s="113">
        <v>0</v>
      </c>
      <c r="J258" s="125">
        <v>0</v>
      </c>
      <c r="K258" s="113">
        <v>0</v>
      </c>
      <c r="L258" s="113">
        <v>0</v>
      </c>
      <c r="M258" s="113">
        <v>0</v>
      </c>
      <c r="N258" s="28">
        <f>G258-SUM(H258:M258)</f>
        <v>0</v>
      </c>
      <c r="O258" s="28">
        <f>SUM(V258:Y258)</f>
        <v>0</v>
      </c>
      <c r="P258" s="28">
        <f>O258-N258</f>
        <v>0</v>
      </c>
      <c r="Q258" s="61" t="str">
        <f>IF(ISERROR(P258/SUM(H258:L258)),"",P258/SUM(H258:L258))</f>
        <v/>
      </c>
      <c r="R258" s="113">
        <v>0</v>
      </c>
      <c r="S258" s="28">
        <f>IF(ISERROR(P258/C258*R258),0,(P258/C258*R258))</f>
        <v>0</v>
      </c>
      <c r="T258" s="60">
        <f>IF(ISERROR(P258/B258*AF258),0,(P258/B258*AF258))</f>
        <v>0</v>
      </c>
      <c r="V258" s="113">
        <v>0</v>
      </c>
      <c r="W258" s="113">
        <v>0</v>
      </c>
      <c r="X258" s="113">
        <v>0</v>
      </c>
      <c r="Y258" s="113">
        <v>0</v>
      </c>
      <c r="AA258" s="113">
        <v>0</v>
      </c>
      <c r="AB258" s="113">
        <v>0</v>
      </c>
      <c r="AC258" s="113">
        <v>0</v>
      </c>
      <c r="AD258" s="113">
        <v>0</v>
      </c>
      <c r="AF258" s="113">
        <v>0</v>
      </c>
      <c r="AG258" s="28">
        <f>G258-O258</f>
        <v>0</v>
      </c>
      <c r="AH258" s="58">
        <f>IF(ISERROR(AG258/B258*AF258),0,(AG258/B258*AF258))</f>
        <v>0</v>
      </c>
      <c r="AI258" s="28">
        <f>SUM(H258:M258)</f>
        <v>0</v>
      </c>
      <c r="AJ258" s="28">
        <f>IF(ISERROR(AI258/B258*AF258),0,(AI258/B258*AF258))</f>
        <v>0</v>
      </c>
      <c r="AK258" s="58">
        <f>IF(ISERROR(O258/B258*AF258),0,(O258/B258*AF258))</f>
        <v>0</v>
      </c>
      <c r="AL258" s="28">
        <f>IF(ISERROR(H258/B258*AF258),0,(H258/B258*AF258))</f>
        <v>0</v>
      </c>
      <c r="AN258" s="51">
        <f>A258</f>
        <v>0</v>
      </c>
      <c r="AO258" s="57">
        <f>IF(ISERROR(IF(B258=C258,D258/C258,(INT(D258/B258)+(((D258-B258*INT(D258/B258)))/C258)/100))),0,(IF(B258=C258,D258/C258,(INT(D258/B258)+(((D258-B258*INT(D258/B258)))/C258)/100))))</f>
        <v>0</v>
      </c>
      <c r="AP258" s="57">
        <f>IF(ISERROR(IF(B258=C258,E258/C258,(INT(E258/B258)+(((E258-B258*INT(E258/B258)))/C258)/100))),0,(IF(B258=C258,E258/C258,(INT(E258/B258)+(((E258-B258*INT(E258/B258)))/C258)/100))))</f>
        <v>0</v>
      </c>
      <c r="AQ258" s="57">
        <f>IF(ISERROR(IF(B258=C258,F258/C258,IF((INT(F258/B258)+(((F258-B258*INT(F258/B258)))/C258)/100)&lt;0,(INT(F258/B258)+(((F258-B258*INT(F258/B258)))/C258)/100)+(1-(B258/C258/100)),(INT(F258/B258)+(((F258-B258*INT(F258/B258)))/C258)/100)))),0,IF(B258=C258,F258/C258,IF((INT(F258/B258)+(((F258-B258*INT(F258/B258)))/C258)/100)&lt;0,(INT(F258/B258)+(((F258-B258*INT(F258/B258)))/C258)/100)+(1-(B258/C258/100)),(INT(F258/B258)+(((F258-B258*INT(F258/B258)))/C258)/100))))</f>
        <v>0</v>
      </c>
      <c r="AR258" s="57">
        <f>IF(ISERROR(IF(B258=C258,G258/C258,(INT(G258/B258)+(((G258-B258*INT(G258/B258)))/C258)/100))),0,(IF(B258=C258,G258/C258,(INT(G258/B258)+(((G258-B258*INT(G258/B258)))/C258)/100))))</f>
        <v>0</v>
      </c>
      <c r="AS258" s="57">
        <f>IF(ISERROR(IF(B258=C258,H258/C258,(INT(H258/B258)+(((H258-B258*INT(H258/B258)))/C258)/100))),0,(IF(B258=C258,H258/C258,(INT(H258/B258)+(((H258-B258*INT(H258/B258)))/C258)/100))))</f>
        <v>0</v>
      </c>
      <c r="AT258" s="57">
        <f>IF(ISERROR(IF(B258=C258,I258/C258,(INT(I258/B258)+(((I258-B258*INT(I258/B258)))/C258)/100))),0,(IF(B258=C258,I258/C258,(INT(I258/B258)+(((I258-B258*INT(I258/B258)))/C258)/100))))</f>
        <v>0</v>
      </c>
      <c r="AU258" s="57">
        <f>IF(ISERROR(IF(B258=C258,J258/C258,(INT(J258/B258)+(((J258-B258*INT(J258/B258)))/C258)/100))),0,(IF(B258=C258,J258/C258,(INT(J258/B258)+(((J258-B258*INT(J258/B258)))/C258)/100))))</f>
        <v>0</v>
      </c>
      <c r="AV258" s="57">
        <f>IF(ISERROR(IF(B258=C258,K258/C258,IF((INT(K258/B258)+(((K258-B258*INT(K258/B258)))/C258)/100)&lt;0,(INT(K258/B258)+(((K258-B258*INT(K258/B258)))/C258)/100)+(1-(B258/C258/100)),(INT(K258/B258)+(((K258-B258*INT(K258/B258)))/C258)/100)))),0,IF(B258=C258,K258/C258,IF((INT(K258/B258)+(((K258-B258*INT(K258/B258)))/C258)/100)&lt;0,(INT(K258/B258)+(((K258-B258*INT(K258/B258)))/C258)/100)+(1-(B258/C258/100)),(INT(K258/B258)+(((K258-B258*INT(K258/B258)))/C258)/100))))</f>
        <v>0</v>
      </c>
      <c r="AW258" s="57">
        <f>IF(ISERROR(IF(B258=C258,L258/C258,(INT(L258/B258)+(((L258-B258*INT(L258/B258)))/C258)/100))),0,(IF(B258=C258,L258/C258,(INT(L258/B258)+(((L258-B258*INT(L258/B258)))/C258)/100))))</f>
        <v>0</v>
      </c>
      <c r="AX258" s="57">
        <f>IF(ISERROR(IF(B258=C258,M258/C258,(INT(M258/B258)+(((M258-B258*INT(M258/B258)))/C258)/100))),0,(IF(B258=C258,M258/C258,(INT(M258/B258)+(((M258-B258*INT(M258/B258)))/C258)/100))))</f>
        <v>0</v>
      </c>
      <c r="AY258" s="57">
        <f>IF(ISERROR(IF(B258=C258,N258/C258,IF((INT(N258/B258)+(((N258-B258*INT(N258/B258)))/C258)/100)&lt;0,(INT(N258/B258)+(((N258-B258*INT(N258/B258)))/C258)/100)+(1-(B258/C258/100)),(INT(N258/B258)+(((N258-B258*INT(N258/B258)))/C258)/100)))),0,IF(B258=C258,N258/C258,IF((INT(N258/B258)+(((N258-B258*INT(N258/B258)))/C258)/100)&lt;0,(INT(N258/B258)+(((N258-B258*INT(N258/B258)))/C258)/100)+(1-(B258/C258/100)),(INT(N258/B258)+(((N258-B258*INT(N258/B258)))/C258)/100))))</f>
        <v>0</v>
      </c>
      <c r="AZ258" s="57">
        <f>IF(ISERROR(IF(B258=C258,O258/C258,(INT(O258/B258)+(((O258-B258*INT(O258/B258)))/C258)/100))),0,(IF(B258=C258,O258/C258,(INT(O258/B258)+(((O258-B258*INT(O258/B258)))/C258)/100))))</f>
        <v>0</v>
      </c>
      <c r="BA258" s="57">
        <f>IF(ISERROR(IF(B258=C258,P258/C258,IF((INT(P258/B258)+(((P258-B258*INT(P258/B258)))/C258)/100)&lt;0,(INT(P258/B258)+(((P258-B258*INT(P258/B258)))/C258)/100)+(1-(B258/C258/100)),(INT(P258/B258)+(((P258-B258*INT(P258/B258)))/C258)/100)))),0,IF(B258=C258,P258/C258,IF((INT(P258/B258)+(((P258-B258*INT(P258/B258)))/C258)/100)&lt;0,(INT(P258/B258)+(((P258-B258*INT(P258/B258)))/C258)/100)+(1-(B258/C258/100)),(INT(P258/B258)+(((P258-B258*INT(P258/B258)))/C258)/100))))</f>
        <v>0</v>
      </c>
      <c r="BB258" s="28">
        <f>R258</f>
        <v>0</v>
      </c>
      <c r="BC258" s="28">
        <f>S258</f>
        <v>0</v>
      </c>
      <c r="BD258" s="28">
        <f>AF258</f>
        <v>0</v>
      </c>
      <c r="BE258" s="28">
        <f>T258</f>
        <v>0</v>
      </c>
      <c r="BG258" s="57">
        <f>IF(ISERROR(IF(B258=C258,V258/C258,(INT(V258/B258)+(((V258-B258*INT(V258/B258)))/C258)/100))),0,(IF(B258=C258,V258/C258,(INT(V258/B258)+(((V258-B258*INT(V258/B258)))/C258)/100))))</f>
        <v>0</v>
      </c>
      <c r="BH258" s="57">
        <f>IF(ISERROR(IF(B258=C258,W258/C258,(INT(W258/B258)+(((W258-B258*INT(W258/B258)))/C258)/100))),0,(IF(B258=C258,W258/C258,(INT(W258/B258)+(((W258-B258*INT(W258/B258)))/C258)/100))))</f>
        <v>0</v>
      </c>
      <c r="BI258" s="57">
        <f>IF(ISERROR(IF(B258=C258,X258/C258,(INT(X258/B258)+(((X258-B258*INT(X258/B258)))/C258)/100))),0,(IF(B258=C258,X258/C258,(INT(X258/B258)+(((X258-B258*INT(X258/B258)))/C258)/100))))</f>
        <v>0</v>
      </c>
      <c r="BJ258" s="57">
        <f>IF(ISERROR(IF(B258=C258,Y258/C258,(INT(Y258/B258)+(((Y258-B258*INT(Y258/B258)))/C258)/100))),0,(IF(B258=C258,Y258/C258,(INT(Y258/B258)+(((Y258-B258*INT(Y258/B258)))/C258)/100))))</f>
        <v>0</v>
      </c>
      <c r="BL258" s="57">
        <f>IF(ISERROR(IF(B258=C258,AA258/C258,(INT(AA258/B258)+(((AA258-B258*INT(AA258/B258)))/C258)/100))),0,(IF(B258=C258,AA258/C258,(INT(AA258/B258)+(((AA258-B258*INT(AA258/B258)))/C258)/100))))</f>
        <v>0</v>
      </c>
      <c r="BM258" s="57">
        <f>IF(ISERROR(IF(B258=C258,AB258/C258,(INT(AB258/B258)+(((AB258-B258*INT(AB258/B258)))/C258)/100))),0,(IF(B258=C258,AB258/C258,(INT(AB258/B258)+(((AB258-B258*INT(AB258/B258)))/C258)/100))))</f>
        <v>0</v>
      </c>
      <c r="BN258" s="57">
        <f>IF(ISERROR(IF(B258=C258,AC258/C258,(INT(AC258/B258)+(((AC258-B258*INT(AC258/B258)))/C258)/100))),0,(IF(B258=C258,AC258/C258,(INT(AC258/B258)+(((AC258-B258*INT(AC258/B258)))/C258)/100))))</f>
        <v>0</v>
      </c>
      <c r="BO258" s="57">
        <f>IF(ISERROR(IF(B258=C258,AD258/C258,(INT(AD258/B258)+(((AD258-B258*INT(AD258/B258)))/C258)/100))),0,(IF(B258=C258,AD258/C258,(INT(AD258/B258)+(((AD258-B258*INT(AD258/B258)))/C258)/100))))</f>
        <v>0</v>
      </c>
      <c r="BQ258" s="155"/>
    </row>
    <row r="259" spans="1:69" hidden="1" x14ac:dyDescent="0.35">
      <c r="A259" s="94"/>
      <c r="B259" s="113">
        <v>0</v>
      </c>
      <c r="C259" s="113">
        <v>0</v>
      </c>
      <c r="D259" s="28">
        <f>SUM(AA259:AD259)</f>
        <v>0</v>
      </c>
      <c r="E259" s="113">
        <v>0</v>
      </c>
      <c r="F259" s="113">
        <v>0</v>
      </c>
      <c r="G259" s="28">
        <f>SUM(D259:F259)</f>
        <v>0</v>
      </c>
      <c r="H259" s="125">
        <v>0</v>
      </c>
      <c r="I259" s="113">
        <v>0</v>
      </c>
      <c r="J259" s="125">
        <v>0</v>
      </c>
      <c r="K259" s="113">
        <v>0</v>
      </c>
      <c r="L259" s="113">
        <v>0</v>
      </c>
      <c r="M259" s="113">
        <v>0</v>
      </c>
      <c r="N259" s="28">
        <f>G259-SUM(H259:M259)</f>
        <v>0</v>
      </c>
      <c r="O259" s="28">
        <f>SUM(V259:Y259)</f>
        <v>0</v>
      </c>
      <c r="P259" s="28">
        <f>O259-N259</f>
        <v>0</v>
      </c>
      <c r="Q259" s="61" t="str">
        <f>IF(ISERROR(P259/SUM(H259:L259)),"",P259/SUM(H259:L259))</f>
        <v/>
      </c>
      <c r="R259" s="113">
        <v>0</v>
      </c>
      <c r="S259" s="28">
        <f>IF(ISERROR(P259/C259*R259),0,(P259/C259*R259))</f>
        <v>0</v>
      </c>
      <c r="T259" s="60">
        <f>IF(ISERROR(P259/B259*AF259),0,(P259/B259*AF259))</f>
        <v>0</v>
      </c>
      <c r="V259" s="113">
        <v>0</v>
      </c>
      <c r="W259" s="113">
        <v>0</v>
      </c>
      <c r="X259" s="113">
        <v>0</v>
      </c>
      <c r="Y259" s="113">
        <v>0</v>
      </c>
      <c r="AA259" s="113">
        <v>0</v>
      </c>
      <c r="AB259" s="113">
        <v>0</v>
      </c>
      <c r="AC259" s="113">
        <v>0</v>
      </c>
      <c r="AD259" s="113">
        <v>0</v>
      </c>
      <c r="AF259" s="113">
        <v>0</v>
      </c>
      <c r="AG259" s="28">
        <f>G259-O259</f>
        <v>0</v>
      </c>
      <c r="AH259" s="58">
        <f>IF(ISERROR(AG259/B259*AF259),0,(AG259/B259*AF259))</f>
        <v>0</v>
      </c>
      <c r="AI259" s="28">
        <f>SUM(H259:M259)</f>
        <v>0</v>
      </c>
      <c r="AJ259" s="28">
        <f>IF(ISERROR(AI259/B259*AF259),0,(AI259/B259*AF259))</f>
        <v>0</v>
      </c>
      <c r="AK259" s="58">
        <f>IF(ISERROR(O259/B259*AF259),0,(O259/B259*AF259))</f>
        <v>0</v>
      </c>
      <c r="AL259" s="28">
        <f>IF(ISERROR(H259/B259*AF259),0,(H259/B259*AF259))</f>
        <v>0</v>
      </c>
      <c r="AN259" s="51">
        <f>A259</f>
        <v>0</v>
      </c>
      <c r="AO259" s="57">
        <f>IF(ISERROR(IF(B259=C259,D259/C259,(INT(D259/B259)+(((D259-B259*INT(D259/B259)))/C259)/100))),0,(IF(B259=C259,D259/C259,(INT(D259/B259)+(((D259-B259*INT(D259/B259)))/C259)/100))))</f>
        <v>0</v>
      </c>
      <c r="AP259" s="57">
        <f>IF(ISERROR(IF(B259=C259,E259/C259,(INT(E259/B259)+(((E259-B259*INT(E259/B259)))/C259)/100))),0,(IF(B259=C259,E259/C259,(INT(E259/B259)+(((E259-B259*INT(E259/B259)))/C259)/100))))</f>
        <v>0</v>
      </c>
      <c r="AQ259" s="57">
        <f>IF(ISERROR(IF(B259=C259,F259/C259,IF((INT(F259/B259)+(((F259-B259*INT(F259/B259)))/C259)/100)&lt;0,(INT(F259/B259)+(((F259-B259*INT(F259/B259)))/C259)/100)+(1-(B259/C259/100)),(INT(F259/B259)+(((F259-B259*INT(F259/B259)))/C259)/100)))),0,IF(B259=C259,F259/C259,IF((INT(F259/B259)+(((F259-B259*INT(F259/B259)))/C259)/100)&lt;0,(INT(F259/B259)+(((F259-B259*INT(F259/B259)))/C259)/100)+(1-(B259/C259/100)),(INT(F259/B259)+(((F259-B259*INT(F259/B259)))/C259)/100))))</f>
        <v>0</v>
      </c>
      <c r="AR259" s="57">
        <f>IF(ISERROR(IF(B259=C259,G259/C259,(INT(G259/B259)+(((G259-B259*INT(G259/B259)))/C259)/100))),0,(IF(B259=C259,G259/C259,(INT(G259/B259)+(((G259-B259*INT(G259/B259)))/C259)/100))))</f>
        <v>0</v>
      </c>
      <c r="AS259" s="57">
        <f>IF(ISERROR(IF(B259=C259,H259/C259,(INT(H259/B259)+(((H259-B259*INT(H259/B259)))/C259)/100))),0,(IF(B259=C259,H259/C259,(INT(H259/B259)+(((H259-B259*INT(H259/B259)))/C259)/100))))</f>
        <v>0</v>
      </c>
      <c r="AT259" s="57">
        <f>IF(ISERROR(IF(B259=C259,I259/C259,(INT(I259/B259)+(((I259-B259*INT(I259/B259)))/C259)/100))),0,(IF(B259=C259,I259/C259,(INT(I259/B259)+(((I259-B259*INT(I259/B259)))/C259)/100))))</f>
        <v>0</v>
      </c>
      <c r="AU259" s="57">
        <f>IF(ISERROR(IF(B259=C259,J259/C259,(INT(J259/B259)+(((J259-B259*INT(J259/B259)))/C259)/100))),0,(IF(B259=C259,J259/C259,(INT(J259/B259)+(((J259-B259*INT(J259/B259)))/C259)/100))))</f>
        <v>0</v>
      </c>
      <c r="AV259" s="57">
        <f>IF(ISERROR(IF(B259=C259,K259/C259,IF((INT(K259/B259)+(((K259-B259*INT(K259/B259)))/C259)/100)&lt;0,(INT(K259/B259)+(((K259-B259*INT(K259/B259)))/C259)/100)+(1-(B259/C259/100)),(INT(K259/B259)+(((K259-B259*INT(K259/B259)))/C259)/100)))),0,IF(B259=C259,K259/C259,IF((INT(K259/B259)+(((K259-B259*INT(K259/B259)))/C259)/100)&lt;0,(INT(K259/B259)+(((K259-B259*INT(K259/B259)))/C259)/100)+(1-(B259/C259/100)),(INT(K259/B259)+(((K259-B259*INT(K259/B259)))/C259)/100))))</f>
        <v>0</v>
      </c>
      <c r="AW259" s="57">
        <f>IF(ISERROR(IF(B259=C259,L259/C259,(INT(L259/B259)+(((L259-B259*INT(L259/B259)))/C259)/100))),0,(IF(B259=C259,L259/C259,(INT(L259/B259)+(((L259-B259*INT(L259/B259)))/C259)/100))))</f>
        <v>0</v>
      </c>
      <c r="AX259" s="57">
        <f>IF(ISERROR(IF(B259=C259,M259/C259,(INT(M259/B259)+(((M259-B259*INT(M259/B259)))/C259)/100))),0,(IF(B259=C259,M259/C259,(INT(M259/B259)+(((M259-B259*INT(M259/B259)))/C259)/100))))</f>
        <v>0</v>
      </c>
      <c r="AY259" s="57">
        <f>IF(ISERROR(IF(B259=C259,N259/C259,IF((INT(N259/B259)+(((N259-B259*INT(N259/B259)))/C259)/100)&lt;0,(INT(N259/B259)+(((N259-B259*INT(N259/B259)))/C259)/100)+(1-(B259/C259/100)),(INT(N259/B259)+(((N259-B259*INT(N259/B259)))/C259)/100)))),0,IF(B259=C259,N259/C259,IF((INT(N259/B259)+(((N259-B259*INT(N259/B259)))/C259)/100)&lt;0,(INT(N259/B259)+(((N259-B259*INT(N259/B259)))/C259)/100)+(1-(B259/C259/100)),(INT(N259/B259)+(((N259-B259*INT(N259/B259)))/C259)/100))))</f>
        <v>0</v>
      </c>
      <c r="AZ259" s="57">
        <f>IF(ISERROR(IF(B259=C259,O259/C259,(INT(O259/B259)+(((O259-B259*INT(O259/B259)))/C259)/100))),0,(IF(B259=C259,O259/C259,(INT(O259/B259)+(((O259-B259*INT(O259/B259)))/C259)/100))))</f>
        <v>0</v>
      </c>
      <c r="BA259" s="57">
        <f>IF(ISERROR(IF(B259=C259,P259/C259,IF((INT(P259/B259)+(((P259-B259*INT(P259/B259)))/C259)/100)&lt;0,(INT(P259/B259)+(((P259-B259*INT(P259/B259)))/C259)/100)+(1-(B259/C259/100)),(INT(P259/B259)+(((P259-B259*INT(P259/B259)))/C259)/100)))),0,IF(B259=C259,P259/C259,IF((INT(P259/B259)+(((P259-B259*INT(P259/B259)))/C259)/100)&lt;0,(INT(P259/B259)+(((P259-B259*INT(P259/B259)))/C259)/100)+(1-(B259/C259/100)),(INT(P259/B259)+(((P259-B259*INT(P259/B259)))/C259)/100))))</f>
        <v>0</v>
      </c>
      <c r="BB259" s="28">
        <f>R259</f>
        <v>0</v>
      </c>
      <c r="BC259" s="28">
        <f>S259</f>
        <v>0</v>
      </c>
      <c r="BD259" s="28">
        <f>AF259</f>
        <v>0</v>
      </c>
      <c r="BE259" s="28">
        <f>T259</f>
        <v>0</v>
      </c>
      <c r="BG259" s="57">
        <f>IF(ISERROR(IF(B259=C259,V259/C259,(INT(V259/B259)+(((V259-B259*INT(V259/B259)))/C259)/100))),0,(IF(B259=C259,V259/C259,(INT(V259/B259)+(((V259-B259*INT(V259/B259)))/C259)/100))))</f>
        <v>0</v>
      </c>
      <c r="BH259" s="57">
        <f>IF(ISERROR(IF(B259=C259,W259/C259,(INT(W259/B259)+(((W259-B259*INT(W259/B259)))/C259)/100))),0,(IF(B259=C259,W259/C259,(INT(W259/B259)+(((W259-B259*INT(W259/B259)))/C259)/100))))</f>
        <v>0</v>
      </c>
      <c r="BI259" s="57">
        <f>IF(ISERROR(IF(B259=C259,X259/C259,(INT(X259/B259)+(((X259-B259*INT(X259/B259)))/C259)/100))),0,(IF(B259=C259,X259/C259,(INT(X259/B259)+(((X259-B259*INT(X259/B259)))/C259)/100))))</f>
        <v>0</v>
      </c>
      <c r="BJ259" s="57">
        <f>IF(ISERROR(IF(B259=C259,Y259/C259,(INT(Y259/B259)+(((Y259-B259*INT(Y259/B259)))/C259)/100))),0,(IF(B259=C259,Y259/C259,(INT(Y259/B259)+(((Y259-B259*INT(Y259/B259)))/C259)/100))))</f>
        <v>0</v>
      </c>
      <c r="BL259" s="57">
        <f>IF(ISERROR(IF(B259=C259,AA259/C259,(INT(AA259/B259)+(((AA259-B259*INT(AA259/B259)))/C259)/100))),0,(IF(B259=C259,AA259/C259,(INT(AA259/B259)+(((AA259-B259*INT(AA259/B259)))/C259)/100))))</f>
        <v>0</v>
      </c>
      <c r="BM259" s="57">
        <f>IF(ISERROR(IF(B259=C259,AB259/C259,(INT(AB259/B259)+(((AB259-B259*INT(AB259/B259)))/C259)/100))),0,(IF(B259=C259,AB259/C259,(INT(AB259/B259)+(((AB259-B259*INT(AB259/B259)))/C259)/100))))</f>
        <v>0</v>
      </c>
      <c r="BN259" s="57">
        <f>IF(ISERROR(IF(B259=C259,AC259/C259,(INT(AC259/B259)+(((AC259-B259*INT(AC259/B259)))/C259)/100))),0,(IF(B259=C259,AC259/C259,(INT(AC259/B259)+(((AC259-B259*INT(AC259/B259)))/C259)/100))))</f>
        <v>0</v>
      </c>
      <c r="BO259" s="57">
        <f>IF(ISERROR(IF(B259=C259,AD259/C259,(INT(AD259/B259)+(((AD259-B259*INT(AD259/B259)))/C259)/100))),0,(IF(B259=C259,AD259/C259,(INT(AD259/B259)+(((AD259-B259*INT(AD259/B259)))/C259)/100))))</f>
        <v>0</v>
      </c>
      <c r="BQ259" s="155"/>
    </row>
    <row r="260" spans="1:69" hidden="1" x14ac:dyDescent="0.35">
      <c r="A260" s="94"/>
      <c r="B260" s="113">
        <v>0</v>
      </c>
      <c r="C260" s="113">
        <v>0</v>
      </c>
      <c r="D260" s="28">
        <f>SUM(AA260:AD260)</f>
        <v>0</v>
      </c>
      <c r="E260" s="113">
        <v>0</v>
      </c>
      <c r="F260" s="113">
        <v>0</v>
      </c>
      <c r="G260" s="28">
        <f>SUM(D260:F260)</f>
        <v>0</v>
      </c>
      <c r="H260" s="125">
        <v>0</v>
      </c>
      <c r="I260" s="113">
        <v>0</v>
      </c>
      <c r="J260" s="125">
        <v>0</v>
      </c>
      <c r="K260" s="113">
        <v>0</v>
      </c>
      <c r="L260" s="113">
        <v>0</v>
      </c>
      <c r="M260" s="113">
        <v>0</v>
      </c>
      <c r="N260" s="28">
        <f>G260-SUM(H260:M260)</f>
        <v>0</v>
      </c>
      <c r="O260" s="28">
        <f>SUM(V260:Y260)</f>
        <v>0</v>
      </c>
      <c r="P260" s="28">
        <f>O260-N260</f>
        <v>0</v>
      </c>
      <c r="Q260" s="61" t="str">
        <f>IF(ISERROR(P260/SUM(H260:L260)),"",P260/SUM(H260:L260))</f>
        <v/>
      </c>
      <c r="R260" s="113">
        <v>0</v>
      </c>
      <c r="S260" s="28">
        <f>IF(ISERROR(P260/C260*R260),0,(P260/C260*R260))</f>
        <v>0</v>
      </c>
      <c r="T260" s="60">
        <f>IF(ISERROR(P260/B260*AF260),0,(P260/B260*AF260))</f>
        <v>0</v>
      </c>
      <c r="V260" s="113">
        <v>0</v>
      </c>
      <c r="W260" s="113">
        <v>0</v>
      </c>
      <c r="X260" s="113">
        <v>0</v>
      </c>
      <c r="Y260" s="113">
        <v>0</v>
      </c>
      <c r="AA260" s="113">
        <v>0</v>
      </c>
      <c r="AB260" s="113">
        <v>0</v>
      </c>
      <c r="AC260" s="113">
        <v>0</v>
      </c>
      <c r="AD260" s="113">
        <v>0</v>
      </c>
      <c r="AF260" s="113">
        <v>0</v>
      </c>
      <c r="AG260" s="28">
        <f>G260-O260</f>
        <v>0</v>
      </c>
      <c r="AH260" s="58">
        <f>IF(ISERROR(AG260/B260*AF260),0,(AG260/B260*AF260))</f>
        <v>0</v>
      </c>
      <c r="AI260" s="28">
        <f>SUM(H260:M260)</f>
        <v>0</v>
      </c>
      <c r="AJ260" s="28">
        <f>IF(ISERROR(AI260/B260*AF260),0,(AI260/B260*AF260))</f>
        <v>0</v>
      </c>
      <c r="AK260" s="58">
        <f>IF(ISERROR(O260/B260*AF260),0,(O260/B260*AF260))</f>
        <v>0</v>
      </c>
      <c r="AL260" s="28">
        <f>IF(ISERROR(H260/B260*AF260),0,(H260/B260*AF260))</f>
        <v>0</v>
      </c>
      <c r="AN260" s="51">
        <f>A260</f>
        <v>0</v>
      </c>
      <c r="AO260" s="57">
        <f>IF(ISERROR(IF(B260=C260,D260/C260,(INT(D260/B260)+(((D260-B260*INT(D260/B260)))/C260)/100))),0,(IF(B260=C260,D260/C260,(INT(D260/B260)+(((D260-B260*INT(D260/B260)))/C260)/100))))</f>
        <v>0</v>
      </c>
      <c r="AP260" s="57">
        <f>IF(ISERROR(IF(B260=C260,E260/C260,(INT(E260/B260)+(((E260-B260*INT(E260/B260)))/C260)/100))),0,(IF(B260=C260,E260/C260,(INT(E260/B260)+(((E260-B260*INT(E260/B260)))/C260)/100))))</f>
        <v>0</v>
      </c>
      <c r="AQ260" s="57">
        <f>IF(ISERROR(IF(B260=C260,F260/C260,IF((INT(F260/B260)+(((F260-B260*INT(F260/B260)))/C260)/100)&lt;0,(INT(F260/B260)+(((F260-B260*INT(F260/B260)))/C260)/100)+(1-(B260/C260/100)),(INT(F260/B260)+(((F260-B260*INT(F260/B260)))/C260)/100)))),0,IF(B260=C260,F260/C260,IF((INT(F260/B260)+(((F260-B260*INT(F260/B260)))/C260)/100)&lt;0,(INT(F260/B260)+(((F260-B260*INT(F260/B260)))/C260)/100)+(1-(B260/C260/100)),(INT(F260/B260)+(((F260-B260*INT(F260/B260)))/C260)/100))))</f>
        <v>0</v>
      </c>
      <c r="AR260" s="57">
        <f>IF(ISERROR(IF(B260=C260,G260/C260,(INT(G260/B260)+(((G260-B260*INT(G260/B260)))/C260)/100))),0,(IF(B260=C260,G260/C260,(INT(G260/B260)+(((G260-B260*INT(G260/B260)))/C260)/100))))</f>
        <v>0</v>
      </c>
      <c r="AS260" s="57">
        <f>IF(ISERROR(IF(B260=C260,H260/C260,(INT(H260/B260)+(((H260-B260*INT(H260/B260)))/C260)/100))),0,(IF(B260=C260,H260/C260,(INT(H260/B260)+(((H260-B260*INT(H260/B260)))/C260)/100))))</f>
        <v>0</v>
      </c>
      <c r="AT260" s="57">
        <f>IF(ISERROR(IF(B260=C260,I260/C260,(INT(I260/B260)+(((I260-B260*INT(I260/B260)))/C260)/100))),0,(IF(B260=C260,I260/C260,(INT(I260/B260)+(((I260-B260*INT(I260/B260)))/C260)/100))))</f>
        <v>0</v>
      </c>
      <c r="AU260" s="57">
        <f>IF(ISERROR(IF(B260=C260,J260/C260,(INT(J260/B260)+(((J260-B260*INT(J260/B260)))/C260)/100))),0,(IF(B260=C260,J260/C260,(INT(J260/B260)+(((J260-B260*INT(J260/B260)))/C260)/100))))</f>
        <v>0</v>
      </c>
      <c r="AV260" s="57">
        <f>IF(ISERROR(IF(B260=C260,K260/C260,IF((INT(K260/B260)+(((K260-B260*INT(K260/B260)))/C260)/100)&lt;0,(INT(K260/B260)+(((K260-B260*INT(K260/B260)))/C260)/100)+(1-(B260/C260/100)),(INT(K260/B260)+(((K260-B260*INT(K260/B260)))/C260)/100)))),0,IF(B260=C260,K260/C260,IF((INT(K260/B260)+(((K260-B260*INT(K260/B260)))/C260)/100)&lt;0,(INT(K260/B260)+(((K260-B260*INT(K260/B260)))/C260)/100)+(1-(B260/C260/100)),(INT(K260/B260)+(((K260-B260*INT(K260/B260)))/C260)/100))))</f>
        <v>0</v>
      </c>
      <c r="AW260" s="57">
        <f>IF(ISERROR(IF(B260=C260,L260/C260,(INT(L260/B260)+(((L260-B260*INT(L260/B260)))/C260)/100))),0,(IF(B260=C260,L260/C260,(INT(L260/B260)+(((L260-B260*INT(L260/B260)))/C260)/100))))</f>
        <v>0</v>
      </c>
      <c r="AX260" s="57">
        <f>IF(ISERROR(IF(B260=C260,M260/C260,(INT(M260/B260)+(((M260-B260*INT(M260/B260)))/C260)/100))),0,(IF(B260=C260,M260/C260,(INT(M260/B260)+(((M260-B260*INT(M260/B260)))/C260)/100))))</f>
        <v>0</v>
      </c>
      <c r="AY260" s="57">
        <f>IF(ISERROR(IF(B260=C260,N260/C260,IF((INT(N260/B260)+(((N260-B260*INT(N260/B260)))/C260)/100)&lt;0,(INT(N260/B260)+(((N260-B260*INT(N260/B260)))/C260)/100)+(1-(B260/C260/100)),(INT(N260/B260)+(((N260-B260*INT(N260/B260)))/C260)/100)))),0,IF(B260=C260,N260/C260,IF((INT(N260/B260)+(((N260-B260*INT(N260/B260)))/C260)/100)&lt;0,(INT(N260/B260)+(((N260-B260*INT(N260/B260)))/C260)/100)+(1-(B260/C260/100)),(INT(N260/B260)+(((N260-B260*INT(N260/B260)))/C260)/100))))</f>
        <v>0</v>
      </c>
      <c r="AZ260" s="57">
        <f>IF(ISERROR(IF(B260=C260,O260/C260,(INT(O260/B260)+(((O260-B260*INT(O260/B260)))/C260)/100))),0,(IF(B260=C260,O260/C260,(INT(O260/B260)+(((O260-B260*INT(O260/B260)))/C260)/100))))</f>
        <v>0</v>
      </c>
      <c r="BA260" s="57">
        <f>IF(ISERROR(IF(B260=C260,P260/C260,IF((INT(P260/B260)+(((P260-B260*INT(P260/B260)))/C260)/100)&lt;0,(INT(P260/B260)+(((P260-B260*INT(P260/B260)))/C260)/100)+(1-(B260/C260/100)),(INT(P260/B260)+(((P260-B260*INT(P260/B260)))/C260)/100)))),0,IF(B260=C260,P260/C260,IF((INT(P260/B260)+(((P260-B260*INT(P260/B260)))/C260)/100)&lt;0,(INT(P260/B260)+(((P260-B260*INT(P260/B260)))/C260)/100)+(1-(B260/C260/100)),(INT(P260/B260)+(((P260-B260*INT(P260/B260)))/C260)/100))))</f>
        <v>0</v>
      </c>
      <c r="BB260" s="28">
        <f>R260</f>
        <v>0</v>
      </c>
      <c r="BC260" s="28">
        <f>S260</f>
        <v>0</v>
      </c>
      <c r="BD260" s="28">
        <f>AF260</f>
        <v>0</v>
      </c>
      <c r="BE260" s="28">
        <f>T260</f>
        <v>0</v>
      </c>
      <c r="BG260" s="57">
        <f>IF(ISERROR(IF(B260=C260,V260/C260,(INT(V260/B260)+(((V260-B260*INT(V260/B260)))/C260)/100))),0,(IF(B260=C260,V260/C260,(INT(V260/B260)+(((V260-B260*INT(V260/B260)))/C260)/100))))</f>
        <v>0</v>
      </c>
      <c r="BH260" s="57">
        <f>IF(ISERROR(IF(B260=C260,W260/C260,(INT(W260/B260)+(((W260-B260*INT(W260/B260)))/C260)/100))),0,(IF(B260=C260,W260/C260,(INT(W260/B260)+(((W260-B260*INT(W260/B260)))/C260)/100))))</f>
        <v>0</v>
      </c>
      <c r="BI260" s="57">
        <f>IF(ISERROR(IF(B260=C260,X260/C260,(INT(X260/B260)+(((X260-B260*INT(X260/B260)))/C260)/100))),0,(IF(B260=C260,X260/C260,(INT(X260/B260)+(((X260-B260*INT(X260/B260)))/C260)/100))))</f>
        <v>0</v>
      </c>
      <c r="BJ260" s="57">
        <f>IF(ISERROR(IF(B260=C260,Y260/C260,(INT(Y260/B260)+(((Y260-B260*INT(Y260/B260)))/C260)/100))),0,(IF(B260=C260,Y260/C260,(INT(Y260/B260)+(((Y260-B260*INT(Y260/B260)))/C260)/100))))</f>
        <v>0</v>
      </c>
      <c r="BL260" s="57">
        <f>IF(ISERROR(IF(B260=C260,AA260/C260,(INT(AA260/B260)+(((AA260-B260*INT(AA260/B260)))/C260)/100))),0,(IF(B260=C260,AA260/C260,(INT(AA260/B260)+(((AA260-B260*INT(AA260/B260)))/C260)/100))))</f>
        <v>0</v>
      </c>
      <c r="BM260" s="57">
        <f>IF(ISERROR(IF(B260=C260,AB260/C260,(INT(AB260/B260)+(((AB260-B260*INT(AB260/B260)))/C260)/100))),0,(IF(B260=C260,AB260/C260,(INT(AB260/B260)+(((AB260-B260*INT(AB260/B260)))/C260)/100))))</f>
        <v>0</v>
      </c>
      <c r="BN260" s="57">
        <f>IF(ISERROR(IF(B260=C260,AC260/C260,(INT(AC260/B260)+(((AC260-B260*INT(AC260/B260)))/C260)/100))),0,(IF(B260=C260,AC260/C260,(INT(AC260/B260)+(((AC260-B260*INT(AC260/B260)))/C260)/100))))</f>
        <v>0</v>
      </c>
      <c r="BO260" s="57">
        <f>IF(ISERROR(IF(B260=C260,AD260/C260,(INT(AD260/B260)+(((AD260-B260*INT(AD260/B260)))/C260)/100))),0,(IF(B260=C260,AD260/C260,(INT(AD260/B260)+(((AD260-B260*INT(AD260/B260)))/C260)/100))))</f>
        <v>0</v>
      </c>
      <c r="BQ260" s="155"/>
    </row>
    <row r="261" spans="1:69" hidden="1" x14ac:dyDescent="0.35">
      <c r="A261" s="94"/>
      <c r="B261" s="113">
        <v>0</v>
      </c>
      <c r="C261" s="113">
        <v>0</v>
      </c>
      <c r="D261" s="28">
        <f>SUM(AA261:AD261)</f>
        <v>0</v>
      </c>
      <c r="E261" s="113">
        <v>0</v>
      </c>
      <c r="F261" s="113">
        <v>0</v>
      </c>
      <c r="G261" s="28">
        <f>SUM(D261:F261)</f>
        <v>0</v>
      </c>
      <c r="H261" s="125">
        <v>0</v>
      </c>
      <c r="I261" s="113">
        <v>0</v>
      </c>
      <c r="J261" s="125">
        <v>0</v>
      </c>
      <c r="K261" s="113">
        <v>0</v>
      </c>
      <c r="L261" s="113">
        <v>0</v>
      </c>
      <c r="M261" s="113">
        <v>0</v>
      </c>
      <c r="N261" s="28">
        <f>G261-SUM(H261:M261)</f>
        <v>0</v>
      </c>
      <c r="O261" s="28">
        <f>SUM(V261:Y261)</f>
        <v>0</v>
      </c>
      <c r="P261" s="28">
        <f>O261-N261</f>
        <v>0</v>
      </c>
      <c r="Q261" s="61" t="str">
        <f>IF(ISERROR(P261/SUM(H261:L261)),"",P261/SUM(H261:L261))</f>
        <v/>
      </c>
      <c r="R261" s="113">
        <v>0</v>
      </c>
      <c r="S261" s="28">
        <f>IF(ISERROR(P261/C261*R261),0,(P261/C261*R261))</f>
        <v>0</v>
      </c>
      <c r="T261" s="60">
        <f>IF(ISERROR(P261/B261*AF261),0,(P261/B261*AF261))</f>
        <v>0</v>
      </c>
      <c r="V261" s="113">
        <v>0</v>
      </c>
      <c r="W261" s="113">
        <v>0</v>
      </c>
      <c r="X261" s="113">
        <v>0</v>
      </c>
      <c r="Y261" s="113">
        <v>0</v>
      </c>
      <c r="AA261" s="113">
        <v>0</v>
      </c>
      <c r="AB261" s="113">
        <v>0</v>
      </c>
      <c r="AC261" s="113">
        <v>0</v>
      </c>
      <c r="AD261" s="113">
        <v>0</v>
      </c>
      <c r="AF261" s="113">
        <v>0</v>
      </c>
      <c r="AG261" s="28">
        <f>G261-O261</f>
        <v>0</v>
      </c>
      <c r="AH261" s="58">
        <f>IF(ISERROR(AG261/B261*AF261),0,(AG261/B261*AF261))</f>
        <v>0</v>
      </c>
      <c r="AI261" s="28">
        <f>SUM(H261:M261)</f>
        <v>0</v>
      </c>
      <c r="AJ261" s="28">
        <f>IF(ISERROR(AI261/B261*AF261),0,(AI261/B261*AF261))</f>
        <v>0</v>
      </c>
      <c r="AK261" s="58">
        <f>IF(ISERROR(O261/B261*AF261),0,(O261/B261*AF261))</f>
        <v>0</v>
      </c>
      <c r="AL261" s="28">
        <f>IF(ISERROR(H261/B261*AF261),0,(H261/B261*AF261))</f>
        <v>0</v>
      </c>
      <c r="AN261" s="51">
        <f>A261</f>
        <v>0</v>
      </c>
      <c r="AO261" s="57">
        <f>IF(ISERROR(IF(B261=C261,D261/C261,(INT(D261/B261)+(((D261-B261*INT(D261/B261)))/C261)/100))),0,(IF(B261=C261,D261/C261,(INT(D261/B261)+(((D261-B261*INT(D261/B261)))/C261)/100))))</f>
        <v>0</v>
      </c>
      <c r="AP261" s="57">
        <f>IF(ISERROR(IF(B261=C261,E261/C261,(INT(E261/B261)+(((E261-B261*INT(E261/B261)))/C261)/100))),0,(IF(B261=C261,E261/C261,(INT(E261/B261)+(((E261-B261*INT(E261/B261)))/C261)/100))))</f>
        <v>0</v>
      </c>
      <c r="AQ261" s="57">
        <f>IF(ISERROR(IF(B261=C261,F261/C261,IF((INT(F261/B261)+(((F261-B261*INT(F261/B261)))/C261)/100)&lt;0,(INT(F261/B261)+(((F261-B261*INT(F261/B261)))/C261)/100)+(1-(B261/C261/100)),(INT(F261/B261)+(((F261-B261*INT(F261/B261)))/C261)/100)))),0,IF(B261=C261,F261/C261,IF((INT(F261/B261)+(((F261-B261*INT(F261/B261)))/C261)/100)&lt;0,(INT(F261/B261)+(((F261-B261*INT(F261/B261)))/C261)/100)+(1-(B261/C261/100)),(INT(F261/B261)+(((F261-B261*INT(F261/B261)))/C261)/100))))</f>
        <v>0</v>
      </c>
      <c r="AR261" s="57">
        <f>IF(ISERROR(IF(B261=C261,G261/C261,(INT(G261/B261)+(((G261-B261*INT(G261/B261)))/C261)/100))),0,(IF(B261=C261,G261/C261,(INT(G261/B261)+(((G261-B261*INT(G261/B261)))/C261)/100))))</f>
        <v>0</v>
      </c>
      <c r="AS261" s="57">
        <f>IF(ISERROR(IF(B261=C261,H261/C261,(INT(H261/B261)+(((H261-B261*INT(H261/B261)))/C261)/100))),0,(IF(B261=C261,H261/C261,(INT(H261/B261)+(((H261-B261*INT(H261/B261)))/C261)/100))))</f>
        <v>0</v>
      </c>
      <c r="AT261" s="57">
        <f>IF(ISERROR(IF(B261=C261,I261/C261,(INT(I261/B261)+(((I261-B261*INT(I261/B261)))/C261)/100))),0,(IF(B261=C261,I261/C261,(INT(I261/B261)+(((I261-B261*INT(I261/B261)))/C261)/100))))</f>
        <v>0</v>
      </c>
      <c r="AU261" s="57">
        <f>IF(ISERROR(IF(B261=C261,J261/C261,(INT(J261/B261)+(((J261-B261*INT(J261/B261)))/C261)/100))),0,(IF(B261=C261,J261/C261,(INT(J261/B261)+(((J261-B261*INT(J261/B261)))/C261)/100))))</f>
        <v>0</v>
      </c>
      <c r="AV261" s="57">
        <f>IF(ISERROR(IF(B261=C261,K261/C261,IF((INT(K261/B261)+(((K261-B261*INT(K261/B261)))/C261)/100)&lt;0,(INT(K261/B261)+(((K261-B261*INT(K261/B261)))/C261)/100)+(1-(B261/C261/100)),(INT(K261/B261)+(((K261-B261*INT(K261/B261)))/C261)/100)))),0,IF(B261=C261,K261/C261,IF((INT(K261/B261)+(((K261-B261*INT(K261/B261)))/C261)/100)&lt;0,(INT(K261/B261)+(((K261-B261*INT(K261/B261)))/C261)/100)+(1-(B261/C261/100)),(INT(K261/B261)+(((K261-B261*INT(K261/B261)))/C261)/100))))</f>
        <v>0</v>
      </c>
      <c r="AW261" s="57">
        <f>IF(ISERROR(IF(B261=C261,L261/C261,(INT(L261/B261)+(((L261-B261*INT(L261/B261)))/C261)/100))),0,(IF(B261=C261,L261/C261,(INT(L261/B261)+(((L261-B261*INT(L261/B261)))/C261)/100))))</f>
        <v>0</v>
      </c>
      <c r="AX261" s="57">
        <f>IF(ISERROR(IF(B261=C261,M261/C261,(INT(M261/B261)+(((M261-B261*INT(M261/B261)))/C261)/100))),0,(IF(B261=C261,M261/C261,(INT(M261/B261)+(((M261-B261*INT(M261/B261)))/C261)/100))))</f>
        <v>0</v>
      </c>
      <c r="AY261" s="57">
        <f>IF(ISERROR(IF(B261=C261,N261/C261,IF((INT(N261/B261)+(((N261-B261*INT(N261/B261)))/C261)/100)&lt;0,(INT(N261/B261)+(((N261-B261*INT(N261/B261)))/C261)/100)+(1-(B261/C261/100)),(INT(N261/B261)+(((N261-B261*INT(N261/B261)))/C261)/100)))),0,IF(B261=C261,N261/C261,IF((INT(N261/B261)+(((N261-B261*INT(N261/B261)))/C261)/100)&lt;0,(INT(N261/B261)+(((N261-B261*INT(N261/B261)))/C261)/100)+(1-(B261/C261/100)),(INT(N261/B261)+(((N261-B261*INT(N261/B261)))/C261)/100))))</f>
        <v>0</v>
      </c>
      <c r="AZ261" s="57">
        <f>IF(ISERROR(IF(B261=C261,O261/C261,(INT(O261/B261)+(((O261-B261*INT(O261/B261)))/C261)/100))),0,(IF(B261=C261,O261/C261,(INT(O261/B261)+(((O261-B261*INT(O261/B261)))/C261)/100))))</f>
        <v>0</v>
      </c>
      <c r="BA261" s="57">
        <f>IF(ISERROR(IF(B261=C261,P261/C261,IF((INT(P261/B261)+(((P261-B261*INT(P261/B261)))/C261)/100)&lt;0,(INT(P261/B261)+(((P261-B261*INT(P261/B261)))/C261)/100)+(1-(B261/C261/100)),(INT(P261/B261)+(((P261-B261*INT(P261/B261)))/C261)/100)))),0,IF(B261=C261,P261/C261,IF((INT(P261/B261)+(((P261-B261*INT(P261/B261)))/C261)/100)&lt;0,(INT(P261/B261)+(((P261-B261*INT(P261/B261)))/C261)/100)+(1-(B261/C261/100)),(INT(P261/B261)+(((P261-B261*INT(P261/B261)))/C261)/100))))</f>
        <v>0</v>
      </c>
      <c r="BB261" s="28">
        <f>R261</f>
        <v>0</v>
      </c>
      <c r="BC261" s="28">
        <f>S261</f>
        <v>0</v>
      </c>
      <c r="BD261" s="28">
        <f>AF261</f>
        <v>0</v>
      </c>
      <c r="BE261" s="28">
        <f>T261</f>
        <v>0</v>
      </c>
      <c r="BG261" s="57">
        <f>IF(ISERROR(IF(B261=C261,V261/C261,(INT(V261/B261)+(((V261-B261*INT(V261/B261)))/C261)/100))),0,(IF(B261=C261,V261/C261,(INT(V261/B261)+(((V261-B261*INT(V261/B261)))/C261)/100))))</f>
        <v>0</v>
      </c>
      <c r="BH261" s="57">
        <f>IF(ISERROR(IF(B261=C261,W261/C261,(INT(W261/B261)+(((W261-B261*INT(W261/B261)))/C261)/100))),0,(IF(B261=C261,W261/C261,(INT(W261/B261)+(((W261-B261*INT(W261/B261)))/C261)/100))))</f>
        <v>0</v>
      </c>
      <c r="BI261" s="57">
        <f>IF(ISERROR(IF(B261=C261,X261/C261,(INT(X261/B261)+(((X261-B261*INT(X261/B261)))/C261)/100))),0,(IF(B261=C261,X261/C261,(INT(X261/B261)+(((X261-B261*INT(X261/B261)))/C261)/100))))</f>
        <v>0</v>
      </c>
      <c r="BJ261" s="57">
        <f>IF(ISERROR(IF(B261=C261,Y261/C261,(INT(Y261/B261)+(((Y261-B261*INT(Y261/B261)))/C261)/100))),0,(IF(B261=C261,Y261/C261,(INT(Y261/B261)+(((Y261-B261*INT(Y261/B261)))/C261)/100))))</f>
        <v>0</v>
      </c>
      <c r="BL261" s="57">
        <f>IF(ISERROR(IF(B261=C261,AA261/C261,(INT(AA261/B261)+(((AA261-B261*INT(AA261/B261)))/C261)/100))),0,(IF(B261=C261,AA261/C261,(INT(AA261/B261)+(((AA261-B261*INT(AA261/B261)))/C261)/100))))</f>
        <v>0</v>
      </c>
      <c r="BM261" s="57">
        <f>IF(ISERROR(IF(B261=C261,AB261/C261,(INT(AB261/B261)+(((AB261-B261*INT(AB261/B261)))/C261)/100))),0,(IF(B261=C261,AB261/C261,(INT(AB261/B261)+(((AB261-B261*INT(AB261/B261)))/C261)/100))))</f>
        <v>0</v>
      </c>
      <c r="BN261" s="57">
        <f>IF(ISERROR(IF(B261=C261,AC261/C261,(INT(AC261/B261)+(((AC261-B261*INT(AC261/B261)))/C261)/100))),0,(IF(B261=C261,AC261/C261,(INT(AC261/B261)+(((AC261-B261*INT(AC261/B261)))/C261)/100))))</f>
        <v>0</v>
      </c>
      <c r="BO261" s="57">
        <f>IF(ISERROR(IF(B261=C261,AD261/C261,(INT(AD261/B261)+(((AD261-B261*INT(AD261/B261)))/C261)/100))),0,(IF(B261=C261,AD261/C261,(INT(AD261/B261)+(((AD261-B261*INT(AD261/B261)))/C261)/100))))</f>
        <v>0</v>
      </c>
      <c r="BQ261" s="155"/>
    </row>
    <row r="262" spans="1:69" hidden="1" x14ac:dyDescent="0.35">
      <c r="A262" s="94"/>
      <c r="B262" s="113">
        <v>0</v>
      </c>
      <c r="C262" s="113">
        <v>0</v>
      </c>
      <c r="D262" s="28">
        <f>SUM(AA262:AD262)</f>
        <v>0</v>
      </c>
      <c r="E262" s="113">
        <v>0</v>
      </c>
      <c r="F262" s="113">
        <v>0</v>
      </c>
      <c r="G262" s="28">
        <f>SUM(D262:F262)</f>
        <v>0</v>
      </c>
      <c r="H262" s="125">
        <v>0</v>
      </c>
      <c r="I262" s="113">
        <v>0</v>
      </c>
      <c r="J262" s="125">
        <v>0</v>
      </c>
      <c r="K262" s="113">
        <v>0</v>
      </c>
      <c r="L262" s="113">
        <v>0</v>
      </c>
      <c r="M262" s="113">
        <v>0</v>
      </c>
      <c r="N262" s="28">
        <f>G262-SUM(H262:M262)</f>
        <v>0</v>
      </c>
      <c r="O262" s="28">
        <f>SUM(V262:Y262)</f>
        <v>0</v>
      </c>
      <c r="P262" s="28">
        <f>O262-N262</f>
        <v>0</v>
      </c>
      <c r="Q262" s="61" t="str">
        <f>IF(ISERROR(P262/SUM(H262:L262)),"",P262/SUM(H262:L262))</f>
        <v/>
      </c>
      <c r="R262" s="113">
        <v>0</v>
      </c>
      <c r="S262" s="28">
        <f>IF(ISERROR(P262/C262*R262),0,(P262/C262*R262))</f>
        <v>0</v>
      </c>
      <c r="T262" s="60">
        <f>IF(ISERROR(P262/B262*AF262),0,(P262/B262*AF262))</f>
        <v>0</v>
      </c>
      <c r="V262" s="113">
        <v>0</v>
      </c>
      <c r="W262" s="113">
        <v>0</v>
      </c>
      <c r="X262" s="113">
        <v>0</v>
      </c>
      <c r="Y262" s="113">
        <v>0</v>
      </c>
      <c r="AA262" s="113">
        <v>0</v>
      </c>
      <c r="AB262" s="113">
        <v>0</v>
      </c>
      <c r="AC262" s="113">
        <v>0</v>
      </c>
      <c r="AD262" s="113">
        <v>0</v>
      </c>
      <c r="AF262" s="113">
        <v>0</v>
      </c>
      <c r="AG262" s="28">
        <f>G262-O262</f>
        <v>0</v>
      </c>
      <c r="AH262" s="58">
        <f>IF(ISERROR(AG262/B262*AF262),0,(AG262/B262*AF262))</f>
        <v>0</v>
      </c>
      <c r="AI262" s="28">
        <f>SUM(H262:M262)</f>
        <v>0</v>
      </c>
      <c r="AJ262" s="28">
        <f>IF(ISERROR(AI262/B262*AF262),0,(AI262/B262*AF262))</f>
        <v>0</v>
      </c>
      <c r="AK262" s="58">
        <f>IF(ISERROR(O262/B262*AF262),0,(O262/B262*AF262))</f>
        <v>0</v>
      </c>
      <c r="AL262" s="28">
        <f>IF(ISERROR(H262/B262*AF262),0,(H262/B262*AF262))</f>
        <v>0</v>
      </c>
      <c r="AN262" s="51">
        <f>A262</f>
        <v>0</v>
      </c>
      <c r="AO262" s="57">
        <f>IF(ISERROR(IF(B262=C262,D262/C262,(INT(D262/B262)+(((D262-B262*INT(D262/B262)))/C262)/100))),0,(IF(B262=C262,D262/C262,(INT(D262/B262)+(((D262-B262*INT(D262/B262)))/C262)/100))))</f>
        <v>0</v>
      </c>
      <c r="AP262" s="57">
        <f>IF(ISERROR(IF(B262=C262,E262/C262,(INT(E262/B262)+(((E262-B262*INT(E262/B262)))/C262)/100))),0,(IF(B262=C262,E262/C262,(INT(E262/B262)+(((E262-B262*INT(E262/B262)))/C262)/100))))</f>
        <v>0</v>
      </c>
      <c r="AQ262" s="57">
        <f>IF(ISERROR(IF(B262=C262,F262/C262,IF((INT(F262/B262)+(((F262-B262*INT(F262/B262)))/C262)/100)&lt;0,(INT(F262/B262)+(((F262-B262*INT(F262/B262)))/C262)/100)+(1-(B262/C262/100)),(INT(F262/B262)+(((F262-B262*INT(F262/B262)))/C262)/100)))),0,IF(B262=C262,F262/C262,IF((INT(F262/B262)+(((F262-B262*INT(F262/B262)))/C262)/100)&lt;0,(INT(F262/B262)+(((F262-B262*INT(F262/B262)))/C262)/100)+(1-(B262/C262/100)),(INT(F262/B262)+(((F262-B262*INT(F262/B262)))/C262)/100))))</f>
        <v>0</v>
      </c>
      <c r="AR262" s="57">
        <f>IF(ISERROR(IF(B262=C262,G262/C262,(INT(G262/B262)+(((G262-B262*INT(G262/B262)))/C262)/100))),0,(IF(B262=C262,G262/C262,(INT(G262/B262)+(((G262-B262*INT(G262/B262)))/C262)/100))))</f>
        <v>0</v>
      </c>
      <c r="AS262" s="57">
        <f>IF(ISERROR(IF(B262=C262,H262/C262,(INT(H262/B262)+(((H262-B262*INT(H262/B262)))/C262)/100))),0,(IF(B262=C262,H262/C262,(INT(H262/B262)+(((H262-B262*INT(H262/B262)))/C262)/100))))</f>
        <v>0</v>
      </c>
      <c r="AT262" s="57">
        <f>IF(ISERROR(IF(B262=C262,I262/C262,(INT(I262/B262)+(((I262-B262*INT(I262/B262)))/C262)/100))),0,(IF(B262=C262,I262/C262,(INT(I262/B262)+(((I262-B262*INT(I262/B262)))/C262)/100))))</f>
        <v>0</v>
      </c>
      <c r="AU262" s="57">
        <f>IF(ISERROR(IF(B262=C262,J262/C262,(INT(J262/B262)+(((J262-B262*INT(J262/B262)))/C262)/100))),0,(IF(B262=C262,J262/C262,(INT(J262/B262)+(((J262-B262*INT(J262/B262)))/C262)/100))))</f>
        <v>0</v>
      </c>
      <c r="AV262" s="57">
        <f>IF(ISERROR(IF(B262=C262,K262/C262,IF((INT(K262/B262)+(((K262-B262*INT(K262/B262)))/C262)/100)&lt;0,(INT(K262/B262)+(((K262-B262*INT(K262/B262)))/C262)/100)+(1-(B262/C262/100)),(INT(K262/B262)+(((K262-B262*INT(K262/B262)))/C262)/100)))),0,IF(B262=C262,K262/C262,IF((INT(K262/B262)+(((K262-B262*INT(K262/B262)))/C262)/100)&lt;0,(INT(K262/B262)+(((K262-B262*INT(K262/B262)))/C262)/100)+(1-(B262/C262/100)),(INT(K262/B262)+(((K262-B262*INT(K262/B262)))/C262)/100))))</f>
        <v>0</v>
      </c>
      <c r="AW262" s="57">
        <f>IF(ISERROR(IF(B262=C262,L262/C262,(INT(L262/B262)+(((L262-B262*INT(L262/B262)))/C262)/100))),0,(IF(B262=C262,L262/C262,(INT(L262/B262)+(((L262-B262*INT(L262/B262)))/C262)/100))))</f>
        <v>0</v>
      </c>
      <c r="AX262" s="57">
        <f>IF(ISERROR(IF(B262=C262,M262/C262,(INT(M262/B262)+(((M262-B262*INT(M262/B262)))/C262)/100))),0,(IF(B262=C262,M262/C262,(INT(M262/B262)+(((M262-B262*INT(M262/B262)))/C262)/100))))</f>
        <v>0</v>
      </c>
      <c r="AY262" s="57">
        <f>IF(ISERROR(IF(B262=C262,N262/C262,IF((INT(N262/B262)+(((N262-B262*INT(N262/B262)))/C262)/100)&lt;0,(INT(N262/B262)+(((N262-B262*INT(N262/B262)))/C262)/100)+(1-(B262/C262/100)),(INT(N262/B262)+(((N262-B262*INT(N262/B262)))/C262)/100)))),0,IF(B262=C262,N262/C262,IF((INT(N262/B262)+(((N262-B262*INT(N262/B262)))/C262)/100)&lt;0,(INT(N262/B262)+(((N262-B262*INT(N262/B262)))/C262)/100)+(1-(B262/C262/100)),(INT(N262/B262)+(((N262-B262*INT(N262/B262)))/C262)/100))))</f>
        <v>0</v>
      </c>
      <c r="AZ262" s="57">
        <f>IF(ISERROR(IF(B262=C262,O262/C262,(INT(O262/B262)+(((O262-B262*INT(O262/B262)))/C262)/100))),0,(IF(B262=C262,O262/C262,(INT(O262/B262)+(((O262-B262*INT(O262/B262)))/C262)/100))))</f>
        <v>0</v>
      </c>
      <c r="BA262" s="57">
        <f>IF(ISERROR(IF(B262=C262,P262/C262,IF((INT(P262/B262)+(((P262-B262*INT(P262/B262)))/C262)/100)&lt;0,(INT(P262/B262)+(((P262-B262*INT(P262/B262)))/C262)/100)+(1-(B262/C262/100)),(INT(P262/B262)+(((P262-B262*INT(P262/B262)))/C262)/100)))),0,IF(B262=C262,P262/C262,IF((INT(P262/B262)+(((P262-B262*INT(P262/B262)))/C262)/100)&lt;0,(INT(P262/B262)+(((P262-B262*INT(P262/B262)))/C262)/100)+(1-(B262/C262/100)),(INT(P262/B262)+(((P262-B262*INT(P262/B262)))/C262)/100))))</f>
        <v>0</v>
      </c>
      <c r="BB262" s="28">
        <f>R262</f>
        <v>0</v>
      </c>
      <c r="BC262" s="28">
        <f>S262</f>
        <v>0</v>
      </c>
      <c r="BD262" s="28">
        <f>AF262</f>
        <v>0</v>
      </c>
      <c r="BE262" s="28">
        <f>T262</f>
        <v>0</v>
      </c>
      <c r="BG262" s="57">
        <f>IF(ISERROR(IF(B262=C262,V262/C262,(INT(V262/B262)+(((V262-B262*INT(V262/B262)))/C262)/100))),0,(IF(B262=C262,V262/C262,(INT(V262/B262)+(((V262-B262*INT(V262/B262)))/C262)/100))))</f>
        <v>0</v>
      </c>
      <c r="BH262" s="57">
        <f>IF(ISERROR(IF(B262=C262,W262/C262,(INT(W262/B262)+(((W262-B262*INT(W262/B262)))/C262)/100))),0,(IF(B262=C262,W262/C262,(INT(W262/B262)+(((W262-B262*INT(W262/B262)))/C262)/100))))</f>
        <v>0</v>
      </c>
      <c r="BI262" s="57">
        <f>IF(ISERROR(IF(B262=C262,X262/C262,(INT(X262/B262)+(((X262-B262*INT(X262/B262)))/C262)/100))),0,(IF(B262=C262,X262/C262,(INT(X262/B262)+(((X262-B262*INT(X262/B262)))/C262)/100))))</f>
        <v>0</v>
      </c>
      <c r="BJ262" s="57">
        <f>IF(ISERROR(IF(B262=C262,Y262/C262,(INT(Y262/B262)+(((Y262-B262*INT(Y262/B262)))/C262)/100))),0,(IF(B262=C262,Y262/C262,(INT(Y262/B262)+(((Y262-B262*INT(Y262/B262)))/C262)/100))))</f>
        <v>0</v>
      </c>
      <c r="BL262" s="57">
        <f>IF(ISERROR(IF(B262=C262,AA262/C262,(INT(AA262/B262)+(((AA262-B262*INT(AA262/B262)))/C262)/100))),0,(IF(B262=C262,AA262/C262,(INT(AA262/B262)+(((AA262-B262*INT(AA262/B262)))/C262)/100))))</f>
        <v>0</v>
      </c>
      <c r="BM262" s="57">
        <f>IF(ISERROR(IF(B262=C262,AB262/C262,(INT(AB262/B262)+(((AB262-B262*INT(AB262/B262)))/C262)/100))),0,(IF(B262=C262,AB262/C262,(INT(AB262/B262)+(((AB262-B262*INT(AB262/B262)))/C262)/100))))</f>
        <v>0</v>
      </c>
      <c r="BN262" s="57">
        <f>IF(ISERROR(IF(B262=C262,AC262/C262,(INT(AC262/B262)+(((AC262-B262*INT(AC262/B262)))/C262)/100))),0,(IF(B262=C262,AC262/C262,(INT(AC262/B262)+(((AC262-B262*INT(AC262/B262)))/C262)/100))))</f>
        <v>0</v>
      </c>
      <c r="BO262" s="57">
        <f>IF(ISERROR(IF(B262=C262,AD262/C262,(INT(AD262/B262)+(((AD262-B262*INT(AD262/B262)))/C262)/100))),0,(IF(B262=C262,AD262/C262,(INT(AD262/B262)+(((AD262-B262*INT(AD262/B262)))/C262)/100))))</f>
        <v>0</v>
      </c>
      <c r="BQ262" s="155"/>
    </row>
    <row r="263" spans="1:69" hidden="1" x14ac:dyDescent="0.35">
      <c r="A263" s="94"/>
      <c r="B263" s="113">
        <v>0</v>
      </c>
      <c r="C263" s="113">
        <v>0</v>
      </c>
      <c r="D263" s="28">
        <f>SUM(AA263:AD263)</f>
        <v>0</v>
      </c>
      <c r="E263" s="113">
        <v>0</v>
      </c>
      <c r="F263" s="113">
        <v>0</v>
      </c>
      <c r="G263" s="28">
        <f>SUM(D263:F263)</f>
        <v>0</v>
      </c>
      <c r="H263" s="125">
        <v>0</v>
      </c>
      <c r="I263" s="113">
        <v>0</v>
      </c>
      <c r="J263" s="125">
        <v>0</v>
      </c>
      <c r="K263" s="113">
        <v>0</v>
      </c>
      <c r="L263" s="113">
        <v>0</v>
      </c>
      <c r="M263" s="113">
        <v>0</v>
      </c>
      <c r="N263" s="28">
        <f>G263-SUM(H263:M263)</f>
        <v>0</v>
      </c>
      <c r="O263" s="28">
        <f>SUM(V263:Y263)</f>
        <v>0</v>
      </c>
      <c r="P263" s="28">
        <f>O263-N263</f>
        <v>0</v>
      </c>
      <c r="Q263" s="61" t="str">
        <f>IF(ISERROR(P263/SUM(H263:L263)),"",P263/SUM(H263:L263))</f>
        <v/>
      </c>
      <c r="R263" s="113">
        <v>0</v>
      </c>
      <c r="S263" s="28">
        <f>IF(ISERROR(P263/C263*R263),0,(P263/C263*R263))</f>
        <v>0</v>
      </c>
      <c r="T263" s="60">
        <f>IF(ISERROR(P263/B263*AF263),0,(P263/B263*AF263))</f>
        <v>0</v>
      </c>
      <c r="V263" s="113">
        <v>0</v>
      </c>
      <c r="W263" s="113">
        <v>0</v>
      </c>
      <c r="X263" s="113">
        <v>0</v>
      </c>
      <c r="Y263" s="113">
        <v>0</v>
      </c>
      <c r="AA263" s="113">
        <v>0</v>
      </c>
      <c r="AB263" s="113">
        <v>0</v>
      </c>
      <c r="AC263" s="113">
        <v>0</v>
      </c>
      <c r="AD263" s="113">
        <v>0</v>
      </c>
      <c r="AF263" s="113">
        <v>0</v>
      </c>
      <c r="AG263" s="28">
        <f>G263-O263</f>
        <v>0</v>
      </c>
      <c r="AH263" s="58">
        <f>IF(ISERROR(AG263/B263*AF263),0,(AG263/B263*AF263))</f>
        <v>0</v>
      </c>
      <c r="AI263" s="28">
        <f>SUM(H263:M263)</f>
        <v>0</v>
      </c>
      <c r="AJ263" s="28">
        <f>IF(ISERROR(AI263/B263*AF263),0,(AI263/B263*AF263))</f>
        <v>0</v>
      </c>
      <c r="AK263" s="58">
        <f>IF(ISERROR(O263/B263*AF263),0,(O263/B263*AF263))</f>
        <v>0</v>
      </c>
      <c r="AL263" s="28">
        <f>IF(ISERROR(H263/B263*AF263),0,(H263/B263*AF263))</f>
        <v>0</v>
      </c>
      <c r="AN263" s="51">
        <f>A263</f>
        <v>0</v>
      </c>
      <c r="AO263" s="57">
        <f>IF(ISERROR(IF(B263=C263,D263/C263,(INT(D263/B263)+(((D263-B263*INT(D263/B263)))/C263)/100))),0,(IF(B263=C263,D263/C263,(INT(D263/B263)+(((D263-B263*INT(D263/B263)))/C263)/100))))</f>
        <v>0</v>
      </c>
      <c r="AP263" s="57">
        <f>IF(ISERROR(IF(B263=C263,E263/C263,(INT(E263/B263)+(((E263-B263*INT(E263/B263)))/C263)/100))),0,(IF(B263=C263,E263/C263,(INT(E263/B263)+(((E263-B263*INT(E263/B263)))/C263)/100))))</f>
        <v>0</v>
      </c>
      <c r="AQ263" s="57">
        <f>IF(ISERROR(IF(B263=C263,F263/C263,IF((INT(F263/B263)+(((F263-B263*INT(F263/B263)))/C263)/100)&lt;0,(INT(F263/B263)+(((F263-B263*INT(F263/B263)))/C263)/100)+(1-(B263/C263/100)),(INT(F263/B263)+(((F263-B263*INT(F263/B263)))/C263)/100)))),0,IF(B263=C263,F263/C263,IF((INT(F263/B263)+(((F263-B263*INT(F263/B263)))/C263)/100)&lt;0,(INT(F263/B263)+(((F263-B263*INT(F263/B263)))/C263)/100)+(1-(B263/C263/100)),(INT(F263/B263)+(((F263-B263*INT(F263/B263)))/C263)/100))))</f>
        <v>0</v>
      </c>
      <c r="AR263" s="57">
        <f>IF(ISERROR(IF(B263=C263,G263/C263,(INT(G263/B263)+(((G263-B263*INT(G263/B263)))/C263)/100))),0,(IF(B263=C263,G263/C263,(INT(G263/B263)+(((G263-B263*INT(G263/B263)))/C263)/100))))</f>
        <v>0</v>
      </c>
      <c r="AS263" s="57">
        <f>IF(ISERROR(IF(B263=C263,H263/C263,(INT(H263/B263)+(((H263-B263*INT(H263/B263)))/C263)/100))),0,(IF(B263=C263,H263/C263,(INT(H263/B263)+(((H263-B263*INT(H263/B263)))/C263)/100))))</f>
        <v>0</v>
      </c>
      <c r="AT263" s="57">
        <f>IF(ISERROR(IF(B263=C263,I263/C263,(INT(I263/B263)+(((I263-B263*INT(I263/B263)))/C263)/100))),0,(IF(B263=C263,I263/C263,(INT(I263/B263)+(((I263-B263*INT(I263/B263)))/C263)/100))))</f>
        <v>0</v>
      </c>
      <c r="AU263" s="57">
        <f>IF(ISERROR(IF(B263=C263,J263/C263,(INT(J263/B263)+(((J263-B263*INT(J263/B263)))/C263)/100))),0,(IF(B263=C263,J263/C263,(INT(J263/B263)+(((J263-B263*INT(J263/B263)))/C263)/100))))</f>
        <v>0</v>
      </c>
      <c r="AV263" s="57">
        <f>IF(ISERROR(IF(B263=C263,K263/C263,IF((INT(K263/B263)+(((K263-B263*INT(K263/B263)))/C263)/100)&lt;0,(INT(K263/B263)+(((K263-B263*INT(K263/B263)))/C263)/100)+(1-(B263/C263/100)),(INT(K263/B263)+(((K263-B263*INT(K263/B263)))/C263)/100)))),0,IF(B263=C263,K263/C263,IF((INT(K263/B263)+(((K263-B263*INT(K263/B263)))/C263)/100)&lt;0,(INT(K263/B263)+(((K263-B263*INT(K263/B263)))/C263)/100)+(1-(B263/C263/100)),(INT(K263/B263)+(((K263-B263*INT(K263/B263)))/C263)/100))))</f>
        <v>0</v>
      </c>
      <c r="AW263" s="57">
        <f>IF(ISERROR(IF(B263=C263,L263/C263,(INT(L263/B263)+(((L263-B263*INT(L263/B263)))/C263)/100))),0,(IF(B263=C263,L263/C263,(INT(L263/B263)+(((L263-B263*INT(L263/B263)))/C263)/100))))</f>
        <v>0</v>
      </c>
      <c r="AX263" s="57">
        <f>IF(ISERROR(IF(B263=C263,M263/C263,(INT(M263/B263)+(((M263-B263*INT(M263/B263)))/C263)/100))),0,(IF(B263=C263,M263/C263,(INT(M263/B263)+(((M263-B263*INT(M263/B263)))/C263)/100))))</f>
        <v>0</v>
      </c>
      <c r="AY263" s="57">
        <f>IF(ISERROR(IF(B263=C263,N263/C263,IF((INT(N263/B263)+(((N263-B263*INT(N263/B263)))/C263)/100)&lt;0,(INT(N263/B263)+(((N263-B263*INT(N263/B263)))/C263)/100)+(1-(B263/C263/100)),(INT(N263/B263)+(((N263-B263*INT(N263/B263)))/C263)/100)))),0,IF(B263=C263,N263/C263,IF((INT(N263/B263)+(((N263-B263*INT(N263/B263)))/C263)/100)&lt;0,(INT(N263/B263)+(((N263-B263*INT(N263/B263)))/C263)/100)+(1-(B263/C263/100)),(INT(N263/B263)+(((N263-B263*INT(N263/B263)))/C263)/100))))</f>
        <v>0</v>
      </c>
      <c r="AZ263" s="57">
        <f>IF(ISERROR(IF(B263=C263,O263/C263,(INT(O263/B263)+(((O263-B263*INT(O263/B263)))/C263)/100))),0,(IF(B263=C263,O263/C263,(INT(O263/B263)+(((O263-B263*INT(O263/B263)))/C263)/100))))</f>
        <v>0</v>
      </c>
      <c r="BA263" s="57">
        <f>IF(ISERROR(IF(B263=C263,P263/C263,IF((INT(P263/B263)+(((P263-B263*INT(P263/B263)))/C263)/100)&lt;0,(INT(P263/B263)+(((P263-B263*INT(P263/B263)))/C263)/100)+(1-(B263/C263/100)),(INT(P263/B263)+(((P263-B263*INT(P263/B263)))/C263)/100)))),0,IF(B263=C263,P263/C263,IF((INT(P263/B263)+(((P263-B263*INT(P263/B263)))/C263)/100)&lt;0,(INT(P263/B263)+(((P263-B263*INT(P263/B263)))/C263)/100)+(1-(B263/C263/100)),(INT(P263/B263)+(((P263-B263*INT(P263/B263)))/C263)/100))))</f>
        <v>0</v>
      </c>
      <c r="BB263" s="28">
        <f>R263</f>
        <v>0</v>
      </c>
      <c r="BC263" s="28">
        <f>S263</f>
        <v>0</v>
      </c>
      <c r="BD263" s="28">
        <f>AF263</f>
        <v>0</v>
      </c>
      <c r="BE263" s="28">
        <f>T263</f>
        <v>0</v>
      </c>
      <c r="BG263" s="57">
        <f>IF(ISERROR(IF(B263=C263,V263/C263,(INT(V263/B263)+(((V263-B263*INT(V263/B263)))/C263)/100))),0,(IF(B263=C263,V263/C263,(INT(V263/B263)+(((V263-B263*INT(V263/B263)))/C263)/100))))</f>
        <v>0</v>
      </c>
      <c r="BH263" s="57">
        <f>IF(ISERROR(IF(B263=C263,W263/C263,(INT(W263/B263)+(((W263-B263*INT(W263/B263)))/C263)/100))),0,(IF(B263=C263,W263/C263,(INT(W263/B263)+(((W263-B263*INT(W263/B263)))/C263)/100))))</f>
        <v>0</v>
      </c>
      <c r="BI263" s="57">
        <f>IF(ISERROR(IF(B263=C263,X263/C263,(INT(X263/B263)+(((X263-B263*INT(X263/B263)))/C263)/100))),0,(IF(B263=C263,X263/C263,(INT(X263/B263)+(((X263-B263*INT(X263/B263)))/C263)/100))))</f>
        <v>0</v>
      </c>
      <c r="BJ263" s="57">
        <f>IF(ISERROR(IF(B263=C263,Y263/C263,(INT(Y263/B263)+(((Y263-B263*INT(Y263/B263)))/C263)/100))),0,(IF(B263=C263,Y263/C263,(INT(Y263/B263)+(((Y263-B263*INT(Y263/B263)))/C263)/100))))</f>
        <v>0</v>
      </c>
      <c r="BL263" s="57">
        <f>IF(ISERROR(IF(B263=C263,AA263/C263,(INT(AA263/B263)+(((AA263-B263*INT(AA263/B263)))/C263)/100))),0,(IF(B263=C263,AA263/C263,(INT(AA263/B263)+(((AA263-B263*INT(AA263/B263)))/C263)/100))))</f>
        <v>0</v>
      </c>
      <c r="BM263" s="57">
        <f>IF(ISERROR(IF(B263=C263,AB263/C263,(INT(AB263/B263)+(((AB263-B263*INT(AB263/B263)))/C263)/100))),0,(IF(B263=C263,AB263/C263,(INT(AB263/B263)+(((AB263-B263*INT(AB263/B263)))/C263)/100))))</f>
        <v>0</v>
      </c>
      <c r="BN263" s="57">
        <f>IF(ISERROR(IF(B263=C263,AC263/C263,(INT(AC263/B263)+(((AC263-B263*INT(AC263/B263)))/C263)/100))),0,(IF(B263=C263,AC263/C263,(INT(AC263/B263)+(((AC263-B263*INT(AC263/B263)))/C263)/100))))</f>
        <v>0</v>
      </c>
      <c r="BO263" s="57">
        <f>IF(ISERROR(IF(B263=C263,AD263/C263,(INT(AD263/B263)+(((AD263-B263*INT(AD263/B263)))/C263)/100))),0,(IF(B263=C263,AD263/C263,(INT(AD263/B263)+(((AD263-B263*INT(AD263/B263)))/C263)/100))))</f>
        <v>0</v>
      </c>
      <c r="BQ263" s="155"/>
    </row>
    <row r="264" spans="1:69" hidden="1" x14ac:dyDescent="0.35">
      <c r="A264" s="94"/>
      <c r="B264" s="113">
        <v>0</v>
      </c>
      <c r="C264" s="113">
        <v>0</v>
      </c>
      <c r="D264" s="28">
        <f>SUM(AA264:AD264)</f>
        <v>0</v>
      </c>
      <c r="E264" s="113">
        <v>0</v>
      </c>
      <c r="F264" s="113">
        <v>0</v>
      </c>
      <c r="G264" s="28">
        <f>SUM(D264:F264)</f>
        <v>0</v>
      </c>
      <c r="H264" s="125">
        <v>0</v>
      </c>
      <c r="I264" s="113">
        <v>0</v>
      </c>
      <c r="J264" s="125">
        <v>0</v>
      </c>
      <c r="K264" s="113">
        <v>0</v>
      </c>
      <c r="L264" s="113">
        <v>0</v>
      </c>
      <c r="M264" s="113">
        <v>0</v>
      </c>
      <c r="N264" s="28">
        <f>G264-SUM(H264:M264)</f>
        <v>0</v>
      </c>
      <c r="O264" s="28">
        <f>SUM(V264:Y264)</f>
        <v>0</v>
      </c>
      <c r="P264" s="28">
        <f>O264-N264</f>
        <v>0</v>
      </c>
      <c r="Q264" s="61" t="str">
        <f>IF(ISERROR(P264/SUM(H264:L264)),"",P264/SUM(H264:L264))</f>
        <v/>
      </c>
      <c r="R264" s="113">
        <v>0</v>
      </c>
      <c r="S264" s="28">
        <f>IF(ISERROR(P264/C264*R264),0,(P264/C264*R264))</f>
        <v>0</v>
      </c>
      <c r="T264" s="60">
        <f>IF(ISERROR(P264/B264*AF264),0,(P264/B264*AF264))</f>
        <v>0</v>
      </c>
      <c r="V264" s="113">
        <v>0</v>
      </c>
      <c r="W264" s="113">
        <v>0</v>
      </c>
      <c r="X264" s="113">
        <v>0</v>
      </c>
      <c r="Y264" s="113">
        <v>0</v>
      </c>
      <c r="AA264" s="113">
        <v>0</v>
      </c>
      <c r="AB264" s="113">
        <v>0</v>
      </c>
      <c r="AC264" s="113">
        <v>0</v>
      </c>
      <c r="AD264" s="113">
        <v>0</v>
      </c>
      <c r="AF264" s="113">
        <v>0</v>
      </c>
      <c r="AG264" s="28">
        <f>G264-O264</f>
        <v>0</v>
      </c>
      <c r="AH264" s="58">
        <f>IF(ISERROR(AG264/B264*AF264),0,(AG264/B264*AF264))</f>
        <v>0</v>
      </c>
      <c r="AI264" s="28">
        <f>SUM(H264:M264)</f>
        <v>0</v>
      </c>
      <c r="AJ264" s="28">
        <f>IF(ISERROR(AI264/B264*AF264),0,(AI264/B264*AF264))</f>
        <v>0</v>
      </c>
      <c r="AK264" s="58">
        <f>IF(ISERROR(O264/B264*AF264),0,(O264/B264*AF264))</f>
        <v>0</v>
      </c>
      <c r="AL264" s="28">
        <f>IF(ISERROR(H264/B264*AF264),0,(H264/B264*AF264))</f>
        <v>0</v>
      </c>
      <c r="AN264" s="51">
        <f>A264</f>
        <v>0</v>
      </c>
      <c r="AO264" s="57">
        <f>IF(ISERROR(IF(B264=C264,D264/C264,(INT(D264/B264)+(((D264-B264*INT(D264/B264)))/C264)/100))),0,(IF(B264=C264,D264/C264,(INT(D264/B264)+(((D264-B264*INT(D264/B264)))/C264)/100))))</f>
        <v>0</v>
      </c>
      <c r="AP264" s="57">
        <f>IF(ISERROR(IF(B264=C264,E264/C264,(INT(E264/B264)+(((E264-B264*INT(E264/B264)))/C264)/100))),0,(IF(B264=C264,E264/C264,(INT(E264/B264)+(((E264-B264*INT(E264/B264)))/C264)/100))))</f>
        <v>0</v>
      </c>
      <c r="AQ264" s="57">
        <f>IF(ISERROR(IF(B264=C264,F264/C264,IF((INT(F264/B264)+(((F264-B264*INT(F264/B264)))/C264)/100)&lt;0,(INT(F264/B264)+(((F264-B264*INT(F264/B264)))/C264)/100)+(1-(B264/C264/100)),(INT(F264/B264)+(((F264-B264*INT(F264/B264)))/C264)/100)))),0,IF(B264=C264,F264/C264,IF((INT(F264/B264)+(((F264-B264*INT(F264/B264)))/C264)/100)&lt;0,(INT(F264/B264)+(((F264-B264*INT(F264/B264)))/C264)/100)+(1-(B264/C264/100)),(INT(F264/B264)+(((F264-B264*INT(F264/B264)))/C264)/100))))</f>
        <v>0</v>
      </c>
      <c r="AR264" s="57">
        <f>IF(ISERROR(IF(B264=C264,G264/C264,(INT(G264/B264)+(((G264-B264*INT(G264/B264)))/C264)/100))),0,(IF(B264=C264,G264/C264,(INT(G264/B264)+(((G264-B264*INT(G264/B264)))/C264)/100))))</f>
        <v>0</v>
      </c>
      <c r="AS264" s="57">
        <f>IF(ISERROR(IF(B264=C264,H264/C264,(INT(H264/B264)+(((H264-B264*INT(H264/B264)))/C264)/100))),0,(IF(B264=C264,H264/C264,(INT(H264/B264)+(((H264-B264*INT(H264/B264)))/C264)/100))))</f>
        <v>0</v>
      </c>
      <c r="AT264" s="57">
        <f>IF(ISERROR(IF(B264=C264,I264/C264,(INT(I264/B264)+(((I264-B264*INT(I264/B264)))/C264)/100))),0,(IF(B264=C264,I264/C264,(INT(I264/B264)+(((I264-B264*INT(I264/B264)))/C264)/100))))</f>
        <v>0</v>
      </c>
      <c r="AU264" s="57">
        <f>IF(ISERROR(IF(B264=C264,J264/C264,(INT(J264/B264)+(((J264-B264*INT(J264/B264)))/C264)/100))),0,(IF(B264=C264,J264/C264,(INT(J264/B264)+(((J264-B264*INT(J264/B264)))/C264)/100))))</f>
        <v>0</v>
      </c>
      <c r="AV264" s="57">
        <f>IF(ISERROR(IF(B264=C264,K264/C264,IF((INT(K264/B264)+(((K264-B264*INT(K264/B264)))/C264)/100)&lt;0,(INT(K264/B264)+(((K264-B264*INT(K264/B264)))/C264)/100)+(1-(B264/C264/100)),(INT(K264/B264)+(((K264-B264*INT(K264/B264)))/C264)/100)))),0,IF(B264=C264,K264/C264,IF((INT(K264/B264)+(((K264-B264*INT(K264/B264)))/C264)/100)&lt;0,(INT(K264/B264)+(((K264-B264*INT(K264/B264)))/C264)/100)+(1-(B264/C264/100)),(INT(K264/B264)+(((K264-B264*INT(K264/B264)))/C264)/100))))</f>
        <v>0</v>
      </c>
      <c r="AW264" s="57">
        <f>IF(ISERROR(IF(B264=C264,L264/C264,(INT(L264/B264)+(((L264-B264*INT(L264/B264)))/C264)/100))),0,(IF(B264=C264,L264/C264,(INT(L264/B264)+(((L264-B264*INT(L264/B264)))/C264)/100))))</f>
        <v>0</v>
      </c>
      <c r="AX264" s="57">
        <f>IF(ISERROR(IF(B264=C264,M264/C264,(INT(M264/B264)+(((M264-B264*INT(M264/B264)))/C264)/100))),0,(IF(B264=C264,M264/C264,(INT(M264/B264)+(((M264-B264*INT(M264/B264)))/C264)/100))))</f>
        <v>0</v>
      </c>
      <c r="AY264" s="57">
        <f>IF(ISERROR(IF(B264=C264,N264/C264,IF((INT(N264/B264)+(((N264-B264*INT(N264/B264)))/C264)/100)&lt;0,(INT(N264/B264)+(((N264-B264*INT(N264/B264)))/C264)/100)+(1-(B264/C264/100)),(INT(N264/B264)+(((N264-B264*INT(N264/B264)))/C264)/100)))),0,IF(B264=C264,N264/C264,IF((INT(N264/B264)+(((N264-B264*INT(N264/B264)))/C264)/100)&lt;0,(INT(N264/B264)+(((N264-B264*INT(N264/B264)))/C264)/100)+(1-(B264/C264/100)),(INT(N264/B264)+(((N264-B264*INT(N264/B264)))/C264)/100))))</f>
        <v>0</v>
      </c>
      <c r="AZ264" s="57">
        <f>IF(ISERROR(IF(B264=C264,O264/C264,(INT(O264/B264)+(((O264-B264*INT(O264/B264)))/C264)/100))),0,(IF(B264=C264,O264/C264,(INT(O264/B264)+(((O264-B264*INT(O264/B264)))/C264)/100))))</f>
        <v>0</v>
      </c>
      <c r="BA264" s="57">
        <f>IF(ISERROR(IF(B264=C264,P264/C264,IF((INT(P264/B264)+(((P264-B264*INT(P264/B264)))/C264)/100)&lt;0,(INT(P264/B264)+(((P264-B264*INT(P264/B264)))/C264)/100)+(1-(B264/C264/100)),(INT(P264/B264)+(((P264-B264*INT(P264/B264)))/C264)/100)))),0,IF(B264=C264,P264/C264,IF((INT(P264/B264)+(((P264-B264*INT(P264/B264)))/C264)/100)&lt;0,(INT(P264/B264)+(((P264-B264*INT(P264/B264)))/C264)/100)+(1-(B264/C264/100)),(INT(P264/B264)+(((P264-B264*INT(P264/B264)))/C264)/100))))</f>
        <v>0</v>
      </c>
      <c r="BB264" s="28">
        <f>R264</f>
        <v>0</v>
      </c>
      <c r="BC264" s="28">
        <f>S264</f>
        <v>0</v>
      </c>
      <c r="BD264" s="28">
        <f>AF264</f>
        <v>0</v>
      </c>
      <c r="BE264" s="28">
        <f>T264</f>
        <v>0</v>
      </c>
      <c r="BG264" s="57">
        <f>IF(ISERROR(IF(B264=C264,V264/C264,(INT(V264/B264)+(((V264-B264*INT(V264/B264)))/C264)/100))),0,(IF(B264=C264,V264/C264,(INT(V264/B264)+(((V264-B264*INT(V264/B264)))/C264)/100))))</f>
        <v>0</v>
      </c>
      <c r="BH264" s="57">
        <f>IF(ISERROR(IF(B264=C264,W264/C264,(INT(W264/B264)+(((W264-B264*INT(W264/B264)))/C264)/100))),0,(IF(B264=C264,W264/C264,(INT(W264/B264)+(((W264-B264*INT(W264/B264)))/C264)/100))))</f>
        <v>0</v>
      </c>
      <c r="BI264" s="57">
        <f>IF(ISERROR(IF(B264=C264,X264/C264,(INT(X264/B264)+(((X264-B264*INT(X264/B264)))/C264)/100))),0,(IF(B264=C264,X264/C264,(INT(X264/B264)+(((X264-B264*INT(X264/B264)))/C264)/100))))</f>
        <v>0</v>
      </c>
      <c r="BJ264" s="57">
        <f>IF(ISERROR(IF(B264=C264,Y264/C264,(INT(Y264/B264)+(((Y264-B264*INT(Y264/B264)))/C264)/100))),0,(IF(B264=C264,Y264/C264,(INT(Y264/B264)+(((Y264-B264*INT(Y264/B264)))/C264)/100))))</f>
        <v>0</v>
      </c>
      <c r="BL264" s="57">
        <f>IF(ISERROR(IF(B264=C264,AA264/C264,(INT(AA264/B264)+(((AA264-B264*INT(AA264/B264)))/C264)/100))),0,(IF(B264=C264,AA264/C264,(INT(AA264/B264)+(((AA264-B264*INT(AA264/B264)))/C264)/100))))</f>
        <v>0</v>
      </c>
      <c r="BM264" s="57">
        <f>IF(ISERROR(IF(B264=C264,AB264/C264,(INT(AB264/B264)+(((AB264-B264*INT(AB264/B264)))/C264)/100))),0,(IF(B264=C264,AB264/C264,(INT(AB264/B264)+(((AB264-B264*INT(AB264/B264)))/C264)/100))))</f>
        <v>0</v>
      </c>
      <c r="BN264" s="57">
        <f>IF(ISERROR(IF(B264=C264,AC264/C264,(INT(AC264/B264)+(((AC264-B264*INT(AC264/B264)))/C264)/100))),0,(IF(B264=C264,AC264/C264,(INT(AC264/B264)+(((AC264-B264*INT(AC264/B264)))/C264)/100))))</f>
        <v>0</v>
      </c>
      <c r="BO264" s="57">
        <f>IF(ISERROR(IF(B264=C264,AD264/C264,(INT(AD264/B264)+(((AD264-B264*INT(AD264/B264)))/C264)/100))),0,(IF(B264=C264,AD264/C264,(INT(AD264/B264)+(((AD264-B264*INT(AD264/B264)))/C264)/100))))</f>
        <v>0</v>
      </c>
      <c r="BQ264" s="155"/>
    </row>
    <row r="265" spans="1:69" hidden="1" x14ac:dyDescent="0.35">
      <c r="A265" s="94"/>
      <c r="B265" s="113">
        <v>0</v>
      </c>
      <c r="C265" s="113">
        <v>0</v>
      </c>
      <c r="D265" s="28">
        <f>SUM(AA265:AD265)</f>
        <v>0</v>
      </c>
      <c r="E265" s="113">
        <v>0</v>
      </c>
      <c r="F265" s="113">
        <v>0</v>
      </c>
      <c r="G265" s="28">
        <f>SUM(D265:F265)</f>
        <v>0</v>
      </c>
      <c r="H265" s="125">
        <v>0</v>
      </c>
      <c r="I265" s="113">
        <v>0</v>
      </c>
      <c r="J265" s="125">
        <v>0</v>
      </c>
      <c r="K265" s="113">
        <v>0</v>
      </c>
      <c r="L265" s="113">
        <v>0</v>
      </c>
      <c r="M265" s="113">
        <v>0</v>
      </c>
      <c r="N265" s="28">
        <f>G265-SUM(H265:M265)</f>
        <v>0</v>
      </c>
      <c r="O265" s="28">
        <f>SUM(V265:Y265)</f>
        <v>0</v>
      </c>
      <c r="P265" s="28">
        <f>O265-N265</f>
        <v>0</v>
      </c>
      <c r="Q265" s="61" t="str">
        <f>IF(ISERROR(P265/SUM(H265:L265)),"",P265/SUM(H265:L265))</f>
        <v/>
      </c>
      <c r="R265" s="113">
        <v>0</v>
      </c>
      <c r="S265" s="28">
        <f>IF(ISERROR(P265/C265*R265),0,(P265/C265*R265))</f>
        <v>0</v>
      </c>
      <c r="T265" s="60">
        <f>IF(ISERROR(P265/B265*AF265),0,(P265/B265*AF265))</f>
        <v>0</v>
      </c>
      <c r="V265" s="113">
        <v>0</v>
      </c>
      <c r="W265" s="113">
        <v>0</v>
      </c>
      <c r="X265" s="113">
        <v>0</v>
      </c>
      <c r="Y265" s="113">
        <v>0</v>
      </c>
      <c r="AA265" s="113">
        <v>0</v>
      </c>
      <c r="AB265" s="113">
        <v>0</v>
      </c>
      <c r="AC265" s="113">
        <v>0</v>
      </c>
      <c r="AD265" s="113">
        <v>0</v>
      </c>
      <c r="AF265" s="113">
        <v>0</v>
      </c>
      <c r="AG265" s="28">
        <f>G265-O265</f>
        <v>0</v>
      </c>
      <c r="AH265" s="58">
        <f>IF(ISERROR(AG265/B265*AF265),0,(AG265/B265*AF265))</f>
        <v>0</v>
      </c>
      <c r="AI265" s="28">
        <f>SUM(H265:M265)</f>
        <v>0</v>
      </c>
      <c r="AJ265" s="28">
        <f>IF(ISERROR(AI265/B265*AF265),0,(AI265/B265*AF265))</f>
        <v>0</v>
      </c>
      <c r="AK265" s="58">
        <f>IF(ISERROR(O265/B265*AF265),0,(O265/B265*AF265))</f>
        <v>0</v>
      </c>
      <c r="AL265" s="28">
        <f>IF(ISERROR(H265/B265*AF265),0,(H265/B265*AF265))</f>
        <v>0</v>
      </c>
      <c r="AN265" s="51">
        <f>A265</f>
        <v>0</v>
      </c>
      <c r="AO265" s="57">
        <f>IF(ISERROR(IF(B265=C265,D265/C265,(INT(D265/B265)+(((D265-B265*INT(D265/B265)))/C265)/100))),0,(IF(B265=C265,D265/C265,(INT(D265/B265)+(((D265-B265*INT(D265/B265)))/C265)/100))))</f>
        <v>0</v>
      </c>
      <c r="AP265" s="57">
        <f>IF(ISERROR(IF(B265=C265,E265/C265,(INT(E265/B265)+(((E265-B265*INT(E265/B265)))/C265)/100))),0,(IF(B265=C265,E265/C265,(INT(E265/B265)+(((E265-B265*INT(E265/B265)))/C265)/100))))</f>
        <v>0</v>
      </c>
      <c r="AQ265" s="57">
        <f>IF(ISERROR(IF(B265=C265,F265/C265,IF((INT(F265/B265)+(((F265-B265*INT(F265/B265)))/C265)/100)&lt;0,(INT(F265/B265)+(((F265-B265*INT(F265/B265)))/C265)/100)+(1-(B265/C265/100)),(INT(F265/B265)+(((F265-B265*INT(F265/B265)))/C265)/100)))),0,IF(B265=C265,F265/C265,IF((INT(F265/B265)+(((F265-B265*INT(F265/B265)))/C265)/100)&lt;0,(INT(F265/B265)+(((F265-B265*INT(F265/B265)))/C265)/100)+(1-(B265/C265/100)),(INT(F265/B265)+(((F265-B265*INT(F265/B265)))/C265)/100))))</f>
        <v>0</v>
      </c>
      <c r="AR265" s="57">
        <f>IF(ISERROR(IF(B265=C265,G265/C265,(INT(G265/B265)+(((G265-B265*INT(G265/B265)))/C265)/100))),0,(IF(B265=C265,G265/C265,(INT(G265/B265)+(((G265-B265*INT(G265/B265)))/C265)/100))))</f>
        <v>0</v>
      </c>
      <c r="AS265" s="57">
        <f>IF(ISERROR(IF(B265=C265,H265/C265,(INT(H265/B265)+(((H265-B265*INT(H265/B265)))/C265)/100))),0,(IF(B265=C265,H265/C265,(INT(H265/B265)+(((H265-B265*INT(H265/B265)))/C265)/100))))</f>
        <v>0</v>
      </c>
      <c r="AT265" s="57">
        <f>IF(ISERROR(IF(B265=C265,I265/C265,(INT(I265/B265)+(((I265-B265*INT(I265/B265)))/C265)/100))),0,(IF(B265=C265,I265/C265,(INT(I265/B265)+(((I265-B265*INT(I265/B265)))/C265)/100))))</f>
        <v>0</v>
      </c>
      <c r="AU265" s="57">
        <f>IF(ISERROR(IF(B265=C265,J265/C265,(INT(J265/B265)+(((J265-B265*INT(J265/B265)))/C265)/100))),0,(IF(B265=C265,J265/C265,(INT(J265/B265)+(((J265-B265*INT(J265/B265)))/C265)/100))))</f>
        <v>0</v>
      </c>
      <c r="AV265" s="57">
        <f>IF(ISERROR(IF(B265=C265,K265/C265,IF((INT(K265/B265)+(((K265-B265*INT(K265/B265)))/C265)/100)&lt;0,(INT(K265/B265)+(((K265-B265*INT(K265/B265)))/C265)/100)+(1-(B265/C265/100)),(INT(K265/B265)+(((K265-B265*INT(K265/B265)))/C265)/100)))),0,IF(B265=C265,K265/C265,IF((INT(K265/B265)+(((K265-B265*INT(K265/B265)))/C265)/100)&lt;0,(INT(K265/B265)+(((K265-B265*INT(K265/B265)))/C265)/100)+(1-(B265/C265/100)),(INT(K265/B265)+(((K265-B265*INT(K265/B265)))/C265)/100))))</f>
        <v>0</v>
      </c>
      <c r="AW265" s="57">
        <f>IF(ISERROR(IF(B265=C265,L265/C265,(INT(L265/B265)+(((L265-B265*INT(L265/B265)))/C265)/100))),0,(IF(B265=C265,L265/C265,(INT(L265/B265)+(((L265-B265*INT(L265/B265)))/C265)/100))))</f>
        <v>0</v>
      </c>
      <c r="AX265" s="57">
        <f>IF(ISERROR(IF(B265=C265,M265/C265,(INT(M265/B265)+(((M265-B265*INT(M265/B265)))/C265)/100))),0,(IF(B265=C265,M265/C265,(INT(M265/B265)+(((M265-B265*INT(M265/B265)))/C265)/100))))</f>
        <v>0</v>
      </c>
      <c r="AY265" s="57">
        <f>IF(ISERROR(IF(B265=C265,N265/C265,IF((INT(N265/B265)+(((N265-B265*INT(N265/B265)))/C265)/100)&lt;0,(INT(N265/B265)+(((N265-B265*INT(N265/B265)))/C265)/100)+(1-(B265/C265/100)),(INT(N265/B265)+(((N265-B265*INT(N265/B265)))/C265)/100)))),0,IF(B265=C265,N265/C265,IF((INT(N265/B265)+(((N265-B265*INT(N265/B265)))/C265)/100)&lt;0,(INT(N265/B265)+(((N265-B265*INT(N265/B265)))/C265)/100)+(1-(B265/C265/100)),(INT(N265/B265)+(((N265-B265*INT(N265/B265)))/C265)/100))))</f>
        <v>0</v>
      </c>
      <c r="AZ265" s="57">
        <f>IF(ISERROR(IF(B265=C265,O265/C265,(INT(O265/B265)+(((O265-B265*INT(O265/B265)))/C265)/100))),0,(IF(B265=C265,O265/C265,(INT(O265/B265)+(((O265-B265*INT(O265/B265)))/C265)/100))))</f>
        <v>0</v>
      </c>
      <c r="BA265" s="57">
        <f>IF(ISERROR(IF(B265=C265,P265/C265,IF((INT(P265/B265)+(((P265-B265*INT(P265/B265)))/C265)/100)&lt;0,(INT(P265/B265)+(((P265-B265*INT(P265/B265)))/C265)/100)+(1-(B265/C265/100)),(INT(P265/B265)+(((P265-B265*INT(P265/B265)))/C265)/100)))),0,IF(B265=C265,P265/C265,IF((INT(P265/B265)+(((P265-B265*INT(P265/B265)))/C265)/100)&lt;0,(INT(P265/B265)+(((P265-B265*INT(P265/B265)))/C265)/100)+(1-(B265/C265/100)),(INT(P265/B265)+(((P265-B265*INT(P265/B265)))/C265)/100))))</f>
        <v>0</v>
      </c>
      <c r="BB265" s="28">
        <f>R265</f>
        <v>0</v>
      </c>
      <c r="BC265" s="28">
        <f>S265</f>
        <v>0</v>
      </c>
      <c r="BD265" s="28">
        <f>AF265</f>
        <v>0</v>
      </c>
      <c r="BE265" s="28">
        <f>T265</f>
        <v>0</v>
      </c>
      <c r="BG265" s="57">
        <f>IF(ISERROR(IF(B265=C265,V265/C265,(INT(V265/B265)+(((V265-B265*INT(V265/B265)))/C265)/100))),0,(IF(B265=C265,V265/C265,(INT(V265/B265)+(((V265-B265*INT(V265/B265)))/C265)/100))))</f>
        <v>0</v>
      </c>
      <c r="BH265" s="57">
        <f>IF(ISERROR(IF(B265=C265,W265/C265,(INT(W265/B265)+(((W265-B265*INT(W265/B265)))/C265)/100))),0,(IF(B265=C265,W265/C265,(INT(W265/B265)+(((W265-B265*INT(W265/B265)))/C265)/100))))</f>
        <v>0</v>
      </c>
      <c r="BI265" s="57">
        <f>IF(ISERROR(IF(B265=C265,X265/C265,(INT(X265/B265)+(((X265-B265*INT(X265/B265)))/C265)/100))),0,(IF(B265=C265,X265/C265,(INT(X265/B265)+(((X265-B265*INT(X265/B265)))/C265)/100))))</f>
        <v>0</v>
      </c>
      <c r="BJ265" s="57">
        <f>IF(ISERROR(IF(B265=C265,Y265/C265,(INT(Y265/B265)+(((Y265-B265*INT(Y265/B265)))/C265)/100))),0,(IF(B265=C265,Y265/C265,(INT(Y265/B265)+(((Y265-B265*INT(Y265/B265)))/C265)/100))))</f>
        <v>0</v>
      </c>
      <c r="BL265" s="57">
        <f>IF(ISERROR(IF(B265=C265,AA265/C265,(INT(AA265/B265)+(((AA265-B265*INT(AA265/B265)))/C265)/100))),0,(IF(B265=C265,AA265/C265,(INT(AA265/B265)+(((AA265-B265*INT(AA265/B265)))/C265)/100))))</f>
        <v>0</v>
      </c>
      <c r="BM265" s="57">
        <f>IF(ISERROR(IF(B265=C265,AB265/C265,(INT(AB265/B265)+(((AB265-B265*INT(AB265/B265)))/C265)/100))),0,(IF(B265=C265,AB265/C265,(INT(AB265/B265)+(((AB265-B265*INT(AB265/B265)))/C265)/100))))</f>
        <v>0</v>
      </c>
      <c r="BN265" s="57">
        <f>IF(ISERROR(IF(B265=C265,AC265/C265,(INT(AC265/B265)+(((AC265-B265*INT(AC265/B265)))/C265)/100))),0,(IF(B265=C265,AC265/C265,(INT(AC265/B265)+(((AC265-B265*INT(AC265/B265)))/C265)/100))))</f>
        <v>0</v>
      </c>
      <c r="BO265" s="57">
        <f>IF(ISERROR(IF(B265=C265,AD265/C265,(INT(AD265/B265)+(((AD265-B265*INT(AD265/B265)))/C265)/100))),0,(IF(B265=C265,AD265/C265,(INT(AD265/B265)+(((AD265-B265*INT(AD265/B265)))/C265)/100))))</f>
        <v>0</v>
      </c>
      <c r="BQ265" s="155"/>
    </row>
    <row r="266" spans="1:69" hidden="1" x14ac:dyDescent="0.35">
      <c r="A266" s="94"/>
      <c r="B266" s="113">
        <v>0</v>
      </c>
      <c r="C266" s="113">
        <v>0</v>
      </c>
      <c r="D266" s="28">
        <f>SUM(AA266:AD266)</f>
        <v>0</v>
      </c>
      <c r="E266" s="113">
        <v>0</v>
      </c>
      <c r="F266" s="113">
        <v>0</v>
      </c>
      <c r="G266" s="28">
        <f>SUM(D266:F266)</f>
        <v>0</v>
      </c>
      <c r="H266" s="125">
        <v>0</v>
      </c>
      <c r="I266" s="113">
        <v>0</v>
      </c>
      <c r="J266" s="125">
        <v>0</v>
      </c>
      <c r="K266" s="113">
        <v>0</v>
      </c>
      <c r="L266" s="113">
        <v>0</v>
      </c>
      <c r="M266" s="113">
        <v>0</v>
      </c>
      <c r="N266" s="28">
        <f>G266-SUM(H266:M266)</f>
        <v>0</v>
      </c>
      <c r="O266" s="28">
        <f>SUM(V266:Y266)</f>
        <v>0</v>
      </c>
      <c r="P266" s="28">
        <f>O266-N266</f>
        <v>0</v>
      </c>
      <c r="Q266" s="61" t="str">
        <f>IF(ISERROR(P266/SUM(H266:L266)),"",P266/SUM(H266:L266))</f>
        <v/>
      </c>
      <c r="R266" s="113">
        <v>0</v>
      </c>
      <c r="S266" s="28">
        <f>IF(ISERROR(P266/C266*R266),0,(P266/C266*R266))</f>
        <v>0</v>
      </c>
      <c r="T266" s="60">
        <f>IF(ISERROR(P266/B266*AF266),0,(P266/B266*AF266))</f>
        <v>0</v>
      </c>
      <c r="V266" s="113">
        <v>0</v>
      </c>
      <c r="W266" s="113">
        <v>0</v>
      </c>
      <c r="X266" s="113">
        <v>0</v>
      </c>
      <c r="Y266" s="113">
        <v>0</v>
      </c>
      <c r="AA266" s="113">
        <v>0</v>
      </c>
      <c r="AB266" s="113">
        <v>0</v>
      </c>
      <c r="AC266" s="113">
        <v>0</v>
      </c>
      <c r="AD266" s="113">
        <v>0</v>
      </c>
      <c r="AF266" s="113">
        <v>0</v>
      </c>
      <c r="AG266" s="28">
        <f>G266-O266</f>
        <v>0</v>
      </c>
      <c r="AH266" s="58">
        <f>IF(ISERROR(AG266/B266*AF266),0,(AG266/B266*AF266))</f>
        <v>0</v>
      </c>
      <c r="AI266" s="28">
        <f>SUM(H266:M266)</f>
        <v>0</v>
      </c>
      <c r="AJ266" s="28">
        <f>IF(ISERROR(AI266/B266*AF266),0,(AI266/B266*AF266))</f>
        <v>0</v>
      </c>
      <c r="AK266" s="58">
        <f>IF(ISERROR(O266/B266*AF266),0,(O266/B266*AF266))</f>
        <v>0</v>
      </c>
      <c r="AL266" s="28">
        <f>IF(ISERROR(H266/B266*AF266),0,(H266/B266*AF266))</f>
        <v>0</v>
      </c>
      <c r="AN266" s="51">
        <f>A266</f>
        <v>0</v>
      </c>
      <c r="AO266" s="57">
        <f>IF(ISERROR(IF(B266=C266,D266/C266,(INT(D266/B266)+(((D266-B266*INT(D266/B266)))/C266)/100))),0,(IF(B266=C266,D266/C266,(INT(D266/B266)+(((D266-B266*INT(D266/B266)))/C266)/100))))</f>
        <v>0</v>
      </c>
      <c r="AP266" s="57">
        <f>IF(ISERROR(IF(B266=C266,E266/C266,(INT(E266/B266)+(((E266-B266*INT(E266/B266)))/C266)/100))),0,(IF(B266=C266,E266/C266,(INT(E266/B266)+(((E266-B266*INT(E266/B266)))/C266)/100))))</f>
        <v>0</v>
      </c>
      <c r="AQ266" s="57">
        <f>IF(ISERROR(IF(B266=C266,F266/C266,IF((INT(F266/B266)+(((F266-B266*INT(F266/B266)))/C266)/100)&lt;0,(INT(F266/B266)+(((F266-B266*INT(F266/B266)))/C266)/100)+(1-(B266/C266/100)),(INT(F266/B266)+(((F266-B266*INT(F266/B266)))/C266)/100)))),0,IF(B266=C266,F266/C266,IF((INT(F266/B266)+(((F266-B266*INT(F266/B266)))/C266)/100)&lt;0,(INT(F266/B266)+(((F266-B266*INT(F266/B266)))/C266)/100)+(1-(B266/C266/100)),(INT(F266/B266)+(((F266-B266*INT(F266/B266)))/C266)/100))))</f>
        <v>0</v>
      </c>
      <c r="AR266" s="57">
        <f>IF(ISERROR(IF(B266=C266,G266/C266,(INT(G266/B266)+(((G266-B266*INT(G266/B266)))/C266)/100))),0,(IF(B266=C266,G266/C266,(INT(G266/B266)+(((G266-B266*INT(G266/B266)))/C266)/100))))</f>
        <v>0</v>
      </c>
      <c r="AS266" s="57">
        <f>IF(ISERROR(IF(B266=C266,H266/C266,(INT(H266/B266)+(((H266-B266*INT(H266/B266)))/C266)/100))),0,(IF(B266=C266,H266/C266,(INT(H266/B266)+(((H266-B266*INT(H266/B266)))/C266)/100))))</f>
        <v>0</v>
      </c>
      <c r="AT266" s="57">
        <f>IF(ISERROR(IF(B266=C266,I266/C266,(INT(I266/B266)+(((I266-B266*INT(I266/B266)))/C266)/100))),0,(IF(B266=C266,I266/C266,(INT(I266/B266)+(((I266-B266*INT(I266/B266)))/C266)/100))))</f>
        <v>0</v>
      </c>
      <c r="AU266" s="57">
        <f>IF(ISERROR(IF(B266=C266,J266/C266,(INT(J266/B266)+(((J266-B266*INT(J266/B266)))/C266)/100))),0,(IF(B266=C266,J266/C266,(INT(J266/B266)+(((J266-B266*INT(J266/B266)))/C266)/100))))</f>
        <v>0</v>
      </c>
      <c r="AV266" s="57">
        <f>IF(ISERROR(IF(B266=C266,K266/C266,IF((INT(K266/B266)+(((K266-B266*INT(K266/B266)))/C266)/100)&lt;0,(INT(K266/B266)+(((K266-B266*INT(K266/B266)))/C266)/100)+(1-(B266/C266/100)),(INT(K266/B266)+(((K266-B266*INT(K266/B266)))/C266)/100)))),0,IF(B266=C266,K266/C266,IF((INT(K266/B266)+(((K266-B266*INT(K266/B266)))/C266)/100)&lt;0,(INT(K266/B266)+(((K266-B266*INT(K266/B266)))/C266)/100)+(1-(B266/C266/100)),(INT(K266/B266)+(((K266-B266*INT(K266/B266)))/C266)/100))))</f>
        <v>0</v>
      </c>
      <c r="AW266" s="57">
        <f>IF(ISERROR(IF(B266=C266,L266/C266,(INT(L266/B266)+(((L266-B266*INT(L266/B266)))/C266)/100))),0,(IF(B266=C266,L266/C266,(INT(L266/B266)+(((L266-B266*INT(L266/B266)))/C266)/100))))</f>
        <v>0</v>
      </c>
      <c r="AX266" s="57">
        <f>IF(ISERROR(IF(B266=C266,M266/C266,(INT(M266/B266)+(((M266-B266*INT(M266/B266)))/C266)/100))),0,(IF(B266=C266,M266/C266,(INT(M266/B266)+(((M266-B266*INT(M266/B266)))/C266)/100))))</f>
        <v>0</v>
      </c>
      <c r="AY266" s="57">
        <f>IF(ISERROR(IF(B266=C266,N266/C266,IF((INT(N266/B266)+(((N266-B266*INT(N266/B266)))/C266)/100)&lt;0,(INT(N266/B266)+(((N266-B266*INT(N266/B266)))/C266)/100)+(1-(B266/C266/100)),(INT(N266/B266)+(((N266-B266*INT(N266/B266)))/C266)/100)))),0,IF(B266=C266,N266/C266,IF((INT(N266/B266)+(((N266-B266*INT(N266/B266)))/C266)/100)&lt;0,(INT(N266/B266)+(((N266-B266*INT(N266/B266)))/C266)/100)+(1-(B266/C266/100)),(INT(N266/B266)+(((N266-B266*INT(N266/B266)))/C266)/100))))</f>
        <v>0</v>
      </c>
      <c r="AZ266" s="57">
        <f>IF(ISERROR(IF(B266=C266,O266/C266,(INT(O266/B266)+(((O266-B266*INT(O266/B266)))/C266)/100))),0,(IF(B266=C266,O266/C266,(INT(O266/B266)+(((O266-B266*INT(O266/B266)))/C266)/100))))</f>
        <v>0</v>
      </c>
      <c r="BA266" s="57">
        <f>IF(ISERROR(IF(B266=C266,P266/C266,IF((INT(P266/B266)+(((P266-B266*INT(P266/B266)))/C266)/100)&lt;0,(INT(P266/B266)+(((P266-B266*INT(P266/B266)))/C266)/100)+(1-(B266/C266/100)),(INT(P266/B266)+(((P266-B266*INT(P266/B266)))/C266)/100)))),0,IF(B266=C266,P266/C266,IF((INT(P266/B266)+(((P266-B266*INT(P266/B266)))/C266)/100)&lt;0,(INT(P266/B266)+(((P266-B266*INT(P266/B266)))/C266)/100)+(1-(B266/C266/100)),(INT(P266/B266)+(((P266-B266*INT(P266/B266)))/C266)/100))))</f>
        <v>0</v>
      </c>
      <c r="BB266" s="28">
        <f>R266</f>
        <v>0</v>
      </c>
      <c r="BC266" s="28">
        <f>S266</f>
        <v>0</v>
      </c>
      <c r="BD266" s="28">
        <f>AF266</f>
        <v>0</v>
      </c>
      <c r="BE266" s="28">
        <f>T266</f>
        <v>0</v>
      </c>
      <c r="BG266" s="57">
        <f>IF(ISERROR(IF(B266=C266,V266/C266,(INT(V266/B266)+(((V266-B266*INT(V266/B266)))/C266)/100))),0,(IF(B266=C266,V266/C266,(INT(V266/B266)+(((V266-B266*INT(V266/B266)))/C266)/100))))</f>
        <v>0</v>
      </c>
      <c r="BH266" s="57">
        <f>IF(ISERROR(IF(B266=C266,W266/C266,(INT(W266/B266)+(((W266-B266*INT(W266/B266)))/C266)/100))),0,(IF(B266=C266,W266/C266,(INT(W266/B266)+(((W266-B266*INT(W266/B266)))/C266)/100))))</f>
        <v>0</v>
      </c>
      <c r="BI266" s="57">
        <f>IF(ISERROR(IF(B266=C266,X266/C266,(INT(X266/B266)+(((X266-B266*INT(X266/B266)))/C266)/100))),0,(IF(B266=C266,X266/C266,(INT(X266/B266)+(((X266-B266*INT(X266/B266)))/C266)/100))))</f>
        <v>0</v>
      </c>
      <c r="BJ266" s="57">
        <f>IF(ISERROR(IF(B266=C266,Y266/C266,(INT(Y266/B266)+(((Y266-B266*INT(Y266/B266)))/C266)/100))),0,(IF(B266=C266,Y266/C266,(INT(Y266/B266)+(((Y266-B266*INT(Y266/B266)))/C266)/100))))</f>
        <v>0</v>
      </c>
      <c r="BL266" s="57">
        <f>IF(ISERROR(IF(B266=C266,AA266/C266,(INT(AA266/B266)+(((AA266-B266*INT(AA266/B266)))/C266)/100))),0,(IF(B266=C266,AA266/C266,(INT(AA266/B266)+(((AA266-B266*INT(AA266/B266)))/C266)/100))))</f>
        <v>0</v>
      </c>
      <c r="BM266" s="57">
        <f>IF(ISERROR(IF(B266=C266,AB266/C266,(INT(AB266/B266)+(((AB266-B266*INT(AB266/B266)))/C266)/100))),0,(IF(B266=C266,AB266/C266,(INT(AB266/B266)+(((AB266-B266*INT(AB266/B266)))/C266)/100))))</f>
        <v>0</v>
      </c>
      <c r="BN266" s="57">
        <f>IF(ISERROR(IF(B266=C266,AC266/C266,(INT(AC266/B266)+(((AC266-B266*INT(AC266/B266)))/C266)/100))),0,(IF(B266=C266,AC266/C266,(INT(AC266/B266)+(((AC266-B266*INT(AC266/B266)))/C266)/100))))</f>
        <v>0</v>
      </c>
      <c r="BO266" s="57">
        <f>IF(ISERROR(IF(B266=C266,AD266/C266,(INT(AD266/B266)+(((AD266-B266*INT(AD266/B266)))/C266)/100))),0,(IF(B266=C266,AD266/C266,(INT(AD266/B266)+(((AD266-B266*INT(AD266/B266)))/C266)/100))))</f>
        <v>0</v>
      </c>
      <c r="BQ266" s="155"/>
    </row>
    <row r="267" spans="1:69" hidden="1" x14ac:dyDescent="0.35">
      <c r="A267" s="94"/>
      <c r="B267" s="113">
        <v>0</v>
      </c>
      <c r="C267" s="113">
        <v>0</v>
      </c>
      <c r="D267" s="28">
        <f>SUM(AA267:AD267)</f>
        <v>0</v>
      </c>
      <c r="E267" s="113">
        <v>0</v>
      </c>
      <c r="F267" s="113">
        <v>0</v>
      </c>
      <c r="G267" s="28">
        <f>SUM(D267:F267)</f>
        <v>0</v>
      </c>
      <c r="H267" s="125">
        <v>0</v>
      </c>
      <c r="I267" s="113">
        <v>0</v>
      </c>
      <c r="J267" s="125">
        <v>0</v>
      </c>
      <c r="K267" s="113">
        <v>0</v>
      </c>
      <c r="L267" s="113">
        <v>0</v>
      </c>
      <c r="M267" s="113">
        <v>0</v>
      </c>
      <c r="N267" s="28">
        <f>G267-SUM(H267:M267)</f>
        <v>0</v>
      </c>
      <c r="O267" s="28">
        <f>SUM(V267:Y267)</f>
        <v>0</v>
      </c>
      <c r="P267" s="28">
        <f>O267-N267</f>
        <v>0</v>
      </c>
      <c r="Q267" s="61" t="str">
        <f>IF(ISERROR(P267/SUM(H267:L267)),"",P267/SUM(H267:L267))</f>
        <v/>
      </c>
      <c r="R267" s="113">
        <v>0</v>
      </c>
      <c r="S267" s="28">
        <f>IF(ISERROR(P267/C267*R267),0,(P267/C267*R267))</f>
        <v>0</v>
      </c>
      <c r="T267" s="60">
        <f>IF(ISERROR(P267/B267*AF267),0,(P267/B267*AF267))</f>
        <v>0</v>
      </c>
      <c r="V267" s="113">
        <v>0</v>
      </c>
      <c r="W267" s="113">
        <v>0</v>
      </c>
      <c r="X267" s="113">
        <v>0</v>
      </c>
      <c r="Y267" s="113">
        <v>0</v>
      </c>
      <c r="AA267" s="113">
        <v>0</v>
      </c>
      <c r="AB267" s="113">
        <v>0</v>
      </c>
      <c r="AC267" s="113">
        <v>0</v>
      </c>
      <c r="AD267" s="113">
        <v>0</v>
      </c>
      <c r="AF267" s="113">
        <v>0</v>
      </c>
      <c r="AG267" s="28">
        <f>G267-O267</f>
        <v>0</v>
      </c>
      <c r="AH267" s="58">
        <f>IF(ISERROR(AG267/B267*AF267),0,(AG267/B267*AF267))</f>
        <v>0</v>
      </c>
      <c r="AI267" s="28">
        <f>SUM(H267:M267)</f>
        <v>0</v>
      </c>
      <c r="AJ267" s="28">
        <f>IF(ISERROR(AI267/B267*AF267),0,(AI267/B267*AF267))</f>
        <v>0</v>
      </c>
      <c r="AK267" s="58">
        <f>IF(ISERROR(O267/B267*AF267),0,(O267/B267*AF267))</f>
        <v>0</v>
      </c>
      <c r="AL267" s="28">
        <f>IF(ISERROR(H267/B267*AF267),0,(H267/B267*AF267))</f>
        <v>0</v>
      </c>
      <c r="AN267" s="51">
        <f>A267</f>
        <v>0</v>
      </c>
      <c r="AO267" s="57">
        <f>IF(ISERROR(IF(B267=C267,D267/C267,(INT(D267/B267)+(((D267-B267*INT(D267/B267)))/C267)/100))),0,(IF(B267=C267,D267/C267,(INT(D267/B267)+(((D267-B267*INT(D267/B267)))/C267)/100))))</f>
        <v>0</v>
      </c>
      <c r="AP267" s="57">
        <f>IF(ISERROR(IF(B267=C267,E267/C267,(INT(E267/B267)+(((E267-B267*INT(E267/B267)))/C267)/100))),0,(IF(B267=C267,E267/C267,(INT(E267/B267)+(((E267-B267*INT(E267/B267)))/C267)/100))))</f>
        <v>0</v>
      </c>
      <c r="AQ267" s="57">
        <f>IF(ISERROR(IF(B267=C267,F267/C267,IF((INT(F267/B267)+(((F267-B267*INT(F267/B267)))/C267)/100)&lt;0,(INT(F267/B267)+(((F267-B267*INT(F267/B267)))/C267)/100)+(1-(B267/C267/100)),(INT(F267/B267)+(((F267-B267*INT(F267/B267)))/C267)/100)))),0,IF(B267=C267,F267/C267,IF((INT(F267/B267)+(((F267-B267*INT(F267/B267)))/C267)/100)&lt;0,(INT(F267/B267)+(((F267-B267*INT(F267/B267)))/C267)/100)+(1-(B267/C267/100)),(INT(F267/B267)+(((F267-B267*INT(F267/B267)))/C267)/100))))</f>
        <v>0</v>
      </c>
      <c r="AR267" s="57">
        <f>IF(ISERROR(IF(B267=C267,G267/C267,(INT(G267/B267)+(((G267-B267*INT(G267/B267)))/C267)/100))),0,(IF(B267=C267,G267/C267,(INT(G267/B267)+(((G267-B267*INT(G267/B267)))/C267)/100))))</f>
        <v>0</v>
      </c>
      <c r="AS267" s="57">
        <f>IF(ISERROR(IF(B267=C267,H267/C267,(INT(H267/B267)+(((H267-B267*INT(H267/B267)))/C267)/100))),0,(IF(B267=C267,H267/C267,(INT(H267/B267)+(((H267-B267*INT(H267/B267)))/C267)/100))))</f>
        <v>0</v>
      </c>
      <c r="AT267" s="57">
        <f>IF(ISERROR(IF(B267=C267,I267/C267,(INT(I267/B267)+(((I267-B267*INT(I267/B267)))/C267)/100))),0,(IF(B267=C267,I267/C267,(INT(I267/B267)+(((I267-B267*INT(I267/B267)))/C267)/100))))</f>
        <v>0</v>
      </c>
      <c r="AU267" s="57">
        <f>IF(ISERROR(IF(B267=C267,J267/C267,(INT(J267/B267)+(((J267-B267*INT(J267/B267)))/C267)/100))),0,(IF(B267=C267,J267/C267,(INT(J267/B267)+(((J267-B267*INT(J267/B267)))/C267)/100))))</f>
        <v>0</v>
      </c>
      <c r="AV267" s="57">
        <f>IF(ISERROR(IF(B267=C267,K267/C267,IF((INT(K267/B267)+(((K267-B267*INT(K267/B267)))/C267)/100)&lt;0,(INT(K267/B267)+(((K267-B267*INT(K267/B267)))/C267)/100)+(1-(B267/C267/100)),(INT(K267/B267)+(((K267-B267*INT(K267/B267)))/C267)/100)))),0,IF(B267=C267,K267/C267,IF((INT(K267/B267)+(((K267-B267*INT(K267/B267)))/C267)/100)&lt;0,(INT(K267/B267)+(((K267-B267*INT(K267/B267)))/C267)/100)+(1-(B267/C267/100)),(INT(K267/B267)+(((K267-B267*INT(K267/B267)))/C267)/100))))</f>
        <v>0</v>
      </c>
      <c r="AW267" s="57">
        <f>IF(ISERROR(IF(B267=C267,L267/C267,(INT(L267/B267)+(((L267-B267*INT(L267/B267)))/C267)/100))),0,(IF(B267=C267,L267/C267,(INT(L267/B267)+(((L267-B267*INT(L267/B267)))/C267)/100))))</f>
        <v>0</v>
      </c>
      <c r="AX267" s="57">
        <f>IF(ISERROR(IF(B267=C267,M267/C267,(INT(M267/B267)+(((M267-B267*INT(M267/B267)))/C267)/100))),0,(IF(B267=C267,M267/C267,(INT(M267/B267)+(((M267-B267*INT(M267/B267)))/C267)/100))))</f>
        <v>0</v>
      </c>
      <c r="AY267" s="57">
        <f>IF(ISERROR(IF(B267=C267,N267/C267,IF((INT(N267/B267)+(((N267-B267*INT(N267/B267)))/C267)/100)&lt;0,(INT(N267/B267)+(((N267-B267*INT(N267/B267)))/C267)/100)+(1-(B267/C267/100)),(INT(N267/B267)+(((N267-B267*INT(N267/B267)))/C267)/100)))),0,IF(B267=C267,N267/C267,IF((INT(N267/B267)+(((N267-B267*INT(N267/B267)))/C267)/100)&lt;0,(INT(N267/B267)+(((N267-B267*INT(N267/B267)))/C267)/100)+(1-(B267/C267/100)),(INT(N267/B267)+(((N267-B267*INT(N267/B267)))/C267)/100))))</f>
        <v>0</v>
      </c>
      <c r="AZ267" s="57">
        <f>IF(ISERROR(IF(B267=C267,O267/C267,(INT(O267/B267)+(((O267-B267*INT(O267/B267)))/C267)/100))),0,(IF(B267=C267,O267/C267,(INT(O267/B267)+(((O267-B267*INT(O267/B267)))/C267)/100))))</f>
        <v>0</v>
      </c>
      <c r="BA267" s="57">
        <f>IF(ISERROR(IF(B267=C267,P267/C267,IF((INT(P267/B267)+(((P267-B267*INT(P267/B267)))/C267)/100)&lt;0,(INT(P267/B267)+(((P267-B267*INT(P267/B267)))/C267)/100)+(1-(B267/C267/100)),(INT(P267/B267)+(((P267-B267*INT(P267/B267)))/C267)/100)))),0,IF(B267=C267,P267/C267,IF((INT(P267/B267)+(((P267-B267*INT(P267/B267)))/C267)/100)&lt;0,(INT(P267/B267)+(((P267-B267*INT(P267/B267)))/C267)/100)+(1-(B267/C267/100)),(INT(P267/B267)+(((P267-B267*INT(P267/B267)))/C267)/100))))</f>
        <v>0</v>
      </c>
      <c r="BB267" s="28">
        <f>R267</f>
        <v>0</v>
      </c>
      <c r="BC267" s="28">
        <f>S267</f>
        <v>0</v>
      </c>
      <c r="BD267" s="28">
        <f>AF267</f>
        <v>0</v>
      </c>
      <c r="BE267" s="28">
        <f>T267</f>
        <v>0</v>
      </c>
      <c r="BG267" s="57">
        <f>IF(ISERROR(IF(B267=C267,V267/C267,(INT(V267/B267)+(((V267-B267*INT(V267/B267)))/C267)/100))),0,(IF(B267=C267,V267/C267,(INT(V267/B267)+(((V267-B267*INT(V267/B267)))/C267)/100))))</f>
        <v>0</v>
      </c>
      <c r="BH267" s="57">
        <f>IF(ISERROR(IF(B267=C267,W267/C267,(INT(W267/B267)+(((W267-B267*INT(W267/B267)))/C267)/100))),0,(IF(B267=C267,W267/C267,(INT(W267/B267)+(((W267-B267*INT(W267/B267)))/C267)/100))))</f>
        <v>0</v>
      </c>
      <c r="BI267" s="57">
        <f>IF(ISERROR(IF(B267=C267,X267/C267,(INT(X267/B267)+(((X267-B267*INT(X267/B267)))/C267)/100))),0,(IF(B267=C267,X267/C267,(INT(X267/B267)+(((X267-B267*INT(X267/B267)))/C267)/100))))</f>
        <v>0</v>
      </c>
      <c r="BJ267" s="57">
        <f>IF(ISERROR(IF(B267=C267,Y267/C267,(INT(Y267/B267)+(((Y267-B267*INT(Y267/B267)))/C267)/100))),0,(IF(B267=C267,Y267/C267,(INT(Y267/B267)+(((Y267-B267*INT(Y267/B267)))/C267)/100))))</f>
        <v>0</v>
      </c>
      <c r="BL267" s="57">
        <f>IF(ISERROR(IF(B267=C267,AA267/C267,(INT(AA267/B267)+(((AA267-B267*INT(AA267/B267)))/C267)/100))),0,(IF(B267=C267,AA267/C267,(INT(AA267/B267)+(((AA267-B267*INT(AA267/B267)))/C267)/100))))</f>
        <v>0</v>
      </c>
      <c r="BM267" s="57">
        <f>IF(ISERROR(IF(B267=C267,AB267/C267,(INT(AB267/B267)+(((AB267-B267*INT(AB267/B267)))/C267)/100))),0,(IF(B267=C267,AB267/C267,(INT(AB267/B267)+(((AB267-B267*INT(AB267/B267)))/C267)/100))))</f>
        <v>0</v>
      </c>
      <c r="BN267" s="57">
        <f>IF(ISERROR(IF(B267=C267,AC267/C267,(INT(AC267/B267)+(((AC267-B267*INT(AC267/B267)))/C267)/100))),0,(IF(B267=C267,AC267/C267,(INT(AC267/B267)+(((AC267-B267*INT(AC267/B267)))/C267)/100))))</f>
        <v>0</v>
      </c>
      <c r="BO267" s="57">
        <f>IF(ISERROR(IF(B267=C267,AD267/C267,(INT(AD267/B267)+(((AD267-B267*INT(AD267/B267)))/C267)/100))),0,(IF(B267=C267,AD267/C267,(INT(AD267/B267)+(((AD267-B267*INT(AD267/B267)))/C267)/100))))</f>
        <v>0</v>
      </c>
      <c r="BQ267" s="155"/>
    </row>
    <row r="268" spans="1:69" hidden="1" x14ac:dyDescent="0.35">
      <c r="A268" s="94"/>
      <c r="B268" s="113">
        <v>0</v>
      </c>
      <c r="C268" s="113">
        <v>0</v>
      </c>
      <c r="D268" s="28">
        <f>SUM(AA268:AD268)</f>
        <v>0</v>
      </c>
      <c r="E268" s="113">
        <v>0</v>
      </c>
      <c r="F268" s="113">
        <v>0</v>
      </c>
      <c r="G268" s="28">
        <f>SUM(D268:F268)</f>
        <v>0</v>
      </c>
      <c r="H268" s="125">
        <v>0</v>
      </c>
      <c r="I268" s="113">
        <v>0</v>
      </c>
      <c r="J268" s="125">
        <v>0</v>
      </c>
      <c r="K268" s="113">
        <v>0</v>
      </c>
      <c r="L268" s="113">
        <v>0</v>
      </c>
      <c r="M268" s="113">
        <v>0</v>
      </c>
      <c r="N268" s="28">
        <f>G268-SUM(H268:M268)</f>
        <v>0</v>
      </c>
      <c r="O268" s="28">
        <f>SUM(V268:Y268)</f>
        <v>0</v>
      </c>
      <c r="P268" s="28">
        <f>O268-N268</f>
        <v>0</v>
      </c>
      <c r="Q268" s="61" t="str">
        <f>IF(ISERROR(P268/SUM(H268:L268)),"",P268/SUM(H268:L268))</f>
        <v/>
      </c>
      <c r="R268" s="113">
        <v>0</v>
      </c>
      <c r="S268" s="28">
        <f>IF(ISERROR(P268/C268*R268),0,(P268/C268*R268))</f>
        <v>0</v>
      </c>
      <c r="T268" s="60">
        <f>IF(ISERROR(P268/B268*AF268),0,(P268/B268*AF268))</f>
        <v>0</v>
      </c>
      <c r="V268" s="113">
        <v>0</v>
      </c>
      <c r="W268" s="113">
        <v>0</v>
      </c>
      <c r="X268" s="113">
        <v>0</v>
      </c>
      <c r="Y268" s="113">
        <v>0</v>
      </c>
      <c r="AA268" s="113">
        <v>0</v>
      </c>
      <c r="AB268" s="113">
        <v>0</v>
      </c>
      <c r="AC268" s="113">
        <v>0</v>
      </c>
      <c r="AD268" s="113">
        <v>0</v>
      </c>
      <c r="AF268" s="113">
        <v>0</v>
      </c>
      <c r="AG268" s="28">
        <f>G268-O268</f>
        <v>0</v>
      </c>
      <c r="AH268" s="58">
        <f>IF(ISERROR(AG268/B268*AF268),0,(AG268/B268*AF268))</f>
        <v>0</v>
      </c>
      <c r="AI268" s="28">
        <f>SUM(H268:M268)</f>
        <v>0</v>
      </c>
      <c r="AJ268" s="28">
        <f>IF(ISERROR(AI268/B268*AF268),0,(AI268/B268*AF268))</f>
        <v>0</v>
      </c>
      <c r="AK268" s="58">
        <f>IF(ISERROR(O268/B268*AF268),0,(O268/B268*AF268))</f>
        <v>0</v>
      </c>
      <c r="AL268" s="28">
        <f>IF(ISERROR(H268/B268*AF268),0,(H268/B268*AF268))</f>
        <v>0</v>
      </c>
      <c r="AN268" s="51">
        <f>A268</f>
        <v>0</v>
      </c>
      <c r="AO268" s="57">
        <f>IF(ISERROR(IF(B268=C268,D268/C268,(INT(D268/B268)+(((D268-B268*INT(D268/B268)))/C268)/100))),0,(IF(B268=C268,D268/C268,(INT(D268/B268)+(((D268-B268*INT(D268/B268)))/C268)/100))))</f>
        <v>0</v>
      </c>
      <c r="AP268" s="57">
        <f>IF(ISERROR(IF(B268=C268,E268/C268,(INT(E268/B268)+(((E268-B268*INT(E268/B268)))/C268)/100))),0,(IF(B268=C268,E268/C268,(INT(E268/B268)+(((E268-B268*INT(E268/B268)))/C268)/100))))</f>
        <v>0</v>
      </c>
      <c r="AQ268" s="57">
        <f>IF(ISERROR(IF(B268=C268,F268/C268,IF((INT(F268/B268)+(((F268-B268*INT(F268/B268)))/C268)/100)&lt;0,(INT(F268/B268)+(((F268-B268*INT(F268/B268)))/C268)/100)+(1-(B268/C268/100)),(INT(F268/B268)+(((F268-B268*INT(F268/B268)))/C268)/100)))),0,IF(B268=C268,F268/C268,IF((INT(F268/B268)+(((F268-B268*INT(F268/B268)))/C268)/100)&lt;0,(INT(F268/B268)+(((F268-B268*INT(F268/B268)))/C268)/100)+(1-(B268/C268/100)),(INT(F268/B268)+(((F268-B268*INT(F268/B268)))/C268)/100))))</f>
        <v>0</v>
      </c>
      <c r="AR268" s="57">
        <f>IF(ISERROR(IF(B268=C268,G268/C268,(INT(G268/B268)+(((G268-B268*INT(G268/B268)))/C268)/100))),0,(IF(B268=C268,G268/C268,(INT(G268/B268)+(((G268-B268*INT(G268/B268)))/C268)/100))))</f>
        <v>0</v>
      </c>
      <c r="AS268" s="57">
        <f>IF(ISERROR(IF(B268=C268,H268/C268,(INT(H268/B268)+(((H268-B268*INT(H268/B268)))/C268)/100))),0,(IF(B268=C268,H268/C268,(INT(H268/B268)+(((H268-B268*INT(H268/B268)))/C268)/100))))</f>
        <v>0</v>
      </c>
      <c r="AT268" s="57">
        <f>IF(ISERROR(IF(B268=C268,I268/C268,(INT(I268/B268)+(((I268-B268*INT(I268/B268)))/C268)/100))),0,(IF(B268=C268,I268/C268,(INT(I268/B268)+(((I268-B268*INT(I268/B268)))/C268)/100))))</f>
        <v>0</v>
      </c>
      <c r="AU268" s="57">
        <f>IF(ISERROR(IF(B268=C268,J268/C268,(INT(J268/B268)+(((J268-B268*INT(J268/B268)))/C268)/100))),0,(IF(B268=C268,J268/C268,(INT(J268/B268)+(((J268-B268*INT(J268/B268)))/C268)/100))))</f>
        <v>0</v>
      </c>
      <c r="AV268" s="57">
        <f>IF(ISERROR(IF(B268=C268,K268/C268,IF((INT(K268/B268)+(((K268-B268*INT(K268/B268)))/C268)/100)&lt;0,(INT(K268/B268)+(((K268-B268*INT(K268/B268)))/C268)/100)+(1-(B268/C268/100)),(INT(K268/B268)+(((K268-B268*INT(K268/B268)))/C268)/100)))),0,IF(B268=C268,K268/C268,IF((INT(K268/B268)+(((K268-B268*INT(K268/B268)))/C268)/100)&lt;0,(INT(K268/B268)+(((K268-B268*INT(K268/B268)))/C268)/100)+(1-(B268/C268/100)),(INT(K268/B268)+(((K268-B268*INT(K268/B268)))/C268)/100))))</f>
        <v>0</v>
      </c>
      <c r="AW268" s="57">
        <f>IF(ISERROR(IF(B268=C268,L268/C268,(INT(L268/B268)+(((L268-B268*INT(L268/B268)))/C268)/100))),0,(IF(B268=C268,L268/C268,(INT(L268/B268)+(((L268-B268*INT(L268/B268)))/C268)/100))))</f>
        <v>0</v>
      </c>
      <c r="AX268" s="57">
        <f>IF(ISERROR(IF(B268=C268,M268/C268,(INT(M268/B268)+(((M268-B268*INT(M268/B268)))/C268)/100))),0,(IF(B268=C268,M268/C268,(INT(M268/B268)+(((M268-B268*INT(M268/B268)))/C268)/100))))</f>
        <v>0</v>
      </c>
      <c r="AY268" s="57">
        <f>IF(ISERROR(IF(B268=C268,N268/C268,IF((INT(N268/B268)+(((N268-B268*INT(N268/B268)))/C268)/100)&lt;0,(INT(N268/B268)+(((N268-B268*INT(N268/B268)))/C268)/100)+(1-(B268/C268/100)),(INT(N268/B268)+(((N268-B268*INT(N268/B268)))/C268)/100)))),0,IF(B268=C268,N268/C268,IF((INT(N268/B268)+(((N268-B268*INT(N268/B268)))/C268)/100)&lt;0,(INT(N268/B268)+(((N268-B268*INT(N268/B268)))/C268)/100)+(1-(B268/C268/100)),(INT(N268/B268)+(((N268-B268*INT(N268/B268)))/C268)/100))))</f>
        <v>0</v>
      </c>
      <c r="AZ268" s="57">
        <f>IF(ISERROR(IF(B268=C268,O268/C268,(INT(O268/B268)+(((O268-B268*INT(O268/B268)))/C268)/100))),0,(IF(B268=C268,O268/C268,(INT(O268/B268)+(((O268-B268*INT(O268/B268)))/C268)/100))))</f>
        <v>0</v>
      </c>
      <c r="BA268" s="57">
        <f>IF(ISERROR(IF(B268=C268,P268/C268,IF((INT(P268/B268)+(((P268-B268*INT(P268/B268)))/C268)/100)&lt;0,(INT(P268/B268)+(((P268-B268*INT(P268/B268)))/C268)/100)+(1-(B268/C268/100)),(INT(P268/B268)+(((P268-B268*INT(P268/B268)))/C268)/100)))),0,IF(B268=C268,P268/C268,IF((INT(P268/B268)+(((P268-B268*INT(P268/B268)))/C268)/100)&lt;0,(INT(P268/B268)+(((P268-B268*INT(P268/B268)))/C268)/100)+(1-(B268/C268/100)),(INT(P268/B268)+(((P268-B268*INT(P268/B268)))/C268)/100))))</f>
        <v>0</v>
      </c>
      <c r="BB268" s="28">
        <f>R268</f>
        <v>0</v>
      </c>
      <c r="BC268" s="28">
        <f>S268</f>
        <v>0</v>
      </c>
      <c r="BD268" s="28">
        <f>AF268</f>
        <v>0</v>
      </c>
      <c r="BE268" s="28">
        <f>T268</f>
        <v>0</v>
      </c>
      <c r="BG268" s="57">
        <f>IF(ISERROR(IF(B268=C268,V268/C268,(INT(V268/B268)+(((V268-B268*INT(V268/B268)))/C268)/100))),0,(IF(B268=C268,V268/C268,(INT(V268/B268)+(((V268-B268*INT(V268/B268)))/C268)/100))))</f>
        <v>0</v>
      </c>
      <c r="BH268" s="57">
        <f>IF(ISERROR(IF(B268=C268,W268/C268,(INT(W268/B268)+(((W268-B268*INT(W268/B268)))/C268)/100))),0,(IF(B268=C268,W268/C268,(INT(W268/B268)+(((W268-B268*INT(W268/B268)))/C268)/100))))</f>
        <v>0</v>
      </c>
      <c r="BI268" s="57">
        <f>IF(ISERROR(IF(B268=C268,X268/C268,(INT(X268/B268)+(((X268-B268*INT(X268/B268)))/C268)/100))),0,(IF(B268=C268,X268/C268,(INT(X268/B268)+(((X268-B268*INT(X268/B268)))/C268)/100))))</f>
        <v>0</v>
      </c>
      <c r="BJ268" s="57">
        <f>IF(ISERROR(IF(B268=C268,Y268/C268,(INT(Y268/B268)+(((Y268-B268*INT(Y268/B268)))/C268)/100))),0,(IF(B268=C268,Y268/C268,(INT(Y268/B268)+(((Y268-B268*INT(Y268/B268)))/C268)/100))))</f>
        <v>0</v>
      </c>
      <c r="BL268" s="57">
        <f>IF(ISERROR(IF(B268=C268,AA268/C268,(INT(AA268/B268)+(((AA268-B268*INT(AA268/B268)))/C268)/100))),0,(IF(B268=C268,AA268/C268,(INT(AA268/B268)+(((AA268-B268*INT(AA268/B268)))/C268)/100))))</f>
        <v>0</v>
      </c>
      <c r="BM268" s="57">
        <f>IF(ISERROR(IF(B268=C268,AB268/C268,(INT(AB268/B268)+(((AB268-B268*INT(AB268/B268)))/C268)/100))),0,(IF(B268=C268,AB268/C268,(INT(AB268/B268)+(((AB268-B268*INT(AB268/B268)))/C268)/100))))</f>
        <v>0</v>
      </c>
      <c r="BN268" s="57">
        <f>IF(ISERROR(IF(B268=C268,AC268/C268,(INT(AC268/B268)+(((AC268-B268*INT(AC268/B268)))/C268)/100))),0,(IF(B268=C268,AC268/C268,(INT(AC268/B268)+(((AC268-B268*INT(AC268/B268)))/C268)/100))))</f>
        <v>0</v>
      </c>
      <c r="BO268" s="57">
        <f>IF(ISERROR(IF(B268=C268,AD268/C268,(INT(AD268/B268)+(((AD268-B268*INT(AD268/B268)))/C268)/100))),0,(IF(B268=C268,AD268/C268,(INT(AD268/B268)+(((AD268-B268*INT(AD268/B268)))/C268)/100))))</f>
        <v>0</v>
      </c>
      <c r="BQ268" s="155"/>
    </row>
    <row r="269" spans="1:69" hidden="1" x14ac:dyDescent="0.35">
      <c r="A269" s="94"/>
      <c r="B269" s="113">
        <v>0</v>
      </c>
      <c r="C269" s="113">
        <v>0</v>
      </c>
      <c r="D269" s="28">
        <f>SUM(AA269:AD269)</f>
        <v>0</v>
      </c>
      <c r="E269" s="113">
        <v>0</v>
      </c>
      <c r="F269" s="113">
        <v>0</v>
      </c>
      <c r="G269" s="28">
        <f>SUM(D269:F269)</f>
        <v>0</v>
      </c>
      <c r="H269" s="125">
        <v>0</v>
      </c>
      <c r="I269" s="113">
        <v>0</v>
      </c>
      <c r="J269" s="125">
        <v>0</v>
      </c>
      <c r="K269" s="113">
        <v>0</v>
      </c>
      <c r="L269" s="113">
        <v>0</v>
      </c>
      <c r="M269" s="113">
        <v>0</v>
      </c>
      <c r="N269" s="28">
        <f>G269-SUM(H269:M269)</f>
        <v>0</v>
      </c>
      <c r="O269" s="28">
        <f>SUM(V269:Y269)</f>
        <v>0</v>
      </c>
      <c r="P269" s="28">
        <f>O269-N269</f>
        <v>0</v>
      </c>
      <c r="Q269" s="61" t="str">
        <f>IF(ISERROR(P269/SUM(H269:L269)),"",P269/SUM(H269:L269))</f>
        <v/>
      </c>
      <c r="R269" s="113">
        <v>0</v>
      </c>
      <c r="S269" s="28">
        <f>IF(ISERROR(P269/C269*R269),0,(P269/C269*R269))</f>
        <v>0</v>
      </c>
      <c r="T269" s="60">
        <f>IF(ISERROR(P269/B269*AF269),0,(P269/B269*AF269))</f>
        <v>0</v>
      </c>
      <c r="V269" s="113">
        <v>0</v>
      </c>
      <c r="W269" s="113">
        <v>0</v>
      </c>
      <c r="X269" s="113">
        <v>0</v>
      </c>
      <c r="Y269" s="113">
        <v>0</v>
      </c>
      <c r="AA269" s="113">
        <v>0</v>
      </c>
      <c r="AB269" s="113">
        <v>0</v>
      </c>
      <c r="AC269" s="113">
        <v>0</v>
      </c>
      <c r="AD269" s="113">
        <v>0</v>
      </c>
      <c r="AF269" s="113">
        <v>0</v>
      </c>
      <c r="AG269" s="28">
        <f>G269-O269</f>
        <v>0</v>
      </c>
      <c r="AH269" s="58">
        <f>IF(ISERROR(AG269/B269*AF269),0,(AG269/B269*AF269))</f>
        <v>0</v>
      </c>
      <c r="AI269" s="28">
        <f>SUM(H269:M269)</f>
        <v>0</v>
      </c>
      <c r="AJ269" s="28">
        <f>IF(ISERROR(AI269/B269*AF269),0,(AI269/B269*AF269))</f>
        <v>0</v>
      </c>
      <c r="AK269" s="58">
        <f>IF(ISERROR(O269/B269*AF269),0,(O269/B269*AF269))</f>
        <v>0</v>
      </c>
      <c r="AL269" s="28">
        <f>IF(ISERROR(H269/B269*AF269),0,(H269/B269*AF269))</f>
        <v>0</v>
      </c>
      <c r="AN269" s="51">
        <f>A269</f>
        <v>0</v>
      </c>
      <c r="AO269" s="57">
        <f>IF(ISERROR(IF(B269=C269,D269/C269,(INT(D269/B269)+(((D269-B269*INT(D269/B269)))/C269)/100))),0,(IF(B269=C269,D269/C269,(INT(D269/B269)+(((D269-B269*INT(D269/B269)))/C269)/100))))</f>
        <v>0</v>
      </c>
      <c r="AP269" s="57">
        <f>IF(ISERROR(IF(B269=C269,E269/C269,(INT(E269/B269)+(((E269-B269*INT(E269/B269)))/C269)/100))),0,(IF(B269=C269,E269/C269,(INT(E269/B269)+(((E269-B269*INT(E269/B269)))/C269)/100))))</f>
        <v>0</v>
      </c>
      <c r="AQ269" s="57">
        <f>IF(ISERROR(IF(B269=C269,F269/C269,IF((INT(F269/B269)+(((F269-B269*INT(F269/B269)))/C269)/100)&lt;0,(INT(F269/B269)+(((F269-B269*INT(F269/B269)))/C269)/100)+(1-(B269/C269/100)),(INT(F269/B269)+(((F269-B269*INT(F269/B269)))/C269)/100)))),0,IF(B269=C269,F269/C269,IF((INT(F269/B269)+(((F269-B269*INT(F269/B269)))/C269)/100)&lt;0,(INT(F269/B269)+(((F269-B269*INT(F269/B269)))/C269)/100)+(1-(B269/C269/100)),(INT(F269/B269)+(((F269-B269*INT(F269/B269)))/C269)/100))))</f>
        <v>0</v>
      </c>
      <c r="AR269" s="57">
        <f>IF(ISERROR(IF(B269=C269,G269/C269,(INT(G269/B269)+(((G269-B269*INT(G269/B269)))/C269)/100))),0,(IF(B269=C269,G269/C269,(INT(G269/B269)+(((G269-B269*INT(G269/B269)))/C269)/100))))</f>
        <v>0</v>
      </c>
      <c r="AS269" s="57">
        <f>IF(ISERROR(IF(B269=C269,H269/C269,(INT(H269/B269)+(((H269-B269*INT(H269/B269)))/C269)/100))),0,(IF(B269=C269,H269/C269,(INT(H269/B269)+(((H269-B269*INT(H269/B269)))/C269)/100))))</f>
        <v>0</v>
      </c>
      <c r="AT269" s="57">
        <f>IF(ISERROR(IF(B269=C269,I269/C269,(INT(I269/B269)+(((I269-B269*INT(I269/B269)))/C269)/100))),0,(IF(B269=C269,I269/C269,(INT(I269/B269)+(((I269-B269*INT(I269/B269)))/C269)/100))))</f>
        <v>0</v>
      </c>
      <c r="AU269" s="57">
        <f>IF(ISERROR(IF(B269=C269,J269/C269,(INT(J269/B269)+(((J269-B269*INT(J269/B269)))/C269)/100))),0,(IF(B269=C269,J269/C269,(INT(J269/B269)+(((J269-B269*INT(J269/B269)))/C269)/100))))</f>
        <v>0</v>
      </c>
      <c r="AV269" s="57">
        <f>IF(ISERROR(IF(B269=C269,K269/C269,IF((INT(K269/B269)+(((K269-B269*INT(K269/B269)))/C269)/100)&lt;0,(INT(K269/B269)+(((K269-B269*INT(K269/B269)))/C269)/100)+(1-(B269/C269/100)),(INT(K269/B269)+(((K269-B269*INT(K269/B269)))/C269)/100)))),0,IF(B269=C269,K269/C269,IF((INT(K269/B269)+(((K269-B269*INT(K269/B269)))/C269)/100)&lt;0,(INT(K269/B269)+(((K269-B269*INT(K269/B269)))/C269)/100)+(1-(B269/C269/100)),(INT(K269/B269)+(((K269-B269*INT(K269/B269)))/C269)/100))))</f>
        <v>0</v>
      </c>
      <c r="AW269" s="57">
        <f>IF(ISERROR(IF(B269=C269,L269/C269,(INT(L269/B269)+(((L269-B269*INT(L269/B269)))/C269)/100))),0,(IF(B269=C269,L269/C269,(INT(L269/B269)+(((L269-B269*INT(L269/B269)))/C269)/100))))</f>
        <v>0</v>
      </c>
      <c r="AX269" s="57">
        <f>IF(ISERROR(IF(B269=C269,M269/C269,(INT(M269/B269)+(((M269-B269*INT(M269/B269)))/C269)/100))),0,(IF(B269=C269,M269/C269,(INT(M269/B269)+(((M269-B269*INT(M269/B269)))/C269)/100))))</f>
        <v>0</v>
      </c>
      <c r="AY269" s="57">
        <f>IF(ISERROR(IF(B269=C269,N269/C269,IF((INT(N269/B269)+(((N269-B269*INT(N269/B269)))/C269)/100)&lt;0,(INT(N269/B269)+(((N269-B269*INT(N269/B269)))/C269)/100)+(1-(B269/C269/100)),(INT(N269/B269)+(((N269-B269*INT(N269/B269)))/C269)/100)))),0,IF(B269=C269,N269/C269,IF((INT(N269/B269)+(((N269-B269*INT(N269/B269)))/C269)/100)&lt;0,(INT(N269/B269)+(((N269-B269*INT(N269/B269)))/C269)/100)+(1-(B269/C269/100)),(INT(N269/B269)+(((N269-B269*INT(N269/B269)))/C269)/100))))</f>
        <v>0</v>
      </c>
      <c r="AZ269" s="57">
        <f>IF(ISERROR(IF(B269=C269,O269/C269,(INT(O269/B269)+(((O269-B269*INT(O269/B269)))/C269)/100))),0,(IF(B269=C269,O269/C269,(INT(O269/B269)+(((O269-B269*INT(O269/B269)))/C269)/100))))</f>
        <v>0</v>
      </c>
      <c r="BA269" s="57">
        <f>IF(ISERROR(IF(B269=C269,P269/C269,IF((INT(P269/B269)+(((P269-B269*INT(P269/B269)))/C269)/100)&lt;0,(INT(P269/B269)+(((P269-B269*INT(P269/B269)))/C269)/100)+(1-(B269/C269/100)),(INT(P269/B269)+(((P269-B269*INT(P269/B269)))/C269)/100)))),0,IF(B269=C269,P269/C269,IF((INT(P269/B269)+(((P269-B269*INT(P269/B269)))/C269)/100)&lt;0,(INT(P269/B269)+(((P269-B269*INT(P269/B269)))/C269)/100)+(1-(B269/C269/100)),(INT(P269/B269)+(((P269-B269*INT(P269/B269)))/C269)/100))))</f>
        <v>0</v>
      </c>
      <c r="BB269" s="28">
        <f>R269</f>
        <v>0</v>
      </c>
      <c r="BC269" s="28">
        <f>S269</f>
        <v>0</v>
      </c>
      <c r="BD269" s="28">
        <f>AF269</f>
        <v>0</v>
      </c>
      <c r="BE269" s="28">
        <f>T269</f>
        <v>0</v>
      </c>
      <c r="BG269" s="57">
        <f>IF(ISERROR(IF(B269=C269,V269/C269,(INT(V269/B269)+(((V269-B269*INT(V269/B269)))/C269)/100))),0,(IF(B269=C269,V269/C269,(INT(V269/B269)+(((V269-B269*INT(V269/B269)))/C269)/100))))</f>
        <v>0</v>
      </c>
      <c r="BH269" s="57">
        <f>IF(ISERROR(IF(B269=C269,W269/C269,(INT(W269/B269)+(((W269-B269*INT(W269/B269)))/C269)/100))),0,(IF(B269=C269,W269/C269,(INT(W269/B269)+(((W269-B269*INT(W269/B269)))/C269)/100))))</f>
        <v>0</v>
      </c>
      <c r="BI269" s="57">
        <f>IF(ISERROR(IF(B269=C269,X269/C269,(INT(X269/B269)+(((X269-B269*INT(X269/B269)))/C269)/100))),0,(IF(B269=C269,X269/C269,(INT(X269/B269)+(((X269-B269*INT(X269/B269)))/C269)/100))))</f>
        <v>0</v>
      </c>
      <c r="BJ269" s="57">
        <f>IF(ISERROR(IF(B269=C269,Y269/C269,(INT(Y269/B269)+(((Y269-B269*INT(Y269/B269)))/C269)/100))),0,(IF(B269=C269,Y269/C269,(INT(Y269/B269)+(((Y269-B269*INT(Y269/B269)))/C269)/100))))</f>
        <v>0</v>
      </c>
      <c r="BL269" s="57">
        <f>IF(ISERROR(IF(B269=C269,AA269/C269,(INT(AA269/B269)+(((AA269-B269*INT(AA269/B269)))/C269)/100))),0,(IF(B269=C269,AA269/C269,(INT(AA269/B269)+(((AA269-B269*INT(AA269/B269)))/C269)/100))))</f>
        <v>0</v>
      </c>
      <c r="BM269" s="57">
        <f>IF(ISERROR(IF(B269=C269,AB269/C269,(INT(AB269/B269)+(((AB269-B269*INT(AB269/B269)))/C269)/100))),0,(IF(B269=C269,AB269/C269,(INT(AB269/B269)+(((AB269-B269*INT(AB269/B269)))/C269)/100))))</f>
        <v>0</v>
      </c>
      <c r="BN269" s="57">
        <f>IF(ISERROR(IF(B269=C269,AC269/C269,(INT(AC269/B269)+(((AC269-B269*INT(AC269/B269)))/C269)/100))),0,(IF(B269=C269,AC269/C269,(INT(AC269/B269)+(((AC269-B269*INT(AC269/B269)))/C269)/100))))</f>
        <v>0</v>
      </c>
      <c r="BO269" s="57">
        <f>IF(ISERROR(IF(B269=C269,AD269/C269,(INT(AD269/B269)+(((AD269-B269*INT(AD269/B269)))/C269)/100))),0,(IF(B269=C269,AD269/C269,(INT(AD269/B269)+(((AD269-B269*INT(AD269/B269)))/C269)/100))))</f>
        <v>0</v>
      </c>
      <c r="BQ269" s="155"/>
    </row>
    <row r="270" spans="1:69" hidden="1" x14ac:dyDescent="0.35">
      <c r="A270" s="94"/>
      <c r="B270" s="113">
        <v>0</v>
      </c>
      <c r="C270" s="113">
        <v>0</v>
      </c>
      <c r="D270" s="28">
        <f>SUM(AA270:AD270)</f>
        <v>0</v>
      </c>
      <c r="E270" s="113">
        <v>0</v>
      </c>
      <c r="F270" s="113">
        <v>0</v>
      </c>
      <c r="G270" s="28">
        <f>SUM(D270:F270)</f>
        <v>0</v>
      </c>
      <c r="H270" s="125">
        <v>0</v>
      </c>
      <c r="I270" s="113">
        <v>0</v>
      </c>
      <c r="J270" s="125">
        <v>0</v>
      </c>
      <c r="K270" s="113">
        <v>0</v>
      </c>
      <c r="L270" s="113">
        <v>0</v>
      </c>
      <c r="M270" s="113">
        <v>0</v>
      </c>
      <c r="N270" s="28">
        <f>G270-SUM(H270:M270)</f>
        <v>0</v>
      </c>
      <c r="O270" s="28">
        <f>SUM(V270:Y270)</f>
        <v>0</v>
      </c>
      <c r="P270" s="28">
        <f>O270-N270</f>
        <v>0</v>
      </c>
      <c r="Q270" s="61" t="str">
        <f>IF(ISERROR(P270/SUM(H270:L270)),"",P270/SUM(H270:L270))</f>
        <v/>
      </c>
      <c r="R270" s="113">
        <v>0</v>
      </c>
      <c r="S270" s="28">
        <f>IF(ISERROR(P270/C270*R270),0,(P270/C270*R270))</f>
        <v>0</v>
      </c>
      <c r="T270" s="60">
        <f>IF(ISERROR(P270/B270*AF270),0,(P270/B270*AF270))</f>
        <v>0</v>
      </c>
      <c r="V270" s="113">
        <v>0</v>
      </c>
      <c r="W270" s="113">
        <v>0</v>
      </c>
      <c r="X270" s="113">
        <v>0</v>
      </c>
      <c r="Y270" s="113">
        <v>0</v>
      </c>
      <c r="AA270" s="113">
        <v>0</v>
      </c>
      <c r="AB270" s="113">
        <v>0</v>
      </c>
      <c r="AC270" s="113">
        <v>0</v>
      </c>
      <c r="AD270" s="113">
        <v>0</v>
      </c>
      <c r="AF270" s="113">
        <v>0</v>
      </c>
      <c r="AG270" s="28">
        <f>G270-O270</f>
        <v>0</v>
      </c>
      <c r="AH270" s="58">
        <f>IF(ISERROR(AG270/B270*AF270),0,(AG270/B270*AF270))</f>
        <v>0</v>
      </c>
      <c r="AI270" s="28">
        <f>SUM(H270:M270)</f>
        <v>0</v>
      </c>
      <c r="AJ270" s="28">
        <f>IF(ISERROR(AI270/B270*AF270),0,(AI270/B270*AF270))</f>
        <v>0</v>
      </c>
      <c r="AK270" s="58">
        <f>IF(ISERROR(O270/B270*AF270),0,(O270/B270*AF270))</f>
        <v>0</v>
      </c>
      <c r="AL270" s="28">
        <f>IF(ISERROR(H270/B270*AF270),0,(H270/B270*AF270))</f>
        <v>0</v>
      </c>
      <c r="AN270" s="51">
        <f>A270</f>
        <v>0</v>
      </c>
      <c r="AO270" s="57">
        <f>IF(ISERROR(IF(B270=C270,D270/C270,(INT(D270/B270)+(((D270-B270*INT(D270/B270)))/C270)/100))),0,(IF(B270=C270,D270/C270,(INT(D270/B270)+(((D270-B270*INT(D270/B270)))/C270)/100))))</f>
        <v>0</v>
      </c>
      <c r="AP270" s="57">
        <f>IF(ISERROR(IF(B270=C270,E270/C270,(INT(E270/B270)+(((E270-B270*INT(E270/B270)))/C270)/100))),0,(IF(B270=C270,E270/C270,(INT(E270/B270)+(((E270-B270*INT(E270/B270)))/C270)/100))))</f>
        <v>0</v>
      </c>
      <c r="AQ270" s="57">
        <f>IF(ISERROR(IF(B270=C270,F270/C270,IF((INT(F270/B270)+(((F270-B270*INT(F270/B270)))/C270)/100)&lt;0,(INT(F270/B270)+(((F270-B270*INT(F270/B270)))/C270)/100)+(1-(B270/C270/100)),(INT(F270/B270)+(((F270-B270*INT(F270/B270)))/C270)/100)))),0,IF(B270=C270,F270/C270,IF((INT(F270/B270)+(((F270-B270*INT(F270/B270)))/C270)/100)&lt;0,(INT(F270/B270)+(((F270-B270*INT(F270/B270)))/C270)/100)+(1-(B270/C270/100)),(INT(F270/B270)+(((F270-B270*INT(F270/B270)))/C270)/100))))</f>
        <v>0</v>
      </c>
      <c r="AR270" s="57">
        <f>IF(ISERROR(IF(B270=C270,G270/C270,(INT(G270/B270)+(((G270-B270*INT(G270/B270)))/C270)/100))),0,(IF(B270=C270,G270/C270,(INT(G270/B270)+(((G270-B270*INT(G270/B270)))/C270)/100))))</f>
        <v>0</v>
      </c>
      <c r="AS270" s="57">
        <f>IF(ISERROR(IF(B270=C270,H270/C270,(INT(H270/B270)+(((H270-B270*INT(H270/B270)))/C270)/100))),0,(IF(B270=C270,H270/C270,(INT(H270/B270)+(((H270-B270*INT(H270/B270)))/C270)/100))))</f>
        <v>0</v>
      </c>
      <c r="AT270" s="57">
        <f>IF(ISERROR(IF(B270=C270,I270/C270,(INT(I270/B270)+(((I270-B270*INT(I270/B270)))/C270)/100))),0,(IF(B270=C270,I270/C270,(INT(I270/B270)+(((I270-B270*INT(I270/B270)))/C270)/100))))</f>
        <v>0</v>
      </c>
      <c r="AU270" s="57">
        <f>IF(ISERROR(IF(B270=C270,J270/C270,(INT(J270/B270)+(((J270-B270*INT(J270/B270)))/C270)/100))),0,(IF(B270=C270,J270/C270,(INT(J270/B270)+(((J270-B270*INT(J270/B270)))/C270)/100))))</f>
        <v>0</v>
      </c>
      <c r="AV270" s="57">
        <f>IF(ISERROR(IF(B270=C270,K270/C270,IF((INT(K270/B270)+(((K270-B270*INT(K270/B270)))/C270)/100)&lt;0,(INT(K270/B270)+(((K270-B270*INT(K270/B270)))/C270)/100)+(1-(B270/C270/100)),(INT(K270/B270)+(((K270-B270*INT(K270/B270)))/C270)/100)))),0,IF(B270=C270,K270/C270,IF((INT(K270/B270)+(((K270-B270*INT(K270/B270)))/C270)/100)&lt;0,(INT(K270/B270)+(((K270-B270*INT(K270/B270)))/C270)/100)+(1-(B270/C270/100)),(INT(K270/B270)+(((K270-B270*INT(K270/B270)))/C270)/100))))</f>
        <v>0</v>
      </c>
      <c r="AW270" s="57">
        <f>IF(ISERROR(IF(B270=C270,L270/C270,(INT(L270/B270)+(((L270-B270*INT(L270/B270)))/C270)/100))),0,(IF(B270=C270,L270/C270,(INT(L270/B270)+(((L270-B270*INT(L270/B270)))/C270)/100))))</f>
        <v>0</v>
      </c>
      <c r="AX270" s="57">
        <f>IF(ISERROR(IF(B270=C270,M270/C270,(INT(M270/B270)+(((M270-B270*INT(M270/B270)))/C270)/100))),0,(IF(B270=C270,M270/C270,(INT(M270/B270)+(((M270-B270*INT(M270/B270)))/C270)/100))))</f>
        <v>0</v>
      </c>
      <c r="AY270" s="57">
        <f>IF(ISERROR(IF(B270=C270,N270/C270,IF((INT(N270/B270)+(((N270-B270*INT(N270/B270)))/C270)/100)&lt;0,(INT(N270/B270)+(((N270-B270*INT(N270/B270)))/C270)/100)+(1-(B270/C270/100)),(INT(N270/B270)+(((N270-B270*INT(N270/B270)))/C270)/100)))),0,IF(B270=C270,N270/C270,IF((INT(N270/B270)+(((N270-B270*INT(N270/B270)))/C270)/100)&lt;0,(INT(N270/B270)+(((N270-B270*INT(N270/B270)))/C270)/100)+(1-(B270/C270/100)),(INT(N270/B270)+(((N270-B270*INT(N270/B270)))/C270)/100))))</f>
        <v>0</v>
      </c>
      <c r="AZ270" s="57">
        <f>IF(ISERROR(IF(B270=C270,O270/C270,(INT(O270/B270)+(((O270-B270*INT(O270/B270)))/C270)/100))),0,(IF(B270=C270,O270/C270,(INT(O270/B270)+(((O270-B270*INT(O270/B270)))/C270)/100))))</f>
        <v>0</v>
      </c>
      <c r="BA270" s="57">
        <f>IF(ISERROR(IF(B270=C270,P270/C270,IF((INT(P270/B270)+(((P270-B270*INT(P270/B270)))/C270)/100)&lt;0,(INT(P270/B270)+(((P270-B270*INT(P270/B270)))/C270)/100)+(1-(B270/C270/100)),(INT(P270/B270)+(((P270-B270*INT(P270/B270)))/C270)/100)))),0,IF(B270=C270,P270/C270,IF((INT(P270/B270)+(((P270-B270*INT(P270/B270)))/C270)/100)&lt;0,(INT(P270/B270)+(((P270-B270*INT(P270/B270)))/C270)/100)+(1-(B270/C270/100)),(INT(P270/B270)+(((P270-B270*INT(P270/B270)))/C270)/100))))</f>
        <v>0</v>
      </c>
      <c r="BB270" s="28">
        <f>R270</f>
        <v>0</v>
      </c>
      <c r="BC270" s="28">
        <f>S270</f>
        <v>0</v>
      </c>
      <c r="BD270" s="28">
        <f>AF270</f>
        <v>0</v>
      </c>
      <c r="BE270" s="28">
        <f>T270</f>
        <v>0</v>
      </c>
      <c r="BG270" s="57">
        <f>IF(ISERROR(IF(B270=C270,V270/C270,(INT(V270/B270)+(((V270-B270*INT(V270/B270)))/C270)/100))),0,(IF(B270=C270,V270/C270,(INT(V270/B270)+(((V270-B270*INT(V270/B270)))/C270)/100))))</f>
        <v>0</v>
      </c>
      <c r="BH270" s="57">
        <f>IF(ISERROR(IF(B270=C270,W270/C270,(INT(W270/B270)+(((W270-B270*INT(W270/B270)))/C270)/100))),0,(IF(B270=C270,W270/C270,(INT(W270/B270)+(((W270-B270*INT(W270/B270)))/C270)/100))))</f>
        <v>0</v>
      </c>
      <c r="BI270" s="57">
        <f>IF(ISERROR(IF(B270=C270,X270/C270,(INT(X270/B270)+(((X270-B270*INT(X270/B270)))/C270)/100))),0,(IF(B270=C270,X270/C270,(INT(X270/B270)+(((X270-B270*INT(X270/B270)))/C270)/100))))</f>
        <v>0</v>
      </c>
      <c r="BJ270" s="57">
        <f>IF(ISERROR(IF(B270=C270,Y270/C270,(INT(Y270/B270)+(((Y270-B270*INT(Y270/B270)))/C270)/100))),0,(IF(B270=C270,Y270/C270,(INT(Y270/B270)+(((Y270-B270*INT(Y270/B270)))/C270)/100))))</f>
        <v>0</v>
      </c>
      <c r="BL270" s="57">
        <f>IF(ISERROR(IF(B270=C270,AA270/C270,(INT(AA270/B270)+(((AA270-B270*INT(AA270/B270)))/C270)/100))),0,(IF(B270=C270,AA270/C270,(INT(AA270/B270)+(((AA270-B270*INT(AA270/B270)))/C270)/100))))</f>
        <v>0</v>
      </c>
      <c r="BM270" s="57">
        <f>IF(ISERROR(IF(B270=C270,AB270/C270,(INT(AB270/B270)+(((AB270-B270*INT(AB270/B270)))/C270)/100))),0,(IF(B270=C270,AB270/C270,(INT(AB270/B270)+(((AB270-B270*INT(AB270/B270)))/C270)/100))))</f>
        <v>0</v>
      </c>
      <c r="BN270" s="57">
        <f>IF(ISERROR(IF(B270=C270,AC270/C270,(INT(AC270/B270)+(((AC270-B270*INT(AC270/B270)))/C270)/100))),0,(IF(B270=C270,AC270/C270,(INT(AC270/B270)+(((AC270-B270*INT(AC270/B270)))/C270)/100))))</f>
        <v>0</v>
      </c>
      <c r="BO270" s="57">
        <f>IF(ISERROR(IF(B270=C270,AD270/C270,(INT(AD270/B270)+(((AD270-B270*INT(AD270/B270)))/C270)/100))),0,(IF(B270=C270,AD270/C270,(INT(AD270/B270)+(((AD270-B270*INT(AD270/B270)))/C270)/100))))</f>
        <v>0</v>
      </c>
      <c r="BQ270" s="155"/>
    </row>
    <row r="271" spans="1:69" hidden="1" x14ac:dyDescent="0.35">
      <c r="A271" s="94"/>
      <c r="B271" s="113">
        <v>0</v>
      </c>
      <c r="C271" s="113">
        <v>0</v>
      </c>
      <c r="D271" s="28">
        <f>SUM(AA271:AD271)</f>
        <v>0</v>
      </c>
      <c r="E271" s="113">
        <v>0</v>
      </c>
      <c r="F271" s="113">
        <v>0</v>
      </c>
      <c r="G271" s="28">
        <f>SUM(D271:F271)</f>
        <v>0</v>
      </c>
      <c r="H271" s="125">
        <v>0</v>
      </c>
      <c r="I271" s="113">
        <v>0</v>
      </c>
      <c r="J271" s="125">
        <v>0</v>
      </c>
      <c r="K271" s="113">
        <v>0</v>
      </c>
      <c r="L271" s="113">
        <v>0</v>
      </c>
      <c r="M271" s="113">
        <v>0</v>
      </c>
      <c r="N271" s="28">
        <f>G271-SUM(H271:M271)</f>
        <v>0</v>
      </c>
      <c r="O271" s="28">
        <f>SUM(V271:Y271)</f>
        <v>0</v>
      </c>
      <c r="P271" s="28">
        <f>O271-N271</f>
        <v>0</v>
      </c>
      <c r="Q271" s="61" t="str">
        <f>IF(ISERROR(P271/SUM(H271:L271)),"",P271/SUM(H271:L271))</f>
        <v/>
      </c>
      <c r="R271" s="113">
        <v>0</v>
      </c>
      <c r="S271" s="28">
        <f>IF(ISERROR(P271/C271*R271),0,(P271/C271*R271))</f>
        <v>0</v>
      </c>
      <c r="T271" s="60">
        <f>IF(ISERROR(P271/B271*AF271),0,(P271/B271*AF271))</f>
        <v>0</v>
      </c>
      <c r="V271" s="113">
        <v>0</v>
      </c>
      <c r="W271" s="113">
        <v>0</v>
      </c>
      <c r="X271" s="113">
        <v>0</v>
      </c>
      <c r="Y271" s="113">
        <v>0</v>
      </c>
      <c r="AA271" s="113">
        <v>0</v>
      </c>
      <c r="AB271" s="113">
        <v>0</v>
      </c>
      <c r="AC271" s="113">
        <v>0</v>
      </c>
      <c r="AD271" s="113">
        <v>0</v>
      </c>
      <c r="AF271" s="113">
        <v>0</v>
      </c>
      <c r="AG271" s="28">
        <f>G271-O271</f>
        <v>0</v>
      </c>
      <c r="AH271" s="58">
        <f>IF(ISERROR(AG271/B271*AF271),0,(AG271/B271*AF271))</f>
        <v>0</v>
      </c>
      <c r="AI271" s="28">
        <f>SUM(H271:M271)</f>
        <v>0</v>
      </c>
      <c r="AJ271" s="28">
        <f>IF(ISERROR(AI271/B271*AF271),0,(AI271/B271*AF271))</f>
        <v>0</v>
      </c>
      <c r="AK271" s="58">
        <f>IF(ISERROR(O271/B271*AF271),0,(O271/B271*AF271))</f>
        <v>0</v>
      </c>
      <c r="AL271" s="28">
        <f>IF(ISERROR(H271/B271*AF271),0,(H271/B271*AF271))</f>
        <v>0</v>
      </c>
      <c r="AN271" s="51">
        <f>A271</f>
        <v>0</v>
      </c>
      <c r="AO271" s="57">
        <f>IF(ISERROR(IF(B271=C271,D271/C271,(INT(D271/B271)+(((D271-B271*INT(D271/B271)))/C271)/100))),0,(IF(B271=C271,D271/C271,(INT(D271/B271)+(((D271-B271*INT(D271/B271)))/C271)/100))))</f>
        <v>0</v>
      </c>
      <c r="AP271" s="57">
        <f>IF(ISERROR(IF(B271=C271,E271/C271,(INT(E271/B271)+(((E271-B271*INT(E271/B271)))/C271)/100))),0,(IF(B271=C271,E271/C271,(INT(E271/B271)+(((E271-B271*INT(E271/B271)))/C271)/100))))</f>
        <v>0</v>
      </c>
      <c r="AQ271" s="57">
        <f>IF(ISERROR(IF(B271=C271,F271/C271,IF((INT(F271/B271)+(((F271-B271*INT(F271/B271)))/C271)/100)&lt;0,(INT(F271/B271)+(((F271-B271*INT(F271/B271)))/C271)/100)+(1-(B271/C271/100)),(INT(F271/B271)+(((F271-B271*INT(F271/B271)))/C271)/100)))),0,IF(B271=C271,F271/C271,IF((INT(F271/B271)+(((F271-B271*INT(F271/B271)))/C271)/100)&lt;0,(INT(F271/B271)+(((F271-B271*INT(F271/B271)))/C271)/100)+(1-(B271/C271/100)),(INT(F271/B271)+(((F271-B271*INT(F271/B271)))/C271)/100))))</f>
        <v>0</v>
      </c>
      <c r="AR271" s="57">
        <f>IF(ISERROR(IF(B271=C271,G271/C271,(INT(G271/B271)+(((G271-B271*INT(G271/B271)))/C271)/100))),0,(IF(B271=C271,G271/C271,(INT(G271/B271)+(((G271-B271*INT(G271/B271)))/C271)/100))))</f>
        <v>0</v>
      </c>
      <c r="AS271" s="57">
        <f>IF(ISERROR(IF(B271=C271,H271/C271,(INT(H271/B271)+(((H271-B271*INT(H271/B271)))/C271)/100))),0,(IF(B271=C271,H271/C271,(INT(H271/B271)+(((H271-B271*INT(H271/B271)))/C271)/100))))</f>
        <v>0</v>
      </c>
      <c r="AT271" s="57">
        <f>IF(ISERROR(IF(B271=C271,I271/C271,(INT(I271/B271)+(((I271-B271*INT(I271/B271)))/C271)/100))),0,(IF(B271=C271,I271/C271,(INT(I271/B271)+(((I271-B271*INT(I271/B271)))/C271)/100))))</f>
        <v>0</v>
      </c>
      <c r="AU271" s="57">
        <f>IF(ISERROR(IF(B271=C271,J271/C271,(INT(J271/B271)+(((J271-B271*INT(J271/B271)))/C271)/100))),0,(IF(B271=C271,J271/C271,(INT(J271/B271)+(((J271-B271*INT(J271/B271)))/C271)/100))))</f>
        <v>0</v>
      </c>
      <c r="AV271" s="57">
        <f>IF(ISERROR(IF(B271=C271,K271/C271,IF((INT(K271/B271)+(((K271-B271*INT(K271/B271)))/C271)/100)&lt;0,(INT(K271/B271)+(((K271-B271*INT(K271/B271)))/C271)/100)+(1-(B271/C271/100)),(INT(K271/B271)+(((K271-B271*INT(K271/B271)))/C271)/100)))),0,IF(B271=C271,K271/C271,IF((INT(K271/B271)+(((K271-B271*INT(K271/B271)))/C271)/100)&lt;0,(INT(K271/B271)+(((K271-B271*INT(K271/B271)))/C271)/100)+(1-(B271/C271/100)),(INT(K271/B271)+(((K271-B271*INT(K271/B271)))/C271)/100))))</f>
        <v>0</v>
      </c>
      <c r="AW271" s="57">
        <f>IF(ISERROR(IF(B271=C271,L271/C271,(INT(L271/B271)+(((L271-B271*INT(L271/B271)))/C271)/100))),0,(IF(B271=C271,L271/C271,(INT(L271/B271)+(((L271-B271*INT(L271/B271)))/C271)/100))))</f>
        <v>0</v>
      </c>
      <c r="AX271" s="57">
        <f>IF(ISERROR(IF(B271=C271,M271/C271,(INT(M271/B271)+(((M271-B271*INT(M271/B271)))/C271)/100))),0,(IF(B271=C271,M271/C271,(INT(M271/B271)+(((M271-B271*INT(M271/B271)))/C271)/100))))</f>
        <v>0</v>
      </c>
      <c r="AY271" s="57">
        <f>IF(ISERROR(IF(B271=C271,N271/C271,IF((INT(N271/B271)+(((N271-B271*INT(N271/B271)))/C271)/100)&lt;0,(INT(N271/B271)+(((N271-B271*INT(N271/B271)))/C271)/100)+(1-(B271/C271/100)),(INT(N271/B271)+(((N271-B271*INT(N271/B271)))/C271)/100)))),0,IF(B271=C271,N271/C271,IF((INT(N271/B271)+(((N271-B271*INT(N271/B271)))/C271)/100)&lt;0,(INT(N271/B271)+(((N271-B271*INT(N271/B271)))/C271)/100)+(1-(B271/C271/100)),(INT(N271/B271)+(((N271-B271*INT(N271/B271)))/C271)/100))))</f>
        <v>0</v>
      </c>
      <c r="AZ271" s="57">
        <f>IF(ISERROR(IF(B271=C271,O271/C271,(INT(O271/B271)+(((O271-B271*INT(O271/B271)))/C271)/100))),0,(IF(B271=C271,O271/C271,(INT(O271/B271)+(((O271-B271*INT(O271/B271)))/C271)/100))))</f>
        <v>0</v>
      </c>
      <c r="BA271" s="57">
        <f>IF(ISERROR(IF(B271=C271,P271/C271,IF((INT(P271/B271)+(((P271-B271*INT(P271/B271)))/C271)/100)&lt;0,(INT(P271/B271)+(((P271-B271*INT(P271/B271)))/C271)/100)+(1-(B271/C271/100)),(INT(P271/B271)+(((P271-B271*INT(P271/B271)))/C271)/100)))),0,IF(B271=C271,P271/C271,IF((INT(P271/B271)+(((P271-B271*INT(P271/B271)))/C271)/100)&lt;0,(INT(P271/B271)+(((P271-B271*INT(P271/B271)))/C271)/100)+(1-(B271/C271/100)),(INT(P271/B271)+(((P271-B271*INT(P271/B271)))/C271)/100))))</f>
        <v>0</v>
      </c>
      <c r="BB271" s="28">
        <f>R271</f>
        <v>0</v>
      </c>
      <c r="BC271" s="28">
        <f>S271</f>
        <v>0</v>
      </c>
      <c r="BD271" s="28">
        <f>AF271</f>
        <v>0</v>
      </c>
      <c r="BE271" s="28">
        <f>T271</f>
        <v>0</v>
      </c>
      <c r="BG271" s="57">
        <f>IF(ISERROR(IF(B271=C271,V271/C271,(INT(V271/B271)+(((V271-B271*INT(V271/B271)))/C271)/100))),0,(IF(B271=C271,V271/C271,(INT(V271/B271)+(((V271-B271*INT(V271/B271)))/C271)/100))))</f>
        <v>0</v>
      </c>
      <c r="BH271" s="57">
        <f>IF(ISERROR(IF(B271=C271,W271/C271,(INT(W271/B271)+(((W271-B271*INT(W271/B271)))/C271)/100))),0,(IF(B271=C271,W271/C271,(INT(W271/B271)+(((W271-B271*INT(W271/B271)))/C271)/100))))</f>
        <v>0</v>
      </c>
      <c r="BI271" s="57">
        <f>IF(ISERROR(IF(B271=C271,X271/C271,(INT(X271/B271)+(((X271-B271*INT(X271/B271)))/C271)/100))),0,(IF(B271=C271,X271/C271,(INT(X271/B271)+(((X271-B271*INT(X271/B271)))/C271)/100))))</f>
        <v>0</v>
      </c>
      <c r="BJ271" s="57">
        <f>IF(ISERROR(IF(B271=C271,Y271/C271,(INT(Y271/B271)+(((Y271-B271*INT(Y271/B271)))/C271)/100))),0,(IF(B271=C271,Y271/C271,(INT(Y271/B271)+(((Y271-B271*INT(Y271/B271)))/C271)/100))))</f>
        <v>0</v>
      </c>
      <c r="BL271" s="57">
        <f>IF(ISERROR(IF(B271=C271,AA271/C271,(INT(AA271/B271)+(((AA271-B271*INT(AA271/B271)))/C271)/100))),0,(IF(B271=C271,AA271/C271,(INT(AA271/B271)+(((AA271-B271*INT(AA271/B271)))/C271)/100))))</f>
        <v>0</v>
      </c>
      <c r="BM271" s="57">
        <f>IF(ISERROR(IF(B271=C271,AB271/C271,(INT(AB271/B271)+(((AB271-B271*INT(AB271/B271)))/C271)/100))),0,(IF(B271=C271,AB271/C271,(INT(AB271/B271)+(((AB271-B271*INT(AB271/B271)))/C271)/100))))</f>
        <v>0</v>
      </c>
      <c r="BN271" s="57">
        <f>IF(ISERROR(IF(B271=C271,AC271/C271,(INT(AC271/B271)+(((AC271-B271*INT(AC271/B271)))/C271)/100))),0,(IF(B271=C271,AC271/C271,(INT(AC271/B271)+(((AC271-B271*INT(AC271/B271)))/C271)/100))))</f>
        <v>0</v>
      </c>
      <c r="BO271" s="57">
        <f>IF(ISERROR(IF(B271=C271,AD271/C271,(INT(AD271/B271)+(((AD271-B271*INT(AD271/B271)))/C271)/100))),0,(IF(B271=C271,AD271/C271,(INT(AD271/B271)+(((AD271-B271*INT(AD271/B271)))/C271)/100))))</f>
        <v>0</v>
      </c>
      <c r="BQ271" s="155"/>
    </row>
    <row r="272" spans="1:69" hidden="1" x14ac:dyDescent="0.35">
      <c r="A272" s="94"/>
      <c r="B272" s="113">
        <v>0</v>
      </c>
      <c r="C272" s="113">
        <v>0</v>
      </c>
      <c r="D272" s="28">
        <f>SUM(AA272:AD272)</f>
        <v>0</v>
      </c>
      <c r="E272" s="113">
        <v>0</v>
      </c>
      <c r="F272" s="113">
        <v>0</v>
      </c>
      <c r="G272" s="28">
        <f>SUM(D272:F272)</f>
        <v>0</v>
      </c>
      <c r="H272" s="125">
        <v>0</v>
      </c>
      <c r="I272" s="113">
        <v>0</v>
      </c>
      <c r="J272" s="125">
        <v>0</v>
      </c>
      <c r="K272" s="113">
        <v>0</v>
      </c>
      <c r="L272" s="113">
        <v>0</v>
      </c>
      <c r="M272" s="113">
        <v>0</v>
      </c>
      <c r="N272" s="28">
        <f>G272-SUM(H272:M272)</f>
        <v>0</v>
      </c>
      <c r="O272" s="28">
        <f>SUM(V272:Y272)</f>
        <v>0</v>
      </c>
      <c r="P272" s="28">
        <f>O272-N272</f>
        <v>0</v>
      </c>
      <c r="Q272" s="61" t="str">
        <f>IF(ISERROR(P272/SUM(H272:L272)),"",P272/SUM(H272:L272))</f>
        <v/>
      </c>
      <c r="R272" s="113">
        <v>0</v>
      </c>
      <c r="S272" s="28">
        <f>IF(ISERROR(P272/C272*R272),0,(P272/C272*R272))</f>
        <v>0</v>
      </c>
      <c r="T272" s="60">
        <f>IF(ISERROR(P272/B272*AF272),0,(P272/B272*AF272))</f>
        <v>0</v>
      </c>
      <c r="V272" s="113">
        <v>0</v>
      </c>
      <c r="W272" s="113">
        <v>0</v>
      </c>
      <c r="X272" s="113">
        <v>0</v>
      </c>
      <c r="Y272" s="113">
        <v>0</v>
      </c>
      <c r="AA272" s="113">
        <v>0</v>
      </c>
      <c r="AB272" s="113">
        <v>0</v>
      </c>
      <c r="AC272" s="113">
        <v>0</v>
      </c>
      <c r="AD272" s="113">
        <v>0</v>
      </c>
      <c r="AF272" s="113">
        <v>0</v>
      </c>
      <c r="AG272" s="28">
        <f>G272-O272</f>
        <v>0</v>
      </c>
      <c r="AH272" s="58">
        <f>IF(ISERROR(AG272/B272*AF272),0,(AG272/B272*AF272))</f>
        <v>0</v>
      </c>
      <c r="AI272" s="28">
        <f>SUM(H272:M272)</f>
        <v>0</v>
      </c>
      <c r="AJ272" s="28">
        <f>IF(ISERROR(AI272/B272*AF272),0,(AI272/B272*AF272))</f>
        <v>0</v>
      </c>
      <c r="AK272" s="58">
        <f>IF(ISERROR(O272/B272*AF272),0,(O272/B272*AF272))</f>
        <v>0</v>
      </c>
      <c r="AL272" s="28">
        <f>IF(ISERROR(H272/B272*AF272),0,(H272/B272*AF272))</f>
        <v>0</v>
      </c>
      <c r="AN272" s="51">
        <f>A272</f>
        <v>0</v>
      </c>
      <c r="AO272" s="57">
        <f>IF(ISERROR(IF(B272=C272,D272/C272,(INT(D272/B272)+(((D272-B272*INT(D272/B272)))/C272)/100))),0,(IF(B272=C272,D272/C272,(INT(D272/B272)+(((D272-B272*INT(D272/B272)))/C272)/100))))</f>
        <v>0</v>
      </c>
      <c r="AP272" s="57">
        <f>IF(ISERROR(IF(B272=C272,E272/C272,(INT(E272/B272)+(((E272-B272*INT(E272/B272)))/C272)/100))),0,(IF(B272=C272,E272/C272,(INT(E272/B272)+(((E272-B272*INT(E272/B272)))/C272)/100))))</f>
        <v>0</v>
      </c>
      <c r="AQ272" s="57">
        <f>IF(ISERROR(IF(B272=C272,F272/C272,IF((INT(F272/B272)+(((F272-B272*INT(F272/B272)))/C272)/100)&lt;0,(INT(F272/B272)+(((F272-B272*INT(F272/B272)))/C272)/100)+(1-(B272/C272/100)),(INT(F272/B272)+(((F272-B272*INT(F272/B272)))/C272)/100)))),0,IF(B272=C272,F272/C272,IF((INT(F272/B272)+(((F272-B272*INT(F272/B272)))/C272)/100)&lt;0,(INT(F272/B272)+(((F272-B272*INT(F272/B272)))/C272)/100)+(1-(B272/C272/100)),(INT(F272/B272)+(((F272-B272*INT(F272/B272)))/C272)/100))))</f>
        <v>0</v>
      </c>
      <c r="AR272" s="57">
        <f>IF(ISERROR(IF(B272=C272,G272/C272,(INT(G272/B272)+(((G272-B272*INT(G272/B272)))/C272)/100))),0,(IF(B272=C272,G272/C272,(INT(G272/B272)+(((G272-B272*INT(G272/B272)))/C272)/100))))</f>
        <v>0</v>
      </c>
      <c r="AS272" s="57">
        <f>IF(ISERROR(IF(B272=C272,H272/C272,(INT(H272/B272)+(((H272-B272*INT(H272/B272)))/C272)/100))),0,(IF(B272=C272,H272/C272,(INT(H272/B272)+(((H272-B272*INT(H272/B272)))/C272)/100))))</f>
        <v>0</v>
      </c>
      <c r="AT272" s="57">
        <f>IF(ISERROR(IF(B272=C272,I272/C272,(INT(I272/B272)+(((I272-B272*INT(I272/B272)))/C272)/100))),0,(IF(B272=C272,I272/C272,(INT(I272/B272)+(((I272-B272*INT(I272/B272)))/C272)/100))))</f>
        <v>0</v>
      </c>
      <c r="AU272" s="57">
        <f>IF(ISERROR(IF(B272=C272,J272/C272,(INT(J272/B272)+(((J272-B272*INT(J272/B272)))/C272)/100))),0,(IF(B272=C272,J272/C272,(INT(J272/B272)+(((J272-B272*INT(J272/B272)))/C272)/100))))</f>
        <v>0</v>
      </c>
      <c r="AV272" s="57">
        <f>IF(ISERROR(IF(B272=C272,K272/C272,IF((INT(K272/B272)+(((K272-B272*INT(K272/B272)))/C272)/100)&lt;0,(INT(K272/B272)+(((K272-B272*INT(K272/B272)))/C272)/100)+(1-(B272/C272/100)),(INT(K272/B272)+(((K272-B272*INT(K272/B272)))/C272)/100)))),0,IF(B272=C272,K272/C272,IF((INT(K272/B272)+(((K272-B272*INT(K272/B272)))/C272)/100)&lt;0,(INT(K272/B272)+(((K272-B272*INT(K272/B272)))/C272)/100)+(1-(B272/C272/100)),(INT(K272/B272)+(((K272-B272*INT(K272/B272)))/C272)/100))))</f>
        <v>0</v>
      </c>
      <c r="AW272" s="57">
        <f>IF(ISERROR(IF(B272=C272,L272/C272,(INT(L272/B272)+(((L272-B272*INT(L272/B272)))/C272)/100))),0,(IF(B272=C272,L272/C272,(INT(L272/B272)+(((L272-B272*INT(L272/B272)))/C272)/100))))</f>
        <v>0</v>
      </c>
      <c r="AX272" s="57">
        <f>IF(ISERROR(IF(B272=C272,M272/C272,(INT(M272/B272)+(((M272-B272*INT(M272/B272)))/C272)/100))),0,(IF(B272=C272,M272/C272,(INT(M272/B272)+(((M272-B272*INT(M272/B272)))/C272)/100))))</f>
        <v>0</v>
      </c>
      <c r="AY272" s="57">
        <f>IF(ISERROR(IF(B272=C272,N272/C272,IF((INT(N272/B272)+(((N272-B272*INT(N272/B272)))/C272)/100)&lt;0,(INT(N272/B272)+(((N272-B272*INT(N272/B272)))/C272)/100)+(1-(B272/C272/100)),(INT(N272/B272)+(((N272-B272*INT(N272/B272)))/C272)/100)))),0,IF(B272=C272,N272/C272,IF((INT(N272/B272)+(((N272-B272*INT(N272/B272)))/C272)/100)&lt;0,(INT(N272/B272)+(((N272-B272*INT(N272/B272)))/C272)/100)+(1-(B272/C272/100)),(INT(N272/B272)+(((N272-B272*INT(N272/B272)))/C272)/100))))</f>
        <v>0</v>
      </c>
      <c r="AZ272" s="57">
        <f>IF(ISERROR(IF(B272=C272,O272/C272,(INT(O272/B272)+(((O272-B272*INT(O272/B272)))/C272)/100))),0,(IF(B272=C272,O272/C272,(INT(O272/B272)+(((O272-B272*INT(O272/B272)))/C272)/100))))</f>
        <v>0</v>
      </c>
      <c r="BA272" s="57">
        <f>IF(ISERROR(IF(B272=C272,P272/C272,IF((INT(P272/B272)+(((P272-B272*INT(P272/B272)))/C272)/100)&lt;0,(INT(P272/B272)+(((P272-B272*INT(P272/B272)))/C272)/100)+(1-(B272/C272/100)),(INT(P272/B272)+(((P272-B272*INT(P272/B272)))/C272)/100)))),0,IF(B272=C272,P272/C272,IF((INT(P272/B272)+(((P272-B272*INT(P272/B272)))/C272)/100)&lt;0,(INT(P272/B272)+(((P272-B272*INT(P272/B272)))/C272)/100)+(1-(B272/C272/100)),(INT(P272/B272)+(((P272-B272*INT(P272/B272)))/C272)/100))))</f>
        <v>0</v>
      </c>
      <c r="BB272" s="28">
        <f>R272</f>
        <v>0</v>
      </c>
      <c r="BC272" s="28">
        <f>S272</f>
        <v>0</v>
      </c>
      <c r="BD272" s="28">
        <f>AF272</f>
        <v>0</v>
      </c>
      <c r="BE272" s="28">
        <f>T272</f>
        <v>0</v>
      </c>
      <c r="BG272" s="57">
        <f>IF(ISERROR(IF(B272=C272,V272/C272,(INT(V272/B272)+(((V272-B272*INT(V272/B272)))/C272)/100))),0,(IF(B272=C272,V272/C272,(INT(V272/B272)+(((V272-B272*INT(V272/B272)))/C272)/100))))</f>
        <v>0</v>
      </c>
      <c r="BH272" s="57">
        <f>IF(ISERROR(IF(B272=C272,W272/C272,(INT(W272/B272)+(((W272-B272*INT(W272/B272)))/C272)/100))),0,(IF(B272=C272,W272/C272,(INT(W272/B272)+(((W272-B272*INT(W272/B272)))/C272)/100))))</f>
        <v>0</v>
      </c>
      <c r="BI272" s="57">
        <f>IF(ISERROR(IF(B272=C272,X272/C272,(INT(X272/B272)+(((X272-B272*INT(X272/B272)))/C272)/100))),0,(IF(B272=C272,X272/C272,(INT(X272/B272)+(((X272-B272*INT(X272/B272)))/C272)/100))))</f>
        <v>0</v>
      </c>
      <c r="BJ272" s="57">
        <f>IF(ISERROR(IF(B272=C272,Y272/C272,(INT(Y272/B272)+(((Y272-B272*INT(Y272/B272)))/C272)/100))),0,(IF(B272=C272,Y272/C272,(INT(Y272/B272)+(((Y272-B272*INT(Y272/B272)))/C272)/100))))</f>
        <v>0</v>
      </c>
      <c r="BL272" s="57">
        <f>IF(ISERROR(IF(B272=C272,AA272/C272,(INT(AA272/B272)+(((AA272-B272*INT(AA272/B272)))/C272)/100))),0,(IF(B272=C272,AA272/C272,(INT(AA272/B272)+(((AA272-B272*INT(AA272/B272)))/C272)/100))))</f>
        <v>0</v>
      </c>
      <c r="BM272" s="57">
        <f>IF(ISERROR(IF(B272=C272,AB272/C272,(INT(AB272/B272)+(((AB272-B272*INT(AB272/B272)))/C272)/100))),0,(IF(B272=C272,AB272/C272,(INT(AB272/B272)+(((AB272-B272*INT(AB272/B272)))/C272)/100))))</f>
        <v>0</v>
      </c>
      <c r="BN272" s="57">
        <f>IF(ISERROR(IF(B272=C272,AC272/C272,(INT(AC272/B272)+(((AC272-B272*INT(AC272/B272)))/C272)/100))),0,(IF(B272=C272,AC272/C272,(INT(AC272/B272)+(((AC272-B272*INT(AC272/B272)))/C272)/100))))</f>
        <v>0</v>
      </c>
      <c r="BO272" s="57">
        <f>IF(ISERROR(IF(B272=C272,AD272/C272,(INT(AD272/B272)+(((AD272-B272*INT(AD272/B272)))/C272)/100))),0,(IF(B272=C272,AD272/C272,(INT(AD272/B272)+(((AD272-B272*INT(AD272/B272)))/C272)/100))))</f>
        <v>0</v>
      </c>
      <c r="BQ272" s="155"/>
    </row>
    <row r="273" spans="1:69" hidden="1" x14ac:dyDescent="0.35">
      <c r="A273" s="94"/>
      <c r="B273" s="113">
        <v>0</v>
      </c>
      <c r="C273" s="113">
        <v>0</v>
      </c>
      <c r="D273" s="28">
        <f>SUM(AA273:AD273)</f>
        <v>0</v>
      </c>
      <c r="E273" s="113">
        <v>0</v>
      </c>
      <c r="F273" s="113">
        <v>0</v>
      </c>
      <c r="G273" s="28">
        <f>SUM(D273:F273)</f>
        <v>0</v>
      </c>
      <c r="H273" s="125">
        <v>0</v>
      </c>
      <c r="I273" s="113">
        <v>0</v>
      </c>
      <c r="J273" s="125">
        <v>0</v>
      </c>
      <c r="K273" s="113">
        <v>0</v>
      </c>
      <c r="L273" s="113">
        <v>0</v>
      </c>
      <c r="M273" s="113">
        <v>0</v>
      </c>
      <c r="N273" s="28">
        <f>G273-SUM(H273:M273)</f>
        <v>0</v>
      </c>
      <c r="O273" s="28">
        <f>SUM(V273:Y273)</f>
        <v>0</v>
      </c>
      <c r="P273" s="28">
        <f>O273-N273</f>
        <v>0</v>
      </c>
      <c r="Q273" s="61" t="str">
        <f>IF(ISERROR(P273/SUM(H273:L273)),"",P273/SUM(H273:L273))</f>
        <v/>
      </c>
      <c r="R273" s="113">
        <v>0</v>
      </c>
      <c r="S273" s="28">
        <f>IF(ISERROR(P273/C273*R273),0,(P273/C273*R273))</f>
        <v>0</v>
      </c>
      <c r="T273" s="60">
        <f>IF(ISERROR(P273/B273*AF273),0,(P273/B273*AF273))</f>
        <v>0</v>
      </c>
      <c r="V273" s="113">
        <v>0</v>
      </c>
      <c r="W273" s="113">
        <v>0</v>
      </c>
      <c r="X273" s="113">
        <v>0</v>
      </c>
      <c r="Y273" s="113">
        <v>0</v>
      </c>
      <c r="AA273" s="113">
        <v>0</v>
      </c>
      <c r="AB273" s="113">
        <v>0</v>
      </c>
      <c r="AC273" s="113">
        <v>0</v>
      </c>
      <c r="AD273" s="113">
        <v>0</v>
      </c>
      <c r="AF273" s="113">
        <v>0</v>
      </c>
      <c r="AG273" s="28">
        <f>G273-O273</f>
        <v>0</v>
      </c>
      <c r="AH273" s="58">
        <f>IF(ISERROR(AG273/B273*AF273),0,(AG273/B273*AF273))</f>
        <v>0</v>
      </c>
      <c r="AI273" s="28">
        <f>SUM(H273:M273)</f>
        <v>0</v>
      </c>
      <c r="AJ273" s="28">
        <f>IF(ISERROR(AI273/B273*AF273),0,(AI273/B273*AF273))</f>
        <v>0</v>
      </c>
      <c r="AK273" s="58">
        <f>IF(ISERROR(O273/B273*AF273),0,(O273/B273*AF273))</f>
        <v>0</v>
      </c>
      <c r="AL273" s="28">
        <f>IF(ISERROR(H273/B273*AF273),0,(H273/B273*AF273))</f>
        <v>0</v>
      </c>
      <c r="AN273" s="51">
        <f>A273</f>
        <v>0</v>
      </c>
      <c r="AO273" s="57">
        <f>IF(ISERROR(IF(B273=C273,D273/C273,(INT(D273/B273)+(((D273-B273*INT(D273/B273)))/C273)/100))),0,(IF(B273=C273,D273/C273,(INT(D273/B273)+(((D273-B273*INT(D273/B273)))/C273)/100))))</f>
        <v>0</v>
      </c>
      <c r="AP273" s="57">
        <f>IF(ISERROR(IF(B273=C273,E273/C273,(INT(E273/B273)+(((E273-B273*INT(E273/B273)))/C273)/100))),0,(IF(B273=C273,E273/C273,(INT(E273/B273)+(((E273-B273*INT(E273/B273)))/C273)/100))))</f>
        <v>0</v>
      </c>
      <c r="AQ273" s="57">
        <f>IF(ISERROR(IF(B273=C273,F273/C273,IF((INT(F273/B273)+(((F273-B273*INT(F273/B273)))/C273)/100)&lt;0,(INT(F273/B273)+(((F273-B273*INT(F273/B273)))/C273)/100)+(1-(B273/C273/100)),(INT(F273/B273)+(((F273-B273*INT(F273/B273)))/C273)/100)))),0,IF(B273=C273,F273/C273,IF((INT(F273/B273)+(((F273-B273*INT(F273/B273)))/C273)/100)&lt;0,(INT(F273/B273)+(((F273-B273*INT(F273/B273)))/C273)/100)+(1-(B273/C273/100)),(INT(F273/B273)+(((F273-B273*INT(F273/B273)))/C273)/100))))</f>
        <v>0</v>
      </c>
      <c r="AR273" s="57">
        <f>IF(ISERROR(IF(B273=C273,G273/C273,(INT(G273/B273)+(((G273-B273*INT(G273/B273)))/C273)/100))),0,(IF(B273=C273,G273/C273,(INT(G273/B273)+(((G273-B273*INT(G273/B273)))/C273)/100))))</f>
        <v>0</v>
      </c>
      <c r="AS273" s="57">
        <f>IF(ISERROR(IF(B273=C273,H273/C273,(INT(H273/B273)+(((H273-B273*INT(H273/B273)))/C273)/100))),0,(IF(B273=C273,H273/C273,(INT(H273/B273)+(((H273-B273*INT(H273/B273)))/C273)/100))))</f>
        <v>0</v>
      </c>
      <c r="AT273" s="57">
        <f>IF(ISERROR(IF(B273=C273,I273/C273,(INT(I273/B273)+(((I273-B273*INT(I273/B273)))/C273)/100))),0,(IF(B273=C273,I273/C273,(INT(I273/B273)+(((I273-B273*INT(I273/B273)))/C273)/100))))</f>
        <v>0</v>
      </c>
      <c r="AU273" s="57">
        <f>IF(ISERROR(IF(B273=C273,J273/C273,(INT(J273/B273)+(((J273-B273*INT(J273/B273)))/C273)/100))),0,(IF(B273=C273,J273/C273,(INT(J273/B273)+(((J273-B273*INT(J273/B273)))/C273)/100))))</f>
        <v>0</v>
      </c>
      <c r="AV273" s="57">
        <f>IF(ISERROR(IF(B273=C273,K273/C273,IF((INT(K273/B273)+(((K273-B273*INT(K273/B273)))/C273)/100)&lt;0,(INT(K273/B273)+(((K273-B273*INT(K273/B273)))/C273)/100)+(1-(B273/C273/100)),(INT(K273/B273)+(((K273-B273*INT(K273/B273)))/C273)/100)))),0,IF(B273=C273,K273/C273,IF((INT(K273/B273)+(((K273-B273*INT(K273/B273)))/C273)/100)&lt;0,(INT(K273/B273)+(((K273-B273*INT(K273/B273)))/C273)/100)+(1-(B273/C273/100)),(INT(K273/B273)+(((K273-B273*INT(K273/B273)))/C273)/100))))</f>
        <v>0</v>
      </c>
      <c r="AW273" s="57">
        <f>IF(ISERROR(IF(B273=C273,L273/C273,(INT(L273/B273)+(((L273-B273*INT(L273/B273)))/C273)/100))),0,(IF(B273=C273,L273/C273,(INT(L273/B273)+(((L273-B273*INT(L273/B273)))/C273)/100))))</f>
        <v>0</v>
      </c>
      <c r="AX273" s="57">
        <f>IF(ISERROR(IF(B273=C273,M273/C273,(INT(M273/B273)+(((M273-B273*INT(M273/B273)))/C273)/100))),0,(IF(B273=C273,M273/C273,(INT(M273/B273)+(((M273-B273*INT(M273/B273)))/C273)/100))))</f>
        <v>0</v>
      </c>
      <c r="AY273" s="57">
        <f>IF(ISERROR(IF(B273=C273,N273/C273,IF((INT(N273/B273)+(((N273-B273*INT(N273/B273)))/C273)/100)&lt;0,(INT(N273/B273)+(((N273-B273*INT(N273/B273)))/C273)/100)+(1-(B273/C273/100)),(INT(N273/B273)+(((N273-B273*INT(N273/B273)))/C273)/100)))),0,IF(B273=C273,N273/C273,IF((INT(N273/B273)+(((N273-B273*INT(N273/B273)))/C273)/100)&lt;0,(INT(N273/B273)+(((N273-B273*INT(N273/B273)))/C273)/100)+(1-(B273/C273/100)),(INT(N273/B273)+(((N273-B273*INT(N273/B273)))/C273)/100))))</f>
        <v>0</v>
      </c>
      <c r="AZ273" s="57">
        <f>IF(ISERROR(IF(B273=C273,O273/C273,(INT(O273/B273)+(((O273-B273*INT(O273/B273)))/C273)/100))),0,(IF(B273=C273,O273/C273,(INT(O273/B273)+(((O273-B273*INT(O273/B273)))/C273)/100))))</f>
        <v>0</v>
      </c>
      <c r="BA273" s="57">
        <f>IF(ISERROR(IF(B273=C273,P273/C273,IF((INT(P273/B273)+(((P273-B273*INT(P273/B273)))/C273)/100)&lt;0,(INT(P273/B273)+(((P273-B273*INT(P273/B273)))/C273)/100)+(1-(B273/C273/100)),(INT(P273/B273)+(((P273-B273*INT(P273/B273)))/C273)/100)))),0,IF(B273=C273,P273/C273,IF((INT(P273/B273)+(((P273-B273*INT(P273/B273)))/C273)/100)&lt;0,(INT(P273/B273)+(((P273-B273*INT(P273/B273)))/C273)/100)+(1-(B273/C273/100)),(INT(P273/B273)+(((P273-B273*INT(P273/B273)))/C273)/100))))</f>
        <v>0</v>
      </c>
      <c r="BB273" s="28">
        <f>R273</f>
        <v>0</v>
      </c>
      <c r="BC273" s="28">
        <f>S273</f>
        <v>0</v>
      </c>
      <c r="BD273" s="28">
        <f>AF273</f>
        <v>0</v>
      </c>
      <c r="BE273" s="28">
        <f>T273</f>
        <v>0</v>
      </c>
      <c r="BG273" s="57">
        <f>IF(ISERROR(IF(B273=C273,V273/C273,(INT(V273/B273)+(((V273-B273*INT(V273/B273)))/C273)/100))),0,(IF(B273=C273,V273/C273,(INT(V273/B273)+(((V273-B273*INT(V273/B273)))/C273)/100))))</f>
        <v>0</v>
      </c>
      <c r="BH273" s="57">
        <f>IF(ISERROR(IF(B273=C273,W273/C273,(INT(W273/B273)+(((W273-B273*INT(W273/B273)))/C273)/100))),0,(IF(B273=C273,W273/C273,(INT(W273/B273)+(((W273-B273*INT(W273/B273)))/C273)/100))))</f>
        <v>0</v>
      </c>
      <c r="BI273" s="57">
        <f>IF(ISERROR(IF(B273=C273,X273/C273,(INT(X273/B273)+(((X273-B273*INT(X273/B273)))/C273)/100))),0,(IF(B273=C273,X273/C273,(INT(X273/B273)+(((X273-B273*INT(X273/B273)))/C273)/100))))</f>
        <v>0</v>
      </c>
      <c r="BJ273" s="57">
        <f>IF(ISERROR(IF(B273=C273,Y273/C273,(INT(Y273/B273)+(((Y273-B273*INT(Y273/B273)))/C273)/100))),0,(IF(B273=C273,Y273/C273,(INT(Y273/B273)+(((Y273-B273*INT(Y273/B273)))/C273)/100))))</f>
        <v>0</v>
      </c>
      <c r="BL273" s="57">
        <f>IF(ISERROR(IF(B273=C273,AA273/C273,(INT(AA273/B273)+(((AA273-B273*INT(AA273/B273)))/C273)/100))),0,(IF(B273=C273,AA273/C273,(INT(AA273/B273)+(((AA273-B273*INT(AA273/B273)))/C273)/100))))</f>
        <v>0</v>
      </c>
      <c r="BM273" s="57">
        <f>IF(ISERROR(IF(B273=C273,AB273/C273,(INT(AB273/B273)+(((AB273-B273*INT(AB273/B273)))/C273)/100))),0,(IF(B273=C273,AB273/C273,(INT(AB273/B273)+(((AB273-B273*INT(AB273/B273)))/C273)/100))))</f>
        <v>0</v>
      </c>
      <c r="BN273" s="57">
        <f>IF(ISERROR(IF(B273=C273,AC273/C273,(INT(AC273/B273)+(((AC273-B273*INT(AC273/B273)))/C273)/100))),0,(IF(B273=C273,AC273/C273,(INT(AC273/B273)+(((AC273-B273*INT(AC273/B273)))/C273)/100))))</f>
        <v>0</v>
      </c>
      <c r="BO273" s="57">
        <f>IF(ISERROR(IF(B273=C273,AD273/C273,(INT(AD273/B273)+(((AD273-B273*INT(AD273/B273)))/C273)/100))),0,(IF(B273=C273,AD273/C273,(INT(AD273/B273)+(((AD273-B273*INT(AD273/B273)))/C273)/100))))</f>
        <v>0</v>
      </c>
      <c r="BQ273" s="155"/>
    </row>
    <row r="274" spans="1:69" hidden="1" x14ac:dyDescent="0.35">
      <c r="A274" s="94"/>
      <c r="B274" s="113">
        <v>0</v>
      </c>
      <c r="C274" s="113">
        <v>0</v>
      </c>
      <c r="D274" s="28">
        <f>SUM(AA274:AD274)</f>
        <v>0</v>
      </c>
      <c r="E274" s="113">
        <v>0</v>
      </c>
      <c r="F274" s="113">
        <v>0</v>
      </c>
      <c r="G274" s="28">
        <f>SUM(D274:F274)</f>
        <v>0</v>
      </c>
      <c r="H274" s="125">
        <v>0</v>
      </c>
      <c r="I274" s="113">
        <v>0</v>
      </c>
      <c r="J274" s="125">
        <v>0</v>
      </c>
      <c r="K274" s="113">
        <v>0</v>
      </c>
      <c r="L274" s="113">
        <v>0</v>
      </c>
      <c r="M274" s="113">
        <v>0</v>
      </c>
      <c r="N274" s="28">
        <f>G274-SUM(H274:M274)</f>
        <v>0</v>
      </c>
      <c r="O274" s="28">
        <f>SUM(V274:Y274)</f>
        <v>0</v>
      </c>
      <c r="P274" s="28">
        <f>O274-N274</f>
        <v>0</v>
      </c>
      <c r="Q274" s="61" t="str">
        <f>IF(ISERROR(P274/SUM(H274:L274)),"",P274/SUM(H274:L274))</f>
        <v/>
      </c>
      <c r="R274" s="113">
        <v>0</v>
      </c>
      <c r="S274" s="28">
        <f>IF(ISERROR(P274/C274*R274),0,(P274/C274*R274))</f>
        <v>0</v>
      </c>
      <c r="T274" s="60">
        <f>IF(ISERROR(P274/B274*AF274),0,(P274/B274*AF274))</f>
        <v>0</v>
      </c>
      <c r="V274" s="113">
        <v>0</v>
      </c>
      <c r="W274" s="113">
        <v>0</v>
      </c>
      <c r="X274" s="113">
        <v>0</v>
      </c>
      <c r="Y274" s="113">
        <v>0</v>
      </c>
      <c r="AA274" s="113">
        <v>0</v>
      </c>
      <c r="AB274" s="113">
        <v>0</v>
      </c>
      <c r="AC274" s="113">
        <v>0</v>
      </c>
      <c r="AD274" s="113">
        <v>0</v>
      </c>
      <c r="AF274" s="113">
        <v>0</v>
      </c>
      <c r="AG274" s="28">
        <f>G274-O274</f>
        <v>0</v>
      </c>
      <c r="AH274" s="58">
        <f>IF(ISERROR(AG274/B274*AF274),0,(AG274/B274*AF274))</f>
        <v>0</v>
      </c>
      <c r="AI274" s="28">
        <f>SUM(H274:M274)</f>
        <v>0</v>
      </c>
      <c r="AJ274" s="28">
        <f>IF(ISERROR(AI274/B274*AF274),0,(AI274/B274*AF274))</f>
        <v>0</v>
      </c>
      <c r="AK274" s="58">
        <f>IF(ISERROR(O274/B274*AF274),0,(O274/B274*AF274))</f>
        <v>0</v>
      </c>
      <c r="AL274" s="28">
        <f>IF(ISERROR(H274/B274*AF274),0,(H274/B274*AF274))</f>
        <v>0</v>
      </c>
      <c r="AN274" s="51">
        <f>A274</f>
        <v>0</v>
      </c>
      <c r="AO274" s="57">
        <f>IF(ISERROR(IF(B274=C274,D274/C274,(INT(D274/B274)+(((D274-B274*INT(D274/B274)))/C274)/100))),0,(IF(B274=C274,D274/C274,(INT(D274/B274)+(((D274-B274*INT(D274/B274)))/C274)/100))))</f>
        <v>0</v>
      </c>
      <c r="AP274" s="57">
        <f>IF(ISERROR(IF(B274=C274,E274/C274,(INT(E274/B274)+(((E274-B274*INT(E274/B274)))/C274)/100))),0,(IF(B274=C274,E274/C274,(INT(E274/B274)+(((E274-B274*INT(E274/B274)))/C274)/100))))</f>
        <v>0</v>
      </c>
      <c r="AQ274" s="57">
        <f>IF(ISERROR(IF(B274=C274,F274/C274,IF((INT(F274/B274)+(((F274-B274*INT(F274/B274)))/C274)/100)&lt;0,(INT(F274/B274)+(((F274-B274*INT(F274/B274)))/C274)/100)+(1-(B274/C274/100)),(INT(F274/B274)+(((F274-B274*INT(F274/B274)))/C274)/100)))),0,IF(B274=C274,F274/C274,IF((INT(F274/B274)+(((F274-B274*INT(F274/B274)))/C274)/100)&lt;0,(INT(F274/B274)+(((F274-B274*INT(F274/B274)))/C274)/100)+(1-(B274/C274/100)),(INT(F274/B274)+(((F274-B274*INT(F274/B274)))/C274)/100))))</f>
        <v>0</v>
      </c>
      <c r="AR274" s="57">
        <f>IF(ISERROR(IF(B274=C274,G274/C274,(INT(G274/B274)+(((G274-B274*INT(G274/B274)))/C274)/100))),0,(IF(B274=C274,G274/C274,(INT(G274/B274)+(((G274-B274*INT(G274/B274)))/C274)/100))))</f>
        <v>0</v>
      </c>
      <c r="AS274" s="57">
        <f>IF(ISERROR(IF(B274=C274,H274/C274,(INT(H274/B274)+(((H274-B274*INT(H274/B274)))/C274)/100))),0,(IF(B274=C274,H274/C274,(INT(H274/B274)+(((H274-B274*INT(H274/B274)))/C274)/100))))</f>
        <v>0</v>
      </c>
      <c r="AT274" s="57">
        <f>IF(ISERROR(IF(B274=C274,I274/C274,(INT(I274/B274)+(((I274-B274*INT(I274/B274)))/C274)/100))),0,(IF(B274=C274,I274/C274,(INT(I274/B274)+(((I274-B274*INT(I274/B274)))/C274)/100))))</f>
        <v>0</v>
      </c>
      <c r="AU274" s="57">
        <f>IF(ISERROR(IF(B274=C274,J274/C274,(INT(J274/B274)+(((J274-B274*INT(J274/B274)))/C274)/100))),0,(IF(B274=C274,J274/C274,(INT(J274/B274)+(((J274-B274*INT(J274/B274)))/C274)/100))))</f>
        <v>0</v>
      </c>
      <c r="AV274" s="57">
        <f>IF(ISERROR(IF(B274=C274,K274/C274,IF((INT(K274/B274)+(((K274-B274*INT(K274/B274)))/C274)/100)&lt;0,(INT(K274/B274)+(((K274-B274*INT(K274/B274)))/C274)/100)+(1-(B274/C274/100)),(INT(K274/B274)+(((K274-B274*INT(K274/B274)))/C274)/100)))),0,IF(B274=C274,K274/C274,IF((INT(K274/B274)+(((K274-B274*INT(K274/B274)))/C274)/100)&lt;0,(INT(K274/B274)+(((K274-B274*INT(K274/B274)))/C274)/100)+(1-(B274/C274/100)),(INT(K274/B274)+(((K274-B274*INT(K274/B274)))/C274)/100))))</f>
        <v>0</v>
      </c>
      <c r="AW274" s="57">
        <f>IF(ISERROR(IF(B274=C274,L274/C274,(INT(L274/B274)+(((L274-B274*INT(L274/B274)))/C274)/100))),0,(IF(B274=C274,L274/C274,(INT(L274/B274)+(((L274-B274*INT(L274/B274)))/C274)/100))))</f>
        <v>0</v>
      </c>
      <c r="AX274" s="57">
        <f>IF(ISERROR(IF(B274=C274,M274/C274,(INT(M274/B274)+(((M274-B274*INT(M274/B274)))/C274)/100))),0,(IF(B274=C274,M274/C274,(INT(M274/B274)+(((M274-B274*INT(M274/B274)))/C274)/100))))</f>
        <v>0</v>
      </c>
      <c r="AY274" s="57">
        <f>IF(ISERROR(IF(B274=C274,N274/C274,IF((INT(N274/B274)+(((N274-B274*INT(N274/B274)))/C274)/100)&lt;0,(INT(N274/B274)+(((N274-B274*INT(N274/B274)))/C274)/100)+(1-(B274/C274/100)),(INT(N274/B274)+(((N274-B274*INT(N274/B274)))/C274)/100)))),0,IF(B274=C274,N274/C274,IF((INT(N274/B274)+(((N274-B274*INT(N274/B274)))/C274)/100)&lt;0,(INT(N274/B274)+(((N274-B274*INT(N274/B274)))/C274)/100)+(1-(B274/C274/100)),(INT(N274/B274)+(((N274-B274*INT(N274/B274)))/C274)/100))))</f>
        <v>0</v>
      </c>
      <c r="AZ274" s="57">
        <f>IF(ISERROR(IF(B274=C274,O274/C274,(INT(O274/B274)+(((O274-B274*INT(O274/B274)))/C274)/100))),0,(IF(B274=C274,O274/C274,(INT(O274/B274)+(((O274-B274*INT(O274/B274)))/C274)/100))))</f>
        <v>0</v>
      </c>
      <c r="BA274" s="57">
        <f>IF(ISERROR(IF(B274=C274,P274/C274,IF((INT(P274/B274)+(((P274-B274*INT(P274/B274)))/C274)/100)&lt;0,(INT(P274/B274)+(((P274-B274*INT(P274/B274)))/C274)/100)+(1-(B274/C274/100)),(INT(P274/B274)+(((P274-B274*INT(P274/B274)))/C274)/100)))),0,IF(B274=C274,P274/C274,IF((INT(P274/B274)+(((P274-B274*INT(P274/B274)))/C274)/100)&lt;0,(INT(P274/B274)+(((P274-B274*INT(P274/B274)))/C274)/100)+(1-(B274/C274/100)),(INT(P274/B274)+(((P274-B274*INT(P274/B274)))/C274)/100))))</f>
        <v>0</v>
      </c>
      <c r="BB274" s="28">
        <f>R274</f>
        <v>0</v>
      </c>
      <c r="BC274" s="28">
        <f>S274</f>
        <v>0</v>
      </c>
      <c r="BD274" s="28">
        <f>AF274</f>
        <v>0</v>
      </c>
      <c r="BE274" s="28">
        <f>T274</f>
        <v>0</v>
      </c>
      <c r="BG274" s="57">
        <f>IF(ISERROR(IF(B274=C274,V274/C274,(INT(V274/B274)+(((V274-B274*INT(V274/B274)))/C274)/100))),0,(IF(B274=C274,V274/C274,(INT(V274/B274)+(((V274-B274*INT(V274/B274)))/C274)/100))))</f>
        <v>0</v>
      </c>
      <c r="BH274" s="57">
        <f>IF(ISERROR(IF(B274=C274,W274/C274,(INT(W274/B274)+(((W274-B274*INT(W274/B274)))/C274)/100))),0,(IF(B274=C274,W274/C274,(INT(W274/B274)+(((W274-B274*INT(W274/B274)))/C274)/100))))</f>
        <v>0</v>
      </c>
      <c r="BI274" s="57">
        <f>IF(ISERROR(IF(B274=C274,X274/C274,(INT(X274/B274)+(((X274-B274*INT(X274/B274)))/C274)/100))),0,(IF(B274=C274,X274/C274,(INT(X274/B274)+(((X274-B274*INT(X274/B274)))/C274)/100))))</f>
        <v>0</v>
      </c>
      <c r="BJ274" s="57">
        <f>IF(ISERROR(IF(B274=C274,Y274/C274,(INT(Y274/B274)+(((Y274-B274*INT(Y274/B274)))/C274)/100))),0,(IF(B274=C274,Y274/C274,(INT(Y274/B274)+(((Y274-B274*INT(Y274/B274)))/C274)/100))))</f>
        <v>0</v>
      </c>
      <c r="BL274" s="57">
        <f>IF(ISERROR(IF(B274=C274,AA274/C274,(INT(AA274/B274)+(((AA274-B274*INT(AA274/B274)))/C274)/100))),0,(IF(B274=C274,AA274/C274,(INT(AA274/B274)+(((AA274-B274*INT(AA274/B274)))/C274)/100))))</f>
        <v>0</v>
      </c>
      <c r="BM274" s="57">
        <f>IF(ISERROR(IF(B274=C274,AB274/C274,(INT(AB274/B274)+(((AB274-B274*INT(AB274/B274)))/C274)/100))),0,(IF(B274=C274,AB274/C274,(INT(AB274/B274)+(((AB274-B274*INT(AB274/B274)))/C274)/100))))</f>
        <v>0</v>
      </c>
      <c r="BN274" s="57">
        <f>IF(ISERROR(IF(B274=C274,AC274/C274,(INT(AC274/B274)+(((AC274-B274*INT(AC274/B274)))/C274)/100))),0,(IF(B274=C274,AC274/C274,(INT(AC274/B274)+(((AC274-B274*INT(AC274/B274)))/C274)/100))))</f>
        <v>0</v>
      </c>
      <c r="BO274" s="57">
        <f>IF(ISERROR(IF(B274=C274,AD274/C274,(INT(AD274/B274)+(((AD274-B274*INT(AD274/B274)))/C274)/100))),0,(IF(B274=C274,AD274/C274,(INT(AD274/B274)+(((AD274-B274*INT(AD274/B274)))/C274)/100))))</f>
        <v>0</v>
      </c>
      <c r="BQ274" s="155"/>
    </row>
    <row r="275" spans="1:69" hidden="1" x14ac:dyDescent="0.35">
      <c r="A275" s="94"/>
      <c r="B275" s="113">
        <v>0</v>
      </c>
      <c r="C275" s="113">
        <v>0</v>
      </c>
      <c r="D275" s="28">
        <f>SUM(AA275:AD275)</f>
        <v>0</v>
      </c>
      <c r="E275" s="113">
        <v>0</v>
      </c>
      <c r="F275" s="113">
        <v>0</v>
      </c>
      <c r="G275" s="28">
        <f>SUM(D275:F275)</f>
        <v>0</v>
      </c>
      <c r="H275" s="125">
        <v>0</v>
      </c>
      <c r="I275" s="113">
        <v>0</v>
      </c>
      <c r="J275" s="125">
        <v>0</v>
      </c>
      <c r="K275" s="113">
        <v>0</v>
      </c>
      <c r="L275" s="113">
        <v>0</v>
      </c>
      <c r="M275" s="113">
        <v>0</v>
      </c>
      <c r="N275" s="28">
        <f>G275-SUM(H275:M275)</f>
        <v>0</v>
      </c>
      <c r="O275" s="28">
        <f>SUM(V275:Y275)</f>
        <v>0</v>
      </c>
      <c r="P275" s="28">
        <f>O275-N275</f>
        <v>0</v>
      </c>
      <c r="Q275" s="61" t="str">
        <f>IF(ISERROR(P275/SUM(H275:L275)),"",P275/SUM(H275:L275))</f>
        <v/>
      </c>
      <c r="R275" s="113">
        <v>0</v>
      </c>
      <c r="S275" s="28">
        <f>IF(ISERROR(P275/C275*R275),0,(P275/C275*R275))</f>
        <v>0</v>
      </c>
      <c r="T275" s="60">
        <f>IF(ISERROR(P275/B275*AF275),0,(P275/B275*AF275))</f>
        <v>0</v>
      </c>
      <c r="V275" s="113">
        <v>0</v>
      </c>
      <c r="W275" s="113">
        <v>0</v>
      </c>
      <c r="X275" s="113">
        <v>0</v>
      </c>
      <c r="Y275" s="113">
        <v>0</v>
      </c>
      <c r="AA275" s="113">
        <v>0</v>
      </c>
      <c r="AB275" s="113">
        <v>0</v>
      </c>
      <c r="AC275" s="113">
        <v>0</v>
      </c>
      <c r="AD275" s="113">
        <v>0</v>
      </c>
      <c r="AF275" s="113">
        <v>0</v>
      </c>
      <c r="AG275" s="28">
        <f>G275-O275</f>
        <v>0</v>
      </c>
      <c r="AH275" s="58">
        <f>IF(ISERROR(AG275/B275*AF275),0,(AG275/B275*AF275))</f>
        <v>0</v>
      </c>
      <c r="AI275" s="28">
        <f>SUM(H275:M275)</f>
        <v>0</v>
      </c>
      <c r="AJ275" s="28">
        <f>IF(ISERROR(AI275/B275*AF275),0,(AI275/B275*AF275))</f>
        <v>0</v>
      </c>
      <c r="AK275" s="58">
        <f>IF(ISERROR(O275/B275*AF275),0,(O275/B275*AF275))</f>
        <v>0</v>
      </c>
      <c r="AL275" s="28">
        <f>IF(ISERROR(H275/B275*AF275),0,(H275/B275*AF275))</f>
        <v>0</v>
      </c>
      <c r="AN275" s="51">
        <f>A275</f>
        <v>0</v>
      </c>
      <c r="AO275" s="57">
        <f>IF(ISERROR(IF(B275=C275,D275/C275,(INT(D275/B275)+(((D275-B275*INT(D275/B275)))/C275)/100))),0,(IF(B275=C275,D275/C275,(INT(D275/B275)+(((D275-B275*INT(D275/B275)))/C275)/100))))</f>
        <v>0</v>
      </c>
      <c r="AP275" s="57">
        <f>IF(ISERROR(IF(B275=C275,E275/C275,(INT(E275/B275)+(((E275-B275*INT(E275/B275)))/C275)/100))),0,(IF(B275=C275,E275/C275,(INT(E275/B275)+(((E275-B275*INT(E275/B275)))/C275)/100))))</f>
        <v>0</v>
      </c>
      <c r="AQ275" s="57">
        <f>IF(ISERROR(IF(B275=C275,F275/C275,IF((INT(F275/B275)+(((F275-B275*INT(F275/B275)))/C275)/100)&lt;0,(INT(F275/B275)+(((F275-B275*INT(F275/B275)))/C275)/100)+(1-(B275/C275/100)),(INT(F275/B275)+(((F275-B275*INT(F275/B275)))/C275)/100)))),0,IF(B275=C275,F275/C275,IF((INT(F275/B275)+(((F275-B275*INT(F275/B275)))/C275)/100)&lt;0,(INT(F275/B275)+(((F275-B275*INT(F275/B275)))/C275)/100)+(1-(B275/C275/100)),(INT(F275/B275)+(((F275-B275*INT(F275/B275)))/C275)/100))))</f>
        <v>0</v>
      </c>
      <c r="AR275" s="57">
        <f>IF(ISERROR(IF(B275=C275,G275/C275,(INT(G275/B275)+(((G275-B275*INT(G275/B275)))/C275)/100))),0,(IF(B275=C275,G275/C275,(INT(G275/B275)+(((G275-B275*INT(G275/B275)))/C275)/100))))</f>
        <v>0</v>
      </c>
      <c r="AS275" s="57">
        <f>IF(ISERROR(IF(B275=C275,H275/C275,(INT(H275/B275)+(((H275-B275*INT(H275/B275)))/C275)/100))),0,(IF(B275=C275,H275/C275,(INT(H275/B275)+(((H275-B275*INT(H275/B275)))/C275)/100))))</f>
        <v>0</v>
      </c>
      <c r="AT275" s="57">
        <f>IF(ISERROR(IF(B275=C275,I275/C275,(INT(I275/B275)+(((I275-B275*INT(I275/B275)))/C275)/100))),0,(IF(B275=C275,I275/C275,(INT(I275/B275)+(((I275-B275*INT(I275/B275)))/C275)/100))))</f>
        <v>0</v>
      </c>
      <c r="AU275" s="57">
        <f>IF(ISERROR(IF(B275=C275,J275/C275,(INT(J275/B275)+(((J275-B275*INT(J275/B275)))/C275)/100))),0,(IF(B275=C275,J275/C275,(INT(J275/B275)+(((J275-B275*INT(J275/B275)))/C275)/100))))</f>
        <v>0</v>
      </c>
      <c r="AV275" s="57">
        <f>IF(ISERROR(IF(B275=C275,K275/C275,IF((INT(K275/B275)+(((K275-B275*INT(K275/B275)))/C275)/100)&lt;0,(INT(K275/B275)+(((K275-B275*INT(K275/B275)))/C275)/100)+(1-(B275/C275/100)),(INT(K275/B275)+(((K275-B275*INT(K275/B275)))/C275)/100)))),0,IF(B275=C275,K275/C275,IF((INT(K275/B275)+(((K275-B275*INT(K275/B275)))/C275)/100)&lt;0,(INT(K275/B275)+(((K275-B275*INT(K275/B275)))/C275)/100)+(1-(B275/C275/100)),(INT(K275/B275)+(((K275-B275*INT(K275/B275)))/C275)/100))))</f>
        <v>0</v>
      </c>
      <c r="AW275" s="57">
        <f>IF(ISERROR(IF(B275=C275,L275/C275,(INT(L275/B275)+(((L275-B275*INT(L275/B275)))/C275)/100))),0,(IF(B275=C275,L275/C275,(INT(L275/B275)+(((L275-B275*INT(L275/B275)))/C275)/100))))</f>
        <v>0</v>
      </c>
      <c r="AX275" s="57">
        <f>IF(ISERROR(IF(B275=C275,M275/C275,(INT(M275/B275)+(((M275-B275*INT(M275/B275)))/C275)/100))),0,(IF(B275=C275,M275/C275,(INT(M275/B275)+(((M275-B275*INT(M275/B275)))/C275)/100))))</f>
        <v>0</v>
      </c>
      <c r="AY275" s="57">
        <f>IF(ISERROR(IF(B275=C275,N275/C275,IF((INT(N275/B275)+(((N275-B275*INT(N275/B275)))/C275)/100)&lt;0,(INT(N275/B275)+(((N275-B275*INT(N275/B275)))/C275)/100)+(1-(B275/C275/100)),(INT(N275/B275)+(((N275-B275*INT(N275/B275)))/C275)/100)))),0,IF(B275=C275,N275/C275,IF((INT(N275/B275)+(((N275-B275*INT(N275/B275)))/C275)/100)&lt;0,(INT(N275/B275)+(((N275-B275*INT(N275/B275)))/C275)/100)+(1-(B275/C275/100)),(INT(N275/B275)+(((N275-B275*INT(N275/B275)))/C275)/100))))</f>
        <v>0</v>
      </c>
      <c r="AZ275" s="57">
        <f>IF(ISERROR(IF(B275=C275,O275/C275,(INT(O275/B275)+(((O275-B275*INT(O275/B275)))/C275)/100))),0,(IF(B275=C275,O275/C275,(INT(O275/B275)+(((O275-B275*INT(O275/B275)))/C275)/100))))</f>
        <v>0</v>
      </c>
      <c r="BA275" s="57">
        <f>IF(ISERROR(IF(B275=C275,P275/C275,IF((INT(P275/B275)+(((P275-B275*INT(P275/B275)))/C275)/100)&lt;0,(INT(P275/B275)+(((P275-B275*INT(P275/B275)))/C275)/100)+(1-(B275/C275/100)),(INT(P275/B275)+(((P275-B275*INT(P275/B275)))/C275)/100)))),0,IF(B275=C275,P275/C275,IF((INT(P275/B275)+(((P275-B275*INT(P275/B275)))/C275)/100)&lt;0,(INT(P275/B275)+(((P275-B275*INT(P275/B275)))/C275)/100)+(1-(B275/C275/100)),(INT(P275/B275)+(((P275-B275*INT(P275/B275)))/C275)/100))))</f>
        <v>0</v>
      </c>
      <c r="BB275" s="28">
        <f>R275</f>
        <v>0</v>
      </c>
      <c r="BC275" s="28">
        <f>S275</f>
        <v>0</v>
      </c>
      <c r="BD275" s="28">
        <f>AF275</f>
        <v>0</v>
      </c>
      <c r="BE275" s="28">
        <f>T275</f>
        <v>0</v>
      </c>
      <c r="BG275" s="57">
        <f>IF(ISERROR(IF(B275=C275,V275/C275,(INT(V275/B275)+(((V275-B275*INT(V275/B275)))/C275)/100))),0,(IF(B275=C275,V275/C275,(INT(V275/B275)+(((V275-B275*INT(V275/B275)))/C275)/100))))</f>
        <v>0</v>
      </c>
      <c r="BH275" s="57">
        <f>IF(ISERROR(IF(B275=C275,W275/C275,(INT(W275/B275)+(((W275-B275*INT(W275/B275)))/C275)/100))),0,(IF(B275=C275,W275/C275,(INT(W275/B275)+(((W275-B275*INT(W275/B275)))/C275)/100))))</f>
        <v>0</v>
      </c>
      <c r="BI275" s="57">
        <f>IF(ISERROR(IF(B275=C275,X275/C275,(INT(X275/B275)+(((X275-B275*INT(X275/B275)))/C275)/100))),0,(IF(B275=C275,X275/C275,(INT(X275/B275)+(((X275-B275*INT(X275/B275)))/C275)/100))))</f>
        <v>0</v>
      </c>
      <c r="BJ275" s="57">
        <f>IF(ISERROR(IF(B275=C275,Y275/C275,(INT(Y275/B275)+(((Y275-B275*INT(Y275/B275)))/C275)/100))),0,(IF(B275=C275,Y275/C275,(INT(Y275/B275)+(((Y275-B275*INT(Y275/B275)))/C275)/100))))</f>
        <v>0</v>
      </c>
      <c r="BL275" s="57">
        <f>IF(ISERROR(IF(B275=C275,AA275/C275,(INT(AA275/B275)+(((AA275-B275*INT(AA275/B275)))/C275)/100))),0,(IF(B275=C275,AA275/C275,(INT(AA275/B275)+(((AA275-B275*INT(AA275/B275)))/C275)/100))))</f>
        <v>0</v>
      </c>
      <c r="BM275" s="57">
        <f>IF(ISERROR(IF(B275=C275,AB275/C275,(INT(AB275/B275)+(((AB275-B275*INT(AB275/B275)))/C275)/100))),0,(IF(B275=C275,AB275/C275,(INT(AB275/B275)+(((AB275-B275*INT(AB275/B275)))/C275)/100))))</f>
        <v>0</v>
      </c>
      <c r="BN275" s="57">
        <f>IF(ISERROR(IF(B275=C275,AC275/C275,(INT(AC275/B275)+(((AC275-B275*INT(AC275/B275)))/C275)/100))),0,(IF(B275=C275,AC275/C275,(INT(AC275/B275)+(((AC275-B275*INT(AC275/B275)))/C275)/100))))</f>
        <v>0</v>
      </c>
      <c r="BO275" s="57">
        <f>IF(ISERROR(IF(B275=C275,AD275/C275,(INT(AD275/B275)+(((AD275-B275*INT(AD275/B275)))/C275)/100))),0,(IF(B275=C275,AD275/C275,(INT(AD275/B275)+(((AD275-B275*INT(AD275/B275)))/C275)/100))))</f>
        <v>0</v>
      </c>
      <c r="BQ275" s="155"/>
    </row>
    <row r="276" spans="1:69" hidden="1" x14ac:dyDescent="0.35">
      <c r="A276" s="94"/>
      <c r="B276" s="113">
        <v>750</v>
      </c>
      <c r="C276" s="113">
        <v>30</v>
      </c>
      <c r="D276" s="28">
        <f>SUM(AA276:AD276)</f>
        <v>0</v>
      </c>
      <c r="E276" s="113">
        <v>0</v>
      </c>
      <c r="F276" s="113">
        <v>0</v>
      </c>
      <c r="G276" s="28">
        <f>SUM(D276:F276)</f>
        <v>0</v>
      </c>
      <c r="H276" s="125">
        <v>0</v>
      </c>
      <c r="I276" s="113">
        <v>0</v>
      </c>
      <c r="J276" s="125">
        <v>0</v>
      </c>
      <c r="K276" s="113">
        <v>0</v>
      </c>
      <c r="L276" s="113">
        <v>0</v>
      </c>
      <c r="M276" s="113">
        <v>0</v>
      </c>
      <c r="N276" s="28">
        <f>G276-SUM(H276:M276)</f>
        <v>0</v>
      </c>
      <c r="O276" s="28">
        <f>SUM(V276:Y276)</f>
        <v>0</v>
      </c>
      <c r="P276" s="28">
        <f>O276-N276</f>
        <v>0</v>
      </c>
      <c r="Q276" s="61" t="str">
        <f>IF(ISERROR(P276/SUM(H276:L276)),"",P276/SUM(H276:L276))</f>
        <v/>
      </c>
      <c r="R276" s="113">
        <v>0</v>
      </c>
      <c r="S276" s="28">
        <f>IF(ISERROR(P276/C276*R276),0,(P276/C276*R276))</f>
        <v>0</v>
      </c>
      <c r="T276" s="60">
        <f>IF(ISERROR(P276/B276*AF276),0,(P276/B276*AF276))</f>
        <v>0</v>
      </c>
      <c r="V276" s="113">
        <v>0</v>
      </c>
      <c r="W276" s="113">
        <v>0</v>
      </c>
      <c r="X276" s="113">
        <v>0</v>
      </c>
      <c r="Y276" s="113">
        <v>0</v>
      </c>
      <c r="AA276" s="113">
        <v>0</v>
      </c>
      <c r="AB276" s="113">
        <v>0</v>
      </c>
      <c r="AC276" s="113">
        <v>0</v>
      </c>
      <c r="AD276" s="113">
        <v>0</v>
      </c>
      <c r="AF276" s="113">
        <v>0</v>
      </c>
      <c r="AG276" s="28">
        <f>G276-O276</f>
        <v>0</v>
      </c>
      <c r="AH276" s="58">
        <f>IF(ISERROR(AG276/B276*AF276),0,(AG276/B276*AF276))</f>
        <v>0</v>
      </c>
      <c r="AI276" s="28">
        <f>SUM(H276:M276)</f>
        <v>0</v>
      </c>
      <c r="AJ276" s="28">
        <f>IF(ISERROR(AI276/B276*AF276),0,(AI276/B276*AF276))</f>
        <v>0</v>
      </c>
      <c r="AK276" s="58">
        <f>IF(ISERROR(O276/B276*AF276),0,(O276/B276*AF276))</f>
        <v>0</v>
      </c>
      <c r="AL276" s="28">
        <f>IF(ISERROR(H276/B276*AF276),0,(H276/B276*AF276))</f>
        <v>0</v>
      </c>
      <c r="AN276" s="51">
        <f>A276</f>
        <v>0</v>
      </c>
      <c r="AO276" s="57">
        <f>IF(ISERROR(IF(B276=C276,D276/C276,(INT(D276/B276)+(((D276-B276*INT(D276/B276)))/C276)/100))),0,(IF(B276=C276,D276/C276,(INT(D276/B276)+(((D276-B276*INT(D276/B276)))/C276)/100))))</f>
        <v>0</v>
      </c>
      <c r="AP276" s="57">
        <f>IF(ISERROR(IF(B276=C276,E276/C276,(INT(E276/B276)+(((E276-B276*INT(E276/B276)))/C276)/100))),0,(IF(B276=C276,E276/C276,(INT(E276/B276)+(((E276-B276*INT(E276/B276)))/C276)/100))))</f>
        <v>0</v>
      </c>
      <c r="AQ276" s="57">
        <f>IF(ISERROR(IF(B276=C276,F276/C276,IF((INT(F276/B276)+(((F276-B276*INT(F276/B276)))/C276)/100)&lt;0,(INT(F276/B276)+(((F276-B276*INT(F276/B276)))/C276)/100)+(1-(B276/C276/100)),(INT(F276/B276)+(((F276-B276*INT(F276/B276)))/C276)/100)))),0,IF(B276=C276,F276/C276,IF((INT(F276/B276)+(((F276-B276*INT(F276/B276)))/C276)/100)&lt;0,(INT(F276/B276)+(((F276-B276*INT(F276/B276)))/C276)/100)+(1-(B276/C276/100)),(INT(F276/B276)+(((F276-B276*INT(F276/B276)))/C276)/100))))</f>
        <v>0</v>
      </c>
      <c r="AR276" s="57">
        <f>IF(ISERROR(IF(B276=C276,G276/C276,(INT(G276/B276)+(((G276-B276*INT(G276/B276)))/C276)/100))),0,(IF(B276=C276,G276/C276,(INT(G276/B276)+(((G276-B276*INT(G276/B276)))/C276)/100))))</f>
        <v>0</v>
      </c>
      <c r="AS276" s="57">
        <f>IF(ISERROR(IF(B276=C276,H276/C276,(INT(H276/B276)+(((H276-B276*INT(H276/B276)))/C276)/100))),0,(IF(B276=C276,H276/C276,(INT(H276/B276)+(((H276-B276*INT(H276/B276)))/C276)/100))))</f>
        <v>0</v>
      </c>
      <c r="AT276" s="57">
        <f>IF(ISERROR(IF(B276=C276,I276/C276,(INT(I276/B276)+(((I276-B276*INT(I276/B276)))/C276)/100))),0,(IF(B276=C276,I276/C276,(INT(I276/B276)+(((I276-B276*INT(I276/B276)))/C276)/100))))</f>
        <v>0</v>
      </c>
      <c r="AU276" s="57">
        <f>IF(ISERROR(IF(B276=C276,J276/C276,(INT(J276/B276)+(((J276-B276*INT(J276/B276)))/C276)/100))),0,(IF(B276=C276,J276/C276,(INT(J276/B276)+(((J276-B276*INT(J276/B276)))/C276)/100))))</f>
        <v>0</v>
      </c>
      <c r="AV276" s="57">
        <f>IF(ISERROR(IF(B276=C276,K276/C276,IF((INT(K276/B276)+(((K276-B276*INT(K276/B276)))/C276)/100)&lt;0,(INT(K276/B276)+(((K276-B276*INT(K276/B276)))/C276)/100)+(1-(B276/C276/100)),(INT(K276/B276)+(((K276-B276*INT(K276/B276)))/C276)/100)))),0,IF(B276=C276,K276/C276,IF((INT(K276/B276)+(((K276-B276*INT(K276/B276)))/C276)/100)&lt;0,(INT(K276/B276)+(((K276-B276*INT(K276/B276)))/C276)/100)+(1-(B276/C276/100)),(INT(K276/B276)+(((K276-B276*INT(K276/B276)))/C276)/100))))</f>
        <v>0</v>
      </c>
      <c r="AW276" s="57">
        <f>IF(ISERROR(IF(B276=C276,L276/C276,(INT(L276/B276)+(((L276-B276*INT(L276/B276)))/C276)/100))),0,(IF(B276=C276,L276/C276,(INT(L276/B276)+(((L276-B276*INT(L276/B276)))/C276)/100))))</f>
        <v>0</v>
      </c>
      <c r="AX276" s="57">
        <f>IF(ISERROR(IF(B276=C276,M276/C276,(INT(M276/B276)+(((M276-B276*INT(M276/B276)))/C276)/100))),0,(IF(B276=C276,M276/C276,(INT(M276/B276)+(((M276-B276*INT(M276/B276)))/C276)/100))))</f>
        <v>0</v>
      </c>
      <c r="AY276" s="57">
        <f>IF(ISERROR(IF(B276=C276,N276/C276,IF((INT(N276/B276)+(((N276-B276*INT(N276/B276)))/C276)/100)&lt;0,(INT(N276/B276)+(((N276-B276*INT(N276/B276)))/C276)/100)+(1-(B276/C276/100)),(INT(N276/B276)+(((N276-B276*INT(N276/B276)))/C276)/100)))),0,IF(B276=C276,N276/C276,IF((INT(N276/B276)+(((N276-B276*INT(N276/B276)))/C276)/100)&lt;0,(INT(N276/B276)+(((N276-B276*INT(N276/B276)))/C276)/100)+(1-(B276/C276/100)),(INT(N276/B276)+(((N276-B276*INT(N276/B276)))/C276)/100))))</f>
        <v>0</v>
      </c>
      <c r="AZ276" s="57">
        <f>IF(ISERROR(IF(B276=C276,O276/C276,(INT(O276/B276)+(((O276-B276*INT(O276/B276)))/C276)/100))),0,(IF(B276=C276,O276/C276,(INT(O276/B276)+(((O276-B276*INT(O276/B276)))/C276)/100))))</f>
        <v>0</v>
      </c>
      <c r="BA276" s="57">
        <f>IF(ISERROR(IF(B276=C276,P276/C276,IF((INT(P276/B276)+(((P276-B276*INT(P276/B276)))/C276)/100)&lt;0,(INT(P276/B276)+(((P276-B276*INT(P276/B276)))/C276)/100)+(1-(B276/C276/100)),(INT(P276/B276)+(((P276-B276*INT(P276/B276)))/C276)/100)))),0,IF(B276=C276,P276/C276,IF((INT(P276/B276)+(((P276-B276*INT(P276/B276)))/C276)/100)&lt;0,(INT(P276/B276)+(((P276-B276*INT(P276/B276)))/C276)/100)+(1-(B276/C276/100)),(INT(P276/B276)+(((P276-B276*INT(P276/B276)))/C276)/100))))</f>
        <v>0</v>
      </c>
      <c r="BB276" s="28">
        <f>R276</f>
        <v>0</v>
      </c>
      <c r="BC276" s="28">
        <f>S276</f>
        <v>0</v>
      </c>
      <c r="BD276" s="28">
        <f>AF276</f>
        <v>0</v>
      </c>
      <c r="BE276" s="28">
        <f>T276</f>
        <v>0</v>
      </c>
      <c r="BG276" s="57">
        <f>IF(ISERROR(IF(B276=C276,V276/C276,(INT(V276/B276)+(((V276-B276*INT(V276/B276)))/C276)/100))),0,(IF(B276=C276,V276/C276,(INT(V276/B276)+(((V276-B276*INT(V276/B276)))/C276)/100))))</f>
        <v>0</v>
      </c>
      <c r="BH276" s="57">
        <f>IF(ISERROR(IF(B276=C276,W276/C276,(INT(W276/B276)+(((W276-B276*INT(W276/B276)))/C276)/100))),0,(IF(B276=C276,W276/C276,(INT(W276/B276)+(((W276-B276*INT(W276/B276)))/C276)/100))))</f>
        <v>0</v>
      </c>
      <c r="BI276" s="57">
        <f>IF(ISERROR(IF(B276=C276,X276/C276,(INT(X276/B276)+(((X276-B276*INT(X276/B276)))/C276)/100))),0,(IF(B276=C276,X276/C276,(INT(X276/B276)+(((X276-B276*INT(X276/B276)))/C276)/100))))</f>
        <v>0</v>
      </c>
      <c r="BJ276" s="57">
        <f>IF(ISERROR(IF(B276=C276,Y276/C276,(INT(Y276/B276)+(((Y276-B276*INT(Y276/B276)))/C276)/100))),0,(IF(B276=C276,Y276/C276,(INT(Y276/B276)+(((Y276-B276*INT(Y276/B276)))/C276)/100))))</f>
        <v>0</v>
      </c>
      <c r="BL276" s="57">
        <f>IF(ISERROR(IF(B276=C276,AA276/C276,(INT(AA276/B276)+(((AA276-B276*INT(AA276/B276)))/C276)/100))),0,(IF(B276=C276,AA276/C276,(INT(AA276/B276)+(((AA276-B276*INT(AA276/B276)))/C276)/100))))</f>
        <v>0</v>
      </c>
      <c r="BM276" s="57">
        <f>IF(ISERROR(IF(B276=C276,AB276/C276,(INT(AB276/B276)+(((AB276-B276*INT(AB276/B276)))/C276)/100))),0,(IF(B276=C276,AB276/C276,(INT(AB276/B276)+(((AB276-B276*INT(AB276/B276)))/C276)/100))))</f>
        <v>0</v>
      </c>
      <c r="BN276" s="57">
        <f>IF(ISERROR(IF(B276=C276,AC276/C276,(INT(AC276/B276)+(((AC276-B276*INT(AC276/B276)))/C276)/100))),0,(IF(B276=C276,AC276/C276,(INT(AC276/B276)+(((AC276-B276*INT(AC276/B276)))/C276)/100))))</f>
        <v>0</v>
      </c>
      <c r="BO276" s="57">
        <f>IF(ISERROR(IF(B276=C276,AD276/C276,(INT(AD276/B276)+(((AD276-B276*INT(AD276/B276)))/C276)/100))),0,(IF(B276=C276,AD276/C276,(INT(AD276/B276)+(((AD276-B276*INT(AD276/B276)))/C276)/100))))</f>
        <v>0</v>
      </c>
      <c r="BQ276" s="155"/>
    </row>
    <row r="277" spans="1:69" x14ac:dyDescent="0.35">
      <c r="A277" s="94"/>
      <c r="B277" s="113"/>
      <c r="C277" s="113"/>
      <c r="D277" s="28"/>
      <c r="E277" s="113"/>
      <c r="F277" s="113"/>
      <c r="G277" s="28"/>
      <c r="H277" s="125"/>
      <c r="I277" s="113"/>
      <c r="J277" s="125"/>
      <c r="K277" s="113"/>
      <c r="L277" s="113"/>
      <c r="M277" s="113"/>
      <c r="N277" s="28"/>
      <c r="O277" s="28"/>
      <c r="P277" s="28"/>
      <c r="Q277" s="61"/>
      <c r="R277" s="113"/>
      <c r="S277" s="28"/>
      <c r="T277" s="28"/>
      <c r="V277" s="113"/>
      <c r="W277" s="113"/>
      <c r="X277" s="113"/>
      <c r="Y277" s="113"/>
      <c r="AA277" s="113"/>
      <c r="AB277" s="113"/>
      <c r="AC277" s="113"/>
      <c r="AD277" s="113"/>
      <c r="AF277" s="113"/>
      <c r="AG277" s="28"/>
      <c r="AH277" s="58"/>
      <c r="AI277" s="28"/>
      <c r="AJ277" s="28"/>
      <c r="AK277" s="58"/>
      <c r="AL277" s="28"/>
      <c r="AN277" s="51"/>
      <c r="AO277" s="28"/>
      <c r="AP277" s="28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G277" s="28"/>
      <c r="BH277" s="28"/>
      <c r="BI277" s="28"/>
      <c r="BJ277" s="28"/>
      <c r="BL277" s="28"/>
      <c r="BM277" s="28"/>
      <c r="BN277" s="28"/>
      <c r="BO277" s="28"/>
      <c r="BQ277" s="113"/>
    </row>
    <row r="278" spans="1:69" x14ac:dyDescent="0.35">
      <c r="A278" s="135" t="s">
        <v>269</v>
      </c>
      <c r="B278" s="113"/>
      <c r="C278" s="113"/>
      <c r="D278" s="28"/>
      <c r="E278" s="113"/>
      <c r="F278" s="113"/>
      <c r="G278" s="28"/>
      <c r="H278" s="125"/>
      <c r="I278" s="113"/>
      <c r="J278" s="125"/>
      <c r="K278" s="113"/>
      <c r="L278" s="113"/>
      <c r="M278" s="113"/>
      <c r="N278" s="28"/>
      <c r="O278" s="125"/>
      <c r="P278" s="28"/>
      <c r="Q278" s="61"/>
      <c r="R278" s="113"/>
      <c r="S278" s="28"/>
      <c r="T278" s="28"/>
      <c r="V278" s="113"/>
      <c r="W278" s="113"/>
      <c r="X278" s="113"/>
      <c r="Y278" s="113"/>
      <c r="AA278" s="113"/>
      <c r="AB278" s="113"/>
      <c r="AC278" s="113"/>
      <c r="AD278" s="113"/>
      <c r="AF278" s="113"/>
      <c r="AG278" s="28"/>
      <c r="AH278" s="58"/>
      <c r="AI278" s="28"/>
      <c r="AJ278" s="28"/>
      <c r="AK278" s="58"/>
      <c r="AL278" s="28"/>
      <c r="AN278" s="65" t="str">
        <f>A278</f>
        <v>Imported Spirits - 700 ml</v>
      </c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G278" s="28"/>
      <c r="BH278" s="28"/>
      <c r="BI278" s="28"/>
      <c r="BJ278" s="28"/>
      <c r="BL278" s="28"/>
      <c r="BM278" s="28"/>
      <c r="BN278" s="28"/>
      <c r="BO278" s="28"/>
      <c r="BQ278" s="113"/>
    </row>
    <row r="279" spans="1:69" x14ac:dyDescent="0.35">
      <c r="A279" s="160" t="s">
        <v>268</v>
      </c>
      <c r="B279" s="113">
        <v>700</v>
      </c>
      <c r="C279" s="113">
        <v>30</v>
      </c>
      <c r="D279" s="28">
        <f>SUM(AA279:AD279)</f>
        <v>1150</v>
      </c>
      <c r="E279" s="113">
        <v>0</v>
      </c>
      <c r="F279" s="113">
        <v>0</v>
      </c>
      <c r="G279" s="28">
        <f>SUM(D279:F279)</f>
        <v>1150</v>
      </c>
      <c r="H279" s="164">
        <v>0</v>
      </c>
      <c r="I279" s="113">
        <v>0</v>
      </c>
      <c r="J279" s="125">
        <v>0</v>
      </c>
      <c r="K279" s="113">
        <v>0</v>
      </c>
      <c r="L279" s="113">
        <v>0</v>
      </c>
      <c r="M279" s="113">
        <v>0</v>
      </c>
      <c r="N279" s="28">
        <f>G279-SUM(H279:M279)</f>
        <v>1150</v>
      </c>
      <c r="O279" s="28">
        <f>SUM(V279:Y279)</f>
        <v>1150</v>
      </c>
      <c r="P279" s="28">
        <f>O279-N279</f>
        <v>0</v>
      </c>
      <c r="Q279" s="61" t="str">
        <f>IF(ISERROR(P279/SUM(H279:L279)),"",P279/SUM(H279:L279))</f>
        <v/>
      </c>
      <c r="R279" s="113">
        <v>375</v>
      </c>
      <c r="S279" s="28">
        <f>IF(ISERROR(P279/C279*R279),0,(P279/C279*R279))</f>
        <v>0</v>
      </c>
      <c r="T279" s="60">
        <f>IF(ISERROR(P279/B279*AF279),0,(P279/B279*AF279))</f>
        <v>0</v>
      </c>
      <c r="V279" s="113">
        <f>1*700+15*30</f>
        <v>1150</v>
      </c>
      <c r="W279" s="113">
        <v>0</v>
      </c>
      <c r="X279" s="113">
        <v>0</v>
      </c>
      <c r="Y279" s="113">
        <v>0</v>
      </c>
      <c r="AA279" s="113">
        <f>1*700+15*30</f>
        <v>1150</v>
      </c>
      <c r="AB279" s="113">
        <v>0</v>
      </c>
      <c r="AC279" s="113">
        <v>0</v>
      </c>
      <c r="AD279" s="113">
        <v>0</v>
      </c>
      <c r="AF279" s="155">
        <v>7157.3102083333324</v>
      </c>
      <c r="AG279" s="28">
        <f>G279-O279</f>
        <v>0</v>
      </c>
      <c r="AH279" s="58">
        <f>IF(ISERROR(AG279/B279*AF279),0,(AG279/B279*AF279))</f>
        <v>0</v>
      </c>
      <c r="AI279" s="28">
        <f>SUM(H279:M279)</f>
        <v>0</v>
      </c>
      <c r="AJ279" s="28">
        <f>IF(ISERROR(AI279/B279*AF279),0,(AI279/B279*AF279))</f>
        <v>0</v>
      </c>
      <c r="AK279" s="58">
        <f>IF(ISERROR(O279/B279*AF279),0,(O279/B279*AF279))</f>
        <v>11758.43819940476</v>
      </c>
      <c r="AL279" s="28">
        <f>IF(ISERROR(H279/B279*AF279),0,(H279/B279*AF279))</f>
        <v>0</v>
      </c>
      <c r="AN279" s="51" t="str">
        <f>A279</f>
        <v xml:space="preserve">Belvender Vodka </v>
      </c>
      <c r="AO279" s="57">
        <f>IF(ISERROR(IF(B279=C279,D279/C279,(INT(D279/B279)+(((D279-B279*INT(D279/B279)))/C279)/100))),0,(IF(B279=C279,D279/C279,(INT(D279/B279)+(((D279-B279*INT(D279/B279)))/C279)/100))))</f>
        <v>1.1499999999999999</v>
      </c>
      <c r="AP279" s="57">
        <f>IF(ISERROR(IF(B279=C279,E279/C279,(INT(E279/B279)+(((E279-B279*INT(E279/B279)))/C279)/100))),0,(IF(B279=C279,E279/C279,(INT(E279/B279)+(((E279-B279*INT(E279/B279)))/C279)/100))))</f>
        <v>0</v>
      </c>
      <c r="AQ279" s="57">
        <f>IF(ISERROR(IF(B279=C279,F279/C279,IF((INT(F279/B279)+(((F279-B279*INT(F279/B279)))/C279)/100)&lt;0,(INT(F279/B279)+(((F279-B279*INT(F279/B279)))/C279)/100)+(1-(B279/C279/100)),(INT(F279/B279)+(((F279-B279*INT(F279/B279)))/C279)/100)))),0,IF(B279=C279,F279/C279,IF((INT(F279/B279)+(((F279-B279*INT(F279/B279)))/C279)/100)&lt;0,(INT(F279/B279)+(((F279-B279*INT(F279/B279)))/C279)/100)+(1-(B279/C279/100)),(INT(F279/B279)+(((F279-B279*INT(F279/B279)))/C279)/100))))</f>
        <v>0</v>
      </c>
      <c r="AR279" s="57">
        <f>IF(ISERROR(IF(B279=C279,G279/C279,(INT(G279/B279)+(((G279-B279*INT(G279/B279)))/C279)/100))),0,(IF(B279=C279,G279/C279,(INT(G279/B279)+(((G279-B279*INT(G279/B279)))/C279)/100))))</f>
        <v>1.1499999999999999</v>
      </c>
      <c r="AS279" s="57">
        <f>IF(ISERROR(IF(B279=C279,H279/C279,(INT(H279/B279)+(((H279-B279*INT(H279/B279)))/C279)/100))),0,(IF(B279=C279,H279/C279,(INT(H279/B279)+(((H279-B279*INT(H279/B279)))/C279)/100))))</f>
        <v>0</v>
      </c>
      <c r="AT279" s="57">
        <f>IF(ISERROR(IF(B279=C279,I279/C279,(INT(I279/B279)+(((I279-B279*INT(I279/B279)))/C279)/100))),0,(IF(B279=C279,I279/C279,(INT(I279/B279)+(((I279-B279*INT(I279/B279)))/C279)/100))))</f>
        <v>0</v>
      </c>
      <c r="AU279" s="57">
        <f>IF(ISERROR(IF(B279=C279,J279/C279,(INT(J279/B279)+(((J279-B279*INT(J279/B279)))/C279)/100))),0,(IF(B279=C279,J279/C279,(INT(J279/B279)+(((J279-B279*INT(J279/B279)))/C279)/100))))</f>
        <v>0</v>
      </c>
      <c r="AV279" s="57">
        <f>IF(ISERROR(IF(B279=C279,K279/C279,IF((INT(K279/B279)+(((K279-B279*INT(K279/B279)))/C279)/100)&lt;0,(INT(K279/B279)+(((K279-B279*INT(K279/B279)))/C279)/100)+(1-(B279/C279/100)),(INT(K279/B279)+(((K279-B279*INT(K279/B279)))/C279)/100)))),0,IF(B279=C279,K279/C279,IF((INT(K279/B279)+(((K279-B279*INT(K279/B279)))/C279)/100)&lt;0,(INT(K279/B279)+(((K279-B279*INT(K279/B279)))/C279)/100)+(1-(B279/C279/100)),(INT(K279/B279)+(((K279-B279*INT(K279/B279)))/C279)/100))))</f>
        <v>0</v>
      </c>
      <c r="AW279" s="57">
        <f>IF(ISERROR(IF(B279=C279,L279/C279,(INT(L279/B279)+(((L279-B279*INT(L279/B279)))/C279)/100))),0,(IF(B279=C279,L279/C279,(INT(L279/B279)+(((L279-B279*INT(L279/B279)))/C279)/100))))</f>
        <v>0</v>
      </c>
      <c r="AX279" s="57">
        <f>IF(ISERROR(IF(B279=C279,M279/C279,(INT(M279/B279)+(((M279-B279*INT(M279/B279)))/C279)/100))),0,(IF(B279=C279,M279/C279,(INT(M279/B279)+(((M279-B279*INT(M279/B279)))/C279)/100))))</f>
        <v>0</v>
      </c>
      <c r="AY279" s="57">
        <f>IF(ISERROR(IF(B279=C279,N279/C279,IF((INT(N279/B279)+(((N279-B279*INT(N279/B279)))/C279)/100)&lt;0,(INT(N279/B279)+(((N279-B279*INT(N279/B279)))/C279)/100)+(1-(B279/C279/100)),(INT(N279/B279)+(((N279-B279*INT(N279/B279)))/C279)/100)))),0,IF(B279=C279,N279/C279,IF((INT(N279/B279)+(((N279-B279*INT(N279/B279)))/C279)/100)&lt;0,(INT(N279/B279)+(((N279-B279*INT(N279/B279)))/C279)/100)+(1-(B279/C279/100)),(INT(N279/B279)+(((N279-B279*INT(N279/B279)))/C279)/100))))</f>
        <v>1.1499999999999999</v>
      </c>
      <c r="AZ279" s="57">
        <f>IF(ISERROR(IF(B279=C279,O279/C279,(INT(O279/B279)+(((O279-B279*INT(O279/B279)))/C279)/100))),0,(IF(B279=C279,O279/C279,(INT(O279/B279)+(((O279-B279*INT(O279/B279)))/C279)/100))))</f>
        <v>1.1499999999999999</v>
      </c>
      <c r="BA279" s="57">
        <f>IF(ISERROR(IF(B279=C279,P279/C279,IF((INT(P279/B279)+(((P279-B279*INT(P279/B279)))/C279)/100)&lt;0,(INT(P279/B279)+(((P279-B279*INT(P279/B279)))/C279)/100)+(1-(B279/C279/100)),(INT(P279/B279)+(((P279-B279*INT(P279/B279)))/C279)/100)))),0,IF(B279=C279,P279/C279,IF((INT(P279/B279)+(((P279-B279*INT(P279/B279)))/C279)/100)&lt;0,(INT(P279/B279)+(((P279-B279*INT(P279/B279)))/C279)/100)+(1-(B279/C279/100)),(INT(P279/B279)+(((P279-B279*INT(P279/B279)))/C279)/100))))</f>
        <v>0</v>
      </c>
      <c r="BB279" s="28">
        <f>R279</f>
        <v>375</v>
      </c>
      <c r="BC279" s="28">
        <f>S279</f>
        <v>0</v>
      </c>
      <c r="BD279" s="28">
        <f>AF279</f>
        <v>7157.3102083333324</v>
      </c>
      <c r="BE279" s="28">
        <f>T279</f>
        <v>0</v>
      </c>
      <c r="BG279" s="57">
        <f>IF(ISERROR(IF(B279=C279,V279/C279,(INT(V279/B279)+(((V279-B279*INT(V279/B279)))/C279)/100))),0,(IF(B279=C279,V279/C279,(INT(V279/B279)+(((V279-B279*INT(V279/B279)))/C279)/100))))</f>
        <v>1.1499999999999999</v>
      </c>
      <c r="BH279" s="57">
        <f>IF(ISERROR(IF(B279=C279,W279/C279,(INT(W279/B279)+(((W279-B279*INT(W279/B279)))/C279)/100))),0,(IF(B279=C279,W279/C279,(INT(W279/B279)+(((W279-B279*INT(W279/B279)))/C279)/100))))</f>
        <v>0</v>
      </c>
      <c r="BI279" s="57">
        <f>IF(ISERROR(IF(B279=C279,X279/C279,(INT(X279/B279)+(((X279-B279*INT(X279/B279)))/C279)/100))),0,(IF(B279=C279,X279/C279,(INT(X279/B279)+(((X279-B279*INT(X279/B279)))/C279)/100))))</f>
        <v>0</v>
      </c>
      <c r="BJ279" s="57">
        <f>IF(ISERROR(IF(B279=C279,Y279/C279,(INT(Y279/B279)+(((Y279-B279*INT(Y279/B279)))/C279)/100))),0,(IF(B279=C279,Y279/C279,(INT(Y279/B279)+(((Y279-B279*INT(Y279/B279)))/C279)/100))))</f>
        <v>0</v>
      </c>
      <c r="BL279" s="57">
        <f>IF(ISERROR(IF(B279=C279,AA279/C279,(INT(AA279/B279)+(((AA279-B279*INT(AA279/B279)))/C279)/100))),0,(IF(B279=C279,AA279/C279,(INT(AA279/B279)+(((AA279-B279*INT(AA279/B279)))/C279)/100))))</f>
        <v>1.1499999999999999</v>
      </c>
      <c r="BM279" s="57">
        <f>IF(ISERROR(IF(B279=C279,AB279/C279,(INT(AB279/B279)+(((AB279-B279*INT(AB279/B279)))/C279)/100))),0,(IF(B279=C279,AB279/C279,(INT(AB279/B279)+(((AB279-B279*INT(AB279/B279)))/C279)/100))))</f>
        <v>0</v>
      </c>
      <c r="BN279" s="57">
        <f>IF(ISERROR(IF(B279=C279,AC279/C279,(INT(AC279/B279)+(((AC279-B279*INT(AC279/B279)))/C279)/100))),0,(IF(B279=C279,AC279/C279,(INT(AC279/B279)+(((AC279-B279*INT(AC279/B279)))/C279)/100))))</f>
        <v>0</v>
      </c>
      <c r="BO279" s="57">
        <f>IF(ISERROR(IF(B279=C279,AD279/C279,(INT(AD279/B279)+(((AD279-B279*INT(AD279/B279)))/C279)/100))),0,(IF(B279=C279,AD279/C279,(INT(AD279/B279)+(((AD279-B279*INT(AD279/B279)))/C279)/100))))</f>
        <v>0</v>
      </c>
      <c r="BQ279" s="155" t="s">
        <v>205</v>
      </c>
    </row>
    <row r="280" spans="1:69" x14ac:dyDescent="0.35">
      <c r="A280" s="165" t="s">
        <v>267</v>
      </c>
      <c r="B280" s="113">
        <v>700</v>
      </c>
      <c r="C280" s="113">
        <v>30</v>
      </c>
      <c r="D280" s="28">
        <f>SUM(AA280:AD280)</f>
        <v>700</v>
      </c>
      <c r="E280" s="113">
        <v>0</v>
      </c>
      <c r="F280" s="113">
        <v>0</v>
      </c>
      <c r="G280" s="28">
        <f>SUM(D280:F280)</f>
        <v>700</v>
      </c>
      <c r="H280" s="164">
        <v>0</v>
      </c>
      <c r="I280" s="113">
        <v>0</v>
      </c>
      <c r="J280" s="125">
        <v>0</v>
      </c>
      <c r="K280" s="113">
        <v>0</v>
      </c>
      <c r="L280" s="113">
        <v>0</v>
      </c>
      <c r="M280" s="113">
        <v>0</v>
      </c>
      <c r="N280" s="28">
        <f>G280-SUM(H280:M280)</f>
        <v>700</v>
      </c>
      <c r="O280" s="28">
        <f>SUM(V280:Y280)</f>
        <v>700</v>
      </c>
      <c r="P280" s="28">
        <f>O280-N280</f>
        <v>0</v>
      </c>
      <c r="Q280" s="61" t="str">
        <f>IF(ISERROR(P280/SUM(H280:L280)),"",P280/SUM(H280:L280))</f>
        <v/>
      </c>
      <c r="R280" s="113">
        <v>300</v>
      </c>
      <c r="S280" s="28">
        <f>IF(ISERROR(P280/C280*R280),0,(P280/C280*R280))</f>
        <v>0</v>
      </c>
      <c r="T280" s="60">
        <f>IF(ISERROR(P280/B280*AF280),0,(P280/B280*AF280))</f>
        <v>0</v>
      </c>
      <c r="V280" s="113">
        <v>0</v>
      </c>
      <c r="W280" s="113">
        <v>700</v>
      </c>
      <c r="X280" s="113">
        <v>0</v>
      </c>
      <c r="Y280" s="113">
        <v>0</v>
      </c>
      <c r="AA280" s="113">
        <v>0</v>
      </c>
      <c r="AB280" s="113">
        <f>1*700</f>
        <v>700</v>
      </c>
      <c r="AC280" s="113">
        <v>0</v>
      </c>
      <c r="AD280" s="113">
        <v>0</v>
      </c>
      <c r="AF280" s="163">
        <v>4435.458333333333</v>
      </c>
      <c r="AG280" s="28">
        <f>G280-O280</f>
        <v>0</v>
      </c>
      <c r="AH280" s="58">
        <f>IF(ISERROR(AG280/B280*AF280),0,(AG280/B280*AF280))</f>
        <v>0</v>
      </c>
      <c r="AI280" s="28">
        <f>SUM(H280:M280)</f>
        <v>0</v>
      </c>
      <c r="AJ280" s="28">
        <f>IF(ISERROR(AI280/B280*AF280),0,(AI280/B280*AF280))</f>
        <v>0</v>
      </c>
      <c r="AK280" s="58">
        <f>IF(ISERROR(O280/B280*AF280),0,(O280/B280*AF280))</f>
        <v>4435.458333333333</v>
      </c>
      <c r="AL280" s="28">
        <f>IF(ISERROR(H280/B280*AF280),0,(H280/B280*AF280))</f>
        <v>0</v>
      </c>
      <c r="AN280" s="51" t="str">
        <f>A280</f>
        <v xml:space="preserve">Cointrue </v>
      </c>
      <c r="AO280" s="57">
        <f>IF(ISERROR(IF(B280=C280,D280/C280,(INT(D280/B280)+(((D280-B280*INT(D280/B280)))/C280)/100))),0,(IF(B280=C280,D280/C280,(INT(D280/B280)+(((D280-B280*INT(D280/B280)))/C280)/100))))</f>
        <v>1</v>
      </c>
      <c r="AP280" s="57">
        <f>IF(ISERROR(IF(B280=C280,E280/C280,(INT(E280/B280)+(((E280-B280*INT(E280/B280)))/C280)/100))),0,(IF(B280=C280,E280/C280,(INT(E280/B280)+(((E280-B280*INT(E280/B280)))/C280)/100))))</f>
        <v>0</v>
      </c>
      <c r="AQ280" s="57">
        <f>IF(ISERROR(IF(B280=C280,F280/C280,IF((INT(F280/B280)+(((F280-B280*INT(F280/B280)))/C280)/100)&lt;0,(INT(F280/B280)+(((F280-B280*INT(F280/B280)))/C280)/100)+(1-(B280/C280/100)),(INT(F280/B280)+(((F280-B280*INT(F280/B280)))/C280)/100)))),0,IF(B280=C280,F280/C280,IF((INT(F280/B280)+(((F280-B280*INT(F280/B280)))/C280)/100)&lt;0,(INT(F280/B280)+(((F280-B280*INT(F280/B280)))/C280)/100)+(1-(B280/C280/100)),(INT(F280/B280)+(((F280-B280*INT(F280/B280)))/C280)/100))))</f>
        <v>0</v>
      </c>
      <c r="AR280" s="57">
        <f>IF(ISERROR(IF(B280=C280,G280/C280,(INT(G280/B280)+(((G280-B280*INT(G280/B280)))/C280)/100))),0,(IF(B280=C280,G280/C280,(INT(G280/B280)+(((G280-B280*INT(G280/B280)))/C280)/100))))</f>
        <v>1</v>
      </c>
      <c r="AS280" s="57">
        <f>IF(ISERROR(IF(B280=C280,H280/C280,(INT(H280/B280)+(((H280-B280*INT(H280/B280)))/C280)/100))),0,(IF(B280=C280,H280/C280,(INT(H280/B280)+(((H280-B280*INT(H280/B280)))/C280)/100))))</f>
        <v>0</v>
      </c>
      <c r="AT280" s="57">
        <f>IF(ISERROR(IF(B280=C280,I280/C280,(INT(I280/B280)+(((I280-B280*INT(I280/B280)))/C280)/100))),0,(IF(B280=C280,I280/C280,(INT(I280/B280)+(((I280-B280*INT(I280/B280)))/C280)/100))))</f>
        <v>0</v>
      </c>
      <c r="AU280" s="57">
        <f>IF(ISERROR(IF(B280=C280,J280/C280,(INT(J280/B280)+(((J280-B280*INT(J280/B280)))/C280)/100))),0,(IF(B280=C280,J280/C280,(INT(J280/B280)+(((J280-B280*INT(J280/B280)))/C280)/100))))</f>
        <v>0</v>
      </c>
      <c r="AV280" s="57">
        <f>IF(ISERROR(IF(B280=C280,K280/C280,IF((INT(K280/B280)+(((K280-B280*INT(K280/B280)))/C280)/100)&lt;0,(INT(K280/B280)+(((K280-B280*INT(K280/B280)))/C280)/100)+(1-(B280/C280/100)),(INT(K280/B280)+(((K280-B280*INT(K280/B280)))/C280)/100)))),0,IF(B280=C280,K280/C280,IF((INT(K280/B280)+(((K280-B280*INT(K280/B280)))/C280)/100)&lt;0,(INT(K280/B280)+(((K280-B280*INT(K280/B280)))/C280)/100)+(1-(B280/C280/100)),(INT(K280/B280)+(((K280-B280*INT(K280/B280)))/C280)/100))))</f>
        <v>0</v>
      </c>
      <c r="AW280" s="57">
        <f>IF(ISERROR(IF(B280=C280,L280/C280,(INT(L280/B280)+(((L280-B280*INT(L280/B280)))/C280)/100))),0,(IF(B280=C280,L280/C280,(INT(L280/B280)+(((L280-B280*INT(L280/B280)))/C280)/100))))</f>
        <v>0</v>
      </c>
      <c r="AX280" s="57">
        <f>IF(ISERROR(IF(B280=C280,M280/C280,(INT(M280/B280)+(((M280-B280*INT(M280/B280)))/C280)/100))),0,(IF(B280=C280,M280/C280,(INT(M280/B280)+(((M280-B280*INT(M280/B280)))/C280)/100))))</f>
        <v>0</v>
      </c>
      <c r="AY280" s="57">
        <f>IF(ISERROR(IF(B280=C280,N280/C280,IF((INT(N280/B280)+(((N280-B280*INT(N280/B280)))/C280)/100)&lt;0,(INT(N280/B280)+(((N280-B280*INT(N280/B280)))/C280)/100)+(1-(B280/C280/100)),(INT(N280/B280)+(((N280-B280*INT(N280/B280)))/C280)/100)))),0,IF(B280=C280,N280/C280,IF((INT(N280/B280)+(((N280-B280*INT(N280/B280)))/C280)/100)&lt;0,(INT(N280/B280)+(((N280-B280*INT(N280/B280)))/C280)/100)+(1-(B280/C280/100)),(INT(N280/B280)+(((N280-B280*INT(N280/B280)))/C280)/100))))</f>
        <v>1</v>
      </c>
      <c r="AZ280" s="57">
        <f>IF(ISERROR(IF(B280=C280,O280/C280,(INT(O280/B280)+(((O280-B280*INT(O280/B280)))/C280)/100))),0,(IF(B280=C280,O280/C280,(INT(O280/B280)+(((O280-B280*INT(O280/B280)))/C280)/100))))</f>
        <v>1</v>
      </c>
      <c r="BA280" s="57">
        <f>IF(ISERROR(IF(B280=C280,P280/C280,IF((INT(P280/B280)+(((P280-B280*INT(P280/B280)))/C280)/100)&lt;0,(INT(P280/B280)+(((P280-B280*INT(P280/B280)))/C280)/100)+(1-(B280/C280/100)),(INT(P280/B280)+(((P280-B280*INT(P280/B280)))/C280)/100)))),0,IF(B280=C280,P280/C280,IF((INT(P280/B280)+(((P280-B280*INT(P280/B280)))/C280)/100)&lt;0,(INT(P280/B280)+(((P280-B280*INT(P280/B280)))/C280)/100)+(1-(B280/C280/100)),(INT(P280/B280)+(((P280-B280*INT(P280/B280)))/C280)/100))))</f>
        <v>0</v>
      </c>
      <c r="BB280" s="28">
        <f>R280</f>
        <v>300</v>
      </c>
      <c r="BC280" s="28">
        <f>S280</f>
        <v>0</v>
      </c>
      <c r="BD280" s="28">
        <f>AF280</f>
        <v>4435.458333333333</v>
      </c>
      <c r="BE280" s="28">
        <f>T280</f>
        <v>0</v>
      </c>
      <c r="BG280" s="57">
        <f>IF(ISERROR(IF(B280=C280,V280/C280,(INT(V280/B280)+(((V280-B280*INT(V280/B280)))/C280)/100))),0,(IF(B280=C280,V280/C280,(INT(V280/B280)+(((V280-B280*INT(V280/B280)))/C280)/100))))</f>
        <v>0</v>
      </c>
      <c r="BH280" s="57">
        <f>IF(ISERROR(IF(B280=C280,W280/C280,(INT(W280/B280)+(((W280-B280*INT(W280/B280)))/C280)/100))),0,(IF(B280=C280,W280/C280,(INT(W280/B280)+(((W280-B280*INT(W280/B280)))/C280)/100))))</f>
        <v>1</v>
      </c>
      <c r="BI280" s="57">
        <f>IF(ISERROR(IF(B280=C280,X280/C280,(INT(X280/B280)+(((X280-B280*INT(X280/B280)))/C280)/100))),0,(IF(B280=C280,X280/C280,(INT(X280/B280)+(((X280-B280*INT(X280/B280)))/C280)/100))))</f>
        <v>0</v>
      </c>
      <c r="BJ280" s="57">
        <f>IF(ISERROR(IF(B280=C280,Y280/C280,(INT(Y280/B280)+(((Y280-B280*INT(Y280/B280)))/C280)/100))),0,(IF(B280=C280,Y280/C280,(INT(Y280/B280)+(((Y280-B280*INT(Y280/B280)))/C280)/100))))</f>
        <v>0</v>
      </c>
      <c r="BL280" s="57">
        <f>IF(ISERROR(IF(B280=C280,AA280/C280,(INT(AA280/B280)+(((AA280-B280*INT(AA280/B280)))/C280)/100))),0,(IF(B280=C280,AA280/C280,(INT(AA280/B280)+(((AA280-B280*INT(AA280/B280)))/C280)/100))))</f>
        <v>0</v>
      </c>
      <c r="BM280" s="57">
        <f>IF(ISERROR(IF(B280=C280,AB280/C280,(INT(AB280/B280)+(((AB280-B280*INT(AB280/B280)))/C280)/100))),0,(IF(B280=C280,AB280/C280,(INT(AB280/B280)+(((AB280-B280*INT(AB280/B280)))/C280)/100))))</f>
        <v>1</v>
      </c>
      <c r="BN280" s="57">
        <f>IF(ISERROR(IF(B280=C280,AC280/C280,(INT(AC280/B280)+(((AC280-B280*INT(AC280/B280)))/C280)/100))),0,(IF(B280=C280,AC280/C280,(INT(AC280/B280)+(((AC280-B280*INT(AC280/B280)))/C280)/100))))</f>
        <v>0</v>
      </c>
      <c r="BO280" s="57">
        <f>IF(ISERROR(IF(B280=C280,AD280/C280,(INT(AD280/B280)+(((AD280-B280*INT(AD280/B280)))/C280)/100))),0,(IF(B280=C280,AD280/C280,(INT(AD280/B280)+(((AD280-B280*INT(AD280/B280)))/C280)/100))))</f>
        <v>0</v>
      </c>
      <c r="BQ280" s="155" t="s">
        <v>232</v>
      </c>
    </row>
    <row r="281" spans="1:69" x14ac:dyDescent="0.35">
      <c r="A281" s="165" t="s">
        <v>266</v>
      </c>
      <c r="B281" s="113">
        <v>700</v>
      </c>
      <c r="C281" s="113">
        <v>30</v>
      </c>
      <c r="D281" s="28">
        <f>SUM(AA281:AD281)</f>
        <v>0</v>
      </c>
      <c r="E281" s="113">
        <v>0</v>
      </c>
      <c r="F281" s="113">
        <v>0</v>
      </c>
      <c r="G281" s="28">
        <f>SUM(D281:F281)</f>
        <v>0</v>
      </c>
      <c r="H281" s="164">
        <v>0</v>
      </c>
      <c r="I281" s="113">
        <v>0</v>
      </c>
      <c r="J281" s="125">
        <v>0</v>
      </c>
      <c r="K281" s="113">
        <v>0</v>
      </c>
      <c r="L281" s="113">
        <v>0</v>
      </c>
      <c r="M281" s="113">
        <v>0</v>
      </c>
      <c r="N281" s="28">
        <f>G281-SUM(H281:M281)</f>
        <v>0</v>
      </c>
      <c r="O281" s="28">
        <f>SUM(V281:Y281)</f>
        <v>0</v>
      </c>
      <c r="P281" s="28">
        <f>O281-N281</f>
        <v>0</v>
      </c>
      <c r="Q281" s="61" t="str">
        <f>IF(ISERROR(P281/SUM(H281:L281)),"",P281/SUM(H281:L281))</f>
        <v/>
      </c>
      <c r="R281" s="113">
        <v>300</v>
      </c>
      <c r="S281" s="28">
        <f>IF(ISERROR(P281/C281*R281),0,(P281/C281*R281))</f>
        <v>0</v>
      </c>
      <c r="T281" s="60">
        <f>IF(ISERROR(P281/B281*AF281),0,(P281/B281*AF281))</f>
        <v>0</v>
      </c>
      <c r="V281" s="113">
        <v>0</v>
      </c>
      <c r="W281" s="113">
        <v>0</v>
      </c>
      <c r="X281" s="113">
        <v>0</v>
      </c>
      <c r="Y281" s="113">
        <v>0</v>
      </c>
      <c r="AA281" s="113">
        <v>0</v>
      </c>
      <c r="AB281" s="113">
        <v>0</v>
      </c>
      <c r="AC281" s="113">
        <v>0</v>
      </c>
      <c r="AD281" s="113">
        <v>0</v>
      </c>
      <c r="AF281" s="155">
        <v>5000</v>
      </c>
      <c r="AG281" s="28">
        <f>G281-O281</f>
        <v>0</v>
      </c>
      <c r="AH281" s="58">
        <f>IF(ISERROR(AG281/B281*AF281),0,(AG281/B281*AF281))</f>
        <v>0</v>
      </c>
      <c r="AI281" s="28">
        <f>SUM(H281:M281)</f>
        <v>0</v>
      </c>
      <c r="AJ281" s="28">
        <f>IF(ISERROR(AI281/B281*AF281),0,(AI281/B281*AF281))</f>
        <v>0</v>
      </c>
      <c r="AK281" s="58">
        <f>IF(ISERROR(O281/B281*AF281),0,(O281/B281*AF281))</f>
        <v>0</v>
      </c>
      <c r="AL281" s="28">
        <f>IF(ISERROR(H281/B281*AF281),0,(H281/B281*AF281))</f>
        <v>0</v>
      </c>
      <c r="AN281" s="51" t="str">
        <f>A281</f>
        <v xml:space="preserve">Grand marnier </v>
      </c>
      <c r="AO281" s="57">
        <f>IF(ISERROR(IF(B281=C281,D281/C281,(INT(D281/B281)+(((D281-B281*INT(D281/B281)))/C281)/100))),0,(IF(B281=C281,D281/C281,(INT(D281/B281)+(((D281-B281*INT(D281/B281)))/C281)/100))))</f>
        <v>0</v>
      </c>
      <c r="AP281" s="57">
        <f>IF(ISERROR(IF(B281=C281,E281/C281,(INT(E281/B281)+(((E281-B281*INT(E281/B281)))/C281)/100))),0,(IF(B281=C281,E281/C281,(INT(E281/B281)+(((E281-B281*INT(E281/B281)))/C281)/100))))</f>
        <v>0</v>
      </c>
      <c r="AQ281" s="57">
        <f>IF(ISERROR(IF(B281=C281,F281/C281,IF((INT(F281/B281)+(((F281-B281*INT(F281/B281)))/C281)/100)&lt;0,(INT(F281/B281)+(((F281-B281*INT(F281/B281)))/C281)/100)+(1-(B281/C281/100)),(INT(F281/B281)+(((F281-B281*INT(F281/B281)))/C281)/100)))),0,IF(B281=C281,F281/C281,IF((INT(F281/B281)+(((F281-B281*INT(F281/B281)))/C281)/100)&lt;0,(INT(F281/B281)+(((F281-B281*INT(F281/B281)))/C281)/100)+(1-(B281/C281/100)),(INT(F281/B281)+(((F281-B281*INT(F281/B281)))/C281)/100))))</f>
        <v>0</v>
      </c>
      <c r="AR281" s="57">
        <f>IF(ISERROR(IF(B281=C281,G281/C281,(INT(G281/B281)+(((G281-B281*INT(G281/B281)))/C281)/100))),0,(IF(B281=C281,G281/C281,(INT(G281/B281)+(((G281-B281*INT(G281/B281)))/C281)/100))))</f>
        <v>0</v>
      </c>
      <c r="AS281" s="57">
        <f>IF(ISERROR(IF(B281=C281,H281/C281,(INT(H281/B281)+(((H281-B281*INT(H281/B281)))/C281)/100))),0,(IF(B281=C281,H281/C281,(INT(H281/B281)+(((H281-B281*INT(H281/B281)))/C281)/100))))</f>
        <v>0</v>
      </c>
      <c r="AT281" s="57">
        <f>IF(ISERROR(IF(B281=C281,I281/C281,(INT(I281/B281)+(((I281-B281*INT(I281/B281)))/C281)/100))),0,(IF(B281=C281,I281/C281,(INT(I281/B281)+(((I281-B281*INT(I281/B281)))/C281)/100))))</f>
        <v>0</v>
      </c>
      <c r="AU281" s="57">
        <f>IF(ISERROR(IF(B281=C281,J281/C281,(INT(J281/B281)+(((J281-B281*INT(J281/B281)))/C281)/100))),0,(IF(B281=C281,J281/C281,(INT(J281/B281)+(((J281-B281*INT(J281/B281)))/C281)/100))))</f>
        <v>0</v>
      </c>
      <c r="AV281" s="57">
        <f>IF(ISERROR(IF(B281=C281,K281/C281,IF((INT(K281/B281)+(((K281-B281*INT(K281/B281)))/C281)/100)&lt;0,(INT(K281/B281)+(((K281-B281*INT(K281/B281)))/C281)/100)+(1-(B281/C281/100)),(INT(K281/B281)+(((K281-B281*INT(K281/B281)))/C281)/100)))),0,IF(B281=C281,K281/C281,IF((INT(K281/B281)+(((K281-B281*INT(K281/B281)))/C281)/100)&lt;0,(INT(K281/B281)+(((K281-B281*INT(K281/B281)))/C281)/100)+(1-(B281/C281/100)),(INT(K281/B281)+(((K281-B281*INT(K281/B281)))/C281)/100))))</f>
        <v>0</v>
      </c>
      <c r="AW281" s="57">
        <f>IF(ISERROR(IF(B281=C281,L281/C281,(INT(L281/B281)+(((L281-B281*INT(L281/B281)))/C281)/100))),0,(IF(B281=C281,L281/C281,(INT(L281/B281)+(((L281-B281*INT(L281/B281)))/C281)/100))))</f>
        <v>0</v>
      </c>
      <c r="AX281" s="57">
        <f>IF(ISERROR(IF(B281=C281,M281/C281,(INT(M281/B281)+(((M281-B281*INT(M281/B281)))/C281)/100))),0,(IF(B281=C281,M281/C281,(INT(M281/B281)+(((M281-B281*INT(M281/B281)))/C281)/100))))</f>
        <v>0</v>
      </c>
      <c r="AY281" s="57">
        <f>IF(ISERROR(IF(B281=C281,N281/C281,IF((INT(N281/B281)+(((N281-B281*INT(N281/B281)))/C281)/100)&lt;0,(INT(N281/B281)+(((N281-B281*INT(N281/B281)))/C281)/100)+(1-(B281/C281/100)),(INT(N281/B281)+(((N281-B281*INT(N281/B281)))/C281)/100)))),0,IF(B281=C281,N281/C281,IF((INT(N281/B281)+(((N281-B281*INT(N281/B281)))/C281)/100)&lt;0,(INT(N281/B281)+(((N281-B281*INT(N281/B281)))/C281)/100)+(1-(B281/C281/100)),(INT(N281/B281)+(((N281-B281*INT(N281/B281)))/C281)/100))))</f>
        <v>0</v>
      </c>
      <c r="AZ281" s="57">
        <f>IF(ISERROR(IF(B281=C281,O281/C281,(INT(O281/B281)+(((O281-B281*INT(O281/B281)))/C281)/100))),0,(IF(B281=C281,O281/C281,(INT(O281/B281)+(((O281-B281*INT(O281/B281)))/C281)/100))))</f>
        <v>0</v>
      </c>
      <c r="BA281" s="57">
        <f>IF(ISERROR(IF(B281=C281,P281/C281,IF((INT(P281/B281)+(((P281-B281*INT(P281/B281)))/C281)/100)&lt;0,(INT(P281/B281)+(((P281-B281*INT(P281/B281)))/C281)/100)+(1-(B281/C281/100)),(INT(P281/B281)+(((P281-B281*INT(P281/B281)))/C281)/100)))),0,IF(B281=C281,P281/C281,IF((INT(P281/B281)+(((P281-B281*INT(P281/B281)))/C281)/100)&lt;0,(INT(P281/B281)+(((P281-B281*INT(P281/B281)))/C281)/100)+(1-(B281/C281/100)),(INT(P281/B281)+(((P281-B281*INT(P281/B281)))/C281)/100))))</f>
        <v>0</v>
      </c>
      <c r="BB281" s="28">
        <f>R281</f>
        <v>300</v>
      </c>
      <c r="BC281" s="28">
        <f>S281</f>
        <v>0</v>
      </c>
      <c r="BD281" s="28">
        <f>AF281</f>
        <v>5000</v>
      </c>
      <c r="BE281" s="28">
        <f>T281</f>
        <v>0</v>
      </c>
      <c r="BG281" s="57">
        <f>IF(ISERROR(IF(B281=C281,V281/C281,(INT(V281/B281)+(((V281-B281*INT(V281/B281)))/C281)/100))),0,(IF(B281=C281,V281/C281,(INT(V281/B281)+(((V281-B281*INT(V281/B281)))/C281)/100))))</f>
        <v>0</v>
      </c>
      <c r="BH281" s="57">
        <f>IF(ISERROR(IF(B281=C281,W281/C281,(INT(W281/B281)+(((W281-B281*INT(W281/B281)))/C281)/100))),0,(IF(B281=C281,W281/C281,(INT(W281/B281)+(((W281-B281*INT(W281/B281)))/C281)/100))))</f>
        <v>0</v>
      </c>
      <c r="BI281" s="57">
        <f>IF(ISERROR(IF(B281=C281,X281/C281,(INT(X281/B281)+(((X281-B281*INT(X281/B281)))/C281)/100))),0,(IF(B281=C281,X281/C281,(INT(X281/B281)+(((X281-B281*INT(X281/B281)))/C281)/100))))</f>
        <v>0</v>
      </c>
      <c r="BJ281" s="57">
        <f>IF(ISERROR(IF(B281=C281,Y281/C281,(INT(Y281/B281)+(((Y281-B281*INT(Y281/B281)))/C281)/100))),0,(IF(B281=C281,Y281/C281,(INT(Y281/B281)+(((Y281-B281*INT(Y281/B281)))/C281)/100))))</f>
        <v>0</v>
      </c>
      <c r="BL281" s="57">
        <f>IF(ISERROR(IF(B281=C281,AA281/C281,(INT(AA281/B281)+(((AA281-B281*INT(AA281/B281)))/C281)/100))),0,(IF(B281=C281,AA281/C281,(INT(AA281/B281)+(((AA281-B281*INT(AA281/B281)))/C281)/100))))</f>
        <v>0</v>
      </c>
      <c r="BM281" s="57">
        <f>IF(ISERROR(IF(B281=C281,AB281/C281,(INT(AB281/B281)+(((AB281-B281*INT(AB281/B281)))/C281)/100))),0,(IF(B281=C281,AB281/C281,(INT(AB281/B281)+(((AB281-B281*INT(AB281/B281)))/C281)/100))))</f>
        <v>0</v>
      </c>
      <c r="BN281" s="57">
        <f>IF(ISERROR(IF(B281=C281,AC281/C281,(INT(AC281/B281)+(((AC281-B281*INT(AC281/B281)))/C281)/100))),0,(IF(B281=C281,AC281/C281,(INT(AC281/B281)+(((AC281-B281*INT(AC281/B281)))/C281)/100))))</f>
        <v>0</v>
      </c>
      <c r="BO281" s="57">
        <f>IF(ISERROR(IF(B281=C281,AD281/C281,(INT(AD281/B281)+(((AD281-B281*INT(AD281/B281)))/C281)/100))),0,(IF(B281=C281,AD281/C281,(INT(AD281/B281)+(((AD281-B281*INT(AD281/B281)))/C281)/100))))</f>
        <v>0</v>
      </c>
      <c r="BQ281" s="155" t="s">
        <v>232</v>
      </c>
    </row>
    <row r="282" spans="1:69" x14ac:dyDescent="0.35">
      <c r="A282" s="160" t="s">
        <v>265</v>
      </c>
      <c r="B282" s="113">
        <v>700</v>
      </c>
      <c r="C282" s="113">
        <v>30</v>
      </c>
      <c r="D282" s="28">
        <f>SUM(AA282:AD282)</f>
        <v>730</v>
      </c>
      <c r="E282" s="113">
        <v>0</v>
      </c>
      <c r="F282" s="113">
        <v>0</v>
      </c>
      <c r="G282" s="28">
        <f>SUM(D282:F282)</f>
        <v>730</v>
      </c>
      <c r="H282" s="164">
        <v>0</v>
      </c>
      <c r="I282" s="113">
        <v>0</v>
      </c>
      <c r="J282" s="125">
        <v>0</v>
      </c>
      <c r="K282" s="113">
        <v>0</v>
      </c>
      <c r="L282" s="113">
        <v>0</v>
      </c>
      <c r="M282" s="113">
        <v>0</v>
      </c>
      <c r="N282" s="28">
        <f>G282-SUM(H282:M282)</f>
        <v>730</v>
      </c>
      <c r="O282" s="28">
        <f>SUM(V282:Y282)</f>
        <v>730</v>
      </c>
      <c r="P282" s="28">
        <f>O282-N282</f>
        <v>0</v>
      </c>
      <c r="Q282" s="61" t="str">
        <f>IF(ISERROR(P282/SUM(H282:L282)),"",P282/SUM(H282:L282))</f>
        <v/>
      </c>
      <c r="R282" s="113">
        <v>350</v>
      </c>
      <c r="S282" s="28">
        <f>IF(ISERROR(P282/C282*R282),0,(P282/C282*R282))</f>
        <v>0</v>
      </c>
      <c r="T282" s="60">
        <f>IF(ISERROR(P282/B282*AF282),0,(P282/B282*AF282))</f>
        <v>0</v>
      </c>
      <c r="V282" s="113">
        <f>1*700+1*30</f>
        <v>730</v>
      </c>
      <c r="W282" s="113">
        <v>0</v>
      </c>
      <c r="X282" s="113">
        <v>0</v>
      </c>
      <c r="Y282" s="113">
        <v>0</v>
      </c>
      <c r="AA282" s="113">
        <f>1*700+1*30</f>
        <v>730</v>
      </c>
      <c r="AB282" s="113">
        <v>0</v>
      </c>
      <c r="AC282" s="113">
        <v>0</v>
      </c>
      <c r="AD282" s="113">
        <v>0</v>
      </c>
      <c r="AF282" s="162">
        <f>75122.4/12</f>
        <v>6260.2</v>
      </c>
      <c r="AG282" s="28">
        <f>G282-O282</f>
        <v>0</v>
      </c>
      <c r="AH282" s="58">
        <f>IF(ISERROR(AG282/B282*AF282),0,(AG282/B282*AF282))</f>
        <v>0</v>
      </c>
      <c r="AI282" s="28">
        <f>SUM(H282:M282)</f>
        <v>0</v>
      </c>
      <c r="AJ282" s="28">
        <f>IF(ISERROR(AI282/B282*AF282),0,(AI282/B282*AF282))</f>
        <v>0</v>
      </c>
      <c r="AK282" s="58">
        <f>IF(ISERROR(O282/B282*AF282),0,(O282/B282*AF282))</f>
        <v>6528.494285714286</v>
      </c>
      <c r="AL282" s="28">
        <f>IF(ISERROR(H282/B282*AF282),0,(H282/B282*AF282))</f>
        <v>0</v>
      </c>
      <c r="AN282" s="51" t="str">
        <f>A282</f>
        <v>Henessey V.s Cognac</v>
      </c>
      <c r="AO282" s="57">
        <f>IF(ISERROR(IF(B282=C282,D282/C282,(INT(D282/B282)+(((D282-B282*INT(D282/B282)))/C282)/100))),0,(IF(B282=C282,D282/C282,(INT(D282/B282)+(((D282-B282*INT(D282/B282)))/C282)/100))))</f>
        <v>1.01</v>
      </c>
      <c r="AP282" s="57">
        <f>IF(ISERROR(IF(B282=C282,E282/C282,(INT(E282/B282)+(((E282-B282*INT(E282/B282)))/C282)/100))),0,(IF(B282=C282,E282/C282,(INT(E282/B282)+(((E282-B282*INT(E282/B282)))/C282)/100))))</f>
        <v>0</v>
      </c>
      <c r="AQ282" s="57">
        <f>IF(ISERROR(IF(B282=C282,F282/C282,IF((INT(F282/B282)+(((F282-B282*INT(F282/B282)))/C282)/100)&lt;0,(INT(F282/B282)+(((F282-B282*INT(F282/B282)))/C282)/100)+(1-(B282/C282/100)),(INT(F282/B282)+(((F282-B282*INT(F282/B282)))/C282)/100)))),0,IF(B282=C282,F282/C282,IF((INT(F282/B282)+(((F282-B282*INT(F282/B282)))/C282)/100)&lt;0,(INT(F282/B282)+(((F282-B282*INT(F282/B282)))/C282)/100)+(1-(B282/C282/100)),(INT(F282/B282)+(((F282-B282*INT(F282/B282)))/C282)/100))))</f>
        <v>0</v>
      </c>
      <c r="AR282" s="57">
        <f>IF(ISERROR(IF(B282=C282,G282/C282,(INT(G282/B282)+(((G282-B282*INT(G282/B282)))/C282)/100))),0,(IF(B282=C282,G282/C282,(INT(G282/B282)+(((G282-B282*INT(G282/B282)))/C282)/100))))</f>
        <v>1.01</v>
      </c>
      <c r="AS282" s="57">
        <f>IF(ISERROR(IF(B282=C282,H282/C282,(INT(H282/B282)+(((H282-B282*INT(H282/B282)))/C282)/100))),0,(IF(B282=C282,H282/C282,(INT(H282/B282)+(((H282-B282*INT(H282/B282)))/C282)/100))))</f>
        <v>0</v>
      </c>
      <c r="AT282" s="57">
        <f>IF(ISERROR(IF(B282=C282,I282/C282,(INT(I282/B282)+(((I282-B282*INT(I282/B282)))/C282)/100))),0,(IF(B282=C282,I282/C282,(INT(I282/B282)+(((I282-B282*INT(I282/B282)))/C282)/100))))</f>
        <v>0</v>
      </c>
      <c r="AU282" s="57">
        <f>IF(ISERROR(IF(B282=C282,J282/C282,(INT(J282/B282)+(((J282-B282*INT(J282/B282)))/C282)/100))),0,(IF(B282=C282,J282/C282,(INT(J282/B282)+(((J282-B282*INT(J282/B282)))/C282)/100))))</f>
        <v>0</v>
      </c>
      <c r="AV282" s="57">
        <f>IF(ISERROR(IF(B282=C282,K282/C282,IF((INT(K282/B282)+(((K282-B282*INT(K282/B282)))/C282)/100)&lt;0,(INT(K282/B282)+(((K282-B282*INT(K282/B282)))/C282)/100)+(1-(B282/C282/100)),(INT(K282/B282)+(((K282-B282*INT(K282/B282)))/C282)/100)))),0,IF(B282=C282,K282/C282,IF((INT(K282/B282)+(((K282-B282*INT(K282/B282)))/C282)/100)&lt;0,(INT(K282/B282)+(((K282-B282*INT(K282/B282)))/C282)/100)+(1-(B282/C282/100)),(INT(K282/B282)+(((K282-B282*INT(K282/B282)))/C282)/100))))</f>
        <v>0</v>
      </c>
      <c r="AW282" s="57">
        <f>IF(ISERROR(IF(B282=C282,L282/C282,(INT(L282/B282)+(((L282-B282*INT(L282/B282)))/C282)/100))),0,(IF(B282=C282,L282/C282,(INT(L282/B282)+(((L282-B282*INT(L282/B282)))/C282)/100))))</f>
        <v>0</v>
      </c>
      <c r="AX282" s="57">
        <f>IF(ISERROR(IF(B282=C282,M282/C282,(INT(M282/B282)+(((M282-B282*INT(M282/B282)))/C282)/100))),0,(IF(B282=C282,M282/C282,(INT(M282/B282)+(((M282-B282*INT(M282/B282)))/C282)/100))))</f>
        <v>0</v>
      </c>
      <c r="AY282" s="57">
        <f>IF(ISERROR(IF(B282=C282,N282/C282,IF((INT(N282/B282)+(((N282-B282*INT(N282/B282)))/C282)/100)&lt;0,(INT(N282/B282)+(((N282-B282*INT(N282/B282)))/C282)/100)+(1-(B282/C282/100)),(INT(N282/B282)+(((N282-B282*INT(N282/B282)))/C282)/100)))),0,IF(B282=C282,N282/C282,IF((INT(N282/B282)+(((N282-B282*INT(N282/B282)))/C282)/100)&lt;0,(INT(N282/B282)+(((N282-B282*INT(N282/B282)))/C282)/100)+(1-(B282/C282/100)),(INT(N282/B282)+(((N282-B282*INT(N282/B282)))/C282)/100))))</f>
        <v>1.01</v>
      </c>
      <c r="AZ282" s="57">
        <f>IF(ISERROR(IF(B282=C282,O282/C282,(INT(O282/B282)+(((O282-B282*INT(O282/B282)))/C282)/100))),0,(IF(B282=C282,O282/C282,(INT(O282/B282)+(((O282-B282*INT(O282/B282)))/C282)/100))))</f>
        <v>1.01</v>
      </c>
      <c r="BA282" s="57">
        <f>IF(ISERROR(IF(B282=C282,P282/C282,IF((INT(P282/B282)+(((P282-B282*INT(P282/B282)))/C282)/100)&lt;0,(INT(P282/B282)+(((P282-B282*INT(P282/B282)))/C282)/100)+(1-(B282/C282/100)),(INT(P282/B282)+(((P282-B282*INT(P282/B282)))/C282)/100)))),0,IF(B282=C282,P282/C282,IF((INT(P282/B282)+(((P282-B282*INT(P282/B282)))/C282)/100)&lt;0,(INT(P282/B282)+(((P282-B282*INT(P282/B282)))/C282)/100)+(1-(B282/C282/100)),(INT(P282/B282)+(((P282-B282*INT(P282/B282)))/C282)/100))))</f>
        <v>0</v>
      </c>
      <c r="BB282" s="28">
        <f>R282</f>
        <v>350</v>
      </c>
      <c r="BC282" s="28">
        <f>S282</f>
        <v>0</v>
      </c>
      <c r="BD282" s="28">
        <f>AF282</f>
        <v>6260.2</v>
      </c>
      <c r="BE282" s="28">
        <f>T282</f>
        <v>0</v>
      </c>
      <c r="BG282" s="57">
        <f>IF(ISERROR(IF(B282=C282,V282/C282,(INT(V282/B282)+(((V282-B282*INT(V282/B282)))/C282)/100))),0,(IF(B282=C282,V282/C282,(INT(V282/B282)+(((V282-B282*INT(V282/B282)))/C282)/100))))</f>
        <v>1.01</v>
      </c>
      <c r="BH282" s="57">
        <f>IF(ISERROR(IF(B282=C282,W282/C282,(INT(W282/B282)+(((W282-B282*INT(W282/B282)))/C282)/100))),0,(IF(B282=C282,W282/C282,(INT(W282/B282)+(((W282-B282*INT(W282/B282)))/C282)/100))))</f>
        <v>0</v>
      </c>
      <c r="BI282" s="57">
        <f>IF(ISERROR(IF(B282=C282,X282/C282,(INT(X282/B282)+(((X282-B282*INT(X282/B282)))/C282)/100))),0,(IF(B282=C282,X282/C282,(INT(X282/B282)+(((X282-B282*INT(X282/B282)))/C282)/100))))</f>
        <v>0</v>
      </c>
      <c r="BJ282" s="57">
        <f>IF(ISERROR(IF(B282=C282,Y282/C282,(INT(Y282/B282)+(((Y282-B282*INT(Y282/B282)))/C282)/100))),0,(IF(B282=C282,Y282/C282,(INT(Y282/B282)+(((Y282-B282*INT(Y282/B282)))/C282)/100))))</f>
        <v>0</v>
      </c>
      <c r="BL282" s="57">
        <f>IF(ISERROR(IF(B282=C282,AA282/C282,(INT(AA282/B282)+(((AA282-B282*INT(AA282/B282)))/C282)/100))),0,(IF(B282=C282,AA282/C282,(INT(AA282/B282)+(((AA282-B282*INT(AA282/B282)))/C282)/100))))</f>
        <v>1.01</v>
      </c>
      <c r="BM282" s="57">
        <f>IF(ISERROR(IF(B282=C282,AB282/C282,(INT(AB282/B282)+(((AB282-B282*INT(AB282/B282)))/C282)/100))),0,(IF(B282=C282,AB282/C282,(INT(AB282/B282)+(((AB282-B282*INT(AB282/B282)))/C282)/100))))</f>
        <v>0</v>
      </c>
      <c r="BN282" s="57">
        <f>IF(ISERROR(IF(B282=C282,AC282/C282,(INT(AC282/B282)+(((AC282-B282*INT(AC282/B282)))/C282)/100))),0,(IF(B282=C282,AC282/C282,(INT(AC282/B282)+(((AC282-B282*INT(AC282/B282)))/C282)/100))))</f>
        <v>0</v>
      </c>
      <c r="BO282" s="57">
        <f>IF(ISERROR(IF(B282=C282,AD282/C282,(INT(AD282/B282)+(((AD282-B282*INT(AD282/B282)))/C282)/100))),0,(IF(B282=C282,AD282/C282,(INT(AD282/B282)+(((AD282-B282*INT(AD282/B282)))/C282)/100))))</f>
        <v>0</v>
      </c>
      <c r="BQ282" s="155" t="s">
        <v>258</v>
      </c>
    </row>
    <row r="283" spans="1:69" x14ac:dyDescent="0.35">
      <c r="A283" s="160" t="s">
        <v>264</v>
      </c>
      <c r="B283" s="113">
        <v>700</v>
      </c>
      <c r="C283" s="113">
        <v>30</v>
      </c>
      <c r="D283" s="28">
        <f>SUM(AA283:AD283)</f>
        <v>0</v>
      </c>
      <c r="E283" s="113">
        <v>0</v>
      </c>
      <c r="F283" s="113">
        <v>0</v>
      </c>
      <c r="G283" s="28">
        <f>SUM(D283:F283)</f>
        <v>0</v>
      </c>
      <c r="H283" s="164">
        <v>0</v>
      </c>
      <c r="I283" s="113">
        <v>0</v>
      </c>
      <c r="J283" s="125">
        <v>0</v>
      </c>
      <c r="K283" s="113">
        <v>0</v>
      </c>
      <c r="L283" s="113">
        <v>0</v>
      </c>
      <c r="M283" s="113">
        <v>0</v>
      </c>
      <c r="N283" s="28">
        <f>G283-SUM(H283:M283)</f>
        <v>0</v>
      </c>
      <c r="O283" s="28">
        <f>SUM(V283:Y283)</f>
        <v>0</v>
      </c>
      <c r="P283" s="28">
        <f>O283-N283</f>
        <v>0</v>
      </c>
      <c r="Q283" s="61" t="str">
        <f>IF(ISERROR(P283/SUM(H283:L283)),"",P283/SUM(H283:L283))</f>
        <v/>
      </c>
      <c r="R283" s="113">
        <v>600</v>
      </c>
      <c r="S283" s="28">
        <f>IF(ISERROR(P283/C283*R283),0,(P283/C283*R283))</f>
        <v>0</v>
      </c>
      <c r="T283" s="60">
        <f>IF(ISERROR(P283/B283*AF283),0,(P283/B283*AF283))</f>
        <v>0</v>
      </c>
      <c r="V283" s="113">
        <v>0</v>
      </c>
      <c r="W283" s="113">
        <v>0</v>
      </c>
      <c r="X283" s="113">
        <v>0</v>
      </c>
      <c r="Y283" s="113">
        <v>0</v>
      </c>
      <c r="AA283" s="113">
        <v>0</v>
      </c>
      <c r="AB283" s="113">
        <v>0</v>
      </c>
      <c r="AC283" s="113">
        <v>0</v>
      </c>
      <c r="AD283" s="113">
        <v>0</v>
      </c>
      <c r="AF283" s="155">
        <v>9657.7791666666672</v>
      </c>
      <c r="AG283" s="28">
        <f>G283-O283</f>
        <v>0</v>
      </c>
      <c r="AH283" s="58">
        <f>IF(ISERROR(AG283/B283*AF283),0,(AG283/B283*AF283))</f>
        <v>0</v>
      </c>
      <c r="AI283" s="28">
        <f>SUM(H283:M283)</f>
        <v>0</v>
      </c>
      <c r="AJ283" s="28">
        <f>IF(ISERROR(AI283/B283*AF283),0,(AI283/B283*AF283))</f>
        <v>0</v>
      </c>
      <c r="AK283" s="58">
        <f>IF(ISERROR(O283/B283*AF283),0,(O283/B283*AF283))</f>
        <v>0</v>
      </c>
      <c r="AL283" s="28">
        <f>IF(ISERROR(H283/B283*AF283),0,(H283/B283*AF283))</f>
        <v>0</v>
      </c>
      <c r="AN283" s="51" t="str">
        <f>A283</f>
        <v xml:space="preserve">Henessey Vsop </v>
      </c>
      <c r="AO283" s="57">
        <f>IF(ISERROR(IF(B283=C283,D283/C283,(INT(D283/B283)+(((D283-B283*INT(D283/B283)))/C283)/100))),0,(IF(B283=C283,D283/C283,(INT(D283/B283)+(((D283-B283*INT(D283/B283)))/C283)/100))))</f>
        <v>0</v>
      </c>
      <c r="AP283" s="57">
        <f>IF(ISERROR(IF(B283=C283,E283/C283,(INT(E283/B283)+(((E283-B283*INT(E283/B283)))/C283)/100))),0,(IF(B283=C283,E283/C283,(INT(E283/B283)+(((E283-B283*INT(E283/B283)))/C283)/100))))</f>
        <v>0</v>
      </c>
      <c r="AQ283" s="57">
        <f>IF(ISERROR(IF(B283=C283,F283/C283,IF((INT(F283/B283)+(((F283-B283*INT(F283/B283)))/C283)/100)&lt;0,(INT(F283/B283)+(((F283-B283*INT(F283/B283)))/C283)/100)+(1-(B283/C283/100)),(INT(F283/B283)+(((F283-B283*INT(F283/B283)))/C283)/100)))),0,IF(B283=C283,F283/C283,IF((INT(F283/B283)+(((F283-B283*INT(F283/B283)))/C283)/100)&lt;0,(INT(F283/B283)+(((F283-B283*INT(F283/B283)))/C283)/100)+(1-(B283/C283/100)),(INT(F283/B283)+(((F283-B283*INT(F283/B283)))/C283)/100))))</f>
        <v>0</v>
      </c>
      <c r="AR283" s="57">
        <f>IF(ISERROR(IF(B283=C283,G283/C283,(INT(G283/B283)+(((G283-B283*INT(G283/B283)))/C283)/100))),0,(IF(B283=C283,G283/C283,(INT(G283/B283)+(((G283-B283*INT(G283/B283)))/C283)/100))))</f>
        <v>0</v>
      </c>
      <c r="AS283" s="57">
        <f>IF(ISERROR(IF(B283=C283,H283/C283,(INT(H283/B283)+(((H283-B283*INT(H283/B283)))/C283)/100))),0,(IF(B283=C283,H283/C283,(INT(H283/B283)+(((H283-B283*INT(H283/B283)))/C283)/100))))</f>
        <v>0</v>
      </c>
      <c r="AT283" s="57">
        <f>IF(ISERROR(IF(B283=C283,I283/C283,(INT(I283/B283)+(((I283-B283*INT(I283/B283)))/C283)/100))),0,(IF(B283=C283,I283/C283,(INT(I283/B283)+(((I283-B283*INT(I283/B283)))/C283)/100))))</f>
        <v>0</v>
      </c>
      <c r="AU283" s="57">
        <f>IF(ISERROR(IF(B283=C283,J283/C283,(INT(J283/B283)+(((J283-B283*INT(J283/B283)))/C283)/100))),0,(IF(B283=C283,J283/C283,(INT(J283/B283)+(((J283-B283*INT(J283/B283)))/C283)/100))))</f>
        <v>0</v>
      </c>
      <c r="AV283" s="57">
        <f>IF(ISERROR(IF(B283=C283,K283/C283,IF((INT(K283/B283)+(((K283-B283*INT(K283/B283)))/C283)/100)&lt;0,(INT(K283/B283)+(((K283-B283*INT(K283/B283)))/C283)/100)+(1-(B283/C283/100)),(INT(K283/B283)+(((K283-B283*INT(K283/B283)))/C283)/100)))),0,IF(B283=C283,K283/C283,IF((INT(K283/B283)+(((K283-B283*INT(K283/B283)))/C283)/100)&lt;0,(INT(K283/B283)+(((K283-B283*INT(K283/B283)))/C283)/100)+(1-(B283/C283/100)),(INT(K283/B283)+(((K283-B283*INT(K283/B283)))/C283)/100))))</f>
        <v>0</v>
      </c>
      <c r="AW283" s="57">
        <f>IF(ISERROR(IF(B283=C283,L283/C283,(INT(L283/B283)+(((L283-B283*INT(L283/B283)))/C283)/100))),0,(IF(B283=C283,L283/C283,(INT(L283/B283)+(((L283-B283*INT(L283/B283)))/C283)/100))))</f>
        <v>0</v>
      </c>
      <c r="AX283" s="57">
        <f>IF(ISERROR(IF(B283=C283,M283/C283,(INT(M283/B283)+(((M283-B283*INT(M283/B283)))/C283)/100))),0,(IF(B283=C283,M283/C283,(INT(M283/B283)+(((M283-B283*INT(M283/B283)))/C283)/100))))</f>
        <v>0</v>
      </c>
      <c r="AY283" s="57">
        <f>IF(ISERROR(IF(B283=C283,N283/C283,IF((INT(N283/B283)+(((N283-B283*INT(N283/B283)))/C283)/100)&lt;0,(INT(N283/B283)+(((N283-B283*INT(N283/B283)))/C283)/100)+(1-(B283/C283/100)),(INT(N283/B283)+(((N283-B283*INT(N283/B283)))/C283)/100)))),0,IF(B283=C283,N283/C283,IF((INT(N283/B283)+(((N283-B283*INT(N283/B283)))/C283)/100)&lt;0,(INT(N283/B283)+(((N283-B283*INT(N283/B283)))/C283)/100)+(1-(B283/C283/100)),(INT(N283/B283)+(((N283-B283*INT(N283/B283)))/C283)/100))))</f>
        <v>0</v>
      </c>
      <c r="AZ283" s="57">
        <f>IF(ISERROR(IF(B283=C283,O283/C283,(INT(O283/B283)+(((O283-B283*INT(O283/B283)))/C283)/100))),0,(IF(B283=C283,O283/C283,(INT(O283/B283)+(((O283-B283*INT(O283/B283)))/C283)/100))))</f>
        <v>0</v>
      </c>
      <c r="BA283" s="57">
        <f>IF(ISERROR(IF(B283=C283,P283/C283,IF((INT(P283/B283)+(((P283-B283*INT(P283/B283)))/C283)/100)&lt;0,(INT(P283/B283)+(((P283-B283*INT(P283/B283)))/C283)/100)+(1-(B283/C283/100)),(INT(P283/B283)+(((P283-B283*INT(P283/B283)))/C283)/100)))),0,IF(B283=C283,P283/C283,IF((INT(P283/B283)+(((P283-B283*INT(P283/B283)))/C283)/100)&lt;0,(INT(P283/B283)+(((P283-B283*INT(P283/B283)))/C283)/100)+(1-(B283/C283/100)),(INT(P283/B283)+(((P283-B283*INT(P283/B283)))/C283)/100))))</f>
        <v>0</v>
      </c>
      <c r="BB283" s="28">
        <f>R283</f>
        <v>600</v>
      </c>
      <c r="BC283" s="28">
        <f>S283</f>
        <v>0</v>
      </c>
      <c r="BD283" s="28">
        <f>AF283</f>
        <v>9657.7791666666672</v>
      </c>
      <c r="BE283" s="28">
        <f>T283</f>
        <v>0</v>
      </c>
      <c r="BG283" s="57">
        <f>IF(ISERROR(IF(B283=C283,V283/C283,(INT(V283/B283)+(((V283-B283*INT(V283/B283)))/C283)/100))),0,(IF(B283=C283,V283/C283,(INT(V283/B283)+(((V283-B283*INT(V283/B283)))/C283)/100))))</f>
        <v>0</v>
      </c>
      <c r="BH283" s="57">
        <f>IF(ISERROR(IF(B283=C283,W283/C283,(INT(W283/B283)+(((W283-B283*INT(W283/B283)))/C283)/100))),0,(IF(B283=C283,W283/C283,(INT(W283/B283)+(((W283-B283*INT(W283/B283)))/C283)/100))))</f>
        <v>0</v>
      </c>
      <c r="BI283" s="57">
        <f>IF(ISERROR(IF(B283=C283,X283/C283,(INT(X283/B283)+(((X283-B283*INT(X283/B283)))/C283)/100))),0,(IF(B283=C283,X283/C283,(INT(X283/B283)+(((X283-B283*INT(X283/B283)))/C283)/100))))</f>
        <v>0</v>
      </c>
      <c r="BJ283" s="57">
        <f>IF(ISERROR(IF(B283=C283,Y283/C283,(INT(Y283/B283)+(((Y283-B283*INT(Y283/B283)))/C283)/100))),0,(IF(B283=C283,Y283/C283,(INT(Y283/B283)+(((Y283-B283*INT(Y283/B283)))/C283)/100))))</f>
        <v>0</v>
      </c>
      <c r="BL283" s="57">
        <f>IF(ISERROR(IF(B283=C283,AA283/C283,(INT(AA283/B283)+(((AA283-B283*INT(AA283/B283)))/C283)/100))),0,(IF(B283=C283,AA283/C283,(INT(AA283/B283)+(((AA283-B283*INT(AA283/B283)))/C283)/100))))</f>
        <v>0</v>
      </c>
      <c r="BM283" s="57">
        <f>IF(ISERROR(IF(B283=C283,AB283/C283,(INT(AB283/B283)+(((AB283-B283*INT(AB283/B283)))/C283)/100))),0,(IF(B283=C283,AB283/C283,(INT(AB283/B283)+(((AB283-B283*INT(AB283/B283)))/C283)/100))))</f>
        <v>0</v>
      </c>
      <c r="BN283" s="57">
        <f>IF(ISERROR(IF(B283=C283,AC283/C283,(INT(AC283/B283)+(((AC283-B283*INT(AC283/B283)))/C283)/100))),0,(IF(B283=C283,AC283/C283,(INT(AC283/B283)+(((AC283-B283*INT(AC283/B283)))/C283)/100))))</f>
        <v>0</v>
      </c>
      <c r="BO283" s="57">
        <f>IF(ISERROR(IF(B283=C283,AD283/C283,(INT(AD283/B283)+(((AD283-B283*INT(AD283/B283)))/C283)/100))),0,(IF(B283=C283,AD283/C283,(INT(AD283/B283)+(((AD283-B283*INT(AD283/B283)))/C283)/100))))</f>
        <v>0</v>
      </c>
      <c r="BQ283" s="155" t="s">
        <v>258</v>
      </c>
    </row>
    <row r="284" spans="1:69" x14ac:dyDescent="0.35">
      <c r="A284" s="165" t="s">
        <v>263</v>
      </c>
      <c r="B284" s="113">
        <v>700</v>
      </c>
      <c r="C284" s="113">
        <v>30</v>
      </c>
      <c r="D284" s="28">
        <f>SUM(AA284:AD284)</f>
        <v>0</v>
      </c>
      <c r="E284" s="113">
        <v>0</v>
      </c>
      <c r="F284" s="113">
        <v>0</v>
      </c>
      <c r="G284" s="28">
        <f>SUM(D284:F284)</f>
        <v>0</v>
      </c>
      <c r="H284" s="125">
        <v>0</v>
      </c>
      <c r="I284" s="113">
        <v>0</v>
      </c>
      <c r="J284" s="125">
        <v>0</v>
      </c>
      <c r="K284" s="113">
        <v>0</v>
      </c>
      <c r="L284" s="113">
        <v>0</v>
      </c>
      <c r="M284" s="113">
        <v>0</v>
      </c>
      <c r="N284" s="28">
        <f>G284-SUM(H284:M284)</f>
        <v>0</v>
      </c>
      <c r="O284" s="28">
        <f>SUM(V284:Y284)</f>
        <v>0</v>
      </c>
      <c r="P284" s="28">
        <f>O284-N284</f>
        <v>0</v>
      </c>
      <c r="Q284" s="61" t="str">
        <f>IF(ISERROR(P284/SUM(H284:L284)),"",P284/SUM(H284:L284))</f>
        <v/>
      </c>
      <c r="R284" s="113">
        <v>400</v>
      </c>
      <c r="S284" s="28">
        <f>IF(ISERROR(P284/C284*R284),0,(P284/C284*R284))</f>
        <v>0</v>
      </c>
      <c r="T284" s="60">
        <f>IF(ISERROR(P284/B284*AF284),0,(P284/B284*AF284))</f>
        <v>0</v>
      </c>
      <c r="V284" s="113">
        <v>0</v>
      </c>
      <c r="W284" s="113">
        <v>0</v>
      </c>
      <c r="X284" s="113">
        <v>0</v>
      </c>
      <c r="Y284" s="113">
        <v>0</v>
      </c>
      <c r="AA284" s="113">
        <v>0</v>
      </c>
      <c r="AB284" s="113">
        <v>0</v>
      </c>
      <c r="AC284" s="113">
        <v>0</v>
      </c>
      <c r="AD284" s="113">
        <v>0</v>
      </c>
      <c r="AF284" s="163">
        <v>6528.0958333333328</v>
      </c>
      <c r="AG284" s="28">
        <f>G284-O284</f>
        <v>0</v>
      </c>
      <c r="AH284" s="58">
        <f>IF(ISERROR(AG284/B284*AF284),0,(AG284/B284*AF284))</f>
        <v>0</v>
      </c>
      <c r="AI284" s="28">
        <f>SUM(H284:M284)</f>
        <v>0</v>
      </c>
      <c r="AJ284" s="28">
        <f>IF(ISERROR(AI284/B284*AF284),0,(AI284/B284*AF284))</f>
        <v>0</v>
      </c>
      <c r="AK284" s="58">
        <f>IF(ISERROR(O284/B284*AF284),0,(O284/B284*AF284))</f>
        <v>0</v>
      </c>
      <c r="AL284" s="28">
        <f>IF(ISERROR(H284/B284*AF284),0,(H284/B284*AF284))</f>
        <v>0</v>
      </c>
      <c r="AN284" s="51" t="str">
        <f>A284</f>
        <v xml:space="preserve">jagamister </v>
      </c>
      <c r="AO284" s="57">
        <f>IF(ISERROR(IF(B284=C284,D284/C284,(INT(D284/B284)+(((D284-B284*INT(D284/B284)))/C284)/100))),0,(IF(B284=C284,D284/C284,(INT(D284/B284)+(((D284-B284*INT(D284/B284)))/C284)/100))))</f>
        <v>0</v>
      </c>
      <c r="AP284" s="57">
        <f>IF(ISERROR(IF(B284=C284,E284/C284,(INT(E284/B284)+(((E284-B284*INT(E284/B284)))/C284)/100))),0,(IF(B284=C284,E284/C284,(INT(E284/B284)+(((E284-B284*INT(E284/B284)))/C284)/100))))</f>
        <v>0</v>
      </c>
      <c r="AQ284" s="57">
        <f>IF(ISERROR(IF(B284=C284,F284/C284,IF((INT(F284/B284)+(((F284-B284*INT(F284/B284)))/C284)/100)&lt;0,(INT(F284/B284)+(((F284-B284*INT(F284/B284)))/C284)/100)+(1-(B284/C284/100)),(INT(F284/B284)+(((F284-B284*INT(F284/B284)))/C284)/100)))),0,IF(B284=C284,F284/C284,IF((INT(F284/B284)+(((F284-B284*INT(F284/B284)))/C284)/100)&lt;0,(INT(F284/B284)+(((F284-B284*INT(F284/B284)))/C284)/100)+(1-(B284/C284/100)),(INT(F284/B284)+(((F284-B284*INT(F284/B284)))/C284)/100))))</f>
        <v>0</v>
      </c>
      <c r="AR284" s="57">
        <f>IF(ISERROR(IF(B284=C284,G284/C284,(INT(G284/B284)+(((G284-B284*INT(G284/B284)))/C284)/100))),0,(IF(B284=C284,G284/C284,(INT(G284/B284)+(((G284-B284*INT(G284/B284)))/C284)/100))))</f>
        <v>0</v>
      </c>
      <c r="AS284" s="57">
        <f>IF(ISERROR(IF(B284=C284,H284/C284,(INT(H284/B284)+(((H284-B284*INT(H284/B284)))/C284)/100))),0,(IF(B284=C284,H284/C284,(INT(H284/B284)+(((H284-B284*INT(H284/B284)))/C284)/100))))</f>
        <v>0</v>
      </c>
      <c r="AT284" s="57">
        <f>IF(ISERROR(IF(B284=C284,I284/C284,(INT(I284/B284)+(((I284-B284*INT(I284/B284)))/C284)/100))),0,(IF(B284=C284,I284/C284,(INT(I284/B284)+(((I284-B284*INT(I284/B284)))/C284)/100))))</f>
        <v>0</v>
      </c>
      <c r="AU284" s="57">
        <f>IF(ISERROR(IF(B284=C284,J284/C284,(INT(J284/B284)+(((J284-B284*INT(J284/B284)))/C284)/100))),0,(IF(B284=C284,J284/C284,(INT(J284/B284)+(((J284-B284*INT(J284/B284)))/C284)/100))))</f>
        <v>0</v>
      </c>
      <c r="AV284" s="57">
        <f>IF(ISERROR(IF(B284=C284,K284/C284,IF((INT(K284/B284)+(((K284-B284*INT(K284/B284)))/C284)/100)&lt;0,(INT(K284/B284)+(((K284-B284*INT(K284/B284)))/C284)/100)+(1-(B284/C284/100)),(INT(K284/B284)+(((K284-B284*INT(K284/B284)))/C284)/100)))),0,IF(B284=C284,K284/C284,IF((INT(K284/B284)+(((K284-B284*INT(K284/B284)))/C284)/100)&lt;0,(INT(K284/B284)+(((K284-B284*INT(K284/B284)))/C284)/100)+(1-(B284/C284/100)),(INT(K284/B284)+(((K284-B284*INT(K284/B284)))/C284)/100))))</f>
        <v>0</v>
      </c>
      <c r="AW284" s="57">
        <f>IF(ISERROR(IF(B284=C284,L284/C284,(INT(L284/B284)+(((L284-B284*INT(L284/B284)))/C284)/100))),0,(IF(B284=C284,L284/C284,(INT(L284/B284)+(((L284-B284*INT(L284/B284)))/C284)/100))))</f>
        <v>0</v>
      </c>
      <c r="AX284" s="57">
        <f>IF(ISERROR(IF(B284=C284,M284/C284,(INT(M284/B284)+(((M284-B284*INT(M284/B284)))/C284)/100))),0,(IF(B284=C284,M284/C284,(INT(M284/B284)+(((M284-B284*INT(M284/B284)))/C284)/100))))</f>
        <v>0</v>
      </c>
      <c r="AY284" s="57">
        <f>IF(ISERROR(IF(B284=C284,N284/C284,IF((INT(N284/B284)+(((N284-B284*INT(N284/B284)))/C284)/100)&lt;0,(INT(N284/B284)+(((N284-B284*INT(N284/B284)))/C284)/100)+(1-(B284/C284/100)),(INT(N284/B284)+(((N284-B284*INT(N284/B284)))/C284)/100)))),0,IF(B284=C284,N284/C284,IF((INT(N284/B284)+(((N284-B284*INT(N284/B284)))/C284)/100)&lt;0,(INT(N284/B284)+(((N284-B284*INT(N284/B284)))/C284)/100)+(1-(B284/C284/100)),(INT(N284/B284)+(((N284-B284*INT(N284/B284)))/C284)/100))))</f>
        <v>0</v>
      </c>
      <c r="AZ284" s="57">
        <f>IF(ISERROR(IF(B284=C284,O284/C284,(INT(O284/B284)+(((O284-B284*INT(O284/B284)))/C284)/100))),0,(IF(B284=C284,O284/C284,(INT(O284/B284)+(((O284-B284*INT(O284/B284)))/C284)/100))))</f>
        <v>0</v>
      </c>
      <c r="BA284" s="57">
        <f>IF(ISERROR(IF(B284=C284,P284/C284,IF((INT(P284/B284)+(((P284-B284*INT(P284/B284)))/C284)/100)&lt;0,(INT(P284/B284)+(((P284-B284*INT(P284/B284)))/C284)/100)+(1-(B284/C284/100)),(INT(P284/B284)+(((P284-B284*INT(P284/B284)))/C284)/100)))),0,IF(B284=C284,P284/C284,IF((INT(P284/B284)+(((P284-B284*INT(P284/B284)))/C284)/100)&lt;0,(INT(P284/B284)+(((P284-B284*INT(P284/B284)))/C284)/100)+(1-(B284/C284/100)),(INT(P284/B284)+(((P284-B284*INT(P284/B284)))/C284)/100))))</f>
        <v>0</v>
      </c>
      <c r="BB284" s="28">
        <f>R284</f>
        <v>400</v>
      </c>
      <c r="BC284" s="28">
        <f>S284</f>
        <v>0</v>
      </c>
      <c r="BD284" s="28">
        <f>AF284</f>
        <v>6528.0958333333328</v>
      </c>
      <c r="BE284" s="28">
        <f>T284</f>
        <v>0</v>
      </c>
      <c r="BG284" s="57">
        <f>IF(ISERROR(IF(B284=C284,V284/C284,(INT(V284/B284)+(((V284-B284*INT(V284/B284)))/C284)/100))),0,(IF(B284=C284,V284/C284,(INT(V284/B284)+(((V284-B284*INT(V284/B284)))/C284)/100))))</f>
        <v>0</v>
      </c>
      <c r="BH284" s="57">
        <f>IF(ISERROR(IF(B284=C284,W284/C284,(INT(W284/B284)+(((W284-B284*INT(W284/B284)))/C284)/100))),0,(IF(B284=C284,W284/C284,(INT(W284/B284)+(((W284-B284*INT(W284/B284)))/C284)/100))))</f>
        <v>0</v>
      </c>
      <c r="BI284" s="57">
        <f>IF(ISERROR(IF(B284=C284,X284/C284,(INT(X284/B284)+(((X284-B284*INT(X284/B284)))/C284)/100))),0,(IF(B284=C284,X284/C284,(INT(X284/B284)+(((X284-B284*INT(X284/B284)))/C284)/100))))</f>
        <v>0</v>
      </c>
      <c r="BJ284" s="57">
        <f>IF(ISERROR(IF(B284=C284,Y284/C284,(INT(Y284/B284)+(((Y284-B284*INT(Y284/B284)))/C284)/100))),0,(IF(B284=C284,Y284/C284,(INT(Y284/B284)+(((Y284-B284*INT(Y284/B284)))/C284)/100))))</f>
        <v>0</v>
      </c>
      <c r="BL284" s="57">
        <f>IF(ISERROR(IF(B284=C284,AA284/C284,(INT(AA284/B284)+(((AA284-B284*INT(AA284/B284)))/C284)/100))),0,(IF(B284=C284,AA284/C284,(INT(AA284/B284)+(((AA284-B284*INT(AA284/B284)))/C284)/100))))</f>
        <v>0</v>
      </c>
      <c r="BM284" s="57">
        <f>IF(ISERROR(IF(B284=C284,AB284/C284,(INT(AB284/B284)+(((AB284-B284*INT(AB284/B284)))/C284)/100))),0,(IF(B284=C284,AB284/C284,(INT(AB284/B284)+(((AB284-B284*INT(AB284/B284)))/C284)/100))))</f>
        <v>0</v>
      </c>
      <c r="BN284" s="57">
        <f>IF(ISERROR(IF(B284=C284,AC284/C284,(INT(AC284/B284)+(((AC284-B284*INT(AC284/B284)))/C284)/100))),0,(IF(B284=C284,AC284/C284,(INT(AC284/B284)+(((AC284-B284*INT(AC284/B284)))/C284)/100))))</f>
        <v>0</v>
      </c>
      <c r="BO284" s="57">
        <f>IF(ISERROR(IF(B284=C284,AD284/C284,(INT(AD284/B284)+(((AD284-B284*INT(AD284/B284)))/C284)/100))),0,(IF(B284=C284,AD284/C284,(INT(AD284/B284)+(((AD284-B284*INT(AD284/B284)))/C284)/100))))</f>
        <v>0</v>
      </c>
      <c r="BQ284" s="155" t="s">
        <v>232</v>
      </c>
    </row>
    <row r="285" spans="1:69" x14ac:dyDescent="0.35">
      <c r="A285" s="165" t="s">
        <v>262</v>
      </c>
      <c r="B285" s="113">
        <v>700</v>
      </c>
      <c r="C285" s="113">
        <v>30</v>
      </c>
      <c r="D285" s="28">
        <f>SUM(AA285:AD285)</f>
        <v>0</v>
      </c>
      <c r="E285" s="113">
        <v>0</v>
      </c>
      <c r="F285" s="113">
        <v>0</v>
      </c>
      <c r="G285" s="28">
        <f>SUM(D285:F285)</f>
        <v>0</v>
      </c>
      <c r="H285" s="164">
        <v>0</v>
      </c>
      <c r="I285" s="113">
        <v>0</v>
      </c>
      <c r="J285" s="125">
        <v>0</v>
      </c>
      <c r="K285" s="113">
        <v>0</v>
      </c>
      <c r="L285" s="113">
        <v>0</v>
      </c>
      <c r="M285" s="113">
        <v>0</v>
      </c>
      <c r="N285" s="28">
        <f>G285-SUM(H285:M285)</f>
        <v>0</v>
      </c>
      <c r="O285" s="28">
        <f>SUM(V285:Y285)</f>
        <v>0</v>
      </c>
      <c r="P285" s="28">
        <f>O285-N285</f>
        <v>0</v>
      </c>
      <c r="Q285" s="61" t="str">
        <f>IF(ISERROR(P285/SUM(H285:L285)),"",P285/SUM(H285:L285))</f>
        <v/>
      </c>
      <c r="R285" s="113">
        <v>300</v>
      </c>
      <c r="S285" s="28">
        <f>IF(ISERROR(P285/C285*R285),0,(P285/C285*R285))</f>
        <v>0</v>
      </c>
      <c r="T285" s="60">
        <f>IF(ISERROR(P285/B285*AF285),0,(P285/B285*AF285))</f>
        <v>0</v>
      </c>
      <c r="V285" s="113">
        <v>0</v>
      </c>
      <c r="W285" s="113">
        <v>0</v>
      </c>
      <c r="X285" s="113">
        <v>0</v>
      </c>
      <c r="Y285" s="113">
        <v>0</v>
      </c>
      <c r="AA285" s="113">
        <v>0</v>
      </c>
      <c r="AB285" s="113">
        <v>0</v>
      </c>
      <c r="AC285" s="113">
        <v>0</v>
      </c>
      <c r="AD285" s="113">
        <v>0</v>
      </c>
      <c r="AF285" s="163">
        <v>4930.041666666667</v>
      </c>
      <c r="AG285" s="28">
        <f>G285-O285</f>
        <v>0</v>
      </c>
      <c r="AH285" s="58">
        <f>IF(ISERROR(AG285/B285*AF285),0,(AG285/B285*AF285))</f>
        <v>0</v>
      </c>
      <c r="AI285" s="28">
        <f>SUM(H285:M285)</f>
        <v>0</v>
      </c>
      <c r="AJ285" s="28">
        <f>IF(ISERROR(AI285/B285*AF285),0,(AI285/B285*AF285))</f>
        <v>0</v>
      </c>
      <c r="AK285" s="58">
        <f>IF(ISERROR(O285/B285*AF285),0,(O285/B285*AF285))</f>
        <v>0</v>
      </c>
      <c r="AL285" s="28">
        <f>IF(ISERROR(H285/B285*AF285),0,(H285/B285*AF285))</f>
        <v>0</v>
      </c>
      <c r="AN285" s="51" t="str">
        <f>A285</f>
        <v xml:space="preserve">Midori Melon </v>
      </c>
      <c r="AO285" s="57">
        <f>IF(ISERROR(IF(B285=C285,D285/C285,(INT(D285/B285)+(((D285-B285*INT(D285/B285)))/C285)/100))),0,(IF(B285=C285,D285/C285,(INT(D285/B285)+(((D285-B285*INT(D285/B285)))/C285)/100))))</f>
        <v>0</v>
      </c>
      <c r="AP285" s="57">
        <f>IF(ISERROR(IF(B285=C285,E285/C285,(INT(E285/B285)+(((E285-B285*INT(E285/B285)))/C285)/100))),0,(IF(B285=C285,E285/C285,(INT(E285/B285)+(((E285-B285*INT(E285/B285)))/C285)/100))))</f>
        <v>0</v>
      </c>
      <c r="AQ285" s="57">
        <f>IF(ISERROR(IF(B285=C285,F285/C285,IF((INT(F285/B285)+(((F285-B285*INT(F285/B285)))/C285)/100)&lt;0,(INT(F285/B285)+(((F285-B285*INT(F285/B285)))/C285)/100)+(1-(B285/C285/100)),(INT(F285/B285)+(((F285-B285*INT(F285/B285)))/C285)/100)))),0,IF(B285=C285,F285/C285,IF((INT(F285/B285)+(((F285-B285*INT(F285/B285)))/C285)/100)&lt;0,(INT(F285/B285)+(((F285-B285*INT(F285/B285)))/C285)/100)+(1-(B285/C285/100)),(INT(F285/B285)+(((F285-B285*INT(F285/B285)))/C285)/100))))</f>
        <v>0</v>
      </c>
      <c r="AR285" s="57">
        <f>IF(ISERROR(IF(B285=C285,G285/C285,(INT(G285/B285)+(((G285-B285*INT(G285/B285)))/C285)/100))),0,(IF(B285=C285,G285/C285,(INT(G285/B285)+(((G285-B285*INT(G285/B285)))/C285)/100))))</f>
        <v>0</v>
      </c>
      <c r="AS285" s="57">
        <f>IF(ISERROR(IF(B285=C285,H285/C285,(INT(H285/B285)+(((H285-B285*INT(H285/B285)))/C285)/100))),0,(IF(B285=C285,H285/C285,(INT(H285/B285)+(((H285-B285*INT(H285/B285)))/C285)/100))))</f>
        <v>0</v>
      </c>
      <c r="AT285" s="57">
        <f>IF(ISERROR(IF(B285=C285,I285/C285,(INT(I285/B285)+(((I285-B285*INT(I285/B285)))/C285)/100))),0,(IF(B285=C285,I285/C285,(INT(I285/B285)+(((I285-B285*INT(I285/B285)))/C285)/100))))</f>
        <v>0</v>
      </c>
      <c r="AU285" s="57">
        <f>IF(ISERROR(IF(B285=C285,J285/C285,(INT(J285/B285)+(((J285-B285*INT(J285/B285)))/C285)/100))),0,(IF(B285=C285,J285/C285,(INT(J285/B285)+(((J285-B285*INT(J285/B285)))/C285)/100))))</f>
        <v>0</v>
      </c>
      <c r="AV285" s="57">
        <f>IF(ISERROR(IF(B285=C285,K285/C285,IF((INT(K285/B285)+(((K285-B285*INT(K285/B285)))/C285)/100)&lt;0,(INT(K285/B285)+(((K285-B285*INT(K285/B285)))/C285)/100)+(1-(B285/C285/100)),(INT(K285/B285)+(((K285-B285*INT(K285/B285)))/C285)/100)))),0,IF(B285=C285,K285/C285,IF((INT(K285/B285)+(((K285-B285*INT(K285/B285)))/C285)/100)&lt;0,(INT(K285/B285)+(((K285-B285*INT(K285/B285)))/C285)/100)+(1-(B285/C285/100)),(INT(K285/B285)+(((K285-B285*INT(K285/B285)))/C285)/100))))</f>
        <v>0</v>
      </c>
      <c r="AW285" s="57">
        <f>IF(ISERROR(IF(B285=C285,L285/C285,(INT(L285/B285)+(((L285-B285*INT(L285/B285)))/C285)/100))),0,(IF(B285=C285,L285/C285,(INT(L285/B285)+(((L285-B285*INT(L285/B285)))/C285)/100))))</f>
        <v>0</v>
      </c>
      <c r="AX285" s="57">
        <f>IF(ISERROR(IF(B285=C285,M285/C285,(INT(M285/B285)+(((M285-B285*INT(M285/B285)))/C285)/100))),0,(IF(B285=C285,M285/C285,(INT(M285/B285)+(((M285-B285*INT(M285/B285)))/C285)/100))))</f>
        <v>0</v>
      </c>
      <c r="AY285" s="57">
        <f>IF(ISERROR(IF(B285=C285,N285/C285,IF((INT(N285/B285)+(((N285-B285*INT(N285/B285)))/C285)/100)&lt;0,(INT(N285/B285)+(((N285-B285*INT(N285/B285)))/C285)/100)+(1-(B285/C285/100)),(INT(N285/B285)+(((N285-B285*INT(N285/B285)))/C285)/100)))),0,IF(B285=C285,N285/C285,IF((INT(N285/B285)+(((N285-B285*INT(N285/B285)))/C285)/100)&lt;0,(INT(N285/B285)+(((N285-B285*INT(N285/B285)))/C285)/100)+(1-(B285/C285/100)),(INT(N285/B285)+(((N285-B285*INT(N285/B285)))/C285)/100))))</f>
        <v>0</v>
      </c>
      <c r="AZ285" s="57">
        <f>IF(ISERROR(IF(B285=C285,O285/C285,(INT(O285/B285)+(((O285-B285*INT(O285/B285)))/C285)/100))),0,(IF(B285=C285,O285/C285,(INT(O285/B285)+(((O285-B285*INT(O285/B285)))/C285)/100))))</f>
        <v>0</v>
      </c>
      <c r="BA285" s="57">
        <f>IF(ISERROR(IF(B285=C285,P285/C285,IF((INT(P285/B285)+(((P285-B285*INT(P285/B285)))/C285)/100)&lt;0,(INT(P285/B285)+(((P285-B285*INT(P285/B285)))/C285)/100)+(1-(B285/C285/100)),(INT(P285/B285)+(((P285-B285*INT(P285/B285)))/C285)/100)))),0,IF(B285=C285,P285/C285,IF((INT(P285/B285)+(((P285-B285*INT(P285/B285)))/C285)/100)&lt;0,(INT(P285/B285)+(((P285-B285*INT(P285/B285)))/C285)/100)+(1-(B285/C285/100)),(INT(P285/B285)+(((P285-B285*INT(P285/B285)))/C285)/100))))</f>
        <v>0</v>
      </c>
      <c r="BB285" s="28">
        <f>R285</f>
        <v>300</v>
      </c>
      <c r="BC285" s="28">
        <f>S285</f>
        <v>0</v>
      </c>
      <c r="BD285" s="28">
        <f>AF285</f>
        <v>4930.041666666667</v>
      </c>
      <c r="BE285" s="28">
        <f>T285</f>
        <v>0</v>
      </c>
      <c r="BG285" s="57">
        <f>IF(ISERROR(IF(B285=C285,V285/C285,(INT(V285/B285)+(((V285-B285*INT(V285/B285)))/C285)/100))),0,(IF(B285=C285,V285/C285,(INT(V285/B285)+(((V285-B285*INT(V285/B285)))/C285)/100))))</f>
        <v>0</v>
      </c>
      <c r="BH285" s="57">
        <f>IF(ISERROR(IF(B285=C285,W285/C285,(INT(W285/B285)+(((W285-B285*INT(W285/B285)))/C285)/100))),0,(IF(B285=C285,W285/C285,(INT(W285/B285)+(((W285-B285*INT(W285/B285)))/C285)/100))))</f>
        <v>0</v>
      </c>
      <c r="BI285" s="57">
        <f>IF(ISERROR(IF(B285=C285,X285/C285,(INT(X285/B285)+(((X285-B285*INT(X285/B285)))/C285)/100))),0,(IF(B285=C285,X285/C285,(INT(X285/B285)+(((X285-B285*INT(X285/B285)))/C285)/100))))</f>
        <v>0</v>
      </c>
      <c r="BJ285" s="57">
        <f>IF(ISERROR(IF(B285=C285,Y285/C285,(INT(Y285/B285)+(((Y285-B285*INT(Y285/B285)))/C285)/100))),0,(IF(B285=C285,Y285/C285,(INT(Y285/B285)+(((Y285-B285*INT(Y285/B285)))/C285)/100))))</f>
        <v>0</v>
      </c>
      <c r="BL285" s="57">
        <f>IF(ISERROR(IF(B285=C285,AA285/C285,(INT(AA285/B285)+(((AA285-B285*INT(AA285/B285)))/C285)/100))),0,(IF(B285=C285,AA285/C285,(INT(AA285/B285)+(((AA285-B285*INT(AA285/B285)))/C285)/100))))</f>
        <v>0</v>
      </c>
      <c r="BM285" s="57">
        <f>IF(ISERROR(IF(B285=C285,AB285/C285,(INT(AB285/B285)+(((AB285-B285*INT(AB285/B285)))/C285)/100))),0,(IF(B285=C285,AB285/C285,(INT(AB285/B285)+(((AB285-B285*INT(AB285/B285)))/C285)/100))))</f>
        <v>0</v>
      </c>
      <c r="BN285" s="57">
        <f>IF(ISERROR(IF(B285=C285,AC285/C285,(INT(AC285/B285)+(((AC285-B285*INT(AC285/B285)))/C285)/100))),0,(IF(B285=C285,AC285/C285,(INT(AC285/B285)+(((AC285-B285*INT(AC285/B285)))/C285)/100))))</f>
        <v>0</v>
      </c>
      <c r="BO285" s="57">
        <f>IF(ISERROR(IF(B285=C285,AD285/C285,(INT(AD285/B285)+(((AD285-B285*INT(AD285/B285)))/C285)/100))),0,(IF(B285=C285,AD285/C285,(INT(AD285/B285)+(((AD285-B285*INT(AD285/B285)))/C285)/100))))</f>
        <v>0</v>
      </c>
      <c r="BQ285" s="155" t="s">
        <v>232</v>
      </c>
    </row>
    <row r="286" spans="1:69" x14ac:dyDescent="0.35">
      <c r="A286" s="134" t="s">
        <v>261</v>
      </c>
      <c r="B286" s="113">
        <v>700</v>
      </c>
      <c r="C286" s="113">
        <v>30</v>
      </c>
      <c r="D286" s="28">
        <f>SUM(AA286:AD286)</f>
        <v>0</v>
      </c>
      <c r="E286" s="113">
        <v>0</v>
      </c>
      <c r="F286" s="113">
        <v>0</v>
      </c>
      <c r="G286" s="28">
        <f>SUM(D286:F286)</f>
        <v>0</v>
      </c>
      <c r="H286" s="125">
        <v>0</v>
      </c>
      <c r="I286" s="113">
        <v>0</v>
      </c>
      <c r="J286" s="125">
        <v>0</v>
      </c>
      <c r="K286" s="113">
        <v>0</v>
      </c>
      <c r="L286" s="113">
        <v>0</v>
      </c>
      <c r="M286" s="113">
        <v>0</v>
      </c>
      <c r="N286" s="28">
        <f>G286-SUM(H286:M286)</f>
        <v>0</v>
      </c>
      <c r="O286" s="28">
        <f>SUM(V286:Y286)</f>
        <v>0</v>
      </c>
      <c r="P286" s="28">
        <f>O286-N286</f>
        <v>0</v>
      </c>
      <c r="Q286" s="61" t="str">
        <f>IF(ISERROR(P286/SUM(H286:L286)),"",P286/SUM(H286:L286))</f>
        <v/>
      </c>
      <c r="R286" s="113">
        <v>250</v>
      </c>
      <c r="S286" s="28">
        <f>IF(ISERROR(P286/C286*R286),0,(P286/C286*R286))</f>
        <v>0</v>
      </c>
      <c r="T286" s="60">
        <f>IF(ISERROR(P286/B286*AF286),0,(P286/B286*AF286))</f>
        <v>0</v>
      </c>
      <c r="V286" s="113">
        <v>0</v>
      </c>
      <c r="W286" s="113">
        <v>0</v>
      </c>
      <c r="X286" s="113">
        <v>0</v>
      </c>
      <c r="Y286" s="113">
        <v>0</v>
      </c>
      <c r="AA286" s="113">
        <v>0</v>
      </c>
      <c r="AB286" s="113">
        <v>0</v>
      </c>
      <c r="AC286" s="113">
        <v>0</v>
      </c>
      <c r="AD286" s="113">
        <v>0</v>
      </c>
      <c r="AF286" s="163">
        <v>2507.4500000000003</v>
      </c>
      <c r="AG286" s="28">
        <f>G286-O286</f>
        <v>0</v>
      </c>
      <c r="AH286" s="58">
        <f>IF(ISERROR(AG286/B286*AF286),0,(AG286/B286*AF286))</f>
        <v>0</v>
      </c>
      <c r="AI286" s="28">
        <f>SUM(H286:M286)</f>
        <v>0</v>
      </c>
      <c r="AJ286" s="28">
        <f>IF(ISERROR(AI286/B286*AF286),0,(AI286/B286*AF286))</f>
        <v>0</v>
      </c>
      <c r="AK286" s="58">
        <f>IF(ISERROR(O286/B286*AF286),0,(O286/B286*AF286))</f>
        <v>0</v>
      </c>
      <c r="AL286" s="28">
        <f>IF(ISERROR(H286/B286*AF286),0,(H286/B286*AF286))</f>
        <v>0</v>
      </c>
      <c r="AN286" s="51" t="str">
        <f>A286</f>
        <v xml:space="preserve">Tequila Don Angel </v>
      </c>
      <c r="AO286" s="57">
        <f>IF(ISERROR(IF(B286=C286,D286/C286,(INT(D286/B286)+(((D286-B286*INT(D286/B286)))/C286)/100))),0,(IF(B286=C286,D286/C286,(INT(D286/B286)+(((D286-B286*INT(D286/B286)))/C286)/100))))</f>
        <v>0</v>
      </c>
      <c r="AP286" s="57">
        <f>IF(ISERROR(IF(B286=C286,E286/C286,(INT(E286/B286)+(((E286-B286*INT(E286/B286)))/C286)/100))),0,(IF(B286=C286,E286/C286,(INT(E286/B286)+(((E286-B286*INT(E286/B286)))/C286)/100))))</f>
        <v>0</v>
      </c>
      <c r="AQ286" s="57">
        <f>IF(ISERROR(IF(B286=C286,F286/C286,IF((INT(F286/B286)+(((F286-B286*INT(F286/B286)))/C286)/100)&lt;0,(INT(F286/B286)+(((F286-B286*INT(F286/B286)))/C286)/100)+(1-(B286/C286/100)),(INT(F286/B286)+(((F286-B286*INT(F286/B286)))/C286)/100)))),0,IF(B286=C286,F286/C286,IF((INT(F286/B286)+(((F286-B286*INT(F286/B286)))/C286)/100)&lt;0,(INT(F286/B286)+(((F286-B286*INT(F286/B286)))/C286)/100)+(1-(B286/C286/100)),(INT(F286/B286)+(((F286-B286*INT(F286/B286)))/C286)/100))))</f>
        <v>0</v>
      </c>
      <c r="AR286" s="57">
        <f>IF(ISERROR(IF(B286=C286,G286/C286,(INT(G286/B286)+(((G286-B286*INT(G286/B286)))/C286)/100))),0,(IF(B286=C286,G286/C286,(INT(G286/B286)+(((G286-B286*INT(G286/B286)))/C286)/100))))</f>
        <v>0</v>
      </c>
      <c r="AS286" s="57">
        <f>IF(ISERROR(IF(B286=C286,H286/C286,(INT(H286/B286)+(((H286-B286*INT(H286/B286)))/C286)/100))),0,(IF(B286=C286,H286/C286,(INT(H286/B286)+(((H286-B286*INT(H286/B286)))/C286)/100))))</f>
        <v>0</v>
      </c>
      <c r="AT286" s="57">
        <f>IF(ISERROR(IF(B286=C286,I286/C286,(INT(I286/B286)+(((I286-B286*INT(I286/B286)))/C286)/100))),0,(IF(B286=C286,I286/C286,(INT(I286/B286)+(((I286-B286*INT(I286/B286)))/C286)/100))))</f>
        <v>0</v>
      </c>
      <c r="AU286" s="57">
        <f>IF(ISERROR(IF(B286=C286,J286/C286,(INT(J286/B286)+(((J286-B286*INT(J286/B286)))/C286)/100))),0,(IF(B286=C286,J286/C286,(INT(J286/B286)+(((J286-B286*INT(J286/B286)))/C286)/100))))</f>
        <v>0</v>
      </c>
      <c r="AV286" s="57">
        <f>IF(ISERROR(IF(B286=C286,K286/C286,IF((INT(K286/B286)+(((K286-B286*INT(K286/B286)))/C286)/100)&lt;0,(INT(K286/B286)+(((K286-B286*INT(K286/B286)))/C286)/100)+(1-(B286/C286/100)),(INT(K286/B286)+(((K286-B286*INT(K286/B286)))/C286)/100)))),0,IF(B286=C286,K286/C286,IF((INT(K286/B286)+(((K286-B286*INT(K286/B286)))/C286)/100)&lt;0,(INT(K286/B286)+(((K286-B286*INT(K286/B286)))/C286)/100)+(1-(B286/C286/100)),(INT(K286/B286)+(((K286-B286*INT(K286/B286)))/C286)/100))))</f>
        <v>0</v>
      </c>
      <c r="AW286" s="57">
        <f>IF(ISERROR(IF(B286=C286,L286/C286,(INT(L286/B286)+(((L286-B286*INT(L286/B286)))/C286)/100))),0,(IF(B286=C286,L286/C286,(INT(L286/B286)+(((L286-B286*INT(L286/B286)))/C286)/100))))</f>
        <v>0</v>
      </c>
      <c r="AX286" s="57">
        <f>IF(ISERROR(IF(B286=C286,M286/C286,(INT(M286/B286)+(((M286-B286*INT(M286/B286)))/C286)/100))),0,(IF(B286=C286,M286/C286,(INT(M286/B286)+(((M286-B286*INT(M286/B286)))/C286)/100))))</f>
        <v>0</v>
      </c>
      <c r="AY286" s="57">
        <f>IF(ISERROR(IF(B286=C286,N286/C286,IF((INT(N286/B286)+(((N286-B286*INT(N286/B286)))/C286)/100)&lt;0,(INT(N286/B286)+(((N286-B286*INT(N286/B286)))/C286)/100)+(1-(B286/C286/100)),(INT(N286/B286)+(((N286-B286*INT(N286/B286)))/C286)/100)))),0,IF(B286=C286,N286/C286,IF((INT(N286/B286)+(((N286-B286*INT(N286/B286)))/C286)/100)&lt;0,(INT(N286/B286)+(((N286-B286*INT(N286/B286)))/C286)/100)+(1-(B286/C286/100)),(INT(N286/B286)+(((N286-B286*INT(N286/B286)))/C286)/100))))</f>
        <v>0</v>
      </c>
      <c r="AZ286" s="57">
        <f>IF(ISERROR(IF(B286=C286,O286/C286,(INT(O286/B286)+(((O286-B286*INT(O286/B286)))/C286)/100))),0,(IF(B286=C286,O286/C286,(INT(O286/B286)+(((O286-B286*INT(O286/B286)))/C286)/100))))</f>
        <v>0</v>
      </c>
      <c r="BA286" s="57">
        <f>IF(ISERROR(IF(B286=C286,P286/C286,IF((INT(P286/B286)+(((P286-B286*INT(P286/B286)))/C286)/100)&lt;0,(INT(P286/B286)+(((P286-B286*INT(P286/B286)))/C286)/100)+(1-(B286/C286/100)),(INT(P286/B286)+(((P286-B286*INT(P286/B286)))/C286)/100)))),0,IF(B286=C286,P286/C286,IF((INT(P286/B286)+(((P286-B286*INT(P286/B286)))/C286)/100)&lt;0,(INT(P286/B286)+(((P286-B286*INT(P286/B286)))/C286)/100)+(1-(B286/C286/100)),(INT(P286/B286)+(((P286-B286*INT(P286/B286)))/C286)/100))))</f>
        <v>0</v>
      </c>
      <c r="BB286" s="28">
        <f>R286</f>
        <v>250</v>
      </c>
      <c r="BC286" s="28">
        <f>S286</f>
        <v>0</v>
      </c>
      <c r="BD286" s="28">
        <f>AF286</f>
        <v>2507.4500000000003</v>
      </c>
      <c r="BE286" s="28">
        <f>T286</f>
        <v>0</v>
      </c>
      <c r="BG286" s="57">
        <f>IF(ISERROR(IF(B286=C286,V286/C286,(INT(V286/B286)+(((V286-B286*INT(V286/B286)))/C286)/100))),0,(IF(B286=C286,V286/C286,(INT(V286/B286)+(((V286-B286*INT(V286/B286)))/C286)/100))))</f>
        <v>0</v>
      </c>
      <c r="BH286" s="57">
        <f>IF(ISERROR(IF(B286=C286,W286/C286,(INT(W286/B286)+(((W286-B286*INT(W286/B286)))/C286)/100))),0,(IF(B286=C286,W286/C286,(INT(W286/B286)+(((W286-B286*INT(W286/B286)))/C286)/100))))</f>
        <v>0</v>
      </c>
      <c r="BI286" s="57">
        <f>IF(ISERROR(IF(B286=C286,X286/C286,(INT(X286/B286)+(((X286-B286*INT(X286/B286)))/C286)/100))),0,(IF(B286=C286,X286/C286,(INT(X286/B286)+(((X286-B286*INT(X286/B286)))/C286)/100))))</f>
        <v>0</v>
      </c>
      <c r="BJ286" s="57">
        <f>IF(ISERROR(IF(B286=C286,Y286/C286,(INT(Y286/B286)+(((Y286-B286*INT(Y286/B286)))/C286)/100))),0,(IF(B286=C286,Y286/C286,(INT(Y286/B286)+(((Y286-B286*INT(Y286/B286)))/C286)/100))))</f>
        <v>0</v>
      </c>
      <c r="BL286" s="57">
        <f>IF(ISERROR(IF(B286=C286,AA286/C286,(INT(AA286/B286)+(((AA286-B286*INT(AA286/B286)))/C286)/100))),0,(IF(B286=C286,AA286/C286,(INT(AA286/B286)+(((AA286-B286*INT(AA286/B286)))/C286)/100))))</f>
        <v>0</v>
      </c>
      <c r="BM286" s="57">
        <f>IF(ISERROR(IF(B286=C286,AB286/C286,(INT(AB286/B286)+(((AB286-B286*INT(AB286/B286)))/C286)/100))),0,(IF(B286=C286,AB286/C286,(INT(AB286/B286)+(((AB286-B286*INT(AB286/B286)))/C286)/100))))</f>
        <v>0</v>
      </c>
      <c r="BN286" s="57">
        <f>IF(ISERROR(IF(B286=C286,AC286/C286,(INT(AC286/B286)+(((AC286-B286*INT(AC286/B286)))/C286)/100))),0,(IF(B286=C286,AC286/C286,(INT(AC286/B286)+(((AC286-B286*INT(AC286/B286)))/C286)/100))))</f>
        <v>0</v>
      </c>
      <c r="BO286" s="57">
        <f>IF(ISERROR(IF(B286=C286,AD286/C286,(INT(AD286/B286)+(((AD286-B286*INT(AD286/B286)))/C286)/100))),0,(IF(B286=C286,AD286/C286,(INT(AD286/B286)+(((AD286-B286*INT(AD286/B286)))/C286)/100))))</f>
        <v>0</v>
      </c>
      <c r="BQ286" s="155" t="s">
        <v>257</v>
      </c>
    </row>
    <row r="287" spans="1:69" x14ac:dyDescent="0.35">
      <c r="A287" s="94" t="s">
        <v>260</v>
      </c>
      <c r="B287" s="113">
        <v>700</v>
      </c>
      <c r="C287" s="113">
        <v>30</v>
      </c>
      <c r="D287" s="28">
        <f>SUM(AA287:AD287)</f>
        <v>60</v>
      </c>
      <c r="E287" s="113">
        <v>0</v>
      </c>
      <c r="F287" s="113">
        <v>0</v>
      </c>
      <c r="G287" s="28">
        <f>SUM(D287:F287)</f>
        <v>60</v>
      </c>
      <c r="H287" s="164">
        <v>0</v>
      </c>
      <c r="I287" s="113">
        <v>0</v>
      </c>
      <c r="J287" s="125">
        <v>0</v>
      </c>
      <c r="K287" s="113">
        <v>0</v>
      </c>
      <c r="L287" s="113">
        <v>0</v>
      </c>
      <c r="M287" s="113">
        <v>0</v>
      </c>
      <c r="N287" s="28">
        <f>G287-SUM(H287:M287)</f>
        <v>60</v>
      </c>
      <c r="O287" s="28">
        <f>SUM(V287:Y287)</f>
        <v>60</v>
      </c>
      <c r="P287" s="28">
        <f>O287-N287</f>
        <v>0</v>
      </c>
      <c r="Q287" s="61" t="str">
        <f>IF(ISERROR(P287/SUM(H287:L287)),"",P287/SUM(H287:L287))</f>
        <v/>
      </c>
      <c r="R287" s="113">
        <v>400</v>
      </c>
      <c r="S287" s="28">
        <f>IF(ISERROR(P287/C287*R287),0,(P287/C287*R287))</f>
        <v>0</v>
      </c>
      <c r="T287" s="60">
        <f>IF(ISERROR(P287/B287*AF287),0,(P287/B287*AF287))</f>
        <v>0</v>
      </c>
      <c r="V287" s="113">
        <f>2*30</f>
        <v>60</v>
      </c>
      <c r="W287" s="113">
        <v>0</v>
      </c>
      <c r="X287" s="113">
        <v>0</v>
      </c>
      <c r="Y287" s="113">
        <v>0</v>
      </c>
      <c r="AA287" s="113">
        <f>2*30</f>
        <v>60</v>
      </c>
      <c r="AB287" s="113">
        <v>0</v>
      </c>
      <c r="AC287" s="113">
        <v>0</v>
      </c>
      <c r="AD287" s="113">
        <v>0</v>
      </c>
      <c r="AF287" s="162">
        <f>106909.15/12</f>
        <v>8909.0958333333328</v>
      </c>
      <c r="AG287" s="28">
        <f>G287-O287</f>
        <v>0</v>
      </c>
      <c r="AH287" s="58">
        <f>IF(ISERROR(AG287/B287*AF287),0,(AG287/B287*AF287))</f>
        <v>0</v>
      </c>
      <c r="AI287" s="28">
        <f>SUM(H287:M287)</f>
        <v>0</v>
      </c>
      <c r="AJ287" s="28">
        <f>IF(ISERROR(AI287/B287*AF287),0,(AI287/B287*AF287))</f>
        <v>0</v>
      </c>
      <c r="AK287" s="58">
        <f>IF(ISERROR(O287/B287*AF287),0,(O287/B287*AF287))</f>
        <v>763.63678571428568</v>
      </c>
      <c r="AL287" s="28">
        <f>IF(ISERROR(H287/B287*AF287),0,(H287/B287*AF287))</f>
        <v>0</v>
      </c>
      <c r="AN287" s="51" t="str">
        <f>A287</f>
        <v xml:space="preserve">Oban Single Malt Scotch Whisky </v>
      </c>
      <c r="AO287" s="57">
        <f>IF(ISERROR(IF(B287=C287,D287/C287,(INT(D287/B287)+(((D287-B287*INT(D287/B287)))/C287)/100))),0,(IF(B287=C287,D287/C287,(INT(D287/B287)+(((D287-B287*INT(D287/B287)))/C287)/100))))</f>
        <v>0.02</v>
      </c>
      <c r="AP287" s="57">
        <f>IF(ISERROR(IF(B287=C287,E287/C287,(INT(E287/B287)+(((E287-B287*INT(E287/B287)))/C287)/100))),0,(IF(B287=C287,E287/C287,(INT(E287/B287)+(((E287-B287*INT(E287/B287)))/C287)/100))))</f>
        <v>0</v>
      </c>
      <c r="AQ287" s="57">
        <f>IF(ISERROR(IF(B287=C287,F287/C287,IF((INT(F287/B287)+(((F287-B287*INT(F287/B287)))/C287)/100)&lt;0,(INT(F287/B287)+(((F287-B287*INT(F287/B287)))/C287)/100)+(1-(B287/C287/100)),(INT(F287/B287)+(((F287-B287*INT(F287/B287)))/C287)/100)))),0,IF(B287=C287,F287/C287,IF((INT(F287/B287)+(((F287-B287*INT(F287/B287)))/C287)/100)&lt;0,(INT(F287/B287)+(((F287-B287*INT(F287/B287)))/C287)/100)+(1-(B287/C287/100)),(INT(F287/B287)+(((F287-B287*INT(F287/B287)))/C287)/100))))</f>
        <v>0</v>
      </c>
      <c r="AR287" s="57">
        <f>IF(ISERROR(IF(B287=C287,G287/C287,(INT(G287/B287)+(((G287-B287*INT(G287/B287)))/C287)/100))),0,(IF(B287=C287,G287/C287,(INT(G287/B287)+(((G287-B287*INT(G287/B287)))/C287)/100))))</f>
        <v>0.02</v>
      </c>
      <c r="AS287" s="57">
        <f>IF(ISERROR(IF(B287=C287,H287/C287,(INT(H287/B287)+(((H287-B287*INT(H287/B287)))/C287)/100))),0,(IF(B287=C287,H287/C287,(INT(H287/B287)+(((H287-B287*INT(H287/B287)))/C287)/100))))</f>
        <v>0</v>
      </c>
      <c r="AT287" s="57">
        <f>IF(ISERROR(IF(B287=C287,I287/C287,(INT(I287/B287)+(((I287-B287*INT(I287/B287)))/C287)/100))),0,(IF(B287=C287,I287/C287,(INT(I287/B287)+(((I287-B287*INT(I287/B287)))/C287)/100))))</f>
        <v>0</v>
      </c>
      <c r="AU287" s="57">
        <f>IF(ISERROR(IF(B287=C287,J287/C287,(INT(J287/B287)+(((J287-B287*INT(J287/B287)))/C287)/100))),0,(IF(B287=C287,J287/C287,(INT(J287/B287)+(((J287-B287*INT(J287/B287)))/C287)/100))))</f>
        <v>0</v>
      </c>
      <c r="AV287" s="57">
        <f>IF(ISERROR(IF(B287=C287,K287/C287,IF((INT(K287/B287)+(((K287-B287*INT(K287/B287)))/C287)/100)&lt;0,(INT(K287/B287)+(((K287-B287*INT(K287/B287)))/C287)/100)+(1-(B287/C287/100)),(INT(K287/B287)+(((K287-B287*INT(K287/B287)))/C287)/100)))),0,IF(B287=C287,K287/C287,IF((INT(K287/B287)+(((K287-B287*INT(K287/B287)))/C287)/100)&lt;0,(INT(K287/B287)+(((K287-B287*INT(K287/B287)))/C287)/100)+(1-(B287/C287/100)),(INT(K287/B287)+(((K287-B287*INT(K287/B287)))/C287)/100))))</f>
        <v>0</v>
      </c>
      <c r="AW287" s="57">
        <f>IF(ISERROR(IF(B287=C287,L287/C287,(INT(L287/B287)+(((L287-B287*INT(L287/B287)))/C287)/100))),0,(IF(B287=C287,L287/C287,(INT(L287/B287)+(((L287-B287*INT(L287/B287)))/C287)/100))))</f>
        <v>0</v>
      </c>
      <c r="AX287" s="57">
        <f>IF(ISERROR(IF(B287=C287,M287/C287,(INT(M287/B287)+(((M287-B287*INT(M287/B287)))/C287)/100))),0,(IF(B287=C287,M287/C287,(INT(M287/B287)+(((M287-B287*INT(M287/B287)))/C287)/100))))</f>
        <v>0</v>
      </c>
      <c r="AY287" s="57">
        <f>IF(ISERROR(IF(B287=C287,N287/C287,IF((INT(N287/B287)+(((N287-B287*INT(N287/B287)))/C287)/100)&lt;0,(INT(N287/B287)+(((N287-B287*INT(N287/B287)))/C287)/100)+(1-(B287/C287/100)),(INT(N287/B287)+(((N287-B287*INT(N287/B287)))/C287)/100)))),0,IF(B287=C287,N287/C287,IF((INT(N287/B287)+(((N287-B287*INT(N287/B287)))/C287)/100)&lt;0,(INT(N287/B287)+(((N287-B287*INT(N287/B287)))/C287)/100)+(1-(B287/C287/100)),(INT(N287/B287)+(((N287-B287*INT(N287/B287)))/C287)/100))))</f>
        <v>0.02</v>
      </c>
      <c r="AZ287" s="57">
        <f>IF(ISERROR(IF(B287=C287,O287/C287,(INT(O287/B287)+(((O287-B287*INT(O287/B287)))/C287)/100))),0,(IF(B287=C287,O287/C287,(INT(O287/B287)+(((O287-B287*INT(O287/B287)))/C287)/100))))</f>
        <v>0.02</v>
      </c>
      <c r="BA287" s="57">
        <f>IF(ISERROR(IF(B287=C287,P287/C287,IF((INT(P287/B287)+(((P287-B287*INT(P287/B287)))/C287)/100)&lt;0,(INT(P287/B287)+(((P287-B287*INT(P287/B287)))/C287)/100)+(1-(B287/C287/100)),(INT(P287/B287)+(((P287-B287*INT(P287/B287)))/C287)/100)))),0,IF(B287=C287,P287/C287,IF((INT(P287/B287)+(((P287-B287*INT(P287/B287)))/C287)/100)&lt;0,(INT(P287/B287)+(((P287-B287*INT(P287/B287)))/C287)/100)+(1-(B287/C287/100)),(INT(P287/B287)+(((P287-B287*INT(P287/B287)))/C287)/100))))</f>
        <v>0</v>
      </c>
      <c r="BB287" s="28">
        <f>R287</f>
        <v>400</v>
      </c>
      <c r="BC287" s="28">
        <f>S287</f>
        <v>0</v>
      </c>
      <c r="BD287" s="28">
        <f>AF287</f>
        <v>8909.0958333333328</v>
      </c>
      <c r="BE287" s="28">
        <f>T287</f>
        <v>0</v>
      </c>
      <c r="BG287" s="57">
        <f>IF(ISERROR(IF(B287=C287,V287/C287,(INT(V287/B287)+(((V287-B287*INT(V287/B287)))/C287)/100))),0,(IF(B287=C287,V287/C287,(INT(V287/B287)+(((V287-B287*INT(V287/B287)))/C287)/100))))</f>
        <v>0.02</v>
      </c>
      <c r="BH287" s="57">
        <f>IF(ISERROR(IF(B287=C287,W287/C287,(INT(W287/B287)+(((W287-B287*INT(W287/B287)))/C287)/100))),0,(IF(B287=C287,W287/C287,(INT(W287/B287)+(((W287-B287*INT(W287/B287)))/C287)/100))))</f>
        <v>0</v>
      </c>
      <c r="BI287" s="57">
        <f>IF(ISERROR(IF(B287=C287,X287/C287,(INT(X287/B287)+(((X287-B287*INT(X287/B287)))/C287)/100))),0,(IF(B287=C287,X287/C287,(INT(X287/B287)+(((X287-B287*INT(X287/B287)))/C287)/100))))</f>
        <v>0</v>
      </c>
      <c r="BJ287" s="57">
        <f>IF(ISERROR(IF(B287=C287,Y287/C287,(INT(Y287/B287)+(((Y287-B287*INT(Y287/B287)))/C287)/100))),0,(IF(B287=C287,Y287/C287,(INT(Y287/B287)+(((Y287-B287*INT(Y287/B287)))/C287)/100))))</f>
        <v>0</v>
      </c>
      <c r="BL287" s="57">
        <f>IF(ISERROR(IF(B287=C287,AA287/C287,(INT(AA287/B287)+(((AA287-B287*INT(AA287/B287)))/C287)/100))),0,(IF(B287=C287,AA287/C287,(INT(AA287/B287)+(((AA287-B287*INT(AA287/B287)))/C287)/100))))</f>
        <v>0.02</v>
      </c>
      <c r="BM287" s="57">
        <f>IF(ISERROR(IF(B287=C287,AB287/C287,(INT(AB287/B287)+(((AB287-B287*INT(AB287/B287)))/C287)/100))),0,(IF(B287=C287,AB287/C287,(INT(AB287/B287)+(((AB287-B287*INT(AB287/B287)))/C287)/100))))</f>
        <v>0</v>
      </c>
      <c r="BN287" s="57">
        <f>IF(ISERROR(IF(B287=C287,AC287/C287,(INT(AC287/B287)+(((AC287-B287*INT(AC287/B287)))/C287)/100))),0,(IF(B287=C287,AC287/C287,(INT(AC287/B287)+(((AC287-B287*INT(AC287/B287)))/C287)/100))))</f>
        <v>0</v>
      </c>
      <c r="BO287" s="57">
        <f>IF(ISERROR(IF(B287=C287,AD287/C287,(INT(AD287/B287)+(((AD287-B287*INT(AD287/B287)))/C287)/100))),0,(IF(B287=C287,AD287/C287,(INT(AD287/B287)+(((AD287-B287*INT(AD287/B287)))/C287)/100))))</f>
        <v>0</v>
      </c>
      <c r="BQ287" s="155" t="s">
        <v>258</v>
      </c>
    </row>
    <row r="288" spans="1:69" x14ac:dyDescent="0.35">
      <c r="A288" s="134" t="s">
        <v>259</v>
      </c>
      <c r="B288" s="113">
        <v>700</v>
      </c>
      <c r="C288" s="113">
        <v>30</v>
      </c>
      <c r="D288" s="28">
        <f>SUM(AA288:AD288)</f>
        <v>4100</v>
      </c>
      <c r="E288" s="113">
        <v>0</v>
      </c>
      <c r="F288" s="113">
        <v>0</v>
      </c>
      <c r="G288" s="28">
        <f>SUM(D288:F288)</f>
        <v>4100</v>
      </c>
      <c r="H288" s="125">
        <v>0</v>
      </c>
      <c r="I288" s="113">
        <v>0</v>
      </c>
      <c r="J288" s="125">
        <v>0</v>
      </c>
      <c r="K288" s="113">
        <v>0</v>
      </c>
      <c r="L288" s="113">
        <v>0</v>
      </c>
      <c r="M288" s="113">
        <v>0</v>
      </c>
      <c r="N288" s="28">
        <f>G288-SUM(H288:M288)</f>
        <v>4100</v>
      </c>
      <c r="O288" s="28">
        <f>SUM(V288:Y288)</f>
        <v>4100</v>
      </c>
      <c r="P288" s="28">
        <f>O288-N288</f>
        <v>0</v>
      </c>
      <c r="Q288" s="61" t="str">
        <f>IF(ISERROR(P288/SUM(H288:L288)),"",P288/SUM(H288:L288))</f>
        <v/>
      </c>
      <c r="R288" s="113">
        <v>250</v>
      </c>
      <c r="S288" s="28">
        <f>IF(ISERROR(P288/C288*R288),0,(P288/C288*R288))</f>
        <v>0</v>
      </c>
      <c r="T288" s="60">
        <f>IF(ISERROR(P288/B288*AF288),0,(P288/B288*AF288))</f>
        <v>0</v>
      </c>
      <c r="V288" s="113">
        <f>1*700+20*30</f>
        <v>1300</v>
      </c>
      <c r="W288" s="113">
        <f>3*700+700</f>
        <v>2800</v>
      </c>
      <c r="X288" s="113">
        <v>0</v>
      </c>
      <c r="Y288" s="113">
        <v>0</v>
      </c>
      <c r="AA288" s="113">
        <f>1*700+20*30</f>
        <v>1300</v>
      </c>
      <c r="AB288" s="113">
        <f>3*700+700</f>
        <v>2800</v>
      </c>
      <c r="AC288" s="113">
        <v>0</v>
      </c>
      <c r="AD288" s="113">
        <v>0</v>
      </c>
      <c r="AF288" s="162">
        <v>2475.9249999999997</v>
      </c>
      <c r="AG288" s="28">
        <f>G288-O288</f>
        <v>0</v>
      </c>
      <c r="AH288" s="58">
        <f>IF(ISERROR(AG288/B288*AF288),0,(AG288/B288*AF288))</f>
        <v>0</v>
      </c>
      <c r="AI288" s="28">
        <f>SUM(H288:M288)</f>
        <v>0</v>
      </c>
      <c r="AJ288" s="28">
        <f>IF(ISERROR(AI288/B288*AF288),0,(AI288/B288*AF288))</f>
        <v>0</v>
      </c>
      <c r="AK288" s="58">
        <f>IF(ISERROR(O288/B288*AF288),0,(O288/B288*AF288))</f>
        <v>14501.846428571425</v>
      </c>
      <c r="AL288" s="28">
        <f>IF(ISERROR(H288/B288*AF288),0,(H288/B288*AF288))</f>
        <v>0</v>
      </c>
      <c r="AN288" s="51" t="str">
        <f>A288</f>
        <v>Tequila Don Angel  Oro</v>
      </c>
      <c r="AO288" s="57">
        <f>IF(ISERROR(IF(B288=C288,D288/C288,(INT(D288/B288)+(((D288-B288*INT(D288/B288)))/C288)/100))),0,(IF(B288=C288,D288/C288,(INT(D288/B288)+(((D288-B288*INT(D288/B288)))/C288)/100))))</f>
        <v>5.2</v>
      </c>
      <c r="AP288" s="57">
        <f>IF(ISERROR(IF(B288=C288,E288/C288,(INT(E288/B288)+(((E288-B288*INT(E288/B288)))/C288)/100))),0,(IF(B288=C288,E288/C288,(INT(E288/B288)+(((E288-B288*INT(E288/B288)))/C288)/100))))</f>
        <v>0</v>
      </c>
      <c r="AQ288" s="57">
        <f>IF(ISERROR(IF(B288=C288,F288/C288,IF((INT(F288/B288)+(((F288-B288*INT(F288/B288)))/C288)/100)&lt;0,(INT(F288/B288)+(((F288-B288*INT(F288/B288)))/C288)/100)+(1-(B288/C288/100)),(INT(F288/B288)+(((F288-B288*INT(F288/B288)))/C288)/100)))),0,IF(B288=C288,F288/C288,IF((INT(F288/B288)+(((F288-B288*INT(F288/B288)))/C288)/100)&lt;0,(INT(F288/B288)+(((F288-B288*INT(F288/B288)))/C288)/100)+(1-(B288/C288/100)),(INT(F288/B288)+(((F288-B288*INT(F288/B288)))/C288)/100))))</f>
        <v>0</v>
      </c>
      <c r="AR288" s="57">
        <f>IF(ISERROR(IF(B288=C288,G288/C288,(INT(G288/B288)+(((G288-B288*INT(G288/B288)))/C288)/100))),0,(IF(B288=C288,G288/C288,(INT(G288/B288)+(((G288-B288*INT(G288/B288)))/C288)/100))))</f>
        <v>5.2</v>
      </c>
      <c r="AS288" s="57">
        <f>IF(ISERROR(IF(B288=C288,H288/C288,(INT(H288/B288)+(((H288-B288*INT(H288/B288)))/C288)/100))),0,(IF(B288=C288,H288/C288,(INT(H288/B288)+(((H288-B288*INT(H288/B288)))/C288)/100))))</f>
        <v>0</v>
      </c>
      <c r="AT288" s="57">
        <f>IF(ISERROR(IF(B288=C288,I288/C288,(INT(I288/B288)+(((I288-B288*INT(I288/B288)))/C288)/100))),0,(IF(B288=C288,I288/C288,(INT(I288/B288)+(((I288-B288*INT(I288/B288)))/C288)/100))))</f>
        <v>0</v>
      </c>
      <c r="AU288" s="57">
        <f>IF(ISERROR(IF(B288=C288,J288/C288,(INT(J288/B288)+(((J288-B288*INT(J288/B288)))/C288)/100))),0,(IF(B288=C288,J288/C288,(INT(J288/B288)+(((J288-B288*INT(J288/B288)))/C288)/100))))</f>
        <v>0</v>
      </c>
      <c r="AV288" s="57">
        <f>IF(ISERROR(IF(B288=C288,K288/C288,IF((INT(K288/B288)+(((K288-B288*INT(K288/B288)))/C288)/100)&lt;0,(INT(K288/B288)+(((K288-B288*INT(K288/B288)))/C288)/100)+(1-(B288/C288/100)),(INT(K288/B288)+(((K288-B288*INT(K288/B288)))/C288)/100)))),0,IF(B288=C288,K288/C288,IF((INT(K288/B288)+(((K288-B288*INT(K288/B288)))/C288)/100)&lt;0,(INT(K288/B288)+(((K288-B288*INT(K288/B288)))/C288)/100)+(1-(B288/C288/100)),(INT(K288/B288)+(((K288-B288*INT(K288/B288)))/C288)/100))))</f>
        <v>0</v>
      </c>
      <c r="AW288" s="57">
        <f>IF(ISERROR(IF(B288=C288,L288/C288,(INT(L288/B288)+(((L288-B288*INT(L288/B288)))/C288)/100))),0,(IF(B288=C288,L288/C288,(INT(L288/B288)+(((L288-B288*INT(L288/B288)))/C288)/100))))</f>
        <v>0</v>
      </c>
      <c r="AX288" s="57">
        <f>IF(ISERROR(IF(B288=C288,M288/C288,(INT(M288/B288)+(((M288-B288*INT(M288/B288)))/C288)/100))),0,(IF(B288=C288,M288/C288,(INT(M288/B288)+(((M288-B288*INT(M288/B288)))/C288)/100))))</f>
        <v>0</v>
      </c>
      <c r="AY288" s="57">
        <f>IF(ISERROR(IF(B288=C288,N288/C288,IF((INT(N288/B288)+(((N288-B288*INT(N288/B288)))/C288)/100)&lt;0,(INT(N288/B288)+(((N288-B288*INT(N288/B288)))/C288)/100)+(1-(B288/C288/100)),(INT(N288/B288)+(((N288-B288*INT(N288/B288)))/C288)/100)))),0,IF(B288=C288,N288/C288,IF((INT(N288/B288)+(((N288-B288*INT(N288/B288)))/C288)/100)&lt;0,(INT(N288/B288)+(((N288-B288*INT(N288/B288)))/C288)/100)+(1-(B288/C288/100)),(INT(N288/B288)+(((N288-B288*INT(N288/B288)))/C288)/100))))</f>
        <v>5.2</v>
      </c>
      <c r="AZ288" s="57">
        <f>IF(ISERROR(IF(B288=C288,O288/C288,(INT(O288/B288)+(((O288-B288*INT(O288/B288)))/C288)/100))),0,(IF(B288=C288,O288/C288,(INT(O288/B288)+(((O288-B288*INT(O288/B288)))/C288)/100))))</f>
        <v>5.2</v>
      </c>
      <c r="BA288" s="57">
        <f>IF(ISERROR(IF(B288=C288,P288/C288,IF((INT(P288/B288)+(((P288-B288*INT(P288/B288)))/C288)/100)&lt;0,(INT(P288/B288)+(((P288-B288*INT(P288/B288)))/C288)/100)+(1-(B288/C288/100)),(INT(P288/B288)+(((P288-B288*INT(P288/B288)))/C288)/100)))),0,IF(B288=C288,P288/C288,IF((INT(P288/B288)+(((P288-B288*INT(P288/B288)))/C288)/100)&lt;0,(INT(P288/B288)+(((P288-B288*INT(P288/B288)))/C288)/100)+(1-(B288/C288/100)),(INT(P288/B288)+(((P288-B288*INT(P288/B288)))/C288)/100))))</f>
        <v>0</v>
      </c>
      <c r="BB288" s="28">
        <f>R288</f>
        <v>250</v>
      </c>
      <c r="BC288" s="28">
        <f>S288</f>
        <v>0</v>
      </c>
      <c r="BD288" s="28">
        <f>AF288</f>
        <v>2475.9249999999997</v>
      </c>
      <c r="BE288" s="28">
        <f>T288</f>
        <v>0</v>
      </c>
      <c r="BG288" s="57">
        <f>IF(ISERROR(IF(B288=C288,V288/C288,(INT(V288/B288)+(((V288-B288*INT(V288/B288)))/C288)/100))),0,(IF(B288=C288,V288/C288,(INT(V288/B288)+(((V288-B288*INT(V288/B288)))/C288)/100))))</f>
        <v>1.2</v>
      </c>
      <c r="BH288" s="57">
        <f>IF(ISERROR(IF(B288=C288,W288/C288,(INT(W288/B288)+(((W288-B288*INT(W288/B288)))/C288)/100))),0,(IF(B288=C288,W288/C288,(INT(W288/B288)+(((W288-B288*INT(W288/B288)))/C288)/100))))</f>
        <v>4</v>
      </c>
      <c r="BI288" s="57">
        <f>IF(ISERROR(IF(B288=C288,X288/C288,(INT(X288/B288)+(((X288-B288*INT(X288/B288)))/C288)/100))),0,(IF(B288=C288,X288/C288,(INT(X288/B288)+(((X288-B288*INT(X288/B288)))/C288)/100))))</f>
        <v>0</v>
      </c>
      <c r="BJ288" s="57">
        <f>IF(ISERROR(IF(B288=C288,Y288/C288,(INT(Y288/B288)+(((Y288-B288*INT(Y288/B288)))/C288)/100))),0,(IF(B288=C288,Y288/C288,(INT(Y288/B288)+(((Y288-B288*INT(Y288/B288)))/C288)/100))))</f>
        <v>0</v>
      </c>
      <c r="BL288" s="57">
        <f>IF(ISERROR(IF(B288=C288,AA288/C288,(INT(AA288/B288)+(((AA288-B288*INT(AA288/B288)))/C288)/100))),0,(IF(B288=C288,AA288/C288,(INT(AA288/B288)+(((AA288-B288*INT(AA288/B288)))/C288)/100))))</f>
        <v>1.2</v>
      </c>
      <c r="BM288" s="57">
        <f>IF(ISERROR(IF(B288=C288,AB288/C288,(INT(AB288/B288)+(((AB288-B288*INT(AB288/B288)))/C288)/100))),0,(IF(B288=C288,AB288/C288,(INT(AB288/B288)+(((AB288-B288*INT(AB288/B288)))/C288)/100))))</f>
        <v>4</v>
      </c>
      <c r="BN288" s="57">
        <f>IF(ISERROR(IF(B288=C288,AC288/C288,(INT(AC288/B288)+(((AC288-B288*INT(AC288/B288)))/C288)/100))),0,(IF(B288=C288,AC288/C288,(INT(AC288/B288)+(((AC288-B288*INT(AC288/B288)))/C288)/100))))</f>
        <v>0</v>
      </c>
      <c r="BO288" s="57">
        <f>IF(ISERROR(IF(B288=C288,AD288/C288,(INT(AD288/B288)+(((AD288-B288*INT(AD288/B288)))/C288)/100))),0,(IF(B288=C288,AD288/C288,(INT(AD288/B288)+(((AD288-B288*INT(AD288/B288)))/C288)/100))))</f>
        <v>0</v>
      </c>
      <c r="BQ288" s="155" t="s">
        <v>232</v>
      </c>
    </row>
    <row r="289" spans="1:69" hidden="1" x14ac:dyDescent="0.35">
      <c r="A289" s="165"/>
      <c r="B289" s="113">
        <v>700</v>
      </c>
      <c r="C289" s="113">
        <v>30</v>
      </c>
      <c r="D289" s="28">
        <f>SUM(AA289:AD289)</f>
        <v>0</v>
      </c>
      <c r="E289" s="113">
        <v>0</v>
      </c>
      <c r="F289" s="113">
        <v>0</v>
      </c>
      <c r="G289" s="28">
        <f>SUM(D289:F289)</f>
        <v>0</v>
      </c>
      <c r="H289" s="125">
        <v>0</v>
      </c>
      <c r="I289" s="113">
        <v>0</v>
      </c>
      <c r="J289" s="125">
        <v>0</v>
      </c>
      <c r="K289" s="113">
        <v>0</v>
      </c>
      <c r="L289" s="113">
        <v>0</v>
      </c>
      <c r="M289" s="113">
        <v>0</v>
      </c>
      <c r="N289" s="28">
        <f>G289-SUM(H289:M289)</f>
        <v>0</v>
      </c>
      <c r="O289" s="28">
        <f>SUM(V289:Y289)</f>
        <v>0</v>
      </c>
      <c r="P289" s="28">
        <f>O289-N289</f>
        <v>0</v>
      </c>
      <c r="Q289" s="61" t="str">
        <f>IF(ISERROR(P289/SUM(H289:L289)),"",P289/SUM(H289:L289))</f>
        <v/>
      </c>
      <c r="R289" s="113">
        <v>0</v>
      </c>
      <c r="S289" s="28">
        <f>IF(ISERROR(P289/C289*R289),0,(P289/C289*R289))</f>
        <v>0</v>
      </c>
      <c r="T289" s="60">
        <f>IF(ISERROR(P289/B289*AF289),0,(P289/B289*AF289))</f>
        <v>0</v>
      </c>
      <c r="V289" s="113">
        <v>0</v>
      </c>
      <c r="W289" s="113">
        <v>0</v>
      </c>
      <c r="X289" s="113">
        <v>0</v>
      </c>
      <c r="Y289" s="113">
        <v>0</v>
      </c>
      <c r="AA289" s="113">
        <v>0</v>
      </c>
      <c r="AB289" s="113">
        <v>0</v>
      </c>
      <c r="AC289" s="113">
        <v>0</v>
      </c>
      <c r="AD289" s="113">
        <v>0</v>
      </c>
      <c r="AF289" s="113">
        <v>0</v>
      </c>
      <c r="AG289" s="28">
        <f>G289-O289</f>
        <v>0</v>
      </c>
      <c r="AH289" s="58">
        <f>IF(ISERROR(AG289/B289*AF289),0,(AG289/B289*AF289))</f>
        <v>0</v>
      </c>
      <c r="AI289" s="28">
        <f>SUM(H289:M289)</f>
        <v>0</v>
      </c>
      <c r="AJ289" s="28">
        <f>IF(ISERROR(AI289/B289*AF289),0,(AI289/B289*AF289))</f>
        <v>0</v>
      </c>
      <c r="AK289" s="58">
        <f>IF(ISERROR(O289/B289*AF289),0,(O289/B289*AF289))</f>
        <v>0</v>
      </c>
      <c r="AL289" s="28">
        <f>IF(ISERROR(H289/B289*AF289),0,(H289/B289*AF289))</f>
        <v>0</v>
      </c>
      <c r="AN289" s="51">
        <f>A289</f>
        <v>0</v>
      </c>
      <c r="AO289" s="57">
        <f>IF(ISERROR(IF(B289=C289,D289/C289,(INT(D289/B289)+(((D289-B289*INT(D289/B289)))/C289)/100))),0,(IF(B289=C289,D289/C289,(INT(D289/B289)+(((D289-B289*INT(D289/B289)))/C289)/100))))</f>
        <v>0</v>
      </c>
      <c r="AP289" s="57">
        <f>IF(ISERROR(IF(B289=C289,E289/C289,(INT(E289/B289)+(((E289-B289*INT(E289/B289)))/C289)/100))),0,(IF(B289=C289,E289/C289,(INT(E289/B289)+(((E289-B289*INT(E289/B289)))/C289)/100))))</f>
        <v>0</v>
      </c>
      <c r="AQ289" s="57">
        <f>IF(ISERROR(IF(B289=C289,F289/C289,IF((INT(F289/B289)+(((F289-B289*INT(F289/B289)))/C289)/100)&lt;0,(INT(F289/B289)+(((F289-B289*INT(F289/B289)))/C289)/100)+(1-(B289/C289/100)),(INT(F289/B289)+(((F289-B289*INT(F289/B289)))/C289)/100)))),0,IF(B289=C289,F289/C289,IF((INT(F289/B289)+(((F289-B289*INT(F289/B289)))/C289)/100)&lt;0,(INT(F289/B289)+(((F289-B289*INT(F289/B289)))/C289)/100)+(1-(B289/C289/100)),(INT(F289/B289)+(((F289-B289*INT(F289/B289)))/C289)/100))))</f>
        <v>0</v>
      </c>
      <c r="AR289" s="57">
        <f>IF(ISERROR(IF(B289=C289,G289/C289,(INT(G289/B289)+(((G289-B289*INT(G289/B289)))/C289)/100))),0,(IF(B289=C289,G289/C289,(INT(G289/B289)+(((G289-B289*INT(G289/B289)))/C289)/100))))</f>
        <v>0</v>
      </c>
      <c r="AS289" s="57">
        <f>IF(ISERROR(IF(B289=C289,H289/C289,(INT(H289/B289)+(((H289-B289*INT(H289/B289)))/C289)/100))),0,(IF(B289=C289,H289/C289,(INT(H289/B289)+(((H289-B289*INT(H289/B289)))/C289)/100))))</f>
        <v>0</v>
      </c>
      <c r="AT289" s="57">
        <f>IF(ISERROR(IF(B289=C289,I289/C289,(INT(I289/B289)+(((I289-B289*INT(I289/B289)))/C289)/100))),0,(IF(B289=C289,I289/C289,(INT(I289/B289)+(((I289-B289*INT(I289/B289)))/C289)/100))))</f>
        <v>0</v>
      </c>
      <c r="AU289" s="57">
        <f>IF(ISERROR(IF(B289=C289,J289/C289,(INT(J289/B289)+(((J289-B289*INT(J289/B289)))/C289)/100))),0,(IF(B289=C289,J289/C289,(INT(J289/B289)+(((J289-B289*INT(J289/B289)))/C289)/100))))</f>
        <v>0</v>
      </c>
      <c r="AV289" s="57">
        <f>IF(ISERROR(IF(B289=C289,K289/C289,IF((INT(K289/B289)+(((K289-B289*INT(K289/B289)))/C289)/100)&lt;0,(INT(K289/B289)+(((K289-B289*INT(K289/B289)))/C289)/100)+(1-(B289/C289/100)),(INT(K289/B289)+(((K289-B289*INT(K289/B289)))/C289)/100)))),0,IF(B289=C289,K289/C289,IF((INT(K289/B289)+(((K289-B289*INT(K289/B289)))/C289)/100)&lt;0,(INT(K289/B289)+(((K289-B289*INT(K289/B289)))/C289)/100)+(1-(B289/C289/100)),(INT(K289/B289)+(((K289-B289*INT(K289/B289)))/C289)/100))))</f>
        <v>0</v>
      </c>
      <c r="AW289" s="57">
        <f>IF(ISERROR(IF(B289=C289,L289/C289,(INT(L289/B289)+(((L289-B289*INT(L289/B289)))/C289)/100))),0,(IF(B289=C289,L289/C289,(INT(L289/B289)+(((L289-B289*INT(L289/B289)))/C289)/100))))</f>
        <v>0</v>
      </c>
      <c r="AX289" s="57">
        <f>IF(ISERROR(IF(B289=C289,M289/C289,(INT(M289/B289)+(((M289-B289*INT(M289/B289)))/C289)/100))),0,(IF(B289=C289,M289/C289,(INT(M289/B289)+(((M289-B289*INT(M289/B289)))/C289)/100))))</f>
        <v>0</v>
      </c>
      <c r="AY289" s="57">
        <f>IF(ISERROR(IF(B289=C289,N289/C289,IF((INT(N289/B289)+(((N289-B289*INT(N289/B289)))/C289)/100)&lt;0,(INT(N289/B289)+(((N289-B289*INT(N289/B289)))/C289)/100)+(1-(B289/C289/100)),(INT(N289/B289)+(((N289-B289*INT(N289/B289)))/C289)/100)))),0,IF(B289=C289,N289/C289,IF((INT(N289/B289)+(((N289-B289*INT(N289/B289)))/C289)/100)&lt;0,(INT(N289/B289)+(((N289-B289*INT(N289/B289)))/C289)/100)+(1-(B289/C289/100)),(INT(N289/B289)+(((N289-B289*INT(N289/B289)))/C289)/100))))</f>
        <v>0</v>
      </c>
      <c r="AZ289" s="57">
        <f>IF(ISERROR(IF(B289=C289,O289/C289,(INT(O289/B289)+(((O289-B289*INT(O289/B289)))/C289)/100))),0,(IF(B289=C289,O289/C289,(INT(O289/B289)+(((O289-B289*INT(O289/B289)))/C289)/100))))</f>
        <v>0</v>
      </c>
      <c r="BA289" s="57">
        <f>IF(ISERROR(IF(B289=C289,P289/C289,IF((INT(P289/B289)+(((P289-B289*INT(P289/B289)))/C289)/100)&lt;0,(INT(P289/B289)+(((P289-B289*INT(P289/B289)))/C289)/100)+(1-(B289/C289/100)),(INT(P289/B289)+(((P289-B289*INT(P289/B289)))/C289)/100)))),0,IF(B289=C289,P289/C289,IF((INT(P289/B289)+(((P289-B289*INT(P289/B289)))/C289)/100)&lt;0,(INT(P289/B289)+(((P289-B289*INT(P289/B289)))/C289)/100)+(1-(B289/C289/100)),(INT(P289/B289)+(((P289-B289*INT(P289/B289)))/C289)/100))))</f>
        <v>0</v>
      </c>
      <c r="BB289" s="28">
        <f>R289</f>
        <v>0</v>
      </c>
      <c r="BC289" s="28">
        <f>S289</f>
        <v>0</v>
      </c>
      <c r="BD289" s="28">
        <f>AF289</f>
        <v>0</v>
      </c>
      <c r="BE289" s="28">
        <f>T289</f>
        <v>0</v>
      </c>
      <c r="BG289" s="57">
        <f>IF(ISERROR(IF(B289=C289,V289/C289,(INT(V289/B289)+(((V289-B289*INT(V289/B289)))/C289)/100))),0,(IF(B289=C289,V289/C289,(INT(V289/B289)+(((V289-B289*INT(V289/B289)))/C289)/100))))</f>
        <v>0</v>
      </c>
      <c r="BH289" s="57">
        <f>IF(ISERROR(IF(B289=C289,W289/C289,(INT(W289/B289)+(((W289-B289*INT(W289/B289)))/C289)/100))),0,(IF(B289=C289,W289/C289,(INT(W289/B289)+(((W289-B289*INT(W289/B289)))/C289)/100))))</f>
        <v>0</v>
      </c>
      <c r="BI289" s="57">
        <f>IF(ISERROR(IF(B289=C289,X289/C289,(INT(X289/B289)+(((X289-B289*INT(X289/B289)))/C289)/100))),0,(IF(B289=C289,X289/C289,(INT(X289/B289)+(((X289-B289*INT(X289/B289)))/C289)/100))))</f>
        <v>0</v>
      </c>
      <c r="BJ289" s="57">
        <f>IF(ISERROR(IF(B289=C289,Y289/C289,(INT(Y289/B289)+(((Y289-B289*INT(Y289/B289)))/C289)/100))),0,(IF(B289=C289,Y289/C289,(INT(Y289/B289)+(((Y289-B289*INT(Y289/B289)))/C289)/100))))</f>
        <v>0</v>
      </c>
      <c r="BL289" s="57">
        <f>IF(ISERROR(IF(B289=C289,AA289/C289,(INT(AA289/B289)+(((AA289-B289*INT(AA289/B289)))/C289)/100))),0,(IF(B289=C289,AA289/C289,(INT(AA289/B289)+(((AA289-B289*INT(AA289/B289)))/C289)/100))))</f>
        <v>0</v>
      </c>
      <c r="BM289" s="57">
        <f>IF(ISERROR(IF(B289=C289,AB289/C289,(INT(AB289/B289)+(((AB289-B289*INT(AB289/B289)))/C289)/100))),0,(IF(B289=C289,AB289/C289,(INT(AB289/B289)+(((AB289-B289*INT(AB289/B289)))/C289)/100))))</f>
        <v>0</v>
      </c>
      <c r="BN289" s="57">
        <f>IF(ISERROR(IF(B289=C289,AC289/C289,(INT(AC289/B289)+(((AC289-B289*INT(AC289/B289)))/C289)/100))),0,(IF(B289=C289,AC289/C289,(INT(AC289/B289)+(((AC289-B289*INT(AC289/B289)))/C289)/100))))</f>
        <v>0</v>
      </c>
      <c r="BO289" s="57">
        <f>IF(ISERROR(IF(B289=C289,AD289/C289,(INT(AD289/B289)+(((AD289-B289*INT(AD289/B289)))/C289)/100))),0,(IF(B289=C289,AD289/C289,(INT(AD289/B289)+(((AD289-B289*INT(AD289/B289)))/C289)/100))))</f>
        <v>0</v>
      </c>
      <c r="BQ289" s="155" t="s">
        <v>232</v>
      </c>
    </row>
    <row r="290" spans="1:69" hidden="1" x14ac:dyDescent="0.35">
      <c r="A290" s="160"/>
      <c r="B290" s="113">
        <v>700</v>
      </c>
      <c r="C290" s="113">
        <v>30</v>
      </c>
      <c r="D290" s="28">
        <f>SUM(AA290:AD290)</f>
        <v>0</v>
      </c>
      <c r="E290" s="113">
        <v>0</v>
      </c>
      <c r="F290" s="113">
        <v>0</v>
      </c>
      <c r="G290" s="28">
        <f>SUM(D290:F290)</f>
        <v>0</v>
      </c>
      <c r="H290" s="125">
        <v>0</v>
      </c>
      <c r="I290" s="113">
        <v>0</v>
      </c>
      <c r="J290" s="125">
        <v>0</v>
      </c>
      <c r="K290" s="113">
        <v>0</v>
      </c>
      <c r="L290" s="113">
        <v>0</v>
      </c>
      <c r="M290" s="113">
        <v>0</v>
      </c>
      <c r="N290" s="28">
        <f>G290-SUM(H290:M290)</f>
        <v>0</v>
      </c>
      <c r="O290" s="28">
        <f>SUM(V290:Y290)</f>
        <v>0</v>
      </c>
      <c r="P290" s="28">
        <f>O290-N290</f>
        <v>0</v>
      </c>
      <c r="Q290" s="61" t="str">
        <f>IF(ISERROR(P290/SUM(H290:L290)),"",P290/SUM(H290:L290))</f>
        <v/>
      </c>
      <c r="R290" s="113">
        <v>0</v>
      </c>
      <c r="S290" s="28">
        <f>IF(ISERROR(P290/C290*R290),0,(P290/C290*R290))</f>
        <v>0</v>
      </c>
      <c r="T290" s="60">
        <f>IF(ISERROR(P290/B290*AF290),0,(P290/B290*AF290))</f>
        <v>0</v>
      </c>
      <c r="V290" s="113">
        <v>0</v>
      </c>
      <c r="W290" s="113">
        <v>0</v>
      </c>
      <c r="X290" s="113">
        <v>0</v>
      </c>
      <c r="Y290" s="113">
        <v>0</v>
      </c>
      <c r="AA290" s="113">
        <v>0</v>
      </c>
      <c r="AB290" s="113">
        <v>0</v>
      </c>
      <c r="AC290" s="113">
        <v>0</v>
      </c>
      <c r="AD290" s="113">
        <v>0</v>
      </c>
      <c r="AF290" s="113">
        <v>0</v>
      </c>
      <c r="AG290" s="28">
        <f>G290-O290</f>
        <v>0</v>
      </c>
      <c r="AH290" s="58">
        <f>IF(ISERROR(AG290/B290*AF290),0,(AG290/B290*AF290))</f>
        <v>0</v>
      </c>
      <c r="AI290" s="28">
        <f>SUM(H290:M290)</f>
        <v>0</v>
      </c>
      <c r="AJ290" s="28">
        <f>IF(ISERROR(AI290/B290*AF290),0,(AI290/B290*AF290))</f>
        <v>0</v>
      </c>
      <c r="AK290" s="58">
        <f>IF(ISERROR(O290/B290*AF290),0,(O290/B290*AF290))</f>
        <v>0</v>
      </c>
      <c r="AL290" s="28">
        <f>IF(ISERROR(H290/B290*AF290),0,(H290/B290*AF290))</f>
        <v>0</v>
      </c>
      <c r="AN290" s="51">
        <f>A290</f>
        <v>0</v>
      </c>
      <c r="AO290" s="57">
        <f>IF(ISERROR(IF(B290=C290,D290/C290,(INT(D290/B290)+(((D290-B290*INT(D290/B290)))/C290)/100))),0,(IF(B290=C290,D290/C290,(INT(D290/B290)+(((D290-B290*INT(D290/B290)))/C290)/100))))</f>
        <v>0</v>
      </c>
      <c r="AP290" s="57">
        <f>IF(ISERROR(IF(B290=C290,E290/C290,(INT(E290/B290)+(((E290-B290*INT(E290/B290)))/C290)/100))),0,(IF(B290=C290,E290/C290,(INT(E290/B290)+(((E290-B290*INT(E290/B290)))/C290)/100))))</f>
        <v>0</v>
      </c>
      <c r="AQ290" s="57">
        <f>IF(ISERROR(IF(B290=C290,F290/C290,IF((INT(F290/B290)+(((F290-B290*INT(F290/B290)))/C290)/100)&lt;0,(INT(F290/B290)+(((F290-B290*INT(F290/B290)))/C290)/100)+(1-(B290/C290/100)),(INT(F290/B290)+(((F290-B290*INT(F290/B290)))/C290)/100)))),0,IF(B290=C290,F290/C290,IF((INT(F290/B290)+(((F290-B290*INT(F290/B290)))/C290)/100)&lt;0,(INT(F290/B290)+(((F290-B290*INT(F290/B290)))/C290)/100)+(1-(B290/C290/100)),(INT(F290/B290)+(((F290-B290*INT(F290/B290)))/C290)/100))))</f>
        <v>0</v>
      </c>
      <c r="AR290" s="57">
        <f>IF(ISERROR(IF(B290=C290,G290/C290,(INT(G290/B290)+(((G290-B290*INT(G290/B290)))/C290)/100))),0,(IF(B290=C290,G290/C290,(INT(G290/B290)+(((G290-B290*INT(G290/B290)))/C290)/100))))</f>
        <v>0</v>
      </c>
      <c r="AS290" s="57">
        <f>IF(ISERROR(IF(B290=C290,H290/C290,(INT(H290/B290)+(((H290-B290*INT(H290/B290)))/C290)/100))),0,(IF(B290=C290,H290/C290,(INT(H290/B290)+(((H290-B290*INT(H290/B290)))/C290)/100))))</f>
        <v>0</v>
      </c>
      <c r="AT290" s="57">
        <f>IF(ISERROR(IF(B290=C290,I290/C290,(INT(I290/B290)+(((I290-B290*INT(I290/B290)))/C290)/100))),0,(IF(B290=C290,I290/C290,(INT(I290/B290)+(((I290-B290*INT(I290/B290)))/C290)/100))))</f>
        <v>0</v>
      </c>
      <c r="AU290" s="57">
        <f>IF(ISERROR(IF(B290=C290,J290/C290,(INT(J290/B290)+(((J290-B290*INT(J290/B290)))/C290)/100))),0,(IF(B290=C290,J290/C290,(INT(J290/B290)+(((J290-B290*INT(J290/B290)))/C290)/100))))</f>
        <v>0</v>
      </c>
      <c r="AV290" s="57">
        <f>IF(ISERROR(IF(B290=C290,K290/C290,IF((INT(K290/B290)+(((K290-B290*INT(K290/B290)))/C290)/100)&lt;0,(INT(K290/B290)+(((K290-B290*INT(K290/B290)))/C290)/100)+(1-(B290/C290/100)),(INT(K290/B290)+(((K290-B290*INT(K290/B290)))/C290)/100)))),0,IF(B290=C290,K290/C290,IF((INT(K290/B290)+(((K290-B290*INT(K290/B290)))/C290)/100)&lt;0,(INT(K290/B290)+(((K290-B290*INT(K290/B290)))/C290)/100)+(1-(B290/C290/100)),(INT(K290/B290)+(((K290-B290*INT(K290/B290)))/C290)/100))))</f>
        <v>0</v>
      </c>
      <c r="AW290" s="57">
        <f>IF(ISERROR(IF(B290=C290,L290/C290,(INT(L290/B290)+(((L290-B290*INT(L290/B290)))/C290)/100))),0,(IF(B290=C290,L290/C290,(INT(L290/B290)+(((L290-B290*INT(L290/B290)))/C290)/100))))</f>
        <v>0</v>
      </c>
      <c r="AX290" s="57">
        <f>IF(ISERROR(IF(B290=C290,M290/C290,(INT(M290/B290)+(((M290-B290*INT(M290/B290)))/C290)/100))),0,(IF(B290=C290,M290/C290,(INT(M290/B290)+(((M290-B290*INT(M290/B290)))/C290)/100))))</f>
        <v>0</v>
      </c>
      <c r="AY290" s="57">
        <f>IF(ISERROR(IF(B290=C290,N290/C290,IF((INT(N290/B290)+(((N290-B290*INT(N290/B290)))/C290)/100)&lt;0,(INT(N290/B290)+(((N290-B290*INT(N290/B290)))/C290)/100)+(1-(B290/C290/100)),(INT(N290/B290)+(((N290-B290*INT(N290/B290)))/C290)/100)))),0,IF(B290=C290,N290/C290,IF((INT(N290/B290)+(((N290-B290*INT(N290/B290)))/C290)/100)&lt;0,(INT(N290/B290)+(((N290-B290*INT(N290/B290)))/C290)/100)+(1-(B290/C290/100)),(INT(N290/B290)+(((N290-B290*INT(N290/B290)))/C290)/100))))</f>
        <v>0</v>
      </c>
      <c r="AZ290" s="57">
        <f>IF(ISERROR(IF(B290=C290,O290/C290,(INT(O290/B290)+(((O290-B290*INT(O290/B290)))/C290)/100))),0,(IF(B290=C290,O290/C290,(INT(O290/B290)+(((O290-B290*INT(O290/B290)))/C290)/100))))</f>
        <v>0</v>
      </c>
      <c r="BA290" s="57">
        <f>IF(ISERROR(IF(B290=C290,P290/C290,IF((INT(P290/B290)+(((P290-B290*INT(P290/B290)))/C290)/100)&lt;0,(INT(P290/B290)+(((P290-B290*INT(P290/B290)))/C290)/100)+(1-(B290/C290/100)),(INT(P290/B290)+(((P290-B290*INT(P290/B290)))/C290)/100)))),0,IF(B290=C290,P290/C290,IF((INT(P290/B290)+(((P290-B290*INT(P290/B290)))/C290)/100)&lt;0,(INT(P290/B290)+(((P290-B290*INT(P290/B290)))/C290)/100)+(1-(B290/C290/100)),(INT(P290/B290)+(((P290-B290*INT(P290/B290)))/C290)/100))))</f>
        <v>0</v>
      </c>
      <c r="BB290" s="28">
        <f>R290</f>
        <v>0</v>
      </c>
      <c r="BC290" s="28">
        <f>S290</f>
        <v>0</v>
      </c>
      <c r="BD290" s="28">
        <f>AF290</f>
        <v>0</v>
      </c>
      <c r="BE290" s="28">
        <f>T290</f>
        <v>0</v>
      </c>
      <c r="BG290" s="57">
        <f>IF(ISERROR(IF(B290=C290,V290/C290,(INT(V290/B290)+(((V290-B290*INT(V290/B290)))/C290)/100))),0,(IF(B290=C290,V290/C290,(INT(V290/B290)+(((V290-B290*INT(V290/B290)))/C290)/100))))</f>
        <v>0</v>
      </c>
      <c r="BH290" s="57">
        <f>IF(ISERROR(IF(B290=C290,W290/C290,(INT(W290/B290)+(((W290-B290*INT(W290/B290)))/C290)/100))),0,(IF(B290=C290,W290/C290,(INT(W290/B290)+(((W290-B290*INT(W290/B290)))/C290)/100))))</f>
        <v>0</v>
      </c>
      <c r="BI290" s="57">
        <f>IF(ISERROR(IF(B290=C290,X290/C290,(INT(X290/B290)+(((X290-B290*INT(X290/B290)))/C290)/100))),0,(IF(B290=C290,X290/C290,(INT(X290/B290)+(((X290-B290*INT(X290/B290)))/C290)/100))))</f>
        <v>0</v>
      </c>
      <c r="BJ290" s="57">
        <f>IF(ISERROR(IF(B290=C290,Y290/C290,(INT(Y290/B290)+(((Y290-B290*INT(Y290/B290)))/C290)/100))),0,(IF(B290=C290,Y290/C290,(INT(Y290/B290)+(((Y290-B290*INT(Y290/B290)))/C290)/100))))</f>
        <v>0</v>
      </c>
      <c r="BL290" s="57">
        <f>IF(ISERROR(IF(B290=C290,AA290/C290,(INT(AA290/B290)+(((AA290-B290*INT(AA290/B290)))/C290)/100))),0,(IF(B290=C290,AA290/C290,(INT(AA290/B290)+(((AA290-B290*INT(AA290/B290)))/C290)/100))))</f>
        <v>0</v>
      </c>
      <c r="BM290" s="57">
        <f>IF(ISERROR(IF(B290=C290,AB290/C290,(INT(AB290/B290)+(((AB290-B290*INT(AB290/B290)))/C290)/100))),0,(IF(B290=C290,AB290/C290,(INT(AB290/B290)+(((AB290-B290*INT(AB290/B290)))/C290)/100))))</f>
        <v>0</v>
      </c>
      <c r="BN290" s="57">
        <f>IF(ISERROR(IF(B290=C290,AC290/C290,(INT(AC290/B290)+(((AC290-B290*INT(AC290/B290)))/C290)/100))),0,(IF(B290=C290,AC290/C290,(INT(AC290/B290)+(((AC290-B290*INT(AC290/B290)))/C290)/100))))</f>
        <v>0</v>
      </c>
      <c r="BO290" s="57">
        <f>IF(ISERROR(IF(B290=C290,AD290/C290,(INT(AD290/B290)+(((AD290-B290*INT(AD290/B290)))/C290)/100))),0,(IF(B290=C290,AD290/C290,(INT(AD290/B290)+(((AD290-B290*INT(AD290/B290)))/C290)/100))))</f>
        <v>0</v>
      </c>
      <c r="BQ290" s="155" t="s">
        <v>258</v>
      </c>
    </row>
    <row r="291" spans="1:69" hidden="1" x14ac:dyDescent="0.35">
      <c r="A291" s="160"/>
      <c r="B291" s="113">
        <v>700</v>
      </c>
      <c r="C291" s="113">
        <v>30</v>
      </c>
      <c r="D291" s="28">
        <f>SUM(AA291:AD291)</f>
        <v>0</v>
      </c>
      <c r="E291" s="113">
        <v>0</v>
      </c>
      <c r="F291" s="113">
        <v>0</v>
      </c>
      <c r="G291" s="28">
        <f>SUM(D291:F291)</f>
        <v>0</v>
      </c>
      <c r="H291" s="125">
        <v>0</v>
      </c>
      <c r="I291" s="113">
        <v>0</v>
      </c>
      <c r="J291" s="125">
        <v>0</v>
      </c>
      <c r="K291" s="113">
        <v>0</v>
      </c>
      <c r="L291" s="113">
        <v>0</v>
      </c>
      <c r="M291" s="113">
        <v>0</v>
      </c>
      <c r="N291" s="28">
        <f>G291-SUM(H291:M291)</f>
        <v>0</v>
      </c>
      <c r="O291" s="28">
        <f>SUM(V291:Y291)</f>
        <v>0</v>
      </c>
      <c r="P291" s="28">
        <f>O291-N291</f>
        <v>0</v>
      </c>
      <c r="Q291" s="61" t="str">
        <f>IF(ISERROR(P291/SUM(H291:L291)),"",P291/SUM(H291:L291))</f>
        <v/>
      </c>
      <c r="R291" s="113">
        <v>0</v>
      </c>
      <c r="S291" s="28">
        <f>IF(ISERROR(P291/C291*R291),0,(P291/C291*R291))</f>
        <v>0</v>
      </c>
      <c r="T291" s="60">
        <f>IF(ISERROR(P291/B291*AF291),0,(P291/B291*AF291))</f>
        <v>0</v>
      </c>
      <c r="V291" s="113">
        <v>0</v>
      </c>
      <c r="W291" s="113">
        <v>0</v>
      </c>
      <c r="X291" s="113">
        <v>0</v>
      </c>
      <c r="Y291" s="113">
        <v>0</v>
      </c>
      <c r="AA291" s="113">
        <v>0</v>
      </c>
      <c r="AB291" s="113">
        <v>0</v>
      </c>
      <c r="AC291" s="113">
        <v>0</v>
      </c>
      <c r="AD291" s="113">
        <v>0</v>
      </c>
      <c r="AF291" s="113">
        <v>0</v>
      </c>
      <c r="AG291" s="28">
        <f>G291-O291</f>
        <v>0</v>
      </c>
      <c r="AH291" s="58">
        <f>IF(ISERROR(AG291/B291*AF291),0,(AG291/B291*AF291))</f>
        <v>0</v>
      </c>
      <c r="AI291" s="28">
        <f>SUM(H291:M291)</f>
        <v>0</v>
      </c>
      <c r="AJ291" s="28">
        <f>IF(ISERROR(AI291/B291*AF291),0,(AI291/B291*AF291))</f>
        <v>0</v>
      </c>
      <c r="AK291" s="58">
        <f>IF(ISERROR(O291/B291*AF291),0,(O291/B291*AF291))</f>
        <v>0</v>
      </c>
      <c r="AL291" s="28">
        <f>IF(ISERROR(H291/B291*AF291),0,(H291/B291*AF291))</f>
        <v>0</v>
      </c>
      <c r="AN291" s="51">
        <f>A291</f>
        <v>0</v>
      </c>
      <c r="AO291" s="57">
        <f>IF(ISERROR(IF(B291=C291,D291/C291,(INT(D291/B291)+(((D291-B291*INT(D291/B291)))/C291)/100))),0,(IF(B291=C291,D291/C291,(INT(D291/B291)+(((D291-B291*INT(D291/B291)))/C291)/100))))</f>
        <v>0</v>
      </c>
      <c r="AP291" s="57">
        <f>IF(ISERROR(IF(B291=C291,E291/C291,(INT(E291/B291)+(((E291-B291*INT(E291/B291)))/C291)/100))),0,(IF(B291=C291,E291/C291,(INT(E291/B291)+(((E291-B291*INT(E291/B291)))/C291)/100))))</f>
        <v>0</v>
      </c>
      <c r="AQ291" s="57">
        <f>IF(ISERROR(IF(B291=C291,F291/C291,IF((INT(F291/B291)+(((F291-B291*INT(F291/B291)))/C291)/100)&lt;0,(INT(F291/B291)+(((F291-B291*INT(F291/B291)))/C291)/100)+(1-(B291/C291/100)),(INT(F291/B291)+(((F291-B291*INT(F291/B291)))/C291)/100)))),0,IF(B291=C291,F291/C291,IF((INT(F291/B291)+(((F291-B291*INT(F291/B291)))/C291)/100)&lt;0,(INT(F291/B291)+(((F291-B291*INT(F291/B291)))/C291)/100)+(1-(B291/C291/100)),(INT(F291/B291)+(((F291-B291*INT(F291/B291)))/C291)/100))))</f>
        <v>0</v>
      </c>
      <c r="AR291" s="57">
        <f>IF(ISERROR(IF(B291=C291,G291/C291,(INT(G291/B291)+(((G291-B291*INT(G291/B291)))/C291)/100))),0,(IF(B291=C291,G291/C291,(INT(G291/B291)+(((G291-B291*INT(G291/B291)))/C291)/100))))</f>
        <v>0</v>
      </c>
      <c r="AS291" s="57">
        <f>IF(ISERROR(IF(B291=C291,H291/C291,(INT(H291/B291)+(((H291-B291*INT(H291/B291)))/C291)/100))),0,(IF(B291=C291,H291/C291,(INT(H291/B291)+(((H291-B291*INT(H291/B291)))/C291)/100))))</f>
        <v>0</v>
      </c>
      <c r="AT291" s="57">
        <f>IF(ISERROR(IF(B291=C291,I291/C291,(INT(I291/B291)+(((I291-B291*INT(I291/B291)))/C291)/100))),0,(IF(B291=C291,I291/C291,(INT(I291/B291)+(((I291-B291*INT(I291/B291)))/C291)/100))))</f>
        <v>0</v>
      </c>
      <c r="AU291" s="57">
        <f>IF(ISERROR(IF(B291=C291,J291/C291,(INT(J291/B291)+(((J291-B291*INT(J291/B291)))/C291)/100))),0,(IF(B291=C291,J291/C291,(INT(J291/B291)+(((J291-B291*INT(J291/B291)))/C291)/100))))</f>
        <v>0</v>
      </c>
      <c r="AV291" s="57">
        <f>IF(ISERROR(IF(B291=C291,K291/C291,IF((INT(K291/B291)+(((K291-B291*INT(K291/B291)))/C291)/100)&lt;0,(INT(K291/B291)+(((K291-B291*INT(K291/B291)))/C291)/100)+(1-(B291/C291/100)),(INT(K291/B291)+(((K291-B291*INT(K291/B291)))/C291)/100)))),0,IF(B291=C291,K291/C291,IF((INT(K291/B291)+(((K291-B291*INT(K291/B291)))/C291)/100)&lt;0,(INT(K291/B291)+(((K291-B291*INT(K291/B291)))/C291)/100)+(1-(B291/C291/100)),(INT(K291/B291)+(((K291-B291*INT(K291/B291)))/C291)/100))))</f>
        <v>0</v>
      </c>
      <c r="AW291" s="57">
        <f>IF(ISERROR(IF(B291=C291,L291/C291,(INT(L291/B291)+(((L291-B291*INT(L291/B291)))/C291)/100))),0,(IF(B291=C291,L291/C291,(INT(L291/B291)+(((L291-B291*INT(L291/B291)))/C291)/100))))</f>
        <v>0</v>
      </c>
      <c r="AX291" s="57">
        <f>IF(ISERROR(IF(B291=C291,M291/C291,(INT(M291/B291)+(((M291-B291*INT(M291/B291)))/C291)/100))),0,(IF(B291=C291,M291/C291,(INT(M291/B291)+(((M291-B291*INT(M291/B291)))/C291)/100))))</f>
        <v>0</v>
      </c>
      <c r="AY291" s="57">
        <f>IF(ISERROR(IF(B291=C291,N291/C291,IF((INT(N291/B291)+(((N291-B291*INT(N291/B291)))/C291)/100)&lt;0,(INT(N291/B291)+(((N291-B291*INT(N291/B291)))/C291)/100)+(1-(B291/C291/100)),(INT(N291/B291)+(((N291-B291*INT(N291/B291)))/C291)/100)))),0,IF(B291=C291,N291/C291,IF((INT(N291/B291)+(((N291-B291*INT(N291/B291)))/C291)/100)&lt;0,(INT(N291/B291)+(((N291-B291*INT(N291/B291)))/C291)/100)+(1-(B291/C291/100)),(INT(N291/B291)+(((N291-B291*INT(N291/B291)))/C291)/100))))</f>
        <v>0</v>
      </c>
      <c r="AZ291" s="57">
        <f>IF(ISERROR(IF(B291=C291,O291/C291,(INT(O291/B291)+(((O291-B291*INT(O291/B291)))/C291)/100))),0,(IF(B291=C291,O291/C291,(INT(O291/B291)+(((O291-B291*INT(O291/B291)))/C291)/100))))</f>
        <v>0</v>
      </c>
      <c r="BA291" s="57">
        <f>IF(ISERROR(IF(B291=C291,P291/C291,IF((INT(P291/B291)+(((P291-B291*INT(P291/B291)))/C291)/100)&lt;0,(INT(P291/B291)+(((P291-B291*INT(P291/B291)))/C291)/100)+(1-(B291/C291/100)),(INT(P291/B291)+(((P291-B291*INT(P291/B291)))/C291)/100)))),0,IF(B291=C291,P291/C291,IF((INT(P291/B291)+(((P291-B291*INT(P291/B291)))/C291)/100)&lt;0,(INT(P291/B291)+(((P291-B291*INT(P291/B291)))/C291)/100)+(1-(B291/C291/100)),(INT(P291/B291)+(((P291-B291*INT(P291/B291)))/C291)/100))))</f>
        <v>0</v>
      </c>
      <c r="BB291" s="28">
        <f>R291</f>
        <v>0</v>
      </c>
      <c r="BC291" s="28">
        <f>S291</f>
        <v>0</v>
      </c>
      <c r="BD291" s="28">
        <f>AF291</f>
        <v>0</v>
      </c>
      <c r="BE291" s="28">
        <f>T291</f>
        <v>0</v>
      </c>
      <c r="BG291" s="57">
        <f>IF(ISERROR(IF(B291=C291,V291/C291,(INT(V291/B291)+(((V291-B291*INT(V291/B291)))/C291)/100))),0,(IF(B291=C291,V291/C291,(INT(V291/B291)+(((V291-B291*INT(V291/B291)))/C291)/100))))</f>
        <v>0</v>
      </c>
      <c r="BH291" s="57">
        <f>IF(ISERROR(IF(B291=C291,W291/C291,(INT(W291/B291)+(((W291-B291*INT(W291/B291)))/C291)/100))),0,(IF(B291=C291,W291/C291,(INT(W291/B291)+(((W291-B291*INT(W291/B291)))/C291)/100))))</f>
        <v>0</v>
      </c>
      <c r="BI291" s="57">
        <f>IF(ISERROR(IF(B291=C291,X291/C291,(INT(X291/B291)+(((X291-B291*INT(X291/B291)))/C291)/100))),0,(IF(B291=C291,X291/C291,(INT(X291/B291)+(((X291-B291*INT(X291/B291)))/C291)/100))))</f>
        <v>0</v>
      </c>
      <c r="BJ291" s="57">
        <f>IF(ISERROR(IF(B291=C291,Y291/C291,(INT(Y291/B291)+(((Y291-B291*INT(Y291/B291)))/C291)/100))),0,(IF(B291=C291,Y291/C291,(INT(Y291/B291)+(((Y291-B291*INT(Y291/B291)))/C291)/100))))</f>
        <v>0</v>
      </c>
      <c r="BL291" s="57">
        <f>IF(ISERROR(IF(B291=C291,AA291/C291,(INT(AA291/B291)+(((AA291-B291*INT(AA291/B291)))/C291)/100))),0,(IF(B291=C291,AA291/C291,(INT(AA291/B291)+(((AA291-B291*INT(AA291/B291)))/C291)/100))))</f>
        <v>0</v>
      </c>
      <c r="BM291" s="57">
        <f>IF(ISERROR(IF(B291=C291,AB291/C291,(INT(AB291/B291)+(((AB291-B291*INT(AB291/B291)))/C291)/100))),0,(IF(B291=C291,AB291/C291,(INT(AB291/B291)+(((AB291-B291*INT(AB291/B291)))/C291)/100))))</f>
        <v>0</v>
      </c>
      <c r="BN291" s="57">
        <f>IF(ISERROR(IF(B291=C291,AC291/C291,(INT(AC291/B291)+(((AC291-B291*INT(AC291/B291)))/C291)/100))),0,(IF(B291=C291,AC291/C291,(INT(AC291/B291)+(((AC291-B291*INT(AC291/B291)))/C291)/100))))</f>
        <v>0</v>
      </c>
      <c r="BO291" s="57">
        <f>IF(ISERROR(IF(B291=C291,AD291/C291,(INT(AD291/B291)+(((AD291-B291*INT(AD291/B291)))/C291)/100))),0,(IF(B291=C291,AD291/C291,(INT(AD291/B291)+(((AD291-B291*INT(AD291/B291)))/C291)/100))))</f>
        <v>0</v>
      </c>
      <c r="BQ291" s="155" t="s">
        <v>232</v>
      </c>
    </row>
    <row r="292" spans="1:69" hidden="1" x14ac:dyDescent="0.35">
      <c r="A292" s="134"/>
      <c r="B292" s="113">
        <v>700</v>
      </c>
      <c r="C292" s="113">
        <v>30</v>
      </c>
      <c r="D292" s="28">
        <f>SUM(AA292:AD292)</f>
        <v>0</v>
      </c>
      <c r="E292" s="113">
        <v>0</v>
      </c>
      <c r="F292" s="113">
        <v>0</v>
      </c>
      <c r="G292" s="28">
        <f>SUM(D292:F292)</f>
        <v>0</v>
      </c>
      <c r="H292" s="125">
        <v>0</v>
      </c>
      <c r="I292" s="113">
        <v>0</v>
      </c>
      <c r="J292" s="125">
        <v>0</v>
      </c>
      <c r="K292" s="113">
        <v>0</v>
      </c>
      <c r="L292" s="113">
        <v>0</v>
      </c>
      <c r="M292" s="113">
        <v>0</v>
      </c>
      <c r="N292" s="28">
        <f>G292-SUM(H292:M292)</f>
        <v>0</v>
      </c>
      <c r="O292" s="28">
        <f>SUM(V292:Y292)</f>
        <v>0</v>
      </c>
      <c r="P292" s="28">
        <f>O292-N292</f>
        <v>0</v>
      </c>
      <c r="Q292" s="61" t="str">
        <f>IF(ISERROR(P292/SUM(H292:L292)),"",P292/SUM(H292:L292))</f>
        <v/>
      </c>
      <c r="R292" s="113">
        <v>0</v>
      </c>
      <c r="S292" s="28">
        <f>IF(ISERROR(P292/C292*R292),0,(P292/C292*R292))</f>
        <v>0</v>
      </c>
      <c r="T292" s="60">
        <f>IF(ISERROR(P292/B292*AF292),0,(P292/B292*AF292))</f>
        <v>0</v>
      </c>
      <c r="V292" s="113">
        <v>0</v>
      </c>
      <c r="W292" s="113">
        <v>0</v>
      </c>
      <c r="X292" s="113">
        <v>0</v>
      </c>
      <c r="Y292" s="113">
        <v>0</v>
      </c>
      <c r="AA292" s="113">
        <v>0</v>
      </c>
      <c r="AB292" s="113">
        <v>0</v>
      </c>
      <c r="AC292" s="113">
        <v>0</v>
      </c>
      <c r="AD292" s="113">
        <v>0</v>
      </c>
      <c r="AF292" s="113">
        <v>0</v>
      </c>
      <c r="AG292" s="28">
        <f>G292-O292</f>
        <v>0</v>
      </c>
      <c r="AH292" s="58">
        <f>IF(ISERROR(AG292/B292*AF292),0,(AG292/B292*AF292))</f>
        <v>0</v>
      </c>
      <c r="AI292" s="28">
        <f>SUM(H292:M292)</f>
        <v>0</v>
      </c>
      <c r="AJ292" s="28">
        <f>IF(ISERROR(AI292/B292*AF292),0,(AI292/B292*AF292))</f>
        <v>0</v>
      </c>
      <c r="AK292" s="58">
        <f>IF(ISERROR(O292/B292*AF292),0,(O292/B292*AF292))</f>
        <v>0</v>
      </c>
      <c r="AL292" s="28">
        <f>IF(ISERROR(H292/B292*AF292),0,(H292/B292*AF292))</f>
        <v>0</v>
      </c>
      <c r="AN292" s="51">
        <f>A292</f>
        <v>0</v>
      </c>
      <c r="AO292" s="57">
        <f>IF(ISERROR(IF(B292=C292,D292/C292,(INT(D292/B292)+(((D292-B292*INT(D292/B292)))/C292)/100))),0,(IF(B292=C292,D292/C292,(INT(D292/B292)+(((D292-B292*INT(D292/B292)))/C292)/100))))</f>
        <v>0</v>
      </c>
      <c r="AP292" s="57">
        <f>IF(ISERROR(IF(B292=C292,E292/C292,(INT(E292/B292)+(((E292-B292*INT(E292/B292)))/C292)/100))),0,(IF(B292=C292,E292/C292,(INT(E292/B292)+(((E292-B292*INT(E292/B292)))/C292)/100))))</f>
        <v>0</v>
      </c>
      <c r="AQ292" s="57">
        <f>IF(ISERROR(IF(B292=C292,F292/C292,IF((INT(F292/B292)+(((F292-B292*INT(F292/B292)))/C292)/100)&lt;0,(INT(F292/B292)+(((F292-B292*INT(F292/B292)))/C292)/100)+(1-(B292/C292/100)),(INT(F292/B292)+(((F292-B292*INT(F292/B292)))/C292)/100)))),0,IF(B292=C292,F292/C292,IF((INT(F292/B292)+(((F292-B292*INT(F292/B292)))/C292)/100)&lt;0,(INT(F292/B292)+(((F292-B292*INT(F292/B292)))/C292)/100)+(1-(B292/C292/100)),(INT(F292/B292)+(((F292-B292*INT(F292/B292)))/C292)/100))))</f>
        <v>0</v>
      </c>
      <c r="AR292" s="57">
        <f>IF(ISERROR(IF(B292=C292,G292/C292,(INT(G292/B292)+(((G292-B292*INT(G292/B292)))/C292)/100))),0,(IF(B292=C292,G292/C292,(INT(G292/B292)+(((G292-B292*INT(G292/B292)))/C292)/100))))</f>
        <v>0</v>
      </c>
      <c r="AS292" s="57">
        <f>IF(ISERROR(IF(B292=C292,H292/C292,(INT(H292/B292)+(((H292-B292*INT(H292/B292)))/C292)/100))),0,(IF(B292=C292,H292/C292,(INT(H292/B292)+(((H292-B292*INT(H292/B292)))/C292)/100))))</f>
        <v>0</v>
      </c>
      <c r="AT292" s="57">
        <f>IF(ISERROR(IF(B292=C292,I292/C292,(INT(I292/B292)+(((I292-B292*INT(I292/B292)))/C292)/100))),0,(IF(B292=C292,I292/C292,(INT(I292/B292)+(((I292-B292*INT(I292/B292)))/C292)/100))))</f>
        <v>0</v>
      </c>
      <c r="AU292" s="57">
        <f>IF(ISERROR(IF(B292=C292,J292/C292,(INT(J292/B292)+(((J292-B292*INT(J292/B292)))/C292)/100))),0,(IF(B292=C292,J292/C292,(INT(J292/B292)+(((J292-B292*INT(J292/B292)))/C292)/100))))</f>
        <v>0</v>
      </c>
      <c r="AV292" s="57">
        <f>IF(ISERROR(IF(B292=C292,K292/C292,IF((INT(K292/B292)+(((K292-B292*INT(K292/B292)))/C292)/100)&lt;0,(INT(K292/B292)+(((K292-B292*INT(K292/B292)))/C292)/100)+(1-(B292/C292/100)),(INT(K292/B292)+(((K292-B292*INT(K292/B292)))/C292)/100)))),0,IF(B292=C292,K292/C292,IF((INT(K292/B292)+(((K292-B292*INT(K292/B292)))/C292)/100)&lt;0,(INT(K292/B292)+(((K292-B292*INT(K292/B292)))/C292)/100)+(1-(B292/C292/100)),(INT(K292/B292)+(((K292-B292*INT(K292/B292)))/C292)/100))))</f>
        <v>0</v>
      </c>
      <c r="AW292" s="57">
        <f>IF(ISERROR(IF(B292=C292,L292/C292,(INT(L292/B292)+(((L292-B292*INT(L292/B292)))/C292)/100))),0,(IF(B292=C292,L292/C292,(INT(L292/B292)+(((L292-B292*INT(L292/B292)))/C292)/100))))</f>
        <v>0</v>
      </c>
      <c r="AX292" s="57">
        <f>IF(ISERROR(IF(B292=C292,M292/C292,(INT(M292/B292)+(((M292-B292*INT(M292/B292)))/C292)/100))),0,(IF(B292=C292,M292/C292,(INT(M292/B292)+(((M292-B292*INT(M292/B292)))/C292)/100))))</f>
        <v>0</v>
      </c>
      <c r="AY292" s="57">
        <f>IF(ISERROR(IF(B292=C292,N292/C292,IF((INT(N292/B292)+(((N292-B292*INT(N292/B292)))/C292)/100)&lt;0,(INT(N292/B292)+(((N292-B292*INT(N292/B292)))/C292)/100)+(1-(B292/C292/100)),(INT(N292/B292)+(((N292-B292*INT(N292/B292)))/C292)/100)))),0,IF(B292=C292,N292/C292,IF((INT(N292/B292)+(((N292-B292*INT(N292/B292)))/C292)/100)&lt;0,(INT(N292/B292)+(((N292-B292*INT(N292/B292)))/C292)/100)+(1-(B292/C292/100)),(INT(N292/B292)+(((N292-B292*INT(N292/B292)))/C292)/100))))</f>
        <v>0</v>
      </c>
      <c r="AZ292" s="57">
        <f>IF(ISERROR(IF(B292=C292,O292/C292,(INT(O292/B292)+(((O292-B292*INT(O292/B292)))/C292)/100))),0,(IF(B292=C292,O292/C292,(INT(O292/B292)+(((O292-B292*INT(O292/B292)))/C292)/100))))</f>
        <v>0</v>
      </c>
      <c r="BA292" s="57">
        <f>IF(ISERROR(IF(B292=C292,P292/C292,IF((INT(P292/B292)+(((P292-B292*INT(P292/B292)))/C292)/100)&lt;0,(INT(P292/B292)+(((P292-B292*INT(P292/B292)))/C292)/100)+(1-(B292/C292/100)),(INT(P292/B292)+(((P292-B292*INT(P292/B292)))/C292)/100)))),0,IF(B292=C292,P292/C292,IF((INT(P292/B292)+(((P292-B292*INT(P292/B292)))/C292)/100)&lt;0,(INT(P292/B292)+(((P292-B292*INT(P292/B292)))/C292)/100)+(1-(B292/C292/100)),(INT(P292/B292)+(((P292-B292*INT(P292/B292)))/C292)/100))))</f>
        <v>0</v>
      </c>
      <c r="BB292" s="28">
        <f>R292</f>
        <v>0</v>
      </c>
      <c r="BC292" s="28">
        <f>S292</f>
        <v>0</v>
      </c>
      <c r="BD292" s="28">
        <f>AF292</f>
        <v>0</v>
      </c>
      <c r="BE292" s="28">
        <f>T292</f>
        <v>0</v>
      </c>
      <c r="BG292" s="57">
        <f>IF(ISERROR(IF(B292=C292,V292/C292,(INT(V292/B292)+(((V292-B292*INT(V292/B292)))/C292)/100))),0,(IF(B292=C292,V292/C292,(INT(V292/B292)+(((V292-B292*INT(V292/B292)))/C292)/100))))</f>
        <v>0</v>
      </c>
      <c r="BH292" s="57">
        <f>IF(ISERROR(IF(B292=C292,W292/C292,(INT(W292/B292)+(((W292-B292*INT(W292/B292)))/C292)/100))),0,(IF(B292=C292,W292/C292,(INT(W292/B292)+(((W292-B292*INT(W292/B292)))/C292)/100))))</f>
        <v>0</v>
      </c>
      <c r="BI292" s="57">
        <f>IF(ISERROR(IF(B292=C292,X292/C292,(INT(X292/B292)+(((X292-B292*INT(X292/B292)))/C292)/100))),0,(IF(B292=C292,X292/C292,(INT(X292/B292)+(((X292-B292*INT(X292/B292)))/C292)/100))))</f>
        <v>0</v>
      </c>
      <c r="BJ292" s="57">
        <f>IF(ISERROR(IF(B292=C292,Y292/C292,(INT(Y292/B292)+(((Y292-B292*INT(Y292/B292)))/C292)/100))),0,(IF(B292=C292,Y292/C292,(INT(Y292/B292)+(((Y292-B292*INT(Y292/B292)))/C292)/100))))</f>
        <v>0</v>
      </c>
      <c r="BL292" s="57">
        <f>IF(ISERROR(IF(B292=C292,AA292/C292,(INT(AA292/B292)+(((AA292-B292*INT(AA292/B292)))/C292)/100))),0,(IF(B292=C292,AA292/C292,(INT(AA292/B292)+(((AA292-B292*INT(AA292/B292)))/C292)/100))))</f>
        <v>0</v>
      </c>
      <c r="BM292" s="57">
        <f>IF(ISERROR(IF(B292=C292,AB292/C292,(INT(AB292/B292)+(((AB292-B292*INT(AB292/B292)))/C292)/100))),0,(IF(B292=C292,AB292/C292,(INT(AB292/B292)+(((AB292-B292*INT(AB292/B292)))/C292)/100))))</f>
        <v>0</v>
      </c>
      <c r="BN292" s="57">
        <f>IF(ISERROR(IF(B292=C292,AC292/C292,(INT(AC292/B292)+(((AC292-B292*INT(AC292/B292)))/C292)/100))),0,(IF(B292=C292,AC292/C292,(INT(AC292/B292)+(((AC292-B292*INT(AC292/B292)))/C292)/100))))</f>
        <v>0</v>
      </c>
      <c r="BO292" s="57">
        <f>IF(ISERROR(IF(B292=C292,AD292/C292,(INT(AD292/B292)+(((AD292-B292*INT(AD292/B292)))/C292)/100))),0,(IF(B292=C292,AD292/C292,(INT(AD292/B292)+(((AD292-B292*INT(AD292/B292)))/C292)/100))))</f>
        <v>0</v>
      </c>
      <c r="BQ292" s="155" t="s">
        <v>232</v>
      </c>
    </row>
    <row r="293" spans="1:69" hidden="1" x14ac:dyDescent="0.35">
      <c r="A293" s="134"/>
      <c r="B293" s="113">
        <v>700</v>
      </c>
      <c r="C293" s="113">
        <v>30</v>
      </c>
      <c r="D293" s="28">
        <f>SUM(AA293:AD293)</f>
        <v>0</v>
      </c>
      <c r="E293" s="113">
        <v>0</v>
      </c>
      <c r="F293" s="113">
        <v>0</v>
      </c>
      <c r="G293" s="28">
        <f>SUM(D293:F293)</f>
        <v>0</v>
      </c>
      <c r="H293" s="125">
        <v>0</v>
      </c>
      <c r="I293" s="113">
        <v>0</v>
      </c>
      <c r="J293" s="125">
        <v>0</v>
      </c>
      <c r="K293" s="113">
        <v>0</v>
      </c>
      <c r="L293" s="113">
        <v>0</v>
      </c>
      <c r="M293" s="113">
        <v>0</v>
      </c>
      <c r="N293" s="28">
        <f>G293-SUM(H293:M293)</f>
        <v>0</v>
      </c>
      <c r="O293" s="28">
        <f>SUM(V293:Y293)</f>
        <v>0</v>
      </c>
      <c r="P293" s="28">
        <f>O293-N293</f>
        <v>0</v>
      </c>
      <c r="Q293" s="61" t="str">
        <f>IF(ISERROR(P293/SUM(H293:L293)),"",P293/SUM(H293:L293))</f>
        <v/>
      </c>
      <c r="R293" s="113">
        <v>0</v>
      </c>
      <c r="S293" s="28">
        <f>IF(ISERROR(P293/C293*R293),0,(P293/C293*R293))</f>
        <v>0</v>
      </c>
      <c r="T293" s="60">
        <f>IF(ISERROR(P293/B293*AF293),0,(P293/B293*AF293))</f>
        <v>0</v>
      </c>
      <c r="V293" s="113">
        <v>0</v>
      </c>
      <c r="W293" s="113">
        <v>0</v>
      </c>
      <c r="X293" s="113">
        <v>0</v>
      </c>
      <c r="Y293" s="113">
        <v>0</v>
      </c>
      <c r="AA293" s="113">
        <v>0</v>
      </c>
      <c r="AB293" s="113">
        <v>0</v>
      </c>
      <c r="AC293" s="113">
        <v>0</v>
      </c>
      <c r="AD293" s="113">
        <v>0</v>
      </c>
      <c r="AF293" s="113">
        <v>0</v>
      </c>
      <c r="AG293" s="28">
        <f>G293-O293</f>
        <v>0</v>
      </c>
      <c r="AH293" s="58">
        <f>IF(ISERROR(AG293/B293*AF293),0,(AG293/B293*AF293))</f>
        <v>0</v>
      </c>
      <c r="AI293" s="28">
        <f>SUM(H293:M293)</f>
        <v>0</v>
      </c>
      <c r="AJ293" s="28">
        <f>IF(ISERROR(AI293/B293*AF293),0,(AI293/B293*AF293))</f>
        <v>0</v>
      </c>
      <c r="AK293" s="58">
        <f>IF(ISERROR(O293/B293*AF293),0,(O293/B293*AF293))</f>
        <v>0</v>
      </c>
      <c r="AL293" s="28">
        <f>IF(ISERROR(H293/B293*AF293),0,(H293/B293*AF293))</f>
        <v>0</v>
      </c>
      <c r="AN293" s="51">
        <f>A293</f>
        <v>0</v>
      </c>
      <c r="AO293" s="57">
        <f>IF(ISERROR(IF(B293=C293,D293/C293,(INT(D293/B293)+(((D293-B293*INT(D293/B293)))/C293)/100))),0,(IF(B293=C293,D293/C293,(INT(D293/B293)+(((D293-B293*INT(D293/B293)))/C293)/100))))</f>
        <v>0</v>
      </c>
      <c r="AP293" s="57">
        <f>IF(ISERROR(IF(B293=C293,E293/C293,(INT(E293/B293)+(((E293-B293*INT(E293/B293)))/C293)/100))),0,(IF(B293=C293,E293/C293,(INT(E293/B293)+(((E293-B293*INT(E293/B293)))/C293)/100))))</f>
        <v>0</v>
      </c>
      <c r="AQ293" s="57">
        <f>IF(ISERROR(IF(B293=C293,F293/C293,IF((INT(F293/B293)+(((F293-B293*INT(F293/B293)))/C293)/100)&lt;0,(INT(F293/B293)+(((F293-B293*INT(F293/B293)))/C293)/100)+(1-(B293/C293/100)),(INT(F293/B293)+(((F293-B293*INT(F293/B293)))/C293)/100)))),0,IF(B293=C293,F293/C293,IF((INT(F293/B293)+(((F293-B293*INT(F293/B293)))/C293)/100)&lt;0,(INT(F293/B293)+(((F293-B293*INT(F293/B293)))/C293)/100)+(1-(B293/C293/100)),(INT(F293/B293)+(((F293-B293*INT(F293/B293)))/C293)/100))))</f>
        <v>0</v>
      </c>
      <c r="AR293" s="57">
        <f>IF(ISERROR(IF(B293=C293,G293/C293,(INT(G293/B293)+(((G293-B293*INT(G293/B293)))/C293)/100))),0,(IF(B293=C293,G293/C293,(INT(G293/B293)+(((G293-B293*INT(G293/B293)))/C293)/100))))</f>
        <v>0</v>
      </c>
      <c r="AS293" s="57">
        <f>IF(ISERROR(IF(B293=C293,H293/C293,(INT(H293/B293)+(((H293-B293*INT(H293/B293)))/C293)/100))),0,(IF(B293=C293,H293/C293,(INT(H293/B293)+(((H293-B293*INT(H293/B293)))/C293)/100))))</f>
        <v>0</v>
      </c>
      <c r="AT293" s="57">
        <f>IF(ISERROR(IF(B293=C293,I293/C293,(INT(I293/B293)+(((I293-B293*INT(I293/B293)))/C293)/100))),0,(IF(B293=C293,I293/C293,(INT(I293/B293)+(((I293-B293*INT(I293/B293)))/C293)/100))))</f>
        <v>0</v>
      </c>
      <c r="AU293" s="57">
        <f>IF(ISERROR(IF(B293=C293,J293/C293,(INT(J293/B293)+(((J293-B293*INT(J293/B293)))/C293)/100))),0,(IF(B293=C293,J293/C293,(INT(J293/B293)+(((J293-B293*INT(J293/B293)))/C293)/100))))</f>
        <v>0</v>
      </c>
      <c r="AV293" s="57">
        <f>IF(ISERROR(IF(B293=C293,K293/C293,IF((INT(K293/B293)+(((K293-B293*INT(K293/B293)))/C293)/100)&lt;0,(INT(K293/B293)+(((K293-B293*INT(K293/B293)))/C293)/100)+(1-(B293/C293/100)),(INT(K293/B293)+(((K293-B293*INT(K293/B293)))/C293)/100)))),0,IF(B293=C293,K293/C293,IF((INT(K293/B293)+(((K293-B293*INT(K293/B293)))/C293)/100)&lt;0,(INT(K293/B293)+(((K293-B293*INT(K293/B293)))/C293)/100)+(1-(B293/C293/100)),(INT(K293/B293)+(((K293-B293*INT(K293/B293)))/C293)/100))))</f>
        <v>0</v>
      </c>
      <c r="AW293" s="57">
        <f>IF(ISERROR(IF(B293=C293,L293/C293,(INT(L293/B293)+(((L293-B293*INT(L293/B293)))/C293)/100))),0,(IF(B293=C293,L293/C293,(INT(L293/B293)+(((L293-B293*INT(L293/B293)))/C293)/100))))</f>
        <v>0</v>
      </c>
      <c r="AX293" s="57">
        <f>IF(ISERROR(IF(B293=C293,M293/C293,(INT(M293/B293)+(((M293-B293*INT(M293/B293)))/C293)/100))),0,(IF(B293=C293,M293/C293,(INT(M293/B293)+(((M293-B293*INT(M293/B293)))/C293)/100))))</f>
        <v>0</v>
      </c>
      <c r="AY293" s="57">
        <f>IF(ISERROR(IF(B293=C293,N293/C293,IF((INT(N293/B293)+(((N293-B293*INT(N293/B293)))/C293)/100)&lt;0,(INT(N293/B293)+(((N293-B293*INT(N293/B293)))/C293)/100)+(1-(B293/C293/100)),(INT(N293/B293)+(((N293-B293*INT(N293/B293)))/C293)/100)))),0,IF(B293=C293,N293/C293,IF((INT(N293/B293)+(((N293-B293*INT(N293/B293)))/C293)/100)&lt;0,(INT(N293/B293)+(((N293-B293*INT(N293/B293)))/C293)/100)+(1-(B293/C293/100)),(INT(N293/B293)+(((N293-B293*INT(N293/B293)))/C293)/100))))</f>
        <v>0</v>
      </c>
      <c r="AZ293" s="57">
        <f>IF(ISERROR(IF(B293=C293,O293/C293,(INT(O293/B293)+(((O293-B293*INT(O293/B293)))/C293)/100))),0,(IF(B293=C293,O293/C293,(INT(O293/B293)+(((O293-B293*INT(O293/B293)))/C293)/100))))</f>
        <v>0</v>
      </c>
      <c r="BA293" s="57">
        <f>IF(ISERROR(IF(B293=C293,P293/C293,IF((INT(P293/B293)+(((P293-B293*INT(P293/B293)))/C293)/100)&lt;0,(INT(P293/B293)+(((P293-B293*INT(P293/B293)))/C293)/100)+(1-(B293/C293/100)),(INT(P293/B293)+(((P293-B293*INT(P293/B293)))/C293)/100)))),0,IF(B293=C293,P293/C293,IF((INT(P293/B293)+(((P293-B293*INT(P293/B293)))/C293)/100)&lt;0,(INT(P293/B293)+(((P293-B293*INT(P293/B293)))/C293)/100)+(1-(B293/C293/100)),(INT(P293/B293)+(((P293-B293*INT(P293/B293)))/C293)/100))))</f>
        <v>0</v>
      </c>
      <c r="BB293" s="28">
        <f>R293</f>
        <v>0</v>
      </c>
      <c r="BC293" s="28">
        <f>S293</f>
        <v>0</v>
      </c>
      <c r="BD293" s="28">
        <f>AF293</f>
        <v>0</v>
      </c>
      <c r="BE293" s="28">
        <f>T293</f>
        <v>0</v>
      </c>
      <c r="BG293" s="57">
        <f>IF(ISERROR(IF(B293=C293,V293/C293,(INT(V293/B293)+(((V293-B293*INT(V293/B293)))/C293)/100))),0,(IF(B293=C293,V293/C293,(INT(V293/B293)+(((V293-B293*INT(V293/B293)))/C293)/100))))</f>
        <v>0</v>
      </c>
      <c r="BH293" s="57">
        <f>IF(ISERROR(IF(B293=C293,W293/C293,(INT(W293/B293)+(((W293-B293*INT(W293/B293)))/C293)/100))),0,(IF(B293=C293,W293/C293,(INT(W293/B293)+(((W293-B293*INT(W293/B293)))/C293)/100))))</f>
        <v>0</v>
      </c>
      <c r="BI293" s="57">
        <f>IF(ISERROR(IF(B293=C293,X293/C293,(INT(X293/B293)+(((X293-B293*INT(X293/B293)))/C293)/100))),0,(IF(B293=C293,X293/C293,(INT(X293/B293)+(((X293-B293*INT(X293/B293)))/C293)/100))))</f>
        <v>0</v>
      </c>
      <c r="BJ293" s="57">
        <f>IF(ISERROR(IF(B293=C293,Y293/C293,(INT(Y293/B293)+(((Y293-B293*INT(Y293/B293)))/C293)/100))),0,(IF(B293=C293,Y293/C293,(INT(Y293/B293)+(((Y293-B293*INT(Y293/B293)))/C293)/100))))</f>
        <v>0</v>
      </c>
      <c r="BL293" s="57">
        <f>IF(ISERROR(IF(B293=C293,AA293/C293,(INT(AA293/B293)+(((AA293-B293*INT(AA293/B293)))/C293)/100))),0,(IF(B293=C293,AA293/C293,(INT(AA293/B293)+(((AA293-B293*INT(AA293/B293)))/C293)/100))))</f>
        <v>0</v>
      </c>
      <c r="BM293" s="57">
        <f>IF(ISERROR(IF(B293=C293,AB293/C293,(INT(AB293/B293)+(((AB293-B293*INT(AB293/B293)))/C293)/100))),0,(IF(B293=C293,AB293/C293,(INT(AB293/B293)+(((AB293-B293*INT(AB293/B293)))/C293)/100))))</f>
        <v>0</v>
      </c>
      <c r="BN293" s="57">
        <f>IF(ISERROR(IF(B293=C293,AC293/C293,(INT(AC293/B293)+(((AC293-B293*INT(AC293/B293)))/C293)/100))),0,(IF(B293=C293,AC293/C293,(INT(AC293/B293)+(((AC293-B293*INT(AC293/B293)))/C293)/100))))</f>
        <v>0</v>
      </c>
      <c r="BO293" s="57">
        <f>IF(ISERROR(IF(B293=C293,AD293/C293,(INT(AD293/B293)+(((AD293-B293*INT(AD293/B293)))/C293)/100))),0,(IF(B293=C293,AD293/C293,(INT(AD293/B293)+(((AD293-B293*INT(AD293/B293)))/C293)/100))))</f>
        <v>0</v>
      </c>
      <c r="BQ293" s="155" t="s">
        <v>257</v>
      </c>
    </row>
    <row r="294" spans="1:69" hidden="1" x14ac:dyDescent="0.35">
      <c r="A294" s="165"/>
      <c r="B294" s="113">
        <v>700</v>
      </c>
      <c r="C294" s="113">
        <v>30</v>
      </c>
      <c r="D294" s="28">
        <f>SUM(AA294:AD294)</f>
        <v>0</v>
      </c>
      <c r="E294" s="113">
        <v>0</v>
      </c>
      <c r="F294" s="113">
        <v>0</v>
      </c>
      <c r="G294" s="28">
        <f>SUM(D294:F294)</f>
        <v>0</v>
      </c>
      <c r="H294" s="125">
        <v>0</v>
      </c>
      <c r="I294" s="113">
        <v>0</v>
      </c>
      <c r="J294" s="125">
        <v>0</v>
      </c>
      <c r="K294" s="113">
        <v>0</v>
      </c>
      <c r="L294" s="113">
        <v>0</v>
      </c>
      <c r="M294" s="113">
        <v>0</v>
      </c>
      <c r="N294" s="28">
        <f>G294-SUM(H294:M294)</f>
        <v>0</v>
      </c>
      <c r="O294" s="28">
        <f>SUM(V294:Y294)</f>
        <v>0</v>
      </c>
      <c r="P294" s="28">
        <f>O294-N294</f>
        <v>0</v>
      </c>
      <c r="Q294" s="61" t="str">
        <f>IF(ISERROR(P294/SUM(H294:L294)),"",P294/SUM(H294:L294))</f>
        <v/>
      </c>
      <c r="R294" s="113">
        <v>0</v>
      </c>
      <c r="S294" s="28">
        <f>IF(ISERROR(P294/C294*R294),0,(P294/C294*R294))</f>
        <v>0</v>
      </c>
      <c r="T294" s="60">
        <f>IF(ISERROR(P294/B294*AF294),0,(P294/B294*AF294))</f>
        <v>0</v>
      </c>
      <c r="V294" s="113">
        <v>0</v>
      </c>
      <c r="W294" s="113">
        <v>0</v>
      </c>
      <c r="X294" s="113">
        <v>0</v>
      </c>
      <c r="Y294" s="113">
        <v>0</v>
      </c>
      <c r="AA294" s="113">
        <v>0</v>
      </c>
      <c r="AB294" s="113">
        <v>0</v>
      </c>
      <c r="AC294" s="113">
        <v>0</v>
      </c>
      <c r="AD294" s="113">
        <v>0</v>
      </c>
      <c r="AF294" s="113">
        <v>0</v>
      </c>
      <c r="AG294" s="28">
        <f>G294-O294</f>
        <v>0</v>
      </c>
      <c r="AH294" s="58">
        <f>IF(ISERROR(AG294/B294*AF294),0,(AG294/B294*AF294))</f>
        <v>0</v>
      </c>
      <c r="AI294" s="28">
        <f>SUM(H294:M294)</f>
        <v>0</v>
      </c>
      <c r="AJ294" s="28">
        <f>IF(ISERROR(AI294/B294*AF294),0,(AI294/B294*AF294))</f>
        <v>0</v>
      </c>
      <c r="AK294" s="58">
        <f>IF(ISERROR(O294/B294*AF294),0,(O294/B294*AF294))</f>
        <v>0</v>
      </c>
      <c r="AL294" s="28">
        <f>IF(ISERROR(H294/B294*AF294),0,(H294/B294*AF294))</f>
        <v>0</v>
      </c>
      <c r="AN294" s="51">
        <f>A294</f>
        <v>0</v>
      </c>
      <c r="AO294" s="57">
        <f>IF(ISERROR(IF(B294=C294,D294/C294,(INT(D294/B294)+(((D294-B294*INT(D294/B294)))/C294)/100))),0,(IF(B294=C294,D294/C294,(INT(D294/B294)+(((D294-B294*INT(D294/B294)))/C294)/100))))</f>
        <v>0</v>
      </c>
      <c r="AP294" s="57">
        <f>IF(ISERROR(IF(B294=C294,E294/C294,(INT(E294/B294)+(((E294-B294*INT(E294/B294)))/C294)/100))),0,(IF(B294=C294,E294/C294,(INT(E294/B294)+(((E294-B294*INT(E294/B294)))/C294)/100))))</f>
        <v>0</v>
      </c>
      <c r="AQ294" s="57">
        <f>IF(ISERROR(IF(B294=C294,F294/C294,IF((INT(F294/B294)+(((F294-B294*INT(F294/B294)))/C294)/100)&lt;0,(INT(F294/B294)+(((F294-B294*INT(F294/B294)))/C294)/100)+(1-(B294/C294/100)),(INT(F294/B294)+(((F294-B294*INT(F294/B294)))/C294)/100)))),0,IF(B294=C294,F294/C294,IF((INT(F294/B294)+(((F294-B294*INT(F294/B294)))/C294)/100)&lt;0,(INT(F294/B294)+(((F294-B294*INT(F294/B294)))/C294)/100)+(1-(B294/C294/100)),(INT(F294/B294)+(((F294-B294*INT(F294/B294)))/C294)/100))))</f>
        <v>0</v>
      </c>
      <c r="AR294" s="57">
        <f>IF(ISERROR(IF(B294=C294,G294/C294,(INT(G294/B294)+(((G294-B294*INT(G294/B294)))/C294)/100))),0,(IF(B294=C294,G294/C294,(INT(G294/B294)+(((G294-B294*INT(G294/B294)))/C294)/100))))</f>
        <v>0</v>
      </c>
      <c r="AS294" s="57">
        <f>IF(ISERROR(IF(B294=C294,H294/C294,(INT(H294/B294)+(((H294-B294*INT(H294/B294)))/C294)/100))),0,(IF(B294=C294,H294/C294,(INT(H294/B294)+(((H294-B294*INT(H294/B294)))/C294)/100))))</f>
        <v>0</v>
      </c>
      <c r="AT294" s="57">
        <f>IF(ISERROR(IF(B294=C294,I294/C294,(INT(I294/B294)+(((I294-B294*INT(I294/B294)))/C294)/100))),0,(IF(B294=C294,I294/C294,(INT(I294/B294)+(((I294-B294*INT(I294/B294)))/C294)/100))))</f>
        <v>0</v>
      </c>
      <c r="AU294" s="57">
        <f>IF(ISERROR(IF(B294=C294,J294/C294,(INT(J294/B294)+(((J294-B294*INT(J294/B294)))/C294)/100))),0,(IF(B294=C294,J294/C294,(INT(J294/B294)+(((J294-B294*INT(J294/B294)))/C294)/100))))</f>
        <v>0</v>
      </c>
      <c r="AV294" s="57">
        <f>IF(ISERROR(IF(B294=C294,K294/C294,IF((INT(K294/B294)+(((K294-B294*INT(K294/B294)))/C294)/100)&lt;0,(INT(K294/B294)+(((K294-B294*INT(K294/B294)))/C294)/100)+(1-(B294/C294/100)),(INT(K294/B294)+(((K294-B294*INT(K294/B294)))/C294)/100)))),0,IF(B294=C294,K294/C294,IF((INT(K294/B294)+(((K294-B294*INT(K294/B294)))/C294)/100)&lt;0,(INT(K294/B294)+(((K294-B294*INT(K294/B294)))/C294)/100)+(1-(B294/C294/100)),(INT(K294/B294)+(((K294-B294*INT(K294/B294)))/C294)/100))))</f>
        <v>0</v>
      </c>
      <c r="AW294" s="57">
        <f>IF(ISERROR(IF(B294=C294,L294/C294,(INT(L294/B294)+(((L294-B294*INT(L294/B294)))/C294)/100))),0,(IF(B294=C294,L294/C294,(INT(L294/B294)+(((L294-B294*INT(L294/B294)))/C294)/100))))</f>
        <v>0</v>
      </c>
      <c r="AX294" s="57">
        <f>IF(ISERROR(IF(B294=C294,M294/C294,(INT(M294/B294)+(((M294-B294*INT(M294/B294)))/C294)/100))),0,(IF(B294=C294,M294/C294,(INT(M294/B294)+(((M294-B294*INT(M294/B294)))/C294)/100))))</f>
        <v>0</v>
      </c>
      <c r="AY294" s="57">
        <f>IF(ISERROR(IF(B294=C294,N294/C294,IF((INT(N294/B294)+(((N294-B294*INT(N294/B294)))/C294)/100)&lt;0,(INT(N294/B294)+(((N294-B294*INT(N294/B294)))/C294)/100)+(1-(B294/C294/100)),(INT(N294/B294)+(((N294-B294*INT(N294/B294)))/C294)/100)))),0,IF(B294=C294,N294/C294,IF((INT(N294/B294)+(((N294-B294*INT(N294/B294)))/C294)/100)&lt;0,(INT(N294/B294)+(((N294-B294*INT(N294/B294)))/C294)/100)+(1-(B294/C294/100)),(INT(N294/B294)+(((N294-B294*INT(N294/B294)))/C294)/100))))</f>
        <v>0</v>
      </c>
      <c r="AZ294" s="57">
        <f>IF(ISERROR(IF(B294=C294,O294/C294,(INT(O294/B294)+(((O294-B294*INT(O294/B294)))/C294)/100))),0,(IF(B294=C294,O294/C294,(INT(O294/B294)+(((O294-B294*INT(O294/B294)))/C294)/100))))</f>
        <v>0</v>
      </c>
      <c r="BA294" s="57">
        <f>IF(ISERROR(IF(B294=C294,P294/C294,IF((INT(P294/B294)+(((P294-B294*INT(P294/B294)))/C294)/100)&lt;0,(INT(P294/B294)+(((P294-B294*INT(P294/B294)))/C294)/100)+(1-(B294/C294/100)),(INT(P294/B294)+(((P294-B294*INT(P294/B294)))/C294)/100)))),0,IF(B294=C294,P294/C294,IF((INT(P294/B294)+(((P294-B294*INT(P294/B294)))/C294)/100)&lt;0,(INT(P294/B294)+(((P294-B294*INT(P294/B294)))/C294)/100)+(1-(B294/C294/100)),(INT(P294/B294)+(((P294-B294*INT(P294/B294)))/C294)/100))))</f>
        <v>0</v>
      </c>
      <c r="BB294" s="28">
        <f>R294</f>
        <v>0</v>
      </c>
      <c r="BC294" s="28">
        <f>S294</f>
        <v>0</v>
      </c>
      <c r="BD294" s="28">
        <f>AF294</f>
        <v>0</v>
      </c>
      <c r="BE294" s="28">
        <f>T294</f>
        <v>0</v>
      </c>
      <c r="BG294" s="57">
        <f>IF(ISERROR(IF(B294=C294,V294/C294,(INT(V294/B294)+(((V294-B294*INT(V294/B294)))/C294)/100))),0,(IF(B294=C294,V294/C294,(INT(V294/B294)+(((V294-B294*INT(V294/B294)))/C294)/100))))</f>
        <v>0</v>
      </c>
      <c r="BH294" s="57">
        <f>IF(ISERROR(IF(B294=C294,W294/C294,(INT(W294/B294)+(((W294-B294*INT(W294/B294)))/C294)/100))),0,(IF(B294=C294,W294/C294,(INT(W294/B294)+(((W294-B294*INT(W294/B294)))/C294)/100))))</f>
        <v>0</v>
      </c>
      <c r="BI294" s="57">
        <f>IF(ISERROR(IF(B294=C294,X294/C294,(INT(X294/B294)+(((X294-B294*INT(X294/B294)))/C294)/100))),0,(IF(B294=C294,X294/C294,(INT(X294/B294)+(((X294-B294*INT(X294/B294)))/C294)/100))))</f>
        <v>0</v>
      </c>
      <c r="BJ294" s="57">
        <f>IF(ISERROR(IF(B294=C294,Y294/C294,(INT(Y294/B294)+(((Y294-B294*INT(Y294/B294)))/C294)/100))),0,(IF(B294=C294,Y294/C294,(INT(Y294/B294)+(((Y294-B294*INT(Y294/B294)))/C294)/100))))</f>
        <v>0</v>
      </c>
      <c r="BL294" s="57">
        <f>IF(ISERROR(IF(B294=C294,AA294/C294,(INT(AA294/B294)+(((AA294-B294*INT(AA294/B294)))/C294)/100))),0,(IF(B294=C294,AA294/C294,(INT(AA294/B294)+(((AA294-B294*INT(AA294/B294)))/C294)/100))))</f>
        <v>0</v>
      </c>
      <c r="BM294" s="57">
        <f>IF(ISERROR(IF(B294=C294,AB294/C294,(INT(AB294/B294)+(((AB294-B294*INT(AB294/B294)))/C294)/100))),0,(IF(B294=C294,AB294/C294,(INT(AB294/B294)+(((AB294-B294*INT(AB294/B294)))/C294)/100))))</f>
        <v>0</v>
      </c>
      <c r="BN294" s="57">
        <f>IF(ISERROR(IF(B294=C294,AC294/C294,(INT(AC294/B294)+(((AC294-B294*INT(AC294/B294)))/C294)/100))),0,(IF(B294=C294,AC294/C294,(INT(AC294/B294)+(((AC294-B294*INT(AC294/B294)))/C294)/100))))</f>
        <v>0</v>
      </c>
      <c r="BO294" s="57">
        <f>IF(ISERROR(IF(B294=C294,AD294/C294,(INT(AD294/B294)+(((AD294-B294*INT(AD294/B294)))/C294)/100))),0,(IF(B294=C294,AD294/C294,(INT(AD294/B294)+(((AD294-B294*INT(AD294/B294)))/C294)/100))))</f>
        <v>0</v>
      </c>
      <c r="BQ294" s="155" t="s">
        <v>257</v>
      </c>
    </row>
    <row r="295" spans="1:69" hidden="1" x14ac:dyDescent="0.35">
      <c r="A295" s="134"/>
      <c r="B295" s="113">
        <v>700</v>
      </c>
      <c r="C295" s="113">
        <v>30</v>
      </c>
      <c r="D295" s="28">
        <f>SUM(AA295:AD295)</f>
        <v>0</v>
      </c>
      <c r="E295" s="113">
        <v>0</v>
      </c>
      <c r="F295" s="113">
        <v>0</v>
      </c>
      <c r="G295" s="28">
        <f>SUM(D295:F295)</f>
        <v>0</v>
      </c>
      <c r="H295" s="125">
        <v>0</v>
      </c>
      <c r="I295" s="113">
        <v>0</v>
      </c>
      <c r="J295" s="125">
        <v>0</v>
      </c>
      <c r="K295" s="113">
        <v>0</v>
      </c>
      <c r="L295" s="113">
        <v>0</v>
      </c>
      <c r="M295" s="113">
        <v>0</v>
      </c>
      <c r="N295" s="28">
        <f>G295-SUM(H295:M295)</f>
        <v>0</v>
      </c>
      <c r="O295" s="28">
        <f>SUM(V295:Y295)</f>
        <v>0</v>
      </c>
      <c r="P295" s="28">
        <f>O295-N295</f>
        <v>0</v>
      </c>
      <c r="Q295" s="61" t="str">
        <f>IF(ISERROR(P295/SUM(H295:L295)),"",P295/SUM(H295:L295))</f>
        <v/>
      </c>
      <c r="R295" s="113">
        <v>0</v>
      </c>
      <c r="S295" s="28">
        <f>IF(ISERROR(P295/C295*R295),0,(P295/C295*R295))</f>
        <v>0</v>
      </c>
      <c r="T295" s="60">
        <f>IF(ISERROR(P295/B295*AF295),0,(P295/B295*AF295))</f>
        <v>0</v>
      </c>
      <c r="V295" s="113">
        <v>0</v>
      </c>
      <c r="W295" s="113">
        <v>0</v>
      </c>
      <c r="X295" s="113">
        <v>0</v>
      </c>
      <c r="Y295" s="113">
        <v>0</v>
      </c>
      <c r="AA295" s="113">
        <v>0</v>
      </c>
      <c r="AB295" s="113">
        <v>0</v>
      </c>
      <c r="AC295" s="113">
        <v>0</v>
      </c>
      <c r="AD295" s="113">
        <v>0</v>
      </c>
      <c r="AF295" s="113">
        <v>0</v>
      </c>
      <c r="AG295" s="28">
        <f>G295-O295</f>
        <v>0</v>
      </c>
      <c r="AH295" s="58">
        <f>IF(ISERROR(AG295/B295*AF295),0,(AG295/B295*AF295))</f>
        <v>0</v>
      </c>
      <c r="AI295" s="28">
        <f>SUM(H295:M295)</f>
        <v>0</v>
      </c>
      <c r="AJ295" s="28">
        <f>IF(ISERROR(AI295/B295*AF295),0,(AI295/B295*AF295))</f>
        <v>0</v>
      </c>
      <c r="AK295" s="58">
        <f>IF(ISERROR(O295/B295*AF295),0,(O295/B295*AF295))</f>
        <v>0</v>
      </c>
      <c r="AL295" s="28">
        <f>IF(ISERROR(H295/B295*AF295),0,(H295/B295*AF295))</f>
        <v>0</v>
      </c>
      <c r="AN295" s="51">
        <f>A295</f>
        <v>0</v>
      </c>
      <c r="AO295" s="57">
        <f>IF(ISERROR(IF(B295=C295,D295/C295,(INT(D295/B295)+(((D295-B295*INT(D295/B295)))/C295)/100))),0,(IF(B295=C295,D295/C295,(INT(D295/B295)+(((D295-B295*INT(D295/B295)))/C295)/100))))</f>
        <v>0</v>
      </c>
      <c r="AP295" s="57">
        <f>IF(ISERROR(IF(B295=C295,E295/C295,(INT(E295/B295)+(((E295-B295*INT(E295/B295)))/C295)/100))),0,(IF(B295=C295,E295/C295,(INT(E295/B295)+(((E295-B295*INT(E295/B295)))/C295)/100))))</f>
        <v>0</v>
      </c>
      <c r="AQ295" s="57">
        <f>IF(ISERROR(IF(B295=C295,F295/C295,IF((INT(F295/B295)+(((F295-B295*INT(F295/B295)))/C295)/100)&lt;0,(INT(F295/B295)+(((F295-B295*INT(F295/B295)))/C295)/100)+(1-(B295/C295/100)),(INT(F295/B295)+(((F295-B295*INT(F295/B295)))/C295)/100)))),0,IF(B295=C295,F295/C295,IF((INT(F295/B295)+(((F295-B295*INT(F295/B295)))/C295)/100)&lt;0,(INT(F295/B295)+(((F295-B295*INT(F295/B295)))/C295)/100)+(1-(B295/C295/100)),(INT(F295/B295)+(((F295-B295*INT(F295/B295)))/C295)/100))))</f>
        <v>0</v>
      </c>
      <c r="AR295" s="57">
        <f>IF(ISERROR(IF(B295=C295,G295/C295,(INT(G295/B295)+(((G295-B295*INT(G295/B295)))/C295)/100))),0,(IF(B295=C295,G295/C295,(INT(G295/B295)+(((G295-B295*INT(G295/B295)))/C295)/100))))</f>
        <v>0</v>
      </c>
      <c r="AS295" s="57">
        <f>IF(ISERROR(IF(B295=C295,H295/C295,(INT(H295/B295)+(((H295-B295*INT(H295/B295)))/C295)/100))),0,(IF(B295=C295,H295/C295,(INT(H295/B295)+(((H295-B295*INT(H295/B295)))/C295)/100))))</f>
        <v>0</v>
      </c>
      <c r="AT295" s="57">
        <f>IF(ISERROR(IF(B295=C295,I295/C295,(INT(I295/B295)+(((I295-B295*INT(I295/B295)))/C295)/100))),0,(IF(B295=C295,I295/C295,(INT(I295/B295)+(((I295-B295*INT(I295/B295)))/C295)/100))))</f>
        <v>0</v>
      </c>
      <c r="AU295" s="57">
        <f>IF(ISERROR(IF(B295=C295,J295/C295,(INT(J295/B295)+(((J295-B295*INT(J295/B295)))/C295)/100))),0,(IF(B295=C295,J295/C295,(INT(J295/B295)+(((J295-B295*INT(J295/B295)))/C295)/100))))</f>
        <v>0</v>
      </c>
      <c r="AV295" s="57">
        <f>IF(ISERROR(IF(B295=C295,K295/C295,IF((INT(K295/B295)+(((K295-B295*INT(K295/B295)))/C295)/100)&lt;0,(INT(K295/B295)+(((K295-B295*INT(K295/B295)))/C295)/100)+(1-(B295/C295/100)),(INT(K295/B295)+(((K295-B295*INT(K295/B295)))/C295)/100)))),0,IF(B295=C295,K295/C295,IF((INT(K295/B295)+(((K295-B295*INT(K295/B295)))/C295)/100)&lt;0,(INT(K295/B295)+(((K295-B295*INT(K295/B295)))/C295)/100)+(1-(B295/C295/100)),(INT(K295/B295)+(((K295-B295*INT(K295/B295)))/C295)/100))))</f>
        <v>0</v>
      </c>
      <c r="AW295" s="57">
        <f>IF(ISERROR(IF(B295=C295,L295/C295,(INT(L295/B295)+(((L295-B295*INT(L295/B295)))/C295)/100))),0,(IF(B295=C295,L295/C295,(INT(L295/B295)+(((L295-B295*INT(L295/B295)))/C295)/100))))</f>
        <v>0</v>
      </c>
      <c r="AX295" s="57">
        <f>IF(ISERROR(IF(B295=C295,M295/C295,(INT(M295/B295)+(((M295-B295*INT(M295/B295)))/C295)/100))),0,(IF(B295=C295,M295/C295,(INT(M295/B295)+(((M295-B295*INT(M295/B295)))/C295)/100))))</f>
        <v>0</v>
      </c>
      <c r="AY295" s="57">
        <f>IF(ISERROR(IF(B295=C295,N295/C295,IF((INT(N295/B295)+(((N295-B295*INT(N295/B295)))/C295)/100)&lt;0,(INT(N295/B295)+(((N295-B295*INT(N295/B295)))/C295)/100)+(1-(B295/C295/100)),(INT(N295/B295)+(((N295-B295*INT(N295/B295)))/C295)/100)))),0,IF(B295=C295,N295/C295,IF((INT(N295/B295)+(((N295-B295*INT(N295/B295)))/C295)/100)&lt;0,(INT(N295/B295)+(((N295-B295*INT(N295/B295)))/C295)/100)+(1-(B295/C295/100)),(INT(N295/B295)+(((N295-B295*INT(N295/B295)))/C295)/100))))</f>
        <v>0</v>
      </c>
      <c r="AZ295" s="57">
        <f>IF(ISERROR(IF(B295=C295,O295/C295,(INT(O295/B295)+(((O295-B295*INT(O295/B295)))/C295)/100))),0,(IF(B295=C295,O295/C295,(INT(O295/B295)+(((O295-B295*INT(O295/B295)))/C295)/100))))</f>
        <v>0</v>
      </c>
      <c r="BA295" s="57">
        <f>IF(ISERROR(IF(B295=C295,P295/C295,IF((INT(P295/B295)+(((P295-B295*INT(P295/B295)))/C295)/100)&lt;0,(INT(P295/B295)+(((P295-B295*INT(P295/B295)))/C295)/100)+(1-(B295/C295/100)),(INT(P295/B295)+(((P295-B295*INT(P295/B295)))/C295)/100)))),0,IF(B295=C295,P295/C295,IF((INT(P295/B295)+(((P295-B295*INT(P295/B295)))/C295)/100)&lt;0,(INT(P295/B295)+(((P295-B295*INT(P295/B295)))/C295)/100)+(1-(B295/C295/100)),(INT(P295/B295)+(((P295-B295*INT(P295/B295)))/C295)/100))))</f>
        <v>0</v>
      </c>
      <c r="BB295" s="28">
        <f>R295</f>
        <v>0</v>
      </c>
      <c r="BC295" s="28">
        <f>S295</f>
        <v>0</v>
      </c>
      <c r="BD295" s="28">
        <f>AF295</f>
        <v>0</v>
      </c>
      <c r="BE295" s="28">
        <f>T295</f>
        <v>0</v>
      </c>
      <c r="BG295" s="57">
        <f>IF(ISERROR(IF(B295=C295,V295/C295,(INT(V295/B295)+(((V295-B295*INT(V295/B295)))/C295)/100))),0,(IF(B295=C295,V295/C295,(INT(V295/B295)+(((V295-B295*INT(V295/B295)))/C295)/100))))</f>
        <v>0</v>
      </c>
      <c r="BH295" s="57">
        <f>IF(ISERROR(IF(B295=C295,W295/C295,(INT(W295/B295)+(((W295-B295*INT(W295/B295)))/C295)/100))),0,(IF(B295=C295,W295/C295,(INT(W295/B295)+(((W295-B295*INT(W295/B295)))/C295)/100))))</f>
        <v>0</v>
      </c>
      <c r="BI295" s="57">
        <f>IF(ISERROR(IF(B295=C295,X295/C295,(INT(X295/B295)+(((X295-B295*INT(X295/B295)))/C295)/100))),0,(IF(B295=C295,X295/C295,(INT(X295/B295)+(((X295-B295*INT(X295/B295)))/C295)/100))))</f>
        <v>0</v>
      </c>
      <c r="BJ295" s="57">
        <f>IF(ISERROR(IF(B295=C295,Y295/C295,(INT(Y295/B295)+(((Y295-B295*INT(Y295/B295)))/C295)/100))),0,(IF(B295=C295,Y295/C295,(INT(Y295/B295)+(((Y295-B295*INT(Y295/B295)))/C295)/100))))</f>
        <v>0</v>
      </c>
      <c r="BL295" s="57">
        <f>IF(ISERROR(IF(B295=C295,AA295/C295,(INT(AA295/B295)+(((AA295-B295*INT(AA295/B295)))/C295)/100))),0,(IF(B295=C295,AA295/C295,(INT(AA295/B295)+(((AA295-B295*INT(AA295/B295)))/C295)/100))))</f>
        <v>0</v>
      </c>
      <c r="BM295" s="57">
        <f>IF(ISERROR(IF(B295=C295,AB295/C295,(INT(AB295/B295)+(((AB295-B295*INT(AB295/B295)))/C295)/100))),0,(IF(B295=C295,AB295/C295,(INT(AB295/B295)+(((AB295-B295*INT(AB295/B295)))/C295)/100))))</f>
        <v>0</v>
      </c>
      <c r="BN295" s="57">
        <f>IF(ISERROR(IF(B295=C295,AC295/C295,(INT(AC295/B295)+(((AC295-B295*INT(AC295/B295)))/C295)/100))),0,(IF(B295=C295,AC295/C295,(INT(AC295/B295)+(((AC295-B295*INT(AC295/B295)))/C295)/100))))</f>
        <v>0</v>
      </c>
      <c r="BO295" s="57">
        <f>IF(ISERROR(IF(B295=C295,AD295/C295,(INT(AD295/B295)+(((AD295-B295*INT(AD295/B295)))/C295)/100))),0,(IF(B295=C295,AD295/C295,(INT(AD295/B295)+(((AD295-B295*INT(AD295/B295)))/C295)/100))))</f>
        <v>0</v>
      </c>
      <c r="BQ295" s="155" t="s">
        <v>232</v>
      </c>
    </row>
    <row r="296" spans="1:69" hidden="1" x14ac:dyDescent="0.35">
      <c r="A296" s="94"/>
      <c r="B296" s="113">
        <v>700</v>
      </c>
      <c r="C296" s="113">
        <v>30</v>
      </c>
      <c r="D296" s="28">
        <f>SUM(AA296:AD296)</f>
        <v>0</v>
      </c>
      <c r="E296" s="113">
        <v>0</v>
      </c>
      <c r="F296" s="113">
        <v>0</v>
      </c>
      <c r="G296" s="28">
        <f>SUM(D296:F296)</f>
        <v>0</v>
      </c>
      <c r="H296" s="125">
        <v>0</v>
      </c>
      <c r="I296" s="113">
        <v>0</v>
      </c>
      <c r="J296" s="125">
        <v>0</v>
      </c>
      <c r="K296" s="113">
        <v>0</v>
      </c>
      <c r="L296" s="113">
        <v>0</v>
      </c>
      <c r="M296" s="113">
        <v>0</v>
      </c>
      <c r="N296" s="28">
        <f>G296-SUM(H296:M296)</f>
        <v>0</v>
      </c>
      <c r="O296" s="28">
        <f>SUM(V296:Y296)</f>
        <v>0</v>
      </c>
      <c r="P296" s="28">
        <f>O296-N296</f>
        <v>0</v>
      </c>
      <c r="Q296" s="61" t="str">
        <f>IF(ISERROR(P296/SUM(H296:L296)),"",P296/SUM(H296:L296))</f>
        <v/>
      </c>
      <c r="R296" s="113">
        <v>0</v>
      </c>
      <c r="S296" s="28">
        <f>IF(ISERROR(P296/C296*R296),0,(P296/C296*R296))</f>
        <v>0</v>
      </c>
      <c r="T296" s="60">
        <f>IF(ISERROR(P296/B296*AF296),0,(P296/B296*AF296))</f>
        <v>0</v>
      </c>
      <c r="V296" s="113">
        <v>0</v>
      </c>
      <c r="W296" s="113">
        <v>0</v>
      </c>
      <c r="X296" s="113">
        <v>0</v>
      </c>
      <c r="Y296" s="113">
        <v>0</v>
      </c>
      <c r="AA296" s="113">
        <v>0</v>
      </c>
      <c r="AB296" s="113">
        <v>0</v>
      </c>
      <c r="AC296" s="113">
        <v>0</v>
      </c>
      <c r="AD296" s="113">
        <v>0</v>
      </c>
      <c r="AF296" s="113">
        <v>0</v>
      </c>
      <c r="AG296" s="28">
        <f>G296-O296</f>
        <v>0</v>
      </c>
      <c r="AH296" s="58">
        <f>IF(ISERROR(AG296/B296*AF296),0,(AG296/B296*AF296))</f>
        <v>0</v>
      </c>
      <c r="AI296" s="28">
        <f>SUM(H296:M296)</f>
        <v>0</v>
      </c>
      <c r="AJ296" s="28">
        <f>IF(ISERROR(AI296/B296*AF296),0,(AI296/B296*AF296))</f>
        <v>0</v>
      </c>
      <c r="AK296" s="58">
        <f>IF(ISERROR(O296/B296*AF296),0,(O296/B296*AF296))</f>
        <v>0</v>
      </c>
      <c r="AL296" s="28">
        <f>IF(ISERROR(H296/B296*AF296),0,(H296/B296*AF296))</f>
        <v>0</v>
      </c>
      <c r="AN296" s="51">
        <f>A296</f>
        <v>0</v>
      </c>
      <c r="AO296" s="57">
        <f>IF(ISERROR(IF(B296=C296,D296/C296,(INT(D296/B296)+(((D296-B296*INT(D296/B296)))/C296)/100))),0,(IF(B296=C296,D296/C296,(INT(D296/B296)+(((D296-B296*INT(D296/B296)))/C296)/100))))</f>
        <v>0</v>
      </c>
      <c r="AP296" s="57">
        <f>IF(ISERROR(IF(B296=C296,E296/C296,(INT(E296/B296)+(((E296-B296*INT(E296/B296)))/C296)/100))),0,(IF(B296=C296,E296/C296,(INT(E296/B296)+(((E296-B296*INT(E296/B296)))/C296)/100))))</f>
        <v>0</v>
      </c>
      <c r="AQ296" s="57">
        <f>IF(ISERROR(IF(B296=C296,F296/C296,IF((INT(F296/B296)+(((F296-B296*INT(F296/B296)))/C296)/100)&lt;0,(INT(F296/B296)+(((F296-B296*INT(F296/B296)))/C296)/100)+(1-(B296/C296/100)),(INT(F296/B296)+(((F296-B296*INT(F296/B296)))/C296)/100)))),0,IF(B296=C296,F296/C296,IF((INT(F296/B296)+(((F296-B296*INT(F296/B296)))/C296)/100)&lt;0,(INT(F296/B296)+(((F296-B296*INT(F296/B296)))/C296)/100)+(1-(B296/C296/100)),(INT(F296/B296)+(((F296-B296*INT(F296/B296)))/C296)/100))))</f>
        <v>0</v>
      </c>
      <c r="AR296" s="57">
        <f>IF(ISERROR(IF(B296=C296,G296/C296,(INT(G296/B296)+(((G296-B296*INT(G296/B296)))/C296)/100))),0,(IF(B296=C296,G296/C296,(INT(G296/B296)+(((G296-B296*INT(G296/B296)))/C296)/100))))</f>
        <v>0</v>
      </c>
      <c r="AS296" s="57">
        <f>IF(ISERROR(IF(B296=C296,H296/C296,(INT(H296/B296)+(((H296-B296*INT(H296/B296)))/C296)/100))),0,(IF(B296=C296,H296/C296,(INT(H296/B296)+(((H296-B296*INT(H296/B296)))/C296)/100))))</f>
        <v>0</v>
      </c>
      <c r="AT296" s="57">
        <f>IF(ISERROR(IF(B296=C296,I296/C296,(INT(I296/B296)+(((I296-B296*INT(I296/B296)))/C296)/100))),0,(IF(B296=C296,I296/C296,(INT(I296/B296)+(((I296-B296*INT(I296/B296)))/C296)/100))))</f>
        <v>0</v>
      </c>
      <c r="AU296" s="57">
        <f>IF(ISERROR(IF(B296=C296,J296/C296,(INT(J296/B296)+(((J296-B296*INT(J296/B296)))/C296)/100))),0,(IF(B296=C296,J296/C296,(INT(J296/B296)+(((J296-B296*INT(J296/B296)))/C296)/100))))</f>
        <v>0</v>
      </c>
      <c r="AV296" s="57">
        <f>IF(ISERROR(IF(B296=C296,K296/C296,IF((INT(K296/B296)+(((K296-B296*INT(K296/B296)))/C296)/100)&lt;0,(INT(K296/B296)+(((K296-B296*INT(K296/B296)))/C296)/100)+(1-(B296/C296/100)),(INT(K296/B296)+(((K296-B296*INT(K296/B296)))/C296)/100)))),0,IF(B296=C296,K296/C296,IF((INT(K296/B296)+(((K296-B296*INT(K296/B296)))/C296)/100)&lt;0,(INT(K296/B296)+(((K296-B296*INT(K296/B296)))/C296)/100)+(1-(B296/C296/100)),(INT(K296/B296)+(((K296-B296*INT(K296/B296)))/C296)/100))))</f>
        <v>0</v>
      </c>
      <c r="AW296" s="57">
        <f>IF(ISERROR(IF(B296=C296,L296/C296,(INT(L296/B296)+(((L296-B296*INT(L296/B296)))/C296)/100))),0,(IF(B296=C296,L296/C296,(INT(L296/B296)+(((L296-B296*INT(L296/B296)))/C296)/100))))</f>
        <v>0</v>
      </c>
      <c r="AX296" s="57">
        <f>IF(ISERROR(IF(B296=C296,M296/C296,(INT(M296/B296)+(((M296-B296*INT(M296/B296)))/C296)/100))),0,(IF(B296=C296,M296/C296,(INT(M296/B296)+(((M296-B296*INT(M296/B296)))/C296)/100))))</f>
        <v>0</v>
      </c>
      <c r="AY296" s="57">
        <f>IF(ISERROR(IF(B296=C296,N296/C296,IF((INT(N296/B296)+(((N296-B296*INT(N296/B296)))/C296)/100)&lt;0,(INT(N296/B296)+(((N296-B296*INT(N296/B296)))/C296)/100)+(1-(B296/C296/100)),(INT(N296/B296)+(((N296-B296*INT(N296/B296)))/C296)/100)))),0,IF(B296=C296,N296/C296,IF((INT(N296/B296)+(((N296-B296*INT(N296/B296)))/C296)/100)&lt;0,(INT(N296/B296)+(((N296-B296*INT(N296/B296)))/C296)/100)+(1-(B296/C296/100)),(INT(N296/B296)+(((N296-B296*INT(N296/B296)))/C296)/100))))</f>
        <v>0</v>
      </c>
      <c r="AZ296" s="57">
        <f>IF(ISERROR(IF(B296=C296,O296/C296,(INT(O296/B296)+(((O296-B296*INT(O296/B296)))/C296)/100))),0,(IF(B296=C296,O296/C296,(INT(O296/B296)+(((O296-B296*INT(O296/B296)))/C296)/100))))</f>
        <v>0</v>
      </c>
      <c r="BA296" s="57">
        <f>IF(ISERROR(IF(B296=C296,P296/C296,IF((INT(P296/B296)+(((P296-B296*INT(P296/B296)))/C296)/100)&lt;0,(INT(P296/B296)+(((P296-B296*INT(P296/B296)))/C296)/100)+(1-(B296/C296/100)),(INT(P296/B296)+(((P296-B296*INT(P296/B296)))/C296)/100)))),0,IF(B296=C296,P296/C296,IF((INT(P296/B296)+(((P296-B296*INT(P296/B296)))/C296)/100)&lt;0,(INT(P296/B296)+(((P296-B296*INT(P296/B296)))/C296)/100)+(1-(B296/C296/100)),(INT(P296/B296)+(((P296-B296*INT(P296/B296)))/C296)/100))))</f>
        <v>0</v>
      </c>
      <c r="BB296" s="28">
        <f>R296</f>
        <v>0</v>
      </c>
      <c r="BC296" s="28">
        <f>S296</f>
        <v>0</v>
      </c>
      <c r="BD296" s="28">
        <f>AF296</f>
        <v>0</v>
      </c>
      <c r="BE296" s="28">
        <f>T296</f>
        <v>0</v>
      </c>
      <c r="BG296" s="57">
        <f>IF(ISERROR(IF(B296=C296,V296/C296,(INT(V296/B296)+(((V296-B296*INT(V296/B296)))/C296)/100))),0,(IF(B296=C296,V296/C296,(INT(V296/B296)+(((V296-B296*INT(V296/B296)))/C296)/100))))</f>
        <v>0</v>
      </c>
      <c r="BH296" s="57">
        <f>IF(ISERROR(IF(B296=C296,W296/C296,(INT(W296/B296)+(((W296-B296*INT(W296/B296)))/C296)/100))),0,(IF(B296=C296,W296/C296,(INT(W296/B296)+(((W296-B296*INT(W296/B296)))/C296)/100))))</f>
        <v>0</v>
      </c>
      <c r="BI296" s="57">
        <f>IF(ISERROR(IF(B296=C296,X296/C296,(INT(X296/B296)+(((X296-B296*INT(X296/B296)))/C296)/100))),0,(IF(B296=C296,X296/C296,(INT(X296/B296)+(((X296-B296*INT(X296/B296)))/C296)/100))))</f>
        <v>0</v>
      </c>
      <c r="BJ296" s="57">
        <f>IF(ISERROR(IF(B296=C296,Y296/C296,(INT(Y296/B296)+(((Y296-B296*INT(Y296/B296)))/C296)/100))),0,(IF(B296=C296,Y296/C296,(INT(Y296/B296)+(((Y296-B296*INT(Y296/B296)))/C296)/100))))</f>
        <v>0</v>
      </c>
      <c r="BL296" s="57">
        <f>IF(ISERROR(IF(B296=C296,AA296/C296,(INT(AA296/B296)+(((AA296-B296*INT(AA296/B296)))/C296)/100))),0,(IF(B296=C296,AA296/C296,(INT(AA296/B296)+(((AA296-B296*INT(AA296/B296)))/C296)/100))))</f>
        <v>0</v>
      </c>
      <c r="BM296" s="57">
        <f>IF(ISERROR(IF(B296=C296,AB296/C296,(INT(AB296/B296)+(((AB296-B296*INT(AB296/B296)))/C296)/100))),0,(IF(B296=C296,AB296/C296,(INT(AB296/B296)+(((AB296-B296*INT(AB296/B296)))/C296)/100))))</f>
        <v>0</v>
      </c>
      <c r="BN296" s="57">
        <f>IF(ISERROR(IF(B296=C296,AC296/C296,(INT(AC296/B296)+(((AC296-B296*INT(AC296/B296)))/C296)/100))),0,(IF(B296=C296,AC296/C296,(INT(AC296/B296)+(((AC296-B296*INT(AC296/B296)))/C296)/100))))</f>
        <v>0</v>
      </c>
      <c r="BO296" s="57">
        <f>IF(ISERROR(IF(B296=C296,AD296/C296,(INT(AD296/B296)+(((AD296-B296*INT(AD296/B296)))/C296)/100))),0,(IF(B296=C296,AD296/C296,(INT(AD296/B296)+(((AD296-B296*INT(AD296/B296)))/C296)/100))))</f>
        <v>0</v>
      </c>
      <c r="BQ296" s="155" t="s">
        <v>232</v>
      </c>
    </row>
    <row r="297" spans="1:69" hidden="1" x14ac:dyDescent="0.35">
      <c r="A297" s="94"/>
      <c r="B297" s="113">
        <v>700</v>
      </c>
      <c r="C297" s="113">
        <v>30</v>
      </c>
      <c r="D297" s="28">
        <f>SUM(AA297:AD297)</f>
        <v>0</v>
      </c>
      <c r="E297" s="113">
        <v>0</v>
      </c>
      <c r="F297" s="113">
        <v>0</v>
      </c>
      <c r="G297" s="28">
        <f>SUM(D297:F297)</f>
        <v>0</v>
      </c>
      <c r="H297" s="125">
        <v>0</v>
      </c>
      <c r="I297" s="113">
        <v>0</v>
      </c>
      <c r="J297" s="125">
        <v>0</v>
      </c>
      <c r="K297" s="113">
        <v>0</v>
      </c>
      <c r="L297" s="113">
        <v>0</v>
      </c>
      <c r="M297" s="113">
        <v>0</v>
      </c>
      <c r="N297" s="28">
        <f>G297-SUM(H297:M297)</f>
        <v>0</v>
      </c>
      <c r="O297" s="28">
        <f>SUM(V297:Y297)</f>
        <v>0</v>
      </c>
      <c r="P297" s="28">
        <f>O297-N297</f>
        <v>0</v>
      </c>
      <c r="Q297" s="61" t="str">
        <f>IF(ISERROR(P297/SUM(H297:L297)),"",P297/SUM(H297:L297))</f>
        <v/>
      </c>
      <c r="R297" s="113">
        <v>0</v>
      </c>
      <c r="S297" s="28">
        <f>IF(ISERROR(P297/C297*R297),0,(P297/C297*R297))</f>
        <v>0</v>
      </c>
      <c r="T297" s="60">
        <f>IF(ISERROR(P297/B297*AF297),0,(P297/B297*AF297))</f>
        <v>0</v>
      </c>
      <c r="V297" s="113">
        <v>0</v>
      </c>
      <c r="W297" s="113">
        <v>0</v>
      </c>
      <c r="X297" s="113">
        <v>0</v>
      </c>
      <c r="Y297" s="113">
        <v>0</v>
      </c>
      <c r="AA297" s="113">
        <v>0</v>
      </c>
      <c r="AB297" s="113">
        <v>0</v>
      </c>
      <c r="AC297" s="113">
        <v>0</v>
      </c>
      <c r="AD297" s="113">
        <v>0</v>
      </c>
      <c r="AF297" s="113">
        <v>0</v>
      </c>
      <c r="AG297" s="28">
        <f>G297-O297</f>
        <v>0</v>
      </c>
      <c r="AH297" s="58">
        <f>IF(ISERROR(AG297/B297*AF297),0,(AG297/B297*AF297))</f>
        <v>0</v>
      </c>
      <c r="AI297" s="28">
        <f>SUM(H297:M297)</f>
        <v>0</v>
      </c>
      <c r="AJ297" s="28">
        <f>IF(ISERROR(AI297/B297*AF297),0,(AI297/B297*AF297))</f>
        <v>0</v>
      </c>
      <c r="AK297" s="58">
        <f>IF(ISERROR(O297/B297*AF297),0,(O297/B297*AF297))</f>
        <v>0</v>
      </c>
      <c r="AL297" s="28">
        <f>IF(ISERROR(H297/B297*AF297),0,(H297/B297*AF297))</f>
        <v>0</v>
      </c>
      <c r="AN297" s="51">
        <f>A297</f>
        <v>0</v>
      </c>
      <c r="AO297" s="57">
        <f>IF(ISERROR(IF(B297=C297,D297/C297,(INT(D297/B297)+(((D297-B297*INT(D297/B297)))/C297)/100))),0,(IF(B297=C297,D297/C297,(INT(D297/B297)+(((D297-B297*INT(D297/B297)))/C297)/100))))</f>
        <v>0</v>
      </c>
      <c r="AP297" s="57">
        <f>IF(ISERROR(IF(B297=C297,E297/C297,(INT(E297/B297)+(((E297-B297*INT(E297/B297)))/C297)/100))),0,(IF(B297=C297,E297/C297,(INT(E297/B297)+(((E297-B297*INT(E297/B297)))/C297)/100))))</f>
        <v>0</v>
      </c>
      <c r="AQ297" s="57">
        <f>IF(ISERROR(IF(B297=C297,F297/C297,IF((INT(F297/B297)+(((F297-B297*INT(F297/B297)))/C297)/100)&lt;0,(INT(F297/B297)+(((F297-B297*INT(F297/B297)))/C297)/100)+(1-(B297/C297/100)),(INT(F297/B297)+(((F297-B297*INT(F297/B297)))/C297)/100)))),0,IF(B297=C297,F297/C297,IF((INT(F297/B297)+(((F297-B297*INT(F297/B297)))/C297)/100)&lt;0,(INT(F297/B297)+(((F297-B297*INT(F297/B297)))/C297)/100)+(1-(B297/C297/100)),(INT(F297/B297)+(((F297-B297*INT(F297/B297)))/C297)/100))))</f>
        <v>0</v>
      </c>
      <c r="AR297" s="57">
        <f>IF(ISERROR(IF(B297=C297,G297/C297,(INT(G297/B297)+(((G297-B297*INT(G297/B297)))/C297)/100))),0,(IF(B297=C297,G297/C297,(INT(G297/B297)+(((G297-B297*INT(G297/B297)))/C297)/100))))</f>
        <v>0</v>
      </c>
      <c r="AS297" s="57">
        <f>IF(ISERROR(IF(B297=C297,H297/C297,(INT(H297/B297)+(((H297-B297*INT(H297/B297)))/C297)/100))),0,(IF(B297=C297,H297/C297,(INT(H297/B297)+(((H297-B297*INT(H297/B297)))/C297)/100))))</f>
        <v>0</v>
      </c>
      <c r="AT297" s="57">
        <f>IF(ISERROR(IF(B297=C297,I297/C297,(INT(I297/B297)+(((I297-B297*INT(I297/B297)))/C297)/100))),0,(IF(B297=C297,I297/C297,(INT(I297/B297)+(((I297-B297*INT(I297/B297)))/C297)/100))))</f>
        <v>0</v>
      </c>
      <c r="AU297" s="57">
        <f>IF(ISERROR(IF(B297=C297,J297/C297,(INT(J297/B297)+(((J297-B297*INT(J297/B297)))/C297)/100))),0,(IF(B297=C297,J297/C297,(INT(J297/B297)+(((J297-B297*INT(J297/B297)))/C297)/100))))</f>
        <v>0</v>
      </c>
      <c r="AV297" s="57">
        <f>IF(ISERROR(IF(B297=C297,K297/C297,IF((INT(K297/B297)+(((K297-B297*INT(K297/B297)))/C297)/100)&lt;0,(INT(K297/B297)+(((K297-B297*INT(K297/B297)))/C297)/100)+(1-(B297/C297/100)),(INT(K297/B297)+(((K297-B297*INT(K297/B297)))/C297)/100)))),0,IF(B297=C297,K297/C297,IF((INT(K297/B297)+(((K297-B297*INT(K297/B297)))/C297)/100)&lt;0,(INT(K297/B297)+(((K297-B297*INT(K297/B297)))/C297)/100)+(1-(B297/C297/100)),(INT(K297/B297)+(((K297-B297*INT(K297/B297)))/C297)/100))))</f>
        <v>0</v>
      </c>
      <c r="AW297" s="57">
        <f>IF(ISERROR(IF(B297=C297,L297/C297,(INT(L297/B297)+(((L297-B297*INT(L297/B297)))/C297)/100))),0,(IF(B297=C297,L297/C297,(INT(L297/B297)+(((L297-B297*INT(L297/B297)))/C297)/100))))</f>
        <v>0</v>
      </c>
      <c r="AX297" s="57">
        <f>IF(ISERROR(IF(B297=C297,M297/C297,(INT(M297/B297)+(((M297-B297*INT(M297/B297)))/C297)/100))),0,(IF(B297=C297,M297/C297,(INT(M297/B297)+(((M297-B297*INT(M297/B297)))/C297)/100))))</f>
        <v>0</v>
      </c>
      <c r="AY297" s="57">
        <f>IF(ISERROR(IF(B297=C297,N297/C297,IF((INT(N297/B297)+(((N297-B297*INT(N297/B297)))/C297)/100)&lt;0,(INT(N297/B297)+(((N297-B297*INT(N297/B297)))/C297)/100)+(1-(B297/C297/100)),(INT(N297/B297)+(((N297-B297*INT(N297/B297)))/C297)/100)))),0,IF(B297=C297,N297/C297,IF((INT(N297/B297)+(((N297-B297*INT(N297/B297)))/C297)/100)&lt;0,(INT(N297/B297)+(((N297-B297*INT(N297/B297)))/C297)/100)+(1-(B297/C297/100)),(INT(N297/B297)+(((N297-B297*INT(N297/B297)))/C297)/100))))</f>
        <v>0</v>
      </c>
      <c r="AZ297" s="57">
        <f>IF(ISERROR(IF(B297=C297,O297/C297,(INT(O297/B297)+(((O297-B297*INT(O297/B297)))/C297)/100))),0,(IF(B297=C297,O297/C297,(INT(O297/B297)+(((O297-B297*INT(O297/B297)))/C297)/100))))</f>
        <v>0</v>
      </c>
      <c r="BA297" s="57">
        <f>IF(ISERROR(IF(B297=C297,P297/C297,IF((INT(P297/B297)+(((P297-B297*INT(P297/B297)))/C297)/100)&lt;0,(INT(P297/B297)+(((P297-B297*INT(P297/B297)))/C297)/100)+(1-(B297/C297/100)),(INT(P297/B297)+(((P297-B297*INT(P297/B297)))/C297)/100)))),0,IF(B297=C297,P297/C297,IF((INT(P297/B297)+(((P297-B297*INT(P297/B297)))/C297)/100)&lt;0,(INT(P297/B297)+(((P297-B297*INT(P297/B297)))/C297)/100)+(1-(B297/C297/100)),(INT(P297/B297)+(((P297-B297*INT(P297/B297)))/C297)/100))))</f>
        <v>0</v>
      </c>
      <c r="BB297" s="28">
        <f>R297</f>
        <v>0</v>
      </c>
      <c r="BC297" s="28">
        <f>S297</f>
        <v>0</v>
      </c>
      <c r="BD297" s="28">
        <f>AF297</f>
        <v>0</v>
      </c>
      <c r="BE297" s="28">
        <f>T297</f>
        <v>0</v>
      </c>
      <c r="BG297" s="57">
        <f>IF(ISERROR(IF(B297=C297,V297/C297,(INT(V297/B297)+(((V297-B297*INT(V297/B297)))/C297)/100))),0,(IF(B297=C297,V297/C297,(INT(V297/B297)+(((V297-B297*INT(V297/B297)))/C297)/100))))</f>
        <v>0</v>
      </c>
      <c r="BH297" s="57">
        <f>IF(ISERROR(IF(B297=C297,W297/C297,(INT(W297/B297)+(((W297-B297*INT(W297/B297)))/C297)/100))),0,(IF(B297=C297,W297/C297,(INT(W297/B297)+(((W297-B297*INT(W297/B297)))/C297)/100))))</f>
        <v>0</v>
      </c>
      <c r="BI297" s="57">
        <f>IF(ISERROR(IF(B297=C297,X297/C297,(INT(X297/B297)+(((X297-B297*INT(X297/B297)))/C297)/100))),0,(IF(B297=C297,X297/C297,(INT(X297/B297)+(((X297-B297*INT(X297/B297)))/C297)/100))))</f>
        <v>0</v>
      </c>
      <c r="BJ297" s="57">
        <f>IF(ISERROR(IF(B297=C297,Y297/C297,(INT(Y297/B297)+(((Y297-B297*INT(Y297/B297)))/C297)/100))),0,(IF(B297=C297,Y297/C297,(INT(Y297/B297)+(((Y297-B297*INT(Y297/B297)))/C297)/100))))</f>
        <v>0</v>
      </c>
      <c r="BL297" s="57">
        <f>IF(ISERROR(IF(B297=C297,AA297/C297,(INT(AA297/B297)+(((AA297-B297*INT(AA297/B297)))/C297)/100))),0,(IF(B297=C297,AA297/C297,(INT(AA297/B297)+(((AA297-B297*INT(AA297/B297)))/C297)/100))))</f>
        <v>0</v>
      </c>
      <c r="BM297" s="57">
        <f>IF(ISERROR(IF(B297=C297,AB297/C297,(INT(AB297/B297)+(((AB297-B297*INT(AB297/B297)))/C297)/100))),0,(IF(B297=C297,AB297/C297,(INT(AB297/B297)+(((AB297-B297*INT(AB297/B297)))/C297)/100))))</f>
        <v>0</v>
      </c>
      <c r="BN297" s="57">
        <f>IF(ISERROR(IF(B297=C297,AC297/C297,(INT(AC297/B297)+(((AC297-B297*INT(AC297/B297)))/C297)/100))),0,(IF(B297=C297,AC297/C297,(INT(AC297/B297)+(((AC297-B297*INT(AC297/B297)))/C297)/100))))</f>
        <v>0</v>
      </c>
      <c r="BO297" s="57">
        <f>IF(ISERROR(IF(B297=C297,AD297/C297,(INT(AD297/B297)+(((AD297-B297*INT(AD297/B297)))/C297)/100))),0,(IF(B297=C297,AD297/C297,(INT(AD297/B297)+(((AD297-B297*INT(AD297/B297)))/C297)/100))))</f>
        <v>0</v>
      </c>
      <c r="BQ297" s="155"/>
    </row>
    <row r="298" spans="1:69" hidden="1" x14ac:dyDescent="0.35">
      <c r="A298" s="94"/>
      <c r="B298" s="113">
        <v>700</v>
      </c>
      <c r="C298" s="113">
        <v>30</v>
      </c>
      <c r="D298" s="28">
        <f>SUM(AA298:AD298)</f>
        <v>0</v>
      </c>
      <c r="E298" s="113">
        <v>0</v>
      </c>
      <c r="F298" s="113">
        <v>0</v>
      </c>
      <c r="G298" s="28">
        <f>SUM(D298:F298)</f>
        <v>0</v>
      </c>
      <c r="H298" s="125">
        <v>0</v>
      </c>
      <c r="I298" s="113">
        <v>0</v>
      </c>
      <c r="J298" s="125">
        <v>0</v>
      </c>
      <c r="K298" s="113">
        <v>0</v>
      </c>
      <c r="L298" s="113">
        <v>0</v>
      </c>
      <c r="M298" s="113">
        <v>0</v>
      </c>
      <c r="N298" s="28">
        <f>G298-SUM(H298:M298)</f>
        <v>0</v>
      </c>
      <c r="O298" s="28">
        <f>SUM(V298:Y298)</f>
        <v>0</v>
      </c>
      <c r="P298" s="28">
        <f>O298-N298</f>
        <v>0</v>
      </c>
      <c r="Q298" s="61" t="str">
        <f>IF(ISERROR(P298/SUM(H298:L298)),"",P298/SUM(H298:L298))</f>
        <v/>
      </c>
      <c r="R298" s="113">
        <v>0</v>
      </c>
      <c r="S298" s="28">
        <f>IF(ISERROR(P298/C298*R298),0,(P298/C298*R298))</f>
        <v>0</v>
      </c>
      <c r="T298" s="60">
        <f>IF(ISERROR(P298/B298*AF298),0,(P298/B298*AF298))</f>
        <v>0</v>
      </c>
      <c r="V298" s="113">
        <v>0</v>
      </c>
      <c r="W298" s="113">
        <v>0</v>
      </c>
      <c r="X298" s="113">
        <v>0</v>
      </c>
      <c r="Y298" s="113">
        <v>0</v>
      </c>
      <c r="AA298" s="113">
        <v>0</v>
      </c>
      <c r="AB298" s="113">
        <v>0</v>
      </c>
      <c r="AC298" s="113">
        <v>0</v>
      </c>
      <c r="AD298" s="113">
        <v>0</v>
      </c>
      <c r="AF298" s="113">
        <v>0</v>
      </c>
      <c r="AG298" s="28">
        <f>G298-O298</f>
        <v>0</v>
      </c>
      <c r="AH298" s="58">
        <f>IF(ISERROR(AG298/B298*AF298),0,(AG298/B298*AF298))</f>
        <v>0</v>
      </c>
      <c r="AI298" s="28">
        <f>SUM(H298:M298)</f>
        <v>0</v>
      </c>
      <c r="AJ298" s="28">
        <f>IF(ISERROR(AI298/B298*AF298),0,(AI298/B298*AF298))</f>
        <v>0</v>
      </c>
      <c r="AK298" s="58">
        <f>IF(ISERROR(O298/B298*AF298),0,(O298/B298*AF298))</f>
        <v>0</v>
      </c>
      <c r="AL298" s="28">
        <f>IF(ISERROR(H298/B298*AF298),0,(H298/B298*AF298))</f>
        <v>0</v>
      </c>
      <c r="AN298" s="51">
        <f>A298</f>
        <v>0</v>
      </c>
      <c r="AO298" s="57">
        <f>IF(ISERROR(IF(B298=C298,D298/C298,(INT(D298/B298)+(((D298-B298*INT(D298/B298)))/C298)/100))),0,(IF(B298=C298,D298/C298,(INT(D298/B298)+(((D298-B298*INT(D298/B298)))/C298)/100))))</f>
        <v>0</v>
      </c>
      <c r="AP298" s="57">
        <f>IF(ISERROR(IF(B298=C298,E298/C298,(INT(E298/B298)+(((E298-B298*INT(E298/B298)))/C298)/100))),0,(IF(B298=C298,E298/C298,(INT(E298/B298)+(((E298-B298*INT(E298/B298)))/C298)/100))))</f>
        <v>0</v>
      </c>
      <c r="AQ298" s="57">
        <f>IF(ISERROR(IF(B298=C298,F298/C298,IF((INT(F298/B298)+(((F298-B298*INT(F298/B298)))/C298)/100)&lt;0,(INT(F298/B298)+(((F298-B298*INT(F298/B298)))/C298)/100)+(1-(B298/C298/100)),(INT(F298/B298)+(((F298-B298*INT(F298/B298)))/C298)/100)))),0,IF(B298=C298,F298/C298,IF((INT(F298/B298)+(((F298-B298*INT(F298/B298)))/C298)/100)&lt;0,(INT(F298/B298)+(((F298-B298*INT(F298/B298)))/C298)/100)+(1-(B298/C298/100)),(INT(F298/B298)+(((F298-B298*INT(F298/B298)))/C298)/100))))</f>
        <v>0</v>
      </c>
      <c r="AR298" s="57">
        <f>IF(ISERROR(IF(B298=C298,G298/C298,(INT(G298/B298)+(((G298-B298*INT(G298/B298)))/C298)/100))),0,(IF(B298=C298,G298/C298,(INT(G298/B298)+(((G298-B298*INT(G298/B298)))/C298)/100))))</f>
        <v>0</v>
      </c>
      <c r="AS298" s="57">
        <f>IF(ISERROR(IF(B298=C298,H298/C298,(INT(H298/B298)+(((H298-B298*INT(H298/B298)))/C298)/100))),0,(IF(B298=C298,H298/C298,(INT(H298/B298)+(((H298-B298*INT(H298/B298)))/C298)/100))))</f>
        <v>0</v>
      </c>
      <c r="AT298" s="57">
        <f>IF(ISERROR(IF(B298=C298,I298/C298,(INT(I298/B298)+(((I298-B298*INT(I298/B298)))/C298)/100))),0,(IF(B298=C298,I298/C298,(INT(I298/B298)+(((I298-B298*INT(I298/B298)))/C298)/100))))</f>
        <v>0</v>
      </c>
      <c r="AU298" s="57">
        <f>IF(ISERROR(IF(B298=C298,J298/C298,(INT(J298/B298)+(((J298-B298*INT(J298/B298)))/C298)/100))),0,(IF(B298=C298,J298/C298,(INT(J298/B298)+(((J298-B298*INT(J298/B298)))/C298)/100))))</f>
        <v>0</v>
      </c>
      <c r="AV298" s="57">
        <f>IF(ISERROR(IF(B298=C298,K298/C298,IF((INT(K298/B298)+(((K298-B298*INT(K298/B298)))/C298)/100)&lt;0,(INT(K298/B298)+(((K298-B298*INT(K298/B298)))/C298)/100)+(1-(B298/C298/100)),(INT(K298/B298)+(((K298-B298*INT(K298/B298)))/C298)/100)))),0,IF(B298=C298,K298/C298,IF((INT(K298/B298)+(((K298-B298*INT(K298/B298)))/C298)/100)&lt;0,(INT(K298/B298)+(((K298-B298*INT(K298/B298)))/C298)/100)+(1-(B298/C298/100)),(INT(K298/B298)+(((K298-B298*INT(K298/B298)))/C298)/100))))</f>
        <v>0</v>
      </c>
      <c r="AW298" s="57">
        <f>IF(ISERROR(IF(B298=C298,L298/C298,(INT(L298/B298)+(((L298-B298*INT(L298/B298)))/C298)/100))),0,(IF(B298=C298,L298/C298,(INT(L298/B298)+(((L298-B298*INT(L298/B298)))/C298)/100))))</f>
        <v>0</v>
      </c>
      <c r="AX298" s="57">
        <f>IF(ISERROR(IF(B298=C298,M298/C298,(INT(M298/B298)+(((M298-B298*INT(M298/B298)))/C298)/100))),0,(IF(B298=C298,M298/C298,(INT(M298/B298)+(((M298-B298*INT(M298/B298)))/C298)/100))))</f>
        <v>0</v>
      </c>
      <c r="AY298" s="57">
        <f>IF(ISERROR(IF(B298=C298,N298/C298,IF((INT(N298/B298)+(((N298-B298*INT(N298/B298)))/C298)/100)&lt;0,(INT(N298/B298)+(((N298-B298*INT(N298/B298)))/C298)/100)+(1-(B298/C298/100)),(INT(N298/B298)+(((N298-B298*INT(N298/B298)))/C298)/100)))),0,IF(B298=C298,N298/C298,IF((INT(N298/B298)+(((N298-B298*INT(N298/B298)))/C298)/100)&lt;0,(INT(N298/B298)+(((N298-B298*INT(N298/B298)))/C298)/100)+(1-(B298/C298/100)),(INT(N298/B298)+(((N298-B298*INT(N298/B298)))/C298)/100))))</f>
        <v>0</v>
      </c>
      <c r="AZ298" s="57">
        <f>IF(ISERROR(IF(B298=C298,O298/C298,(INT(O298/B298)+(((O298-B298*INT(O298/B298)))/C298)/100))),0,(IF(B298=C298,O298/C298,(INT(O298/B298)+(((O298-B298*INT(O298/B298)))/C298)/100))))</f>
        <v>0</v>
      </c>
      <c r="BA298" s="57">
        <f>IF(ISERROR(IF(B298=C298,P298/C298,IF((INT(P298/B298)+(((P298-B298*INT(P298/B298)))/C298)/100)&lt;0,(INT(P298/B298)+(((P298-B298*INT(P298/B298)))/C298)/100)+(1-(B298/C298/100)),(INT(P298/B298)+(((P298-B298*INT(P298/B298)))/C298)/100)))),0,IF(B298=C298,P298/C298,IF((INT(P298/B298)+(((P298-B298*INT(P298/B298)))/C298)/100)&lt;0,(INT(P298/B298)+(((P298-B298*INT(P298/B298)))/C298)/100)+(1-(B298/C298/100)),(INT(P298/B298)+(((P298-B298*INT(P298/B298)))/C298)/100))))</f>
        <v>0</v>
      </c>
      <c r="BB298" s="28">
        <f>R298</f>
        <v>0</v>
      </c>
      <c r="BC298" s="28">
        <f>S298</f>
        <v>0</v>
      </c>
      <c r="BD298" s="28">
        <f>AF298</f>
        <v>0</v>
      </c>
      <c r="BE298" s="28">
        <f>T298</f>
        <v>0</v>
      </c>
      <c r="BG298" s="57">
        <f>IF(ISERROR(IF(B298=C298,V298/C298,(INT(V298/B298)+(((V298-B298*INT(V298/B298)))/C298)/100))),0,(IF(B298=C298,V298/C298,(INT(V298/B298)+(((V298-B298*INT(V298/B298)))/C298)/100))))</f>
        <v>0</v>
      </c>
      <c r="BH298" s="57">
        <f>IF(ISERROR(IF(B298=C298,W298/C298,(INT(W298/B298)+(((W298-B298*INT(W298/B298)))/C298)/100))),0,(IF(B298=C298,W298/C298,(INT(W298/B298)+(((W298-B298*INT(W298/B298)))/C298)/100))))</f>
        <v>0</v>
      </c>
      <c r="BI298" s="57">
        <f>IF(ISERROR(IF(B298=C298,X298/C298,(INT(X298/B298)+(((X298-B298*INT(X298/B298)))/C298)/100))),0,(IF(B298=C298,X298/C298,(INT(X298/B298)+(((X298-B298*INT(X298/B298)))/C298)/100))))</f>
        <v>0</v>
      </c>
      <c r="BJ298" s="57">
        <f>IF(ISERROR(IF(B298=C298,Y298/C298,(INT(Y298/B298)+(((Y298-B298*INT(Y298/B298)))/C298)/100))),0,(IF(B298=C298,Y298/C298,(INT(Y298/B298)+(((Y298-B298*INT(Y298/B298)))/C298)/100))))</f>
        <v>0</v>
      </c>
      <c r="BL298" s="57">
        <f>IF(ISERROR(IF(B298=C298,AA298/C298,(INT(AA298/B298)+(((AA298-B298*INT(AA298/B298)))/C298)/100))),0,(IF(B298=C298,AA298/C298,(INT(AA298/B298)+(((AA298-B298*INT(AA298/B298)))/C298)/100))))</f>
        <v>0</v>
      </c>
      <c r="BM298" s="57">
        <f>IF(ISERROR(IF(B298=C298,AB298/C298,(INT(AB298/B298)+(((AB298-B298*INT(AB298/B298)))/C298)/100))),0,(IF(B298=C298,AB298/C298,(INT(AB298/B298)+(((AB298-B298*INT(AB298/B298)))/C298)/100))))</f>
        <v>0</v>
      </c>
      <c r="BN298" s="57">
        <f>IF(ISERROR(IF(B298=C298,AC298/C298,(INT(AC298/B298)+(((AC298-B298*INT(AC298/B298)))/C298)/100))),0,(IF(B298=C298,AC298/C298,(INT(AC298/B298)+(((AC298-B298*INT(AC298/B298)))/C298)/100))))</f>
        <v>0</v>
      </c>
      <c r="BO298" s="57">
        <f>IF(ISERROR(IF(B298=C298,AD298/C298,(INT(AD298/B298)+(((AD298-B298*INT(AD298/B298)))/C298)/100))),0,(IF(B298=C298,AD298/C298,(INT(AD298/B298)+(((AD298-B298*INT(AD298/B298)))/C298)/100))))</f>
        <v>0</v>
      </c>
      <c r="BQ298" s="155"/>
    </row>
    <row r="299" spans="1:69" hidden="1" x14ac:dyDescent="0.35">
      <c r="A299" s="134"/>
      <c r="B299" s="113">
        <v>700</v>
      </c>
      <c r="C299" s="113">
        <v>30</v>
      </c>
      <c r="D299" s="28">
        <f>SUM(AA299:AD299)</f>
        <v>0</v>
      </c>
      <c r="E299" s="113">
        <v>0</v>
      </c>
      <c r="F299" s="113">
        <v>0</v>
      </c>
      <c r="G299" s="28">
        <f>SUM(D299:F299)</f>
        <v>0</v>
      </c>
      <c r="H299" s="125">
        <v>0</v>
      </c>
      <c r="I299" s="113">
        <v>0</v>
      </c>
      <c r="J299" s="125">
        <v>0</v>
      </c>
      <c r="K299" s="113">
        <v>0</v>
      </c>
      <c r="L299" s="113">
        <v>0</v>
      </c>
      <c r="M299" s="113">
        <v>0</v>
      </c>
      <c r="N299" s="28">
        <f>G299-SUM(H299:M299)</f>
        <v>0</v>
      </c>
      <c r="O299" s="28">
        <f>SUM(V299:Y299)</f>
        <v>0</v>
      </c>
      <c r="P299" s="28">
        <f>O299-N299</f>
        <v>0</v>
      </c>
      <c r="Q299" s="61" t="str">
        <f>IF(ISERROR(P299/SUM(H299:L299)),"",P299/SUM(H299:L299))</f>
        <v/>
      </c>
      <c r="R299" s="113">
        <v>0</v>
      </c>
      <c r="S299" s="28">
        <f>IF(ISERROR(P299/C299*R299),0,(P299/C299*R299))</f>
        <v>0</v>
      </c>
      <c r="T299" s="60">
        <f>IF(ISERROR(P299/B299*AF299),0,(P299/B299*AF299))</f>
        <v>0</v>
      </c>
      <c r="V299" s="113">
        <v>0</v>
      </c>
      <c r="W299" s="113">
        <v>0</v>
      </c>
      <c r="X299" s="113">
        <v>0</v>
      </c>
      <c r="Y299" s="113">
        <v>0</v>
      </c>
      <c r="AA299" s="113">
        <v>0</v>
      </c>
      <c r="AB299" s="113">
        <v>0</v>
      </c>
      <c r="AC299" s="113">
        <v>0</v>
      </c>
      <c r="AD299" s="113">
        <v>0</v>
      </c>
      <c r="AF299" s="113">
        <v>0</v>
      </c>
      <c r="AG299" s="28">
        <f>G299-O299</f>
        <v>0</v>
      </c>
      <c r="AH299" s="58">
        <f>IF(ISERROR(AG299/B299*AF299),0,(AG299/B299*AF299))</f>
        <v>0</v>
      </c>
      <c r="AI299" s="28">
        <f>SUM(H299:M299)</f>
        <v>0</v>
      </c>
      <c r="AJ299" s="28">
        <f>IF(ISERROR(AI299/B299*AF299),0,(AI299/B299*AF299))</f>
        <v>0</v>
      </c>
      <c r="AK299" s="58">
        <f>IF(ISERROR(O299/B299*AF299),0,(O299/B299*AF299))</f>
        <v>0</v>
      </c>
      <c r="AL299" s="28">
        <f>IF(ISERROR(H299/B299*AF299),0,(H299/B299*AF299))</f>
        <v>0</v>
      </c>
      <c r="AN299" s="51">
        <f>A299</f>
        <v>0</v>
      </c>
      <c r="AO299" s="57">
        <f>IF(ISERROR(IF(B299=C299,D299/C299,(INT(D299/B299)+(((D299-B299*INT(D299/B299)))/C299)/100))),0,(IF(B299=C299,D299/C299,(INT(D299/B299)+(((D299-B299*INT(D299/B299)))/C299)/100))))</f>
        <v>0</v>
      </c>
      <c r="AP299" s="57">
        <f>IF(ISERROR(IF(B299=C299,E299/C299,(INT(E299/B299)+(((E299-B299*INT(E299/B299)))/C299)/100))),0,(IF(B299=C299,E299/C299,(INT(E299/B299)+(((E299-B299*INT(E299/B299)))/C299)/100))))</f>
        <v>0</v>
      </c>
      <c r="AQ299" s="57">
        <f>IF(ISERROR(IF(B299=C299,F299/C299,IF((INT(F299/B299)+(((F299-B299*INT(F299/B299)))/C299)/100)&lt;0,(INT(F299/B299)+(((F299-B299*INT(F299/B299)))/C299)/100)+(1-(B299/C299/100)),(INT(F299/B299)+(((F299-B299*INT(F299/B299)))/C299)/100)))),0,IF(B299=C299,F299/C299,IF((INT(F299/B299)+(((F299-B299*INT(F299/B299)))/C299)/100)&lt;0,(INT(F299/B299)+(((F299-B299*INT(F299/B299)))/C299)/100)+(1-(B299/C299/100)),(INT(F299/B299)+(((F299-B299*INT(F299/B299)))/C299)/100))))</f>
        <v>0</v>
      </c>
      <c r="AR299" s="57">
        <f>IF(ISERROR(IF(B299=C299,G299/C299,(INT(G299/B299)+(((G299-B299*INT(G299/B299)))/C299)/100))),0,(IF(B299=C299,G299/C299,(INT(G299/B299)+(((G299-B299*INT(G299/B299)))/C299)/100))))</f>
        <v>0</v>
      </c>
      <c r="AS299" s="57">
        <f>IF(ISERROR(IF(B299=C299,H299/C299,(INT(H299/B299)+(((H299-B299*INT(H299/B299)))/C299)/100))),0,(IF(B299=C299,H299/C299,(INT(H299/B299)+(((H299-B299*INT(H299/B299)))/C299)/100))))</f>
        <v>0</v>
      </c>
      <c r="AT299" s="57">
        <f>IF(ISERROR(IF(B299=C299,I299/C299,(INT(I299/B299)+(((I299-B299*INT(I299/B299)))/C299)/100))),0,(IF(B299=C299,I299/C299,(INT(I299/B299)+(((I299-B299*INT(I299/B299)))/C299)/100))))</f>
        <v>0</v>
      </c>
      <c r="AU299" s="57">
        <f>IF(ISERROR(IF(B299=C299,J299/C299,(INT(J299/B299)+(((J299-B299*INT(J299/B299)))/C299)/100))),0,(IF(B299=C299,J299/C299,(INT(J299/B299)+(((J299-B299*INT(J299/B299)))/C299)/100))))</f>
        <v>0</v>
      </c>
      <c r="AV299" s="57">
        <f>IF(ISERROR(IF(B299=C299,K299/C299,IF((INT(K299/B299)+(((K299-B299*INT(K299/B299)))/C299)/100)&lt;0,(INT(K299/B299)+(((K299-B299*INT(K299/B299)))/C299)/100)+(1-(B299/C299/100)),(INT(K299/B299)+(((K299-B299*INT(K299/B299)))/C299)/100)))),0,IF(B299=C299,K299/C299,IF((INT(K299/B299)+(((K299-B299*INT(K299/B299)))/C299)/100)&lt;0,(INT(K299/B299)+(((K299-B299*INT(K299/B299)))/C299)/100)+(1-(B299/C299/100)),(INT(K299/B299)+(((K299-B299*INT(K299/B299)))/C299)/100))))</f>
        <v>0</v>
      </c>
      <c r="AW299" s="57">
        <f>IF(ISERROR(IF(B299=C299,L299/C299,(INT(L299/B299)+(((L299-B299*INT(L299/B299)))/C299)/100))),0,(IF(B299=C299,L299/C299,(INT(L299/B299)+(((L299-B299*INT(L299/B299)))/C299)/100))))</f>
        <v>0</v>
      </c>
      <c r="AX299" s="57">
        <f>IF(ISERROR(IF(B299=C299,M299/C299,(INT(M299/B299)+(((M299-B299*INT(M299/B299)))/C299)/100))),0,(IF(B299=C299,M299/C299,(INT(M299/B299)+(((M299-B299*INT(M299/B299)))/C299)/100))))</f>
        <v>0</v>
      </c>
      <c r="AY299" s="57">
        <f>IF(ISERROR(IF(B299=C299,N299/C299,IF((INT(N299/B299)+(((N299-B299*INT(N299/B299)))/C299)/100)&lt;0,(INT(N299/B299)+(((N299-B299*INT(N299/B299)))/C299)/100)+(1-(B299/C299/100)),(INT(N299/B299)+(((N299-B299*INT(N299/B299)))/C299)/100)))),0,IF(B299=C299,N299/C299,IF((INT(N299/B299)+(((N299-B299*INT(N299/B299)))/C299)/100)&lt;0,(INT(N299/B299)+(((N299-B299*INT(N299/B299)))/C299)/100)+(1-(B299/C299/100)),(INT(N299/B299)+(((N299-B299*INT(N299/B299)))/C299)/100))))</f>
        <v>0</v>
      </c>
      <c r="AZ299" s="57">
        <f>IF(ISERROR(IF(B299=C299,O299/C299,(INT(O299/B299)+(((O299-B299*INT(O299/B299)))/C299)/100))),0,(IF(B299=C299,O299/C299,(INT(O299/B299)+(((O299-B299*INT(O299/B299)))/C299)/100))))</f>
        <v>0</v>
      </c>
      <c r="BA299" s="57">
        <f>IF(ISERROR(IF(B299=C299,P299/C299,IF((INT(P299/B299)+(((P299-B299*INT(P299/B299)))/C299)/100)&lt;0,(INT(P299/B299)+(((P299-B299*INT(P299/B299)))/C299)/100)+(1-(B299/C299/100)),(INT(P299/B299)+(((P299-B299*INT(P299/B299)))/C299)/100)))),0,IF(B299=C299,P299/C299,IF((INT(P299/B299)+(((P299-B299*INT(P299/B299)))/C299)/100)&lt;0,(INT(P299/B299)+(((P299-B299*INT(P299/B299)))/C299)/100)+(1-(B299/C299/100)),(INT(P299/B299)+(((P299-B299*INT(P299/B299)))/C299)/100))))</f>
        <v>0</v>
      </c>
      <c r="BB299" s="28">
        <f>R299</f>
        <v>0</v>
      </c>
      <c r="BC299" s="28">
        <f>S299</f>
        <v>0</v>
      </c>
      <c r="BD299" s="28">
        <f>AF299</f>
        <v>0</v>
      </c>
      <c r="BE299" s="28">
        <f>T299</f>
        <v>0</v>
      </c>
      <c r="BG299" s="57">
        <f>IF(ISERROR(IF(B299=C299,V299/C299,(INT(V299/B299)+(((V299-B299*INT(V299/B299)))/C299)/100))),0,(IF(B299=C299,V299/C299,(INT(V299/B299)+(((V299-B299*INT(V299/B299)))/C299)/100))))</f>
        <v>0</v>
      </c>
      <c r="BH299" s="57">
        <f>IF(ISERROR(IF(B299=C299,W299/C299,(INT(W299/B299)+(((W299-B299*INT(W299/B299)))/C299)/100))),0,(IF(B299=C299,W299/C299,(INT(W299/B299)+(((W299-B299*INT(W299/B299)))/C299)/100))))</f>
        <v>0</v>
      </c>
      <c r="BI299" s="57">
        <f>IF(ISERROR(IF(B299=C299,X299/C299,(INT(X299/B299)+(((X299-B299*INT(X299/B299)))/C299)/100))),0,(IF(B299=C299,X299/C299,(INT(X299/B299)+(((X299-B299*INT(X299/B299)))/C299)/100))))</f>
        <v>0</v>
      </c>
      <c r="BJ299" s="57">
        <f>IF(ISERROR(IF(B299=C299,Y299/C299,(INT(Y299/B299)+(((Y299-B299*INT(Y299/B299)))/C299)/100))),0,(IF(B299=C299,Y299/C299,(INT(Y299/B299)+(((Y299-B299*INT(Y299/B299)))/C299)/100))))</f>
        <v>0</v>
      </c>
      <c r="BL299" s="57">
        <f>IF(ISERROR(IF(B299=C299,AA299/C299,(INT(AA299/B299)+(((AA299-B299*INT(AA299/B299)))/C299)/100))),0,(IF(B299=C299,AA299/C299,(INT(AA299/B299)+(((AA299-B299*INT(AA299/B299)))/C299)/100))))</f>
        <v>0</v>
      </c>
      <c r="BM299" s="57">
        <f>IF(ISERROR(IF(B299=C299,AB299/C299,(INT(AB299/B299)+(((AB299-B299*INT(AB299/B299)))/C299)/100))),0,(IF(B299=C299,AB299/C299,(INT(AB299/B299)+(((AB299-B299*INT(AB299/B299)))/C299)/100))))</f>
        <v>0</v>
      </c>
      <c r="BN299" s="57">
        <f>IF(ISERROR(IF(B299=C299,AC299/C299,(INT(AC299/B299)+(((AC299-B299*INT(AC299/B299)))/C299)/100))),0,(IF(B299=C299,AC299/C299,(INT(AC299/B299)+(((AC299-B299*INT(AC299/B299)))/C299)/100))))</f>
        <v>0</v>
      </c>
      <c r="BO299" s="57">
        <f>IF(ISERROR(IF(B299=C299,AD299/C299,(INT(AD299/B299)+(((AD299-B299*INT(AD299/B299)))/C299)/100))),0,(IF(B299=C299,AD299/C299,(INT(AD299/B299)+(((AD299-B299*INT(AD299/B299)))/C299)/100))))</f>
        <v>0</v>
      </c>
      <c r="BQ299" s="155"/>
    </row>
    <row r="300" spans="1:69" hidden="1" x14ac:dyDescent="0.35">
      <c r="A300" s="94"/>
      <c r="B300" s="113">
        <v>700</v>
      </c>
      <c r="C300" s="113">
        <v>30</v>
      </c>
      <c r="D300" s="28">
        <f>SUM(AA300:AD300)</f>
        <v>0</v>
      </c>
      <c r="E300" s="113">
        <v>0</v>
      </c>
      <c r="F300" s="113">
        <v>0</v>
      </c>
      <c r="G300" s="28">
        <f>SUM(D300:F300)</f>
        <v>0</v>
      </c>
      <c r="H300" s="125">
        <v>0</v>
      </c>
      <c r="I300" s="113">
        <v>0</v>
      </c>
      <c r="J300" s="125">
        <v>0</v>
      </c>
      <c r="K300" s="113">
        <v>0</v>
      </c>
      <c r="L300" s="113">
        <v>0</v>
      </c>
      <c r="M300" s="113">
        <v>0</v>
      </c>
      <c r="N300" s="28">
        <f>G300-SUM(H300:M300)</f>
        <v>0</v>
      </c>
      <c r="O300" s="28">
        <f>SUM(V300:Y300)</f>
        <v>0</v>
      </c>
      <c r="P300" s="28">
        <f>O300-N300</f>
        <v>0</v>
      </c>
      <c r="Q300" s="61" t="str">
        <f>IF(ISERROR(P300/SUM(H300:L300)),"",P300/SUM(H300:L300))</f>
        <v/>
      </c>
      <c r="R300" s="113">
        <v>0</v>
      </c>
      <c r="S300" s="28">
        <f>IF(ISERROR(P300/C300*R300),0,(P300/C300*R300))</f>
        <v>0</v>
      </c>
      <c r="T300" s="60">
        <f>IF(ISERROR(P300/B300*AF300),0,(P300/B300*AF300))</f>
        <v>0</v>
      </c>
      <c r="V300" s="113">
        <v>0</v>
      </c>
      <c r="W300" s="113">
        <v>0</v>
      </c>
      <c r="X300" s="113">
        <v>0</v>
      </c>
      <c r="Y300" s="113">
        <v>0</v>
      </c>
      <c r="AA300" s="113">
        <v>0</v>
      </c>
      <c r="AB300" s="113">
        <v>0</v>
      </c>
      <c r="AC300" s="113">
        <v>0</v>
      </c>
      <c r="AD300" s="113">
        <v>0</v>
      </c>
      <c r="AF300" s="113">
        <v>0</v>
      </c>
      <c r="AG300" s="28">
        <f>G300-O300</f>
        <v>0</v>
      </c>
      <c r="AH300" s="58">
        <f>IF(ISERROR(AG300/B300*AF300),0,(AG300/B300*AF300))</f>
        <v>0</v>
      </c>
      <c r="AI300" s="28">
        <f>SUM(H300:M300)</f>
        <v>0</v>
      </c>
      <c r="AJ300" s="28">
        <f>IF(ISERROR(AI300/B300*AF300),0,(AI300/B300*AF300))</f>
        <v>0</v>
      </c>
      <c r="AK300" s="58">
        <f>IF(ISERROR(O300/B300*AF300),0,(O300/B300*AF300))</f>
        <v>0</v>
      </c>
      <c r="AL300" s="28">
        <f>IF(ISERROR(H300/B300*AF300),0,(H300/B300*AF300))</f>
        <v>0</v>
      </c>
      <c r="AN300" s="51">
        <f>A300</f>
        <v>0</v>
      </c>
      <c r="AO300" s="57">
        <f>IF(ISERROR(IF(B300=C300,D300/C300,(INT(D300/B300)+(((D300-B300*INT(D300/B300)))/C300)/100))),0,(IF(B300=C300,D300/C300,(INT(D300/B300)+(((D300-B300*INT(D300/B300)))/C300)/100))))</f>
        <v>0</v>
      </c>
      <c r="AP300" s="57">
        <f>IF(ISERROR(IF(B300=C300,E300/C300,(INT(E300/B300)+(((E300-B300*INT(E300/B300)))/C300)/100))),0,(IF(B300=C300,E300/C300,(INT(E300/B300)+(((E300-B300*INT(E300/B300)))/C300)/100))))</f>
        <v>0</v>
      </c>
      <c r="AQ300" s="57">
        <f>IF(ISERROR(IF(B300=C300,F300/C300,IF((INT(F300/B300)+(((F300-B300*INT(F300/B300)))/C300)/100)&lt;0,(INT(F300/B300)+(((F300-B300*INT(F300/B300)))/C300)/100)+(1-(B300/C300/100)),(INT(F300/B300)+(((F300-B300*INT(F300/B300)))/C300)/100)))),0,IF(B300=C300,F300/C300,IF((INT(F300/B300)+(((F300-B300*INT(F300/B300)))/C300)/100)&lt;0,(INT(F300/B300)+(((F300-B300*INT(F300/B300)))/C300)/100)+(1-(B300/C300/100)),(INT(F300/B300)+(((F300-B300*INT(F300/B300)))/C300)/100))))</f>
        <v>0</v>
      </c>
      <c r="AR300" s="57">
        <f>IF(ISERROR(IF(B300=C300,G300/C300,(INT(G300/B300)+(((G300-B300*INT(G300/B300)))/C300)/100))),0,(IF(B300=C300,G300/C300,(INT(G300/B300)+(((G300-B300*INT(G300/B300)))/C300)/100))))</f>
        <v>0</v>
      </c>
      <c r="AS300" s="57">
        <f>IF(ISERROR(IF(B300=C300,H300/C300,(INT(H300/B300)+(((H300-B300*INT(H300/B300)))/C300)/100))),0,(IF(B300=C300,H300/C300,(INT(H300/B300)+(((H300-B300*INT(H300/B300)))/C300)/100))))</f>
        <v>0</v>
      </c>
      <c r="AT300" s="57">
        <f>IF(ISERROR(IF(B300=C300,I300/C300,(INT(I300/B300)+(((I300-B300*INT(I300/B300)))/C300)/100))),0,(IF(B300=C300,I300/C300,(INT(I300/B300)+(((I300-B300*INT(I300/B300)))/C300)/100))))</f>
        <v>0</v>
      </c>
      <c r="AU300" s="57">
        <f>IF(ISERROR(IF(B300=C300,J300/C300,(INT(J300/B300)+(((J300-B300*INT(J300/B300)))/C300)/100))),0,(IF(B300=C300,J300/C300,(INT(J300/B300)+(((J300-B300*INT(J300/B300)))/C300)/100))))</f>
        <v>0</v>
      </c>
      <c r="AV300" s="57">
        <f>IF(ISERROR(IF(B300=C300,K300/C300,IF((INT(K300/B300)+(((K300-B300*INT(K300/B300)))/C300)/100)&lt;0,(INT(K300/B300)+(((K300-B300*INT(K300/B300)))/C300)/100)+(1-(B300/C300/100)),(INT(K300/B300)+(((K300-B300*INT(K300/B300)))/C300)/100)))),0,IF(B300=C300,K300/C300,IF((INT(K300/B300)+(((K300-B300*INT(K300/B300)))/C300)/100)&lt;0,(INT(K300/B300)+(((K300-B300*INT(K300/B300)))/C300)/100)+(1-(B300/C300/100)),(INT(K300/B300)+(((K300-B300*INT(K300/B300)))/C300)/100))))</f>
        <v>0</v>
      </c>
      <c r="AW300" s="57">
        <f>IF(ISERROR(IF(B300=C300,L300/C300,(INT(L300/B300)+(((L300-B300*INT(L300/B300)))/C300)/100))),0,(IF(B300=C300,L300/C300,(INT(L300/B300)+(((L300-B300*INT(L300/B300)))/C300)/100))))</f>
        <v>0</v>
      </c>
      <c r="AX300" s="57">
        <f>IF(ISERROR(IF(B300=C300,M300/C300,(INT(M300/B300)+(((M300-B300*INT(M300/B300)))/C300)/100))),0,(IF(B300=C300,M300/C300,(INT(M300/B300)+(((M300-B300*INT(M300/B300)))/C300)/100))))</f>
        <v>0</v>
      </c>
      <c r="AY300" s="57">
        <f>IF(ISERROR(IF(B300=C300,N300/C300,IF((INT(N300/B300)+(((N300-B300*INT(N300/B300)))/C300)/100)&lt;0,(INT(N300/B300)+(((N300-B300*INT(N300/B300)))/C300)/100)+(1-(B300/C300/100)),(INT(N300/B300)+(((N300-B300*INT(N300/B300)))/C300)/100)))),0,IF(B300=C300,N300/C300,IF((INT(N300/B300)+(((N300-B300*INT(N300/B300)))/C300)/100)&lt;0,(INT(N300/B300)+(((N300-B300*INT(N300/B300)))/C300)/100)+(1-(B300/C300/100)),(INT(N300/B300)+(((N300-B300*INT(N300/B300)))/C300)/100))))</f>
        <v>0</v>
      </c>
      <c r="AZ300" s="57">
        <f>IF(ISERROR(IF(B300=C300,O300/C300,(INT(O300/B300)+(((O300-B300*INT(O300/B300)))/C300)/100))),0,(IF(B300=C300,O300/C300,(INT(O300/B300)+(((O300-B300*INT(O300/B300)))/C300)/100))))</f>
        <v>0</v>
      </c>
      <c r="BA300" s="57">
        <f>IF(ISERROR(IF(B300=C300,P300/C300,IF((INT(P300/B300)+(((P300-B300*INT(P300/B300)))/C300)/100)&lt;0,(INT(P300/B300)+(((P300-B300*INT(P300/B300)))/C300)/100)+(1-(B300/C300/100)),(INT(P300/B300)+(((P300-B300*INT(P300/B300)))/C300)/100)))),0,IF(B300=C300,P300/C300,IF((INT(P300/B300)+(((P300-B300*INT(P300/B300)))/C300)/100)&lt;0,(INT(P300/B300)+(((P300-B300*INT(P300/B300)))/C300)/100)+(1-(B300/C300/100)),(INT(P300/B300)+(((P300-B300*INT(P300/B300)))/C300)/100))))</f>
        <v>0</v>
      </c>
      <c r="BB300" s="28">
        <f>R300</f>
        <v>0</v>
      </c>
      <c r="BC300" s="28">
        <f>S300</f>
        <v>0</v>
      </c>
      <c r="BD300" s="28">
        <f>AF300</f>
        <v>0</v>
      </c>
      <c r="BE300" s="28">
        <f>T300</f>
        <v>0</v>
      </c>
      <c r="BG300" s="57">
        <f>IF(ISERROR(IF(B300=C300,V300/C300,(INT(V300/B300)+(((V300-B300*INT(V300/B300)))/C300)/100))),0,(IF(B300=C300,V300/C300,(INT(V300/B300)+(((V300-B300*INT(V300/B300)))/C300)/100))))</f>
        <v>0</v>
      </c>
      <c r="BH300" s="57">
        <f>IF(ISERROR(IF(B300=C300,W300/C300,(INT(W300/B300)+(((W300-B300*INT(W300/B300)))/C300)/100))),0,(IF(B300=C300,W300/C300,(INT(W300/B300)+(((W300-B300*INT(W300/B300)))/C300)/100))))</f>
        <v>0</v>
      </c>
      <c r="BI300" s="57">
        <f>IF(ISERROR(IF(B300=C300,X300/C300,(INT(X300/B300)+(((X300-B300*INT(X300/B300)))/C300)/100))),0,(IF(B300=C300,X300/C300,(INT(X300/B300)+(((X300-B300*INT(X300/B300)))/C300)/100))))</f>
        <v>0</v>
      </c>
      <c r="BJ300" s="57">
        <f>IF(ISERROR(IF(B300=C300,Y300/C300,(INT(Y300/B300)+(((Y300-B300*INT(Y300/B300)))/C300)/100))),0,(IF(B300=C300,Y300/C300,(INT(Y300/B300)+(((Y300-B300*INT(Y300/B300)))/C300)/100))))</f>
        <v>0</v>
      </c>
      <c r="BL300" s="57">
        <f>IF(ISERROR(IF(B300=C300,AA300/C300,(INT(AA300/B300)+(((AA300-B300*INT(AA300/B300)))/C300)/100))),0,(IF(B300=C300,AA300/C300,(INT(AA300/B300)+(((AA300-B300*INT(AA300/B300)))/C300)/100))))</f>
        <v>0</v>
      </c>
      <c r="BM300" s="57">
        <f>IF(ISERROR(IF(B300=C300,AB300/C300,(INT(AB300/B300)+(((AB300-B300*INT(AB300/B300)))/C300)/100))),0,(IF(B300=C300,AB300/C300,(INT(AB300/B300)+(((AB300-B300*INT(AB300/B300)))/C300)/100))))</f>
        <v>0</v>
      </c>
      <c r="BN300" s="57">
        <f>IF(ISERROR(IF(B300=C300,AC300/C300,(INT(AC300/B300)+(((AC300-B300*INT(AC300/B300)))/C300)/100))),0,(IF(B300=C300,AC300/C300,(INT(AC300/B300)+(((AC300-B300*INT(AC300/B300)))/C300)/100))))</f>
        <v>0</v>
      </c>
      <c r="BO300" s="57">
        <f>IF(ISERROR(IF(B300=C300,AD300/C300,(INT(AD300/B300)+(((AD300-B300*INT(AD300/B300)))/C300)/100))),0,(IF(B300=C300,AD300/C300,(INT(AD300/B300)+(((AD300-B300*INT(AD300/B300)))/C300)/100))))</f>
        <v>0</v>
      </c>
      <c r="BQ300" s="155"/>
    </row>
    <row r="301" spans="1:69" hidden="1" x14ac:dyDescent="0.35">
      <c r="A301" s="94"/>
      <c r="B301" s="113">
        <v>700</v>
      </c>
      <c r="C301" s="113">
        <v>30</v>
      </c>
      <c r="D301" s="28">
        <f>SUM(AA301:AD301)</f>
        <v>0</v>
      </c>
      <c r="E301" s="113">
        <v>0</v>
      </c>
      <c r="F301" s="113">
        <v>0</v>
      </c>
      <c r="G301" s="28">
        <f>SUM(D301:F301)</f>
        <v>0</v>
      </c>
      <c r="H301" s="125">
        <v>0</v>
      </c>
      <c r="I301" s="113">
        <v>0</v>
      </c>
      <c r="J301" s="125">
        <v>0</v>
      </c>
      <c r="K301" s="113">
        <v>0</v>
      </c>
      <c r="L301" s="113">
        <v>0</v>
      </c>
      <c r="M301" s="113">
        <v>0</v>
      </c>
      <c r="N301" s="28">
        <f>G301-SUM(H301:M301)</f>
        <v>0</v>
      </c>
      <c r="O301" s="28">
        <f>SUM(V301:Y301)</f>
        <v>0</v>
      </c>
      <c r="P301" s="28">
        <f>O301-N301</f>
        <v>0</v>
      </c>
      <c r="Q301" s="61" t="str">
        <f>IF(ISERROR(P301/SUM(H301:L301)),"",P301/SUM(H301:L301))</f>
        <v/>
      </c>
      <c r="R301" s="113">
        <v>0</v>
      </c>
      <c r="S301" s="28">
        <f>IF(ISERROR(P301/C301*R301),0,(P301/C301*R301))</f>
        <v>0</v>
      </c>
      <c r="T301" s="60">
        <f>IF(ISERROR(P301/B301*AF301),0,(P301/B301*AF301))</f>
        <v>0</v>
      </c>
      <c r="V301" s="113">
        <v>0</v>
      </c>
      <c r="W301" s="113">
        <v>0</v>
      </c>
      <c r="X301" s="113">
        <v>0</v>
      </c>
      <c r="Y301" s="113">
        <v>0</v>
      </c>
      <c r="AA301" s="113">
        <v>0</v>
      </c>
      <c r="AB301" s="113">
        <v>0</v>
      </c>
      <c r="AC301" s="113">
        <v>0</v>
      </c>
      <c r="AD301" s="113">
        <v>0</v>
      </c>
      <c r="AF301" s="113">
        <v>0</v>
      </c>
      <c r="AG301" s="28">
        <f>G301-O301</f>
        <v>0</v>
      </c>
      <c r="AH301" s="58">
        <f>IF(ISERROR(AG301/B301*AF301),0,(AG301/B301*AF301))</f>
        <v>0</v>
      </c>
      <c r="AI301" s="28">
        <f>SUM(H301:M301)</f>
        <v>0</v>
      </c>
      <c r="AJ301" s="28">
        <f>IF(ISERROR(AI301/B301*AF301),0,(AI301/B301*AF301))</f>
        <v>0</v>
      </c>
      <c r="AK301" s="58">
        <f>IF(ISERROR(O301/B301*AF301),0,(O301/B301*AF301))</f>
        <v>0</v>
      </c>
      <c r="AL301" s="28">
        <f>IF(ISERROR(H301/B301*AF301),0,(H301/B301*AF301))</f>
        <v>0</v>
      </c>
      <c r="AN301" s="51">
        <f>A301</f>
        <v>0</v>
      </c>
      <c r="AO301" s="57">
        <f>IF(ISERROR(IF(B301=C301,D301/C301,(INT(D301/B301)+(((D301-B301*INT(D301/B301)))/C301)/100))),0,(IF(B301=C301,D301/C301,(INT(D301/B301)+(((D301-B301*INT(D301/B301)))/C301)/100))))</f>
        <v>0</v>
      </c>
      <c r="AP301" s="57">
        <f>IF(ISERROR(IF(B301=C301,E301/C301,(INT(E301/B301)+(((E301-B301*INT(E301/B301)))/C301)/100))),0,(IF(B301=C301,E301/C301,(INT(E301/B301)+(((E301-B301*INT(E301/B301)))/C301)/100))))</f>
        <v>0</v>
      </c>
      <c r="AQ301" s="57">
        <f>IF(ISERROR(IF(B301=C301,F301/C301,IF((INT(F301/B301)+(((F301-B301*INT(F301/B301)))/C301)/100)&lt;0,(INT(F301/B301)+(((F301-B301*INT(F301/B301)))/C301)/100)+(1-(B301/C301/100)),(INT(F301/B301)+(((F301-B301*INT(F301/B301)))/C301)/100)))),0,IF(B301=C301,F301/C301,IF((INT(F301/B301)+(((F301-B301*INT(F301/B301)))/C301)/100)&lt;0,(INT(F301/B301)+(((F301-B301*INT(F301/B301)))/C301)/100)+(1-(B301/C301/100)),(INT(F301/B301)+(((F301-B301*INT(F301/B301)))/C301)/100))))</f>
        <v>0</v>
      </c>
      <c r="AR301" s="57">
        <f>IF(ISERROR(IF(B301=C301,G301/C301,(INT(G301/B301)+(((G301-B301*INT(G301/B301)))/C301)/100))),0,(IF(B301=C301,G301/C301,(INT(G301/B301)+(((G301-B301*INT(G301/B301)))/C301)/100))))</f>
        <v>0</v>
      </c>
      <c r="AS301" s="57">
        <f>IF(ISERROR(IF(B301=C301,H301/C301,(INT(H301/B301)+(((H301-B301*INT(H301/B301)))/C301)/100))),0,(IF(B301=C301,H301/C301,(INT(H301/B301)+(((H301-B301*INT(H301/B301)))/C301)/100))))</f>
        <v>0</v>
      </c>
      <c r="AT301" s="57">
        <f>IF(ISERROR(IF(B301=C301,I301/C301,(INT(I301/B301)+(((I301-B301*INT(I301/B301)))/C301)/100))),0,(IF(B301=C301,I301/C301,(INT(I301/B301)+(((I301-B301*INT(I301/B301)))/C301)/100))))</f>
        <v>0</v>
      </c>
      <c r="AU301" s="57">
        <f>IF(ISERROR(IF(B301=C301,J301/C301,(INT(J301/B301)+(((J301-B301*INT(J301/B301)))/C301)/100))),0,(IF(B301=C301,J301/C301,(INT(J301/B301)+(((J301-B301*INT(J301/B301)))/C301)/100))))</f>
        <v>0</v>
      </c>
      <c r="AV301" s="57">
        <f>IF(ISERROR(IF(B301=C301,K301/C301,IF((INT(K301/B301)+(((K301-B301*INT(K301/B301)))/C301)/100)&lt;0,(INT(K301/B301)+(((K301-B301*INT(K301/B301)))/C301)/100)+(1-(B301/C301/100)),(INT(K301/B301)+(((K301-B301*INT(K301/B301)))/C301)/100)))),0,IF(B301=C301,K301/C301,IF((INT(K301/B301)+(((K301-B301*INT(K301/B301)))/C301)/100)&lt;0,(INT(K301/B301)+(((K301-B301*INT(K301/B301)))/C301)/100)+(1-(B301/C301/100)),(INT(K301/B301)+(((K301-B301*INT(K301/B301)))/C301)/100))))</f>
        <v>0</v>
      </c>
      <c r="AW301" s="57">
        <f>IF(ISERROR(IF(B301=C301,L301/C301,(INT(L301/B301)+(((L301-B301*INT(L301/B301)))/C301)/100))),0,(IF(B301=C301,L301/C301,(INT(L301/B301)+(((L301-B301*INT(L301/B301)))/C301)/100))))</f>
        <v>0</v>
      </c>
      <c r="AX301" s="57">
        <f>IF(ISERROR(IF(B301=C301,M301/C301,(INT(M301/B301)+(((M301-B301*INT(M301/B301)))/C301)/100))),0,(IF(B301=C301,M301/C301,(INT(M301/B301)+(((M301-B301*INT(M301/B301)))/C301)/100))))</f>
        <v>0</v>
      </c>
      <c r="AY301" s="57">
        <f>IF(ISERROR(IF(B301=C301,N301/C301,IF((INT(N301/B301)+(((N301-B301*INT(N301/B301)))/C301)/100)&lt;0,(INT(N301/B301)+(((N301-B301*INT(N301/B301)))/C301)/100)+(1-(B301/C301/100)),(INT(N301/B301)+(((N301-B301*INT(N301/B301)))/C301)/100)))),0,IF(B301=C301,N301/C301,IF((INT(N301/B301)+(((N301-B301*INT(N301/B301)))/C301)/100)&lt;0,(INT(N301/B301)+(((N301-B301*INT(N301/B301)))/C301)/100)+(1-(B301/C301/100)),(INT(N301/B301)+(((N301-B301*INT(N301/B301)))/C301)/100))))</f>
        <v>0</v>
      </c>
      <c r="AZ301" s="57">
        <f>IF(ISERROR(IF(B301=C301,O301/C301,(INT(O301/B301)+(((O301-B301*INT(O301/B301)))/C301)/100))),0,(IF(B301=C301,O301/C301,(INT(O301/B301)+(((O301-B301*INT(O301/B301)))/C301)/100))))</f>
        <v>0</v>
      </c>
      <c r="BA301" s="57">
        <f>IF(ISERROR(IF(B301=C301,P301/C301,IF((INT(P301/B301)+(((P301-B301*INT(P301/B301)))/C301)/100)&lt;0,(INT(P301/B301)+(((P301-B301*INT(P301/B301)))/C301)/100)+(1-(B301/C301/100)),(INT(P301/B301)+(((P301-B301*INT(P301/B301)))/C301)/100)))),0,IF(B301=C301,P301/C301,IF((INT(P301/B301)+(((P301-B301*INT(P301/B301)))/C301)/100)&lt;0,(INT(P301/B301)+(((P301-B301*INT(P301/B301)))/C301)/100)+(1-(B301/C301/100)),(INT(P301/B301)+(((P301-B301*INT(P301/B301)))/C301)/100))))</f>
        <v>0</v>
      </c>
      <c r="BB301" s="28">
        <f>R301</f>
        <v>0</v>
      </c>
      <c r="BC301" s="28">
        <f>S301</f>
        <v>0</v>
      </c>
      <c r="BD301" s="28">
        <f>AF301</f>
        <v>0</v>
      </c>
      <c r="BE301" s="28">
        <f>T301</f>
        <v>0</v>
      </c>
      <c r="BG301" s="57">
        <f>IF(ISERROR(IF(B301=C301,V301/C301,(INT(V301/B301)+(((V301-B301*INT(V301/B301)))/C301)/100))),0,(IF(B301=C301,V301/C301,(INT(V301/B301)+(((V301-B301*INT(V301/B301)))/C301)/100))))</f>
        <v>0</v>
      </c>
      <c r="BH301" s="57">
        <f>IF(ISERROR(IF(B301=C301,W301/C301,(INT(W301/B301)+(((W301-B301*INT(W301/B301)))/C301)/100))),0,(IF(B301=C301,W301/C301,(INT(W301/B301)+(((W301-B301*INT(W301/B301)))/C301)/100))))</f>
        <v>0</v>
      </c>
      <c r="BI301" s="57">
        <f>IF(ISERROR(IF(B301=C301,X301/C301,(INT(X301/B301)+(((X301-B301*INT(X301/B301)))/C301)/100))),0,(IF(B301=C301,X301/C301,(INT(X301/B301)+(((X301-B301*INT(X301/B301)))/C301)/100))))</f>
        <v>0</v>
      </c>
      <c r="BJ301" s="57">
        <f>IF(ISERROR(IF(B301=C301,Y301/C301,(INT(Y301/B301)+(((Y301-B301*INT(Y301/B301)))/C301)/100))),0,(IF(B301=C301,Y301/C301,(INT(Y301/B301)+(((Y301-B301*INT(Y301/B301)))/C301)/100))))</f>
        <v>0</v>
      </c>
      <c r="BL301" s="57">
        <f>IF(ISERROR(IF(B301=C301,AA301/C301,(INT(AA301/B301)+(((AA301-B301*INT(AA301/B301)))/C301)/100))),0,(IF(B301=C301,AA301/C301,(INT(AA301/B301)+(((AA301-B301*INT(AA301/B301)))/C301)/100))))</f>
        <v>0</v>
      </c>
      <c r="BM301" s="57">
        <f>IF(ISERROR(IF(B301=C301,AB301/C301,(INT(AB301/B301)+(((AB301-B301*INT(AB301/B301)))/C301)/100))),0,(IF(B301=C301,AB301/C301,(INT(AB301/B301)+(((AB301-B301*INT(AB301/B301)))/C301)/100))))</f>
        <v>0</v>
      </c>
      <c r="BN301" s="57">
        <f>IF(ISERROR(IF(B301=C301,AC301/C301,(INT(AC301/B301)+(((AC301-B301*INT(AC301/B301)))/C301)/100))),0,(IF(B301=C301,AC301/C301,(INT(AC301/B301)+(((AC301-B301*INT(AC301/B301)))/C301)/100))))</f>
        <v>0</v>
      </c>
      <c r="BO301" s="57">
        <f>IF(ISERROR(IF(B301=C301,AD301/C301,(INT(AD301/B301)+(((AD301-B301*INT(AD301/B301)))/C301)/100))),0,(IF(B301=C301,AD301/C301,(INT(AD301/B301)+(((AD301-B301*INT(AD301/B301)))/C301)/100))))</f>
        <v>0</v>
      </c>
      <c r="BQ301" s="155"/>
    </row>
    <row r="302" spans="1:69" hidden="1" x14ac:dyDescent="0.35">
      <c r="A302" s="134"/>
      <c r="B302" s="113">
        <v>700</v>
      </c>
      <c r="C302" s="113">
        <v>30</v>
      </c>
      <c r="D302" s="28">
        <f>SUM(AA302:AD302)</f>
        <v>0</v>
      </c>
      <c r="E302" s="113">
        <v>0</v>
      </c>
      <c r="F302" s="113">
        <v>0</v>
      </c>
      <c r="G302" s="28">
        <f>SUM(D302:F302)</f>
        <v>0</v>
      </c>
      <c r="H302" s="125">
        <v>0</v>
      </c>
      <c r="I302" s="113">
        <v>0</v>
      </c>
      <c r="J302" s="125">
        <v>0</v>
      </c>
      <c r="K302" s="113">
        <v>0</v>
      </c>
      <c r="L302" s="113">
        <v>0</v>
      </c>
      <c r="M302" s="113">
        <v>0</v>
      </c>
      <c r="N302" s="28">
        <f>G302-SUM(H302:M302)</f>
        <v>0</v>
      </c>
      <c r="O302" s="28">
        <f>SUM(V302:Y302)</f>
        <v>0</v>
      </c>
      <c r="P302" s="28">
        <f>O302-N302</f>
        <v>0</v>
      </c>
      <c r="Q302" s="61" t="str">
        <f>IF(ISERROR(P302/SUM(H302:L302)),"",P302/SUM(H302:L302))</f>
        <v/>
      </c>
      <c r="R302" s="113">
        <v>0</v>
      </c>
      <c r="S302" s="28">
        <f>IF(ISERROR(P302/C302*R302),0,(P302/C302*R302))</f>
        <v>0</v>
      </c>
      <c r="T302" s="60">
        <f>IF(ISERROR(P302/B302*AF302),0,(P302/B302*AF302))</f>
        <v>0</v>
      </c>
      <c r="V302" s="113">
        <v>0</v>
      </c>
      <c r="W302" s="113">
        <v>0</v>
      </c>
      <c r="X302" s="113">
        <v>0</v>
      </c>
      <c r="Y302" s="113">
        <v>0</v>
      </c>
      <c r="AA302" s="113">
        <v>0</v>
      </c>
      <c r="AB302" s="113">
        <v>0</v>
      </c>
      <c r="AC302" s="113">
        <v>0</v>
      </c>
      <c r="AD302" s="113">
        <v>0</v>
      </c>
      <c r="AF302" s="113">
        <v>0</v>
      </c>
      <c r="AG302" s="28">
        <f>G302-O302</f>
        <v>0</v>
      </c>
      <c r="AH302" s="58">
        <f>IF(ISERROR(AG302/B302*AF302),0,(AG302/B302*AF302))</f>
        <v>0</v>
      </c>
      <c r="AI302" s="28">
        <f>SUM(H302:M302)</f>
        <v>0</v>
      </c>
      <c r="AJ302" s="28">
        <f>IF(ISERROR(AI302/B302*AF302),0,(AI302/B302*AF302))</f>
        <v>0</v>
      </c>
      <c r="AK302" s="58">
        <f>IF(ISERROR(O302/B302*AF302),0,(O302/B302*AF302))</f>
        <v>0</v>
      </c>
      <c r="AL302" s="28">
        <f>IF(ISERROR(H302/B302*AF302),0,(H302/B302*AF302))</f>
        <v>0</v>
      </c>
      <c r="AN302" s="51">
        <f>A302</f>
        <v>0</v>
      </c>
      <c r="AO302" s="57">
        <f>IF(ISERROR(IF(B302=C302,D302/C302,(INT(D302/B302)+(((D302-B302*INT(D302/B302)))/C302)/100))),0,(IF(B302=C302,D302/C302,(INT(D302/B302)+(((D302-B302*INT(D302/B302)))/C302)/100))))</f>
        <v>0</v>
      </c>
      <c r="AP302" s="57">
        <f>IF(ISERROR(IF(B302=C302,E302/C302,(INT(E302/B302)+(((E302-B302*INT(E302/B302)))/C302)/100))),0,(IF(B302=C302,E302/C302,(INT(E302/B302)+(((E302-B302*INT(E302/B302)))/C302)/100))))</f>
        <v>0</v>
      </c>
      <c r="AQ302" s="57">
        <f>IF(ISERROR(IF(B302=C302,F302/C302,IF((INT(F302/B302)+(((F302-B302*INT(F302/B302)))/C302)/100)&lt;0,(INT(F302/B302)+(((F302-B302*INT(F302/B302)))/C302)/100)+(1-(B302/C302/100)),(INT(F302/B302)+(((F302-B302*INT(F302/B302)))/C302)/100)))),0,IF(B302=C302,F302/C302,IF((INT(F302/B302)+(((F302-B302*INT(F302/B302)))/C302)/100)&lt;0,(INT(F302/B302)+(((F302-B302*INT(F302/B302)))/C302)/100)+(1-(B302/C302/100)),(INT(F302/B302)+(((F302-B302*INT(F302/B302)))/C302)/100))))</f>
        <v>0</v>
      </c>
      <c r="AR302" s="57">
        <f>IF(ISERROR(IF(B302=C302,G302/C302,(INT(G302/B302)+(((G302-B302*INT(G302/B302)))/C302)/100))),0,(IF(B302=C302,G302/C302,(INT(G302/B302)+(((G302-B302*INT(G302/B302)))/C302)/100))))</f>
        <v>0</v>
      </c>
      <c r="AS302" s="57">
        <f>IF(ISERROR(IF(B302=C302,H302/C302,(INT(H302/B302)+(((H302-B302*INT(H302/B302)))/C302)/100))),0,(IF(B302=C302,H302/C302,(INT(H302/B302)+(((H302-B302*INT(H302/B302)))/C302)/100))))</f>
        <v>0</v>
      </c>
      <c r="AT302" s="57">
        <f>IF(ISERROR(IF(B302=C302,I302/C302,(INT(I302/B302)+(((I302-B302*INT(I302/B302)))/C302)/100))),0,(IF(B302=C302,I302/C302,(INT(I302/B302)+(((I302-B302*INT(I302/B302)))/C302)/100))))</f>
        <v>0</v>
      </c>
      <c r="AU302" s="57">
        <f>IF(ISERROR(IF(B302=C302,J302/C302,(INT(J302/B302)+(((J302-B302*INT(J302/B302)))/C302)/100))),0,(IF(B302=C302,J302/C302,(INT(J302/B302)+(((J302-B302*INT(J302/B302)))/C302)/100))))</f>
        <v>0</v>
      </c>
      <c r="AV302" s="57">
        <f>IF(ISERROR(IF(B302=C302,K302/C302,IF((INT(K302/B302)+(((K302-B302*INT(K302/B302)))/C302)/100)&lt;0,(INT(K302/B302)+(((K302-B302*INT(K302/B302)))/C302)/100)+(1-(B302/C302/100)),(INT(K302/B302)+(((K302-B302*INT(K302/B302)))/C302)/100)))),0,IF(B302=C302,K302/C302,IF((INT(K302/B302)+(((K302-B302*INT(K302/B302)))/C302)/100)&lt;0,(INT(K302/B302)+(((K302-B302*INT(K302/B302)))/C302)/100)+(1-(B302/C302/100)),(INT(K302/B302)+(((K302-B302*INT(K302/B302)))/C302)/100))))</f>
        <v>0</v>
      </c>
      <c r="AW302" s="57">
        <f>IF(ISERROR(IF(B302=C302,L302/C302,(INT(L302/B302)+(((L302-B302*INT(L302/B302)))/C302)/100))),0,(IF(B302=C302,L302/C302,(INT(L302/B302)+(((L302-B302*INT(L302/B302)))/C302)/100))))</f>
        <v>0</v>
      </c>
      <c r="AX302" s="57">
        <f>IF(ISERROR(IF(B302=C302,M302/C302,(INT(M302/B302)+(((M302-B302*INT(M302/B302)))/C302)/100))),0,(IF(B302=C302,M302/C302,(INT(M302/B302)+(((M302-B302*INT(M302/B302)))/C302)/100))))</f>
        <v>0</v>
      </c>
      <c r="AY302" s="57">
        <f>IF(ISERROR(IF(B302=C302,N302/C302,IF((INT(N302/B302)+(((N302-B302*INT(N302/B302)))/C302)/100)&lt;0,(INT(N302/B302)+(((N302-B302*INT(N302/B302)))/C302)/100)+(1-(B302/C302/100)),(INT(N302/B302)+(((N302-B302*INT(N302/B302)))/C302)/100)))),0,IF(B302=C302,N302/C302,IF((INT(N302/B302)+(((N302-B302*INT(N302/B302)))/C302)/100)&lt;0,(INT(N302/B302)+(((N302-B302*INT(N302/B302)))/C302)/100)+(1-(B302/C302/100)),(INT(N302/B302)+(((N302-B302*INT(N302/B302)))/C302)/100))))</f>
        <v>0</v>
      </c>
      <c r="AZ302" s="57">
        <f>IF(ISERROR(IF(B302=C302,O302/C302,(INT(O302/B302)+(((O302-B302*INT(O302/B302)))/C302)/100))),0,(IF(B302=C302,O302/C302,(INT(O302/B302)+(((O302-B302*INT(O302/B302)))/C302)/100))))</f>
        <v>0</v>
      </c>
      <c r="BA302" s="57">
        <f>IF(ISERROR(IF(B302=C302,P302/C302,IF((INT(P302/B302)+(((P302-B302*INT(P302/B302)))/C302)/100)&lt;0,(INT(P302/B302)+(((P302-B302*INT(P302/B302)))/C302)/100)+(1-(B302/C302/100)),(INT(P302/B302)+(((P302-B302*INT(P302/B302)))/C302)/100)))),0,IF(B302=C302,P302/C302,IF((INT(P302/B302)+(((P302-B302*INT(P302/B302)))/C302)/100)&lt;0,(INT(P302/B302)+(((P302-B302*INT(P302/B302)))/C302)/100)+(1-(B302/C302/100)),(INT(P302/B302)+(((P302-B302*INT(P302/B302)))/C302)/100))))</f>
        <v>0</v>
      </c>
      <c r="BB302" s="28">
        <f>R302</f>
        <v>0</v>
      </c>
      <c r="BC302" s="28">
        <f>S302</f>
        <v>0</v>
      </c>
      <c r="BD302" s="28">
        <f>AF302</f>
        <v>0</v>
      </c>
      <c r="BE302" s="28">
        <f>T302</f>
        <v>0</v>
      </c>
      <c r="BG302" s="57">
        <f>IF(ISERROR(IF(B302=C302,V302/C302,(INT(V302/B302)+(((V302-B302*INT(V302/B302)))/C302)/100))),0,(IF(B302=C302,V302/C302,(INT(V302/B302)+(((V302-B302*INT(V302/B302)))/C302)/100))))</f>
        <v>0</v>
      </c>
      <c r="BH302" s="57">
        <f>IF(ISERROR(IF(B302=C302,W302/C302,(INT(W302/B302)+(((W302-B302*INT(W302/B302)))/C302)/100))),0,(IF(B302=C302,W302/C302,(INT(W302/B302)+(((W302-B302*INT(W302/B302)))/C302)/100))))</f>
        <v>0</v>
      </c>
      <c r="BI302" s="57">
        <f>IF(ISERROR(IF(B302=C302,X302/C302,(INT(X302/B302)+(((X302-B302*INT(X302/B302)))/C302)/100))),0,(IF(B302=C302,X302/C302,(INT(X302/B302)+(((X302-B302*INT(X302/B302)))/C302)/100))))</f>
        <v>0</v>
      </c>
      <c r="BJ302" s="57">
        <f>IF(ISERROR(IF(B302=C302,Y302/C302,(INT(Y302/B302)+(((Y302-B302*INT(Y302/B302)))/C302)/100))),0,(IF(B302=C302,Y302/C302,(INT(Y302/B302)+(((Y302-B302*INT(Y302/B302)))/C302)/100))))</f>
        <v>0</v>
      </c>
      <c r="BL302" s="57">
        <f>IF(ISERROR(IF(B302=C302,AA302/C302,(INT(AA302/B302)+(((AA302-B302*INT(AA302/B302)))/C302)/100))),0,(IF(B302=C302,AA302/C302,(INT(AA302/B302)+(((AA302-B302*INT(AA302/B302)))/C302)/100))))</f>
        <v>0</v>
      </c>
      <c r="BM302" s="57">
        <f>IF(ISERROR(IF(B302=C302,AB302/C302,(INT(AB302/B302)+(((AB302-B302*INT(AB302/B302)))/C302)/100))),0,(IF(B302=C302,AB302/C302,(INT(AB302/B302)+(((AB302-B302*INT(AB302/B302)))/C302)/100))))</f>
        <v>0</v>
      </c>
      <c r="BN302" s="57">
        <f>IF(ISERROR(IF(B302=C302,AC302/C302,(INT(AC302/B302)+(((AC302-B302*INT(AC302/B302)))/C302)/100))),0,(IF(B302=C302,AC302/C302,(INT(AC302/B302)+(((AC302-B302*INT(AC302/B302)))/C302)/100))))</f>
        <v>0</v>
      </c>
      <c r="BO302" s="57">
        <f>IF(ISERROR(IF(B302=C302,AD302/C302,(INT(AD302/B302)+(((AD302-B302*INT(AD302/B302)))/C302)/100))),0,(IF(B302=C302,AD302/C302,(INT(AD302/B302)+(((AD302-B302*INT(AD302/B302)))/C302)/100))))</f>
        <v>0</v>
      </c>
      <c r="BQ302" s="155"/>
    </row>
    <row r="303" spans="1:69" hidden="1" x14ac:dyDescent="0.35">
      <c r="A303" s="94"/>
      <c r="B303" s="113">
        <v>700</v>
      </c>
      <c r="C303" s="113">
        <v>30</v>
      </c>
      <c r="D303" s="28">
        <f>SUM(AA303:AD303)</f>
        <v>0</v>
      </c>
      <c r="E303" s="113">
        <v>0</v>
      </c>
      <c r="F303" s="113">
        <v>0</v>
      </c>
      <c r="G303" s="28">
        <f>SUM(D303:F303)</f>
        <v>0</v>
      </c>
      <c r="H303" s="125">
        <v>0</v>
      </c>
      <c r="I303" s="113">
        <v>0</v>
      </c>
      <c r="J303" s="125">
        <v>0</v>
      </c>
      <c r="K303" s="113">
        <v>0</v>
      </c>
      <c r="L303" s="113">
        <v>0</v>
      </c>
      <c r="M303" s="113">
        <v>0</v>
      </c>
      <c r="N303" s="28">
        <f>G303-SUM(H303:M303)</f>
        <v>0</v>
      </c>
      <c r="O303" s="28">
        <f>SUM(V303:Y303)</f>
        <v>0</v>
      </c>
      <c r="P303" s="28">
        <f>O303-N303</f>
        <v>0</v>
      </c>
      <c r="Q303" s="61" t="str">
        <f>IF(ISERROR(P303/SUM(H303:L303)),"",P303/SUM(H303:L303))</f>
        <v/>
      </c>
      <c r="R303" s="113">
        <v>0</v>
      </c>
      <c r="S303" s="28">
        <f>IF(ISERROR(P303/C303*R303),0,(P303/C303*R303))</f>
        <v>0</v>
      </c>
      <c r="T303" s="60">
        <f>IF(ISERROR(P303/B303*AF303),0,(P303/B303*AF303))</f>
        <v>0</v>
      </c>
      <c r="V303" s="113">
        <v>0</v>
      </c>
      <c r="W303" s="113">
        <v>0</v>
      </c>
      <c r="X303" s="113">
        <v>0</v>
      </c>
      <c r="Y303" s="113">
        <v>0</v>
      </c>
      <c r="AA303" s="113">
        <v>0</v>
      </c>
      <c r="AB303" s="113">
        <v>0</v>
      </c>
      <c r="AC303" s="113">
        <v>0</v>
      </c>
      <c r="AD303" s="113">
        <v>0</v>
      </c>
      <c r="AF303" s="113">
        <v>0</v>
      </c>
      <c r="AG303" s="28">
        <f>G303-O303</f>
        <v>0</v>
      </c>
      <c r="AH303" s="58">
        <f>IF(ISERROR(AG303/B303*AF303),0,(AG303/B303*AF303))</f>
        <v>0</v>
      </c>
      <c r="AI303" s="28">
        <f>SUM(H303:M303)</f>
        <v>0</v>
      </c>
      <c r="AJ303" s="28">
        <f>IF(ISERROR(AI303/B303*AF303),0,(AI303/B303*AF303))</f>
        <v>0</v>
      </c>
      <c r="AK303" s="58">
        <f>IF(ISERROR(O303/B303*AF303),0,(O303/B303*AF303))</f>
        <v>0</v>
      </c>
      <c r="AL303" s="28">
        <f>IF(ISERROR(H303/B303*AF303),0,(H303/B303*AF303))</f>
        <v>0</v>
      </c>
      <c r="AN303" s="51">
        <f>A303</f>
        <v>0</v>
      </c>
      <c r="AO303" s="57">
        <f>IF(ISERROR(IF(B303=C303,D303/C303,(INT(D303/B303)+(((D303-B303*INT(D303/B303)))/C303)/100))),0,(IF(B303=C303,D303/C303,(INT(D303/B303)+(((D303-B303*INT(D303/B303)))/C303)/100))))</f>
        <v>0</v>
      </c>
      <c r="AP303" s="57">
        <f>IF(ISERROR(IF(B303=C303,E303/C303,(INT(E303/B303)+(((E303-B303*INT(E303/B303)))/C303)/100))),0,(IF(B303=C303,E303/C303,(INT(E303/B303)+(((E303-B303*INT(E303/B303)))/C303)/100))))</f>
        <v>0</v>
      </c>
      <c r="AQ303" s="57">
        <f>IF(ISERROR(IF(B303=C303,F303/C303,IF((INT(F303/B303)+(((F303-B303*INT(F303/B303)))/C303)/100)&lt;0,(INT(F303/B303)+(((F303-B303*INT(F303/B303)))/C303)/100)+(1-(B303/C303/100)),(INT(F303/B303)+(((F303-B303*INT(F303/B303)))/C303)/100)))),0,IF(B303=C303,F303/C303,IF((INT(F303/B303)+(((F303-B303*INT(F303/B303)))/C303)/100)&lt;0,(INT(F303/B303)+(((F303-B303*INT(F303/B303)))/C303)/100)+(1-(B303/C303/100)),(INT(F303/B303)+(((F303-B303*INT(F303/B303)))/C303)/100))))</f>
        <v>0</v>
      </c>
      <c r="AR303" s="57">
        <f>IF(ISERROR(IF(B303=C303,G303/C303,(INT(G303/B303)+(((G303-B303*INT(G303/B303)))/C303)/100))),0,(IF(B303=C303,G303/C303,(INT(G303/B303)+(((G303-B303*INT(G303/B303)))/C303)/100))))</f>
        <v>0</v>
      </c>
      <c r="AS303" s="57">
        <f>IF(ISERROR(IF(B303=C303,H303/C303,(INT(H303/B303)+(((H303-B303*INT(H303/B303)))/C303)/100))),0,(IF(B303=C303,H303/C303,(INT(H303/B303)+(((H303-B303*INT(H303/B303)))/C303)/100))))</f>
        <v>0</v>
      </c>
      <c r="AT303" s="57">
        <f>IF(ISERROR(IF(B303=C303,I303/C303,(INT(I303/B303)+(((I303-B303*INT(I303/B303)))/C303)/100))),0,(IF(B303=C303,I303/C303,(INT(I303/B303)+(((I303-B303*INT(I303/B303)))/C303)/100))))</f>
        <v>0</v>
      </c>
      <c r="AU303" s="57">
        <f>IF(ISERROR(IF(B303=C303,J303/C303,(INT(J303/B303)+(((J303-B303*INT(J303/B303)))/C303)/100))),0,(IF(B303=C303,J303/C303,(INT(J303/B303)+(((J303-B303*INT(J303/B303)))/C303)/100))))</f>
        <v>0</v>
      </c>
      <c r="AV303" s="57">
        <f>IF(ISERROR(IF(B303=C303,K303/C303,IF((INT(K303/B303)+(((K303-B303*INT(K303/B303)))/C303)/100)&lt;0,(INT(K303/B303)+(((K303-B303*INT(K303/B303)))/C303)/100)+(1-(B303/C303/100)),(INT(K303/B303)+(((K303-B303*INT(K303/B303)))/C303)/100)))),0,IF(B303=C303,K303/C303,IF((INT(K303/B303)+(((K303-B303*INT(K303/B303)))/C303)/100)&lt;0,(INT(K303/B303)+(((K303-B303*INT(K303/B303)))/C303)/100)+(1-(B303/C303/100)),(INT(K303/B303)+(((K303-B303*INT(K303/B303)))/C303)/100))))</f>
        <v>0</v>
      </c>
      <c r="AW303" s="57">
        <f>IF(ISERROR(IF(B303=C303,L303/C303,(INT(L303/B303)+(((L303-B303*INT(L303/B303)))/C303)/100))),0,(IF(B303=C303,L303/C303,(INT(L303/B303)+(((L303-B303*INT(L303/B303)))/C303)/100))))</f>
        <v>0</v>
      </c>
      <c r="AX303" s="57">
        <f>IF(ISERROR(IF(B303=C303,M303/C303,(INT(M303/B303)+(((M303-B303*INT(M303/B303)))/C303)/100))),0,(IF(B303=C303,M303/C303,(INT(M303/B303)+(((M303-B303*INT(M303/B303)))/C303)/100))))</f>
        <v>0</v>
      </c>
      <c r="AY303" s="57">
        <f>IF(ISERROR(IF(B303=C303,N303/C303,IF((INT(N303/B303)+(((N303-B303*INT(N303/B303)))/C303)/100)&lt;0,(INT(N303/B303)+(((N303-B303*INT(N303/B303)))/C303)/100)+(1-(B303/C303/100)),(INT(N303/B303)+(((N303-B303*INT(N303/B303)))/C303)/100)))),0,IF(B303=C303,N303/C303,IF((INT(N303/B303)+(((N303-B303*INT(N303/B303)))/C303)/100)&lt;0,(INT(N303/B303)+(((N303-B303*INT(N303/B303)))/C303)/100)+(1-(B303/C303/100)),(INT(N303/B303)+(((N303-B303*INT(N303/B303)))/C303)/100))))</f>
        <v>0</v>
      </c>
      <c r="AZ303" s="57">
        <f>IF(ISERROR(IF(B303=C303,O303/C303,(INT(O303/B303)+(((O303-B303*INT(O303/B303)))/C303)/100))),0,(IF(B303=C303,O303/C303,(INT(O303/B303)+(((O303-B303*INT(O303/B303)))/C303)/100))))</f>
        <v>0</v>
      </c>
      <c r="BA303" s="57">
        <f>IF(ISERROR(IF(B303=C303,P303/C303,IF((INT(P303/B303)+(((P303-B303*INT(P303/B303)))/C303)/100)&lt;0,(INT(P303/B303)+(((P303-B303*INT(P303/B303)))/C303)/100)+(1-(B303/C303/100)),(INT(P303/B303)+(((P303-B303*INT(P303/B303)))/C303)/100)))),0,IF(B303=C303,P303/C303,IF((INT(P303/B303)+(((P303-B303*INT(P303/B303)))/C303)/100)&lt;0,(INT(P303/B303)+(((P303-B303*INT(P303/B303)))/C303)/100)+(1-(B303/C303/100)),(INT(P303/B303)+(((P303-B303*INT(P303/B303)))/C303)/100))))</f>
        <v>0</v>
      </c>
      <c r="BB303" s="28">
        <f>R303</f>
        <v>0</v>
      </c>
      <c r="BC303" s="28">
        <f>S303</f>
        <v>0</v>
      </c>
      <c r="BD303" s="28">
        <f>AF303</f>
        <v>0</v>
      </c>
      <c r="BE303" s="28">
        <f>T303</f>
        <v>0</v>
      </c>
      <c r="BG303" s="57">
        <f>IF(ISERROR(IF(B303=C303,V303/C303,(INT(V303/B303)+(((V303-B303*INT(V303/B303)))/C303)/100))),0,(IF(B303=C303,V303/C303,(INT(V303/B303)+(((V303-B303*INT(V303/B303)))/C303)/100))))</f>
        <v>0</v>
      </c>
      <c r="BH303" s="57">
        <f>IF(ISERROR(IF(B303=C303,W303/C303,(INT(W303/B303)+(((W303-B303*INT(W303/B303)))/C303)/100))),0,(IF(B303=C303,W303/C303,(INT(W303/B303)+(((W303-B303*INT(W303/B303)))/C303)/100))))</f>
        <v>0</v>
      </c>
      <c r="BI303" s="57">
        <f>IF(ISERROR(IF(B303=C303,X303/C303,(INT(X303/B303)+(((X303-B303*INT(X303/B303)))/C303)/100))),0,(IF(B303=C303,X303/C303,(INT(X303/B303)+(((X303-B303*INT(X303/B303)))/C303)/100))))</f>
        <v>0</v>
      </c>
      <c r="BJ303" s="57">
        <f>IF(ISERROR(IF(B303=C303,Y303/C303,(INT(Y303/B303)+(((Y303-B303*INT(Y303/B303)))/C303)/100))),0,(IF(B303=C303,Y303/C303,(INT(Y303/B303)+(((Y303-B303*INT(Y303/B303)))/C303)/100))))</f>
        <v>0</v>
      </c>
      <c r="BL303" s="57">
        <f>IF(ISERROR(IF(B303=C303,AA303/C303,(INT(AA303/B303)+(((AA303-B303*INT(AA303/B303)))/C303)/100))),0,(IF(B303=C303,AA303/C303,(INT(AA303/B303)+(((AA303-B303*INT(AA303/B303)))/C303)/100))))</f>
        <v>0</v>
      </c>
      <c r="BM303" s="57">
        <f>IF(ISERROR(IF(B303=C303,AB303/C303,(INT(AB303/B303)+(((AB303-B303*INT(AB303/B303)))/C303)/100))),0,(IF(B303=C303,AB303/C303,(INT(AB303/B303)+(((AB303-B303*INT(AB303/B303)))/C303)/100))))</f>
        <v>0</v>
      </c>
      <c r="BN303" s="57">
        <f>IF(ISERROR(IF(B303=C303,AC303/C303,(INT(AC303/B303)+(((AC303-B303*INT(AC303/B303)))/C303)/100))),0,(IF(B303=C303,AC303/C303,(INT(AC303/B303)+(((AC303-B303*INT(AC303/B303)))/C303)/100))))</f>
        <v>0</v>
      </c>
      <c r="BO303" s="57">
        <f>IF(ISERROR(IF(B303=C303,AD303/C303,(INT(AD303/B303)+(((AD303-B303*INT(AD303/B303)))/C303)/100))),0,(IF(B303=C303,AD303/C303,(INT(AD303/B303)+(((AD303-B303*INT(AD303/B303)))/C303)/100))))</f>
        <v>0</v>
      </c>
      <c r="BQ303" s="155"/>
    </row>
    <row r="304" spans="1:69" hidden="1" x14ac:dyDescent="0.35">
      <c r="A304" s="134"/>
      <c r="B304" s="113">
        <v>700</v>
      </c>
      <c r="C304" s="113">
        <v>30</v>
      </c>
      <c r="D304" s="28">
        <f>SUM(AA304:AD304)</f>
        <v>0</v>
      </c>
      <c r="E304" s="113">
        <v>0</v>
      </c>
      <c r="F304" s="113">
        <v>0</v>
      </c>
      <c r="G304" s="28">
        <f>SUM(D304:F304)</f>
        <v>0</v>
      </c>
      <c r="H304" s="125">
        <v>0</v>
      </c>
      <c r="I304" s="113">
        <v>0</v>
      </c>
      <c r="J304" s="125">
        <v>0</v>
      </c>
      <c r="K304" s="113">
        <v>0</v>
      </c>
      <c r="L304" s="113">
        <v>0</v>
      </c>
      <c r="M304" s="113">
        <v>0</v>
      </c>
      <c r="N304" s="28">
        <f>G304-SUM(H304:M304)</f>
        <v>0</v>
      </c>
      <c r="O304" s="28">
        <f>SUM(V304:Y304)</f>
        <v>0</v>
      </c>
      <c r="P304" s="28">
        <f>O304-N304</f>
        <v>0</v>
      </c>
      <c r="Q304" s="61" t="str">
        <f>IF(ISERROR(P304/SUM(H304:L304)),"",P304/SUM(H304:L304))</f>
        <v/>
      </c>
      <c r="R304" s="113">
        <v>0</v>
      </c>
      <c r="S304" s="28">
        <f>IF(ISERROR(P304/C304*R304),0,(P304/C304*R304))</f>
        <v>0</v>
      </c>
      <c r="T304" s="60">
        <f>IF(ISERROR(P304/B304*AF304),0,(P304/B304*AF304))</f>
        <v>0</v>
      </c>
      <c r="V304" s="113">
        <v>0</v>
      </c>
      <c r="W304" s="113">
        <v>0</v>
      </c>
      <c r="X304" s="113">
        <v>0</v>
      </c>
      <c r="Y304" s="113">
        <v>0</v>
      </c>
      <c r="AA304" s="113">
        <v>0</v>
      </c>
      <c r="AB304" s="113">
        <v>0</v>
      </c>
      <c r="AC304" s="113">
        <v>0</v>
      </c>
      <c r="AD304" s="113">
        <v>0</v>
      </c>
      <c r="AF304" s="113">
        <v>0</v>
      </c>
      <c r="AG304" s="28">
        <f>G304-O304</f>
        <v>0</v>
      </c>
      <c r="AH304" s="58">
        <f>IF(ISERROR(AG304/B304*AF304),0,(AG304/B304*AF304))</f>
        <v>0</v>
      </c>
      <c r="AI304" s="28">
        <f>SUM(H304:M304)</f>
        <v>0</v>
      </c>
      <c r="AJ304" s="28">
        <f>IF(ISERROR(AI304/B304*AF304),0,(AI304/B304*AF304))</f>
        <v>0</v>
      </c>
      <c r="AK304" s="58">
        <f>IF(ISERROR(O304/B304*AF304),0,(O304/B304*AF304))</f>
        <v>0</v>
      </c>
      <c r="AL304" s="28">
        <f>IF(ISERROR(H304/B304*AF304),0,(H304/B304*AF304))</f>
        <v>0</v>
      </c>
      <c r="AN304" s="51">
        <f>A304</f>
        <v>0</v>
      </c>
      <c r="AO304" s="57">
        <f>IF(ISERROR(IF(B304=C304,D304/C304,(INT(D304/B304)+(((D304-B304*INT(D304/B304)))/C304)/100))),0,(IF(B304=C304,D304/C304,(INT(D304/B304)+(((D304-B304*INT(D304/B304)))/C304)/100))))</f>
        <v>0</v>
      </c>
      <c r="AP304" s="57">
        <f>IF(ISERROR(IF(B304=C304,E304/C304,(INT(E304/B304)+(((E304-B304*INT(E304/B304)))/C304)/100))),0,(IF(B304=C304,E304/C304,(INT(E304/B304)+(((E304-B304*INT(E304/B304)))/C304)/100))))</f>
        <v>0</v>
      </c>
      <c r="AQ304" s="57">
        <f>IF(ISERROR(IF(B304=C304,F304/C304,IF((INT(F304/B304)+(((F304-B304*INT(F304/B304)))/C304)/100)&lt;0,(INT(F304/B304)+(((F304-B304*INT(F304/B304)))/C304)/100)+(1-(B304/C304/100)),(INT(F304/B304)+(((F304-B304*INT(F304/B304)))/C304)/100)))),0,IF(B304=C304,F304/C304,IF((INT(F304/B304)+(((F304-B304*INT(F304/B304)))/C304)/100)&lt;0,(INT(F304/B304)+(((F304-B304*INT(F304/B304)))/C304)/100)+(1-(B304/C304/100)),(INT(F304/B304)+(((F304-B304*INT(F304/B304)))/C304)/100))))</f>
        <v>0</v>
      </c>
      <c r="AR304" s="57">
        <f>IF(ISERROR(IF(B304=C304,G304/C304,(INT(G304/B304)+(((G304-B304*INT(G304/B304)))/C304)/100))),0,(IF(B304=C304,G304/C304,(INT(G304/B304)+(((G304-B304*INT(G304/B304)))/C304)/100))))</f>
        <v>0</v>
      </c>
      <c r="AS304" s="57">
        <f>IF(ISERROR(IF(B304=C304,H304/C304,(INT(H304/B304)+(((H304-B304*INT(H304/B304)))/C304)/100))),0,(IF(B304=C304,H304/C304,(INT(H304/B304)+(((H304-B304*INT(H304/B304)))/C304)/100))))</f>
        <v>0</v>
      </c>
      <c r="AT304" s="57">
        <f>IF(ISERROR(IF(B304=C304,I304/C304,(INT(I304/B304)+(((I304-B304*INT(I304/B304)))/C304)/100))),0,(IF(B304=C304,I304/C304,(INT(I304/B304)+(((I304-B304*INT(I304/B304)))/C304)/100))))</f>
        <v>0</v>
      </c>
      <c r="AU304" s="57">
        <f>IF(ISERROR(IF(B304=C304,J304/C304,(INT(J304/B304)+(((J304-B304*INT(J304/B304)))/C304)/100))),0,(IF(B304=C304,J304/C304,(INT(J304/B304)+(((J304-B304*INT(J304/B304)))/C304)/100))))</f>
        <v>0</v>
      </c>
      <c r="AV304" s="57">
        <f>IF(ISERROR(IF(B304=C304,K304/C304,IF((INT(K304/B304)+(((K304-B304*INT(K304/B304)))/C304)/100)&lt;0,(INT(K304/B304)+(((K304-B304*INT(K304/B304)))/C304)/100)+(1-(B304/C304/100)),(INT(K304/B304)+(((K304-B304*INT(K304/B304)))/C304)/100)))),0,IF(B304=C304,K304/C304,IF((INT(K304/B304)+(((K304-B304*INT(K304/B304)))/C304)/100)&lt;0,(INT(K304/B304)+(((K304-B304*INT(K304/B304)))/C304)/100)+(1-(B304/C304/100)),(INT(K304/B304)+(((K304-B304*INT(K304/B304)))/C304)/100))))</f>
        <v>0</v>
      </c>
      <c r="AW304" s="57">
        <f>IF(ISERROR(IF(B304=C304,L304/C304,(INT(L304/B304)+(((L304-B304*INT(L304/B304)))/C304)/100))),0,(IF(B304=C304,L304/C304,(INT(L304/B304)+(((L304-B304*INT(L304/B304)))/C304)/100))))</f>
        <v>0</v>
      </c>
      <c r="AX304" s="57">
        <f>IF(ISERROR(IF(B304=C304,M304/C304,(INT(M304/B304)+(((M304-B304*INT(M304/B304)))/C304)/100))),0,(IF(B304=C304,M304/C304,(INT(M304/B304)+(((M304-B304*INT(M304/B304)))/C304)/100))))</f>
        <v>0</v>
      </c>
      <c r="AY304" s="57">
        <f>IF(ISERROR(IF(B304=C304,N304/C304,IF((INT(N304/B304)+(((N304-B304*INT(N304/B304)))/C304)/100)&lt;0,(INT(N304/B304)+(((N304-B304*INT(N304/B304)))/C304)/100)+(1-(B304/C304/100)),(INT(N304/B304)+(((N304-B304*INT(N304/B304)))/C304)/100)))),0,IF(B304=C304,N304/C304,IF((INT(N304/B304)+(((N304-B304*INT(N304/B304)))/C304)/100)&lt;0,(INT(N304/B304)+(((N304-B304*INT(N304/B304)))/C304)/100)+(1-(B304/C304/100)),(INT(N304/B304)+(((N304-B304*INT(N304/B304)))/C304)/100))))</f>
        <v>0</v>
      </c>
      <c r="AZ304" s="57">
        <f>IF(ISERROR(IF(B304=C304,O304/C304,(INT(O304/B304)+(((O304-B304*INT(O304/B304)))/C304)/100))),0,(IF(B304=C304,O304/C304,(INT(O304/B304)+(((O304-B304*INT(O304/B304)))/C304)/100))))</f>
        <v>0</v>
      </c>
      <c r="BA304" s="57">
        <f>IF(ISERROR(IF(B304=C304,P304/C304,IF((INT(P304/B304)+(((P304-B304*INT(P304/B304)))/C304)/100)&lt;0,(INT(P304/B304)+(((P304-B304*INT(P304/B304)))/C304)/100)+(1-(B304/C304/100)),(INT(P304/B304)+(((P304-B304*INT(P304/B304)))/C304)/100)))),0,IF(B304=C304,P304/C304,IF((INT(P304/B304)+(((P304-B304*INT(P304/B304)))/C304)/100)&lt;0,(INT(P304/B304)+(((P304-B304*INT(P304/B304)))/C304)/100)+(1-(B304/C304/100)),(INT(P304/B304)+(((P304-B304*INT(P304/B304)))/C304)/100))))</f>
        <v>0</v>
      </c>
      <c r="BB304" s="28">
        <f>R304</f>
        <v>0</v>
      </c>
      <c r="BC304" s="28">
        <f>S304</f>
        <v>0</v>
      </c>
      <c r="BD304" s="28">
        <f>AF304</f>
        <v>0</v>
      </c>
      <c r="BE304" s="28">
        <f>T304</f>
        <v>0</v>
      </c>
      <c r="BG304" s="57">
        <f>IF(ISERROR(IF(B304=C304,V304/C304,(INT(V304/B304)+(((V304-B304*INT(V304/B304)))/C304)/100))),0,(IF(B304=C304,V304/C304,(INT(V304/B304)+(((V304-B304*INT(V304/B304)))/C304)/100))))</f>
        <v>0</v>
      </c>
      <c r="BH304" s="57">
        <f>IF(ISERROR(IF(B304=C304,W304/C304,(INT(W304/B304)+(((W304-B304*INT(W304/B304)))/C304)/100))),0,(IF(B304=C304,W304/C304,(INT(W304/B304)+(((W304-B304*INT(W304/B304)))/C304)/100))))</f>
        <v>0</v>
      </c>
      <c r="BI304" s="57">
        <f>IF(ISERROR(IF(B304=C304,X304/C304,(INT(X304/B304)+(((X304-B304*INT(X304/B304)))/C304)/100))),0,(IF(B304=C304,X304/C304,(INT(X304/B304)+(((X304-B304*INT(X304/B304)))/C304)/100))))</f>
        <v>0</v>
      </c>
      <c r="BJ304" s="57">
        <f>IF(ISERROR(IF(B304=C304,Y304/C304,(INT(Y304/B304)+(((Y304-B304*INT(Y304/B304)))/C304)/100))),0,(IF(B304=C304,Y304/C304,(INT(Y304/B304)+(((Y304-B304*INT(Y304/B304)))/C304)/100))))</f>
        <v>0</v>
      </c>
      <c r="BL304" s="57">
        <f>IF(ISERROR(IF(B304=C304,AA304/C304,(INT(AA304/B304)+(((AA304-B304*INT(AA304/B304)))/C304)/100))),0,(IF(B304=C304,AA304/C304,(INT(AA304/B304)+(((AA304-B304*INT(AA304/B304)))/C304)/100))))</f>
        <v>0</v>
      </c>
      <c r="BM304" s="57">
        <f>IF(ISERROR(IF(B304=C304,AB304/C304,(INT(AB304/B304)+(((AB304-B304*INT(AB304/B304)))/C304)/100))),0,(IF(B304=C304,AB304/C304,(INT(AB304/B304)+(((AB304-B304*INT(AB304/B304)))/C304)/100))))</f>
        <v>0</v>
      </c>
      <c r="BN304" s="57">
        <f>IF(ISERROR(IF(B304=C304,AC304/C304,(INT(AC304/B304)+(((AC304-B304*INT(AC304/B304)))/C304)/100))),0,(IF(B304=C304,AC304/C304,(INT(AC304/B304)+(((AC304-B304*INT(AC304/B304)))/C304)/100))))</f>
        <v>0</v>
      </c>
      <c r="BO304" s="57">
        <f>IF(ISERROR(IF(B304=C304,AD304/C304,(INT(AD304/B304)+(((AD304-B304*INT(AD304/B304)))/C304)/100))),0,(IF(B304=C304,AD304/C304,(INT(AD304/B304)+(((AD304-B304*INT(AD304/B304)))/C304)/100))))</f>
        <v>0</v>
      </c>
      <c r="BQ304" s="155"/>
    </row>
    <row r="305" spans="1:69" hidden="1" x14ac:dyDescent="0.35">
      <c r="A305" s="134"/>
      <c r="B305" s="113">
        <v>700</v>
      </c>
      <c r="C305" s="113">
        <v>30</v>
      </c>
      <c r="D305" s="28">
        <f>SUM(AA305:AD305)</f>
        <v>0</v>
      </c>
      <c r="E305" s="113">
        <v>0</v>
      </c>
      <c r="F305" s="113">
        <v>0</v>
      </c>
      <c r="G305" s="28">
        <f>SUM(D305:F305)</f>
        <v>0</v>
      </c>
      <c r="H305" s="125">
        <v>0</v>
      </c>
      <c r="I305" s="113">
        <v>0</v>
      </c>
      <c r="J305" s="125">
        <v>0</v>
      </c>
      <c r="K305" s="113">
        <v>0</v>
      </c>
      <c r="L305" s="113">
        <v>0</v>
      </c>
      <c r="M305" s="113">
        <v>0</v>
      </c>
      <c r="N305" s="28">
        <f>G305-SUM(H305:M305)</f>
        <v>0</v>
      </c>
      <c r="O305" s="28">
        <f>SUM(V305:Y305)</f>
        <v>0</v>
      </c>
      <c r="P305" s="28">
        <f>O305-N305</f>
        <v>0</v>
      </c>
      <c r="Q305" s="61" t="str">
        <f>IF(ISERROR(P305/SUM(H305:L305)),"",P305/SUM(H305:L305))</f>
        <v/>
      </c>
      <c r="R305" s="113">
        <v>0</v>
      </c>
      <c r="S305" s="28">
        <f>IF(ISERROR(P305/C305*R305),0,(P305/C305*R305))</f>
        <v>0</v>
      </c>
      <c r="T305" s="60">
        <f>IF(ISERROR(P305/B305*AF305),0,(P305/B305*AF305))</f>
        <v>0</v>
      </c>
      <c r="V305" s="113">
        <v>0</v>
      </c>
      <c r="W305" s="113">
        <v>0</v>
      </c>
      <c r="X305" s="113">
        <v>0</v>
      </c>
      <c r="Y305" s="113">
        <v>0</v>
      </c>
      <c r="AA305" s="113">
        <v>0</v>
      </c>
      <c r="AB305" s="113">
        <v>0</v>
      </c>
      <c r="AC305" s="113">
        <v>0</v>
      </c>
      <c r="AD305" s="113">
        <v>0</v>
      </c>
      <c r="AF305" s="113">
        <v>0</v>
      </c>
      <c r="AG305" s="28">
        <f>G305-O305</f>
        <v>0</v>
      </c>
      <c r="AH305" s="58">
        <f>IF(ISERROR(AG305/B305*AF305),0,(AG305/B305*AF305))</f>
        <v>0</v>
      </c>
      <c r="AI305" s="28">
        <f>SUM(H305:M305)</f>
        <v>0</v>
      </c>
      <c r="AJ305" s="28">
        <f>IF(ISERROR(AI305/B305*AF305),0,(AI305/B305*AF305))</f>
        <v>0</v>
      </c>
      <c r="AK305" s="58">
        <f>IF(ISERROR(O305/B305*AF305),0,(O305/B305*AF305))</f>
        <v>0</v>
      </c>
      <c r="AL305" s="28">
        <f>IF(ISERROR(H305/B305*AF305),0,(H305/B305*AF305))</f>
        <v>0</v>
      </c>
      <c r="AN305" s="51">
        <f>A305</f>
        <v>0</v>
      </c>
      <c r="AO305" s="57">
        <f>IF(ISERROR(IF(B305=C305,D305/C305,(INT(D305/B305)+(((D305-B305*INT(D305/B305)))/C305)/100))),0,(IF(B305=C305,D305/C305,(INT(D305/B305)+(((D305-B305*INT(D305/B305)))/C305)/100))))</f>
        <v>0</v>
      </c>
      <c r="AP305" s="57">
        <f>IF(ISERROR(IF(B305=C305,E305/C305,(INT(E305/B305)+(((E305-B305*INT(E305/B305)))/C305)/100))),0,(IF(B305=C305,E305/C305,(INT(E305/B305)+(((E305-B305*INT(E305/B305)))/C305)/100))))</f>
        <v>0</v>
      </c>
      <c r="AQ305" s="57">
        <f>IF(ISERROR(IF(B305=C305,F305/C305,IF((INT(F305/B305)+(((F305-B305*INT(F305/B305)))/C305)/100)&lt;0,(INT(F305/B305)+(((F305-B305*INT(F305/B305)))/C305)/100)+(1-(B305/C305/100)),(INT(F305/B305)+(((F305-B305*INT(F305/B305)))/C305)/100)))),0,IF(B305=C305,F305/C305,IF((INT(F305/B305)+(((F305-B305*INT(F305/B305)))/C305)/100)&lt;0,(INT(F305/B305)+(((F305-B305*INT(F305/B305)))/C305)/100)+(1-(B305/C305/100)),(INT(F305/B305)+(((F305-B305*INT(F305/B305)))/C305)/100))))</f>
        <v>0</v>
      </c>
      <c r="AR305" s="57">
        <f>IF(ISERROR(IF(B305=C305,G305/C305,(INT(G305/B305)+(((G305-B305*INT(G305/B305)))/C305)/100))),0,(IF(B305=C305,G305/C305,(INT(G305/B305)+(((G305-B305*INT(G305/B305)))/C305)/100))))</f>
        <v>0</v>
      </c>
      <c r="AS305" s="57">
        <f>IF(ISERROR(IF(B305=C305,H305/C305,(INT(H305/B305)+(((H305-B305*INT(H305/B305)))/C305)/100))),0,(IF(B305=C305,H305/C305,(INT(H305/B305)+(((H305-B305*INT(H305/B305)))/C305)/100))))</f>
        <v>0</v>
      </c>
      <c r="AT305" s="57">
        <f>IF(ISERROR(IF(B305=C305,I305/C305,(INT(I305/B305)+(((I305-B305*INT(I305/B305)))/C305)/100))),0,(IF(B305=C305,I305/C305,(INT(I305/B305)+(((I305-B305*INT(I305/B305)))/C305)/100))))</f>
        <v>0</v>
      </c>
      <c r="AU305" s="57">
        <f>IF(ISERROR(IF(B305=C305,J305/C305,(INT(J305/B305)+(((J305-B305*INT(J305/B305)))/C305)/100))),0,(IF(B305=C305,J305/C305,(INT(J305/B305)+(((J305-B305*INT(J305/B305)))/C305)/100))))</f>
        <v>0</v>
      </c>
      <c r="AV305" s="57">
        <f>IF(ISERROR(IF(B305=C305,K305/C305,IF((INT(K305/B305)+(((K305-B305*INT(K305/B305)))/C305)/100)&lt;0,(INT(K305/B305)+(((K305-B305*INT(K305/B305)))/C305)/100)+(1-(B305/C305/100)),(INT(K305/B305)+(((K305-B305*INT(K305/B305)))/C305)/100)))),0,IF(B305=C305,K305/C305,IF((INT(K305/B305)+(((K305-B305*INT(K305/B305)))/C305)/100)&lt;0,(INT(K305/B305)+(((K305-B305*INT(K305/B305)))/C305)/100)+(1-(B305/C305/100)),(INT(K305/B305)+(((K305-B305*INT(K305/B305)))/C305)/100))))</f>
        <v>0</v>
      </c>
      <c r="AW305" s="57">
        <f>IF(ISERROR(IF(B305=C305,L305/C305,(INT(L305/B305)+(((L305-B305*INT(L305/B305)))/C305)/100))),0,(IF(B305=C305,L305/C305,(INT(L305/B305)+(((L305-B305*INT(L305/B305)))/C305)/100))))</f>
        <v>0</v>
      </c>
      <c r="AX305" s="57">
        <f>IF(ISERROR(IF(B305=C305,M305/C305,(INT(M305/B305)+(((M305-B305*INT(M305/B305)))/C305)/100))),0,(IF(B305=C305,M305/C305,(INT(M305/B305)+(((M305-B305*INT(M305/B305)))/C305)/100))))</f>
        <v>0</v>
      </c>
      <c r="AY305" s="57">
        <f>IF(ISERROR(IF(B305=C305,N305/C305,IF((INT(N305/B305)+(((N305-B305*INT(N305/B305)))/C305)/100)&lt;0,(INT(N305/B305)+(((N305-B305*INT(N305/B305)))/C305)/100)+(1-(B305/C305/100)),(INT(N305/B305)+(((N305-B305*INT(N305/B305)))/C305)/100)))),0,IF(B305=C305,N305/C305,IF((INT(N305/B305)+(((N305-B305*INT(N305/B305)))/C305)/100)&lt;0,(INT(N305/B305)+(((N305-B305*INT(N305/B305)))/C305)/100)+(1-(B305/C305/100)),(INT(N305/B305)+(((N305-B305*INT(N305/B305)))/C305)/100))))</f>
        <v>0</v>
      </c>
      <c r="AZ305" s="57">
        <f>IF(ISERROR(IF(B305=C305,O305/C305,(INT(O305/B305)+(((O305-B305*INT(O305/B305)))/C305)/100))),0,(IF(B305=C305,O305/C305,(INT(O305/B305)+(((O305-B305*INT(O305/B305)))/C305)/100))))</f>
        <v>0</v>
      </c>
      <c r="BA305" s="57">
        <f>IF(ISERROR(IF(B305=C305,P305/C305,IF((INT(P305/B305)+(((P305-B305*INT(P305/B305)))/C305)/100)&lt;0,(INT(P305/B305)+(((P305-B305*INT(P305/B305)))/C305)/100)+(1-(B305/C305/100)),(INT(P305/B305)+(((P305-B305*INT(P305/B305)))/C305)/100)))),0,IF(B305=C305,P305/C305,IF((INT(P305/B305)+(((P305-B305*INT(P305/B305)))/C305)/100)&lt;0,(INT(P305/B305)+(((P305-B305*INT(P305/B305)))/C305)/100)+(1-(B305/C305/100)),(INT(P305/B305)+(((P305-B305*INT(P305/B305)))/C305)/100))))</f>
        <v>0</v>
      </c>
      <c r="BB305" s="28">
        <f>R305</f>
        <v>0</v>
      </c>
      <c r="BC305" s="28">
        <f>S305</f>
        <v>0</v>
      </c>
      <c r="BD305" s="28">
        <f>AF305</f>
        <v>0</v>
      </c>
      <c r="BE305" s="28">
        <f>T305</f>
        <v>0</v>
      </c>
      <c r="BG305" s="57">
        <f>IF(ISERROR(IF(B305=C305,V305/C305,(INT(V305/B305)+(((V305-B305*INT(V305/B305)))/C305)/100))),0,(IF(B305=C305,V305/C305,(INT(V305/B305)+(((V305-B305*INT(V305/B305)))/C305)/100))))</f>
        <v>0</v>
      </c>
      <c r="BH305" s="57">
        <f>IF(ISERROR(IF(B305=C305,W305/C305,(INT(W305/B305)+(((W305-B305*INT(W305/B305)))/C305)/100))),0,(IF(B305=C305,W305/C305,(INT(W305/B305)+(((W305-B305*INT(W305/B305)))/C305)/100))))</f>
        <v>0</v>
      </c>
      <c r="BI305" s="57">
        <f>IF(ISERROR(IF(B305=C305,X305/C305,(INT(X305/B305)+(((X305-B305*INT(X305/B305)))/C305)/100))),0,(IF(B305=C305,X305/C305,(INT(X305/B305)+(((X305-B305*INT(X305/B305)))/C305)/100))))</f>
        <v>0</v>
      </c>
      <c r="BJ305" s="57">
        <f>IF(ISERROR(IF(B305=C305,Y305/C305,(INT(Y305/B305)+(((Y305-B305*INT(Y305/B305)))/C305)/100))),0,(IF(B305=C305,Y305/C305,(INT(Y305/B305)+(((Y305-B305*INT(Y305/B305)))/C305)/100))))</f>
        <v>0</v>
      </c>
      <c r="BL305" s="57">
        <f>IF(ISERROR(IF(B305=C305,AA305/C305,(INT(AA305/B305)+(((AA305-B305*INT(AA305/B305)))/C305)/100))),0,(IF(B305=C305,AA305/C305,(INT(AA305/B305)+(((AA305-B305*INT(AA305/B305)))/C305)/100))))</f>
        <v>0</v>
      </c>
      <c r="BM305" s="57">
        <f>IF(ISERROR(IF(B305=C305,AB305/C305,(INT(AB305/B305)+(((AB305-B305*INT(AB305/B305)))/C305)/100))),0,(IF(B305=C305,AB305/C305,(INT(AB305/B305)+(((AB305-B305*INT(AB305/B305)))/C305)/100))))</f>
        <v>0</v>
      </c>
      <c r="BN305" s="57">
        <f>IF(ISERROR(IF(B305=C305,AC305/C305,(INT(AC305/B305)+(((AC305-B305*INT(AC305/B305)))/C305)/100))),0,(IF(B305=C305,AC305/C305,(INT(AC305/B305)+(((AC305-B305*INT(AC305/B305)))/C305)/100))))</f>
        <v>0</v>
      </c>
      <c r="BO305" s="57">
        <f>IF(ISERROR(IF(B305=C305,AD305/C305,(INT(AD305/B305)+(((AD305-B305*INT(AD305/B305)))/C305)/100))),0,(IF(B305=C305,AD305/C305,(INT(AD305/B305)+(((AD305-B305*INT(AD305/B305)))/C305)/100))))</f>
        <v>0</v>
      </c>
      <c r="BQ305" s="155"/>
    </row>
    <row r="306" spans="1:69" hidden="1" x14ac:dyDescent="0.35">
      <c r="A306" s="94"/>
      <c r="B306" s="113">
        <v>700</v>
      </c>
      <c r="C306" s="113">
        <v>30</v>
      </c>
      <c r="D306" s="28">
        <f>SUM(AA306:AD306)</f>
        <v>0</v>
      </c>
      <c r="E306" s="113">
        <v>0</v>
      </c>
      <c r="F306" s="113">
        <v>0</v>
      </c>
      <c r="G306" s="28">
        <f>SUM(D306:F306)</f>
        <v>0</v>
      </c>
      <c r="H306" s="125">
        <v>0</v>
      </c>
      <c r="I306" s="113">
        <v>0</v>
      </c>
      <c r="J306" s="125">
        <v>0</v>
      </c>
      <c r="K306" s="113">
        <v>0</v>
      </c>
      <c r="L306" s="113">
        <v>0</v>
      </c>
      <c r="M306" s="113">
        <v>0</v>
      </c>
      <c r="N306" s="28">
        <f>G306-SUM(H306:M306)</f>
        <v>0</v>
      </c>
      <c r="O306" s="28">
        <f>SUM(V306:Y306)</f>
        <v>0</v>
      </c>
      <c r="P306" s="28">
        <f>O306-N306</f>
        <v>0</v>
      </c>
      <c r="Q306" s="61" t="str">
        <f>IF(ISERROR(P306/SUM(H306:L306)),"",P306/SUM(H306:L306))</f>
        <v/>
      </c>
      <c r="R306" s="113">
        <v>0</v>
      </c>
      <c r="S306" s="28">
        <f>IF(ISERROR(P306/C306*R306),0,(P306/C306*R306))</f>
        <v>0</v>
      </c>
      <c r="T306" s="60">
        <f>IF(ISERROR(P306/B306*AF306),0,(P306/B306*AF306))</f>
        <v>0</v>
      </c>
      <c r="V306" s="113">
        <v>0</v>
      </c>
      <c r="W306" s="113">
        <v>0</v>
      </c>
      <c r="X306" s="113">
        <v>0</v>
      </c>
      <c r="Y306" s="113">
        <v>0</v>
      </c>
      <c r="AA306" s="113">
        <v>0</v>
      </c>
      <c r="AB306" s="113">
        <v>0</v>
      </c>
      <c r="AC306" s="113">
        <v>0</v>
      </c>
      <c r="AD306" s="113">
        <v>0</v>
      </c>
      <c r="AF306" s="113">
        <v>0</v>
      </c>
      <c r="AG306" s="28">
        <f>G306-O306</f>
        <v>0</v>
      </c>
      <c r="AH306" s="58">
        <f>IF(ISERROR(AG306/B306*AF306),0,(AG306/B306*AF306))</f>
        <v>0</v>
      </c>
      <c r="AI306" s="28">
        <f>SUM(H306:M306)</f>
        <v>0</v>
      </c>
      <c r="AJ306" s="28">
        <f>IF(ISERROR(AI306/B306*AF306),0,(AI306/B306*AF306))</f>
        <v>0</v>
      </c>
      <c r="AK306" s="58">
        <f>IF(ISERROR(O306/B306*AF306),0,(O306/B306*AF306))</f>
        <v>0</v>
      </c>
      <c r="AL306" s="28">
        <f>IF(ISERROR(H306/B306*AF306),0,(H306/B306*AF306))</f>
        <v>0</v>
      </c>
      <c r="AN306" s="51">
        <f>A306</f>
        <v>0</v>
      </c>
      <c r="AO306" s="57">
        <f>IF(ISERROR(IF(B306=C306,D306/C306,(INT(D306/B306)+(((D306-B306*INT(D306/B306)))/C306)/100))),0,(IF(B306=C306,D306/C306,(INT(D306/B306)+(((D306-B306*INT(D306/B306)))/C306)/100))))</f>
        <v>0</v>
      </c>
      <c r="AP306" s="57">
        <f>IF(ISERROR(IF(B306=C306,E306/C306,(INT(E306/B306)+(((E306-B306*INT(E306/B306)))/C306)/100))),0,(IF(B306=C306,E306/C306,(INT(E306/B306)+(((E306-B306*INT(E306/B306)))/C306)/100))))</f>
        <v>0</v>
      </c>
      <c r="AQ306" s="57">
        <f>IF(ISERROR(IF(B306=C306,F306/C306,IF((INT(F306/B306)+(((F306-B306*INT(F306/B306)))/C306)/100)&lt;0,(INT(F306/B306)+(((F306-B306*INT(F306/B306)))/C306)/100)+(1-(B306/C306/100)),(INT(F306/B306)+(((F306-B306*INT(F306/B306)))/C306)/100)))),0,IF(B306=C306,F306/C306,IF((INT(F306/B306)+(((F306-B306*INT(F306/B306)))/C306)/100)&lt;0,(INT(F306/B306)+(((F306-B306*INT(F306/B306)))/C306)/100)+(1-(B306/C306/100)),(INT(F306/B306)+(((F306-B306*INT(F306/B306)))/C306)/100))))</f>
        <v>0</v>
      </c>
      <c r="AR306" s="57">
        <f>IF(ISERROR(IF(B306=C306,G306/C306,(INT(G306/B306)+(((G306-B306*INT(G306/B306)))/C306)/100))),0,(IF(B306=C306,G306/C306,(INT(G306/B306)+(((G306-B306*INT(G306/B306)))/C306)/100))))</f>
        <v>0</v>
      </c>
      <c r="AS306" s="57">
        <f>IF(ISERROR(IF(B306=C306,H306/C306,(INT(H306/B306)+(((H306-B306*INT(H306/B306)))/C306)/100))),0,(IF(B306=C306,H306/C306,(INT(H306/B306)+(((H306-B306*INT(H306/B306)))/C306)/100))))</f>
        <v>0</v>
      </c>
      <c r="AT306" s="57">
        <f>IF(ISERROR(IF(B306=C306,I306/C306,(INT(I306/B306)+(((I306-B306*INT(I306/B306)))/C306)/100))),0,(IF(B306=C306,I306/C306,(INT(I306/B306)+(((I306-B306*INT(I306/B306)))/C306)/100))))</f>
        <v>0</v>
      </c>
      <c r="AU306" s="57">
        <f>IF(ISERROR(IF(B306=C306,J306/C306,(INT(J306/B306)+(((J306-B306*INT(J306/B306)))/C306)/100))),0,(IF(B306=C306,J306/C306,(INT(J306/B306)+(((J306-B306*INT(J306/B306)))/C306)/100))))</f>
        <v>0</v>
      </c>
      <c r="AV306" s="57">
        <f>IF(ISERROR(IF(B306=C306,K306/C306,IF((INT(K306/B306)+(((K306-B306*INT(K306/B306)))/C306)/100)&lt;0,(INT(K306/B306)+(((K306-B306*INT(K306/B306)))/C306)/100)+(1-(B306/C306/100)),(INT(K306/B306)+(((K306-B306*INT(K306/B306)))/C306)/100)))),0,IF(B306=C306,K306/C306,IF((INT(K306/B306)+(((K306-B306*INT(K306/B306)))/C306)/100)&lt;0,(INT(K306/B306)+(((K306-B306*INT(K306/B306)))/C306)/100)+(1-(B306/C306/100)),(INT(K306/B306)+(((K306-B306*INT(K306/B306)))/C306)/100))))</f>
        <v>0</v>
      </c>
      <c r="AW306" s="57">
        <f>IF(ISERROR(IF(B306=C306,L306/C306,(INT(L306/B306)+(((L306-B306*INT(L306/B306)))/C306)/100))),0,(IF(B306=C306,L306/C306,(INT(L306/B306)+(((L306-B306*INT(L306/B306)))/C306)/100))))</f>
        <v>0</v>
      </c>
      <c r="AX306" s="57">
        <f>IF(ISERROR(IF(B306=C306,M306/C306,(INT(M306/B306)+(((M306-B306*INT(M306/B306)))/C306)/100))),0,(IF(B306=C306,M306/C306,(INT(M306/B306)+(((M306-B306*INT(M306/B306)))/C306)/100))))</f>
        <v>0</v>
      </c>
      <c r="AY306" s="57">
        <f>IF(ISERROR(IF(B306=C306,N306/C306,IF((INT(N306/B306)+(((N306-B306*INT(N306/B306)))/C306)/100)&lt;0,(INT(N306/B306)+(((N306-B306*INT(N306/B306)))/C306)/100)+(1-(B306/C306/100)),(INT(N306/B306)+(((N306-B306*INT(N306/B306)))/C306)/100)))),0,IF(B306=C306,N306/C306,IF((INT(N306/B306)+(((N306-B306*INT(N306/B306)))/C306)/100)&lt;0,(INT(N306/B306)+(((N306-B306*INT(N306/B306)))/C306)/100)+(1-(B306/C306/100)),(INT(N306/B306)+(((N306-B306*INT(N306/B306)))/C306)/100))))</f>
        <v>0</v>
      </c>
      <c r="AZ306" s="57">
        <f>IF(ISERROR(IF(B306=C306,O306/C306,(INT(O306/B306)+(((O306-B306*INT(O306/B306)))/C306)/100))),0,(IF(B306=C306,O306/C306,(INT(O306/B306)+(((O306-B306*INT(O306/B306)))/C306)/100))))</f>
        <v>0</v>
      </c>
      <c r="BA306" s="57">
        <f>IF(ISERROR(IF(B306=C306,P306/C306,IF((INT(P306/B306)+(((P306-B306*INT(P306/B306)))/C306)/100)&lt;0,(INT(P306/B306)+(((P306-B306*INT(P306/B306)))/C306)/100)+(1-(B306/C306/100)),(INT(P306/B306)+(((P306-B306*INT(P306/B306)))/C306)/100)))),0,IF(B306=C306,P306/C306,IF((INT(P306/B306)+(((P306-B306*INT(P306/B306)))/C306)/100)&lt;0,(INT(P306/B306)+(((P306-B306*INT(P306/B306)))/C306)/100)+(1-(B306/C306/100)),(INT(P306/B306)+(((P306-B306*INT(P306/B306)))/C306)/100))))</f>
        <v>0</v>
      </c>
      <c r="BB306" s="28">
        <f>R306</f>
        <v>0</v>
      </c>
      <c r="BC306" s="28">
        <f>S306</f>
        <v>0</v>
      </c>
      <c r="BD306" s="28">
        <f>AF306</f>
        <v>0</v>
      </c>
      <c r="BE306" s="28">
        <f>T306</f>
        <v>0</v>
      </c>
      <c r="BG306" s="57">
        <f>IF(ISERROR(IF(B306=C306,V306/C306,(INT(V306/B306)+(((V306-B306*INT(V306/B306)))/C306)/100))),0,(IF(B306=C306,V306/C306,(INT(V306/B306)+(((V306-B306*INT(V306/B306)))/C306)/100))))</f>
        <v>0</v>
      </c>
      <c r="BH306" s="57">
        <f>IF(ISERROR(IF(B306=C306,W306/C306,(INT(W306/B306)+(((W306-B306*INT(W306/B306)))/C306)/100))),0,(IF(B306=C306,W306/C306,(INT(W306/B306)+(((W306-B306*INT(W306/B306)))/C306)/100))))</f>
        <v>0</v>
      </c>
      <c r="BI306" s="57">
        <f>IF(ISERROR(IF(B306=C306,X306/C306,(INT(X306/B306)+(((X306-B306*INT(X306/B306)))/C306)/100))),0,(IF(B306=C306,X306/C306,(INT(X306/B306)+(((X306-B306*INT(X306/B306)))/C306)/100))))</f>
        <v>0</v>
      </c>
      <c r="BJ306" s="57">
        <f>IF(ISERROR(IF(B306=C306,Y306/C306,(INT(Y306/B306)+(((Y306-B306*INT(Y306/B306)))/C306)/100))),0,(IF(B306=C306,Y306/C306,(INT(Y306/B306)+(((Y306-B306*INT(Y306/B306)))/C306)/100))))</f>
        <v>0</v>
      </c>
      <c r="BL306" s="57">
        <f>IF(ISERROR(IF(B306=C306,AA306/C306,(INT(AA306/B306)+(((AA306-B306*INT(AA306/B306)))/C306)/100))),0,(IF(B306=C306,AA306/C306,(INT(AA306/B306)+(((AA306-B306*INT(AA306/B306)))/C306)/100))))</f>
        <v>0</v>
      </c>
      <c r="BM306" s="57">
        <f>IF(ISERROR(IF(B306=C306,AB306/C306,(INT(AB306/B306)+(((AB306-B306*INT(AB306/B306)))/C306)/100))),0,(IF(B306=C306,AB306/C306,(INT(AB306/B306)+(((AB306-B306*INT(AB306/B306)))/C306)/100))))</f>
        <v>0</v>
      </c>
      <c r="BN306" s="57">
        <f>IF(ISERROR(IF(B306=C306,AC306/C306,(INT(AC306/B306)+(((AC306-B306*INT(AC306/B306)))/C306)/100))),0,(IF(B306=C306,AC306/C306,(INT(AC306/B306)+(((AC306-B306*INT(AC306/B306)))/C306)/100))))</f>
        <v>0</v>
      </c>
      <c r="BO306" s="57">
        <f>IF(ISERROR(IF(B306=C306,AD306/C306,(INT(AD306/B306)+(((AD306-B306*INT(AD306/B306)))/C306)/100))),0,(IF(B306=C306,AD306/C306,(INT(AD306/B306)+(((AD306-B306*INT(AD306/B306)))/C306)/100))))</f>
        <v>0</v>
      </c>
      <c r="BQ306" s="155"/>
    </row>
    <row r="307" spans="1:69" hidden="1" x14ac:dyDescent="0.35">
      <c r="A307" s="134"/>
      <c r="B307" s="113">
        <v>700</v>
      </c>
      <c r="C307" s="113">
        <v>30</v>
      </c>
      <c r="D307" s="28">
        <f>SUM(AA307:AD307)</f>
        <v>0</v>
      </c>
      <c r="E307" s="113">
        <v>0</v>
      </c>
      <c r="F307" s="113">
        <v>0</v>
      </c>
      <c r="G307" s="28">
        <f>SUM(D307:F307)</f>
        <v>0</v>
      </c>
      <c r="H307" s="125">
        <v>0</v>
      </c>
      <c r="I307" s="113">
        <v>0</v>
      </c>
      <c r="J307" s="125">
        <v>0</v>
      </c>
      <c r="K307" s="113">
        <v>0</v>
      </c>
      <c r="L307" s="113">
        <v>0</v>
      </c>
      <c r="M307" s="113">
        <v>0</v>
      </c>
      <c r="N307" s="28">
        <f>G307-SUM(H307:M307)</f>
        <v>0</v>
      </c>
      <c r="O307" s="28">
        <f>SUM(V307:Y307)</f>
        <v>0</v>
      </c>
      <c r="P307" s="28">
        <f>O307-N307</f>
        <v>0</v>
      </c>
      <c r="Q307" s="61" t="str">
        <f>IF(ISERROR(P307/SUM(H307:L307)),"",P307/SUM(H307:L307))</f>
        <v/>
      </c>
      <c r="R307" s="113">
        <v>0</v>
      </c>
      <c r="S307" s="28">
        <f>IF(ISERROR(P307/C307*R307),0,(P307/C307*R307))</f>
        <v>0</v>
      </c>
      <c r="T307" s="60">
        <f>IF(ISERROR(P307/B307*AF307),0,(P307/B307*AF307))</f>
        <v>0</v>
      </c>
      <c r="V307" s="113">
        <v>0</v>
      </c>
      <c r="W307" s="113">
        <v>0</v>
      </c>
      <c r="X307" s="113">
        <v>0</v>
      </c>
      <c r="Y307" s="113">
        <v>0</v>
      </c>
      <c r="AA307" s="113">
        <v>0</v>
      </c>
      <c r="AB307" s="113">
        <v>0</v>
      </c>
      <c r="AC307" s="113">
        <v>0</v>
      </c>
      <c r="AD307" s="113">
        <v>0</v>
      </c>
      <c r="AF307" s="113">
        <v>0</v>
      </c>
      <c r="AG307" s="28">
        <f>G307-O307</f>
        <v>0</v>
      </c>
      <c r="AH307" s="58">
        <f>IF(ISERROR(AG307/B307*AF307),0,(AG307/B307*AF307))</f>
        <v>0</v>
      </c>
      <c r="AI307" s="28">
        <f>SUM(H307:M307)</f>
        <v>0</v>
      </c>
      <c r="AJ307" s="28">
        <f>IF(ISERROR(AI307/B307*AF307),0,(AI307/B307*AF307))</f>
        <v>0</v>
      </c>
      <c r="AK307" s="58">
        <f>IF(ISERROR(O307/B307*AF307),0,(O307/B307*AF307))</f>
        <v>0</v>
      </c>
      <c r="AL307" s="28">
        <f>IF(ISERROR(H307/B307*AF307),0,(H307/B307*AF307))</f>
        <v>0</v>
      </c>
      <c r="AN307" s="51">
        <f>A307</f>
        <v>0</v>
      </c>
      <c r="AO307" s="57">
        <f>IF(ISERROR(IF(B307=C307,D307/C307,(INT(D307/B307)+(((D307-B307*INT(D307/B307)))/C307)/100))),0,(IF(B307=C307,D307/C307,(INT(D307/B307)+(((D307-B307*INT(D307/B307)))/C307)/100))))</f>
        <v>0</v>
      </c>
      <c r="AP307" s="57">
        <f>IF(ISERROR(IF(B307=C307,E307/C307,(INT(E307/B307)+(((E307-B307*INT(E307/B307)))/C307)/100))),0,(IF(B307=C307,E307/C307,(INT(E307/B307)+(((E307-B307*INT(E307/B307)))/C307)/100))))</f>
        <v>0</v>
      </c>
      <c r="AQ307" s="57">
        <f>IF(ISERROR(IF(B307=C307,F307/C307,IF((INT(F307/B307)+(((F307-B307*INT(F307/B307)))/C307)/100)&lt;0,(INT(F307/B307)+(((F307-B307*INT(F307/B307)))/C307)/100)+(1-(B307/C307/100)),(INT(F307/B307)+(((F307-B307*INT(F307/B307)))/C307)/100)))),0,IF(B307=C307,F307/C307,IF((INT(F307/B307)+(((F307-B307*INT(F307/B307)))/C307)/100)&lt;0,(INT(F307/B307)+(((F307-B307*INT(F307/B307)))/C307)/100)+(1-(B307/C307/100)),(INT(F307/B307)+(((F307-B307*INT(F307/B307)))/C307)/100))))</f>
        <v>0</v>
      </c>
      <c r="AR307" s="57">
        <f>IF(ISERROR(IF(B307=C307,G307/C307,(INT(G307/B307)+(((G307-B307*INT(G307/B307)))/C307)/100))),0,(IF(B307=C307,G307/C307,(INT(G307/B307)+(((G307-B307*INT(G307/B307)))/C307)/100))))</f>
        <v>0</v>
      </c>
      <c r="AS307" s="57">
        <f>IF(ISERROR(IF(B307=C307,H307/C307,(INT(H307/B307)+(((H307-B307*INT(H307/B307)))/C307)/100))),0,(IF(B307=C307,H307/C307,(INT(H307/B307)+(((H307-B307*INT(H307/B307)))/C307)/100))))</f>
        <v>0</v>
      </c>
      <c r="AT307" s="57">
        <f>IF(ISERROR(IF(B307=C307,I307/C307,(INT(I307/B307)+(((I307-B307*INT(I307/B307)))/C307)/100))),0,(IF(B307=C307,I307/C307,(INT(I307/B307)+(((I307-B307*INT(I307/B307)))/C307)/100))))</f>
        <v>0</v>
      </c>
      <c r="AU307" s="57">
        <f>IF(ISERROR(IF(B307=C307,J307/C307,(INT(J307/B307)+(((J307-B307*INT(J307/B307)))/C307)/100))),0,(IF(B307=C307,J307/C307,(INT(J307/B307)+(((J307-B307*INT(J307/B307)))/C307)/100))))</f>
        <v>0</v>
      </c>
      <c r="AV307" s="57">
        <f>IF(ISERROR(IF(B307=C307,K307/C307,IF((INT(K307/B307)+(((K307-B307*INT(K307/B307)))/C307)/100)&lt;0,(INT(K307/B307)+(((K307-B307*INT(K307/B307)))/C307)/100)+(1-(B307/C307/100)),(INT(K307/B307)+(((K307-B307*INT(K307/B307)))/C307)/100)))),0,IF(B307=C307,K307/C307,IF((INT(K307/B307)+(((K307-B307*INT(K307/B307)))/C307)/100)&lt;0,(INT(K307/B307)+(((K307-B307*INT(K307/B307)))/C307)/100)+(1-(B307/C307/100)),(INT(K307/B307)+(((K307-B307*INT(K307/B307)))/C307)/100))))</f>
        <v>0</v>
      </c>
      <c r="AW307" s="57">
        <f>IF(ISERROR(IF(B307=C307,L307/C307,(INT(L307/B307)+(((L307-B307*INT(L307/B307)))/C307)/100))),0,(IF(B307=C307,L307/C307,(INT(L307/B307)+(((L307-B307*INT(L307/B307)))/C307)/100))))</f>
        <v>0</v>
      </c>
      <c r="AX307" s="57">
        <f>IF(ISERROR(IF(B307=C307,M307/C307,(INT(M307/B307)+(((M307-B307*INT(M307/B307)))/C307)/100))),0,(IF(B307=C307,M307/C307,(INT(M307/B307)+(((M307-B307*INT(M307/B307)))/C307)/100))))</f>
        <v>0</v>
      </c>
      <c r="AY307" s="57">
        <f>IF(ISERROR(IF(B307=C307,N307/C307,IF((INT(N307/B307)+(((N307-B307*INT(N307/B307)))/C307)/100)&lt;0,(INT(N307/B307)+(((N307-B307*INT(N307/B307)))/C307)/100)+(1-(B307/C307/100)),(INT(N307/B307)+(((N307-B307*INT(N307/B307)))/C307)/100)))),0,IF(B307=C307,N307/C307,IF((INT(N307/B307)+(((N307-B307*INT(N307/B307)))/C307)/100)&lt;0,(INT(N307/B307)+(((N307-B307*INT(N307/B307)))/C307)/100)+(1-(B307/C307/100)),(INT(N307/B307)+(((N307-B307*INT(N307/B307)))/C307)/100))))</f>
        <v>0</v>
      </c>
      <c r="AZ307" s="57">
        <f>IF(ISERROR(IF(B307=C307,O307/C307,(INT(O307/B307)+(((O307-B307*INT(O307/B307)))/C307)/100))),0,(IF(B307=C307,O307/C307,(INT(O307/B307)+(((O307-B307*INT(O307/B307)))/C307)/100))))</f>
        <v>0</v>
      </c>
      <c r="BA307" s="57">
        <f>IF(ISERROR(IF(B307=C307,P307/C307,IF((INT(P307/B307)+(((P307-B307*INT(P307/B307)))/C307)/100)&lt;0,(INT(P307/B307)+(((P307-B307*INT(P307/B307)))/C307)/100)+(1-(B307/C307/100)),(INT(P307/B307)+(((P307-B307*INT(P307/B307)))/C307)/100)))),0,IF(B307=C307,P307/C307,IF((INT(P307/B307)+(((P307-B307*INT(P307/B307)))/C307)/100)&lt;0,(INT(P307/B307)+(((P307-B307*INT(P307/B307)))/C307)/100)+(1-(B307/C307/100)),(INT(P307/B307)+(((P307-B307*INT(P307/B307)))/C307)/100))))</f>
        <v>0</v>
      </c>
      <c r="BB307" s="28">
        <f>R307</f>
        <v>0</v>
      </c>
      <c r="BC307" s="28">
        <f>S307</f>
        <v>0</v>
      </c>
      <c r="BD307" s="28">
        <f>AF307</f>
        <v>0</v>
      </c>
      <c r="BE307" s="28">
        <f>T307</f>
        <v>0</v>
      </c>
      <c r="BG307" s="57">
        <f>IF(ISERROR(IF(B307=C307,V307/C307,(INT(V307/B307)+(((V307-B307*INT(V307/B307)))/C307)/100))),0,(IF(B307=C307,V307/C307,(INT(V307/B307)+(((V307-B307*INT(V307/B307)))/C307)/100))))</f>
        <v>0</v>
      </c>
      <c r="BH307" s="57">
        <f>IF(ISERROR(IF(B307=C307,W307/C307,(INT(W307/B307)+(((W307-B307*INT(W307/B307)))/C307)/100))),0,(IF(B307=C307,W307/C307,(INT(W307/B307)+(((W307-B307*INT(W307/B307)))/C307)/100))))</f>
        <v>0</v>
      </c>
      <c r="BI307" s="57">
        <f>IF(ISERROR(IF(B307=C307,X307/C307,(INT(X307/B307)+(((X307-B307*INT(X307/B307)))/C307)/100))),0,(IF(B307=C307,X307/C307,(INT(X307/B307)+(((X307-B307*INT(X307/B307)))/C307)/100))))</f>
        <v>0</v>
      </c>
      <c r="BJ307" s="57">
        <f>IF(ISERROR(IF(B307=C307,Y307/C307,(INT(Y307/B307)+(((Y307-B307*INT(Y307/B307)))/C307)/100))),0,(IF(B307=C307,Y307/C307,(INT(Y307/B307)+(((Y307-B307*INT(Y307/B307)))/C307)/100))))</f>
        <v>0</v>
      </c>
      <c r="BL307" s="57">
        <f>IF(ISERROR(IF(B307=C307,AA307/C307,(INT(AA307/B307)+(((AA307-B307*INT(AA307/B307)))/C307)/100))),0,(IF(B307=C307,AA307/C307,(INT(AA307/B307)+(((AA307-B307*INT(AA307/B307)))/C307)/100))))</f>
        <v>0</v>
      </c>
      <c r="BM307" s="57">
        <f>IF(ISERROR(IF(B307=C307,AB307/C307,(INT(AB307/B307)+(((AB307-B307*INT(AB307/B307)))/C307)/100))),0,(IF(B307=C307,AB307/C307,(INT(AB307/B307)+(((AB307-B307*INT(AB307/B307)))/C307)/100))))</f>
        <v>0</v>
      </c>
      <c r="BN307" s="57">
        <f>IF(ISERROR(IF(B307=C307,AC307/C307,(INT(AC307/B307)+(((AC307-B307*INT(AC307/B307)))/C307)/100))),0,(IF(B307=C307,AC307/C307,(INT(AC307/B307)+(((AC307-B307*INT(AC307/B307)))/C307)/100))))</f>
        <v>0</v>
      </c>
      <c r="BO307" s="57">
        <f>IF(ISERROR(IF(B307=C307,AD307/C307,(INT(AD307/B307)+(((AD307-B307*INT(AD307/B307)))/C307)/100))),0,(IF(B307=C307,AD307/C307,(INT(AD307/B307)+(((AD307-B307*INT(AD307/B307)))/C307)/100))))</f>
        <v>0</v>
      </c>
      <c r="BQ307" s="155"/>
    </row>
    <row r="308" spans="1:69" hidden="1" x14ac:dyDescent="0.35">
      <c r="A308" s="134"/>
      <c r="B308" s="113">
        <v>700</v>
      </c>
      <c r="C308" s="113">
        <v>30</v>
      </c>
      <c r="D308" s="28">
        <f>SUM(AA308:AD308)</f>
        <v>0</v>
      </c>
      <c r="E308" s="113">
        <v>0</v>
      </c>
      <c r="F308" s="113">
        <v>0</v>
      </c>
      <c r="G308" s="28">
        <f>SUM(D308:F308)</f>
        <v>0</v>
      </c>
      <c r="H308" s="125">
        <v>0</v>
      </c>
      <c r="I308" s="113">
        <v>0</v>
      </c>
      <c r="J308" s="125">
        <v>0</v>
      </c>
      <c r="K308" s="113">
        <v>0</v>
      </c>
      <c r="L308" s="113">
        <v>0</v>
      </c>
      <c r="M308" s="113">
        <v>0</v>
      </c>
      <c r="N308" s="28">
        <f>G308-SUM(H308:M308)</f>
        <v>0</v>
      </c>
      <c r="O308" s="28">
        <f>SUM(V308:Y308)</f>
        <v>0</v>
      </c>
      <c r="P308" s="28">
        <f>O308-N308</f>
        <v>0</v>
      </c>
      <c r="Q308" s="61" t="str">
        <f>IF(ISERROR(P308/SUM(H308:L308)),"",P308/SUM(H308:L308))</f>
        <v/>
      </c>
      <c r="R308" s="113">
        <v>0</v>
      </c>
      <c r="S308" s="28">
        <f>IF(ISERROR(P308/C308*R308),0,(P308/C308*R308))</f>
        <v>0</v>
      </c>
      <c r="T308" s="60">
        <f>IF(ISERROR(P308/B308*AF308),0,(P308/B308*AF308))</f>
        <v>0</v>
      </c>
      <c r="V308" s="113">
        <v>0</v>
      </c>
      <c r="W308" s="113">
        <v>0</v>
      </c>
      <c r="X308" s="113">
        <v>0</v>
      </c>
      <c r="Y308" s="113">
        <v>0</v>
      </c>
      <c r="AA308" s="113">
        <v>0</v>
      </c>
      <c r="AB308" s="113">
        <v>0</v>
      </c>
      <c r="AC308" s="113">
        <v>0</v>
      </c>
      <c r="AD308" s="113">
        <v>0</v>
      </c>
      <c r="AF308" s="113">
        <v>0</v>
      </c>
      <c r="AG308" s="28">
        <f>G308-O308</f>
        <v>0</v>
      </c>
      <c r="AH308" s="58">
        <f>IF(ISERROR(AG308/B308*AF308),0,(AG308/B308*AF308))</f>
        <v>0</v>
      </c>
      <c r="AI308" s="28">
        <f>SUM(H308:M308)</f>
        <v>0</v>
      </c>
      <c r="AJ308" s="28">
        <f>IF(ISERROR(AI308/B308*AF308),0,(AI308/B308*AF308))</f>
        <v>0</v>
      </c>
      <c r="AK308" s="58">
        <f>IF(ISERROR(O308/B308*AF308),0,(O308/B308*AF308))</f>
        <v>0</v>
      </c>
      <c r="AL308" s="28">
        <f>IF(ISERROR(H308/B308*AF308),0,(H308/B308*AF308))</f>
        <v>0</v>
      </c>
      <c r="AN308" s="51">
        <f>A308</f>
        <v>0</v>
      </c>
      <c r="AO308" s="57">
        <f>IF(ISERROR(IF(B308=C308,D308/C308,(INT(D308/B308)+(((D308-B308*INT(D308/B308)))/C308)/100))),0,(IF(B308=C308,D308/C308,(INT(D308/B308)+(((D308-B308*INT(D308/B308)))/C308)/100))))</f>
        <v>0</v>
      </c>
      <c r="AP308" s="57">
        <f>IF(ISERROR(IF(B308=C308,E308/C308,(INT(E308/B308)+(((E308-B308*INT(E308/B308)))/C308)/100))),0,(IF(B308=C308,E308/C308,(INT(E308/B308)+(((E308-B308*INT(E308/B308)))/C308)/100))))</f>
        <v>0</v>
      </c>
      <c r="AQ308" s="57">
        <f>IF(ISERROR(IF(B308=C308,F308/C308,IF((INT(F308/B308)+(((F308-B308*INT(F308/B308)))/C308)/100)&lt;0,(INT(F308/B308)+(((F308-B308*INT(F308/B308)))/C308)/100)+(1-(B308/C308/100)),(INT(F308/B308)+(((F308-B308*INT(F308/B308)))/C308)/100)))),0,IF(B308=C308,F308/C308,IF((INT(F308/B308)+(((F308-B308*INT(F308/B308)))/C308)/100)&lt;0,(INT(F308/B308)+(((F308-B308*INT(F308/B308)))/C308)/100)+(1-(B308/C308/100)),(INT(F308/B308)+(((F308-B308*INT(F308/B308)))/C308)/100))))</f>
        <v>0</v>
      </c>
      <c r="AR308" s="57">
        <f>IF(ISERROR(IF(B308=C308,G308/C308,(INT(G308/B308)+(((G308-B308*INT(G308/B308)))/C308)/100))),0,(IF(B308=C308,G308/C308,(INT(G308/B308)+(((G308-B308*INT(G308/B308)))/C308)/100))))</f>
        <v>0</v>
      </c>
      <c r="AS308" s="57">
        <f>IF(ISERROR(IF(B308=C308,H308/C308,(INT(H308/B308)+(((H308-B308*INT(H308/B308)))/C308)/100))),0,(IF(B308=C308,H308/C308,(INT(H308/B308)+(((H308-B308*INT(H308/B308)))/C308)/100))))</f>
        <v>0</v>
      </c>
      <c r="AT308" s="57">
        <f>IF(ISERROR(IF(B308=C308,I308/C308,(INT(I308/B308)+(((I308-B308*INT(I308/B308)))/C308)/100))),0,(IF(B308=C308,I308/C308,(INT(I308/B308)+(((I308-B308*INT(I308/B308)))/C308)/100))))</f>
        <v>0</v>
      </c>
      <c r="AU308" s="57">
        <f>IF(ISERROR(IF(B308=C308,J308/C308,(INT(J308/B308)+(((J308-B308*INT(J308/B308)))/C308)/100))),0,(IF(B308=C308,J308/C308,(INT(J308/B308)+(((J308-B308*INT(J308/B308)))/C308)/100))))</f>
        <v>0</v>
      </c>
      <c r="AV308" s="57">
        <f>IF(ISERROR(IF(B308=C308,K308/C308,IF((INT(K308/B308)+(((K308-B308*INT(K308/B308)))/C308)/100)&lt;0,(INT(K308/B308)+(((K308-B308*INT(K308/B308)))/C308)/100)+(1-(B308/C308/100)),(INT(K308/B308)+(((K308-B308*INT(K308/B308)))/C308)/100)))),0,IF(B308=C308,K308/C308,IF((INT(K308/B308)+(((K308-B308*INT(K308/B308)))/C308)/100)&lt;0,(INT(K308/B308)+(((K308-B308*INT(K308/B308)))/C308)/100)+(1-(B308/C308/100)),(INT(K308/B308)+(((K308-B308*INT(K308/B308)))/C308)/100))))</f>
        <v>0</v>
      </c>
      <c r="AW308" s="57">
        <f>IF(ISERROR(IF(B308=C308,L308/C308,(INT(L308/B308)+(((L308-B308*INT(L308/B308)))/C308)/100))),0,(IF(B308=C308,L308/C308,(INT(L308/B308)+(((L308-B308*INT(L308/B308)))/C308)/100))))</f>
        <v>0</v>
      </c>
      <c r="AX308" s="57">
        <f>IF(ISERROR(IF(B308=C308,M308/C308,(INT(M308/B308)+(((M308-B308*INT(M308/B308)))/C308)/100))),0,(IF(B308=C308,M308/C308,(INT(M308/B308)+(((M308-B308*INT(M308/B308)))/C308)/100))))</f>
        <v>0</v>
      </c>
      <c r="AY308" s="57">
        <f>IF(ISERROR(IF(B308=C308,N308/C308,IF((INT(N308/B308)+(((N308-B308*INT(N308/B308)))/C308)/100)&lt;0,(INT(N308/B308)+(((N308-B308*INT(N308/B308)))/C308)/100)+(1-(B308/C308/100)),(INT(N308/B308)+(((N308-B308*INT(N308/B308)))/C308)/100)))),0,IF(B308=C308,N308/C308,IF((INT(N308/B308)+(((N308-B308*INT(N308/B308)))/C308)/100)&lt;0,(INT(N308/B308)+(((N308-B308*INT(N308/B308)))/C308)/100)+(1-(B308/C308/100)),(INT(N308/B308)+(((N308-B308*INT(N308/B308)))/C308)/100))))</f>
        <v>0</v>
      </c>
      <c r="AZ308" s="57">
        <f>IF(ISERROR(IF(B308=C308,O308/C308,(INT(O308/B308)+(((O308-B308*INT(O308/B308)))/C308)/100))),0,(IF(B308=C308,O308/C308,(INT(O308/B308)+(((O308-B308*INT(O308/B308)))/C308)/100))))</f>
        <v>0</v>
      </c>
      <c r="BA308" s="57">
        <f>IF(ISERROR(IF(B308=C308,P308/C308,IF((INT(P308/B308)+(((P308-B308*INT(P308/B308)))/C308)/100)&lt;0,(INT(P308/B308)+(((P308-B308*INT(P308/B308)))/C308)/100)+(1-(B308/C308/100)),(INT(P308/B308)+(((P308-B308*INT(P308/B308)))/C308)/100)))),0,IF(B308=C308,P308/C308,IF((INT(P308/B308)+(((P308-B308*INT(P308/B308)))/C308)/100)&lt;0,(INT(P308/B308)+(((P308-B308*INT(P308/B308)))/C308)/100)+(1-(B308/C308/100)),(INT(P308/B308)+(((P308-B308*INT(P308/B308)))/C308)/100))))</f>
        <v>0</v>
      </c>
      <c r="BB308" s="28">
        <f>R308</f>
        <v>0</v>
      </c>
      <c r="BC308" s="28">
        <f>S308</f>
        <v>0</v>
      </c>
      <c r="BD308" s="28">
        <f>AF308</f>
        <v>0</v>
      </c>
      <c r="BE308" s="28">
        <f>T308</f>
        <v>0</v>
      </c>
      <c r="BG308" s="57">
        <f>IF(ISERROR(IF(B308=C308,V308/C308,(INT(V308/B308)+(((V308-B308*INT(V308/B308)))/C308)/100))),0,(IF(B308=C308,V308/C308,(INT(V308/B308)+(((V308-B308*INT(V308/B308)))/C308)/100))))</f>
        <v>0</v>
      </c>
      <c r="BH308" s="57">
        <f>IF(ISERROR(IF(B308=C308,W308/C308,(INT(W308/B308)+(((W308-B308*INT(W308/B308)))/C308)/100))),0,(IF(B308=C308,W308/C308,(INT(W308/B308)+(((W308-B308*INT(W308/B308)))/C308)/100))))</f>
        <v>0</v>
      </c>
      <c r="BI308" s="57">
        <f>IF(ISERROR(IF(B308=C308,X308/C308,(INT(X308/B308)+(((X308-B308*INT(X308/B308)))/C308)/100))),0,(IF(B308=C308,X308/C308,(INT(X308/B308)+(((X308-B308*INT(X308/B308)))/C308)/100))))</f>
        <v>0</v>
      </c>
      <c r="BJ308" s="57">
        <f>IF(ISERROR(IF(B308=C308,Y308/C308,(INT(Y308/B308)+(((Y308-B308*INT(Y308/B308)))/C308)/100))),0,(IF(B308=C308,Y308/C308,(INT(Y308/B308)+(((Y308-B308*INT(Y308/B308)))/C308)/100))))</f>
        <v>0</v>
      </c>
      <c r="BL308" s="57">
        <f>IF(ISERROR(IF(B308=C308,AA308/C308,(INT(AA308/B308)+(((AA308-B308*INT(AA308/B308)))/C308)/100))),0,(IF(B308=C308,AA308/C308,(INT(AA308/B308)+(((AA308-B308*INT(AA308/B308)))/C308)/100))))</f>
        <v>0</v>
      </c>
      <c r="BM308" s="57">
        <f>IF(ISERROR(IF(B308=C308,AB308/C308,(INT(AB308/B308)+(((AB308-B308*INT(AB308/B308)))/C308)/100))),0,(IF(B308=C308,AB308/C308,(INT(AB308/B308)+(((AB308-B308*INT(AB308/B308)))/C308)/100))))</f>
        <v>0</v>
      </c>
      <c r="BN308" s="57">
        <f>IF(ISERROR(IF(B308=C308,AC308/C308,(INT(AC308/B308)+(((AC308-B308*INT(AC308/B308)))/C308)/100))),0,(IF(B308=C308,AC308/C308,(INT(AC308/B308)+(((AC308-B308*INT(AC308/B308)))/C308)/100))))</f>
        <v>0</v>
      </c>
      <c r="BO308" s="57">
        <f>IF(ISERROR(IF(B308=C308,AD308/C308,(INT(AD308/B308)+(((AD308-B308*INT(AD308/B308)))/C308)/100))),0,(IF(B308=C308,AD308/C308,(INT(AD308/B308)+(((AD308-B308*INT(AD308/B308)))/C308)/100))))</f>
        <v>0</v>
      </c>
      <c r="BQ308" s="155"/>
    </row>
    <row r="309" spans="1:69" hidden="1" x14ac:dyDescent="0.35">
      <c r="A309" s="134"/>
      <c r="B309" s="113">
        <v>700</v>
      </c>
      <c r="C309" s="113">
        <v>30</v>
      </c>
      <c r="D309" s="28">
        <f>SUM(AA309:AD309)</f>
        <v>0</v>
      </c>
      <c r="E309" s="113">
        <v>0</v>
      </c>
      <c r="F309" s="113">
        <v>0</v>
      </c>
      <c r="G309" s="28">
        <f>SUM(D309:F309)</f>
        <v>0</v>
      </c>
      <c r="H309" s="125">
        <v>0</v>
      </c>
      <c r="I309" s="113">
        <v>0</v>
      </c>
      <c r="J309" s="125">
        <v>0</v>
      </c>
      <c r="K309" s="113">
        <v>0</v>
      </c>
      <c r="L309" s="113">
        <v>0</v>
      </c>
      <c r="M309" s="113">
        <v>0</v>
      </c>
      <c r="N309" s="28">
        <f>G309-SUM(H309:M309)</f>
        <v>0</v>
      </c>
      <c r="O309" s="28">
        <f>SUM(V309:Y309)</f>
        <v>0</v>
      </c>
      <c r="P309" s="28">
        <f>O309-N309</f>
        <v>0</v>
      </c>
      <c r="Q309" s="61" t="str">
        <f>IF(ISERROR(P309/SUM(H309:L309)),"",P309/SUM(H309:L309))</f>
        <v/>
      </c>
      <c r="R309" s="113">
        <v>0</v>
      </c>
      <c r="S309" s="28">
        <f>IF(ISERROR(P309/C309*R309),0,(P309/C309*R309))</f>
        <v>0</v>
      </c>
      <c r="T309" s="60">
        <f>IF(ISERROR(P309/B309*AF309),0,(P309/B309*AF309))</f>
        <v>0</v>
      </c>
      <c r="V309" s="113">
        <v>0</v>
      </c>
      <c r="W309" s="113">
        <v>0</v>
      </c>
      <c r="X309" s="113">
        <v>0</v>
      </c>
      <c r="Y309" s="113">
        <v>0</v>
      </c>
      <c r="AA309" s="113">
        <v>0</v>
      </c>
      <c r="AB309" s="113">
        <v>0</v>
      </c>
      <c r="AC309" s="113">
        <v>0</v>
      </c>
      <c r="AD309" s="113">
        <v>0</v>
      </c>
      <c r="AF309" s="113">
        <v>0</v>
      </c>
      <c r="AG309" s="28">
        <f>G309-O309</f>
        <v>0</v>
      </c>
      <c r="AH309" s="58">
        <f>IF(ISERROR(AG309/B309*AF309),0,(AG309/B309*AF309))</f>
        <v>0</v>
      </c>
      <c r="AI309" s="28">
        <f>SUM(H309:M309)</f>
        <v>0</v>
      </c>
      <c r="AJ309" s="28">
        <f>IF(ISERROR(AI309/B309*AF309),0,(AI309/B309*AF309))</f>
        <v>0</v>
      </c>
      <c r="AK309" s="58">
        <f>IF(ISERROR(O309/B309*AF309),0,(O309/B309*AF309))</f>
        <v>0</v>
      </c>
      <c r="AL309" s="28">
        <f>IF(ISERROR(H309/B309*AF309),0,(H309/B309*AF309))</f>
        <v>0</v>
      </c>
      <c r="AN309" s="51">
        <f>A309</f>
        <v>0</v>
      </c>
      <c r="AO309" s="57">
        <f>IF(ISERROR(IF(B309=C309,D309/C309,(INT(D309/B309)+(((D309-B309*INT(D309/B309)))/C309)/100))),0,(IF(B309=C309,D309/C309,(INT(D309/B309)+(((D309-B309*INT(D309/B309)))/C309)/100))))</f>
        <v>0</v>
      </c>
      <c r="AP309" s="57">
        <f>IF(ISERROR(IF(B309=C309,E309/C309,(INT(E309/B309)+(((E309-B309*INT(E309/B309)))/C309)/100))),0,(IF(B309=C309,E309/C309,(INT(E309/B309)+(((E309-B309*INT(E309/B309)))/C309)/100))))</f>
        <v>0</v>
      </c>
      <c r="AQ309" s="57">
        <f>IF(ISERROR(IF(B309=C309,F309/C309,IF((INT(F309/B309)+(((F309-B309*INT(F309/B309)))/C309)/100)&lt;0,(INT(F309/B309)+(((F309-B309*INT(F309/B309)))/C309)/100)+(1-(B309/C309/100)),(INT(F309/B309)+(((F309-B309*INT(F309/B309)))/C309)/100)))),0,IF(B309=C309,F309/C309,IF((INT(F309/B309)+(((F309-B309*INT(F309/B309)))/C309)/100)&lt;0,(INT(F309/B309)+(((F309-B309*INT(F309/B309)))/C309)/100)+(1-(B309/C309/100)),(INT(F309/B309)+(((F309-B309*INT(F309/B309)))/C309)/100))))</f>
        <v>0</v>
      </c>
      <c r="AR309" s="57">
        <f>IF(ISERROR(IF(B309=C309,G309/C309,(INT(G309/B309)+(((G309-B309*INT(G309/B309)))/C309)/100))),0,(IF(B309=C309,G309/C309,(INT(G309/B309)+(((G309-B309*INT(G309/B309)))/C309)/100))))</f>
        <v>0</v>
      </c>
      <c r="AS309" s="57">
        <f>IF(ISERROR(IF(B309=C309,H309/C309,(INT(H309/B309)+(((H309-B309*INT(H309/B309)))/C309)/100))),0,(IF(B309=C309,H309/C309,(INT(H309/B309)+(((H309-B309*INT(H309/B309)))/C309)/100))))</f>
        <v>0</v>
      </c>
      <c r="AT309" s="57">
        <f>IF(ISERROR(IF(B309=C309,I309/C309,(INT(I309/B309)+(((I309-B309*INT(I309/B309)))/C309)/100))),0,(IF(B309=C309,I309/C309,(INT(I309/B309)+(((I309-B309*INT(I309/B309)))/C309)/100))))</f>
        <v>0</v>
      </c>
      <c r="AU309" s="57">
        <f>IF(ISERROR(IF(B309=C309,J309/C309,(INT(J309/B309)+(((J309-B309*INT(J309/B309)))/C309)/100))),0,(IF(B309=C309,J309/C309,(INT(J309/B309)+(((J309-B309*INT(J309/B309)))/C309)/100))))</f>
        <v>0</v>
      </c>
      <c r="AV309" s="57">
        <f>IF(ISERROR(IF(B309=C309,K309/C309,IF((INT(K309/B309)+(((K309-B309*INT(K309/B309)))/C309)/100)&lt;0,(INT(K309/B309)+(((K309-B309*INT(K309/B309)))/C309)/100)+(1-(B309/C309/100)),(INT(K309/B309)+(((K309-B309*INT(K309/B309)))/C309)/100)))),0,IF(B309=C309,K309/C309,IF((INT(K309/B309)+(((K309-B309*INT(K309/B309)))/C309)/100)&lt;0,(INT(K309/B309)+(((K309-B309*INT(K309/B309)))/C309)/100)+(1-(B309/C309/100)),(INT(K309/B309)+(((K309-B309*INT(K309/B309)))/C309)/100))))</f>
        <v>0</v>
      </c>
      <c r="AW309" s="57">
        <f>IF(ISERROR(IF(B309=C309,L309/C309,(INT(L309/B309)+(((L309-B309*INT(L309/B309)))/C309)/100))),0,(IF(B309=C309,L309/C309,(INT(L309/B309)+(((L309-B309*INT(L309/B309)))/C309)/100))))</f>
        <v>0</v>
      </c>
      <c r="AX309" s="57">
        <f>IF(ISERROR(IF(B309=C309,M309/C309,(INT(M309/B309)+(((M309-B309*INT(M309/B309)))/C309)/100))),0,(IF(B309=C309,M309/C309,(INT(M309/B309)+(((M309-B309*INT(M309/B309)))/C309)/100))))</f>
        <v>0</v>
      </c>
      <c r="AY309" s="57">
        <f>IF(ISERROR(IF(B309=C309,N309/C309,IF((INT(N309/B309)+(((N309-B309*INT(N309/B309)))/C309)/100)&lt;0,(INT(N309/B309)+(((N309-B309*INT(N309/B309)))/C309)/100)+(1-(B309/C309/100)),(INT(N309/B309)+(((N309-B309*INT(N309/B309)))/C309)/100)))),0,IF(B309=C309,N309/C309,IF((INT(N309/B309)+(((N309-B309*INT(N309/B309)))/C309)/100)&lt;0,(INT(N309/B309)+(((N309-B309*INT(N309/B309)))/C309)/100)+(1-(B309/C309/100)),(INT(N309/B309)+(((N309-B309*INT(N309/B309)))/C309)/100))))</f>
        <v>0</v>
      </c>
      <c r="AZ309" s="57">
        <f>IF(ISERROR(IF(B309=C309,O309/C309,(INT(O309/B309)+(((O309-B309*INT(O309/B309)))/C309)/100))),0,(IF(B309=C309,O309/C309,(INT(O309/B309)+(((O309-B309*INT(O309/B309)))/C309)/100))))</f>
        <v>0</v>
      </c>
      <c r="BA309" s="57">
        <f>IF(ISERROR(IF(B309=C309,P309/C309,IF((INT(P309/B309)+(((P309-B309*INT(P309/B309)))/C309)/100)&lt;0,(INT(P309/B309)+(((P309-B309*INT(P309/B309)))/C309)/100)+(1-(B309/C309/100)),(INT(P309/B309)+(((P309-B309*INT(P309/B309)))/C309)/100)))),0,IF(B309=C309,P309/C309,IF((INT(P309/B309)+(((P309-B309*INT(P309/B309)))/C309)/100)&lt;0,(INT(P309/B309)+(((P309-B309*INT(P309/B309)))/C309)/100)+(1-(B309/C309/100)),(INT(P309/B309)+(((P309-B309*INT(P309/B309)))/C309)/100))))</f>
        <v>0</v>
      </c>
      <c r="BB309" s="28">
        <f>R309</f>
        <v>0</v>
      </c>
      <c r="BC309" s="28">
        <f>S309</f>
        <v>0</v>
      </c>
      <c r="BD309" s="28">
        <f>AF309</f>
        <v>0</v>
      </c>
      <c r="BE309" s="28">
        <f>T309</f>
        <v>0</v>
      </c>
      <c r="BG309" s="57">
        <f>IF(ISERROR(IF(B309=C309,V309/C309,(INT(V309/B309)+(((V309-B309*INT(V309/B309)))/C309)/100))),0,(IF(B309=C309,V309/C309,(INT(V309/B309)+(((V309-B309*INT(V309/B309)))/C309)/100))))</f>
        <v>0</v>
      </c>
      <c r="BH309" s="57">
        <f>IF(ISERROR(IF(B309=C309,W309/C309,(INT(W309/B309)+(((W309-B309*INT(W309/B309)))/C309)/100))),0,(IF(B309=C309,W309/C309,(INT(W309/B309)+(((W309-B309*INT(W309/B309)))/C309)/100))))</f>
        <v>0</v>
      </c>
      <c r="BI309" s="57">
        <f>IF(ISERROR(IF(B309=C309,X309/C309,(INT(X309/B309)+(((X309-B309*INT(X309/B309)))/C309)/100))),0,(IF(B309=C309,X309/C309,(INT(X309/B309)+(((X309-B309*INT(X309/B309)))/C309)/100))))</f>
        <v>0</v>
      </c>
      <c r="BJ309" s="57">
        <f>IF(ISERROR(IF(B309=C309,Y309/C309,(INT(Y309/B309)+(((Y309-B309*INT(Y309/B309)))/C309)/100))),0,(IF(B309=C309,Y309/C309,(INT(Y309/B309)+(((Y309-B309*INT(Y309/B309)))/C309)/100))))</f>
        <v>0</v>
      </c>
      <c r="BL309" s="57">
        <f>IF(ISERROR(IF(B309=C309,AA309/C309,(INT(AA309/B309)+(((AA309-B309*INT(AA309/B309)))/C309)/100))),0,(IF(B309=C309,AA309/C309,(INT(AA309/B309)+(((AA309-B309*INT(AA309/B309)))/C309)/100))))</f>
        <v>0</v>
      </c>
      <c r="BM309" s="57">
        <f>IF(ISERROR(IF(B309=C309,AB309/C309,(INT(AB309/B309)+(((AB309-B309*INT(AB309/B309)))/C309)/100))),0,(IF(B309=C309,AB309/C309,(INT(AB309/B309)+(((AB309-B309*INT(AB309/B309)))/C309)/100))))</f>
        <v>0</v>
      </c>
      <c r="BN309" s="57">
        <f>IF(ISERROR(IF(B309=C309,AC309/C309,(INT(AC309/B309)+(((AC309-B309*INT(AC309/B309)))/C309)/100))),0,(IF(B309=C309,AC309/C309,(INT(AC309/B309)+(((AC309-B309*INT(AC309/B309)))/C309)/100))))</f>
        <v>0</v>
      </c>
      <c r="BO309" s="57">
        <f>IF(ISERROR(IF(B309=C309,AD309/C309,(INT(AD309/B309)+(((AD309-B309*INT(AD309/B309)))/C309)/100))),0,(IF(B309=C309,AD309/C309,(INT(AD309/B309)+(((AD309-B309*INT(AD309/B309)))/C309)/100))))</f>
        <v>0</v>
      </c>
      <c r="BQ309" s="155"/>
    </row>
    <row r="310" spans="1:69" hidden="1" x14ac:dyDescent="0.35">
      <c r="A310" s="94"/>
      <c r="B310" s="113">
        <v>700</v>
      </c>
      <c r="C310" s="113">
        <v>30</v>
      </c>
      <c r="D310" s="28">
        <f>SUM(AA310:AD310)</f>
        <v>0</v>
      </c>
      <c r="E310" s="113">
        <v>0</v>
      </c>
      <c r="F310" s="113">
        <v>0</v>
      </c>
      <c r="G310" s="28">
        <f>SUM(D310:F310)</f>
        <v>0</v>
      </c>
      <c r="H310" s="125">
        <v>0</v>
      </c>
      <c r="I310" s="113">
        <v>0</v>
      </c>
      <c r="J310" s="125">
        <v>0</v>
      </c>
      <c r="K310" s="113">
        <v>0</v>
      </c>
      <c r="L310" s="113">
        <v>0</v>
      </c>
      <c r="M310" s="113">
        <v>0</v>
      </c>
      <c r="N310" s="28">
        <f>G310-SUM(H310:M310)</f>
        <v>0</v>
      </c>
      <c r="O310" s="28">
        <f>SUM(V310:Y310)</f>
        <v>0</v>
      </c>
      <c r="P310" s="28">
        <f>O310-N310</f>
        <v>0</v>
      </c>
      <c r="Q310" s="61" t="str">
        <f>IF(ISERROR(P310/SUM(H310:L310)),"",P310/SUM(H310:L310))</f>
        <v/>
      </c>
      <c r="R310" s="113">
        <v>0</v>
      </c>
      <c r="S310" s="28">
        <f>IF(ISERROR(P310/C310*R310),0,(P310/C310*R310))</f>
        <v>0</v>
      </c>
      <c r="T310" s="60">
        <f>IF(ISERROR(P310/B310*AF310),0,(P310/B310*AF310))</f>
        <v>0</v>
      </c>
      <c r="V310" s="113">
        <v>0</v>
      </c>
      <c r="W310" s="113">
        <v>0</v>
      </c>
      <c r="X310" s="113">
        <v>0</v>
      </c>
      <c r="Y310" s="113">
        <v>0</v>
      </c>
      <c r="AA310" s="113">
        <v>0</v>
      </c>
      <c r="AB310" s="113">
        <v>0</v>
      </c>
      <c r="AC310" s="113">
        <v>0</v>
      </c>
      <c r="AD310" s="113">
        <v>0</v>
      </c>
      <c r="AF310" s="113">
        <v>0</v>
      </c>
      <c r="AG310" s="28">
        <f>G310-O310</f>
        <v>0</v>
      </c>
      <c r="AH310" s="58">
        <f>IF(ISERROR(AG310/B310*AF310),0,(AG310/B310*AF310))</f>
        <v>0</v>
      </c>
      <c r="AI310" s="28">
        <f>SUM(H310:M310)</f>
        <v>0</v>
      </c>
      <c r="AJ310" s="28">
        <f>IF(ISERROR(AI310/B310*AF310),0,(AI310/B310*AF310))</f>
        <v>0</v>
      </c>
      <c r="AK310" s="58">
        <f>IF(ISERROR(O310/B310*AF310),0,(O310/B310*AF310))</f>
        <v>0</v>
      </c>
      <c r="AL310" s="28">
        <f>IF(ISERROR(H310/B310*AF310),0,(H310/B310*AF310))</f>
        <v>0</v>
      </c>
      <c r="AN310" s="51">
        <f>A310</f>
        <v>0</v>
      </c>
      <c r="AO310" s="57">
        <f>IF(ISERROR(IF(B310=C310,D310/C310,(INT(D310/B310)+(((D310-B310*INT(D310/B310)))/C310)/100))),0,(IF(B310=C310,D310/C310,(INT(D310/B310)+(((D310-B310*INT(D310/B310)))/C310)/100))))</f>
        <v>0</v>
      </c>
      <c r="AP310" s="57">
        <f>IF(ISERROR(IF(B310=C310,E310/C310,(INT(E310/B310)+(((E310-B310*INT(E310/B310)))/C310)/100))),0,(IF(B310=C310,E310/C310,(INT(E310/B310)+(((E310-B310*INT(E310/B310)))/C310)/100))))</f>
        <v>0</v>
      </c>
      <c r="AQ310" s="57">
        <f>IF(ISERROR(IF(B310=C310,F310/C310,IF((INT(F310/B310)+(((F310-B310*INT(F310/B310)))/C310)/100)&lt;0,(INT(F310/B310)+(((F310-B310*INT(F310/B310)))/C310)/100)+(1-(B310/C310/100)),(INT(F310/B310)+(((F310-B310*INT(F310/B310)))/C310)/100)))),0,IF(B310=C310,F310/C310,IF((INT(F310/B310)+(((F310-B310*INT(F310/B310)))/C310)/100)&lt;0,(INT(F310/B310)+(((F310-B310*INT(F310/B310)))/C310)/100)+(1-(B310/C310/100)),(INT(F310/B310)+(((F310-B310*INT(F310/B310)))/C310)/100))))</f>
        <v>0</v>
      </c>
      <c r="AR310" s="57">
        <f>IF(ISERROR(IF(B310=C310,G310/C310,(INT(G310/B310)+(((G310-B310*INT(G310/B310)))/C310)/100))),0,(IF(B310=C310,G310/C310,(INT(G310/B310)+(((G310-B310*INT(G310/B310)))/C310)/100))))</f>
        <v>0</v>
      </c>
      <c r="AS310" s="57">
        <f>IF(ISERROR(IF(B310=C310,H310/C310,(INT(H310/B310)+(((H310-B310*INT(H310/B310)))/C310)/100))),0,(IF(B310=C310,H310/C310,(INT(H310/B310)+(((H310-B310*INT(H310/B310)))/C310)/100))))</f>
        <v>0</v>
      </c>
      <c r="AT310" s="57">
        <f>IF(ISERROR(IF(B310=C310,I310/C310,(INT(I310/B310)+(((I310-B310*INT(I310/B310)))/C310)/100))),0,(IF(B310=C310,I310/C310,(INT(I310/B310)+(((I310-B310*INT(I310/B310)))/C310)/100))))</f>
        <v>0</v>
      </c>
      <c r="AU310" s="57">
        <f>IF(ISERROR(IF(B310=C310,J310/C310,(INT(J310/B310)+(((J310-B310*INT(J310/B310)))/C310)/100))),0,(IF(B310=C310,J310/C310,(INT(J310/B310)+(((J310-B310*INT(J310/B310)))/C310)/100))))</f>
        <v>0</v>
      </c>
      <c r="AV310" s="57">
        <f>IF(ISERROR(IF(B310=C310,K310/C310,IF((INT(K310/B310)+(((K310-B310*INT(K310/B310)))/C310)/100)&lt;0,(INT(K310/B310)+(((K310-B310*INT(K310/B310)))/C310)/100)+(1-(B310/C310/100)),(INT(K310/B310)+(((K310-B310*INT(K310/B310)))/C310)/100)))),0,IF(B310=C310,K310/C310,IF((INT(K310/B310)+(((K310-B310*INT(K310/B310)))/C310)/100)&lt;0,(INT(K310/B310)+(((K310-B310*INT(K310/B310)))/C310)/100)+(1-(B310/C310/100)),(INT(K310/B310)+(((K310-B310*INT(K310/B310)))/C310)/100))))</f>
        <v>0</v>
      </c>
      <c r="AW310" s="57">
        <f>IF(ISERROR(IF(B310=C310,L310/C310,(INT(L310/B310)+(((L310-B310*INT(L310/B310)))/C310)/100))),0,(IF(B310=C310,L310/C310,(INT(L310/B310)+(((L310-B310*INT(L310/B310)))/C310)/100))))</f>
        <v>0</v>
      </c>
      <c r="AX310" s="57">
        <f>IF(ISERROR(IF(B310=C310,M310/C310,(INT(M310/B310)+(((M310-B310*INT(M310/B310)))/C310)/100))),0,(IF(B310=C310,M310/C310,(INT(M310/B310)+(((M310-B310*INT(M310/B310)))/C310)/100))))</f>
        <v>0</v>
      </c>
      <c r="AY310" s="57">
        <f>IF(ISERROR(IF(B310=C310,N310/C310,IF((INT(N310/B310)+(((N310-B310*INT(N310/B310)))/C310)/100)&lt;0,(INT(N310/B310)+(((N310-B310*INT(N310/B310)))/C310)/100)+(1-(B310/C310/100)),(INT(N310/B310)+(((N310-B310*INT(N310/B310)))/C310)/100)))),0,IF(B310=C310,N310/C310,IF((INT(N310/B310)+(((N310-B310*INT(N310/B310)))/C310)/100)&lt;0,(INT(N310/B310)+(((N310-B310*INT(N310/B310)))/C310)/100)+(1-(B310/C310/100)),(INT(N310/B310)+(((N310-B310*INT(N310/B310)))/C310)/100))))</f>
        <v>0</v>
      </c>
      <c r="AZ310" s="57">
        <f>IF(ISERROR(IF(B310=C310,O310/C310,(INT(O310/B310)+(((O310-B310*INT(O310/B310)))/C310)/100))),0,(IF(B310=C310,O310/C310,(INT(O310/B310)+(((O310-B310*INT(O310/B310)))/C310)/100))))</f>
        <v>0</v>
      </c>
      <c r="BA310" s="57">
        <f>IF(ISERROR(IF(B310=C310,P310/C310,IF((INT(P310/B310)+(((P310-B310*INT(P310/B310)))/C310)/100)&lt;0,(INT(P310/B310)+(((P310-B310*INT(P310/B310)))/C310)/100)+(1-(B310/C310/100)),(INT(P310/B310)+(((P310-B310*INT(P310/B310)))/C310)/100)))),0,IF(B310=C310,P310/C310,IF((INT(P310/B310)+(((P310-B310*INT(P310/B310)))/C310)/100)&lt;0,(INT(P310/B310)+(((P310-B310*INT(P310/B310)))/C310)/100)+(1-(B310/C310/100)),(INT(P310/B310)+(((P310-B310*INT(P310/B310)))/C310)/100))))</f>
        <v>0</v>
      </c>
      <c r="BB310" s="28">
        <f>R310</f>
        <v>0</v>
      </c>
      <c r="BC310" s="28">
        <f>S310</f>
        <v>0</v>
      </c>
      <c r="BD310" s="28">
        <f>AF310</f>
        <v>0</v>
      </c>
      <c r="BE310" s="28">
        <f>T310</f>
        <v>0</v>
      </c>
      <c r="BG310" s="57">
        <f>IF(ISERROR(IF(B310=C310,V310/C310,(INT(V310/B310)+(((V310-B310*INT(V310/B310)))/C310)/100))),0,(IF(B310=C310,V310/C310,(INT(V310/B310)+(((V310-B310*INT(V310/B310)))/C310)/100))))</f>
        <v>0</v>
      </c>
      <c r="BH310" s="57">
        <f>IF(ISERROR(IF(B310=C310,W310/C310,(INT(W310/B310)+(((W310-B310*INT(W310/B310)))/C310)/100))),0,(IF(B310=C310,W310/C310,(INT(W310/B310)+(((W310-B310*INT(W310/B310)))/C310)/100))))</f>
        <v>0</v>
      </c>
      <c r="BI310" s="57">
        <f>IF(ISERROR(IF(B310=C310,X310/C310,(INT(X310/B310)+(((X310-B310*INT(X310/B310)))/C310)/100))),0,(IF(B310=C310,X310/C310,(INT(X310/B310)+(((X310-B310*INT(X310/B310)))/C310)/100))))</f>
        <v>0</v>
      </c>
      <c r="BJ310" s="57">
        <f>IF(ISERROR(IF(B310=C310,Y310/C310,(INT(Y310/B310)+(((Y310-B310*INT(Y310/B310)))/C310)/100))),0,(IF(B310=C310,Y310/C310,(INT(Y310/B310)+(((Y310-B310*INT(Y310/B310)))/C310)/100))))</f>
        <v>0</v>
      </c>
      <c r="BL310" s="57">
        <f>IF(ISERROR(IF(B310=C310,AA310/C310,(INT(AA310/B310)+(((AA310-B310*INT(AA310/B310)))/C310)/100))),0,(IF(B310=C310,AA310/C310,(INT(AA310/B310)+(((AA310-B310*INT(AA310/B310)))/C310)/100))))</f>
        <v>0</v>
      </c>
      <c r="BM310" s="57">
        <f>IF(ISERROR(IF(B310=C310,AB310/C310,(INT(AB310/B310)+(((AB310-B310*INT(AB310/B310)))/C310)/100))),0,(IF(B310=C310,AB310/C310,(INT(AB310/B310)+(((AB310-B310*INT(AB310/B310)))/C310)/100))))</f>
        <v>0</v>
      </c>
      <c r="BN310" s="57">
        <f>IF(ISERROR(IF(B310=C310,AC310/C310,(INT(AC310/B310)+(((AC310-B310*INT(AC310/B310)))/C310)/100))),0,(IF(B310=C310,AC310/C310,(INT(AC310/B310)+(((AC310-B310*INT(AC310/B310)))/C310)/100))))</f>
        <v>0</v>
      </c>
      <c r="BO310" s="57">
        <f>IF(ISERROR(IF(B310=C310,AD310/C310,(INT(AD310/B310)+(((AD310-B310*INT(AD310/B310)))/C310)/100))),0,(IF(B310=C310,AD310/C310,(INT(AD310/B310)+(((AD310-B310*INT(AD310/B310)))/C310)/100))))</f>
        <v>0</v>
      </c>
      <c r="BQ310" s="155"/>
    </row>
    <row r="311" spans="1:69" hidden="1" x14ac:dyDescent="0.35">
      <c r="A311" s="134"/>
      <c r="B311" s="113">
        <v>700</v>
      </c>
      <c r="C311" s="113">
        <v>30</v>
      </c>
      <c r="D311" s="28">
        <f>SUM(AA311:AD311)</f>
        <v>0</v>
      </c>
      <c r="E311" s="113">
        <v>0</v>
      </c>
      <c r="F311" s="113">
        <v>0</v>
      </c>
      <c r="G311" s="28">
        <f>SUM(D311:F311)</f>
        <v>0</v>
      </c>
      <c r="H311" s="125">
        <v>0</v>
      </c>
      <c r="I311" s="113">
        <v>0</v>
      </c>
      <c r="J311" s="125">
        <v>0</v>
      </c>
      <c r="K311" s="113">
        <v>0</v>
      </c>
      <c r="L311" s="113">
        <v>0</v>
      </c>
      <c r="M311" s="113">
        <v>0</v>
      </c>
      <c r="N311" s="28">
        <f>G311-SUM(H311:M311)</f>
        <v>0</v>
      </c>
      <c r="O311" s="28">
        <f>SUM(V311:Y311)</f>
        <v>0</v>
      </c>
      <c r="P311" s="28">
        <f>O311-N311</f>
        <v>0</v>
      </c>
      <c r="Q311" s="61" t="str">
        <f>IF(ISERROR(P311/SUM(H311:L311)),"",P311/SUM(H311:L311))</f>
        <v/>
      </c>
      <c r="R311" s="113">
        <v>0</v>
      </c>
      <c r="S311" s="28">
        <f>IF(ISERROR(P311/C311*R311),0,(P311/C311*R311))</f>
        <v>0</v>
      </c>
      <c r="T311" s="60">
        <f>IF(ISERROR(P311/B311*AF311),0,(P311/B311*AF311))</f>
        <v>0</v>
      </c>
      <c r="V311" s="113">
        <v>0</v>
      </c>
      <c r="W311" s="113">
        <v>0</v>
      </c>
      <c r="X311" s="113">
        <v>0</v>
      </c>
      <c r="Y311" s="113">
        <v>0</v>
      </c>
      <c r="AA311" s="113">
        <v>0</v>
      </c>
      <c r="AB311" s="113">
        <v>0</v>
      </c>
      <c r="AC311" s="113">
        <v>0</v>
      </c>
      <c r="AD311" s="113">
        <v>0</v>
      </c>
      <c r="AF311" s="113">
        <v>0</v>
      </c>
      <c r="AG311" s="28">
        <f>G311-O311</f>
        <v>0</v>
      </c>
      <c r="AH311" s="58">
        <f>IF(ISERROR(AG311/B311*AF311),0,(AG311/B311*AF311))</f>
        <v>0</v>
      </c>
      <c r="AI311" s="28">
        <f>SUM(H311:M311)</f>
        <v>0</v>
      </c>
      <c r="AJ311" s="28">
        <f>IF(ISERROR(AI311/B311*AF311),0,(AI311/B311*AF311))</f>
        <v>0</v>
      </c>
      <c r="AK311" s="58">
        <f>IF(ISERROR(O311/B311*AF311),0,(O311/B311*AF311))</f>
        <v>0</v>
      </c>
      <c r="AL311" s="28">
        <f>IF(ISERROR(H311/B311*AF311),0,(H311/B311*AF311))</f>
        <v>0</v>
      </c>
      <c r="AN311" s="51">
        <f>A311</f>
        <v>0</v>
      </c>
      <c r="AO311" s="57">
        <f>IF(ISERROR(IF(B311=C311,D311/C311,(INT(D311/B311)+(((D311-B311*INT(D311/B311)))/C311)/100))),0,(IF(B311=C311,D311/C311,(INT(D311/B311)+(((D311-B311*INT(D311/B311)))/C311)/100))))</f>
        <v>0</v>
      </c>
      <c r="AP311" s="57">
        <f>IF(ISERROR(IF(B311=C311,E311/C311,(INT(E311/B311)+(((E311-B311*INT(E311/B311)))/C311)/100))),0,(IF(B311=C311,E311/C311,(INT(E311/B311)+(((E311-B311*INT(E311/B311)))/C311)/100))))</f>
        <v>0</v>
      </c>
      <c r="AQ311" s="57">
        <f>IF(ISERROR(IF(B311=C311,F311/C311,IF((INT(F311/B311)+(((F311-B311*INT(F311/B311)))/C311)/100)&lt;0,(INT(F311/B311)+(((F311-B311*INT(F311/B311)))/C311)/100)+(1-(B311/C311/100)),(INT(F311/B311)+(((F311-B311*INT(F311/B311)))/C311)/100)))),0,IF(B311=C311,F311/C311,IF((INT(F311/B311)+(((F311-B311*INT(F311/B311)))/C311)/100)&lt;0,(INT(F311/B311)+(((F311-B311*INT(F311/B311)))/C311)/100)+(1-(B311/C311/100)),(INT(F311/B311)+(((F311-B311*INT(F311/B311)))/C311)/100))))</f>
        <v>0</v>
      </c>
      <c r="AR311" s="57">
        <f>IF(ISERROR(IF(B311=C311,G311/C311,(INT(G311/B311)+(((G311-B311*INT(G311/B311)))/C311)/100))),0,(IF(B311=C311,G311/C311,(INT(G311/B311)+(((G311-B311*INT(G311/B311)))/C311)/100))))</f>
        <v>0</v>
      </c>
      <c r="AS311" s="57">
        <f>IF(ISERROR(IF(B311=C311,H311/C311,(INT(H311/B311)+(((H311-B311*INT(H311/B311)))/C311)/100))),0,(IF(B311=C311,H311/C311,(INT(H311/B311)+(((H311-B311*INT(H311/B311)))/C311)/100))))</f>
        <v>0</v>
      </c>
      <c r="AT311" s="57">
        <f>IF(ISERROR(IF(B311=C311,I311/C311,(INT(I311/B311)+(((I311-B311*INT(I311/B311)))/C311)/100))),0,(IF(B311=C311,I311/C311,(INT(I311/B311)+(((I311-B311*INT(I311/B311)))/C311)/100))))</f>
        <v>0</v>
      </c>
      <c r="AU311" s="57">
        <f>IF(ISERROR(IF(B311=C311,J311/C311,(INT(J311/B311)+(((J311-B311*INT(J311/B311)))/C311)/100))),0,(IF(B311=C311,J311/C311,(INT(J311/B311)+(((J311-B311*INT(J311/B311)))/C311)/100))))</f>
        <v>0</v>
      </c>
      <c r="AV311" s="57">
        <f>IF(ISERROR(IF(B311=C311,K311/C311,IF((INT(K311/B311)+(((K311-B311*INT(K311/B311)))/C311)/100)&lt;0,(INT(K311/B311)+(((K311-B311*INT(K311/B311)))/C311)/100)+(1-(B311/C311/100)),(INT(K311/B311)+(((K311-B311*INT(K311/B311)))/C311)/100)))),0,IF(B311=C311,K311/C311,IF((INT(K311/B311)+(((K311-B311*INT(K311/B311)))/C311)/100)&lt;0,(INT(K311/B311)+(((K311-B311*INT(K311/B311)))/C311)/100)+(1-(B311/C311/100)),(INT(K311/B311)+(((K311-B311*INT(K311/B311)))/C311)/100))))</f>
        <v>0</v>
      </c>
      <c r="AW311" s="57">
        <f>IF(ISERROR(IF(B311=C311,L311/C311,(INT(L311/B311)+(((L311-B311*INT(L311/B311)))/C311)/100))),0,(IF(B311=C311,L311/C311,(INT(L311/B311)+(((L311-B311*INT(L311/B311)))/C311)/100))))</f>
        <v>0</v>
      </c>
      <c r="AX311" s="57">
        <f>IF(ISERROR(IF(B311=C311,M311/C311,(INT(M311/B311)+(((M311-B311*INT(M311/B311)))/C311)/100))),0,(IF(B311=C311,M311/C311,(INT(M311/B311)+(((M311-B311*INT(M311/B311)))/C311)/100))))</f>
        <v>0</v>
      </c>
      <c r="AY311" s="57">
        <f>IF(ISERROR(IF(B311=C311,N311/C311,IF((INT(N311/B311)+(((N311-B311*INT(N311/B311)))/C311)/100)&lt;0,(INT(N311/B311)+(((N311-B311*INT(N311/B311)))/C311)/100)+(1-(B311/C311/100)),(INT(N311/B311)+(((N311-B311*INT(N311/B311)))/C311)/100)))),0,IF(B311=C311,N311/C311,IF((INT(N311/B311)+(((N311-B311*INT(N311/B311)))/C311)/100)&lt;0,(INT(N311/B311)+(((N311-B311*INT(N311/B311)))/C311)/100)+(1-(B311/C311/100)),(INT(N311/B311)+(((N311-B311*INT(N311/B311)))/C311)/100))))</f>
        <v>0</v>
      </c>
      <c r="AZ311" s="57">
        <f>IF(ISERROR(IF(B311=C311,O311/C311,(INT(O311/B311)+(((O311-B311*INT(O311/B311)))/C311)/100))),0,(IF(B311=C311,O311/C311,(INT(O311/B311)+(((O311-B311*INT(O311/B311)))/C311)/100))))</f>
        <v>0</v>
      </c>
      <c r="BA311" s="57">
        <f>IF(ISERROR(IF(B311=C311,P311/C311,IF((INT(P311/B311)+(((P311-B311*INT(P311/B311)))/C311)/100)&lt;0,(INT(P311/B311)+(((P311-B311*INT(P311/B311)))/C311)/100)+(1-(B311/C311/100)),(INT(P311/B311)+(((P311-B311*INT(P311/B311)))/C311)/100)))),0,IF(B311=C311,P311/C311,IF((INT(P311/B311)+(((P311-B311*INT(P311/B311)))/C311)/100)&lt;0,(INT(P311/B311)+(((P311-B311*INT(P311/B311)))/C311)/100)+(1-(B311/C311/100)),(INT(P311/B311)+(((P311-B311*INT(P311/B311)))/C311)/100))))</f>
        <v>0</v>
      </c>
      <c r="BB311" s="28">
        <f>R311</f>
        <v>0</v>
      </c>
      <c r="BC311" s="28">
        <f>S311</f>
        <v>0</v>
      </c>
      <c r="BD311" s="28">
        <f>AF311</f>
        <v>0</v>
      </c>
      <c r="BE311" s="28">
        <f>T311</f>
        <v>0</v>
      </c>
      <c r="BG311" s="57">
        <f>IF(ISERROR(IF(B311=C311,V311/C311,(INT(V311/B311)+(((V311-B311*INT(V311/B311)))/C311)/100))),0,(IF(B311=C311,V311/C311,(INT(V311/B311)+(((V311-B311*INT(V311/B311)))/C311)/100))))</f>
        <v>0</v>
      </c>
      <c r="BH311" s="57">
        <f>IF(ISERROR(IF(B311=C311,W311/C311,(INT(W311/B311)+(((W311-B311*INT(W311/B311)))/C311)/100))),0,(IF(B311=C311,W311/C311,(INT(W311/B311)+(((W311-B311*INT(W311/B311)))/C311)/100))))</f>
        <v>0</v>
      </c>
      <c r="BI311" s="57">
        <f>IF(ISERROR(IF(B311=C311,X311/C311,(INT(X311/B311)+(((X311-B311*INT(X311/B311)))/C311)/100))),0,(IF(B311=C311,X311/C311,(INT(X311/B311)+(((X311-B311*INT(X311/B311)))/C311)/100))))</f>
        <v>0</v>
      </c>
      <c r="BJ311" s="57">
        <f>IF(ISERROR(IF(B311=C311,Y311/C311,(INT(Y311/B311)+(((Y311-B311*INT(Y311/B311)))/C311)/100))),0,(IF(B311=C311,Y311/C311,(INT(Y311/B311)+(((Y311-B311*INT(Y311/B311)))/C311)/100))))</f>
        <v>0</v>
      </c>
      <c r="BL311" s="57">
        <f>IF(ISERROR(IF(B311=C311,AA311/C311,(INT(AA311/B311)+(((AA311-B311*INT(AA311/B311)))/C311)/100))),0,(IF(B311=C311,AA311/C311,(INT(AA311/B311)+(((AA311-B311*INT(AA311/B311)))/C311)/100))))</f>
        <v>0</v>
      </c>
      <c r="BM311" s="57">
        <f>IF(ISERROR(IF(B311=C311,AB311/C311,(INT(AB311/B311)+(((AB311-B311*INT(AB311/B311)))/C311)/100))),0,(IF(B311=C311,AB311/C311,(INT(AB311/B311)+(((AB311-B311*INT(AB311/B311)))/C311)/100))))</f>
        <v>0</v>
      </c>
      <c r="BN311" s="57">
        <f>IF(ISERROR(IF(B311=C311,AC311/C311,(INT(AC311/B311)+(((AC311-B311*INT(AC311/B311)))/C311)/100))),0,(IF(B311=C311,AC311/C311,(INT(AC311/B311)+(((AC311-B311*INT(AC311/B311)))/C311)/100))))</f>
        <v>0</v>
      </c>
      <c r="BO311" s="57">
        <f>IF(ISERROR(IF(B311=C311,AD311/C311,(INT(AD311/B311)+(((AD311-B311*INT(AD311/B311)))/C311)/100))),0,(IF(B311=C311,AD311/C311,(INT(AD311/B311)+(((AD311-B311*INT(AD311/B311)))/C311)/100))))</f>
        <v>0</v>
      </c>
      <c r="BQ311" s="155"/>
    </row>
    <row r="312" spans="1:69" hidden="1" x14ac:dyDescent="0.35">
      <c r="A312" s="94"/>
      <c r="B312" s="113">
        <v>700</v>
      </c>
      <c r="C312" s="113">
        <v>30</v>
      </c>
      <c r="D312" s="28">
        <f>SUM(AA312:AD312)</f>
        <v>0</v>
      </c>
      <c r="E312" s="113">
        <v>0</v>
      </c>
      <c r="F312" s="113">
        <v>0</v>
      </c>
      <c r="G312" s="28">
        <f>SUM(D312:F312)</f>
        <v>0</v>
      </c>
      <c r="H312" s="125">
        <v>0</v>
      </c>
      <c r="I312" s="113">
        <v>0</v>
      </c>
      <c r="J312" s="125">
        <v>0</v>
      </c>
      <c r="K312" s="113">
        <v>0</v>
      </c>
      <c r="L312" s="113">
        <v>0</v>
      </c>
      <c r="M312" s="113">
        <v>0</v>
      </c>
      <c r="N312" s="28">
        <f>G312-SUM(H312:M312)</f>
        <v>0</v>
      </c>
      <c r="O312" s="28">
        <f>SUM(V312:Y312)</f>
        <v>0</v>
      </c>
      <c r="P312" s="28">
        <f>O312-N312</f>
        <v>0</v>
      </c>
      <c r="Q312" s="61" t="str">
        <f>IF(ISERROR(P312/SUM(H312:L312)),"",P312/SUM(H312:L312))</f>
        <v/>
      </c>
      <c r="R312" s="113">
        <v>0</v>
      </c>
      <c r="S312" s="28">
        <f>IF(ISERROR(P312/C312*R312),0,(P312/C312*R312))</f>
        <v>0</v>
      </c>
      <c r="T312" s="60">
        <f>IF(ISERROR(P312/B312*AF312),0,(P312/B312*AF312))</f>
        <v>0</v>
      </c>
      <c r="V312" s="113">
        <v>0</v>
      </c>
      <c r="W312" s="113">
        <v>0</v>
      </c>
      <c r="X312" s="113">
        <v>0</v>
      </c>
      <c r="Y312" s="113">
        <v>0</v>
      </c>
      <c r="AA312" s="113">
        <v>0</v>
      </c>
      <c r="AB312" s="113">
        <v>0</v>
      </c>
      <c r="AC312" s="113">
        <v>0</v>
      </c>
      <c r="AD312" s="113">
        <v>0</v>
      </c>
      <c r="AF312" s="113">
        <v>0</v>
      </c>
      <c r="AG312" s="28">
        <f>G312-O312</f>
        <v>0</v>
      </c>
      <c r="AH312" s="58">
        <f>IF(ISERROR(AG312/B312*AF312),0,(AG312/B312*AF312))</f>
        <v>0</v>
      </c>
      <c r="AI312" s="28">
        <f>SUM(H312:M312)</f>
        <v>0</v>
      </c>
      <c r="AJ312" s="28">
        <f>IF(ISERROR(AI312/B312*AF312),0,(AI312/B312*AF312))</f>
        <v>0</v>
      </c>
      <c r="AK312" s="58">
        <f>IF(ISERROR(O312/B312*AF312),0,(O312/B312*AF312))</f>
        <v>0</v>
      </c>
      <c r="AL312" s="28">
        <f>IF(ISERROR(H312/B312*AF312),0,(H312/B312*AF312))</f>
        <v>0</v>
      </c>
      <c r="AN312" s="51">
        <f>A312</f>
        <v>0</v>
      </c>
      <c r="AO312" s="57">
        <f>IF(ISERROR(IF(B312=C312,D312/C312,(INT(D312/B312)+(((D312-B312*INT(D312/B312)))/C312)/100))),0,(IF(B312=C312,D312/C312,(INT(D312/B312)+(((D312-B312*INT(D312/B312)))/C312)/100))))</f>
        <v>0</v>
      </c>
      <c r="AP312" s="57">
        <f>IF(ISERROR(IF(B312=C312,E312/C312,(INT(E312/B312)+(((E312-B312*INT(E312/B312)))/C312)/100))),0,(IF(B312=C312,E312/C312,(INT(E312/B312)+(((E312-B312*INT(E312/B312)))/C312)/100))))</f>
        <v>0</v>
      </c>
      <c r="AQ312" s="57">
        <f>IF(ISERROR(IF(B312=C312,F312/C312,IF((INT(F312/B312)+(((F312-B312*INT(F312/B312)))/C312)/100)&lt;0,(INT(F312/B312)+(((F312-B312*INT(F312/B312)))/C312)/100)+(1-(B312/C312/100)),(INT(F312/B312)+(((F312-B312*INT(F312/B312)))/C312)/100)))),0,IF(B312=C312,F312/C312,IF((INT(F312/B312)+(((F312-B312*INT(F312/B312)))/C312)/100)&lt;0,(INT(F312/B312)+(((F312-B312*INT(F312/B312)))/C312)/100)+(1-(B312/C312/100)),(INT(F312/B312)+(((F312-B312*INT(F312/B312)))/C312)/100))))</f>
        <v>0</v>
      </c>
      <c r="AR312" s="57">
        <f>IF(ISERROR(IF(B312=C312,G312/C312,(INT(G312/B312)+(((G312-B312*INT(G312/B312)))/C312)/100))),0,(IF(B312=C312,G312/C312,(INT(G312/B312)+(((G312-B312*INT(G312/B312)))/C312)/100))))</f>
        <v>0</v>
      </c>
      <c r="AS312" s="57">
        <f>IF(ISERROR(IF(B312=C312,H312/C312,(INT(H312/B312)+(((H312-B312*INT(H312/B312)))/C312)/100))),0,(IF(B312=C312,H312/C312,(INT(H312/B312)+(((H312-B312*INT(H312/B312)))/C312)/100))))</f>
        <v>0</v>
      </c>
      <c r="AT312" s="57">
        <f>IF(ISERROR(IF(B312=C312,I312/C312,(INT(I312/B312)+(((I312-B312*INT(I312/B312)))/C312)/100))),0,(IF(B312=C312,I312/C312,(INT(I312/B312)+(((I312-B312*INT(I312/B312)))/C312)/100))))</f>
        <v>0</v>
      </c>
      <c r="AU312" s="57">
        <f>IF(ISERROR(IF(B312=C312,J312/C312,(INT(J312/B312)+(((J312-B312*INT(J312/B312)))/C312)/100))),0,(IF(B312=C312,J312/C312,(INT(J312/B312)+(((J312-B312*INT(J312/B312)))/C312)/100))))</f>
        <v>0</v>
      </c>
      <c r="AV312" s="57">
        <f>IF(ISERROR(IF(B312=C312,K312/C312,IF((INT(K312/B312)+(((K312-B312*INT(K312/B312)))/C312)/100)&lt;0,(INT(K312/B312)+(((K312-B312*INT(K312/B312)))/C312)/100)+(1-(B312/C312/100)),(INT(K312/B312)+(((K312-B312*INT(K312/B312)))/C312)/100)))),0,IF(B312=C312,K312/C312,IF((INT(K312/B312)+(((K312-B312*INT(K312/B312)))/C312)/100)&lt;0,(INT(K312/B312)+(((K312-B312*INT(K312/B312)))/C312)/100)+(1-(B312/C312/100)),(INT(K312/B312)+(((K312-B312*INT(K312/B312)))/C312)/100))))</f>
        <v>0</v>
      </c>
      <c r="AW312" s="57">
        <f>IF(ISERROR(IF(B312=C312,L312/C312,(INT(L312/B312)+(((L312-B312*INT(L312/B312)))/C312)/100))),0,(IF(B312=C312,L312/C312,(INT(L312/B312)+(((L312-B312*INT(L312/B312)))/C312)/100))))</f>
        <v>0</v>
      </c>
      <c r="AX312" s="57">
        <f>IF(ISERROR(IF(B312=C312,M312/C312,(INT(M312/B312)+(((M312-B312*INT(M312/B312)))/C312)/100))),0,(IF(B312=C312,M312/C312,(INT(M312/B312)+(((M312-B312*INT(M312/B312)))/C312)/100))))</f>
        <v>0</v>
      </c>
      <c r="AY312" s="57">
        <f>IF(ISERROR(IF(B312=C312,N312/C312,IF((INT(N312/B312)+(((N312-B312*INT(N312/B312)))/C312)/100)&lt;0,(INT(N312/B312)+(((N312-B312*INT(N312/B312)))/C312)/100)+(1-(B312/C312/100)),(INT(N312/B312)+(((N312-B312*INT(N312/B312)))/C312)/100)))),0,IF(B312=C312,N312/C312,IF((INT(N312/B312)+(((N312-B312*INT(N312/B312)))/C312)/100)&lt;0,(INT(N312/B312)+(((N312-B312*INT(N312/B312)))/C312)/100)+(1-(B312/C312/100)),(INT(N312/B312)+(((N312-B312*INT(N312/B312)))/C312)/100))))</f>
        <v>0</v>
      </c>
      <c r="AZ312" s="57">
        <f>IF(ISERROR(IF(B312=C312,O312/C312,(INT(O312/B312)+(((O312-B312*INT(O312/B312)))/C312)/100))),0,(IF(B312=C312,O312/C312,(INT(O312/B312)+(((O312-B312*INT(O312/B312)))/C312)/100))))</f>
        <v>0</v>
      </c>
      <c r="BA312" s="57">
        <f>IF(ISERROR(IF(B312=C312,P312/C312,IF((INT(P312/B312)+(((P312-B312*INT(P312/B312)))/C312)/100)&lt;0,(INT(P312/B312)+(((P312-B312*INT(P312/B312)))/C312)/100)+(1-(B312/C312/100)),(INT(P312/B312)+(((P312-B312*INT(P312/B312)))/C312)/100)))),0,IF(B312=C312,P312/C312,IF((INT(P312/B312)+(((P312-B312*INT(P312/B312)))/C312)/100)&lt;0,(INT(P312/B312)+(((P312-B312*INT(P312/B312)))/C312)/100)+(1-(B312/C312/100)),(INT(P312/B312)+(((P312-B312*INT(P312/B312)))/C312)/100))))</f>
        <v>0</v>
      </c>
      <c r="BB312" s="28">
        <f>R312</f>
        <v>0</v>
      </c>
      <c r="BC312" s="28">
        <f>S312</f>
        <v>0</v>
      </c>
      <c r="BD312" s="28">
        <f>AF312</f>
        <v>0</v>
      </c>
      <c r="BE312" s="28">
        <f>T312</f>
        <v>0</v>
      </c>
      <c r="BG312" s="57">
        <f>IF(ISERROR(IF(B312=C312,V312/C312,(INT(V312/B312)+(((V312-B312*INT(V312/B312)))/C312)/100))),0,(IF(B312=C312,V312/C312,(INT(V312/B312)+(((V312-B312*INT(V312/B312)))/C312)/100))))</f>
        <v>0</v>
      </c>
      <c r="BH312" s="57">
        <f>IF(ISERROR(IF(B312=C312,W312/C312,(INT(W312/B312)+(((W312-B312*INT(W312/B312)))/C312)/100))),0,(IF(B312=C312,W312/C312,(INT(W312/B312)+(((W312-B312*INT(W312/B312)))/C312)/100))))</f>
        <v>0</v>
      </c>
      <c r="BI312" s="57">
        <f>IF(ISERROR(IF(B312=C312,X312/C312,(INT(X312/B312)+(((X312-B312*INT(X312/B312)))/C312)/100))),0,(IF(B312=C312,X312/C312,(INT(X312/B312)+(((X312-B312*INT(X312/B312)))/C312)/100))))</f>
        <v>0</v>
      </c>
      <c r="BJ312" s="57">
        <f>IF(ISERROR(IF(B312=C312,Y312/C312,(INT(Y312/B312)+(((Y312-B312*INT(Y312/B312)))/C312)/100))),0,(IF(B312=C312,Y312/C312,(INT(Y312/B312)+(((Y312-B312*INT(Y312/B312)))/C312)/100))))</f>
        <v>0</v>
      </c>
      <c r="BL312" s="57">
        <f>IF(ISERROR(IF(B312=C312,AA312/C312,(INT(AA312/B312)+(((AA312-B312*INT(AA312/B312)))/C312)/100))),0,(IF(B312=C312,AA312/C312,(INT(AA312/B312)+(((AA312-B312*INT(AA312/B312)))/C312)/100))))</f>
        <v>0</v>
      </c>
      <c r="BM312" s="57">
        <f>IF(ISERROR(IF(B312=C312,AB312/C312,(INT(AB312/B312)+(((AB312-B312*INT(AB312/B312)))/C312)/100))),0,(IF(B312=C312,AB312/C312,(INT(AB312/B312)+(((AB312-B312*INT(AB312/B312)))/C312)/100))))</f>
        <v>0</v>
      </c>
      <c r="BN312" s="57">
        <f>IF(ISERROR(IF(B312=C312,AC312/C312,(INT(AC312/B312)+(((AC312-B312*INT(AC312/B312)))/C312)/100))),0,(IF(B312=C312,AC312/C312,(INT(AC312/B312)+(((AC312-B312*INT(AC312/B312)))/C312)/100))))</f>
        <v>0</v>
      </c>
      <c r="BO312" s="57">
        <f>IF(ISERROR(IF(B312=C312,AD312/C312,(INT(AD312/B312)+(((AD312-B312*INT(AD312/B312)))/C312)/100))),0,(IF(B312=C312,AD312/C312,(INT(AD312/B312)+(((AD312-B312*INT(AD312/B312)))/C312)/100))))</f>
        <v>0</v>
      </c>
      <c r="BQ312" s="155"/>
    </row>
    <row r="313" spans="1:69" hidden="1" x14ac:dyDescent="0.35">
      <c r="A313" s="94"/>
      <c r="B313" s="113">
        <v>700</v>
      </c>
      <c r="C313" s="113">
        <v>30</v>
      </c>
      <c r="D313" s="28">
        <f>SUM(AA313:AD313)</f>
        <v>0</v>
      </c>
      <c r="E313" s="113">
        <v>0</v>
      </c>
      <c r="F313" s="113">
        <v>0</v>
      </c>
      <c r="G313" s="28">
        <f>SUM(D313:F313)</f>
        <v>0</v>
      </c>
      <c r="H313" s="125">
        <v>0</v>
      </c>
      <c r="I313" s="113">
        <v>0</v>
      </c>
      <c r="J313" s="125">
        <v>0</v>
      </c>
      <c r="K313" s="113">
        <v>0</v>
      </c>
      <c r="L313" s="113">
        <v>0</v>
      </c>
      <c r="M313" s="113">
        <v>0</v>
      </c>
      <c r="N313" s="28">
        <f>G313-SUM(H313:M313)</f>
        <v>0</v>
      </c>
      <c r="O313" s="28">
        <f>SUM(V313:Y313)</f>
        <v>0</v>
      </c>
      <c r="P313" s="28">
        <f>O313-N313</f>
        <v>0</v>
      </c>
      <c r="Q313" s="61" t="str">
        <f>IF(ISERROR(P313/SUM(H313:L313)),"",P313/SUM(H313:L313))</f>
        <v/>
      </c>
      <c r="R313" s="113">
        <v>0</v>
      </c>
      <c r="S313" s="28">
        <f>IF(ISERROR(P313/C313*R313),0,(P313/C313*R313))</f>
        <v>0</v>
      </c>
      <c r="T313" s="60">
        <f>IF(ISERROR(P313/B313*AF313),0,(P313/B313*AF313))</f>
        <v>0</v>
      </c>
      <c r="V313" s="113">
        <v>0</v>
      </c>
      <c r="W313" s="113">
        <v>0</v>
      </c>
      <c r="X313" s="113">
        <v>0</v>
      </c>
      <c r="Y313" s="113">
        <v>0</v>
      </c>
      <c r="AA313" s="113">
        <v>0</v>
      </c>
      <c r="AB313" s="113">
        <v>0</v>
      </c>
      <c r="AC313" s="113">
        <v>0</v>
      </c>
      <c r="AD313" s="113">
        <v>0</v>
      </c>
      <c r="AF313" s="113">
        <v>0</v>
      </c>
      <c r="AG313" s="28">
        <f>G313-O313</f>
        <v>0</v>
      </c>
      <c r="AH313" s="58">
        <f>IF(ISERROR(AG313/B313*AF313),0,(AG313/B313*AF313))</f>
        <v>0</v>
      </c>
      <c r="AI313" s="28">
        <f>SUM(H313:M313)</f>
        <v>0</v>
      </c>
      <c r="AJ313" s="28">
        <f>IF(ISERROR(AI313/B313*AF313),0,(AI313/B313*AF313))</f>
        <v>0</v>
      </c>
      <c r="AK313" s="58">
        <f>IF(ISERROR(O313/B313*AF313),0,(O313/B313*AF313))</f>
        <v>0</v>
      </c>
      <c r="AL313" s="28">
        <f>IF(ISERROR(H313/B313*AF313),0,(H313/B313*AF313))</f>
        <v>0</v>
      </c>
      <c r="AN313" s="51">
        <f>A313</f>
        <v>0</v>
      </c>
      <c r="AO313" s="57">
        <f>IF(ISERROR(IF(B313=C313,D313/C313,(INT(D313/B313)+(((D313-B313*INT(D313/B313)))/C313)/100))),0,(IF(B313=C313,D313/C313,(INT(D313/B313)+(((D313-B313*INT(D313/B313)))/C313)/100))))</f>
        <v>0</v>
      </c>
      <c r="AP313" s="57">
        <f>IF(ISERROR(IF(B313=C313,E313/C313,(INT(E313/B313)+(((E313-B313*INT(E313/B313)))/C313)/100))),0,(IF(B313=C313,E313/C313,(INT(E313/B313)+(((E313-B313*INT(E313/B313)))/C313)/100))))</f>
        <v>0</v>
      </c>
      <c r="AQ313" s="57">
        <f>IF(ISERROR(IF(B313=C313,F313/C313,IF((INT(F313/B313)+(((F313-B313*INT(F313/B313)))/C313)/100)&lt;0,(INT(F313/B313)+(((F313-B313*INT(F313/B313)))/C313)/100)+(1-(B313/C313/100)),(INT(F313/B313)+(((F313-B313*INT(F313/B313)))/C313)/100)))),0,IF(B313=C313,F313/C313,IF((INT(F313/B313)+(((F313-B313*INT(F313/B313)))/C313)/100)&lt;0,(INT(F313/B313)+(((F313-B313*INT(F313/B313)))/C313)/100)+(1-(B313/C313/100)),(INT(F313/B313)+(((F313-B313*INT(F313/B313)))/C313)/100))))</f>
        <v>0</v>
      </c>
      <c r="AR313" s="57">
        <f>IF(ISERROR(IF(B313=C313,G313/C313,(INT(G313/B313)+(((G313-B313*INT(G313/B313)))/C313)/100))),0,(IF(B313=C313,G313/C313,(INT(G313/B313)+(((G313-B313*INT(G313/B313)))/C313)/100))))</f>
        <v>0</v>
      </c>
      <c r="AS313" s="57">
        <f>IF(ISERROR(IF(B313=C313,H313/C313,(INT(H313/B313)+(((H313-B313*INT(H313/B313)))/C313)/100))),0,(IF(B313=C313,H313/C313,(INT(H313/B313)+(((H313-B313*INT(H313/B313)))/C313)/100))))</f>
        <v>0</v>
      </c>
      <c r="AT313" s="57">
        <f>IF(ISERROR(IF(B313=C313,I313/C313,(INT(I313/B313)+(((I313-B313*INT(I313/B313)))/C313)/100))),0,(IF(B313=C313,I313/C313,(INT(I313/B313)+(((I313-B313*INT(I313/B313)))/C313)/100))))</f>
        <v>0</v>
      </c>
      <c r="AU313" s="57">
        <f>IF(ISERROR(IF(B313=C313,J313/C313,(INT(J313/B313)+(((J313-B313*INT(J313/B313)))/C313)/100))),0,(IF(B313=C313,J313/C313,(INT(J313/B313)+(((J313-B313*INT(J313/B313)))/C313)/100))))</f>
        <v>0</v>
      </c>
      <c r="AV313" s="57">
        <f>IF(ISERROR(IF(B313=C313,K313/C313,IF((INT(K313/B313)+(((K313-B313*INT(K313/B313)))/C313)/100)&lt;0,(INT(K313/B313)+(((K313-B313*INT(K313/B313)))/C313)/100)+(1-(B313/C313/100)),(INT(K313/B313)+(((K313-B313*INT(K313/B313)))/C313)/100)))),0,IF(B313=C313,K313/C313,IF((INT(K313/B313)+(((K313-B313*INT(K313/B313)))/C313)/100)&lt;0,(INT(K313/B313)+(((K313-B313*INT(K313/B313)))/C313)/100)+(1-(B313/C313/100)),(INT(K313/B313)+(((K313-B313*INT(K313/B313)))/C313)/100))))</f>
        <v>0</v>
      </c>
      <c r="AW313" s="57">
        <f>IF(ISERROR(IF(B313=C313,L313/C313,(INT(L313/B313)+(((L313-B313*INT(L313/B313)))/C313)/100))),0,(IF(B313=C313,L313/C313,(INT(L313/B313)+(((L313-B313*INT(L313/B313)))/C313)/100))))</f>
        <v>0</v>
      </c>
      <c r="AX313" s="57">
        <f>IF(ISERROR(IF(B313=C313,M313/C313,(INT(M313/B313)+(((M313-B313*INT(M313/B313)))/C313)/100))),0,(IF(B313=C313,M313/C313,(INT(M313/B313)+(((M313-B313*INT(M313/B313)))/C313)/100))))</f>
        <v>0</v>
      </c>
      <c r="AY313" s="57">
        <f>IF(ISERROR(IF(B313=C313,N313/C313,IF((INT(N313/B313)+(((N313-B313*INT(N313/B313)))/C313)/100)&lt;0,(INT(N313/B313)+(((N313-B313*INT(N313/B313)))/C313)/100)+(1-(B313/C313/100)),(INT(N313/B313)+(((N313-B313*INT(N313/B313)))/C313)/100)))),0,IF(B313=C313,N313/C313,IF((INT(N313/B313)+(((N313-B313*INT(N313/B313)))/C313)/100)&lt;0,(INT(N313/B313)+(((N313-B313*INT(N313/B313)))/C313)/100)+(1-(B313/C313/100)),(INT(N313/B313)+(((N313-B313*INT(N313/B313)))/C313)/100))))</f>
        <v>0</v>
      </c>
      <c r="AZ313" s="57">
        <f>IF(ISERROR(IF(B313=C313,O313/C313,(INT(O313/B313)+(((O313-B313*INT(O313/B313)))/C313)/100))),0,(IF(B313=C313,O313/C313,(INT(O313/B313)+(((O313-B313*INT(O313/B313)))/C313)/100))))</f>
        <v>0</v>
      </c>
      <c r="BA313" s="57">
        <f>IF(ISERROR(IF(B313=C313,P313/C313,IF((INT(P313/B313)+(((P313-B313*INT(P313/B313)))/C313)/100)&lt;0,(INT(P313/B313)+(((P313-B313*INT(P313/B313)))/C313)/100)+(1-(B313/C313/100)),(INT(P313/B313)+(((P313-B313*INT(P313/B313)))/C313)/100)))),0,IF(B313=C313,P313/C313,IF((INT(P313/B313)+(((P313-B313*INT(P313/B313)))/C313)/100)&lt;0,(INT(P313/B313)+(((P313-B313*INT(P313/B313)))/C313)/100)+(1-(B313/C313/100)),(INT(P313/B313)+(((P313-B313*INT(P313/B313)))/C313)/100))))</f>
        <v>0</v>
      </c>
      <c r="BB313" s="28">
        <f>R313</f>
        <v>0</v>
      </c>
      <c r="BC313" s="28">
        <f>S313</f>
        <v>0</v>
      </c>
      <c r="BD313" s="28">
        <f>AF313</f>
        <v>0</v>
      </c>
      <c r="BE313" s="28">
        <f>T313</f>
        <v>0</v>
      </c>
      <c r="BG313" s="57">
        <f>IF(ISERROR(IF(B313=C313,V313/C313,(INT(V313/B313)+(((V313-B313*INT(V313/B313)))/C313)/100))),0,(IF(B313=C313,V313/C313,(INT(V313/B313)+(((V313-B313*INT(V313/B313)))/C313)/100))))</f>
        <v>0</v>
      </c>
      <c r="BH313" s="57">
        <f>IF(ISERROR(IF(B313=C313,W313/C313,(INT(W313/B313)+(((W313-B313*INT(W313/B313)))/C313)/100))),0,(IF(B313=C313,W313/C313,(INT(W313/B313)+(((W313-B313*INT(W313/B313)))/C313)/100))))</f>
        <v>0</v>
      </c>
      <c r="BI313" s="57">
        <f>IF(ISERROR(IF(B313=C313,X313/C313,(INT(X313/B313)+(((X313-B313*INT(X313/B313)))/C313)/100))),0,(IF(B313=C313,X313/C313,(INT(X313/B313)+(((X313-B313*INT(X313/B313)))/C313)/100))))</f>
        <v>0</v>
      </c>
      <c r="BJ313" s="57">
        <f>IF(ISERROR(IF(B313=C313,Y313/C313,(INT(Y313/B313)+(((Y313-B313*INT(Y313/B313)))/C313)/100))),0,(IF(B313=C313,Y313/C313,(INT(Y313/B313)+(((Y313-B313*INT(Y313/B313)))/C313)/100))))</f>
        <v>0</v>
      </c>
      <c r="BL313" s="57">
        <f>IF(ISERROR(IF(B313=C313,AA313/C313,(INT(AA313/B313)+(((AA313-B313*INT(AA313/B313)))/C313)/100))),0,(IF(B313=C313,AA313/C313,(INT(AA313/B313)+(((AA313-B313*INT(AA313/B313)))/C313)/100))))</f>
        <v>0</v>
      </c>
      <c r="BM313" s="57">
        <f>IF(ISERROR(IF(B313=C313,AB313/C313,(INT(AB313/B313)+(((AB313-B313*INT(AB313/B313)))/C313)/100))),0,(IF(B313=C313,AB313/C313,(INT(AB313/B313)+(((AB313-B313*INT(AB313/B313)))/C313)/100))))</f>
        <v>0</v>
      </c>
      <c r="BN313" s="57">
        <f>IF(ISERROR(IF(B313=C313,AC313/C313,(INT(AC313/B313)+(((AC313-B313*INT(AC313/B313)))/C313)/100))),0,(IF(B313=C313,AC313/C313,(INT(AC313/B313)+(((AC313-B313*INT(AC313/B313)))/C313)/100))))</f>
        <v>0</v>
      </c>
      <c r="BO313" s="57">
        <f>IF(ISERROR(IF(B313=C313,AD313/C313,(INT(AD313/B313)+(((AD313-B313*INT(AD313/B313)))/C313)/100))),0,(IF(B313=C313,AD313/C313,(INT(AD313/B313)+(((AD313-B313*INT(AD313/B313)))/C313)/100))))</f>
        <v>0</v>
      </c>
      <c r="BQ313" s="155"/>
    </row>
    <row r="314" spans="1:69" hidden="1" x14ac:dyDescent="0.35">
      <c r="A314" s="94"/>
      <c r="B314" s="113"/>
      <c r="C314" s="113"/>
      <c r="D314" s="28">
        <f>SUM(AA314:AD314)</f>
        <v>0</v>
      </c>
      <c r="E314" s="113">
        <v>0</v>
      </c>
      <c r="F314" s="113">
        <v>0</v>
      </c>
      <c r="G314" s="28">
        <f>SUM(D314:F314)</f>
        <v>0</v>
      </c>
      <c r="H314" s="125">
        <v>0</v>
      </c>
      <c r="I314" s="113">
        <v>0</v>
      </c>
      <c r="J314" s="125">
        <v>0</v>
      </c>
      <c r="K314" s="113">
        <v>0</v>
      </c>
      <c r="L314" s="113">
        <v>0</v>
      </c>
      <c r="M314" s="113">
        <v>0</v>
      </c>
      <c r="N314" s="28">
        <f>G314-SUM(H314:M314)</f>
        <v>0</v>
      </c>
      <c r="O314" s="28">
        <f>SUM(V314:Y314)</f>
        <v>0</v>
      </c>
      <c r="P314" s="28">
        <f>O314-N314</f>
        <v>0</v>
      </c>
      <c r="Q314" s="61" t="str">
        <f>IF(ISERROR(P314/SUM(H314:L314)),"",P314/SUM(H314:L314))</f>
        <v/>
      </c>
      <c r="R314" s="113">
        <v>0</v>
      </c>
      <c r="S314" s="28">
        <f>IF(ISERROR(P314/C314*R314),0,(P314/C314*R314))</f>
        <v>0</v>
      </c>
      <c r="T314" s="60">
        <f>IF(ISERROR(P314/B314*AF314),0,(P314/B314*AF314))</f>
        <v>0</v>
      </c>
      <c r="V314" s="113">
        <v>0</v>
      </c>
      <c r="W314" s="113">
        <v>0</v>
      </c>
      <c r="X314" s="113">
        <v>0</v>
      </c>
      <c r="Y314" s="113">
        <v>0</v>
      </c>
      <c r="AA314" s="113">
        <v>0</v>
      </c>
      <c r="AB314" s="113">
        <v>0</v>
      </c>
      <c r="AC314" s="113">
        <v>0</v>
      </c>
      <c r="AD314" s="113">
        <v>0</v>
      </c>
      <c r="AF314" s="113">
        <v>0</v>
      </c>
      <c r="AG314" s="28">
        <f>G314-O314</f>
        <v>0</v>
      </c>
      <c r="AH314" s="58">
        <f>IF(ISERROR(AG314/B314*AF314),0,(AG314/B314*AF314))</f>
        <v>0</v>
      </c>
      <c r="AI314" s="28">
        <f>SUM(H314:M314)</f>
        <v>0</v>
      </c>
      <c r="AJ314" s="28">
        <f>IF(ISERROR(AI314/B314*AF314),0,(AI314/B314*AF314))</f>
        <v>0</v>
      </c>
      <c r="AK314" s="58">
        <f>IF(ISERROR(O314/B314*AF314),0,(O314/B314*AF314))</f>
        <v>0</v>
      </c>
      <c r="AL314" s="28">
        <f>IF(ISERROR(H314/B314*AF314),0,(H314/B314*AF314))</f>
        <v>0</v>
      </c>
      <c r="AN314" s="51">
        <f>A314</f>
        <v>0</v>
      </c>
      <c r="AO314" s="57">
        <f>IF(ISERROR(IF(B314=C314,D314/C314,(INT(D314/B314)+(((D314-B314*INT(D314/B314)))/C314)/100))),0,(IF(B314=C314,D314/C314,(INT(D314/B314)+(((D314-B314*INT(D314/B314)))/C314)/100))))</f>
        <v>0</v>
      </c>
      <c r="AP314" s="57">
        <f>IF(ISERROR(IF(B314=C314,E314/C314,(INT(E314/B314)+(((E314-B314*INT(E314/B314)))/C314)/100))),0,(IF(B314=C314,E314/C314,(INT(E314/B314)+(((E314-B314*INT(E314/B314)))/C314)/100))))</f>
        <v>0</v>
      </c>
      <c r="AQ314" s="57">
        <f>IF(ISERROR(IF(B314=C314,F314/C314,IF((INT(F314/B314)+(((F314-B314*INT(F314/B314)))/C314)/100)&lt;0,(INT(F314/B314)+(((F314-B314*INT(F314/B314)))/C314)/100)+(1-(B314/C314/100)),(INT(F314/B314)+(((F314-B314*INT(F314/B314)))/C314)/100)))),0,IF(B314=C314,F314/C314,IF((INT(F314/B314)+(((F314-B314*INT(F314/B314)))/C314)/100)&lt;0,(INT(F314/B314)+(((F314-B314*INT(F314/B314)))/C314)/100)+(1-(B314/C314/100)),(INT(F314/B314)+(((F314-B314*INT(F314/B314)))/C314)/100))))</f>
        <v>0</v>
      </c>
      <c r="AR314" s="57">
        <f>IF(ISERROR(IF(B314=C314,G314/C314,(INT(G314/B314)+(((G314-B314*INT(G314/B314)))/C314)/100))),0,(IF(B314=C314,G314/C314,(INT(G314/B314)+(((G314-B314*INT(G314/B314)))/C314)/100))))</f>
        <v>0</v>
      </c>
      <c r="AS314" s="57">
        <f>IF(ISERROR(IF(B314=C314,H314/C314,(INT(H314/B314)+(((H314-B314*INT(H314/B314)))/C314)/100))),0,(IF(B314=C314,H314/C314,(INT(H314/B314)+(((H314-B314*INT(H314/B314)))/C314)/100))))</f>
        <v>0</v>
      </c>
      <c r="AT314" s="57">
        <f>IF(ISERROR(IF(B314=C314,I314/C314,(INT(I314/B314)+(((I314-B314*INT(I314/B314)))/C314)/100))),0,(IF(B314=C314,I314/C314,(INT(I314/B314)+(((I314-B314*INT(I314/B314)))/C314)/100))))</f>
        <v>0</v>
      </c>
      <c r="AU314" s="57">
        <f>IF(ISERROR(IF(B314=C314,J314/C314,(INT(J314/B314)+(((J314-B314*INT(J314/B314)))/C314)/100))),0,(IF(B314=C314,J314/C314,(INT(J314/B314)+(((J314-B314*INT(J314/B314)))/C314)/100))))</f>
        <v>0</v>
      </c>
      <c r="AV314" s="57">
        <f>IF(ISERROR(IF(B314=C314,K314/C314,IF((INT(K314/B314)+(((K314-B314*INT(K314/B314)))/C314)/100)&lt;0,(INT(K314/B314)+(((K314-B314*INT(K314/B314)))/C314)/100)+(1-(B314/C314/100)),(INT(K314/B314)+(((K314-B314*INT(K314/B314)))/C314)/100)))),0,IF(B314=C314,K314/C314,IF((INT(K314/B314)+(((K314-B314*INT(K314/B314)))/C314)/100)&lt;0,(INT(K314/B314)+(((K314-B314*INT(K314/B314)))/C314)/100)+(1-(B314/C314/100)),(INT(K314/B314)+(((K314-B314*INT(K314/B314)))/C314)/100))))</f>
        <v>0</v>
      </c>
      <c r="AW314" s="57">
        <f>IF(ISERROR(IF(B314=C314,L314/C314,(INT(L314/B314)+(((L314-B314*INT(L314/B314)))/C314)/100))),0,(IF(B314=C314,L314/C314,(INT(L314/B314)+(((L314-B314*INT(L314/B314)))/C314)/100))))</f>
        <v>0</v>
      </c>
      <c r="AX314" s="57">
        <f>IF(ISERROR(IF(B314=C314,M314/C314,(INT(M314/B314)+(((M314-B314*INT(M314/B314)))/C314)/100))),0,(IF(B314=C314,M314/C314,(INT(M314/B314)+(((M314-B314*INT(M314/B314)))/C314)/100))))</f>
        <v>0</v>
      </c>
      <c r="AY314" s="57">
        <f>IF(ISERROR(IF(B314=C314,N314/C314,IF((INT(N314/B314)+(((N314-B314*INT(N314/B314)))/C314)/100)&lt;0,(INT(N314/B314)+(((N314-B314*INT(N314/B314)))/C314)/100)+(1-(B314/C314/100)),(INT(N314/B314)+(((N314-B314*INT(N314/B314)))/C314)/100)))),0,IF(B314=C314,N314/C314,IF((INT(N314/B314)+(((N314-B314*INT(N314/B314)))/C314)/100)&lt;0,(INT(N314/B314)+(((N314-B314*INT(N314/B314)))/C314)/100)+(1-(B314/C314/100)),(INT(N314/B314)+(((N314-B314*INT(N314/B314)))/C314)/100))))</f>
        <v>0</v>
      </c>
      <c r="AZ314" s="57">
        <f>IF(ISERROR(IF(B314=C314,O314/C314,(INT(O314/B314)+(((O314-B314*INT(O314/B314)))/C314)/100))),0,(IF(B314=C314,O314/C314,(INT(O314/B314)+(((O314-B314*INT(O314/B314)))/C314)/100))))</f>
        <v>0</v>
      </c>
      <c r="BA314" s="57">
        <f>IF(ISERROR(IF(B314=C314,P314/C314,IF((INT(P314/B314)+(((P314-B314*INT(P314/B314)))/C314)/100)&lt;0,(INT(P314/B314)+(((P314-B314*INT(P314/B314)))/C314)/100)+(1-(B314/C314/100)),(INT(P314/B314)+(((P314-B314*INT(P314/B314)))/C314)/100)))),0,IF(B314=C314,P314/C314,IF((INT(P314/B314)+(((P314-B314*INT(P314/B314)))/C314)/100)&lt;0,(INT(P314/B314)+(((P314-B314*INT(P314/B314)))/C314)/100)+(1-(B314/C314/100)),(INT(P314/B314)+(((P314-B314*INT(P314/B314)))/C314)/100))))</f>
        <v>0</v>
      </c>
      <c r="BB314" s="28">
        <f>R314</f>
        <v>0</v>
      </c>
      <c r="BC314" s="28">
        <f>S314</f>
        <v>0</v>
      </c>
      <c r="BD314" s="28">
        <f>AF314</f>
        <v>0</v>
      </c>
      <c r="BE314" s="28">
        <f>T314</f>
        <v>0</v>
      </c>
      <c r="BG314" s="57">
        <f>IF(ISERROR(IF(B314=C314,V314/C314,(INT(V314/B314)+(((V314-B314*INT(V314/B314)))/C314)/100))),0,(IF(B314=C314,V314/C314,(INT(V314/B314)+(((V314-B314*INT(V314/B314)))/C314)/100))))</f>
        <v>0</v>
      </c>
      <c r="BH314" s="57">
        <f>IF(ISERROR(IF(B314=C314,W314/C314,(INT(W314/B314)+(((W314-B314*INT(W314/B314)))/C314)/100))),0,(IF(B314=C314,W314/C314,(INT(W314/B314)+(((W314-B314*INT(W314/B314)))/C314)/100))))</f>
        <v>0</v>
      </c>
      <c r="BI314" s="57">
        <f>IF(ISERROR(IF(B314=C314,X314/C314,(INT(X314/B314)+(((X314-B314*INT(X314/B314)))/C314)/100))),0,(IF(B314=C314,X314/C314,(INT(X314/B314)+(((X314-B314*INT(X314/B314)))/C314)/100))))</f>
        <v>0</v>
      </c>
      <c r="BJ314" s="57">
        <f>IF(ISERROR(IF(B314=C314,Y314/C314,(INT(Y314/B314)+(((Y314-B314*INT(Y314/B314)))/C314)/100))),0,(IF(B314=C314,Y314/C314,(INT(Y314/B314)+(((Y314-B314*INT(Y314/B314)))/C314)/100))))</f>
        <v>0</v>
      </c>
      <c r="BL314" s="57">
        <f>IF(ISERROR(IF(B314=C314,AA314/C314,(INT(AA314/B314)+(((AA314-B314*INT(AA314/B314)))/C314)/100))),0,(IF(B314=C314,AA314/C314,(INT(AA314/B314)+(((AA314-B314*INT(AA314/B314)))/C314)/100))))</f>
        <v>0</v>
      </c>
      <c r="BM314" s="57">
        <f>IF(ISERROR(IF(B314=C314,AB314/C314,(INT(AB314/B314)+(((AB314-B314*INT(AB314/B314)))/C314)/100))),0,(IF(B314=C314,AB314/C314,(INT(AB314/B314)+(((AB314-B314*INT(AB314/B314)))/C314)/100))))</f>
        <v>0</v>
      </c>
      <c r="BN314" s="57">
        <f>IF(ISERROR(IF(B314=C314,AC314/C314,(INT(AC314/B314)+(((AC314-B314*INT(AC314/B314)))/C314)/100))),0,(IF(B314=C314,AC314/C314,(INT(AC314/B314)+(((AC314-B314*INT(AC314/B314)))/C314)/100))))</f>
        <v>0</v>
      </c>
      <c r="BO314" s="57">
        <f>IF(ISERROR(IF(B314=C314,AD314/C314,(INT(AD314/B314)+(((AD314-B314*INT(AD314/B314)))/C314)/100))),0,(IF(B314=C314,AD314/C314,(INT(AD314/B314)+(((AD314-B314*INT(AD314/B314)))/C314)/100))))</f>
        <v>0</v>
      </c>
      <c r="BQ314" s="155"/>
    </row>
    <row r="315" spans="1:69" hidden="1" x14ac:dyDescent="0.35">
      <c r="A315" s="94"/>
      <c r="B315" s="113">
        <v>0</v>
      </c>
      <c r="C315" s="113">
        <v>0</v>
      </c>
      <c r="D315" s="28">
        <f>SUM(AA315:AD315)</f>
        <v>0</v>
      </c>
      <c r="E315" s="113">
        <v>0</v>
      </c>
      <c r="F315" s="113">
        <v>0</v>
      </c>
      <c r="G315" s="28">
        <f>SUM(D315:F315)</f>
        <v>0</v>
      </c>
      <c r="H315" s="125">
        <v>0</v>
      </c>
      <c r="I315" s="113">
        <v>0</v>
      </c>
      <c r="J315" s="125">
        <v>0</v>
      </c>
      <c r="K315" s="113">
        <v>0</v>
      </c>
      <c r="L315" s="113">
        <v>0</v>
      </c>
      <c r="M315" s="113">
        <v>0</v>
      </c>
      <c r="N315" s="28">
        <f>G315-SUM(H315:M315)</f>
        <v>0</v>
      </c>
      <c r="O315" s="28">
        <f>SUM(V315:Y315)</f>
        <v>0</v>
      </c>
      <c r="P315" s="28">
        <f>O315-N315</f>
        <v>0</v>
      </c>
      <c r="Q315" s="61" t="str">
        <f>IF(ISERROR(P315/SUM(H315:L315)),"",P315/SUM(H315:L315))</f>
        <v/>
      </c>
      <c r="R315" s="113">
        <v>0</v>
      </c>
      <c r="S315" s="28">
        <f>IF(ISERROR(P315/C315*R315),0,(P315/C315*R315))</f>
        <v>0</v>
      </c>
      <c r="T315" s="60">
        <f>IF(ISERROR(P315/B315*AF315),0,(P315/B315*AF315))</f>
        <v>0</v>
      </c>
      <c r="V315" s="113">
        <v>0</v>
      </c>
      <c r="W315" s="113">
        <v>0</v>
      </c>
      <c r="X315" s="113">
        <v>0</v>
      </c>
      <c r="Y315" s="113">
        <v>0</v>
      </c>
      <c r="AA315" s="113">
        <v>0</v>
      </c>
      <c r="AB315" s="113">
        <v>0</v>
      </c>
      <c r="AC315" s="113">
        <v>0</v>
      </c>
      <c r="AD315" s="113">
        <v>0</v>
      </c>
      <c r="AF315" s="113">
        <v>0</v>
      </c>
      <c r="AG315" s="28">
        <f>G315-O315</f>
        <v>0</v>
      </c>
      <c r="AH315" s="58">
        <f>IF(ISERROR(AG315/B315*AF315),0,(AG315/B315*AF315))</f>
        <v>0</v>
      </c>
      <c r="AI315" s="28">
        <f>SUM(H315:M315)</f>
        <v>0</v>
      </c>
      <c r="AJ315" s="28">
        <f>IF(ISERROR(AI315/B315*AF315),0,(AI315/B315*AF315))</f>
        <v>0</v>
      </c>
      <c r="AK315" s="58">
        <f>IF(ISERROR(O315/B315*AF315),0,(O315/B315*AF315))</f>
        <v>0</v>
      </c>
      <c r="AL315" s="28">
        <f>IF(ISERROR(H315/B315*AF315),0,(H315/B315*AF315))</f>
        <v>0</v>
      </c>
      <c r="AN315" s="51">
        <f>A315</f>
        <v>0</v>
      </c>
      <c r="AO315" s="57">
        <f>IF(ISERROR(IF(B315=C315,D315/C315,(INT(D315/B315)+(((D315-B315*INT(D315/B315)))/C315)/100))),0,(IF(B315=C315,D315/C315,(INT(D315/B315)+(((D315-B315*INT(D315/B315)))/C315)/100))))</f>
        <v>0</v>
      </c>
      <c r="AP315" s="57">
        <f>IF(ISERROR(IF(B315=C315,E315/C315,(INT(E315/B315)+(((E315-B315*INT(E315/B315)))/C315)/100))),0,(IF(B315=C315,E315/C315,(INT(E315/B315)+(((E315-B315*INT(E315/B315)))/C315)/100))))</f>
        <v>0</v>
      </c>
      <c r="AQ315" s="57">
        <f>IF(ISERROR(IF(B315=C315,F315/C315,IF((INT(F315/B315)+(((F315-B315*INT(F315/B315)))/C315)/100)&lt;0,(INT(F315/B315)+(((F315-B315*INT(F315/B315)))/C315)/100)+(1-(B315/C315/100)),(INT(F315/B315)+(((F315-B315*INT(F315/B315)))/C315)/100)))),0,IF(B315=C315,F315/C315,IF((INT(F315/B315)+(((F315-B315*INT(F315/B315)))/C315)/100)&lt;0,(INT(F315/B315)+(((F315-B315*INT(F315/B315)))/C315)/100)+(1-(B315/C315/100)),(INT(F315/B315)+(((F315-B315*INT(F315/B315)))/C315)/100))))</f>
        <v>0</v>
      </c>
      <c r="AR315" s="57">
        <f>IF(ISERROR(IF(B315=C315,G315/C315,(INT(G315/B315)+(((G315-B315*INT(G315/B315)))/C315)/100))),0,(IF(B315=C315,G315/C315,(INT(G315/B315)+(((G315-B315*INT(G315/B315)))/C315)/100))))</f>
        <v>0</v>
      </c>
      <c r="AS315" s="57">
        <f>IF(ISERROR(IF(B315=C315,H315/C315,(INT(H315/B315)+(((H315-B315*INT(H315/B315)))/C315)/100))),0,(IF(B315=C315,H315/C315,(INT(H315/B315)+(((H315-B315*INT(H315/B315)))/C315)/100))))</f>
        <v>0</v>
      </c>
      <c r="AT315" s="57">
        <f>IF(ISERROR(IF(B315=C315,I315/C315,(INT(I315/B315)+(((I315-B315*INT(I315/B315)))/C315)/100))),0,(IF(B315=C315,I315/C315,(INT(I315/B315)+(((I315-B315*INT(I315/B315)))/C315)/100))))</f>
        <v>0</v>
      </c>
      <c r="AU315" s="57">
        <f>IF(ISERROR(IF(B315=C315,J315/C315,(INT(J315/B315)+(((J315-B315*INT(J315/B315)))/C315)/100))),0,(IF(B315=C315,J315/C315,(INT(J315/B315)+(((J315-B315*INT(J315/B315)))/C315)/100))))</f>
        <v>0</v>
      </c>
      <c r="AV315" s="57">
        <f>IF(ISERROR(IF(B315=C315,K315/C315,IF((INT(K315/B315)+(((K315-B315*INT(K315/B315)))/C315)/100)&lt;0,(INT(K315/B315)+(((K315-B315*INT(K315/B315)))/C315)/100)+(1-(B315/C315/100)),(INT(K315/B315)+(((K315-B315*INT(K315/B315)))/C315)/100)))),0,IF(B315=C315,K315/C315,IF((INT(K315/B315)+(((K315-B315*INT(K315/B315)))/C315)/100)&lt;0,(INT(K315/B315)+(((K315-B315*INT(K315/B315)))/C315)/100)+(1-(B315/C315/100)),(INT(K315/B315)+(((K315-B315*INT(K315/B315)))/C315)/100))))</f>
        <v>0</v>
      </c>
      <c r="AW315" s="57">
        <f>IF(ISERROR(IF(B315=C315,L315/C315,(INT(L315/B315)+(((L315-B315*INT(L315/B315)))/C315)/100))),0,(IF(B315=C315,L315/C315,(INT(L315/B315)+(((L315-B315*INT(L315/B315)))/C315)/100))))</f>
        <v>0</v>
      </c>
      <c r="AX315" s="57">
        <f>IF(ISERROR(IF(B315=C315,M315/C315,(INT(M315/B315)+(((M315-B315*INT(M315/B315)))/C315)/100))),0,(IF(B315=C315,M315/C315,(INT(M315/B315)+(((M315-B315*INT(M315/B315)))/C315)/100))))</f>
        <v>0</v>
      </c>
      <c r="AY315" s="57">
        <f>IF(ISERROR(IF(B315=C315,N315/C315,IF((INT(N315/B315)+(((N315-B315*INT(N315/B315)))/C315)/100)&lt;0,(INT(N315/B315)+(((N315-B315*INT(N315/B315)))/C315)/100)+(1-(B315/C315/100)),(INT(N315/B315)+(((N315-B315*INT(N315/B315)))/C315)/100)))),0,IF(B315=C315,N315/C315,IF((INT(N315/B315)+(((N315-B315*INT(N315/B315)))/C315)/100)&lt;0,(INT(N315/B315)+(((N315-B315*INT(N315/B315)))/C315)/100)+(1-(B315/C315/100)),(INT(N315/B315)+(((N315-B315*INT(N315/B315)))/C315)/100))))</f>
        <v>0</v>
      </c>
      <c r="AZ315" s="57">
        <f>IF(ISERROR(IF(B315=C315,O315/C315,(INT(O315/B315)+(((O315-B315*INT(O315/B315)))/C315)/100))),0,(IF(B315=C315,O315/C315,(INT(O315/B315)+(((O315-B315*INT(O315/B315)))/C315)/100))))</f>
        <v>0</v>
      </c>
      <c r="BA315" s="57">
        <f>IF(ISERROR(IF(B315=C315,P315/C315,IF((INT(P315/B315)+(((P315-B315*INT(P315/B315)))/C315)/100)&lt;0,(INT(P315/B315)+(((P315-B315*INT(P315/B315)))/C315)/100)+(1-(B315/C315/100)),(INT(P315/B315)+(((P315-B315*INT(P315/B315)))/C315)/100)))),0,IF(B315=C315,P315/C315,IF((INT(P315/B315)+(((P315-B315*INT(P315/B315)))/C315)/100)&lt;0,(INT(P315/B315)+(((P315-B315*INT(P315/B315)))/C315)/100)+(1-(B315/C315/100)),(INT(P315/B315)+(((P315-B315*INT(P315/B315)))/C315)/100))))</f>
        <v>0</v>
      </c>
      <c r="BB315" s="28">
        <f>R315</f>
        <v>0</v>
      </c>
      <c r="BC315" s="28">
        <f>S315</f>
        <v>0</v>
      </c>
      <c r="BD315" s="28">
        <f>AF315</f>
        <v>0</v>
      </c>
      <c r="BE315" s="28">
        <f>T315</f>
        <v>0</v>
      </c>
      <c r="BG315" s="57">
        <f>IF(ISERROR(IF(B315=C315,V315/C315,(INT(V315/B315)+(((V315-B315*INT(V315/B315)))/C315)/100))),0,(IF(B315=C315,V315/C315,(INT(V315/B315)+(((V315-B315*INT(V315/B315)))/C315)/100))))</f>
        <v>0</v>
      </c>
      <c r="BH315" s="57">
        <f>IF(ISERROR(IF(B315=C315,W315/C315,(INT(W315/B315)+(((W315-B315*INT(W315/B315)))/C315)/100))),0,(IF(B315=C315,W315/C315,(INT(W315/B315)+(((W315-B315*INT(W315/B315)))/C315)/100))))</f>
        <v>0</v>
      </c>
      <c r="BI315" s="57">
        <f>IF(ISERROR(IF(B315=C315,X315/C315,(INT(X315/B315)+(((X315-B315*INT(X315/B315)))/C315)/100))),0,(IF(B315=C315,X315/C315,(INT(X315/B315)+(((X315-B315*INT(X315/B315)))/C315)/100))))</f>
        <v>0</v>
      </c>
      <c r="BJ315" s="57">
        <f>IF(ISERROR(IF(B315=C315,Y315/C315,(INT(Y315/B315)+(((Y315-B315*INT(Y315/B315)))/C315)/100))),0,(IF(B315=C315,Y315/C315,(INT(Y315/B315)+(((Y315-B315*INT(Y315/B315)))/C315)/100))))</f>
        <v>0</v>
      </c>
      <c r="BL315" s="57">
        <f>IF(ISERROR(IF(B315=C315,AA315/C315,(INT(AA315/B315)+(((AA315-B315*INT(AA315/B315)))/C315)/100))),0,(IF(B315=C315,AA315/C315,(INT(AA315/B315)+(((AA315-B315*INT(AA315/B315)))/C315)/100))))</f>
        <v>0</v>
      </c>
      <c r="BM315" s="57">
        <f>IF(ISERROR(IF(B315=C315,AB315/C315,(INT(AB315/B315)+(((AB315-B315*INT(AB315/B315)))/C315)/100))),0,(IF(B315=C315,AB315/C315,(INT(AB315/B315)+(((AB315-B315*INT(AB315/B315)))/C315)/100))))</f>
        <v>0</v>
      </c>
      <c r="BN315" s="57">
        <f>IF(ISERROR(IF(B315=C315,AC315/C315,(INT(AC315/B315)+(((AC315-B315*INT(AC315/B315)))/C315)/100))),0,(IF(B315=C315,AC315/C315,(INT(AC315/B315)+(((AC315-B315*INT(AC315/B315)))/C315)/100))))</f>
        <v>0</v>
      </c>
      <c r="BO315" s="57">
        <f>IF(ISERROR(IF(B315=C315,AD315/C315,(INT(AD315/B315)+(((AD315-B315*INT(AD315/B315)))/C315)/100))),0,(IF(B315=C315,AD315/C315,(INT(AD315/B315)+(((AD315-B315*INT(AD315/B315)))/C315)/100))))</f>
        <v>0</v>
      </c>
      <c r="BQ315" s="155"/>
    </row>
    <row r="316" spans="1:69" hidden="1" x14ac:dyDescent="0.35">
      <c r="A316" s="94"/>
      <c r="B316" s="113">
        <v>0</v>
      </c>
      <c r="C316" s="113">
        <v>0</v>
      </c>
      <c r="D316" s="28">
        <f>SUM(AA316:AD316)</f>
        <v>0</v>
      </c>
      <c r="E316" s="113">
        <v>0</v>
      </c>
      <c r="F316" s="113">
        <v>0</v>
      </c>
      <c r="G316" s="28">
        <f>SUM(D316:F316)</f>
        <v>0</v>
      </c>
      <c r="H316" s="125">
        <v>0</v>
      </c>
      <c r="I316" s="113">
        <v>0</v>
      </c>
      <c r="J316" s="125">
        <v>0</v>
      </c>
      <c r="K316" s="113">
        <v>0</v>
      </c>
      <c r="L316" s="113">
        <v>0</v>
      </c>
      <c r="M316" s="113">
        <v>0</v>
      </c>
      <c r="N316" s="28">
        <f>G316-SUM(H316:M316)</f>
        <v>0</v>
      </c>
      <c r="O316" s="28">
        <f>SUM(V316:Y316)</f>
        <v>0</v>
      </c>
      <c r="P316" s="28">
        <f>O316-N316</f>
        <v>0</v>
      </c>
      <c r="Q316" s="61" t="str">
        <f>IF(ISERROR(P316/SUM(H316:L316)),"",P316/SUM(H316:L316))</f>
        <v/>
      </c>
      <c r="R316" s="113">
        <v>0</v>
      </c>
      <c r="S316" s="28">
        <f>IF(ISERROR(P316/C316*R316),0,(P316/C316*R316))</f>
        <v>0</v>
      </c>
      <c r="T316" s="60">
        <f>IF(ISERROR(P316/B316*AF316),0,(P316/B316*AF316))</f>
        <v>0</v>
      </c>
      <c r="V316" s="113">
        <v>0</v>
      </c>
      <c r="W316" s="113">
        <v>0</v>
      </c>
      <c r="X316" s="113">
        <v>0</v>
      </c>
      <c r="Y316" s="113">
        <v>0</v>
      </c>
      <c r="AA316" s="113">
        <v>0</v>
      </c>
      <c r="AB316" s="113">
        <v>0</v>
      </c>
      <c r="AC316" s="113">
        <v>0</v>
      </c>
      <c r="AD316" s="113">
        <v>0</v>
      </c>
      <c r="AF316" s="113">
        <v>0</v>
      </c>
      <c r="AG316" s="28">
        <f>G316-O316</f>
        <v>0</v>
      </c>
      <c r="AH316" s="58">
        <f>IF(ISERROR(AG316/B316*AF316),0,(AG316/B316*AF316))</f>
        <v>0</v>
      </c>
      <c r="AI316" s="28">
        <f>SUM(H316:M316)</f>
        <v>0</v>
      </c>
      <c r="AJ316" s="28">
        <f>IF(ISERROR(AI316/B316*AF316),0,(AI316/B316*AF316))</f>
        <v>0</v>
      </c>
      <c r="AK316" s="58">
        <f>IF(ISERROR(O316/B316*AF316),0,(O316/B316*AF316))</f>
        <v>0</v>
      </c>
      <c r="AL316" s="28">
        <f>IF(ISERROR(H316/B316*AF316),0,(H316/B316*AF316))</f>
        <v>0</v>
      </c>
      <c r="AN316" s="51">
        <f>A316</f>
        <v>0</v>
      </c>
      <c r="AO316" s="57">
        <f>IF(ISERROR(IF(B316=C316,D316/C316,(INT(D316/B316)+(((D316-B316*INT(D316/B316)))/C316)/100))),0,(IF(B316=C316,D316/C316,(INT(D316/B316)+(((D316-B316*INT(D316/B316)))/C316)/100))))</f>
        <v>0</v>
      </c>
      <c r="AP316" s="57">
        <f>IF(ISERROR(IF(B316=C316,E316/C316,(INT(E316/B316)+(((E316-B316*INT(E316/B316)))/C316)/100))),0,(IF(B316=C316,E316/C316,(INT(E316/B316)+(((E316-B316*INT(E316/B316)))/C316)/100))))</f>
        <v>0</v>
      </c>
      <c r="AQ316" s="57">
        <f>IF(ISERROR(IF(B316=C316,F316/C316,IF((INT(F316/B316)+(((F316-B316*INT(F316/B316)))/C316)/100)&lt;0,(INT(F316/B316)+(((F316-B316*INT(F316/B316)))/C316)/100)+(1-(B316/C316/100)),(INT(F316/B316)+(((F316-B316*INT(F316/B316)))/C316)/100)))),0,IF(B316=C316,F316/C316,IF((INT(F316/B316)+(((F316-B316*INT(F316/B316)))/C316)/100)&lt;0,(INT(F316/B316)+(((F316-B316*INT(F316/B316)))/C316)/100)+(1-(B316/C316/100)),(INT(F316/B316)+(((F316-B316*INT(F316/B316)))/C316)/100))))</f>
        <v>0</v>
      </c>
      <c r="AR316" s="57">
        <f>IF(ISERROR(IF(B316=C316,G316/C316,(INT(G316/B316)+(((G316-B316*INT(G316/B316)))/C316)/100))),0,(IF(B316=C316,G316/C316,(INT(G316/B316)+(((G316-B316*INT(G316/B316)))/C316)/100))))</f>
        <v>0</v>
      </c>
      <c r="AS316" s="57">
        <f>IF(ISERROR(IF(B316=C316,H316/C316,(INT(H316/B316)+(((H316-B316*INT(H316/B316)))/C316)/100))),0,(IF(B316=C316,H316/C316,(INT(H316/B316)+(((H316-B316*INT(H316/B316)))/C316)/100))))</f>
        <v>0</v>
      </c>
      <c r="AT316" s="57">
        <f>IF(ISERROR(IF(B316=C316,I316/C316,(INT(I316/B316)+(((I316-B316*INT(I316/B316)))/C316)/100))),0,(IF(B316=C316,I316/C316,(INT(I316/B316)+(((I316-B316*INT(I316/B316)))/C316)/100))))</f>
        <v>0</v>
      </c>
      <c r="AU316" s="57">
        <f>IF(ISERROR(IF(B316=C316,J316/C316,(INT(J316/B316)+(((J316-B316*INT(J316/B316)))/C316)/100))),0,(IF(B316=C316,J316/C316,(INT(J316/B316)+(((J316-B316*INT(J316/B316)))/C316)/100))))</f>
        <v>0</v>
      </c>
      <c r="AV316" s="57">
        <f>IF(ISERROR(IF(B316=C316,K316/C316,IF((INT(K316/B316)+(((K316-B316*INT(K316/B316)))/C316)/100)&lt;0,(INT(K316/B316)+(((K316-B316*INT(K316/B316)))/C316)/100)+(1-(B316/C316/100)),(INT(K316/B316)+(((K316-B316*INT(K316/B316)))/C316)/100)))),0,IF(B316=C316,K316/C316,IF((INT(K316/B316)+(((K316-B316*INT(K316/B316)))/C316)/100)&lt;0,(INT(K316/B316)+(((K316-B316*INT(K316/B316)))/C316)/100)+(1-(B316/C316/100)),(INT(K316/B316)+(((K316-B316*INT(K316/B316)))/C316)/100))))</f>
        <v>0</v>
      </c>
      <c r="AW316" s="57">
        <f>IF(ISERROR(IF(B316=C316,L316/C316,(INT(L316/B316)+(((L316-B316*INT(L316/B316)))/C316)/100))),0,(IF(B316=C316,L316/C316,(INT(L316/B316)+(((L316-B316*INT(L316/B316)))/C316)/100))))</f>
        <v>0</v>
      </c>
      <c r="AX316" s="57">
        <f>IF(ISERROR(IF(B316=C316,M316/C316,(INT(M316/B316)+(((M316-B316*INT(M316/B316)))/C316)/100))),0,(IF(B316=C316,M316/C316,(INT(M316/B316)+(((M316-B316*INT(M316/B316)))/C316)/100))))</f>
        <v>0</v>
      </c>
      <c r="AY316" s="57">
        <f>IF(ISERROR(IF(B316=C316,N316/C316,IF((INT(N316/B316)+(((N316-B316*INT(N316/B316)))/C316)/100)&lt;0,(INT(N316/B316)+(((N316-B316*INT(N316/B316)))/C316)/100)+(1-(B316/C316/100)),(INT(N316/B316)+(((N316-B316*INT(N316/B316)))/C316)/100)))),0,IF(B316=C316,N316/C316,IF((INT(N316/B316)+(((N316-B316*INT(N316/B316)))/C316)/100)&lt;0,(INT(N316/B316)+(((N316-B316*INT(N316/B316)))/C316)/100)+(1-(B316/C316/100)),(INT(N316/B316)+(((N316-B316*INT(N316/B316)))/C316)/100))))</f>
        <v>0</v>
      </c>
      <c r="AZ316" s="57">
        <f>IF(ISERROR(IF(B316=C316,O316/C316,(INT(O316/B316)+(((O316-B316*INT(O316/B316)))/C316)/100))),0,(IF(B316=C316,O316/C316,(INT(O316/B316)+(((O316-B316*INT(O316/B316)))/C316)/100))))</f>
        <v>0</v>
      </c>
      <c r="BA316" s="57">
        <f>IF(ISERROR(IF(B316=C316,P316/C316,IF((INT(P316/B316)+(((P316-B316*INT(P316/B316)))/C316)/100)&lt;0,(INT(P316/B316)+(((P316-B316*INT(P316/B316)))/C316)/100)+(1-(B316/C316/100)),(INT(P316/B316)+(((P316-B316*INT(P316/B316)))/C316)/100)))),0,IF(B316=C316,P316/C316,IF((INT(P316/B316)+(((P316-B316*INT(P316/B316)))/C316)/100)&lt;0,(INT(P316/B316)+(((P316-B316*INT(P316/B316)))/C316)/100)+(1-(B316/C316/100)),(INT(P316/B316)+(((P316-B316*INT(P316/B316)))/C316)/100))))</f>
        <v>0</v>
      </c>
      <c r="BB316" s="28">
        <f>R316</f>
        <v>0</v>
      </c>
      <c r="BC316" s="28">
        <f>S316</f>
        <v>0</v>
      </c>
      <c r="BD316" s="28">
        <f>AF316</f>
        <v>0</v>
      </c>
      <c r="BE316" s="28">
        <f>T316</f>
        <v>0</v>
      </c>
      <c r="BG316" s="57">
        <f>IF(ISERROR(IF(B316=C316,V316/C316,(INT(V316/B316)+(((V316-B316*INT(V316/B316)))/C316)/100))),0,(IF(B316=C316,V316/C316,(INT(V316/B316)+(((V316-B316*INT(V316/B316)))/C316)/100))))</f>
        <v>0</v>
      </c>
      <c r="BH316" s="57">
        <f>IF(ISERROR(IF(B316=C316,W316/C316,(INT(W316/B316)+(((W316-B316*INT(W316/B316)))/C316)/100))),0,(IF(B316=C316,W316/C316,(INT(W316/B316)+(((W316-B316*INT(W316/B316)))/C316)/100))))</f>
        <v>0</v>
      </c>
      <c r="BI316" s="57">
        <f>IF(ISERROR(IF(B316=C316,X316/C316,(INT(X316/B316)+(((X316-B316*INT(X316/B316)))/C316)/100))),0,(IF(B316=C316,X316/C316,(INT(X316/B316)+(((X316-B316*INT(X316/B316)))/C316)/100))))</f>
        <v>0</v>
      </c>
      <c r="BJ316" s="57">
        <f>IF(ISERROR(IF(B316=C316,Y316/C316,(INT(Y316/B316)+(((Y316-B316*INT(Y316/B316)))/C316)/100))),0,(IF(B316=C316,Y316/C316,(INT(Y316/B316)+(((Y316-B316*INT(Y316/B316)))/C316)/100))))</f>
        <v>0</v>
      </c>
      <c r="BL316" s="57">
        <f>IF(ISERROR(IF(B316=C316,AA316/C316,(INT(AA316/B316)+(((AA316-B316*INT(AA316/B316)))/C316)/100))),0,(IF(B316=C316,AA316/C316,(INT(AA316/B316)+(((AA316-B316*INT(AA316/B316)))/C316)/100))))</f>
        <v>0</v>
      </c>
      <c r="BM316" s="57">
        <f>IF(ISERROR(IF(B316=C316,AB316/C316,(INT(AB316/B316)+(((AB316-B316*INT(AB316/B316)))/C316)/100))),0,(IF(B316=C316,AB316/C316,(INT(AB316/B316)+(((AB316-B316*INT(AB316/B316)))/C316)/100))))</f>
        <v>0</v>
      </c>
      <c r="BN316" s="57">
        <f>IF(ISERROR(IF(B316=C316,AC316/C316,(INT(AC316/B316)+(((AC316-B316*INT(AC316/B316)))/C316)/100))),0,(IF(B316=C316,AC316/C316,(INT(AC316/B316)+(((AC316-B316*INT(AC316/B316)))/C316)/100))))</f>
        <v>0</v>
      </c>
      <c r="BO316" s="57">
        <f>IF(ISERROR(IF(B316=C316,AD316/C316,(INT(AD316/B316)+(((AD316-B316*INT(AD316/B316)))/C316)/100))),0,(IF(B316=C316,AD316/C316,(INT(AD316/B316)+(((AD316-B316*INT(AD316/B316)))/C316)/100))))</f>
        <v>0</v>
      </c>
      <c r="BQ316" s="155"/>
    </row>
    <row r="317" spans="1:69" hidden="1" x14ac:dyDescent="0.35">
      <c r="A317" s="94"/>
      <c r="B317" s="113">
        <v>0</v>
      </c>
      <c r="C317" s="113">
        <v>0</v>
      </c>
      <c r="D317" s="28">
        <f>SUM(AA317:AD317)</f>
        <v>0</v>
      </c>
      <c r="E317" s="113">
        <v>0</v>
      </c>
      <c r="F317" s="113">
        <v>0</v>
      </c>
      <c r="G317" s="28">
        <f>SUM(D317:F317)</f>
        <v>0</v>
      </c>
      <c r="H317" s="125">
        <v>0</v>
      </c>
      <c r="I317" s="113">
        <v>0</v>
      </c>
      <c r="J317" s="125">
        <v>0</v>
      </c>
      <c r="K317" s="113">
        <v>0</v>
      </c>
      <c r="L317" s="113">
        <v>0</v>
      </c>
      <c r="M317" s="113">
        <v>0</v>
      </c>
      <c r="N317" s="28">
        <f>G317-SUM(H317:M317)</f>
        <v>0</v>
      </c>
      <c r="O317" s="28">
        <f>SUM(V317:Y317)</f>
        <v>0</v>
      </c>
      <c r="P317" s="28">
        <f>O317-N317</f>
        <v>0</v>
      </c>
      <c r="Q317" s="61" t="str">
        <f>IF(ISERROR(P317/SUM(H317:L317)),"",P317/SUM(H317:L317))</f>
        <v/>
      </c>
      <c r="R317" s="113">
        <v>0</v>
      </c>
      <c r="S317" s="28">
        <f>IF(ISERROR(P317/C317*R317),0,(P317/C317*R317))</f>
        <v>0</v>
      </c>
      <c r="T317" s="60">
        <f>IF(ISERROR(P317/B317*AF317),0,(P317/B317*AF317))</f>
        <v>0</v>
      </c>
      <c r="V317" s="113">
        <v>0</v>
      </c>
      <c r="W317" s="113">
        <v>0</v>
      </c>
      <c r="X317" s="113">
        <v>0</v>
      </c>
      <c r="Y317" s="113">
        <v>0</v>
      </c>
      <c r="AA317" s="113">
        <v>0</v>
      </c>
      <c r="AB317" s="113">
        <v>0</v>
      </c>
      <c r="AC317" s="113">
        <v>0</v>
      </c>
      <c r="AD317" s="113">
        <v>0</v>
      </c>
      <c r="AF317" s="113">
        <v>0</v>
      </c>
      <c r="AG317" s="28">
        <f>G317-O317</f>
        <v>0</v>
      </c>
      <c r="AH317" s="58">
        <f>IF(ISERROR(AG317/B317*AF317),0,(AG317/B317*AF317))</f>
        <v>0</v>
      </c>
      <c r="AI317" s="28">
        <f>SUM(H317:M317)</f>
        <v>0</v>
      </c>
      <c r="AJ317" s="28">
        <f>IF(ISERROR(AI317/B317*AF317),0,(AI317/B317*AF317))</f>
        <v>0</v>
      </c>
      <c r="AK317" s="58">
        <f>IF(ISERROR(O317/B317*AF317),0,(O317/B317*AF317))</f>
        <v>0</v>
      </c>
      <c r="AL317" s="28">
        <f>IF(ISERROR(H317/B317*AF317),0,(H317/B317*AF317))</f>
        <v>0</v>
      </c>
      <c r="AN317" s="51">
        <f>A317</f>
        <v>0</v>
      </c>
      <c r="AO317" s="57">
        <f>IF(ISERROR(IF(B317=C317,D317/C317,(INT(D317/B317)+(((D317-B317*INT(D317/B317)))/C317)/100))),0,(IF(B317=C317,D317/C317,(INT(D317/B317)+(((D317-B317*INT(D317/B317)))/C317)/100))))</f>
        <v>0</v>
      </c>
      <c r="AP317" s="57">
        <f>IF(ISERROR(IF(B317=C317,E317/C317,(INT(E317/B317)+(((E317-B317*INT(E317/B317)))/C317)/100))),0,(IF(B317=C317,E317/C317,(INT(E317/B317)+(((E317-B317*INT(E317/B317)))/C317)/100))))</f>
        <v>0</v>
      </c>
      <c r="AQ317" s="57">
        <f>IF(ISERROR(IF(B317=C317,F317/C317,IF((INT(F317/B317)+(((F317-B317*INT(F317/B317)))/C317)/100)&lt;0,(INT(F317/B317)+(((F317-B317*INT(F317/B317)))/C317)/100)+(1-(B317/C317/100)),(INT(F317/B317)+(((F317-B317*INT(F317/B317)))/C317)/100)))),0,IF(B317=C317,F317/C317,IF((INT(F317/B317)+(((F317-B317*INT(F317/B317)))/C317)/100)&lt;0,(INT(F317/B317)+(((F317-B317*INT(F317/B317)))/C317)/100)+(1-(B317/C317/100)),(INT(F317/B317)+(((F317-B317*INT(F317/B317)))/C317)/100))))</f>
        <v>0</v>
      </c>
      <c r="AR317" s="57">
        <f>IF(ISERROR(IF(B317=C317,G317/C317,(INT(G317/B317)+(((G317-B317*INT(G317/B317)))/C317)/100))),0,(IF(B317=C317,G317/C317,(INT(G317/B317)+(((G317-B317*INT(G317/B317)))/C317)/100))))</f>
        <v>0</v>
      </c>
      <c r="AS317" s="57">
        <f>IF(ISERROR(IF(B317=C317,H317/C317,(INT(H317/B317)+(((H317-B317*INT(H317/B317)))/C317)/100))),0,(IF(B317=C317,H317/C317,(INT(H317/B317)+(((H317-B317*INT(H317/B317)))/C317)/100))))</f>
        <v>0</v>
      </c>
      <c r="AT317" s="57">
        <f>IF(ISERROR(IF(B317=C317,I317/C317,(INT(I317/B317)+(((I317-B317*INT(I317/B317)))/C317)/100))),0,(IF(B317=C317,I317/C317,(INT(I317/B317)+(((I317-B317*INT(I317/B317)))/C317)/100))))</f>
        <v>0</v>
      </c>
      <c r="AU317" s="57">
        <f>IF(ISERROR(IF(B317=C317,J317/C317,(INT(J317/B317)+(((J317-B317*INT(J317/B317)))/C317)/100))),0,(IF(B317=C317,J317/C317,(INT(J317/B317)+(((J317-B317*INT(J317/B317)))/C317)/100))))</f>
        <v>0</v>
      </c>
      <c r="AV317" s="57">
        <f>IF(ISERROR(IF(B317=C317,K317/C317,IF((INT(K317/B317)+(((K317-B317*INT(K317/B317)))/C317)/100)&lt;0,(INT(K317/B317)+(((K317-B317*INT(K317/B317)))/C317)/100)+(1-(B317/C317/100)),(INT(K317/B317)+(((K317-B317*INT(K317/B317)))/C317)/100)))),0,IF(B317=C317,K317/C317,IF((INT(K317/B317)+(((K317-B317*INT(K317/B317)))/C317)/100)&lt;0,(INT(K317/B317)+(((K317-B317*INT(K317/B317)))/C317)/100)+(1-(B317/C317/100)),(INT(K317/B317)+(((K317-B317*INT(K317/B317)))/C317)/100))))</f>
        <v>0</v>
      </c>
      <c r="AW317" s="57">
        <f>IF(ISERROR(IF(B317=C317,L317/C317,(INT(L317/B317)+(((L317-B317*INT(L317/B317)))/C317)/100))),0,(IF(B317=C317,L317/C317,(INT(L317/B317)+(((L317-B317*INT(L317/B317)))/C317)/100))))</f>
        <v>0</v>
      </c>
      <c r="AX317" s="57">
        <f>IF(ISERROR(IF(B317=C317,M317/C317,(INT(M317/B317)+(((M317-B317*INT(M317/B317)))/C317)/100))),0,(IF(B317=C317,M317/C317,(INT(M317/B317)+(((M317-B317*INT(M317/B317)))/C317)/100))))</f>
        <v>0</v>
      </c>
      <c r="AY317" s="57">
        <f>IF(ISERROR(IF(B317=C317,N317/C317,IF((INT(N317/B317)+(((N317-B317*INT(N317/B317)))/C317)/100)&lt;0,(INT(N317/B317)+(((N317-B317*INT(N317/B317)))/C317)/100)+(1-(B317/C317/100)),(INT(N317/B317)+(((N317-B317*INT(N317/B317)))/C317)/100)))),0,IF(B317=C317,N317/C317,IF((INT(N317/B317)+(((N317-B317*INT(N317/B317)))/C317)/100)&lt;0,(INT(N317/B317)+(((N317-B317*INT(N317/B317)))/C317)/100)+(1-(B317/C317/100)),(INT(N317/B317)+(((N317-B317*INT(N317/B317)))/C317)/100))))</f>
        <v>0</v>
      </c>
      <c r="AZ317" s="57">
        <f>IF(ISERROR(IF(B317=C317,O317/C317,(INT(O317/B317)+(((O317-B317*INT(O317/B317)))/C317)/100))),0,(IF(B317=C317,O317/C317,(INT(O317/B317)+(((O317-B317*INT(O317/B317)))/C317)/100))))</f>
        <v>0</v>
      </c>
      <c r="BA317" s="57">
        <f>IF(ISERROR(IF(B317=C317,P317/C317,IF((INT(P317/B317)+(((P317-B317*INT(P317/B317)))/C317)/100)&lt;0,(INT(P317/B317)+(((P317-B317*INT(P317/B317)))/C317)/100)+(1-(B317/C317/100)),(INT(P317/B317)+(((P317-B317*INT(P317/B317)))/C317)/100)))),0,IF(B317=C317,P317/C317,IF((INT(P317/B317)+(((P317-B317*INT(P317/B317)))/C317)/100)&lt;0,(INT(P317/B317)+(((P317-B317*INT(P317/B317)))/C317)/100)+(1-(B317/C317/100)),(INT(P317/B317)+(((P317-B317*INT(P317/B317)))/C317)/100))))</f>
        <v>0</v>
      </c>
      <c r="BB317" s="28">
        <f>R317</f>
        <v>0</v>
      </c>
      <c r="BC317" s="28">
        <f>S317</f>
        <v>0</v>
      </c>
      <c r="BD317" s="28">
        <f>AF317</f>
        <v>0</v>
      </c>
      <c r="BE317" s="28">
        <f>T317</f>
        <v>0</v>
      </c>
      <c r="BG317" s="57">
        <f>IF(ISERROR(IF(B317=C317,V317/C317,(INT(V317/B317)+(((V317-B317*INT(V317/B317)))/C317)/100))),0,(IF(B317=C317,V317/C317,(INT(V317/B317)+(((V317-B317*INT(V317/B317)))/C317)/100))))</f>
        <v>0</v>
      </c>
      <c r="BH317" s="57">
        <f>IF(ISERROR(IF(B317=C317,W317/C317,(INT(W317/B317)+(((W317-B317*INT(W317/B317)))/C317)/100))),0,(IF(B317=C317,W317/C317,(INT(W317/B317)+(((W317-B317*INT(W317/B317)))/C317)/100))))</f>
        <v>0</v>
      </c>
      <c r="BI317" s="57">
        <f>IF(ISERROR(IF(B317=C317,X317/C317,(INT(X317/B317)+(((X317-B317*INT(X317/B317)))/C317)/100))),0,(IF(B317=C317,X317/C317,(INT(X317/B317)+(((X317-B317*INT(X317/B317)))/C317)/100))))</f>
        <v>0</v>
      </c>
      <c r="BJ317" s="57">
        <f>IF(ISERROR(IF(B317=C317,Y317/C317,(INT(Y317/B317)+(((Y317-B317*INT(Y317/B317)))/C317)/100))),0,(IF(B317=C317,Y317/C317,(INT(Y317/B317)+(((Y317-B317*INT(Y317/B317)))/C317)/100))))</f>
        <v>0</v>
      </c>
      <c r="BL317" s="57">
        <f>IF(ISERROR(IF(B317=C317,AA317/C317,(INT(AA317/B317)+(((AA317-B317*INT(AA317/B317)))/C317)/100))),0,(IF(B317=C317,AA317/C317,(INT(AA317/B317)+(((AA317-B317*INT(AA317/B317)))/C317)/100))))</f>
        <v>0</v>
      </c>
      <c r="BM317" s="57">
        <f>IF(ISERROR(IF(B317=C317,AB317/C317,(INT(AB317/B317)+(((AB317-B317*INT(AB317/B317)))/C317)/100))),0,(IF(B317=C317,AB317/C317,(INT(AB317/B317)+(((AB317-B317*INT(AB317/B317)))/C317)/100))))</f>
        <v>0</v>
      </c>
      <c r="BN317" s="57">
        <f>IF(ISERROR(IF(B317=C317,AC317/C317,(INT(AC317/B317)+(((AC317-B317*INT(AC317/B317)))/C317)/100))),0,(IF(B317=C317,AC317/C317,(INT(AC317/B317)+(((AC317-B317*INT(AC317/B317)))/C317)/100))))</f>
        <v>0</v>
      </c>
      <c r="BO317" s="57">
        <f>IF(ISERROR(IF(B317=C317,AD317/C317,(INT(AD317/B317)+(((AD317-B317*INT(AD317/B317)))/C317)/100))),0,(IF(B317=C317,AD317/C317,(INT(AD317/B317)+(((AD317-B317*INT(AD317/B317)))/C317)/100))))</f>
        <v>0</v>
      </c>
      <c r="BQ317" s="155"/>
    </row>
    <row r="318" spans="1:69" hidden="1" x14ac:dyDescent="0.35">
      <c r="A318" s="94"/>
      <c r="B318" s="113">
        <v>0</v>
      </c>
      <c r="C318" s="113">
        <v>0</v>
      </c>
      <c r="D318" s="28">
        <f>SUM(AA318:AD318)</f>
        <v>0</v>
      </c>
      <c r="E318" s="113">
        <v>0</v>
      </c>
      <c r="F318" s="113">
        <v>0</v>
      </c>
      <c r="G318" s="28">
        <f>SUM(D318:F318)</f>
        <v>0</v>
      </c>
      <c r="H318" s="125">
        <v>0</v>
      </c>
      <c r="I318" s="113">
        <v>0</v>
      </c>
      <c r="J318" s="125">
        <v>0</v>
      </c>
      <c r="K318" s="113">
        <v>0</v>
      </c>
      <c r="L318" s="113">
        <v>0</v>
      </c>
      <c r="M318" s="113">
        <v>0</v>
      </c>
      <c r="N318" s="28">
        <f>G318-SUM(H318:M318)</f>
        <v>0</v>
      </c>
      <c r="O318" s="28">
        <f>SUM(V318:Y318)</f>
        <v>0</v>
      </c>
      <c r="P318" s="28">
        <f>O318-N318</f>
        <v>0</v>
      </c>
      <c r="Q318" s="61" t="str">
        <f>IF(ISERROR(P318/SUM(H318:L318)),"",P318/SUM(H318:L318))</f>
        <v/>
      </c>
      <c r="R318" s="113">
        <v>0</v>
      </c>
      <c r="S318" s="28">
        <f>IF(ISERROR(P318/C318*R318),0,(P318/C318*R318))</f>
        <v>0</v>
      </c>
      <c r="T318" s="60">
        <f>IF(ISERROR(P318/B318*AF318),0,(P318/B318*AF318))</f>
        <v>0</v>
      </c>
      <c r="V318" s="113">
        <v>0</v>
      </c>
      <c r="W318" s="113">
        <v>0</v>
      </c>
      <c r="X318" s="113">
        <v>0</v>
      </c>
      <c r="Y318" s="113">
        <v>0</v>
      </c>
      <c r="AA318" s="113">
        <v>0</v>
      </c>
      <c r="AB318" s="113">
        <v>0</v>
      </c>
      <c r="AC318" s="113">
        <v>0</v>
      </c>
      <c r="AD318" s="113">
        <v>0</v>
      </c>
      <c r="AF318" s="113">
        <v>0</v>
      </c>
      <c r="AG318" s="28">
        <f>G318-O318</f>
        <v>0</v>
      </c>
      <c r="AH318" s="58">
        <f>IF(ISERROR(AG318/B318*AF318),0,(AG318/B318*AF318))</f>
        <v>0</v>
      </c>
      <c r="AI318" s="28">
        <f>SUM(H318:M318)</f>
        <v>0</v>
      </c>
      <c r="AJ318" s="28">
        <f>IF(ISERROR(AI318/B318*AF318),0,(AI318/B318*AF318))</f>
        <v>0</v>
      </c>
      <c r="AK318" s="58">
        <f>IF(ISERROR(O318/B318*AF318),0,(O318/B318*AF318))</f>
        <v>0</v>
      </c>
      <c r="AL318" s="28">
        <f>IF(ISERROR(H318/B318*AF318),0,(H318/B318*AF318))</f>
        <v>0</v>
      </c>
      <c r="AN318" s="51">
        <f>A318</f>
        <v>0</v>
      </c>
      <c r="AO318" s="57">
        <f>IF(ISERROR(IF(B318=C318,D318/C318,(INT(D318/B318)+(((D318-B318*INT(D318/B318)))/C318)/100))),0,(IF(B318=C318,D318/C318,(INT(D318/B318)+(((D318-B318*INT(D318/B318)))/C318)/100))))</f>
        <v>0</v>
      </c>
      <c r="AP318" s="57">
        <f>IF(ISERROR(IF(B318=C318,E318/C318,(INT(E318/B318)+(((E318-B318*INT(E318/B318)))/C318)/100))),0,(IF(B318=C318,E318/C318,(INT(E318/B318)+(((E318-B318*INT(E318/B318)))/C318)/100))))</f>
        <v>0</v>
      </c>
      <c r="AQ318" s="57">
        <f>IF(ISERROR(IF(B318=C318,F318/C318,IF((INT(F318/B318)+(((F318-B318*INT(F318/B318)))/C318)/100)&lt;0,(INT(F318/B318)+(((F318-B318*INT(F318/B318)))/C318)/100)+(1-(B318/C318/100)),(INT(F318/B318)+(((F318-B318*INT(F318/B318)))/C318)/100)))),0,IF(B318=C318,F318/C318,IF((INT(F318/B318)+(((F318-B318*INT(F318/B318)))/C318)/100)&lt;0,(INT(F318/B318)+(((F318-B318*INT(F318/B318)))/C318)/100)+(1-(B318/C318/100)),(INT(F318/B318)+(((F318-B318*INT(F318/B318)))/C318)/100))))</f>
        <v>0</v>
      </c>
      <c r="AR318" s="57">
        <f>IF(ISERROR(IF(B318=C318,G318/C318,(INT(G318/B318)+(((G318-B318*INT(G318/B318)))/C318)/100))),0,(IF(B318=C318,G318/C318,(INT(G318/B318)+(((G318-B318*INT(G318/B318)))/C318)/100))))</f>
        <v>0</v>
      </c>
      <c r="AS318" s="57">
        <f>IF(ISERROR(IF(B318=C318,H318/C318,(INT(H318/B318)+(((H318-B318*INT(H318/B318)))/C318)/100))),0,(IF(B318=C318,H318/C318,(INT(H318/B318)+(((H318-B318*INT(H318/B318)))/C318)/100))))</f>
        <v>0</v>
      </c>
      <c r="AT318" s="57">
        <f>IF(ISERROR(IF(B318=C318,I318/C318,(INT(I318/B318)+(((I318-B318*INT(I318/B318)))/C318)/100))),0,(IF(B318=C318,I318/C318,(INT(I318/B318)+(((I318-B318*INT(I318/B318)))/C318)/100))))</f>
        <v>0</v>
      </c>
      <c r="AU318" s="57">
        <f>IF(ISERROR(IF(B318=C318,J318/C318,(INT(J318/B318)+(((J318-B318*INT(J318/B318)))/C318)/100))),0,(IF(B318=C318,J318/C318,(INT(J318/B318)+(((J318-B318*INT(J318/B318)))/C318)/100))))</f>
        <v>0</v>
      </c>
      <c r="AV318" s="57">
        <f>IF(ISERROR(IF(B318=C318,K318/C318,IF((INT(K318/B318)+(((K318-B318*INT(K318/B318)))/C318)/100)&lt;0,(INT(K318/B318)+(((K318-B318*INT(K318/B318)))/C318)/100)+(1-(B318/C318/100)),(INT(K318/B318)+(((K318-B318*INT(K318/B318)))/C318)/100)))),0,IF(B318=C318,K318/C318,IF((INT(K318/B318)+(((K318-B318*INT(K318/B318)))/C318)/100)&lt;0,(INT(K318/B318)+(((K318-B318*INT(K318/B318)))/C318)/100)+(1-(B318/C318/100)),(INT(K318/B318)+(((K318-B318*INT(K318/B318)))/C318)/100))))</f>
        <v>0</v>
      </c>
      <c r="AW318" s="57">
        <f>IF(ISERROR(IF(B318=C318,L318/C318,(INT(L318/B318)+(((L318-B318*INT(L318/B318)))/C318)/100))),0,(IF(B318=C318,L318/C318,(INT(L318/B318)+(((L318-B318*INT(L318/B318)))/C318)/100))))</f>
        <v>0</v>
      </c>
      <c r="AX318" s="57">
        <f>IF(ISERROR(IF(B318=C318,M318/C318,(INT(M318/B318)+(((M318-B318*INT(M318/B318)))/C318)/100))),0,(IF(B318=C318,M318/C318,(INT(M318/B318)+(((M318-B318*INT(M318/B318)))/C318)/100))))</f>
        <v>0</v>
      </c>
      <c r="AY318" s="57">
        <f>IF(ISERROR(IF(B318=C318,N318/C318,IF((INT(N318/B318)+(((N318-B318*INT(N318/B318)))/C318)/100)&lt;0,(INT(N318/B318)+(((N318-B318*INT(N318/B318)))/C318)/100)+(1-(B318/C318/100)),(INT(N318/B318)+(((N318-B318*INT(N318/B318)))/C318)/100)))),0,IF(B318=C318,N318/C318,IF((INT(N318/B318)+(((N318-B318*INT(N318/B318)))/C318)/100)&lt;0,(INT(N318/B318)+(((N318-B318*INT(N318/B318)))/C318)/100)+(1-(B318/C318/100)),(INT(N318/B318)+(((N318-B318*INT(N318/B318)))/C318)/100))))</f>
        <v>0</v>
      </c>
      <c r="AZ318" s="57">
        <f>IF(ISERROR(IF(B318=C318,O318/C318,(INT(O318/B318)+(((O318-B318*INT(O318/B318)))/C318)/100))),0,(IF(B318=C318,O318/C318,(INT(O318/B318)+(((O318-B318*INT(O318/B318)))/C318)/100))))</f>
        <v>0</v>
      </c>
      <c r="BA318" s="57">
        <f>IF(ISERROR(IF(B318=C318,P318/C318,IF((INT(P318/B318)+(((P318-B318*INT(P318/B318)))/C318)/100)&lt;0,(INT(P318/B318)+(((P318-B318*INT(P318/B318)))/C318)/100)+(1-(B318/C318/100)),(INT(P318/B318)+(((P318-B318*INT(P318/B318)))/C318)/100)))),0,IF(B318=C318,P318/C318,IF((INT(P318/B318)+(((P318-B318*INT(P318/B318)))/C318)/100)&lt;0,(INT(P318/B318)+(((P318-B318*INT(P318/B318)))/C318)/100)+(1-(B318/C318/100)),(INT(P318/B318)+(((P318-B318*INT(P318/B318)))/C318)/100))))</f>
        <v>0</v>
      </c>
      <c r="BB318" s="28">
        <f>R318</f>
        <v>0</v>
      </c>
      <c r="BC318" s="28">
        <f>S318</f>
        <v>0</v>
      </c>
      <c r="BD318" s="28">
        <f>AF318</f>
        <v>0</v>
      </c>
      <c r="BE318" s="28">
        <f>T318</f>
        <v>0</v>
      </c>
      <c r="BG318" s="57">
        <f>IF(ISERROR(IF(B318=C318,V318/C318,(INT(V318/B318)+(((V318-B318*INT(V318/B318)))/C318)/100))),0,(IF(B318=C318,V318/C318,(INT(V318/B318)+(((V318-B318*INT(V318/B318)))/C318)/100))))</f>
        <v>0</v>
      </c>
      <c r="BH318" s="57">
        <f>IF(ISERROR(IF(B318=C318,W318/C318,(INT(W318/B318)+(((W318-B318*INT(W318/B318)))/C318)/100))),0,(IF(B318=C318,W318/C318,(INT(W318/B318)+(((W318-B318*INT(W318/B318)))/C318)/100))))</f>
        <v>0</v>
      </c>
      <c r="BI318" s="57">
        <f>IF(ISERROR(IF(B318=C318,X318/C318,(INT(X318/B318)+(((X318-B318*INT(X318/B318)))/C318)/100))),0,(IF(B318=C318,X318/C318,(INT(X318/B318)+(((X318-B318*INT(X318/B318)))/C318)/100))))</f>
        <v>0</v>
      </c>
      <c r="BJ318" s="57">
        <f>IF(ISERROR(IF(B318=C318,Y318/C318,(INT(Y318/B318)+(((Y318-B318*INT(Y318/B318)))/C318)/100))),0,(IF(B318=C318,Y318/C318,(INT(Y318/B318)+(((Y318-B318*INT(Y318/B318)))/C318)/100))))</f>
        <v>0</v>
      </c>
      <c r="BL318" s="57">
        <f>IF(ISERROR(IF(B318=C318,AA318/C318,(INT(AA318/B318)+(((AA318-B318*INT(AA318/B318)))/C318)/100))),0,(IF(B318=C318,AA318/C318,(INT(AA318/B318)+(((AA318-B318*INT(AA318/B318)))/C318)/100))))</f>
        <v>0</v>
      </c>
      <c r="BM318" s="57">
        <f>IF(ISERROR(IF(B318=C318,AB318/C318,(INT(AB318/B318)+(((AB318-B318*INT(AB318/B318)))/C318)/100))),0,(IF(B318=C318,AB318/C318,(INT(AB318/B318)+(((AB318-B318*INT(AB318/B318)))/C318)/100))))</f>
        <v>0</v>
      </c>
      <c r="BN318" s="57">
        <f>IF(ISERROR(IF(B318=C318,AC318/C318,(INT(AC318/B318)+(((AC318-B318*INT(AC318/B318)))/C318)/100))),0,(IF(B318=C318,AC318/C318,(INT(AC318/B318)+(((AC318-B318*INT(AC318/B318)))/C318)/100))))</f>
        <v>0</v>
      </c>
      <c r="BO318" s="57">
        <f>IF(ISERROR(IF(B318=C318,AD318/C318,(INT(AD318/B318)+(((AD318-B318*INT(AD318/B318)))/C318)/100))),0,(IF(B318=C318,AD318/C318,(INT(AD318/B318)+(((AD318-B318*INT(AD318/B318)))/C318)/100))))</f>
        <v>0</v>
      </c>
      <c r="BQ318" s="155"/>
    </row>
    <row r="319" spans="1:69" hidden="1" x14ac:dyDescent="0.35">
      <c r="A319" s="94"/>
      <c r="B319" s="113">
        <v>0</v>
      </c>
      <c r="C319" s="113">
        <v>0</v>
      </c>
      <c r="D319" s="28">
        <f>SUM(AA319:AD319)</f>
        <v>0</v>
      </c>
      <c r="E319" s="113">
        <v>0</v>
      </c>
      <c r="F319" s="113">
        <v>0</v>
      </c>
      <c r="G319" s="28">
        <f>SUM(D319:F319)</f>
        <v>0</v>
      </c>
      <c r="H319" s="125">
        <v>0</v>
      </c>
      <c r="I319" s="113">
        <v>0</v>
      </c>
      <c r="J319" s="125">
        <v>0</v>
      </c>
      <c r="K319" s="113">
        <v>0</v>
      </c>
      <c r="L319" s="113">
        <v>0</v>
      </c>
      <c r="M319" s="113">
        <v>0</v>
      </c>
      <c r="N319" s="28">
        <f>G319-SUM(H319:M319)</f>
        <v>0</v>
      </c>
      <c r="O319" s="28">
        <f>SUM(V319:Y319)</f>
        <v>0</v>
      </c>
      <c r="P319" s="28">
        <f>O319-N319</f>
        <v>0</v>
      </c>
      <c r="Q319" s="61" t="str">
        <f>IF(ISERROR(P319/SUM(H319:L319)),"",P319/SUM(H319:L319))</f>
        <v/>
      </c>
      <c r="R319" s="113">
        <v>0</v>
      </c>
      <c r="S319" s="28">
        <f>IF(ISERROR(P319/C319*R319),0,(P319/C319*R319))</f>
        <v>0</v>
      </c>
      <c r="T319" s="60">
        <f>IF(ISERROR(P319/B319*AF319),0,(P319/B319*AF319))</f>
        <v>0</v>
      </c>
      <c r="V319" s="113">
        <v>0</v>
      </c>
      <c r="W319" s="113">
        <v>0</v>
      </c>
      <c r="X319" s="113">
        <v>0</v>
      </c>
      <c r="Y319" s="113">
        <v>0</v>
      </c>
      <c r="AA319" s="113">
        <v>0</v>
      </c>
      <c r="AB319" s="113">
        <v>0</v>
      </c>
      <c r="AC319" s="113">
        <v>0</v>
      </c>
      <c r="AD319" s="113">
        <v>0</v>
      </c>
      <c r="AF319" s="113">
        <v>0</v>
      </c>
      <c r="AG319" s="28">
        <f>G319-O319</f>
        <v>0</v>
      </c>
      <c r="AH319" s="58">
        <f>IF(ISERROR(AG319/B319*AF319),0,(AG319/B319*AF319))</f>
        <v>0</v>
      </c>
      <c r="AI319" s="28">
        <f>SUM(H319:M319)</f>
        <v>0</v>
      </c>
      <c r="AJ319" s="28">
        <f>IF(ISERROR(AI319/B319*AF319),0,(AI319/B319*AF319))</f>
        <v>0</v>
      </c>
      <c r="AK319" s="58">
        <f>IF(ISERROR(O319/B319*AF319),0,(O319/B319*AF319))</f>
        <v>0</v>
      </c>
      <c r="AL319" s="28">
        <f>IF(ISERROR(H319/B319*AF319),0,(H319/B319*AF319))</f>
        <v>0</v>
      </c>
      <c r="AN319" s="51">
        <f>A319</f>
        <v>0</v>
      </c>
      <c r="AO319" s="57">
        <f>IF(ISERROR(IF(B319=C319,D319/C319,(INT(D319/B319)+(((D319-B319*INT(D319/B319)))/C319)/100))),0,(IF(B319=C319,D319/C319,(INT(D319/B319)+(((D319-B319*INT(D319/B319)))/C319)/100))))</f>
        <v>0</v>
      </c>
      <c r="AP319" s="57">
        <f>IF(ISERROR(IF(B319=C319,E319/C319,(INT(E319/B319)+(((E319-B319*INT(E319/B319)))/C319)/100))),0,(IF(B319=C319,E319/C319,(INT(E319/B319)+(((E319-B319*INT(E319/B319)))/C319)/100))))</f>
        <v>0</v>
      </c>
      <c r="AQ319" s="57">
        <f>IF(ISERROR(IF(B319=C319,F319/C319,IF((INT(F319/B319)+(((F319-B319*INT(F319/B319)))/C319)/100)&lt;0,(INT(F319/B319)+(((F319-B319*INT(F319/B319)))/C319)/100)+(1-(B319/C319/100)),(INT(F319/B319)+(((F319-B319*INT(F319/B319)))/C319)/100)))),0,IF(B319=C319,F319/C319,IF((INT(F319/B319)+(((F319-B319*INT(F319/B319)))/C319)/100)&lt;0,(INT(F319/B319)+(((F319-B319*INT(F319/B319)))/C319)/100)+(1-(B319/C319/100)),(INT(F319/B319)+(((F319-B319*INT(F319/B319)))/C319)/100))))</f>
        <v>0</v>
      </c>
      <c r="AR319" s="57">
        <f>IF(ISERROR(IF(B319=C319,G319/C319,(INT(G319/B319)+(((G319-B319*INT(G319/B319)))/C319)/100))),0,(IF(B319=C319,G319/C319,(INT(G319/B319)+(((G319-B319*INT(G319/B319)))/C319)/100))))</f>
        <v>0</v>
      </c>
      <c r="AS319" s="57">
        <f>IF(ISERROR(IF(B319=C319,H319/C319,(INT(H319/B319)+(((H319-B319*INT(H319/B319)))/C319)/100))),0,(IF(B319=C319,H319/C319,(INT(H319/B319)+(((H319-B319*INT(H319/B319)))/C319)/100))))</f>
        <v>0</v>
      </c>
      <c r="AT319" s="57">
        <f>IF(ISERROR(IF(B319=C319,I319/C319,(INT(I319/B319)+(((I319-B319*INT(I319/B319)))/C319)/100))),0,(IF(B319=C319,I319/C319,(INT(I319/B319)+(((I319-B319*INT(I319/B319)))/C319)/100))))</f>
        <v>0</v>
      </c>
      <c r="AU319" s="57">
        <f>IF(ISERROR(IF(B319=C319,J319/C319,(INT(J319/B319)+(((J319-B319*INT(J319/B319)))/C319)/100))),0,(IF(B319=C319,J319/C319,(INT(J319/B319)+(((J319-B319*INT(J319/B319)))/C319)/100))))</f>
        <v>0</v>
      </c>
      <c r="AV319" s="57">
        <f>IF(ISERROR(IF(B319=C319,K319/C319,IF((INT(K319/B319)+(((K319-B319*INT(K319/B319)))/C319)/100)&lt;0,(INT(K319/B319)+(((K319-B319*INT(K319/B319)))/C319)/100)+(1-(B319/C319/100)),(INT(K319/B319)+(((K319-B319*INT(K319/B319)))/C319)/100)))),0,IF(B319=C319,K319/C319,IF((INT(K319/B319)+(((K319-B319*INT(K319/B319)))/C319)/100)&lt;0,(INT(K319/B319)+(((K319-B319*INT(K319/B319)))/C319)/100)+(1-(B319/C319/100)),(INT(K319/B319)+(((K319-B319*INT(K319/B319)))/C319)/100))))</f>
        <v>0</v>
      </c>
      <c r="AW319" s="57">
        <f>IF(ISERROR(IF(B319=C319,L319/C319,(INT(L319/B319)+(((L319-B319*INT(L319/B319)))/C319)/100))),0,(IF(B319=C319,L319/C319,(INT(L319/B319)+(((L319-B319*INT(L319/B319)))/C319)/100))))</f>
        <v>0</v>
      </c>
      <c r="AX319" s="57">
        <f>IF(ISERROR(IF(B319=C319,M319/C319,(INT(M319/B319)+(((M319-B319*INT(M319/B319)))/C319)/100))),0,(IF(B319=C319,M319/C319,(INT(M319/B319)+(((M319-B319*INT(M319/B319)))/C319)/100))))</f>
        <v>0</v>
      </c>
      <c r="AY319" s="57">
        <f>IF(ISERROR(IF(B319=C319,N319/C319,IF((INT(N319/B319)+(((N319-B319*INT(N319/B319)))/C319)/100)&lt;0,(INT(N319/B319)+(((N319-B319*INT(N319/B319)))/C319)/100)+(1-(B319/C319/100)),(INT(N319/B319)+(((N319-B319*INT(N319/B319)))/C319)/100)))),0,IF(B319=C319,N319/C319,IF((INT(N319/B319)+(((N319-B319*INT(N319/B319)))/C319)/100)&lt;0,(INT(N319/B319)+(((N319-B319*INT(N319/B319)))/C319)/100)+(1-(B319/C319/100)),(INT(N319/B319)+(((N319-B319*INT(N319/B319)))/C319)/100))))</f>
        <v>0</v>
      </c>
      <c r="AZ319" s="57">
        <f>IF(ISERROR(IF(B319=C319,O319/C319,(INT(O319/B319)+(((O319-B319*INT(O319/B319)))/C319)/100))),0,(IF(B319=C319,O319/C319,(INT(O319/B319)+(((O319-B319*INT(O319/B319)))/C319)/100))))</f>
        <v>0</v>
      </c>
      <c r="BA319" s="57">
        <f>IF(ISERROR(IF(B319=C319,P319/C319,IF((INT(P319/B319)+(((P319-B319*INT(P319/B319)))/C319)/100)&lt;0,(INT(P319/B319)+(((P319-B319*INT(P319/B319)))/C319)/100)+(1-(B319/C319/100)),(INT(P319/B319)+(((P319-B319*INT(P319/B319)))/C319)/100)))),0,IF(B319=C319,P319/C319,IF((INT(P319/B319)+(((P319-B319*INT(P319/B319)))/C319)/100)&lt;0,(INT(P319/B319)+(((P319-B319*INT(P319/B319)))/C319)/100)+(1-(B319/C319/100)),(INT(P319/B319)+(((P319-B319*INT(P319/B319)))/C319)/100))))</f>
        <v>0</v>
      </c>
      <c r="BB319" s="28">
        <f>R319</f>
        <v>0</v>
      </c>
      <c r="BC319" s="28">
        <f>S319</f>
        <v>0</v>
      </c>
      <c r="BD319" s="28">
        <f>AF319</f>
        <v>0</v>
      </c>
      <c r="BE319" s="28">
        <f>T319</f>
        <v>0</v>
      </c>
      <c r="BG319" s="57">
        <f>IF(ISERROR(IF(B319=C319,V319/C319,(INT(V319/B319)+(((V319-B319*INT(V319/B319)))/C319)/100))),0,(IF(B319=C319,V319/C319,(INT(V319/B319)+(((V319-B319*INT(V319/B319)))/C319)/100))))</f>
        <v>0</v>
      </c>
      <c r="BH319" s="57">
        <f>IF(ISERROR(IF(B319=C319,W319/C319,(INT(W319/B319)+(((W319-B319*INT(W319/B319)))/C319)/100))),0,(IF(B319=C319,W319/C319,(INT(W319/B319)+(((W319-B319*INT(W319/B319)))/C319)/100))))</f>
        <v>0</v>
      </c>
      <c r="BI319" s="57">
        <f>IF(ISERROR(IF(B319=C319,X319/C319,(INT(X319/B319)+(((X319-B319*INT(X319/B319)))/C319)/100))),0,(IF(B319=C319,X319/C319,(INT(X319/B319)+(((X319-B319*INT(X319/B319)))/C319)/100))))</f>
        <v>0</v>
      </c>
      <c r="BJ319" s="57">
        <f>IF(ISERROR(IF(B319=C319,Y319/C319,(INT(Y319/B319)+(((Y319-B319*INT(Y319/B319)))/C319)/100))),0,(IF(B319=C319,Y319/C319,(INT(Y319/B319)+(((Y319-B319*INT(Y319/B319)))/C319)/100))))</f>
        <v>0</v>
      </c>
      <c r="BL319" s="57">
        <f>IF(ISERROR(IF(B319=C319,AA319/C319,(INT(AA319/B319)+(((AA319-B319*INT(AA319/B319)))/C319)/100))),0,(IF(B319=C319,AA319/C319,(INT(AA319/B319)+(((AA319-B319*INT(AA319/B319)))/C319)/100))))</f>
        <v>0</v>
      </c>
      <c r="BM319" s="57">
        <f>IF(ISERROR(IF(B319=C319,AB319/C319,(INT(AB319/B319)+(((AB319-B319*INT(AB319/B319)))/C319)/100))),0,(IF(B319=C319,AB319/C319,(INT(AB319/B319)+(((AB319-B319*INT(AB319/B319)))/C319)/100))))</f>
        <v>0</v>
      </c>
      <c r="BN319" s="57">
        <f>IF(ISERROR(IF(B319=C319,AC319/C319,(INT(AC319/B319)+(((AC319-B319*INT(AC319/B319)))/C319)/100))),0,(IF(B319=C319,AC319/C319,(INT(AC319/B319)+(((AC319-B319*INT(AC319/B319)))/C319)/100))))</f>
        <v>0</v>
      </c>
      <c r="BO319" s="57">
        <f>IF(ISERROR(IF(B319=C319,AD319/C319,(INT(AD319/B319)+(((AD319-B319*INT(AD319/B319)))/C319)/100))),0,(IF(B319=C319,AD319/C319,(INT(AD319/B319)+(((AD319-B319*INT(AD319/B319)))/C319)/100))))</f>
        <v>0</v>
      </c>
      <c r="BQ319" s="155"/>
    </row>
    <row r="320" spans="1:69" hidden="1" x14ac:dyDescent="0.35">
      <c r="A320" s="94"/>
      <c r="B320" s="113">
        <v>0</v>
      </c>
      <c r="C320" s="113">
        <v>0</v>
      </c>
      <c r="D320" s="28">
        <f>SUM(AA320:AD320)</f>
        <v>0</v>
      </c>
      <c r="E320" s="113">
        <v>0</v>
      </c>
      <c r="F320" s="113">
        <v>0</v>
      </c>
      <c r="G320" s="28">
        <f>SUM(D320:F320)</f>
        <v>0</v>
      </c>
      <c r="H320" s="125">
        <v>0</v>
      </c>
      <c r="I320" s="113">
        <v>0</v>
      </c>
      <c r="J320" s="125">
        <v>0</v>
      </c>
      <c r="K320" s="113">
        <v>0</v>
      </c>
      <c r="L320" s="113">
        <v>0</v>
      </c>
      <c r="M320" s="113">
        <v>0</v>
      </c>
      <c r="N320" s="28">
        <f>G320-SUM(H320:M320)</f>
        <v>0</v>
      </c>
      <c r="O320" s="28">
        <f>SUM(V320:Y320)</f>
        <v>0</v>
      </c>
      <c r="P320" s="28">
        <f>O320-N320</f>
        <v>0</v>
      </c>
      <c r="Q320" s="61" t="str">
        <f>IF(ISERROR(P320/SUM(H320:L320)),"",P320/SUM(H320:L320))</f>
        <v/>
      </c>
      <c r="R320" s="113">
        <v>0</v>
      </c>
      <c r="S320" s="28">
        <f>IF(ISERROR(P320/C320*R320),0,(P320/C320*R320))</f>
        <v>0</v>
      </c>
      <c r="T320" s="60">
        <f>IF(ISERROR(P320/B320*AF320),0,(P320/B320*AF320))</f>
        <v>0</v>
      </c>
      <c r="V320" s="113">
        <v>0</v>
      </c>
      <c r="W320" s="113">
        <v>0</v>
      </c>
      <c r="X320" s="113">
        <v>0</v>
      </c>
      <c r="Y320" s="113">
        <v>0</v>
      </c>
      <c r="AA320" s="113">
        <v>0</v>
      </c>
      <c r="AB320" s="113">
        <v>0</v>
      </c>
      <c r="AC320" s="113">
        <v>0</v>
      </c>
      <c r="AD320" s="113">
        <v>0</v>
      </c>
      <c r="AF320" s="113">
        <v>0</v>
      </c>
      <c r="AG320" s="28">
        <f>G320-O320</f>
        <v>0</v>
      </c>
      <c r="AH320" s="58">
        <f>IF(ISERROR(AG320/B320*AF320),0,(AG320/B320*AF320))</f>
        <v>0</v>
      </c>
      <c r="AI320" s="28">
        <f>SUM(H320:M320)</f>
        <v>0</v>
      </c>
      <c r="AJ320" s="28">
        <f>IF(ISERROR(AI320/B320*AF320),0,(AI320/B320*AF320))</f>
        <v>0</v>
      </c>
      <c r="AK320" s="58">
        <f>IF(ISERROR(O320/B320*AF320),0,(O320/B320*AF320))</f>
        <v>0</v>
      </c>
      <c r="AL320" s="28">
        <f>IF(ISERROR(H320/B320*AF320),0,(H320/B320*AF320))</f>
        <v>0</v>
      </c>
      <c r="AN320" s="51">
        <f>A320</f>
        <v>0</v>
      </c>
      <c r="AO320" s="57">
        <f>IF(ISERROR(IF(B320=C320,D320/C320,(INT(D320/B320)+(((D320-B320*INT(D320/B320)))/C320)/100))),0,(IF(B320=C320,D320/C320,(INT(D320/B320)+(((D320-B320*INT(D320/B320)))/C320)/100))))</f>
        <v>0</v>
      </c>
      <c r="AP320" s="57">
        <f>IF(ISERROR(IF(B320=C320,E320/C320,(INT(E320/B320)+(((E320-B320*INT(E320/B320)))/C320)/100))),0,(IF(B320=C320,E320/C320,(INT(E320/B320)+(((E320-B320*INT(E320/B320)))/C320)/100))))</f>
        <v>0</v>
      </c>
      <c r="AQ320" s="57">
        <f>IF(ISERROR(IF(B320=C320,F320/C320,IF((INT(F320/B320)+(((F320-B320*INT(F320/B320)))/C320)/100)&lt;0,(INT(F320/B320)+(((F320-B320*INT(F320/B320)))/C320)/100)+(1-(B320/C320/100)),(INT(F320/B320)+(((F320-B320*INT(F320/B320)))/C320)/100)))),0,IF(B320=C320,F320/C320,IF((INT(F320/B320)+(((F320-B320*INT(F320/B320)))/C320)/100)&lt;0,(INT(F320/B320)+(((F320-B320*INT(F320/B320)))/C320)/100)+(1-(B320/C320/100)),(INT(F320/B320)+(((F320-B320*INT(F320/B320)))/C320)/100))))</f>
        <v>0</v>
      </c>
      <c r="AR320" s="57">
        <f>IF(ISERROR(IF(B320=C320,G320/C320,(INT(G320/B320)+(((G320-B320*INT(G320/B320)))/C320)/100))),0,(IF(B320=C320,G320/C320,(INT(G320/B320)+(((G320-B320*INT(G320/B320)))/C320)/100))))</f>
        <v>0</v>
      </c>
      <c r="AS320" s="57">
        <f>IF(ISERROR(IF(B320=C320,H320/C320,(INT(H320/B320)+(((H320-B320*INT(H320/B320)))/C320)/100))),0,(IF(B320=C320,H320/C320,(INT(H320/B320)+(((H320-B320*INT(H320/B320)))/C320)/100))))</f>
        <v>0</v>
      </c>
      <c r="AT320" s="57">
        <f>IF(ISERROR(IF(B320=C320,I320/C320,(INT(I320/B320)+(((I320-B320*INT(I320/B320)))/C320)/100))),0,(IF(B320=C320,I320/C320,(INT(I320/B320)+(((I320-B320*INT(I320/B320)))/C320)/100))))</f>
        <v>0</v>
      </c>
      <c r="AU320" s="57">
        <f>IF(ISERROR(IF(B320=C320,J320/C320,(INT(J320/B320)+(((J320-B320*INT(J320/B320)))/C320)/100))),0,(IF(B320=C320,J320/C320,(INT(J320/B320)+(((J320-B320*INT(J320/B320)))/C320)/100))))</f>
        <v>0</v>
      </c>
      <c r="AV320" s="57">
        <f>IF(ISERROR(IF(B320=C320,K320/C320,IF((INT(K320/B320)+(((K320-B320*INT(K320/B320)))/C320)/100)&lt;0,(INT(K320/B320)+(((K320-B320*INT(K320/B320)))/C320)/100)+(1-(B320/C320/100)),(INT(K320/B320)+(((K320-B320*INT(K320/B320)))/C320)/100)))),0,IF(B320=C320,K320/C320,IF((INT(K320/B320)+(((K320-B320*INT(K320/B320)))/C320)/100)&lt;0,(INT(K320/B320)+(((K320-B320*INT(K320/B320)))/C320)/100)+(1-(B320/C320/100)),(INT(K320/B320)+(((K320-B320*INT(K320/B320)))/C320)/100))))</f>
        <v>0</v>
      </c>
      <c r="AW320" s="57">
        <f>IF(ISERROR(IF(B320=C320,L320/C320,(INT(L320/B320)+(((L320-B320*INT(L320/B320)))/C320)/100))),0,(IF(B320=C320,L320/C320,(INT(L320/B320)+(((L320-B320*INT(L320/B320)))/C320)/100))))</f>
        <v>0</v>
      </c>
      <c r="AX320" s="57">
        <f>IF(ISERROR(IF(B320=C320,M320/C320,(INT(M320/B320)+(((M320-B320*INT(M320/B320)))/C320)/100))),0,(IF(B320=C320,M320/C320,(INT(M320/B320)+(((M320-B320*INT(M320/B320)))/C320)/100))))</f>
        <v>0</v>
      </c>
      <c r="AY320" s="57">
        <f>IF(ISERROR(IF(B320=C320,N320/C320,IF((INT(N320/B320)+(((N320-B320*INT(N320/B320)))/C320)/100)&lt;0,(INT(N320/B320)+(((N320-B320*INT(N320/B320)))/C320)/100)+(1-(B320/C320/100)),(INT(N320/B320)+(((N320-B320*INT(N320/B320)))/C320)/100)))),0,IF(B320=C320,N320/C320,IF((INT(N320/B320)+(((N320-B320*INT(N320/B320)))/C320)/100)&lt;0,(INT(N320/B320)+(((N320-B320*INT(N320/B320)))/C320)/100)+(1-(B320/C320/100)),(INT(N320/B320)+(((N320-B320*INT(N320/B320)))/C320)/100))))</f>
        <v>0</v>
      </c>
      <c r="AZ320" s="57">
        <f>IF(ISERROR(IF(B320=C320,O320/C320,(INT(O320/B320)+(((O320-B320*INT(O320/B320)))/C320)/100))),0,(IF(B320=C320,O320/C320,(INT(O320/B320)+(((O320-B320*INT(O320/B320)))/C320)/100))))</f>
        <v>0</v>
      </c>
      <c r="BA320" s="57">
        <f>IF(ISERROR(IF(B320=C320,P320/C320,IF((INT(P320/B320)+(((P320-B320*INT(P320/B320)))/C320)/100)&lt;0,(INT(P320/B320)+(((P320-B320*INT(P320/B320)))/C320)/100)+(1-(B320/C320/100)),(INT(P320/B320)+(((P320-B320*INT(P320/B320)))/C320)/100)))),0,IF(B320=C320,P320/C320,IF((INT(P320/B320)+(((P320-B320*INT(P320/B320)))/C320)/100)&lt;0,(INT(P320/B320)+(((P320-B320*INT(P320/B320)))/C320)/100)+(1-(B320/C320/100)),(INT(P320/B320)+(((P320-B320*INT(P320/B320)))/C320)/100))))</f>
        <v>0</v>
      </c>
      <c r="BB320" s="28">
        <f>R320</f>
        <v>0</v>
      </c>
      <c r="BC320" s="28">
        <f>S320</f>
        <v>0</v>
      </c>
      <c r="BD320" s="28">
        <f>AF320</f>
        <v>0</v>
      </c>
      <c r="BE320" s="28">
        <f>T320</f>
        <v>0</v>
      </c>
      <c r="BG320" s="57">
        <f>IF(ISERROR(IF(B320=C320,V320/C320,(INT(V320/B320)+(((V320-B320*INT(V320/B320)))/C320)/100))),0,(IF(B320=C320,V320/C320,(INT(V320/B320)+(((V320-B320*INT(V320/B320)))/C320)/100))))</f>
        <v>0</v>
      </c>
      <c r="BH320" s="57">
        <f>IF(ISERROR(IF(B320=C320,W320/C320,(INT(W320/B320)+(((W320-B320*INT(W320/B320)))/C320)/100))),0,(IF(B320=C320,W320/C320,(INT(W320/B320)+(((W320-B320*INT(W320/B320)))/C320)/100))))</f>
        <v>0</v>
      </c>
      <c r="BI320" s="57">
        <f>IF(ISERROR(IF(B320=C320,X320/C320,(INT(X320/B320)+(((X320-B320*INT(X320/B320)))/C320)/100))),0,(IF(B320=C320,X320/C320,(INT(X320/B320)+(((X320-B320*INT(X320/B320)))/C320)/100))))</f>
        <v>0</v>
      </c>
      <c r="BJ320" s="57">
        <f>IF(ISERROR(IF(B320=C320,Y320/C320,(INT(Y320/B320)+(((Y320-B320*INT(Y320/B320)))/C320)/100))),0,(IF(B320=C320,Y320/C320,(INT(Y320/B320)+(((Y320-B320*INT(Y320/B320)))/C320)/100))))</f>
        <v>0</v>
      </c>
      <c r="BL320" s="57">
        <f>IF(ISERROR(IF(B320=C320,AA320/C320,(INT(AA320/B320)+(((AA320-B320*INT(AA320/B320)))/C320)/100))),0,(IF(B320=C320,AA320/C320,(INT(AA320/B320)+(((AA320-B320*INT(AA320/B320)))/C320)/100))))</f>
        <v>0</v>
      </c>
      <c r="BM320" s="57">
        <f>IF(ISERROR(IF(B320=C320,AB320/C320,(INT(AB320/B320)+(((AB320-B320*INT(AB320/B320)))/C320)/100))),0,(IF(B320=C320,AB320/C320,(INT(AB320/B320)+(((AB320-B320*INT(AB320/B320)))/C320)/100))))</f>
        <v>0</v>
      </c>
      <c r="BN320" s="57">
        <f>IF(ISERROR(IF(B320=C320,AC320/C320,(INT(AC320/B320)+(((AC320-B320*INT(AC320/B320)))/C320)/100))),0,(IF(B320=C320,AC320/C320,(INT(AC320/B320)+(((AC320-B320*INT(AC320/B320)))/C320)/100))))</f>
        <v>0</v>
      </c>
      <c r="BO320" s="57">
        <f>IF(ISERROR(IF(B320=C320,AD320/C320,(INT(AD320/B320)+(((AD320-B320*INT(AD320/B320)))/C320)/100))),0,(IF(B320=C320,AD320/C320,(INT(AD320/B320)+(((AD320-B320*INT(AD320/B320)))/C320)/100))))</f>
        <v>0</v>
      </c>
      <c r="BQ320" s="155"/>
    </row>
    <row r="321" spans="1:69" hidden="1" x14ac:dyDescent="0.35">
      <c r="A321" s="94"/>
      <c r="B321" s="113">
        <v>0</v>
      </c>
      <c r="C321" s="113">
        <v>0</v>
      </c>
      <c r="D321" s="28">
        <f>SUM(AA321:AD321)</f>
        <v>0</v>
      </c>
      <c r="E321" s="113">
        <v>0</v>
      </c>
      <c r="F321" s="113">
        <v>0</v>
      </c>
      <c r="G321" s="28">
        <f>SUM(D321:F321)</f>
        <v>0</v>
      </c>
      <c r="H321" s="125">
        <v>0</v>
      </c>
      <c r="I321" s="113">
        <v>0</v>
      </c>
      <c r="J321" s="125">
        <v>0</v>
      </c>
      <c r="K321" s="113">
        <v>0</v>
      </c>
      <c r="L321" s="113">
        <v>0</v>
      </c>
      <c r="M321" s="113">
        <v>0</v>
      </c>
      <c r="N321" s="28">
        <f>G321-SUM(H321:M321)</f>
        <v>0</v>
      </c>
      <c r="O321" s="28">
        <f>SUM(V321:Y321)</f>
        <v>0</v>
      </c>
      <c r="P321" s="28">
        <f>O321-N321</f>
        <v>0</v>
      </c>
      <c r="Q321" s="61" t="str">
        <f>IF(ISERROR(P321/SUM(H321:L321)),"",P321/SUM(H321:L321))</f>
        <v/>
      </c>
      <c r="R321" s="113">
        <v>0</v>
      </c>
      <c r="S321" s="28">
        <f>IF(ISERROR(P321/C321*R321),0,(P321/C321*R321))</f>
        <v>0</v>
      </c>
      <c r="T321" s="60">
        <f>IF(ISERROR(P321/B321*AF321),0,(P321/B321*AF321))</f>
        <v>0</v>
      </c>
      <c r="V321" s="113">
        <v>0</v>
      </c>
      <c r="W321" s="113">
        <v>0</v>
      </c>
      <c r="X321" s="113">
        <v>0</v>
      </c>
      <c r="Y321" s="113">
        <v>0</v>
      </c>
      <c r="AA321" s="113">
        <v>0</v>
      </c>
      <c r="AB321" s="113">
        <v>0</v>
      </c>
      <c r="AC321" s="113">
        <v>0</v>
      </c>
      <c r="AD321" s="113">
        <v>0</v>
      </c>
      <c r="AF321" s="113">
        <v>0</v>
      </c>
      <c r="AG321" s="28">
        <f>G321-O321</f>
        <v>0</v>
      </c>
      <c r="AH321" s="58">
        <f>IF(ISERROR(AG321/B321*AF321),0,(AG321/B321*AF321))</f>
        <v>0</v>
      </c>
      <c r="AI321" s="28">
        <f>SUM(H321:M321)</f>
        <v>0</v>
      </c>
      <c r="AJ321" s="28">
        <f>IF(ISERROR(AI321/B321*AF321),0,(AI321/B321*AF321))</f>
        <v>0</v>
      </c>
      <c r="AK321" s="58">
        <f>IF(ISERROR(O321/B321*AF321),0,(O321/B321*AF321))</f>
        <v>0</v>
      </c>
      <c r="AL321" s="28">
        <f>IF(ISERROR(H321/B321*AF321),0,(H321/B321*AF321))</f>
        <v>0</v>
      </c>
      <c r="AN321" s="51">
        <f>A321</f>
        <v>0</v>
      </c>
      <c r="AO321" s="57">
        <f>IF(ISERROR(IF(B321=C321,D321/C321,(INT(D321/B321)+(((D321-B321*INT(D321/B321)))/C321)/100))),0,(IF(B321=C321,D321/C321,(INT(D321/B321)+(((D321-B321*INT(D321/B321)))/C321)/100))))</f>
        <v>0</v>
      </c>
      <c r="AP321" s="57">
        <f>IF(ISERROR(IF(B321=C321,E321/C321,(INT(E321/B321)+(((E321-B321*INT(E321/B321)))/C321)/100))),0,(IF(B321=C321,E321/C321,(INT(E321/B321)+(((E321-B321*INT(E321/B321)))/C321)/100))))</f>
        <v>0</v>
      </c>
      <c r="AQ321" s="57">
        <f>IF(ISERROR(IF(B321=C321,F321/C321,IF((INT(F321/B321)+(((F321-B321*INT(F321/B321)))/C321)/100)&lt;0,(INT(F321/B321)+(((F321-B321*INT(F321/B321)))/C321)/100)+(1-(B321/C321/100)),(INT(F321/B321)+(((F321-B321*INT(F321/B321)))/C321)/100)))),0,IF(B321=C321,F321/C321,IF((INT(F321/B321)+(((F321-B321*INT(F321/B321)))/C321)/100)&lt;0,(INT(F321/B321)+(((F321-B321*INT(F321/B321)))/C321)/100)+(1-(B321/C321/100)),(INT(F321/B321)+(((F321-B321*INT(F321/B321)))/C321)/100))))</f>
        <v>0</v>
      </c>
      <c r="AR321" s="57">
        <f>IF(ISERROR(IF(B321=C321,G321/C321,(INT(G321/B321)+(((G321-B321*INT(G321/B321)))/C321)/100))),0,(IF(B321=C321,G321/C321,(INT(G321/B321)+(((G321-B321*INT(G321/B321)))/C321)/100))))</f>
        <v>0</v>
      </c>
      <c r="AS321" s="57">
        <f>IF(ISERROR(IF(B321=C321,H321/C321,(INT(H321/B321)+(((H321-B321*INT(H321/B321)))/C321)/100))),0,(IF(B321=C321,H321/C321,(INT(H321/B321)+(((H321-B321*INT(H321/B321)))/C321)/100))))</f>
        <v>0</v>
      </c>
      <c r="AT321" s="57">
        <f>IF(ISERROR(IF(B321=C321,I321/C321,(INT(I321/B321)+(((I321-B321*INT(I321/B321)))/C321)/100))),0,(IF(B321=C321,I321/C321,(INT(I321/B321)+(((I321-B321*INT(I321/B321)))/C321)/100))))</f>
        <v>0</v>
      </c>
      <c r="AU321" s="57">
        <f>IF(ISERROR(IF(B321=C321,J321/C321,(INT(J321/B321)+(((J321-B321*INT(J321/B321)))/C321)/100))),0,(IF(B321=C321,J321/C321,(INT(J321/B321)+(((J321-B321*INT(J321/B321)))/C321)/100))))</f>
        <v>0</v>
      </c>
      <c r="AV321" s="57">
        <f>IF(ISERROR(IF(B321=C321,K321/C321,IF((INT(K321/B321)+(((K321-B321*INT(K321/B321)))/C321)/100)&lt;0,(INT(K321/B321)+(((K321-B321*INT(K321/B321)))/C321)/100)+(1-(B321/C321/100)),(INT(K321/B321)+(((K321-B321*INT(K321/B321)))/C321)/100)))),0,IF(B321=C321,K321/C321,IF((INT(K321/B321)+(((K321-B321*INT(K321/B321)))/C321)/100)&lt;0,(INT(K321/B321)+(((K321-B321*INT(K321/B321)))/C321)/100)+(1-(B321/C321/100)),(INT(K321/B321)+(((K321-B321*INT(K321/B321)))/C321)/100))))</f>
        <v>0</v>
      </c>
      <c r="AW321" s="57">
        <f>IF(ISERROR(IF(B321=C321,L321/C321,(INT(L321/B321)+(((L321-B321*INT(L321/B321)))/C321)/100))),0,(IF(B321=C321,L321/C321,(INT(L321/B321)+(((L321-B321*INT(L321/B321)))/C321)/100))))</f>
        <v>0</v>
      </c>
      <c r="AX321" s="57">
        <f>IF(ISERROR(IF(B321=C321,M321/C321,(INT(M321/B321)+(((M321-B321*INT(M321/B321)))/C321)/100))),0,(IF(B321=C321,M321/C321,(INT(M321/B321)+(((M321-B321*INT(M321/B321)))/C321)/100))))</f>
        <v>0</v>
      </c>
      <c r="AY321" s="57">
        <f>IF(ISERROR(IF(B321=C321,N321/C321,IF((INT(N321/B321)+(((N321-B321*INT(N321/B321)))/C321)/100)&lt;0,(INT(N321/B321)+(((N321-B321*INT(N321/B321)))/C321)/100)+(1-(B321/C321/100)),(INT(N321/B321)+(((N321-B321*INT(N321/B321)))/C321)/100)))),0,IF(B321=C321,N321/C321,IF((INT(N321/B321)+(((N321-B321*INT(N321/B321)))/C321)/100)&lt;0,(INT(N321/B321)+(((N321-B321*INT(N321/B321)))/C321)/100)+(1-(B321/C321/100)),(INT(N321/B321)+(((N321-B321*INT(N321/B321)))/C321)/100))))</f>
        <v>0</v>
      </c>
      <c r="AZ321" s="57">
        <f>IF(ISERROR(IF(B321=C321,O321/C321,(INT(O321/B321)+(((O321-B321*INT(O321/B321)))/C321)/100))),0,(IF(B321=C321,O321/C321,(INT(O321/B321)+(((O321-B321*INT(O321/B321)))/C321)/100))))</f>
        <v>0</v>
      </c>
      <c r="BA321" s="57">
        <f>IF(ISERROR(IF(B321=C321,P321/C321,IF((INT(P321/B321)+(((P321-B321*INT(P321/B321)))/C321)/100)&lt;0,(INT(P321/B321)+(((P321-B321*INT(P321/B321)))/C321)/100)+(1-(B321/C321/100)),(INT(P321/B321)+(((P321-B321*INT(P321/B321)))/C321)/100)))),0,IF(B321=C321,P321/C321,IF((INT(P321/B321)+(((P321-B321*INT(P321/B321)))/C321)/100)&lt;0,(INT(P321/B321)+(((P321-B321*INT(P321/B321)))/C321)/100)+(1-(B321/C321/100)),(INT(P321/B321)+(((P321-B321*INT(P321/B321)))/C321)/100))))</f>
        <v>0</v>
      </c>
      <c r="BB321" s="28">
        <f>R321</f>
        <v>0</v>
      </c>
      <c r="BC321" s="28">
        <f>S321</f>
        <v>0</v>
      </c>
      <c r="BD321" s="28">
        <f>AF321</f>
        <v>0</v>
      </c>
      <c r="BE321" s="28">
        <f>T321</f>
        <v>0</v>
      </c>
      <c r="BG321" s="57">
        <f>IF(ISERROR(IF(B321=C321,V321/C321,(INT(V321/B321)+(((V321-B321*INT(V321/B321)))/C321)/100))),0,(IF(B321=C321,V321/C321,(INT(V321/B321)+(((V321-B321*INT(V321/B321)))/C321)/100))))</f>
        <v>0</v>
      </c>
      <c r="BH321" s="57">
        <f>IF(ISERROR(IF(B321=C321,W321/C321,(INT(W321/B321)+(((W321-B321*INT(W321/B321)))/C321)/100))),0,(IF(B321=C321,W321/C321,(INT(W321/B321)+(((W321-B321*INT(W321/B321)))/C321)/100))))</f>
        <v>0</v>
      </c>
      <c r="BI321" s="57">
        <f>IF(ISERROR(IF(B321=C321,X321/C321,(INT(X321/B321)+(((X321-B321*INT(X321/B321)))/C321)/100))),0,(IF(B321=C321,X321/C321,(INT(X321/B321)+(((X321-B321*INT(X321/B321)))/C321)/100))))</f>
        <v>0</v>
      </c>
      <c r="BJ321" s="57">
        <f>IF(ISERROR(IF(B321=C321,Y321/C321,(INT(Y321/B321)+(((Y321-B321*INT(Y321/B321)))/C321)/100))),0,(IF(B321=C321,Y321/C321,(INT(Y321/B321)+(((Y321-B321*INT(Y321/B321)))/C321)/100))))</f>
        <v>0</v>
      </c>
      <c r="BL321" s="57">
        <f>IF(ISERROR(IF(B321=C321,AA321/C321,(INT(AA321/B321)+(((AA321-B321*INT(AA321/B321)))/C321)/100))),0,(IF(B321=C321,AA321/C321,(INT(AA321/B321)+(((AA321-B321*INT(AA321/B321)))/C321)/100))))</f>
        <v>0</v>
      </c>
      <c r="BM321" s="57">
        <f>IF(ISERROR(IF(B321=C321,AB321/C321,(INT(AB321/B321)+(((AB321-B321*INT(AB321/B321)))/C321)/100))),0,(IF(B321=C321,AB321/C321,(INT(AB321/B321)+(((AB321-B321*INT(AB321/B321)))/C321)/100))))</f>
        <v>0</v>
      </c>
      <c r="BN321" s="57">
        <f>IF(ISERROR(IF(B321=C321,AC321/C321,(INT(AC321/B321)+(((AC321-B321*INT(AC321/B321)))/C321)/100))),0,(IF(B321=C321,AC321/C321,(INT(AC321/B321)+(((AC321-B321*INT(AC321/B321)))/C321)/100))))</f>
        <v>0</v>
      </c>
      <c r="BO321" s="57">
        <f>IF(ISERROR(IF(B321=C321,AD321/C321,(INT(AD321/B321)+(((AD321-B321*INT(AD321/B321)))/C321)/100))),0,(IF(B321=C321,AD321/C321,(INT(AD321/B321)+(((AD321-B321*INT(AD321/B321)))/C321)/100))))</f>
        <v>0</v>
      </c>
      <c r="BQ321" s="155"/>
    </row>
    <row r="322" spans="1:69" hidden="1" x14ac:dyDescent="0.35">
      <c r="A322" s="94"/>
      <c r="B322" s="113">
        <v>0</v>
      </c>
      <c r="C322" s="113">
        <v>0</v>
      </c>
      <c r="D322" s="28">
        <f>SUM(AA322:AD322)</f>
        <v>0</v>
      </c>
      <c r="E322" s="113">
        <v>0</v>
      </c>
      <c r="F322" s="113">
        <v>0</v>
      </c>
      <c r="G322" s="28">
        <f>SUM(D322:F322)</f>
        <v>0</v>
      </c>
      <c r="H322" s="125">
        <v>0</v>
      </c>
      <c r="I322" s="113">
        <v>0</v>
      </c>
      <c r="J322" s="125">
        <v>0</v>
      </c>
      <c r="K322" s="113">
        <v>0</v>
      </c>
      <c r="L322" s="113">
        <v>0</v>
      </c>
      <c r="M322" s="113">
        <v>0</v>
      </c>
      <c r="N322" s="28">
        <f>G322-SUM(H322:M322)</f>
        <v>0</v>
      </c>
      <c r="O322" s="28">
        <f>SUM(V322:Y322)</f>
        <v>0</v>
      </c>
      <c r="P322" s="28">
        <f>O322-N322</f>
        <v>0</v>
      </c>
      <c r="Q322" s="61" t="str">
        <f>IF(ISERROR(P322/SUM(H322:L322)),"",P322/SUM(H322:L322))</f>
        <v/>
      </c>
      <c r="R322" s="113">
        <v>0</v>
      </c>
      <c r="S322" s="28">
        <f>IF(ISERROR(P322/C322*R322),0,(P322/C322*R322))</f>
        <v>0</v>
      </c>
      <c r="T322" s="60">
        <f>IF(ISERROR(P322/B322*AF322),0,(P322/B322*AF322))</f>
        <v>0</v>
      </c>
      <c r="V322" s="113">
        <v>0</v>
      </c>
      <c r="W322" s="113">
        <v>0</v>
      </c>
      <c r="X322" s="113">
        <v>0</v>
      </c>
      <c r="Y322" s="113">
        <v>0</v>
      </c>
      <c r="AA322" s="113">
        <v>0</v>
      </c>
      <c r="AB322" s="113">
        <v>0</v>
      </c>
      <c r="AC322" s="113">
        <v>0</v>
      </c>
      <c r="AD322" s="113">
        <v>0</v>
      </c>
      <c r="AF322" s="113">
        <v>0</v>
      </c>
      <c r="AG322" s="28">
        <f>G322-O322</f>
        <v>0</v>
      </c>
      <c r="AH322" s="58">
        <f>IF(ISERROR(AG322/B322*AF322),0,(AG322/B322*AF322))</f>
        <v>0</v>
      </c>
      <c r="AI322" s="28">
        <f>SUM(H322:M322)</f>
        <v>0</v>
      </c>
      <c r="AJ322" s="28">
        <f>IF(ISERROR(AI322/B322*AF322),0,(AI322/B322*AF322))</f>
        <v>0</v>
      </c>
      <c r="AK322" s="58">
        <f>IF(ISERROR(O322/B322*AF322),0,(O322/B322*AF322))</f>
        <v>0</v>
      </c>
      <c r="AL322" s="28">
        <f>IF(ISERROR(H322/B322*AF322),0,(H322/B322*AF322))</f>
        <v>0</v>
      </c>
      <c r="AN322" s="51">
        <f>A322</f>
        <v>0</v>
      </c>
      <c r="AO322" s="57">
        <f>IF(ISERROR(IF(B322=C322,D322/C322,(INT(D322/B322)+(((D322-B322*INT(D322/B322)))/C322)/100))),0,(IF(B322=C322,D322/C322,(INT(D322/B322)+(((D322-B322*INT(D322/B322)))/C322)/100))))</f>
        <v>0</v>
      </c>
      <c r="AP322" s="57">
        <f>IF(ISERROR(IF(B322=C322,E322/C322,(INT(E322/B322)+(((E322-B322*INT(E322/B322)))/C322)/100))),0,(IF(B322=C322,E322/C322,(INT(E322/B322)+(((E322-B322*INT(E322/B322)))/C322)/100))))</f>
        <v>0</v>
      </c>
      <c r="AQ322" s="57">
        <f>IF(ISERROR(IF(B322=C322,F322/C322,IF((INT(F322/B322)+(((F322-B322*INT(F322/B322)))/C322)/100)&lt;0,(INT(F322/B322)+(((F322-B322*INT(F322/B322)))/C322)/100)+(1-(B322/C322/100)),(INT(F322/B322)+(((F322-B322*INT(F322/B322)))/C322)/100)))),0,IF(B322=C322,F322/C322,IF((INT(F322/B322)+(((F322-B322*INT(F322/B322)))/C322)/100)&lt;0,(INT(F322/B322)+(((F322-B322*INT(F322/B322)))/C322)/100)+(1-(B322/C322/100)),(INT(F322/B322)+(((F322-B322*INT(F322/B322)))/C322)/100))))</f>
        <v>0</v>
      </c>
      <c r="AR322" s="57">
        <f>IF(ISERROR(IF(B322=C322,G322/C322,(INT(G322/B322)+(((G322-B322*INT(G322/B322)))/C322)/100))),0,(IF(B322=C322,G322/C322,(INT(G322/B322)+(((G322-B322*INT(G322/B322)))/C322)/100))))</f>
        <v>0</v>
      </c>
      <c r="AS322" s="57">
        <f>IF(ISERROR(IF(B322=C322,H322/C322,(INT(H322/B322)+(((H322-B322*INT(H322/B322)))/C322)/100))),0,(IF(B322=C322,H322/C322,(INT(H322/B322)+(((H322-B322*INT(H322/B322)))/C322)/100))))</f>
        <v>0</v>
      </c>
      <c r="AT322" s="57">
        <f>IF(ISERROR(IF(B322=C322,I322/C322,(INT(I322/B322)+(((I322-B322*INT(I322/B322)))/C322)/100))),0,(IF(B322=C322,I322/C322,(INT(I322/B322)+(((I322-B322*INT(I322/B322)))/C322)/100))))</f>
        <v>0</v>
      </c>
      <c r="AU322" s="57">
        <f>IF(ISERROR(IF(B322=C322,J322/C322,(INT(J322/B322)+(((J322-B322*INT(J322/B322)))/C322)/100))),0,(IF(B322=C322,J322/C322,(INT(J322/B322)+(((J322-B322*INT(J322/B322)))/C322)/100))))</f>
        <v>0</v>
      </c>
      <c r="AV322" s="57">
        <f>IF(ISERROR(IF(B322=C322,K322/C322,IF((INT(K322/B322)+(((K322-B322*INT(K322/B322)))/C322)/100)&lt;0,(INT(K322/B322)+(((K322-B322*INT(K322/B322)))/C322)/100)+(1-(B322/C322/100)),(INT(K322/B322)+(((K322-B322*INT(K322/B322)))/C322)/100)))),0,IF(B322=C322,K322/C322,IF((INT(K322/B322)+(((K322-B322*INT(K322/B322)))/C322)/100)&lt;0,(INT(K322/B322)+(((K322-B322*INT(K322/B322)))/C322)/100)+(1-(B322/C322/100)),(INT(K322/B322)+(((K322-B322*INT(K322/B322)))/C322)/100))))</f>
        <v>0</v>
      </c>
      <c r="AW322" s="57">
        <f>IF(ISERROR(IF(B322=C322,L322/C322,(INT(L322/B322)+(((L322-B322*INT(L322/B322)))/C322)/100))),0,(IF(B322=C322,L322/C322,(INT(L322/B322)+(((L322-B322*INT(L322/B322)))/C322)/100))))</f>
        <v>0</v>
      </c>
      <c r="AX322" s="57">
        <f>IF(ISERROR(IF(B322=C322,M322/C322,(INT(M322/B322)+(((M322-B322*INT(M322/B322)))/C322)/100))),0,(IF(B322=C322,M322/C322,(INT(M322/B322)+(((M322-B322*INT(M322/B322)))/C322)/100))))</f>
        <v>0</v>
      </c>
      <c r="AY322" s="57">
        <f>IF(ISERROR(IF(B322=C322,N322/C322,IF((INT(N322/B322)+(((N322-B322*INT(N322/B322)))/C322)/100)&lt;0,(INT(N322/B322)+(((N322-B322*INT(N322/B322)))/C322)/100)+(1-(B322/C322/100)),(INT(N322/B322)+(((N322-B322*INT(N322/B322)))/C322)/100)))),0,IF(B322=C322,N322/C322,IF((INT(N322/B322)+(((N322-B322*INT(N322/B322)))/C322)/100)&lt;0,(INT(N322/B322)+(((N322-B322*INT(N322/B322)))/C322)/100)+(1-(B322/C322/100)),(INT(N322/B322)+(((N322-B322*INT(N322/B322)))/C322)/100))))</f>
        <v>0</v>
      </c>
      <c r="AZ322" s="57">
        <f>IF(ISERROR(IF(B322=C322,O322/C322,(INT(O322/B322)+(((O322-B322*INT(O322/B322)))/C322)/100))),0,(IF(B322=C322,O322/C322,(INT(O322/B322)+(((O322-B322*INT(O322/B322)))/C322)/100))))</f>
        <v>0</v>
      </c>
      <c r="BA322" s="57">
        <f>IF(ISERROR(IF(B322=C322,P322/C322,IF((INT(P322/B322)+(((P322-B322*INT(P322/B322)))/C322)/100)&lt;0,(INT(P322/B322)+(((P322-B322*INT(P322/B322)))/C322)/100)+(1-(B322/C322/100)),(INT(P322/B322)+(((P322-B322*INT(P322/B322)))/C322)/100)))),0,IF(B322=C322,P322/C322,IF((INT(P322/B322)+(((P322-B322*INT(P322/B322)))/C322)/100)&lt;0,(INT(P322/B322)+(((P322-B322*INT(P322/B322)))/C322)/100)+(1-(B322/C322/100)),(INT(P322/B322)+(((P322-B322*INT(P322/B322)))/C322)/100))))</f>
        <v>0</v>
      </c>
      <c r="BB322" s="28">
        <f>R322</f>
        <v>0</v>
      </c>
      <c r="BC322" s="28">
        <f>S322</f>
        <v>0</v>
      </c>
      <c r="BD322" s="28">
        <f>AF322</f>
        <v>0</v>
      </c>
      <c r="BE322" s="28">
        <f>T322</f>
        <v>0</v>
      </c>
      <c r="BG322" s="57">
        <f>IF(ISERROR(IF(B322=C322,V322/C322,(INT(V322/B322)+(((V322-B322*INT(V322/B322)))/C322)/100))),0,(IF(B322=C322,V322/C322,(INT(V322/B322)+(((V322-B322*INT(V322/B322)))/C322)/100))))</f>
        <v>0</v>
      </c>
      <c r="BH322" s="57">
        <f>IF(ISERROR(IF(B322=C322,W322/C322,(INT(W322/B322)+(((W322-B322*INT(W322/B322)))/C322)/100))),0,(IF(B322=C322,W322/C322,(INT(W322/B322)+(((W322-B322*INT(W322/B322)))/C322)/100))))</f>
        <v>0</v>
      </c>
      <c r="BI322" s="57">
        <f>IF(ISERROR(IF(B322=C322,X322/C322,(INT(X322/B322)+(((X322-B322*INT(X322/B322)))/C322)/100))),0,(IF(B322=C322,X322/C322,(INT(X322/B322)+(((X322-B322*INT(X322/B322)))/C322)/100))))</f>
        <v>0</v>
      </c>
      <c r="BJ322" s="57">
        <f>IF(ISERROR(IF(B322=C322,Y322/C322,(INT(Y322/B322)+(((Y322-B322*INT(Y322/B322)))/C322)/100))),0,(IF(B322=C322,Y322/C322,(INT(Y322/B322)+(((Y322-B322*INT(Y322/B322)))/C322)/100))))</f>
        <v>0</v>
      </c>
      <c r="BL322" s="57">
        <f>IF(ISERROR(IF(B322=C322,AA322/C322,(INT(AA322/B322)+(((AA322-B322*INT(AA322/B322)))/C322)/100))),0,(IF(B322=C322,AA322/C322,(INT(AA322/B322)+(((AA322-B322*INT(AA322/B322)))/C322)/100))))</f>
        <v>0</v>
      </c>
      <c r="BM322" s="57">
        <f>IF(ISERROR(IF(B322=C322,AB322/C322,(INT(AB322/B322)+(((AB322-B322*INT(AB322/B322)))/C322)/100))),0,(IF(B322=C322,AB322/C322,(INT(AB322/B322)+(((AB322-B322*INT(AB322/B322)))/C322)/100))))</f>
        <v>0</v>
      </c>
      <c r="BN322" s="57">
        <f>IF(ISERROR(IF(B322=C322,AC322/C322,(INT(AC322/B322)+(((AC322-B322*INT(AC322/B322)))/C322)/100))),0,(IF(B322=C322,AC322/C322,(INT(AC322/B322)+(((AC322-B322*INT(AC322/B322)))/C322)/100))))</f>
        <v>0</v>
      </c>
      <c r="BO322" s="57">
        <f>IF(ISERROR(IF(B322=C322,AD322/C322,(INT(AD322/B322)+(((AD322-B322*INT(AD322/B322)))/C322)/100))),0,(IF(B322=C322,AD322/C322,(INT(AD322/B322)+(((AD322-B322*INT(AD322/B322)))/C322)/100))))</f>
        <v>0</v>
      </c>
      <c r="BQ322" s="155"/>
    </row>
    <row r="323" spans="1:69" hidden="1" x14ac:dyDescent="0.35">
      <c r="A323" s="94"/>
      <c r="B323" s="113">
        <v>0</v>
      </c>
      <c r="C323" s="113">
        <v>0</v>
      </c>
      <c r="D323" s="28">
        <f>SUM(AA323:AD323)</f>
        <v>0</v>
      </c>
      <c r="E323" s="113">
        <v>0</v>
      </c>
      <c r="F323" s="113">
        <v>0</v>
      </c>
      <c r="G323" s="28">
        <f>SUM(D323:F323)</f>
        <v>0</v>
      </c>
      <c r="H323" s="125">
        <v>0</v>
      </c>
      <c r="I323" s="113">
        <v>0</v>
      </c>
      <c r="J323" s="125">
        <v>0</v>
      </c>
      <c r="K323" s="113">
        <v>0</v>
      </c>
      <c r="L323" s="113">
        <v>0</v>
      </c>
      <c r="M323" s="113">
        <v>0</v>
      </c>
      <c r="N323" s="28">
        <f>G323-SUM(H323:M323)</f>
        <v>0</v>
      </c>
      <c r="O323" s="28">
        <f>SUM(V323:Y323)</f>
        <v>0</v>
      </c>
      <c r="P323" s="28">
        <f>O323-N323</f>
        <v>0</v>
      </c>
      <c r="Q323" s="61" t="str">
        <f>IF(ISERROR(P323/SUM(H323:L323)),"",P323/SUM(H323:L323))</f>
        <v/>
      </c>
      <c r="R323" s="113">
        <v>0</v>
      </c>
      <c r="S323" s="28">
        <f>IF(ISERROR(P323/C323*R323),0,(P323/C323*R323))</f>
        <v>0</v>
      </c>
      <c r="T323" s="60">
        <f>IF(ISERROR(P323/B323*AF323),0,(P323/B323*AF323))</f>
        <v>0</v>
      </c>
      <c r="V323" s="113">
        <v>0</v>
      </c>
      <c r="W323" s="113">
        <v>0</v>
      </c>
      <c r="X323" s="113">
        <v>0</v>
      </c>
      <c r="Y323" s="113">
        <v>0</v>
      </c>
      <c r="AA323" s="113">
        <v>0</v>
      </c>
      <c r="AB323" s="113">
        <v>0</v>
      </c>
      <c r="AC323" s="113">
        <v>0</v>
      </c>
      <c r="AD323" s="113">
        <v>0</v>
      </c>
      <c r="AF323" s="113">
        <v>0</v>
      </c>
      <c r="AG323" s="28">
        <f>G323-O323</f>
        <v>0</v>
      </c>
      <c r="AH323" s="58">
        <f>IF(ISERROR(AG323/B323*AF323),0,(AG323/B323*AF323))</f>
        <v>0</v>
      </c>
      <c r="AI323" s="28">
        <f>SUM(H323:M323)</f>
        <v>0</v>
      </c>
      <c r="AJ323" s="28">
        <f>IF(ISERROR(AI323/B323*AF323),0,(AI323/B323*AF323))</f>
        <v>0</v>
      </c>
      <c r="AK323" s="58">
        <f>IF(ISERROR(O323/B323*AF323),0,(O323/B323*AF323))</f>
        <v>0</v>
      </c>
      <c r="AL323" s="28">
        <f>IF(ISERROR(H323/B323*AF323),0,(H323/B323*AF323))</f>
        <v>0</v>
      </c>
      <c r="AN323" s="51">
        <f>A323</f>
        <v>0</v>
      </c>
      <c r="AO323" s="57">
        <f>IF(ISERROR(IF(B323=C323,D323/C323,(INT(D323/B323)+(((D323-B323*INT(D323/B323)))/C323)/100))),0,(IF(B323=C323,D323/C323,(INT(D323/B323)+(((D323-B323*INT(D323/B323)))/C323)/100))))</f>
        <v>0</v>
      </c>
      <c r="AP323" s="57">
        <f>IF(ISERROR(IF(B323=C323,E323/C323,(INT(E323/B323)+(((E323-B323*INT(E323/B323)))/C323)/100))),0,(IF(B323=C323,E323/C323,(INT(E323/B323)+(((E323-B323*INT(E323/B323)))/C323)/100))))</f>
        <v>0</v>
      </c>
      <c r="AQ323" s="57">
        <f>IF(ISERROR(IF(B323=C323,F323/C323,IF((INT(F323/B323)+(((F323-B323*INT(F323/B323)))/C323)/100)&lt;0,(INT(F323/B323)+(((F323-B323*INT(F323/B323)))/C323)/100)+(1-(B323/C323/100)),(INT(F323/B323)+(((F323-B323*INT(F323/B323)))/C323)/100)))),0,IF(B323=C323,F323/C323,IF((INT(F323/B323)+(((F323-B323*INT(F323/B323)))/C323)/100)&lt;0,(INT(F323/B323)+(((F323-B323*INT(F323/B323)))/C323)/100)+(1-(B323/C323/100)),(INT(F323/B323)+(((F323-B323*INT(F323/B323)))/C323)/100))))</f>
        <v>0</v>
      </c>
      <c r="AR323" s="57">
        <f>IF(ISERROR(IF(B323=C323,G323/C323,(INT(G323/B323)+(((G323-B323*INT(G323/B323)))/C323)/100))),0,(IF(B323=C323,G323/C323,(INT(G323/B323)+(((G323-B323*INT(G323/B323)))/C323)/100))))</f>
        <v>0</v>
      </c>
      <c r="AS323" s="57">
        <f>IF(ISERROR(IF(B323=C323,H323/C323,(INT(H323/B323)+(((H323-B323*INT(H323/B323)))/C323)/100))),0,(IF(B323=C323,H323/C323,(INT(H323/B323)+(((H323-B323*INT(H323/B323)))/C323)/100))))</f>
        <v>0</v>
      </c>
      <c r="AT323" s="57">
        <f>IF(ISERROR(IF(B323=C323,I323/C323,(INT(I323/B323)+(((I323-B323*INT(I323/B323)))/C323)/100))),0,(IF(B323=C323,I323/C323,(INT(I323/B323)+(((I323-B323*INT(I323/B323)))/C323)/100))))</f>
        <v>0</v>
      </c>
      <c r="AU323" s="57">
        <f>IF(ISERROR(IF(B323=C323,J323/C323,(INT(J323/B323)+(((J323-B323*INT(J323/B323)))/C323)/100))),0,(IF(B323=C323,J323/C323,(INT(J323/B323)+(((J323-B323*INT(J323/B323)))/C323)/100))))</f>
        <v>0</v>
      </c>
      <c r="AV323" s="57">
        <f>IF(ISERROR(IF(B323=C323,K323/C323,IF((INT(K323/B323)+(((K323-B323*INT(K323/B323)))/C323)/100)&lt;0,(INT(K323/B323)+(((K323-B323*INT(K323/B323)))/C323)/100)+(1-(B323/C323/100)),(INT(K323/B323)+(((K323-B323*INT(K323/B323)))/C323)/100)))),0,IF(B323=C323,K323/C323,IF((INT(K323/B323)+(((K323-B323*INT(K323/B323)))/C323)/100)&lt;0,(INT(K323/B323)+(((K323-B323*INT(K323/B323)))/C323)/100)+(1-(B323/C323/100)),(INT(K323/B323)+(((K323-B323*INT(K323/B323)))/C323)/100))))</f>
        <v>0</v>
      </c>
      <c r="AW323" s="57">
        <f>IF(ISERROR(IF(B323=C323,L323/C323,(INT(L323/B323)+(((L323-B323*INT(L323/B323)))/C323)/100))),0,(IF(B323=C323,L323/C323,(INT(L323/B323)+(((L323-B323*INT(L323/B323)))/C323)/100))))</f>
        <v>0</v>
      </c>
      <c r="AX323" s="57">
        <f>IF(ISERROR(IF(B323=C323,M323/C323,(INT(M323/B323)+(((M323-B323*INT(M323/B323)))/C323)/100))),0,(IF(B323=C323,M323/C323,(INT(M323/B323)+(((M323-B323*INT(M323/B323)))/C323)/100))))</f>
        <v>0</v>
      </c>
      <c r="AY323" s="57">
        <f>IF(ISERROR(IF(B323=C323,N323/C323,IF((INT(N323/B323)+(((N323-B323*INT(N323/B323)))/C323)/100)&lt;0,(INT(N323/B323)+(((N323-B323*INT(N323/B323)))/C323)/100)+(1-(B323/C323/100)),(INT(N323/B323)+(((N323-B323*INT(N323/B323)))/C323)/100)))),0,IF(B323=C323,N323/C323,IF((INT(N323/B323)+(((N323-B323*INT(N323/B323)))/C323)/100)&lt;0,(INT(N323/B323)+(((N323-B323*INT(N323/B323)))/C323)/100)+(1-(B323/C323/100)),(INT(N323/B323)+(((N323-B323*INT(N323/B323)))/C323)/100))))</f>
        <v>0</v>
      </c>
      <c r="AZ323" s="57">
        <f>IF(ISERROR(IF(B323=C323,O323/C323,(INT(O323/B323)+(((O323-B323*INT(O323/B323)))/C323)/100))),0,(IF(B323=C323,O323/C323,(INT(O323/B323)+(((O323-B323*INT(O323/B323)))/C323)/100))))</f>
        <v>0</v>
      </c>
      <c r="BA323" s="57">
        <f>IF(ISERROR(IF(B323=C323,P323/C323,IF((INT(P323/B323)+(((P323-B323*INT(P323/B323)))/C323)/100)&lt;0,(INT(P323/B323)+(((P323-B323*INT(P323/B323)))/C323)/100)+(1-(B323/C323/100)),(INT(P323/B323)+(((P323-B323*INT(P323/B323)))/C323)/100)))),0,IF(B323=C323,P323/C323,IF((INT(P323/B323)+(((P323-B323*INT(P323/B323)))/C323)/100)&lt;0,(INT(P323/B323)+(((P323-B323*INT(P323/B323)))/C323)/100)+(1-(B323/C323/100)),(INT(P323/B323)+(((P323-B323*INT(P323/B323)))/C323)/100))))</f>
        <v>0</v>
      </c>
      <c r="BB323" s="28">
        <f>R323</f>
        <v>0</v>
      </c>
      <c r="BC323" s="28">
        <f>S323</f>
        <v>0</v>
      </c>
      <c r="BD323" s="28">
        <f>AF323</f>
        <v>0</v>
      </c>
      <c r="BE323" s="28">
        <f>T323</f>
        <v>0</v>
      </c>
      <c r="BG323" s="57">
        <f>IF(ISERROR(IF(B323=C323,V323/C323,(INT(V323/B323)+(((V323-B323*INT(V323/B323)))/C323)/100))),0,(IF(B323=C323,V323/C323,(INT(V323/B323)+(((V323-B323*INT(V323/B323)))/C323)/100))))</f>
        <v>0</v>
      </c>
      <c r="BH323" s="57">
        <f>IF(ISERROR(IF(B323=C323,W323/C323,(INT(W323/B323)+(((W323-B323*INT(W323/B323)))/C323)/100))),0,(IF(B323=C323,W323/C323,(INT(W323/B323)+(((W323-B323*INT(W323/B323)))/C323)/100))))</f>
        <v>0</v>
      </c>
      <c r="BI323" s="57">
        <f>IF(ISERROR(IF(B323=C323,X323/C323,(INT(X323/B323)+(((X323-B323*INT(X323/B323)))/C323)/100))),0,(IF(B323=C323,X323/C323,(INT(X323/B323)+(((X323-B323*INT(X323/B323)))/C323)/100))))</f>
        <v>0</v>
      </c>
      <c r="BJ323" s="57">
        <f>IF(ISERROR(IF(B323=C323,Y323/C323,(INT(Y323/B323)+(((Y323-B323*INT(Y323/B323)))/C323)/100))),0,(IF(B323=C323,Y323/C323,(INT(Y323/B323)+(((Y323-B323*INT(Y323/B323)))/C323)/100))))</f>
        <v>0</v>
      </c>
      <c r="BL323" s="57">
        <f>IF(ISERROR(IF(B323=C323,AA323/C323,(INT(AA323/B323)+(((AA323-B323*INT(AA323/B323)))/C323)/100))),0,(IF(B323=C323,AA323/C323,(INT(AA323/B323)+(((AA323-B323*INT(AA323/B323)))/C323)/100))))</f>
        <v>0</v>
      </c>
      <c r="BM323" s="57">
        <f>IF(ISERROR(IF(B323=C323,AB323/C323,(INT(AB323/B323)+(((AB323-B323*INT(AB323/B323)))/C323)/100))),0,(IF(B323=C323,AB323/C323,(INT(AB323/B323)+(((AB323-B323*INT(AB323/B323)))/C323)/100))))</f>
        <v>0</v>
      </c>
      <c r="BN323" s="57">
        <f>IF(ISERROR(IF(B323=C323,AC323/C323,(INT(AC323/B323)+(((AC323-B323*INT(AC323/B323)))/C323)/100))),0,(IF(B323=C323,AC323/C323,(INT(AC323/B323)+(((AC323-B323*INT(AC323/B323)))/C323)/100))))</f>
        <v>0</v>
      </c>
      <c r="BO323" s="57">
        <f>IF(ISERROR(IF(B323=C323,AD323/C323,(INT(AD323/B323)+(((AD323-B323*INT(AD323/B323)))/C323)/100))),0,(IF(B323=C323,AD323/C323,(INT(AD323/B323)+(((AD323-B323*INT(AD323/B323)))/C323)/100))))</f>
        <v>0</v>
      </c>
      <c r="BQ323" s="155"/>
    </row>
    <row r="324" spans="1:69" hidden="1" x14ac:dyDescent="0.35">
      <c r="A324" s="94"/>
      <c r="B324" s="113">
        <v>0</v>
      </c>
      <c r="C324" s="113">
        <v>0</v>
      </c>
      <c r="D324" s="28">
        <f>SUM(AA324:AD324)</f>
        <v>0</v>
      </c>
      <c r="E324" s="113">
        <v>0</v>
      </c>
      <c r="F324" s="113">
        <v>0</v>
      </c>
      <c r="G324" s="28">
        <f>SUM(D324:F324)</f>
        <v>0</v>
      </c>
      <c r="H324" s="125">
        <v>0</v>
      </c>
      <c r="I324" s="113">
        <v>0</v>
      </c>
      <c r="J324" s="125">
        <v>0</v>
      </c>
      <c r="K324" s="113">
        <v>0</v>
      </c>
      <c r="L324" s="113">
        <v>0</v>
      </c>
      <c r="M324" s="113">
        <v>0</v>
      </c>
      <c r="N324" s="28">
        <f>G324-SUM(H324:M324)</f>
        <v>0</v>
      </c>
      <c r="O324" s="28">
        <f>SUM(V324:Y324)</f>
        <v>0</v>
      </c>
      <c r="P324" s="28">
        <f>O324-N324</f>
        <v>0</v>
      </c>
      <c r="Q324" s="61" t="str">
        <f>IF(ISERROR(P324/SUM(H324:L324)),"",P324/SUM(H324:L324))</f>
        <v/>
      </c>
      <c r="R324" s="113">
        <v>0</v>
      </c>
      <c r="S324" s="28">
        <f>IF(ISERROR(P324/C324*R324),0,(P324/C324*R324))</f>
        <v>0</v>
      </c>
      <c r="T324" s="60">
        <f>IF(ISERROR(P324/B324*AF324),0,(P324/B324*AF324))</f>
        <v>0</v>
      </c>
      <c r="V324" s="113">
        <v>0</v>
      </c>
      <c r="W324" s="113">
        <v>0</v>
      </c>
      <c r="X324" s="113">
        <v>0</v>
      </c>
      <c r="Y324" s="113">
        <v>0</v>
      </c>
      <c r="AA324" s="113">
        <v>0</v>
      </c>
      <c r="AB324" s="113">
        <v>0</v>
      </c>
      <c r="AC324" s="113">
        <v>0</v>
      </c>
      <c r="AD324" s="113">
        <v>0</v>
      </c>
      <c r="AF324" s="113">
        <v>0</v>
      </c>
      <c r="AG324" s="28">
        <f>G324-O324</f>
        <v>0</v>
      </c>
      <c r="AH324" s="58">
        <f>IF(ISERROR(AG324/B324*AF324),0,(AG324/B324*AF324))</f>
        <v>0</v>
      </c>
      <c r="AI324" s="28">
        <f>SUM(H324:M324)</f>
        <v>0</v>
      </c>
      <c r="AJ324" s="28">
        <f>IF(ISERROR(AI324/B324*AF324),0,(AI324/B324*AF324))</f>
        <v>0</v>
      </c>
      <c r="AK324" s="58">
        <f>IF(ISERROR(O324/B324*AF324),0,(O324/B324*AF324))</f>
        <v>0</v>
      </c>
      <c r="AL324" s="28">
        <f>IF(ISERROR(H324/B324*AF324),0,(H324/B324*AF324))</f>
        <v>0</v>
      </c>
      <c r="AN324" s="51">
        <f>A324</f>
        <v>0</v>
      </c>
      <c r="AO324" s="57">
        <f>IF(ISERROR(IF(B324=C324,D324/C324,(INT(D324/B324)+(((D324-B324*INT(D324/B324)))/C324)/100))),0,(IF(B324=C324,D324/C324,(INT(D324/B324)+(((D324-B324*INT(D324/B324)))/C324)/100))))</f>
        <v>0</v>
      </c>
      <c r="AP324" s="57">
        <f>IF(ISERROR(IF(B324=C324,E324/C324,(INT(E324/B324)+(((E324-B324*INT(E324/B324)))/C324)/100))),0,(IF(B324=C324,E324/C324,(INT(E324/B324)+(((E324-B324*INT(E324/B324)))/C324)/100))))</f>
        <v>0</v>
      </c>
      <c r="AQ324" s="57">
        <f>IF(ISERROR(IF(B324=C324,F324/C324,IF((INT(F324/B324)+(((F324-B324*INT(F324/B324)))/C324)/100)&lt;0,(INT(F324/B324)+(((F324-B324*INT(F324/B324)))/C324)/100)+(1-(B324/C324/100)),(INT(F324/B324)+(((F324-B324*INT(F324/B324)))/C324)/100)))),0,IF(B324=C324,F324/C324,IF((INT(F324/B324)+(((F324-B324*INT(F324/B324)))/C324)/100)&lt;0,(INT(F324/B324)+(((F324-B324*INT(F324/B324)))/C324)/100)+(1-(B324/C324/100)),(INT(F324/B324)+(((F324-B324*INT(F324/B324)))/C324)/100))))</f>
        <v>0</v>
      </c>
      <c r="AR324" s="57">
        <f>IF(ISERROR(IF(B324=C324,G324/C324,(INT(G324/B324)+(((G324-B324*INT(G324/B324)))/C324)/100))),0,(IF(B324=C324,G324/C324,(INT(G324/B324)+(((G324-B324*INT(G324/B324)))/C324)/100))))</f>
        <v>0</v>
      </c>
      <c r="AS324" s="57">
        <f>IF(ISERROR(IF(B324=C324,H324/C324,(INT(H324/B324)+(((H324-B324*INT(H324/B324)))/C324)/100))),0,(IF(B324=C324,H324/C324,(INT(H324/B324)+(((H324-B324*INT(H324/B324)))/C324)/100))))</f>
        <v>0</v>
      </c>
      <c r="AT324" s="57">
        <f>IF(ISERROR(IF(B324=C324,I324/C324,(INT(I324/B324)+(((I324-B324*INT(I324/B324)))/C324)/100))),0,(IF(B324=C324,I324/C324,(INT(I324/B324)+(((I324-B324*INT(I324/B324)))/C324)/100))))</f>
        <v>0</v>
      </c>
      <c r="AU324" s="57">
        <f>IF(ISERROR(IF(B324=C324,J324/C324,(INT(J324/B324)+(((J324-B324*INT(J324/B324)))/C324)/100))),0,(IF(B324=C324,J324/C324,(INT(J324/B324)+(((J324-B324*INT(J324/B324)))/C324)/100))))</f>
        <v>0</v>
      </c>
      <c r="AV324" s="57">
        <f>IF(ISERROR(IF(B324=C324,K324/C324,IF((INT(K324/B324)+(((K324-B324*INT(K324/B324)))/C324)/100)&lt;0,(INT(K324/B324)+(((K324-B324*INT(K324/B324)))/C324)/100)+(1-(B324/C324/100)),(INT(K324/B324)+(((K324-B324*INT(K324/B324)))/C324)/100)))),0,IF(B324=C324,K324/C324,IF((INT(K324/B324)+(((K324-B324*INT(K324/B324)))/C324)/100)&lt;0,(INT(K324/B324)+(((K324-B324*INT(K324/B324)))/C324)/100)+(1-(B324/C324/100)),(INT(K324/B324)+(((K324-B324*INT(K324/B324)))/C324)/100))))</f>
        <v>0</v>
      </c>
      <c r="AW324" s="57">
        <f>IF(ISERROR(IF(B324=C324,L324/C324,(INT(L324/B324)+(((L324-B324*INT(L324/B324)))/C324)/100))),0,(IF(B324=C324,L324/C324,(INT(L324/B324)+(((L324-B324*INT(L324/B324)))/C324)/100))))</f>
        <v>0</v>
      </c>
      <c r="AX324" s="57">
        <f>IF(ISERROR(IF(B324=C324,M324/C324,(INT(M324/B324)+(((M324-B324*INT(M324/B324)))/C324)/100))),0,(IF(B324=C324,M324/C324,(INT(M324/B324)+(((M324-B324*INT(M324/B324)))/C324)/100))))</f>
        <v>0</v>
      </c>
      <c r="AY324" s="57">
        <f>IF(ISERROR(IF(B324=C324,N324/C324,IF((INT(N324/B324)+(((N324-B324*INT(N324/B324)))/C324)/100)&lt;0,(INT(N324/B324)+(((N324-B324*INT(N324/B324)))/C324)/100)+(1-(B324/C324/100)),(INT(N324/B324)+(((N324-B324*INT(N324/B324)))/C324)/100)))),0,IF(B324=C324,N324/C324,IF((INT(N324/B324)+(((N324-B324*INT(N324/B324)))/C324)/100)&lt;0,(INT(N324/B324)+(((N324-B324*INT(N324/B324)))/C324)/100)+(1-(B324/C324/100)),(INT(N324/B324)+(((N324-B324*INT(N324/B324)))/C324)/100))))</f>
        <v>0</v>
      </c>
      <c r="AZ324" s="57">
        <f>IF(ISERROR(IF(B324=C324,O324/C324,(INT(O324/B324)+(((O324-B324*INT(O324/B324)))/C324)/100))),0,(IF(B324=C324,O324/C324,(INT(O324/B324)+(((O324-B324*INT(O324/B324)))/C324)/100))))</f>
        <v>0</v>
      </c>
      <c r="BA324" s="57">
        <f>IF(ISERROR(IF(B324=C324,P324/C324,IF((INT(P324/B324)+(((P324-B324*INT(P324/B324)))/C324)/100)&lt;0,(INT(P324/B324)+(((P324-B324*INT(P324/B324)))/C324)/100)+(1-(B324/C324/100)),(INT(P324/B324)+(((P324-B324*INT(P324/B324)))/C324)/100)))),0,IF(B324=C324,P324/C324,IF((INT(P324/B324)+(((P324-B324*INT(P324/B324)))/C324)/100)&lt;0,(INT(P324/B324)+(((P324-B324*INT(P324/B324)))/C324)/100)+(1-(B324/C324/100)),(INT(P324/B324)+(((P324-B324*INT(P324/B324)))/C324)/100))))</f>
        <v>0</v>
      </c>
      <c r="BB324" s="28">
        <f>R324</f>
        <v>0</v>
      </c>
      <c r="BC324" s="28">
        <f>S324</f>
        <v>0</v>
      </c>
      <c r="BD324" s="28">
        <f>AF324</f>
        <v>0</v>
      </c>
      <c r="BE324" s="28">
        <f>T324</f>
        <v>0</v>
      </c>
      <c r="BG324" s="57">
        <f>IF(ISERROR(IF(B324=C324,V324/C324,(INT(V324/B324)+(((V324-B324*INT(V324/B324)))/C324)/100))),0,(IF(B324=C324,V324/C324,(INT(V324/B324)+(((V324-B324*INT(V324/B324)))/C324)/100))))</f>
        <v>0</v>
      </c>
      <c r="BH324" s="57">
        <f>IF(ISERROR(IF(B324=C324,W324/C324,(INT(W324/B324)+(((W324-B324*INT(W324/B324)))/C324)/100))),0,(IF(B324=C324,W324/C324,(INT(W324/B324)+(((W324-B324*INT(W324/B324)))/C324)/100))))</f>
        <v>0</v>
      </c>
      <c r="BI324" s="57">
        <f>IF(ISERROR(IF(B324=C324,X324/C324,(INT(X324/B324)+(((X324-B324*INT(X324/B324)))/C324)/100))),0,(IF(B324=C324,X324/C324,(INT(X324/B324)+(((X324-B324*INT(X324/B324)))/C324)/100))))</f>
        <v>0</v>
      </c>
      <c r="BJ324" s="57">
        <f>IF(ISERROR(IF(B324=C324,Y324/C324,(INT(Y324/B324)+(((Y324-B324*INT(Y324/B324)))/C324)/100))),0,(IF(B324=C324,Y324/C324,(INT(Y324/B324)+(((Y324-B324*INT(Y324/B324)))/C324)/100))))</f>
        <v>0</v>
      </c>
      <c r="BL324" s="57">
        <f>IF(ISERROR(IF(B324=C324,AA324/C324,(INT(AA324/B324)+(((AA324-B324*INT(AA324/B324)))/C324)/100))),0,(IF(B324=C324,AA324/C324,(INT(AA324/B324)+(((AA324-B324*INT(AA324/B324)))/C324)/100))))</f>
        <v>0</v>
      </c>
      <c r="BM324" s="57">
        <f>IF(ISERROR(IF(B324=C324,AB324/C324,(INT(AB324/B324)+(((AB324-B324*INT(AB324/B324)))/C324)/100))),0,(IF(B324=C324,AB324/C324,(INT(AB324/B324)+(((AB324-B324*INT(AB324/B324)))/C324)/100))))</f>
        <v>0</v>
      </c>
      <c r="BN324" s="57">
        <f>IF(ISERROR(IF(B324=C324,AC324/C324,(INT(AC324/B324)+(((AC324-B324*INT(AC324/B324)))/C324)/100))),0,(IF(B324=C324,AC324/C324,(INT(AC324/B324)+(((AC324-B324*INT(AC324/B324)))/C324)/100))))</f>
        <v>0</v>
      </c>
      <c r="BO324" s="57">
        <f>IF(ISERROR(IF(B324=C324,AD324/C324,(INT(AD324/B324)+(((AD324-B324*INT(AD324/B324)))/C324)/100))),0,(IF(B324=C324,AD324/C324,(INT(AD324/B324)+(((AD324-B324*INT(AD324/B324)))/C324)/100))))</f>
        <v>0</v>
      </c>
      <c r="BQ324" s="155"/>
    </row>
    <row r="325" spans="1:69" hidden="1" x14ac:dyDescent="0.35">
      <c r="A325" s="94"/>
      <c r="B325" s="113">
        <v>0</v>
      </c>
      <c r="C325" s="113">
        <v>0</v>
      </c>
      <c r="D325" s="28">
        <f>SUM(AA325:AD325)</f>
        <v>0</v>
      </c>
      <c r="E325" s="113">
        <v>0</v>
      </c>
      <c r="F325" s="113">
        <v>0</v>
      </c>
      <c r="G325" s="28">
        <f>SUM(D325:F325)</f>
        <v>0</v>
      </c>
      <c r="H325" s="125">
        <v>0</v>
      </c>
      <c r="I325" s="113">
        <v>0</v>
      </c>
      <c r="J325" s="125">
        <v>0</v>
      </c>
      <c r="K325" s="113">
        <v>0</v>
      </c>
      <c r="L325" s="113">
        <v>0</v>
      </c>
      <c r="M325" s="113">
        <v>0</v>
      </c>
      <c r="N325" s="28">
        <f>G325-SUM(H325:M325)</f>
        <v>0</v>
      </c>
      <c r="O325" s="28">
        <f>SUM(V325:Y325)</f>
        <v>0</v>
      </c>
      <c r="P325" s="28">
        <f>O325-N325</f>
        <v>0</v>
      </c>
      <c r="Q325" s="61" t="str">
        <f>IF(ISERROR(P325/SUM(H325:L325)),"",P325/SUM(H325:L325))</f>
        <v/>
      </c>
      <c r="R325" s="113">
        <v>0</v>
      </c>
      <c r="S325" s="28">
        <f>IF(ISERROR(P325/C325*R325),0,(P325/C325*R325))</f>
        <v>0</v>
      </c>
      <c r="T325" s="60">
        <f>IF(ISERROR(P325/B325*AF325),0,(P325/B325*AF325))</f>
        <v>0</v>
      </c>
      <c r="V325" s="113">
        <v>0</v>
      </c>
      <c r="W325" s="113">
        <v>0</v>
      </c>
      <c r="X325" s="113">
        <v>0</v>
      </c>
      <c r="Y325" s="113">
        <v>0</v>
      </c>
      <c r="AA325" s="113">
        <v>0</v>
      </c>
      <c r="AB325" s="113">
        <v>0</v>
      </c>
      <c r="AC325" s="113">
        <v>0</v>
      </c>
      <c r="AD325" s="113">
        <v>0</v>
      </c>
      <c r="AF325" s="113">
        <v>0</v>
      </c>
      <c r="AG325" s="28">
        <f>G325-O325</f>
        <v>0</v>
      </c>
      <c r="AH325" s="58">
        <f>IF(ISERROR(AG325/B325*AF325),0,(AG325/B325*AF325))</f>
        <v>0</v>
      </c>
      <c r="AI325" s="28">
        <f>SUM(H325:M325)</f>
        <v>0</v>
      </c>
      <c r="AJ325" s="28">
        <f>IF(ISERROR(AI325/B325*AF325),0,(AI325/B325*AF325))</f>
        <v>0</v>
      </c>
      <c r="AK325" s="58">
        <f>IF(ISERROR(O325/B325*AF325),0,(O325/B325*AF325))</f>
        <v>0</v>
      </c>
      <c r="AL325" s="28">
        <f>IF(ISERROR(H325/B325*AF325),0,(H325/B325*AF325))</f>
        <v>0</v>
      </c>
      <c r="AN325" s="51">
        <f>A325</f>
        <v>0</v>
      </c>
      <c r="AO325" s="57">
        <f>IF(ISERROR(IF(B325=C325,D325/C325,(INT(D325/B325)+(((D325-B325*INT(D325/B325)))/C325)/100))),0,(IF(B325=C325,D325/C325,(INT(D325/B325)+(((D325-B325*INT(D325/B325)))/C325)/100))))</f>
        <v>0</v>
      </c>
      <c r="AP325" s="57">
        <f>IF(ISERROR(IF(B325=C325,E325/C325,(INT(E325/B325)+(((E325-B325*INT(E325/B325)))/C325)/100))),0,(IF(B325=C325,E325/C325,(INT(E325/B325)+(((E325-B325*INT(E325/B325)))/C325)/100))))</f>
        <v>0</v>
      </c>
      <c r="AQ325" s="57">
        <f>IF(ISERROR(IF(B325=C325,F325/C325,IF((INT(F325/B325)+(((F325-B325*INT(F325/B325)))/C325)/100)&lt;0,(INT(F325/B325)+(((F325-B325*INT(F325/B325)))/C325)/100)+(1-(B325/C325/100)),(INT(F325/B325)+(((F325-B325*INT(F325/B325)))/C325)/100)))),0,IF(B325=C325,F325/C325,IF((INT(F325/B325)+(((F325-B325*INT(F325/B325)))/C325)/100)&lt;0,(INT(F325/B325)+(((F325-B325*INT(F325/B325)))/C325)/100)+(1-(B325/C325/100)),(INT(F325/B325)+(((F325-B325*INT(F325/B325)))/C325)/100))))</f>
        <v>0</v>
      </c>
      <c r="AR325" s="57">
        <f>IF(ISERROR(IF(B325=C325,G325/C325,(INT(G325/B325)+(((G325-B325*INT(G325/B325)))/C325)/100))),0,(IF(B325=C325,G325/C325,(INT(G325/B325)+(((G325-B325*INT(G325/B325)))/C325)/100))))</f>
        <v>0</v>
      </c>
      <c r="AS325" s="57">
        <f>IF(ISERROR(IF(B325=C325,H325/C325,(INT(H325/B325)+(((H325-B325*INT(H325/B325)))/C325)/100))),0,(IF(B325=C325,H325/C325,(INT(H325/B325)+(((H325-B325*INT(H325/B325)))/C325)/100))))</f>
        <v>0</v>
      </c>
      <c r="AT325" s="57">
        <f>IF(ISERROR(IF(B325=C325,I325/C325,(INT(I325/B325)+(((I325-B325*INT(I325/B325)))/C325)/100))),0,(IF(B325=C325,I325/C325,(INT(I325/B325)+(((I325-B325*INT(I325/B325)))/C325)/100))))</f>
        <v>0</v>
      </c>
      <c r="AU325" s="57">
        <f>IF(ISERROR(IF(B325=C325,J325/C325,(INT(J325/B325)+(((J325-B325*INT(J325/B325)))/C325)/100))),0,(IF(B325=C325,J325/C325,(INT(J325/B325)+(((J325-B325*INT(J325/B325)))/C325)/100))))</f>
        <v>0</v>
      </c>
      <c r="AV325" s="57">
        <f>IF(ISERROR(IF(B325=C325,K325/C325,IF((INT(K325/B325)+(((K325-B325*INT(K325/B325)))/C325)/100)&lt;0,(INT(K325/B325)+(((K325-B325*INT(K325/B325)))/C325)/100)+(1-(B325/C325/100)),(INT(K325/B325)+(((K325-B325*INT(K325/B325)))/C325)/100)))),0,IF(B325=C325,K325/C325,IF((INT(K325/B325)+(((K325-B325*INT(K325/B325)))/C325)/100)&lt;0,(INT(K325/B325)+(((K325-B325*INT(K325/B325)))/C325)/100)+(1-(B325/C325/100)),(INT(K325/B325)+(((K325-B325*INT(K325/B325)))/C325)/100))))</f>
        <v>0</v>
      </c>
      <c r="AW325" s="57">
        <f>IF(ISERROR(IF(B325=C325,L325/C325,(INT(L325/B325)+(((L325-B325*INT(L325/B325)))/C325)/100))),0,(IF(B325=C325,L325/C325,(INT(L325/B325)+(((L325-B325*INT(L325/B325)))/C325)/100))))</f>
        <v>0</v>
      </c>
      <c r="AX325" s="57">
        <f>IF(ISERROR(IF(B325=C325,M325/C325,(INT(M325/B325)+(((M325-B325*INT(M325/B325)))/C325)/100))),0,(IF(B325=C325,M325/C325,(INT(M325/B325)+(((M325-B325*INT(M325/B325)))/C325)/100))))</f>
        <v>0</v>
      </c>
      <c r="AY325" s="57">
        <f>IF(ISERROR(IF(B325=C325,N325/C325,IF((INT(N325/B325)+(((N325-B325*INT(N325/B325)))/C325)/100)&lt;0,(INT(N325/B325)+(((N325-B325*INT(N325/B325)))/C325)/100)+(1-(B325/C325/100)),(INT(N325/B325)+(((N325-B325*INT(N325/B325)))/C325)/100)))),0,IF(B325=C325,N325/C325,IF((INT(N325/B325)+(((N325-B325*INT(N325/B325)))/C325)/100)&lt;0,(INT(N325/B325)+(((N325-B325*INT(N325/B325)))/C325)/100)+(1-(B325/C325/100)),(INT(N325/B325)+(((N325-B325*INT(N325/B325)))/C325)/100))))</f>
        <v>0</v>
      </c>
      <c r="AZ325" s="57">
        <f>IF(ISERROR(IF(B325=C325,O325/C325,(INT(O325/B325)+(((O325-B325*INT(O325/B325)))/C325)/100))),0,(IF(B325=C325,O325/C325,(INT(O325/B325)+(((O325-B325*INT(O325/B325)))/C325)/100))))</f>
        <v>0</v>
      </c>
      <c r="BA325" s="57">
        <f>IF(ISERROR(IF(B325=C325,P325/C325,IF((INT(P325/B325)+(((P325-B325*INT(P325/B325)))/C325)/100)&lt;0,(INT(P325/B325)+(((P325-B325*INT(P325/B325)))/C325)/100)+(1-(B325/C325/100)),(INT(P325/B325)+(((P325-B325*INT(P325/B325)))/C325)/100)))),0,IF(B325=C325,P325/C325,IF((INT(P325/B325)+(((P325-B325*INT(P325/B325)))/C325)/100)&lt;0,(INT(P325/B325)+(((P325-B325*INT(P325/B325)))/C325)/100)+(1-(B325/C325/100)),(INT(P325/B325)+(((P325-B325*INT(P325/B325)))/C325)/100))))</f>
        <v>0</v>
      </c>
      <c r="BB325" s="28">
        <f>R325</f>
        <v>0</v>
      </c>
      <c r="BC325" s="28">
        <f>S325</f>
        <v>0</v>
      </c>
      <c r="BD325" s="28">
        <f>AF325</f>
        <v>0</v>
      </c>
      <c r="BE325" s="28">
        <f>T325</f>
        <v>0</v>
      </c>
      <c r="BG325" s="57">
        <f>IF(ISERROR(IF(B325=C325,V325/C325,(INT(V325/B325)+(((V325-B325*INT(V325/B325)))/C325)/100))),0,(IF(B325=C325,V325/C325,(INT(V325/B325)+(((V325-B325*INT(V325/B325)))/C325)/100))))</f>
        <v>0</v>
      </c>
      <c r="BH325" s="57">
        <f>IF(ISERROR(IF(B325=C325,W325/C325,(INT(W325/B325)+(((W325-B325*INT(W325/B325)))/C325)/100))),0,(IF(B325=C325,W325/C325,(INT(W325/B325)+(((W325-B325*INT(W325/B325)))/C325)/100))))</f>
        <v>0</v>
      </c>
      <c r="BI325" s="57">
        <f>IF(ISERROR(IF(B325=C325,X325/C325,(INT(X325/B325)+(((X325-B325*INT(X325/B325)))/C325)/100))),0,(IF(B325=C325,X325/C325,(INT(X325/B325)+(((X325-B325*INT(X325/B325)))/C325)/100))))</f>
        <v>0</v>
      </c>
      <c r="BJ325" s="57">
        <f>IF(ISERROR(IF(B325=C325,Y325/C325,(INT(Y325/B325)+(((Y325-B325*INT(Y325/B325)))/C325)/100))),0,(IF(B325=C325,Y325/C325,(INT(Y325/B325)+(((Y325-B325*INT(Y325/B325)))/C325)/100))))</f>
        <v>0</v>
      </c>
      <c r="BL325" s="57">
        <f>IF(ISERROR(IF(B325=C325,AA325/C325,(INT(AA325/B325)+(((AA325-B325*INT(AA325/B325)))/C325)/100))),0,(IF(B325=C325,AA325/C325,(INT(AA325/B325)+(((AA325-B325*INT(AA325/B325)))/C325)/100))))</f>
        <v>0</v>
      </c>
      <c r="BM325" s="57">
        <f>IF(ISERROR(IF(B325=C325,AB325/C325,(INT(AB325/B325)+(((AB325-B325*INT(AB325/B325)))/C325)/100))),0,(IF(B325=C325,AB325/C325,(INT(AB325/B325)+(((AB325-B325*INT(AB325/B325)))/C325)/100))))</f>
        <v>0</v>
      </c>
      <c r="BN325" s="57">
        <f>IF(ISERROR(IF(B325=C325,AC325/C325,(INT(AC325/B325)+(((AC325-B325*INT(AC325/B325)))/C325)/100))),0,(IF(B325=C325,AC325/C325,(INT(AC325/B325)+(((AC325-B325*INT(AC325/B325)))/C325)/100))))</f>
        <v>0</v>
      </c>
      <c r="BO325" s="57">
        <f>IF(ISERROR(IF(B325=C325,AD325/C325,(INT(AD325/B325)+(((AD325-B325*INT(AD325/B325)))/C325)/100))),0,(IF(B325=C325,AD325/C325,(INT(AD325/B325)+(((AD325-B325*INT(AD325/B325)))/C325)/100))))</f>
        <v>0</v>
      </c>
      <c r="BQ325" s="155"/>
    </row>
    <row r="326" spans="1:69" hidden="1" x14ac:dyDescent="0.35">
      <c r="A326" s="94"/>
      <c r="B326" s="113">
        <v>0</v>
      </c>
      <c r="C326" s="113">
        <v>0</v>
      </c>
      <c r="D326" s="28">
        <f>SUM(AA326:AD326)</f>
        <v>0</v>
      </c>
      <c r="E326" s="113">
        <v>0</v>
      </c>
      <c r="F326" s="113">
        <v>0</v>
      </c>
      <c r="G326" s="28">
        <f>SUM(D326:F326)</f>
        <v>0</v>
      </c>
      <c r="H326" s="125">
        <v>0</v>
      </c>
      <c r="I326" s="113">
        <v>0</v>
      </c>
      <c r="J326" s="125">
        <v>0</v>
      </c>
      <c r="K326" s="113">
        <v>0</v>
      </c>
      <c r="L326" s="113">
        <v>0</v>
      </c>
      <c r="M326" s="113">
        <v>0</v>
      </c>
      <c r="N326" s="28">
        <f>G326-SUM(H326:M326)</f>
        <v>0</v>
      </c>
      <c r="O326" s="28">
        <f>SUM(V326:Y326)</f>
        <v>0</v>
      </c>
      <c r="P326" s="28">
        <f>O326-N326</f>
        <v>0</v>
      </c>
      <c r="Q326" s="61" t="str">
        <f>IF(ISERROR(P326/SUM(H326:L326)),"",P326/SUM(H326:L326))</f>
        <v/>
      </c>
      <c r="R326" s="113">
        <v>0</v>
      </c>
      <c r="S326" s="28">
        <f>IF(ISERROR(P326/C326*R326),0,(P326/C326*R326))</f>
        <v>0</v>
      </c>
      <c r="T326" s="60">
        <f>IF(ISERROR(P326/B326*AF326),0,(P326/B326*AF326))</f>
        <v>0</v>
      </c>
      <c r="V326" s="113">
        <v>0</v>
      </c>
      <c r="W326" s="113">
        <v>0</v>
      </c>
      <c r="X326" s="113">
        <v>0</v>
      </c>
      <c r="Y326" s="113">
        <v>0</v>
      </c>
      <c r="AA326" s="113">
        <v>0</v>
      </c>
      <c r="AB326" s="113">
        <v>0</v>
      </c>
      <c r="AC326" s="113">
        <v>0</v>
      </c>
      <c r="AD326" s="113">
        <v>0</v>
      </c>
      <c r="AF326" s="113">
        <v>0</v>
      </c>
      <c r="AG326" s="28">
        <f>G326-O326</f>
        <v>0</v>
      </c>
      <c r="AH326" s="58">
        <f>IF(ISERROR(AG326/B326*AF326),0,(AG326/B326*AF326))</f>
        <v>0</v>
      </c>
      <c r="AI326" s="28">
        <f>SUM(H326:M326)</f>
        <v>0</v>
      </c>
      <c r="AJ326" s="28">
        <f>IF(ISERROR(AI326/B326*AF326),0,(AI326/B326*AF326))</f>
        <v>0</v>
      </c>
      <c r="AK326" s="58">
        <f>IF(ISERROR(O326/B326*AF326),0,(O326/B326*AF326))</f>
        <v>0</v>
      </c>
      <c r="AL326" s="28">
        <f>IF(ISERROR(H326/B326*AF326),0,(H326/B326*AF326))</f>
        <v>0</v>
      </c>
      <c r="AN326" s="51">
        <f>A326</f>
        <v>0</v>
      </c>
      <c r="AO326" s="57">
        <f>IF(ISERROR(IF(B326=C326,D326/C326,(INT(D326/B326)+(((D326-B326*INT(D326/B326)))/C326)/100))),0,(IF(B326=C326,D326/C326,(INT(D326/B326)+(((D326-B326*INT(D326/B326)))/C326)/100))))</f>
        <v>0</v>
      </c>
      <c r="AP326" s="57">
        <f>IF(ISERROR(IF(B326=C326,E326/C326,(INT(E326/B326)+(((E326-B326*INT(E326/B326)))/C326)/100))),0,(IF(B326=C326,E326/C326,(INT(E326/B326)+(((E326-B326*INT(E326/B326)))/C326)/100))))</f>
        <v>0</v>
      </c>
      <c r="AQ326" s="57">
        <f>IF(ISERROR(IF(B326=C326,F326/C326,IF((INT(F326/B326)+(((F326-B326*INT(F326/B326)))/C326)/100)&lt;0,(INT(F326/B326)+(((F326-B326*INT(F326/B326)))/C326)/100)+(1-(B326/C326/100)),(INT(F326/B326)+(((F326-B326*INT(F326/B326)))/C326)/100)))),0,IF(B326=C326,F326/C326,IF((INT(F326/B326)+(((F326-B326*INT(F326/B326)))/C326)/100)&lt;0,(INT(F326/B326)+(((F326-B326*INT(F326/B326)))/C326)/100)+(1-(B326/C326/100)),(INT(F326/B326)+(((F326-B326*INT(F326/B326)))/C326)/100))))</f>
        <v>0</v>
      </c>
      <c r="AR326" s="57">
        <f>IF(ISERROR(IF(B326=C326,G326/C326,(INT(G326/B326)+(((G326-B326*INT(G326/B326)))/C326)/100))),0,(IF(B326=C326,G326/C326,(INT(G326/B326)+(((G326-B326*INT(G326/B326)))/C326)/100))))</f>
        <v>0</v>
      </c>
      <c r="AS326" s="57">
        <f>IF(ISERROR(IF(B326=C326,H326/C326,(INT(H326/B326)+(((H326-B326*INT(H326/B326)))/C326)/100))),0,(IF(B326=C326,H326/C326,(INT(H326/B326)+(((H326-B326*INT(H326/B326)))/C326)/100))))</f>
        <v>0</v>
      </c>
      <c r="AT326" s="57">
        <f>IF(ISERROR(IF(B326=C326,I326/C326,(INT(I326/B326)+(((I326-B326*INT(I326/B326)))/C326)/100))),0,(IF(B326=C326,I326/C326,(INT(I326/B326)+(((I326-B326*INT(I326/B326)))/C326)/100))))</f>
        <v>0</v>
      </c>
      <c r="AU326" s="57">
        <f>IF(ISERROR(IF(B326=C326,J326/C326,(INT(J326/B326)+(((J326-B326*INT(J326/B326)))/C326)/100))),0,(IF(B326=C326,J326/C326,(INT(J326/B326)+(((J326-B326*INT(J326/B326)))/C326)/100))))</f>
        <v>0</v>
      </c>
      <c r="AV326" s="57">
        <f>IF(ISERROR(IF(B326=C326,K326/C326,IF((INT(K326/B326)+(((K326-B326*INT(K326/B326)))/C326)/100)&lt;0,(INT(K326/B326)+(((K326-B326*INT(K326/B326)))/C326)/100)+(1-(B326/C326/100)),(INT(K326/B326)+(((K326-B326*INT(K326/B326)))/C326)/100)))),0,IF(B326=C326,K326/C326,IF((INT(K326/B326)+(((K326-B326*INT(K326/B326)))/C326)/100)&lt;0,(INT(K326/B326)+(((K326-B326*INT(K326/B326)))/C326)/100)+(1-(B326/C326/100)),(INT(K326/B326)+(((K326-B326*INT(K326/B326)))/C326)/100))))</f>
        <v>0</v>
      </c>
      <c r="AW326" s="57">
        <f>IF(ISERROR(IF(B326=C326,L326/C326,(INT(L326/B326)+(((L326-B326*INT(L326/B326)))/C326)/100))),0,(IF(B326=C326,L326/C326,(INT(L326/B326)+(((L326-B326*INT(L326/B326)))/C326)/100))))</f>
        <v>0</v>
      </c>
      <c r="AX326" s="57">
        <f>IF(ISERROR(IF(B326=C326,M326/C326,(INT(M326/B326)+(((M326-B326*INT(M326/B326)))/C326)/100))),0,(IF(B326=C326,M326/C326,(INT(M326/B326)+(((M326-B326*INT(M326/B326)))/C326)/100))))</f>
        <v>0</v>
      </c>
      <c r="AY326" s="57">
        <f>IF(ISERROR(IF(B326=C326,N326/C326,IF((INT(N326/B326)+(((N326-B326*INT(N326/B326)))/C326)/100)&lt;0,(INT(N326/B326)+(((N326-B326*INT(N326/B326)))/C326)/100)+(1-(B326/C326/100)),(INT(N326/B326)+(((N326-B326*INT(N326/B326)))/C326)/100)))),0,IF(B326=C326,N326/C326,IF((INT(N326/B326)+(((N326-B326*INT(N326/B326)))/C326)/100)&lt;0,(INT(N326/B326)+(((N326-B326*INT(N326/B326)))/C326)/100)+(1-(B326/C326/100)),(INT(N326/B326)+(((N326-B326*INT(N326/B326)))/C326)/100))))</f>
        <v>0</v>
      </c>
      <c r="AZ326" s="57">
        <f>IF(ISERROR(IF(B326=C326,O326/C326,(INT(O326/B326)+(((O326-B326*INT(O326/B326)))/C326)/100))),0,(IF(B326=C326,O326/C326,(INT(O326/B326)+(((O326-B326*INT(O326/B326)))/C326)/100))))</f>
        <v>0</v>
      </c>
      <c r="BA326" s="57">
        <f>IF(ISERROR(IF(B326=C326,P326/C326,IF((INT(P326/B326)+(((P326-B326*INT(P326/B326)))/C326)/100)&lt;0,(INT(P326/B326)+(((P326-B326*INT(P326/B326)))/C326)/100)+(1-(B326/C326/100)),(INT(P326/B326)+(((P326-B326*INT(P326/B326)))/C326)/100)))),0,IF(B326=C326,P326/C326,IF((INT(P326/B326)+(((P326-B326*INT(P326/B326)))/C326)/100)&lt;0,(INT(P326/B326)+(((P326-B326*INT(P326/B326)))/C326)/100)+(1-(B326/C326/100)),(INT(P326/B326)+(((P326-B326*INT(P326/B326)))/C326)/100))))</f>
        <v>0</v>
      </c>
      <c r="BB326" s="28">
        <f>R326</f>
        <v>0</v>
      </c>
      <c r="BC326" s="28">
        <f>S326</f>
        <v>0</v>
      </c>
      <c r="BD326" s="28">
        <f>AF326</f>
        <v>0</v>
      </c>
      <c r="BE326" s="28">
        <f>T326</f>
        <v>0</v>
      </c>
      <c r="BG326" s="57">
        <f>IF(ISERROR(IF(B326=C326,V326/C326,(INT(V326/B326)+(((V326-B326*INT(V326/B326)))/C326)/100))),0,(IF(B326=C326,V326/C326,(INT(V326/B326)+(((V326-B326*INT(V326/B326)))/C326)/100))))</f>
        <v>0</v>
      </c>
      <c r="BH326" s="57">
        <f>IF(ISERROR(IF(B326=C326,W326/C326,(INT(W326/B326)+(((W326-B326*INT(W326/B326)))/C326)/100))),0,(IF(B326=C326,W326/C326,(INT(W326/B326)+(((W326-B326*INT(W326/B326)))/C326)/100))))</f>
        <v>0</v>
      </c>
      <c r="BI326" s="57">
        <f>IF(ISERROR(IF(B326=C326,X326/C326,(INT(X326/B326)+(((X326-B326*INT(X326/B326)))/C326)/100))),0,(IF(B326=C326,X326/C326,(INT(X326/B326)+(((X326-B326*INT(X326/B326)))/C326)/100))))</f>
        <v>0</v>
      </c>
      <c r="BJ326" s="57">
        <f>IF(ISERROR(IF(B326=C326,Y326/C326,(INT(Y326/B326)+(((Y326-B326*INT(Y326/B326)))/C326)/100))),0,(IF(B326=C326,Y326/C326,(INT(Y326/B326)+(((Y326-B326*INT(Y326/B326)))/C326)/100))))</f>
        <v>0</v>
      </c>
      <c r="BL326" s="57">
        <f>IF(ISERROR(IF(B326=C326,AA326/C326,(INT(AA326/B326)+(((AA326-B326*INT(AA326/B326)))/C326)/100))),0,(IF(B326=C326,AA326/C326,(INT(AA326/B326)+(((AA326-B326*INT(AA326/B326)))/C326)/100))))</f>
        <v>0</v>
      </c>
      <c r="BM326" s="57">
        <f>IF(ISERROR(IF(B326=C326,AB326/C326,(INT(AB326/B326)+(((AB326-B326*INT(AB326/B326)))/C326)/100))),0,(IF(B326=C326,AB326/C326,(INT(AB326/B326)+(((AB326-B326*INT(AB326/B326)))/C326)/100))))</f>
        <v>0</v>
      </c>
      <c r="BN326" s="57">
        <f>IF(ISERROR(IF(B326=C326,AC326/C326,(INT(AC326/B326)+(((AC326-B326*INT(AC326/B326)))/C326)/100))),0,(IF(B326=C326,AC326/C326,(INT(AC326/B326)+(((AC326-B326*INT(AC326/B326)))/C326)/100))))</f>
        <v>0</v>
      </c>
      <c r="BO326" s="57">
        <f>IF(ISERROR(IF(B326=C326,AD326/C326,(INT(AD326/B326)+(((AD326-B326*INT(AD326/B326)))/C326)/100))),0,(IF(B326=C326,AD326/C326,(INT(AD326/B326)+(((AD326-B326*INT(AD326/B326)))/C326)/100))))</f>
        <v>0</v>
      </c>
      <c r="BQ326" s="155"/>
    </row>
    <row r="327" spans="1:69" hidden="1" x14ac:dyDescent="0.35">
      <c r="A327" s="94"/>
      <c r="B327" s="113">
        <v>0</v>
      </c>
      <c r="C327" s="113">
        <v>0</v>
      </c>
      <c r="D327" s="28">
        <f>SUM(AA327:AD327)</f>
        <v>0</v>
      </c>
      <c r="E327" s="113">
        <v>0</v>
      </c>
      <c r="F327" s="113">
        <v>0</v>
      </c>
      <c r="G327" s="28">
        <f>SUM(D327:F327)</f>
        <v>0</v>
      </c>
      <c r="H327" s="125">
        <v>0</v>
      </c>
      <c r="I327" s="113">
        <v>0</v>
      </c>
      <c r="J327" s="125">
        <v>0</v>
      </c>
      <c r="K327" s="113">
        <v>0</v>
      </c>
      <c r="L327" s="113">
        <v>0</v>
      </c>
      <c r="M327" s="113">
        <v>0</v>
      </c>
      <c r="N327" s="28">
        <f>G327-SUM(H327:M327)</f>
        <v>0</v>
      </c>
      <c r="O327" s="28">
        <f>SUM(V327:Y327)</f>
        <v>0</v>
      </c>
      <c r="P327" s="28">
        <f>O327-N327</f>
        <v>0</v>
      </c>
      <c r="Q327" s="61" t="str">
        <f>IF(ISERROR(P327/SUM(H327:L327)),"",P327/SUM(H327:L327))</f>
        <v/>
      </c>
      <c r="R327" s="113">
        <v>0</v>
      </c>
      <c r="S327" s="28">
        <f>IF(ISERROR(P327/C327*R327),0,(P327/C327*R327))</f>
        <v>0</v>
      </c>
      <c r="T327" s="60">
        <f>IF(ISERROR(P327/B327*AF327),0,(P327/B327*AF327))</f>
        <v>0</v>
      </c>
      <c r="V327" s="113">
        <v>0</v>
      </c>
      <c r="W327" s="113">
        <v>0</v>
      </c>
      <c r="X327" s="113">
        <v>0</v>
      </c>
      <c r="Y327" s="113">
        <v>0</v>
      </c>
      <c r="AA327" s="113">
        <v>0</v>
      </c>
      <c r="AB327" s="113">
        <v>0</v>
      </c>
      <c r="AC327" s="113">
        <v>0</v>
      </c>
      <c r="AD327" s="113">
        <v>0</v>
      </c>
      <c r="AF327" s="113">
        <v>0</v>
      </c>
      <c r="AG327" s="28">
        <f>G327-O327</f>
        <v>0</v>
      </c>
      <c r="AH327" s="58">
        <f>IF(ISERROR(AG327/B327*AF327),0,(AG327/B327*AF327))</f>
        <v>0</v>
      </c>
      <c r="AI327" s="28">
        <f>SUM(H327:M327)</f>
        <v>0</v>
      </c>
      <c r="AJ327" s="28">
        <f>IF(ISERROR(AI327/B327*AF327),0,(AI327/B327*AF327))</f>
        <v>0</v>
      </c>
      <c r="AK327" s="58">
        <f>IF(ISERROR(O327/B327*AF327),0,(O327/B327*AF327))</f>
        <v>0</v>
      </c>
      <c r="AL327" s="28">
        <f>IF(ISERROR(H327/B327*AF327),0,(H327/B327*AF327))</f>
        <v>0</v>
      </c>
      <c r="AN327" s="51">
        <f>A327</f>
        <v>0</v>
      </c>
      <c r="AO327" s="57">
        <f>IF(ISERROR(IF(B327=C327,D327/C327,(INT(D327/B327)+(((D327-B327*INT(D327/B327)))/C327)/100))),0,(IF(B327=C327,D327/C327,(INT(D327/B327)+(((D327-B327*INT(D327/B327)))/C327)/100))))</f>
        <v>0</v>
      </c>
      <c r="AP327" s="57">
        <f>IF(ISERROR(IF(B327=C327,E327/C327,(INT(E327/B327)+(((E327-B327*INT(E327/B327)))/C327)/100))),0,(IF(B327=C327,E327/C327,(INT(E327/B327)+(((E327-B327*INT(E327/B327)))/C327)/100))))</f>
        <v>0</v>
      </c>
      <c r="AQ327" s="57">
        <f>IF(ISERROR(IF(B327=C327,F327/C327,IF((INT(F327/B327)+(((F327-B327*INT(F327/B327)))/C327)/100)&lt;0,(INT(F327/B327)+(((F327-B327*INT(F327/B327)))/C327)/100)+(1-(B327/C327/100)),(INT(F327/B327)+(((F327-B327*INT(F327/B327)))/C327)/100)))),0,IF(B327=C327,F327/C327,IF((INT(F327/B327)+(((F327-B327*INT(F327/B327)))/C327)/100)&lt;0,(INT(F327/B327)+(((F327-B327*INT(F327/B327)))/C327)/100)+(1-(B327/C327/100)),(INT(F327/B327)+(((F327-B327*INT(F327/B327)))/C327)/100))))</f>
        <v>0</v>
      </c>
      <c r="AR327" s="57">
        <f>IF(ISERROR(IF(B327=C327,G327/C327,(INT(G327/B327)+(((G327-B327*INT(G327/B327)))/C327)/100))),0,(IF(B327=C327,G327/C327,(INT(G327/B327)+(((G327-B327*INT(G327/B327)))/C327)/100))))</f>
        <v>0</v>
      </c>
      <c r="AS327" s="57">
        <f>IF(ISERROR(IF(B327=C327,H327/C327,(INT(H327/B327)+(((H327-B327*INT(H327/B327)))/C327)/100))),0,(IF(B327=C327,H327/C327,(INT(H327/B327)+(((H327-B327*INT(H327/B327)))/C327)/100))))</f>
        <v>0</v>
      </c>
      <c r="AT327" s="57">
        <f>IF(ISERROR(IF(B327=C327,I327/C327,(INT(I327/B327)+(((I327-B327*INT(I327/B327)))/C327)/100))),0,(IF(B327=C327,I327/C327,(INT(I327/B327)+(((I327-B327*INT(I327/B327)))/C327)/100))))</f>
        <v>0</v>
      </c>
      <c r="AU327" s="57">
        <f>IF(ISERROR(IF(B327=C327,J327/C327,(INT(J327/B327)+(((J327-B327*INT(J327/B327)))/C327)/100))),0,(IF(B327=C327,J327/C327,(INT(J327/B327)+(((J327-B327*INT(J327/B327)))/C327)/100))))</f>
        <v>0</v>
      </c>
      <c r="AV327" s="57">
        <f>IF(ISERROR(IF(B327=C327,K327/C327,IF((INT(K327/B327)+(((K327-B327*INT(K327/B327)))/C327)/100)&lt;0,(INT(K327/B327)+(((K327-B327*INT(K327/B327)))/C327)/100)+(1-(B327/C327/100)),(INT(K327/B327)+(((K327-B327*INT(K327/B327)))/C327)/100)))),0,IF(B327=C327,K327/C327,IF((INT(K327/B327)+(((K327-B327*INT(K327/B327)))/C327)/100)&lt;0,(INT(K327/B327)+(((K327-B327*INT(K327/B327)))/C327)/100)+(1-(B327/C327/100)),(INT(K327/B327)+(((K327-B327*INT(K327/B327)))/C327)/100))))</f>
        <v>0</v>
      </c>
      <c r="AW327" s="57">
        <f>IF(ISERROR(IF(B327=C327,L327/C327,(INT(L327/B327)+(((L327-B327*INT(L327/B327)))/C327)/100))),0,(IF(B327=C327,L327/C327,(INT(L327/B327)+(((L327-B327*INT(L327/B327)))/C327)/100))))</f>
        <v>0</v>
      </c>
      <c r="AX327" s="57">
        <f>IF(ISERROR(IF(B327=C327,M327/C327,(INT(M327/B327)+(((M327-B327*INT(M327/B327)))/C327)/100))),0,(IF(B327=C327,M327/C327,(INT(M327/B327)+(((M327-B327*INT(M327/B327)))/C327)/100))))</f>
        <v>0</v>
      </c>
      <c r="AY327" s="57">
        <f>IF(ISERROR(IF(B327=C327,N327/C327,IF((INT(N327/B327)+(((N327-B327*INT(N327/B327)))/C327)/100)&lt;0,(INT(N327/B327)+(((N327-B327*INT(N327/B327)))/C327)/100)+(1-(B327/C327/100)),(INT(N327/B327)+(((N327-B327*INT(N327/B327)))/C327)/100)))),0,IF(B327=C327,N327/C327,IF((INT(N327/B327)+(((N327-B327*INT(N327/B327)))/C327)/100)&lt;0,(INT(N327/B327)+(((N327-B327*INT(N327/B327)))/C327)/100)+(1-(B327/C327/100)),(INT(N327/B327)+(((N327-B327*INT(N327/B327)))/C327)/100))))</f>
        <v>0</v>
      </c>
      <c r="AZ327" s="57">
        <f>IF(ISERROR(IF(B327=C327,O327/C327,(INT(O327/B327)+(((O327-B327*INT(O327/B327)))/C327)/100))),0,(IF(B327=C327,O327/C327,(INT(O327/B327)+(((O327-B327*INT(O327/B327)))/C327)/100))))</f>
        <v>0</v>
      </c>
      <c r="BA327" s="57">
        <f>IF(ISERROR(IF(B327=C327,P327/C327,IF((INT(P327/B327)+(((P327-B327*INT(P327/B327)))/C327)/100)&lt;0,(INT(P327/B327)+(((P327-B327*INT(P327/B327)))/C327)/100)+(1-(B327/C327/100)),(INT(P327/B327)+(((P327-B327*INT(P327/B327)))/C327)/100)))),0,IF(B327=C327,P327/C327,IF((INT(P327/B327)+(((P327-B327*INT(P327/B327)))/C327)/100)&lt;0,(INT(P327/B327)+(((P327-B327*INT(P327/B327)))/C327)/100)+(1-(B327/C327/100)),(INT(P327/B327)+(((P327-B327*INT(P327/B327)))/C327)/100))))</f>
        <v>0</v>
      </c>
      <c r="BB327" s="28">
        <f>R327</f>
        <v>0</v>
      </c>
      <c r="BC327" s="28">
        <f>S327</f>
        <v>0</v>
      </c>
      <c r="BD327" s="28">
        <f>AF327</f>
        <v>0</v>
      </c>
      <c r="BE327" s="28">
        <f>T327</f>
        <v>0</v>
      </c>
      <c r="BG327" s="57">
        <f>IF(ISERROR(IF(B327=C327,V327/C327,(INT(V327/B327)+(((V327-B327*INT(V327/B327)))/C327)/100))),0,(IF(B327=C327,V327/C327,(INT(V327/B327)+(((V327-B327*INT(V327/B327)))/C327)/100))))</f>
        <v>0</v>
      </c>
      <c r="BH327" s="57">
        <f>IF(ISERROR(IF(B327=C327,W327/C327,(INT(W327/B327)+(((W327-B327*INT(W327/B327)))/C327)/100))),0,(IF(B327=C327,W327/C327,(INT(W327/B327)+(((W327-B327*INT(W327/B327)))/C327)/100))))</f>
        <v>0</v>
      </c>
      <c r="BI327" s="57">
        <f>IF(ISERROR(IF(B327=C327,X327/C327,(INT(X327/B327)+(((X327-B327*INT(X327/B327)))/C327)/100))),0,(IF(B327=C327,X327/C327,(INT(X327/B327)+(((X327-B327*INT(X327/B327)))/C327)/100))))</f>
        <v>0</v>
      </c>
      <c r="BJ327" s="57">
        <f>IF(ISERROR(IF(B327=C327,Y327/C327,(INT(Y327/B327)+(((Y327-B327*INT(Y327/B327)))/C327)/100))),0,(IF(B327=C327,Y327/C327,(INT(Y327/B327)+(((Y327-B327*INT(Y327/B327)))/C327)/100))))</f>
        <v>0</v>
      </c>
      <c r="BL327" s="57">
        <f>IF(ISERROR(IF(B327=C327,AA327/C327,(INT(AA327/B327)+(((AA327-B327*INT(AA327/B327)))/C327)/100))),0,(IF(B327=C327,AA327/C327,(INT(AA327/B327)+(((AA327-B327*INT(AA327/B327)))/C327)/100))))</f>
        <v>0</v>
      </c>
      <c r="BM327" s="57">
        <f>IF(ISERROR(IF(B327=C327,AB327/C327,(INT(AB327/B327)+(((AB327-B327*INT(AB327/B327)))/C327)/100))),0,(IF(B327=C327,AB327/C327,(INT(AB327/B327)+(((AB327-B327*INT(AB327/B327)))/C327)/100))))</f>
        <v>0</v>
      </c>
      <c r="BN327" s="57">
        <f>IF(ISERROR(IF(B327=C327,AC327/C327,(INT(AC327/B327)+(((AC327-B327*INT(AC327/B327)))/C327)/100))),0,(IF(B327=C327,AC327/C327,(INT(AC327/B327)+(((AC327-B327*INT(AC327/B327)))/C327)/100))))</f>
        <v>0</v>
      </c>
      <c r="BO327" s="57">
        <f>IF(ISERROR(IF(B327=C327,AD327/C327,(INT(AD327/B327)+(((AD327-B327*INT(AD327/B327)))/C327)/100))),0,(IF(B327=C327,AD327/C327,(INT(AD327/B327)+(((AD327-B327*INT(AD327/B327)))/C327)/100))))</f>
        <v>0</v>
      </c>
      <c r="BQ327" s="155"/>
    </row>
    <row r="328" spans="1:69" hidden="1" x14ac:dyDescent="0.35">
      <c r="A328" s="94"/>
      <c r="B328" s="113">
        <v>0</v>
      </c>
      <c r="C328" s="113">
        <v>0</v>
      </c>
      <c r="D328" s="28">
        <f>SUM(AA328:AD328)</f>
        <v>0</v>
      </c>
      <c r="E328" s="113">
        <v>0</v>
      </c>
      <c r="F328" s="113">
        <v>0</v>
      </c>
      <c r="G328" s="28">
        <f>SUM(D328:F328)</f>
        <v>0</v>
      </c>
      <c r="H328" s="125">
        <v>0</v>
      </c>
      <c r="I328" s="113">
        <v>0</v>
      </c>
      <c r="J328" s="125">
        <v>0</v>
      </c>
      <c r="K328" s="113">
        <v>0</v>
      </c>
      <c r="L328" s="113">
        <v>0</v>
      </c>
      <c r="M328" s="113">
        <v>0</v>
      </c>
      <c r="N328" s="28">
        <f>G328-SUM(H328:M328)</f>
        <v>0</v>
      </c>
      <c r="O328" s="28">
        <f>SUM(V328:Y328)</f>
        <v>0</v>
      </c>
      <c r="P328" s="28">
        <f>O328-N328</f>
        <v>0</v>
      </c>
      <c r="Q328" s="61" t="str">
        <f>IF(ISERROR(P328/SUM(H328:L328)),"",P328/SUM(H328:L328))</f>
        <v/>
      </c>
      <c r="R328" s="113">
        <v>0</v>
      </c>
      <c r="S328" s="28">
        <f>IF(ISERROR(P328/C328*R328),0,(P328/C328*R328))</f>
        <v>0</v>
      </c>
      <c r="T328" s="60">
        <f>IF(ISERROR(P328/B328*AF328),0,(P328/B328*AF328))</f>
        <v>0</v>
      </c>
      <c r="V328" s="113">
        <v>0</v>
      </c>
      <c r="W328" s="113">
        <v>0</v>
      </c>
      <c r="X328" s="113">
        <v>0</v>
      </c>
      <c r="Y328" s="113">
        <v>0</v>
      </c>
      <c r="AA328" s="113">
        <v>0</v>
      </c>
      <c r="AB328" s="113">
        <v>0</v>
      </c>
      <c r="AC328" s="113">
        <v>0</v>
      </c>
      <c r="AD328" s="113">
        <v>0</v>
      </c>
      <c r="AF328" s="113">
        <v>0</v>
      </c>
      <c r="AG328" s="28">
        <f>G328-O328</f>
        <v>0</v>
      </c>
      <c r="AH328" s="58">
        <f>IF(ISERROR(AG328/B328*AF328),0,(AG328/B328*AF328))</f>
        <v>0</v>
      </c>
      <c r="AI328" s="28">
        <f>SUM(H328:M328)</f>
        <v>0</v>
      </c>
      <c r="AJ328" s="28">
        <f>IF(ISERROR(AI328/B328*AF328),0,(AI328/B328*AF328))</f>
        <v>0</v>
      </c>
      <c r="AK328" s="58">
        <f>IF(ISERROR(O328/B328*AF328),0,(O328/B328*AF328))</f>
        <v>0</v>
      </c>
      <c r="AL328" s="28">
        <f>IF(ISERROR(H328/B328*AF328),0,(H328/B328*AF328))</f>
        <v>0</v>
      </c>
      <c r="AN328" s="51">
        <f>A328</f>
        <v>0</v>
      </c>
      <c r="AO328" s="57">
        <f>IF(ISERROR(IF(B328=C328,D328/C328,(INT(D328/B328)+(((D328-B328*INT(D328/B328)))/C328)/100))),0,(IF(B328=C328,D328/C328,(INT(D328/B328)+(((D328-B328*INT(D328/B328)))/C328)/100))))</f>
        <v>0</v>
      </c>
      <c r="AP328" s="57">
        <f>IF(ISERROR(IF(B328=C328,E328/C328,(INT(E328/B328)+(((E328-B328*INT(E328/B328)))/C328)/100))),0,(IF(B328=C328,E328/C328,(INT(E328/B328)+(((E328-B328*INT(E328/B328)))/C328)/100))))</f>
        <v>0</v>
      </c>
      <c r="AQ328" s="57">
        <f>IF(ISERROR(IF(B328=C328,F328/C328,IF((INT(F328/B328)+(((F328-B328*INT(F328/B328)))/C328)/100)&lt;0,(INT(F328/B328)+(((F328-B328*INT(F328/B328)))/C328)/100)+(1-(B328/C328/100)),(INT(F328/B328)+(((F328-B328*INT(F328/B328)))/C328)/100)))),0,IF(B328=C328,F328/C328,IF((INT(F328/B328)+(((F328-B328*INT(F328/B328)))/C328)/100)&lt;0,(INT(F328/B328)+(((F328-B328*INT(F328/B328)))/C328)/100)+(1-(B328/C328/100)),(INT(F328/B328)+(((F328-B328*INT(F328/B328)))/C328)/100))))</f>
        <v>0</v>
      </c>
      <c r="AR328" s="57">
        <f>IF(ISERROR(IF(B328=C328,G328/C328,(INT(G328/B328)+(((G328-B328*INT(G328/B328)))/C328)/100))),0,(IF(B328=C328,G328/C328,(INT(G328/B328)+(((G328-B328*INT(G328/B328)))/C328)/100))))</f>
        <v>0</v>
      </c>
      <c r="AS328" s="57">
        <f>IF(ISERROR(IF(B328=C328,H328/C328,(INT(H328/B328)+(((H328-B328*INT(H328/B328)))/C328)/100))),0,(IF(B328=C328,H328/C328,(INT(H328/B328)+(((H328-B328*INT(H328/B328)))/C328)/100))))</f>
        <v>0</v>
      </c>
      <c r="AT328" s="57">
        <f>IF(ISERROR(IF(B328=C328,I328/C328,(INT(I328/B328)+(((I328-B328*INT(I328/B328)))/C328)/100))),0,(IF(B328=C328,I328/C328,(INT(I328/B328)+(((I328-B328*INT(I328/B328)))/C328)/100))))</f>
        <v>0</v>
      </c>
      <c r="AU328" s="57">
        <f>IF(ISERROR(IF(B328=C328,J328/C328,(INT(J328/B328)+(((J328-B328*INT(J328/B328)))/C328)/100))),0,(IF(B328=C328,J328/C328,(INT(J328/B328)+(((J328-B328*INT(J328/B328)))/C328)/100))))</f>
        <v>0</v>
      </c>
      <c r="AV328" s="57">
        <f>IF(ISERROR(IF(B328=C328,K328/C328,IF((INT(K328/B328)+(((K328-B328*INT(K328/B328)))/C328)/100)&lt;0,(INT(K328/B328)+(((K328-B328*INT(K328/B328)))/C328)/100)+(1-(B328/C328/100)),(INT(K328/B328)+(((K328-B328*INT(K328/B328)))/C328)/100)))),0,IF(B328=C328,K328/C328,IF((INT(K328/B328)+(((K328-B328*INT(K328/B328)))/C328)/100)&lt;0,(INT(K328/B328)+(((K328-B328*INT(K328/B328)))/C328)/100)+(1-(B328/C328/100)),(INT(K328/B328)+(((K328-B328*INT(K328/B328)))/C328)/100))))</f>
        <v>0</v>
      </c>
      <c r="AW328" s="57">
        <f>IF(ISERROR(IF(B328=C328,L328/C328,(INT(L328/B328)+(((L328-B328*INT(L328/B328)))/C328)/100))),0,(IF(B328=C328,L328/C328,(INT(L328/B328)+(((L328-B328*INT(L328/B328)))/C328)/100))))</f>
        <v>0</v>
      </c>
      <c r="AX328" s="57">
        <f>IF(ISERROR(IF(B328=C328,M328/C328,(INT(M328/B328)+(((M328-B328*INT(M328/B328)))/C328)/100))),0,(IF(B328=C328,M328/C328,(INT(M328/B328)+(((M328-B328*INT(M328/B328)))/C328)/100))))</f>
        <v>0</v>
      </c>
      <c r="AY328" s="57">
        <f>IF(ISERROR(IF(B328=C328,N328/C328,IF((INT(N328/B328)+(((N328-B328*INT(N328/B328)))/C328)/100)&lt;0,(INT(N328/B328)+(((N328-B328*INT(N328/B328)))/C328)/100)+(1-(B328/C328/100)),(INT(N328/B328)+(((N328-B328*INT(N328/B328)))/C328)/100)))),0,IF(B328=C328,N328/C328,IF((INT(N328/B328)+(((N328-B328*INT(N328/B328)))/C328)/100)&lt;0,(INT(N328/B328)+(((N328-B328*INT(N328/B328)))/C328)/100)+(1-(B328/C328/100)),(INT(N328/B328)+(((N328-B328*INT(N328/B328)))/C328)/100))))</f>
        <v>0</v>
      </c>
      <c r="AZ328" s="57">
        <f>IF(ISERROR(IF(B328=C328,O328/C328,(INT(O328/B328)+(((O328-B328*INT(O328/B328)))/C328)/100))),0,(IF(B328=C328,O328/C328,(INT(O328/B328)+(((O328-B328*INT(O328/B328)))/C328)/100))))</f>
        <v>0</v>
      </c>
      <c r="BA328" s="57">
        <f>IF(ISERROR(IF(B328=C328,P328/C328,IF((INT(P328/B328)+(((P328-B328*INT(P328/B328)))/C328)/100)&lt;0,(INT(P328/B328)+(((P328-B328*INT(P328/B328)))/C328)/100)+(1-(B328/C328/100)),(INT(P328/B328)+(((P328-B328*INT(P328/B328)))/C328)/100)))),0,IF(B328=C328,P328/C328,IF((INT(P328/B328)+(((P328-B328*INT(P328/B328)))/C328)/100)&lt;0,(INT(P328/B328)+(((P328-B328*INT(P328/B328)))/C328)/100)+(1-(B328/C328/100)),(INT(P328/B328)+(((P328-B328*INT(P328/B328)))/C328)/100))))</f>
        <v>0</v>
      </c>
      <c r="BB328" s="28">
        <f>R328</f>
        <v>0</v>
      </c>
      <c r="BC328" s="28">
        <f>S328</f>
        <v>0</v>
      </c>
      <c r="BD328" s="28">
        <f>AF328</f>
        <v>0</v>
      </c>
      <c r="BE328" s="28">
        <f>T328</f>
        <v>0</v>
      </c>
      <c r="BG328" s="57">
        <f>IF(ISERROR(IF(B328=C328,V328/C328,(INT(V328/B328)+(((V328-B328*INT(V328/B328)))/C328)/100))),0,(IF(B328=C328,V328/C328,(INT(V328/B328)+(((V328-B328*INT(V328/B328)))/C328)/100))))</f>
        <v>0</v>
      </c>
      <c r="BH328" s="57">
        <f>IF(ISERROR(IF(B328=C328,W328/C328,(INT(W328/B328)+(((W328-B328*INT(W328/B328)))/C328)/100))),0,(IF(B328=C328,W328/C328,(INT(W328/B328)+(((W328-B328*INT(W328/B328)))/C328)/100))))</f>
        <v>0</v>
      </c>
      <c r="BI328" s="57">
        <f>IF(ISERROR(IF(B328=C328,X328/C328,(INT(X328/B328)+(((X328-B328*INT(X328/B328)))/C328)/100))),0,(IF(B328=C328,X328/C328,(INT(X328/B328)+(((X328-B328*INT(X328/B328)))/C328)/100))))</f>
        <v>0</v>
      </c>
      <c r="BJ328" s="57">
        <f>IF(ISERROR(IF(B328=C328,Y328/C328,(INT(Y328/B328)+(((Y328-B328*INT(Y328/B328)))/C328)/100))),0,(IF(B328=C328,Y328/C328,(INT(Y328/B328)+(((Y328-B328*INT(Y328/B328)))/C328)/100))))</f>
        <v>0</v>
      </c>
      <c r="BL328" s="57">
        <f>IF(ISERROR(IF(B328=C328,AA328/C328,(INT(AA328/B328)+(((AA328-B328*INT(AA328/B328)))/C328)/100))),0,(IF(B328=C328,AA328/C328,(INT(AA328/B328)+(((AA328-B328*INT(AA328/B328)))/C328)/100))))</f>
        <v>0</v>
      </c>
      <c r="BM328" s="57">
        <f>IF(ISERROR(IF(B328=C328,AB328/C328,(INT(AB328/B328)+(((AB328-B328*INT(AB328/B328)))/C328)/100))),0,(IF(B328=C328,AB328/C328,(INT(AB328/B328)+(((AB328-B328*INT(AB328/B328)))/C328)/100))))</f>
        <v>0</v>
      </c>
      <c r="BN328" s="57">
        <f>IF(ISERROR(IF(B328=C328,AC328/C328,(INT(AC328/B328)+(((AC328-B328*INT(AC328/B328)))/C328)/100))),0,(IF(B328=C328,AC328/C328,(INT(AC328/B328)+(((AC328-B328*INT(AC328/B328)))/C328)/100))))</f>
        <v>0</v>
      </c>
      <c r="BO328" s="57">
        <f>IF(ISERROR(IF(B328=C328,AD328/C328,(INT(AD328/B328)+(((AD328-B328*INT(AD328/B328)))/C328)/100))),0,(IF(B328=C328,AD328/C328,(INT(AD328/B328)+(((AD328-B328*INT(AD328/B328)))/C328)/100))))</f>
        <v>0</v>
      </c>
      <c r="BQ328" s="155"/>
    </row>
    <row r="329" spans="1:69" hidden="1" x14ac:dyDescent="0.35">
      <c r="A329" s="94"/>
      <c r="B329" s="113">
        <v>0</v>
      </c>
      <c r="C329" s="113">
        <v>0</v>
      </c>
      <c r="D329" s="28">
        <f>SUM(AA329:AD329)</f>
        <v>0</v>
      </c>
      <c r="E329" s="113">
        <v>0</v>
      </c>
      <c r="F329" s="113">
        <v>0</v>
      </c>
      <c r="G329" s="28">
        <f>SUM(D329:F329)</f>
        <v>0</v>
      </c>
      <c r="H329" s="125">
        <v>0</v>
      </c>
      <c r="I329" s="113">
        <v>0</v>
      </c>
      <c r="J329" s="125">
        <v>0</v>
      </c>
      <c r="K329" s="113">
        <v>0</v>
      </c>
      <c r="L329" s="113">
        <v>0</v>
      </c>
      <c r="M329" s="113">
        <v>0</v>
      </c>
      <c r="N329" s="28">
        <f>G329-SUM(H329:M329)</f>
        <v>0</v>
      </c>
      <c r="O329" s="28">
        <f>SUM(V329:Y329)</f>
        <v>0</v>
      </c>
      <c r="P329" s="28">
        <f>O329-N329</f>
        <v>0</v>
      </c>
      <c r="Q329" s="61" t="str">
        <f>IF(ISERROR(P329/SUM(H329:L329)),"",P329/SUM(H329:L329))</f>
        <v/>
      </c>
      <c r="R329" s="113">
        <v>0</v>
      </c>
      <c r="S329" s="28">
        <f>IF(ISERROR(P329/C329*R329),0,(P329/C329*R329))</f>
        <v>0</v>
      </c>
      <c r="T329" s="60">
        <f>IF(ISERROR(P329/B329*AF329),0,(P329/B329*AF329))</f>
        <v>0</v>
      </c>
      <c r="V329" s="113">
        <v>0</v>
      </c>
      <c r="W329" s="113">
        <v>0</v>
      </c>
      <c r="X329" s="113">
        <v>0</v>
      </c>
      <c r="Y329" s="113">
        <v>0</v>
      </c>
      <c r="AA329" s="113">
        <v>0</v>
      </c>
      <c r="AB329" s="113">
        <v>0</v>
      </c>
      <c r="AC329" s="113">
        <v>0</v>
      </c>
      <c r="AD329" s="113">
        <v>0</v>
      </c>
      <c r="AF329" s="113">
        <v>0</v>
      </c>
      <c r="AG329" s="28">
        <f>G329-O329</f>
        <v>0</v>
      </c>
      <c r="AH329" s="58">
        <f>IF(ISERROR(AG329/B329*AF329),0,(AG329/B329*AF329))</f>
        <v>0</v>
      </c>
      <c r="AI329" s="28">
        <f>SUM(H329:M329)</f>
        <v>0</v>
      </c>
      <c r="AJ329" s="28">
        <f>IF(ISERROR(AI329/B329*AF329),0,(AI329/B329*AF329))</f>
        <v>0</v>
      </c>
      <c r="AK329" s="58">
        <f>IF(ISERROR(O329/B329*AF329),0,(O329/B329*AF329))</f>
        <v>0</v>
      </c>
      <c r="AL329" s="28">
        <f>IF(ISERROR(H329/B329*AF329),0,(H329/B329*AF329))</f>
        <v>0</v>
      </c>
      <c r="AN329" s="51">
        <f>A329</f>
        <v>0</v>
      </c>
      <c r="AO329" s="57">
        <f>IF(ISERROR(IF(B329=C329,D329/C329,(INT(D329/B329)+(((D329-B329*INT(D329/B329)))/C329)/100))),0,(IF(B329=C329,D329/C329,(INT(D329/B329)+(((D329-B329*INT(D329/B329)))/C329)/100))))</f>
        <v>0</v>
      </c>
      <c r="AP329" s="57">
        <f>IF(ISERROR(IF(B329=C329,E329/C329,(INT(E329/B329)+(((E329-B329*INT(E329/B329)))/C329)/100))),0,(IF(B329=C329,E329/C329,(INT(E329/B329)+(((E329-B329*INT(E329/B329)))/C329)/100))))</f>
        <v>0</v>
      </c>
      <c r="AQ329" s="57">
        <f>IF(ISERROR(IF(B329=C329,F329/C329,IF((INT(F329/B329)+(((F329-B329*INT(F329/B329)))/C329)/100)&lt;0,(INT(F329/B329)+(((F329-B329*INT(F329/B329)))/C329)/100)+(1-(B329/C329/100)),(INT(F329/B329)+(((F329-B329*INT(F329/B329)))/C329)/100)))),0,IF(B329=C329,F329/C329,IF((INT(F329/B329)+(((F329-B329*INT(F329/B329)))/C329)/100)&lt;0,(INT(F329/B329)+(((F329-B329*INT(F329/B329)))/C329)/100)+(1-(B329/C329/100)),(INT(F329/B329)+(((F329-B329*INT(F329/B329)))/C329)/100))))</f>
        <v>0</v>
      </c>
      <c r="AR329" s="57">
        <f>IF(ISERROR(IF(B329=C329,G329/C329,(INT(G329/B329)+(((G329-B329*INT(G329/B329)))/C329)/100))),0,(IF(B329=C329,G329/C329,(INT(G329/B329)+(((G329-B329*INT(G329/B329)))/C329)/100))))</f>
        <v>0</v>
      </c>
      <c r="AS329" s="57">
        <f>IF(ISERROR(IF(B329=C329,H329/C329,(INT(H329/B329)+(((H329-B329*INT(H329/B329)))/C329)/100))),0,(IF(B329=C329,H329/C329,(INT(H329/B329)+(((H329-B329*INT(H329/B329)))/C329)/100))))</f>
        <v>0</v>
      </c>
      <c r="AT329" s="57">
        <f>IF(ISERROR(IF(B329=C329,I329/C329,(INT(I329/B329)+(((I329-B329*INT(I329/B329)))/C329)/100))),0,(IF(B329=C329,I329/C329,(INT(I329/B329)+(((I329-B329*INT(I329/B329)))/C329)/100))))</f>
        <v>0</v>
      </c>
      <c r="AU329" s="57">
        <f>IF(ISERROR(IF(B329=C329,J329/C329,(INT(J329/B329)+(((J329-B329*INT(J329/B329)))/C329)/100))),0,(IF(B329=C329,J329/C329,(INT(J329/B329)+(((J329-B329*INT(J329/B329)))/C329)/100))))</f>
        <v>0</v>
      </c>
      <c r="AV329" s="57">
        <f>IF(ISERROR(IF(B329=C329,K329/C329,IF((INT(K329/B329)+(((K329-B329*INT(K329/B329)))/C329)/100)&lt;0,(INT(K329/B329)+(((K329-B329*INT(K329/B329)))/C329)/100)+(1-(B329/C329/100)),(INT(K329/B329)+(((K329-B329*INT(K329/B329)))/C329)/100)))),0,IF(B329=C329,K329/C329,IF((INT(K329/B329)+(((K329-B329*INT(K329/B329)))/C329)/100)&lt;0,(INT(K329/B329)+(((K329-B329*INT(K329/B329)))/C329)/100)+(1-(B329/C329/100)),(INT(K329/B329)+(((K329-B329*INT(K329/B329)))/C329)/100))))</f>
        <v>0</v>
      </c>
      <c r="AW329" s="57">
        <f>IF(ISERROR(IF(B329=C329,L329/C329,(INT(L329/B329)+(((L329-B329*INT(L329/B329)))/C329)/100))),0,(IF(B329=C329,L329/C329,(INT(L329/B329)+(((L329-B329*INT(L329/B329)))/C329)/100))))</f>
        <v>0</v>
      </c>
      <c r="AX329" s="57">
        <f>IF(ISERROR(IF(B329=C329,M329/C329,(INT(M329/B329)+(((M329-B329*INT(M329/B329)))/C329)/100))),0,(IF(B329=C329,M329/C329,(INT(M329/B329)+(((M329-B329*INT(M329/B329)))/C329)/100))))</f>
        <v>0</v>
      </c>
      <c r="AY329" s="57">
        <f>IF(ISERROR(IF(B329=C329,N329/C329,IF((INT(N329/B329)+(((N329-B329*INT(N329/B329)))/C329)/100)&lt;0,(INT(N329/B329)+(((N329-B329*INT(N329/B329)))/C329)/100)+(1-(B329/C329/100)),(INT(N329/B329)+(((N329-B329*INT(N329/B329)))/C329)/100)))),0,IF(B329=C329,N329/C329,IF((INT(N329/B329)+(((N329-B329*INT(N329/B329)))/C329)/100)&lt;0,(INT(N329/B329)+(((N329-B329*INT(N329/B329)))/C329)/100)+(1-(B329/C329/100)),(INT(N329/B329)+(((N329-B329*INT(N329/B329)))/C329)/100))))</f>
        <v>0</v>
      </c>
      <c r="AZ329" s="57">
        <f>IF(ISERROR(IF(B329=C329,O329/C329,(INT(O329/B329)+(((O329-B329*INT(O329/B329)))/C329)/100))),0,(IF(B329=C329,O329/C329,(INT(O329/B329)+(((O329-B329*INT(O329/B329)))/C329)/100))))</f>
        <v>0</v>
      </c>
      <c r="BA329" s="57">
        <f>IF(ISERROR(IF(B329=C329,P329/C329,IF((INT(P329/B329)+(((P329-B329*INT(P329/B329)))/C329)/100)&lt;0,(INT(P329/B329)+(((P329-B329*INT(P329/B329)))/C329)/100)+(1-(B329/C329/100)),(INT(P329/B329)+(((P329-B329*INT(P329/B329)))/C329)/100)))),0,IF(B329=C329,P329/C329,IF((INT(P329/B329)+(((P329-B329*INT(P329/B329)))/C329)/100)&lt;0,(INT(P329/B329)+(((P329-B329*INT(P329/B329)))/C329)/100)+(1-(B329/C329/100)),(INT(P329/B329)+(((P329-B329*INT(P329/B329)))/C329)/100))))</f>
        <v>0</v>
      </c>
      <c r="BB329" s="28">
        <f>R329</f>
        <v>0</v>
      </c>
      <c r="BC329" s="28">
        <f>S329</f>
        <v>0</v>
      </c>
      <c r="BD329" s="28">
        <f>AF329</f>
        <v>0</v>
      </c>
      <c r="BE329" s="28">
        <f>T329</f>
        <v>0</v>
      </c>
      <c r="BG329" s="57">
        <f>IF(ISERROR(IF(B329=C329,V329/C329,(INT(V329/B329)+(((V329-B329*INT(V329/B329)))/C329)/100))),0,(IF(B329=C329,V329/C329,(INT(V329/B329)+(((V329-B329*INT(V329/B329)))/C329)/100))))</f>
        <v>0</v>
      </c>
      <c r="BH329" s="57">
        <f>IF(ISERROR(IF(B329=C329,W329/C329,(INT(W329/B329)+(((W329-B329*INT(W329/B329)))/C329)/100))),0,(IF(B329=C329,W329/C329,(INT(W329/B329)+(((W329-B329*INT(W329/B329)))/C329)/100))))</f>
        <v>0</v>
      </c>
      <c r="BI329" s="57">
        <f>IF(ISERROR(IF(B329=C329,X329/C329,(INT(X329/B329)+(((X329-B329*INT(X329/B329)))/C329)/100))),0,(IF(B329=C329,X329/C329,(INT(X329/B329)+(((X329-B329*INT(X329/B329)))/C329)/100))))</f>
        <v>0</v>
      </c>
      <c r="BJ329" s="57">
        <f>IF(ISERROR(IF(B329=C329,Y329/C329,(INT(Y329/B329)+(((Y329-B329*INT(Y329/B329)))/C329)/100))),0,(IF(B329=C329,Y329/C329,(INT(Y329/B329)+(((Y329-B329*INT(Y329/B329)))/C329)/100))))</f>
        <v>0</v>
      </c>
      <c r="BL329" s="57">
        <f>IF(ISERROR(IF(B329=C329,AA329/C329,(INT(AA329/B329)+(((AA329-B329*INT(AA329/B329)))/C329)/100))),0,(IF(B329=C329,AA329/C329,(INT(AA329/B329)+(((AA329-B329*INT(AA329/B329)))/C329)/100))))</f>
        <v>0</v>
      </c>
      <c r="BM329" s="57">
        <f>IF(ISERROR(IF(B329=C329,AB329/C329,(INT(AB329/B329)+(((AB329-B329*INT(AB329/B329)))/C329)/100))),0,(IF(B329=C329,AB329/C329,(INT(AB329/B329)+(((AB329-B329*INT(AB329/B329)))/C329)/100))))</f>
        <v>0</v>
      </c>
      <c r="BN329" s="57">
        <f>IF(ISERROR(IF(B329=C329,AC329/C329,(INT(AC329/B329)+(((AC329-B329*INT(AC329/B329)))/C329)/100))),0,(IF(B329=C329,AC329/C329,(INT(AC329/B329)+(((AC329-B329*INT(AC329/B329)))/C329)/100))))</f>
        <v>0</v>
      </c>
      <c r="BO329" s="57">
        <f>IF(ISERROR(IF(B329=C329,AD329/C329,(INT(AD329/B329)+(((AD329-B329*INT(AD329/B329)))/C329)/100))),0,(IF(B329=C329,AD329/C329,(INT(AD329/B329)+(((AD329-B329*INT(AD329/B329)))/C329)/100))))</f>
        <v>0</v>
      </c>
      <c r="BQ329" s="155"/>
    </row>
    <row r="330" spans="1:69" hidden="1" x14ac:dyDescent="0.35">
      <c r="A330" s="94"/>
      <c r="B330" s="113">
        <v>0</v>
      </c>
      <c r="C330" s="113">
        <v>0</v>
      </c>
      <c r="D330" s="28">
        <f>SUM(AA330:AD330)</f>
        <v>0</v>
      </c>
      <c r="E330" s="113">
        <v>0</v>
      </c>
      <c r="F330" s="113">
        <v>0</v>
      </c>
      <c r="G330" s="28">
        <f>SUM(D330:F330)</f>
        <v>0</v>
      </c>
      <c r="H330" s="125">
        <v>0</v>
      </c>
      <c r="I330" s="113">
        <v>0</v>
      </c>
      <c r="J330" s="125">
        <v>0</v>
      </c>
      <c r="K330" s="113">
        <v>0</v>
      </c>
      <c r="L330" s="113">
        <v>0</v>
      </c>
      <c r="M330" s="113">
        <v>0</v>
      </c>
      <c r="N330" s="28">
        <f>G330-SUM(H330:M330)</f>
        <v>0</v>
      </c>
      <c r="O330" s="28">
        <f>SUM(V330:Y330)</f>
        <v>0</v>
      </c>
      <c r="P330" s="28">
        <f>O330-N330</f>
        <v>0</v>
      </c>
      <c r="Q330" s="61" t="str">
        <f>IF(ISERROR(P330/SUM(H330:L330)),"",P330/SUM(H330:L330))</f>
        <v/>
      </c>
      <c r="R330" s="113">
        <v>0</v>
      </c>
      <c r="S330" s="28">
        <f>IF(ISERROR(P330/C330*R330),0,(P330/C330*R330))</f>
        <v>0</v>
      </c>
      <c r="T330" s="60">
        <f>IF(ISERROR(P330/B330*AF330),0,(P330/B330*AF330))</f>
        <v>0</v>
      </c>
      <c r="V330" s="113">
        <v>0</v>
      </c>
      <c r="W330" s="113">
        <v>0</v>
      </c>
      <c r="X330" s="113">
        <v>0</v>
      </c>
      <c r="Y330" s="113">
        <v>0</v>
      </c>
      <c r="AA330" s="113">
        <v>0</v>
      </c>
      <c r="AB330" s="113">
        <v>0</v>
      </c>
      <c r="AC330" s="113">
        <v>0</v>
      </c>
      <c r="AD330" s="113">
        <v>0</v>
      </c>
      <c r="AF330" s="113">
        <v>0</v>
      </c>
      <c r="AG330" s="28">
        <f>G330-O330</f>
        <v>0</v>
      </c>
      <c r="AH330" s="58">
        <f>IF(ISERROR(AG330/B330*AF330),0,(AG330/B330*AF330))</f>
        <v>0</v>
      </c>
      <c r="AI330" s="28">
        <f>SUM(H330:M330)</f>
        <v>0</v>
      </c>
      <c r="AJ330" s="28">
        <f>IF(ISERROR(AI330/B330*AF330),0,(AI330/B330*AF330))</f>
        <v>0</v>
      </c>
      <c r="AK330" s="58">
        <f>IF(ISERROR(O330/B330*AF330),0,(O330/B330*AF330))</f>
        <v>0</v>
      </c>
      <c r="AL330" s="28">
        <f>IF(ISERROR(H330/B330*AF330),0,(H330/B330*AF330))</f>
        <v>0</v>
      </c>
      <c r="AN330" s="51">
        <f>A330</f>
        <v>0</v>
      </c>
      <c r="AO330" s="57">
        <f>IF(ISERROR(IF(B330=C330,D330/C330,(INT(D330/B330)+(((D330-B330*INT(D330/B330)))/C330)/100))),0,(IF(B330=C330,D330/C330,(INT(D330/B330)+(((D330-B330*INT(D330/B330)))/C330)/100))))</f>
        <v>0</v>
      </c>
      <c r="AP330" s="57">
        <f>IF(ISERROR(IF(B330=C330,E330/C330,(INT(E330/B330)+(((E330-B330*INT(E330/B330)))/C330)/100))),0,(IF(B330=C330,E330/C330,(INT(E330/B330)+(((E330-B330*INT(E330/B330)))/C330)/100))))</f>
        <v>0</v>
      </c>
      <c r="AQ330" s="57">
        <f>IF(ISERROR(IF(B330=C330,F330/C330,IF((INT(F330/B330)+(((F330-B330*INT(F330/B330)))/C330)/100)&lt;0,(INT(F330/B330)+(((F330-B330*INT(F330/B330)))/C330)/100)+(1-(B330/C330/100)),(INT(F330/B330)+(((F330-B330*INT(F330/B330)))/C330)/100)))),0,IF(B330=C330,F330/C330,IF((INT(F330/B330)+(((F330-B330*INT(F330/B330)))/C330)/100)&lt;0,(INT(F330/B330)+(((F330-B330*INT(F330/B330)))/C330)/100)+(1-(B330/C330/100)),(INT(F330/B330)+(((F330-B330*INT(F330/B330)))/C330)/100))))</f>
        <v>0</v>
      </c>
      <c r="AR330" s="57">
        <f>IF(ISERROR(IF(B330=C330,G330/C330,(INT(G330/B330)+(((G330-B330*INT(G330/B330)))/C330)/100))),0,(IF(B330=C330,G330/C330,(INT(G330/B330)+(((G330-B330*INT(G330/B330)))/C330)/100))))</f>
        <v>0</v>
      </c>
      <c r="AS330" s="57">
        <f>IF(ISERROR(IF(B330=C330,H330/C330,(INT(H330/B330)+(((H330-B330*INT(H330/B330)))/C330)/100))),0,(IF(B330=C330,H330/C330,(INT(H330/B330)+(((H330-B330*INT(H330/B330)))/C330)/100))))</f>
        <v>0</v>
      </c>
      <c r="AT330" s="57">
        <f>IF(ISERROR(IF(B330=C330,I330/C330,(INT(I330/B330)+(((I330-B330*INT(I330/B330)))/C330)/100))),0,(IF(B330=C330,I330/C330,(INT(I330/B330)+(((I330-B330*INT(I330/B330)))/C330)/100))))</f>
        <v>0</v>
      </c>
      <c r="AU330" s="57">
        <f>IF(ISERROR(IF(B330=C330,J330/C330,(INT(J330/B330)+(((J330-B330*INT(J330/B330)))/C330)/100))),0,(IF(B330=C330,J330/C330,(INT(J330/B330)+(((J330-B330*INT(J330/B330)))/C330)/100))))</f>
        <v>0</v>
      </c>
      <c r="AV330" s="57">
        <f>IF(ISERROR(IF(B330=C330,K330/C330,IF((INT(K330/B330)+(((K330-B330*INT(K330/B330)))/C330)/100)&lt;0,(INT(K330/B330)+(((K330-B330*INT(K330/B330)))/C330)/100)+(1-(B330/C330/100)),(INT(K330/B330)+(((K330-B330*INT(K330/B330)))/C330)/100)))),0,IF(B330=C330,K330/C330,IF((INT(K330/B330)+(((K330-B330*INT(K330/B330)))/C330)/100)&lt;0,(INT(K330/B330)+(((K330-B330*INT(K330/B330)))/C330)/100)+(1-(B330/C330/100)),(INT(K330/B330)+(((K330-B330*INT(K330/B330)))/C330)/100))))</f>
        <v>0</v>
      </c>
      <c r="AW330" s="57">
        <f>IF(ISERROR(IF(B330=C330,L330/C330,(INT(L330/B330)+(((L330-B330*INT(L330/B330)))/C330)/100))),0,(IF(B330=C330,L330/C330,(INT(L330/B330)+(((L330-B330*INT(L330/B330)))/C330)/100))))</f>
        <v>0</v>
      </c>
      <c r="AX330" s="57">
        <f>IF(ISERROR(IF(B330=C330,M330/C330,(INT(M330/B330)+(((M330-B330*INT(M330/B330)))/C330)/100))),0,(IF(B330=C330,M330/C330,(INT(M330/B330)+(((M330-B330*INT(M330/B330)))/C330)/100))))</f>
        <v>0</v>
      </c>
      <c r="AY330" s="57">
        <f>IF(ISERROR(IF(B330=C330,N330/C330,IF((INT(N330/B330)+(((N330-B330*INT(N330/B330)))/C330)/100)&lt;0,(INT(N330/B330)+(((N330-B330*INT(N330/B330)))/C330)/100)+(1-(B330/C330/100)),(INT(N330/B330)+(((N330-B330*INT(N330/B330)))/C330)/100)))),0,IF(B330=C330,N330/C330,IF((INT(N330/B330)+(((N330-B330*INT(N330/B330)))/C330)/100)&lt;0,(INT(N330/B330)+(((N330-B330*INT(N330/B330)))/C330)/100)+(1-(B330/C330/100)),(INT(N330/B330)+(((N330-B330*INT(N330/B330)))/C330)/100))))</f>
        <v>0</v>
      </c>
      <c r="AZ330" s="57">
        <f>IF(ISERROR(IF(B330=C330,O330/C330,(INT(O330/B330)+(((O330-B330*INT(O330/B330)))/C330)/100))),0,(IF(B330=C330,O330/C330,(INT(O330/B330)+(((O330-B330*INT(O330/B330)))/C330)/100))))</f>
        <v>0</v>
      </c>
      <c r="BA330" s="57">
        <f>IF(ISERROR(IF(B330=C330,P330/C330,IF((INT(P330/B330)+(((P330-B330*INT(P330/B330)))/C330)/100)&lt;0,(INT(P330/B330)+(((P330-B330*INT(P330/B330)))/C330)/100)+(1-(B330/C330/100)),(INT(P330/B330)+(((P330-B330*INT(P330/B330)))/C330)/100)))),0,IF(B330=C330,P330/C330,IF((INT(P330/B330)+(((P330-B330*INT(P330/B330)))/C330)/100)&lt;0,(INT(P330/B330)+(((P330-B330*INT(P330/B330)))/C330)/100)+(1-(B330/C330/100)),(INT(P330/B330)+(((P330-B330*INT(P330/B330)))/C330)/100))))</f>
        <v>0</v>
      </c>
      <c r="BB330" s="28">
        <f>R330</f>
        <v>0</v>
      </c>
      <c r="BC330" s="28">
        <f>S330</f>
        <v>0</v>
      </c>
      <c r="BD330" s="28">
        <f>AF330</f>
        <v>0</v>
      </c>
      <c r="BE330" s="28">
        <f>T330</f>
        <v>0</v>
      </c>
      <c r="BG330" s="57">
        <f>IF(ISERROR(IF(B330=C330,V330/C330,(INT(V330/B330)+(((V330-B330*INT(V330/B330)))/C330)/100))),0,(IF(B330=C330,V330/C330,(INT(V330/B330)+(((V330-B330*INT(V330/B330)))/C330)/100))))</f>
        <v>0</v>
      </c>
      <c r="BH330" s="57">
        <f>IF(ISERROR(IF(B330=C330,W330/C330,(INT(W330/B330)+(((W330-B330*INT(W330/B330)))/C330)/100))),0,(IF(B330=C330,W330/C330,(INT(W330/B330)+(((W330-B330*INT(W330/B330)))/C330)/100))))</f>
        <v>0</v>
      </c>
      <c r="BI330" s="57">
        <f>IF(ISERROR(IF(B330=C330,X330/C330,(INT(X330/B330)+(((X330-B330*INT(X330/B330)))/C330)/100))),0,(IF(B330=C330,X330/C330,(INT(X330/B330)+(((X330-B330*INT(X330/B330)))/C330)/100))))</f>
        <v>0</v>
      </c>
      <c r="BJ330" s="57">
        <f>IF(ISERROR(IF(B330=C330,Y330/C330,(INT(Y330/B330)+(((Y330-B330*INT(Y330/B330)))/C330)/100))),0,(IF(B330=C330,Y330/C330,(INT(Y330/B330)+(((Y330-B330*INT(Y330/B330)))/C330)/100))))</f>
        <v>0</v>
      </c>
      <c r="BL330" s="57">
        <f>IF(ISERROR(IF(B330=C330,AA330/C330,(INT(AA330/B330)+(((AA330-B330*INT(AA330/B330)))/C330)/100))),0,(IF(B330=C330,AA330/C330,(INT(AA330/B330)+(((AA330-B330*INT(AA330/B330)))/C330)/100))))</f>
        <v>0</v>
      </c>
      <c r="BM330" s="57">
        <f>IF(ISERROR(IF(B330=C330,AB330/C330,(INT(AB330/B330)+(((AB330-B330*INT(AB330/B330)))/C330)/100))),0,(IF(B330=C330,AB330/C330,(INT(AB330/B330)+(((AB330-B330*INT(AB330/B330)))/C330)/100))))</f>
        <v>0</v>
      </c>
      <c r="BN330" s="57">
        <f>IF(ISERROR(IF(B330=C330,AC330/C330,(INT(AC330/B330)+(((AC330-B330*INT(AC330/B330)))/C330)/100))),0,(IF(B330=C330,AC330/C330,(INT(AC330/B330)+(((AC330-B330*INT(AC330/B330)))/C330)/100))))</f>
        <v>0</v>
      </c>
      <c r="BO330" s="57">
        <f>IF(ISERROR(IF(B330=C330,AD330/C330,(INT(AD330/B330)+(((AD330-B330*INT(AD330/B330)))/C330)/100))),0,(IF(B330=C330,AD330/C330,(INT(AD330/B330)+(((AD330-B330*INT(AD330/B330)))/C330)/100))))</f>
        <v>0</v>
      </c>
      <c r="BQ330" s="155"/>
    </row>
    <row r="331" spans="1:69" hidden="1" x14ac:dyDescent="0.35">
      <c r="A331" s="94"/>
      <c r="B331" s="113">
        <v>0</v>
      </c>
      <c r="C331" s="113">
        <v>0</v>
      </c>
      <c r="D331" s="28">
        <f>SUM(AA331:AD331)</f>
        <v>0</v>
      </c>
      <c r="E331" s="113">
        <v>0</v>
      </c>
      <c r="F331" s="113">
        <v>0</v>
      </c>
      <c r="G331" s="28">
        <f>SUM(D331:F331)</f>
        <v>0</v>
      </c>
      <c r="H331" s="125">
        <v>0</v>
      </c>
      <c r="I331" s="113">
        <v>0</v>
      </c>
      <c r="J331" s="125">
        <v>0</v>
      </c>
      <c r="K331" s="113">
        <v>0</v>
      </c>
      <c r="L331" s="113">
        <v>0</v>
      </c>
      <c r="M331" s="113">
        <v>0</v>
      </c>
      <c r="N331" s="28">
        <f>G331-SUM(H331:M331)</f>
        <v>0</v>
      </c>
      <c r="O331" s="28">
        <f>SUM(V331:Y331)</f>
        <v>0</v>
      </c>
      <c r="P331" s="28">
        <f>O331-N331</f>
        <v>0</v>
      </c>
      <c r="Q331" s="61" t="str">
        <f>IF(ISERROR(P331/SUM(H331:L331)),"",P331/SUM(H331:L331))</f>
        <v/>
      </c>
      <c r="R331" s="113">
        <v>0</v>
      </c>
      <c r="S331" s="28">
        <f>IF(ISERROR(P331/C331*R331),0,(P331/C331*R331))</f>
        <v>0</v>
      </c>
      <c r="T331" s="60">
        <f>IF(ISERROR(P331/B331*AF331),0,(P331/B331*AF331))</f>
        <v>0</v>
      </c>
      <c r="V331" s="113">
        <v>0</v>
      </c>
      <c r="W331" s="113">
        <v>0</v>
      </c>
      <c r="X331" s="113">
        <v>0</v>
      </c>
      <c r="Y331" s="113">
        <v>0</v>
      </c>
      <c r="AA331" s="113">
        <v>0</v>
      </c>
      <c r="AB331" s="113">
        <v>0</v>
      </c>
      <c r="AC331" s="113">
        <v>0</v>
      </c>
      <c r="AD331" s="113">
        <v>0</v>
      </c>
      <c r="AF331" s="113">
        <v>0</v>
      </c>
      <c r="AG331" s="28">
        <f>G331-O331</f>
        <v>0</v>
      </c>
      <c r="AH331" s="58">
        <f>IF(ISERROR(AG331/B331*AF331),0,(AG331/B331*AF331))</f>
        <v>0</v>
      </c>
      <c r="AI331" s="28">
        <f>SUM(H331:M331)</f>
        <v>0</v>
      </c>
      <c r="AJ331" s="28">
        <f>IF(ISERROR(AI331/B331*AF331),0,(AI331/B331*AF331))</f>
        <v>0</v>
      </c>
      <c r="AK331" s="58">
        <f>IF(ISERROR(O331/B331*AF331),0,(O331/B331*AF331))</f>
        <v>0</v>
      </c>
      <c r="AL331" s="28">
        <f>IF(ISERROR(H331/B331*AF331),0,(H331/B331*AF331))</f>
        <v>0</v>
      </c>
      <c r="AN331" s="51">
        <f>A331</f>
        <v>0</v>
      </c>
      <c r="AO331" s="57">
        <f>IF(ISERROR(IF(B331=C331,D331/C331,(INT(D331/B331)+(((D331-B331*INT(D331/B331)))/C331)/100))),0,(IF(B331=C331,D331/C331,(INT(D331/B331)+(((D331-B331*INT(D331/B331)))/C331)/100))))</f>
        <v>0</v>
      </c>
      <c r="AP331" s="57">
        <f>IF(ISERROR(IF(B331=C331,E331/C331,(INT(E331/B331)+(((E331-B331*INT(E331/B331)))/C331)/100))),0,(IF(B331=C331,E331/C331,(INT(E331/B331)+(((E331-B331*INT(E331/B331)))/C331)/100))))</f>
        <v>0</v>
      </c>
      <c r="AQ331" s="57">
        <f>IF(ISERROR(IF(B331=C331,F331/C331,IF((INT(F331/B331)+(((F331-B331*INT(F331/B331)))/C331)/100)&lt;0,(INT(F331/B331)+(((F331-B331*INT(F331/B331)))/C331)/100)+(1-(B331/C331/100)),(INT(F331/B331)+(((F331-B331*INT(F331/B331)))/C331)/100)))),0,IF(B331=C331,F331/C331,IF((INT(F331/B331)+(((F331-B331*INT(F331/B331)))/C331)/100)&lt;0,(INT(F331/B331)+(((F331-B331*INT(F331/B331)))/C331)/100)+(1-(B331/C331/100)),(INT(F331/B331)+(((F331-B331*INT(F331/B331)))/C331)/100))))</f>
        <v>0</v>
      </c>
      <c r="AR331" s="57">
        <f>IF(ISERROR(IF(B331=C331,G331/C331,(INT(G331/B331)+(((G331-B331*INT(G331/B331)))/C331)/100))),0,(IF(B331=C331,G331/C331,(INT(G331/B331)+(((G331-B331*INT(G331/B331)))/C331)/100))))</f>
        <v>0</v>
      </c>
      <c r="AS331" s="57">
        <f>IF(ISERROR(IF(B331=C331,H331/C331,(INT(H331/B331)+(((H331-B331*INT(H331/B331)))/C331)/100))),0,(IF(B331=C331,H331/C331,(INT(H331/B331)+(((H331-B331*INT(H331/B331)))/C331)/100))))</f>
        <v>0</v>
      </c>
      <c r="AT331" s="57">
        <f>IF(ISERROR(IF(B331=C331,I331/C331,(INT(I331/B331)+(((I331-B331*INT(I331/B331)))/C331)/100))),0,(IF(B331=C331,I331/C331,(INT(I331/B331)+(((I331-B331*INT(I331/B331)))/C331)/100))))</f>
        <v>0</v>
      </c>
      <c r="AU331" s="57">
        <f>IF(ISERROR(IF(B331=C331,J331/C331,(INT(J331/B331)+(((J331-B331*INT(J331/B331)))/C331)/100))),0,(IF(B331=C331,J331/C331,(INT(J331/B331)+(((J331-B331*INT(J331/B331)))/C331)/100))))</f>
        <v>0</v>
      </c>
      <c r="AV331" s="57">
        <f>IF(ISERROR(IF(B331=C331,K331/C331,IF((INT(K331/B331)+(((K331-B331*INT(K331/B331)))/C331)/100)&lt;0,(INT(K331/B331)+(((K331-B331*INT(K331/B331)))/C331)/100)+(1-(B331/C331/100)),(INT(K331/B331)+(((K331-B331*INT(K331/B331)))/C331)/100)))),0,IF(B331=C331,K331/C331,IF((INT(K331/B331)+(((K331-B331*INT(K331/B331)))/C331)/100)&lt;0,(INT(K331/B331)+(((K331-B331*INT(K331/B331)))/C331)/100)+(1-(B331/C331/100)),(INT(K331/B331)+(((K331-B331*INT(K331/B331)))/C331)/100))))</f>
        <v>0</v>
      </c>
      <c r="AW331" s="57">
        <f>IF(ISERROR(IF(B331=C331,L331/C331,(INT(L331/B331)+(((L331-B331*INT(L331/B331)))/C331)/100))),0,(IF(B331=C331,L331/C331,(INT(L331/B331)+(((L331-B331*INT(L331/B331)))/C331)/100))))</f>
        <v>0</v>
      </c>
      <c r="AX331" s="57">
        <f>IF(ISERROR(IF(B331=C331,M331/C331,(INT(M331/B331)+(((M331-B331*INT(M331/B331)))/C331)/100))),0,(IF(B331=C331,M331/C331,(INT(M331/B331)+(((M331-B331*INT(M331/B331)))/C331)/100))))</f>
        <v>0</v>
      </c>
      <c r="AY331" s="57">
        <f>IF(ISERROR(IF(B331=C331,N331/C331,IF((INT(N331/B331)+(((N331-B331*INT(N331/B331)))/C331)/100)&lt;0,(INT(N331/B331)+(((N331-B331*INT(N331/B331)))/C331)/100)+(1-(B331/C331/100)),(INT(N331/B331)+(((N331-B331*INT(N331/B331)))/C331)/100)))),0,IF(B331=C331,N331/C331,IF((INT(N331/B331)+(((N331-B331*INT(N331/B331)))/C331)/100)&lt;0,(INT(N331/B331)+(((N331-B331*INT(N331/B331)))/C331)/100)+(1-(B331/C331/100)),(INT(N331/B331)+(((N331-B331*INT(N331/B331)))/C331)/100))))</f>
        <v>0</v>
      </c>
      <c r="AZ331" s="57">
        <f>IF(ISERROR(IF(B331=C331,O331/C331,(INT(O331/B331)+(((O331-B331*INT(O331/B331)))/C331)/100))),0,(IF(B331=C331,O331/C331,(INT(O331/B331)+(((O331-B331*INT(O331/B331)))/C331)/100))))</f>
        <v>0</v>
      </c>
      <c r="BA331" s="57">
        <f>IF(ISERROR(IF(B331=C331,P331/C331,IF((INT(P331/B331)+(((P331-B331*INT(P331/B331)))/C331)/100)&lt;0,(INT(P331/B331)+(((P331-B331*INT(P331/B331)))/C331)/100)+(1-(B331/C331/100)),(INT(P331/B331)+(((P331-B331*INT(P331/B331)))/C331)/100)))),0,IF(B331=C331,P331/C331,IF((INT(P331/B331)+(((P331-B331*INT(P331/B331)))/C331)/100)&lt;0,(INT(P331/B331)+(((P331-B331*INT(P331/B331)))/C331)/100)+(1-(B331/C331/100)),(INT(P331/B331)+(((P331-B331*INT(P331/B331)))/C331)/100))))</f>
        <v>0</v>
      </c>
      <c r="BB331" s="28">
        <f>R331</f>
        <v>0</v>
      </c>
      <c r="BC331" s="28">
        <f>S331</f>
        <v>0</v>
      </c>
      <c r="BD331" s="28">
        <f>AF331</f>
        <v>0</v>
      </c>
      <c r="BE331" s="28">
        <f>T331</f>
        <v>0</v>
      </c>
      <c r="BG331" s="57">
        <f>IF(ISERROR(IF(B331=C331,V331/C331,(INT(V331/B331)+(((V331-B331*INT(V331/B331)))/C331)/100))),0,(IF(B331=C331,V331/C331,(INT(V331/B331)+(((V331-B331*INT(V331/B331)))/C331)/100))))</f>
        <v>0</v>
      </c>
      <c r="BH331" s="57">
        <f>IF(ISERROR(IF(B331=C331,W331/C331,(INT(W331/B331)+(((W331-B331*INT(W331/B331)))/C331)/100))),0,(IF(B331=C331,W331/C331,(INT(W331/B331)+(((W331-B331*INT(W331/B331)))/C331)/100))))</f>
        <v>0</v>
      </c>
      <c r="BI331" s="57">
        <f>IF(ISERROR(IF(B331=C331,X331/C331,(INT(X331/B331)+(((X331-B331*INT(X331/B331)))/C331)/100))),0,(IF(B331=C331,X331/C331,(INT(X331/B331)+(((X331-B331*INT(X331/B331)))/C331)/100))))</f>
        <v>0</v>
      </c>
      <c r="BJ331" s="57">
        <f>IF(ISERROR(IF(B331=C331,Y331/C331,(INT(Y331/B331)+(((Y331-B331*INT(Y331/B331)))/C331)/100))),0,(IF(B331=C331,Y331/C331,(INT(Y331/B331)+(((Y331-B331*INT(Y331/B331)))/C331)/100))))</f>
        <v>0</v>
      </c>
      <c r="BL331" s="57">
        <f>IF(ISERROR(IF(B331=C331,AA331/C331,(INT(AA331/B331)+(((AA331-B331*INT(AA331/B331)))/C331)/100))),0,(IF(B331=C331,AA331/C331,(INT(AA331/B331)+(((AA331-B331*INT(AA331/B331)))/C331)/100))))</f>
        <v>0</v>
      </c>
      <c r="BM331" s="57">
        <f>IF(ISERROR(IF(B331=C331,AB331/C331,(INT(AB331/B331)+(((AB331-B331*INT(AB331/B331)))/C331)/100))),0,(IF(B331=C331,AB331/C331,(INT(AB331/B331)+(((AB331-B331*INT(AB331/B331)))/C331)/100))))</f>
        <v>0</v>
      </c>
      <c r="BN331" s="57">
        <f>IF(ISERROR(IF(B331=C331,AC331/C331,(INT(AC331/B331)+(((AC331-B331*INT(AC331/B331)))/C331)/100))),0,(IF(B331=C331,AC331/C331,(INT(AC331/B331)+(((AC331-B331*INT(AC331/B331)))/C331)/100))))</f>
        <v>0</v>
      </c>
      <c r="BO331" s="57">
        <f>IF(ISERROR(IF(B331=C331,AD331/C331,(INT(AD331/B331)+(((AD331-B331*INT(AD331/B331)))/C331)/100))),0,(IF(B331=C331,AD331/C331,(INT(AD331/B331)+(((AD331-B331*INT(AD331/B331)))/C331)/100))))</f>
        <v>0</v>
      </c>
      <c r="BQ331" s="155"/>
    </row>
    <row r="332" spans="1:69" hidden="1" x14ac:dyDescent="0.35">
      <c r="A332" s="94"/>
      <c r="B332" s="113">
        <v>0</v>
      </c>
      <c r="C332" s="113">
        <v>0</v>
      </c>
      <c r="D332" s="28">
        <f>SUM(AA332:AD332)</f>
        <v>0</v>
      </c>
      <c r="E332" s="113">
        <v>0</v>
      </c>
      <c r="F332" s="113">
        <v>0</v>
      </c>
      <c r="G332" s="28">
        <f>SUM(D332:F332)</f>
        <v>0</v>
      </c>
      <c r="H332" s="125">
        <v>0</v>
      </c>
      <c r="I332" s="113">
        <v>0</v>
      </c>
      <c r="J332" s="125">
        <v>0</v>
      </c>
      <c r="K332" s="113">
        <v>0</v>
      </c>
      <c r="L332" s="113">
        <v>0</v>
      </c>
      <c r="M332" s="113">
        <v>0</v>
      </c>
      <c r="N332" s="28">
        <f>G332-SUM(H332:M332)</f>
        <v>0</v>
      </c>
      <c r="O332" s="28">
        <f>SUM(V332:Y332)</f>
        <v>0</v>
      </c>
      <c r="P332" s="28">
        <f>O332-N332</f>
        <v>0</v>
      </c>
      <c r="Q332" s="61" t="str">
        <f>IF(ISERROR(P332/SUM(H332:L332)),"",P332/SUM(H332:L332))</f>
        <v/>
      </c>
      <c r="R332" s="113">
        <v>0</v>
      </c>
      <c r="S332" s="28">
        <f>IF(ISERROR(P332/C332*R332),0,(P332/C332*R332))</f>
        <v>0</v>
      </c>
      <c r="T332" s="60">
        <f>IF(ISERROR(P332/B332*AF332),0,(P332/B332*AF332))</f>
        <v>0</v>
      </c>
      <c r="V332" s="113">
        <v>0</v>
      </c>
      <c r="W332" s="113">
        <v>0</v>
      </c>
      <c r="X332" s="113">
        <v>0</v>
      </c>
      <c r="Y332" s="113">
        <v>0</v>
      </c>
      <c r="AA332" s="113">
        <v>0</v>
      </c>
      <c r="AB332" s="113">
        <v>0</v>
      </c>
      <c r="AC332" s="113">
        <v>0</v>
      </c>
      <c r="AD332" s="113">
        <v>0</v>
      </c>
      <c r="AF332" s="113">
        <v>0</v>
      </c>
      <c r="AG332" s="28">
        <f>G332-O332</f>
        <v>0</v>
      </c>
      <c r="AH332" s="58">
        <f>IF(ISERROR(AG332/B332*AF332),0,(AG332/B332*AF332))</f>
        <v>0</v>
      </c>
      <c r="AI332" s="28">
        <f>SUM(H332:M332)</f>
        <v>0</v>
      </c>
      <c r="AJ332" s="28">
        <f>IF(ISERROR(AI332/B332*AF332),0,(AI332/B332*AF332))</f>
        <v>0</v>
      </c>
      <c r="AK332" s="58">
        <f>IF(ISERROR(O332/B332*AF332),0,(O332/B332*AF332))</f>
        <v>0</v>
      </c>
      <c r="AL332" s="28">
        <f>IF(ISERROR(H332/B332*AF332),0,(H332/B332*AF332))</f>
        <v>0</v>
      </c>
      <c r="AN332" s="51">
        <f>A332</f>
        <v>0</v>
      </c>
      <c r="AO332" s="57">
        <f>IF(ISERROR(IF(B332=C332,D332/C332,(INT(D332/B332)+(((D332-B332*INT(D332/B332)))/C332)/100))),0,(IF(B332=C332,D332/C332,(INT(D332/B332)+(((D332-B332*INT(D332/B332)))/C332)/100))))</f>
        <v>0</v>
      </c>
      <c r="AP332" s="57">
        <f>IF(ISERROR(IF(B332=C332,E332/C332,(INT(E332/B332)+(((E332-B332*INT(E332/B332)))/C332)/100))),0,(IF(B332=C332,E332/C332,(INT(E332/B332)+(((E332-B332*INT(E332/B332)))/C332)/100))))</f>
        <v>0</v>
      </c>
      <c r="AQ332" s="57">
        <f>IF(ISERROR(IF(B332=C332,F332/C332,IF((INT(F332/B332)+(((F332-B332*INT(F332/B332)))/C332)/100)&lt;0,(INT(F332/B332)+(((F332-B332*INT(F332/B332)))/C332)/100)+(1-(B332/C332/100)),(INT(F332/B332)+(((F332-B332*INT(F332/B332)))/C332)/100)))),0,IF(B332=C332,F332/C332,IF((INT(F332/B332)+(((F332-B332*INT(F332/B332)))/C332)/100)&lt;0,(INT(F332/B332)+(((F332-B332*INT(F332/B332)))/C332)/100)+(1-(B332/C332/100)),(INT(F332/B332)+(((F332-B332*INT(F332/B332)))/C332)/100))))</f>
        <v>0</v>
      </c>
      <c r="AR332" s="57">
        <f>IF(ISERROR(IF(B332=C332,G332/C332,(INT(G332/B332)+(((G332-B332*INT(G332/B332)))/C332)/100))),0,(IF(B332=C332,G332/C332,(INT(G332/B332)+(((G332-B332*INT(G332/B332)))/C332)/100))))</f>
        <v>0</v>
      </c>
      <c r="AS332" s="57">
        <f>IF(ISERROR(IF(B332=C332,H332/C332,(INT(H332/B332)+(((H332-B332*INT(H332/B332)))/C332)/100))),0,(IF(B332=C332,H332/C332,(INT(H332/B332)+(((H332-B332*INT(H332/B332)))/C332)/100))))</f>
        <v>0</v>
      </c>
      <c r="AT332" s="57">
        <f>IF(ISERROR(IF(B332=C332,I332/C332,(INT(I332/B332)+(((I332-B332*INT(I332/B332)))/C332)/100))),0,(IF(B332=C332,I332/C332,(INT(I332/B332)+(((I332-B332*INT(I332/B332)))/C332)/100))))</f>
        <v>0</v>
      </c>
      <c r="AU332" s="57">
        <f>IF(ISERROR(IF(B332=C332,J332/C332,(INT(J332/B332)+(((J332-B332*INT(J332/B332)))/C332)/100))),0,(IF(B332=C332,J332/C332,(INT(J332/B332)+(((J332-B332*INT(J332/B332)))/C332)/100))))</f>
        <v>0</v>
      </c>
      <c r="AV332" s="57">
        <f>IF(ISERROR(IF(B332=C332,K332/C332,IF((INT(K332/B332)+(((K332-B332*INT(K332/B332)))/C332)/100)&lt;0,(INT(K332/B332)+(((K332-B332*INT(K332/B332)))/C332)/100)+(1-(B332/C332/100)),(INT(K332/B332)+(((K332-B332*INT(K332/B332)))/C332)/100)))),0,IF(B332=C332,K332/C332,IF((INT(K332/B332)+(((K332-B332*INT(K332/B332)))/C332)/100)&lt;0,(INT(K332/B332)+(((K332-B332*INT(K332/B332)))/C332)/100)+(1-(B332/C332/100)),(INT(K332/B332)+(((K332-B332*INT(K332/B332)))/C332)/100))))</f>
        <v>0</v>
      </c>
      <c r="AW332" s="57">
        <f>IF(ISERROR(IF(B332=C332,L332/C332,(INT(L332/B332)+(((L332-B332*INT(L332/B332)))/C332)/100))),0,(IF(B332=C332,L332/C332,(INT(L332/B332)+(((L332-B332*INT(L332/B332)))/C332)/100))))</f>
        <v>0</v>
      </c>
      <c r="AX332" s="57">
        <f>IF(ISERROR(IF(B332=C332,M332/C332,(INT(M332/B332)+(((M332-B332*INT(M332/B332)))/C332)/100))),0,(IF(B332=C332,M332/C332,(INT(M332/B332)+(((M332-B332*INT(M332/B332)))/C332)/100))))</f>
        <v>0</v>
      </c>
      <c r="AY332" s="57">
        <f>IF(ISERROR(IF(B332=C332,N332/C332,IF((INT(N332/B332)+(((N332-B332*INT(N332/B332)))/C332)/100)&lt;0,(INT(N332/B332)+(((N332-B332*INT(N332/B332)))/C332)/100)+(1-(B332/C332/100)),(INT(N332/B332)+(((N332-B332*INT(N332/B332)))/C332)/100)))),0,IF(B332=C332,N332/C332,IF((INT(N332/B332)+(((N332-B332*INT(N332/B332)))/C332)/100)&lt;0,(INT(N332/B332)+(((N332-B332*INT(N332/B332)))/C332)/100)+(1-(B332/C332/100)),(INT(N332/B332)+(((N332-B332*INT(N332/B332)))/C332)/100))))</f>
        <v>0</v>
      </c>
      <c r="AZ332" s="57">
        <f>IF(ISERROR(IF(B332=C332,O332/C332,(INT(O332/B332)+(((O332-B332*INT(O332/B332)))/C332)/100))),0,(IF(B332=C332,O332/C332,(INT(O332/B332)+(((O332-B332*INT(O332/B332)))/C332)/100))))</f>
        <v>0</v>
      </c>
      <c r="BA332" s="57">
        <f>IF(ISERROR(IF(B332=C332,P332/C332,IF((INT(P332/B332)+(((P332-B332*INT(P332/B332)))/C332)/100)&lt;0,(INT(P332/B332)+(((P332-B332*INT(P332/B332)))/C332)/100)+(1-(B332/C332/100)),(INT(P332/B332)+(((P332-B332*INT(P332/B332)))/C332)/100)))),0,IF(B332=C332,P332/C332,IF((INT(P332/B332)+(((P332-B332*INT(P332/B332)))/C332)/100)&lt;0,(INT(P332/B332)+(((P332-B332*INT(P332/B332)))/C332)/100)+(1-(B332/C332/100)),(INT(P332/B332)+(((P332-B332*INT(P332/B332)))/C332)/100))))</f>
        <v>0</v>
      </c>
      <c r="BB332" s="28">
        <f>R332</f>
        <v>0</v>
      </c>
      <c r="BC332" s="28">
        <f>S332</f>
        <v>0</v>
      </c>
      <c r="BD332" s="28">
        <f>AF332</f>
        <v>0</v>
      </c>
      <c r="BE332" s="28">
        <f>T332</f>
        <v>0</v>
      </c>
      <c r="BG332" s="57">
        <f>IF(ISERROR(IF(B332=C332,V332/C332,(INT(V332/B332)+(((V332-B332*INT(V332/B332)))/C332)/100))),0,(IF(B332=C332,V332/C332,(INT(V332/B332)+(((V332-B332*INT(V332/B332)))/C332)/100))))</f>
        <v>0</v>
      </c>
      <c r="BH332" s="57">
        <f>IF(ISERROR(IF(B332=C332,W332/C332,(INT(W332/B332)+(((W332-B332*INT(W332/B332)))/C332)/100))),0,(IF(B332=C332,W332/C332,(INT(W332/B332)+(((W332-B332*INT(W332/B332)))/C332)/100))))</f>
        <v>0</v>
      </c>
      <c r="BI332" s="57">
        <f>IF(ISERROR(IF(B332=C332,X332/C332,(INT(X332/B332)+(((X332-B332*INT(X332/B332)))/C332)/100))),0,(IF(B332=C332,X332/C332,(INT(X332/B332)+(((X332-B332*INT(X332/B332)))/C332)/100))))</f>
        <v>0</v>
      </c>
      <c r="BJ332" s="57">
        <f>IF(ISERROR(IF(B332=C332,Y332/C332,(INT(Y332/B332)+(((Y332-B332*INT(Y332/B332)))/C332)/100))),0,(IF(B332=C332,Y332/C332,(INT(Y332/B332)+(((Y332-B332*INT(Y332/B332)))/C332)/100))))</f>
        <v>0</v>
      </c>
      <c r="BL332" s="57">
        <f>IF(ISERROR(IF(B332=C332,AA332/C332,(INT(AA332/B332)+(((AA332-B332*INT(AA332/B332)))/C332)/100))),0,(IF(B332=C332,AA332/C332,(INT(AA332/B332)+(((AA332-B332*INT(AA332/B332)))/C332)/100))))</f>
        <v>0</v>
      </c>
      <c r="BM332" s="57">
        <f>IF(ISERROR(IF(B332=C332,AB332/C332,(INT(AB332/B332)+(((AB332-B332*INT(AB332/B332)))/C332)/100))),0,(IF(B332=C332,AB332/C332,(INT(AB332/B332)+(((AB332-B332*INT(AB332/B332)))/C332)/100))))</f>
        <v>0</v>
      </c>
      <c r="BN332" s="57">
        <f>IF(ISERROR(IF(B332=C332,AC332/C332,(INT(AC332/B332)+(((AC332-B332*INT(AC332/B332)))/C332)/100))),0,(IF(B332=C332,AC332/C332,(INT(AC332/B332)+(((AC332-B332*INT(AC332/B332)))/C332)/100))))</f>
        <v>0</v>
      </c>
      <c r="BO332" s="57">
        <f>IF(ISERROR(IF(B332=C332,AD332/C332,(INT(AD332/B332)+(((AD332-B332*INT(AD332/B332)))/C332)/100))),0,(IF(B332=C332,AD332/C332,(INT(AD332/B332)+(((AD332-B332*INT(AD332/B332)))/C332)/100))))</f>
        <v>0</v>
      </c>
      <c r="BQ332" s="155"/>
    </row>
    <row r="333" spans="1:69" hidden="1" x14ac:dyDescent="0.35">
      <c r="A333" s="94"/>
      <c r="B333" s="113">
        <v>0</v>
      </c>
      <c r="C333" s="113">
        <v>0</v>
      </c>
      <c r="D333" s="28">
        <f>SUM(AA333:AD333)</f>
        <v>0</v>
      </c>
      <c r="E333" s="113">
        <v>0</v>
      </c>
      <c r="F333" s="113">
        <v>0</v>
      </c>
      <c r="G333" s="28">
        <f>SUM(D333:F333)</f>
        <v>0</v>
      </c>
      <c r="H333" s="125">
        <v>0</v>
      </c>
      <c r="I333" s="113">
        <v>0</v>
      </c>
      <c r="J333" s="125">
        <v>0</v>
      </c>
      <c r="K333" s="113">
        <v>0</v>
      </c>
      <c r="L333" s="113">
        <v>0</v>
      </c>
      <c r="M333" s="113">
        <v>0</v>
      </c>
      <c r="N333" s="28">
        <f>G333-SUM(H333:M333)</f>
        <v>0</v>
      </c>
      <c r="O333" s="28">
        <f>SUM(V333:Y333)</f>
        <v>0</v>
      </c>
      <c r="P333" s="28">
        <f>O333-N333</f>
        <v>0</v>
      </c>
      <c r="Q333" s="61" t="str">
        <f>IF(ISERROR(P333/SUM(H333:L333)),"",P333/SUM(H333:L333))</f>
        <v/>
      </c>
      <c r="R333" s="113">
        <v>0</v>
      </c>
      <c r="S333" s="28">
        <f>IF(ISERROR(P333/C333*R333),0,(P333/C333*R333))</f>
        <v>0</v>
      </c>
      <c r="T333" s="60">
        <f>IF(ISERROR(P333/B333*AF333),0,(P333/B333*AF333))</f>
        <v>0</v>
      </c>
      <c r="V333" s="113">
        <v>0</v>
      </c>
      <c r="W333" s="113">
        <v>0</v>
      </c>
      <c r="X333" s="113">
        <v>0</v>
      </c>
      <c r="Y333" s="113">
        <v>0</v>
      </c>
      <c r="AA333" s="113">
        <v>0</v>
      </c>
      <c r="AB333" s="113">
        <v>0</v>
      </c>
      <c r="AC333" s="113">
        <v>0</v>
      </c>
      <c r="AD333" s="113">
        <v>0</v>
      </c>
      <c r="AF333" s="113">
        <v>0</v>
      </c>
      <c r="AG333" s="28">
        <f>G333-O333</f>
        <v>0</v>
      </c>
      <c r="AH333" s="58">
        <f>IF(ISERROR(AG333/B333*AF333),0,(AG333/B333*AF333))</f>
        <v>0</v>
      </c>
      <c r="AI333" s="28">
        <f>SUM(H333:M333)</f>
        <v>0</v>
      </c>
      <c r="AJ333" s="28">
        <f>IF(ISERROR(AI333/B333*AF333),0,(AI333/B333*AF333))</f>
        <v>0</v>
      </c>
      <c r="AK333" s="58">
        <f>IF(ISERROR(O333/B333*AF333),0,(O333/B333*AF333))</f>
        <v>0</v>
      </c>
      <c r="AL333" s="28">
        <f>IF(ISERROR(H333/B333*AF333),0,(H333/B333*AF333))</f>
        <v>0</v>
      </c>
      <c r="AN333" s="51">
        <f>A333</f>
        <v>0</v>
      </c>
      <c r="AO333" s="57">
        <f>IF(ISERROR(IF(B333=C333,D333/C333,(INT(D333/B333)+(((D333-B333*INT(D333/B333)))/C333)/100))),0,(IF(B333=C333,D333/C333,(INT(D333/B333)+(((D333-B333*INT(D333/B333)))/C333)/100))))</f>
        <v>0</v>
      </c>
      <c r="AP333" s="57">
        <f>IF(ISERROR(IF(B333=C333,E333/C333,(INT(E333/B333)+(((E333-B333*INT(E333/B333)))/C333)/100))),0,(IF(B333=C333,E333/C333,(INT(E333/B333)+(((E333-B333*INT(E333/B333)))/C333)/100))))</f>
        <v>0</v>
      </c>
      <c r="AQ333" s="57">
        <f>IF(ISERROR(IF(B333=C333,F333/C333,IF((INT(F333/B333)+(((F333-B333*INT(F333/B333)))/C333)/100)&lt;0,(INT(F333/B333)+(((F333-B333*INT(F333/B333)))/C333)/100)+(1-(B333/C333/100)),(INT(F333/B333)+(((F333-B333*INT(F333/B333)))/C333)/100)))),0,IF(B333=C333,F333/C333,IF((INT(F333/B333)+(((F333-B333*INT(F333/B333)))/C333)/100)&lt;0,(INT(F333/B333)+(((F333-B333*INT(F333/B333)))/C333)/100)+(1-(B333/C333/100)),(INT(F333/B333)+(((F333-B333*INT(F333/B333)))/C333)/100))))</f>
        <v>0</v>
      </c>
      <c r="AR333" s="57">
        <f>IF(ISERROR(IF(B333=C333,G333/C333,(INT(G333/B333)+(((G333-B333*INT(G333/B333)))/C333)/100))),0,(IF(B333=C333,G333/C333,(INT(G333/B333)+(((G333-B333*INT(G333/B333)))/C333)/100))))</f>
        <v>0</v>
      </c>
      <c r="AS333" s="57">
        <f>IF(ISERROR(IF(B333=C333,H333/C333,(INT(H333/B333)+(((H333-B333*INT(H333/B333)))/C333)/100))),0,(IF(B333=C333,H333/C333,(INT(H333/B333)+(((H333-B333*INT(H333/B333)))/C333)/100))))</f>
        <v>0</v>
      </c>
      <c r="AT333" s="57">
        <f>IF(ISERROR(IF(B333=C333,I333/C333,(INT(I333/B333)+(((I333-B333*INT(I333/B333)))/C333)/100))),0,(IF(B333=C333,I333/C333,(INT(I333/B333)+(((I333-B333*INT(I333/B333)))/C333)/100))))</f>
        <v>0</v>
      </c>
      <c r="AU333" s="57">
        <f>IF(ISERROR(IF(B333=C333,J333/C333,(INT(J333/B333)+(((J333-B333*INT(J333/B333)))/C333)/100))),0,(IF(B333=C333,J333/C333,(INT(J333/B333)+(((J333-B333*INT(J333/B333)))/C333)/100))))</f>
        <v>0</v>
      </c>
      <c r="AV333" s="57">
        <f>IF(ISERROR(IF(B333=C333,K333/C333,IF((INT(K333/B333)+(((K333-B333*INT(K333/B333)))/C333)/100)&lt;0,(INT(K333/B333)+(((K333-B333*INT(K333/B333)))/C333)/100)+(1-(B333/C333/100)),(INT(K333/B333)+(((K333-B333*INT(K333/B333)))/C333)/100)))),0,IF(B333=C333,K333/C333,IF((INT(K333/B333)+(((K333-B333*INT(K333/B333)))/C333)/100)&lt;0,(INT(K333/B333)+(((K333-B333*INT(K333/B333)))/C333)/100)+(1-(B333/C333/100)),(INT(K333/B333)+(((K333-B333*INT(K333/B333)))/C333)/100))))</f>
        <v>0</v>
      </c>
      <c r="AW333" s="57">
        <f>IF(ISERROR(IF(B333=C333,L333/C333,(INT(L333/B333)+(((L333-B333*INT(L333/B333)))/C333)/100))),0,(IF(B333=C333,L333/C333,(INT(L333/B333)+(((L333-B333*INT(L333/B333)))/C333)/100))))</f>
        <v>0</v>
      </c>
      <c r="AX333" s="57">
        <f>IF(ISERROR(IF(B333=C333,M333/C333,(INT(M333/B333)+(((M333-B333*INT(M333/B333)))/C333)/100))),0,(IF(B333=C333,M333/C333,(INT(M333/B333)+(((M333-B333*INT(M333/B333)))/C333)/100))))</f>
        <v>0</v>
      </c>
      <c r="AY333" s="57">
        <f>IF(ISERROR(IF(B333=C333,N333/C333,IF((INT(N333/B333)+(((N333-B333*INT(N333/B333)))/C333)/100)&lt;0,(INT(N333/B333)+(((N333-B333*INT(N333/B333)))/C333)/100)+(1-(B333/C333/100)),(INT(N333/B333)+(((N333-B333*INT(N333/B333)))/C333)/100)))),0,IF(B333=C333,N333/C333,IF((INT(N333/B333)+(((N333-B333*INT(N333/B333)))/C333)/100)&lt;0,(INT(N333/B333)+(((N333-B333*INT(N333/B333)))/C333)/100)+(1-(B333/C333/100)),(INT(N333/B333)+(((N333-B333*INT(N333/B333)))/C333)/100))))</f>
        <v>0</v>
      </c>
      <c r="AZ333" s="57">
        <f>IF(ISERROR(IF(B333=C333,O333/C333,(INT(O333/B333)+(((O333-B333*INT(O333/B333)))/C333)/100))),0,(IF(B333=C333,O333/C333,(INT(O333/B333)+(((O333-B333*INT(O333/B333)))/C333)/100))))</f>
        <v>0</v>
      </c>
      <c r="BA333" s="57">
        <f>IF(ISERROR(IF(B333=C333,P333/C333,IF((INT(P333/B333)+(((P333-B333*INT(P333/B333)))/C333)/100)&lt;0,(INT(P333/B333)+(((P333-B333*INT(P333/B333)))/C333)/100)+(1-(B333/C333/100)),(INT(P333/B333)+(((P333-B333*INT(P333/B333)))/C333)/100)))),0,IF(B333=C333,P333/C333,IF((INT(P333/B333)+(((P333-B333*INT(P333/B333)))/C333)/100)&lt;0,(INT(P333/B333)+(((P333-B333*INT(P333/B333)))/C333)/100)+(1-(B333/C333/100)),(INT(P333/B333)+(((P333-B333*INT(P333/B333)))/C333)/100))))</f>
        <v>0</v>
      </c>
      <c r="BB333" s="28">
        <f>R333</f>
        <v>0</v>
      </c>
      <c r="BC333" s="28">
        <f>S333</f>
        <v>0</v>
      </c>
      <c r="BD333" s="28">
        <f>AF333</f>
        <v>0</v>
      </c>
      <c r="BE333" s="28">
        <f>T333</f>
        <v>0</v>
      </c>
      <c r="BG333" s="57">
        <f>IF(ISERROR(IF(B333=C333,V333/C333,(INT(V333/B333)+(((V333-B333*INT(V333/B333)))/C333)/100))),0,(IF(B333=C333,V333/C333,(INT(V333/B333)+(((V333-B333*INT(V333/B333)))/C333)/100))))</f>
        <v>0</v>
      </c>
      <c r="BH333" s="57">
        <f>IF(ISERROR(IF(B333=C333,W333/C333,(INT(W333/B333)+(((W333-B333*INT(W333/B333)))/C333)/100))),0,(IF(B333=C333,W333/C333,(INT(W333/B333)+(((W333-B333*INT(W333/B333)))/C333)/100))))</f>
        <v>0</v>
      </c>
      <c r="BI333" s="57">
        <f>IF(ISERROR(IF(B333=C333,X333/C333,(INT(X333/B333)+(((X333-B333*INT(X333/B333)))/C333)/100))),0,(IF(B333=C333,X333/C333,(INT(X333/B333)+(((X333-B333*INT(X333/B333)))/C333)/100))))</f>
        <v>0</v>
      </c>
      <c r="BJ333" s="57">
        <f>IF(ISERROR(IF(B333=C333,Y333/C333,(INT(Y333/B333)+(((Y333-B333*INT(Y333/B333)))/C333)/100))),0,(IF(B333=C333,Y333/C333,(INT(Y333/B333)+(((Y333-B333*INT(Y333/B333)))/C333)/100))))</f>
        <v>0</v>
      </c>
      <c r="BL333" s="57">
        <f>IF(ISERROR(IF(B333=C333,AA333/C333,(INT(AA333/B333)+(((AA333-B333*INT(AA333/B333)))/C333)/100))),0,(IF(B333=C333,AA333/C333,(INT(AA333/B333)+(((AA333-B333*INT(AA333/B333)))/C333)/100))))</f>
        <v>0</v>
      </c>
      <c r="BM333" s="57">
        <f>IF(ISERROR(IF(B333=C333,AB333/C333,(INT(AB333/B333)+(((AB333-B333*INT(AB333/B333)))/C333)/100))),0,(IF(B333=C333,AB333/C333,(INT(AB333/B333)+(((AB333-B333*INT(AB333/B333)))/C333)/100))))</f>
        <v>0</v>
      </c>
      <c r="BN333" s="57">
        <f>IF(ISERROR(IF(B333=C333,AC333/C333,(INT(AC333/B333)+(((AC333-B333*INT(AC333/B333)))/C333)/100))),0,(IF(B333=C333,AC333/C333,(INT(AC333/B333)+(((AC333-B333*INT(AC333/B333)))/C333)/100))))</f>
        <v>0</v>
      </c>
      <c r="BO333" s="57">
        <f>IF(ISERROR(IF(B333=C333,AD333/C333,(INT(AD333/B333)+(((AD333-B333*INT(AD333/B333)))/C333)/100))),0,(IF(B333=C333,AD333/C333,(INT(AD333/B333)+(((AD333-B333*INT(AD333/B333)))/C333)/100))))</f>
        <v>0</v>
      </c>
      <c r="BQ333" s="155"/>
    </row>
    <row r="334" spans="1:69" hidden="1" x14ac:dyDescent="0.35">
      <c r="A334" s="94"/>
      <c r="B334" s="113">
        <v>0</v>
      </c>
      <c r="C334" s="113">
        <v>0</v>
      </c>
      <c r="D334" s="28">
        <f>SUM(AA334:AD334)</f>
        <v>0</v>
      </c>
      <c r="E334" s="113">
        <v>0</v>
      </c>
      <c r="F334" s="113">
        <v>0</v>
      </c>
      <c r="G334" s="28">
        <f>SUM(D334:F334)</f>
        <v>0</v>
      </c>
      <c r="H334" s="125">
        <v>0</v>
      </c>
      <c r="I334" s="113">
        <v>0</v>
      </c>
      <c r="J334" s="125">
        <v>0</v>
      </c>
      <c r="K334" s="113">
        <v>0</v>
      </c>
      <c r="L334" s="113">
        <v>0</v>
      </c>
      <c r="M334" s="113">
        <v>0</v>
      </c>
      <c r="N334" s="28">
        <f>G334-SUM(H334:M334)</f>
        <v>0</v>
      </c>
      <c r="O334" s="28">
        <f>SUM(V334:Y334)</f>
        <v>0</v>
      </c>
      <c r="P334" s="28">
        <f>O334-N334</f>
        <v>0</v>
      </c>
      <c r="Q334" s="61" t="str">
        <f>IF(ISERROR(P334/SUM(H334:L334)),"",P334/SUM(H334:L334))</f>
        <v/>
      </c>
      <c r="R334" s="113">
        <v>0</v>
      </c>
      <c r="S334" s="28">
        <f>IF(ISERROR(P334/C334*R334),0,(P334/C334*R334))</f>
        <v>0</v>
      </c>
      <c r="T334" s="60">
        <f>IF(ISERROR(P334/B334*AF334),0,(P334/B334*AF334))</f>
        <v>0</v>
      </c>
      <c r="V334" s="113">
        <v>0</v>
      </c>
      <c r="W334" s="113">
        <v>0</v>
      </c>
      <c r="X334" s="113">
        <v>0</v>
      </c>
      <c r="Y334" s="113">
        <v>0</v>
      </c>
      <c r="AA334" s="113">
        <v>0</v>
      </c>
      <c r="AB334" s="113">
        <v>0</v>
      </c>
      <c r="AC334" s="113">
        <v>0</v>
      </c>
      <c r="AD334" s="113">
        <v>0</v>
      </c>
      <c r="AF334" s="113">
        <v>0</v>
      </c>
      <c r="AG334" s="28">
        <f>G334-O334</f>
        <v>0</v>
      </c>
      <c r="AH334" s="58">
        <f>IF(ISERROR(AG334/B334*AF334),0,(AG334/B334*AF334))</f>
        <v>0</v>
      </c>
      <c r="AI334" s="28">
        <f>SUM(H334:M334)</f>
        <v>0</v>
      </c>
      <c r="AJ334" s="28">
        <f>IF(ISERROR(AI334/B334*AF334),0,(AI334/B334*AF334))</f>
        <v>0</v>
      </c>
      <c r="AK334" s="58">
        <f>IF(ISERROR(O334/B334*AF334),0,(O334/B334*AF334))</f>
        <v>0</v>
      </c>
      <c r="AL334" s="28">
        <f>IF(ISERROR(H334/B334*AF334),0,(H334/B334*AF334))</f>
        <v>0</v>
      </c>
      <c r="AN334" s="51">
        <f>A334</f>
        <v>0</v>
      </c>
      <c r="AO334" s="57">
        <f>IF(ISERROR(IF(B334=C334,D334/C334,(INT(D334/B334)+(((D334-B334*INT(D334/B334)))/C334)/100))),0,(IF(B334=C334,D334/C334,(INT(D334/B334)+(((D334-B334*INT(D334/B334)))/C334)/100))))</f>
        <v>0</v>
      </c>
      <c r="AP334" s="57">
        <f>IF(ISERROR(IF(B334=C334,E334/C334,(INT(E334/B334)+(((E334-B334*INT(E334/B334)))/C334)/100))),0,(IF(B334=C334,E334/C334,(INT(E334/B334)+(((E334-B334*INT(E334/B334)))/C334)/100))))</f>
        <v>0</v>
      </c>
      <c r="AQ334" s="57">
        <f>IF(ISERROR(IF(B334=C334,F334/C334,IF((INT(F334/B334)+(((F334-B334*INT(F334/B334)))/C334)/100)&lt;0,(INT(F334/B334)+(((F334-B334*INT(F334/B334)))/C334)/100)+(1-(B334/C334/100)),(INT(F334/B334)+(((F334-B334*INT(F334/B334)))/C334)/100)))),0,IF(B334=C334,F334/C334,IF((INT(F334/B334)+(((F334-B334*INT(F334/B334)))/C334)/100)&lt;0,(INT(F334/B334)+(((F334-B334*INT(F334/B334)))/C334)/100)+(1-(B334/C334/100)),(INT(F334/B334)+(((F334-B334*INT(F334/B334)))/C334)/100))))</f>
        <v>0</v>
      </c>
      <c r="AR334" s="57">
        <f>IF(ISERROR(IF(B334=C334,G334/C334,(INT(G334/B334)+(((G334-B334*INT(G334/B334)))/C334)/100))),0,(IF(B334=C334,G334/C334,(INT(G334/B334)+(((G334-B334*INT(G334/B334)))/C334)/100))))</f>
        <v>0</v>
      </c>
      <c r="AS334" s="57">
        <f>IF(ISERROR(IF(B334=C334,H334/C334,(INT(H334/B334)+(((H334-B334*INT(H334/B334)))/C334)/100))),0,(IF(B334=C334,H334/C334,(INT(H334/B334)+(((H334-B334*INT(H334/B334)))/C334)/100))))</f>
        <v>0</v>
      </c>
      <c r="AT334" s="57">
        <f>IF(ISERROR(IF(B334=C334,I334/C334,(INT(I334/B334)+(((I334-B334*INT(I334/B334)))/C334)/100))),0,(IF(B334=C334,I334/C334,(INT(I334/B334)+(((I334-B334*INT(I334/B334)))/C334)/100))))</f>
        <v>0</v>
      </c>
      <c r="AU334" s="57">
        <f>IF(ISERROR(IF(B334=C334,J334/C334,(INT(J334/B334)+(((J334-B334*INT(J334/B334)))/C334)/100))),0,(IF(B334=C334,J334/C334,(INT(J334/B334)+(((J334-B334*INT(J334/B334)))/C334)/100))))</f>
        <v>0</v>
      </c>
      <c r="AV334" s="57">
        <f>IF(ISERROR(IF(B334=C334,K334/C334,IF((INT(K334/B334)+(((K334-B334*INT(K334/B334)))/C334)/100)&lt;0,(INT(K334/B334)+(((K334-B334*INT(K334/B334)))/C334)/100)+(1-(B334/C334/100)),(INT(K334/B334)+(((K334-B334*INT(K334/B334)))/C334)/100)))),0,IF(B334=C334,K334/C334,IF((INT(K334/B334)+(((K334-B334*INT(K334/B334)))/C334)/100)&lt;0,(INT(K334/B334)+(((K334-B334*INT(K334/B334)))/C334)/100)+(1-(B334/C334/100)),(INT(K334/B334)+(((K334-B334*INT(K334/B334)))/C334)/100))))</f>
        <v>0</v>
      </c>
      <c r="AW334" s="57">
        <f>IF(ISERROR(IF(B334=C334,L334/C334,(INT(L334/B334)+(((L334-B334*INT(L334/B334)))/C334)/100))),0,(IF(B334=C334,L334/C334,(INT(L334/B334)+(((L334-B334*INT(L334/B334)))/C334)/100))))</f>
        <v>0</v>
      </c>
      <c r="AX334" s="57">
        <f>IF(ISERROR(IF(B334=C334,M334/C334,(INT(M334/B334)+(((M334-B334*INT(M334/B334)))/C334)/100))),0,(IF(B334=C334,M334/C334,(INT(M334/B334)+(((M334-B334*INT(M334/B334)))/C334)/100))))</f>
        <v>0</v>
      </c>
      <c r="AY334" s="57">
        <f>IF(ISERROR(IF(B334=C334,N334/C334,IF((INT(N334/B334)+(((N334-B334*INT(N334/B334)))/C334)/100)&lt;0,(INT(N334/B334)+(((N334-B334*INT(N334/B334)))/C334)/100)+(1-(B334/C334/100)),(INT(N334/B334)+(((N334-B334*INT(N334/B334)))/C334)/100)))),0,IF(B334=C334,N334/C334,IF((INT(N334/B334)+(((N334-B334*INT(N334/B334)))/C334)/100)&lt;0,(INT(N334/B334)+(((N334-B334*INT(N334/B334)))/C334)/100)+(1-(B334/C334/100)),(INT(N334/B334)+(((N334-B334*INT(N334/B334)))/C334)/100))))</f>
        <v>0</v>
      </c>
      <c r="AZ334" s="57">
        <f>IF(ISERROR(IF(B334=C334,O334/C334,(INT(O334/B334)+(((O334-B334*INT(O334/B334)))/C334)/100))),0,(IF(B334=C334,O334/C334,(INT(O334/B334)+(((O334-B334*INT(O334/B334)))/C334)/100))))</f>
        <v>0</v>
      </c>
      <c r="BA334" s="57">
        <f>IF(ISERROR(IF(B334=C334,P334/C334,IF((INT(P334/B334)+(((P334-B334*INT(P334/B334)))/C334)/100)&lt;0,(INT(P334/B334)+(((P334-B334*INT(P334/B334)))/C334)/100)+(1-(B334/C334/100)),(INT(P334/B334)+(((P334-B334*INT(P334/B334)))/C334)/100)))),0,IF(B334=C334,P334/C334,IF((INT(P334/B334)+(((P334-B334*INT(P334/B334)))/C334)/100)&lt;0,(INT(P334/B334)+(((P334-B334*INT(P334/B334)))/C334)/100)+(1-(B334/C334/100)),(INT(P334/B334)+(((P334-B334*INT(P334/B334)))/C334)/100))))</f>
        <v>0</v>
      </c>
      <c r="BB334" s="28">
        <f>R334</f>
        <v>0</v>
      </c>
      <c r="BC334" s="28">
        <f>S334</f>
        <v>0</v>
      </c>
      <c r="BD334" s="28">
        <f>AF334</f>
        <v>0</v>
      </c>
      <c r="BE334" s="28">
        <f>T334</f>
        <v>0</v>
      </c>
      <c r="BG334" s="57">
        <f>IF(ISERROR(IF(B334=C334,V334/C334,(INT(V334/B334)+(((V334-B334*INT(V334/B334)))/C334)/100))),0,(IF(B334=C334,V334/C334,(INT(V334/B334)+(((V334-B334*INT(V334/B334)))/C334)/100))))</f>
        <v>0</v>
      </c>
      <c r="BH334" s="57">
        <f>IF(ISERROR(IF(B334=C334,W334/C334,(INT(W334/B334)+(((W334-B334*INT(W334/B334)))/C334)/100))),0,(IF(B334=C334,W334/C334,(INT(W334/B334)+(((W334-B334*INT(W334/B334)))/C334)/100))))</f>
        <v>0</v>
      </c>
      <c r="BI334" s="57">
        <f>IF(ISERROR(IF(B334=C334,X334/C334,(INT(X334/B334)+(((X334-B334*INT(X334/B334)))/C334)/100))),0,(IF(B334=C334,X334/C334,(INT(X334/B334)+(((X334-B334*INT(X334/B334)))/C334)/100))))</f>
        <v>0</v>
      </c>
      <c r="BJ334" s="57">
        <f>IF(ISERROR(IF(B334=C334,Y334/C334,(INT(Y334/B334)+(((Y334-B334*INT(Y334/B334)))/C334)/100))),0,(IF(B334=C334,Y334/C334,(INT(Y334/B334)+(((Y334-B334*INT(Y334/B334)))/C334)/100))))</f>
        <v>0</v>
      </c>
      <c r="BL334" s="57">
        <f>IF(ISERROR(IF(B334=C334,AA334/C334,(INT(AA334/B334)+(((AA334-B334*INT(AA334/B334)))/C334)/100))),0,(IF(B334=C334,AA334/C334,(INT(AA334/B334)+(((AA334-B334*INT(AA334/B334)))/C334)/100))))</f>
        <v>0</v>
      </c>
      <c r="BM334" s="57">
        <f>IF(ISERROR(IF(B334=C334,AB334/C334,(INT(AB334/B334)+(((AB334-B334*INT(AB334/B334)))/C334)/100))),0,(IF(B334=C334,AB334/C334,(INT(AB334/B334)+(((AB334-B334*INT(AB334/B334)))/C334)/100))))</f>
        <v>0</v>
      </c>
      <c r="BN334" s="57">
        <f>IF(ISERROR(IF(B334=C334,AC334/C334,(INT(AC334/B334)+(((AC334-B334*INT(AC334/B334)))/C334)/100))),0,(IF(B334=C334,AC334/C334,(INT(AC334/B334)+(((AC334-B334*INT(AC334/B334)))/C334)/100))))</f>
        <v>0</v>
      </c>
      <c r="BO334" s="57">
        <f>IF(ISERROR(IF(B334=C334,AD334/C334,(INT(AD334/B334)+(((AD334-B334*INT(AD334/B334)))/C334)/100))),0,(IF(B334=C334,AD334/C334,(INT(AD334/B334)+(((AD334-B334*INT(AD334/B334)))/C334)/100))))</f>
        <v>0</v>
      </c>
      <c r="BQ334" s="155"/>
    </row>
    <row r="335" spans="1:69" hidden="1" x14ac:dyDescent="0.35">
      <c r="A335" s="94"/>
      <c r="B335" s="113">
        <v>0</v>
      </c>
      <c r="C335" s="113">
        <v>0</v>
      </c>
      <c r="D335" s="28">
        <f>SUM(AA335:AD335)</f>
        <v>0</v>
      </c>
      <c r="E335" s="113">
        <v>0</v>
      </c>
      <c r="F335" s="113">
        <v>0</v>
      </c>
      <c r="G335" s="28">
        <f>SUM(D335:F335)</f>
        <v>0</v>
      </c>
      <c r="H335" s="125">
        <v>0</v>
      </c>
      <c r="I335" s="113">
        <v>0</v>
      </c>
      <c r="J335" s="125">
        <v>0</v>
      </c>
      <c r="K335" s="113">
        <v>0</v>
      </c>
      <c r="L335" s="113">
        <v>0</v>
      </c>
      <c r="M335" s="113">
        <v>0</v>
      </c>
      <c r="N335" s="28">
        <f>G335-SUM(H335:M335)</f>
        <v>0</v>
      </c>
      <c r="O335" s="28">
        <f>SUM(V335:Y335)</f>
        <v>0</v>
      </c>
      <c r="P335" s="28">
        <f>O335-N335</f>
        <v>0</v>
      </c>
      <c r="Q335" s="61" t="str">
        <f>IF(ISERROR(P335/SUM(H335:L335)),"",P335/SUM(H335:L335))</f>
        <v/>
      </c>
      <c r="R335" s="113">
        <v>0</v>
      </c>
      <c r="S335" s="28">
        <f>IF(ISERROR(P335/C335*R335),0,(P335/C335*R335))</f>
        <v>0</v>
      </c>
      <c r="T335" s="60">
        <f>IF(ISERROR(P335/B335*AF335),0,(P335/B335*AF335))</f>
        <v>0</v>
      </c>
      <c r="V335" s="113">
        <v>0</v>
      </c>
      <c r="W335" s="113">
        <v>0</v>
      </c>
      <c r="X335" s="113">
        <v>0</v>
      </c>
      <c r="Y335" s="113">
        <v>0</v>
      </c>
      <c r="AA335" s="113">
        <v>0</v>
      </c>
      <c r="AB335" s="113">
        <v>0</v>
      </c>
      <c r="AC335" s="113">
        <v>0</v>
      </c>
      <c r="AD335" s="113">
        <v>0</v>
      </c>
      <c r="AF335" s="113">
        <v>0</v>
      </c>
      <c r="AG335" s="28">
        <f>G335-O335</f>
        <v>0</v>
      </c>
      <c r="AH335" s="58">
        <f>IF(ISERROR(AG335/B335*AF335),0,(AG335/B335*AF335))</f>
        <v>0</v>
      </c>
      <c r="AI335" s="28">
        <f>SUM(H335:M335)</f>
        <v>0</v>
      </c>
      <c r="AJ335" s="28">
        <f>IF(ISERROR(AI335/B335*AF335),0,(AI335/B335*AF335))</f>
        <v>0</v>
      </c>
      <c r="AK335" s="58">
        <f>IF(ISERROR(O335/B335*AF335),0,(O335/B335*AF335))</f>
        <v>0</v>
      </c>
      <c r="AL335" s="28">
        <f>IF(ISERROR(H335/B335*AF335),0,(H335/B335*AF335))</f>
        <v>0</v>
      </c>
      <c r="AN335" s="51">
        <f>A335</f>
        <v>0</v>
      </c>
      <c r="AO335" s="57">
        <f>IF(ISERROR(IF(B335=C335,D335/C335,(INT(D335/B335)+(((D335-B335*INT(D335/B335)))/C335)/100))),0,(IF(B335=C335,D335/C335,(INT(D335/B335)+(((D335-B335*INT(D335/B335)))/C335)/100))))</f>
        <v>0</v>
      </c>
      <c r="AP335" s="57">
        <f>IF(ISERROR(IF(B335=C335,E335/C335,(INT(E335/B335)+(((E335-B335*INT(E335/B335)))/C335)/100))),0,(IF(B335=C335,E335/C335,(INT(E335/B335)+(((E335-B335*INT(E335/B335)))/C335)/100))))</f>
        <v>0</v>
      </c>
      <c r="AQ335" s="57">
        <f>IF(ISERROR(IF(B335=C335,F335/C335,IF((INT(F335/B335)+(((F335-B335*INT(F335/B335)))/C335)/100)&lt;0,(INT(F335/B335)+(((F335-B335*INT(F335/B335)))/C335)/100)+(1-(B335/C335/100)),(INT(F335/B335)+(((F335-B335*INT(F335/B335)))/C335)/100)))),0,IF(B335=C335,F335/C335,IF((INT(F335/B335)+(((F335-B335*INT(F335/B335)))/C335)/100)&lt;0,(INT(F335/B335)+(((F335-B335*INT(F335/B335)))/C335)/100)+(1-(B335/C335/100)),(INT(F335/B335)+(((F335-B335*INT(F335/B335)))/C335)/100))))</f>
        <v>0</v>
      </c>
      <c r="AR335" s="57">
        <f>IF(ISERROR(IF(B335=C335,G335/C335,(INT(G335/B335)+(((G335-B335*INT(G335/B335)))/C335)/100))),0,(IF(B335=C335,G335/C335,(INT(G335/B335)+(((G335-B335*INT(G335/B335)))/C335)/100))))</f>
        <v>0</v>
      </c>
      <c r="AS335" s="57">
        <f>IF(ISERROR(IF(B335=C335,H335/C335,(INT(H335/B335)+(((H335-B335*INT(H335/B335)))/C335)/100))),0,(IF(B335=C335,H335/C335,(INT(H335/B335)+(((H335-B335*INT(H335/B335)))/C335)/100))))</f>
        <v>0</v>
      </c>
      <c r="AT335" s="57">
        <f>IF(ISERROR(IF(B335=C335,I335/C335,(INT(I335/B335)+(((I335-B335*INT(I335/B335)))/C335)/100))),0,(IF(B335=C335,I335/C335,(INT(I335/B335)+(((I335-B335*INT(I335/B335)))/C335)/100))))</f>
        <v>0</v>
      </c>
      <c r="AU335" s="57">
        <f>IF(ISERROR(IF(B335=C335,J335/C335,(INT(J335/B335)+(((J335-B335*INT(J335/B335)))/C335)/100))),0,(IF(B335=C335,J335/C335,(INT(J335/B335)+(((J335-B335*INT(J335/B335)))/C335)/100))))</f>
        <v>0</v>
      </c>
      <c r="AV335" s="57">
        <f>IF(ISERROR(IF(B335=C335,K335/C335,IF((INT(K335/B335)+(((K335-B335*INT(K335/B335)))/C335)/100)&lt;0,(INT(K335/B335)+(((K335-B335*INT(K335/B335)))/C335)/100)+(1-(B335/C335/100)),(INT(K335/B335)+(((K335-B335*INT(K335/B335)))/C335)/100)))),0,IF(B335=C335,K335/C335,IF((INT(K335/B335)+(((K335-B335*INT(K335/B335)))/C335)/100)&lt;0,(INT(K335/B335)+(((K335-B335*INT(K335/B335)))/C335)/100)+(1-(B335/C335/100)),(INT(K335/B335)+(((K335-B335*INT(K335/B335)))/C335)/100))))</f>
        <v>0</v>
      </c>
      <c r="AW335" s="57">
        <f>IF(ISERROR(IF(B335=C335,L335/C335,(INT(L335/B335)+(((L335-B335*INT(L335/B335)))/C335)/100))),0,(IF(B335=C335,L335/C335,(INT(L335/B335)+(((L335-B335*INT(L335/B335)))/C335)/100))))</f>
        <v>0</v>
      </c>
      <c r="AX335" s="57">
        <f>IF(ISERROR(IF(B335=C335,M335/C335,(INT(M335/B335)+(((M335-B335*INT(M335/B335)))/C335)/100))),0,(IF(B335=C335,M335/C335,(INT(M335/B335)+(((M335-B335*INT(M335/B335)))/C335)/100))))</f>
        <v>0</v>
      </c>
      <c r="AY335" s="57">
        <f>IF(ISERROR(IF(B335=C335,N335/C335,IF((INT(N335/B335)+(((N335-B335*INT(N335/B335)))/C335)/100)&lt;0,(INT(N335/B335)+(((N335-B335*INT(N335/B335)))/C335)/100)+(1-(B335/C335/100)),(INT(N335/B335)+(((N335-B335*INT(N335/B335)))/C335)/100)))),0,IF(B335=C335,N335/C335,IF((INT(N335/B335)+(((N335-B335*INT(N335/B335)))/C335)/100)&lt;0,(INT(N335/B335)+(((N335-B335*INT(N335/B335)))/C335)/100)+(1-(B335/C335/100)),(INT(N335/B335)+(((N335-B335*INT(N335/B335)))/C335)/100))))</f>
        <v>0</v>
      </c>
      <c r="AZ335" s="57">
        <f>IF(ISERROR(IF(B335=C335,O335/C335,(INT(O335/B335)+(((O335-B335*INT(O335/B335)))/C335)/100))),0,(IF(B335=C335,O335/C335,(INT(O335/B335)+(((O335-B335*INT(O335/B335)))/C335)/100))))</f>
        <v>0</v>
      </c>
      <c r="BA335" s="57">
        <f>IF(ISERROR(IF(B335=C335,P335/C335,IF((INT(P335/B335)+(((P335-B335*INT(P335/B335)))/C335)/100)&lt;0,(INT(P335/B335)+(((P335-B335*INT(P335/B335)))/C335)/100)+(1-(B335/C335/100)),(INT(P335/B335)+(((P335-B335*INT(P335/B335)))/C335)/100)))),0,IF(B335=C335,P335/C335,IF((INT(P335/B335)+(((P335-B335*INT(P335/B335)))/C335)/100)&lt;0,(INT(P335/B335)+(((P335-B335*INT(P335/B335)))/C335)/100)+(1-(B335/C335/100)),(INT(P335/B335)+(((P335-B335*INT(P335/B335)))/C335)/100))))</f>
        <v>0</v>
      </c>
      <c r="BB335" s="28">
        <f>R335</f>
        <v>0</v>
      </c>
      <c r="BC335" s="28">
        <f>S335</f>
        <v>0</v>
      </c>
      <c r="BD335" s="28">
        <f>AF335</f>
        <v>0</v>
      </c>
      <c r="BE335" s="28">
        <f>T335</f>
        <v>0</v>
      </c>
      <c r="BG335" s="57">
        <f>IF(ISERROR(IF(B335=C335,V335/C335,(INT(V335/B335)+(((V335-B335*INT(V335/B335)))/C335)/100))),0,(IF(B335=C335,V335/C335,(INT(V335/B335)+(((V335-B335*INT(V335/B335)))/C335)/100))))</f>
        <v>0</v>
      </c>
      <c r="BH335" s="57">
        <f>IF(ISERROR(IF(B335=C335,W335/C335,(INT(W335/B335)+(((W335-B335*INT(W335/B335)))/C335)/100))),0,(IF(B335=C335,W335/C335,(INT(W335/B335)+(((W335-B335*INT(W335/B335)))/C335)/100))))</f>
        <v>0</v>
      </c>
      <c r="BI335" s="57">
        <f>IF(ISERROR(IF(B335=C335,X335/C335,(INT(X335/B335)+(((X335-B335*INT(X335/B335)))/C335)/100))),0,(IF(B335=C335,X335/C335,(INT(X335/B335)+(((X335-B335*INT(X335/B335)))/C335)/100))))</f>
        <v>0</v>
      </c>
      <c r="BJ335" s="57">
        <f>IF(ISERROR(IF(B335=C335,Y335/C335,(INT(Y335/B335)+(((Y335-B335*INT(Y335/B335)))/C335)/100))),0,(IF(B335=C335,Y335/C335,(INT(Y335/B335)+(((Y335-B335*INT(Y335/B335)))/C335)/100))))</f>
        <v>0</v>
      </c>
      <c r="BL335" s="57">
        <f>IF(ISERROR(IF(B335=C335,AA335/C335,(INT(AA335/B335)+(((AA335-B335*INT(AA335/B335)))/C335)/100))),0,(IF(B335=C335,AA335/C335,(INT(AA335/B335)+(((AA335-B335*INT(AA335/B335)))/C335)/100))))</f>
        <v>0</v>
      </c>
      <c r="BM335" s="57">
        <f>IF(ISERROR(IF(B335=C335,AB335/C335,(INT(AB335/B335)+(((AB335-B335*INT(AB335/B335)))/C335)/100))),0,(IF(B335=C335,AB335/C335,(INT(AB335/B335)+(((AB335-B335*INT(AB335/B335)))/C335)/100))))</f>
        <v>0</v>
      </c>
      <c r="BN335" s="57">
        <f>IF(ISERROR(IF(B335=C335,AC335/C335,(INT(AC335/B335)+(((AC335-B335*INT(AC335/B335)))/C335)/100))),0,(IF(B335=C335,AC335/C335,(INT(AC335/B335)+(((AC335-B335*INT(AC335/B335)))/C335)/100))))</f>
        <v>0</v>
      </c>
      <c r="BO335" s="57">
        <f>IF(ISERROR(IF(B335=C335,AD335/C335,(INT(AD335/B335)+(((AD335-B335*INT(AD335/B335)))/C335)/100))),0,(IF(B335=C335,AD335/C335,(INT(AD335/B335)+(((AD335-B335*INT(AD335/B335)))/C335)/100))))</f>
        <v>0</v>
      </c>
      <c r="BQ335" s="155"/>
    </row>
    <row r="336" spans="1:69" hidden="1" x14ac:dyDescent="0.35">
      <c r="A336" s="94"/>
      <c r="B336" s="113">
        <v>0</v>
      </c>
      <c r="C336" s="113">
        <v>0</v>
      </c>
      <c r="D336" s="28">
        <f>SUM(AA336:AD336)</f>
        <v>0</v>
      </c>
      <c r="E336" s="113">
        <v>0</v>
      </c>
      <c r="F336" s="113">
        <v>0</v>
      </c>
      <c r="G336" s="28">
        <f>SUM(D336:F336)</f>
        <v>0</v>
      </c>
      <c r="H336" s="125">
        <v>0</v>
      </c>
      <c r="I336" s="113">
        <v>0</v>
      </c>
      <c r="J336" s="125">
        <v>0</v>
      </c>
      <c r="K336" s="113">
        <v>0</v>
      </c>
      <c r="L336" s="113">
        <v>0</v>
      </c>
      <c r="M336" s="113">
        <v>0</v>
      </c>
      <c r="N336" s="28">
        <f>G336-SUM(H336:M336)</f>
        <v>0</v>
      </c>
      <c r="O336" s="28">
        <f>SUM(V336:Y336)</f>
        <v>0</v>
      </c>
      <c r="P336" s="28">
        <f>O336-N336</f>
        <v>0</v>
      </c>
      <c r="Q336" s="61" t="str">
        <f>IF(ISERROR(P336/SUM(H336:L336)),"",P336/SUM(H336:L336))</f>
        <v/>
      </c>
      <c r="R336" s="113">
        <v>0</v>
      </c>
      <c r="S336" s="28">
        <f>IF(ISERROR(P336/C336*R336),0,(P336/C336*R336))</f>
        <v>0</v>
      </c>
      <c r="T336" s="60">
        <f>IF(ISERROR(P336/B336*AF336),0,(P336/B336*AF336))</f>
        <v>0</v>
      </c>
      <c r="V336" s="113">
        <v>0</v>
      </c>
      <c r="W336" s="113">
        <v>0</v>
      </c>
      <c r="X336" s="113">
        <v>0</v>
      </c>
      <c r="Y336" s="113">
        <v>0</v>
      </c>
      <c r="AA336" s="113">
        <v>0</v>
      </c>
      <c r="AB336" s="113">
        <v>0</v>
      </c>
      <c r="AC336" s="113">
        <v>0</v>
      </c>
      <c r="AD336" s="113">
        <v>0</v>
      </c>
      <c r="AF336" s="113">
        <v>0</v>
      </c>
      <c r="AG336" s="28">
        <f>G336-O336</f>
        <v>0</v>
      </c>
      <c r="AH336" s="58">
        <f>IF(ISERROR(AG336/B336*AF336),0,(AG336/B336*AF336))</f>
        <v>0</v>
      </c>
      <c r="AI336" s="28">
        <f>SUM(H336:M336)</f>
        <v>0</v>
      </c>
      <c r="AJ336" s="28">
        <f>IF(ISERROR(AI336/B336*AF336),0,(AI336/B336*AF336))</f>
        <v>0</v>
      </c>
      <c r="AK336" s="58">
        <f>IF(ISERROR(O336/B336*AF336),0,(O336/B336*AF336))</f>
        <v>0</v>
      </c>
      <c r="AL336" s="28">
        <f>IF(ISERROR(H336/B336*AF336),0,(H336/B336*AF336))</f>
        <v>0</v>
      </c>
      <c r="AN336" s="51">
        <f>A336</f>
        <v>0</v>
      </c>
      <c r="AO336" s="57">
        <f>IF(ISERROR(IF(B336=C336,D336/C336,(INT(D336/B336)+(((D336-B336*INT(D336/B336)))/C336)/100))),0,(IF(B336=C336,D336/C336,(INT(D336/B336)+(((D336-B336*INT(D336/B336)))/C336)/100))))</f>
        <v>0</v>
      </c>
      <c r="AP336" s="57">
        <f>IF(ISERROR(IF(B336=C336,E336/C336,(INT(E336/B336)+(((E336-B336*INT(E336/B336)))/C336)/100))),0,(IF(B336=C336,E336/C336,(INT(E336/B336)+(((E336-B336*INT(E336/B336)))/C336)/100))))</f>
        <v>0</v>
      </c>
      <c r="AQ336" s="57">
        <f>IF(ISERROR(IF(B336=C336,F336/C336,IF((INT(F336/B336)+(((F336-B336*INT(F336/B336)))/C336)/100)&lt;0,(INT(F336/B336)+(((F336-B336*INT(F336/B336)))/C336)/100)+(1-(B336/C336/100)),(INT(F336/B336)+(((F336-B336*INT(F336/B336)))/C336)/100)))),0,IF(B336=C336,F336/C336,IF((INT(F336/B336)+(((F336-B336*INT(F336/B336)))/C336)/100)&lt;0,(INT(F336/B336)+(((F336-B336*INT(F336/B336)))/C336)/100)+(1-(B336/C336/100)),(INT(F336/B336)+(((F336-B336*INT(F336/B336)))/C336)/100))))</f>
        <v>0</v>
      </c>
      <c r="AR336" s="57">
        <f>IF(ISERROR(IF(B336=C336,G336/C336,(INT(G336/B336)+(((G336-B336*INT(G336/B336)))/C336)/100))),0,(IF(B336=C336,G336/C336,(INT(G336/B336)+(((G336-B336*INT(G336/B336)))/C336)/100))))</f>
        <v>0</v>
      </c>
      <c r="AS336" s="57">
        <f>IF(ISERROR(IF(B336=C336,H336/C336,(INT(H336/B336)+(((H336-B336*INT(H336/B336)))/C336)/100))),0,(IF(B336=C336,H336/C336,(INT(H336/B336)+(((H336-B336*INT(H336/B336)))/C336)/100))))</f>
        <v>0</v>
      </c>
      <c r="AT336" s="57">
        <f>IF(ISERROR(IF(B336=C336,I336/C336,(INT(I336/B336)+(((I336-B336*INT(I336/B336)))/C336)/100))),0,(IF(B336=C336,I336/C336,(INT(I336/B336)+(((I336-B336*INT(I336/B336)))/C336)/100))))</f>
        <v>0</v>
      </c>
      <c r="AU336" s="57">
        <f>IF(ISERROR(IF(B336=C336,J336/C336,(INT(J336/B336)+(((J336-B336*INT(J336/B336)))/C336)/100))),0,(IF(B336=C336,J336/C336,(INT(J336/B336)+(((J336-B336*INT(J336/B336)))/C336)/100))))</f>
        <v>0</v>
      </c>
      <c r="AV336" s="57">
        <f>IF(ISERROR(IF(B336=C336,K336/C336,IF((INT(K336/B336)+(((K336-B336*INT(K336/B336)))/C336)/100)&lt;0,(INT(K336/B336)+(((K336-B336*INT(K336/B336)))/C336)/100)+(1-(B336/C336/100)),(INT(K336/B336)+(((K336-B336*INT(K336/B336)))/C336)/100)))),0,IF(B336=C336,K336/C336,IF((INT(K336/B336)+(((K336-B336*INT(K336/B336)))/C336)/100)&lt;0,(INT(K336/B336)+(((K336-B336*INT(K336/B336)))/C336)/100)+(1-(B336/C336/100)),(INT(K336/B336)+(((K336-B336*INT(K336/B336)))/C336)/100))))</f>
        <v>0</v>
      </c>
      <c r="AW336" s="57">
        <f>IF(ISERROR(IF(B336=C336,L336/C336,(INT(L336/B336)+(((L336-B336*INT(L336/B336)))/C336)/100))),0,(IF(B336=C336,L336/C336,(INT(L336/B336)+(((L336-B336*INT(L336/B336)))/C336)/100))))</f>
        <v>0</v>
      </c>
      <c r="AX336" s="57">
        <f>IF(ISERROR(IF(B336=C336,M336/C336,(INT(M336/B336)+(((M336-B336*INT(M336/B336)))/C336)/100))),0,(IF(B336=C336,M336/C336,(INT(M336/B336)+(((M336-B336*INT(M336/B336)))/C336)/100))))</f>
        <v>0</v>
      </c>
      <c r="AY336" s="57">
        <f>IF(ISERROR(IF(B336=C336,N336/C336,IF((INT(N336/B336)+(((N336-B336*INT(N336/B336)))/C336)/100)&lt;0,(INT(N336/B336)+(((N336-B336*INT(N336/B336)))/C336)/100)+(1-(B336/C336/100)),(INT(N336/B336)+(((N336-B336*INT(N336/B336)))/C336)/100)))),0,IF(B336=C336,N336/C336,IF((INT(N336/B336)+(((N336-B336*INT(N336/B336)))/C336)/100)&lt;0,(INT(N336/B336)+(((N336-B336*INT(N336/B336)))/C336)/100)+(1-(B336/C336/100)),(INT(N336/B336)+(((N336-B336*INT(N336/B336)))/C336)/100))))</f>
        <v>0</v>
      </c>
      <c r="AZ336" s="57">
        <f>IF(ISERROR(IF(B336=C336,O336/C336,(INT(O336/B336)+(((O336-B336*INT(O336/B336)))/C336)/100))),0,(IF(B336=C336,O336/C336,(INT(O336/B336)+(((O336-B336*INT(O336/B336)))/C336)/100))))</f>
        <v>0</v>
      </c>
      <c r="BA336" s="57">
        <f>IF(ISERROR(IF(B336=C336,P336/C336,IF((INT(P336/B336)+(((P336-B336*INT(P336/B336)))/C336)/100)&lt;0,(INT(P336/B336)+(((P336-B336*INT(P336/B336)))/C336)/100)+(1-(B336/C336/100)),(INT(P336/B336)+(((P336-B336*INT(P336/B336)))/C336)/100)))),0,IF(B336=C336,P336/C336,IF((INT(P336/B336)+(((P336-B336*INT(P336/B336)))/C336)/100)&lt;0,(INT(P336/B336)+(((P336-B336*INT(P336/B336)))/C336)/100)+(1-(B336/C336/100)),(INT(P336/B336)+(((P336-B336*INT(P336/B336)))/C336)/100))))</f>
        <v>0</v>
      </c>
      <c r="BB336" s="28">
        <f>R336</f>
        <v>0</v>
      </c>
      <c r="BC336" s="28">
        <f>S336</f>
        <v>0</v>
      </c>
      <c r="BD336" s="28">
        <f>AF336</f>
        <v>0</v>
      </c>
      <c r="BE336" s="28">
        <f>T336</f>
        <v>0</v>
      </c>
      <c r="BG336" s="57">
        <f>IF(ISERROR(IF(B336=C336,V336/C336,(INT(V336/B336)+(((V336-B336*INT(V336/B336)))/C336)/100))),0,(IF(B336=C336,V336/C336,(INT(V336/B336)+(((V336-B336*INT(V336/B336)))/C336)/100))))</f>
        <v>0</v>
      </c>
      <c r="BH336" s="57">
        <f>IF(ISERROR(IF(B336=C336,W336/C336,(INT(W336/B336)+(((W336-B336*INT(W336/B336)))/C336)/100))),0,(IF(B336=C336,W336/C336,(INT(W336/B336)+(((W336-B336*INT(W336/B336)))/C336)/100))))</f>
        <v>0</v>
      </c>
      <c r="BI336" s="57">
        <f>IF(ISERROR(IF(B336=C336,X336/C336,(INT(X336/B336)+(((X336-B336*INT(X336/B336)))/C336)/100))),0,(IF(B336=C336,X336/C336,(INT(X336/B336)+(((X336-B336*INT(X336/B336)))/C336)/100))))</f>
        <v>0</v>
      </c>
      <c r="BJ336" s="57">
        <f>IF(ISERROR(IF(B336=C336,Y336/C336,(INT(Y336/B336)+(((Y336-B336*INT(Y336/B336)))/C336)/100))),0,(IF(B336=C336,Y336/C336,(INT(Y336/B336)+(((Y336-B336*INT(Y336/B336)))/C336)/100))))</f>
        <v>0</v>
      </c>
      <c r="BL336" s="57">
        <f>IF(ISERROR(IF(B336=C336,AA336/C336,(INT(AA336/B336)+(((AA336-B336*INT(AA336/B336)))/C336)/100))),0,(IF(B336=C336,AA336/C336,(INT(AA336/B336)+(((AA336-B336*INT(AA336/B336)))/C336)/100))))</f>
        <v>0</v>
      </c>
      <c r="BM336" s="57">
        <f>IF(ISERROR(IF(B336=C336,AB336/C336,(INT(AB336/B336)+(((AB336-B336*INT(AB336/B336)))/C336)/100))),0,(IF(B336=C336,AB336/C336,(INT(AB336/B336)+(((AB336-B336*INT(AB336/B336)))/C336)/100))))</f>
        <v>0</v>
      </c>
      <c r="BN336" s="57">
        <f>IF(ISERROR(IF(B336=C336,AC336/C336,(INT(AC336/B336)+(((AC336-B336*INT(AC336/B336)))/C336)/100))),0,(IF(B336=C336,AC336/C336,(INT(AC336/B336)+(((AC336-B336*INT(AC336/B336)))/C336)/100))))</f>
        <v>0</v>
      </c>
      <c r="BO336" s="57">
        <f>IF(ISERROR(IF(B336=C336,AD336/C336,(INT(AD336/B336)+(((AD336-B336*INT(AD336/B336)))/C336)/100))),0,(IF(B336=C336,AD336/C336,(INT(AD336/B336)+(((AD336-B336*INT(AD336/B336)))/C336)/100))))</f>
        <v>0</v>
      </c>
      <c r="BQ336" s="155"/>
    </row>
    <row r="337" spans="1:69" hidden="1" x14ac:dyDescent="0.35">
      <c r="A337" s="94"/>
      <c r="B337" s="113">
        <v>0</v>
      </c>
      <c r="C337" s="113">
        <v>0</v>
      </c>
      <c r="D337" s="28">
        <f>SUM(AA337:AD337)</f>
        <v>0</v>
      </c>
      <c r="E337" s="113">
        <v>0</v>
      </c>
      <c r="F337" s="113">
        <v>0</v>
      </c>
      <c r="G337" s="28">
        <f>SUM(D337:F337)</f>
        <v>0</v>
      </c>
      <c r="H337" s="125">
        <v>0</v>
      </c>
      <c r="I337" s="113">
        <v>0</v>
      </c>
      <c r="J337" s="125">
        <v>0</v>
      </c>
      <c r="K337" s="113">
        <v>0</v>
      </c>
      <c r="L337" s="113">
        <v>0</v>
      </c>
      <c r="M337" s="113">
        <v>0</v>
      </c>
      <c r="N337" s="28">
        <f>G337-SUM(H337:M337)</f>
        <v>0</v>
      </c>
      <c r="O337" s="28">
        <f>SUM(V337:Y337)</f>
        <v>0</v>
      </c>
      <c r="P337" s="28">
        <f>O337-N337</f>
        <v>0</v>
      </c>
      <c r="Q337" s="61" t="str">
        <f>IF(ISERROR(P337/SUM(H337:L337)),"",P337/SUM(H337:L337))</f>
        <v/>
      </c>
      <c r="R337" s="113">
        <v>0</v>
      </c>
      <c r="S337" s="28">
        <f>IF(ISERROR(P337/C337*R337),0,(P337/C337*R337))</f>
        <v>0</v>
      </c>
      <c r="T337" s="60">
        <f>IF(ISERROR(P337/B337*AF337),0,(P337/B337*AF337))</f>
        <v>0</v>
      </c>
      <c r="V337" s="113">
        <v>0</v>
      </c>
      <c r="W337" s="113">
        <v>0</v>
      </c>
      <c r="X337" s="113">
        <v>0</v>
      </c>
      <c r="Y337" s="113">
        <v>0</v>
      </c>
      <c r="AA337" s="113">
        <v>0</v>
      </c>
      <c r="AB337" s="113">
        <v>0</v>
      </c>
      <c r="AC337" s="113">
        <v>0</v>
      </c>
      <c r="AD337" s="113">
        <v>0</v>
      </c>
      <c r="AF337" s="113">
        <v>0</v>
      </c>
      <c r="AG337" s="28">
        <f>G337-O337</f>
        <v>0</v>
      </c>
      <c r="AH337" s="58">
        <f>IF(ISERROR(AG337/B337*AF337),0,(AG337/B337*AF337))</f>
        <v>0</v>
      </c>
      <c r="AI337" s="28">
        <f>SUM(H337:M337)</f>
        <v>0</v>
      </c>
      <c r="AJ337" s="28">
        <f>IF(ISERROR(AI337/B337*AF337),0,(AI337/B337*AF337))</f>
        <v>0</v>
      </c>
      <c r="AK337" s="58">
        <f>IF(ISERROR(O337/B337*AF337),0,(O337/B337*AF337))</f>
        <v>0</v>
      </c>
      <c r="AL337" s="28">
        <f>IF(ISERROR(H337/B337*AF337),0,(H337/B337*AF337))</f>
        <v>0</v>
      </c>
      <c r="AN337" s="51">
        <f>A337</f>
        <v>0</v>
      </c>
      <c r="AO337" s="57">
        <f>IF(ISERROR(IF(B337=C337,D337/C337,(INT(D337/B337)+(((D337-B337*INT(D337/B337)))/C337)/100))),0,(IF(B337=C337,D337/C337,(INT(D337/B337)+(((D337-B337*INT(D337/B337)))/C337)/100))))</f>
        <v>0</v>
      </c>
      <c r="AP337" s="57">
        <f>IF(ISERROR(IF(B337=C337,E337/C337,(INT(E337/B337)+(((E337-B337*INT(E337/B337)))/C337)/100))),0,(IF(B337=C337,E337/C337,(INT(E337/B337)+(((E337-B337*INT(E337/B337)))/C337)/100))))</f>
        <v>0</v>
      </c>
      <c r="AQ337" s="57">
        <f>IF(ISERROR(IF(B337=C337,F337/C337,IF((INT(F337/B337)+(((F337-B337*INT(F337/B337)))/C337)/100)&lt;0,(INT(F337/B337)+(((F337-B337*INT(F337/B337)))/C337)/100)+(1-(B337/C337/100)),(INT(F337/B337)+(((F337-B337*INT(F337/B337)))/C337)/100)))),0,IF(B337=C337,F337/C337,IF((INT(F337/B337)+(((F337-B337*INT(F337/B337)))/C337)/100)&lt;0,(INT(F337/B337)+(((F337-B337*INT(F337/B337)))/C337)/100)+(1-(B337/C337/100)),(INT(F337/B337)+(((F337-B337*INT(F337/B337)))/C337)/100))))</f>
        <v>0</v>
      </c>
      <c r="AR337" s="57">
        <f>IF(ISERROR(IF(B337=C337,G337/C337,(INT(G337/B337)+(((G337-B337*INT(G337/B337)))/C337)/100))),0,(IF(B337=C337,G337/C337,(INT(G337/B337)+(((G337-B337*INT(G337/B337)))/C337)/100))))</f>
        <v>0</v>
      </c>
      <c r="AS337" s="57">
        <f>IF(ISERROR(IF(B337=C337,H337/C337,(INT(H337/B337)+(((H337-B337*INT(H337/B337)))/C337)/100))),0,(IF(B337=C337,H337/C337,(INT(H337/B337)+(((H337-B337*INT(H337/B337)))/C337)/100))))</f>
        <v>0</v>
      </c>
      <c r="AT337" s="57">
        <f>IF(ISERROR(IF(B337=C337,I337/C337,(INT(I337/B337)+(((I337-B337*INT(I337/B337)))/C337)/100))),0,(IF(B337=C337,I337/C337,(INT(I337/B337)+(((I337-B337*INT(I337/B337)))/C337)/100))))</f>
        <v>0</v>
      </c>
      <c r="AU337" s="57">
        <f>IF(ISERROR(IF(B337=C337,J337/C337,(INT(J337/B337)+(((J337-B337*INT(J337/B337)))/C337)/100))),0,(IF(B337=C337,J337/C337,(INT(J337/B337)+(((J337-B337*INT(J337/B337)))/C337)/100))))</f>
        <v>0</v>
      </c>
      <c r="AV337" s="57">
        <f>IF(ISERROR(IF(B337=C337,K337/C337,IF((INT(K337/B337)+(((K337-B337*INT(K337/B337)))/C337)/100)&lt;0,(INT(K337/B337)+(((K337-B337*INT(K337/B337)))/C337)/100)+(1-(B337/C337/100)),(INT(K337/B337)+(((K337-B337*INT(K337/B337)))/C337)/100)))),0,IF(B337=C337,K337/C337,IF((INT(K337/B337)+(((K337-B337*INT(K337/B337)))/C337)/100)&lt;0,(INT(K337/B337)+(((K337-B337*INT(K337/B337)))/C337)/100)+(1-(B337/C337/100)),(INT(K337/B337)+(((K337-B337*INT(K337/B337)))/C337)/100))))</f>
        <v>0</v>
      </c>
      <c r="AW337" s="57">
        <f>IF(ISERROR(IF(B337=C337,L337/C337,(INT(L337/B337)+(((L337-B337*INT(L337/B337)))/C337)/100))),0,(IF(B337=C337,L337/C337,(INT(L337/B337)+(((L337-B337*INT(L337/B337)))/C337)/100))))</f>
        <v>0</v>
      </c>
      <c r="AX337" s="57">
        <f>IF(ISERROR(IF(B337=C337,M337/C337,(INT(M337/B337)+(((M337-B337*INT(M337/B337)))/C337)/100))),0,(IF(B337=C337,M337/C337,(INT(M337/B337)+(((M337-B337*INT(M337/B337)))/C337)/100))))</f>
        <v>0</v>
      </c>
      <c r="AY337" s="57">
        <f>IF(ISERROR(IF(B337=C337,N337/C337,IF((INT(N337/B337)+(((N337-B337*INT(N337/B337)))/C337)/100)&lt;0,(INT(N337/B337)+(((N337-B337*INT(N337/B337)))/C337)/100)+(1-(B337/C337/100)),(INT(N337/B337)+(((N337-B337*INT(N337/B337)))/C337)/100)))),0,IF(B337=C337,N337/C337,IF((INT(N337/B337)+(((N337-B337*INT(N337/B337)))/C337)/100)&lt;0,(INT(N337/B337)+(((N337-B337*INT(N337/B337)))/C337)/100)+(1-(B337/C337/100)),(INT(N337/B337)+(((N337-B337*INT(N337/B337)))/C337)/100))))</f>
        <v>0</v>
      </c>
      <c r="AZ337" s="57">
        <f>IF(ISERROR(IF(B337=C337,O337/C337,(INT(O337/B337)+(((O337-B337*INT(O337/B337)))/C337)/100))),0,(IF(B337=C337,O337/C337,(INT(O337/B337)+(((O337-B337*INT(O337/B337)))/C337)/100))))</f>
        <v>0</v>
      </c>
      <c r="BA337" s="57">
        <f>IF(ISERROR(IF(B337=C337,P337/C337,IF((INT(P337/B337)+(((P337-B337*INT(P337/B337)))/C337)/100)&lt;0,(INT(P337/B337)+(((P337-B337*INT(P337/B337)))/C337)/100)+(1-(B337/C337/100)),(INT(P337/B337)+(((P337-B337*INT(P337/B337)))/C337)/100)))),0,IF(B337=C337,P337/C337,IF((INT(P337/B337)+(((P337-B337*INT(P337/B337)))/C337)/100)&lt;0,(INT(P337/B337)+(((P337-B337*INT(P337/B337)))/C337)/100)+(1-(B337/C337/100)),(INT(P337/B337)+(((P337-B337*INT(P337/B337)))/C337)/100))))</f>
        <v>0</v>
      </c>
      <c r="BB337" s="28">
        <f>R337</f>
        <v>0</v>
      </c>
      <c r="BC337" s="28">
        <f>S337</f>
        <v>0</v>
      </c>
      <c r="BD337" s="28">
        <f>AF337</f>
        <v>0</v>
      </c>
      <c r="BE337" s="28">
        <f>T337</f>
        <v>0</v>
      </c>
      <c r="BG337" s="57">
        <f>IF(ISERROR(IF(B337=C337,V337/C337,(INT(V337/B337)+(((V337-B337*INT(V337/B337)))/C337)/100))),0,(IF(B337=C337,V337/C337,(INT(V337/B337)+(((V337-B337*INT(V337/B337)))/C337)/100))))</f>
        <v>0</v>
      </c>
      <c r="BH337" s="57">
        <f>IF(ISERROR(IF(B337=C337,W337/C337,(INT(W337/B337)+(((W337-B337*INT(W337/B337)))/C337)/100))),0,(IF(B337=C337,W337/C337,(INT(W337/B337)+(((W337-B337*INT(W337/B337)))/C337)/100))))</f>
        <v>0</v>
      </c>
      <c r="BI337" s="57">
        <f>IF(ISERROR(IF(B337=C337,X337/C337,(INT(X337/B337)+(((X337-B337*INT(X337/B337)))/C337)/100))),0,(IF(B337=C337,X337/C337,(INT(X337/B337)+(((X337-B337*INT(X337/B337)))/C337)/100))))</f>
        <v>0</v>
      </c>
      <c r="BJ337" s="57">
        <f>IF(ISERROR(IF(B337=C337,Y337/C337,(INT(Y337/B337)+(((Y337-B337*INT(Y337/B337)))/C337)/100))),0,(IF(B337=C337,Y337/C337,(INT(Y337/B337)+(((Y337-B337*INT(Y337/B337)))/C337)/100))))</f>
        <v>0</v>
      </c>
      <c r="BL337" s="57">
        <f>IF(ISERROR(IF(B337=C337,AA337/C337,(INT(AA337/B337)+(((AA337-B337*INT(AA337/B337)))/C337)/100))),0,(IF(B337=C337,AA337/C337,(INT(AA337/B337)+(((AA337-B337*INT(AA337/B337)))/C337)/100))))</f>
        <v>0</v>
      </c>
      <c r="BM337" s="57">
        <f>IF(ISERROR(IF(B337=C337,AB337/C337,(INT(AB337/B337)+(((AB337-B337*INT(AB337/B337)))/C337)/100))),0,(IF(B337=C337,AB337/C337,(INT(AB337/B337)+(((AB337-B337*INT(AB337/B337)))/C337)/100))))</f>
        <v>0</v>
      </c>
      <c r="BN337" s="57">
        <f>IF(ISERROR(IF(B337=C337,AC337/C337,(INT(AC337/B337)+(((AC337-B337*INT(AC337/B337)))/C337)/100))),0,(IF(B337=C337,AC337/C337,(INT(AC337/B337)+(((AC337-B337*INT(AC337/B337)))/C337)/100))))</f>
        <v>0</v>
      </c>
      <c r="BO337" s="57">
        <f>IF(ISERROR(IF(B337=C337,AD337/C337,(INT(AD337/B337)+(((AD337-B337*INT(AD337/B337)))/C337)/100))),0,(IF(B337=C337,AD337/C337,(INT(AD337/B337)+(((AD337-B337*INT(AD337/B337)))/C337)/100))))</f>
        <v>0</v>
      </c>
      <c r="BQ337" s="155"/>
    </row>
    <row r="338" spans="1:69" hidden="1" x14ac:dyDescent="0.35">
      <c r="A338" s="94"/>
      <c r="B338" s="113">
        <v>0</v>
      </c>
      <c r="C338" s="113">
        <v>0</v>
      </c>
      <c r="D338" s="28">
        <f>SUM(AA338:AD338)</f>
        <v>0</v>
      </c>
      <c r="E338" s="113">
        <v>0</v>
      </c>
      <c r="F338" s="113">
        <v>0</v>
      </c>
      <c r="G338" s="28">
        <f>SUM(D338:F338)</f>
        <v>0</v>
      </c>
      <c r="H338" s="125">
        <v>0</v>
      </c>
      <c r="I338" s="113">
        <v>0</v>
      </c>
      <c r="J338" s="125">
        <v>0</v>
      </c>
      <c r="K338" s="113">
        <v>0</v>
      </c>
      <c r="L338" s="113">
        <v>0</v>
      </c>
      <c r="M338" s="113">
        <v>0</v>
      </c>
      <c r="N338" s="28">
        <f>G338-SUM(H338:M338)</f>
        <v>0</v>
      </c>
      <c r="O338" s="28">
        <f>SUM(V338:Y338)</f>
        <v>0</v>
      </c>
      <c r="P338" s="28">
        <f>O338-N338</f>
        <v>0</v>
      </c>
      <c r="Q338" s="61" t="str">
        <f>IF(ISERROR(P338/SUM(H338:L338)),"",P338/SUM(H338:L338))</f>
        <v/>
      </c>
      <c r="R338" s="113">
        <v>0</v>
      </c>
      <c r="S338" s="28">
        <f>IF(ISERROR(P338/C338*R338),0,(P338/C338*R338))</f>
        <v>0</v>
      </c>
      <c r="T338" s="60">
        <f>IF(ISERROR(P338/B338*AF338),0,(P338/B338*AF338))</f>
        <v>0</v>
      </c>
      <c r="V338" s="113">
        <v>0</v>
      </c>
      <c r="W338" s="113">
        <v>0</v>
      </c>
      <c r="X338" s="113">
        <v>0</v>
      </c>
      <c r="Y338" s="113">
        <v>0</v>
      </c>
      <c r="AA338" s="113">
        <v>0</v>
      </c>
      <c r="AB338" s="113">
        <v>0</v>
      </c>
      <c r="AC338" s="113">
        <v>0</v>
      </c>
      <c r="AD338" s="113">
        <v>0</v>
      </c>
      <c r="AF338" s="113">
        <v>0</v>
      </c>
      <c r="AG338" s="28">
        <f>G338-O338</f>
        <v>0</v>
      </c>
      <c r="AH338" s="58">
        <f>IF(ISERROR(AG338/B338*AF338),0,(AG338/B338*AF338))</f>
        <v>0</v>
      </c>
      <c r="AI338" s="28">
        <f>SUM(H338:M338)</f>
        <v>0</v>
      </c>
      <c r="AJ338" s="28">
        <f>IF(ISERROR(AI338/B338*AF338),0,(AI338/B338*AF338))</f>
        <v>0</v>
      </c>
      <c r="AK338" s="58">
        <f>IF(ISERROR(O338/B338*AF338),0,(O338/B338*AF338))</f>
        <v>0</v>
      </c>
      <c r="AL338" s="28">
        <f>IF(ISERROR(H338/B338*AF338),0,(H338/B338*AF338))</f>
        <v>0</v>
      </c>
      <c r="AN338" s="51">
        <f>A338</f>
        <v>0</v>
      </c>
      <c r="AO338" s="57">
        <f>IF(ISERROR(IF(B338=C338,D338/C338,(INT(D338/B338)+(((D338-B338*INT(D338/B338)))/C338)/100))),0,(IF(B338=C338,D338/C338,(INT(D338/B338)+(((D338-B338*INT(D338/B338)))/C338)/100))))</f>
        <v>0</v>
      </c>
      <c r="AP338" s="57">
        <f>IF(ISERROR(IF(B338=C338,E338/C338,(INT(E338/B338)+(((E338-B338*INT(E338/B338)))/C338)/100))),0,(IF(B338=C338,E338/C338,(INT(E338/B338)+(((E338-B338*INT(E338/B338)))/C338)/100))))</f>
        <v>0</v>
      </c>
      <c r="AQ338" s="57">
        <f>IF(ISERROR(IF(B338=C338,F338/C338,IF((INT(F338/B338)+(((F338-B338*INT(F338/B338)))/C338)/100)&lt;0,(INT(F338/B338)+(((F338-B338*INT(F338/B338)))/C338)/100)+(1-(B338/C338/100)),(INT(F338/B338)+(((F338-B338*INT(F338/B338)))/C338)/100)))),0,IF(B338=C338,F338/C338,IF((INT(F338/B338)+(((F338-B338*INT(F338/B338)))/C338)/100)&lt;0,(INT(F338/B338)+(((F338-B338*INT(F338/B338)))/C338)/100)+(1-(B338/C338/100)),(INT(F338/B338)+(((F338-B338*INT(F338/B338)))/C338)/100))))</f>
        <v>0</v>
      </c>
      <c r="AR338" s="57">
        <f>IF(ISERROR(IF(B338=C338,G338/C338,(INT(G338/B338)+(((G338-B338*INT(G338/B338)))/C338)/100))),0,(IF(B338=C338,G338/C338,(INT(G338/B338)+(((G338-B338*INT(G338/B338)))/C338)/100))))</f>
        <v>0</v>
      </c>
      <c r="AS338" s="57">
        <f>IF(ISERROR(IF(B338=C338,H338/C338,(INT(H338/B338)+(((H338-B338*INT(H338/B338)))/C338)/100))),0,(IF(B338=C338,H338/C338,(INT(H338/B338)+(((H338-B338*INT(H338/B338)))/C338)/100))))</f>
        <v>0</v>
      </c>
      <c r="AT338" s="57">
        <f>IF(ISERROR(IF(B338=C338,I338/C338,(INT(I338/B338)+(((I338-B338*INT(I338/B338)))/C338)/100))),0,(IF(B338=C338,I338/C338,(INT(I338/B338)+(((I338-B338*INT(I338/B338)))/C338)/100))))</f>
        <v>0</v>
      </c>
      <c r="AU338" s="57">
        <f>IF(ISERROR(IF(B338=C338,J338/C338,(INT(J338/B338)+(((J338-B338*INT(J338/B338)))/C338)/100))),0,(IF(B338=C338,J338/C338,(INT(J338/B338)+(((J338-B338*INT(J338/B338)))/C338)/100))))</f>
        <v>0</v>
      </c>
      <c r="AV338" s="57">
        <f>IF(ISERROR(IF(B338=C338,K338/C338,IF((INT(K338/B338)+(((K338-B338*INT(K338/B338)))/C338)/100)&lt;0,(INT(K338/B338)+(((K338-B338*INT(K338/B338)))/C338)/100)+(1-(B338/C338/100)),(INT(K338/B338)+(((K338-B338*INT(K338/B338)))/C338)/100)))),0,IF(B338=C338,K338/C338,IF((INT(K338/B338)+(((K338-B338*INT(K338/B338)))/C338)/100)&lt;0,(INT(K338/B338)+(((K338-B338*INT(K338/B338)))/C338)/100)+(1-(B338/C338/100)),(INT(K338/B338)+(((K338-B338*INT(K338/B338)))/C338)/100))))</f>
        <v>0</v>
      </c>
      <c r="AW338" s="57">
        <f>IF(ISERROR(IF(B338=C338,L338/C338,(INT(L338/B338)+(((L338-B338*INT(L338/B338)))/C338)/100))),0,(IF(B338=C338,L338/C338,(INT(L338/B338)+(((L338-B338*INT(L338/B338)))/C338)/100))))</f>
        <v>0</v>
      </c>
      <c r="AX338" s="57">
        <f>IF(ISERROR(IF(B338=C338,M338/C338,(INT(M338/B338)+(((M338-B338*INT(M338/B338)))/C338)/100))),0,(IF(B338=C338,M338/C338,(INT(M338/B338)+(((M338-B338*INT(M338/B338)))/C338)/100))))</f>
        <v>0</v>
      </c>
      <c r="AY338" s="57">
        <f>IF(ISERROR(IF(B338=C338,N338/C338,IF((INT(N338/B338)+(((N338-B338*INT(N338/B338)))/C338)/100)&lt;0,(INT(N338/B338)+(((N338-B338*INT(N338/B338)))/C338)/100)+(1-(B338/C338/100)),(INT(N338/B338)+(((N338-B338*INT(N338/B338)))/C338)/100)))),0,IF(B338=C338,N338/C338,IF((INT(N338/B338)+(((N338-B338*INT(N338/B338)))/C338)/100)&lt;0,(INT(N338/B338)+(((N338-B338*INT(N338/B338)))/C338)/100)+(1-(B338/C338/100)),(INT(N338/B338)+(((N338-B338*INT(N338/B338)))/C338)/100))))</f>
        <v>0</v>
      </c>
      <c r="AZ338" s="57">
        <f>IF(ISERROR(IF(B338=C338,O338/C338,(INT(O338/B338)+(((O338-B338*INT(O338/B338)))/C338)/100))),0,(IF(B338=C338,O338/C338,(INT(O338/B338)+(((O338-B338*INT(O338/B338)))/C338)/100))))</f>
        <v>0</v>
      </c>
      <c r="BA338" s="57">
        <f>IF(ISERROR(IF(B338=C338,P338/C338,IF((INT(P338/B338)+(((P338-B338*INT(P338/B338)))/C338)/100)&lt;0,(INT(P338/B338)+(((P338-B338*INT(P338/B338)))/C338)/100)+(1-(B338/C338/100)),(INT(P338/B338)+(((P338-B338*INT(P338/B338)))/C338)/100)))),0,IF(B338=C338,P338/C338,IF((INT(P338/B338)+(((P338-B338*INT(P338/B338)))/C338)/100)&lt;0,(INT(P338/B338)+(((P338-B338*INT(P338/B338)))/C338)/100)+(1-(B338/C338/100)),(INT(P338/B338)+(((P338-B338*INT(P338/B338)))/C338)/100))))</f>
        <v>0</v>
      </c>
      <c r="BB338" s="28">
        <f>R338</f>
        <v>0</v>
      </c>
      <c r="BC338" s="28">
        <f>S338</f>
        <v>0</v>
      </c>
      <c r="BD338" s="28">
        <f>AF338</f>
        <v>0</v>
      </c>
      <c r="BE338" s="28">
        <f>T338</f>
        <v>0</v>
      </c>
      <c r="BG338" s="57">
        <f>IF(ISERROR(IF(B338=C338,V338/C338,(INT(V338/B338)+(((V338-B338*INT(V338/B338)))/C338)/100))),0,(IF(B338=C338,V338/C338,(INT(V338/B338)+(((V338-B338*INT(V338/B338)))/C338)/100))))</f>
        <v>0</v>
      </c>
      <c r="BH338" s="57">
        <f>IF(ISERROR(IF(B338=C338,W338/C338,(INT(W338/B338)+(((W338-B338*INT(W338/B338)))/C338)/100))),0,(IF(B338=C338,W338/C338,(INT(W338/B338)+(((W338-B338*INT(W338/B338)))/C338)/100))))</f>
        <v>0</v>
      </c>
      <c r="BI338" s="57">
        <f>IF(ISERROR(IF(B338=C338,X338/C338,(INT(X338/B338)+(((X338-B338*INT(X338/B338)))/C338)/100))),0,(IF(B338=C338,X338/C338,(INT(X338/B338)+(((X338-B338*INT(X338/B338)))/C338)/100))))</f>
        <v>0</v>
      </c>
      <c r="BJ338" s="57">
        <f>IF(ISERROR(IF(B338=C338,Y338/C338,(INT(Y338/B338)+(((Y338-B338*INT(Y338/B338)))/C338)/100))),0,(IF(B338=C338,Y338/C338,(INT(Y338/B338)+(((Y338-B338*INT(Y338/B338)))/C338)/100))))</f>
        <v>0</v>
      </c>
      <c r="BL338" s="57">
        <f>IF(ISERROR(IF(B338=C338,AA338/C338,(INT(AA338/B338)+(((AA338-B338*INT(AA338/B338)))/C338)/100))),0,(IF(B338=C338,AA338/C338,(INT(AA338/B338)+(((AA338-B338*INT(AA338/B338)))/C338)/100))))</f>
        <v>0</v>
      </c>
      <c r="BM338" s="57">
        <f>IF(ISERROR(IF(B338=C338,AB338/C338,(INT(AB338/B338)+(((AB338-B338*INT(AB338/B338)))/C338)/100))),0,(IF(B338=C338,AB338/C338,(INT(AB338/B338)+(((AB338-B338*INT(AB338/B338)))/C338)/100))))</f>
        <v>0</v>
      </c>
      <c r="BN338" s="57">
        <f>IF(ISERROR(IF(B338=C338,AC338/C338,(INT(AC338/B338)+(((AC338-B338*INT(AC338/B338)))/C338)/100))),0,(IF(B338=C338,AC338/C338,(INT(AC338/B338)+(((AC338-B338*INT(AC338/B338)))/C338)/100))))</f>
        <v>0</v>
      </c>
      <c r="BO338" s="57">
        <f>IF(ISERROR(IF(B338=C338,AD338/C338,(INT(AD338/B338)+(((AD338-B338*INT(AD338/B338)))/C338)/100))),0,(IF(B338=C338,AD338/C338,(INT(AD338/B338)+(((AD338-B338*INT(AD338/B338)))/C338)/100))))</f>
        <v>0</v>
      </c>
      <c r="BQ338" s="155"/>
    </row>
    <row r="339" spans="1:69" hidden="1" x14ac:dyDescent="0.35">
      <c r="A339" s="94"/>
      <c r="B339" s="113">
        <v>0</v>
      </c>
      <c r="C339" s="113">
        <v>0</v>
      </c>
      <c r="D339" s="28">
        <f>SUM(AA339:AD339)</f>
        <v>0</v>
      </c>
      <c r="E339" s="113">
        <v>0</v>
      </c>
      <c r="F339" s="113">
        <v>0</v>
      </c>
      <c r="G339" s="28">
        <f>SUM(D339:F339)</f>
        <v>0</v>
      </c>
      <c r="H339" s="125">
        <v>0</v>
      </c>
      <c r="I339" s="113">
        <v>0</v>
      </c>
      <c r="J339" s="125">
        <v>0</v>
      </c>
      <c r="K339" s="113">
        <v>0</v>
      </c>
      <c r="L339" s="113">
        <v>0</v>
      </c>
      <c r="M339" s="113">
        <v>0</v>
      </c>
      <c r="N339" s="28">
        <f>G339-SUM(H339:M339)</f>
        <v>0</v>
      </c>
      <c r="O339" s="28">
        <f>SUM(V339:Y339)</f>
        <v>0</v>
      </c>
      <c r="P339" s="28">
        <f>O339-N339</f>
        <v>0</v>
      </c>
      <c r="Q339" s="61" t="str">
        <f>IF(ISERROR(P339/SUM(H339:L339)),"",P339/SUM(H339:L339))</f>
        <v/>
      </c>
      <c r="R339" s="113">
        <v>0</v>
      </c>
      <c r="S339" s="28">
        <f>IF(ISERROR(P339/C339*R339),0,(P339/C339*R339))</f>
        <v>0</v>
      </c>
      <c r="T339" s="60">
        <f>IF(ISERROR(P339/B339*AF339),0,(P339/B339*AF339))</f>
        <v>0</v>
      </c>
      <c r="V339" s="113">
        <v>0</v>
      </c>
      <c r="W339" s="113">
        <v>0</v>
      </c>
      <c r="X339" s="113">
        <v>0</v>
      </c>
      <c r="Y339" s="113">
        <v>0</v>
      </c>
      <c r="AA339" s="113">
        <v>0</v>
      </c>
      <c r="AB339" s="113">
        <v>0</v>
      </c>
      <c r="AC339" s="113">
        <v>0</v>
      </c>
      <c r="AD339" s="113">
        <v>0</v>
      </c>
      <c r="AF339" s="113">
        <v>0</v>
      </c>
      <c r="AG339" s="28">
        <f>G339-O339</f>
        <v>0</v>
      </c>
      <c r="AH339" s="58">
        <f>IF(ISERROR(AG339/B339*AF339),0,(AG339/B339*AF339))</f>
        <v>0</v>
      </c>
      <c r="AI339" s="28">
        <f>SUM(H339:M339)</f>
        <v>0</v>
      </c>
      <c r="AJ339" s="28">
        <f>IF(ISERROR(AI339/B339*AF339),0,(AI339/B339*AF339))</f>
        <v>0</v>
      </c>
      <c r="AK339" s="58">
        <f>IF(ISERROR(O339/B339*AF339),0,(O339/B339*AF339))</f>
        <v>0</v>
      </c>
      <c r="AL339" s="28">
        <f>IF(ISERROR(H339/B339*AF339),0,(H339/B339*AF339))</f>
        <v>0</v>
      </c>
      <c r="AN339" s="51">
        <f>A339</f>
        <v>0</v>
      </c>
      <c r="AO339" s="57">
        <f>IF(ISERROR(IF(B339=C339,D339/C339,(INT(D339/B339)+(((D339-B339*INT(D339/B339)))/C339)/100))),0,(IF(B339=C339,D339/C339,(INT(D339/B339)+(((D339-B339*INT(D339/B339)))/C339)/100))))</f>
        <v>0</v>
      </c>
      <c r="AP339" s="57">
        <f>IF(ISERROR(IF(B339=C339,E339/C339,(INT(E339/B339)+(((E339-B339*INT(E339/B339)))/C339)/100))),0,(IF(B339=C339,E339/C339,(INT(E339/B339)+(((E339-B339*INT(E339/B339)))/C339)/100))))</f>
        <v>0</v>
      </c>
      <c r="AQ339" s="57">
        <f>IF(ISERROR(IF(B339=C339,F339/C339,IF((INT(F339/B339)+(((F339-B339*INT(F339/B339)))/C339)/100)&lt;0,(INT(F339/B339)+(((F339-B339*INT(F339/B339)))/C339)/100)+(1-(B339/C339/100)),(INT(F339/B339)+(((F339-B339*INT(F339/B339)))/C339)/100)))),0,IF(B339=C339,F339/C339,IF((INT(F339/B339)+(((F339-B339*INT(F339/B339)))/C339)/100)&lt;0,(INT(F339/B339)+(((F339-B339*INT(F339/B339)))/C339)/100)+(1-(B339/C339/100)),(INT(F339/B339)+(((F339-B339*INT(F339/B339)))/C339)/100))))</f>
        <v>0</v>
      </c>
      <c r="AR339" s="57">
        <f>IF(ISERROR(IF(B339=C339,G339/C339,(INT(G339/B339)+(((G339-B339*INT(G339/B339)))/C339)/100))),0,(IF(B339=C339,G339/C339,(INT(G339/B339)+(((G339-B339*INT(G339/B339)))/C339)/100))))</f>
        <v>0</v>
      </c>
      <c r="AS339" s="57">
        <f>IF(ISERROR(IF(B339=C339,H339/C339,(INT(H339/B339)+(((H339-B339*INT(H339/B339)))/C339)/100))),0,(IF(B339=C339,H339/C339,(INT(H339/B339)+(((H339-B339*INT(H339/B339)))/C339)/100))))</f>
        <v>0</v>
      </c>
      <c r="AT339" s="57">
        <f>IF(ISERROR(IF(B339=C339,I339/C339,(INT(I339/B339)+(((I339-B339*INT(I339/B339)))/C339)/100))),0,(IF(B339=C339,I339/C339,(INT(I339/B339)+(((I339-B339*INT(I339/B339)))/C339)/100))))</f>
        <v>0</v>
      </c>
      <c r="AU339" s="57">
        <f>IF(ISERROR(IF(B339=C339,J339/C339,(INT(J339/B339)+(((J339-B339*INT(J339/B339)))/C339)/100))),0,(IF(B339=C339,J339/C339,(INT(J339/B339)+(((J339-B339*INT(J339/B339)))/C339)/100))))</f>
        <v>0</v>
      </c>
      <c r="AV339" s="57">
        <f>IF(ISERROR(IF(B339=C339,K339/C339,IF((INT(K339/B339)+(((K339-B339*INT(K339/B339)))/C339)/100)&lt;0,(INT(K339/B339)+(((K339-B339*INT(K339/B339)))/C339)/100)+(1-(B339/C339/100)),(INT(K339/B339)+(((K339-B339*INT(K339/B339)))/C339)/100)))),0,IF(B339=C339,K339/C339,IF((INT(K339/B339)+(((K339-B339*INT(K339/B339)))/C339)/100)&lt;0,(INT(K339/B339)+(((K339-B339*INT(K339/B339)))/C339)/100)+(1-(B339/C339/100)),(INT(K339/B339)+(((K339-B339*INT(K339/B339)))/C339)/100))))</f>
        <v>0</v>
      </c>
      <c r="AW339" s="57">
        <f>IF(ISERROR(IF(B339=C339,L339/C339,(INT(L339/B339)+(((L339-B339*INT(L339/B339)))/C339)/100))),0,(IF(B339=C339,L339/C339,(INT(L339/B339)+(((L339-B339*INT(L339/B339)))/C339)/100))))</f>
        <v>0</v>
      </c>
      <c r="AX339" s="57">
        <f>IF(ISERROR(IF(B339=C339,M339/C339,(INT(M339/B339)+(((M339-B339*INT(M339/B339)))/C339)/100))),0,(IF(B339=C339,M339/C339,(INT(M339/B339)+(((M339-B339*INT(M339/B339)))/C339)/100))))</f>
        <v>0</v>
      </c>
      <c r="AY339" s="57">
        <f>IF(ISERROR(IF(B339=C339,N339/C339,IF((INT(N339/B339)+(((N339-B339*INT(N339/B339)))/C339)/100)&lt;0,(INT(N339/B339)+(((N339-B339*INT(N339/B339)))/C339)/100)+(1-(B339/C339/100)),(INT(N339/B339)+(((N339-B339*INT(N339/B339)))/C339)/100)))),0,IF(B339=C339,N339/C339,IF((INT(N339/B339)+(((N339-B339*INT(N339/B339)))/C339)/100)&lt;0,(INT(N339/B339)+(((N339-B339*INT(N339/B339)))/C339)/100)+(1-(B339/C339/100)),(INT(N339/B339)+(((N339-B339*INT(N339/B339)))/C339)/100))))</f>
        <v>0</v>
      </c>
      <c r="AZ339" s="57">
        <f>IF(ISERROR(IF(B339=C339,O339/C339,(INT(O339/B339)+(((O339-B339*INT(O339/B339)))/C339)/100))),0,(IF(B339=C339,O339/C339,(INT(O339/B339)+(((O339-B339*INT(O339/B339)))/C339)/100))))</f>
        <v>0</v>
      </c>
      <c r="BA339" s="57">
        <f>IF(ISERROR(IF(B339=C339,P339/C339,IF((INT(P339/B339)+(((P339-B339*INT(P339/B339)))/C339)/100)&lt;0,(INT(P339/B339)+(((P339-B339*INT(P339/B339)))/C339)/100)+(1-(B339/C339/100)),(INT(P339/B339)+(((P339-B339*INT(P339/B339)))/C339)/100)))),0,IF(B339=C339,P339/C339,IF((INT(P339/B339)+(((P339-B339*INT(P339/B339)))/C339)/100)&lt;0,(INT(P339/B339)+(((P339-B339*INT(P339/B339)))/C339)/100)+(1-(B339/C339/100)),(INT(P339/B339)+(((P339-B339*INT(P339/B339)))/C339)/100))))</f>
        <v>0</v>
      </c>
      <c r="BB339" s="28">
        <f>R339</f>
        <v>0</v>
      </c>
      <c r="BC339" s="28">
        <f>S339</f>
        <v>0</v>
      </c>
      <c r="BD339" s="28">
        <f>AF339</f>
        <v>0</v>
      </c>
      <c r="BE339" s="28">
        <f>T339</f>
        <v>0</v>
      </c>
      <c r="BG339" s="57">
        <f>IF(ISERROR(IF(B339=C339,V339/C339,(INT(V339/B339)+(((V339-B339*INT(V339/B339)))/C339)/100))),0,(IF(B339=C339,V339/C339,(INT(V339/B339)+(((V339-B339*INT(V339/B339)))/C339)/100))))</f>
        <v>0</v>
      </c>
      <c r="BH339" s="57">
        <f>IF(ISERROR(IF(B339=C339,W339/C339,(INT(W339/B339)+(((W339-B339*INT(W339/B339)))/C339)/100))),0,(IF(B339=C339,W339/C339,(INT(W339/B339)+(((W339-B339*INT(W339/B339)))/C339)/100))))</f>
        <v>0</v>
      </c>
      <c r="BI339" s="57">
        <f>IF(ISERROR(IF(B339=C339,X339/C339,(INT(X339/B339)+(((X339-B339*INT(X339/B339)))/C339)/100))),0,(IF(B339=C339,X339/C339,(INT(X339/B339)+(((X339-B339*INT(X339/B339)))/C339)/100))))</f>
        <v>0</v>
      </c>
      <c r="BJ339" s="57">
        <f>IF(ISERROR(IF(B339=C339,Y339/C339,(INT(Y339/B339)+(((Y339-B339*INT(Y339/B339)))/C339)/100))),0,(IF(B339=C339,Y339/C339,(INT(Y339/B339)+(((Y339-B339*INT(Y339/B339)))/C339)/100))))</f>
        <v>0</v>
      </c>
      <c r="BL339" s="57">
        <f>IF(ISERROR(IF(B339=C339,AA339/C339,(INT(AA339/B339)+(((AA339-B339*INT(AA339/B339)))/C339)/100))),0,(IF(B339=C339,AA339/C339,(INT(AA339/B339)+(((AA339-B339*INT(AA339/B339)))/C339)/100))))</f>
        <v>0</v>
      </c>
      <c r="BM339" s="57">
        <f>IF(ISERROR(IF(B339=C339,AB339/C339,(INT(AB339/B339)+(((AB339-B339*INT(AB339/B339)))/C339)/100))),0,(IF(B339=C339,AB339/C339,(INT(AB339/B339)+(((AB339-B339*INT(AB339/B339)))/C339)/100))))</f>
        <v>0</v>
      </c>
      <c r="BN339" s="57">
        <f>IF(ISERROR(IF(B339=C339,AC339/C339,(INT(AC339/B339)+(((AC339-B339*INT(AC339/B339)))/C339)/100))),0,(IF(B339=C339,AC339/C339,(INT(AC339/B339)+(((AC339-B339*INT(AC339/B339)))/C339)/100))))</f>
        <v>0</v>
      </c>
      <c r="BO339" s="57">
        <f>IF(ISERROR(IF(B339=C339,AD339/C339,(INT(AD339/B339)+(((AD339-B339*INT(AD339/B339)))/C339)/100))),0,(IF(B339=C339,AD339/C339,(INT(AD339/B339)+(((AD339-B339*INT(AD339/B339)))/C339)/100))))</f>
        <v>0</v>
      </c>
      <c r="BQ339" s="155"/>
    </row>
    <row r="340" spans="1:69" hidden="1" x14ac:dyDescent="0.35">
      <c r="A340" s="94"/>
      <c r="B340" s="113">
        <v>0</v>
      </c>
      <c r="C340" s="113">
        <v>0</v>
      </c>
      <c r="D340" s="28">
        <f>SUM(AA340:AD340)</f>
        <v>0</v>
      </c>
      <c r="E340" s="113">
        <v>0</v>
      </c>
      <c r="F340" s="113">
        <v>0</v>
      </c>
      <c r="G340" s="28">
        <f>SUM(D340:F340)</f>
        <v>0</v>
      </c>
      <c r="H340" s="125">
        <v>0</v>
      </c>
      <c r="I340" s="113">
        <v>0</v>
      </c>
      <c r="J340" s="125">
        <v>0</v>
      </c>
      <c r="K340" s="113">
        <v>0</v>
      </c>
      <c r="L340" s="113">
        <v>0</v>
      </c>
      <c r="M340" s="113">
        <v>0</v>
      </c>
      <c r="N340" s="28">
        <f>G340-SUM(H340:M340)</f>
        <v>0</v>
      </c>
      <c r="O340" s="28">
        <f>SUM(V340:Y340)</f>
        <v>0</v>
      </c>
      <c r="P340" s="28">
        <f>O340-N340</f>
        <v>0</v>
      </c>
      <c r="Q340" s="61" t="str">
        <f>IF(ISERROR(P340/SUM(H340:L340)),"",P340/SUM(H340:L340))</f>
        <v/>
      </c>
      <c r="R340" s="113">
        <v>0</v>
      </c>
      <c r="S340" s="28">
        <f>IF(ISERROR(P340/C340*R340),0,(P340/C340*R340))</f>
        <v>0</v>
      </c>
      <c r="T340" s="60">
        <f>IF(ISERROR(P340/B340*AF340),0,(P340/B340*AF340))</f>
        <v>0</v>
      </c>
      <c r="V340" s="113">
        <v>0</v>
      </c>
      <c r="W340" s="113">
        <v>0</v>
      </c>
      <c r="X340" s="113">
        <v>0</v>
      </c>
      <c r="Y340" s="113">
        <v>0</v>
      </c>
      <c r="AA340" s="113">
        <v>0</v>
      </c>
      <c r="AB340" s="113">
        <v>0</v>
      </c>
      <c r="AC340" s="113">
        <v>0</v>
      </c>
      <c r="AD340" s="113">
        <v>0</v>
      </c>
      <c r="AF340" s="113">
        <v>0</v>
      </c>
      <c r="AG340" s="28">
        <f>G340-O340</f>
        <v>0</v>
      </c>
      <c r="AH340" s="58">
        <f>IF(ISERROR(AG340/B340*AF340),0,(AG340/B340*AF340))</f>
        <v>0</v>
      </c>
      <c r="AI340" s="28">
        <f>SUM(H340:M340)</f>
        <v>0</v>
      </c>
      <c r="AJ340" s="28">
        <f>IF(ISERROR(AI340/B340*AF340),0,(AI340/B340*AF340))</f>
        <v>0</v>
      </c>
      <c r="AK340" s="58">
        <f>IF(ISERROR(O340/B340*AF340),0,(O340/B340*AF340))</f>
        <v>0</v>
      </c>
      <c r="AL340" s="28">
        <f>IF(ISERROR(H340/B340*AF340),0,(H340/B340*AF340))</f>
        <v>0</v>
      </c>
      <c r="AN340" s="51">
        <f>A340</f>
        <v>0</v>
      </c>
      <c r="AO340" s="57">
        <f>IF(ISERROR(IF(B340=C340,D340/C340,(INT(D340/B340)+(((D340-B340*INT(D340/B340)))/C340)/100))),0,(IF(B340=C340,D340/C340,(INT(D340/B340)+(((D340-B340*INT(D340/B340)))/C340)/100))))</f>
        <v>0</v>
      </c>
      <c r="AP340" s="57">
        <f>IF(ISERROR(IF(B340=C340,E340/C340,(INT(E340/B340)+(((E340-B340*INT(E340/B340)))/C340)/100))),0,(IF(B340=C340,E340/C340,(INT(E340/B340)+(((E340-B340*INT(E340/B340)))/C340)/100))))</f>
        <v>0</v>
      </c>
      <c r="AQ340" s="57">
        <f>IF(ISERROR(IF(B340=C340,F340/C340,IF((INT(F340/B340)+(((F340-B340*INT(F340/B340)))/C340)/100)&lt;0,(INT(F340/B340)+(((F340-B340*INT(F340/B340)))/C340)/100)+(1-(B340/C340/100)),(INT(F340/B340)+(((F340-B340*INT(F340/B340)))/C340)/100)))),0,IF(B340=C340,F340/C340,IF((INT(F340/B340)+(((F340-B340*INT(F340/B340)))/C340)/100)&lt;0,(INT(F340/B340)+(((F340-B340*INT(F340/B340)))/C340)/100)+(1-(B340/C340/100)),(INT(F340/B340)+(((F340-B340*INT(F340/B340)))/C340)/100))))</f>
        <v>0</v>
      </c>
      <c r="AR340" s="57">
        <f>IF(ISERROR(IF(B340=C340,G340/C340,(INT(G340/B340)+(((G340-B340*INT(G340/B340)))/C340)/100))),0,(IF(B340=C340,G340/C340,(INT(G340/B340)+(((G340-B340*INT(G340/B340)))/C340)/100))))</f>
        <v>0</v>
      </c>
      <c r="AS340" s="57">
        <f>IF(ISERROR(IF(B340=C340,H340/C340,(INT(H340/B340)+(((H340-B340*INT(H340/B340)))/C340)/100))),0,(IF(B340=C340,H340/C340,(INT(H340/B340)+(((H340-B340*INT(H340/B340)))/C340)/100))))</f>
        <v>0</v>
      </c>
      <c r="AT340" s="57">
        <f>IF(ISERROR(IF(B340=C340,I340/C340,(INT(I340/B340)+(((I340-B340*INT(I340/B340)))/C340)/100))),0,(IF(B340=C340,I340/C340,(INT(I340/B340)+(((I340-B340*INT(I340/B340)))/C340)/100))))</f>
        <v>0</v>
      </c>
      <c r="AU340" s="57">
        <f>IF(ISERROR(IF(B340=C340,J340/C340,(INT(J340/B340)+(((J340-B340*INT(J340/B340)))/C340)/100))),0,(IF(B340=C340,J340/C340,(INT(J340/B340)+(((J340-B340*INT(J340/B340)))/C340)/100))))</f>
        <v>0</v>
      </c>
      <c r="AV340" s="57">
        <f>IF(ISERROR(IF(B340=C340,K340/C340,IF((INT(K340/B340)+(((K340-B340*INT(K340/B340)))/C340)/100)&lt;0,(INT(K340/B340)+(((K340-B340*INT(K340/B340)))/C340)/100)+(1-(B340/C340/100)),(INT(K340/B340)+(((K340-B340*INT(K340/B340)))/C340)/100)))),0,IF(B340=C340,K340/C340,IF((INT(K340/B340)+(((K340-B340*INT(K340/B340)))/C340)/100)&lt;0,(INT(K340/B340)+(((K340-B340*INT(K340/B340)))/C340)/100)+(1-(B340/C340/100)),(INT(K340/B340)+(((K340-B340*INT(K340/B340)))/C340)/100))))</f>
        <v>0</v>
      </c>
      <c r="AW340" s="57">
        <f>IF(ISERROR(IF(B340=C340,L340/C340,(INT(L340/B340)+(((L340-B340*INT(L340/B340)))/C340)/100))),0,(IF(B340=C340,L340/C340,(INT(L340/B340)+(((L340-B340*INT(L340/B340)))/C340)/100))))</f>
        <v>0</v>
      </c>
      <c r="AX340" s="57">
        <f>IF(ISERROR(IF(B340=C340,M340/C340,(INT(M340/B340)+(((M340-B340*INT(M340/B340)))/C340)/100))),0,(IF(B340=C340,M340/C340,(INT(M340/B340)+(((M340-B340*INT(M340/B340)))/C340)/100))))</f>
        <v>0</v>
      </c>
      <c r="AY340" s="57">
        <f>IF(ISERROR(IF(B340=C340,N340/C340,IF((INT(N340/B340)+(((N340-B340*INT(N340/B340)))/C340)/100)&lt;0,(INT(N340/B340)+(((N340-B340*INT(N340/B340)))/C340)/100)+(1-(B340/C340/100)),(INT(N340/B340)+(((N340-B340*INT(N340/B340)))/C340)/100)))),0,IF(B340=C340,N340/C340,IF((INT(N340/B340)+(((N340-B340*INT(N340/B340)))/C340)/100)&lt;0,(INT(N340/B340)+(((N340-B340*INT(N340/B340)))/C340)/100)+(1-(B340/C340/100)),(INT(N340/B340)+(((N340-B340*INT(N340/B340)))/C340)/100))))</f>
        <v>0</v>
      </c>
      <c r="AZ340" s="57">
        <f>IF(ISERROR(IF(B340=C340,O340/C340,(INT(O340/B340)+(((O340-B340*INT(O340/B340)))/C340)/100))),0,(IF(B340=C340,O340/C340,(INT(O340/B340)+(((O340-B340*INT(O340/B340)))/C340)/100))))</f>
        <v>0</v>
      </c>
      <c r="BA340" s="57">
        <f>IF(ISERROR(IF(B340=C340,P340/C340,IF((INT(P340/B340)+(((P340-B340*INT(P340/B340)))/C340)/100)&lt;0,(INT(P340/B340)+(((P340-B340*INT(P340/B340)))/C340)/100)+(1-(B340/C340/100)),(INT(P340/B340)+(((P340-B340*INT(P340/B340)))/C340)/100)))),0,IF(B340=C340,P340/C340,IF((INT(P340/B340)+(((P340-B340*INT(P340/B340)))/C340)/100)&lt;0,(INT(P340/B340)+(((P340-B340*INT(P340/B340)))/C340)/100)+(1-(B340/C340/100)),(INT(P340/B340)+(((P340-B340*INT(P340/B340)))/C340)/100))))</f>
        <v>0</v>
      </c>
      <c r="BB340" s="28">
        <f>R340</f>
        <v>0</v>
      </c>
      <c r="BC340" s="28">
        <f>S340</f>
        <v>0</v>
      </c>
      <c r="BD340" s="28">
        <f>AF340</f>
        <v>0</v>
      </c>
      <c r="BE340" s="28">
        <f>T340</f>
        <v>0</v>
      </c>
      <c r="BG340" s="57">
        <f>IF(ISERROR(IF(B340=C340,V340/C340,(INT(V340/B340)+(((V340-B340*INT(V340/B340)))/C340)/100))),0,(IF(B340=C340,V340/C340,(INT(V340/B340)+(((V340-B340*INT(V340/B340)))/C340)/100))))</f>
        <v>0</v>
      </c>
      <c r="BH340" s="57">
        <f>IF(ISERROR(IF(B340=C340,W340/C340,(INT(W340/B340)+(((W340-B340*INT(W340/B340)))/C340)/100))),0,(IF(B340=C340,W340/C340,(INT(W340/B340)+(((W340-B340*INT(W340/B340)))/C340)/100))))</f>
        <v>0</v>
      </c>
      <c r="BI340" s="57">
        <f>IF(ISERROR(IF(B340=C340,X340/C340,(INT(X340/B340)+(((X340-B340*INT(X340/B340)))/C340)/100))),0,(IF(B340=C340,X340/C340,(INT(X340/B340)+(((X340-B340*INT(X340/B340)))/C340)/100))))</f>
        <v>0</v>
      </c>
      <c r="BJ340" s="57">
        <f>IF(ISERROR(IF(B340=C340,Y340/C340,(INT(Y340/B340)+(((Y340-B340*INT(Y340/B340)))/C340)/100))),0,(IF(B340=C340,Y340/C340,(INT(Y340/B340)+(((Y340-B340*INT(Y340/B340)))/C340)/100))))</f>
        <v>0</v>
      </c>
      <c r="BL340" s="57">
        <f>IF(ISERROR(IF(B340=C340,AA340/C340,(INT(AA340/B340)+(((AA340-B340*INT(AA340/B340)))/C340)/100))),0,(IF(B340=C340,AA340/C340,(INT(AA340/B340)+(((AA340-B340*INT(AA340/B340)))/C340)/100))))</f>
        <v>0</v>
      </c>
      <c r="BM340" s="57">
        <f>IF(ISERROR(IF(B340=C340,AB340/C340,(INT(AB340/B340)+(((AB340-B340*INT(AB340/B340)))/C340)/100))),0,(IF(B340=C340,AB340/C340,(INT(AB340/B340)+(((AB340-B340*INT(AB340/B340)))/C340)/100))))</f>
        <v>0</v>
      </c>
      <c r="BN340" s="57">
        <f>IF(ISERROR(IF(B340=C340,AC340/C340,(INT(AC340/B340)+(((AC340-B340*INT(AC340/B340)))/C340)/100))),0,(IF(B340=C340,AC340/C340,(INT(AC340/B340)+(((AC340-B340*INT(AC340/B340)))/C340)/100))))</f>
        <v>0</v>
      </c>
      <c r="BO340" s="57">
        <f>IF(ISERROR(IF(B340=C340,AD340/C340,(INT(AD340/B340)+(((AD340-B340*INT(AD340/B340)))/C340)/100))),0,(IF(B340=C340,AD340/C340,(INT(AD340/B340)+(((AD340-B340*INT(AD340/B340)))/C340)/100))))</f>
        <v>0</v>
      </c>
      <c r="BQ340" s="155"/>
    </row>
    <row r="341" spans="1:69" hidden="1" x14ac:dyDescent="0.35">
      <c r="A341" s="94"/>
      <c r="B341" s="113">
        <v>0</v>
      </c>
      <c r="C341" s="113">
        <v>0</v>
      </c>
      <c r="D341" s="28">
        <f>SUM(AA341:AD341)</f>
        <v>0</v>
      </c>
      <c r="E341" s="113">
        <v>0</v>
      </c>
      <c r="F341" s="113">
        <v>0</v>
      </c>
      <c r="G341" s="28">
        <f>SUM(D341:F341)</f>
        <v>0</v>
      </c>
      <c r="H341" s="125">
        <v>0</v>
      </c>
      <c r="I341" s="113">
        <v>0</v>
      </c>
      <c r="J341" s="125">
        <v>0</v>
      </c>
      <c r="K341" s="113">
        <v>0</v>
      </c>
      <c r="L341" s="113">
        <v>0</v>
      </c>
      <c r="M341" s="113">
        <v>0</v>
      </c>
      <c r="N341" s="28">
        <f>G341-SUM(H341:M341)</f>
        <v>0</v>
      </c>
      <c r="O341" s="28">
        <f>SUM(V341:Y341)</f>
        <v>0</v>
      </c>
      <c r="P341" s="28">
        <f>O341-N341</f>
        <v>0</v>
      </c>
      <c r="Q341" s="61" t="str">
        <f>IF(ISERROR(P341/SUM(H341:L341)),"",P341/SUM(H341:L341))</f>
        <v/>
      </c>
      <c r="R341" s="113">
        <v>0</v>
      </c>
      <c r="S341" s="28">
        <f>IF(ISERROR(P341/C341*R341),0,(P341/C341*R341))</f>
        <v>0</v>
      </c>
      <c r="T341" s="60">
        <f>IF(ISERROR(P341/B341*AF341),0,(P341/B341*AF341))</f>
        <v>0</v>
      </c>
      <c r="V341" s="113">
        <v>0</v>
      </c>
      <c r="W341" s="113">
        <v>0</v>
      </c>
      <c r="X341" s="113">
        <v>0</v>
      </c>
      <c r="Y341" s="113">
        <v>0</v>
      </c>
      <c r="AA341" s="113">
        <v>0</v>
      </c>
      <c r="AB341" s="113">
        <v>0</v>
      </c>
      <c r="AC341" s="113">
        <v>0</v>
      </c>
      <c r="AD341" s="113">
        <v>0</v>
      </c>
      <c r="AF341" s="113">
        <v>0</v>
      </c>
      <c r="AG341" s="28">
        <f>G341-O341</f>
        <v>0</v>
      </c>
      <c r="AH341" s="58">
        <f>IF(ISERROR(AG341/B341*AF341),0,(AG341/B341*AF341))</f>
        <v>0</v>
      </c>
      <c r="AI341" s="28">
        <f>SUM(H341:M341)</f>
        <v>0</v>
      </c>
      <c r="AJ341" s="28">
        <f>IF(ISERROR(AI341/B341*AF341),0,(AI341/B341*AF341))</f>
        <v>0</v>
      </c>
      <c r="AK341" s="58">
        <f>IF(ISERROR(O341/B341*AF341),0,(O341/B341*AF341))</f>
        <v>0</v>
      </c>
      <c r="AL341" s="28">
        <f>IF(ISERROR(H341/B341*AF341),0,(H341/B341*AF341))</f>
        <v>0</v>
      </c>
      <c r="AN341" s="51">
        <f>A341</f>
        <v>0</v>
      </c>
      <c r="AO341" s="57">
        <f>IF(ISERROR(IF(B341=C341,D341/C341,(INT(D341/B341)+(((D341-B341*INT(D341/B341)))/C341)/100))),0,(IF(B341=C341,D341/C341,(INT(D341/B341)+(((D341-B341*INT(D341/B341)))/C341)/100))))</f>
        <v>0</v>
      </c>
      <c r="AP341" s="57">
        <f>IF(ISERROR(IF(B341=C341,E341/C341,(INT(E341/B341)+(((E341-B341*INT(E341/B341)))/C341)/100))),0,(IF(B341=C341,E341/C341,(INT(E341/B341)+(((E341-B341*INT(E341/B341)))/C341)/100))))</f>
        <v>0</v>
      </c>
      <c r="AQ341" s="57">
        <f>IF(ISERROR(IF(B341=C341,F341/C341,IF((INT(F341/B341)+(((F341-B341*INT(F341/B341)))/C341)/100)&lt;0,(INT(F341/B341)+(((F341-B341*INT(F341/B341)))/C341)/100)+(1-(B341/C341/100)),(INT(F341/B341)+(((F341-B341*INT(F341/B341)))/C341)/100)))),0,IF(B341=C341,F341/C341,IF((INT(F341/B341)+(((F341-B341*INT(F341/B341)))/C341)/100)&lt;0,(INT(F341/B341)+(((F341-B341*INT(F341/B341)))/C341)/100)+(1-(B341/C341/100)),(INT(F341/B341)+(((F341-B341*INT(F341/B341)))/C341)/100))))</f>
        <v>0</v>
      </c>
      <c r="AR341" s="57">
        <f>IF(ISERROR(IF(B341=C341,G341/C341,(INT(G341/B341)+(((G341-B341*INT(G341/B341)))/C341)/100))),0,(IF(B341=C341,G341/C341,(INT(G341/B341)+(((G341-B341*INT(G341/B341)))/C341)/100))))</f>
        <v>0</v>
      </c>
      <c r="AS341" s="57">
        <f>IF(ISERROR(IF(B341=C341,H341/C341,(INT(H341/B341)+(((H341-B341*INT(H341/B341)))/C341)/100))),0,(IF(B341=C341,H341/C341,(INT(H341/B341)+(((H341-B341*INT(H341/B341)))/C341)/100))))</f>
        <v>0</v>
      </c>
      <c r="AT341" s="57">
        <f>IF(ISERROR(IF(B341=C341,I341/C341,(INT(I341/B341)+(((I341-B341*INT(I341/B341)))/C341)/100))),0,(IF(B341=C341,I341/C341,(INT(I341/B341)+(((I341-B341*INT(I341/B341)))/C341)/100))))</f>
        <v>0</v>
      </c>
      <c r="AU341" s="57">
        <f>IF(ISERROR(IF(B341=C341,J341/C341,(INT(J341/B341)+(((J341-B341*INT(J341/B341)))/C341)/100))),0,(IF(B341=C341,J341/C341,(INT(J341/B341)+(((J341-B341*INT(J341/B341)))/C341)/100))))</f>
        <v>0</v>
      </c>
      <c r="AV341" s="57">
        <f>IF(ISERROR(IF(B341=C341,K341/C341,IF((INT(K341/B341)+(((K341-B341*INT(K341/B341)))/C341)/100)&lt;0,(INT(K341/B341)+(((K341-B341*INT(K341/B341)))/C341)/100)+(1-(B341/C341/100)),(INT(K341/B341)+(((K341-B341*INT(K341/B341)))/C341)/100)))),0,IF(B341=C341,K341/C341,IF((INT(K341/B341)+(((K341-B341*INT(K341/B341)))/C341)/100)&lt;0,(INT(K341/B341)+(((K341-B341*INT(K341/B341)))/C341)/100)+(1-(B341/C341/100)),(INT(K341/B341)+(((K341-B341*INT(K341/B341)))/C341)/100))))</f>
        <v>0</v>
      </c>
      <c r="AW341" s="57">
        <f>IF(ISERROR(IF(B341=C341,L341/C341,(INT(L341/B341)+(((L341-B341*INT(L341/B341)))/C341)/100))),0,(IF(B341=C341,L341/C341,(INT(L341/B341)+(((L341-B341*INT(L341/B341)))/C341)/100))))</f>
        <v>0</v>
      </c>
      <c r="AX341" s="57">
        <f>IF(ISERROR(IF(B341=C341,M341/C341,(INT(M341/B341)+(((M341-B341*INT(M341/B341)))/C341)/100))),0,(IF(B341=C341,M341/C341,(INT(M341/B341)+(((M341-B341*INT(M341/B341)))/C341)/100))))</f>
        <v>0</v>
      </c>
      <c r="AY341" s="57">
        <f>IF(ISERROR(IF(B341=C341,N341/C341,IF((INT(N341/B341)+(((N341-B341*INT(N341/B341)))/C341)/100)&lt;0,(INT(N341/B341)+(((N341-B341*INT(N341/B341)))/C341)/100)+(1-(B341/C341/100)),(INT(N341/B341)+(((N341-B341*INT(N341/B341)))/C341)/100)))),0,IF(B341=C341,N341/C341,IF((INT(N341/B341)+(((N341-B341*INT(N341/B341)))/C341)/100)&lt;0,(INT(N341/B341)+(((N341-B341*INT(N341/B341)))/C341)/100)+(1-(B341/C341/100)),(INT(N341/B341)+(((N341-B341*INT(N341/B341)))/C341)/100))))</f>
        <v>0</v>
      </c>
      <c r="AZ341" s="57">
        <f>IF(ISERROR(IF(B341=C341,O341/C341,(INT(O341/B341)+(((O341-B341*INT(O341/B341)))/C341)/100))),0,(IF(B341=C341,O341/C341,(INT(O341/B341)+(((O341-B341*INT(O341/B341)))/C341)/100))))</f>
        <v>0</v>
      </c>
      <c r="BA341" s="57">
        <f>IF(ISERROR(IF(B341=C341,P341/C341,IF((INT(P341/B341)+(((P341-B341*INT(P341/B341)))/C341)/100)&lt;0,(INT(P341/B341)+(((P341-B341*INT(P341/B341)))/C341)/100)+(1-(B341/C341/100)),(INT(P341/B341)+(((P341-B341*INT(P341/B341)))/C341)/100)))),0,IF(B341=C341,P341/C341,IF((INT(P341/B341)+(((P341-B341*INT(P341/B341)))/C341)/100)&lt;0,(INT(P341/B341)+(((P341-B341*INT(P341/B341)))/C341)/100)+(1-(B341/C341/100)),(INT(P341/B341)+(((P341-B341*INT(P341/B341)))/C341)/100))))</f>
        <v>0</v>
      </c>
      <c r="BB341" s="28">
        <f>R341</f>
        <v>0</v>
      </c>
      <c r="BC341" s="28">
        <f>S341</f>
        <v>0</v>
      </c>
      <c r="BD341" s="28">
        <f>AF341</f>
        <v>0</v>
      </c>
      <c r="BE341" s="28">
        <f>T341</f>
        <v>0</v>
      </c>
      <c r="BG341" s="57">
        <f>IF(ISERROR(IF(B341=C341,V341/C341,(INT(V341/B341)+(((V341-B341*INT(V341/B341)))/C341)/100))),0,(IF(B341=C341,V341/C341,(INT(V341/B341)+(((V341-B341*INT(V341/B341)))/C341)/100))))</f>
        <v>0</v>
      </c>
      <c r="BH341" s="57">
        <f>IF(ISERROR(IF(B341=C341,W341/C341,(INT(W341/B341)+(((W341-B341*INT(W341/B341)))/C341)/100))),0,(IF(B341=C341,W341/C341,(INT(W341/B341)+(((W341-B341*INT(W341/B341)))/C341)/100))))</f>
        <v>0</v>
      </c>
      <c r="BI341" s="57">
        <f>IF(ISERROR(IF(B341=C341,X341/C341,(INT(X341/B341)+(((X341-B341*INT(X341/B341)))/C341)/100))),0,(IF(B341=C341,X341/C341,(INT(X341/B341)+(((X341-B341*INT(X341/B341)))/C341)/100))))</f>
        <v>0</v>
      </c>
      <c r="BJ341" s="57">
        <f>IF(ISERROR(IF(B341=C341,Y341/C341,(INT(Y341/B341)+(((Y341-B341*INT(Y341/B341)))/C341)/100))),0,(IF(B341=C341,Y341/C341,(INT(Y341/B341)+(((Y341-B341*INT(Y341/B341)))/C341)/100))))</f>
        <v>0</v>
      </c>
      <c r="BL341" s="57">
        <f>IF(ISERROR(IF(B341=C341,AA341/C341,(INT(AA341/B341)+(((AA341-B341*INT(AA341/B341)))/C341)/100))),0,(IF(B341=C341,AA341/C341,(INT(AA341/B341)+(((AA341-B341*INT(AA341/B341)))/C341)/100))))</f>
        <v>0</v>
      </c>
      <c r="BM341" s="57">
        <f>IF(ISERROR(IF(B341=C341,AB341/C341,(INT(AB341/B341)+(((AB341-B341*INT(AB341/B341)))/C341)/100))),0,(IF(B341=C341,AB341/C341,(INT(AB341/B341)+(((AB341-B341*INT(AB341/B341)))/C341)/100))))</f>
        <v>0</v>
      </c>
      <c r="BN341" s="57">
        <f>IF(ISERROR(IF(B341=C341,AC341/C341,(INT(AC341/B341)+(((AC341-B341*INT(AC341/B341)))/C341)/100))),0,(IF(B341=C341,AC341/C341,(INT(AC341/B341)+(((AC341-B341*INT(AC341/B341)))/C341)/100))))</f>
        <v>0</v>
      </c>
      <c r="BO341" s="57">
        <f>IF(ISERROR(IF(B341=C341,AD341/C341,(INT(AD341/B341)+(((AD341-B341*INT(AD341/B341)))/C341)/100))),0,(IF(B341=C341,AD341/C341,(INT(AD341/B341)+(((AD341-B341*INT(AD341/B341)))/C341)/100))))</f>
        <v>0</v>
      </c>
      <c r="BQ341" s="155"/>
    </row>
    <row r="342" spans="1:69" hidden="1" x14ac:dyDescent="0.35">
      <c r="A342" s="94"/>
      <c r="B342" s="113">
        <v>0</v>
      </c>
      <c r="C342" s="113">
        <v>0</v>
      </c>
      <c r="D342" s="28">
        <f>SUM(AA342:AD342)</f>
        <v>0</v>
      </c>
      <c r="E342" s="113">
        <v>0</v>
      </c>
      <c r="F342" s="113">
        <v>0</v>
      </c>
      <c r="G342" s="28">
        <f>SUM(D342:F342)</f>
        <v>0</v>
      </c>
      <c r="H342" s="125">
        <v>0</v>
      </c>
      <c r="I342" s="113">
        <v>0</v>
      </c>
      <c r="J342" s="125">
        <v>0</v>
      </c>
      <c r="K342" s="113">
        <v>0</v>
      </c>
      <c r="L342" s="113">
        <v>0</v>
      </c>
      <c r="M342" s="113">
        <v>0</v>
      </c>
      <c r="N342" s="28">
        <f>G342-SUM(H342:M342)</f>
        <v>0</v>
      </c>
      <c r="O342" s="28">
        <f>SUM(V342:Y342)</f>
        <v>0</v>
      </c>
      <c r="P342" s="28">
        <f>O342-N342</f>
        <v>0</v>
      </c>
      <c r="Q342" s="61" t="str">
        <f>IF(ISERROR(P342/SUM(H342:L342)),"",P342/SUM(H342:L342))</f>
        <v/>
      </c>
      <c r="R342" s="113">
        <v>0</v>
      </c>
      <c r="S342" s="28">
        <f>IF(ISERROR(P342/C342*R342),0,(P342/C342*R342))</f>
        <v>0</v>
      </c>
      <c r="T342" s="60">
        <f>IF(ISERROR(P342/B342*AF342),0,(P342/B342*AF342))</f>
        <v>0</v>
      </c>
      <c r="V342" s="113">
        <v>0</v>
      </c>
      <c r="W342" s="113">
        <v>0</v>
      </c>
      <c r="X342" s="113">
        <v>0</v>
      </c>
      <c r="Y342" s="113">
        <v>0</v>
      </c>
      <c r="AA342" s="113">
        <v>0</v>
      </c>
      <c r="AB342" s="113">
        <v>0</v>
      </c>
      <c r="AC342" s="113">
        <v>0</v>
      </c>
      <c r="AD342" s="113">
        <v>0</v>
      </c>
      <c r="AF342" s="113">
        <v>0</v>
      </c>
      <c r="AG342" s="28">
        <f>G342-O342</f>
        <v>0</v>
      </c>
      <c r="AH342" s="58">
        <f>IF(ISERROR(AG342/B342*AF342),0,(AG342/B342*AF342))</f>
        <v>0</v>
      </c>
      <c r="AI342" s="28">
        <f>SUM(H342:M342)</f>
        <v>0</v>
      </c>
      <c r="AJ342" s="28">
        <f>IF(ISERROR(AI342/B342*AF342),0,(AI342/B342*AF342))</f>
        <v>0</v>
      </c>
      <c r="AK342" s="58">
        <f>IF(ISERROR(O342/B342*AF342),0,(O342/B342*AF342))</f>
        <v>0</v>
      </c>
      <c r="AL342" s="28">
        <f>IF(ISERROR(H342/B342*AF342),0,(H342/B342*AF342))</f>
        <v>0</v>
      </c>
      <c r="AN342" s="51">
        <f>A342</f>
        <v>0</v>
      </c>
      <c r="AO342" s="57">
        <f>IF(ISERROR(IF(B342=C342,D342/C342,(INT(D342/B342)+(((D342-B342*INT(D342/B342)))/C342)/100))),0,(IF(B342=C342,D342/C342,(INT(D342/B342)+(((D342-B342*INT(D342/B342)))/C342)/100))))</f>
        <v>0</v>
      </c>
      <c r="AP342" s="57">
        <f>IF(ISERROR(IF(B342=C342,E342/C342,(INT(E342/B342)+(((E342-B342*INT(E342/B342)))/C342)/100))),0,(IF(B342=C342,E342/C342,(INT(E342/B342)+(((E342-B342*INT(E342/B342)))/C342)/100))))</f>
        <v>0</v>
      </c>
      <c r="AQ342" s="57">
        <f>IF(ISERROR(IF(B342=C342,F342/C342,IF((INT(F342/B342)+(((F342-B342*INT(F342/B342)))/C342)/100)&lt;0,(INT(F342/B342)+(((F342-B342*INT(F342/B342)))/C342)/100)+(1-(B342/C342/100)),(INT(F342/B342)+(((F342-B342*INT(F342/B342)))/C342)/100)))),0,IF(B342=C342,F342/C342,IF((INT(F342/B342)+(((F342-B342*INT(F342/B342)))/C342)/100)&lt;0,(INT(F342/B342)+(((F342-B342*INT(F342/B342)))/C342)/100)+(1-(B342/C342/100)),(INT(F342/B342)+(((F342-B342*INT(F342/B342)))/C342)/100))))</f>
        <v>0</v>
      </c>
      <c r="AR342" s="57">
        <f>IF(ISERROR(IF(B342=C342,G342/C342,(INT(G342/B342)+(((G342-B342*INT(G342/B342)))/C342)/100))),0,(IF(B342=C342,G342/C342,(INT(G342/B342)+(((G342-B342*INT(G342/B342)))/C342)/100))))</f>
        <v>0</v>
      </c>
      <c r="AS342" s="57">
        <f>IF(ISERROR(IF(B342=C342,H342/C342,(INT(H342/B342)+(((H342-B342*INT(H342/B342)))/C342)/100))),0,(IF(B342=C342,H342/C342,(INT(H342/B342)+(((H342-B342*INT(H342/B342)))/C342)/100))))</f>
        <v>0</v>
      </c>
      <c r="AT342" s="57">
        <f>IF(ISERROR(IF(B342=C342,I342/C342,(INT(I342/B342)+(((I342-B342*INT(I342/B342)))/C342)/100))),0,(IF(B342=C342,I342/C342,(INT(I342/B342)+(((I342-B342*INT(I342/B342)))/C342)/100))))</f>
        <v>0</v>
      </c>
      <c r="AU342" s="57">
        <f>IF(ISERROR(IF(B342=C342,J342/C342,(INT(J342/B342)+(((J342-B342*INT(J342/B342)))/C342)/100))),0,(IF(B342=C342,J342/C342,(INT(J342/B342)+(((J342-B342*INT(J342/B342)))/C342)/100))))</f>
        <v>0</v>
      </c>
      <c r="AV342" s="57">
        <f>IF(ISERROR(IF(B342=C342,K342/C342,IF((INT(K342/B342)+(((K342-B342*INT(K342/B342)))/C342)/100)&lt;0,(INT(K342/B342)+(((K342-B342*INT(K342/B342)))/C342)/100)+(1-(B342/C342/100)),(INT(K342/B342)+(((K342-B342*INT(K342/B342)))/C342)/100)))),0,IF(B342=C342,K342/C342,IF((INT(K342/B342)+(((K342-B342*INT(K342/B342)))/C342)/100)&lt;0,(INT(K342/B342)+(((K342-B342*INT(K342/B342)))/C342)/100)+(1-(B342/C342/100)),(INT(K342/B342)+(((K342-B342*INT(K342/B342)))/C342)/100))))</f>
        <v>0</v>
      </c>
      <c r="AW342" s="57">
        <f>IF(ISERROR(IF(B342=C342,L342/C342,(INT(L342/B342)+(((L342-B342*INT(L342/B342)))/C342)/100))),0,(IF(B342=C342,L342/C342,(INT(L342/B342)+(((L342-B342*INT(L342/B342)))/C342)/100))))</f>
        <v>0</v>
      </c>
      <c r="AX342" s="57">
        <f>IF(ISERROR(IF(B342=C342,M342/C342,(INT(M342/B342)+(((M342-B342*INT(M342/B342)))/C342)/100))),0,(IF(B342=C342,M342/C342,(INT(M342/B342)+(((M342-B342*INT(M342/B342)))/C342)/100))))</f>
        <v>0</v>
      </c>
      <c r="AY342" s="57">
        <f>IF(ISERROR(IF(B342=C342,N342/C342,IF((INT(N342/B342)+(((N342-B342*INT(N342/B342)))/C342)/100)&lt;0,(INT(N342/B342)+(((N342-B342*INT(N342/B342)))/C342)/100)+(1-(B342/C342/100)),(INT(N342/B342)+(((N342-B342*INT(N342/B342)))/C342)/100)))),0,IF(B342=C342,N342/C342,IF((INT(N342/B342)+(((N342-B342*INT(N342/B342)))/C342)/100)&lt;0,(INT(N342/B342)+(((N342-B342*INT(N342/B342)))/C342)/100)+(1-(B342/C342/100)),(INT(N342/B342)+(((N342-B342*INT(N342/B342)))/C342)/100))))</f>
        <v>0</v>
      </c>
      <c r="AZ342" s="57">
        <f>IF(ISERROR(IF(B342=C342,O342/C342,(INT(O342/B342)+(((O342-B342*INT(O342/B342)))/C342)/100))),0,(IF(B342=C342,O342/C342,(INT(O342/B342)+(((O342-B342*INT(O342/B342)))/C342)/100))))</f>
        <v>0</v>
      </c>
      <c r="BA342" s="57">
        <f>IF(ISERROR(IF(B342=C342,P342/C342,IF((INT(P342/B342)+(((P342-B342*INT(P342/B342)))/C342)/100)&lt;0,(INT(P342/B342)+(((P342-B342*INT(P342/B342)))/C342)/100)+(1-(B342/C342/100)),(INT(P342/B342)+(((P342-B342*INT(P342/B342)))/C342)/100)))),0,IF(B342=C342,P342/C342,IF((INT(P342/B342)+(((P342-B342*INT(P342/B342)))/C342)/100)&lt;0,(INT(P342/B342)+(((P342-B342*INT(P342/B342)))/C342)/100)+(1-(B342/C342/100)),(INT(P342/B342)+(((P342-B342*INT(P342/B342)))/C342)/100))))</f>
        <v>0</v>
      </c>
      <c r="BB342" s="28">
        <f>R342</f>
        <v>0</v>
      </c>
      <c r="BC342" s="28">
        <f>S342</f>
        <v>0</v>
      </c>
      <c r="BD342" s="28">
        <f>AF342</f>
        <v>0</v>
      </c>
      <c r="BE342" s="28">
        <f>T342</f>
        <v>0</v>
      </c>
      <c r="BG342" s="57">
        <f>IF(ISERROR(IF(B342=C342,V342/C342,(INT(V342/B342)+(((V342-B342*INT(V342/B342)))/C342)/100))),0,(IF(B342=C342,V342/C342,(INT(V342/B342)+(((V342-B342*INT(V342/B342)))/C342)/100))))</f>
        <v>0</v>
      </c>
      <c r="BH342" s="57">
        <f>IF(ISERROR(IF(B342=C342,W342/C342,(INT(W342/B342)+(((W342-B342*INT(W342/B342)))/C342)/100))),0,(IF(B342=C342,W342/C342,(INT(W342/B342)+(((W342-B342*INT(W342/B342)))/C342)/100))))</f>
        <v>0</v>
      </c>
      <c r="BI342" s="57">
        <f>IF(ISERROR(IF(B342=C342,X342/C342,(INT(X342/B342)+(((X342-B342*INT(X342/B342)))/C342)/100))),0,(IF(B342=C342,X342/C342,(INT(X342/B342)+(((X342-B342*INT(X342/B342)))/C342)/100))))</f>
        <v>0</v>
      </c>
      <c r="BJ342" s="57">
        <f>IF(ISERROR(IF(B342=C342,Y342/C342,(INT(Y342/B342)+(((Y342-B342*INT(Y342/B342)))/C342)/100))),0,(IF(B342=C342,Y342/C342,(INT(Y342/B342)+(((Y342-B342*INT(Y342/B342)))/C342)/100))))</f>
        <v>0</v>
      </c>
      <c r="BL342" s="57">
        <f>IF(ISERROR(IF(B342=C342,AA342/C342,(INT(AA342/B342)+(((AA342-B342*INT(AA342/B342)))/C342)/100))),0,(IF(B342=C342,AA342/C342,(INT(AA342/B342)+(((AA342-B342*INT(AA342/B342)))/C342)/100))))</f>
        <v>0</v>
      </c>
      <c r="BM342" s="57">
        <f>IF(ISERROR(IF(B342=C342,AB342/C342,(INT(AB342/B342)+(((AB342-B342*INT(AB342/B342)))/C342)/100))),0,(IF(B342=C342,AB342/C342,(INT(AB342/B342)+(((AB342-B342*INT(AB342/B342)))/C342)/100))))</f>
        <v>0</v>
      </c>
      <c r="BN342" s="57">
        <f>IF(ISERROR(IF(B342=C342,AC342/C342,(INT(AC342/B342)+(((AC342-B342*INT(AC342/B342)))/C342)/100))),0,(IF(B342=C342,AC342/C342,(INT(AC342/B342)+(((AC342-B342*INT(AC342/B342)))/C342)/100))))</f>
        <v>0</v>
      </c>
      <c r="BO342" s="57">
        <f>IF(ISERROR(IF(B342=C342,AD342/C342,(INT(AD342/B342)+(((AD342-B342*INT(AD342/B342)))/C342)/100))),0,(IF(B342=C342,AD342/C342,(INT(AD342/B342)+(((AD342-B342*INT(AD342/B342)))/C342)/100))))</f>
        <v>0</v>
      </c>
      <c r="BQ342" s="155"/>
    </row>
    <row r="343" spans="1:69" hidden="1" x14ac:dyDescent="0.35">
      <c r="A343" s="94"/>
      <c r="B343" s="113">
        <v>0</v>
      </c>
      <c r="C343" s="113">
        <v>0</v>
      </c>
      <c r="D343" s="28">
        <f>SUM(AA343:AD343)</f>
        <v>0</v>
      </c>
      <c r="E343" s="113">
        <v>0</v>
      </c>
      <c r="F343" s="113">
        <v>0</v>
      </c>
      <c r="G343" s="28">
        <f>SUM(D343:F343)</f>
        <v>0</v>
      </c>
      <c r="H343" s="125">
        <v>0</v>
      </c>
      <c r="I343" s="113">
        <v>0</v>
      </c>
      <c r="J343" s="125">
        <v>0</v>
      </c>
      <c r="K343" s="113">
        <v>0</v>
      </c>
      <c r="L343" s="113">
        <v>0</v>
      </c>
      <c r="M343" s="113">
        <v>0</v>
      </c>
      <c r="N343" s="28">
        <f>G343-SUM(H343:M343)</f>
        <v>0</v>
      </c>
      <c r="O343" s="28">
        <f>SUM(V343:Y343)</f>
        <v>0</v>
      </c>
      <c r="P343" s="28">
        <f>O343-N343</f>
        <v>0</v>
      </c>
      <c r="Q343" s="61" t="str">
        <f>IF(ISERROR(P343/SUM(H343:L343)),"",P343/SUM(H343:L343))</f>
        <v/>
      </c>
      <c r="R343" s="113">
        <v>0</v>
      </c>
      <c r="S343" s="28">
        <f>IF(ISERROR(P343/C343*R343),0,(P343/C343*R343))</f>
        <v>0</v>
      </c>
      <c r="T343" s="60">
        <f>IF(ISERROR(P343/B343*AF343),0,(P343/B343*AF343))</f>
        <v>0</v>
      </c>
      <c r="V343" s="113">
        <v>0</v>
      </c>
      <c r="W343" s="113">
        <v>0</v>
      </c>
      <c r="X343" s="113">
        <v>0</v>
      </c>
      <c r="Y343" s="113">
        <v>0</v>
      </c>
      <c r="AA343" s="113">
        <v>0</v>
      </c>
      <c r="AB343" s="113">
        <v>0</v>
      </c>
      <c r="AC343" s="113">
        <v>0</v>
      </c>
      <c r="AD343" s="113">
        <v>0</v>
      </c>
      <c r="AF343" s="113">
        <v>0</v>
      </c>
      <c r="AG343" s="28">
        <f>G343-O343</f>
        <v>0</v>
      </c>
      <c r="AH343" s="58">
        <f>IF(ISERROR(AG343/B343*AF343),0,(AG343/B343*AF343))</f>
        <v>0</v>
      </c>
      <c r="AI343" s="28">
        <f>SUM(H343:M343)</f>
        <v>0</v>
      </c>
      <c r="AJ343" s="28">
        <f>IF(ISERROR(AI343/B343*AF343),0,(AI343/B343*AF343))</f>
        <v>0</v>
      </c>
      <c r="AK343" s="58">
        <f>IF(ISERROR(O343/B343*AF343),0,(O343/B343*AF343))</f>
        <v>0</v>
      </c>
      <c r="AL343" s="28">
        <f>IF(ISERROR(H343/B343*AF343),0,(H343/B343*AF343))</f>
        <v>0</v>
      </c>
      <c r="AN343" s="51">
        <f>A343</f>
        <v>0</v>
      </c>
      <c r="AO343" s="57">
        <f>IF(ISERROR(IF(B343=C343,D343/C343,(INT(D343/B343)+(((D343-B343*INT(D343/B343)))/C343)/100))),0,(IF(B343=C343,D343/C343,(INT(D343/B343)+(((D343-B343*INT(D343/B343)))/C343)/100))))</f>
        <v>0</v>
      </c>
      <c r="AP343" s="57">
        <f>IF(ISERROR(IF(B343=C343,E343/C343,(INT(E343/B343)+(((E343-B343*INT(E343/B343)))/C343)/100))),0,(IF(B343=C343,E343/C343,(INT(E343/B343)+(((E343-B343*INT(E343/B343)))/C343)/100))))</f>
        <v>0</v>
      </c>
      <c r="AQ343" s="57">
        <f>IF(ISERROR(IF(B343=C343,F343/C343,IF((INT(F343/B343)+(((F343-B343*INT(F343/B343)))/C343)/100)&lt;0,(INT(F343/B343)+(((F343-B343*INT(F343/B343)))/C343)/100)+(1-(B343/C343/100)),(INT(F343/B343)+(((F343-B343*INT(F343/B343)))/C343)/100)))),0,IF(B343=C343,F343/C343,IF((INT(F343/B343)+(((F343-B343*INT(F343/B343)))/C343)/100)&lt;0,(INT(F343/B343)+(((F343-B343*INT(F343/B343)))/C343)/100)+(1-(B343/C343/100)),(INT(F343/B343)+(((F343-B343*INT(F343/B343)))/C343)/100))))</f>
        <v>0</v>
      </c>
      <c r="AR343" s="57">
        <f>IF(ISERROR(IF(B343=C343,G343/C343,(INT(G343/B343)+(((G343-B343*INT(G343/B343)))/C343)/100))),0,(IF(B343=C343,G343/C343,(INT(G343/B343)+(((G343-B343*INT(G343/B343)))/C343)/100))))</f>
        <v>0</v>
      </c>
      <c r="AS343" s="57">
        <f>IF(ISERROR(IF(B343=C343,H343/C343,(INT(H343/B343)+(((H343-B343*INT(H343/B343)))/C343)/100))),0,(IF(B343=C343,H343/C343,(INT(H343/B343)+(((H343-B343*INT(H343/B343)))/C343)/100))))</f>
        <v>0</v>
      </c>
      <c r="AT343" s="57">
        <f>IF(ISERROR(IF(B343=C343,I343/C343,(INT(I343/B343)+(((I343-B343*INT(I343/B343)))/C343)/100))),0,(IF(B343=C343,I343/C343,(INT(I343/B343)+(((I343-B343*INT(I343/B343)))/C343)/100))))</f>
        <v>0</v>
      </c>
      <c r="AU343" s="57">
        <f>IF(ISERROR(IF(B343=C343,J343/C343,(INT(J343/B343)+(((J343-B343*INT(J343/B343)))/C343)/100))),0,(IF(B343=C343,J343/C343,(INT(J343/B343)+(((J343-B343*INT(J343/B343)))/C343)/100))))</f>
        <v>0</v>
      </c>
      <c r="AV343" s="57">
        <f>IF(ISERROR(IF(B343=C343,K343/C343,IF((INT(K343/B343)+(((K343-B343*INT(K343/B343)))/C343)/100)&lt;0,(INT(K343/B343)+(((K343-B343*INT(K343/B343)))/C343)/100)+(1-(B343/C343/100)),(INT(K343/B343)+(((K343-B343*INT(K343/B343)))/C343)/100)))),0,IF(B343=C343,K343/C343,IF((INT(K343/B343)+(((K343-B343*INT(K343/B343)))/C343)/100)&lt;0,(INT(K343/B343)+(((K343-B343*INT(K343/B343)))/C343)/100)+(1-(B343/C343/100)),(INT(K343/B343)+(((K343-B343*INT(K343/B343)))/C343)/100))))</f>
        <v>0</v>
      </c>
      <c r="AW343" s="57">
        <f>IF(ISERROR(IF(B343=C343,L343/C343,(INT(L343/B343)+(((L343-B343*INT(L343/B343)))/C343)/100))),0,(IF(B343=C343,L343/C343,(INT(L343/B343)+(((L343-B343*INT(L343/B343)))/C343)/100))))</f>
        <v>0</v>
      </c>
      <c r="AX343" s="57">
        <f>IF(ISERROR(IF(B343=C343,M343/C343,(INT(M343/B343)+(((M343-B343*INT(M343/B343)))/C343)/100))),0,(IF(B343=C343,M343/C343,(INT(M343/B343)+(((M343-B343*INT(M343/B343)))/C343)/100))))</f>
        <v>0</v>
      </c>
      <c r="AY343" s="57">
        <f>IF(ISERROR(IF(B343=C343,N343/C343,IF((INT(N343/B343)+(((N343-B343*INT(N343/B343)))/C343)/100)&lt;0,(INT(N343/B343)+(((N343-B343*INT(N343/B343)))/C343)/100)+(1-(B343/C343/100)),(INT(N343/B343)+(((N343-B343*INT(N343/B343)))/C343)/100)))),0,IF(B343=C343,N343/C343,IF((INT(N343/B343)+(((N343-B343*INT(N343/B343)))/C343)/100)&lt;0,(INT(N343/B343)+(((N343-B343*INT(N343/B343)))/C343)/100)+(1-(B343/C343/100)),(INT(N343/B343)+(((N343-B343*INT(N343/B343)))/C343)/100))))</f>
        <v>0</v>
      </c>
      <c r="AZ343" s="57">
        <f>IF(ISERROR(IF(B343=C343,O343/C343,(INT(O343/B343)+(((O343-B343*INT(O343/B343)))/C343)/100))),0,(IF(B343=C343,O343/C343,(INT(O343/B343)+(((O343-B343*INT(O343/B343)))/C343)/100))))</f>
        <v>0</v>
      </c>
      <c r="BA343" s="57">
        <f>IF(ISERROR(IF(B343=C343,P343/C343,IF((INT(P343/B343)+(((P343-B343*INT(P343/B343)))/C343)/100)&lt;0,(INT(P343/B343)+(((P343-B343*INT(P343/B343)))/C343)/100)+(1-(B343/C343/100)),(INT(P343/B343)+(((P343-B343*INT(P343/B343)))/C343)/100)))),0,IF(B343=C343,P343/C343,IF((INT(P343/B343)+(((P343-B343*INT(P343/B343)))/C343)/100)&lt;0,(INT(P343/B343)+(((P343-B343*INT(P343/B343)))/C343)/100)+(1-(B343/C343/100)),(INT(P343/B343)+(((P343-B343*INT(P343/B343)))/C343)/100))))</f>
        <v>0</v>
      </c>
      <c r="BB343" s="28">
        <f>R343</f>
        <v>0</v>
      </c>
      <c r="BC343" s="28">
        <f>S343</f>
        <v>0</v>
      </c>
      <c r="BD343" s="28">
        <f>AF343</f>
        <v>0</v>
      </c>
      <c r="BE343" s="28">
        <f>T343</f>
        <v>0</v>
      </c>
      <c r="BG343" s="57">
        <f>IF(ISERROR(IF(B343=C343,V343/C343,(INT(V343/B343)+(((V343-B343*INT(V343/B343)))/C343)/100))),0,(IF(B343=C343,V343/C343,(INT(V343/B343)+(((V343-B343*INT(V343/B343)))/C343)/100))))</f>
        <v>0</v>
      </c>
      <c r="BH343" s="57">
        <f>IF(ISERROR(IF(B343=C343,W343/C343,(INT(W343/B343)+(((W343-B343*INT(W343/B343)))/C343)/100))),0,(IF(B343=C343,W343/C343,(INT(W343/B343)+(((W343-B343*INT(W343/B343)))/C343)/100))))</f>
        <v>0</v>
      </c>
      <c r="BI343" s="57">
        <f>IF(ISERROR(IF(B343=C343,X343/C343,(INT(X343/B343)+(((X343-B343*INT(X343/B343)))/C343)/100))),0,(IF(B343=C343,X343/C343,(INT(X343/B343)+(((X343-B343*INT(X343/B343)))/C343)/100))))</f>
        <v>0</v>
      </c>
      <c r="BJ343" s="57">
        <f>IF(ISERROR(IF(B343=C343,Y343/C343,(INT(Y343/B343)+(((Y343-B343*INT(Y343/B343)))/C343)/100))),0,(IF(B343=C343,Y343/C343,(INT(Y343/B343)+(((Y343-B343*INT(Y343/B343)))/C343)/100))))</f>
        <v>0</v>
      </c>
      <c r="BL343" s="57">
        <f>IF(ISERROR(IF(B343=C343,AA343/C343,(INT(AA343/B343)+(((AA343-B343*INT(AA343/B343)))/C343)/100))),0,(IF(B343=C343,AA343/C343,(INT(AA343/B343)+(((AA343-B343*INT(AA343/B343)))/C343)/100))))</f>
        <v>0</v>
      </c>
      <c r="BM343" s="57">
        <f>IF(ISERROR(IF(B343=C343,AB343/C343,(INT(AB343/B343)+(((AB343-B343*INT(AB343/B343)))/C343)/100))),0,(IF(B343=C343,AB343/C343,(INT(AB343/B343)+(((AB343-B343*INT(AB343/B343)))/C343)/100))))</f>
        <v>0</v>
      </c>
      <c r="BN343" s="57">
        <f>IF(ISERROR(IF(B343=C343,AC343/C343,(INT(AC343/B343)+(((AC343-B343*INT(AC343/B343)))/C343)/100))),0,(IF(B343=C343,AC343/C343,(INT(AC343/B343)+(((AC343-B343*INT(AC343/B343)))/C343)/100))))</f>
        <v>0</v>
      </c>
      <c r="BO343" s="57">
        <f>IF(ISERROR(IF(B343=C343,AD343/C343,(INT(AD343/B343)+(((AD343-B343*INT(AD343/B343)))/C343)/100))),0,(IF(B343=C343,AD343/C343,(INT(AD343/B343)+(((AD343-B343*INT(AD343/B343)))/C343)/100))))</f>
        <v>0</v>
      </c>
      <c r="BQ343" s="155"/>
    </row>
    <row r="344" spans="1:69" hidden="1" x14ac:dyDescent="0.35">
      <c r="A344" s="94"/>
      <c r="B344" s="113">
        <v>0</v>
      </c>
      <c r="C344" s="113">
        <v>0</v>
      </c>
      <c r="D344" s="28">
        <f>SUM(AA344:AD344)</f>
        <v>0</v>
      </c>
      <c r="E344" s="113">
        <v>0</v>
      </c>
      <c r="F344" s="113">
        <v>0</v>
      </c>
      <c r="G344" s="28">
        <f>SUM(D344:F344)</f>
        <v>0</v>
      </c>
      <c r="H344" s="125">
        <v>0</v>
      </c>
      <c r="I344" s="113">
        <v>0</v>
      </c>
      <c r="J344" s="125">
        <v>0</v>
      </c>
      <c r="K344" s="113">
        <v>0</v>
      </c>
      <c r="L344" s="113">
        <v>0</v>
      </c>
      <c r="M344" s="113">
        <v>0</v>
      </c>
      <c r="N344" s="28">
        <f>G344-SUM(H344:M344)</f>
        <v>0</v>
      </c>
      <c r="O344" s="28">
        <f>SUM(V344:Y344)</f>
        <v>0</v>
      </c>
      <c r="P344" s="28">
        <f>O344-N344</f>
        <v>0</v>
      </c>
      <c r="Q344" s="61" t="str">
        <f>IF(ISERROR(P344/SUM(H344:L344)),"",P344/SUM(H344:L344))</f>
        <v/>
      </c>
      <c r="R344" s="113">
        <v>0</v>
      </c>
      <c r="S344" s="28">
        <f>IF(ISERROR(P344/C344*R344),0,(P344/C344*R344))</f>
        <v>0</v>
      </c>
      <c r="T344" s="60">
        <f>IF(ISERROR(P344/B344*AF344),0,(P344/B344*AF344))</f>
        <v>0</v>
      </c>
      <c r="V344" s="113">
        <v>0</v>
      </c>
      <c r="W344" s="113">
        <v>0</v>
      </c>
      <c r="X344" s="113">
        <v>0</v>
      </c>
      <c r="Y344" s="113">
        <v>0</v>
      </c>
      <c r="AA344" s="113">
        <v>0</v>
      </c>
      <c r="AB344" s="113">
        <v>0</v>
      </c>
      <c r="AC344" s="113">
        <v>0</v>
      </c>
      <c r="AD344" s="113">
        <v>0</v>
      </c>
      <c r="AF344" s="113">
        <v>0</v>
      </c>
      <c r="AG344" s="28">
        <f>G344-O344</f>
        <v>0</v>
      </c>
      <c r="AH344" s="58">
        <f>IF(ISERROR(AG344/B344*AF344),0,(AG344/B344*AF344))</f>
        <v>0</v>
      </c>
      <c r="AI344" s="28">
        <f>SUM(H344:M344)</f>
        <v>0</v>
      </c>
      <c r="AJ344" s="28">
        <f>IF(ISERROR(AI344/B344*AF344),0,(AI344/B344*AF344))</f>
        <v>0</v>
      </c>
      <c r="AK344" s="58">
        <f>IF(ISERROR(O344/B344*AF344),0,(O344/B344*AF344))</f>
        <v>0</v>
      </c>
      <c r="AL344" s="28">
        <f>IF(ISERROR(H344/B344*AF344),0,(H344/B344*AF344))</f>
        <v>0</v>
      </c>
      <c r="AN344" s="51">
        <f>A344</f>
        <v>0</v>
      </c>
      <c r="AO344" s="57">
        <f>IF(ISERROR(IF(B344=C344,D344/C344,(INT(D344/B344)+(((D344-B344*INT(D344/B344)))/C344)/100))),0,(IF(B344=C344,D344/C344,(INT(D344/B344)+(((D344-B344*INT(D344/B344)))/C344)/100))))</f>
        <v>0</v>
      </c>
      <c r="AP344" s="57">
        <f>IF(ISERROR(IF(B344=C344,E344/C344,(INT(E344/B344)+(((E344-B344*INT(E344/B344)))/C344)/100))),0,(IF(B344=C344,E344/C344,(INT(E344/B344)+(((E344-B344*INT(E344/B344)))/C344)/100))))</f>
        <v>0</v>
      </c>
      <c r="AQ344" s="57">
        <f>IF(ISERROR(IF(B344=C344,F344/C344,IF((INT(F344/B344)+(((F344-B344*INT(F344/B344)))/C344)/100)&lt;0,(INT(F344/B344)+(((F344-B344*INT(F344/B344)))/C344)/100)+(1-(B344/C344/100)),(INT(F344/B344)+(((F344-B344*INT(F344/B344)))/C344)/100)))),0,IF(B344=C344,F344/C344,IF((INT(F344/B344)+(((F344-B344*INT(F344/B344)))/C344)/100)&lt;0,(INT(F344/B344)+(((F344-B344*INT(F344/B344)))/C344)/100)+(1-(B344/C344/100)),(INT(F344/B344)+(((F344-B344*INT(F344/B344)))/C344)/100))))</f>
        <v>0</v>
      </c>
      <c r="AR344" s="57">
        <f>IF(ISERROR(IF(B344=C344,G344/C344,(INT(G344/B344)+(((G344-B344*INT(G344/B344)))/C344)/100))),0,(IF(B344=C344,G344/C344,(INT(G344/B344)+(((G344-B344*INT(G344/B344)))/C344)/100))))</f>
        <v>0</v>
      </c>
      <c r="AS344" s="57">
        <f>IF(ISERROR(IF(B344=C344,H344/C344,(INT(H344/B344)+(((H344-B344*INT(H344/B344)))/C344)/100))),0,(IF(B344=C344,H344/C344,(INT(H344/B344)+(((H344-B344*INT(H344/B344)))/C344)/100))))</f>
        <v>0</v>
      </c>
      <c r="AT344" s="57">
        <f>IF(ISERROR(IF(B344=C344,I344/C344,(INT(I344/B344)+(((I344-B344*INT(I344/B344)))/C344)/100))),0,(IF(B344=C344,I344/C344,(INT(I344/B344)+(((I344-B344*INT(I344/B344)))/C344)/100))))</f>
        <v>0</v>
      </c>
      <c r="AU344" s="57">
        <f>IF(ISERROR(IF(B344=C344,J344/C344,(INT(J344/B344)+(((J344-B344*INT(J344/B344)))/C344)/100))),0,(IF(B344=C344,J344/C344,(INT(J344/B344)+(((J344-B344*INT(J344/B344)))/C344)/100))))</f>
        <v>0</v>
      </c>
      <c r="AV344" s="57">
        <f>IF(ISERROR(IF(B344=C344,K344/C344,IF((INT(K344/B344)+(((K344-B344*INT(K344/B344)))/C344)/100)&lt;0,(INT(K344/B344)+(((K344-B344*INT(K344/B344)))/C344)/100)+(1-(B344/C344/100)),(INT(K344/B344)+(((K344-B344*INT(K344/B344)))/C344)/100)))),0,IF(B344=C344,K344/C344,IF((INT(K344/B344)+(((K344-B344*INT(K344/B344)))/C344)/100)&lt;0,(INT(K344/B344)+(((K344-B344*INT(K344/B344)))/C344)/100)+(1-(B344/C344/100)),(INT(K344/B344)+(((K344-B344*INT(K344/B344)))/C344)/100))))</f>
        <v>0</v>
      </c>
      <c r="AW344" s="57">
        <f>IF(ISERROR(IF(B344=C344,L344/C344,(INT(L344/B344)+(((L344-B344*INT(L344/B344)))/C344)/100))),0,(IF(B344=C344,L344/C344,(INT(L344/B344)+(((L344-B344*INT(L344/B344)))/C344)/100))))</f>
        <v>0</v>
      </c>
      <c r="AX344" s="57">
        <f>IF(ISERROR(IF(B344=C344,M344/C344,(INT(M344/B344)+(((M344-B344*INT(M344/B344)))/C344)/100))),0,(IF(B344=C344,M344/C344,(INT(M344/B344)+(((M344-B344*INT(M344/B344)))/C344)/100))))</f>
        <v>0</v>
      </c>
      <c r="AY344" s="57">
        <f>IF(ISERROR(IF(B344=C344,N344/C344,IF((INT(N344/B344)+(((N344-B344*INT(N344/B344)))/C344)/100)&lt;0,(INT(N344/B344)+(((N344-B344*INT(N344/B344)))/C344)/100)+(1-(B344/C344/100)),(INT(N344/B344)+(((N344-B344*INT(N344/B344)))/C344)/100)))),0,IF(B344=C344,N344/C344,IF((INT(N344/B344)+(((N344-B344*INT(N344/B344)))/C344)/100)&lt;0,(INT(N344/B344)+(((N344-B344*INT(N344/B344)))/C344)/100)+(1-(B344/C344/100)),(INT(N344/B344)+(((N344-B344*INT(N344/B344)))/C344)/100))))</f>
        <v>0</v>
      </c>
      <c r="AZ344" s="57">
        <f>IF(ISERROR(IF(B344=C344,O344/C344,(INT(O344/B344)+(((O344-B344*INT(O344/B344)))/C344)/100))),0,(IF(B344=C344,O344/C344,(INT(O344/B344)+(((O344-B344*INT(O344/B344)))/C344)/100))))</f>
        <v>0</v>
      </c>
      <c r="BA344" s="57">
        <f>IF(ISERROR(IF(B344=C344,P344/C344,IF((INT(P344/B344)+(((P344-B344*INT(P344/B344)))/C344)/100)&lt;0,(INT(P344/B344)+(((P344-B344*INT(P344/B344)))/C344)/100)+(1-(B344/C344/100)),(INT(P344/B344)+(((P344-B344*INT(P344/B344)))/C344)/100)))),0,IF(B344=C344,P344/C344,IF((INT(P344/B344)+(((P344-B344*INT(P344/B344)))/C344)/100)&lt;0,(INT(P344/B344)+(((P344-B344*INT(P344/B344)))/C344)/100)+(1-(B344/C344/100)),(INT(P344/B344)+(((P344-B344*INT(P344/B344)))/C344)/100))))</f>
        <v>0</v>
      </c>
      <c r="BB344" s="28">
        <f>R344</f>
        <v>0</v>
      </c>
      <c r="BC344" s="28">
        <f>S344</f>
        <v>0</v>
      </c>
      <c r="BD344" s="28">
        <f>AF344</f>
        <v>0</v>
      </c>
      <c r="BE344" s="28">
        <f>T344</f>
        <v>0</v>
      </c>
      <c r="BG344" s="57">
        <f>IF(ISERROR(IF(B344=C344,V344/C344,(INT(V344/B344)+(((V344-B344*INT(V344/B344)))/C344)/100))),0,(IF(B344=C344,V344/C344,(INT(V344/B344)+(((V344-B344*INT(V344/B344)))/C344)/100))))</f>
        <v>0</v>
      </c>
      <c r="BH344" s="57">
        <f>IF(ISERROR(IF(B344=C344,W344/C344,(INT(W344/B344)+(((W344-B344*INT(W344/B344)))/C344)/100))),0,(IF(B344=C344,W344/C344,(INT(W344/B344)+(((W344-B344*INT(W344/B344)))/C344)/100))))</f>
        <v>0</v>
      </c>
      <c r="BI344" s="57">
        <f>IF(ISERROR(IF(B344=C344,X344/C344,(INT(X344/B344)+(((X344-B344*INT(X344/B344)))/C344)/100))),0,(IF(B344=C344,X344/C344,(INT(X344/B344)+(((X344-B344*INT(X344/B344)))/C344)/100))))</f>
        <v>0</v>
      </c>
      <c r="BJ344" s="57">
        <f>IF(ISERROR(IF(B344=C344,Y344/C344,(INT(Y344/B344)+(((Y344-B344*INT(Y344/B344)))/C344)/100))),0,(IF(B344=C344,Y344/C344,(INT(Y344/B344)+(((Y344-B344*INT(Y344/B344)))/C344)/100))))</f>
        <v>0</v>
      </c>
      <c r="BL344" s="57">
        <f>IF(ISERROR(IF(B344=C344,AA344/C344,(INT(AA344/B344)+(((AA344-B344*INT(AA344/B344)))/C344)/100))),0,(IF(B344=C344,AA344/C344,(INT(AA344/B344)+(((AA344-B344*INT(AA344/B344)))/C344)/100))))</f>
        <v>0</v>
      </c>
      <c r="BM344" s="57">
        <f>IF(ISERROR(IF(B344=C344,AB344/C344,(INT(AB344/B344)+(((AB344-B344*INT(AB344/B344)))/C344)/100))),0,(IF(B344=C344,AB344/C344,(INT(AB344/B344)+(((AB344-B344*INT(AB344/B344)))/C344)/100))))</f>
        <v>0</v>
      </c>
      <c r="BN344" s="57">
        <f>IF(ISERROR(IF(B344=C344,AC344/C344,(INT(AC344/B344)+(((AC344-B344*INT(AC344/B344)))/C344)/100))),0,(IF(B344=C344,AC344/C344,(INT(AC344/B344)+(((AC344-B344*INT(AC344/B344)))/C344)/100))))</f>
        <v>0</v>
      </c>
      <c r="BO344" s="57">
        <f>IF(ISERROR(IF(B344=C344,AD344/C344,(INT(AD344/B344)+(((AD344-B344*INT(AD344/B344)))/C344)/100))),0,(IF(B344=C344,AD344/C344,(INT(AD344/B344)+(((AD344-B344*INT(AD344/B344)))/C344)/100))))</f>
        <v>0</v>
      </c>
      <c r="BQ344" s="155"/>
    </row>
    <row r="345" spans="1:69" hidden="1" x14ac:dyDescent="0.35">
      <c r="A345" s="94"/>
      <c r="B345" s="113">
        <v>0</v>
      </c>
      <c r="C345" s="113">
        <v>0</v>
      </c>
      <c r="D345" s="28">
        <f>SUM(AA345:AD345)</f>
        <v>0</v>
      </c>
      <c r="E345" s="113">
        <v>0</v>
      </c>
      <c r="F345" s="113">
        <v>0</v>
      </c>
      <c r="G345" s="28">
        <f>SUM(D345:F345)</f>
        <v>0</v>
      </c>
      <c r="H345" s="125">
        <v>0</v>
      </c>
      <c r="I345" s="113">
        <v>0</v>
      </c>
      <c r="J345" s="125">
        <v>0</v>
      </c>
      <c r="K345" s="113">
        <v>0</v>
      </c>
      <c r="L345" s="113">
        <v>0</v>
      </c>
      <c r="M345" s="113">
        <v>0</v>
      </c>
      <c r="N345" s="28">
        <f>G345-SUM(H345:M345)</f>
        <v>0</v>
      </c>
      <c r="O345" s="28">
        <f>SUM(V345:Y345)</f>
        <v>0</v>
      </c>
      <c r="P345" s="28">
        <f>O345-N345</f>
        <v>0</v>
      </c>
      <c r="Q345" s="61" t="str">
        <f>IF(ISERROR(P345/SUM(H345:L345)),"",P345/SUM(H345:L345))</f>
        <v/>
      </c>
      <c r="R345" s="113">
        <v>0</v>
      </c>
      <c r="S345" s="28">
        <f>IF(ISERROR(P345/C345*R345),0,(P345/C345*R345))</f>
        <v>0</v>
      </c>
      <c r="T345" s="60">
        <f>IF(ISERROR(P345/B345*AF345),0,(P345/B345*AF345))</f>
        <v>0</v>
      </c>
      <c r="V345" s="113">
        <v>0</v>
      </c>
      <c r="W345" s="113">
        <v>0</v>
      </c>
      <c r="X345" s="113">
        <v>0</v>
      </c>
      <c r="Y345" s="113">
        <v>0</v>
      </c>
      <c r="AA345" s="113">
        <v>0</v>
      </c>
      <c r="AB345" s="113">
        <v>0</v>
      </c>
      <c r="AC345" s="113">
        <v>0</v>
      </c>
      <c r="AD345" s="113">
        <v>0</v>
      </c>
      <c r="AF345" s="113">
        <v>0</v>
      </c>
      <c r="AG345" s="28">
        <f>G345-O345</f>
        <v>0</v>
      </c>
      <c r="AH345" s="58">
        <f>IF(ISERROR(AG345/B345*AF345),0,(AG345/B345*AF345))</f>
        <v>0</v>
      </c>
      <c r="AI345" s="28">
        <f>SUM(H345:M345)</f>
        <v>0</v>
      </c>
      <c r="AJ345" s="28">
        <f>IF(ISERROR(AI345/B345*AF345),0,(AI345/B345*AF345))</f>
        <v>0</v>
      </c>
      <c r="AK345" s="58">
        <f>IF(ISERROR(O345/B345*AF345),0,(O345/B345*AF345))</f>
        <v>0</v>
      </c>
      <c r="AL345" s="28">
        <f>IF(ISERROR(H345/B345*AF345),0,(H345/B345*AF345))</f>
        <v>0</v>
      </c>
      <c r="AN345" s="51">
        <f>A345</f>
        <v>0</v>
      </c>
      <c r="AO345" s="57">
        <f>IF(ISERROR(IF(B345=C345,D345/C345,(INT(D345/B345)+(((D345-B345*INT(D345/B345)))/C345)/100))),0,(IF(B345=C345,D345/C345,(INT(D345/B345)+(((D345-B345*INT(D345/B345)))/C345)/100))))</f>
        <v>0</v>
      </c>
      <c r="AP345" s="57">
        <f>IF(ISERROR(IF(B345=C345,E345/C345,(INT(E345/B345)+(((E345-B345*INT(E345/B345)))/C345)/100))),0,(IF(B345=C345,E345/C345,(INT(E345/B345)+(((E345-B345*INT(E345/B345)))/C345)/100))))</f>
        <v>0</v>
      </c>
      <c r="AQ345" s="57">
        <f>IF(ISERROR(IF(B345=C345,F345/C345,IF((INT(F345/B345)+(((F345-B345*INT(F345/B345)))/C345)/100)&lt;0,(INT(F345/B345)+(((F345-B345*INT(F345/B345)))/C345)/100)+(1-(B345/C345/100)),(INT(F345/B345)+(((F345-B345*INT(F345/B345)))/C345)/100)))),0,IF(B345=C345,F345/C345,IF((INT(F345/B345)+(((F345-B345*INT(F345/B345)))/C345)/100)&lt;0,(INT(F345/B345)+(((F345-B345*INT(F345/B345)))/C345)/100)+(1-(B345/C345/100)),(INT(F345/B345)+(((F345-B345*INT(F345/B345)))/C345)/100))))</f>
        <v>0</v>
      </c>
      <c r="AR345" s="57">
        <f>IF(ISERROR(IF(B345=C345,G345/C345,(INT(G345/B345)+(((G345-B345*INT(G345/B345)))/C345)/100))),0,(IF(B345=C345,G345/C345,(INT(G345/B345)+(((G345-B345*INT(G345/B345)))/C345)/100))))</f>
        <v>0</v>
      </c>
      <c r="AS345" s="57">
        <f>IF(ISERROR(IF(B345=C345,H345/C345,(INT(H345/B345)+(((H345-B345*INT(H345/B345)))/C345)/100))),0,(IF(B345=C345,H345/C345,(INT(H345/B345)+(((H345-B345*INT(H345/B345)))/C345)/100))))</f>
        <v>0</v>
      </c>
      <c r="AT345" s="57">
        <f>IF(ISERROR(IF(B345=C345,I345/C345,(INT(I345/B345)+(((I345-B345*INT(I345/B345)))/C345)/100))),0,(IF(B345=C345,I345/C345,(INT(I345/B345)+(((I345-B345*INT(I345/B345)))/C345)/100))))</f>
        <v>0</v>
      </c>
      <c r="AU345" s="57">
        <f>IF(ISERROR(IF(B345=C345,J345/C345,(INT(J345/B345)+(((J345-B345*INT(J345/B345)))/C345)/100))),0,(IF(B345=C345,J345/C345,(INT(J345/B345)+(((J345-B345*INT(J345/B345)))/C345)/100))))</f>
        <v>0</v>
      </c>
      <c r="AV345" s="57">
        <f>IF(ISERROR(IF(B345=C345,K345/C345,IF((INT(K345/B345)+(((K345-B345*INT(K345/B345)))/C345)/100)&lt;0,(INT(K345/B345)+(((K345-B345*INT(K345/B345)))/C345)/100)+(1-(B345/C345/100)),(INT(K345/B345)+(((K345-B345*INT(K345/B345)))/C345)/100)))),0,IF(B345=C345,K345/C345,IF((INT(K345/B345)+(((K345-B345*INT(K345/B345)))/C345)/100)&lt;0,(INT(K345/B345)+(((K345-B345*INT(K345/B345)))/C345)/100)+(1-(B345/C345/100)),(INT(K345/B345)+(((K345-B345*INT(K345/B345)))/C345)/100))))</f>
        <v>0</v>
      </c>
      <c r="AW345" s="57">
        <f>IF(ISERROR(IF(B345=C345,L345/C345,(INT(L345/B345)+(((L345-B345*INT(L345/B345)))/C345)/100))),0,(IF(B345=C345,L345/C345,(INT(L345/B345)+(((L345-B345*INT(L345/B345)))/C345)/100))))</f>
        <v>0</v>
      </c>
      <c r="AX345" s="57">
        <f>IF(ISERROR(IF(B345=C345,M345/C345,(INT(M345/B345)+(((M345-B345*INT(M345/B345)))/C345)/100))),0,(IF(B345=C345,M345/C345,(INT(M345/B345)+(((M345-B345*INT(M345/B345)))/C345)/100))))</f>
        <v>0</v>
      </c>
      <c r="AY345" s="57">
        <f>IF(ISERROR(IF(B345=C345,N345/C345,IF((INT(N345/B345)+(((N345-B345*INT(N345/B345)))/C345)/100)&lt;0,(INT(N345/B345)+(((N345-B345*INT(N345/B345)))/C345)/100)+(1-(B345/C345/100)),(INT(N345/B345)+(((N345-B345*INT(N345/B345)))/C345)/100)))),0,IF(B345=C345,N345/C345,IF((INT(N345/B345)+(((N345-B345*INT(N345/B345)))/C345)/100)&lt;0,(INT(N345/B345)+(((N345-B345*INT(N345/B345)))/C345)/100)+(1-(B345/C345/100)),(INT(N345/B345)+(((N345-B345*INT(N345/B345)))/C345)/100))))</f>
        <v>0</v>
      </c>
      <c r="AZ345" s="57">
        <f>IF(ISERROR(IF(B345=C345,O345/C345,(INT(O345/B345)+(((O345-B345*INT(O345/B345)))/C345)/100))),0,(IF(B345=C345,O345/C345,(INT(O345/B345)+(((O345-B345*INT(O345/B345)))/C345)/100))))</f>
        <v>0</v>
      </c>
      <c r="BA345" s="57">
        <f>IF(ISERROR(IF(B345=C345,P345/C345,IF((INT(P345/B345)+(((P345-B345*INT(P345/B345)))/C345)/100)&lt;0,(INT(P345/B345)+(((P345-B345*INT(P345/B345)))/C345)/100)+(1-(B345/C345/100)),(INT(P345/B345)+(((P345-B345*INT(P345/B345)))/C345)/100)))),0,IF(B345=C345,P345/C345,IF((INT(P345/B345)+(((P345-B345*INT(P345/B345)))/C345)/100)&lt;0,(INT(P345/B345)+(((P345-B345*INT(P345/B345)))/C345)/100)+(1-(B345/C345/100)),(INT(P345/B345)+(((P345-B345*INT(P345/B345)))/C345)/100))))</f>
        <v>0</v>
      </c>
      <c r="BB345" s="28">
        <f>R345</f>
        <v>0</v>
      </c>
      <c r="BC345" s="28">
        <f>S345</f>
        <v>0</v>
      </c>
      <c r="BD345" s="28">
        <f>AF345</f>
        <v>0</v>
      </c>
      <c r="BE345" s="28">
        <f>T345</f>
        <v>0</v>
      </c>
      <c r="BG345" s="57">
        <f>IF(ISERROR(IF(B345=C345,V345/C345,(INT(V345/B345)+(((V345-B345*INT(V345/B345)))/C345)/100))),0,(IF(B345=C345,V345/C345,(INT(V345/B345)+(((V345-B345*INT(V345/B345)))/C345)/100))))</f>
        <v>0</v>
      </c>
      <c r="BH345" s="57">
        <f>IF(ISERROR(IF(B345=C345,W345/C345,(INT(W345/B345)+(((W345-B345*INT(W345/B345)))/C345)/100))),0,(IF(B345=C345,W345/C345,(INT(W345/B345)+(((W345-B345*INT(W345/B345)))/C345)/100))))</f>
        <v>0</v>
      </c>
      <c r="BI345" s="57">
        <f>IF(ISERROR(IF(B345=C345,X345/C345,(INT(X345/B345)+(((X345-B345*INT(X345/B345)))/C345)/100))),0,(IF(B345=C345,X345/C345,(INT(X345/B345)+(((X345-B345*INT(X345/B345)))/C345)/100))))</f>
        <v>0</v>
      </c>
      <c r="BJ345" s="57">
        <f>IF(ISERROR(IF(B345=C345,Y345/C345,(INT(Y345/B345)+(((Y345-B345*INT(Y345/B345)))/C345)/100))),0,(IF(B345=C345,Y345/C345,(INT(Y345/B345)+(((Y345-B345*INT(Y345/B345)))/C345)/100))))</f>
        <v>0</v>
      </c>
      <c r="BL345" s="57">
        <f>IF(ISERROR(IF(B345=C345,AA345/C345,(INT(AA345/B345)+(((AA345-B345*INT(AA345/B345)))/C345)/100))),0,(IF(B345=C345,AA345/C345,(INT(AA345/B345)+(((AA345-B345*INT(AA345/B345)))/C345)/100))))</f>
        <v>0</v>
      </c>
      <c r="BM345" s="57">
        <f>IF(ISERROR(IF(B345=C345,AB345/C345,(INT(AB345/B345)+(((AB345-B345*INT(AB345/B345)))/C345)/100))),0,(IF(B345=C345,AB345/C345,(INT(AB345/B345)+(((AB345-B345*INT(AB345/B345)))/C345)/100))))</f>
        <v>0</v>
      </c>
      <c r="BN345" s="57">
        <f>IF(ISERROR(IF(B345=C345,AC345/C345,(INT(AC345/B345)+(((AC345-B345*INT(AC345/B345)))/C345)/100))),0,(IF(B345=C345,AC345/C345,(INT(AC345/B345)+(((AC345-B345*INT(AC345/B345)))/C345)/100))))</f>
        <v>0</v>
      </c>
      <c r="BO345" s="57">
        <f>IF(ISERROR(IF(B345=C345,AD345/C345,(INT(AD345/B345)+(((AD345-B345*INT(AD345/B345)))/C345)/100))),0,(IF(B345=C345,AD345/C345,(INT(AD345/B345)+(((AD345-B345*INT(AD345/B345)))/C345)/100))))</f>
        <v>0</v>
      </c>
      <c r="BQ345" s="155"/>
    </row>
    <row r="346" spans="1:69" hidden="1" x14ac:dyDescent="0.35">
      <c r="A346" s="94"/>
      <c r="B346" s="113">
        <v>0</v>
      </c>
      <c r="C346" s="113">
        <v>0</v>
      </c>
      <c r="D346" s="28">
        <f>SUM(AA346:AD346)</f>
        <v>0</v>
      </c>
      <c r="E346" s="113">
        <v>0</v>
      </c>
      <c r="F346" s="113">
        <v>0</v>
      </c>
      <c r="G346" s="28">
        <f>SUM(D346:F346)</f>
        <v>0</v>
      </c>
      <c r="H346" s="125">
        <v>0</v>
      </c>
      <c r="I346" s="113">
        <v>0</v>
      </c>
      <c r="J346" s="125">
        <v>0</v>
      </c>
      <c r="K346" s="113">
        <v>0</v>
      </c>
      <c r="L346" s="113">
        <v>0</v>
      </c>
      <c r="M346" s="113">
        <v>0</v>
      </c>
      <c r="N346" s="28">
        <f>G346-SUM(H346:M346)</f>
        <v>0</v>
      </c>
      <c r="O346" s="28">
        <f>SUM(V346:Y346)</f>
        <v>0</v>
      </c>
      <c r="P346" s="28">
        <f>O346-N346</f>
        <v>0</v>
      </c>
      <c r="Q346" s="61" t="str">
        <f>IF(ISERROR(P346/SUM(H346:L346)),"",P346/SUM(H346:L346))</f>
        <v/>
      </c>
      <c r="R346" s="113">
        <v>0</v>
      </c>
      <c r="S346" s="28">
        <f>IF(ISERROR(P346/C346*R346),0,(P346/C346*R346))</f>
        <v>0</v>
      </c>
      <c r="T346" s="60">
        <f>IF(ISERROR(P346/B346*AF346),0,(P346/B346*AF346))</f>
        <v>0</v>
      </c>
      <c r="V346" s="113">
        <v>0</v>
      </c>
      <c r="W346" s="113">
        <v>0</v>
      </c>
      <c r="X346" s="113">
        <v>0</v>
      </c>
      <c r="Y346" s="113">
        <v>0</v>
      </c>
      <c r="AA346" s="113">
        <v>0</v>
      </c>
      <c r="AB346" s="113">
        <v>0</v>
      </c>
      <c r="AC346" s="113">
        <v>0</v>
      </c>
      <c r="AD346" s="113">
        <v>0</v>
      </c>
      <c r="AF346" s="113">
        <v>0</v>
      </c>
      <c r="AG346" s="28">
        <f>G346-O346</f>
        <v>0</v>
      </c>
      <c r="AH346" s="58">
        <f>IF(ISERROR(AG346/B346*AF346),0,(AG346/B346*AF346))</f>
        <v>0</v>
      </c>
      <c r="AI346" s="28">
        <f>SUM(H346:M346)</f>
        <v>0</v>
      </c>
      <c r="AJ346" s="28">
        <f>IF(ISERROR(AI346/B346*AF346),0,(AI346/B346*AF346))</f>
        <v>0</v>
      </c>
      <c r="AK346" s="58">
        <f>IF(ISERROR(O346/B346*AF346),0,(O346/B346*AF346))</f>
        <v>0</v>
      </c>
      <c r="AL346" s="28">
        <f>IF(ISERROR(H346/B346*AF346),0,(H346/B346*AF346))</f>
        <v>0</v>
      </c>
      <c r="AN346" s="51">
        <f>A346</f>
        <v>0</v>
      </c>
      <c r="AO346" s="57">
        <f>IF(ISERROR(IF(B346=C346,D346/C346,(INT(D346/B346)+(((D346-B346*INT(D346/B346)))/C346)/100))),0,(IF(B346=C346,D346/C346,(INT(D346/B346)+(((D346-B346*INT(D346/B346)))/C346)/100))))</f>
        <v>0</v>
      </c>
      <c r="AP346" s="57">
        <f>IF(ISERROR(IF(B346=C346,E346/C346,(INT(E346/B346)+(((E346-B346*INT(E346/B346)))/C346)/100))),0,(IF(B346=C346,E346/C346,(INT(E346/B346)+(((E346-B346*INT(E346/B346)))/C346)/100))))</f>
        <v>0</v>
      </c>
      <c r="AQ346" s="57">
        <f>IF(ISERROR(IF(B346=C346,F346/C346,IF((INT(F346/B346)+(((F346-B346*INT(F346/B346)))/C346)/100)&lt;0,(INT(F346/B346)+(((F346-B346*INT(F346/B346)))/C346)/100)+(1-(B346/C346/100)),(INT(F346/B346)+(((F346-B346*INT(F346/B346)))/C346)/100)))),0,IF(B346=C346,F346/C346,IF((INT(F346/B346)+(((F346-B346*INT(F346/B346)))/C346)/100)&lt;0,(INT(F346/B346)+(((F346-B346*INT(F346/B346)))/C346)/100)+(1-(B346/C346/100)),(INT(F346/B346)+(((F346-B346*INT(F346/B346)))/C346)/100))))</f>
        <v>0</v>
      </c>
      <c r="AR346" s="57">
        <f>IF(ISERROR(IF(B346=C346,G346/C346,(INT(G346/B346)+(((G346-B346*INT(G346/B346)))/C346)/100))),0,(IF(B346=C346,G346/C346,(INT(G346/B346)+(((G346-B346*INT(G346/B346)))/C346)/100))))</f>
        <v>0</v>
      </c>
      <c r="AS346" s="57">
        <f>IF(ISERROR(IF(B346=C346,H346/C346,(INT(H346/B346)+(((H346-B346*INT(H346/B346)))/C346)/100))),0,(IF(B346=C346,H346/C346,(INT(H346/B346)+(((H346-B346*INT(H346/B346)))/C346)/100))))</f>
        <v>0</v>
      </c>
      <c r="AT346" s="57">
        <f>IF(ISERROR(IF(B346=C346,I346/C346,(INT(I346/B346)+(((I346-B346*INT(I346/B346)))/C346)/100))),0,(IF(B346=C346,I346/C346,(INT(I346/B346)+(((I346-B346*INT(I346/B346)))/C346)/100))))</f>
        <v>0</v>
      </c>
      <c r="AU346" s="57">
        <f>IF(ISERROR(IF(B346=C346,J346/C346,(INT(J346/B346)+(((J346-B346*INT(J346/B346)))/C346)/100))),0,(IF(B346=C346,J346/C346,(INT(J346/B346)+(((J346-B346*INT(J346/B346)))/C346)/100))))</f>
        <v>0</v>
      </c>
      <c r="AV346" s="57">
        <f>IF(ISERROR(IF(B346=C346,K346/C346,IF((INT(K346/B346)+(((K346-B346*INT(K346/B346)))/C346)/100)&lt;0,(INT(K346/B346)+(((K346-B346*INT(K346/B346)))/C346)/100)+(1-(B346/C346/100)),(INT(K346/B346)+(((K346-B346*INT(K346/B346)))/C346)/100)))),0,IF(B346=C346,K346/C346,IF((INT(K346/B346)+(((K346-B346*INT(K346/B346)))/C346)/100)&lt;0,(INT(K346/B346)+(((K346-B346*INT(K346/B346)))/C346)/100)+(1-(B346/C346/100)),(INT(K346/B346)+(((K346-B346*INT(K346/B346)))/C346)/100))))</f>
        <v>0</v>
      </c>
      <c r="AW346" s="57">
        <f>IF(ISERROR(IF(B346=C346,L346/C346,(INT(L346/B346)+(((L346-B346*INT(L346/B346)))/C346)/100))),0,(IF(B346=C346,L346/C346,(INT(L346/B346)+(((L346-B346*INT(L346/B346)))/C346)/100))))</f>
        <v>0</v>
      </c>
      <c r="AX346" s="57">
        <f>IF(ISERROR(IF(B346=C346,M346/C346,(INT(M346/B346)+(((M346-B346*INT(M346/B346)))/C346)/100))),0,(IF(B346=C346,M346/C346,(INT(M346/B346)+(((M346-B346*INT(M346/B346)))/C346)/100))))</f>
        <v>0</v>
      </c>
      <c r="AY346" s="57">
        <f>IF(ISERROR(IF(B346=C346,N346/C346,IF((INT(N346/B346)+(((N346-B346*INT(N346/B346)))/C346)/100)&lt;0,(INT(N346/B346)+(((N346-B346*INT(N346/B346)))/C346)/100)+(1-(B346/C346/100)),(INT(N346/B346)+(((N346-B346*INT(N346/B346)))/C346)/100)))),0,IF(B346=C346,N346/C346,IF((INT(N346/B346)+(((N346-B346*INT(N346/B346)))/C346)/100)&lt;0,(INT(N346/B346)+(((N346-B346*INT(N346/B346)))/C346)/100)+(1-(B346/C346/100)),(INT(N346/B346)+(((N346-B346*INT(N346/B346)))/C346)/100))))</f>
        <v>0</v>
      </c>
      <c r="AZ346" s="57">
        <f>IF(ISERROR(IF(B346=C346,O346/C346,(INT(O346/B346)+(((O346-B346*INT(O346/B346)))/C346)/100))),0,(IF(B346=C346,O346/C346,(INT(O346/B346)+(((O346-B346*INT(O346/B346)))/C346)/100))))</f>
        <v>0</v>
      </c>
      <c r="BA346" s="57">
        <f>IF(ISERROR(IF(B346=C346,P346/C346,IF((INT(P346/B346)+(((P346-B346*INT(P346/B346)))/C346)/100)&lt;0,(INT(P346/B346)+(((P346-B346*INT(P346/B346)))/C346)/100)+(1-(B346/C346/100)),(INT(P346/B346)+(((P346-B346*INT(P346/B346)))/C346)/100)))),0,IF(B346=C346,P346/C346,IF((INT(P346/B346)+(((P346-B346*INT(P346/B346)))/C346)/100)&lt;0,(INT(P346/B346)+(((P346-B346*INT(P346/B346)))/C346)/100)+(1-(B346/C346/100)),(INT(P346/B346)+(((P346-B346*INT(P346/B346)))/C346)/100))))</f>
        <v>0</v>
      </c>
      <c r="BB346" s="28">
        <f>R346</f>
        <v>0</v>
      </c>
      <c r="BC346" s="28">
        <f>S346</f>
        <v>0</v>
      </c>
      <c r="BD346" s="28">
        <f>AF346</f>
        <v>0</v>
      </c>
      <c r="BE346" s="28">
        <f>T346</f>
        <v>0</v>
      </c>
      <c r="BG346" s="57">
        <f>IF(ISERROR(IF(B346=C346,V346/C346,(INT(V346/B346)+(((V346-B346*INT(V346/B346)))/C346)/100))),0,(IF(B346=C346,V346/C346,(INT(V346/B346)+(((V346-B346*INT(V346/B346)))/C346)/100))))</f>
        <v>0</v>
      </c>
      <c r="BH346" s="57">
        <f>IF(ISERROR(IF(B346=C346,W346/C346,(INT(W346/B346)+(((W346-B346*INT(W346/B346)))/C346)/100))),0,(IF(B346=C346,W346/C346,(INT(W346/B346)+(((W346-B346*INT(W346/B346)))/C346)/100))))</f>
        <v>0</v>
      </c>
      <c r="BI346" s="57">
        <f>IF(ISERROR(IF(B346=C346,X346/C346,(INT(X346/B346)+(((X346-B346*INT(X346/B346)))/C346)/100))),0,(IF(B346=C346,X346/C346,(INT(X346/B346)+(((X346-B346*INT(X346/B346)))/C346)/100))))</f>
        <v>0</v>
      </c>
      <c r="BJ346" s="57">
        <f>IF(ISERROR(IF(B346=C346,Y346/C346,(INT(Y346/B346)+(((Y346-B346*INT(Y346/B346)))/C346)/100))),0,(IF(B346=C346,Y346/C346,(INT(Y346/B346)+(((Y346-B346*INT(Y346/B346)))/C346)/100))))</f>
        <v>0</v>
      </c>
      <c r="BL346" s="57">
        <f>IF(ISERROR(IF(B346=C346,AA346/C346,(INT(AA346/B346)+(((AA346-B346*INT(AA346/B346)))/C346)/100))),0,(IF(B346=C346,AA346/C346,(INT(AA346/B346)+(((AA346-B346*INT(AA346/B346)))/C346)/100))))</f>
        <v>0</v>
      </c>
      <c r="BM346" s="57">
        <f>IF(ISERROR(IF(B346=C346,AB346/C346,(INT(AB346/B346)+(((AB346-B346*INT(AB346/B346)))/C346)/100))),0,(IF(B346=C346,AB346/C346,(INT(AB346/B346)+(((AB346-B346*INT(AB346/B346)))/C346)/100))))</f>
        <v>0</v>
      </c>
      <c r="BN346" s="57">
        <f>IF(ISERROR(IF(B346=C346,AC346/C346,(INT(AC346/B346)+(((AC346-B346*INT(AC346/B346)))/C346)/100))),0,(IF(B346=C346,AC346/C346,(INT(AC346/B346)+(((AC346-B346*INT(AC346/B346)))/C346)/100))))</f>
        <v>0</v>
      </c>
      <c r="BO346" s="57">
        <f>IF(ISERROR(IF(B346=C346,AD346/C346,(INT(AD346/B346)+(((AD346-B346*INT(AD346/B346)))/C346)/100))),0,(IF(B346=C346,AD346/C346,(INT(AD346/B346)+(((AD346-B346*INT(AD346/B346)))/C346)/100))))</f>
        <v>0</v>
      </c>
      <c r="BQ346" s="155"/>
    </row>
    <row r="347" spans="1:69" hidden="1" x14ac:dyDescent="0.35">
      <c r="A347" s="94"/>
      <c r="B347" s="113">
        <v>0</v>
      </c>
      <c r="C347" s="113">
        <v>0</v>
      </c>
      <c r="D347" s="28">
        <f>SUM(AA347:AD347)</f>
        <v>0</v>
      </c>
      <c r="E347" s="113">
        <v>0</v>
      </c>
      <c r="F347" s="113">
        <v>0</v>
      </c>
      <c r="G347" s="28">
        <f>SUM(D347:F347)</f>
        <v>0</v>
      </c>
      <c r="H347" s="125">
        <v>0</v>
      </c>
      <c r="I347" s="113">
        <v>0</v>
      </c>
      <c r="J347" s="125">
        <v>0</v>
      </c>
      <c r="K347" s="113">
        <v>0</v>
      </c>
      <c r="L347" s="113">
        <v>0</v>
      </c>
      <c r="M347" s="113">
        <v>0</v>
      </c>
      <c r="N347" s="28">
        <f>G347-SUM(H347:M347)</f>
        <v>0</v>
      </c>
      <c r="O347" s="28">
        <f>SUM(V347:Y347)</f>
        <v>0</v>
      </c>
      <c r="P347" s="28">
        <f>O347-N347</f>
        <v>0</v>
      </c>
      <c r="Q347" s="61" t="str">
        <f>IF(ISERROR(P347/SUM(H347:L347)),"",P347/SUM(H347:L347))</f>
        <v/>
      </c>
      <c r="R347" s="113">
        <v>0</v>
      </c>
      <c r="S347" s="28">
        <f>IF(ISERROR(P347/C347*R347),0,(P347/C347*R347))</f>
        <v>0</v>
      </c>
      <c r="T347" s="60">
        <f>IF(ISERROR(P347/B347*AF347),0,(P347/B347*AF347))</f>
        <v>0</v>
      </c>
      <c r="V347" s="113">
        <v>0</v>
      </c>
      <c r="W347" s="113">
        <v>0</v>
      </c>
      <c r="X347" s="113">
        <v>0</v>
      </c>
      <c r="Y347" s="113">
        <v>0</v>
      </c>
      <c r="AA347" s="113">
        <v>0</v>
      </c>
      <c r="AB347" s="113">
        <v>0</v>
      </c>
      <c r="AC347" s="113">
        <v>0</v>
      </c>
      <c r="AD347" s="113">
        <v>0</v>
      </c>
      <c r="AF347" s="113">
        <v>0</v>
      </c>
      <c r="AG347" s="28">
        <f>G347-O347</f>
        <v>0</v>
      </c>
      <c r="AH347" s="58">
        <f>IF(ISERROR(AG347/B347*AF347),0,(AG347/B347*AF347))</f>
        <v>0</v>
      </c>
      <c r="AI347" s="28">
        <f>SUM(H347:M347)</f>
        <v>0</v>
      </c>
      <c r="AJ347" s="28">
        <f>IF(ISERROR(AI347/B347*AF347),0,(AI347/B347*AF347))</f>
        <v>0</v>
      </c>
      <c r="AK347" s="58">
        <f>IF(ISERROR(O347/B347*AF347),0,(O347/B347*AF347))</f>
        <v>0</v>
      </c>
      <c r="AL347" s="28">
        <f>IF(ISERROR(H347/B347*AF347),0,(H347/B347*AF347))</f>
        <v>0</v>
      </c>
      <c r="AN347" s="51">
        <f>A347</f>
        <v>0</v>
      </c>
      <c r="AO347" s="57">
        <f>IF(ISERROR(IF(B347=C347,D347/C347,(INT(D347/B347)+(((D347-B347*INT(D347/B347)))/C347)/100))),0,(IF(B347=C347,D347/C347,(INT(D347/B347)+(((D347-B347*INT(D347/B347)))/C347)/100))))</f>
        <v>0</v>
      </c>
      <c r="AP347" s="57">
        <f>IF(ISERROR(IF(B347=C347,E347/C347,(INT(E347/B347)+(((E347-B347*INT(E347/B347)))/C347)/100))),0,(IF(B347=C347,E347/C347,(INT(E347/B347)+(((E347-B347*INT(E347/B347)))/C347)/100))))</f>
        <v>0</v>
      </c>
      <c r="AQ347" s="57">
        <f>IF(ISERROR(IF(B347=C347,F347/C347,IF((INT(F347/B347)+(((F347-B347*INT(F347/B347)))/C347)/100)&lt;0,(INT(F347/B347)+(((F347-B347*INT(F347/B347)))/C347)/100)+(1-(B347/C347/100)),(INT(F347/B347)+(((F347-B347*INT(F347/B347)))/C347)/100)))),0,IF(B347=C347,F347/C347,IF((INT(F347/B347)+(((F347-B347*INT(F347/B347)))/C347)/100)&lt;0,(INT(F347/B347)+(((F347-B347*INT(F347/B347)))/C347)/100)+(1-(B347/C347/100)),(INT(F347/B347)+(((F347-B347*INT(F347/B347)))/C347)/100))))</f>
        <v>0</v>
      </c>
      <c r="AR347" s="57">
        <f>IF(ISERROR(IF(B347=C347,G347/C347,(INT(G347/B347)+(((G347-B347*INT(G347/B347)))/C347)/100))),0,(IF(B347=C347,G347/C347,(INT(G347/B347)+(((G347-B347*INT(G347/B347)))/C347)/100))))</f>
        <v>0</v>
      </c>
      <c r="AS347" s="57">
        <f>IF(ISERROR(IF(B347=C347,H347/C347,(INT(H347/B347)+(((H347-B347*INT(H347/B347)))/C347)/100))),0,(IF(B347=C347,H347/C347,(INT(H347/B347)+(((H347-B347*INT(H347/B347)))/C347)/100))))</f>
        <v>0</v>
      </c>
      <c r="AT347" s="57">
        <f>IF(ISERROR(IF(B347=C347,I347/C347,(INT(I347/B347)+(((I347-B347*INT(I347/B347)))/C347)/100))),0,(IF(B347=C347,I347/C347,(INT(I347/B347)+(((I347-B347*INT(I347/B347)))/C347)/100))))</f>
        <v>0</v>
      </c>
      <c r="AU347" s="57">
        <f>IF(ISERROR(IF(B347=C347,J347/C347,(INT(J347/B347)+(((J347-B347*INT(J347/B347)))/C347)/100))),0,(IF(B347=C347,J347/C347,(INT(J347/B347)+(((J347-B347*INT(J347/B347)))/C347)/100))))</f>
        <v>0</v>
      </c>
      <c r="AV347" s="57">
        <f>IF(ISERROR(IF(B347=C347,K347/C347,IF((INT(K347/B347)+(((K347-B347*INT(K347/B347)))/C347)/100)&lt;0,(INT(K347/B347)+(((K347-B347*INT(K347/B347)))/C347)/100)+(1-(B347/C347/100)),(INT(K347/B347)+(((K347-B347*INT(K347/B347)))/C347)/100)))),0,IF(B347=C347,K347/C347,IF((INT(K347/B347)+(((K347-B347*INT(K347/B347)))/C347)/100)&lt;0,(INT(K347/B347)+(((K347-B347*INT(K347/B347)))/C347)/100)+(1-(B347/C347/100)),(INT(K347/B347)+(((K347-B347*INT(K347/B347)))/C347)/100))))</f>
        <v>0</v>
      </c>
      <c r="AW347" s="57">
        <f>IF(ISERROR(IF(B347=C347,L347/C347,(INT(L347/B347)+(((L347-B347*INT(L347/B347)))/C347)/100))),0,(IF(B347=C347,L347/C347,(INT(L347/B347)+(((L347-B347*INT(L347/B347)))/C347)/100))))</f>
        <v>0</v>
      </c>
      <c r="AX347" s="57">
        <f>IF(ISERROR(IF(B347=C347,M347/C347,(INT(M347/B347)+(((M347-B347*INT(M347/B347)))/C347)/100))),0,(IF(B347=C347,M347/C347,(INT(M347/B347)+(((M347-B347*INT(M347/B347)))/C347)/100))))</f>
        <v>0</v>
      </c>
      <c r="AY347" s="57">
        <f>IF(ISERROR(IF(B347=C347,N347/C347,IF((INT(N347/B347)+(((N347-B347*INT(N347/B347)))/C347)/100)&lt;0,(INT(N347/B347)+(((N347-B347*INT(N347/B347)))/C347)/100)+(1-(B347/C347/100)),(INT(N347/B347)+(((N347-B347*INT(N347/B347)))/C347)/100)))),0,IF(B347=C347,N347/C347,IF((INT(N347/B347)+(((N347-B347*INT(N347/B347)))/C347)/100)&lt;0,(INT(N347/B347)+(((N347-B347*INT(N347/B347)))/C347)/100)+(1-(B347/C347/100)),(INT(N347/B347)+(((N347-B347*INT(N347/B347)))/C347)/100))))</f>
        <v>0</v>
      </c>
      <c r="AZ347" s="57">
        <f>IF(ISERROR(IF(B347=C347,O347/C347,(INT(O347/B347)+(((O347-B347*INT(O347/B347)))/C347)/100))),0,(IF(B347=C347,O347/C347,(INT(O347/B347)+(((O347-B347*INT(O347/B347)))/C347)/100))))</f>
        <v>0</v>
      </c>
      <c r="BA347" s="57">
        <f>IF(ISERROR(IF(B347=C347,P347/C347,IF((INT(P347/B347)+(((P347-B347*INT(P347/B347)))/C347)/100)&lt;0,(INT(P347/B347)+(((P347-B347*INT(P347/B347)))/C347)/100)+(1-(B347/C347/100)),(INT(P347/B347)+(((P347-B347*INT(P347/B347)))/C347)/100)))),0,IF(B347=C347,P347/C347,IF((INT(P347/B347)+(((P347-B347*INT(P347/B347)))/C347)/100)&lt;0,(INT(P347/B347)+(((P347-B347*INT(P347/B347)))/C347)/100)+(1-(B347/C347/100)),(INT(P347/B347)+(((P347-B347*INT(P347/B347)))/C347)/100))))</f>
        <v>0</v>
      </c>
      <c r="BB347" s="28">
        <f>R347</f>
        <v>0</v>
      </c>
      <c r="BC347" s="28">
        <f>S347</f>
        <v>0</v>
      </c>
      <c r="BD347" s="28">
        <f>AF347</f>
        <v>0</v>
      </c>
      <c r="BE347" s="28">
        <f>T347</f>
        <v>0</v>
      </c>
      <c r="BG347" s="57">
        <f>IF(ISERROR(IF(B347=C347,V347/C347,(INT(V347/B347)+(((V347-B347*INT(V347/B347)))/C347)/100))),0,(IF(B347=C347,V347/C347,(INT(V347/B347)+(((V347-B347*INT(V347/B347)))/C347)/100))))</f>
        <v>0</v>
      </c>
      <c r="BH347" s="57">
        <f>IF(ISERROR(IF(B347=C347,W347/C347,(INT(W347/B347)+(((W347-B347*INT(W347/B347)))/C347)/100))),0,(IF(B347=C347,W347/C347,(INT(W347/B347)+(((W347-B347*INT(W347/B347)))/C347)/100))))</f>
        <v>0</v>
      </c>
      <c r="BI347" s="57">
        <f>IF(ISERROR(IF(B347=C347,X347/C347,(INT(X347/B347)+(((X347-B347*INT(X347/B347)))/C347)/100))),0,(IF(B347=C347,X347/C347,(INT(X347/B347)+(((X347-B347*INT(X347/B347)))/C347)/100))))</f>
        <v>0</v>
      </c>
      <c r="BJ347" s="57">
        <f>IF(ISERROR(IF(B347=C347,Y347/C347,(INT(Y347/B347)+(((Y347-B347*INT(Y347/B347)))/C347)/100))),0,(IF(B347=C347,Y347/C347,(INT(Y347/B347)+(((Y347-B347*INT(Y347/B347)))/C347)/100))))</f>
        <v>0</v>
      </c>
      <c r="BL347" s="57">
        <f>IF(ISERROR(IF(B347=C347,AA347/C347,(INT(AA347/B347)+(((AA347-B347*INT(AA347/B347)))/C347)/100))),0,(IF(B347=C347,AA347/C347,(INT(AA347/B347)+(((AA347-B347*INT(AA347/B347)))/C347)/100))))</f>
        <v>0</v>
      </c>
      <c r="BM347" s="57">
        <f>IF(ISERROR(IF(B347=C347,AB347/C347,(INT(AB347/B347)+(((AB347-B347*INT(AB347/B347)))/C347)/100))),0,(IF(B347=C347,AB347/C347,(INT(AB347/B347)+(((AB347-B347*INT(AB347/B347)))/C347)/100))))</f>
        <v>0</v>
      </c>
      <c r="BN347" s="57">
        <f>IF(ISERROR(IF(B347=C347,AC347/C347,(INT(AC347/B347)+(((AC347-B347*INT(AC347/B347)))/C347)/100))),0,(IF(B347=C347,AC347/C347,(INT(AC347/B347)+(((AC347-B347*INT(AC347/B347)))/C347)/100))))</f>
        <v>0</v>
      </c>
      <c r="BO347" s="57">
        <f>IF(ISERROR(IF(B347=C347,AD347/C347,(INT(AD347/B347)+(((AD347-B347*INT(AD347/B347)))/C347)/100))),0,(IF(B347=C347,AD347/C347,(INT(AD347/B347)+(((AD347-B347*INT(AD347/B347)))/C347)/100))))</f>
        <v>0</v>
      </c>
      <c r="BQ347" s="155"/>
    </row>
    <row r="348" spans="1:69" hidden="1" x14ac:dyDescent="0.35">
      <c r="A348" s="94"/>
      <c r="B348" s="113">
        <v>0</v>
      </c>
      <c r="C348" s="113">
        <v>0</v>
      </c>
      <c r="D348" s="28">
        <f>SUM(AA348:AD348)</f>
        <v>0</v>
      </c>
      <c r="E348" s="113">
        <v>0</v>
      </c>
      <c r="F348" s="113">
        <v>0</v>
      </c>
      <c r="G348" s="28">
        <f>SUM(D348:F348)</f>
        <v>0</v>
      </c>
      <c r="H348" s="125">
        <v>0</v>
      </c>
      <c r="I348" s="113">
        <v>0</v>
      </c>
      <c r="J348" s="125">
        <v>0</v>
      </c>
      <c r="K348" s="113">
        <v>0</v>
      </c>
      <c r="L348" s="113">
        <v>0</v>
      </c>
      <c r="M348" s="113">
        <v>0</v>
      </c>
      <c r="N348" s="28">
        <f>G348-SUM(H348:M348)</f>
        <v>0</v>
      </c>
      <c r="O348" s="28">
        <f>SUM(V348:Y348)</f>
        <v>0</v>
      </c>
      <c r="P348" s="28">
        <f>O348-N348</f>
        <v>0</v>
      </c>
      <c r="Q348" s="61" t="str">
        <f>IF(ISERROR(P348/SUM(H348:L348)),"",P348/SUM(H348:L348))</f>
        <v/>
      </c>
      <c r="R348" s="113">
        <v>0</v>
      </c>
      <c r="S348" s="28">
        <f>IF(ISERROR(P348/C348*R348),0,(P348/C348*R348))</f>
        <v>0</v>
      </c>
      <c r="T348" s="60">
        <f>IF(ISERROR(P348/B348*AF348),0,(P348/B348*AF348))</f>
        <v>0</v>
      </c>
      <c r="V348" s="113">
        <v>0</v>
      </c>
      <c r="W348" s="113">
        <v>0</v>
      </c>
      <c r="X348" s="113">
        <v>0</v>
      </c>
      <c r="Y348" s="113">
        <v>0</v>
      </c>
      <c r="AA348" s="113">
        <v>0</v>
      </c>
      <c r="AB348" s="113">
        <v>0</v>
      </c>
      <c r="AC348" s="113">
        <v>0</v>
      </c>
      <c r="AD348" s="113">
        <v>0</v>
      </c>
      <c r="AF348" s="113">
        <v>0</v>
      </c>
      <c r="AG348" s="28">
        <f>G348-O348</f>
        <v>0</v>
      </c>
      <c r="AH348" s="58">
        <f>IF(ISERROR(AG348/B348*AF348),0,(AG348/B348*AF348))</f>
        <v>0</v>
      </c>
      <c r="AI348" s="28">
        <f>SUM(H348:M348)</f>
        <v>0</v>
      </c>
      <c r="AJ348" s="28">
        <f>IF(ISERROR(AI348/B348*AF348),0,(AI348/B348*AF348))</f>
        <v>0</v>
      </c>
      <c r="AK348" s="58">
        <f>IF(ISERROR(O348/B348*AF348),0,(O348/B348*AF348))</f>
        <v>0</v>
      </c>
      <c r="AL348" s="28">
        <f>IF(ISERROR(H348/B348*AF348),0,(H348/B348*AF348))</f>
        <v>0</v>
      </c>
      <c r="AN348" s="51">
        <f>A348</f>
        <v>0</v>
      </c>
      <c r="AO348" s="57">
        <f>IF(ISERROR(IF(B348=C348,D348/C348,(INT(D348/B348)+(((D348-B348*INT(D348/B348)))/C348)/100))),0,(IF(B348=C348,D348/C348,(INT(D348/B348)+(((D348-B348*INT(D348/B348)))/C348)/100))))</f>
        <v>0</v>
      </c>
      <c r="AP348" s="57">
        <f>IF(ISERROR(IF(B348=C348,E348/C348,(INT(E348/B348)+(((E348-B348*INT(E348/B348)))/C348)/100))),0,(IF(B348=C348,E348/C348,(INT(E348/B348)+(((E348-B348*INT(E348/B348)))/C348)/100))))</f>
        <v>0</v>
      </c>
      <c r="AQ348" s="57">
        <f>IF(ISERROR(IF(B348=C348,F348/C348,IF((INT(F348/B348)+(((F348-B348*INT(F348/B348)))/C348)/100)&lt;0,(INT(F348/B348)+(((F348-B348*INT(F348/B348)))/C348)/100)+(1-(B348/C348/100)),(INT(F348/B348)+(((F348-B348*INT(F348/B348)))/C348)/100)))),0,IF(B348=C348,F348/C348,IF((INT(F348/B348)+(((F348-B348*INT(F348/B348)))/C348)/100)&lt;0,(INT(F348/B348)+(((F348-B348*INT(F348/B348)))/C348)/100)+(1-(B348/C348/100)),(INT(F348/B348)+(((F348-B348*INT(F348/B348)))/C348)/100))))</f>
        <v>0</v>
      </c>
      <c r="AR348" s="57">
        <f>IF(ISERROR(IF(B348=C348,G348/C348,(INT(G348/B348)+(((G348-B348*INT(G348/B348)))/C348)/100))),0,(IF(B348=C348,G348/C348,(INT(G348/B348)+(((G348-B348*INT(G348/B348)))/C348)/100))))</f>
        <v>0</v>
      </c>
      <c r="AS348" s="57">
        <f>IF(ISERROR(IF(B348=C348,H348/C348,(INT(H348/B348)+(((H348-B348*INT(H348/B348)))/C348)/100))),0,(IF(B348=C348,H348/C348,(INT(H348/B348)+(((H348-B348*INT(H348/B348)))/C348)/100))))</f>
        <v>0</v>
      </c>
      <c r="AT348" s="57">
        <f>IF(ISERROR(IF(B348=C348,I348/C348,(INT(I348/B348)+(((I348-B348*INT(I348/B348)))/C348)/100))),0,(IF(B348=C348,I348/C348,(INT(I348/B348)+(((I348-B348*INT(I348/B348)))/C348)/100))))</f>
        <v>0</v>
      </c>
      <c r="AU348" s="57">
        <f>IF(ISERROR(IF(B348=C348,J348/C348,(INT(J348/B348)+(((J348-B348*INT(J348/B348)))/C348)/100))),0,(IF(B348=C348,J348/C348,(INT(J348/B348)+(((J348-B348*INT(J348/B348)))/C348)/100))))</f>
        <v>0</v>
      </c>
      <c r="AV348" s="57">
        <f>IF(ISERROR(IF(B348=C348,K348/C348,IF((INT(K348/B348)+(((K348-B348*INT(K348/B348)))/C348)/100)&lt;0,(INT(K348/B348)+(((K348-B348*INT(K348/B348)))/C348)/100)+(1-(B348/C348/100)),(INT(K348/B348)+(((K348-B348*INT(K348/B348)))/C348)/100)))),0,IF(B348=C348,K348/C348,IF((INT(K348/B348)+(((K348-B348*INT(K348/B348)))/C348)/100)&lt;0,(INT(K348/B348)+(((K348-B348*INT(K348/B348)))/C348)/100)+(1-(B348/C348/100)),(INT(K348/B348)+(((K348-B348*INT(K348/B348)))/C348)/100))))</f>
        <v>0</v>
      </c>
      <c r="AW348" s="57">
        <f>IF(ISERROR(IF(B348=C348,L348/C348,(INT(L348/B348)+(((L348-B348*INT(L348/B348)))/C348)/100))),0,(IF(B348=C348,L348/C348,(INT(L348/B348)+(((L348-B348*INT(L348/B348)))/C348)/100))))</f>
        <v>0</v>
      </c>
      <c r="AX348" s="57">
        <f>IF(ISERROR(IF(B348=C348,M348/C348,(INT(M348/B348)+(((M348-B348*INT(M348/B348)))/C348)/100))),0,(IF(B348=C348,M348/C348,(INT(M348/B348)+(((M348-B348*INT(M348/B348)))/C348)/100))))</f>
        <v>0</v>
      </c>
      <c r="AY348" s="57">
        <f>IF(ISERROR(IF(B348=C348,N348/C348,IF((INT(N348/B348)+(((N348-B348*INT(N348/B348)))/C348)/100)&lt;0,(INT(N348/B348)+(((N348-B348*INT(N348/B348)))/C348)/100)+(1-(B348/C348/100)),(INT(N348/B348)+(((N348-B348*INT(N348/B348)))/C348)/100)))),0,IF(B348=C348,N348/C348,IF((INT(N348/B348)+(((N348-B348*INT(N348/B348)))/C348)/100)&lt;0,(INT(N348/B348)+(((N348-B348*INT(N348/B348)))/C348)/100)+(1-(B348/C348/100)),(INT(N348/B348)+(((N348-B348*INT(N348/B348)))/C348)/100))))</f>
        <v>0</v>
      </c>
      <c r="AZ348" s="57">
        <f>IF(ISERROR(IF(B348=C348,O348/C348,(INT(O348/B348)+(((O348-B348*INT(O348/B348)))/C348)/100))),0,(IF(B348=C348,O348/C348,(INT(O348/B348)+(((O348-B348*INT(O348/B348)))/C348)/100))))</f>
        <v>0</v>
      </c>
      <c r="BA348" s="57">
        <f>IF(ISERROR(IF(B348=C348,P348/C348,IF((INT(P348/B348)+(((P348-B348*INT(P348/B348)))/C348)/100)&lt;0,(INT(P348/B348)+(((P348-B348*INT(P348/B348)))/C348)/100)+(1-(B348/C348/100)),(INT(P348/B348)+(((P348-B348*INT(P348/B348)))/C348)/100)))),0,IF(B348=C348,P348/C348,IF((INT(P348/B348)+(((P348-B348*INT(P348/B348)))/C348)/100)&lt;0,(INT(P348/B348)+(((P348-B348*INT(P348/B348)))/C348)/100)+(1-(B348/C348/100)),(INT(P348/B348)+(((P348-B348*INT(P348/B348)))/C348)/100))))</f>
        <v>0</v>
      </c>
      <c r="BB348" s="28">
        <f>R348</f>
        <v>0</v>
      </c>
      <c r="BC348" s="28">
        <f>S348</f>
        <v>0</v>
      </c>
      <c r="BD348" s="28">
        <f>AF348</f>
        <v>0</v>
      </c>
      <c r="BE348" s="28">
        <f>T348</f>
        <v>0</v>
      </c>
      <c r="BG348" s="57">
        <f>IF(ISERROR(IF(B348=C348,V348/C348,(INT(V348/B348)+(((V348-B348*INT(V348/B348)))/C348)/100))),0,(IF(B348=C348,V348/C348,(INT(V348/B348)+(((V348-B348*INT(V348/B348)))/C348)/100))))</f>
        <v>0</v>
      </c>
      <c r="BH348" s="57">
        <f>IF(ISERROR(IF(B348=C348,W348/C348,(INT(W348/B348)+(((W348-B348*INT(W348/B348)))/C348)/100))),0,(IF(B348=C348,W348/C348,(INT(W348/B348)+(((W348-B348*INT(W348/B348)))/C348)/100))))</f>
        <v>0</v>
      </c>
      <c r="BI348" s="57">
        <f>IF(ISERROR(IF(B348=C348,X348/C348,(INT(X348/B348)+(((X348-B348*INT(X348/B348)))/C348)/100))),0,(IF(B348=C348,X348/C348,(INT(X348/B348)+(((X348-B348*INT(X348/B348)))/C348)/100))))</f>
        <v>0</v>
      </c>
      <c r="BJ348" s="57">
        <f>IF(ISERROR(IF(B348=C348,Y348/C348,(INT(Y348/B348)+(((Y348-B348*INT(Y348/B348)))/C348)/100))),0,(IF(B348=C348,Y348/C348,(INT(Y348/B348)+(((Y348-B348*INT(Y348/B348)))/C348)/100))))</f>
        <v>0</v>
      </c>
      <c r="BL348" s="57">
        <f>IF(ISERROR(IF(B348=C348,AA348/C348,(INT(AA348/B348)+(((AA348-B348*INT(AA348/B348)))/C348)/100))),0,(IF(B348=C348,AA348/C348,(INT(AA348/B348)+(((AA348-B348*INT(AA348/B348)))/C348)/100))))</f>
        <v>0</v>
      </c>
      <c r="BM348" s="57">
        <f>IF(ISERROR(IF(B348=C348,AB348/C348,(INT(AB348/B348)+(((AB348-B348*INT(AB348/B348)))/C348)/100))),0,(IF(B348=C348,AB348/C348,(INT(AB348/B348)+(((AB348-B348*INT(AB348/B348)))/C348)/100))))</f>
        <v>0</v>
      </c>
      <c r="BN348" s="57">
        <f>IF(ISERROR(IF(B348=C348,AC348/C348,(INT(AC348/B348)+(((AC348-B348*INT(AC348/B348)))/C348)/100))),0,(IF(B348=C348,AC348/C348,(INT(AC348/B348)+(((AC348-B348*INT(AC348/B348)))/C348)/100))))</f>
        <v>0</v>
      </c>
      <c r="BO348" s="57">
        <f>IF(ISERROR(IF(B348=C348,AD348/C348,(INT(AD348/B348)+(((AD348-B348*INT(AD348/B348)))/C348)/100))),0,(IF(B348=C348,AD348/C348,(INT(AD348/B348)+(((AD348-B348*INT(AD348/B348)))/C348)/100))))</f>
        <v>0</v>
      </c>
      <c r="BQ348" s="155"/>
    </row>
    <row r="349" spans="1:69" hidden="1" x14ac:dyDescent="0.35">
      <c r="A349" s="94"/>
      <c r="B349" s="113">
        <v>0</v>
      </c>
      <c r="C349" s="113">
        <v>0</v>
      </c>
      <c r="D349" s="28">
        <f>SUM(AA349:AD349)</f>
        <v>0</v>
      </c>
      <c r="E349" s="113">
        <v>0</v>
      </c>
      <c r="F349" s="113">
        <v>0</v>
      </c>
      <c r="G349" s="28">
        <f>SUM(D349:F349)</f>
        <v>0</v>
      </c>
      <c r="H349" s="125">
        <v>0</v>
      </c>
      <c r="I349" s="113">
        <v>0</v>
      </c>
      <c r="J349" s="125">
        <v>0</v>
      </c>
      <c r="K349" s="113">
        <v>0</v>
      </c>
      <c r="L349" s="113">
        <v>0</v>
      </c>
      <c r="M349" s="113">
        <v>0</v>
      </c>
      <c r="N349" s="28">
        <f>G349-SUM(H349:M349)</f>
        <v>0</v>
      </c>
      <c r="O349" s="28">
        <f>SUM(V349:Y349)</f>
        <v>0</v>
      </c>
      <c r="P349" s="28">
        <f>O349-N349</f>
        <v>0</v>
      </c>
      <c r="Q349" s="61" t="str">
        <f>IF(ISERROR(P349/SUM(H349:L349)),"",P349/SUM(H349:L349))</f>
        <v/>
      </c>
      <c r="R349" s="113">
        <v>0</v>
      </c>
      <c r="S349" s="28">
        <f>IF(ISERROR(P349/C349*R349),0,(P349/C349*R349))</f>
        <v>0</v>
      </c>
      <c r="T349" s="60">
        <f>IF(ISERROR(P349/B349*AF349),0,(P349/B349*AF349))</f>
        <v>0</v>
      </c>
      <c r="V349" s="113">
        <v>0</v>
      </c>
      <c r="W349" s="113">
        <v>0</v>
      </c>
      <c r="X349" s="113">
        <v>0</v>
      </c>
      <c r="Y349" s="113">
        <v>0</v>
      </c>
      <c r="AA349" s="113">
        <v>0</v>
      </c>
      <c r="AB349" s="113">
        <v>0</v>
      </c>
      <c r="AC349" s="113">
        <v>0</v>
      </c>
      <c r="AD349" s="113">
        <v>0</v>
      </c>
      <c r="AF349" s="113">
        <v>0</v>
      </c>
      <c r="AG349" s="28">
        <f>G349-O349</f>
        <v>0</v>
      </c>
      <c r="AH349" s="58">
        <f>IF(ISERROR(AG349/B349*AF349),0,(AG349/B349*AF349))</f>
        <v>0</v>
      </c>
      <c r="AI349" s="28">
        <f>SUM(H349:M349)</f>
        <v>0</v>
      </c>
      <c r="AJ349" s="28">
        <f>IF(ISERROR(AI349/B349*AF349),0,(AI349/B349*AF349))</f>
        <v>0</v>
      </c>
      <c r="AK349" s="58">
        <f>IF(ISERROR(O349/B349*AF349),0,(O349/B349*AF349))</f>
        <v>0</v>
      </c>
      <c r="AL349" s="28">
        <f>IF(ISERROR(H349/B349*AF349),0,(H349/B349*AF349))</f>
        <v>0</v>
      </c>
      <c r="AN349" s="51">
        <f>A349</f>
        <v>0</v>
      </c>
      <c r="AO349" s="57">
        <f>IF(ISERROR(IF(B349=C349,D349/C349,(INT(D349/B349)+(((D349-B349*INT(D349/B349)))/C349)/100))),0,(IF(B349=C349,D349/C349,(INT(D349/B349)+(((D349-B349*INT(D349/B349)))/C349)/100))))</f>
        <v>0</v>
      </c>
      <c r="AP349" s="57">
        <f>IF(ISERROR(IF(B349=C349,E349/C349,(INT(E349/B349)+(((E349-B349*INT(E349/B349)))/C349)/100))),0,(IF(B349=C349,E349/C349,(INT(E349/B349)+(((E349-B349*INT(E349/B349)))/C349)/100))))</f>
        <v>0</v>
      </c>
      <c r="AQ349" s="57">
        <f>IF(ISERROR(IF(B349=C349,F349/C349,IF((INT(F349/B349)+(((F349-B349*INT(F349/B349)))/C349)/100)&lt;0,(INT(F349/B349)+(((F349-B349*INT(F349/B349)))/C349)/100)+(1-(B349/C349/100)),(INT(F349/B349)+(((F349-B349*INT(F349/B349)))/C349)/100)))),0,IF(B349=C349,F349/C349,IF((INT(F349/B349)+(((F349-B349*INT(F349/B349)))/C349)/100)&lt;0,(INT(F349/B349)+(((F349-B349*INT(F349/B349)))/C349)/100)+(1-(B349/C349/100)),(INT(F349/B349)+(((F349-B349*INT(F349/B349)))/C349)/100))))</f>
        <v>0</v>
      </c>
      <c r="AR349" s="57">
        <f>IF(ISERROR(IF(B349=C349,G349/C349,(INT(G349/B349)+(((G349-B349*INT(G349/B349)))/C349)/100))),0,(IF(B349=C349,G349/C349,(INT(G349/B349)+(((G349-B349*INT(G349/B349)))/C349)/100))))</f>
        <v>0</v>
      </c>
      <c r="AS349" s="57">
        <f>IF(ISERROR(IF(B349=C349,H349/C349,(INT(H349/B349)+(((H349-B349*INT(H349/B349)))/C349)/100))),0,(IF(B349=C349,H349/C349,(INT(H349/B349)+(((H349-B349*INT(H349/B349)))/C349)/100))))</f>
        <v>0</v>
      </c>
      <c r="AT349" s="57">
        <f>IF(ISERROR(IF(B349=C349,I349/C349,(INT(I349/B349)+(((I349-B349*INT(I349/B349)))/C349)/100))),0,(IF(B349=C349,I349/C349,(INT(I349/B349)+(((I349-B349*INT(I349/B349)))/C349)/100))))</f>
        <v>0</v>
      </c>
      <c r="AU349" s="57">
        <f>IF(ISERROR(IF(B349=C349,J349/C349,(INT(J349/B349)+(((J349-B349*INT(J349/B349)))/C349)/100))),0,(IF(B349=C349,J349/C349,(INT(J349/B349)+(((J349-B349*INT(J349/B349)))/C349)/100))))</f>
        <v>0</v>
      </c>
      <c r="AV349" s="57">
        <f>IF(ISERROR(IF(B349=C349,K349/C349,IF((INT(K349/B349)+(((K349-B349*INT(K349/B349)))/C349)/100)&lt;0,(INT(K349/B349)+(((K349-B349*INT(K349/B349)))/C349)/100)+(1-(B349/C349/100)),(INT(K349/B349)+(((K349-B349*INT(K349/B349)))/C349)/100)))),0,IF(B349=C349,K349/C349,IF((INT(K349/B349)+(((K349-B349*INT(K349/B349)))/C349)/100)&lt;0,(INT(K349/B349)+(((K349-B349*INT(K349/B349)))/C349)/100)+(1-(B349/C349/100)),(INT(K349/B349)+(((K349-B349*INT(K349/B349)))/C349)/100))))</f>
        <v>0</v>
      </c>
      <c r="AW349" s="57">
        <f>IF(ISERROR(IF(B349=C349,L349/C349,(INT(L349/B349)+(((L349-B349*INT(L349/B349)))/C349)/100))),0,(IF(B349=C349,L349/C349,(INT(L349/B349)+(((L349-B349*INT(L349/B349)))/C349)/100))))</f>
        <v>0</v>
      </c>
      <c r="AX349" s="57">
        <f>IF(ISERROR(IF(B349=C349,M349/C349,(INT(M349/B349)+(((M349-B349*INT(M349/B349)))/C349)/100))),0,(IF(B349=C349,M349/C349,(INT(M349/B349)+(((M349-B349*INT(M349/B349)))/C349)/100))))</f>
        <v>0</v>
      </c>
      <c r="AY349" s="57">
        <f>IF(ISERROR(IF(B349=C349,N349/C349,IF((INT(N349/B349)+(((N349-B349*INT(N349/B349)))/C349)/100)&lt;0,(INT(N349/B349)+(((N349-B349*INT(N349/B349)))/C349)/100)+(1-(B349/C349/100)),(INT(N349/B349)+(((N349-B349*INT(N349/B349)))/C349)/100)))),0,IF(B349=C349,N349/C349,IF((INT(N349/B349)+(((N349-B349*INT(N349/B349)))/C349)/100)&lt;0,(INT(N349/B349)+(((N349-B349*INT(N349/B349)))/C349)/100)+(1-(B349/C349/100)),(INT(N349/B349)+(((N349-B349*INT(N349/B349)))/C349)/100))))</f>
        <v>0</v>
      </c>
      <c r="AZ349" s="57">
        <f>IF(ISERROR(IF(B349=C349,O349/C349,(INT(O349/B349)+(((O349-B349*INT(O349/B349)))/C349)/100))),0,(IF(B349=C349,O349/C349,(INT(O349/B349)+(((O349-B349*INT(O349/B349)))/C349)/100))))</f>
        <v>0</v>
      </c>
      <c r="BA349" s="57">
        <f>IF(ISERROR(IF(B349=C349,P349/C349,IF((INT(P349/B349)+(((P349-B349*INT(P349/B349)))/C349)/100)&lt;0,(INT(P349/B349)+(((P349-B349*INT(P349/B349)))/C349)/100)+(1-(B349/C349/100)),(INT(P349/B349)+(((P349-B349*INT(P349/B349)))/C349)/100)))),0,IF(B349=C349,P349/C349,IF((INT(P349/B349)+(((P349-B349*INT(P349/B349)))/C349)/100)&lt;0,(INT(P349/B349)+(((P349-B349*INT(P349/B349)))/C349)/100)+(1-(B349/C349/100)),(INT(P349/B349)+(((P349-B349*INT(P349/B349)))/C349)/100))))</f>
        <v>0</v>
      </c>
      <c r="BB349" s="28">
        <f>R349</f>
        <v>0</v>
      </c>
      <c r="BC349" s="28">
        <f>S349</f>
        <v>0</v>
      </c>
      <c r="BD349" s="28">
        <f>AF349</f>
        <v>0</v>
      </c>
      <c r="BE349" s="28">
        <f>T349</f>
        <v>0</v>
      </c>
      <c r="BG349" s="57">
        <f>IF(ISERROR(IF(B349=C349,V349/C349,(INT(V349/B349)+(((V349-B349*INT(V349/B349)))/C349)/100))),0,(IF(B349=C349,V349/C349,(INT(V349/B349)+(((V349-B349*INT(V349/B349)))/C349)/100))))</f>
        <v>0</v>
      </c>
      <c r="BH349" s="57">
        <f>IF(ISERROR(IF(B349=C349,W349/C349,(INT(W349/B349)+(((W349-B349*INT(W349/B349)))/C349)/100))),0,(IF(B349=C349,W349/C349,(INT(W349/B349)+(((W349-B349*INT(W349/B349)))/C349)/100))))</f>
        <v>0</v>
      </c>
      <c r="BI349" s="57">
        <f>IF(ISERROR(IF(B349=C349,X349/C349,(INT(X349/B349)+(((X349-B349*INT(X349/B349)))/C349)/100))),0,(IF(B349=C349,X349/C349,(INT(X349/B349)+(((X349-B349*INT(X349/B349)))/C349)/100))))</f>
        <v>0</v>
      </c>
      <c r="BJ349" s="57">
        <f>IF(ISERROR(IF(B349=C349,Y349/C349,(INT(Y349/B349)+(((Y349-B349*INT(Y349/B349)))/C349)/100))),0,(IF(B349=C349,Y349/C349,(INT(Y349/B349)+(((Y349-B349*INT(Y349/B349)))/C349)/100))))</f>
        <v>0</v>
      </c>
      <c r="BL349" s="57">
        <f>IF(ISERROR(IF(B349=C349,AA349/C349,(INT(AA349/B349)+(((AA349-B349*INT(AA349/B349)))/C349)/100))),0,(IF(B349=C349,AA349/C349,(INT(AA349/B349)+(((AA349-B349*INT(AA349/B349)))/C349)/100))))</f>
        <v>0</v>
      </c>
      <c r="BM349" s="57">
        <f>IF(ISERROR(IF(B349=C349,AB349/C349,(INT(AB349/B349)+(((AB349-B349*INT(AB349/B349)))/C349)/100))),0,(IF(B349=C349,AB349/C349,(INT(AB349/B349)+(((AB349-B349*INT(AB349/B349)))/C349)/100))))</f>
        <v>0</v>
      </c>
      <c r="BN349" s="57">
        <f>IF(ISERROR(IF(B349=C349,AC349/C349,(INT(AC349/B349)+(((AC349-B349*INT(AC349/B349)))/C349)/100))),0,(IF(B349=C349,AC349/C349,(INT(AC349/B349)+(((AC349-B349*INT(AC349/B349)))/C349)/100))))</f>
        <v>0</v>
      </c>
      <c r="BO349" s="57">
        <f>IF(ISERROR(IF(B349=C349,AD349/C349,(INT(AD349/B349)+(((AD349-B349*INT(AD349/B349)))/C349)/100))),0,(IF(B349=C349,AD349/C349,(INT(AD349/B349)+(((AD349-B349*INT(AD349/B349)))/C349)/100))))</f>
        <v>0</v>
      </c>
      <c r="BQ349" s="155"/>
    </row>
    <row r="350" spans="1:69" hidden="1" x14ac:dyDescent="0.35">
      <c r="A350" s="94"/>
      <c r="B350" s="113">
        <v>0</v>
      </c>
      <c r="C350" s="113">
        <v>0</v>
      </c>
      <c r="D350" s="28">
        <f>SUM(AA350:AD350)</f>
        <v>0</v>
      </c>
      <c r="E350" s="113">
        <v>0</v>
      </c>
      <c r="F350" s="113">
        <v>0</v>
      </c>
      <c r="G350" s="28">
        <f>SUM(D350:F350)</f>
        <v>0</v>
      </c>
      <c r="H350" s="125">
        <v>0</v>
      </c>
      <c r="I350" s="113">
        <v>0</v>
      </c>
      <c r="J350" s="125">
        <v>0</v>
      </c>
      <c r="K350" s="113">
        <v>0</v>
      </c>
      <c r="L350" s="113">
        <v>0</v>
      </c>
      <c r="M350" s="113">
        <v>0</v>
      </c>
      <c r="N350" s="28">
        <f>G350-SUM(H350:M350)</f>
        <v>0</v>
      </c>
      <c r="O350" s="28">
        <f>SUM(V350:Y350)</f>
        <v>0</v>
      </c>
      <c r="P350" s="28">
        <f>O350-N350</f>
        <v>0</v>
      </c>
      <c r="Q350" s="61" t="str">
        <f>IF(ISERROR(P350/SUM(H350:L350)),"",P350/SUM(H350:L350))</f>
        <v/>
      </c>
      <c r="R350" s="113">
        <v>0</v>
      </c>
      <c r="S350" s="28">
        <f>IF(ISERROR(P350/C350*R350),0,(P350/C350*R350))</f>
        <v>0</v>
      </c>
      <c r="T350" s="60">
        <f>IF(ISERROR(P350/B350*AF350),0,(P350/B350*AF350))</f>
        <v>0</v>
      </c>
      <c r="V350" s="113">
        <v>0</v>
      </c>
      <c r="W350" s="113">
        <v>0</v>
      </c>
      <c r="X350" s="113">
        <v>0</v>
      </c>
      <c r="Y350" s="113">
        <v>0</v>
      </c>
      <c r="AA350" s="113">
        <v>0</v>
      </c>
      <c r="AB350" s="113">
        <v>0</v>
      </c>
      <c r="AC350" s="113">
        <v>0</v>
      </c>
      <c r="AD350" s="113">
        <v>0</v>
      </c>
      <c r="AF350" s="113">
        <v>0</v>
      </c>
      <c r="AG350" s="28">
        <f>G350-O350</f>
        <v>0</v>
      </c>
      <c r="AH350" s="58">
        <f>IF(ISERROR(AG350/B350*AF350),0,(AG350/B350*AF350))</f>
        <v>0</v>
      </c>
      <c r="AI350" s="28">
        <f>SUM(H350:M350)</f>
        <v>0</v>
      </c>
      <c r="AJ350" s="28">
        <f>IF(ISERROR(AI350/B350*AF350),0,(AI350/B350*AF350))</f>
        <v>0</v>
      </c>
      <c r="AK350" s="58">
        <f>IF(ISERROR(O350/B350*AF350),0,(O350/B350*AF350))</f>
        <v>0</v>
      </c>
      <c r="AL350" s="28">
        <f>IF(ISERROR(H350/B350*AF350),0,(H350/B350*AF350))</f>
        <v>0</v>
      </c>
      <c r="AN350" s="51">
        <f>A350</f>
        <v>0</v>
      </c>
      <c r="AO350" s="57">
        <f>IF(ISERROR(IF(B350=C350,D350/C350,(INT(D350/B350)+(((D350-B350*INT(D350/B350)))/C350)/100))),0,(IF(B350=C350,D350/C350,(INT(D350/B350)+(((D350-B350*INT(D350/B350)))/C350)/100))))</f>
        <v>0</v>
      </c>
      <c r="AP350" s="57">
        <f>IF(ISERROR(IF(B350=C350,E350/C350,(INT(E350/B350)+(((E350-B350*INT(E350/B350)))/C350)/100))),0,(IF(B350=C350,E350/C350,(INT(E350/B350)+(((E350-B350*INT(E350/B350)))/C350)/100))))</f>
        <v>0</v>
      </c>
      <c r="AQ350" s="57">
        <f>IF(ISERROR(IF(B350=C350,F350/C350,IF((INT(F350/B350)+(((F350-B350*INT(F350/B350)))/C350)/100)&lt;0,(INT(F350/B350)+(((F350-B350*INT(F350/B350)))/C350)/100)+(1-(B350/C350/100)),(INT(F350/B350)+(((F350-B350*INT(F350/B350)))/C350)/100)))),0,IF(B350=C350,F350/C350,IF((INT(F350/B350)+(((F350-B350*INT(F350/B350)))/C350)/100)&lt;0,(INT(F350/B350)+(((F350-B350*INT(F350/B350)))/C350)/100)+(1-(B350/C350/100)),(INT(F350/B350)+(((F350-B350*INT(F350/B350)))/C350)/100))))</f>
        <v>0</v>
      </c>
      <c r="AR350" s="57">
        <f>IF(ISERROR(IF(B350=C350,G350/C350,(INT(G350/B350)+(((G350-B350*INT(G350/B350)))/C350)/100))),0,(IF(B350=C350,G350/C350,(INT(G350/B350)+(((G350-B350*INT(G350/B350)))/C350)/100))))</f>
        <v>0</v>
      </c>
      <c r="AS350" s="57">
        <f>IF(ISERROR(IF(B350=C350,H350/C350,(INT(H350/B350)+(((H350-B350*INT(H350/B350)))/C350)/100))),0,(IF(B350=C350,H350/C350,(INT(H350/B350)+(((H350-B350*INT(H350/B350)))/C350)/100))))</f>
        <v>0</v>
      </c>
      <c r="AT350" s="57">
        <f>IF(ISERROR(IF(B350=C350,I350/C350,(INT(I350/B350)+(((I350-B350*INT(I350/B350)))/C350)/100))),0,(IF(B350=C350,I350/C350,(INT(I350/B350)+(((I350-B350*INT(I350/B350)))/C350)/100))))</f>
        <v>0</v>
      </c>
      <c r="AU350" s="57">
        <f>IF(ISERROR(IF(B350=C350,J350/C350,(INT(J350/B350)+(((J350-B350*INT(J350/B350)))/C350)/100))),0,(IF(B350=C350,J350/C350,(INT(J350/B350)+(((J350-B350*INT(J350/B350)))/C350)/100))))</f>
        <v>0</v>
      </c>
      <c r="AV350" s="57">
        <f>IF(ISERROR(IF(B350=C350,K350/C350,IF((INT(K350/B350)+(((K350-B350*INT(K350/B350)))/C350)/100)&lt;0,(INT(K350/B350)+(((K350-B350*INT(K350/B350)))/C350)/100)+(1-(B350/C350/100)),(INT(K350/B350)+(((K350-B350*INT(K350/B350)))/C350)/100)))),0,IF(B350=C350,K350/C350,IF((INT(K350/B350)+(((K350-B350*INT(K350/B350)))/C350)/100)&lt;0,(INT(K350/B350)+(((K350-B350*INT(K350/B350)))/C350)/100)+(1-(B350/C350/100)),(INT(K350/B350)+(((K350-B350*INT(K350/B350)))/C350)/100))))</f>
        <v>0</v>
      </c>
      <c r="AW350" s="57">
        <f>IF(ISERROR(IF(B350=C350,L350/C350,(INT(L350/B350)+(((L350-B350*INT(L350/B350)))/C350)/100))),0,(IF(B350=C350,L350/C350,(INT(L350/B350)+(((L350-B350*INT(L350/B350)))/C350)/100))))</f>
        <v>0</v>
      </c>
      <c r="AX350" s="57">
        <f>IF(ISERROR(IF(B350=C350,M350/C350,(INT(M350/B350)+(((M350-B350*INT(M350/B350)))/C350)/100))),0,(IF(B350=C350,M350/C350,(INT(M350/B350)+(((M350-B350*INT(M350/B350)))/C350)/100))))</f>
        <v>0</v>
      </c>
      <c r="AY350" s="57">
        <f>IF(ISERROR(IF(B350=C350,N350/C350,IF((INT(N350/B350)+(((N350-B350*INT(N350/B350)))/C350)/100)&lt;0,(INT(N350/B350)+(((N350-B350*INT(N350/B350)))/C350)/100)+(1-(B350/C350/100)),(INT(N350/B350)+(((N350-B350*INT(N350/B350)))/C350)/100)))),0,IF(B350=C350,N350/C350,IF((INT(N350/B350)+(((N350-B350*INT(N350/B350)))/C350)/100)&lt;0,(INT(N350/B350)+(((N350-B350*INT(N350/B350)))/C350)/100)+(1-(B350/C350/100)),(INT(N350/B350)+(((N350-B350*INT(N350/B350)))/C350)/100))))</f>
        <v>0</v>
      </c>
      <c r="AZ350" s="57">
        <f>IF(ISERROR(IF(B350=C350,O350/C350,(INT(O350/B350)+(((O350-B350*INT(O350/B350)))/C350)/100))),0,(IF(B350=C350,O350/C350,(INT(O350/B350)+(((O350-B350*INT(O350/B350)))/C350)/100))))</f>
        <v>0</v>
      </c>
      <c r="BA350" s="57">
        <f>IF(ISERROR(IF(B350=C350,P350/C350,IF((INT(P350/B350)+(((P350-B350*INT(P350/B350)))/C350)/100)&lt;0,(INT(P350/B350)+(((P350-B350*INT(P350/B350)))/C350)/100)+(1-(B350/C350/100)),(INT(P350/B350)+(((P350-B350*INT(P350/B350)))/C350)/100)))),0,IF(B350=C350,P350/C350,IF((INT(P350/B350)+(((P350-B350*INT(P350/B350)))/C350)/100)&lt;0,(INT(P350/B350)+(((P350-B350*INT(P350/B350)))/C350)/100)+(1-(B350/C350/100)),(INT(P350/B350)+(((P350-B350*INT(P350/B350)))/C350)/100))))</f>
        <v>0</v>
      </c>
      <c r="BB350" s="28">
        <f>R350</f>
        <v>0</v>
      </c>
      <c r="BC350" s="28">
        <f>S350</f>
        <v>0</v>
      </c>
      <c r="BD350" s="28">
        <f>AF350</f>
        <v>0</v>
      </c>
      <c r="BE350" s="28">
        <f>T350</f>
        <v>0</v>
      </c>
      <c r="BG350" s="57">
        <f>IF(ISERROR(IF(B350=C350,V350/C350,(INT(V350/B350)+(((V350-B350*INT(V350/B350)))/C350)/100))),0,(IF(B350=C350,V350/C350,(INT(V350/B350)+(((V350-B350*INT(V350/B350)))/C350)/100))))</f>
        <v>0</v>
      </c>
      <c r="BH350" s="57">
        <f>IF(ISERROR(IF(B350=C350,W350/C350,(INT(W350/B350)+(((W350-B350*INT(W350/B350)))/C350)/100))),0,(IF(B350=C350,W350/C350,(INT(W350/B350)+(((W350-B350*INT(W350/B350)))/C350)/100))))</f>
        <v>0</v>
      </c>
      <c r="BI350" s="57">
        <f>IF(ISERROR(IF(B350=C350,X350/C350,(INT(X350/B350)+(((X350-B350*INT(X350/B350)))/C350)/100))),0,(IF(B350=C350,X350/C350,(INT(X350/B350)+(((X350-B350*INT(X350/B350)))/C350)/100))))</f>
        <v>0</v>
      </c>
      <c r="BJ350" s="57">
        <f>IF(ISERROR(IF(B350=C350,Y350/C350,(INT(Y350/B350)+(((Y350-B350*INT(Y350/B350)))/C350)/100))),0,(IF(B350=C350,Y350/C350,(INT(Y350/B350)+(((Y350-B350*INT(Y350/B350)))/C350)/100))))</f>
        <v>0</v>
      </c>
      <c r="BL350" s="57">
        <f>IF(ISERROR(IF(B350=C350,AA350/C350,(INT(AA350/B350)+(((AA350-B350*INT(AA350/B350)))/C350)/100))),0,(IF(B350=C350,AA350/C350,(INT(AA350/B350)+(((AA350-B350*INT(AA350/B350)))/C350)/100))))</f>
        <v>0</v>
      </c>
      <c r="BM350" s="57">
        <f>IF(ISERROR(IF(B350=C350,AB350/C350,(INT(AB350/B350)+(((AB350-B350*INT(AB350/B350)))/C350)/100))),0,(IF(B350=C350,AB350/C350,(INT(AB350/B350)+(((AB350-B350*INT(AB350/B350)))/C350)/100))))</f>
        <v>0</v>
      </c>
      <c r="BN350" s="57">
        <f>IF(ISERROR(IF(B350=C350,AC350/C350,(INT(AC350/B350)+(((AC350-B350*INT(AC350/B350)))/C350)/100))),0,(IF(B350=C350,AC350/C350,(INT(AC350/B350)+(((AC350-B350*INT(AC350/B350)))/C350)/100))))</f>
        <v>0</v>
      </c>
      <c r="BO350" s="57">
        <f>IF(ISERROR(IF(B350=C350,AD350/C350,(INT(AD350/B350)+(((AD350-B350*INT(AD350/B350)))/C350)/100))),0,(IF(B350=C350,AD350/C350,(INT(AD350/B350)+(((AD350-B350*INT(AD350/B350)))/C350)/100))))</f>
        <v>0</v>
      </c>
      <c r="BQ350" s="155"/>
    </row>
    <row r="351" spans="1:69" hidden="1" x14ac:dyDescent="0.35">
      <c r="A351" s="94"/>
      <c r="B351" s="113">
        <v>0</v>
      </c>
      <c r="C351" s="113">
        <v>0</v>
      </c>
      <c r="D351" s="28">
        <f>SUM(AA351:AD351)</f>
        <v>0</v>
      </c>
      <c r="E351" s="113">
        <v>0</v>
      </c>
      <c r="F351" s="113">
        <v>0</v>
      </c>
      <c r="G351" s="28">
        <f>SUM(D351:F351)</f>
        <v>0</v>
      </c>
      <c r="H351" s="125">
        <v>0</v>
      </c>
      <c r="I351" s="113">
        <v>0</v>
      </c>
      <c r="J351" s="125">
        <v>0</v>
      </c>
      <c r="K351" s="113">
        <v>0</v>
      </c>
      <c r="L351" s="113">
        <v>0</v>
      </c>
      <c r="M351" s="113">
        <v>0</v>
      </c>
      <c r="N351" s="28">
        <f>G351-SUM(H351:M351)</f>
        <v>0</v>
      </c>
      <c r="O351" s="28">
        <f>SUM(V351:Y351)</f>
        <v>0</v>
      </c>
      <c r="P351" s="28">
        <f>O351-N351</f>
        <v>0</v>
      </c>
      <c r="Q351" s="61" t="str">
        <f>IF(ISERROR(P351/SUM(H351:L351)),"",P351/SUM(H351:L351))</f>
        <v/>
      </c>
      <c r="R351" s="113">
        <v>0</v>
      </c>
      <c r="S351" s="28">
        <f>IF(ISERROR(P351/C351*R351),0,(P351/C351*R351))</f>
        <v>0</v>
      </c>
      <c r="T351" s="60">
        <f>IF(ISERROR(P351/B351*AF351),0,(P351/B351*AF351))</f>
        <v>0</v>
      </c>
      <c r="V351" s="113">
        <v>0</v>
      </c>
      <c r="W351" s="113">
        <v>0</v>
      </c>
      <c r="X351" s="113">
        <v>0</v>
      </c>
      <c r="Y351" s="113">
        <v>0</v>
      </c>
      <c r="AA351" s="113">
        <v>0</v>
      </c>
      <c r="AB351" s="113">
        <v>0</v>
      </c>
      <c r="AC351" s="113">
        <v>0</v>
      </c>
      <c r="AD351" s="113">
        <v>0</v>
      </c>
      <c r="AF351" s="113">
        <v>0</v>
      </c>
      <c r="AG351" s="28">
        <f>G351-O351</f>
        <v>0</v>
      </c>
      <c r="AH351" s="58">
        <f>IF(ISERROR(AG351/B351*AF351),0,(AG351/B351*AF351))</f>
        <v>0</v>
      </c>
      <c r="AI351" s="28">
        <f>SUM(H351:M351)</f>
        <v>0</v>
      </c>
      <c r="AJ351" s="28">
        <f>IF(ISERROR(AI351/B351*AF351),0,(AI351/B351*AF351))</f>
        <v>0</v>
      </c>
      <c r="AK351" s="58">
        <f>IF(ISERROR(O351/B351*AF351),0,(O351/B351*AF351))</f>
        <v>0</v>
      </c>
      <c r="AL351" s="28">
        <f>IF(ISERROR(H351/B351*AF351),0,(H351/B351*AF351))</f>
        <v>0</v>
      </c>
      <c r="AN351" s="51">
        <f>A351</f>
        <v>0</v>
      </c>
      <c r="AO351" s="57">
        <f>IF(ISERROR(IF(B351=C351,D351/C351,(INT(D351/B351)+(((D351-B351*INT(D351/B351)))/C351)/100))),0,(IF(B351=C351,D351/C351,(INT(D351/B351)+(((D351-B351*INT(D351/B351)))/C351)/100))))</f>
        <v>0</v>
      </c>
      <c r="AP351" s="57">
        <f>IF(ISERROR(IF(B351=C351,E351/C351,(INT(E351/B351)+(((E351-B351*INT(E351/B351)))/C351)/100))),0,(IF(B351=C351,E351/C351,(INT(E351/B351)+(((E351-B351*INT(E351/B351)))/C351)/100))))</f>
        <v>0</v>
      </c>
      <c r="AQ351" s="57">
        <f>IF(ISERROR(IF(B351=C351,F351/C351,IF((INT(F351/B351)+(((F351-B351*INT(F351/B351)))/C351)/100)&lt;0,(INT(F351/B351)+(((F351-B351*INT(F351/B351)))/C351)/100)+(1-(B351/C351/100)),(INT(F351/B351)+(((F351-B351*INT(F351/B351)))/C351)/100)))),0,IF(B351=C351,F351/C351,IF((INT(F351/B351)+(((F351-B351*INT(F351/B351)))/C351)/100)&lt;0,(INT(F351/B351)+(((F351-B351*INT(F351/B351)))/C351)/100)+(1-(B351/C351/100)),(INT(F351/B351)+(((F351-B351*INT(F351/B351)))/C351)/100))))</f>
        <v>0</v>
      </c>
      <c r="AR351" s="57">
        <f>IF(ISERROR(IF(B351=C351,G351/C351,(INT(G351/B351)+(((G351-B351*INT(G351/B351)))/C351)/100))),0,(IF(B351=C351,G351/C351,(INT(G351/B351)+(((G351-B351*INT(G351/B351)))/C351)/100))))</f>
        <v>0</v>
      </c>
      <c r="AS351" s="57">
        <f>IF(ISERROR(IF(B351=C351,H351/C351,(INT(H351/B351)+(((H351-B351*INT(H351/B351)))/C351)/100))),0,(IF(B351=C351,H351/C351,(INT(H351/B351)+(((H351-B351*INT(H351/B351)))/C351)/100))))</f>
        <v>0</v>
      </c>
      <c r="AT351" s="57">
        <f>IF(ISERROR(IF(B351=C351,I351/C351,(INT(I351/B351)+(((I351-B351*INT(I351/B351)))/C351)/100))),0,(IF(B351=C351,I351/C351,(INT(I351/B351)+(((I351-B351*INT(I351/B351)))/C351)/100))))</f>
        <v>0</v>
      </c>
      <c r="AU351" s="57">
        <f>IF(ISERROR(IF(B351=C351,J351/C351,(INT(J351/B351)+(((J351-B351*INT(J351/B351)))/C351)/100))),0,(IF(B351=C351,J351/C351,(INT(J351/B351)+(((J351-B351*INT(J351/B351)))/C351)/100))))</f>
        <v>0</v>
      </c>
      <c r="AV351" s="57">
        <f>IF(ISERROR(IF(B351=C351,K351/C351,IF((INT(K351/B351)+(((K351-B351*INT(K351/B351)))/C351)/100)&lt;0,(INT(K351/B351)+(((K351-B351*INT(K351/B351)))/C351)/100)+(1-(B351/C351/100)),(INT(K351/B351)+(((K351-B351*INT(K351/B351)))/C351)/100)))),0,IF(B351=C351,K351/C351,IF((INT(K351/B351)+(((K351-B351*INT(K351/B351)))/C351)/100)&lt;0,(INT(K351/B351)+(((K351-B351*INT(K351/B351)))/C351)/100)+(1-(B351/C351/100)),(INT(K351/B351)+(((K351-B351*INT(K351/B351)))/C351)/100))))</f>
        <v>0</v>
      </c>
      <c r="AW351" s="57">
        <f>IF(ISERROR(IF(B351=C351,L351/C351,(INT(L351/B351)+(((L351-B351*INT(L351/B351)))/C351)/100))),0,(IF(B351=C351,L351/C351,(INT(L351/B351)+(((L351-B351*INT(L351/B351)))/C351)/100))))</f>
        <v>0</v>
      </c>
      <c r="AX351" s="57">
        <f>IF(ISERROR(IF(B351=C351,M351/C351,(INT(M351/B351)+(((M351-B351*INT(M351/B351)))/C351)/100))),0,(IF(B351=C351,M351/C351,(INT(M351/B351)+(((M351-B351*INT(M351/B351)))/C351)/100))))</f>
        <v>0</v>
      </c>
      <c r="AY351" s="57">
        <f>IF(ISERROR(IF(B351=C351,N351/C351,IF((INT(N351/B351)+(((N351-B351*INT(N351/B351)))/C351)/100)&lt;0,(INT(N351/B351)+(((N351-B351*INT(N351/B351)))/C351)/100)+(1-(B351/C351/100)),(INT(N351/B351)+(((N351-B351*INT(N351/B351)))/C351)/100)))),0,IF(B351=C351,N351/C351,IF((INT(N351/B351)+(((N351-B351*INT(N351/B351)))/C351)/100)&lt;0,(INT(N351/B351)+(((N351-B351*INT(N351/B351)))/C351)/100)+(1-(B351/C351/100)),(INT(N351/B351)+(((N351-B351*INT(N351/B351)))/C351)/100))))</f>
        <v>0</v>
      </c>
      <c r="AZ351" s="57">
        <f>IF(ISERROR(IF(B351=C351,O351/C351,(INT(O351/B351)+(((O351-B351*INT(O351/B351)))/C351)/100))),0,(IF(B351=C351,O351/C351,(INT(O351/B351)+(((O351-B351*INT(O351/B351)))/C351)/100))))</f>
        <v>0</v>
      </c>
      <c r="BA351" s="57">
        <f>IF(ISERROR(IF(B351=C351,P351/C351,IF((INT(P351/B351)+(((P351-B351*INT(P351/B351)))/C351)/100)&lt;0,(INT(P351/B351)+(((P351-B351*INT(P351/B351)))/C351)/100)+(1-(B351/C351/100)),(INT(P351/B351)+(((P351-B351*INT(P351/B351)))/C351)/100)))),0,IF(B351=C351,P351/C351,IF((INT(P351/B351)+(((P351-B351*INT(P351/B351)))/C351)/100)&lt;0,(INT(P351/B351)+(((P351-B351*INT(P351/B351)))/C351)/100)+(1-(B351/C351/100)),(INT(P351/B351)+(((P351-B351*INT(P351/B351)))/C351)/100))))</f>
        <v>0</v>
      </c>
      <c r="BB351" s="28">
        <f>R351</f>
        <v>0</v>
      </c>
      <c r="BC351" s="28">
        <f>S351</f>
        <v>0</v>
      </c>
      <c r="BD351" s="28">
        <f>AF351</f>
        <v>0</v>
      </c>
      <c r="BE351" s="28">
        <f>T351</f>
        <v>0</v>
      </c>
      <c r="BG351" s="57">
        <f>IF(ISERROR(IF(B351=C351,V351/C351,(INT(V351/B351)+(((V351-B351*INT(V351/B351)))/C351)/100))),0,(IF(B351=C351,V351/C351,(INT(V351/B351)+(((V351-B351*INT(V351/B351)))/C351)/100))))</f>
        <v>0</v>
      </c>
      <c r="BH351" s="57">
        <f>IF(ISERROR(IF(B351=C351,W351/C351,(INT(W351/B351)+(((W351-B351*INT(W351/B351)))/C351)/100))),0,(IF(B351=C351,W351/C351,(INT(W351/B351)+(((W351-B351*INT(W351/B351)))/C351)/100))))</f>
        <v>0</v>
      </c>
      <c r="BI351" s="57">
        <f>IF(ISERROR(IF(B351=C351,X351/C351,(INT(X351/B351)+(((X351-B351*INT(X351/B351)))/C351)/100))),0,(IF(B351=C351,X351/C351,(INT(X351/B351)+(((X351-B351*INT(X351/B351)))/C351)/100))))</f>
        <v>0</v>
      </c>
      <c r="BJ351" s="57">
        <f>IF(ISERROR(IF(B351=C351,Y351/C351,(INT(Y351/B351)+(((Y351-B351*INT(Y351/B351)))/C351)/100))),0,(IF(B351=C351,Y351/C351,(INT(Y351/B351)+(((Y351-B351*INT(Y351/B351)))/C351)/100))))</f>
        <v>0</v>
      </c>
      <c r="BL351" s="57">
        <f>IF(ISERROR(IF(B351=C351,AA351/C351,(INT(AA351/B351)+(((AA351-B351*INT(AA351/B351)))/C351)/100))),0,(IF(B351=C351,AA351/C351,(INT(AA351/B351)+(((AA351-B351*INT(AA351/B351)))/C351)/100))))</f>
        <v>0</v>
      </c>
      <c r="BM351" s="57">
        <f>IF(ISERROR(IF(B351=C351,AB351/C351,(INT(AB351/B351)+(((AB351-B351*INT(AB351/B351)))/C351)/100))),0,(IF(B351=C351,AB351/C351,(INT(AB351/B351)+(((AB351-B351*INT(AB351/B351)))/C351)/100))))</f>
        <v>0</v>
      </c>
      <c r="BN351" s="57">
        <f>IF(ISERROR(IF(B351=C351,AC351/C351,(INT(AC351/B351)+(((AC351-B351*INT(AC351/B351)))/C351)/100))),0,(IF(B351=C351,AC351/C351,(INT(AC351/B351)+(((AC351-B351*INT(AC351/B351)))/C351)/100))))</f>
        <v>0</v>
      </c>
      <c r="BO351" s="57">
        <f>IF(ISERROR(IF(B351=C351,AD351/C351,(INT(AD351/B351)+(((AD351-B351*INT(AD351/B351)))/C351)/100))),0,(IF(B351=C351,AD351/C351,(INT(AD351/B351)+(((AD351-B351*INT(AD351/B351)))/C351)/100))))</f>
        <v>0</v>
      </c>
      <c r="BQ351" s="155"/>
    </row>
    <row r="352" spans="1:69" hidden="1" x14ac:dyDescent="0.35">
      <c r="A352" s="94"/>
      <c r="B352" s="113">
        <v>0</v>
      </c>
      <c r="C352" s="113">
        <v>0</v>
      </c>
      <c r="D352" s="28">
        <f>SUM(AA352:AD352)</f>
        <v>0</v>
      </c>
      <c r="E352" s="113">
        <v>0</v>
      </c>
      <c r="F352" s="113">
        <v>0</v>
      </c>
      <c r="G352" s="28">
        <f>SUM(D352:F352)</f>
        <v>0</v>
      </c>
      <c r="H352" s="125">
        <v>0</v>
      </c>
      <c r="I352" s="113">
        <v>0</v>
      </c>
      <c r="J352" s="125">
        <v>0</v>
      </c>
      <c r="K352" s="113">
        <v>0</v>
      </c>
      <c r="L352" s="113">
        <v>0</v>
      </c>
      <c r="M352" s="113">
        <v>0</v>
      </c>
      <c r="N352" s="28">
        <f>G352-SUM(H352:M352)</f>
        <v>0</v>
      </c>
      <c r="O352" s="28">
        <f>SUM(V352:Y352)</f>
        <v>0</v>
      </c>
      <c r="P352" s="28">
        <f>O352-N352</f>
        <v>0</v>
      </c>
      <c r="Q352" s="61" t="str">
        <f>IF(ISERROR(P352/SUM(H352:L352)),"",P352/SUM(H352:L352))</f>
        <v/>
      </c>
      <c r="R352" s="113">
        <v>0</v>
      </c>
      <c r="S352" s="28">
        <f>IF(ISERROR(P352/C352*R352),0,(P352/C352*R352))</f>
        <v>0</v>
      </c>
      <c r="T352" s="60">
        <f>IF(ISERROR(P352/B352*AF352),0,(P352/B352*AF352))</f>
        <v>0</v>
      </c>
      <c r="V352" s="113">
        <v>0</v>
      </c>
      <c r="W352" s="113">
        <v>0</v>
      </c>
      <c r="X352" s="113">
        <v>0</v>
      </c>
      <c r="Y352" s="113">
        <v>0</v>
      </c>
      <c r="AA352" s="113">
        <v>0</v>
      </c>
      <c r="AB352" s="113">
        <v>0</v>
      </c>
      <c r="AC352" s="113">
        <v>0</v>
      </c>
      <c r="AD352" s="113">
        <v>0</v>
      </c>
      <c r="AF352" s="113">
        <v>0</v>
      </c>
      <c r="AG352" s="28">
        <f>G352-O352</f>
        <v>0</v>
      </c>
      <c r="AH352" s="58">
        <f>IF(ISERROR(AG352/B352*AF352),0,(AG352/B352*AF352))</f>
        <v>0</v>
      </c>
      <c r="AI352" s="28">
        <f>SUM(H352:M352)</f>
        <v>0</v>
      </c>
      <c r="AJ352" s="28">
        <f>IF(ISERROR(AI352/B352*AF352),0,(AI352/B352*AF352))</f>
        <v>0</v>
      </c>
      <c r="AK352" s="58">
        <f>IF(ISERROR(O352/B352*AF352),0,(O352/B352*AF352))</f>
        <v>0</v>
      </c>
      <c r="AL352" s="28">
        <f>IF(ISERROR(H352/B352*AF352),0,(H352/B352*AF352))</f>
        <v>0</v>
      </c>
      <c r="AN352" s="51">
        <f>A352</f>
        <v>0</v>
      </c>
      <c r="AO352" s="57">
        <f>IF(ISERROR(IF(B352=C352,D352/C352,(INT(D352/B352)+(((D352-B352*INT(D352/B352)))/C352)/100))),0,(IF(B352=C352,D352/C352,(INT(D352/B352)+(((D352-B352*INT(D352/B352)))/C352)/100))))</f>
        <v>0</v>
      </c>
      <c r="AP352" s="57">
        <f>IF(ISERROR(IF(B352=C352,E352/C352,(INT(E352/B352)+(((E352-B352*INT(E352/B352)))/C352)/100))),0,(IF(B352=C352,E352/C352,(INT(E352/B352)+(((E352-B352*INT(E352/B352)))/C352)/100))))</f>
        <v>0</v>
      </c>
      <c r="AQ352" s="57">
        <f>IF(ISERROR(IF(B352=C352,F352/C352,IF((INT(F352/B352)+(((F352-B352*INT(F352/B352)))/C352)/100)&lt;0,(INT(F352/B352)+(((F352-B352*INT(F352/B352)))/C352)/100)+(1-(B352/C352/100)),(INT(F352/B352)+(((F352-B352*INT(F352/B352)))/C352)/100)))),0,IF(B352=C352,F352/C352,IF((INT(F352/B352)+(((F352-B352*INT(F352/B352)))/C352)/100)&lt;0,(INT(F352/B352)+(((F352-B352*INT(F352/B352)))/C352)/100)+(1-(B352/C352/100)),(INT(F352/B352)+(((F352-B352*INT(F352/B352)))/C352)/100))))</f>
        <v>0</v>
      </c>
      <c r="AR352" s="57">
        <f>IF(ISERROR(IF(B352=C352,G352/C352,(INT(G352/B352)+(((G352-B352*INT(G352/B352)))/C352)/100))),0,(IF(B352=C352,G352/C352,(INT(G352/B352)+(((G352-B352*INT(G352/B352)))/C352)/100))))</f>
        <v>0</v>
      </c>
      <c r="AS352" s="57">
        <f>IF(ISERROR(IF(B352=C352,H352/C352,(INT(H352/B352)+(((H352-B352*INT(H352/B352)))/C352)/100))),0,(IF(B352=C352,H352/C352,(INT(H352/B352)+(((H352-B352*INT(H352/B352)))/C352)/100))))</f>
        <v>0</v>
      </c>
      <c r="AT352" s="57">
        <f>IF(ISERROR(IF(B352=C352,I352/C352,(INT(I352/B352)+(((I352-B352*INT(I352/B352)))/C352)/100))),0,(IF(B352=C352,I352/C352,(INT(I352/B352)+(((I352-B352*INT(I352/B352)))/C352)/100))))</f>
        <v>0</v>
      </c>
      <c r="AU352" s="57">
        <f>IF(ISERROR(IF(B352=C352,J352/C352,(INT(J352/B352)+(((J352-B352*INT(J352/B352)))/C352)/100))),0,(IF(B352=C352,J352/C352,(INT(J352/B352)+(((J352-B352*INT(J352/B352)))/C352)/100))))</f>
        <v>0</v>
      </c>
      <c r="AV352" s="57">
        <f>IF(ISERROR(IF(B352=C352,K352/C352,IF((INT(K352/B352)+(((K352-B352*INT(K352/B352)))/C352)/100)&lt;0,(INT(K352/B352)+(((K352-B352*INT(K352/B352)))/C352)/100)+(1-(B352/C352/100)),(INT(K352/B352)+(((K352-B352*INT(K352/B352)))/C352)/100)))),0,IF(B352=C352,K352/C352,IF((INT(K352/B352)+(((K352-B352*INT(K352/B352)))/C352)/100)&lt;0,(INT(K352/B352)+(((K352-B352*INT(K352/B352)))/C352)/100)+(1-(B352/C352/100)),(INT(K352/B352)+(((K352-B352*INT(K352/B352)))/C352)/100))))</f>
        <v>0</v>
      </c>
      <c r="AW352" s="57">
        <f>IF(ISERROR(IF(B352=C352,L352/C352,(INT(L352/B352)+(((L352-B352*INT(L352/B352)))/C352)/100))),0,(IF(B352=C352,L352/C352,(INT(L352/B352)+(((L352-B352*INT(L352/B352)))/C352)/100))))</f>
        <v>0</v>
      </c>
      <c r="AX352" s="57">
        <f>IF(ISERROR(IF(B352=C352,M352/C352,(INT(M352/B352)+(((M352-B352*INT(M352/B352)))/C352)/100))),0,(IF(B352=C352,M352/C352,(INT(M352/B352)+(((M352-B352*INT(M352/B352)))/C352)/100))))</f>
        <v>0</v>
      </c>
      <c r="AY352" s="57">
        <f>IF(ISERROR(IF(B352=C352,N352/C352,IF((INT(N352/B352)+(((N352-B352*INT(N352/B352)))/C352)/100)&lt;0,(INT(N352/B352)+(((N352-B352*INT(N352/B352)))/C352)/100)+(1-(B352/C352/100)),(INT(N352/B352)+(((N352-B352*INT(N352/B352)))/C352)/100)))),0,IF(B352=C352,N352/C352,IF((INT(N352/B352)+(((N352-B352*INT(N352/B352)))/C352)/100)&lt;0,(INT(N352/B352)+(((N352-B352*INT(N352/B352)))/C352)/100)+(1-(B352/C352/100)),(INT(N352/B352)+(((N352-B352*INT(N352/B352)))/C352)/100))))</f>
        <v>0</v>
      </c>
      <c r="AZ352" s="57">
        <f>IF(ISERROR(IF(B352=C352,O352/C352,(INT(O352/B352)+(((O352-B352*INT(O352/B352)))/C352)/100))),0,(IF(B352=C352,O352/C352,(INT(O352/B352)+(((O352-B352*INT(O352/B352)))/C352)/100))))</f>
        <v>0</v>
      </c>
      <c r="BA352" s="57">
        <f>IF(ISERROR(IF(B352=C352,P352/C352,IF((INT(P352/B352)+(((P352-B352*INT(P352/B352)))/C352)/100)&lt;0,(INT(P352/B352)+(((P352-B352*INT(P352/B352)))/C352)/100)+(1-(B352/C352/100)),(INT(P352/B352)+(((P352-B352*INT(P352/B352)))/C352)/100)))),0,IF(B352=C352,P352/C352,IF((INT(P352/B352)+(((P352-B352*INT(P352/B352)))/C352)/100)&lt;0,(INT(P352/B352)+(((P352-B352*INT(P352/B352)))/C352)/100)+(1-(B352/C352/100)),(INT(P352/B352)+(((P352-B352*INT(P352/B352)))/C352)/100))))</f>
        <v>0</v>
      </c>
      <c r="BB352" s="28">
        <f>R352</f>
        <v>0</v>
      </c>
      <c r="BC352" s="28">
        <f>S352</f>
        <v>0</v>
      </c>
      <c r="BD352" s="28">
        <f>AF352</f>
        <v>0</v>
      </c>
      <c r="BE352" s="28">
        <f>T352</f>
        <v>0</v>
      </c>
      <c r="BG352" s="57">
        <f>IF(ISERROR(IF(B352=C352,V352/C352,(INT(V352/B352)+(((V352-B352*INT(V352/B352)))/C352)/100))),0,(IF(B352=C352,V352/C352,(INT(V352/B352)+(((V352-B352*INT(V352/B352)))/C352)/100))))</f>
        <v>0</v>
      </c>
      <c r="BH352" s="57">
        <f>IF(ISERROR(IF(B352=C352,W352/C352,(INT(W352/B352)+(((W352-B352*INT(W352/B352)))/C352)/100))),0,(IF(B352=C352,W352/C352,(INT(W352/B352)+(((W352-B352*INT(W352/B352)))/C352)/100))))</f>
        <v>0</v>
      </c>
      <c r="BI352" s="57">
        <f>IF(ISERROR(IF(B352=C352,X352/C352,(INT(X352/B352)+(((X352-B352*INT(X352/B352)))/C352)/100))),0,(IF(B352=C352,X352/C352,(INT(X352/B352)+(((X352-B352*INT(X352/B352)))/C352)/100))))</f>
        <v>0</v>
      </c>
      <c r="BJ352" s="57">
        <f>IF(ISERROR(IF(B352=C352,Y352/C352,(INT(Y352/B352)+(((Y352-B352*INT(Y352/B352)))/C352)/100))),0,(IF(B352=C352,Y352/C352,(INT(Y352/B352)+(((Y352-B352*INT(Y352/B352)))/C352)/100))))</f>
        <v>0</v>
      </c>
      <c r="BL352" s="57">
        <f>IF(ISERROR(IF(B352=C352,AA352/C352,(INT(AA352/B352)+(((AA352-B352*INT(AA352/B352)))/C352)/100))),0,(IF(B352=C352,AA352/C352,(INT(AA352/B352)+(((AA352-B352*INT(AA352/B352)))/C352)/100))))</f>
        <v>0</v>
      </c>
      <c r="BM352" s="57">
        <f>IF(ISERROR(IF(B352=C352,AB352/C352,(INT(AB352/B352)+(((AB352-B352*INT(AB352/B352)))/C352)/100))),0,(IF(B352=C352,AB352/C352,(INT(AB352/B352)+(((AB352-B352*INT(AB352/B352)))/C352)/100))))</f>
        <v>0</v>
      </c>
      <c r="BN352" s="57">
        <f>IF(ISERROR(IF(B352=C352,AC352/C352,(INT(AC352/B352)+(((AC352-B352*INT(AC352/B352)))/C352)/100))),0,(IF(B352=C352,AC352/C352,(INT(AC352/B352)+(((AC352-B352*INT(AC352/B352)))/C352)/100))))</f>
        <v>0</v>
      </c>
      <c r="BO352" s="57">
        <f>IF(ISERROR(IF(B352=C352,AD352/C352,(INT(AD352/B352)+(((AD352-B352*INT(AD352/B352)))/C352)/100))),0,(IF(B352=C352,AD352/C352,(INT(AD352/B352)+(((AD352-B352*INT(AD352/B352)))/C352)/100))))</f>
        <v>0</v>
      </c>
      <c r="BQ352" s="155"/>
    </row>
    <row r="353" spans="1:69" hidden="1" x14ac:dyDescent="0.35">
      <c r="A353" s="94"/>
      <c r="B353" s="113">
        <v>0</v>
      </c>
      <c r="C353" s="113">
        <v>0</v>
      </c>
      <c r="D353" s="28">
        <f>SUM(AA353:AD353)</f>
        <v>0</v>
      </c>
      <c r="E353" s="113">
        <v>0</v>
      </c>
      <c r="F353" s="113">
        <v>0</v>
      </c>
      <c r="G353" s="28">
        <f>SUM(D353:F353)</f>
        <v>0</v>
      </c>
      <c r="H353" s="125">
        <v>0</v>
      </c>
      <c r="I353" s="113">
        <v>0</v>
      </c>
      <c r="J353" s="125">
        <v>0</v>
      </c>
      <c r="K353" s="113">
        <v>0</v>
      </c>
      <c r="L353" s="113">
        <v>0</v>
      </c>
      <c r="M353" s="113">
        <v>0</v>
      </c>
      <c r="N353" s="28">
        <f>G353-SUM(H353:M353)</f>
        <v>0</v>
      </c>
      <c r="O353" s="28">
        <f>SUM(V353:Y353)</f>
        <v>0</v>
      </c>
      <c r="P353" s="28">
        <f>O353-N353</f>
        <v>0</v>
      </c>
      <c r="Q353" s="61" t="str">
        <f>IF(ISERROR(P353/SUM(H353:L353)),"",P353/SUM(H353:L353))</f>
        <v/>
      </c>
      <c r="R353" s="113">
        <v>0</v>
      </c>
      <c r="S353" s="28">
        <f>IF(ISERROR(P353/C353*R353),0,(P353/C353*R353))</f>
        <v>0</v>
      </c>
      <c r="T353" s="60">
        <f>IF(ISERROR(P353/B353*AF353),0,(P353/B353*AF353))</f>
        <v>0</v>
      </c>
      <c r="V353" s="113">
        <v>0</v>
      </c>
      <c r="W353" s="113">
        <v>0</v>
      </c>
      <c r="X353" s="113">
        <v>0</v>
      </c>
      <c r="Y353" s="113">
        <v>0</v>
      </c>
      <c r="AA353" s="113">
        <v>0</v>
      </c>
      <c r="AB353" s="113">
        <v>0</v>
      </c>
      <c r="AC353" s="113">
        <v>0</v>
      </c>
      <c r="AD353" s="113">
        <v>0</v>
      </c>
      <c r="AF353" s="113">
        <v>0</v>
      </c>
      <c r="AG353" s="28">
        <f>G353-O353</f>
        <v>0</v>
      </c>
      <c r="AH353" s="58">
        <f>IF(ISERROR(AG353/B353*AF353),0,(AG353/B353*AF353))</f>
        <v>0</v>
      </c>
      <c r="AI353" s="28">
        <f>SUM(H353:M353)</f>
        <v>0</v>
      </c>
      <c r="AJ353" s="28">
        <f>IF(ISERROR(AI353/B353*AF353),0,(AI353/B353*AF353))</f>
        <v>0</v>
      </c>
      <c r="AK353" s="58">
        <f>IF(ISERROR(O353/B353*AF353),0,(O353/B353*AF353))</f>
        <v>0</v>
      </c>
      <c r="AL353" s="28">
        <f>IF(ISERROR(H353/B353*AF353),0,(H353/B353*AF353))</f>
        <v>0</v>
      </c>
      <c r="AN353" s="51">
        <f>A353</f>
        <v>0</v>
      </c>
      <c r="AO353" s="57">
        <f>IF(ISERROR(IF(B353=C353,D353/C353,(INT(D353/B353)+(((D353-B353*INT(D353/B353)))/C353)/100))),0,(IF(B353=C353,D353/C353,(INT(D353/B353)+(((D353-B353*INT(D353/B353)))/C353)/100))))</f>
        <v>0</v>
      </c>
      <c r="AP353" s="57">
        <f>IF(ISERROR(IF(B353=C353,E353/C353,(INT(E353/B353)+(((E353-B353*INT(E353/B353)))/C353)/100))),0,(IF(B353=C353,E353/C353,(INT(E353/B353)+(((E353-B353*INT(E353/B353)))/C353)/100))))</f>
        <v>0</v>
      </c>
      <c r="AQ353" s="57">
        <f>IF(ISERROR(IF(B353=C353,F353/C353,IF((INT(F353/B353)+(((F353-B353*INT(F353/B353)))/C353)/100)&lt;0,(INT(F353/B353)+(((F353-B353*INT(F353/B353)))/C353)/100)+(1-(B353/C353/100)),(INT(F353/B353)+(((F353-B353*INT(F353/B353)))/C353)/100)))),0,IF(B353=C353,F353/C353,IF((INT(F353/B353)+(((F353-B353*INT(F353/B353)))/C353)/100)&lt;0,(INT(F353/B353)+(((F353-B353*INT(F353/B353)))/C353)/100)+(1-(B353/C353/100)),(INT(F353/B353)+(((F353-B353*INT(F353/B353)))/C353)/100))))</f>
        <v>0</v>
      </c>
      <c r="AR353" s="57">
        <f>IF(ISERROR(IF(B353=C353,G353/C353,(INT(G353/B353)+(((G353-B353*INT(G353/B353)))/C353)/100))),0,(IF(B353=C353,G353/C353,(INT(G353/B353)+(((G353-B353*INT(G353/B353)))/C353)/100))))</f>
        <v>0</v>
      </c>
      <c r="AS353" s="57">
        <f>IF(ISERROR(IF(B353=C353,H353/C353,(INT(H353/B353)+(((H353-B353*INT(H353/B353)))/C353)/100))),0,(IF(B353=C353,H353/C353,(INT(H353/B353)+(((H353-B353*INT(H353/B353)))/C353)/100))))</f>
        <v>0</v>
      </c>
      <c r="AT353" s="57">
        <f>IF(ISERROR(IF(B353=C353,I353/C353,(INT(I353/B353)+(((I353-B353*INT(I353/B353)))/C353)/100))),0,(IF(B353=C353,I353/C353,(INT(I353/B353)+(((I353-B353*INT(I353/B353)))/C353)/100))))</f>
        <v>0</v>
      </c>
      <c r="AU353" s="57">
        <f>IF(ISERROR(IF(B353=C353,J353/C353,(INT(J353/B353)+(((J353-B353*INT(J353/B353)))/C353)/100))),0,(IF(B353=C353,J353/C353,(INT(J353/B353)+(((J353-B353*INT(J353/B353)))/C353)/100))))</f>
        <v>0</v>
      </c>
      <c r="AV353" s="57">
        <f>IF(ISERROR(IF(B353=C353,K353/C353,IF((INT(K353/B353)+(((K353-B353*INT(K353/B353)))/C353)/100)&lt;0,(INT(K353/B353)+(((K353-B353*INT(K353/B353)))/C353)/100)+(1-(B353/C353/100)),(INT(K353/B353)+(((K353-B353*INT(K353/B353)))/C353)/100)))),0,IF(B353=C353,K353/C353,IF((INT(K353/B353)+(((K353-B353*INT(K353/B353)))/C353)/100)&lt;0,(INT(K353/B353)+(((K353-B353*INT(K353/B353)))/C353)/100)+(1-(B353/C353/100)),(INT(K353/B353)+(((K353-B353*INT(K353/B353)))/C353)/100))))</f>
        <v>0</v>
      </c>
      <c r="AW353" s="57">
        <f>IF(ISERROR(IF(B353=C353,L353/C353,(INT(L353/B353)+(((L353-B353*INT(L353/B353)))/C353)/100))),0,(IF(B353=C353,L353/C353,(INT(L353/B353)+(((L353-B353*INT(L353/B353)))/C353)/100))))</f>
        <v>0</v>
      </c>
      <c r="AX353" s="57">
        <f>IF(ISERROR(IF(B353=C353,M353/C353,(INT(M353/B353)+(((M353-B353*INT(M353/B353)))/C353)/100))),0,(IF(B353=C353,M353/C353,(INT(M353/B353)+(((M353-B353*INT(M353/B353)))/C353)/100))))</f>
        <v>0</v>
      </c>
      <c r="AY353" s="57">
        <f>IF(ISERROR(IF(B353=C353,N353/C353,IF((INT(N353/B353)+(((N353-B353*INT(N353/B353)))/C353)/100)&lt;0,(INT(N353/B353)+(((N353-B353*INT(N353/B353)))/C353)/100)+(1-(B353/C353/100)),(INT(N353/B353)+(((N353-B353*INT(N353/B353)))/C353)/100)))),0,IF(B353=C353,N353/C353,IF((INT(N353/B353)+(((N353-B353*INT(N353/B353)))/C353)/100)&lt;0,(INT(N353/B353)+(((N353-B353*INT(N353/B353)))/C353)/100)+(1-(B353/C353/100)),(INT(N353/B353)+(((N353-B353*INT(N353/B353)))/C353)/100))))</f>
        <v>0</v>
      </c>
      <c r="AZ353" s="57">
        <f>IF(ISERROR(IF(B353=C353,O353/C353,(INT(O353/B353)+(((O353-B353*INT(O353/B353)))/C353)/100))),0,(IF(B353=C353,O353/C353,(INT(O353/B353)+(((O353-B353*INT(O353/B353)))/C353)/100))))</f>
        <v>0</v>
      </c>
      <c r="BA353" s="57">
        <f>IF(ISERROR(IF(B353=C353,P353/C353,IF((INT(P353/B353)+(((P353-B353*INT(P353/B353)))/C353)/100)&lt;0,(INT(P353/B353)+(((P353-B353*INT(P353/B353)))/C353)/100)+(1-(B353/C353/100)),(INT(P353/B353)+(((P353-B353*INT(P353/B353)))/C353)/100)))),0,IF(B353=C353,P353/C353,IF((INT(P353/B353)+(((P353-B353*INT(P353/B353)))/C353)/100)&lt;0,(INT(P353/B353)+(((P353-B353*INT(P353/B353)))/C353)/100)+(1-(B353/C353/100)),(INT(P353/B353)+(((P353-B353*INT(P353/B353)))/C353)/100))))</f>
        <v>0</v>
      </c>
      <c r="BB353" s="28">
        <f>R353</f>
        <v>0</v>
      </c>
      <c r="BC353" s="28">
        <f>S353</f>
        <v>0</v>
      </c>
      <c r="BD353" s="28">
        <f>AF353</f>
        <v>0</v>
      </c>
      <c r="BE353" s="28">
        <f>T353</f>
        <v>0</v>
      </c>
      <c r="BG353" s="57">
        <f>IF(ISERROR(IF(B353=C353,V353/C353,(INT(V353/B353)+(((V353-B353*INT(V353/B353)))/C353)/100))),0,(IF(B353=C353,V353/C353,(INT(V353/B353)+(((V353-B353*INT(V353/B353)))/C353)/100))))</f>
        <v>0</v>
      </c>
      <c r="BH353" s="57">
        <f>IF(ISERROR(IF(B353=C353,W353/C353,(INT(W353/B353)+(((W353-B353*INT(W353/B353)))/C353)/100))),0,(IF(B353=C353,W353/C353,(INT(W353/B353)+(((W353-B353*INT(W353/B353)))/C353)/100))))</f>
        <v>0</v>
      </c>
      <c r="BI353" s="57">
        <f>IF(ISERROR(IF(B353=C353,X353/C353,(INT(X353/B353)+(((X353-B353*INT(X353/B353)))/C353)/100))),0,(IF(B353=C353,X353/C353,(INT(X353/B353)+(((X353-B353*INT(X353/B353)))/C353)/100))))</f>
        <v>0</v>
      </c>
      <c r="BJ353" s="57">
        <f>IF(ISERROR(IF(B353=C353,Y353/C353,(INT(Y353/B353)+(((Y353-B353*INT(Y353/B353)))/C353)/100))),0,(IF(B353=C353,Y353/C353,(INT(Y353/B353)+(((Y353-B353*INT(Y353/B353)))/C353)/100))))</f>
        <v>0</v>
      </c>
      <c r="BL353" s="57">
        <f>IF(ISERROR(IF(B353=C353,AA353/C353,(INT(AA353/B353)+(((AA353-B353*INT(AA353/B353)))/C353)/100))),0,(IF(B353=C353,AA353/C353,(INT(AA353/B353)+(((AA353-B353*INT(AA353/B353)))/C353)/100))))</f>
        <v>0</v>
      </c>
      <c r="BM353" s="57">
        <f>IF(ISERROR(IF(B353=C353,AB353/C353,(INT(AB353/B353)+(((AB353-B353*INT(AB353/B353)))/C353)/100))),0,(IF(B353=C353,AB353/C353,(INT(AB353/B353)+(((AB353-B353*INT(AB353/B353)))/C353)/100))))</f>
        <v>0</v>
      </c>
      <c r="BN353" s="57">
        <f>IF(ISERROR(IF(B353=C353,AC353/C353,(INT(AC353/B353)+(((AC353-B353*INT(AC353/B353)))/C353)/100))),0,(IF(B353=C353,AC353/C353,(INT(AC353/B353)+(((AC353-B353*INT(AC353/B353)))/C353)/100))))</f>
        <v>0</v>
      </c>
      <c r="BO353" s="57">
        <f>IF(ISERROR(IF(B353=C353,AD353/C353,(INT(AD353/B353)+(((AD353-B353*INT(AD353/B353)))/C353)/100))),0,(IF(B353=C353,AD353/C353,(INT(AD353/B353)+(((AD353-B353*INT(AD353/B353)))/C353)/100))))</f>
        <v>0</v>
      </c>
      <c r="BQ353" s="155"/>
    </row>
    <row r="354" spans="1:69" hidden="1" x14ac:dyDescent="0.35">
      <c r="A354" s="94"/>
      <c r="B354" s="113">
        <v>0</v>
      </c>
      <c r="C354" s="113">
        <v>0</v>
      </c>
      <c r="D354" s="28">
        <f>SUM(AA354:AD354)</f>
        <v>0</v>
      </c>
      <c r="E354" s="113">
        <v>0</v>
      </c>
      <c r="F354" s="113">
        <v>0</v>
      </c>
      <c r="G354" s="28">
        <f>SUM(D354:F354)</f>
        <v>0</v>
      </c>
      <c r="H354" s="125">
        <v>0</v>
      </c>
      <c r="I354" s="113">
        <v>0</v>
      </c>
      <c r="J354" s="125">
        <v>0</v>
      </c>
      <c r="K354" s="113">
        <v>0</v>
      </c>
      <c r="L354" s="113">
        <v>0</v>
      </c>
      <c r="M354" s="113">
        <v>0</v>
      </c>
      <c r="N354" s="28">
        <f>G354-SUM(H354:M354)</f>
        <v>0</v>
      </c>
      <c r="O354" s="28">
        <f>SUM(V354:Y354)</f>
        <v>0</v>
      </c>
      <c r="P354" s="28">
        <f>O354-N354</f>
        <v>0</v>
      </c>
      <c r="Q354" s="61" t="str">
        <f>IF(ISERROR(P354/SUM(H354:L354)),"",P354/SUM(H354:L354))</f>
        <v/>
      </c>
      <c r="R354" s="113">
        <v>0</v>
      </c>
      <c r="S354" s="28">
        <f>IF(ISERROR(P354/C354*R354),0,(P354/C354*R354))</f>
        <v>0</v>
      </c>
      <c r="T354" s="60">
        <f>IF(ISERROR(P354/B354*AF354),0,(P354/B354*AF354))</f>
        <v>0</v>
      </c>
      <c r="V354" s="113">
        <v>0</v>
      </c>
      <c r="W354" s="113">
        <v>0</v>
      </c>
      <c r="X354" s="113">
        <v>0</v>
      </c>
      <c r="Y354" s="113">
        <v>0</v>
      </c>
      <c r="AA354" s="113">
        <v>0</v>
      </c>
      <c r="AB354" s="113">
        <v>0</v>
      </c>
      <c r="AC354" s="113">
        <v>0</v>
      </c>
      <c r="AD354" s="113">
        <v>0</v>
      </c>
      <c r="AF354" s="113">
        <v>0</v>
      </c>
      <c r="AG354" s="28">
        <f>G354-O354</f>
        <v>0</v>
      </c>
      <c r="AH354" s="58">
        <f>IF(ISERROR(AG354/B354*AF354),0,(AG354/B354*AF354))</f>
        <v>0</v>
      </c>
      <c r="AI354" s="28">
        <f>SUM(H354:M354)</f>
        <v>0</v>
      </c>
      <c r="AJ354" s="28">
        <f>IF(ISERROR(AI354/B354*AF354),0,(AI354/B354*AF354))</f>
        <v>0</v>
      </c>
      <c r="AK354" s="58">
        <f>IF(ISERROR(O354/B354*AF354),0,(O354/B354*AF354))</f>
        <v>0</v>
      </c>
      <c r="AL354" s="28">
        <f>IF(ISERROR(H354/B354*AF354),0,(H354/B354*AF354))</f>
        <v>0</v>
      </c>
      <c r="AN354" s="51">
        <f>A354</f>
        <v>0</v>
      </c>
      <c r="AO354" s="57">
        <f>IF(ISERROR(IF(B354=C354,D354/C354,(INT(D354/B354)+(((D354-B354*INT(D354/B354)))/C354)/100))),0,(IF(B354=C354,D354/C354,(INT(D354/B354)+(((D354-B354*INT(D354/B354)))/C354)/100))))</f>
        <v>0</v>
      </c>
      <c r="AP354" s="57">
        <f>IF(ISERROR(IF(B354=C354,E354/C354,(INT(E354/B354)+(((E354-B354*INT(E354/B354)))/C354)/100))),0,(IF(B354=C354,E354/C354,(INT(E354/B354)+(((E354-B354*INT(E354/B354)))/C354)/100))))</f>
        <v>0</v>
      </c>
      <c r="AQ354" s="57">
        <f>IF(ISERROR(IF(B354=C354,F354/C354,IF((INT(F354/B354)+(((F354-B354*INT(F354/B354)))/C354)/100)&lt;0,(INT(F354/B354)+(((F354-B354*INT(F354/B354)))/C354)/100)+(1-(B354/C354/100)),(INT(F354/B354)+(((F354-B354*INT(F354/B354)))/C354)/100)))),0,IF(B354=C354,F354/C354,IF((INT(F354/B354)+(((F354-B354*INT(F354/B354)))/C354)/100)&lt;0,(INT(F354/B354)+(((F354-B354*INT(F354/B354)))/C354)/100)+(1-(B354/C354/100)),(INT(F354/B354)+(((F354-B354*INT(F354/B354)))/C354)/100))))</f>
        <v>0</v>
      </c>
      <c r="AR354" s="57">
        <f>IF(ISERROR(IF(B354=C354,G354/C354,(INT(G354/B354)+(((G354-B354*INT(G354/B354)))/C354)/100))),0,(IF(B354=C354,G354/C354,(INT(G354/B354)+(((G354-B354*INT(G354/B354)))/C354)/100))))</f>
        <v>0</v>
      </c>
      <c r="AS354" s="57">
        <f>IF(ISERROR(IF(B354=C354,H354/C354,(INT(H354/B354)+(((H354-B354*INT(H354/B354)))/C354)/100))),0,(IF(B354=C354,H354/C354,(INT(H354/B354)+(((H354-B354*INT(H354/B354)))/C354)/100))))</f>
        <v>0</v>
      </c>
      <c r="AT354" s="57">
        <f>IF(ISERROR(IF(B354=C354,I354/C354,(INT(I354/B354)+(((I354-B354*INT(I354/B354)))/C354)/100))),0,(IF(B354=C354,I354/C354,(INT(I354/B354)+(((I354-B354*INT(I354/B354)))/C354)/100))))</f>
        <v>0</v>
      </c>
      <c r="AU354" s="57">
        <f>IF(ISERROR(IF(B354=C354,J354/C354,(INT(J354/B354)+(((J354-B354*INT(J354/B354)))/C354)/100))),0,(IF(B354=C354,J354/C354,(INT(J354/B354)+(((J354-B354*INT(J354/B354)))/C354)/100))))</f>
        <v>0</v>
      </c>
      <c r="AV354" s="57">
        <f>IF(ISERROR(IF(B354=C354,K354/C354,IF((INT(K354/B354)+(((K354-B354*INT(K354/B354)))/C354)/100)&lt;0,(INT(K354/B354)+(((K354-B354*INT(K354/B354)))/C354)/100)+(1-(B354/C354/100)),(INT(K354/B354)+(((K354-B354*INT(K354/B354)))/C354)/100)))),0,IF(B354=C354,K354/C354,IF((INT(K354/B354)+(((K354-B354*INT(K354/B354)))/C354)/100)&lt;0,(INT(K354/B354)+(((K354-B354*INT(K354/B354)))/C354)/100)+(1-(B354/C354/100)),(INT(K354/B354)+(((K354-B354*INT(K354/B354)))/C354)/100))))</f>
        <v>0</v>
      </c>
      <c r="AW354" s="57">
        <f>IF(ISERROR(IF(B354=C354,L354/C354,(INT(L354/B354)+(((L354-B354*INT(L354/B354)))/C354)/100))),0,(IF(B354=C354,L354/C354,(INT(L354/B354)+(((L354-B354*INT(L354/B354)))/C354)/100))))</f>
        <v>0</v>
      </c>
      <c r="AX354" s="57">
        <f>IF(ISERROR(IF(B354=C354,M354/C354,(INT(M354/B354)+(((M354-B354*INT(M354/B354)))/C354)/100))),0,(IF(B354=C354,M354/C354,(INT(M354/B354)+(((M354-B354*INT(M354/B354)))/C354)/100))))</f>
        <v>0</v>
      </c>
      <c r="AY354" s="57">
        <f>IF(ISERROR(IF(B354=C354,N354/C354,IF((INT(N354/B354)+(((N354-B354*INT(N354/B354)))/C354)/100)&lt;0,(INT(N354/B354)+(((N354-B354*INT(N354/B354)))/C354)/100)+(1-(B354/C354/100)),(INT(N354/B354)+(((N354-B354*INT(N354/B354)))/C354)/100)))),0,IF(B354=C354,N354/C354,IF((INT(N354/B354)+(((N354-B354*INT(N354/B354)))/C354)/100)&lt;0,(INT(N354/B354)+(((N354-B354*INT(N354/B354)))/C354)/100)+(1-(B354/C354/100)),(INT(N354/B354)+(((N354-B354*INT(N354/B354)))/C354)/100))))</f>
        <v>0</v>
      </c>
      <c r="AZ354" s="57">
        <f>IF(ISERROR(IF(B354=C354,O354/C354,(INT(O354/B354)+(((O354-B354*INT(O354/B354)))/C354)/100))),0,(IF(B354=C354,O354/C354,(INT(O354/B354)+(((O354-B354*INT(O354/B354)))/C354)/100))))</f>
        <v>0</v>
      </c>
      <c r="BA354" s="57">
        <f>IF(ISERROR(IF(B354=C354,P354/C354,IF((INT(P354/B354)+(((P354-B354*INT(P354/B354)))/C354)/100)&lt;0,(INT(P354/B354)+(((P354-B354*INT(P354/B354)))/C354)/100)+(1-(B354/C354/100)),(INT(P354/B354)+(((P354-B354*INT(P354/B354)))/C354)/100)))),0,IF(B354=C354,P354/C354,IF((INT(P354/B354)+(((P354-B354*INT(P354/B354)))/C354)/100)&lt;0,(INT(P354/B354)+(((P354-B354*INT(P354/B354)))/C354)/100)+(1-(B354/C354/100)),(INT(P354/B354)+(((P354-B354*INT(P354/B354)))/C354)/100))))</f>
        <v>0</v>
      </c>
      <c r="BB354" s="28">
        <f>R354</f>
        <v>0</v>
      </c>
      <c r="BC354" s="28">
        <f>S354</f>
        <v>0</v>
      </c>
      <c r="BD354" s="28">
        <f>AF354</f>
        <v>0</v>
      </c>
      <c r="BE354" s="28">
        <f>T354</f>
        <v>0</v>
      </c>
      <c r="BG354" s="57">
        <f>IF(ISERROR(IF(B354=C354,V354/C354,(INT(V354/B354)+(((V354-B354*INT(V354/B354)))/C354)/100))),0,(IF(B354=C354,V354/C354,(INT(V354/B354)+(((V354-B354*INT(V354/B354)))/C354)/100))))</f>
        <v>0</v>
      </c>
      <c r="BH354" s="57">
        <f>IF(ISERROR(IF(B354=C354,W354/C354,(INT(W354/B354)+(((W354-B354*INT(W354/B354)))/C354)/100))),0,(IF(B354=C354,W354/C354,(INT(W354/B354)+(((W354-B354*INT(W354/B354)))/C354)/100))))</f>
        <v>0</v>
      </c>
      <c r="BI354" s="57">
        <f>IF(ISERROR(IF(B354=C354,X354/C354,(INT(X354/B354)+(((X354-B354*INT(X354/B354)))/C354)/100))),0,(IF(B354=C354,X354/C354,(INT(X354/B354)+(((X354-B354*INT(X354/B354)))/C354)/100))))</f>
        <v>0</v>
      </c>
      <c r="BJ354" s="57">
        <f>IF(ISERROR(IF(B354=C354,Y354/C354,(INT(Y354/B354)+(((Y354-B354*INT(Y354/B354)))/C354)/100))),0,(IF(B354=C354,Y354/C354,(INT(Y354/B354)+(((Y354-B354*INT(Y354/B354)))/C354)/100))))</f>
        <v>0</v>
      </c>
      <c r="BL354" s="57">
        <f>IF(ISERROR(IF(B354=C354,AA354/C354,(INT(AA354/B354)+(((AA354-B354*INT(AA354/B354)))/C354)/100))),0,(IF(B354=C354,AA354/C354,(INT(AA354/B354)+(((AA354-B354*INT(AA354/B354)))/C354)/100))))</f>
        <v>0</v>
      </c>
      <c r="BM354" s="57">
        <f>IF(ISERROR(IF(B354=C354,AB354/C354,(INT(AB354/B354)+(((AB354-B354*INT(AB354/B354)))/C354)/100))),0,(IF(B354=C354,AB354/C354,(INT(AB354/B354)+(((AB354-B354*INT(AB354/B354)))/C354)/100))))</f>
        <v>0</v>
      </c>
      <c r="BN354" s="57">
        <f>IF(ISERROR(IF(B354=C354,AC354/C354,(INT(AC354/B354)+(((AC354-B354*INT(AC354/B354)))/C354)/100))),0,(IF(B354=C354,AC354/C354,(INT(AC354/B354)+(((AC354-B354*INT(AC354/B354)))/C354)/100))))</f>
        <v>0</v>
      </c>
      <c r="BO354" s="57">
        <f>IF(ISERROR(IF(B354=C354,AD354/C354,(INT(AD354/B354)+(((AD354-B354*INT(AD354/B354)))/C354)/100))),0,(IF(B354=C354,AD354/C354,(INT(AD354/B354)+(((AD354-B354*INT(AD354/B354)))/C354)/100))))</f>
        <v>0</v>
      </c>
      <c r="BQ354" s="155"/>
    </row>
    <row r="355" spans="1:69" hidden="1" x14ac:dyDescent="0.35">
      <c r="A355" s="94"/>
      <c r="B355" s="113">
        <v>0</v>
      </c>
      <c r="C355" s="113">
        <v>0</v>
      </c>
      <c r="D355" s="28">
        <f>SUM(AA355:AD355)</f>
        <v>0</v>
      </c>
      <c r="E355" s="113">
        <v>0</v>
      </c>
      <c r="F355" s="113">
        <v>0</v>
      </c>
      <c r="G355" s="28">
        <f>SUM(D355:F355)</f>
        <v>0</v>
      </c>
      <c r="H355" s="125">
        <v>0</v>
      </c>
      <c r="I355" s="113">
        <v>0</v>
      </c>
      <c r="J355" s="125">
        <v>0</v>
      </c>
      <c r="K355" s="113">
        <v>0</v>
      </c>
      <c r="L355" s="113">
        <v>0</v>
      </c>
      <c r="M355" s="113">
        <v>0</v>
      </c>
      <c r="N355" s="28">
        <f>G355-SUM(H355:M355)</f>
        <v>0</v>
      </c>
      <c r="O355" s="28">
        <f>SUM(V355:Y355)</f>
        <v>0</v>
      </c>
      <c r="P355" s="28">
        <f>O355-N355</f>
        <v>0</v>
      </c>
      <c r="Q355" s="61" t="str">
        <f>IF(ISERROR(P355/SUM(H355:L355)),"",P355/SUM(H355:L355))</f>
        <v/>
      </c>
      <c r="R355" s="113">
        <v>0</v>
      </c>
      <c r="S355" s="28">
        <f>IF(ISERROR(P355/C355*R355),0,(P355/C355*R355))</f>
        <v>0</v>
      </c>
      <c r="T355" s="60">
        <f>IF(ISERROR(P355/B355*AF355),0,(P355/B355*AF355))</f>
        <v>0</v>
      </c>
      <c r="V355" s="113">
        <v>0</v>
      </c>
      <c r="W355" s="113">
        <v>0</v>
      </c>
      <c r="X355" s="113">
        <v>0</v>
      </c>
      <c r="Y355" s="113">
        <v>0</v>
      </c>
      <c r="AA355" s="113">
        <v>0</v>
      </c>
      <c r="AB355" s="113">
        <v>0</v>
      </c>
      <c r="AC355" s="113">
        <v>0</v>
      </c>
      <c r="AD355" s="113">
        <v>0</v>
      </c>
      <c r="AF355" s="113">
        <v>0</v>
      </c>
      <c r="AG355" s="28">
        <f>G355-O355</f>
        <v>0</v>
      </c>
      <c r="AH355" s="58">
        <f>IF(ISERROR(AG355/B355*AF355),0,(AG355/B355*AF355))</f>
        <v>0</v>
      </c>
      <c r="AI355" s="28">
        <f>SUM(H355:M355)</f>
        <v>0</v>
      </c>
      <c r="AJ355" s="28">
        <f>IF(ISERROR(AI355/B355*AF355),0,(AI355/B355*AF355))</f>
        <v>0</v>
      </c>
      <c r="AK355" s="58">
        <f>IF(ISERROR(O355/B355*AF355),0,(O355/B355*AF355))</f>
        <v>0</v>
      </c>
      <c r="AL355" s="28">
        <f>IF(ISERROR(H355/B355*AF355),0,(H355/B355*AF355))</f>
        <v>0</v>
      </c>
      <c r="AN355" s="51">
        <f>A355</f>
        <v>0</v>
      </c>
      <c r="AO355" s="57">
        <f>IF(ISERROR(IF(B355=C355,D355/C355,(INT(D355/B355)+(((D355-B355*INT(D355/B355)))/C355)/100))),0,(IF(B355=C355,D355/C355,(INT(D355/B355)+(((D355-B355*INT(D355/B355)))/C355)/100))))</f>
        <v>0</v>
      </c>
      <c r="AP355" s="57">
        <f>IF(ISERROR(IF(B355=C355,E355/C355,(INT(E355/B355)+(((E355-B355*INT(E355/B355)))/C355)/100))),0,(IF(B355=C355,E355/C355,(INT(E355/B355)+(((E355-B355*INT(E355/B355)))/C355)/100))))</f>
        <v>0</v>
      </c>
      <c r="AQ355" s="57">
        <f>IF(ISERROR(IF(B355=C355,F355/C355,IF((INT(F355/B355)+(((F355-B355*INT(F355/B355)))/C355)/100)&lt;0,(INT(F355/B355)+(((F355-B355*INT(F355/B355)))/C355)/100)+(1-(B355/C355/100)),(INT(F355/B355)+(((F355-B355*INT(F355/B355)))/C355)/100)))),0,IF(B355=C355,F355/C355,IF((INT(F355/B355)+(((F355-B355*INT(F355/B355)))/C355)/100)&lt;0,(INT(F355/B355)+(((F355-B355*INT(F355/B355)))/C355)/100)+(1-(B355/C355/100)),(INT(F355/B355)+(((F355-B355*INT(F355/B355)))/C355)/100))))</f>
        <v>0</v>
      </c>
      <c r="AR355" s="57">
        <f>IF(ISERROR(IF(B355=C355,G355/C355,(INT(G355/B355)+(((G355-B355*INT(G355/B355)))/C355)/100))),0,(IF(B355=C355,G355/C355,(INT(G355/B355)+(((G355-B355*INT(G355/B355)))/C355)/100))))</f>
        <v>0</v>
      </c>
      <c r="AS355" s="57">
        <f>IF(ISERROR(IF(B355=C355,H355/C355,(INT(H355/B355)+(((H355-B355*INT(H355/B355)))/C355)/100))),0,(IF(B355=C355,H355/C355,(INT(H355/B355)+(((H355-B355*INT(H355/B355)))/C355)/100))))</f>
        <v>0</v>
      </c>
      <c r="AT355" s="57">
        <f>IF(ISERROR(IF(B355=C355,I355/C355,(INT(I355/B355)+(((I355-B355*INT(I355/B355)))/C355)/100))),0,(IF(B355=C355,I355/C355,(INT(I355/B355)+(((I355-B355*INT(I355/B355)))/C355)/100))))</f>
        <v>0</v>
      </c>
      <c r="AU355" s="57">
        <f>IF(ISERROR(IF(B355=C355,J355/C355,(INT(J355/B355)+(((J355-B355*INT(J355/B355)))/C355)/100))),0,(IF(B355=C355,J355/C355,(INT(J355/B355)+(((J355-B355*INT(J355/B355)))/C355)/100))))</f>
        <v>0</v>
      </c>
      <c r="AV355" s="57">
        <f>IF(ISERROR(IF(B355=C355,K355/C355,IF((INT(K355/B355)+(((K355-B355*INT(K355/B355)))/C355)/100)&lt;0,(INT(K355/B355)+(((K355-B355*INT(K355/B355)))/C355)/100)+(1-(B355/C355/100)),(INT(K355/B355)+(((K355-B355*INT(K355/B355)))/C355)/100)))),0,IF(B355=C355,K355/C355,IF((INT(K355/B355)+(((K355-B355*INT(K355/B355)))/C355)/100)&lt;0,(INT(K355/B355)+(((K355-B355*INT(K355/B355)))/C355)/100)+(1-(B355/C355/100)),(INT(K355/B355)+(((K355-B355*INT(K355/B355)))/C355)/100))))</f>
        <v>0</v>
      </c>
      <c r="AW355" s="57">
        <f>IF(ISERROR(IF(B355=C355,L355/C355,(INT(L355/B355)+(((L355-B355*INT(L355/B355)))/C355)/100))),0,(IF(B355=C355,L355/C355,(INT(L355/B355)+(((L355-B355*INT(L355/B355)))/C355)/100))))</f>
        <v>0</v>
      </c>
      <c r="AX355" s="57">
        <f>IF(ISERROR(IF(B355=C355,M355/C355,(INT(M355/B355)+(((M355-B355*INT(M355/B355)))/C355)/100))),0,(IF(B355=C355,M355/C355,(INT(M355/B355)+(((M355-B355*INT(M355/B355)))/C355)/100))))</f>
        <v>0</v>
      </c>
      <c r="AY355" s="57">
        <f>IF(ISERROR(IF(B355=C355,N355/C355,IF((INT(N355/B355)+(((N355-B355*INT(N355/B355)))/C355)/100)&lt;0,(INT(N355/B355)+(((N355-B355*INT(N355/B355)))/C355)/100)+(1-(B355/C355/100)),(INT(N355/B355)+(((N355-B355*INT(N355/B355)))/C355)/100)))),0,IF(B355=C355,N355/C355,IF((INT(N355/B355)+(((N355-B355*INT(N355/B355)))/C355)/100)&lt;0,(INT(N355/B355)+(((N355-B355*INT(N355/B355)))/C355)/100)+(1-(B355/C355/100)),(INT(N355/B355)+(((N355-B355*INT(N355/B355)))/C355)/100))))</f>
        <v>0</v>
      </c>
      <c r="AZ355" s="57">
        <f>IF(ISERROR(IF(B355=C355,O355/C355,(INT(O355/B355)+(((O355-B355*INT(O355/B355)))/C355)/100))),0,(IF(B355=C355,O355/C355,(INT(O355/B355)+(((O355-B355*INT(O355/B355)))/C355)/100))))</f>
        <v>0</v>
      </c>
      <c r="BA355" s="57">
        <f>IF(ISERROR(IF(B355=C355,P355/C355,IF((INT(P355/B355)+(((P355-B355*INT(P355/B355)))/C355)/100)&lt;0,(INT(P355/B355)+(((P355-B355*INT(P355/B355)))/C355)/100)+(1-(B355/C355/100)),(INT(P355/B355)+(((P355-B355*INT(P355/B355)))/C355)/100)))),0,IF(B355=C355,P355/C355,IF((INT(P355/B355)+(((P355-B355*INT(P355/B355)))/C355)/100)&lt;0,(INT(P355/B355)+(((P355-B355*INT(P355/B355)))/C355)/100)+(1-(B355/C355/100)),(INT(P355/B355)+(((P355-B355*INT(P355/B355)))/C355)/100))))</f>
        <v>0</v>
      </c>
      <c r="BB355" s="28">
        <f>R355</f>
        <v>0</v>
      </c>
      <c r="BC355" s="28">
        <f>S355</f>
        <v>0</v>
      </c>
      <c r="BD355" s="28">
        <f>AF355</f>
        <v>0</v>
      </c>
      <c r="BE355" s="28">
        <f>T355</f>
        <v>0</v>
      </c>
      <c r="BG355" s="57">
        <f>IF(ISERROR(IF(B355=C355,V355/C355,(INT(V355/B355)+(((V355-B355*INT(V355/B355)))/C355)/100))),0,(IF(B355=C355,V355/C355,(INT(V355/B355)+(((V355-B355*INT(V355/B355)))/C355)/100))))</f>
        <v>0</v>
      </c>
      <c r="BH355" s="57">
        <f>IF(ISERROR(IF(B355=C355,W355/C355,(INT(W355/B355)+(((W355-B355*INT(W355/B355)))/C355)/100))),0,(IF(B355=C355,W355/C355,(INT(W355/B355)+(((W355-B355*INT(W355/B355)))/C355)/100))))</f>
        <v>0</v>
      </c>
      <c r="BI355" s="57">
        <f>IF(ISERROR(IF(B355=C355,X355/C355,(INT(X355/B355)+(((X355-B355*INT(X355/B355)))/C355)/100))),0,(IF(B355=C355,X355/C355,(INT(X355/B355)+(((X355-B355*INT(X355/B355)))/C355)/100))))</f>
        <v>0</v>
      </c>
      <c r="BJ355" s="57">
        <f>IF(ISERROR(IF(B355=C355,Y355/C355,(INT(Y355/B355)+(((Y355-B355*INT(Y355/B355)))/C355)/100))),0,(IF(B355=C355,Y355/C355,(INT(Y355/B355)+(((Y355-B355*INT(Y355/B355)))/C355)/100))))</f>
        <v>0</v>
      </c>
      <c r="BL355" s="57">
        <f>IF(ISERROR(IF(B355=C355,AA355/C355,(INT(AA355/B355)+(((AA355-B355*INT(AA355/B355)))/C355)/100))),0,(IF(B355=C355,AA355/C355,(INT(AA355/B355)+(((AA355-B355*INT(AA355/B355)))/C355)/100))))</f>
        <v>0</v>
      </c>
      <c r="BM355" s="57">
        <f>IF(ISERROR(IF(B355=C355,AB355/C355,(INT(AB355/B355)+(((AB355-B355*INT(AB355/B355)))/C355)/100))),0,(IF(B355=C355,AB355/C355,(INT(AB355/B355)+(((AB355-B355*INT(AB355/B355)))/C355)/100))))</f>
        <v>0</v>
      </c>
      <c r="BN355" s="57">
        <f>IF(ISERROR(IF(B355=C355,AC355/C355,(INT(AC355/B355)+(((AC355-B355*INT(AC355/B355)))/C355)/100))),0,(IF(B355=C355,AC355/C355,(INT(AC355/B355)+(((AC355-B355*INT(AC355/B355)))/C355)/100))))</f>
        <v>0</v>
      </c>
      <c r="BO355" s="57">
        <f>IF(ISERROR(IF(B355=C355,AD355/C355,(INT(AD355/B355)+(((AD355-B355*INT(AD355/B355)))/C355)/100))),0,(IF(B355=C355,AD355/C355,(INT(AD355/B355)+(((AD355-B355*INT(AD355/B355)))/C355)/100))))</f>
        <v>0</v>
      </c>
      <c r="BQ355" s="155"/>
    </row>
    <row r="356" spans="1:69" hidden="1" x14ac:dyDescent="0.35">
      <c r="A356" s="94"/>
      <c r="B356" s="113">
        <v>0</v>
      </c>
      <c r="C356" s="113">
        <v>0</v>
      </c>
      <c r="D356" s="28">
        <f>SUM(AA356:AD356)</f>
        <v>0</v>
      </c>
      <c r="E356" s="113">
        <v>0</v>
      </c>
      <c r="F356" s="113">
        <v>0</v>
      </c>
      <c r="G356" s="28">
        <f>SUM(D356:F356)</f>
        <v>0</v>
      </c>
      <c r="H356" s="125">
        <v>0</v>
      </c>
      <c r="I356" s="113">
        <v>0</v>
      </c>
      <c r="J356" s="125">
        <v>0</v>
      </c>
      <c r="K356" s="113">
        <v>0</v>
      </c>
      <c r="L356" s="113">
        <v>0</v>
      </c>
      <c r="M356" s="113">
        <v>0</v>
      </c>
      <c r="N356" s="28">
        <f>G356-SUM(H356:M356)</f>
        <v>0</v>
      </c>
      <c r="O356" s="28">
        <f>SUM(V356:Y356)</f>
        <v>0</v>
      </c>
      <c r="P356" s="28">
        <f>O356-N356</f>
        <v>0</v>
      </c>
      <c r="Q356" s="61" t="str">
        <f>IF(ISERROR(P356/SUM(H356:L356)),"",P356/SUM(H356:L356))</f>
        <v/>
      </c>
      <c r="R356" s="113">
        <v>0</v>
      </c>
      <c r="S356" s="28">
        <f>IF(ISERROR(P356/C356*R356),0,(P356/C356*R356))</f>
        <v>0</v>
      </c>
      <c r="T356" s="60">
        <f>IF(ISERROR(P356/B356*AF356),0,(P356/B356*AF356))</f>
        <v>0</v>
      </c>
      <c r="V356" s="113">
        <v>0</v>
      </c>
      <c r="W356" s="113">
        <v>0</v>
      </c>
      <c r="X356" s="113">
        <v>0</v>
      </c>
      <c r="Y356" s="113">
        <v>0</v>
      </c>
      <c r="AA356" s="113">
        <v>0</v>
      </c>
      <c r="AB356" s="113">
        <v>0</v>
      </c>
      <c r="AC356" s="113">
        <v>0</v>
      </c>
      <c r="AD356" s="113">
        <v>0</v>
      </c>
      <c r="AF356" s="113">
        <v>0</v>
      </c>
      <c r="AG356" s="28">
        <f>G356-O356</f>
        <v>0</v>
      </c>
      <c r="AH356" s="58">
        <f>IF(ISERROR(AG356/B356*AF356),0,(AG356/B356*AF356))</f>
        <v>0</v>
      </c>
      <c r="AI356" s="28">
        <f>SUM(H356:M356)</f>
        <v>0</v>
      </c>
      <c r="AJ356" s="28">
        <f>IF(ISERROR(AI356/B356*AF356),0,(AI356/B356*AF356))</f>
        <v>0</v>
      </c>
      <c r="AK356" s="58">
        <f>IF(ISERROR(O356/B356*AF356),0,(O356/B356*AF356))</f>
        <v>0</v>
      </c>
      <c r="AL356" s="28">
        <f>IF(ISERROR(H356/B356*AF356),0,(H356/B356*AF356))</f>
        <v>0</v>
      </c>
      <c r="AN356" s="51">
        <f>A356</f>
        <v>0</v>
      </c>
      <c r="AO356" s="57">
        <f>IF(ISERROR(IF(B356=C356,D356/C356,(INT(D356/B356)+(((D356-B356*INT(D356/B356)))/C356)/100))),0,(IF(B356=C356,D356/C356,(INT(D356/B356)+(((D356-B356*INT(D356/B356)))/C356)/100))))</f>
        <v>0</v>
      </c>
      <c r="AP356" s="57">
        <f>IF(ISERROR(IF(B356=C356,E356/C356,(INT(E356/B356)+(((E356-B356*INT(E356/B356)))/C356)/100))),0,(IF(B356=C356,E356/C356,(INT(E356/B356)+(((E356-B356*INT(E356/B356)))/C356)/100))))</f>
        <v>0</v>
      </c>
      <c r="AQ356" s="57">
        <f>IF(ISERROR(IF(B356=C356,F356/C356,IF((INT(F356/B356)+(((F356-B356*INT(F356/B356)))/C356)/100)&lt;0,(INT(F356/B356)+(((F356-B356*INT(F356/B356)))/C356)/100)+(1-(B356/C356/100)),(INT(F356/B356)+(((F356-B356*INT(F356/B356)))/C356)/100)))),0,IF(B356=C356,F356/C356,IF((INT(F356/B356)+(((F356-B356*INT(F356/B356)))/C356)/100)&lt;0,(INT(F356/B356)+(((F356-B356*INT(F356/B356)))/C356)/100)+(1-(B356/C356/100)),(INT(F356/B356)+(((F356-B356*INT(F356/B356)))/C356)/100))))</f>
        <v>0</v>
      </c>
      <c r="AR356" s="57">
        <f>IF(ISERROR(IF(B356=C356,G356/C356,(INT(G356/B356)+(((G356-B356*INT(G356/B356)))/C356)/100))),0,(IF(B356=C356,G356/C356,(INT(G356/B356)+(((G356-B356*INT(G356/B356)))/C356)/100))))</f>
        <v>0</v>
      </c>
      <c r="AS356" s="57">
        <f>IF(ISERROR(IF(B356=C356,H356/C356,(INT(H356/B356)+(((H356-B356*INT(H356/B356)))/C356)/100))),0,(IF(B356=C356,H356/C356,(INT(H356/B356)+(((H356-B356*INT(H356/B356)))/C356)/100))))</f>
        <v>0</v>
      </c>
      <c r="AT356" s="57">
        <f>IF(ISERROR(IF(B356=C356,I356/C356,(INT(I356/B356)+(((I356-B356*INT(I356/B356)))/C356)/100))),0,(IF(B356=C356,I356/C356,(INT(I356/B356)+(((I356-B356*INT(I356/B356)))/C356)/100))))</f>
        <v>0</v>
      </c>
      <c r="AU356" s="57">
        <f>IF(ISERROR(IF(B356=C356,J356/C356,(INT(J356/B356)+(((J356-B356*INT(J356/B356)))/C356)/100))),0,(IF(B356=C356,J356/C356,(INT(J356/B356)+(((J356-B356*INT(J356/B356)))/C356)/100))))</f>
        <v>0</v>
      </c>
      <c r="AV356" s="57">
        <f>IF(ISERROR(IF(B356=C356,K356/C356,IF((INT(K356/B356)+(((K356-B356*INT(K356/B356)))/C356)/100)&lt;0,(INT(K356/B356)+(((K356-B356*INT(K356/B356)))/C356)/100)+(1-(B356/C356/100)),(INT(K356/B356)+(((K356-B356*INT(K356/B356)))/C356)/100)))),0,IF(B356=C356,K356/C356,IF((INT(K356/B356)+(((K356-B356*INT(K356/B356)))/C356)/100)&lt;0,(INT(K356/B356)+(((K356-B356*INT(K356/B356)))/C356)/100)+(1-(B356/C356/100)),(INT(K356/B356)+(((K356-B356*INT(K356/B356)))/C356)/100))))</f>
        <v>0</v>
      </c>
      <c r="AW356" s="57">
        <f>IF(ISERROR(IF(B356=C356,L356/C356,(INT(L356/B356)+(((L356-B356*INT(L356/B356)))/C356)/100))),0,(IF(B356=C356,L356/C356,(INT(L356/B356)+(((L356-B356*INT(L356/B356)))/C356)/100))))</f>
        <v>0</v>
      </c>
      <c r="AX356" s="57">
        <f>IF(ISERROR(IF(B356=C356,M356/C356,(INT(M356/B356)+(((M356-B356*INT(M356/B356)))/C356)/100))),0,(IF(B356=C356,M356/C356,(INT(M356/B356)+(((M356-B356*INT(M356/B356)))/C356)/100))))</f>
        <v>0</v>
      </c>
      <c r="AY356" s="57">
        <f>IF(ISERROR(IF(B356=C356,N356/C356,IF((INT(N356/B356)+(((N356-B356*INT(N356/B356)))/C356)/100)&lt;0,(INT(N356/B356)+(((N356-B356*INT(N356/B356)))/C356)/100)+(1-(B356/C356/100)),(INT(N356/B356)+(((N356-B356*INT(N356/B356)))/C356)/100)))),0,IF(B356=C356,N356/C356,IF((INT(N356/B356)+(((N356-B356*INT(N356/B356)))/C356)/100)&lt;0,(INT(N356/B356)+(((N356-B356*INT(N356/B356)))/C356)/100)+(1-(B356/C356/100)),(INT(N356/B356)+(((N356-B356*INT(N356/B356)))/C356)/100))))</f>
        <v>0</v>
      </c>
      <c r="AZ356" s="57">
        <f>IF(ISERROR(IF(B356=C356,O356/C356,(INT(O356/B356)+(((O356-B356*INT(O356/B356)))/C356)/100))),0,(IF(B356=C356,O356/C356,(INT(O356/B356)+(((O356-B356*INT(O356/B356)))/C356)/100))))</f>
        <v>0</v>
      </c>
      <c r="BA356" s="57">
        <f>IF(ISERROR(IF(B356=C356,P356/C356,IF((INT(P356/B356)+(((P356-B356*INT(P356/B356)))/C356)/100)&lt;0,(INT(P356/B356)+(((P356-B356*INT(P356/B356)))/C356)/100)+(1-(B356/C356/100)),(INT(P356/B356)+(((P356-B356*INT(P356/B356)))/C356)/100)))),0,IF(B356=C356,P356/C356,IF((INT(P356/B356)+(((P356-B356*INT(P356/B356)))/C356)/100)&lt;0,(INT(P356/B356)+(((P356-B356*INT(P356/B356)))/C356)/100)+(1-(B356/C356/100)),(INT(P356/B356)+(((P356-B356*INT(P356/B356)))/C356)/100))))</f>
        <v>0</v>
      </c>
      <c r="BB356" s="28">
        <f>R356</f>
        <v>0</v>
      </c>
      <c r="BC356" s="28">
        <f>S356</f>
        <v>0</v>
      </c>
      <c r="BD356" s="28">
        <f>AF356</f>
        <v>0</v>
      </c>
      <c r="BE356" s="28">
        <f>T356</f>
        <v>0</v>
      </c>
      <c r="BG356" s="57">
        <f>IF(ISERROR(IF(B356=C356,V356/C356,(INT(V356/B356)+(((V356-B356*INT(V356/B356)))/C356)/100))),0,(IF(B356=C356,V356/C356,(INT(V356/B356)+(((V356-B356*INT(V356/B356)))/C356)/100))))</f>
        <v>0</v>
      </c>
      <c r="BH356" s="57">
        <f>IF(ISERROR(IF(B356=C356,W356/C356,(INT(W356/B356)+(((W356-B356*INT(W356/B356)))/C356)/100))),0,(IF(B356=C356,W356/C356,(INT(W356/B356)+(((W356-B356*INT(W356/B356)))/C356)/100))))</f>
        <v>0</v>
      </c>
      <c r="BI356" s="57">
        <f>IF(ISERROR(IF(B356=C356,X356/C356,(INT(X356/B356)+(((X356-B356*INT(X356/B356)))/C356)/100))),0,(IF(B356=C356,X356/C356,(INT(X356/B356)+(((X356-B356*INT(X356/B356)))/C356)/100))))</f>
        <v>0</v>
      </c>
      <c r="BJ356" s="57">
        <f>IF(ISERROR(IF(B356=C356,Y356/C356,(INT(Y356/B356)+(((Y356-B356*INT(Y356/B356)))/C356)/100))),0,(IF(B356=C356,Y356/C356,(INT(Y356/B356)+(((Y356-B356*INT(Y356/B356)))/C356)/100))))</f>
        <v>0</v>
      </c>
      <c r="BL356" s="57">
        <f>IF(ISERROR(IF(B356=C356,AA356/C356,(INT(AA356/B356)+(((AA356-B356*INT(AA356/B356)))/C356)/100))),0,(IF(B356=C356,AA356/C356,(INT(AA356/B356)+(((AA356-B356*INT(AA356/B356)))/C356)/100))))</f>
        <v>0</v>
      </c>
      <c r="BM356" s="57">
        <f>IF(ISERROR(IF(B356=C356,AB356/C356,(INT(AB356/B356)+(((AB356-B356*INT(AB356/B356)))/C356)/100))),0,(IF(B356=C356,AB356/C356,(INT(AB356/B356)+(((AB356-B356*INT(AB356/B356)))/C356)/100))))</f>
        <v>0</v>
      </c>
      <c r="BN356" s="57">
        <f>IF(ISERROR(IF(B356=C356,AC356/C356,(INT(AC356/B356)+(((AC356-B356*INT(AC356/B356)))/C356)/100))),0,(IF(B356=C356,AC356/C356,(INT(AC356/B356)+(((AC356-B356*INT(AC356/B356)))/C356)/100))))</f>
        <v>0</v>
      </c>
      <c r="BO356" s="57">
        <f>IF(ISERROR(IF(B356=C356,AD356/C356,(INT(AD356/B356)+(((AD356-B356*INT(AD356/B356)))/C356)/100))),0,(IF(B356=C356,AD356/C356,(INT(AD356/B356)+(((AD356-B356*INT(AD356/B356)))/C356)/100))))</f>
        <v>0</v>
      </c>
      <c r="BQ356" s="155"/>
    </row>
    <row r="357" spans="1:69" hidden="1" x14ac:dyDescent="0.35">
      <c r="A357" s="94"/>
      <c r="B357" s="113">
        <v>0</v>
      </c>
      <c r="C357" s="113">
        <v>0</v>
      </c>
      <c r="D357" s="28">
        <f>SUM(AA357:AD357)</f>
        <v>0</v>
      </c>
      <c r="E357" s="113">
        <v>0</v>
      </c>
      <c r="F357" s="113">
        <v>0</v>
      </c>
      <c r="G357" s="28">
        <f>SUM(D357:F357)</f>
        <v>0</v>
      </c>
      <c r="H357" s="125">
        <v>0</v>
      </c>
      <c r="I357" s="113">
        <v>0</v>
      </c>
      <c r="J357" s="125">
        <v>0</v>
      </c>
      <c r="K357" s="113">
        <v>0</v>
      </c>
      <c r="L357" s="113">
        <v>0</v>
      </c>
      <c r="M357" s="113">
        <v>0</v>
      </c>
      <c r="N357" s="28">
        <f>G357-SUM(H357:M357)</f>
        <v>0</v>
      </c>
      <c r="O357" s="28">
        <f>SUM(V357:Y357)</f>
        <v>0</v>
      </c>
      <c r="P357" s="28">
        <f>O357-N357</f>
        <v>0</v>
      </c>
      <c r="Q357" s="61" t="str">
        <f>IF(ISERROR(P357/SUM(H357:L357)),"",P357/SUM(H357:L357))</f>
        <v/>
      </c>
      <c r="R357" s="113">
        <v>0</v>
      </c>
      <c r="S357" s="28">
        <f>IF(ISERROR(P357/C357*R357),0,(P357/C357*R357))</f>
        <v>0</v>
      </c>
      <c r="T357" s="60">
        <f>IF(ISERROR(P357/B357*AF357),0,(P357/B357*AF357))</f>
        <v>0</v>
      </c>
      <c r="V357" s="113">
        <v>0</v>
      </c>
      <c r="W357" s="113">
        <v>0</v>
      </c>
      <c r="X357" s="113">
        <v>0</v>
      </c>
      <c r="Y357" s="113">
        <v>0</v>
      </c>
      <c r="AA357" s="113">
        <v>0</v>
      </c>
      <c r="AB357" s="113">
        <v>0</v>
      </c>
      <c r="AC357" s="113">
        <v>0</v>
      </c>
      <c r="AD357" s="113">
        <v>0</v>
      </c>
      <c r="AF357" s="113">
        <v>0</v>
      </c>
      <c r="AG357" s="28">
        <f>G357-O357</f>
        <v>0</v>
      </c>
      <c r="AH357" s="58">
        <f>IF(ISERROR(AG357/B357*AF357),0,(AG357/B357*AF357))</f>
        <v>0</v>
      </c>
      <c r="AI357" s="28">
        <f>SUM(H357:M357)</f>
        <v>0</v>
      </c>
      <c r="AJ357" s="28">
        <f>IF(ISERROR(AI357/B357*AF357),0,(AI357/B357*AF357))</f>
        <v>0</v>
      </c>
      <c r="AK357" s="58">
        <f>IF(ISERROR(O357/B357*AF357),0,(O357/B357*AF357))</f>
        <v>0</v>
      </c>
      <c r="AL357" s="28">
        <f>IF(ISERROR(H357/B357*AF357),0,(H357/B357*AF357))</f>
        <v>0</v>
      </c>
      <c r="AN357" s="51">
        <f>A357</f>
        <v>0</v>
      </c>
      <c r="AO357" s="57">
        <f>IF(ISERROR(IF(B357=C357,D357/C357,(INT(D357/B357)+(((D357-B357*INT(D357/B357)))/C357)/100))),0,(IF(B357=C357,D357/C357,(INT(D357/B357)+(((D357-B357*INT(D357/B357)))/C357)/100))))</f>
        <v>0</v>
      </c>
      <c r="AP357" s="57">
        <f>IF(ISERROR(IF(B357=C357,E357/C357,(INT(E357/B357)+(((E357-B357*INT(E357/B357)))/C357)/100))),0,(IF(B357=C357,E357/C357,(INT(E357/B357)+(((E357-B357*INT(E357/B357)))/C357)/100))))</f>
        <v>0</v>
      </c>
      <c r="AQ357" s="57">
        <f>IF(ISERROR(IF(B357=C357,F357/C357,IF((INT(F357/B357)+(((F357-B357*INT(F357/B357)))/C357)/100)&lt;0,(INT(F357/B357)+(((F357-B357*INT(F357/B357)))/C357)/100)+(1-(B357/C357/100)),(INT(F357/B357)+(((F357-B357*INT(F357/B357)))/C357)/100)))),0,IF(B357=C357,F357/C357,IF((INT(F357/B357)+(((F357-B357*INT(F357/B357)))/C357)/100)&lt;0,(INT(F357/B357)+(((F357-B357*INT(F357/B357)))/C357)/100)+(1-(B357/C357/100)),(INT(F357/B357)+(((F357-B357*INT(F357/B357)))/C357)/100))))</f>
        <v>0</v>
      </c>
      <c r="AR357" s="57">
        <f>IF(ISERROR(IF(B357=C357,G357/C357,(INT(G357/B357)+(((G357-B357*INT(G357/B357)))/C357)/100))),0,(IF(B357=C357,G357/C357,(INT(G357/B357)+(((G357-B357*INT(G357/B357)))/C357)/100))))</f>
        <v>0</v>
      </c>
      <c r="AS357" s="57">
        <f>IF(ISERROR(IF(B357=C357,H357/C357,(INT(H357/B357)+(((H357-B357*INT(H357/B357)))/C357)/100))),0,(IF(B357=C357,H357/C357,(INT(H357/B357)+(((H357-B357*INT(H357/B357)))/C357)/100))))</f>
        <v>0</v>
      </c>
      <c r="AT357" s="57">
        <f>IF(ISERROR(IF(B357=C357,I357/C357,(INT(I357/B357)+(((I357-B357*INT(I357/B357)))/C357)/100))),0,(IF(B357=C357,I357/C357,(INT(I357/B357)+(((I357-B357*INT(I357/B357)))/C357)/100))))</f>
        <v>0</v>
      </c>
      <c r="AU357" s="57">
        <f>IF(ISERROR(IF(B357=C357,J357/C357,(INT(J357/B357)+(((J357-B357*INT(J357/B357)))/C357)/100))),0,(IF(B357=C357,J357/C357,(INT(J357/B357)+(((J357-B357*INT(J357/B357)))/C357)/100))))</f>
        <v>0</v>
      </c>
      <c r="AV357" s="57">
        <f>IF(ISERROR(IF(B357=C357,K357/C357,IF((INT(K357/B357)+(((K357-B357*INT(K357/B357)))/C357)/100)&lt;0,(INT(K357/B357)+(((K357-B357*INT(K357/B357)))/C357)/100)+(1-(B357/C357/100)),(INT(K357/B357)+(((K357-B357*INT(K357/B357)))/C357)/100)))),0,IF(B357=C357,K357/C357,IF((INT(K357/B357)+(((K357-B357*INT(K357/B357)))/C357)/100)&lt;0,(INT(K357/B357)+(((K357-B357*INT(K357/B357)))/C357)/100)+(1-(B357/C357/100)),(INT(K357/B357)+(((K357-B357*INT(K357/B357)))/C357)/100))))</f>
        <v>0</v>
      </c>
      <c r="AW357" s="57">
        <f>IF(ISERROR(IF(B357=C357,L357/C357,(INT(L357/B357)+(((L357-B357*INT(L357/B357)))/C357)/100))),0,(IF(B357=C357,L357/C357,(INT(L357/B357)+(((L357-B357*INT(L357/B357)))/C357)/100))))</f>
        <v>0</v>
      </c>
      <c r="AX357" s="57">
        <f>IF(ISERROR(IF(B357=C357,M357/C357,(INT(M357/B357)+(((M357-B357*INT(M357/B357)))/C357)/100))),0,(IF(B357=C357,M357/C357,(INT(M357/B357)+(((M357-B357*INT(M357/B357)))/C357)/100))))</f>
        <v>0</v>
      </c>
      <c r="AY357" s="57">
        <f>IF(ISERROR(IF(B357=C357,N357/C357,IF((INT(N357/B357)+(((N357-B357*INT(N357/B357)))/C357)/100)&lt;0,(INT(N357/B357)+(((N357-B357*INT(N357/B357)))/C357)/100)+(1-(B357/C357/100)),(INT(N357/B357)+(((N357-B357*INT(N357/B357)))/C357)/100)))),0,IF(B357=C357,N357/C357,IF((INT(N357/B357)+(((N357-B357*INT(N357/B357)))/C357)/100)&lt;0,(INT(N357/B357)+(((N357-B357*INT(N357/B357)))/C357)/100)+(1-(B357/C357/100)),(INT(N357/B357)+(((N357-B357*INT(N357/B357)))/C357)/100))))</f>
        <v>0</v>
      </c>
      <c r="AZ357" s="57">
        <f>IF(ISERROR(IF(B357=C357,O357/C357,(INT(O357/B357)+(((O357-B357*INT(O357/B357)))/C357)/100))),0,(IF(B357=C357,O357/C357,(INT(O357/B357)+(((O357-B357*INT(O357/B357)))/C357)/100))))</f>
        <v>0</v>
      </c>
      <c r="BA357" s="57">
        <f>IF(ISERROR(IF(B357=C357,P357/C357,IF((INT(P357/B357)+(((P357-B357*INT(P357/B357)))/C357)/100)&lt;0,(INT(P357/B357)+(((P357-B357*INT(P357/B357)))/C357)/100)+(1-(B357/C357/100)),(INT(P357/B357)+(((P357-B357*INT(P357/B357)))/C357)/100)))),0,IF(B357=C357,P357/C357,IF((INT(P357/B357)+(((P357-B357*INT(P357/B357)))/C357)/100)&lt;0,(INT(P357/B357)+(((P357-B357*INT(P357/B357)))/C357)/100)+(1-(B357/C357/100)),(INT(P357/B357)+(((P357-B357*INT(P357/B357)))/C357)/100))))</f>
        <v>0</v>
      </c>
      <c r="BB357" s="28">
        <f>R357</f>
        <v>0</v>
      </c>
      <c r="BC357" s="28">
        <f>S357</f>
        <v>0</v>
      </c>
      <c r="BD357" s="28">
        <f>AF357</f>
        <v>0</v>
      </c>
      <c r="BE357" s="28">
        <f>T357</f>
        <v>0</v>
      </c>
      <c r="BG357" s="57">
        <f>IF(ISERROR(IF(B357=C357,V357/C357,(INT(V357/B357)+(((V357-B357*INT(V357/B357)))/C357)/100))),0,(IF(B357=C357,V357/C357,(INT(V357/B357)+(((V357-B357*INT(V357/B357)))/C357)/100))))</f>
        <v>0</v>
      </c>
      <c r="BH357" s="57">
        <f>IF(ISERROR(IF(B357=C357,W357/C357,(INT(W357/B357)+(((W357-B357*INT(W357/B357)))/C357)/100))),0,(IF(B357=C357,W357/C357,(INT(W357/B357)+(((W357-B357*INT(W357/B357)))/C357)/100))))</f>
        <v>0</v>
      </c>
      <c r="BI357" s="57">
        <f>IF(ISERROR(IF(B357=C357,X357/C357,(INT(X357/B357)+(((X357-B357*INT(X357/B357)))/C357)/100))),0,(IF(B357=C357,X357/C357,(INT(X357/B357)+(((X357-B357*INT(X357/B357)))/C357)/100))))</f>
        <v>0</v>
      </c>
      <c r="BJ357" s="57">
        <f>IF(ISERROR(IF(B357=C357,Y357/C357,(INT(Y357/B357)+(((Y357-B357*INT(Y357/B357)))/C357)/100))),0,(IF(B357=C357,Y357/C357,(INT(Y357/B357)+(((Y357-B357*INT(Y357/B357)))/C357)/100))))</f>
        <v>0</v>
      </c>
      <c r="BL357" s="57">
        <f>IF(ISERROR(IF(B357=C357,AA357/C357,(INT(AA357/B357)+(((AA357-B357*INT(AA357/B357)))/C357)/100))),0,(IF(B357=C357,AA357/C357,(INT(AA357/B357)+(((AA357-B357*INT(AA357/B357)))/C357)/100))))</f>
        <v>0</v>
      </c>
      <c r="BM357" s="57">
        <f>IF(ISERROR(IF(B357=C357,AB357/C357,(INT(AB357/B357)+(((AB357-B357*INT(AB357/B357)))/C357)/100))),0,(IF(B357=C357,AB357/C357,(INT(AB357/B357)+(((AB357-B357*INT(AB357/B357)))/C357)/100))))</f>
        <v>0</v>
      </c>
      <c r="BN357" s="57">
        <f>IF(ISERROR(IF(B357=C357,AC357/C357,(INT(AC357/B357)+(((AC357-B357*INT(AC357/B357)))/C357)/100))),0,(IF(B357=C357,AC357/C357,(INT(AC357/B357)+(((AC357-B357*INT(AC357/B357)))/C357)/100))))</f>
        <v>0</v>
      </c>
      <c r="BO357" s="57">
        <f>IF(ISERROR(IF(B357=C357,AD357/C357,(INT(AD357/B357)+(((AD357-B357*INT(AD357/B357)))/C357)/100))),0,(IF(B357=C357,AD357/C357,(INT(AD357/B357)+(((AD357-B357*INT(AD357/B357)))/C357)/100))))</f>
        <v>0</v>
      </c>
      <c r="BQ357" s="155"/>
    </row>
    <row r="358" spans="1:69" hidden="1" x14ac:dyDescent="0.35">
      <c r="A358" s="94"/>
      <c r="B358" s="113">
        <v>0</v>
      </c>
      <c r="C358" s="113">
        <v>0</v>
      </c>
      <c r="D358" s="28">
        <f>SUM(AA358:AD358)</f>
        <v>0</v>
      </c>
      <c r="E358" s="113">
        <v>0</v>
      </c>
      <c r="F358" s="113">
        <v>0</v>
      </c>
      <c r="G358" s="28">
        <f>SUM(D358:F358)</f>
        <v>0</v>
      </c>
      <c r="H358" s="125">
        <v>0</v>
      </c>
      <c r="I358" s="113">
        <v>0</v>
      </c>
      <c r="J358" s="125">
        <v>0</v>
      </c>
      <c r="K358" s="113">
        <v>0</v>
      </c>
      <c r="L358" s="113">
        <v>0</v>
      </c>
      <c r="M358" s="113">
        <v>0</v>
      </c>
      <c r="N358" s="28">
        <f>G358-SUM(H358:M358)</f>
        <v>0</v>
      </c>
      <c r="O358" s="28">
        <f>SUM(V358:Y358)</f>
        <v>0</v>
      </c>
      <c r="P358" s="28">
        <f>O358-N358</f>
        <v>0</v>
      </c>
      <c r="Q358" s="61" t="str">
        <f>IF(ISERROR(P358/SUM(H358:L358)),"",P358/SUM(H358:L358))</f>
        <v/>
      </c>
      <c r="R358" s="113">
        <v>0</v>
      </c>
      <c r="S358" s="28">
        <f>IF(ISERROR(P358/C358*R358),0,(P358/C358*R358))</f>
        <v>0</v>
      </c>
      <c r="T358" s="60">
        <f>IF(ISERROR(P358/B358*AF358),0,(P358/B358*AF358))</f>
        <v>0</v>
      </c>
      <c r="V358" s="113">
        <v>0</v>
      </c>
      <c r="W358" s="113">
        <v>0</v>
      </c>
      <c r="X358" s="113">
        <v>0</v>
      </c>
      <c r="Y358" s="113">
        <v>0</v>
      </c>
      <c r="AA358" s="113">
        <v>0</v>
      </c>
      <c r="AB358" s="113">
        <v>0</v>
      </c>
      <c r="AC358" s="113">
        <v>0</v>
      </c>
      <c r="AD358" s="113">
        <v>0</v>
      </c>
      <c r="AF358" s="113">
        <v>0</v>
      </c>
      <c r="AG358" s="28">
        <f>G358-O358</f>
        <v>0</v>
      </c>
      <c r="AH358" s="58">
        <f>IF(ISERROR(AG358/B358*AF358),0,(AG358/B358*AF358))</f>
        <v>0</v>
      </c>
      <c r="AI358" s="28">
        <f>SUM(H358:M358)</f>
        <v>0</v>
      </c>
      <c r="AJ358" s="28">
        <f>IF(ISERROR(AI358/B358*AF358),0,(AI358/B358*AF358))</f>
        <v>0</v>
      </c>
      <c r="AK358" s="58">
        <f>IF(ISERROR(O358/B358*AF358),0,(O358/B358*AF358))</f>
        <v>0</v>
      </c>
      <c r="AL358" s="28">
        <f>IF(ISERROR(H358/B358*AF358),0,(H358/B358*AF358))</f>
        <v>0</v>
      </c>
      <c r="AN358" s="51">
        <f>A358</f>
        <v>0</v>
      </c>
      <c r="AO358" s="57">
        <f>IF(ISERROR(IF(B358=C358,D358/C358,(INT(D358/B358)+(((D358-B358*INT(D358/B358)))/C358)/100))),0,(IF(B358=C358,D358/C358,(INT(D358/B358)+(((D358-B358*INT(D358/B358)))/C358)/100))))</f>
        <v>0</v>
      </c>
      <c r="AP358" s="57">
        <f>IF(ISERROR(IF(B358=C358,E358/C358,(INT(E358/B358)+(((E358-B358*INT(E358/B358)))/C358)/100))),0,(IF(B358=C358,E358/C358,(INT(E358/B358)+(((E358-B358*INT(E358/B358)))/C358)/100))))</f>
        <v>0</v>
      </c>
      <c r="AQ358" s="57">
        <f>IF(ISERROR(IF(B358=C358,F358/C358,IF((INT(F358/B358)+(((F358-B358*INT(F358/B358)))/C358)/100)&lt;0,(INT(F358/B358)+(((F358-B358*INT(F358/B358)))/C358)/100)+(1-(B358/C358/100)),(INT(F358/B358)+(((F358-B358*INT(F358/B358)))/C358)/100)))),0,IF(B358=C358,F358/C358,IF((INT(F358/B358)+(((F358-B358*INT(F358/B358)))/C358)/100)&lt;0,(INT(F358/B358)+(((F358-B358*INT(F358/B358)))/C358)/100)+(1-(B358/C358/100)),(INT(F358/B358)+(((F358-B358*INT(F358/B358)))/C358)/100))))</f>
        <v>0</v>
      </c>
      <c r="AR358" s="57">
        <f>IF(ISERROR(IF(B358=C358,G358/C358,(INT(G358/B358)+(((G358-B358*INT(G358/B358)))/C358)/100))),0,(IF(B358=C358,G358/C358,(INT(G358/B358)+(((G358-B358*INT(G358/B358)))/C358)/100))))</f>
        <v>0</v>
      </c>
      <c r="AS358" s="57">
        <f>IF(ISERROR(IF(B358=C358,H358/C358,(INT(H358/B358)+(((H358-B358*INT(H358/B358)))/C358)/100))),0,(IF(B358=C358,H358/C358,(INT(H358/B358)+(((H358-B358*INT(H358/B358)))/C358)/100))))</f>
        <v>0</v>
      </c>
      <c r="AT358" s="57">
        <f>IF(ISERROR(IF(B358=C358,I358/C358,(INT(I358/B358)+(((I358-B358*INT(I358/B358)))/C358)/100))),0,(IF(B358=C358,I358/C358,(INT(I358/B358)+(((I358-B358*INT(I358/B358)))/C358)/100))))</f>
        <v>0</v>
      </c>
      <c r="AU358" s="57">
        <f>IF(ISERROR(IF(B358=C358,J358/C358,(INT(J358/B358)+(((J358-B358*INT(J358/B358)))/C358)/100))),0,(IF(B358=C358,J358/C358,(INT(J358/B358)+(((J358-B358*INT(J358/B358)))/C358)/100))))</f>
        <v>0</v>
      </c>
      <c r="AV358" s="57">
        <f>IF(ISERROR(IF(B358=C358,K358/C358,IF((INT(K358/B358)+(((K358-B358*INT(K358/B358)))/C358)/100)&lt;0,(INT(K358/B358)+(((K358-B358*INT(K358/B358)))/C358)/100)+(1-(B358/C358/100)),(INT(K358/B358)+(((K358-B358*INT(K358/B358)))/C358)/100)))),0,IF(B358=C358,K358/C358,IF((INT(K358/B358)+(((K358-B358*INT(K358/B358)))/C358)/100)&lt;0,(INT(K358/B358)+(((K358-B358*INT(K358/B358)))/C358)/100)+(1-(B358/C358/100)),(INT(K358/B358)+(((K358-B358*INT(K358/B358)))/C358)/100))))</f>
        <v>0</v>
      </c>
      <c r="AW358" s="57">
        <f>IF(ISERROR(IF(B358=C358,L358/C358,(INT(L358/B358)+(((L358-B358*INT(L358/B358)))/C358)/100))),0,(IF(B358=C358,L358/C358,(INT(L358/B358)+(((L358-B358*INT(L358/B358)))/C358)/100))))</f>
        <v>0</v>
      </c>
      <c r="AX358" s="57">
        <f>IF(ISERROR(IF(B358=C358,M358/C358,(INT(M358/B358)+(((M358-B358*INT(M358/B358)))/C358)/100))),0,(IF(B358=C358,M358/C358,(INT(M358/B358)+(((M358-B358*INT(M358/B358)))/C358)/100))))</f>
        <v>0</v>
      </c>
      <c r="AY358" s="57">
        <f>IF(ISERROR(IF(B358=C358,N358/C358,IF((INT(N358/B358)+(((N358-B358*INT(N358/B358)))/C358)/100)&lt;0,(INT(N358/B358)+(((N358-B358*INT(N358/B358)))/C358)/100)+(1-(B358/C358/100)),(INT(N358/B358)+(((N358-B358*INT(N358/B358)))/C358)/100)))),0,IF(B358=C358,N358/C358,IF((INT(N358/B358)+(((N358-B358*INT(N358/B358)))/C358)/100)&lt;0,(INT(N358/B358)+(((N358-B358*INT(N358/B358)))/C358)/100)+(1-(B358/C358/100)),(INT(N358/B358)+(((N358-B358*INT(N358/B358)))/C358)/100))))</f>
        <v>0</v>
      </c>
      <c r="AZ358" s="57">
        <f>IF(ISERROR(IF(B358=C358,O358/C358,(INT(O358/B358)+(((O358-B358*INT(O358/B358)))/C358)/100))),0,(IF(B358=C358,O358/C358,(INT(O358/B358)+(((O358-B358*INT(O358/B358)))/C358)/100))))</f>
        <v>0</v>
      </c>
      <c r="BA358" s="57">
        <f>IF(ISERROR(IF(B358=C358,P358/C358,IF((INT(P358/B358)+(((P358-B358*INT(P358/B358)))/C358)/100)&lt;0,(INT(P358/B358)+(((P358-B358*INT(P358/B358)))/C358)/100)+(1-(B358/C358/100)),(INT(P358/B358)+(((P358-B358*INT(P358/B358)))/C358)/100)))),0,IF(B358=C358,P358/C358,IF((INT(P358/B358)+(((P358-B358*INT(P358/B358)))/C358)/100)&lt;0,(INT(P358/B358)+(((P358-B358*INT(P358/B358)))/C358)/100)+(1-(B358/C358/100)),(INT(P358/B358)+(((P358-B358*INT(P358/B358)))/C358)/100))))</f>
        <v>0</v>
      </c>
      <c r="BB358" s="28">
        <f>R358</f>
        <v>0</v>
      </c>
      <c r="BC358" s="28">
        <f>S358</f>
        <v>0</v>
      </c>
      <c r="BD358" s="28">
        <f>AF358</f>
        <v>0</v>
      </c>
      <c r="BE358" s="28">
        <f>T358</f>
        <v>0</v>
      </c>
      <c r="BG358" s="57">
        <f>IF(ISERROR(IF(B358=C358,V358/C358,(INT(V358/B358)+(((V358-B358*INT(V358/B358)))/C358)/100))),0,(IF(B358=C358,V358/C358,(INT(V358/B358)+(((V358-B358*INT(V358/B358)))/C358)/100))))</f>
        <v>0</v>
      </c>
      <c r="BH358" s="57">
        <f>IF(ISERROR(IF(B358=C358,W358/C358,(INT(W358/B358)+(((W358-B358*INT(W358/B358)))/C358)/100))),0,(IF(B358=C358,W358/C358,(INT(W358/B358)+(((W358-B358*INT(W358/B358)))/C358)/100))))</f>
        <v>0</v>
      </c>
      <c r="BI358" s="57">
        <f>IF(ISERROR(IF(B358=C358,X358/C358,(INT(X358/B358)+(((X358-B358*INT(X358/B358)))/C358)/100))),0,(IF(B358=C358,X358/C358,(INT(X358/B358)+(((X358-B358*INT(X358/B358)))/C358)/100))))</f>
        <v>0</v>
      </c>
      <c r="BJ358" s="57">
        <f>IF(ISERROR(IF(B358=C358,Y358/C358,(INT(Y358/B358)+(((Y358-B358*INT(Y358/B358)))/C358)/100))),0,(IF(B358=C358,Y358/C358,(INT(Y358/B358)+(((Y358-B358*INT(Y358/B358)))/C358)/100))))</f>
        <v>0</v>
      </c>
      <c r="BL358" s="57">
        <f>IF(ISERROR(IF(B358=C358,AA358/C358,(INT(AA358/B358)+(((AA358-B358*INT(AA358/B358)))/C358)/100))),0,(IF(B358=C358,AA358/C358,(INT(AA358/B358)+(((AA358-B358*INT(AA358/B358)))/C358)/100))))</f>
        <v>0</v>
      </c>
      <c r="BM358" s="57">
        <f>IF(ISERROR(IF(B358=C358,AB358/C358,(INT(AB358/B358)+(((AB358-B358*INT(AB358/B358)))/C358)/100))),0,(IF(B358=C358,AB358/C358,(INT(AB358/B358)+(((AB358-B358*INT(AB358/B358)))/C358)/100))))</f>
        <v>0</v>
      </c>
      <c r="BN358" s="57">
        <f>IF(ISERROR(IF(B358=C358,AC358/C358,(INT(AC358/B358)+(((AC358-B358*INT(AC358/B358)))/C358)/100))),0,(IF(B358=C358,AC358/C358,(INT(AC358/B358)+(((AC358-B358*INT(AC358/B358)))/C358)/100))))</f>
        <v>0</v>
      </c>
      <c r="BO358" s="57">
        <f>IF(ISERROR(IF(B358=C358,AD358/C358,(INT(AD358/B358)+(((AD358-B358*INT(AD358/B358)))/C358)/100))),0,(IF(B358=C358,AD358/C358,(INT(AD358/B358)+(((AD358-B358*INT(AD358/B358)))/C358)/100))))</f>
        <v>0</v>
      </c>
      <c r="BQ358" s="155"/>
    </row>
    <row r="359" spans="1:69" hidden="1" x14ac:dyDescent="0.35">
      <c r="A359" s="94"/>
      <c r="B359" s="113">
        <v>0</v>
      </c>
      <c r="C359" s="113">
        <v>0</v>
      </c>
      <c r="D359" s="28">
        <f>SUM(AA359:AD359)</f>
        <v>0</v>
      </c>
      <c r="E359" s="113">
        <v>0</v>
      </c>
      <c r="F359" s="113">
        <v>0</v>
      </c>
      <c r="G359" s="28">
        <f>SUM(D359:F359)</f>
        <v>0</v>
      </c>
      <c r="H359" s="125">
        <v>0</v>
      </c>
      <c r="I359" s="113">
        <v>0</v>
      </c>
      <c r="J359" s="125">
        <v>0</v>
      </c>
      <c r="K359" s="113">
        <v>0</v>
      </c>
      <c r="L359" s="113">
        <v>0</v>
      </c>
      <c r="M359" s="113">
        <v>0</v>
      </c>
      <c r="N359" s="28">
        <f>G359-SUM(H359:M359)</f>
        <v>0</v>
      </c>
      <c r="O359" s="28">
        <f>SUM(V359:Y359)</f>
        <v>0</v>
      </c>
      <c r="P359" s="28">
        <f>O359-N359</f>
        <v>0</v>
      </c>
      <c r="Q359" s="61" t="str">
        <f>IF(ISERROR(P359/SUM(H359:L359)),"",P359/SUM(H359:L359))</f>
        <v/>
      </c>
      <c r="R359" s="113">
        <v>0</v>
      </c>
      <c r="S359" s="28">
        <f>IF(ISERROR(P359/C359*R359),0,(P359/C359*R359))</f>
        <v>0</v>
      </c>
      <c r="T359" s="60">
        <f>IF(ISERROR(P359/B359*AF359),0,(P359/B359*AF359))</f>
        <v>0</v>
      </c>
      <c r="V359" s="113">
        <v>0</v>
      </c>
      <c r="W359" s="113">
        <v>0</v>
      </c>
      <c r="X359" s="113">
        <v>0</v>
      </c>
      <c r="Y359" s="113">
        <v>0</v>
      </c>
      <c r="AA359" s="113">
        <v>0</v>
      </c>
      <c r="AB359" s="113">
        <v>0</v>
      </c>
      <c r="AC359" s="113">
        <v>0</v>
      </c>
      <c r="AD359" s="113">
        <v>0</v>
      </c>
      <c r="AF359" s="113">
        <v>0</v>
      </c>
      <c r="AG359" s="28">
        <f>G359-O359</f>
        <v>0</v>
      </c>
      <c r="AH359" s="58">
        <f>IF(ISERROR(AG359/B359*AF359),0,(AG359/B359*AF359))</f>
        <v>0</v>
      </c>
      <c r="AI359" s="28">
        <f>SUM(H359:M359)</f>
        <v>0</v>
      </c>
      <c r="AJ359" s="28">
        <f>IF(ISERROR(AI359/B359*AF359),0,(AI359/B359*AF359))</f>
        <v>0</v>
      </c>
      <c r="AK359" s="58">
        <f>IF(ISERROR(O359/B359*AF359),0,(O359/B359*AF359))</f>
        <v>0</v>
      </c>
      <c r="AL359" s="28">
        <f>IF(ISERROR(H359/B359*AF359),0,(H359/B359*AF359))</f>
        <v>0</v>
      </c>
      <c r="AN359" s="51">
        <f>A359</f>
        <v>0</v>
      </c>
      <c r="AO359" s="57">
        <f>IF(ISERROR(IF(B359=C359,D359/C359,(INT(D359/B359)+(((D359-B359*INT(D359/B359)))/C359)/100))),0,(IF(B359=C359,D359/C359,(INT(D359/B359)+(((D359-B359*INT(D359/B359)))/C359)/100))))</f>
        <v>0</v>
      </c>
      <c r="AP359" s="57">
        <f>IF(ISERROR(IF(B359=C359,E359/C359,(INT(E359/B359)+(((E359-B359*INT(E359/B359)))/C359)/100))),0,(IF(B359=C359,E359/C359,(INT(E359/B359)+(((E359-B359*INT(E359/B359)))/C359)/100))))</f>
        <v>0</v>
      </c>
      <c r="AQ359" s="57">
        <f>IF(ISERROR(IF(B359=C359,F359/C359,IF((INT(F359/B359)+(((F359-B359*INT(F359/B359)))/C359)/100)&lt;0,(INT(F359/B359)+(((F359-B359*INT(F359/B359)))/C359)/100)+(1-(B359/C359/100)),(INT(F359/B359)+(((F359-B359*INT(F359/B359)))/C359)/100)))),0,IF(B359=C359,F359/C359,IF((INT(F359/B359)+(((F359-B359*INT(F359/B359)))/C359)/100)&lt;0,(INT(F359/B359)+(((F359-B359*INT(F359/B359)))/C359)/100)+(1-(B359/C359/100)),(INT(F359/B359)+(((F359-B359*INT(F359/B359)))/C359)/100))))</f>
        <v>0</v>
      </c>
      <c r="AR359" s="57">
        <f>IF(ISERROR(IF(B359=C359,G359/C359,(INT(G359/B359)+(((G359-B359*INT(G359/B359)))/C359)/100))),0,(IF(B359=C359,G359/C359,(INT(G359/B359)+(((G359-B359*INT(G359/B359)))/C359)/100))))</f>
        <v>0</v>
      </c>
      <c r="AS359" s="57">
        <f>IF(ISERROR(IF(B359=C359,H359/C359,(INT(H359/B359)+(((H359-B359*INT(H359/B359)))/C359)/100))),0,(IF(B359=C359,H359/C359,(INT(H359/B359)+(((H359-B359*INT(H359/B359)))/C359)/100))))</f>
        <v>0</v>
      </c>
      <c r="AT359" s="57">
        <f>IF(ISERROR(IF(B359=C359,I359/C359,(INT(I359/B359)+(((I359-B359*INT(I359/B359)))/C359)/100))),0,(IF(B359=C359,I359/C359,(INT(I359/B359)+(((I359-B359*INT(I359/B359)))/C359)/100))))</f>
        <v>0</v>
      </c>
      <c r="AU359" s="57">
        <f>IF(ISERROR(IF(B359=C359,J359/C359,(INT(J359/B359)+(((J359-B359*INT(J359/B359)))/C359)/100))),0,(IF(B359=C359,J359/C359,(INT(J359/B359)+(((J359-B359*INT(J359/B359)))/C359)/100))))</f>
        <v>0</v>
      </c>
      <c r="AV359" s="57">
        <f>IF(ISERROR(IF(B359=C359,K359/C359,IF((INT(K359/B359)+(((K359-B359*INT(K359/B359)))/C359)/100)&lt;0,(INT(K359/B359)+(((K359-B359*INT(K359/B359)))/C359)/100)+(1-(B359/C359/100)),(INT(K359/B359)+(((K359-B359*INT(K359/B359)))/C359)/100)))),0,IF(B359=C359,K359/C359,IF((INT(K359/B359)+(((K359-B359*INT(K359/B359)))/C359)/100)&lt;0,(INT(K359/B359)+(((K359-B359*INT(K359/B359)))/C359)/100)+(1-(B359/C359/100)),(INT(K359/B359)+(((K359-B359*INT(K359/B359)))/C359)/100))))</f>
        <v>0</v>
      </c>
      <c r="AW359" s="57">
        <f>IF(ISERROR(IF(B359=C359,L359/C359,(INT(L359/B359)+(((L359-B359*INT(L359/B359)))/C359)/100))),0,(IF(B359=C359,L359/C359,(INT(L359/B359)+(((L359-B359*INT(L359/B359)))/C359)/100))))</f>
        <v>0</v>
      </c>
      <c r="AX359" s="57">
        <f>IF(ISERROR(IF(B359=C359,M359/C359,(INT(M359/B359)+(((M359-B359*INT(M359/B359)))/C359)/100))),0,(IF(B359=C359,M359/C359,(INT(M359/B359)+(((M359-B359*INT(M359/B359)))/C359)/100))))</f>
        <v>0</v>
      </c>
      <c r="AY359" s="57">
        <f>IF(ISERROR(IF(B359=C359,N359/C359,IF((INT(N359/B359)+(((N359-B359*INT(N359/B359)))/C359)/100)&lt;0,(INT(N359/B359)+(((N359-B359*INT(N359/B359)))/C359)/100)+(1-(B359/C359/100)),(INT(N359/B359)+(((N359-B359*INT(N359/B359)))/C359)/100)))),0,IF(B359=C359,N359/C359,IF((INT(N359/B359)+(((N359-B359*INT(N359/B359)))/C359)/100)&lt;0,(INT(N359/B359)+(((N359-B359*INT(N359/B359)))/C359)/100)+(1-(B359/C359/100)),(INT(N359/B359)+(((N359-B359*INT(N359/B359)))/C359)/100))))</f>
        <v>0</v>
      </c>
      <c r="AZ359" s="57">
        <f>IF(ISERROR(IF(B359=C359,O359/C359,(INT(O359/B359)+(((O359-B359*INT(O359/B359)))/C359)/100))),0,(IF(B359=C359,O359/C359,(INT(O359/B359)+(((O359-B359*INT(O359/B359)))/C359)/100))))</f>
        <v>0</v>
      </c>
      <c r="BA359" s="57">
        <f>IF(ISERROR(IF(B359=C359,P359/C359,IF((INT(P359/B359)+(((P359-B359*INT(P359/B359)))/C359)/100)&lt;0,(INT(P359/B359)+(((P359-B359*INT(P359/B359)))/C359)/100)+(1-(B359/C359/100)),(INT(P359/B359)+(((P359-B359*INT(P359/B359)))/C359)/100)))),0,IF(B359=C359,P359/C359,IF((INT(P359/B359)+(((P359-B359*INT(P359/B359)))/C359)/100)&lt;0,(INT(P359/B359)+(((P359-B359*INT(P359/B359)))/C359)/100)+(1-(B359/C359/100)),(INT(P359/B359)+(((P359-B359*INT(P359/B359)))/C359)/100))))</f>
        <v>0</v>
      </c>
      <c r="BB359" s="28">
        <f>R359</f>
        <v>0</v>
      </c>
      <c r="BC359" s="28">
        <f>S359</f>
        <v>0</v>
      </c>
      <c r="BD359" s="28">
        <f>AF359</f>
        <v>0</v>
      </c>
      <c r="BE359" s="28">
        <f>T359</f>
        <v>0</v>
      </c>
      <c r="BG359" s="57">
        <f>IF(ISERROR(IF(B359=C359,V359/C359,(INT(V359/B359)+(((V359-B359*INT(V359/B359)))/C359)/100))),0,(IF(B359=C359,V359/C359,(INT(V359/B359)+(((V359-B359*INT(V359/B359)))/C359)/100))))</f>
        <v>0</v>
      </c>
      <c r="BH359" s="57">
        <f>IF(ISERROR(IF(B359=C359,W359/C359,(INT(W359/B359)+(((W359-B359*INT(W359/B359)))/C359)/100))),0,(IF(B359=C359,W359/C359,(INT(W359/B359)+(((W359-B359*INT(W359/B359)))/C359)/100))))</f>
        <v>0</v>
      </c>
      <c r="BI359" s="57">
        <f>IF(ISERROR(IF(B359=C359,X359/C359,(INT(X359/B359)+(((X359-B359*INT(X359/B359)))/C359)/100))),0,(IF(B359=C359,X359/C359,(INT(X359/B359)+(((X359-B359*INT(X359/B359)))/C359)/100))))</f>
        <v>0</v>
      </c>
      <c r="BJ359" s="57">
        <f>IF(ISERROR(IF(B359=C359,Y359/C359,(INT(Y359/B359)+(((Y359-B359*INT(Y359/B359)))/C359)/100))),0,(IF(B359=C359,Y359/C359,(INT(Y359/B359)+(((Y359-B359*INT(Y359/B359)))/C359)/100))))</f>
        <v>0</v>
      </c>
      <c r="BL359" s="57">
        <f>IF(ISERROR(IF(B359=C359,AA359/C359,(INT(AA359/B359)+(((AA359-B359*INT(AA359/B359)))/C359)/100))),0,(IF(B359=C359,AA359/C359,(INT(AA359/B359)+(((AA359-B359*INT(AA359/B359)))/C359)/100))))</f>
        <v>0</v>
      </c>
      <c r="BM359" s="57">
        <f>IF(ISERROR(IF(B359=C359,AB359/C359,(INT(AB359/B359)+(((AB359-B359*INT(AB359/B359)))/C359)/100))),0,(IF(B359=C359,AB359/C359,(INT(AB359/B359)+(((AB359-B359*INT(AB359/B359)))/C359)/100))))</f>
        <v>0</v>
      </c>
      <c r="BN359" s="57">
        <f>IF(ISERROR(IF(B359=C359,AC359/C359,(INT(AC359/B359)+(((AC359-B359*INT(AC359/B359)))/C359)/100))),0,(IF(B359=C359,AC359/C359,(INT(AC359/B359)+(((AC359-B359*INT(AC359/B359)))/C359)/100))))</f>
        <v>0</v>
      </c>
      <c r="BO359" s="57">
        <f>IF(ISERROR(IF(B359=C359,AD359/C359,(INT(AD359/B359)+(((AD359-B359*INT(AD359/B359)))/C359)/100))),0,(IF(B359=C359,AD359/C359,(INT(AD359/B359)+(((AD359-B359*INT(AD359/B359)))/C359)/100))))</f>
        <v>0</v>
      </c>
      <c r="BQ359" s="155"/>
    </row>
    <row r="360" spans="1:69" hidden="1" x14ac:dyDescent="0.35">
      <c r="A360" s="94"/>
      <c r="B360" s="113">
        <v>0</v>
      </c>
      <c r="C360" s="113">
        <v>0</v>
      </c>
      <c r="D360" s="28">
        <f>SUM(AA360:AD360)</f>
        <v>0</v>
      </c>
      <c r="E360" s="113">
        <v>0</v>
      </c>
      <c r="F360" s="113">
        <v>0</v>
      </c>
      <c r="G360" s="28">
        <f>SUM(D360:F360)</f>
        <v>0</v>
      </c>
      <c r="H360" s="125">
        <v>0</v>
      </c>
      <c r="I360" s="113">
        <v>0</v>
      </c>
      <c r="J360" s="125">
        <v>0</v>
      </c>
      <c r="K360" s="113">
        <v>0</v>
      </c>
      <c r="L360" s="113">
        <v>0</v>
      </c>
      <c r="M360" s="113">
        <v>0</v>
      </c>
      <c r="N360" s="28">
        <f>G360-SUM(H360:M360)</f>
        <v>0</v>
      </c>
      <c r="O360" s="28">
        <f>SUM(V360:Y360)</f>
        <v>0</v>
      </c>
      <c r="P360" s="28">
        <f>O360-N360</f>
        <v>0</v>
      </c>
      <c r="Q360" s="61" t="str">
        <f>IF(ISERROR(P360/SUM(H360:L360)),"",P360/SUM(H360:L360))</f>
        <v/>
      </c>
      <c r="R360" s="113">
        <v>0</v>
      </c>
      <c r="S360" s="28">
        <f>IF(ISERROR(P360/C360*R360),0,(P360/C360*R360))</f>
        <v>0</v>
      </c>
      <c r="T360" s="60">
        <f>IF(ISERROR(P360/B360*AF360),0,(P360/B360*AF360))</f>
        <v>0</v>
      </c>
      <c r="V360" s="113">
        <v>0</v>
      </c>
      <c r="W360" s="113">
        <v>0</v>
      </c>
      <c r="X360" s="113">
        <v>0</v>
      </c>
      <c r="Y360" s="113">
        <v>0</v>
      </c>
      <c r="AA360" s="113">
        <v>0</v>
      </c>
      <c r="AB360" s="113">
        <v>0</v>
      </c>
      <c r="AC360" s="113">
        <v>0</v>
      </c>
      <c r="AD360" s="113">
        <v>0</v>
      </c>
      <c r="AF360" s="113">
        <v>0</v>
      </c>
      <c r="AG360" s="28">
        <f>G360-O360</f>
        <v>0</v>
      </c>
      <c r="AH360" s="58">
        <f>IF(ISERROR(AG360/B360*AF360),0,(AG360/B360*AF360))</f>
        <v>0</v>
      </c>
      <c r="AI360" s="28">
        <f>SUM(H360:M360)</f>
        <v>0</v>
      </c>
      <c r="AJ360" s="28">
        <f>IF(ISERROR(AI360/B360*AF360),0,(AI360/B360*AF360))</f>
        <v>0</v>
      </c>
      <c r="AK360" s="58">
        <f>IF(ISERROR(O360/B360*AF360),0,(O360/B360*AF360))</f>
        <v>0</v>
      </c>
      <c r="AL360" s="28">
        <f>IF(ISERROR(H360/B360*AF360),0,(H360/B360*AF360))</f>
        <v>0</v>
      </c>
      <c r="AN360" s="51">
        <f>A360</f>
        <v>0</v>
      </c>
      <c r="AO360" s="57">
        <f>IF(ISERROR(IF(B360=C360,D360/C360,(INT(D360/B360)+(((D360-B360*INT(D360/B360)))/C360)/100))),0,(IF(B360=C360,D360/C360,(INT(D360/B360)+(((D360-B360*INT(D360/B360)))/C360)/100))))</f>
        <v>0</v>
      </c>
      <c r="AP360" s="57">
        <f>IF(ISERROR(IF(B360=C360,E360/C360,(INT(E360/B360)+(((E360-B360*INT(E360/B360)))/C360)/100))),0,(IF(B360=C360,E360/C360,(INT(E360/B360)+(((E360-B360*INT(E360/B360)))/C360)/100))))</f>
        <v>0</v>
      </c>
      <c r="AQ360" s="57">
        <f>IF(ISERROR(IF(B360=C360,F360/C360,IF((INT(F360/B360)+(((F360-B360*INT(F360/B360)))/C360)/100)&lt;0,(INT(F360/B360)+(((F360-B360*INT(F360/B360)))/C360)/100)+(1-(B360/C360/100)),(INT(F360/B360)+(((F360-B360*INT(F360/B360)))/C360)/100)))),0,IF(B360=C360,F360/C360,IF((INT(F360/B360)+(((F360-B360*INT(F360/B360)))/C360)/100)&lt;0,(INT(F360/B360)+(((F360-B360*INT(F360/B360)))/C360)/100)+(1-(B360/C360/100)),(INT(F360/B360)+(((F360-B360*INT(F360/B360)))/C360)/100))))</f>
        <v>0</v>
      </c>
      <c r="AR360" s="57">
        <f>IF(ISERROR(IF(B360=C360,G360/C360,(INT(G360/B360)+(((G360-B360*INT(G360/B360)))/C360)/100))),0,(IF(B360=C360,G360/C360,(INT(G360/B360)+(((G360-B360*INT(G360/B360)))/C360)/100))))</f>
        <v>0</v>
      </c>
      <c r="AS360" s="57">
        <f>IF(ISERROR(IF(B360=C360,H360/C360,(INT(H360/B360)+(((H360-B360*INT(H360/B360)))/C360)/100))),0,(IF(B360=C360,H360/C360,(INT(H360/B360)+(((H360-B360*INT(H360/B360)))/C360)/100))))</f>
        <v>0</v>
      </c>
      <c r="AT360" s="57">
        <f>IF(ISERROR(IF(B360=C360,I360/C360,(INT(I360/B360)+(((I360-B360*INT(I360/B360)))/C360)/100))),0,(IF(B360=C360,I360/C360,(INT(I360/B360)+(((I360-B360*INT(I360/B360)))/C360)/100))))</f>
        <v>0</v>
      </c>
      <c r="AU360" s="57">
        <f>IF(ISERROR(IF(B360=C360,J360/C360,(INT(J360/B360)+(((J360-B360*INT(J360/B360)))/C360)/100))),0,(IF(B360=C360,J360/C360,(INT(J360/B360)+(((J360-B360*INT(J360/B360)))/C360)/100))))</f>
        <v>0</v>
      </c>
      <c r="AV360" s="57">
        <f>IF(ISERROR(IF(B360=C360,K360/C360,IF((INT(K360/B360)+(((K360-B360*INT(K360/B360)))/C360)/100)&lt;0,(INT(K360/B360)+(((K360-B360*INT(K360/B360)))/C360)/100)+(1-(B360/C360/100)),(INT(K360/B360)+(((K360-B360*INT(K360/B360)))/C360)/100)))),0,IF(B360=C360,K360/C360,IF((INT(K360/B360)+(((K360-B360*INT(K360/B360)))/C360)/100)&lt;0,(INT(K360/B360)+(((K360-B360*INT(K360/B360)))/C360)/100)+(1-(B360/C360/100)),(INT(K360/B360)+(((K360-B360*INT(K360/B360)))/C360)/100))))</f>
        <v>0</v>
      </c>
      <c r="AW360" s="57">
        <f>IF(ISERROR(IF(B360=C360,L360/C360,(INT(L360/B360)+(((L360-B360*INT(L360/B360)))/C360)/100))),0,(IF(B360=C360,L360/C360,(INT(L360/B360)+(((L360-B360*INT(L360/B360)))/C360)/100))))</f>
        <v>0</v>
      </c>
      <c r="AX360" s="57">
        <f>IF(ISERROR(IF(B360=C360,M360/C360,(INT(M360/B360)+(((M360-B360*INT(M360/B360)))/C360)/100))),0,(IF(B360=C360,M360/C360,(INT(M360/B360)+(((M360-B360*INT(M360/B360)))/C360)/100))))</f>
        <v>0</v>
      </c>
      <c r="AY360" s="57">
        <f>IF(ISERROR(IF(B360=C360,N360/C360,IF((INT(N360/B360)+(((N360-B360*INT(N360/B360)))/C360)/100)&lt;0,(INT(N360/B360)+(((N360-B360*INT(N360/B360)))/C360)/100)+(1-(B360/C360/100)),(INT(N360/B360)+(((N360-B360*INT(N360/B360)))/C360)/100)))),0,IF(B360=C360,N360/C360,IF((INT(N360/B360)+(((N360-B360*INT(N360/B360)))/C360)/100)&lt;0,(INT(N360/B360)+(((N360-B360*INT(N360/B360)))/C360)/100)+(1-(B360/C360/100)),(INT(N360/B360)+(((N360-B360*INT(N360/B360)))/C360)/100))))</f>
        <v>0</v>
      </c>
      <c r="AZ360" s="57">
        <f>IF(ISERROR(IF(B360=C360,O360/C360,(INT(O360/B360)+(((O360-B360*INT(O360/B360)))/C360)/100))),0,(IF(B360=C360,O360/C360,(INT(O360/B360)+(((O360-B360*INT(O360/B360)))/C360)/100))))</f>
        <v>0</v>
      </c>
      <c r="BA360" s="57">
        <f>IF(ISERROR(IF(B360=C360,P360/C360,IF((INT(P360/B360)+(((P360-B360*INT(P360/B360)))/C360)/100)&lt;0,(INT(P360/B360)+(((P360-B360*INT(P360/B360)))/C360)/100)+(1-(B360/C360/100)),(INT(P360/B360)+(((P360-B360*INT(P360/B360)))/C360)/100)))),0,IF(B360=C360,P360/C360,IF((INT(P360/B360)+(((P360-B360*INT(P360/B360)))/C360)/100)&lt;0,(INT(P360/B360)+(((P360-B360*INT(P360/B360)))/C360)/100)+(1-(B360/C360/100)),(INT(P360/B360)+(((P360-B360*INT(P360/B360)))/C360)/100))))</f>
        <v>0</v>
      </c>
      <c r="BB360" s="28">
        <f>R360</f>
        <v>0</v>
      </c>
      <c r="BC360" s="28">
        <f>S360</f>
        <v>0</v>
      </c>
      <c r="BD360" s="28">
        <f>AF360</f>
        <v>0</v>
      </c>
      <c r="BE360" s="28">
        <f>T360</f>
        <v>0</v>
      </c>
      <c r="BG360" s="57">
        <f>IF(ISERROR(IF(B360=C360,V360/C360,(INT(V360/B360)+(((V360-B360*INT(V360/B360)))/C360)/100))),0,(IF(B360=C360,V360/C360,(INT(V360/B360)+(((V360-B360*INT(V360/B360)))/C360)/100))))</f>
        <v>0</v>
      </c>
      <c r="BH360" s="57">
        <f>IF(ISERROR(IF(B360=C360,W360/C360,(INT(W360/B360)+(((W360-B360*INT(W360/B360)))/C360)/100))),0,(IF(B360=C360,W360/C360,(INT(W360/B360)+(((W360-B360*INT(W360/B360)))/C360)/100))))</f>
        <v>0</v>
      </c>
      <c r="BI360" s="57">
        <f>IF(ISERROR(IF(B360=C360,X360/C360,(INT(X360/B360)+(((X360-B360*INT(X360/B360)))/C360)/100))),0,(IF(B360=C360,X360/C360,(INT(X360/B360)+(((X360-B360*INT(X360/B360)))/C360)/100))))</f>
        <v>0</v>
      </c>
      <c r="BJ360" s="57">
        <f>IF(ISERROR(IF(B360=C360,Y360/C360,(INT(Y360/B360)+(((Y360-B360*INT(Y360/B360)))/C360)/100))),0,(IF(B360=C360,Y360/C360,(INT(Y360/B360)+(((Y360-B360*INT(Y360/B360)))/C360)/100))))</f>
        <v>0</v>
      </c>
      <c r="BL360" s="57">
        <f>IF(ISERROR(IF(B360=C360,AA360/C360,(INT(AA360/B360)+(((AA360-B360*INT(AA360/B360)))/C360)/100))),0,(IF(B360=C360,AA360/C360,(INT(AA360/B360)+(((AA360-B360*INT(AA360/B360)))/C360)/100))))</f>
        <v>0</v>
      </c>
      <c r="BM360" s="57">
        <f>IF(ISERROR(IF(B360=C360,AB360/C360,(INT(AB360/B360)+(((AB360-B360*INT(AB360/B360)))/C360)/100))),0,(IF(B360=C360,AB360/C360,(INT(AB360/B360)+(((AB360-B360*INT(AB360/B360)))/C360)/100))))</f>
        <v>0</v>
      </c>
      <c r="BN360" s="57">
        <f>IF(ISERROR(IF(B360=C360,AC360/C360,(INT(AC360/B360)+(((AC360-B360*INT(AC360/B360)))/C360)/100))),0,(IF(B360=C360,AC360/C360,(INT(AC360/B360)+(((AC360-B360*INT(AC360/B360)))/C360)/100))))</f>
        <v>0</v>
      </c>
      <c r="BO360" s="57">
        <f>IF(ISERROR(IF(B360=C360,AD360/C360,(INT(AD360/B360)+(((AD360-B360*INT(AD360/B360)))/C360)/100))),0,(IF(B360=C360,AD360/C360,(INT(AD360/B360)+(((AD360-B360*INT(AD360/B360)))/C360)/100))))</f>
        <v>0</v>
      </c>
      <c r="BQ360" s="155"/>
    </row>
    <row r="361" spans="1:69" hidden="1" x14ac:dyDescent="0.35">
      <c r="A361" s="94"/>
      <c r="B361" s="113">
        <v>0</v>
      </c>
      <c r="C361" s="113">
        <v>0</v>
      </c>
      <c r="D361" s="28">
        <f>SUM(AA361:AD361)</f>
        <v>0</v>
      </c>
      <c r="E361" s="113">
        <v>0</v>
      </c>
      <c r="F361" s="113">
        <v>0</v>
      </c>
      <c r="G361" s="28">
        <f>SUM(D361:F361)</f>
        <v>0</v>
      </c>
      <c r="H361" s="125">
        <v>0</v>
      </c>
      <c r="I361" s="113">
        <v>0</v>
      </c>
      <c r="J361" s="125">
        <v>0</v>
      </c>
      <c r="K361" s="113">
        <v>0</v>
      </c>
      <c r="L361" s="113">
        <v>0</v>
      </c>
      <c r="M361" s="113">
        <v>0</v>
      </c>
      <c r="N361" s="28">
        <f>G361-SUM(H361:M361)</f>
        <v>0</v>
      </c>
      <c r="O361" s="28">
        <f>SUM(V361:Y361)</f>
        <v>0</v>
      </c>
      <c r="P361" s="28">
        <f>O361-N361</f>
        <v>0</v>
      </c>
      <c r="Q361" s="61" t="str">
        <f>IF(ISERROR(P361/SUM(H361:L361)),"",P361/SUM(H361:L361))</f>
        <v/>
      </c>
      <c r="R361" s="113">
        <v>0</v>
      </c>
      <c r="S361" s="28">
        <f>IF(ISERROR(P361/C361*R361),0,(P361/C361*R361))</f>
        <v>0</v>
      </c>
      <c r="T361" s="60">
        <f>IF(ISERROR(P361/B361*AF361),0,(P361/B361*AF361))</f>
        <v>0</v>
      </c>
      <c r="V361" s="113">
        <v>0</v>
      </c>
      <c r="W361" s="113">
        <v>0</v>
      </c>
      <c r="X361" s="113">
        <v>0</v>
      </c>
      <c r="Y361" s="113">
        <v>0</v>
      </c>
      <c r="AA361" s="113">
        <v>0</v>
      </c>
      <c r="AB361" s="113">
        <v>0</v>
      </c>
      <c r="AC361" s="113">
        <v>0</v>
      </c>
      <c r="AD361" s="113">
        <v>0</v>
      </c>
      <c r="AF361" s="113">
        <v>0</v>
      </c>
      <c r="AG361" s="28">
        <f>G361-O361</f>
        <v>0</v>
      </c>
      <c r="AH361" s="58">
        <f>IF(ISERROR(AG361/B361*AF361),0,(AG361/B361*AF361))</f>
        <v>0</v>
      </c>
      <c r="AI361" s="28">
        <f>SUM(H361:M361)</f>
        <v>0</v>
      </c>
      <c r="AJ361" s="28">
        <f>IF(ISERROR(AI361/B361*AF361),0,(AI361/B361*AF361))</f>
        <v>0</v>
      </c>
      <c r="AK361" s="58">
        <f>IF(ISERROR(O361/B361*AF361),0,(O361/B361*AF361))</f>
        <v>0</v>
      </c>
      <c r="AL361" s="28">
        <f>IF(ISERROR(H361/B361*AF361),0,(H361/B361*AF361))</f>
        <v>0</v>
      </c>
      <c r="AN361" s="51">
        <f>A361</f>
        <v>0</v>
      </c>
      <c r="AO361" s="57">
        <f>IF(ISERROR(IF(B361=C361,D361/C361,(INT(D361/B361)+(((D361-B361*INT(D361/B361)))/C361)/100))),0,(IF(B361=C361,D361/C361,(INT(D361/B361)+(((D361-B361*INT(D361/B361)))/C361)/100))))</f>
        <v>0</v>
      </c>
      <c r="AP361" s="57">
        <f>IF(ISERROR(IF(B361=C361,E361/C361,(INT(E361/B361)+(((E361-B361*INT(E361/B361)))/C361)/100))),0,(IF(B361=C361,E361/C361,(INT(E361/B361)+(((E361-B361*INT(E361/B361)))/C361)/100))))</f>
        <v>0</v>
      </c>
      <c r="AQ361" s="57">
        <f>IF(ISERROR(IF(B361=C361,F361/C361,IF((INT(F361/B361)+(((F361-B361*INT(F361/B361)))/C361)/100)&lt;0,(INT(F361/B361)+(((F361-B361*INT(F361/B361)))/C361)/100)+(1-(B361/C361/100)),(INT(F361/B361)+(((F361-B361*INT(F361/B361)))/C361)/100)))),0,IF(B361=C361,F361/C361,IF((INT(F361/B361)+(((F361-B361*INT(F361/B361)))/C361)/100)&lt;0,(INT(F361/B361)+(((F361-B361*INT(F361/B361)))/C361)/100)+(1-(B361/C361/100)),(INT(F361/B361)+(((F361-B361*INT(F361/B361)))/C361)/100))))</f>
        <v>0</v>
      </c>
      <c r="AR361" s="57">
        <f>IF(ISERROR(IF(B361=C361,G361/C361,(INT(G361/B361)+(((G361-B361*INT(G361/B361)))/C361)/100))),0,(IF(B361=C361,G361/C361,(INT(G361/B361)+(((G361-B361*INT(G361/B361)))/C361)/100))))</f>
        <v>0</v>
      </c>
      <c r="AS361" s="57">
        <f>IF(ISERROR(IF(B361=C361,H361/C361,(INT(H361/B361)+(((H361-B361*INT(H361/B361)))/C361)/100))),0,(IF(B361=C361,H361/C361,(INT(H361/B361)+(((H361-B361*INT(H361/B361)))/C361)/100))))</f>
        <v>0</v>
      </c>
      <c r="AT361" s="57">
        <f>IF(ISERROR(IF(B361=C361,I361/C361,(INT(I361/B361)+(((I361-B361*INT(I361/B361)))/C361)/100))),0,(IF(B361=C361,I361/C361,(INT(I361/B361)+(((I361-B361*INT(I361/B361)))/C361)/100))))</f>
        <v>0</v>
      </c>
      <c r="AU361" s="57">
        <f>IF(ISERROR(IF(B361=C361,J361/C361,(INT(J361/B361)+(((J361-B361*INT(J361/B361)))/C361)/100))),0,(IF(B361=C361,J361/C361,(INT(J361/B361)+(((J361-B361*INT(J361/B361)))/C361)/100))))</f>
        <v>0</v>
      </c>
      <c r="AV361" s="57">
        <f>IF(ISERROR(IF(B361=C361,K361/C361,IF((INT(K361/B361)+(((K361-B361*INT(K361/B361)))/C361)/100)&lt;0,(INT(K361/B361)+(((K361-B361*INT(K361/B361)))/C361)/100)+(1-(B361/C361/100)),(INT(K361/B361)+(((K361-B361*INT(K361/B361)))/C361)/100)))),0,IF(B361=C361,K361/C361,IF((INT(K361/B361)+(((K361-B361*INT(K361/B361)))/C361)/100)&lt;0,(INT(K361/B361)+(((K361-B361*INT(K361/B361)))/C361)/100)+(1-(B361/C361/100)),(INT(K361/B361)+(((K361-B361*INT(K361/B361)))/C361)/100))))</f>
        <v>0</v>
      </c>
      <c r="AW361" s="57">
        <f>IF(ISERROR(IF(B361=C361,L361/C361,(INT(L361/B361)+(((L361-B361*INT(L361/B361)))/C361)/100))),0,(IF(B361=C361,L361/C361,(INT(L361/B361)+(((L361-B361*INT(L361/B361)))/C361)/100))))</f>
        <v>0</v>
      </c>
      <c r="AX361" s="57">
        <f>IF(ISERROR(IF(B361=C361,M361/C361,(INT(M361/B361)+(((M361-B361*INT(M361/B361)))/C361)/100))),0,(IF(B361=C361,M361/C361,(INT(M361/B361)+(((M361-B361*INT(M361/B361)))/C361)/100))))</f>
        <v>0</v>
      </c>
      <c r="AY361" s="57">
        <f>IF(ISERROR(IF(B361=C361,N361/C361,IF((INT(N361/B361)+(((N361-B361*INT(N361/B361)))/C361)/100)&lt;0,(INT(N361/B361)+(((N361-B361*INT(N361/B361)))/C361)/100)+(1-(B361/C361/100)),(INT(N361/B361)+(((N361-B361*INT(N361/B361)))/C361)/100)))),0,IF(B361=C361,N361/C361,IF((INT(N361/B361)+(((N361-B361*INT(N361/B361)))/C361)/100)&lt;0,(INT(N361/B361)+(((N361-B361*INT(N361/B361)))/C361)/100)+(1-(B361/C361/100)),(INT(N361/B361)+(((N361-B361*INT(N361/B361)))/C361)/100))))</f>
        <v>0</v>
      </c>
      <c r="AZ361" s="57">
        <f>IF(ISERROR(IF(B361=C361,O361/C361,(INT(O361/B361)+(((O361-B361*INT(O361/B361)))/C361)/100))),0,(IF(B361=C361,O361/C361,(INT(O361/B361)+(((O361-B361*INT(O361/B361)))/C361)/100))))</f>
        <v>0</v>
      </c>
      <c r="BA361" s="57">
        <f>IF(ISERROR(IF(B361=C361,P361/C361,IF((INT(P361/B361)+(((P361-B361*INT(P361/B361)))/C361)/100)&lt;0,(INT(P361/B361)+(((P361-B361*INT(P361/B361)))/C361)/100)+(1-(B361/C361/100)),(INT(P361/B361)+(((P361-B361*INT(P361/B361)))/C361)/100)))),0,IF(B361=C361,P361/C361,IF((INT(P361/B361)+(((P361-B361*INT(P361/B361)))/C361)/100)&lt;0,(INT(P361/B361)+(((P361-B361*INT(P361/B361)))/C361)/100)+(1-(B361/C361/100)),(INT(P361/B361)+(((P361-B361*INT(P361/B361)))/C361)/100))))</f>
        <v>0</v>
      </c>
      <c r="BB361" s="28">
        <f>R361</f>
        <v>0</v>
      </c>
      <c r="BC361" s="28">
        <f>S361</f>
        <v>0</v>
      </c>
      <c r="BD361" s="28">
        <f>AF361</f>
        <v>0</v>
      </c>
      <c r="BE361" s="28">
        <f>T361</f>
        <v>0</v>
      </c>
      <c r="BG361" s="57">
        <f>IF(ISERROR(IF(B361=C361,V361/C361,(INT(V361/B361)+(((V361-B361*INT(V361/B361)))/C361)/100))),0,(IF(B361=C361,V361/C361,(INT(V361/B361)+(((V361-B361*INT(V361/B361)))/C361)/100))))</f>
        <v>0</v>
      </c>
      <c r="BH361" s="57">
        <f>IF(ISERROR(IF(B361=C361,W361/C361,(INT(W361/B361)+(((W361-B361*INT(W361/B361)))/C361)/100))),0,(IF(B361=C361,W361/C361,(INT(W361/B361)+(((W361-B361*INT(W361/B361)))/C361)/100))))</f>
        <v>0</v>
      </c>
      <c r="BI361" s="57">
        <f>IF(ISERROR(IF(B361=C361,X361/C361,(INT(X361/B361)+(((X361-B361*INT(X361/B361)))/C361)/100))),0,(IF(B361=C361,X361/C361,(INT(X361/B361)+(((X361-B361*INT(X361/B361)))/C361)/100))))</f>
        <v>0</v>
      </c>
      <c r="BJ361" s="57">
        <f>IF(ISERROR(IF(B361=C361,Y361/C361,(INT(Y361/B361)+(((Y361-B361*INT(Y361/B361)))/C361)/100))),0,(IF(B361=C361,Y361/C361,(INT(Y361/B361)+(((Y361-B361*INT(Y361/B361)))/C361)/100))))</f>
        <v>0</v>
      </c>
      <c r="BL361" s="57">
        <f>IF(ISERROR(IF(B361=C361,AA361/C361,(INT(AA361/B361)+(((AA361-B361*INT(AA361/B361)))/C361)/100))),0,(IF(B361=C361,AA361/C361,(INT(AA361/B361)+(((AA361-B361*INT(AA361/B361)))/C361)/100))))</f>
        <v>0</v>
      </c>
      <c r="BM361" s="57">
        <f>IF(ISERROR(IF(B361=C361,AB361/C361,(INT(AB361/B361)+(((AB361-B361*INT(AB361/B361)))/C361)/100))),0,(IF(B361=C361,AB361/C361,(INT(AB361/B361)+(((AB361-B361*INT(AB361/B361)))/C361)/100))))</f>
        <v>0</v>
      </c>
      <c r="BN361" s="57">
        <f>IF(ISERROR(IF(B361=C361,AC361/C361,(INT(AC361/B361)+(((AC361-B361*INT(AC361/B361)))/C361)/100))),0,(IF(B361=C361,AC361/C361,(INT(AC361/B361)+(((AC361-B361*INT(AC361/B361)))/C361)/100))))</f>
        <v>0</v>
      </c>
      <c r="BO361" s="57">
        <f>IF(ISERROR(IF(B361=C361,AD361/C361,(INT(AD361/B361)+(((AD361-B361*INT(AD361/B361)))/C361)/100))),0,(IF(B361=C361,AD361/C361,(INT(AD361/B361)+(((AD361-B361*INT(AD361/B361)))/C361)/100))))</f>
        <v>0</v>
      </c>
      <c r="BQ361" s="155"/>
    </row>
    <row r="362" spans="1:69" x14ac:dyDescent="0.35">
      <c r="A362" s="94"/>
      <c r="B362" s="113"/>
      <c r="C362" s="113"/>
      <c r="D362" s="28"/>
      <c r="E362" s="113"/>
      <c r="F362" s="113"/>
      <c r="G362" s="28"/>
      <c r="H362" s="125"/>
      <c r="I362" s="113"/>
      <c r="J362" s="125"/>
      <c r="K362" s="113"/>
      <c r="L362" s="113"/>
      <c r="M362" s="113"/>
      <c r="N362" s="28"/>
      <c r="O362" s="28"/>
      <c r="P362" s="28"/>
      <c r="Q362" s="61"/>
      <c r="R362" s="113"/>
      <c r="S362" s="28"/>
      <c r="T362" s="28"/>
      <c r="V362" s="113"/>
      <c r="W362" s="113"/>
      <c r="X362" s="113"/>
      <c r="Y362" s="113"/>
      <c r="AA362" s="113"/>
      <c r="AB362" s="113"/>
      <c r="AC362" s="113"/>
      <c r="AD362" s="113"/>
      <c r="AF362" s="113"/>
      <c r="AG362" s="28"/>
      <c r="AH362" s="58"/>
      <c r="AI362" s="28"/>
      <c r="AJ362" s="28"/>
      <c r="AK362" s="58"/>
      <c r="AL362" s="28"/>
      <c r="AN362" s="51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G362" s="28"/>
      <c r="BH362" s="28"/>
      <c r="BI362" s="28"/>
      <c r="BJ362" s="28"/>
      <c r="BL362" s="28"/>
      <c r="BM362" s="28"/>
      <c r="BN362" s="28"/>
      <c r="BO362" s="28"/>
      <c r="BQ362" s="113"/>
    </row>
    <row r="363" spans="1:69" hidden="1" x14ac:dyDescent="0.35">
      <c r="A363" s="135" t="s">
        <v>256</v>
      </c>
      <c r="B363" s="113"/>
      <c r="C363" s="113"/>
      <c r="D363" s="28"/>
      <c r="E363" s="113"/>
      <c r="F363" s="113"/>
      <c r="G363" s="28"/>
      <c r="H363" s="125"/>
      <c r="I363" s="113"/>
      <c r="J363" s="125"/>
      <c r="K363" s="113"/>
      <c r="L363" s="113"/>
      <c r="M363" s="113"/>
      <c r="N363" s="28"/>
      <c r="O363" s="125"/>
      <c r="P363" s="28"/>
      <c r="Q363" s="61"/>
      <c r="R363" s="113"/>
      <c r="S363" s="28"/>
      <c r="T363" s="28"/>
      <c r="V363" s="113"/>
      <c r="W363" s="113"/>
      <c r="X363" s="113"/>
      <c r="Y363" s="113"/>
      <c r="AA363" s="113"/>
      <c r="AB363" s="113"/>
      <c r="AC363" s="113"/>
      <c r="AD363" s="113"/>
      <c r="AF363" s="113"/>
      <c r="AG363" s="28"/>
      <c r="AH363" s="58"/>
      <c r="AI363" s="28"/>
      <c r="AJ363" s="28"/>
      <c r="AK363" s="58"/>
      <c r="AL363" s="28"/>
      <c r="AN363" s="65" t="str">
        <f>A363</f>
        <v>Imported Spirits - Other UOM</v>
      </c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G363" s="28"/>
      <c r="BH363" s="28"/>
      <c r="BI363" s="28"/>
      <c r="BJ363" s="28"/>
      <c r="BL363" s="28"/>
      <c r="BM363" s="28"/>
      <c r="BN363" s="28"/>
      <c r="BO363" s="28"/>
      <c r="BQ363" s="113"/>
    </row>
    <row r="364" spans="1:69" hidden="1" x14ac:dyDescent="0.35">
      <c r="A364" s="94"/>
      <c r="B364" s="113">
        <v>500</v>
      </c>
      <c r="C364" s="113">
        <v>30</v>
      </c>
      <c r="D364" s="28">
        <f>SUM(AA364:AD364)</f>
        <v>0</v>
      </c>
      <c r="E364" s="113">
        <v>0</v>
      </c>
      <c r="F364" s="113">
        <v>0</v>
      </c>
      <c r="G364" s="28">
        <f>SUM(D364:F364)</f>
        <v>0</v>
      </c>
      <c r="H364" s="125">
        <v>0</v>
      </c>
      <c r="I364" s="113">
        <v>0</v>
      </c>
      <c r="J364" s="125">
        <v>0</v>
      </c>
      <c r="K364" s="113">
        <v>0</v>
      </c>
      <c r="L364" s="113">
        <v>0</v>
      </c>
      <c r="M364" s="113">
        <v>0</v>
      </c>
      <c r="N364" s="28">
        <f>G364-SUM(H364:M364)</f>
        <v>0</v>
      </c>
      <c r="O364" s="28">
        <f>SUM(V364:Y364)</f>
        <v>0</v>
      </c>
      <c r="P364" s="28">
        <f>O364-N364</f>
        <v>0</v>
      </c>
      <c r="Q364" s="61" t="str">
        <f>IF(ISERROR(P364/SUM(H364:L364)),"",P364/SUM(H364:L364))</f>
        <v/>
      </c>
      <c r="R364" s="113">
        <v>0</v>
      </c>
      <c r="S364" s="28">
        <f>IF(ISERROR(P364/C364*R364),0,(P364/C364*R364))</f>
        <v>0</v>
      </c>
      <c r="T364" s="60">
        <f>IF(ISERROR(P364/B364*AF364),0,(P364/B364*AF364))</f>
        <v>0</v>
      </c>
      <c r="V364" s="113">
        <v>0</v>
      </c>
      <c r="W364" s="113">
        <v>0</v>
      </c>
      <c r="X364" s="113">
        <v>0</v>
      </c>
      <c r="Y364" s="113">
        <v>0</v>
      </c>
      <c r="AA364" s="113">
        <v>0</v>
      </c>
      <c r="AB364" s="113">
        <v>0</v>
      </c>
      <c r="AC364" s="113">
        <v>0</v>
      </c>
      <c r="AD364" s="113">
        <v>0</v>
      </c>
      <c r="AF364" s="113">
        <v>0</v>
      </c>
      <c r="AG364" s="28">
        <f>G364-O364</f>
        <v>0</v>
      </c>
      <c r="AH364" s="58">
        <f>IF(ISERROR(AG364/B364*AF364),0,(AG364/B364*AF364))</f>
        <v>0</v>
      </c>
      <c r="AI364" s="28">
        <f>SUM(H364:M364)</f>
        <v>0</v>
      </c>
      <c r="AJ364" s="28">
        <f>IF(ISERROR(AI364/B364*AF364),0,(AI364/B364*AF364))</f>
        <v>0</v>
      </c>
      <c r="AK364" s="58">
        <f>IF(ISERROR(O364/B364*AF364),0,(O364/B364*AF364))</f>
        <v>0</v>
      </c>
      <c r="AL364" s="28">
        <f>IF(ISERROR(H364/B364*AF364),0,(H364/B364*AF364))</f>
        <v>0</v>
      </c>
      <c r="AN364" s="51">
        <f>A364</f>
        <v>0</v>
      </c>
      <c r="AO364" s="57">
        <f>IF(ISERROR(IF(B364=C364,D364/C364,(INT(D364/B364)+(((D364-B364*INT(D364/B364)))/C364)/100))),0,(IF(B364=C364,D364/C364,(INT(D364/B364)+(((D364-B364*INT(D364/B364)))/C364)/100))))</f>
        <v>0</v>
      </c>
      <c r="AP364" s="57">
        <f>IF(ISERROR(IF(B364=C364,E364/C364,(INT(E364/B364)+(((E364-B364*INT(E364/B364)))/C364)/100))),0,(IF(B364=C364,E364/C364,(INT(E364/B364)+(((E364-B364*INT(E364/B364)))/C364)/100))))</f>
        <v>0</v>
      </c>
      <c r="AQ364" s="57">
        <f>IF(ISERROR(IF(B364=C364,F364/C364,IF((INT(F364/B364)+(((F364-B364*INT(F364/B364)))/C364)/100)&lt;0,(INT(F364/B364)+(((F364-B364*INT(F364/B364)))/C364)/100)+(1-(B364/C364/100)),(INT(F364/B364)+(((F364-B364*INT(F364/B364)))/C364)/100)))),0,IF(B364=C364,F364/C364,IF((INT(F364/B364)+(((F364-B364*INT(F364/B364)))/C364)/100)&lt;0,(INT(F364/B364)+(((F364-B364*INT(F364/B364)))/C364)/100)+(1-(B364/C364/100)),(INT(F364/B364)+(((F364-B364*INT(F364/B364)))/C364)/100))))</f>
        <v>0</v>
      </c>
      <c r="AR364" s="57">
        <f>IF(ISERROR(IF(B364=C364,G364/C364,(INT(G364/B364)+(((G364-B364*INT(G364/B364)))/C364)/100))),0,(IF(B364=C364,G364/C364,(INT(G364/B364)+(((G364-B364*INT(G364/B364)))/C364)/100))))</f>
        <v>0</v>
      </c>
      <c r="AS364" s="57">
        <f>IF(ISERROR(IF(B364=C364,H364/C364,(INT(H364/B364)+(((H364-B364*INT(H364/B364)))/C364)/100))),0,(IF(B364=C364,H364/C364,(INT(H364/B364)+(((H364-B364*INT(H364/B364)))/C364)/100))))</f>
        <v>0</v>
      </c>
      <c r="AT364" s="57">
        <f>IF(ISERROR(IF(B364=C364,I364/C364,(INT(I364/B364)+(((I364-B364*INT(I364/B364)))/C364)/100))),0,(IF(B364=C364,I364/C364,(INT(I364/B364)+(((I364-B364*INT(I364/B364)))/C364)/100))))</f>
        <v>0</v>
      </c>
      <c r="AU364" s="57">
        <f>IF(ISERROR(IF(B364=C364,J364/C364,(INT(J364/B364)+(((J364-B364*INT(J364/B364)))/C364)/100))),0,(IF(B364=C364,J364/C364,(INT(J364/B364)+(((J364-B364*INT(J364/B364)))/C364)/100))))</f>
        <v>0</v>
      </c>
      <c r="AV364" s="57">
        <f>IF(ISERROR(IF(B364=C364,K364/C364,IF((INT(K364/B364)+(((K364-B364*INT(K364/B364)))/C364)/100)&lt;0,(INT(K364/B364)+(((K364-B364*INT(K364/B364)))/C364)/100)+(1-(B364/C364/100)),(INT(K364/B364)+(((K364-B364*INT(K364/B364)))/C364)/100)))),0,IF(B364=C364,K364/C364,IF((INT(K364/B364)+(((K364-B364*INT(K364/B364)))/C364)/100)&lt;0,(INT(K364/B364)+(((K364-B364*INT(K364/B364)))/C364)/100)+(1-(B364/C364/100)),(INT(K364/B364)+(((K364-B364*INT(K364/B364)))/C364)/100))))</f>
        <v>0</v>
      </c>
      <c r="AW364" s="57">
        <f>IF(ISERROR(IF(B364=C364,L364/C364,(INT(L364/B364)+(((L364-B364*INT(L364/B364)))/C364)/100))),0,(IF(B364=C364,L364/C364,(INT(L364/B364)+(((L364-B364*INT(L364/B364)))/C364)/100))))</f>
        <v>0</v>
      </c>
      <c r="AX364" s="57">
        <f>IF(ISERROR(IF(B364=C364,M364/C364,(INT(M364/B364)+(((M364-B364*INT(M364/B364)))/C364)/100))),0,(IF(B364=C364,M364/C364,(INT(M364/B364)+(((M364-B364*INT(M364/B364)))/C364)/100))))</f>
        <v>0</v>
      </c>
      <c r="AY364" s="57">
        <f>IF(ISERROR(IF(B364=C364,N364/C364,IF((INT(N364/B364)+(((N364-B364*INT(N364/B364)))/C364)/100)&lt;0,(INT(N364/B364)+(((N364-B364*INT(N364/B364)))/C364)/100)+(1-(B364/C364/100)),(INT(N364/B364)+(((N364-B364*INT(N364/B364)))/C364)/100)))),0,IF(B364=C364,N364/C364,IF((INT(N364/B364)+(((N364-B364*INT(N364/B364)))/C364)/100)&lt;0,(INT(N364/B364)+(((N364-B364*INT(N364/B364)))/C364)/100)+(1-(B364/C364/100)),(INT(N364/B364)+(((N364-B364*INT(N364/B364)))/C364)/100))))</f>
        <v>0</v>
      </c>
      <c r="AZ364" s="57">
        <f>IF(ISERROR(IF(B364=C364,O364/C364,(INT(O364/B364)+(((O364-B364*INT(O364/B364)))/C364)/100))),0,(IF(B364=C364,O364/C364,(INT(O364/B364)+(((O364-B364*INT(O364/B364)))/C364)/100))))</f>
        <v>0</v>
      </c>
      <c r="BA364" s="57">
        <f>IF(ISERROR(IF(B364=C364,P364/C364,IF((INT(P364/B364)+(((P364-B364*INT(P364/B364)))/C364)/100)&lt;0,(INT(P364/B364)+(((P364-B364*INT(P364/B364)))/C364)/100)+(1-(B364/C364/100)),(INT(P364/B364)+(((P364-B364*INT(P364/B364)))/C364)/100)))),0,IF(B364=C364,P364/C364,IF((INT(P364/B364)+(((P364-B364*INT(P364/B364)))/C364)/100)&lt;0,(INT(P364/B364)+(((P364-B364*INT(P364/B364)))/C364)/100)+(1-(B364/C364/100)),(INT(P364/B364)+(((P364-B364*INT(P364/B364)))/C364)/100))))</f>
        <v>0</v>
      </c>
      <c r="BB364" s="28">
        <f>R364</f>
        <v>0</v>
      </c>
      <c r="BC364" s="28">
        <f>S364</f>
        <v>0</v>
      </c>
      <c r="BD364" s="28">
        <f>AF364</f>
        <v>0</v>
      </c>
      <c r="BE364" s="28">
        <f>T364</f>
        <v>0</v>
      </c>
      <c r="BG364" s="57">
        <f>IF(ISERROR(IF(B364=C364,V364/C364,(INT(V364/B364)+(((V364-B364*INT(V364/B364)))/C364)/100))),0,(IF(B364=C364,V364/C364,(INT(V364/B364)+(((V364-B364*INT(V364/B364)))/C364)/100))))</f>
        <v>0</v>
      </c>
      <c r="BH364" s="57">
        <f>IF(ISERROR(IF(B364=C364,W364/C364,(INT(W364/B364)+(((W364-B364*INT(W364/B364)))/C364)/100))),0,(IF(B364=C364,W364/C364,(INT(W364/B364)+(((W364-B364*INT(W364/B364)))/C364)/100))))</f>
        <v>0</v>
      </c>
      <c r="BI364" s="57">
        <f>IF(ISERROR(IF(B364=C364,X364/C364,(INT(X364/B364)+(((X364-B364*INT(X364/B364)))/C364)/100))),0,(IF(B364=C364,X364/C364,(INT(X364/B364)+(((X364-B364*INT(X364/B364)))/C364)/100))))</f>
        <v>0</v>
      </c>
      <c r="BJ364" s="57">
        <f>IF(ISERROR(IF(B364=C364,Y364/C364,(INT(Y364/B364)+(((Y364-B364*INT(Y364/B364)))/C364)/100))),0,(IF(B364=C364,Y364/C364,(INT(Y364/B364)+(((Y364-B364*INT(Y364/B364)))/C364)/100))))</f>
        <v>0</v>
      </c>
      <c r="BL364" s="57">
        <f>IF(ISERROR(IF(B364=C364,AA364/C364,(INT(AA364/B364)+(((AA364-B364*INT(AA364/B364)))/C364)/100))),0,(IF(B364=C364,AA364/C364,(INT(AA364/B364)+(((AA364-B364*INT(AA364/B364)))/C364)/100))))</f>
        <v>0</v>
      </c>
      <c r="BM364" s="57">
        <f>IF(ISERROR(IF(B364=C364,AB364/C364,(INT(AB364/B364)+(((AB364-B364*INT(AB364/B364)))/C364)/100))),0,(IF(B364=C364,AB364/C364,(INT(AB364/B364)+(((AB364-B364*INT(AB364/B364)))/C364)/100))))</f>
        <v>0</v>
      </c>
      <c r="BN364" s="57">
        <f>IF(ISERROR(IF(B364=C364,AC364/C364,(INT(AC364/B364)+(((AC364-B364*INT(AC364/B364)))/C364)/100))),0,(IF(B364=C364,AC364/C364,(INT(AC364/B364)+(((AC364-B364*INT(AC364/B364)))/C364)/100))))</f>
        <v>0</v>
      </c>
      <c r="BO364" s="57">
        <f>IF(ISERROR(IF(B364=C364,AD364/C364,(INT(AD364/B364)+(((AD364-B364*INT(AD364/B364)))/C364)/100))),0,(IF(B364=C364,AD364/C364,(INT(AD364/B364)+(((AD364-B364*INT(AD364/B364)))/C364)/100))))</f>
        <v>0</v>
      </c>
      <c r="BQ364" s="155"/>
    </row>
    <row r="365" spans="1:69" hidden="1" x14ac:dyDescent="0.35">
      <c r="A365" s="94"/>
      <c r="B365" s="113">
        <v>0</v>
      </c>
      <c r="C365" s="113">
        <v>0</v>
      </c>
      <c r="D365" s="28">
        <f>SUM(AA365:AD365)</f>
        <v>0</v>
      </c>
      <c r="E365" s="113">
        <v>0</v>
      </c>
      <c r="F365" s="113">
        <v>0</v>
      </c>
      <c r="G365" s="28">
        <f>SUM(D365:F365)</f>
        <v>0</v>
      </c>
      <c r="H365" s="125">
        <v>0</v>
      </c>
      <c r="I365" s="113">
        <v>0</v>
      </c>
      <c r="J365" s="125">
        <v>0</v>
      </c>
      <c r="K365" s="113">
        <v>0</v>
      </c>
      <c r="L365" s="113">
        <v>0</v>
      </c>
      <c r="M365" s="113">
        <v>0</v>
      </c>
      <c r="N365" s="28">
        <f>G365-SUM(H365:M365)</f>
        <v>0</v>
      </c>
      <c r="O365" s="28">
        <f>SUM(V365:Y365)</f>
        <v>0</v>
      </c>
      <c r="P365" s="28">
        <f>O365-N365</f>
        <v>0</v>
      </c>
      <c r="Q365" s="61" t="str">
        <f>IF(ISERROR(P365/SUM(H365:L365)),"",P365/SUM(H365:L365))</f>
        <v/>
      </c>
      <c r="R365" s="113">
        <v>0</v>
      </c>
      <c r="S365" s="28">
        <f>IF(ISERROR(P365/C365*R365),0,(P365/C365*R365))</f>
        <v>0</v>
      </c>
      <c r="T365" s="60">
        <f>IF(ISERROR(P365/B365*AF365),0,(P365/B365*AF365))</f>
        <v>0</v>
      </c>
      <c r="V365" s="113">
        <v>0</v>
      </c>
      <c r="W365" s="113">
        <v>0</v>
      </c>
      <c r="X365" s="113">
        <v>0</v>
      </c>
      <c r="Y365" s="113">
        <v>0</v>
      </c>
      <c r="AA365" s="113">
        <v>0</v>
      </c>
      <c r="AB365" s="113">
        <v>0</v>
      </c>
      <c r="AC365" s="113">
        <v>0</v>
      </c>
      <c r="AD365" s="113">
        <v>0</v>
      </c>
      <c r="AF365" s="113">
        <v>0</v>
      </c>
      <c r="AG365" s="28">
        <f>G365-O365</f>
        <v>0</v>
      </c>
      <c r="AH365" s="58">
        <f>IF(ISERROR(AG365/B365*AF365),0,(AG365/B365*AF365))</f>
        <v>0</v>
      </c>
      <c r="AI365" s="28">
        <f>SUM(H365:M365)</f>
        <v>0</v>
      </c>
      <c r="AJ365" s="28">
        <f>IF(ISERROR(AI365/B365*AF365),0,(AI365/B365*AF365))</f>
        <v>0</v>
      </c>
      <c r="AK365" s="58">
        <f>IF(ISERROR(O365/B365*AF365),0,(O365/B365*AF365))</f>
        <v>0</v>
      </c>
      <c r="AL365" s="28">
        <f>IF(ISERROR(H365/B365*AF365),0,(H365/B365*AF365))</f>
        <v>0</v>
      </c>
      <c r="AN365" s="51">
        <f>A365</f>
        <v>0</v>
      </c>
      <c r="AO365" s="57">
        <f>IF(ISERROR(IF(B365=C365,D365/C365,(INT(D365/B365)+(((D365-B365*INT(D365/B365)))/C365)/100))),0,(IF(B365=C365,D365/C365,(INT(D365/B365)+(((D365-B365*INT(D365/B365)))/C365)/100))))</f>
        <v>0</v>
      </c>
      <c r="AP365" s="57">
        <f>IF(ISERROR(IF(B365=C365,E365/C365,(INT(E365/B365)+(((E365-B365*INT(E365/B365)))/C365)/100))),0,(IF(B365=C365,E365/C365,(INT(E365/B365)+(((E365-B365*INT(E365/B365)))/C365)/100))))</f>
        <v>0</v>
      </c>
      <c r="AQ365" s="57">
        <f>IF(ISERROR(IF(B365=C365,F365/C365,IF((INT(F365/B365)+(((F365-B365*INT(F365/B365)))/C365)/100)&lt;0,(INT(F365/B365)+(((F365-B365*INT(F365/B365)))/C365)/100)+(1-(B365/C365/100)),(INT(F365/B365)+(((F365-B365*INT(F365/B365)))/C365)/100)))),0,IF(B365=C365,F365/C365,IF((INT(F365/B365)+(((F365-B365*INT(F365/B365)))/C365)/100)&lt;0,(INT(F365/B365)+(((F365-B365*INT(F365/B365)))/C365)/100)+(1-(B365/C365/100)),(INT(F365/B365)+(((F365-B365*INT(F365/B365)))/C365)/100))))</f>
        <v>0</v>
      </c>
      <c r="AR365" s="57">
        <f>IF(ISERROR(IF(B365=C365,G365/C365,(INT(G365/B365)+(((G365-B365*INT(G365/B365)))/C365)/100))),0,(IF(B365=C365,G365/C365,(INT(G365/B365)+(((G365-B365*INT(G365/B365)))/C365)/100))))</f>
        <v>0</v>
      </c>
      <c r="AS365" s="57">
        <f>IF(ISERROR(IF(B365=C365,H365/C365,(INT(H365/B365)+(((H365-B365*INT(H365/B365)))/C365)/100))),0,(IF(B365=C365,H365/C365,(INT(H365/B365)+(((H365-B365*INT(H365/B365)))/C365)/100))))</f>
        <v>0</v>
      </c>
      <c r="AT365" s="57">
        <f>IF(ISERROR(IF(B365=C365,I365/C365,(INT(I365/B365)+(((I365-B365*INT(I365/B365)))/C365)/100))),0,(IF(B365=C365,I365/C365,(INT(I365/B365)+(((I365-B365*INT(I365/B365)))/C365)/100))))</f>
        <v>0</v>
      </c>
      <c r="AU365" s="57">
        <f>IF(ISERROR(IF(B365=C365,J365/C365,(INT(J365/B365)+(((J365-B365*INT(J365/B365)))/C365)/100))),0,(IF(B365=C365,J365/C365,(INT(J365/B365)+(((J365-B365*INT(J365/B365)))/C365)/100))))</f>
        <v>0</v>
      </c>
      <c r="AV365" s="57">
        <f>IF(ISERROR(IF(B365=C365,K365/C365,IF((INT(K365/B365)+(((K365-B365*INT(K365/B365)))/C365)/100)&lt;0,(INT(K365/B365)+(((K365-B365*INT(K365/B365)))/C365)/100)+(1-(B365/C365/100)),(INT(K365/B365)+(((K365-B365*INT(K365/B365)))/C365)/100)))),0,IF(B365=C365,K365/C365,IF((INT(K365/B365)+(((K365-B365*INT(K365/B365)))/C365)/100)&lt;0,(INT(K365/B365)+(((K365-B365*INT(K365/B365)))/C365)/100)+(1-(B365/C365/100)),(INT(K365/B365)+(((K365-B365*INT(K365/B365)))/C365)/100))))</f>
        <v>0</v>
      </c>
      <c r="AW365" s="57">
        <f>IF(ISERROR(IF(B365=C365,L365/C365,(INT(L365/B365)+(((L365-B365*INT(L365/B365)))/C365)/100))),0,(IF(B365=C365,L365/C365,(INT(L365/B365)+(((L365-B365*INT(L365/B365)))/C365)/100))))</f>
        <v>0</v>
      </c>
      <c r="AX365" s="57">
        <f>IF(ISERROR(IF(B365=C365,M365/C365,(INT(M365/B365)+(((M365-B365*INT(M365/B365)))/C365)/100))),0,(IF(B365=C365,M365/C365,(INT(M365/B365)+(((M365-B365*INT(M365/B365)))/C365)/100))))</f>
        <v>0</v>
      </c>
      <c r="AY365" s="57">
        <f>IF(ISERROR(IF(B365=C365,N365/C365,IF((INT(N365/B365)+(((N365-B365*INT(N365/B365)))/C365)/100)&lt;0,(INT(N365/B365)+(((N365-B365*INT(N365/B365)))/C365)/100)+(1-(B365/C365/100)),(INT(N365/B365)+(((N365-B365*INT(N365/B365)))/C365)/100)))),0,IF(B365=C365,N365/C365,IF((INT(N365/B365)+(((N365-B365*INT(N365/B365)))/C365)/100)&lt;0,(INT(N365/B365)+(((N365-B365*INT(N365/B365)))/C365)/100)+(1-(B365/C365/100)),(INT(N365/B365)+(((N365-B365*INT(N365/B365)))/C365)/100))))</f>
        <v>0</v>
      </c>
      <c r="AZ365" s="57">
        <f>IF(ISERROR(IF(B365=C365,O365/C365,(INT(O365/B365)+(((O365-B365*INT(O365/B365)))/C365)/100))),0,(IF(B365=C365,O365/C365,(INT(O365/B365)+(((O365-B365*INT(O365/B365)))/C365)/100))))</f>
        <v>0</v>
      </c>
      <c r="BA365" s="57">
        <f>IF(ISERROR(IF(B365=C365,P365/C365,IF((INT(P365/B365)+(((P365-B365*INT(P365/B365)))/C365)/100)&lt;0,(INT(P365/B365)+(((P365-B365*INT(P365/B365)))/C365)/100)+(1-(B365/C365/100)),(INT(P365/B365)+(((P365-B365*INT(P365/B365)))/C365)/100)))),0,IF(B365=C365,P365/C365,IF((INT(P365/B365)+(((P365-B365*INT(P365/B365)))/C365)/100)&lt;0,(INT(P365/B365)+(((P365-B365*INT(P365/B365)))/C365)/100)+(1-(B365/C365/100)),(INT(P365/B365)+(((P365-B365*INT(P365/B365)))/C365)/100))))</f>
        <v>0</v>
      </c>
      <c r="BB365" s="28">
        <f>R365</f>
        <v>0</v>
      </c>
      <c r="BC365" s="28">
        <f>S365</f>
        <v>0</v>
      </c>
      <c r="BD365" s="28">
        <f>AF365</f>
        <v>0</v>
      </c>
      <c r="BE365" s="28">
        <f>T365</f>
        <v>0</v>
      </c>
      <c r="BG365" s="57">
        <f>IF(ISERROR(IF(B365=C365,V365/C365,(INT(V365/B365)+(((V365-B365*INT(V365/B365)))/C365)/100))),0,(IF(B365=C365,V365/C365,(INT(V365/B365)+(((V365-B365*INT(V365/B365)))/C365)/100))))</f>
        <v>0</v>
      </c>
      <c r="BH365" s="57">
        <f>IF(ISERROR(IF(B365=C365,W365/C365,(INT(W365/B365)+(((W365-B365*INT(W365/B365)))/C365)/100))),0,(IF(B365=C365,W365/C365,(INT(W365/B365)+(((W365-B365*INT(W365/B365)))/C365)/100))))</f>
        <v>0</v>
      </c>
      <c r="BI365" s="57">
        <f>IF(ISERROR(IF(B365=C365,X365/C365,(INT(X365/B365)+(((X365-B365*INT(X365/B365)))/C365)/100))),0,(IF(B365=C365,X365/C365,(INT(X365/B365)+(((X365-B365*INT(X365/B365)))/C365)/100))))</f>
        <v>0</v>
      </c>
      <c r="BJ365" s="57">
        <f>IF(ISERROR(IF(B365=C365,Y365/C365,(INT(Y365/B365)+(((Y365-B365*INT(Y365/B365)))/C365)/100))),0,(IF(B365=C365,Y365/C365,(INT(Y365/B365)+(((Y365-B365*INT(Y365/B365)))/C365)/100))))</f>
        <v>0</v>
      </c>
      <c r="BL365" s="57">
        <f>IF(ISERROR(IF(B365=C365,AA365/C365,(INT(AA365/B365)+(((AA365-B365*INT(AA365/B365)))/C365)/100))),0,(IF(B365=C365,AA365/C365,(INT(AA365/B365)+(((AA365-B365*INT(AA365/B365)))/C365)/100))))</f>
        <v>0</v>
      </c>
      <c r="BM365" s="57">
        <f>IF(ISERROR(IF(B365=C365,AB365/C365,(INT(AB365/B365)+(((AB365-B365*INT(AB365/B365)))/C365)/100))),0,(IF(B365=C365,AB365/C365,(INT(AB365/B365)+(((AB365-B365*INT(AB365/B365)))/C365)/100))))</f>
        <v>0</v>
      </c>
      <c r="BN365" s="57">
        <f>IF(ISERROR(IF(B365=C365,AC365/C365,(INT(AC365/B365)+(((AC365-B365*INT(AC365/B365)))/C365)/100))),0,(IF(B365=C365,AC365/C365,(INT(AC365/B365)+(((AC365-B365*INT(AC365/B365)))/C365)/100))))</f>
        <v>0</v>
      </c>
      <c r="BO365" s="57">
        <f>IF(ISERROR(IF(B365=C365,AD365/C365,(INT(AD365/B365)+(((AD365-B365*INT(AD365/B365)))/C365)/100))),0,(IF(B365=C365,AD365/C365,(INT(AD365/B365)+(((AD365-B365*INT(AD365/B365)))/C365)/100))))</f>
        <v>0</v>
      </c>
      <c r="BQ365" s="155"/>
    </row>
    <row r="366" spans="1:69" hidden="1" x14ac:dyDescent="0.35">
      <c r="A366" s="94"/>
      <c r="B366" s="113">
        <v>0</v>
      </c>
      <c r="C366" s="113">
        <v>0</v>
      </c>
      <c r="D366" s="28">
        <f>SUM(AA366:AD366)</f>
        <v>0</v>
      </c>
      <c r="E366" s="113">
        <v>0</v>
      </c>
      <c r="F366" s="113">
        <v>0</v>
      </c>
      <c r="G366" s="28">
        <f>SUM(D366:F366)</f>
        <v>0</v>
      </c>
      <c r="H366" s="125">
        <v>0</v>
      </c>
      <c r="I366" s="113">
        <v>0</v>
      </c>
      <c r="J366" s="125">
        <v>0</v>
      </c>
      <c r="K366" s="113">
        <v>0</v>
      </c>
      <c r="L366" s="113">
        <v>0</v>
      </c>
      <c r="M366" s="113">
        <v>0</v>
      </c>
      <c r="N366" s="28">
        <f>G366-SUM(H366:M366)</f>
        <v>0</v>
      </c>
      <c r="O366" s="28">
        <f>SUM(V366:Y366)</f>
        <v>0</v>
      </c>
      <c r="P366" s="28">
        <f>O366-N366</f>
        <v>0</v>
      </c>
      <c r="Q366" s="61" t="str">
        <f>IF(ISERROR(P366/SUM(H366:L366)),"",P366/SUM(H366:L366))</f>
        <v/>
      </c>
      <c r="R366" s="113">
        <v>0</v>
      </c>
      <c r="S366" s="28">
        <f>IF(ISERROR(P366/C366*R366),0,(P366/C366*R366))</f>
        <v>0</v>
      </c>
      <c r="T366" s="60">
        <f>IF(ISERROR(P366/B366*AF366),0,(P366/B366*AF366))</f>
        <v>0</v>
      </c>
      <c r="V366" s="113">
        <v>0</v>
      </c>
      <c r="W366" s="113">
        <v>0</v>
      </c>
      <c r="X366" s="113">
        <v>0</v>
      </c>
      <c r="Y366" s="113">
        <v>0</v>
      </c>
      <c r="AA366" s="113">
        <v>0</v>
      </c>
      <c r="AB366" s="113">
        <v>0</v>
      </c>
      <c r="AC366" s="113">
        <v>0</v>
      </c>
      <c r="AD366" s="113">
        <v>0</v>
      </c>
      <c r="AF366" s="113">
        <v>0</v>
      </c>
      <c r="AG366" s="28">
        <f>G366-O366</f>
        <v>0</v>
      </c>
      <c r="AH366" s="58">
        <f>IF(ISERROR(AG366/B366*AF366),0,(AG366/B366*AF366))</f>
        <v>0</v>
      </c>
      <c r="AI366" s="28">
        <f>SUM(H366:M366)</f>
        <v>0</v>
      </c>
      <c r="AJ366" s="28">
        <f>IF(ISERROR(AI366/B366*AF366),0,(AI366/B366*AF366))</f>
        <v>0</v>
      </c>
      <c r="AK366" s="58">
        <f>IF(ISERROR(O366/B366*AF366),0,(O366/B366*AF366))</f>
        <v>0</v>
      </c>
      <c r="AL366" s="28">
        <f>IF(ISERROR(H366/B366*AF366),0,(H366/B366*AF366))</f>
        <v>0</v>
      </c>
      <c r="AN366" s="51">
        <f>A366</f>
        <v>0</v>
      </c>
      <c r="AO366" s="57">
        <f>IF(ISERROR(IF(B366=C366,D366/C366,(INT(D366/B366)+(((D366-B366*INT(D366/B366)))/C366)/100))),0,(IF(B366=C366,D366/C366,(INT(D366/B366)+(((D366-B366*INT(D366/B366)))/C366)/100))))</f>
        <v>0</v>
      </c>
      <c r="AP366" s="57">
        <f>IF(ISERROR(IF(B366=C366,E366/C366,(INT(E366/B366)+(((E366-B366*INT(E366/B366)))/C366)/100))),0,(IF(B366=C366,E366/C366,(INT(E366/B366)+(((E366-B366*INT(E366/B366)))/C366)/100))))</f>
        <v>0</v>
      </c>
      <c r="AQ366" s="57">
        <f>IF(ISERROR(IF(B366=C366,F366/C366,IF((INT(F366/B366)+(((F366-B366*INT(F366/B366)))/C366)/100)&lt;0,(INT(F366/B366)+(((F366-B366*INT(F366/B366)))/C366)/100)+(1-(B366/C366/100)),(INT(F366/B366)+(((F366-B366*INT(F366/B366)))/C366)/100)))),0,IF(B366=C366,F366/C366,IF((INT(F366/B366)+(((F366-B366*INT(F366/B366)))/C366)/100)&lt;0,(INT(F366/B366)+(((F366-B366*INT(F366/B366)))/C366)/100)+(1-(B366/C366/100)),(INT(F366/B366)+(((F366-B366*INT(F366/B366)))/C366)/100))))</f>
        <v>0</v>
      </c>
      <c r="AR366" s="57">
        <f>IF(ISERROR(IF(B366=C366,G366/C366,(INT(G366/B366)+(((G366-B366*INT(G366/B366)))/C366)/100))),0,(IF(B366=C366,G366/C366,(INT(G366/B366)+(((G366-B366*INT(G366/B366)))/C366)/100))))</f>
        <v>0</v>
      </c>
      <c r="AS366" s="57">
        <f>IF(ISERROR(IF(B366=C366,H366/C366,(INT(H366/B366)+(((H366-B366*INT(H366/B366)))/C366)/100))),0,(IF(B366=C366,H366/C366,(INT(H366/B366)+(((H366-B366*INT(H366/B366)))/C366)/100))))</f>
        <v>0</v>
      </c>
      <c r="AT366" s="57">
        <f>IF(ISERROR(IF(B366=C366,I366/C366,(INT(I366/B366)+(((I366-B366*INT(I366/B366)))/C366)/100))),0,(IF(B366=C366,I366/C366,(INT(I366/B366)+(((I366-B366*INT(I366/B366)))/C366)/100))))</f>
        <v>0</v>
      </c>
      <c r="AU366" s="57">
        <f>IF(ISERROR(IF(B366=C366,J366/C366,(INT(J366/B366)+(((J366-B366*INT(J366/B366)))/C366)/100))),0,(IF(B366=C366,J366/C366,(INT(J366/B366)+(((J366-B366*INT(J366/B366)))/C366)/100))))</f>
        <v>0</v>
      </c>
      <c r="AV366" s="57">
        <f>IF(ISERROR(IF(B366=C366,K366/C366,IF((INT(K366/B366)+(((K366-B366*INT(K366/B366)))/C366)/100)&lt;0,(INT(K366/B366)+(((K366-B366*INT(K366/B366)))/C366)/100)+(1-(B366/C366/100)),(INT(K366/B366)+(((K366-B366*INT(K366/B366)))/C366)/100)))),0,IF(B366=C366,K366/C366,IF((INT(K366/B366)+(((K366-B366*INT(K366/B366)))/C366)/100)&lt;0,(INT(K366/B366)+(((K366-B366*INT(K366/B366)))/C366)/100)+(1-(B366/C366/100)),(INT(K366/B366)+(((K366-B366*INT(K366/B366)))/C366)/100))))</f>
        <v>0</v>
      </c>
      <c r="AW366" s="57">
        <f>IF(ISERROR(IF(B366=C366,L366/C366,(INT(L366/B366)+(((L366-B366*INT(L366/B366)))/C366)/100))),0,(IF(B366=C366,L366/C366,(INT(L366/B366)+(((L366-B366*INT(L366/B366)))/C366)/100))))</f>
        <v>0</v>
      </c>
      <c r="AX366" s="57">
        <f>IF(ISERROR(IF(B366=C366,M366/C366,(INT(M366/B366)+(((M366-B366*INT(M366/B366)))/C366)/100))),0,(IF(B366=C366,M366/C366,(INT(M366/B366)+(((M366-B366*INT(M366/B366)))/C366)/100))))</f>
        <v>0</v>
      </c>
      <c r="AY366" s="57">
        <f>IF(ISERROR(IF(B366=C366,N366/C366,IF((INT(N366/B366)+(((N366-B366*INT(N366/B366)))/C366)/100)&lt;0,(INT(N366/B366)+(((N366-B366*INT(N366/B366)))/C366)/100)+(1-(B366/C366/100)),(INT(N366/B366)+(((N366-B366*INT(N366/B366)))/C366)/100)))),0,IF(B366=C366,N366/C366,IF((INT(N366/B366)+(((N366-B366*INT(N366/B366)))/C366)/100)&lt;0,(INT(N366/B366)+(((N366-B366*INT(N366/B366)))/C366)/100)+(1-(B366/C366/100)),(INT(N366/B366)+(((N366-B366*INT(N366/B366)))/C366)/100))))</f>
        <v>0</v>
      </c>
      <c r="AZ366" s="57">
        <f>IF(ISERROR(IF(B366=C366,O366/C366,(INT(O366/B366)+(((O366-B366*INT(O366/B366)))/C366)/100))),0,(IF(B366=C366,O366/C366,(INT(O366/B366)+(((O366-B366*INT(O366/B366)))/C366)/100))))</f>
        <v>0</v>
      </c>
      <c r="BA366" s="57">
        <f>IF(ISERROR(IF(B366=C366,P366/C366,IF((INT(P366/B366)+(((P366-B366*INT(P366/B366)))/C366)/100)&lt;0,(INT(P366/B366)+(((P366-B366*INT(P366/B366)))/C366)/100)+(1-(B366/C366/100)),(INT(P366/B366)+(((P366-B366*INT(P366/B366)))/C366)/100)))),0,IF(B366=C366,P366/C366,IF((INT(P366/B366)+(((P366-B366*INT(P366/B366)))/C366)/100)&lt;0,(INT(P366/B366)+(((P366-B366*INT(P366/B366)))/C366)/100)+(1-(B366/C366/100)),(INT(P366/B366)+(((P366-B366*INT(P366/B366)))/C366)/100))))</f>
        <v>0</v>
      </c>
      <c r="BB366" s="28">
        <f>R366</f>
        <v>0</v>
      </c>
      <c r="BC366" s="28">
        <f>S366</f>
        <v>0</v>
      </c>
      <c r="BD366" s="28">
        <f>AF366</f>
        <v>0</v>
      </c>
      <c r="BE366" s="28">
        <f>T366</f>
        <v>0</v>
      </c>
      <c r="BG366" s="57">
        <f>IF(ISERROR(IF(B366=C366,V366/C366,(INT(V366/B366)+(((V366-B366*INT(V366/B366)))/C366)/100))),0,(IF(B366=C366,V366/C366,(INT(V366/B366)+(((V366-B366*INT(V366/B366)))/C366)/100))))</f>
        <v>0</v>
      </c>
      <c r="BH366" s="57">
        <f>IF(ISERROR(IF(B366=C366,W366/C366,(INT(W366/B366)+(((W366-B366*INT(W366/B366)))/C366)/100))),0,(IF(B366=C366,W366/C366,(INT(W366/B366)+(((W366-B366*INT(W366/B366)))/C366)/100))))</f>
        <v>0</v>
      </c>
      <c r="BI366" s="57">
        <f>IF(ISERROR(IF(B366=C366,X366/C366,(INT(X366/B366)+(((X366-B366*INT(X366/B366)))/C366)/100))),0,(IF(B366=C366,X366/C366,(INT(X366/B366)+(((X366-B366*INT(X366/B366)))/C366)/100))))</f>
        <v>0</v>
      </c>
      <c r="BJ366" s="57">
        <f>IF(ISERROR(IF(B366=C366,Y366/C366,(INT(Y366/B366)+(((Y366-B366*INT(Y366/B366)))/C366)/100))),0,(IF(B366=C366,Y366/C366,(INT(Y366/B366)+(((Y366-B366*INT(Y366/B366)))/C366)/100))))</f>
        <v>0</v>
      </c>
      <c r="BL366" s="57">
        <f>IF(ISERROR(IF(B366=C366,AA366/C366,(INT(AA366/B366)+(((AA366-B366*INT(AA366/B366)))/C366)/100))),0,(IF(B366=C366,AA366/C366,(INT(AA366/B366)+(((AA366-B366*INT(AA366/B366)))/C366)/100))))</f>
        <v>0</v>
      </c>
      <c r="BM366" s="57">
        <f>IF(ISERROR(IF(B366=C366,AB366/C366,(INT(AB366/B366)+(((AB366-B366*INT(AB366/B366)))/C366)/100))),0,(IF(B366=C366,AB366/C366,(INT(AB366/B366)+(((AB366-B366*INT(AB366/B366)))/C366)/100))))</f>
        <v>0</v>
      </c>
      <c r="BN366" s="57">
        <f>IF(ISERROR(IF(B366=C366,AC366/C366,(INT(AC366/B366)+(((AC366-B366*INT(AC366/B366)))/C366)/100))),0,(IF(B366=C366,AC366/C366,(INT(AC366/B366)+(((AC366-B366*INT(AC366/B366)))/C366)/100))))</f>
        <v>0</v>
      </c>
      <c r="BO366" s="57">
        <f>IF(ISERROR(IF(B366=C366,AD366/C366,(INT(AD366/B366)+(((AD366-B366*INT(AD366/B366)))/C366)/100))),0,(IF(B366=C366,AD366/C366,(INT(AD366/B366)+(((AD366-B366*INT(AD366/B366)))/C366)/100))))</f>
        <v>0</v>
      </c>
      <c r="BQ366" s="155"/>
    </row>
    <row r="367" spans="1:69" hidden="1" x14ac:dyDescent="0.35">
      <c r="A367" s="94"/>
      <c r="B367" s="113">
        <v>0</v>
      </c>
      <c r="C367" s="113">
        <v>0</v>
      </c>
      <c r="D367" s="28">
        <f>SUM(AA367:AD367)</f>
        <v>0</v>
      </c>
      <c r="E367" s="113">
        <v>0</v>
      </c>
      <c r="F367" s="113">
        <v>0</v>
      </c>
      <c r="G367" s="28">
        <f>SUM(D367:F367)</f>
        <v>0</v>
      </c>
      <c r="H367" s="125">
        <v>0</v>
      </c>
      <c r="I367" s="113">
        <v>0</v>
      </c>
      <c r="J367" s="125">
        <v>0</v>
      </c>
      <c r="K367" s="113">
        <v>0</v>
      </c>
      <c r="L367" s="113">
        <v>0</v>
      </c>
      <c r="M367" s="113">
        <v>0</v>
      </c>
      <c r="N367" s="28">
        <f>G367-SUM(H367:M367)</f>
        <v>0</v>
      </c>
      <c r="O367" s="28">
        <f>SUM(V367:Y367)</f>
        <v>0</v>
      </c>
      <c r="P367" s="28">
        <f>O367-N367</f>
        <v>0</v>
      </c>
      <c r="Q367" s="61" t="str">
        <f>IF(ISERROR(P367/SUM(H367:L367)),"",P367/SUM(H367:L367))</f>
        <v/>
      </c>
      <c r="R367" s="113">
        <v>0</v>
      </c>
      <c r="S367" s="28">
        <f>IF(ISERROR(P367/C367*R367),0,(P367/C367*R367))</f>
        <v>0</v>
      </c>
      <c r="T367" s="60">
        <f>IF(ISERROR(P367/B367*AF367),0,(P367/B367*AF367))</f>
        <v>0</v>
      </c>
      <c r="V367" s="113">
        <v>0</v>
      </c>
      <c r="W367" s="113">
        <v>0</v>
      </c>
      <c r="X367" s="113">
        <v>0</v>
      </c>
      <c r="Y367" s="113">
        <v>0</v>
      </c>
      <c r="AA367" s="113">
        <v>0</v>
      </c>
      <c r="AB367" s="113">
        <v>0</v>
      </c>
      <c r="AC367" s="113">
        <v>0</v>
      </c>
      <c r="AD367" s="113">
        <v>0</v>
      </c>
      <c r="AF367" s="113">
        <v>0</v>
      </c>
      <c r="AG367" s="28">
        <f>G367-O367</f>
        <v>0</v>
      </c>
      <c r="AH367" s="58">
        <f>IF(ISERROR(AG367/B367*AF367),0,(AG367/B367*AF367))</f>
        <v>0</v>
      </c>
      <c r="AI367" s="28">
        <f>SUM(H367:M367)</f>
        <v>0</v>
      </c>
      <c r="AJ367" s="28">
        <f>IF(ISERROR(AI367/B367*AF367),0,(AI367/B367*AF367))</f>
        <v>0</v>
      </c>
      <c r="AK367" s="58">
        <f>IF(ISERROR(O367/B367*AF367),0,(O367/B367*AF367))</f>
        <v>0</v>
      </c>
      <c r="AL367" s="28">
        <f>IF(ISERROR(H367/B367*AF367),0,(H367/B367*AF367))</f>
        <v>0</v>
      </c>
      <c r="AN367" s="51">
        <f>A367</f>
        <v>0</v>
      </c>
      <c r="AO367" s="57">
        <f>IF(ISERROR(IF(B367=C367,D367/C367,(INT(D367/B367)+(((D367-B367*INT(D367/B367)))/C367)/100))),0,(IF(B367=C367,D367/C367,(INT(D367/B367)+(((D367-B367*INT(D367/B367)))/C367)/100))))</f>
        <v>0</v>
      </c>
      <c r="AP367" s="57">
        <f>IF(ISERROR(IF(B367=C367,E367/C367,(INT(E367/B367)+(((E367-B367*INT(E367/B367)))/C367)/100))),0,(IF(B367=C367,E367/C367,(INT(E367/B367)+(((E367-B367*INT(E367/B367)))/C367)/100))))</f>
        <v>0</v>
      </c>
      <c r="AQ367" s="57">
        <f>IF(ISERROR(IF(B367=C367,F367/C367,IF((INT(F367/B367)+(((F367-B367*INT(F367/B367)))/C367)/100)&lt;0,(INT(F367/B367)+(((F367-B367*INT(F367/B367)))/C367)/100)+(1-(B367/C367/100)),(INT(F367/B367)+(((F367-B367*INT(F367/B367)))/C367)/100)))),0,IF(B367=C367,F367/C367,IF((INT(F367/B367)+(((F367-B367*INT(F367/B367)))/C367)/100)&lt;0,(INT(F367/B367)+(((F367-B367*INT(F367/B367)))/C367)/100)+(1-(B367/C367/100)),(INT(F367/B367)+(((F367-B367*INT(F367/B367)))/C367)/100))))</f>
        <v>0</v>
      </c>
      <c r="AR367" s="57">
        <f>IF(ISERROR(IF(B367=C367,G367/C367,(INT(G367/B367)+(((G367-B367*INT(G367/B367)))/C367)/100))),0,(IF(B367=C367,G367/C367,(INT(G367/B367)+(((G367-B367*INT(G367/B367)))/C367)/100))))</f>
        <v>0</v>
      </c>
      <c r="AS367" s="57">
        <f>IF(ISERROR(IF(B367=C367,H367/C367,(INT(H367/B367)+(((H367-B367*INT(H367/B367)))/C367)/100))),0,(IF(B367=C367,H367/C367,(INT(H367/B367)+(((H367-B367*INT(H367/B367)))/C367)/100))))</f>
        <v>0</v>
      </c>
      <c r="AT367" s="57">
        <f>IF(ISERROR(IF(B367=C367,I367/C367,(INT(I367/B367)+(((I367-B367*INT(I367/B367)))/C367)/100))),0,(IF(B367=C367,I367/C367,(INT(I367/B367)+(((I367-B367*INT(I367/B367)))/C367)/100))))</f>
        <v>0</v>
      </c>
      <c r="AU367" s="57">
        <f>IF(ISERROR(IF(B367=C367,J367/C367,(INT(J367/B367)+(((J367-B367*INT(J367/B367)))/C367)/100))),0,(IF(B367=C367,J367/C367,(INT(J367/B367)+(((J367-B367*INT(J367/B367)))/C367)/100))))</f>
        <v>0</v>
      </c>
      <c r="AV367" s="57">
        <f>IF(ISERROR(IF(B367=C367,K367/C367,IF((INT(K367/B367)+(((K367-B367*INT(K367/B367)))/C367)/100)&lt;0,(INT(K367/B367)+(((K367-B367*INT(K367/B367)))/C367)/100)+(1-(B367/C367/100)),(INT(K367/B367)+(((K367-B367*INT(K367/B367)))/C367)/100)))),0,IF(B367=C367,K367/C367,IF((INT(K367/B367)+(((K367-B367*INT(K367/B367)))/C367)/100)&lt;0,(INT(K367/B367)+(((K367-B367*INT(K367/B367)))/C367)/100)+(1-(B367/C367/100)),(INT(K367/B367)+(((K367-B367*INT(K367/B367)))/C367)/100))))</f>
        <v>0</v>
      </c>
      <c r="AW367" s="57">
        <f>IF(ISERROR(IF(B367=C367,L367/C367,(INT(L367/B367)+(((L367-B367*INT(L367/B367)))/C367)/100))),0,(IF(B367=C367,L367/C367,(INT(L367/B367)+(((L367-B367*INT(L367/B367)))/C367)/100))))</f>
        <v>0</v>
      </c>
      <c r="AX367" s="57">
        <f>IF(ISERROR(IF(B367=C367,M367/C367,(INT(M367/B367)+(((M367-B367*INT(M367/B367)))/C367)/100))),0,(IF(B367=C367,M367/C367,(INT(M367/B367)+(((M367-B367*INT(M367/B367)))/C367)/100))))</f>
        <v>0</v>
      </c>
      <c r="AY367" s="57">
        <f>IF(ISERROR(IF(B367=C367,N367/C367,IF((INT(N367/B367)+(((N367-B367*INT(N367/B367)))/C367)/100)&lt;0,(INT(N367/B367)+(((N367-B367*INT(N367/B367)))/C367)/100)+(1-(B367/C367/100)),(INT(N367/B367)+(((N367-B367*INT(N367/B367)))/C367)/100)))),0,IF(B367=C367,N367/C367,IF((INT(N367/B367)+(((N367-B367*INT(N367/B367)))/C367)/100)&lt;0,(INT(N367/B367)+(((N367-B367*INT(N367/B367)))/C367)/100)+(1-(B367/C367/100)),(INT(N367/B367)+(((N367-B367*INT(N367/B367)))/C367)/100))))</f>
        <v>0</v>
      </c>
      <c r="AZ367" s="57">
        <f>IF(ISERROR(IF(B367=C367,O367/C367,(INT(O367/B367)+(((O367-B367*INT(O367/B367)))/C367)/100))),0,(IF(B367=C367,O367/C367,(INT(O367/B367)+(((O367-B367*INT(O367/B367)))/C367)/100))))</f>
        <v>0</v>
      </c>
      <c r="BA367" s="57">
        <f>IF(ISERROR(IF(B367=C367,P367/C367,IF((INT(P367/B367)+(((P367-B367*INT(P367/B367)))/C367)/100)&lt;0,(INT(P367/B367)+(((P367-B367*INT(P367/B367)))/C367)/100)+(1-(B367/C367/100)),(INT(P367/B367)+(((P367-B367*INT(P367/B367)))/C367)/100)))),0,IF(B367=C367,P367/C367,IF((INT(P367/B367)+(((P367-B367*INT(P367/B367)))/C367)/100)&lt;0,(INT(P367/B367)+(((P367-B367*INT(P367/B367)))/C367)/100)+(1-(B367/C367/100)),(INT(P367/B367)+(((P367-B367*INT(P367/B367)))/C367)/100))))</f>
        <v>0</v>
      </c>
      <c r="BB367" s="28">
        <f>R367</f>
        <v>0</v>
      </c>
      <c r="BC367" s="28">
        <f>S367</f>
        <v>0</v>
      </c>
      <c r="BD367" s="28">
        <f>AF367</f>
        <v>0</v>
      </c>
      <c r="BE367" s="28">
        <f>T367</f>
        <v>0</v>
      </c>
      <c r="BG367" s="57">
        <f>IF(ISERROR(IF(B367=C367,V367/C367,(INT(V367/B367)+(((V367-B367*INT(V367/B367)))/C367)/100))),0,(IF(B367=C367,V367/C367,(INT(V367/B367)+(((V367-B367*INT(V367/B367)))/C367)/100))))</f>
        <v>0</v>
      </c>
      <c r="BH367" s="57">
        <f>IF(ISERROR(IF(B367=C367,W367/C367,(INT(W367/B367)+(((W367-B367*INT(W367/B367)))/C367)/100))),0,(IF(B367=C367,W367/C367,(INT(W367/B367)+(((W367-B367*INT(W367/B367)))/C367)/100))))</f>
        <v>0</v>
      </c>
      <c r="BI367" s="57">
        <f>IF(ISERROR(IF(B367=C367,X367/C367,(INT(X367/B367)+(((X367-B367*INT(X367/B367)))/C367)/100))),0,(IF(B367=C367,X367/C367,(INT(X367/B367)+(((X367-B367*INT(X367/B367)))/C367)/100))))</f>
        <v>0</v>
      </c>
      <c r="BJ367" s="57">
        <f>IF(ISERROR(IF(B367=C367,Y367/C367,(INT(Y367/B367)+(((Y367-B367*INT(Y367/B367)))/C367)/100))),0,(IF(B367=C367,Y367/C367,(INT(Y367/B367)+(((Y367-B367*INT(Y367/B367)))/C367)/100))))</f>
        <v>0</v>
      </c>
      <c r="BL367" s="57">
        <f>IF(ISERROR(IF(B367=C367,AA367/C367,(INT(AA367/B367)+(((AA367-B367*INT(AA367/B367)))/C367)/100))),0,(IF(B367=C367,AA367/C367,(INT(AA367/B367)+(((AA367-B367*INT(AA367/B367)))/C367)/100))))</f>
        <v>0</v>
      </c>
      <c r="BM367" s="57">
        <f>IF(ISERROR(IF(B367=C367,AB367/C367,(INT(AB367/B367)+(((AB367-B367*INT(AB367/B367)))/C367)/100))),0,(IF(B367=C367,AB367/C367,(INT(AB367/B367)+(((AB367-B367*INT(AB367/B367)))/C367)/100))))</f>
        <v>0</v>
      </c>
      <c r="BN367" s="57">
        <f>IF(ISERROR(IF(B367=C367,AC367/C367,(INT(AC367/B367)+(((AC367-B367*INT(AC367/B367)))/C367)/100))),0,(IF(B367=C367,AC367/C367,(INT(AC367/B367)+(((AC367-B367*INT(AC367/B367)))/C367)/100))))</f>
        <v>0</v>
      </c>
      <c r="BO367" s="57">
        <f>IF(ISERROR(IF(B367=C367,AD367/C367,(INT(AD367/B367)+(((AD367-B367*INT(AD367/B367)))/C367)/100))),0,(IF(B367=C367,AD367/C367,(INT(AD367/B367)+(((AD367-B367*INT(AD367/B367)))/C367)/100))))</f>
        <v>0</v>
      </c>
      <c r="BQ367" s="155"/>
    </row>
    <row r="368" spans="1:69" hidden="1" x14ac:dyDescent="0.35">
      <c r="A368" s="94"/>
      <c r="B368" s="113">
        <v>0</v>
      </c>
      <c r="C368" s="113">
        <v>0</v>
      </c>
      <c r="D368" s="28">
        <f>SUM(AA368:AD368)</f>
        <v>0</v>
      </c>
      <c r="E368" s="113">
        <v>0</v>
      </c>
      <c r="F368" s="113">
        <v>0</v>
      </c>
      <c r="G368" s="28">
        <f>SUM(D368:F368)</f>
        <v>0</v>
      </c>
      <c r="H368" s="125">
        <v>0</v>
      </c>
      <c r="I368" s="113">
        <v>0</v>
      </c>
      <c r="J368" s="125">
        <v>0</v>
      </c>
      <c r="K368" s="113">
        <v>0</v>
      </c>
      <c r="L368" s="113">
        <v>0</v>
      </c>
      <c r="M368" s="113">
        <v>0</v>
      </c>
      <c r="N368" s="28">
        <f>G368-SUM(H368:M368)</f>
        <v>0</v>
      </c>
      <c r="O368" s="28">
        <f>SUM(V368:Y368)</f>
        <v>0</v>
      </c>
      <c r="P368" s="28">
        <f>O368-N368</f>
        <v>0</v>
      </c>
      <c r="Q368" s="61" t="str">
        <f>IF(ISERROR(P368/SUM(H368:L368)),"",P368/SUM(H368:L368))</f>
        <v/>
      </c>
      <c r="R368" s="113">
        <v>0</v>
      </c>
      <c r="S368" s="28">
        <f>IF(ISERROR(P368/C368*R368),0,(P368/C368*R368))</f>
        <v>0</v>
      </c>
      <c r="T368" s="60">
        <f>IF(ISERROR(P368/B368*AF368),0,(P368/B368*AF368))</f>
        <v>0</v>
      </c>
      <c r="V368" s="113">
        <v>0</v>
      </c>
      <c r="W368" s="113">
        <v>0</v>
      </c>
      <c r="X368" s="113">
        <v>0</v>
      </c>
      <c r="Y368" s="113">
        <v>0</v>
      </c>
      <c r="AA368" s="113">
        <v>0</v>
      </c>
      <c r="AB368" s="113">
        <v>0</v>
      </c>
      <c r="AC368" s="113">
        <v>0</v>
      </c>
      <c r="AD368" s="113">
        <v>0</v>
      </c>
      <c r="AF368" s="113">
        <v>0</v>
      </c>
      <c r="AG368" s="28">
        <f>G368-O368</f>
        <v>0</v>
      </c>
      <c r="AH368" s="58">
        <f>IF(ISERROR(AG368/B368*AF368),0,(AG368/B368*AF368))</f>
        <v>0</v>
      </c>
      <c r="AI368" s="28">
        <f>SUM(H368:M368)</f>
        <v>0</v>
      </c>
      <c r="AJ368" s="28">
        <f>IF(ISERROR(AI368/B368*AF368),0,(AI368/B368*AF368))</f>
        <v>0</v>
      </c>
      <c r="AK368" s="58">
        <f>IF(ISERROR(O368/B368*AF368),0,(O368/B368*AF368))</f>
        <v>0</v>
      </c>
      <c r="AL368" s="28">
        <f>IF(ISERROR(H368/B368*AF368),0,(H368/B368*AF368))</f>
        <v>0</v>
      </c>
      <c r="AN368" s="51">
        <f>A368</f>
        <v>0</v>
      </c>
      <c r="AO368" s="57">
        <f>IF(ISERROR(IF(B368=C368,D368/C368,(INT(D368/B368)+(((D368-B368*INT(D368/B368)))/C368)/100))),0,(IF(B368=C368,D368/C368,(INT(D368/B368)+(((D368-B368*INT(D368/B368)))/C368)/100))))</f>
        <v>0</v>
      </c>
      <c r="AP368" s="57">
        <f>IF(ISERROR(IF(B368=C368,E368/C368,(INT(E368/B368)+(((E368-B368*INT(E368/B368)))/C368)/100))),0,(IF(B368=C368,E368/C368,(INT(E368/B368)+(((E368-B368*INT(E368/B368)))/C368)/100))))</f>
        <v>0</v>
      </c>
      <c r="AQ368" s="57">
        <f>IF(ISERROR(IF(B368=C368,F368/C368,IF((INT(F368/B368)+(((F368-B368*INT(F368/B368)))/C368)/100)&lt;0,(INT(F368/B368)+(((F368-B368*INT(F368/B368)))/C368)/100)+(1-(B368/C368/100)),(INT(F368/B368)+(((F368-B368*INT(F368/B368)))/C368)/100)))),0,IF(B368=C368,F368/C368,IF((INT(F368/B368)+(((F368-B368*INT(F368/B368)))/C368)/100)&lt;0,(INT(F368/B368)+(((F368-B368*INT(F368/B368)))/C368)/100)+(1-(B368/C368/100)),(INT(F368/B368)+(((F368-B368*INT(F368/B368)))/C368)/100))))</f>
        <v>0</v>
      </c>
      <c r="AR368" s="57">
        <f>IF(ISERROR(IF(B368=C368,G368/C368,(INT(G368/B368)+(((G368-B368*INT(G368/B368)))/C368)/100))),0,(IF(B368=C368,G368/C368,(INT(G368/B368)+(((G368-B368*INT(G368/B368)))/C368)/100))))</f>
        <v>0</v>
      </c>
      <c r="AS368" s="57">
        <f>IF(ISERROR(IF(B368=C368,H368/C368,(INT(H368/B368)+(((H368-B368*INT(H368/B368)))/C368)/100))),0,(IF(B368=C368,H368/C368,(INT(H368/B368)+(((H368-B368*INT(H368/B368)))/C368)/100))))</f>
        <v>0</v>
      </c>
      <c r="AT368" s="57">
        <f>IF(ISERROR(IF(B368=C368,I368/C368,(INT(I368/B368)+(((I368-B368*INT(I368/B368)))/C368)/100))),0,(IF(B368=C368,I368/C368,(INT(I368/B368)+(((I368-B368*INT(I368/B368)))/C368)/100))))</f>
        <v>0</v>
      </c>
      <c r="AU368" s="57">
        <f>IF(ISERROR(IF(B368=C368,J368/C368,(INT(J368/B368)+(((J368-B368*INT(J368/B368)))/C368)/100))),0,(IF(B368=C368,J368/C368,(INT(J368/B368)+(((J368-B368*INT(J368/B368)))/C368)/100))))</f>
        <v>0</v>
      </c>
      <c r="AV368" s="57">
        <f>IF(ISERROR(IF(B368=C368,K368/C368,IF((INT(K368/B368)+(((K368-B368*INT(K368/B368)))/C368)/100)&lt;0,(INT(K368/B368)+(((K368-B368*INT(K368/B368)))/C368)/100)+(1-(B368/C368/100)),(INT(K368/B368)+(((K368-B368*INT(K368/B368)))/C368)/100)))),0,IF(B368=C368,K368/C368,IF((INT(K368/B368)+(((K368-B368*INT(K368/B368)))/C368)/100)&lt;0,(INT(K368/B368)+(((K368-B368*INT(K368/B368)))/C368)/100)+(1-(B368/C368/100)),(INT(K368/B368)+(((K368-B368*INT(K368/B368)))/C368)/100))))</f>
        <v>0</v>
      </c>
      <c r="AW368" s="57">
        <f>IF(ISERROR(IF(B368=C368,L368/C368,(INT(L368/B368)+(((L368-B368*INT(L368/B368)))/C368)/100))),0,(IF(B368=C368,L368/C368,(INT(L368/B368)+(((L368-B368*INT(L368/B368)))/C368)/100))))</f>
        <v>0</v>
      </c>
      <c r="AX368" s="57">
        <f>IF(ISERROR(IF(B368=C368,M368/C368,(INT(M368/B368)+(((M368-B368*INT(M368/B368)))/C368)/100))),0,(IF(B368=C368,M368/C368,(INT(M368/B368)+(((M368-B368*INT(M368/B368)))/C368)/100))))</f>
        <v>0</v>
      </c>
      <c r="AY368" s="57">
        <f>IF(ISERROR(IF(B368=C368,N368/C368,IF((INT(N368/B368)+(((N368-B368*INT(N368/B368)))/C368)/100)&lt;0,(INT(N368/B368)+(((N368-B368*INT(N368/B368)))/C368)/100)+(1-(B368/C368/100)),(INT(N368/B368)+(((N368-B368*INT(N368/B368)))/C368)/100)))),0,IF(B368=C368,N368/C368,IF((INT(N368/B368)+(((N368-B368*INT(N368/B368)))/C368)/100)&lt;0,(INT(N368/B368)+(((N368-B368*INT(N368/B368)))/C368)/100)+(1-(B368/C368/100)),(INT(N368/B368)+(((N368-B368*INT(N368/B368)))/C368)/100))))</f>
        <v>0</v>
      </c>
      <c r="AZ368" s="57">
        <f>IF(ISERROR(IF(B368=C368,O368/C368,(INT(O368/B368)+(((O368-B368*INT(O368/B368)))/C368)/100))),0,(IF(B368=C368,O368/C368,(INT(O368/B368)+(((O368-B368*INT(O368/B368)))/C368)/100))))</f>
        <v>0</v>
      </c>
      <c r="BA368" s="57">
        <f>IF(ISERROR(IF(B368=C368,P368/C368,IF((INT(P368/B368)+(((P368-B368*INT(P368/B368)))/C368)/100)&lt;0,(INT(P368/B368)+(((P368-B368*INT(P368/B368)))/C368)/100)+(1-(B368/C368/100)),(INT(P368/B368)+(((P368-B368*INT(P368/B368)))/C368)/100)))),0,IF(B368=C368,P368/C368,IF((INT(P368/B368)+(((P368-B368*INT(P368/B368)))/C368)/100)&lt;0,(INT(P368/B368)+(((P368-B368*INT(P368/B368)))/C368)/100)+(1-(B368/C368/100)),(INT(P368/B368)+(((P368-B368*INT(P368/B368)))/C368)/100))))</f>
        <v>0</v>
      </c>
      <c r="BB368" s="28">
        <f>R368</f>
        <v>0</v>
      </c>
      <c r="BC368" s="28">
        <f>S368</f>
        <v>0</v>
      </c>
      <c r="BD368" s="28">
        <f>AF368</f>
        <v>0</v>
      </c>
      <c r="BE368" s="28">
        <f>T368</f>
        <v>0</v>
      </c>
      <c r="BG368" s="57">
        <f>IF(ISERROR(IF(B368=C368,V368/C368,(INT(V368/B368)+(((V368-B368*INT(V368/B368)))/C368)/100))),0,(IF(B368=C368,V368/C368,(INT(V368/B368)+(((V368-B368*INT(V368/B368)))/C368)/100))))</f>
        <v>0</v>
      </c>
      <c r="BH368" s="57">
        <f>IF(ISERROR(IF(B368=C368,W368/C368,(INT(W368/B368)+(((W368-B368*INT(W368/B368)))/C368)/100))),0,(IF(B368=C368,W368/C368,(INT(W368/B368)+(((W368-B368*INT(W368/B368)))/C368)/100))))</f>
        <v>0</v>
      </c>
      <c r="BI368" s="57">
        <f>IF(ISERROR(IF(B368=C368,X368/C368,(INT(X368/B368)+(((X368-B368*INT(X368/B368)))/C368)/100))),0,(IF(B368=C368,X368/C368,(INT(X368/B368)+(((X368-B368*INT(X368/B368)))/C368)/100))))</f>
        <v>0</v>
      </c>
      <c r="BJ368" s="57">
        <f>IF(ISERROR(IF(B368=C368,Y368/C368,(INT(Y368/B368)+(((Y368-B368*INT(Y368/B368)))/C368)/100))),0,(IF(B368=C368,Y368/C368,(INT(Y368/B368)+(((Y368-B368*INT(Y368/B368)))/C368)/100))))</f>
        <v>0</v>
      </c>
      <c r="BL368" s="57">
        <f>IF(ISERROR(IF(B368=C368,AA368/C368,(INT(AA368/B368)+(((AA368-B368*INT(AA368/B368)))/C368)/100))),0,(IF(B368=C368,AA368/C368,(INT(AA368/B368)+(((AA368-B368*INT(AA368/B368)))/C368)/100))))</f>
        <v>0</v>
      </c>
      <c r="BM368" s="57">
        <f>IF(ISERROR(IF(B368=C368,AB368/C368,(INT(AB368/B368)+(((AB368-B368*INT(AB368/B368)))/C368)/100))),0,(IF(B368=C368,AB368/C368,(INT(AB368/B368)+(((AB368-B368*INT(AB368/B368)))/C368)/100))))</f>
        <v>0</v>
      </c>
      <c r="BN368" s="57">
        <f>IF(ISERROR(IF(B368=C368,AC368/C368,(INT(AC368/B368)+(((AC368-B368*INT(AC368/B368)))/C368)/100))),0,(IF(B368=C368,AC368/C368,(INT(AC368/B368)+(((AC368-B368*INT(AC368/B368)))/C368)/100))))</f>
        <v>0</v>
      </c>
      <c r="BO368" s="57">
        <f>IF(ISERROR(IF(B368=C368,AD368/C368,(INT(AD368/B368)+(((AD368-B368*INT(AD368/B368)))/C368)/100))),0,(IF(B368=C368,AD368/C368,(INT(AD368/B368)+(((AD368-B368*INT(AD368/B368)))/C368)/100))))</f>
        <v>0</v>
      </c>
      <c r="BQ368" s="155"/>
    </row>
    <row r="369" spans="1:69" hidden="1" x14ac:dyDescent="0.35">
      <c r="A369" s="94"/>
      <c r="B369" s="113">
        <v>0</v>
      </c>
      <c r="C369" s="113">
        <v>0</v>
      </c>
      <c r="D369" s="28">
        <f>SUM(AA369:AD369)</f>
        <v>0</v>
      </c>
      <c r="E369" s="113">
        <v>0</v>
      </c>
      <c r="F369" s="113">
        <v>0</v>
      </c>
      <c r="G369" s="28">
        <f>SUM(D369:F369)</f>
        <v>0</v>
      </c>
      <c r="H369" s="125">
        <v>0</v>
      </c>
      <c r="I369" s="113">
        <v>0</v>
      </c>
      <c r="J369" s="125">
        <v>0</v>
      </c>
      <c r="K369" s="113">
        <v>0</v>
      </c>
      <c r="L369" s="113">
        <v>0</v>
      </c>
      <c r="M369" s="113">
        <v>0</v>
      </c>
      <c r="N369" s="28">
        <f>G369-SUM(H369:M369)</f>
        <v>0</v>
      </c>
      <c r="O369" s="28">
        <f>SUM(V369:Y369)</f>
        <v>0</v>
      </c>
      <c r="P369" s="28">
        <f>O369-N369</f>
        <v>0</v>
      </c>
      <c r="Q369" s="61" t="str">
        <f>IF(ISERROR(P369/SUM(H369:L369)),"",P369/SUM(H369:L369))</f>
        <v/>
      </c>
      <c r="R369" s="113">
        <v>0</v>
      </c>
      <c r="S369" s="28">
        <f>IF(ISERROR(P369/C369*R369),0,(P369/C369*R369))</f>
        <v>0</v>
      </c>
      <c r="T369" s="60">
        <f>IF(ISERROR(P369/B369*AF369),0,(P369/B369*AF369))</f>
        <v>0</v>
      </c>
      <c r="V369" s="113">
        <v>0</v>
      </c>
      <c r="W369" s="113">
        <v>0</v>
      </c>
      <c r="X369" s="113">
        <v>0</v>
      </c>
      <c r="Y369" s="113">
        <v>0</v>
      </c>
      <c r="AA369" s="113">
        <v>0</v>
      </c>
      <c r="AB369" s="113">
        <v>0</v>
      </c>
      <c r="AC369" s="113">
        <v>0</v>
      </c>
      <c r="AD369" s="113">
        <v>0</v>
      </c>
      <c r="AF369" s="113">
        <v>0</v>
      </c>
      <c r="AG369" s="28">
        <f>G369-O369</f>
        <v>0</v>
      </c>
      <c r="AH369" s="58">
        <f>IF(ISERROR(AG369/B369*AF369),0,(AG369/B369*AF369))</f>
        <v>0</v>
      </c>
      <c r="AI369" s="28">
        <f>SUM(H369:M369)</f>
        <v>0</v>
      </c>
      <c r="AJ369" s="28">
        <f>IF(ISERROR(AI369/B369*AF369),0,(AI369/B369*AF369))</f>
        <v>0</v>
      </c>
      <c r="AK369" s="58">
        <f>IF(ISERROR(O369/B369*AF369),0,(O369/B369*AF369))</f>
        <v>0</v>
      </c>
      <c r="AL369" s="28">
        <f>IF(ISERROR(H369/B369*AF369),0,(H369/B369*AF369))</f>
        <v>0</v>
      </c>
      <c r="AN369" s="51">
        <f>A369</f>
        <v>0</v>
      </c>
      <c r="AO369" s="57">
        <f>IF(ISERROR(IF(B369=C369,D369/C369,(INT(D369/B369)+(((D369-B369*INT(D369/B369)))/C369)/100))),0,(IF(B369=C369,D369/C369,(INT(D369/B369)+(((D369-B369*INT(D369/B369)))/C369)/100))))</f>
        <v>0</v>
      </c>
      <c r="AP369" s="57">
        <f>IF(ISERROR(IF(B369=C369,E369/C369,(INT(E369/B369)+(((E369-B369*INT(E369/B369)))/C369)/100))),0,(IF(B369=C369,E369/C369,(INT(E369/B369)+(((E369-B369*INT(E369/B369)))/C369)/100))))</f>
        <v>0</v>
      </c>
      <c r="AQ369" s="57">
        <f>IF(ISERROR(IF(B369=C369,F369/C369,IF((INT(F369/B369)+(((F369-B369*INT(F369/B369)))/C369)/100)&lt;0,(INT(F369/B369)+(((F369-B369*INT(F369/B369)))/C369)/100)+(1-(B369/C369/100)),(INT(F369/B369)+(((F369-B369*INT(F369/B369)))/C369)/100)))),0,IF(B369=C369,F369/C369,IF((INT(F369/B369)+(((F369-B369*INT(F369/B369)))/C369)/100)&lt;0,(INT(F369/B369)+(((F369-B369*INT(F369/B369)))/C369)/100)+(1-(B369/C369/100)),(INT(F369/B369)+(((F369-B369*INT(F369/B369)))/C369)/100))))</f>
        <v>0</v>
      </c>
      <c r="AR369" s="57">
        <f>IF(ISERROR(IF(B369=C369,G369/C369,(INT(G369/B369)+(((G369-B369*INT(G369/B369)))/C369)/100))),0,(IF(B369=C369,G369/C369,(INT(G369/B369)+(((G369-B369*INT(G369/B369)))/C369)/100))))</f>
        <v>0</v>
      </c>
      <c r="AS369" s="57">
        <f>IF(ISERROR(IF(B369=C369,H369/C369,(INT(H369/B369)+(((H369-B369*INT(H369/B369)))/C369)/100))),0,(IF(B369=C369,H369/C369,(INT(H369/B369)+(((H369-B369*INT(H369/B369)))/C369)/100))))</f>
        <v>0</v>
      </c>
      <c r="AT369" s="57">
        <f>IF(ISERROR(IF(B369=C369,I369/C369,(INT(I369/B369)+(((I369-B369*INT(I369/B369)))/C369)/100))),0,(IF(B369=C369,I369/C369,(INT(I369/B369)+(((I369-B369*INT(I369/B369)))/C369)/100))))</f>
        <v>0</v>
      </c>
      <c r="AU369" s="57">
        <f>IF(ISERROR(IF(B369=C369,J369/C369,(INT(J369/B369)+(((J369-B369*INT(J369/B369)))/C369)/100))),0,(IF(B369=C369,J369/C369,(INT(J369/B369)+(((J369-B369*INT(J369/B369)))/C369)/100))))</f>
        <v>0</v>
      </c>
      <c r="AV369" s="57">
        <f>IF(ISERROR(IF(B369=C369,K369/C369,IF((INT(K369/B369)+(((K369-B369*INT(K369/B369)))/C369)/100)&lt;0,(INT(K369/B369)+(((K369-B369*INT(K369/B369)))/C369)/100)+(1-(B369/C369/100)),(INT(K369/B369)+(((K369-B369*INT(K369/B369)))/C369)/100)))),0,IF(B369=C369,K369/C369,IF((INT(K369/B369)+(((K369-B369*INT(K369/B369)))/C369)/100)&lt;0,(INT(K369/B369)+(((K369-B369*INT(K369/B369)))/C369)/100)+(1-(B369/C369/100)),(INT(K369/B369)+(((K369-B369*INT(K369/B369)))/C369)/100))))</f>
        <v>0</v>
      </c>
      <c r="AW369" s="57">
        <f>IF(ISERROR(IF(B369=C369,L369/C369,(INT(L369/B369)+(((L369-B369*INT(L369/B369)))/C369)/100))),0,(IF(B369=C369,L369/C369,(INT(L369/B369)+(((L369-B369*INT(L369/B369)))/C369)/100))))</f>
        <v>0</v>
      </c>
      <c r="AX369" s="57">
        <f>IF(ISERROR(IF(B369=C369,M369/C369,(INT(M369/B369)+(((M369-B369*INT(M369/B369)))/C369)/100))),0,(IF(B369=C369,M369/C369,(INT(M369/B369)+(((M369-B369*INT(M369/B369)))/C369)/100))))</f>
        <v>0</v>
      </c>
      <c r="AY369" s="57">
        <f>IF(ISERROR(IF(B369=C369,N369/C369,IF((INT(N369/B369)+(((N369-B369*INT(N369/B369)))/C369)/100)&lt;0,(INT(N369/B369)+(((N369-B369*INT(N369/B369)))/C369)/100)+(1-(B369/C369/100)),(INT(N369/B369)+(((N369-B369*INT(N369/B369)))/C369)/100)))),0,IF(B369=C369,N369/C369,IF((INT(N369/B369)+(((N369-B369*INT(N369/B369)))/C369)/100)&lt;0,(INT(N369/B369)+(((N369-B369*INT(N369/B369)))/C369)/100)+(1-(B369/C369/100)),(INT(N369/B369)+(((N369-B369*INT(N369/B369)))/C369)/100))))</f>
        <v>0</v>
      </c>
      <c r="AZ369" s="57">
        <f>IF(ISERROR(IF(B369=C369,O369/C369,(INT(O369/B369)+(((O369-B369*INT(O369/B369)))/C369)/100))),0,(IF(B369=C369,O369/C369,(INT(O369/B369)+(((O369-B369*INT(O369/B369)))/C369)/100))))</f>
        <v>0</v>
      </c>
      <c r="BA369" s="57">
        <f>IF(ISERROR(IF(B369=C369,P369/C369,IF((INT(P369/B369)+(((P369-B369*INT(P369/B369)))/C369)/100)&lt;0,(INT(P369/B369)+(((P369-B369*INT(P369/B369)))/C369)/100)+(1-(B369/C369/100)),(INT(P369/B369)+(((P369-B369*INT(P369/B369)))/C369)/100)))),0,IF(B369=C369,P369/C369,IF((INT(P369/B369)+(((P369-B369*INT(P369/B369)))/C369)/100)&lt;0,(INT(P369/B369)+(((P369-B369*INT(P369/B369)))/C369)/100)+(1-(B369/C369/100)),(INT(P369/B369)+(((P369-B369*INT(P369/B369)))/C369)/100))))</f>
        <v>0</v>
      </c>
      <c r="BB369" s="28">
        <f>R369</f>
        <v>0</v>
      </c>
      <c r="BC369" s="28">
        <f>S369</f>
        <v>0</v>
      </c>
      <c r="BD369" s="28">
        <f>AF369</f>
        <v>0</v>
      </c>
      <c r="BE369" s="28">
        <f>T369</f>
        <v>0</v>
      </c>
      <c r="BG369" s="57">
        <f>IF(ISERROR(IF(B369=C369,V369/C369,(INT(V369/B369)+(((V369-B369*INT(V369/B369)))/C369)/100))),0,(IF(B369=C369,V369/C369,(INT(V369/B369)+(((V369-B369*INT(V369/B369)))/C369)/100))))</f>
        <v>0</v>
      </c>
      <c r="BH369" s="57">
        <f>IF(ISERROR(IF(B369=C369,W369/C369,(INT(W369/B369)+(((W369-B369*INT(W369/B369)))/C369)/100))),0,(IF(B369=C369,W369/C369,(INT(W369/B369)+(((W369-B369*INT(W369/B369)))/C369)/100))))</f>
        <v>0</v>
      </c>
      <c r="BI369" s="57">
        <f>IF(ISERROR(IF(B369=C369,X369/C369,(INT(X369/B369)+(((X369-B369*INT(X369/B369)))/C369)/100))),0,(IF(B369=C369,X369/C369,(INT(X369/B369)+(((X369-B369*INT(X369/B369)))/C369)/100))))</f>
        <v>0</v>
      </c>
      <c r="BJ369" s="57">
        <f>IF(ISERROR(IF(B369=C369,Y369/C369,(INT(Y369/B369)+(((Y369-B369*INT(Y369/B369)))/C369)/100))),0,(IF(B369=C369,Y369/C369,(INT(Y369/B369)+(((Y369-B369*INT(Y369/B369)))/C369)/100))))</f>
        <v>0</v>
      </c>
      <c r="BL369" s="57">
        <f>IF(ISERROR(IF(B369=C369,AA369/C369,(INT(AA369/B369)+(((AA369-B369*INT(AA369/B369)))/C369)/100))),0,(IF(B369=C369,AA369/C369,(INT(AA369/B369)+(((AA369-B369*INT(AA369/B369)))/C369)/100))))</f>
        <v>0</v>
      </c>
      <c r="BM369" s="57">
        <f>IF(ISERROR(IF(B369=C369,AB369/C369,(INT(AB369/B369)+(((AB369-B369*INT(AB369/B369)))/C369)/100))),0,(IF(B369=C369,AB369/C369,(INT(AB369/B369)+(((AB369-B369*INT(AB369/B369)))/C369)/100))))</f>
        <v>0</v>
      </c>
      <c r="BN369" s="57">
        <f>IF(ISERROR(IF(B369=C369,AC369/C369,(INT(AC369/B369)+(((AC369-B369*INT(AC369/B369)))/C369)/100))),0,(IF(B369=C369,AC369/C369,(INT(AC369/B369)+(((AC369-B369*INT(AC369/B369)))/C369)/100))))</f>
        <v>0</v>
      </c>
      <c r="BO369" s="57">
        <f>IF(ISERROR(IF(B369=C369,AD369/C369,(INT(AD369/B369)+(((AD369-B369*INT(AD369/B369)))/C369)/100))),0,(IF(B369=C369,AD369/C369,(INT(AD369/B369)+(((AD369-B369*INT(AD369/B369)))/C369)/100))))</f>
        <v>0</v>
      </c>
      <c r="BQ369" s="155"/>
    </row>
    <row r="370" spans="1:69" hidden="1" x14ac:dyDescent="0.35">
      <c r="A370" s="94"/>
      <c r="B370" s="113">
        <v>0</v>
      </c>
      <c r="C370" s="113">
        <v>0</v>
      </c>
      <c r="D370" s="28">
        <f>SUM(AA370:AD370)</f>
        <v>0</v>
      </c>
      <c r="E370" s="113">
        <v>0</v>
      </c>
      <c r="F370" s="113">
        <v>0</v>
      </c>
      <c r="G370" s="28">
        <f>SUM(D370:F370)</f>
        <v>0</v>
      </c>
      <c r="H370" s="125">
        <v>0</v>
      </c>
      <c r="I370" s="113">
        <v>0</v>
      </c>
      <c r="J370" s="125">
        <v>0</v>
      </c>
      <c r="K370" s="113">
        <v>0</v>
      </c>
      <c r="L370" s="113">
        <v>0</v>
      </c>
      <c r="M370" s="113">
        <v>0</v>
      </c>
      <c r="N370" s="28">
        <f>G370-SUM(H370:M370)</f>
        <v>0</v>
      </c>
      <c r="O370" s="28">
        <f>SUM(V370:Y370)</f>
        <v>0</v>
      </c>
      <c r="P370" s="28">
        <f>O370-N370</f>
        <v>0</v>
      </c>
      <c r="Q370" s="61" t="str">
        <f>IF(ISERROR(P370/SUM(H370:L370)),"",P370/SUM(H370:L370))</f>
        <v/>
      </c>
      <c r="R370" s="113">
        <v>0</v>
      </c>
      <c r="S370" s="28">
        <f>IF(ISERROR(P370/C370*R370),0,(P370/C370*R370))</f>
        <v>0</v>
      </c>
      <c r="T370" s="60">
        <f>IF(ISERROR(P370/B370*AF370),0,(P370/B370*AF370))</f>
        <v>0</v>
      </c>
      <c r="V370" s="113">
        <v>0</v>
      </c>
      <c r="W370" s="113">
        <v>0</v>
      </c>
      <c r="X370" s="113">
        <v>0</v>
      </c>
      <c r="Y370" s="113">
        <v>0</v>
      </c>
      <c r="AA370" s="113">
        <v>0</v>
      </c>
      <c r="AB370" s="113">
        <v>0</v>
      </c>
      <c r="AC370" s="113">
        <v>0</v>
      </c>
      <c r="AD370" s="113">
        <v>0</v>
      </c>
      <c r="AF370" s="113">
        <v>0</v>
      </c>
      <c r="AG370" s="28">
        <f>G370-O370</f>
        <v>0</v>
      </c>
      <c r="AH370" s="58">
        <f>IF(ISERROR(AG370/B370*AF370),0,(AG370/B370*AF370))</f>
        <v>0</v>
      </c>
      <c r="AI370" s="28">
        <f>SUM(H370:M370)</f>
        <v>0</v>
      </c>
      <c r="AJ370" s="28">
        <f>IF(ISERROR(AI370/B370*AF370),0,(AI370/B370*AF370))</f>
        <v>0</v>
      </c>
      <c r="AK370" s="58">
        <f>IF(ISERROR(O370/B370*AF370),0,(O370/B370*AF370))</f>
        <v>0</v>
      </c>
      <c r="AL370" s="28">
        <f>IF(ISERROR(H370/B370*AF370),0,(H370/B370*AF370))</f>
        <v>0</v>
      </c>
      <c r="AN370" s="51">
        <f>A370</f>
        <v>0</v>
      </c>
      <c r="AO370" s="57">
        <f>IF(ISERROR(IF(B370=C370,D370/C370,(INT(D370/B370)+(((D370-B370*INT(D370/B370)))/C370)/100))),0,(IF(B370=C370,D370/C370,(INT(D370/B370)+(((D370-B370*INT(D370/B370)))/C370)/100))))</f>
        <v>0</v>
      </c>
      <c r="AP370" s="57">
        <f>IF(ISERROR(IF(B370=C370,E370/C370,(INT(E370/B370)+(((E370-B370*INT(E370/B370)))/C370)/100))),0,(IF(B370=C370,E370/C370,(INT(E370/B370)+(((E370-B370*INT(E370/B370)))/C370)/100))))</f>
        <v>0</v>
      </c>
      <c r="AQ370" s="57">
        <f>IF(ISERROR(IF(B370=C370,F370/C370,IF((INT(F370/B370)+(((F370-B370*INT(F370/B370)))/C370)/100)&lt;0,(INT(F370/B370)+(((F370-B370*INT(F370/B370)))/C370)/100)+(1-(B370/C370/100)),(INT(F370/B370)+(((F370-B370*INT(F370/B370)))/C370)/100)))),0,IF(B370=C370,F370/C370,IF((INT(F370/B370)+(((F370-B370*INT(F370/B370)))/C370)/100)&lt;0,(INT(F370/B370)+(((F370-B370*INT(F370/B370)))/C370)/100)+(1-(B370/C370/100)),(INT(F370/B370)+(((F370-B370*INT(F370/B370)))/C370)/100))))</f>
        <v>0</v>
      </c>
      <c r="AR370" s="57">
        <f>IF(ISERROR(IF(B370=C370,G370/C370,(INT(G370/B370)+(((G370-B370*INT(G370/B370)))/C370)/100))),0,(IF(B370=C370,G370/C370,(INT(G370/B370)+(((G370-B370*INT(G370/B370)))/C370)/100))))</f>
        <v>0</v>
      </c>
      <c r="AS370" s="57">
        <f>IF(ISERROR(IF(B370=C370,H370/C370,(INT(H370/B370)+(((H370-B370*INT(H370/B370)))/C370)/100))),0,(IF(B370=C370,H370/C370,(INT(H370/B370)+(((H370-B370*INT(H370/B370)))/C370)/100))))</f>
        <v>0</v>
      </c>
      <c r="AT370" s="57">
        <f>IF(ISERROR(IF(B370=C370,I370/C370,(INT(I370/B370)+(((I370-B370*INT(I370/B370)))/C370)/100))),0,(IF(B370=C370,I370/C370,(INT(I370/B370)+(((I370-B370*INT(I370/B370)))/C370)/100))))</f>
        <v>0</v>
      </c>
      <c r="AU370" s="57">
        <f>IF(ISERROR(IF(B370=C370,J370/C370,(INT(J370/B370)+(((J370-B370*INT(J370/B370)))/C370)/100))),0,(IF(B370=C370,J370/C370,(INT(J370/B370)+(((J370-B370*INT(J370/B370)))/C370)/100))))</f>
        <v>0</v>
      </c>
      <c r="AV370" s="57">
        <f>IF(ISERROR(IF(B370=C370,K370/C370,IF((INT(K370/B370)+(((K370-B370*INT(K370/B370)))/C370)/100)&lt;0,(INT(K370/B370)+(((K370-B370*INT(K370/B370)))/C370)/100)+(1-(B370/C370/100)),(INT(K370/B370)+(((K370-B370*INT(K370/B370)))/C370)/100)))),0,IF(B370=C370,K370/C370,IF((INT(K370/B370)+(((K370-B370*INT(K370/B370)))/C370)/100)&lt;0,(INT(K370/B370)+(((K370-B370*INT(K370/B370)))/C370)/100)+(1-(B370/C370/100)),(INT(K370/B370)+(((K370-B370*INT(K370/B370)))/C370)/100))))</f>
        <v>0</v>
      </c>
      <c r="AW370" s="57">
        <f>IF(ISERROR(IF(B370=C370,L370/C370,(INT(L370/B370)+(((L370-B370*INT(L370/B370)))/C370)/100))),0,(IF(B370=C370,L370/C370,(INT(L370/B370)+(((L370-B370*INT(L370/B370)))/C370)/100))))</f>
        <v>0</v>
      </c>
      <c r="AX370" s="57">
        <f>IF(ISERROR(IF(B370=C370,M370/C370,(INT(M370/B370)+(((M370-B370*INT(M370/B370)))/C370)/100))),0,(IF(B370=C370,M370/C370,(INT(M370/B370)+(((M370-B370*INT(M370/B370)))/C370)/100))))</f>
        <v>0</v>
      </c>
      <c r="AY370" s="57">
        <f>IF(ISERROR(IF(B370=C370,N370/C370,IF((INT(N370/B370)+(((N370-B370*INT(N370/B370)))/C370)/100)&lt;0,(INT(N370/B370)+(((N370-B370*INT(N370/B370)))/C370)/100)+(1-(B370/C370/100)),(INT(N370/B370)+(((N370-B370*INT(N370/B370)))/C370)/100)))),0,IF(B370=C370,N370/C370,IF((INT(N370/B370)+(((N370-B370*INT(N370/B370)))/C370)/100)&lt;0,(INT(N370/B370)+(((N370-B370*INT(N370/B370)))/C370)/100)+(1-(B370/C370/100)),(INT(N370/B370)+(((N370-B370*INT(N370/B370)))/C370)/100))))</f>
        <v>0</v>
      </c>
      <c r="AZ370" s="57">
        <f>IF(ISERROR(IF(B370=C370,O370/C370,(INT(O370/B370)+(((O370-B370*INT(O370/B370)))/C370)/100))),0,(IF(B370=C370,O370/C370,(INT(O370/B370)+(((O370-B370*INT(O370/B370)))/C370)/100))))</f>
        <v>0</v>
      </c>
      <c r="BA370" s="57">
        <f>IF(ISERROR(IF(B370=C370,P370/C370,IF((INT(P370/B370)+(((P370-B370*INT(P370/B370)))/C370)/100)&lt;0,(INT(P370/B370)+(((P370-B370*INT(P370/B370)))/C370)/100)+(1-(B370/C370/100)),(INT(P370/B370)+(((P370-B370*INT(P370/B370)))/C370)/100)))),0,IF(B370=C370,P370/C370,IF((INT(P370/B370)+(((P370-B370*INT(P370/B370)))/C370)/100)&lt;0,(INT(P370/B370)+(((P370-B370*INT(P370/B370)))/C370)/100)+(1-(B370/C370/100)),(INT(P370/B370)+(((P370-B370*INT(P370/B370)))/C370)/100))))</f>
        <v>0</v>
      </c>
      <c r="BB370" s="28">
        <f>R370</f>
        <v>0</v>
      </c>
      <c r="BC370" s="28">
        <f>S370</f>
        <v>0</v>
      </c>
      <c r="BD370" s="28">
        <f>AF370</f>
        <v>0</v>
      </c>
      <c r="BE370" s="28">
        <f>T370</f>
        <v>0</v>
      </c>
      <c r="BG370" s="57">
        <f>IF(ISERROR(IF(B370=C370,V370/C370,(INT(V370/B370)+(((V370-B370*INT(V370/B370)))/C370)/100))),0,(IF(B370=C370,V370/C370,(INT(V370/B370)+(((V370-B370*INT(V370/B370)))/C370)/100))))</f>
        <v>0</v>
      </c>
      <c r="BH370" s="57">
        <f>IF(ISERROR(IF(B370=C370,W370/C370,(INT(W370/B370)+(((W370-B370*INT(W370/B370)))/C370)/100))),0,(IF(B370=C370,W370/C370,(INT(W370/B370)+(((W370-B370*INT(W370/B370)))/C370)/100))))</f>
        <v>0</v>
      </c>
      <c r="BI370" s="57">
        <f>IF(ISERROR(IF(B370=C370,X370/C370,(INT(X370/B370)+(((X370-B370*INT(X370/B370)))/C370)/100))),0,(IF(B370=C370,X370/C370,(INT(X370/B370)+(((X370-B370*INT(X370/B370)))/C370)/100))))</f>
        <v>0</v>
      </c>
      <c r="BJ370" s="57">
        <f>IF(ISERROR(IF(B370=C370,Y370/C370,(INT(Y370/B370)+(((Y370-B370*INT(Y370/B370)))/C370)/100))),0,(IF(B370=C370,Y370/C370,(INT(Y370/B370)+(((Y370-B370*INT(Y370/B370)))/C370)/100))))</f>
        <v>0</v>
      </c>
      <c r="BL370" s="57">
        <f>IF(ISERROR(IF(B370=C370,AA370/C370,(INT(AA370/B370)+(((AA370-B370*INT(AA370/B370)))/C370)/100))),0,(IF(B370=C370,AA370/C370,(INT(AA370/B370)+(((AA370-B370*INT(AA370/B370)))/C370)/100))))</f>
        <v>0</v>
      </c>
      <c r="BM370" s="57">
        <f>IF(ISERROR(IF(B370=C370,AB370/C370,(INT(AB370/B370)+(((AB370-B370*INT(AB370/B370)))/C370)/100))),0,(IF(B370=C370,AB370/C370,(INT(AB370/B370)+(((AB370-B370*INT(AB370/B370)))/C370)/100))))</f>
        <v>0</v>
      </c>
      <c r="BN370" s="57">
        <f>IF(ISERROR(IF(B370=C370,AC370/C370,(INT(AC370/B370)+(((AC370-B370*INT(AC370/B370)))/C370)/100))),0,(IF(B370=C370,AC370/C370,(INT(AC370/B370)+(((AC370-B370*INT(AC370/B370)))/C370)/100))))</f>
        <v>0</v>
      </c>
      <c r="BO370" s="57">
        <f>IF(ISERROR(IF(B370=C370,AD370/C370,(INT(AD370/B370)+(((AD370-B370*INT(AD370/B370)))/C370)/100))),0,(IF(B370=C370,AD370/C370,(INT(AD370/B370)+(((AD370-B370*INT(AD370/B370)))/C370)/100))))</f>
        <v>0</v>
      </c>
      <c r="BQ370" s="155"/>
    </row>
    <row r="371" spans="1:69" hidden="1" x14ac:dyDescent="0.35">
      <c r="A371" s="94"/>
      <c r="B371" s="113">
        <v>0</v>
      </c>
      <c r="C371" s="113">
        <v>0</v>
      </c>
      <c r="D371" s="28">
        <f>SUM(AA371:AD371)</f>
        <v>0</v>
      </c>
      <c r="E371" s="113">
        <v>0</v>
      </c>
      <c r="F371" s="113">
        <v>0</v>
      </c>
      <c r="G371" s="28">
        <f>SUM(D371:F371)</f>
        <v>0</v>
      </c>
      <c r="H371" s="125">
        <v>0</v>
      </c>
      <c r="I371" s="113">
        <v>0</v>
      </c>
      <c r="J371" s="125">
        <v>0</v>
      </c>
      <c r="K371" s="113">
        <v>0</v>
      </c>
      <c r="L371" s="113">
        <v>0</v>
      </c>
      <c r="M371" s="113">
        <v>0</v>
      </c>
      <c r="N371" s="28">
        <f>G371-SUM(H371:M371)</f>
        <v>0</v>
      </c>
      <c r="O371" s="28">
        <f>SUM(V371:Y371)</f>
        <v>0</v>
      </c>
      <c r="P371" s="28">
        <f>O371-N371</f>
        <v>0</v>
      </c>
      <c r="Q371" s="61" t="str">
        <f>IF(ISERROR(P371/SUM(H371:L371)),"",P371/SUM(H371:L371))</f>
        <v/>
      </c>
      <c r="R371" s="113">
        <v>0</v>
      </c>
      <c r="S371" s="28">
        <f>IF(ISERROR(P371/C371*R371),0,(P371/C371*R371))</f>
        <v>0</v>
      </c>
      <c r="T371" s="60">
        <f>IF(ISERROR(P371/B371*AF371),0,(P371/B371*AF371))</f>
        <v>0</v>
      </c>
      <c r="V371" s="113">
        <v>0</v>
      </c>
      <c r="W371" s="113">
        <v>0</v>
      </c>
      <c r="X371" s="113">
        <v>0</v>
      </c>
      <c r="Y371" s="113">
        <v>0</v>
      </c>
      <c r="AA371" s="113">
        <v>0</v>
      </c>
      <c r="AB371" s="113">
        <v>0</v>
      </c>
      <c r="AC371" s="113">
        <v>0</v>
      </c>
      <c r="AD371" s="113">
        <v>0</v>
      </c>
      <c r="AF371" s="113">
        <v>0</v>
      </c>
      <c r="AG371" s="28">
        <f>G371-O371</f>
        <v>0</v>
      </c>
      <c r="AH371" s="58">
        <f>IF(ISERROR(AG371/B371*AF371),0,(AG371/B371*AF371))</f>
        <v>0</v>
      </c>
      <c r="AI371" s="28">
        <f>SUM(H371:M371)</f>
        <v>0</v>
      </c>
      <c r="AJ371" s="28">
        <f>IF(ISERROR(AI371/B371*AF371),0,(AI371/B371*AF371))</f>
        <v>0</v>
      </c>
      <c r="AK371" s="58">
        <f>IF(ISERROR(O371/B371*AF371),0,(O371/B371*AF371))</f>
        <v>0</v>
      </c>
      <c r="AL371" s="28">
        <f>IF(ISERROR(H371/B371*AF371),0,(H371/B371*AF371))</f>
        <v>0</v>
      </c>
      <c r="AN371" s="51">
        <f>A371</f>
        <v>0</v>
      </c>
      <c r="AO371" s="57">
        <f>IF(ISERROR(IF(B371=C371,D371/C371,(INT(D371/B371)+(((D371-B371*INT(D371/B371)))/C371)/100))),0,(IF(B371=C371,D371/C371,(INT(D371/B371)+(((D371-B371*INT(D371/B371)))/C371)/100))))</f>
        <v>0</v>
      </c>
      <c r="AP371" s="57">
        <f>IF(ISERROR(IF(B371=C371,E371/C371,(INT(E371/B371)+(((E371-B371*INT(E371/B371)))/C371)/100))),0,(IF(B371=C371,E371/C371,(INT(E371/B371)+(((E371-B371*INT(E371/B371)))/C371)/100))))</f>
        <v>0</v>
      </c>
      <c r="AQ371" s="57">
        <f>IF(ISERROR(IF(B371=C371,F371/C371,IF((INT(F371/B371)+(((F371-B371*INT(F371/B371)))/C371)/100)&lt;0,(INT(F371/B371)+(((F371-B371*INT(F371/B371)))/C371)/100)+(1-(B371/C371/100)),(INT(F371/B371)+(((F371-B371*INT(F371/B371)))/C371)/100)))),0,IF(B371=C371,F371/C371,IF((INT(F371/B371)+(((F371-B371*INT(F371/B371)))/C371)/100)&lt;0,(INT(F371/B371)+(((F371-B371*INT(F371/B371)))/C371)/100)+(1-(B371/C371/100)),(INT(F371/B371)+(((F371-B371*INT(F371/B371)))/C371)/100))))</f>
        <v>0</v>
      </c>
      <c r="AR371" s="57">
        <f>IF(ISERROR(IF(B371=C371,G371/C371,(INT(G371/B371)+(((G371-B371*INT(G371/B371)))/C371)/100))),0,(IF(B371=C371,G371/C371,(INT(G371/B371)+(((G371-B371*INT(G371/B371)))/C371)/100))))</f>
        <v>0</v>
      </c>
      <c r="AS371" s="57">
        <f>IF(ISERROR(IF(B371=C371,H371/C371,(INT(H371/B371)+(((H371-B371*INT(H371/B371)))/C371)/100))),0,(IF(B371=C371,H371/C371,(INT(H371/B371)+(((H371-B371*INT(H371/B371)))/C371)/100))))</f>
        <v>0</v>
      </c>
      <c r="AT371" s="57">
        <f>IF(ISERROR(IF(B371=C371,I371/C371,(INT(I371/B371)+(((I371-B371*INT(I371/B371)))/C371)/100))),0,(IF(B371=C371,I371/C371,(INT(I371/B371)+(((I371-B371*INT(I371/B371)))/C371)/100))))</f>
        <v>0</v>
      </c>
      <c r="AU371" s="57">
        <f>IF(ISERROR(IF(B371=C371,J371/C371,(INT(J371/B371)+(((J371-B371*INT(J371/B371)))/C371)/100))),0,(IF(B371=C371,J371/C371,(INT(J371/B371)+(((J371-B371*INT(J371/B371)))/C371)/100))))</f>
        <v>0</v>
      </c>
      <c r="AV371" s="57">
        <f>IF(ISERROR(IF(B371=C371,K371/C371,IF((INT(K371/B371)+(((K371-B371*INT(K371/B371)))/C371)/100)&lt;0,(INT(K371/B371)+(((K371-B371*INT(K371/B371)))/C371)/100)+(1-(B371/C371/100)),(INT(K371/B371)+(((K371-B371*INT(K371/B371)))/C371)/100)))),0,IF(B371=C371,K371/C371,IF((INT(K371/B371)+(((K371-B371*INT(K371/B371)))/C371)/100)&lt;0,(INT(K371/B371)+(((K371-B371*INT(K371/B371)))/C371)/100)+(1-(B371/C371/100)),(INT(K371/B371)+(((K371-B371*INT(K371/B371)))/C371)/100))))</f>
        <v>0</v>
      </c>
      <c r="AW371" s="57">
        <f>IF(ISERROR(IF(B371=C371,L371/C371,(INT(L371/B371)+(((L371-B371*INT(L371/B371)))/C371)/100))),0,(IF(B371=C371,L371/C371,(INT(L371/B371)+(((L371-B371*INT(L371/B371)))/C371)/100))))</f>
        <v>0</v>
      </c>
      <c r="AX371" s="57">
        <f>IF(ISERROR(IF(B371=C371,M371/C371,(INT(M371/B371)+(((M371-B371*INT(M371/B371)))/C371)/100))),0,(IF(B371=C371,M371/C371,(INT(M371/B371)+(((M371-B371*INT(M371/B371)))/C371)/100))))</f>
        <v>0</v>
      </c>
      <c r="AY371" s="57">
        <f>IF(ISERROR(IF(B371=C371,N371/C371,IF((INT(N371/B371)+(((N371-B371*INT(N371/B371)))/C371)/100)&lt;0,(INT(N371/B371)+(((N371-B371*INT(N371/B371)))/C371)/100)+(1-(B371/C371/100)),(INT(N371/B371)+(((N371-B371*INT(N371/B371)))/C371)/100)))),0,IF(B371=C371,N371/C371,IF((INT(N371/B371)+(((N371-B371*INT(N371/B371)))/C371)/100)&lt;0,(INT(N371/B371)+(((N371-B371*INT(N371/B371)))/C371)/100)+(1-(B371/C371/100)),(INT(N371/B371)+(((N371-B371*INT(N371/B371)))/C371)/100))))</f>
        <v>0</v>
      </c>
      <c r="AZ371" s="57">
        <f>IF(ISERROR(IF(B371=C371,O371/C371,(INT(O371/B371)+(((O371-B371*INT(O371/B371)))/C371)/100))),0,(IF(B371=C371,O371/C371,(INT(O371/B371)+(((O371-B371*INT(O371/B371)))/C371)/100))))</f>
        <v>0</v>
      </c>
      <c r="BA371" s="57">
        <f>IF(ISERROR(IF(B371=C371,P371/C371,IF((INT(P371/B371)+(((P371-B371*INT(P371/B371)))/C371)/100)&lt;0,(INT(P371/B371)+(((P371-B371*INT(P371/B371)))/C371)/100)+(1-(B371/C371/100)),(INT(P371/B371)+(((P371-B371*INT(P371/B371)))/C371)/100)))),0,IF(B371=C371,P371/C371,IF((INT(P371/B371)+(((P371-B371*INT(P371/B371)))/C371)/100)&lt;0,(INT(P371/B371)+(((P371-B371*INT(P371/B371)))/C371)/100)+(1-(B371/C371/100)),(INT(P371/B371)+(((P371-B371*INT(P371/B371)))/C371)/100))))</f>
        <v>0</v>
      </c>
      <c r="BB371" s="28">
        <f>R371</f>
        <v>0</v>
      </c>
      <c r="BC371" s="28">
        <f>S371</f>
        <v>0</v>
      </c>
      <c r="BD371" s="28">
        <f>AF371</f>
        <v>0</v>
      </c>
      <c r="BE371" s="28">
        <f>T371</f>
        <v>0</v>
      </c>
      <c r="BG371" s="57">
        <f>IF(ISERROR(IF(B371=C371,V371/C371,(INT(V371/B371)+(((V371-B371*INT(V371/B371)))/C371)/100))),0,(IF(B371=C371,V371/C371,(INT(V371/B371)+(((V371-B371*INT(V371/B371)))/C371)/100))))</f>
        <v>0</v>
      </c>
      <c r="BH371" s="57">
        <f>IF(ISERROR(IF(B371=C371,W371/C371,(INT(W371/B371)+(((W371-B371*INT(W371/B371)))/C371)/100))),0,(IF(B371=C371,W371/C371,(INT(W371/B371)+(((W371-B371*INT(W371/B371)))/C371)/100))))</f>
        <v>0</v>
      </c>
      <c r="BI371" s="57">
        <f>IF(ISERROR(IF(B371=C371,X371/C371,(INT(X371/B371)+(((X371-B371*INT(X371/B371)))/C371)/100))),0,(IF(B371=C371,X371/C371,(INT(X371/B371)+(((X371-B371*INT(X371/B371)))/C371)/100))))</f>
        <v>0</v>
      </c>
      <c r="BJ371" s="57">
        <f>IF(ISERROR(IF(B371=C371,Y371/C371,(INT(Y371/B371)+(((Y371-B371*INT(Y371/B371)))/C371)/100))),0,(IF(B371=C371,Y371/C371,(INT(Y371/B371)+(((Y371-B371*INT(Y371/B371)))/C371)/100))))</f>
        <v>0</v>
      </c>
      <c r="BL371" s="57">
        <f>IF(ISERROR(IF(B371=C371,AA371/C371,(INT(AA371/B371)+(((AA371-B371*INT(AA371/B371)))/C371)/100))),0,(IF(B371=C371,AA371/C371,(INT(AA371/B371)+(((AA371-B371*INT(AA371/B371)))/C371)/100))))</f>
        <v>0</v>
      </c>
      <c r="BM371" s="57">
        <f>IF(ISERROR(IF(B371=C371,AB371/C371,(INT(AB371/B371)+(((AB371-B371*INT(AB371/B371)))/C371)/100))),0,(IF(B371=C371,AB371/C371,(INT(AB371/B371)+(((AB371-B371*INT(AB371/B371)))/C371)/100))))</f>
        <v>0</v>
      </c>
      <c r="BN371" s="57">
        <f>IF(ISERROR(IF(B371=C371,AC371/C371,(INT(AC371/B371)+(((AC371-B371*INT(AC371/B371)))/C371)/100))),0,(IF(B371=C371,AC371/C371,(INT(AC371/B371)+(((AC371-B371*INT(AC371/B371)))/C371)/100))))</f>
        <v>0</v>
      </c>
      <c r="BO371" s="57">
        <f>IF(ISERROR(IF(B371=C371,AD371/C371,(INT(AD371/B371)+(((AD371-B371*INT(AD371/B371)))/C371)/100))),0,(IF(B371=C371,AD371/C371,(INT(AD371/B371)+(((AD371-B371*INT(AD371/B371)))/C371)/100))))</f>
        <v>0</v>
      </c>
      <c r="BQ371" s="155"/>
    </row>
    <row r="372" spans="1:69" hidden="1" x14ac:dyDescent="0.35">
      <c r="A372" s="94"/>
      <c r="B372" s="113">
        <v>0</v>
      </c>
      <c r="C372" s="113">
        <v>0</v>
      </c>
      <c r="D372" s="28">
        <f>SUM(AA372:AD372)</f>
        <v>0</v>
      </c>
      <c r="E372" s="113">
        <v>0</v>
      </c>
      <c r="F372" s="113">
        <v>0</v>
      </c>
      <c r="G372" s="28">
        <f>SUM(D372:F372)</f>
        <v>0</v>
      </c>
      <c r="H372" s="125">
        <v>0</v>
      </c>
      <c r="I372" s="113">
        <v>0</v>
      </c>
      <c r="J372" s="125">
        <v>0</v>
      </c>
      <c r="K372" s="113">
        <v>0</v>
      </c>
      <c r="L372" s="113">
        <v>0</v>
      </c>
      <c r="M372" s="113">
        <v>0</v>
      </c>
      <c r="N372" s="28">
        <f>G372-SUM(H372:M372)</f>
        <v>0</v>
      </c>
      <c r="O372" s="28">
        <f>SUM(V372:Y372)</f>
        <v>0</v>
      </c>
      <c r="P372" s="28">
        <f>O372-N372</f>
        <v>0</v>
      </c>
      <c r="Q372" s="61" t="str">
        <f>IF(ISERROR(P372/SUM(H372:L372)),"",P372/SUM(H372:L372))</f>
        <v/>
      </c>
      <c r="R372" s="113">
        <v>0</v>
      </c>
      <c r="S372" s="28">
        <f>IF(ISERROR(P372/C372*R372),0,(P372/C372*R372))</f>
        <v>0</v>
      </c>
      <c r="T372" s="60">
        <f>IF(ISERROR(P372/B372*AF372),0,(P372/B372*AF372))</f>
        <v>0</v>
      </c>
      <c r="V372" s="113">
        <v>0</v>
      </c>
      <c r="W372" s="113">
        <v>0</v>
      </c>
      <c r="X372" s="113">
        <v>0</v>
      </c>
      <c r="Y372" s="113">
        <v>0</v>
      </c>
      <c r="AA372" s="113">
        <v>0</v>
      </c>
      <c r="AB372" s="113">
        <v>0</v>
      </c>
      <c r="AC372" s="113">
        <v>0</v>
      </c>
      <c r="AD372" s="113">
        <v>0</v>
      </c>
      <c r="AF372" s="113">
        <v>0</v>
      </c>
      <c r="AG372" s="28">
        <f>G372-O372</f>
        <v>0</v>
      </c>
      <c r="AH372" s="58">
        <f>IF(ISERROR(AG372/B372*AF372),0,(AG372/B372*AF372))</f>
        <v>0</v>
      </c>
      <c r="AI372" s="28">
        <f>SUM(H372:M372)</f>
        <v>0</v>
      </c>
      <c r="AJ372" s="28">
        <f>IF(ISERROR(AI372/B372*AF372),0,(AI372/B372*AF372))</f>
        <v>0</v>
      </c>
      <c r="AK372" s="58">
        <f>IF(ISERROR(O372/B372*AF372),0,(O372/B372*AF372))</f>
        <v>0</v>
      </c>
      <c r="AL372" s="28">
        <f>IF(ISERROR(H372/B372*AF372),0,(H372/B372*AF372))</f>
        <v>0</v>
      </c>
      <c r="AN372" s="51">
        <f>A372</f>
        <v>0</v>
      </c>
      <c r="AO372" s="57">
        <f>IF(ISERROR(IF(B372=C372,D372/C372,(INT(D372/B372)+(((D372-B372*INT(D372/B372)))/C372)/100))),0,(IF(B372=C372,D372/C372,(INT(D372/B372)+(((D372-B372*INT(D372/B372)))/C372)/100))))</f>
        <v>0</v>
      </c>
      <c r="AP372" s="57">
        <f>IF(ISERROR(IF(B372=C372,E372/C372,(INT(E372/B372)+(((E372-B372*INT(E372/B372)))/C372)/100))),0,(IF(B372=C372,E372/C372,(INT(E372/B372)+(((E372-B372*INT(E372/B372)))/C372)/100))))</f>
        <v>0</v>
      </c>
      <c r="AQ372" s="57">
        <f>IF(ISERROR(IF(B372=C372,F372/C372,IF((INT(F372/B372)+(((F372-B372*INT(F372/B372)))/C372)/100)&lt;0,(INT(F372/B372)+(((F372-B372*INT(F372/B372)))/C372)/100)+(1-(B372/C372/100)),(INT(F372/B372)+(((F372-B372*INT(F372/B372)))/C372)/100)))),0,IF(B372=C372,F372/C372,IF((INT(F372/B372)+(((F372-B372*INT(F372/B372)))/C372)/100)&lt;0,(INT(F372/B372)+(((F372-B372*INT(F372/B372)))/C372)/100)+(1-(B372/C372/100)),(INT(F372/B372)+(((F372-B372*INT(F372/B372)))/C372)/100))))</f>
        <v>0</v>
      </c>
      <c r="AR372" s="57">
        <f>IF(ISERROR(IF(B372=C372,G372/C372,(INT(G372/B372)+(((G372-B372*INT(G372/B372)))/C372)/100))),0,(IF(B372=C372,G372/C372,(INT(G372/B372)+(((G372-B372*INT(G372/B372)))/C372)/100))))</f>
        <v>0</v>
      </c>
      <c r="AS372" s="57">
        <f>IF(ISERROR(IF(B372=C372,H372/C372,(INT(H372/B372)+(((H372-B372*INT(H372/B372)))/C372)/100))),0,(IF(B372=C372,H372/C372,(INT(H372/B372)+(((H372-B372*INT(H372/B372)))/C372)/100))))</f>
        <v>0</v>
      </c>
      <c r="AT372" s="57">
        <f>IF(ISERROR(IF(B372=C372,I372/C372,(INT(I372/B372)+(((I372-B372*INT(I372/B372)))/C372)/100))),0,(IF(B372=C372,I372/C372,(INT(I372/B372)+(((I372-B372*INT(I372/B372)))/C372)/100))))</f>
        <v>0</v>
      </c>
      <c r="AU372" s="57">
        <f>IF(ISERROR(IF(B372=C372,J372/C372,(INT(J372/B372)+(((J372-B372*INT(J372/B372)))/C372)/100))),0,(IF(B372=C372,J372/C372,(INT(J372/B372)+(((J372-B372*INT(J372/B372)))/C372)/100))))</f>
        <v>0</v>
      </c>
      <c r="AV372" s="57">
        <f>IF(ISERROR(IF(B372=C372,K372/C372,IF((INT(K372/B372)+(((K372-B372*INT(K372/B372)))/C372)/100)&lt;0,(INT(K372/B372)+(((K372-B372*INT(K372/B372)))/C372)/100)+(1-(B372/C372/100)),(INT(K372/B372)+(((K372-B372*INT(K372/B372)))/C372)/100)))),0,IF(B372=C372,K372/C372,IF((INT(K372/B372)+(((K372-B372*INT(K372/B372)))/C372)/100)&lt;0,(INT(K372/B372)+(((K372-B372*INT(K372/B372)))/C372)/100)+(1-(B372/C372/100)),(INT(K372/B372)+(((K372-B372*INT(K372/B372)))/C372)/100))))</f>
        <v>0</v>
      </c>
      <c r="AW372" s="57">
        <f>IF(ISERROR(IF(B372=C372,L372/C372,(INT(L372/B372)+(((L372-B372*INT(L372/B372)))/C372)/100))),0,(IF(B372=C372,L372/C372,(INT(L372/B372)+(((L372-B372*INT(L372/B372)))/C372)/100))))</f>
        <v>0</v>
      </c>
      <c r="AX372" s="57">
        <f>IF(ISERROR(IF(B372=C372,M372/C372,(INT(M372/B372)+(((M372-B372*INT(M372/B372)))/C372)/100))),0,(IF(B372=C372,M372/C372,(INT(M372/B372)+(((M372-B372*INT(M372/B372)))/C372)/100))))</f>
        <v>0</v>
      </c>
      <c r="AY372" s="57">
        <f>IF(ISERROR(IF(B372=C372,N372/C372,IF((INT(N372/B372)+(((N372-B372*INT(N372/B372)))/C372)/100)&lt;0,(INT(N372/B372)+(((N372-B372*INT(N372/B372)))/C372)/100)+(1-(B372/C372/100)),(INT(N372/B372)+(((N372-B372*INT(N372/B372)))/C372)/100)))),0,IF(B372=C372,N372/C372,IF((INT(N372/B372)+(((N372-B372*INT(N372/B372)))/C372)/100)&lt;0,(INT(N372/B372)+(((N372-B372*INT(N372/B372)))/C372)/100)+(1-(B372/C372/100)),(INT(N372/B372)+(((N372-B372*INT(N372/B372)))/C372)/100))))</f>
        <v>0</v>
      </c>
      <c r="AZ372" s="57">
        <f>IF(ISERROR(IF(B372=C372,O372/C372,(INT(O372/B372)+(((O372-B372*INT(O372/B372)))/C372)/100))),0,(IF(B372=C372,O372/C372,(INT(O372/B372)+(((O372-B372*INT(O372/B372)))/C372)/100))))</f>
        <v>0</v>
      </c>
      <c r="BA372" s="57">
        <f>IF(ISERROR(IF(B372=C372,P372/C372,IF((INT(P372/B372)+(((P372-B372*INT(P372/B372)))/C372)/100)&lt;0,(INT(P372/B372)+(((P372-B372*INT(P372/B372)))/C372)/100)+(1-(B372/C372/100)),(INT(P372/B372)+(((P372-B372*INT(P372/B372)))/C372)/100)))),0,IF(B372=C372,P372/C372,IF((INT(P372/B372)+(((P372-B372*INT(P372/B372)))/C372)/100)&lt;0,(INT(P372/B372)+(((P372-B372*INT(P372/B372)))/C372)/100)+(1-(B372/C372/100)),(INT(P372/B372)+(((P372-B372*INT(P372/B372)))/C372)/100))))</f>
        <v>0</v>
      </c>
      <c r="BB372" s="28">
        <f>R372</f>
        <v>0</v>
      </c>
      <c r="BC372" s="28">
        <f>S372</f>
        <v>0</v>
      </c>
      <c r="BD372" s="28">
        <f>AF372</f>
        <v>0</v>
      </c>
      <c r="BE372" s="28">
        <f>T372</f>
        <v>0</v>
      </c>
      <c r="BG372" s="57">
        <f>IF(ISERROR(IF(B372=C372,V372/C372,(INT(V372/B372)+(((V372-B372*INT(V372/B372)))/C372)/100))),0,(IF(B372=C372,V372/C372,(INT(V372/B372)+(((V372-B372*INT(V372/B372)))/C372)/100))))</f>
        <v>0</v>
      </c>
      <c r="BH372" s="57">
        <f>IF(ISERROR(IF(B372=C372,W372/C372,(INT(W372/B372)+(((W372-B372*INT(W372/B372)))/C372)/100))),0,(IF(B372=C372,W372/C372,(INT(W372/B372)+(((W372-B372*INT(W372/B372)))/C372)/100))))</f>
        <v>0</v>
      </c>
      <c r="BI372" s="57">
        <f>IF(ISERROR(IF(B372=C372,X372/C372,(INT(X372/B372)+(((X372-B372*INT(X372/B372)))/C372)/100))),0,(IF(B372=C372,X372/C372,(INT(X372/B372)+(((X372-B372*INT(X372/B372)))/C372)/100))))</f>
        <v>0</v>
      </c>
      <c r="BJ372" s="57">
        <f>IF(ISERROR(IF(B372=C372,Y372/C372,(INT(Y372/B372)+(((Y372-B372*INT(Y372/B372)))/C372)/100))),0,(IF(B372=C372,Y372/C372,(INT(Y372/B372)+(((Y372-B372*INT(Y372/B372)))/C372)/100))))</f>
        <v>0</v>
      </c>
      <c r="BL372" s="57">
        <f>IF(ISERROR(IF(B372=C372,AA372/C372,(INT(AA372/B372)+(((AA372-B372*INT(AA372/B372)))/C372)/100))),0,(IF(B372=C372,AA372/C372,(INT(AA372/B372)+(((AA372-B372*INT(AA372/B372)))/C372)/100))))</f>
        <v>0</v>
      </c>
      <c r="BM372" s="57">
        <f>IF(ISERROR(IF(B372=C372,AB372/C372,(INT(AB372/B372)+(((AB372-B372*INT(AB372/B372)))/C372)/100))),0,(IF(B372=C372,AB372/C372,(INT(AB372/B372)+(((AB372-B372*INT(AB372/B372)))/C372)/100))))</f>
        <v>0</v>
      </c>
      <c r="BN372" s="57">
        <f>IF(ISERROR(IF(B372=C372,AC372/C372,(INT(AC372/B372)+(((AC372-B372*INT(AC372/B372)))/C372)/100))),0,(IF(B372=C372,AC372/C372,(INT(AC372/B372)+(((AC372-B372*INT(AC372/B372)))/C372)/100))))</f>
        <v>0</v>
      </c>
      <c r="BO372" s="57">
        <f>IF(ISERROR(IF(B372=C372,AD372/C372,(INT(AD372/B372)+(((AD372-B372*INT(AD372/B372)))/C372)/100))),0,(IF(B372=C372,AD372/C372,(INT(AD372/B372)+(((AD372-B372*INT(AD372/B372)))/C372)/100))))</f>
        <v>0</v>
      </c>
      <c r="BQ372" s="155"/>
    </row>
    <row r="373" spans="1:69" hidden="1" x14ac:dyDescent="0.35">
      <c r="A373" s="94"/>
      <c r="B373" s="113">
        <v>0</v>
      </c>
      <c r="C373" s="113">
        <v>0</v>
      </c>
      <c r="D373" s="28">
        <f>SUM(AA373:AD373)</f>
        <v>0</v>
      </c>
      <c r="E373" s="113">
        <v>0</v>
      </c>
      <c r="F373" s="113">
        <v>0</v>
      </c>
      <c r="G373" s="28">
        <f>SUM(D373:F373)</f>
        <v>0</v>
      </c>
      <c r="H373" s="125">
        <v>0</v>
      </c>
      <c r="I373" s="113">
        <v>0</v>
      </c>
      <c r="J373" s="125">
        <v>0</v>
      </c>
      <c r="K373" s="113">
        <v>0</v>
      </c>
      <c r="L373" s="113">
        <v>0</v>
      </c>
      <c r="M373" s="113">
        <v>0</v>
      </c>
      <c r="N373" s="28">
        <f>G373-SUM(H373:M373)</f>
        <v>0</v>
      </c>
      <c r="O373" s="28">
        <f>SUM(V373:Y373)</f>
        <v>0</v>
      </c>
      <c r="P373" s="28">
        <f>O373-N373</f>
        <v>0</v>
      </c>
      <c r="Q373" s="61" t="str">
        <f>IF(ISERROR(P373/SUM(H373:L373)),"",P373/SUM(H373:L373))</f>
        <v/>
      </c>
      <c r="R373" s="113">
        <v>0</v>
      </c>
      <c r="S373" s="28">
        <f>IF(ISERROR(P373/C373*R373),0,(P373/C373*R373))</f>
        <v>0</v>
      </c>
      <c r="T373" s="60">
        <f>IF(ISERROR(P373/B373*AF373),0,(P373/B373*AF373))</f>
        <v>0</v>
      </c>
      <c r="V373" s="113">
        <v>0</v>
      </c>
      <c r="W373" s="113">
        <v>0</v>
      </c>
      <c r="X373" s="113">
        <v>0</v>
      </c>
      <c r="Y373" s="113">
        <v>0</v>
      </c>
      <c r="AA373" s="113">
        <v>0</v>
      </c>
      <c r="AB373" s="113">
        <v>0</v>
      </c>
      <c r="AC373" s="113">
        <v>0</v>
      </c>
      <c r="AD373" s="113">
        <v>0</v>
      </c>
      <c r="AF373" s="113">
        <v>0</v>
      </c>
      <c r="AG373" s="28">
        <f>G373-O373</f>
        <v>0</v>
      </c>
      <c r="AH373" s="58">
        <f>IF(ISERROR(AG373/B373*AF373),0,(AG373/B373*AF373))</f>
        <v>0</v>
      </c>
      <c r="AI373" s="28">
        <f>SUM(H373:M373)</f>
        <v>0</v>
      </c>
      <c r="AJ373" s="28">
        <f>IF(ISERROR(AI373/B373*AF373),0,(AI373/B373*AF373))</f>
        <v>0</v>
      </c>
      <c r="AK373" s="58">
        <f>IF(ISERROR(O373/B373*AF373),0,(O373/B373*AF373))</f>
        <v>0</v>
      </c>
      <c r="AL373" s="28">
        <f>IF(ISERROR(H373/B373*AF373),0,(H373/B373*AF373))</f>
        <v>0</v>
      </c>
      <c r="AN373" s="51">
        <f>A373</f>
        <v>0</v>
      </c>
      <c r="AO373" s="57">
        <f>IF(ISERROR(IF(B373=C373,D373/C373,(INT(D373/B373)+(((D373-B373*INT(D373/B373)))/C373)/100))),0,(IF(B373=C373,D373/C373,(INT(D373/B373)+(((D373-B373*INT(D373/B373)))/C373)/100))))</f>
        <v>0</v>
      </c>
      <c r="AP373" s="57">
        <f>IF(ISERROR(IF(B373=C373,E373/C373,(INT(E373/B373)+(((E373-B373*INT(E373/B373)))/C373)/100))),0,(IF(B373=C373,E373/C373,(INT(E373/B373)+(((E373-B373*INT(E373/B373)))/C373)/100))))</f>
        <v>0</v>
      </c>
      <c r="AQ373" s="57">
        <f>IF(ISERROR(IF(B373=C373,F373/C373,IF((INT(F373/B373)+(((F373-B373*INT(F373/B373)))/C373)/100)&lt;0,(INT(F373/B373)+(((F373-B373*INT(F373/B373)))/C373)/100)+(1-(B373/C373/100)),(INT(F373/B373)+(((F373-B373*INT(F373/B373)))/C373)/100)))),0,IF(B373=C373,F373/C373,IF((INT(F373/B373)+(((F373-B373*INT(F373/B373)))/C373)/100)&lt;0,(INT(F373/B373)+(((F373-B373*INT(F373/B373)))/C373)/100)+(1-(B373/C373/100)),(INT(F373/B373)+(((F373-B373*INT(F373/B373)))/C373)/100))))</f>
        <v>0</v>
      </c>
      <c r="AR373" s="57">
        <f>IF(ISERROR(IF(B373=C373,G373/C373,(INT(G373/B373)+(((G373-B373*INT(G373/B373)))/C373)/100))),0,(IF(B373=C373,G373/C373,(INT(G373/B373)+(((G373-B373*INT(G373/B373)))/C373)/100))))</f>
        <v>0</v>
      </c>
      <c r="AS373" s="57">
        <f>IF(ISERROR(IF(B373=C373,H373/C373,(INT(H373/B373)+(((H373-B373*INT(H373/B373)))/C373)/100))),0,(IF(B373=C373,H373/C373,(INT(H373/B373)+(((H373-B373*INT(H373/B373)))/C373)/100))))</f>
        <v>0</v>
      </c>
      <c r="AT373" s="57">
        <f>IF(ISERROR(IF(B373=C373,I373/C373,(INT(I373/B373)+(((I373-B373*INT(I373/B373)))/C373)/100))),0,(IF(B373=C373,I373/C373,(INT(I373/B373)+(((I373-B373*INT(I373/B373)))/C373)/100))))</f>
        <v>0</v>
      </c>
      <c r="AU373" s="57">
        <f>IF(ISERROR(IF(B373=C373,J373/C373,(INT(J373/B373)+(((J373-B373*INT(J373/B373)))/C373)/100))),0,(IF(B373=C373,J373/C373,(INT(J373/B373)+(((J373-B373*INT(J373/B373)))/C373)/100))))</f>
        <v>0</v>
      </c>
      <c r="AV373" s="57">
        <f>IF(ISERROR(IF(B373=C373,K373/C373,IF((INT(K373/B373)+(((K373-B373*INT(K373/B373)))/C373)/100)&lt;0,(INT(K373/B373)+(((K373-B373*INT(K373/B373)))/C373)/100)+(1-(B373/C373/100)),(INT(K373/B373)+(((K373-B373*INT(K373/B373)))/C373)/100)))),0,IF(B373=C373,K373/C373,IF((INT(K373/B373)+(((K373-B373*INT(K373/B373)))/C373)/100)&lt;0,(INT(K373/B373)+(((K373-B373*INT(K373/B373)))/C373)/100)+(1-(B373/C373/100)),(INT(K373/B373)+(((K373-B373*INT(K373/B373)))/C373)/100))))</f>
        <v>0</v>
      </c>
      <c r="AW373" s="57">
        <f>IF(ISERROR(IF(B373=C373,L373/C373,(INT(L373/B373)+(((L373-B373*INT(L373/B373)))/C373)/100))),0,(IF(B373=C373,L373/C373,(INT(L373/B373)+(((L373-B373*INT(L373/B373)))/C373)/100))))</f>
        <v>0</v>
      </c>
      <c r="AX373" s="57">
        <f>IF(ISERROR(IF(B373=C373,M373/C373,(INT(M373/B373)+(((M373-B373*INT(M373/B373)))/C373)/100))),0,(IF(B373=C373,M373/C373,(INT(M373/B373)+(((M373-B373*INT(M373/B373)))/C373)/100))))</f>
        <v>0</v>
      </c>
      <c r="AY373" s="57">
        <f>IF(ISERROR(IF(B373=C373,N373/C373,IF((INT(N373/B373)+(((N373-B373*INT(N373/B373)))/C373)/100)&lt;0,(INT(N373/B373)+(((N373-B373*INT(N373/B373)))/C373)/100)+(1-(B373/C373/100)),(INT(N373/B373)+(((N373-B373*INT(N373/B373)))/C373)/100)))),0,IF(B373=C373,N373/C373,IF((INT(N373/B373)+(((N373-B373*INT(N373/B373)))/C373)/100)&lt;0,(INT(N373/B373)+(((N373-B373*INT(N373/B373)))/C373)/100)+(1-(B373/C373/100)),(INT(N373/B373)+(((N373-B373*INT(N373/B373)))/C373)/100))))</f>
        <v>0</v>
      </c>
      <c r="AZ373" s="57">
        <f>IF(ISERROR(IF(B373=C373,O373/C373,(INT(O373/B373)+(((O373-B373*INT(O373/B373)))/C373)/100))),0,(IF(B373=C373,O373/C373,(INT(O373/B373)+(((O373-B373*INT(O373/B373)))/C373)/100))))</f>
        <v>0</v>
      </c>
      <c r="BA373" s="57">
        <f>IF(ISERROR(IF(B373=C373,P373/C373,IF((INT(P373/B373)+(((P373-B373*INT(P373/B373)))/C373)/100)&lt;0,(INT(P373/B373)+(((P373-B373*INT(P373/B373)))/C373)/100)+(1-(B373/C373/100)),(INT(P373/B373)+(((P373-B373*INT(P373/B373)))/C373)/100)))),0,IF(B373=C373,P373/C373,IF((INT(P373/B373)+(((P373-B373*INT(P373/B373)))/C373)/100)&lt;0,(INT(P373/B373)+(((P373-B373*INT(P373/B373)))/C373)/100)+(1-(B373/C373/100)),(INT(P373/B373)+(((P373-B373*INT(P373/B373)))/C373)/100))))</f>
        <v>0</v>
      </c>
      <c r="BB373" s="28">
        <f>R373</f>
        <v>0</v>
      </c>
      <c r="BC373" s="28">
        <f>S373</f>
        <v>0</v>
      </c>
      <c r="BD373" s="28">
        <f>AF373</f>
        <v>0</v>
      </c>
      <c r="BE373" s="28">
        <f>T373</f>
        <v>0</v>
      </c>
      <c r="BG373" s="57">
        <f>IF(ISERROR(IF(B373=C373,V373/C373,(INT(V373/B373)+(((V373-B373*INT(V373/B373)))/C373)/100))),0,(IF(B373=C373,V373/C373,(INT(V373/B373)+(((V373-B373*INT(V373/B373)))/C373)/100))))</f>
        <v>0</v>
      </c>
      <c r="BH373" s="57">
        <f>IF(ISERROR(IF(B373=C373,W373/C373,(INT(W373/B373)+(((W373-B373*INT(W373/B373)))/C373)/100))),0,(IF(B373=C373,W373/C373,(INT(W373/B373)+(((W373-B373*INT(W373/B373)))/C373)/100))))</f>
        <v>0</v>
      </c>
      <c r="BI373" s="57">
        <f>IF(ISERROR(IF(B373=C373,X373/C373,(INT(X373/B373)+(((X373-B373*INT(X373/B373)))/C373)/100))),0,(IF(B373=C373,X373/C373,(INT(X373/B373)+(((X373-B373*INT(X373/B373)))/C373)/100))))</f>
        <v>0</v>
      </c>
      <c r="BJ373" s="57">
        <f>IF(ISERROR(IF(B373=C373,Y373/C373,(INT(Y373/B373)+(((Y373-B373*INT(Y373/B373)))/C373)/100))),0,(IF(B373=C373,Y373/C373,(INT(Y373/B373)+(((Y373-B373*INT(Y373/B373)))/C373)/100))))</f>
        <v>0</v>
      </c>
      <c r="BL373" s="57">
        <f>IF(ISERROR(IF(B373=C373,AA373/C373,(INT(AA373/B373)+(((AA373-B373*INT(AA373/B373)))/C373)/100))),0,(IF(B373=C373,AA373/C373,(INT(AA373/B373)+(((AA373-B373*INT(AA373/B373)))/C373)/100))))</f>
        <v>0</v>
      </c>
      <c r="BM373" s="57">
        <f>IF(ISERROR(IF(B373=C373,AB373/C373,(INT(AB373/B373)+(((AB373-B373*INT(AB373/B373)))/C373)/100))),0,(IF(B373=C373,AB373/C373,(INT(AB373/B373)+(((AB373-B373*INT(AB373/B373)))/C373)/100))))</f>
        <v>0</v>
      </c>
      <c r="BN373" s="57">
        <f>IF(ISERROR(IF(B373=C373,AC373/C373,(INT(AC373/B373)+(((AC373-B373*INT(AC373/B373)))/C373)/100))),0,(IF(B373=C373,AC373/C373,(INT(AC373/B373)+(((AC373-B373*INT(AC373/B373)))/C373)/100))))</f>
        <v>0</v>
      </c>
      <c r="BO373" s="57">
        <f>IF(ISERROR(IF(B373=C373,AD373/C373,(INT(AD373/B373)+(((AD373-B373*INT(AD373/B373)))/C373)/100))),0,(IF(B373=C373,AD373/C373,(INT(AD373/B373)+(((AD373-B373*INT(AD373/B373)))/C373)/100))))</f>
        <v>0</v>
      </c>
      <c r="BQ373" s="155"/>
    </row>
    <row r="374" spans="1:69" hidden="1" x14ac:dyDescent="0.35">
      <c r="A374" s="94"/>
      <c r="B374" s="113"/>
      <c r="C374" s="113"/>
      <c r="D374" s="28"/>
      <c r="E374" s="113"/>
      <c r="F374" s="113"/>
      <c r="G374" s="28"/>
      <c r="H374" s="125"/>
      <c r="I374" s="113"/>
      <c r="J374" s="125"/>
      <c r="K374" s="113"/>
      <c r="L374" s="113"/>
      <c r="M374" s="113"/>
      <c r="N374" s="28"/>
      <c r="O374" s="28"/>
      <c r="P374" s="28"/>
      <c r="Q374" s="61"/>
      <c r="R374" s="113"/>
      <c r="S374" s="28"/>
      <c r="T374" s="28"/>
      <c r="V374" s="113"/>
      <c r="W374" s="113"/>
      <c r="X374" s="113"/>
      <c r="Y374" s="113"/>
      <c r="AA374" s="113"/>
      <c r="AB374" s="113"/>
      <c r="AC374" s="113"/>
      <c r="AD374" s="113"/>
      <c r="AF374" s="113"/>
      <c r="AG374" s="28"/>
      <c r="AH374" s="58"/>
      <c r="AI374" s="28"/>
      <c r="AJ374" s="28"/>
      <c r="AK374" s="58"/>
      <c r="AL374" s="28"/>
      <c r="AN374" s="51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G374" s="28"/>
      <c r="BH374" s="28"/>
      <c r="BI374" s="28"/>
      <c r="BJ374" s="28"/>
      <c r="BL374" s="28"/>
      <c r="BM374" s="28"/>
      <c r="BN374" s="28"/>
      <c r="BO374" s="28"/>
      <c r="BQ374" s="113"/>
    </row>
    <row r="375" spans="1:69" x14ac:dyDescent="0.35">
      <c r="A375" s="135" t="s">
        <v>255</v>
      </c>
      <c r="B375" s="113"/>
      <c r="C375" s="113"/>
      <c r="D375" s="28"/>
      <c r="E375" s="113"/>
      <c r="F375" s="113"/>
      <c r="G375" s="28"/>
      <c r="H375" s="125"/>
      <c r="I375" s="113"/>
      <c r="J375" s="125"/>
      <c r="K375" s="113"/>
      <c r="L375" s="113"/>
      <c r="M375" s="113"/>
      <c r="N375" s="28"/>
      <c r="O375" s="125"/>
      <c r="P375" s="28"/>
      <c r="Q375" s="61"/>
      <c r="R375" s="113"/>
      <c r="S375" s="28"/>
      <c r="T375" s="28"/>
      <c r="V375" s="113"/>
      <c r="W375" s="113"/>
      <c r="X375" s="113"/>
      <c r="Y375" s="113"/>
      <c r="AA375" s="113"/>
      <c r="AB375" s="113"/>
      <c r="AC375" s="113"/>
      <c r="AD375" s="113"/>
      <c r="AF375" s="113"/>
      <c r="AG375" s="28"/>
      <c r="AH375" s="58"/>
      <c r="AI375" s="28"/>
      <c r="AJ375" s="28"/>
      <c r="AK375" s="58"/>
      <c r="AL375" s="28"/>
      <c r="AN375" s="65" t="str">
        <f>A375</f>
        <v>Domestic Spirits - 750ml</v>
      </c>
      <c r="AO375" s="28"/>
      <c r="AP375" s="28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G375" s="28"/>
      <c r="BH375" s="28"/>
      <c r="BI375" s="28"/>
      <c r="BJ375" s="28"/>
      <c r="BL375" s="28"/>
      <c r="BM375" s="28"/>
      <c r="BN375" s="28"/>
      <c r="BO375" s="28"/>
      <c r="BQ375" s="113"/>
    </row>
    <row r="376" spans="1:69" x14ac:dyDescent="0.35">
      <c r="A376" s="165" t="s">
        <v>254</v>
      </c>
      <c r="B376" s="113">
        <v>750</v>
      </c>
      <c r="C376" s="113">
        <v>30</v>
      </c>
      <c r="D376" s="28">
        <f>SUM(AA376:AD376)</f>
        <v>4650</v>
      </c>
      <c r="E376" s="113">
        <v>0</v>
      </c>
      <c r="F376" s="113">
        <v>0</v>
      </c>
      <c r="G376" s="28">
        <f>SUM(D376:F376)</f>
        <v>4650</v>
      </c>
      <c r="H376" s="164">
        <v>0</v>
      </c>
      <c r="I376" s="113">
        <v>0</v>
      </c>
      <c r="J376" s="125">
        <v>0</v>
      </c>
      <c r="K376" s="113">
        <v>0</v>
      </c>
      <c r="L376" s="113">
        <v>0</v>
      </c>
      <c r="M376" s="113">
        <v>0</v>
      </c>
      <c r="N376" s="28">
        <f>G376-SUM(H376:M376)</f>
        <v>4650</v>
      </c>
      <c r="O376" s="28">
        <f>SUM(V376:Y376)</f>
        <v>4650</v>
      </c>
      <c r="P376" s="28">
        <f>O376-N376</f>
        <v>0</v>
      </c>
      <c r="Q376" s="61" t="str">
        <f>IF(ISERROR(P376/SUM(H376:L376)),"",P376/SUM(H376:L376))</f>
        <v/>
      </c>
      <c r="R376" s="113">
        <v>175</v>
      </c>
      <c r="S376" s="28">
        <f>IF(ISERROR(P376/C376*R376),0,(P376/C376*R376))</f>
        <v>0</v>
      </c>
      <c r="T376" s="60">
        <f>IF(ISERROR(P376/B376*AF376),0,(P376/B376*AF376))</f>
        <v>0</v>
      </c>
      <c r="V376" s="113">
        <f>4*750+5*30</f>
        <v>3150</v>
      </c>
      <c r="W376" s="113">
        <f>2*750</f>
        <v>1500</v>
      </c>
      <c r="X376" s="113">
        <v>0</v>
      </c>
      <c r="Y376" s="113">
        <v>0</v>
      </c>
      <c r="AA376" s="113">
        <f>4*750+5*30</f>
        <v>3150</v>
      </c>
      <c r="AB376" s="113">
        <f>2*750</f>
        <v>1500</v>
      </c>
      <c r="AC376" s="113">
        <v>0</v>
      </c>
      <c r="AD376" s="113">
        <v>0</v>
      </c>
      <c r="AF376" s="162">
        <f>17669.15/12</f>
        <v>1472.4291666666668</v>
      </c>
      <c r="AG376" s="28">
        <f>G376-O376</f>
        <v>0</v>
      </c>
      <c r="AH376" s="58">
        <f>IF(ISERROR(AG376/B376*AF376),0,(AG376/B376*AF376))</f>
        <v>0</v>
      </c>
      <c r="AI376" s="28">
        <f>SUM(H376:M376)</f>
        <v>0</v>
      </c>
      <c r="AJ376" s="28">
        <f>IF(ISERROR(AI376/B376*AF376),0,(AI376/B376*AF376))</f>
        <v>0</v>
      </c>
      <c r="AK376" s="58">
        <f>IF(ISERROR(O376/B376*AF376),0,(O376/B376*AF376))</f>
        <v>9129.0608333333348</v>
      </c>
      <c r="AL376" s="28">
        <f>IF(ISERROR(H376/B376*AF376),0,(H376/B376*AF376))</f>
        <v>0</v>
      </c>
      <c r="AN376" s="51" t="str">
        <f>A376</f>
        <v>100 Pipers</v>
      </c>
      <c r="AO376" s="57">
        <f>IF(ISERROR(IF(B376=C376,D376/C376,(INT(D376/B376)+(((D376-B376*INT(D376/B376)))/C376)/100))),0,(IF(B376=C376,D376/C376,(INT(D376/B376)+(((D376-B376*INT(D376/B376)))/C376)/100))))</f>
        <v>6.05</v>
      </c>
      <c r="AP376" s="57">
        <f>IF(ISERROR(IF(B376=C376,E376/C376,(INT(E376/B376)+(((E376-B376*INT(E376/B376)))/C376)/100))),0,(IF(B376=C376,E376/C376,(INT(E376/B376)+(((E376-B376*INT(E376/B376)))/C376)/100))))</f>
        <v>0</v>
      </c>
      <c r="AQ376" s="57">
        <f>IF(ISERROR(IF(B376=C376,F376/C376,IF((INT(F376/B376)+(((F376-B376*INT(F376/B376)))/C376)/100)&lt;0,(INT(F376/B376)+(((F376-B376*INT(F376/B376)))/C376)/100)+(1-(B376/C376/100)),(INT(F376/B376)+(((F376-B376*INT(F376/B376)))/C376)/100)))),0,IF(B376=C376,F376/C376,IF((INT(F376/B376)+(((F376-B376*INT(F376/B376)))/C376)/100)&lt;0,(INT(F376/B376)+(((F376-B376*INT(F376/B376)))/C376)/100)+(1-(B376/C376/100)),(INT(F376/B376)+(((F376-B376*INT(F376/B376)))/C376)/100))))</f>
        <v>0</v>
      </c>
      <c r="AR376" s="57">
        <f>IF(ISERROR(IF(B376=C376,G376/C376,(INT(G376/B376)+(((G376-B376*INT(G376/B376)))/C376)/100))),0,(IF(B376=C376,G376/C376,(INT(G376/B376)+(((G376-B376*INT(G376/B376)))/C376)/100))))</f>
        <v>6.05</v>
      </c>
      <c r="AS376" s="57">
        <f>IF(ISERROR(IF(B376=C376,H376/C376,(INT(H376/B376)+(((H376-B376*INT(H376/B376)))/C376)/100))),0,(IF(B376=C376,H376/C376,(INT(H376/B376)+(((H376-B376*INT(H376/B376)))/C376)/100))))</f>
        <v>0</v>
      </c>
      <c r="AT376" s="57">
        <f>IF(ISERROR(IF(B376=C376,I376/C376,(INT(I376/B376)+(((I376-B376*INT(I376/B376)))/C376)/100))),0,(IF(B376=C376,I376/C376,(INT(I376/B376)+(((I376-B376*INT(I376/B376)))/C376)/100))))</f>
        <v>0</v>
      </c>
      <c r="AU376" s="57">
        <f>IF(ISERROR(IF(B376=C376,J376/C376,(INT(J376/B376)+(((J376-B376*INT(J376/B376)))/C376)/100))),0,(IF(B376=C376,J376/C376,(INT(J376/B376)+(((J376-B376*INT(J376/B376)))/C376)/100))))</f>
        <v>0</v>
      </c>
      <c r="AV376" s="57">
        <f>IF(ISERROR(IF(B376=C376,K376/C376,IF((INT(K376/B376)+(((K376-B376*INT(K376/B376)))/C376)/100)&lt;0,(INT(K376/B376)+(((K376-B376*INT(K376/B376)))/C376)/100)+(1-(B376/C376/100)),(INT(K376/B376)+(((K376-B376*INT(K376/B376)))/C376)/100)))),0,IF(B376=C376,K376/C376,IF((INT(K376/B376)+(((K376-B376*INT(K376/B376)))/C376)/100)&lt;0,(INT(K376/B376)+(((K376-B376*INT(K376/B376)))/C376)/100)+(1-(B376/C376/100)),(INT(K376/B376)+(((K376-B376*INT(K376/B376)))/C376)/100))))</f>
        <v>0</v>
      </c>
      <c r="AW376" s="57">
        <f>IF(ISERROR(IF(B376=C376,L376/C376,(INT(L376/B376)+(((L376-B376*INT(L376/B376)))/C376)/100))),0,(IF(B376=C376,L376/C376,(INT(L376/B376)+(((L376-B376*INT(L376/B376)))/C376)/100))))</f>
        <v>0</v>
      </c>
      <c r="AX376" s="57">
        <f>IF(ISERROR(IF(B376=C376,M376/C376,(INT(M376/B376)+(((M376-B376*INT(M376/B376)))/C376)/100))),0,(IF(B376=C376,M376/C376,(INT(M376/B376)+(((M376-B376*INT(M376/B376)))/C376)/100))))</f>
        <v>0</v>
      </c>
      <c r="AY376" s="57">
        <f>IF(ISERROR(IF(B376=C376,N376/C376,IF((INT(N376/B376)+(((N376-B376*INT(N376/B376)))/C376)/100)&lt;0,(INT(N376/B376)+(((N376-B376*INT(N376/B376)))/C376)/100)+(1-(B376/C376/100)),(INT(N376/B376)+(((N376-B376*INT(N376/B376)))/C376)/100)))),0,IF(B376=C376,N376/C376,IF((INT(N376/B376)+(((N376-B376*INT(N376/B376)))/C376)/100)&lt;0,(INT(N376/B376)+(((N376-B376*INT(N376/B376)))/C376)/100)+(1-(B376/C376/100)),(INT(N376/B376)+(((N376-B376*INT(N376/B376)))/C376)/100))))</f>
        <v>6.05</v>
      </c>
      <c r="AZ376" s="57">
        <f>IF(ISERROR(IF(B376=C376,O376/C376,(INT(O376/B376)+(((O376-B376*INT(O376/B376)))/C376)/100))),0,(IF(B376=C376,O376/C376,(INT(O376/B376)+(((O376-B376*INT(O376/B376)))/C376)/100))))</f>
        <v>6.05</v>
      </c>
      <c r="BA376" s="57">
        <f>IF(ISERROR(IF(B376=C376,P376/C376,IF((INT(P376/B376)+(((P376-B376*INT(P376/B376)))/C376)/100)&lt;0,(INT(P376/B376)+(((P376-B376*INT(P376/B376)))/C376)/100)+(1-(B376/C376/100)),(INT(P376/B376)+(((P376-B376*INT(P376/B376)))/C376)/100)))),0,IF(B376=C376,P376/C376,IF((INT(P376/B376)+(((P376-B376*INT(P376/B376)))/C376)/100)&lt;0,(INT(P376/B376)+(((P376-B376*INT(P376/B376)))/C376)/100)+(1-(B376/C376/100)),(INT(P376/B376)+(((P376-B376*INT(P376/B376)))/C376)/100))))</f>
        <v>0</v>
      </c>
      <c r="BB376" s="28">
        <f>R376</f>
        <v>175</v>
      </c>
      <c r="BC376" s="28">
        <f>S376</f>
        <v>0</v>
      </c>
      <c r="BD376" s="28">
        <f>AF376</f>
        <v>1472.4291666666668</v>
      </c>
      <c r="BE376" s="28">
        <f>T376</f>
        <v>0</v>
      </c>
      <c r="BG376" s="57">
        <f>IF(ISERROR(IF(B376=C376,V376/C376,(INT(V376/B376)+(((V376-B376*INT(V376/B376)))/C376)/100))),0,(IF(B376=C376,V376/C376,(INT(V376/B376)+(((V376-B376*INT(V376/B376)))/C376)/100))))</f>
        <v>4.05</v>
      </c>
      <c r="BH376" s="57">
        <f>IF(ISERROR(IF(B376=C376,W376/C376,(INT(W376/B376)+(((W376-B376*INT(W376/B376)))/C376)/100))),0,(IF(B376=C376,W376/C376,(INT(W376/B376)+(((W376-B376*INT(W376/B376)))/C376)/100))))</f>
        <v>2</v>
      </c>
      <c r="BI376" s="57">
        <f>IF(ISERROR(IF(B376=C376,X376/C376,(INT(X376/B376)+(((X376-B376*INT(X376/B376)))/C376)/100))),0,(IF(B376=C376,X376/C376,(INT(X376/B376)+(((X376-B376*INT(X376/B376)))/C376)/100))))</f>
        <v>0</v>
      </c>
      <c r="BJ376" s="57">
        <f>IF(ISERROR(IF(B376=C376,Y376/C376,(INT(Y376/B376)+(((Y376-B376*INT(Y376/B376)))/C376)/100))),0,(IF(B376=C376,Y376/C376,(INT(Y376/B376)+(((Y376-B376*INT(Y376/B376)))/C376)/100))))</f>
        <v>0</v>
      </c>
      <c r="BL376" s="57">
        <f>IF(ISERROR(IF(B376=C376,AA376/C376,(INT(AA376/B376)+(((AA376-B376*INT(AA376/B376)))/C376)/100))),0,(IF(B376=C376,AA376/C376,(INT(AA376/B376)+(((AA376-B376*INT(AA376/B376)))/C376)/100))))</f>
        <v>4.05</v>
      </c>
      <c r="BM376" s="57">
        <f>IF(ISERROR(IF(B376=C376,AB376/C376,(INT(AB376/B376)+(((AB376-B376*INT(AB376/B376)))/C376)/100))),0,(IF(B376=C376,AB376/C376,(INT(AB376/B376)+(((AB376-B376*INT(AB376/B376)))/C376)/100))))</f>
        <v>2</v>
      </c>
      <c r="BN376" s="57">
        <f>IF(ISERROR(IF(B376=C376,AC376/C376,(INT(AC376/B376)+(((AC376-B376*INT(AC376/B376)))/C376)/100))),0,(IF(B376=C376,AC376/C376,(INT(AC376/B376)+(((AC376-B376*INT(AC376/B376)))/C376)/100))))</f>
        <v>0</v>
      </c>
      <c r="BO376" s="57">
        <f>IF(ISERROR(IF(B376=C376,AD376/C376,(INT(AD376/B376)+(((AD376-B376*INT(AD376/B376)))/C376)/100))),0,(IF(B376=C376,AD376/C376,(INT(AD376/B376)+(((AD376-B376*INT(AD376/B376)))/C376)/100))))</f>
        <v>0</v>
      </c>
      <c r="BQ376" s="155" t="s">
        <v>215</v>
      </c>
    </row>
    <row r="377" spans="1:69" x14ac:dyDescent="0.35">
      <c r="A377" s="165" t="s">
        <v>253</v>
      </c>
      <c r="B377" s="113">
        <v>750</v>
      </c>
      <c r="C377" s="113">
        <v>30</v>
      </c>
      <c r="D377" s="28">
        <f>SUM(AA377:AD377)</f>
        <v>0</v>
      </c>
      <c r="E377" s="113">
        <v>0</v>
      </c>
      <c r="F377" s="113">
        <v>0</v>
      </c>
      <c r="G377" s="28">
        <f>SUM(D377:F377)</f>
        <v>0</v>
      </c>
      <c r="H377" s="164">
        <v>0</v>
      </c>
      <c r="I377" s="113">
        <v>0</v>
      </c>
      <c r="J377" s="125">
        <v>0</v>
      </c>
      <c r="K377" s="113">
        <v>0</v>
      </c>
      <c r="L377" s="113">
        <v>0</v>
      </c>
      <c r="M377" s="113">
        <v>0</v>
      </c>
      <c r="N377" s="28">
        <f>G377-SUM(H377:M377)</f>
        <v>0</v>
      </c>
      <c r="O377" s="28">
        <f>SUM(V377:Y377)</f>
        <v>0</v>
      </c>
      <c r="P377" s="28">
        <f>O377-N377</f>
        <v>0</v>
      </c>
      <c r="Q377" s="61" t="str">
        <f>IF(ISERROR(P377/SUM(H377:L377)),"",P377/SUM(H377:L377))</f>
        <v/>
      </c>
      <c r="R377" s="113">
        <v>195</v>
      </c>
      <c r="S377" s="28">
        <f>IF(ISERROR(P377/C377*R377),0,(P377/C377*R377))</f>
        <v>0</v>
      </c>
      <c r="T377" s="60">
        <f>IF(ISERROR(P377/B377*AF377),0,(P377/B377*AF377))</f>
        <v>0</v>
      </c>
      <c r="V377" s="113">
        <v>0</v>
      </c>
      <c r="W377" s="113">
        <v>0</v>
      </c>
      <c r="X377" s="113">
        <v>0</v>
      </c>
      <c r="Y377" s="113">
        <v>0</v>
      </c>
      <c r="AA377" s="113">
        <v>0</v>
      </c>
      <c r="AB377" s="113">
        <v>0</v>
      </c>
      <c r="AC377" s="113">
        <v>0</v>
      </c>
      <c r="AD377" s="113">
        <v>0</v>
      </c>
      <c r="AF377" s="167">
        <v>2318.1791666666668</v>
      </c>
      <c r="AG377" s="28">
        <f>G377-O377</f>
        <v>0</v>
      </c>
      <c r="AH377" s="58">
        <f>IF(ISERROR(AG377/B377*AF377),0,(AG377/B377*AF377))</f>
        <v>0</v>
      </c>
      <c r="AI377" s="28">
        <f>SUM(H377:M377)</f>
        <v>0</v>
      </c>
      <c r="AJ377" s="28">
        <f>IF(ISERROR(AI377/B377*AF377),0,(AI377/B377*AF377))</f>
        <v>0</v>
      </c>
      <c r="AK377" s="58">
        <f>IF(ISERROR(O377/B377*AF377),0,(O377/B377*AF377))</f>
        <v>0</v>
      </c>
      <c r="AL377" s="28">
        <f>IF(ISERROR(H377/B377*AF377),0,(H377/B377*AF377))</f>
        <v>0</v>
      </c>
      <c r="AN377" s="51" t="str">
        <f>A377</f>
        <v xml:space="preserve">Absolut Kurant </v>
      </c>
      <c r="AO377" s="57">
        <f>IF(ISERROR(IF(B377=C377,D377/C377,(INT(D377/B377)+(((D377-B377*INT(D377/B377)))/C377)/100))),0,(IF(B377=C377,D377/C377,(INT(D377/B377)+(((D377-B377*INT(D377/B377)))/C377)/100))))</f>
        <v>0</v>
      </c>
      <c r="AP377" s="57">
        <f>IF(ISERROR(IF(B377=C377,E377/C377,(INT(E377/B377)+(((E377-B377*INT(E377/B377)))/C377)/100))),0,(IF(B377=C377,E377/C377,(INT(E377/B377)+(((E377-B377*INT(E377/B377)))/C377)/100))))</f>
        <v>0</v>
      </c>
      <c r="AQ377" s="57">
        <f>IF(ISERROR(IF(B377=C377,F377/C377,IF((INT(F377/B377)+(((F377-B377*INT(F377/B377)))/C377)/100)&lt;0,(INT(F377/B377)+(((F377-B377*INT(F377/B377)))/C377)/100)+(1-(B377/C377/100)),(INT(F377/B377)+(((F377-B377*INT(F377/B377)))/C377)/100)))),0,IF(B377=C377,F377/C377,IF((INT(F377/B377)+(((F377-B377*INT(F377/B377)))/C377)/100)&lt;0,(INT(F377/B377)+(((F377-B377*INT(F377/B377)))/C377)/100)+(1-(B377/C377/100)),(INT(F377/B377)+(((F377-B377*INT(F377/B377)))/C377)/100))))</f>
        <v>0</v>
      </c>
      <c r="AR377" s="57">
        <f>IF(ISERROR(IF(B377=C377,G377/C377,(INT(G377/B377)+(((G377-B377*INT(G377/B377)))/C377)/100))),0,(IF(B377=C377,G377/C377,(INT(G377/B377)+(((G377-B377*INT(G377/B377)))/C377)/100))))</f>
        <v>0</v>
      </c>
      <c r="AS377" s="57">
        <f>IF(ISERROR(IF(B377=C377,H377/C377,(INT(H377/B377)+(((H377-B377*INT(H377/B377)))/C377)/100))),0,(IF(B377=C377,H377/C377,(INT(H377/B377)+(((H377-B377*INT(H377/B377)))/C377)/100))))</f>
        <v>0</v>
      </c>
      <c r="AT377" s="57">
        <f>IF(ISERROR(IF(B377=C377,I377/C377,(INT(I377/B377)+(((I377-B377*INT(I377/B377)))/C377)/100))),0,(IF(B377=C377,I377/C377,(INT(I377/B377)+(((I377-B377*INT(I377/B377)))/C377)/100))))</f>
        <v>0</v>
      </c>
      <c r="AU377" s="57">
        <f>IF(ISERROR(IF(B377=C377,J377/C377,(INT(J377/B377)+(((J377-B377*INT(J377/B377)))/C377)/100))),0,(IF(B377=C377,J377/C377,(INT(J377/B377)+(((J377-B377*INT(J377/B377)))/C377)/100))))</f>
        <v>0</v>
      </c>
      <c r="AV377" s="57">
        <f>IF(ISERROR(IF(B377=C377,K377/C377,IF((INT(K377/B377)+(((K377-B377*INT(K377/B377)))/C377)/100)&lt;0,(INT(K377/B377)+(((K377-B377*INT(K377/B377)))/C377)/100)+(1-(B377/C377/100)),(INT(K377/B377)+(((K377-B377*INT(K377/B377)))/C377)/100)))),0,IF(B377=C377,K377/C377,IF((INT(K377/B377)+(((K377-B377*INT(K377/B377)))/C377)/100)&lt;0,(INT(K377/B377)+(((K377-B377*INT(K377/B377)))/C377)/100)+(1-(B377/C377/100)),(INT(K377/B377)+(((K377-B377*INT(K377/B377)))/C377)/100))))</f>
        <v>0</v>
      </c>
      <c r="AW377" s="57">
        <f>IF(ISERROR(IF(B377=C377,L377/C377,(INT(L377/B377)+(((L377-B377*INT(L377/B377)))/C377)/100))),0,(IF(B377=C377,L377/C377,(INT(L377/B377)+(((L377-B377*INT(L377/B377)))/C377)/100))))</f>
        <v>0</v>
      </c>
      <c r="AX377" s="57">
        <f>IF(ISERROR(IF(B377=C377,M377/C377,(INT(M377/B377)+(((M377-B377*INT(M377/B377)))/C377)/100))),0,(IF(B377=C377,M377/C377,(INT(M377/B377)+(((M377-B377*INT(M377/B377)))/C377)/100))))</f>
        <v>0</v>
      </c>
      <c r="AY377" s="57">
        <f>IF(ISERROR(IF(B377=C377,N377/C377,IF((INT(N377/B377)+(((N377-B377*INT(N377/B377)))/C377)/100)&lt;0,(INT(N377/B377)+(((N377-B377*INT(N377/B377)))/C377)/100)+(1-(B377/C377/100)),(INT(N377/B377)+(((N377-B377*INT(N377/B377)))/C377)/100)))),0,IF(B377=C377,N377/C377,IF((INT(N377/B377)+(((N377-B377*INT(N377/B377)))/C377)/100)&lt;0,(INT(N377/B377)+(((N377-B377*INT(N377/B377)))/C377)/100)+(1-(B377/C377/100)),(INT(N377/B377)+(((N377-B377*INT(N377/B377)))/C377)/100))))</f>
        <v>0</v>
      </c>
      <c r="AZ377" s="57">
        <f>IF(ISERROR(IF(B377=C377,O377/C377,(INT(O377/B377)+(((O377-B377*INT(O377/B377)))/C377)/100))),0,(IF(B377=C377,O377/C377,(INT(O377/B377)+(((O377-B377*INT(O377/B377)))/C377)/100))))</f>
        <v>0</v>
      </c>
      <c r="BA377" s="57">
        <f>IF(ISERROR(IF(B377=C377,P377/C377,IF((INT(P377/B377)+(((P377-B377*INT(P377/B377)))/C377)/100)&lt;0,(INT(P377/B377)+(((P377-B377*INT(P377/B377)))/C377)/100)+(1-(B377/C377/100)),(INT(P377/B377)+(((P377-B377*INT(P377/B377)))/C377)/100)))),0,IF(B377=C377,P377/C377,IF((INT(P377/B377)+(((P377-B377*INT(P377/B377)))/C377)/100)&lt;0,(INT(P377/B377)+(((P377-B377*INT(P377/B377)))/C377)/100)+(1-(B377/C377/100)),(INT(P377/B377)+(((P377-B377*INT(P377/B377)))/C377)/100))))</f>
        <v>0</v>
      </c>
      <c r="BB377" s="28">
        <f>R377</f>
        <v>195</v>
      </c>
      <c r="BC377" s="28">
        <f>S377</f>
        <v>0</v>
      </c>
      <c r="BD377" s="28">
        <f>AF377</f>
        <v>2318.1791666666668</v>
      </c>
      <c r="BE377" s="28">
        <f>T377</f>
        <v>0</v>
      </c>
      <c r="BG377" s="57">
        <f>IF(ISERROR(IF(B377=C377,V377/C377,(INT(V377/B377)+(((V377-B377*INT(V377/B377)))/C377)/100))),0,(IF(B377=C377,V377/C377,(INT(V377/B377)+(((V377-B377*INT(V377/B377)))/C377)/100))))</f>
        <v>0</v>
      </c>
      <c r="BH377" s="57">
        <f>IF(ISERROR(IF(B377=C377,W377/C377,(INT(W377/B377)+(((W377-B377*INT(W377/B377)))/C377)/100))),0,(IF(B377=C377,W377/C377,(INT(W377/B377)+(((W377-B377*INT(W377/B377)))/C377)/100))))</f>
        <v>0</v>
      </c>
      <c r="BI377" s="57">
        <f>IF(ISERROR(IF(B377=C377,X377/C377,(INT(X377/B377)+(((X377-B377*INT(X377/B377)))/C377)/100))),0,(IF(B377=C377,X377/C377,(INT(X377/B377)+(((X377-B377*INT(X377/B377)))/C377)/100))))</f>
        <v>0</v>
      </c>
      <c r="BJ377" s="57">
        <f>IF(ISERROR(IF(B377=C377,Y377/C377,(INT(Y377/B377)+(((Y377-B377*INT(Y377/B377)))/C377)/100))),0,(IF(B377=C377,Y377/C377,(INT(Y377/B377)+(((Y377-B377*INT(Y377/B377)))/C377)/100))))</f>
        <v>0</v>
      </c>
      <c r="BL377" s="57">
        <f>IF(ISERROR(IF(B377=C377,AA377/C377,(INT(AA377/B377)+(((AA377-B377*INT(AA377/B377)))/C377)/100))),0,(IF(B377=C377,AA377/C377,(INT(AA377/B377)+(((AA377-B377*INT(AA377/B377)))/C377)/100))))</f>
        <v>0</v>
      </c>
      <c r="BM377" s="57">
        <f>IF(ISERROR(IF(B377=C377,AB377/C377,(INT(AB377/B377)+(((AB377-B377*INT(AB377/B377)))/C377)/100))),0,(IF(B377=C377,AB377/C377,(INT(AB377/B377)+(((AB377-B377*INT(AB377/B377)))/C377)/100))))</f>
        <v>0</v>
      </c>
      <c r="BN377" s="57">
        <f>IF(ISERROR(IF(B377=C377,AC377/C377,(INT(AC377/B377)+(((AC377-B377*INT(AC377/B377)))/C377)/100))),0,(IF(B377=C377,AC377/C377,(INT(AC377/B377)+(((AC377-B377*INT(AC377/B377)))/C377)/100))))</f>
        <v>0</v>
      </c>
      <c r="BO377" s="57">
        <f>IF(ISERROR(IF(B377=C377,AD377/C377,(INT(AD377/B377)+(((AD377-B377*INT(AD377/B377)))/C377)/100))),0,(IF(B377=C377,AD377/C377,(INT(AD377/B377)+(((AD377-B377*INT(AD377/B377)))/C377)/100))))</f>
        <v>0</v>
      </c>
      <c r="BQ377" s="155" t="s">
        <v>205</v>
      </c>
    </row>
    <row r="378" spans="1:69" x14ac:dyDescent="0.35">
      <c r="A378" s="165" t="s">
        <v>252</v>
      </c>
      <c r="B378" s="113">
        <v>750</v>
      </c>
      <c r="C378" s="113">
        <v>30</v>
      </c>
      <c r="D378" s="28">
        <f>SUM(AA378:AD378)</f>
        <v>0</v>
      </c>
      <c r="E378" s="113">
        <v>0</v>
      </c>
      <c r="F378" s="113">
        <v>0</v>
      </c>
      <c r="G378" s="28">
        <f>SUM(D378:F378)</f>
        <v>0</v>
      </c>
      <c r="H378" s="164">
        <v>0</v>
      </c>
      <c r="I378" s="113">
        <v>0</v>
      </c>
      <c r="J378" s="125">
        <v>0</v>
      </c>
      <c r="K378" s="113">
        <v>0</v>
      </c>
      <c r="L378" s="113">
        <v>0</v>
      </c>
      <c r="M378" s="113">
        <v>0</v>
      </c>
      <c r="N378" s="28">
        <f>G378-SUM(H378:M378)</f>
        <v>0</v>
      </c>
      <c r="O378" s="28">
        <f>SUM(V378:Y378)</f>
        <v>0</v>
      </c>
      <c r="P378" s="28">
        <f>O378-N378</f>
        <v>0</v>
      </c>
      <c r="Q378" s="61" t="str">
        <f>IF(ISERROR(P378/SUM(H378:L378)),"",P378/SUM(H378:L378))</f>
        <v/>
      </c>
      <c r="R378" s="113">
        <v>195</v>
      </c>
      <c r="S378" s="28">
        <f>IF(ISERROR(P378/C378*R378),0,(P378/C378*R378))</f>
        <v>0</v>
      </c>
      <c r="T378" s="60">
        <f>IF(ISERROR(P378/B378*AF378),0,(P378/B378*AF378))</f>
        <v>0</v>
      </c>
      <c r="V378" s="113">
        <v>0</v>
      </c>
      <c r="W378" s="113">
        <v>0</v>
      </c>
      <c r="X378" s="113">
        <v>0</v>
      </c>
      <c r="Y378" s="113">
        <v>0</v>
      </c>
      <c r="AA378" s="113">
        <v>0</v>
      </c>
      <c r="AB378" s="113">
        <v>0</v>
      </c>
      <c r="AC378" s="113">
        <v>0</v>
      </c>
      <c r="AD378" s="113">
        <v>0</v>
      </c>
      <c r="AF378" s="155">
        <v>2318.1791666666668</v>
      </c>
      <c r="AG378" s="28">
        <f>G378-O378</f>
        <v>0</v>
      </c>
      <c r="AH378" s="58">
        <f>IF(ISERROR(AG378/B378*AF378),0,(AG378/B378*AF378))</f>
        <v>0</v>
      </c>
      <c r="AI378" s="28">
        <f>SUM(H378:M378)</f>
        <v>0</v>
      </c>
      <c r="AJ378" s="28">
        <f>IF(ISERROR(AI378/B378*AF378),0,(AI378/B378*AF378))</f>
        <v>0</v>
      </c>
      <c r="AK378" s="58">
        <f>IF(ISERROR(O378/B378*AF378),0,(O378/B378*AF378))</f>
        <v>0</v>
      </c>
      <c r="AL378" s="28">
        <f>IF(ISERROR(H378/B378*AF378),0,(H378/B378*AF378))</f>
        <v>0</v>
      </c>
      <c r="AN378" s="51" t="str">
        <f>A378</f>
        <v xml:space="preserve">Absolut Peppar </v>
      </c>
      <c r="AO378" s="57">
        <f>IF(ISERROR(IF(B378=C378,D378/C378,(INT(D378/B378)+(((D378-B378*INT(D378/B378)))/C378)/100))),0,(IF(B378=C378,D378/C378,(INT(D378/B378)+(((D378-B378*INT(D378/B378)))/C378)/100))))</f>
        <v>0</v>
      </c>
      <c r="AP378" s="57">
        <f>IF(ISERROR(IF(B378=C378,E378/C378,(INT(E378/B378)+(((E378-B378*INT(E378/B378)))/C378)/100))),0,(IF(B378=C378,E378/C378,(INT(E378/B378)+(((E378-B378*INT(E378/B378)))/C378)/100))))</f>
        <v>0</v>
      </c>
      <c r="AQ378" s="57">
        <f>IF(ISERROR(IF(B378=C378,F378/C378,IF((INT(F378/B378)+(((F378-B378*INT(F378/B378)))/C378)/100)&lt;0,(INT(F378/B378)+(((F378-B378*INT(F378/B378)))/C378)/100)+(1-(B378/C378/100)),(INT(F378/B378)+(((F378-B378*INT(F378/B378)))/C378)/100)))),0,IF(B378=C378,F378/C378,IF((INT(F378/B378)+(((F378-B378*INT(F378/B378)))/C378)/100)&lt;0,(INT(F378/B378)+(((F378-B378*INT(F378/B378)))/C378)/100)+(1-(B378/C378/100)),(INT(F378/B378)+(((F378-B378*INT(F378/B378)))/C378)/100))))</f>
        <v>0</v>
      </c>
      <c r="AR378" s="57">
        <f>IF(ISERROR(IF(B378=C378,G378/C378,(INT(G378/B378)+(((G378-B378*INT(G378/B378)))/C378)/100))),0,(IF(B378=C378,G378/C378,(INT(G378/B378)+(((G378-B378*INT(G378/B378)))/C378)/100))))</f>
        <v>0</v>
      </c>
      <c r="AS378" s="57">
        <f>IF(ISERROR(IF(B378=C378,H378/C378,(INT(H378/B378)+(((H378-B378*INT(H378/B378)))/C378)/100))),0,(IF(B378=C378,H378/C378,(INT(H378/B378)+(((H378-B378*INT(H378/B378)))/C378)/100))))</f>
        <v>0</v>
      </c>
      <c r="AT378" s="57">
        <f>IF(ISERROR(IF(B378=C378,I378/C378,(INT(I378/B378)+(((I378-B378*INT(I378/B378)))/C378)/100))),0,(IF(B378=C378,I378/C378,(INT(I378/B378)+(((I378-B378*INT(I378/B378)))/C378)/100))))</f>
        <v>0</v>
      </c>
      <c r="AU378" s="57">
        <f>IF(ISERROR(IF(B378=C378,J378/C378,(INT(J378/B378)+(((J378-B378*INT(J378/B378)))/C378)/100))),0,(IF(B378=C378,J378/C378,(INT(J378/B378)+(((J378-B378*INT(J378/B378)))/C378)/100))))</f>
        <v>0</v>
      </c>
      <c r="AV378" s="57">
        <f>IF(ISERROR(IF(B378=C378,K378/C378,IF((INT(K378/B378)+(((K378-B378*INT(K378/B378)))/C378)/100)&lt;0,(INT(K378/B378)+(((K378-B378*INT(K378/B378)))/C378)/100)+(1-(B378/C378/100)),(INT(K378/B378)+(((K378-B378*INT(K378/B378)))/C378)/100)))),0,IF(B378=C378,K378/C378,IF((INT(K378/B378)+(((K378-B378*INT(K378/B378)))/C378)/100)&lt;0,(INT(K378/B378)+(((K378-B378*INT(K378/B378)))/C378)/100)+(1-(B378/C378/100)),(INT(K378/B378)+(((K378-B378*INT(K378/B378)))/C378)/100))))</f>
        <v>0</v>
      </c>
      <c r="AW378" s="57">
        <f>IF(ISERROR(IF(B378=C378,L378/C378,(INT(L378/B378)+(((L378-B378*INT(L378/B378)))/C378)/100))),0,(IF(B378=C378,L378/C378,(INT(L378/B378)+(((L378-B378*INT(L378/B378)))/C378)/100))))</f>
        <v>0</v>
      </c>
      <c r="AX378" s="57">
        <f>IF(ISERROR(IF(B378=C378,M378/C378,(INT(M378/B378)+(((M378-B378*INT(M378/B378)))/C378)/100))),0,(IF(B378=C378,M378/C378,(INT(M378/B378)+(((M378-B378*INT(M378/B378)))/C378)/100))))</f>
        <v>0</v>
      </c>
      <c r="AY378" s="57">
        <f>IF(ISERROR(IF(B378=C378,N378/C378,IF((INT(N378/B378)+(((N378-B378*INT(N378/B378)))/C378)/100)&lt;0,(INT(N378/B378)+(((N378-B378*INT(N378/B378)))/C378)/100)+(1-(B378/C378/100)),(INT(N378/B378)+(((N378-B378*INT(N378/B378)))/C378)/100)))),0,IF(B378=C378,N378/C378,IF((INT(N378/B378)+(((N378-B378*INT(N378/B378)))/C378)/100)&lt;0,(INT(N378/B378)+(((N378-B378*INT(N378/B378)))/C378)/100)+(1-(B378/C378/100)),(INT(N378/B378)+(((N378-B378*INT(N378/B378)))/C378)/100))))</f>
        <v>0</v>
      </c>
      <c r="AZ378" s="57">
        <f>IF(ISERROR(IF(B378=C378,O378/C378,(INT(O378/B378)+(((O378-B378*INT(O378/B378)))/C378)/100))),0,(IF(B378=C378,O378/C378,(INT(O378/B378)+(((O378-B378*INT(O378/B378)))/C378)/100))))</f>
        <v>0</v>
      </c>
      <c r="BA378" s="57">
        <f>IF(ISERROR(IF(B378=C378,P378/C378,IF((INT(P378/B378)+(((P378-B378*INT(P378/B378)))/C378)/100)&lt;0,(INT(P378/B378)+(((P378-B378*INT(P378/B378)))/C378)/100)+(1-(B378/C378/100)),(INT(P378/B378)+(((P378-B378*INT(P378/B378)))/C378)/100)))),0,IF(B378=C378,P378/C378,IF((INT(P378/B378)+(((P378-B378*INT(P378/B378)))/C378)/100)&lt;0,(INT(P378/B378)+(((P378-B378*INT(P378/B378)))/C378)/100)+(1-(B378/C378/100)),(INT(P378/B378)+(((P378-B378*INT(P378/B378)))/C378)/100))))</f>
        <v>0</v>
      </c>
      <c r="BB378" s="28">
        <f>R378</f>
        <v>195</v>
      </c>
      <c r="BC378" s="28">
        <f>S378</f>
        <v>0</v>
      </c>
      <c r="BD378" s="28">
        <f>AF378</f>
        <v>2318.1791666666668</v>
      </c>
      <c r="BE378" s="28">
        <f>T378</f>
        <v>0</v>
      </c>
      <c r="BG378" s="57">
        <f>IF(ISERROR(IF(B378=C378,V378/C378,(INT(V378/B378)+(((V378-B378*INT(V378/B378)))/C378)/100))),0,(IF(B378=C378,V378/C378,(INT(V378/B378)+(((V378-B378*INT(V378/B378)))/C378)/100))))</f>
        <v>0</v>
      </c>
      <c r="BH378" s="57">
        <f>IF(ISERROR(IF(B378=C378,W378/C378,(INT(W378/B378)+(((W378-B378*INT(W378/B378)))/C378)/100))),0,(IF(B378=C378,W378/C378,(INT(W378/B378)+(((W378-B378*INT(W378/B378)))/C378)/100))))</f>
        <v>0</v>
      </c>
      <c r="BI378" s="57">
        <f>IF(ISERROR(IF(B378=C378,X378/C378,(INT(X378/B378)+(((X378-B378*INT(X378/B378)))/C378)/100))),0,(IF(B378=C378,X378/C378,(INT(X378/B378)+(((X378-B378*INT(X378/B378)))/C378)/100))))</f>
        <v>0</v>
      </c>
      <c r="BJ378" s="57">
        <f>IF(ISERROR(IF(B378=C378,Y378/C378,(INT(Y378/B378)+(((Y378-B378*INT(Y378/B378)))/C378)/100))),0,(IF(B378=C378,Y378/C378,(INT(Y378/B378)+(((Y378-B378*INT(Y378/B378)))/C378)/100))))</f>
        <v>0</v>
      </c>
      <c r="BL378" s="57">
        <f>IF(ISERROR(IF(B378=C378,AA378/C378,(INT(AA378/B378)+(((AA378-B378*INT(AA378/B378)))/C378)/100))),0,(IF(B378=C378,AA378/C378,(INT(AA378/B378)+(((AA378-B378*INT(AA378/B378)))/C378)/100))))</f>
        <v>0</v>
      </c>
      <c r="BM378" s="57">
        <f>IF(ISERROR(IF(B378=C378,AB378/C378,(INT(AB378/B378)+(((AB378-B378*INT(AB378/B378)))/C378)/100))),0,(IF(B378=C378,AB378/C378,(INT(AB378/B378)+(((AB378-B378*INT(AB378/B378)))/C378)/100))))</f>
        <v>0</v>
      </c>
      <c r="BN378" s="57">
        <f>IF(ISERROR(IF(B378=C378,AC378/C378,(INT(AC378/B378)+(((AC378-B378*INT(AC378/B378)))/C378)/100))),0,(IF(B378=C378,AC378/C378,(INT(AC378/B378)+(((AC378-B378*INT(AC378/B378)))/C378)/100))))</f>
        <v>0</v>
      </c>
      <c r="BO378" s="57">
        <f>IF(ISERROR(IF(B378=C378,AD378/C378,(INT(AD378/B378)+(((AD378-B378*INT(AD378/B378)))/C378)/100))),0,(IF(B378=C378,AD378/C378,(INT(AD378/B378)+(((AD378-B378*INT(AD378/B378)))/C378)/100))))</f>
        <v>0</v>
      </c>
      <c r="BQ378" s="155" t="s">
        <v>205</v>
      </c>
    </row>
    <row r="379" spans="1:69" x14ac:dyDescent="0.35">
      <c r="A379" s="165" t="s">
        <v>251</v>
      </c>
      <c r="B379" s="113">
        <v>750</v>
      </c>
      <c r="C379" s="113">
        <v>30</v>
      </c>
      <c r="D379" s="28">
        <f>SUM(AA379:AD379)</f>
        <v>6720</v>
      </c>
      <c r="E379" s="113">
        <v>0</v>
      </c>
      <c r="F379" s="113">
        <v>0</v>
      </c>
      <c r="G379" s="28">
        <f>SUM(D379:F379)</f>
        <v>6720</v>
      </c>
      <c r="H379" s="164">
        <v>0</v>
      </c>
      <c r="I379" s="113">
        <v>0</v>
      </c>
      <c r="J379" s="125">
        <v>0</v>
      </c>
      <c r="K379" s="113">
        <v>0</v>
      </c>
      <c r="L379" s="113">
        <v>0</v>
      </c>
      <c r="M379" s="113">
        <v>0</v>
      </c>
      <c r="N379" s="28">
        <f>G379-SUM(H379:M379)</f>
        <v>6720</v>
      </c>
      <c r="O379" s="28">
        <f>SUM(V379:Y379)</f>
        <v>6720</v>
      </c>
      <c r="P379" s="28">
        <f>O379-N379</f>
        <v>0</v>
      </c>
      <c r="Q379" s="61" t="str">
        <f>IF(ISERROR(P379/SUM(H379:L379)),"",P379/SUM(H379:L379))</f>
        <v/>
      </c>
      <c r="R379" s="113">
        <v>195</v>
      </c>
      <c r="S379" s="28">
        <f>IF(ISERROR(P379/C379*R379),0,(P379/C379*R379))</f>
        <v>0</v>
      </c>
      <c r="T379" s="60">
        <f>IF(ISERROR(P379/B379*AF379),0,(P379/B379*AF379))</f>
        <v>0</v>
      </c>
      <c r="V379" s="113">
        <f>1*750+24*30</f>
        <v>1470</v>
      </c>
      <c r="W379" s="113">
        <f>7*750</f>
        <v>5250</v>
      </c>
      <c r="X379" s="113">
        <v>0</v>
      </c>
      <c r="Y379" s="113">
        <v>0</v>
      </c>
      <c r="AA379" s="113">
        <f>750+24*30</f>
        <v>1470</v>
      </c>
      <c r="AB379" s="113">
        <f>7*750</f>
        <v>5250</v>
      </c>
      <c r="AC379" s="113">
        <v>0</v>
      </c>
      <c r="AD379" s="113">
        <v>0</v>
      </c>
      <c r="AF379" s="162">
        <f>26181.8/12</f>
        <v>2181.8166666666666</v>
      </c>
      <c r="AG379" s="28">
        <f>G379-O379</f>
        <v>0</v>
      </c>
      <c r="AH379" s="58">
        <f>IF(ISERROR(AG379/B379*AF379),0,(AG379/B379*AF379))</f>
        <v>0</v>
      </c>
      <c r="AI379" s="28">
        <f>SUM(H379:M379)</f>
        <v>0</v>
      </c>
      <c r="AJ379" s="28">
        <f>IF(ISERROR(AI379/B379*AF379),0,(AI379/B379*AF379))</f>
        <v>0</v>
      </c>
      <c r="AK379" s="58">
        <f>IF(ISERROR(O379/B379*AF379),0,(O379/B379*AF379))</f>
        <v>19549.077333333335</v>
      </c>
      <c r="AL379" s="28">
        <f>IF(ISERROR(H379/B379*AF379),0,(H379/B379*AF379))</f>
        <v>0</v>
      </c>
      <c r="AN379" s="51" t="str">
        <f>A379</f>
        <v>Absolut vodka</v>
      </c>
      <c r="AO379" s="57">
        <f>IF(ISERROR(IF(B379=C379,D379/C379,(INT(D379/B379)+(((D379-B379*INT(D379/B379)))/C379)/100))),0,(IF(B379=C379,D379/C379,(INT(D379/B379)+(((D379-B379*INT(D379/B379)))/C379)/100))))</f>
        <v>8.24</v>
      </c>
      <c r="AP379" s="57">
        <f>IF(ISERROR(IF(B379=C379,E379/C379,(INT(E379/B379)+(((E379-B379*INT(E379/B379)))/C379)/100))),0,(IF(B379=C379,E379/C379,(INT(E379/B379)+(((E379-B379*INT(E379/B379)))/C379)/100))))</f>
        <v>0</v>
      </c>
      <c r="AQ379" s="57">
        <f>IF(ISERROR(IF(B379=C379,F379/C379,IF((INT(F379/B379)+(((F379-B379*INT(F379/B379)))/C379)/100)&lt;0,(INT(F379/B379)+(((F379-B379*INT(F379/B379)))/C379)/100)+(1-(B379/C379/100)),(INT(F379/B379)+(((F379-B379*INT(F379/B379)))/C379)/100)))),0,IF(B379=C379,F379/C379,IF((INT(F379/B379)+(((F379-B379*INT(F379/B379)))/C379)/100)&lt;0,(INT(F379/B379)+(((F379-B379*INT(F379/B379)))/C379)/100)+(1-(B379/C379/100)),(INT(F379/B379)+(((F379-B379*INT(F379/B379)))/C379)/100))))</f>
        <v>0</v>
      </c>
      <c r="AR379" s="57">
        <f>IF(ISERROR(IF(B379=C379,G379/C379,(INT(G379/B379)+(((G379-B379*INT(G379/B379)))/C379)/100))),0,(IF(B379=C379,G379/C379,(INT(G379/B379)+(((G379-B379*INT(G379/B379)))/C379)/100))))</f>
        <v>8.24</v>
      </c>
      <c r="AS379" s="57">
        <f>IF(ISERROR(IF(B379=C379,H379/C379,(INT(H379/B379)+(((H379-B379*INT(H379/B379)))/C379)/100))),0,(IF(B379=C379,H379/C379,(INT(H379/B379)+(((H379-B379*INT(H379/B379)))/C379)/100))))</f>
        <v>0</v>
      </c>
      <c r="AT379" s="57">
        <f>IF(ISERROR(IF(B379=C379,I379/C379,(INT(I379/B379)+(((I379-B379*INT(I379/B379)))/C379)/100))),0,(IF(B379=C379,I379/C379,(INT(I379/B379)+(((I379-B379*INT(I379/B379)))/C379)/100))))</f>
        <v>0</v>
      </c>
      <c r="AU379" s="57">
        <f>IF(ISERROR(IF(B379=C379,J379/C379,(INT(J379/B379)+(((J379-B379*INT(J379/B379)))/C379)/100))),0,(IF(B379=C379,J379/C379,(INT(J379/B379)+(((J379-B379*INT(J379/B379)))/C379)/100))))</f>
        <v>0</v>
      </c>
      <c r="AV379" s="57">
        <f>IF(ISERROR(IF(B379=C379,K379/C379,IF((INT(K379/B379)+(((K379-B379*INT(K379/B379)))/C379)/100)&lt;0,(INT(K379/B379)+(((K379-B379*INT(K379/B379)))/C379)/100)+(1-(B379/C379/100)),(INT(K379/B379)+(((K379-B379*INT(K379/B379)))/C379)/100)))),0,IF(B379=C379,K379/C379,IF((INT(K379/B379)+(((K379-B379*INT(K379/B379)))/C379)/100)&lt;0,(INT(K379/B379)+(((K379-B379*INT(K379/B379)))/C379)/100)+(1-(B379/C379/100)),(INT(K379/B379)+(((K379-B379*INT(K379/B379)))/C379)/100))))</f>
        <v>0</v>
      </c>
      <c r="AW379" s="57">
        <f>IF(ISERROR(IF(B379=C379,L379/C379,(INT(L379/B379)+(((L379-B379*INT(L379/B379)))/C379)/100))),0,(IF(B379=C379,L379/C379,(INT(L379/B379)+(((L379-B379*INT(L379/B379)))/C379)/100))))</f>
        <v>0</v>
      </c>
      <c r="AX379" s="57">
        <f>IF(ISERROR(IF(B379=C379,M379/C379,(INT(M379/B379)+(((M379-B379*INT(M379/B379)))/C379)/100))),0,(IF(B379=C379,M379/C379,(INT(M379/B379)+(((M379-B379*INT(M379/B379)))/C379)/100))))</f>
        <v>0</v>
      </c>
      <c r="AY379" s="57">
        <f>IF(ISERROR(IF(B379=C379,N379/C379,IF((INT(N379/B379)+(((N379-B379*INT(N379/B379)))/C379)/100)&lt;0,(INT(N379/B379)+(((N379-B379*INT(N379/B379)))/C379)/100)+(1-(B379/C379/100)),(INT(N379/B379)+(((N379-B379*INT(N379/B379)))/C379)/100)))),0,IF(B379=C379,N379/C379,IF((INT(N379/B379)+(((N379-B379*INT(N379/B379)))/C379)/100)&lt;0,(INT(N379/B379)+(((N379-B379*INT(N379/B379)))/C379)/100)+(1-(B379/C379/100)),(INT(N379/B379)+(((N379-B379*INT(N379/B379)))/C379)/100))))</f>
        <v>8.24</v>
      </c>
      <c r="AZ379" s="57">
        <f>IF(ISERROR(IF(B379=C379,O379/C379,(INT(O379/B379)+(((O379-B379*INT(O379/B379)))/C379)/100))),0,(IF(B379=C379,O379/C379,(INT(O379/B379)+(((O379-B379*INT(O379/B379)))/C379)/100))))</f>
        <v>8.24</v>
      </c>
      <c r="BA379" s="57">
        <f>IF(ISERROR(IF(B379=C379,P379/C379,IF((INT(P379/B379)+(((P379-B379*INT(P379/B379)))/C379)/100)&lt;0,(INT(P379/B379)+(((P379-B379*INT(P379/B379)))/C379)/100)+(1-(B379/C379/100)),(INT(P379/B379)+(((P379-B379*INT(P379/B379)))/C379)/100)))),0,IF(B379=C379,P379/C379,IF((INT(P379/B379)+(((P379-B379*INT(P379/B379)))/C379)/100)&lt;0,(INT(P379/B379)+(((P379-B379*INT(P379/B379)))/C379)/100)+(1-(B379/C379/100)),(INT(P379/B379)+(((P379-B379*INT(P379/B379)))/C379)/100))))</f>
        <v>0</v>
      </c>
      <c r="BB379" s="28">
        <f>R379</f>
        <v>195</v>
      </c>
      <c r="BC379" s="28">
        <f>S379</f>
        <v>0</v>
      </c>
      <c r="BD379" s="28">
        <f>AF379</f>
        <v>2181.8166666666666</v>
      </c>
      <c r="BE379" s="28">
        <f>T379</f>
        <v>0</v>
      </c>
      <c r="BG379" s="57">
        <f>IF(ISERROR(IF(B379=C379,V379/C379,(INT(V379/B379)+(((V379-B379*INT(V379/B379)))/C379)/100))),0,(IF(B379=C379,V379/C379,(INT(V379/B379)+(((V379-B379*INT(V379/B379)))/C379)/100))))</f>
        <v>1.24</v>
      </c>
      <c r="BH379" s="57">
        <f>IF(ISERROR(IF(B379=C379,W379/C379,(INT(W379/B379)+(((W379-B379*INT(W379/B379)))/C379)/100))),0,(IF(B379=C379,W379/C379,(INT(W379/B379)+(((W379-B379*INT(W379/B379)))/C379)/100))))</f>
        <v>7</v>
      </c>
      <c r="BI379" s="57">
        <f>IF(ISERROR(IF(B379=C379,X379/C379,(INT(X379/B379)+(((X379-B379*INT(X379/B379)))/C379)/100))),0,(IF(B379=C379,X379/C379,(INT(X379/B379)+(((X379-B379*INT(X379/B379)))/C379)/100))))</f>
        <v>0</v>
      </c>
      <c r="BJ379" s="57">
        <f>IF(ISERROR(IF(B379=C379,Y379/C379,(INT(Y379/B379)+(((Y379-B379*INT(Y379/B379)))/C379)/100))),0,(IF(B379=C379,Y379/C379,(INT(Y379/B379)+(((Y379-B379*INT(Y379/B379)))/C379)/100))))</f>
        <v>0</v>
      </c>
      <c r="BL379" s="57">
        <f>IF(ISERROR(IF(B379=C379,AA379/C379,(INT(AA379/B379)+(((AA379-B379*INT(AA379/B379)))/C379)/100))),0,(IF(B379=C379,AA379/C379,(INT(AA379/B379)+(((AA379-B379*INT(AA379/B379)))/C379)/100))))</f>
        <v>1.24</v>
      </c>
      <c r="BM379" s="57">
        <f>IF(ISERROR(IF(B379=C379,AB379/C379,(INT(AB379/B379)+(((AB379-B379*INT(AB379/B379)))/C379)/100))),0,(IF(B379=C379,AB379/C379,(INT(AB379/B379)+(((AB379-B379*INT(AB379/B379)))/C379)/100))))</f>
        <v>7</v>
      </c>
      <c r="BN379" s="57">
        <f>IF(ISERROR(IF(B379=C379,AC379/C379,(INT(AC379/B379)+(((AC379-B379*INT(AC379/B379)))/C379)/100))),0,(IF(B379=C379,AC379/C379,(INT(AC379/B379)+(((AC379-B379*INT(AC379/B379)))/C379)/100))))</f>
        <v>0</v>
      </c>
      <c r="BO379" s="57">
        <f>IF(ISERROR(IF(B379=C379,AD379/C379,(INT(AD379/B379)+(((AD379-B379*INT(AD379/B379)))/C379)/100))),0,(IF(B379=C379,AD379/C379,(INT(AD379/B379)+(((AD379-B379*INT(AD379/B379)))/C379)/100))))</f>
        <v>0</v>
      </c>
      <c r="BQ379" s="155" t="s">
        <v>205</v>
      </c>
    </row>
    <row r="380" spans="1:69" x14ac:dyDescent="0.35">
      <c r="A380" s="160" t="s">
        <v>250</v>
      </c>
      <c r="B380" s="113">
        <v>750</v>
      </c>
      <c r="C380" s="113">
        <v>30</v>
      </c>
      <c r="D380" s="28">
        <f>SUM(AA380:AD380)</f>
        <v>10740</v>
      </c>
      <c r="E380" s="113">
        <v>0</v>
      </c>
      <c r="F380" s="113">
        <v>0</v>
      </c>
      <c r="G380" s="28">
        <f>SUM(D380:F380)</f>
        <v>10740</v>
      </c>
      <c r="H380" s="164">
        <v>180</v>
      </c>
      <c r="I380" s="113">
        <v>0</v>
      </c>
      <c r="J380" s="125">
        <v>0</v>
      </c>
      <c r="K380" s="113">
        <v>60</v>
      </c>
      <c r="L380" s="113">
        <v>0</v>
      </c>
      <c r="M380" s="113">
        <v>0</v>
      </c>
      <c r="N380" s="28">
        <f>G380-SUM(H380:M380)</f>
        <v>10500</v>
      </c>
      <c r="O380" s="28">
        <f>SUM(V380:Y380)</f>
        <v>10500</v>
      </c>
      <c r="P380" s="28">
        <f>O380-N380</f>
        <v>0</v>
      </c>
      <c r="Q380" s="61">
        <f>IF(ISERROR(P380/SUM(H380:L380)),"",P380/SUM(H380:L380))</f>
        <v>0</v>
      </c>
      <c r="R380" s="113">
        <v>135</v>
      </c>
      <c r="S380" s="28">
        <f>IF(ISERROR(P380/C380*R380),0,(P380/C380*R380))</f>
        <v>0</v>
      </c>
      <c r="T380" s="60">
        <f>IF(ISERROR(P380/B380*AF380),0,(P380/B380*AF380))</f>
        <v>0</v>
      </c>
      <c r="V380" s="113">
        <f>2*750</f>
        <v>1500</v>
      </c>
      <c r="W380" s="113">
        <f>12*750</f>
        <v>9000</v>
      </c>
      <c r="X380" s="113">
        <v>0</v>
      </c>
      <c r="Y380" s="113">
        <v>0</v>
      </c>
      <c r="AA380" s="113">
        <f>2*750+8*30</f>
        <v>1740</v>
      </c>
      <c r="AB380" s="113">
        <f>12*750</f>
        <v>9000</v>
      </c>
      <c r="AC380" s="113">
        <v>0</v>
      </c>
      <c r="AD380" s="113">
        <v>0</v>
      </c>
      <c r="AF380" s="163">
        <v>1069.8708333333334</v>
      </c>
      <c r="AG380" s="28">
        <f>G380-O380</f>
        <v>240</v>
      </c>
      <c r="AH380" s="58">
        <f>IF(ISERROR(AG380/B380*AF380),0,(AG380/B380*AF380))</f>
        <v>342.35866666666669</v>
      </c>
      <c r="AI380" s="28">
        <f>SUM(H380:M380)</f>
        <v>240</v>
      </c>
      <c r="AJ380" s="28">
        <f>IF(ISERROR(AI380/B380*AF380),0,(AI380/B380*AF380))</f>
        <v>342.35866666666669</v>
      </c>
      <c r="AK380" s="58">
        <f>IF(ISERROR(O380/B380*AF380),0,(O380/B380*AF380))</f>
        <v>14978.191666666668</v>
      </c>
      <c r="AL380" s="28">
        <f>IF(ISERROR(H380/B380*AF380),0,(H380/B380*AF380))</f>
        <v>256.76900000000001</v>
      </c>
      <c r="AN380" s="51" t="str">
        <f>A380</f>
        <v xml:space="preserve">Antiquity Blue </v>
      </c>
      <c r="AO380" s="57">
        <f>IF(ISERROR(IF(B380=C380,D380/C380,(INT(D380/B380)+(((D380-B380*INT(D380/B380)))/C380)/100))),0,(IF(B380=C380,D380/C380,(INT(D380/B380)+(((D380-B380*INT(D380/B380)))/C380)/100))))</f>
        <v>14.08</v>
      </c>
      <c r="AP380" s="57">
        <f>IF(ISERROR(IF(B380=C380,E380/C380,(INT(E380/B380)+(((E380-B380*INT(E380/B380)))/C380)/100))),0,(IF(B380=C380,E380/C380,(INT(E380/B380)+(((E380-B380*INT(E380/B380)))/C380)/100))))</f>
        <v>0</v>
      </c>
      <c r="AQ380" s="57">
        <f>IF(ISERROR(IF(B380=C380,F380/C380,IF((INT(F380/B380)+(((F380-B380*INT(F380/B380)))/C380)/100)&lt;0,(INT(F380/B380)+(((F380-B380*INT(F380/B380)))/C380)/100)+(1-(B380/C380/100)),(INT(F380/B380)+(((F380-B380*INT(F380/B380)))/C380)/100)))),0,IF(B380=C380,F380/C380,IF((INT(F380/B380)+(((F380-B380*INT(F380/B380)))/C380)/100)&lt;0,(INT(F380/B380)+(((F380-B380*INT(F380/B380)))/C380)/100)+(1-(B380/C380/100)),(INT(F380/B380)+(((F380-B380*INT(F380/B380)))/C380)/100))))</f>
        <v>0</v>
      </c>
      <c r="AR380" s="57">
        <f>IF(ISERROR(IF(B380=C380,G380/C380,(INT(G380/B380)+(((G380-B380*INT(G380/B380)))/C380)/100))),0,(IF(B380=C380,G380/C380,(INT(G380/B380)+(((G380-B380*INT(G380/B380)))/C380)/100))))</f>
        <v>14.08</v>
      </c>
      <c r="AS380" s="57">
        <f>IF(ISERROR(IF(B380=C380,H380/C380,(INT(H380/B380)+(((H380-B380*INT(H380/B380)))/C380)/100))),0,(IF(B380=C380,H380/C380,(INT(H380/B380)+(((H380-B380*INT(H380/B380)))/C380)/100))))</f>
        <v>0.06</v>
      </c>
      <c r="AT380" s="57">
        <f>IF(ISERROR(IF(B380=C380,I380/C380,(INT(I380/B380)+(((I380-B380*INT(I380/B380)))/C380)/100))),0,(IF(B380=C380,I380/C380,(INT(I380/B380)+(((I380-B380*INT(I380/B380)))/C380)/100))))</f>
        <v>0</v>
      </c>
      <c r="AU380" s="57">
        <f>IF(ISERROR(IF(B380=C380,J380/C380,(INT(J380/B380)+(((J380-B380*INT(J380/B380)))/C380)/100))),0,(IF(B380=C380,J380/C380,(INT(J380/B380)+(((J380-B380*INT(J380/B380)))/C380)/100))))</f>
        <v>0</v>
      </c>
      <c r="AV380" s="57">
        <f>IF(ISERROR(IF(B380=C380,K380/C380,IF((INT(K380/B380)+(((K380-B380*INT(K380/B380)))/C380)/100)&lt;0,(INT(K380/B380)+(((K380-B380*INT(K380/B380)))/C380)/100)+(1-(B380/C380/100)),(INT(K380/B380)+(((K380-B380*INT(K380/B380)))/C380)/100)))),0,IF(B380=C380,K380/C380,IF((INT(K380/B380)+(((K380-B380*INT(K380/B380)))/C380)/100)&lt;0,(INT(K380/B380)+(((K380-B380*INT(K380/B380)))/C380)/100)+(1-(B380/C380/100)),(INT(K380/B380)+(((K380-B380*INT(K380/B380)))/C380)/100))))</f>
        <v>0.02</v>
      </c>
      <c r="AW380" s="57">
        <f>IF(ISERROR(IF(B380=C380,L380/C380,(INT(L380/B380)+(((L380-B380*INT(L380/B380)))/C380)/100))),0,(IF(B380=C380,L380/C380,(INT(L380/B380)+(((L380-B380*INT(L380/B380)))/C380)/100))))</f>
        <v>0</v>
      </c>
      <c r="AX380" s="57">
        <f>IF(ISERROR(IF(B380=C380,M380/C380,(INT(M380/B380)+(((M380-B380*INT(M380/B380)))/C380)/100))),0,(IF(B380=C380,M380/C380,(INT(M380/B380)+(((M380-B380*INT(M380/B380)))/C380)/100))))</f>
        <v>0</v>
      </c>
      <c r="AY380" s="57">
        <f>IF(ISERROR(IF(B380=C380,N380/C380,IF((INT(N380/B380)+(((N380-B380*INT(N380/B380)))/C380)/100)&lt;0,(INT(N380/B380)+(((N380-B380*INT(N380/B380)))/C380)/100)+(1-(B380/C380/100)),(INT(N380/B380)+(((N380-B380*INT(N380/B380)))/C380)/100)))),0,IF(B380=C380,N380/C380,IF((INT(N380/B380)+(((N380-B380*INT(N380/B380)))/C380)/100)&lt;0,(INT(N380/B380)+(((N380-B380*INT(N380/B380)))/C380)/100)+(1-(B380/C380/100)),(INT(N380/B380)+(((N380-B380*INT(N380/B380)))/C380)/100))))</f>
        <v>14</v>
      </c>
      <c r="AZ380" s="57">
        <f>IF(ISERROR(IF(B380=C380,O380/C380,(INT(O380/B380)+(((O380-B380*INT(O380/B380)))/C380)/100))),0,(IF(B380=C380,O380/C380,(INT(O380/B380)+(((O380-B380*INT(O380/B380)))/C380)/100))))</f>
        <v>14</v>
      </c>
      <c r="BA380" s="57">
        <f>IF(ISERROR(IF(B380=C380,P380/C380,IF((INT(P380/B380)+(((P380-B380*INT(P380/B380)))/C380)/100)&lt;0,(INT(P380/B380)+(((P380-B380*INT(P380/B380)))/C380)/100)+(1-(B380/C380/100)),(INT(P380/B380)+(((P380-B380*INT(P380/B380)))/C380)/100)))),0,IF(B380=C380,P380/C380,IF((INT(P380/B380)+(((P380-B380*INT(P380/B380)))/C380)/100)&lt;0,(INT(P380/B380)+(((P380-B380*INT(P380/B380)))/C380)/100)+(1-(B380/C380/100)),(INT(P380/B380)+(((P380-B380*INT(P380/B380)))/C380)/100))))</f>
        <v>0</v>
      </c>
      <c r="BB380" s="28">
        <f>R380</f>
        <v>135</v>
      </c>
      <c r="BC380" s="28">
        <f>S380</f>
        <v>0</v>
      </c>
      <c r="BD380" s="28">
        <f>AF380</f>
        <v>1069.8708333333334</v>
      </c>
      <c r="BE380" s="28">
        <f>T380</f>
        <v>0</v>
      </c>
      <c r="BG380" s="57">
        <f>IF(ISERROR(IF(B380=C380,V380/C380,(INT(V380/B380)+(((V380-B380*INT(V380/B380)))/C380)/100))),0,(IF(B380=C380,V380/C380,(INT(V380/B380)+(((V380-B380*INT(V380/B380)))/C380)/100))))</f>
        <v>2</v>
      </c>
      <c r="BH380" s="57">
        <f>IF(ISERROR(IF(B380=C380,W380/C380,(INT(W380/B380)+(((W380-B380*INT(W380/B380)))/C380)/100))),0,(IF(B380=C380,W380/C380,(INT(W380/B380)+(((W380-B380*INT(W380/B380)))/C380)/100))))</f>
        <v>12</v>
      </c>
      <c r="BI380" s="57">
        <f>IF(ISERROR(IF(B380=C380,X380/C380,(INT(X380/B380)+(((X380-B380*INT(X380/B380)))/C380)/100))),0,(IF(B380=C380,X380/C380,(INT(X380/B380)+(((X380-B380*INT(X380/B380)))/C380)/100))))</f>
        <v>0</v>
      </c>
      <c r="BJ380" s="57">
        <f>IF(ISERROR(IF(B380=C380,Y380/C380,(INT(Y380/B380)+(((Y380-B380*INT(Y380/B380)))/C380)/100))),0,(IF(B380=C380,Y380/C380,(INT(Y380/B380)+(((Y380-B380*INT(Y380/B380)))/C380)/100))))</f>
        <v>0</v>
      </c>
      <c r="BL380" s="57">
        <f>IF(ISERROR(IF(B380=C380,AA380/C380,(INT(AA380/B380)+(((AA380-B380*INT(AA380/B380)))/C380)/100))),0,(IF(B380=C380,AA380/C380,(INT(AA380/B380)+(((AA380-B380*INT(AA380/B380)))/C380)/100))))</f>
        <v>2.08</v>
      </c>
      <c r="BM380" s="57">
        <f>IF(ISERROR(IF(B380=C380,AB380/C380,(INT(AB380/B380)+(((AB380-B380*INT(AB380/B380)))/C380)/100))),0,(IF(B380=C380,AB380/C380,(INT(AB380/B380)+(((AB380-B380*INT(AB380/B380)))/C380)/100))))</f>
        <v>12</v>
      </c>
      <c r="BN380" s="57">
        <f>IF(ISERROR(IF(B380=C380,AC380/C380,(INT(AC380/B380)+(((AC380-B380*INT(AC380/B380)))/C380)/100))),0,(IF(B380=C380,AC380/C380,(INT(AC380/B380)+(((AC380-B380*INT(AC380/B380)))/C380)/100))))</f>
        <v>0</v>
      </c>
      <c r="BO380" s="57">
        <f>IF(ISERROR(IF(B380=C380,AD380/C380,(INT(AD380/B380)+(((AD380-B380*INT(AD380/B380)))/C380)/100))),0,(IF(B380=C380,AD380/C380,(INT(AD380/B380)+(((AD380-B380*INT(AD380/B380)))/C380)/100))))</f>
        <v>0</v>
      </c>
      <c r="BQ380" s="155" t="s">
        <v>215</v>
      </c>
    </row>
    <row r="381" spans="1:69" x14ac:dyDescent="0.35">
      <c r="A381" s="160" t="s">
        <v>249</v>
      </c>
      <c r="B381" s="113">
        <v>750</v>
      </c>
      <c r="C381" s="113">
        <v>30</v>
      </c>
      <c r="D381" s="28">
        <f>SUM(AA381:AD381)</f>
        <v>0</v>
      </c>
      <c r="E381" s="113">
        <v>0</v>
      </c>
      <c r="F381" s="113">
        <v>0</v>
      </c>
      <c r="G381" s="28">
        <f>SUM(D381:F381)</f>
        <v>0</v>
      </c>
      <c r="H381" s="164">
        <v>0</v>
      </c>
      <c r="I381" s="113">
        <v>0</v>
      </c>
      <c r="J381" s="125">
        <v>0</v>
      </c>
      <c r="K381" s="113">
        <v>0</v>
      </c>
      <c r="L381" s="113">
        <v>0</v>
      </c>
      <c r="M381" s="113">
        <v>0</v>
      </c>
      <c r="N381" s="28">
        <f>G381-SUM(H381:M381)</f>
        <v>0</v>
      </c>
      <c r="O381" s="28">
        <f>SUM(V381:Y381)</f>
        <v>0</v>
      </c>
      <c r="P381" s="28">
        <f>O381-N381</f>
        <v>0</v>
      </c>
      <c r="Q381" s="61" t="str">
        <f>IF(ISERROR(P381/SUM(H381:L381)),"",P381/SUM(H381:L381))</f>
        <v/>
      </c>
      <c r="R381" s="113">
        <v>135</v>
      </c>
      <c r="S381" s="28">
        <f>IF(ISERROR(P381/C381*R381),0,(P381/C381*R381))</f>
        <v>0</v>
      </c>
      <c r="T381" s="60">
        <f>IF(ISERROR(P381/B381*AF381),0,(P381/B381*AF381))</f>
        <v>0</v>
      </c>
      <c r="V381" s="113">
        <v>0</v>
      </c>
      <c r="W381" s="113">
        <v>0</v>
      </c>
      <c r="X381" s="113">
        <v>0</v>
      </c>
      <c r="Y381" s="113">
        <v>0</v>
      </c>
      <c r="AA381" s="113">
        <v>0</v>
      </c>
      <c r="AB381" s="113">
        <v>0</v>
      </c>
      <c r="AC381" s="113">
        <v>0</v>
      </c>
      <c r="AD381" s="113">
        <v>0</v>
      </c>
      <c r="AF381" s="155">
        <v>954.54583333333323</v>
      </c>
      <c r="AG381" s="28">
        <f>G381-O381</f>
        <v>0</v>
      </c>
      <c r="AH381" s="58">
        <f>IF(ISERROR(AG381/B381*AF381),0,(AG381/B381*AF381))</f>
        <v>0</v>
      </c>
      <c r="AI381" s="28">
        <f>SUM(H381:M381)</f>
        <v>0</v>
      </c>
      <c r="AJ381" s="28">
        <f>IF(ISERROR(AI381/B381*AF381),0,(AI381/B381*AF381))</f>
        <v>0</v>
      </c>
      <c r="AK381" s="58">
        <f>IF(ISERROR(O381/B381*AF381),0,(O381/B381*AF381))</f>
        <v>0</v>
      </c>
      <c r="AL381" s="28">
        <f>IF(ISERROR(H381/B381*AF381),0,(H381/B381*AF381))</f>
        <v>0</v>
      </c>
      <c r="AN381" s="51" t="str">
        <f>A381</f>
        <v xml:space="preserve">Antiquity Rare </v>
      </c>
      <c r="AO381" s="57">
        <f>IF(ISERROR(IF(B381=C381,D381/C381,(INT(D381/B381)+(((D381-B381*INT(D381/B381)))/C381)/100))),0,(IF(B381=C381,D381/C381,(INT(D381/B381)+(((D381-B381*INT(D381/B381)))/C381)/100))))</f>
        <v>0</v>
      </c>
      <c r="AP381" s="57">
        <f>IF(ISERROR(IF(B381=C381,E381/C381,(INT(E381/B381)+(((E381-B381*INT(E381/B381)))/C381)/100))),0,(IF(B381=C381,E381/C381,(INT(E381/B381)+(((E381-B381*INT(E381/B381)))/C381)/100))))</f>
        <v>0</v>
      </c>
      <c r="AQ381" s="57">
        <f>IF(ISERROR(IF(B381=C381,F381/C381,IF((INT(F381/B381)+(((F381-B381*INT(F381/B381)))/C381)/100)&lt;0,(INT(F381/B381)+(((F381-B381*INT(F381/B381)))/C381)/100)+(1-(B381/C381/100)),(INT(F381/B381)+(((F381-B381*INT(F381/B381)))/C381)/100)))),0,IF(B381=C381,F381/C381,IF((INT(F381/B381)+(((F381-B381*INT(F381/B381)))/C381)/100)&lt;0,(INT(F381/B381)+(((F381-B381*INT(F381/B381)))/C381)/100)+(1-(B381/C381/100)),(INT(F381/B381)+(((F381-B381*INT(F381/B381)))/C381)/100))))</f>
        <v>0</v>
      </c>
      <c r="AR381" s="57">
        <f>IF(ISERROR(IF(B381=C381,G381/C381,(INT(G381/B381)+(((G381-B381*INT(G381/B381)))/C381)/100))),0,(IF(B381=C381,G381/C381,(INT(G381/B381)+(((G381-B381*INT(G381/B381)))/C381)/100))))</f>
        <v>0</v>
      </c>
      <c r="AS381" s="57">
        <f>IF(ISERROR(IF(B381=C381,H381/C381,(INT(H381/B381)+(((H381-B381*INT(H381/B381)))/C381)/100))),0,(IF(B381=C381,H381/C381,(INT(H381/B381)+(((H381-B381*INT(H381/B381)))/C381)/100))))</f>
        <v>0</v>
      </c>
      <c r="AT381" s="57">
        <f>IF(ISERROR(IF(B381=C381,I381/C381,(INT(I381/B381)+(((I381-B381*INT(I381/B381)))/C381)/100))),0,(IF(B381=C381,I381/C381,(INT(I381/B381)+(((I381-B381*INT(I381/B381)))/C381)/100))))</f>
        <v>0</v>
      </c>
      <c r="AU381" s="57">
        <f>IF(ISERROR(IF(B381=C381,J381/C381,(INT(J381/B381)+(((J381-B381*INT(J381/B381)))/C381)/100))),0,(IF(B381=C381,J381/C381,(INT(J381/B381)+(((J381-B381*INT(J381/B381)))/C381)/100))))</f>
        <v>0</v>
      </c>
      <c r="AV381" s="57">
        <f>IF(ISERROR(IF(B381=C381,K381/C381,IF((INT(K381/B381)+(((K381-B381*INT(K381/B381)))/C381)/100)&lt;0,(INT(K381/B381)+(((K381-B381*INT(K381/B381)))/C381)/100)+(1-(B381/C381/100)),(INT(K381/B381)+(((K381-B381*INT(K381/B381)))/C381)/100)))),0,IF(B381=C381,K381/C381,IF((INT(K381/B381)+(((K381-B381*INT(K381/B381)))/C381)/100)&lt;0,(INT(K381/B381)+(((K381-B381*INT(K381/B381)))/C381)/100)+(1-(B381/C381/100)),(INT(K381/B381)+(((K381-B381*INT(K381/B381)))/C381)/100))))</f>
        <v>0</v>
      </c>
      <c r="AW381" s="57">
        <f>IF(ISERROR(IF(B381=C381,L381/C381,(INT(L381/B381)+(((L381-B381*INT(L381/B381)))/C381)/100))),0,(IF(B381=C381,L381/C381,(INT(L381/B381)+(((L381-B381*INT(L381/B381)))/C381)/100))))</f>
        <v>0</v>
      </c>
      <c r="AX381" s="57">
        <f>IF(ISERROR(IF(B381=C381,M381/C381,(INT(M381/B381)+(((M381-B381*INT(M381/B381)))/C381)/100))),0,(IF(B381=C381,M381/C381,(INT(M381/B381)+(((M381-B381*INT(M381/B381)))/C381)/100))))</f>
        <v>0</v>
      </c>
      <c r="AY381" s="57">
        <f>IF(ISERROR(IF(B381=C381,N381/C381,IF((INT(N381/B381)+(((N381-B381*INT(N381/B381)))/C381)/100)&lt;0,(INT(N381/B381)+(((N381-B381*INT(N381/B381)))/C381)/100)+(1-(B381/C381/100)),(INT(N381/B381)+(((N381-B381*INT(N381/B381)))/C381)/100)))),0,IF(B381=C381,N381/C381,IF((INT(N381/B381)+(((N381-B381*INT(N381/B381)))/C381)/100)&lt;0,(INT(N381/B381)+(((N381-B381*INT(N381/B381)))/C381)/100)+(1-(B381/C381/100)),(INT(N381/B381)+(((N381-B381*INT(N381/B381)))/C381)/100))))</f>
        <v>0</v>
      </c>
      <c r="AZ381" s="57">
        <f>IF(ISERROR(IF(B381=C381,O381/C381,(INT(O381/B381)+(((O381-B381*INT(O381/B381)))/C381)/100))),0,(IF(B381=C381,O381/C381,(INT(O381/B381)+(((O381-B381*INT(O381/B381)))/C381)/100))))</f>
        <v>0</v>
      </c>
      <c r="BA381" s="57">
        <f>IF(ISERROR(IF(B381=C381,P381/C381,IF((INT(P381/B381)+(((P381-B381*INT(P381/B381)))/C381)/100)&lt;0,(INT(P381/B381)+(((P381-B381*INT(P381/B381)))/C381)/100)+(1-(B381/C381/100)),(INT(P381/B381)+(((P381-B381*INT(P381/B381)))/C381)/100)))),0,IF(B381=C381,P381/C381,IF((INT(P381/B381)+(((P381-B381*INT(P381/B381)))/C381)/100)&lt;0,(INT(P381/B381)+(((P381-B381*INT(P381/B381)))/C381)/100)+(1-(B381/C381/100)),(INT(P381/B381)+(((P381-B381*INT(P381/B381)))/C381)/100))))</f>
        <v>0</v>
      </c>
      <c r="BB381" s="28">
        <f>R381</f>
        <v>135</v>
      </c>
      <c r="BC381" s="28">
        <f>S381</f>
        <v>0</v>
      </c>
      <c r="BD381" s="28">
        <f>AF381</f>
        <v>954.54583333333323</v>
      </c>
      <c r="BE381" s="28">
        <f>T381</f>
        <v>0</v>
      </c>
      <c r="BG381" s="57">
        <f>IF(ISERROR(IF(B381=C381,V381/C381,(INT(V381/B381)+(((V381-B381*INT(V381/B381)))/C381)/100))),0,(IF(B381=C381,V381/C381,(INT(V381/B381)+(((V381-B381*INT(V381/B381)))/C381)/100))))</f>
        <v>0</v>
      </c>
      <c r="BH381" s="57">
        <f>IF(ISERROR(IF(B381=C381,W381/C381,(INT(W381/B381)+(((W381-B381*INT(W381/B381)))/C381)/100))),0,(IF(B381=C381,W381/C381,(INT(W381/B381)+(((W381-B381*INT(W381/B381)))/C381)/100))))</f>
        <v>0</v>
      </c>
      <c r="BI381" s="57">
        <f>IF(ISERROR(IF(B381=C381,X381/C381,(INT(X381/B381)+(((X381-B381*INT(X381/B381)))/C381)/100))),0,(IF(B381=C381,X381/C381,(INT(X381/B381)+(((X381-B381*INT(X381/B381)))/C381)/100))))</f>
        <v>0</v>
      </c>
      <c r="BJ381" s="57">
        <f>IF(ISERROR(IF(B381=C381,Y381/C381,(INT(Y381/B381)+(((Y381-B381*INT(Y381/B381)))/C381)/100))),0,(IF(B381=C381,Y381/C381,(INT(Y381/B381)+(((Y381-B381*INT(Y381/B381)))/C381)/100))))</f>
        <v>0</v>
      </c>
      <c r="BL381" s="57">
        <f>IF(ISERROR(IF(B381=C381,AA381/C381,(INT(AA381/B381)+(((AA381-B381*INT(AA381/B381)))/C381)/100))),0,(IF(B381=C381,AA381/C381,(INT(AA381/B381)+(((AA381-B381*INT(AA381/B381)))/C381)/100))))</f>
        <v>0</v>
      </c>
      <c r="BM381" s="57">
        <f>IF(ISERROR(IF(B381=C381,AB381/C381,(INT(AB381/B381)+(((AB381-B381*INT(AB381/B381)))/C381)/100))),0,(IF(B381=C381,AB381/C381,(INT(AB381/B381)+(((AB381-B381*INT(AB381/B381)))/C381)/100))))</f>
        <v>0</v>
      </c>
      <c r="BN381" s="57">
        <f>IF(ISERROR(IF(B381=C381,AC381/C381,(INT(AC381/B381)+(((AC381-B381*INT(AC381/B381)))/C381)/100))),0,(IF(B381=C381,AC381/C381,(INT(AC381/B381)+(((AC381-B381*INT(AC381/B381)))/C381)/100))))</f>
        <v>0</v>
      </c>
      <c r="BO381" s="57">
        <f>IF(ISERROR(IF(B381=C381,AD381/C381,(INT(AD381/B381)+(((AD381-B381*INT(AD381/B381)))/C381)/100))),0,(IF(B381=C381,AD381/C381,(INT(AD381/B381)+(((AD381-B381*INT(AD381/B381)))/C381)/100))))</f>
        <v>0</v>
      </c>
      <c r="BQ381" s="155" t="s">
        <v>215</v>
      </c>
    </row>
    <row r="382" spans="1:69" x14ac:dyDescent="0.35">
      <c r="A382" s="165" t="s">
        <v>248</v>
      </c>
      <c r="B382" s="113">
        <v>750</v>
      </c>
      <c r="C382" s="113">
        <v>30</v>
      </c>
      <c r="D382" s="28">
        <f>SUM(AA382:AD382)</f>
        <v>900</v>
      </c>
      <c r="E382" s="113">
        <v>0</v>
      </c>
      <c r="F382" s="113">
        <v>0</v>
      </c>
      <c r="G382" s="28">
        <f>SUM(D382:F382)</f>
        <v>900</v>
      </c>
      <c r="H382" s="164">
        <v>0</v>
      </c>
      <c r="I382" s="113">
        <v>0</v>
      </c>
      <c r="J382" s="125">
        <v>0</v>
      </c>
      <c r="K382" s="113">
        <v>0</v>
      </c>
      <c r="L382" s="113">
        <v>0</v>
      </c>
      <c r="M382" s="113">
        <v>0</v>
      </c>
      <c r="N382" s="28">
        <f>G382-SUM(H382:M382)</f>
        <v>900</v>
      </c>
      <c r="O382" s="28">
        <f>SUM(V382:Y382)</f>
        <v>900</v>
      </c>
      <c r="P382" s="28">
        <f>O382-N382</f>
        <v>0</v>
      </c>
      <c r="Q382" s="61" t="str">
        <f>IF(ISERROR(P382/SUM(H382:L382)),"",P382/SUM(H382:L382))</f>
        <v/>
      </c>
      <c r="R382" s="113">
        <v>135</v>
      </c>
      <c r="S382" s="28">
        <f>IF(ISERROR(P382/C382*R382),0,(P382/C382*R382))</f>
        <v>0</v>
      </c>
      <c r="T382" s="60">
        <f>IF(ISERROR(P382/B382*AF382),0,(P382/B382*AF382))</f>
        <v>0</v>
      </c>
      <c r="V382" s="113">
        <f>750+5*30</f>
        <v>900</v>
      </c>
      <c r="W382" s="113">
        <v>0</v>
      </c>
      <c r="X382" s="113">
        <v>0</v>
      </c>
      <c r="Y382" s="113">
        <v>0</v>
      </c>
      <c r="AA382" s="113">
        <f>750+5*30</f>
        <v>900</v>
      </c>
      <c r="AB382" s="113">
        <v>0</v>
      </c>
      <c r="AC382" s="113">
        <v>0</v>
      </c>
      <c r="AD382" s="113">
        <v>0</v>
      </c>
      <c r="AF382" s="155">
        <v>1127.2749999999999</v>
      </c>
      <c r="AG382" s="28">
        <f>G382-O382</f>
        <v>0</v>
      </c>
      <c r="AH382" s="58">
        <f>IF(ISERROR(AG382/B382*AF382),0,(AG382/B382*AF382))</f>
        <v>0</v>
      </c>
      <c r="AI382" s="28">
        <f>SUM(H382:M382)</f>
        <v>0</v>
      </c>
      <c r="AJ382" s="28">
        <f>IF(ISERROR(AI382/B382*AF382),0,(AI382/B382*AF382))</f>
        <v>0</v>
      </c>
      <c r="AK382" s="58">
        <f>IF(ISERROR(O382/B382*AF382),0,(O382/B382*AF382))</f>
        <v>1352.7299999999998</v>
      </c>
      <c r="AL382" s="28">
        <f>IF(ISERROR(H382/B382*AF382),0,(H382/B382*AF382))</f>
        <v>0</v>
      </c>
      <c r="AN382" s="51" t="str">
        <f>A382</f>
        <v xml:space="preserve">Bacardi Apple </v>
      </c>
      <c r="AO382" s="57">
        <f>IF(ISERROR(IF(B382=C382,D382/C382,(INT(D382/B382)+(((D382-B382*INT(D382/B382)))/C382)/100))),0,(IF(B382=C382,D382/C382,(INT(D382/B382)+(((D382-B382*INT(D382/B382)))/C382)/100))))</f>
        <v>1.05</v>
      </c>
      <c r="AP382" s="57">
        <f>IF(ISERROR(IF(B382=C382,E382/C382,(INT(E382/B382)+(((E382-B382*INT(E382/B382)))/C382)/100))),0,(IF(B382=C382,E382/C382,(INT(E382/B382)+(((E382-B382*INT(E382/B382)))/C382)/100))))</f>
        <v>0</v>
      </c>
      <c r="AQ382" s="57">
        <f>IF(ISERROR(IF(B382=C382,F382/C382,IF((INT(F382/B382)+(((F382-B382*INT(F382/B382)))/C382)/100)&lt;0,(INT(F382/B382)+(((F382-B382*INT(F382/B382)))/C382)/100)+(1-(B382/C382/100)),(INT(F382/B382)+(((F382-B382*INT(F382/B382)))/C382)/100)))),0,IF(B382=C382,F382/C382,IF((INT(F382/B382)+(((F382-B382*INT(F382/B382)))/C382)/100)&lt;0,(INT(F382/B382)+(((F382-B382*INT(F382/B382)))/C382)/100)+(1-(B382/C382/100)),(INT(F382/B382)+(((F382-B382*INT(F382/B382)))/C382)/100))))</f>
        <v>0</v>
      </c>
      <c r="AR382" s="57">
        <f>IF(ISERROR(IF(B382=C382,G382/C382,(INT(G382/B382)+(((G382-B382*INT(G382/B382)))/C382)/100))),0,(IF(B382=C382,G382/C382,(INT(G382/B382)+(((G382-B382*INT(G382/B382)))/C382)/100))))</f>
        <v>1.05</v>
      </c>
      <c r="AS382" s="57">
        <f>IF(ISERROR(IF(B382=C382,H382/C382,(INT(H382/B382)+(((H382-B382*INT(H382/B382)))/C382)/100))),0,(IF(B382=C382,H382/C382,(INT(H382/B382)+(((H382-B382*INT(H382/B382)))/C382)/100))))</f>
        <v>0</v>
      </c>
      <c r="AT382" s="57">
        <f>IF(ISERROR(IF(B382=C382,I382/C382,(INT(I382/B382)+(((I382-B382*INT(I382/B382)))/C382)/100))),0,(IF(B382=C382,I382/C382,(INT(I382/B382)+(((I382-B382*INT(I382/B382)))/C382)/100))))</f>
        <v>0</v>
      </c>
      <c r="AU382" s="57">
        <f>IF(ISERROR(IF(B382=C382,J382/C382,(INT(J382/B382)+(((J382-B382*INT(J382/B382)))/C382)/100))),0,(IF(B382=C382,J382/C382,(INT(J382/B382)+(((J382-B382*INT(J382/B382)))/C382)/100))))</f>
        <v>0</v>
      </c>
      <c r="AV382" s="57">
        <f>IF(ISERROR(IF(B382=C382,K382/C382,IF((INT(K382/B382)+(((K382-B382*INT(K382/B382)))/C382)/100)&lt;0,(INT(K382/B382)+(((K382-B382*INT(K382/B382)))/C382)/100)+(1-(B382/C382/100)),(INT(K382/B382)+(((K382-B382*INT(K382/B382)))/C382)/100)))),0,IF(B382=C382,K382/C382,IF((INT(K382/B382)+(((K382-B382*INT(K382/B382)))/C382)/100)&lt;0,(INT(K382/B382)+(((K382-B382*INT(K382/B382)))/C382)/100)+(1-(B382/C382/100)),(INT(K382/B382)+(((K382-B382*INT(K382/B382)))/C382)/100))))</f>
        <v>0</v>
      </c>
      <c r="AW382" s="57">
        <f>IF(ISERROR(IF(B382=C382,L382/C382,(INT(L382/B382)+(((L382-B382*INT(L382/B382)))/C382)/100))),0,(IF(B382=C382,L382/C382,(INT(L382/B382)+(((L382-B382*INT(L382/B382)))/C382)/100))))</f>
        <v>0</v>
      </c>
      <c r="AX382" s="57">
        <f>IF(ISERROR(IF(B382=C382,M382/C382,(INT(M382/B382)+(((M382-B382*INT(M382/B382)))/C382)/100))),0,(IF(B382=C382,M382/C382,(INT(M382/B382)+(((M382-B382*INT(M382/B382)))/C382)/100))))</f>
        <v>0</v>
      </c>
      <c r="AY382" s="57">
        <f>IF(ISERROR(IF(B382=C382,N382/C382,IF((INT(N382/B382)+(((N382-B382*INT(N382/B382)))/C382)/100)&lt;0,(INT(N382/B382)+(((N382-B382*INT(N382/B382)))/C382)/100)+(1-(B382/C382/100)),(INT(N382/B382)+(((N382-B382*INT(N382/B382)))/C382)/100)))),0,IF(B382=C382,N382/C382,IF((INT(N382/B382)+(((N382-B382*INT(N382/B382)))/C382)/100)&lt;0,(INT(N382/B382)+(((N382-B382*INT(N382/B382)))/C382)/100)+(1-(B382/C382/100)),(INT(N382/B382)+(((N382-B382*INT(N382/B382)))/C382)/100))))</f>
        <v>1.05</v>
      </c>
      <c r="AZ382" s="57">
        <f>IF(ISERROR(IF(B382=C382,O382/C382,(INT(O382/B382)+(((O382-B382*INT(O382/B382)))/C382)/100))),0,(IF(B382=C382,O382/C382,(INT(O382/B382)+(((O382-B382*INT(O382/B382)))/C382)/100))))</f>
        <v>1.05</v>
      </c>
      <c r="BA382" s="57">
        <f>IF(ISERROR(IF(B382=C382,P382/C382,IF((INT(P382/B382)+(((P382-B382*INT(P382/B382)))/C382)/100)&lt;0,(INT(P382/B382)+(((P382-B382*INT(P382/B382)))/C382)/100)+(1-(B382/C382/100)),(INT(P382/B382)+(((P382-B382*INT(P382/B382)))/C382)/100)))),0,IF(B382=C382,P382/C382,IF((INT(P382/B382)+(((P382-B382*INT(P382/B382)))/C382)/100)&lt;0,(INT(P382/B382)+(((P382-B382*INT(P382/B382)))/C382)/100)+(1-(B382/C382/100)),(INT(P382/B382)+(((P382-B382*INT(P382/B382)))/C382)/100))))</f>
        <v>0</v>
      </c>
      <c r="BB382" s="28">
        <f>R382</f>
        <v>135</v>
      </c>
      <c r="BC382" s="28">
        <f>S382</f>
        <v>0</v>
      </c>
      <c r="BD382" s="28">
        <f>AF382</f>
        <v>1127.2749999999999</v>
      </c>
      <c r="BE382" s="28">
        <f>T382</f>
        <v>0</v>
      </c>
      <c r="BG382" s="57">
        <f>IF(ISERROR(IF(B382=C382,V382/C382,(INT(V382/B382)+(((V382-B382*INT(V382/B382)))/C382)/100))),0,(IF(B382=C382,V382/C382,(INT(V382/B382)+(((V382-B382*INT(V382/B382)))/C382)/100))))</f>
        <v>1.05</v>
      </c>
      <c r="BH382" s="57">
        <f>IF(ISERROR(IF(B382=C382,W382/C382,(INT(W382/B382)+(((W382-B382*INT(W382/B382)))/C382)/100))),0,(IF(B382=C382,W382/C382,(INT(W382/B382)+(((W382-B382*INT(W382/B382)))/C382)/100))))</f>
        <v>0</v>
      </c>
      <c r="BI382" s="57">
        <f>IF(ISERROR(IF(B382=C382,X382/C382,(INT(X382/B382)+(((X382-B382*INT(X382/B382)))/C382)/100))),0,(IF(B382=C382,X382/C382,(INT(X382/B382)+(((X382-B382*INT(X382/B382)))/C382)/100))))</f>
        <v>0</v>
      </c>
      <c r="BJ382" s="57">
        <f>IF(ISERROR(IF(B382=C382,Y382/C382,(INT(Y382/B382)+(((Y382-B382*INT(Y382/B382)))/C382)/100))),0,(IF(B382=C382,Y382/C382,(INT(Y382/B382)+(((Y382-B382*INT(Y382/B382)))/C382)/100))))</f>
        <v>0</v>
      </c>
      <c r="BL382" s="57">
        <f>IF(ISERROR(IF(B382=C382,AA382/C382,(INT(AA382/B382)+(((AA382-B382*INT(AA382/B382)))/C382)/100))),0,(IF(B382=C382,AA382/C382,(INT(AA382/B382)+(((AA382-B382*INT(AA382/B382)))/C382)/100))))</f>
        <v>1.05</v>
      </c>
      <c r="BM382" s="57">
        <f>IF(ISERROR(IF(B382=C382,AB382/C382,(INT(AB382/B382)+(((AB382-B382*INT(AB382/B382)))/C382)/100))),0,(IF(B382=C382,AB382/C382,(INT(AB382/B382)+(((AB382-B382*INT(AB382/B382)))/C382)/100))))</f>
        <v>0</v>
      </c>
      <c r="BN382" s="57">
        <f>IF(ISERROR(IF(B382=C382,AC382/C382,(INT(AC382/B382)+(((AC382-B382*INT(AC382/B382)))/C382)/100))),0,(IF(B382=C382,AC382/C382,(INT(AC382/B382)+(((AC382-B382*INT(AC382/B382)))/C382)/100))))</f>
        <v>0</v>
      </c>
      <c r="BO382" s="57">
        <f>IF(ISERROR(IF(B382=C382,AD382/C382,(INT(AD382/B382)+(((AD382-B382*INT(AD382/B382)))/C382)/100))),0,(IF(B382=C382,AD382/C382,(INT(AD382/B382)+(((AD382-B382*INT(AD382/B382)))/C382)/100))))</f>
        <v>0</v>
      </c>
      <c r="BQ382" s="155" t="s">
        <v>207</v>
      </c>
    </row>
    <row r="383" spans="1:69" x14ac:dyDescent="0.35">
      <c r="A383" s="160" t="s">
        <v>247</v>
      </c>
      <c r="B383" s="113">
        <v>750</v>
      </c>
      <c r="C383" s="113">
        <v>30</v>
      </c>
      <c r="D383" s="28">
        <f>SUM(AA383:AD383)</f>
        <v>0</v>
      </c>
      <c r="E383" s="113">
        <v>0</v>
      </c>
      <c r="F383" s="113">
        <v>0</v>
      </c>
      <c r="G383" s="28">
        <f>SUM(D383:F383)</f>
        <v>0</v>
      </c>
      <c r="H383" s="164">
        <v>0</v>
      </c>
      <c r="I383" s="113">
        <v>0</v>
      </c>
      <c r="J383" s="125">
        <v>0</v>
      </c>
      <c r="K383" s="113">
        <v>0</v>
      </c>
      <c r="L383" s="113">
        <v>0</v>
      </c>
      <c r="M383" s="113">
        <v>0</v>
      </c>
      <c r="N383" s="28">
        <f>G383-SUM(H383:M383)</f>
        <v>0</v>
      </c>
      <c r="O383" s="28">
        <f>SUM(V383:Y383)</f>
        <v>0</v>
      </c>
      <c r="P383" s="28">
        <f>O383-N383</f>
        <v>0</v>
      </c>
      <c r="Q383" s="61" t="str">
        <f>IF(ISERROR(P383/SUM(H383:L383)),"",P383/SUM(H383:L383))</f>
        <v/>
      </c>
      <c r="R383" s="113">
        <v>135</v>
      </c>
      <c r="S383" s="28">
        <f>IF(ISERROR(P383/C383*R383),0,(P383/C383*R383))</f>
        <v>0</v>
      </c>
      <c r="T383" s="60">
        <f>IF(ISERROR(P383/B383*AF383),0,(P383/B383*AF383))</f>
        <v>0</v>
      </c>
      <c r="V383" s="113">
        <v>0</v>
      </c>
      <c r="W383" s="113">
        <v>0</v>
      </c>
      <c r="X383" s="113">
        <v>0</v>
      </c>
      <c r="Y383" s="113">
        <v>0</v>
      </c>
      <c r="AA383" s="113">
        <v>0</v>
      </c>
      <c r="AB383" s="113">
        <v>0</v>
      </c>
      <c r="AC383" s="113">
        <v>0</v>
      </c>
      <c r="AD383" s="113">
        <v>0</v>
      </c>
      <c r="AF383" s="162">
        <f>13527.3/12</f>
        <v>1127.2749999999999</v>
      </c>
      <c r="AG383" s="28">
        <f>G383-O383</f>
        <v>0</v>
      </c>
      <c r="AH383" s="58">
        <f>IF(ISERROR(AG383/B383*AF383),0,(AG383/B383*AF383))</f>
        <v>0</v>
      </c>
      <c r="AI383" s="28">
        <f>SUM(H383:M383)</f>
        <v>0</v>
      </c>
      <c r="AJ383" s="28">
        <f>IF(ISERROR(AI383/B383*AF383),0,(AI383/B383*AF383))</f>
        <v>0</v>
      </c>
      <c r="AK383" s="58">
        <f>IF(ISERROR(O383/B383*AF383),0,(O383/B383*AF383))</f>
        <v>0</v>
      </c>
      <c r="AL383" s="28">
        <f>IF(ISERROR(H383/B383*AF383),0,(H383/B383*AF383))</f>
        <v>0</v>
      </c>
      <c r="AN383" s="51" t="str">
        <f>A383</f>
        <v>Bacardi Black</v>
      </c>
      <c r="AO383" s="57">
        <f>IF(ISERROR(IF(B383=C383,D383/C383,(INT(D383/B383)+(((D383-B383*INT(D383/B383)))/C383)/100))),0,(IF(B383=C383,D383/C383,(INT(D383/B383)+(((D383-B383*INT(D383/B383)))/C383)/100))))</f>
        <v>0</v>
      </c>
      <c r="AP383" s="57">
        <f>IF(ISERROR(IF(B383=C383,E383/C383,(INT(E383/B383)+(((E383-B383*INT(E383/B383)))/C383)/100))),0,(IF(B383=C383,E383/C383,(INT(E383/B383)+(((E383-B383*INT(E383/B383)))/C383)/100))))</f>
        <v>0</v>
      </c>
      <c r="AQ383" s="57">
        <f>IF(ISERROR(IF(B383=C383,F383/C383,IF((INT(F383/B383)+(((F383-B383*INT(F383/B383)))/C383)/100)&lt;0,(INT(F383/B383)+(((F383-B383*INT(F383/B383)))/C383)/100)+(1-(B383/C383/100)),(INT(F383/B383)+(((F383-B383*INT(F383/B383)))/C383)/100)))),0,IF(B383=C383,F383/C383,IF((INT(F383/B383)+(((F383-B383*INT(F383/B383)))/C383)/100)&lt;0,(INT(F383/B383)+(((F383-B383*INT(F383/B383)))/C383)/100)+(1-(B383/C383/100)),(INT(F383/B383)+(((F383-B383*INT(F383/B383)))/C383)/100))))</f>
        <v>0</v>
      </c>
      <c r="AR383" s="57">
        <f>IF(ISERROR(IF(B383=C383,G383/C383,(INT(G383/B383)+(((G383-B383*INT(G383/B383)))/C383)/100))),0,(IF(B383=C383,G383/C383,(INT(G383/B383)+(((G383-B383*INT(G383/B383)))/C383)/100))))</f>
        <v>0</v>
      </c>
      <c r="AS383" s="57">
        <f>IF(ISERROR(IF(B383=C383,H383/C383,(INT(H383/B383)+(((H383-B383*INT(H383/B383)))/C383)/100))),0,(IF(B383=C383,H383/C383,(INT(H383/B383)+(((H383-B383*INT(H383/B383)))/C383)/100))))</f>
        <v>0</v>
      </c>
      <c r="AT383" s="57">
        <f>IF(ISERROR(IF(B383=C383,I383/C383,(INT(I383/B383)+(((I383-B383*INT(I383/B383)))/C383)/100))),0,(IF(B383=C383,I383/C383,(INT(I383/B383)+(((I383-B383*INT(I383/B383)))/C383)/100))))</f>
        <v>0</v>
      </c>
      <c r="AU383" s="57">
        <f>IF(ISERROR(IF(B383=C383,J383/C383,(INT(J383/B383)+(((J383-B383*INT(J383/B383)))/C383)/100))),0,(IF(B383=C383,J383/C383,(INT(J383/B383)+(((J383-B383*INT(J383/B383)))/C383)/100))))</f>
        <v>0</v>
      </c>
      <c r="AV383" s="57">
        <f>IF(ISERROR(IF(B383=C383,K383/C383,IF((INT(K383/B383)+(((K383-B383*INT(K383/B383)))/C383)/100)&lt;0,(INT(K383/B383)+(((K383-B383*INT(K383/B383)))/C383)/100)+(1-(B383/C383/100)),(INT(K383/B383)+(((K383-B383*INT(K383/B383)))/C383)/100)))),0,IF(B383=C383,K383/C383,IF((INT(K383/B383)+(((K383-B383*INT(K383/B383)))/C383)/100)&lt;0,(INT(K383/B383)+(((K383-B383*INT(K383/B383)))/C383)/100)+(1-(B383/C383/100)),(INT(K383/B383)+(((K383-B383*INT(K383/B383)))/C383)/100))))</f>
        <v>0</v>
      </c>
      <c r="AW383" s="57">
        <f>IF(ISERROR(IF(B383=C383,L383/C383,(INT(L383/B383)+(((L383-B383*INT(L383/B383)))/C383)/100))),0,(IF(B383=C383,L383/C383,(INT(L383/B383)+(((L383-B383*INT(L383/B383)))/C383)/100))))</f>
        <v>0</v>
      </c>
      <c r="AX383" s="57">
        <f>IF(ISERROR(IF(B383=C383,M383/C383,(INT(M383/B383)+(((M383-B383*INT(M383/B383)))/C383)/100))),0,(IF(B383=C383,M383/C383,(INT(M383/B383)+(((M383-B383*INT(M383/B383)))/C383)/100))))</f>
        <v>0</v>
      </c>
      <c r="AY383" s="57">
        <f>IF(ISERROR(IF(B383=C383,N383/C383,IF((INT(N383/B383)+(((N383-B383*INT(N383/B383)))/C383)/100)&lt;0,(INT(N383/B383)+(((N383-B383*INT(N383/B383)))/C383)/100)+(1-(B383/C383/100)),(INT(N383/B383)+(((N383-B383*INT(N383/B383)))/C383)/100)))),0,IF(B383=C383,N383/C383,IF((INT(N383/B383)+(((N383-B383*INT(N383/B383)))/C383)/100)&lt;0,(INT(N383/B383)+(((N383-B383*INT(N383/B383)))/C383)/100)+(1-(B383/C383/100)),(INT(N383/B383)+(((N383-B383*INT(N383/B383)))/C383)/100))))</f>
        <v>0</v>
      </c>
      <c r="AZ383" s="57">
        <f>IF(ISERROR(IF(B383=C383,O383/C383,(INT(O383/B383)+(((O383-B383*INT(O383/B383)))/C383)/100))),0,(IF(B383=C383,O383/C383,(INT(O383/B383)+(((O383-B383*INT(O383/B383)))/C383)/100))))</f>
        <v>0</v>
      </c>
      <c r="BA383" s="57">
        <f>IF(ISERROR(IF(B383=C383,P383/C383,IF((INT(P383/B383)+(((P383-B383*INT(P383/B383)))/C383)/100)&lt;0,(INT(P383/B383)+(((P383-B383*INT(P383/B383)))/C383)/100)+(1-(B383/C383/100)),(INT(P383/B383)+(((P383-B383*INT(P383/B383)))/C383)/100)))),0,IF(B383=C383,P383/C383,IF((INT(P383/B383)+(((P383-B383*INT(P383/B383)))/C383)/100)&lt;0,(INT(P383/B383)+(((P383-B383*INT(P383/B383)))/C383)/100)+(1-(B383/C383/100)),(INT(P383/B383)+(((P383-B383*INT(P383/B383)))/C383)/100))))</f>
        <v>0</v>
      </c>
      <c r="BB383" s="28">
        <f>R383</f>
        <v>135</v>
      </c>
      <c r="BC383" s="28">
        <f>S383</f>
        <v>0</v>
      </c>
      <c r="BD383" s="28">
        <f>AF383</f>
        <v>1127.2749999999999</v>
      </c>
      <c r="BE383" s="28">
        <f>T383</f>
        <v>0</v>
      </c>
      <c r="BG383" s="57">
        <f>IF(ISERROR(IF(B383=C383,V383/C383,(INT(V383/B383)+(((V383-B383*INT(V383/B383)))/C383)/100))),0,(IF(B383=C383,V383/C383,(INT(V383/B383)+(((V383-B383*INT(V383/B383)))/C383)/100))))</f>
        <v>0</v>
      </c>
      <c r="BH383" s="57">
        <f>IF(ISERROR(IF(B383=C383,W383/C383,(INT(W383/B383)+(((W383-B383*INT(W383/B383)))/C383)/100))),0,(IF(B383=C383,W383/C383,(INT(W383/B383)+(((W383-B383*INT(W383/B383)))/C383)/100))))</f>
        <v>0</v>
      </c>
      <c r="BI383" s="57">
        <f>IF(ISERROR(IF(B383=C383,X383/C383,(INT(X383/B383)+(((X383-B383*INT(X383/B383)))/C383)/100))),0,(IF(B383=C383,X383/C383,(INT(X383/B383)+(((X383-B383*INT(X383/B383)))/C383)/100))))</f>
        <v>0</v>
      </c>
      <c r="BJ383" s="57">
        <f>IF(ISERROR(IF(B383=C383,Y383/C383,(INT(Y383/B383)+(((Y383-B383*INT(Y383/B383)))/C383)/100))),0,(IF(B383=C383,Y383/C383,(INT(Y383/B383)+(((Y383-B383*INT(Y383/B383)))/C383)/100))))</f>
        <v>0</v>
      </c>
      <c r="BL383" s="57">
        <f>IF(ISERROR(IF(B383=C383,AA383/C383,(INT(AA383/B383)+(((AA383-B383*INT(AA383/B383)))/C383)/100))),0,(IF(B383=C383,AA383/C383,(INT(AA383/B383)+(((AA383-B383*INT(AA383/B383)))/C383)/100))))</f>
        <v>0</v>
      </c>
      <c r="BM383" s="57">
        <f>IF(ISERROR(IF(B383=C383,AB383/C383,(INT(AB383/B383)+(((AB383-B383*INT(AB383/B383)))/C383)/100))),0,(IF(B383=C383,AB383/C383,(INT(AB383/B383)+(((AB383-B383*INT(AB383/B383)))/C383)/100))))</f>
        <v>0</v>
      </c>
      <c r="BN383" s="57">
        <f>IF(ISERROR(IF(B383=C383,AC383/C383,(INT(AC383/B383)+(((AC383-B383*INT(AC383/B383)))/C383)/100))),0,(IF(B383=C383,AC383/C383,(INT(AC383/B383)+(((AC383-B383*INT(AC383/B383)))/C383)/100))))</f>
        <v>0</v>
      </c>
      <c r="BO383" s="57">
        <f>IF(ISERROR(IF(B383=C383,AD383/C383,(INT(AD383/B383)+(((AD383-B383*INT(AD383/B383)))/C383)/100))),0,(IF(B383=C383,AD383/C383,(INT(AD383/B383)+(((AD383-B383*INT(AD383/B383)))/C383)/100))))</f>
        <v>0</v>
      </c>
      <c r="BQ383" s="155" t="s">
        <v>207</v>
      </c>
    </row>
    <row r="384" spans="1:69" x14ac:dyDescent="0.35">
      <c r="A384" s="165" t="s">
        <v>246</v>
      </c>
      <c r="B384" s="113">
        <v>750</v>
      </c>
      <c r="C384" s="113">
        <v>30</v>
      </c>
      <c r="D384" s="28">
        <f>SUM(AA384:AD384)</f>
        <v>4320</v>
      </c>
      <c r="E384" s="113">
        <v>0</v>
      </c>
      <c r="F384" s="113">
        <v>0</v>
      </c>
      <c r="G384" s="28">
        <f>SUM(D384:F384)</f>
        <v>4320</v>
      </c>
      <c r="H384" s="164">
        <v>0</v>
      </c>
      <c r="I384" s="113">
        <v>0</v>
      </c>
      <c r="J384" s="125">
        <v>0</v>
      </c>
      <c r="K384" s="113">
        <v>0</v>
      </c>
      <c r="L384" s="113">
        <v>0</v>
      </c>
      <c r="M384" s="113">
        <v>0</v>
      </c>
      <c r="N384" s="28">
        <f>G384-SUM(H384:M384)</f>
        <v>4320</v>
      </c>
      <c r="O384" s="28">
        <f>SUM(V384:Y384)</f>
        <v>4320</v>
      </c>
      <c r="P384" s="28">
        <f>O384-N384</f>
        <v>0</v>
      </c>
      <c r="Q384" s="61" t="str">
        <f>IF(ISERROR(P384/SUM(H384:L384)),"",P384/SUM(H384:L384))</f>
        <v/>
      </c>
      <c r="R384" s="113">
        <v>135</v>
      </c>
      <c r="S384" s="28">
        <f>IF(ISERROR(P384/C384*R384),0,(P384/C384*R384))</f>
        <v>0</v>
      </c>
      <c r="T384" s="60">
        <f>IF(ISERROR(P384/B384*AF384),0,(P384/B384*AF384))</f>
        <v>0</v>
      </c>
      <c r="V384" s="113">
        <f>4*750+19*30</f>
        <v>3570</v>
      </c>
      <c r="W384" s="113">
        <f>1*750</f>
        <v>750</v>
      </c>
      <c r="X384" s="113">
        <v>0</v>
      </c>
      <c r="Y384" s="113">
        <v>0</v>
      </c>
      <c r="AA384" s="113">
        <f>4*750+19*30</f>
        <v>3570</v>
      </c>
      <c r="AB384" s="113">
        <f>1*750</f>
        <v>750</v>
      </c>
      <c r="AC384" s="113">
        <v>0</v>
      </c>
      <c r="AD384" s="113">
        <v>0</v>
      </c>
      <c r="AF384" s="162">
        <f>13527.45/12</f>
        <v>1127.2875000000001</v>
      </c>
      <c r="AG384" s="28">
        <f>G384-O384</f>
        <v>0</v>
      </c>
      <c r="AH384" s="58">
        <f>IF(ISERROR(AG384/B384*AF384),0,(AG384/B384*AF384))</f>
        <v>0</v>
      </c>
      <c r="AI384" s="28">
        <f>SUM(H384:M384)</f>
        <v>0</v>
      </c>
      <c r="AJ384" s="28">
        <f>IF(ISERROR(AI384/B384*AF384),0,(AI384/B384*AF384))</f>
        <v>0</v>
      </c>
      <c r="AK384" s="58">
        <f>IF(ISERROR(O384/B384*AF384),0,(O384/B384*AF384))</f>
        <v>6493.1760000000004</v>
      </c>
      <c r="AL384" s="28">
        <f>IF(ISERROR(H384/B384*AF384),0,(H384/B384*AF384))</f>
        <v>0</v>
      </c>
      <c r="AN384" s="51" t="str">
        <f>A384</f>
        <v>Bacardi CB</v>
      </c>
      <c r="AO384" s="57">
        <f>IF(ISERROR(IF(B384=C384,D384/C384,(INT(D384/B384)+(((D384-B384*INT(D384/B384)))/C384)/100))),0,(IF(B384=C384,D384/C384,(INT(D384/B384)+(((D384-B384*INT(D384/B384)))/C384)/100))))</f>
        <v>5.19</v>
      </c>
      <c r="AP384" s="57">
        <f>IF(ISERROR(IF(B384=C384,E384/C384,(INT(E384/B384)+(((E384-B384*INT(E384/B384)))/C384)/100))),0,(IF(B384=C384,E384/C384,(INT(E384/B384)+(((E384-B384*INT(E384/B384)))/C384)/100))))</f>
        <v>0</v>
      </c>
      <c r="AQ384" s="57">
        <f>IF(ISERROR(IF(B384=C384,F384/C384,IF((INT(F384/B384)+(((F384-B384*INT(F384/B384)))/C384)/100)&lt;0,(INT(F384/B384)+(((F384-B384*INT(F384/B384)))/C384)/100)+(1-(B384/C384/100)),(INT(F384/B384)+(((F384-B384*INT(F384/B384)))/C384)/100)))),0,IF(B384=C384,F384/C384,IF((INT(F384/B384)+(((F384-B384*INT(F384/B384)))/C384)/100)&lt;0,(INT(F384/B384)+(((F384-B384*INT(F384/B384)))/C384)/100)+(1-(B384/C384/100)),(INT(F384/B384)+(((F384-B384*INT(F384/B384)))/C384)/100))))</f>
        <v>0</v>
      </c>
      <c r="AR384" s="57">
        <f>IF(ISERROR(IF(B384=C384,G384/C384,(INT(G384/B384)+(((G384-B384*INT(G384/B384)))/C384)/100))),0,(IF(B384=C384,G384/C384,(INT(G384/B384)+(((G384-B384*INT(G384/B384)))/C384)/100))))</f>
        <v>5.19</v>
      </c>
      <c r="AS384" s="57">
        <f>IF(ISERROR(IF(B384=C384,H384/C384,(INT(H384/B384)+(((H384-B384*INT(H384/B384)))/C384)/100))),0,(IF(B384=C384,H384/C384,(INT(H384/B384)+(((H384-B384*INT(H384/B384)))/C384)/100))))</f>
        <v>0</v>
      </c>
      <c r="AT384" s="57">
        <f>IF(ISERROR(IF(B384=C384,I384/C384,(INT(I384/B384)+(((I384-B384*INT(I384/B384)))/C384)/100))),0,(IF(B384=C384,I384/C384,(INT(I384/B384)+(((I384-B384*INT(I384/B384)))/C384)/100))))</f>
        <v>0</v>
      </c>
      <c r="AU384" s="57">
        <f>IF(ISERROR(IF(B384=C384,J384/C384,(INT(J384/B384)+(((J384-B384*INT(J384/B384)))/C384)/100))),0,(IF(B384=C384,J384/C384,(INT(J384/B384)+(((J384-B384*INT(J384/B384)))/C384)/100))))</f>
        <v>0</v>
      </c>
      <c r="AV384" s="57">
        <f>IF(ISERROR(IF(B384=C384,K384/C384,IF((INT(K384/B384)+(((K384-B384*INT(K384/B384)))/C384)/100)&lt;0,(INT(K384/B384)+(((K384-B384*INT(K384/B384)))/C384)/100)+(1-(B384/C384/100)),(INT(K384/B384)+(((K384-B384*INT(K384/B384)))/C384)/100)))),0,IF(B384=C384,K384/C384,IF((INT(K384/B384)+(((K384-B384*INT(K384/B384)))/C384)/100)&lt;0,(INT(K384/B384)+(((K384-B384*INT(K384/B384)))/C384)/100)+(1-(B384/C384/100)),(INT(K384/B384)+(((K384-B384*INT(K384/B384)))/C384)/100))))</f>
        <v>0</v>
      </c>
      <c r="AW384" s="57">
        <f>IF(ISERROR(IF(B384=C384,L384/C384,(INT(L384/B384)+(((L384-B384*INT(L384/B384)))/C384)/100))),0,(IF(B384=C384,L384/C384,(INT(L384/B384)+(((L384-B384*INT(L384/B384)))/C384)/100))))</f>
        <v>0</v>
      </c>
      <c r="AX384" s="57">
        <f>IF(ISERROR(IF(B384=C384,M384/C384,(INT(M384/B384)+(((M384-B384*INT(M384/B384)))/C384)/100))),0,(IF(B384=C384,M384/C384,(INT(M384/B384)+(((M384-B384*INT(M384/B384)))/C384)/100))))</f>
        <v>0</v>
      </c>
      <c r="AY384" s="57">
        <f>IF(ISERROR(IF(B384=C384,N384/C384,IF((INT(N384/B384)+(((N384-B384*INT(N384/B384)))/C384)/100)&lt;0,(INT(N384/B384)+(((N384-B384*INT(N384/B384)))/C384)/100)+(1-(B384/C384/100)),(INT(N384/B384)+(((N384-B384*INT(N384/B384)))/C384)/100)))),0,IF(B384=C384,N384/C384,IF((INT(N384/B384)+(((N384-B384*INT(N384/B384)))/C384)/100)&lt;0,(INT(N384/B384)+(((N384-B384*INT(N384/B384)))/C384)/100)+(1-(B384/C384/100)),(INT(N384/B384)+(((N384-B384*INT(N384/B384)))/C384)/100))))</f>
        <v>5.19</v>
      </c>
      <c r="AZ384" s="57">
        <f>IF(ISERROR(IF(B384=C384,O384/C384,(INT(O384/B384)+(((O384-B384*INT(O384/B384)))/C384)/100))),0,(IF(B384=C384,O384/C384,(INT(O384/B384)+(((O384-B384*INT(O384/B384)))/C384)/100))))</f>
        <v>5.19</v>
      </c>
      <c r="BA384" s="57">
        <f>IF(ISERROR(IF(B384=C384,P384/C384,IF((INT(P384/B384)+(((P384-B384*INT(P384/B384)))/C384)/100)&lt;0,(INT(P384/B384)+(((P384-B384*INT(P384/B384)))/C384)/100)+(1-(B384/C384/100)),(INT(P384/B384)+(((P384-B384*INT(P384/B384)))/C384)/100)))),0,IF(B384=C384,P384/C384,IF((INT(P384/B384)+(((P384-B384*INT(P384/B384)))/C384)/100)&lt;0,(INT(P384/B384)+(((P384-B384*INT(P384/B384)))/C384)/100)+(1-(B384/C384/100)),(INT(P384/B384)+(((P384-B384*INT(P384/B384)))/C384)/100))))</f>
        <v>0</v>
      </c>
      <c r="BB384" s="28">
        <f>R384</f>
        <v>135</v>
      </c>
      <c r="BC384" s="28">
        <f>S384</f>
        <v>0</v>
      </c>
      <c r="BD384" s="28">
        <f>AF384</f>
        <v>1127.2875000000001</v>
      </c>
      <c r="BE384" s="28">
        <f>T384</f>
        <v>0</v>
      </c>
      <c r="BG384" s="57">
        <f>IF(ISERROR(IF(B384=C384,V384/C384,(INT(V384/B384)+(((V384-B384*INT(V384/B384)))/C384)/100))),0,(IF(B384=C384,V384/C384,(INT(V384/B384)+(((V384-B384*INT(V384/B384)))/C384)/100))))</f>
        <v>4.1900000000000004</v>
      </c>
      <c r="BH384" s="57">
        <f>IF(ISERROR(IF(B384=C384,W384/C384,(INT(W384/B384)+(((W384-B384*INT(W384/B384)))/C384)/100))),0,(IF(B384=C384,W384/C384,(INT(W384/B384)+(((W384-B384*INT(W384/B384)))/C384)/100))))</f>
        <v>1</v>
      </c>
      <c r="BI384" s="57">
        <f>IF(ISERROR(IF(B384=C384,X384/C384,(INT(X384/B384)+(((X384-B384*INT(X384/B384)))/C384)/100))),0,(IF(B384=C384,X384/C384,(INT(X384/B384)+(((X384-B384*INT(X384/B384)))/C384)/100))))</f>
        <v>0</v>
      </c>
      <c r="BJ384" s="57">
        <f>IF(ISERROR(IF(B384=C384,Y384/C384,(INT(Y384/B384)+(((Y384-B384*INT(Y384/B384)))/C384)/100))),0,(IF(B384=C384,Y384/C384,(INT(Y384/B384)+(((Y384-B384*INT(Y384/B384)))/C384)/100))))</f>
        <v>0</v>
      </c>
      <c r="BL384" s="57">
        <f>IF(ISERROR(IF(B384=C384,AA384/C384,(INT(AA384/B384)+(((AA384-B384*INT(AA384/B384)))/C384)/100))),0,(IF(B384=C384,AA384/C384,(INT(AA384/B384)+(((AA384-B384*INT(AA384/B384)))/C384)/100))))</f>
        <v>4.1900000000000004</v>
      </c>
      <c r="BM384" s="57">
        <f>IF(ISERROR(IF(B384=C384,AB384/C384,(INT(AB384/B384)+(((AB384-B384*INT(AB384/B384)))/C384)/100))),0,(IF(B384=C384,AB384/C384,(INT(AB384/B384)+(((AB384-B384*INT(AB384/B384)))/C384)/100))))</f>
        <v>1</v>
      </c>
      <c r="BN384" s="57">
        <f>IF(ISERROR(IF(B384=C384,AC384/C384,(INT(AC384/B384)+(((AC384-B384*INT(AC384/B384)))/C384)/100))),0,(IF(B384=C384,AC384/C384,(INT(AC384/B384)+(((AC384-B384*INT(AC384/B384)))/C384)/100))))</f>
        <v>0</v>
      </c>
      <c r="BO384" s="57">
        <f>IF(ISERROR(IF(B384=C384,AD384/C384,(INT(AD384/B384)+(((AD384-B384*INT(AD384/B384)))/C384)/100))),0,(IF(B384=C384,AD384/C384,(INT(AD384/B384)+(((AD384-B384*INT(AD384/B384)))/C384)/100))))</f>
        <v>0</v>
      </c>
      <c r="BQ384" s="155" t="s">
        <v>207</v>
      </c>
    </row>
    <row r="385" spans="1:69" x14ac:dyDescent="0.35">
      <c r="A385" s="165" t="s">
        <v>245</v>
      </c>
      <c r="B385" s="113">
        <v>750</v>
      </c>
      <c r="C385" s="113">
        <v>30</v>
      </c>
      <c r="D385" s="28">
        <f>SUM(AA385:AD385)</f>
        <v>1830</v>
      </c>
      <c r="E385" s="113">
        <v>0</v>
      </c>
      <c r="F385" s="113">
        <v>0</v>
      </c>
      <c r="G385" s="28">
        <f>SUM(D385:F385)</f>
        <v>1830</v>
      </c>
      <c r="H385" s="125">
        <v>0</v>
      </c>
      <c r="I385" s="113">
        <v>0</v>
      </c>
      <c r="J385" s="125">
        <v>0</v>
      </c>
      <c r="K385" s="113">
        <v>0</v>
      </c>
      <c r="L385" s="113">
        <v>0</v>
      </c>
      <c r="M385" s="113">
        <v>0</v>
      </c>
      <c r="N385" s="28">
        <f>G385-SUM(H385:M385)</f>
        <v>1830</v>
      </c>
      <c r="O385" s="28">
        <f>SUM(V385:Y385)</f>
        <v>1830</v>
      </c>
      <c r="P385" s="28">
        <f>O385-N385</f>
        <v>0</v>
      </c>
      <c r="Q385" s="61" t="str">
        <f>IF(ISERROR(P385/SUM(H385:L385)),"",P385/SUM(H385:L385))</f>
        <v/>
      </c>
      <c r="R385" s="113">
        <v>135</v>
      </c>
      <c r="S385" s="28">
        <f>IF(ISERROR(P385/C385*R385),0,(P385/C385*R385))</f>
        <v>0</v>
      </c>
      <c r="T385" s="60">
        <f>IF(ISERROR(P385/B385*AF385),0,(P385/B385*AF385))</f>
        <v>0</v>
      </c>
      <c r="V385" s="113">
        <f>11*30</f>
        <v>330</v>
      </c>
      <c r="W385" s="113">
        <f>2*750</f>
        <v>1500</v>
      </c>
      <c r="X385" s="113">
        <v>0</v>
      </c>
      <c r="Y385" s="113">
        <v>0</v>
      </c>
      <c r="AA385" s="113">
        <f>11*30</f>
        <v>330</v>
      </c>
      <c r="AB385" s="113">
        <f>2*750</f>
        <v>1500</v>
      </c>
      <c r="AC385" s="113">
        <v>0</v>
      </c>
      <c r="AD385" s="113">
        <v>0</v>
      </c>
      <c r="AF385" s="167">
        <v>1127.2749999999999</v>
      </c>
      <c r="AG385" s="28">
        <f>G385-O385</f>
        <v>0</v>
      </c>
      <c r="AH385" s="58">
        <f>IF(ISERROR(AG385/B385*AF385),0,(AG385/B385*AF385))</f>
        <v>0</v>
      </c>
      <c r="AI385" s="28">
        <f>SUM(H385:M385)</f>
        <v>0</v>
      </c>
      <c r="AJ385" s="28">
        <f>IF(ISERROR(AI385/B385*AF385),0,(AI385/B385*AF385))</f>
        <v>0</v>
      </c>
      <c r="AK385" s="58">
        <f>IF(ISERROR(O385/B385*AF385),0,(O385/B385*AF385))</f>
        <v>2750.5509999999995</v>
      </c>
      <c r="AL385" s="28">
        <f>IF(ISERROR(H385/B385*AF385),0,(H385/B385*AF385))</f>
        <v>0</v>
      </c>
      <c r="AN385" s="51" t="str">
        <f>A385</f>
        <v xml:space="preserve">Bacardi Guava </v>
      </c>
      <c r="AO385" s="57">
        <f>IF(ISERROR(IF(B385=C385,D385/C385,(INT(D385/B385)+(((D385-B385*INT(D385/B385)))/C385)/100))),0,(IF(B385=C385,D385/C385,(INT(D385/B385)+(((D385-B385*INT(D385/B385)))/C385)/100))))</f>
        <v>2.11</v>
      </c>
      <c r="AP385" s="57">
        <f>IF(ISERROR(IF(B385=C385,E385/C385,(INT(E385/B385)+(((E385-B385*INT(E385/B385)))/C385)/100))),0,(IF(B385=C385,E385/C385,(INT(E385/B385)+(((E385-B385*INT(E385/B385)))/C385)/100))))</f>
        <v>0</v>
      </c>
      <c r="AQ385" s="57">
        <f>IF(ISERROR(IF(B385=C385,F385/C385,IF((INT(F385/B385)+(((F385-B385*INT(F385/B385)))/C385)/100)&lt;0,(INT(F385/B385)+(((F385-B385*INT(F385/B385)))/C385)/100)+(1-(B385/C385/100)),(INT(F385/B385)+(((F385-B385*INT(F385/B385)))/C385)/100)))),0,IF(B385=C385,F385/C385,IF((INT(F385/B385)+(((F385-B385*INT(F385/B385)))/C385)/100)&lt;0,(INT(F385/B385)+(((F385-B385*INT(F385/B385)))/C385)/100)+(1-(B385/C385/100)),(INT(F385/B385)+(((F385-B385*INT(F385/B385)))/C385)/100))))</f>
        <v>0</v>
      </c>
      <c r="AR385" s="57">
        <f>IF(ISERROR(IF(B385=C385,G385/C385,(INT(G385/B385)+(((G385-B385*INT(G385/B385)))/C385)/100))),0,(IF(B385=C385,G385/C385,(INT(G385/B385)+(((G385-B385*INT(G385/B385)))/C385)/100))))</f>
        <v>2.11</v>
      </c>
      <c r="AS385" s="57">
        <f>IF(ISERROR(IF(B385=C385,H385/C385,(INT(H385/B385)+(((H385-B385*INT(H385/B385)))/C385)/100))),0,(IF(B385=C385,H385/C385,(INT(H385/B385)+(((H385-B385*INT(H385/B385)))/C385)/100))))</f>
        <v>0</v>
      </c>
      <c r="AT385" s="57">
        <f>IF(ISERROR(IF(B385=C385,I385/C385,(INT(I385/B385)+(((I385-B385*INT(I385/B385)))/C385)/100))),0,(IF(B385=C385,I385/C385,(INT(I385/B385)+(((I385-B385*INT(I385/B385)))/C385)/100))))</f>
        <v>0</v>
      </c>
      <c r="AU385" s="57">
        <f>IF(ISERROR(IF(B385=C385,J385/C385,(INT(J385/B385)+(((J385-B385*INT(J385/B385)))/C385)/100))),0,(IF(B385=C385,J385/C385,(INT(J385/B385)+(((J385-B385*INT(J385/B385)))/C385)/100))))</f>
        <v>0</v>
      </c>
      <c r="AV385" s="57">
        <f>IF(ISERROR(IF(B385=C385,K385/C385,IF((INT(K385/B385)+(((K385-B385*INT(K385/B385)))/C385)/100)&lt;0,(INT(K385/B385)+(((K385-B385*INT(K385/B385)))/C385)/100)+(1-(B385/C385/100)),(INT(K385/B385)+(((K385-B385*INT(K385/B385)))/C385)/100)))),0,IF(B385=C385,K385/C385,IF((INT(K385/B385)+(((K385-B385*INT(K385/B385)))/C385)/100)&lt;0,(INT(K385/B385)+(((K385-B385*INT(K385/B385)))/C385)/100)+(1-(B385/C385/100)),(INT(K385/B385)+(((K385-B385*INT(K385/B385)))/C385)/100))))</f>
        <v>0</v>
      </c>
      <c r="AW385" s="57">
        <f>IF(ISERROR(IF(B385=C385,L385/C385,(INT(L385/B385)+(((L385-B385*INT(L385/B385)))/C385)/100))),0,(IF(B385=C385,L385/C385,(INT(L385/B385)+(((L385-B385*INT(L385/B385)))/C385)/100))))</f>
        <v>0</v>
      </c>
      <c r="AX385" s="57">
        <f>IF(ISERROR(IF(B385=C385,M385/C385,(INT(M385/B385)+(((M385-B385*INT(M385/B385)))/C385)/100))),0,(IF(B385=C385,M385/C385,(INT(M385/B385)+(((M385-B385*INT(M385/B385)))/C385)/100))))</f>
        <v>0</v>
      </c>
      <c r="AY385" s="57">
        <f>IF(ISERROR(IF(B385=C385,N385/C385,IF((INT(N385/B385)+(((N385-B385*INT(N385/B385)))/C385)/100)&lt;0,(INT(N385/B385)+(((N385-B385*INT(N385/B385)))/C385)/100)+(1-(B385/C385/100)),(INT(N385/B385)+(((N385-B385*INT(N385/B385)))/C385)/100)))),0,IF(B385=C385,N385/C385,IF((INT(N385/B385)+(((N385-B385*INT(N385/B385)))/C385)/100)&lt;0,(INT(N385/B385)+(((N385-B385*INT(N385/B385)))/C385)/100)+(1-(B385/C385/100)),(INT(N385/B385)+(((N385-B385*INT(N385/B385)))/C385)/100))))</f>
        <v>2.11</v>
      </c>
      <c r="AZ385" s="57">
        <f>IF(ISERROR(IF(B385=C385,O385/C385,(INT(O385/B385)+(((O385-B385*INT(O385/B385)))/C385)/100))),0,(IF(B385=C385,O385/C385,(INT(O385/B385)+(((O385-B385*INT(O385/B385)))/C385)/100))))</f>
        <v>2.11</v>
      </c>
      <c r="BA385" s="57">
        <f>IF(ISERROR(IF(B385=C385,P385/C385,IF((INT(P385/B385)+(((P385-B385*INT(P385/B385)))/C385)/100)&lt;0,(INT(P385/B385)+(((P385-B385*INT(P385/B385)))/C385)/100)+(1-(B385/C385/100)),(INT(P385/B385)+(((P385-B385*INT(P385/B385)))/C385)/100)))),0,IF(B385=C385,P385/C385,IF((INT(P385/B385)+(((P385-B385*INT(P385/B385)))/C385)/100)&lt;0,(INT(P385/B385)+(((P385-B385*INT(P385/B385)))/C385)/100)+(1-(B385/C385/100)),(INT(P385/B385)+(((P385-B385*INT(P385/B385)))/C385)/100))))</f>
        <v>0</v>
      </c>
      <c r="BB385" s="28">
        <f>R385</f>
        <v>135</v>
      </c>
      <c r="BC385" s="28">
        <f>S385</f>
        <v>0</v>
      </c>
      <c r="BD385" s="28">
        <f>AF385</f>
        <v>1127.2749999999999</v>
      </c>
      <c r="BE385" s="28">
        <f>T385</f>
        <v>0</v>
      </c>
      <c r="BG385" s="57">
        <f>IF(ISERROR(IF(B385=C385,V385/C385,(INT(V385/B385)+(((V385-B385*INT(V385/B385)))/C385)/100))),0,(IF(B385=C385,V385/C385,(INT(V385/B385)+(((V385-B385*INT(V385/B385)))/C385)/100))))</f>
        <v>0.11</v>
      </c>
      <c r="BH385" s="57">
        <f>IF(ISERROR(IF(B385=C385,W385/C385,(INT(W385/B385)+(((W385-B385*INT(W385/B385)))/C385)/100))),0,(IF(B385=C385,W385/C385,(INT(W385/B385)+(((W385-B385*INT(W385/B385)))/C385)/100))))</f>
        <v>2</v>
      </c>
      <c r="BI385" s="57">
        <f>IF(ISERROR(IF(B385=C385,X385/C385,(INT(X385/B385)+(((X385-B385*INT(X385/B385)))/C385)/100))),0,(IF(B385=C385,X385/C385,(INT(X385/B385)+(((X385-B385*INT(X385/B385)))/C385)/100))))</f>
        <v>0</v>
      </c>
      <c r="BJ385" s="57">
        <f>IF(ISERROR(IF(B385=C385,Y385/C385,(INT(Y385/B385)+(((Y385-B385*INT(Y385/B385)))/C385)/100))),0,(IF(B385=C385,Y385/C385,(INT(Y385/B385)+(((Y385-B385*INT(Y385/B385)))/C385)/100))))</f>
        <v>0</v>
      </c>
      <c r="BL385" s="57">
        <f>IF(ISERROR(IF(B385=C385,AA385/C385,(INT(AA385/B385)+(((AA385-B385*INT(AA385/B385)))/C385)/100))),0,(IF(B385=C385,AA385/C385,(INT(AA385/B385)+(((AA385-B385*INT(AA385/B385)))/C385)/100))))</f>
        <v>0.11</v>
      </c>
      <c r="BM385" s="57">
        <f>IF(ISERROR(IF(B385=C385,AB385/C385,(INT(AB385/B385)+(((AB385-B385*INT(AB385/B385)))/C385)/100))),0,(IF(B385=C385,AB385/C385,(INT(AB385/B385)+(((AB385-B385*INT(AB385/B385)))/C385)/100))))</f>
        <v>2</v>
      </c>
      <c r="BN385" s="57">
        <f>IF(ISERROR(IF(B385=C385,AC385/C385,(INT(AC385/B385)+(((AC385-B385*INT(AC385/B385)))/C385)/100))),0,(IF(B385=C385,AC385/C385,(INT(AC385/B385)+(((AC385-B385*INT(AC385/B385)))/C385)/100))))</f>
        <v>0</v>
      </c>
      <c r="BO385" s="57">
        <f>IF(ISERROR(IF(B385=C385,AD385/C385,(INT(AD385/B385)+(((AD385-B385*INT(AD385/B385)))/C385)/100))),0,(IF(B385=C385,AD385/C385,(INT(AD385/B385)+(((AD385-B385*INT(AD385/B385)))/C385)/100))))</f>
        <v>0</v>
      </c>
      <c r="BQ385" s="155" t="s">
        <v>207</v>
      </c>
    </row>
    <row r="386" spans="1:69" x14ac:dyDescent="0.35">
      <c r="A386" s="165" t="s">
        <v>244</v>
      </c>
      <c r="B386" s="113">
        <v>750</v>
      </c>
      <c r="C386" s="113">
        <v>30</v>
      </c>
      <c r="D386" s="28">
        <f>SUM(AA386:AD386)</f>
        <v>0</v>
      </c>
      <c r="E386" s="113">
        <v>0</v>
      </c>
      <c r="F386" s="113">
        <v>0</v>
      </c>
      <c r="G386" s="28">
        <f>SUM(D386:F386)</f>
        <v>0</v>
      </c>
      <c r="H386" s="125">
        <v>0</v>
      </c>
      <c r="I386" s="113">
        <v>0</v>
      </c>
      <c r="J386" s="125">
        <v>0</v>
      </c>
      <c r="K386" s="113">
        <v>0</v>
      </c>
      <c r="L386" s="113">
        <v>0</v>
      </c>
      <c r="M386" s="113">
        <v>0</v>
      </c>
      <c r="N386" s="28">
        <f>G386-SUM(H386:M386)</f>
        <v>0</v>
      </c>
      <c r="O386" s="28">
        <f>SUM(V386:Y386)</f>
        <v>0</v>
      </c>
      <c r="P386" s="28">
        <f>O386-N386</f>
        <v>0</v>
      </c>
      <c r="Q386" s="61" t="str">
        <f>IF(ISERROR(P386/SUM(H386:L386)),"",P386/SUM(H386:L386))</f>
        <v/>
      </c>
      <c r="R386" s="113">
        <v>135</v>
      </c>
      <c r="S386" s="28">
        <f>IF(ISERROR(P386/C386*R386),0,(P386/C386*R386))</f>
        <v>0</v>
      </c>
      <c r="T386" s="60">
        <f>IF(ISERROR(P386/B386*AF386),0,(P386/B386*AF386))</f>
        <v>0</v>
      </c>
      <c r="V386" s="113">
        <v>0</v>
      </c>
      <c r="W386" s="113">
        <v>0</v>
      </c>
      <c r="X386" s="113">
        <v>0</v>
      </c>
      <c r="Y386" s="113">
        <v>0</v>
      </c>
      <c r="AA386" s="113">
        <v>0</v>
      </c>
      <c r="AB386" s="113">
        <v>0</v>
      </c>
      <c r="AC386" s="113">
        <v>0</v>
      </c>
      <c r="AD386" s="113">
        <v>0</v>
      </c>
      <c r="AF386" s="162">
        <v>1127.2749999999999</v>
      </c>
      <c r="AG386" s="28">
        <f>G386-O386</f>
        <v>0</v>
      </c>
      <c r="AH386" s="58">
        <f>IF(ISERROR(AG386/B386*AF386),0,(AG386/B386*AF386))</f>
        <v>0</v>
      </c>
      <c r="AI386" s="28">
        <f>SUM(H386:M386)</f>
        <v>0</v>
      </c>
      <c r="AJ386" s="28">
        <f>IF(ISERROR(AI386/B386*AF386),0,(AI386/B386*AF386))</f>
        <v>0</v>
      </c>
      <c r="AK386" s="58">
        <f>IF(ISERROR(O386/B386*AF386),0,(O386/B386*AF386))</f>
        <v>0</v>
      </c>
      <c r="AL386" s="28">
        <f>IF(ISERROR(H386/B386*AF386),0,(H386/B386*AF386))</f>
        <v>0</v>
      </c>
      <c r="AN386" s="51" t="str">
        <f>A386</f>
        <v xml:space="preserve">Bacardi Lemon </v>
      </c>
      <c r="AO386" s="57">
        <f>IF(ISERROR(IF(B386=C386,D386/C386,(INT(D386/B386)+(((D386-B386*INT(D386/B386)))/C386)/100))),0,(IF(B386=C386,D386/C386,(INT(D386/B386)+(((D386-B386*INT(D386/B386)))/C386)/100))))</f>
        <v>0</v>
      </c>
      <c r="AP386" s="57">
        <f>IF(ISERROR(IF(B386=C386,E386/C386,(INT(E386/B386)+(((E386-B386*INT(E386/B386)))/C386)/100))),0,(IF(B386=C386,E386/C386,(INT(E386/B386)+(((E386-B386*INT(E386/B386)))/C386)/100))))</f>
        <v>0</v>
      </c>
      <c r="AQ386" s="57">
        <f>IF(ISERROR(IF(B386=C386,F386/C386,IF((INT(F386/B386)+(((F386-B386*INT(F386/B386)))/C386)/100)&lt;0,(INT(F386/B386)+(((F386-B386*INT(F386/B386)))/C386)/100)+(1-(B386/C386/100)),(INT(F386/B386)+(((F386-B386*INT(F386/B386)))/C386)/100)))),0,IF(B386=C386,F386/C386,IF((INT(F386/B386)+(((F386-B386*INT(F386/B386)))/C386)/100)&lt;0,(INT(F386/B386)+(((F386-B386*INT(F386/B386)))/C386)/100)+(1-(B386/C386/100)),(INT(F386/B386)+(((F386-B386*INT(F386/B386)))/C386)/100))))</f>
        <v>0</v>
      </c>
      <c r="AR386" s="57">
        <f>IF(ISERROR(IF(B386=C386,G386/C386,(INT(G386/B386)+(((G386-B386*INT(G386/B386)))/C386)/100))),0,(IF(B386=C386,G386/C386,(INT(G386/B386)+(((G386-B386*INT(G386/B386)))/C386)/100))))</f>
        <v>0</v>
      </c>
      <c r="AS386" s="57">
        <f>IF(ISERROR(IF(B386=C386,H386/C386,(INT(H386/B386)+(((H386-B386*INT(H386/B386)))/C386)/100))),0,(IF(B386=C386,H386/C386,(INT(H386/B386)+(((H386-B386*INT(H386/B386)))/C386)/100))))</f>
        <v>0</v>
      </c>
      <c r="AT386" s="57">
        <f>IF(ISERROR(IF(B386=C386,I386/C386,(INT(I386/B386)+(((I386-B386*INT(I386/B386)))/C386)/100))),0,(IF(B386=C386,I386/C386,(INT(I386/B386)+(((I386-B386*INT(I386/B386)))/C386)/100))))</f>
        <v>0</v>
      </c>
      <c r="AU386" s="57">
        <f>IF(ISERROR(IF(B386=C386,J386/C386,(INT(J386/B386)+(((J386-B386*INT(J386/B386)))/C386)/100))),0,(IF(B386=C386,J386/C386,(INT(J386/B386)+(((J386-B386*INT(J386/B386)))/C386)/100))))</f>
        <v>0</v>
      </c>
      <c r="AV386" s="57">
        <f>IF(ISERROR(IF(B386=C386,K386/C386,IF((INT(K386/B386)+(((K386-B386*INT(K386/B386)))/C386)/100)&lt;0,(INT(K386/B386)+(((K386-B386*INT(K386/B386)))/C386)/100)+(1-(B386/C386/100)),(INT(K386/B386)+(((K386-B386*INT(K386/B386)))/C386)/100)))),0,IF(B386=C386,K386/C386,IF((INT(K386/B386)+(((K386-B386*INT(K386/B386)))/C386)/100)&lt;0,(INT(K386/B386)+(((K386-B386*INT(K386/B386)))/C386)/100)+(1-(B386/C386/100)),(INT(K386/B386)+(((K386-B386*INT(K386/B386)))/C386)/100))))</f>
        <v>0</v>
      </c>
      <c r="AW386" s="57">
        <f>IF(ISERROR(IF(B386=C386,L386/C386,(INT(L386/B386)+(((L386-B386*INT(L386/B386)))/C386)/100))),0,(IF(B386=C386,L386/C386,(INT(L386/B386)+(((L386-B386*INT(L386/B386)))/C386)/100))))</f>
        <v>0</v>
      </c>
      <c r="AX386" s="57">
        <f>IF(ISERROR(IF(B386=C386,M386/C386,(INT(M386/B386)+(((M386-B386*INT(M386/B386)))/C386)/100))),0,(IF(B386=C386,M386/C386,(INT(M386/B386)+(((M386-B386*INT(M386/B386)))/C386)/100))))</f>
        <v>0</v>
      </c>
      <c r="AY386" s="57">
        <f>IF(ISERROR(IF(B386=C386,N386/C386,IF((INT(N386/B386)+(((N386-B386*INT(N386/B386)))/C386)/100)&lt;0,(INT(N386/B386)+(((N386-B386*INT(N386/B386)))/C386)/100)+(1-(B386/C386/100)),(INT(N386/B386)+(((N386-B386*INT(N386/B386)))/C386)/100)))),0,IF(B386=C386,N386/C386,IF((INT(N386/B386)+(((N386-B386*INT(N386/B386)))/C386)/100)&lt;0,(INT(N386/B386)+(((N386-B386*INT(N386/B386)))/C386)/100)+(1-(B386/C386/100)),(INT(N386/B386)+(((N386-B386*INT(N386/B386)))/C386)/100))))</f>
        <v>0</v>
      </c>
      <c r="AZ386" s="57">
        <f>IF(ISERROR(IF(B386=C386,O386/C386,(INT(O386/B386)+(((O386-B386*INT(O386/B386)))/C386)/100))),0,(IF(B386=C386,O386/C386,(INT(O386/B386)+(((O386-B386*INT(O386/B386)))/C386)/100))))</f>
        <v>0</v>
      </c>
      <c r="BA386" s="57">
        <f>IF(ISERROR(IF(B386=C386,P386/C386,IF((INT(P386/B386)+(((P386-B386*INT(P386/B386)))/C386)/100)&lt;0,(INT(P386/B386)+(((P386-B386*INT(P386/B386)))/C386)/100)+(1-(B386/C386/100)),(INT(P386/B386)+(((P386-B386*INT(P386/B386)))/C386)/100)))),0,IF(B386=C386,P386/C386,IF((INT(P386/B386)+(((P386-B386*INT(P386/B386)))/C386)/100)&lt;0,(INT(P386/B386)+(((P386-B386*INT(P386/B386)))/C386)/100)+(1-(B386/C386/100)),(INT(P386/B386)+(((P386-B386*INT(P386/B386)))/C386)/100))))</f>
        <v>0</v>
      </c>
      <c r="BB386" s="28">
        <f>R386</f>
        <v>135</v>
      </c>
      <c r="BC386" s="28">
        <f>S386</f>
        <v>0</v>
      </c>
      <c r="BD386" s="28">
        <f>AF386</f>
        <v>1127.2749999999999</v>
      </c>
      <c r="BE386" s="28">
        <f>T386</f>
        <v>0</v>
      </c>
      <c r="BG386" s="57">
        <f>IF(ISERROR(IF(B386=C386,V386/C386,(INT(V386/B386)+(((V386-B386*INT(V386/B386)))/C386)/100))),0,(IF(B386=C386,V386/C386,(INT(V386/B386)+(((V386-B386*INT(V386/B386)))/C386)/100))))</f>
        <v>0</v>
      </c>
      <c r="BH386" s="57">
        <f>IF(ISERROR(IF(B386=C386,W386/C386,(INT(W386/B386)+(((W386-B386*INT(W386/B386)))/C386)/100))),0,(IF(B386=C386,W386/C386,(INT(W386/B386)+(((W386-B386*INT(W386/B386)))/C386)/100))))</f>
        <v>0</v>
      </c>
      <c r="BI386" s="57">
        <f>IF(ISERROR(IF(B386=C386,X386/C386,(INT(X386/B386)+(((X386-B386*INT(X386/B386)))/C386)/100))),0,(IF(B386=C386,X386/C386,(INT(X386/B386)+(((X386-B386*INT(X386/B386)))/C386)/100))))</f>
        <v>0</v>
      </c>
      <c r="BJ386" s="57">
        <f>IF(ISERROR(IF(B386=C386,Y386/C386,(INT(Y386/B386)+(((Y386-B386*INT(Y386/B386)))/C386)/100))),0,(IF(B386=C386,Y386/C386,(INT(Y386/B386)+(((Y386-B386*INT(Y386/B386)))/C386)/100))))</f>
        <v>0</v>
      </c>
      <c r="BL386" s="57">
        <f>IF(ISERROR(IF(B386=C386,AA386/C386,(INT(AA386/B386)+(((AA386-B386*INT(AA386/B386)))/C386)/100))),0,(IF(B386=C386,AA386/C386,(INT(AA386/B386)+(((AA386-B386*INT(AA386/B386)))/C386)/100))))</f>
        <v>0</v>
      </c>
      <c r="BM386" s="57">
        <f>IF(ISERROR(IF(B386=C386,AB386/C386,(INT(AB386/B386)+(((AB386-B386*INT(AB386/B386)))/C386)/100))),0,(IF(B386=C386,AB386/C386,(INT(AB386/B386)+(((AB386-B386*INT(AB386/B386)))/C386)/100))))</f>
        <v>0</v>
      </c>
      <c r="BN386" s="57">
        <f>IF(ISERROR(IF(B386=C386,AC386/C386,(INT(AC386/B386)+(((AC386-B386*INT(AC386/B386)))/C386)/100))),0,(IF(B386=C386,AC386/C386,(INT(AC386/B386)+(((AC386-B386*INT(AC386/B386)))/C386)/100))))</f>
        <v>0</v>
      </c>
      <c r="BO386" s="57">
        <f>IF(ISERROR(IF(B386=C386,AD386/C386,(INT(AD386/B386)+(((AD386-B386*INT(AD386/B386)))/C386)/100))),0,(IF(B386=C386,AD386/C386,(INT(AD386/B386)+(((AD386-B386*INT(AD386/B386)))/C386)/100))))</f>
        <v>0</v>
      </c>
      <c r="BQ386" s="155" t="s">
        <v>207</v>
      </c>
    </row>
    <row r="387" spans="1:69" x14ac:dyDescent="0.35">
      <c r="A387" s="165" t="s">
        <v>243</v>
      </c>
      <c r="B387" s="113">
        <v>750</v>
      </c>
      <c r="C387" s="113">
        <v>30</v>
      </c>
      <c r="D387" s="28">
        <f>SUM(AA387:AD387)</f>
        <v>1020</v>
      </c>
      <c r="E387" s="113">
        <v>0</v>
      </c>
      <c r="F387" s="113">
        <v>0</v>
      </c>
      <c r="G387" s="28">
        <f>SUM(D387:F387)</f>
        <v>1020</v>
      </c>
      <c r="H387" s="164">
        <v>0</v>
      </c>
      <c r="I387" s="113">
        <v>0</v>
      </c>
      <c r="J387" s="125">
        <v>0</v>
      </c>
      <c r="K387" s="113">
        <v>0</v>
      </c>
      <c r="L387" s="113">
        <v>0</v>
      </c>
      <c r="M387" s="113">
        <v>0</v>
      </c>
      <c r="N387" s="28">
        <f>G387-SUM(H387:M387)</f>
        <v>1020</v>
      </c>
      <c r="O387" s="28">
        <f>SUM(V387:Y387)</f>
        <v>1020</v>
      </c>
      <c r="P387" s="28">
        <f>O387-N387</f>
        <v>0</v>
      </c>
      <c r="Q387" s="61" t="str">
        <f>IF(ISERROR(P387/SUM(H387:L387)),"",P387/SUM(H387:L387))</f>
        <v/>
      </c>
      <c r="R387" s="113">
        <v>135</v>
      </c>
      <c r="S387" s="28">
        <f>IF(ISERROR(P387/C387*R387),0,(P387/C387*R387))</f>
        <v>0</v>
      </c>
      <c r="T387" s="60">
        <f>IF(ISERROR(P387/B387*AF387),0,(P387/B387*AF387))</f>
        <v>0</v>
      </c>
      <c r="V387" s="113">
        <f>9*30</f>
        <v>270</v>
      </c>
      <c r="W387" s="113">
        <v>750</v>
      </c>
      <c r="X387" s="113">
        <v>0</v>
      </c>
      <c r="Y387" s="113">
        <v>0</v>
      </c>
      <c r="AA387" s="113">
        <f>9*30</f>
        <v>270</v>
      </c>
      <c r="AB387" s="113">
        <f>1*750</f>
        <v>750</v>
      </c>
      <c r="AC387" s="113">
        <v>0</v>
      </c>
      <c r="AD387" s="113">
        <v>0</v>
      </c>
      <c r="AF387" s="162">
        <v>1127.2749999999999</v>
      </c>
      <c r="AG387" s="28">
        <f>G387-O387</f>
        <v>0</v>
      </c>
      <c r="AH387" s="58">
        <f>IF(ISERROR(AG387/B387*AF387),0,(AG387/B387*AF387))</f>
        <v>0</v>
      </c>
      <c r="AI387" s="28">
        <f>SUM(H387:M387)</f>
        <v>0</v>
      </c>
      <c r="AJ387" s="28">
        <f>IF(ISERROR(AI387/B387*AF387),0,(AI387/B387*AF387))</f>
        <v>0</v>
      </c>
      <c r="AK387" s="58">
        <f>IF(ISERROR(O387/B387*AF387),0,(O387/B387*AF387))</f>
        <v>1533.0939999999998</v>
      </c>
      <c r="AL387" s="28">
        <f>IF(ISERROR(H387/B387*AF387),0,(H387/B387*AF387))</f>
        <v>0</v>
      </c>
      <c r="AN387" s="51" t="str">
        <f>A387</f>
        <v xml:space="preserve">Bacardi Orange </v>
      </c>
      <c r="AO387" s="57">
        <f>IF(ISERROR(IF(B387=C387,D387/C387,(INT(D387/B387)+(((D387-B387*INT(D387/B387)))/C387)/100))),0,(IF(B387=C387,D387/C387,(INT(D387/B387)+(((D387-B387*INT(D387/B387)))/C387)/100))))</f>
        <v>1.0900000000000001</v>
      </c>
      <c r="AP387" s="57">
        <f>IF(ISERROR(IF(B387=C387,E387/C387,(INT(E387/B387)+(((E387-B387*INT(E387/B387)))/C387)/100))),0,(IF(B387=C387,E387/C387,(INT(E387/B387)+(((E387-B387*INT(E387/B387)))/C387)/100))))</f>
        <v>0</v>
      </c>
      <c r="AQ387" s="57">
        <f>IF(ISERROR(IF(B387=C387,F387/C387,IF((INT(F387/B387)+(((F387-B387*INT(F387/B387)))/C387)/100)&lt;0,(INT(F387/B387)+(((F387-B387*INT(F387/B387)))/C387)/100)+(1-(B387/C387/100)),(INT(F387/B387)+(((F387-B387*INT(F387/B387)))/C387)/100)))),0,IF(B387=C387,F387/C387,IF((INT(F387/B387)+(((F387-B387*INT(F387/B387)))/C387)/100)&lt;0,(INT(F387/B387)+(((F387-B387*INT(F387/B387)))/C387)/100)+(1-(B387/C387/100)),(INT(F387/B387)+(((F387-B387*INT(F387/B387)))/C387)/100))))</f>
        <v>0</v>
      </c>
      <c r="AR387" s="57">
        <f>IF(ISERROR(IF(B387=C387,G387/C387,(INT(G387/B387)+(((G387-B387*INT(G387/B387)))/C387)/100))),0,(IF(B387=C387,G387/C387,(INT(G387/B387)+(((G387-B387*INT(G387/B387)))/C387)/100))))</f>
        <v>1.0900000000000001</v>
      </c>
      <c r="AS387" s="57">
        <f>IF(ISERROR(IF(B387=C387,H387/C387,(INT(H387/B387)+(((H387-B387*INT(H387/B387)))/C387)/100))),0,(IF(B387=C387,H387/C387,(INT(H387/B387)+(((H387-B387*INT(H387/B387)))/C387)/100))))</f>
        <v>0</v>
      </c>
      <c r="AT387" s="57">
        <f>IF(ISERROR(IF(B387=C387,I387/C387,(INT(I387/B387)+(((I387-B387*INT(I387/B387)))/C387)/100))),0,(IF(B387=C387,I387/C387,(INT(I387/B387)+(((I387-B387*INT(I387/B387)))/C387)/100))))</f>
        <v>0</v>
      </c>
      <c r="AU387" s="57">
        <f>IF(ISERROR(IF(B387=C387,J387/C387,(INT(J387/B387)+(((J387-B387*INT(J387/B387)))/C387)/100))),0,(IF(B387=C387,J387/C387,(INT(J387/B387)+(((J387-B387*INT(J387/B387)))/C387)/100))))</f>
        <v>0</v>
      </c>
      <c r="AV387" s="57">
        <f>IF(ISERROR(IF(B387=C387,K387/C387,IF((INT(K387/B387)+(((K387-B387*INT(K387/B387)))/C387)/100)&lt;0,(INT(K387/B387)+(((K387-B387*INT(K387/B387)))/C387)/100)+(1-(B387/C387/100)),(INT(K387/B387)+(((K387-B387*INT(K387/B387)))/C387)/100)))),0,IF(B387=C387,K387/C387,IF((INT(K387/B387)+(((K387-B387*INT(K387/B387)))/C387)/100)&lt;0,(INT(K387/B387)+(((K387-B387*INT(K387/B387)))/C387)/100)+(1-(B387/C387/100)),(INT(K387/B387)+(((K387-B387*INT(K387/B387)))/C387)/100))))</f>
        <v>0</v>
      </c>
      <c r="AW387" s="57">
        <f>IF(ISERROR(IF(B387=C387,L387/C387,(INT(L387/B387)+(((L387-B387*INT(L387/B387)))/C387)/100))),0,(IF(B387=C387,L387/C387,(INT(L387/B387)+(((L387-B387*INT(L387/B387)))/C387)/100))))</f>
        <v>0</v>
      </c>
      <c r="AX387" s="57">
        <f>IF(ISERROR(IF(B387=C387,M387/C387,(INT(M387/B387)+(((M387-B387*INT(M387/B387)))/C387)/100))),0,(IF(B387=C387,M387/C387,(INT(M387/B387)+(((M387-B387*INT(M387/B387)))/C387)/100))))</f>
        <v>0</v>
      </c>
      <c r="AY387" s="57">
        <f>IF(ISERROR(IF(B387=C387,N387/C387,IF((INT(N387/B387)+(((N387-B387*INT(N387/B387)))/C387)/100)&lt;0,(INT(N387/B387)+(((N387-B387*INT(N387/B387)))/C387)/100)+(1-(B387/C387/100)),(INT(N387/B387)+(((N387-B387*INT(N387/B387)))/C387)/100)))),0,IF(B387=C387,N387/C387,IF((INT(N387/B387)+(((N387-B387*INT(N387/B387)))/C387)/100)&lt;0,(INT(N387/B387)+(((N387-B387*INT(N387/B387)))/C387)/100)+(1-(B387/C387/100)),(INT(N387/B387)+(((N387-B387*INT(N387/B387)))/C387)/100))))</f>
        <v>1.0900000000000001</v>
      </c>
      <c r="AZ387" s="57">
        <f>IF(ISERROR(IF(B387=C387,O387/C387,(INT(O387/B387)+(((O387-B387*INT(O387/B387)))/C387)/100))),0,(IF(B387=C387,O387/C387,(INT(O387/B387)+(((O387-B387*INT(O387/B387)))/C387)/100))))</f>
        <v>1.0900000000000001</v>
      </c>
      <c r="BA387" s="57">
        <f>IF(ISERROR(IF(B387=C387,P387/C387,IF((INT(P387/B387)+(((P387-B387*INT(P387/B387)))/C387)/100)&lt;0,(INT(P387/B387)+(((P387-B387*INT(P387/B387)))/C387)/100)+(1-(B387/C387/100)),(INT(P387/B387)+(((P387-B387*INT(P387/B387)))/C387)/100)))),0,IF(B387=C387,P387/C387,IF((INT(P387/B387)+(((P387-B387*INT(P387/B387)))/C387)/100)&lt;0,(INT(P387/B387)+(((P387-B387*INT(P387/B387)))/C387)/100)+(1-(B387/C387/100)),(INT(P387/B387)+(((P387-B387*INT(P387/B387)))/C387)/100))))</f>
        <v>0</v>
      </c>
      <c r="BB387" s="28">
        <f>R387</f>
        <v>135</v>
      </c>
      <c r="BC387" s="28">
        <f>S387</f>
        <v>0</v>
      </c>
      <c r="BD387" s="28">
        <f>AF387</f>
        <v>1127.2749999999999</v>
      </c>
      <c r="BE387" s="28">
        <f>T387</f>
        <v>0</v>
      </c>
      <c r="BG387" s="57">
        <f>IF(ISERROR(IF(B387=C387,V387/C387,(INT(V387/B387)+(((V387-B387*INT(V387/B387)))/C387)/100))),0,(IF(B387=C387,V387/C387,(INT(V387/B387)+(((V387-B387*INT(V387/B387)))/C387)/100))))</f>
        <v>0.09</v>
      </c>
      <c r="BH387" s="57">
        <f>IF(ISERROR(IF(B387=C387,W387/C387,(INT(W387/B387)+(((W387-B387*INT(W387/B387)))/C387)/100))),0,(IF(B387=C387,W387/C387,(INT(W387/B387)+(((W387-B387*INT(W387/B387)))/C387)/100))))</f>
        <v>1</v>
      </c>
      <c r="BI387" s="57">
        <f>IF(ISERROR(IF(B387=C387,X387/C387,(INT(X387/B387)+(((X387-B387*INT(X387/B387)))/C387)/100))),0,(IF(B387=C387,X387/C387,(INT(X387/B387)+(((X387-B387*INT(X387/B387)))/C387)/100))))</f>
        <v>0</v>
      </c>
      <c r="BJ387" s="57">
        <f>IF(ISERROR(IF(B387=C387,Y387/C387,(INT(Y387/B387)+(((Y387-B387*INT(Y387/B387)))/C387)/100))),0,(IF(B387=C387,Y387/C387,(INT(Y387/B387)+(((Y387-B387*INT(Y387/B387)))/C387)/100))))</f>
        <v>0</v>
      </c>
      <c r="BL387" s="57">
        <f>IF(ISERROR(IF(B387=C387,AA387/C387,(INT(AA387/B387)+(((AA387-B387*INT(AA387/B387)))/C387)/100))),0,(IF(B387=C387,AA387/C387,(INT(AA387/B387)+(((AA387-B387*INT(AA387/B387)))/C387)/100))))</f>
        <v>0.09</v>
      </c>
      <c r="BM387" s="57">
        <f>IF(ISERROR(IF(B387=C387,AB387/C387,(INT(AB387/B387)+(((AB387-B387*INT(AB387/B387)))/C387)/100))),0,(IF(B387=C387,AB387/C387,(INT(AB387/B387)+(((AB387-B387*INT(AB387/B387)))/C387)/100))))</f>
        <v>1</v>
      </c>
      <c r="BN387" s="57">
        <f>IF(ISERROR(IF(B387=C387,AC387/C387,(INT(AC387/B387)+(((AC387-B387*INT(AC387/B387)))/C387)/100))),0,(IF(B387=C387,AC387/C387,(INT(AC387/B387)+(((AC387-B387*INT(AC387/B387)))/C387)/100))))</f>
        <v>0</v>
      </c>
      <c r="BO387" s="57">
        <f>IF(ISERROR(IF(B387=C387,AD387/C387,(INT(AD387/B387)+(((AD387-B387*INT(AD387/B387)))/C387)/100))),0,(IF(B387=C387,AD387/C387,(INT(AD387/B387)+(((AD387-B387*INT(AD387/B387)))/C387)/100))))</f>
        <v>0</v>
      </c>
      <c r="BQ387" s="155" t="s">
        <v>207</v>
      </c>
    </row>
    <row r="388" spans="1:69" x14ac:dyDescent="0.35">
      <c r="A388" s="165" t="s">
        <v>242</v>
      </c>
      <c r="B388" s="113">
        <v>750</v>
      </c>
      <c r="C388" s="113">
        <v>30</v>
      </c>
      <c r="D388" s="28">
        <f>SUM(AA388:AD388)</f>
        <v>990</v>
      </c>
      <c r="E388" s="113">
        <v>0</v>
      </c>
      <c r="F388" s="113">
        <v>0</v>
      </c>
      <c r="G388" s="28">
        <f>SUM(D388:F388)</f>
        <v>990</v>
      </c>
      <c r="H388" s="164">
        <v>0</v>
      </c>
      <c r="I388" s="113">
        <v>0</v>
      </c>
      <c r="J388" s="125">
        <v>0</v>
      </c>
      <c r="K388" s="113">
        <v>0</v>
      </c>
      <c r="L388" s="113">
        <v>0</v>
      </c>
      <c r="M388" s="113">
        <v>0</v>
      </c>
      <c r="N388" s="28">
        <f>G388-SUM(H388:M388)</f>
        <v>990</v>
      </c>
      <c r="O388" s="28">
        <f>SUM(V388:Y388)</f>
        <v>990</v>
      </c>
      <c r="P388" s="28">
        <f>O388-N388</f>
        <v>0</v>
      </c>
      <c r="Q388" s="61" t="str">
        <f>IF(ISERROR(P388/SUM(H388:L388)),"",P388/SUM(H388:L388))</f>
        <v/>
      </c>
      <c r="R388" s="113">
        <v>135</v>
      </c>
      <c r="S388" s="28">
        <f>IF(ISERROR(P388/C388*R388),0,(P388/C388*R388))</f>
        <v>0</v>
      </c>
      <c r="T388" s="60">
        <f>IF(ISERROR(P388/B388*AF388),0,(P388/B388*AF388))</f>
        <v>0</v>
      </c>
      <c r="V388" s="113">
        <f>1*750+8*30</f>
        <v>990</v>
      </c>
      <c r="W388" s="113">
        <v>0</v>
      </c>
      <c r="X388" s="113">
        <v>0</v>
      </c>
      <c r="Y388" s="113">
        <v>0</v>
      </c>
      <c r="AA388" s="113">
        <f>1*750+8*30</f>
        <v>990</v>
      </c>
      <c r="AB388" s="113">
        <v>0</v>
      </c>
      <c r="AC388" s="113">
        <v>0</v>
      </c>
      <c r="AD388" s="113">
        <v>0</v>
      </c>
      <c r="AF388" s="167">
        <v>1127.2749999999999</v>
      </c>
      <c r="AG388" s="28">
        <f>G388-O388</f>
        <v>0</v>
      </c>
      <c r="AH388" s="58">
        <f>IF(ISERROR(AG388/B388*AF388),0,(AG388/B388*AF388))</f>
        <v>0</v>
      </c>
      <c r="AI388" s="28">
        <f>SUM(H388:M388)</f>
        <v>0</v>
      </c>
      <c r="AJ388" s="28">
        <f>IF(ISERROR(AI388/B388*AF388),0,(AI388/B388*AF388))</f>
        <v>0</v>
      </c>
      <c r="AK388" s="58">
        <f>IF(ISERROR(O388/B388*AF388),0,(O388/B388*AF388))</f>
        <v>1488.0029999999999</v>
      </c>
      <c r="AL388" s="28">
        <f>IF(ISERROR(H388/B388*AF388),0,(H388/B388*AF388))</f>
        <v>0</v>
      </c>
      <c r="AN388" s="51" t="str">
        <f>A388</f>
        <v>Bacardi Peach</v>
      </c>
      <c r="AO388" s="57">
        <f>IF(ISERROR(IF(B388=C388,D388/C388,(INT(D388/B388)+(((D388-B388*INT(D388/B388)))/C388)/100))),0,(IF(B388=C388,D388/C388,(INT(D388/B388)+(((D388-B388*INT(D388/B388)))/C388)/100))))</f>
        <v>1.08</v>
      </c>
      <c r="AP388" s="57">
        <f>IF(ISERROR(IF(B388=C388,E388/C388,(INT(E388/B388)+(((E388-B388*INT(E388/B388)))/C388)/100))),0,(IF(B388=C388,E388/C388,(INT(E388/B388)+(((E388-B388*INT(E388/B388)))/C388)/100))))</f>
        <v>0</v>
      </c>
      <c r="AQ388" s="57">
        <f>IF(ISERROR(IF(B388=C388,F388/C388,IF((INT(F388/B388)+(((F388-B388*INT(F388/B388)))/C388)/100)&lt;0,(INT(F388/B388)+(((F388-B388*INT(F388/B388)))/C388)/100)+(1-(B388/C388/100)),(INT(F388/B388)+(((F388-B388*INT(F388/B388)))/C388)/100)))),0,IF(B388=C388,F388/C388,IF((INT(F388/B388)+(((F388-B388*INT(F388/B388)))/C388)/100)&lt;0,(INT(F388/B388)+(((F388-B388*INT(F388/B388)))/C388)/100)+(1-(B388/C388/100)),(INT(F388/B388)+(((F388-B388*INT(F388/B388)))/C388)/100))))</f>
        <v>0</v>
      </c>
      <c r="AR388" s="57">
        <f>IF(ISERROR(IF(B388=C388,G388/C388,(INT(G388/B388)+(((G388-B388*INT(G388/B388)))/C388)/100))),0,(IF(B388=C388,G388/C388,(INT(G388/B388)+(((G388-B388*INT(G388/B388)))/C388)/100))))</f>
        <v>1.08</v>
      </c>
      <c r="AS388" s="57">
        <f>IF(ISERROR(IF(B388=C388,H388/C388,(INT(H388/B388)+(((H388-B388*INT(H388/B388)))/C388)/100))),0,(IF(B388=C388,H388/C388,(INT(H388/B388)+(((H388-B388*INT(H388/B388)))/C388)/100))))</f>
        <v>0</v>
      </c>
      <c r="AT388" s="57">
        <f>IF(ISERROR(IF(B388=C388,I388/C388,(INT(I388/B388)+(((I388-B388*INT(I388/B388)))/C388)/100))),0,(IF(B388=C388,I388/C388,(INT(I388/B388)+(((I388-B388*INT(I388/B388)))/C388)/100))))</f>
        <v>0</v>
      </c>
      <c r="AU388" s="57">
        <f>IF(ISERROR(IF(B388=C388,J388/C388,(INT(J388/B388)+(((J388-B388*INT(J388/B388)))/C388)/100))),0,(IF(B388=C388,J388/C388,(INT(J388/B388)+(((J388-B388*INT(J388/B388)))/C388)/100))))</f>
        <v>0</v>
      </c>
      <c r="AV388" s="57">
        <f>IF(ISERROR(IF(B388=C388,K388/C388,IF((INT(K388/B388)+(((K388-B388*INT(K388/B388)))/C388)/100)&lt;0,(INT(K388/B388)+(((K388-B388*INT(K388/B388)))/C388)/100)+(1-(B388/C388/100)),(INT(K388/B388)+(((K388-B388*INT(K388/B388)))/C388)/100)))),0,IF(B388=C388,K388/C388,IF((INT(K388/B388)+(((K388-B388*INT(K388/B388)))/C388)/100)&lt;0,(INT(K388/B388)+(((K388-B388*INT(K388/B388)))/C388)/100)+(1-(B388/C388/100)),(INT(K388/B388)+(((K388-B388*INT(K388/B388)))/C388)/100))))</f>
        <v>0</v>
      </c>
      <c r="AW388" s="57">
        <f>IF(ISERROR(IF(B388=C388,L388/C388,(INT(L388/B388)+(((L388-B388*INT(L388/B388)))/C388)/100))),0,(IF(B388=C388,L388/C388,(INT(L388/B388)+(((L388-B388*INT(L388/B388)))/C388)/100))))</f>
        <v>0</v>
      </c>
      <c r="AX388" s="57">
        <f>IF(ISERROR(IF(B388=C388,M388/C388,(INT(M388/B388)+(((M388-B388*INT(M388/B388)))/C388)/100))),0,(IF(B388=C388,M388/C388,(INT(M388/B388)+(((M388-B388*INT(M388/B388)))/C388)/100))))</f>
        <v>0</v>
      </c>
      <c r="AY388" s="57">
        <f>IF(ISERROR(IF(B388=C388,N388/C388,IF((INT(N388/B388)+(((N388-B388*INT(N388/B388)))/C388)/100)&lt;0,(INT(N388/B388)+(((N388-B388*INT(N388/B388)))/C388)/100)+(1-(B388/C388/100)),(INT(N388/B388)+(((N388-B388*INT(N388/B388)))/C388)/100)))),0,IF(B388=C388,N388/C388,IF((INT(N388/B388)+(((N388-B388*INT(N388/B388)))/C388)/100)&lt;0,(INT(N388/B388)+(((N388-B388*INT(N388/B388)))/C388)/100)+(1-(B388/C388/100)),(INT(N388/B388)+(((N388-B388*INT(N388/B388)))/C388)/100))))</f>
        <v>1.08</v>
      </c>
      <c r="AZ388" s="57">
        <f>IF(ISERROR(IF(B388=C388,O388/C388,(INT(O388/B388)+(((O388-B388*INT(O388/B388)))/C388)/100))),0,(IF(B388=C388,O388/C388,(INT(O388/B388)+(((O388-B388*INT(O388/B388)))/C388)/100))))</f>
        <v>1.08</v>
      </c>
      <c r="BA388" s="57">
        <f>IF(ISERROR(IF(B388=C388,P388/C388,IF((INT(P388/B388)+(((P388-B388*INT(P388/B388)))/C388)/100)&lt;0,(INT(P388/B388)+(((P388-B388*INT(P388/B388)))/C388)/100)+(1-(B388/C388/100)),(INT(P388/B388)+(((P388-B388*INT(P388/B388)))/C388)/100)))),0,IF(B388=C388,P388/C388,IF((INT(P388/B388)+(((P388-B388*INT(P388/B388)))/C388)/100)&lt;0,(INT(P388/B388)+(((P388-B388*INT(P388/B388)))/C388)/100)+(1-(B388/C388/100)),(INT(P388/B388)+(((P388-B388*INT(P388/B388)))/C388)/100))))</f>
        <v>0</v>
      </c>
      <c r="BB388" s="28">
        <f>R388</f>
        <v>135</v>
      </c>
      <c r="BC388" s="28">
        <f>S388</f>
        <v>0</v>
      </c>
      <c r="BD388" s="28">
        <f>AF388</f>
        <v>1127.2749999999999</v>
      </c>
      <c r="BE388" s="28">
        <f>T388</f>
        <v>0</v>
      </c>
      <c r="BG388" s="57">
        <f>IF(ISERROR(IF(B388=C388,V388/C388,(INT(V388/B388)+(((V388-B388*INT(V388/B388)))/C388)/100))),0,(IF(B388=C388,V388/C388,(INT(V388/B388)+(((V388-B388*INT(V388/B388)))/C388)/100))))</f>
        <v>1.08</v>
      </c>
      <c r="BH388" s="57">
        <f>IF(ISERROR(IF(B388=C388,W388/C388,(INT(W388/B388)+(((W388-B388*INT(W388/B388)))/C388)/100))),0,(IF(B388=C388,W388/C388,(INT(W388/B388)+(((W388-B388*INT(W388/B388)))/C388)/100))))</f>
        <v>0</v>
      </c>
      <c r="BI388" s="57">
        <f>IF(ISERROR(IF(B388=C388,X388/C388,(INT(X388/B388)+(((X388-B388*INT(X388/B388)))/C388)/100))),0,(IF(B388=C388,X388/C388,(INT(X388/B388)+(((X388-B388*INT(X388/B388)))/C388)/100))))</f>
        <v>0</v>
      </c>
      <c r="BJ388" s="57">
        <f>IF(ISERROR(IF(B388=C388,Y388/C388,(INT(Y388/B388)+(((Y388-B388*INT(Y388/B388)))/C388)/100))),0,(IF(B388=C388,Y388/C388,(INT(Y388/B388)+(((Y388-B388*INT(Y388/B388)))/C388)/100))))</f>
        <v>0</v>
      </c>
      <c r="BL388" s="57">
        <f>IF(ISERROR(IF(B388=C388,AA388/C388,(INT(AA388/B388)+(((AA388-B388*INT(AA388/B388)))/C388)/100))),0,(IF(B388=C388,AA388/C388,(INT(AA388/B388)+(((AA388-B388*INT(AA388/B388)))/C388)/100))))</f>
        <v>1.08</v>
      </c>
      <c r="BM388" s="57">
        <f>IF(ISERROR(IF(B388=C388,AB388/C388,(INT(AB388/B388)+(((AB388-B388*INT(AB388/B388)))/C388)/100))),0,(IF(B388=C388,AB388/C388,(INT(AB388/B388)+(((AB388-B388*INT(AB388/B388)))/C388)/100))))</f>
        <v>0</v>
      </c>
      <c r="BN388" s="57">
        <f>IF(ISERROR(IF(B388=C388,AC388/C388,(INT(AC388/B388)+(((AC388-B388*INT(AC388/B388)))/C388)/100))),0,(IF(B388=C388,AC388/C388,(INT(AC388/B388)+(((AC388-B388*INT(AC388/B388)))/C388)/100))))</f>
        <v>0</v>
      </c>
      <c r="BO388" s="57">
        <f>IF(ISERROR(IF(B388=C388,AD388/C388,(INT(AD388/B388)+(((AD388-B388*INT(AD388/B388)))/C388)/100))),0,(IF(B388=C388,AD388/C388,(INT(AD388/B388)+(((AD388-B388*INT(AD388/B388)))/C388)/100))))</f>
        <v>0</v>
      </c>
      <c r="BQ388" s="155" t="s">
        <v>207</v>
      </c>
    </row>
    <row r="389" spans="1:69" x14ac:dyDescent="0.35">
      <c r="A389" s="165" t="s">
        <v>241</v>
      </c>
      <c r="B389" s="113">
        <v>750</v>
      </c>
      <c r="C389" s="113">
        <v>30</v>
      </c>
      <c r="D389" s="28">
        <f>SUM(AA389:AD389)</f>
        <v>2940</v>
      </c>
      <c r="E389" s="113">
        <v>0</v>
      </c>
      <c r="F389" s="113">
        <v>0</v>
      </c>
      <c r="G389" s="28">
        <f>SUM(D389:F389)</f>
        <v>2940</v>
      </c>
      <c r="H389" s="164">
        <v>0</v>
      </c>
      <c r="I389" s="113">
        <v>0</v>
      </c>
      <c r="J389" s="125">
        <v>0</v>
      </c>
      <c r="K389" s="113">
        <v>0</v>
      </c>
      <c r="L389" s="113">
        <v>0</v>
      </c>
      <c r="M389" s="113">
        <v>0</v>
      </c>
      <c r="N389" s="28">
        <f>G389-SUM(H389:M389)</f>
        <v>2940</v>
      </c>
      <c r="O389" s="28">
        <f>SUM(V389:Y389)</f>
        <v>2940</v>
      </c>
      <c r="P389" s="28">
        <f>O389-N389</f>
        <v>0</v>
      </c>
      <c r="Q389" s="61" t="str">
        <f>IF(ISERROR(P389/SUM(H389:L389)),"",P389/SUM(H389:L389))</f>
        <v/>
      </c>
      <c r="R389" s="113">
        <v>175</v>
      </c>
      <c r="S389" s="28">
        <f>IF(ISERROR(P389/C389*R389),0,(P389/C389*R389))</f>
        <v>0</v>
      </c>
      <c r="T389" s="60">
        <f>IF(ISERROR(P389/B389*AF389),0,(P389/B389*AF389))</f>
        <v>0</v>
      </c>
      <c r="V389" s="113">
        <f>2*750+23*30</f>
        <v>2190</v>
      </c>
      <c r="W389" s="113">
        <v>750</v>
      </c>
      <c r="X389" s="113">
        <v>0</v>
      </c>
      <c r="Y389" s="113">
        <v>0</v>
      </c>
      <c r="AA389" s="113">
        <f>2*750+23*30</f>
        <v>2190</v>
      </c>
      <c r="AB389" s="113">
        <f>1*750</f>
        <v>750</v>
      </c>
      <c r="AC389" s="113">
        <v>0</v>
      </c>
      <c r="AD389" s="113">
        <v>0</v>
      </c>
      <c r="AF389" s="162">
        <f>17738.2/12</f>
        <v>1478.1833333333334</v>
      </c>
      <c r="AG389" s="28">
        <f>G389-O389</f>
        <v>0</v>
      </c>
      <c r="AH389" s="58">
        <f>IF(ISERROR(AG389/B389*AF389),0,(AG389/B389*AF389))</f>
        <v>0</v>
      </c>
      <c r="AI389" s="28">
        <f>SUM(H389:M389)</f>
        <v>0</v>
      </c>
      <c r="AJ389" s="28">
        <f>IF(ISERROR(AI389/B389*AF389),0,(AI389/B389*AF389))</f>
        <v>0</v>
      </c>
      <c r="AK389" s="58">
        <f>IF(ISERROR(O389/B389*AF389),0,(O389/B389*AF389))</f>
        <v>5794.4786666666669</v>
      </c>
      <c r="AL389" s="28">
        <f>IF(ISERROR(H389/B389*AF389),0,(H389/B389*AF389))</f>
        <v>0</v>
      </c>
      <c r="AN389" s="51" t="str">
        <f>A389</f>
        <v xml:space="preserve">Black &amp; White </v>
      </c>
      <c r="AO389" s="57">
        <f>IF(ISERROR(IF(B389=C389,D389/C389,(INT(D389/B389)+(((D389-B389*INT(D389/B389)))/C389)/100))),0,(IF(B389=C389,D389/C389,(INT(D389/B389)+(((D389-B389*INT(D389/B389)))/C389)/100))))</f>
        <v>3.23</v>
      </c>
      <c r="AP389" s="57">
        <f>IF(ISERROR(IF(B389=C389,E389/C389,(INT(E389/B389)+(((E389-B389*INT(E389/B389)))/C389)/100))),0,(IF(B389=C389,E389/C389,(INT(E389/B389)+(((E389-B389*INT(E389/B389)))/C389)/100))))</f>
        <v>0</v>
      </c>
      <c r="AQ389" s="57">
        <f>IF(ISERROR(IF(B389=C389,F389/C389,IF((INT(F389/B389)+(((F389-B389*INT(F389/B389)))/C389)/100)&lt;0,(INT(F389/B389)+(((F389-B389*INT(F389/B389)))/C389)/100)+(1-(B389/C389/100)),(INT(F389/B389)+(((F389-B389*INT(F389/B389)))/C389)/100)))),0,IF(B389=C389,F389/C389,IF((INT(F389/B389)+(((F389-B389*INT(F389/B389)))/C389)/100)&lt;0,(INT(F389/B389)+(((F389-B389*INT(F389/B389)))/C389)/100)+(1-(B389/C389/100)),(INT(F389/B389)+(((F389-B389*INT(F389/B389)))/C389)/100))))</f>
        <v>0</v>
      </c>
      <c r="AR389" s="57">
        <f>IF(ISERROR(IF(B389=C389,G389/C389,(INT(G389/B389)+(((G389-B389*INT(G389/B389)))/C389)/100))),0,(IF(B389=C389,G389/C389,(INT(G389/B389)+(((G389-B389*INT(G389/B389)))/C389)/100))))</f>
        <v>3.23</v>
      </c>
      <c r="AS389" s="57">
        <f>IF(ISERROR(IF(B389=C389,H389/C389,(INT(H389/B389)+(((H389-B389*INT(H389/B389)))/C389)/100))),0,(IF(B389=C389,H389/C389,(INT(H389/B389)+(((H389-B389*INT(H389/B389)))/C389)/100))))</f>
        <v>0</v>
      </c>
      <c r="AT389" s="57">
        <f>IF(ISERROR(IF(B389=C389,I389/C389,(INT(I389/B389)+(((I389-B389*INT(I389/B389)))/C389)/100))),0,(IF(B389=C389,I389/C389,(INT(I389/B389)+(((I389-B389*INT(I389/B389)))/C389)/100))))</f>
        <v>0</v>
      </c>
      <c r="AU389" s="57">
        <f>IF(ISERROR(IF(B389=C389,J389/C389,(INT(J389/B389)+(((J389-B389*INT(J389/B389)))/C389)/100))),0,(IF(B389=C389,J389/C389,(INT(J389/B389)+(((J389-B389*INT(J389/B389)))/C389)/100))))</f>
        <v>0</v>
      </c>
      <c r="AV389" s="57">
        <f>IF(ISERROR(IF(B389=C389,K389/C389,IF((INT(K389/B389)+(((K389-B389*INT(K389/B389)))/C389)/100)&lt;0,(INT(K389/B389)+(((K389-B389*INT(K389/B389)))/C389)/100)+(1-(B389/C389/100)),(INT(K389/B389)+(((K389-B389*INT(K389/B389)))/C389)/100)))),0,IF(B389=C389,K389/C389,IF((INT(K389/B389)+(((K389-B389*INT(K389/B389)))/C389)/100)&lt;0,(INT(K389/B389)+(((K389-B389*INT(K389/B389)))/C389)/100)+(1-(B389/C389/100)),(INT(K389/B389)+(((K389-B389*INT(K389/B389)))/C389)/100))))</f>
        <v>0</v>
      </c>
      <c r="AW389" s="57">
        <f>IF(ISERROR(IF(B389=C389,L389/C389,(INT(L389/B389)+(((L389-B389*INT(L389/B389)))/C389)/100))),0,(IF(B389=C389,L389/C389,(INT(L389/B389)+(((L389-B389*INT(L389/B389)))/C389)/100))))</f>
        <v>0</v>
      </c>
      <c r="AX389" s="57">
        <f>IF(ISERROR(IF(B389=C389,M389/C389,(INT(M389/B389)+(((M389-B389*INT(M389/B389)))/C389)/100))),0,(IF(B389=C389,M389/C389,(INT(M389/B389)+(((M389-B389*INT(M389/B389)))/C389)/100))))</f>
        <v>0</v>
      </c>
      <c r="AY389" s="57">
        <f>IF(ISERROR(IF(B389=C389,N389/C389,IF((INT(N389/B389)+(((N389-B389*INT(N389/B389)))/C389)/100)&lt;0,(INT(N389/B389)+(((N389-B389*INT(N389/B389)))/C389)/100)+(1-(B389/C389/100)),(INT(N389/B389)+(((N389-B389*INT(N389/B389)))/C389)/100)))),0,IF(B389=C389,N389/C389,IF((INT(N389/B389)+(((N389-B389*INT(N389/B389)))/C389)/100)&lt;0,(INT(N389/B389)+(((N389-B389*INT(N389/B389)))/C389)/100)+(1-(B389/C389/100)),(INT(N389/B389)+(((N389-B389*INT(N389/B389)))/C389)/100))))</f>
        <v>3.23</v>
      </c>
      <c r="AZ389" s="57">
        <f>IF(ISERROR(IF(B389=C389,O389/C389,(INT(O389/B389)+(((O389-B389*INT(O389/B389)))/C389)/100))),0,(IF(B389=C389,O389/C389,(INT(O389/B389)+(((O389-B389*INT(O389/B389)))/C389)/100))))</f>
        <v>3.23</v>
      </c>
      <c r="BA389" s="57">
        <f>IF(ISERROR(IF(B389=C389,P389/C389,IF((INT(P389/B389)+(((P389-B389*INT(P389/B389)))/C389)/100)&lt;0,(INT(P389/B389)+(((P389-B389*INT(P389/B389)))/C389)/100)+(1-(B389/C389/100)),(INT(P389/B389)+(((P389-B389*INT(P389/B389)))/C389)/100)))),0,IF(B389=C389,P389/C389,IF((INT(P389/B389)+(((P389-B389*INT(P389/B389)))/C389)/100)&lt;0,(INT(P389/B389)+(((P389-B389*INT(P389/B389)))/C389)/100)+(1-(B389/C389/100)),(INT(P389/B389)+(((P389-B389*INT(P389/B389)))/C389)/100))))</f>
        <v>0</v>
      </c>
      <c r="BB389" s="28">
        <f>R389</f>
        <v>175</v>
      </c>
      <c r="BC389" s="28">
        <f>S389</f>
        <v>0</v>
      </c>
      <c r="BD389" s="28">
        <f>AF389</f>
        <v>1478.1833333333334</v>
      </c>
      <c r="BE389" s="28">
        <f>T389</f>
        <v>0</v>
      </c>
      <c r="BG389" s="57">
        <f>IF(ISERROR(IF(B389=C389,V389/C389,(INT(V389/B389)+(((V389-B389*INT(V389/B389)))/C389)/100))),0,(IF(B389=C389,V389/C389,(INT(V389/B389)+(((V389-B389*INT(V389/B389)))/C389)/100))))</f>
        <v>2.23</v>
      </c>
      <c r="BH389" s="57">
        <f>IF(ISERROR(IF(B389=C389,W389/C389,(INT(W389/B389)+(((W389-B389*INT(W389/B389)))/C389)/100))),0,(IF(B389=C389,W389/C389,(INT(W389/B389)+(((W389-B389*INT(W389/B389)))/C389)/100))))</f>
        <v>1</v>
      </c>
      <c r="BI389" s="57">
        <f>IF(ISERROR(IF(B389=C389,X389/C389,(INT(X389/B389)+(((X389-B389*INT(X389/B389)))/C389)/100))),0,(IF(B389=C389,X389/C389,(INT(X389/B389)+(((X389-B389*INT(X389/B389)))/C389)/100))))</f>
        <v>0</v>
      </c>
      <c r="BJ389" s="57">
        <f>IF(ISERROR(IF(B389=C389,Y389/C389,(INT(Y389/B389)+(((Y389-B389*INT(Y389/B389)))/C389)/100))),0,(IF(B389=C389,Y389/C389,(INT(Y389/B389)+(((Y389-B389*INT(Y389/B389)))/C389)/100))))</f>
        <v>0</v>
      </c>
      <c r="BL389" s="57">
        <f>IF(ISERROR(IF(B389=C389,AA389/C389,(INT(AA389/B389)+(((AA389-B389*INT(AA389/B389)))/C389)/100))),0,(IF(B389=C389,AA389/C389,(INT(AA389/B389)+(((AA389-B389*INT(AA389/B389)))/C389)/100))))</f>
        <v>2.23</v>
      </c>
      <c r="BM389" s="57">
        <f>IF(ISERROR(IF(B389=C389,AB389/C389,(INT(AB389/B389)+(((AB389-B389*INT(AB389/B389)))/C389)/100))),0,(IF(B389=C389,AB389/C389,(INT(AB389/B389)+(((AB389-B389*INT(AB389/B389)))/C389)/100))))</f>
        <v>1</v>
      </c>
      <c r="BN389" s="57">
        <f>IF(ISERROR(IF(B389=C389,AC389/C389,(INT(AC389/B389)+(((AC389-B389*INT(AC389/B389)))/C389)/100))),0,(IF(B389=C389,AC389/C389,(INT(AC389/B389)+(((AC389-B389*INT(AC389/B389)))/C389)/100))))</f>
        <v>0</v>
      </c>
      <c r="BO389" s="57">
        <f>IF(ISERROR(IF(B389=C389,AD389/C389,(INT(AD389/B389)+(((AD389-B389*INT(AD389/B389)))/C389)/100))),0,(IF(B389=C389,AD389/C389,(INT(AD389/B389)+(((AD389-B389*INT(AD389/B389)))/C389)/100))))</f>
        <v>0</v>
      </c>
      <c r="BQ389" s="155" t="s">
        <v>215</v>
      </c>
    </row>
    <row r="390" spans="1:69" x14ac:dyDescent="0.35">
      <c r="A390" s="165" t="s">
        <v>240</v>
      </c>
      <c r="B390" s="113">
        <v>750</v>
      </c>
      <c r="C390" s="113">
        <v>30</v>
      </c>
      <c r="D390" s="28">
        <f>SUM(AA390:AD390)</f>
        <v>2190</v>
      </c>
      <c r="E390" s="113">
        <v>0</v>
      </c>
      <c r="F390" s="113">
        <v>0</v>
      </c>
      <c r="G390" s="28">
        <f>SUM(D390:F390)</f>
        <v>2190</v>
      </c>
      <c r="H390" s="164">
        <v>0</v>
      </c>
      <c r="I390" s="113">
        <v>0</v>
      </c>
      <c r="J390" s="125">
        <v>0</v>
      </c>
      <c r="K390" s="113">
        <v>0</v>
      </c>
      <c r="L390" s="113">
        <v>0</v>
      </c>
      <c r="M390" s="113">
        <v>0</v>
      </c>
      <c r="N390" s="28">
        <f>G390-SUM(H390:M390)</f>
        <v>2190</v>
      </c>
      <c r="O390" s="28">
        <f>SUM(V390:Y390)</f>
        <v>2190</v>
      </c>
      <c r="P390" s="28">
        <f>O390-N390</f>
        <v>0</v>
      </c>
      <c r="Q390" s="61" t="str">
        <f>IF(ISERROR(P390/SUM(H390:L390)),"",P390/SUM(H390:L390))</f>
        <v/>
      </c>
      <c r="R390" s="113">
        <v>235</v>
      </c>
      <c r="S390" s="28">
        <f>IF(ISERROR(P390/C390*R390),0,(P390/C390*R390))</f>
        <v>0</v>
      </c>
      <c r="T390" s="60">
        <f>IF(ISERROR(P390/B390*AF390),0,(P390/B390*AF390))</f>
        <v>0</v>
      </c>
      <c r="V390" s="113">
        <f>23*30</f>
        <v>690</v>
      </c>
      <c r="W390" s="113">
        <f>2*750</f>
        <v>1500</v>
      </c>
      <c r="X390" s="113">
        <v>0</v>
      </c>
      <c r="Y390" s="113">
        <v>0</v>
      </c>
      <c r="AA390" s="113">
        <f>23*30</f>
        <v>690</v>
      </c>
      <c r="AB390" s="113">
        <f>2*750</f>
        <v>1500</v>
      </c>
      <c r="AC390" s="113">
        <v>0</v>
      </c>
      <c r="AD390" s="113">
        <v>0</v>
      </c>
      <c r="AF390" s="162">
        <f>28162.45/12</f>
        <v>2346.8708333333334</v>
      </c>
      <c r="AG390" s="28">
        <f>G390-O390</f>
        <v>0</v>
      </c>
      <c r="AH390" s="58">
        <f>IF(ISERROR(AG390/B390*AF390),0,(AG390/B390*AF390))</f>
        <v>0</v>
      </c>
      <c r="AI390" s="28">
        <f>SUM(H390:M390)</f>
        <v>0</v>
      </c>
      <c r="AJ390" s="28">
        <f>IF(ISERROR(AI390/B390*AF390),0,(AI390/B390*AF390))</f>
        <v>0</v>
      </c>
      <c r="AK390" s="58">
        <f>IF(ISERROR(O390/B390*AF390),0,(O390/B390*AF390))</f>
        <v>6852.8628333333336</v>
      </c>
      <c r="AL390" s="28">
        <f>IF(ISERROR(H390/B390*AF390),0,(H390/B390*AF390))</f>
        <v>0</v>
      </c>
      <c r="AN390" s="51" t="str">
        <f>A390</f>
        <v xml:space="preserve">Black Dog Centenary 12 yr </v>
      </c>
      <c r="AO390" s="57">
        <f>IF(ISERROR(IF(B390=C390,D390/C390,(INT(D390/B390)+(((D390-B390*INT(D390/B390)))/C390)/100))),0,(IF(B390=C390,D390/C390,(INT(D390/B390)+(((D390-B390*INT(D390/B390)))/C390)/100))))</f>
        <v>2.23</v>
      </c>
      <c r="AP390" s="57">
        <f>IF(ISERROR(IF(B390=C390,E390/C390,(INT(E390/B390)+(((E390-B390*INT(E390/B390)))/C390)/100))),0,(IF(B390=C390,E390/C390,(INT(E390/B390)+(((E390-B390*INT(E390/B390)))/C390)/100))))</f>
        <v>0</v>
      </c>
      <c r="AQ390" s="57">
        <f>IF(ISERROR(IF(B390=C390,F390/C390,IF((INT(F390/B390)+(((F390-B390*INT(F390/B390)))/C390)/100)&lt;0,(INT(F390/B390)+(((F390-B390*INT(F390/B390)))/C390)/100)+(1-(B390/C390/100)),(INT(F390/B390)+(((F390-B390*INT(F390/B390)))/C390)/100)))),0,IF(B390=C390,F390/C390,IF((INT(F390/B390)+(((F390-B390*INT(F390/B390)))/C390)/100)&lt;0,(INT(F390/B390)+(((F390-B390*INT(F390/B390)))/C390)/100)+(1-(B390/C390/100)),(INT(F390/B390)+(((F390-B390*INT(F390/B390)))/C390)/100))))</f>
        <v>0</v>
      </c>
      <c r="AR390" s="57">
        <f>IF(ISERROR(IF(B390=C390,G390/C390,(INT(G390/B390)+(((G390-B390*INT(G390/B390)))/C390)/100))),0,(IF(B390=C390,G390/C390,(INT(G390/B390)+(((G390-B390*INT(G390/B390)))/C390)/100))))</f>
        <v>2.23</v>
      </c>
      <c r="AS390" s="57">
        <f>IF(ISERROR(IF(B390=C390,H390/C390,(INT(H390/B390)+(((H390-B390*INT(H390/B390)))/C390)/100))),0,(IF(B390=C390,H390/C390,(INT(H390/B390)+(((H390-B390*INT(H390/B390)))/C390)/100))))</f>
        <v>0</v>
      </c>
      <c r="AT390" s="57">
        <f>IF(ISERROR(IF(B390=C390,I390/C390,(INT(I390/B390)+(((I390-B390*INT(I390/B390)))/C390)/100))),0,(IF(B390=C390,I390/C390,(INT(I390/B390)+(((I390-B390*INT(I390/B390)))/C390)/100))))</f>
        <v>0</v>
      </c>
      <c r="AU390" s="57">
        <f>IF(ISERROR(IF(B390=C390,J390/C390,(INT(J390/B390)+(((J390-B390*INT(J390/B390)))/C390)/100))),0,(IF(B390=C390,J390/C390,(INT(J390/B390)+(((J390-B390*INT(J390/B390)))/C390)/100))))</f>
        <v>0</v>
      </c>
      <c r="AV390" s="57">
        <f>IF(ISERROR(IF(B390=C390,K390/C390,IF((INT(K390/B390)+(((K390-B390*INT(K390/B390)))/C390)/100)&lt;0,(INT(K390/B390)+(((K390-B390*INT(K390/B390)))/C390)/100)+(1-(B390/C390/100)),(INT(K390/B390)+(((K390-B390*INT(K390/B390)))/C390)/100)))),0,IF(B390=C390,K390/C390,IF((INT(K390/B390)+(((K390-B390*INT(K390/B390)))/C390)/100)&lt;0,(INT(K390/B390)+(((K390-B390*INT(K390/B390)))/C390)/100)+(1-(B390/C390/100)),(INT(K390/B390)+(((K390-B390*INT(K390/B390)))/C390)/100))))</f>
        <v>0</v>
      </c>
      <c r="AW390" s="57">
        <f>IF(ISERROR(IF(B390=C390,L390/C390,(INT(L390/B390)+(((L390-B390*INT(L390/B390)))/C390)/100))),0,(IF(B390=C390,L390/C390,(INT(L390/B390)+(((L390-B390*INT(L390/B390)))/C390)/100))))</f>
        <v>0</v>
      </c>
      <c r="AX390" s="57">
        <f>IF(ISERROR(IF(B390=C390,M390/C390,(INT(M390/B390)+(((M390-B390*INT(M390/B390)))/C390)/100))),0,(IF(B390=C390,M390/C390,(INT(M390/B390)+(((M390-B390*INT(M390/B390)))/C390)/100))))</f>
        <v>0</v>
      </c>
      <c r="AY390" s="57">
        <f>IF(ISERROR(IF(B390=C390,N390/C390,IF((INT(N390/B390)+(((N390-B390*INT(N390/B390)))/C390)/100)&lt;0,(INT(N390/B390)+(((N390-B390*INT(N390/B390)))/C390)/100)+(1-(B390/C390/100)),(INT(N390/B390)+(((N390-B390*INT(N390/B390)))/C390)/100)))),0,IF(B390=C390,N390/C390,IF((INT(N390/B390)+(((N390-B390*INT(N390/B390)))/C390)/100)&lt;0,(INT(N390/B390)+(((N390-B390*INT(N390/B390)))/C390)/100)+(1-(B390/C390/100)),(INT(N390/B390)+(((N390-B390*INT(N390/B390)))/C390)/100))))</f>
        <v>2.23</v>
      </c>
      <c r="AZ390" s="57">
        <f>IF(ISERROR(IF(B390=C390,O390/C390,(INT(O390/B390)+(((O390-B390*INT(O390/B390)))/C390)/100))),0,(IF(B390=C390,O390/C390,(INT(O390/B390)+(((O390-B390*INT(O390/B390)))/C390)/100))))</f>
        <v>2.23</v>
      </c>
      <c r="BA390" s="57">
        <f>IF(ISERROR(IF(B390=C390,P390/C390,IF((INT(P390/B390)+(((P390-B390*INT(P390/B390)))/C390)/100)&lt;0,(INT(P390/B390)+(((P390-B390*INT(P390/B390)))/C390)/100)+(1-(B390/C390/100)),(INT(P390/B390)+(((P390-B390*INT(P390/B390)))/C390)/100)))),0,IF(B390=C390,P390/C390,IF((INT(P390/B390)+(((P390-B390*INT(P390/B390)))/C390)/100)&lt;0,(INT(P390/B390)+(((P390-B390*INT(P390/B390)))/C390)/100)+(1-(B390/C390/100)),(INT(P390/B390)+(((P390-B390*INT(P390/B390)))/C390)/100))))</f>
        <v>0</v>
      </c>
      <c r="BB390" s="28">
        <f>R390</f>
        <v>235</v>
      </c>
      <c r="BC390" s="28">
        <f>S390</f>
        <v>0</v>
      </c>
      <c r="BD390" s="28">
        <f>AF390</f>
        <v>2346.8708333333334</v>
      </c>
      <c r="BE390" s="28">
        <f>T390</f>
        <v>0</v>
      </c>
      <c r="BG390" s="57">
        <f>IF(ISERROR(IF(B390=C390,V390/C390,(INT(V390/B390)+(((V390-B390*INT(V390/B390)))/C390)/100))),0,(IF(B390=C390,V390/C390,(INT(V390/B390)+(((V390-B390*INT(V390/B390)))/C390)/100))))</f>
        <v>0.23</v>
      </c>
      <c r="BH390" s="57">
        <f>IF(ISERROR(IF(B390=C390,W390/C390,(INT(W390/B390)+(((W390-B390*INT(W390/B390)))/C390)/100))),0,(IF(B390=C390,W390/C390,(INT(W390/B390)+(((W390-B390*INT(W390/B390)))/C390)/100))))</f>
        <v>2</v>
      </c>
      <c r="BI390" s="57">
        <f>IF(ISERROR(IF(B390=C390,X390/C390,(INT(X390/B390)+(((X390-B390*INT(X390/B390)))/C390)/100))),0,(IF(B390=C390,X390/C390,(INT(X390/B390)+(((X390-B390*INT(X390/B390)))/C390)/100))))</f>
        <v>0</v>
      </c>
      <c r="BJ390" s="57">
        <f>IF(ISERROR(IF(B390=C390,Y390/C390,(INT(Y390/B390)+(((Y390-B390*INT(Y390/B390)))/C390)/100))),0,(IF(B390=C390,Y390/C390,(INT(Y390/B390)+(((Y390-B390*INT(Y390/B390)))/C390)/100))))</f>
        <v>0</v>
      </c>
      <c r="BL390" s="57">
        <f>IF(ISERROR(IF(B390=C390,AA390/C390,(INT(AA390/B390)+(((AA390-B390*INT(AA390/B390)))/C390)/100))),0,(IF(B390=C390,AA390/C390,(INT(AA390/B390)+(((AA390-B390*INT(AA390/B390)))/C390)/100))))</f>
        <v>0.23</v>
      </c>
      <c r="BM390" s="57">
        <f>IF(ISERROR(IF(B390=C390,AB390/C390,(INT(AB390/B390)+(((AB390-B390*INT(AB390/B390)))/C390)/100))),0,(IF(B390=C390,AB390/C390,(INT(AB390/B390)+(((AB390-B390*INT(AB390/B390)))/C390)/100))))</f>
        <v>2</v>
      </c>
      <c r="BN390" s="57">
        <f>IF(ISERROR(IF(B390=C390,AC390/C390,(INT(AC390/B390)+(((AC390-B390*INT(AC390/B390)))/C390)/100))),0,(IF(B390=C390,AC390/C390,(INT(AC390/B390)+(((AC390-B390*INT(AC390/B390)))/C390)/100))))</f>
        <v>0</v>
      </c>
      <c r="BO390" s="57">
        <f>IF(ISERROR(IF(B390=C390,AD390/C390,(INT(AD390/B390)+(((AD390-B390*INT(AD390/B390)))/C390)/100))),0,(IF(B390=C390,AD390/C390,(INT(AD390/B390)+(((AD390-B390*INT(AD390/B390)))/C390)/100))))</f>
        <v>0</v>
      </c>
      <c r="BQ390" s="155" t="s">
        <v>215</v>
      </c>
    </row>
    <row r="391" spans="1:69" x14ac:dyDescent="0.35">
      <c r="A391" s="165" t="s">
        <v>239</v>
      </c>
      <c r="B391" s="113">
        <v>750</v>
      </c>
      <c r="C391" s="113">
        <v>30</v>
      </c>
      <c r="D391" s="28">
        <f>SUM(AA391:AD391)</f>
        <v>9180</v>
      </c>
      <c r="E391" s="113">
        <v>0</v>
      </c>
      <c r="F391" s="113">
        <v>0</v>
      </c>
      <c r="G391" s="28">
        <f>SUM(D391:F391)</f>
        <v>9180</v>
      </c>
      <c r="H391" s="164">
        <v>0</v>
      </c>
      <c r="I391" s="113">
        <v>0</v>
      </c>
      <c r="J391" s="125">
        <v>0</v>
      </c>
      <c r="K391" s="113">
        <v>0</v>
      </c>
      <c r="L391" s="113">
        <v>0</v>
      </c>
      <c r="M391" s="113">
        <v>0</v>
      </c>
      <c r="N391" s="28">
        <f>G391-SUM(H391:M391)</f>
        <v>9180</v>
      </c>
      <c r="O391" s="28">
        <f>SUM(V391:Y391)</f>
        <v>9180</v>
      </c>
      <c r="P391" s="28">
        <f>O391-N391</f>
        <v>0</v>
      </c>
      <c r="Q391" s="61" t="str">
        <f>IF(ISERROR(P391/SUM(H391:L391)),"",P391/SUM(H391:L391))</f>
        <v/>
      </c>
      <c r="R391" s="113">
        <v>175</v>
      </c>
      <c r="S391" s="28">
        <f>IF(ISERROR(P391/C391*R391),0,(P391/C391*R391))</f>
        <v>0</v>
      </c>
      <c r="T391" s="60">
        <f>IF(ISERROR(P391/B391*AF391),0,(P391/B391*AF391))</f>
        <v>0</v>
      </c>
      <c r="V391" s="113">
        <f>4*750+6*30</f>
        <v>3180</v>
      </c>
      <c r="W391" s="113">
        <f>8*750</f>
        <v>6000</v>
      </c>
      <c r="X391" s="113">
        <v>0</v>
      </c>
      <c r="Y391" s="113">
        <v>0</v>
      </c>
      <c r="AA391" s="113">
        <f>4*750+6*30</f>
        <v>3180</v>
      </c>
      <c r="AB391" s="113">
        <f>8*750</f>
        <v>6000</v>
      </c>
      <c r="AC391" s="113">
        <v>0</v>
      </c>
      <c r="AD391" s="113">
        <v>0</v>
      </c>
      <c r="AF391" s="162">
        <f>17529.3/12</f>
        <v>1460.7749999999999</v>
      </c>
      <c r="AG391" s="28">
        <f>G391-O391</f>
        <v>0</v>
      </c>
      <c r="AH391" s="58">
        <f>IF(ISERROR(AG391/B391*AF391),0,(AG391/B391*AF391))</f>
        <v>0</v>
      </c>
      <c r="AI391" s="28">
        <f>SUM(H391:M391)</f>
        <v>0</v>
      </c>
      <c r="AJ391" s="28">
        <f>IF(ISERROR(AI391/B391*AF391),0,(AI391/B391*AF391))</f>
        <v>0</v>
      </c>
      <c r="AK391" s="58">
        <f>IF(ISERROR(O391/B391*AF391),0,(O391/B391*AF391))</f>
        <v>17879.885999999999</v>
      </c>
      <c r="AL391" s="28">
        <f>IF(ISERROR(H391/B391*AF391),0,(H391/B391*AF391))</f>
        <v>0</v>
      </c>
      <c r="AN391" s="51" t="str">
        <f>A391</f>
        <v>Black Dog Centenary 8 yr</v>
      </c>
      <c r="AO391" s="57">
        <f>IF(ISERROR(IF(B391=C391,D391/C391,(INT(D391/B391)+(((D391-B391*INT(D391/B391)))/C391)/100))),0,(IF(B391=C391,D391/C391,(INT(D391/B391)+(((D391-B391*INT(D391/B391)))/C391)/100))))</f>
        <v>12.06</v>
      </c>
      <c r="AP391" s="57">
        <f>IF(ISERROR(IF(B391=C391,E391/C391,(INT(E391/B391)+(((E391-B391*INT(E391/B391)))/C391)/100))),0,(IF(B391=C391,E391/C391,(INT(E391/B391)+(((E391-B391*INT(E391/B391)))/C391)/100))))</f>
        <v>0</v>
      </c>
      <c r="AQ391" s="57">
        <f>IF(ISERROR(IF(B391=C391,F391/C391,IF((INT(F391/B391)+(((F391-B391*INT(F391/B391)))/C391)/100)&lt;0,(INT(F391/B391)+(((F391-B391*INT(F391/B391)))/C391)/100)+(1-(B391/C391/100)),(INT(F391/B391)+(((F391-B391*INT(F391/B391)))/C391)/100)))),0,IF(B391=C391,F391/C391,IF((INT(F391/B391)+(((F391-B391*INT(F391/B391)))/C391)/100)&lt;0,(INT(F391/B391)+(((F391-B391*INT(F391/B391)))/C391)/100)+(1-(B391/C391/100)),(INT(F391/B391)+(((F391-B391*INT(F391/B391)))/C391)/100))))</f>
        <v>0</v>
      </c>
      <c r="AR391" s="57">
        <f>IF(ISERROR(IF(B391=C391,G391/C391,(INT(G391/B391)+(((G391-B391*INT(G391/B391)))/C391)/100))),0,(IF(B391=C391,G391/C391,(INT(G391/B391)+(((G391-B391*INT(G391/B391)))/C391)/100))))</f>
        <v>12.06</v>
      </c>
      <c r="AS391" s="57">
        <f>IF(ISERROR(IF(B391=C391,H391/C391,(INT(H391/B391)+(((H391-B391*INT(H391/B391)))/C391)/100))),0,(IF(B391=C391,H391/C391,(INT(H391/B391)+(((H391-B391*INT(H391/B391)))/C391)/100))))</f>
        <v>0</v>
      </c>
      <c r="AT391" s="57">
        <f>IF(ISERROR(IF(B391=C391,I391/C391,(INT(I391/B391)+(((I391-B391*INT(I391/B391)))/C391)/100))),0,(IF(B391=C391,I391/C391,(INT(I391/B391)+(((I391-B391*INT(I391/B391)))/C391)/100))))</f>
        <v>0</v>
      </c>
      <c r="AU391" s="57">
        <f>IF(ISERROR(IF(B391=C391,J391/C391,(INT(J391/B391)+(((J391-B391*INT(J391/B391)))/C391)/100))),0,(IF(B391=C391,J391/C391,(INT(J391/B391)+(((J391-B391*INT(J391/B391)))/C391)/100))))</f>
        <v>0</v>
      </c>
      <c r="AV391" s="57">
        <f>IF(ISERROR(IF(B391=C391,K391/C391,IF((INT(K391/B391)+(((K391-B391*INT(K391/B391)))/C391)/100)&lt;0,(INT(K391/B391)+(((K391-B391*INT(K391/B391)))/C391)/100)+(1-(B391/C391/100)),(INT(K391/B391)+(((K391-B391*INT(K391/B391)))/C391)/100)))),0,IF(B391=C391,K391/C391,IF((INT(K391/B391)+(((K391-B391*INT(K391/B391)))/C391)/100)&lt;0,(INT(K391/B391)+(((K391-B391*INT(K391/B391)))/C391)/100)+(1-(B391/C391/100)),(INT(K391/B391)+(((K391-B391*INT(K391/B391)))/C391)/100))))</f>
        <v>0</v>
      </c>
      <c r="AW391" s="57">
        <f>IF(ISERROR(IF(B391=C391,L391/C391,(INT(L391/B391)+(((L391-B391*INT(L391/B391)))/C391)/100))),0,(IF(B391=C391,L391/C391,(INT(L391/B391)+(((L391-B391*INT(L391/B391)))/C391)/100))))</f>
        <v>0</v>
      </c>
      <c r="AX391" s="57">
        <f>IF(ISERROR(IF(B391=C391,M391/C391,(INT(M391/B391)+(((M391-B391*INT(M391/B391)))/C391)/100))),0,(IF(B391=C391,M391/C391,(INT(M391/B391)+(((M391-B391*INT(M391/B391)))/C391)/100))))</f>
        <v>0</v>
      </c>
      <c r="AY391" s="57">
        <f>IF(ISERROR(IF(B391=C391,N391/C391,IF((INT(N391/B391)+(((N391-B391*INT(N391/B391)))/C391)/100)&lt;0,(INT(N391/B391)+(((N391-B391*INT(N391/B391)))/C391)/100)+(1-(B391/C391/100)),(INT(N391/B391)+(((N391-B391*INT(N391/B391)))/C391)/100)))),0,IF(B391=C391,N391/C391,IF((INT(N391/B391)+(((N391-B391*INT(N391/B391)))/C391)/100)&lt;0,(INT(N391/B391)+(((N391-B391*INT(N391/B391)))/C391)/100)+(1-(B391/C391/100)),(INT(N391/B391)+(((N391-B391*INT(N391/B391)))/C391)/100))))</f>
        <v>12.06</v>
      </c>
      <c r="AZ391" s="57">
        <f>IF(ISERROR(IF(B391=C391,O391/C391,(INT(O391/B391)+(((O391-B391*INT(O391/B391)))/C391)/100))),0,(IF(B391=C391,O391/C391,(INT(O391/B391)+(((O391-B391*INT(O391/B391)))/C391)/100))))</f>
        <v>12.06</v>
      </c>
      <c r="BA391" s="57">
        <f>IF(ISERROR(IF(B391=C391,P391/C391,IF((INT(P391/B391)+(((P391-B391*INT(P391/B391)))/C391)/100)&lt;0,(INT(P391/B391)+(((P391-B391*INT(P391/B391)))/C391)/100)+(1-(B391/C391/100)),(INT(P391/B391)+(((P391-B391*INT(P391/B391)))/C391)/100)))),0,IF(B391=C391,P391/C391,IF((INT(P391/B391)+(((P391-B391*INT(P391/B391)))/C391)/100)&lt;0,(INT(P391/B391)+(((P391-B391*INT(P391/B391)))/C391)/100)+(1-(B391/C391/100)),(INT(P391/B391)+(((P391-B391*INT(P391/B391)))/C391)/100))))</f>
        <v>0</v>
      </c>
      <c r="BB391" s="28">
        <f>R391</f>
        <v>175</v>
      </c>
      <c r="BC391" s="28">
        <f>S391</f>
        <v>0</v>
      </c>
      <c r="BD391" s="28">
        <f>AF391</f>
        <v>1460.7749999999999</v>
      </c>
      <c r="BE391" s="28">
        <f>T391</f>
        <v>0</v>
      </c>
      <c r="BG391" s="57">
        <f>IF(ISERROR(IF(B391=C391,V391/C391,(INT(V391/B391)+(((V391-B391*INT(V391/B391)))/C391)/100))),0,(IF(B391=C391,V391/C391,(INT(V391/B391)+(((V391-B391*INT(V391/B391)))/C391)/100))))</f>
        <v>4.0599999999999996</v>
      </c>
      <c r="BH391" s="57">
        <f>IF(ISERROR(IF(B391=C391,W391/C391,(INT(W391/B391)+(((W391-B391*INT(W391/B391)))/C391)/100))),0,(IF(B391=C391,W391/C391,(INT(W391/B391)+(((W391-B391*INT(W391/B391)))/C391)/100))))</f>
        <v>8</v>
      </c>
      <c r="BI391" s="57">
        <f>IF(ISERROR(IF(B391=C391,X391/C391,(INT(X391/B391)+(((X391-B391*INT(X391/B391)))/C391)/100))),0,(IF(B391=C391,X391/C391,(INT(X391/B391)+(((X391-B391*INT(X391/B391)))/C391)/100))))</f>
        <v>0</v>
      </c>
      <c r="BJ391" s="57">
        <f>IF(ISERROR(IF(B391=C391,Y391/C391,(INT(Y391/B391)+(((Y391-B391*INT(Y391/B391)))/C391)/100))),0,(IF(B391=C391,Y391/C391,(INT(Y391/B391)+(((Y391-B391*INT(Y391/B391)))/C391)/100))))</f>
        <v>0</v>
      </c>
      <c r="BL391" s="57">
        <f>IF(ISERROR(IF(B391=C391,AA391/C391,(INT(AA391/B391)+(((AA391-B391*INT(AA391/B391)))/C391)/100))),0,(IF(B391=C391,AA391/C391,(INT(AA391/B391)+(((AA391-B391*INT(AA391/B391)))/C391)/100))))</f>
        <v>4.0599999999999996</v>
      </c>
      <c r="BM391" s="57">
        <f>IF(ISERROR(IF(B391=C391,AB391/C391,(INT(AB391/B391)+(((AB391-B391*INT(AB391/B391)))/C391)/100))),0,(IF(B391=C391,AB391/C391,(INT(AB391/B391)+(((AB391-B391*INT(AB391/B391)))/C391)/100))))</f>
        <v>8</v>
      </c>
      <c r="BN391" s="57">
        <f>IF(ISERROR(IF(B391=C391,AC391/C391,(INT(AC391/B391)+(((AC391-B391*INT(AC391/B391)))/C391)/100))),0,(IF(B391=C391,AC391/C391,(INT(AC391/B391)+(((AC391-B391*INT(AC391/B391)))/C391)/100))))</f>
        <v>0</v>
      </c>
      <c r="BO391" s="57">
        <f>IF(ISERROR(IF(B391=C391,AD391/C391,(INT(AD391/B391)+(((AD391-B391*INT(AD391/B391)))/C391)/100))),0,(IF(B391=C391,AD391/C391,(INT(AD391/B391)+(((AD391-B391*INT(AD391/B391)))/C391)/100))))</f>
        <v>0</v>
      </c>
      <c r="BQ391" s="155" t="s">
        <v>215</v>
      </c>
    </row>
    <row r="392" spans="1:69" x14ac:dyDescent="0.35">
      <c r="A392" s="160" t="s">
        <v>238</v>
      </c>
      <c r="B392" s="113">
        <v>750</v>
      </c>
      <c r="C392" s="113">
        <v>30</v>
      </c>
      <c r="D392" s="28">
        <f>SUM(AA392:AD392)</f>
        <v>10890</v>
      </c>
      <c r="E392" s="113">
        <v>0</v>
      </c>
      <c r="F392" s="113">
        <v>0</v>
      </c>
      <c r="G392" s="28">
        <f>SUM(D392:F392)</f>
        <v>10890</v>
      </c>
      <c r="H392" s="164">
        <v>540</v>
      </c>
      <c r="I392" s="113">
        <v>0</v>
      </c>
      <c r="J392" s="125">
        <v>0</v>
      </c>
      <c r="K392" s="113">
        <v>-60</v>
      </c>
      <c r="L392" s="113">
        <v>0</v>
      </c>
      <c r="M392" s="113">
        <v>0</v>
      </c>
      <c r="N392" s="28">
        <f>G392-SUM(H392:M392)</f>
        <v>10410</v>
      </c>
      <c r="O392" s="28">
        <f>SUM(V392:Y392)</f>
        <v>10410</v>
      </c>
      <c r="P392" s="28">
        <f>O392-N392</f>
        <v>0</v>
      </c>
      <c r="Q392" s="61">
        <f>IF(ISERROR(P392/SUM(H392:L392)),"",P392/SUM(H392:L392))</f>
        <v>0</v>
      </c>
      <c r="R392" s="113">
        <v>135</v>
      </c>
      <c r="S392" s="28">
        <f>IF(ISERROR(P392/C392*R392),0,(P392/C392*R392))</f>
        <v>0</v>
      </c>
      <c r="T392" s="60">
        <f>IF(ISERROR(P392/B392*AF392),0,(P392/B392*AF392))</f>
        <v>0</v>
      </c>
      <c r="V392" s="113">
        <f>1*750+22*30</f>
        <v>1410</v>
      </c>
      <c r="W392" s="113">
        <f>12*750</f>
        <v>9000</v>
      </c>
      <c r="X392" s="113">
        <v>0</v>
      </c>
      <c r="Y392" s="113">
        <v>0</v>
      </c>
      <c r="AA392" s="113">
        <f>2*750+13*30</f>
        <v>1890</v>
      </c>
      <c r="AB392" s="113">
        <f>12*750</f>
        <v>9000</v>
      </c>
      <c r="AC392" s="113">
        <v>0</v>
      </c>
      <c r="AD392" s="113">
        <v>0</v>
      </c>
      <c r="AF392" s="162">
        <f>11454.55/12</f>
        <v>954.54583333333323</v>
      </c>
      <c r="AG392" s="28">
        <f>G392-O392</f>
        <v>480</v>
      </c>
      <c r="AH392" s="58">
        <f>IF(ISERROR(AG392/B392*AF392),0,(AG392/B392*AF392))</f>
        <v>610.90933333333328</v>
      </c>
      <c r="AI392" s="28">
        <f>SUM(H392:M392)</f>
        <v>480</v>
      </c>
      <c r="AJ392" s="28">
        <f>IF(ISERROR(AI392/B392*AF392),0,(AI392/B392*AF392))</f>
        <v>610.90933333333328</v>
      </c>
      <c r="AK392" s="58">
        <f>IF(ISERROR(O392/B392*AF392),0,(O392/B392*AF392))</f>
        <v>13249.096166666666</v>
      </c>
      <c r="AL392" s="28">
        <f>IF(ISERROR(H392/B392*AF392),0,(H392/B392*AF392))</f>
        <v>687.27299999999991</v>
      </c>
      <c r="AN392" s="51" t="str">
        <f>A392</f>
        <v>Blender's Pride</v>
      </c>
      <c r="AO392" s="57">
        <f>IF(ISERROR(IF(B392=C392,D392/C392,(INT(D392/B392)+(((D392-B392*INT(D392/B392)))/C392)/100))),0,(IF(B392=C392,D392/C392,(INT(D392/B392)+(((D392-B392*INT(D392/B392)))/C392)/100))))</f>
        <v>14.13</v>
      </c>
      <c r="AP392" s="57">
        <f>IF(ISERROR(IF(B392=C392,E392/C392,(INT(E392/B392)+(((E392-B392*INT(E392/B392)))/C392)/100))),0,(IF(B392=C392,E392/C392,(INT(E392/B392)+(((E392-B392*INT(E392/B392)))/C392)/100))))</f>
        <v>0</v>
      </c>
      <c r="AQ392" s="57">
        <f>IF(ISERROR(IF(B392=C392,F392/C392,IF((INT(F392/B392)+(((F392-B392*INT(F392/B392)))/C392)/100)&lt;0,(INT(F392/B392)+(((F392-B392*INT(F392/B392)))/C392)/100)+(1-(B392/C392/100)),(INT(F392/B392)+(((F392-B392*INT(F392/B392)))/C392)/100)))),0,IF(B392=C392,F392/C392,IF((INT(F392/B392)+(((F392-B392*INT(F392/B392)))/C392)/100)&lt;0,(INT(F392/B392)+(((F392-B392*INT(F392/B392)))/C392)/100)+(1-(B392/C392/100)),(INT(F392/B392)+(((F392-B392*INT(F392/B392)))/C392)/100))))</f>
        <v>0</v>
      </c>
      <c r="AR392" s="57">
        <f>IF(ISERROR(IF(B392=C392,G392/C392,(INT(G392/B392)+(((G392-B392*INT(G392/B392)))/C392)/100))),0,(IF(B392=C392,G392/C392,(INT(G392/B392)+(((G392-B392*INT(G392/B392)))/C392)/100))))</f>
        <v>14.13</v>
      </c>
      <c r="AS392" s="57">
        <f>IF(ISERROR(IF(B392=C392,H392/C392,(INT(H392/B392)+(((H392-B392*INT(H392/B392)))/C392)/100))),0,(IF(B392=C392,H392/C392,(INT(H392/B392)+(((H392-B392*INT(H392/B392)))/C392)/100))))</f>
        <v>0.18</v>
      </c>
      <c r="AT392" s="57">
        <f>IF(ISERROR(IF(B392=C392,I392/C392,(INT(I392/B392)+(((I392-B392*INT(I392/B392)))/C392)/100))),0,(IF(B392=C392,I392/C392,(INT(I392/B392)+(((I392-B392*INT(I392/B392)))/C392)/100))))</f>
        <v>0</v>
      </c>
      <c r="AU392" s="57">
        <f>IF(ISERROR(IF(B392=C392,J392/C392,(INT(J392/B392)+(((J392-B392*INT(J392/B392)))/C392)/100))),0,(IF(B392=C392,J392/C392,(INT(J392/B392)+(((J392-B392*INT(J392/B392)))/C392)/100))))</f>
        <v>0</v>
      </c>
      <c r="AV392" s="57">
        <f>IF(ISERROR(IF(B392=C392,K392/C392,IF((INT(K392/B392)+(((K392-B392*INT(K392/B392)))/C392)/100)&lt;0,(INT(K392/B392)+(((K392-B392*INT(K392/B392)))/C392)/100)+(1-(B392/C392/100)),(INT(K392/B392)+(((K392-B392*INT(K392/B392)))/C392)/100)))),0,IF(B392=C392,K392/C392,IF((INT(K392/B392)+(((K392-B392*INT(K392/B392)))/C392)/100)&lt;0,(INT(K392/B392)+(((K392-B392*INT(K392/B392)))/C392)/100)+(1-(B392/C392/100)),(INT(K392/B392)+(((K392-B392*INT(K392/B392)))/C392)/100))))</f>
        <v>-2.0000000000000018E-2</v>
      </c>
      <c r="AW392" s="57">
        <f>IF(ISERROR(IF(B392=C392,L392/C392,(INT(L392/B392)+(((L392-B392*INT(L392/B392)))/C392)/100))),0,(IF(B392=C392,L392/C392,(INT(L392/B392)+(((L392-B392*INT(L392/B392)))/C392)/100))))</f>
        <v>0</v>
      </c>
      <c r="AX392" s="57">
        <f>IF(ISERROR(IF(B392=C392,M392/C392,(INT(M392/B392)+(((M392-B392*INT(M392/B392)))/C392)/100))),0,(IF(B392=C392,M392/C392,(INT(M392/B392)+(((M392-B392*INT(M392/B392)))/C392)/100))))</f>
        <v>0</v>
      </c>
      <c r="AY392" s="57">
        <f>IF(ISERROR(IF(B392=C392,N392/C392,IF((INT(N392/B392)+(((N392-B392*INT(N392/B392)))/C392)/100)&lt;0,(INT(N392/B392)+(((N392-B392*INT(N392/B392)))/C392)/100)+(1-(B392/C392/100)),(INT(N392/B392)+(((N392-B392*INT(N392/B392)))/C392)/100)))),0,IF(B392=C392,N392/C392,IF((INT(N392/B392)+(((N392-B392*INT(N392/B392)))/C392)/100)&lt;0,(INT(N392/B392)+(((N392-B392*INT(N392/B392)))/C392)/100)+(1-(B392/C392/100)),(INT(N392/B392)+(((N392-B392*INT(N392/B392)))/C392)/100))))</f>
        <v>13.22</v>
      </c>
      <c r="AZ392" s="57">
        <f>IF(ISERROR(IF(B392=C392,O392/C392,(INT(O392/B392)+(((O392-B392*INT(O392/B392)))/C392)/100))),0,(IF(B392=C392,O392/C392,(INT(O392/B392)+(((O392-B392*INT(O392/B392)))/C392)/100))))</f>
        <v>13.22</v>
      </c>
      <c r="BA392" s="57">
        <f>IF(ISERROR(IF(B392=C392,P392/C392,IF((INT(P392/B392)+(((P392-B392*INT(P392/B392)))/C392)/100)&lt;0,(INT(P392/B392)+(((P392-B392*INT(P392/B392)))/C392)/100)+(1-(B392/C392/100)),(INT(P392/B392)+(((P392-B392*INT(P392/B392)))/C392)/100)))),0,IF(B392=C392,P392/C392,IF((INT(P392/B392)+(((P392-B392*INT(P392/B392)))/C392)/100)&lt;0,(INT(P392/B392)+(((P392-B392*INT(P392/B392)))/C392)/100)+(1-(B392/C392/100)),(INT(P392/B392)+(((P392-B392*INT(P392/B392)))/C392)/100))))</f>
        <v>0</v>
      </c>
      <c r="BB392" s="28">
        <f>R392</f>
        <v>135</v>
      </c>
      <c r="BC392" s="28">
        <f>S392</f>
        <v>0</v>
      </c>
      <c r="BD392" s="28">
        <f>AF392</f>
        <v>954.54583333333323</v>
      </c>
      <c r="BE392" s="28">
        <f>T392</f>
        <v>0</v>
      </c>
      <c r="BG392" s="57">
        <f>IF(ISERROR(IF(B392=C392,V392/C392,(INT(V392/B392)+(((V392-B392*INT(V392/B392)))/C392)/100))),0,(IF(B392=C392,V392/C392,(INT(V392/B392)+(((V392-B392*INT(V392/B392)))/C392)/100))))</f>
        <v>1.22</v>
      </c>
      <c r="BH392" s="57">
        <f>IF(ISERROR(IF(B392=C392,W392/C392,(INT(W392/B392)+(((W392-B392*INT(W392/B392)))/C392)/100))),0,(IF(B392=C392,W392/C392,(INT(W392/B392)+(((W392-B392*INT(W392/B392)))/C392)/100))))</f>
        <v>12</v>
      </c>
      <c r="BI392" s="57">
        <f>IF(ISERROR(IF(B392=C392,X392/C392,(INT(X392/B392)+(((X392-B392*INT(X392/B392)))/C392)/100))),0,(IF(B392=C392,X392/C392,(INT(X392/B392)+(((X392-B392*INT(X392/B392)))/C392)/100))))</f>
        <v>0</v>
      </c>
      <c r="BJ392" s="57">
        <f>IF(ISERROR(IF(B392=C392,Y392/C392,(INT(Y392/B392)+(((Y392-B392*INT(Y392/B392)))/C392)/100))),0,(IF(B392=C392,Y392/C392,(INT(Y392/B392)+(((Y392-B392*INT(Y392/B392)))/C392)/100))))</f>
        <v>0</v>
      </c>
      <c r="BL392" s="57">
        <f>IF(ISERROR(IF(B392=C392,AA392/C392,(INT(AA392/B392)+(((AA392-B392*INT(AA392/B392)))/C392)/100))),0,(IF(B392=C392,AA392/C392,(INT(AA392/B392)+(((AA392-B392*INT(AA392/B392)))/C392)/100))))</f>
        <v>2.13</v>
      </c>
      <c r="BM392" s="57">
        <f>IF(ISERROR(IF(B392=C392,AB392/C392,(INT(AB392/B392)+(((AB392-B392*INT(AB392/B392)))/C392)/100))),0,(IF(B392=C392,AB392/C392,(INT(AB392/B392)+(((AB392-B392*INT(AB392/B392)))/C392)/100))))</f>
        <v>12</v>
      </c>
      <c r="BN392" s="57">
        <f>IF(ISERROR(IF(B392=C392,AC392/C392,(INT(AC392/B392)+(((AC392-B392*INT(AC392/B392)))/C392)/100))),0,(IF(B392=C392,AC392/C392,(INT(AC392/B392)+(((AC392-B392*INT(AC392/B392)))/C392)/100))))</f>
        <v>0</v>
      </c>
      <c r="BO392" s="57">
        <f>IF(ISERROR(IF(B392=C392,AD392/C392,(INT(AD392/B392)+(((AD392-B392*INT(AD392/B392)))/C392)/100))),0,(IF(B392=C392,AD392/C392,(INT(AD392/B392)+(((AD392-B392*INT(AD392/B392)))/C392)/100))))</f>
        <v>0</v>
      </c>
      <c r="BQ392" s="155" t="s">
        <v>215</v>
      </c>
    </row>
    <row r="393" spans="1:69" x14ac:dyDescent="0.35">
      <c r="A393" s="165" t="s">
        <v>237</v>
      </c>
      <c r="B393" s="113">
        <v>750</v>
      </c>
      <c r="C393" s="113">
        <v>30</v>
      </c>
      <c r="D393" s="28">
        <f>SUM(AA393:AD393)</f>
        <v>6750</v>
      </c>
      <c r="E393" s="113">
        <v>0</v>
      </c>
      <c r="F393" s="113">
        <v>0</v>
      </c>
      <c r="G393" s="28">
        <f>SUM(D393:F393)</f>
        <v>6750</v>
      </c>
      <c r="H393" s="164">
        <v>0</v>
      </c>
      <c r="I393" s="113">
        <v>0</v>
      </c>
      <c r="J393" s="125">
        <v>120</v>
      </c>
      <c r="K393" s="113">
        <v>0</v>
      </c>
      <c r="L393" s="113">
        <v>0</v>
      </c>
      <c r="M393" s="113">
        <v>0</v>
      </c>
      <c r="N393" s="28">
        <f>G393-SUM(H393:M393)</f>
        <v>6630</v>
      </c>
      <c r="O393" s="28">
        <f>SUM(V393:Y393)</f>
        <v>6690</v>
      </c>
      <c r="P393" s="28">
        <f>O393-N393</f>
        <v>60</v>
      </c>
      <c r="Q393" s="61">
        <f>IF(ISERROR(P393/SUM(H393:L393)),"",P393/SUM(H393:L393))</f>
        <v>0.5</v>
      </c>
      <c r="R393" s="113">
        <v>135</v>
      </c>
      <c r="S393" s="28">
        <f>IF(ISERROR(P393/C393*R393),0,(P393/C393*R393))</f>
        <v>270</v>
      </c>
      <c r="T393" s="60">
        <f>IF(ISERROR(P393/B393*AF393),0,(P393/B393*AF393))</f>
        <v>30.562999999999999</v>
      </c>
      <c r="V393" s="113">
        <f>3*750+23*30</f>
        <v>2940</v>
      </c>
      <c r="W393" s="113">
        <f>5*750</f>
        <v>3750</v>
      </c>
      <c r="X393" s="113">
        <v>0</v>
      </c>
      <c r="Y393" s="113">
        <v>0</v>
      </c>
      <c r="AA393" s="113">
        <f>4*750</f>
        <v>3000</v>
      </c>
      <c r="AB393" s="113">
        <f>5*750</f>
        <v>3750</v>
      </c>
      <c r="AC393" s="113">
        <v>0</v>
      </c>
      <c r="AD393" s="113">
        <v>0</v>
      </c>
      <c r="AF393" s="162">
        <f>4584.45/12</f>
        <v>382.03749999999997</v>
      </c>
      <c r="AG393" s="28">
        <f>G393-O393</f>
        <v>60</v>
      </c>
      <c r="AH393" s="58">
        <f>IF(ISERROR(AG393/B393*AF393),0,(AG393/B393*AF393))</f>
        <v>30.562999999999999</v>
      </c>
      <c r="AI393" s="28">
        <f>SUM(H393:M393)</f>
        <v>120</v>
      </c>
      <c r="AJ393" s="28">
        <f>IF(ISERROR(AI393/B393*AF393),0,(AI393/B393*AF393))</f>
        <v>61.125999999999998</v>
      </c>
      <c r="AK393" s="58">
        <f>IF(ISERROR(O393/B393*AF393),0,(O393/B393*AF393))</f>
        <v>3407.7744999999995</v>
      </c>
      <c r="AL393" s="28">
        <f>IF(ISERROR(H393/B393*AF393),0,(H393/B393*AF393))</f>
        <v>0</v>
      </c>
      <c r="AN393" s="51" t="str">
        <f>A393</f>
        <v>Blue Riband Gin</v>
      </c>
      <c r="AO393" s="57">
        <f>IF(ISERROR(IF(B393=C393,D393/C393,(INT(D393/B393)+(((D393-B393*INT(D393/B393)))/C393)/100))),0,(IF(B393=C393,D393/C393,(INT(D393/B393)+(((D393-B393*INT(D393/B393)))/C393)/100))))</f>
        <v>9</v>
      </c>
      <c r="AP393" s="57">
        <f>IF(ISERROR(IF(B393=C393,E393/C393,(INT(E393/B393)+(((E393-B393*INT(E393/B393)))/C393)/100))),0,(IF(B393=C393,E393/C393,(INT(E393/B393)+(((E393-B393*INT(E393/B393)))/C393)/100))))</f>
        <v>0</v>
      </c>
      <c r="AQ393" s="57">
        <f>IF(ISERROR(IF(B393=C393,F393/C393,IF((INT(F393/B393)+(((F393-B393*INT(F393/B393)))/C393)/100)&lt;0,(INT(F393/B393)+(((F393-B393*INT(F393/B393)))/C393)/100)+(1-(B393/C393/100)),(INT(F393/B393)+(((F393-B393*INT(F393/B393)))/C393)/100)))),0,IF(B393=C393,F393/C393,IF((INT(F393/B393)+(((F393-B393*INT(F393/B393)))/C393)/100)&lt;0,(INT(F393/B393)+(((F393-B393*INT(F393/B393)))/C393)/100)+(1-(B393/C393/100)),(INT(F393/B393)+(((F393-B393*INT(F393/B393)))/C393)/100))))</f>
        <v>0</v>
      </c>
      <c r="AR393" s="57">
        <f>IF(ISERROR(IF(B393=C393,G393/C393,(INT(G393/B393)+(((G393-B393*INT(G393/B393)))/C393)/100))),0,(IF(B393=C393,G393/C393,(INT(G393/B393)+(((G393-B393*INT(G393/B393)))/C393)/100))))</f>
        <v>9</v>
      </c>
      <c r="AS393" s="57">
        <f>IF(ISERROR(IF(B393=C393,H393/C393,(INT(H393/B393)+(((H393-B393*INT(H393/B393)))/C393)/100))),0,(IF(B393=C393,H393/C393,(INT(H393/B393)+(((H393-B393*INT(H393/B393)))/C393)/100))))</f>
        <v>0</v>
      </c>
      <c r="AT393" s="57">
        <f>IF(ISERROR(IF(B393=C393,I393/C393,(INT(I393/B393)+(((I393-B393*INT(I393/B393)))/C393)/100))),0,(IF(B393=C393,I393/C393,(INT(I393/B393)+(((I393-B393*INT(I393/B393)))/C393)/100))))</f>
        <v>0</v>
      </c>
      <c r="AU393" s="57">
        <f>IF(ISERROR(IF(B393=C393,J393/C393,(INT(J393/B393)+(((J393-B393*INT(J393/B393)))/C393)/100))),0,(IF(B393=C393,J393/C393,(INT(J393/B393)+(((J393-B393*INT(J393/B393)))/C393)/100))))</f>
        <v>0.04</v>
      </c>
      <c r="AV393" s="57">
        <f>IF(ISERROR(IF(B393=C393,K393/C393,IF((INT(K393/B393)+(((K393-B393*INT(K393/B393)))/C393)/100)&lt;0,(INT(K393/B393)+(((K393-B393*INT(K393/B393)))/C393)/100)+(1-(B393/C393/100)),(INT(K393/B393)+(((K393-B393*INT(K393/B393)))/C393)/100)))),0,IF(B393=C393,K393/C393,IF((INT(K393/B393)+(((K393-B393*INT(K393/B393)))/C393)/100)&lt;0,(INT(K393/B393)+(((K393-B393*INT(K393/B393)))/C393)/100)+(1-(B393/C393/100)),(INT(K393/B393)+(((K393-B393*INT(K393/B393)))/C393)/100))))</f>
        <v>0</v>
      </c>
      <c r="AW393" s="57">
        <f>IF(ISERROR(IF(B393=C393,L393/C393,(INT(L393/B393)+(((L393-B393*INT(L393/B393)))/C393)/100))),0,(IF(B393=C393,L393/C393,(INT(L393/B393)+(((L393-B393*INT(L393/B393)))/C393)/100))))</f>
        <v>0</v>
      </c>
      <c r="AX393" s="57">
        <f>IF(ISERROR(IF(B393=C393,M393/C393,(INT(M393/B393)+(((M393-B393*INT(M393/B393)))/C393)/100))),0,(IF(B393=C393,M393/C393,(INT(M393/B393)+(((M393-B393*INT(M393/B393)))/C393)/100))))</f>
        <v>0</v>
      </c>
      <c r="AY393" s="57">
        <f>IF(ISERROR(IF(B393=C393,N393/C393,IF((INT(N393/B393)+(((N393-B393*INT(N393/B393)))/C393)/100)&lt;0,(INT(N393/B393)+(((N393-B393*INT(N393/B393)))/C393)/100)+(1-(B393/C393/100)),(INT(N393/B393)+(((N393-B393*INT(N393/B393)))/C393)/100)))),0,IF(B393=C393,N393/C393,IF((INT(N393/B393)+(((N393-B393*INT(N393/B393)))/C393)/100)&lt;0,(INT(N393/B393)+(((N393-B393*INT(N393/B393)))/C393)/100)+(1-(B393/C393/100)),(INT(N393/B393)+(((N393-B393*INT(N393/B393)))/C393)/100))))</f>
        <v>8.2100000000000009</v>
      </c>
      <c r="AZ393" s="57">
        <f>IF(ISERROR(IF(B393=C393,O393/C393,(INT(O393/B393)+(((O393-B393*INT(O393/B393)))/C393)/100))),0,(IF(B393=C393,O393/C393,(INT(O393/B393)+(((O393-B393*INT(O393/B393)))/C393)/100))))</f>
        <v>8.23</v>
      </c>
      <c r="BA393" s="57">
        <f>IF(ISERROR(IF(B393=C393,P393/C393,IF((INT(P393/B393)+(((P393-B393*INT(P393/B393)))/C393)/100)&lt;0,(INT(P393/B393)+(((P393-B393*INT(P393/B393)))/C393)/100)+(1-(B393/C393/100)),(INT(P393/B393)+(((P393-B393*INT(P393/B393)))/C393)/100)))),0,IF(B393=C393,P393/C393,IF((INT(P393/B393)+(((P393-B393*INT(P393/B393)))/C393)/100)&lt;0,(INT(P393/B393)+(((P393-B393*INT(P393/B393)))/C393)/100)+(1-(B393/C393/100)),(INT(P393/B393)+(((P393-B393*INT(P393/B393)))/C393)/100))))</f>
        <v>0.02</v>
      </c>
      <c r="BB393" s="28">
        <f>R393</f>
        <v>135</v>
      </c>
      <c r="BC393" s="28">
        <f>S393</f>
        <v>270</v>
      </c>
      <c r="BD393" s="28">
        <f>AF393</f>
        <v>382.03749999999997</v>
      </c>
      <c r="BE393" s="28">
        <f>T393</f>
        <v>30.562999999999999</v>
      </c>
      <c r="BG393" s="57">
        <f>IF(ISERROR(IF(B393=C393,V393/C393,(INT(V393/B393)+(((V393-B393*INT(V393/B393)))/C393)/100))),0,(IF(B393=C393,V393/C393,(INT(V393/B393)+(((V393-B393*INT(V393/B393)))/C393)/100))))</f>
        <v>3.23</v>
      </c>
      <c r="BH393" s="57">
        <f>IF(ISERROR(IF(B393=C393,W393/C393,(INT(W393/B393)+(((W393-B393*INT(W393/B393)))/C393)/100))),0,(IF(B393=C393,W393/C393,(INT(W393/B393)+(((W393-B393*INT(W393/B393)))/C393)/100))))</f>
        <v>5</v>
      </c>
      <c r="BI393" s="57">
        <f>IF(ISERROR(IF(B393=C393,X393/C393,(INT(X393/B393)+(((X393-B393*INT(X393/B393)))/C393)/100))),0,(IF(B393=C393,X393/C393,(INT(X393/B393)+(((X393-B393*INT(X393/B393)))/C393)/100))))</f>
        <v>0</v>
      </c>
      <c r="BJ393" s="57">
        <f>IF(ISERROR(IF(B393=C393,Y393/C393,(INT(Y393/B393)+(((Y393-B393*INT(Y393/B393)))/C393)/100))),0,(IF(B393=C393,Y393/C393,(INT(Y393/B393)+(((Y393-B393*INT(Y393/B393)))/C393)/100))))</f>
        <v>0</v>
      </c>
      <c r="BL393" s="57">
        <f>IF(ISERROR(IF(B393=C393,AA393/C393,(INT(AA393/B393)+(((AA393-B393*INT(AA393/B393)))/C393)/100))),0,(IF(B393=C393,AA393/C393,(INT(AA393/B393)+(((AA393-B393*INT(AA393/B393)))/C393)/100))))</f>
        <v>4</v>
      </c>
      <c r="BM393" s="57">
        <f>IF(ISERROR(IF(B393=C393,AB393/C393,(INT(AB393/B393)+(((AB393-B393*INT(AB393/B393)))/C393)/100))),0,(IF(B393=C393,AB393/C393,(INT(AB393/B393)+(((AB393-B393*INT(AB393/B393)))/C393)/100))))</f>
        <v>5</v>
      </c>
      <c r="BN393" s="57">
        <f>IF(ISERROR(IF(B393=C393,AC393/C393,(INT(AC393/B393)+(((AC393-B393*INT(AC393/B393)))/C393)/100))),0,(IF(B393=C393,AC393/C393,(INT(AC393/B393)+(((AC393-B393*INT(AC393/B393)))/C393)/100))))</f>
        <v>0</v>
      </c>
      <c r="BO393" s="57">
        <f>IF(ISERROR(IF(B393=C393,AD393/C393,(INT(AD393/B393)+(((AD393-B393*INT(AD393/B393)))/C393)/100))),0,(IF(B393=C393,AD393/C393,(INT(AD393/B393)+(((AD393-B393*INT(AD393/B393)))/C393)/100))))</f>
        <v>0</v>
      </c>
      <c r="BQ393" s="155" t="s">
        <v>236</v>
      </c>
    </row>
    <row r="394" spans="1:69" x14ac:dyDescent="0.35">
      <c r="A394" s="134" t="s">
        <v>235</v>
      </c>
      <c r="B394" s="113">
        <v>750</v>
      </c>
      <c r="C394" s="113">
        <v>30</v>
      </c>
      <c r="D394" s="28">
        <f>SUM(AA394:AD394)</f>
        <v>0</v>
      </c>
      <c r="E394" s="113">
        <v>0</v>
      </c>
      <c r="F394" s="113">
        <v>0</v>
      </c>
      <c r="G394" s="28">
        <f>SUM(D394:F394)</f>
        <v>0</v>
      </c>
      <c r="H394" s="164">
        <v>0</v>
      </c>
      <c r="I394" s="113">
        <v>0</v>
      </c>
      <c r="J394" s="125">
        <v>0</v>
      </c>
      <c r="K394" s="113">
        <v>0</v>
      </c>
      <c r="L394" s="113">
        <v>0</v>
      </c>
      <c r="M394" s="113">
        <v>0</v>
      </c>
      <c r="N394" s="28">
        <f>G394-SUM(H394:M394)</f>
        <v>0</v>
      </c>
      <c r="O394" s="28">
        <f>SUM(V394:Y394)</f>
        <v>0</v>
      </c>
      <c r="P394" s="28">
        <f>O394-N394</f>
        <v>0</v>
      </c>
      <c r="Q394" s="61" t="str">
        <f>IF(ISERROR(P394/SUM(H394:L394)),"",P394/SUM(H394:L394))</f>
        <v/>
      </c>
      <c r="R394" s="113">
        <v>135</v>
      </c>
      <c r="S394" s="28">
        <f>IF(ISERROR(P394/C394*R394),0,(P394/C394*R394))</f>
        <v>0</v>
      </c>
      <c r="T394" s="60">
        <f>IF(ISERROR(P394/B394*AF394),0,(P394/B394*AF394))</f>
        <v>0</v>
      </c>
      <c r="V394" s="113">
        <v>0</v>
      </c>
      <c r="W394" s="113">
        <v>0</v>
      </c>
      <c r="X394" s="113">
        <v>0</v>
      </c>
      <c r="Y394" s="113">
        <v>0</v>
      </c>
      <c r="AA394" s="113">
        <v>0</v>
      </c>
      <c r="AB394" s="113">
        <v>0</v>
      </c>
      <c r="AC394" s="113">
        <v>0</v>
      </c>
      <c r="AD394" s="113">
        <v>0</v>
      </c>
      <c r="AF394" s="155">
        <v>922.5</v>
      </c>
      <c r="AG394" s="28">
        <f>G394-O394</f>
        <v>0</v>
      </c>
      <c r="AH394" s="58">
        <f>IF(ISERROR(AG394/B394*AF394),0,(AG394/B394*AF394))</f>
        <v>0</v>
      </c>
      <c r="AI394" s="28">
        <f>SUM(H394:M394)</f>
        <v>0</v>
      </c>
      <c r="AJ394" s="28">
        <f>IF(ISERROR(AI394/B394*AF394),0,(AI394/B394*AF394))</f>
        <v>0</v>
      </c>
      <c r="AK394" s="58">
        <f>IF(ISERROR(O394/B394*AF394),0,(O394/B394*AF394))</f>
        <v>0</v>
      </c>
      <c r="AL394" s="28">
        <f>IF(ISERROR(H394/B394*AF394),0,(H394/B394*AF394))</f>
        <v>0</v>
      </c>
      <c r="AN394" s="51" t="str">
        <f>A394</f>
        <v xml:space="preserve">Captain Morgan </v>
      </c>
      <c r="AO394" s="57">
        <f>IF(ISERROR(IF(B394=C394,D394/C394,(INT(D394/B394)+(((D394-B394*INT(D394/B394)))/C394)/100))),0,(IF(B394=C394,D394/C394,(INT(D394/B394)+(((D394-B394*INT(D394/B394)))/C394)/100))))</f>
        <v>0</v>
      </c>
      <c r="AP394" s="57">
        <f>IF(ISERROR(IF(B394=C394,E394/C394,(INT(E394/B394)+(((E394-B394*INT(E394/B394)))/C394)/100))),0,(IF(B394=C394,E394/C394,(INT(E394/B394)+(((E394-B394*INT(E394/B394)))/C394)/100))))</f>
        <v>0</v>
      </c>
      <c r="AQ394" s="57">
        <f>IF(ISERROR(IF(B394=C394,F394/C394,IF((INT(F394/B394)+(((F394-B394*INT(F394/B394)))/C394)/100)&lt;0,(INT(F394/B394)+(((F394-B394*INT(F394/B394)))/C394)/100)+(1-(B394/C394/100)),(INT(F394/B394)+(((F394-B394*INT(F394/B394)))/C394)/100)))),0,IF(B394=C394,F394/C394,IF((INT(F394/B394)+(((F394-B394*INT(F394/B394)))/C394)/100)&lt;0,(INT(F394/B394)+(((F394-B394*INT(F394/B394)))/C394)/100)+(1-(B394/C394/100)),(INT(F394/B394)+(((F394-B394*INT(F394/B394)))/C394)/100))))</f>
        <v>0</v>
      </c>
      <c r="AR394" s="57">
        <f>IF(ISERROR(IF(B394=C394,G394/C394,(INT(G394/B394)+(((G394-B394*INT(G394/B394)))/C394)/100))),0,(IF(B394=C394,G394/C394,(INT(G394/B394)+(((G394-B394*INT(G394/B394)))/C394)/100))))</f>
        <v>0</v>
      </c>
      <c r="AS394" s="57">
        <f>IF(ISERROR(IF(B394=C394,H394/C394,(INT(H394/B394)+(((H394-B394*INT(H394/B394)))/C394)/100))),0,(IF(B394=C394,H394/C394,(INT(H394/B394)+(((H394-B394*INT(H394/B394)))/C394)/100))))</f>
        <v>0</v>
      </c>
      <c r="AT394" s="57">
        <f>IF(ISERROR(IF(B394=C394,I394/C394,(INT(I394/B394)+(((I394-B394*INT(I394/B394)))/C394)/100))),0,(IF(B394=C394,I394/C394,(INT(I394/B394)+(((I394-B394*INT(I394/B394)))/C394)/100))))</f>
        <v>0</v>
      </c>
      <c r="AU394" s="57">
        <f>IF(ISERROR(IF(B394=C394,J394/C394,(INT(J394/B394)+(((J394-B394*INT(J394/B394)))/C394)/100))),0,(IF(B394=C394,J394/C394,(INT(J394/B394)+(((J394-B394*INT(J394/B394)))/C394)/100))))</f>
        <v>0</v>
      </c>
      <c r="AV394" s="57">
        <f>IF(ISERROR(IF(B394=C394,K394/C394,IF((INT(K394/B394)+(((K394-B394*INT(K394/B394)))/C394)/100)&lt;0,(INT(K394/B394)+(((K394-B394*INT(K394/B394)))/C394)/100)+(1-(B394/C394/100)),(INT(K394/B394)+(((K394-B394*INT(K394/B394)))/C394)/100)))),0,IF(B394=C394,K394/C394,IF((INT(K394/B394)+(((K394-B394*INT(K394/B394)))/C394)/100)&lt;0,(INT(K394/B394)+(((K394-B394*INT(K394/B394)))/C394)/100)+(1-(B394/C394/100)),(INT(K394/B394)+(((K394-B394*INT(K394/B394)))/C394)/100))))</f>
        <v>0</v>
      </c>
      <c r="AW394" s="57">
        <f>IF(ISERROR(IF(B394=C394,L394/C394,(INT(L394/B394)+(((L394-B394*INT(L394/B394)))/C394)/100))),0,(IF(B394=C394,L394/C394,(INT(L394/B394)+(((L394-B394*INT(L394/B394)))/C394)/100))))</f>
        <v>0</v>
      </c>
      <c r="AX394" s="57">
        <f>IF(ISERROR(IF(B394=C394,M394/C394,(INT(M394/B394)+(((M394-B394*INT(M394/B394)))/C394)/100))),0,(IF(B394=C394,M394/C394,(INT(M394/B394)+(((M394-B394*INT(M394/B394)))/C394)/100))))</f>
        <v>0</v>
      </c>
      <c r="AY394" s="57">
        <f>IF(ISERROR(IF(B394=C394,N394/C394,IF((INT(N394/B394)+(((N394-B394*INT(N394/B394)))/C394)/100)&lt;0,(INT(N394/B394)+(((N394-B394*INT(N394/B394)))/C394)/100)+(1-(B394/C394/100)),(INT(N394/B394)+(((N394-B394*INT(N394/B394)))/C394)/100)))),0,IF(B394=C394,N394/C394,IF((INT(N394/B394)+(((N394-B394*INT(N394/B394)))/C394)/100)&lt;0,(INT(N394/B394)+(((N394-B394*INT(N394/B394)))/C394)/100)+(1-(B394/C394/100)),(INT(N394/B394)+(((N394-B394*INT(N394/B394)))/C394)/100))))</f>
        <v>0</v>
      </c>
      <c r="AZ394" s="57">
        <f>IF(ISERROR(IF(B394=C394,O394/C394,(INT(O394/B394)+(((O394-B394*INT(O394/B394)))/C394)/100))),0,(IF(B394=C394,O394/C394,(INT(O394/B394)+(((O394-B394*INT(O394/B394)))/C394)/100))))</f>
        <v>0</v>
      </c>
      <c r="BA394" s="57">
        <f>IF(ISERROR(IF(B394=C394,P394/C394,IF((INT(P394/B394)+(((P394-B394*INT(P394/B394)))/C394)/100)&lt;0,(INT(P394/B394)+(((P394-B394*INT(P394/B394)))/C394)/100)+(1-(B394/C394/100)),(INT(P394/B394)+(((P394-B394*INT(P394/B394)))/C394)/100)))),0,IF(B394=C394,P394/C394,IF((INT(P394/B394)+(((P394-B394*INT(P394/B394)))/C394)/100)&lt;0,(INT(P394/B394)+(((P394-B394*INT(P394/B394)))/C394)/100)+(1-(B394/C394/100)),(INT(P394/B394)+(((P394-B394*INT(P394/B394)))/C394)/100))))</f>
        <v>0</v>
      </c>
      <c r="BB394" s="28">
        <f>R394</f>
        <v>135</v>
      </c>
      <c r="BC394" s="28">
        <f>S394</f>
        <v>0</v>
      </c>
      <c r="BD394" s="28">
        <f>AF394</f>
        <v>922.5</v>
      </c>
      <c r="BE394" s="28">
        <f>T394</f>
        <v>0</v>
      </c>
      <c r="BG394" s="57">
        <f>IF(ISERROR(IF(B394=C394,V394/C394,(INT(V394/B394)+(((V394-B394*INT(V394/B394)))/C394)/100))),0,(IF(B394=C394,V394/C394,(INT(V394/B394)+(((V394-B394*INT(V394/B394)))/C394)/100))))</f>
        <v>0</v>
      </c>
      <c r="BH394" s="57">
        <f>IF(ISERROR(IF(B394=C394,W394/C394,(INT(W394/B394)+(((W394-B394*INT(W394/B394)))/C394)/100))),0,(IF(B394=C394,W394/C394,(INT(W394/B394)+(((W394-B394*INT(W394/B394)))/C394)/100))))</f>
        <v>0</v>
      </c>
      <c r="BI394" s="57">
        <f>IF(ISERROR(IF(B394=C394,X394/C394,(INT(X394/B394)+(((X394-B394*INT(X394/B394)))/C394)/100))),0,(IF(B394=C394,X394/C394,(INT(X394/B394)+(((X394-B394*INT(X394/B394)))/C394)/100))))</f>
        <v>0</v>
      </c>
      <c r="BJ394" s="57">
        <f>IF(ISERROR(IF(B394=C394,Y394/C394,(INT(Y394/B394)+(((Y394-B394*INT(Y394/B394)))/C394)/100))),0,(IF(B394=C394,Y394/C394,(INT(Y394/B394)+(((Y394-B394*INT(Y394/B394)))/C394)/100))))</f>
        <v>0</v>
      </c>
      <c r="BL394" s="57">
        <f>IF(ISERROR(IF(B394=C394,AA394/C394,(INT(AA394/B394)+(((AA394-B394*INT(AA394/B394)))/C394)/100))),0,(IF(B394=C394,AA394/C394,(INT(AA394/B394)+(((AA394-B394*INT(AA394/B394)))/C394)/100))))</f>
        <v>0</v>
      </c>
      <c r="BM394" s="57">
        <f>IF(ISERROR(IF(B394=C394,AB394/C394,(INT(AB394/B394)+(((AB394-B394*INT(AB394/B394)))/C394)/100))),0,(IF(B394=C394,AB394/C394,(INT(AB394/B394)+(((AB394-B394*INT(AB394/B394)))/C394)/100))))</f>
        <v>0</v>
      </c>
      <c r="BN394" s="57">
        <f>IF(ISERROR(IF(B394=C394,AC394/C394,(INT(AC394/B394)+(((AC394-B394*INT(AC394/B394)))/C394)/100))),0,(IF(B394=C394,AC394/C394,(INT(AC394/B394)+(((AC394-B394*INT(AC394/B394)))/C394)/100))))</f>
        <v>0</v>
      </c>
      <c r="BO394" s="57">
        <f>IF(ISERROR(IF(B394=C394,AD394/C394,(INT(AD394/B394)+(((AD394-B394*INT(AD394/B394)))/C394)/100))),0,(IF(B394=C394,AD394/C394,(INT(AD394/B394)+(((AD394-B394*INT(AD394/B394)))/C394)/100))))</f>
        <v>0</v>
      </c>
      <c r="BQ394" s="155" t="s">
        <v>207</v>
      </c>
    </row>
    <row r="395" spans="1:69" x14ac:dyDescent="0.35">
      <c r="A395" s="134" t="s">
        <v>234</v>
      </c>
      <c r="B395" s="113">
        <v>750</v>
      </c>
      <c r="C395" s="113">
        <v>30</v>
      </c>
      <c r="D395" s="28">
        <f>SUM(AA395:AD395)</f>
        <v>0</v>
      </c>
      <c r="E395" s="113">
        <v>0</v>
      </c>
      <c r="F395" s="113">
        <v>0</v>
      </c>
      <c r="G395" s="28">
        <f>SUM(D395:F395)</f>
        <v>0</v>
      </c>
      <c r="H395" s="164">
        <v>0</v>
      </c>
      <c r="I395" s="113">
        <v>0</v>
      </c>
      <c r="J395" s="125">
        <v>120</v>
      </c>
      <c r="K395" s="113">
        <v>-120</v>
      </c>
      <c r="L395" s="113">
        <v>0</v>
      </c>
      <c r="M395" s="113">
        <v>0</v>
      </c>
      <c r="N395" s="28">
        <f>G395-SUM(H395:M395)</f>
        <v>0</v>
      </c>
      <c r="O395" s="28">
        <f>SUM(V395:Y395)</f>
        <v>0</v>
      </c>
      <c r="P395" s="28">
        <f>O395-N395</f>
        <v>0</v>
      </c>
      <c r="Q395" s="61" t="str">
        <f>IF(ISERROR(P395/SUM(H395:L395)),"",P395/SUM(H395:L395))</f>
        <v/>
      </c>
      <c r="R395" s="113">
        <v>175</v>
      </c>
      <c r="S395" s="28">
        <f>IF(ISERROR(P395/C395*R395),0,(P395/C395*R395))</f>
        <v>0</v>
      </c>
      <c r="T395" s="60">
        <f>IF(ISERROR(P395/B395*AF395),0,(P395/B395*AF395))</f>
        <v>0</v>
      </c>
      <c r="V395" s="113">
        <v>0</v>
      </c>
      <c r="W395" s="113">
        <v>0</v>
      </c>
      <c r="X395" s="113">
        <v>0</v>
      </c>
      <c r="Y395" s="113">
        <v>0</v>
      </c>
      <c r="AA395" s="113">
        <v>0</v>
      </c>
      <c r="AB395" s="113">
        <v>0</v>
      </c>
      <c r="AC395" s="113">
        <v>0</v>
      </c>
      <c r="AD395" s="113">
        <v>0</v>
      </c>
      <c r="AF395" s="167">
        <v>1127.2749999999999</v>
      </c>
      <c r="AG395" s="28">
        <f>G395-O395</f>
        <v>0</v>
      </c>
      <c r="AH395" s="58">
        <f>IF(ISERROR(AG395/B395*AF395),0,(AG395/B395*AF395))</f>
        <v>0</v>
      </c>
      <c r="AI395" s="28">
        <f>SUM(H395:M395)</f>
        <v>0</v>
      </c>
      <c r="AJ395" s="28">
        <f>IF(ISERROR(AI395/B395*AF395),0,(AI395/B395*AF395))</f>
        <v>0</v>
      </c>
      <c r="AK395" s="58">
        <f>IF(ISERROR(O395/B395*AF395),0,(O395/B395*AF395))</f>
        <v>0</v>
      </c>
      <c r="AL395" s="28">
        <f>IF(ISERROR(H395/B395*AF395),0,(H395/B395*AF395))</f>
        <v>0</v>
      </c>
      <c r="AN395" s="51" t="str">
        <f>A395</f>
        <v xml:space="preserve">Desmondji 51 % Agave </v>
      </c>
      <c r="AO395" s="57">
        <f>IF(ISERROR(IF(B395=C395,D395/C395,(INT(D395/B395)+(((D395-B395*INT(D395/B395)))/C395)/100))),0,(IF(B395=C395,D395/C395,(INT(D395/B395)+(((D395-B395*INT(D395/B395)))/C395)/100))))</f>
        <v>0</v>
      </c>
      <c r="AP395" s="57">
        <f>IF(ISERROR(IF(B395=C395,E395/C395,(INT(E395/B395)+(((E395-B395*INT(E395/B395)))/C395)/100))),0,(IF(B395=C395,E395/C395,(INT(E395/B395)+(((E395-B395*INT(E395/B395)))/C395)/100))))</f>
        <v>0</v>
      </c>
      <c r="AQ395" s="57">
        <f>IF(ISERROR(IF(B395=C395,F395/C395,IF((INT(F395/B395)+(((F395-B395*INT(F395/B395)))/C395)/100)&lt;0,(INT(F395/B395)+(((F395-B395*INT(F395/B395)))/C395)/100)+(1-(B395/C395/100)),(INT(F395/B395)+(((F395-B395*INT(F395/B395)))/C395)/100)))),0,IF(B395=C395,F395/C395,IF((INT(F395/B395)+(((F395-B395*INT(F395/B395)))/C395)/100)&lt;0,(INT(F395/B395)+(((F395-B395*INT(F395/B395)))/C395)/100)+(1-(B395/C395/100)),(INT(F395/B395)+(((F395-B395*INT(F395/B395)))/C395)/100))))</f>
        <v>0</v>
      </c>
      <c r="AR395" s="57">
        <f>IF(ISERROR(IF(B395=C395,G395/C395,(INT(G395/B395)+(((G395-B395*INT(G395/B395)))/C395)/100))),0,(IF(B395=C395,G395/C395,(INT(G395/B395)+(((G395-B395*INT(G395/B395)))/C395)/100))))</f>
        <v>0</v>
      </c>
      <c r="AS395" s="57">
        <f>IF(ISERROR(IF(B395=C395,H395/C395,(INT(H395/B395)+(((H395-B395*INT(H395/B395)))/C395)/100))),0,(IF(B395=C395,H395/C395,(INT(H395/B395)+(((H395-B395*INT(H395/B395)))/C395)/100))))</f>
        <v>0</v>
      </c>
      <c r="AT395" s="57">
        <f>IF(ISERROR(IF(B395=C395,I395/C395,(INT(I395/B395)+(((I395-B395*INT(I395/B395)))/C395)/100))),0,(IF(B395=C395,I395/C395,(INT(I395/B395)+(((I395-B395*INT(I395/B395)))/C395)/100))))</f>
        <v>0</v>
      </c>
      <c r="AU395" s="57">
        <f>IF(ISERROR(IF(B395=C395,J395/C395,(INT(J395/B395)+(((J395-B395*INT(J395/B395)))/C395)/100))),0,(IF(B395=C395,J395/C395,(INT(J395/B395)+(((J395-B395*INT(J395/B395)))/C395)/100))))</f>
        <v>0.04</v>
      </c>
      <c r="AV395" s="57">
        <f>IF(ISERROR(IF(B395=C395,K395/C395,IF((INT(K395/B395)+(((K395-B395*INT(K395/B395)))/C395)/100)&lt;0,(INT(K395/B395)+(((K395-B395*INT(K395/B395)))/C395)/100)+(1-(B395/C395/100)),(INT(K395/B395)+(((K395-B395*INT(K395/B395)))/C395)/100)))),0,IF(B395=C395,K395/C395,IF((INT(K395/B395)+(((K395-B395*INT(K395/B395)))/C395)/100)&lt;0,(INT(K395/B395)+(((K395-B395*INT(K395/B395)))/C395)/100)+(1-(B395/C395/100)),(INT(K395/B395)+(((K395-B395*INT(K395/B395)))/C395)/100))))</f>
        <v>-4.0000000000000036E-2</v>
      </c>
      <c r="AW395" s="57">
        <f>IF(ISERROR(IF(B395=C395,L395/C395,(INT(L395/B395)+(((L395-B395*INT(L395/B395)))/C395)/100))),0,(IF(B395=C395,L395/C395,(INT(L395/B395)+(((L395-B395*INT(L395/B395)))/C395)/100))))</f>
        <v>0</v>
      </c>
      <c r="AX395" s="57">
        <f>IF(ISERROR(IF(B395=C395,M395/C395,(INT(M395/B395)+(((M395-B395*INT(M395/B395)))/C395)/100))),0,(IF(B395=C395,M395/C395,(INT(M395/B395)+(((M395-B395*INT(M395/B395)))/C395)/100))))</f>
        <v>0</v>
      </c>
      <c r="AY395" s="57">
        <f>IF(ISERROR(IF(B395=C395,N395/C395,IF((INT(N395/B395)+(((N395-B395*INT(N395/B395)))/C395)/100)&lt;0,(INT(N395/B395)+(((N395-B395*INT(N395/B395)))/C395)/100)+(1-(B395/C395/100)),(INT(N395/B395)+(((N395-B395*INT(N395/B395)))/C395)/100)))),0,IF(B395=C395,N395/C395,IF((INT(N395/B395)+(((N395-B395*INT(N395/B395)))/C395)/100)&lt;0,(INT(N395/B395)+(((N395-B395*INT(N395/B395)))/C395)/100)+(1-(B395/C395/100)),(INT(N395/B395)+(((N395-B395*INT(N395/B395)))/C395)/100))))</f>
        <v>0</v>
      </c>
      <c r="AZ395" s="57">
        <f>IF(ISERROR(IF(B395=C395,O395/C395,(INT(O395/B395)+(((O395-B395*INT(O395/B395)))/C395)/100))),0,(IF(B395=C395,O395/C395,(INT(O395/B395)+(((O395-B395*INT(O395/B395)))/C395)/100))))</f>
        <v>0</v>
      </c>
      <c r="BA395" s="57">
        <f>IF(ISERROR(IF(B395=C395,P395/C395,IF((INT(P395/B395)+(((P395-B395*INT(P395/B395)))/C395)/100)&lt;0,(INT(P395/B395)+(((P395-B395*INT(P395/B395)))/C395)/100)+(1-(B395/C395/100)),(INT(P395/B395)+(((P395-B395*INT(P395/B395)))/C395)/100)))),0,IF(B395=C395,P395/C395,IF((INT(P395/B395)+(((P395-B395*INT(P395/B395)))/C395)/100)&lt;0,(INT(P395/B395)+(((P395-B395*INT(P395/B395)))/C395)/100)+(1-(B395/C395/100)),(INT(P395/B395)+(((P395-B395*INT(P395/B395)))/C395)/100))))</f>
        <v>0</v>
      </c>
      <c r="BB395" s="28">
        <f>R395</f>
        <v>175</v>
      </c>
      <c r="BC395" s="28">
        <f>S395</f>
        <v>0</v>
      </c>
      <c r="BD395" s="28">
        <f>AF395</f>
        <v>1127.2749999999999</v>
      </c>
      <c r="BE395" s="28">
        <f>T395</f>
        <v>0</v>
      </c>
      <c r="BG395" s="57">
        <f>IF(ISERROR(IF(B395=C395,V395/C395,(INT(V395/B395)+(((V395-B395*INT(V395/B395)))/C395)/100))),0,(IF(B395=C395,V395/C395,(INT(V395/B395)+(((V395-B395*INT(V395/B395)))/C395)/100))))</f>
        <v>0</v>
      </c>
      <c r="BH395" s="57">
        <f>IF(ISERROR(IF(B395=C395,W395/C395,(INT(W395/B395)+(((W395-B395*INT(W395/B395)))/C395)/100))),0,(IF(B395=C395,W395/C395,(INT(W395/B395)+(((W395-B395*INT(W395/B395)))/C395)/100))))</f>
        <v>0</v>
      </c>
      <c r="BI395" s="57">
        <f>IF(ISERROR(IF(B395=C395,X395/C395,(INT(X395/B395)+(((X395-B395*INT(X395/B395)))/C395)/100))),0,(IF(B395=C395,X395/C395,(INT(X395/B395)+(((X395-B395*INT(X395/B395)))/C395)/100))))</f>
        <v>0</v>
      </c>
      <c r="BJ395" s="57">
        <f>IF(ISERROR(IF(B395=C395,Y395/C395,(INT(Y395/B395)+(((Y395-B395*INT(Y395/B395)))/C395)/100))),0,(IF(B395=C395,Y395/C395,(INT(Y395/B395)+(((Y395-B395*INT(Y395/B395)))/C395)/100))))</f>
        <v>0</v>
      </c>
      <c r="BL395" s="57">
        <f>IF(ISERROR(IF(B395=C395,AA395/C395,(INT(AA395/B395)+(((AA395-B395*INT(AA395/B395)))/C395)/100))),0,(IF(B395=C395,AA395/C395,(INT(AA395/B395)+(((AA395-B395*INT(AA395/B395)))/C395)/100))))</f>
        <v>0</v>
      </c>
      <c r="BM395" s="57">
        <f>IF(ISERROR(IF(B395=C395,AB395/C395,(INT(AB395/B395)+(((AB395-B395*INT(AB395/B395)))/C395)/100))),0,(IF(B395=C395,AB395/C395,(INT(AB395/B395)+(((AB395-B395*INT(AB395/B395)))/C395)/100))))</f>
        <v>0</v>
      </c>
      <c r="BN395" s="57">
        <f>IF(ISERROR(IF(B395=C395,AC395/C395,(INT(AC395/B395)+(((AC395-B395*INT(AC395/B395)))/C395)/100))),0,(IF(B395=C395,AC395/C395,(INT(AC395/B395)+(((AC395-B395*INT(AC395/B395)))/C395)/100))))</f>
        <v>0</v>
      </c>
      <c r="BO395" s="57">
        <f>IF(ISERROR(IF(B395=C395,AD395/C395,(INT(AD395/B395)+(((AD395-B395*INT(AD395/B395)))/C395)/100))),0,(IF(B395=C395,AD395/C395,(INT(AD395/B395)+(((AD395-B395*INT(AD395/B395)))/C395)/100))))</f>
        <v>0</v>
      </c>
      <c r="BQ395" s="155" t="s">
        <v>232</v>
      </c>
    </row>
    <row r="396" spans="1:69" x14ac:dyDescent="0.35">
      <c r="A396" s="134" t="s">
        <v>233</v>
      </c>
      <c r="B396" s="113">
        <v>750</v>
      </c>
      <c r="C396" s="113">
        <v>30</v>
      </c>
      <c r="D396" s="28">
        <f>SUM(AA396:AD396)</f>
        <v>780</v>
      </c>
      <c r="E396" s="113">
        <v>0</v>
      </c>
      <c r="F396" s="113">
        <v>0</v>
      </c>
      <c r="G396" s="28">
        <f>SUM(D396:F396)</f>
        <v>780</v>
      </c>
      <c r="H396" s="164">
        <v>390</v>
      </c>
      <c r="I396" s="113">
        <v>0</v>
      </c>
      <c r="J396" s="125">
        <v>120</v>
      </c>
      <c r="K396" s="113">
        <v>120</v>
      </c>
      <c r="L396" s="113">
        <v>0</v>
      </c>
      <c r="M396" s="113">
        <v>0</v>
      </c>
      <c r="N396" s="28">
        <f>G396-SUM(H396:M396)</f>
        <v>150</v>
      </c>
      <c r="O396" s="28">
        <f>SUM(V396:Y396)</f>
        <v>240</v>
      </c>
      <c r="P396" s="28">
        <f>O396-N396</f>
        <v>90</v>
      </c>
      <c r="Q396" s="61">
        <f>IF(ISERROR(P396/SUM(H396:L396)),"",P396/SUM(H396:L396))</f>
        <v>0.14285714285714285</v>
      </c>
      <c r="R396" s="113">
        <v>175</v>
      </c>
      <c r="S396" s="28">
        <f>IF(ISERROR(P396/C396*R396),0,(P396/C396*R396))</f>
        <v>525</v>
      </c>
      <c r="T396" s="60">
        <f>IF(ISERROR(P396/B396*AF396),0,(P396/B396*AF396))</f>
        <v>135.27299999999997</v>
      </c>
      <c r="V396" s="113">
        <f>8*30</f>
        <v>240</v>
      </c>
      <c r="W396" s="113">
        <v>0</v>
      </c>
      <c r="X396" s="113">
        <v>0</v>
      </c>
      <c r="Y396" s="113">
        <v>0</v>
      </c>
      <c r="AA396" s="113">
        <f>750+30</f>
        <v>780</v>
      </c>
      <c r="AB396" s="113">
        <v>0</v>
      </c>
      <c r="AC396" s="113">
        <v>0</v>
      </c>
      <c r="AD396" s="113">
        <v>0</v>
      </c>
      <c r="AF396" s="162">
        <f>13527.3/12</f>
        <v>1127.2749999999999</v>
      </c>
      <c r="AG396" s="28">
        <f>G396-O396</f>
        <v>540</v>
      </c>
      <c r="AH396" s="58">
        <f>IF(ISERROR(AG396/B396*AF396),0,(AG396/B396*AF396))</f>
        <v>811.63799999999992</v>
      </c>
      <c r="AI396" s="28">
        <f>SUM(H396:M396)</f>
        <v>630</v>
      </c>
      <c r="AJ396" s="28">
        <f>IF(ISERROR(AI396/B396*AF396),0,(AI396/B396*AF396))</f>
        <v>946.91099999999983</v>
      </c>
      <c r="AK396" s="58">
        <f>IF(ISERROR(O396/B396*AF396),0,(O396/B396*AF396))</f>
        <v>360.72799999999995</v>
      </c>
      <c r="AL396" s="28">
        <f>IF(ISERROR(H396/B396*AF396),0,(H396/B396*AF396))</f>
        <v>586.18299999999999</v>
      </c>
      <c r="AN396" s="51" t="str">
        <f>A396</f>
        <v xml:space="preserve">Desmondji orange </v>
      </c>
      <c r="AO396" s="57">
        <f>IF(ISERROR(IF(B396=C396,D396/C396,(INT(D396/B396)+(((D396-B396*INT(D396/B396)))/C396)/100))),0,(IF(B396=C396,D396/C396,(INT(D396/B396)+(((D396-B396*INT(D396/B396)))/C396)/100))))</f>
        <v>1.01</v>
      </c>
      <c r="AP396" s="57">
        <f>IF(ISERROR(IF(B396=C396,E396/C396,(INT(E396/B396)+(((E396-B396*INT(E396/B396)))/C396)/100))),0,(IF(B396=C396,E396/C396,(INT(E396/B396)+(((E396-B396*INT(E396/B396)))/C396)/100))))</f>
        <v>0</v>
      </c>
      <c r="AQ396" s="57">
        <f>IF(ISERROR(IF(B396=C396,F396/C396,IF((INT(F396/B396)+(((F396-B396*INT(F396/B396)))/C396)/100)&lt;0,(INT(F396/B396)+(((F396-B396*INT(F396/B396)))/C396)/100)+(1-(B396/C396/100)),(INT(F396/B396)+(((F396-B396*INT(F396/B396)))/C396)/100)))),0,IF(B396=C396,F396/C396,IF((INT(F396/B396)+(((F396-B396*INT(F396/B396)))/C396)/100)&lt;0,(INT(F396/B396)+(((F396-B396*INT(F396/B396)))/C396)/100)+(1-(B396/C396/100)),(INT(F396/B396)+(((F396-B396*INT(F396/B396)))/C396)/100))))</f>
        <v>0</v>
      </c>
      <c r="AR396" s="57">
        <f>IF(ISERROR(IF(B396=C396,G396/C396,(INT(G396/B396)+(((G396-B396*INT(G396/B396)))/C396)/100))),0,(IF(B396=C396,G396/C396,(INT(G396/B396)+(((G396-B396*INT(G396/B396)))/C396)/100))))</f>
        <v>1.01</v>
      </c>
      <c r="AS396" s="57">
        <f>IF(ISERROR(IF(B396=C396,H396/C396,(INT(H396/B396)+(((H396-B396*INT(H396/B396)))/C396)/100))),0,(IF(B396=C396,H396/C396,(INT(H396/B396)+(((H396-B396*INT(H396/B396)))/C396)/100))))</f>
        <v>0.13</v>
      </c>
      <c r="AT396" s="57">
        <f>IF(ISERROR(IF(B396=C396,I396/C396,(INT(I396/B396)+(((I396-B396*INT(I396/B396)))/C396)/100))),0,(IF(B396=C396,I396/C396,(INT(I396/B396)+(((I396-B396*INT(I396/B396)))/C396)/100))))</f>
        <v>0</v>
      </c>
      <c r="AU396" s="57">
        <f>IF(ISERROR(IF(B396=C396,J396/C396,(INT(J396/B396)+(((J396-B396*INT(J396/B396)))/C396)/100))),0,(IF(B396=C396,J396/C396,(INT(J396/B396)+(((J396-B396*INT(J396/B396)))/C396)/100))))</f>
        <v>0.04</v>
      </c>
      <c r="AV396" s="57">
        <f>IF(ISERROR(IF(B396=C396,K396/C396,IF((INT(K396/B396)+(((K396-B396*INT(K396/B396)))/C396)/100)&lt;0,(INT(K396/B396)+(((K396-B396*INT(K396/B396)))/C396)/100)+(1-(B396/C396/100)),(INT(K396/B396)+(((K396-B396*INT(K396/B396)))/C396)/100)))),0,IF(B396=C396,K396/C396,IF((INT(K396/B396)+(((K396-B396*INT(K396/B396)))/C396)/100)&lt;0,(INT(K396/B396)+(((K396-B396*INT(K396/B396)))/C396)/100)+(1-(B396/C396/100)),(INT(K396/B396)+(((K396-B396*INT(K396/B396)))/C396)/100))))</f>
        <v>0.04</v>
      </c>
      <c r="AW396" s="57">
        <f>IF(ISERROR(IF(B396=C396,L396/C396,(INT(L396/B396)+(((L396-B396*INT(L396/B396)))/C396)/100))),0,(IF(B396=C396,L396/C396,(INT(L396/B396)+(((L396-B396*INT(L396/B396)))/C396)/100))))</f>
        <v>0</v>
      </c>
      <c r="AX396" s="57">
        <f>IF(ISERROR(IF(B396=C396,M396/C396,(INT(M396/B396)+(((M396-B396*INT(M396/B396)))/C396)/100))),0,(IF(B396=C396,M396/C396,(INT(M396/B396)+(((M396-B396*INT(M396/B396)))/C396)/100))))</f>
        <v>0</v>
      </c>
      <c r="AY396" s="57">
        <f>IF(ISERROR(IF(B396=C396,N396/C396,IF((INT(N396/B396)+(((N396-B396*INT(N396/B396)))/C396)/100)&lt;0,(INT(N396/B396)+(((N396-B396*INT(N396/B396)))/C396)/100)+(1-(B396/C396/100)),(INT(N396/B396)+(((N396-B396*INT(N396/B396)))/C396)/100)))),0,IF(B396=C396,N396/C396,IF((INT(N396/B396)+(((N396-B396*INT(N396/B396)))/C396)/100)&lt;0,(INT(N396/B396)+(((N396-B396*INT(N396/B396)))/C396)/100)+(1-(B396/C396/100)),(INT(N396/B396)+(((N396-B396*INT(N396/B396)))/C396)/100))))</f>
        <v>0.05</v>
      </c>
      <c r="AZ396" s="57">
        <f>IF(ISERROR(IF(B396=C396,O396/C396,(INT(O396/B396)+(((O396-B396*INT(O396/B396)))/C396)/100))),0,(IF(B396=C396,O396/C396,(INT(O396/B396)+(((O396-B396*INT(O396/B396)))/C396)/100))))</f>
        <v>0.08</v>
      </c>
      <c r="BA396" s="57">
        <f>IF(ISERROR(IF(B396=C396,P396/C396,IF((INT(P396/B396)+(((P396-B396*INT(P396/B396)))/C396)/100)&lt;0,(INT(P396/B396)+(((P396-B396*INT(P396/B396)))/C396)/100)+(1-(B396/C396/100)),(INT(P396/B396)+(((P396-B396*INT(P396/B396)))/C396)/100)))),0,IF(B396=C396,P396/C396,IF((INT(P396/B396)+(((P396-B396*INT(P396/B396)))/C396)/100)&lt;0,(INT(P396/B396)+(((P396-B396*INT(P396/B396)))/C396)/100)+(1-(B396/C396/100)),(INT(P396/B396)+(((P396-B396*INT(P396/B396)))/C396)/100))))</f>
        <v>0.03</v>
      </c>
      <c r="BB396" s="28">
        <f>R396</f>
        <v>175</v>
      </c>
      <c r="BC396" s="28">
        <f>S396</f>
        <v>525</v>
      </c>
      <c r="BD396" s="28">
        <f>AF396</f>
        <v>1127.2749999999999</v>
      </c>
      <c r="BE396" s="28">
        <f>T396</f>
        <v>135.27299999999997</v>
      </c>
      <c r="BG396" s="57">
        <f>IF(ISERROR(IF(B396=C396,V396/C396,(INT(V396/B396)+(((V396-B396*INT(V396/B396)))/C396)/100))),0,(IF(B396=C396,V396/C396,(INT(V396/B396)+(((V396-B396*INT(V396/B396)))/C396)/100))))</f>
        <v>0.08</v>
      </c>
      <c r="BH396" s="57">
        <f>IF(ISERROR(IF(B396=C396,W396/C396,(INT(W396/B396)+(((W396-B396*INT(W396/B396)))/C396)/100))),0,(IF(B396=C396,W396/C396,(INT(W396/B396)+(((W396-B396*INT(W396/B396)))/C396)/100))))</f>
        <v>0</v>
      </c>
      <c r="BI396" s="57">
        <f>IF(ISERROR(IF(B396=C396,X396/C396,(INT(X396/B396)+(((X396-B396*INT(X396/B396)))/C396)/100))),0,(IF(B396=C396,X396/C396,(INT(X396/B396)+(((X396-B396*INT(X396/B396)))/C396)/100))))</f>
        <v>0</v>
      </c>
      <c r="BJ396" s="57">
        <f>IF(ISERROR(IF(B396=C396,Y396/C396,(INT(Y396/B396)+(((Y396-B396*INT(Y396/B396)))/C396)/100))),0,(IF(B396=C396,Y396/C396,(INT(Y396/B396)+(((Y396-B396*INT(Y396/B396)))/C396)/100))))</f>
        <v>0</v>
      </c>
      <c r="BL396" s="57">
        <f>IF(ISERROR(IF(B396=C396,AA396/C396,(INT(AA396/B396)+(((AA396-B396*INT(AA396/B396)))/C396)/100))),0,(IF(B396=C396,AA396/C396,(INT(AA396/B396)+(((AA396-B396*INT(AA396/B396)))/C396)/100))))</f>
        <v>1.01</v>
      </c>
      <c r="BM396" s="57">
        <f>IF(ISERROR(IF(B396=C396,AB396/C396,(INT(AB396/B396)+(((AB396-B396*INT(AB396/B396)))/C396)/100))),0,(IF(B396=C396,AB396/C396,(INT(AB396/B396)+(((AB396-B396*INT(AB396/B396)))/C396)/100))))</f>
        <v>0</v>
      </c>
      <c r="BN396" s="57">
        <f>IF(ISERROR(IF(B396=C396,AC396/C396,(INT(AC396/B396)+(((AC396-B396*INT(AC396/B396)))/C396)/100))),0,(IF(B396=C396,AC396/C396,(INT(AC396/B396)+(((AC396-B396*INT(AC396/B396)))/C396)/100))))</f>
        <v>0</v>
      </c>
      <c r="BO396" s="57">
        <f>IF(ISERROR(IF(B396=C396,AD396/C396,(INT(AD396/B396)+(((AD396-B396*INT(AD396/B396)))/C396)/100))),0,(IF(B396=C396,AD396/C396,(INT(AD396/B396)+(((AD396-B396*INT(AD396/B396)))/C396)/100))))</f>
        <v>0</v>
      </c>
      <c r="BQ396" s="155" t="s">
        <v>232</v>
      </c>
    </row>
    <row r="397" spans="1:69" x14ac:dyDescent="0.35">
      <c r="A397" s="165" t="s">
        <v>231</v>
      </c>
      <c r="B397" s="113">
        <v>750</v>
      </c>
      <c r="C397" s="113">
        <v>30</v>
      </c>
      <c r="D397" s="28">
        <f>SUM(AA397:AD397)</f>
        <v>0</v>
      </c>
      <c r="E397" s="113">
        <v>0</v>
      </c>
      <c r="F397" s="113">
        <v>0</v>
      </c>
      <c r="G397" s="28">
        <f>SUM(D397:F397)</f>
        <v>0</v>
      </c>
      <c r="H397" s="164">
        <v>0</v>
      </c>
      <c r="I397" s="113">
        <v>0</v>
      </c>
      <c r="J397" s="125">
        <v>120</v>
      </c>
      <c r="K397" s="113">
        <v>-120</v>
      </c>
      <c r="L397" s="113">
        <v>0</v>
      </c>
      <c r="M397" s="113">
        <v>0</v>
      </c>
      <c r="N397" s="28">
        <f>G397-SUM(H397:M397)</f>
        <v>0</v>
      </c>
      <c r="O397" s="28">
        <f>SUM(V397:Y397)</f>
        <v>0</v>
      </c>
      <c r="P397" s="28">
        <f>O397-N397</f>
        <v>0</v>
      </c>
      <c r="Q397" s="61" t="str">
        <f>IF(ISERROR(P397/SUM(H397:L397)),"",P397/SUM(H397:L397))</f>
        <v/>
      </c>
      <c r="R397" s="113">
        <v>135</v>
      </c>
      <c r="S397" s="28">
        <f>IF(ISERROR(P397/C397*R397),0,(P397/C397*R397))</f>
        <v>0</v>
      </c>
      <c r="T397" s="60">
        <f>IF(ISERROR(P397/B397*AF397),0,(P397/B397*AF397))</f>
        <v>0</v>
      </c>
      <c r="V397" s="113">
        <v>0</v>
      </c>
      <c r="W397" s="113">
        <v>0</v>
      </c>
      <c r="X397" s="113">
        <v>0</v>
      </c>
      <c r="Y397" s="113">
        <v>0</v>
      </c>
      <c r="AA397" s="113">
        <v>0</v>
      </c>
      <c r="AB397" s="113">
        <v>0</v>
      </c>
      <c r="AC397" s="113">
        <v>0</v>
      </c>
      <c r="AD397" s="113">
        <v>0</v>
      </c>
      <c r="AF397" s="155">
        <v>1025</v>
      </c>
      <c r="AG397" s="28">
        <f>G397-O397</f>
        <v>0</v>
      </c>
      <c r="AH397" s="58">
        <f>IF(ISERROR(AG397/B397*AF397),0,(AG397/B397*AF397))</f>
        <v>0</v>
      </c>
      <c r="AI397" s="28">
        <f>SUM(H397:M397)</f>
        <v>0</v>
      </c>
      <c r="AJ397" s="28">
        <f>IF(ISERROR(AI397/B397*AF397),0,(AI397/B397*AF397))</f>
        <v>0</v>
      </c>
      <c r="AK397" s="58">
        <f>IF(ISERROR(O397/B397*AF397),0,(O397/B397*AF397))</f>
        <v>0</v>
      </c>
      <c r="AL397" s="28">
        <f>IF(ISERROR(H397/B397*AF397),0,(H397/B397*AF397))</f>
        <v>0</v>
      </c>
      <c r="AN397" s="51" t="str">
        <f>A397</f>
        <v xml:space="preserve">Havana Club 3 yrs </v>
      </c>
      <c r="AO397" s="57">
        <f>IF(ISERROR(IF(B397=C397,D397/C397,(INT(D397/B397)+(((D397-B397*INT(D397/B397)))/C397)/100))),0,(IF(B397=C397,D397/C397,(INT(D397/B397)+(((D397-B397*INT(D397/B397)))/C397)/100))))</f>
        <v>0</v>
      </c>
      <c r="AP397" s="57">
        <f>IF(ISERROR(IF(B397=C397,E397/C397,(INT(E397/B397)+(((E397-B397*INT(E397/B397)))/C397)/100))),0,(IF(B397=C397,E397/C397,(INT(E397/B397)+(((E397-B397*INT(E397/B397)))/C397)/100))))</f>
        <v>0</v>
      </c>
      <c r="AQ397" s="57">
        <f>IF(ISERROR(IF(B397=C397,F397/C397,IF((INT(F397/B397)+(((F397-B397*INT(F397/B397)))/C397)/100)&lt;0,(INT(F397/B397)+(((F397-B397*INT(F397/B397)))/C397)/100)+(1-(B397/C397/100)),(INT(F397/B397)+(((F397-B397*INT(F397/B397)))/C397)/100)))),0,IF(B397=C397,F397/C397,IF((INT(F397/B397)+(((F397-B397*INT(F397/B397)))/C397)/100)&lt;0,(INT(F397/B397)+(((F397-B397*INT(F397/B397)))/C397)/100)+(1-(B397/C397/100)),(INT(F397/B397)+(((F397-B397*INT(F397/B397)))/C397)/100))))</f>
        <v>0</v>
      </c>
      <c r="AR397" s="57">
        <f>IF(ISERROR(IF(B397=C397,G397/C397,(INT(G397/B397)+(((G397-B397*INT(G397/B397)))/C397)/100))),0,(IF(B397=C397,G397/C397,(INT(G397/B397)+(((G397-B397*INT(G397/B397)))/C397)/100))))</f>
        <v>0</v>
      </c>
      <c r="AS397" s="57">
        <f>IF(ISERROR(IF(B397=C397,H397/C397,(INT(H397/B397)+(((H397-B397*INT(H397/B397)))/C397)/100))),0,(IF(B397=C397,H397/C397,(INT(H397/B397)+(((H397-B397*INT(H397/B397)))/C397)/100))))</f>
        <v>0</v>
      </c>
      <c r="AT397" s="57">
        <f>IF(ISERROR(IF(B397=C397,I397/C397,(INT(I397/B397)+(((I397-B397*INT(I397/B397)))/C397)/100))),0,(IF(B397=C397,I397/C397,(INT(I397/B397)+(((I397-B397*INT(I397/B397)))/C397)/100))))</f>
        <v>0</v>
      </c>
      <c r="AU397" s="57">
        <f>IF(ISERROR(IF(B397=C397,J397/C397,(INT(J397/B397)+(((J397-B397*INT(J397/B397)))/C397)/100))),0,(IF(B397=C397,J397/C397,(INT(J397/B397)+(((J397-B397*INT(J397/B397)))/C397)/100))))</f>
        <v>0.04</v>
      </c>
      <c r="AV397" s="57">
        <f>IF(ISERROR(IF(B397=C397,K397/C397,IF((INT(K397/B397)+(((K397-B397*INT(K397/B397)))/C397)/100)&lt;0,(INT(K397/B397)+(((K397-B397*INT(K397/B397)))/C397)/100)+(1-(B397/C397/100)),(INT(K397/B397)+(((K397-B397*INT(K397/B397)))/C397)/100)))),0,IF(B397=C397,K397/C397,IF((INT(K397/B397)+(((K397-B397*INT(K397/B397)))/C397)/100)&lt;0,(INT(K397/B397)+(((K397-B397*INT(K397/B397)))/C397)/100)+(1-(B397/C397/100)),(INT(K397/B397)+(((K397-B397*INT(K397/B397)))/C397)/100))))</f>
        <v>-4.0000000000000036E-2</v>
      </c>
      <c r="AW397" s="57">
        <f>IF(ISERROR(IF(B397=C397,L397/C397,(INT(L397/B397)+(((L397-B397*INT(L397/B397)))/C397)/100))),0,(IF(B397=C397,L397/C397,(INT(L397/B397)+(((L397-B397*INT(L397/B397)))/C397)/100))))</f>
        <v>0</v>
      </c>
      <c r="AX397" s="57">
        <f>IF(ISERROR(IF(B397=C397,M397/C397,(INT(M397/B397)+(((M397-B397*INT(M397/B397)))/C397)/100))),0,(IF(B397=C397,M397/C397,(INT(M397/B397)+(((M397-B397*INT(M397/B397)))/C397)/100))))</f>
        <v>0</v>
      </c>
      <c r="AY397" s="57">
        <f>IF(ISERROR(IF(B397=C397,N397/C397,IF((INT(N397/B397)+(((N397-B397*INT(N397/B397)))/C397)/100)&lt;0,(INT(N397/B397)+(((N397-B397*INT(N397/B397)))/C397)/100)+(1-(B397/C397/100)),(INT(N397/B397)+(((N397-B397*INT(N397/B397)))/C397)/100)))),0,IF(B397=C397,N397/C397,IF((INT(N397/B397)+(((N397-B397*INT(N397/B397)))/C397)/100)&lt;0,(INT(N397/B397)+(((N397-B397*INT(N397/B397)))/C397)/100)+(1-(B397/C397/100)),(INT(N397/B397)+(((N397-B397*INT(N397/B397)))/C397)/100))))</f>
        <v>0</v>
      </c>
      <c r="AZ397" s="57">
        <f>IF(ISERROR(IF(B397=C397,O397/C397,(INT(O397/B397)+(((O397-B397*INT(O397/B397)))/C397)/100))),0,(IF(B397=C397,O397/C397,(INT(O397/B397)+(((O397-B397*INT(O397/B397)))/C397)/100))))</f>
        <v>0</v>
      </c>
      <c r="BA397" s="57">
        <f>IF(ISERROR(IF(B397=C397,P397/C397,IF((INT(P397/B397)+(((P397-B397*INT(P397/B397)))/C397)/100)&lt;0,(INT(P397/B397)+(((P397-B397*INT(P397/B397)))/C397)/100)+(1-(B397/C397/100)),(INT(P397/B397)+(((P397-B397*INT(P397/B397)))/C397)/100)))),0,IF(B397=C397,P397/C397,IF((INT(P397/B397)+(((P397-B397*INT(P397/B397)))/C397)/100)&lt;0,(INT(P397/B397)+(((P397-B397*INT(P397/B397)))/C397)/100)+(1-(B397/C397/100)),(INT(P397/B397)+(((P397-B397*INT(P397/B397)))/C397)/100))))</f>
        <v>0</v>
      </c>
      <c r="BB397" s="28">
        <f>R397</f>
        <v>135</v>
      </c>
      <c r="BC397" s="28">
        <f>S397</f>
        <v>0</v>
      </c>
      <c r="BD397" s="28">
        <f>AF397</f>
        <v>1025</v>
      </c>
      <c r="BE397" s="28">
        <f>T397</f>
        <v>0</v>
      </c>
      <c r="BG397" s="57">
        <f>IF(ISERROR(IF(B397=C397,V397/C397,(INT(V397/B397)+(((V397-B397*INT(V397/B397)))/C397)/100))),0,(IF(B397=C397,V397/C397,(INT(V397/B397)+(((V397-B397*INT(V397/B397)))/C397)/100))))</f>
        <v>0</v>
      </c>
      <c r="BH397" s="57">
        <f>IF(ISERROR(IF(B397=C397,W397/C397,(INT(W397/B397)+(((W397-B397*INT(W397/B397)))/C397)/100))),0,(IF(B397=C397,W397/C397,(INT(W397/B397)+(((W397-B397*INT(W397/B397)))/C397)/100))))</f>
        <v>0</v>
      </c>
      <c r="BI397" s="57">
        <f>IF(ISERROR(IF(B397=C397,X397/C397,(INT(X397/B397)+(((X397-B397*INT(X397/B397)))/C397)/100))),0,(IF(B397=C397,X397/C397,(INT(X397/B397)+(((X397-B397*INT(X397/B397)))/C397)/100))))</f>
        <v>0</v>
      </c>
      <c r="BJ397" s="57">
        <f>IF(ISERROR(IF(B397=C397,Y397/C397,(INT(Y397/B397)+(((Y397-B397*INT(Y397/B397)))/C397)/100))),0,(IF(B397=C397,Y397/C397,(INT(Y397/B397)+(((Y397-B397*INT(Y397/B397)))/C397)/100))))</f>
        <v>0</v>
      </c>
      <c r="BL397" s="57">
        <f>IF(ISERROR(IF(B397=C397,AA397/C397,(INT(AA397/B397)+(((AA397-B397*INT(AA397/B397)))/C397)/100))),0,(IF(B397=C397,AA397/C397,(INT(AA397/B397)+(((AA397-B397*INT(AA397/B397)))/C397)/100))))</f>
        <v>0</v>
      </c>
      <c r="BM397" s="57">
        <f>IF(ISERROR(IF(B397=C397,AB397/C397,(INT(AB397/B397)+(((AB397-B397*INT(AB397/B397)))/C397)/100))),0,(IF(B397=C397,AB397/C397,(INT(AB397/B397)+(((AB397-B397*INT(AB397/B397)))/C397)/100))))</f>
        <v>0</v>
      </c>
      <c r="BN397" s="57">
        <f>IF(ISERROR(IF(B397=C397,AC397/C397,(INT(AC397/B397)+(((AC397-B397*INT(AC397/B397)))/C397)/100))),0,(IF(B397=C397,AC397/C397,(INT(AC397/B397)+(((AC397-B397*INT(AC397/B397)))/C397)/100))))</f>
        <v>0</v>
      </c>
      <c r="BO397" s="57">
        <f>IF(ISERROR(IF(B397=C397,AD397/C397,(INT(AD397/B397)+(((AD397-B397*INT(AD397/B397)))/C397)/100))),0,(IF(B397=C397,AD397/C397,(INT(AD397/B397)+(((AD397-B397*INT(AD397/B397)))/C397)/100))))</f>
        <v>0</v>
      </c>
      <c r="BQ397" s="155" t="s">
        <v>207</v>
      </c>
    </row>
    <row r="398" spans="1:69" ht="14.25" customHeight="1" x14ac:dyDescent="0.35">
      <c r="A398" s="165" t="s">
        <v>230</v>
      </c>
      <c r="B398" s="113">
        <v>750</v>
      </c>
      <c r="C398" s="113">
        <v>30</v>
      </c>
      <c r="D398" s="28">
        <f>SUM(AA398:AD398)</f>
        <v>0</v>
      </c>
      <c r="E398" s="113">
        <v>0</v>
      </c>
      <c r="F398" s="113">
        <v>0</v>
      </c>
      <c r="G398" s="28">
        <f>SUM(D398:F398)</f>
        <v>0</v>
      </c>
      <c r="H398" s="125">
        <v>0</v>
      </c>
      <c r="I398" s="113">
        <v>0</v>
      </c>
      <c r="J398" s="125">
        <v>0</v>
      </c>
      <c r="K398" s="113">
        <v>0</v>
      </c>
      <c r="L398" s="113">
        <v>0</v>
      </c>
      <c r="M398" s="113">
        <v>0</v>
      </c>
      <c r="N398" s="28">
        <f>G398-SUM(H398:M398)</f>
        <v>0</v>
      </c>
      <c r="O398" s="28">
        <f>SUM(V398:Y398)</f>
        <v>0</v>
      </c>
      <c r="P398" s="28">
        <f>O398-N398</f>
        <v>0</v>
      </c>
      <c r="Q398" s="61" t="str">
        <f>IF(ISERROR(P398/SUM(H398:L398)),"",P398/SUM(H398:L398))</f>
        <v/>
      </c>
      <c r="R398" s="113">
        <v>135</v>
      </c>
      <c r="S398" s="28">
        <f>IF(ISERROR(P398/C398*R398),0,(P398/C398*R398))</f>
        <v>0</v>
      </c>
      <c r="T398" s="60">
        <f>IF(ISERROR(P398/B398*AF398),0,(P398/B398*AF398))</f>
        <v>0</v>
      </c>
      <c r="V398" s="113">
        <v>0</v>
      </c>
      <c r="W398" s="113">
        <v>0</v>
      </c>
      <c r="X398" s="113">
        <v>0</v>
      </c>
      <c r="Y398" s="113">
        <v>0</v>
      </c>
      <c r="AA398" s="113">
        <v>0</v>
      </c>
      <c r="AB398" s="113">
        <v>0</v>
      </c>
      <c r="AC398" s="113">
        <v>0</v>
      </c>
      <c r="AD398" s="113">
        <v>0</v>
      </c>
      <c r="AF398" s="155">
        <v>388</v>
      </c>
      <c r="AG398" s="28">
        <f>G398-O398</f>
        <v>0</v>
      </c>
      <c r="AH398" s="58">
        <f>IF(ISERROR(AG398/B398*AF398),0,(AG398/B398*AF398))</f>
        <v>0</v>
      </c>
      <c r="AI398" s="28">
        <f>SUM(H398:M398)</f>
        <v>0</v>
      </c>
      <c r="AJ398" s="28">
        <f>IF(ISERROR(AI398/B398*AF398),0,(AI398/B398*AF398))</f>
        <v>0</v>
      </c>
      <c r="AK398" s="58">
        <f>IF(ISERROR(O398/B398*AF398),0,(O398/B398*AF398))</f>
        <v>0</v>
      </c>
      <c r="AL398" s="28">
        <f>IF(ISERROR(H398/B398*AF398),0,(H398/B398*AF398))</f>
        <v>0</v>
      </c>
      <c r="AN398" s="51" t="str">
        <f>A398</f>
        <v xml:space="preserve">Honey Bee </v>
      </c>
      <c r="AO398" s="57">
        <f>IF(ISERROR(IF(B398=C398,D398/C398,(INT(D398/B398)+(((D398-B398*INT(D398/B398)))/C398)/100))),0,(IF(B398=C398,D398/C398,(INT(D398/B398)+(((D398-B398*INT(D398/B398)))/C398)/100))))</f>
        <v>0</v>
      </c>
      <c r="AP398" s="57">
        <f>IF(ISERROR(IF(B398=C398,E398/C398,(INT(E398/B398)+(((E398-B398*INT(E398/B398)))/C398)/100))),0,(IF(B398=C398,E398/C398,(INT(E398/B398)+(((E398-B398*INT(E398/B398)))/C398)/100))))</f>
        <v>0</v>
      </c>
      <c r="AQ398" s="57">
        <f>IF(ISERROR(IF(B398=C398,F398/C398,IF((INT(F398/B398)+(((F398-B398*INT(F398/B398)))/C398)/100)&lt;0,(INT(F398/B398)+(((F398-B398*INT(F398/B398)))/C398)/100)+(1-(B398/C398/100)),(INT(F398/B398)+(((F398-B398*INT(F398/B398)))/C398)/100)))),0,IF(B398=C398,F398/C398,IF((INT(F398/B398)+(((F398-B398*INT(F398/B398)))/C398)/100)&lt;0,(INT(F398/B398)+(((F398-B398*INT(F398/B398)))/C398)/100)+(1-(B398/C398/100)),(INT(F398/B398)+(((F398-B398*INT(F398/B398)))/C398)/100))))</f>
        <v>0</v>
      </c>
      <c r="AR398" s="57">
        <f>IF(ISERROR(IF(B398=C398,G398/C398,(INT(G398/B398)+(((G398-B398*INT(G398/B398)))/C398)/100))),0,(IF(B398=C398,G398/C398,(INT(G398/B398)+(((G398-B398*INT(G398/B398)))/C398)/100))))</f>
        <v>0</v>
      </c>
      <c r="AS398" s="57">
        <f>IF(ISERROR(IF(B398=C398,H398/C398,(INT(H398/B398)+(((H398-B398*INT(H398/B398)))/C398)/100))),0,(IF(B398=C398,H398/C398,(INT(H398/B398)+(((H398-B398*INT(H398/B398)))/C398)/100))))</f>
        <v>0</v>
      </c>
      <c r="AT398" s="57">
        <f>IF(ISERROR(IF(B398=C398,I398/C398,(INT(I398/B398)+(((I398-B398*INT(I398/B398)))/C398)/100))),0,(IF(B398=C398,I398/C398,(INT(I398/B398)+(((I398-B398*INT(I398/B398)))/C398)/100))))</f>
        <v>0</v>
      </c>
      <c r="AU398" s="57">
        <f>IF(ISERROR(IF(B398=C398,J398/C398,(INT(J398/B398)+(((J398-B398*INT(J398/B398)))/C398)/100))),0,(IF(B398=C398,J398/C398,(INT(J398/B398)+(((J398-B398*INT(J398/B398)))/C398)/100))))</f>
        <v>0</v>
      </c>
      <c r="AV398" s="57">
        <f>IF(ISERROR(IF(B398=C398,K398/C398,IF((INT(K398/B398)+(((K398-B398*INT(K398/B398)))/C398)/100)&lt;0,(INT(K398/B398)+(((K398-B398*INT(K398/B398)))/C398)/100)+(1-(B398/C398/100)),(INT(K398/B398)+(((K398-B398*INT(K398/B398)))/C398)/100)))),0,IF(B398=C398,K398/C398,IF((INT(K398/B398)+(((K398-B398*INT(K398/B398)))/C398)/100)&lt;0,(INT(K398/B398)+(((K398-B398*INT(K398/B398)))/C398)/100)+(1-(B398/C398/100)),(INT(K398/B398)+(((K398-B398*INT(K398/B398)))/C398)/100))))</f>
        <v>0</v>
      </c>
      <c r="AW398" s="57">
        <f>IF(ISERROR(IF(B398=C398,L398/C398,(INT(L398/B398)+(((L398-B398*INT(L398/B398)))/C398)/100))),0,(IF(B398=C398,L398/C398,(INT(L398/B398)+(((L398-B398*INT(L398/B398)))/C398)/100))))</f>
        <v>0</v>
      </c>
      <c r="AX398" s="57">
        <f>IF(ISERROR(IF(B398=C398,M398/C398,(INT(M398/B398)+(((M398-B398*INT(M398/B398)))/C398)/100))),0,(IF(B398=C398,M398/C398,(INT(M398/B398)+(((M398-B398*INT(M398/B398)))/C398)/100))))</f>
        <v>0</v>
      </c>
      <c r="AY398" s="57">
        <f>IF(ISERROR(IF(B398=C398,N398/C398,IF((INT(N398/B398)+(((N398-B398*INT(N398/B398)))/C398)/100)&lt;0,(INT(N398/B398)+(((N398-B398*INT(N398/B398)))/C398)/100)+(1-(B398/C398/100)),(INT(N398/B398)+(((N398-B398*INT(N398/B398)))/C398)/100)))),0,IF(B398=C398,N398/C398,IF((INT(N398/B398)+(((N398-B398*INT(N398/B398)))/C398)/100)&lt;0,(INT(N398/B398)+(((N398-B398*INT(N398/B398)))/C398)/100)+(1-(B398/C398/100)),(INT(N398/B398)+(((N398-B398*INT(N398/B398)))/C398)/100))))</f>
        <v>0</v>
      </c>
      <c r="AZ398" s="57">
        <f>IF(ISERROR(IF(B398=C398,O398/C398,(INT(O398/B398)+(((O398-B398*INT(O398/B398)))/C398)/100))),0,(IF(B398=C398,O398/C398,(INT(O398/B398)+(((O398-B398*INT(O398/B398)))/C398)/100))))</f>
        <v>0</v>
      </c>
      <c r="BA398" s="57">
        <f>IF(ISERROR(IF(B398=C398,P398/C398,IF((INT(P398/B398)+(((P398-B398*INT(P398/B398)))/C398)/100)&lt;0,(INT(P398/B398)+(((P398-B398*INT(P398/B398)))/C398)/100)+(1-(B398/C398/100)),(INT(P398/B398)+(((P398-B398*INT(P398/B398)))/C398)/100)))),0,IF(B398=C398,P398/C398,IF((INT(P398/B398)+(((P398-B398*INT(P398/B398)))/C398)/100)&lt;0,(INT(P398/B398)+(((P398-B398*INT(P398/B398)))/C398)/100)+(1-(B398/C398/100)),(INT(P398/B398)+(((P398-B398*INT(P398/B398)))/C398)/100))))</f>
        <v>0</v>
      </c>
      <c r="BB398" s="28">
        <f>R398</f>
        <v>135</v>
      </c>
      <c r="BC398" s="28">
        <f>S398</f>
        <v>0</v>
      </c>
      <c r="BD398" s="28">
        <f>AF398</f>
        <v>388</v>
      </c>
      <c r="BE398" s="28">
        <f>T398</f>
        <v>0</v>
      </c>
      <c r="BG398" s="57">
        <f>IF(ISERROR(IF(B398=C398,V398/C398,(INT(V398/B398)+(((V398-B398*INT(V398/B398)))/C398)/100))),0,(IF(B398=C398,V398/C398,(INT(V398/B398)+(((V398-B398*INT(V398/B398)))/C398)/100))))</f>
        <v>0</v>
      </c>
      <c r="BH398" s="57">
        <f>IF(ISERROR(IF(B398=C398,W398/C398,(INT(W398/B398)+(((W398-B398*INT(W398/B398)))/C398)/100))),0,(IF(B398=C398,W398/C398,(INT(W398/B398)+(((W398-B398*INT(W398/B398)))/C398)/100))))</f>
        <v>0</v>
      </c>
      <c r="BI398" s="57">
        <f>IF(ISERROR(IF(B398=C398,X398/C398,(INT(X398/B398)+(((X398-B398*INT(X398/B398)))/C398)/100))),0,(IF(B398=C398,X398/C398,(INT(X398/B398)+(((X398-B398*INT(X398/B398)))/C398)/100))))</f>
        <v>0</v>
      </c>
      <c r="BJ398" s="57">
        <f>IF(ISERROR(IF(B398=C398,Y398/C398,(INT(Y398/B398)+(((Y398-B398*INT(Y398/B398)))/C398)/100))),0,(IF(B398=C398,Y398/C398,(INT(Y398/B398)+(((Y398-B398*INT(Y398/B398)))/C398)/100))))</f>
        <v>0</v>
      </c>
      <c r="BL398" s="57">
        <f>IF(ISERROR(IF(B398=C398,AA398/C398,(INT(AA398/B398)+(((AA398-B398*INT(AA398/B398)))/C398)/100))),0,(IF(B398=C398,AA398/C398,(INT(AA398/B398)+(((AA398-B398*INT(AA398/B398)))/C398)/100))))</f>
        <v>0</v>
      </c>
      <c r="BM398" s="57">
        <f>IF(ISERROR(IF(B398=C398,AB398/C398,(INT(AB398/B398)+(((AB398-B398*INT(AB398/B398)))/C398)/100))),0,(IF(B398=C398,AB398/C398,(INT(AB398/B398)+(((AB398-B398*INT(AB398/B398)))/C398)/100))))</f>
        <v>0</v>
      </c>
      <c r="BN398" s="57">
        <f>IF(ISERROR(IF(B398=C398,AC398/C398,(INT(AC398/B398)+(((AC398-B398*INT(AC398/B398)))/C398)/100))),0,(IF(B398=C398,AC398/C398,(INT(AC398/B398)+(((AC398-B398*INT(AC398/B398)))/C398)/100))))</f>
        <v>0</v>
      </c>
      <c r="BO398" s="57">
        <f>IF(ISERROR(IF(B398=C398,AD398/C398,(INT(AD398/B398)+(((AD398-B398*INT(AD398/B398)))/C398)/100))),0,(IF(B398=C398,AD398/C398,(INT(AD398/B398)+(((AD398-B398*INT(AD398/B398)))/C398)/100))))</f>
        <v>0</v>
      </c>
      <c r="BQ398" s="155" t="s">
        <v>211</v>
      </c>
    </row>
    <row r="399" spans="1:69" x14ac:dyDescent="0.35">
      <c r="A399" s="165" t="s">
        <v>229</v>
      </c>
      <c r="B399" s="113">
        <v>750</v>
      </c>
      <c r="C399" s="113">
        <v>30</v>
      </c>
      <c r="D399" s="28">
        <f>SUM(AA399:AD399)</f>
        <v>5640</v>
      </c>
      <c r="E399" s="113">
        <v>0</v>
      </c>
      <c r="F399" s="113">
        <v>0</v>
      </c>
      <c r="G399" s="28">
        <f>SUM(D399:F399)</f>
        <v>5640</v>
      </c>
      <c r="H399" s="164">
        <v>0</v>
      </c>
      <c r="I399" s="113">
        <v>0</v>
      </c>
      <c r="J399" s="125">
        <v>240</v>
      </c>
      <c r="K399" s="113">
        <v>-240</v>
      </c>
      <c r="L399" s="113">
        <v>0</v>
      </c>
      <c r="M399" s="113">
        <v>0</v>
      </c>
      <c r="N399" s="28">
        <f>G399-SUM(H399:M399)</f>
        <v>5640</v>
      </c>
      <c r="O399" s="28">
        <f>SUM(V399:Y399)</f>
        <v>5640</v>
      </c>
      <c r="P399" s="28">
        <f>O399-N399</f>
        <v>0</v>
      </c>
      <c r="Q399" s="61" t="str">
        <f>IF(ISERROR(P399/SUM(H399:L399)),"",P399/SUM(H399:L399))</f>
        <v/>
      </c>
      <c r="R399" s="113">
        <v>135</v>
      </c>
      <c r="S399" s="28">
        <f>IF(ISERROR(P399/C399*R399),0,(P399/C399*R399))</f>
        <v>0</v>
      </c>
      <c r="T399" s="60">
        <f>IF(ISERROR(P399/B399*AF399),0,(P399/B399*AF399))</f>
        <v>0</v>
      </c>
      <c r="V399" s="113">
        <f>13*30</f>
        <v>390</v>
      </c>
      <c r="W399" s="113">
        <f>7*750</f>
        <v>5250</v>
      </c>
      <c r="X399" s="113">
        <v>0</v>
      </c>
      <c r="Y399" s="113">
        <v>0</v>
      </c>
      <c r="AA399" s="113">
        <f>13*30</f>
        <v>390</v>
      </c>
      <c r="AB399" s="113">
        <f>7*750</f>
        <v>5250</v>
      </c>
      <c r="AC399" s="113">
        <v>0</v>
      </c>
      <c r="AD399" s="113">
        <v>0</v>
      </c>
      <c r="AF399" s="155">
        <v>545.79541666666671</v>
      </c>
      <c r="AG399" s="28">
        <f>G399-O399</f>
        <v>0</v>
      </c>
      <c r="AH399" s="58">
        <f>IF(ISERROR(AG399/B399*AF399),0,(AG399/B399*AF399))</f>
        <v>0</v>
      </c>
      <c r="AI399" s="28">
        <f>SUM(H399:M399)</f>
        <v>0</v>
      </c>
      <c r="AJ399" s="28">
        <f>IF(ISERROR(AI399/B399*AF399),0,(AI399/B399*AF399))</f>
        <v>0</v>
      </c>
      <c r="AK399" s="58">
        <f>IF(ISERROR(O399/B399*AF399),0,(O399/B399*AF399))</f>
        <v>4104.3815333333332</v>
      </c>
      <c r="AL399" s="28">
        <f>IF(ISERROR(H399/B399*AF399),0,(H399/B399*AF399))</f>
        <v>0</v>
      </c>
      <c r="AN399" s="51" t="str">
        <f>A399</f>
        <v>Mansion House</v>
      </c>
      <c r="AO399" s="57">
        <f>IF(ISERROR(IF(B399=C399,D399/C399,(INT(D399/B399)+(((D399-B399*INT(D399/B399)))/C399)/100))),0,(IF(B399=C399,D399/C399,(INT(D399/B399)+(((D399-B399*INT(D399/B399)))/C399)/100))))</f>
        <v>7.13</v>
      </c>
      <c r="AP399" s="57">
        <f>IF(ISERROR(IF(B399=C399,E399/C399,(INT(E399/B399)+(((E399-B399*INT(E399/B399)))/C399)/100))),0,(IF(B399=C399,E399/C399,(INT(E399/B399)+(((E399-B399*INT(E399/B399)))/C399)/100))))</f>
        <v>0</v>
      </c>
      <c r="AQ399" s="57">
        <f>IF(ISERROR(IF(B399=C399,F399/C399,IF((INT(F399/B399)+(((F399-B399*INT(F399/B399)))/C399)/100)&lt;0,(INT(F399/B399)+(((F399-B399*INT(F399/B399)))/C399)/100)+(1-(B399/C399/100)),(INT(F399/B399)+(((F399-B399*INT(F399/B399)))/C399)/100)))),0,IF(B399=C399,F399/C399,IF((INT(F399/B399)+(((F399-B399*INT(F399/B399)))/C399)/100)&lt;0,(INT(F399/B399)+(((F399-B399*INT(F399/B399)))/C399)/100)+(1-(B399/C399/100)),(INT(F399/B399)+(((F399-B399*INT(F399/B399)))/C399)/100))))</f>
        <v>0</v>
      </c>
      <c r="AR399" s="57">
        <f>IF(ISERROR(IF(B399=C399,G399/C399,(INT(G399/B399)+(((G399-B399*INT(G399/B399)))/C399)/100))),0,(IF(B399=C399,G399/C399,(INT(G399/B399)+(((G399-B399*INT(G399/B399)))/C399)/100))))</f>
        <v>7.13</v>
      </c>
      <c r="AS399" s="57">
        <f>IF(ISERROR(IF(B399=C399,H399/C399,(INT(H399/B399)+(((H399-B399*INT(H399/B399)))/C399)/100))),0,(IF(B399=C399,H399/C399,(INT(H399/B399)+(((H399-B399*INT(H399/B399)))/C399)/100))))</f>
        <v>0</v>
      </c>
      <c r="AT399" s="57">
        <f>IF(ISERROR(IF(B399=C399,I399/C399,(INT(I399/B399)+(((I399-B399*INT(I399/B399)))/C399)/100))),0,(IF(B399=C399,I399/C399,(INT(I399/B399)+(((I399-B399*INT(I399/B399)))/C399)/100))))</f>
        <v>0</v>
      </c>
      <c r="AU399" s="57">
        <f>IF(ISERROR(IF(B399=C399,J399/C399,(INT(J399/B399)+(((J399-B399*INT(J399/B399)))/C399)/100))),0,(IF(B399=C399,J399/C399,(INT(J399/B399)+(((J399-B399*INT(J399/B399)))/C399)/100))))</f>
        <v>0.08</v>
      </c>
      <c r="AV399" s="57">
        <f>IF(ISERROR(IF(B399=C399,K399/C399,IF((INT(K399/B399)+(((K399-B399*INT(K399/B399)))/C399)/100)&lt;0,(INT(K399/B399)+(((K399-B399*INT(K399/B399)))/C399)/100)+(1-(B399/C399/100)),(INT(K399/B399)+(((K399-B399*INT(K399/B399)))/C399)/100)))),0,IF(B399=C399,K399/C399,IF((INT(K399/B399)+(((K399-B399*INT(K399/B399)))/C399)/100)&lt;0,(INT(K399/B399)+(((K399-B399*INT(K399/B399)))/C399)/100)+(1-(B399/C399/100)),(INT(K399/B399)+(((K399-B399*INT(K399/B399)))/C399)/100))))</f>
        <v>-7.999999999999996E-2</v>
      </c>
      <c r="AW399" s="57">
        <f>IF(ISERROR(IF(B399=C399,L399/C399,(INT(L399/B399)+(((L399-B399*INT(L399/B399)))/C399)/100))),0,(IF(B399=C399,L399/C399,(INT(L399/B399)+(((L399-B399*INT(L399/B399)))/C399)/100))))</f>
        <v>0</v>
      </c>
      <c r="AX399" s="57">
        <f>IF(ISERROR(IF(B399=C399,M399/C399,(INT(M399/B399)+(((M399-B399*INT(M399/B399)))/C399)/100))),0,(IF(B399=C399,M399/C399,(INT(M399/B399)+(((M399-B399*INT(M399/B399)))/C399)/100))))</f>
        <v>0</v>
      </c>
      <c r="AY399" s="57">
        <f>IF(ISERROR(IF(B399=C399,N399/C399,IF((INT(N399/B399)+(((N399-B399*INT(N399/B399)))/C399)/100)&lt;0,(INT(N399/B399)+(((N399-B399*INT(N399/B399)))/C399)/100)+(1-(B399/C399/100)),(INT(N399/B399)+(((N399-B399*INT(N399/B399)))/C399)/100)))),0,IF(B399=C399,N399/C399,IF((INT(N399/B399)+(((N399-B399*INT(N399/B399)))/C399)/100)&lt;0,(INT(N399/B399)+(((N399-B399*INT(N399/B399)))/C399)/100)+(1-(B399/C399/100)),(INT(N399/B399)+(((N399-B399*INT(N399/B399)))/C399)/100))))</f>
        <v>7.13</v>
      </c>
      <c r="AZ399" s="57">
        <f>IF(ISERROR(IF(B399=C399,O399/C399,(INT(O399/B399)+(((O399-B399*INT(O399/B399)))/C399)/100))),0,(IF(B399=C399,O399/C399,(INT(O399/B399)+(((O399-B399*INT(O399/B399)))/C399)/100))))</f>
        <v>7.13</v>
      </c>
      <c r="BA399" s="57">
        <f>IF(ISERROR(IF(B399=C399,P399/C399,IF((INT(P399/B399)+(((P399-B399*INT(P399/B399)))/C399)/100)&lt;0,(INT(P399/B399)+(((P399-B399*INT(P399/B399)))/C399)/100)+(1-(B399/C399/100)),(INT(P399/B399)+(((P399-B399*INT(P399/B399)))/C399)/100)))),0,IF(B399=C399,P399/C399,IF((INT(P399/B399)+(((P399-B399*INT(P399/B399)))/C399)/100)&lt;0,(INT(P399/B399)+(((P399-B399*INT(P399/B399)))/C399)/100)+(1-(B399/C399/100)),(INT(P399/B399)+(((P399-B399*INT(P399/B399)))/C399)/100))))</f>
        <v>0</v>
      </c>
      <c r="BB399" s="28">
        <f>R399</f>
        <v>135</v>
      </c>
      <c r="BC399" s="28">
        <f>S399</f>
        <v>0</v>
      </c>
      <c r="BD399" s="28">
        <f>AF399</f>
        <v>545.79541666666671</v>
      </c>
      <c r="BE399" s="28">
        <f>T399</f>
        <v>0</v>
      </c>
      <c r="BG399" s="57">
        <f>IF(ISERROR(IF(B399=C399,V399/C399,(INT(V399/B399)+(((V399-B399*INT(V399/B399)))/C399)/100))),0,(IF(B399=C399,V399/C399,(INT(V399/B399)+(((V399-B399*INT(V399/B399)))/C399)/100))))</f>
        <v>0.13</v>
      </c>
      <c r="BH399" s="57">
        <f>IF(ISERROR(IF(B399=C399,W399/C399,(INT(W399/B399)+(((W399-B399*INT(W399/B399)))/C399)/100))),0,(IF(B399=C399,W399/C399,(INT(W399/B399)+(((W399-B399*INT(W399/B399)))/C399)/100))))</f>
        <v>7</v>
      </c>
      <c r="BI399" s="57">
        <f>IF(ISERROR(IF(B399=C399,X399/C399,(INT(X399/B399)+(((X399-B399*INT(X399/B399)))/C399)/100))),0,(IF(B399=C399,X399/C399,(INT(X399/B399)+(((X399-B399*INT(X399/B399)))/C399)/100))))</f>
        <v>0</v>
      </c>
      <c r="BJ399" s="57">
        <f>IF(ISERROR(IF(B399=C399,Y399/C399,(INT(Y399/B399)+(((Y399-B399*INT(Y399/B399)))/C399)/100))),0,(IF(B399=C399,Y399/C399,(INT(Y399/B399)+(((Y399-B399*INT(Y399/B399)))/C399)/100))))</f>
        <v>0</v>
      </c>
      <c r="BL399" s="57">
        <f>IF(ISERROR(IF(B399=C399,AA399/C399,(INT(AA399/B399)+(((AA399-B399*INT(AA399/B399)))/C399)/100))),0,(IF(B399=C399,AA399/C399,(INT(AA399/B399)+(((AA399-B399*INT(AA399/B399)))/C399)/100))))</f>
        <v>0.13</v>
      </c>
      <c r="BM399" s="57">
        <f>IF(ISERROR(IF(B399=C399,AB399/C399,(INT(AB399/B399)+(((AB399-B399*INT(AB399/B399)))/C399)/100))),0,(IF(B399=C399,AB399/C399,(INT(AB399/B399)+(((AB399-B399*INT(AB399/B399)))/C399)/100))))</f>
        <v>7</v>
      </c>
      <c r="BN399" s="57">
        <f>IF(ISERROR(IF(B399=C399,AC399/C399,(INT(AC399/B399)+(((AC399-B399*INT(AC399/B399)))/C399)/100))),0,(IF(B399=C399,AC399/C399,(INT(AC399/B399)+(((AC399-B399*INT(AC399/B399)))/C399)/100))))</f>
        <v>0</v>
      </c>
      <c r="BO399" s="57">
        <f>IF(ISERROR(IF(B399=C399,AD399/C399,(INT(AD399/B399)+(((AD399-B399*INT(AD399/B399)))/C399)/100))),0,(IF(B399=C399,AD399/C399,(INT(AD399/B399)+(((AD399-B399*INT(AD399/B399)))/C399)/100))))</f>
        <v>0</v>
      </c>
      <c r="BQ399" s="155" t="s">
        <v>211</v>
      </c>
    </row>
    <row r="400" spans="1:69" x14ac:dyDescent="0.35">
      <c r="A400" s="165" t="s">
        <v>228</v>
      </c>
      <c r="B400" s="113">
        <v>750</v>
      </c>
      <c r="C400" s="113">
        <v>30</v>
      </c>
      <c r="D400" s="28">
        <f>SUM(AA400:AD400)</f>
        <v>13590</v>
      </c>
      <c r="E400" s="113">
        <v>0</v>
      </c>
      <c r="F400" s="113">
        <v>0</v>
      </c>
      <c r="G400" s="28">
        <f>SUM(D400:F400)</f>
        <v>13590</v>
      </c>
      <c r="H400" s="164">
        <v>240</v>
      </c>
      <c r="I400" s="113">
        <v>0</v>
      </c>
      <c r="J400" s="125">
        <v>0</v>
      </c>
      <c r="K400" s="113">
        <v>0</v>
      </c>
      <c r="L400" s="113">
        <v>0</v>
      </c>
      <c r="M400" s="113">
        <v>0</v>
      </c>
      <c r="N400" s="28">
        <f>G400-SUM(H400:M400)</f>
        <v>13350</v>
      </c>
      <c r="O400" s="28">
        <f>SUM(V400:Y400)</f>
        <v>13380</v>
      </c>
      <c r="P400" s="28">
        <f>O400-N400</f>
        <v>30</v>
      </c>
      <c r="Q400" s="61">
        <f>IF(ISERROR(P400/SUM(H400:L400)),"",P400/SUM(H400:L400))</f>
        <v>0.125</v>
      </c>
      <c r="R400" s="113">
        <v>135</v>
      </c>
      <c r="S400" s="28">
        <f>IF(ISERROR(P400/C400*R400),0,(P400/C400*R400))</f>
        <v>135</v>
      </c>
      <c r="T400" s="60">
        <f>IF(ISERROR(P400/B400*AF400),0,(P400/B400*AF400))</f>
        <v>10.663166666666667</v>
      </c>
      <c r="V400" s="113">
        <f>4*750+21*30</f>
        <v>3630</v>
      </c>
      <c r="W400" s="113">
        <f>13*750</f>
        <v>9750</v>
      </c>
      <c r="X400" s="113">
        <v>0</v>
      </c>
      <c r="Y400" s="113">
        <v>0</v>
      </c>
      <c r="AA400" s="113">
        <f>5*750+3*30</f>
        <v>3840</v>
      </c>
      <c r="AB400" s="113">
        <f>13*750</f>
        <v>9750</v>
      </c>
      <c r="AC400" s="113">
        <v>0</v>
      </c>
      <c r="AD400" s="113">
        <v>0</v>
      </c>
      <c r="AF400" s="163">
        <f>3198.95/12</f>
        <v>266.57916666666665</v>
      </c>
      <c r="AG400" s="28">
        <f>G400-O400</f>
        <v>210</v>
      </c>
      <c r="AH400" s="58">
        <f>IF(ISERROR(AG400/B400*AF400),0,(AG400/B400*AF400))</f>
        <v>74.642166666666668</v>
      </c>
      <c r="AI400" s="28">
        <f>SUM(H400:M400)</f>
        <v>240</v>
      </c>
      <c r="AJ400" s="28">
        <f>IF(ISERROR(AI400/B400*AF400),0,(AI400/B400*AF400))</f>
        <v>85.305333333333337</v>
      </c>
      <c r="AK400" s="58">
        <f>IF(ISERROR(O400/B400*AF400),0,(O400/B400*AF400))</f>
        <v>4755.7723333333333</v>
      </c>
      <c r="AL400" s="28">
        <f>IF(ISERROR(H400/B400*AF400),0,(H400/B400*AF400))</f>
        <v>85.305333333333337</v>
      </c>
      <c r="AN400" s="51" t="str">
        <f>A400</f>
        <v>Old Monk</v>
      </c>
      <c r="AO400" s="57">
        <f>IF(ISERROR(IF(B400=C400,D400/C400,(INT(D400/B400)+(((D400-B400*INT(D400/B400)))/C400)/100))),0,(IF(B400=C400,D400/C400,(INT(D400/B400)+(((D400-B400*INT(D400/B400)))/C400)/100))))</f>
        <v>18.03</v>
      </c>
      <c r="AP400" s="57">
        <f>IF(ISERROR(IF(B400=C400,E400/C400,(INT(E400/B400)+(((E400-B400*INT(E400/B400)))/C400)/100))),0,(IF(B400=C400,E400/C400,(INT(E400/B400)+(((E400-B400*INT(E400/B400)))/C400)/100))))</f>
        <v>0</v>
      </c>
      <c r="AQ400" s="57">
        <f>IF(ISERROR(IF(B400=C400,F400/C400,IF((INT(F400/B400)+(((F400-B400*INT(F400/B400)))/C400)/100)&lt;0,(INT(F400/B400)+(((F400-B400*INT(F400/B400)))/C400)/100)+(1-(B400/C400/100)),(INT(F400/B400)+(((F400-B400*INT(F400/B400)))/C400)/100)))),0,IF(B400=C400,F400/C400,IF((INT(F400/B400)+(((F400-B400*INT(F400/B400)))/C400)/100)&lt;0,(INT(F400/B400)+(((F400-B400*INT(F400/B400)))/C400)/100)+(1-(B400/C400/100)),(INT(F400/B400)+(((F400-B400*INT(F400/B400)))/C400)/100))))</f>
        <v>0</v>
      </c>
      <c r="AR400" s="57">
        <f>IF(ISERROR(IF(B400=C400,G400/C400,(INT(G400/B400)+(((G400-B400*INT(G400/B400)))/C400)/100))),0,(IF(B400=C400,G400/C400,(INT(G400/B400)+(((G400-B400*INT(G400/B400)))/C400)/100))))</f>
        <v>18.03</v>
      </c>
      <c r="AS400" s="57">
        <f>IF(ISERROR(IF(B400=C400,H400/C400,(INT(H400/B400)+(((H400-B400*INT(H400/B400)))/C400)/100))),0,(IF(B400=C400,H400/C400,(INT(H400/B400)+(((H400-B400*INT(H400/B400)))/C400)/100))))</f>
        <v>0.08</v>
      </c>
      <c r="AT400" s="57">
        <f>IF(ISERROR(IF(B400=C400,I400/C400,(INT(I400/B400)+(((I400-B400*INT(I400/B400)))/C400)/100))),0,(IF(B400=C400,I400/C400,(INT(I400/B400)+(((I400-B400*INT(I400/B400)))/C400)/100))))</f>
        <v>0</v>
      </c>
      <c r="AU400" s="57">
        <f>IF(ISERROR(IF(B400=C400,J400/C400,(INT(J400/B400)+(((J400-B400*INT(J400/B400)))/C400)/100))),0,(IF(B400=C400,J400/C400,(INT(J400/B400)+(((J400-B400*INT(J400/B400)))/C400)/100))))</f>
        <v>0</v>
      </c>
      <c r="AV400" s="57">
        <f>IF(ISERROR(IF(B400=C400,K400/C400,IF((INT(K400/B400)+(((K400-B400*INT(K400/B400)))/C400)/100)&lt;0,(INT(K400/B400)+(((K400-B400*INT(K400/B400)))/C400)/100)+(1-(B400/C400/100)),(INT(K400/B400)+(((K400-B400*INT(K400/B400)))/C400)/100)))),0,IF(B400=C400,K400/C400,IF((INT(K400/B400)+(((K400-B400*INT(K400/B400)))/C400)/100)&lt;0,(INT(K400/B400)+(((K400-B400*INT(K400/B400)))/C400)/100)+(1-(B400/C400/100)),(INT(K400/B400)+(((K400-B400*INT(K400/B400)))/C400)/100))))</f>
        <v>0</v>
      </c>
      <c r="AW400" s="57">
        <f>IF(ISERROR(IF(B400=C400,L400/C400,(INT(L400/B400)+(((L400-B400*INT(L400/B400)))/C400)/100))),0,(IF(B400=C400,L400/C400,(INT(L400/B400)+(((L400-B400*INT(L400/B400)))/C400)/100))))</f>
        <v>0</v>
      </c>
      <c r="AX400" s="57">
        <f>IF(ISERROR(IF(B400=C400,M400/C400,(INT(M400/B400)+(((M400-B400*INT(M400/B400)))/C400)/100))),0,(IF(B400=C400,M400/C400,(INT(M400/B400)+(((M400-B400*INT(M400/B400)))/C400)/100))))</f>
        <v>0</v>
      </c>
      <c r="AY400" s="57">
        <f>IF(ISERROR(IF(B400=C400,N400/C400,IF((INT(N400/B400)+(((N400-B400*INT(N400/B400)))/C400)/100)&lt;0,(INT(N400/B400)+(((N400-B400*INT(N400/B400)))/C400)/100)+(1-(B400/C400/100)),(INT(N400/B400)+(((N400-B400*INT(N400/B400)))/C400)/100)))),0,IF(B400=C400,N400/C400,IF((INT(N400/B400)+(((N400-B400*INT(N400/B400)))/C400)/100)&lt;0,(INT(N400/B400)+(((N400-B400*INT(N400/B400)))/C400)/100)+(1-(B400/C400/100)),(INT(N400/B400)+(((N400-B400*INT(N400/B400)))/C400)/100))))</f>
        <v>17.2</v>
      </c>
      <c r="AZ400" s="57">
        <f>IF(ISERROR(IF(B400=C400,O400/C400,(INT(O400/B400)+(((O400-B400*INT(O400/B400)))/C400)/100))),0,(IF(B400=C400,O400/C400,(INT(O400/B400)+(((O400-B400*INT(O400/B400)))/C400)/100))))</f>
        <v>17.21</v>
      </c>
      <c r="BA400" s="57">
        <f>IF(ISERROR(IF(B400=C400,P400/C400,IF((INT(P400/B400)+(((P400-B400*INT(P400/B400)))/C400)/100)&lt;0,(INT(P400/B400)+(((P400-B400*INT(P400/B400)))/C400)/100)+(1-(B400/C400/100)),(INT(P400/B400)+(((P400-B400*INT(P400/B400)))/C400)/100)))),0,IF(B400=C400,P400/C400,IF((INT(P400/B400)+(((P400-B400*INT(P400/B400)))/C400)/100)&lt;0,(INT(P400/B400)+(((P400-B400*INT(P400/B400)))/C400)/100)+(1-(B400/C400/100)),(INT(P400/B400)+(((P400-B400*INT(P400/B400)))/C400)/100))))</f>
        <v>0.01</v>
      </c>
      <c r="BB400" s="28">
        <f>R400</f>
        <v>135</v>
      </c>
      <c r="BC400" s="28">
        <f>S400</f>
        <v>135</v>
      </c>
      <c r="BD400" s="28">
        <f>AF400</f>
        <v>266.57916666666665</v>
      </c>
      <c r="BE400" s="28">
        <f>T400</f>
        <v>10.663166666666667</v>
      </c>
      <c r="BG400" s="57">
        <f>IF(ISERROR(IF(B400=C400,V400/C400,(INT(V400/B400)+(((V400-B400*INT(V400/B400)))/C400)/100))),0,(IF(B400=C400,V400/C400,(INT(V400/B400)+(((V400-B400*INT(V400/B400)))/C400)/100))))</f>
        <v>4.21</v>
      </c>
      <c r="BH400" s="57">
        <f>IF(ISERROR(IF(B400=C400,W400/C400,(INT(W400/B400)+(((W400-B400*INT(W400/B400)))/C400)/100))),0,(IF(B400=C400,W400/C400,(INT(W400/B400)+(((W400-B400*INT(W400/B400)))/C400)/100))))</f>
        <v>13</v>
      </c>
      <c r="BI400" s="57">
        <f>IF(ISERROR(IF(B400=C400,X400/C400,(INT(X400/B400)+(((X400-B400*INT(X400/B400)))/C400)/100))),0,(IF(B400=C400,X400/C400,(INT(X400/B400)+(((X400-B400*INT(X400/B400)))/C400)/100))))</f>
        <v>0</v>
      </c>
      <c r="BJ400" s="57">
        <f>IF(ISERROR(IF(B400=C400,Y400/C400,(INT(Y400/B400)+(((Y400-B400*INT(Y400/B400)))/C400)/100))),0,(IF(B400=C400,Y400/C400,(INT(Y400/B400)+(((Y400-B400*INT(Y400/B400)))/C400)/100))))</f>
        <v>0</v>
      </c>
      <c r="BL400" s="57">
        <f>IF(ISERROR(IF(B400=C400,AA400/C400,(INT(AA400/B400)+(((AA400-B400*INT(AA400/B400)))/C400)/100))),0,(IF(B400=C400,AA400/C400,(INT(AA400/B400)+(((AA400-B400*INT(AA400/B400)))/C400)/100))))</f>
        <v>5.03</v>
      </c>
      <c r="BM400" s="57">
        <f>IF(ISERROR(IF(B400=C400,AB400/C400,(INT(AB400/B400)+(((AB400-B400*INT(AB400/B400)))/C400)/100))),0,(IF(B400=C400,AB400/C400,(INT(AB400/B400)+(((AB400-B400*INT(AB400/B400)))/C400)/100))))</f>
        <v>13</v>
      </c>
      <c r="BN400" s="57">
        <f>IF(ISERROR(IF(B400=C400,AC400/C400,(INT(AC400/B400)+(((AC400-B400*INT(AC400/B400)))/C400)/100))),0,(IF(B400=C400,AC400/C400,(INT(AC400/B400)+(((AC400-B400*INT(AC400/B400)))/C400)/100))))</f>
        <v>0</v>
      </c>
      <c r="BO400" s="57">
        <f>IF(ISERROR(IF(B400=C400,AD400/C400,(INT(AD400/B400)+(((AD400-B400*INT(AD400/B400)))/C400)/100))),0,(IF(B400=C400,AD400/C400,(INT(AD400/B400)+(((AD400-B400*INT(AD400/B400)))/C400)/100))))</f>
        <v>0</v>
      </c>
      <c r="BQ400" s="155" t="s">
        <v>207</v>
      </c>
    </row>
    <row r="401" spans="1:69" x14ac:dyDescent="0.35">
      <c r="A401" s="160" t="s">
        <v>227</v>
      </c>
      <c r="B401" s="113">
        <v>750</v>
      </c>
      <c r="C401" s="113">
        <v>30</v>
      </c>
      <c r="D401" s="28">
        <f>SUM(AA401:AD401)</f>
        <v>2550</v>
      </c>
      <c r="E401" s="113">
        <v>0</v>
      </c>
      <c r="F401" s="113">
        <v>0</v>
      </c>
      <c r="G401" s="28">
        <f>SUM(D401:F401)</f>
        <v>2550</v>
      </c>
      <c r="H401" s="164">
        <v>0</v>
      </c>
      <c r="I401" s="113">
        <v>0</v>
      </c>
      <c r="J401" s="125">
        <v>0</v>
      </c>
      <c r="K401" s="113">
        <v>0</v>
      </c>
      <c r="L401" s="113">
        <v>0</v>
      </c>
      <c r="M401" s="113">
        <v>0</v>
      </c>
      <c r="N401" s="28">
        <f>G401-SUM(H401:M401)</f>
        <v>2550</v>
      </c>
      <c r="O401" s="28">
        <f>SUM(V401:Y401)</f>
        <v>2550</v>
      </c>
      <c r="P401" s="28">
        <f>O401-N401</f>
        <v>0</v>
      </c>
      <c r="Q401" s="61" t="str">
        <f>IF(ISERROR(P401/SUM(H401:L401)),"",P401/SUM(H401:L401))</f>
        <v/>
      </c>
      <c r="R401" s="113">
        <v>135</v>
      </c>
      <c r="S401" s="28">
        <f>IF(ISERROR(P401/C401*R401),0,(P401/C401*R401))</f>
        <v>0</v>
      </c>
      <c r="T401" s="60">
        <f>IF(ISERROR(P401/B401*AF401),0,(P401/B401*AF401))</f>
        <v>0</v>
      </c>
      <c r="V401" s="113">
        <f>1*750+10*30</f>
        <v>1050</v>
      </c>
      <c r="W401" s="113">
        <f>2*750</f>
        <v>1500</v>
      </c>
      <c r="X401" s="113">
        <v>0</v>
      </c>
      <c r="Y401" s="113">
        <v>0</v>
      </c>
      <c r="AA401" s="113">
        <f>1*750+10*30</f>
        <v>1050</v>
      </c>
      <c r="AB401" s="113">
        <f>2*750</f>
        <v>1500</v>
      </c>
      <c r="AC401" s="113">
        <v>0</v>
      </c>
      <c r="AD401" s="113">
        <v>0</v>
      </c>
      <c r="AF401" s="162">
        <f>12185.45/12</f>
        <v>1015.4541666666668</v>
      </c>
      <c r="AG401" s="28">
        <f>G401-O401</f>
        <v>0</v>
      </c>
      <c r="AH401" s="58">
        <f>IF(ISERROR(AG401/B401*AF401),0,(AG401/B401*AF401))</f>
        <v>0</v>
      </c>
      <c r="AI401" s="28">
        <f>SUM(H401:M401)</f>
        <v>0</v>
      </c>
      <c r="AJ401" s="28">
        <f>IF(ISERROR(AI401/B401*AF401),0,(AI401/B401*AF401))</f>
        <v>0</v>
      </c>
      <c r="AK401" s="58">
        <f>IF(ISERROR(O401/B401*AF401),0,(O401/B401*AF401))</f>
        <v>3452.544166666667</v>
      </c>
      <c r="AL401" s="28">
        <f>IF(ISERROR(H401/B401*AF401),0,(H401/B401*AF401))</f>
        <v>0</v>
      </c>
      <c r="AN401" s="51" t="str">
        <f>A401</f>
        <v xml:space="preserve">Smirnoff Apple </v>
      </c>
      <c r="AO401" s="57">
        <f>IF(ISERROR(IF(B401=C401,D401/C401,(INT(D401/B401)+(((D401-B401*INT(D401/B401)))/C401)/100))),0,(IF(B401=C401,D401/C401,(INT(D401/B401)+(((D401-B401*INT(D401/B401)))/C401)/100))))</f>
        <v>3.1</v>
      </c>
      <c r="AP401" s="57">
        <f>IF(ISERROR(IF(B401=C401,E401/C401,(INT(E401/B401)+(((E401-B401*INT(E401/B401)))/C401)/100))),0,(IF(B401=C401,E401/C401,(INT(E401/B401)+(((E401-B401*INT(E401/B401)))/C401)/100))))</f>
        <v>0</v>
      </c>
      <c r="AQ401" s="57">
        <f>IF(ISERROR(IF(B401=C401,F401/C401,IF((INT(F401/B401)+(((F401-B401*INT(F401/B401)))/C401)/100)&lt;0,(INT(F401/B401)+(((F401-B401*INT(F401/B401)))/C401)/100)+(1-(B401/C401/100)),(INT(F401/B401)+(((F401-B401*INT(F401/B401)))/C401)/100)))),0,IF(B401=C401,F401/C401,IF((INT(F401/B401)+(((F401-B401*INT(F401/B401)))/C401)/100)&lt;0,(INT(F401/B401)+(((F401-B401*INT(F401/B401)))/C401)/100)+(1-(B401/C401/100)),(INT(F401/B401)+(((F401-B401*INT(F401/B401)))/C401)/100))))</f>
        <v>0</v>
      </c>
      <c r="AR401" s="57">
        <f>IF(ISERROR(IF(B401=C401,G401/C401,(INT(G401/B401)+(((G401-B401*INT(G401/B401)))/C401)/100))),0,(IF(B401=C401,G401/C401,(INT(G401/B401)+(((G401-B401*INT(G401/B401)))/C401)/100))))</f>
        <v>3.1</v>
      </c>
      <c r="AS401" s="57">
        <f>IF(ISERROR(IF(B401=C401,H401/C401,(INT(H401/B401)+(((H401-B401*INT(H401/B401)))/C401)/100))),0,(IF(B401=C401,H401/C401,(INT(H401/B401)+(((H401-B401*INT(H401/B401)))/C401)/100))))</f>
        <v>0</v>
      </c>
      <c r="AT401" s="57">
        <f>IF(ISERROR(IF(B401=C401,I401/C401,(INT(I401/B401)+(((I401-B401*INT(I401/B401)))/C401)/100))),0,(IF(B401=C401,I401/C401,(INT(I401/B401)+(((I401-B401*INT(I401/B401)))/C401)/100))))</f>
        <v>0</v>
      </c>
      <c r="AU401" s="57">
        <f>IF(ISERROR(IF(B401=C401,J401/C401,(INT(J401/B401)+(((J401-B401*INT(J401/B401)))/C401)/100))),0,(IF(B401=C401,J401/C401,(INT(J401/B401)+(((J401-B401*INT(J401/B401)))/C401)/100))))</f>
        <v>0</v>
      </c>
      <c r="AV401" s="57">
        <f>IF(ISERROR(IF(B401=C401,K401/C401,IF((INT(K401/B401)+(((K401-B401*INT(K401/B401)))/C401)/100)&lt;0,(INT(K401/B401)+(((K401-B401*INT(K401/B401)))/C401)/100)+(1-(B401/C401/100)),(INT(K401/B401)+(((K401-B401*INT(K401/B401)))/C401)/100)))),0,IF(B401=C401,K401/C401,IF((INT(K401/B401)+(((K401-B401*INT(K401/B401)))/C401)/100)&lt;0,(INT(K401/B401)+(((K401-B401*INT(K401/B401)))/C401)/100)+(1-(B401/C401/100)),(INT(K401/B401)+(((K401-B401*INT(K401/B401)))/C401)/100))))</f>
        <v>0</v>
      </c>
      <c r="AW401" s="57">
        <f>IF(ISERROR(IF(B401=C401,L401/C401,(INT(L401/B401)+(((L401-B401*INT(L401/B401)))/C401)/100))),0,(IF(B401=C401,L401/C401,(INT(L401/B401)+(((L401-B401*INT(L401/B401)))/C401)/100))))</f>
        <v>0</v>
      </c>
      <c r="AX401" s="57">
        <f>IF(ISERROR(IF(B401=C401,M401/C401,(INT(M401/B401)+(((M401-B401*INT(M401/B401)))/C401)/100))),0,(IF(B401=C401,M401/C401,(INT(M401/B401)+(((M401-B401*INT(M401/B401)))/C401)/100))))</f>
        <v>0</v>
      </c>
      <c r="AY401" s="57">
        <f>IF(ISERROR(IF(B401=C401,N401/C401,IF((INT(N401/B401)+(((N401-B401*INT(N401/B401)))/C401)/100)&lt;0,(INT(N401/B401)+(((N401-B401*INT(N401/B401)))/C401)/100)+(1-(B401/C401/100)),(INT(N401/B401)+(((N401-B401*INT(N401/B401)))/C401)/100)))),0,IF(B401=C401,N401/C401,IF((INT(N401/B401)+(((N401-B401*INT(N401/B401)))/C401)/100)&lt;0,(INT(N401/B401)+(((N401-B401*INT(N401/B401)))/C401)/100)+(1-(B401/C401/100)),(INT(N401/B401)+(((N401-B401*INT(N401/B401)))/C401)/100))))</f>
        <v>3.1</v>
      </c>
      <c r="AZ401" s="57">
        <f>IF(ISERROR(IF(B401=C401,O401/C401,(INT(O401/B401)+(((O401-B401*INT(O401/B401)))/C401)/100))),0,(IF(B401=C401,O401/C401,(INT(O401/B401)+(((O401-B401*INT(O401/B401)))/C401)/100))))</f>
        <v>3.1</v>
      </c>
      <c r="BA401" s="57">
        <f>IF(ISERROR(IF(B401=C401,P401/C401,IF((INT(P401/B401)+(((P401-B401*INT(P401/B401)))/C401)/100)&lt;0,(INT(P401/B401)+(((P401-B401*INT(P401/B401)))/C401)/100)+(1-(B401/C401/100)),(INT(P401/B401)+(((P401-B401*INT(P401/B401)))/C401)/100)))),0,IF(B401=C401,P401/C401,IF((INT(P401/B401)+(((P401-B401*INT(P401/B401)))/C401)/100)&lt;0,(INT(P401/B401)+(((P401-B401*INT(P401/B401)))/C401)/100)+(1-(B401/C401/100)),(INT(P401/B401)+(((P401-B401*INT(P401/B401)))/C401)/100))))</f>
        <v>0</v>
      </c>
      <c r="BB401" s="28">
        <f>R401</f>
        <v>135</v>
      </c>
      <c r="BC401" s="28">
        <f>S401</f>
        <v>0</v>
      </c>
      <c r="BD401" s="28">
        <f>AF401</f>
        <v>1015.4541666666668</v>
      </c>
      <c r="BE401" s="28">
        <f>T401</f>
        <v>0</v>
      </c>
      <c r="BG401" s="57">
        <f>IF(ISERROR(IF(B401=C401,V401/C401,(INT(V401/B401)+(((V401-B401*INT(V401/B401)))/C401)/100))),0,(IF(B401=C401,V401/C401,(INT(V401/B401)+(((V401-B401*INT(V401/B401)))/C401)/100))))</f>
        <v>1.1000000000000001</v>
      </c>
      <c r="BH401" s="57">
        <f>IF(ISERROR(IF(B401=C401,W401/C401,(INT(W401/B401)+(((W401-B401*INT(W401/B401)))/C401)/100))),0,(IF(B401=C401,W401/C401,(INT(W401/B401)+(((W401-B401*INT(W401/B401)))/C401)/100))))</f>
        <v>2</v>
      </c>
      <c r="BI401" s="57">
        <f>IF(ISERROR(IF(B401=C401,X401/C401,(INT(X401/B401)+(((X401-B401*INT(X401/B401)))/C401)/100))),0,(IF(B401=C401,X401/C401,(INT(X401/B401)+(((X401-B401*INT(X401/B401)))/C401)/100))))</f>
        <v>0</v>
      </c>
      <c r="BJ401" s="57">
        <f>IF(ISERROR(IF(B401=C401,Y401/C401,(INT(Y401/B401)+(((Y401-B401*INT(Y401/B401)))/C401)/100))),0,(IF(B401=C401,Y401/C401,(INT(Y401/B401)+(((Y401-B401*INT(Y401/B401)))/C401)/100))))</f>
        <v>0</v>
      </c>
      <c r="BL401" s="57">
        <f>IF(ISERROR(IF(B401=C401,AA401/C401,(INT(AA401/B401)+(((AA401-B401*INT(AA401/B401)))/C401)/100))),0,(IF(B401=C401,AA401/C401,(INT(AA401/B401)+(((AA401-B401*INT(AA401/B401)))/C401)/100))))</f>
        <v>1.1000000000000001</v>
      </c>
      <c r="BM401" s="57">
        <f>IF(ISERROR(IF(B401=C401,AB401/C401,(INT(AB401/B401)+(((AB401-B401*INT(AB401/B401)))/C401)/100))),0,(IF(B401=C401,AB401/C401,(INT(AB401/B401)+(((AB401-B401*INT(AB401/B401)))/C401)/100))))</f>
        <v>2</v>
      </c>
      <c r="BN401" s="57">
        <f>IF(ISERROR(IF(B401=C401,AC401/C401,(INT(AC401/B401)+(((AC401-B401*INT(AC401/B401)))/C401)/100))),0,(IF(B401=C401,AC401/C401,(INT(AC401/B401)+(((AC401-B401*INT(AC401/B401)))/C401)/100))))</f>
        <v>0</v>
      </c>
      <c r="BO401" s="57">
        <f>IF(ISERROR(IF(B401=C401,AD401/C401,(INT(AD401/B401)+(((AD401-B401*INT(AD401/B401)))/C401)/100))),0,(IF(B401=C401,AD401/C401,(INT(AD401/B401)+(((AD401-B401*INT(AD401/B401)))/C401)/100))))</f>
        <v>0</v>
      </c>
      <c r="BQ401" s="155" t="s">
        <v>205</v>
      </c>
    </row>
    <row r="402" spans="1:69" x14ac:dyDescent="0.35">
      <c r="A402" s="160" t="s">
        <v>226</v>
      </c>
      <c r="B402" s="113">
        <v>750</v>
      </c>
      <c r="C402" s="113">
        <v>30</v>
      </c>
      <c r="D402" s="28">
        <f>SUM(AA402:AD402)</f>
        <v>21990</v>
      </c>
      <c r="E402" s="113">
        <v>0</v>
      </c>
      <c r="F402" s="113">
        <v>0</v>
      </c>
      <c r="G402" s="28">
        <f>SUM(D402:F402)</f>
        <v>21990</v>
      </c>
      <c r="H402" s="164">
        <v>0</v>
      </c>
      <c r="I402" s="113">
        <v>0</v>
      </c>
      <c r="J402" s="125">
        <v>0</v>
      </c>
      <c r="K402" s="113">
        <v>0</v>
      </c>
      <c r="L402" s="113">
        <v>0</v>
      </c>
      <c r="M402" s="113">
        <v>0</v>
      </c>
      <c r="N402" s="28">
        <f>G402-SUM(H402:M402)</f>
        <v>21990</v>
      </c>
      <c r="O402" s="28">
        <f>SUM(V402:Y402)</f>
        <v>21990</v>
      </c>
      <c r="P402" s="28">
        <f>O402-N402</f>
        <v>0</v>
      </c>
      <c r="Q402" s="61" t="str">
        <f>IF(ISERROR(P402/SUM(H402:L402)),"",P402/SUM(H402:L402))</f>
        <v/>
      </c>
      <c r="R402" s="113">
        <v>195</v>
      </c>
      <c r="S402" s="28">
        <f>IF(ISERROR(P402/C402*R402),0,(P402/C402*R402))</f>
        <v>0</v>
      </c>
      <c r="T402" s="60">
        <f>IF(ISERROR(P402/B402*AF402),0,(P402/B402*AF402))</f>
        <v>0</v>
      </c>
      <c r="V402" s="113">
        <f>2*750+8*30</f>
        <v>1740</v>
      </c>
      <c r="W402" s="113">
        <f>27*750</f>
        <v>20250</v>
      </c>
      <c r="X402" s="113">
        <v>0</v>
      </c>
      <c r="Y402" s="113">
        <v>0</v>
      </c>
      <c r="AA402" s="113">
        <f>2*750+8*30</f>
        <v>1740</v>
      </c>
      <c r="AB402" s="113">
        <f>27*750</f>
        <v>20250</v>
      </c>
      <c r="AC402" s="113">
        <v>0</v>
      </c>
      <c r="AD402" s="113">
        <v>0</v>
      </c>
      <c r="AF402" s="155">
        <v>1118.1833333333334</v>
      </c>
      <c r="AG402" s="28">
        <f>G402-O402</f>
        <v>0</v>
      </c>
      <c r="AH402" s="58">
        <f>IF(ISERROR(AG402/B402*AF402),0,(AG402/B402*AF402))</f>
        <v>0</v>
      </c>
      <c r="AI402" s="28">
        <f>SUM(H402:M402)</f>
        <v>0</v>
      </c>
      <c r="AJ402" s="28">
        <f>IF(ISERROR(AI402/B402*AF402),0,(AI402/B402*AF402))</f>
        <v>0</v>
      </c>
      <c r="AK402" s="58">
        <f>IF(ISERROR(O402/B402*AF402),0,(O402/B402*AF402))</f>
        <v>32785.135333333332</v>
      </c>
      <c r="AL402" s="28">
        <f>IF(ISERROR(H402/B402*AF402),0,(H402/B402*AF402))</f>
        <v>0</v>
      </c>
      <c r="AN402" s="51" t="str">
        <f>A402</f>
        <v xml:space="preserve">Smirnoff Black </v>
      </c>
      <c r="AO402" s="57">
        <f>IF(ISERROR(IF(B402=C402,D402/C402,(INT(D402/B402)+(((D402-B402*INT(D402/B402)))/C402)/100))),0,(IF(B402=C402,D402/C402,(INT(D402/B402)+(((D402-B402*INT(D402/B402)))/C402)/100))))</f>
        <v>29.08</v>
      </c>
      <c r="AP402" s="57">
        <f>IF(ISERROR(IF(B402=C402,E402/C402,(INT(E402/B402)+(((E402-B402*INT(E402/B402)))/C402)/100))),0,(IF(B402=C402,E402/C402,(INT(E402/B402)+(((E402-B402*INT(E402/B402)))/C402)/100))))</f>
        <v>0</v>
      </c>
      <c r="AQ402" s="57">
        <f>IF(ISERROR(IF(B402=C402,F402/C402,IF((INT(F402/B402)+(((F402-B402*INT(F402/B402)))/C402)/100)&lt;0,(INT(F402/B402)+(((F402-B402*INT(F402/B402)))/C402)/100)+(1-(B402/C402/100)),(INT(F402/B402)+(((F402-B402*INT(F402/B402)))/C402)/100)))),0,IF(B402=C402,F402/C402,IF((INT(F402/B402)+(((F402-B402*INT(F402/B402)))/C402)/100)&lt;0,(INT(F402/B402)+(((F402-B402*INT(F402/B402)))/C402)/100)+(1-(B402/C402/100)),(INT(F402/B402)+(((F402-B402*INT(F402/B402)))/C402)/100))))</f>
        <v>0</v>
      </c>
      <c r="AR402" s="57">
        <f>IF(ISERROR(IF(B402=C402,G402/C402,(INT(G402/B402)+(((G402-B402*INT(G402/B402)))/C402)/100))),0,(IF(B402=C402,G402/C402,(INT(G402/B402)+(((G402-B402*INT(G402/B402)))/C402)/100))))</f>
        <v>29.08</v>
      </c>
      <c r="AS402" s="57">
        <f>IF(ISERROR(IF(B402=C402,H402/C402,(INT(H402/B402)+(((H402-B402*INT(H402/B402)))/C402)/100))),0,(IF(B402=C402,H402/C402,(INT(H402/B402)+(((H402-B402*INT(H402/B402)))/C402)/100))))</f>
        <v>0</v>
      </c>
      <c r="AT402" s="57">
        <f>IF(ISERROR(IF(B402=C402,I402/C402,(INT(I402/B402)+(((I402-B402*INT(I402/B402)))/C402)/100))),0,(IF(B402=C402,I402/C402,(INT(I402/B402)+(((I402-B402*INT(I402/B402)))/C402)/100))))</f>
        <v>0</v>
      </c>
      <c r="AU402" s="57">
        <f>IF(ISERROR(IF(B402=C402,J402/C402,(INT(J402/B402)+(((J402-B402*INT(J402/B402)))/C402)/100))),0,(IF(B402=C402,J402/C402,(INT(J402/B402)+(((J402-B402*INT(J402/B402)))/C402)/100))))</f>
        <v>0</v>
      </c>
      <c r="AV402" s="57">
        <f>IF(ISERROR(IF(B402=C402,K402/C402,IF((INT(K402/B402)+(((K402-B402*INT(K402/B402)))/C402)/100)&lt;0,(INT(K402/B402)+(((K402-B402*INT(K402/B402)))/C402)/100)+(1-(B402/C402/100)),(INT(K402/B402)+(((K402-B402*INT(K402/B402)))/C402)/100)))),0,IF(B402=C402,K402/C402,IF((INT(K402/B402)+(((K402-B402*INT(K402/B402)))/C402)/100)&lt;0,(INT(K402/B402)+(((K402-B402*INT(K402/B402)))/C402)/100)+(1-(B402/C402/100)),(INT(K402/B402)+(((K402-B402*INT(K402/B402)))/C402)/100))))</f>
        <v>0</v>
      </c>
      <c r="AW402" s="57">
        <f>IF(ISERROR(IF(B402=C402,L402/C402,(INT(L402/B402)+(((L402-B402*INT(L402/B402)))/C402)/100))),0,(IF(B402=C402,L402/C402,(INT(L402/B402)+(((L402-B402*INT(L402/B402)))/C402)/100))))</f>
        <v>0</v>
      </c>
      <c r="AX402" s="57">
        <f>IF(ISERROR(IF(B402=C402,M402/C402,(INT(M402/B402)+(((M402-B402*INT(M402/B402)))/C402)/100))),0,(IF(B402=C402,M402/C402,(INT(M402/B402)+(((M402-B402*INT(M402/B402)))/C402)/100))))</f>
        <v>0</v>
      </c>
      <c r="AY402" s="57">
        <f>IF(ISERROR(IF(B402=C402,N402/C402,IF((INT(N402/B402)+(((N402-B402*INT(N402/B402)))/C402)/100)&lt;0,(INT(N402/B402)+(((N402-B402*INT(N402/B402)))/C402)/100)+(1-(B402/C402/100)),(INT(N402/B402)+(((N402-B402*INT(N402/B402)))/C402)/100)))),0,IF(B402=C402,N402/C402,IF((INT(N402/B402)+(((N402-B402*INT(N402/B402)))/C402)/100)&lt;0,(INT(N402/B402)+(((N402-B402*INT(N402/B402)))/C402)/100)+(1-(B402/C402/100)),(INT(N402/B402)+(((N402-B402*INT(N402/B402)))/C402)/100))))</f>
        <v>29.08</v>
      </c>
      <c r="AZ402" s="57">
        <f>IF(ISERROR(IF(B402=C402,O402/C402,(INT(O402/B402)+(((O402-B402*INT(O402/B402)))/C402)/100))),0,(IF(B402=C402,O402/C402,(INT(O402/B402)+(((O402-B402*INT(O402/B402)))/C402)/100))))</f>
        <v>29.08</v>
      </c>
      <c r="BA402" s="57">
        <f>IF(ISERROR(IF(B402=C402,P402/C402,IF((INT(P402/B402)+(((P402-B402*INT(P402/B402)))/C402)/100)&lt;0,(INT(P402/B402)+(((P402-B402*INT(P402/B402)))/C402)/100)+(1-(B402/C402/100)),(INT(P402/B402)+(((P402-B402*INT(P402/B402)))/C402)/100)))),0,IF(B402=C402,P402/C402,IF((INT(P402/B402)+(((P402-B402*INT(P402/B402)))/C402)/100)&lt;0,(INT(P402/B402)+(((P402-B402*INT(P402/B402)))/C402)/100)+(1-(B402/C402/100)),(INT(P402/B402)+(((P402-B402*INT(P402/B402)))/C402)/100))))</f>
        <v>0</v>
      </c>
      <c r="BB402" s="28">
        <f>R402</f>
        <v>195</v>
      </c>
      <c r="BC402" s="28">
        <f>S402</f>
        <v>0</v>
      </c>
      <c r="BD402" s="28">
        <f>AF402</f>
        <v>1118.1833333333334</v>
      </c>
      <c r="BE402" s="28">
        <f>T402</f>
        <v>0</v>
      </c>
      <c r="BG402" s="57">
        <f>IF(ISERROR(IF(B402=C402,V402/C402,(INT(V402/B402)+(((V402-B402*INT(V402/B402)))/C402)/100))),0,(IF(B402=C402,V402/C402,(INT(V402/B402)+(((V402-B402*INT(V402/B402)))/C402)/100))))</f>
        <v>2.08</v>
      </c>
      <c r="BH402" s="57">
        <f>IF(ISERROR(IF(B402=C402,W402/C402,(INT(W402/B402)+(((W402-B402*INT(W402/B402)))/C402)/100))),0,(IF(B402=C402,W402/C402,(INT(W402/B402)+(((W402-B402*INT(W402/B402)))/C402)/100))))</f>
        <v>27</v>
      </c>
      <c r="BI402" s="57">
        <f>IF(ISERROR(IF(B402=C402,X402/C402,(INT(X402/B402)+(((X402-B402*INT(X402/B402)))/C402)/100))),0,(IF(B402=C402,X402/C402,(INT(X402/B402)+(((X402-B402*INT(X402/B402)))/C402)/100))))</f>
        <v>0</v>
      </c>
      <c r="BJ402" s="57">
        <f>IF(ISERROR(IF(B402=C402,Y402/C402,(INT(Y402/B402)+(((Y402-B402*INT(Y402/B402)))/C402)/100))),0,(IF(B402=C402,Y402/C402,(INT(Y402/B402)+(((Y402-B402*INT(Y402/B402)))/C402)/100))))</f>
        <v>0</v>
      </c>
      <c r="BL402" s="57">
        <f>IF(ISERROR(IF(B402=C402,AA402/C402,(INT(AA402/B402)+(((AA402-B402*INT(AA402/B402)))/C402)/100))),0,(IF(B402=C402,AA402/C402,(INT(AA402/B402)+(((AA402-B402*INT(AA402/B402)))/C402)/100))))</f>
        <v>2.08</v>
      </c>
      <c r="BM402" s="57">
        <f>IF(ISERROR(IF(B402=C402,AB402/C402,(INT(AB402/B402)+(((AB402-B402*INT(AB402/B402)))/C402)/100))),0,(IF(B402=C402,AB402/C402,(INT(AB402/B402)+(((AB402-B402*INT(AB402/B402)))/C402)/100))))</f>
        <v>27</v>
      </c>
      <c r="BN402" s="57">
        <f>IF(ISERROR(IF(B402=C402,AC402/C402,(INT(AC402/B402)+(((AC402-B402*INT(AC402/B402)))/C402)/100))),0,(IF(B402=C402,AC402/C402,(INT(AC402/B402)+(((AC402-B402*INT(AC402/B402)))/C402)/100))))</f>
        <v>0</v>
      </c>
      <c r="BO402" s="57">
        <f>IF(ISERROR(IF(B402=C402,AD402/C402,(INT(AD402/B402)+(((AD402-B402*INT(AD402/B402)))/C402)/100))),0,(IF(B402=C402,AD402/C402,(INT(AD402/B402)+(((AD402-B402*INT(AD402/B402)))/C402)/100))))</f>
        <v>0</v>
      </c>
      <c r="BQ402" s="155" t="s">
        <v>205</v>
      </c>
    </row>
    <row r="403" spans="1:69" x14ac:dyDescent="0.35">
      <c r="A403" s="160" t="s">
        <v>225</v>
      </c>
      <c r="B403" s="113">
        <v>750</v>
      </c>
      <c r="C403" s="113">
        <v>30</v>
      </c>
      <c r="D403" s="28">
        <f>SUM(AA403:AD403)</f>
        <v>540</v>
      </c>
      <c r="E403" s="113">
        <v>0</v>
      </c>
      <c r="F403" s="113">
        <v>0</v>
      </c>
      <c r="G403" s="28">
        <f>SUM(D403:F403)</f>
        <v>540</v>
      </c>
      <c r="H403" s="164">
        <v>210</v>
      </c>
      <c r="I403" s="113">
        <v>0</v>
      </c>
      <c r="J403" s="125">
        <v>0</v>
      </c>
      <c r="K403" s="113">
        <v>60</v>
      </c>
      <c r="L403" s="113">
        <v>0</v>
      </c>
      <c r="M403" s="113">
        <v>0</v>
      </c>
      <c r="N403" s="28">
        <f>G403-SUM(H403:M403)</f>
        <v>270</v>
      </c>
      <c r="O403" s="28">
        <f>SUM(V403:Y403)</f>
        <v>270</v>
      </c>
      <c r="P403" s="28">
        <f>O403-N403</f>
        <v>0</v>
      </c>
      <c r="Q403" s="61">
        <f>IF(ISERROR(P403/SUM(H403:L403)),"",P403/SUM(H403:L403))</f>
        <v>0</v>
      </c>
      <c r="R403" s="113">
        <v>135</v>
      </c>
      <c r="S403" s="28">
        <f>IF(ISERROR(P403/C403*R403),0,(P403/C403*R403))</f>
        <v>0</v>
      </c>
      <c r="T403" s="60">
        <f>IF(ISERROR(P403/B403*AF403),0,(P403/B403*AF403))</f>
        <v>0</v>
      </c>
      <c r="V403" s="113">
        <f>9*30</f>
        <v>270</v>
      </c>
      <c r="W403" s="113">
        <v>0</v>
      </c>
      <c r="X403" s="113">
        <v>0</v>
      </c>
      <c r="Y403" s="113">
        <v>0</v>
      </c>
      <c r="AA403" s="113">
        <f>18*30</f>
        <v>540</v>
      </c>
      <c r="AB403" s="113">
        <v>0</v>
      </c>
      <c r="AC403" s="113">
        <v>0</v>
      </c>
      <c r="AD403" s="113">
        <v>0</v>
      </c>
      <c r="AF403" s="155">
        <v>1015.4541666666668</v>
      </c>
      <c r="AG403" s="28">
        <f>G403-O403</f>
        <v>270</v>
      </c>
      <c r="AH403" s="58">
        <f>IF(ISERROR(AG403/B403*AF403),0,(AG403/B403*AF403))</f>
        <v>365.56350000000003</v>
      </c>
      <c r="AI403" s="28">
        <f>SUM(H403:M403)</f>
        <v>270</v>
      </c>
      <c r="AJ403" s="28">
        <f>IF(ISERROR(AI403/B403*AF403),0,(AI403/B403*AF403))</f>
        <v>365.56350000000003</v>
      </c>
      <c r="AK403" s="58">
        <f>IF(ISERROR(O403/B403*AF403),0,(O403/B403*AF403))</f>
        <v>365.56350000000003</v>
      </c>
      <c r="AL403" s="28">
        <f>IF(ISERROR(H403/B403*AF403),0,(H403/B403*AF403))</f>
        <v>284.3271666666667</v>
      </c>
      <c r="AN403" s="51" t="str">
        <f>A403</f>
        <v xml:space="preserve">Smirnoff Espresso </v>
      </c>
      <c r="AO403" s="57">
        <f>IF(ISERROR(IF(B403=C403,D403/C403,(INT(D403/B403)+(((D403-B403*INT(D403/B403)))/C403)/100))),0,(IF(B403=C403,D403/C403,(INT(D403/B403)+(((D403-B403*INT(D403/B403)))/C403)/100))))</f>
        <v>0.18</v>
      </c>
      <c r="AP403" s="57">
        <f>IF(ISERROR(IF(B403=C403,E403/C403,(INT(E403/B403)+(((E403-B403*INT(E403/B403)))/C403)/100))),0,(IF(B403=C403,E403/C403,(INT(E403/B403)+(((E403-B403*INT(E403/B403)))/C403)/100))))</f>
        <v>0</v>
      </c>
      <c r="AQ403" s="57">
        <f>IF(ISERROR(IF(B403=C403,F403/C403,IF((INT(F403/B403)+(((F403-B403*INT(F403/B403)))/C403)/100)&lt;0,(INT(F403/B403)+(((F403-B403*INT(F403/B403)))/C403)/100)+(1-(B403/C403/100)),(INT(F403/B403)+(((F403-B403*INT(F403/B403)))/C403)/100)))),0,IF(B403=C403,F403/C403,IF((INT(F403/B403)+(((F403-B403*INT(F403/B403)))/C403)/100)&lt;0,(INT(F403/B403)+(((F403-B403*INT(F403/B403)))/C403)/100)+(1-(B403/C403/100)),(INT(F403/B403)+(((F403-B403*INT(F403/B403)))/C403)/100))))</f>
        <v>0</v>
      </c>
      <c r="AR403" s="57">
        <f>IF(ISERROR(IF(B403=C403,G403/C403,(INT(G403/B403)+(((G403-B403*INT(G403/B403)))/C403)/100))),0,(IF(B403=C403,G403/C403,(INT(G403/B403)+(((G403-B403*INT(G403/B403)))/C403)/100))))</f>
        <v>0.18</v>
      </c>
      <c r="AS403" s="57">
        <f>IF(ISERROR(IF(B403=C403,H403/C403,(INT(H403/B403)+(((H403-B403*INT(H403/B403)))/C403)/100))),0,(IF(B403=C403,H403/C403,(INT(H403/B403)+(((H403-B403*INT(H403/B403)))/C403)/100))))</f>
        <v>7.0000000000000007E-2</v>
      </c>
      <c r="AT403" s="57">
        <f>IF(ISERROR(IF(B403=C403,I403/C403,(INT(I403/B403)+(((I403-B403*INT(I403/B403)))/C403)/100))),0,(IF(B403=C403,I403/C403,(INT(I403/B403)+(((I403-B403*INT(I403/B403)))/C403)/100))))</f>
        <v>0</v>
      </c>
      <c r="AU403" s="57">
        <f>IF(ISERROR(IF(B403=C403,J403/C403,(INT(J403/B403)+(((J403-B403*INT(J403/B403)))/C403)/100))),0,(IF(B403=C403,J403/C403,(INT(J403/B403)+(((J403-B403*INT(J403/B403)))/C403)/100))))</f>
        <v>0</v>
      </c>
      <c r="AV403" s="57">
        <f>IF(ISERROR(IF(B403=C403,K403/C403,IF((INT(K403/B403)+(((K403-B403*INT(K403/B403)))/C403)/100)&lt;0,(INT(K403/B403)+(((K403-B403*INT(K403/B403)))/C403)/100)+(1-(B403/C403/100)),(INT(K403/B403)+(((K403-B403*INT(K403/B403)))/C403)/100)))),0,IF(B403=C403,K403/C403,IF((INT(K403/B403)+(((K403-B403*INT(K403/B403)))/C403)/100)&lt;0,(INT(K403/B403)+(((K403-B403*INT(K403/B403)))/C403)/100)+(1-(B403/C403/100)),(INT(K403/B403)+(((K403-B403*INT(K403/B403)))/C403)/100))))</f>
        <v>0.02</v>
      </c>
      <c r="AW403" s="57">
        <f>IF(ISERROR(IF(B403=C403,L403/C403,(INT(L403/B403)+(((L403-B403*INT(L403/B403)))/C403)/100))),0,(IF(B403=C403,L403/C403,(INT(L403/B403)+(((L403-B403*INT(L403/B403)))/C403)/100))))</f>
        <v>0</v>
      </c>
      <c r="AX403" s="57">
        <f>IF(ISERROR(IF(B403=C403,M403/C403,(INT(M403/B403)+(((M403-B403*INT(M403/B403)))/C403)/100))),0,(IF(B403=C403,M403/C403,(INT(M403/B403)+(((M403-B403*INT(M403/B403)))/C403)/100))))</f>
        <v>0</v>
      </c>
      <c r="AY403" s="57">
        <f>IF(ISERROR(IF(B403=C403,N403/C403,IF((INT(N403/B403)+(((N403-B403*INT(N403/B403)))/C403)/100)&lt;0,(INT(N403/B403)+(((N403-B403*INT(N403/B403)))/C403)/100)+(1-(B403/C403/100)),(INT(N403/B403)+(((N403-B403*INT(N403/B403)))/C403)/100)))),0,IF(B403=C403,N403/C403,IF((INT(N403/B403)+(((N403-B403*INT(N403/B403)))/C403)/100)&lt;0,(INT(N403/B403)+(((N403-B403*INT(N403/B403)))/C403)/100)+(1-(B403/C403/100)),(INT(N403/B403)+(((N403-B403*INT(N403/B403)))/C403)/100))))</f>
        <v>0.09</v>
      </c>
      <c r="AZ403" s="57">
        <f>IF(ISERROR(IF(B403=C403,O403/C403,(INT(O403/B403)+(((O403-B403*INT(O403/B403)))/C403)/100))),0,(IF(B403=C403,O403/C403,(INT(O403/B403)+(((O403-B403*INT(O403/B403)))/C403)/100))))</f>
        <v>0.09</v>
      </c>
      <c r="BA403" s="57">
        <f>IF(ISERROR(IF(B403=C403,P403/C403,IF((INT(P403/B403)+(((P403-B403*INT(P403/B403)))/C403)/100)&lt;0,(INT(P403/B403)+(((P403-B403*INT(P403/B403)))/C403)/100)+(1-(B403/C403/100)),(INT(P403/B403)+(((P403-B403*INT(P403/B403)))/C403)/100)))),0,IF(B403=C403,P403/C403,IF((INT(P403/B403)+(((P403-B403*INT(P403/B403)))/C403)/100)&lt;0,(INT(P403/B403)+(((P403-B403*INT(P403/B403)))/C403)/100)+(1-(B403/C403/100)),(INT(P403/B403)+(((P403-B403*INT(P403/B403)))/C403)/100))))</f>
        <v>0</v>
      </c>
      <c r="BB403" s="28">
        <f>R403</f>
        <v>135</v>
      </c>
      <c r="BC403" s="28">
        <f>S403</f>
        <v>0</v>
      </c>
      <c r="BD403" s="28">
        <f>AF403</f>
        <v>1015.4541666666668</v>
      </c>
      <c r="BE403" s="28">
        <f>T403</f>
        <v>0</v>
      </c>
      <c r="BG403" s="57">
        <f>IF(ISERROR(IF(B403=C403,V403/C403,(INT(V403/B403)+(((V403-B403*INT(V403/B403)))/C403)/100))),0,(IF(B403=C403,V403/C403,(INT(V403/B403)+(((V403-B403*INT(V403/B403)))/C403)/100))))</f>
        <v>0.09</v>
      </c>
      <c r="BH403" s="57">
        <f>IF(ISERROR(IF(B403=C403,W403/C403,(INT(W403/B403)+(((W403-B403*INT(W403/B403)))/C403)/100))),0,(IF(B403=C403,W403/C403,(INT(W403/B403)+(((W403-B403*INT(W403/B403)))/C403)/100))))</f>
        <v>0</v>
      </c>
      <c r="BI403" s="57">
        <f>IF(ISERROR(IF(B403=C403,X403/C403,(INT(X403/B403)+(((X403-B403*INT(X403/B403)))/C403)/100))),0,(IF(B403=C403,X403/C403,(INT(X403/B403)+(((X403-B403*INT(X403/B403)))/C403)/100))))</f>
        <v>0</v>
      </c>
      <c r="BJ403" s="57">
        <f>IF(ISERROR(IF(B403=C403,Y403/C403,(INT(Y403/B403)+(((Y403-B403*INT(Y403/B403)))/C403)/100))),0,(IF(B403=C403,Y403/C403,(INT(Y403/B403)+(((Y403-B403*INT(Y403/B403)))/C403)/100))))</f>
        <v>0</v>
      </c>
      <c r="BL403" s="57">
        <f>IF(ISERROR(IF(B403=C403,AA403/C403,(INT(AA403/B403)+(((AA403-B403*INT(AA403/B403)))/C403)/100))),0,(IF(B403=C403,AA403/C403,(INT(AA403/B403)+(((AA403-B403*INT(AA403/B403)))/C403)/100))))</f>
        <v>0.18</v>
      </c>
      <c r="BM403" s="57">
        <f>IF(ISERROR(IF(B403=C403,AB403/C403,(INT(AB403/B403)+(((AB403-B403*INT(AB403/B403)))/C403)/100))),0,(IF(B403=C403,AB403/C403,(INT(AB403/B403)+(((AB403-B403*INT(AB403/B403)))/C403)/100))))</f>
        <v>0</v>
      </c>
      <c r="BN403" s="57">
        <f>IF(ISERROR(IF(B403=C403,AC403/C403,(INT(AC403/B403)+(((AC403-B403*INT(AC403/B403)))/C403)/100))),0,(IF(B403=C403,AC403/C403,(INT(AC403/B403)+(((AC403-B403*INT(AC403/B403)))/C403)/100))))</f>
        <v>0</v>
      </c>
      <c r="BO403" s="57">
        <f>IF(ISERROR(IF(B403=C403,AD403/C403,(INT(AD403/B403)+(((AD403-B403*INT(AD403/B403)))/C403)/100))),0,(IF(B403=C403,AD403/C403,(INT(AD403/B403)+(((AD403-B403*INT(AD403/B403)))/C403)/100))))</f>
        <v>0</v>
      </c>
      <c r="BQ403" s="155" t="s">
        <v>205</v>
      </c>
    </row>
    <row r="404" spans="1:69" x14ac:dyDescent="0.35">
      <c r="A404" s="160" t="s">
        <v>224</v>
      </c>
      <c r="B404" s="113">
        <v>750</v>
      </c>
      <c r="C404" s="113">
        <v>30</v>
      </c>
      <c r="D404" s="28">
        <f>SUM(AA404:AD404)</f>
        <v>3360</v>
      </c>
      <c r="E404" s="113">
        <v>0</v>
      </c>
      <c r="F404" s="113">
        <v>0</v>
      </c>
      <c r="G404" s="28">
        <f>SUM(D404:F404)</f>
        <v>3360</v>
      </c>
      <c r="H404" s="164">
        <v>0</v>
      </c>
      <c r="I404" s="113">
        <v>0</v>
      </c>
      <c r="J404" s="125">
        <v>0</v>
      </c>
      <c r="K404" s="113">
        <v>0</v>
      </c>
      <c r="L404" s="113">
        <v>0</v>
      </c>
      <c r="M404" s="113">
        <v>0</v>
      </c>
      <c r="N404" s="28">
        <f>G404-SUM(H404:M404)</f>
        <v>3360</v>
      </c>
      <c r="O404" s="28">
        <f>SUM(V404:Y404)</f>
        <v>3360</v>
      </c>
      <c r="P404" s="28">
        <f>O404-N404</f>
        <v>0</v>
      </c>
      <c r="Q404" s="61" t="str">
        <f>IF(ISERROR(P404/SUM(H404:L404)),"",P404/SUM(H404:L404))</f>
        <v/>
      </c>
      <c r="R404" s="113">
        <v>135</v>
      </c>
      <c r="S404" s="28">
        <f>IF(ISERROR(P404/C404*R404),0,(P404/C404*R404))</f>
        <v>0</v>
      </c>
      <c r="T404" s="60">
        <f>IF(ISERROR(P404/B404*AF404),0,(P404/B404*AF404))</f>
        <v>0</v>
      </c>
      <c r="V404" s="113">
        <f>1*750+12*30</f>
        <v>1110</v>
      </c>
      <c r="W404" s="113">
        <f>3*750</f>
        <v>2250</v>
      </c>
      <c r="X404" s="113">
        <v>0</v>
      </c>
      <c r="Y404" s="113">
        <v>0</v>
      </c>
      <c r="AA404" s="113">
        <f>750+12*30</f>
        <v>1110</v>
      </c>
      <c r="AB404" s="113">
        <f>3*750</f>
        <v>2250</v>
      </c>
      <c r="AC404" s="113">
        <v>0</v>
      </c>
      <c r="AD404" s="113">
        <v>0</v>
      </c>
      <c r="AF404" s="155">
        <v>1015.4541666666668</v>
      </c>
      <c r="AG404" s="28">
        <f>G404-O404</f>
        <v>0</v>
      </c>
      <c r="AH404" s="58">
        <f>IF(ISERROR(AG404/B404*AF404),0,(AG404/B404*AF404))</f>
        <v>0</v>
      </c>
      <c r="AI404" s="28">
        <f>SUM(H404:M404)</f>
        <v>0</v>
      </c>
      <c r="AJ404" s="28">
        <f>IF(ISERROR(AI404/B404*AF404),0,(AI404/B404*AF404))</f>
        <v>0</v>
      </c>
      <c r="AK404" s="58">
        <f>IF(ISERROR(O404/B404*AF404),0,(O404/B404*AF404))</f>
        <v>4549.2346666666672</v>
      </c>
      <c r="AL404" s="28">
        <f>IF(ISERROR(H404/B404*AF404),0,(H404/B404*AF404))</f>
        <v>0</v>
      </c>
      <c r="AN404" s="51" t="str">
        <f>A404</f>
        <v xml:space="preserve">Smirnoff Orange </v>
      </c>
      <c r="AO404" s="57">
        <f>IF(ISERROR(IF(B404=C404,D404/C404,(INT(D404/B404)+(((D404-B404*INT(D404/B404)))/C404)/100))),0,(IF(B404=C404,D404/C404,(INT(D404/B404)+(((D404-B404*INT(D404/B404)))/C404)/100))))</f>
        <v>4.12</v>
      </c>
      <c r="AP404" s="57">
        <f>IF(ISERROR(IF(B404=C404,E404/C404,(INT(E404/B404)+(((E404-B404*INT(E404/B404)))/C404)/100))),0,(IF(B404=C404,E404/C404,(INT(E404/B404)+(((E404-B404*INT(E404/B404)))/C404)/100))))</f>
        <v>0</v>
      </c>
      <c r="AQ404" s="57">
        <f>IF(ISERROR(IF(B404=C404,F404/C404,IF((INT(F404/B404)+(((F404-B404*INT(F404/B404)))/C404)/100)&lt;0,(INT(F404/B404)+(((F404-B404*INT(F404/B404)))/C404)/100)+(1-(B404/C404/100)),(INT(F404/B404)+(((F404-B404*INT(F404/B404)))/C404)/100)))),0,IF(B404=C404,F404/C404,IF((INT(F404/B404)+(((F404-B404*INT(F404/B404)))/C404)/100)&lt;0,(INT(F404/B404)+(((F404-B404*INT(F404/B404)))/C404)/100)+(1-(B404/C404/100)),(INT(F404/B404)+(((F404-B404*INT(F404/B404)))/C404)/100))))</f>
        <v>0</v>
      </c>
      <c r="AR404" s="57">
        <f>IF(ISERROR(IF(B404=C404,G404/C404,(INT(G404/B404)+(((G404-B404*INT(G404/B404)))/C404)/100))),0,(IF(B404=C404,G404/C404,(INT(G404/B404)+(((G404-B404*INT(G404/B404)))/C404)/100))))</f>
        <v>4.12</v>
      </c>
      <c r="AS404" s="57">
        <f>IF(ISERROR(IF(B404=C404,H404/C404,(INT(H404/B404)+(((H404-B404*INT(H404/B404)))/C404)/100))),0,(IF(B404=C404,H404/C404,(INT(H404/B404)+(((H404-B404*INT(H404/B404)))/C404)/100))))</f>
        <v>0</v>
      </c>
      <c r="AT404" s="57">
        <f>IF(ISERROR(IF(B404=C404,I404/C404,(INT(I404/B404)+(((I404-B404*INT(I404/B404)))/C404)/100))),0,(IF(B404=C404,I404/C404,(INT(I404/B404)+(((I404-B404*INT(I404/B404)))/C404)/100))))</f>
        <v>0</v>
      </c>
      <c r="AU404" s="57">
        <f>IF(ISERROR(IF(B404=C404,J404/C404,(INT(J404/B404)+(((J404-B404*INT(J404/B404)))/C404)/100))),0,(IF(B404=C404,J404/C404,(INT(J404/B404)+(((J404-B404*INT(J404/B404)))/C404)/100))))</f>
        <v>0</v>
      </c>
      <c r="AV404" s="57">
        <f>IF(ISERROR(IF(B404=C404,K404/C404,IF((INT(K404/B404)+(((K404-B404*INT(K404/B404)))/C404)/100)&lt;0,(INT(K404/B404)+(((K404-B404*INT(K404/B404)))/C404)/100)+(1-(B404/C404/100)),(INT(K404/B404)+(((K404-B404*INT(K404/B404)))/C404)/100)))),0,IF(B404=C404,K404/C404,IF((INT(K404/B404)+(((K404-B404*INT(K404/B404)))/C404)/100)&lt;0,(INT(K404/B404)+(((K404-B404*INT(K404/B404)))/C404)/100)+(1-(B404/C404/100)),(INT(K404/B404)+(((K404-B404*INT(K404/B404)))/C404)/100))))</f>
        <v>0</v>
      </c>
      <c r="AW404" s="57">
        <f>IF(ISERROR(IF(B404=C404,L404/C404,(INT(L404/B404)+(((L404-B404*INT(L404/B404)))/C404)/100))),0,(IF(B404=C404,L404/C404,(INT(L404/B404)+(((L404-B404*INT(L404/B404)))/C404)/100))))</f>
        <v>0</v>
      </c>
      <c r="AX404" s="57">
        <f>IF(ISERROR(IF(B404=C404,M404/C404,(INT(M404/B404)+(((M404-B404*INT(M404/B404)))/C404)/100))),0,(IF(B404=C404,M404/C404,(INT(M404/B404)+(((M404-B404*INT(M404/B404)))/C404)/100))))</f>
        <v>0</v>
      </c>
      <c r="AY404" s="57">
        <f>IF(ISERROR(IF(B404=C404,N404/C404,IF((INT(N404/B404)+(((N404-B404*INT(N404/B404)))/C404)/100)&lt;0,(INT(N404/B404)+(((N404-B404*INT(N404/B404)))/C404)/100)+(1-(B404/C404/100)),(INT(N404/B404)+(((N404-B404*INT(N404/B404)))/C404)/100)))),0,IF(B404=C404,N404/C404,IF((INT(N404/B404)+(((N404-B404*INT(N404/B404)))/C404)/100)&lt;0,(INT(N404/B404)+(((N404-B404*INT(N404/B404)))/C404)/100)+(1-(B404/C404/100)),(INT(N404/B404)+(((N404-B404*INT(N404/B404)))/C404)/100))))</f>
        <v>4.12</v>
      </c>
      <c r="AZ404" s="57">
        <f>IF(ISERROR(IF(B404=C404,O404/C404,(INT(O404/B404)+(((O404-B404*INT(O404/B404)))/C404)/100))),0,(IF(B404=C404,O404/C404,(INT(O404/B404)+(((O404-B404*INT(O404/B404)))/C404)/100))))</f>
        <v>4.12</v>
      </c>
      <c r="BA404" s="57">
        <f>IF(ISERROR(IF(B404=C404,P404/C404,IF((INT(P404/B404)+(((P404-B404*INT(P404/B404)))/C404)/100)&lt;0,(INT(P404/B404)+(((P404-B404*INT(P404/B404)))/C404)/100)+(1-(B404/C404/100)),(INT(P404/B404)+(((P404-B404*INT(P404/B404)))/C404)/100)))),0,IF(B404=C404,P404/C404,IF((INT(P404/B404)+(((P404-B404*INT(P404/B404)))/C404)/100)&lt;0,(INT(P404/B404)+(((P404-B404*INT(P404/B404)))/C404)/100)+(1-(B404/C404/100)),(INT(P404/B404)+(((P404-B404*INT(P404/B404)))/C404)/100))))</f>
        <v>0</v>
      </c>
      <c r="BB404" s="28">
        <f>R404</f>
        <v>135</v>
      </c>
      <c r="BC404" s="28">
        <f>S404</f>
        <v>0</v>
      </c>
      <c r="BD404" s="28">
        <f>AF404</f>
        <v>1015.4541666666668</v>
      </c>
      <c r="BE404" s="28">
        <f>T404</f>
        <v>0</v>
      </c>
      <c r="BG404" s="57">
        <f>IF(ISERROR(IF(B404=C404,V404/C404,(INT(V404/B404)+(((V404-B404*INT(V404/B404)))/C404)/100))),0,(IF(B404=C404,V404/C404,(INT(V404/B404)+(((V404-B404*INT(V404/B404)))/C404)/100))))</f>
        <v>1.1200000000000001</v>
      </c>
      <c r="BH404" s="57">
        <f>IF(ISERROR(IF(B404=C404,W404/C404,(INT(W404/B404)+(((W404-B404*INT(W404/B404)))/C404)/100))),0,(IF(B404=C404,W404/C404,(INT(W404/B404)+(((W404-B404*INT(W404/B404)))/C404)/100))))</f>
        <v>3</v>
      </c>
      <c r="BI404" s="57">
        <f>IF(ISERROR(IF(B404=C404,X404/C404,(INT(X404/B404)+(((X404-B404*INT(X404/B404)))/C404)/100))),0,(IF(B404=C404,X404/C404,(INT(X404/B404)+(((X404-B404*INT(X404/B404)))/C404)/100))))</f>
        <v>0</v>
      </c>
      <c r="BJ404" s="57">
        <f>IF(ISERROR(IF(B404=C404,Y404/C404,(INT(Y404/B404)+(((Y404-B404*INT(Y404/B404)))/C404)/100))),0,(IF(B404=C404,Y404/C404,(INT(Y404/B404)+(((Y404-B404*INT(Y404/B404)))/C404)/100))))</f>
        <v>0</v>
      </c>
      <c r="BL404" s="57">
        <f>IF(ISERROR(IF(B404=C404,AA404/C404,(INT(AA404/B404)+(((AA404-B404*INT(AA404/B404)))/C404)/100))),0,(IF(B404=C404,AA404/C404,(INT(AA404/B404)+(((AA404-B404*INT(AA404/B404)))/C404)/100))))</f>
        <v>1.1200000000000001</v>
      </c>
      <c r="BM404" s="57">
        <f>IF(ISERROR(IF(B404=C404,AB404/C404,(INT(AB404/B404)+(((AB404-B404*INT(AB404/B404)))/C404)/100))),0,(IF(B404=C404,AB404/C404,(INT(AB404/B404)+(((AB404-B404*INT(AB404/B404)))/C404)/100))))</f>
        <v>3</v>
      </c>
      <c r="BN404" s="57">
        <f>IF(ISERROR(IF(B404=C404,AC404/C404,(INT(AC404/B404)+(((AC404-B404*INT(AC404/B404)))/C404)/100))),0,(IF(B404=C404,AC404/C404,(INT(AC404/B404)+(((AC404-B404*INT(AC404/B404)))/C404)/100))))</f>
        <v>0</v>
      </c>
      <c r="BO404" s="57">
        <f>IF(ISERROR(IF(B404=C404,AD404/C404,(INT(AD404/B404)+(((AD404-B404*INT(AD404/B404)))/C404)/100))),0,(IF(B404=C404,AD404/C404,(INT(AD404/B404)+(((AD404-B404*INT(AD404/B404)))/C404)/100))))</f>
        <v>0</v>
      </c>
      <c r="BQ404" s="155" t="s">
        <v>205</v>
      </c>
    </row>
    <row r="405" spans="1:69" x14ac:dyDescent="0.35">
      <c r="A405" s="160" t="s">
        <v>223</v>
      </c>
      <c r="B405" s="113">
        <v>750</v>
      </c>
      <c r="C405" s="113">
        <v>30</v>
      </c>
      <c r="D405" s="28">
        <f>SUM(AA405:AD405)</f>
        <v>9000</v>
      </c>
      <c r="E405" s="113">
        <v>0</v>
      </c>
      <c r="F405" s="113">
        <v>0</v>
      </c>
      <c r="G405" s="28">
        <f>SUM(D405:F405)</f>
        <v>9000</v>
      </c>
      <c r="H405" s="164">
        <v>60</v>
      </c>
      <c r="I405" s="113">
        <v>0</v>
      </c>
      <c r="J405" s="125">
        <v>180</v>
      </c>
      <c r="K405" s="113">
        <v>-60</v>
      </c>
      <c r="L405" s="113">
        <v>0</v>
      </c>
      <c r="M405" s="113">
        <v>0</v>
      </c>
      <c r="N405" s="28">
        <f>G405-SUM(H405:M405)</f>
        <v>8820</v>
      </c>
      <c r="O405" s="28">
        <f>SUM(V405:Y405)</f>
        <v>8850</v>
      </c>
      <c r="P405" s="28">
        <f>O405-N405</f>
        <v>30</v>
      </c>
      <c r="Q405" s="61">
        <f>IF(ISERROR(P405/SUM(H405:L405)),"",P405/SUM(H405:L405))</f>
        <v>0.16666666666666666</v>
      </c>
      <c r="R405" s="113">
        <v>135</v>
      </c>
      <c r="S405" s="28">
        <f>IF(ISERROR(P405/C405*R405),0,(P405/C405*R405))</f>
        <v>135</v>
      </c>
      <c r="T405" s="60">
        <f>IF(ISERROR(P405/B405*AF405),0,(P405/B405*AF405))</f>
        <v>40.072833333333335</v>
      </c>
      <c r="V405" s="113">
        <f>2*750+20*30</f>
        <v>2100</v>
      </c>
      <c r="W405" s="113">
        <f>9*750</f>
        <v>6750</v>
      </c>
      <c r="X405" s="113">
        <v>0</v>
      </c>
      <c r="Y405" s="113">
        <v>0</v>
      </c>
      <c r="AA405" s="113">
        <f>3*750</f>
        <v>2250</v>
      </c>
      <c r="AB405" s="113">
        <f>9*750</f>
        <v>6750</v>
      </c>
      <c r="AC405" s="113">
        <v>0</v>
      </c>
      <c r="AD405" s="113">
        <v>0</v>
      </c>
      <c r="AF405" s="162">
        <f>12021.85/12</f>
        <v>1001.8208333333333</v>
      </c>
      <c r="AG405" s="28">
        <f>G405-O405</f>
        <v>150</v>
      </c>
      <c r="AH405" s="58">
        <f>IF(ISERROR(AG405/B405*AF405),0,(AG405/B405*AF405))</f>
        <v>200.36416666666668</v>
      </c>
      <c r="AI405" s="28">
        <f>SUM(H405:M405)</f>
        <v>180</v>
      </c>
      <c r="AJ405" s="28">
        <f>IF(ISERROR(AI405/B405*AF405),0,(AI405/B405*AF405))</f>
        <v>240.43699999999998</v>
      </c>
      <c r="AK405" s="58">
        <f>IF(ISERROR(O405/B405*AF405),0,(O405/B405*AF405))</f>
        <v>11821.485833333334</v>
      </c>
      <c r="AL405" s="28">
        <f>IF(ISERROR(H405/B405*AF405),0,(H405/B405*AF405))</f>
        <v>80.145666666666671</v>
      </c>
      <c r="AN405" s="51" t="str">
        <f>A405</f>
        <v xml:space="preserve">Smirnoff Red </v>
      </c>
      <c r="AO405" s="57">
        <f>IF(ISERROR(IF(B405=C405,D405/C405,(INT(D405/B405)+(((D405-B405*INT(D405/B405)))/C405)/100))),0,(IF(B405=C405,D405/C405,(INT(D405/B405)+(((D405-B405*INT(D405/B405)))/C405)/100))))</f>
        <v>12</v>
      </c>
      <c r="AP405" s="57">
        <f>IF(ISERROR(IF(B405=C405,E405/C405,(INT(E405/B405)+(((E405-B405*INT(E405/B405)))/C405)/100))),0,(IF(B405=C405,E405/C405,(INT(E405/B405)+(((E405-B405*INT(E405/B405)))/C405)/100))))</f>
        <v>0</v>
      </c>
      <c r="AQ405" s="57">
        <f>IF(ISERROR(IF(B405=C405,F405/C405,IF((INT(F405/B405)+(((F405-B405*INT(F405/B405)))/C405)/100)&lt;0,(INT(F405/B405)+(((F405-B405*INT(F405/B405)))/C405)/100)+(1-(B405/C405/100)),(INT(F405/B405)+(((F405-B405*INT(F405/B405)))/C405)/100)))),0,IF(B405=C405,F405/C405,IF((INT(F405/B405)+(((F405-B405*INT(F405/B405)))/C405)/100)&lt;0,(INT(F405/B405)+(((F405-B405*INT(F405/B405)))/C405)/100)+(1-(B405/C405/100)),(INT(F405/B405)+(((F405-B405*INT(F405/B405)))/C405)/100))))</f>
        <v>0</v>
      </c>
      <c r="AR405" s="57">
        <f>IF(ISERROR(IF(B405=C405,G405/C405,(INT(G405/B405)+(((G405-B405*INT(G405/B405)))/C405)/100))),0,(IF(B405=C405,G405/C405,(INT(G405/B405)+(((G405-B405*INT(G405/B405)))/C405)/100))))</f>
        <v>12</v>
      </c>
      <c r="AS405" s="57">
        <f>IF(ISERROR(IF(B405=C405,H405/C405,(INT(H405/B405)+(((H405-B405*INT(H405/B405)))/C405)/100))),0,(IF(B405=C405,H405/C405,(INT(H405/B405)+(((H405-B405*INT(H405/B405)))/C405)/100))))</f>
        <v>0.02</v>
      </c>
      <c r="AT405" s="57">
        <f>IF(ISERROR(IF(B405=C405,I405/C405,(INT(I405/B405)+(((I405-B405*INT(I405/B405)))/C405)/100))),0,(IF(B405=C405,I405/C405,(INT(I405/B405)+(((I405-B405*INT(I405/B405)))/C405)/100))))</f>
        <v>0</v>
      </c>
      <c r="AU405" s="57">
        <f>IF(ISERROR(IF(B405=C405,J405/C405,(INT(J405/B405)+(((J405-B405*INT(J405/B405)))/C405)/100))),0,(IF(B405=C405,J405/C405,(INT(J405/B405)+(((J405-B405*INT(J405/B405)))/C405)/100))))</f>
        <v>0.06</v>
      </c>
      <c r="AV405" s="57">
        <f>IF(ISERROR(IF(B405=C405,K405/C405,IF((INT(K405/B405)+(((K405-B405*INT(K405/B405)))/C405)/100)&lt;0,(INT(K405/B405)+(((K405-B405*INT(K405/B405)))/C405)/100)+(1-(B405/C405/100)),(INT(K405/B405)+(((K405-B405*INT(K405/B405)))/C405)/100)))),0,IF(B405=C405,K405/C405,IF((INT(K405/B405)+(((K405-B405*INT(K405/B405)))/C405)/100)&lt;0,(INT(K405/B405)+(((K405-B405*INT(K405/B405)))/C405)/100)+(1-(B405/C405/100)),(INT(K405/B405)+(((K405-B405*INT(K405/B405)))/C405)/100))))</f>
        <v>-2.0000000000000018E-2</v>
      </c>
      <c r="AW405" s="57">
        <f>IF(ISERROR(IF(B405=C405,L405/C405,(INT(L405/B405)+(((L405-B405*INT(L405/B405)))/C405)/100))),0,(IF(B405=C405,L405/C405,(INT(L405/B405)+(((L405-B405*INT(L405/B405)))/C405)/100))))</f>
        <v>0</v>
      </c>
      <c r="AX405" s="57">
        <f>IF(ISERROR(IF(B405=C405,M405/C405,(INT(M405/B405)+(((M405-B405*INT(M405/B405)))/C405)/100))),0,(IF(B405=C405,M405/C405,(INT(M405/B405)+(((M405-B405*INT(M405/B405)))/C405)/100))))</f>
        <v>0</v>
      </c>
      <c r="AY405" s="57">
        <f>IF(ISERROR(IF(B405=C405,N405/C405,IF((INT(N405/B405)+(((N405-B405*INT(N405/B405)))/C405)/100)&lt;0,(INT(N405/B405)+(((N405-B405*INT(N405/B405)))/C405)/100)+(1-(B405/C405/100)),(INT(N405/B405)+(((N405-B405*INT(N405/B405)))/C405)/100)))),0,IF(B405=C405,N405/C405,IF((INT(N405/B405)+(((N405-B405*INT(N405/B405)))/C405)/100)&lt;0,(INT(N405/B405)+(((N405-B405*INT(N405/B405)))/C405)/100)+(1-(B405/C405/100)),(INT(N405/B405)+(((N405-B405*INT(N405/B405)))/C405)/100))))</f>
        <v>11.19</v>
      </c>
      <c r="AZ405" s="57">
        <f>IF(ISERROR(IF(B405=C405,O405/C405,(INT(O405/B405)+(((O405-B405*INT(O405/B405)))/C405)/100))),0,(IF(B405=C405,O405/C405,(INT(O405/B405)+(((O405-B405*INT(O405/B405)))/C405)/100))))</f>
        <v>11.2</v>
      </c>
      <c r="BA405" s="57">
        <f>IF(ISERROR(IF(B405=C405,P405/C405,IF((INT(P405/B405)+(((P405-B405*INT(P405/B405)))/C405)/100)&lt;0,(INT(P405/B405)+(((P405-B405*INT(P405/B405)))/C405)/100)+(1-(B405/C405/100)),(INT(P405/B405)+(((P405-B405*INT(P405/B405)))/C405)/100)))),0,IF(B405=C405,P405/C405,IF((INT(P405/B405)+(((P405-B405*INT(P405/B405)))/C405)/100)&lt;0,(INT(P405/B405)+(((P405-B405*INT(P405/B405)))/C405)/100)+(1-(B405/C405/100)),(INT(P405/B405)+(((P405-B405*INT(P405/B405)))/C405)/100))))</f>
        <v>0.01</v>
      </c>
      <c r="BB405" s="28">
        <f>R405</f>
        <v>135</v>
      </c>
      <c r="BC405" s="28">
        <f>S405</f>
        <v>135</v>
      </c>
      <c r="BD405" s="28">
        <f>AF405</f>
        <v>1001.8208333333333</v>
      </c>
      <c r="BE405" s="28">
        <f>T405</f>
        <v>40.072833333333335</v>
      </c>
      <c r="BG405" s="57">
        <f>IF(ISERROR(IF(B405=C405,V405/C405,(INT(V405/B405)+(((V405-B405*INT(V405/B405)))/C405)/100))),0,(IF(B405=C405,V405/C405,(INT(V405/B405)+(((V405-B405*INT(V405/B405)))/C405)/100))))</f>
        <v>2.2000000000000002</v>
      </c>
      <c r="BH405" s="57">
        <f>IF(ISERROR(IF(B405=C405,W405/C405,(INT(W405/B405)+(((W405-B405*INT(W405/B405)))/C405)/100))),0,(IF(B405=C405,W405/C405,(INT(W405/B405)+(((W405-B405*INT(W405/B405)))/C405)/100))))</f>
        <v>9</v>
      </c>
      <c r="BI405" s="57">
        <f>IF(ISERROR(IF(B405=C405,X405/C405,(INT(X405/B405)+(((X405-B405*INT(X405/B405)))/C405)/100))),0,(IF(B405=C405,X405/C405,(INT(X405/B405)+(((X405-B405*INT(X405/B405)))/C405)/100))))</f>
        <v>0</v>
      </c>
      <c r="BJ405" s="57">
        <f>IF(ISERROR(IF(B405=C405,Y405/C405,(INT(Y405/B405)+(((Y405-B405*INT(Y405/B405)))/C405)/100))),0,(IF(B405=C405,Y405/C405,(INT(Y405/B405)+(((Y405-B405*INT(Y405/B405)))/C405)/100))))</f>
        <v>0</v>
      </c>
      <c r="BL405" s="57">
        <f>IF(ISERROR(IF(B405=C405,AA405/C405,(INT(AA405/B405)+(((AA405-B405*INT(AA405/B405)))/C405)/100))),0,(IF(B405=C405,AA405/C405,(INT(AA405/B405)+(((AA405-B405*INT(AA405/B405)))/C405)/100))))</f>
        <v>3</v>
      </c>
      <c r="BM405" s="57">
        <f>IF(ISERROR(IF(B405=C405,AB405/C405,(INT(AB405/B405)+(((AB405-B405*INT(AB405/B405)))/C405)/100))),0,(IF(B405=C405,AB405/C405,(INT(AB405/B405)+(((AB405-B405*INT(AB405/B405)))/C405)/100))))</f>
        <v>9</v>
      </c>
      <c r="BN405" s="57">
        <f>IF(ISERROR(IF(B405=C405,AC405/C405,(INT(AC405/B405)+(((AC405-B405*INT(AC405/B405)))/C405)/100))),0,(IF(B405=C405,AC405/C405,(INT(AC405/B405)+(((AC405-B405*INT(AC405/B405)))/C405)/100))))</f>
        <v>0</v>
      </c>
      <c r="BO405" s="57">
        <f>IF(ISERROR(IF(B405=C405,AD405/C405,(INT(AD405/B405)+(((AD405-B405*INT(AD405/B405)))/C405)/100))),0,(IF(B405=C405,AD405/C405,(INT(AD405/B405)+(((AD405-B405*INT(AD405/B405)))/C405)/100))))</f>
        <v>0</v>
      </c>
      <c r="BQ405" s="155" t="s">
        <v>205</v>
      </c>
    </row>
    <row r="406" spans="1:69" x14ac:dyDescent="0.35">
      <c r="A406" s="160" t="s">
        <v>222</v>
      </c>
      <c r="B406" s="113">
        <v>750</v>
      </c>
      <c r="C406" s="113">
        <v>30</v>
      </c>
      <c r="D406" s="28">
        <f>SUM(AA406:AD406)</f>
        <v>2850</v>
      </c>
      <c r="E406" s="113">
        <v>0</v>
      </c>
      <c r="F406" s="113">
        <v>0</v>
      </c>
      <c r="G406" s="28">
        <f>SUM(D406:F406)</f>
        <v>2850</v>
      </c>
      <c r="H406" s="164">
        <v>0</v>
      </c>
      <c r="I406" s="113">
        <v>0</v>
      </c>
      <c r="J406" s="125">
        <v>0</v>
      </c>
      <c r="K406" s="113">
        <v>0</v>
      </c>
      <c r="L406" s="113">
        <v>0</v>
      </c>
      <c r="M406" s="113">
        <v>0</v>
      </c>
      <c r="N406" s="28">
        <f>G406-SUM(H406:M406)</f>
        <v>2850</v>
      </c>
      <c r="O406" s="28">
        <f>SUM(V406:Y406)</f>
        <v>2850</v>
      </c>
      <c r="P406" s="28">
        <f>O406-N406</f>
        <v>0</v>
      </c>
      <c r="Q406" s="61" t="str">
        <f>IF(ISERROR(P406/SUM(H406:L406)),"",P406/SUM(H406:L406))</f>
        <v/>
      </c>
      <c r="R406" s="113">
        <v>135</v>
      </c>
      <c r="S406" s="28">
        <f>IF(ISERROR(P406/C406*R406),0,(P406/C406*R406))</f>
        <v>0</v>
      </c>
      <c r="T406" s="60">
        <f>IF(ISERROR(P406/B406*AF406),0,(P406/B406*AF406))</f>
        <v>0</v>
      </c>
      <c r="V406" s="113">
        <f>20*30</f>
        <v>600</v>
      </c>
      <c r="W406" s="113">
        <f>3*750</f>
        <v>2250</v>
      </c>
      <c r="X406" s="113">
        <v>0</v>
      </c>
      <c r="Y406" s="113">
        <v>0</v>
      </c>
      <c r="AA406" s="113">
        <f>20*30</f>
        <v>600</v>
      </c>
      <c r="AB406" s="113">
        <f>3*750</f>
        <v>2250</v>
      </c>
      <c r="AC406" s="113">
        <v>0</v>
      </c>
      <c r="AD406" s="113">
        <v>0</v>
      </c>
      <c r="AF406" s="162">
        <f>12185.45/12</f>
        <v>1015.4541666666668</v>
      </c>
      <c r="AG406" s="28">
        <f>G406-O406</f>
        <v>0</v>
      </c>
      <c r="AH406" s="58">
        <f>IF(ISERROR(AG406/B406*AF406),0,(AG406/B406*AF406))</f>
        <v>0</v>
      </c>
      <c r="AI406" s="28">
        <f>SUM(H406:M406)</f>
        <v>0</v>
      </c>
      <c r="AJ406" s="28">
        <f>IF(ISERROR(AI406/B406*AF406),0,(AI406/B406*AF406))</f>
        <v>0</v>
      </c>
      <c r="AK406" s="58">
        <f>IF(ISERROR(O406/B406*AF406),0,(O406/B406*AF406))</f>
        <v>3858.7258333333334</v>
      </c>
      <c r="AL406" s="28">
        <f>IF(ISERROR(H406/B406*AF406),0,(H406/B406*AF406))</f>
        <v>0</v>
      </c>
      <c r="AN406" s="51" t="str">
        <f>A406</f>
        <v xml:space="preserve">Smirnoff Vanilla </v>
      </c>
      <c r="AO406" s="57">
        <f>IF(ISERROR(IF(B406=C406,D406/C406,(INT(D406/B406)+(((D406-B406*INT(D406/B406)))/C406)/100))),0,(IF(B406=C406,D406/C406,(INT(D406/B406)+(((D406-B406*INT(D406/B406)))/C406)/100))))</f>
        <v>3.2</v>
      </c>
      <c r="AP406" s="57">
        <f>IF(ISERROR(IF(B406=C406,E406/C406,(INT(E406/B406)+(((E406-B406*INT(E406/B406)))/C406)/100))),0,(IF(B406=C406,E406/C406,(INT(E406/B406)+(((E406-B406*INT(E406/B406)))/C406)/100))))</f>
        <v>0</v>
      </c>
      <c r="AQ406" s="57">
        <f>IF(ISERROR(IF(B406=C406,F406/C406,IF((INT(F406/B406)+(((F406-B406*INT(F406/B406)))/C406)/100)&lt;0,(INT(F406/B406)+(((F406-B406*INT(F406/B406)))/C406)/100)+(1-(B406/C406/100)),(INT(F406/B406)+(((F406-B406*INT(F406/B406)))/C406)/100)))),0,IF(B406=C406,F406/C406,IF((INT(F406/B406)+(((F406-B406*INT(F406/B406)))/C406)/100)&lt;0,(INT(F406/B406)+(((F406-B406*INT(F406/B406)))/C406)/100)+(1-(B406/C406/100)),(INT(F406/B406)+(((F406-B406*INT(F406/B406)))/C406)/100))))</f>
        <v>0</v>
      </c>
      <c r="AR406" s="57">
        <f>IF(ISERROR(IF(B406=C406,G406/C406,(INT(G406/B406)+(((G406-B406*INT(G406/B406)))/C406)/100))),0,(IF(B406=C406,G406/C406,(INT(G406/B406)+(((G406-B406*INT(G406/B406)))/C406)/100))))</f>
        <v>3.2</v>
      </c>
      <c r="AS406" s="57">
        <f>IF(ISERROR(IF(B406=C406,H406/C406,(INT(H406/B406)+(((H406-B406*INT(H406/B406)))/C406)/100))),0,(IF(B406=C406,H406/C406,(INT(H406/B406)+(((H406-B406*INT(H406/B406)))/C406)/100))))</f>
        <v>0</v>
      </c>
      <c r="AT406" s="57">
        <f>IF(ISERROR(IF(B406=C406,I406/C406,(INT(I406/B406)+(((I406-B406*INT(I406/B406)))/C406)/100))),0,(IF(B406=C406,I406/C406,(INT(I406/B406)+(((I406-B406*INT(I406/B406)))/C406)/100))))</f>
        <v>0</v>
      </c>
      <c r="AU406" s="57">
        <f>IF(ISERROR(IF(B406=C406,J406/C406,(INT(J406/B406)+(((J406-B406*INT(J406/B406)))/C406)/100))),0,(IF(B406=C406,J406/C406,(INT(J406/B406)+(((J406-B406*INT(J406/B406)))/C406)/100))))</f>
        <v>0</v>
      </c>
      <c r="AV406" s="57">
        <f>IF(ISERROR(IF(B406=C406,K406/C406,IF((INT(K406/B406)+(((K406-B406*INT(K406/B406)))/C406)/100)&lt;0,(INT(K406/B406)+(((K406-B406*INT(K406/B406)))/C406)/100)+(1-(B406/C406/100)),(INT(K406/B406)+(((K406-B406*INT(K406/B406)))/C406)/100)))),0,IF(B406=C406,K406/C406,IF((INT(K406/B406)+(((K406-B406*INT(K406/B406)))/C406)/100)&lt;0,(INT(K406/B406)+(((K406-B406*INT(K406/B406)))/C406)/100)+(1-(B406/C406/100)),(INT(K406/B406)+(((K406-B406*INT(K406/B406)))/C406)/100))))</f>
        <v>0</v>
      </c>
      <c r="AW406" s="57">
        <f>IF(ISERROR(IF(B406=C406,L406/C406,(INT(L406/B406)+(((L406-B406*INT(L406/B406)))/C406)/100))),0,(IF(B406=C406,L406/C406,(INT(L406/B406)+(((L406-B406*INT(L406/B406)))/C406)/100))))</f>
        <v>0</v>
      </c>
      <c r="AX406" s="57">
        <f>IF(ISERROR(IF(B406=C406,M406/C406,(INT(M406/B406)+(((M406-B406*INT(M406/B406)))/C406)/100))),0,(IF(B406=C406,M406/C406,(INT(M406/B406)+(((M406-B406*INT(M406/B406)))/C406)/100))))</f>
        <v>0</v>
      </c>
      <c r="AY406" s="57">
        <f>IF(ISERROR(IF(B406=C406,N406/C406,IF((INT(N406/B406)+(((N406-B406*INT(N406/B406)))/C406)/100)&lt;0,(INT(N406/B406)+(((N406-B406*INT(N406/B406)))/C406)/100)+(1-(B406/C406/100)),(INT(N406/B406)+(((N406-B406*INT(N406/B406)))/C406)/100)))),0,IF(B406=C406,N406/C406,IF((INT(N406/B406)+(((N406-B406*INT(N406/B406)))/C406)/100)&lt;0,(INT(N406/B406)+(((N406-B406*INT(N406/B406)))/C406)/100)+(1-(B406/C406/100)),(INT(N406/B406)+(((N406-B406*INT(N406/B406)))/C406)/100))))</f>
        <v>3.2</v>
      </c>
      <c r="AZ406" s="57">
        <f>IF(ISERROR(IF(B406=C406,O406/C406,(INT(O406/B406)+(((O406-B406*INT(O406/B406)))/C406)/100))),0,(IF(B406=C406,O406/C406,(INT(O406/B406)+(((O406-B406*INT(O406/B406)))/C406)/100))))</f>
        <v>3.2</v>
      </c>
      <c r="BA406" s="57">
        <f>IF(ISERROR(IF(B406=C406,P406/C406,IF((INT(P406/B406)+(((P406-B406*INT(P406/B406)))/C406)/100)&lt;0,(INT(P406/B406)+(((P406-B406*INT(P406/B406)))/C406)/100)+(1-(B406/C406/100)),(INT(P406/B406)+(((P406-B406*INT(P406/B406)))/C406)/100)))),0,IF(B406=C406,P406/C406,IF((INT(P406/B406)+(((P406-B406*INT(P406/B406)))/C406)/100)&lt;0,(INT(P406/B406)+(((P406-B406*INT(P406/B406)))/C406)/100)+(1-(B406/C406/100)),(INT(P406/B406)+(((P406-B406*INT(P406/B406)))/C406)/100))))</f>
        <v>0</v>
      </c>
      <c r="BB406" s="28">
        <f>R406</f>
        <v>135</v>
      </c>
      <c r="BC406" s="28">
        <f>S406</f>
        <v>0</v>
      </c>
      <c r="BD406" s="28">
        <f>AF406</f>
        <v>1015.4541666666668</v>
      </c>
      <c r="BE406" s="28">
        <f>T406</f>
        <v>0</v>
      </c>
      <c r="BG406" s="57">
        <f>IF(ISERROR(IF(B406=C406,V406/C406,(INT(V406/B406)+(((V406-B406*INT(V406/B406)))/C406)/100))),0,(IF(B406=C406,V406/C406,(INT(V406/B406)+(((V406-B406*INT(V406/B406)))/C406)/100))))</f>
        <v>0.2</v>
      </c>
      <c r="BH406" s="57">
        <f>IF(ISERROR(IF(B406=C406,W406/C406,(INT(W406/B406)+(((W406-B406*INT(W406/B406)))/C406)/100))),0,(IF(B406=C406,W406/C406,(INT(W406/B406)+(((W406-B406*INT(W406/B406)))/C406)/100))))</f>
        <v>3</v>
      </c>
      <c r="BI406" s="57">
        <f>IF(ISERROR(IF(B406=C406,X406/C406,(INT(X406/B406)+(((X406-B406*INT(X406/B406)))/C406)/100))),0,(IF(B406=C406,X406/C406,(INT(X406/B406)+(((X406-B406*INT(X406/B406)))/C406)/100))))</f>
        <v>0</v>
      </c>
      <c r="BJ406" s="57">
        <f>IF(ISERROR(IF(B406=C406,Y406/C406,(INT(Y406/B406)+(((Y406-B406*INT(Y406/B406)))/C406)/100))),0,(IF(B406=C406,Y406/C406,(INT(Y406/B406)+(((Y406-B406*INT(Y406/B406)))/C406)/100))))</f>
        <v>0</v>
      </c>
      <c r="BL406" s="57">
        <f>IF(ISERROR(IF(B406=C406,AA406/C406,(INT(AA406/B406)+(((AA406-B406*INT(AA406/B406)))/C406)/100))),0,(IF(B406=C406,AA406/C406,(INT(AA406/B406)+(((AA406-B406*INT(AA406/B406)))/C406)/100))))</f>
        <v>0.2</v>
      </c>
      <c r="BM406" s="57">
        <f>IF(ISERROR(IF(B406=C406,AB406/C406,(INT(AB406/B406)+(((AB406-B406*INT(AB406/B406)))/C406)/100))),0,(IF(B406=C406,AB406/C406,(INT(AB406/B406)+(((AB406-B406*INT(AB406/B406)))/C406)/100))))</f>
        <v>3</v>
      </c>
      <c r="BN406" s="57">
        <f>IF(ISERROR(IF(B406=C406,AC406/C406,(INT(AC406/B406)+(((AC406-B406*INT(AC406/B406)))/C406)/100))),0,(IF(B406=C406,AC406/C406,(INT(AC406/B406)+(((AC406-B406*INT(AC406/B406)))/C406)/100))))</f>
        <v>0</v>
      </c>
      <c r="BO406" s="57">
        <f>IF(ISERROR(IF(B406=C406,AD406/C406,(INT(AD406/B406)+(((AD406-B406*INT(AD406/B406)))/C406)/100))),0,(IF(B406=C406,AD406/C406,(INT(AD406/B406)+(((AD406-B406*INT(AD406/B406)))/C406)/100))))</f>
        <v>0</v>
      </c>
      <c r="BQ406" s="155" t="s">
        <v>205</v>
      </c>
    </row>
    <row r="407" spans="1:69" x14ac:dyDescent="0.35">
      <c r="A407" s="165" t="s">
        <v>221</v>
      </c>
      <c r="B407" s="113">
        <v>750</v>
      </c>
      <c r="C407" s="113">
        <v>30</v>
      </c>
      <c r="D407" s="28">
        <f>SUM(AA407:AD407)</f>
        <v>2070</v>
      </c>
      <c r="E407" s="113">
        <v>0</v>
      </c>
      <c r="F407" s="113">
        <v>0</v>
      </c>
      <c r="G407" s="28">
        <f>SUM(D407:F407)</f>
        <v>2070</v>
      </c>
      <c r="H407" s="164">
        <v>210</v>
      </c>
      <c r="I407" s="113">
        <v>0</v>
      </c>
      <c r="J407" s="125">
        <v>0</v>
      </c>
      <c r="K407" s="113">
        <v>0</v>
      </c>
      <c r="L407" s="113">
        <v>0</v>
      </c>
      <c r="M407" s="113">
        <v>0</v>
      </c>
      <c r="N407" s="28">
        <f>G407-SUM(H407:M407)</f>
        <v>1860</v>
      </c>
      <c r="O407" s="28">
        <f>SUM(V407:Y407)</f>
        <v>1860</v>
      </c>
      <c r="P407" s="28">
        <f>O407-N407</f>
        <v>0</v>
      </c>
      <c r="Q407" s="61">
        <f>IF(ISERROR(P407/SUM(H407:L407)),"",P407/SUM(H407:L407))</f>
        <v>0</v>
      </c>
      <c r="R407" s="113">
        <v>175</v>
      </c>
      <c r="S407" s="28">
        <f>IF(ISERROR(P407/C407*R407),0,(P407/C407*R407))</f>
        <v>0</v>
      </c>
      <c r="T407" s="60">
        <f>IF(ISERROR(P407/B407*AF407),0,(P407/B407*AF407))</f>
        <v>0</v>
      </c>
      <c r="V407" s="113">
        <f>1*750+12*30</f>
        <v>1110</v>
      </c>
      <c r="W407" s="113">
        <v>750</v>
      </c>
      <c r="X407" s="113">
        <v>0</v>
      </c>
      <c r="Y407" s="113">
        <v>0</v>
      </c>
      <c r="AA407" s="113">
        <f>1*750+19*30</f>
        <v>1320</v>
      </c>
      <c r="AB407" s="113">
        <f>1*750</f>
        <v>750</v>
      </c>
      <c r="AC407" s="113">
        <v>0</v>
      </c>
      <c r="AD407" s="113">
        <v>0</v>
      </c>
      <c r="AF407" s="162">
        <f>17648.6/12</f>
        <v>1470.7166666666665</v>
      </c>
      <c r="AG407" s="28">
        <f>G407-O407</f>
        <v>210</v>
      </c>
      <c r="AH407" s="58">
        <f>IF(ISERROR(AG407/B407*AF407),0,(AG407/B407*AF407))</f>
        <v>411.80066666666664</v>
      </c>
      <c r="AI407" s="28">
        <f>SUM(H407:M407)</f>
        <v>210</v>
      </c>
      <c r="AJ407" s="28">
        <f>IF(ISERROR(AI407/B407*AF407),0,(AI407/B407*AF407))</f>
        <v>411.80066666666664</v>
      </c>
      <c r="AK407" s="58">
        <f>IF(ISERROR(O407/B407*AF407),0,(O407/B407*AF407))</f>
        <v>3647.3773333333329</v>
      </c>
      <c r="AL407" s="28">
        <f>IF(ISERROR(H407/B407*AF407),0,(H407/B407*AF407))</f>
        <v>411.80066666666664</v>
      </c>
      <c r="AN407" s="51" t="str">
        <f>A407</f>
        <v>Teachers Highland Cream</v>
      </c>
      <c r="AO407" s="57">
        <f>IF(ISERROR(IF(B407=C407,D407/C407,(INT(D407/B407)+(((D407-B407*INT(D407/B407)))/C407)/100))),0,(IF(B407=C407,D407/C407,(INT(D407/B407)+(((D407-B407*INT(D407/B407)))/C407)/100))))</f>
        <v>2.19</v>
      </c>
      <c r="AP407" s="57">
        <f>IF(ISERROR(IF(B407=C407,E407/C407,(INT(E407/B407)+(((E407-B407*INT(E407/B407)))/C407)/100))),0,(IF(B407=C407,E407/C407,(INT(E407/B407)+(((E407-B407*INT(E407/B407)))/C407)/100))))</f>
        <v>0</v>
      </c>
      <c r="AQ407" s="57">
        <f>IF(ISERROR(IF(B407=C407,F407/C407,IF((INT(F407/B407)+(((F407-B407*INT(F407/B407)))/C407)/100)&lt;0,(INT(F407/B407)+(((F407-B407*INT(F407/B407)))/C407)/100)+(1-(B407/C407/100)),(INT(F407/B407)+(((F407-B407*INT(F407/B407)))/C407)/100)))),0,IF(B407=C407,F407/C407,IF((INT(F407/B407)+(((F407-B407*INT(F407/B407)))/C407)/100)&lt;0,(INT(F407/B407)+(((F407-B407*INT(F407/B407)))/C407)/100)+(1-(B407/C407/100)),(INT(F407/B407)+(((F407-B407*INT(F407/B407)))/C407)/100))))</f>
        <v>0</v>
      </c>
      <c r="AR407" s="57">
        <f>IF(ISERROR(IF(B407=C407,G407/C407,(INT(G407/B407)+(((G407-B407*INT(G407/B407)))/C407)/100))),0,(IF(B407=C407,G407/C407,(INT(G407/B407)+(((G407-B407*INT(G407/B407)))/C407)/100))))</f>
        <v>2.19</v>
      </c>
      <c r="AS407" s="57">
        <f>IF(ISERROR(IF(B407=C407,H407/C407,(INT(H407/B407)+(((H407-B407*INT(H407/B407)))/C407)/100))),0,(IF(B407=C407,H407/C407,(INT(H407/B407)+(((H407-B407*INT(H407/B407)))/C407)/100))))</f>
        <v>7.0000000000000007E-2</v>
      </c>
      <c r="AT407" s="57">
        <f>IF(ISERROR(IF(B407=C407,I407/C407,(INT(I407/B407)+(((I407-B407*INT(I407/B407)))/C407)/100))),0,(IF(B407=C407,I407/C407,(INT(I407/B407)+(((I407-B407*INT(I407/B407)))/C407)/100))))</f>
        <v>0</v>
      </c>
      <c r="AU407" s="57">
        <f>IF(ISERROR(IF(B407=C407,J407/C407,(INT(J407/B407)+(((J407-B407*INT(J407/B407)))/C407)/100))),0,(IF(B407=C407,J407/C407,(INT(J407/B407)+(((J407-B407*INT(J407/B407)))/C407)/100))))</f>
        <v>0</v>
      </c>
      <c r="AV407" s="57">
        <f>IF(ISERROR(IF(B407=C407,K407/C407,IF((INT(K407/B407)+(((K407-B407*INT(K407/B407)))/C407)/100)&lt;0,(INT(K407/B407)+(((K407-B407*INT(K407/B407)))/C407)/100)+(1-(B407/C407/100)),(INT(K407/B407)+(((K407-B407*INT(K407/B407)))/C407)/100)))),0,IF(B407=C407,K407/C407,IF((INT(K407/B407)+(((K407-B407*INT(K407/B407)))/C407)/100)&lt;0,(INT(K407/B407)+(((K407-B407*INT(K407/B407)))/C407)/100)+(1-(B407/C407/100)),(INT(K407/B407)+(((K407-B407*INT(K407/B407)))/C407)/100))))</f>
        <v>0</v>
      </c>
      <c r="AW407" s="57">
        <f>IF(ISERROR(IF(B407=C407,L407/C407,(INT(L407/B407)+(((L407-B407*INT(L407/B407)))/C407)/100))),0,(IF(B407=C407,L407/C407,(INT(L407/B407)+(((L407-B407*INT(L407/B407)))/C407)/100))))</f>
        <v>0</v>
      </c>
      <c r="AX407" s="57">
        <f>IF(ISERROR(IF(B407=C407,M407/C407,(INT(M407/B407)+(((M407-B407*INT(M407/B407)))/C407)/100))),0,(IF(B407=C407,M407/C407,(INT(M407/B407)+(((M407-B407*INT(M407/B407)))/C407)/100))))</f>
        <v>0</v>
      </c>
      <c r="AY407" s="57">
        <f>IF(ISERROR(IF(B407=C407,N407/C407,IF((INT(N407/B407)+(((N407-B407*INT(N407/B407)))/C407)/100)&lt;0,(INT(N407/B407)+(((N407-B407*INT(N407/B407)))/C407)/100)+(1-(B407/C407/100)),(INT(N407/B407)+(((N407-B407*INT(N407/B407)))/C407)/100)))),0,IF(B407=C407,N407/C407,IF((INT(N407/B407)+(((N407-B407*INT(N407/B407)))/C407)/100)&lt;0,(INT(N407/B407)+(((N407-B407*INT(N407/B407)))/C407)/100)+(1-(B407/C407/100)),(INT(N407/B407)+(((N407-B407*INT(N407/B407)))/C407)/100))))</f>
        <v>2.12</v>
      </c>
      <c r="AZ407" s="57">
        <f>IF(ISERROR(IF(B407=C407,O407/C407,(INT(O407/B407)+(((O407-B407*INT(O407/B407)))/C407)/100))),0,(IF(B407=C407,O407/C407,(INT(O407/B407)+(((O407-B407*INT(O407/B407)))/C407)/100))))</f>
        <v>2.12</v>
      </c>
      <c r="BA407" s="57">
        <f>IF(ISERROR(IF(B407=C407,P407/C407,IF((INT(P407/B407)+(((P407-B407*INT(P407/B407)))/C407)/100)&lt;0,(INT(P407/B407)+(((P407-B407*INT(P407/B407)))/C407)/100)+(1-(B407/C407/100)),(INT(P407/B407)+(((P407-B407*INT(P407/B407)))/C407)/100)))),0,IF(B407=C407,P407/C407,IF((INT(P407/B407)+(((P407-B407*INT(P407/B407)))/C407)/100)&lt;0,(INT(P407/B407)+(((P407-B407*INT(P407/B407)))/C407)/100)+(1-(B407/C407/100)),(INT(P407/B407)+(((P407-B407*INT(P407/B407)))/C407)/100))))</f>
        <v>0</v>
      </c>
      <c r="BB407" s="28">
        <f>R407</f>
        <v>175</v>
      </c>
      <c r="BC407" s="28">
        <f>S407</f>
        <v>0</v>
      </c>
      <c r="BD407" s="28">
        <f>AF407</f>
        <v>1470.7166666666665</v>
      </c>
      <c r="BE407" s="28">
        <f>T407</f>
        <v>0</v>
      </c>
      <c r="BG407" s="57">
        <f>IF(ISERROR(IF(B407=C407,V407/C407,(INT(V407/B407)+(((V407-B407*INT(V407/B407)))/C407)/100))),0,(IF(B407=C407,V407/C407,(INT(V407/B407)+(((V407-B407*INT(V407/B407)))/C407)/100))))</f>
        <v>1.1200000000000001</v>
      </c>
      <c r="BH407" s="57">
        <f>IF(ISERROR(IF(B407=C407,W407/C407,(INT(W407/B407)+(((W407-B407*INT(W407/B407)))/C407)/100))),0,(IF(B407=C407,W407/C407,(INT(W407/B407)+(((W407-B407*INT(W407/B407)))/C407)/100))))</f>
        <v>1</v>
      </c>
      <c r="BI407" s="57">
        <f>IF(ISERROR(IF(B407=C407,X407/C407,(INT(X407/B407)+(((X407-B407*INT(X407/B407)))/C407)/100))),0,(IF(B407=C407,X407/C407,(INT(X407/B407)+(((X407-B407*INT(X407/B407)))/C407)/100))))</f>
        <v>0</v>
      </c>
      <c r="BJ407" s="57">
        <f>IF(ISERROR(IF(B407=C407,Y407/C407,(INT(Y407/B407)+(((Y407-B407*INT(Y407/B407)))/C407)/100))),0,(IF(B407=C407,Y407/C407,(INT(Y407/B407)+(((Y407-B407*INT(Y407/B407)))/C407)/100))))</f>
        <v>0</v>
      </c>
      <c r="BL407" s="57">
        <f>IF(ISERROR(IF(B407=C407,AA407/C407,(INT(AA407/B407)+(((AA407-B407*INT(AA407/B407)))/C407)/100))),0,(IF(B407=C407,AA407/C407,(INT(AA407/B407)+(((AA407-B407*INT(AA407/B407)))/C407)/100))))</f>
        <v>1.19</v>
      </c>
      <c r="BM407" s="57">
        <f>IF(ISERROR(IF(B407=C407,AB407/C407,(INT(AB407/B407)+(((AB407-B407*INT(AB407/B407)))/C407)/100))),0,(IF(B407=C407,AB407/C407,(INT(AB407/B407)+(((AB407-B407*INT(AB407/B407)))/C407)/100))))</f>
        <v>1</v>
      </c>
      <c r="BN407" s="57">
        <f>IF(ISERROR(IF(B407=C407,AC407/C407,(INT(AC407/B407)+(((AC407-B407*INT(AC407/B407)))/C407)/100))),0,(IF(B407=C407,AC407/C407,(INT(AC407/B407)+(((AC407-B407*INT(AC407/B407)))/C407)/100))))</f>
        <v>0</v>
      </c>
      <c r="BO407" s="57">
        <f>IF(ISERROR(IF(B407=C407,AD407/C407,(INT(AD407/B407)+(((AD407-B407*INT(AD407/B407)))/C407)/100))),0,(IF(B407=C407,AD407/C407,(INT(AD407/B407)+(((AD407-B407*INT(AD407/B407)))/C407)/100))))</f>
        <v>0</v>
      </c>
      <c r="BQ407" s="155" t="s">
        <v>215</v>
      </c>
    </row>
    <row r="408" spans="1:69" x14ac:dyDescent="0.35">
      <c r="A408" s="165" t="s">
        <v>220</v>
      </c>
      <c r="B408" s="113">
        <v>750</v>
      </c>
      <c r="C408" s="113">
        <v>30</v>
      </c>
      <c r="D408" s="28">
        <f>SUM(AA408:AD408)</f>
        <v>4200</v>
      </c>
      <c r="E408" s="113">
        <v>0</v>
      </c>
      <c r="F408" s="113">
        <v>0</v>
      </c>
      <c r="G408" s="28">
        <f>SUM(D408:F408)</f>
        <v>4200</v>
      </c>
      <c r="H408" s="164">
        <v>0</v>
      </c>
      <c r="I408" s="113">
        <v>0</v>
      </c>
      <c r="J408" s="125">
        <v>0</v>
      </c>
      <c r="K408" s="113">
        <v>0</v>
      </c>
      <c r="L408" s="113">
        <v>0</v>
      </c>
      <c r="M408" s="113">
        <v>0</v>
      </c>
      <c r="N408" s="28">
        <f>G408-SUM(H408:M408)</f>
        <v>4200</v>
      </c>
      <c r="O408" s="28">
        <f>SUM(V408:Y408)</f>
        <v>4200</v>
      </c>
      <c r="P408" s="28">
        <f>O408-N408</f>
        <v>0</v>
      </c>
      <c r="Q408" s="61" t="str">
        <f>IF(ISERROR(P408/SUM(H408:L408)),"",P408/SUM(H408:L408))</f>
        <v/>
      </c>
      <c r="R408" s="113">
        <v>175</v>
      </c>
      <c r="S408" s="28">
        <f>IF(ISERROR(P408/C408*R408),0,(P408/C408*R408))</f>
        <v>0</v>
      </c>
      <c r="T408" s="60">
        <f>IF(ISERROR(P408/B408*AF408),0,(P408/B408*AF408))</f>
        <v>0</v>
      </c>
      <c r="V408" s="113">
        <f>2*750+15*30</f>
        <v>1950</v>
      </c>
      <c r="W408" s="113">
        <f>3*750</f>
        <v>2250</v>
      </c>
      <c r="X408" s="113">
        <v>0</v>
      </c>
      <c r="Y408" s="113">
        <v>0</v>
      </c>
      <c r="AA408" s="113">
        <f>2*750+15*30</f>
        <v>1950</v>
      </c>
      <c r="AB408" s="113">
        <f>3*750</f>
        <v>2250</v>
      </c>
      <c r="AC408" s="113">
        <v>0</v>
      </c>
      <c r="AD408" s="113">
        <v>0</v>
      </c>
      <c r="AF408" s="155">
        <v>1307.2749999999999</v>
      </c>
      <c r="AG408" s="28">
        <f>G408-O408</f>
        <v>0</v>
      </c>
      <c r="AH408" s="58">
        <f>IF(ISERROR(AG408/B408*AF408),0,(AG408/B408*AF408))</f>
        <v>0</v>
      </c>
      <c r="AI408" s="28">
        <f>SUM(H408:M408)</f>
        <v>0</v>
      </c>
      <c r="AJ408" s="28">
        <f>IF(ISERROR(AI408/B408*AF408),0,(AI408/B408*AF408))</f>
        <v>0</v>
      </c>
      <c r="AK408" s="58">
        <f>IF(ISERROR(O408/B408*AF408),0,(O408/B408*AF408))</f>
        <v>7320.7399999999989</v>
      </c>
      <c r="AL408" s="28">
        <f>IF(ISERROR(H408/B408*AF408),0,(H408/B408*AF408))</f>
        <v>0</v>
      </c>
      <c r="AN408" s="51" t="str">
        <f>A408</f>
        <v xml:space="preserve">Vat 69 </v>
      </c>
      <c r="AO408" s="57">
        <f>IF(ISERROR(IF(B408=C408,D408/C408,(INT(D408/B408)+(((D408-B408*INT(D408/B408)))/C408)/100))),0,(IF(B408=C408,D408/C408,(INT(D408/B408)+(((D408-B408*INT(D408/B408)))/C408)/100))))</f>
        <v>5.15</v>
      </c>
      <c r="AP408" s="57">
        <f>IF(ISERROR(IF(B408=C408,E408/C408,(INT(E408/B408)+(((E408-B408*INT(E408/B408)))/C408)/100))),0,(IF(B408=C408,E408/C408,(INT(E408/B408)+(((E408-B408*INT(E408/B408)))/C408)/100))))</f>
        <v>0</v>
      </c>
      <c r="AQ408" s="57">
        <f>IF(ISERROR(IF(B408=C408,F408/C408,IF((INT(F408/B408)+(((F408-B408*INT(F408/B408)))/C408)/100)&lt;0,(INT(F408/B408)+(((F408-B408*INT(F408/B408)))/C408)/100)+(1-(B408/C408/100)),(INT(F408/B408)+(((F408-B408*INT(F408/B408)))/C408)/100)))),0,IF(B408=C408,F408/C408,IF((INT(F408/B408)+(((F408-B408*INT(F408/B408)))/C408)/100)&lt;0,(INT(F408/B408)+(((F408-B408*INT(F408/B408)))/C408)/100)+(1-(B408/C408/100)),(INT(F408/B408)+(((F408-B408*INT(F408/B408)))/C408)/100))))</f>
        <v>0</v>
      </c>
      <c r="AR408" s="57">
        <f>IF(ISERROR(IF(B408=C408,G408/C408,(INT(G408/B408)+(((G408-B408*INT(G408/B408)))/C408)/100))),0,(IF(B408=C408,G408/C408,(INT(G408/B408)+(((G408-B408*INT(G408/B408)))/C408)/100))))</f>
        <v>5.15</v>
      </c>
      <c r="AS408" s="57">
        <f>IF(ISERROR(IF(B408=C408,H408/C408,(INT(H408/B408)+(((H408-B408*INT(H408/B408)))/C408)/100))),0,(IF(B408=C408,H408/C408,(INT(H408/B408)+(((H408-B408*INT(H408/B408)))/C408)/100))))</f>
        <v>0</v>
      </c>
      <c r="AT408" s="57">
        <f>IF(ISERROR(IF(B408=C408,I408/C408,(INT(I408/B408)+(((I408-B408*INT(I408/B408)))/C408)/100))),0,(IF(B408=C408,I408/C408,(INT(I408/B408)+(((I408-B408*INT(I408/B408)))/C408)/100))))</f>
        <v>0</v>
      </c>
      <c r="AU408" s="57">
        <f>IF(ISERROR(IF(B408=C408,J408/C408,(INT(J408/B408)+(((J408-B408*INT(J408/B408)))/C408)/100))),0,(IF(B408=C408,J408/C408,(INT(J408/B408)+(((J408-B408*INT(J408/B408)))/C408)/100))))</f>
        <v>0</v>
      </c>
      <c r="AV408" s="57">
        <f>IF(ISERROR(IF(B408=C408,K408/C408,IF((INT(K408/B408)+(((K408-B408*INT(K408/B408)))/C408)/100)&lt;0,(INT(K408/B408)+(((K408-B408*INT(K408/B408)))/C408)/100)+(1-(B408/C408/100)),(INT(K408/B408)+(((K408-B408*INT(K408/B408)))/C408)/100)))),0,IF(B408=C408,K408/C408,IF((INT(K408/B408)+(((K408-B408*INT(K408/B408)))/C408)/100)&lt;0,(INT(K408/B408)+(((K408-B408*INT(K408/B408)))/C408)/100)+(1-(B408/C408/100)),(INT(K408/B408)+(((K408-B408*INT(K408/B408)))/C408)/100))))</f>
        <v>0</v>
      </c>
      <c r="AW408" s="57">
        <f>IF(ISERROR(IF(B408=C408,L408/C408,(INT(L408/B408)+(((L408-B408*INT(L408/B408)))/C408)/100))),0,(IF(B408=C408,L408/C408,(INT(L408/B408)+(((L408-B408*INT(L408/B408)))/C408)/100))))</f>
        <v>0</v>
      </c>
      <c r="AX408" s="57">
        <f>IF(ISERROR(IF(B408=C408,M408/C408,(INT(M408/B408)+(((M408-B408*INT(M408/B408)))/C408)/100))),0,(IF(B408=C408,M408/C408,(INT(M408/B408)+(((M408-B408*INT(M408/B408)))/C408)/100))))</f>
        <v>0</v>
      </c>
      <c r="AY408" s="57">
        <f>IF(ISERROR(IF(B408=C408,N408/C408,IF((INT(N408/B408)+(((N408-B408*INT(N408/B408)))/C408)/100)&lt;0,(INT(N408/B408)+(((N408-B408*INT(N408/B408)))/C408)/100)+(1-(B408/C408/100)),(INT(N408/B408)+(((N408-B408*INT(N408/B408)))/C408)/100)))),0,IF(B408=C408,N408/C408,IF((INT(N408/B408)+(((N408-B408*INT(N408/B408)))/C408)/100)&lt;0,(INT(N408/B408)+(((N408-B408*INT(N408/B408)))/C408)/100)+(1-(B408/C408/100)),(INT(N408/B408)+(((N408-B408*INT(N408/B408)))/C408)/100))))</f>
        <v>5.15</v>
      </c>
      <c r="AZ408" s="57">
        <f>IF(ISERROR(IF(B408=C408,O408/C408,(INT(O408/B408)+(((O408-B408*INT(O408/B408)))/C408)/100))),0,(IF(B408=C408,O408/C408,(INT(O408/B408)+(((O408-B408*INT(O408/B408)))/C408)/100))))</f>
        <v>5.15</v>
      </c>
      <c r="BA408" s="57">
        <f>IF(ISERROR(IF(B408=C408,P408/C408,IF((INT(P408/B408)+(((P408-B408*INT(P408/B408)))/C408)/100)&lt;0,(INT(P408/B408)+(((P408-B408*INT(P408/B408)))/C408)/100)+(1-(B408/C408/100)),(INT(P408/B408)+(((P408-B408*INT(P408/B408)))/C408)/100)))),0,IF(B408=C408,P408/C408,IF((INT(P408/B408)+(((P408-B408*INT(P408/B408)))/C408)/100)&lt;0,(INT(P408/B408)+(((P408-B408*INT(P408/B408)))/C408)/100)+(1-(B408/C408/100)),(INT(P408/B408)+(((P408-B408*INT(P408/B408)))/C408)/100))))</f>
        <v>0</v>
      </c>
      <c r="BB408" s="28">
        <f>R408</f>
        <v>175</v>
      </c>
      <c r="BC408" s="28">
        <f>S408</f>
        <v>0</v>
      </c>
      <c r="BD408" s="28">
        <f>AF408</f>
        <v>1307.2749999999999</v>
      </c>
      <c r="BE408" s="28">
        <f>T408</f>
        <v>0</v>
      </c>
      <c r="BG408" s="57">
        <f>IF(ISERROR(IF(B408=C408,V408/C408,(INT(V408/B408)+(((V408-B408*INT(V408/B408)))/C408)/100))),0,(IF(B408=C408,V408/C408,(INT(V408/B408)+(((V408-B408*INT(V408/B408)))/C408)/100))))</f>
        <v>2.15</v>
      </c>
      <c r="BH408" s="57">
        <f>IF(ISERROR(IF(B408=C408,W408/C408,(INT(W408/B408)+(((W408-B408*INT(W408/B408)))/C408)/100))),0,(IF(B408=C408,W408/C408,(INT(W408/B408)+(((W408-B408*INT(W408/B408)))/C408)/100))))</f>
        <v>3</v>
      </c>
      <c r="BI408" s="57">
        <f>IF(ISERROR(IF(B408=C408,X408/C408,(INT(X408/B408)+(((X408-B408*INT(X408/B408)))/C408)/100))),0,(IF(B408=C408,X408/C408,(INT(X408/B408)+(((X408-B408*INT(X408/B408)))/C408)/100))))</f>
        <v>0</v>
      </c>
      <c r="BJ408" s="57">
        <f>IF(ISERROR(IF(B408=C408,Y408/C408,(INT(Y408/B408)+(((Y408-B408*INT(Y408/B408)))/C408)/100))),0,(IF(B408=C408,Y408/C408,(INT(Y408/B408)+(((Y408-B408*INT(Y408/B408)))/C408)/100))))</f>
        <v>0</v>
      </c>
      <c r="BL408" s="57">
        <f>IF(ISERROR(IF(B408=C408,AA408/C408,(INT(AA408/B408)+(((AA408-B408*INT(AA408/B408)))/C408)/100))),0,(IF(B408=C408,AA408/C408,(INT(AA408/B408)+(((AA408-B408*INT(AA408/B408)))/C408)/100))))</f>
        <v>2.15</v>
      </c>
      <c r="BM408" s="57">
        <f>IF(ISERROR(IF(B408=C408,AB408/C408,(INT(AB408/B408)+(((AB408-B408*INT(AB408/B408)))/C408)/100))),0,(IF(B408=C408,AB408/C408,(INT(AB408/B408)+(((AB408-B408*INT(AB408/B408)))/C408)/100))))</f>
        <v>3</v>
      </c>
      <c r="BN408" s="57">
        <f>IF(ISERROR(IF(B408=C408,AC408/C408,(INT(AC408/B408)+(((AC408-B408*INT(AC408/B408)))/C408)/100))),0,(IF(B408=C408,AC408/C408,(INT(AC408/B408)+(((AC408-B408*INT(AC408/B408)))/C408)/100))))</f>
        <v>0</v>
      </c>
      <c r="BO408" s="57">
        <f>IF(ISERROR(IF(B408=C408,AD408/C408,(INT(AD408/B408)+(((AD408-B408*INT(AD408/B408)))/C408)/100))),0,(IF(B408=C408,AD408/C408,(INT(AD408/B408)+(((AD408-B408*INT(AD408/B408)))/C408)/100))))</f>
        <v>0</v>
      </c>
      <c r="BQ408" s="155" t="s">
        <v>215</v>
      </c>
    </row>
    <row r="409" spans="1:69" x14ac:dyDescent="0.35">
      <c r="A409" s="134" t="s">
        <v>219</v>
      </c>
      <c r="B409" s="113">
        <v>750</v>
      </c>
      <c r="C409" s="113">
        <v>30</v>
      </c>
      <c r="D409" s="28">
        <f>SUM(AA409:AD409)</f>
        <v>15900</v>
      </c>
      <c r="E409" s="113">
        <v>0</v>
      </c>
      <c r="F409" s="113">
        <v>0</v>
      </c>
      <c r="G409" s="28">
        <f>SUM(D409:F409)</f>
        <v>15900</v>
      </c>
      <c r="H409" s="164">
        <v>0</v>
      </c>
      <c r="I409" s="113">
        <v>0</v>
      </c>
      <c r="J409" s="125">
        <v>0</v>
      </c>
      <c r="K409" s="113">
        <v>240</v>
      </c>
      <c r="L409" s="113">
        <v>0</v>
      </c>
      <c r="M409" s="113">
        <v>0</v>
      </c>
      <c r="N409" s="28">
        <f>G409-SUM(H409:M409)</f>
        <v>15660</v>
      </c>
      <c r="O409" s="28">
        <f>SUM(V409:Y409)</f>
        <v>15750</v>
      </c>
      <c r="P409" s="28">
        <f>O409-N409</f>
        <v>90</v>
      </c>
      <c r="Q409" s="61">
        <f>IF(ISERROR(P409/SUM(H409:L409)),"",P409/SUM(H409:L409))</f>
        <v>0.375</v>
      </c>
      <c r="R409" s="113">
        <v>135</v>
      </c>
      <c r="S409" s="28">
        <f>IF(ISERROR(P409/C409*R409),0,(P409/C409*R409))</f>
        <v>405</v>
      </c>
      <c r="T409" s="60">
        <f>IF(ISERROR(P409/B409*AF409),0,(P409/B409*AF409))</f>
        <v>49.114499999999992</v>
      </c>
      <c r="V409" s="113">
        <f>1*750</f>
        <v>750</v>
      </c>
      <c r="W409" s="113">
        <f>20*750</f>
        <v>15000</v>
      </c>
      <c r="X409" s="113">
        <v>0</v>
      </c>
      <c r="Y409" s="113">
        <v>0</v>
      </c>
      <c r="AA409" s="113">
        <f>1*750+5*30</f>
        <v>900</v>
      </c>
      <c r="AB409" s="113">
        <f>20*750</f>
        <v>15000</v>
      </c>
      <c r="AC409" s="113">
        <v>0</v>
      </c>
      <c r="AD409" s="113">
        <v>0</v>
      </c>
      <c r="AF409" s="162">
        <f>4911.45/12</f>
        <v>409.28749999999997</v>
      </c>
      <c r="AG409" s="28">
        <f>G409-O409</f>
        <v>150</v>
      </c>
      <c r="AH409" s="58">
        <f>IF(ISERROR(AG409/B409*AF409),0,(AG409/B409*AF409))</f>
        <v>81.857500000000002</v>
      </c>
      <c r="AI409" s="28">
        <f>SUM(H409:M409)</f>
        <v>240</v>
      </c>
      <c r="AJ409" s="28">
        <f>IF(ISERROR(AI409/B409*AF409),0,(AI409/B409*AF409))</f>
        <v>130.97199999999998</v>
      </c>
      <c r="AK409" s="58">
        <f>IF(ISERROR(O409/B409*AF409),0,(O409/B409*AF409))</f>
        <v>8595.0374999999985</v>
      </c>
      <c r="AL409" s="28">
        <f>IF(ISERROR(H409/B409*AF409),0,(H409/B409*AF409))</f>
        <v>0</v>
      </c>
      <c r="AN409" s="51" t="str">
        <f>A409</f>
        <v xml:space="preserve">Mc Doweels Brandy </v>
      </c>
      <c r="AO409" s="57">
        <f>IF(ISERROR(IF(B409=C409,D409/C409,(INT(D409/B409)+(((D409-B409*INT(D409/B409)))/C409)/100))),0,(IF(B409=C409,D409/C409,(INT(D409/B409)+(((D409-B409*INT(D409/B409)))/C409)/100))))</f>
        <v>21.05</v>
      </c>
      <c r="AP409" s="57">
        <f>IF(ISERROR(IF(B409=C409,E409/C409,(INT(E409/B409)+(((E409-B409*INT(E409/B409)))/C409)/100))),0,(IF(B409=C409,E409/C409,(INT(E409/B409)+(((E409-B409*INT(E409/B409)))/C409)/100))))</f>
        <v>0</v>
      </c>
      <c r="AQ409" s="57">
        <f>IF(ISERROR(IF(B409=C409,F409/C409,IF((INT(F409/B409)+(((F409-B409*INT(F409/B409)))/C409)/100)&lt;0,(INT(F409/B409)+(((F409-B409*INT(F409/B409)))/C409)/100)+(1-(B409/C409/100)),(INT(F409/B409)+(((F409-B409*INT(F409/B409)))/C409)/100)))),0,IF(B409=C409,F409/C409,IF((INT(F409/B409)+(((F409-B409*INT(F409/B409)))/C409)/100)&lt;0,(INT(F409/B409)+(((F409-B409*INT(F409/B409)))/C409)/100)+(1-(B409/C409/100)),(INT(F409/B409)+(((F409-B409*INT(F409/B409)))/C409)/100))))</f>
        <v>0</v>
      </c>
      <c r="AR409" s="57">
        <f>IF(ISERROR(IF(B409=C409,G409/C409,(INT(G409/B409)+(((G409-B409*INT(G409/B409)))/C409)/100))),0,(IF(B409=C409,G409/C409,(INT(G409/B409)+(((G409-B409*INT(G409/B409)))/C409)/100))))</f>
        <v>21.05</v>
      </c>
      <c r="AS409" s="57">
        <f>IF(ISERROR(IF(B409=C409,H409/C409,(INT(H409/B409)+(((H409-B409*INT(H409/B409)))/C409)/100))),0,(IF(B409=C409,H409/C409,(INT(H409/B409)+(((H409-B409*INT(H409/B409)))/C409)/100))))</f>
        <v>0</v>
      </c>
      <c r="AT409" s="57">
        <f>IF(ISERROR(IF(B409=C409,I409/C409,(INT(I409/B409)+(((I409-B409*INT(I409/B409)))/C409)/100))),0,(IF(B409=C409,I409/C409,(INT(I409/B409)+(((I409-B409*INT(I409/B409)))/C409)/100))))</f>
        <v>0</v>
      </c>
      <c r="AU409" s="57">
        <f>IF(ISERROR(IF(B409=C409,J409/C409,(INT(J409/B409)+(((J409-B409*INT(J409/B409)))/C409)/100))),0,(IF(B409=C409,J409/C409,(INT(J409/B409)+(((J409-B409*INT(J409/B409)))/C409)/100))))</f>
        <v>0</v>
      </c>
      <c r="AV409" s="57">
        <f>IF(ISERROR(IF(B409=C409,K409/C409,IF((INT(K409/B409)+(((K409-B409*INT(K409/B409)))/C409)/100)&lt;0,(INT(K409/B409)+(((K409-B409*INT(K409/B409)))/C409)/100)+(1-(B409/C409/100)),(INT(K409/B409)+(((K409-B409*INT(K409/B409)))/C409)/100)))),0,IF(B409=C409,K409/C409,IF((INT(K409/B409)+(((K409-B409*INT(K409/B409)))/C409)/100)&lt;0,(INT(K409/B409)+(((K409-B409*INT(K409/B409)))/C409)/100)+(1-(B409/C409/100)),(INT(K409/B409)+(((K409-B409*INT(K409/B409)))/C409)/100))))</f>
        <v>0.08</v>
      </c>
      <c r="AW409" s="57">
        <f>IF(ISERROR(IF(B409=C409,L409/C409,(INT(L409/B409)+(((L409-B409*INT(L409/B409)))/C409)/100))),0,(IF(B409=C409,L409/C409,(INT(L409/B409)+(((L409-B409*INT(L409/B409)))/C409)/100))))</f>
        <v>0</v>
      </c>
      <c r="AX409" s="57">
        <f>IF(ISERROR(IF(B409=C409,M409/C409,(INT(M409/B409)+(((M409-B409*INT(M409/B409)))/C409)/100))),0,(IF(B409=C409,M409/C409,(INT(M409/B409)+(((M409-B409*INT(M409/B409)))/C409)/100))))</f>
        <v>0</v>
      </c>
      <c r="AY409" s="57">
        <f>IF(ISERROR(IF(B409=C409,N409/C409,IF((INT(N409/B409)+(((N409-B409*INT(N409/B409)))/C409)/100)&lt;0,(INT(N409/B409)+(((N409-B409*INT(N409/B409)))/C409)/100)+(1-(B409/C409/100)),(INT(N409/B409)+(((N409-B409*INT(N409/B409)))/C409)/100)))),0,IF(B409=C409,N409/C409,IF((INT(N409/B409)+(((N409-B409*INT(N409/B409)))/C409)/100)&lt;0,(INT(N409/B409)+(((N409-B409*INT(N409/B409)))/C409)/100)+(1-(B409/C409/100)),(INT(N409/B409)+(((N409-B409*INT(N409/B409)))/C409)/100))))</f>
        <v>20.22</v>
      </c>
      <c r="AZ409" s="57">
        <f>IF(ISERROR(IF(B409=C409,O409/C409,(INT(O409/B409)+(((O409-B409*INT(O409/B409)))/C409)/100))),0,(IF(B409=C409,O409/C409,(INT(O409/B409)+(((O409-B409*INT(O409/B409)))/C409)/100))))</f>
        <v>21</v>
      </c>
      <c r="BA409" s="57">
        <f>IF(ISERROR(IF(B409=C409,P409/C409,IF((INT(P409/B409)+(((P409-B409*INT(P409/B409)))/C409)/100)&lt;0,(INT(P409/B409)+(((P409-B409*INT(P409/B409)))/C409)/100)+(1-(B409/C409/100)),(INT(P409/B409)+(((P409-B409*INT(P409/B409)))/C409)/100)))),0,IF(B409=C409,P409/C409,IF((INT(P409/B409)+(((P409-B409*INT(P409/B409)))/C409)/100)&lt;0,(INT(P409/B409)+(((P409-B409*INT(P409/B409)))/C409)/100)+(1-(B409/C409/100)),(INT(P409/B409)+(((P409-B409*INT(P409/B409)))/C409)/100))))</f>
        <v>0.03</v>
      </c>
      <c r="BB409" s="28">
        <f>R409</f>
        <v>135</v>
      </c>
      <c r="BC409" s="28">
        <f>S409</f>
        <v>405</v>
      </c>
      <c r="BD409" s="28">
        <f>AF409</f>
        <v>409.28749999999997</v>
      </c>
      <c r="BE409" s="28">
        <f>T409</f>
        <v>49.114499999999992</v>
      </c>
      <c r="BG409" s="57">
        <f>IF(ISERROR(IF(B409=C409,V409/C409,(INT(V409/B409)+(((V409-B409*INT(V409/B409)))/C409)/100))),0,(IF(B409=C409,V409/C409,(INT(V409/B409)+(((V409-B409*INT(V409/B409)))/C409)/100))))</f>
        <v>1</v>
      </c>
      <c r="BH409" s="57">
        <f>IF(ISERROR(IF(B409=C409,W409/C409,(INT(W409/B409)+(((W409-B409*INT(W409/B409)))/C409)/100))),0,(IF(B409=C409,W409/C409,(INT(W409/B409)+(((W409-B409*INT(W409/B409)))/C409)/100))))</f>
        <v>20</v>
      </c>
      <c r="BI409" s="57">
        <f>IF(ISERROR(IF(B409=C409,X409/C409,(INT(X409/B409)+(((X409-B409*INT(X409/B409)))/C409)/100))),0,(IF(B409=C409,X409/C409,(INT(X409/B409)+(((X409-B409*INT(X409/B409)))/C409)/100))))</f>
        <v>0</v>
      </c>
      <c r="BJ409" s="57">
        <f>IF(ISERROR(IF(B409=C409,Y409/C409,(INT(Y409/B409)+(((Y409-B409*INT(Y409/B409)))/C409)/100))),0,(IF(B409=C409,Y409/C409,(INT(Y409/B409)+(((Y409-B409*INT(Y409/B409)))/C409)/100))))</f>
        <v>0</v>
      </c>
      <c r="BL409" s="57">
        <f>IF(ISERROR(IF(B409=C409,AA409/C409,(INT(AA409/B409)+(((AA409-B409*INT(AA409/B409)))/C409)/100))),0,(IF(B409=C409,AA409/C409,(INT(AA409/B409)+(((AA409-B409*INT(AA409/B409)))/C409)/100))))</f>
        <v>1.05</v>
      </c>
      <c r="BM409" s="57">
        <f>IF(ISERROR(IF(B409=C409,AB409/C409,(INT(AB409/B409)+(((AB409-B409*INT(AB409/B409)))/C409)/100))),0,(IF(B409=C409,AB409/C409,(INT(AB409/B409)+(((AB409-B409*INT(AB409/B409)))/C409)/100))))</f>
        <v>20</v>
      </c>
      <c r="BN409" s="57">
        <f>IF(ISERROR(IF(B409=C409,AC409/C409,(INT(AC409/B409)+(((AC409-B409*INT(AC409/B409)))/C409)/100))),0,(IF(B409=C409,AC409/C409,(INT(AC409/B409)+(((AC409-B409*INT(AC409/B409)))/C409)/100))))</f>
        <v>0</v>
      </c>
      <c r="BO409" s="57">
        <f>IF(ISERROR(IF(B409=C409,AD409/C409,(INT(AD409/B409)+(((AD409-B409*INT(AD409/B409)))/C409)/100))),0,(IF(B409=C409,AD409/C409,(INT(AD409/B409)+(((AD409-B409*INT(AD409/B409)))/C409)/100))))</f>
        <v>0</v>
      </c>
      <c r="BQ409" s="155" t="s">
        <v>211</v>
      </c>
    </row>
    <row r="410" spans="1:69" x14ac:dyDescent="0.35">
      <c r="A410" s="134" t="s">
        <v>218</v>
      </c>
      <c r="B410" s="113">
        <v>750</v>
      </c>
      <c r="C410" s="113">
        <v>30</v>
      </c>
      <c r="D410" s="28">
        <f>SUM(AA410:AD410)</f>
        <v>1140</v>
      </c>
      <c r="E410" s="113">
        <v>0</v>
      </c>
      <c r="F410" s="113">
        <v>0</v>
      </c>
      <c r="G410" s="28">
        <f>SUM(D410:F410)</f>
        <v>1140</v>
      </c>
      <c r="H410" s="125">
        <v>0</v>
      </c>
      <c r="I410" s="113">
        <v>0</v>
      </c>
      <c r="J410" s="125">
        <v>0</v>
      </c>
      <c r="K410" s="113">
        <v>0</v>
      </c>
      <c r="L410" s="113">
        <v>0</v>
      </c>
      <c r="M410" s="113">
        <v>0</v>
      </c>
      <c r="N410" s="28">
        <f>G410-SUM(H410:M410)</f>
        <v>1140</v>
      </c>
      <c r="O410" s="28">
        <f>SUM(V410:Y410)</f>
        <v>1140</v>
      </c>
      <c r="P410" s="28">
        <f>O410-N410</f>
        <v>0</v>
      </c>
      <c r="Q410" s="61" t="str">
        <f>IF(ISERROR(P410/SUM(H410:L410)),"",P410/SUM(H410:L410))</f>
        <v/>
      </c>
      <c r="R410" s="113">
        <v>195</v>
      </c>
      <c r="S410" s="28">
        <f>IF(ISERROR(P410/C410*R410),0,(P410/C410*R410))</f>
        <v>0</v>
      </c>
      <c r="T410" s="60">
        <f>IF(ISERROR(P410/B410*AF410),0,(P410/B410*AF410))</f>
        <v>0</v>
      </c>
      <c r="V410" s="113">
        <f>13*30</f>
        <v>390</v>
      </c>
      <c r="W410" s="113">
        <v>750</v>
      </c>
      <c r="X410" s="113">
        <v>0</v>
      </c>
      <c r="Y410" s="113">
        <v>0</v>
      </c>
      <c r="AA410" s="113">
        <f>13*30</f>
        <v>390</v>
      </c>
      <c r="AB410" s="113">
        <f>1*750</f>
        <v>750</v>
      </c>
      <c r="AC410" s="113">
        <v>0</v>
      </c>
      <c r="AD410" s="113">
        <v>0</v>
      </c>
      <c r="AF410" s="155">
        <v>1795.75</v>
      </c>
      <c r="AG410" s="28">
        <f>G410-O410</f>
        <v>0</v>
      </c>
      <c r="AH410" s="58">
        <f>IF(ISERROR(AG410/B410*AF410),0,(AG410/B410*AF410))</f>
        <v>0</v>
      </c>
      <c r="AI410" s="28">
        <f>SUM(H410:M410)</f>
        <v>0</v>
      </c>
      <c r="AJ410" s="28">
        <f>IF(ISERROR(AI410/B410*AF410),0,(AI410/B410*AF410))</f>
        <v>0</v>
      </c>
      <c r="AK410" s="58">
        <f>IF(ISERROR(O410/B410*AF410),0,(O410/B410*AF410))</f>
        <v>2729.54</v>
      </c>
      <c r="AL410" s="28">
        <f>IF(ISERROR(H410/B410*AF410),0,(H410/B410*AF410))</f>
        <v>0</v>
      </c>
      <c r="AN410" s="51" t="str">
        <f>A410</f>
        <v xml:space="preserve">Stolichnaya Vodka </v>
      </c>
      <c r="AO410" s="57">
        <f>IF(ISERROR(IF(B410=C410,D410/C410,(INT(D410/B410)+(((D410-B410*INT(D410/B410)))/C410)/100))),0,(IF(B410=C410,D410/C410,(INT(D410/B410)+(((D410-B410*INT(D410/B410)))/C410)/100))))</f>
        <v>1.1299999999999999</v>
      </c>
      <c r="AP410" s="57">
        <f>IF(ISERROR(IF(B410=C410,E410/C410,(INT(E410/B410)+(((E410-B410*INT(E410/B410)))/C410)/100))),0,(IF(B410=C410,E410/C410,(INT(E410/B410)+(((E410-B410*INT(E410/B410)))/C410)/100))))</f>
        <v>0</v>
      </c>
      <c r="AQ410" s="57">
        <f>IF(ISERROR(IF(B410=C410,F410/C410,IF((INT(F410/B410)+(((F410-B410*INT(F410/B410)))/C410)/100)&lt;0,(INT(F410/B410)+(((F410-B410*INT(F410/B410)))/C410)/100)+(1-(B410/C410/100)),(INT(F410/B410)+(((F410-B410*INT(F410/B410)))/C410)/100)))),0,IF(B410=C410,F410/C410,IF((INT(F410/B410)+(((F410-B410*INT(F410/B410)))/C410)/100)&lt;0,(INT(F410/B410)+(((F410-B410*INT(F410/B410)))/C410)/100)+(1-(B410/C410/100)),(INT(F410/B410)+(((F410-B410*INT(F410/B410)))/C410)/100))))</f>
        <v>0</v>
      </c>
      <c r="AR410" s="57">
        <f>IF(ISERROR(IF(B410=C410,G410/C410,(INT(G410/B410)+(((G410-B410*INT(G410/B410)))/C410)/100))),0,(IF(B410=C410,G410/C410,(INT(G410/B410)+(((G410-B410*INT(G410/B410)))/C410)/100))))</f>
        <v>1.1299999999999999</v>
      </c>
      <c r="AS410" s="57">
        <f>IF(ISERROR(IF(B410=C410,H410/C410,(INT(H410/B410)+(((H410-B410*INT(H410/B410)))/C410)/100))),0,(IF(B410=C410,H410/C410,(INT(H410/B410)+(((H410-B410*INT(H410/B410)))/C410)/100))))</f>
        <v>0</v>
      </c>
      <c r="AT410" s="57">
        <f>IF(ISERROR(IF(B410=C410,I410/C410,(INT(I410/B410)+(((I410-B410*INT(I410/B410)))/C410)/100))),0,(IF(B410=C410,I410/C410,(INT(I410/B410)+(((I410-B410*INT(I410/B410)))/C410)/100))))</f>
        <v>0</v>
      </c>
      <c r="AU410" s="57">
        <f>IF(ISERROR(IF(B410=C410,J410/C410,(INT(J410/B410)+(((J410-B410*INT(J410/B410)))/C410)/100))),0,(IF(B410=C410,J410/C410,(INT(J410/B410)+(((J410-B410*INT(J410/B410)))/C410)/100))))</f>
        <v>0</v>
      </c>
      <c r="AV410" s="57">
        <f>IF(ISERROR(IF(B410=C410,K410/C410,IF((INT(K410/B410)+(((K410-B410*INT(K410/B410)))/C410)/100)&lt;0,(INT(K410/B410)+(((K410-B410*INT(K410/B410)))/C410)/100)+(1-(B410/C410/100)),(INT(K410/B410)+(((K410-B410*INT(K410/B410)))/C410)/100)))),0,IF(B410=C410,K410/C410,IF((INT(K410/B410)+(((K410-B410*INT(K410/B410)))/C410)/100)&lt;0,(INT(K410/B410)+(((K410-B410*INT(K410/B410)))/C410)/100)+(1-(B410/C410/100)),(INT(K410/B410)+(((K410-B410*INT(K410/B410)))/C410)/100))))</f>
        <v>0</v>
      </c>
      <c r="AW410" s="57">
        <f>IF(ISERROR(IF(B410=C410,L410/C410,(INT(L410/B410)+(((L410-B410*INT(L410/B410)))/C410)/100))),0,(IF(B410=C410,L410/C410,(INT(L410/B410)+(((L410-B410*INT(L410/B410)))/C410)/100))))</f>
        <v>0</v>
      </c>
      <c r="AX410" s="57">
        <f>IF(ISERROR(IF(B410=C410,M410/C410,(INT(M410/B410)+(((M410-B410*INT(M410/B410)))/C410)/100))),0,(IF(B410=C410,M410/C410,(INT(M410/B410)+(((M410-B410*INT(M410/B410)))/C410)/100))))</f>
        <v>0</v>
      </c>
      <c r="AY410" s="57">
        <f>IF(ISERROR(IF(B410=C410,N410/C410,IF((INT(N410/B410)+(((N410-B410*INT(N410/B410)))/C410)/100)&lt;0,(INT(N410/B410)+(((N410-B410*INT(N410/B410)))/C410)/100)+(1-(B410/C410/100)),(INT(N410/B410)+(((N410-B410*INT(N410/B410)))/C410)/100)))),0,IF(B410=C410,N410/C410,IF((INT(N410/B410)+(((N410-B410*INT(N410/B410)))/C410)/100)&lt;0,(INT(N410/B410)+(((N410-B410*INT(N410/B410)))/C410)/100)+(1-(B410/C410/100)),(INT(N410/B410)+(((N410-B410*INT(N410/B410)))/C410)/100))))</f>
        <v>1.1299999999999999</v>
      </c>
      <c r="AZ410" s="57">
        <f>IF(ISERROR(IF(B410=C410,O410/C410,(INT(O410/B410)+(((O410-B410*INT(O410/B410)))/C410)/100))),0,(IF(B410=C410,O410/C410,(INT(O410/B410)+(((O410-B410*INT(O410/B410)))/C410)/100))))</f>
        <v>1.1299999999999999</v>
      </c>
      <c r="BA410" s="57">
        <f>IF(ISERROR(IF(B410=C410,P410/C410,IF((INT(P410/B410)+(((P410-B410*INT(P410/B410)))/C410)/100)&lt;0,(INT(P410/B410)+(((P410-B410*INT(P410/B410)))/C410)/100)+(1-(B410/C410/100)),(INT(P410/B410)+(((P410-B410*INT(P410/B410)))/C410)/100)))),0,IF(B410=C410,P410/C410,IF((INT(P410/B410)+(((P410-B410*INT(P410/B410)))/C410)/100)&lt;0,(INT(P410/B410)+(((P410-B410*INT(P410/B410)))/C410)/100)+(1-(B410/C410/100)),(INT(P410/B410)+(((P410-B410*INT(P410/B410)))/C410)/100))))</f>
        <v>0</v>
      </c>
      <c r="BB410" s="28">
        <f>R410</f>
        <v>195</v>
      </c>
      <c r="BC410" s="28">
        <f>S410</f>
        <v>0</v>
      </c>
      <c r="BD410" s="28">
        <f>AF410</f>
        <v>1795.75</v>
      </c>
      <c r="BE410" s="28">
        <f>T410</f>
        <v>0</v>
      </c>
      <c r="BG410" s="57">
        <f>IF(ISERROR(IF(B410=C410,V410/C410,(INT(V410/B410)+(((V410-B410*INT(V410/B410)))/C410)/100))),0,(IF(B410=C410,V410/C410,(INT(V410/B410)+(((V410-B410*INT(V410/B410)))/C410)/100))))</f>
        <v>0.13</v>
      </c>
      <c r="BH410" s="57">
        <f>IF(ISERROR(IF(B410=C410,W410/C410,(INT(W410/B410)+(((W410-B410*INT(W410/B410)))/C410)/100))),0,(IF(B410=C410,W410/C410,(INT(W410/B410)+(((W410-B410*INT(W410/B410)))/C410)/100))))</f>
        <v>1</v>
      </c>
      <c r="BI410" s="57">
        <f>IF(ISERROR(IF(B410=C410,X410/C410,(INT(X410/B410)+(((X410-B410*INT(X410/B410)))/C410)/100))),0,(IF(B410=C410,X410/C410,(INT(X410/B410)+(((X410-B410*INT(X410/B410)))/C410)/100))))</f>
        <v>0</v>
      </c>
      <c r="BJ410" s="57">
        <f>IF(ISERROR(IF(B410=C410,Y410/C410,(INT(Y410/B410)+(((Y410-B410*INT(Y410/B410)))/C410)/100))),0,(IF(B410=C410,Y410/C410,(INT(Y410/B410)+(((Y410-B410*INT(Y410/B410)))/C410)/100))))</f>
        <v>0</v>
      </c>
      <c r="BL410" s="57">
        <f>IF(ISERROR(IF(B410=C410,AA410/C410,(INT(AA410/B410)+(((AA410-B410*INT(AA410/B410)))/C410)/100))),0,(IF(B410=C410,AA410/C410,(INT(AA410/B410)+(((AA410-B410*INT(AA410/B410)))/C410)/100))))</f>
        <v>0.13</v>
      </c>
      <c r="BM410" s="57">
        <f>IF(ISERROR(IF(B410=C410,AB410/C410,(INT(AB410/B410)+(((AB410-B410*INT(AB410/B410)))/C410)/100))),0,(IF(B410=C410,AB410/C410,(INT(AB410/B410)+(((AB410-B410*INT(AB410/B410)))/C410)/100))))</f>
        <v>1</v>
      </c>
      <c r="BN410" s="57">
        <f>IF(ISERROR(IF(B410=C410,AC410/C410,(INT(AC410/B410)+(((AC410-B410*INT(AC410/B410)))/C410)/100))),0,(IF(B410=C410,AC410/C410,(INT(AC410/B410)+(((AC410-B410*INT(AC410/B410)))/C410)/100))))</f>
        <v>0</v>
      </c>
      <c r="BO410" s="57">
        <f>IF(ISERROR(IF(B410=C410,AD410/C410,(INT(AD410/B410)+(((AD410-B410*INT(AD410/B410)))/C410)/100))),0,(IF(B410=C410,AD410/C410,(INT(AD410/B410)+(((AD410-B410*INT(AD410/B410)))/C410)/100))))</f>
        <v>0</v>
      </c>
      <c r="BQ410" s="155" t="s">
        <v>205</v>
      </c>
    </row>
    <row r="411" spans="1:69" x14ac:dyDescent="0.35">
      <c r="A411" s="94" t="s">
        <v>217</v>
      </c>
      <c r="B411" s="113">
        <v>750</v>
      </c>
      <c r="C411" s="113">
        <v>30</v>
      </c>
      <c r="D411" s="28">
        <f>SUM(AA411:AD411)</f>
        <v>1560</v>
      </c>
      <c r="E411" s="113">
        <v>0</v>
      </c>
      <c r="F411" s="113">
        <v>0</v>
      </c>
      <c r="G411" s="28">
        <f>SUM(D411:F411)</f>
        <v>1560</v>
      </c>
      <c r="H411" s="164">
        <v>0</v>
      </c>
      <c r="I411" s="113">
        <v>0</v>
      </c>
      <c r="J411" s="125">
        <v>0</v>
      </c>
      <c r="K411" s="113">
        <v>0</v>
      </c>
      <c r="L411" s="113">
        <v>0</v>
      </c>
      <c r="M411" s="113">
        <v>0</v>
      </c>
      <c r="N411" s="28">
        <f>G411-SUM(H411:M411)</f>
        <v>1560</v>
      </c>
      <c r="O411" s="28">
        <f>SUM(V411:Y411)</f>
        <v>1560</v>
      </c>
      <c r="P411" s="28">
        <f>O411-N411</f>
        <v>0</v>
      </c>
      <c r="Q411" s="61" t="str">
        <f>IF(ISERROR(P411/SUM(H411:L411)),"",P411/SUM(H411:L411))</f>
        <v/>
      </c>
      <c r="R411" s="113">
        <v>195</v>
      </c>
      <c r="S411" s="28">
        <f>IF(ISERROR(P411/C411*R411),0,(P411/C411*R411))</f>
        <v>0</v>
      </c>
      <c r="T411" s="60">
        <f>IF(ISERROR(P411/B411*AF411),0,(P411/B411*AF411))</f>
        <v>0</v>
      </c>
      <c r="V411" s="113">
        <f>2*30+750</f>
        <v>810</v>
      </c>
      <c r="W411" s="113">
        <v>750</v>
      </c>
      <c r="X411" s="113">
        <v>0</v>
      </c>
      <c r="Y411" s="113">
        <v>0</v>
      </c>
      <c r="AA411" s="113">
        <f>1*750+2*30</f>
        <v>810</v>
      </c>
      <c r="AB411" s="113">
        <f>1*750</f>
        <v>750</v>
      </c>
      <c r="AC411" s="113">
        <v>0</v>
      </c>
      <c r="AD411" s="113">
        <v>0</v>
      </c>
      <c r="AF411" s="155">
        <v>2636.3624999999997</v>
      </c>
      <c r="AG411" s="28">
        <f>G411-O411</f>
        <v>0</v>
      </c>
      <c r="AH411" s="58">
        <f>IF(ISERROR(AG411/B411*AF411),0,(AG411/B411*AF411))</f>
        <v>0</v>
      </c>
      <c r="AI411" s="28">
        <f>SUM(H411:M411)</f>
        <v>0</v>
      </c>
      <c r="AJ411" s="28">
        <f>IF(ISERROR(AI411/B411*AF411),0,(AI411/B411*AF411))</f>
        <v>0</v>
      </c>
      <c r="AK411" s="58">
        <f>IF(ISERROR(O411/B411*AF411),0,(O411/B411*AF411))</f>
        <v>5483.634</v>
      </c>
      <c r="AL411" s="28">
        <f>IF(ISERROR(H411/B411*AF411),0,(H411/B411*AF411))</f>
        <v>0</v>
      </c>
      <c r="AN411" s="51" t="str">
        <f>A411</f>
        <v xml:space="preserve">Paul Johin Single Malt </v>
      </c>
      <c r="AO411" s="57">
        <f>IF(ISERROR(IF(B411=C411,D411/C411,(INT(D411/B411)+(((D411-B411*INT(D411/B411)))/C411)/100))),0,(IF(B411=C411,D411/C411,(INT(D411/B411)+(((D411-B411*INT(D411/B411)))/C411)/100))))</f>
        <v>2.02</v>
      </c>
      <c r="AP411" s="57">
        <f>IF(ISERROR(IF(B411=C411,E411/C411,(INT(E411/B411)+(((E411-B411*INT(E411/B411)))/C411)/100))),0,(IF(B411=C411,E411/C411,(INT(E411/B411)+(((E411-B411*INT(E411/B411)))/C411)/100))))</f>
        <v>0</v>
      </c>
      <c r="AQ411" s="57">
        <f>IF(ISERROR(IF(B411=C411,F411/C411,IF((INT(F411/B411)+(((F411-B411*INT(F411/B411)))/C411)/100)&lt;0,(INT(F411/B411)+(((F411-B411*INT(F411/B411)))/C411)/100)+(1-(B411/C411/100)),(INT(F411/B411)+(((F411-B411*INT(F411/B411)))/C411)/100)))),0,IF(B411=C411,F411/C411,IF((INT(F411/B411)+(((F411-B411*INT(F411/B411)))/C411)/100)&lt;0,(INT(F411/B411)+(((F411-B411*INT(F411/B411)))/C411)/100)+(1-(B411/C411/100)),(INT(F411/B411)+(((F411-B411*INT(F411/B411)))/C411)/100))))</f>
        <v>0</v>
      </c>
      <c r="AR411" s="57">
        <f>IF(ISERROR(IF(B411=C411,G411/C411,(INT(G411/B411)+(((G411-B411*INT(G411/B411)))/C411)/100))),0,(IF(B411=C411,G411/C411,(INT(G411/B411)+(((G411-B411*INT(G411/B411)))/C411)/100))))</f>
        <v>2.02</v>
      </c>
      <c r="AS411" s="57">
        <f>IF(ISERROR(IF(B411=C411,H411/C411,(INT(H411/B411)+(((H411-B411*INT(H411/B411)))/C411)/100))),0,(IF(B411=C411,H411/C411,(INT(H411/B411)+(((H411-B411*INT(H411/B411)))/C411)/100))))</f>
        <v>0</v>
      </c>
      <c r="AT411" s="57">
        <f>IF(ISERROR(IF(B411=C411,I411/C411,(INT(I411/B411)+(((I411-B411*INT(I411/B411)))/C411)/100))),0,(IF(B411=C411,I411/C411,(INT(I411/B411)+(((I411-B411*INT(I411/B411)))/C411)/100))))</f>
        <v>0</v>
      </c>
      <c r="AU411" s="57">
        <f>IF(ISERROR(IF(B411=C411,J411/C411,(INT(J411/B411)+(((J411-B411*INT(J411/B411)))/C411)/100))),0,(IF(B411=C411,J411/C411,(INT(J411/B411)+(((J411-B411*INT(J411/B411)))/C411)/100))))</f>
        <v>0</v>
      </c>
      <c r="AV411" s="57">
        <f>IF(ISERROR(IF(B411=C411,K411/C411,IF((INT(K411/B411)+(((K411-B411*INT(K411/B411)))/C411)/100)&lt;0,(INT(K411/B411)+(((K411-B411*INT(K411/B411)))/C411)/100)+(1-(B411/C411/100)),(INT(K411/B411)+(((K411-B411*INT(K411/B411)))/C411)/100)))),0,IF(B411=C411,K411/C411,IF((INT(K411/B411)+(((K411-B411*INT(K411/B411)))/C411)/100)&lt;0,(INT(K411/B411)+(((K411-B411*INT(K411/B411)))/C411)/100)+(1-(B411/C411/100)),(INT(K411/B411)+(((K411-B411*INT(K411/B411)))/C411)/100))))</f>
        <v>0</v>
      </c>
      <c r="AW411" s="57">
        <f>IF(ISERROR(IF(B411=C411,L411/C411,(INT(L411/B411)+(((L411-B411*INT(L411/B411)))/C411)/100))),0,(IF(B411=C411,L411/C411,(INT(L411/B411)+(((L411-B411*INT(L411/B411)))/C411)/100))))</f>
        <v>0</v>
      </c>
      <c r="AX411" s="57">
        <f>IF(ISERROR(IF(B411=C411,M411/C411,(INT(M411/B411)+(((M411-B411*INT(M411/B411)))/C411)/100))),0,(IF(B411=C411,M411/C411,(INT(M411/B411)+(((M411-B411*INT(M411/B411)))/C411)/100))))</f>
        <v>0</v>
      </c>
      <c r="AY411" s="57">
        <f>IF(ISERROR(IF(B411=C411,N411/C411,IF((INT(N411/B411)+(((N411-B411*INT(N411/B411)))/C411)/100)&lt;0,(INT(N411/B411)+(((N411-B411*INT(N411/B411)))/C411)/100)+(1-(B411/C411/100)),(INT(N411/B411)+(((N411-B411*INT(N411/B411)))/C411)/100)))),0,IF(B411=C411,N411/C411,IF((INT(N411/B411)+(((N411-B411*INT(N411/B411)))/C411)/100)&lt;0,(INT(N411/B411)+(((N411-B411*INT(N411/B411)))/C411)/100)+(1-(B411/C411/100)),(INT(N411/B411)+(((N411-B411*INT(N411/B411)))/C411)/100))))</f>
        <v>2.02</v>
      </c>
      <c r="AZ411" s="57">
        <f>IF(ISERROR(IF(B411=C411,O411/C411,(INT(O411/B411)+(((O411-B411*INT(O411/B411)))/C411)/100))),0,(IF(B411=C411,O411/C411,(INT(O411/B411)+(((O411-B411*INT(O411/B411)))/C411)/100))))</f>
        <v>2.02</v>
      </c>
      <c r="BA411" s="57">
        <f>IF(ISERROR(IF(B411=C411,P411/C411,IF((INT(P411/B411)+(((P411-B411*INT(P411/B411)))/C411)/100)&lt;0,(INT(P411/B411)+(((P411-B411*INT(P411/B411)))/C411)/100)+(1-(B411/C411/100)),(INT(P411/B411)+(((P411-B411*INT(P411/B411)))/C411)/100)))),0,IF(B411=C411,P411/C411,IF((INT(P411/B411)+(((P411-B411*INT(P411/B411)))/C411)/100)&lt;0,(INT(P411/B411)+(((P411-B411*INT(P411/B411)))/C411)/100)+(1-(B411/C411/100)),(INT(P411/B411)+(((P411-B411*INT(P411/B411)))/C411)/100))))</f>
        <v>0</v>
      </c>
      <c r="BB411" s="28">
        <f>R411</f>
        <v>195</v>
      </c>
      <c r="BC411" s="28">
        <f>S411</f>
        <v>0</v>
      </c>
      <c r="BD411" s="28">
        <f>AF411</f>
        <v>2636.3624999999997</v>
      </c>
      <c r="BE411" s="28">
        <f>T411</f>
        <v>0</v>
      </c>
      <c r="BG411" s="57">
        <f>IF(ISERROR(IF(B411=C411,V411/C411,(INT(V411/B411)+(((V411-B411*INT(V411/B411)))/C411)/100))),0,(IF(B411=C411,V411/C411,(INT(V411/B411)+(((V411-B411*INT(V411/B411)))/C411)/100))))</f>
        <v>1.02</v>
      </c>
      <c r="BH411" s="57">
        <f>IF(ISERROR(IF(B411=C411,W411/C411,(INT(W411/B411)+(((W411-B411*INT(W411/B411)))/C411)/100))),0,(IF(B411=C411,W411/C411,(INT(W411/B411)+(((W411-B411*INT(W411/B411)))/C411)/100))))</f>
        <v>1</v>
      </c>
      <c r="BI411" s="57">
        <f>IF(ISERROR(IF(B411=C411,X411/C411,(INT(X411/B411)+(((X411-B411*INT(X411/B411)))/C411)/100))),0,(IF(B411=C411,X411/C411,(INT(X411/B411)+(((X411-B411*INT(X411/B411)))/C411)/100))))</f>
        <v>0</v>
      </c>
      <c r="BJ411" s="57">
        <f>IF(ISERROR(IF(B411=C411,Y411/C411,(INT(Y411/B411)+(((Y411-B411*INT(Y411/B411)))/C411)/100))),0,(IF(B411=C411,Y411/C411,(INT(Y411/B411)+(((Y411-B411*INT(Y411/B411)))/C411)/100))))</f>
        <v>0</v>
      </c>
      <c r="BL411" s="57">
        <f>IF(ISERROR(IF(B411=C411,AA411/C411,(INT(AA411/B411)+(((AA411-B411*INT(AA411/B411)))/C411)/100))),0,(IF(B411=C411,AA411/C411,(INT(AA411/B411)+(((AA411-B411*INT(AA411/B411)))/C411)/100))))</f>
        <v>1.02</v>
      </c>
      <c r="BM411" s="57">
        <f>IF(ISERROR(IF(B411=C411,AB411/C411,(INT(AB411/B411)+(((AB411-B411*INT(AB411/B411)))/C411)/100))),0,(IF(B411=C411,AB411/C411,(INT(AB411/B411)+(((AB411-B411*INT(AB411/B411)))/C411)/100))))</f>
        <v>1</v>
      </c>
      <c r="BN411" s="57">
        <f>IF(ISERROR(IF(B411=C411,AC411/C411,(INT(AC411/B411)+(((AC411-B411*INT(AC411/B411)))/C411)/100))),0,(IF(B411=C411,AC411/C411,(INT(AC411/B411)+(((AC411-B411*INT(AC411/B411)))/C411)/100))))</f>
        <v>0</v>
      </c>
      <c r="BO411" s="57">
        <f>IF(ISERROR(IF(B411=C411,AD411/C411,(INT(AD411/B411)+(((AD411-B411*INT(AD411/B411)))/C411)/100))),0,(IF(B411=C411,AD411/C411,(INT(AD411/B411)+(((AD411-B411*INT(AD411/B411)))/C411)/100))))</f>
        <v>0</v>
      </c>
      <c r="BQ411" s="155" t="s">
        <v>215</v>
      </c>
    </row>
    <row r="412" spans="1:69" x14ac:dyDescent="0.35">
      <c r="A412" s="134" t="s">
        <v>216</v>
      </c>
      <c r="B412" s="113">
        <v>750</v>
      </c>
      <c r="C412" s="113">
        <v>30</v>
      </c>
      <c r="D412" s="28">
        <f>SUM(AA412:AD412)</f>
        <v>5580</v>
      </c>
      <c r="E412" s="113">
        <v>0</v>
      </c>
      <c r="F412" s="113">
        <v>0</v>
      </c>
      <c r="G412" s="28">
        <f>SUM(D412:F412)</f>
        <v>5580</v>
      </c>
      <c r="H412" s="125">
        <v>0</v>
      </c>
      <c r="I412" s="113">
        <v>0</v>
      </c>
      <c r="J412" s="125">
        <v>0</v>
      </c>
      <c r="K412" s="113">
        <v>0</v>
      </c>
      <c r="L412" s="113">
        <v>0</v>
      </c>
      <c r="M412" s="113">
        <v>0</v>
      </c>
      <c r="N412" s="28">
        <f>G412-SUM(H412:M412)</f>
        <v>5580</v>
      </c>
      <c r="O412" s="28">
        <f>SUM(V412:Y412)</f>
        <v>5580</v>
      </c>
      <c r="P412" s="28">
        <f>O412-N412</f>
        <v>0</v>
      </c>
      <c r="Q412" s="61" t="str">
        <f>IF(ISERROR(P412/SUM(H412:L412)),"",P412/SUM(H412:L412))</f>
        <v/>
      </c>
      <c r="R412" s="113">
        <v>135</v>
      </c>
      <c r="S412" s="28">
        <f>IF(ISERROR(P412/C412*R412),0,(P412/C412*R412))</f>
        <v>0</v>
      </c>
      <c r="T412" s="60">
        <f>IF(ISERROR(P412/B412*AF412),0,(P412/B412*AF412))</f>
        <v>0</v>
      </c>
      <c r="V412" s="113">
        <f>2*750+11*30</f>
        <v>1830</v>
      </c>
      <c r="W412" s="113">
        <f>5*750</f>
        <v>3750</v>
      </c>
      <c r="X412" s="113">
        <v>0</v>
      </c>
      <c r="Y412" s="113">
        <v>0</v>
      </c>
      <c r="AA412" s="113">
        <f>2*750+11*30</f>
        <v>1830</v>
      </c>
      <c r="AB412" s="113">
        <f>5*750</f>
        <v>3750</v>
      </c>
      <c r="AC412" s="113">
        <v>0</v>
      </c>
      <c r="AD412" s="113">
        <v>0</v>
      </c>
      <c r="AF412" s="155">
        <v>722.85</v>
      </c>
      <c r="AG412" s="28">
        <f>G412-O412</f>
        <v>0</v>
      </c>
      <c r="AH412" s="58">
        <f>IF(ISERROR(AG412/B412*AF412),0,(AG412/B412*AF412))</f>
        <v>0</v>
      </c>
      <c r="AI412" s="28">
        <f>SUM(H412:M412)</f>
        <v>0</v>
      </c>
      <c r="AJ412" s="28">
        <f>IF(ISERROR(AI412/B412*AF412),0,(AI412/B412*AF412))</f>
        <v>0</v>
      </c>
      <c r="AK412" s="58">
        <f>IF(ISERROR(O412/B412*AF412),0,(O412/B412*AF412))</f>
        <v>5378.0040000000008</v>
      </c>
      <c r="AL412" s="28">
        <f>IF(ISERROR(H412/B412*AF412),0,(H412/B412*AF412))</f>
        <v>0</v>
      </c>
      <c r="AN412" s="51" t="str">
        <f>A412</f>
        <v>Royal Challenges</v>
      </c>
      <c r="AO412" s="57">
        <f>IF(ISERROR(IF(B412=C412,D412/C412,(INT(D412/B412)+(((D412-B412*INT(D412/B412)))/C412)/100))),0,(IF(B412=C412,D412/C412,(INT(D412/B412)+(((D412-B412*INT(D412/B412)))/C412)/100))))</f>
        <v>7.11</v>
      </c>
      <c r="AP412" s="57">
        <f>IF(ISERROR(IF(B412=C412,E412/C412,(INT(E412/B412)+(((E412-B412*INT(E412/B412)))/C412)/100))),0,(IF(B412=C412,E412/C412,(INT(E412/B412)+(((E412-B412*INT(E412/B412)))/C412)/100))))</f>
        <v>0</v>
      </c>
      <c r="AQ412" s="57">
        <f>IF(ISERROR(IF(B412=C412,F412/C412,IF((INT(F412/B412)+(((F412-B412*INT(F412/B412)))/C412)/100)&lt;0,(INT(F412/B412)+(((F412-B412*INT(F412/B412)))/C412)/100)+(1-(B412/C412/100)),(INT(F412/B412)+(((F412-B412*INT(F412/B412)))/C412)/100)))),0,IF(B412=C412,F412/C412,IF((INT(F412/B412)+(((F412-B412*INT(F412/B412)))/C412)/100)&lt;0,(INT(F412/B412)+(((F412-B412*INT(F412/B412)))/C412)/100)+(1-(B412/C412/100)),(INT(F412/B412)+(((F412-B412*INT(F412/B412)))/C412)/100))))</f>
        <v>0</v>
      </c>
      <c r="AR412" s="57">
        <f>IF(ISERROR(IF(B412=C412,G412/C412,(INT(G412/B412)+(((G412-B412*INT(G412/B412)))/C412)/100))),0,(IF(B412=C412,G412/C412,(INT(G412/B412)+(((G412-B412*INT(G412/B412)))/C412)/100))))</f>
        <v>7.11</v>
      </c>
      <c r="AS412" s="57">
        <f>IF(ISERROR(IF(B412=C412,H412/C412,(INT(H412/B412)+(((H412-B412*INT(H412/B412)))/C412)/100))),0,(IF(B412=C412,H412/C412,(INT(H412/B412)+(((H412-B412*INT(H412/B412)))/C412)/100))))</f>
        <v>0</v>
      </c>
      <c r="AT412" s="57">
        <f>IF(ISERROR(IF(B412=C412,I412/C412,(INT(I412/B412)+(((I412-B412*INT(I412/B412)))/C412)/100))),0,(IF(B412=C412,I412/C412,(INT(I412/B412)+(((I412-B412*INT(I412/B412)))/C412)/100))))</f>
        <v>0</v>
      </c>
      <c r="AU412" s="57">
        <f>IF(ISERROR(IF(B412=C412,J412/C412,(INT(J412/B412)+(((J412-B412*INT(J412/B412)))/C412)/100))),0,(IF(B412=C412,J412/C412,(INT(J412/B412)+(((J412-B412*INT(J412/B412)))/C412)/100))))</f>
        <v>0</v>
      </c>
      <c r="AV412" s="57">
        <f>IF(ISERROR(IF(B412=C412,K412/C412,IF((INT(K412/B412)+(((K412-B412*INT(K412/B412)))/C412)/100)&lt;0,(INT(K412/B412)+(((K412-B412*INT(K412/B412)))/C412)/100)+(1-(B412/C412/100)),(INT(K412/B412)+(((K412-B412*INT(K412/B412)))/C412)/100)))),0,IF(B412=C412,K412/C412,IF((INT(K412/B412)+(((K412-B412*INT(K412/B412)))/C412)/100)&lt;0,(INT(K412/B412)+(((K412-B412*INT(K412/B412)))/C412)/100)+(1-(B412/C412/100)),(INT(K412/B412)+(((K412-B412*INT(K412/B412)))/C412)/100))))</f>
        <v>0</v>
      </c>
      <c r="AW412" s="57">
        <f>IF(ISERROR(IF(B412=C412,L412/C412,(INT(L412/B412)+(((L412-B412*INT(L412/B412)))/C412)/100))),0,(IF(B412=C412,L412/C412,(INT(L412/B412)+(((L412-B412*INT(L412/B412)))/C412)/100))))</f>
        <v>0</v>
      </c>
      <c r="AX412" s="57">
        <f>IF(ISERROR(IF(B412=C412,M412/C412,(INT(M412/B412)+(((M412-B412*INT(M412/B412)))/C412)/100))),0,(IF(B412=C412,M412/C412,(INT(M412/B412)+(((M412-B412*INT(M412/B412)))/C412)/100))))</f>
        <v>0</v>
      </c>
      <c r="AY412" s="57">
        <f>IF(ISERROR(IF(B412=C412,N412/C412,IF((INT(N412/B412)+(((N412-B412*INT(N412/B412)))/C412)/100)&lt;0,(INT(N412/B412)+(((N412-B412*INT(N412/B412)))/C412)/100)+(1-(B412/C412/100)),(INT(N412/B412)+(((N412-B412*INT(N412/B412)))/C412)/100)))),0,IF(B412=C412,N412/C412,IF((INT(N412/B412)+(((N412-B412*INT(N412/B412)))/C412)/100)&lt;0,(INT(N412/B412)+(((N412-B412*INT(N412/B412)))/C412)/100)+(1-(B412/C412/100)),(INT(N412/B412)+(((N412-B412*INT(N412/B412)))/C412)/100))))</f>
        <v>7.11</v>
      </c>
      <c r="AZ412" s="57">
        <f>IF(ISERROR(IF(B412=C412,O412/C412,(INT(O412/B412)+(((O412-B412*INT(O412/B412)))/C412)/100))),0,(IF(B412=C412,O412/C412,(INT(O412/B412)+(((O412-B412*INT(O412/B412)))/C412)/100))))</f>
        <v>7.11</v>
      </c>
      <c r="BA412" s="57">
        <f>IF(ISERROR(IF(B412=C412,P412/C412,IF((INT(P412/B412)+(((P412-B412*INT(P412/B412)))/C412)/100)&lt;0,(INT(P412/B412)+(((P412-B412*INT(P412/B412)))/C412)/100)+(1-(B412/C412/100)),(INT(P412/B412)+(((P412-B412*INT(P412/B412)))/C412)/100)))),0,IF(B412=C412,P412/C412,IF((INT(P412/B412)+(((P412-B412*INT(P412/B412)))/C412)/100)&lt;0,(INT(P412/B412)+(((P412-B412*INT(P412/B412)))/C412)/100)+(1-(B412/C412/100)),(INT(P412/B412)+(((P412-B412*INT(P412/B412)))/C412)/100))))</f>
        <v>0</v>
      </c>
      <c r="BB412" s="28">
        <f>R412</f>
        <v>135</v>
      </c>
      <c r="BC412" s="28">
        <f>S412</f>
        <v>0</v>
      </c>
      <c r="BD412" s="28">
        <f>AF412</f>
        <v>722.85</v>
      </c>
      <c r="BE412" s="28">
        <f>T412</f>
        <v>0</v>
      </c>
      <c r="BG412" s="57">
        <f>IF(ISERROR(IF(B412=C412,V412/C412,(INT(V412/B412)+(((V412-B412*INT(V412/B412)))/C412)/100))),0,(IF(B412=C412,V412/C412,(INT(V412/B412)+(((V412-B412*INT(V412/B412)))/C412)/100))))</f>
        <v>2.11</v>
      </c>
      <c r="BH412" s="57">
        <f>IF(ISERROR(IF(B412=C412,W412/C412,(INT(W412/B412)+(((W412-B412*INT(W412/B412)))/C412)/100))),0,(IF(B412=C412,W412/C412,(INT(W412/B412)+(((W412-B412*INT(W412/B412)))/C412)/100))))</f>
        <v>5</v>
      </c>
      <c r="BI412" s="57">
        <f>IF(ISERROR(IF(B412=C412,X412/C412,(INT(X412/B412)+(((X412-B412*INT(X412/B412)))/C412)/100))),0,(IF(B412=C412,X412/C412,(INT(X412/B412)+(((X412-B412*INT(X412/B412)))/C412)/100))))</f>
        <v>0</v>
      </c>
      <c r="BJ412" s="57">
        <f>IF(ISERROR(IF(B412=C412,Y412/C412,(INT(Y412/B412)+(((Y412-B412*INT(Y412/B412)))/C412)/100))),0,(IF(B412=C412,Y412/C412,(INT(Y412/B412)+(((Y412-B412*INT(Y412/B412)))/C412)/100))))</f>
        <v>0</v>
      </c>
      <c r="BL412" s="57">
        <f>IF(ISERROR(IF(B412=C412,AA412/C412,(INT(AA412/B412)+(((AA412-B412*INT(AA412/B412)))/C412)/100))),0,(IF(B412=C412,AA412/C412,(INT(AA412/B412)+(((AA412-B412*INT(AA412/B412)))/C412)/100))))</f>
        <v>2.11</v>
      </c>
      <c r="BM412" s="57">
        <f>IF(ISERROR(IF(B412=C412,AB412/C412,(INT(AB412/B412)+(((AB412-B412*INT(AB412/B412)))/C412)/100))),0,(IF(B412=C412,AB412/C412,(INT(AB412/B412)+(((AB412-B412*INT(AB412/B412)))/C412)/100))))</f>
        <v>5</v>
      </c>
      <c r="BN412" s="57">
        <f>IF(ISERROR(IF(B412=C412,AC412/C412,(INT(AC412/B412)+(((AC412-B412*INT(AC412/B412)))/C412)/100))),0,(IF(B412=C412,AC412/C412,(INT(AC412/B412)+(((AC412-B412*INT(AC412/B412)))/C412)/100))))</f>
        <v>0</v>
      </c>
      <c r="BO412" s="57">
        <f>IF(ISERROR(IF(B412=C412,AD412/C412,(INT(AD412/B412)+(((AD412-B412*INT(AD412/B412)))/C412)/100))),0,(IF(B412=C412,AD412/C412,(INT(AD412/B412)+(((AD412-B412*INT(AD412/B412)))/C412)/100))))</f>
        <v>0</v>
      </c>
      <c r="BQ412" s="155" t="s">
        <v>215</v>
      </c>
    </row>
    <row r="413" spans="1:69" x14ac:dyDescent="0.35">
      <c r="A413" s="134" t="s">
        <v>214</v>
      </c>
      <c r="B413" s="113">
        <v>750</v>
      </c>
      <c r="C413" s="113">
        <v>30</v>
      </c>
      <c r="D413" s="28">
        <f>SUM(AA413:AD413)</f>
        <v>0</v>
      </c>
      <c r="E413" s="113">
        <v>0</v>
      </c>
      <c r="F413" s="113">
        <v>0</v>
      </c>
      <c r="G413" s="28">
        <f>SUM(D413:F413)</f>
        <v>0</v>
      </c>
      <c r="H413" s="125">
        <v>0</v>
      </c>
      <c r="I413" s="113">
        <v>0</v>
      </c>
      <c r="J413" s="125">
        <v>0</v>
      </c>
      <c r="K413" s="113">
        <v>0</v>
      </c>
      <c r="L413" s="113">
        <v>0</v>
      </c>
      <c r="M413" s="113">
        <v>0</v>
      </c>
      <c r="N413" s="28">
        <f>G413-SUM(H413:M413)</f>
        <v>0</v>
      </c>
      <c r="O413" s="28">
        <f>SUM(V413:Y413)</f>
        <v>0</v>
      </c>
      <c r="P413" s="28">
        <f>O413-N413</f>
        <v>0</v>
      </c>
      <c r="Q413" s="61" t="str">
        <f>IF(ISERROR(P413/SUM(H413:L413)),"",P413/SUM(H413:L413))</f>
        <v/>
      </c>
      <c r="R413" s="113">
        <v>135</v>
      </c>
      <c r="S413" s="28">
        <f>IF(ISERROR(P413/C413*R413),0,(P413/C413*R413))</f>
        <v>0</v>
      </c>
      <c r="T413" s="60">
        <f>IF(ISERROR(P413/B413*AF413),0,(P413/B413*AF413))</f>
        <v>0</v>
      </c>
      <c r="V413" s="113">
        <v>0</v>
      </c>
      <c r="W413" s="113">
        <v>0</v>
      </c>
      <c r="X413" s="113">
        <v>0</v>
      </c>
      <c r="Y413" s="113">
        <v>0</v>
      </c>
      <c r="AA413" s="113">
        <v>0</v>
      </c>
      <c r="AB413" s="113">
        <v>0</v>
      </c>
      <c r="AC413" s="113">
        <v>0</v>
      </c>
      <c r="AD413" s="113">
        <v>0</v>
      </c>
      <c r="AF413" s="155">
        <v>610.875</v>
      </c>
      <c r="AG413" s="28">
        <f>G413-O413</f>
        <v>0</v>
      </c>
      <c r="AH413" s="58">
        <f>IF(ISERROR(AG413/B413*AF413),0,(AG413/B413*AF413))</f>
        <v>0</v>
      </c>
      <c r="AI413" s="28">
        <f>SUM(H413:M413)</f>
        <v>0</v>
      </c>
      <c r="AJ413" s="28">
        <f>IF(ISERROR(AI413/B413*AF413),0,(AI413/B413*AF413))</f>
        <v>0</v>
      </c>
      <c r="AK413" s="58">
        <f>IF(ISERROR(O413/B413*AF413),0,(O413/B413*AF413))</f>
        <v>0</v>
      </c>
      <c r="AL413" s="28">
        <f>IF(ISERROR(H413/B413*AF413),0,(H413/B413*AF413))</f>
        <v>0</v>
      </c>
      <c r="AN413" s="51" t="str">
        <f>A413</f>
        <v>Fuel Vodka</v>
      </c>
      <c r="AO413" s="57">
        <f>IF(ISERROR(IF(B413=C413,D413/C413,(INT(D413/B413)+(((D413-B413*INT(D413/B413)))/C413)/100))),0,(IF(B413=C413,D413/C413,(INT(D413/B413)+(((D413-B413*INT(D413/B413)))/C413)/100))))</f>
        <v>0</v>
      </c>
      <c r="AP413" s="57">
        <f>IF(ISERROR(IF(B413=C413,E413/C413,(INT(E413/B413)+(((E413-B413*INT(E413/B413)))/C413)/100))),0,(IF(B413=C413,E413/C413,(INT(E413/B413)+(((E413-B413*INT(E413/B413)))/C413)/100))))</f>
        <v>0</v>
      </c>
      <c r="AQ413" s="57">
        <f>IF(ISERROR(IF(B413=C413,F413/C413,IF((INT(F413/B413)+(((F413-B413*INT(F413/B413)))/C413)/100)&lt;0,(INT(F413/B413)+(((F413-B413*INT(F413/B413)))/C413)/100)+(1-(B413/C413/100)),(INT(F413/B413)+(((F413-B413*INT(F413/B413)))/C413)/100)))),0,IF(B413=C413,F413/C413,IF((INT(F413/B413)+(((F413-B413*INT(F413/B413)))/C413)/100)&lt;0,(INT(F413/B413)+(((F413-B413*INT(F413/B413)))/C413)/100)+(1-(B413/C413/100)),(INT(F413/B413)+(((F413-B413*INT(F413/B413)))/C413)/100))))</f>
        <v>0</v>
      </c>
      <c r="AR413" s="57">
        <f>IF(ISERROR(IF(B413=C413,G413/C413,(INT(G413/B413)+(((G413-B413*INT(G413/B413)))/C413)/100))),0,(IF(B413=C413,G413/C413,(INT(G413/B413)+(((G413-B413*INT(G413/B413)))/C413)/100))))</f>
        <v>0</v>
      </c>
      <c r="AS413" s="57">
        <f>IF(ISERROR(IF(B413=C413,H413/C413,(INT(H413/B413)+(((H413-B413*INT(H413/B413)))/C413)/100))),0,(IF(B413=C413,H413/C413,(INT(H413/B413)+(((H413-B413*INT(H413/B413)))/C413)/100))))</f>
        <v>0</v>
      </c>
      <c r="AT413" s="57">
        <f>IF(ISERROR(IF(B413=C413,I413/C413,(INT(I413/B413)+(((I413-B413*INT(I413/B413)))/C413)/100))),0,(IF(B413=C413,I413/C413,(INT(I413/B413)+(((I413-B413*INT(I413/B413)))/C413)/100))))</f>
        <v>0</v>
      </c>
      <c r="AU413" s="57">
        <f>IF(ISERROR(IF(B413=C413,J413/C413,(INT(J413/B413)+(((J413-B413*INT(J413/B413)))/C413)/100))),0,(IF(B413=C413,J413/C413,(INT(J413/B413)+(((J413-B413*INT(J413/B413)))/C413)/100))))</f>
        <v>0</v>
      </c>
      <c r="AV413" s="57">
        <f>IF(ISERROR(IF(B413=C413,K413/C413,IF((INT(K413/B413)+(((K413-B413*INT(K413/B413)))/C413)/100)&lt;0,(INT(K413/B413)+(((K413-B413*INT(K413/B413)))/C413)/100)+(1-(B413/C413/100)),(INT(K413/B413)+(((K413-B413*INT(K413/B413)))/C413)/100)))),0,IF(B413=C413,K413/C413,IF((INT(K413/B413)+(((K413-B413*INT(K413/B413)))/C413)/100)&lt;0,(INT(K413/B413)+(((K413-B413*INT(K413/B413)))/C413)/100)+(1-(B413/C413/100)),(INT(K413/B413)+(((K413-B413*INT(K413/B413)))/C413)/100))))</f>
        <v>0</v>
      </c>
      <c r="AW413" s="57">
        <f>IF(ISERROR(IF(B413=C413,L413/C413,(INT(L413/B413)+(((L413-B413*INT(L413/B413)))/C413)/100))),0,(IF(B413=C413,L413/C413,(INT(L413/B413)+(((L413-B413*INT(L413/B413)))/C413)/100))))</f>
        <v>0</v>
      </c>
      <c r="AX413" s="57">
        <f>IF(ISERROR(IF(B413=C413,M413/C413,(INT(M413/B413)+(((M413-B413*INT(M413/B413)))/C413)/100))),0,(IF(B413=C413,M413/C413,(INT(M413/B413)+(((M413-B413*INT(M413/B413)))/C413)/100))))</f>
        <v>0</v>
      </c>
      <c r="AY413" s="57">
        <f>IF(ISERROR(IF(B413=C413,N413/C413,IF((INT(N413/B413)+(((N413-B413*INT(N413/B413)))/C413)/100)&lt;0,(INT(N413/B413)+(((N413-B413*INT(N413/B413)))/C413)/100)+(1-(B413/C413/100)),(INT(N413/B413)+(((N413-B413*INT(N413/B413)))/C413)/100)))),0,IF(B413=C413,N413/C413,IF((INT(N413/B413)+(((N413-B413*INT(N413/B413)))/C413)/100)&lt;0,(INT(N413/B413)+(((N413-B413*INT(N413/B413)))/C413)/100)+(1-(B413/C413/100)),(INT(N413/B413)+(((N413-B413*INT(N413/B413)))/C413)/100))))</f>
        <v>0</v>
      </c>
      <c r="AZ413" s="57">
        <f>IF(ISERROR(IF(B413=C413,O413/C413,(INT(O413/B413)+(((O413-B413*INT(O413/B413)))/C413)/100))),0,(IF(B413=C413,O413/C413,(INT(O413/B413)+(((O413-B413*INT(O413/B413)))/C413)/100))))</f>
        <v>0</v>
      </c>
      <c r="BA413" s="57">
        <f>IF(ISERROR(IF(B413=C413,P413/C413,IF((INT(P413/B413)+(((P413-B413*INT(P413/B413)))/C413)/100)&lt;0,(INT(P413/B413)+(((P413-B413*INT(P413/B413)))/C413)/100)+(1-(B413/C413/100)),(INT(P413/B413)+(((P413-B413*INT(P413/B413)))/C413)/100)))),0,IF(B413=C413,P413/C413,IF((INT(P413/B413)+(((P413-B413*INT(P413/B413)))/C413)/100)&lt;0,(INT(P413/B413)+(((P413-B413*INT(P413/B413)))/C413)/100)+(1-(B413/C413/100)),(INT(P413/B413)+(((P413-B413*INT(P413/B413)))/C413)/100))))</f>
        <v>0</v>
      </c>
      <c r="BB413" s="28">
        <f>R413</f>
        <v>135</v>
      </c>
      <c r="BC413" s="28">
        <f>S413</f>
        <v>0</v>
      </c>
      <c r="BD413" s="28">
        <f>AF413</f>
        <v>610.875</v>
      </c>
      <c r="BE413" s="28">
        <f>T413</f>
        <v>0</v>
      </c>
      <c r="BG413" s="57">
        <f>IF(ISERROR(IF(B413=C413,V413/C413,(INT(V413/B413)+(((V413-B413*INT(V413/B413)))/C413)/100))),0,(IF(B413=C413,V413/C413,(INT(V413/B413)+(((V413-B413*INT(V413/B413)))/C413)/100))))</f>
        <v>0</v>
      </c>
      <c r="BH413" s="57">
        <f>IF(ISERROR(IF(B413=C413,W413/C413,(INT(W413/B413)+(((W413-B413*INT(W413/B413)))/C413)/100))),0,(IF(B413=C413,W413/C413,(INT(W413/B413)+(((W413-B413*INT(W413/B413)))/C413)/100))))</f>
        <v>0</v>
      </c>
      <c r="BI413" s="57">
        <f>IF(ISERROR(IF(B413=C413,X413/C413,(INT(X413/B413)+(((X413-B413*INT(X413/B413)))/C413)/100))),0,(IF(B413=C413,X413/C413,(INT(X413/B413)+(((X413-B413*INT(X413/B413)))/C413)/100))))</f>
        <v>0</v>
      </c>
      <c r="BJ413" s="57">
        <f>IF(ISERROR(IF(B413=C413,Y413/C413,(INT(Y413/B413)+(((Y413-B413*INT(Y413/B413)))/C413)/100))),0,(IF(B413=C413,Y413/C413,(INT(Y413/B413)+(((Y413-B413*INT(Y413/B413)))/C413)/100))))</f>
        <v>0</v>
      </c>
      <c r="BL413" s="57">
        <f>IF(ISERROR(IF(B413=C413,AA413/C413,(INT(AA413/B413)+(((AA413-B413*INT(AA413/B413)))/C413)/100))),0,(IF(B413=C413,AA413/C413,(INT(AA413/B413)+(((AA413-B413*INT(AA413/B413)))/C413)/100))))</f>
        <v>0</v>
      </c>
      <c r="BM413" s="57">
        <f>IF(ISERROR(IF(B413=C413,AB413/C413,(INT(AB413/B413)+(((AB413-B413*INT(AB413/B413)))/C413)/100))),0,(IF(B413=C413,AB413/C413,(INT(AB413/B413)+(((AB413-B413*INT(AB413/B413)))/C413)/100))))</f>
        <v>0</v>
      </c>
      <c r="BN413" s="57">
        <f>IF(ISERROR(IF(B413=C413,AC413/C413,(INT(AC413/B413)+(((AC413-B413*INT(AC413/B413)))/C413)/100))),0,(IF(B413=C413,AC413/C413,(INT(AC413/B413)+(((AC413-B413*INT(AC413/B413)))/C413)/100))))</f>
        <v>0</v>
      </c>
      <c r="BO413" s="57">
        <f>IF(ISERROR(IF(B413=C413,AD413/C413,(INT(AD413/B413)+(((AD413-B413*INT(AD413/B413)))/C413)/100))),0,(IF(B413=C413,AD413/C413,(INT(AD413/B413)+(((AD413-B413*INT(AD413/B413)))/C413)/100))))</f>
        <v>0</v>
      </c>
      <c r="BQ413" s="155" t="s">
        <v>205</v>
      </c>
    </row>
    <row r="414" spans="1:69" hidden="1" x14ac:dyDescent="0.35">
      <c r="A414" s="134" t="s">
        <v>213</v>
      </c>
      <c r="B414" s="113">
        <v>750</v>
      </c>
      <c r="C414" s="113">
        <v>30</v>
      </c>
      <c r="D414" s="28">
        <f>SUM(AA414:AD414)</f>
        <v>0</v>
      </c>
      <c r="E414" s="113">
        <v>0</v>
      </c>
      <c r="F414" s="113">
        <v>0</v>
      </c>
      <c r="G414" s="28">
        <f>SUM(D414:F414)</f>
        <v>0</v>
      </c>
      <c r="H414" s="164">
        <v>0</v>
      </c>
      <c r="I414" s="113">
        <v>0</v>
      </c>
      <c r="J414" s="125">
        <v>0</v>
      </c>
      <c r="K414" s="113">
        <v>0</v>
      </c>
      <c r="L414" s="113">
        <v>0</v>
      </c>
      <c r="M414" s="113">
        <v>0</v>
      </c>
      <c r="N414" s="28">
        <f>G414-SUM(H414:M414)</f>
        <v>0</v>
      </c>
      <c r="O414" s="28">
        <f>SUM(V414:Y414)</f>
        <v>0</v>
      </c>
      <c r="P414" s="28">
        <f>O414-N414</f>
        <v>0</v>
      </c>
      <c r="Q414" s="61" t="str">
        <f>IF(ISERROR(P414/SUM(H414:L414)),"",P414/SUM(H414:L414))</f>
        <v/>
      </c>
      <c r="R414" s="113">
        <v>135</v>
      </c>
      <c r="S414" s="28">
        <f>IF(ISERROR(P414/C414*R414),0,(P414/C414*R414))</f>
        <v>0</v>
      </c>
      <c r="T414" s="60">
        <f>IF(ISERROR(P414/B414*AF414),0,(P414/B414*AF414))</f>
        <v>0</v>
      </c>
      <c r="V414" s="113">
        <v>0</v>
      </c>
      <c r="W414" s="113">
        <v>0</v>
      </c>
      <c r="X414" s="113">
        <v>0</v>
      </c>
      <c r="Y414" s="113">
        <v>0</v>
      </c>
      <c r="AA414" s="113">
        <v>0</v>
      </c>
      <c r="AB414" s="113">
        <v>0</v>
      </c>
      <c r="AC414" s="113">
        <v>0</v>
      </c>
      <c r="AD414" s="113">
        <v>0</v>
      </c>
      <c r="AF414" s="155">
        <v>937.07916666666677</v>
      </c>
      <c r="AG414" s="28">
        <f>G414-O414</f>
        <v>0</v>
      </c>
      <c r="AH414" s="58">
        <f>IF(ISERROR(AG414/B414*AF414),0,(AG414/B414*AF414))</f>
        <v>0</v>
      </c>
      <c r="AI414" s="28">
        <f>SUM(H414:M414)</f>
        <v>0</v>
      </c>
      <c r="AJ414" s="28">
        <f>IF(ISERROR(AI414/B414*AF414),0,(AI414/B414*AF414))</f>
        <v>0</v>
      </c>
      <c r="AK414" s="58">
        <f>IF(ISERROR(O414/B414*AF414),0,(O414/B414*AF414))</f>
        <v>0</v>
      </c>
      <c r="AL414" s="28">
        <f>IF(ISERROR(H414/B414*AF414),0,(H414/B414*AF414))</f>
        <v>0</v>
      </c>
      <c r="AN414" s="51" t="str">
        <f>A414</f>
        <v>Morebrandy</v>
      </c>
      <c r="AO414" s="57">
        <f>IF(ISERROR(IF(B414=C414,D414/C414,(INT(D414/B414)+(((D414-B414*INT(D414/B414)))/C414)/100))),0,(IF(B414=C414,D414/C414,(INT(D414/B414)+(((D414-B414*INT(D414/B414)))/C414)/100))))</f>
        <v>0</v>
      </c>
      <c r="AP414" s="57">
        <f>IF(ISERROR(IF(B414=C414,E414/C414,(INT(E414/B414)+(((E414-B414*INT(E414/B414)))/C414)/100))),0,(IF(B414=C414,E414/C414,(INT(E414/B414)+(((E414-B414*INT(E414/B414)))/C414)/100))))</f>
        <v>0</v>
      </c>
      <c r="AQ414" s="57">
        <f>IF(ISERROR(IF(B414=C414,F414/C414,IF((INT(F414/B414)+(((F414-B414*INT(F414/B414)))/C414)/100)&lt;0,(INT(F414/B414)+(((F414-B414*INT(F414/B414)))/C414)/100)+(1-(B414/C414/100)),(INT(F414/B414)+(((F414-B414*INT(F414/B414)))/C414)/100)))),0,IF(B414=C414,F414/C414,IF((INT(F414/B414)+(((F414-B414*INT(F414/B414)))/C414)/100)&lt;0,(INT(F414/B414)+(((F414-B414*INT(F414/B414)))/C414)/100)+(1-(B414/C414/100)),(INT(F414/B414)+(((F414-B414*INT(F414/B414)))/C414)/100))))</f>
        <v>0</v>
      </c>
      <c r="AR414" s="57">
        <f>IF(ISERROR(IF(B414=C414,G414/C414,(INT(G414/B414)+(((G414-B414*INT(G414/B414)))/C414)/100))),0,(IF(B414=C414,G414/C414,(INT(G414/B414)+(((G414-B414*INT(G414/B414)))/C414)/100))))</f>
        <v>0</v>
      </c>
      <c r="AS414" s="57">
        <f>IF(ISERROR(IF(B414=C414,H414/C414,(INT(H414/B414)+(((H414-B414*INT(H414/B414)))/C414)/100))),0,(IF(B414=C414,H414/C414,(INT(H414/B414)+(((H414-B414*INT(H414/B414)))/C414)/100))))</f>
        <v>0</v>
      </c>
      <c r="AT414" s="57">
        <f>IF(ISERROR(IF(B414=C414,I414/C414,(INT(I414/B414)+(((I414-B414*INT(I414/B414)))/C414)/100))),0,(IF(B414=C414,I414/C414,(INT(I414/B414)+(((I414-B414*INT(I414/B414)))/C414)/100))))</f>
        <v>0</v>
      </c>
      <c r="AU414" s="57">
        <f>IF(ISERROR(IF(B414=C414,J414/C414,(INT(J414/B414)+(((J414-B414*INT(J414/B414)))/C414)/100))),0,(IF(B414=C414,J414/C414,(INT(J414/B414)+(((J414-B414*INT(J414/B414)))/C414)/100))))</f>
        <v>0</v>
      </c>
      <c r="AV414" s="57">
        <f>IF(ISERROR(IF(B414=C414,K414/C414,IF((INT(K414/B414)+(((K414-B414*INT(K414/B414)))/C414)/100)&lt;0,(INT(K414/B414)+(((K414-B414*INT(K414/B414)))/C414)/100)+(1-(B414/C414/100)),(INT(K414/B414)+(((K414-B414*INT(K414/B414)))/C414)/100)))),0,IF(B414=C414,K414/C414,IF((INT(K414/B414)+(((K414-B414*INT(K414/B414)))/C414)/100)&lt;0,(INT(K414/B414)+(((K414-B414*INT(K414/B414)))/C414)/100)+(1-(B414/C414/100)),(INT(K414/B414)+(((K414-B414*INT(K414/B414)))/C414)/100))))</f>
        <v>0</v>
      </c>
      <c r="AW414" s="57">
        <f>IF(ISERROR(IF(B414=C414,L414/C414,(INT(L414/B414)+(((L414-B414*INT(L414/B414)))/C414)/100))),0,(IF(B414=C414,L414/C414,(INT(L414/B414)+(((L414-B414*INT(L414/B414)))/C414)/100))))</f>
        <v>0</v>
      </c>
      <c r="AX414" s="57">
        <f>IF(ISERROR(IF(B414=C414,M414/C414,(INT(M414/B414)+(((M414-B414*INT(M414/B414)))/C414)/100))),0,(IF(B414=C414,M414/C414,(INT(M414/B414)+(((M414-B414*INT(M414/B414)))/C414)/100))))</f>
        <v>0</v>
      </c>
      <c r="AY414" s="57">
        <f>IF(ISERROR(IF(B414=C414,N414/C414,IF((INT(N414/B414)+(((N414-B414*INT(N414/B414)))/C414)/100)&lt;0,(INT(N414/B414)+(((N414-B414*INT(N414/B414)))/C414)/100)+(1-(B414/C414/100)),(INT(N414/B414)+(((N414-B414*INT(N414/B414)))/C414)/100)))),0,IF(B414=C414,N414/C414,IF((INT(N414/B414)+(((N414-B414*INT(N414/B414)))/C414)/100)&lt;0,(INT(N414/B414)+(((N414-B414*INT(N414/B414)))/C414)/100)+(1-(B414/C414/100)),(INT(N414/B414)+(((N414-B414*INT(N414/B414)))/C414)/100))))</f>
        <v>0</v>
      </c>
      <c r="AZ414" s="57">
        <f>IF(ISERROR(IF(B414=C414,O414/C414,(INT(O414/B414)+(((O414-B414*INT(O414/B414)))/C414)/100))),0,(IF(B414=C414,O414/C414,(INT(O414/B414)+(((O414-B414*INT(O414/B414)))/C414)/100))))</f>
        <v>0</v>
      </c>
      <c r="BA414" s="57">
        <f>IF(ISERROR(IF(B414=C414,P414/C414,IF((INT(P414/B414)+(((P414-B414*INT(P414/B414)))/C414)/100)&lt;0,(INT(P414/B414)+(((P414-B414*INT(P414/B414)))/C414)/100)+(1-(B414/C414/100)),(INT(P414/B414)+(((P414-B414*INT(P414/B414)))/C414)/100)))),0,IF(B414=C414,P414/C414,IF((INT(P414/B414)+(((P414-B414*INT(P414/B414)))/C414)/100)&lt;0,(INT(P414/B414)+(((P414-B414*INT(P414/B414)))/C414)/100)+(1-(B414/C414/100)),(INT(P414/B414)+(((P414-B414*INT(P414/B414)))/C414)/100))))</f>
        <v>0</v>
      </c>
      <c r="BB414" s="28">
        <f>R414</f>
        <v>135</v>
      </c>
      <c r="BC414" s="28">
        <f>S414</f>
        <v>0</v>
      </c>
      <c r="BD414" s="28">
        <f>AF414</f>
        <v>937.07916666666677</v>
      </c>
      <c r="BE414" s="28">
        <f>T414</f>
        <v>0</v>
      </c>
      <c r="BG414" s="57">
        <f>IF(ISERROR(IF(B414=C414,V414/C414,(INT(V414/B414)+(((V414-B414*INT(V414/B414)))/C414)/100))),0,(IF(B414=C414,V414/C414,(INT(V414/B414)+(((V414-B414*INT(V414/B414)))/C414)/100))))</f>
        <v>0</v>
      </c>
      <c r="BH414" s="57">
        <f>IF(ISERROR(IF(B414=C414,W414/C414,(INT(W414/B414)+(((W414-B414*INT(W414/B414)))/C414)/100))),0,(IF(B414=C414,W414/C414,(INT(W414/B414)+(((W414-B414*INT(W414/B414)))/C414)/100))))</f>
        <v>0</v>
      </c>
      <c r="BI414" s="57">
        <f>IF(ISERROR(IF(B414=C414,X414/C414,(INT(X414/B414)+(((X414-B414*INT(X414/B414)))/C414)/100))),0,(IF(B414=C414,X414/C414,(INT(X414/B414)+(((X414-B414*INT(X414/B414)))/C414)/100))))</f>
        <v>0</v>
      </c>
      <c r="BJ414" s="57">
        <f>IF(ISERROR(IF(B414=C414,Y414/C414,(INT(Y414/B414)+(((Y414-B414*INT(Y414/B414)))/C414)/100))),0,(IF(B414=C414,Y414/C414,(INT(Y414/B414)+(((Y414-B414*INT(Y414/B414)))/C414)/100))))</f>
        <v>0</v>
      </c>
      <c r="BL414" s="57">
        <f>IF(ISERROR(IF(B414=C414,AA414/C414,(INT(AA414/B414)+(((AA414-B414*INT(AA414/B414)))/C414)/100))),0,(IF(B414=C414,AA414/C414,(INT(AA414/B414)+(((AA414-B414*INT(AA414/B414)))/C414)/100))))</f>
        <v>0</v>
      </c>
      <c r="BM414" s="57">
        <f>IF(ISERROR(IF(B414=C414,AB414/C414,(INT(AB414/B414)+(((AB414-B414*INT(AB414/B414)))/C414)/100))),0,(IF(B414=C414,AB414/C414,(INT(AB414/B414)+(((AB414-B414*INT(AB414/B414)))/C414)/100))))</f>
        <v>0</v>
      </c>
      <c r="BN414" s="57">
        <f>IF(ISERROR(IF(B414=C414,AC414/C414,(INT(AC414/B414)+(((AC414-B414*INT(AC414/B414)))/C414)/100))),0,(IF(B414=C414,AC414/C414,(INT(AC414/B414)+(((AC414-B414*INT(AC414/B414)))/C414)/100))))</f>
        <v>0</v>
      </c>
      <c r="BO414" s="57">
        <f>IF(ISERROR(IF(B414=C414,AD414/C414,(INT(AD414/B414)+(((AD414-B414*INT(AD414/B414)))/C414)/100))),0,(IF(B414=C414,AD414/C414,(INT(AD414/B414)+(((AD414-B414*INT(AD414/B414)))/C414)/100))))</f>
        <v>0</v>
      </c>
      <c r="BQ414" s="155"/>
    </row>
    <row r="415" spans="1:69" x14ac:dyDescent="0.35">
      <c r="A415" s="134" t="s">
        <v>212</v>
      </c>
      <c r="B415" s="113">
        <v>750</v>
      </c>
      <c r="C415" s="113">
        <v>30</v>
      </c>
      <c r="D415" s="28">
        <f>SUM(AA415:AD415)</f>
        <v>0</v>
      </c>
      <c r="E415" s="113">
        <v>0</v>
      </c>
      <c r="F415" s="113">
        <v>0</v>
      </c>
      <c r="G415" s="28">
        <f>SUM(D415:F415)</f>
        <v>0</v>
      </c>
      <c r="H415" s="164">
        <v>0</v>
      </c>
      <c r="I415" s="113">
        <v>0</v>
      </c>
      <c r="J415" s="125">
        <v>0</v>
      </c>
      <c r="K415" s="113">
        <v>0</v>
      </c>
      <c r="L415" s="113">
        <v>0</v>
      </c>
      <c r="M415" s="113">
        <v>0</v>
      </c>
      <c r="N415" s="28">
        <f>G415-SUM(H415:M415)</f>
        <v>0</v>
      </c>
      <c r="O415" s="28">
        <f>SUM(V415:Y415)</f>
        <v>0</v>
      </c>
      <c r="P415" s="28">
        <f>O415-N415</f>
        <v>0</v>
      </c>
      <c r="Q415" s="61" t="str">
        <f>IF(ISERROR(P415/SUM(H415:L415)),"",P415/SUM(H415:L415))</f>
        <v/>
      </c>
      <c r="R415" s="113">
        <v>135</v>
      </c>
      <c r="S415" s="28">
        <f>IF(ISERROR(P415/C415*R415),0,(P415/C415*R415))</f>
        <v>0</v>
      </c>
      <c r="T415" s="60">
        <f>IF(ISERROR(P415/B415*AF415),0,(P415/B415*AF415))</f>
        <v>0</v>
      </c>
      <c r="V415" s="113">
        <v>0</v>
      </c>
      <c r="W415" s="113">
        <v>0</v>
      </c>
      <c r="X415" s="113">
        <v>0</v>
      </c>
      <c r="Y415" s="113">
        <v>0</v>
      </c>
      <c r="AA415" s="113">
        <v>0</v>
      </c>
      <c r="AB415" s="113">
        <v>0</v>
      </c>
      <c r="AC415" s="113">
        <v>0</v>
      </c>
      <c r="AD415" s="113">
        <v>0</v>
      </c>
      <c r="AF415" s="155">
        <v>937.07916666666677</v>
      </c>
      <c r="AG415" s="28">
        <f>G415-O415</f>
        <v>0</v>
      </c>
      <c r="AH415" s="58">
        <f>IF(ISERROR(AG415/B415*AF415),0,(AG415/B415*AF415))</f>
        <v>0</v>
      </c>
      <c r="AI415" s="28">
        <f>SUM(H415:M415)</f>
        <v>0</v>
      </c>
      <c r="AJ415" s="28">
        <f>IF(ISERROR(AI415/B415*AF415),0,(AI415/B415*AF415))</f>
        <v>0</v>
      </c>
      <c r="AK415" s="58">
        <f>IF(ISERROR(O415/B415*AF415),0,(O415/B415*AF415))</f>
        <v>0</v>
      </c>
      <c r="AL415" s="28">
        <f>IF(ISERROR(H415/B415*AF415),0,(H415/B415*AF415))</f>
        <v>0</v>
      </c>
      <c r="AN415" s="51" t="str">
        <f>A415</f>
        <v>Morpheus Brandy</v>
      </c>
      <c r="AO415" s="57">
        <f>IF(ISERROR(IF(B415=C415,D415/C415,(INT(D415/B415)+(((D415-B415*INT(D415/B415)))/C415)/100))),0,(IF(B415=C415,D415/C415,(INT(D415/B415)+(((D415-B415*INT(D415/B415)))/C415)/100))))</f>
        <v>0</v>
      </c>
      <c r="AP415" s="57">
        <f>IF(ISERROR(IF(B415=C415,E415/C415,(INT(E415/B415)+(((E415-B415*INT(E415/B415)))/C415)/100))),0,(IF(B415=C415,E415/C415,(INT(E415/B415)+(((E415-B415*INT(E415/B415)))/C415)/100))))</f>
        <v>0</v>
      </c>
      <c r="AQ415" s="57">
        <f>IF(ISERROR(IF(B415=C415,F415/C415,IF((INT(F415/B415)+(((F415-B415*INT(F415/B415)))/C415)/100)&lt;0,(INT(F415/B415)+(((F415-B415*INT(F415/B415)))/C415)/100)+(1-(B415/C415/100)),(INT(F415/B415)+(((F415-B415*INT(F415/B415)))/C415)/100)))),0,IF(B415=C415,F415/C415,IF((INT(F415/B415)+(((F415-B415*INT(F415/B415)))/C415)/100)&lt;0,(INT(F415/B415)+(((F415-B415*INT(F415/B415)))/C415)/100)+(1-(B415/C415/100)),(INT(F415/B415)+(((F415-B415*INT(F415/B415)))/C415)/100))))</f>
        <v>0</v>
      </c>
      <c r="AR415" s="57">
        <f>IF(ISERROR(IF(B415=C415,G415/C415,(INT(G415/B415)+(((G415-B415*INT(G415/B415)))/C415)/100))),0,(IF(B415=C415,G415/C415,(INT(G415/B415)+(((G415-B415*INT(G415/B415)))/C415)/100))))</f>
        <v>0</v>
      </c>
      <c r="AS415" s="57">
        <f>IF(ISERROR(IF(B415=C415,H415/C415,(INT(H415/B415)+(((H415-B415*INT(H415/B415)))/C415)/100))),0,(IF(B415=C415,H415/C415,(INT(H415/B415)+(((H415-B415*INT(H415/B415)))/C415)/100))))</f>
        <v>0</v>
      </c>
      <c r="AT415" s="57">
        <f>IF(ISERROR(IF(B415=C415,I415/C415,(INT(I415/B415)+(((I415-B415*INT(I415/B415)))/C415)/100))),0,(IF(B415=C415,I415/C415,(INT(I415/B415)+(((I415-B415*INT(I415/B415)))/C415)/100))))</f>
        <v>0</v>
      </c>
      <c r="AU415" s="57">
        <f>IF(ISERROR(IF(B415=C415,J415/C415,(INT(J415/B415)+(((J415-B415*INT(J415/B415)))/C415)/100))),0,(IF(B415=C415,J415/C415,(INT(J415/B415)+(((J415-B415*INT(J415/B415)))/C415)/100))))</f>
        <v>0</v>
      </c>
      <c r="AV415" s="57">
        <f>IF(ISERROR(IF(B415=C415,K415/C415,IF((INT(K415/B415)+(((K415-B415*INT(K415/B415)))/C415)/100)&lt;0,(INT(K415/B415)+(((K415-B415*INT(K415/B415)))/C415)/100)+(1-(B415/C415/100)),(INT(K415/B415)+(((K415-B415*INT(K415/B415)))/C415)/100)))),0,IF(B415=C415,K415/C415,IF((INT(K415/B415)+(((K415-B415*INT(K415/B415)))/C415)/100)&lt;0,(INT(K415/B415)+(((K415-B415*INT(K415/B415)))/C415)/100)+(1-(B415/C415/100)),(INT(K415/B415)+(((K415-B415*INT(K415/B415)))/C415)/100))))</f>
        <v>0</v>
      </c>
      <c r="AW415" s="57">
        <f>IF(ISERROR(IF(B415=C415,L415/C415,(INT(L415/B415)+(((L415-B415*INT(L415/B415)))/C415)/100))),0,(IF(B415=C415,L415/C415,(INT(L415/B415)+(((L415-B415*INT(L415/B415)))/C415)/100))))</f>
        <v>0</v>
      </c>
      <c r="AX415" s="57">
        <f>IF(ISERROR(IF(B415=C415,M415/C415,(INT(M415/B415)+(((M415-B415*INT(M415/B415)))/C415)/100))),0,(IF(B415=C415,M415/C415,(INT(M415/B415)+(((M415-B415*INT(M415/B415)))/C415)/100))))</f>
        <v>0</v>
      </c>
      <c r="AY415" s="57">
        <f>IF(ISERROR(IF(B415=C415,N415/C415,IF((INT(N415/B415)+(((N415-B415*INT(N415/B415)))/C415)/100)&lt;0,(INT(N415/B415)+(((N415-B415*INT(N415/B415)))/C415)/100)+(1-(B415/C415/100)),(INT(N415/B415)+(((N415-B415*INT(N415/B415)))/C415)/100)))),0,IF(B415=C415,N415/C415,IF((INT(N415/B415)+(((N415-B415*INT(N415/B415)))/C415)/100)&lt;0,(INT(N415/B415)+(((N415-B415*INT(N415/B415)))/C415)/100)+(1-(B415/C415/100)),(INT(N415/B415)+(((N415-B415*INT(N415/B415)))/C415)/100))))</f>
        <v>0</v>
      </c>
      <c r="AZ415" s="57">
        <f>IF(ISERROR(IF(B415=C415,O415/C415,(INT(O415/B415)+(((O415-B415*INT(O415/B415)))/C415)/100))),0,(IF(B415=C415,O415/C415,(INT(O415/B415)+(((O415-B415*INT(O415/B415)))/C415)/100))))</f>
        <v>0</v>
      </c>
      <c r="BA415" s="57">
        <f>IF(ISERROR(IF(B415=C415,P415/C415,IF((INT(P415/B415)+(((P415-B415*INT(P415/B415)))/C415)/100)&lt;0,(INT(P415/B415)+(((P415-B415*INT(P415/B415)))/C415)/100)+(1-(B415/C415/100)),(INT(P415/B415)+(((P415-B415*INT(P415/B415)))/C415)/100)))),0,IF(B415=C415,P415/C415,IF((INT(P415/B415)+(((P415-B415*INT(P415/B415)))/C415)/100)&lt;0,(INT(P415/B415)+(((P415-B415*INT(P415/B415)))/C415)/100)+(1-(B415/C415/100)),(INT(P415/B415)+(((P415-B415*INT(P415/B415)))/C415)/100))))</f>
        <v>0</v>
      </c>
      <c r="BB415" s="28">
        <f>R415</f>
        <v>135</v>
      </c>
      <c r="BC415" s="28">
        <f>S415</f>
        <v>0</v>
      </c>
      <c r="BD415" s="28">
        <f>AF415</f>
        <v>937.07916666666677</v>
      </c>
      <c r="BE415" s="28">
        <f>T415</f>
        <v>0</v>
      </c>
      <c r="BG415" s="57">
        <f>IF(ISERROR(IF(B415=C415,V415/C415,(INT(V415/B415)+(((V415-B415*INT(V415/B415)))/C415)/100))),0,(IF(B415=C415,V415/C415,(INT(V415/B415)+(((V415-B415*INT(V415/B415)))/C415)/100))))</f>
        <v>0</v>
      </c>
      <c r="BH415" s="57">
        <f>IF(ISERROR(IF(B415=C415,W415/C415,(INT(W415/B415)+(((W415-B415*INT(W415/B415)))/C415)/100))),0,(IF(B415=C415,W415/C415,(INT(W415/B415)+(((W415-B415*INT(W415/B415)))/C415)/100))))</f>
        <v>0</v>
      </c>
      <c r="BI415" s="57">
        <f>IF(ISERROR(IF(B415=C415,X415/C415,(INT(X415/B415)+(((X415-B415*INT(X415/B415)))/C415)/100))),0,(IF(B415=C415,X415/C415,(INT(X415/B415)+(((X415-B415*INT(X415/B415)))/C415)/100))))</f>
        <v>0</v>
      </c>
      <c r="BJ415" s="57">
        <f>IF(ISERROR(IF(B415=C415,Y415/C415,(INT(Y415/B415)+(((Y415-B415*INT(Y415/B415)))/C415)/100))),0,(IF(B415=C415,Y415/C415,(INT(Y415/B415)+(((Y415-B415*INT(Y415/B415)))/C415)/100))))</f>
        <v>0</v>
      </c>
      <c r="BL415" s="57">
        <f>IF(ISERROR(IF(B415=C415,AA415/C415,(INT(AA415/B415)+(((AA415-B415*INT(AA415/B415)))/C415)/100))),0,(IF(B415=C415,AA415/C415,(INT(AA415/B415)+(((AA415-B415*INT(AA415/B415)))/C415)/100))))</f>
        <v>0</v>
      </c>
      <c r="BM415" s="57">
        <f>IF(ISERROR(IF(B415=C415,AB415/C415,(INT(AB415/B415)+(((AB415-B415*INT(AB415/B415)))/C415)/100))),0,(IF(B415=C415,AB415/C415,(INT(AB415/B415)+(((AB415-B415*INT(AB415/B415)))/C415)/100))))</f>
        <v>0</v>
      </c>
      <c r="BN415" s="57">
        <f>IF(ISERROR(IF(B415=C415,AC415/C415,(INT(AC415/B415)+(((AC415-B415*INT(AC415/B415)))/C415)/100))),0,(IF(B415=C415,AC415/C415,(INT(AC415/B415)+(((AC415-B415*INT(AC415/B415)))/C415)/100))))</f>
        <v>0</v>
      </c>
      <c r="BO415" s="57">
        <f>IF(ISERROR(IF(B415=C415,AD415/C415,(INT(AD415/B415)+(((AD415-B415*INT(AD415/B415)))/C415)/100))),0,(IF(B415=C415,AD415/C415,(INT(AD415/B415)+(((AD415-B415*INT(AD415/B415)))/C415)/100))))</f>
        <v>0</v>
      </c>
      <c r="BQ415" s="155" t="s">
        <v>211</v>
      </c>
    </row>
    <row r="416" spans="1:69" x14ac:dyDescent="0.35">
      <c r="A416" s="165" t="s">
        <v>210</v>
      </c>
      <c r="B416" s="113">
        <v>750</v>
      </c>
      <c r="C416" s="113">
        <v>30</v>
      </c>
      <c r="D416" s="28">
        <f>SUM(AA416:AD416)</f>
        <v>1500</v>
      </c>
      <c r="E416" s="113">
        <v>0</v>
      </c>
      <c r="F416" s="113">
        <v>0</v>
      </c>
      <c r="G416" s="28">
        <f>SUM(D416:F416)</f>
        <v>1500</v>
      </c>
      <c r="H416" s="125">
        <v>0</v>
      </c>
      <c r="I416" s="113">
        <v>0</v>
      </c>
      <c r="J416" s="125">
        <v>0</v>
      </c>
      <c r="K416" s="113">
        <v>0</v>
      </c>
      <c r="L416" s="113">
        <v>0</v>
      </c>
      <c r="M416" s="113">
        <v>0</v>
      </c>
      <c r="N416" s="28">
        <f>G416-SUM(H416:M416)</f>
        <v>1500</v>
      </c>
      <c r="O416" s="28">
        <f>SUM(V416:Y416)</f>
        <v>1500</v>
      </c>
      <c r="P416" s="28">
        <f>O416-N416</f>
        <v>0</v>
      </c>
      <c r="Q416" s="61" t="str">
        <f>IF(ISERROR(P416/SUM(H416:L416)),"",P416/SUM(H416:L416))</f>
        <v/>
      </c>
      <c r="R416" s="113">
        <v>175</v>
      </c>
      <c r="S416" s="28">
        <f>IF(ISERROR(P416/C416*R416),0,(P416/C416*R416))</f>
        <v>0</v>
      </c>
      <c r="T416" s="60">
        <f>IF(ISERROR(P416/B416*AF416),0,(P416/B416*AF416))</f>
        <v>0</v>
      </c>
      <c r="V416" s="113">
        <f>2*750</f>
        <v>1500</v>
      </c>
      <c r="W416" s="113">
        <v>0</v>
      </c>
      <c r="X416" s="113">
        <v>0</v>
      </c>
      <c r="Y416" s="113">
        <v>0</v>
      </c>
      <c r="AA416" s="113">
        <f>2*750</f>
        <v>1500</v>
      </c>
      <c r="AB416" s="113">
        <v>0</v>
      </c>
      <c r="AC416" s="113">
        <v>0</v>
      </c>
      <c r="AD416" s="113">
        <v>0</v>
      </c>
      <c r="AF416" s="162">
        <v>2318.1791666666668</v>
      </c>
      <c r="AG416" s="28">
        <f>G416-O416</f>
        <v>0</v>
      </c>
      <c r="AH416" s="58">
        <f>IF(ISERROR(AG416/B416*AF416),0,(AG416/B416*AF416))</f>
        <v>0</v>
      </c>
      <c r="AI416" s="28">
        <f>SUM(H416:M416)</f>
        <v>0</v>
      </c>
      <c r="AJ416" s="28">
        <f>IF(ISERROR(AI416/B416*AF416),0,(AI416/B416*AF416))</f>
        <v>0</v>
      </c>
      <c r="AK416" s="58">
        <f>IF(ISERROR(O416/B416*AF416),0,(O416/B416*AF416))</f>
        <v>4636.3583333333336</v>
      </c>
      <c r="AL416" s="28">
        <f>IF(ISERROR(H416/B416*AF416),0,(H416/B416*AF416))</f>
        <v>0</v>
      </c>
      <c r="AN416" s="51" t="str">
        <f>A416</f>
        <v>Absolut Mandrin</v>
      </c>
      <c r="AO416" s="57">
        <f>IF(ISERROR(IF(B416=C416,D416/C416,(INT(D416/B416)+(((D416-B416*INT(D416/B416)))/C416)/100))),0,(IF(B416=C416,D416/C416,(INT(D416/B416)+(((D416-B416*INT(D416/B416)))/C416)/100))))</f>
        <v>2</v>
      </c>
      <c r="AP416" s="57">
        <f>IF(ISERROR(IF(B416=C416,E416/C416,(INT(E416/B416)+(((E416-B416*INT(E416/B416)))/C416)/100))),0,(IF(B416=C416,E416/C416,(INT(E416/B416)+(((E416-B416*INT(E416/B416)))/C416)/100))))</f>
        <v>0</v>
      </c>
      <c r="AQ416" s="57">
        <f>IF(ISERROR(IF(B416=C416,F416/C416,IF((INT(F416/B416)+(((F416-B416*INT(F416/B416)))/C416)/100)&lt;0,(INT(F416/B416)+(((F416-B416*INT(F416/B416)))/C416)/100)+(1-(B416/C416/100)),(INT(F416/B416)+(((F416-B416*INT(F416/B416)))/C416)/100)))),0,IF(B416=C416,F416/C416,IF((INT(F416/B416)+(((F416-B416*INT(F416/B416)))/C416)/100)&lt;0,(INT(F416/B416)+(((F416-B416*INT(F416/B416)))/C416)/100)+(1-(B416/C416/100)),(INT(F416/B416)+(((F416-B416*INT(F416/B416)))/C416)/100))))</f>
        <v>0</v>
      </c>
      <c r="AR416" s="57">
        <f>IF(ISERROR(IF(B416=C416,G416/C416,(INT(G416/B416)+(((G416-B416*INT(G416/B416)))/C416)/100))),0,(IF(B416=C416,G416/C416,(INT(G416/B416)+(((G416-B416*INT(G416/B416)))/C416)/100))))</f>
        <v>2</v>
      </c>
      <c r="AS416" s="57">
        <f>IF(ISERROR(IF(B416=C416,H416/C416,(INT(H416/B416)+(((H416-B416*INT(H416/B416)))/C416)/100))),0,(IF(B416=C416,H416/C416,(INT(H416/B416)+(((H416-B416*INT(H416/B416)))/C416)/100))))</f>
        <v>0</v>
      </c>
      <c r="AT416" s="57">
        <f>IF(ISERROR(IF(B416=C416,I416/C416,(INT(I416/B416)+(((I416-B416*INT(I416/B416)))/C416)/100))),0,(IF(B416=C416,I416/C416,(INT(I416/B416)+(((I416-B416*INT(I416/B416)))/C416)/100))))</f>
        <v>0</v>
      </c>
      <c r="AU416" s="57">
        <f>IF(ISERROR(IF(B416=C416,J416/C416,(INT(J416/B416)+(((J416-B416*INT(J416/B416)))/C416)/100))),0,(IF(B416=C416,J416/C416,(INT(J416/B416)+(((J416-B416*INT(J416/B416)))/C416)/100))))</f>
        <v>0</v>
      </c>
      <c r="AV416" s="57">
        <f>IF(ISERROR(IF(B416=C416,K416/C416,IF((INT(K416/B416)+(((K416-B416*INT(K416/B416)))/C416)/100)&lt;0,(INT(K416/B416)+(((K416-B416*INT(K416/B416)))/C416)/100)+(1-(B416/C416/100)),(INT(K416/B416)+(((K416-B416*INT(K416/B416)))/C416)/100)))),0,IF(B416=C416,K416/C416,IF((INT(K416/B416)+(((K416-B416*INT(K416/B416)))/C416)/100)&lt;0,(INT(K416/B416)+(((K416-B416*INT(K416/B416)))/C416)/100)+(1-(B416/C416/100)),(INT(K416/B416)+(((K416-B416*INT(K416/B416)))/C416)/100))))</f>
        <v>0</v>
      </c>
      <c r="AW416" s="57">
        <f>IF(ISERROR(IF(B416=C416,L416/C416,(INT(L416/B416)+(((L416-B416*INT(L416/B416)))/C416)/100))),0,(IF(B416=C416,L416/C416,(INT(L416/B416)+(((L416-B416*INT(L416/B416)))/C416)/100))))</f>
        <v>0</v>
      </c>
      <c r="AX416" s="57">
        <f>IF(ISERROR(IF(B416=C416,M416/C416,(INT(M416/B416)+(((M416-B416*INT(M416/B416)))/C416)/100))),0,(IF(B416=C416,M416/C416,(INT(M416/B416)+(((M416-B416*INT(M416/B416)))/C416)/100))))</f>
        <v>0</v>
      </c>
      <c r="AY416" s="57">
        <f>IF(ISERROR(IF(B416=C416,N416/C416,IF((INT(N416/B416)+(((N416-B416*INT(N416/B416)))/C416)/100)&lt;0,(INT(N416/B416)+(((N416-B416*INT(N416/B416)))/C416)/100)+(1-(B416/C416/100)),(INT(N416/B416)+(((N416-B416*INT(N416/B416)))/C416)/100)))),0,IF(B416=C416,N416/C416,IF((INT(N416/B416)+(((N416-B416*INT(N416/B416)))/C416)/100)&lt;0,(INT(N416/B416)+(((N416-B416*INT(N416/B416)))/C416)/100)+(1-(B416/C416/100)),(INT(N416/B416)+(((N416-B416*INT(N416/B416)))/C416)/100))))</f>
        <v>2</v>
      </c>
      <c r="AZ416" s="57">
        <f>IF(ISERROR(IF(B416=C416,O416/C416,(INT(O416/B416)+(((O416-B416*INT(O416/B416)))/C416)/100))),0,(IF(B416=C416,O416/C416,(INT(O416/B416)+(((O416-B416*INT(O416/B416)))/C416)/100))))</f>
        <v>2</v>
      </c>
      <c r="BA416" s="57">
        <f>IF(ISERROR(IF(B416=C416,P416/C416,IF((INT(P416/B416)+(((P416-B416*INT(P416/B416)))/C416)/100)&lt;0,(INT(P416/B416)+(((P416-B416*INT(P416/B416)))/C416)/100)+(1-(B416/C416/100)),(INT(P416/B416)+(((P416-B416*INT(P416/B416)))/C416)/100)))),0,IF(B416=C416,P416/C416,IF((INT(P416/B416)+(((P416-B416*INT(P416/B416)))/C416)/100)&lt;0,(INT(P416/B416)+(((P416-B416*INT(P416/B416)))/C416)/100)+(1-(B416/C416/100)),(INT(P416/B416)+(((P416-B416*INT(P416/B416)))/C416)/100))))</f>
        <v>0</v>
      </c>
      <c r="BB416" s="28">
        <f>R416</f>
        <v>175</v>
      </c>
      <c r="BC416" s="28">
        <f>S416</f>
        <v>0</v>
      </c>
      <c r="BD416" s="28">
        <f>AF416</f>
        <v>2318.1791666666668</v>
      </c>
      <c r="BE416" s="28">
        <f>T416</f>
        <v>0</v>
      </c>
      <c r="BG416" s="57">
        <f>IF(ISERROR(IF(B416=C416,V416/C416,(INT(V416/B416)+(((V416-B416*INT(V416/B416)))/C416)/100))),0,(IF(B416=C416,V416/C416,(INT(V416/B416)+(((V416-B416*INT(V416/B416)))/C416)/100))))</f>
        <v>2</v>
      </c>
      <c r="BH416" s="57">
        <f>IF(ISERROR(IF(B416=C416,W416/C416,(INT(W416/B416)+(((W416-B416*INT(W416/B416)))/C416)/100))),0,(IF(B416=C416,W416/C416,(INT(W416/B416)+(((W416-B416*INT(W416/B416)))/C416)/100))))</f>
        <v>0</v>
      </c>
      <c r="BI416" s="57">
        <f>IF(ISERROR(IF(B416=C416,X416/C416,(INT(X416/B416)+(((X416-B416*INT(X416/B416)))/C416)/100))),0,(IF(B416=C416,X416/C416,(INT(X416/B416)+(((X416-B416*INT(X416/B416)))/C416)/100))))</f>
        <v>0</v>
      </c>
      <c r="BJ416" s="57">
        <f>IF(ISERROR(IF(B416=C416,Y416/C416,(INT(Y416/B416)+(((Y416-B416*INT(Y416/B416)))/C416)/100))),0,(IF(B416=C416,Y416/C416,(INT(Y416/B416)+(((Y416-B416*INT(Y416/B416)))/C416)/100))))</f>
        <v>0</v>
      </c>
      <c r="BL416" s="57">
        <f>IF(ISERROR(IF(B416=C416,AA416/C416,(INT(AA416/B416)+(((AA416-B416*INT(AA416/B416)))/C416)/100))),0,(IF(B416=C416,AA416/C416,(INT(AA416/B416)+(((AA416-B416*INT(AA416/B416)))/C416)/100))))</f>
        <v>2</v>
      </c>
      <c r="BM416" s="57">
        <f>IF(ISERROR(IF(B416=C416,AB416/C416,(INT(AB416/B416)+(((AB416-B416*INT(AB416/B416)))/C416)/100))),0,(IF(B416=C416,AB416/C416,(INT(AB416/B416)+(((AB416-B416*INT(AB416/B416)))/C416)/100))))</f>
        <v>0</v>
      </c>
      <c r="BN416" s="57">
        <f>IF(ISERROR(IF(B416=C416,AC416/C416,(INT(AC416/B416)+(((AC416-B416*INT(AC416/B416)))/C416)/100))),0,(IF(B416=C416,AC416/C416,(INT(AC416/B416)+(((AC416-B416*INT(AC416/B416)))/C416)/100))))</f>
        <v>0</v>
      </c>
      <c r="BO416" s="57">
        <f>IF(ISERROR(IF(B416=C416,AD416/C416,(INT(AD416/B416)+(((AD416-B416*INT(AD416/B416)))/C416)/100))),0,(IF(B416=C416,AD416/C416,(INT(AD416/B416)+(((AD416-B416*INT(AD416/B416)))/C416)/100))))</f>
        <v>0</v>
      </c>
      <c r="BQ416" s="155" t="s">
        <v>205</v>
      </c>
    </row>
    <row r="417" spans="1:69" x14ac:dyDescent="0.35">
      <c r="A417" s="165" t="s">
        <v>209</v>
      </c>
      <c r="B417" s="113">
        <v>750</v>
      </c>
      <c r="C417" s="113">
        <v>30</v>
      </c>
      <c r="D417" s="28">
        <f>SUM(AA417:AD417)</f>
        <v>2370</v>
      </c>
      <c r="E417" s="113">
        <v>0</v>
      </c>
      <c r="F417" s="113">
        <v>0</v>
      </c>
      <c r="G417" s="28">
        <f>SUM(D417:F417)</f>
        <v>2370</v>
      </c>
      <c r="H417" s="125">
        <v>0</v>
      </c>
      <c r="I417" s="113">
        <v>0</v>
      </c>
      <c r="J417" s="125">
        <v>0</v>
      </c>
      <c r="K417" s="113">
        <v>0</v>
      </c>
      <c r="L417" s="113">
        <v>0</v>
      </c>
      <c r="M417" s="113">
        <v>0</v>
      </c>
      <c r="N417" s="28">
        <f>G417-SUM(H417:M417)</f>
        <v>2370</v>
      </c>
      <c r="O417" s="28">
        <f>SUM(V417:Y417)</f>
        <v>2370</v>
      </c>
      <c r="P417" s="28">
        <f>O417-N417</f>
        <v>0</v>
      </c>
      <c r="Q417" s="61" t="str">
        <f>IF(ISERROR(P417/SUM(H417:L417)),"",P417/SUM(H417:L417))</f>
        <v/>
      </c>
      <c r="R417" s="113">
        <v>175</v>
      </c>
      <c r="S417" s="28">
        <f>IF(ISERROR(P417/C417*R417),0,(P417/C417*R417))</f>
        <v>0</v>
      </c>
      <c r="T417" s="60">
        <f>IF(ISERROR(P417/B417*AF417),0,(P417/B417*AF417))</f>
        <v>0</v>
      </c>
      <c r="V417" s="113">
        <f>4*30</f>
        <v>120</v>
      </c>
      <c r="W417" s="113">
        <f>3*750</f>
        <v>2250</v>
      </c>
      <c r="X417" s="113">
        <v>0</v>
      </c>
      <c r="Y417" s="113">
        <v>0</v>
      </c>
      <c r="AA417" s="113">
        <f>4*30</f>
        <v>120</v>
      </c>
      <c r="AB417" s="113">
        <f>3*750</f>
        <v>2250</v>
      </c>
      <c r="AC417" s="113">
        <v>0</v>
      </c>
      <c r="AD417" s="113">
        <v>0</v>
      </c>
      <c r="AF417" s="162">
        <v>2318.1791666666668</v>
      </c>
      <c r="AG417" s="28">
        <f>G417-O417</f>
        <v>0</v>
      </c>
      <c r="AH417" s="58">
        <f>IF(ISERROR(AG417/B417*AF417),0,(AG417/B417*AF417))</f>
        <v>0</v>
      </c>
      <c r="AI417" s="28">
        <f>SUM(H417:M417)</f>
        <v>0</v>
      </c>
      <c r="AJ417" s="28">
        <f>IF(ISERROR(AI417/B417*AF417),0,(AI417/B417*AF417))</f>
        <v>0</v>
      </c>
      <c r="AK417" s="58">
        <f>IF(ISERROR(O417/B417*AF417),0,(O417/B417*AF417))</f>
        <v>7325.4461666666675</v>
      </c>
      <c r="AL417" s="28">
        <f>IF(ISERROR(H417/B417*AF417),0,(H417/B417*AF417))</f>
        <v>0</v>
      </c>
      <c r="AN417" s="51" t="str">
        <f>A417</f>
        <v>Absolut Citron</v>
      </c>
      <c r="AO417" s="57">
        <f>IF(ISERROR(IF(B417=C417,D417/C417,(INT(D417/B417)+(((D417-B417*INT(D417/B417)))/C417)/100))),0,(IF(B417=C417,D417/C417,(INT(D417/B417)+(((D417-B417*INT(D417/B417)))/C417)/100))))</f>
        <v>3.04</v>
      </c>
      <c r="AP417" s="57">
        <f>IF(ISERROR(IF(B417=C417,E417/C417,(INT(E417/B417)+(((E417-B417*INT(E417/B417)))/C417)/100))),0,(IF(B417=C417,E417/C417,(INT(E417/B417)+(((E417-B417*INT(E417/B417)))/C417)/100))))</f>
        <v>0</v>
      </c>
      <c r="AQ417" s="57">
        <f>IF(ISERROR(IF(B417=C417,F417/C417,IF((INT(F417/B417)+(((F417-B417*INT(F417/B417)))/C417)/100)&lt;0,(INT(F417/B417)+(((F417-B417*INT(F417/B417)))/C417)/100)+(1-(B417/C417/100)),(INT(F417/B417)+(((F417-B417*INT(F417/B417)))/C417)/100)))),0,IF(B417=C417,F417/C417,IF((INT(F417/B417)+(((F417-B417*INT(F417/B417)))/C417)/100)&lt;0,(INT(F417/B417)+(((F417-B417*INT(F417/B417)))/C417)/100)+(1-(B417/C417/100)),(INT(F417/B417)+(((F417-B417*INT(F417/B417)))/C417)/100))))</f>
        <v>0</v>
      </c>
      <c r="AR417" s="57">
        <f>IF(ISERROR(IF(B417=C417,G417/C417,(INT(G417/B417)+(((G417-B417*INT(G417/B417)))/C417)/100))),0,(IF(B417=C417,G417/C417,(INT(G417/B417)+(((G417-B417*INT(G417/B417)))/C417)/100))))</f>
        <v>3.04</v>
      </c>
      <c r="AS417" s="57">
        <f>IF(ISERROR(IF(B417=C417,H417/C417,(INT(H417/B417)+(((H417-B417*INT(H417/B417)))/C417)/100))),0,(IF(B417=C417,H417/C417,(INT(H417/B417)+(((H417-B417*INT(H417/B417)))/C417)/100))))</f>
        <v>0</v>
      </c>
      <c r="AT417" s="57">
        <f>IF(ISERROR(IF(B417=C417,I417/C417,(INT(I417/B417)+(((I417-B417*INT(I417/B417)))/C417)/100))),0,(IF(B417=C417,I417/C417,(INT(I417/B417)+(((I417-B417*INT(I417/B417)))/C417)/100))))</f>
        <v>0</v>
      </c>
      <c r="AU417" s="57">
        <f>IF(ISERROR(IF(B417=C417,J417/C417,(INT(J417/B417)+(((J417-B417*INT(J417/B417)))/C417)/100))),0,(IF(B417=C417,J417/C417,(INT(J417/B417)+(((J417-B417*INT(J417/B417)))/C417)/100))))</f>
        <v>0</v>
      </c>
      <c r="AV417" s="57">
        <f>IF(ISERROR(IF(B417=C417,K417/C417,IF((INT(K417/B417)+(((K417-B417*INT(K417/B417)))/C417)/100)&lt;0,(INT(K417/B417)+(((K417-B417*INT(K417/B417)))/C417)/100)+(1-(B417/C417/100)),(INT(K417/B417)+(((K417-B417*INT(K417/B417)))/C417)/100)))),0,IF(B417=C417,K417/C417,IF((INT(K417/B417)+(((K417-B417*INT(K417/B417)))/C417)/100)&lt;0,(INT(K417/B417)+(((K417-B417*INT(K417/B417)))/C417)/100)+(1-(B417/C417/100)),(INT(K417/B417)+(((K417-B417*INT(K417/B417)))/C417)/100))))</f>
        <v>0</v>
      </c>
      <c r="AW417" s="57">
        <f>IF(ISERROR(IF(B417=C417,L417/C417,(INT(L417/B417)+(((L417-B417*INT(L417/B417)))/C417)/100))),0,(IF(B417=C417,L417/C417,(INT(L417/B417)+(((L417-B417*INT(L417/B417)))/C417)/100))))</f>
        <v>0</v>
      </c>
      <c r="AX417" s="57">
        <f>IF(ISERROR(IF(B417=C417,M417/C417,(INT(M417/B417)+(((M417-B417*INT(M417/B417)))/C417)/100))),0,(IF(B417=C417,M417/C417,(INT(M417/B417)+(((M417-B417*INT(M417/B417)))/C417)/100))))</f>
        <v>0</v>
      </c>
      <c r="AY417" s="57">
        <f>IF(ISERROR(IF(B417=C417,N417/C417,IF((INT(N417/B417)+(((N417-B417*INT(N417/B417)))/C417)/100)&lt;0,(INT(N417/B417)+(((N417-B417*INT(N417/B417)))/C417)/100)+(1-(B417/C417/100)),(INT(N417/B417)+(((N417-B417*INT(N417/B417)))/C417)/100)))),0,IF(B417=C417,N417/C417,IF((INT(N417/B417)+(((N417-B417*INT(N417/B417)))/C417)/100)&lt;0,(INT(N417/B417)+(((N417-B417*INT(N417/B417)))/C417)/100)+(1-(B417/C417/100)),(INT(N417/B417)+(((N417-B417*INT(N417/B417)))/C417)/100))))</f>
        <v>3.04</v>
      </c>
      <c r="AZ417" s="57">
        <f>IF(ISERROR(IF(B417=C417,O417/C417,(INT(O417/B417)+(((O417-B417*INT(O417/B417)))/C417)/100))),0,(IF(B417=C417,O417/C417,(INT(O417/B417)+(((O417-B417*INT(O417/B417)))/C417)/100))))</f>
        <v>3.04</v>
      </c>
      <c r="BA417" s="57">
        <f>IF(ISERROR(IF(B417=C417,P417/C417,IF((INT(P417/B417)+(((P417-B417*INT(P417/B417)))/C417)/100)&lt;0,(INT(P417/B417)+(((P417-B417*INT(P417/B417)))/C417)/100)+(1-(B417/C417/100)),(INT(P417/B417)+(((P417-B417*INT(P417/B417)))/C417)/100)))),0,IF(B417=C417,P417/C417,IF((INT(P417/B417)+(((P417-B417*INT(P417/B417)))/C417)/100)&lt;0,(INT(P417/B417)+(((P417-B417*INT(P417/B417)))/C417)/100)+(1-(B417/C417/100)),(INT(P417/B417)+(((P417-B417*INT(P417/B417)))/C417)/100))))</f>
        <v>0</v>
      </c>
      <c r="BB417" s="28">
        <f>R417</f>
        <v>175</v>
      </c>
      <c r="BC417" s="28">
        <f>S417</f>
        <v>0</v>
      </c>
      <c r="BD417" s="28">
        <f>AF417</f>
        <v>2318.1791666666668</v>
      </c>
      <c r="BE417" s="28">
        <f>T417</f>
        <v>0</v>
      </c>
      <c r="BG417" s="57">
        <f>IF(ISERROR(IF(B417=C417,V417/C417,(INT(V417/B417)+(((V417-B417*INT(V417/B417)))/C417)/100))),0,(IF(B417=C417,V417/C417,(INT(V417/B417)+(((V417-B417*INT(V417/B417)))/C417)/100))))</f>
        <v>0.04</v>
      </c>
      <c r="BH417" s="57">
        <f>IF(ISERROR(IF(B417=C417,W417/C417,(INT(W417/B417)+(((W417-B417*INT(W417/B417)))/C417)/100))),0,(IF(B417=C417,W417/C417,(INT(W417/B417)+(((W417-B417*INT(W417/B417)))/C417)/100))))</f>
        <v>3</v>
      </c>
      <c r="BI417" s="57">
        <f>IF(ISERROR(IF(B417=C417,X417/C417,(INT(X417/B417)+(((X417-B417*INT(X417/B417)))/C417)/100))),0,(IF(B417=C417,X417/C417,(INT(X417/B417)+(((X417-B417*INT(X417/B417)))/C417)/100))))</f>
        <v>0</v>
      </c>
      <c r="BJ417" s="57">
        <f>IF(ISERROR(IF(B417=C417,Y417/C417,(INT(Y417/B417)+(((Y417-B417*INT(Y417/B417)))/C417)/100))),0,(IF(B417=C417,Y417/C417,(INT(Y417/B417)+(((Y417-B417*INT(Y417/B417)))/C417)/100))))</f>
        <v>0</v>
      </c>
      <c r="BL417" s="57">
        <f>IF(ISERROR(IF(B417=C417,AA417/C417,(INT(AA417/B417)+(((AA417-B417*INT(AA417/B417)))/C417)/100))),0,(IF(B417=C417,AA417/C417,(INT(AA417/B417)+(((AA417-B417*INT(AA417/B417)))/C417)/100))))</f>
        <v>0.04</v>
      </c>
      <c r="BM417" s="57">
        <f>IF(ISERROR(IF(B417=C417,AB417/C417,(INT(AB417/B417)+(((AB417-B417*INT(AB417/B417)))/C417)/100))),0,(IF(B417=C417,AB417/C417,(INT(AB417/B417)+(((AB417-B417*INT(AB417/B417)))/C417)/100))))</f>
        <v>3</v>
      </c>
      <c r="BN417" s="57">
        <f>IF(ISERROR(IF(B417=C417,AC417/C417,(INT(AC417/B417)+(((AC417-B417*INT(AC417/B417)))/C417)/100))),0,(IF(B417=C417,AC417/C417,(INT(AC417/B417)+(((AC417-B417*INT(AC417/B417)))/C417)/100))))</f>
        <v>0</v>
      </c>
      <c r="BO417" s="57">
        <f>IF(ISERROR(IF(B417=C417,AD417/C417,(INT(AD417/B417)+(((AD417-B417*INT(AD417/B417)))/C417)/100))),0,(IF(B417=C417,AD417/C417,(INT(AD417/B417)+(((AD417-B417*INT(AD417/B417)))/C417)/100))))</f>
        <v>0</v>
      </c>
      <c r="BQ417" s="155" t="s">
        <v>205</v>
      </c>
    </row>
    <row r="418" spans="1:69" x14ac:dyDescent="0.35">
      <c r="A418" s="165" t="s">
        <v>208</v>
      </c>
      <c r="B418" s="113">
        <v>750</v>
      </c>
      <c r="C418" s="113">
        <v>30</v>
      </c>
      <c r="D418" s="28">
        <f>SUM(AA418:AD418)</f>
        <v>15990</v>
      </c>
      <c r="E418" s="113">
        <v>0</v>
      </c>
      <c r="F418" s="113">
        <v>0</v>
      </c>
      <c r="G418" s="28">
        <f>SUM(D418:F418)</f>
        <v>15990</v>
      </c>
      <c r="H418" s="164">
        <v>0</v>
      </c>
      <c r="I418" s="113">
        <v>0</v>
      </c>
      <c r="J418" s="125">
        <v>0</v>
      </c>
      <c r="K418" s="113">
        <v>120</v>
      </c>
      <c r="L418" s="113">
        <v>0</v>
      </c>
      <c r="M418" s="113">
        <v>0</v>
      </c>
      <c r="N418" s="28">
        <f>G418-SUM(H418:M418)</f>
        <v>15870</v>
      </c>
      <c r="O418" s="28">
        <f>SUM(V418:Y418)</f>
        <v>15870</v>
      </c>
      <c r="P418" s="28">
        <f>O418-N418</f>
        <v>0</v>
      </c>
      <c r="Q418" s="61">
        <f>IF(ISERROR(P418/SUM(H418:L418)),"",P418/SUM(H418:L418))</f>
        <v>0</v>
      </c>
      <c r="R418" s="113">
        <v>135</v>
      </c>
      <c r="S418" s="28">
        <f>IF(ISERROR(P418/C418*R418),0,(P418/C418*R418))</f>
        <v>0</v>
      </c>
      <c r="T418" s="60">
        <f>IF(ISERROR(P418/B418*AF418),0,(P418/B418*AF418))</f>
        <v>0</v>
      </c>
      <c r="V418" s="113">
        <f>2*750+4*30</f>
        <v>1620</v>
      </c>
      <c r="W418" s="113">
        <f>19*750</f>
        <v>14250</v>
      </c>
      <c r="X418" s="113">
        <v>0</v>
      </c>
      <c r="Y418" s="113">
        <v>0</v>
      </c>
      <c r="AA418" s="113">
        <f>2*750+8*30</f>
        <v>1740</v>
      </c>
      <c r="AB418" s="113">
        <f>12*750+7*750</f>
        <v>14250</v>
      </c>
      <c r="AC418" s="113">
        <v>0</v>
      </c>
      <c r="AD418" s="113">
        <v>0</v>
      </c>
      <c r="AF418" s="162">
        <f>7783.75/12</f>
        <v>648.64583333333337</v>
      </c>
      <c r="AG418" s="28">
        <f>G418-O418</f>
        <v>120</v>
      </c>
      <c r="AH418" s="58">
        <f>IF(ISERROR(AG418/B418*AF418),0,(AG418/B418*AF418))</f>
        <v>103.78333333333335</v>
      </c>
      <c r="AI418" s="28">
        <f>SUM(H418:M418)</f>
        <v>120</v>
      </c>
      <c r="AJ418" s="28">
        <f>IF(ISERROR(AI418/B418*AF418),0,(AI418/B418*AF418))</f>
        <v>103.78333333333335</v>
      </c>
      <c r="AK418" s="58">
        <f>IF(ISERROR(O418/B418*AF418),0,(O418/B418*AF418))</f>
        <v>13725.345833333335</v>
      </c>
      <c r="AL418" s="28">
        <f>IF(ISERROR(H418/B418*AF418),0,(H418/B418*AF418))</f>
        <v>0</v>
      </c>
      <c r="AN418" s="51" t="str">
        <f>A418</f>
        <v>Old Monk White Rum</v>
      </c>
      <c r="AO418" s="57">
        <f>IF(ISERROR(IF(B418=C418,D418/C418,(INT(D418/B418)+(((D418-B418*INT(D418/B418)))/C418)/100))),0,(IF(B418=C418,D418/C418,(INT(D418/B418)+(((D418-B418*INT(D418/B418)))/C418)/100))))</f>
        <v>21.08</v>
      </c>
      <c r="AP418" s="57">
        <f>IF(ISERROR(IF(B418=C418,E418/C418,(INT(E418/B418)+(((E418-B418*INT(E418/B418)))/C418)/100))),0,(IF(B418=C418,E418/C418,(INT(E418/B418)+(((E418-B418*INT(E418/B418)))/C418)/100))))</f>
        <v>0</v>
      </c>
      <c r="AQ418" s="57">
        <f>IF(ISERROR(IF(B418=C418,F418/C418,IF((INT(F418/B418)+(((F418-B418*INT(F418/B418)))/C418)/100)&lt;0,(INT(F418/B418)+(((F418-B418*INT(F418/B418)))/C418)/100)+(1-(B418/C418/100)),(INT(F418/B418)+(((F418-B418*INT(F418/B418)))/C418)/100)))),0,IF(B418=C418,F418/C418,IF((INT(F418/B418)+(((F418-B418*INT(F418/B418)))/C418)/100)&lt;0,(INT(F418/B418)+(((F418-B418*INT(F418/B418)))/C418)/100)+(1-(B418/C418/100)),(INT(F418/B418)+(((F418-B418*INT(F418/B418)))/C418)/100))))</f>
        <v>0</v>
      </c>
      <c r="AR418" s="57">
        <f>IF(ISERROR(IF(B418=C418,G418/C418,(INT(G418/B418)+(((G418-B418*INT(G418/B418)))/C418)/100))),0,(IF(B418=C418,G418/C418,(INT(G418/B418)+(((G418-B418*INT(G418/B418)))/C418)/100))))</f>
        <v>21.08</v>
      </c>
      <c r="AS418" s="57">
        <f>IF(ISERROR(IF(B418=C418,H418/C418,(INT(H418/B418)+(((H418-B418*INT(H418/B418)))/C418)/100))),0,(IF(B418=C418,H418/C418,(INT(H418/B418)+(((H418-B418*INT(H418/B418)))/C418)/100))))</f>
        <v>0</v>
      </c>
      <c r="AT418" s="57">
        <f>IF(ISERROR(IF(B418=C418,I418/C418,(INT(I418/B418)+(((I418-B418*INT(I418/B418)))/C418)/100))),0,(IF(B418=C418,I418/C418,(INT(I418/B418)+(((I418-B418*INT(I418/B418)))/C418)/100))))</f>
        <v>0</v>
      </c>
      <c r="AU418" s="57">
        <f>IF(ISERROR(IF(B418=C418,J418/C418,(INT(J418/B418)+(((J418-B418*INT(J418/B418)))/C418)/100))),0,(IF(B418=C418,J418/C418,(INT(J418/B418)+(((J418-B418*INT(J418/B418)))/C418)/100))))</f>
        <v>0</v>
      </c>
      <c r="AV418" s="57">
        <f>IF(ISERROR(IF(B418=C418,K418/C418,IF((INT(K418/B418)+(((K418-B418*INT(K418/B418)))/C418)/100)&lt;0,(INT(K418/B418)+(((K418-B418*INT(K418/B418)))/C418)/100)+(1-(B418/C418/100)),(INT(K418/B418)+(((K418-B418*INT(K418/B418)))/C418)/100)))),0,IF(B418=C418,K418/C418,IF((INT(K418/B418)+(((K418-B418*INT(K418/B418)))/C418)/100)&lt;0,(INT(K418/B418)+(((K418-B418*INT(K418/B418)))/C418)/100)+(1-(B418/C418/100)),(INT(K418/B418)+(((K418-B418*INT(K418/B418)))/C418)/100))))</f>
        <v>0.04</v>
      </c>
      <c r="AW418" s="57">
        <f>IF(ISERROR(IF(B418=C418,L418/C418,(INT(L418/B418)+(((L418-B418*INT(L418/B418)))/C418)/100))),0,(IF(B418=C418,L418/C418,(INT(L418/B418)+(((L418-B418*INT(L418/B418)))/C418)/100))))</f>
        <v>0</v>
      </c>
      <c r="AX418" s="57">
        <f>IF(ISERROR(IF(B418=C418,M418/C418,(INT(M418/B418)+(((M418-B418*INT(M418/B418)))/C418)/100))),0,(IF(B418=C418,M418/C418,(INT(M418/B418)+(((M418-B418*INT(M418/B418)))/C418)/100))))</f>
        <v>0</v>
      </c>
      <c r="AY418" s="57">
        <f>IF(ISERROR(IF(B418=C418,N418/C418,IF((INT(N418/B418)+(((N418-B418*INT(N418/B418)))/C418)/100)&lt;0,(INT(N418/B418)+(((N418-B418*INT(N418/B418)))/C418)/100)+(1-(B418/C418/100)),(INT(N418/B418)+(((N418-B418*INT(N418/B418)))/C418)/100)))),0,IF(B418=C418,N418/C418,IF((INT(N418/B418)+(((N418-B418*INT(N418/B418)))/C418)/100)&lt;0,(INT(N418/B418)+(((N418-B418*INT(N418/B418)))/C418)/100)+(1-(B418/C418/100)),(INT(N418/B418)+(((N418-B418*INT(N418/B418)))/C418)/100))))</f>
        <v>21.04</v>
      </c>
      <c r="AZ418" s="57">
        <f>IF(ISERROR(IF(B418=C418,O418/C418,(INT(O418/B418)+(((O418-B418*INT(O418/B418)))/C418)/100))),0,(IF(B418=C418,O418/C418,(INT(O418/B418)+(((O418-B418*INT(O418/B418)))/C418)/100))))</f>
        <v>21.04</v>
      </c>
      <c r="BA418" s="57">
        <f>IF(ISERROR(IF(B418=C418,P418/C418,IF((INT(P418/B418)+(((P418-B418*INT(P418/B418)))/C418)/100)&lt;0,(INT(P418/B418)+(((P418-B418*INT(P418/B418)))/C418)/100)+(1-(B418/C418/100)),(INT(P418/B418)+(((P418-B418*INT(P418/B418)))/C418)/100)))),0,IF(B418=C418,P418/C418,IF((INT(P418/B418)+(((P418-B418*INT(P418/B418)))/C418)/100)&lt;0,(INT(P418/B418)+(((P418-B418*INT(P418/B418)))/C418)/100)+(1-(B418/C418/100)),(INT(P418/B418)+(((P418-B418*INT(P418/B418)))/C418)/100))))</f>
        <v>0</v>
      </c>
      <c r="BB418" s="28">
        <f>R418</f>
        <v>135</v>
      </c>
      <c r="BC418" s="28">
        <f>S418</f>
        <v>0</v>
      </c>
      <c r="BD418" s="28">
        <f>AF418</f>
        <v>648.64583333333337</v>
      </c>
      <c r="BE418" s="28">
        <f>T418</f>
        <v>0</v>
      </c>
      <c r="BG418" s="57">
        <f>IF(ISERROR(IF(B418=C418,V418/C418,(INT(V418/B418)+(((V418-B418*INT(V418/B418)))/C418)/100))),0,(IF(B418=C418,V418/C418,(INT(V418/B418)+(((V418-B418*INT(V418/B418)))/C418)/100))))</f>
        <v>2.04</v>
      </c>
      <c r="BH418" s="57">
        <f>IF(ISERROR(IF(B418=C418,W418/C418,(INT(W418/B418)+(((W418-B418*INT(W418/B418)))/C418)/100))),0,(IF(B418=C418,W418/C418,(INT(W418/B418)+(((W418-B418*INT(W418/B418)))/C418)/100))))</f>
        <v>19</v>
      </c>
      <c r="BI418" s="57">
        <f>IF(ISERROR(IF(B418=C418,X418/C418,(INT(X418/B418)+(((X418-B418*INT(X418/B418)))/C418)/100))),0,(IF(B418=C418,X418/C418,(INT(X418/B418)+(((X418-B418*INT(X418/B418)))/C418)/100))))</f>
        <v>0</v>
      </c>
      <c r="BJ418" s="57">
        <f>IF(ISERROR(IF(B418=C418,Y418/C418,(INT(Y418/B418)+(((Y418-B418*INT(Y418/B418)))/C418)/100))),0,(IF(B418=C418,Y418/C418,(INT(Y418/B418)+(((Y418-B418*INT(Y418/B418)))/C418)/100))))</f>
        <v>0</v>
      </c>
      <c r="BL418" s="57">
        <f>IF(ISERROR(IF(B418=C418,AA418/C418,(INT(AA418/B418)+(((AA418-B418*INT(AA418/B418)))/C418)/100))),0,(IF(B418=C418,AA418/C418,(INT(AA418/B418)+(((AA418-B418*INT(AA418/B418)))/C418)/100))))</f>
        <v>2.08</v>
      </c>
      <c r="BM418" s="57">
        <f>IF(ISERROR(IF(B418=C418,AB418/C418,(INT(AB418/B418)+(((AB418-B418*INT(AB418/B418)))/C418)/100))),0,(IF(B418=C418,AB418/C418,(INT(AB418/B418)+(((AB418-B418*INT(AB418/B418)))/C418)/100))))</f>
        <v>19</v>
      </c>
      <c r="BN418" s="57">
        <f>IF(ISERROR(IF(B418=C418,AC418/C418,(INT(AC418/B418)+(((AC418-B418*INT(AC418/B418)))/C418)/100))),0,(IF(B418=C418,AC418/C418,(INT(AC418/B418)+(((AC418-B418*INT(AC418/B418)))/C418)/100))))</f>
        <v>0</v>
      </c>
      <c r="BO418" s="57">
        <f>IF(ISERROR(IF(B418=C418,AD418/C418,(INT(AD418/B418)+(((AD418-B418*INT(AD418/B418)))/C418)/100))),0,(IF(B418=C418,AD418/C418,(INT(AD418/B418)+(((AD418-B418*INT(AD418/B418)))/C418)/100))))</f>
        <v>0</v>
      </c>
      <c r="BQ418" s="155" t="s">
        <v>207</v>
      </c>
    </row>
    <row r="419" spans="1:69" x14ac:dyDescent="0.35">
      <c r="A419" s="165" t="s">
        <v>206</v>
      </c>
      <c r="B419" s="113">
        <v>750</v>
      </c>
      <c r="C419" s="113">
        <v>30</v>
      </c>
      <c r="D419" s="28">
        <f>SUM(AA419:AD419)</f>
        <v>2250</v>
      </c>
      <c r="E419" s="113">
        <v>0</v>
      </c>
      <c r="F419" s="113">
        <v>0</v>
      </c>
      <c r="G419" s="28">
        <f>SUM(D419:F419)</f>
        <v>2250</v>
      </c>
      <c r="H419" s="125">
        <v>0</v>
      </c>
      <c r="I419" s="113">
        <v>0</v>
      </c>
      <c r="J419" s="125">
        <v>0</v>
      </c>
      <c r="K419" s="113">
        <v>0</v>
      </c>
      <c r="L419" s="113">
        <v>0</v>
      </c>
      <c r="M419" s="113">
        <v>0</v>
      </c>
      <c r="N419" s="28">
        <f>G419-SUM(H419:M419)</f>
        <v>2250</v>
      </c>
      <c r="O419" s="28">
        <f>SUM(V419:Y419)</f>
        <v>2250</v>
      </c>
      <c r="P419" s="28">
        <f>O419-N419</f>
        <v>0</v>
      </c>
      <c r="Q419" s="61" t="str">
        <f>IF(ISERROR(P419/SUM(H419:L419)),"",P419/SUM(H419:L419))</f>
        <v/>
      </c>
      <c r="R419" s="113">
        <v>135</v>
      </c>
      <c r="S419" s="28">
        <f>IF(ISERROR(P419/C419*R419),0,(P419/C419*R419))</f>
        <v>0</v>
      </c>
      <c r="T419" s="60">
        <f>IF(ISERROR(P419/B419*AF419),0,(P419/B419*AF419))</f>
        <v>0</v>
      </c>
      <c r="V419" s="113">
        <f>1*750</f>
        <v>750</v>
      </c>
      <c r="W419" s="113">
        <f>2*750</f>
        <v>1500</v>
      </c>
      <c r="X419" s="113">
        <v>0</v>
      </c>
      <c r="Y419" s="113">
        <v>0</v>
      </c>
      <c r="AA419" s="113">
        <v>750</v>
      </c>
      <c r="AB419" s="113">
        <f>2*750</f>
        <v>1500</v>
      </c>
      <c r="AC419" s="113">
        <v>0</v>
      </c>
      <c r="AD419" s="113">
        <v>0</v>
      </c>
      <c r="AF419" s="54">
        <f>27818.15/12</f>
        <v>2318.1791666666668</v>
      </c>
      <c r="AG419" s="28">
        <f>G419-O419</f>
        <v>0</v>
      </c>
      <c r="AH419" s="58">
        <f>IF(ISERROR(AG419/B419*AF419),0,(AG419/B419*AF419))</f>
        <v>0</v>
      </c>
      <c r="AI419" s="28">
        <f>SUM(H419:M419)</f>
        <v>0</v>
      </c>
      <c r="AJ419" s="28">
        <f>IF(ISERROR(AI419/B419*AF419),0,(AI419/B419*AF419))</f>
        <v>0</v>
      </c>
      <c r="AK419" s="58">
        <f>IF(ISERROR(O419/B419*AF419),0,(O419/B419*AF419))</f>
        <v>6954.5375000000004</v>
      </c>
      <c r="AL419" s="28">
        <f>IF(ISERROR(H419/B419*AF419),0,(H419/B419*AF419))</f>
        <v>0</v>
      </c>
      <c r="AN419" s="51" t="str">
        <f>A419</f>
        <v>Absolut India vodka</v>
      </c>
      <c r="AO419" s="57">
        <f>IF(ISERROR(IF(B419=C419,D419/C419,(INT(D419/B419)+(((D419-B419*INT(D419/B419)))/C419)/100))),0,(IF(B419=C419,D419/C419,(INT(D419/B419)+(((D419-B419*INT(D419/B419)))/C419)/100))))</f>
        <v>3</v>
      </c>
      <c r="AP419" s="57">
        <f>IF(ISERROR(IF(B419=C419,E419/C419,(INT(E419/B419)+(((E419-B419*INT(E419/B419)))/C419)/100))),0,(IF(B419=C419,E419/C419,(INT(E419/B419)+(((E419-B419*INT(E419/B419)))/C419)/100))))</f>
        <v>0</v>
      </c>
      <c r="AQ419" s="57">
        <f>IF(ISERROR(IF(B419=C419,F419/C419,IF((INT(F419/B419)+(((F419-B419*INT(F419/B419)))/C419)/100)&lt;0,(INT(F419/B419)+(((F419-B419*INT(F419/B419)))/C419)/100)+(1-(B419/C419/100)),(INT(F419/B419)+(((F419-B419*INT(F419/B419)))/C419)/100)))),0,IF(B419=C419,F419/C419,IF((INT(F419/B419)+(((F419-B419*INT(F419/B419)))/C419)/100)&lt;0,(INT(F419/B419)+(((F419-B419*INT(F419/B419)))/C419)/100)+(1-(B419/C419/100)),(INT(F419/B419)+(((F419-B419*INT(F419/B419)))/C419)/100))))</f>
        <v>0</v>
      </c>
      <c r="AR419" s="57">
        <f>IF(ISERROR(IF(B419=C419,G419/C419,(INT(G419/B419)+(((G419-B419*INT(G419/B419)))/C419)/100))),0,(IF(B419=C419,G419/C419,(INT(G419/B419)+(((G419-B419*INT(G419/B419)))/C419)/100))))</f>
        <v>3</v>
      </c>
      <c r="AS419" s="57">
        <f>IF(ISERROR(IF(B419=C419,H419/C419,(INT(H419/B419)+(((H419-B419*INT(H419/B419)))/C419)/100))),0,(IF(B419=C419,H419/C419,(INT(H419/B419)+(((H419-B419*INT(H419/B419)))/C419)/100))))</f>
        <v>0</v>
      </c>
      <c r="AT419" s="57">
        <f>IF(ISERROR(IF(B419=C419,I419/C419,(INT(I419/B419)+(((I419-B419*INT(I419/B419)))/C419)/100))),0,(IF(B419=C419,I419/C419,(INT(I419/B419)+(((I419-B419*INT(I419/B419)))/C419)/100))))</f>
        <v>0</v>
      </c>
      <c r="AU419" s="57">
        <f>IF(ISERROR(IF(B419=C419,J419/C419,(INT(J419/B419)+(((J419-B419*INT(J419/B419)))/C419)/100))),0,(IF(B419=C419,J419/C419,(INT(J419/B419)+(((J419-B419*INT(J419/B419)))/C419)/100))))</f>
        <v>0</v>
      </c>
      <c r="AV419" s="57">
        <f>IF(ISERROR(IF(B419=C419,K419/C419,IF((INT(K419/B419)+(((K419-B419*INT(K419/B419)))/C419)/100)&lt;0,(INT(K419/B419)+(((K419-B419*INT(K419/B419)))/C419)/100)+(1-(B419/C419/100)),(INT(K419/B419)+(((K419-B419*INT(K419/B419)))/C419)/100)))),0,IF(B419=C419,K419/C419,IF((INT(K419/B419)+(((K419-B419*INT(K419/B419)))/C419)/100)&lt;0,(INT(K419/B419)+(((K419-B419*INT(K419/B419)))/C419)/100)+(1-(B419/C419/100)),(INT(K419/B419)+(((K419-B419*INT(K419/B419)))/C419)/100))))</f>
        <v>0</v>
      </c>
      <c r="AW419" s="57">
        <f>IF(ISERROR(IF(B419=C419,L419/C419,(INT(L419/B419)+(((L419-B419*INT(L419/B419)))/C419)/100))),0,(IF(B419=C419,L419/C419,(INT(L419/B419)+(((L419-B419*INT(L419/B419)))/C419)/100))))</f>
        <v>0</v>
      </c>
      <c r="AX419" s="57">
        <f>IF(ISERROR(IF(B419=C419,M419/C419,(INT(M419/B419)+(((M419-B419*INT(M419/B419)))/C419)/100))),0,(IF(B419=C419,M419/C419,(INT(M419/B419)+(((M419-B419*INT(M419/B419)))/C419)/100))))</f>
        <v>0</v>
      </c>
      <c r="AY419" s="57">
        <f>IF(ISERROR(IF(B419=C419,N419/C419,IF((INT(N419/B419)+(((N419-B419*INT(N419/B419)))/C419)/100)&lt;0,(INT(N419/B419)+(((N419-B419*INT(N419/B419)))/C419)/100)+(1-(B419/C419/100)),(INT(N419/B419)+(((N419-B419*INT(N419/B419)))/C419)/100)))),0,IF(B419=C419,N419/C419,IF((INT(N419/B419)+(((N419-B419*INT(N419/B419)))/C419)/100)&lt;0,(INT(N419/B419)+(((N419-B419*INT(N419/B419)))/C419)/100)+(1-(B419/C419/100)),(INT(N419/B419)+(((N419-B419*INT(N419/B419)))/C419)/100))))</f>
        <v>3</v>
      </c>
      <c r="AZ419" s="57">
        <f>IF(ISERROR(IF(B419=C419,O419/C419,(INT(O419/B419)+(((O419-B419*INT(O419/B419)))/C419)/100))),0,(IF(B419=C419,O419/C419,(INT(O419/B419)+(((O419-B419*INT(O419/B419)))/C419)/100))))</f>
        <v>3</v>
      </c>
      <c r="BA419" s="57">
        <f>IF(ISERROR(IF(B419=C419,P419/C419,IF((INT(P419/B419)+(((P419-B419*INT(P419/B419)))/C419)/100)&lt;0,(INT(P419/B419)+(((P419-B419*INT(P419/B419)))/C419)/100)+(1-(B419/C419/100)),(INT(P419/B419)+(((P419-B419*INT(P419/B419)))/C419)/100)))),0,IF(B419=C419,P419/C419,IF((INT(P419/B419)+(((P419-B419*INT(P419/B419)))/C419)/100)&lt;0,(INT(P419/B419)+(((P419-B419*INT(P419/B419)))/C419)/100)+(1-(B419/C419/100)),(INT(P419/B419)+(((P419-B419*INT(P419/B419)))/C419)/100))))</f>
        <v>0</v>
      </c>
      <c r="BB419" s="28">
        <f>R419</f>
        <v>135</v>
      </c>
      <c r="BC419" s="28">
        <f>S419</f>
        <v>0</v>
      </c>
      <c r="BD419" s="28">
        <f>AF419</f>
        <v>2318.1791666666668</v>
      </c>
      <c r="BE419" s="28">
        <f>T419</f>
        <v>0</v>
      </c>
      <c r="BG419" s="57">
        <f>IF(ISERROR(IF(B419=C419,V419/C419,(INT(V419/B419)+(((V419-B419*INT(V419/B419)))/C419)/100))),0,(IF(B419=C419,V419/C419,(INT(V419/B419)+(((V419-B419*INT(V419/B419)))/C419)/100))))</f>
        <v>1</v>
      </c>
      <c r="BH419" s="57">
        <f>IF(ISERROR(IF(B419=C419,W419/C419,(INT(W419/B419)+(((W419-B419*INT(W419/B419)))/C419)/100))),0,(IF(B419=C419,W419/C419,(INT(W419/B419)+(((W419-B419*INT(W419/B419)))/C419)/100))))</f>
        <v>2</v>
      </c>
      <c r="BI419" s="57">
        <f>IF(ISERROR(IF(B419=C419,X419/C419,(INT(X419/B419)+(((X419-B419*INT(X419/B419)))/C419)/100))),0,(IF(B419=C419,X419/C419,(INT(X419/B419)+(((X419-B419*INT(X419/B419)))/C419)/100))))</f>
        <v>0</v>
      </c>
      <c r="BJ419" s="57">
        <f>IF(ISERROR(IF(B419=C419,Y419/C419,(INT(Y419/B419)+(((Y419-B419*INT(Y419/B419)))/C419)/100))),0,(IF(B419=C419,Y419/C419,(INT(Y419/B419)+(((Y419-B419*INT(Y419/B419)))/C419)/100))))</f>
        <v>0</v>
      </c>
      <c r="BL419" s="57">
        <f>IF(ISERROR(IF(B419=C419,AA419/C419,(INT(AA419/B419)+(((AA419-B419*INT(AA419/B419)))/C419)/100))),0,(IF(B419=C419,AA419/C419,(INT(AA419/B419)+(((AA419-B419*INT(AA419/B419)))/C419)/100))))</f>
        <v>1</v>
      </c>
      <c r="BM419" s="57">
        <f>IF(ISERROR(IF(B419=C419,AB419/C419,(INT(AB419/B419)+(((AB419-B419*INT(AB419/B419)))/C419)/100))),0,(IF(B419=C419,AB419/C419,(INT(AB419/B419)+(((AB419-B419*INT(AB419/B419)))/C419)/100))))</f>
        <v>2</v>
      </c>
      <c r="BN419" s="57">
        <f>IF(ISERROR(IF(B419=C419,AC419/C419,(INT(AC419/B419)+(((AC419-B419*INT(AC419/B419)))/C419)/100))),0,(IF(B419=C419,AC419/C419,(INT(AC419/B419)+(((AC419-B419*INT(AC419/B419)))/C419)/100))))</f>
        <v>0</v>
      </c>
      <c r="BO419" s="57">
        <f>IF(ISERROR(IF(B419=C419,AD419/C419,(INT(AD419/B419)+(((AD419-B419*INT(AD419/B419)))/C419)/100))),0,(IF(B419=C419,AD419/C419,(INT(AD419/B419)+(((AD419-B419*INT(AD419/B419)))/C419)/100))))</f>
        <v>0</v>
      </c>
      <c r="BQ419" s="155" t="s">
        <v>205</v>
      </c>
    </row>
    <row r="420" spans="1:69" x14ac:dyDescent="0.35">
      <c r="A420" s="94" t="s">
        <v>204</v>
      </c>
      <c r="B420" s="113">
        <v>750</v>
      </c>
      <c r="C420" s="113">
        <v>30</v>
      </c>
      <c r="D420" s="28">
        <f>SUM(AA420:AD420)</f>
        <v>8640</v>
      </c>
      <c r="E420" s="113">
        <v>0</v>
      </c>
      <c r="F420" s="113">
        <v>0</v>
      </c>
      <c r="G420" s="28">
        <f>SUM(D420:F420)</f>
        <v>8640</v>
      </c>
      <c r="H420" s="164">
        <v>180</v>
      </c>
      <c r="I420" s="113">
        <v>0</v>
      </c>
      <c r="J420" s="125">
        <v>0</v>
      </c>
      <c r="K420" s="113">
        <v>0</v>
      </c>
      <c r="L420" s="113">
        <v>0</v>
      </c>
      <c r="M420" s="113">
        <v>0</v>
      </c>
      <c r="N420" s="28">
        <f>G420-SUM(H420:M420)</f>
        <v>8460</v>
      </c>
      <c r="O420" s="28">
        <f>SUM(V420:Y420)</f>
        <v>8460</v>
      </c>
      <c r="P420" s="28">
        <f>O420-N420</f>
        <v>0</v>
      </c>
      <c r="Q420" s="61">
        <f>IF(ISERROR(P420/SUM(H420:L420)),"",P420/SUM(H420:L420))</f>
        <v>0</v>
      </c>
      <c r="R420" s="113">
        <v>135</v>
      </c>
      <c r="S420" s="28">
        <f>IF(ISERROR(P420/C420*R420),0,(P420/C420*R420))</f>
        <v>0</v>
      </c>
      <c r="T420" s="60">
        <f>IF(ISERROR(P420/B420*AF420),0,(P420/B420*AF420))</f>
        <v>0</v>
      </c>
      <c r="V420" s="113">
        <f>7*30</f>
        <v>210</v>
      </c>
      <c r="W420" s="113">
        <f>11*750</f>
        <v>8250</v>
      </c>
      <c r="X420" s="113">
        <v>0</v>
      </c>
      <c r="Y420" s="113">
        <v>0</v>
      </c>
      <c r="AA420" s="113">
        <f>13*30</f>
        <v>390</v>
      </c>
      <c r="AB420" s="113">
        <f>11*750</f>
        <v>8250</v>
      </c>
      <c r="AC420" s="113">
        <v>0</v>
      </c>
      <c r="AD420" s="113">
        <v>0</v>
      </c>
      <c r="AF420" s="113">
        <f>9835.95/12</f>
        <v>819.66250000000002</v>
      </c>
      <c r="AG420" s="28">
        <f>G420-O420</f>
        <v>180</v>
      </c>
      <c r="AH420" s="58">
        <f>IF(ISERROR(AG420/B420*AF420),0,(AG420/B420*AF420))</f>
        <v>196.71899999999999</v>
      </c>
      <c r="AI420" s="28">
        <f>SUM(H420:M420)</f>
        <v>180</v>
      </c>
      <c r="AJ420" s="28">
        <f>IF(ISERROR(AI420/B420*AF420),0,(AI420/B420*AF420))</f>
        <v>196.71899999999999</v>
      </c>
      <c r="AK420" s="58">
        <f>IF(ISERROR(O420/B420*AF420),0,(O420/B420*AF420))</f>
        <v>9245.7929999999997</v>
      </c>
      <c r="AL420" s="28">
        <f>IF(ISERROR(H420/B420*AF420),0,(H420/B420*AF420))</f>
        <v>196.71899999999999</v>
      </c>
      <c r="AN420" s="51" t="str">
        <f>A420</f>
        <v>Signature Rare Whisky</v>
      </c>
      <c r="AO420" s="57">
        <f>IF(ISERROR(IF(B420=C420,D420/C420,(INT(D420/B420)+(((D420-B420*INT(D420/B420)))/C420)/100))),0,(IF(B420=C420,D420/C420,(INT(D420/B420)+(((D420-B420*INT(D420/B420)))/C420)/100))))</f>
        <v>11.13</v>
      </c>
      <c r="AP420" s="57">
        <f>IF(ISERROR(IF(B420=C420,E420/C420,(INT(E420/B420)+(((E420-B420*INT(E420/B420)))/C420)/100))),0,(IF(B420=C420,E420/C420,(INT(E420/B420)+(((E420-B420*INT(E420/B420)))/C420)/100))))</f>
        <v>0</v>
      </c>
      <c r="AQ420" s="57">
        <f>IF(ISERROR(IF(B420=C420,F420/C420,IF((INT(F420/B420)+(((F420-B420*INT(F420/B420)))/C420)/100)&lt;0,(INT(F420/B420)+(((F420-B420*INT(F420/B420)))/C420)/100)+(1-(B420/C420/100)),(INT(F420/B420)+(((F420-B420*INT(F420/B420)))/C420)/100)))),0,IF(B420=C420,F420/C420,IF((INT(F420/B420)+(((F420-B420*INT(F420/B420)))/C420)/100)&lt;0,(INT(F420/B420)+(((F420-B420*INT(F420/B420)))/C420)/100)+(1-(B420/C420/100)),(INT(F420/B420)+(((F420-B420*INT(F420/B420)))/C420)/100))))</f>
        <v>0</v>
      </c>
      <c r="AR420" s="57">
        <f>IF(ISERROR(IF(B420=C420,G420/C420,(INT(G420/B420)+(((G420-B420*INT(G420/B420)))/C420)/100))),0,(IF(B420=C420,G420/C420,(INT(G420/B420)+(((G420-B420*INT(G420/B420)))/C420)/100))))</f>
        <v>11.13</v>
      </c>
      <c r="AS420" s="57">
        <f>IF(ISERROR(IF(B420=C420,H420/C420,(INT(H420/B420)+(((H420-B420*INT(H420/B420)))/C420)/100))),0,(IF(B420=C420,H420/C420,(INT(H420/B420)+(((H420-B420*INT(H420/B420)))/C420)/100))))</f>
        <v>0.06</v>
      </c>
      <c r="AT420" s="57">
        <f>IF(ISERROR(IF(B420=C420,I420/C420,(INT(I420/B420)+(((I420-B420*INT(I420/B420)))/C420)/100))),0,(IF(B420=C420,I420/C420,(INT(I420/B420)+(((I420-B420*INT(I420/B420)))/C420)/100))))</f>
        <v>0</v>
      </c>
      <c r="AU420" s="57">
        <f>IF(ISERROR(IF(B420=C420,J420/C420,(INT(J420/B420)+(((J420-B420*INT(J420/B420)))/C420)/100))),0,(IF(B420=C420,J420/C420,(INT(J420/B420)+(((J420-B420*INT(J420/B420)))/C420)/100))))</f>
        <v>0</v>
      </c>
      <c r="AV420" s="57">
        <f>IF(ISERROR(IF(B420=C420,K420/C420,IF((INT(K420/B420)+(((K420-B420*INT(K420/B420)))/C420)/100)&lt;0,(INT(K420/B420)+(((K420-B420*INT(K420/B420)))/C420)/100)+(1-(B420/C420/100)),(INT(K420/B420)+(((K420-B420*INT(K420/B420)))/C420)/100)))),0,IF(B420=C420,K420/C420,IF((INT(K420/B420)+(((K420-B420*INT(K420/B420)))/C420)/100)&lt;0,(INT(K420/B420)+(((K420-B420*INT(K420/B420)))/C420)/100)+(1-(B420/C420/100)),(INT(K420/B420)+(((K420-B420*INT(K420/B420)))/C420)/100))))</f>
        <v>0</v>
      </c>
      <c r="AW420" s="57">
        <f>IF(ISERROR(IF(B420=C420,L420/C420,(INT(L420/B420)+(((L420-B420*INT(L420/B420)))/C420)/100))),0,(IF(B420=C420,L420/C420,(INT(L420/B420)+(((L420-B420*INT(L420/B420)))/C420)/100))))</f>
        <v>0</v>
      </c>
      <c r="AX420" s="57">
        <f>IF(ISERROR(IF(B420=C420,M420/C420,(INT(M420/B420)+(((M420-B420*INT(M420/B420)))/C420)/100))),0,(IF(B420=C420,M420/C420,(INT(M420/B420)+(((M420-B420*INT(M420/B420)))/C420)/100))))</f>
        <v>0</v>
      </c>
      <c r="AY420" s="57">
        <f>IF(ISERROR(IF(B420=C420,N420/C420,IF((INT(N420/B420)+(((N420-B420*INT(N420/B420)))/C420)/100)&lt;0,(INT(N420/B420)+(((N420-B420*INT(N420/B420)))/C420)/100)+(1-(B420/C420/100)),(INT(N420/B420)+(((N420-B420*INT(N420/B420)))/C420)/100)))),0,IF(B420=C420,N420/C420,IF((INT(N420/B420)+(((N420-B420*INT(N420/B420)))/C420)/100)&lt;0,(INT(N420/B420)+(((N420-B420*INT(N420/B420)))/C420)/100)+(1-(B420/C420/100)),(INT(N420/B420)+(((N420-B420*INT(N420/B420)))/C420)/100))))</f>
        <v>11.07</v>
      </c>
      <c r="AZ420" s="57">
        <f>IF(ISERROR(IF(B420=C420,O420/C420,(INT(O420/B420)+(((O420-B420*INT(O420/B420)))/C420)/100))),0,(IF(B420=C420,O420/C420,(INT(O420/B420)+(((O420-B420*INT(O420/B420)))/C420)/100))))</f>
        <v>11.07</v>
      </c>
      <c r="BA420" s="57">
        <f>IF(ISERROR(IF(B420=C420,P420/C420,IF((INT(P420/B420)+(((P420-B420*INT(P420/B420)))/C420)/100)&lt;0,(INT(P420/B420)+(((P420-B420*INT(P420/B420)))/C420)/100)+(1-(B420/C420/100)),(INT(P420/B420)+(((P420-B420*INT(P420/B420)))/C420)/100)))),0,IF(B420=C420,P420/C420,IF((INT(P420/B420)+(((P420-B420*INT(P420/B420)))/C420)/100)&lt;0,(INT(P420/B420)+(((P420-B420*INT(P420/B420)))/C420)/100)+(1-(B420/C420/100)),(INT(P420/B420)+(((P420-B420*INT(P420/B420)))/C420)/100))))</f>
        <v>0</v>
      </c>
      <c r="BB420" s="28">
        <f>R420</f>
        <v>135</v>
      </c>
      <c r="BC420" s="28">
        <f>S420</f>
        <v>0</v>
      </c>
      <c r="BD420" s="28">
        <f>AF420</f>
        <v>819.66250000000002</v>
      </c>
      <c r="BE420" s="28">
        <f>T420</f>
        <v>0</v>
      </c>
      <c r="BG420" s="57">
        <f>IF(ISERROR(IF(B420=C420,V420/C420,(INT(V420/B420)+(((V420-B420*INT(V420/B420)))/C420)/100))),0,(IF(B420=C420,V420/C420,(INT(V420/B420)+(((V420-B420*INT(V420/B420)))/C420)/100))))</f>
        <v>7.0000000000000007E-2</v>
      </c>
      <c r="BH420" s="57">
        <f>IF(ISERROR(IF(B420=C420,W420/C420,(INT(W420/B420)+(((W420-B420*INT(W420/B420)))/C420)/100))),0,(IF(B420=C420,W420/C420,(INT(W420/B420)+(((W420-B420*INT(W420/B420)))/C420)/100))))</f>
        <v>11</v>
      </c>
      <c r="BI420" s="57">
        <f>IF(ISERROR(IF(B420=C420,X420/C420,(INT(X420/B420)+(((X420-B420*INT(X420/B420)))/C420)/100))),0,(IF(B420=C420,X420/C420,(INT(X420/B420)+(((X420-B420*INT(X420/B420)))/C420)/100))))</f>
        <v>0</v>
      </c>
      <c r="BJ420" s="57">
        <f>IF(ISERROR(IF(B420=C420,Y420/C420,(INT(Y420/B420)+(((Y420-B420*INT(Y420/B420)))/C420)/100))),0,(IF(B420=C420,Y420/C420,(INT(Y420/B420)+(((Y420-B420*INT(Y420/B420)))/C420)/100))))</f>
        <v>0</v>
      </c>
      <c r="BL420" s="57">
        <f>IF(ISERROR(IF(B420=C420,AA420/C420,(INT(AA420/B420)+(((AA420-B420*INT(AA420/B420)))/C420)/100))),0,(IF(B420=C420,AA420/C420,(INT(AA420/B420)+(((AA420-B420*INT(AA420/B420)))/C420)/100))))</f>
        <v>0.13</v>
      </c>
      <c r="BM420" s="57">
        <f>IF(ISERROR(IF(B420=C420,AB420/C420,(INT(AB420/B420)+(((AB420-B420*INT(AB420/B420)))/C420)/100))),0,(IF(B420=C420,AB420/C420,(INT(AB420/B420)+(((AB420-B420*INT(AB420/B420)))/C420)/100))))</f>
        <v>11</v>
      </c>
      <c r="BN420" s="57">
        <f>IF(ISERROR(IF(B420=C420,AC420/C420,(INT(AC420/B420)+(((AC420-B420*INT(AC420/B420)))/C420)/100))),0,(IF(B420=C420,AC420/C420,(INT(AC420/B420)+(((AC420-B420*INT(AC420/B420)))/C420)/100))))</f>
        <v>0</v>
      </c>
      <c r="BO420" s="57">
        <f>IF(ISERROR(IF(B420=C420,AD420/C420,(INT(AD420/B420)+(((AD420-B420*INT(AD420/B420)))/C420)/100))),0,(IF(B420=C420,AD420/C420,(INT(AD420/B420)+(((AD420-B420*INT(AD420/B420)))/C420)/100))))</f>
        <v>0</v>
      </c>
      <c r="BQ420" s="155"/>
    </row>
    <row r="421" spans="1:69" x14ac:dyDescent="0.35">
      <c r="A421" s="165" t="s">
        <v>203</v>
      </c>
      <c r="B421" s="113">
        <v>750</v>
      </c>
      <c r="C421" s="113">
        <v>30</v>
      </c>
      <c r="D421" s="28">
        <f>SUM(AA421:AD421)</f>
        <v>1500</v>
      </c>
      <c r="E421" s="113">
        <v>0</v>
      </c>
      <c r="F421" s="113">
        <v>0</v>
      </c>
      <c r="G421" s="28">
        <f>SUM(D421:F421)</f>
        <v>1500</v>
      </c>
      <c r="H421" s="125">
        <v>0</v>
      </c>
      <c r="I421" s="113">
        <v>0</v>
      </c>
      <c r="J421" s="125">
        <v>0</v>
      </c>
      <c r="K421" s="113">
        <v>0</v>
      </c>
      <c r="L421" s="113">
        <v>0</v>
      </c>
      <c r="M421" s="113">
        <v>0</v>
      </c>
      <c r="N421" s="28">
        <f>G421-SUM(H421:M421)</f>
        <v>1500</v>
      </c>
      <c r="O421" s="28">
        <f>SUM(V421:Y421)</f>
        <v>1500</v>
      </c>
      <c r="P421" s="28">
        <f>O421-N421</f>
        <v>0</v>
      </c>
      <c r="Q421" s="61" t="str">
        <f>IF(ISERROR(P421/SUM(H421:L421)),"",P421/SUM(H421:L421))</f>
        <v/>
      </c>
      <c r="R421" s="113">
        <v>400</v>
      </c>
      <c r="S421" s="28">
        <f>IF(ISERROR(P421/C421*R421),0,(P421/C421*R421))</f>
        <v>0</v>
      </c>
      <c r="T421" s="60">
        <f>IF(ISERROR(P421/B421*AF421),0,(P421/B421*AF421))</f>
        <v>0</v>
      </c>
      <c r="V421" s="113">
        <f>2*750</f>
        <v>1500</v>
      </c>
      <c r="W421" s="113">
        <v>0</v>
      </c>
      <c r="X421" s="113">
        <v>0</v>
      </c>
      <c r="Y421" s="113">
        <v>0</v>
      </c>
      <c r="AA421" s="113">
        <f>2*750</f>
        <v>1500</v>
      </c>
      <c r="AB421" s="113">
        <v>0</v>
      </c>
      <c r="AC421" s="113">
        <v>0</v>
      </c>
      <c r="AD421" s="113">
        <v>0</v>
      </c>
      <c r="AF421" s="113">
        <f>27272.75/12</f>
        <v>2272.7291666666665</v>
      </c>
      <c r="AG421" s="28">
        <f>G421-O421</f>
        <v>0</v>
      </c>
      <c r="AH421" s="58">
        <f>IF(ISERROR(AG421/B421*AF421),0,(AG421/B421*AF421))</f>
        <v>0</v>
      </c>
      <c r="AI421" s="28">
        <f>SUM(H421:M421)</f>
        <v>0</v>
      </c>
      <c r="AJ421" s="28">
        <f>IF(ISERROR(AI421/B421*AF421),0,(AI421/B421*AF421))</f>
        <v>0</v>
      </c>
      <c r="AK421" s="58">
        <f>IF(ISERROR(O421/B421*AF421),0,(O421/B421*AF421))</f>
        <v>4545.458333333333</v>
      </c>
      <c r="AL421" s="28">
        <f>IF(ISERROR(H421/B421*AF421),0,(H421/B421*AF421))</f>
        <v>0</v>
      </c>
      <c r="AN421" s="51" t="str">
        <f>A421</f>
        <v>Absolut Elyx</v>
      </c>
      <c r="AO421" s="57">
        <f>IF(ISERROR(IF(B421=C421,D421/C421,(INT(D421/B421)+(((D421-B421*INT(D421/B421)))/C421)/100))),0,(IF(B421=C421,D421/C421,(INT(D421/B421)+(((D421-B421*INT(D421/B421)))/C421)/100))))</f>
        <v>2</v>
      </c>
      <c r="AP421" s="57">
        <f>IF(ISERROR(IF(B421=C421,E421/C421,(INT(E421/B421)+(((E421-B421*INT(E421/B421)))/C421)/100))),0,(IF(B421=C421,E421/C421,(INT(E421/B421)+(((E421-B421*INT(E421/B421)))/C421)/100))))</f>
        <v>0</v>
      </c>
      <c r="AQ421" s="57">
        <f>IF(ISERROR(IF(B421=C421,F421/C421,IF((INT(F421/B421)+(((F421-B421*INT(F421/B421)))/C421)/100)&lt;0,(INT(F421/B421)+(((F421-B421*INT(F421/B421)))/C421)/100)+(1-(B421/C421/100)),(INT(F421/B421)+(((F421-B421*INT(F421/B421)))/C421)/100)))),0,IF(B421=C421,F421/C421,IF((INT(F421/B421)+(((F421-B421*INT(F421/B421)))/C421)/100)&lt;0,(INT(F421/B421)+(((F421-B421*INT(F421/B421)))/C421)/100)+(1-(B421/C421/100)),(INT(F421/B421)+(((F421-B421*INT(F421/B421)))/C421)/100))))</f>
        <v>0</v>
      </c>
      <c r="AR421" s="57">
        <f>IF(ISERROR(IF(B421=C421,G421/C421,(INT(G421/B421)+(((G421-B421*INT(G421/B421)))/C421)/100))),0,(IF(B421=C421,G421/C421,(INT(G421/B421)+(((G421-B421*INT(G421/B421)))/C421)/100))))</f>
        <v>2</v>
      </c>
      <c r="AS421" s="57">
        <f>IF(ISERROR(IF(B421=C421,H421/C421,(INT(H421/B421)+(((H421-B421*INT(H421/B421)))/C421)/100))),0,(IF(B421=C421,H421/C421,(INT(H421/B421)+(((H421-B421*INT(H421/B421)))/C421)/100))))</f>
        <v>0</v>
      </c>
      <c r="AT421" s="57">
        <f>IF(ISERROR(IF(B421=C421,I421/C421,(INT(I421/B421)+(((I421-B421*INT(I421/B421)))/C421)/100))),0,(IF(B421=C421,I421/C421,(INT(I421/B421)+(((I421-B421*INT(I421/B421)))/C421)/100))))</f>
        <v>0</v>
      </c>
      <c r="AU421" s="57">
        <f>IF(ISERROR(IF(B421=C421,J421/C421,(INT(J421/B421)+(((J421-B421*INT(J421/B421)))/C421)/100))),0,(IF(B421=C421,J421/C421,(INT(J421/B421)+(((J421-B421*INT(J421/B421)))/C421)/100))))</f>
        <v>0</v>
      </c>
      <c r="AV421" s="57">
        <f>IF(ISERROR(IF(B421=C421,K421/C421,IF((INT(K421/B421)+(((K421-B421*INT(K421/B421)))/C421)/100)&lt;0,(INT(K421/B421)+(((K421-B421*INT(K421/B421)))/C421)/100)+(1-(B421/C421/100)),(INT(K421/B421)+(((K421-B421*INT(K421/B421)))/C421)/100)))),0,IF(B421=C421,K421/C421,IF((INT(K421/B421)+(((K421-B421*INT(K421/B421)))/C421)/100)&lt;0,(INT(K421/B421)+(((K421-B421*INT(K421/B421)))/C421)/100)+(1-(B421/C421/100)),(INT(K421/B421)+(((K421-B421*INT(K421/B421)))/C421)/100))))</f>
        <v>0</v>
      </c>
      <c r="AW421" s="57">
        <f>IF(ISERROR(IF(B421=C421,L421/C421,(INT(L421/B421)+(((L421-B421*INT(L421/B421)))/C421)/100))),0,(IF(B421=C421,L421/C421,(INT(L421/B421)+(((L421-B421*INT(L421/B421)))/C421)/100))))</f>
        <v>0</v>
      </c>
      <c r="AX421" s="57">
        <f>IF(ISERROR(IF(B421=C421,M421/C421,(INT(M421/B421)+(((M421-B421*INT(M421/B421)))/C421)/100))),0,(IF(B421=C421,M421/C421,(INT(M421/B421)+(((M421-B421*INT(M421/B421)))/C421)/100))))</f>
        <v>0</v>
      </c>
      <c r="AY421" s="57">
        <f>IF(ISERROR(IF(B421=C421,N421/C421,IF((INT(N421/B421)+(((N421-B421*INT(N421/B421)))/C421)/100)&lt;0,(INT(N421/B421)+(((N421-B421*INT(N421/B421)))/C421)/100)+(1-(B421/C421/100)),(INT(N421/B421)+(((N421-B421*INT(N421/B421)))/C421)/100)))),0,IF(B421=C421,N421/C421,IF((INT(N421/B421)+(((N421-B421*INT(N421/B421)))/C421)/100)&lt;0,(INT(N421/B421)+(((N421-B421*INT(N421/B421)))/C421)/100)+(1-(B421/C421/100)),(INT(N421/B421)+(((N421-B421*INT(N421/B421)))/C421)/100))))</f>
        <v>2</v>
      </c>
      <c r="AZ421" s="57">
        <f>IF(ISERROR(IF(B421=C421,O421/C421,(INT(O421/B421)+(((O421-B421*INT(O421/B421)))/C421)/100))),0,(IF(B421=C421,O421/C421,(INT(O421/B421)+(((O421-B421*INT(O421/B421)))/C421)/100))))</f>
        <v>2</v>
      </c>
      <c r="BA421" s="57">
        <f>IF(ISERROR(IF(B421=C421,P421/C421,IF((INT(P421/B421)+(((P421-B421*INT(P421/B421)))/C421)/100)&lt;0,(INT(P421/B421)+(((P421-B421*INT(P421/B421)))/C421)/100)+(1-(B421/C421/100)),(INT(P421/B421)+(((P421-B421*INT(P421/B421)))/C421)/100)))),0,IF(B421=C421,P421/C421,IF((INT(P421/B421)+(((P421-B421*INT(P421/B421)))/C421)/100)&lt;0,(INT(P421/B421)+(((P421-B421*INT(P421/B421)))/C421)/100)+(1-(B421/C421/100)),(INT(P421/B421)+(((P421-B421*INT(P421/B421)))/C421)/100))))</f>
        <v>0</v>
      </c>
      <c r="BB421" s="28">
        <f>R421</f>
        <v>400</v>
      </c>
      <c r="BC421" s="28">
        <f>S421</f>
        <v>0</v>
      </c>
      <c r="BD421" s="28">
        <f>AF421</f>
        <v>2272.7291666666665</v>
      </c>
      <c r="BE421" s="28">
        <f>T421</f>
        <v>0</v>
      </c>
      <c r="BG421" s="57">
        <f>IF(ISERROR(IF(B421=C421,V421/C421,(INT(V421/B421)+(((V421-B421*INT(V421/B421)))/C421)/100))),0,(IF(B421=C421,V421/C421,(INT(V421/B421)+(((V421-B421*INT(V421/B421)))/C421)/100))))</f>
        <v>2</v>
      </c>
      <c r="BH421" s="57">
        <f>IF(ISERROR(IF(B421=C421,W421/C421,(INT(W421/B421)+(((W421-B421*INT(W421/B421)))/C421)/100))),0,(IF(B421=C421,W421/C421,(INT(W421/B421)+(((W421-B421*INT(W421/B421)))/C421)/100))))</f>
        <v>0</v>
      </c>
      <c r="BI421" s="57">
        <f>IF(ISERROR(IF(B421=C421,X421/C421,(INT(X421/B421)+(((X421-B421*INT(X421/B421)))/C421)/100))),0,(IF(B421=C421,X421/C421,(INT(X421/B421)+(((X421-B421*INT(X421/B421)))/C421)/100))))</f>
        <v>0</v>
      </c>
      <c r="BJ421" s="57">
        <f>IF(ISERROR(IF(B421=C421,Y421/C421,(INT(Y421/B421)+(((Y421-B421*INT(Y421/B421)))/C421)/100))),0,(IF(B421=C421,Y421/C421,(INT(Y421/B421)+(((Y421-B421*INT(Y421/B421)))/C421)/100))))</f>
        <v>0</v>
      </c>
      <c r="BL421" s="57">
        <f>IF(ISERROR(IF(B421=C421,AA421/C421,(INT(AA421/B421)+(((AA421-B421*INT(AA421/B421)))/C421)/100))),0,(IF(B421=C421,AA421/C421,(INT(AA421/B421)+(((AA421-B421*INT(AA421/B421)))/C421)/100))))</f>
        <v>2</v>
      </c>
      <c r="BM421" s="57">
        <f>IF(ISERROR(IF(B421=C421,AB421/C421,(INT(AB421/B421)+(((AB421-B421*INT(AB421/B421)))/C421)/100))),0,(IF(B421=C421,AB421/C421,(INT(AB421/B421)+(((AB421-B421*INT(AB421/B421)))/C421)/100))))</f>
        <v>0</v>
      </c>
      <c r="BN421" s="57">
        <f>IF(ISERROR(IF(B421=C421,AC421/C421,(INT(AC421/B421)+(((AC421-B421*INT(AC421/B421)))/C421)/100))),0,(IF(B421=C421,AC421/C421,(INT(AC421/B421)+(((AC421-B421*INT(AC421/B421)))/C421)/100))))</f>
        <v>0</v>
      </c>
      <c r="BO421" s="57">
        <f>IF(ISERROR(IF(B421=C421,AD421/C421,(INT(AD421/B421)+(((AD421-B421*INT(AD421/B421)))/C421)/100))),0,(IF(B421=C421,AD421/C421,(INT(AD421/B421)+(((AD421-B421*INT(AD421/B421)))/C421)/100))))</f>
        <v>0</v>
      </c>
      <c r="BQ421" s="155"/>
    </row>
    <row r="422" spans="1:69" hidden="1" x14ac:dyDescent="0.35">
      <c r="A422" s="94"/>
      <c r="B422" s="113">
        <v>0</v>
      </c>
      <c r="C422" s="113">
        <v>0</v>
      </c>
      <c r="D422" s="28">
        <f>SUM(AA422:AD422)</f>
        <v>0</v>
      </c>
      <c r="E422" s="113">
        <v>0</v>
      </c>
      <c r="F422" s="113">
        <v>0</v>
      </c>
      <c r="G422" s="28">
        <f>SUM(D422:F422)</f>
        <v>0</v>
      </c>
      <c r="H422" s="125">
        <v>0</v>
      </c>
      <c r="I422" s="113">
        <v>0</v>
      </c>
      <c r="J422" s="125">
        <v>0</v>
      </c>
      <c r="K422" s="113">
        <v>0</v>
      </c>
      <c r="L422" s="113">
        <v>0</v>
      </c>
      <c r="M422" s="113">
        <v>0</v>
      </c>
      <c r="N422" s="28">
        <f>G422-SUM(H422:M422)</f>
        <v>0</v>
      </c>
      <c r="O422" s="28">
        <f>SUM(V422:Y422)</f>
        <v>0</v>
      </c>
      <c r="P422" s="28">
        <f>O422-N422</f>
        <v>0</v>
      </c>
      <c r="Q422" s="61" t="str">
        <f>IF(ISERROR(P422/SUM(H422:L422)),"",P422/SUM(H422:L422))</f>
        <v/>
      </c>
      <c r="R422" s="113">
        <v>0</v>
      </c>
      <c r="S422" s="28">
        <f>IF(ISERROR(P422/C422*R422),0,(P422/C422*R422))</f>
        <v>0</v>
      </c>
      <c r="T422" s="60">
        <f>IF(ISERROR(P422/B422*AF422),0,(P422/B422*AF422))</f>
        <v>0</v>
      </c>
      <c r="V422" s="113">
        <v>0</v>
      </c>
      <c r="W422" s="113">
        <v>0</v>
      </c>
      <c r="X422" s="113">
        <v>0</v>
      </c>
      <c r="Y422" s="113">
        <v>0</v>
      </c>
      <c r="AA422" s="113">
        <v>0</v>
      </c>
      <c r="AB422" s="113">
        <v>0</v>
      </c>
      <c r="AC422" s="113">
        <v>0</v>
      </c>
      <c r="AD422" s="113">
        <v>0</v>
      </c>
      <c r="AF422" s="113">
        <v>0</v>
      </c>
      <c r="AG422" s="28">
        <f>G422-O422</f>
        <v>0</v>
      </c>
      <c r="AH422" s="58">
        <f>IF(ISERROR(AG422/B422*AF422),0,(AG422/B422*AF422))</f>
        <v>0</v>
      </c>
      <c r="AI422" s="28">
        <f>SUM(H422:M422)</f>
        <v>0</v>
      </c>
      <c r="AJ422" s="28">
        <f>IF(ISERROR(AI422/B422*AF422),0,(AI422/B422*AF422))</f>
        <v>0</v>
      </c>
      <c r="AK422" s="58">
        <f>IF(ISERROR(O422/B422*AF422),0,(O422/B422*AF422))</f>
        <v>0</v>
      </c>
      <c r="AL422" s="28">
        <f>IF(ISERROR(H422/B422*AF422),0,(H422/B422*AF422))</f>
        <v>0</v>
      </c>
      <c r="AN422" s="51">
        <f>A422</f>
        <v>0</v>
      </c>
      <c r="AO422" s="57">
        <f>IF(ISERROR(IF(B422=C422,D422/C422,(INT(D422/B422)+(((D422-B422*INT(D422/B422)))/C422)/100))),0,(IF(B422=C422,D422/C422,(INT(D422/B422)+(((D422-B422*INT(D422/B422)))/C422)/100))))</f>
        <v>0</v>
      </c>
      <c r="AP422" s="57">
        <f>IF(ISERROR(IF(B422=C422,E422/C422,(INT(E422/B422)+(((E422-B422*INT(E422/B422)))/C422)/100))),0,(IF(B422=C422,E422/C422,(INT(E422/B422)+(((E422-B422*INT(E422/B422)))/C422)/100))))</f>
        <v>0</v>
      </c>
      <c r="AQ422" s="57">
        <f>IF(ISERROR(IF(B422=C422,F422/C422,IF((INT(F422/B422)+(((F422-B422*INT(F422/B422)))/C422)/100)&lt;0,(INT(F422/B422)+(((F422-B422*INT(F422/B422)))/C422)/100)+(1-(B422/C422/100)),(INT(F422/B422)+(((F422-B422*INT(F422/B422)))/C422)/100)))),0,IF(B422=C422,F422/C422,IF((INT(F422/B422)+(((F422-B422*INT(F422/B422)))/C422)/100)&lt;0,(INT(F422/B422)+(((F422-B422*INT(F422/B422)))/C422)/100)+(1-(B422/C422/100)),(INT(F422/B422)+(((F422-B422*INT(F422/B422)))/C422)/100))))</f>
        <v>0</v>
      </c>
      <c r="AR422" s="57">
        <f>IF(ISERROR(IF(B422=C422,G422/C422,(INT(G422/B422)+(((G422-B422*INT(G422/B422)))/C422)/100))),0,(IF(B422=C422,G422/C422,(INT(G422/B422)+(((G422-B422*INT(G422/B422)))/C422)/100))))</f>
        <v>0</v>
      </c>
      <c r="AS422" s="57">
        <f>IF(ISERROR(IF(B422=C422,H422/C422,(INT(H422/B422)+(((H422-B422*INT(H422/B422)))/C422)/100))),0,(IF(B422=C422,H422/C422,(INT(H422/B422)+(((H422-B422*INT(H422/B422)))/C422)/100))))</f>
        <v>0</v>
      </c>
      <c r="AT422" s="57">
        <f>IF(ISERROR(IF(B422=C422,I422/C422,(INT(I422/B422)+(((I422-B422*INT(I422/B422)))/C422)/100))),0,(IF(B422=C422,I422/C422,(INT(I422/B422)+(((I422-B422*INT(I422/B422)))/C422)/100))))</f>
        <v>0</v>
      </c>
      <c r="AU422" s="57">
        <f>IF(ISERROR(IF(B422=C422,J422/C422,(INT(J422/B422)+(((J422-B422*INT(J422/B422)))/C422)/100))),0,(IF(B422=C422,J422/C422,(INT(J422/B422)+(((J422-B422*INT(J422/B422)))/C422)/100))))</f>
        <v>0</v>
      </c>
      <c r="AV422" s="57">
        <f>IF(ISERROR(IF(B422=C422,K422/C422,IF((INT(K422/B422)+(((K422-B422*INT(K422/B422)))/C422)/100)&lt;0,(INT(K422/B422)+(((K422-B422*INT(K422/B422)))/C422)/100)+(1-(B422/C422/100)),(INT(K422/B422)+(((K422-B422*INT(K422/B422)))/C422)/100)))),0,IF(B422=C422,K422/C422,IF((INT(K422/B422)+(((K422-B422*INT(K422/B422)))/C422)/100)&lt;0,(INT(K422/B422)+(((K422-B422*INT(K422/B422)))/C422)/100)+(1-(B422/C422/100)),(INT(K422/B422)+(((K422-B422*INT(K422/B422)))/C422)/100))))</f>
        <v>0</v>
      </c>
      <c r="AW422" s="57">
        <f>IF(ISERROR(IF(B422=C422,L422/C422,(INT(L422/B422)+(((L422-B422*INT(L422/B422)))/C422)/100))),0,(IF(B422=C422,L422/C422,(INT(L422/B422)+(((L422-B422*INT(L422/B422)))/C422)/100))))</f>
        <v>0</v>
      </c>
      <c r="AX422" s="57">
        <f>IF(ISERROR(IF(B422=C422,M422/C422,(INT(M422/B422)+(((M422-B422*INT(M422/B422)))/C422)/100))),0,(IF(B422=C422,M422/C422,(INT(M422/B422)+(((M422-B422*INT(M422/B422)))/C422)/100))))</f>
        <v>0</v>
      </c>
      <c r="AY422" s="57">
        <f>IF(ISERROR(IF(B422=C422,N422/C422,IF((INT(N422/B422)+(((N422-B422*INT(N422/B422)))/C422)/100)&lt;0,(INT(N422/B422)+(((N422-B422*INT(N422/B422)))/C422)/100)+(1-(B422/C422/100)),(INT(N422/B422)+(((N422-B422*INT(N422/B422)))/C422)/100)))),0,IF(B422=C422,N422/C422,IF((INT(N422/B422)+(((N422-B422*INT(N422/B422)))/C422)/100)&lt;0,(INT(N422/B422)+(((N422-B422*INT(N422/B422)))/C422)/100)+(1-(B422/C422/100)),(INT(N422/B422)+(((N422-B422*INT(N422/B422)))/C422)/100))))</f>
        <v>0</v>
      </c>
      <c r="AZ422" s="57">
        <f>IF(ISERROR(IF(B422=C422,O422/C422,(INT(O422/B422)+(((O422-B422*INT(O422/B422)))/C422)/100))),0,(IF(B422=C422,O422/C422,(INT(O422/B422)+(((O422-B422*INT(O422/B422)))/C422)/100))))</f>
        <v>0</v>
      </c>
      <c r="BA422" s="57">
        <f>IF(ISERROR(IF(B422=C422,P422/C422,IF((INT(P422/B422)+(((P422-B422*INT(P422/B422)))/C422)/100)&lt;0,(INT(P422/B422)+(((P422-B422*INT(P422/B422)))/C422)/100)+(1-(B422/C422/100)),(INT(P422/B422)+(((P422-B422*INT(P422/B422)))/C422)/100)))),0,IF(B422=C422,P422/C422,IF((INT(P422/B422)+(((P422-B422*INT(P422/B422)))/C422)/100)&lt;0,(INT(P422/B422)+(((P422-B422*INT(P422/B422)))/C422)/100)+(1-(B422/C422/100)),(INT(P422/B422)+(((P422-B422*INT(P422/B422)))/C422)/100))))</f>
        <v>0</v>
      </c>
      <c r="BB422" s="28">
        <f>R422</f>
        <v>0</v>
      </c>
      <c r="BC422" s="28">
        <f>S422</f>
        <v>0</v>
      </c>
      <c r="BD422" s="28">
        <f>AF422</f>
        <v>0</v>
      </c>
      <c r="BE422" s="28">
        <f>T422</f>
        <v>0</v>
      </c>
      <c r="BG422" s="57">
        <f>IF(ISERROR(IF(B422=C422,V422/C422,(INT(V422/B422)+(((V422-B422*INT(V422/B422)))/C422)/100))),0,(IF(B422=C422,V422/C422,(INT(V422/B422)+(((V422-B422*INT(V422/B422)))/C422)/100))))</f>
        <v>0</v>
      </c>
      <c r="BH422" s="57">
        <f>IF(ISERROR(IF(B422=C422,W422/C422,(INT(W422/B422)+(((W422-B422*INT(W422/B422)))/C422)/100))),0,(IF(B422=C422,W422/C422,(INT(W422/B422)+(((W422-B422*INT(W422/B422)))/C422)/100))))</f>
        <v>0</v>
      </c>
      <c r="BI422" s="57">
        <f>IF(ISERROR(IF(B422=C422,X422/C422,(INT(X422/B422)+(((X422-B422*INT(X422/B422)))/C422)/100))),0,(IF(B422=C422,X422/C422,(INT(X422/B422)+(((X422-B422*INT(X422/B422)))/C422)/100))))</f>
        <v>0</v>
      </c>
      <c r="BJ422" s="57">
        <f>IF(ISERROR(IF(B422=C422,Y422/C422,(INT(Y422/B422)+(((Y422-B422*INT(Y422/B422)))/C422)/100))),0,(IF(B422=C422,Y422/C422,(INT(Y422/B422)+(((Y422-B422*INT(Y422/B422)))/C422)/100))))</f>
        <v>0</v>
      </c>
      <c r="BL422" s="57">
        <f>IF(ISERROR(IF(B422=C422,AA422/C422,(INT(AA422/B422)+(((AA422-B422*INT(AA422/B422)))/C422)/100))),0,(IF(B422=C422,AA422/C422,(INT(AA422/B422)+(((AA422-B422*INT(AA422/B422)))/C422)/100))))</f>
        <v>0</v>
      </c>
      <c r="BM422" s="57">
        <f>IF(ISERROR(IF(B422=C422,AB422/C422,(INT(AB422/B422)+(((AB422-B422*INT(AB422/B422)))/C422)/100))),0,(IF(B422=C422,AB422/C422,(INT(AB422/B422)+(((AB422-B422*INT(AB422/B422)))/C422)/100))))</f>
        <v>0</v>
      </c>
      <c r="BN422" s="57">
        <f>IF(ISERROR(IF(B422=C422,AC422/C422,(INT(AC422/B422)+(((AC422-B422*INT(AC422/B422)))/C422)/100))),0,(IF(B422=C422,AC422/C422,(INT(AC422/B422)+(((AC422-B422*INT(AC422/B422)))/C422)/100))))</f>
        <v>0</v>
      </c>
      <c r="BO422" s="57">
        <f>IF(ISERROR(IF(B422=C422,AD422/C422,(INT(AD422/B422)+(((AD422-B422*INT(AD422/B422)))/C422)/100))),0,(IF(B422=C422,AD422/C422,(INT(AD422/B422)+(((AD422-B422*INT(AD422/B422)))/C422)/100))))</f>
        <v>0</v>
      </c>
      <c r="BQ422" s="155"/>
    </row>
    <row r="423" spans="1:69" hidden="1" x14ac:dyDescent="0.35">
      <c r="A423" s="94"/>
      <c r="B423" s="113">
        <v>0</v>
      </c>
      <c r="C423" s="113">
        <v>0</v>
      </c>
      <c r="D423" s="28">
        <f>SUM(AA423:AD423)</f>
        <v>0</v>
      </c>
      <c r="E423" s="113">
        <v>0</v>
      </c>
      <c r="F423" s="113">
        <v>0</v>
      </c>
      <c r="G423" s="28">
        <f>SUM(D423:F423)</f>
        <v>0</v>
      </c>
      <c r="H423" s="125">
        <v>0</v>
      </c>
      <c r="I423" s="113">
        <v>0</v>
      </c>
      <c r="J423" s="125">
        <v>0</v>
      </c>
      <c r="K423" s="113">
        <v>0</v>
      </c>
      <c r="L423" s="113">
        <v>0</v>
      </c>
      <c r="M423" s="113">
        <v>0</v>
      </c>
      <c r="N423" s="28">
        <f>G423-SUM(H423:M423)</f>
        <v>0</v>
      </c>
      <c r="O423" s="28">
        <f>SUM(V423:Y423)</f>
        <v>0</v>
      </c>
      <c r="P423" s="28">
        <f>O423-N423</f>
        <v>0</v>
      </c>
      <c r="Q423" s="61" t="str">
        <f>IF(ISERROR(P423/SUM(H423:L423)),"",P423/SUM(H423:L423))</f>
        <v/>
      </c>
      <c r="R423" s="113">
        <v>0</v>
      </c>
      <c r="S423" s="28">
        <f>IF(ISERROR(P423/C423*R423),0,(P423/C423*R423))</f>
        <v>0</v>
      </c>
      <c r="T423" s="60">
        <f>IF(ISERROR(P423/B423*AF423),0,(P423/B423*AF423))</f>
        <v>0</v>
      </c>
      <c r="V423" s="113">
        <v>0</v>
      </c>
      <c r="W423" s="113">
        <v>0</v>
      </c>
      <c r="X423" s="113">
        <v>0</v>
      </c>
      <c r="Y423" s="113">
        <v>0</v>
      </c>
      <c r="AA423" s="113">
        <v>0</v>
      </c>
      <c r="AB423" s="113">
        <v>0</v>
      </c>
      <c r="AC423" s="113">
        <v>0</v>
      </c>
      <c r="AD423" s="113">
        <v>0</v>
      </c>
      <c r="AF423" s="113">
        <v>0</v>
      </c>
      <c r="AG423" s="28">
        <f>G423-O423</f>
        <v>0</v>
      </c>
      <c r="AH423" s="58">
        <f>IF(ISERROR(AG423/B423*AF423),0,(AG423/B423*AF423))</f>
        <v>0</v>
      </c>
      <c r="AI423" s="28">
        <f>SUM(H423:M423)</f>
        <v>0</v>
      </c>
      <c r="AJ423" s="28">
        <f>IF(ISERROR(AI423/B423*AF423),0,(AI423/B423*AF423))</f>
        <v>0</v>
      </c>
      <c r="AK423" s="58">
        <f>IF(ISERROR(O423/B423*AF423),0,(O423/B423*AF423))</f>
        <v>0</v>
      </c>
      <c r="AL423" s="28">
        <f>IF(ISERROR(H423/B423*AF423),0,(H423/B423*AF423))</f>
        <v>0</v>
      </c>
      <c r="AN423" s="51">
        <f>A423</f>
        <v>0</v>
      </c>
      <c r="AO423" s="57">
        <f>IF(ISERROR(IF(B423=C423,D423/C423,(INT(D423/B423)+(((D423-B423*INT(D423/B423)))/C423)/100))),0,(IF(B423=C423,D423/C423,(INT(D423/B423)+(((D423-B423*INT(D423/B423)))/C423)/100))))</f>
        <v>0</v>
      </c>
      <c r="AP423" s="57">
        <f>IF(ISERROR(IF(B423=C423,E423/C423,(INT(E423/B423)+(((E423-B423*INT(E423/B423)))/C423)/100))),0,(IF(B423=C423,E423/C423,(INT(E423/B423)+(((E423-B423*INT(E423/B423)))/C423)/100))))</f>
        <v>0</v>
      </c>
      <c r="AQ423" s="57">
        <f>IF(ISERROR(IF(B423=C423,F423/C423,IF((INT(F423/B423)+(((F423-B423*INT(F423/B423)))/C423)/100)&lt;0,(INT(F423/B423)+(((F423-B423*INT(F423/B423)))/C423)/100)+(1-(B423/C423/100)),(INT(F423/B423)+(((F423-B423*INT(F423/B423)))/C423)/100)))),0,IF(B423=C423,F423/C423,IF((INT(F423/B423)+(((F423-B423*INT(F423/B423)))/C423)/100)&lt;0,(INT(F423/B423)+(((F423-B423*INT(F423/B423)))/C423)/100)+(1-(B423/C423/100)),(INT(F423/B423)+(((F423-B423*INT(F423/B423)))/C423)/100))))</f>
        <v>0</v>
      </c>
      <c r="AR423" s="57">
        <f>IF(ISERROR(IF(B423=C423,G423/C423,(INT(G423/B423)+(((G423-B423*INT(G423/B423)))/C423)/100))),0,(IF(B423=C423,G423/C423,(INT(G423/B423)+(((G423-B423*INT(G423/B423)))/C423)/100))))</f>
        <v>0</v>
      </c>
      <c r="AS423" s="57">
        <f>IF(ISERROR(IF(B423=C423,H423/C423,(INT(H423/B423)+(((H423-B423*INT(H423/B423)))/C423)/100))),0,(IF(B423=C423,H423/C423,(INT(H423/B423)+(((H423-B423*INT(H423/B423)))/C423)/100))))</f>
        <v>0</v>
      </c>
      <c r="AT423" s="57">
        <f>IF(ISERROR(IF(B423=C423,I423/C423,(INT(I423/B423)+(((I423-B423*INT(I423/B423)))/C423)/100))),0,(IF(B423=C423,I423/C423,(INT(I423/B423)+(((I423-B423*INT(I423/B423)))/C423)/100))))</f>
        <v>0</v>
      </c>
      <c r="AU423" s="57">
        <f>IF(ISERROR(IF(B423=C423,J423/C423,(INT(J423/B423)+(((J423-B423*INT(J423/B423)))/C423)/100))),0,(IF(B423=C423,J423/C423,(INT(J423/B423)+(((J423-B423*INT(J423/B423)))/C423)/100))))</f>
        <v>0</v>
      </c>
      <c r="AV423" s="57">
        <f>IF(ISERROR(IF(B423=C423,K423/C423,IF((INT(K423/B423)+(((K423-B423*INT(K423/B423)))/C423)/100)&lt;0,(INT(K423/B423)+(((K423-B423*INT(K423/B423)))/C423)/100)+(1-(B423/C423/100)),(INT(K423/B423)+(((K423-B423*INT(K423/B423)))/C423)/100)))),0,IF(B423=C423,K423/C423,IF((INT(K423/B423)+(((K423-B423*INT(K423/B423)))/C423)/100)&lt;0,(INT(K423/B423)+(((K423-B423*INT(K423/B423)))/C423)/100)+(1-(B423/C423/100)),(INT(K423/B423)+(((K423-B423*INT(K423/B423)))/C423)/100))))</f>
        <v>0</v>
      </c>
      <c r="AW423" s="57">
        <f>IF(ISERROR(IF(B423=C423,L423/C423,(INT(L423/B423)+(((L423-B423*INT(L423/B423)))/C423)/100))),0,(IF(B423=C423,L423/C423,(INT(L423/B423)+(((L423-B423*INT(L423/B423)))/C423)/100))))</f>
        <v>0</v>
      </c>
      <c r="AX423" s="57">
        <f>IF(ISERROR(IF(B423=C423,M423/C423,(INT(M423/B423)+(((M423-B423*INT(M423/B423)))/C423)/100))),0,(IF(B423=C423,M423/C423,(INT(M423/B423)+(((M423-B423*INT(M423/B423)))/C423)/100))))</f>
        <v>0</v>
      </c>
      <c r="AY423" s="57">
        <f>IF(ISERROR(IF(B423=C423,N423/C423,IF((INT(N423/B423)+(((N423-B423*INT(N423/B423)))/C423)/100)&lt;0,(INT(N423/B423)+(((N423-B423*INT(N423/B423)))/C423)/100)+(1-(B423/C423/100)),(INT(N423/B423)+(((N423-B423*INT(N423/B423)))/C423)/100)))),0,IF(B423=C423,N423/C423,IF((INT(N423/B423)+(((N423-B423*INT(N423/B423)))/C423)/100)&lt;0,(INT(N423/B423)+(((N423-B423*INT(N423/B423)))/C423)/100)+(1-(B423/C423/100)),(INT(N423/B423)+(((N423-B423*INT(N423/B423)))/C423)/100))))</f>
        <v>0</v>
      </c>
      <c r="AZ423" s="57">
        <f>IF(ISERROR(IF(B423=C423,O423/C423,(INT(O423/B423)+(((O423-B423*INT(O423/B423)))/C423)/100))),0,(IF(B423=C423,O423/C423,(INT(O423/B423)+(((O423-B423*INT(O423/B423)))/C423)/100))))</f>
        <v>0</v>
      </c>
      <c r="BA423" s="57">
        <f>IF(ISERROR(IF(B423=C423,P423/C423,IF((INT(P423/B423)+(((P423-B423*INT(P423/B423)))/C423)/100)&lt;0,(INT(P423/B423)+(((P423-B423*INT(P423/B423)))/C423)/100)+(1-(B423/C423/100)),(INT(P423/B423)+(((P423-B423*INT(P423/B423)))/C423)/100)))),0,IF(B423=C423,P423/C423,IF((INT(P423/B423)+(((P423-B423*INT(P423/B423)))/C423)/100)&lt;0,(INT(P423/B423)+(((P423-B423*INT(P423/B423)))/C423)/100)+(1-(B423/C423/100)),(INT(P423/B423)+(((P423-B423*INT(P423/B423)))/C423)/100))))</f>
        <v>0</v>
      </c>
      <c r="BB423" s="28">
        <f>R423</f>
        <v>0</v>
      </c>
      <c r="BC423" s="28">
        <f>S423</f>
        <v>0</v>
      </c>
      <c r="BD423" s="28">
        <f>AF423</f>
        <v>0</v>
      </c>
      <c r="BE423" s="28">
        <f>T423</f>
        <v>0</v>
      </c>
      <c r="BG423" s="57">
        <f>IF(ISERROR(IF(B423=C423,V423/C423,(INT(V423/B423)+(((V423-B423*INT(V423/B423)))/C423)/100))),0,(IF(B423=C423,V423/C423,(INT(V423/B423)+(((V423-B423*INT(V423/B423)))/C423)/100))))</f>
        <v>0</v>
      </c>
      <c r="BH423" s="57">
        <f>IF(ISERROR(IF(B423=C423,W423/C423,(INT(W423/B423)+(((W423-B423*INT(W423/B423)))/C423)/100))),0,(IF(B423=C423,W423/C423,(INT(W423/B423)+(((W423-B423*INT(W423/B423)))/C423)/100))))</f>
        <v>0</v>
      </c>
      <c r="BI423" s="57">
        <f>IF(ISERROR(IF(B423=C423,X423/C423,(INT(X423/B423)+(((X423-B423*INT(X423/B423)))/C423)/100))),0,(IF(B423=C423,X423/C423,(INT(X423/B423)+(((X423-B423*INT(X423/B423)))/C423)/100))))</f>
        <v>0</v>
      </c>
      <c r="BJ423" s="57">
        <f>IF(ISERROR(IF(B423=C423,Y423/C423,(INT(Y423/B423)+(((Y423-B423*INT(Y423/B423)))/C423)/100))),0,(IF(B423=C423,Y423/C423,(INT(Y423/B423)+(((Y423-B423*INT(Y423/B423)))/C423)/100))))</f>
        <v>0</v>
      </c>
      <c r="BL423" s="57">
        <f>IF(ISERROR(IF(B423=C423,AA423/C423,(INT(AA423/B423)+(((AA423-B423*INT(AA423/B423)))/C423)/100))),0,(IF(B423=C423,AA423/C423,(INT(AA423/B423)+(((AA423-B423*INT(AA423/B423)))/C423)/100))))</f>
        <v>0</v>
      </c>
      <c r="BM423" s="57">
        <f>IF(ISERROR(IF(B423=C423,AB423/C423,(INT(AB423/B423)+(((AB423-B423*INT(AB423/B423)))/C423)/100))),0,(IF(B423=C423,AB423/C423,(INT(AB423/B423)+(((AB423-B423*INT(AB423/B423)))/C423)/100))))</f>
        <v>0</v>
      </c>
      <c r="BN423" s="57">
        <f>IF(ISERROR(IF(B423=C423,AC423/C423,(INT(AC423/B423)+(((AC423-B423*INT(AC423/B423)))/C423)/100))),0,(IF(B423=C423,AC423/C423,(INT(AC423/B423)+(((AC423-B423*INT(AC423/B423)))/C423)/100))))</f>
        <v>0</v>
      </c>
      <c r="BO423" s="57">
        <f>IF(ISERROR(IF(B423=C423,AD423/C423,(INT(AD423/B423)+(((AD423-B423*INT(AD423/B423)))/C423)/100))),0,(IF(B423=C423,AD423/C423,(INT(AD423/B423)+(((AD423-B423*INT(AD423/B423)))/C423)/100))))</f>
        <v>0</v>
      </c>
      <c r="BQ423" s="155"/>
    </row>
    <row r="424" spans="1:69" hidden="1" x14ac:dyDescent="0.35">
      <c r="A424" s="94"/>
      <c r="B424" s="113">
        <v>0</v>
      </c>
      <c r="C424" s="113">
        <v>0</v>
      </c>
      <c r="D424" s="28">
        <f>SUM(AA424:AD424)</f>
        <v>0</v>
      </c>
      <c r="E424" s="113">
        <v>0</v>
      </c>
      <c r="F424" s="113">
        <v>0</v>
      </c>
      <c r="G424" s="28">
        <f>SUM(D424:F424)</f>
        <v>0</v>
      </c>
      <c r="H424" s="125">
        <v>0</v>
      </c>
      <c r="I424" s="113">
        <v>0</v>
      </c>
      <c r="J424" s="125">
        <v>0</v>
      </c>
      <c r="K424" s="113">
        <v>0</v>
      </c>
      <c r="L424" s="113">
        <v>0</v>
      </c>
      <c r="M424" s="113">
        <v>0</v>
      </c>
      <c r="N424" s="28">
        <f>G424-SUM(H424:M424)</f>
        <v>0</v>
      </c>
      <c r="O424" s="28">
        <f>SUM(V424:Y424)</f>
        <v>0</v>
      </c>
      <c r="P424" s="28">
        <f>O424-N424</f>
        <v>0</v>
      </c>
      <c r="Q424" s="61" t="str">
        <f>IF(ISERROR(P424/SUM(H424:L424)),"",P424/SUM(H424:L424))</f>
        <v/>
      </c>
      <c r="R424" s="113">
        <v>0</v>
      </c>
      <c r="S424" s="28">
        <f>IF(ISERROR(P424/C424*R424),0,(P424/C424*R424))</f>
        <v>0</v>
      </c>
      <c r="T424" s="60">
        <f>IF(ISERROR(P424/B424*AF424),0,(P424/B424*AF424))</f>
        <v>0</v>
      </c>
      <c r="V424" s="113">
        <v>0</v>
      </c>
      <c r="W424" s="113">
        <v>0</v>
      </c>
      <c r="X424" s="113">
        <v>0</v>
      </c>
      <c r="Y424" s="113">
        <v>0</v>
      </c>
      <c r="AA424" s="113">
        <v>0</v>
      </c>
      <c r="AB424" s="113">
        <v>0</v>
      </c>
      <c r="AC424" s="113">
        <v>0</v>
      </c>
      <c r="AD424" s="113">
        <v>0</v>
      </c>
      <c r="AF424" s="113">
        <v>0</v>
      </c>
      <c r="AG424" s="28">
        <f>G424-O424</f>
        <v>0</v>
      </c>
      <c r="AH424" s="58">
        <f>IF(ISERROR(AG424/B424*AF424),0,(AG424/B424*AF424))</f>
        <v>0</v>
      </c>
      <c r="AI424" s="28">
        <f>SUM(H424:M424)</f>
        <v>0</v>
      </c>
      <c r="AJ424" s="28">
        <f>IF(ISERROR(AI424/B424*AF424),0,(AI424/B424*AF424))</f>
        <v>0</v>
      </c>
      <c r="AK424" s="58">
        <f>IF(ISERROR(O424/B424*AF424),0,(O424/B424*AF424))</f>
        <v>0</v>
      </c>
      <c r="AL424" s="28">
        <f>IF(ISERROR(H424/B424*AF424),0,(H424/B424*AF424))</f>
        <v>0</v>
      </c>
      <c r="AN424" s="51">
        <f>A424</f>
        <v>0</v>
      </c>
      <c r="AO424" s="57">
        <f>IF(ISERROR(IF(B424=C424,D424/C424,(INT(D424/B424)+(((D424-B424*INT(D424/B424)))/C424)/100))),0,(IF(B424=C424,D424/C424,(INT(D424/B424)+(((D424-B424*INT(D424/B424)))/C424)/100))))</f>
        <v>0</v>
      </c>
      <c r="AP424" s="57">
        <f>IF(ISERROR(IF(B424=C424,E424/C424,(INT(E424/B424)+(((E424-B424*INT(E424/B424)))/C424)/100))),0,(IF(B424=C424,E424/C424,(INT(E424/B424)+(((E424-B424*INT(E424/B424)))/C424)/100))))</f>
        <v>0</v>
      </c>
      <c r="AQ424" s="57">
        <f>IF(ISERROR(IF(B424=C424,F424/C424,IF((INT(F424/B424)+(((F424-B424*INT(F424/B424)))/C424)/100)&lt;0,(INT(F424/B424)+(((F424-B424*INT(F424/B424)))/C424)/100)+(1-(B424/C424/100)),(INT(F424/B424)+(((F424-B424*INT(F424/B424)))/C424)/100)))),0,IF(B424=C424,F424/C424,IF((INT(F424/B424)+(((F424-B424*INT(F424/B424)))/C424)/100)&lt;0,(INT(F424/B424)+(((F424-B424*INT(F424/B424)))/C424)/100)+(1-(B424/C424/100)),(INT(F424/B424)+(((F424-B424*INT(F424/B424)))/C424)/100))))</f>
        <v>0</v>
      </c>
      <c r="AR424" s="57">
        <f>IF(ISERROR(IF(B424=C424,G424/C424,(INT(G424/B424)+(((G424-B424*INT(G424/B424)))/C424)/100))),0,(IF(B424=C424,G424/C424,(INT(G424/B424)+(((G424-B424*INT(G424/B424)))/C424)/100))))</f>
        <v>0</v>
      </c>
      <c r="AS424" s="57">
        <f>IF(ISERROR(IF(B424=C424,H424/C424,(INT(H424/B424)+(((H424-B424*INT(H424/B424)))/C424)/100))),0,(IF(B424=C424,H424/C424,(INT(H424/B424)+(((H424-B424*INT(H424/B424)))/C424)/100))))</f>
        <v>0</v>
      </c>
      <c r="AT424" s="57">
        <f>IF(ISERROR(IF(B424=C424,I424/C424,(INT(I424/B424)+(((I424-B424*INT(I424/B424)))/C424)/100))),0,(IF(B424=C424,I424/C424,(INT(I424/B424)+(((I424-B424*INT(I424/B424)))/C424)/100))))</f>
        <v>0</v>
      </c>
      <c r="AU424" s="57">
        <f>IF(ISERROR(IF(B424=C424,J424/C424,(INT(J424/B424)+(((J424-B424*INT(J424/B424)))/C424)/100))),0,(IF(B424=C424,J424/C424,(INT(J424/B424)+(((J424-B424*INT(J424/B424)))/C424)/100))))</f>
        <v>0</v>
      </c>
      <c r="AV424" s="57">
        <f>IF(ISERROR(IF(B424=C424,K424/C424,IF((INT(K424/B424)+(((K424-B424*INT(K424/B424)))/C424)/100)&lt;0,(INT(K424/B424)+(((K424-B424*INT(K424/B424)))/C424)/100)+(1-(B424/C424/100)),(INT(K424/B424)+(((K424-B424*INT(K424/B424)))/C424)/100)))),0,IF(B424=C424,K424/C424,IF((INT(K424/B424)+(((K424-B424*INT(K424/B424)))/C424)/100)&lt;0,(INT(K424/B424)+(((K424-B424*INT(K424/B424)))/C424)/100)+(1-(B424/C424/100)),(INT(K424/B424)+(((K424-B424*INT(K424/B424)))/C424)/100))))</f>
        <v>0</v>
      </c>
      <c r="AW424" s="57">
        <f>IF(ISERROR(IF(B424=C424,L424/C424,(INT(L424/B424)+(((L424-B424*INT(L424/B424)))/C424)/100))),0,(IF(B424=C424,L424/C424,(INT(L424/B424)+(((L424-B424*INT(L424/B424)))/C424)/100))))</f>
        <v>0</v>
      </c>
      <c r="AX424" s="57">
        <f>IF(ISERROR(IF(B424=C424,M424/C424,(INT(M424/B424)+(((M424-B424*INT(M424/B424)))/C424)/100))),0,(IF(B424=C424,M424/C424,(INT(M424/B424)+(((M424-B424*INT(M424/B424)))/C424)/100))))</f>
        <v>0</v>
      </c>
      <c r="AY424" s="57">
        <f>IF(ISERROR(IF(B424=C424,N424/C424,IF((INT(N424/B424)+(((N424-B424*INT(N424/B424)))/C424)/100)&lt;0,(INT(N424/B424)+(((N424-B424*INT(N424/B424)))/C424)/100)+(1-(B424/C424/100)),(INT(N424/B424)+(((N424-B424*INT(N424/B424)))/C424)/100)))),0,IF(B424=C424,N424/C424,IF((INT(N424/B424)+(((N424-B424*INT(N424/B424)))/C424)/100)&lt;0,(INT(N424/B424)+(((N424-B424*INT(N424/B424)))/C424)/100)+(1-(B424/C424/100)),(INT(N424/B424)+(((N424-B424*INT(N424/B424)))/C424)/100))))</f>
        <v>0</v>
      </c>
      <c r="AZ424" s="57">
        <f>IF(ISERROR(IF(B424=C424,O424/C424,(INT(O424/B424)+(((O424-B424*INT(O424/B424)))/C424)/100))),0,(IF(B424=C424,O424/C424,(INT(O424/B424)+(((O424-B424*INT(O424/B424)))/C424)/100))))</f>
        <v>0</v>
      </c>
      <c r="BA424" s="57">
        <f>IF(ISERROR(IF(B424=C424,P424/C424,IF((INT(P424/B424)+(((P424-B424*INT(P424/B424)))/C424)/100)&lt;0,(INT(P424/B424)+(((P424-B424*INT(P424/B424)))/C424)/100)+(1-(B424/C424/100)),(INT(P424/B424)+(((P424-B424*INT(P424/B424)))/C424)/100)))),0,IF(B424=C424,P424/C424,IF((INT(P424/B424)+(((P424-B424*INT(P424/B424)))/C424)/100)&lt;0,(INT(P424/B424)+(((P424-B424*INT(P424/B424)))/C424)/100)+(1-(B424/C424/100)),(INT(P424/B424)+(((P424-B424*INT(P424/B424)))/C424)/100))))</f>
        <v>0</v>
      </c>
      <c r="BB424" s="28">
        <f>R424</f>
        <v>0</v>
      </c>
      <c r="BC424" s="28">
        <f>S424</f>
        <v>0</v>
      </c>
      <c r="BD424" s="28">
        <f>AF424</f>
        <v>0</v>
      </c>
      <c r="BE424" s="28">
        <f>T424</f>
        <v>0</v>
      </c>
      <c r="BG424" s="57">
        <f>IF(ISERROR(IF(B424=C424,V424/C424,(INT(V424/B424)+(((V424-B424*INT(V424/B424)))/C424)/100))),0,(IF(B424=C424,V424/C424,(INT(V424/B424)+(((V424-B424*INT(V424/B424)))/C424)/100))))</f>
        <v>0</v>
      </c>
      <c r="BH424" s="57">
        <f>IF(ISERROR(IF(B424=C424,W424/C424,(INT(W424/B424)+(((W424-B424*INT(W424/B424)))/C424)/100))),0,(IF(B424=C424,W424/C424,(INT(W424/B424)+(((W424-B424*INT(W424/B424)))/C424)/100))))</f>
        <v>0</v>
      </c>
      <c r="BI424" s="57">
        <f>IF(ISERROR(IF(B424=C424,X424/C424,(INT(X424/B424)+(((X424-B424*INT(X424/B424)))/C424)/100))),0,(IF(B424=C424,X424/C424,(INT(X424/B424)+(((X424-B424*INT(X424/B424)))/C424)/100))))</f>
        <v>0</v>
      </c>
      <c r="BJ424" s="57">
        <f>IF(ISERROR(IF(B424=C424,Y424/C424,(INT(Y424/B424)+(((Y424-B424*INT(Y424/B424)))/C424)/100))),0,(IF(B424=C424,Y424/C424,(INT(Y424/B424)+(((Y424-B424*INT(Y424/B424)))/C424)/100))))</f>
        <v>0</v>
      </c>
      <c r="BL424" s="57">
        <f>IF(ISERROR(IF(B424=C424,AA424/C424,(INT(AA424/B424)+(((AA424-B424*INT(AA424/B424)))/C424)/100))),0,(IF(B424=C424,AA424/C424,(INT(AA424/B424)+(((AA424-B424*INT(AA424/B424)))/C424)/100))))</f>
        <v>0</v>
      </c>
      <c r="BM424" s="57">
        <f>IF(ISERROR(IF(B424=C424,AB424/C424,(INT(AB424/B424)+(((AB424-B424*INT(AB424/B424)))/C424)/100))),0,(IF(B424=C424,AB424/C424,(INT(AB424/B424)+(((AB424-B424*INT(AB424/B424)))/C424)/100))))</f>
        <v>0</v>
      </c>
      <c r="BN424" s="57">
        <f>IF(ISERROR(IF(B424=C424,AC424/C424,(INT(AC424/B424)+(((AC424-B424*INT(AC424/B424)))/C424)/100))),0,(IF(B424=C424,AC424/C424,(INT(AC424/B424)+(((AC424-B424*INT(AC424/B424)))/C424)/100))))</f>
        <v>0</v>
      </c>
      <c r="BO424" s="57">
        <f>IF(ISERROR(IF(B424=C424,AD424/C424,(INT(AD424/B424)+(((AD424-B424*INT(AD424/B424)))/C424)/100))),0,(IF(B424=C424,AD424/C424,(INT(AD424/B424)+(((AD424-B424*INT(AD424/B424)))/C424)/100))))</f>
        <v>0</v>
      </c>
      <c r="BQ424" s="155"/>
    </row>
    <row r="425" spans="1:69" hidden="1" x14ac:dyDescent="0.35">
      <c r="A425" s="94"/>
      <c r="B425" s="113">
        <v>0</v>
      </c>
      <c r="C425" s="113">
        <v>0</v>
      </c>
      <c r="D425" s="28">
        <f>SUM(AA425:AD425)</f>
        <v>0</v>
      </c>
      <c r="E425" s="113">
        <v>0</v>
      </c>
      <c r="F425" s="113">
        <v>0</v>
      </c>
      <c r="G425" s="28">
        <f>SUM(D425:F425)</f>
        <v>0</v>
      </c>
      <c r="H425" s="125">
        <v>0</v>
      </c>
      <c r="I425" s="113">
        <v>0</v>
      </c>
      <c r="J425" s="125">
        <v>0</v>
      </c>
      <c r="K425" s="113">
        <v>0</v>
      </c>
      <c r="L425" s="113">
        <v>0</v>
      </c>
      <c r="M425" s="113">
        <v>0</v>
      </c>
      <c r="N425" s="28">
        <f>G425-SUM(H425:M425)</f>
        <v>0</v>
      </c>
      <c r="O425" s="28">
        <f>SUM(V425:Y425)</f>
        <v>0</v>
      </c>
      <c r="P425" s="28">
        <f>O425-N425</f>
        <v>0</v>
      </c>
      <c r="Q425" s="61" t="str">
        <f>IF(ISERROR(P425/SUM(H425:L425)),"",P425/SUM(H425:L425))</f>
        <v/>
      </c>
      <c r="R425" s="113">
        <v>0</v>
      </c>
      <c r="S425" s="28">
        <f>IF(ISERROR(P425/C425*R425),0,(P425/C425*R425))</f>
        <v>0</v>
      </c>
      <c r="T425" s="60">
        <f>IF(ISERROR(P425/B425*AF425),0,(P425/B425*AF425))</f>
        <v>0</v>
      </c>
      <c r="V425" s="113">
        <v>0</v>
      </c>
      <c r="W425" s="113">
        <v>0</v>
      </c>
      <c r="X425" s="113">
        <v>0</v>
      </c>
      <c r="Y425" s="113">
        <v>0</v>
      </c>
      <c r="AA425" s="113">
        <v>0</v>
      </c>
      <c r="AB425" s="113">
        <v>0</v>
      </c>
      <c r="AC425" s="113">
        <v>0</v>
      </c>
      <c r="AD425" s="113">
        <v>0</v>
      </c>
      <c r="AF425" s="113">
        <v>0</v>
      </c>
      <c r="AG425" s="28">
        <f>G425-O425</f>
        <v>0</v>
      </c>
      <c r="AH425" s="58">
        <f>IF(ISERROR(AG425/B425*AF425),0,(AG425/B425*AF425))</f>
        <v>0</v>
      </c>
      <c r="AI425" s="28">
        <f>SUM(H425:M425)</f>
        <v>0</v>
      </c>
      <c r="AJ425" s="28">
        <f>IF(ISERROR(AI425/B425*AF425),0,(AI425/B425*AF425))</f>
        <v>0</v>
      </c>
      <c r="AK425" s="58">
        <f>IF(ISERROR(O425/B425*AF425),0,(O425/B425*AF425))</f>
        <v>0</v>
      </c>
      <c r="AL425" s="28">
        <f>IF(ISERROR(H425/B425*AF425),0,(H425/B425*AF425))</f>
        <v>0</v>
      </c>
      <c r="AN425" s="51">
        <f>A425</f>
        <v>0</v>
      </c>
      <c r="AO425" s="57">
        <f>IF(ISERROR(IF(B425=C425,D425/C425,(INT(D425/B425)+(((D425-B425*INT(D425/B425)))/C425)/100))),0,(IF(B425=C425,D425/C425,(INT(D425/B425)+(((D425-B425*INT(D425/B425)))/C425)/100))))</f>
        <v>0</v>
      </c>
      <c r="AP425" s="57">
        <f>IF(ISERROR(IF(B425=C425,E425/C425,(INT(E425/B425)+(((E425-B425*INT(E425/B425)))/C425)/100))),0,(IF(B425=C425,E425/C425,(INT(E425/B425)+(((E425-B425*INT(E425/B425)))/C425)/100))))</f>
        <v>0</v>
      </c>
      <c r="AQ425" s="57">
        <f>IF(ISERROR(IF(B425=C425,F425/C425,IF((INT(F425/B425)+(((F425-B425*INT(F425/B425)))/C425)/100)&lt;0,(INT(F425/B425)+(((F425-B425*INT(F425/B425)))/C425)/100)+(1-(B425/C425/100)),(INT(F425/B425)+(((F425-B425*INT(F425/B425)))/C425)/100)))),0,IF(B425=C425,F425/C425,IF((INT(F425/B425)+(((F425-B425*INT(F425/B425)))/C425)/100)&lt;0,(INT(F425/B425)+(((F425-B425*INT(F425/B425)))/C425)/100)+(1-(B425/C425/100)),(INT(F425/B425)+(((F425-B425*INT(F425/B425)))/C425)/100))))</f>
        <v>0</v>
      </c>
      <c r="AR425" s="57">
        <f>IF(ISERROR(IF(B425=C425,G425/C425,(INT(G425/B425)+(((G425-B425*INT(G425/B425)))/C425)/100))),0,(IF(B425=C425,G425/C425,(INT(G425/B425)+(((G425-B425*INT(G425/B425)))/C425)/100))))</f>
        <v>0</v>
      </c>
      <c r="AS425" s="57">
        <f>IF(ISERROR(IF(B425=C425,H425/C425,(INT(H425/B425)+(((H425-B425*INT(H425/B425)))/C425)/100))),0,(IF(B425=C425,H425/C425,(INT(H425/B425)+(((H425-B425*INT(H425/B425)))/C425)/100))))</f>
        <v>0</v>
      </c>
      <c r="AT425" s="57">
        <f>IF(ISERROR(IF(B425=C425,I425/C425,(INT(I425/B425)+(((I425-B425*INT(I425/B425)))/C425)/100))),0,(IF(B425=C425,I425/C425,(INT(I425/B425)+(((I425-B425*INT(I425/B425)))/C425)/100))))</f>
        <v>0</v>
      </c>
      <c r="AU425" s="57">
        <f>IF(ISERROR(IF(B425=C425,J425/C425,(INT(J425/B425)+(((J425-B425*INT(J425/B425)))/C425)/100))),0,(IF(B425=C425,J425/C425,(INT(J425/B425)+(((J425-B425*INT(J425/B425)))/C425)/100))))</f>
        <v>0</v>
      </c>
      <c r="AV425" s="57">
        <f>IF(ISERROR(IF(B425=C425,K425/C425,IF((INT(K425/B425)+(((K425-B425*INT(K425/B425)))/C425)/100)&lt;0,(INT(K425/B425)+(((K425-B425*INT(K425/B425)))/C425)/100)+(1-(B425/C425/100)),(INT(K425/B425)+(((K425-B425*INT(K425/B425)))/C425)/100)))),0,IF(B425=C425,K425/C425,IF((INT(K425/B425)+(((K425-B425*INT(K425/B425)))/C425)/100)&lt;0,(INT(K425/B425)+(((K425-B425*INT(K425/B425)))/C425)/100)+(1-(B425/C425/100)),(INT(K425/B425)+(((K425-B425*INT(K425/B425)))/C425)/100))))</f>
        <v>0</v>
      </c>
      <c r="AW425" s="57">
        <f>IF(ISERROR(IF(B425=C425,L425/C425,(INT(L425/B425)+(((L425-B425*INT(L425/B425)))/C425)/100))),0,(IF(B425=C425,L425/C425,(INT(L425/B425)+(((L425-B425*INT(L425/B425)))/C425)/100))))</f>
        <v>0</v>
      </c>
      <c r="AX425" s="57">
        <f>IF(ISERROR(IF(B425=C425,M425/C425,(INT(M425/B425)+(((M425-B425*INT(M425/B425)))/C425)/100))),0,(IF(B425=C425,M425/C425,(INT(M425/B425)+(((M425-B425*INT(M425/B425)))/C425)/100))))</f>
        <v>0</v>
      </c>
      <c r="AY425" s="57">
        <f>IF(ISERROR(IF(B425=C425,N425/C425,IF((INT(N425/B425)+(((N425-B425*INT(N425/B425)))/C425)/100)&lt;0,(INT(N425/B425)+(((N425-B425*INT(N425/B425)))/C425)/100)+(1-(B425/C425/100)),(INT(N425/B425)+(((N425-B425*INT(N425/B425)))/C425)/100)))),0,IF(B425=C425,N425/C425,IF((INT(N425/B425)+(((N425-B425*INT(N425/B425)))/C425)/100)&lt;0,(INT(N425/B425)+(((N425-B425*INT(N425/B425)))/C425)/100)+(1-(B425/C425/100)),(INT(N425/B425)+(((N425-B425*INT(N425/B425)))/C425)/100))))</f>
        <v>0</v>
      </c>
      <c r="AZ425" s="57">
        <f>IF(ISERROR(IF(B425=C425,O425/C425,(INT(O425/B425)+(((O425-B425*INT(O425/B425)))/C425)/100))),0,(IF(B425=C425,O425/C425,(INT(O425/B425)+(((O425-B425*INT(O425/B425)))/C425)/100))))</f>
        <v>0</v>
      </c>
      <c r="BA425" s="57">
        <f>IF(ISERROR(IF(B425=C425,P425/C425,IF((INT(P425/B425)+(((P425-B425*INT(P425/B425)))/C425)/100)&lt;0,(INT(P425/B425)+(((P425-B425*INT(P425/B425)))/C425)/100)+(1-(B425/C425/100)),(INT(P425/B425)+(((P425-B425*INT(P425/B425)))/C425)/100)))),0,IF(B425=C425,P425/C425,IF((INT(P425/B425)+(((P425-B425*INT(P425/B425)))/C425)/100)&lt;0,(INT(P425/B425)+(((P425-B425*INT(P425/B425)))/C425)/100)+(1-(B425/C425/100)),(INT(P425/B425)+(((P425-B425*INT(P425/B425)))/C425)/100))))</f>
        <v>0</v>
      </c>
      <c r="BB425" s="28">
        <f>R425</f>
        <v>0</v>
      </c>
      <c r="BC425" s="28">
        <f>S425</f>
        <v>0</v>
      </c>
      <c r="BD425" s="28">
        <f>AF425</f>
        <v>0</v>
      </c>
      <c r="BE425" s="28">
        <f>T425</f>
        <v>0</v>
      </c>
      <c r="BG425" s="57">
        <f>IF(ISERROR(IF(B425=C425,V425/C425,(INT(V425/B425)+(((V425-B425*INT(V425/B425)))/C425)/100))),0,(IF(B425=C425,V425/C425,(INT(V425/B425)+(((V425-B425*INT(V425/B425)))/C425)/100))))</f>
        <v>0</v>
      </c>
      <c r="BH425" s="57">
        <f>IF(ISERROR(IF(B425=C425,W425/C425,(INT(W425/B425)+(((W425-B425*INT(W425/B425)))/C425)/100))),0,(IF(B425=C425,W425/C425,(INT(W425/B425)+(((W425-B425*INT(W425/B425)))/C425)/100))))</f>
        <v>0</v>
      </c>
      <c r="BI425" s="57">
        <f>IF(ISERROR(IF(B425=C425,X425/C425,(INT(X425/B425)+(((X425-B425*INT(X425/B425)))/C425)/100))),0,(IF(B425=C425,X425/C425,(INT(X425/B425)+(((X425-B425*INT(X425/B425)))/C425)/100))))</f>
        <v>0</v>
      </c>
      <c r="BJ425" s="57">
        <f>IF(ISERROR(IF(B425=C425,Y425/C425,(INT(Y425/B425)+(((Y425-B425*INT(Y425/B425)))/C425)/100))),0,(IF(B425=C425,Y425/C425,(INT(Y425/B425)+(((Y425-B425*INT(Y425/B425)))/C425)/100))))</f>
        <v>0</v>
      </c>
      <c r="BL425" s="57">
        <f>IF(ISERROR(IF(B425=C425,AA425/C425,(INT(AA425/B425)+(((AA425-B425*INT(AA425/B425)))/C425)/100))),0,(IF(B425=C425,AA425/C425,(INT(AA425/B425)+(((AA425-B425*INT(AA425/B425)))/C425)/100))))</f>
        <v>0</v>
      </c>
      <c r="BM425" s="57">
        <f>IF(ISERROR(IF(B425=C425,AB425/C425,(INT(AB425/B425)+(((AB425-B425*INT(AB425/B425)))/C425)/100))),0,(IF(B425=C425,AB425/C425,(INT(AB425/B425)+(((AB425-B425*INT(AB425/B425)))/C425)/100))))</f>
        <v>0</v>
      </c>
      <c r="BN425" s="57">
        <f>IF(ISERROR(IF(B425=C425,AC425/C425,(INT(AC425/B425)+(((AC425-B425*INT(AC425/B425)))/C425)/100))),0,(IF(B425=C425,AC425/C425,(INT(AC425/B425)+(((AC425-B425*INT(AC425/B425)))/C425)/100))))</f>
        <v>0</v>
      </c>
      <c r="BO425" s="57">
        <f>IF(ISERROR(IF(B425=C425,AD425/C425,(INT(AD425/B425)+(((AD425-B425*INT(AD425/B425)))/C425)/100))),0,(IF(B425=C425,AD425/C425,(INT(AD425/B425)+(((AD425-B425*INT(AD425/B425)))/C425)/100))))</f>
        <v>0</v>
      </c>
      <c r="BQ425" s="155"/>
    </row>
    <row r="426" spans="1:69" hidden="1" x14ac:dyDescent="0.35">
      <c r="A426" s="94"/>
      <c r="B426" s="113">
        <v>0</v>
      </c>
      <c r="C426" s="113">
        <v>0</v>
      </c>
      <c r="D426" s="28">
        <f>SUM(AA426:AD426)</f>
        <v>0</v>
      </c>
      <c r="E426" s="113">
        <v>0</v>
      </c>
      <c r="F426" s="113">
        <v>0</v>
      </c>
      <c r="G426" s="28">
        <f>SUM(D426:F426)</f>
        <v>0</v>
      </c>
      <c r="H426" s="125">
        <v>0</v>
      </c>
      <c r="I426" s="113">
        <v>0</v>
      </c>
      <c r="J426" s="125">
        <v>0</v>
      </c>
      <c r="K426" s="113">
        <v>0</v>
      </c>
      <c r="L426" s="113">
        <v>0</v>
      </c>
      <c r="M426" s="113">
        <v>0</v>
      </c>
      <c r="N426" s="28">
        <f>G426-SUM(H426:M426)</f>
        <v>0</v>
      </c>
      <c r="O426" s="28">
        <f>SUM(V426:Y426)</f>
        <v>0</v>
      </c>
      <c r="P426" s="28">
        <f>O426-N426</f>
        <v>0</v>
      </c>
      <c r="Q426" s="61" t="str">
        <f>IF(ISERROR(P426/SUM(H426:L426)),"",P426/SUM(H426:L426))</f>
        <v/>
      </c>
      <c r="R426" s="113">
        <v>0</v>
      </c>
      <c r="S426" s="28">
        <f>IF(ISERROR(P426/C426*R426),0,(P426/C426*R426))</f>
        <v>0</v>
      </c>
      <c r="T426" s="60">
        <f>IF(ISERROR(P426/B426*AF426),0,(P426/B426*AF426))</f>
        <v>0</v>
      </c>
      <c r="V426" s="113">
        <v>0</v>
      </c>
      <c r="W426" s="113">
        <v>0</v>
      </c>
      <c r="X426" s="113">
        <v>0</v>
      </c>
      <c r="Y426" s="113">
        <v>0</v>
      </c>
      <c r="AA426" s="113">
        <v>0</v>
      </c>
      <c r="AB426" s="113">
        <v>0</v>
      </c>
      <c r="AC426" s="113">
        <v>0</v>
      </c>
      <c r="AD426" s="113">
        <v>0</v>
      </c>
      <c r="AF426" s="113">
        <v>0</v>
      </c>
      <c r="AG426" s="28">
        <f>G426-O426</f>
        <v>0</v>
      </c>
      <c r="AH426" s="58">
        <f>IF(ISERROR(AG426/B426*AF426),0,(AG426/B426*AF426))</f>
        <v>0</v>
      </c>
      <c r="AI426" s="28">
        <f>SUM(H426:M426)</f>
        <v>0</v>
      </c>
      <c r="AJ426" s="28">
        <f>IF(ISERROR(AI426/B426*AF426),0,(AI426/B426*AF426))</f>
        <v>0</v>
      </c>
      <c r="AK426" s="58">
        <f>IF(ISERROR(O426/B426*AF426),0,(O426/B426*AF426))</f>
        <v>0</v>
      </c>
      <c r="AL426" s="28">
        <f>IF(ISERROR(H426/B426*AF426),0,(H426/B426*AF426))</f>
        <v>0</v>
      </c>
      <c r="AN426" s="51">
        <f>A426</f>
        <v>0</v>
      </c>
      <c r="AO426" s="57">
        <f>IF(ISERROR(IF(B426=C426,D426/C426,(INT(D426/B426)+(((D426-B426*INT(D426/B426)))/C426)/100))),0,(IF(B426=C426,D426/C426,(INT(D426/B426)+(((D426-B426*INT(D426/B426)))/C426)/100))))</f>
        <v>0</v>
      </c>
      <c r="AP426" s="57">
        <f>IF(ISERROR(IF(B426=C426,E426/C426,(INT(E426/B426)+(((E426-B426*INT(E426/B426)))/C426)/100))),0,(IF(B426=C426,E426/C426,(INT(E426/B426)+(((E426-B426*INT(E426/B426)))/C426)/100))))</f>
        <v>0</v>
      </c>
      <c r="AQ426" s="57">
        <f>IF(ISERROR(IF(B426=C426,F426/C426,IF((INT(F426/B426)+(((F426-B426*INT(F426/B426)))/C426)/100)&lt;0,(INT(F426/B426)+(((F426-B426*INT(F426/B426)))/C426)/100)+(1-(B426/C426/100)),(INT(F426/B426)+(((F426-B426*INT(F426/B426)))/C426)/100)))),0,IF(B426=C426,F426/C426,IF((INT(F426/B426)+(((F426-B426*INT(F426/B426)))/C426)/100)&lt;0,(INT(F426/B426)+(((F426-B426*INT(F426/B426)))/C426)/100)+(1-(B426/C426/100)),(INT(F426/B426)+(((F426-B426*INT(F426/B426)))/C426)/100))))</f>
        <v>0</v>
      </c>
      <c r="AR426" s="57">
        <f>IF(ISERROR(IF(B426=C426,G426/C426,(INT(G426/B426)+(((G426-B426*INT(G426/B426)))/C426)/100))),0,(IF(B426=C426,G426/C426,(INT(G426/B426)+(((G426-B426*INT(G426/B426)))/C426)/100))))</f>
        <v>0</v>
      </c>
      <c r="AS426" s="57">
        <f>IF(ISERROR(IF(B426=C426,H426/C426,(INT(H426/B426)+(((H426-B426*INT(H426/B426)))/C426)/100))),0,(IF(B426=C426,H426/C426,(INT(H426/B426)+(((H426-B426*INT(H426/B426)))/C426)/100))))</f>
        <v>0</v>
      </c>
      <c r="AT426" s="57">
        <f>IF(ISERROR(IF(B426=C426,I426/C426,(INT(I426/B426)+(((I426-B426*INT(I426/B426)))/C426)/100))),0,(IF(B426=C426,I426/C426,(INT(I426/B426)+(((I426-B426*INT(I426/B426)))/C426)/100))))</f>
        <v>0</v>
      </c>
      <c r="AU426" s="57">
        <f>IF(ISERROR(IF(B426=C426,J426/C426,(INT(J426/B426)+(((J426-B426*INT(J426/B426)))/C426)/100))),0,(IF(B426=C426,J426/C426,(INT(J426/B426)+(((J426-B426*INT(J426/B426)))/C426)/100))))</f>
        <v>0</v>
      </c>
      <c r="AV426" s="57">
        <f>IF(ISERROR(IF(B426=C426,K426/C426,IF((INT(K426/B426)+(((K426-B426*INT(K426/B426)))/C426)/100)&lt;0,(INT(K426/B426)+(((K426-B426*INT(K426/B426)))/C426)/100)+(1-(B426/C426/100)),(INT(K426/B426)+(((K426-B426*INT(K426/B426)))/C426)/100)))),0,IF(B426=C426,K426/C426,IF((INT(K426/B426)+(((K426-B426*INT(K426/B426)))/C426)/100)&lt;0,(INT(K426/B426)+(((K426-B426*INT(K426/B426)))/C426)/100)+(1-(B426/C426/100)),(INT(K426/B426)+(((K426-B426*INT(K426/B426)))/C426)/100))))</f>
        <v>0</v>
      </c>
      <c r="AW426" s="57">
        <f>IF(ISERROR(IF(B426=C426,L426/C426,(INT(L426/B426)+(((L426-B426*INT(L426/B426)))/C426)/100))),0,(IF(B426=C426,L426/C426,(INT(L426/B426)+(((L426-B426*INT(L426/B426)))/C426)/100))))</f>
        <v>0</v>
      </c>
      <c r="AX426" s="57">
        <f>IF(ISERROR(IF(B426=C426,M426/C426,(INT(M426/B426)+(((M426-B426*INT(M426/B426)))/C426)/100))),0,(IF(B426=C426,M426/C426,(INT(M426/B426)+(((M426-B426*INT(M426/B426)))/C426)/100))))</f>
        <v>0</v>
      </c>
      <c r="AY426" s="57">
        <f>IF(ISERROR(IF(B426=C426,N426/C426,IF((INT(N426/B426)+(((N426-B426*INT(N426/B426)))/C426)/100)&lt;0,(INT(N426/B426)+(((N426-B426*INT(N426/B426)))/C426)/100)+(1-(B426/C426/100)),(INT(N426/B426)+(((N426-B426*INT(N426/B426)))/C426)/100)))),0,IF(B426=C426,N426/C426,IF((INT(N426/B426)+(((N426-B426*INT(N426/B426)))/C426)/100)&lt;0,(INT(N426/B426)+(((N426-B426*INT(N426/B426)))/C426)/100)+(1-(B426/C426/100)),(INT(N426/B426)+(((N426-B426*INT(N426/B426)))/C426)/100))))</f>
        <v>0</v>
      </c>
      <c r="AZ426" s="57">
        <f>IF(ISERROR(IF(B426=C426,O426/C426,(INT(O426/B426)+(((O426-B426*INT(O426/B426)))/C426)/100))),0,(IF(B426=C426,O426/C426,(INT(O426/B426)+(((O426-B426*INT(O426/B426)))/C426)/100))))</f>
        <v>0</v>
      </c>
      <c r="BA426" s="57">
        <f>IF(ISERROR(IF(B426=C426,P426/C426,IF((INT(P426/B426)+(((P426-B426*INT(P426/B426)))/C426)/100)&lt;0,(INT(P426/B426)+(((P426-B426*INT(P426/B426)))/C426)/100)+(1-(B426/C426/100)),(INT(P426/B426)+(((P426-B426*INT(P426/B426)))/C426)/100)))),0,IF(B426=C426,P426/C426,IF((INT(P426/B426)+(((P426-B426*INT(P426/B426)))/C426)/100)&lt;0,(INT(P426/B426)+(((P426-B426*INT(P426/B426)))/C426)/100)+(1-(B426/C426/100)),(INT(P426/B426)+(((P426-B426*INT(P426/B426)))/C426)/100))))</f>
        <v>0</v>
      </c>
      <c r="BB426" s="28">
        <f>R426</f>
        <v>0</v>
      </c>
      <c r="BC426" s="28">
        <f>S426</f>
        <v>0</v>
      </c>
      <c r="BD426" s="28">
        <f>AF426</f>
        <v>0</v>
      </c>
      <c r="BE426" s="28">
        <f>T426</f>
        <v>0</v>
      </c>
      <c r="BG426" s="57">
        <f>IF(ISERROR(IF(B426=C426,V426/C426,(INT(V426/B426)+(((V426-B426*INT(V426/B426)))/C426)/100))),0,(IF(B426=C426,V426/C426,(INT(V426/B426)+(((V426-B426*INT(V426/B426)))/C426)/100))))</f>
        <v>0</v>
      </c>
      <c r="BH426" s="57">
        <f>IF(ISERROR(IF(B426=C426,W426/C426,(INT(W426/B426)+(((W426-B426*INT(W426/B426)))/C426)/100))),0,(IF(B426=C426,W426/C426,(INT(W426/B426)+(((W426-B426*INT(W426/B426)))/C426)/100))))</f>
        <v>0</v>
      </c>
      <c r="BI426" s="57">
        <f>IF(ISERROR(IF(B426=C426,X426/C426,(INT(X426/B426)+(((X426-B426*INT(X426/B426)))/C426)/100))),0,(IF(B426=C426,X426/C426,(INT(X426/B426)+(((X426-B426*INT(X426/B426)))/C426)/100))))</f>
        <v>0</v>
      </c>
      <c r="BJ426" s="57">
        <f>IF(ISERROR(IF(B426=C426,Y426/C426,(INT(Y426/B426)+(((Y426-B426*INT(Y426/B426)))/C426)/100))),0,(IF(B426=C426,Y426/C426,(INT(Y426/B426)+(((Y426-B426*INT(Y426/B426)))/C426)/100))))</f>
        <v>0</v>
      </c>
      <c r="BL426" s="57">
        <f>IF(ISERROR(IF(B426=C426,AA426/C426,(INT(AA426/B426)+(((AA426-B426*INT(AA426/B426)))/C426)/100))),0,(IF(B426=C426,AA426/C426,(INT(AA426/B426)+(((AA426-B426*INT(AA426/B426)))/C426)/100))))</f>
        <v>0</v>
      </c>
      <c r="BM426" s="57">
        <f>IF(ISERROR(IF(B426=C426,AB426/C426,(INT(AB426/B426)+(((AB426-B426*INT(AB426/B426)))/C426)/100))),0,(IF(B426=C426,AB426/C426,(INT(AB426/B426)+(((AB426-B426*INT(AB426/B426)))/C426)/100))))</f>
        <v>0</v>
      </c>
      <c r="BN426" s="57">
        <f>IF(ISERROR(IF(B426=C426,AC426/C426,(INT(AC426/B426)+(((AC426-B426*INT(AC426/B426)))/C426)/100))),0,(IF(B426=C426,AC426/C426,(INT(AC426/B426)+(((AC426-B426*INT(AC426/B426)))/C426)/100))))</f>
        <v>0</v>
      </c>
      <c r="BO426" s="57">
        <f>IF(ISERROR(IF(B426=C426,AD426/C426,(INT(AD426/B426)+(((AD426-B426*INT(AD426/B426)))/C426)/100))),0,(IF(B426=C426,AD426/C426,(INT(AD426/B426)+(((AD426-B426*INT(AD426/B426)))/C426)/100))))</f>
        <v>0</v>
      </c>
      <c r="BQ426" s="155"/>
    </row>
    <row r="427" spans="1:69" hidden="1" x14ac:dyDescent="0.35">
      <c r="A427" s="94"/>
      <c r="B427" s="113">
        <v>0</v>
      </c>
      <c r="C427" s="113">
        <v>0</v>
      </c>
      <c r="D427" s="28">
        <f>SUM(AA427:AD427)</f>
        <v>0</v>
      </c>
      <c r="E427" s="113">
        <v>0</v>
      </c>
      <c r="F427" s="113">
        <v>0</v>
      </c>
      <c r="G427" s="28">
        <f>SUM(D427:F427)</f>
        <v>0</v>
      </c>
      <c r="H427" s="125">
        <v>0</v>
      </c>
      <c r="I427" s="113">
        <v>0</v>
      </c>
      <c r="J427" s="125">
        <v>0</v>
      </c>
      <c r="K427" s="113">
        <v>0</v>
      </c>
      <c r="L427" s="113">
        <v>0</v>
      </c>
      <c r="M427" s="113">
        <v>0</v>
      </c>
      <c r="N427" s="28">
        <f>G427-SUM(H427:M427)</f>
        <v>0</v>
      </c>
      <c r="O427" s="28">
        <f>SUM(V427:Y427)</f>
        <v>0</v>
      </c>
      <c r="P427" s="28">
        <f>O427-N427</f>
        <v>0</v>
      </c>
      <c r="Q427" s="61" t="str">
        <f>IF(ISERROR(P427/SUM(H427:L427)),"",P427/SUM(H427:L427))</f>
        <v/>
      </c>
      <c r="R427" s="113">
        <v>0</v>
      </c>
      <c r="S427" s="28">
        <f>IF(ISERROR(P427/C427*R427),0,(P427/C427*R427))</f>
        <v>0</v>
      </c>
      <c r="T427" s="60">
        <f>IF(ISERROR(P427/B427*AF427),0,(P427/B427*AF427))</f>
        <v>0</v>
      </c>
      <c r="V427" s="113">
        <v>0</v>
      </c>
      <c r="W427" s="113">
        <v>0</v>
      </c>
      <c r="X427" s="113">
        <v>0</v>
      </c>
      <c r="Y427" s="113">
        <v>0</v>
      </c>
      <c r="AA427" s="113">
        <v>0</v>
      </c>
      <c r="AB427" s="113">
        <v>0</v>
      </c>
      <c r="AC427" s="113">
        <v>0</v>
      </c>
      <c r="AD427" s="113">
        <v>0</v>
      </c>
      <c r="AF427" s="113">
        <v>0</v>
      </c>
      <c r="AG427" s="28">
        <f>G427-O427</f>
        <v>0</v>
      </c>
      <c r="AH427" s="58">
        <f>IF(ISERROR(AG427/B427*AF427),0,(AG427/B427*AF427))</f>
        <v>0</v>
      </c>
      <c r="AI427" s="28">
        <f>SUM(H427:M427)</f>
        <v>0</v>
      </c>
      <c r="AJ427" s="28">
        <f>IF(ISERROR(AI427/B427*AF427),0,(AI427/B427*AF427))</f>
        <v>0</v>
      </c>
      <c r="AK427" s="58">
        <f>IF(ISERROR(O427/B427*AF427),0,(O427/B427*AF427))</f>
        <v>0</v>
      </c>
      <c r="AL427" s="28">
        <f>IF(ISERROR(H427/B427*AF427),0,(H427/B427*AF427))</f>
        <v>0</v>
      </c>
      <c r="AN427" s="51">
        <f>A427</f>
        <v>0</v>
      </c>
      <c r="AO427" s="57">
        <f>IF(ISERROR(IF(B427=C427,D427/C427,(INT(D427/B427)+(((D427-B427*INT(D427/B427)))/C427)/100))),0,(IF(B427=C427,D427/C427,(INT(D427/B427)+(((D427-B427*INT(D427/B427)))/C427)/100))))</f>
        <v>0</v>
      </c>
      <c r="AP427" s="57">
        <f>IF(ISERROR(IF(B427=C427,E427/C427,(INT(E427/B427)+(((E427-B427*INT(E427/B427)))/C427)/100))),0,(IF(B427=C427,E427/C427,(INT(E427/B427)+(((E427-B427*INT(E427/B427)))/C427)/100))))</f>
        <v>0</v>
      </c>
      <c r="AQ427" s="57">
        <f>IF(ISERROR(IF(B427=C427,F427/C427,IF((INT(F427/B427)+(((F427-B427*INT(F427/B427)))/C427)/100)&lt;0,(INT(F427/B427)+(((F427-B427*INT(F427/B427)))/C427)/100)+(1-(B427/C427/100)),(INT(F427/B427)+(((F427-B427*INT(F427/B427)))/C427)/100)))),0,IF(B427=C427,F427/C427,IF((INT(F427/B427)+(((F427-B427*INT(F427/B427)))/C427)/100)&lt;0,(INT(F427/B427)+(((F427-B427*INT(F427/B427)))/C427)/100)+(1-(B427/C427/100)),(INT(F427/B427)+(((F427-B427*INT(F427/B427)))/C427)/100))))</f>
        <v>0</v>
      </c>
      <c r="AR427" s="57">
        <f>IF(ISERROR(IF(B427=C427,G427/C427,(INT(G427/B427)+(((G427-B427*INT(G427/B427)))/C427)/100))),0,(IF(B427=C427,G427/C427,(INT(G427/B427)+(((G427-B427*INT(G427/B427)))/C427)/100))))</f>
        <v>0</v>
      </c>
      <c r="AS427" s="57">
        <f>IF(ISERROR(IF(B427=C427,H427/C427,(INT(H427/B427)+(((H427-B427*INT(H427/B427)))/C427)/100))),0,(IF(B427=C427,H427/C427,(INT(H427/B427)+(((H427-B427*INT(H427/B427)))/C427)/100))))</f>
        <v>0</v>
      </c>
      <c r="AT427" s="57">
        <f>IF(ISERROR(IF(B427=C427,I427/C427,(INT(I427/B427)+(((I427-B427*INT(I427/B427)))/C427)/100))),0,(IF(B427=C427,I427/C427,(INT(I427/B427)+(((I427-B427*INT(I427/B427)))/C427)/100))))</f>
        <v>0</v>
      </c>
      <c r="AU427" s="57">
        <f>IF(ISERROR(IF(B427=C427,J427/C427,(INT(J427/B427)+(((J427-B427*INT(J427/B427)))/C427)/100))),0,(IF(B427=C427,J427/C427,(INT(J427/B427)+(((J427-B427*INT(J427/B427)))/C427)/100))))</f>
        <v>0</v>
      </c>
      <c r="AV427" s="57">
        <f>IF(ISERROR(IF(B427=C427,K427/C427,IF((INT(K427/B427)+(((K427-B427*INT(K427/B427)))/C427)/100)&lt;0,(INT(K427/B427)+(((K427-B427*INT(K427/B427)))/C427)/100)+(1-(B427/C427/100)),(INT(K427/B427)+(((K427-B427*INT(K427/B427)))/C427)/100)))),0,IF(B427=C427,K427/C427,IF((INT(K427/B427)+(((K427-B427*INT(K427/B427)))/C427)/100)&lt;0,(INT(K427/B427)+(((K427-B427*INT(K427/B427)))/C427)/100)+(1-(B427/C427/100)),(INT(K427/B427)+(((K427-B427*INT(K427/B427)))/C427)/100))))</f>
        <v>0</v>
      </c>
      <c r="AW427" s="57">
        <f>IF(ISERROR(IF(B427=C427,L427/C427,(INT(L427/B427)+(((L427-B427*INT(L427/B427)))/C427)/100))),0,(IF(B427=C427,L427/C427,(INT(L427/B427)+(((L427-B427*INT(L427/B427)))/C427)/100))))</f>
        <v>0</v>
      </c>
      <c r="AX427" s="57">
        <f>IF(ISERROR(IF(B427=C427,M427/C427,(INT(M427/B427)+(((M427-B427*INT(M427/B427)))/C427)/100))),0,(IF(B427=C427,M427/C427,(INT(M427/B427)+(((M427-B427*INT(M427/B427)))/C427)/100))))</f>
        <v>0</v>
      </c>
      <c r="AY427" s="57">
        <f>IF(ISERROR(IF(B427=C427,N427/C427,IF((INT(N427/B427)+(((N427-B427*INT(N427/B427)))/C427)/100)&lt;0,(INT(N427/B427)+(((N427-B427*INT(N427/B427)))/C427)/100)+(1-(B427/C427/100)),(INT(N427/B427)+(((N427-B427*INT(N427/B427)))/C427)/100)))),0,IF(B427=C427,N427/C427,IF((INT(N427/B427)+(((N427-B427*INT(N427/B427)))/C427)/100)&lt;0,(INT(N427/B427)+(((N427-B427*INT(N427/B427)))/C427)/100)+(1-(B427/C427/100)),(INT(N427/B427)+(((N427-B427*INT(N427/B427)))/C427)/100))))</f>
        <v>0</v>
      </c>
      <c r="AZ427" s="57">
        <f>IF(ISERROR(IF(B427=C427,O427/C427,(INT(O427/B427)+(((O427-B427*INT(O427/B427)))/C427)/100))),0,(IF(B427=C427,O427/C427,(INT(O427/B427)+(((O427-B427*INT(O427/B427)))/C427)/100))))</f>
        <v>0</v>
      </c>
      <c r="BA427" s="57">
        <f>IF(ISERROR(IF(B427=C427,P427/C427,IF((INT(P427/B427)+(((P427-B427*INT(P427/B427)))/C427)/100)&lt;0,(INT(P427/B427)+(((P427-B427*INT(P427/B427)))/C427)/100)+(1-(B427/C427/100)),(INT(P427/B427)+(((P427-B427*INT(P427/B427)))/C427)/100)))),0,IF(B427=C427,P427/C427,IF((INT(P427/B427)+(((P427-B427*INT(P427/B427)))/C427)/100)&lt;0,(INT(P427/B427)+(((P427-B427*INT(P427/B427)))/C427)/100)+(1-(B427/C427/100)),(INT(P427/B427)+(((P427-B427*INT(P427/B427)))/C427)/100))))</f>
        <v>0</v>
      </c>
      <c r="BB427" s="28">
        <f>R427</f>
        <v>0</v>
      </c>
      <c r="BC427" s="28">
        <f>S427</f>
        <v>0</v>
      </c>
      <c r="BD427" s="28">
        <f>AF427</f>
        <v>0</v>
      </c>
      <c r="BE427" s="28">
        <f>T427</f>
        <v>0</v>
      </c>
      <c r="BG427" s="57">
        <f>IF(ISERROR(IF(B427=C427,V427/C427,(INT(V427/B427)+(((V427-B427*INT(V427/B427)))/C427)/100))),0,(IF(B427=C427,V427/C427,(INT(V427/B427)+(((V427-B427*INT(V427/B427)))/C427)/100))))</f>
        <v>0</v>
      </c>
      <c r="BH427" s="57">
        <f>IF(ISERROR(IF(B427=C427,W427/C427,(INT(W427/B427)+(((W427-B427*INT(W427/B427)))/C427)/100))),0,(IF(B427=C427,W427/C427,(INT(W427/B427)+(((W427-B427*INT(W427/B427)))/C427)/100))))</f>
        <v>0</v>
      </c>
      <c r="BI427" s="57">
        <f>IF(ISERROR(IF(B427=C427,X427/C427,(INT(X427/B427)+(((X427-B427*INT(X427/B427)))/C427)/100))),0,(IF(B427=C427,X427/C427,(INT(X427/B427)+(((X427-B427*INT(X427/B427)))/C427)/100))))</f>
        <v>0</v>
      </c>
      <c r="BJ427" s="57">
        <f>IF(ISERROR(IF(B427=C427,Y427/C427,(INT(Y427/B427)+(((Y427-B427*INT(Y427/B427)))/C427)/100))),0,(IF(B427=C427,Y427/C427,(INT(Y427/B427)+(((Y427-B427*INT(Y427/B427)))/C427)/100))))</f>
        <v>0</v>
      </c>
      <c r="BL427" s="57">
        <f>IF(ISERROR(IF(B427=C427,AA427/C427,(INT(AA427/B427)+(((AA427-B427*INT(AA427/B427)))/C427)/100))),0,(IF(B427=C427,AA427/C427,(INT(AA427/B427)+(((AA427-B427*INT(AA427/B427)))/C427)/100))))</f>
        <v>0</v>
      </c>
      <c r="BM427" s="57">
        <f>IF(ISERROR(IF(B427=C427,AB427/C427,(INT(AB427/B427)+(((AB427-B427*INT(AB427/B427)))/C427)/100))),0,(IF(B427=C427,AB427/C427,(INT(AB427/B427)+(((AB427-B427*INT(AB427/B427)))/C427)/100))))</f>
        <v>0</v>
      </c>
      <c r="BN427" s="57">
        <f>IF(ISERROR(IF(B427=C427,AC427/C427,(INT(AC427/B427)+(((AC427-B427*INT(AC427/B427)))/C427)/100))),0,(IF(B427=C427,AC427/C427,(INT(AC427/B427)+(((AC427-B427*INT(AC427/B427)))/C427)/100))))</f>
        <v>0</v>
      </c>
      <c r="BO427" s="57">
        <f>IF(ISERROR(IF(B427=C427,AD427/C427,(INT(AD427/B427)+(((AD427-B427*INT(AD427/B427)))/C427)/100))),0,(IF(B427=C427,AD427/C427,(INT(AD427/B427)+(((AD427-B427*INT(AD427/B427)))/C427)/100))))</f>
        <v>0</v>
      </c>
      <c r="BQ427" s="155"/>
    </row>
    <row r="428" spans="1:69" hidden="1" x14ac:dyDescent="0.35">
      <c r="A428" s="94"/>
      <c r="B428" s="113">
        <v>0</v>
      </c>
      <c r="C428" s="113">
        <v>0</v>
      </c>
      <c r="D428" s="28">
        <f>SUM(AA428:AD428)</f>
        <v>0</v>
      </c>
      <c r="E428" s="113">
        <v>0</v>
      </c>
      <c r="F428" s="113">
        <v>0</v>
      </c>
      <c r="G428" s="28">
        <f>SUM(D428:F428)</f>
        <v>0</v>
      </c>
      <c r="H428" s="125">
        <v>0</v>
      </c>
      <c r="I428" s="113">
        <v>0</v>
      </c>
      <c r="J428" s="125">
        <v>0</v>
      </c>
      <c r="K428" s="113">
        <v>0</v>
      </c>
      <c r="L428" s="113">
        <v>0</v>
      </c>
      <c r="M428" s="113">
        <v>0</v>
      </c>
      <c r="N428" s="28">
        <f>G428-SUM(H428:M428)</f>
        <v>0</v>
      </c>
      <c r="O428" s="28">
        <f>SUM(V428:Y428)</f>
        <v>0</v>
      </c>
      <c r="P428" s="28">
        <f>O428-N428</f>
        <v>0</v>
      </c>
      <c r="Q428" s="61" t="str">
        <f>IF(ISERROR(P428/SUM(H428:L428)),"",P428/SUM(H428:L428))</f>
        <v/>
      </c>
      <c r="R428" s="113">
        <v>0</v>
      </c>
      <c r="S428" s="28">
        <f>IF(ISERROR(P428/C428*R428),0,(P428/C428*R428))</f>
        <v>0</v>
      </c>
      <c r="T428" s="60">
        <f>IF(ISERROR(P428/B428*AF428),0,(P428/B428*AF428))</f>
        <v>0</v>
      </c>
      <c r="V428" s="113">
        <v>0</v>
      </c>
      <c r="W428" s="113">
        <v>0</v>
      </c>
      <c r="X428" s="113">
        <v>0</v>
      </c>
      <c r="Y428" s="113">
        <v>0</v>
      </c>
      <c r="AA428" s="113">
        <v>0</v>
      </c>
      <c r="AB428" s="113">
        <v>0</v>
      </c>
      <c r="AC428" s="113">
        <v>0</v>
      </c>
      <c r="AD428" s="113">
        <v>0</v>
      </c>
      <c r="AF428" s="113">
        <v>0</v>
      </c>
      <c r="AG428" s="28">
        <f>G428-O428</f>
        <v>0</v>
      </c>
      <c r="AH428" s="58">
        <f>IF(ISERROR(AG428/B428*AF428),0,(AG428/B428*AF428))</f>
        <v>0</v>
      </c>
      <c r="AI428" s="28">
        <f>SUM(H428:M428)</f>
        <v>0</v>
      </c>
      <c r="AJ428" s="28">
        <f>IF(ISERROR(AI428/B428*AF428),0,(AI428/B428*AF428))</f>
        <v>0</v>
      </c>
      <c r="AK428" s="58">
        <f>IF(ISERROR(O428/B428*AF428),0,(O428/B428*AF428))</f>
        <v>0</v>
      </c>
      <c r="AL428" s="28">
        <f>IF(ISERROR(H428/B428*AF428),0,(H428/B428*AF428))</f>
        <v>0</v>
      </c>
      <c r="AN428" s="51">
        <f>A428</f>
        <v>0</v>
      </c>
      <c r="AO428" s="57">
        <f>IF(ISERROR(IF(B428=C428,D428/C428,(INT(D428/B428)+(((D428-B428*INT(D428/B428)))/C428)/100))),0,(IF(B428=C428,D428/C428,(INT(D428/B428)+(((D428-B428*INT(D428/B428)))/C428)/100))))</f>
        <v>0</v>
      </c>
      <c r="AP428" s="57">
        <f>IF(ISERROR(IF(B428=C428,E428/C428,(INT(E428/B428)+(((E428-B428*INT(E428/B428)))/C428)/100))),0,(IF(B428=C428,E428/C428,(INT(E428/B428)+(((E428-B428*INT(E428/B428)))/C428)/100))))</f>
        <v>0</v>
      </c>
      <c r="AQ428" s="57">
        <f>IF(ISERROR(IF(B428=C428,F428/C428,IF((INT(F428/B428)+(((F428-B428*INT(F428/B428)))/C428)/100)&lt;0,(INT(F428/B428)+(((F428-B428*INT(F428/B428)))/C428)/100)+(1-(B428/C428/100)),(INT(F428/B428)+(((F428-B428*INT(F428/B428)))/C428)/100)))),0,IF(B428=C428,F428/C428,IF((INT(F428/B428)+(((F428-B428*INT(F428/B428)))/C428)/100)&lt;0,(INT(F428/B428)+(((F428-B428*INT(F428/B428)))/C428)/100)+(1-(B428/C428/100)),(INT(F428/B428)+(((F428-B428*INT(F428/B428)))/C428)/100))))</f>
        <v>0</v>
      </c>
      <c r="AR428" s="57">
        <f>IF(ISERROR(IF(B428=C428,G428/C428,(INT(G428/B428)+(((G428-B428*INT(G428/B428)))/C428)/100))),0,(IF(B428=C428,G428/C428,(INT(G428/B428)+(((G428-B428*INT(G428/B428)))/C428)/100))))</f>
        <v>0</v>
      </c>
      <c r="AS428" s="57">
        <f>IF(ISERROR(IF(B428=C428,H428/C428,(INT(H428/B428)+(((H428-B428*INT(H428/B428)))/C428)/100))),0,(IF(B428=C428,H428/C428,(INT(H428/B428)+(((H428-B428*INT(H428/B428)))/C428)/100))))</f>
        <v>0</v>
      </c>
      <c r="AT428" s="57">
        <f>IF(ISERROR(IF(B428=C428,I428/C428,(INT(I428/B428)+(((I428-B428*INT(I428/B428)))/C428)/100))),0,(IF(B428=C428,I428/C428,(INT(I428/B428)+(((I428-B428*INT(I428/B428)))/C428)/100))))</f>
        <v>0</v>
      </c>
      <c r="AU428" s="57">
        <f>IF(ISERROR(IF(B428=C428,J428/C428,(INT(J428/B428)+(((J428-B428*INT(J428/B428)))/C428)/100))),0,(IF(B428=C428,J428/C428,(INT(J428/B428)+(((J428-B428*INT(J428/B428)))/C428)/100))))</f>
        <v>0</v>
      </c>
      <c r="AV428" s="57">
        <f>IF(ISERROR(IF(B428=C428,K428/C428,IF((INT(K428/B428)+(((K428-B428*INT(K428/B428)))/C428)/100)&lt;0,(INT(K428/B428)+(((K428-B428*INT(K428/B428)))/C428)/100)+(1-(B428/C428/100)),(INT(K428/B428)+(((K428-B428*INT(K428/B428)))/C428)/100)))),0,IF(B428=C428,K428/C428,IF((INT(K428/B428)+(((K428-B428*INT(K428/B428)))/C428)/100)&lt;0,(INT(K428/B428)+(((K428-B428*INT(K428/B428)))/C428)/100)+(1-(B428/C428/100)),(INT(K428/B428)+(((K428-B428*INT(K428/B428)))/C428)/100))))</f>
        <v>0</v>
      </c>
      <c r="AW428" s="57">
        <f>IF(ISERROR(IF(B428=C428,L428/C428,(INT(L428/B428)+(((L428-B428*INT(L428/B428)))/C428)/100))),0,(IF(B428=C428,L428/C428,(INT(L428/B428)+(((L428-B428*INT(L428/B428)))/C428)/100))))</f>
        <v>0</v>
      </c>
      <c r="AX428" s="57">
        <f>IF(ISERROR(IF(B428=C428,M428/C428,(INT(M428/B428)+(((M428-B428*INT(M428/B428)))/C428)/100))),0,(IF(B428=C428,M428/C428,(INT(M428/B428)+(((M428-B428*INT(M428/B428)))/C428)/100))))</f>
        <v>0</v>
      </c>
      <c r="AY428" s="57">
        <f>IF(ISERROR(IF(B428=C428,N428/C428,IF((INT(N428/B428)+(((N428-B428*INT(N428/B428)))/C428)/100)&lt;0,(INT(N428/B428)+(((N428-B428*INT(N428/B428)))/C428)/100)+(1-(B428/C428/100)),(INT(N428/B428)+(((N428-B428*INT(N428/B428)))/C428)/100)))),0,IF(B428=C428,N428/C428,IF((INT(N428/B428)+(((N428-B428*INT(N428/B428)))/C428)/100)&lt;0,(INT(N428/B428)+(((N428-B428*INT(N428/B428)))/C428)/100)+(1-(B428/C428/100)),(INT(N428/B428)+(((N428-B428*INT(N428/B428)))/C428)/100))))</f>
        <v>0</v>
      </c>
      <c r="AZ428" s="57">
        <f>IF(ISERROR(IF(B428=C428,O428/C428,(INT(O428/B428)+(((O428-B428*INT(O428/B428)))/C428)/100))),0,(IF(B428=C428,O428/C428,(INT(O428/B428)+(((O428-B428*INT(O428/B428)))/C428)/100))))</f>
        <v>0</v>
      </c>
      <c r="BA428" s="57">
        <f>IF(ISERROR(IF(B428=C428,P428/C428,IF((INT(P428/B428)+(((P428-B428*INT(P428/B428)))/C428)/100)&lt;0,(INT(P428/B428)+(((P428-B428*INT(P428/B428)))/C428)/100)+(1-(B428/C428/100)),(INT(P428/B428)+(((P428-B428*INT(P428/B428)))/C428)/100)))),0,IF(B428=C428,P428/C428,IF((INT(P428/B428)+(((P428-B428*INT(P428/B428)))/C428)/100)&lt;0,(INT(P428/B428)+(((P428-B428*INT(P428/B428)))/C428)/100)+(1-(B428/C428/100)),(INT(P428/B428)+(((P428-B428*INT(P428/B428)))/C428)/100))))</f>
        <v>0</v>
      </c>
      <c r="BB428" s="28">
        <f>R428</f>
        <v>0</v>
      </c>
      <c r="BC428" s="28">
        <f>S428</f>
        <v>0</v>
      </c>
      <c r="BD428" s="28">
        <f>AF428</f>
        <v>0</v>
      </c>
      <c r="BE428" s="28">
        <f>T428</f>
        <v>0</v>
      </c>
      <c r="BG428" s="57">
        <f>IF(ISERROR(IF(B428=C428,V428/C428,(INT(V428/B428)+(((V428-B428*INT(V428/B428)))/C428)/100))),0,(IF(B428=C428,V428/C428,(INT(V428/B428)+(((V428-B428*INT(V428/B428)))/C428)/100))))</f>
        <v>0</v>
      </c>
      <c r="BH428" s="57">
        <f>IF(ISERROR(IF(B428=C428,W428/C428,(INT(W428/B428)+(((W428-B428*INT(W428/B428)))/C428)/100))),0,(IF(B428=C428,W428/C428,(INT(W428/B428)+(((W428-B428*INT(W428/B428)))/C428)/100))))</f>
        <v>0</v>
      </c>
      <c r="BI428" s="57">
        <f>IF(ISERROR(IF(B428=C428,X428/C428,(INT(X428/B428)+(((X428-B428*INT(X428/B428)))/C428)/100))),0,(IF(B428=C428,X428/C428,(INT(X428/B428)+(((X428-B428*INT(X428/B428)))/C428)/100))))</f>
        <v>0</v>
      </c>
      <c r="BJ428" s="57">
        <f>IF(ISERROR(IF(B428=C428,Y428/C428,(INT(Y428/B428)+(((Y428-B428*INT(Y428/B428)))/C428)/100))),0,(IF(B428=C428,Y428/C428,(INT(Y428/B428)+(((Y428-B428*INT(Y428/B428)))/C428)/100))))</f>
        <v>0</v>
      </c>
      <c r="BL428" s="57">
        <f>IF(ISERROR(IF(B428=C428,AA428/C428,(INT(AA428/B428)+(((AA428-B428*INT(AA428/B428)))/C428)/100))),0,(IF(B428=C428,AA428/C428,(INT(AA428/B428)+(((AA428-B428*INT(AA428/B428)))/C428)/100))))</f>
        <v>0</v>
      </c>
      <c r="BM428" s="57">
        <f>IF(ISERROR(IF(B428=C428,AB428/C428,(INT(AB428/B428)+(((AB428-B428*INT(AB428/B428)))/C428)/100))),0,(IF(B428=C428,AB428/C428,(INT(AB428/B428)+(((AB428-B428*INT(AB428/B428)))/C428)/100))))</f>
        <v>0</v>
      </c>
      <c r="BN428" s="57">
        <f>IF(ISERROR(IF(B428=C428,AC428/C428,(INT(AC428/B428)+(((AC428-B428*INT(AC428/B428)))/C428)/100))),0,(IF(B428=C428,AC428/C428,(INT(AC428/B428)+(((AC428-B428*INT(AC428/B428)))/C428)/100))))</f>
        <v>0</v>
      </c>
      <c r="BO428" s="57">
        <f>IF(ISERROR(IF(B428=C428,AD428/C428,(INT(AD428/B428)+(((AD428-B428*INT(AD428/B428)))/C428)/100))),0,(IF(B428=C428,AD428/C428,(INT(AD428/B428)+(((AD428-B428*INT(AD428/B428)))/C428)/100))))</f>
        <v>0</v>
      </c>
      <c r="BQ428" s="155"/>
    </row>
    <row r="429" spans="1:69" hidden="1" x14ac:dyDescent="0.35">
      <c r="A429" s="94"/>
      <c r="B429" s="113">
        <v>0</v>
      </c>
      <c r="C429" s="113">
        <v>0</v>
      </c>
      <c r="D429" s="28">
        <f>SUM(AA429:AD429)</f>
        <v>0</v>
      </c>
      <c r="E429" s="113">
        <v>0</v>
      </c>
      <c r="F429" s="113">
        <v>0</v>
      </c>
      <c r="G429" s="28">
        <f>SUM(D429:F429)</f>
        <v>0</v>
      </c>
      <c r="H429" s="125">
        <v>0</v>
      </c>
      <c r="I429" s="113">
        <v>0</v>
      </c>
      <c r="J429" s="125">
        <v>0</v>
      </c>
      <c r="K429" s="113">
        <v>0</v>
      </c>
      <c r="L429" s="113">
        <v>0</v>
      </c>
      <c r="M429" s="113">
        <v>0</v>
      </c>
      <c r="N429" s="28">
        <f>G429-SUM(H429:M429)</f>
        <v>0</v>
      </c>
      <c r="O429" s="28">
        <f>SUM(V429:Y429)</f>
        <v>0</v>
      </c>
      <c r="P429" s="28">
        <f>O429-N429</f>
        <v>0</v>
      </c>
      <c r="Q429" s="61" t="str">
        <f>IF(ISERROR(P429/SUM(H429:L429)),"",P429/SUM(H429:L429))</f>
        <v/>
      </c>
      <c r="R429" s="113">
        <v>0</v>
      </c>
      <c r="S429" s="28">
        <f>IF(ISERROR(P429/C429*R429),0,(P429/C429*R429))</f>
        <v>0</v>
      </c>
      <c r="T429" s="60">
        <f>IF(ISERROR(P429/B429*AF429),0,(P429/B429*AF429))</f>
        <v>0</v>
      </c>
      <c r="V429" s="113">
        <v>0</v>
      </c>
      <c r="W429" s="113">
        <v>0</v>
      </c>
      <c r="X429" s="113">
        <v>0</v>
      </c>
      <c r="Y429" s="113">
        <v>0</v>
      </c>
      <c r="AA429" s="113">
        <v>0</v>
      </c>
      <c r="AB429" s="113">
        <v>0</v>
      </c>
      <c r="AC429" s="113">
        <v>0</v>
      </c>
      <c r="AD429" s="113">
        <v>0</v>
      </c>
      <c r="AF429" s="113">
        <v>0</v>
      </c>
      <c r="AG429" s="28">
        <f>G429-O429</f>
        <v>0</v>
      </c>
      <c r="AH429" s="58">
        <f>IF(ISERROR(AG429/B429*AF429),0,(AG429/B429*AF429))</f>
        <v>0</v>
      </c>
      <c r="AI429" s="28">
        <f>SUM(H429:M429)</f>
        <v>0</v>
      </c>
      <c r="AJ429" s="28">
        <f>IF(ISERROR(AI429/B429*AF429),0,(AI429/B429*AF429))</f>
        <v>0</v>
      </c>
      <c r="AK429" s="58">
        <f>IF(ISERROR(O429/B429*AF429),0,(O429/B429*AF429))</f>
        <v>0</v>
      </c>
      <c r="AL429" s="28">
        <f>IF(ISERROR(H429/B429*AF429),0,(H429/B429*AF429))</f>
        <v>0</v>
      </c>
      <c r="AN429" s="51">
        <f>A429</f>
        <v>0</v>
      </c>
      <c r="AO429" s="57">
        <f>IF(ISERROR(IF(B429=C429,D429/C429,(INT(D429/B429)+(((D429-B429*INT(D429/B429)))/C429)/100))),0,(IF(B429=C429,D429/C429,(INT(D429/B429)+(((D429-B429*INT(D429/B429)))/C429)/100))))</f>
        <v>0</v>
      </c>
      <c r="AP429" s="57">
        <f>IF(ISERROR(IF(B429=C429,E429/C429,(INT(E429/B429)+(((E429-B429*INT(E429/B429)))/C429)/100))),0,(IF(B429=C429,E429/C429,(INT(E429/B429)+(((E429-B429*INT(E429/B429)))/C429)/100))))</f>
        <v>0</v>
      </c>
      <c r="AQ429" s="57">
        <f>IF(ISERROR(IF(B429=C429,F429/C429,IF((INT(F429/B429)+(((F429-B429*INT(F429/B429)))/C429)/100)&lt;0,(INT(F429/B429)+(((F429-B429*INT(F429/B429)))/C429)/100)+(1-(B429/C429/100)),(INT(F429/B429)+(((F429-B429*INT(F429/B429)))/C429)/100)))),0,IF(B429=C429,F429/C429,IF((INT(F429/B429)+(((F429-B429*INT(F429/B429)))/C429)/100)&lt;0,(INT(F429/B429)+(((F429-B429*INT(F429/B429)))/C429)/100)+(1-(B429/C429/100)),(INT(F429/B429)+(((F429-B429*INT(F429/B429)))/C429)/100))))</f>
        <v>0</v>
      </c>
      <c r="AR429" s="57">
        <f>IF(ISERROR(IF(B429=C429,G429/C429,(INT(G429/B429)+(((G429-B429*INT(G429/B429)))/C429)/100))),0,(IF(B429=C429,G429/C429,(INT(G429/B429)+(((G429-B429*INT(G429/B429)))/C429)/100))))</f>
        <v>0</v>
      </c>
      <c r="AS429" s="57">
        <f>IF(ISERROR(IF(B429=C429,H429/C429,(INT(H429/B429)+(((H429-B429*INT(H429/B429)))/C429)/100))),0,(IF(B429=C429,H429/C429,(INT(H429/B429)+(((H429-B429*INT(H429/B429)))/C429)/100))))</f>
        <v>0</v>
      </c>
      <c r="AT429" s="57">
        <f>IF(ISERROR(IF(B429=C429,I429/C429,(INT(I429/B429)+(((I429-B429*INT(I429/B429)))/C429)/100))),0,(IF(B429=C429,I429/C429,(INT(I429/B429)+(((I429-B429*INT(I429/B429)))/C429)/100))))</f>
        <v>0</v>
      </c>
      <c r="AU429" s="57">
        <f>IF(ISERROR(IF(B429=C429,J429/C429,(INT(J429/B429)+(((J429-B429*INT(J429/B429)))/C429)/100))),0,(IF(B429=C429,J429/C429,(INT(J429/B429)+(((J429-B429*INT(J429/B429)))/C429)/100))))</f>
        <v>0</v>
      </c>
      <c r="AV429" s="57">
        <f>IF(ISERROR(IF(B429=C429,K429/C429,IF((INT(K429/B429)+(((K429-B429*INT(K429/B429)))/C429)/100)&lt;0,(INT(K429/B429)+(((K429-B429*INT(K429/B429)))/C429)/100)+(1-(B429/C429/100)),(INT(K429/B429)+(((K429-B429*INT(K429/B429)))/C429)/100)))),0,IF(B429=C429,K429/C429,IF((INT(K429/B429)+(((K429-B429*INT(K429/B429)))/C429)/100)&lt;0,(INT(K429/B429)+(((K429-B429*INT(K429/B429)))/C429)/100)+(1-(B429/C429/100)),(INT(K429/B429)+(((K429-B429*INT(K429/B429)))/C429)/100))))</f>
        <v>0</v>
      </c>
      <c r="AW429" s="57">
        <f>IF(ISERROR(IF(B429=C429,L429/C429,(INT(L429/B429)+(((L429-B429*INT(L429/B429)))/C429)/100))),0,(IF(B429=C429,L429/C429,(INT(L429/B429)+(((L429-B429*INT(L429/B429)))/C429)/100))))</f>
        <v>0</v>
      </c>
      <c r="AX429" s="57">
        <f>IF(ISERROR(IF(B429=C429,M429/C429,(INT(M429/B429)+(((M429-B429*INT(M429/B429)))/C429)/100))),0,(IF(B429=C429,M429/C429,(INT(M429/B429)+(((M429-B429*INT(M429/B429)))/C429)/100))))</f>
        <v>0</v>
      </c>
      <c r="AY429" s="57">
        <f>IF(ISERROR(IF(B429=C429,N429/C429,IF((INT(N429/B429)+(((N429-B429*INT(N429/B429)))/C429)/100)&lt;0,(INT(N429/B429)+(((N429-B429*INT(N429/B429)))/C429)/100)+(1-(B429/C429/100)),(INT(N429/B429)+(((N429-B429*INT(N429/B429)))/C429)/100)))),0,IF(B429=C429,N429/C429,IF((INT(N429/B429)+(((N429-B429*INT(N429/B429)))/C429)/100)&lt;0,(INT(N429/B429)+(((N429-B429*INT(N429/B429)))/C429)/100)+(1-(B429/C429/100)),(INT(N429/B429)+(((N429-B429*INT(N429/B429)))/C429)/100))))</f>
        <v>0</v>
      </c>
      <c r="AZ429" s="57">
        <f>IF(ISERROR(IF(B429=C429,O429/C429,(INT(O429/B429)+(((O429-B429*INT(O429/B429)))/C429)/100))),0,(IF(B429=C429,O429/C429,(INT(O429/B429)+(((O429-B429*INT(O429/B429)))/C429)/100))))</f>
        <v>0</v>
      </c>
      <c r="BA429" s="57">
        <f>IF(ISERROR(IF(B429=C429,P429/C429,IF((INT(P429/B429)+(((P429-B429*INT(P429/B429)))/C429)/100)&lt;0,(INT(P429/B429)+(((P429-B429*INT(P429/B429)))/C429)/100)+(1-(B429/C429/100)),(INT(P429/B429)+(((P429-B429*INT(P429/B429)))/C429)/100)))),0,IF(B429=C429,P429/C429,IF((INT(P429/B429)+(((P429-B429*INT(P429/B429)))/C429)/100)&lt;0,(INT(P429/B429)+(((P429-B429*INT(P429/B429)))/C429)/100)+(1-(B429/C429/100)),(INT(P429/B429)+(((P429-B429*INT(P429/B429)))/C429)/100))))</f>
        <v>0</v>
      </c>
      <c r="BB429" s="28">
        <f>R429</f>
        <v>0</v>
      </c>
      <c r="BC429" s="28">
        <f>S429</f>
        <v>0</v>
      </c>
      <c r="BD429" s="28">
        <f>AF429</f>
        <v>0</v>
      </c>
      <c r="BE429" s="28">
        <f>T429</f>
        <v>0</v>
      </c>
      <c r="BG429" s="57">
        <f>IF(ISERROR(IF(B429=C429,V429/C429,(INT(V429/B429)+(((V429-B429*INT(V429/B429)))/C429)/100))),0,(IF(B429=C429,V429/C429,(INT(V429/B429)+(((V429-B429*INT(V429/B429)))/C429)/100))))</f>
        <v>0</v>
      </c>
      <c r="BH429" s="57">
        <f>IF(ISERROR(IF(B429=C429,W429/C429,(INT(W429/B429)+(((W429-B429*INT(W429/B429)))/C429)/100))),0,(IF(B429=C429,W429/C429,(INT(W429/B429)+(((W429-B429*INT(W429/B429)))/C429)/100))))</f>
        <v>0</v>
      </c>
      <c r="BI429" s="57">
        <f>IF(ISERROR(IF(B429=C429,X429/C429,(INT(X429/B429)+(((X429-B429*INT(X429/B429)))/C429)/100))),0,(IF(B429=C429,X429/C429,(INT(X429/B429)+(((X429-B429*INT(X429/B429)))/C429)/100))))</f>
        <v>0</v>
      </c>
      <c r="BJ429" s="57">
        <f>IF(ISERROR(IF(B429=C429,Y429/C429,(INT(Y429/B429)+(((Y429-B429*INT(Y429/B429)))/C429)/100))),0,(IF(B429=C429,Y429/C429,(INT(Y429/B429)+(((Y429-B429*INT(Y429/B429)))/C429)/100))))</f>
        <v>0</v>
      </c>
      <c r="BL429" s="57">
        <f>IF(ISERROR(IF(B429=C429,AA429/C429,(INT(AA429/B429)+(((AA429-B429*INT(AA429/B429)))/C429)/100))),0,(IF(B429=C429,AA429/C429,(INT(AA429/B429)+(((AA429-B429*INT(AA429/B429)))/C429)/100))))</f>
        <v>0</v>
      </c>
      <c r="BM429" s="57">
        <f>IF(ISERROR(IF(B429=C429,AB429/C429,(INT(AB429/B429)+(((AB429-B429*INT(AB429/B429)))/C429)/100))),0,(IF(B429=C429,AB429/C429,(INT(AB429/B429)+(((AB429-B429*INT(AB429/B429)))/C429)/100))))</f>
        <v>0</v>
      </c>
      <c r="BN429" s="57">
        <f>IF(ISERROR(IF(B429=C429,AC429/C429,(INT(AC429/B429)+(((AC429-B429*INT(AC429/B429)))/C429)/100))),0,(IF(B429=C429,AC429/C429,(INT(AC429/B429)+(((AC429-B429*INT(AC429/B429)))/C429)/100))))</f>
        <v>0</v>
      </c>
      <c r="BO429" s="57">
        <f>IF(ISERROR(IF(B429=C429,AD429/C429,(INT(AD429/B429)+(((AD429-B429*INT(AD429/B429)))/C429)/100))),0,(IF(B429=C429,AD429/C429,(INT(AD429/B429)+(((AD429-B429*INT(AD429/B429)))/C429)/100))))</f>
        <v>0</v>
      </c>
      <c r="BQ429" s="155"/>
    </row>
    <row r="430" spans="1:69" hidden="1" x14ac:dyDescent="0.35">
      <c r="A430" s="94"/>
      <c r="B430" s="113">
        <v>0</v>
      </c>
      <c r="C430" s="113">
        <v>0</v>
      </c>
      <c r="D430" s="28">
        <f>SUM(AA430:AD430)</f>
        <v>0</v>
      </c>
      <c r="E430" s="113">
        <v>0</v>
      </c>
      <c r="F430" s="113">
        <v>0</v>
      </c>
      <c r="G430" s="28">
        <f>SUM(D430:F430)</f>
        <v>0</v>
      </c>
      <c r="H430" s="125">
        <v>0</v>
      </c>
      <c r="I430" s="113">
        <v>0</v>
      </c>
      <c r="J430" s="125">
        <v>0</v>
      </c>
      <c r="K430" s="113">
        <v>0</v>
      </c>
      <c r="L430" s="113">
        <v>0</v>
      </c>
      <c r="M430" s="113">
        <v>0</v>
      </c>
      <c r="N430" s="28">
        <f>G430-SUM(H430:M430)</f>
        <v>0</v>
      </c>
      <c r="O430" s="28">
        <f>SUM(V430:Y430)</f>
        <v>0</v>
      </c>
      <c r="P430" s="28">
        <f>O430-N430</f>
        <v>0</v>
      </c>
      <c r="Q430" s="61" t="str">
        <f>IF(ISERROR(P430/SUM(H430:L430)),"",P430/SUM(H430:L430))</f>
        <v/>
      </c>
      <c r="R430" s="113">
        <v>0</v>
      </c>
      <c r="S430" s="28">
        <f>IF(ISERROR(P430/C430*R430),0,(P430/C430*R430))</f>
        <v>0</v>
      </c>
      <c r="T430" s="60">
        <f>IF(ISERROR(P430/B430*AF430),0,(P430/B430*AF430))</f>
        <v>0</v>
      </c>
      <c r="V430" s="113">
        <v>0</v>
      </c>
      <c r="W430" s="113">
        <v>0</v>
      </c>
      <c r="X430" s="113">
        <v>0</v>
      </c>
      <c r="Y430" s="113">
        <v>0</v>
      </c>
      <c r="AA430" s="113">
        <v>0</v>
      </c>
      <c r="AB430" s="113">
        <v>0</v>
      </c>
      <c r="AC430" s="113">
        <v>0</v>
      </c>
      <c r="AD430" s="113">
        <v>0</v>
      </c>
      <c r="AF430" s="113">
        <v>0</v>
      </c>
      <c r="AG430" s="28">
        <f>G430-O430</f>
        <v>0</v>
      </c>
      <c r="AH430" s="58">
        <f>IF(ISERROR(AG430/B430*AF430),0,(AG430/B430*AF430))</f>
        <v>0</v>
      </c>
      <c r="AI430" s="28">
        <f>SUM(H430:M430)</f>
        <v>0</v>
      </c>
      <c r="AJ430" s="28">
        <f>IF(ISERROR(AI430/B430*AF430),0,(AI430/B430*AF430))</f>
        <v>0</v>
      </c>
      <c r="AK430" s="58">
        <f>IF(ISERROR(O430/B430*AF430),0,(O430/B430*AF430))</f>
        <v>0</v>
      </c>
      <c r="AL430" s="28">
        <f>IF(ISERROR(H430/B430*AF430),0,(H430/B430*AF430))</f>
        <v>0</v>
      </c>
      <c r="AN430" s="51">
        <f>A430</f>
        <v>0</v>
      </c>
      <c r="AO430" s="57">
        <f>IF(ISERROR(IF(B430=C430,D430/C430,(INT(D430/B430)+(((D430-B430*INT(D430/B430)))/C430)/100))),0,(IF(B430=C430,D430/C430,(INT(D430/B430)+(((D430-B430*INT(D430/B430)))/C430)/100))))</f>
        <v>0</v>
      </c>
      <c r="AP430" s="57">
        <f>IF(ISERROR(IF(B430=C430,E430/C430,(INT(E430/B430)+(((E430-B430*INT(E430/B430)))/C430)/100))),0,(IF(B430=C430,E430/C430,(INT(E430/B430)+(((E430-B430*INT(E430/B430)))/C430)/100))))</f>
        <v>0</v>
      </c>
      <c r="AQ430" s="57">
        <f>IF(ISERROR(IF(B430=C430,F430/C430,IF((INT(F430/B430)+(((F430-B430*INT(F430/B430)))/C430)/100)&lt;0,(INT(F430/B430)+(((F430-B430*INT(F430/B430)))/C430)/100)+(1-(B430/C430/100)),(INT(F430/B430)+(((F430-B430*INT(F430/B430)))/C430)/100)))),0,IF(B430=C430,F430/C430,IF((INT(F430/B430)+(((F430-B430*INT(F430/B430)))/C430)/100)&lt;0,(INT(F430/B430)+(((F430-B430*INT(F430/B430)))/C430)/100)+(1-(B430/C430/100)),(INT(F430/B430)+(((F430-B430*INT(F430/B430)))/C430)/100))))</f>
        <v>0</v>
      </c>
      <c r="AR430" s="57">
        <f>IF(ISERROR(IF(B430=C430,G430/C430,(INT(G430/B430)+(((G430-B430*INT(G430/B430)))/C430)/100))),0,(IF(B430=C430,G430/C430,(INT(G430/B430)+(((G430-B430*INT(G430/B430)))/C430)/100))))</f>
        <v>0</v>
      </c>
      <c r="AS430" s="57">
        <f>IF(ISERROR(IF(B430=C430,H430/C430,(INT(H430/B430)+(((H430-B430*INT(H430/B430)))/C430)/100))),0,(IF(B430=C430,H430/C430,(INT(H430/B430)+(((H430-B430*INT(H430/B430)))/C430)/100))))</f>
        <v>0</v>
      </c>
      <c r="AT430" s="57">
        <f>IF(ISERROR(IF(B430=C430,I430/C430,(INT(I430/B430)+(((I430-B430*INT(I430/B430)))/C430)/100))),0,(IF(B430=C430,I430/C430,(INT(I430/B430)+(((I430-B430*INT(I430/B430)))/C430)/100))))</f>
        <v>0</v>
      </c>
      <c r="AU430" s="57">
        <f>IF(ISERROR(IF(B430=C430,J430/C430,(INT(J430/B430)+(((J430-B430*INT(J430/B430)))/C430)/100))),0,(IF(B430=C430,J430/C430,(INT(J430/B430)+(((J430-B430*INT(J430/B430)))/C430)/100))))</f>
        <v>0</v>
      </c>
      <c r="AV430" s="57">
        <f>IF(ISERROR(IF(B430=C430,K430/C430,IF((INT(K430/B430)+(((K430-B430*INT(K430/B430)))/C430)/100)&lt;0,(INT(K430/B430)+(((K430-B430*INT(K430/B430)))/C430)/100)+(1-(B430/C430/100)),(INT(K430/B430)+(((K430-B430*INT(K430/B430)))/C430)/100)))),0,IF(B430=C430,K430/C430,IF((INT(K430/B430)+(((K430-B430*INT(K430/B430)))/C430)/100)&lt;0,(INT(K430/B430)+(((K430-B430*INT(K430/B430)))/C430)/100)+(1-(B430/C430/100)),(INT(K430/B430)+(((K430-B430*INT(K430/B430)))/C430)/100))))</f>
        <v>0</v>
      </c>
      <c r="AW430" s="57">
        <f>IF(ISERROR(IF(B430=C430,L430/C430,(INT(L430/B430)+(((L430-B430*INT(L430/B430)))/C430)/100))),0,(IF(B430=C430,L430/C430,(INT(L430/B430)+(((L430-B430*INT(L430/B430)))/C430)/100))))</f>
        <v>0</v>
      </c>
      <c r="AX430" s="57">
        <f>IF(ISERROR(IF(B430=C430,M430/C430,(INT(M430/B430)+(((M430-B430*INT(M430/B430)))/C430)/100))),0,(IF(B430=C430,M430/C430,(INT(M430/B430)+(((M430-B430*INT(M430/B430)))/C430)/100))))</f>
        <v>0</v>
      </c>
      <c r="AY430" s="57">
        <f>IF(ISERROR(IF(B430=C430,N430/C430,IF((INT(N430/B430)+(((N430-B430*INT(N430/B430)))/C430)/100)&lt;0,(INT(N430/B430)+(((N430-B430*INT(N430/B430)))/C430)/100)+(1-(B430/C430/100)),(INT(N430/B430)+(((N430-B430*INT(N430/B430)))/C430)/100)))),0,IF(B430=C430,N430/C430,IF((INT(N430/B430)+(((N430-B430*INT(N430/B430)))/C430)/100)&lt;0,(INT(N430/B430)+(((N430-B430*INT(N430/B430)))/C430)/100)+(1-(B430/C430/100)),(INT(N430/B430)+(((N430-B430*INT(N430/B430)))/C430)/100))))</f>
        <v>0</v>
      </c>
      <c r="AZ430" s="57">
        <f>IF(ISERROR(IF(B430=C430,O430/C430,(INT(O430/B430)+(((O430-B430*INT(O430/B430)))/C430)/100))),0,(IF(B430=C430,O430/C430,(INT(O430/B430)+(((O430-B430*INT(O430/B430)))/C430)/100))))</f>
        <v>0</v>
      </c>
      <c r="BA430" s="57">
        <f>IF(ISERROR(IF(B430=C430,P430/C430,IF((INT(P430/B430)+(((P430-B430*INT(P430/B430)))/C430)/100)&lt;0,(INT(P430/B430)+(((P430-B430*INT(P430/B430)))/C430)/100)+(1-(B430/C430/100)),(INT(P430/B430)+(((P430-B430*INT(P430/B430)))/C430)/100)))),0,IF(B430=C430,P430/C430,IF((INT(P430/B430)+(((P430-B430*INT(P430/B430)))/C430)/100)&lt;0,(INT(P430/B430)+(((P430-B430*INT(P430/B430)))/C430)/100)+(1-(B430/C430/100)),(INT(P430/B430)+(((P430-B430*INT(P430/B430)))/C430)/100))))</f>
        <v>0</v>
      </c>
      <c r="BB430" s="28">
        <f>R430</f>
        <v>0</v>
      </c>
      <c r="BC430" s="28">
        <f>S430</f>
        <v>0</v>
      </c>
      <c r="BD430" s="28">
        <f>AF430</f>
        <v>0</v>
      </c>
      <c r="BE430" s="28">
        <f>T430</f>
        <v>0</v>
      </c>
      <c r="BG430" s="57">
        <f>IF(ISERROR(IF(B430=C430,V430/C430,(INT(V430/B430)+(((V430-B430*INT(V430/B430)))/C430)/100))),0,(IF(B430=C430,V430/C430,(INT(V430/B430)+(((V430-B430*INT(V430/B430)))/C430)/100))))</f>
        <v>0</v>
      </c>
      <c r="BH430" s="57">
        <f>IF(ISERROR(IF(B430=C430,W430/C430,(INT(W430/B430)+(((W430-B430*INT(W430/B430)))/C430)/100))),0,(IF(B430=C430,W430/C430,(INT(W430/B430)+(((W430-B430*INT(W430/B430)))/C430)/100))))</f>
        <v>0</v>
      </c>
      <c r="BI430" s="57">
        <f>IF(ISERROR(IF(B430=C430,X430/C430,(INT(X430/B430)+(((X430-B430*INT(X430/B430)))/C430)/100))),0,(IF(B430=C430,X430/C430,(INT(X430/B430)+(((X430-B430*INT(X430/B430)))/C430)/100))))</f>
        <v>0</v>
      </c>
      <c r="BJ430" s="57">
        <f>IF(ISERROR(IF(B430=C430,Y430/C430,(INT(Y430/B430)+(((Y430-B430*INT(Y430/B430)))/C430)/100))),0,(IF(B430=C430,Y430/C430,(INT(Y430/B430)+(((Y430-B430*INT(Y430/B430)))/C430)/100))))</f>
        <v>0</v>
      </c>
      <c r="BL430" s="57">
        <f>IF(ISERROR(IF(B430=C430,AA430/C430,(INT(AA430/B430)+(((AA430-B430*INT(AA430/B430)))/C430)/100))),0,(IF(B430=C430,AA430/C430,(INT(AA430/B430)+(((AA430-B430*INT(AA430/B430)))/C430)/100))))</f>
        <v>0</v>
      </c>
      <c r="BM430" s="57">
        <f>IF(ISERROR(IF(B430=C430,AB430/C430,(INT(AB430/B430)+(((AB430-B430*INT(AB430/B430)))/C430)/100))),0,(IF(B430=C430,AB430/C430,(INT(AB430/B430)+(((AB430-B430*INT(AB430/B430)))/C430)/100))))</f>
        <v>0</v>
      </c>
      <c r="BN430" s="57">
        <f>IF(ISERROR(IF(B430=C430,AC430/C430,(INT(AC430/B430)+(((AC430-B430*INT(AC430/B430)))/C430)/100))),0,(IF(B430=C430,AC430/C430,(INT(AC430/B430)+(((AC430-B430*INT(AC430/B430)))/C430)/100))))</f>
        <v>0</v>
      </c>
      <c r="BO430" s="57">
        <f>IF(ISERROR(IF(B430=C430,AD430/C430,(INT(AD430/B430)+(((AD430-B430*INT(AD430/B430)))/C430)/100))),0,(IF(B430=C430,AD430/C430,(INT(AD430/B430)+(((AD430-B430*INT(AD430/B430)))/C430)/100))))</f>
        <v>0</v>
      </c>
      <c r="BQ430" s="155"/>
    </row>
    <row r="431" spans="1:69" hidden="1" x14ac:dyDescent="0.35">
      <c r="A431" s="94"/>
      <c r="B431" s="113">
        <v>0</v>
      </c>
      <c r="C431" s="113">
        <v>0</v>
      </c>
      <c r="D431" s="28">
        <f>SUM(AA431:AD431)</f>
        <v>0</v>
      </c>
      <c r="E431" s="113">
        <v>0</v>
      </c>
      <c r="F431" s="113">
        <v>0</v>
      </c>
      <c r="G431" s="28">
        <f>SUM(D431:F431)</f>
        <v>0</v>
      </c>
      <c r="H431" s="125">
        <v>0</v>
      </c>
      <c r="I431" s="113">
        <v>0</v>
      </c>
      <c r="J431" s="125">
        <v>0</v>
      </c>
      <c r="K431" s="113">
        <v>0</v>
      </c>
      <c r="L431" s="113">
        <v>0</v>
      </c>
      <c r="M431" s="113">
        <v>0</v>
      </c>
      <c r="N431" s="28">
        <f>G431-SUM(H431:M431)</f>
        <v>0</v>
      </c>
      <c r="O431" s="28">
        <f>SUM(V431:Y431)</f>
        <v>0</v>
      </c>
      <c r="P431" s="28">
        <f>O431-N431</f>
        <v>0</v>
      </c>
      <c r="Q431" s="61" t="str">
        <f>IF(ISERROR(P431/SUM(H431:L431)),"",P431/SUM(H431:L431))</f>
        <v/>
      </c>
      <c r="R431" s="113">
        <v>0</v>
      </c>
      <c r="S431" s="28">
        <f>IF(ISERROR(P431/C431*R431),0,(P431/C431*R431))</f>
        <v>0</v>
      </c>
      <c r="T431" s="60">
        <f>IF(ISERROR(P431/B431*AF431),0,(P431/B431*AF431))</f>
        <v>0</v>
      </c>
      <c r="V431" s="113">
        <v>0</v>
      </c>
      <c r="W431" s="113">
        <v>0</v>
      </c>
      <c r="X431" s="113">
        <v>0</v>
      </c>
      <c r="Y431" s="113">
        <v>0</v>
      </c>
      <c r="AA431" s="113">
        <v>0</v>
      </c>
      <c r="AB431" s="113">
        <v>0</v>
      </c>
      <c r="AC431" s="113">
        <v>0</v>
      </c>
      <c r="AD431" s="113">
        <v>0</v>
      </c>
      <c r="AF431" s="113">
        <v>0</v>
      </c>
      <c r="AG431" s="28">
        <f>G431-O431</f>
        <v>0</v>
      </c>
      <c r="AH431" s="58">
        <f>IF(ISERROR(AG431/B431*AF431),0,(AG431/B431*AF431))</f>
        <v>0</v>
      </c>
      <c r="AI431" s="28">
        <f>SUM(H431:M431)</f>
        <v>0</v>
      </c>
      <c r="AJ431" s="28">
        <f>IF(ISERROR(AI431/B431*AF431),0,(AI431/B431*AF431))</f>
        <v>0</v>
      </c>
      <c r="AK431" s="58">
        <f>IF(ISERROR(O431/B431*AF431),0,(O431/B431*AF431))</f>
        <v>0</v>
      </c>
      <c r="AL431" s="28">
        <f>IF(ISERROR(H431/B431*AF431),0,(H431/B431*AF431))</f>
        <v>0</v>
      </c>
      <c r="AN431" s="51">
        <f>A431</f>
        <v>0</v>
      </c>
      <c r="AO431" s="57">
        <f>IF(ISERROR(IF(B431=C431,D431/C431,(INT(D431/B431)+(((D431-B431*INT(D431/B431)))/C431)/100))),0,(IF(B431=C431,D431/C431,(INT(D431/B431)+(((D431-B431*INT(D431/B431)))/C431)/100))))</f>
        <v>0</v>
      </c>
      <c r="AP431" s="57">
        <f>IF(ISERROR(IF(B431=C431,E431/C431,(INT(E431/B431)+(((E431-B431*INT(E431/B431)))/C431)/100))),0,(IF(B431=C431,E431/C431,(INT(E431/B431)+(((E431-B431*INT(E431/B431)))/C431)/100))))</f>
        <v>0</v>
      </c>
      <c r="AQ431" s="57">
        <f>IF(ISERROR(IF(B431=C431,F431/C431,IF((INT(F431/B431)+(((F431-B431*INT(F431/B431)))/C431)/100)&lt;0,(INT(F431/B431)+(((F431-B431*INT(F431/B431)))/C431)/100)+(1-(B431/C431/100)),(INT(F431/B431)+(((F431-B431*INT(F431/B431)))/C431)/100)))),0,IF(B431=C431,F431/C431,IF((INT(F431/B431)+(((F431-B431*INT(F431/B431)))/C431)/100)&lt;0,(INT(F431/B431)+(((F431-B431*INT(F431/B431)))/C431)/100)+(1-(B431/C431/100)),(INT(F431/B431)+(((F431-B431*INT(F431/B431)))/C431)/100))))</f>
        <v>0</v>
      </c>
      <c r="AR431" s="57">
        <f>IF(ISERROR(IF(B431=C431,G431/C431,(INT(G431/B431)+(((G431-B431*INT(G431/B431)))/C431)/100))),0,(IF(B431=C431,G431/C431,(INT(G431/B431)+(((G431-B431*INT(G431/B431)))/C431)/100))))</f>
        <v>0</v>
      </c>
      <c r="AS431" s="57">
        <f>IF(ISERROR(IF(B431=C431,H431/C431,(INT(H431/B431)+(((H431-B431*INT(H431/B431)))/C431)/100))),0,(IF(B431=C431,H431/C431,(INT(H431/B431)+(((H431-B431*INT(H431/B431)))/C431)/100))))</f>
        <v>0</v>
      </c>
      <c r="AT431" s="57">
        <f>IF(ISERROR(IF(B431=C431,I431/C431,(INT(I431/B431)+(((I431-B431*INT(I431/B431)))/C431)/100))),0,(IF(B431=C431,I431/C431,(INT(I431/B431)+(((I431-B431*INT(I431/B431)))/C431)/100))))</f>
        <v>0</v>
      </c>
      <c r="AU431" s="57">
        <f>IF(ISERROR(IF(B431=C431,J431/C431,(INT(J431/B431)+(((J431-B431*INT(J431/B431)))/C431)/100))),0,(IF(B431=C431,J431/C431,(INT(J431/B431)+(((J431-B431*INT(J431/B431)))/C431)/100))))</f>
        <v>0</v>
      </c>
      <c r="AV431" s="57">
        <f>IF(ISERROR(IF(B431=C431,K431/C431,IF((INT(K431/B431)+(((K431-B431*INT(K431/B431)))/C431)/100)&lt;0,(INT(K431/B431)+(((K431-B431*INT(K431/B431)))/C431)/100)+(1-(B431/C431/100)),(INT(K431/B431)+(((K431-B431*INT(K431/B431)))/C431)/100)))),0,IF(B431=C431,K431/C431,IF((INT(K431/B431)+(((K431-B431*INT(K431/B431)))/C431)/100)&lt;0,(INT(K431/B431)+(((K431-B431*INT(K431/B431)))/C431)/100)+(1-(B431/C431/100)),(INT(K431/B431)+(((K431-B431*INT(K431/B431)))/C431)/100))))</f>
        <v>0</v>
      </c>
      <c r="AW431" s="57">
        <f>IF(ISERROR(IF(B431=C431,L431/C431,(INT(L431/B431)+(((L431-B431*INT(L431/B431)))/C431)/100))),0,(IF(B431=C431,L431/C431,(INT(L431/B431)+(((L431-B431*INT(L431/B431)))/C431)/100))))</f>
        <v>0</v>
      </c>
      <c r="AX431" s="57">
        <f>IF(ISERROR(IF(B431=C431,M431/C431,(INT(M431/B431)+(((M431-B431*INT(M431/B431)))/C431)/100))),0,(IF(B431=C431,M431/C431,(INT(M431/B431)+(((M431-B431*INT(M431/B431)))/C431)/100))))</f>
        <v>0</v>
      </c>
      <c r="AY431" s="57">
        <f>IF(ISERROR(IF(B431=C431,N431/C431,IF((INT(N431/B431)+(((N431-B431*INT(N431/B431)))/C431)/100)&lt;0,(INT(N431/B431)+(((N431-B431*INT(N431/B431)))/C431)/100)+(1-(B431/C431/100)),(INT(N431/B431)+(((N431-B431*INT(N431/B431)))/C431)/100)))),0,IF(B431=C431,N431/C431,IF((INT(N431/B431)+(((N431-B431*INT(N431/B431)))/C431)/100)&lt;0,(INT(N431/B431)+(((N431-B431*INT(N431/B431)))/C431)/100)+(1-(B431/C431/100)),(INT(N431/B431)+(((N431-B431*INT(N431/B431)))/C431)/100))))</f>
        <v>0</v>
      </c>
      <c r="AZ431" s="57">
        <f>IF(ISERROR(IF(B431=C431,O431/C431,(INT(O431/B431)+(((O431-B431*INT(O431/B431)))/C431)/100))),0,(IF(B431=C431,O431/C431,(INT(O431/B431)+(((O431-B431*INT(O431/B431)))/C431)/100))))</f>
        <v>0</v>
      </c>
      <c r="BA431" s="57">
        <f>IF(ISERROR(IF(B431=C431,P431/C431,IF((INT(P431/B431)+(((P431-B431*INT(P431/B431)))/C431)/100)&lt;0,(INT(P431/B431)+(((P431-B431*INT(P431/B431)))/C431)/100)+(1-(B431/C431/100)),(INT(P431/B431)+(((P431-B431*INT(P431/B431)))/C431)/100)))),0,IF(B431=C431,P431/C431,IF((INT(P431/B431)+(((P431-B431*INT(P431/B431)))/C431)/100)&lt;0,(INT(P431/B431)+(((P431-B431*INT(P431/B431)))/C431)/100)+(1-(B431/C431/100)),(INT(P431/B431)+(((P431-B431*INT(P431/B431)))/C431)/100))))</f>
        <v>0</v>
      </c>
      <c r="BB431" s="28">
        <f>R431</f>
        <v>0</v>
      </c>
      <c r="BC431" s="28">
        <f>S431</f>
        <v>0</v>
      </c>
      <c r="BD431" s="28">
        <f>AF431</f>
        <v>0</v>
      </c>
      <c r="BE431" s="28">
        <f>T431</f>
        <v>0</v>
      </c>
      <c r="BG431" s="57">
        <f>IF(ISERROR(IF(B431=C431,V431/C431,(INT(V431/B431)+(((V431-B431*INT(V431/B431)))/C431)/100))),0,(IF(B431=C431,V431/C431,(INT(V431/B431)+(((V431-B431*INT(V431/B431)))/C431)/100))))</f>
        <v>0</v>
      </c>
      <c r="BH431" s="57">
        <f>IF(ISERROR(IF(B431=C431,W431/C431,(INT(W431/B431)+(((W431-B431*INT(W431/B431)))/C431)/100))),0,(IF(B431=C431,W431/C431,(INT(W431/B431)+(((W431-B431*INT(W431/B431)))/C431)/100))))</f>
        <v>0</v>
      </c>
      <c r="BI431" s="57">
        <f>IF(ISERROR(IF(B431=C431,X431/C431,(INT(X431/B431)+(((X431-B431*INT(X431/B431)))/C431)/100))),0,(IF(B431=C431,X431/C431,(INT(X431/B431)+(((X431-B431*INT(X431/B431)))/C431)/100))))</f>
        <v>0</v>
      </c>
      <c r="BJ431" s="57">
        <f>IF(ISERROR(IF(B431=C431,Y431/C431,(INT(Y431/B431)+(((Y431-B431*INT(Y431/B431)))/C431)/100))),0,(IF(B431=C431,Y431/C431,(INT(Y431/B431)+(((Y431-B431*INT(Y431/B431)))/C431)/100))))</f>
        <v>0</v>
      </c>
      <c r="BL431" s="57">
        <f>IF(ISERROR(IF(B431=C431,AA431/C431,(INT(AA431/B431)+(((AA431-B431*INT(AA431/B431)))/C431)/100))),0,(IF(B431=C431,AA431/C431,(INT(AA431/B431)+(((AA431-B431*INT(AA431/B431)))/C431)/100))))</f>
        <v>0</v>
      </c>
      <c r="BM431" s="57">
        <f>IF(ISERROR(IF(B431=C431,AB431/C431,(INT(AB431/B431)+(((AB431-B431*INT(AB431/B431)))/C431)/100))),0,(IF(B431=C431,AB431/C431,(INT(AB431/B431)+(((AB431-B431*INT(AB431/B431)))/C431)/100))))</f>
        <v>0</v>
      </c>
      <c r="BN431" s="57">
        <f>IF(ISERROR(IF(B431=C431,AC431/C431,(INT(AC431/B431)+(((AC431-B431*INT(AC431/B431)))/C431)/100))),0,(IF(B431=C431,AC431/C431,(INT(AC431/B431)+(((AC431-B431*INT(AC431/B431)))/C431)/100))))</f>
        <v>0</v>
      </c>
      <c r="BO431" s="57">
        <f>IF(ISERROR(IF(B431=C431,AD431/C431,(INT(AD431/B431)+(((AD431-B431*INT(AD431/B431)))/C431)/100))),0,(IF(B431=C431,AD431/C431,(INT(AD431/B431)+(((AD431-B431*INT(AD431/B431)))/C431)/100))))</f>
        <v>0</v>
      </c>
      <c r="BQ431" s="155"/>
    </row>
    <row r="432" spans="1:69" hidden="1" x14ac:dyDescent="0.35">
      <c r="A432" s="94"/>
      <c r="B432" s="113">
        <v>0</v>
      </c>
      <c r="C432" s="113">
        <v>0</v>
      </c>
      <c r="D432" s="28">
        <f>SUM(AA432:AD432)</f>
        <v>0</v>
      </c>
      <c r="E432" s="113">
        <v>0</v>
      </c>
      <c r="F432" s="113">
        <v>0</v>
      </c>
      <c r="G432" s="28">
        <f>SUM(D432:F432)</f>
        <v>0</v>
      </c>
      <c r="H432" s="125">
        <v>0</v>
      </c>
      <c r="I432" s="113">
        <v>0</v>
      </c>
      <c r="J432" s="125">
        <v>0</v>
      </c>
      <c r="K432" s="113">
        <v>0</v>
      </c>
      <c r="L432" s="113">
        <v>0</v>
      </c>
      <c r="M432" s="113">
        <v>0</v>
      </c>
      <c r="N432" s="28">
        <f>G432-SUM(H432:M432)</f>
        <v>0</v>
      </c>
      <c r="O432" s="28">
        <f>SUM(V432:Y432)</f>
        <v>0</v>
      </c>
      <c r="P432" s="28">
        <f>O432-N432</f>
        <v>0</v>
      </c>
      <c r="Q432" s="61" t="str">
        <f>IF(ISERROR(P432/SUM(H432:L432)),"",P432/SUM(H432:L432))</f>
        <v/>
      </c>
      <c r="R432" s="113">
        <v>0</v>
      </c>
      <c r="S432" s="28">
        <f>IF(ISERROR(P432/C432*R432),0,(P432/C432*R432))</f>
        <v>0</v>
      </c>
      <c r="T432" s="60">
        <f>IF(ISERROR(P432/B432*AF432),0,(P432/B432*AF432))</f>
        <v>0</v>
      </c>
      <c r="V432" s="113">
        <v>0</v>
      </c>
      <c r="W432" s="113">
        <v>0</v>
      </c>
      <c r="X432" s="113">
        <v>0</v>
      </c>
      <c r="Y432" s="113">
        <v>0</v>
      </c>
      <c r="AA432" s="113">
        <v>0</v>
      </c>
      <c r="AB432" s="113">
        <v>0</v>
      </c>
      <c r="AC432" s="113">
        <v>0</v>
      </c>
      <c r="AD432" s="113">
        <v>0</v>
      </c>
      <c r="AF432" s="113">
        <v>0</v>
      </c>
      <c r="AG432" s="28">
        <f>G432-O432</f>
        <v>0</v>
      </c>
      <c r="AH432" s="58">
        <f>IF(ISERROR(AG432/B432*AF432),0,(AG432/B432*AF432))</f>
        <v>0</v>
      </c>
      <c r="AI432" s="28">
        <f>SUM(H432:M432)</f>
        <v>0</v>
      </c>
      <c r="AJ432" s="28">
        <f>IF(ISERROR(AI432/B432*AF432),0,(AI432/B432*AF432))</f>
        <v>0</v>
      </c>
      <c r="AK432" s="58">
        <f>IF(ISERROR(O432/B432*AF432),0,(O432/B432*AF432))</f>
        <v>0</v>
      </c>
      <c r="AL432" s="28">
        <f>IF(ISERROR(H432/B432*AF432),0,(H432/B432*AF432))</f>
        <v>0</v>
      </c>
      <c r="AN432" s="51">
        <f>A432</f>
        <v>0</v>
      </c>
      <c r="AO432" s="57">
        <f>IF(ISERROR(IF(B432=C432,D432/C432,(INT(D432/B432)+(((D432-B432*INT(D432/B432)))/C432)/100))),0,(IF(B432=C432,D432/C432,(INT(D432/B432)+(((D432-B432*INT(D432/B432)))/C432)/100))))</f>
        <v>0</v>
      </c>
      <c r="AP432" s="57">
        <f>IF(ISERROR(IF(B432=C432,E432/C432,(INT(E432/B432)+(((E432-B432*INT(E432/B432)))/C432)/100))),0,(IF(B432=C432,E432/C432,(INT(E432/B432)+(((E432-B432*INT(E432/B432)))/C432)/100))))</f>
        <v>0</v>
      </c>
      <c r="AQ432" s="57">
        <f>IF(ISERROR(IF(B432=C432,F432/C432,IF((INT(F432/B432)+(((F432-B432*INT(F432/B432)))/C432)/100)&lt;0,(INT(F432/B432)+(((F432-B432*INT(F432/B432)))/C432)/100)+(1-(B432/C432/100)),(INT(F432/B432)+(((F432-B432*INT(F432/B432)))/C432)/100)))),0,IF(B432=C432,F432/C432,IF((INT(F432/B432)+(((F432-B432*INT(F432/B432)))/C432)/100)&lt;0,(INT(F432/B432)+(((F432-B432*INT(F432/B432)))/C432)/100)+(1-(B432/C432/100)),(INT(F432/B432)+(((F432-B432*INT(F432/B432)))/C432)/100))))</f>
        <v>0</v>
      </c>
      <c r="AR432" s="57">
        <f>IF(ISERROR(IF(B432=C432,G432/C432,(INT(G432/B432)+(((G432-B432*INT(G432/B432)))/C432)/100))),0,(IF(B432=C432,G432/C432,(INT(G432/B432)+(((G432-B432*INT(G432/B432)))/C432)/100))))</f>
        <v>0</v>
      </c>
      <c r="AS432" s="57">
        <f>IF(ISERROR(IF(B432=C432,H432/C432,(INT(H432/B432)+(((H432-B432*INT(H432/B432)))/C432)/100))),0,(IF(B432=C432,H432/C432,(INT(H432/B432)+(((H432-B432*INT(H432/B432)))/C432)/100))))</f>
        <v>0</v>
      </c>
      <c r="AT432" s="57">
        <f>IF(ISERROR(IF(B432=C432,I432/C432,(INT(I432/B432)+(((I432-B432*INT(I432/B432)))/C432)/100))),0,(IF(B432=C432,I432/C432,(INT(I432/B432)+(((I432-B432*INT(I432/B432)))/C432)/100))))</f>
        <v>0</v>
      </c>
      <c r="AU432" s="57">
        <f>IF(ISERROR(IF(B432=C432,J432/C432,(INT(J432/B432)+(((J432-B432*INT(J432/B432)))/C432)/100))),0,(IF(B432=C432,J432/C432,(INT(J432/B432)+(((J432-B432*INT(J432/B432)))/C432)/100))))</f>
        <v>0</v>
      </c>
      <c r="AV432" s="57">
        <f>IF(ISERROR(IF(B432=C432,K432/C432,IF((INT(K432/B432)+(((K432-B432*INT(K432/B432)))/C432)/100)&lt;0,(INT(K432/B432)+(((K432-B432*INT(K432/B432)))/C432)/100)+(1-(B432/C432/100)),(INT(K432/B432)+(((K432-B432*INT(K432/B432)))/C432)/100)))),0,IF(B432=C432,K432/C432,IF((INT(K432/B432)+(((K432-B432*INT(K432/B432)))/C432)/100)&lt;0,(INT(K432/B432)+(((K432-B432*INT(K432/B432)))/C432)/100)+(1-(B432/C432/100)),(INT(K432/B432)+(((K432-B432*INT(K432/B432)))/C432)/100))))</f>
        <v>0</v>
      </c>
      <c r="AW432" s="57">
        <f>IF(ISERROR(IF(B432=C432,L432/C432,(INT(L432/B432)+(((L432-B432*INT(L432/B432)))/C432)/100))),0,(IF(B432=C432,L432/C432,(INT(L432/B432)+(((L432-B432*INT(L432/B432)))/C432)/100))))</f>
        <v>0</v>
      </c>
      <c r="AX432" s="57">
        <f>IF(ISERROR(IF(B432=C432,M432/C432,(INT(M432/B432)+(((M432-B432*INT(M432/B432)))/C432)/100))),0,(IF(B432=C432,M432/C432,(INT(M432/B432)+(((M432-B432*INT(M432/B432)))/C432)/100))))</f>
        <v>0</v>
      </c>
      <c r="AY432" s="57">
        <f>IF(ISERROR(IF(B432=C432,N432/C432,IF((INT(N432/B432)+(((N432-B432*INT(N432/B432)))/C432)/100)&lt;0,(INT(N432/B432)+(((N432-B432*INT(N432/B432)))/C432)/100)+(1-(B432/C432/100)),(INT(N432/B432)+(((N432-B432*INT(N432/B432)))/C432)/100)))),0,IF(B432=C432,N432/C432,IF((INT(N432/B432)+(((N432-B432*INT(N432/B432)))/C432)/100)&lt;0,(INT(N432/B432)+(((N432-B432*INT(N432/B432)))/C432)/100)+(1-(B432/C432/100)),(INT(N432/B432)+(((N432-B432*INT(N432/B432)))/C432)/100))))</f>
        <v>0</v>
      </c>
      <c r="AZ432" s="57">
        <f>IF(ISERROR(IF(B432=C432,O432/C432,(INT(O432/B432)+(((O432-B432*INT(O432/B432)))/C432)/100))),0,(IF(B432=C432,O432/C432,(INT(O432/B432)+(((O432-B432*INT(O432/B432)))/C432)/100))))</f>
        <v>0</v>
      </c>
      <c r="BA432" s="57">
        <f>IF(ISERROR(IF(B432=C432,P432/C432,IF((INT(P432/B432)+(((P432-B432*INT(P432/B432)))/C432)/100)&lt;0,(INT(P432/B432)+(((P432-B432*INT(P432/B432)))/C432)/100)+(1-(B432/C432/100)),(INT(P432/B432)+(((P432-B432*INT(P432/B432)))/C432)/100)))),0,IF(B432=C432,P432/C432,IF((INT(P432/B432)+(((P432-B432*INT(P432/B432)))/C432)/100)&lt;0,(INT(P432/B432)+(((P432-B432*INT(P432/B432)))/C432)/100)+(1-(B432/C432/100)),(INT(P432/B432)+(((P432-B432*INT(P432/B432)))/C432)/100))))</f>
        <v>0</v>
      </c>
      <c r="BB432" s="28">
        <f>R432</f>
        <v>0</v>
      </c>
      <c r="BC432" s="28">
        <f>S432</f>
        <v>0</v>
      </c>
      <c r="BD432" s="28">
        <f>AF432</f>
        <v>0</v>
      </c>
      <c r="BE432" s="28">
        <f>T432</f>
        <v>0</v>
      </c>
      <c r="BG432" s="57">
        <f>IF(ISERROR(IF(B432=C432,V432/C432,(INT(V432/B432)+(((V432-B432*INT(V432/B432)))/C432)/100))),0,(IF(B432=C432,V432/C432,(INT(V432/B432)+(((V432-B432*INT(V432/B432)))/C432)/100))))</f>
        <v>0</v>
      </c>
      <c r="BH432" s="57">
        <f>IF(ISERROR(IF(B432=C432,W432/C432,(INT(W432/B432)+(((W432-B432*INT(W432/B432)))/C432)/100))),0,(IF(B432=C432,W432/C432,(INT(W432/B432)+(((W432-B432*INT(W432/B432)))/C432)/100))))</f>
        <v>0</v>
      </c>
      <c r="BI432" s="57">
        <f>IF(ISERROR(IF(B432=C432,X432/C432,(INT(X432/B432)+(((X432-B432*INT(X432/B432)))/C432)/100))),0,(IF(B432=C432,X432/C432,(INT(X432/B432)+(((X432-B432*INT(X432/B432)))/C432)/100))))</f>
        <v>0</v>
      </c>
      <c r="BJ432" s="57">
        <f>IF(ISERROR(IF(B432=C432,Y432/C432,(INT(Y432/B432)+(((Y432-B432*INT(Y432/B432)))/C432)/100))),0,(IF(B432=C432,Y432/C432,(INT(Y432/B432)+(((Y432-B432*INT(Y432/B432)))/C432)/100))))</f>
        <v>0</v>
      </c>
      <c r="BL432" s="57">
        <f>IF(ISERROR(IF(B432=C432,AA432/C432,(INT(AA432/B432)+(((AA432-B432*INT(AA432/B432)))/C432)/100))),0,(IF(B432=C432,AA432/C432,(INT(AA432/B432)+(((AA432-B432*INT(AA432/B432)))/C432)/100))))</f>
        <v>0</v>
      </c>
      <c r="BM432" s="57">
        <f>IF(ISERROR(IF(B432=C432,AB432/C432,(INT(AB432/B432)+(((AB432-B432*INT(AB432/B432)))/C432)/100))),0,(IF(B432=C432,AB432/C432,(INT(AB432/B432)+(((AB432-B432*INT(AB432/B432)))/C432)/100))))</f>
        <v>0</v>
      </c>
      <c r="BN432" s="57">
        <f>IF(ISERROR(IF(B432=C432,AC432/C432,(INT(AC432/B432)+(((AC432-B432*INT(AC432/B432)))/C432)/100))),0,(IF(B432=C432,AC432/C432,(INT(AC432/B432)+(((AC432-B432*INT(AC432/B432)))/C432)/100))))</f>
        <v>0</v>
      </c>
      <c r="BO432" s="57">
        <f>IF(ISERROR(IF(B432=C432,AD432/C432,(INT(AD432/B432)+(((AD432-B432*INT(AD432/B432)))/C432)/100))),0,(IF(B432=C432,AD432/C432,(INT(AD432/B432)+(((AD432-B432*INT(AD432/B432)))/C432)/100))))</f>
        <v>0</v>
      </c>
      <c r="BQ432" s="155"/>
    </row>
    <row r="433" spans="1:69" hidden="1" x14ac:dyDescent="0.35">
      <c r="A433" s="94"/>
      <c r="B433" s="113">
        <v>0</v>
      </c>
      <c r="C433" s="113">
        <v>0</v>
      </c>
      <c r="D433" s="28">
        <f>SUM(AA433:AD433)</f>
        <v>0</v>
      </c>
      <c r="E433" s="113">
        <v>0</v>
      </c>
      <c r="F433" s="113">
        <v>0</v>
      </c>
      <c r="G433" s="28">
        <f>SUM(D433:F433)</f>
        <v>0</v>
      </c>
      <c r="H433" s="125">
        <v>0</v>
      </c>
      <c r="I433" s="113">
        <v>0</v>
      </c>
      <c r="J433" s="125">
        <v>0</v>
      </c>
      <c r="K433" s="113">
        <v>0</v>
      </c>
      <c r="L433" s="113">
        <v>0</v>
      </c>
      <c r="M433" s="113">
        <v>0</v>
      </c>
      <c r="N433" s="28">
        <f>G433-SUM(H433:M433)</f>
        <v>0</v>
      </c>
      <c r="O433" s="28">
        <f>SUM(V433:Y433)</f>
        <v>0</v>
      </c>
      <c r="P433" s="28">
        <f>O433-N433</f>
        <v>0</v>
      </c>
      <c r="Q433" s="61" t="str">
        <f>IF(ISERROR(P433/SUM(H433:L433)),"",P433/SUM(H433:L433))</f>
        <v/>
      </c>
      <c r="R433" s="113">
        <v>0</v>
      </c>
      <c r="S433" s="28">
        <f>IF(ISERROR(P433/C433*R433),0,(P433/C433*R433))</f>
        <v>0</v>
      </c>
      <c r="T433" s="60">
        <f>IF(ISERROR(P433/B433*AF433),0,(P433/B433*AF433))</f>
        <v>0</v>
      </c>
      <c r="V433" s="113">
        <v>0</v>
      </c>
      <c r="W433" s="113">
        <v>0</v>
      </c>
      <c r="X433" s="113">
        <v>0</v>
      </c>
      <c r="Y433" s="113">
        <v>0</v>
      </c>
      <c r="AA433" s="113">
        <v>0</v>
      </c>
      <c r="AB433" s="113">
        <v>0</v>
      </c>
      <c r="AC433" s="113">
        <v>0</v>
      </c>
      <c r="AD433" s="113">
        <v>0</v>
      </c>
      <c r="AF433" s="113">
        <v>0</v>
      </c>
      <c r="AG433" s="28">
        <f>G433-O433</f>
        <v>0</v>
      </c>
      <c r="AH433" s="58">
        <f>IF(ISERROR(AG433/B433*AF433),0,(AG433/B433*AF433))</f>
        <v>0</v>
      </c>
      <c r="AI433" s="28">
        <f>SUM(H433:M433)</f>
        <v>0</v>
      </c>
      <c r="AJ433" s="28">
        <f>IF(ISERROR(AI433/B433*AF433),0,(AI433/B433*AF433))</f>
        <v>0</v>
      </c>
      <c r="AK433" s="58">
        <f>IF(ISERROR(O433/B433*AF433),0,(O433/B433*AF433))</f>
        <v>0</v>
      </c>
      <c r="AL433" s="28">
        <f>IF(ISERROR(H433/B433*AF433),0,(H433/B433*AF433))</f>
        <v>0</v>
      </c>
      <c r="AN433" s="51">
        <f>A433</f>
        <v>0</v>
      </c>
      <c r="AO433" s="57">
        <f>IF(ISERROR(IF(B433=C433,D433/C433,(INT(D433/B433)+(((D433-B433*INT(D433/B433)))/C433)/100))),0,(IF(B433=C433,D433/C433,(INT(D433/B433)+(((D433-B433*INT(D433/B433)))/C433)/100))))</f>
        <v>0</v>
      </c>
      <c r="AP433" s="57">
        <f>IF(ISERROR(IF(B433=C433,E433/C433,(INT(E433/B433)+(((E433-B433*INT(E433/B433)))/C433)/100))),0,(IF(B433=C433,E433/C433,(INT(E433/B433)+(((E433-B433*INT(E433/B433)))/C433)/100))))</f>
        <v>0</v>
      </c>
      <c r="AQ433" s="57">
        <f>IF(ISERROR(IF(B433=C433,F433/C433,IF((INT(F433/B433)+(((F433-B433*INT(F433/B433)))/C433)/100)&lt;0,(INT(F433/B433)+(((F433-B433*INT(F433/B433)))/C433)/100)+(1-(B433/C433/100)),(INT(F433/B433)+(((F433-B433*INT(F433/B433)))/C433)/100)))),0,IF(B433=C433,F433/C433,IF((INT(F433/B433)+(((F433-B433*INT(F433/B433)))/C433)/100)&lt;0,(INT(F433/B433)+(((F433-B433*INT(F433/B433)))/C433)/100)+(1-(B433/C433/100)),(INT(F433/B433)+(((F433-B433*INT(F433/B433)))/C433)/100))))</f>
        <v>0</v>
      </c>
      <c r="AR433" s="57">
        <f>IF(ISERROR(IF(B433=C433,G433/C433,(INT(G433/B433)+(((G433-B433*INT(G433/B433)))/C433)/100))),0,(IF(B433=C433,G433/C433,(INT(G433/B433)+(((G433-B433*INT(G433/B433)))/C433)/100))))</f>
        <v>0</v>
      </c>
      <c r="AS433" s="57">
        <f>IF(ISERROR(IF(B433=C433,H433/C433,(INT(H433/B433)+(((H433-B433*INT(H433/B433)))/C433)/100))),0,(IF(B433=C433,H433/C433,(INT(H433/B433)+(((H433-B433*INT(H433/B433)))/C433)/100))))</f>
        <v>0</v>
      </c>
      <c r="AT433" s="57">
        <f>IF(ISERROR(IF(B433=C433,I433/C433,(INT(I433/B433)+(((I433-B433*INT(I433/B433)))/C433)/100))),0,(IF(B433=C433,I433/C433,(INT(I433/B433)+(((I433-B433*INT(I433/B433)))/C433)/100))))</f>
        <v>0</v>
      </c>
      <c r="AU433" s="57">
        <f>IF(ISERROR(IF(B433=C433,J433/C433,(INT(J433/B433)+(((J433-B433*INT(J433/B433)))/C433)/100))),0,(IF(B433=C433,J433/C433,(INT(J433/B433)+(((J433-B433*INT(J433/B433)))/C433)/100))))</f>
        <v>0</v>
      </c>
      <c r="AV433" s="57">
        <f>IF(ISERROR(IF(B433=C433,K433/C433,IF((INT(K433/B433)+(((K433-B433*INT(K433/B433)))/C433)/100)&lt;0,(INT(K433/B433)+(((K433-B433*INT(K433/B433)))/C433)/100)+(1-(B433/C433/100)),(INT(K433/B433)+(((K433-B433*INT(K433/B433)))/C433)/100)))),0,IF(B433=C433,K433/C433,IF((INT(K433/B433)+(((K433-B433*INT(K433/B433)))/C433)/100)&lt;0,(INT(K433/B433)+(((K433-B433*INT(K433/B433)))/C433)/100)+(1-(B433/C433/100)),(INT(K433/B433)+(((K433-B433*INT(K433/B433)))/C433)/100))))</f>
        <v>0</v>
      </c>
      <c r="AW433" s="57">
        <f>IF(ISERROR(IF(B433=C433,L433/C433,(INT(L433/B433)+(((L433-B433*INT(L433/B433)))/C433)/100))),0,(IF(B433=C433,L433/C433,(INT(L433/B433)+(((L433-B433*INT(L433/B433)))/C433)/100))))</f>
        <v>0</v>
      </c>
      <c r="AX433" s="57">
        <f>IF(ISERROR(IF(B433=C433,M433/C433,(INT(M433/B433)+(((M433-B433*INT(M433/B433)))/C433)/100))),0,(IF(B433=C433,M433/C433,(INT(M433/B433)+(((M433-B433*INT(M433/B433)))/C433)/100))))</f>
        <v>0</v>
      </c>
      <c r="AY433" s="57">
        <f>IF(ISERROR(IF(B433=C433,N433/C433,IF((INT(N433/B433)+(((N433-B433*INT(N433/B433)))/C433)/100)&lt;0,(INT(N433/B433)+(((N433-B433*INT(N433/B433)))/C433)/100)+(1-(B433/C433/100)),(INT(N433/B433)+(((N433-B433*INT(N433/B433)))/C433)/100)))),0,IF(B433=C433,N433/C433,IF((INT(N433/B433)+(((N433-B433*INT(N433/B433)))/C433)/100)&lt;0,(INT(N433/B433)+(((N433-B433*INT(N433/B433)))/C433)/100)+(1-(B433/C433/100)),(INT(N433/B433)+(((N433-B433*INT(N433/B433)))/C433)/100))))</f>
        <v>0</v>
      </c>
      <c r="AZ433" s="57">
        <f>IF(ISERROR(IF(B433=C433,O433/C433,(INT(O433/B433)+(((O433-B433*INT(O433/B433)))/C433)/100))),0,(IF(B433=C433,O433/C433,(INT(O433/B433)+(((O433-B433*INT(O433/B433)))/C433)/100))))</f>
        <v>0</v>
      </c>
      <c r="BA433" s="57">
        <f>IF(ISERROR(IF(B433=C433,P433/C433,IF((INT(P433/B433)+(((P433-B433*INT(P433/B433)))/C433)/100)&lt;0,(INT(P433/B433)+(((P433-B433*INT(P433/B433)))/C433)/100)+(1-(B433/C433/100)),(INT(P433/B433)+(((P433-B433*INT(P433/B433)))/C433)/100)))),0,IF(B433=C433,P433/C433,IF((INT(P433/B433)+(((P433-B433*INT(P433/B433)))/C433)/100)&lt;0,(INT(P433/B433)+(((P433-B433*INT(P433/B433)))/C433)/100)+(1-(B433/C433/100)),(INT(P433/B433)+(((P433-B433*INT(P433/B433)))/C433)/100))))</f>
        <v>0</v>
      </c>
      <c r="BB433" s="28">
        <f>R433</f>
        <v>0</v>
      </c>
      <c r="BC433" s="28">
        <f>S433</f>
        <v>0</v>
      </c>
      <c r="BD433" s="28">
        <f>AF433</f>
        <v>0</v>
      </c>
      <c r="BE433" s="28">
        <f>T433</f>
        <v>0</v>
      </c>
      <c r="BG433" s="57">
        <f>IF(ISERROR(IF(B433=C433,V433/C433,(INT(V433/B433)+(((V433-B433*INT(V433/B433)))/C433)/100))),0,(IF(B433=C433,V433/C433,(INT(V433/B433)+(((V433-B433*INT(V433/B433)))/C433)/100))))</f>
        <v>0</v>
      </c>
      <c r="BH433" s="57">
        <f>IF(ISERROR(IF(B433=C433,W433/C433,(INT(W433/B433)+(((W433-B433*INT(W433/B433)))/C433)/100))),0,(IF(B433=C433,W433/C433,(INT(W433/B433)+(((W433-B433*INT(W433/B433)))/C433)/100))))</f>
        <v>0</v>
      </c>
      <c r="BI433" s="57">
        <f>IF(ISERROR(IF(B433=C433,X433/C433,(INT(X433/B433)+(((X433-B433*INT(X433/B433)))/C433)/100))),0,(IF(B433=C433,X433/C433,(INT(X433/B433)+(((X433-B433*INT(X433/B433)))/C433)/100))))</f>
        <v>0</v>
      </c>
      <c r="BJ433" s="57">
        <f>IF(ISERROR(IF(B433=C433,Y433/C433,(INT(Y433/B433)+(((Y433-B433*INT(Y433/B433)))/C433)/100))),0,(IF(B433=C433,Y433/C433,(INT(Y433/B433)+(((Y433-B433*INT(Y433/B433)))/C433)/100))))</f>
        <v>0</v>
      </c>
      <c r="BL433" s="57">
        <f>IF(ISERROR(IF(B433=C433,AA433/C433,(INT(AA433/B433)+(((AA433-B433*INT(AA433/B433)))/C433)/100))),0,(IF(B433=C433,AA433/C433,(INT(AA433/B433)+(((AA433-B433*INT(AA433/B433)))/C433)/100))))</f>
        <v>0</v>
      </c>
      <c r="BM433" s="57">
        <f>IF(ISERROR(IF(B433=C433,AB433/C433,(INT(AB433/B433)+(((AB433-B433*INT(AB433/B433)))/C433)/100))),0,(IF(B433=C433,AB433/C433,(INT(AB433/B433)+(((AB433-B433*INT(AB433/B433)))/C433)/100))))</f>
        <v>0</v>
      </c>
      <c r="BN433" s="57">
        <f>IF(ISERROR(IF(B433=C433,AC433/C433,(INT(AC433/B433)+(((AC433-B433*INT(AC433/B433)))/C433)/100))),0,(IF(B433=C433,AC433/C433,(INT(AC433/B433)+(((AC433-B433*INT(AC433/B433)))/C433)/100))))</f>
        <v>0</v>
      </c>
      <c r="BO433" s="57">
        <f>IF(ISERROR(IF(B433=C433,AD433/C433,(INT(AD433/B433)+(((AD433-B433*INT(AD433/B433)))/C433)/100))),0,(IF(B433=C433,AD433/C433,(INT(AD433/B433)+(((AD433-B433*INT(AD433/B433)))/C433)/100))))</f>
        <v>0</v>
      </c>
      <c r="BQ433" s="155"/>
    </row>
    <row r="434" spans="1:69" hidden="1" x14ac:dyDescent="0.35">
      <c r="A434" s="94"/>
      <c r="B434" s="113">
        <v>0</v>
      </c>
      <c r="C434" s="113">
        <v>0</v>
      </c>
      <c r="D434" s="28">
        <f>SUM(AA434:AD434)</f>
        <v>0</v>
      </c>
      <c r="E434" s="113">
        <v>0</v>
      </c>
      <c r="F434" s="113">
        <v>0</v>
      </c>
      <c r="G434" s="28">
        <f>SUM(D434:F434)</f>
        <v>0</v>
      </c>
      <c r="H434" s="125">
        <v>0</v>
      </c>
      <c r="I434" s="113">
        <v>0</v>
      </c>
      <c r="J434" s="125">
        <v>0</v>
      </c>
      <c r="K434" s="113">
        <v>0</v>
      </c>
      <c r="L434" s="113">
        <v>0</v>
      </c>
      <c r="M434" s="113">
        <v>0</v>
      </c>
      <c r="N434" s="28">
        <f>G434-SUM(H434:M434)</f>
        <v>0</v>
      </c>
      <c r="O434" s="28">
        <f>SUM(V434:Y434)</f>
        <v>0</v>
      </c>
      <c r="P434" s="28">
        <f>O434-N434</f>
        <v>0</v>
      </c>
      <c r="Q434" s="61" t="str">
        <f>IF(ISERROR(P434/SUM(H434:L434)),"",P434/SUM(H434:L434))</f>
        <v/>
      </c>
      <c r="R434" s="113">
        <v>0</v>
      </c>
      <c r="S434" s="28">
        <f>IF(ISERROR(P434/C434*R434),0,(P434/C434*R434))</f>
        <v>0</v>
      </c>
      <c r="T434" s="60">
        <f>IF(ISERROR(P434/B434*AF434),0,(P434/B434*AF434))</f>
        <v>0</v>
      </c>
      <c r="V434" s="113">
        <v>0</v>
      </c>
      <c r="W434" s="113">
        <v>0</v>
      </c>
      <c r="X434" s="113">
        <v>0</v>
      </c>
      <c r="Y434" s="113">
        <v>0</v>
      </c>
      <c r="AA434" s="113">
        <v>0</v>
      </c>
      <c r="AB434" s="113">
        <v>0</v>
      </c>
      <c r="AC434" s="113">
        <v>0</v>
      </c>
      <c r="AD434" s="113">
        <v>0</v>
      </c>
      <c r="AF434" s="113">
        <v>0</v>
      </c>
      <c r="AG434" s="28">
        <f>G434-O434</f>
        <v>0</v>
      </c>
      <c r="AH434" s="58">
        <f>IF(ISERROR(AG434/B434*AF434),0,(AG434/B434*AF434))</f>
        <v>0</v>
      </c>
      <c r="AI434" s="28">
        <f>SUM(H434:M434)</f>
        <v>0</v>
      </c>
      <c r="AJ434" s="28">
        <f>IF(ISERROR(AI434/B434*AF434),0,(AI434/B434*AF434))</f>
        <v>0</v>
      </c>
      <c r="AK434" s="58">
        <f>IF(ISERROR(O434/B434*AF434),0,(O434/B434*AF434))</f>
        <v>0</v>
      </c>
      <c r="AL434" s="28">
        <f>IF(ISERROR(H434/B434*AF434),0,(H434/B434*AF434))</f>
        <v>0</v>
      </c>
      <c r="AN434" s="51">
        <f>A434</f>
        <v>0</v>
      </c>
      <c r="AO434" s="57">
        <f>IF(ISERROR(IF(B434=C434,D434/C434,(INT(D434/B434)+(((D434-B434*INT(D434/B434)))/C434)/100))),0,(IF(B434=C434,D434/C434,(INT(D434/B434)+(((D434-B434*INT(D434/B434)))/C434)/100))))</f>
        <v>0</v>
      </c>
      <c r="AP434" s="57">
        <f>IF(ISERROR(IF(B434=C434,E434/C434,(INT(E434/B434)+(((E434-B434*INT(E434/B434)))/C434)/100))),0,(IF(B434=C434,E434/C434,(INT(E434/B434)+(((E434-B434*INT(E434/B434)))/C434)/100))))</f>
        <v>0</v>
      </c>
      <c r="AQ434" s="57">
        <f>IF(ISERROR(IF(B434=C434,F434/C434,IF((INT(F434/B434)+(((F434-B434*INT(F434/B434)))/C434)/100)&lt;0,(INT(F434/B434)+(((F434-B434*INT(F434/B434)))/C434)/100)+(1-(B434/C434/100)),(INT(F434/B434)+(((F434-B434*INT(F434/B434)))/C434)/100)))),0,IF(B434=C434,F434/C434,IF((INT(F434/B434)+(((F434-B434*INT(F434/B434)))/C434)/100)&lt;0,(INT(F434/B434)+(((F434-B434*INT(F434/B434)))/C434)/100)+(1-(B434/C434/100)),(INT(F434/B434)+(((F434-B434*INT(F434/B434)))/C434)/100))))</f>
        <v>0</v>
      </c>
      <c r="AR434" s="57">
        <f>IF(ISERROR(IF(B434=C434,G434/C434,(INT(G434/B434)+(((G434-B434*INT(G434/B434)))/C434)/100))),0,(IF(B434=C434,G434/C434,(INT(G434/B434)+(((G434-B434*INT(G434/B434)))/C434)/100))))</f>
        <v>0</v>
      </c>
      <c r="AS434" s="57">
        <f>IF(ISERROR(IF(B434=C434,H434/C434,(INT(H434/B434)+(((H434-B434*INT(H434/B434)))/C434)/100))),0,(IF(B434=C434,H434/C434,(INT(H434/B434)+(((H434-B434*INT(H434/B434)))/C434)/100))))</f>
        <v>0</v>
      </c>
      <c r="AT434" s="57">
        <f>IF(ISERROR(IF(B434=C434,I434/C434,(INT(I434/B434)+(((I434-B434*INT(I434/B434)))/C434)/100))),0,(IF(B434=C434,I434/C434,(INT(I434/B434)+(((I434-B434*INT(I434/B434)))/C434)/100))))</f>
        <v>0</v>
      </c>
      <c r="AU434" s="57">
        <f>IF(ISERROR(IF(B434=C434,J434/C434,(INT(J434/B434)+(((J434-B434*INT(J434/B434)))/C434)/100))),0,(IF(B434=C434,J434/C434,(INT(J434/B434)+(((J434-B434*INT(J434/B434)))/C434)/100))))</f>
        <v>0</v>
      </c>
      <c r="AV434" s="57">
        <f>IF(ISERROR(IF(B434=C434,K434/C434,IF((INT(K434/B434)+(((K434-B434*INT(K434/B434)))/C434)/100)&lt;0,(INT(K434/B434)+(((K434-B434*INT(K434/B434)))/C434)/100)+(1-(B434/C434/100)),(INT(K434/B434)+(((K434-B434*INT(K434/B434)))/C434)/100)))),0,IF(B434=C434,K434/C434,IF((INT(K434/B434)+(((K434-B434*INT(K434/B434)))/C434)/100)&lt;0,(INT(K434/B434)+(((K434-B434*INT(K434/B434)))/C434)/100)+(1-(B434/C434/100)),(INT(K434/B434)+(((K434-B434*INT(K434/B434)))/C434)/100))))</f>
        <v>0</v>
      </c>
      <c r="AW434" s="57">
        <f>IF(ISERROR(IF(B434=C434,L434/C434,(INT(L434/B434)+(((L434-B434*INT(L434/B434)))/C434)/100))),0,(IF(B434=C434,L434/C434,(INT(L434/B434)+(((L434-B434*INT(L434/B434)))/C434)/100))))</f>
        <v>0</v>
      </c>
      <c r="AX434" s="57">
        <f>IF(ISERROR(IF(B434=C434,M434/C434,(INT(M434/B434)+(((M434-B434*INT(M434/B434)))/C434)/100))),0,(IF(B434=C434,M434/C434,(INT(M434/B434)+(((M434-B434*INT(M434/B434)))/C434)/100))))</f>
        <v>0</v>
      </c>
      <c r="AY434" s="57">
        <f>IF(ISERROR(IF(B434=C434,N434/C434,IF((INT(N434/B434)+(((N434-B434*INT(N434/B434)))/C434)/100)&lt;0,(INT(N434/B434)+(((N434-B434*INT(N434/B434)))/C434)/100)+(1-(B434/C434/100)),(INT(N434/B434)+(((N434-B434*INT(N434/B434)))/C434)/100)))),0,IF(B434=C434,N434/C434,IF((INT(N434/B434)+(((N434-B434*INT(N434/B434)))/C434)/100)&lt;0,(INT(N434/B434)+(((N434-B434*INT(N434/B434)))/C434)/100)+(1-(B434/C434/100)),(INT(N434/B434)+(((N434-B434*INT(N434/B434)))/C434)/100))))</f>
        <v>0</v>
      </c>
      <c r="AZ434" s="57">
        <f>IF(ISERROR(IF(B434=C434,O434/C434,(INT(O434/B434)+(((O434-B434*INT(O434/B434)))/C434)/100))),0,(IF(B434=C434,O434/C434,(INT(O434/B434)+(((O434-B434*INT(O434/B434)))/C434)/100))))</f>
        <v>0</v>
      </c>
      <c r="BA434" s="57">
        <f>IF(ISERROR(IF(B434=C434,P434/C434,IF((INT(P434/B434)+(((P434-B434*INT(P434/B434)))/C434)/100)&lt;0,(INT(P434/B434)+(((P434-B434*INT(P434/B434)))/C434)/100)+(1-(B434/C434/100)),(INT(P434/B434)+(((P434-B434*INT(P434/B434)))/C434)/100)))),0,IF(B434=C434,P434/C434,IF((INT(P434/B434)+(((P434-B434*INT(P434/B434)))/C434)/100)&lt;0,(INT(P434/B434)+(((P434-B434*INT(P434/B434)))/C434)/100)+(1-(B434/C434/100)),(INT(P434/B434)+(((P434-B434*INT(P434/B434)))/C434)/100))))</f>
        <v>0</v>
      </c>
      <c r="BB434" s="28">
        <f>R434</f>
        <v>0</v>
      </c>
      <c r="BC434" s="28">
        <f>S434</f>
        <v>0</v>
      </c>
      <c r="BD434" s="28">
        <f>AF434</f>
        <v>0</v>
      </c>
      <c r="BE434" s="28">
        <f>T434</f>
        <v>0</v>
      </c>
      <c r="BG434" s="57">
        <f>IF(ISERROR(IF(B434=C434,V434/C434,(INT(V434/B434)+(((V434-B434*INT(V434/B434)))/C434)/100))),0,(IF(B434=C434,V434/C434,(INT(V434/B434)+(((V434-B434*INT(V434/B434)))/C434)/100))))</f>
        <v>0</v>
      </c>
      <c r="BH434" s="57">
        <f>IF(ISERROR(IF(B434=C434,W434/C434,(INT(W434/B434)+(((W434-B434*INT(W434/B434)))/C434)/100))),0,(IF(B434=C434,W434/C434,(INT(W434/B434)+(((W434-B434*INT(W434/B434)))/C434)/100))))</f>
        <v>0</v>
      </c>
      <c r="BI434" s="57">
        <f>IF(ISERROR(IF(B434=C434,X434/C434,(INT(X434/B434)+(((X434-B434*INT(X434/B434)))/C434)/100))),0,(IF(B434=C434,X434/C434,(INT(X434/B434)+(((X434-B434*INT(X434/B434)))/C434)/100))))</f>
        <v>0</v>
      </c>
      <c r="BJ434" s="57">
        <f>IF(ISERROR(IF(B434=C434,Y434/C434,(INT(Y434/B434)+(((Y434-B434*INT(Y434/B434)))/C434)/100))),0,(IF(B434=C434,Y434/C434,(INT(Y434/B434)+(((Y434-B434*INT(Y434/B434)))/C434)/100))))</f>
        <v>0</v>
      </c>
      <c r="BL434" s="57">
        <f>IF(ISERROR(IF(B434=C434,AA434/C434,(INT(AA434/B434)+(((AA434-B434*INT(AA434/B434)))/C434)/100))),0,(IF(B434=C434,AA434/C434,(INT(AA434/B434)+(((AA434-B434*INT(AA434/B434)))/C434)/100))))</f>
        <v>0</v>
      </c>
      <c r="BM434" s="57">
        <f>IF(ISERROR(IF(B434=C434,AB434/C434,(INT(AB434/B434)+(((AB434-B434*INT(AB434/B434)))/C434)/100))),0,(IF(B434=C434,AB434/C434,(INT(AB434/B434)+(((AB434-B434*INT(AB434/B434)))/C434)/100))))</f>
        <v>0</v>
      </c>
      <c r="BN434" s="57">
        <f>IF(ISERROR(IF(B434=C434,AC434/C434,(INT(AC434/B434)+(((AC434-B434*INT(AC434/B434)))/C434)/100))),0,(IF(B434=C434,AC434/C434,(INT(AC434/B434)+(((AC434-B434*INT(AC434/B434)))/C434)/100))))</f>
        <v>0</v>
      </c>
      <c r="BO434" s="57">
        <f>IF(ISERROR(IF(B434=C434,AD434/C434,(INT(AD434/B434)+(((AD434-B434*INT(AD434/B434)))/C434)/100))),0,(IF(B434=C434,AD434/C434,(INT(AD434/B434)+(((AD434-B434*INT(AD434/B434)))/C434)/100))))</f>
        <v>0</v>
      </c>
      <c r="BQ434" s="155"/>
    </row>
    <row r="435" spans="1:69" hidden="1" x14ac:dyDescent="0.35">
      <c r="A435" s="94"/>
      <c r="B435" s="113">
        <v>0</v>
      </c>
      <c r="C435" s="113">
        <v>0</v>
      </c>
      <c r="D435" s="28">
        <f>SUM(AA435:AD435)</f>
        <v>0</v>
      </c>
      <c r="E435" s="113">
        <v>0</v>
      </c>
      <c r="F435" s="113">
        <v>0</v>
      </c>
      <c r="G435" s="28">
        <f>SUM(D435:F435)</f>
        <v>0</v>
      </c>
      <c r="H435" s="125">
        <v>0</v>
      </c>
      <c r="I435" s="113">
        <v>0</v>
      </c>
      <c r="J435" s="125">
        <v>0</v>
      </c>
      <c r="K435" s="113">
        <v>0</v>
      </c>
      <c r="L435" s="113">
        <v>0</v>
      </c>
      <c r="M435" s="113">
        <v>0</v>
      </c>
      <c r="N435" s="28">
        <f>G435-SUM(H435:M435)</f>
        <v>0</v>
      </c>
      <c r="O435" s="28">
        <f>SUM(V435:Y435)</f>
        <v>0</v>
      </c>
      <c r="P435" s="28">
        <f>O435-N435</f>
        <v>0</v>
      </c>
      <c r="Q435" s="61" t="str">
        <f>IF(ISERROR(P435/SUM(H435:L435)),"",P435/SUM(H435:L435))</f>
        <v/>
      </c>
      <c r="R435" s="113">
        <v>0</v>
      </c>
      <c r="S435" s="28">
        <f>IF(ISERROR(P435/C435*R435),0,(P435/C435*R435))</f>
        <v>0</v>
      </c>
      <c r="T435" s="60">
        <f>IF(ISERROR(P435/B435*AF435),0,(P435/B435*AF435))</f>
        <v>0</v>
      </c>
      <c r="V435" s="113">
        <v>0</v>
      </c>
      <c r="W435" s="113">
        <v>0</v>
      </c>
      <c r="X435" s="113">
        <v>0</v>
      </c>
      <c r="Y435" s="113">
        <v>0</v>
      </c>
      <c r="AA435" s="113">
        <v>0</v>
      </c>
      <c r="AB435" s="113">
        <v>0</v>
      </c>
      <c r="AC435" s="113">
        <v>0</v>
      </c>
      <c r="AD435" s="113">
        <v>0</v>
      </c>
      <c r="AF435" s="113">
        <v>0</v>
      </c>
      <c r="AG435" s="28">
        <f>G435-O435</f>
        <v>0</v>
      </c>
      <c r="AH435" s="58">
        <f>IF(ISERROR(AG435/B435*AF435),0,(AG435/B435*AF435))</f>
        <v>0</v>
      </c>
      <c r="AI435" s="28">
        <f>SUM(H435:M435)</f>
        <v>0</v>
      </c>
      <c r="AJ435" s="28">
        <f>IF(ISERROR(AI435/B435*AF435),0,(AI435/B435*AF435))</f>
        <v>0</v>
      </c>
      <c r="AK435" s="58">
        <f>IF(ISERROR(O435/B435*AF435),0,(O435/B435*AF435))</f>
        <v>0</v>
      </c>
      <c r="AL435" s="28">
        <f>IF(ISERROR(H435/B435*AF435),0,(H435/B435*AF435))</f>
        <v>0</v>
      </c>
      <c r="AN435" s="51">
        <f>A435</f>
        <v>0</v>
      </c>
      <c r="AO435" s="57">
        <f>IF(ISERROR(IF(B435=C435,D435/C435,(INT(D435/B435)+(((D435-B435*INT(D435/B435)))/C435)/100))),0,(IF(B435=C435,D435/C435,(INT(D435/B435)+(((D435-B435*INT(D435/B435)))/C435)/100))))</f>
        <v>0</v>
      </c>
      <c r="AP435" s="57">
        <f>IF(ISERROR(IF(B435=C435,E435/C435,(INT(E435/B435)+(((E435-B435*INT(E435/B435)))/C435)/100))),0,(IF(B435=C435,E435/C435,(INT(E435/B435)+(((E435-B435*INT(E435/B435)))/C435)/100))))</f>
        <v>0</v>
      </c>
      <c r="AQ435" s="57">
        <f>IF(ISERROR(IF(B435=C435,F435/C435,IF((INT(F435/B435)+(((F435-B435*INT(F435/B435)))/C435)/100)&lt;0,(INT(F435/B435)+(((F435-B435*INT(F435/B435)))/C435)/100)+(1-(B435/C435/100)),(INT(F435/B435)+(((F435-B435*INT(F435/B435)))/C435)/100)))),0,IF(B435=C435,F435/C435,IF((INT(F435/B435)+(((F435-B435*INT(F435/B435)))/C435)/100)&lt;0,(INT(F435/B435)+(((F435-B435*INT(F435/B435)))/C435)/100)+(1-(B435/C435/100)),(INT(F435/B435)+(((F435-B435*INT(F435/B435)))/C435)/100))))</f>
        <v>0</v>
      </c>
      <c r="AR435" s="57">
        <f>IF(ISERROR(IF(B435=C435,G435/C435,(INT(G435/B435)+(((G435-B435*INT(G435/B435)))/C435)/100))),0,(IF(B435=C435,G435/C435,(INT(G435/B435)+(((G435-B435*INT(G435/B435)))/C435)/100))))</f>
        <v>0</v>
      </c>
      <c r="AS435" s="57">
        <f>IF(ISERROR(IF(B435=C435,H435/C435,(INT(H435/B435)+(((H435-B435*INT(H435/B435)))/C435)/100))),0,(IF(B435=C435,H435/C435,(INT(H435/B435)+(((H435-B435*INT(H435/B435)))/C435)/100))))</f>
        <v>0</v>
      </c>
      <c r="AT435" s="57">
        <f>IF(ISERROR(IF(B435=C435,I435/C435,(INT(I435/B435)+(((I435-B435*INT(I435/B435)))/C435)/100))),0,(IF(B435=C435,I435/C435,(INT(I435/B435)+(((I435-B435*INT(I435/B435)))/C435)/100))))</f>
        <v>0</v>
      </c>
      <c r="AU435" s="57">
        <f>IF(ISERROR(IF(B435=C435,J435/C435,(INT(J435/B435)+(((J435-B435*INT(J435/B435)))/C435)/100))),0,(IF(B435=C435,J435/C435,(INT(J435/B435)+(((J435-B435*INT(J435/B435)))/C435)/100))))</f>
        <v>0</v>
      </c>
      <c r="AV435" s="57">
        <f>IF(ISERROR(IF(B435=C435,K435/C435,IF((INT(K435/B435)+(((K435-B435*INT(K435/B435)))/C435)/100)&lt;0,(INT(K435/B435)+(((K435-B435*INT(K435/B435)))/C435)/100)+(1-(B435/C435/100)),(INT(K435/B435)+(((K435-B435*INT(K435/B435)))/C435)/100)))),0,IF(B435=C435,K435/C435,IF((INT(K435/B435)+(((K435-B435*INT(K435/B435)))/C435)/100)&lt;0,(INT(K435/B435)+(((K435-B435*INT(K435/B435)))/C435)/100)+(1-(B435/C435/100)),(INT(K435/B435)+(((K435-B435*INT(K435/B435)))/C435)/100))))</f>
        <v>0</v>
      </c>
      <c r="AW435" s="57">
        <f>IF(ISERROR(IF(B435=C435,L435/C435,(INT(L435/B435)+(((L435-B435*INT(L435/B435)))/C435)/100))),0,(IF(B435=C435,L435/C435,(INT(L435/B435)+(((L435-B435*INT(L435/B435)))/C435)/100))))</f>
        <v>0</v>
      </c>
      <c r="AX435" s="57">
        <f>IF(ISERROR(IF(B435=C435,M435/C435,(INT(M435/B435)+(((M435-B435*INT(M435/B435)))/C435)/100))),0,(IF(B435=C435,M435/C435,(INT(M435/B435)+(((M435-B435*INT(M435/B435)))/C435)/100))))</f>
        <v>0</v>
      </c>
      <c r="AY435" s="57">
        <f>IF(ISERROR(IF(B435=C435,N435/C435,IF((INT(N435/B435)+(((N435-B435*INT(N435/B435)))/C435)/100)&lt;0,(INT(N435/B435)+(((N435-B435*INT(N435/B435)))/C435)/100)+(1-(B435/C435/100)),(INT(N435/B435)+(((N435-B435*INT(N435/B435)))/C435)/100)))),0,IF(B435=C435,N435/C435,IF((INT(N435/B435)+(((N435-B435*INT(N435/B435)))/C435)/100)&lt;0,(INT(N435/B435)+(((N435-B435*INT(N435/B435)))/C435)/100)+(1-(B435/C435/100)),(INT(N435/B435)+(((N435-B435*INT(N435/B435)))/C435)/100))))</f>
        <v>0</v>
      </c>
      <c r="AZ435" s="57">
        <f>IF(ISERROR(IF(B435=C435,O435/C435,(INT(O435/B435)+(((O435-B435*INT(O435/B435)))/C435)/100))),0,(IF(B435=C435,O435/C435,(INT(O435/B435)+(((O435-B435*INT(O435/B435)))/C435)/100))))</f>
        <v>0</v>
      </c>
      <c r="BA435" s="57">
        <f>IF(ISERROR(IF(B435=C435,P435/C435,IF((INT(P435/B435)+(((P435-B435*INT(P435/B435)))/C435)/100)&lt;0,(INT(P435/B435)+(((P435-B435*INT(P435/B435)))/C435)/100)+(1-(B435/C435/100)),(INT(P435/B435)+(((P435-B435*INT(P435/B435)))/C435)/100)))),0,IF(B435=C435,P435/C435,IF((INT(P435/B435)+(((P435-B435*INT(P435/B435)))/C435)/100)&lt;0,(INT(P435/B435)+(((P435-B435*INT(P435/B435)))/C435)/100)+(1-(B435/C435/100)),(INT(P435/B435)+(((P435-B435*INT(P435/B435)))/C435)/100))))</f>
        <v>0</v>
      </c>
      <c r="BB435" s="28">
        <f>R435</f>
        <v>0</v>
      </c>
      <c r="BC435" s="28">
        <f>S435</f>
        <v>0</v>
      </c>
      <c r="BD435" s="28">
        <f>AF435</f>
        <v>0</v>
      </c>
      <c r="BE435" s="28">
        <f>T435</f>
        <v>0</v>
      </c>
      <c r="BG435" s="57">
        <f>IF(ISERROR(IF(B435=C435,V435/C435,(INT(V435/B435)+(((V435-B435*INT(V435/B435)))/C435)/100))),0,(IF(B435=C435,V435/C435,(INT(V435/B435)+(((V435-B435*INT(V435/B435)))/C435)/100))))</f>
        <v>0</v>
      </c>
      <c r="BH435" s="57">
        <f>IF(ISERROR(IF(B435=C435,W435/C435,(INT(W435/B435)+(((W435-B435*INT(W435/B435)))/C435)/100))),0,(IF(B435=C435,W435/C435,(INT(W435/B435)+(((W435-B435*INT(W435/B435)))/C435)/100))))</f>
        <v>0</v>
      </c>
      <c r="BI435" s="57">
        <f>IF(ISERROR(IF(B435=C435,X435/C435,(INT(X435/B435)+(((X435-B435*INT(X435/B435)))/C435)/100))),0,(IF(B435=C435,X435/C435,(INT(X435/B435)+(((X435-B435*INT(X435/B435)))/C435)/100))))</f>
        <v>0</v>
      </c>
      <c r="BJ435" s="57">
        <f>IF(ISERROR(IF(B435=C435,Y435/C435,(INT(Y435/B435)+(((Y435-B435*INT(Y435/B435)))/C435)/100))),0,(IF(B435=C435,Y435/C435,(INT(Y435/B435)+(((Y435-B435*INT(Y435/B435)))/C435)/100))))</f>
        <v>0</v>
      </c>
      <c r="BL435" s="57">
        <f>IF(ISERROR(IF(B435=C435,AA435/C435,(INT(AA435/B435)+(((AA435-B435*INT(AA435/B435)))/C435)/100))),0,(IF(B435=C435,AA435/C435,(INT(AA435/B435)+(((AA435-B435*INT(AA435/B435)))/C435)/100))))</f>
        <v>0</v>
      </c>
      <c r="BM435" s="57">
        <f>IF(ISERROR(IF(B435=C435,AB435/C435,(INT(AB435/B435)+(((AB435-B435*INT(AB435/B435)))/C435)/100))),0,(IF(B435=C435,AB435/C435,(INT(AB435/B435)+(((AB435-B435*INT(AB435/B435)))/C435)/100))))</f>
        <v>0</v>
      </c>
      <c r="BN435" s="57">
        <f>IF(ISERROR(IF(B435=C435,AC435/C435,(INT(AC435/B435)+(((AC435-B435*INT(AC435/B435)))/C435)/100))),0,(IF(B435=C435,AC435/C435,(INT(AC435/B435)+(((AC435-B435*INT(AC435/B435)))/C435)/100))))</f>
        <v>0</v>
      </c>
      <c r="BO435" s="57">
        <f>IF(ISERROR(IF(B435=C435,AD435/C435,(INT(AD435/B435)+(((AD435-B435*INT(AD435/B435)))/C435)/100))),0,(IF(B435=C435,AD435/C435,(INT(AD435/B435)+(((AD435-B435*INT(AD435/B435)))/C435)/100))))</f>
        <v>0</v>
      </c>
      <c r="BQ435" s="155"/>
    </row>
    <row r="436" spans="1:69" hidden="1" x14ac:dyDescent="0.35">
      <c r="A436" s="94"/>
      <c r="B436" s="113">
        <v>0</v>
      </c>
      <c r="C436" s="113">
        <v>0</v>
      </c>
      <c r="D436" s="28">
        <f>SUM(AA436:AD436)</f>
        <v>0</v>
      </c>
      <c r="E436" s="113">
        <v>0</v>
      </c>
      <c r="F436" s="113">
        <v>0</v>
      </c>
      <c r="G436" s="28">
        <f>SUM(D436:F436)</f>
        <v>0</v>
      </c>
      <c r="H436" s="125">
        <v>0</v>
      </c>
      <c r="I436" s="113">
        <v>0</v>
      </c>
      <c r="J436" s="125">
        <v>0</v>
      </c>
      <c r="K436" s="113">
        <v>0</v>
      </c>
      <c r="L436" s="113">
        <v>0</v>
      </c>
      <c r="M436" s="113">
        <v>0</v>
      </c>
      <c r="N436" s="28">
        <f>G436-SUM(H436:M436)</f>
        <v>0</v>
      </c>
      <c r="O436" s="28">
        <f>SUM(V436:Y436)</f>
        <v>0</v>
      </c>
      <c r="P436" s="28">
        <f>O436-N436</f>
        <v>0</v>
      </c>
      <c r="Q436" s="61" t="str">
        <f>IF(ISERROR(P436/SUM(H436:L436)),"",P436/SUM(H436:L436))</f>
        <v/>
      </c>
      <c r="R436" s="113">
        <v>0</v>
      </c>
      <c r="S436" s="28">
        <f>IF(ISERROR(P436/C436*R436),0,(P436/C436*R436))</f>
        <v>0</v>
      </c>
      <c r="T436" s="60">
        <f>IF(ISERROR(P436/B436*AF436),0,(P436/B436*AF436))</f>
        <v>0</v>
      </c>
      <c r="V436" s="113">
        <v>0</v>
      </c>
      <c r="W436" s="113">
        <v>0</v>
      </c>
      <c r="X436" s="113">
        <v>0</v>
      </c>
      <c r="Y436" s="113">
        <v>0</v>
      </c>
      <c r="AA436" s="113">
        <v>0</v>
      </c>
      <c r="AB436" s="113">
        <v>0</v>
      </c>
      <c r="AC436" s="113">
        <v>0</v>
      </c>
      <c r="AD436" s="113">
        <v>0</v>
      </c>
      <c r="AF436" s="113">
        <v>0</v>
      </c>
      <c r="AG436" s="28">
        <f>G436-O436</f>
        <v>0</v>
      </c>
      <c r="AH436" s="58">
        <f>IF(ISERROR(AG436/B436*AF436),0,(AG436/B436*AF436))</f>
        <v>0</v>
      </c>
      <c r="AI436" s="28">
        <f>SUM(H436:M436)</f>
        <v>0</v>
      </c>
      <c r="AJ436" s="28">
        <f>IF(ISERROR(AI436/B436*AF436),0,(AI436/B436*AF436))</f>
        <v>0</v>
      </c>
      <c r="AK436" s="58">
        <f>IF(ISERROR(O436/B436*AF436),0,(O436/B436*AF436))</f>
        <v>0</v>
      </c>
      <c r="AL436" s="28">
        <f>IF(ISERROR(H436/B436*AF436),0,(H436/B436*AF436))</f>
        <v>0</v>
      </c>
      <c r="AN436" s="51">
        <f>A436</f>
        <v>0</v>
      </c>
      <c r="AO436" s="57">
        <f>IF(ISERROR(IF(B436=C436,D436/C436,(INT(D436/B436)+(((D436-B436*INT(D436/B436)))/C436)/100))),0,(IF(B436=C436,D436/C436,(INT(D436/B436)+(((D436-B436*INT(D436/B436)))/C436)/100))))</f>
        <v>0</v>
      </c>
      <c r="AP436" s="57">
        <f>IF(ISERROR(IF(B436=C436,E436/C436,(INT(E436/B436)+(((E436-B436*INT(E436/B436)))/C436)/100))),0,(IF(B436=C436,E436/C436,(INT(E436/B436)+(((E436-B436*INT(E436/B436)))/C436)/100))))</f>
        <v>0</v>
      </c>
      <c r="AQ436" s="57">
        <f>IF(ISERROR(IF(B436=C436,F436/C436,IF((INT(F436/B436)+(((F436-B436*INT(F436/B436)))/C436)/100)&lt;0,(INT(F436/B436)+(((F436-B436*INT(F436/B436)))/C436)/100)+(1-(B436/C436/100)),(INT(F436/B436)+(((F436-B436*INT(F436/B436)))/C436)/100)))),0,IF(B436=C436,F436/C436,IF((INT(F436/B436)+(((F436-B436*INT(F436/B436)))/C436)/100)&lt;0,(INT(F436/B436)+(((F436-B436*INT(F436/B436)))/C436)/100)+(1-(B436/C436/100)),(INT(F436/B436)+(((F436-B436*INT(F436/B436)))/C436)/100))))</f>
        <v>0</v>
      </c>
      <c r="AR436" s="57">
        <f>IF(ISERROR(IF(B436=C436,G436/C436,(INT(G436/B436)+(((G436-B436*INT(G436/B436)))/C436)/100))),0,(IF(B436=C436,G436/C436,(INT(G436/B436)+(((G436-B436*INT(G436/B436)))/C436)/100))))</f>
        <v>0</v>
      </c>
      <c r="AS436" s="57">
        <f>IF(ISERROR(IF(B436=C436,H436/C436,(INT(H436/B436)+(((H436-B436*INT(H436/B436)))/C436)/100))),0,(IF(B436=C436,H436/C436,(INT(H436/B436)+(((H436-B436*INT(H436/B436)))/C436)/100))))</f>
        <v>0</v>
      </c>
      <c r="AT436" s="57">
        <f>IF(ISERROR(IF(B436=C436,I436/C436,(INT(I436/B436)+(((I436-B436*INT(I436/B436)))/C436)/100))),0,(IF(B436=C436,I436/C436,(INT(I436/B436)+(((I436-B436*INT(I436/B436)))/C436)/100))))</f>
        <v>0</v>
      </c>
      <c r="AU436" s="57">
        <f>IF(ISERROR(IF(B436=C436,J436/C436,(INT(J436/B436)+(((J436-B436*INT(J436/B436)))/C436)/100))),0,(IF(B436=C436,J436/C436,(INT(J436/B436)+(((J436-B436*INT(J436/B436)))/C436)/100))))</f>
        <v>0</v>
      </c>
      <c r="AV436" s="57">
        <f>IF(ISERROR(IF(B436=C436,K436/C436,IF((INT(K436/B436)+(((K436-B436*INT(K436/B436)))/C436)/100)&lt;0,(INT(K436/B436)+(((K436-B436*INT(K436/B436)))/C436)/100)+(1-(B436/C436/100)),(INT(K436/B436)+(((K436-B436*INT(K436/B436)))/C436)/100)))),0,IF(B436=C436,K436/C436,IF((INT(K436/B436)+(((K436-B436*INT(K436/B436)))/C436)/100)&lt;0,(INT(K436/B436)+(((K436-B436*INT(K436/B436)))/C436)/100)+(1-(B436/C436/100)),(INT(K436/B436)+(((K436-B436*INT(K436/B436)))/C436)/100))))</f>
        <v>0</v>
      </c>
      <c r="AW436" s="57">
        <f>IF(ISERROR(IF(B436=C436,L436/C436,(INT(L436/B436)+(((L436-B436*INT(L436/B436)))/C436)/100))),0,(IF(B436=C436,L436/C436,(INT(L436/B436)+(((L436-B436*INT(L436/B436)))/C436)/100))))</f>
        <v>0</v>
      </c>
      <c r="AX436" s="57">
        <f>IF(ISERROR(IF(B436=C436,M436/C436,(INT(M436/B436)+(((M436-B436*INT(M436/B436)))/C436)/100))),0,(IF(B436=C436,M436/C436,(INT(M436/B436)+(((M436-B436*INT(M436/B436)))/C436)/100))))</f>
        <v>0</v>
      </c>
      <c r="AY436" s="57">
        <f>IF(ISERROR(IF(B436=C436,N436/C436,IF((INT(N436/B436)+(((N436-B436*INT(N436/B436)))/C436)/100)&lt;0,(INT(N436/B436)+(((N436-B436*INT(N436/B436)))/C436)/100)+(1-(B436/C436/100)),(INT(N436/B436)+(((N436-B436*INT(N436/B436)))/C436)/100)))),0,IF(B436=C436,N436/C436,IF((INT(N436/B436)+(((N436-B436*INT(N436/B436)))/C436)/100)&lt;0,(INT(N436/B436)+(((N436-B436*INT(N436/B436)))/C436)/100)+(1-(B436/C436/100)),(INT(N436/B436)+(((N436-B436*INT(N436/B436)))/C436)/100))))</f>
        <v>0</v>
      </c>
      <c r="AZ436" s="57">
        <f>IF(ISERROR(IF(B436=C436,O436/C436,(INT(O436/B436)+(((O436-B436*INT(O436/B436)))/C436)/100))),0,(IF(B436=C436,O436/C436,(INT(O436/B436)+(((O436-B436*INT(O436/B436)))/C436)/100))))</f>
        <v>0</v>
      </c>
      <c r="BA436" s="57">
        <f>IF(ISERROR(IF(B436=C436,P436/C436,IF((INT(P436/B436)+(((P436-B436*INT(P436/B436)))/C436)/100)&lt;0,(INT(P436/B436)+(((P436-B436*INT(P436/B436)))/C436)/100)+(1-(B436/C436/100)),(INT(P436/B436)+(((P436-B436*INT(P436/B436)))/C436)/100)))),0,IF(B436=C436,P436/C436,IF((INT(P436/B436)+(((P436-B436*INT(P436/B436)))/C436)/100)&lt;0,(INT(P436/B436)+(((P436-B436*INT(P436/B436)))/C436)/100)+(1-(B436/C436/100)),(INT(P436/B436)+(((P436-B436*INT(P436/B436)))/C436)/100))))</f>
        <v>0</v>
      </c>
      <c r="BB436" s="28">
        <f>R436</f>
        <v>0</v>
      </c>
      <c r="BC436" s="28">
        <f>S436</f>
        <v>0</v>
      </c>
      <c r="BD436" s="28">
        <f>AF436</f>
        <v>0</v>
      </c>
      <c r="BE436" s="28">
        <f>T436</f>
        <v>0</v>
      </c>
      <c r="BG436" s="57">
        <f>IF(ISERROR(IF(B436=C436,V436/C436,(INT(V436/B436)+(((V436-B436*INT(V436/B436)))/C436)/100))),0,(IF(B436=C436,V436/C436,(INT(V436/B436)+(((V436-B436*INT(V436/B436)))/C436)/100))))</f>
        <v>0</v>
      </c>
      <c r="BH436" s="57">
        <f>IF(ISERROR(IF(B436=C436,W436/C436,(INT(W436/B436)+(((W436-B436*INT(W436/B436)))/C436)/100))),0,(IF(B436=C436,W436/C436,(INT(W436/B436)+(((W436-B436*INT(W436/B436)))/C436)/100))))</f>
        <v>0</v>
      </c>
      <c r="BI436" s="57">
        <f>IF(ISERROR(IF(B436=C436,X436/C436,(INT(X436/B436)+(((X436-B436*INT(X436/B436)))/C436)/100))),0,(IF(B436=C436,X436/C436,(INT(X436/B436)+(((X436-B436*INT(X436/B436)))/C436)/100))))</f>
        <v>0</v>
      </c>
      <c r="BJ436" s="57">
        <f>IF(ISERROR(IF(B436=C436,Y436/C436,(INT(Y436/B436)+(((Y436-B436*INT(Y436/B436)))/C436)/100))),0,(IF(B436=C436,Y436/C436,(INT(Y436/B436)+(((Y436-B436*INT(Y436/B436)))/C436)/100))))</f>
        <v>0</v>
      </c>
      <c r="BL436" s="57">
        <f>IF(ISERROR(IF(B436=C436,AA436/C436,(INT(AA436/B436)+(((AA436-B436*INT(AA436/B436)))/C436)/100))),0,(IF(B436=C436,AA436/C436,(INT(AA436/B436)+(((AA436-B436*INT(AA436/B436)))/C436)/100))))</f>
        <v>0</v>
      </c>
      <c r="BM436" s="57">
        <f>IF(ISERROR(IF(B436=C436,AB436/C436,(INT(AB436/B436)+(((AB436-B436*INT(AB436/B436)))/C436)/100))),0,(IF(B436=C436,AB436/C436,(INT(AB436/B436)+(((AB436-B436*INT(AB436/B436)))/C436)/100))))</f>
        <v>0</v>
      </c>
      <c r="BN436" s="57">
        <f>IF(ISERROR(IF(B436=C436,AC436/C436,(INT(AC436/B436)+(((AC436-B436*INT(AC436/B436)))/C436)/100))),0,(IF(B436=C436,AC436/C436,(INT(AC436/B436)+(((AC436-B436*INT(AC436/B436)))/C436)/100))))</f>
        <v>0</v>
      </c>
      <c r="BO436" s="57">
        <f>IF(ISERROR(IF(B436=C436,AD436/C436,(INT(AD436/B436)+(((AD436-B436*INT(AD436/B436)))/C436)/100))),0,(IF(B436=C436,AD436/C436,(INT(AD436/B436)+(((AD436-B436*INT(AD436/B436)))/C436)/100))))</f>
        <v>0</v>
      </c>
      <c r="BQ436" s="155"/>
    </row>
    <row r="437" spans="1:69" hidden="1" x14ac:dyDescent="0.35">
      <c r="A437" s="94"/>
      <c r="B437" s="113">
        <v>0</v>
      </c>
      <c r="C437" s="113">
        <v>0</v>
      </c>
      <c r="D437" s="28">
        <f>SUM(AA437:AD437)</f>
        <v>0</v>
      </c>
      <c r="E437" s="113">
        <v>0</v>
      </c>
      <c r="F437" s="113">
        <v>0</v>
      </c>
      <c r="G437" s="28">
        <f>SUM(D437:F437)</f>
        <v>0</v>
      </c>
      <c r="H437" s="125">
        <v>0</v>
      </c>
      <c r="I437" s="113">
        <v>0</v>
      </c>
      <c r="J437" s="125">
        <v>0</v>
      </c>
      <c r="K437" s="113">
        <v>0</v>
      </c>
      <c r="L437" s="113">
        <v>0</v>
      </c>
      <c r="M437" s="113">
        <v>0</v>
      </c>
      <c r="N437" s="28">
        <f>G437-SUM(H437:M437)</f>
        <v>0</v>
      </c>
      <c r="O437" s="28">
        <f>SUM(V437:Y437)</f>
        <v>0</v>
      </c>
      <c r="P437" s="28">
        <f>O437-N437</f>
        <v>0</v>
      </c>
      <c r="Q437" s="61" t="str">
        <f>IF(ISERROR(P437/SUM(H437:L437)),"",P437/SUM(H437:L437))</f>
        <v/>
      </c>
      <c r="R437" s="113">
        <v>0</v>
      </c>
      <c r="S437" s="28">
        <f>IF(ISERROR(P437/C437*R437),0,(P437/C437*R437))</f>
        <v>0</v>
      </c>
      <c r="T437" s="60">
        <f>IF(ISERROR(P437/B437*AF437),0,(P437/B437*AF437))</f>
        <v>0</v>
      </c>
      <c r="V437" s="113">
        <v>0</v>
      </c>
      <c r="W437" s="113">
        <v>0</v>
      </c>
      <c r="X437" s="113">
        <v>0</v>
      </c>
      <c r="Y437" s="113">
        <v>0</v>
      </c>
      <c r="AA437" s="113">
        <v>0</v>
      </c>
      <c r="AB437" s="113">
        <v>0</v>
      </c>
      <c r="AC437" s="113">
        <v>0</v>
      </c>
      <c r="AD437" s="113">
        <v>0</v>
      </c>
      <c r="AF437" s="113">
        <v>0</v>
      </c>
      <c r="AG437" s="28">
        <f>G437-O437</f>
        <v>0</v>
      </c>
      <c r="AH437" s="58">
        <f>IF(ISERROR(AG437/B437*AF437),0,(AG437/B437*AF437))</f>
        <v>0</v>
      </c>
      <c r="AI437" s="28">
        <f>SUM(H437:M437)</f>
        <v>0</v>
      </c>
      <c r="AJ437" s="28">
        <f>IF(ISERROR(AI437/B437*AF437),0,(AI437/B437*AF437))</f>
        <v>0</v>
      </c>
      <c r="AK437" s="58">
        <f>IF(ISERROR(O437/B437*AF437),0,(O437/B437*AF437))</f>
        <v>0</v>
      </c>
      <c r="AL437" s="28">
        <f>IF(ISERROR(H437/B437*AF437),0,(H437/B437*AF437))</f>
        <v>0</v>
      </c>
      <c r="AN437" s="51">
        <f>A437</f>
        <v>0</v>
      </c>
      <c r="AO437" s="57">
        <f>IF(ISERROR(IF(B437=C437,D437/C437,(INT(D437/B437)+(((D437-B437*INT(D437/B437)))/C437)/100))),0,(IF(B437=C437,D437/C437,(INT(D437/B437)+(((D437-B437*INT(D437/B437)))/C437)/100))))</f>
        <v>0</v>
      </c>
      <c r="AP437" s="57">
        <f>IF(ISERROR(IF(B437=C437,E437/C437,(INT(E437/B437)+(((E437-B437*INT(E437/B437)))/C437)/100))),0,(IF(B437=C437,E437/C437,(INT(E437/B437)+(((E437-B437*INT(E437/B437)))/C437)/100))))</f>
        <v>0</v>
      </c>
      <c r="AQ437" s="57">
        <f>IF(ISERROR(IF(B437=C437,F437/C437,IF((INT(F437/B437)+(((F437-B437*INT(F437/B437)))/C437)/100)&lt;0,(INT(F437/B437)+(((F437-B437*INT(F437/B437)))/C437)/100)+(1-(B437/C437/100)),(INT(F437/B437)+(((F437-B437*INT(F437/B437)))/C437)/100)))),0,IF(B437=C437,F437/C437,IF((INT(F437/B437)+(((F437-B437*INT(F437/B437)))/C437)/100)&lt;0,(INT(F437/B437)+(((F437-B437*INT(F437/B437)))/C437)/100)+(1-(B437/C437/100)),(INT(F437/B437)+(((F437-B437*INT(F437/B437)))/C437)/100))))</f>
        <v>0</v>
      </c>
      <c r="AR437" s="57">
        <f>IF(ISERROR(IF(B437=C437,G437/C437,(INT(G437/B437)+(((G437-B437*INT(G437/B437)))/C437)/100))),0,(IF(B437=C437,G437/C437,(INT(G437/B437)+(((G437-B437*INT(G437/B437)))/C437)/100))))</f>
        <v>0</v>
      </c>
      <c r="AS437" s="57">
        <f>IF(ISERROR(IF(B437=C437,H437/C437,(INT(H437/B437)+(((H437-B437*INT(H437/B437)))/C437)/100))),0,(IF(B437=C437,H437/C437,(INT(H437/B437)+(((H437-B437*INT(H437/B437)))/C437)/100))))</f>
        <v>0</v>
      </c>
      <c r="AT437" s="57">
        <f>IF(ISERROR(IF(B437=C437,I437/C437,(INT(I437/B437)+(((I437-B437*INT(I437/B437)))/C437)/100))),0,(IF(B437=C437,I437/C437,(INT(I437/B437)+(((I437-B437*INT(I437/B437)))/C437)/100))))</f>
        <v>0</v>
      </c>
      <c r="AU437" s="57">
        <f>IF(ISERROR(IF(B437=C437,J437/C437,(INT(J437/B437)+(((J437-B437*INT(J437/B437)))/C437)/100))),0,(IF(B437=C437,J437/C437,(INT(J437/B437)+(((J437-B437*INT(J437/B437)))/C437)/100))))</f>
        <v>0</v>
      </c>
      <c r="AV437" s="57">
        <f>IF(ISERROR(IF(B437=C437,K437/C437,IF((INT(K437/B437)+(((K437-B437*INT(K437/B437)))/C437)/100)&lt;0,(INT(K437/B437)+(((K437-B437*INT(K437/B437)))/C437)/100)+(1-(B437/C437/100)),(INT(K437/B437)+(((K437-B437*INT(K437/B437)))/C437)/100)))),0,IF(B437=C437,K437/C437,IF((INT(K437/B437)+(((K437-B437*INT(K437/B437)))/C437)/100)&lt;0,(INT(K437/B437)+(((K437-B437*INT(K437/B437)))/C437)/100)+(1-(B437/C437/100)),(INT(K437/B437)+(((K437-B437*INT(K437/B437)))/C437)/100))))</f>
        <v>0</v>
      </c>
      <c r="AW437" s="57">
        <f>IF(ISERROR(IF(B437=C437,L437/C437,(INT(L437/B437)+(((L437-B437*INT(L437/B437)))/C437)/100))),0,(IF(B437=C437,L437/C437,(INT(L437/B437)+(((L437-B437*INT(L437/B437)))/C437)/100))))</f>
        <v>0</v>
      </c>
      <c r="AX437" s="57">
        <f>IF(ISERROR(IF(B437=C437,M437/C437,(INT(M437/B437)+(((M437-B437*INT(M437/B437)))/C437)/100))),0,(IF(B437=C437,M437/C437,(INT(M437/B437)+(((M437-B437*INT(M437/B437)))/C437)/100))))</f>
        <v>0</v>
      </c>
      <c r="AY437" s="57">
        <f>IF(ISERROR(IF(B437=C437,N437/C437,IF((INT(N437/B437)+(((N437-B437*INT(N437/B437)))/C437)/100)&lt;0,(INT(N437/B437)+(((N437-B437*INT(N437/B437)))/C437)/100)+(1-(B437/C437/100)),(INT(N437/B437)+(((N437-B437*INT(N437/B437)))/C437)/100)))),0,IF(B437=C437,N437/C437,IF((INT(N437/B437)+(((N437-B437*INT(N437/B437)))/C437)/100)&lt;0,(INT(N437/B437)+(((N437-B437*INT(N437/B437)))/C437)/100)+(1-(B437/C437/100)),(INT(N437/B437)+(((N437-B437*INT(N437/B437)))/C437)/100))))</f>
        <v>0</v>
      </c>
      <c r="AZ437" s="57">
        <f>IF(ISERROR(IF(B437=C437,O437/C437,(INT(O437/B437)+(((O437-B437*INT(O437/B437)))/C437)/100))),0,(IF(B437=C437,O437/C437,(INT(O437/B437)+(((O437-B437*INT(O437/B437)))/C437)/100))))</f>
        <v>0</v>
      </c>
      <c r="BA437" s="57">
        <f>IF(ISERROR(IF(B437=C437,P437/C437,IF((INT(P437/B437)+(((P437-B437*INT(P437/B437)))/C437)/100)&lt;0,(INT(P437/B437)+(((P437-B437*INT(P437/B437)))/C437)/100)+(1-(B437/C437/100)),(INT(P437/B437)+(((P437-B437*INT(P437/B437)))/C437)/100)))),0,IF(B437=C437,P437/C437,IF((INT(P437/B437)+(((P437-B437*INT(P437/B437)))/C437)/100)&lt;0,(INT(P437/B437)+(((P437-B437*INT(P437/B437)))/C437)/100)+(1-(B437/C437/100)),(INT(P437/B437)+(((P437-B437*INT(P437/B437)))/C437)/100))))</f>
        <v>0</v>
      </c>
      <c r="BB437" s="28">
        <f>R437</f>
        <v>0</v>
      </c>
      <c r="BC437" s="28">
        <f>S437</f>
        <v>0</v>
      </c>
      <c r="BD437" s="28">
        <f>AF437</f>
        <v>0</v>
      </c>
      <c r="BE437" s="28">
        <f>T437</f>
        <v>0</v>
      </c>
      <c r="BG437" s="57">
        <f>IF(ISERROR(IF(B437=C437,V437/C437,(INT(V437/B437)+(((V437-B437*INT(V437/B437)))/C437)/100))),0,(IF(B437=C437,V437/C437,(INT(V437/B437)+(((V437-B437*INT(V437/B437)))/C437)/100))))</f>
        <v>0</v>
      </c>
      <c r="BH437" s="57">
        <f>IF(ISERROR(IF(B437=C437,W437/C437,(INT(W437/B437)+(((W437-B437*INT(W437/B437)))/C437)/100))),0,(IF(B437=C437,W437/C437,(INT(W437/B437)+(((W437-B437*INT(W437/B437)))/C437)/100))))</f>
        <v>0</v>
      </c>
      <c r="BI437" s="57">
        <f>IF(ISERROR(IF(B437=C437,X437/C437,(INT(X437/B437)+(((X437-B437*INT(X437/B437)))/C437)/100))),0,(IF(B437=C437,X437/C437,(INT(X437/B437)+(((X437-B437*INT(X437/B437)))/C437)/100))))</f>
        <v>0</v>
      </c>
      <c r="BJ437" s="57">
        <f>IF(ISERROR(IF(B437=C437,Y437/C437,(INT(Y437/B437)+(((Y437-B437*INT(Y437/B437)))/C437)/100))),0,(IF(B437=C437,Y437/C437,(INT(Y437/B437)+(((Y437-B437*INT(Y437/B437)))/C437)/100))))</f>
        <v>0</v>
      </c>
      <c r="BL437" s="57">
        <f>IF(ISERROR(IF(B437=C437,AA437/C437,(INT(AA437/B437)+(((AA437-B437*INT(AA437/B437)))/C437)/100))),0,(IF(B437=C437,AA437/C437,(INT(AA437/B437)+(((AA437-B437*INT(AA437/B437)))/C437)/100))))</f>
        <v>0</v>
      </c>
      <c r="BM437" s="57">
        <f>IF(ISERROR(IF(B437=C437,AB437/C437,(INT(AB437/B437)+(((AB437-B437*INT(AB437/B437)))/C437)/100))),0,(IF(B437=C437,AB437/C437,(INT(AB437/B437)+(((AB437-B437*INT(AB437/B437)))/C437)/100))))</f>
        <v>0</v>
      </c>
      <c r="BN437" s="57">
        <f>IF(ISERROR(IF(B437=C437,AC437/C437,(INT(AC437/B437)+(((AC437-B437*INT(AC437/B437)))/C437)/100))),0,(IF(B437=C437,AC437/C437,(INT(AC437/B437)+(((AC437-B437*INT(AC437/B437)))/C437)/100))))</f>
        <v>0</v>
      </c>
      <c r="BO437" s="57">
        <f>IF(ISERROR(IF(B437=C437,AD437/C437,(INT(AD437/B437)+(((AD437-B437*INT(AD437/B437)))/C437)/100))),0,(IF(B437=C437,AD437/C437,(INT(AD437/B437)+(((AD437-B437*INT(AD437/B437)))/C437)/100))))</f>
        <v>0</v>
      </c>
      <c r="BQ437" s="155"/>
    </row>
    <row r="438" spans="1:69" hidden="1" x14ac:dyDescent="0.35">
      <c r="A438" s="94"/>
      <c r="B438" s="113">
        <v>0</v>
      </c>
      <c r="C438" s="113">
        <v>0</v>
      </c>
      <c r="D438" s="28">
        <f>SUM(AA438:AD438)</f>
        <v>0</v>
      </c>
      <c r="E438" s="113">
        <v>0</v>
      </c>
      <c r="F438" s="113">
        <v>0</v>
      </c>
      <c r="G438" s="28">
        <f>SUM(D438:F438)</f>
        <v>0</v>
      </c>
      <c r="H438" s="125">
        <v>0</v>
      </c>
      <c r="I438" s="113">
        <v>0</v>
      </c>
      <c r="J438" s="125">
        <v>0</v>
      </c>
      <c r="K438" s="113">
        <v>0</v>
      </c>
      <c r="L438" s="113">
        <v>0</v>
      </c>
      <c r="M438" s="113">
        <v>0</v>
      </c>
      <c r="N438" s="28">
        <f>G438-SUM(H438:M438)</f>
        <v>0</v>
      </c>
      <c r="O438" s="28">
        <f>SUM(V438:Y438)</f>
        <v>0</v>
      </c>
      <c r="P438" s="28">
        <f>O438-N438</f>
        <v>0</v>
      </c>
      <c r="Q438" s="61" t="str">
        <f>IF(ISERROR(P438/SUM(H438:L438)),"",P438/SUM(H438:L438))</f>
        <v/>
      </c>
      <c r="R438" s="113">
        <v>0</v>
      </c>
      <c r="S438" s="28">
        <f>IF(ISERROR(P438/C438*R438),0,(P438/C438*R438))</f>
        <v>0</v>
      </c>
      <c r="T438" s="60">
        <f>IF(ISERROR(P438/B438*AF438),0,(P438/B438*AF438))</f>
        <v>0</v>
      </c>
      <c r="V438" s="113">
        <v>0</v>
      </c>
      <c r="W438" s="113">
        <v>0</v>
      </c>
      <c r="X438" s="113">
        <v>0</v>
      </c>
      <c r="Y438" s="113">
        <v>0</v>
      </c>
      <c r="AA438" s="113">
        <v>0</v>
      </c>
      <c r="AB438" s="113">
        <v>0</v>
      </c>
      <c r="AC438" s="113">
        <v>0</v>
      </c>
      <c r="AD438" s="113">
        <v>0</v>
      </c>
      <c r="AF438" s="113">
        <v>0</v>
      </c>
      <c r="AG438" s="28">
        <f>G438-O438</f>
        <v>0</v>
      </c>
      <c r="AH438" s="58">
        <f>IF(ISERROR(AG438/B438*AF438),0,(AG438/B438*AF438))</f>
        <v>0</v>
      </c>
      <c r="AI438" s="28">
        <f>SUM(H438:M438)</f>
        <v>0</v>
      </c>
      <c r="AJ438" s="28">
        <f>IF(ISERROR(AI438/B438*AF438),0,(AI438/B438*AF438))</f>
        <v>0</v>
      </c>
      <c r="AK438" s="58">
        <f>IF(ISERROR(O438/B438*AF438),0,(O438/B438*AF438))</f>
        <v>0</v>
      </c>
      <c r="AL438" s="28">
        <f>IF(ISERROR(H438/B438*AF438),0,(H438/B438*AF438))</f>
        <v>0</v>
      </c>
      <c r="AN438" s="51">
        <f>A438</f>
        <v>0</v>
      </c>
      <c r="AO438" s="57">
        <f>IF(ISERROR(IF(B438=C438,D438/C438,(INT(D438/B438)+(((D438-B438*INT(D438/B438)))/C438)/100))),0,(IF(B438=C438,D438/C438,(INT(D438/B438)+(((D438-B438*INT(D438/B438)))/C438)/100))))</f>
        <v>0</v>
      </c>
      <c r="AP438" s="57">
        <f>IF(ISERROR(IF(B438=C438,E438/C438,(INT(E438/B438)+(((E438-B438*INT(E438/B438)))/C438)/100))),0,(IF(B438=C438,E438/C438,(INT(E438/B438)+(((E438-B438*INT(E438/B438)))/C438)/100))))</f>
        <v>0</v>
      </c>
      <c r="AQ438" s="57">
        <f>IF(ISERROR(IF(B438=C438,F438/C438,IF((INT(F438/B438)+(((F438-B438*INT(F438/B438)))/C438)/100)&lt;0,(INT(F438/B438)+(((F438-B438*INT(F438/B438)))/C438)/100)+(1-(B438/C438/100)),(INT(F438/B438)+(((F438-B438*INT(F438/B438)))/C438)/100)))),0,IF(B438=C438,F438/C438,IF((INT(F438/B438)+(((F438-B438*INT(F438/B438)))/C438)/100)&lt;0,(INT(F438/B438)+(((F438-B438*INT(F438/B438)))/C438)/100)+(1-(B438/C438/100)),(INT(F438/B438)+(((F438-B438*INT(F438/B438)))/C438)/100))))</f>
        <v>0</v>
      </c>
      <c r="AR438" s="57">
        <f>IF(ISERROR(IF(B438=C438,G438/C438,(INT(G438/B438)+(((G438-B438*INT(G438/B438)))/C438)/100))),0,(IF(B438=C438,G438/C438,(INT(G438/B438)+(((G438-B438*INT(G438/B438)))/C438)/100))))</f>
        <v>0</v>
      </c>
      <c r="AS438" s="57">
        <f>IF(ISERROR(IF(B438=C438,H438/C438,(INT(H438/B438)+(((H438-B438*INT(H438/B438)))/C438)/100))),0,(IF(B438=C438,H438/C438,(INT(H438/B438)+(((H438-B438*INT(H438/B438)))/C438)/100))))</f>
        <v>0</v>
      </c>
      <c r="AT438" s="57">
        <f>IF(ISERROR(IF(B438=C438,I438/C438,(INT(I438/B438)+(((I438-B438*INT(I438/B438)))/C438)/100))),0,(IF(B438=C438,I438/C438,(INT(I438/B438)+(((I438-B438*INT(I438/B438)))/C438)/100))))</f>
        <v>0</v>
      </c>
      <c r="AU438" s="57">
        <f>IF(ISERROR(IF(B438=C438,J438/C438,(INT(J438/B438)+(((J438-B438*INT(J438/B438)))/C438)/100))),0,(IF(B438=C438,J438/C438,(INT(J438/B438)+(((J438-B438*INT(J438/B438)))/C438)/100))))</f>
        <v>0</v>
      </c>
      <c r="AV438" s="57">
        <f>IF(ISERROR(IF(B438=C438,K438/C438,IF((INT(K438/B438)+(((K438-B438*INT(K438/B438)))/C438)/100)&lt;0,(INT(K438/B438)+(((K438-B438*INT(K438/B438)))/C438)/100)+(1-(B438/C438/100)),(INT(K438/B438)+(((K438-B438*INT(K438/B438)))/C438)/100)))),0,IF(B438=C438,K438/C438,IF((INT(K438/B438)+(((K438-B438*INT(K438/B438)))/C438)/100)&lt;0,(INT(K438/B438)+(((K438-B438*INT(K438/B438)))/C438)/100)+(1-(B438/C438/100)),(INT(K438/B438)+(((K438-B438*INT(K438/B438)))/C438)/100))))</f>
        <v>0</v>
      </c>
      <c r="AW438" s="57">
        <f>IF(ISERROR(IF(B438=C438,L438/C438,(INT(L438/B438)+(((L438-B438*INT(L438/B438)))/C438)/100))),0,(IF(B438=C438,L438/C438,(INT(L438/B438)+(((L438-B438*INT(L438/B438)))/C438)/100))))</f>
        <v>0</v>
      </c>
      <c r="AX438" s="57">
        <f>IF(ISERROR(IF(B438=C438,M438/C438,(INT(M438/B438)+(((M438-B438*INT(M438/B438)))/C438)/100))),0,(IF(B438=C438,M438/C438,(INT(M438/B438)+(((M438-B438*INT(M438/B438)))/C438)/100))))</f>
        <v>0</v>
      </c>
      <c r="AY438" s="57">
        <f>IF(ISERROR(IF(B438=C438,N438/C438,IF((INT(N438/B438)+(((N438-B438*INT(N438/B438)))/C438)/100)&lt;0,(INT(N438/B438)+(((N438-B438*INT(N438/B438)))/C438)/100)+(1-(B438/C438/100)),(INT(N438/B438)+(((N438-B438*INT(N438/B438)))/C438)/100)))),0,IF(B438=C438,N438/C438,IF((INT(N438/B438)+(((N438-B438*INT(N438/B438)))/C438)/100)&lt;0,(INT(N438/B438)+(((N438-B438*INT(N438/B438)))/C438)/100)+(1-(B438/C438/100)),(INT(N438/B438)+(((N438-B438*INT(N438/B438)))/C438)/100))))</f>
        <v>0</v>
      </c>
      <c r="AZ438" s="57">
        <f>IF(ISERROR(IF(B438=C438,O438/C438,(INT(O438/B438)+(((O438-B438*INT(O438/B438)))/C438)/100))),0,(IF(B438=C438,O438/C438,(INT(O438/B438)+(((O438-B438*INT(O438/B438)))/C438)/100))))</f>
        <v>0</v>
      </c>
      <c r="BA438" s="57">
        <f>IF(ISERROR(IF(B438=C438,P438/C438,IF((INT(P438/B438)+(((P438-B438*INT(P438/B438)))/C438)/100)&lt;0,(INT(P438/B438)+(((P438-B438*INT(P438/B438)))/C438)/100)+(1-(B438/C438/100)),(INT(P438/B438)+(((P438-B438*INT(P438/B438)))/C438)/100)))),0,IF(B438=C438,P438/C438,IF((INT(P438/B438)+(((P438-B438*INT(P438/B438)))/C438)/100)&lt;0,(INT(P438/B438)+(((P438-B438*INT(P438/B438)))/C438)/100)+(1-(B438/C438/100)),(INT(P438/B438)+(((P438-B438*INT(P438/B438)))/C438)/100))))</f>
        <v>0</v>
      </c>
      <c r="BB438" s="28">
        <f>R438</f>
        <v>0</v>
      </c>
      <c r="BC438" s="28">
        <f>S438</f>
        <v>0</v>
      </c>
      <c r="BD438" s="28">
        <f>AF438</f>
        <v>0</v>
      </c>
      <c r="BE438" s="28">
        <f>T438</f>
        <v>0</v>
      </c>
      <c r="BG438" s="57">
        <f>IF(ISERROR(IF(B438=C438,V438/C438,(INT(V438/B438)+(((V438-B438*INT(V438/B438)))/C438)/100))),0,(IF(B438=C438,V438/C438,(INT(V438/B438)+(((V438-B438*INT(V438/B438)))/C438)/100))))</f>
        <v>0</v>
      </c>
      <c r="BH438" s="57">
        <f>IF(ISERROR(IF(B438=C438,W438/C438,(INT(W438/B438)+(((W438-B438*INT(W438/B438)))/C438)/100))),0,(IF(B438=C438,W438/C438,(INT(W438/B438)+(((W438-B438*INT(W438/B438)))/C438)/100))))</f>
        <v>0</v>
      </c>
      <c r="BI438" s="57">
        <f>IF(ISERROR(IF(B438=C438,X438/C438,(INT(X438/B438)+(((X438-B438*INT(X438/B438)))/C438)/100))),0,(IF(B438=C438,X438/C438,(INT(X438/B438)+(((X438-B438*INT(X438/B438)))/C438)/100))))</f>
        <v>0</v>
      </c>
      <c r="BJ438" s="57">
        <f>IF(ISERROR(IF(B438=C438,Y438/C438,(INT(Y438/B438)+(((Y438-B438*INT(Y438/B438)))/C438)/100))),0,(IF(B438=C438,Y438/C438,(INT(Y438/B438)+(((Y438-B438*INT(Y438/B438)))/C438)/100))))</f>
        <v>0</v>
      </c>
      <c r="BL438" s="57">
        <f>IF(ISERROR(IF(B438=C438,AA438/C438,(INT(AA438/B438)+(((AA438-B438*INT(AA438/B438)))/C438)/100))),0,(IF(B438=C438,AA438/C438,(INT(AA438/B438)+(((AA438-B438*INT(AA438/B438)))/C438)/100))))</f>
        <v>0</v>
      </c>
      <c r="BM438" s="57">
        <f>IF(ISERROR(IF(B438=C438,AB438/C438,(INT(AB438/B438)+(((AB438-B438*INT(AB438/B438)))/C438)/100))),0,(IF(B438=C438,AB438/C438,(INT(AB438/B438)+(((AB438-B438*INT(AB438/B438)))/C438)/100))))</f>
        <v>0</v>
      </c>
      <c r="BN438" s="57">
        <f>IF(ISERROR(IF(B438=C438,AC438/C438,(INT(AC438/B438)+(((AC438-B438*INT(AC438/B438)))/C438)/100))),0,(IF(B438=C438,AC438/C438,(INT(AC438/B438)+(((AC438-B438*INT(AC438/B438)))/C438)/100))))</f>
        <v>0</v>
      </c>
      <c r="BO438" s="57">
        <f>IF(ISERROR(IF(B438=C438,AD438/C438,(INT(AD438/B438)+(((AD438-B438*INT(AD438/B438)))/C438)/100))),0,(IF(B438=C438,AD438/C438,(INT(AD438/B438)+(((AD438-B438*INT(AD438/B438)))/C438)/100))))</f>
        <v>0</v>
      </c>
      <c r="BQ438" s="155"/>
    </row>
    <row r="439" spans="1:69" hidden="1" x14ac:dyDescent="0.35">
      <c r="A439" s="94"/>
      <c r="B439" s="113">
        <v>0</v>
      </c>
      <c r="C439" s="113">
        <v>0</v>
      </c>
      <c r="D439" s="28">
        <f>SUM(AA439:AD439)</f>
        <v>0</v>
      </c>
      <c r="E439" s="113">
        <v>0</v>
      </c>
      <c r="F439" s="113">
        <v>0</v>
      </c>
      <c r="G439" s="28">
        <f>SUM(D439:F439)</f>
        <v>0</v>
      </c>
      <c r="H439" s="125">
        <v>0</v>
      </c>
      <c r="I439" s="113">
        <v>0</v>
      </c>
      <c r="J439" s="125">
        <v>0</v>
      </c>
      <c r="K439" s="113">
        <v>0</v>
      </c>
      <c r="L439" s="113">
        <v>0</v>
      </c>
      <c r="M439" s="113">
        <v>0</v>
      </c>
      <c r="N439" s="28">
        <f>G439-SUM(H439:M439)</f>
        <v>0</v>
      </c>
      <c r="O439" s="28">
        <f>SUM(V439:Y439)</f>
        <v>0</v>
      </c>
      <c r="P439" s="28">
        <f>O439-N439</f>
        <v>0</v>
      </c>
      <c r="Q439" s="61" t="str">
        <f>IF(ISERROR(P439/SUM(H439:L439)),"",P439/SUM(H439:L439))</f>
        <v/>
      </c>
      <c r="R439" s="113">
        <v>0</v>
      </c>
      <c r="S439" s="28">
        <f>IF(ISERROR(P439/C439*R439),0,(P439/C439*R439))</f>
        <v>0</v>
      </c>
      <c r="T439" s="60">
        <f>IF(ISERROR(P439/B439*AF439),0,(P439/B439*AF439))</f>
        <v>0</v>
      </c>
      <c r="V439" s="113">
        <v>0</v>
      </c>
      <c r="W439" s="113">
        <v>0</v>
      </c>
      <c r="X439" s="113">
        <v>0</v>
      </c>
      <c r="Y439" s="113">
        <v>0</v>
      </c>
      <c r="AA439" s="113">
        <v>0</v>
      </c>
      <c r="AB439" s="113">
        <v>0</v>
      </c>
      <c r="AC439" s="113">
        <v>0</v>
      </c>
      <c r="AD439" s="113">
        <v>0</v>
      </c>
      <c r="AF439" s="113">
        <v>0</v>
      </c>
      <c r="AG439" s="28">
        <f>G439-O439</f>
        <v>0</v>
      </c>
      <c r="AH439" s="58">
        <f>IF(ISERROR(AG439/B439*AF439),0,(AG439/B439*AF439))</f>
        <v>0</v>
      </c>
      <c r="AI439" s="28">
        <f>SUM(H439:M439)</f>
        <v>0</v>
      </c>
      <c r="AJ439" s="28">
        <f>IF(ISERROR(AI439/B439*AF439),0,(AI439/B439*AF439))</f>
        <v>0</v>
      </c>
      <c r="AK439" s="58">
        <f>IF(ISERROR(O439/B439*AF439),0,(O439/B439*AF439))</f>
        <v>0</v>
      </c>
      <c r="AL439" s="28">
        <f>IF(ISERROR(H439/B439*AF439),0,(H439/B439*AF439))</f>
        <v>0</v>
      </c>
      <c r="AN439" s="51">
        <f>A439</f>
        <v>0</v>
      </c>
      <c r="AO439" s="57">
        <f>IF(ISERROR(IF(B439=C439,D439/C439,(INT(D439/B439)+(((D439-B439*INT(D439/B439)))/C439)/100))),0,(IF(B439=C439,D439/C439,(INT(D439/B439)+(((D439-B439*INT(D439/B439)))/C439)/100))))</f>
        <v>0</v>
      </c>
      <c r="AP439" s="57">
        <f>IF(ISERROR(IF(B439=C439,E439/C439,(INT(E439/B439)+(((E439-B439*INT(E439/B439)))/C439)/100))),0,(IF(B439=C439,E439/C439,(INT(E439/B439)+(((E439-B439*INT(E439/B439)))/C439)/100))))</f>
        <v>0</v>
      </c>
      <c r="AQ439" s="57">
        <f>IF(ISERROR(IF(B439=C439,F439/C439,IF((INT(F439/B439)+(((F439-B439*INT(F439/B439)))/C439)/100)&lt;0,(INT(F439/B439)+(((F439-B439*INT(F439/B439)))/C439)/100)+(1-(B439/C439/100)),(INT(F439/B439)+(((F439-B439*INT(F439/B439)))/C439)/100)))),0,IF(B439=C439,F439/C439,IF((INT(F439/B439)+(((F439-B439*INT(F439/B439)))/C439)/100)&lt;0,(INT(F439/B439)+(((F439-B439*INT(F439/B439)))/C439)/100)+(1-(B439/C439/100)),(INT(F439/B439)+(((F439-B439*INT(F439/B439)))/C439)/100))))</f>
        <v>0</v>
      </c>
      <c r="AR439" s="57">
        <f>IF(ISERROR(IF(B439=C439,G439/C439,(INT(G439/B439)+(((G439-B439*INT(G439/B439)))/C439)/100))),0,(IF(B439=C439,G439/C439,(INT(G439/B439)+(((G439-B439*INT(G439/B439)))/C439)/100))))</f>
        <v>0</v>
      </c>
      <c r="AS439" s="57">
        <f>IF(ISERROR(IF(B439=C439,H439/C439,(INT(H439/B439)+(((H439-B439*INT(H439/B439)))/C439)/100))),0,(IF(B439=C439,H439/C439,(INT(H439/B439)+(((H439-B439*INT(H439/B439)))/C439)/100))))</f>
        <v>0</v>
      </c>
      <c r="AT439" s="57">
        <f>IF(ISERROR(IF(B439=C439,I439/C439,(INT(I439/B439)+(((I439-B439*INT(I439/B439)))/C439)/100))),0,(IF(B439=C439,I439/C439,(INT(I439/B439)+(((I439-B439*INT(I439/B439)))/C439)/100))))</f>
        <v>0</v>
      </c>
      <c r="AU439" s="57">
        <f>IF(ISERROR(IF(B439=C439,J439/C439,(INT(J439/B439)+(((J439-B439*INT(J439/B439)))/C439)/100))),0,(IF(B439=C439,J439/C439,(INT(J439/B439)+(((J439-B439*INT(J439/B439)))/C439)/100))))</f>
        <v>0</v>
      </c>
      <c r="AV439" s="57">
        <f>IF(ISERROR(IF(B439=C439,K439/C439,IF((INT(K439/B439)+(((K439-B439*INT(K439/B439)))/C439)/100)&lt;0,(INT(K439/B439)+(((K439-B439*INT(K439/B439)))/C439)/100)+(1-(B439/C439/100)),(INT(K439/B439)+(((K439-B439*INT(K439/B439)))/C439)/100)))),0,IF(B439=C439,K439/C439,IF((INT(K439/B439)+(((K439-B439*INT(K439/B439)))/C439)/100)&lt;0,(INT(K439/B439)+(((K439-B439*INT(K439/B439)))/C439)/100)+(1-(B439/C439/100)),(INT(K439/B439)+(((K439-B439*INT(K439/B439)))/C439)/100))))</f>
        <v>0</v>
      </c>
      <c r="AW439" s="57">
        <f>IF(ISERROR(IF(B439=C439,L439/C439,(INT(L439/B439)+(((L439-B439*INT(L439/B439)))/C439)/100))),0,(IF(B439=C439,L439/C439,(INT(L439/B439)+(((L439-B439*INT(L439/B439)))/C439)/100))))</f>
        <v>0</v>
      </c>
      <c r="AX439" s="57">
        <f>IF(ISERROR(IF(B439=C439,M439/C439,(INT(M439/B439)+(((M439-B439*INT(M439/B439)))/C439)/100))),0,(IF(B439=C439,M439/C439,(INT(M439/B439)+(((M439-B439*INT(M439/B439)))/C439)/100))))</f>
        <v>0</v>
      </c>
      <c r="AY439" s="57">
        <f>IF(ISERROR(IF(B439=C439,N439/C439,IF((INT(N439/B439)+(((N439-B439*INT(N439/B439)))/C439)/100)&lt;0,(INT(N439/B439)+(((N439-B439*INT(N439/B439)))/C439)/100)+(1-(B439/C439/100)),(INT(N439/B439)+(((N439-B439*INT(N439/B439)))/C439)/100)))),0,IF(B439=C439,N439/C439,IF((INT(N439/B439)+(((N439-B439*INT(N439/B439)))/C439)/100)&lt;0,(INT(N439/B439)+(((N439-B439*INT(N439/B439)))/C439)/100)+(1-(B439/C439/100)),(INT(N439/B439)+(((N439-B439*INT(N439/B439)))/C439)/100))))</f>
        <v>0</v>
      </c>
      <c r="AZ439" s="57">
        <f>IF(ISERROR(IF(B439=C439,O439/C439,(INT(O439/B439)+(((O439-B439*INT(O439/B439)))/C439)/100))),0,(IF(B439=C439,O439/C439,(INT(O439/B439)+(((O439-B439*INT(O439/B439)))/C439)/100))))</f>
        <v>0</v>
      </c>
      <c r="BA439" s="57">
        <f>IF(ISERROR(IF(B439=C439,P439/C439,IF((INT(P439/B439)+(((P439-B439*INT(P439/B439)))/C439)/100)&lt;0,(INT(P439/B439)+(((P439-B439*INT(P439/B439)))/C439)/100)+(1-(B439/C439/100)),(INT(P439/B439)+(((P439-B439*INT(P439/B439)))/C439)/100)))),0,IF(B439=C439,P439/C439,IF((INT(P439/B439)+(((P439-B439*INT(P439/B439)))/C439)/100)&lt;0,(INT(P439/B439)+(((P439-B439*INT(P439/B439)))/C439)/100)+(1-(B439/C439/100)),(INT(P439/B439)+(((P439-B439*INT(P439/B439)))/C439)/100))))</f>
        <v>0</v>
      </c>
      <c r="BB439" s="28">
        <f>R439</f>
        <v>0</v>
      </c>
      <c r="BC439" s="28">
        <f>S439</f>
        <v>0</v>
      </c>
      <c r="BD439" s="28">
        <f>AF439</f>
        <v>0</v>
      </c>
      <c r="BE439" s="28">
        <f>T439</f>
        <v>0</v>
      </c>
      <c r="BG439" s="57">
        <f>IF(ISERROR(IF(B439=C439,V439/C439,(INT(V439/B439)+(((V439-B439*INT(V439/B439)))/C439)/100))),0,(IF(B439=C439,V439/C439,(INT(V439/B439)+(((V439-B439*INT(V439/B439)))/C439)/100))))</f>
        <v>0</v>
      </c>
      <c r="BH439" s="57">
        <f>IF(ISERROR(IF(B439=C439,W439/C439,(INT(W439/B439)+(((W439-B439*INT(W439/B439)))/C439)/100))),0,(IF(B439=C439,W439/C439,(INT(W439/B439)+(((W439-B439*INT(W439/B439)))/C439)/100))))</f>
        <v>0</v>
      </c>
      <c r="BI439" s="57">
        <f>IF(ISERROR(IF(B439=C439,X439/C439,(INT(X439/B439)+(((X439-B439*INT(X439/B439)))/C439)/100))),0,(IF(B439=C439,X439/C439,(INT(X439/B439)+(((X439-B439*INT(X439/B439)))/C439)/100))))</f>
        <v>0</v>
      </c>
      <c r="BJ439" s="57">
        <f>IF(ISERROR(IF(B439=C439,Y439/C439,(INT(Y439/B439)+(((Y439-B439*INT(Y439/B439)))/C439)/100))),0,(IF(B439=C439,Y439/C439,(INT(Y439/B439)+(((Y439-B439*INT(Y439/B439)))/C439)/100))))</f>
        <v>0</v>
      </c>
      <c r="BL439" s="57">
        <f>IF(ISERROR(IF(B439=C439,AA439/C439,(INT(AA439/B439)+(((AA439-B439*INT(AA439/B439)))/C439)/100))),0,(IF(B439=C439,AA439/C439,(INT(AA439/B439)+(((AA439-B439*INT(AA439/B439)))/C439)/100))))</f>
        <v>0</v>
      </c>
      <c r="BM439" s="57">
        <f>IF(ISERROR(IF(B439=C439,AB439/C439,(INT(AB439/B439)+(((AB439-B439*INT(AB439/B439)))/C439)/100))),0,(IF(B439=C439,AB439/C439,(INT(AB439/B439)+(((AB439-B439*INT(AB439/B439)))/C439)/100))))</f>
        <v>0</v>
      </c>
      <c r="BN439" s="57">
        <f>IF(ISERROR(IF(B439=C439,AC439/C439,(INT(AC439/B439)+(((AC439-B439*INT(AC439/B439)))/C439)/100))),0,(IF(B439=C439,AC439/C439,(INT(AC439/B439)+(((AC439-B439*INT(AC439/B439)))/C439)/100))))</f>
        <v>0</v>
      </c>
      <c r="BO439" s="57">
        <f>IF(ISERROR(IF(B439=C439,AD439/C439,(INT(AD439/B439)+(((AD439-B439*INT(AD439/B439)))/C439)/100))),0,(IF(B439=C439,AD439/C439,(INT(AD439/B439)+(((AD439-B439*INT(AD439/B439)))/C439)/100))))</f>
        <v>0</v>
      </c>
      <c r="BQ439" s="155"/>
    </row>
    <row r="440" spans="1:69" hidden="1" x14ac:dyDescent="0.35">
      <c r="A440" s="94"/>
      <c r="B440" s="113">
        <v>0</v>
      </c>
      <c r="C440" s="113">
        <v>0</v>
      </c>
      <c r="D440" s="28">
        <f>SUM(AA440:AD440)</f>
        <v>0</v>
      </c>
      <c r="E440" s="113">
        <v>0</v>
      </c>
      <c r="F440" s="113">
        <v>0</v>
      </c>
      <c r="G440" s="28">
        <f>SUM(D440:F440)</f>
        <v>0</v>
      </c>
      <c r="H440" s="125">
        <v>0</v>
      </c>
      <c r="I440" s="113">
        <v>0</v>
      </c>
      <c r="J440" s="125">
        <v>0</v>
      </c>
      <c r="K440" s="113">
        <v>0</v>
      </c>
      <c r="L440" s="113">
        <v>0</v>
      </c>
      <c r="M440" s="113">
        <v>0</v>
      </c>
      <c r="N440" s="28">
        <f>G440-SUM(H440:M440)</f>
        <v>0</v>
      </c>
      <c r="O440" s="28">
        <f>SUM(V440:Y440)</f>
        <v>0</v>
      </c>
      <c r="P440" s="28">
        <f>O440-N440</f>
        <v>0</v>
      </c>
      <c r="Q440" s="61" t="str">
        <f>IF(ISERROR(P440/SUM(H440:L440)),"",P440/SUM(H440:L440))</f>
        <v/>
      </c>
      <c r="R440" s="113">
        <v>0</v>
      </c>
      <c r="S440" s="28">
        <f>IF(ISERROR(P440/C440*R440),0,(P440/C440*R440))</f>
        <v>0</v>
      </c>
      <c r="T440" s="60">
        <f>IF(ISERROR(P440/B440*AF440),0,(P440/B440*AF440))</f>
        <v>0</v>
      </c>
      <c r="V440" s="113">
        <v>0</v>
      </c>
      <c r="W440" s="113">
        <v>0</v>
      </c>
      <c r="X440" s="113">
        <v>0</v>
      </c>
      <c r="Y440" s="113">
        <v>0</v>
      </c>
      <c r="AA440" s="113">
        <v>0</v>
      </c>
      <c r="AB440" s="113">
        <v>0</v>
      </c>
      <c r="AC440" s="113">
        <v>0</v>
      </c>
      <c r="AD440" s="113">
        <v>0</v>
      </c>
      <c r="AF440" s="113">
        <v>0</v>
      </c>
      <c r="AG440" s="28">
        <f>G440-O440</f>
        <v>0</v>
      </c>
      <c r="AH440" s="58">
        <f>IF(ISERROR(AG440/B440*AF440),0,(AG440/B440*AF440))</f>
        <v>0</v>
      </c>
      <c r="AI440" s="28">
        <f>SUM(H440:M440)</f>
        <v>0</v>
      </c>
      <c r="AJ440" s="28">
        <f>IF(ISERROR(AI440/B440*AF440),0,(AI440/B440*AF440))</f>
        <v>0</v>
      </c>
      <c r="AK440" s="58">
        <f>IF(ISERROR(O440/B440*AF440),0,(O440/B440*AF440))</f>
        <v>0</v>
      </c>
      <c r="AL440" s="28">
        <f>IF(ISERROR(H440/B440*AF440),0,(H440/B440*AF440))</f>
        <v>0</v>
      </c>
      <c r="AN440" s="51">
        <f>A440</f>
        <v>0</v>
      </c>
      <c r="AO440" s="57">
        <f>IF(ISERROR(IF(B440=C440,D440/C440,(INT(D440/B440)+(((D440-B440*INT(D440/B440)))/C440)/100))),0,(IF(B440=C440,D440/C440,(INT(D440/B440)+(((D440-B440*INT(D440/B440)))/C440)/100))))</f>
        <v>0</v>
      </c>
      <c r="AP440" s="57">
        <f>IF(ISERROR(IF(B440=C440,E440/C440,(INT(E440/B440)+(((E440-B440*INT(E440/B440)))/C440)/100))),0,(IF(B440=C440,E440/C440,(INT(E440/B440)+(((E440-B440*INT(E440/B440)))/C440)/100))))</f>
        <v>0</v>
      </c>
      <c r="AQ440" s="57">
        <f>IF(ISERROR(IF(B440=C440,F440/C440,IF((INT(F440/B440)+(((F440-B440*INT(F440/B440)))/C440)/100)&lt;0,(INT(F440/B440)+(((F440-B440*INT(F440/B440)))/C440)/100)+(1-(B440/C440/100)),(INT(F440/B440)+(((F440-B440*INT(F440/B440)))/C440)/100)))),0,IF(B440=C440,F440/C440,IF((INT(F440/B440)+(((F440-B440*INT(F440/B440)))/C440)/100)&lt;0,(INT(F440/B440)+(((F440-B440*INT(F440/B440)))/C440)/100)+(1-(B440/C440/100)),(INT(F440/B440)+(((F440-B440*INT(F440/B440)))/C440)/100))))</f>
        <v>0</v>
      </c>
      <c r="AR440" s="57">
        <f>IF(ISERROR(IF(B440=C440,G440/C440,(INT(G440/B440)+(((G440-B440*INT(G440/B440)))/C440)/100))),0,(IF(B440=C440,G440/C440,(INT(G440/B440)+(((G440-B440*INT(G440/B440)))/C440)/100))))</f>
        <v>0</v>
      </c>
      <c r="AS440" s="57">
        <f>IF(ISERROR(IF(B440=C440,H440/C440,(INT(H440/B440)+(((H440-B440*INT(H440/B440)))/C440)/100))),0,(IF(B440=C440,H440/C440,(INT(H440/B440)+(((H440-B440*INT(H440/B440)))/C440)/100))))</f>
        <v>0</v>
      </c>
      <c r="AT440" s="57">
        <f>IF(ISERROR(IF(B440=C440,I440/C440,(INT(I440/B440)+(((I440-B440*INT(I440/B440)))/C440)/100))),0,(IF(B440=C440,I440/C440,(INT(I440/B440)+(((I440-B440*INT(I440/B440)))/C440)/100))))</f>
        <v>0</v>
      </c>
      <c r="AU440" s="57">
        <f>IF(ISERROR(IF(B440=C440,J440/C440,(INT(J440/B440)+(((J440-B440*INT(J440/B440)))/C440)/100))),0,(IF(B440=C440,J440/C440,(INT(J440/B440)+(((J440-B440*INT(J440/B440)))/C440)/100))))</f>
        <v>0</v>
      </c>
      <c r="AV440" s="57">
        <f>IF(ISERROR(IF(B440=C440,K440/C440,IF((INT(K440/B440)+(((K440-B440*INT(K440/B440)))/C440)/100)&lt;0,(INT(K440/B440)+(((K440-B440*INT(K440/B440)))/C440)/100)+(1-(B440/C440/100)),(INT(K440/B440)+(((K440-B440*INT(K440/B440)))/C440)/100)))),0,IF(B440=C440,K440/C440,IF((INT(K440/B440)+(((K440-B440*INT(K440/B440)))/C440)/100)&lt;0,(INT(K440/B440)+(((K440-B440*INT(K440/B440)))/C440)/100)+(1-(B440/C440/100)),(INT(K440/B440)+(((K440-B440*INT(K440/B440)))/C440)/100))))</f>
        <v>0</v>
      </c>
      <c r="AW440" s="57">
        <f>IF(ISERROR(IF(B440=C440,L440/C440,(INT(L440/B440)+(((L440-B440*INT(L440/B440)))/C440)/100))),0,(IF(B440=C440,L440/C440,(INT(L440/B440)+(((L440-B440*INT(L440/B440)))/C440)/100))))</f>
        <v>0</v>
      </c>
      <c r="AX440" s="57">
        <f>IF(ISERROR(IF(B440=C440,M440/C440,(INT(M440/B440)+(((M440-B440*INT(M440/B440)))/C440)/100))),0,(IF(B440=C440,M440/C440,(INT(M440/B440)+(((M440-B440*INT(M440/B440)))/C440)/100))))</f>
        <v>0</v>
      </c>
      <c r="AY440" s="57">
        <f>IF(ISERROR(IF(B440=C440,N440/C440,IF((INT(N440/B440)+(((N440-B440*INT(N440/B440)))/C440)/100)&lt;0,(INT(N440/B440)+(((N440-B440*INT(N440/B440)))/C440)/100)+(1-(B440/C440/100)),(INT(N440/B440)+(((N440-B440*INT(N440/B440)))/C440)/100)))),0,IF(B440=C440,N440/C440,IF((INT(N440/B440)+(((N440-B440*INT(N440/B440)))/C440)/100)&lt;0,(INT(N440/B440)+(((N440-B440*INT(N440/B440)))/C440)/100)+(1-(B440/C440/100)),(INT(N440/B440)+(((N440-B440*INT(N440/B440)))/C440)/100))))</f>
        <v>0</v>
      </c>
      <c r="AZ440" s="57">
        <f>IF(ISERROR(IF(B440=C440,O440/C440,(INT(O440/B440)+(((O440-B440*INT(O440/B440)))/C440)/100))),0,(IF(B440=C440,O440/C440,(INT(O440/B440)+(((O440-B440*INT(O440/B440)))/C440)/100))))</f>
        <v>0</v>
      </c>
      <c r="BA440" s="57">
        <f>IF(ISERROR(IF(B440=C440,P440/C440,IF((INT(P440/B440)+(((P440-B440*INT(P440/B440)))/C440)/100)&lt;0,(INT(P440/B440)+(((P440-B440*INT(P440/B440)))/C440)/100)+(1-(B440/C440/100)),(INT(P440/B440)+(((P440-B440*INT(P440/B440)))/C440)/100)))),0,IF(B440=C440,P440/C440,IF((INT(P440/B440)+(((P440-B440*INT(P440/B440)))/C440)/100)&lt;0,(INT(P440/B440)+(((P440-B440*INT(P440/B440)))/C440)/100)+(1-(B440/C440/100)),(INT(P440/B440)+(((P440-B440*INT(P440/B440)))/C440)/100))))</f>
        <v>0</v>
      </c>
      <c r="BB440" s="28">
        <f>R440</f>
        <v>0</v>
      </c>
      <c r="BC440" s="28">
        <f>S440</f>
        <v>0</v>
      </c>
      <c r="BD440" s="28">
        <f>AF440</f>
        <v>0</v>
      </c>
      <c r="BE440" s="28">
        <f>T440</f>
        <v>0</v>
      </c>
      <c r="BG440" s="57">
        <f>IF(ISERROR(IF(B440=C440,V440/C440,(INT(V440/B440)+(((V440-B440*INT(V440/B440)))/C440)/100))),0,(IF(B440=C440,V440/C440,(INT(V440/B440)+(((V440-B440*INT(V440/B440)))/C440)/100))))</f>
        <v>0</v>
      </c>
      <c r="BH440" s="57">
        <f>IF(ISERROR(IF(B440=C440,W440/C440,(INT(W440/B440)+(((W440-B440*INT(W440/B440)))/C440)/100))),0,(IF(B440=C440,W440/C440,(INT(W440/B440)+(((W440-B440*INT(W440/B440)))/C440)/100))))</f>
        <v>0</v>
      </c>
      <c r="BI440" s="57">
        <f>IF(ISERROR(IF(B440=C440,X440/C440,(INT(X440/B440)+(((X440-B440*INT(X440/B440)))/C440)/100))),0,(IF(B440=C440,X440/C440,(INT(X440/B440)+(((X440-B440*INT(X440/B440)))/C440)/100))))</f>
        <v>0</v>
      </c>
      <c r="BJ440" s="57">
        <f>IF(ISERROR(IF(B440=C440,Y440/C440,(INT(Y440/B440)+(((Y440-B440*INT(Y440/B440)))/C440)/100))),0,(IF(B440=C440,Y440/C440,(INT(Y440/B440)+(((Y440-B440*INT(Y440/B440)))/C440)/100))))</f>
        <v>0</v>
      </c>
      <c r="BL440" s="57">
        <f>IF(ISERROR(IF(B440=C440,AA440/C440,(INT(AA440/B440)+(((AA440-B440*INT(AA440/B440)))/C440)/100))),0,(IF(B440=C440,AA440/C440,(INT(AA440/B440)+(((AA440-B440*INT(AA440/B440)))/C440)/100))))</f>
        <v>0</v>
      </c>
      <c r="BM440" s="57">
        <f>IF(ISERROR(IF(B440=C440,AB440/C440,(INT(AB440/B440)+(((AB440-B440*INT(AB440/B440)))/C440)/100))),0,(IF(B440=C440,AB440/C440,(INT(AB440/B440)+(((AB440-B440*INT(AB440/B440)))/C440)/100))))</f>
        <v>0</v>
      </c>
      <c r="BN440" s="57">
        <f>IF(ISERROR(IF(B440=C440,AC440/C440,(INT(AC440/B440)+(((AC440-B440*INT(AC440/B440)))/C440)/100))),0,(IF(B440=C440,AC440/C440,(INT(AC440/B440)+(((AC440-B440*INT(AC440/B440)))/C440)/100))))</f>
        <v>0</v>
      </c>
      <c r="BO440" s="57">
        <f>IF(ISERROR(IF(B440=C440,AD440/C440,(INT(AD440/B440)+(((AD440-B440*INT(AD440/B440)))/C440)/100))),0,(IF(B440=C440,AD440/C440,(INT(AD440/B440)+(((AD440-B440*INT(AD440/B440)))/C440)/100))))</f>
        <v>0</v>
      </c>
      <c r="BQ440" s="155"/>
    </row>
    <row r="441" spans="1:69" hidden="1" x14ac:dyDescent="0.35">
      <c r="A441" s="94"/>
      <c r="B441" s="113">
        <v>0</v>
      </c>
      <c r="C441" s="113">
        <v>0</v>
      </c>
      <c r="D441" s="28">
        <f>SUM(AA441:AD441)</f>
        <v>0</v>
      </c>
      <c r="E441" s="113">
        <v>0</v>
      </c>
      <c r="F441" s="113">
        <v>0</v>
      </c>
      <c r="G441" s="28">
        <f>SUM(D441:F441)</f>
        <v>0</v>
      </c>
      <c r="H441" s="125">
        <v>0</v>
      </c>
      <c r="I441" s="113">
        <v>0</v>
      </c>
      <c r="J441" s="125">
        <v>0</v>
      </c>
      <c r="K441" s="113">
        <v>0</v>
      </c>
      <c r="L441" s="113">
        <v>0</v>
      </c>
      <c r="M441" s="113">
        <v>0</v>
      </c>
      <c r="N441" s="28">
        <f>G441-SUM(H441:M441)</f>
        <v>0</v>
      </c>
      <c r="O441" s="28">
        <f>SUM(V441:Y441)</f>
        <v>0</v>
      </c>
      <c r="P441" s="28">
        <f>O441-N441</f>
        <v>0</v>
      </c>
      <c r="Q441" s="61" t="str">
        <f>IF(ISERROR(P441/SUM(H441:L441)),"",P441/SUM(H441:L441))</f>
        <v/>
      </c>
      <c r="R441" s="113">
        <v>0</v>
      </c>
      <c r="S441" s="28">
        <f>IF(ISERROR(P441/C441*R441),0,(P441/C441*R441))</f>
        <v>0</v>
      </c>
      <c r="T441" s="60">
        <f>IF(ISERROR(P441/B441*AF441),0,(P441/B441*AF441))</f>
        <v>0</v>
      </c>
      <c r="V441" s="113">
        <v>0</v>
      </c>
      <c r="W441" s="113">
        <v>0</v>
      </c>
      <c r="X441" s="113">
        <v>0</v>
      </c>
      <c r="Y441" s="113">
        <v>0</v>
      </c>
      <c r="AA441" s="113">
        <v>0</v>
      </c>
      <c r="AB441" s="113">
        <v>0</v>
      </c>
      <c r="AC441" s="113">
        <v>0</v>
      </c>
      <c r="AD441" s="113">
        <v>0</v>
      </c>
      <c r="AF441" s="113">
        <v>0</v>
      </c>
      <c r="AG441" s="28">
        <f>G441-O441</f>
        <v>0</v>
      </c>
      <c r="AH441" s="58">
        <f>IF(ISERROR(AG441/B441*AF441),0,(AG441/B441*AF441))</f>
        <v>0</v>
      </c>
      <c r="AI441" s="28">
        <f>SUM(H441:M441)</f>
        <v>0</v>
      </c>
      <c r="AJ441" s="28">
        <f>IF(ISERROR(AI441/B441*AF441),0,(AI441/B441*AF441))</f>
        <v>0</v>
      </c>
      <c r="AK441" s="58">
        <f>IF(ISERROR(O441/B441*AF441),0,(O441/B441*AF441))</f>
        <v>0</v>
      </c>
      <c r="AL441" s="28">
        <f>IF(ISERROR(H441/B441*AF441),0,(H441/B441*AF441))</f>
        <v>0</v>
      </c>
      <c r="AN441" s="51">
        <f>A441</f>
        <v>0</v>
      </c>
      <c r="AO441" s="57">
        <f>IF(ISERROR(IF(B441=C441,D441/C441,(INT(D441/B441)+(((D441-B441*INT(D441/B441)))/C441)/100))),0,(IF(B441=C441,D441/C441,(INT(D441/B441)+(((D441-B441*INT(D441/B441)))/C441)/100))))</f>
        <v>0</v>
      </c>
      <c r="AP441" s="57">
        <f>IF(ISERROR(IF(B441=C441,E441/C441,(INT(E441/B441)+(((E441-B441*INT(E441/B441)))/C441)/100))),0,(IF(B441=C441,E441/C441,(INT(E441/B441)+(((E441-B441*INT(E441/B441)))/C441)/100))))</f>
        <v>0</v>
      </c>
      <c r="AQ441" s="57">
        <f>IF(ISERROR(IF(B441=C441,F441/C441,IF((INT(F441/B441)+(((F441-B441*INT(F441/B441)))/C441)/100)&lt;0,(INT(F441/B441)+(((F441-B441*INT(F441/B441)))/C441)/100)+(1-(B441/C441/100)),(INT(F441/B441)+(((F441-B441*INT(F441/B441)))/C441)/100)))),0,IF(B441=C441,F441/C441,IF((INT(F441/B441)+(((F441-B441*INT(F441/B441)))/C441)/100)&lt;0,(INT(F441/B441)+(((F441-B441*INT(F441/B441)))/C441)/100)+(1-(B441/C441/100)),(INT(F441/B441)+(((F441-B441*INT(F441/B441)))/C441)/100))))</f>
        <v>0</v>
      </c>
      <c r="AR441" s="57">
        <f>IF(ISERROR(IF(B441=C441,G441/C441,(INT(G441/B441)+(((G441-B441*INT(G441/B441)))/C441)/100))),0,(IF(B441=C441,G441/C441,(INT(G441/B441)+(((G441-B441*INT(G441/B441)))/C441)/100))))</f>
        <v>0</v>
      </c>
      <c r="AS441" s="57">
        <f>IF(ISERROR(IF(B441=C441,H441/C441,(INT(H441/B441)+(((H441-B441*INT(H441/B441)))/C441)/100))),0,(IF(B441=C441,H441/C441,(INT(H441/B441)+(((H441-B441*INT(H441/B441)))/C441)/100))))</f>
        <v>0</v>
      </c>
      <c r="AT441" s="57">
        <f>IF(ISERROR(IF(B441=C441,I441/C441,(INT(I441/B441)+(((I441-B441*INT(I441/B441)))/C441)/100))),0,(IF(B441=C441,I441/C441,(INT(I441/B441)+(((I441-B441*INT(I441/B441)))/C441)/100))))</f>
        <v>0</v>
      </c>
      <c r="AU441" s="57">
        <f>IF(ISERROR(IF(B441=C441,J441/C441,(INT(J441/B441)+(((J441-B441*INT(J441/B441)))/C441)/100))),0,(IF(B441=C441,J441/C441,(INT(J441/B441)+(((J441-B441*INT(J441/B441)))/C441)/100))))</f>
        <v>0</v>
      </c>
      <c r="AV441" s="57">
        <f>IF(ISERROR(IF(B441=C441,K441/C441,IF((INT(K441/B441)+(((K441-B441*INT(K441/B441)))/C441)/100)&lt;0,(INT(K441/B441)+(((K441-B441*INT(K441/B441)))/C441)/100)+(1-(B441/C441/100)),(INT(K441/B441)+(((K441-B441*INT(K441/B441)))/C441)/100)))),0,IF(B441=C441,K441/C441,IF((INT(K441/B441)+(((K441-B441*INT(K441/B441)))/C441)/100)&lt;0,(INT(K441/B441)+(((K441-B441*INT(K441/B441)))/C441)/100)+(1-(B441/C441/100)),(INT(K441/B441)+(((K441-B441*INT(K441/B441)))/C441)/100))))</f>
        <v>0</v>
      </c>
      <c r="AW441" s="57">
        <f>IF(ISERROR(IF(B441=C441,L441/C441,(INT(L441/B441)+(((L441-B441*INT(L441/B441)))/C441)/100))),0,(IF(B441=C441,L441/C441,(INT(L441/B441)+(((L441-B441*INT(L441/B441)))/C441)/100))))</f>
        <v>0</v>
      </c>
      <c r="AX441" s="57">
        <f>IF(ISERROR(IF(B441=C441,M441/C441,(INT(M441/B441)+(((M441-B441*INT(M441/B441)))/C441)/100))),0,(IF(B441=C441,M441/C441,(INT(M441/B441)+(((M441-B441*INT(M441/B441)))/C441)/100))))</f>
        <v>0</v>
      </c>
      <c r="AY441" s="57">
        <f>IF(ISERROR(IF(B441=C441,N441/C441,IF((INT(N441/B441)+(((N441-B441*INT(N441/B441)))/C441)/100)&lt;0,(INT(N441/B441)+(((N441-B441*INT(N441/B441)))/C441)/100)+(1-(B441/C441/100)),(INT(N441/B441)+(((N441-B441*INT(N441/B441)))/C441)/100)))),0,IF(B441=C441,N441/C441,IF((INT(N441/B441)+(((N441-B441*INT(N441/B441)))/C441)/100)&lt;0,(INT(N441/B441)+(((N441-B441*INT(N441/B441)))/C441)/100)+(1-(B441/C441/100)),(INT(N441/B441)+(((N441-B441*INT(N441/B441)))/C441)/100))))</f>
        <v>0</v>
      </c>
      <c r="AZ441" s="57">
        <f>IF(ISERROR(IF(B441=C441,O441/C441,(INT(O441/B441)+(((O441-B441*INT(O441/B441)))/C441)/100))),0,(IF(B441=C441,O441/C441,(INT(O441/B441)+(((O441-B441*INT(O441/B441)))/C441)/100))))</f>
        <v>0</v>
      </c>
      <c r="BA441" s="57">
        <f>IF(ISERROR(IF(B441=C441,P441/C441,IF((INT(P441/B441)+(((P441-B441*INT(P441/B441)))/C441)/100)&lt;0,(INT(P441/B441)+(((P441-B441*INT(P441/B441)))/C441)/100)+(1-(B441/C441/100)),(INT(P441/B441)+(((P441-B441*INT(P441/B441)))/C441)/100)))),0,IF(B441=C441,P441/C441,IF((INT(P441/B441)+(((P441-B441*INT(P441/B441)))/C441)/100)&lt;0,(INT(P441/B441)+(((P441-B441*INT(P441/B441)))/C441)/100)+(1-(B441/C441/100)),(INT(P441/B441)+(((P441-B441*INT(P441/B441)))/C441)/100))))</f>
        <v>0</v>
      </c>
      <c r="BB441" s="28">
        <f>R441</f>
        <v>0</v>
      </c>
      <c r="BC441" s="28">
        <f>S441</f>
        <v>0</v>
      </c>
      <c r="BD441" s="28">
        <f>AF441</f>
        <v>0</v>
      </c>
      <c r="BE441" s="28">
        <f>T441</f>
        <v>0</v>
      </c>
      <c r="BG441" s="57">
        <f>IF(ISERROR(IF(B441=C441,V441/C441,(INT(V441/B441)+(((V441-B441*INT(V441/B441)))/C441)/100))),0,(IF(B441=C441,V441/C441,(INT(V441/B441)+(((V441-B441*INT(V441/B441)))/C441)/100))))</f>
        <v>0</v>
      </c>
      <c r="BH441" s="57">
        <f>IF(ISERROR(IF(B441=C441,W441/C441,(INT(W441/B441)+(((W441-B441*INT(W441/B441)))/C441)/100))),0,(IF(B441=C441,W441/C441,(INT(W441/B441)+(((W441-B441*INT(W441/B441)))/C441)/100))))</f>
        <v>0</v>
      </c>
      <c r="BI441" s="57">
        <f>IF(ISERROR(IF(B441=C441,X441/C441,(INT(X441/B441)+(((X441-B441*INT(X441/B441)))/C441)/100))),0,(IF(B441=C441,X441/C441,(INT(X441/B441)+(((X441-B441*INT(X441/B441)))/C441)/100))))</f>
        <v>0</v>
      </c>
      <c r="BJ441" s="57">
        <f>IF(ISERROR(IF(B441=C441,Y441/C441,(INT(Y441/B441)+(((Y441-B441*INT(Y441/B441)))/C441)/100))),0,(IF(B441=C441,Y441/C441,(INT(Y441/B441)+(((Y441-B441*INT(Y441/B441)))/C441)/100))))</f>
        <v>0</v>
      </c>
      <c r="BL441" s="57">
        <f>IF(ISERROR(IF(B441=C441,AA441/C441,(INT(AA441/B441)+(((AA441-B441*INT(AA441/B441)))/C441)/100))),0,(IF(B441=C441,AA441/C441,(INT(AA441/B441)+(((AA441-B441*INT(AA441/B441)))/C441)/100))))</f>
        <v>0</v>
      </c>
      <c r="BM441" s="57">
        <f>IF(ISERROR(IF(B441=C441,AB441/C441,(INT(AB441/B441)+(((AB441-B441*INT(AB441/B441)))/C441)/100))),0,(IF(B441=C441,AB441/C441,(INT(AB441/B441)+(((AB441-B441*INT(AB441/B441)))/C441)/100))))</f>
        <v>0</v>
      </c>
      <c r="BN441" s="57">
        <f>IF(ISERROR(IF(B441=C441,AC441/C441,(INT(AC441/B441)+(((AC441-B441*INT(AC441/B441)))/C441)/100))),0,(IF(B441=C441,AC441/C441,(INT(AC441/B441)+(((AC441-B441*INT(AC441/B441)))/C441)/100))))</f>
        <v>0</v>
      </c>
      <c r="BO441" s="57">
        <f>IF(ISERROR(IF(B441=C441,AD441/C441,(INT(AD441/B441)+(((AD441-B441*INT(AD441/B441)))/C441)/100))),0,(IF(B441=C441,AD441/C441,(INT(AD441/B441)+(((AD441-B441*INT(AD441/B441)))/C441)/100))))</f>
        <v>0</v>
      </c>
      <c r="BQ441" s="155"/>
    </row>
    <row r="442" spans="1:69" hidden="1" x14ac:dyDescent="0.35">
      <c r="A442" s="94"/>
      <c r="B442" s="113">
        <v>0</v>
      </c>
      <c r="C442" s="113">
        <v>0</v>
      </c>
      <c r="D442" s="28">
        <f>SUM(AA442:AD442)</f>
        <v>0</v>
      </c>
      <c r="E442" s="113">
        <v>0</v>
      </c>
      <c r="F442" s="113">
        <v>0</v>
      </c>
      <c r="G442" s="28">
        <f>SUM(D442:F442)</f>
        <v>0</v>
      </c>
      <c r="H442" s="125">
        <v>0</v>
      </c>
      <c r="I442" s="113">
        <v>0</v>
      </c>
      <c r="J442" s="125">
        <v>0</v>
      </c>
      <c r="K442" s="113">
        <v>0</v>
      </c>
      <c r="L442" s="113">
        <v>0</v>
      </c>
      <c r="M442" s="113">
        <v>0</v>
      </c>
      <c r="N442" s="28">
        <f>G442-SUM(H442:M442)</f>
        <v>0</v>
      </c>
      <c r="O442" s="28">
        <f>SUM(V442:Y442)</f>
        <v>0</v>
      </c>
      <c r="P442" s="28">
        <f>O442-N442</f>
        <v>0</v>
      </c>
      <c r="Q442" s="61" t="str">
        <f>IF(ISERROR(P442/SUM(H442:L442)),"",P442/SUM(H442:L442))</f>
        <v/>
      </c>
      <c r="R442" s="113">
        <v>0</v>
      </c>
      <c r="S442" s="28">
        <f>IF(ISERROR(P442/C442*R442),0,(P442/C442*R442))</f>
        <v>0</v>
      </c>
      <c r="T442" s="60">
        <f>IF(ISERROR(P442/B442*AF442),0,(P442/B442*AF442))</f>
        <v>0</v>
      </c>
      <c r="V442" s="113">
        <v>0</v>
      </c>
      <c r="W442" s="113">
        <v>0</v>
      </c>
      <c r="X442" s="113">
        <v>0</v>
      </c>
      <c r="Y442" s="113">
        <v>0</v>
      </c>
      <c r="AA442" s="113">
        <v>0</v>
      </c>
      <c r="AB442" s="113">
        <v>0</v>
      </c>
      <c r="AC442" s="113">
        <v>0</v>
      </c>
      <c r="AD442" s="113">
        <v>0</v>
      </c>
      <c r="AF442" s="113">
        <v>0</v>
      </c>
      <c r="AG442" s="28">
        <f>G442-O442</f>
        <v>0</v>
      </c>
      <c r="AH442" s="58">
        <f>IF(ISERROR(AG442/B442*AF442),0,(AG442/B442*AF442))</f>
        <v>0</v>
      </c>
      <c r="AI442" s="28">
        <f>SUM(H442:M442)</f>
        <v>0</v>
      </c>
      <c r="AJ442" s="28">
        <f>IF(ISERROR(AI442/B442*AF442),0,(AI442/B442*AF442))</f>
        <v>0</v>
      </c>
      <c r="AK442" s="58">
        <f>IF(ISERROR(O442/B442*AF442),0,(O442/B442*AF442))</f>
        <v>0</v>
      </c>
      <c r="AL442" s="28">
        <f>IF(ISERROR(H442/B442*AF442),0,(H442/B442*AF442))</f>
        <v>0</v>
      </c>
      <c r="AN442" s="51">
        <f>A442</f>
        <v>0</v>
      </c>
      <c r="AO442" s="57">
        <f>IF(ISERROR(IF(B442=C442,D442/C442,(INT(D442/B442)+(((D442-B442*INT(D442/B442)))/C442)/100))),0,(IF(B442=C442,D442/C442,(INT(D442/B442)+(((D442-B442*INT(D442/B442)))/C442)/100))))</f>
        <v>0</v>
      </c>
      <c r="AP442" s="57">
        <f>IF(ISERROR(IF(B442=C442,E442/C442,(INT(E442/B442)+(((E442-B442*INT(E442/B442)))/C442)/100))),0,(IF(B442=C442,E442/C442,(INT(E442/B442)+(((E442-B442*INT(E442/B442)))/C442)/100))))</f>
        <v>0</v>
      </c>
      <c r="AQ442" s="57">
        <f>IF(ISERROR(IF(B442=C442,F442/C442,IF((INT(F442/B442)+(((F442-B442*INT(F442/B442)))/C442)/100)&lt;0,(INT(F442/B442)+(((F442-B442*INT(F442/B442)))/C442)/100)+(1-(B442/C442/100)),(INT(F442/B442)+(((F442-B442*INT(F442/B442)))/C442)/100)))),0,IF(B442=C442,F442/C442,IF((INT(F442/B442)+(((F442-B442*INT(F442/B442)))/C442)/100)&lt;0,(INT(F442/B442)+(((F442-B442*INT(F442/B442)))/C442)/100)+(1-(B442/C442/100)),(INT(F442/B442)+(((F442-B442*INT(F442/B442)))/C442)/100))))</f>
        <v>0</v>
      </c>
      <c r="AR442" s="57">
        <f>IF(ISERROR(IF(B442=C442,G442/C442,(INT(G442/B442)+(((G442-B442*INT(G442/B442)))/C442)/100))),0,(IF(B442=C442,G442/C442,(INT(G442/B442)+(((G442-B442*INT(G442/B442)))/C442)/100))))</f>
        <v>0</v>
      </c>
      <c r="AS442" s="57">
        <f>IF(ISERROR(IF(B442=C442,H442/C442,(INT(H442/B442)+(((H442-B442*INT(H442/B442)))/C442)/100))),0,(IF(B442=C442,H442/C442,(INT(H442/B442)+(((H442-B442*INT(H442/B442)))/C442)/100))))</f>
        <v>0</v>
      </c>
      <c r="AT442" s="57">
        <f>IF(ISERROR(IF(B442=C442,I442/C442,(INT(I442/B442)+(((I442-B442*INT(I442/B442)))/C442)/100))),0,(IF(B442=C442,I442/C442,(INT(I442/B442)+(((I442-B442*INT(I442/B442)))/C442)/100))))</f>
        <v>0</v>
      </c>
      <c r="AU442" s="57">
        <f>IF(ISERROR(IF(B442=C442,J442/C442,(INT(J442/B442)+(((J442-B442*INT(J442/B442)))/C442)/100))),0,(IF(B442=C442,J442/C442,(INT(J442/B442)+(((J442-B442*INT(J442/B442)))/C442)/100))))</f>
        <v>0</v>
      </c>
      <c r="AV442" s="57">
        <f>IF(ISERROR(IF(B442=C442,K442/C442,IF((INT(K442/B442)+(((K442-B442*INT(K442/B442)))/C442)/100)&lt;0,(INT(K442/B442)+(((K442-B442*INT(K442/B442)))/C442)/100)+(1-(B442/C442/100)),(INT(K442/B442)+(((K442-B442*INT(K442/B442)))/C442)/100)))),0,IF(B442=C442,K442/C442,IF((INT(K442/B442)+(((K442-B442*INT(K442/B442)))/C442)/100)&lt;0,(INT(K442/B442)+(((K442-B442*INT(K442/B442)))/C442)/100)+(1-(B442/C442/100)),(INT(K442/B442)+(((K442-B442*INT(K442/B442)))/C442)/100))))</f>
        <v>0</v>
      </c>
      <c r="AW442" s="57">
        <f>IF(ISERROR(IF(B442=C442,L442/C442,(INT(L442/B442)+(((L442-B442*INT(L442/B442)))/C442)/100))),0,(IF(B442=C442,L442/C442,(INT(L442/B442)+(((L442-B442*INT(L442/B442)))/C442)/100))))</f>
        <v>0</v>
      </c>
      <c r="AX442" s="57">
        <f>IF(ISERROR(IF(B442=C442,M442/C442,(INT(M442/B442)+(((M442-B442*INT(M442/B442)))/C442)/100))),0,(IF(B442=C442,M442/C442,(INT(M442/B442)+(((M442-B442*INT(M442/B442)))/C442)/100))))</f>
        <v>0</v>
      </c>
      <c r="AY442" s="57">
        <f>IF(ISERROR(IF(B442=C442,N442/C442,IF((INT(N442/B442)+(((N442-B442*INT(N442/B442)))/C442)/100)&lt;0,(INT(N442/B442)+(((N442-B442*INT(N442/B442)))/C442)/100)+(1-(B442/C442/100)),(INT(N442/B442)+(((N442-B442*INT(N442/B442)))/C442)/100)))),0,IF(B442=C442,N442/C442,IF((INT(N442/B442)+(((N442-B442*INT(N442/B442)))/C442)/100)&lt;0,(INT(N442/B442)+(((N442-B442*INT(N442/B442)))/C442)/100)+(1-(B442/C442/100)),(INT(N442/B442)+(((N442-B442*INT(N442/B442)))/C442)/100))))</f>
        <v>0</v>
      </c>
      <c r="AZ442" s="57">
        <f>IF(ISERROR(IF(B442=C442,O442/C442,(INT(O442/B442)+(((O442-B442*INT(O442/B442)))/C442)/100))),0,(IF(B442=C442,O442/C442,(INT(O442/B442)+(((O442-B442*INT(O442/B442)))/C442)/100))))</f>
        <v>0</v>
      </c>
      <c r="BA442" s="57">
        <f>IF(ISERROR(IF(B442=C442,P442/C442,IF((INT(P442/B442)+(((P442-B442*INT(P442/B442)))/C442)/100)&lt;0,(INT(P442/B442)+(((P442-B442*INT(P442/B442)))/C442)/100)+(1-(B442/C442/100)),(INT(P442/B442)+(((P442-B442*INT(P442/B442)))/C442)/100)))),0,IF(B442=C442,P442/C442,IF((INT(P442/B442)+(((P442-B442*INT(P442/B442)))/C442)/100)&lt;0,(INT(P442/B442)+(((P442-B442*INT(P442/B442)))/C442)/100)+(1-(B442/C442/100)),(INT(P442/B442)+(((P442-B442*INT(P442/B442)))/C442)/100))))</f>
        <v>0</v>
      </c>
      <c r="BB442" s="28">
        <f>R442</f>
        <v>0</v>
      </c>
      <c r="BC442" s="28">
        <f>S442</f>
        <v>0</v>
      </c>
      <c r="BD442" s="28">
        <f>AF442</f>
        <v>0</v>
      </c>
      <c r="BE442" s="28">
        <f>T442</f>
        <v>0</v>
      </c>
      <c r="BG442" s="57">
        <f>IF(ISERROR(IF(B442=C442,V442/C442,(INT(V442/B442)+(((V442-B442*INT(V442/B442)))/C442)/100))),0,(IF(B442=C442,V442/C442,(INT(V442/B442)+(((V442-B442*INT(V442/B442)))/C442)/100))))</f>
        <v>0</v>
      </c>
      <c r="BH442" s="57">
        <f>IF(ISERROR(IF(B442=C442,W442/C442,(INT(W442/B442)+(((W442-B442*INT(W442/B442)))/C442)/100))),0,(IF(B442=C442,W442/C442,(INT(W442/B442)+(((W442-B442*INT(W442/B442)))/C442)/100))))</f>
        <v>0</v>
      </c>
      <c r="BI442" s="57">
        <f>IF(ISERROR(IF(B442=C442,X442/C442,(INT(X442/B442)+(((X442-B442*INT(X442/B442)))/C442)/100))),0,(IF(B442=C442,X442/C442,(INT(X442/B442)+(((X442-B442*INT(X442/B442)))/C442)/100))))</f>
        <v>0</v>
      </c>
      <c r="BJ442" s="57">
        <f>IF(ISERROR(IF(B442=C442,Y442/C442,(INT(Y442/B442)+(((Y442-B442*INT(Y442/B442)))/C442)/100))),0,(IF(B442=C442,Y442/C442,(INT(Y442/B442)+(((Y442-B442*INT(Y442/B442)))/C442)/100))))</f>
        <v>0</v>
      </c>
      <c r="BL442" s="57">
        <f>IF(ISERROR(IF(B442=C442,AA442/C442,(INT(AA442/B442)+(((AA442-B442*INT(AA442/B442)))/C442)/100))),0,(IF(B442=C442,AA442/C442,(INT(AA442/B442)+(((AA442-B442*INT(AA442/B442)))/C442)/100))))</f>
        <v>0</v>
      </c>
      <c r="BM442" s="57">
        <f>IF(ISERROR(IF(B442=C442,AB442/C442,(INT(AB442/B442)+(((AB442-B442*INT(AB442/B442)))/C442)/100))),0,(IF(B442=C442,AB442/C442,(INT(AB442/B442)+(((AB442-B442*INT(AB442/B442)))/C442)/100))))</f>
        <v>0</v>
      </c>
      <c r="BN442" s="57">
        <f>IF(ISERROR(IF(B442=C442,AC442/C442,(INT(AC442/B442)+(((AC442-B442*INT(AC442/B442)))/C442)/100))),0,(IF(B442=C442,AC442/C442,(INT(AC442/B442)+(((AC442-B442*INT(AC442/B442)))/C442)/100))))</f>
        <v>0</v>
      </c>
      <c r="BO442" s="57">
        <f>IF(ISERROR(IF(B442=C442,AD442/C442,(INT(AD442/B442)+(((AD442-B442*INT(AD442/B442)))/C442)/100))),0,(IF(B442=C442,AD442/C442,(INT(AD442/B442)+(((AD442-B442*INT(AD442/B442)))/C442)/100))))</f>
        <v>0</v>
      </c>
      <c r="BQ442" s="155"/>
    </row>
    <row r="443" spans="1:69" hidden="1" x14ac:dyDescent="0.35">
      <c r="A443" s="94"/>
      <c r="B443" s="113">
        <v>0</v>
      </c>
      <c r="C443" s="113">
        <v>0</v>
      </c>
      <c r="D443" s="28">
        <f>SUM(AA443:AD443)</f>
        <v>0</v>
      </c>
      <c r="E443" s="113">
        <v>0</v>
      </c>
      <c r="F443" s="113">
        <v>0</v>
      </c>
      <c r="G443" s="28">
        <f>SUM(D443:F443)</f>
        <v>0</v>
      </c>
      <c r="H443" s="125">
        <v>0</v>
      </c>
      <c r="I443" s="113">
        <v>0</v>
      </c>
      <c r="J443" s="125">
        <v>0</v>
      </c>
      <c r="K443" s="113">
        <v>0</v>
      </c>
      <c r="L443" s="113">
        <v>0</v>
      </c>
      <c r="M443" s="113">
        <v>0</v>
      </c>
      <c r="N443" s="28">
        <f>G443-SUM(H443:M443)</f>
        <v>0</v>
      </c>
      <c r="O443" s="28">
        <f>SUM(V443:Y443)</f>
        <v>0</v>
      </c>
      <c r="P443" s="28">
        <f>O443-N443</f>
        <v>0</v>
      </c>
      <c r="Q443" s="61" t="str">
        <f>IF(ISERROR(P443/SUM(H443:L443)),"",P443/SUM(H443:L443))</f>
        <v/>
      </c>
      <c r="R443" s="113">
        <v>0</v>
      </c>
      <c r="S443" s="28">
        <f>IF(ISERROR(P443/C443*R443),0,(P443/C443*R443))</f>
        <v>0</v>
      </c>
      <c r="T443" s="60">
        <f>IF(ISERROR(P443/B443*AF443),0,(P443/B443*AF443))</f>
        <v>0</v>
      </c>
      <c r="V443" s="113">
        <v>0</v>
      </c>
      <c r="W443" s="113">
        <v>0</v>
      </c>
      <c r="X443" s="113">
        <v>0</v>
      </c>
      <c r="Y443" s="113">
        <v>0</v>
      </c>
      <c r="AA443" s="113">
        <v>0</v>
      </c>
      <c r="AB443" s="113">
        <v>0</v>
      </c>
      <c r="AC443" s="113">
        <v>0</v>
      </c>
      <c r="AD443" s="113">
        <v>0</v>
      </c>
      <c r="AF443" s="113">
        <v>0</v>
      </c>
      <c r="AG443" s="28">
        <f>G443-O443</f>
        <v>0</v>
      </c>
      <c r="AH443" s="58">
        <f>IF(ISERROR(AG443/B443*AF443),0,(AG443/B443*AF443))</f>
        <v>0</v>
      </c>
      <c r="AI443" s="28">
        <f>SUM(H443:M443)</f>
        <v>0</v>
      </c>
      <c r="AJ443" s="28">
        <f>IF(ISERROR(AI443/B443*AF443),0,(AI443/B443*AF443))</f>
        <v>0</v>
      </c>
      <c r="AK443" s="58">
        <f>IF(ISERROR(O443/B443*AF443),0,(O443/B443*AF443))</f>
        <v>0</v>
      </c>
      <c r="AL443" s="28">
        <f>IF(ISERROR(H443/B443*AF443),0,(H443/B443*AF443))</f>
        <v>0</v>
      </c>
      <c r="AN443" s="51">
        <f>A443</f>
        <v>0</v>
      </c>
      <c r="AO443" s="57">
        <f>IF(ISERROR(IF(B443=C443,D443/C443,(INT(D443/B443)+(((D443-B443*INT(D443/B443)))/C443)/100))),0,(IF(B443=C443,D443/C443,(INT(D443/B443)+(((D443-B443*INT(D443/B443)))/C443)/100))))</f>
        <v>0</v>
      </c>
      <c r="AP443" s="57">
        <f>IF(ISERROR(IF(B443=C443,E443/C443,(INT(E443/B443)+(((E443-B443*INT(E443/B443)))/C443)/100))),0,(IF(B443=C443,E443/C443,(INT(E443/B443)+(((E443-B443*INT(E443/B443)))/C443)/100))))</f>
        <v>0</v>
      </c>
      <c r="AQ443" s="57">
        <f>IF(ISERROR(IF(B443=C443,F443/C443,IF((INT(F443/B443)+(((F443-B443*INT(F443/B443)))/C443)/100)&lt;0,(INT(F443/B443)+(((F443-B443*INT(F443/B443)))/C443)/100)+(1-(B443/C443/100)),(INT(F443/B443)+(((F443-B443*INT(F443/B443)))/C443)/100)))),0,IF(B443=C443,F443/C443,IF((INT(F443/B443)+(((F443-B443*INT(F443/B443)))/C443)/100)&lt;0,(INT(F443/B443)+(((F443-B443*INT(F443/B443)))/C443)/100)+(1-(B443/C443/100)),(INT(F443/B443)+(((F443-B443*INT(F443/B443)))/C443)/100))))</f>
        <v>0</v>
      </c>
      <c r="AR443" s="57">
        <f>IF(ISERROR(IF(B443=C443,G443/C443,(INT(G443/B443)+(((G443-B443*INT(G443/B443)))/C443)/100))),0,(IF(B443=C443,G443/C443,(INT(G443/B443)+(((G443-B443*INT(G443/B443)))/C443)/100))))</f>
        <v>0</v>
      </c>
      <c r="AS443" s="57">
        <f>IF(ISERROR(IF(B443=C443,H443/C443,(INT(H443/B443)+(((H443-B443*INT(H443/B443)))/C443)/100))),0,(IF(B443=C443,H443/C443,(INT(H443/B443)+(((H443-B443*INT(H443/B443)))/C443)/100))))</f>
        <v>0</v>
      </c>
      <c r="AT443" s="57">
        <f>IF(ISERROR(IF(B443=C443,I443/C443,(INT(I443/B443)+(((I443-B443*INT(I443/B443)))/C443)/100))),0,(IF(B443=C443,I443/C443,(INT(I443/B443)+(((I443-B443*INT(I443/B443)))/C443)/100))))</f>
        <v>0</v>
      </c>
      <c r="AU443" s="57">
        <f>IF(ISERROR(IF(B443=C443,J443/C443,(INT(J443/B443)+(((J443-B443*INT(J443/B443)))/C443)/100))),0,(IF(B443=C443,J443/C443,(INT(J443/B443)+(((J443-B443*INT(J443/B443)))/C443)/100))))</f>
        <v>0</v>
      </c>
      <c r="AV443" s="57">
        <f>IF(ISERROR(IF(B443=C443,K443/C443,IF((INT(K443/B443)+(((K443-B443*INT(K443/B443)))/C443)/100)&lt;0,(INT(K443/B443)+(((K443-B443*INT(K443/B443)))/C443)/100)+(1-(B443/C443/100)),(INT(K443/B443)+(((K443-B443*INT(K443/B443)))/C443)/100)))),0,IF(B443=C443,K443/C443,IF((INT(K443/B443)+(((K443-B443*INT(K443/B443)))/C443)/100)&lt;0,(INT(K443/B443)+(((K443-B443*INT(K443/B443)))/C443)/100)+(1-(B443/C443/100)),(INT(K443/B443)+(((K443-B443*INT(K443/B443)))/C443)/100))))</f>
        <v>0</v>
      </c>
      <c r="AW443" s="57">
        <f>IF(ISERROR(IF(B443=C443,L443/C443,(INT(L443/B443)+(((L443-B443*INT(L443/B443)))/C443)/100))),0,(IF(B443=C443,L443/C443,(INT(L443/B443)+(((L443-B443*INT(L443/B443)))/C443)/100))))</f>
        <v>0</v>
      </c>
      <c r="AX443" s="57">
        <f>IF(ISERROR(IF(B443=C443,M443/C443,(INT(M443/B443)+(((M443-B443*INT(M443/B443)))/C443)/100))),0,(IF(B443=C443,M443/C443,(INT(M443/B443)+(((M443-B443*INT(M443/B443)))/C443)/100))))</f>
        <v>0</v>
      </c>
      <c r="AY443" s="57">
        <f>IF(ISERROR(IF(B443=C443,N443/C443,IF((INT(N443/B443)+(((N443-B443*INT(N443/B443)))/C443)/100)&lt;0,(INT(N443/B443)+(((N443-B443*INT(N443/B443)))/C443)/100)+(1-(B443/C443/100)),(INT(N443/B443)+(((N443-B443*INT(N443/B443)))/C443)/100)))),0,IF(B443=C443,N443/C443,IF((INT(N443/B443)+(((N443-B443*INT(N443/B443)))/C443)/100)&lt;0,(INT(N443/B443)+(((N443-B443*INT(N443/B443)))/C443)/100)+(1-(B443/C443/100)),(INT(N443/B443)+(((N443-B443*INT(N443/B443)))/C443)/100))))</f>
        <v>0</v>
      </c>
      <c r="AZ443" s="57">
        <f>IF(ISERROR(IF(B443=C443,O443/C443,(INT(O443/B443)+(((O443-B443*INT(O443/B443)))/C443)/100))),0,(IF(B443=C443,O443/C443,(INT(O443/B443)+(((O443-B443*INT(O443/B443)))/C443)/100))))</f>
        <v>0</v>
      </c>
      <c r="BA443" s="57">
        <f>IF(ISERROR(IF(B443=C443,P443/C443,IF((INT(P443/B443)+(((P443-B443*INT(P443/B443)))/C443)/100)&lt;0,(INT(P443/B443)+(((P443-B443*INT(P443/B443)))/C443)/100)+(1-(B443/C443/100)),(INT(P443/B443)+(((P443-B443*INT(P443/B443)))/C443)/100)))),0,IF(B443=C443,P443/C443,IF((INT(P443/B443)+(((P443-B443*INT(P443/B443)))/C443)/100)&lt;0,(INT(P443/B443)+(((P443-B443*INT(P443/B443)))/C443)/100)+(1-(B443/C443/100)),(INT(P443/B443)+(((P443-B443*INT(P443/B443)))/C443)/100))))</f>
        <v>0</v>
      </c>
      <c r="BB443" s="28">
        <f>R443</f>
        <v>0</v>
      </c>
      <c r="BC443" s="28">
        <f>S443</f>
        <v>0</v>
      </c>
      <c r="BD443" s="28">
        <f>AF443</f>
        <v>0</v>
      </c>
      <c r="BE443" s="28">
        <f>T443</f>
        <v>0</v>
      </c>
      <c r="BG443" s="57">
        <f>IF(ISERROR(IF(B443=C443,V443/C443,(INT(V443/B443)+(((V443-B443*INT(V443/B443)))/C443)/100))),0,(IF(B443=C443,V443/C443,(INT(V443/B443)+(((V443-B443*INT(V443/B443)))/C443)/100))))</f>
        <v>0</v>
      </c>
      <c r="BH443" s="57">
        <f>IF(ISERROR(IF(B443=C443,W443/C443,(INT(W443/B443)+(((W443-B443*INT(W443/B443)))/C443)/100))),0,(IF(B443=C443,W443/C443,(INT(W443/B443)+(((W443-B443*INT(W443/B443)))/C443)/100))))</f>
        <v>0</v>
      </c>
      <c r="BI443" s="57">
        <f>IF(ISERROR(IF(B443=C443,X443/C443,(INT(X443/B443)+(((X443-B443*INT(X443/B443)))/C443)/100))),0,(IF(B443=C443,X443/C443,(INT(X443/B443)+(((X443-B443*INT(X443/B443)))/C443)/100))))</f>
        <v>0</v>
      </c>
      <c r="BJ443" s="57">
        <f>IF(ISERROR(IF(B443=C443,Y443/C443,(INT(Y443/B443)+(((Y443-B443*INT(Y443/B443)))/C443)/100))),0,(IF(B443=C443,Y443/C443,(INT(Y443/B443)+(((Y443-B443*INT(Y443/B443)))/C443)/100))))</f>
        <v>0</v>
      </c>
      <c r="BL443" s="57">
        <f>IF(ISERROR(IF(B443=C443,AA443/C443,(INT(AA443/B443)+(((AA443-B443*INT(AA443/B443)))/C443)/100))),0,(IF(B443=C443,AA443/C443,(INT(AA443/B443)+(((AA443-B443*INT(AA443/B443)))/C443)/100))))</f>
        <v>0</v>
      </c>
      <c r="BM443" s="57">
        <f>IF(ISERROR(IF(B443=C443,AB443/C443,(INT(AB443/B443)+(((AB443-B443*INT(AB443/B443)))/C443)/100))),0,(IF(B443=C443,AB443/C443,(INT(AB443/B443)+(((AB443-B443*INT(AB443/B443)))/C443)/100))))</f>
        <v>0</v>
      </c>
      <c r="BN443" s="57">
        <f>IF(ISERROR(IF(B443=C443,AC443/C443,(INT(AC443/B443)+(((AC443-B443*INT(AC443/B443)))/C443)/100))),0,(IF(B443=C443,AC443/C443,(INT(AC443/B443)+(((AC443-B443*INT(AC443/B443)))/C443)/100))))</f>
        <v>0</v>
      </c>
      <c r="BO443" s="57">
        <f>IF(ISERROR(IF(B443=C443,AD443/C443,(INT(AD443/B443)+(((AD443-B443*INT(AD443/B443)))/C443)/100))),0,(IF(B443=C443,AD443/C443,(INT(AD443/B443)+(((AD443-B443*INT(AD443/B443)))/C443)/100))))</f>
        <v>0</v>
      </c>
      <c r="BQ443" s="155"/>
    </row>
    <row r="444" spans="1:69" hidden="1" x14ac:dyDescent="0.35">
      <c r="A444" s="94"/>
      <c r="B444" s="113">
        <v>0</v>
      </c>
      <c r="C444" s="113">
        <v>0</v>
      </c>
      <c r="D444" s="28">
        <f>SUM(AA444:AD444)</f>
        <v>0</v>
      </c>
      <c r="E444" s="113">
        <v>0</v>
      </c>
      <c r="F444" s="113">
        <v>0</v>
      </c>
      <c r="G444" s="28">
        <f>SUM(D444:F444)</f>
        <v>0</v>
      </c>
      <c r="H444" s="125">
        <v>0</v>
      </c>
      <c r="I444" s="113">
        <v>0</v>
      </c>
      <c r="J444" s="125">
        <v>0</v>
      </c>
      <c r="K444" s="113">
        <v>0</v>
      </c>
      <c r="L444" s="113">
        <v>0</v>
      </c>
      <c r="M444" s="113">
        <v>0</v>
      </c>
      <c r="N444" s="28">
        <f>G444-SUM(H444:M444)</f>
        <v>0</v>
      </c>
      <c r="O444" s="28">
        <f>SUM(V444:Y444)</f>
        <v>0</v>
      </c>
      <c r="P444" s="28">
        <f>O444-N444</f>
        <v>0</v>
      </c>
      <c r="Q444" s="61" t="str">
        <f>IF(ISERROR(P444/SUM(H444:L444)),"",P444/SUM(H444:L444))</f>
        <v/>
      </c>
      <c r="R444" s="113">
        <v>0</v>
      </c>
      <c r="S444" s="28">
        <f>IF(ISERROR(P444/C444*R444),0,(P444/C444*R444))</f>
        <v>0</v>
      </c>
      <c r="T444" s="60">
        <f>IF(ISERROR(P444/B444*AF444),0,(P444/B444*AF444))</f>
        <v>0</v>
      </c>
      <c r="V444" s="113">
        <v>0</v>
      </c>
      <c r="W444" s="113">
        <v>0</v>
      </c>
      <c r="X444" s="113">
        <v>0</v>
      </c>
      <c r="Y444" s="113">
        <v>0</v>
      </c>
      <c r="AA444" s="113">
        <v>0</v>
      </c>
      <c r="AB444" s="113">
        <v>0</v>
      </c>
      <c r="AC444" s="113">
        <v>0</v>
      </c>
      <c r="AD444" s="113">
        <v>0</v>
      </c>
      <c r="AF444" s="113">
        <v>0</v>
      </c>
      <c r="AG444" s="28">
        <f>G444-O444</f>
        <v>0</v>
      </c>
      <c r="AH444" s="58">
        <f>IF(ISERROR(AG444/B444*AF444),0,(AG444/B444*AF444))</f>
        <v>0</v>
      </c>
      <c r="AI444" s="28">
        <f>SUM(H444:M444)</f>
        <v>0</v>
      </c>
      <c r="AJ444" s="28">
        <f>IF(ISERROR(AI444/B444*AF444),0,(AI444/B444*AF444))</f>
        <v>0</v>
      </c>
      <c r="AK444" s="58">
        <f>IF(ISERROR(O444/B444*AF444),0,(O444/B444*AF444))</f>
        <v>0</v>
      </c>
      <c r="AL444" s="28">
        <f>IF(ISERROR(H444/B444*AF444),0,(H444/B444*AF444))</f>
        <v>0</v>
      </c>
      <c r="AN444" s="51">
        <f>A444</f>
        <v>0</v>
      </c>
      <c r="AO444" s="57">
        <f>IF(ISERROR(IF(B444=C444,D444/C444,(INT(D444/B444)+(((D444-B444*INT(D444/B444)))/C444)/100))),0,(IF(B444=C444,D444/C444,(INT(D444/B444)+(((D444-B444*INT(D444/B444)))/C444)/100))))</f>
        <v>0</v>
      </c>
      <c r="AP444" s="57">
        <f>IF(ISERROR(IF(B444=C444,E444/C444,(INT(E444/B444)+(((E444-B444*INT(E444/B444)))/C444)/100))),0,(IF(B444=C444,E444/C444,(INT(E444/B444)+(((E444-B444*INT(E444/B444)))/C444)/100))))</f>
        <v>0</v>
      </c>
      <c r="AQ444" s="57">
        <f>IF(ISERROR(IF(B444=C444,F444/C444,IF((INT(F444/B444)+(((F444-B444*INT(F444/B444)))/C444)/100)&lt;0,(INT(F444/B444)+(((F444-B444*INT(F444/B444)))/C444)/100)+(1-(B444/C444/100)),(INT(F444/B444)+(((F444-B444*INT(F444/B444)))/C444)/100)))),0,IF(B444=C444,F444/C444,IF((INT(F444/B444)+(((F444-B444*INT(F444/B444)))/C444)/100)&lt;0,(INT(F444/B444)+(((F444-B444*INT(F444/B444)))/C444)/100)+(1-(B444/C444/100)),(INT(F444/B444)+(((F444-B444*INT(F444/B444)))/C444)/100))))</f>
        <v>0</v>
      </c>
      <c r="AR444" s="57">
        <f>IF(ISERROR(IF(B444=C444,G444/C444,(INT(G444/B444)+(((G444-B444*INT(G444/B444)))/C444)/100))),0,(IF(B444=C444,G444/C444,(INT(G444/B444)+(((G444-B444*INT(G444/B444)))/C444)/100))))</f>
        <v>0</v>
      </c>
      <c r="AS444" s="57">
        <f>IF(ISERROR(IF(B444=C444,H444/C444,(INT(H444/B444)+(((H444-B444*INT(H444/B444)))/C444)/100))),0,(IF(B444=C444,H444/C444,(INT(H444/B444)+(((H444-B444*INT(H444/B444)))/C444)/100))))</f>
        <v>0</v>
      </c>
      <c r="AT444" s="57">
        <f>IF(ISERROR(IF(B444=C444,I444/C444,(INT(I444/B444)+(((I444-B444*INT(I444/B444)))/C444)/100))),0,(IF(B444=C444,I444/C444,(INT(I444/B444)+(((I444-B444*INT(I444/B444)))/C444)/100))))</f>
        <v>0</v>
      </c>
      <c r="AU444" s="57">
        <f>IF(ISERROR(IF(B444=C444,J444/C444,(INT(J444/B444)+(((J444-B444*INT(J444/B444)))/C444)/100))),0,(IF(B444=C444,J444/C444,(INT(J444/B444)+(((J444-B444*INT(J444/B444)))/C444)/100))))</f>
        <v>0</v>
      </c>
      <c r="AV444" s="57">
        <f>IF(ISERROR(IF(B444=C444,K444/C444,IF((INT(K444/B444)+(((K444-B444*INT(K444/B444)))/C444)/100)&lt;0,(INT(K444/B444)+(((K444-B444*INT(K444/B444)))/C444)/100)+(1-(B444/C444/100)),(INT(K444/B444)+(((K444-B444*INT(K444/B444)))/C444)/100)))),0,IF(B444=C444,K444/C444,IF((INT(K444/B444)+(((K444-B444*INT(K444/B444)))/C444)/100)&lt;0,(INT(K444/B444)+(((K444-B444*INT(K444/B444)))/C444)/100)+(1-(B444/C444/100)),(INT(K444/B444)+(((K444-B444*INT(K444/B444)))/C444)/100))))</f>
        <v>0</v>
      </c>
      <c r="AW444" s="57">
        <f>IF(ISERROR(IF(B444=C444,L444/C444,(INT(L444/B444)+(((L444-B444*INT(L444/B444)))/C444)/100))),0,(IF(B444=C444,L444/C444,(INT(L444/B444)+(((L444-B444*INT(L444/B444)))/C444)/100))))</f>
        <v>0</v>
      </c>
      <c r="AX444" s="57">
        <f>IF(ISERROR(IF(B444=C444,M444/C444,(INT(M444/B444)+(((M444-B444*INT(M444/B444)))/C444)/100))),0,(IF(B444=C444,M444/C444,(INT(M444/B444)+(((M444-B444*INT(M444/B444)))/C444)/100))))</f>
        <v>0</v>
      </c>
      <c r="AY444" s="57">
        <f>IF(ISERROR(IF(B444=C444,N444/C444,IF((INT(N444/B444)+(((N444-B444*INT(N444/B444)))/C444)/100)&lt;0,(INT(N444/B444)+(((N444-B444*INT(N444/B444)))/C444)/100)+(1-(B444/C444/100)),(INT(N444/B444)+(((N444-B444*INT(N444/B444)))/C444)/100)))),0,IF(B444=C444,N444/C444,IF((INT(N444/B444)+(((N444-B444*INT(N444/B444)))/C444)/100)&lt;0,(INT(N444/B444)+(((N444-B444*INT(N444/B444)))/C444)/100)+(1-(B444/C444/100)),(INT(N444/B444)+(((N444-B444*INT(N444/B444)))/C444)/100))))</f>
        <v>0</v>
      </c>
      <c r="AZ444" s="57">
        <f>IF(ISERROR(IF(B444=C444,O444/C444,(INT(O444/B444)+(((O444-B444*INT(O444/B444)))/C444)/100))),0,(IF(B444=C444,O444/C444,(INT(O444/B444)+(((O444-B444*INT(O444/B444)))/C444)/100))))</f>
        <v>0</v>
      </c>
      <c r="BA444" s="57">
        <f>IF(ISERROR(IF(B444=C444,P444/C444,IF((INT(P444/B444)+(((P444-B444*INT(P444/B444)))/C444)/100)&lt;0,(INT(P444/B444)+(((P444-B444*INT(P444/B444)))/C444)/100)+(1-(B444/C444/100)),(INT(P444/B444)+(((P444-B444*INT(P444/B444)))/C444)/100)))),0,IF(B444=C444,P444/C444,IF((INT(P444/B444)+(((P444-B444*INT(P444/B444)))/C444)/100)&lt;0,(INT(P444/B444)+(((P444-B444*INT(P444/B444)))/C444)/100)+(1-(B444/C444/100)),(INT(P444/B444)+(((P444-B444*INT(P444/B444)))/C444)/100))))</f>
        <v>0</v>
      </c>
      <c r="BB444" s="28">
        <f>R444</f>
        <v>0</v>
      </c>
      <c r="BC444" s="28">
        <f>S444</f>
        <v>0</v>
      </c>
      <c r="BD444" s="28">
        <f>AF444</f>
        <v>0</v>
      </c>
      <c r="BE444" s="28">
        <f>T444</f>
        <v>0</v>
      </c>
      <c r="BG444" s="57">
        <f>IF(ISERROR(IF(B444=C444,V444/C444,(INT(V444/B444)+(((V444-B444*INT(V444/B444)))/C444)/100))),0,(IF(B444=C444,V444/C444,(INT(V444/B444)+(((V444-B444*INT(V444/B444)))/C444)/100))))</f>
        <v>0</v>
      </c>
      <c r="BH444" s="57">
        <f>IF(ISERROR(IF(B444=C444,W444/C444,(INT(W444/B444)+(((W444-B444*INT(W444/B444)))/C444)/100))),0,(IF(B444=C444,W444/C444,(INT(W444/B444)+(((W444-B444*INT(W444/B444)))/C444)/100))))</f>
        <v>0</v>
      </c>
      <c r="BI444" s="57">
        <f>IF(ISERROR(IF(B444=C444,X444/C444,(INT(X444/B444)+(((X444-B444*INT(X444/B444)))/C444)/100))),0,(IF(B444=C444,X444/C444,(INT(X444/B444)+(((X444-B444*INT(X444/B444)))/C444)/100))))</f>
        <v>0</v>
      </c>
      <c r="BJ444" s="57">
        <f>IF(ISERROR(IF(B444=C444,Y444/C444,(INT(Y444/B444)+(((Y444-B444*INT(Y444/B444)))/C444)/100))),0,(IF(B444=C444,Y444/C444,(INT(Y444/B444)+(((Y444-B444*INT(Y444/B444)))/C444)/100))))</f>
        <v>0</v>
      </c>
      <c r="BL444" s="57">
        <f>IF(ISERROR(IF(B444=C444,AA444/C444,(INT(AA444/B444)+(((AA444-B444*INT(AA444/B444)))/C444)/100))),0,(IF(B444=C444,AA444/C444,(INT(AA444/B444)+(((AA444-B444*INT(AA444/B444)))/C444)/100))))</f>
        <v>0</v>
      </c>
      <c r="BM444" s="57">
        <f>IF(ISERROR(IF(B444=C444,AB444/C444,(INT(AB444/B444)+(((AB444-B444*INT(AB444/B444)))/C444)/100))),0,(IF(B444=C444,AB444/C444,(INT(AB444/B444)+(((AB444-B444*INT(AB444/B444)))/C444)/100))))</f>
        <v>0</v>
      </c>
      <c r="BN444" s="57">
        <f>IF(ISERROR(IF(B444=C444,AC444/C444,(INT(AC444/B444)+(((AC444-B444*INT(AC444/B444)))/C444)/100))),0,(IF(B444=C444,AC444/C444,(INT(AC444/B444)+(((AC444-B444*INT(AC444/B444)))/C444)/100))))</f>
        <v>0</v>
      </c>
      <c r="BO444" s="57">
        <f>IF(ISERROR(IF(B444=C444,AD444/C444,(INT(AD444/B444)+(((AD444-B444*INT(AD444/B444)))/C444)/100))),0,(IF(B444=C444,AD444/C444,(INT(AD444/B444)+(((AD444-B444*INT(AD444/B444)))/C444)/100))))</f>
        <v>0</v>
      </c>
      <c r="BQ444" s="155"/>
    </row>
    <row r="445" spans="1:69" hidden="1" x14ac:dyDescent="0.35">
      <c r="A445" s="94"/>
      <c r="B445" s="113">
        <v>0</v>
      </c>
      <c r="C445" s="113">
        <v>0</v>
      </c>
      <c r="D445" s="28">
        <f>SUM(AA445:AD445)</f>
        <v>0</v>
      </c>
      <c r="E445" s="113">
        <v>0</v>
      </c>
      <c r="F445" s="113">
        <v>0</v>
      </c>
      <c r="G445" s="28">
        <f>SUM(D445:F445)</f>
        <v>0</v>
      </c>
      <c r="H445" s="125">
        <v>0</v>
      </c>
      <c r="I445" s="113">
        <v>0</v>
      </c>
      <c r="J445" s="125">
        <v>0</v>
      </c>
      <c r="K445" s="113">
        <v>0</v>
      </c>
      <c r="L445" s="113">
        <v>0</v>
      </c>
      <c r="M445" s="113">
        <v>0</v>
      </c>
      <c r="N445" s="28">
        <f>G445-SUM(H445:M445)</f>
        <v>0</v>
      </c>
      <c r="O445" s="28">
        <f>SUM(V445:Y445)</f>
        <v>0</v>
      </c>
      <c r="P445" s="28">
        <f>O445-N445</f>
        <v>0</v>
      </c>
      <c r="Q445" s="61" t="str">
        <f>IF(ISERROR(P445/SUM(H445:L445)),"",P445/SUM(H445:L445))</f>
        <v/>
      </c>
      <c r="R445" s="113">
        <v>0</v>
      </c>
      <c r="S445" s="28">
        <f>IF(ISERROR(P445/C445*R445),0,(P445/C445*R445))</f>
        <v>0</v>
      </c>
      <c r="T445" s="60">
        <f>IF(ISERROR(P445/B445*AF445),0,(P445/B445*AF445))</f>
        <v>0</v>
      </c>
      <c r="V445" s="113">
        <v>0</v>
      </c>
      <c r="W445" s="113">
        <v>0</v>
      </c>
      <c r="X445" s="113">
        <v>0</v>
      </c>
      <c r="Y445" s="113">
        <v>0</v>
      </c>
      <c r="AA445" s="113">
        <v>0</v>
      </c>
      <c r="AB445" s="113">
        <v>0</v>
      </c>
      <c r="AC445" s="113">
        <v>0</v>
      </c>
      <c r="AD445" s="113">
        <v>0</v>
      </c>
      <c r="AF445" s="113">
        <v>0</v>
      </c>
      <c r="AG445" s="28">
        <f>G445-O445</f>
        <v>0</v>
      </c>
      <c r="AH445" s="58">
        <f>IF(ISERROR(AG445/B445*AF445),0,(AG445/B445*AF445))</f>
        <v>0</v>
      </c>
      <c r="AI445" s="28">
        <f>SUM(H445:M445)</f>
        <v>0</v>
      </c>
      <c r="AJ445" s="28">
        <f>IF(ISERROR(AI445/B445*AF445),0,(AI445/B445*AF445))</f>
        <v>0</v>
      </c>
      <c r="AK445" s="58">
        <f>IF(ISERROR(O445/B445*AF445),0,(O445/B445*AF445))</f>
        <v>0</v>
      </c>
      <c r="AL445" s="28">
        <f>IF(ISERROR(H445/B445*AF445),0,(H445/B445*AF445))</f>
        <v>0</v>
      </c>
      <c r="AN445" s="51">
        <f>A445</f>
        <v>0</v>
      </c>
      <c r="AO445" s="57">
        <f>IF(ISERROR(IF(B445=C445,D445/C445,(INT(D445/B445)+(((D445-B445*INT(D445/B445)))/C445)/100))),0,(IF(B445=C445,D445/C445,(INT(D445/B445)+(((D445-B445*INT(D445/B445)))/C445)/100))))</f>
        <v>0</v>
      </c>
      <c r="AP445" s="57">
        <f>IF(ISERROR(IF(B445=C445,E445/C445,(INT(E445/B445)+(((E445-B445*INT(E445/B445)))/C445)/100))),0,(IF(B445=C445,E445/C445,(INT(E445/B445)+(((E445-B445*INT(E445/B445)))/C445)/100))))</f>
        <v>0</v>
      </c>
      <c r="AQ445" s="57">
        <f>IF(ISERROR(IF(B445=C445,F445/C445,IF((INT(F445/B445)+(((F445-B445*INT(F445/B445)))/C445)/100)&lt;0,(INT(F445/B445)+(((F445-B445*INT(F445/B445)))/C445)/100)+(1-(B445/C445/100)),(INT(F445/B445)+(((F445-B445*INT(F445/B445)))/C445)/100)))),0,IF(B445=C445,F445/C445,IF((INT(F445/B445)+(((F445-B445*INT(F445/B445)))/C445)/100)&lt;0,(INT(F445/B445)+(((F445-B445*INT(F445/B445)))/C445)/100)+(1-(B445/C445/100)),(INT(F445/B445)+(((F445-B445*INT(F445/B445)))/C445)/100))))</f>
        <v>0</v>
      </c>
      <c r="AR445" s="57">
        <f>IF(ISERROR(IF(B445=C445,G445/C445,(INT(G445/B445)+(((G445-B445*INT(G445/B445)))/C445)/100))),0,(IF(B445=C445,G445/C445,(INT(G445/B445)+(((G445-B445*INT(G445/B445)))/C445)/100))))</f>
        <v>0</v>
      </c>
      <c r="AS445" s="57">
        <f>IF(ISERROR(IF(B445=C445,H445/C445,(INT(H445/B445)+(((H445-B445*INT(H445/B445)))/C445)/100))),0,(IF(B445=C445,H445/C445,(INT(H445/B445)+(((H445-B445*INT(H445/B445)))/C445)/100))))</f>
        <v>0</v>
      </c>
      <c r="AT445" s="57">
        <f>IF(ISERROR(IF(B445=C445,I445/C445,(INT(I445/B445)+(((I445-B445*INT(I445/B445)))/C445)/100))),0,(IF(B445=C445,I445/C445,(INT(I445/B445)+(((I445-B445*INT(I445/B445)))/C445)/100))))</f>
        <v>0</v>
      </c>
      <c r="AU445" s="57">
        <f>IF(ISERROR(IF(B445=C445,J445/C445,(INT(J445/B445)+(((J445-B445*INT(J445/B445)))/C445)/100))),0,(IF(B445=C445,J445/C445,(INT(J445/B445)+(((J445-B445*INT(J445/B445)))/C445)/100))))</f>
        <v>0</v>
      </c>
      <c r="AV445" s="57">
        <f>IF(ISERROR(IF(B445=C445,K445/C445,IF((INT(K445/B445)+(((K445-B445*INT(K445/B445)))/C445)/100)&lt;0,(INT(K445/B445)+(((K445-B445*INT(K445/B445)))/C445)/100)+(1-(B445/C445/100)),(INT(K445/B445)+(((K445-B445*INT(K445/B445)))/C445)/100)))),0,IF(B445=C445,K445/C445,IF((INT(K445/B445)+(((K445-B445*INT(K445/B445)))/C445)/100)&lt;0,(INT(K445/B445)+(((K445-B445*INT(K445/B445)))/C445)/100)+(1-(B445/C445/100)),(INT(K445/B445)+(((K445-B445*INT(K445/B445)))/C445)/100))))</f>
        <v>0</v>
      </c>
      <c r="AW445" s="57">
        <f>IF(ISERROR(IF(B445=C445,L445/C445,(INT(L445/B445)+(((L445-B445*INT(L445/B445)))/C445)/100))),0,(IF(B445=C445,L445/C445,(INT(L445/B445)+(((L445-B445*INT(L445/B445)))/C445)/100))))</f>
        <v>0</v>
      </c>
      <c r="AX445" s="57">
        <f>IF(ISERROR(IF(B445=C445,M445/C445,(INT(M445/B445)+(((M445-B445*INT(M445/B445)))/C445)/100))),0,(IF(B445=C445,M445/C445,(INT(M445/B445)+(((M445-B445*INT(M445/B445)))/C445)/100))))</f>
        <v>0</v>
      </c>
      <c r="AY445" s="57">
        <f>IF(ISERROR(IF(B445=C445,N445/C445,IF((INT(N445/B445)+(((N445-B445*INT(N445/B445)))/C445)/100)&lt;0,(INT(N445/B445)+(((N445-B445*INT(N445/B445)))/C445)/100)+(1-(B445/C445/100)),(INT(N445/B445)+(((N445-B445*INT(N445/B445)))/C445)/100)))),0,IF(B445=C445,N445/C445,IF((INT(N445/B445)+(((N445-B445*INT(N445/B445)))/C445)/100)&lt;0,(INT(N445/B445)+(((N445-B445*INT(N445/B445)))/C445)/100)+(1-(B445/C445/100)),(INT(N445/B445)+(((N445-B445*INT(N445/B445)))/C445)/100))))</f>
        <v>0</v>
      </c>
      <c r="AZ445" s="57">
        <f>IF(ISERROR(IF(B445=C445,O445/C445,(INT(O445/B445)+(((O445-B445*INT(O445/B445)))/C445)/100))),0,(IF(B445=C445,O445/C445,(INT(O445/B445)+(((O445-B445*INT(O445/B445)))/C445)/100))))</f>
        <v>0</v>
      </c>
      <c r="BA445" s="57">
        <f>IF(ISERROR(IF(B445=C445,P445/C445,IF((INT(P445/B445)+(((P445-B445*INT(P445/B445)))/C445)/100)&lt;0,(INT(P445/B445)+(((P445-B445*INT(P445/B445)))/C445)/100)+(1-(B445/C445/100)),(INT(P445/B445)+(((P445-B445*INT(P445/B445)))/C445)/100)))),0,IF(B445=C445,P445/C445,IF((INT(P445/B445)+(((P445-B445*INT(P445/B445)))/C445)/100)&lt;0,(INT(P445/B445)+(((P445-B445*INT(P445/B445)))/C445)/100)+(1-(B445/C445/100)),(INT(P445/B445)+(((P445-B445*INT(P445/B445)))/C445)/100))))</f>
        <v>0</v>
      </c>
      <c r="BB445" s="28">
        <f>R445</f>
        <v>0</v>
      </c>
      <c r="BC445" s="28">
        <f>S445</f>
        <v>0</v>
      </c>
      <c r="BD445" s="28">
        <f>AF445</f>
        <v>0</v>
      </c>
      <c r="BE445" s="28">
        <f>T445</f>
        <v>0</v>
      </c>
      <c r="BG445" s="57">
        <f>IF(ISERROR(IF(B445=C445,V445/C445,(INT(V445/B445)+(((V445-B445*INT(V445/B445)))/C445)/100))),0,(IF(B445=C445,V445/C445,(INT(V445/B445)+(((V445-B445*INT(V445/B445)))/C445)/100))))</f>
        <v>0</v>
      </c>
      <c r="BH445" s="57">
        <f>IF(ISERROR(IF(B445=C445,W445/C445,(INT(W445/B445)+(((W445-B445*INT(W445/B445)))/C445)/100))),0,(IF(B445=C445,W445/C445,(INT(W445/B445)+(((W445-B445*INT(W445/B445)))/C445)/100))))</f>
        <v>0</v>
      </c>
      <c r="BI445" s="57">
        <f>IF(ISERROR(IF(B445=C445,X445/C445,(INT(X445/B445)+(((X445-B445*INT(X445/B445)))/C445)/100))),0,(IF(B445=C445,X445/C445,(INT(X445/B445)+(((X445-B445*INT(X445/B445)))/C445)/100))))</f>
        <v>0</v>
      </c>
      <c r="BJ445" s="57">
        <f>IF(ISERROR(IF(B445=C445,Y445/C445,(INT(Y445/B445)+(((Y445-B445*INT(Y445/B445)))/C445)/100))),0,(IF(B445=C445,Y445/C445,(INT(Y445/B445)+(((Y445-B445*INT(Y445/B445)))/C445)/100))))</f>
        <v>0</v>
      </c>
      <c r="BL445" s="57">
        <f>IF(ISERROR(IF(B445=C445,AA445/C445,(INT(AA445/B445)+(((AA445-B445*INT(AA445/B445)))/C445)/100))),0,(IF(B445=C445,AA445/C445,(INT(AA445/B445)+(((AA445-B445*INT(AA445/B445)))/C445)/100))))</f>
        <v>0</v>
      </c>
      <c r="BM445" s="57">
        <f>IF(ISERROR(IF(B445=C445,AB445/C445,(INT(AB445/B445)+(((AB445-B445*INT(AB445/B445)))/C445)/100))),0,(IF(B445=C445,AB445/C445,(INT(AB445/B445)+(((AB445-B445*INT(AB445/B445)))/C445)/100))))</f>
        <v>0</v>
      </c>
      <c r="BN445" s="57">
        <f>IF(ISERROR(IF(B445=C445,AC445/C445,(INT(AC445/B445)+(((AC445-B445*INT(AC445/B445)))/C445)/100))),0,(IF(B445=C445,AC445/C445,(INT(AC445/B445)+(((AC445-B445*INT(AC445/B445)))/C445)/100))))</f>
        <v>0</v>
      </c>
      <c r="BO445" s="57">
        <f>IF(ISERROR(IF(B445=C445,AD445/C445,(INT(AD445/B445)+(((AD445-B445*INT(AD445/B445)))/C445)/100))),0,(IF(B445=C445,AD445/C445,(INT(AD445/B445)+(((AD445-B445*INT(AD445/B445)))/C445)/100))))</f>
        <v>0</v>
      </c>
      <c r="BQ445" s="155"/>
    </row>
    <row r="446" spans="1:69" hidden="1" x14ac:dyDescent="0.35">
      <c r="A446" s="94"/>
      <c r="B446" s="113">
        <v>0</v>
      </c>
      <c r="C446" s="113">
        <v>0</v>
      </c>
      <c r="D446" s="28">
        <f>SUM(AA446:AD446)</f>
        <v>0</v>
      </c>
      <c r="E446" s="113">
        <v>0</v>
      </c>
      <c r="F446" s="113">
        <v>0</v>
      </c>
      <c r="G446" s="28">
        <f>SUM(D446:F446)</f>
        <v>0</v>
      </c>
      <c r="H446" s="125">
        <v>0</v>
      </c>
      <c r="I446" s="113">
        <v>0</v>
      </c>
      <c r="J446" s="125">
        <v>0</v>
      </c>
      <c r="K446" s="113">
        <v>0</v>
      </c>
      <c r="L446" s="113">
        <v>0</v>
      </c>
      <c r="M446" s="113">
        <v>0</v>
      </c>
      <c r="N446" s="28">
        <f>G446-SUM(H446:M446)</f>
        <v>0</v>
      </c>
      <c r="O446" s="28">
        <f>SUM(V446:Y446)</f>
        <v>0</v>
      </c>
      <c r="P446" s="28">
        <f>O446-N446</f>
        <v>0</v>
      </c>
      <c r="Q446" s="61" t="str">
        <f>IF(ISERROR(P446/SUM(H446:L446)),"",P446/SUM(H446:L446))</f>
        <v/>
      </c>
      <c r="R446" s="113">
        <v>0</v>
      </c>
      <c r="S446" s="28">
        <f>IF(ISERROR(P446/C446*R446),0,(P446/C446*R446))</f>
        <v>0</v>
      </c>
      <c r="T446" s="60">
        <f>IF(ISERROR(P446/B446*AF446),0,(P446/B446*AF446))</f>
        <v>0</v>
      </c>
      <c r="V446" s="113">
        <v>0</v>
      </c>
      <c r="W446" s="113">
        <v>0</v>
      </c>
      <c r="X446" s="113">
        <v>0</v>
      </c>
      <c r="Y446" s="113">
        <v>0</v>
      </c>
      <c r="AA446" s="113">
        <v>0</v>
      </c>
      <c r="AB446" s="113">
        <v>0</v>
      </c>
      <c r="AC446" s="113">
        <v>0</v>
      </c>
      <c r="AD446" s="113">
        <v>0</v>
      </c>
      <c r="AF446" s="113">
        <v>0</v>
      </c>
      <c r="AG446" s="28">
        <f>G446-O446</f>
        <v>0</v>
      </c>
      <c r="AH446" s="58">
        <f>IF(ISERROR(AG446/B446*AF446),0,(AG446/B446*AF446))</f>
        <v>0</v>
      </c>
      <c r="AI446" s="28">
        <f>SUM(H446:M446)</f>
        <v>0</v>
      </c>
      <c r="AJ446" s="28">
        <f>IF(ISERROR(AI446/B446*AF446),0,(AI446/B446*AF446))</f>
        <v>0</v>
      </c>
      <c r="AK446" s="58">
        <f>IF(ISERROR(O446/B446*AF446),0,(O446/B446*AF446))</f>
        <v>0</v>
      </c>
      <c r="AL446" s="28">
        <f>IF(ISERROR(H446/B446*AF446),0,(H446/B446*AF446))</f>
        <v>0</v>
      </c>
      <c r="AN446" s="51">
        <f>A446</f>
        <v>0</v>
      </c>
      <c r="AO446" s="57">
        <f>IF(ISERROR(IF(B446=C446,D446/C446,(INT(D446/B446)+(((D446-B446*INT(D446/B446)))/C446)/100))),0,(IF(B446=C446,D446/C446,(INT(D446/B446)+(((D446-B446*INT(D446/B446)))/C446)/100))))</f>
        <v>0</v>
      </c>
      <c r="AP446" s="57">
        <f>IF(ISERROR(IF(B446=C446,E446/C446,(INT(E446/B446)+(((E446-B446*INT(E446/B446)))/C446)/100))),0,(IF(B446=C446,E446/C446,(INT(E446/B446)+(((E446-B446*INT(E446/B446)))/C446)/100))))</f>
        <v>0</v>
      </c>
      <c r="AQ446" s="57">
        <f>IF(ISERROR(IF(B446=C446,F446/C446,IF((INT(F446/B446)+(((F446-B446*INT(F446/B446)))/C446)/100)&lt;0,(INT(F446/B446)+(((F446-B446*INT(F446/B446)))/C446)/100)+(1-(B446/C446/100)),(INT(F446/B446)+(((F446-B446*INT(F446/B446)))/C446)/100)))),0,IF(B446=C446,F446/C446,IF((INT(F446/B446)+(((F446-B446*INT(F446/B446)))/C446)/100)&lt;0,(INT(F446/B446)+(((F446-B446*INT(F446/B446)))/C446)/100)+(1-(B446/C446/100)),(INT(F446/B446)+(((F446-B446*INT(F446/B446)))/C446)/100))))</f>
        <v>0</v>
      </c>
      <c r="AR446" s="57">
        <f>IF(ISERROR(IF(B446=C446,G446/C446,(INT(G446/B446)+(((G446-B446*INT(G446/B446)))/C446)/100))),0,(IF(B446=C446,G446/C446,(INT(G446/B446)+(((G446-B446*INT(G446/B446)))/C446)/100))))</f>
        <v>0</v>
      </c>
      <c r="AS446" s="57">
        <f>IF(ISERROR(IF(B446=C446,H446/C446,(INT(H446/B446)+(((H446-B446*INT(H446/B446)))/C446)/100))),0,(IF(B446=C446,H446/C446,(INT(H446/B446)+(((H446-B446*INT(H446/B446)))/C446)/100))))</f>
        <v>0</v>
      </c>
      <c r="AT446" s="57">
        <f>IF(ISERROR(IF(B446=C446,I446/C446,(INT(I446/B446)+(((I446-B446*INT(I446/B446)))/C446)/100))),0,(IF(B446=C446,I446/C446,(INT(I446/B446)+(((I446-B446*INT(I446/B446)))/C446)/100))))</f>
        <v>0</v>
      </c>
      <c r="AU446" s="57">
        <f>IF(ISERROR(IF(B446=C446,J446/C446,(INT(J446/B446)+(((J446-B446*INT(J446/B446)))/C446)/100))),0,(IF(B446=C446,J446/C446,(INT(J446/B446)+(((J446-B446*INT(J446/B446)))/C446)/100))))</f>
        <v>0</v>
      </c>
      <c r="AV446" s="57">
        <f>IF(ISERROR(IF(B446=C446,K446/C446,IF((INT(K446/B446)+(((K446-B446*INT(K446/B446)))/C446)/100)&lt;0,(INT(K446/B446)+(((K446-B446*INT(K446/B446)))/C446)/100)+(1-(B446/C446/100)),(INT(K446/B446)+(((K446-B446*INT(K446/B446)))/C446)/100)))),0,IF(B446=C446,K446/C446,IF((INT(K446/B446)+(((K446-B446*INT(K446/B446)))/C446)/100)&lt;0,(INT(K446/B446)+(((K446-B446*INT(K446/B446)))/C446)/100)+(1-(B446/C446/100)),(INT(K446/B446)+(((K446-B446*INT(K446/B446)))/C446)/100))))</f>
        <v>0</v>
      </c>
      <c r="AW446" s="57">
        <f>IF(ISERROR(IF(B446=C446,L446/C446,(INT(L446/B446)+(((L446-B446*INT(L446/B446)))/C446)/100))),0,(IF(B446=C446,L446/C446,(INT(L446/B446)+(((L446-B446*INT(L446/B446)))/C446)/100))))</f>
        <v>0</v>
      </c>
      <c r="AX446" s="57">
        <f>IF(ISERROR(IF(B446=C446,M446/C446,(INT(M446/B446)+(((M446-B446*INT(M446/B446)))/C446)/100))),0,(IF(B446=C446,M446/C446,(INT(M446/B446)+(((M446-B446*INT(M446/B446)))/C446)/100))))</f>
        <v>0</v>
      </c>
      <c r="AY446" s="57">
        <f>IF(ISERROR(IF(B446=C446,N446/C446,IF((INT(N446/B446)+(((N446-B446*INT(N446/B446)))/C446)/100)&lt;0,(INT(N446/B446)+(((N446-B446*INT(N446/B446)))/C446)/100)+(1-(B446/C446/100)),(INT(N446/B446)+(((N446-B446*INT(N446/B446)))/C446)/100)))),0,IF(B446=C446,N446/C446,IF((INT(N446/B446)+(((N446-B446*INT(N446/B446)))/C446)/100)&lt;0,(INT(N446/B446)+(((N446-B446*INT(N446/B446)))/C446)/100)+(1-(B446/C446/100)),(INT(N446/B446)+(((N446-B446*INT(N446/B446)))/C446)/100))))</f>
        <v>0</v>
      </c>
      <c r="AZ446" s="57">
        <f>IF(ISERROR(IF(B446=C446,O446/C446,(INT(O446/B446)+(((O446-B446*INT(O446/B446)))/C446)/100))),0,(IF(B446=C446,O446/C446,(INT(O446/B446)+(((O446-B446*INT(O446/B446)))/C446)/100))))</f>
        <v>0</v>
      </c>
      <c r="BA446" s="57">
        <f>IF(ISERROR(IF(B446=C446,P446/C446,IF((INT(P446/B446)+(((P446-B446*INT(P446/B446)))/C446)/100)&lt;0,(INT(P446/B446)+(((P446-B446*INT(P446/B446)))/C446)/100)+(1-(B446/C446/100)),(INT(P446/B446)+(((P446-B446*INT(P446/B446)))/C446)/100)))),0,IF(B446=C446,P446/C446,IF((INT(P446/B446)+(((P446-B446*INT(P446/B446)))/C446)/100)&lt;0,(INT(P446/B446)+(((P446-B446*INT(P446/B446)))/C446)/100)+(1-(B446/C446/100)),(INT(P446/B446)+(((P446-B446*INT(P446/B446)))/C446)/100))))</f>
        <v>0</v>
      </c>
      <c r="BB446" s="28">
        <f>R446</f>
        <v>0</v>
      </c>
      <c r="BC446" s="28">
        <f>S446</f>
        <v>0</v>
      </c>
      <c r="BD446" s="28">
        <f>AF446</f>
        <v>0</v>
      </c>
      <c r="BE446" s="28">
        <f>T446</f>
        <v>0</v>
      </c>
      <c r="BG446" s="57">
        <f>IF(ISERROR(IF(B446=C446,V446/C446,(INT(V446/B446)+(((V446-B446*INT(V446/B446)))/C446)/100))),0,(IF(B446=C446,V446/C446,(INT(V446/B446)+(((V446-B446*INT(V446/B446)))/C446)/100))))</f>
        <v>0</v>
      </c>
      <c r="BH446" s="57">
        <f>IF(ISERROR(IF(B446=C446,W446/C446,(INT(W446/B446)+(((W446-B446*INT(W446/B446)))/C446)/100))),0,(IF(B446=C446,W446/C446,(INT(W446/B446)+(((W446-B446*INT(W446/B446)))/C446)/100))))</f>
        <v>0</v>
      </c>
      <c r="BI446" s="57">
        <f>IF(ISERROR(IF(B446=C446,X446/C446,(INT(X446/B446)+(((X446-B446*INT(X446/B446)))/C446)/100))),0,(IF(B446=C446,X446/C446,(INT(X446/B446)+(((X446-B446*INT(X446/B446)))/C446)/100))))</f>
        <v>0</v>
      </c>
      <c r="BJ446" s="57">
        <f>IF(ISERROR(IF(B446=C446,Y446/C446,(INT(Y446/B446)+(((Y446-B446*INT(Y446/B446)))/C446)/100))),0,(IF(B446=C446,Y446/C446,(INT(Y446/B446)+(((Y446-B446*INT(Y446/B446)))/C446)/100))))</f>
        <v>0</v>
      </c>
      <c r="BL446" s="57">
        <f>IF(ISERROR(IF(B446=C446,AA446/C446,(INT(AA446/B446)+(((AA446-B446*INT(AA446/B446)))/C446)/100))),0,(IF(B446=C446,AA446/C446,(INT(AA446/B446)+(((AA446-B446*INT(AA446/B446)))/C446)/100))))</f>
        <v>0</v>
      </c>
      <c r="BM446" s="57">
        <f>IF(ISERROR(IF(B446=C446,AB446/C446,(INT(AB446/B446)+(((AB446-B446*INT(AB446/B446)))/C446)/100))),0,(IF(B446=C446,AB446/C446,(INT(AB446/B446)+(((AB446-B446*INT(AB446/B446)))/C446)/100))))</f>
        <v>0</v>
      </c>
      <c r="BN446" s="57">
        <f>IF(ISERROR(IF(B446=C446,AC446/C446,(INT(AC446/B446)+(((AC446-B446*INT(AC446/B446)))/C446)/100))),0,(IF(B446=C446,AC446/C446,(INT(AC446/B446)+(((AC446-B446*INT(AC446/B446)))/C446)/100))))</f>
        <v>0</v>
      </c>
      <c r="BO446" s="57">
        <f>IF(ISERROR(IF(B446=C446,AD446/C446,(INT(AD446/B446)+(((AD446-B446*INT(AD446/B446)))/C446)/100))),0,(IF(B446=C446,AD446/C446,(INT(AD446/B446)+(((AD446-B446*INT(AD446/B446)))/C446)/100))))</f>
        <v>0</v>
      </c>
      <c r="BQ446" s="155"/>
    </row>
    <row r="447" spans="1:69" hidden="1" x14ac:dyDescent="0.35">
      <c r="A447" s="94"/>
      <c r="B447" s="113">
        <v>0</v>
      </c>
      <c r="C447" s="113">
        <v>0</v>
      </c>
      <c r="D447" s="28">
        <f>SUM(AA447:AD447)</f>
        <v>0</v>
      </c>
      <c r="E447" s="113">
        <v>0</v>
      </c>
      <c r="F447" s="113">
        <v>0</v>
      </c>
      <c r="G447" s="28">
        <f>SUM(D447:F447)</f>
        <v>0</v>
      </c>
      <c r="H447" s="125">
        <v>0</v>
      </c>
      <c r="I447" s="113">
        <v>0</v>
      </c>
      <c r="J447" s="125">
        <v>0</v>
      </c>
      <c r="K447" s="113">
        <v>0</v>
      </c>
      <c r="L447" s="113">
        <v>0</v>
      </c>
      <c r="M447" s="113">
        <v>0</v>
      </c>
      <c r="N447" s="28">
        <f>G447-SUM(H447:M447)</f>
        <v>0</v>
      </c>
      <c r="O447" s="28">
        <f>SUM(V447:Y447)</f>
        <v>0</v>
      </c>
      <c r="P447" s="28">
        <f>O447-N447</f>
        <v>0</v>
      </c>
      <c r="Q447" s="61" t="str">
        <f>IF(ISERROR(P447/SUM(H447:L447)),"",P447/SUM(H447:L447))</f>
        <v/>
      </c>
      <c r="R447" s="113">
        <v>0</v>
      </c>
      <c r="S447" s="28">
        <f>IF(ISERROR(P447/C447*R447),0,(P447/C447*R447))</f>
        <v>0</v>
      </c>
      <c r="T447" s="60">
        <f>IF(ISERROR(P447/B447*AF447),0,(P447/B447*AF447))</f>
        <v>0</v>
      </c>
      <c r="V447" s="113">
        <v>0</v>
      </c>
      <c r="W447" s="113">
        <v>0</v>
      </c>
      <c r="X447" s="113">
        <v>0</v>
      </c>
      <c r="Y447" s="113">
        <v>0</v>
      </c>
      <c r="AA447" s="113">
        <v>0</v>
      </c>
      <c r="AB447" s="113">
        <v>0</v>
      </c>
      <c r="AC447" s="113">
        <v>0</v>
      </c>
      <c r="AD447" s="113">
        <v>0</v>
      </c>
      <c r="AF447" s="113">
        <v>0</v>
      </c>
      <c r="AG447" s="28">
        <f>G447-O447</f>
        <v>0</v>
      </c>
      <c r="AH447" s="58">
        <f>IF(ISERROR(AG447/B447*AF447),0,(AG447/B447*AF447))</f>
        <v>0</v>
      </c>
      <c r="AI447" s="28">
        <f>SUM(H447:M447)</f>
        <v>0</v>
      </c>
      <c r="AJ447" s="28">
        <f>IF(ISERROR(AI447/B447*AF447),0,(AI447/B447*AF447))</f>
        <v>0</v>
      </c>
      <c r="AK447" s="58">
        <f>IF(ISERROR(O447/B447*AF447),0,(O447/B447*AF447))</f>
        <v>0</v>
      </c>
      <c r="AL447" s="28">
        <f>IF(ISERROR(H447/B447*AF447),0,(H447/B447*AF447))</f>
        <v>0</v>
      </c>
      <c r="AN447" s="51">
        <f>A447</f>
        <v>0</v>
      </c>
      <c r="AO447" s="57">
        <f>IF(ISERROR(IF(B447=C447,D447/C447,(INT(D447/B447)+(((D447-B447*INT(D447/B447)))/C447)/100))),0,(IF(B447=C447,D447/C447,(INT(D447/B447)+(((D447-B447*INT(D447/B447)))/C447)/100))))</f>
        <v>0</v>
      </c>
      <c r="AP447" s="57">
        <f>IF(ISERROR(IF(B447=C447,E447/C447,(INT(E447/B447)+(((E447-B447*INT(E447/B447)))/C447)/100))),0,(IF(B447=C447,E447/C447,(INT(E447/B447)+(((E447-B447*INT(E447/B447)))/C447)/100))))</f>
        <v>0</v>
      </c>
      <c r="AQ447" s="57">
        <f>IF(ISERROR(IF(B447=C447,F447/C447,IF((INT(F447/B447)+(((F447-B447*INT(F447/B447)))/C447)/100)&lt;0,(INT(F447/B447)+(((F447-B447*INT(F447/B447)))/C447)/100)+(1-(B447/C447/100)),(INT(F447/B447)+(((F447-B447*INT(F447/B447)))/C447)/100)))),0,IF(B447=C447,F447/C447,IF((INT(F447/B447)+(((F447-B447*INT(F447/B447)))/C447)/100)&lt;0,(INT(F447/B447)+(((F447-B447*INT(F447/B447)))/C447)/100)+(1-(B447/C447/100)),(INT(F447/B447)+(((F447-B447*INT(F447/B447)))/C447)/100))))</f>
        <v>0</v>
      </c>
      <c r="AR447" s="57">
        <f>IF(ISERROR(IF(B447=C447,G447/C447,(INT(G447/B447)+(((G447-B447*INT(G447/B447)))/C447)/100))),0,(IF(B447=C447,G447/C447,(INT(G447/B447)+(((G447-B447*INT(G447/B447)))/C447)/100))))</f>
        <v>0</v>
      </c>
      <c r="AS447" s="57">
        <f>IF(ISERROR(IF(B447=C447,H447/C447,(INT(H447/B447)+(((H447-B447*INT(H447/B447)))/C447)/100))),0,(IF(B447=C447,H447/C447,(INT(H447/B447)+(((H447-B447*INT(H447/B447)))/C447)/100))))</f>
        <v>0</v>
      </c>
      <c r="AT447" s="57">
        <f>IF(ISERROR(IF(B447=C447,I447/C447,(INT(I447/B447)+(((I447-B447*INT(I447/B447)))/C447)/100))),0,(IF(B447=C447,I447/C447,(INT(I447/B447)+(((I447-B447*INT(I447/B447)))/C447)/100))))</f>
        <v>0</v>
      </c>
      <c r="AU447" s="57">
        <f>IF(ISERROR(IF(B447=C447,J447/C447,(INT(J447/B447)+(((J447-B447*INT(J447/B447)))/C447)/100))),0,(IF(B447=C447,J447/C447,(INT(J447/B447)+(((J447-B447*INT(J447/B447)))/C447)/100))))</f>
        <v>0</v>
      </c>
      <c r="AV447" s="57">
        <f>IF(ISERROR(IF(B447=C447,K447/C447,IF((INT(K447/B447)+(((K447-B447*INT(K447/B447)))/C447)/100)&lt;0,(INT(K447/B447)+(((K447-B447*INT(K447/B447)))/C447)/100)+(1-(B447/C447/100)),(INT(K447/B447)+(((K447-B447*INT(K447/B447)))/C447)/100)))),0,IF(B447=C447,K447/C447,IF((INT(K447/B447)+(((K447-B447*INT(K447/B447)))/C447)/100)&lt;0,(INT(K447/B447)+(((K447-B447*INT(K447/B447)))/C447)/100)+(1-(B447/C447/100)),(INT(K447/B447)+(((K447-B447*INT(K447/B447)))/C447)/100))))</f>
        <v>0</v>
      </c>
      <c r="AW447" s="57">
        <f>IF(ISERROR(IF(B447=C447,L447/C447,(INT(L447/B447)+(((L447-B447*INT(L447/B447)))/C447)/100))),0,(IF(B447=C447,L447/C447,(INT(L447/B447)+(((L447-B447*INT(L447/B447)))/C447)/100))))</f>
        <v>0</v>
      </c>
      <c r="AX447" s="57">
        <f>IF(ISERROR(IF(B447=C447,M447/C447,(INT(M447/B447)+(((M447-B447*INT(M447/B447)))/C447)/100))),0,(IF(B447=C447,M447/C447,(INT(M447/B447)+(((M447-B447*INT(M447/B447)))/C447)/100))))</f>
        <v>0</v>
      </c>
      <c r="AY447" s="57">
        <f>IF(ISERROR(IF(B447=C447,N447/C447,IF((INT(N447/B447)+(((N447-B447*INT(N447/B447)))/C447)/100)&lt;0,(INT(N447/B447)+(((N447-B447*INT(N447/B447)))/C447)/100)+(1-(B447/C447/100)),(INT(N447/B447)+(((N447-B447*INT(N447/B447)))/C447)/100)))),0,IF(B447=C447,N447/C447,IF((INT(N447/B447)+(((N447-B447*INT(N447/B447)))/C447)/100)&lt;0,(INT(N447/B447)+(((N447-B447*INT(N447/B447)))/C447)/100)+(1-(B447/C447/100)),(INT(N447/B447)+(((N447-B447*INT(N447/B447)))/C447)/100))))</f>
        <v>0</v>
      </c>
      <c r="AZ447" s="57">
        <f>IF(ISERROR(IF(B447=C447,O447/C447,(INT(O447/B447)+(((O447-B447*INT(O447/B447)))/C447)/100))),0,(IF(B447=C447,O447/C447,(INT(O447/B447)+(((O447-B447*INT(O447/B447)))/C447)/100))))</f>
        <v>0</v>
      </c>
      <c r="BA447" s="57">
        <f>IF(ISERROR(IF(B447=C447,P447/C447,IF((INT(P447/B447)+(((P447-B447*INT(P447/B447)))/C447)/100)&lt;0,(INT(P447/B447)+(((P447-B447*INT(P447/B447)))/C447)/100)+(1-(B447/C447/100)),(INT(P447/B447)+(((P447-B447*INT(P447/B447)))/C447)/100)))),0,IF(B447=C447,P447/C447,IF((INT(P447/B447)+(((P447-B447*INT(P447/B447)))/C447)/100)&lt;0,(INT(P447/B447)+(((P447-B447*INT(P447/B447)))/C447)/100)+(1-(B447/C447/100)),(INT(P447/B447)+(((P447-B447*INT(P447/B447)))/C447)/100))))</f>
        <v>0</v>
      </c>
      <c r="BB447" s="28">
        <f>R447</f>
        <v>0</v>
      </c>
      <c r="BC447" s="28">
        <f>S447</f>
        <v>0</v>
      </c>
      <c r="BD447" s="28">
        <f>AF447</f>
        <v>0</v>
      </c>
      <c r="BE447" s="28">
        <f>T447</f>
        <v>0</v>
      </c>
      <c r="BG447" s="57">
        <f>IF(ISERROR(IF(B447=C447,V447/C447,(INT(V447/B447)+(((V447-B447*INT(V447/B447)))/C447)/100))),0,(IF(B447=C447,V447/C447,(INT(V447/B447)+(((V447-B447*INT(V447/B447)))/C447)/100))))</f>
        <v>0</v>
      </c>
      <c r="BH447" s="57">
        <f>IF(ISERROR(IF(B447=C447,W447/C447,(INT(W447/B447)+(((W447-B447*INT(W447/B447)))/C447)/100))),0,(IF(B447=C447,W447/C447,(INT(W447/B447)+(((W447-B447*INT(W447/B447)))/C447)/100))))</f>
        <v>0</v>
      </c>
      <c r="BI447" s="57">
        <f>IF(ISERROR(IF(B447=C447,X447/C447,(INT(X447/B447)+(((X447-B447*INT(X447/B447)))/C447)/100))),0,(IF(B447=C447,X447/C447,(INT(X447/B447)+(((X447-B447*INT(X447/B447)))/C447)/100))))</f>
        <v>0</v>
      </c>
      <c r="BJ447" s="57">
        <f>IF(ISERROR(IF(B447=C447,Y447/C447,(INT(Y447/B447)+(((Y447-B447*INT(Y447/B447)))/C447)/100))),0,(IF(B447=C447,Y447/C447,(INT(Y447/B447)+(((Y447-B447*INT(Y447/B447)))/C447)/100))))</f>
        <v>0</v>
      </c>
      <c r="BL447" s="57">
        <f>IF(ISERROR(IF(B447=C447,AA447/C447,(INT(AA447/B447)+(((AA447-B447*INT(AA447/B447)))/C447)/100))),0,(IF(B447=C447,AA447/C447,(INT(AA447/B447)+(((AA447-B447*INT(AA447/B447)))/C447)/100))))</f>
        <v>0</v>
      </c>
      <c r="BM447" s="57">
        <f>IF(ISERROR(IF(B447=C447,AB447/C447,(INT(AB447/B447)+(((AB447-B447*INT(AB447/B447)))/C447)/100))),0,(IF(B447=C447,AB447/C447,(INT(AB447/B447)+(((AB447-B447*INT(AB447/B447)))/C447)/100))))</f>
        <v>0</v>
      </c>
      <c r="BN447" s="57">
        <f>IF(ISERROR(IF(B447=C447,AC447/C447,(INT(AC447/B447)+(((AC447-B447*INT(AC447/B447)))/C447)/100))),0,(IF(B447=C447,AC447/C447,(INT(AC447/B447)+(((AC447-B447*INT(AC447/B447)))/C447)/100))))</f>
        <v>0</v>
      </c>
      <c r="BO447" s="57">
        <f>IF(ISERROR(IF(B447=C447,AD447/C447,(INT(AD447/B447)+(((AD447-B447*INT(AD447/B447)))/C447)/100))),0,(IF(B447=C447,AD447/C447,(INT(AD447/B447)+(((AD447-B447*INT(AD447/B447)))/C447)/100))))</f>
        <v>0</v>
      </c>
      <c r="BQ447" s="155"/>
    </row>
    <row r="448" spans="1:69" hidden="1" x14ac:dyDescent="0.35">
      <c r="A448" s="94"/>
      <c r="B448" s="113">
        <v>0</v>
      </c>
      <c r="C448" s="113">
        <v>0</v>
      </c>
      <c r="D448" s="28">
        <f>SUM(AA448:AD448)</f>
        <v>0</v>
      </c>
      <c r="E448" s="113">
        <v>0</v>
      </c>
      <c r="F448" s="113">
        <v>0</v>
      </c>
      <c r="G448" s="28">
        <f>SUM(D448:F448)</f>
        <v>0</v>
      </c>
      <c r="H448" s="125">
        <v>0</v>
      </c>
      <c r="I448" s="113">
        <v>0</v>
      </c>
      <c r="J448" s="125">
        <v>0</v>
      </c>
      <c r="K448" s="113">
        <v>0</v>
      </c>
      <c r="L448" s="113">
        <v>0</v>
      </c>
      <c r="M448" s="113">
        <v>0</v>
      </c>
      <c r="N448" s="28">
        <f>G448-SUM(H448:M448)</f>
        <v>0</v>
      </c>
      <c r="O448" s="28">
        <f>SUM(V448:Y448)</f>
        <v>0</v>
      </c>
      <c r="P448" s="28">
        <f>O448-N448</f>
        <v>0</v>
      </c>
      <c r="Q448" s="61" t="str">
        <f>IF(ISERROR(P448/SUM(H448:L448)),"",P448/SUM(H448:L448))</f>
        <v/>
      </c>
      <c r="R448" s="113">
        <v>0</v>
      </c>
      <c r="S448" s="28">
        <f>IF(ISERROR(P448/C448*R448),0,(P448/C448*R448))</f>
        <v>0</v>
      </c>
      <c r="T448" s="60">
        <f>IF(ISERROR(P448/B448*AF448),0,(P448/B448*AF448))</f>
        <v>0</v>
      </c>
      <c r="V448" s="113">
        <v>0</v>
      </c>
      <c r="W448" s="113">
        <v>0</v>
      </c>
      <c r="X448" s="113">
        <v>0</v>
      </c>
      <c r="Y448" s="113">
        <v>0</v>
      </c>
      <c r="AA448" s="113">
        <v>0</v>
      </c>
      <c r="AB448" s="113">
        <v>0</v>
      </c>
      <c r="AC448" s="113">
        <v>0</v>
      </c>
      <c r="AD448" s="113">
        <v>0</v>
      </c>
      <c r="AF448" s="113">
        <v>0</v>
      </c>
      <c r="AG448" s="28">
        <f>G448-O448</f>
        <v>0</v>
      </c>
      <c r="AH448" s="58">
        <f>IF(ISERROR(AG448/B448*AF448),0,(AG448/B448*AF448))</f>
        <v>0</v>
      </c>
      <c r="AI448" s="28">
        <f>SUM(H448:M448)</f>
        <v>0</v>
      </c>
      <c r="AJ448" s="28">
        <f>IF(ISERROR(AI448/B448*AF448),0,(AI448/B448*AF448))</f>
        <v>0</v>
      </c>
      <c r="AK448" s="58">
        <f>IF(ISERROR(O448/B448*AF448),0,(O448/B448*AF448))</f>
        <v>0</v>
      </c>
      <c r="AL448" s="28">
        <f>IF(ISERROR(H448/B448*AF448),0,(H448/B448*AF448))</f>
        <v>0</v>
      </c>
      <c r="AN448" s="51">
        <f>A448</f>
        <v>0</v>
      </c>
      <c r="AO448" s="57">
        <f>IF(ISERROR(IF(B448=C448,D448/C448,(INT(D448/B448)+(((D448-B448*INT(D448/B448)))/C448)/100))),0,(IF(B448=C448,D448/C448,(INT(D448/B448)+(((D448-B448*INT(D448/B448)))/C448)/100))))</f>
        <v>0</v>
      </c>
      <c r="AP448" s="57">
        <f>IF(ISERROR(IF(B448=C448,E448/C448,(INT(E448/B448)+(((E448-B448*INT(E448/B448)))/C448)/100))),0,(IF(B448=C448,E448/C448,(INT(E448/B448)+(((E448-B448*INT(E448/B448)))/C448)/100))))</f>
        <v>0</v>
      </c>
      <c r="AQ448" s="57">
        <f>IF(ISERROR(IF(B448=C448,F448/C448,IF((INT(F448/B448)+(((F448-B448*INT(F448/B448)))/C448)/100)&lt;0,(INT(F448/B448)+(((F448-B448*INT(F448/B448)))/C448)/100)+(1-(B448/C448/100)),(INT(F448/B448)+(((F448-B448*INT(F448/B448)))/C448)/100)))),0,IF(B448=C448,F448/C448,IF((INT(F448/B448)+(((F448-B448*INT(F448/B448)))/C448)/100)&lt;0,(INT(F448/B448)+(((F448-B448*INT(F448/B448)))/C448)/100)+(1-(B448/C448/100)),(INT(F448/B448)+(((F448-B448*INT(F448/B448)))/C448)/100))))</f>
        <v>0</v>
      </c>
      <c r="AR448" s="57">
        <f>IF(ISERROR(IF(B448=C448,G448/C448,(INT(G448/B448)+(((G448-B448*INT(G448/B448)))/C448)/100))),0,(IF(B448=C448,G448/C448,(INT(G448/B448)+(((G448-B448*INT(G448/B448)))/C448)/100))))</f>
        <v>0</v>
      </c>
      <c r="AS448" s="57">
        <f>IF(ISERROR(IF(B448=C448,H448/C448,(INT(H448/B448)+(((H448-B448*INT(H448/B448)))/C448)/100))),0,(IF(B448=C448,H448/C448,(INT(H448/B448)+(((H448-B448*INT(H448/B448)))/C448)/100))))</f>
        <v>0</v>
      </c>
      <c r="AT448" s="57">
        <f>IF(ISERROR(IF(B448=C448,I448/C448,(INT(I448/B448)+(((I448-B448*INT(I448/B448)))/C448)/100))),0,(IF(B448=C448,I448/C448,(INT(I448/B448)+(((I448-B448*INT(I448/B448)))/C448)/100))))</f>
        <v>0</v>
      </c>
      <c r="AU448" s="57">
        <f>IF(ISERROR(IF(B448=C448,J448/C448,(INT(J448/B448)+(((J448-B448*INT(J448/B448)))/C448)/100))),0,(IF(B448=C448,J448/C448,(INT(J448/B448)+(((J448-B448*INT(J448/B448)))/C448)/100))))</f>
        <v>0</v>
      </c>
      <c r="AV448" s="57">
        <f>IF(ISERROR(IF(B448=C448,K448/C448,IF((INT(K448/B448)+(((K448-B448*INT(K448/B448)))/C448)/100)&lt;0,(INT(K448/B448)+(((K448-B448*INT(K448/B448)))/C448)/100)+(1-(B448/C448/100)),(INT(K448/B448)+(((K448-B448*INT(K448/B448)))/C448)/100)))),0,IF(B448=C448,K448/C448,IF((INT(K448/B448)+(((K448-B448*INT(K448/B448)))/C448)/100)&lt;0,(INT(K448/B448)+(((K448-B448*INT(K448/B448)))/C448)/100)+(1-(B448/C448/100)),(INT(K448/B448)+(((K448-B448*INT(K448/B448)))/C448)/100))))</f>
        <v>0</v>
      </c>
      <c r="AW448" s="57">
        <f>IF(ISERROR(IF(B448=C448,L448/C448,(INT(L448/B448)+(((L448-B448*INT(L448/B448)))/C448)/100))),0,(IF(B448=C448,L448/C448,(INT(L448/B448)+(((L448-B448*INT(L448/B448)))/C448)/100))))</f>
        <v>0</v>
      </c>
      <c r="AX448" s="57">
        <f>IF(ISERROR(IF(B448=C448,M448/C448,(INT(M448/B448)+(((M448-B448*INT(M448/B448)))/C448)/100))),0,(IF(B448=C448,M448/C448,(INT(M448/B448)+(((M448-B448*INT(M448/B448)))/C448)/100))))</f>
        <v>0</v>
      </c>
      <c r="AY448" s="57">
        <f>IF(ISERROR(IF(B448=C448,N448/C448,IF((INT(N448/B448)+(((N448-B448*INT(N448/B448)))/C448)/100)&lt;0,(INT(N448/B448)+(((N448-B448*INT(N448/B448)))/C448)/100)+(1-(B448/C448/100)),(INT(N448/B448)+(((N448-B448*INT(N448/B448)))/C448)/100)))),0,IF(B448=C448,N448/C448,IF((INT(N448/B448)+(((N448-B448*INT(N448/B448)))/C448)/100)&lt;0,(INT(N448/B448)+(((N448-B448*INT(N448/B448)))/C448)/100)+(1-(B448/C448/100)),(INT(N448/B448)+(((N448-B448*INT(N448/B448)))/C448)/100))))</f>
        <v>0</v>
      </c>
      <c r="AZ448" s="57">
        <f>IF(ISERROR(IF(B448=C448,O448/C448,(INT(O448/B448)+(((O448-B448*INT(O448/B448)))/C448)/100))),0,(IF(B448=C448,O448/C448,(INT(O448/B448)+(((O448-B448*INT(O448/B448)))/C448)/100))))</f>
        <v>0</v>
      </c>
      <c r="BA448" s="57">
        <f>IF(ISERROR(IF(B448=C448,P448/C448,IF((INT(P448/B448)+(((P448-B448*INT(P448/B448)))/C448)/100)&lt;0,(INT(P448/B448)+(((P448-B448*INT(P448/B448)))/C448)/100)+(1-(B448/C448/100)),(INT(P448/B448)+(((P448-B448*INT(P448/B448)))/C448)/100)))),0,IF(B448=C448,P448/C448,IF((INT(P448/B448)+(((P448-B448*INT(P448/B448)))/C448)/100)&lt;0,(INT(P448/B448)+(((P448-B448*INT(P448/B448)))/C448)/100)+(1-(B448/C448/100)),(INT(P448/B448)+(((P448-B448*INT(P448/B448)))/C448)/100))))</f>
        <v>0</v>
      </c>
      <c r="BB448" s="28">
        <f>R448</f>
        <v>0</v>
      </c>
      <c r="BC448" s="28">
        <f>S448</f>
        <v>0</v>
      </c>
      <c r="BD448" s="28">
        <f>AF448</f>
        <v>0</v>
      </c>
      <c r="BE448" s="28">
        <f>T448</f>
        <v>0</v>
      </c>
      <c r="BG448" s="57">
        <f>IF(ISERROR(IF(B448=C448,V448/C448,(INT(V448/B448)+(((V448-B448*INT(V448/B448)))/C448)/100))),0,(IF(B448=C448,V448/C448,(INT(V448/B448)+(((V448-B448*INT(V448/B448)))/C448)/100))))</f>
        <v>0</v>
      </c>
      <c r="BH448" s="57">
        <f>IF(ISERROR(IF(B448=C448,W448/C448,(INT(W448/B448)+(((W448-B448*INT(W448/B448)))/C448)/100))),0,(IF(B448=C448,W448/C448,(INT(W448/B448)+(((W448-B448*INT(W448/B448)))/C448)/100))))</f>
        <v>0</v>
      </c>
      <c r="BI448" s="57">
        <f>IF(ISERROR(IF(B448=C448,X448/C448,(INT(X448/B448)+(((X448-B448*INT(X448/B448)))/C448)/100))),0,(IF(B448=C448,X448/C448,(INT(X448/B448)+(((X448-B448*INT(X448/B448)))/C448)/100))))</f>
        <v>0</v>
      </c>
      <c r="BJ448" s="57">
        <f>IF(ISERROR(IF(B448=C448,Y448/C448,(INT(Y448/B448)+(((Y448-B448*INT(Y448/B448)))/C448)/100))),0,(IF(B448=C448,Y448/C448,(INT(Y448/B448)+(((Y448-B448*INT(Y448/B448)))/C448)/100))))</f>
        <v>0</v>
      </c>
      <c r="BL448" s="57">
        <f>IF(ISERROR(IF(B448=C448,AA448/C448,(INT(AA448/B448)+(((AA448-B448*INT(AA448/B448)))/C448)/100))),0,(IF(B448=C448,AA448/C448,(INT(AA448/B448)+(((AA448-B448*INT(AA448/B448)))/C448)/100))))</f>
        <v>0</v>
      </c>
      <c r="BM448" s="57">
        <f>IF(ISERROR(IF(B448=C448,AB448/C448,(INT(AB448/B448)+(((AB448-B448*INT(AB448/B448)))/C448)/100))),0,(IF(B448=C448,AB448/C448,(INT(AB448/B448)+(((AB448-B448*INT(AB448/B448)))/C448)/100))))</f>
        <v>0</v>
      </c>
      <c r="BN448" s="57">
        <f>IF(ISERROR(IF(B448=C448,AC448/C448,(INT(AC448/B448)+(((AC448-B448*INT(AC448/B448)))/C448)/100))),0,(IF(B448=C448,AC448/C448,(INT(AC448/B448)+(((AC448-B448*INT(AC448/B448)))/C448)/100))))</f>
        <v>0</v>
      </c>
      <c r="BO448" s="57">
        <f>IF(ISERROR(IF(B448=C448,AD448/C448,(INT(AD448/B448)+(((AD448-B448*INT(AD448/B448)))/C448)/100))),0,(IF(B448=C448,AD448/C448,(INT(AD448/B448)+(((AD448-B448*INT(AD448/B448)))/C448)/100))))</f>
        <v>0</v>
      </c>
      <c r="BQ448" s="155"/>
    </row>
    <row r="449" spans="1:69" hidden="1" x14ac:dyDescent="0.35">
      <c r="A449" s="94"/>
      <c r="B449" s="113">
        <v>0</v>
      </c>
      <c r="C449" s="113">
        <v>0</v>
      </c>
      <c r="D449" s="28">
        <f>SUM(AA449:AD449)</f>
        <v>0</v>
      </c>
      <c r="E449" s="113">
        <v>0</v>
      </c>
      <c r="F449" s="113">
        <v>0</v>
      </c>
      <c r="G449" s="28">
        <f>SUM(D449:F449)</f>
        <v>0</v>
      </c>
      <c r="H449" s="125">
        <v>0</v>
      </c>
      <c r="I449" s="113">
        <v>0</v>
      </c>
      <c r="J449" s="125">
        <v>0</v>
      </c>
      <c r="K449" s="113">
        <v>0</v>
      </c>
      <c r="L449" s="113">
        <v>0</v>
      </c>
      <c r="M449" s="113">
        <v>0</v>
      </c>
      <c r="N449" s="28">
        <f>G449-SUM(H449:M449)</f>
        <v>0</v>
      </c>
      <c r="O449" s="28">
        <f>SUM(V449:Y449)</f>
        <v>0</v>
      </c>
      <c r="P449" s="28">
        <f>O449-N449</f>
        <v>0</v>
      </c>
      <c r="Q449" s="61" t="str">
        <f>IF(ISERROR(P449/SUM(H449:L449)),"",P449/SUM(H449:L449))</f>
        <v/>
      </c>
      <c r="R449" s="113">
        <v>0</v>
      </c>
      <c r="S449" s="28">
        <f>IF(ISERROR(P449/C449*R449),0,(P449/C449*R449))</f>
        <v>0</v>
      </c>
      <c r="T449" s="60">
        <f>IF(ISERROR(P449/B449*AF449),0,(P449/B449*AF449))</f>
        <v>0</v>
      </c>
      <c r="V449" s="113">
        <v>0</v>
      </c>
      <c r="W449" s="113">
        <v>0</v>
      </c>
      <c r="X449" s="113">
        <v>0</v>
      </c>
      <c r="Y449" s="113">
        <v>0</v>
      </c>
      <c r="AA449" s="113">
        <v>0</v>
      </c>
      <c r="AB449" s="113">
        <v>0</v>
      </c>
      <c r="AC449" s="113">
        <v>0</v>
      </c>
      <c r="AD449" s="113">
        <v>0</v>
      </c>
      <c r="AF449" s="113">
        <v>0</v>
      </c>
      <c r="AG449" s="28">
        <f>G449-O449</f>
        <v>0</v>
      </c>
      <c r="AH449" s="58">
        <f>IF(ISERROR(AG449/B449*AF449),0,(AG449/B449*AF449))</f>
        <v>0</v>
      </c>
      <c r="AI449" s="28">
        <f>SUM(H449:M449)</f>
        <v>0</v>
      </c>
      <c r="AJ449" s="28">
        <f>IF(ISERROR(AI449/B449*AF449),0,(AI449/B449*AF449))</f>
        <v>0</v>
      </c>
      <c r="AK449" s="58">
        <f>IF(ISERROR(O449/B449*AF449),0,(O449/B449*AF449))</f>
        <v>0</v>
      </c>
      <c r="AL449" s="28">
        <f>IF(ISERROR(H449/B449*AF449),0,(H449/B449*AF449))</f>
        <v>0</v>
      </c>
      <c r="AN449" s="51">
        <f>A449</f>
        <v>0</v>
      </c>
      <c r="AO449" s="57">
        <f>IF(ISERROR(IF(B449=C449,D449/C449,(INT(D449/B449)+(((D449-B449*INT(D449/B449)))/C449)/100))),0,(IF(B449=C449,D449/C449,(INT(D449/B449)+(((D449-B449*INT(D449/B449)))/C449)/100))))</f>
        <v>0</v>
      </c>
      <c r="AP449" s="57">
        <f>IF(ISERROR(IF(B449=C449,E449/C449,(INT(E449/B449)+(((E449-B449*INT(E449/B449)))/C449)/100))),0,(IF(B449=C449,E449/C449,(INT(E449/B449)+(((E449-B449*INT(E449/B449)))/C449)/100))))</f>
        <v>0</v>
      </c>
      <c r="AQ449" s="57">
        <f>IF(ISERROR(IF(B449=C449,F449/C449,IF((INT(F449/B449)+(((F449-B449*INT(F449/B449)))/C449)/100)&lt;0,(INT(F449/B449)+(((F449-B449*INT(F449/B449)))/C449)/100)+(1-(B449/C449/100)),(INT(F449/B449)+(((F449-B449*INT(F449/B449)))/C449)/100)))),0,IF(B449=C449,F449/C449,IF((INT(F449/B449)+(((F449-B449*INT(F449/B449)))/C449)/100)&lt;0,(INT(F449/B449)+(((F449-B449*INT(F449/B449)))/C449)/100)+(1-(B449/C449/100)),(INT(F449/B449)+(((F449-B449*INT(F449/B449)))/C449)/100))))</f>
        <v>0</v>
      </c>
      <c r="AR449" s="57">
        <f>IF(ISERROR(IF(B449=C449,G449/C449,(INT(G449/B449)+(((G449-B449*INT(G449/B449)))/C449)/100))),0,(IF(B449=C449,G449/C449,(INT(G449/B449)+(((G449-B449*INT(G449/B449)))/C449)/100))))</f>
        <v>0</v>
      </c>
      <c r="AS449" s="57">
        <f>IF(ISERROR(IF(B449=C449,H449/C449,(INT(H449/B449)+(((H449-B449*INT(H449/B449)))/C449)/100))),0,(IF(B449=C449,H449/C449,(INT(H449/B449)+(((H449-B449*INT(H449/B449)))/C449)/100))))</f>
        <v>0</v>
      </c>
      <c r="AT449" s="57">
        <f>IF(ISERROR(IF(B449=C449,I449/C449,(INT(I449/B449)+(((I449-B449*INT(I449/B449)))/C449)/100))),0,(IF(B449=C449,I449/C449,(INT(I449/B449)+(((I449-B449*INT(I449/B449)))/C449)/100))))</f>
        <v>0</v>
      </c>
      <c r="AU449" s="57">
        <f>IF(ISERROR(IF(B449=C449,J449/C449,(INT(J449/B449)+(((J449-B449*INT(J449/B449)))/C449)/100))),0,(IF(B449=C449,J449/C449,(INT(J449/B449)+(((J449-B449*INT(J449/B449)))/C449)/100))))</f>
        <v>0</v>
      </c>
      <c r="AV449" s="57">
        <f>IF(ISERROR(IF(B449=C449,K449/C449,IF((INT(K449/B449)+(((K449-B449*INT(K449/B449)))/C449)/100)&lt;0,(INT(K449/B449)+(((K449-B449*INT(K449/B449)))/C449)/100)+(1-(B449/C449/100)),(INT(K449/B449)+(((K449-B449*INT(K449/B449)))/C449)/100)))),0,IF(B449=C449,K449/C449,IF((INT(K449/B449)+(((K449-B449*INT(K449/B449)))/C449)/100)&lt;0,(INT(K449/B449)+(((K449-B449*INT(K449/B449)))/C449)/100)+(1-(B449/C449/100)),(INT(K449/B449)+(((K449-B449*INT(K449/B449)))/C449)/100))))</f>
        <v>0</v>
      </c>
      <c r="AW449" s="57">
        <f>IF(ISERROR(IF(B449=C449,L449/C449,(INT(L449/B449)+(((L449-B449*INT(L449/B449)))/C449)/100))),0,(IF(B449=C449,L449/C449,(INT(L449/B449)+(((L449-B449*INT(L449/B449)))/C449)/100))))</f>
        <v>0</v>
      </c>
      <c r="AX449" s="57">
        <f>IF(ISERROR(IF(B449=C449,M449/C449,(INT(M449/B449)+(((M449-B449*INT(M449/B449)))/C449)/100))),0,(IF(B449=C449,M449/C449,(INT(M449/B449)+(((M449-B449*INT(M449/B449)))/C449)/100))))</f>
        <v>0</v>
      </c>
      <c r="AY449" s="57">
        <f>IF(ISERROR(IF(B449=C449,N449/C449,IF((INT(N449/B449)+(((N449-B449*INT(N449/B449)))/C449)/100)&lt;0,(INT(N449/B449)+(((N449-B449*INT(N449/B449)))/C449)/100)+(1-(B449/C449/100)),(INT(N449/B449)+(((N449-B449*INT(N449/B449)))/C449)/100)))),0,IF(B449=C449,N449/C449,IF((INT(N449/B449)+(((N449-B449*INT(N449/B449)))/C449)/100)&lt;0,(INT(N449/B449)+(((N449-B449*INT(N449/B449)))/C449)/100)+(1-(B449/C449/100)),(INT(N449/B449)+(((N449-B449*INT(N449/B449)))/C449)/100))))</f>
        <v>0</v>
      </c>
      <c r="AZ449" s="57">
        <f>IF(ISERROR(IF(B449=C449,O449/C449,(INT(O449/B449)+(((O449-B449*INT(O449/B449)))/C449)/100))),0,(IF(B449=C449,O449/C449,(INT(O449/B449)+(((O449-B449*INT(O449/B449)))/C449)/100))))</f>
        <v>0</v>
      </c>
      <c r="BA449" s="57">
        <f>IF(ISERROR(IF(B449=C449,P449/C449,IF((INT(P449/B449)+(((P449-B449*INT(P449/B449)))/C449)/100)&lt;0,(INT(P449/B449)+(((P449-B449*INT(P449/B449)))/C449)/100)+(1-(B449/C449/100)),(INT(P449/B449)+(((P449-B449*INT(P449/B449)))/C449)/100)))),0,IF(B449=C449,P449/C449,IF((INT(P449/B449)+(((P449-B449*INT(P449/B449)))/C449)/100)&lt;0,(INT(P449/B449)+(((P449-B449*INT(P449/B449)))/C449)/100)+(1-(B449/C449/100)),(INT(P449/B449)+(((P449-B449*INT(P449/B449)))/C449)/100))))</f>
        <v>0</v>
      </c>
      <c r="BB449" s="28">
        <f>R449</f>
        <v>0</v>
      </c>
      <c r="BC449" s="28">
        <f>S449</f>
        <v>0</v>
      </c>
      <c r="BD449" s="28">
        <f>AF449</f>
        <v>0</v>
      </c>
      <c r="BE449" s="28">
        <f>T449</f>
        <v>0</v>
      </c>
      <c r="BG449" s="57">
        <f>IF(ISERROR(IF(B449=C449,V449/C449,(INT(V449/B449)+(((V449-B449*INT(V449/B449)))/C449)/100))),0,(IF(B449=C449,V449/C449,(INT(V449/B449)+(((V449-B449*INT(V449/B449)))/C449)/100))))</f>
        <v>0</v>
      </c>
      <c r="BH449" s="57">
        <f>IF(ISERROR(IF(B449=C449,W449/C449,(INT(W449/B449)+(((W449-B449*INT(W449/B449)))/C449)/100))),0,(IF(B449=C449,W449/C449,(INT(W449/B449)+(((W449-B449*INT(W449/B449)))/C449)/100))))</f>
        <v>0</v>
      </c>
      <c r="BI449" s="57">
        <f>IF(ISERROR(IF(B449=C449,X449/C449,(INT(X449/B449)+(((X449-B449*INT(X449/B449)))/C449)/100))),0,(IF(B449=C449,X449/C449,(INT(X449/B449)+(((X449-B449*INT(X449/B449)))/C449)/100))))</f>
        <v>0</v>
      </c>
      <c r="BJ449" s="57">
        <f>IF(ISERROR(IF(B449=C449,Y449/C449,(INT(Y449/B449)+(((Y449-B449*INT(Y449/B449)))/C449)/100))),0,(IF(B449=C449,Y449/C449,(INT(Y449/B449)+(((Y449-B449*INT(Y449/B449)))/C449)/100))))</f>
        <v>0</v>
      </c>
      <c r="BL449" s="57">
        <f>IF(ISERROR(IF(B449=C449,AA449/C449,(INT(AA449/B449)+(((AA449-B449*INT(AA449/B449)))/C449)/100))),0,(IF(B449=C449,AA449/C449,(INT(AA449/B449)+(((AA449-B449*INT(AA449/B449)))/C449)/100))))</f>
        <v>0</v>
      </c>
      <c r="BM449" s="57">
        <f>IF(ISERROR(IF(B449=C449,AB449/C449,(INT(AB449/B449)+(((AB449-B449*INT(AB449/B449)))/C449)/100))),0,(IF(B449=C449,AB449/C449,(INT(AB449/B449)+(((AB449-B449*INT(AB449/B449)))/C449)/100))))</f>
        <v>0</v>
      </c>
      <c r="BN449" s="57">
        <f>IF(ISERROR(IF(B449=C449,AC449/C449,(INT(AC449/B449)+(((AC449-B449*INT(AC449/B449)))/C449)/100))),0,(IF(B449=C449,AC449/C449,(INT(AC449/B449)+(((AC449-B449*INT(AC449/B449)))/C449)/100))))</f>
        <v>0</v>
      </c>
      <c r="BO449" s="57">
        <f>IF(ISERROR(IF(B449=C449,AD449/C449,(INT(AD449/B449)+(((AD449-B449*INT(AD449/B449)))/C449)/100))),0,(IF(B449=C449,AD449/C449,(INT(AD449/B449)+(((AD449-B449*INT(AD449/B449)))/C449)/100))))</f>
        <v>0</v>
      </c>
      <c r="BQ449" s="155"/>
    </row>
    <row r="450" spans="1:69" hidden="1" x14ac:dyDescent="0.35">
      <c r="A450" s="94"/>
      <c r="B450" s="113">
        <v>0</v>
      </c>
      <c r="C450" s="113">
        <v>0</v>
      </c>
      <c r="D450" s="28">
        <f>SUM(AA450:AD450)</f>
        <v>0</v>
      </c>
      <c r="E450" s="113">
        <v>0</v>
      </c>
      <c r="F450" s="113">
        <v>0</v>
      </c>
      <c r="G450" s="28">
        <f>SUM(D450:F450)</f>
        <v>0</v>
      </c>
      <c r="H450" s="125">
        <v>0</v>
      </c>
      <c r="I450" s="113">
        <v>0</v>
      </c>
      <c r="J450" s="125">
        <v>0</v>
      </c>
      <c r="K450" s="113">
        <v>0</v>
      </c>
      <c r="L450" s="113">
        <v>0</v>
      </c>
      <c r="M450" s="113">
        <v>0</v>
      </c>
      <c r="N450" s="28">
        <f>G450-SUM(H450:M450)</f>
        <v>0</v>
      </c>
      <c r="O450" s="28">
        <f>SUM(V450:Y450)</f>
        <v>0</v>
      </c>
      <c r="P450" s="28">
        <f>O450-N450</f>
        <v>0</v>
      </c>
      <c r="Q450" s="61" t="str">
        <f>IF(ISERROR(P450/SUM(H450:L450)),"",P450/SUM(H450:L450))</f>
        <v/>
      </c>
      <c r="R450" s="113">
        <v>0</v>
      </c>
      <c r="S450" s="28">
        <f>IF(ISERROR(P450/C450*R450),0,(P450/C450*R450))</f>
        <v>0</v>
      </c>
      <c r="T450" s="60">
        <f>IF(ISERROR(P450/B450*AF450),0,(P450/B450*AF450))</f>
        <v>0</v>
      </c>
      <c r="V450" s="113">
        <v>0</v>
      </c>
      <c r="W450" s="113">
        <v>0</v>
      </c>
      <c r="X450" s="113">
        <v>0</v>
      </c>
      <c r="Y450" s="113">
        <v>0</v>
      </c>
      <c r="AA450" s="113">
        <v>0</v>
      </c>
      <c r="AB450" s="113">
        <v>0</v>
      </c>
      <c r="AC450" s="113">
        <v>0</v>
      </c>
      <c r="AD450" s="113">
        <v>0</v>
      </c>
      <c r="AF450" s="113">
        <v>0</v>
      </c>
      <c r="AG450" s="28">
        <f>G450-O450</f>
        <v>0</v>
      </c>
      <c r="AH450" s="58">
        <f>IF(ISERROR(AG450/B450*AF450),0,(AG450/B450*AF450))</f>
        <v>0</v>
      </c>
      <c r="AI450" s="28">
        <f>SUM(H450:M450)</f>
        <v>0</v>
      </c>
      <c r="AJ450" s="28">
        <f>IF(ISERROR(AI450/B450*AF450),0,(AI450/B450*AF450))</f>
        <v>0</v>
      </c>
      <c r="AK450" s="58">
        <f>IF(ISERROR(O450/B450*AF450),0,(O450/B450*AF450))</f>
        <v>0</v>
      </c>
      <c r="AL450" s="28">
        <f>IF(ISERROR(H450/B450*AF450),0,(H450/B450*AF450))</f>
        <v>0</v>
      </c>
      <c r="AN450" s="51">
        <f>A450</f>
        <v>0</v>
      </c>
      <c r="AO450" s="57">
        <f>IF(ISERROR(IF(B450=C450,D450/C450,(INT(D450/B450)+(((D450-B450*INT(D450/B450)))/C450)/100))),0,(IF(B450=C450,D450/C450,(INT(D450/B450)+(((D450-B450*INT(D450/B450)))/C450)/100))))</f>
        <v>0</v>
      </c>
      <c r="AP450" s="57">
        <f>IF(ISERROR(IF(B450=C450,E450/C450,(INT(E450/B450)+(((E450-B450*INT(E450/B450)))/C450)/100))),0,(IF(B450=C450,E450/C450,(INT(E450/B450)+(((E450-B450*INT(E450/B450)))/C450)/100))))</f>
        <v>0</v>
      </c>
      <c r="AQ450" s="57">
        <f>IF(ISERROR(IF(B450=C450,F450/C450,IF((INT(F450/B450)+(((F450-B450*INT(F450/B450)))/C450)/100)&lt;0,(INT(F450/B450)+(((F450-B450*INT(F450/B450)))/C450)/100)+(1-(B450/C450/100)),(INT(F450/B450)+(((F450-B450*INT(F450/B450)))/C450)/100)))),0,IF(B450=C450,F450/C450,IF((INT(F450/B450)+(((F450-B450*INT(F450/B450)))/C450)/100)&lt;0,(INT(F450/B450)+(((F450-B450*INT(F450/B450)))/C450)/100)+(1-(B450/C450/100)),(INT(F450/B450)+(((F450-B450*INT(F450/B450)))/C450)/100))))</f>
        <v>0</v>
      </c>
      <c r="AR450" s="57">
        <f>IF(ISERROR(IF(B450=C450,G450/C450,(INT(G450/B450)+(((G450-B450*INT(G450/B450)))/C450)/100))),0,(IF(B450=C450,G450/C450,(INT(G450/B450)+(((G450-B450*INT(G450/B450)))/C450)/100))))</f>
        <v>0</v>
      </c>
      <c r="AS450" s="57">
        <f>IF(ISERROR(IF(B450=C450,H450/C450,(INT(H450/B450)+(((H450-B450*INT(H450/B450)))/C450)/100))),0,(IF(B450=C450,H450/C450,(INT(H450/B450)+(((H450-B450*INT(H450/B450)))/C450)/100))))</f>
        <v>0</v>
      </c>
      <c r="AT450" s="57">
        <f>IF(ISERROR(IF(B450=C450,I450/C450,(INT(I450/B450)+(((I450-B450*INT(I450/B450)))/C450)/100))),0,(IF(B450=C450,I450/C450,(INT(I450/B450)+(((I450-B450*INT(I450/B450)))/C450)/100))))</f>
        <v>0</v>
      </c>
      <c r="AU450" s="57">
        <f>IF(ISERROR(IF(B450=C450,J450/C450,(INT(J450/B450)+(((J450-B450*INT(J450/B450)))/C450)/100))),0,(IF(B450=C450,J450/C450,(INT(J450/B450)+(((J450-B450*INT(J450/B450)))/C450)/100))))</f>
        <v>0</v>
      </c>
      <c r="AV450" s="57">
        <f>IF(ISERROR(IF(B450=C450,K450/C450,IF((INT(K450/B450)+(((K450-B450*INT(K450/B450)))/C450)/100)&lt;0,(INT(K450/B450)+(((K450-B450*INT(K450/B450)))/C450)/100)+(1-(B450/C450/100)),(INT(K450/B450)+(((K450-B450*INT(K450/B450)))/C450)/100)))),0,IF(B450=C450,K450/C450,IF((INT(K450/B450)+(((K450-B450*INT(K450/B450)))/C450)/100)&lt;0,(INT(K450/B450)+(((K450-B450*INT(K450/B450)))/C450)/100)+(1-(B450/C450/100)),(INT(K450/B450)+(((K450-B450*INT(K450/B450)))/C450)/100))))</f>
        <v>0</v>
      </c>
      <c r="AW450" s="57">
        <f>IF(ISERROR(IF(B450=C450,L450/C450,(INT(L450/B450)+(((L450-B450*INT(L450/B450)))/C450)/100))),0,(IF(B450=C450,L450/C450,(INT(L450/B450)+(((L450-B450*INT(L450/B450)))/C450)/100))))</f>
        <v>0</v>
      </c>
      <c r="AX450" s="57">
        <f>IF(ISERROR(IF(B450=C450,M450/C450,(INT(M450/B450)+(((M450-B450*INT(M450/B450)))/C450)/100))),0,(IF(B450=C450,M450/C450,(INT(M450/B450)+(((M450-B450*INT(M450/B450)))/C450)/100))))</f>
        <v>0</v>
      </c>
      <c r="AY450" s="57">
        <f>IF(ISERROR(IF(B450=C450,N450/C450,IF((INT(N450/B450)+(((N450-B450*INT(N450/B450)))/C450)/100)&lt;0,(INT(N450/B450)+(((N450-B450*INT(N450/B450)))/C450)/100)+(1-(B450/C450/100)),(INT(N450/B450)+(((N450-B450*INT(N450/B450)))/C450)/100)))),0,IF(B450=C450,N450/C450,IF((INT(N450/B450)+(((N450-B450*INT(N450/B450)))/C450)/100)&lt;0,(INT(N450/B450)+(((N450-B450*INT(N450/B450)))/C450)/100)+(1-(B450/C450/100)),(INT(N450/B450)+(((N450-B450*INT(N450/B450)))/C450)/100))))</f>
        <v>0</v>
      </c>
      <c r="AZ450" s="57">
        <f>IF(ISERROR(IF(B450=C450,O450/C450,(INT(O450/B450)+(((O450-B450*INT(O450/B450)))/C450)/100))),0,(IF(B450=C450,O450/C450,(INT(O450/B450)+(((O450-B450*INT(O450/B450)))/C450)/100))))</f>
        <v>0</v>
      </c>
      <c r="BA450" s="57">
        <f>IF(ISERROR(IF(B450=C450,P450/C450,IF((INT(P450/B450)+(((P450-B450*INT(P450/B450)))/C450)/100)&lt;0,(INT(P450/B450)+(((P450-B450*INT(P450/B450)))/C450)/100)+(1-(B450/C450/100)),(INT(P450/B450)+(((P450-B450*INT(P450/B450)))/C450)/100)))),0,IF(B450=C450,P450/C450,IF((INT(P450/B450)+(((P450-B450*INT(P450/B450)))/C450)/100)&lt;0,(INT(P450/B450)+(((P450-B450*INT(P450/B450)))/C450)/100)+(1-(B450/C450/100)),(INT(P450/B450)+(((P450-B450*INT(P450/B450)))/C450)/100))))</f>
        <v>0</v>
      </c>
      <c r="BB450" s="28">
        <f>R450</f>
        <v>0</v>
      </c>
      <c r="BC450" s="28">
        <f>S450</f>
        <v>0</v>
      </c>
      <c r="BD450" s="28">
        <f>AF450</f>
        <v>0</v>
      </c>
      <c r="BE450" s="28">
        <f>T450</f>
        <v>0</v>
      </c>
      <c r="BG450" s="57">
        <f>IF(ISERROR(IF(B450=C450,V450/C450,(INT(V450/B450)+(((V450-B450*INT(V450/B450)))/C450)/100))),0,(IF(B450=C450,V450/C450,(INT(V450/B450)+(((V450-B450*INT(V450/B450)))/C450)/100))))</f>
        <v>0</v>
      </c>
      <c r="BH450" s="57">
        <f>IF(ISERROR(IF(B450=C450,W450/C450,(INT(W450/B450)+(((W450-B450*INT(W450/B450)))/C450)/100))),0,(IF(B450=C450,W450/C450,(INT(W450/B450)+(((W450-B450*INT(W450/B450)))/C450)/100))))</f>
        <v>0</v>
      </c>
      <c r="BI450" s="57">
        <f>IF(ISERROR(IF(B450=C450,X450/C450,(INT(X450/B450)+(((X450-B450*INT(X450/B450)))/C450)/100))),0,(IF(B450=C450,X450/C450,(INT(X450/B450)+(((X450-B450*INT(X450/B450)))/C450)/100))))</f>
        <v>0</v>
      </c>
      <c r="BJ450" s="57">
        <f>IF(ISERROR(IF(B450=C450,Y450/C450,(INT(Y450/B450)+(((Y450-B450*INT(Y450/B450)))/C450)/100))),0,(IF(B450=C450,Y450/C450,(INT(Y450/B450)+(((Y450-B450*INT(Y450/B450)))/C450)/100))))</f>
        <v>0</v>
      </c>
      <c r="BL450" s="57">
        <f>IF(ISERROR(IF(B450=C450,AA450/C450,(INT(AA450/B450)+(((AA450-B450*INT(AA450/B450)))/C450)/100))),0,(IF(B450=C450,AA450/C450,(INT(AA450/B450)+(((AA450-B450*INT(AA450/B450)))/C450)/100))))</f>
        <v>0</v>
      </c>
      <c r="BM450" s="57">
        <f>IF(ISERROR(IF(B450=C450,AB450/C450,(INT(AB450/B450)+(((AB450-B450*INT(AB450/B450)))/C450)/100))),0,(IF(B450=C450,AB450/C450,(INT(AB450/B450)+(((AB450-B450*INT(AB450/B450)))/C450)/100))))</f>
        <v>0</v>
      </c>
      <c r="BN450" s="57">
        <f>IF(ISERROR(IF(B450=C450,AC450/C450,(INT(AC450/B450)+(((AC450-B450*INT(AC450/B450)))/C450)/100))),0,(IF(B450=C450,AC450/C450,(INT(AC450/B450)+(((AC450-B450*INT(AC450/B450)))/C450)/100))))</f>
        <v>0</v>
      </c>
      <c r="BO450" s="57">
        <f>IF(ISERROR(IF(B450=C450,AD450/C450,(INT(AD450/B450)+(((AD450-B450*INT(AD450/B450)))/C450)/100))),0,(IF(B450=C450,AD450/C450,(INT(AD450/B450)+(((AD450-B450*INT(AD450/B450)))/C450)/100))))</f>
        <v>0</v>
      </c>
      <c r="BQ450" s="155"/>
    </row>
    <row r="451" spans="1:69" hidden="1" x14ac:dyDescent="0.35">
      <c r="A451" s="94"/>
      <c r="B451" s="113"/>
      <c r="C451" s="113"/>
      <c r="D451" s="28"/>
      <c r="E451" s="113"/>
      <c r="F451" s="113"/>
      <c r="G451" s="28"/>
      <c r="H451" s="125"/>
      <c r="I451" s="113"/>
      <c r="J451" s="125"/>
      <c r="K451" s="113"/>
      <c r="L451" s="113"/>
      <c r="M451" s="113"/>
      <c r="N451" s="28"/>
      <c r="O451" s="28"/>
      <c r="P451" s="28"/>
      <c r="Q451" s="61"/>
      <c r="R451" s="113"/>
      <c r="S451" s="28"/>
      <c r="T451" s="28"/>
      <c r="V451" s="113"/>
      <c r="W451" s="113"/>
      <c r="X451" s="113"/>
      <c r="Y451" s="113"/>
      <c r="AA451" s="113"/>
      <c r="AB451" s="113"/>
      <c r="AC451" s="113"/>
      <c r="AD451" s="113"/>
      <c r="AF451" s="113"/>
      <c r="AG451" s="28"/>
      <c r="AH451" s="58"/>
      <c r="AI451" s="28"/>
      <c r="AJ451" s="28"/>
      <c r="AK451" s="58"/>
      <c r="AL451" s="28"/>
      <c r="AN451" s="51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  <c r="BG451" s="28"/>
      <c r="BH451" s="28"/>
      <c r="BI451" s="28"/>
      <c r="BJ451" s="28"/>
      <c r="BL451" s="28"/>
      <c r="BM451" s="28"/>
      <c r="BN451" s="28"/>
      <c r="BO451" s="28"/>
      <c r="BQ451" s="113"/>
    </row>
    <row r="452" spans="1:69" hidden="1" x14ac:dyDescent="0.35">
      <c r="A452" s="135" t="s">
        <v>202</v>
      </c>
      <c r="B452" s="113"/>
      <c r="C452" s="113"/>
      <c r="D452" s="28"/>
      <c r="E452" s="113"/>
      <c r="F452" s="113"/>
      <c r="G452" s="28"/>
      <c r="H452" s="125"/>
      <c r="I452" s="113"/>
      <c r="J452" s="125"/>
      <c r="K452" s="113"/>
      <c r="L452" s="113"/>
      <c r="M452" s="113"/>
      <c r="N452" s="28"/>
      <c r="O452" s="125"/>
      <c r="P452" s="28"/>
      <c r="Q452" s="61"/>
      <c r="R452" s="113"/>
      <c r="S452" s="28"/>
      <c r="T452" s="28"/>
      <c r="V452" s="113"/>
      <c r="W452" s="113"/>
      <c r="X452" s="113"/>
      <c r="Y452" s="113"/>
      <c r="AA452" s="113"/>
      <c r="AB452" s="113"/>
      <c r="AC452" s="113"/>
      <c r="AD452" s="113"/>
      <c r="AF452" s="113"/>
      <c r="AG452" s="28"/>
      <c r="AH452" s="58"/>
      <c r="AI452" s="28"/>
      <c r="AJ452" s="28"/>
      <c r="AK452" s="58"/>
      <c r="AL452" s="28"/>
      <c r="AN452" s="65" t="str">
        <f>A452</f>
        <v>Domestic Spirits - Other UOM</v>
      </c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G452" s="28"/>
      <c r="BH452" s="28"/>
      <c r="BI452" s="28"/>
      <c r="BJ452" s="28"/>
      <c r="BL452" s="28"/>
      <c r="BM452" s="28"/>
      <c r="BN452" s="28"/>
      <c r="BO452" s="28"/>
      <c r="BQ452" s="113"/>
    </row>
    <row r="453" spans="1:69" hidden="1" x14ac:dyDescent="0.35">
      <c r="A453" s="94"/>
      <c r="B453" s="113">
        <v>1000</v>
      </c>
      <c r="C453" s="113">
        <v>30</v>
      </c>
      <c r="D453" s="28">
        <f>SUM(AA453:AD453)</f>
        <v>0</v>
      </c>
      <c r="E453" s="113">
        <v>0</v>
      </c>
      <c r="F453" s="113">
        <v>0</v>
      </c>
      <c r="G453" s="28">
        <f>SUM(D453:F453)</f>
        <v>0</v>
      </c>
      <c r="H453" s="125">
        <v>0</v>
      </c>
      <c r="I453" s="113">
        <v>0</v>
      </c>
      <c r="J453" s="125">
        <v>0</v>
      </c>
      <c r="K453" s="113">
        <v>0</v>
      </c>
      <c r="L453" s="113">
        <v>0</v>
      </c>
      <c r="M453" s="113">
        <v>0</v>
      </c>
      <c r="N453" s="28">
        <f>G453-SUM(H453:M453)</f>
        <v>0</v>
      </c>
      <c r="O453" s="28">
        <f>SUM(V453:Y453)</f>
        <v>0</v>
      </c>
      <c r="P453" s="28">
        <f>O453-N453</f>
        <v>0</v>
      </c>
      <c r="Q453" s="61" t="str">
        <f>IF(ISERROR(P453/SUM(H453:L453)),"",P453/SUM(H453:L453))</f>
        <v/>
      </c>
      <c r="R453" s="113">
        <v>0</v>
      </c>
      <c r="S453" s="28">
        <f>IF(ISERROR(P453/C453*R453),0,(P453/C453*R453))</f>
        <v>0</v>
      </c>
      <c r="T453" s="60">
        <f>IF(ISERROR(P453/B453*AF453),0,(P453/B453*AF453))</f>
        <v>0</v>
      </c>
      <c r="V453" s="113">
        <v>0</v>
      </c>
      <c r="W453" s="113">
        <v>0</v>
      </c>
      <c r="X453" s="113">
        <v>0</v>
      </c>
      <c r="Y453" s="113">
        <v>0</v>
      </c>
      <c r="AA453" s="113">
        <v>0</v>
      </c>
      <c r="AB453" s="113">
        <v>0</v>
      </c>
      <c r="AC453" s="113">
        <v>0</v>
      </c>
      <c r="AD453" s="113">
        <v>0</v>
      </c>
      <c r="AF453" s="113">
        <v>0</v>
      </c>
      <c r="AG453" s="28">
        <f>G453-O453</f>
        <v>0</v>
      </c>
      <c r="AH453" s="58">
        <f>IF(ISERROR(AG453/B453*AF453),0,(AG453/B453*AF453))</f>
        <v>0</v>
      </c>
      <c r="AI453" s="28">
        <f>SUM(H453:M453)</f>
        <v>0</v>
      </c>
      <c r="AJ453" s="28">
        <f>IF(ISERROR(AI453/B453*AF453),0,(AI453/B453*AF453))</f>
        <v>0</v>
      </c>
      <c r="AK453" s="58">
        <f>IF(ISERROR(O453/B453*AF453),0,(O453/B453*AF453))</f>
        <v>0</v>
      </c>
      <c r="AL453" s="28">
        <f>IF(ISERROR(H453/B453*AF453),0,(H453/B453*AF453))</f>
        <v>0</v>
      </c>
      <c r="AN453" s="51">
        <f>A453</f>
        <v>0</v>
      </c>
      <c r="AO453" s="57">
        <f>IF(ISERROR(IF(B453=C453,D453/C453,(INT(D453/B453)+(((D453-B453*INT(D453/B453)))/C453)/100))),0,(IF(B453=C453,D453/C453,(INT(D453/B453)+(((D453-B453*INT(D453/B453)))/C453)/100))))</f>
        <v>0</v>
      </c>
      <c r="AP453" s="57">
        <f>IF(ISERROR(IF(B453=C453,E453/C453,(INT(E453/B453)+(((E453-B453*INT(E453/B453)))/C453)/100))),0,(IF(B453=C453,E453/C453,(INT(E453/B453)+(((E453-B453*INT(E453/B453)))/C453)/100))))</f>
        <v>0</v>
      </c>
      <c r="AQ453" s="57">
        <f>IF(ISERROR(IF(B453=C453,F453/C453,IF((INT(F453/B453)+(((F453-B453*INT(F453/B453)))/C453)/100)&lt;0,(INT(F453/B453)+(((F453-B453*INT(F453/B453)))/C453)/100)+(1-(B453/C453/100)),(INT(F453/B453)+(((F453-B453*INT(F453/B453)))/C453)/100)))),0,IF(B453=C453,F453/C453,IF((INT(F453/B453)+(((F453-B453*INT(F453/B453)))/C453)/100)&lt;0,(INT(F453/B453)+(((F453-B453*INT(F453/B453)))/C453)/100)+(1-(B453/C453/100)),(INT(F453/B453)+(((F453-B453*INT(F453/B453)))/C453)/100))))</f>
        <v>0</v>
      </c>
      <c r="AR453" s="57">
        <f>IF(ISERROR(IF(B453=C453,G453/C453,(INT(G453/B453)+(((G453-B453*INT(G453/B453)))/C453)/100))),0,(IF(B453=C453,G453/C453,(INT(G453/B453)+(((G453-B453*INT(G453/B453)))/C453)/100))))</f>
        <v>0</v>
      </c>
      <c r="AS453" s="57">
        <f>IF(ISERROR(IF(B453=C453,H453/C453,(INT(H453/B453)+(((H453-B453*INT(H453/B453)))/C453)/100))),0,(IF(B453=C453,H453/C453,(INT(H453/B453)+(((H453-B453*INT(H453/B453)))/C453)/100))))</f>
        <v>0</v>
      </c>
      <c r="AT453" s="57">
        <f>IF(ISERROR(IF(B453=C453,I453/C453,(INT(I453/B453)+(((I453-B453*INT(I453/B453)))/C453)/100))),0,(IF(B453=C453,I453/C453,(INT(I453/B453)+(((I453-B453*INT(I453/B453)))/C453)/100))))</f>
        <v>0</v>
      </c>
      <c r="AU453" s="57">
        <f>IF(ISERROR(IF(B453=C453,J453/C453,(INT(J453/B453)+(((J453-B453*INT(J453/B453)))/C453)/100))),0,(IF(B453=C453,J453/C453,(INT(J453/B453)+(((J453-B453*INT(J453/B453)))/C453)/100))))</f>
        <v>0</v>
      </c>
      <c r="AV453" s="57">
        <f>IF(ISERROR(IF(B453=C453,K453/C453,IF((INT(K453/B453)+(((K453-B453*INT(K453/B453)))/C453)/100)&lt;0,(INT(K453/B453)+(((K453-B453*INT(K453/B453)))/C453)/100)+(1-(B453/C453/100)),(INT(K453/B453)+(((K453-B453*INT(K453/B453)))/C453)/100)))),0,IF(B453=C453,K453/C453,IF((INT(K453/B453)+(((K453-B453*INT(K453/B453)))/C453)/100)&lt;0,(INT(K453/B453)+(((K453-B453*INT(K453/B453)))/C453)/100)+(1-(B453/C453/100)),(INT(K453/B453)+(((K453-B453*INT(K453/B453)))/C453)/100))))</f>
        <v>0</v>
      </c>
      <c r="AW453" s="57">
        <f>IF(ISERROR(IF(B453=C453,L453/C453,(INT(L453/B453)+(((L453-B453*INT(L453/B453)))/C453)/100))),0,(IF(B453=C453,L453/C453,(INT(L453/B453)+(((L453-B453*INT(L453/B453)))/C453)/100))))</f>
        <v>0</v>
      </c>
      <c r="AX453" s="57">
        <f>IF(ISERROR(IF(B453=C453,M453/C453,(INT(M453/B453)+(((M453-B453*INT(M453/B453)))/C453)/100))),0,(IF(B453=C453,M453/C453,(INT(M453/B453)+(((M453-B453*INT(M453/B453)))/C453)/100))))</f>
        <v>0</v>
      </c>
      <c r="AY453" s="57">
        <f>IF(ISERROR(IF(B453=C453,N453/C453,IF((INT(N453/B453)+(((N453-B453*INT(N453/B453)))/C453)/100)&lt;0,(INT(N453/B453)+(((N453-B453*INT(N453/B453)))/C453)/100)+(1-(B453/C453/100)),(INT(N453/B453)+(((N453-B453*INT(N453/B453)))/C453)/100)))),0,IF(B453=C453,N453/C453,IF((INT(N453/B453)+(((N453-B453*INT(N453/B453)))/C453)/100)&lt;0,(INT(N453/B453)+(((N453-B453*INT(N453/B453)))/C453)/100)+(1-(B453/C453/100)),(INT(N453/B453)+(((N453-B453*INT(N453/B453)))/C453)/100))))</f>
        <v>0</v>
      </c>
      <c r="AZ453" s="57">
        <f>IF(ISERROR(IF(B453=C453,O453/C453,(INT(O453/B453)+(((O453-B453*INT(O453/B453)))/C453)/100))),0,(IF(B453=C453,O453/C453,(INT(O453/B453)+(((O453-B453*INT(O453/B453)))/C453)/100))))</f>
        <v>0</v>
      </c>
      <c r="BA453" s="57">
        <f>IF(ISERROR(IF(B453=C453,P453/C453,IF((INT(P453/B453)+(((P453-B453*INT(P453/B453)))/C453)/100)&lt;0,(INT(P453/B453)+(((P453-B453*INT(P453/B453)))/C453)/100)+(1-(B453/C453/100)),(INT(P453/B453)+(((P453-B453*INT(P453/B453)))/C453)/100)))),0,IF(B453=C453,P453/C453,IF((INT(P453/B453)+(((P453-B453*INT(P453/B453)))/C453)/100)&lt;0,(INT(P453/B453)+(((P453-B453*INT(P453/B453)))/C453)/100)+(1-(B453/C453/100)),(INT(P453/B453)+(((P453-B453*INT(P453/B453)))/C453)/100))))</f>
        <v>0</v>
      </c>
      <c r="BB453" s="28">
        <f>R453</f>
        <v>0</v>
      </c>
      <c r="BC453" s="28">
        <f>S453</f>
        <v>0</v>
      </c>
      <c r="BD453" s="28">
        <f>AF453</f>
        <v>0</v>
      </c>
      <c r="BE453" s="28">
        <f>T453</f>
        <v>0</v>
      </c>
      <c r="BG453" s="57">
        <f>IF(ISERROR(IF(B453=C453,V453/C453,(INT(V453/B453)+(((V453-B453*INT(V453/B453)))/C453)/100))),0,(IF(B453=C453,V453/C453,(INT(V453/B453)+(((V453-B453*INT(V453/B453)))/C453)/100))))</f>
        <v>0</v>
      </c>
      <c r="BH453" s="57">
        <f>IF(ISERROR(IF(B453=C453,W453/C453,(INT(W453/B453)+(((W453-B453*INT(W453/B453)))/C453)/100))),0,(IF(B453=C453,W453/C453,(INT(W453/B453)+(((W453-B453*INT(W453/B453)))/C453)/100))))</f>
        <v>0</v>
      </c>
      <c r="BI453" s="57">
        <f>IF(ISERROR(IF(B453=C453,X453/C453,(INT(X453/B453)+(((X453-B453*INT(X453/B453)))/C453)/100))),0,(IF(B453=C453,X453/C453,(INT(X453/B453)+(((X453-B453*INT(X453/B453)))/C453)/100))))</f>
        <v>0</v>
      </c>
      <c r="BJ453" s="57">
        <f>IF(ISERROR(IF(B453=C453,Y453/C453,(INT(Y453/B453)+(((Y453-B453*INT(Y453/B453)))/C453)/100))),0,(IF(B453=C453,Y453/C453,(INT(Y453/B453)+(((Y453-B453*INT(Y453/B453)))/C453)/100))))</f>
        <v>0</v>
      </c>
      <c r="BL453" s="57">
        <f>IF(ISERROR(IF(B453=C453,AA453/C453,(INT(AA453/B453)+(((AA453-B453*INT(AA453/B453)))/C453)/100))),0,(IF(B453=C453,AA453/C453,(INT(AA453/B453)+(((AA453-B453*INT(AA453/B453)))/C453)/100))))</f>
        <v>0</v>
      </c>
      <c r="BM453" s="57">
        <f>IF(ISERROR(IF(B453=C453,AB453/C453,(INT(AB453/B453)+(((AB453-B453*INT(AB453/B453)))/C453)/100))),0,(IF(B453=C453,AB453/C453,(INT(AB453/B453)+(((AB453-B453*INT(AB453/B453)))/C453)/100))))</f>
        <v>0</v>
      </c>
      <c r="BN453" s="57">
        <f>IF(ISERROR(IF(B453=C453,AC453/C453,(INT(AC453/B453)+(((AC453-B453*INT(AC453/B453)))/C453)/100))),0,(IF(B453=C453,AC453/C453,(INT(AC453/B453)+(((AC453-B453*INT(AC453/B453)))/C453)/100))))</f>
        <v>0</v>
      </c>
      <c r="BO453" s="57">
        <f>IF(ISERROR(IF(B453=C453,AD453/C453,(INT(AD453/B453)+(((AD453-B453*INT(AD453/B453)))/C453)/100))),0,(IF(B453=C453,AD453/C453,(INT(AD453/B453)+(((AD453-B453*INT(AD453/B453)))/C453)/100))))</f>
        <v>0</v>
      </c>
      <c r="BQ453" s="155"/>
    </row>
    <row r="454" spans="1:69" hidden="1" x14ac:dyDescent="0.35">
      <c r="A454" s="94"/>
      <c r="B454" s="113">
        <v>0</v>
      </c>
      <c r="C454" s="113">
        <v>0</v>
      </c>
      <c r="D454" s="28">
        <f>SUM(AA454:AD454)</f>
        <v>0</v>
      </c>
      <c r="E454" s="113">
        <v>0</v>
      </c>
      <c r="F454" s="113">
        <v>0</v>
      </c>
      <c r="G454" s="28">
        <f>SUM(D454:F454)</f>
        <v>0</v>
      </c>
      <c r="H454" s="125">
        <v>0</v>
      </c>
      <c r="I454" s="113">
        <v>0</v>
      </c>
      <c r="J454" s="125">
        <v>0</v>
      </c>
      <c r="K454" s="113">
        <v>0</v>
      </c>
      <c r="L454" s="113">
        <v>0</v>
      </c>
      <c r="M454" s="113">
        <v>0</v>
      </c>
      <c r="N454" s="28">
        <f>G454-SUM(H454:M454)</f>
        <v>0</v>
      </c>
      <c r="O454" s="28">
        <f>SUM(V454:Y454)</f>
        <v>0</v>
      </c>
      <c r="P454" s="28">
        <f>O454-N454</f>
        <v>0</v>
      </c>
      <c r="Q454" s="61" t="str">
        <f>IF(ISERROR(P454/SUM(H454:L454)),"",P454/SUM(H454:L454))</f>
        <v/>
      </c>
      <c r="R454" s="113">
        <v>0</v>
      </c>
      <c r="S454" s="28">
        <f>IF(ISERROR(P454/C454*R454),0,(P454/C454*R454))</f>
        <v>0</v>
      </c>
      <c r="T454" s="60">
        <f>IF(ISERROR(P454/B454*AF454),0,(P454/B454*AF454))</f>
        <v>0</v>
      </c>
      <c r="V454" s="113">
        <v>0</v>
      </c>
      <c r="W454" s="113">
        <v>0</v>
      </c>
      <c r="X454" s="113">
        <v>0</v>
      </c>
      <c r="Y454" s="113">
        <v>0</v>
      </c>
      <c r="AA454" s="113">
        <v>0</v>
      </c>
      <c r="AB454" s="113">
        <v>0</v>
      </c>
      <c r="AC454" s="113">
        <v>0</v>
      </c>
      <c r="AD454" s="113">
        <v>0</v>
      </c>
      <c r="AF454" s="113">
        <v>0</v>
      </c>
      <c r="AG454" s="28">
        <f>G454-O454</f>
        <v>0</v>
      </c>
      <c r="AH454" s="58">
        <f>IF(ISERROR(AG454/B454*AF454),0,(AG454/B454*AF454))</f>
        <v>0</v>
      </c>
      <c r="AI454" s="28">
        <f>SUM(H454:M454)</f>
        <v>0</v>
      </c>
      <c r="AJ454" s="28">
        <f>IF(ISERROR(AI454/B454*AF454),0,(AI454/B454*AF454))</f>
        <v>0</v>
      </c>
      <c r="AK454" s="58">
        <f>IF(ISERROR(O454/B454*AF454),0,(O454/B454*AF454))</f>
        <v>0</v>
      </c>
      <c r="AL454" s="28">
        <f>IF(ISERROR(H454/B454*AF454),0,(H454/B454*AF454))</f>
        <v>0</v>
      </c>
      <c r="AN454" s="51">
        <f>A454</f>
        <v>0</v>
      </c>
      <c r="AO454" s="57">
        <f>IF(ISERROR(IF(B454=C454,D454/C454,(INT(D454/B454)+(((D454-B454*INT(D454/B454)))/C454)/100))),0,(IF(B454=C454,D454/C454,(INT(D454/B454)+(((D454-B454*INT(D454/B454)))/C454)/100))))</f>
        <v>0</v>
      </c>
      <c r="AP454" s="57">
        <f>IF(ISERROR(IF(B454=C454,E454/C454,(INT(E454/B454)+(((E454-B454*INT(E454/B454)))/C454)/100))),0,(IF(B454=C454,E454/C454,(INT(E454/B454)+(((E454-B454*INT(E454/B454)))/C454)/100))))</f>
        <v>0</v>
      </c>
      <c r="AQ454" s="57">
        <f>IF(ISERROR(IF(B454=C454,F454/C454,IF((INT(F454/B454)+(((F454-B454*INT(F454/B454)))/C454)/100)&lt;0,(INT(F454/B454)+(((F454-B454*INT(F454/B454)))/C454)/100)+(1-(B454/C454/100)),(INT(F454/B454)+(((F454-B454*INT(F454/B454)))/C454)/100)))),0,IF(B454=C454,F454/C454,IF((INT(F454/B454)+(((F454-B454*INT(F454/B454)))/C454)/100)&lt;0,(INT(F454/B454)+(((F454-B454*INT(F454/B454)))/C454)/100)+(1-(B454/C454/100)),(INT(F454/B454)+(((F454-B454*INT(F454/B454)))/C454)/100))))</f>
        <v>0</v>
      </c>
      <c r="AR454" s="57">
        <f>IF(ISERROR(IF(B454=C454,G454/C454,(INT(G454/B454)+(((G454-B454*INT(G454/B454)))/C454)/100))),0,(IF(B454=C454,G454/C454,(INT(G454/B454)+(((G454-B454*INT(G454/B454)))/C454)/100))))</f>
        <v>0</v>
      </c>
      <c r="AS454" s="57">
        <f>IF(ISERROR(IF(B454=C454,H454/C454,(INT(H454/B454)+(((H454-B454*INT(H454/B454)))/C454)/100))),0,(IF(B454=C454,H454/C454,(INT(H454/B454)+(((H454-B454*INT(H454/B454)))/C454)/100))))</f>
        <v>0</v>
      </c>
      <c r="AT454" s="57">
        <f>IF(ISERROR(IF(B454=C454,I454/C454,(INT(I454/B454)+(((I454-B454*INT(I454/B454)))/C454)/100))),0,(IF(B454=C454,I454/C454,(INT(I454/B454)+(((I454-B454*INT(I454/B454)))/C454)/100))))</f>
        <v>0</v>
      </c>
      <c r="AU454" s="57">
        <f>IF(ISERROR(IF(B454=C454,J454/C454,(INT(J454/B454)+(((J454-B454*INT(J454/B454)))/C454)/100))),0,(IF(B454=C454,J454/C454,(INT(J454/B454)+(((J454-B454*INT(J454/B454)))/C454)/100))))</f>
        <v>0</v>
      </c>
      <c r="AV454" s="57">
        <f>IF(ISERROR(IF(B454=C454,K454/C454,IF((INT(K454/B454)+(((K454-B454*INT(K454/B454)))/C454)/100)&lt;0,(INT(K454/B454)+(((K454-B454*INT(K454/B454)))/C454)/100)+(1-(B454/C454/100)),(INT(K454/B454)+(((K454-B454*INT(K454/B454)))/C454)/100)))),0,IF(B454=C454,K454/C454,IF((INT(K454/B454)+(((K454-B454*INT(K454/B454)))/C454)/100)&lt;0,(INT(K454/B454)+(((K454-B454*INT(K454/B454)))/C454)/100)+(1-(B454/C454/100)),(INT(K454/B454)+(((K454-B454*INT(K454/B454)))/C454)/100))))</f>
        <v>0</v>
      </c>
      <c r="AW454" s="57">
        <f>IF(ISERROR(IF(B454=C454,L454/C454,(INT(L454/B454)+(((L454-B454*INT(L454/B454)))/C454)/100))),0,(IF(B454=C454,L454/C454,(INT(L454/B454)+(((L454-B454*INT(L454/B454)))/C454)/100))))</f>
        <v>0</v>
      </c>
      <c r="AX454" s="57">
        <f>IF(ISERROR(IF(B454=C454,M454/C454,(INT(M454/B454)+(((M454-B454*INT(M454/B454)))/C454)/100))),0,(IF(B454=C454,M454/C454,(INT(M454/B454)+(((M454-B454*INT(M454/B454)))/C454)/100))))</f>
        <v>0</v>
      </c>
      <c r="AY454" s="57">
        <f>IF(ISERROR(IF(B454=C454,N454/C454,IF((INT(N454/B454)+(((N454-B454*INT(N454/B454)))/C454)/100)&lt;0,(INT(N454/B454)+(((N454-B454*INT(N454/B454)))/C454)/100)+(1-(B454/C454/100)),(INT(N454/B454)+(((N454-B454*INT(N454/B454)))/C454)/100)))),0,IF(B454=C454,N454/C454,IF((INT(N454/B454)+(((N454-B454*INT(N454/B454)))/C454)/100)&lt;0,(INT(N454/B454)+(((N454-B454*INT(N454/B454)))/C454)/100)+(1-(B454/C454/100)),(INT(N454/B454)+(((N454-B454*INT(N454/B454)))/C454)/100))))</f>
        <v>0</v>
      </c>
      <c r="AZ454" s="57">
        <f>IF(ISERROR(IF(B454=C454,O454/C454,(INT(O454/B454)+(((O454-B454*INT(O454/B454)))/C454)/100))),0,(IF(B454=C454,O454/C454,(INT(O454/B454)+(((O454-B454*INT(O454/B454)))/C454)/100))))</f>
        <v>0</v>
      </c>
      <c r="BA454" s="57">
        <f>IF(ISERROR(IF(B454=C454,P454/C454,IF((INT(P454/B454)+(((P454-B454*INT(P454/B454)))/C454)/100)&lt;0,(INT(P454/B454)+(((P454-B454*INT(P454/B454)))/C454)/100)+(1-(B454/C454/100)),(INT(P454/B454)+(((P454-B454*INT(P454/B454)))/C454)/100)))),0,IF(B454=C454,P454/C454,IF((INT(P454/B454)+(((P454-B454*INT(P454/B454)))/C454)/100)&lt;0,(INT(P454/B454)+(((P454-B454*INT(P454/B454)))/C454)/100)+(1-(B454/C454/100)),(INT(P454/B454)+(((P454-B454*INT(P454/B454)))/C454)/100))))</f>
        <v>0</v>
      </c>
      <c r="BB454" s="28">
        <f>R454</f>
        <v>0</v>
      </c>
      <c r="BC454" s="28">
        <f>S454</f>
        <v>0</v>
      </c>
      <c r="BD454" s="28">
        <f>AF454</f>
        <v>0</v>
      </c>
      <c r="BE454" s="28">
        <f>T454</f>
        <v>0</v>
      </c>
      <c r="BG454" s="57">
        <f>IF(ISERROR(IF(B454=C454,V454/C454,(INT(V454/B454)+(((V454-B454*INT(V454/B454)))/C454)/100))),0,(IF(B454=C454,V454/C454,(INT(V454/B454)+(((V454-B454*INT(V454/B454)))/C454)/100))))</f>
        <v>0</v>
      </c>
      <c r="BH454" s="57">
        <f>IF(ISERROR(IF(B454=C454,W454/C454,(INT(W454/B454)+(((W454-B454*INT(W454/B454)))/C454)/100))),0,(IF(B454=C454,W454/C454,(INT(W454/B454)+(((W454-B454*INT(W454/B454)))/C454)/100))))</f>
        <v>0</v>
      </c>
      <c r="BI454" s="57">
        <f>IF(ISERROR(IF(B454=C454,X454/C454,(INT(X454/B454)+(((X454-B454*INT(X454/B454)))/C454)/100))),0,(IF(B454=C454,X454/C454,(INT(X454/B454)+(((X454-B454*INT(X454/B454)))/C454)/100))))</f>
        <v>0</v>
      </c>
      <c r="BJ454" s="57">
        <f>IF(ISERROR(IF(B454=C454,Y454/C454,(INT(Y454/B454)+(((Y454-B454*INT(Y454/B454)))/C454)/100))),0,(IF(B454=C454,Y454/C454,(INT(Y454/B454)+(((Y454-B454*INT(Y454/B454)))/C454)/100))))</f>
        <v>0</v>
      </c>
      <c r="BL454" s="57">
        <f>IF(ISERROR(IF(B454=C454,AA454/C454,(INT(AA454/B454)+(((AA454-B454*INT(AA454/B454)))/C454)/100))),0,(IF(B454=C454,AA454/C454,(INT(AA454/B454)+(((AA454-B454*INT(AA454/B454)))/C454)/100))))</f>
        <v>0</v>
      </c>
      <c r="BM454" s="57">
        <f>IF(ISERROR(IF(B454=C454,AB454/C454,(INT(AB454/B454)+(((AB454-B454*INT(AB454/B454)))/C454)/100))),0,(IF(B454=C454,AB454/C454,(INT(AB454/B454)+(((AB454-B454*INT(AB454/B454)))/C454)/100))))</f>
        <v>0</v>
      </c>
      <c r="BN454" s="57">
        <f>IF(ISERROR(IF(B454=C454,AC454/C454,(INT(AC454/B454)+(((AC454-B454*INT(AC454/B454)))/C454)/100))),0,(IF(B454=C454,AC454/C454,(INT(AC454/B454)+(((AC454-B454*INT(AC454/B454)))/C454)/100))))</f>
        <v>0</v>
      </c>
      <c r="BO454" s="57">
        <f>IF(ISERROR(IF(B454=C454,AD454/C454,(INT(AD454/B454)+(((AD454-B454*INT(AD454/B454)))/C454)/100))),0,(IF(B454=C454,AD454/C454,(INT(AD454/B454)+(((AD454-B454*INT(AD454/B454)))/C454)/100))))</f>
        <v>0</v>
      </c>
      <c r="BQ454" s="155"/>
    </row>
    <row r="455" spans="1:69" hidden="1" x14ac:dyDescent="0.35">
      <c r="A455" s="94"/>
      <c r="B455" s="113">
        <v>0</v>
      </c>
      <c r="C455" s="113">
        <v>0</v>
      </c>
      <c r="D455" s="28">
        <f>SUM(AA455:AD455)</f>
        <v>0</v>
      </c>
      <c r="E455" s="113">
        <v>0</v>
      </c>
      <c r="F455" s="113">
        <v>0</v>
      </c>
      <c r="G455" s="28">
        <f>SUM(D455:F455)</f>
        <v>0</v>
      </c>
      <c r="H455" s="125">
        <v>0</v>
      </c>
      <c r="I455" s="113">
        <v>0</v>
      </c>
      <c r="J455" s="125">
        <v>0</v>
      </c>
      <c r="K455" s="113">
        <v>0</v>
      </c>
      <c r="L455" s="113">
        <v>0</v>
      </c>
      <c r="M455" s="113">
        <v>0</v>
      </c>
      <c r="N455" s="28">
        <f>G455-SUM(H455:M455)</f>
        <v>0</v>
      </c>
      <c r="O455" s="28">
        <f>SUM(V455:Y455)</f>
        <v>0</v>
      </c>
      <c r="P455" s="28">
        <f>O455-N455</f>
        <v>0</v>
      </c>
      <c r="Q455" s="61" t="str">
        <f>IF(ISERROR(P455/SUM(H455:L455)),"",P455/SUM(H455:L455))</f>
        <v/>
      </c>
      <c r="R455" s="113">
        <v>0</v>
      </c>
      <c r="S455" s="28">
        <f>IF(ISERROR(P455/C455*R455),0,(P455/C455*R455))</f>
        <v>0</v>
      </c>
      <c r="T455" s="60">
        <f>IF(ISERROR(P455/B455*AF455),0,(P455/B455*AF455))</f>
        <v>0</v>
      </c>
      <c r="V455" s="113">
        <v>0</v>
      </c>
      <c r="W455" s="113">
        <v>0</v>
      </c>
      <c r="X455" s="113">
        <v>0</v>
      </c>
      <c r="Y455" s="113">
        <v>0</v>
      </c>
      <c r="AA455" s="113">
        <v>0</v>
      </c>
      <c r="AB455" s="113">
        <v>0</v>
      </c>
      <c r="AC455" s="113">
        <v>0</v>
      </c>
      <c r="AD455" s="113">
        <v>0</v>
      </c>
      <c r="AF455" s="113">
        <v>0</v>
      </c>
      <c r="AG455" s="28">
        <f>G455-O455</f>
        <v>0</v>
      </c>
      <c r="AH455" s="58">
        <f>IF(ISERROR(AG455/B455*AF455),0,(AG455/B455*AF455))</f>
        <v>0</v>
      </c>
      <c r="AI455" s="28">
        <f>SUM(H455:M455)</f>
        <v>0</v>
      </c>
      <c r="AJ455" s="28">
        <f>IF(ISERROR(AI455/B455*AF455),0,(AI455/B455*AF455))</f>
        <v>0</v>
      </c>
      <c r="AK455" s="58">
        <f>IF(ISERROR(O455/B455*AF455),0,(O455/B455*AF455))</f>
        <v>0</v>
      </c>
      <c r="AL455" s="28">
        <f>IF(ISERROR(H455/B455*AF455),0,(H455/B455*AF455))</f>
        <v>0</v>
      </c>
      <c r="AN455" s="51">
        <f>A455</f>
        <v>0</v>
      </c>
      <c r="AO455" s="57">
        <f>IF(ISERROR(IF(B455=C455,D455/C455,(INT(D455/B455)+(((D455-B455*INT(D455/B455)))/C455)/100))),0,(IF(B455=C455,D455/C455,(INT(D455/B455)+(((D455-B455*INT(D455/B455)))/C455)/100))))</f>
        <v>0</v>
      </c>
      <c r="AP455" s="57">
        <f>IF(ISERROR(IF(B455=C455,E455/C455,(INT(E455/B455)+(((E455-B455*INT(E455/B455)))/C455)/100))),0,(IF(B455=C455,E455/C455,(INT(E455/B455)+(((E455-B455*INT(E455/B455)))/C455)/100))))</f>
        <v>0</v>
      </c>
      <c r="AQ455" s="57">
        <f>IF(ISERROR(IF(B455=C455,F455/C455,IF((INT(F455/B455)+(((F455-B455*INT(F455/B455)))/C455)/100)&lt;0,(INT(F455/B455)+(((F455-B455*INT(F455/B455)))/C455)/100)+(1-(B455/C455/100)),(INT(F455/B455)+(((F455-B455*INT(F455/B455)))/C455)/100)))),0,IF(B455=C455,F455/C455,IF((INT(F455/B455)+(((F455-B455*INT(F455/B455)))/C455)/100)&lt;0,(INT(F455/B455)+(((F455-B455*INT(F455/B455)))/C455)/100)+(1-(B455/C455/100)),(INT(F455/B455)+(((F455-B455*INT(F455/B455)))/C455)/100))))</f>
        <v>0</v>
      </c>
      <c r="AR455" s="57">
        <f>IF(ISERROR(IF(B455=C455,G455/C455,(INT(G455/B455)+(((G455-B455*INT(G455/B455)))/C455)/100))),0,(IF(B455=C455,G455/C455,(INT(G455/B455)+(((G455-B455*INT(G455/B455)))/C455)/100))))</f>
        <v>0</v>
      </c>
      <c r="AS455" s="57">
        <f>IF(ISERROR(IF(B455=C455,H455/C455,(INT(H455/B455)+(((H455-B455*INT(H455/B455)))/C455)/100))),0,(IF(B455=C455,H455/C455,(INT(H455/B455)+(((H455-B455*INT(H455/B455)))/C455)/100))))</f>
        <v>0</v>
      </c>
      <c r="AT455" s="57">
        <f>IF(ISERROR(IF(B455=C455,I455/C455,(INT(I455/B455)+(((I455-B455*INT(I455/B455)))/C455)/100))),0,(IF(B455=C455,I455/C455,(INT(I455/B455)+(((I455-B455*INT(I455/B455)))/C455)/100))))</f>
        <v>0</v>
      </c>
      <c r="AU455" s="57">
        <f>IF(ISERROR(IF(B455=C455,J455/C455,(INT(J455/B455)+(((J455-B455*INT(J455/B455)))/C455)/100))),0,(IF(B455=C455,J455/C455,(INT(J455/B455)+(((J455-B455*INT(J455/B455)))/C455)/100))))</f>
        <v>0</v>
      </c>
      <c r="AV455" s="57">
        <f>IF(ISERROR(IF(B455=C455,K455/C455,IF((INT(K455/B455)+(((K455-B455*INT(K455/B455)))/C455)/100)&lt;0,(INT(K455/B455)+(((K455-B455*INT(K455/B455)))/C455)/100)+(1-(B455/C455/100)),(INT(K455/B455)+(((K455-B455*INT(K455/B455)))/C455)/100)))),0,IF(B455=C455,K455/C455,IF((INT(K455/B455)+(((K455-B455*INT(K455/B455)))/C455)/100)&lt;0,(INT(K455/B455)+(((K455-B455*INT(K455/B455)))/C455)/100)+(1-(B455/C455/100)),(INT(K455/B455)+(((K455-B455*INT(K455/B455)))/C455)/100))))</f>
        <v>0</v>
      </c>
      <c r="AW455" s="57">
        <f>IF(ISERROR(IF(B455=C455,L455/C455,(INT(L455/B455)+(((L455-B455*INT(L455/B455)))/C455)/100))),0,(IF(B455=C455,L455/C455,(INT(L455/B455)+(((L455-B455*INT(L455/B455)))/C455)/100))))</f>
        <v>0</v>
      </c>
      <c r="AX455" s="57">
        <f>IF(ISERROR(IF(B455=C455,M455/C455,(INT(M455/B455)+(((M455-B455*INT(M455/B455)))/C455)/100))),0,(IF(B455=C455,M455/C455,(INT(M455/B455)+(((M455-B455*INT(M455/B455)))/C455)/100))))</f>
        <v>0</v>
      </c>
      <c r="AY455" s="57">
        <f>IF(ISERROR(IF(B455=C455,N455/C455,IF((INT(N455/B455)+(((N455-B455*INT(N455/B455)))/C455)/100)&lt;0,(INT(N455/B455)+(((N455-B455*INT(N455/B455)))/C455)/100)+(1-(B455/C455/100)),(INT(N455/B455)+(((N455-B455*INT(N455/B455)))/C455)/100)))),0,IF(B455=C455,N455/C455,IF((INT(N455/B455)+(((N455-B455*INT(N455/B455)))/C455)/100)&lt;0,(INT(N455/B455)+(((N455-B455*INT(N455/B455)))/C455)/100)+(1-(B455/C455/100)),(INT(N455/B455)+(((N455-B455*INT(N455/B455)))/C455)/100))))</f>
        <v>0</v>
      </c>
      <c r="AZ455" s="57">
        <f>IF(ISERROR(IF(B455=C455,O455/C455,(INT(O455/B455)+(((O455-B455*INT(O455/B455)))/C455)/100))),0,(IF(B455=C455,O455/C455,(INT(O455/B455)+(((O455-B455*INT(O455/B455)))/C455)/100))))</f>
        <v>0</v>
      </c>
      <c r="BA455" s="57">
        <f>IF(ISERROR(IF(B455=C455,P455/C455,IF((INT(P455/B455)+(((P455-B455*INT(P455/B455)))/C455)/100)&lt;0,(INT(P455/B455)+(((P455-B455*INT(P455/B455)))/C455)/100)+(1-(B455/C455/100)),(INT(P455/B455)+(((P455-B455*INT(P455/B455)))/C455)/100)))),0,IF(B455=C455,P455/C455,IF((INT(P455/B455)+(((P455-B455*INT(P455/B455)))/C455)/100)&lt;0,(INT(P455/B455)+(((P455-B455*INT(P455/B455)))/C455)/100)+(1-(B455/C455/100)),(INT(P455/B455)+(((P455-B455*INT(P455/B455)))/C455)/100))))</f>
        <v>0</v>
      </c>
      <c r="BB455" s="28">
        <f>R455</f>
        <v>0</v>
      </c>
      <c r="BC455" s="28">
        <f>S455</f>
        <v>0</v>
      </c>
      <c r="BD455" s="28">
        <f>AF455</f>
        <v>0</v>
      </c>
      <c r="BE455" s="28">
        <f>T455</f>
        <v>0</v>
      </c>
      <c r="BG455" s="57">
        <f>IF(ISERROR(IF(B455=C455,V455/C455,(INT(V455/B455)+(((V455-B455*INT(V455/B455)))/C455)/100))),0,(IF(B455=C455,V455/C455,(INT(V455/B455)+(((V455-B455*INT(V455/B455)))/C455)/100))))</f>
        <v>0</v>
      </c>
      <c r="BH455" s="57">
        <f>IF(ISERROR(IF(B455=C455,W455/C455,(INT(W455/B455)+(((W455-B455*INT(W455/B455)))/C455)/100))),0,(IF(B455=C455,W455/C455,(INT(W455/B455)+(((W455-B455*INT(W455/B455)))/C455)/100))))</f>
        <v>0</v>
      </c>
      <c r="BI455" s="57">
        <f>IF(ISERROR(IF(B455=C455,X455/C455,(INT(X455/B455)+(((X455-B455*INT(X455/B455)))/C455)/100))),0,(IF(B455=C455,X455/C455,(INT(X455/B455)+(((X455-B455*INT(X455/B455)))/C455)/100))))</f>
        <v>0</v>
      </c>
      <c r="BJ455" s="57">
        <f>IF(ISERROR(IF(B455=C455,Y455/C455,(INT(Y455/B455)+(((Y455-B455*INT(Y455/B455)))/C455)/100))),0,(IF(B455=C455,Y455/C455,(INT(Y455/B455)+(((Y455-B455*INT(Y455/B455)))/C455)/100))))</f>
        <v>0</v>
      </c>
      <c r="BL455" s="57">
        <f>IF(ISERROR(IF(B455=C455,AA455/C455,(INT(AA455/B455)+(((AA455-B455*INT(AA455/B455)))/C455)/100))),0,(IF(B455=C455,AA455/C455,(INT(AA455/B455)+(((AA455-B455*INT(AA455/B455)))/C455)/100))))</f>
        <v>0</v>
      </c>
      <c r="BM455" s="57">
        <f>IF(ISERROR(IF(B455=C455,AB455/C455,(INT(AB455/B455)+(((AB455-B455*INT(AB455/B455)))/C455)/100))),0,(IF(B455=C455,AB455/C455,(INT(AB455/B455)+(((AB455-B455*INT(AB455/B455)))/C455)/100))))</f>
        <v>0</v>
      </c>
      <c r="BN455" s="57">
        <f>IF(ISERROR(IF(B455=C455,AC455/C455,(INT(AC455/B455)+(((AC455-B455*INT(AC455/B455)))/C455)/100))),0,(IF(B455=C455,AC455/C455,(INT(AC455/B455)+(((AC455-B455*INT(AC455/B455)))/C455)/100))))</f>
        <v>0</v>
      </c>
      <c r="BO455" s="57">
        <f>IF(ISERROR(IF(B455=C455,AD455/C455,(INT(AD455/B455)+(((AD455-B455*INT(AD455/B455)))/C455)/100))),0,(IF(B455=C455,AD455/C455,(INT(AD455/B455)+(((AD455-B455*INT(AD455/B455)))/C455)/100))))</f>
        <v>0</v>
      </c>
      <c r="BQ455" s="155"/>
    </row>
    <row r="456" spans="1:69" hidden="1" x14ac:dyDescent="0.35">
      <c r="A456" s="94"/>
      <c r="B456" s="113">
        <v>0</v>
      </c>
      <c r="C456" s="113">
        <v>0</v>
      </c>
      <c r="D456" s="28">
        <f>SUM(AA456:AD456)</f>
        <v>0</v>
      </c>
      <c r="E456" s="113">
        <v>0</v>
      </c>
      <c r="F456" s="113">
        <v>0</v>
      </c>
      <c r="G456" s="28">
        <f>SUM(D456:F456)</f>
        <v>0</v>
      </c>
      <c r="H456" s="125">
        <v>0</v>
      </c>
      <c r="I456" s="113">
        <v>0</v>
      </c>
      <c r="J456" s="125">
        <v>0</v>
      </c>
      <c r="K456" s="113">
        <v>0</v>
      </c>
      <c r="L456" s="113">
        <v>0</v>
      </c>
      <c r="M456" s="113">
        <v>0</v>
      </c>
      <c r="N456" s="28">
        <f>G456-SUM(H456:M456)</f>
        <v>0</v>
      </c>
      <c r="O456" s="28">
        <f>SUM(V456:Y456)</f>
        <v>0</v>
      </c>
      <c r="P456" s="28">
        <f>O456-N456</f>
        <v>0</v>
      </c>
      <c r="Q456" s="61" t="str">
        <f>IF(ISERROR(P456/SUM(H456:L456)),"",P456/SUM(H456:L456))</f>
        <v/>
      </c>
      <c r="R456" s="113">
        <v>0</v>
      </c>
      <c r="S456" s="28">
        <f>IF(ISERROR(P456/C456*R456),0,(P456/C456*R456))</f>
        <v>0</v>
      </c>
      <c r="T456" s="60">
        <f>IF(ISERROR(P456/B456*AF456),0,(P456/B456*AF456))</f>
        <v>0</v>
      </c>
      <c r="V456" s="113">
        <v>0</v>
      </c>
      <c r="W456" s="113">
        <v>0</v>
      </c>
      <c r="X456" s="113">
        <v>0</v>
      </c>
      <c r="Y456" s="113">
        <v>0</v>
      </c>
      <c r="AA456" s="113">
        <v>0</v>
      </c>
      <c r="AB456" s="113">
        <v>0</v>
      </c>
      <c r="AC456" s="113">
        <v>0</v>
      </c>
      <c r="AD456" s="113">
        <v>0</v>
      </c>
      <c r="AF456" s="113">
        <v>0</v>
      </c>
      <c r="AG456" s="28">
        <f>G456-O456</f>
        <v>0</v>
      </c>
      <c r="AH456" s="58">
        <f>IF(ISERROR(AG456/B456*AF456),0,(AG456/B456*AF456))</f>
        <v>0</v>
      </c>
      <c r="AI456" s="28">
        <f>SUM(H456:M456)</f>
        <v>0</v>
      </c>
      <c r="AJ456" s="28">
        <f>IF(ISERROR(AI456/B456*AF456),0,(AI456/B456*AF456))</f>
        <v>0</v>
      </c>
      <c r="AK456" s="58">
        <f>IF(ISERROR(O456/B456*AF456),0,(O456/B456*AF456))</f>
        <v>0</v>
      </c>
      <c r="AL456" s="28">
        <f>IF(ISERROR(H456/B456*AF456),0,(H456/B456*AF456))</f>
        <v>0</v>
      </c>
      <c r="AN456" s="51">
        <f>A456</f>
        <v>0</v>
      </c>
      <c r="AO456" s="57">
        <f>IF(ISERROR(IF(B456=C456,D456/C456,(INT(D456/B456)+(((D456-B456*INT(D456/B456)))/C456)/100))),0,(IF(B456=C456,D456/C456,(INT(D456/B456)+(((D456-B456*INT(D456/B456)))/C456)/100))))</f>
        <v>0</v>
      </c>
      <c r="AP456" s="57">
        <f>IF(ISERROR(IF(B456=C456,E456/C456,(INT(E456/B456)+(((E456-B456*INT(E456/B456)))/C456)/100))),0,(IF(B456=C456,E456/C456,(INT(E456/B456)+(((E456-B456*INT(E456/B456)))/C456)/100))))</f>
        <v>0</v>
      </c>
      <c r="AQ456" s="57">
        <f>IF(ISERROR(IF(B456=C456,F456/C456,IF((INT(F456/B456)+(((F456-B456*INT(F456/B456)))/C456)/100)&lt;0,(INT(F456/B456)+(((F456-B456*INT(F456/B456)))/C456)/100)+(1-(B456/C456/100)),(INT(F456/B456)+(((F456-B456*INT(F456/B456)))/C456)/100)))),0,IF(B456=C456,F456/C456,IF((INT(F456/B456)+(((F456-B456*INT(F456/B456)))/C456)/100)&lt;0,(INT(F456/B456)+(((F456-B456*INT(F456/B456)))/C456)/100)+(1-(B456/C456/100)),(INT(F456/B456)+(((F456-B456*INT(F456/B456)))/C456)/100))))</f>
        <v>0</v>
      </c>
      <c r="AR456" s="57">
        <f>IF(ISERROR(IF(B456=C456,G456/C456,(INT(G456/B456)+(((G456-B456*INT(G456/B456)))/C456)/100))),0,(IF(B456=C456,G456/C456,(INT(G456/B456)+(((G456-B456*INT(G456/B456)))/C456)/100))))</f>
        <v>0</v>
      </c>
      <c r="AS456" s="57">
        <f>IF(ISERROR(IF(B456=C456,H456/C456,(INT(H456/B456)+(((H456-B456*INT(H456/B456)))/C456)/100))),0,(IF(B456=C456,H456/C456,(INT(H456/B456)+(((H456-B456*INT(H456/B456)))/C456)/100))))</f>
        <v>0</v>
      </c>
      <c r="AT456" s="57">
        <f>IF(ISERROR(IF(B456=C456,I456/C456,(INT(I456/B456)+(((I456-B456*INT(I456/B456)))/C456)/100))),0,(IF(B456=C456,I456/C456,(INT(I456/B456)+(((I456-B456*INT(I456/B456)))/C456)/100))))</f>
        <v>0</v>
      </c>
      <c r="AU456" s="57">
        <f>IF(ISERROR(IF(B456=C456,J456/C456,(INT(J456/B456)+(((J456-B456*INT(J456/B456)))/C456)/100))),0,(IF(B456=C456,J456/C456,(INT(J456/B456)+(((J456-B456*INT(J456/B456)))/C456)/100))))</f>
        <v>0</v>
      </c>
      <c r="AV456" s="57">
        <f>IF(ISERROR(IF(B456=C456,K456/C456,IF((INT(K456/B456)+(((K456-B456*INT(K456/B456)))/C456)/100)&lt;0,(INT(K456/B456)+(((K456-B456*INT(K456/B456)))/C456)/100)+(1-(B456/C456/100)),(INT(K456/B456)+(((K456-B456*INT(K456/B456)))/C456)/100)))),0,IF(B456=C456,K456/C456,IF((INT(K456/B456)+(((K456-B456*INT(K456/B456)))/C456)/100)&lt;0,(INT(K456/B456)+(((K456-B456*INT(K456/B456)))/C456)/100)+(1-(B456/C456/100)),(INT(K456/B456)+(((K456-B456*INT(K456/B456)))/C456)/100))))</f>
        <v>0</v>
      </c>
      <c r="AW456" s="57">
        <f>IF(ISERROR(IF(B456=C456,L456/C456,(INT(L456/B456)+(((L456-B456*INT(L456/B456)))/C456)/100))),0,(IF(B456=C456,L456/C456,(INT(L456/B456)+(((L456-B456*INT(L456/B456)))/C456)/100))))</f>
        <v>0</v>
      </c>
      <c r="AX456" s="57">
        <f>IF(ISERROR(IF(B456=C456,M456/C456,(INT(M456/B456)+(((M456-B456*INT(M456/B456)))/C456)/100))),0,(IF(B456=C456,M456/C456,(INT(M456/B456)+(((M456-B456*INT(M456/B456)))/C456)/100))))</f>
        <v>0</v>
      </c>
      <c r="AY456" s="57">
        <f>IF(ISERROR(IF(B456=C456,N456/C456,IF((INT(N456/B456)+(((N456-B456*INT(N456/B456)))/C456)/100)&lt;0,(INT(N456/B456)+(((N456-B456*INT(N456/B456)))/C456)/100)+(1-(B456/C456/100)),(INT(N456/B456)+(((N456-B456*INT(N456/B456)))/C456)/100)))),0,IF(B456=C456,N456/C456,IF((INT(N456/B456)+(((N456-B456*INT(N456/B456)))/C456)/100)&lt;0,(INT(N456/B456)+(((N456-B456*INT(N456/B456)))/C456)/100)+(1-(B456/C456/100)),(INT(N456/B456)+(((N456-B456*INT(N456/B456)))/C456)/100))))</f>
        <v>0</v>
      </c>
      <c r="AZ456" s="57">
        <f>IF(ISERROR(IF(B456=C456,O456/C456,(INT(O456/B456)+(((O456-B456*INT(O456/B456)))/C456)/100))),0,(IF(B456=C456,O456/C456,(INT(O456/B456)+(((O456-B456*INT(O456/B456)))/C456)/100))))</f>
        <v>0</v>
      </c>
      <c r="BA456" s="57">
        <f>IF(ISERROR(IF(B456=C456,P456/C456,IF((INT(P456/B456)+(((P456-B456*INT(P456/B456)))/C456)/100)&lt;0,(INT(P456/B456)+(((P456-B456*INT(P456/B456)))/C456)/100)+(1-(B456/C456/100)),(INT(P456/B456)+(((P456-B456*INT(P456/B456)))/C456)/100)))),0,IF(B456=C456,P456/C456,IF((INT(P456/B456)+(((P456-B456*INT(P456/B456)))/C456)/100)&lt;0,(INT(P456/B456)+(((P456-B456*INT(P456/B456)))/C456)/100)+(1-(B456/C456/100)),(INT(P456/B456)+(((P456-B456*INT(P456/B456)))/C456)/100))))</f>
        <v>0</v>
      </c>
      <c r="BB456" s="28">
        <f>R456</f>
        <v>0</v>
      </c>
      <c r="BC456" s="28">
        <f>S456</f>
        <v>0</v>
      </c>
      <c r="BD456" s="28">
        <f>AF456</f>
        <v>0</v>
      </c>
      <c r="BE456" s="28">
        <f>T456</f>
        <v>0</v>
      </c>
      <c r="BG456" s="57">
        <f>IF(ISERROR(IF(B456=C456,V456/C456,(INT(V456/B456)+(((V456-B456*INT(V456/B456)))/C456)/100))),0,(IF(B456=C456,V456/C456,(INT(V456/B456)+(((V456-B456*INT(V456/B456)))/C456)/100))))</f>
        <v>0</v>
      </c>
      <c r="BH456" s="57">
        <f>IF(ISERROR(IF(B456=C456,W456/C456,(INT(W456/B456)+(((W456-B456*INT(W456/B456)))/C456)/100))),0,(IF(B456=C456,W456/C456,(INT(W456/B456)+(((W456-B456*INT(W456/B456)))/C456)/100))))</f>
        <v>0</v>
      </c>
      <c r="BI456" s="57">
        <f>IF(ISERROR(IF(B456=C456,X456/C456,(INT(X456/B456)+(((X456-B456*INT(X456/B456)))/C456)/100))),0,(IF(B456=C456,X456/C456,(INT(X456/B456)+(((X456-B456*INT(X456/B456)))/C456)/100))))</f>
        <v>0</v>
      </c>
      <c r="BJ456" s="57">
        <f>IF(ISERROR(IF(B456=C456,Y456/C456,(INT(Y456/B456)+(((Y456-B456*INT(Y456/B456)))/C456)/100))),0,(IF(B456=C456,Y456/C456,(INT(Y456/B456)+(((Y456-B456*INT(Y456/B456)))/C456)/100))))</f>
        <v>0</v>
      </c>
      <c r="BL456" s="57">
        <f>IF(ISERROR(IF(B456=C456,AA456/C456,(INT(AA456/B456)+(((AA456-B456*INT(AA456/B456)))/C456)/100))),0,(IF(B456=C456,AA456/C456,(INT(AA456/B456)+(((AA456-B456*INT(AA456/B456)))/C456)/100))))</f>
        <v>0</v>
      </c>
      <c r="BM456" s="57">
        <f>IF(ISERROR(IF(B456=C456,AB456/C456,(INT(AB456/B456)+(((AB456-B456*INT(AB456/B456)))/C456)/100))),0,(IF(B456=C456,AB456/C456,(INT(AB456/B456)+(((AB456-B456*INT(AB456/B456)))/C456)/100))))</f>
        <v>0</v>
      </c>
      <c r="BN456" s="57">
        <f>IF(ISERROR(IF(B456=C456,AC456/C456,(INT(AC456/B456)+(((AC456-B456*INT(AC456/B456)))/C456)/100))),0,(IF(B456=C456,AC456/C456,(INT(AC456/B456)+(((AC456-B456*INT(AC456/B456)))/C456)/100))))</f>
        <v>0</v>
      </c>
      <c r="BO456" s="57">
        <f>IF(ISERROR(IF(B456=C456,AD456/C456,(INT(AD456/B456)+(((AD456-B456*INT(AD456/B456)))/C456)/100))),0,(IF(B456=C456,AD456/C456,(INT(AD456/B456)+(((AD456-B456*INT(AD456/B456)))/C456)/100))))</f>
        <v>0</v>
      </c>
      <c r="BQ456" s="155"/>
    </row>
    <row r="457" spans="1:69" hidden="1" x14ac:dyDescent="0.35">
      <c r="A457" s="94"/>
      <c r="B457" s="113">
        <v>0</v>
      </c>
      <c r="C457" s="113">
        <v>0</v>
      </c>
      <c r="D457" s="28">
        <f>SUM(AA457:AD457)</f>
        <v>0</v>
      </c>
      <c r="E457" s="113">
        <v>0</v>
      </c>
      <c r="F457" s="113">
        <v>0</v>
      </c>
      <c r="G457" s="28">
        <f>SUM(D457:F457)</f>
        <v>0</v>
      </c>
      <c r="H457" s="125">
        <v>0</v>
      </c>
      <c r="I457" s="113">
        <v>0</v>
      </c>
      <c r="J457" s="125">
        <v>0</v>
      </c>
      <c r="K457" s="113">
        <v>0</v>
      </c>
      <c r="L457" s="113">
        <v>0</v>
      </c>
      <c r="M457" s="113">
        <v>0</v>
      </c>
      <c r="N457" s="28">
        <f>G457-SUM(H457:M457)</f>
        <v>0</v>
      </c>
      <c r="O457" s="28">
        <f>SUM(V457:Y457)</f>
        <v>0</v>
      </c>
      <c r="P457" s="28">
        <f>O457-N457</f>
        <v>0</v>
      </c>
      <c r="Q457" s="61" t="str">
        <f>IF(ISERROR(P457/SUM(H457:L457)),"",P457/SUM(H457:L457))</f>
        <v/>
      </c>
      <c r="R457" s="113">
        <v>0</v>
      </c>
      <c r="S457" s="28">
        <f>IF(ISERROR(P457/C457*R457),0,(P457/C457*R457))</f>
        <v>0</v>
      </c>
      <c r="T457" s="60">
        <f>IF(ISERROR(P457/B457*AF457),0,(P457/B457*AF457))</f>
        <v>0</v>
      </c>
      <c r="V457" s="113">
        <v>0</v>
      </c>
      <c r="W457" s="113">
        <v>0</v>
      </c>
      <c r="X457" s="113">
        <v>0</v>
      </c>
      <c r="Y457" s="113">
        <v>0</v>
      </c>
      <c r="AA457" s="113">
        <v>0</v>
      </c>
      <c r="AB457" s="113">
        <v>0</v>
      </c>
      <c r="AC457" s="113">
        <v>0</v>
      </c>
      <c r="AD457" s="113">
        <v>0</v>
      </c>
      <c r="AF457" s="113">
        <v>0</v>
      </c>
      <c r="AG457" s="28">
        <f>G457-O457</f>
        <v>0</v>
      </c>
      <c r="AH457" s="58">
        <f>IF(ISERROR(AG457/B457*AF457),0,(AG457/B457*AF457))</f>
        <v>0</v>
      </c>
      <c r="AI457" s="28">
        <f>SUM(H457:M457)</f>
        <v>0</v>
      </c>
      <c r="AJ457" s="28">
        <f>IF(ISERROR(AI457/B457*AF457),0,(AI457/B457*AF457))</f>
        <v>0</v>
      </c>
      <c r="AK457" s="58">
        <f>IF(ISERROR(O457/B457*AF457),0,(O457/B457*AF457))</f>
        <v>0</v>
      </c>
      <c r="AL457" s="28">
        <f>IF(ISERROR(H457/B457*AF457),0,(H457/B457*AF457))</f>
        <v>0</v>
      </c>
      <c r="AN457" s="51">
        <f>A457</f>
        <v>0</v>
      </c>
      <c r="AO457" s="57">
        <f>IF(ISERROR(IF(B457=C457,D457/C457,(INT(D457/B457)+(((D457-B457*INT(D457/B457)))/C457)/100))),0,(IF(B457=C457,D457/C457,(INT(D457/B457)+(((D457-B457*INT(D457/B457)))/C457)/100))))</f>
        <v>0</v>
      </c>
      <c r="AP457" s="57">
        <f>IF(ISERROR(IF(B457=C457,E457/C457,(INT(E457/B457)+(((E457-B457*INT(E457/B457)))/C457)/100))),0,(IF(B457=C457,E457/C457,(INT(E457/B457)+(((E457-B457*INT(E457/B457)))/C457)/100))))</f>
        <v>0</v>
      </c>
      <c r="AQ457" s="57">
        <f>IF(ISERROR(IF(B457=C457,F457/C457,IF((INT(F457/B457)+(((F457-B457*INT(F457/B457)))/C457)/100)&lt;0,(INT(F457/B457)+(((F457-B457*INT(F457/B457)))/C457)/100)+(1-(B457/C457/100)),(INT(F457/B457)+(((F457-B457*INT(F457/B457)))/C457)/100)))),0,IF(B457=C457,F457/C457,IF((INT(F457/B457)+(((F457-B457*INT(F457/B457)))/C457)/100)&lt;0,(INT(F457/B457)+(((F457-B457*INT(F457/B457)))/C457)/100)+(1-(B457/C457/100)),(INT(F457/B457)+(((F457-B457*INT(F457/B457)))/C457)/100))))</f>
        <v>0</v>
      </c>
      <c r="AR457" s="57">
        <f>IF(ISERROR(IF(B457=C457,G457/C457,(INT(G457/B457)+(((G457-B457*INT(G457/B457)))/C457)/100))),0,(IF(B457=C457,G457/C457,(INT(G457/B457)+(((G457-B457*INT(G457/B457)))/C457)/100))))</f>
        <v>0</v>
      </c>
      <c r="AS457" s="57">
        <f>IF(ISERROR(IF(B457=C457,H457/C457,(INT(H457/B457)+(((H457-B457*INT(H457/B457)))/C457)/100))),0,(IF(B457=C457,H457/C457,(INT(H457/B457)+(((H457-B457*INT(H457/B457)))/C457)/100))))</f>
        <v>0</v>
      </c>
      <c r="AT457" s="57">
        <f>IF(ISERROR(IF(B457=C457,I457/C457,(INT(I457/B457)+(((I457-B457*INT(I457/B457)))/C457)/100))),0,(IF(B457=C457,I457/C457,(INT(I457/B457)+(((I457-B457*INT(I457/B457)))/C457)/100))))</f>
        <v>0</v>
      </c>
      <c r="AU457" s="57">
        <f>IF(ISERROR(IF(B457=C457,J457/C457,(INT(J457/B457)+(((J457-B457*INT(J457/B457)))/C457)/100))),0,(IF(B457=C457,J457/C457,(INT(J457/B457)+(((J457-B457*INT(J457/B457)))/C457)/100))))</f>
        <v>0</v>
      </c>
      <c r="AV457" s="57">
        <f>IF(ISERROR(IF(B457=C457,K457/C457,IF((INT(K457/B457)+(((K457-B457*INT(K457/B457)))/C457)/100)&lt;0,(INT(K457/B457)+(((K457-B457*INT(K457/B457)))/C457)/100)+(1-(B457/C457/100)),(INT(K457/B457)+(((K457-B457*INT(K457/B457)))/C457)/100)))),0,IF(B457=C457,K457/C457,IF((INT(K457/B457)+(((K457-B457*INT(K457/B457)))/C457)/100)&lt;0,(INT(K457/B457)+(((K457-B457*INT(K457/B457)))/C457)/100)+(1-(B457/C457/100)),(INT(K457/B457)+(((K457-B457*INT(K457/B457)))/C457)/100))))</f>
        <v>0</v>
      </c>
      <c r="AW457" s="57">
        <f>IF(ISERROR(IF(B457=C457,L457/C457,(INT(L457/B457)+(((L457-B457*INT(L457/B457)))/C457)/100))),0,(IF(B457=C457,L457/C457,(INT(L457/B457)+(((L457-B457*INT(L457/B457)))/C457)/100))))</f>
        <v>0</v>
      </c>
      <c r="AX457" s="57">
        <f>IF(ISERROR(IF(B457=C457,M457/C457,(INT(M457/B457)+(((M457-B457*INT(M457/B457)))/C457)/100))),0,(IF(B457=C457,M457/C457,(INT(M457/B457)+(((M457-B457*INT(M457/B457)))/C457)/100))))</f>
        <v>0</v>
      </c>
      <c r="AY457" s="57">
        <f>IF(ISERROR(IF(B457=C457,N457/C457,IF((INT(N457/B457)+(((N457-B457*INT(N457/B457)))/C457)/100)&lt;0,(INT(N457/B457)+(((N457-B457*INT(N457/B457)))/C457)/100)+(1-(B457/C457/100)),(INT(N457/B457)+(((N457-B457*INT(N457/B457)))/C457)/100)))),0,IF(B457=C457,N457/C457,IF((INT(N457/B457)+(((N457-B457*INT(N457/B457)))/C457)/100)&lt;0,(INT(N457/B457)+(((N457-B457*INT(N457/B457)))/C457)/100)+(1-(B457/C457/100)),(INT(N457/B457)+(((N457-B457*INT(N457/B457)))/C457)/100))))</f>
        <v>0</v>
      </c>
      <c r="AZ457" s="57">
        <f>IF(ISERROR(IF(B457=C457,O457/C457,(INT(O457/B457)+(((O457-B457*INT(O457/B457)))/C457)/100))),0,(IF(B457=C457,O457/C457,(INT(O457/B457)+(((O457-B457*INT(O457/B457)))/C457)/100))))</f>
        <v>0</v>
      </c>
      <c r="BA457" s="57">
        <f>IF(ISERROR(IF(B457=C457,P457/C457,IF((INT(P457/B457)+(((P457-B457*INT(P457/B457)))/C457)/100)&lt;0,(INT(P457/B457)+(((P457-B457*INT(P457/B457)))/C457)/100)+(1-(B457/C457/100)),(INT(P457/B457)+(((P457-B457*INT(P457/B457)))/C457)/100)))),0,IF(B457=C457,P457/C457,IF((INT(P457/B457)+(((P457-B457*INT(P457/B457)))/C457)/100)&lt;0,(INT(P457/B457)+(((P457-B457*INT(P457/B457)))/C457)/100)+(1-(B457/C457/100)),(INT(P457/B457)+(((P457-B457*INT(P457/B457)))/C457)/100))))</f>
        <v>0</v>
      </c>
      <c r="BB457" s="28">
        <f>R457</f>
        <v>0</v>
      </c>
      <c r="BC457" s="28">
        <f>S457</f>
        <v>0</v>
      </c>
      <c r="BD457" s="28">
        <f>AF457</f>
        <v>0</v>
      </c>
      <c r="BE457" s="28">
        <f>T457</f>
        <v>0</v>
      </c>
      <c r="BG457" s="57">
        <f>IF(ISERROR(IF(B457=C457,V457/C457,(INT(V457/B457)+(((V457-B457*INT(V457/B457)))/C457)/100))),0,(IF(B457=C457,V457/C457,(INT(V457/B457)+(((V457-B457*INT(V457/B457)))/C457)/100))))</f>
        <v>0</v>
      </c>
      <c r="BH457" s="57">
        <f>IF(ISERROR(IF(B457=C457,W457/C457,(INT(W457/B457)+(((W457-B457*INT(W457/B457)))/C457)/100))),0,(IF(B457=C457,W457/C457,(INT(W457/B457)+(((W457-B457*INT(W457/B457)))/C457)/100))))</f>
        <v>0</v>
      </c>
      <c r="BI457" s="57">
        <f>IF(ISERROR(IF(B457=C457,X457/C457,(INT(X457/B457)+(((X457-B457*INT(X457/B457)))/C457)/100))),0,(IF(B457=C457,X457/C457,(INT(X457/B457)+(((X457-B457*INT(X457/B457)))/C457)/100))))</f>
        <v>0</v>
      </c>
      <c r="BJ457" s="57">
        <f>IF(ISERROR(IF(B457=C457,Y457/C457,(INT(Y457/B457)+(((Y457-B457*INT(Y457/B457)))/C457)/100))),0,(IF(B457=C457,Y457/C457,(INT(Y457/B457)+(((Y457-B457*INT(Y457/B457)))/C457)/100))))</f>
        <v>0</v>
      </c>
      <c r="BL457" s="57">
        <f>IF(ISERROR(IF(B457=C457,AA457/C457,(INT(AA457/B457)+(((AA457-B457*INT(AA457/B457)))/C457)/100))),0,(IF(B457=C457,AA457/C457,(INT(AA457/B457)+(((AA457-B457*INT(AA457/B457)))/C457)/100))))</f>
        <v>0</v>
      </c>
      <c r="BM457" s="57">
        <f>IF(ISERROR(IF(B457=C457,AB457/C457,(INT(AB457/B457)+(((AB457-B457*INT(AB457/B457)))/C457)/100))),0,(IF(B457=C457,AB457/C457,(INT(AB457/B457)+(((AB457-B457*INT(AB457/B457)))/C457)/100))))</f>
        <v>0</v>
      </c>
      <c r="BN457" s="57">
        <f>IF(ISERROR(IF(B457=C457,AC457/C457,(INT(AC457/B457)+(((AC457-B457*INT(AC457/B457)))/C457)/100))),0,(IF(B457=C457,AC457/C457,(INT(AC457/B457)+(((AC457-B457*INT(AC457/B457)))/C457)/100))))</f>
        <v>0</v>
      </c>
      <c r="BO457" s="57">
        <f>IF(ISERROR(IF(B457=C457,AD457/C457,(INT(AD457/B457)+(((AD457-B457*INT(AD457/B457)))/C457)/100))),0,(IF(B457=C457,AD457/C457,(INT(AD457/B457)+(((AD457-B457*INT(AD457/B457)))/C457)/100))))</f>
        <v>0</v>
      </c>
      <c r="BQ457" s="155"/>
    </row>
    <row r="458" spans="1:69" hidden="1" x14ac:dyDescent="0.35">
      <c r="A458" s="94"/>
      <c r="B458" s="113">
        <v>0</v>
      </c>
      <c r="C458" s="113">
        <v>0</v>
      </c>
      <c r="D458" s="28">
        <f>SUM(AA458:AD458)</f>
        <v>0</v>
      </c>
      <c r="E458" s="113">
        <v>0</v>
      </c>
      <c r="F458" s="113">
        <v>0</v>
      </c>
      <c r="G458" s="28">
        <f>SUM(D458:F458)</f>
        <v>0</v>
      </c>
      <c r="H458" s="125">
        <v>0</v>
      </c>
      <c r="I458" s="113">
        <v>0</v>
      </c>
      <c r="J458" s="125">
        <v>0</v>
      </c>
      <c r="K458" s="113">
        <v>0</v>
      </c>
      <c r="L458" s="113">
        <v>0</v>
      </c>
      <c r="M458" s="113">
        <v>0</v>
      </c>
      <c r="N458" s="28">
        <f>G458-SUM(H458:M458)</f>
        <v>0</v>
      </c>
      <c r="O458" s="28">
        <f>SUM(V458:Y458)</f>
        <v>0</v>
      </c>
      <c r="P458" s="28">
        <f>O458-N458</f>
        <v>0</v>
      </c>
      <c r="Q458" s="61" t="str">
        <f>IF(ISERROR(P458/SUM(H458:L458)),"",P458/SUM(H458:L458))</f>
        <v/>
      </c>
      <c r="R458" s="113">
        <v>0</v>
      </c>
      <c r="S458" s="28">
        <f>IF(ISERROR(P458/C458*R458),0,(P458/C458*R458))</f>
        <v>0</v>
      </c>
      <c r="T458" s="60">
        <f>IF(ISERROR(P458/B458*AF458),0,(P458/B458*AF458))</f>
        <v>0</v>
      </c>
      <c r="V458" s="113">
        <v>0</v>
      </c>
      <c r="W458" s="113">
        <v>0</v>
      </c>
      <c r="X458" s="113">
        <v>0</v>
      </c>
      <c r="Y458" s="113">
        <v>0</v>
      </c>
      <c r="AA458" s="113">
        <v>0</v>
      </c>
      <c r="AB458" s="113">
        <v>0</v>
      </c>
      <c r="AC458" s="113">
        <v>0</v>
      </c>
      <c r="AD458" s="113">
        <v>0</v>
      </c>
      <c r="AF458" s="113">
        <v>0</v>
      </c>
      <c r="AG458" s="28">
        <f>G458-O458</f>
        <v>0</v>
      </c>
      <c r="AH458" s="58">
        <f>IF(ISERROR(AG458/B458*AF458),0,(AG458/B458*AF458))</f>
        <v>0</v>
      </c>
      <c r="AI458" s="28">
        <f>SUM(H458:M458)</f>
        <v>0</v>
      </c>
      <c r="AJ458" s="28">
        <f>IF(ISERROR(AI458/B458*AF458),0,(AI458/B458*AF458))</f>
        <v>0</v>
      </c>
      <c r="AK458" s="58">
        <f>IF(ISERROR(O458/B458*AF458),0,(O458/B458*AF458))</f>
        <v>0</v>
      </c>
      <c r="AL458" s="28">
        <f>IF(ISERROR(H458/B458*AF458),0,(H458/B458*AF458))</f>
        <v>0</v>
      </c>
      <c r="AN458" s="51">
        <f>A458</f>
        <v>0</v>
      </c>
      <c r="AO458" s="57">
        <f>IF(ISERROR(IF(B458=C458,D458/C458,(INT(D458/B458)+(((D458-B458*INT(D458/B458)))/C458)/100))),0,(IF(B458=C458,D458/C458,(INT(D458/B458)+(((D458-B458*INT(D458/B458)))/C458)/100))))</f>
        <v>0</v>
      </c>
      <c r="AP458" s="57">
        <f>IF(ISERROR(IF(B458=C458,E458/C458,(INT(E458/B458)+(((E458-B458*INT(E458/B458)))/C458)/100))),0,(IF(B458=C458,E458/C458,(INT(E458/B458)+(((E458-B458*INT(E458/B458)))/C458)/100))))</f>
        <v>0</v>
      </c>
      <c r="AQ458" s="57">
        <f>IF(ISERROR(IF(B458=C458,F458/C458,IF((INT(F458/B458)+(((F458-B458*INT(F458/B458)))/C458)/100)&lt;0,(INT(F458/B458)+(((F458-B458*INT(F458/B458)))/C458)/100)+(1-(B458/C458/100)),(INT(F458/B458)+(((F458-B458*INT(F458/B458)))/C458)/100)))),0,IF(B458=C458,F458/C458,IF((INT(F458/B458)+(((F458-B458*INT(F458/B458)))/C458)/100)&lt;0,(INT(F458/B458)+(((F458-B458*INT(F458/B458)))/C458)/100)+(1-(B458/C458/100)),(INT(F458/B458)+(((F458-B458*INT(F458/B458)))/C458)/100))))</f>
        <v>0</v>
      </c>
      <c r="AR458" s="57">
        <f>IF(ISERROR(IF(B458=C458,G458/C458,(INT(G458/B458)+(((G458-B458*INT(G458/B458)))/C458)/100))),0,(IF(B458=C458,G458/C458,(INT(G458/B458)+(((G458-B458*INT(G458/B458)))/C458)/100))))</f>
        <v>0</v>
      </c>
      <c r="AS458" s="57">
        <f>IF(ISERROR(IF(B458=C458,H458/C458,(INT(H458/B458)+(((H458-B458*INT(H458/B458)))/C458)/100))),0,(IF(B458=C458,H458/C458,(INT(H458/B458)+(((H458-B458*INT(H458/B458)))/C458)/100))))</f>
        <v>0</v>
      </c>
      <c r="AT458" s="57">
        <f>IF(ISERROR(IF(B458=C458,I458/C458,(INT(I458/B458)+(((I458-B458*INT(I458/B458)))/C458)/100))),0,(IF(B458=C458,I458/C458,(INT(I458/B458)+(((I458-B458*INT(I458/B458)))/C458)/100))))</f>
        <v>0</v>
      </c>
      <c r="AU458" s="57">
        <f>IF(ISERROR(IF(B458=C458,J458/C458,(INT(J458/B458)+(((J458-B458*INT(J458/B458)))/C458)/100))),0,(IF(B458=C458,J458/C458,(INT(J458/B458)+(((J458-B458*INT(J458/B458)))/C458)/100))))</f>
        <v>0</v>
      </c>
      <c r="AV458" s="57">
        <f>IF(ISERROR(IF(B458=C458,K458/C458,IF((INT(K458/B458)+(((K458-B458*INT(K458/B458)))/C458)/100)&lt;0,(INT(K458/B458)+(((K458-B458*INT(K458/B458)))/C458)/100)+(1-(B458/C458/100)),(INT(K458/B458)+(((K458-B458*INT(K458/B458)))/C458)/100)))),0,IF(B458=C458,K458/C458,IF((INT(K458/B458)+(((K458-B458*INT(K458/B458)))/C458)/100)&lt;0,(INT(K458/B458)+(((K458-B458*INT(K458/B458)))/C458)/100)+(1-(B458/C458/100)),(INT(K458/B458)+(((K458-B458*INT(K458/B458)))/C458)/100))))</f>
        <v>0</v>
      </c>
      <c r="AW458" s="57">
        <f>IF(ISERROR(IF(B458=C458,L458/C458,(INT(L458/B458)+(((L458-B458*INT(L458/B458)))/C458)/100))),0,(IF(B458=C458,L458/C458,(INT(L458/B458)+(((L458-B458*INT(L458/B458)))/C458)/100))))</f>
        <v>0</v>
      </c>
      <c r="AX458" s="57">
        <f>IF(ISERROR(IF(B458=C458,M458/C458,(INT(M458/B458)+(((M458-B458*INT(M458/B458)))/C458)/100))),0,(IF(B458=C458,M458/C458,(INT(M458/B458)+(((M458-B458*INT(M458/B458)))/C458)/100))))</f>
        <v>0</v>
      </c>
      <c r="AY458" s="57">
        <f>IF(ISERROR(IF(B458=C458,N458/C458,IF((INT(N458/B458)+(((N458-B458*INT(N458/B458)))/C458)/100)&lt;0,(INT(N458/B458)+(((N458-B458*INT(N458/B458)))/C458)/100)+(1-(B458/C458/100)),(INT(N458/B458)+(((N458-B458*INT(N458/B458)))/C458)/100)))),0,IF(B458=C458,N458/C458,IF((INT(N458/B458)+(((N458-B458*INT(N458/B458)))/C458)/100)&lt;0,(INT(N458/B458)+(((N458-B458*INT(N458/B458)))/C458)/100)+(1-(B458/C458/100)),(INT(N458/B458)+(((N458-B458*INT(N458/B458)))/C458)/100))))</f>
        <v>0</v>
      </c>
      <c r="AZ458" s="57">
        <f>IF(ISERROR(IF(B458=C458,O458/C458,(INT(O458/B458)+(((O458-B458*INT(O458/B458)))/C458)/100))),0,(IF(B458=C458,O458/C458,(INT(O458/B458)+(((O458-B458*INT(O458/B458)))/C458)/100))))</f>
        <v>0</v>
      </c>
      <c r="BA458" s="57">
        <f>IF(ISERROR(IF(B458=C458,P458/C458,IF((INT(P458/B458)+(((P458-B458*INT(P458/B458)))/C458)/100)&lt;0,(INT(P458/B458)+(((P458-B458*INT(P458/B458)))/C458)/100)+(1-(B458/C458/100)),(INT(P458/B458)+(((P458-B458*INT(P458/B458)))/C458)/100)))),0,IF(B458=C458,P458/C458,IF((INT(P458/B458)+(((P458-B458*INT(P458/B458)))/C458)/100)&lt;0,(INT(P458/B458)+(((P458-B458*INT(P458/B458)))/C458)/100)+(1-(B458/C458/100)),(INT(P458/B458)+(((P458-B458*INT(P458/B458)))/C458)/100))))</f>
        <v>0</v>
      </c>
      <c r="BB458" s="28">
        <f>R458</f>
        <v>0</v>
      </c>
      <c r="BC458" s="28">
        <f>S458</f>
        <v>0</v>
      </c>
      <c r="BD458" s="28">
        <f>AF458</f>
        <v>0</v>
      </c>
      <c r="BE458" s="28">
        <f>T458</f>
        <v>0</v>
      </c>
      <c r="BG458" s="57">
        <f>IF(ISERROR(IF(B458=C458,V458/C458,(INT(V458/B458)+(((V458-B458*INT(V458/B458)))/C458)/100))),0,(IF(B458=C458,V458/C458,(INT(V458/B458)+(((V458-B458*INT(V458/B458)))/C458)/100))))</f>
        <v>0</v>
      </c>
      <c r="BH458" s="57">
        <f>IF(ISERROR(IF(B458=C458,W458/C458,(INT(W458/B458)+(((W458-B458*INT(W458/B458)))/C458)/100))),0,(IF(B458=C458,W458/C458,(INT(W458/B458)+(((W458-B458*INT(W458/B458)))/C458)/100))))</f>
        <v>0</v>
      </c>
      <c r="BI458" s="57">
        <f>IF(ISERROR(IF(B458=C458,X458/C458,(INT(X458/B458)+(((X458-B458*INT(X458/B458)))/C458)/100))),0,(IF(B458=C458,X458/C458,(INT(X458/B458)+(((X458-B458*INT(X458/B458)))/C458)/100))))</f>
        <v>0</v>
      </c>
      <c r="BJ458" s="57">
        <f>IF(ISERROR(IF(B458=C458,Y458/C458,(INT(Y458/B458)+(((Y458-B458*INT(Y458/B458)))/C458)/100))),0,(IF(B458=C458,Y458/C458,(INT(Y458/B458)+(((Y458-B458*INT(Y458/B458)))/C458)/100))))</f>
        <v>0</v>
      </c>
      <c r="BL458" s="57">
        <f>IF(ISERROR(IF(B458=C458,AA458/C458,(INT(AA458/B458)+(((AA458-B458*INT(AA458/B458)))/C458)/100))),0,(IF(B458=C458,AA458/C458,(INT(AA458/B458)+(((AA458-B458*INT(AA458/B458)))/C458)/100))))</f>
        <v>0</v>
      </c>
      <c r="BM458" s="57">
        <f>IF(ISERROR(IF(B458=C458,AB458/C458,(INT(AB458/B458)+(((AB458-B458*INT(AB458/B458)))/C458)/100))),0,(IF(B458=C458,AB458/C458,(INT(AB458/B458)+(((AB458-B458*INT(AB458/B458)))/C458)/100))))</f>
        <v>0</v>
      </c>
      <c r="BN458" s="57">
        <f>IF(ISERROR(IF(B458=C458,AC458/C458,(INT(AC458/B458)+(((AC458-B458*INT(AC458/B458)))/C458)/100))),0,(IF(B458=C458,AC458/C458,(INT(AC458/B458)+(((AC458-B458*INT(AC458/B458)))/C458)/100))))</f>
        <v>0</v>
      </c>
      <c r="BO458" s="57">
        <f>IF(ISERROR(IF(B458=C458,AD458/C458,(INT(AD458/B458)+(((AD458-B458*INT(AD458/B458)))/C458)/100))),0,(IF(B458=C458,AD458/C458,(INT(AD458/B458)+(((AD458-B458*INT(AD458/B458)))/C458)/100))))</f>
        <v>0</v>
      </c>
      <c r="BQ458" s="155"/>
    </row>
    <row r="459" spans="1:69" hidden="1" x14ac:dyDescent="0.35">
      <c r="A459" s="94"/>
      <c r="B459" s="113">
        <v>0</v>
      </c>
      <c r="C459" s="113">
        <v>0</v>
      </c>
      <c r="D459" s="28">
        <f>SUM(AA459:AD459)</f>
        <v>0</v>
      </c>
      <c r="E459" s="113">
        <v>0</v>
      </c>
      <c r="F459" s="113">
        <v>0</v>
      </c>
      <c r="G459" s="28">
        <f>SUM(D459:F459)</f>
        <v>0</v>
      </c>
      <c r="H459" s="125">
        <v>0</v>
      </c>
      <c r="I459" s="113">
        <v>0</v>
      </c>
      <c r="J459" s="125">
        <v>0</v>
      </c>
      <c r="K459" s="113">
        <v>0</v>
      </c>
      <c r="L459" s="113">
        <v>0</v>
      </c>
      <c r="M459" s="113">
        <v>0</v>
      </c>
      <c r="N459" s="28">
        <f>G459-SUM(H459:M459)</f>
        <v>0</v>
      </c>
      <c r="O459" s="28">
        <f>SUM(V459:Y459)</f>
        <v>0</v>
      </c>
      <c r="P459" s="28">
        <f>O459-N459</f>
        <v>0</v>
      </c>
      <c r="Q459" s="61" t="str">
        <f>IF(ISERROR(P459/SUM(H459:L459)),"",P459/SUM(H459:L459))</f>
        <v/>
      </c>
      <c r="R459" s="113">
        <v>0</v>
      </c>
      <c r="S459" s="28">
        <f>IF(ISERROR(P459/C459*R459),0,(P459/C459*R459))</f>
        <v>0</v>
      </c>
      <c r="T459" s="60">
        <f>IF(ISERROR(P459/B459*AF459),0,(P459/B459*AF459))</f>
        <v>0</v>
      </c>
      <c r="V459" s="113">
        <v>0</v>
      </c>
      <c r="W459" s="113">
        <v>0</v>
      </c>
      <c r="X459" s="113">
        <v>0</v>
      </c>
      <c r="Y459" s="113">
        <v>0</v>
      </c>
      <c r="AA459" s="113">
        <v>0</v>
      </c>
      <c r="AB459" s="113">
        <v>0</v>
      </c>
      <c r="AC459" s="113">
        <v>0</v>
      </c>
      <c r="AD459" s="113">
        <v>0</v>
      </c>
      <c r="AF459" s="113">
        <v>0</v>
      </c>
      <c r="AG459" s="28">
        <f>G459-O459</f>
        <v>0</v>
      </c>
      <c r="AH459" s="58">
        <f>IF(ISERROR(AG459/B459*AF459),0,(AG459/B459*AF459))</f>
        <v>0</v>
      </c>
      <c r="AI459" s="28">
        <f>SUM(H459:M459)</f>
        <v>0</v>
      </c>
      <c r="AJ459" s="28">
        <f>IF(ISERROR(AI459/B459*AF459),0,(AI459/B459*AF459))</f>
        <v>0</v>
      </c>
      <c r="AK459" s="58">
        <f>IF(ISERROR(O459/B459*AF459),0,(O459/B459*AF459))</f>
        <v>0</v>
      </c>
      <c r="AL459" s="28">
        <f>IF(ISERROR(H459/B459*AF459),0,(H459/B459*AF459))</f>
        <v>0</v>
      </c>
      <c r="AN459" s="51">
        <f>A459</f>
        <v>0</v>
      </c>
      <c r="AO459" s="57">
        <f>IF(ISERROR(IF(B459=C459,D459/C459,(INT(D459/B459)+(((D459-B459*INT(D459/B459)))/C459)/100))),0,(IF(B459=C459,D459/C459,(INT(D459/B459)+(((D459-B459*INT(D459/B459)))/C459)/100))))</f>
        <v>0</v>
      </c>
      <c r="AP459" s="57">
        <f>IF(ISERROR(IF(B459=C459,E459/C459,(INT(E459/B459)+(((E459-B459*INT(E459/B459)))/C459)/100))),0,(IF(B459=C459,E459/C459,(INT(E459/B459)+(((E459-B459*INT(E459/B459)))/C459)/100))))</f>
        <v>0</v>
      </c>
      <c r="AQ459" s="57">
        <f>IF(ISERROR(IF(B459=C459,F459/C459,IF((INT(F459/B459)+(((F459-B459*INT(F459/B459)))/C459)/100)&lt;0,(INT(F459/B459)+(((F459-B459*INT(F459/B459)))/C459)/100)+(1-(B459/C459/100)),(INT(F459/B459)+(((F459-B459*INT(F459/B459)))/C459)/100)))),0,IF(B459=C459,F459/C459,IF((INT(F459/B459)+(((F459-B459*INT(F459/B459)))/C459)/100)&lt;0,(INT(F459/B459)+(((F459-B459*INT(F459/B459)))/C459)/100)+(1-(B459/C459/100)),(INT(F459/B459)+(((F459-B459*INT(F459/B459)))/C459)/100))))</f>
        <v>0</v>
      </c>
      <c r="AR459" s="57">
        <f>IF(ISERROR(IF(B459=C459,G459/C459,(INT(G459/B459)+(((G459-B459*INT(G459/B459)))/C459)/100))),0,(IF(B459=C459,G459/C459,(INT(G459/B459)+(((G459-B459*INT(G459/B459)))/C459)/100))))</f>
        <v>0</v>
      </c>
      <c r="AS459" s="57">
        <f>IF(ISERROR(IF(B459=C459,H459/C459,(INT(H459/B459)+(((H459-B459*INT(H459/B459)))/C459)/100))),0,(IF(B459=C459,H459/C459,(INT(H459/B459)+(((H459-B459*INT(H459/B459)))/C459)/100))))</f>
        <v>0</v>
      </c>
      <c r="AT459" s="57">
        <f>IF(ISERROR(IF(B459=C459,I459/C459,(INT(I459/B459)+(((I459-B459*INT(I459/B459)))/C459)/100))),0,(IF(B459=C459,I459/C459,(INT(I459/B459)+(((I459-B459*INT(I459/B459)))/C459)/100))))</f>
        <v>0</v>
      </c>
      <c r="AU459" s="57">
        <f>IF(ISERROR(IF(B459=C459,J459/C459,(INT(J459/B459)+(((J459-B459*INT(J459/B459)))/C459)/100))),0,(IF(B459=C459,J459/C459,(INT(J459/B459)+(((J459-B459*INT(J459/B459)))/C459)/100))))</f>
        <v>0</v>
      </c>
      <c r="AV459" s="57">
        <f>IF(ISERROR(IF(B459=C459,K459/C459,IF((INT(K459/B459)+(((K459-B459*INT(K459/B459)))/C459)/100)&lt;0,(INT(K459/B459)+(((K459-B459*INT(K459/B459)))/C459)/100)+(1-(B459/C459/100)),(INT(K459/B459)+(((K459-B459*INT(K459/B459)))/C459)/100)))),0,IF(B459=C459,K459/C459,IF((INT(K459/B459)+(((K459-B459*INT(K459/B459)))/C459)/100)&lt;0,(INT(K459/B459)+(((K459-B459*INT(K459/B459)))/C459)/100)+(1-(B459/C459/100)),(INT(K459/B459)+(((K459-B459*INT(K459/B459)))/C459)/100))))</f>
        <v>0</v>
      </c>
      <c r="AW459" s="57">
        <f>IF(ISERROR(IF(B459=C459,L459/C459,(INT(L459/B459)+(((L459-B459*INT(L459/B459)))/C459)/100))),0,(IF(B459=C459,L459/C459,(INT(L459/B459)+(((L459-B459*INT(L459/B459)))/C459)/100))))</f>
        <v>0</v>
      </c>
      <c r="AX459" s="57">
        <f>IF(ISERROR(IF(B459=C459,M459/C459,(INT(M459/B459)+(((M459-B459*INT(M459/B459)))/C459)/100))),0,(IF(B459=C459,M459/C459,(INT(M459/B459)+(((M459-B459*INT(M459/B459)))/C459)/100))))</f>
        <v>0</v>
      </c>
      <c r="AY459" s="57">
        <f>IF(ISERROR(IF(B459=C459,N459/C459,IF((INT(N459/B459)+(((N459-B459*INT(N459/B459)))/C459)/100)&lt;0,(INT(N459/B459)+(((N459-B459*INT(N459/B459)))/C459)/100)+(1-(B459/C459/100)),(INT(N459/B459)+(((N459-B459*INT(N459/B459)))/C459)/100)))),0,IF(B459=C459,N459/C459,IF((INT(N459/B459)+(((N459-B459*INT(N459/B459)))/C459)/100)&lt;0,(INT(N459/B459)+(((N459-B459*INT(N459/B459)))/C459)/100)+(1-(B459/C459/100)),(INT(N459/B459)+(((N459-B459*INT(N459/B459)))/C459)/100))))</f>
        <v>0</v>
      </c>
      <c r="AZ459" s="57">
        <f>IF(ISERROR(IF(B459=C459,O459/C459,(INT(O459/B459)+(((O459-B459*INT(O459/B459)))/C459)/100))),0,(IF(B459=C459,O459/C459,(INT(O459/B459)+(((O459-B459*INT(O459/B459)))/C459)/100))))</f>
        <v>0</v>
      </c>
      <c r="BA459" s="57">
        <f>IF(ISERROR(IF(B459=C459,P459/C459,IF((INT(P459/B459)+(((P459-B459*INT(P459/B459)))/C459)/100)&lt;0,(INT(P459/B459)+(((P459-B459*INT(P459/B459)))/C459)/100)+(1-(B459/C459/100)),(INT(P459/B459)+(((P459-B459*INT(P459/B459)))/C459)/100)))),0,IF(B459=C459,P459/C459,IF((INT(P459/B459)+(((P459-B459*INT(P459/B459)))/C459)/100)&lt;0,(INT(P459/B459)+(((P459-B459*INT(P459/B459)))/C459)/100)+(1-(B459/C459/100)),(INT(P459/B459)+(((P459-B459*INT(P459/B459)))/C459)/100))))</f>
        <v>0</v>
      </c>
      <c r="BB459" s="28">
        <f>R459</f>
        <v>0</v>
      </c>
      <c r="BC459" s="28">
        <f>S459</f>
        <v>0</v>
      </c>
      <c r="BD459" s="28">
        <f>AF459</f>
        <v>0</v>
      </c>
      <c r="BE459" s="28">
        <f>T459</f>
        <v>0</v>
      </c>
      <c r="BG459" s="57">
        <f>IF(ISERROR(IF(B459=C459,V459/C459,(INT(V459/B459)+(((V459-B459*INT(V459/B459)))/C459)/100))),0,(IF(B459=C459,V459/C459,(INT(V459/B459)+(((V459-B459*INT(V459/B459)))/C459)/100))))</f>
        <v>0</v>
      </c>
      <c r="BH459" s="57">
        <f>IF(ISERROR(IF(B459=C459,W459/C459,(INT(W459/B459)+(((W459-B459*INT(W459/B459)))/C459)/100))),0,(IF(B459=C459,W459/C459,(INT(W459/B459)+(((W459-B459*INT(W459/B459)))/C459)/100))))</f>
        <v>0</v>
      </c>
      <c r="BI459" s="57">
        <f>IF(ISERROR(IF(B459=C459,X459/C459,(INT(X459/B459)+(((X459-B459*INT(X459/B459)))/C459)/100))),0,(IF(B459=C459,X459/C459,(INT(X459/B459)+(((X459-B459*INT(X459/B459)))/C459)/100))))</f>
        <v>0</v>
      </c>
      <c r="BJ459" s="57">
        <f>IF(ISERROR(IF(B459=C459,Y459/C459,(INT(Y459/B459)+(((Y459-B459*INT(Y459/B459)))/C459)/100))),0,(IF(B459=C459,Y459/C459,(INT(Y459/B459)+(((Y459-B459*INT(Y459/B459)))/C459)/100))))</f>
        <v>0</v>
      </c>
      <c r="BL459" s="57">
        <f>IF(ISERROR(IF(B459=C459,AA459/C459,(INT(AA459/B459)+(((AA459-B459*INT(AA459/B459)))/C459)/100))),0,(IF(B459=C459,AA459/C459,(INT(AA459/B459)+(((AA459-B459*INT(AA459/B459)))/C459)/100))))</f>
        <v>0</v>
      </c>
      <c r="BM459" s="57">
        <f>IF(ISERROR(IF(B459=C459,AB459/C459,(INT(AB459/B459)+(((AB459-B459*INT(AB459/B459)))/C459)/100))),0,(IF(B459=C459,AB459/C459,(INT(AB459/B459)+(((AB459-B459*INT(AB459/B459)))/C459)/100))))</f>
        <v>0</v>
      </c>
      <c r="BN459" s="57">
        <f>IF(ISERROR(IF(B459=C459,AC459/C459,(INT(AC459/B459)+(((AC459-B459*INT(AC459/B459)))/C459)/100))),0,(IF(B459=C459,AC459/C459,(INT(AC459/B459)+(((AC459-B459*INT(AC459/B459)))/C459)/100))))</f>
        <v>0</v>
      </c>
      <c r="BO459" s="57">
        <f>IF(ISERROR(IF(B459=C459,AD459/C459,(INT(AD459/B459)+(((AD459-B459*INT(AD459/B459)))/C459)/100))),0,(IF(B459=C459,AD459/C459,(INT(AD459/B459)+(((AD459-B459*INT(AD459/B459)))/C459)/100))))</f>
        <v>0</v>
      </c>
      <c r="BQ459" s="155"/>
    </row>
    <row r="460" spans="1:69" hidden="1" x14ac:dyDescent="0.35">
      <c r="A460" s="94"/>
      <c r="B460" s="113">
        <v>0</v>
      </c>
      <c r="C460" s="113">
        <v>0</v>
      </c>
      <c r="D460" s="28">
        <f>SUM(AA460:AD460)</f>
        <v>0</v>
      </c>
      <c r="E460" s="113">
        <v>0</v>
      </c>
      <c r="F460" s="113">
        <v>0</v>
      </c>
      <c r="G460" s="28">
        <f>SUM(D460:F460)</f>
        <v>0</v>
      </c>
      <c r="H460" s="125">
        <v>0</v>
      </c>
      <c r="I460" s="113">
        <v>0</v>
      </c>
      <c r="J460" s="125">
        <v>0</v>
      </c>
      <c r="K460" s="113">
        <v>0</v>
      </c>
      <c r="L460" s="113">
        <v>0</v>
      </c>
      <c r="M460" s="113">
        <v>0</v>
      </c>
      <c r="N460" s="28">
        <f>G460-SUM(H460:M460)</f>
        <v>0</v>
      </c>
      <c r="O460" s="28">
        <f>SUM(V460:Y460)</f>
        <v>0</v>
      </c>
      <c r="P460" s="28">
        <f>O460-N460</f>
        <v>0</v>
      </c>
      <c r="Q460" s="61" t="str">
        <f>IF(ISERROR(P460/SUM(H460:L460)),"",P460/SUM(H460:L460))</f>
        <v/>
      </c>
      <c r="R460" s="113">
        <v>0</v>
      </c>
      <c r="S460" s="28">
        <f>IF(ISERROR(P460/C460*R460),0,(P460/C460*R460))</f>
        <v>0</v>
      </c>
      <c r="T460" s="60">
        <f>IF(ISERROR(P460/B460*AF460),0,(P460/B460*AF460))</f>
        <v>0</v>
      </c>
      <c r="V460" s="113">
        <v>0</v>
      </c>
      <c r="W460" s="113">
        <v>0</v>
      </c>
      <c r="X460" s="113">
        <v>0</v>
      </c>
      <c r="Y460" s="113">
        <v>0</v>
      </c>
      <c r="AA460" s="113">
        <v>0</v>
      </c>
      <c r="AB460" s="113">
        <v>0</v>
      </c>
      <c r="AC460" s="113">
        <v>0</v>
      </c>
      <c r="AD460" s="113">
        <v>0</v>
      </c>
      <c r="AF460" s="113">
        <v>0</v>
      </c>
      <c r="AG460" s="28">
        <f>G460-O460</f>
        <v>0</v>
      </c>
      <c r="AH460" s="58">
        <f>IF(ISERROR(AG460/B460*AF460),0,(AG460/B460*AF460))</f>
        <v>0</v>
      </c>
      <c r="AI460" s="28">
        <f>SUM(H460:M460)</f>
        <v>0</v>
      </c>
      <c r="AJ460" s="28">
        <f>IF(ISERROR(AI460/B460*AF460),0,(AI460/B460*AF460))</f>
        <v>0</v>
      </c>
      <c r="AK460" s="58">
        <f>IF(ISERROR(O460/B460*AF460),0,(O460/B460*AF460))</f>
        <v>0</v>
      </c>
      <c r="AL460" s="28">
        <f>IF(ISERROR(H460/B460*AF460),0,(H460/B460*AF460))</f>
        <v>0</v>
      </c>
      <c r="AN460" s="51">
        <f>A460</f>
        <v>0</v>
      </c>
      <c r="AO460" s="57">
        <f>IF(ISERROR(IF(B460=C460,D460/C460,(INT(D460/B460)+(((D460-B460*INT(D460/B460)))/C460)/100))),0,(IF(B460=C460,D460/C460,(INT(D460/B460)+(((D460-B460*INT(D460/B460)))/C460)/100))))</f>
        <v>0</v>
      </c>
      <c r="AP460" s="57">
        <f>IF(ISERROR(IF(B460=C460,E460/C460,(INT(E460/B460)+(((E460-B460*INT(E460/B460)))/C460)/100))),0,(IF(B460=C460,E460/C460,(INT(E460/B460)+(((E460-B460*INT(E460/B460)))/C460)/100))))</f>
        <v>0</v>
      </c>
      <c r="AQ460" s="57">
        <f>IF(ISERROR(IF(B460=C460,F460/C460,IF((INT(F460/B460)+(((F460-B460*INT(F460/B460)))/C460)/100)&lt;0,(INT(F460/B460)+(((F460-B460*INT(F460/B460)))/C460)/100)+(1-(B460/C460/100)),(INT(F460/B460)+(((F460-B460*INT(F460/B460)))/C460)/100)))),0,IF(B460=C460,F460/C460,IF((INT(F460/B460)+(((F460-B460*INT(F460/B460)))/C460)/100)&lt;0,(INT(F460/B460)+(((F460-B460*INT(F460/B460)))/C460)/100)+(1-(B460/C460/100)),(INT(F460/B460)+(((F460-B460*INT(F460/B460)))/C460)/100))))</f>
        <v>0</v>
      </c>
      <c r="AR460" s="57">
        <f>IF(ISERROR(IF(B460=C460,G460/C460,(INT(G460/B460)+(((G460-B460*INT(G460/B460)))/C460)/100))),0,(IF(B460=C460,G460/C460,(INT(G460/B460)+(((G460-B460*INT(G460/B460)))/C460)/100))))</f>
        <v>0</v>
      </c>
      <c r="AS460" s="57">
        <f>IF(ISERROR(IF(B460=C460,H460/C460,(INT(H460/B460)+(((H460-B460*INT(H460/B460)))/C460)/100))),0,(IF(B460=C460,H460/C460,(INT(H460/B460)+(((H460-B460*INT(H460/B460)))/C460)/100))))</f>
        <v>0</v>
      </c>
      <c r="AT460" s="57">
        <f>IF(ISERROR(IF(B460=C460,I460/C460,(INT(I460/B460)+(((I460-B460*INT(I460/B460)))/C460)/100))),0,(IF(B460=C460,I460/C460,(INT(I460/B460)+(((I460-B460*INT(I460/B460)))/C460)/100))))</f>
        <v>0</v>
      </c>
      <c r="AU460" s="57">
        <f>IF(ISERROR(IF(B460=C460,J460/C460,(INT(J460/B460)+(((J460-B460*INT(J460/B460)))/C460)/100))),0,(IF(B460=C460,J460/C460,(INT(J460/B460)+(((J460-B460*INT(J460/B460)))/C460)/100))))</f>
        <v>0</v>
      </c>
      <c r="AV460" s="57">
        <f>IF(ISERROR(IF(B460=C460,K460/C460,IF((INT(K460/B460)+(((K460-B460*INT(K460/B460)))/C460)/100)&lt;0,(INT(K460/B460)+(((K460-B460*INT(K460/B460)))/C460)/100)+(1-(B460/C460/100)),(INT(K460/B460)+(((K460-B460*INT(K460/B460)))/C460)/100)))),0,IF(B460=C460,K460/C460,IF((INT(K460/B460)+(((K460-B460*INT(K460/B460)))/C460)/100)&lt;0,(INT(K460/B460)+(((K460-B460*INT(K460/B460)))/C460)/100)+(1-(B460/C460/100)),(INT(K460/B460)+(((K460-B460*INT(K460/B460)))/C460)/100))))</f>
        <v>0</v>
      </c>
      <c r="AW460" s="57">
        <f>IF(ISERROR(IF(B460=C460,L460/C460,(INT(L460/B460)+(((L460-B460*INT(L460/B460)))/C460)/100))),0,(IF(B460=C460,L460/C460,(INT(L460/B460)+(((L460-B460*INT(L460/B460)))/C460)/100))))</f>
        <v>0</v>
      </c>
      <c r="AX460" s="57">
        <f>IF(ISERROR(IF(B460=C460,M460/C460,(INT(M460/B460)+(((M460-B460*INT(M460/B460)))/C460)/100))),0,(IF(B460=C460,M460/C460,(INT(M460/B460)+(((M460-B460*INT(M460/B460)))/C460)/100))))</f>
        <v>0</v>
      </c>
      <c r="AY460" s="57">
        <f>IF(ISERROR(IF(B460=C460,N460/C460,IF((INT(N460/B460)+(((N460-B460*INT(N460/B460)))/C460)/100)&lt;0,(INT(N460/B460)+(((N460-B460*INT(N460/B460)))/C460)/100)+(1-(B460/C460/100)),(INT(N460/B460)+(((N460-B460*INT(N460/B460)))/C460)/100)))),0,IF(B460=C460,N460/C460,IF((INT(N460/B460)+(((N460-B460*INT(N460/B460)))/C460)/100)&lt;0,(INT(N460/B460)+(((N460-B460*INT(N460/B460)))/C460)/100)+(1-(B460/C460/100)),(INT(N460/B460)+(((N460-B460*INT(N460/B460)))/C460)/100))))</f>
        <v>0</v>
      </c>
      <c r="AZ460" s="57">
        <f>IF(ISERROR(IF(B460=C460,O460/C460,(INT(O460/B460)+(((O460-B460*INT(O460/B460)))/C460)/100))),0,(IF(B460=C460,O460/C460,(INT(O460/B460)+(((O460-B460*INT(O460/B460)))/C460)/100))))</f>
        <v>0</v>
      </c>
      <c r="BA460" s="57">
        <f>IF(ISERROR(IF(B460=C460,P460/C460,IF((INT(P460/B460)+(((P460-B460*INT(P460/B460)))/C460)/100)&lt;0,(INT(P460/B460)+(((P460-B460*INT(P460/B460)))/C460)/100)+(1-(B460/C460/100)),(INT(P460/B460)+(((P460-B460*INT(P460/B460)))/C460)/100)))),0,IF(B460=C460,P460/C460,IF((INT(P460/B460)+(((P460-B460*INT(P460/B460)))/C460)/100)&lt;0,(INT(P460/B460)+(((P460-B460*INT(P460/B460)))/C460)/100)+(1-(B460/C460/100)),(INT(P460/B460)+(((P460-B460*INT(P460/B460)))/C460)/100))))</f>
        <v>0</v>
      </c>
      <c r="BB460" s="28">
        <f>R460</f>
        <v>0</v>
      </c>
      <c r="BC460" s="28">
        <f>S460</f>
        <v>0</v>
      </c>
      <c r="BD460" s="28">
        <f>AF460</f>
        <v>0</v>
      </c>
      <c r="BE460" s="28">
        <f>T460</f>
        <v>0</v>
      </c>
      <c r="BG460" s="57">
        <f>IF(ISERROR(IF(B460=C460,V460/C460,(INT(V460/B460)+(((V460-B460*INT(V460/B460)))/C460)/100))),0,(IF(B460=C460,V460/C460,(INT(V460/B460)+(((V460-B460*INT(V460/B460)))/C460)/100))))</f>
        <v>0</v>
      </c>
      <c r="BH460" s="57">
        <f>IF(ISERROR(IF(B460=C460,W460/C460,(INT(W460/B460)+(((W460-B460*INT(W460/B460)))/C460)/100))),0,(IF(B460=C460,W460/C460,(INT(W460/B460)+(((W460-B460*INT(W460/B460)))/C460)/100))))</f>
        <v>0</v>
      </c>
      <c r="BI460" s="57">
        <f>IF(ISERROR(IF(B460=C460,X460/C460,(INT(X460/B460)+(((X460-B460*INT(X460/B460)))/C460)/100))),0,(IF(B460=C460,X460/C460,(INT(X460/B460)+(((X460-B460*INT(X460/B460)))/C460)/100))))</f>
        <v>0</v>
      </c>
      <c r="BJ460" s="57">
        <f>IF(ISERROR(IF(B460=C460,Y460/C460,(INT(Y460/B460)+(((Y460-B460*INT(Y460/B460)))/C460)/100))),0,(IF(B460=C460,Y460/C460,(INT(Y460/B460)+(((Y460-B460*INT(Y460/B460)))/C460)/100))))</f>
        <v>0</v>
      </c>
      <c r="BL460" s="57">
        <f>IF(ISERROR(IF(B460=C460,AA460/C460,(INT(AA460/B460)+(((AA460-B460*INT(AA460/B460)))/C460)/100))),0,(IF(B460=C460,AA460/C460,(INT(AA460/B460)+(((AA460-B460*INT(AA460/B460)))/C460)/100))))</f>
        <v>0</v>
      </c>
      <c r="BM460" s="57">
        <f>IF(ISERROR(IF(B460=C460,AB460/C460,(INT(AB460/B460)+(((AB460-B460*INT(AB460/B460)))/C460)/100))),0,(IF(B460=C460,AB460/C460,(INT(AB460/B460)+(((AB460-B460*INT(AB460/B460)))/C460)/100))))</f>
        <v>0</v>
      </c>
      <c r="BN460" s="57">
        <f>IF(ISERROR(IF(B460=C460,AC460/C460,(INT(AC460/B460)+(((AC460-B460*INT(AC460/B460)))/C460)/100))),0,(IF(B460=C460,AC460/C460,(INT(AC460/B460)+(((AC460-B460*INT(AC460/B460)))/C460)/100))))</f>
        <v>0</v>
      </c>
      <c r="BO460" s="57">
        <f>IF(ISERROR(IF(B460=C460,AD460/C460,(INT(AD460/B460)+(((AD460-B460*INT(AD460/B460)))/C460)/100))),0,(IF(B460=C460,AD460/C460,(INT(AD460/B460)+(((AD460-B460*INT(AD460/B460)))/C460)/100))))</f>
        <v>0</v>
      </c>
      <c r="BQ460" s="155"/>
    </row>
    <row r="461" spans="1:69" hidden="1" x14ac:dyDescent="0.35">
      <c r="A461" s="94"/>
      <c r="B461" s="113">
        <v>0</v>
      </c>
      <c r="C461" s="113">
        <v>0</v>
      </c>
      <c r="D461" s="28">
        <f>SUM(AA461:AD461)</f>
        <v>0</v>
      </c>
      <c r="E461" s="113">
        <v>0</v>
      </c>
      <c r="F461" s="113">
        <v>0</v>
      </c>
      <c r="G461" s="28">
        <f>SUM(D461:F461)</f>
        <v>0</v>
      </c>
      <c r="H461" s="125">
        <v>0</v>
      </c>
      <c r="I461" s="113">
        <v>0</v>
      </c>
      <c r="J461" s="125">
        <v>0</v>
      </c>
      <c r="K461" s="113">
        <v>0</v>
      </c>
      <c r="L461" s="113">
        <v>0</v>
      </c>
      <c r="M461" s="113">
        <v>0</v>
      </c>
      <c r="N461" s="28">
        <f>G461-SUM(H461:M461)</f>
        <v>0</v>
      </c>
      <c r="O461" s="28">
        <f>SUM(V461:Y461)</f>
        <v>0</v>
      </c>
      <c r="P461" s="28">
        <f>O461-N461</f>
        <v>0</v>
      </c>
      <c r="Q461" s="61" t="str">
        <f>IF(ISERROR(P461/SUM(H461:L461)),"",P461/SUM(H461:L461))</f>
        <v/>
      </c>
      <c r="R461" s="113">
        <v>0</v>
      </c>
      <c r="S461" s="28">
        <f>IF(ISERROR(P461/C461*R461),0,(P461/C461*R461))</f>
        <v>0</v>
      </c>
      <c r="T461" s="60">
        <f>IF(ISERROR(P461/B461*AF461),0,(P461/B461*AF461))</f>
        <v>0</v>
      </c>
      <c r="V461" s="113">
        <v>0</v>
      </c>
      <c r="W461" s="113">
        <v>0</v>
      </c>
      <c r="X461" s="113">
        <v>0</v>
      </c>
      <c r="Y461" s="113">
        <v>0</v>
      </c>
      <c r="AA461" s="113">
        <v>0</v>
      </c>
      <c r="AB461" s="113">
        <v>0</v>
      </c>
      <c r="AC461" s="113">
        <v>0</v>
      </c>
      <c r="AD461" s="113">
        <v>0</v>
      </c>
      <c r="AF461" s="113">
        <v>0</v>
      </c>
      <c r="AG461" s="28">
        <f>G461-O461</f>
        <v>0</v>
      </c>
      <c r="AH461" s="58">
        <f>IF(ISERROR(AG461/B461*AF461),0,(AG461/B461*AF461))</f>
        <v>0</v>
      </c>
      <c r="AI461" s="28">
        <f>SUM(H461:M461)</f>
        <v>0</v>
      </c>
      <c r="AJ461" s="28">
        <f>IF(ISERROR(AI461/B461*AF461),0,(AI461/B461*AF461))</f>
        <v>0</v>
      </c>
      <c r="AK461" s="58">
        <f>IF(ISERROR(O461/B461*AF461),0,(O461/B461*AF461))</f>
        <v>0</v>
      </c>
      <c r="AL461" s="28">
        <f>IF(ISERROR(H461/B461*AF461),0,(H461/B461*AF461))</f>
        <v>0</v>
      </c>
      <c r="AN461" s="51">
        <f>A461</f>
        <v>0</v>
      </c>
      <c r="AO461" s="57">
        <f>IF(ISERROR(IF(B461=C461,D461/C461,(INT(D461/B461)+(((D461-B461*INT(D461/B461)))/C461)/100))),0,(IF(B461=C461,D461/C461,(INT(D461/B461)+(((D461-B461*INT(D461/B461)))/C461)/100))))</f>
        <v>0</v>
      </c>
      <c r="AP461" s="57">
        <f>IF(ISERROR(IF(B461=C461,E461/C461,(INT(E461/B461)+(((E461-B461*INT(E461/B461)))/C461)/100))),0,(IF(B461=C461,E461/C461,(INT(E461/B461)+(((E461-B461*INT(E461/B461)))/C461)/100))))</f>
        <v>0</v>
      </c>
      <c r="AQ461" s="57">
        <f>IF(ISERROR(IF(B461=C461,F461/C461,IF((INT(F461/B461)+(((F461-B461*INT(F461/B461)))/C461)/100)&lt;0,(INT(F461/B461)+(((F461-B461*INT(F461/B461)))/C461)/100)+(1-(B461/C461/100)),(INT(F461/B461)+(((F461-B461*INT(F461/B461)))/C461)/100)))),0,IF(B461=C461,F461/C461,IF((INT(F461/B461)+(((F461-B461*INT(F461/B461)))/C461)/100)&lt;0,(INT(F461/B461)+(((F461-B461*INT(F461/B461)))/C461)/100)+(1-(B461/C461/100)),(INT(F461/B461)+(((F461-B461*INT(F461/B461)))/C461)/100))))</f>
        <v>0</v>
      </c>
      <c r="AR461" s="57">
        <f>IF(ISERROR(IF(B461=C461,G461/C461,(INT(G461/B461)+(((G461-B461*INT(G461/B461)))/C461)/100))),0,(IF(B461=C461,G461/C461,(INT(G461/B461)+(((G461-B461*INT(G461/B461)))/C461)/100))))</f>
        <v>0</v>
      </c>
      <c r="AS461" s="57">
        <f>IF(ISERROR(IF(B461=C461,H461/C461,(INT(H461/B461)+(((H461-B461*INT(H461/B461)))/C461)/100))),0,(IF(B461=C461,H461/C461,(INT(H461/B461)+(((H461-B461*INT(H461/B461)))/C461)/100))))</f>
        <v>0</v>
      </c>
      <c r="AT461" s="57">
        <f>IF(ISERROR(IF(B461=C461,I461/C461,(INT(I461/B461)+(((I461-B461*INT(I461/B461)))/C461)/100))),0,(IF(B461=C461,I461/C461,(INT(I461/B461)+(((I461-B461*INT(I461/B461)))/C461)/100))))</f>
        <v>0</v>
      </c>
      <c r="AU461" s="57">
        <f>IF(ISERROR(IF(B461=C461,J461/C461,(INT(J461/B461)+(((J461-B461*INT(J461/B461)))/C461)/100))),0,(IF(B461=C461,J461/C461,(INT(J461/B461)+(((J461-B461*INT(J461/B461)))/C461)/100))))</f>
        <v>0</v>
      </c>
      <c r="AV461" s="57">
        <f>IF(ISERROR(IF(B461=C461,K461/C461,IF((INT(K461/B461)+(((K461-B461*INT(K461/B461)))/C461)/100)&lt;0,(INT(K461/B461)+(((K461-B461*INT(K461/B461)))/C461)/100)+(1-(B461/C461/100)),(INT(K461/B461)+(((K461-B461*INT(K461/B461)))/C461)/100)))),0,IF(B461=C461,K461/C461,IF((INT(K461/B461)+(((K461-B461*INT(K461/B461)))/C461)/100)&lt;0,(INT(K461/B461)+(((K461-B461*INT(K461/B461)))/C461)/100)+(1-(B461/C461/100)),(INT(K461/B461)+(((K461-B461*INT(K461/B461)))/C461)/100))))</f>
        <v>0</v>
      </c>
      <c r="AW461" s="57">
        <f>IF(ISERROR(IF(B461=C461,L461/C461,(INT(L461/B461)+(((L461-B461*INT(L461/B461)))/C461)/100))),0,(IF(B461=C461,L461/C461,(INT(L461/B461)+(((L461-B461*INT(L461/B461)))/C461)/100))))</f>
        <v>0</v>
      </c>
      <c r="AX461" s="57">
        <f>IF(ISERROR(IF(B461=C461,M461/C461,(INT(M461/B461)+(((M461-B461*INT(M461/B461)))/C461)/100))),0,(IF(B461=C461,M461/C461,(INT(M461/B461)+(((M461-B461*INT(M461/B461)))/C461)/100))))</f>
        <v>0</v>
      </c>
      <c r="AY461" s="57">
        <f>IF(ISERROR(IF(B461=C461,N461/C461,IF((INT(N461/B461)+(((N461-B461*INT(N461/B461)))/C461)/100)&lt;0,(INT(N461/B461)+(((N461-B461*INT(N461/B461)))/C461)/100)+(1-(B461/C461/100)),(INT(N461/B461)+(((N461-B461*INT(N461/B461)))/C461)/100)))),0,IF(B461=C461,N461/C461,IF((INT(N461/B461)+(((N461-B461*INT(N461/B461)))/C461)/100)&lt;0,(INT(N461/B461)+(((N461-B461*INT(N461/B461)))/C461)/100)+(1-(B461/C461/100)),(INT(N461/B461)+(((N461-B461*INT(N461/B461)))/C461)/100))))</f>
        <v>0</v>
      </c>
      <c r="AZ461" s="57">
        <f>IF(ISERROR(IF(B461=C461,O461/C461,(INT(O461/B461)+(((O461-B461*INT(O461/B461)))/C461)/100))),0,(IF(B461=C461,O461/C461,(INT(O461/B461)+(((O461-B461*INT(O461/B461)))/C461)/100))))</f>
        <v>0</v>
      </c>
      <c r="BA461" s="57">
        <f>IF(ISERROR(IF(B461=C461,P461/C461,IF((INT(P461/B461)+(((P461-B461*INT(P461/B461)))/C461)/100)&lt;0,(INT(P461/B461)+(((P461-B461*INT(P461/B461)))/C461)/100)+(1-(B461/C461/100)),(INT(P461/B461)+(((P461-B461*INT(P461/B461)))/C461)/100)))),0,IF(B461=C461,P461/C461,IF((INT(P461/B461)+(((P461-B461*INT(P461/B461)))/C461)/100)&lt;0,(INT(P461/B461)+(((P461-B461*INT(P461/B461)))/C461)/100)+(1-(B461/C461/100)),(INT(P461/B461)+(((P461-B461*INT(P461/B461)))/C461)/100))))</f>
        <v>0</v>
      </c>
      <c r="BB461" s="28">
        <f>R461</f>
        <v>0</v>
      </c>
      <c r="BC461" s="28">
        <f>S461</f>
        <v>0</v>
      </c>
      <c r="BD461" s="28">
        <f>AF461</f>
        <v>0</v>
      </c>
      <c r="BE461" s="28">
        <f>T461</f>
        <v>0</v>
      </c>
      <c r="BG461" s="57">
        <f>IF(ISERROR(IF(B461=C461,V461/C461,(INT(V461/B461)+(((V461-B461*INT(V461/B461)))/C461)/100))),0,(IF(B461=C461,V461/C461,(INT(V461/B461)+(((V461-B461*INT(V461/B461)))/C461)/100))))</f>
        <v>0</v>
      </c>
      <c r="BH461" s="57">
        <f>IF(ISERROR(IF(B461=C461,W461/C461,(INT(W461/B461)+(((W461-B461*INT(W461/B461)))/C461)/100))),0,(IF(B461=C461,W461/C461,(INT(W461/B461)+(((W461-B461*INT(W461/B461)))/C461)/100))))</f>
        <v>0</v>
      </c>
      <c r="BI461" s="57">
        <f>IF(ISERROR(IF(B461=C461,X461/C461,(INT(X461/B461)+(((X461-B461*INT(X461/B461)))/C461)/100))),0,(IF(B461=C461,X461/C461,(INT(X461/B461)+(((X461-B461*INT(X461/B461)))/C461)/100))))</f>
        <v>0</v>
      </c>
      <c r="BJ461" s="57">
        <f>IF(ISERROR(IF(B461=C461,Y461/C461,(INT(Y461/B461)+(((Y461-B461*INT(Y461/B461)))/C461)/100))),0,(IF(B461=C461,Y461/C461,(INT(Y461/B461)+(((Y461-B461*INT(Y461/B461)))/C461)/100))))</f>
        <v>0</v>
      </c>
      <c r="BL461" s="57">
        <f>IF(ISERROR(IF(B461=C461,AA461/C461,(INT(AA461/B461)+(((AA461-B461*INT(AA461/B461)))/C461)/100))),0,(IF(B461=C461,AA461/C461,(INT(AA461/B461)+(((AA461-B461*INT(AA461/B461)))/C461)/100))))</f>
        <v>0</v>
      </c>
      <c r="BM461" s="57">
        <f>IF(ISERROR(IF(B461=C461,AB461/C461,(INT(AB461/B461)+(((AB461-B461*INT(AB461/B461)))/C461)/100))),0,(IF(B461=C461,AB461/C461,(INT(AB461/B461)+(((AB461-B461*INT(AB461/B461)))/C461)/100))))</f>
        <v>0</v>
      </c>
      <c r="BN461" s="57">
        <f>IF(ISERROR(IF(B461=C461,AC461/C461,(INT(AC461/B461)+(((AC461-B461*INT(AC461/B461)))/C461)/100))),0,(IF(B461=C461,AC461/C461,(INT(AC461/B461)+(((AC461-B461*INT(AC461/B461)))/C461)/100))))</f>
        <v>0</v>
      </c>
      <c r="BO461" s="57">
        <f>IF(ISERROR(IF(B461=C461,AD461/C461,(INT(AD461/B461)+(((AD461-B461*INT(AD461/B461)))/C461)/100))),0,(IF(B461=C461,AD461/C461,(INT(AD461/B461)+(((AD461-B461*INT(AD461/B461)))/C461)/100))))</f>
        <v>0</v>
      </c>
      <c r="BQ461" s="155"/>
    </row>
    <row r="462" spans="1:69" hidden="1" x14ac:dyDescent="0.35">
      <c r="A462" s="94"/>
      <c r="B462" s="113">
        <v>0</v>
      </c>
      <c r="C462" s="113">
        <v>0</v>
      </c>
      <c r="D462" s="28">
        <f>SUM(AA462:AD462)</f>
        <v>0</v>
      </c>
      <c r="E462" s="113">
        <v>0</v>
      </c>
      <c r="F462" s="113">
        <v>0</v>
      </c>
      <c r="G462" s="28">
        <f>SUM(D462:F462)</f>
        <v>0</v>
      </c>
      <c r="H462" s="125">
        <v>0</v>
      </c>
      <c r="I462" s="113">
        <v>0</v>
      </c>
      <c r="J462" s="125">
        <v>0</v>
      </c>
      <c r="K462" s="113">
        <v>0</v>
      </c>
      <c r="L462" s="113">
        <v>0</v>
      </c>
      <c r="M462" s="113">
        <v>0</v>
      </c>
      <c r="N462" s="28">
        <f>G462-SUM(H462:M462)</f>
        <v>0</v>
      </c>
      <c r="O462" s="28">
        <f>SUM(V462:Y462)</f>
        <v>0</v>
      </c>
      <c r="P462" s="28">
        <f>O462-N462</f>
        <v>0</v>
      </c>
      <c r="Q462" s="61" t="str">
        <f>IF(ISERROR(P462/SUM(H462:L462)),"",P462/SUM(H462:L462))</f>
        <v/>
      </c>
      <c r="R462" s="113">
        <v>0</v>
      </c>
      <c r="S462" s="28">
        <f>IF(ISERROR(P462/C462*R462),0,(P462/C462*R462))</f>
        <v>0</v>
      </c>
      <c r="T462" s="60">
        <f>IF(ISERROR(P462/B462*AF462),0,(P462/B462*AF462))</f>
        <v>0</v>
      </c>
      <c r="V462" s="113">
        <v>0</v>
      </c>
      <c r="W462" s="113">
        <v>0</v>
      </c>
      <c r="X462" s="113">
        <v>0</v>
      </c>
      <c r="Y462" s="113">
        <v>0</v>
      </c>
      <c r="AA462" s="113">
        <v>0</v>
      </c>
      <c r="AB462" s="113">
        <v>0</v>
      </c>
      <c r="AC462" s="113">
        <v>0</v>
      </c>
      <c r="AD462" s="113">
        <v>0</v>
      </c>
      <c r="AF462" s="113">
        <v>0</v>
      </c>
      <c r="AG462" s="28">
        <f>G462-O462</f>
        <v>0</v>
      </c>
      <c r="AH462" s="58">
        <f>IF(ISERROR(AG462/B462*AF462),0,(AG462/B462*AF462))</f>
        <v>0</v>
      </c>
      <c r="AI462" s="28">
        <f>SUM(H462:M462)</f>
        <v>0</v>
      </c>
      <c r="AJ462" s="28">
        <f>IF(ISERROR(AI462/B462*AF462),0,(AI462/B462*AF462))</f>
        <v>0</v>
      </c>
      <c r="AK462" s="58">
        <f>IF(ISERROR(O462/B462*AF462),0,(O462/B462*AF462))</f>
        <v>0</v>
      </c>
      <c r="AL462" s="28">
        <f>IF(ISERROR(H462/B462*AF462),0,(H462/B462*AF462))</f>
        <v>0</v>
      </c>
      <c r="AN462" s="51">
        <f>A462</f>
        <v>0</v>
      </c>
      <c r="AO462" s="57">
        <f>IF(ISERROR(IF(B462=C462,D462/C462,(INT(D462/B462)+(((D462-B462*INT(D462/B462)))/C462)/100))),0,(IF(B462=C462,D462/C462,(INT(D462/B462)+(((D462-B462*INT(D462/B462)))/C462)/100))))</f>
        <v>0</v>
      </c>
      <c r="AP462" s="57">
        <f>IF(ISERROR(IF(B462=C462,E462/C462,(INT(E462/B462)+(((E462-B462*INT(E462/B462)))/C462)/100))),0,(IF(B462=C462,E462/C462,(INT(E462/B462)+(((E462-B462*INT(E462/B462)))/C462)/100))))</f>
        <v>0</v>
      </c>
      <c r="AQ462" s="57">
        <f>IF(ISERROR(IF(B462=C462,F462/C462,IF((INT(F462/B462)+(((F462-B462*INT(F462/B462)))/C462)/100)&lt;0,(INT(F462/B462)+(((F462-B462*INT(F462/B462)))/C462)/100)+(1-(B462/C462/100)),(INT(F462/B462)+(((F462-B462*INT(F462/B462)))/C462)/100)))),0,IF(B462=C462,F462/C462,IF((INT(F462/B462)+(((F462-B462*INT(F462/B462)))/C462)/100)&lt;0,(INT(F462/B462)+(((F462-B462*INT(F462/B462)))/C462)/100)+(1-(B462/C462/100)),(INT(F462/B462)+(((F462-B462*INT(F462/B462)))/C462)/100))))</f>
        <v>0</v>
      </c>
      <c r="AR462" s="57">
        <f>IF(ISERROR(IF(B462=C462,G462/C462,(INT(G462/B462)+(((G462-B462*INT(G462/B462)))/C462)/100))),0,(IF(B462=C462,G462/C462,(INT(G462/B462)+(((G462-B462*INT(G462/B462)))/C462)/100))))</f>
        <v>0</v>
      </c>
      <c r="AS462" s="57">
        <f>IF(ISERROR(IF(B462=C462,H462/C462,(INT(H462/B462)+(((H462-B462*INT(H462/B462)))/C462)/100))),0,(IF(B462=C462,H462/C462,(INT(H462/B462)+(((H462-B462*INT(H462/B462)))/C462)/100))))</f>
        <v>0</v>
      </c>
      <c r="AT462" s="57">
        <f>IF(ISERROR(IF(B462=C462,I462/C462,(INT(I462/B462)+(((I462-B462*INT(I462/B462)))/C462)/100))),0,(IF(B462=C462,I462/C462,(INT(I462/B462)+(((I462-B462*INT(I462/B462)))/C462)/100))))</f>
        <v>0</v>
      </c>
      <c r="AU462" s="57">
        <f>IF(ISERROR(IF(B462=C462,J462/C462,(INT(J462/B462)+(((J462-B462*INT(J462/B462)))/C462)/100))),0,(IF(B462=C462,J462/C462,(INT(J462/B462)+(((J462-B462*INT(J462/B462)))/C462)/100))))</f>
        <v>0</v>
      </c>
      <c r="AV462" s="57">
        <f>IF(ISERROR(IF(B462=C462,K462/C462,IF((INT(K462/B462)+(((K462-B462*INT(K462/B462)))/C462)/100)&lt;0,(INT(K462/B462)+(((K462-B462*INT(K462/B462)))/C462)/100)+(1-(B462/C462/100)),(INT(K462/B462)+(((K462-B462*INT(K462/B462)))/C462)/100)))),0,IF(B462=C462,K462/C462,IF((INT(K462/B462)+(((K462-B462*INT(K462/B462)))/C462)/100)&lt;0,(INT(K462/B462)+(((K462-B462*INT(K462/B462)))/C462)/100)+(1-(B462/C462/100)),(INT(K462/B462)+(((K462-B462*INT(K462/B462)))/C462)/100))))</f>
        <v>0</v>
      </c>
      <c r="AW462" s="57">
        <f>IF(ISERROR(IF(B462=C462,L462/C462,(INT(L462/B462)+(((L462-B462*INT(L462/B462)))/C462)/100))),0,(IF(B462=C462,L462/C462,(INT(L462/B462)+(((L462-B462*INT(L462/B462)))/C462)/100))))</f>
        <v>0</v>
      </c>
      <c r="AX462" s="57">
        <f>IF(ISERROR(IF(B462=C462,M462/C462,(INT(M462/B462)+(((M462-B462*INT(M462/B462)))/C462)/100))),0,(IF(B462=C462,M462/C462,(INT(M462/B462)+(((M462-B462*INT(M462/B462)))/C462)/100))))</f>
        <v>0</v>
      </c>
      <c r="AY462" s="57">
        <f>IF(ISERROR(IF(B462=C462,N462/C462,IF((INT(N462/B462)+(((N462-B462*INT(N462/B462)))/C462)/100)&lt;0,(INT(N462/B462)+(((N462-B462*INT(N462/B462)))/C462)/100)+(1-(B462/C462/100)),(INT(N462/B462)+(((N462-B462*INT(N462/B462)))/C462)/100)))),0,IF(B462=C462,N462/C462,IF((INT(N462/B462)+(((N462-B462*INT(N462/B462)))/C462)/100)&lt;0,(INT(N462/B462)+(((N462-B462*INT(N462/B462)))/C462)/100)+(1-(B462/C462/100)),(INT(N462/B462)+(((N462-B462*INT(N462/B462)))/C462)/100))))</f>
        <v>0</v>
      </c>
      <c r="AZ462" s="57">
        <f>IF(ISERROR(IF(B462=C462,O462/C462,(INT(O462/B462)+(((O462-B462*INT(O462/B462)))/C462)/100))),0,(IF(B462=C462,O462/C462,(INT(O462/B462)+(((O462-B462*INT(O462/B462)))/C462)/100))))</f>
        <v>0</v>
      </c>
      <c r="BA462" s="57">
        <f>IF(ISERROR(IF(B462=C462,P462/C462,IF((INT(P462/B462)+(((P462-B462*INT(P462/B462)))/C462)/100)&lt;0,(INT(P462/B462)+(((P462-B462*INT(P462/B462)))/C462)/100)+(1-(B462/C462/100)),(INT(P462/B462)+(((P462-B462*INT(P462/B462)))/C462)/100)))),0,IF(B462=C462,P462/C462,IF((INT(P462/B462)+(((P462-B462*INT(P462/B462)))/C462)/100)&lt;0,(INT(P462/B462)+(((P462-B462*INT(P462/B462)))/C462)/100)+(1-(B462/C462/100)),(INT(P462/B462)+(((P462-B462*INT(P462/B462)))/C462)/100))))</f>
        <v>0</v>
      </c>
      <c r="BB462" s="28">
        <f>R462</f>
        <v>0</v>
      </c>
      <c r="BC462" s="28">
        <f>S462</f>
        <v>0</v>
      </c>
      <c r="BD462" s="28">
        <f>AF462</f>
        <v>0</v>
      </c>
      <c r="BE462" s="28">
        <f>T462</f>
        <v>0</v>
      </c>
      <c r="BG462" s="57">
        <f>IF(ISERROR(IF(B462=C462,V462/C462,(INT(V462/B462)+(((V462-B462*INT(V462/B462)))/C462)/100))),0,(IF(B462=C462,V462/C462,(INT(V462/B462)+(((V462-B462*INT(V462/B462)))/C462)/100))))</f>
        <v>0</v>
      </c>
      <c r="BH462" s="57">
        <f>IF(ISERROR(IF(B462=C462,W462/C462,(INT(W462/B462)+(((W462-B462*INT(W462/B462)))/C462)/100))),0,(IF(B462=C462,W462/C462,(INT(W462/B462)+(((W462-B462*INT(W462/B462)))/C462)/100))))</f>
        <v>0</v>
      </c>
      <c r="BI462" s="57">
        <f>IF(ISERROR(IF(B462=C462,X462/C462,(INT(X462/B462)+(((X462-B462*INT(X462/B462)))/C462)/100))),0,(IF(B462=C462,X462/C462,(INT(X462/B462)+(((X462-B462*INT(X462/B462)))/C462)/100))))</f>
        <v>0</v>
      </c>
      <c r="BJ462" s="57">
        <f>IF(ISERROR(IF(B462=C462,Y462/C462,(INT(Y462/B462)+(((Y462-B462*INT(Y462/B462)))/C462)/100))),0,(IF(B462=C462,Y462/C462,(INT(Y462/B462)+(((Y462-B462*INT(Y462/B462)))/C462)/100))))</f>
        <v>0</v>
      </c>
      <c r="BL462" s="57">
        <f>IF(ISERROR(IF(B462=C462,AA462/C462,(INT(AA462/B462)+(((AA462-B462*INT(AA462/B462)))/C462)/100))),0,(IF(B462=C462,AA462/C462,(INT(AA462/B462)+(((AA462-B462*INT(AA462/B462)))/C462)/100))))</f>
        <v>0</v>
      </c>
      <c r="BM462" s="57">
        <f>IF(ISERROR(IF(B462=C462,AB462/C462,(INT(AB462/B462)+(((AB462-B462*INT(AB462/B462)))/C462)/100))),0,(IF(B462=C462,AB462/C462,(INT(AB462/B462)+(((AB462-B462*INT(AB462/B462)))/C462)/100))))</f>
        <v>0</v>
      </c>
      <c r="BN462" s="57">
        <f>IF(ISERROR(IF(B462=C462,AC462/C462,(INT(AC462/B462)+(((AC462-B462*INT(AC462/B462)))/C462)/100))),0,(IF(B462=C462,AC462/C462,(INT(AC462/B462)+(((AC462-B462*INT(AC462/B462)))/C462)/100))))</f>
        <v>0</v>
      </c>
      <c r="BO462" s="57">
        <f>IF(ISERROR(IF(B462=C462,AD462/C462,(INT(AD462/B462)+(((AD462-B462*INT(AD462/B462)))/C462)/100))),0,(IF(B462=C462,AD462/C462,(INT(AD462/B462)+(((AD462-B462*INT(AD462/B462)))/C462)/100))))</f>
        <v>0</v>
      </c>
      <c r="BQ462" s="155"/>
    </row>
    <row r="463" spans="1:69" x14ac:dyDescent="0.35">
      <c r="A463" s="94"/>
      <c r="B463" s="113"/>
      <c r="C463" s="113"/>
      <c r="D463" s="28"/>
      <c r="E463" s="113"/>
      <c r="F463" s="113"/>
      <c r="G463" s="28"/>
      <c r="H463" s="125"/>
      <c r="I463" s="113"/>
      <c r="J463" s="125"/>
      <c r="K463" s="113"/>
      <c r="L463" s="113"/>
      <c r="M463" s="113"/>
      <c r="N463" s="28"/>
      <c r="O463" s="28"/>
      <c r="P463" s="28"/>
      <c r="Q463" s="61"/>
      <c r="R463" s="113"/>
      <c r="S463" s="28"/>
      <c r="T463" s="28"/>
      <c r="V463" s="113"/>
      <c r="W463" s="113"/>
      <c r="X463" s="113"/>
      <c r="Y463" s="113"/>
      <c r="AA463" s="113"/>
      <c r="AB463" s="113"/>
      <c r="AC463" s="113"/>
      <c r="AD463" s="113"/>
      <c r="AF463" s="113"/>
      <c r="AG463" s="28"/>
      <c r="AH463" s="58"/>
      <c r="AI463" s="28"/>
      <c r="AJ463" s="28"/>
      <c r="AK463" s="58"/>
      <c r="AL463" s="28"/>
      <c r="AN463" s="51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  <c r="BG463" s="28"/>
      <c r="BH463" s="28"/>
      <c r="BI463" s="28"/>
      <c r="BJ463" s="28"/>
      <c r="BL463" s="28"/>
      <c r="BM463" s="28"/>
      <c r="BN463" s="28"/>
      <c r="BO463" s="28"/>
      <c r="BQ463" s="113"/>
    </row>
    <row r="464" spans="1:69" x14ac:dyDescent="0.35">
      <c r="A464" s="123" t="s">
        <v>201</v>
      </c>
      <c r="B464" s="122"/>
      <c r="C464" s="122"/>
      <c r="D464" s="40"/>
      <c r="E464" s="122"/>
      <c r="F464" s="122"/>
      <c r="G464" s="40"/>
      <c r="H464" s="121"/>
      <c r="I464" s="122"/>
      <c r="J464" s="121"/>
      <c r="K464" s="122"/>
      <c r="L464" s="122"/>
      <c r="M464" s="122"/>
      <c r="N464" s="40"/>
      <c r="O464" s="40"/>
      <c r="P464" s="40"/>
      <c r="Q464" s="120"/>
      <c r="R464" s="122"/>
      <c r="S464" s="39">
        <f>SUBTOTAL(9,S6:S463)</f>
        <v>1990</v>
      </c>
      <c r="T464" s="39">
        <f>SUBTOTAL(9,T6:T463)</f>
        <v>490.83844444444435</v>
      </c>
      <c r="V464" s="122"/>
      <c r="W464" s="122"/>
      <c r="X464" s="122"/>
      <c r="Y464" s="122"/>
      <c r="AA464" s="122"/>
      <c r="AB464" s="122"/>
      <c r="AC464" s="122"/>
      <c r="AD464" s="122"/>
      <c r="AF464" s="122"/>
      <c r="AG464" s="40"/>
      <c r="AH464" s="117">
        <f>SUBTOTAL(9,AH6:AH463)</f>
        <v>4593.4741666666669</v>
      </c>
      <c r="AI464" s="39"/>
      <c r="AJ464" s="39">
        <f>SUBTOTAL(9,AJ6:AJ463)</f>
        <v>5084.3126111111123</v>
      </c>
      <c r="AK464" s="117">
        <f>SUBTOTAL(9,AK6:AK463)</f>
        <v>844389.39197996003</v>
      </c>
      <c r="AL464" s="39">
        <f>SUBTOTAL(9,AL6:AL463)</f>
        <v>3359.9794999999995</v>
      </c>
      <c r="AN464" s="41" t="str">
        <f>A464</f>
        <v>Total Spirits</v>
      </c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39">
        <f>S464</f>
        <v>1990</v>
      </c>
      <c r="BD464" s="39"/>
      <c r="BE464" s="39">
        <f>T464</f>
        <v>490.83844444444435</v>
      </c>
      <c r="BG464" s="40"/>
      <c r="BH464" s="40"/>
      <c r="BI464" s="40"/>
      <c r="BJ464" s="40"/>
      <c r="BL464" s="40"/>
      <c r="BM464" s="40"/>
      <c r="BN464" s="40"/>
      <c r="BO464" s="40"/>
      <c r="BQ464" s="122"/>
    </row>
    <row r="465" spans="1:69" x14ac:dyDescent="0.35">
      <c r="A465" s="94"/>
      <c r="B465" s="113"/>
      <c r="C465" s="113"/>
      <c r="D465" s="28"/>
      <c r="E465" s="113"/>
      <c r="F465" s="113"/>
      <c r="G465" s="28"/>
      <c r="H465" s="125"/>
      <c r="I465" s="113"/>
      <c r="J465" s="125"/>
      <c r="K465" s="113"/>
      <c r="L465" s="113"/>
      <c r="M465" s="113"/>
      <c r="N465" s="28"/>
      <c r="O465" s="28"/>
      <c r="P465" s="28"/>
      <c r="Q465" s="61"/>
      <c r="R465" s="113"/>
      <c r="S465" s="28"/>
      <c r="T465" s="28"/>
      <c r="V465" s="113"/>
      <c r="W465" s="113"/>
      <c r="X465" s="113"/>
      <c r="Y465" s="113"/>
      <c r="AA465" s="113"/>
      <c r="AB465" s="113"/>
      <c r="AC465" s="113"/>
      <c r="AD465" s="113"/>
      <c r="AF465" s="113"/>
      <c r="AG465" s="28"/>
      <c r="AH465" s="58"/>
      <c r="AI465" s="28"/>
      <c r="AJ465" s="28"/>
      <c r="AK465" s="58"/>
      <c r="AL465" s="28"/>
      <c r="AN465" s="51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  <c r="BG465" s="28"/>
      <c r="BH465" s="28"/>
      <c r="BI465" s="28"/>
      <c r="BJ465" s="28"/>
      <c r="BL465" s="28"/>
      <c r="BM465" s="28"/>
      <c r="BN465" s="28"/>
      <c r="BO465" s="28"/>
      <c r="BQ465" s="113"/>
    </row>
    <row r="466" spans="1:69" x14ac:dyDescent="0.35">
      <c r="A466" s="135" t="s">
        <v>200</v>
      </c>
      <c r="B466" s="113"/>
      <c r="C466" s="113"/>
      <c r="D466" s="28"/>
      <c r="E466" s="113"/>
      <c r="F466" s="113"/>
      <c r="G466" s="28"/>
      <c r="H466" s="125"/>
      <c r="I466" s="113"/>
      <c r="J466" s="125"/>
      <c r="K466" s="113"/>
      <c r="L466" s="113"/>
      <c r="M466" s="113"/>
      <c r="N466" s="28"/>
      <c r="O466" s="125"/>
      <c r="P466" s="28"/>
      <c r="Q466" s="61"/>
      <c r="R466" s="113"/>
      <c r="S466" s="28"/>
      <c r="T466" s="28"/>
      <c r="V466" s="113"/>
      <c r="W466" s="113"/>
      <c r="X466" s="113"/>
      <c r="Y466" s="113"/>
      <c r="AA466" s="113"/>
      <c r="AB466" s="113"/>
      <c r="AC466" s="113"/>
      <c r="AD466" s="113"/>
      <c r="AF466" s="113"/>
      <c r="AG466" s="28"/>
      <c r="AH466" s="58"/>
      <c r="AI466" s="28"/>
      <c r="AJ466" s="28"/>
      <c r="AK466" s="58"/>
      <c r="AL466" s="28"/>
      <c r="AN466" s="65" t="str">
        <f>A466</f>
        <v>Imported Wines</v>
      </c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  <c r="BG466" s="28"/>
      <c r="BH466" s="28"/>
      <c r="BI466" s="28"/>
      <c r="BJ466" s="28"/>
      <c r="BL466" s="28"/>
      <c r="BM466" s="28"/>
      <c r="BN466" s="28"/>
      <c r="BO466" s="28"/>
      <c r="BQ466" s="113"/>
    </row>
    <row r="467" spans="1:69" x14ac:dyDescent="0.35">
      <c r="A467" s="160" t="s">
        <v>199</v>
      </c>
      <c r="B467" s="113">
        <v>750</v>
      </c>
      <c r="C467" s="113">
        <v>150</v>
      </c>
      <c r="D467" s="28">
        <f>SUM(AA467:AD467)</f>
        <v>10800</v>
      </c>
      <c r="E467" s="113">
        <v>0</v>
      </c>
      <c r="F467" s="113">
        <v>0</v>
      </c>
      <c r="G467" s="28">
        <f>SUM(D467:F467)</f>
        <v>10800</v>
      </c>
      <c r="H467" s="164">
        <v>0</v>
      </c>
      <c r="I467" s="113">
        <v>0</v>
      </c>
      <c r="J467" s="125">
        <v>0</v>
      </c>
      <c r="K467" s="113">
        <v>0</v>
      </c>
      <c r="L467" s="113">
        <v>0</v>
      </c>
      <c r="M467" s="113">
        <v>0</v>
      </c>
      <c r="N467" s="28">
        <f>G467-SUM(H467:M467)</f>
        <v>10800</v>
      </c>
      <c r="O467" s="28">
        <f>SUM(V467:Y467)</f>
        <v>10800</v>
      </c>
      <c r="P467" s="28">
        <f>O467-N467</f>
        <v>0</v>
      </c>
      <c r="Q467" s="61" t="str">
        <f>IF(ISERROR(P467/SUM(H467:L467)),"",P467/SUM(H467:L467))</f>
        <v/>
      </c>
      <c r="R467" s="113">
        <v>325</v>
      </c>
      <c r="S467" s="28">
        <f>IF(ISERROR(P467/C467*R467),0,(P467/C467*R467))</f>
        <v>0</v>
      </c>
      <c r="T467" s="60">
        <f>IF(ISERROR(P467/B467*AF467),0,(P467/B467*AF467))</f>
        <v>0</v>
      </c>
      <c r="V467" s="113">
        <f>3*750+2*150</f>
        <v>2550</v>
      </c>
      <c r="W467" s="113">
        <f>11*750</f>
        <v>8250</v>
      </c>
      <c r="X467" s="113">
        <v>0</v>
      </c>
      <c r="Y467" s="113">
        <v>0</v>
      </c>
      <c r="AA467" s="113">
        <f>3*750+2*150</f>
        <v>2550</v>
      </c>
      <c r="AB467" s="113">
        <f>11*750</f>
        <v>8250</v>
      </c>
      <c r="AC467" s="113">
        <v>0</v>
      </c>
      <c r="AD467" s="113">
        <v>0</v>
      </c>
      <c r="AF467" s="162">
        <v>1000</v>
      </c>
      <c r="AG467" s="28">
        <f>G467-O467</f>
        <v>0</v>
      </c>
      <c r="AH467" s="58">
        <f>IF(ISERROR(AG467/B467*AF467),0,(AG467/B467*AF467))</f>
        <v>0</v>
      </c>
      <c r="AI467" s="28">
        <f>SUM(H467:M467)</f>
        <v>0</v>
      </c>
      <c r="AJ467" s="28">
        <f>IF(ISERROR(AI467/B467*AF467),0,(AI467/B467*AF467))</f>
        <v>0</v>
      </c>
      <c r="AK467" s="58">
        <f>IF(ISERROR(O467/B467*AF467),0,(O467/B467*AF467))</f>
        <v>14400</v>
      </c>
      <c r="AL467" s="28">
        <f>IF(ISERROR(H467/B467*AF467),0,(H467/B467*AF467))</f>
        <v>0</v>
      </c>
      <c r="AN467" s="51" t="str">
        <f>A467</f>
        <v xml:space="preserve">Jacobs Creek Chardonnay </v>
      </c>
      <c r="AO467" s="57">
        <f>IF(ISERROR(IF(B467=C467,D467/C467,(INT(D467/B467)+(((D467-B467*INT(D467/B467)))/C467)/100))),0,(IF(B467=C467,D467/C467,(INT(D467/B467)+(((D467-B467*INT(D467/B467)))/C467)/100))))</f>
        <v>14.02</v>
      </c>
      <c r="AP467" s="57">
        <f>IF(ISERROR(IF(B467=C467,E467/C467,(INT(E467/B467)+(((E467-B467*INT(E467/B467)))/C467)/100))),0,(IF(B467=C467,E467/C467,(INT(E467/B467)+(((E467-B467*INT(E467/B467)))/C467)/100))))</f>
        <v>0</v>
      </c>
      <c r="AQ467" s="57">
        <f>IF(ISERROR(IF(B467=C467,F467/C467,IF((INT(F467/B467)+(((F467-B467*INT(F467/B467)))/C467)/100)&lt;0,(INT(F467/B467)+(((F467-B467*INT(F467/B467)))/C467)/100)+(1-(B467/C467/100)),(INT(F467/B467)+(((F467-B467*INT(F467/B467)))/C467)/100)))),0,IF(B467=C467,F467/C467,IF((INT(F467/B467)+(((F467-B467*INT(F467/B467)))/C467)/100)&lt;0,(INT(F467/B467)+(((F467-B467*INT(F467/B467)))/C467)/100)+(1-(B467/C467/100)),(INT(F467/B467)+(((F467-B467*INT(F467/B467)))/C467)/100))))</f>
        <v>0</v>
      </c>
      <c r="AR467" s="57">
        <f>IF(ISERROR(IF(B467=C467,G467/C467,(INT(G467/B467)+(((G467-B467*INT(G467/B467)))/C467)/100))),0,(IF(B467=C467,G467/C467,(INT(G467/B467)+(((G467-B467*INT(G467/B467)))/C467)/100))))</f>
        <v>14.02</v>
      </c>
      <c r="AS467" s="57">
        <f>IF(ISERROR(IF(B467=C467,H467/C467,(INT(H467/B467)+(((H467-B467*INT(H467/B467)))/C467)/100))),0,(IF(B467=C467,H467/C467,(INT(H467/B467)+(((H467-B467*INT(H467/B467)))/C467)/100))))</f>
        <v>0</v>
      </c>
      <c r="AT467" s="57">
        <f>IF(ISERROR(IF(B467=C467,I467/C467,(INT(I467/B467)+(((I467-B467*INT(I467/B467)))/C467)/100))),0,(IF(B467=C467,I467/C467,(INT(I467/B467)+(((I467-B467*INT(I467/B467)))/C467)/100))))</f>
        <v>0</v>
      </c>
      <c r="AU467" s="57">
        <f>IF(ISERROR(IF(B467=C467,J467/C467,(INT(J467/B467)+(((J467-B467*INT(J467/B467)))/C467)/100))),0,(IF(B467=C467,J467/C467,(INT(J467/B467)+(((J467-B467*INT(J467/B467)))/C467)/100))))</f>
        <v>0</v>
      </c>
      <c r="AV467" s="57">
        <f>IF(ISERROR(IF(B467=C467,K467/C467,IF((INT(K467/B467)+(((K467-B467*INT(K467/B467)))/C467)/100)&lt;0,(INT(K467/B467)+(((K467-B467*INT(K467/B467)))/C467)/100)+(1-(B467/C467/100)),(INT(K467/B467)+(((K467-B467*INT(K467/B467)))/C467)/100)))),0,IF(B467=C467,K467/C467,IF((INT(K467/B467)+(((K467-B467*INT(K467/B467)))/C467)/100)&lt;0,(INT(K467/B467)+(((K467-B467*INT(K467/B467)))/C467)/100)+(1-(B467/C467/100)),(INT(K467/B467)+(((K467-B467*INT(K467/B467)))/C467)/100))))</f>
        <v>0</v>
      </c>
      <c r="AW467" s="57">
        <f>IF(ISERROR(IF(B467=C467,L467/C467,(INT(L467/B467)+(((L467-B467*INT(L467/B467)))/C467)/100))),0,(IF(B467=C467,L467/C467,(INT(L467/B467)+(((L467-B467*INT(L467/B467)))/C467)/100))))</f>
        <v>0</v>
      </c>
      <c r="AX467" s="57">
        <f>IF(ISERROR(IF(B467=C467,M467/C467,(INT(M467/B467)+(((M467-B467*INT(M467/B467)))/C467)/100))),0,(IF(B467=C467,M467/C467,(INT(M467/B467)+(((M467-B467*INT(M467/B467)))/C467)/100))))</f>
        <v>0</v>
      </c>
      <c r="AY467" s="57">
        <f>IF(ISERROR(IF(B467=C467,N467/C467,IF((INT(N467/B467)+(((N467-B467*INT(N467/B467)))/C467)/100)&lt;0,(INT(N467/B467)+(((N467-B467*INT(N467/B467)))/C467)/100)+(1-(B467/C467/100)),(INT(N467/B467)+(((N467-B467*INT(N467/B467)))/C467)/100)))),0,IF(B467=C467,N467/C467,IF((INT(N467/B467)+(((N467-B467*INT(N467/B467)))/C467)/100)&lt;0,(INT(N467/B467)+(((N467-B467*INT(N467/B467)))/C467)/100)+(1-(B467/C467/100)),(INT(N467/B467)+(((N467-B467*INT(N467/B467)))/C467)/100))))</f>
        <v>14.02</v>
      </c>
      <c r="AZ467" s="57">
        <f>IF(ISERROR(IF(B467=C467,O467/C467,(INT(O467/B467)+(((O467-B467*INT(O467/B467)))/C467)/100))),0,(IF(B467=C467,O467/C467,(INT(O467/B467)+(((O467-B467*INT(O467/B467)))/C467)/100))))</f>
        <v>14.02</v>
      </c>
      <c r="BA467" s="57">
        <f>IF(ISERROR(IF(B467=C467,P467/C467,IF((INT(P467/B467)+(((P467-B467*INT(P467/B467)))/C467)/100)&lt;0,(INT(P467/B467)+(((P467-B467*INT(P467/B467)))/C467)/100)+(1-(B467/C467/100)),(INT(P467/B467)+(((P467-B467*INT(P467/B467)))/C467)/100)))),0,IF(B467=C467,P467/C467,IF((INT(P467/B467)+(((P467-B467*INT(P467/B467)))/C467)/100)&lt;0,(INT(P467/B467)+(((P467-B467*INT(P467/B467)))/C467)/100)+(1-(B467/C467/100)),(INT(P467/B467)+(((P467-B467*INT(P467/B467)))/C467)/100))))</f>
        <v>0</v>
      </c>
      <c r="BB467" s="28">
        <f>R467</f>
        <v>325</v>
      </c>
      <c r="BC467" s="28">
        <f>S467</f>
        <v>0</v>
      </c>
      <c r="BD467" s="28">
        <f>AF467</f>
        <v>1000</v>
      </c>
      <c r="BE467" s="28">
        <f>T467</f>
        <v>0</v>
      </c>
      <c r="BG467" s="57">
        <f>IF(ISERROR(IF(B467=C467,V467/C467,(INT(V467/B467)+(((V467-B467*INT(V467/B467)))/C467)/100))),0,(IF(B467=C467,V467/C467,(INT(V467/B467)+(((V467-B467*INT(V467/B467)))/C467)/100))))</f>
        <v>3.02</v>
      </c>
      <c r="BH467" s="57">
        <f>IF(ISERROR(IF(B467=C467,W467/C467,(INT(W467/B467)+(((W467-B467*INT(W467/B467)))/C467)/100))),0,(IF(B467=C467,W467/C467,(INT(W467/B467)+(((W467-B467*INT(W467/B467)))/C467)/100))))</f>
        <v>11</v>
      </c>
      <c r="BI467" s="57">
        <f>IF(ISERROR(IF(B467=C467,X467/C467,(INT(X467/B467)+(((X467-B467*INT(X467/B467)))/C467)/100))),0,(IF(B467=C467,X467/C467,(INT(X467/B467)+(((X467-B467*INT(X467/B467)))/C467)/100))))</f>
        <v>0</v>
      </c>
      <c r="BJ467" s="57">
        <f>IF(ISERROR(IF(B467=C467,Y467/C467,(INT(Y467/B467)+(((Y467-B467*INT(Y467/B467)))/C467)/100))),0,(IF(B467=C467,Y467/C467,(INT(Y467/B467)+(((Y467-B467*INT(Y467/B467)))/C467)/100))))</f>
        <v>0</v>
      </c>
      <c r="BL467" s="57">
        <f>IF(ISERROR(IF(B467=C467,AA467/C467,(INT(AA467/B467)+(((AA467-B467*INT(AA467/B467)))/C467)/100))),0,(IF(B467=C467,AA467/C467,(INT(AA467/B467)+(((AA467-B467*INT(AA467/B467)))/C467)/100))))</f>
        <v>3.02</v>
      </c>
      <c r="BM467" s="57">
        <f>IF(ISERROR(IF(B467=C467,AB467/C467,(INT(AB467/B467)+(((AB467-B467*INT(AB467/B467)))/C467)/100))),0,(IF(B467=C467,AB467/C467,(INT(AB467/B467)+(((AB467-B467*INT(AB467/B467)))/C467)/100))))</f>
        <v>11</v>
      </c>
      <c r="BN467" s="57">
        <f>IF(ISERROR(IF(B467=C467,AC467/C467,(INT(AC467/B467)+(((AC467-B467*INT(AC467/B467)))/C467)/100))),0,(IF(B467=C467,AC467/C467,(INT(AC467/B467)+(((AC467-B467*INT(AC467/B467)))/C467)/100))))</f>
        <v>0</v>
      </c>
      <c r="BO467" s="57">
        <f>IF(ISERROR(IF(B467=C467,AD467/C467,(INT(AD467/B467)+(((AD467-B467*INT(AD467/B467)))/C467)/100))),0,(IF(B467=C467,AD467/C467,(INT(AD467/B467)+(((AD467-B467*INT(AD467/B467)))/C467)/100))))</f>
        <v>0</v>
      </c>
      <c r="BQ467" s="155" t="s">
        <v>189</v>
      </c>
    </row>
    <row r="468" spans="1:69" x14ac:dyDescent="0.35">
      <c r="A468" s="160" t="s">
        <v>198</v>
      </c>
      <c r="B468" s="113">
        <v>750</v>
      </c>
      <c r="C468" s="113">
        <v>150</v>
      </c>
      <c r="D468" s="28">
        <f>SUM(AA468:AD468)</f>
        <v>7650</v>
      </c>
      <c r="E468" s="113">
        <v>0</v>
      </c>
      <c r="F468" s="113">
        <v>0</v>
      </c>
      <c r="G468" s="28">
        <f>SUM(D468:F468)</f>
        <v>7650</v>
      </c>
      <c r="H468" s="164">
        <v>0</v>
      </c>
      <c r="I468" s="113">
        <v>0</v>
      </c>
      <c r="J468" s="125">
        <v>0</v>
      </c>
      <c r="K468" s="113">
        <v>0</v>
      </c>
      <c r="L468" s="113">
        <v>0</v>
      </c>
      <c r="M468" s="113">
        <v>0</v>
      </c>
      <c r="N468" s="28">
        <f>G468-SUM(H468:M468)</f>
        <v>7650</v>
      </c>
      <c r="O468" s="28">
        <f>SUM(V468:Y468)</f>
        <v>7650</v>
      </c>
      <c r="P468" s="28">
        <f>O468-N468</f>
        <v>0</v>
      </c>
      <c r="Q468" s="61" t="str">
        <f>IF(ISERROR(P468/SUM(H468:L468)),"",P468/SUM(H468:L468))</f>
        <v/>
      </c>
      <c r="R468" s="113">
        <v>325</v>
      </c>
      <c r="S468" s="28">
        <f>IF(ISERROR(P468/C468*R468),0,(P468/C468*R468))</f>
        <v>0</v>
      </c>
      <c r="T468" s="60">
        <f>IF(ISERROR(P468/B468*AF468),0,(P468/B468*AF468))</f>
        <v>0</v>
      </c>
      <c r="V468" s="113">
        <f>2*750+150</f>
        <v>1650</v>
      </c>
      <c r="W468" s="113">
        <f>8*750</f>
        <v>6000</v>
      </c>
      <c r="X468" s="113">
        <v>0</v>
      </c>
      <c r="Y468" s="113">
        <v>0</v>
      </c>
      <c r="AA468" s="113">
        <f>2*750+150</f>
        <v>1650</v>
      </c>
      <c r="AB468" s="113">
        <f>8*750</f>
        <v>6000</v>
      </c>
      <c r="AC468" s="113">
        <v>0</v>
      </c>
      <c r="AD468" s="113">
        <v>0</v>
      </c>
      <c r="AF468" s="162">
        <v>1000</v>
      </c>
      <c r="AG468" s="28">
        <f>G468-O468</f>
        <v>0</v>
      </c>
      <c r="AH468" s="58">
        <f>IF(ISERROR(AG468/B468*AF468),0,(AG468/B468*AF468))</f>
        <v>0</v>
      </c>
      <c r="AI468" s="28">
        <f>SUM(H468:M468)</f>
        <v>0</v>
      </c>
      <c r="AJ468" s="28">
        <f>IF(ISERROR(AI468/B468*AF468),0,(AI468/B468*AF468))</f>
        <v>0</v>
      </c>
      <c r="AK468" s="58">
        <f>IF(ISERROR(O468/B468*AF468),0,(O468/B468*AF468))</f>
        <v>10200</v>
      </c>
      <c r="AL468" s="28">
        <f>IF(ISERROR(H468/B468*AF468),0,(H468/B468*AF468))</f>
        <v>0</v>
      </c>
      <c r="AN468" s="51" t="str">
        <f>A468</f>
        <v>Jacobs Creek Shiraz Cabernet</v>
      </c>
      <c r="AO468" s="57">
        <f>IF(ISERROR(IF(B468=C468,D468/C468,(INT(D468/B468)+(((D468-B468*INT(D468/B468)))/C468)/100))),0,(IF(B468=C468,D468/C468,(INT(D468/B468)+(((D468-B468*INT(D468/B468)))/C468)/100))))</f>
        <v>10.01</v>
      </c>
      <c r="AP468" s="57">
        <f>IF(ISERROR(IF(B468=C468,E468/C468,(INT(E468/B468)+(((E468-B468*INT(E468/B468)))/C468)/100))),0,(IF(B468=C468,E468/C468,(INT(E468/B468)+(((E468-B468*INT(E468/B468)))/C468)/100))))</f>
        <v>0</v>
      </c>
      <c r="AQ468" s="57">
        <f>IF(ISERROR(IF(B468=C468,F468/C468,IF((INT(F468/B468)+(((F468-B468*INT(F468/B468)))/C468)/100)&lt;0,(INT(F468/B468)+(((F468-B468*INT(F468/B468)))/C468)/100)+(1-(B468/C468/100)),(INT(F468/B468)+(((F468-B468*INT(F468/B468)))/C468)/100)))),0,IF(B468=C468,F468/C468,IF((INT(F468/B468)+(((F468-B468*INT(F468/B468)))/C468)/100)&lt;0,(INT(F468/B468)+(((F468-B468*INT(F468/B468)))/C468)/100)+(1-(B468/C468/100)),(INT(F468/B468)+(((F468-B468*INT(F468/B468)))/C468)/100))))</f>
        <v>0</v>
      </c>
      <c r="AR468" s="57">
        <f>IF(ISERROR(IF(B468=C468,G468/C468,(INT(G468/B468)+(((G468-B468*INT(G468/B468)))/C468)/100))),0,(IF(B468=C468,G468/C468,(INT(G468/B468)+(((G468-B468*INT(G468/B468)))/C468)/100))))</f>
        <v>10.01</v>
      </c>
      <c r="AS468" s="57">
        <f>IF(ISERROR(IF(B468=C468,H468/C468,(INT(H468/B468)+(((H468-B468*INT(H468/B468)))/C468)/100))),0,(IF(B468=C468,H468/C468,(INT(H468/B468)+(((H468-B468*INT(H468/B468)))/C468)/100))))</f>
        <v>0</v>
      </c>
      <c r="AT468" s="57">
        <f>IF(ISERROR(IF(B468=C468,I468/C468,(INT(I468/B468)+(((I468-B468*INT(I468/B468)))/C468)/100))),0,(IF(B468=C468,I468/C468,(INT(I468/B468)+(((I468-B468*INT(I468/B468)))/C468)/100))))</f>
        <v>0</v>
      </c>
      <c r="AU468" s="57">
        <f>IF(ISERROR(IF(B468=C468,J468/C468,(INT(J468/B468)+(((J468-B468*INT(J468/B468)))/C468)/100))),0,(IF(B468=C468,J468/C468,(INT(J468/B468)+(((J468-B468*INT(J468/B468)))/C468)/100))))</f>
        <v>0</v>
      </c>
      <c r="AV468" s="57">
        <f>IF(ISERROR(IF(B468=C468,K468/C468,IF((INT(K468/B468)+(((K468-B468*INT(K468/B468)))/C468)/100)&lt;0,(INT(K468/B468)+(((K468-B468*INT(K468/B468)))/C468)/100)+(1-(B468/C468/100)),(INT(K468/B468)+(((K468-B468*INT(K468/B468)))/C468)/100)))),0,IF(B468=C468,K468/C468,IF((INT(K468/B468)+(((K468-B468*INT(K468/B468)))/C468)/100)&lt;0,(INT(K468/B468)+(((K468-B468*INT(K468/B468)))/C468)/100)+(1-(B468/C468/100)),(INT(K468/B468)+(((K468-B468*INT(K468/B468)))/C468)/100))))</f>
        <v>0</v>
      </c>
      <c r="AW468" s="57">
        <f>IF(ISERROR(IF(B468=C468,L468/C468,(INT(L468/B468)+(((L468-B468*INT(L468/B468)))/C468)/100))),0,(IF(B468=C468,L468/C468,(INT(L468/B468)+(((L468-B468*INT(L468/B468)))/C468)/100))))</f>
        <v>0</v>
      </c>
      <c r="AX468" s="57">
        <f>IF(ISERROR(IF(B468=C468,M468/C468,(INT(M468/B468)+(((M468-B468*INT(M468/B468)))/C468)/100))),0,(IF(B468=C468,M468/C468,(INT(M468/B468)+(((M468-B468*INT(M468/B468)))/C468)/100))))</f>
        <v>0</v>
      </c>
      <c r="AY468" s="57">
        <f>IF(ISERROR(IF(B468=C468,N468/C468,IF((INT(N468/B468)+(((N468-B468*INT(N468/B468)))/C468)/100)&lt;0,(INT(N468/B468)+(((N468-B468*INT(N468/B468)))/C468)/100)+(1-(B468/C468/100)),(INT(N468/B468)+(((N468-B468*INT(N468/B468)))/C468)/100)))),0,IF(B468=C468,N468/C468,IF((INT(N468/B468)+(((N468-B468*INT(N468/B468)))/C468)/100)&lt;0,(INT(N468/B468)+(((N468-B468*INT(N468/B468)))/C468)/100)+(1-(B468/C468/100)),(INT(N468/B468)+(((N468-B468*INT(N468/B468)))/C468)/100))))</f>
        <v>10.01</v>
      </c>
      <c r="AZ468" s="57">
        <f>IF(ISERROR(IF(B468=C468,O468/C468,(INT(O468/B468)+(((O468-B468*INT(O468/B468)))/C468)/100))),0,(IF(B468=C468,O468/C468,(INT(O468/B468)+(((O468-B468*INT(O468/B468)))/C468)/100))))</f>
        <v>10.01</v>
      </c>
      <c r="BA468" s="57">
        <f>IF(ISERROR(IF(B468=C468,P468/C468,IF((INT(P468/B468)+(((P468-B468*INT(P468/B468)))/C468)/100)&lt;0,(INT(P468/B468)+(((P468-B468*INT(P468/B468)))/C468)/100)+(1-(B468/C468/100)),(INT(P468/B468)+(((P468-B468*INT(P468/B468)))/C468)/100)))),0,IF(B468=C468,P468/C468,IF((INT(P468/B468)+(((P468-B468*INT(P468/B468)))/C468)/100)&lt;0,(INT(P468/B468)+(((P468-B468*INT(P468/B468)))/C468)/100)+(1-(B468/C468/100)),(INT(P468/B468)+(((P468-B468*INT(P468/B468)))/C468)/100))))</f>
        <v>0</v>
      </c>
      <c r="BB468" s="28">
        <f>R468</f>
        <v>325</v>
      </c>
      <c r="BC468" s="28">
        <f>S468</f>
        <v>0</v>
      </c>
      <c r="BD468" s="28">
        <f>AF468</f>
        <v>1000</v>
      </c>
      <c r="BE468" s="28">
        <f>T468</f>
        <v>0</v>
      </c>
      <c r="BG468" s="57">
        <f>IF(ISERROR(IF(B468=C468,V468/C468,(INT(V468/B468)+(((V468-B468*INT(V468/B468)))/C468)/100))),0,(IF(B468=C468,V468/C468,(INT(V468/B468)+(((V468-B468*INT(V468/B468)))/C468)/100))))</f>
        <v>2.0099999999999998</v>
      </c>
      <c r="BH468" s="57">
        <f>IF(ISERROR(IF(B468=C468,W468/C468,(INT(W468/B468)+(((W468-B468*INT(W468/B468)))/C468)/100))),0,(IF(B468=C468,W468/C468,(INT(W468/B468)+(((W468-B468*INT(W468/B468)))/C468)/100))))</f>
        <v>8</v>
      </c>
      <c r="BI468" s="57">
        <f>IF(ISERROR(IF(B468=C468,X468/C468,(INT(X468/B468)+(((X468-B468*INT(X468/B468)))/C468)/100))),0,(IF(B468=C468,X468/C468,(INT(X468/B468)+(((X468-B468*INT(X468/B468)))/C468)/100))))</f>
        <v>0</v>
      </c>
      <c r="BJ468" s="57">
        <f>IF(ISERROR(IF(B468=C468,Y468/C468,(INT(Y468/B468)+(((Y468-B468*INT(Y468/B468)))/C468)/100))),0,(IF(B468=C468,Y468/C468,(INT(Y468/B468)+(((Y468-B468*INT(Y468/B468)))/C468)/100))))</f>
        <v>0</v>
      </c>
      <c r="BL468" s="57">
        <f>IF(ISERROR(IF(B468=C468,AA468/C468,(INT(AA468/B468)+(((AA468-B468*INT(AA468/B468)))/C468)/100))),0,(IF(B468=C468,AA468/C468,(INT(AA468/B468)+(((AA468-B468*INT(AA468/B468)))/C468)/100))))</f>
        <v>2.0099999999999998</v>
      </c>
      <c r="BM468" s="57">
        <f>IF(ISERROR(IF(B468=C468,AB468/C468,(INT(AB468/B468)+(((AB468-B468*INT(AB468/B468)))/C468)/100))),0,(IF(B468=C468,AB468/C468,(INT(AB468/B468)+(((AB468-B468*INT(AB468/B468)))/C468)/100))))</f>
        <v>8</v>
      </c>
      <c r="BN468" s="57">
        <f>IF(ISERROR(IF(B468=C468,AC468/C468,(INT(AC468/B468)+(((AC468-B468*INT(AC468/B468)))/C468)/100))),0,(IF(B468=C468,AC468/C468,(INT(AC468/B468)+(((AC468-B468*INT(AC468/B468)))/C468)/100))))</f>
        <v>0</v>
      </c>
      <c r="BO468" s="57">
        <f>IF(ISERROR(IF(B468=C468,AD468/C468,(INT(AD468/B468)+(((AD468-B468*INT(AD468/B468)))/C468)/100))),0,(IF(B468=C468,AD468/C468,(INT(AD468/B468)+(((AD468-B468*INT(AD468/B468)))/C468)/100))))</f>
        <v>0</v>
      </c>
      <c r="BQ468" s="155" t="s">
        <v>189</v>
      </c>
    </row>
    <row r="469" spans="1:69" x14ac:dyDescent="0.35">
      <c r="A469" s="160" t="s">
        <v>197</v>
      </c>
      <c r="B469" s="113">
        <v>750</v>
      </c>
      <c r="C469" s="113">
        <v>150</v>
      </c>
      <c r="D469" s="28">
        <f>SUM(AA469:AD469)</f>
        <v>4500</v>
      </c>
      <c r="E469" s="113">
        <v>0</v>
      </c>
      <c r="F469" s="113">
        <v>0</v>
      </c>
      <c r="G469" s="28">
        <f>SUM(D469:F469)</f>
        <v>4500</v>
      </c>
      <c r="H469" s="125">
        <v>0</v>
      </c>
      <c r="I469" s="113">
        <v>0</v>
      </c>
      <c r="J469" s="125">
        <v>0</v>
      </c>
      <c r="K469" s="113">
        <v>0</v>
      </c>
      <c r="L469" s="113">
        <v>0</v>
      </c>
      <c r="M469" s="113">
        <v>0</v>
      </c>
      <c r="N469" s="28">
        <f>G469-SUM(H469:M469)</f>
        <v>4500</v>
      </c>
      <c r="O469" s="28">
        <f>SUM(V469:Y469)</f>
        <v>4500</v>
      </c>
      <c r="P469" s="28">
        <f>O469-N469</f>
        <v>0</v>
      </c>
      <c r="Q469" s="61" t="str">
        <f>IF(ISERROR(P469/SUM(H469:L469)),"",P469/SUM(H469:L469))</f>
        <v/>
      </c>
      <c r="R469" s="113">
        <v>400</v>
      </c>
      <c r="S469" s="28">
        <f>IF(ISERROR(P469/C469*R469),0,(P469/C469*R469))</f>
        <v>0</v>
      </c>
      <c r="T469" s="60">
        <f>IF(ISERROR(P469/B469*AF469),0,(P469/B469*AF469))</f>
        <v>0</v>
      </c>
      <c r="V469" s="113">
        <f>2*750+2*750</f>
        <v>3000</v>
      </c>
      <c r="W469" s="113">
        <f>2*750</f>
        <v>1500</v>
      </c>
      <c r="X469" s="113">
        <v>0</v>
      </c>
      <c r="Y469" s="113">
        <v>0</v>
      </c>
      <c r="AA469" s="113">
        <f>4*750</f>
        <v>3000</v>
      </c>
      <c r="AB469" s="113">
        <f>2*750</f>
        <v>1500</v>
      </c>
      <c r="AC469" s="113">
        <v>0</v>
      </c>
      <c r="AD469" s="113">
        <v>0</v>
      </c>
      <c r="AF469" s="162">
        <v>1090.2791666666667</v>
      </c>
      <c r="AG469" s="28">
        <f>G469-O469</f>
        <v>0</v>
      </c>
      <c r="AH469" s="58">
        <f>IF(ISERROR(AG469/B469*AF469),0,(AG469/B469*AF469))</f>
        <v>0</v>
      </c>
      <c r="AI469" s="28">
        <f>SUM(H469:M469)</f>
        <v>0</v>
      </c>
      <c r="AJ469" s="28">
        <f>IF(ISERROR(AI469/B469*AF469),0,(AI469/B469*AF469))</f>
        <v>0</v>
      </c>
      <c r="AK469" s="58">
        <f>IF(ISERROR(O469/B469*AF469),0,(O469/B469*AF469))</f>
        <v>6541.6750000000002</v>
      </c>
      <c r="AL469" s="28">
        <f>IF(ISERROR(H469/B469*AF469),0,(H469/B469*AF469))</f>
        <v>0</v>
      </c>
      <c r="AN469" s="51" t="str">
        <f>A469</f>
        <v xml:space="preserve">Two Oceans Chadonnay </v>
      </c>
      <c r="AO469" s="57">
        <f>IF(ISERROR(IF(B469=C469,D469/C469,(INT(D469/B469)+(((D469-B469*INT(D469/B469)))/C469)/100))),0,(IF(B469=C469,D469/C469,(INT(D469/B469)+(((D469-B469*INT(D469/B469)))/C469)/100))))</f>
        <v>6</v>
      </c>
      <c r="AP469" s="57">
        <f>IF(ISERROR(IF(B469=C469,E469/C469,(INT(E469/B469)+(((E469-B469*INT(E469/B469)))/C469)/100))),0,(IF(B469=C469,E469/C469,(INT(E469/B469)+(((E469-B469*INT(E469/B469)))/C469)/100))))</f>
        <v>0</v>
      </c>
      <c r="AQ469" s="57">
        <f>IF(ISERROR(IF(B469=C469,F469/C469,IF((INT(F469/B469)+(((F469-B469*INT(F469/B469)))/C469)/100)&lt;0,(INT(F469/B469)+(((F469-B469*INT(F469/B469)))/C469)/100)+(1-(B469/C469/100)),(INT(F469/B469)+(((F469-B469*INT(F469/B469)))/C469)/100)))),0,IF(B469=C469,F469/C469,IF((INT(F469/B469)+(((F469-B469*INT(F469/B469)))/C469)/100)&lt;0,(INT(F469/B469)+(((F469-B469*INT(F469/B469)))/C469)/100)+(1-(B469/C469/100)),(INT(F469/B469)+(((F469-B469*INT(F469/B469)))/C469)/100))))</f>
        <v>0</v>
      </c>
      <c r="AR469" s="57">
        <f>IF(ISERROR(IF(B469=C469,G469/C469,(INT(G469/B469)+(((G469-B469*INT(G469/B469)))/C469)/100))),0,(IF(B469=C469,G469/C469,(INT(G469/B469)+(((G469-B469*INT(G469/B469)))/C469)/100))))</f>
        <v>6</v>
      </c>
      <c r="AS469" s="57">
        <f>IF(ISERROR(IF(B469=C469,H469/C469,(INT(H469/B469)+(((H469-B469*INT(H469/B469)))/C469)/100))),0,(IF(B469=C469,H469/C469,(INT(H469/B469)+(((H469-B469*INT(H469/B469)))/C469)/100))))</f>
        <v>0</v>
      </c>
      <c r="AT469" s="57">
        <f>IF(ISERROR(IF(B469=C469,I469/C469,(INT(I469/B469)+(((I469-B469*INT(I469/B469)))/C469)/100))),0,(IF(B469=C469,I469/C469,(INT(I469/B469)+(((I469-B469*INT(I469/B469)))/C469)/100))))</f>
        <v>0</v>
      </c>
      <c r="AU469" s="57">
        <f>IF(ISERROR(IF(B469=C469,J469/C469,(INT(J469/B469)+(((J469-B469*INT(J469/B469)))/C469)/100))),0,(IF(B469=C469,J469/C469,(INT(J469/B469)+(((J469-B469*INT(J469/B469)))/C469)/100))))</f>
        <v>0</v>
      </c>
      <c r="AV469" s="57">
        <f>IF(ISERROR(IF(B469=C469,K469/C469,IF((INT(K469/B469)+(((K469-B469*INT(K469/B469)))/C469)/100)&lt;0,(INT(K469/B469)+(((K469-B469*INT(K469/B469)))/C469)/100)+(1-(B469/C469/100)),(INT(K469/B469)+(((K469-B469*INT(K469/B469)))/C469)/100)))),0,IF(B469=C469,K469/C469,IF((INT(K469/B469)+(((K469-B469*INT(K469/B469)))/C469)/100)&lt;0,(INT(K469/B469)+(((K469-B469*INT(K469/B469)))/C469)/100)+(1-(B469/C469/100)),(INT(K469/B469)+(((K469-B469*INT(K469/B469)))/C469)/100))))</f>
        <v>0</v>
      </c>
      <c r="AW469" s="57">
        <f>IF(ISERROR(IF(B469=C469,L469/C469,(INT(L469/B469)+(((L469-B469*INT(L469/B469)))/C469)/100))),0,(IF(B469=C469,L469/C469,(INT(L469/B469)+(((L469-B469*INT(L469/B469)))/C469)/100))))</f>
        <v>0</v>
      </c>
      <c r="AX469" s="57">
        <f>IF(ISERROR(IF(B469=C469,M469/C469,(INT(M469/B469)+(((M469-B469*INT(M469/B469)))/C469)/100))),0,(IF(B469=C469,M469/C469,(INT(M469/B469)+(((M469-B469*INT(M469/B469)))/C469)/100))))</f>
        <v>0</v>
      </c>
      <c r="AY469" s="57">
        <f>IF(ISERROR(IF(B469=C469,N469/C469,IF((INT(N469/B469)+(((N469-B469*INT(N469/B469)))/C469)/100)&lt;0,(INT(N469/B469)+(((N469-B469*INT(N469/B469)))/C469)/100)+(1-(B469/C469/100)),(INT(N469/B469)+(((N469-B469*INT(N469/B469)))/C469)/100)))),0,IF(B469=C469,N469/C469,IF((INT(N469/B469)+(((N469-B469*INT(N469/B469)))/C469)/100)&lt;0,(INT(N469/B469)+(((N469-B469*INT(N469/B469)))/C469)/100)+(1-(B469/C469/100)),(INT(N469/B469)+(((N469-B469*INT(N469/B469)))/C469)/100))))</f>
        <v>6</v>
      </c>
      <c r="AZ469" s="57">
        <f>IF(ISERROR(IF(B469=C469,O469/C469,(INT(O469/B469)+(((O469-B469*INT(O469/B469)))/C469)/100))),0,(IF(B469=C469,O469/C469,(INT(O469/B469)+(((O469-B469*INT(O469/B469)))/C469)/100))))</f>
        <v>6</v>
      </c>
      <c r="BA469" s="57">
        <f>IF(ISERROR(IF(B469=C469,P469/C469,IF((INT(P469/B469)+(((P469-B469*INT(P469/B469)))/C469)/100)&lt;0,(INT(P469/B469)+(((P469-B469*INT(P469/B469)))/C469)/100)+(1-(B469/C469/100)),(INT(P469/B469)+(((P469-B469*INT(P469/B469)))/C469)/100)))),0,IF(B469=C469,P469/C469,IF((INT(P469/B469)+(((P469-B469*INT(P469/B469)))/C469)/100)&lt;0,(INT(P469/B469)+(((P469-B469*INT(P469/B469)))/C469)/100)+(1-(B469/C469/100)),(INT(P469/B469)+(((P469-B469*INT(P469/B469)))/C469)/100))))</f>
        <v>0</v>
      </c>
      <c r="BB469" s="28">
        <f>R469</f>
        <v>400</v>
      </c>
      <c r="BC469" s="28">
        <f>S469</f>
        <v>0</v>
      </c>
      <c r="BD469" s="28">
        <f>AF469</f>
        <v>1090.2791666666667</v>
      </c>
      <c r="BE469" s="28">
        <f>T469</f>
        <v>0</v>
      </c>
      <c r="BG469" s="57">
        <f>IF(ISERROR(IF(B469=C469,V469/C469,(INT(V469/B469)+(((V469-B469*INT(V469/B469)))/C469)/100))),0,(IF(B469=C469,V469/C469,(INT(V469/B469)+(((V469-B469*INT(V469/B469)))/C469)/100))))</f>
        <v>4</v>
      </c>
      <c r="BH469" s="57">
        <f>IF(ISERROR(IF(B469=C469,W469/C469,(INT(W469/B469)+(((W469-B469*INT(W469/B469)))/C469)/100))),0,(IF(B469=C469,W469/C469,(INT(W469/B469)+(((W469-B469*INT(W469/B469)))/C469)/100))))</f>
        <v>2</v>
      </c>
      <c r="BI469" s="57">
        <f>IF(ISERROR(IF(B469=C469,X469/C469,(INT(X469/B469)+(((X469-B469*INT(X469/B469)))/C469)/100))),0,(IF(B469=C469,X469/C469,(INT(X469/B469)+(((X469-B469*INT(X469/B469)))/C469)/100))))</f>
        <v>0</v>
      </c>
      <c r="BJ469" s="57">
        <f>IF(ISERROR(IF(B469=C469,Y469/C469,(INT(Y469/B469)+(((Y469-B469*INT(Y469/B469)))/C469)/100))),0,(IF(B469=C469,Y469/C469,(INT(Y469/B469)+(((Y469-B469*INT(Y469/B469)))/C469)/100))))</f>
        <v>0</v>
      </c>
      <c r="BL469" s="57">
        <f>IF(ISERROR(IF(B469=C469,AA469/C469,(INT(AA469/B469)+(((AA469-B469*INT(AA469/B469)))/C469)/100))),0,(IF(B469=C469,AA469/C469,(INT(AA469/B469)+(((AA469-B469*INT(AA469/B469)))/C469)/100))))</f>
        <v>4</v>
      </c>
      <c r="BM469" s="57">
        <f>IF(ISERROR(IF(B469=C469,AB469/C469,(INT(AB469/B469)+(((AB469-B469*INT(AB469/B469)))/C469)/100))),0,(IF(B469=C469,AB469/C469,(INT(AB469/B469)+(((AB469-B469*INT(AB469/B469)))/C469)/100))))</f>
        <v>2</v>
      </c>
      <c r="BN469" s="57">
        <f>IF(ISERROR(IF(B469=C469,AC469/C469,(INT(AC469/B469)+(((AC469-B469*INT(AC469/B469)))/C469)/100))),0,(IF(B469=C469,AC469/C469,(INT(AC469/B469)+(((AC469-B469*INT(AC469/B469)))/C469)/100))))</f>
        <v>0</v>
      </c>
      <c r="BO469" s="57">
        <f>IF(ISERROR(IF(B469=C469,AD469/C469,(INT(AD469/B469)+(((AD469-B469*INT(AD469/B469)))/C469)/100))),0,(IF(B469=C469,AD469/C469,(INT(AD469/B469)+(((AD469-B469*INT(AD469/B469)))/C469)/100))))</f>
        <v>0</v>
      </c>
      <c r="BQ469" s="155" t="s">
        <v>189</v>
      </c>
    </row>
    <row r="470" spans="1:69" x14ac:dyDescent="0.35">
      <c r="A470" s="160" t="s">
        <v>196</v>
      </c>
      <c r="B470" s="113">
        <v>750</v>
      </c>
      <c r="C470" s="113">
        <v>150</v>
      </c>
      <c r="D470" s="28">
        <f>SUM(AA470:AD470)</f>
        <v>7500</v>
      </c>
      <c r="E470" s="113">
        <v>0</v>
      </c>
      <c r="F470" s="113">
        <v>0</v>
      </c>
      <c r="G470" s="28">
        <f>SUM(D470:F470)</f>
        <v>7500</v>
      </c>
      <c r="H470" s="125">
        <v>0</v>
      </c>
      <c r="I470" s="113">
        <v>0</v>
      </c>
      <c r="J470" s="125">
        <v>0</v>
      </c>
      <c r="K470" s="113">
        <v>0</v>
      </c>
      <c r="L470" s="113">
        <v>0</v>
      </c>
      <c r="M470" s="113">
        <v>0</v>
      </c>
      <c r="N470" s="28">
        <f>G470-SUM(H470:M470)</f>
        <v>7500</v>
      </c>
      <c r="O470" s="28">
        <f>SUM(V470:Y470)</f>
        <v>7500</v>
      </c>
      <c r="P470" s="28">
        <f>O470-N470</f>
        <v>0</v>
      </c>
      <c r="Q470" s="61" t="str">
        <f>IF(ISERROR(P470/SUM(H470:L470)),"",P470/SUM(H470:L470))</f>
        <v/>
      </c>
      <c r="R470" s="113">
        <v>450</v>
      </c>
      <c r="S470" s="28">
        <f>IF(ISERROR(P470/C470*R470),0,(P470/C470*R470))</f>
        <v>0</v>
      </c>
      <c r="T470" s="60">
        <f>IF(ISERROR(P470/B470*AF470),0,(P470/B470*AF470))</f>
        <v>0</v>
      </c>
      <c r="V470" s="113">
        <f>2*750</f>
        <v>1500</v>
      </c>
      <c r="W470" s="113">
        <f>8*750</f>
        <v>6000</v>
      </c>
      <c r="X470" s="113">
        <v>0</v>
      </c>
      <c r="Y470" s="113">
        <v>0</v>
      </c>
      <c r="AA470" s="113">
        <f>2*750</f>
        <v>1500</v>
      </c>
      <c r="AB470" s="113">
        <f>8*750</f>
        <v>6000</v>
      </c>
      <c r="AC470" s="113">
        <v>0</v>
      </c>
      <c r="AD470" s="113">
        <v>0</v>
      </c>
      <c r="AF470" s="162">
        <v>1090.8999999999999</v>
      </c>
      <c r="AG470" s="28">
        <f>G470-O470</f>
        <v>0</v>
      </c>
      <c r="AH470" s="58">
        <f>IF(ISERROR(AG470/B470*AF470),0,(AG470/B470*AF470))</f>
        <v>0</v>
      </c>
      <c r="AI470" s="28">
        <f>SUM(H470:M470)</f>
        <v>0</v>
      </c>
      <c r="AJ470" s="28">
        <f>IF(ISERROR(AI470/B470*AF470),0,(AI470/B470*AF470))</f>
        <v>0</v>
      </c>
      <c r="AK470" s="58">
        <f>IF(ISERROR(O470/B470*AF470),0,(O470/B470*AF470))</f>
        <v>10908.999999999998</v>
      </c>
      <c r="AL470" s="28">
        <f>IF(ISERROR(H470/B470*AF470),0,(H470/B470*AF470))</f>
        <v>0</v>
      </c>
      <c r="AN470" s="51" t="str">
        <f>A470</f>
        <v>Chandan Brut</v>
      </c>
      <c r="AO470" s="57">
        <f>IF(ISERROR(IF(B470=C470,D470/C470,(INT(D470/B470)+(((D470-B470*INT(D470/B470)))/C470)/100))),0,(IF(B470=C470,D470/C470,(INT(D470/B470)+(((D470-B470*INT(D470/B470)))/C470)/100))))</f>
        <v>10</v>
      </c>
      <c r="AP470" s="57">
        <f>IF(ISERROR(IF(B470=C470,E470/C470,(INT(E470/B470)+(((E470-B470*INT(E470/B470)))/C470)/100))),0,(IF(B470=C470,E470/C470,(INT(E470/B470)+(((E470-B470*INT(E470/B470)))/C470)/100))))</f>
        <v>0</v>
      </c>
      <c r="AQ470" s="57">
        <f>IF(ISERROR(IF(B470=C470,F470/C470,IF((INT(F470/B470)+(((F470-B470*INT(F470/B470)))/C470)/100)&lt;0,(INT(F470/B470)+(((F470-B470*INT(F470/B470)))/C470)/100)+(1-(B470/C470/100)),(INT(F470/B470)+(((F470-B470*INT(F470/B470)))/C470)/100)))),0,IF(B470=C470,F470/C470,IF((INT(F470/B470)+(((F470-B470*INT(F470/B470)))/C470)/100)&lt;0,(INT(F470/B470)+(((F470-B470*INT(F470/B470)))/C470)/100)+(1-(B470/C470/100)),(INT(F470/B470)+(((F470-B470*INT(F470/B470)))/C470)/100))))</f>
        <v>0</v>
      </c>
      <c r="AR470" s="57">
        <f>IF(ISERROR(IF(B470=C470,G470/C470,(INT(G470/B470)+(((G470-B470*INT(G470/B470)))/C470)/100))),0,(IF(B470=C470,G470/C470,(INT(G470/B470)+(((G470-B470*INT(G470/B470)))/C470)/100))))</f>
        <v>10</v>
      </c>
      <c r="AS470" s="57">
        <f>IF(ISERROR(IF(B470=C470,H470/C470,(INT(H470/B470)+(((H470-B470*INT(H470/B470)))/C470)/100))),0,(IF(B470=C470,H470/C470,(INT(H470/B470)+(((H470-B470*INT(H470/B470)))/C470)/100))))</f>
        <v>0</v>
      </c>
      <c r="AT470" s="57">
        <f>IF(ISERROR(IF(B470=C470,I470/C470,(INT(I470/B470)+(((I470-B470*INT(I470/B470)))/C470)/100))),0,(IF(B470=C470,I470/C470,(INT(I470/B470)+(((I470-B470*INT(I470/B470)))/C470)/100))))</f>
        <v>0</v>
      </c>
      <c r="AU470" s="57">
        <f>IF(ISERROR(IF(B470=C470,J470/C470,(INT(J470/B470)+(((J470-B470*INT(J470/B470)))/C470)/100))),0,(IF(B470=C470,J470/C470,(INT(J470/B470)+(((J470-B470*INT(J470/B470)))/C470)/100))))</f>
        <v>0</v>
      </c>
      <c r="AV470" s="57">
        <f>IF(ISERROR(IF(B470=C470,K470/C470,IF((INT(K470/B470)+(((K470-B470*INT(K470/B470)))/C470)/100)&lt;0,(INT(K470/B470)+(((K470-B470*INT(K470/B470)))/C470)/100)+(1-(B470/C470/100)),(INT(K470/B470)+(((K470-B470*INT(K470/B470)))/C470)/100)))),0,IF(B470=C470,K470/C470,IF((INT(K470/B470)+(((K470-B470*INT(K470/B470)))/C470)/100)&lt;0,(INT(K470/B470)+(((K470-B470*INT(K470/B470)))/C470)/100)+(1-(B470/C470/100)),(INT(K470/B470)+(((K470-B470*INT(K470/B470)))/C470)/100))))</f>
        <v>0</v>
      </c>
      <c r="AW470" s="57">
        <f>IF(ISERROR(IF(B470=C470,L470/C470,(INT(L470/B470)+(((L470-B470*INT(L470/B470)))/C470)/100))),0,(IF(B470=C470,L470/C470,(INT(L470/B470)+(((L470-B470*INT(L470/B470)))/C470)/100))))</f>
        <v>0</v>
      </c>
      <c r="AX470" s="57">
        <f>IF(ISERROR(IF(B470=C470,M470/C470,(INT(M470/B470)+(((M470-B470*INT(M470/B470)))/C470)/100))),0,(IF(B470=C470,M470/C470,(INT(M470/B470)+(((M470-B470*INT(M470/B470)))/C470)/100))))</f>
        <v>0</v>
      </c>
      <c r="AY470" s="57">
        <f>IF(ISERROR(IF(B470=C470,N470/C470,IF((INT(N470/B470)+(((N470-B470*INT(N470/B470)))/C470)/100)&lt;0,(INT(N470/B470)+(((N470-B470*INT(N470/B470)))/C470)/100)+(1-(B470/C470/100)),(INT(N470/B470)+(((N470-B470*INT(N470/B470)))/C470)/100)))),0,IF(B470=C470,N470/C470,IF((INT(N470/B470)+(((N470-B470*INT(N470/B470)))/C470)/100)&lt;0,(INT(N470/B470)+(((N470-B470*INT(N470/B470)))/C470)/100)+(1-(B470/C470/100)),(INT(N470/B470)+(((N470-B470*INT(N470/B470)))/C470)/100))))</f>
        <v>10</v>
      </c>
      <c r="AZ470" s="57">
        <f>IF(ISERROR(IF(B470=C470,O470/C470,(INT(O470/B470)+(((O470-B470*INT(O470/B470)))/C470)/100))),0,(IF(B470=C470,O470/C470,(INT(O470/B470)+(((O470-B470*INT(O470/B470)))/C470)/100))))</f>
        <v>10</v>
      </c>
      <c r="BA470" s="57">
        <f>IF(ISERROR(IF(B470=C470,P470/C470,IF((INT(P470/B470)+(((P470-B470*INT(P470/B470)))/C470)/100)&lt;0,(INT(P470/B470)+(((P470-B470*INT(P470/B470)))/C470)/100)+(1-(B470/C470/100)),(INT(P470/B470)+(((P470-B470*INT(P470/B470)))/C470)/100)))),0,IF(B470=C470,P470/C470,IF((INT(P470/B470)+(((P470-B470*INT(P470/B470)))/C470)/100)&lt;0,(INT(P470/B470)+(((P470-B470*INT(P470/B470)))/C470)/100)+(1-(B470/C470/100)),(INT(P470/B470)+(((P470-B470*INT(P470/B470)))/C470)/100))))</f>
        <v>0</v>
      </c>
      <c r="BB470" s="28">
        <f>R470</f>
        <v>450</v>
      </c>
      <c r="BC470" s="28">
        <f>S470</f>
        <v>0</v>
      </c>
      <c r="BD470" s="28">
        <f>AF470</f>
        <v>1090.8999999999999</v>
      </c>
      <c r="BE470" s="28">
        <f>T470</f>
        <v>0</v>
      </c>
      <c r="BG470" s="57">
        <f>IF(ISERROR(IF(B470=C470,V470/C470,(INT(V470/B470)+(((V470-B470*INT(V470/B470)))/C470)/100))),0,(IF(B470=C470,V470/C470,(INT(V470/B470)+(((V470-B470*INT(V470/B470)))/C470)/100))))</f>
        <v>2</v>
      </c>
      <c r="BH470" s="57">
        <f>IF(ISERROR(IF(B470=C470,W470/C470,(INT(W470/B470)+(((W470-B470*INT(W470/B470)))/C470)/100))),0,(IF(B470=C470,W470/C470,(INT(W470/B470)+(((W470-B470*INT(W470/B470)))/C470)/100))))</f>
        <v>8</v>
      </c>
      <c r="BI470" s="57">
        <f>IF(ISERROR(IF(B470=C470,X470/C470,(INT(X470/B470)+(((X470-B470*INT(X470/B470)))/C470)/100))),0,(IF(B470=C470,X470/C470,(INT(X470/B470)+(((X470-B470*INT(X470/B470)))/C470)/100))))</f>
        <v>0</v>
      </c>
      <c r="BJ470" s="57">
        <f>IF(ISERROR(IF(B470=C470,Y470/C470,(INT(Y470/B470)+(((Y470-B470*INT(Y470/B470)))/C470)/100))),0,(IF(B470=C470,Y470/C470,(INT(Y470/B470)+(((Y470-B470*INT(Y470/B470)))/C470)/100))))</f>
        <v>0</v>
      </c>
      <c r="BL470" s="57">
        <f>IF(ISERROR(IF(B470=C470,AA470/C470,(INT(AA470/B470)+(((AA470-B470*INT(AA470/B470)))/C470)/100))),0,(IF(B470=C470,AA470/C470,(INT(AA470/B470)+(((AA470-B470*INT(AA470/B470)))/C470)/100))))</f>
        <v>2</v>
      </c>
      <c r="BM470" s="57">
        <f>IF(ISERROR(IF(B470=C470,AB470/C470,(INT(AB470/B470)+(((AB470-B470*INT(AB470/B470)))/C470)/100))),0,(IF(B470=C470,AB470/C470,(INT(AB470/B470)+(((AB470-B470*INT(AB470/B470)))/C470)/100))))</f>
        <v>8</v>
      </c>
      <c r="BN470" s="57">
        <f>IF(ISERROR(IF(B470=C470,AC470/C470,(INT(AC470/B470)+(((AC470-B470*INT(AC470/B470)))/C470)/100))),0,(IF(B470=C470,AC470/C470,(INT(AC470/B470)+(((AC470-B470*INT(AC470/B470)))/C470)/100))))</f>
        <v>0</v>
      </c>
      <c r="BO470" s="57">
        <f>IF(ISERROR(IF(B470=C470,AD470/C470,(INT(AD470/B470)+(((AD470-B470*INT(AD470/B470)))/C470)/100))),0,(IF(B470=C470,AD470/C470,(INT(AD470/B470)+(((AD470-B470*INT(AD470/B470)))/C470)/100))))</f>
        <v>0</v>
      </c>
      <c r="BQ470" s="155" t="s">
        <v>189</v>
      </c>
    </row>
    <row r="471" spans="1:69" x14ac:dyDescent="0.35">
      <c r="A471" s="94" t="s">
        <v>195</v>
      </c>
      <c r="B471" s="113">
        <v>750</v>
      </c>
      <c r="C471" s="113">
        <v>150</v>
      </c>
      <c r="D471" s="28">
        <f>SUM(AA471:AD471)</f>
        <v>750</v>
      </c>
      <c r="E471" s="113">
        <v>0</v>
      </c>
      <c r="F471" s="113">
        <v>0</v>
      </c>
      <c r="G471" s="28">
        <f>SUM(D471:F471)</f>
        <v>750</v>
      </c>
      <c r="H471" s="125">
        <v>0</v>
      </c>
      <c r="I471" s="113">
        <v>0</v>
      </c>
      <c r="J471" s="125">
        <v>0</v>
      </c>
      <c r="K471" s="113">
        <v>0</v>
      </c>
      <c r="L471" s="113">
        <v>0</v>
      </c>
      <c r="M471" s="113">
        <v>0</v>
      </c>
      <c r="N471" s="28">
        <f>G471-SUM(H471:M471)</f>
        <v>750</v>
      </c>
      <c r="O471" s="28">
        <f>SUM(V471:Y471)</f>
        <v>750</v>
      </c>
      <c r="P471" s="28">
        <f>O471-N471</f>
        <v>0</v>
      </c>
      <c r="Q471" s="61" t="str">
        <f>IF(ISERROR(P471/SUM(H471:L471)),"",P471/SUM(H471:L471))</f>
        <v/>
      </c>
      <c r="R471" s="113">
        <v>450</v>
      </c>
      <c r="S471" s="28">
        <f>IF(ISERROR(P471/C471*R471),0,(P471/C471*R471))</f>
        <v>0</v>
      </c>
      <c r="T471" s="60">
        <f>IF(ISERROR(P471/B471*AF471),0,(P471/B471*AF471))</f>
        <v>0</v>
      </c>
      <c r="V471" s="113">
        <v>0</v>
      </c>
      <c r="W471" s="113">
        <f>1*750</f>
        <v>750</v>
      </c>
      <c r="X471" s="113">
        <v>0</v>
      </c>
      <c r="Y471" s="113">
        <v>0</v>
      </c>
      <c r="AA471" s="113">
        <v>0</v>
      </c>
      <c r="AB471" s="113">
        <v>750</v>
      </c>
      <c r="AC471" s="113">
        <v>0</v>
      </c>
      <c r="AD471" s="113">
        <v>0</v>
      </c>
      <c r="AF471" s="162">
        <v>1311.0541666666666</v>
      </c>
      <c r="AG471" s="28">
        <f>G471-O471</f>
        <v>0</v>
      </c>
      <c r="AH471" s="58">
        <f>IF(ISERROR(AG471/B471*AF471),0,(AG471/B471*AF471))</f>
        <v>0</v>
      </c>
      <c r="AI471" s="28">
        <f>SUM(H471:M471)</f>
        <v>0</v>
      </c>
      <c r="AJ471" s="28">
        <f>IF(ISERROR(AI471/B471*AF471),0,(AI471/B471*AF471))</f>
        <v>0</v>
      </c>
      <c r="AK471" s="58">
        <f>IF(ISERROR(O471/B471*AF471),0,(O471/B471*AF471))</f>
        <v>1311.0541666666666</v>
      </c>
      <c r="AL471" s="28">
        <f>IF(ISERROR(H471/B471*AF471),0,(H471/B471*AF471))</f>
        <v>0</v>
      </c>
      <c r="AN471" s="51" t="str">
        <f>A471</f>
        <v>Eagale  Creek Chardonnay</v>
      </c>
      <c r="AO471" s="57">
        <f>IF(ISERROR(IF(B471=C471,D471/C471,(INT(D471/B471)+(((D471-B471*INT(D471/B471)))/C471)/100))),0,(IF(B471=C471,D471/C471,(INT(D471/B471)+(((D471-B471*INT(D471/B471)))/C471)/100))))</f>
        <v>1</v>
      </c>
      <c r="AP471" s="57">
        <f>IF(ISERROR(IF(B471=C471,E471/C471,(INT(E471/B471)+(((E471-B471*INT(E471/B471)))/C471)/100))),0,(IF(B471=C471,E471/C471,(INT(E471/B471)+(((E471-B471*INT(E471/B471)))/C471)/100))))</f>
        <v>0</v>
      </c>
      <c r="AQ471" s="57">
        <f>IF(ISERROR(IF(B471=C471,F471/C471,IF((INT(F471/B471)+(((F471-B471*INT(F471/B471)))/C471)/100)&lt;0,(INT(F471/B471)+(((F471-B471*INT(F471/B471)))/C471)/100)+(1-(B471/C471/100)),(INT(F471/B471)+(((F471-B471*INT(F471/B471)))/C471)/100)))),0,IF(B471=C471,F471/C471,IF((INT(F471/B471)+(((F471-B471*INT(F471/B471)))/C471)/100)&lt;0,(INT(F471/B471)+(((F471-B471*INT(F471/B471)))/C471)/100)+(1-(B471/C471/100)),(INT(F471/B471)+(((F471-B471*INT(F471/B471)))/C471)/100))))</f>
        <v>0</v>
      </c>
      <c r="AR471" s="57">
        <f>IF(ISERROR(IF(B471=C471,G471/C471,(INT(G471/B471)+(((G471-B471*INT(G471/B471)))/C471)/100))),0,(IF(B471=C471,G471/C471,(INT(G471/B471)+(((G471-B471*INT(G471/B471)))/C471)/100))))</f>
        <v>1</v>
      </c>
      <c r="AS471" s="57">
        <f>IF(ISERROR(IF(B471=C471,H471/C471,(INT(H471/B471)+(((H471-B471*INT(H471/B471)))/C471)/100))),0,(IF(B471=C471,H471/C471,(INT(H471/B471)+(((H471-B471*INT(H471/B471)))/C471)/100))))</f>
        <v>0</v>
      </c>
      <c r="AT471" s="57">
        <f>IF(ISERROR(IF(B471=C471,I471/C471,(INT(I471/B471)+(((I471-B471*INT(I471/B471)))/C471)/100))),0,(IF(B471=C471,I471/C471,(INT(I471/B471)+(((I471-B471*INT(I471/B471)))/C471)/100))))</f>
        <v>0</v>
      </c>
      <c r="AU471" s="57">
        <f>IF(ISERROR(IF(B471=C471,J471/C471,(INT(J471/B471)+(((J471-B471*INT(J471/B471)))/C471)/100))),0,(IF(B471=C471,J471/C471,(INT(J471/B471)+(((J471-B471*INT(J471/B471)))/C471)/100))))</f>
        <v>0</v>
      </c>
      <c r="AV471" s="57">
        <f>IF(ISERROR(IF(B471=C471,K471/C471,IF((INT(K471/B471)+(((K471-B471*INT(K471/B471)))/C471)/100)&lt;0,(INT(K471/B471)+(((K471-B471*INT(K471/B471)))/C471)/100)+(1-(B471/C471/100)),(INT(K471/B471)+(((K471-B471*INT(K471/B471)))/C471)/100)))),0,IF(B471=C471,K471/C471,IF((INT(K471/B471)+(((K471-B471*INT(K471/B471)))/C471)/100)&lt;0,(INT(K471/B471)+(((K471-B471*INT(K471/B471)))/C471)/100)+(1-(B471/C471/100)),(INT(K471/B471)+(((K471-B471*INT(K471/B471)))/C471)/100))))</f>
        <v>0</v>
      </c>
      <c r="AW471" s="57">
        <f>IF(ISERROR(IF(B471=C471,L471/C471,(INT(L471/B471)+(((L471-B471*INT(L471/B471)))/C471)/100))),0,(IF(B471=C471,L471/C471,(INT(L471/B471)+(((L471-B471*INT(L471/B471)))/C471)/100))))</f>
        <v>0</v>
      </c>
      <c r="AX471" s="57">
        <f>IF(ISERROR(IF(B471=C471,M471/C471,(INT(M471/B471)+(((M471-B471*INT(M471/B471)))/C471)/100))),0,(IF(B471=C471,M471/C471,(INT(M471/B471)+(((M471-B471*INT(M471/B471)))/C471)/100))))</f>
        <v>0</v>
      </c>
      <c r="AY471" s="57">
        <f>IF(ISERROR(IF(B471=C471,N471/C471,IF((INT(N471/B471)+(((N471-B471*INT(N471/B471)))/C471)/100)&lt;0,(INT(N471/B471)+(((N471-B471*INT(N471/B471)))/C471)/100)+(1-(B471/C471/100)),(INT(N471/B471)+(((N471-B471*INT(N471/B471)))/C471)/100)))),0,IF(B471=C471,N471/C471,IF((INT(N471/B471)+(((N471-B471*INT(N471/B471)))/C471)/100)&lt;0,(INT(N471/B471)+(((N471-B471*INT(N471/B471)))/C471)/100)+(1-(B471/C471/100)),(INT(N471/B471)+(((N471-B471*INT(N471/B471)))/C471)/100))))</f>
        <v>1</v>
      </c>
      <c r="AZ471" s="57">
        <f>IF(ISERROR(IF(B471=C471,O471/C471,(INT(O471/B471)+(((O471-B471*INT(O471/B471)))/C471)/100))),0,(IF(B471=C471,O471/C471,(INT(O471/B471)+(((O471-B471*INT(O471/B471)))/C471)/100))))</f>
        <v>1</v>
      </c>
      <c r="BA471" s="57">
        <f>IF(ISERROR(IF(B471=C471,P471/C471,IF((INT(P471/B471)+(((P471-B471*INT(P471/B471)))/C471)/100)&lt;0,(INT(P471/B471)+(((P471-B471*INT(P471/B471)))/C471)/100)+(1-(B471/C471/100)),(INT(P471/B471)+(((P471-B471*INT(P471/B471)))/C471)/100)))),0,IF(B471=C471,P471/C471,IF((INT(P471/B471)+(((P471-B471*INT(P471/B471)))/C471)/100)&lt;0,(INT(P471/B471)+(((P471-B471*INT(P471/B471)))/C471)/100)+(1-(B471/C471/100)),(INT(P471/B471)+(((P471-B471*INT(P471/B471)))/C471)/100))))</f>
        <v>0</v>
      </c>
      <c r="BB471" s="28">
        <f>R471</f>
        <v>450</v>
      </c>
      <c r="BC471" s="28">
        <f>S471</f>
        <v>0</v>
      </c>
      <c r="BD471" s="28">
        <f>AF471</f>
        <v>1311.0541666666666</v>
      </c>
      <c r="BE471" s="28">
        <f>T471</f>
        <v>0</v>
      </c>
      <c r="BG471" s="57">
        <f>IF(ISERROR(IF(B471=C471,V471/C471,(INT(V471/B471)+(((V471-B471*INT(V471/B471)))/C471)/100))),0,(IF(B471=C471,V471/C471,(INT(V471/B471)+(((V471-B471*INT(V471/B471)))/C471)/100))))</f>
        <v>0</v>
      </c>
      <c r="BH471" s="57">
        <f>IF(ISERROR(IF(B471=C471,W471/C471,(INT(W471/B471)+(((W471-B471*INT(W471/B471)))/C471)/100))),0,(IF(B471=C471,W471/C471,(INT(W471/B471)+(((W471-B471*INT(W471/B471)))/C471)/100))))</f>
        <v>1</v>
      </c>
      <c r="BI471" s="57">
        <f>IF(ISERROR(IF(B471=C471,X471/C471,(INT(X471/B471)+(((X471-B471*INT(X471/B471)))/C471)/100))),0,(IF(B471=C471,X471/C471,(INT(X471/B471)+(((X471-B471*INT(X471/B471)))/C471)/100))))</f>
        <v>0</v>
      </c>
      <c r="BJ471" s="57">
        <f>IF(ISERROR(IF(B471=C471,Y471/C471,(INT(Y471/B471)+(((Y471-B471*INT(Y471/B471)))/C471)/100))),0,(IF(B471=C471,Y471/C471,(INT(Y471/B471)+(((Y471-B471*INT(Y471/B471)))/C471)/100))))</f>
        <v>0</v>
      </c>
      <c r="BL471" s="57">
        <f>IF(ISERROR(IF(B471=C471,AA471/C471,(INT(AA471/B471)+(((AA471-B471*INT(AA471/B471)))/C471)/100))),0,(IF(B471=C471,AA471/C471,(INT(AA471/B471)+(((AA471-B471*INT(AA471/B471)))/C471)/100))))</f>
        <v>0</v>
      </c>
      <c r="BM471" s="57">
        <f>IF(ISERROR(IF(B471=C471,AB471/C471,(INT(AB471/B471)+(((AB471-B471*INT(AB471/B471)))/C471)/100))),0,(IF(B471=C471,AB471/C471,(INT(AB471/B471)+(((AB471-B471*INT(AB471/B471)))/C471)/100))))</f>
        <v>1</v>
      </c>
      <c r="BN471" s="57">
        <f>IF(ISERROR(IF(B471=C471,AC471/C471,(INT(AC471/B471)+(((AC471-B471*INT(AC471/B471)))/C471)/100))),0,(IF(B471=C471,AC471/C471,(INT(AC471/B471)+(((AC471-B471*INT(AC471/B471)))/C471)/100))))</f>
        <v>0</v>
      </c>
      <c r="BO471" s="57">
        <f>IF(ISERROR(IF(B471=C471,AD471/C471,(INT(AD471/B471)+(((AD471-B471*INT(AD471/B471)))/C471)/100))),0,(IF(B471=C471,AD471/C471,(INT(AD471/B471)+(((AD471-B471*INT(AD471/B471)))/C471)/100))))</f>
        <v>0</v>
      </c>
      <c r="BQ471" s="155" t="s">
        <v>194</v>
      </c>
    </row>
    <row r="472" spans="1:69" x14ac:dyDescent="0.35">
      <c r="A472" s="94" t="s">
        <v>193</v>
      </c>
      <c r="B472" s="113">
        <v>750</v>
      </c>
      <c r="C472" s="113">
        <v>150</v>
      </c>
      <c r="D472" s="28">
        <f>SUM(AA472:AD472)</f>
        <v>2250</v>
      </c>
      <c r="E472" s="113">
        <v>0</v>
      </c>
      <c r="F472" s="113">
        <v>0</v>
      </c>
      <c r="G472" s="28">
        <f>SUM(D472:F472)</f>
        <v>2250</v>
      </c>
      <c r="H472" s="125">
        <v>0</v>
      </c>
      <c r="I472" s="113">
        <v>0</v>
      </c>
      <c r="J472" s="125">
        <v>0</v>
      </c>
      <c r="K472" s="113">
        <v>0</v>
      </c>
      <c r="L472" s="113">
        <v>0</v>
      </c>
      <c r="M472" s="113">
        <v>0</v>
      </c>
      <c r="N472" s="28">
        <f>G472-SUM(H472:M472)</f>
        <v>2250</v>
      </c>
      <c r="O472" s="28">
        <f>SUM(V472:Y472)</f>
        <v>2250</v>
      </c>
      <c r="P472" s="28">
        <f>O472-N472</f>
        <v>0</v>
      </c>
      <c r="Q472" s="61" t="str">
        <f>IF(ISERROR(P472/SUM(H472:L472)),"",P472/SUM(H472:L472))</f>
        <v/>
      </c>
      <c r="R472" s="113">
        <v>450</v>
      </c>
      <c r="S472" s="28">
        <f>IF(ISERROR(P472/C472*R472),0,(P472/C472*R472))</f>
        <v>0</v>
      </c>
      <c r="T472" s="60">
        <f>IF(ISERROR(P472/B472*AF472),0,(P472/B472*AF472))</f>
        <v>0</v>
      </c>
      <c r="V472" s="113">
        <f>2*750</f>
        <v>1500</v>
      </c>
      <c r="W472" s="113">
        <f>1*750</f>
        <v>750</v>
      </c>
      <c r="X472" s="113">
        <v>0</v>
      </c>
      <c r="Y472" s="113">
        <v>0</v>
      </c>
      <c r="AA472" s="113">
        <f>2*750</f>
        <v>1500</v>
      </c>
      <c r="AB472" s="113">
        <v>750</v>
      </c>
      <c r="AC472" s="113">
        <v>0</v>
      </c>
      <c r="AD472" s="113">
        <v>0</v>
      </c>
      <c r="AF472" s="162">
        <v>1200.1625000000001</v>
      </c>
      <c r="AG472" s="28">
        <f>G472-O472</f>
        <v>0</v>
      </c>
      <c r="AH472" s="58">
        <f>IF(ISERROR(AG472/B472*AF472),0,(AG472/B472*AF472))</f>
        <v>0</v>
      </c>
      <c r="AI472" s="28">
        <f>SUM(H472:M472)</f>
        <v>0</v>
      </c>
      <c r="AJ472" s="28">
        <f>IF(ISERROR(AI472/B472*AF472),0,(AI472/B472*AF472))</f>
        <v>0</v>
      </c>
      <c r="AK472" s="58">
        <f>IF(ISERROR(O472/B472*AF472),0,(O472/B472*AF472))</f>
        <v>3600.4875000000002</v>
      </c>
      <c r="AL472" s="28">
        <f>IF(ISERROR(H472/B472*AF472),0,(H472/B472*AF472))</f>
        <v>0</v>
      </c>
      <c r="AN472" s="51" t="str">
        <f>A472</f>
        <v>Kafer Point Grigo</v>
      </c>
      <c r="AO472" s="57">
        <f>IF(ISERROR(IF(B472=C472,D472/C472,(INT(D472/B472)+(((D472-B472*INT(D472/B472)))/C472)/100))),0,(IF(B472=C472,D472/C472,(INT(D472/B472)+(((D472-B472*INT(D472/B472)))/C472)/100))))</f>
        <v>3</v>
      </c>
      <c r="AP472" s="57">
        <f>IF(ISERROR(IF(B472=C472,E472/C472,(INT(E472/B472)+(((E472-B472*INT(E472/B472)))/C472)/100))),0,(IF(B472=C472,E472/C472,(INT(E472/B472)+(((E472-B472*INT(E472/B472)))/C472)/100))))</f>
        <v>0</v>
      </c>
      <c r="AQ472" s="57">
        <f>IF(ISERROR(IF(B472=C472,F472/C472,IF((INT(F472/B472)+(((F472-B472*INT(F472/B472)))/C472)/100)&lt;0,(INT(F472/B472)+(((F472-B472*INT(F472/B472)))/C472)/100)+(1-(B472/C472/100)),(INT(F472/B472)+(((F472-B472*INT(F472/B472)))/C472)/100)))),0,IF(B472=C472,F472/C472,IF((INT(F472/B472)+(((F472-B472*INT(F472/B472)))/C472)/100)&lt;0,(INT(F472/B472)+(((F472-B472*INT(F472/B472)))/C472)/100)+(1-(B472/C472/100)),(INT(F472/B472)+(((F472-B472*INT(F472/B472)))/C472)/100))))</f>
        <v>0</v>
      </c>
      <c r="AR472" s="57">
        <f>IF(ISERROR(IF(B472=C472,G472/C472,(INT(G472/B472)+(((G472-B472*INT(G472/B472)))/C472)/100))),0,(IF(B472=C472,G472/C472,(INT(G472/B472)+(((G472-B472*INT(G472/B472)))/C472)/100))))</f>
        <v>3</v>
      </c>
      <c r="AS472" s="57">
        <f>IF(ISERROR(IF(B472=C472,H472/C472,(INT(H472/B472)+(((H472-B472*INT(H472/B472)))/C472)/100))),0,(IF(B472=C472,H472/C472,(INT(H472/B472)+(((H472-B472*INT(H472/B472)))/C472)/100))))</f>
        <v>0</v>
      </c>
      <c r="AT472" s="57">
        <f>IF(ISERROR(IF(B472=C472,I472/C472,(INT(I472/B472)+(((I472-B472*INT(I472/B472)))/C472)/100))),0,(IF(B472=C472,I472/C472,(INT(I472/B472)+(((I472-B472*INT(I472/B472)))/C472)/100))))</f>
        <v>0</v>
      </c>
      <c r="AU472" s="57">
        <f>IF(ISERROR(IF(B472=C472,J472/C472,(INT(J472/B472)+(((J472-B472*INT(J472/B472)))/C472)/100))),0,(IF(B472=C472,J472/C472,(INT(J472/B472)+(((J472-B472*INT(J472/B472)))/C472)/100))))</f>
        <v>0</v>
      </c>
      <c r="AV472" s="57">
        <f>IF(ISERROR(IF(B472=C472,K472/C472,IF((INT(K472/B472)+(((K472-B472*INT(K472/B472)))/C472)/100)&lt;0,(INT(K472/B472)+(((K472-B472*INT(K472/B472)))/C472)/100)+(1-(B472/C472/100)),(INT(K472/B472)+(((K472-B472*INT(K472/B472)))/C472)/100)))),0,IF(B472=C472,K472/C472,IF((INT(K472/B472)+(((K472-B472*INT(K472/B472)))/C472)/100)&lt;0,(INT(K472/B472)+(((K472-B472*INT(K472/B472)))/C472)/100)+(1-(B472/C472/100)),(INT(K472/B472)+(((K472-B472*INT(K472/B472)))/C472)/100))))</f>
        <v>0</v>
      </c>
      <c r="AW472" s="57">
        <f>IF(ISERROR(IF(B472=C472,L472/C472,(INT(L472/B472)+(((L472-B472*INT(L472/B472)))/C472)/100))),0,(IF(B472=C472,L472/C472,(INT(L472/B472)+(((L472-B472*INT(L472/B472)))/C472)/100))))</f>
        <v>0</v>
      </c>
      <c r="AX472" s="57">
        <f>IF(ISERROR(IF(B472=C472,M472/C472,(INT(M472/B472)+(((M472-B472*INT(M472/B472)))/C472)/100))),0,(IF(B472=C472,M472/C472,(INT(M472/B472)+(((M472-B472*INT(M472/B472)))/C472)/100))))</f>
        <v>0</v>
      </c>
      <c r="AY472" s="57">
        <f>IF(ISERROR(IF(B472=C472,N472/C472,IF((INT(N472/B472)+(((N472-B472*INT(N472/B472)))/C472)/100)&lt;0,(INT(N472/B472)+(((N472-B472*INT(N472/B472)))/C472)/100)+(1-(B472/C472/100)),(INT(N472/B472)+(((N472-B472*INT(N472/B472)))/C472)/100)))),0,IF(B472=C472,N472/C472,IF((INT(N472/B472)+(((N472-B472*INT(N472/B472)))/C472)/100)&lt;0,(INT(N472/B472)+(((N472-B472*INT(N472/B472)))/C472)/100)+(1-(B472/C472/100)),(INT(N472/B472)+(((N472-B472*INT(N472/B472)))/C472)/100))))</f>
        <v>3</v>
      </c>
      <c r="AZ472" s="57">
        <f>IF(ISERROR(IF(B472=C472,O472/C472,(INT(O472/B472)+(((O472-B472*INT(O472/B472)))/C472)/100))),0,(IF(B472=C472,O472/C472,(INT(O472/B472)+(((O472-B472*INT(O472/B472)))/C472)/100))))</f>
        <v>3</v>
      </c>
      <c r="BA472" s="57">
        <f>IF(ISERROR(IF(B472=C472,P472/C472,IF((INT(P472/B472)+(((P472-B472*INT(P472/B472)))/C472)/100)&lt;0,(INT(P472/B472)+(((P472-B472*INT(P472/B472)))/C472)/100)+(1-(B472/C472/100)),(INT(P472/B472)+(((P472-B472*INT(P472/B472)))/C472)/100)))),0,IF(B472=C472,P472/C472,IF((INT(P472/B472)+(((P472-B472*INT(P472/B472)))/C472)/100)&lt;0,(INT(P472/B472)+(((P472-B472*INT(P472/B472)))/C472)/100)+(1-(B472/C472/100)),(INT(P472/B472)+(((P472-B472*INT(P472/B472)))/C472)/100))))</f>
        <v>0</v>
      </c>
      <c r="BB472" s="28">
        <f>R472</f>
        <v>450</v>
      </c>
      <c r="BC472" s="28">
        <f>S472</f>
        <v>0</v>
      </c>
      <c r="BD472" s="28">
        <f>AF472</f>
        <v>1200.1625000000001</v>
      </c>
      <c r="BE472" s="28">
        <f>T472</f>
        <v>0</v>
      </c>
      <c r="BG472" s="57">
        <f>IF(ISERROR(IF(B472=C472,V472/C472,(INT(V472/B472)+(((V472-B472*INT(V472/B472)))/C472)/100))),0,(IF(B472=C472,V472/C472,(INT(V472/B472)+(((V472-B472*INT(V472/B472)))/C472)/100))))</f>
        <v>2</v>
      </c>
      <c r="BH472" s="57">
        <f>IF(ISERROR(IF(B472=C472,W472/C472,(INT(W472/B472)+(((W472-B472*INT(W472/B472)))/C472)/100))),0,(IF(B472=C472,W472/C472,(INT(W472/B472)+(((W472-B472*INT(W472/B472)))/C472)/100))))</f>
        <v>1</v>
      </c>
      <c r="BI472" s="57">
        <f>IF(ISERROR(IF(B472=C472,X472/C472,(INT(X472/B472)+(((X472-B472*INT(X472/B472)))/C472)/100))),0,(IF(B472=C472,X472/C472,(INT(X472/B472)+(((X472-B472*INT(X472/B472)))/C472)/100))))</f>
        <v>0</v>
      </c>
      <c r="BJ472" s="57">
        <f>IF(ISERROR(IF(B472=C472,Y472/C472,(INT(Y472/B472)+(((Y472-B472*INT(Y472/B472)))/C472)/100))),0,(IF(B472=C472,Y472/C472,(INT(Y472/B472)+(((Y472-B472*INT(Y472/B472)))/C472)/100))))</f>
        <v>0</v>
      </c>
      <c r="BL472" s="57">
        <f>IF(ISERROR(IF(B472=C472,AA472/C472,(INT(AA472/B472)+(((AA472-B472*INT(AA472/B472)))/C472)/100))),0,(IF(B472=C472,AA472/C472,(INT(AA472/B472)+(((AA472-B472*INT(AA472/B472)))/C472)/100))))</f>
        <v>2</v>
      </c>
      <c r="BM472" s="57">
        <f>IF(ISERROR(IF(B472=C472,AB472/C472,(INT(AB472/B472)+(((AB472-B472*INT(AB472/B472)))/C472)/100))),0,(IF(B472=C472,AB472/C472,(INT(AB472/B472)+(((AB472-B472*INT(AB472/B472)))/C472)/100))))</f>
        <v>1</v>
      </c>
      <c r="BN472" s="57">
        <f>IF(ISERROR(IF(B472=C472,AC472/C472,(INT(AC472/B472)+(((AC472-B472*INT(AC472/B472)))/C472)/100))),0,(IF(B472=C472,AC472/C472,(INT(AC472/B472)+(((AC472-B472*INT(AC472/B472)))/C472)/100))))</f>
        <v>0</v>
      </c>
      <c r="BO472" s="57">
        <f>IF(ISERROR(IF(B472=C472,AD472/C472,(INT(AD472/B472)+(((AD472-B472*INT(AD472/B472)))/C472)/100))),0,(IF(B472=C472,AD472/C472,(INT(AD472/B472)+(((AD472-B472*INT(AD472/B472)))/C472)/100))))</f>
        <v>0</v>
      </c>
      <c r="BQ472" s="155" t="s">
        <v>189</v>
      </c>
    </row>
    <row r="473" spans="1:69" x14ac:dyDescent="0.35">
      <c r="A473" s="160" t="s">
        <v>192</v>
      </c>
      <c r="B473" s="113">
        <v>750</v>
      </c>
      <c r="C473" s="113">
        <v>750</v>
      </c>
      <c r="D473" s="28">
        <f>SUM(AA473:AD473)</f>
        <v>3750</v>
      </c>
      <c r="E473" s="113">
        <v>0</v>
      </c>
      <c r="F473" s="113">
        <v>0</v>
      </c>
      <c r="G473" s="28">
        <f>SUM(D473:F473)</f>
        <v>3750</v>
      </c>
      <c r="H473" s="125"/>
      <c r="I473" s="113">
        <v>0</v>
      </c>
      <c r="J473" s="125"/>
      <c r="K473" s="113">
        <v>0</v>
      </c>
      <c r="L473" s="113">
        <v>0</v>
      </c>
      <c r="M473" s="113">
        <v>0</v>
      </c>
      <c r="N473" s="28">
        <f>G473-SUM(H473:M473)</f>
        <v>3750</v>
      </c>
      <c r="O473" s="28">
        <f>SUM(V473:Y473)</f>
        <v>3750</v>
      </c>
      <c r="P473" s="28">
        <f>O473-N473</f>
        <v>0</v>
      </c>
      <c r="Q473" s="61" t="str">
        <f>IF(ISERROR(P473/SUM(H473:L473)),"",P473/SUM(H473:L473))</f>
        <v/>
      </c>
      <c r="R473" s="113">
        <v>3000</v>
      </c>
      <c r="S473" s="28">
        <f>IF(ISERROR(P473/C473*R473),0,(P473/C473*R473))</f>
        <v>0</v>
      </c>
      <c r="T473" s="60">
        <f>IF(ISERROR(P473/B473*AF473),0,(P473/B473*AF473))</f>
        <v>0</v>
      </c>
      <c r="V473" s="113">
        <f>2*750</f>
        <v>1500</v>
      </c>
      <c r="W473" s="113">
        <f>3*750</f>
        <v>2250</v>
      </c>
      <c r="X473" s="113"/>
      <c r="Y473" s="113"/>
      <c r="AA473" s="113">
        <f>2*750</f>
        <v>1500</v>
      </c>
      <c r="AB473" s="113">
        <f>3*750</f>
        <v>2250</v>
      </c>
      <c r="AC473" s="113"/>
      <c r="AD473" s="113"/>
      <c r="AF473" s="54">
        <v>1407</v>
      </c>
      <c r="AG473" s="28">
        <f>G473-O473</f>
        <v>0</v>
      </c>
      <c r="AH473" s="58">
        <f>IF(ISERROR(AG473/B473*AF473),0,(AG473/B473*AF473))</f>
        <v>0</v>
      </c>
      <c r="AI473" s="28">
        <f>SUM(H473:M473)</f>
        <v>0</v>
      </c>
      <c r="AJ473" s="28">
        <f>IF(ISERROR(AI473/B473*AF473),0,(AI473/B473*AF473))</f>
        <v>0</v>
      </c>
      <c r="AK473" s="58">
        <f>IF(ISERROR(O473/B473*AF473),0,(O473/B473*AF473))</f>
        <v>7035</v>
      </c>
      <c r="AL473" s="28">
        <f>IF(ISERROR(H473/B473*AF473),0,(H473/B473*AF473))</f>
        <v>0</v>
      </c>
      <c r="AN473" s="51" t="str">
        <f>A473</f>
        <v>Jacobs Creek Reserv Roso</v>
      </c>
      <c r="AO473" s="57">
        <f>IF(ISERROR(IF(B473=C473,D473/C473,(INT(D473/B473)+(((D473-B473*INT(D473/B473)))/C473)/100))),0,(IF(B473=C473,D473/C473,(INT(D473/B473)+(((D473-B473*INT(D473/B473)))/C473)/100))))</f>
        <v>5</v>
      </c>
      <c r="AP473" s="57">
        <f>IF(ISERROR(IF(B473=C473,E473/C473,(INT(E473/B473)+(((E473-B473*INT(E473/B473)))/C473)/100))),0,(IF(B473=C473,E473/C473,(INT(E473/B473)+(((E473-B473*INT(E473/B473)))/C473)/100))))</f>
        <v>0</v>
      </c>
      <c r="AQ473" s="57">
        <f>IF(ISERROR(IF(B473=C473,F473/C473,IF((INT(F473/B473)+(((F473-B473*INT(F473/B473)))/C473)/100)&lt;0,(INT(F473/B473)+(((F473-B473*INT(F473/B473)))/C473)/100)+(1-(B473/C473/100)),(INT(F473/B473)+(((F473-B473*INT(F473/B473)))/C473)/100)))),0,IF(B473=C473,F473/C473,IF((INT(F473/B473)+(((F473-B473*INT(F473/B473)))/C473)/100)&lt;0,(INT(F473/B473)+(((F473-B473*INT(F473/B473)))/C473)/100)+(1-(B473/C473/100)),(INT(F473/B473)+(((F473-B473*INT(F473/B473)))/C473)/100))))</f>
        <v>0</v>
      </c>
      <c r="AR473" s="57">
        <f>IF(ISERROR(IF(B473=C473,G473/C473,(INT(G473/B473)+(((G473-B473*INT(G473/B473)))/C473)/100))),0,(IF(B473=C473,G473/C473,(INT(G473/B473)+(((G473-B473*INT(G473/B473)))/C473)/100))))</f>
        <v>5</v>
      </c>
      <c r="AS473" s="57">
        <f>IF(ISERROR(IF(B473=C473,H473/C473,(INT(H473/B473)+(((H473-B473*INT(H473/B473)))/C473)/100))),0,(IF(B473=C473,H473/C473,(INT(H473/B473)+(((H473-B473*INT(H473/B473)))/C473)/100))))</f>
        <v>0</v>
      </c>
      <c r="AT473" s="57">
        <f>IF(ISERROR(IF(B473=C473,I473/C473,(INT(I473/B473)+(((I473-B473*INT(I473/B473)))/C473)/100))),0,(IF(B473=C473,I473/C473,(INT(I473/B473)+(((I473-B473*INT(I473/B473)))/C473)/100))))</f>
        <v>0</v>
      </c>
      <c r="AU473" s="57">
        <f>IF(ISERROR(IF(B473=C473,J473/C473,(INT(J473/B473)+(((J473-B473*INT(J473/B473)))/C473)/100))),0,(IF(B473=C473,J473/C473,(INT(J473/B473)+(((J473-B473*INT(J473/B473)))/C473)/100))))</f>
        <v>0</v>
      </c>
      <c r="AV473" s="57">
        <f>IF(ISERROR(IF(B473=C473,K473/C473,IF((INT(K473/B473)+(((K473-B473*INT(K473/B473)))/C473)/100)&lt;0,(INT(K473/B473)+(((K473-B473*INT(K473/B473)))/C473)/100)+(1-(B473/C473/100)),(INT(K473/B473)+(((K473-B473*INT(K473/B473)))/C473)/100)))),0,IF(B473=C473,K473/C473,IF((INT(K473/B473)+(((K473-B473*INT(K473/B473)))/C473)/100)&lt;0,(INT(K473/B473)+(((K473-B473*INT(K473/B473)))/C473)/100)+(1-(B473/C473/100)),(INT(K473/B473)+(((K473-B473*INT(K473/B473)))/C473)/100))))</f>
        <v>0</v>
      </c>
      <c r="AW473" s="57">
        <f>IF(ISERROR(IF(B473=C473,L473/C473,(INT(L473/B473)+(((L473-B473*INT(L473/B473)))/C473)/100))),0,(IF(B473=C473,L473/C473,(INT(L473/B473)+(((L473-B473*INT(L473/B473)))/C473)/100))))</f>
        <v>0</v>
      </c>
      <c r="AX473" s="57">
        <f>IF(ISERROR(IF(B473=C473,M473/C473,(INT(M473/B473)+(((M473-B473*INT(M473/B473)))/C473)/100))),0,(IF(B473=C473,M473/C473,(INT(M473/B473)+(((M473-B473*INT(M473/B473)))/C473)/100))))</f>
        <v>0</v>
      </c>
      <c r="AY473" s="57">
        <f>IF(ISERROR(IF(B473=C473,N473/C473,IF((INT(N473/B473)+(((N473-B473*INT(N473/B473)))/C473)/100)&lt;0,(INT(N473/B473)+(((N473-B473*INT(N473/B473)))/C473)/100)+(1-(B473/C473/100)),(INT(N473/B473)+(((N473-B473*INT(N473/B473)))/C473)/100)))),0,IF(B473=C473,N473/C473,IF((INT(N473/B473)+(((N473-B473*INT(N473/B473)))/C473)/100)&lt;0,(INT(N473/B473)+(((N473-B473*INT(N473/B473)))/C473)/100)+(1-(B473/C473/100)),(INT(N473/B473)+(((N473-B473*INT(N473/B473)))/C473)/100))))</f>
        <v>5</v>
      </c>
      <c r="AZ473" s="57">
        <f>IF(ISERROR(IF(B473=C473,O473/C473,(INT(O473/B473)+(((O473-B473*INT(O473/B473)))/C473)/100))),0,(IF(B473=C473,O473/C473,(INT(O473/B473)+(((O473-B473*INT(O473/B473)))/C473)/100))))</f>
        <v>5</v>
      </c>
      <c r="BA473" s="57">
        <f>IF(ISERROR(IF(B473=C473,P473/C473,IF((INT(P473/B473)+(((P473-B473*INT(P473/B473)))/C473)/100)&lt;0,(INT(P473/B473)+(((P473-B473*INT(P473/B473)))/C473)/100)+(1-(B473/C473/100)),(INT(P473/B473)+(((P473-B473*INT(P473/B473)))/C473)/100)))),0,IF(B473=C473,P473/C473,IF((INT(P473/B473)+(((P473-B473*INT(P473/B473)))/C473)/100)&lt;0,(INT(P473/B473)+(((P473-B473*INT(P473/B473)))/C473)/100)+(1-(B473/C473/100)),(INT(P473/B473)+(((P473-B473*INT(P473/B473)))/C473)/100))))</f>
        <v>0</v>
      </c>
      <c r="BB473" s="28">
        <f>R473</f>
        <v>3000</v>
      </c>
      <c r="BC473" s="28">
        <f>S473</f>
        <v>0</v>
      </c>
      <c r="BD473" s="28">
        <f>AF473</f>
        <v>1407</v>
      </c>
      <c r="BE473" s="28">
        <f>T473</f>
        <v>0</v>
      </c>
      <c r="BG473" s="57">
        <f>IF(ISERROR(IF(B473=C473,V473/C473,(INT(V473/B473)+(((V473-B473*INT(V473/B473)))/C473)/100))),0,(IF(B473=C473,V473/C473,(INT(V473/B473)+(((V473-B473*INT(V473/B473)))/C473)/100))))</f>
        <v>2</v>
      </c>
      <c r="BH473" s="57">
        <f>IF(ISERROR(IF(B473=C473,W473/C473,(INT(W473/B473)+(((W473-B473*INT(W473/B473)))/C473)/100))),0,(IF(B473=C473,W473/C473,(INT(W473/B473)+(((W473-B473*INT(W473/B473)))/C473)/100))))</f>
        <v>3</v>
      </c>
      <c r="BI473" s="57">
        <f>IF(ISERROR(IF(B473=C473,X473/C473,(INT(X473/B473)+(((X473-B473*INT(X473/B473)))/C473)/100))),0,(IF(B473=C473,X473/C473,(INT(X473/B473)+(((X473-B473*INT(X473/B473)))/C473)/100))))</f>
        <v>0</v>
      </c>
      <c r="BJ473" s="57">
        <f>IF(ISERROR(IF(B473=C473,Y473/C473,(INT(Y473/B473)+(((Y473-B473*INT(Y473/B473)))/C473)/100))),0,(IF(B473=C473,Y473/C473,(INT(Y473/B473)+(((Y473-B473*INT(Y473/B473)))/C473)/100))))</f>
        <v>0</v>
      </c>
      <c r="BL473" s="57">
        <f>IF(ISERROR(IF(B473=C473,AA473/C473,(INT(AA473/B473)+(((AA473-B473*INT(AA473/B473)))/C473)/100))),0,(IF(B473=C473,AA473/C473,(INT(AA473/B473)+(((AA473-B473*INT(AA473/B473)))/C473)/100))))</f>
        <v>2</v>
      </c>
      <c r="BM473" s="57">
        <f>IF(ISERROR(IF(B473=C473,AB473/C473,(INT(AB473/B473)+(((AB473-B473*INT(AB473/B473)))/C473)/100))),0,(IF(B473=C473,AB473/C473,(INT(AB473/B473)+(((AB473-B473*INT(AB473/B473)))/C473)/100))))</f>
        <v>3</v>
      </c>
      <c r="BN473" s="57">
        <f>IF(ISERROR(IF(B473=C473,AC473/C473,(INT(AC473/B473)+(((AC473-B473*INT(AC473/B473)))/C473)/100))),0,(IF(B473=C473,AC473/C473,(INT(AC473/B473)+(((AC473-B473*INT(AC473/B473)))/C473)/100))))</f>
        <v>0</v>
      </c>
      <c r="BO473" s="57">
        <f>IF(ISERROR(IF(B473=C473,AD473/C473,(INT(AD473/B473)+(((AD473-B473*INT(AD473/B473)))/C473)/100))),0,(IF(B473=C473,AD473/C473,(INT(AD473/B473)+(((AD473-B473*INT(AD473/B473)))/C473)/100))))</f>
        <v>0</v>
      </c>
      <c r="BQ473" s="155" t="s">
        <v>189</v>
      </c>
    </row>
    <row r="474" spans="1:69" x14ac:dyDescent="0.35">
      <c r="A474" s="94" t="s">
        <v>191</v>
      </c>
      <c r="B474" s="113">
        <v>750</v>
      </c>
      <c r="C474" s="113">
        <v>750</v>
      </c>
      <c r="D474" s="28">
        <f>SUM(AA474:AD474)</f>
        <v>2250</v>
      </c>
      <c r="E474" s="113"/>
      <c r="F474" s="113"/>
      <c r="G474" s="28">
        <f>SUM(D474:F474)</f>
        <v>2250</v>
      </c>
      <c r="H474" s="125"/>
      <c r="I474" s="113"/>
      <c r="J474" s="125"/>
      <c r="K474" s="113"/>
      <c r="L474" s="113"/>
      <c r="M474" s="113"/>
      <c r="N474" s="28">
        <f>G474-SUM(H474:M474)</f>
        <v>2250</v>
      </c>
      <c r="O474" s="28">
        <f>SUM(V474:Y474)</f>
        <v>2250</v>
      </c>
      <c r="P474" s="28">
        <f>O474-N474</f>
        <v>0</v>
      </c>
      <c r="Q474" s="61" t="str">
        <f>IF(ISERROR(P474/SUM(H474:L474)),"",P474/SUM(H474:L474))</f>
        <v/>
      </c>
      <c r="R474" s="113">
        <v>2900</v>
      </c>
      <c r="S474" s="28">
        <f>IF(ISERROR(P474/C474*R474),0,(P474/C474*R474))</f>
        <v>0</v>
      </c>
      <c r="T474" s="60">
        <f>IF(ISERROR(P474/B474*AF474),0,(P474/B474*AF474))</f>
        <v>0</v>
      </c>
      <c r="V474" s="113">
        <f>3*750</f>
        <v>2250</v>
      </c>
      <c r="W474" s="113"/>
      <c r="X474" s="113"/>
      <c r="Y474" s="113"/>
      <c r="AA474" s="113">
        <f>3*750</f>
        <v>2250</v>
      </c>
      <c r="AB474" s="113"/>
      <c r="AC474" s="113"/>
      <c r="AD474" s="113"/>
      <c r="AF474" s="113">
        <f>14727.3/12</f>
        <v>1227.2749999999999</v>
      </c>
      <c r="AG474" s="28">
        <f>G474-O474</f>
        <v>0</v>
      </c>
      <c r="AH474" s="58">
        <f>IF(ISERROR(AG474/B474*AF474),0,(AG474/B474*AF474))</f>
        <v>0</v>
      </c>
      <c r="AI474" s="28">
        <f>SUM(H474:M474)</f>
        <v>0</v>
      </c>
      <c r="AJ474" s="28">
        <f>IF(ISERROR(AI474/B474*AF474),0,(AI474/B474*AF474))</f>
        <v>0</v>
      </c>
      <c r="AK474" s="58">
        <f>IF(ISERROR(O474/B474*AF474),0,(O474/B474*AF474))</f>
        <v>3681.8249999999998</v>
      </c>
      <c r="AL474" s="28">
        <f>IF(ISERROR(H474/B474*AF474),0,(H474/B474*AF474))</f>
        <v>0</v>
      </c>
      <c r="AN474" s="51" t="str">
        <f>A474</f>
        <v>Treblle Red</v>
      </c>
      <c r="AO474" s="57">
        <f>IF(ISERROR(IF(B474=C474,D474/C474,(INT(D474/B474)+(((D474-B474*INT(D474/B474)))/C474)/100))),0,(IF(B474=C474,D474/C474,(INT(D474/B474)+(((D474-B474*INT(D474/B474)))/C474)/100))))</f>
        <v>3</v>
      </c>
      <c r="AP474" s="57">
        <f>IF(ISERROR(IF(B474=C474,E474/C474,(INT(E474/B474)+(((E474-B474*INT(E474/B474)))/C474)/100))),0,(IF(B474=C474,E474/C474,(INT(E474/B474)+(((E474-B474*INT(E474/B474)))/C474)/100))))</f>
        <v>0</v>
      </c>
      <c r="AQ474" s="57">
        <f>IF(ISERROR(IF(B474=C474,F474/C474,IF((INT(F474/B474)+(((F474-B474*INT(F474/B474)))/C474)/100)&lt;0,(INT(F474/B474)+(((F474-B474*INT(F474/B474)))/C474)/100)+(1-(B474/C474/100)),(INT(F474/B474)+(((F474-B474*INT(F474/B474)))/C474)/100)))),0,IF(B474=C474,F474/C474,IF((INT(F474/B474)+(((F474-B474*INT(F474/B474)))/C474)/100)&lt;0,(INT(F474/B474)+(((F474-B474*INT(F474/B474)))/C474)/100)+(1-(B474/C474/100)),(INT(F474/B474)+(((F474-B474*INT(F474/B474)))/C474)/100))))</f>
        <v>0</v>
      </c>
      <c r="AR474" s="57">
        <f>IF(ISERROR(IF(B474=C474,G474/C474,(INT(G474/B474)+(((G474-B474*INT(G474/B474)))/C474)/100))),0,(IF(B474=C474,G474/C474,(INT(G474/B474)+(((G474-B474*INT(G474/B474)))/C474)/100))))</f>
        <v>3</v>
      </c>
      <c r="AS474" s="57">
        <f>IF(ISERROR(IF(B474=C474,H474/C474,(INT(H474/B474)+(((H474-B474*INT(H474/B474)))/C474)/100))),0,(IF(B474=C474,H474/C474,(INT(H474/B474)+(((H474-B474*INT(H474/B474)))/C474)/100))))</f>
        <v>0</v>
      </c>
      <c r="AT474" s="57">
        <f>IF(ISERROR(IF(B474=C474,I474/C474,(INT(I474/B474)+(((I474-B474*INT(I474/B474)))/C474)/100))),0,(IF(B474=C474,I474/C474,(INT(I474/B474)+(((I474-B474*INT(I474/B474)))/C474)/100))))</f>
        <v>0</v>
      </c>
      <c r="AU474" s="57">
        <f>IF(ISERROR(IF(B474=C474,J474/C474,(INT(J474/B474)+(((J474-B474*INT(J474/B474)))/C474)/100))),0,(IF(B474=C474,J474/C474,(INT(J474/B474)+(((J474-B474*INT(J474/B474)))/C474)/100))))</f>
        <v>0</v>
      </c>
      <c r="AV474" s="57">
        <f>IF(ISERROR(IF(B474=C474,K474/C474,IF((INT(K474/B474)+(((K474-B474*INT(K474/B474)))/C474)/100)&lt;0,(INT(K474/B474)+(((K474-B474*INT(K474/B474)))/C474)/100)+(1-(B474/C474/100)),(INT(K474/B474)+(((K474-B474*INT(K474/B474)))/C474)/100)))),0,IF(B474=C474,K474/C474,IF((INT(K474/B474)+(((K474-B474*INT(K474/B474)))/C474)/100)&lt;0,(INT(K474/B474)+(((K474-B474*INT(K474/B474)))/C474)/100)+(1-(B474/C474/100)),(INT(K474/B474)+(((K474-B474*INT(K474/B474)))/C474)/100))))</f>
        <v>0</v>
      </c>
      <c r="AW474" s="57">
        <f>IF(ISERROR(IF(B474=C474,L474/C474,(INT(L474/B474)+(((L474-B474*INT(L474/B474)))/C474)/100))),0,(IF(B474=C474,L474/C474,(INT(L474/B474)+(((L474-B474*INT(L474/B474)))/C474)/100))))</f>
        <v>0</v>
      </c>
      <c r="AX474" s="57">
        <f>IF(ISERROR(IF(B474=C474,M474/C474,(INT(M474/B474)+(((M474-B474*INT(M474/B474)))/C474)/100))),0,(IF(B474=C474,M474/C474,(INT(M474/B474)+(((M474-B474*INT(M474/B474)))/C474)/100))))</f>
        <v>0</v>
      </c>
      <c r="AY474" s="57">
        <f>IF(ISERROR(IF(B474=C474,N474/C474,IF((INT(N474/B474)+(((N474-B474*INT(N474/B474)))/C474)/100)&lt;0,(INT(N474/B474)+(((N474-B474*INT(N474/B474)))/C474)/100)+(1-(B474/C474/100)),(INT(N474/B474)+(((N474-B474*INT(N474/B474)))/C474)/100)))),0,IF(B474=C474,N474/C474,IF((INT(N474/B474)+(((N474-B474*INT(N474/B474)))/C474)/100)&lt;0,(INT(N474/B474)+(((N474-B474*INT(N474/B474)))/C474)/100)+(1-(B474/C474/100)),(INT(N474/B474)+(((N474-B474*INT(N474/B474)))/C474)/100))))</f>
        <v>3</v>
      </c>
      <c r="AZ474" s="57">
        <f>IF(ISERROR(IF(B474=C474,O474/C474,(INT(O474/B474)+(((O474-B474*INT(O474/B474)))/C474)/100))),0,(IF(B474=C474,O474/C474,(INT(O474/B474)+(((O474-B474*INT(O474/B474)))/C474)/100))))</f>
        <v>3</v>
      </c>
      <c r="BA474" s="57">
        <f>IF(ISERROR(IF(B474=C474,P474/C474,IF((INT(P474/B474)+(((P474-B474*INT(P474/B474)))/C474)/100)&lt;0,(INT(P474/B474)+(((P474-B474*INT(P474/B474)))/C474)/100)+(1-(B474/C474/100)),(INT(P474/B474)+(((P474-B474*INT(P474/B474)))/C474)/100)))),0,IF(B474=C474,P474/C474,IF((INT(P474/B474)+(((P474-B474*INT(P474/B474)))/C474)/100)&lt;0,(INT(P474/B474)+(((P474-B474*INT(P474/B474)))/C474)/100)+(1-(B474/C474/100)),(INT(P474/B474)+(((P474-B474*INT(P474/B474)))/C474)/100))))</f>
        <v>0</v>
      </c>
      <c r="BB474" s="28">
        <f>R474</f>
        <v>2900</v>
      </c>
      <c r="BC474" s="28">
        <f>S474</f>
        <v>0</v>
      </c>
      <c r="BD474" s="28">
        <f>AF474</f>
        <v>1227.2749999999999</v>
      </c>
      <c r="BE474" s="28">
        <f>T474</f>
        <v>0</v>
      </c>
      <c r="BG474" s="57">
        <f>IF(ISERROR(IF(B474=C474,V474/C474,(INT(V474/B474)+(((V474-B474*INT(V474/B474)))/C474)/100))),0,(IF(B474=C474,V474/C474,(INT(V474/B474)+(((V474-B474*INT(V474/B474)))/C474)/100))))</f>
        <v>3</v>
      </c>
      <c r="BH474" s="57">
        <f>IF(ISERROR(IF(B474=C474,W474/C474,(INT(W474/B474)+(((W474-B474*INT(W474/B474)))/C474)/100))),0,(IF(B474=C474,W474/C474,(INT(W474/B474)+(((W474-B474*INT(W474/B474)))/C474)/100))))</f>
        <v>0</v>
      </c>
      <c r="BI474" s="57">
        <f>IF(ISERROR(IF(B474=C474,X474/C474,(INT(X474/B474)+(((X474-B474*INT(X474/B474)))/C474)/100))),0,(IF(B474=C474,X474/C474,(INT(X474/B474)+(((X474-B474*INT(X474/B474)))/C474)/100))))</f>
        <v>0</v>
      </c>
      <c r="BJ474" s="57">
        <f>IF(ISERROR(IF(B474=C474,Y474/C474,(INT(Y474/B474)+(((Y474-B474*INT(Y474/B474)))/C474)/100))),0,(IF(B474=C474,Y474/C474,(INT(Y474/B474)+(((Y474-B474*INT(Y474/B474)))/C474)/100))))</f>
        <v>0</v>
      </c>
      <c r="BL474" s="57">
        <f>IF(ISERROR(IF(B474=C474,AA474/C474,(INT(AA474/B474)+(((AA474-B474*INT(AA474/B474)))/C474)/100))),0,(IF(B474=C474,AA474/C474,(INT(AA474/B474)+(((AA474-B474*INT(AA474/B474)))/C474)/100))))</f>
        <v>3</v>
      </c>
      <c r="BM474" s="57">
        <f>IF(ISERROR(IF(B474=C474,AB474/C474,(INT(AB474/B474)+(((AB474-B474*INT(AB474/B474)))/C474)/100))),0,(IF(B474=C474,AB474/C474,(INT(AB474/B474)+(((AB474-B474*INT(AB474/B474)))/C474)/100))))</f>
        <v>0</v>
      </c>
      <c r="BN474" s="57">
        <f>IF(ISERROR(IF(B474=C474,AC474/C474,(INT(AC474/B474)+(((AC474-B474*INT(AC474/B474)))/C474)/100))),0,(IF(B474=C474,AC474/C474,(INT(AC474/B474)+(((AC474-B474*INT(AC474/B474)))/C474)/100))))</f>
        <v>0</v>
      </c>
      <c r="BO474" s="57">
        <f>IF(ISERROR(IF(B474=C474,AD474/C474,(INT(AD474/B474)+(((AD474-B474*INT(AD474/B474)))/C474)/100))),0,(IF(B474=C474,AD474/C474,(INT(AD474/B474)+(((AD474-B474*INT(AD474/B474)))/C474)/100))))</f>
        <v>0</v>
      </c>
      <c r="BQ474" s="155" t="s">
        <v>189</v>
      </c>
    </row>
    <row r="475" spans="1:69" x14ac:dyDescent="0.35">
      <c r="A475" s="94" t="s">
        <v>190</v>
      </c>
      <c r="B475" s="113">
        <v>750</v>
      </c>
      <c r="C475" s="113">
        <v>750</v>
      </c>
      <c r="D475" s="28">
        <f>SUM(AA475:AD475)</f>
        <v>2250</v>
      </c>
      <c r="E475" s="113">
        <v>0</v>
      </c>
      <c r="F475" s="113">
        <v>0</v>
      </c>
      <c r="G475" s="28">
        <f>SUM(D475:F475)</f>
        <v>2250</v>
      </c>
      <c r="H475" s="125">
        <v>0</v>
      </c>
      <c r="I475" s="113">
        <v>0</v>
      </c>
      <c r="J475" s="125">
        <v>0</v>
      </c>
      <c r="K475" s="113">
        <v>0</v>
      </c>
      <c r="L475" s="113">
        <v>0</v>
      </c>
      <c r="M475" s="113">
        <v>0</v>
      </c>
      <c r="N475" s="28">
        <f>G475-SUM(H475:M475)</f>
        <v>2250</v>
      </c>
      <c r="O475" s="28">
        <f>SUM(V475:Y475)</f>
        <v>2250</v>
      </c>
      <c r="P475" s="28">
        <f>O475-N475</f>
        <v>0</v>
      </c>
      <c r="Q475" s="61" t="str">
        <f>IF(ISERROR(P475/SUM(H475:L475)),"",P475/SUM(H475:L475))</f>
        <v/>
      </c>
      <c r="R475" s="113">
        <v>2900</v>
      </c>
      <c r="S475" s="28">
        <f>IF(ISERROR(P475/C475*R475),0,(P475/C475*R475))</f>
        <v>0</v>
      </c>
      <c r="T475" s="60">
        <f>IF(ISERROR(P475/B475*AF475),0,(P475/B475*AF475))</f>
        <v>0</v>
      </c>
      <c r="V475" s="113">
        <f>3*750</f>
        <v>2250</v>
      </c>
      <c r="W475" s="113">
        <v>0</v>
      </c>
      <c r="X475" s="113">
        <v>0</v>
      </c>
      <c r="Y475" s="113">
        <v>0</v>
      </c>
      <c r="AA475" s="113">
        <f>3*750</f>
        <v>2250</v>
      </c>
      <c r="AB475" s="113">
        <v>0</v>
      </c>
      <c r="AC475" s="113">
        <v>0</v>
      </c>
      <c r="AD475" s="113">
        <v>0</v>
      </c>
      <c r="AF475" s="113">
        <f>14727.3/12</f>
        <v>1227.2749999999999</v>
      </c>
      <c r="AG475" s="28">
        <f>G475-O475</f>
        <v>0</v>
      </c>
      <c r="AH475" s="58">
        <f>IF(ISERROR(AG475/B475*AF475),0,(AG475/B475*AF475))</f>
        <v>0</v>
      </c>
      <c r="AI475" s="28">
        <f>SUM(H475:M475)</f>
        <v>0</v>
      </c>
      <c r="AJ475" s="28">
        <f>IF(ISERROR(AI475/B475*AF475),0,(AI475/B475*AF475))</f>
        <v>0</v>
      </c>
      <c r="AK475" s="58">
        <f>IF(ISERROR(O475/B475*AF475),0,(O475/B475*AF475))</f>
        <v>3681.8249999999998</v>
      </c>
      <c r="AL475" s="28">
        <f>IF(ISERROR(H475/B475*AF475),0,(H475/B475*AF475))</f>
        <v>0</v>
      </c>
      <c r="AN475" s="51" t="str">
        <f>A475</f>
        <v>Treblle White</v>
      </c>
      <c r="AO475" s="57">
        <f>IF(ISERROR(IF(B475=C475,D475/C475,(INT(D475/B475)+(((D475-B475*INT(D475/B475)))/C475)/100))),0,(IF(B475=C475,D475/C475,(INT(D475/B475)+(((D475-B475*INT(D475/B475)))/C475)/100))))</f>
        <v>3</v>
      </c>
      <c r="AP475" s="57">
        <f>IF(ISERROR(IF(B475=C475,E475/C475,(INT(E475/B475)+(((E475-B475*INT(E475/B475)))/C475)/100))),0,(IF(B475=C475,E475/C475,(INT(E475/B475)+(((E475-B475*INT(E475/B475)))/C475)/100))))</f>
        <v>0</v>
      </c>
      <c r="AQ475" s="57">
        <f>IF(ISERROR(IF(B475=C475,F475/C475,IF((INT(F475/B475)+(((F475-B475*INT(F475/B475)))/C475)/100)&lt;0,(INT(F475/B475)+(((F475-B475*INT(F475/B475)))/C475)/100)+(1-(B475/C475/100)),(INT(F475/B475)+(((F475-B475*INT(F475/B475)))/C475)/100)))),0,IF(B475=C475,F475/C475,IF((INT(F475/B475)+(((F475-B475*INT(F475/B475)))/C475)/100)&lt;0,(INT(F475/B475)+(((F475-B475*INT(F475/B475)))/C475)/100)+(1-(B475/C475/100)),(INT(F475/B475)+(((F475-B475*INT(F475/B475)))/C475)/100))))</f>
        <v>0</v>
      </c>
      <c r="AR475" s="57">
        <f>IF(ISERROR(IF(B475=C475,G475/C475,(INT(G475/B475)+(((G475-B475*INT(G475/B475)))/C475)/100))),0,(IF(B475=C475,G475/C475,(INT(G475/B475)+(((G475-B475*INT(G475/B475)))/C475)/100))))</f>
        <v>3</v>
      </c>
      <c r="AS475" s="57">
        <f>IF(ISERROR(IF(B475=C475,H475/C475,(INT(H475/B475)+(((H475-B475*INT(H475/B475)))/C475)/100))),0,(IF(B475=C475,H475/C475,(INT(H475/B475)+(((H475-B475*INT(H475/B475)))/C475)/100))))</f>
        <v>0</v>
      </c>
      <c r="AT475" s="57">
        <f>IF(ISERROR(IF(B475=C475,I475/C475,(INT(I475/B475)+(((I475-B475*INT(I475/B475)))/C475)/100))),0,(IF(B475=C475,I475/C475,(INT(I475/B475)+(((I475-B475*INT(I475/B475)))/C475)/100))))</f>
        <v>0</v>
      </c>
      <c r="AU475" s="57">
        <f>IF(ISERROR(IF(B475=C475,J475/C475,(INT(J475/B475)+(((J475-B475*INT(J475/B475)))/C475)/100))),0,(IF(B475=C475,J475/C475,(INT(J475/B475)+(((J475-B475*INT(J475/B475)))/C475)/100))))</f>
        <v>0</v>
      </c>
      <c r="AV475" s="57">
        <f>IF(ISERROR(IF(B475=C475,K475/C475,IF((INT(K475/B475)+(((K475-B475*INT(K475/B475)))/C475)/100)&lt;0,(INT(K475/B475)+(((K475-B475*INT(K475/B475)))/C475)/100)+(1-(B475/C475/100)),(INT(K475/B475)+(((K475-B475*INT(K475/B475)))/C475)/100)))),0,IF(B475=C475,K475/C475,IF((INT(K475/B475)+(((K475-B475*INT(K475/B475)))/C475)/100)&lt;0,(INT(K475/B475)+(((K475-B475*INT(K475/B475)))/C475)/100)+(1-(B475/C475/100)),(INT(K475/B475)+(((K475-B475*INT(K475/B475)))/C475)/100))))</f>
        <v>0</v>
      </c>
      <c r="AW475" s="57">
        <f>IF(ISERROR(IF(B475=C475,L475/C475,(INT(L475/B475)+(((L475-B475*INT(L475/B475)))/C475)/100))),0,(IF(B475=C475,L475/C475,(INT(L475/B475)+(((L475-B475*INT(L475/B475)))/C475)/100))))</f>
        <v>0</v>
      </c>
      <c r="AX475" s="57">
        <f>IF(ISERROR(IF(B475=C475,M475/C475,(INT(M475/B475)+(((M475-B475*INT(M475/B475)))/C475)/100))),0,(IF(B475=C475,M475/C475,(INT(M475/B475)+(((M475-B475*INT(M475/B475)))/C475)/100))))</f>
        <v>0</v>
      </c>
      <c r="AY475" s="57">
        <f>IF(ISERROR(IF(B475=C475,N475/C475,IF((INT(N475/B475)+(((N475-B475*INT(N475/B475)))/C475)/100)&lt;0,(INT(N475/B475)+(((N475-B475*INT(N475/B475)))/C475)/100)+(1-(B475/C475/100)),(INT(N475/B475)+(((N475-B475*INT(N475/B475)))/C475)/100)))),0,IF(B475=C475,N475/C475,IF((INT(N475/B475)+(((N475-B475*INT(N475/B475)))/C475)/100)&lt;0,(INT(N475/B475)+(((N475-B475*INT(N475/B475)))/C475)/100)+(1-(B475/C475/100)),(INT(N475/B475)+(((N475-B475*INT(N475/B475)))/C475)/100))))</f>
        <v>3</v>
      </c>
      <c r="AZ475" s="57">
        <f>IF(ISERROR(IF(B475=C475,O475/C475,(INT(O475/B475)+(((O475-B475*INT(O475/B475)))/C475)/100))),0,(IF(B475=C475,O475/C475,(INT(O475/B475)+(((O475-B475*INT(O475/B475)))/C475)/100))))</f>
        <v>3</v>
      </c>
      <c r="BA475" s="57">
        <f>IF(ISERROR(IF(B475=C475,P475/C475,IF((INT(P475/B475)+(((P475-B475*INT(P475/B475)))/C475)/100)&lt;0,(INT(P475/B475)+(((P475-B475*INT(P475/B475)))/C475)/100)+(1-(B475/C475/100)),(INT(P475/B475)+(((P475-B475*INT(P475/B475)))/C475)/100)))),0,IF(B475=C475,P475/C475,IF((INT(P475/B475)+(((P475-B475*INT(P475/B475)))/C475)/100)&lt;0,(INT(P475/B475)+(((P475-B475*INT(P475/B475)))/C475)/100)+(1-(B475/C475/100)),(INT(P475/B475)+(((P475-B475*INT(P475/B475)))/C475)/100))))</f>
        <v>0</v>
      </c>
      <c r="BB475" s="28">
        <f>R475</f>
        <v>2900</v>
      </c>
      <c r="BC475" s="28">
        <f>S475</f>
        <v>0</v>
      </c>
      <c r="BD475" s="28">
        <f>AF475</f>
        <v>1227.2749999999999</v>
      </c>
      <c r="BE475" s="28">
        <f>T475</f>
        <v>0</v>
      </c>
      <c r="BG475" s="57">
        <f>IF(ISERROR(IF(B475=C475,V475/C475,(INT(V475/B475)+(((V475-B475*INT(V475/B475)))/C475)/100))),0,(IF(B475=C475,V475/C475,(INT(V475/B475)+(((V475-B475*INT(V475/B475)))/C475)/100))))</f>
        <v>3</v>
      </c>
      <c r="BH475" s="57">
        <f>IF(ISERROR(IF(B475=C475,W475/C475,(INT(W475/B475)+(((W475-B475*INT(W475/B475)))/C475)/100))),0,(IF(B475=C475,W475/C475,(INT(W475/B475)+(((W475-B475*INT(W475/B475)))/C475)/100))))</f>
        <v>0</v>
      </c>
      <c r="BI475" s="57">
        <f>IF(ISERROR(IF(B475=C475,X475/C475,(INT(X475/B475)+(((X475-B475*INT(X475/B475)))/C475)/100))),0,(IF(B475=C475,X475/C475,(INT(X475/B475)+(((X475-B475*INT(X475/B475)))/C475)/100))))</f>
        <v>0</v>
      </c>
      <c r="BJ475" s="57">
        <f>IF(ISERROR(IF(B475=C475,Y475/C475,(INT(Y475/B475)+(((Y475-B475*INT(Y475/B475)))/C475)/100))),0,(IF(B475=C475,Y475/C475,(INT(Y475/B475)+(((Y475-B475*INT(Y475/B475)))/C475)/100))))</f>
        <v>0</v>
      </c>
      <c r="BL475" s="57">
        <f>IF(ISERROR(IF(B475=C475,AA475/C475,(INT(AA475/B475)+(((AA475-B475*INT(AA475/B475)))/C475)/100))),0,(IF(B475=C475,AA475/C475,(INT(AA475/B475)+(((AA475-B475*INT(AA475/B475)))/C475)/100))))</f>
        <v>3</v>
      </c>
      <c r="BM475" s="57">
        <f>IF(ISERROR(IF(B475=C475,AB475/C475,(INT(AB475/B475)+(((AB475-B475*INT(AB475/B475)))/C475)/100))),0,(IF(B475=C475,AB475/C475,(INT(AB475/B475)+(((AB475-B475*INT(AB475/B475)))/C475)/100))))</f>
        <v>0</v>
      </c>
      <c r="BN475" s="57">
        <f>IF(ISERROR(IF(B475=C475,AC475/C475,(INT(AC475/B475)+(((AC475-B475*INT(AC475/B475)))/C475)/100))),0,(IF(B475=C475,AC475/C475,(INT(AC475/B475)+(((AC475-B475*INT(AC475/B475)))/C475)/100))))</f>
        <v>0</v>
      </c>
      <c r="BO475" s="57">
        <f>IF(ISERROR(IF(B475=C475,AD475/C475,(INT(AD475/B475)+(((AD475-B475*INT(AD475/B475)))/C475)/100))),0,(IF(B475=C475,AD475/C475,(INT(AD475/B475)+(((AD475-B475*INT(AD475/B475)))/C475)/100))))</f>
        <v>0</v>
      </c>
      <c r="BQ475" s="155" t="s">
        <v>189</v>
      </c>
    </row>
    <row r="476" spans="1:69" hidden="1" x14ac:dyDescent="0.35">
      <c r="A476" s="94"/>
      <c r="B476" s="113">
        <v>750</v>
      </c>
      <c r="C476" s="113">
        <v>150</v>
      </c>
      <c r="D476" s="28">
        <f>SUM(AA476:AD476)</f>
        <v>0</v>
      </c>
      <c r="E476" s="113">
        <v>0</v>
      </c>
      <c r="F476" s="113">
        <v>0</v>
      </c>
      <c r="G476" s="28">
        <f>SUM(D476:F476)</f>
        <v>0</v>
      </c>
      <c r="H476" s="125">
        <v>0</v>
      </c>
      <c r="I476" s="113">
        <v>0</v>
      </c>
      <c r="J476" s="125">
        <v>0</v>
      </c>
      <c r="K476" s="113">
        <v>0</v>
      </c>
      <c r="L476" s="113">
        <v>0</v>
      </c>
      <c r="M476" s="113">
        <v>0</v>
      </c>
      <c r="N476" s="28">
        <f>G476-SUM(H476:M476)</f>
        <v>0</v>
      </c>
      <c r="O476" s="28">
        <f>SUM(V476:Y476)</f>
        <v>0</v>
      </c>
      <c r="P476" s="28">
        <f>O476-N476</f>
        <v>0</v>
      </c>
      <c r="Q476" s="61" t="str">
        <f>IF(ISERROR(P476/SUM(H476:L476)),"",P476/SUM(H476:L476))</f>
        <v/>
      </c>
      <c r="R476" s="113">
        <v>0</v>
      </c>
      <c r="S476" s="28">
        <f>IF(ISERROR(P476/C476*R476),0,(P476/C476*R476))</f>
        <v>0</v>
      </c>
      <c r="T476" s="60">
        <f>IF(ISERROR(P476/B476*AF476),0,(P476/B476*AF476))</f>
        <v>0</v>
      </c>
      <c r="V476" s="113">
        <v>0</v>
      </c>
      <c r="W476" s="113">
        <v>0</v>
      </c>
      <c r="X476" s="113">
        <v>0</v>
      </c>
      <c r="Y476" s="113">
        <v>0</v>
      </c>
      <c r="AA476" s="113">
        <v>0</v>
      </c>
      <c r="AB476" s="113">
        <v>0</v>
      </c>
      <c r="AC476" s="113">
        <v>0</v>
      </c>
      <c r="AD476" s="113">
        <v>0</v>
      </c>
      <c r="AF476" s="113">
        <v>0</v>
      </c>
      <c r="AG476" s="28">
        <f>G476-O476</f>
        <v>0</v>
      </c>
      <c r="AH476" s="58">
        <f>IF(ISERROR(AG476/B476*AF476),0,(AG476/B476*AF476))</f>
        <v>0</v>
      </c>
      <c r="AI476" s="28">
        <f>SUM(H476:M476)</f>
        <v>0</v>
      </c>
      <c r="AJ476" s="28">
        <f>IF(ISERROR(AI476/B476*AF476),0,(AI476/B476*AF476))</f>
        <v>0</v>
      </c>
      <c r="AK476" s="58">
        <f>IF(ISERROR(O476/B476*AF476),0,(O476/B476*AF476))</f>
        <v>0</v>
      </c>
      <c r="AL476" s="28">
        <f>IF(ISERROR(H476/B476*AF476),0,(H476/B476*AF476))</f>
        <v>0</v>
      </c>
      <c r="AN476" s="51">
        <f>A476</f>
        <v>0</v>
      </c>
      <c r="AO476" s="57">
        <f>IF(ISERROR(IF(B476=C476,D476/C476,(INT(D476/B476)+(((D476-B476*INT(D476/B476)))/C476)/100))),0,(IF(B476=C476,D476/C476,(INT(D476/B476)+(((D476-B476*INT(D476/B476)))/C476)/100))))</f>
        <v>0</v>
      </c>
      <c r="AP476" s="57">
        <f>IF(ISERROR(IF(B476=C476,E476/C476,(INT(E476/B476)+(((E476-B476*INT(E476/B476)))/C476)/100))),0,(IF(B476=C476,E476/C476,(INT(E476/B476)+(((E476-B476*INT(E476/B476)))/C476)/100))))</f>
        <v>0</v>
      </c>
      <c r="AQ476" s="57">
        <f>IF(ISERROR(IF(B476=C476,F476/C476,IF((INT(F476/B476)+(((F476-B476*INT(F476/B476)))/C476)/100)&lt;0,(INT(F476/B476)+(((F476-B476*INT(F476/B476)))/C476)/100)+(1-(B476/C476/100)),(INT(F476/B476)+(((F476-B476*INT(F476/B476)))/C476)/100)))),0,IF(B476=C476,F476/C476,IF((INT(F476/B476)+(((F476-B476*INT(F476/B476)))/C476)/100)&lt;0,(INT(F476/B476)+(((F476-B476*INT(F476/B476)))/C476)/100)+(1-(B476/C476/100)),(INT(F476/B476)+(((F476-B476*INT(F476/B476)))/C476)/100))))</f>
        <v>0</v>
      </c>
      <c r="AR476" s="57">
        <f>IF(ISERROR(IF(B476=C476,G476/C476,(INT(G476/B476)+(((G476-B476*INT(G476/B476)))/C476)/100))),0,(IF(B476=C476,G476/C476,(INT(G476/B476)+(((G476-B476*INT(G476/B476)))/C476)/100))))</f>
        <v>0</v>
      </c>
      <c r="AS476" s="57">
        <f>IF(ISERROR(IF(B476=C476,H476/C476,(INT(H476/B476)+(((H476-B476*INT(H476/B476)))/C476)/100))),0,(IF(B476=C476,H476/C476,(INT(H476/B476)+(((H476-B476*INT(H476/B476)))/C476)/100))))</f>
        <v>0</v>
      </c>
      <c r="AT476" s="57">
        <f>IF(ISERROR(IF(B476=C476,I476/C476,(INT(I476/B476)+(((I476-B476*INT(I476/B476)))/C476)/100))),0,(IF(B476=C476,I476/C476,(INT(I476/B476)+(((I476-B476*INT(I476/B476)))/C476)/100))))</f>
        <v>0</v>
      </c>
      <c r="AU476" s="57">
        <f>IF(ISERROR(IF(B476=C476,J476/C476,(INT(J476/B476)+(((J476-B476*INT(J476/B476)))/C476)/100))),0,(IF(B476=C476,J476/C476,(INT(J476/B476)+(((J476-B476*INT(J476/B476)))/C476)/100))))</f>
        <v>0</v>
      </c>
      <c r="AV476" s="57">
        <f>IF(ISERROR(IF(B476=C476,K476/C476,IF((INT(K476/B476)+(((K476-B476*INT(K476/B476)))/C476)/100)&lt;0,(INT(K476/B476)+(((K476-B476*INT(K476/B476)))/C476)/100)+(1-(B476/C476/100)),(INT(K476/B476)+(((K476-B476*INT(K476/B476)))/C476)/100)))),0,IF(B476=C476,K476/C476,IF((INT(K476/B476)+(((K476-B476*INT(K476/B476)))/C476)/100)&lt;0,(INT(K476/B476)+(((K476-B476*INT(K476/B476)))/C476)/100)+(1-(B476/C476/100)),(INT(K476/B476)+(((K476-B476*INT(K476/B476)))/C476)/100))))</f>
        <v>0</v>
      </c>
      <c r="AW476" s="57">
        <f>IF(ISERROR(IF(B476=C476,L476/C476,(INT(L476/B476)+(((L476-B476*INT(L476/B476)))/C476)/100))),0,(IF(B476=C476,L476/C476,(INT(L476/B476)+(((L476-B476*INT(L476/B476)))/C476)/100))))</f>
        <v>0</v>
      </c>
      <c r="AX476" s="57">
        <f>IF(ISERROR(IF(B476=C476,M476/C476,(INT(M476/B476)+(((M476-B476*INT(M476/B476)))/C476)/100))),0,(IF(B476=C476,M476/C476,(INT(M476/B476)+(((M476-B476*INT(M476/B476)))/C476)/100))))</f>
        <v>0</v>
      </c>
      <c r="AY476" s="57">
        <f>IF(ISERROR(IF(B476=C476,N476/C476,IF((INT(N476/B476)+(((N476-B476*INT(N476/B476)))/C476)/100)&lt;0,(INT(N476/B476)+(((N476-B476*INT(N476/B476)))/C476)/100)+(1-(B476/C476/100)),(INT(N476/B476)+(((N476-B476*INT(N476/B476)))/C476)/100)))),0,IF(B476=C476,N476/C476,IF((INT(N476/B476)+(((N476-B476*INT(N476/B476)))/C476)/100)&lt;0,(INT(N476/B476)+(((N476-B476*INT(N476/B476)))/C476)/100)+(1-(B476/C476/100)),(INT(N476/B476)+(((N476-B476*INT(N476/B476)))/C476)/100))))</f>
        <v>0</v>
      </c>
      <c r="AZ476" s="57">
        <f>IF(ISERROR(IF(B476=C476,O476/C476,(INT(O476/B476)+(((O476-B476*INT(O476/B476)))/C476)/100))),0,(IF(B476=C476,O476/C476,(INT(O476/B476)+(((O476-B476*INT(O476/B476)))/C476)/100))))</f>
        <v>0</v>
      </c>
      <c r="BA476" s="57">
        <f>IF(ISERROR(IF(B476=C476,P476/C476,IF((INT(P476/B476)+(((P476-B476*INT(P476/B476)))/C476)/100)&lt;0,(INT(P476/B476)+(((P476-B476*INT(P476/B476)))/C476)/100)+(1-(B476/C476/100)),(INT(P476/B476)+(((P476-B476*INT(P476/B476)))/C476)/100)))),0,IF(B476=C476,P476/C476,IF((INT(P476/B476)+(((P476-B476*INT(P476/B476)))/C476)/100)&lt;0,(INT(P476/B476)+(((P476-B476*INT(P476/B476)))/C476)/100)+(1-(B476/C476/100)),(INT(P476/B476)+(((P476-B476*INT(P476/B476)))/C476)/100))))</f>
        <v>0</v>
      </c>
      <c r="BB476" s="28">
        <f>R476</f>
        <v>0</v>
      </c>
      <c r="BC476" s="28">
        <f>S476</f>
        <v>0</v>
      </c>
      <c r="BD476" s="28">
        <f>AF476</f>
        <v>0</v>
      </c>
      <c r="BE476" s="28">
        <f>T476</f>
        <v>0</v>
      </c>
      <c r="BG476" s="57">
        <f>IF(ISERROR(IF(B476=C476,V476/C476,(INT(V476/B476)+(((V476-B476*INT(V476/B476)))/C476)/100))),0,(IF(B476=C476,V476/C476,(INT(V476/B476)+(((V476-B476*INT(V476/B476)))/C476)/100))))</f>
        <v>0</v>
      </c>
      <c r="BH476" s="57">
        <f>IF(ISERROR(IF(B476=C476,W476/C476,(INT(W476/B476)+(((W476-B476*INT(W476/B476)))/C476)/100))),0,(IF(B476=C476,W476/C476,(INT(W476/B476)+(((W476-B476*INT(W476/B476)))/C476)/100))))</f>
        <v>0</v>
      </c>
      <c r="BI476" s="57">
        <f>IF(ISERROR(IF(B476=C476,X476/C476,(INT(X476/B476)+(((X476-B476*INT(X476/B476)))/C476)/100))),0,(IF(B476=C476,X476/C476,(INT(X476/B476)+(((X476-B476*INT(X476/B476)))/C476)/100))))</f>
        <v>0</v>
      </c>
      <c r="BJ476" s="57">
        <f>IF(ISERROR(IF(B476=C476,Y476/C476,(INT(Y476/B476)+(((Y476-B476*INT(Y476/B476)))/C476)/100))),0,(IF(B476=C476,Y476/C476,(INT(Y476/B476)+(((Y476-B476*INT(Y476/B476)))/C476)/100))))</f>
        <v>0</v>
      </c>
      <c r="BL476" s="57">
        <f>IF(ISERROR(IF(B476=C476,AA476/C476,(INT(AA476/B476)+(((AA476-B476*INT(AA476/B476)))/C476)/100))),0,(IF(B476=C476,AA476/C476,(INT(AA476/B476)+(((AA476-B476*INT(AA476/B476)))/C476)/100))))</f>
        <v>0</v>
      </c>
      <c r="BM476" s="57">
        <f>IF(ISERROR(IF(B476=C476,AB476/C476,(INT(AB476/B476)+(((AB476-B476*INT(AB476/B476)))/C476)/100))),0,(IF(B476=C476,AB476/C476,(INT(AB476/B476)+(((AB476-B476*INT(AB476/B476)))/C476)/100))))</f>
        <v>0</v>
      </c>
      <c r="BN476" s="57">
        <f>IF(ISERROR(IF(B476=C476,AC476/C476,(INT(AC476/B476)+(((AC476-B476*INT(AC476/B476)))/C476)/100))),0,(IF(B476=C476,AC476/C476,(INT(AC476/B476)+(((AC476-B476*INT(AC476/B476)))/C476)/100))))</f>
        <v>0</v>
      </c>
      <c r="BO476" s="57">
        <f>IF(ISERROR(IF(B476=C476,AD476/C476,(INT(AD476/B476)+(((AD476-B476*INT(AD476/B476)))/C476)/100))),0,(IF(B476=C476,AD476/C476,(INT(AD476/B476)+(((AD476-B476*INT(AD476/B476)))/C476)/100))))</f>
        <v>0</v>
      </c>
      <c r="BQ476" s="155" t="s">
        <v>189</v>
      </c>
    </row>
    <row r="477" spans="1:69" hidden="1" x14ac:dyDescent="0.35">
      <c r="A477" s="94"/>
      <c r="B477" s="113">
        <v>750</v>
      </c>
      <c r="C477" s="113">
        <v>150</v>
      </c>
      <c r="D477" s="28">
        <f>SUM(AA477:AD477)</f>
        <v>0</v>
      </c>
      <c r="E477" s="113">
        <v>0</v>
      </c>
      <c r="F477" s="113">
        <v>0</v>
      </c>
      <c r="G477" s="28">
        <f>SUM(D477:F477)</f>
        <v>0</v>
      </c>
      <c r="H477" s="125">
        <v>0</v>
      </c>
      <c r="I477" s="113">
        <v>0</v>
      </c>
      <c r="J477" s="125">
        <v>0</v>
      </c>
      <c r="K477" s="113">
        <v>0</v>
      </c>
      <c r="L477" s="113">
        <v>0</v>
      </c>
      <c r="M477" s="113">
        <v>0</v>
      </c>
      <c r="N477" s="28">
        <f>G477-SUM(H477:M477)</f>
        <v>0</v>
      </c>
      <c r="O477" s="28">
        <f>SUM(V477:Y477)</f>
        <v>0</v>
      </c>
      <c r="P477" s="28">
        <f>O477-N477</f>
        <v>0</v>
      </c>
      <c r="Q477" s="61" t="str">
        <f>IF(ISERROR(P477/SUM(H477:L477)),"",P477/SUM(H477:L477))</f>
        <v/>
      </c>
      <c r="R477" s="113">
        <v>0</v>
      </c>
      <c r="S477" s="28">
        <f>IF(ISERROR(P477/C477*R477),0,(P477/C477*R477))</f>
        <v>0</v>
      </c>
      <c r="T477" s="60">
        <f>IF(ISERROR(P477/B477*AF477),0,(P477/B477*AF477))</f>
        <v>0</v>
      </c>
      <c r="V477" s="113">
        <v>0</v>
      </c>
      <c r="W477" s="113">
        <v>0</v>
      </c>
      <c r="X477" s="113">
        <v>0</v>
      </c>
      <c r="Y477" s="113">
        <v>0</v>
      </c>
      <c r="AA477" s="113">
        <v>0</v>
      </c>
      <c r="AB477" s="113">
        <v>0</v>
      </c>
      <c r="AC477" s="113">
        <v>0</v>
      </c>
      <c r="AD477" s="113">
        <v>0</v>
      </c>
      <c r="AF477" s="113">
        <v>0</v>
      </c>
      <c r="AG477" s="28">
        <f>G477-O477</f>
        <v>0</v>
      </c>
      <c r="AH477" s="58">
        <f>IF(ISERROR(AG477/B477*AF477),0,(AG477/B477*AF477))</f>
        <v>0</v>
      </c>
      <c r="AI477" s="28">
        <f>SUM(H477:M477)</f>
        <v>0</v>
      </c>
      <c r="AJ477" s="28">
        <f>IF(ISERROR(AI477/B477*AF477),0,(AI477/B477*AF477))</f>
        <v>0</v>
      </c>
      <c r="AK477" s="58">
        <f>IF(ISERROR(O477/B477*AF477),0,(O477/B477*AF477))</f>
        <v>0</v>
      </c>
      <c r="AL477" s="28">
        <f>IF(ISERROR(H477/B477*AF477),0,(H477/B477*AF477))</f>
        <v>0</v>
      </c>
      <c r="AN477" s="51">
        <f>A477</f>
        <v>0</v>
      </c>
      <c r="AO477" s="57">
        <f>IF(ISERROR(IF(B477=C477,D477/C477,(INT(D477/B477)+(((D477-B477*INT(D477/B477)))/C477)/100))),0,(IF(B477=C477,D477/C477,(INT(D477/B477)+(((D477-B477*INT(D477/B477)))/C477)/100))))</f>
        <v>0</v>
      </c>
      <c r="AP477" s="57">
        <f>IF(ISERROR(IF(B477=C477,E477/C477,(INT(E477/B477)+(((E477-B477*INT(E477/B477)))/C477)/100))),0,(IF(B477=C477,E477/C477,(INT(E477/B477)+(((E477-B477*INT(E477/B477)))/C477)/100))))</f>
        <v>0</v>
      </c>
      <c r="AQ477" s="57">
        <f>IF(ISERROR(IF(B477=C477,F477/C477,IF((INT(F477/B477)+(((F477-B477*INT(F477/B477)))/C477)/100)&lt;0,(INT(F477/B477)+(((F477-B477*INT(F477/B477)))/C477)/100)+(1-(B477/C477/100)),(INT(F477/B477)+(((F477-B477*INT(F477/B477)))/C477)/100)))),0,IF(B477=C477,F477/C477,IF((INT(F477/B477)+(((F477-B477*INT(F477/B477)))/C477)/100)&lt;0,(INT(F477/B477)+(((F477-B477*INT(F477/B477)))/C477)/100)+(1-(B477/C477/100)),(INT(F477/B477)+(((F477-B477*INT(F477/B477)))/C477)/100))))</f>
        <v>0</v>
      </c>
      <c r="AR477" s="57">
        <f>IF(ISERROR(IF(B477=C477,G477/C477,(INT(G477/B477)+(((G477-B477*INT(G477/B477)))/C477)/100))),0,(IF(B477=C477,G477/C477,(INT(G477/B477)+(((G477-B477*INT(G477/B477)))/C477)/100))))</f>
        <v>0</v>
      </c>
      <c r="AS477" s="57">
        <f>IF(ISERROR(IF(B477=C477,H477/C477,(INT(H477/B477)+(((H477-B477*INT(H477/B477)))/C477)/100))),0,(IF(B477=C477,H477/C477,(INT(H477/B477)+(((H477-B477*INT(H477/B477)))/C477)/100))))</f>
        <v>0</v>
      </c>
      <c r="AT477" s="57">
        <f>IF(ISERROR(IF(B477=C477,I477/C477,(INT(I477/B477)+(((I477-B477*INT(I477/B477)))/C477)/100))),0,(IF(B477=C477,I477/C477,(INT(I477/B477)+(((I477-B477*INT(I477/B477)))/C477)/100))))</f>
        <v>0</v>
      </c>
      <c r="AU477" s="57">
        <f>IF(ISERROR(IF(B477=C477,J477/C477,(INT(J477/B477)+(((J477-B477*INT(J477/B477)))/C477)/100))),0,(IF(B477=C477,J477/C477,(INT(J477/B477)+(((J477-B477*INT(J477/B477)))/C477)/100))))</f>
        <v>0</v>
      </c>
      <c r="AV477" s="57">
        <f>IF(ISERROR(IF(B477=C477,K477/C477,IF((INT(K477/B477)+(((K477-B477*INT(K477/B477)))/C477)/100)&lt;0,(INT(K477/B477)+(((K477-B477*INT(K477/B477)))/C477)/100)+(1-(B477/C477/100)),(INT(K477/B477)+(((K477-B477*INT(K477/B477)))/C477)/100)))),0,IF(B477=C477,K477/C477,IF((INT(K477/B477)+(((K477-B477*INT(K477/B477)))/C477)/100)&lt;0,(INT(K477/B477)+(((K477-B477*INT(K477/B477)))/C477)/100)+(1-(B477/C477/100)),(INT(K477/B477)+(((K477-B477*INT(K477/B477)))/C477)/100))))</f>
        <v>0</v>
      </c>
      <c r="AW477" s="57">
        <f>IF(ISERROR(IF(B477=C477,L477/C477,(INT(L477/B477)+(((L477-B477*INT(L477/B477)))/C477)/100))),0,(IF(B477=C477,L477/C477,(INT(L477/B477)+(((L477-B477*INT(L477/B477)))/C477)/100))))</f>
        <v>0</v>
      </c>
      <c r="AX477" s="57">
        <f>IF(ISERROR(IF(B477=C477,M477/C477,(INT(M477/B477)+(((M477-B477*INT(M477/B477)))/C477)/100))),0,(IF(B477=C477,M477/C477,(INT(M477/B477)+(((M477-B477*INT(M477/B477)))/C477)/100))))</f>
        <v>0</v>
      </c>
      <c r="AY477" s="57">
        <f>IF(ISERROR(IF(B477=C477,N477/C477,IF((INT(N477/B477)+(((N477-B477*INT(N477/B477)))/C477)/100)&lt;0,(INT(N477/B477)+(((N477-B477*INT(N477/B477)))/C477)/100)+(1-(B477/C477/100)),(INT(N477/B477)+(((N477-B477*INT(N477/B477)))/C477)/100)))),0,IF(B477=C477,N477/C477,IF((INT(N477/B477)+(((N477-B477*INT(N477/B477)))/C477)/100)&lt;0,(INT(N477/B477)+(((N477-B477*INT(N477/B477)))/C477)/100)+(1-(B477/C477/100)),(INT(N477/B477)+(((N477-B477*INT(N477/B477)))/C477)/100))))</f>
        <v>0</v>
      </c>
      <c r="AZ477" s="57">
        <f>IF(ISERROR(IF(B477=C477,O477/C477,(INT(O477/B477)+(((O477-B477*INT(O477/B477)))/C477)/100))),0,(IF(B477=C477,O477/C477,(INT(O477/B477)+(((O477-B477*INT(O477/B477)))/C477)/100))))</f>
        <v>0</v>
      </c>
      <c r="BA477" s="57">
        <f>IF(ISERROR(IF(B477=C477,P477/C477,IF((INT(P477/B477)+(((P477-B477*INT(P477/B477)))/C477)/100)&lt;0,(INT(P477/B477)+(((P477-B477*INT(P477/B477)))/C477)/100)+(1-(B477/C477/100)),(INT(P477/B477)+(((P477-B477*INT(P477/B477)))/C477)/100)))),0,IF(B477=C477,P477/C477,IF((INT(P477/B477)+(((P477-B477*INT(P477/B477)))/C477)/100)&lt;0,(INT(P477/B477)+(((P477-B477*INT(P477/B477)))/C477)/100)+(1-(B477/C477/100)),(INT(P477/B477)+(((P477-B477*INT(P477/B477)))/C477)/100))))</f>
        <v>0</v>
      </c>
      <c r="BB477" s="28">
        <f>R477</f>
        <v>0</v>
      </c>
      <c r="BC477" s="28">
        <f>S477</f>
        <v>0</v>
      </c>
      <c r="BD477" s="28">
        <f>AF477</f>
        <v>0</v>
      </c>
      <c r="BE477" s="28">
        <f>T477</f>
        <v>0</v>
      </c>
      <c r="BG477" s="57">
        <f>IF(ISERROR(IF(B477=C477,V477/C477,(INT(V477/B477)+(((V477-B477*INT(V477/B477)))/C477)/100))),0,(IF(B477=C477,V477/C477,(INT(V477/B477)+(((V477-B477*INT(V477/B477)))/C477)/100))))</f>
        <v>0</v>
      </c>
      <c r="BH477" s="57">
        <f>IF(ISERROR(IF(B477=C477,W477/C477,(INT(W477/B477)+(((W477-B477*INT(W477/B477)))/C477)/100))),0,(IF(B477=C477,W477/C477,(INT(W477/B477)+(((W477-B477*INT(W477/B477)))/C477)/100))))</f>
        <v>0</v>
      </c>
      <c r="BI477" s="57">
        <f>IF(ISERROR(IF(B477=C477,X477/C477,(INT(X477/B477)+(((X477-B477*INT(X477/B477)))/C477)/100))),0,(IF(B477=C477,X477/C477,(INT(X477/B477)+(((X477-B477*INT(X477/B477)))/C477)/100))))</f>
        <v>0</v>
      </c>
      <c r="BJ477" s="57">
        <f>IF(ISERROR(IF(B477=C477,Y477/C477,(INT(Y477/B477)+(((Y477-B477*INT(Y477/B477)))/C477)/100))),0,(IF(B477=C477,Y477/C477,(INT(Y477/B477)+(((Y477-B477*INT(Y477/B477)))/C477)/100))))</f>
        <v>0</v>
      </c>
      <c r="BL477" s="57">
        <f>IF(ISERROR(IF(B477=C477,AA477/C477,(INT(AA477/B477)+(((AA477-B477*INT(AA477/B477)))/C477)/100))),0,(IF(B477=C477,AA477/C477,(INT(AA477/B477)+(((AA477-B477*INT(AA477/B477)))/C477)/100))))</f>
        <v>0</v>
      </c>
      <c r="BM477" s="57">
        <f>IF(ISERROR(IF(B477=C477,AB477/C477,(INT(AB477/B477)+(((AB477-B477*INT(AB477/B477)))/C477)/100))),0,(IF(B477=C477,AB477/C477,(INT(AB477/B477)+(((AB477-B477*INT(AB477/B477)))/C477)/100))))</f>
        <v>0</v>
      </c>
      <c r="BN477" s="57">
        <f>IF(ISERROR(IF(B477=C477,AC477/C477,(INT(AC477/B477)+(((AC477-B477*INT(AC477/B477)))/C477)/100))),0,(IF(B477=C477,AC477/C477,(INT(AC477/B477)+(((AC477-B477*INT(AC477/B477)))/C477)/100))))</f>
        <v>0</v>
      </c>
      <c r="BO477" s="57">
        <f>IF(ISERROR(IF(B477=C477,AD477/C477,(INT(AD477/B477)+(((AD477-B477*INT(AD477/B477)))/C477)/100))),0,(IF(B477=C477,AD477/C477,(INT(AD477/B477)+(((AD477-B477*INT(AD477/B477)))/C477)/100))))</f>
        <v>0</v>
      </c>
      <c r="BQ477" s="155" t="s">
        <v>189</v>
      </c>
    </row>
    <row r="478" spans="1:69" hidden="1" x14ac:dyDescent="0.35">
      <c r="A478" s="134"/>
      <c r="B478" s="113">
        <v>750</v>
      </c>
      <c r="C478" s="113">
        <v>150</v>
      </c>
      <c r="D478" s="28">
        <f>SUM(AA478:AD478)</f>
        <v>0</v>
      </c>
      <c r="E478" s="113">
        <v>0</v>
      </c>
      <c r="F478" s="113">
        <v>0</v>
      </c>
      <c r="G478" s="28">
        <f>SUM(D478:F478)</f>
        <v>0</v>
      </c>
      <c r="H478" s="125">
        <v>0</v>
      </c>
      <c r="I478" s="113">
        <v>0</v>
      </c>
      <c r="J478" s="125">
        <v>0</v>
      </c>
      <c r="K478" s="113">
        <v>0</v>
      </c>
      <c r="L478" s="113">
        <v>0</v>
      </c>
      <c r="M478" s="113">
        <v>0</v>
      </c>
      <c r="N478" s="28">
        <f>G478-SUM(H478:M478)</f>
        <v>0</v>
      </c>
      <c r="O478" s="28">
        <f>SUM(V478:Y478)</f>
        <v>0</v>
      </c>
      <c r="P478" s="28">
        <f>O478-N478</f>
        <v>0</v>
      </c>
      <c r="Q478" s="61" t="str">
        <f>IF(ISERROR(P478/SUM(H478:L478)),"",P478/SUM(H478:L478))</f>
        <v/>
      </c>
      <c r="R478" s="113">
        <v>0</v>
      </c>
      <c r="S478" s="28">
        <f>IF(ISERROR(P478/C478*R478),0,(P478/C478*R478))</f>
        <v>0</v>
      </c>
      <c r="T478" s="60">
        <f>IF(ISERROR(P478/B478*AF478),0,(P478/B478*AF478))</f>
        <v>0</v>
      </c>
      <c r="V478" s="113">
        <v>0</v>
      </c>
      <c r="W478" s="113">
        <v>0</v>
      </c>
      <c r="X478" s="113">
        <v>0</v>
      </c>
      <c r="Y478" s="113">
        <v>0</v>
      </c>
      <c r="AA478" s="113">
        <v>0</v>
      </c>
      <c r="AB478" s="113">
        <v>0</v>
      </c>
      <c r="AC478" s="113">
        <v>0</v>
      </c>
      <c r="AD478" s="113">
        <v>0</v>
      </c>
      <c r="AF478" s="113">
        <v>0</v>
      </c>
      <c r="AG478" s="28">
        <f>G478-O478</f>
        <v>0</v>
      </c>
      <c r="AH478" s="58">
        <f>IF(ISERROR(AG478/B478*AF478),0,(AG478/B478*AF478))</f>
        <v>0</v>
      </c>
      <c r="AI478" s="28">
        <f>SUM(H478:M478)</f>
        <v>0</v>
      </c>
      <c r="AJ478" s="28">
        <f>IF(ISERROR(AI478/B478*AF478),0,(AI478/B478*AF478))</f>
        <v>0</v>
      </c>
      <c r="AK478" s="58">
        <f>IF(ISERROR(O478/B478*AF478),0,(O478/B478*AF478))</f>
        <v>0</v>
      </c>
      <c r="AL478" s="28">
        <f>IF(ISERROR(H478/B478*AF478),0,(H478/B478*AF478))</f>
        <v>0</v>
      </c>
      <c r="AN478" s="51">
        <f>A478</f>
        <v>0</v>
      </c>
      <c r="AO478" s="57">
        <f>IF(ISERROR(IF(B478=C478,D478/C478,(INT(D478/B478)+(((D478-B478*INT(D478/B478)))/C478)/100))),0,(IF(B478=C478,D478/C478,(INT(D478/B478)+(((D478-B478*INT(D478/B478)))/C478)/100))))</f>
        <v>0</v>
      </c>
      <c r="AP478" s="57">
        <f>IF(ISERROR(IF(B478=C478,E478/C478,(INT(E478/B478)+(((E478-B478*INT(E478/B478)))/C478)/100))),0,(IF(B478=C478,E478/C478,(INT(E478/B478)+(((E478-B478*INT(E478/B478)))/C478)/100))))</f>
        <v>0</v>
      </c>
      <c r="AQ478" s="57">
        <f>IF(ISERROR(IF(B478=C478,F478/C478,IF((INT(F478/B478)+(((F478-B478*INT(F478/B478)))/C478)/100)&lt;0,(INT(F478/B478)+(((F478-B478*INT(F478/B478)))/C478)/100)+(1-(B478/C478/100)),(INT(F478/B478)+(((F478-B478*INT(F478/B478)))/C478)/100)))),0,IF(B478=C478,F478/C478,IF((INT(F478/B478)+(((F478-B478*INT(F478/B478)))/C478)/100)&lt;0,(INT(F478/B478)+(((F478-B478*INT(F478/B478)))/C478)/100)+(1-(B478/C478/100)),(INT(F478/B478)+(((F478-B478*INT(F478/B478)))/C478)/100))))</f>
        <v>0</v>
      </c>
      <c r="AR478" s="57">
        <f>IF(ISERROR(IF(B478=C478,G478/C478,(INT(G478/B478)+(((G478-B478*INT(G478/B478)))/C478)/100))),0,(IF(B478=C478,G478/C478,(INT(G478/B478)+(((G478-B478*INT(G478/B478)))/C478)/100))))</f>
        <v>0</v>
      </c>
      <c r="AS478" s="57">
        <f>IF(ISERROR(IF(B478=C478,H478/C478,(INT(H478/B478)+(((H478-B478*INT(H478/B478)))/C478)/100))),0,(IF(B478=C478,H478/C478,(INT(H478/B478)+(((H478-B478*INT(H478/B478)))/C478)/100))))</f>
        <v>0</v>
      </c>
      <c r="AT478" s="57">
        <f>IF(ISERROR(IF(B478=C478,I478/C478,(INT(I478/B478)+(((I478-B478*INT(I478/B478)))/C478)/100))),0,(IF(B478=C478,I478/C478,(INT(I478/B478)+(((I478-B478*INT(I478/B478)))/C478)/100))))</f>
        <v>0</v>
      </c>
      <c r="AU478" s="57">
        <f>IF(ISERROR(IF(B478=C478,J478/C478,(INT(J478/B478)+(((J478-B478*INT(J478/B478)))/C478)/100))),0,(IF(B478=C478,J478/C478,(INT(J478/B478)+(((J478-B478*INT(J478/B478)))/C478)/100))))</f>
        <v>0</v>
      </c>
      <c r="AV478" s="57">
        <f>IF(ISERROR(IF(B478=C478,K478/C478,IF((INT(K478/B478)+(((K478-B478*INT(K478/B478)))/C478)/100)&lt;0,(INT(K478/B478)+(((K478-B478*INT(K478/B478)))/C478)/100)+(1-(B478/C478/100)),(INT(K478/B478)+(((K478-B478*INT(K478/B478)))/C478)/100)))),0,IF(B478=C478,K478/C478,IF((INT(K478/B478)+(((K478-B478*INT(K478/B478)))/C478)/100)&lt;0,(INT(K478/B478)+(((K478-B478*INT(K478/B478)))/C478)/100)+(1-(B478/C478/100)),(INT(K478/B478)+(((K478-B478*INT(K478/B478)))/C478)/100))))</f>
        <v>0</v>
      </c>
      <c r="AW478" s="57">
        <f>IF(ISERROR(IF(B478=C478,L478/C478,(INT(L478/B478)+(((L478-B478*INT(L478/B478)))/C478)/100))),0,(IF(B478=C478,L478/C478,(INT(L478/B478)+(((L478-B478*INT(L478/B478)))/C478)/100))))</f>
        <v>0</v>
      </c>
      <c r="AX478" s="57">
        <f>IF(ISERROR(IF(B478=C478,M478/C478,(INT(M478/B478)+(((M478-B478*INT(M478/B478)))/C478)/100))),0,(IF(B478=C478,M478/C478,(INT(M478/B478)+(((M478-B478*INT(M478/B478)))/C478)/100))))</f>
        <v>0</v>
      </c>
      <c r="AY478" s="57">
        <f>IF(ISERROR(IF(B478=C478,N478/C478,IF((INT(N478/B478)+(((N478-B478*INT(N478/B478)))/C478)/100)&lt;0,(INT(N478/B478)+(((N478-B478*INT(N478/B478)))/C478)/100)+(1-(B478/C478/100)),(INT(N478/B478)+(((N478-B478*INT(N478/B478)))/C478)/100)))),0,IF(B478=C478,N478/C478,IF((INT(N478/B478)+(((N478-B478*INT(N478/B478)))/C478)/100)&lt;0,(INT(N478/B478)+(((N478-B478*INT(N478/B478)))/C478)/100)+(1-(B478/C478/100)),(INT(N478/B478)+(((N478-B478*INT(N478/B478)))/C478)/100))))</f>
        <v>0</v>
      </c>
      <c r="AZ478" s="57">
        <f>IF(ISERROR(IF(B478=C478,O478/C478,(INT(O478/B478)+(((O478-B478*INT(O478/B478)))/C478)/100))),0,(IF(B478=C478,O478/C478,(INT(O478/B478)+(((O478-B478*INT(O478/B478)))/C478)/100))))</f>
        <v>0</v>
      </c>
      <c r="BA478" s="57">
        <f>IF(ISERROR(IF(B478=C478,P478/C478,IF((INT(P478/B478)+(((P478-B478*INT(P478/B478)))/C478)/100)&lt;0,(INT(P478/B478)+(((P478-B478*INT(P478/B478)))/C478)/100)+(1-(B478/C478/100)),(INT(P478/B478)+(((P478-B478*INT(P478/B478)))/C478)/100)))),0,IF(B478=C478,P478/C478,IF((INT(P478/B478)+(((P478-B478*INT(P478/B478)))/C478)/100)&lt;0,(INT(P478/B478)+(((P478-B478*INT(P478/B478)))/C478)/100)+(1-(B478/C478/100)),(INT(P478/B478)+(((P478-B478*INT(P478/B478)))/C478)/100))))</f>
        <v>0</v>
      </c>
      <c r="BB478" s="28">
        <f>R478</f>
        <v>0</v>
      </c>
      <c r="BC478" s="28">
        <f>S478</f>
        <v>0</v>
      </c>
      <c r="BD478" s="28">
        <f>AF478</f>
        <v>0</v>
      </c>
      <c r="BE478" s="28">
        <f>T478</f>
        <v>0</v>
      </c>
      <c r="BG478" s="57">
        <f>IF(ISERROR(IF(B478=C478,V478/C478,(INT(V478/B478)+(((V478-B478*INT(V478/B478)))/C478)/100))),0,(IF(B478=C478,V478/C478,(INT(V478/B478)+(((V478-B478*INT(V478/B478)))/C478)/100))))</f>
        <v>0</v>
      </c>
      <c r="BH478" s="57">
        <f>IF(ISERROR(IF(B478=C478,W478/C478,(INT(W478/B478)+(((W478-B478*INT(W478/B478)))/C478)/100))),0,(IF(B478=C478,W478/C478,(INT(W478/B478)+(((W478-B478*INT(W478/B478)))/C478)/100))))</f>
        <v>0</v>
      </c>
      <c r="BI478" s="57">
        <f>IF(ISERROR(IF(B478=C478,X478/C478,(INT(X478/B478)+(((X478-B478*INT(X478/B478)))/C478)/100))),0,(IF(B478=C478,X478/C478,(INT(X478/B478)+(((X478-B478*INT(X478/B478)))/C478)/100))))</f>
        <v>0</v>
      </c>
      <c r="BJ478" s="57">
        <f>IF(ISERROR(IF(B478=C478,Y478/C478,(INT(Y478/B478)+(((Y478-B478*INT(Y478/B478)))/C478)/100))),0,(IF(B478=C478,Y478/C478,(INT(Y478/B478)+(((Y478-B478*INT(Y478/B478)))/C478)/100))))</f>
        <v>0</v>
      </c>
      <c r="BL478" s="57">
        <f>IF(ISERROR(IF(B478=C478,AA478/C478,(INT(AA478/B478)+(((AA478-B478*INT(AA478/B478)))/C478)/100))),0,(IF(B478=C478,AA478/C478,(INT(AA478/B478)+(((AA478-B478*INT(AA478/B478)))/C478)/100))))</f>
        <v>0</v>
      </c>
      <c r="BM478" s="57">
        <f>IF(ISERROR(IF(B478=C478,AB478/C478,(INT(AB478/B478)+(((AB478-B478*INT(AB478/B478)))/C478)/100))),0,(IF(B478=C478,AB478/C478,(INT(AB478/B478)+(((AB478-B478*INT(AB478/B478)))/C478)/100))))</f>
        <v>0</v>
      </c>
      <c r="BN478" s="57">
        <f>IF(ISERROR(IF(B478=C478,AC478/C478,(INT(AC478/B478)+(((AC478-B478*INT(AC478/B478)))/C478)/100))),0,(IF(B478=C478,AC478/C478,(INT(AC478/B478)+(((AC478-B478*INT(AC478/B478)))/C478)/100))))</f>
        <v>0</v>
      </c>
      <c r="BO478" s="57">
        <f>IF(ISERROR(IF(B478=C478,AD478/C478,(INT(AD478/B478)+(((AD478-B478*INT(AD478/B478)))/C478)/100))),0,(IF(B478=C478,AD478/C478,(INT(AD478/B478)+(((AD478-B478*INT(AD478/B478)))/C478)/100))))</f>
        <v>0</v>
      </c>
      <c r="BQ478" s="155" t="s">
        <v>189</v>
      </c>
    </row>
    <row r="479" spans="1:69" hidden="1" x14ac:dyDescent="0.35">
      <c r="A479" s="134"/>
      <c r="B479" s="113">
        <v>750</v>
      </c>
      <c r="C479" s="113">
        <v>150</v>
      </c>
      <c r="D479" s="28">
        <f>SUM(AA479:AD479)</f>
        <v>0</v>
      </c>
      <c r="E479" s="113">
        <v>0</v>
      </c>
      <c r="F479" s="113">
        <v>0</v>
      </c>
      <c r="G479" s="28">
        <f>SUM(D479:F479)</f>
        <v>0</v>
      </c>
      <c r="H479" s="125">
        <v>0</v>
      </c>
      <c r="I479" s="113">
        <v>0</v>
      </c>
      <c r="J479" s="125">
        <v>0</v>
      </c>
      <c r="K479" s="113">
        <v>0</v>
      </c>
      <c r="L479" s="113">
        <v>0</v>
      </c>
      <c r="M479" s="113">
        <v>0</v>
      </c>
      <c r="N479" s="28">
        <f>G479-SUM(H479:M479)</f>
        <v>0</v>
      </c>
      <c r="O479" s="28">
        <f>SUM(V479:Y479)</f>
        <v>0</v>
      </c>
      <c r="P479" s="28">
        <f>O479-N479</f>
        <v>0</v>
      </c>
      <c r="Q479" s="61" t="str">
        <f>IF(ISERROR(P479/SUM(H479:L479)),"",P479/SUM(H479:L479))</f>
        <v/>
      </c>
      <c r="R479" s="113">
        <v>0</v>
      </c>
      <c r="S479" s="28">
        <f>IF(ISERROR(P479/C479*R479),0,(P479/C479*R479))</f>
        <v>0</v>
      </c>
      <c r="T479" s="60">
        <f>IF(ISERROR(P479/B479*AF479),0,(P479/B479*AF479))</f>
        <v>0</v>
      </c>
      <c r="V479" s="113">
        <v>0</v>
      </c>
      <c r="W479" s="113">
        <v>0</v>
      </c>
      <c r="X479" s="113">
        <v>0</v>
      </c>
      <c r="Y479" s="113">
        <v>0</v>
      </c>
      <c r="AA479" s="113">
        <v>0</v>
      </c>
      <c r="AB479" s="113">
        <v>0</v>
      </c>
      <c r="AC479" s="113">
        <v>0</v>
      </c>
      <c r="AD479" s="113">
        <v>0</v>
      </c>
      <c r="AF479" s="113">
        <v>0</v>
      </c>
      <c r="AG479" s="28">
        <f>G479-O479</f>
        <v>0</v>
      </c>
      <c r="AH479" s="58">
        <f>IF(ISERROR(AG479/B479*AF479),0,(AG479/B479*AF479))</f>
        <v>0</v>
      </c>
      <c r="AI479" s="28">
        <f>SUM(H479:M479)</f>
        <v>0</v>
      </c>
      <c r="AJ479" s="28">
        <f>IF(ISERROR(AI479/B479*AF479),0,(AI479/B479*AF479))</f>
        <v>0</v>
      </c>
      <c r="AK479" s="58">
        <f>IF(ISERROR(O479/B479*AF479),0,(O479/B479*AF479))</f>
        <v>0</v>
      </c>
      <c r="AL479" s="28">
        <f>IF(ISERROR(H479/B479*AF479),0,(H479/B479*AF479))</f>
        <v>0</v>
      </c>
      <c r="AN479" s="51">
        <f>A479</f>
        <v>0</v>
      </c>
      <c r="AO479" s="57">
        <f>IF(ISERROR(IF(B479=C479,D479/C479,(INT(D479/B479)+(((D479-B479*INT(D479/B479)))/C479)/100))),0,(IF(B479=C479,D479/C479,(INT(D479/B479)+(((D479-B479*INT(D479/B479)))/C479)/100))))</f>
        <v>0</v>
      </c>
      <c r="AP479" s="57">
        <f>IF(ISERROR(IF(B479=C479,E479/C479,(INT(E479/B479)+(((E479-B479*INT(E479/B479)))/C479)/100))),0,(IF(B479=C479,E479/C479,(INT(E479/B479)+(((E479-B479*INT(E479/B479)))/C479)/100))))</f>
        <v>0</v>
      </c>
      <c r="AQ479" s="57">
        <f>IF(ISERROR(IF(B479=C479,F479/C479,IF((INT(F479/B479)+(((F479-B479*INT(F479/B479)))/C479)/100)&lt;0,(INT(F479/B479)+(((F479-B479*INT(F479/B479)))/C479)/100)+(1-(B479/C479/100)),(INT(F479/B479)+(((F479-B479*INT(F479/B479)))/C479)/100)))),0,IF(B479=C479,F479/C479,IF((INT(F479/B479)+(((F479-B479*INT(F479/B479)))/C479)/100)&lt;0,(INT(F479/B479)+(((F479-B479*INT(F479/B479)))/C479)/100)+(1-(B479/C479/100)),(INT(F479/B479)+(((F479-B479*INT(F479/B479)))/C479)/100))))</f>
        <v>0</v>
      </c>
      <c r="AR479" s="57">
        <f>IF(ISERROR(IF(B479=C479,G479/C479,(INT(G479/B479)+(((G479-B479*INT(G479/B479)))/C479)/100))),0,(IF(B479=C479,G479/C479,(INT(G479/B479)+(((G479-B479*INT(G479/B479)))/C479)/100))))</f>
        <v>0</v>
      </c>
      <c r="AS479" s="57">
        <f>IF(ISERROR(IF(B479=C479,H479/C479,(INT(H479/B479)+(((H479-B479*INT(H479/B479)))/C479)/100))),0,(IF(B479=C479,H479/C479,(INT(H479/B479)+(((H479-B479*INT(H479/B479)))/C479)/100))))</f>
        <v>0</v>
      </c>
      <c r="AT479" s="57">
        <f>IF(ISERROR(IF(B479=C479,I479/C479,(INT(I479/B479)+(((I479-B479*INT(I479/B479)))/C479)/100))),0,(IF(B479=C479,I479/C479,(INT(I479/B479)+(((I479-B479*INT(I479/B479)))/C479)/100))))</f>
        <v>0</v>
      </c>
      <c r="AU479" s="57">
        <f>IF(ISERROR(IF(B479=C479,J479/C479,(INT(J479/B479)+(((J479-B479*INT(J479/B479)))/C479)/100))),0,(IF(B479=C479,J479/C479,(INT(J479/B479)+(((J479-B479*INT(J479/B479)))/C479)/100))))</f>
        <v>0</v>
      </c>
      <c r="AV479" s="57">
        <f>IF(ISERROR(IF(B479=C479,K479/C479,IF((INT(K479/B479)+(((K479-B479*INT(K479/B479)))/C479)/100)&lt;0,(INT(K479/B479)+(((K479-B479*INT(K479/B479)))/C479)/100)+(1-(B479/C479/100)),(INT(K479/B479)+(((K479-B479*INT(K479/B479)))/C479)/100)))),0,IF(B479=C479,K479/C479,IF((INT(K479/B479)+(((K479-B479*INT(K479/B479)))/C479)/100)&lt;0,(INT(K479/B479)+(((K479-B479*INT(K479/B479)))/C479)/100)+(1-(B479/C479/100)),(INT(K479/B479)+(((K479-B479*INT(K479/B479)))/C479)/100))))</f>
        <v>0</v>
      </c>
      <c r="AW479" s="57">
        <f>IF(ISERROR(IF(B479=C479,L479/C479,(INT(L479/B479)+(((L479-B479*INT(L479/B479)))/C479)/100))),0,(IF(B479=C479,L479/C479,(INT(L479/B479)+(((L479-B479*INT(L479/B479)))/C479)/100))))</f>
        <v>0</v>
      </c>
      <c r="AX479" s="57">
        <f>IF(ISERROR(IF(B479=C479,M479/C479,(INT(M479/B479)+(((M479-B479*INT(M479/B479)))/C479)/100))),0,(IF(B479=C479,M479/C479,(INT(M479/B479)+(((M479-B479*INT(M479/B479)))/C479)/100))))</f>
        <v>0</v>
      </c>
      <c r="AY479" s="57">
        <f>IF(ISERROR(IF(B479=C479,N479/C479,IF((INT(N479/B479)+(((N479-B479*INT(N479/B479)))/C479)/100)&lt;0,(INT(N479/B479)+(((N479-B479*INT(N479/B479)))/C479)/100)+(1-(B479/C479/100)),(INT(N479/B479)+(((N479-B479*INT(N479/B479)))/C479)/100)))),0,IF(B479=C479,N479/C479,IF((INT(N479/B479)+(((N479-B479*INT(N479/B479)))/C479)/100)&lt;0,(INT(N479/B479)+(((N479-B479*INT(N479/B479)))/C479)/100)+(1-(B479/C479/100)),(INT(N479/B479)+(((N479-B479*INT(N479/B479)))/C479)/100))))</f>
        <v>0</v>
      </c>
      <c r="AZ479" s="57">
        <f>IF(ISERROR(IF(B479=C479,O479/C479,(INT(O479/B479)+(((O479-B479*INT(O479/B479)))/C479)/100))),0,(IF(B479=C479,O479/C479,(INT(O479/B479)+(((O479-B479*INT(O479/B479)))/C479)/100))))</f>
        <v>0</v>
      </c>
      <c r="BA479" s="57">
        <f>IF(ISERROR(IF(B479=C479,P479/C479,IF((INT(P479/B479)+(((P479-B479*INT(P479/B479)))/C479)/100)&lt;0,(INT(P479/B479)+(((P479-B479*INT(P479/B479)))/C479)/100)+(1-(B479/C479/100)),(INT(P479/B479)+(((P479-B479*INT(P479/B479)))/C479)/100)))),0,IF(B479=C479,P479/C479,IF((INT(P479/B479)+(((P479-B479*INT(P479/B479)))/C479)/100)&lt;0,(INT(P479/B479)+(((P479-B479*INT(P479/B479)))/C479)/100)+(1-(B479/C479/100)),(INT(P479/B479)+(((P479-B479*INT(P479/B479)))/C479)/100))))</f>
        <v>0</v>
      </c>
      <c r="BB479" s="28">
        <f>R479</f>
        <v>0</v>
      </c>
      <c r="BC479" s="28">
        <f>S479</f>
        <v>0</v>
      </c>
      <c r="BD479" s="28">
        <f>AF479</f>
        <v>0</v>
      </c>
      <c r="BE479" s="28">
        <f>T479</f>
        <v>0</v>
      </c>
      <c r="BG479" s="57">
        <f>IF(ISERROR(IF(B479=C479,V479/C479,(INT(V479/B479)+(((V479-B479*INT(V479/B479)))/C479)/100))),0,(IF(B479=C479,V479/C479,(INT(V479/B479)+(((V479-B479*INT(V479/B479)))/C479)/100))))</f>
        <v>0</v>
      </c>
      <c r="BH479" s="57">
        <f>IF(ISERROR(IF(B479=C479,W479/C479,(INT(W479/B479)+(((W479-B479*INT(W479/B479)))/C479)/100))),0,(IF(B479=C479,W479/C479,(INT(W479/B479)+(((W479-B479*INT(W479/B479)))/C479)/100))))</f>
        <v>0</v>
      </c>
      <c r="BI479" s="57">
        <f>IF(ISERROR(IF(B479=C479,X479/C479,(INT(X479/B479)+(((X479-B479*INT(X479/B479)))/C479)/100))),0,(IF(B479=C479,X479/C479,(INT(X479/B479)+(((X479-B479*INT(X479/B479)))/C479)/100))))</f>
        <v>0</v>
      </c>
      <c r="BJ479" s="57">
        <f>IF(ISERROR(IF(B479=C479,Y479/C479,(INT(Y479/B479)+(((Y479-B479*INT(Y479/B479)))/C479)/100))),0,(IF(B479=C479,Y479/C479,(INT(Y479/B479)+(((Y479-B479*INT(Y479/B479)))/C479)/100))))</f>
        <v>0</v>
      </c>
      <c r="BL479" s="57">
        <f>IF(ISERROR(IF(B479=C479,AA479/C479,(INT(AA479/B479)+(((AA479-B479*INT(AA479/B479)))/C479)/100))),0,(IF(B479=C479,AA479/C479,(INT(AA479/B479)+(((AA479-B479*INT(AA479/B479)))/C479)/100))))</f>
        <v>0</v>
      </c>
      <c r="BM479" s="57">
        <f>IF(ISERROR(IF(B479=C479,AB479/C479,(INT(AB479/B479)+(((AB479-B479*INT(AB479/B479)))/C479)/100))),0,(IF(B479=C479,AB479/C479,(INT(AB479/B479)+(((AB479-B479*INT(AB479/B479)))/C479)/100))))</f>
        <v>0</v>
      </c>
      <c r="BN479" s="57">
        <f>IF(ISERROR(IF(B479=C479,AC479/C479,(INT(AC479/B479)+(((AC479-B479*INT(AC479/B479)))/C479)/100))),0,(IF(B479=C479,AC479/C479,(INT(AC479/B479)+(((AC479-B479*INT(AC479/B479)))/C479)/100))))</f>
        <v>0</v>
      </c>
      <c r="BO479" s="57">
        <f>IF(ISERROR(IF(B479=C479,AD479/C479,(INT(AD479/B479)+(((AD479-B479*INT(AD479/B479)))/C479)/100))),0,(IF(B479=C479,AD479/C479,(INT(AD479/B479)+(((AD479-B479*INT(AD479/B479)))/C479)/100))))</f>
        <v>0</v>
      </c>
      <c r="BQ479" s="155"/>
    </row>
    <row r="480" spans="1:69" hidden="1" x14ac:dyDescent="0.35">
      <c r="A480" s="134"/>
      <c r="B480" s="113">
        <v>375</v>
      </c>
      <c r="C480" s="113">
        <v>150</v>
      </c>
      <c r="D480" s="28">
        <f>SUM(AA480:AD480)</f>
        <v>0</v>
      </c>
      <c r="E480" s="113">
        <v>0</v>
      </c>
      <c r="F480" s="113">
        <v>0</v>
      </c>
      <c r="G480" s="28">
        <f>SUM(D480:F480)</f>
        <v>0</v>
      </c>
      <c r="H480" s="125">
        <v>0</v>
      </c>
      <c r="I480" s="113">
        <v>0</v>
      </c>
      <c r="J480" s="125">
        <v>0</v>
      </c>
      <c r="K480" s="113">
        <v>0</v>
      </c>
      <c r="L480" s="113">
        <v>0</v>
      </c>
      <c r="M480" s="113">
        <v>0</v>
      </c>
      <c r="N480" s="28">
        <f>G480-SUM(H480:M480)</f>
        <v>0</v>
      </c>
      <c r="O480" s="28">
        <f>SUM(V480:Y480)</f>
        <v>0</v>
      </c>
      <c r="P480" s="28">
        <f>O480-N480</f>
        <v>0</v>
      </c>
      <c r="Q480" s="61" t="str">
        <f>IF(ISERROR(P480/SUM(H480:L480)),"",P480/SUM(H480:L480))</f>
        <v/>
      </c>
      <c r="R480" s="113">
        <v>0</v>
      </c>
      <c r="S480" s="28">
        <f>IF(ISERROR(P480/C480*R480),0,(P480/C480*R480))</f>
        <v>0</v>
      </c>
      <c r="T480" s="60">
        <f>IF(ISERROR(P480/B480*AF480),0,(P480/B480*AF480))</f>
        <v>0</v>
      </c>
      <c r="V480" s="113">
        <v>0</v>
      </c>
      <c r="W480" s="113">
        <v>0</v>
      </c>
      <c r="X480" s="113">
        <v>0</v>
      </c>
      <c r="Y480" s="113">
        <v>0</v>
      </c>
      <c r="AA480" s="113">
        <v>0</v>
      </c>
      <c r="AB480" s="113">
        <v>0</v>
      </c>
      <c r="AC480" s="113">
        <v>0</v>
      </c>
      <c r="AD480" s="113">
        <v>0</v>
      </c>
      <c r="AF480" s="113">
        <v>0</v>
      </c>
      <c r="AG480" s="28">
        <f>G480-O480</f>
        <v>0</v>
      </c>
      <c r="AH480" s="58">
        <f>IF(ISERROR(AG480/B480*AF480),0,(AG480/B480*AF480))</f>
        <v>0</v>
      </c>
      <c r="AI480" s="28">
        <f>SUM(H480:M480)</f>
        <v>0</v>
      </c>
      <c r="AJ480" s="28">
        <f>IF(ISERROR(AI480/B480*AF480),0,(AI480/B480*AF480))</f>
        <v>0</v>
      </c>
      <c r="AK480" s="58">
        <f>IF(ISERROR(O480/B480*AF480),0,(O480/B480*AF480))</f>
        <v>0</v>
      </c>
      <c r="AL480" s="28">
        <f>IF(ISERROR(H480/B480*AF480),0,(H480/B480*AF480))</f>
        <v>0</v>
      </c>
      <c r="AN480" s="51">
        <f>A480</f>
        <v>0</v>
      </c>
      <c r="AO480" s="57">
        <f>IF(ISERROR(IF(B480=C480,D480/C480,(INT(D480/B480)+(((D480-B480*INT(D480/B480)))/C480)/100))),0,(IF(B480=C480,D480/C480,(INT(D480/B480)+(((D480-B480*INT(D480/B480)))/C480)/100))))</f>
        <v>0</v>
      </c>
      <c r="AP480" s="57">
        <f>IF(ISERROR(IF(B480=C480,E480/C480,(INT(E480/B480)+(((E480-B480*INT(E480/B480)))/C480)/100))),0,(IF(B480=C480,E480/C480,(INT(E480/B480)+(((E480-B480*INT(E480/B480)))/C480)/100))))</f>
        <v>0</v>
      </c>
      <c r="AQ480" s="57">
        <f>IF(ISERROR(IF(B480=C480,F480/C480,IF((INT(F480/B480)+(((F480-B480*INT(F480/B480)))/C480)/100)&lt;0,(INT(F480/B480)+(((F480-B480*INT(F480/B480)))/C480)/100)+(1-(B480/C480/100)),(INT(F480/B480)+(((F480-B480*INT(F480/B480)))/C480)/100)))),0,IF(B480=C480,F480/C480,IF((INT(F480/B480)+(((F480-B480*INT(F480/B480)))/C480)/100)&lt;0,(INT(F480/B480)+(((F480-B480*INT(F480/B480)))/C480)/100)+(1-(B480/C480/100)),(INT(F480/B480)+(((F480-B480*INT(F480/B480)))/C480)/100))))</f>
        <v>0</v>
      </c>
      <c r="AR480" s="57">
        <f>IF(ISERROR(IF(B480=C480,G480/C480,(INT(G480/B480)+(((G480-B480*INT(G480/B480)))/C480)/100))),0,(IF(B480=C480,G480/C480,(INT(G480/B480)+(((G480-B480*INT(G480/B480)))/C480)/100))))</f>
        <v>0</v>
      </c>
      <c r="AS480" s="57">
        <f>IF(ISERROR(IF(B480=C480,H480/C480,(INT(H480/B480)+(((H480-B480*INT(H480/B480)))/C480)/100))),0,(IF(B480=C480,H480/C480,(INT(H480/B480)+(((H480-B480*INT(H480/B480)))/C480)/100))))</f>
        <v>0</v>
      </c>
      <c r="AT480" s="57">
        <f>IF(ISERROR(IF(B480=C480,I480/C480,(INT(I480/B480)+(((I480-B480*INT(I480/B480)))/C480)/100))),0,(IF(B480=C480,I480/C480,(INT(I480/B480)+(((I480-B480*INT(I480/B480)))/C480)/100))))</f>
        <v>0</v>
      </c>
      <c r="AU480" s="57">
        <f>IF(ISERROR(IF(B480=C480,J480/C480,(INT(J480/B480)+(((J480-B480*INT(J480/B480)))/C480)/100))),0,(IF(B480=C480,J480/C480,(INT(J480/B480)+(((J480-B480*INT(J480/B480)))/C480)/100))))</f>
        <v>0</v>
      </c>
      <c r="AV480" s="57">
        <f>IF(ISERROR(IF(B480=C480,K480/C480,IF((INT(K480/B480)+(((K480-B480*INT(K480/B480)))/C480)/100)&lt;0,(INT(K480/B480)+(((K480-B480*INT(K480/B480)))/C480)/100)+(1-(B480/C480/100)),(INT(K480/B480)+(((K480-B480*INT(K480/B480)))/C480)/100)))),0,IF(B480=C480,K480/C480,IF((INT(K480/B480)+(((K480-B480*INT(K480/B480)))/C480)/100)&lt;0,(INT(K480/B480)+(((K480-B480*INT(K480/B480)))/C480)/100)+(1-(B480/C480/100)),(INT(K480/B480)+(((K480-B480*INT(K480/B480)))/C480)/100))))</f>
        <v>0</v>
      </c>
      <c r="AW480" s="57">
        <f>IF(ISERROR(IF(B480=C480,L480/C480,(INT(L480/B480)+(((L480-B480*INT(L480/B480)))/C480)/100))),0,(IF(B480=C480,L480/C480,(INT(L480/B480)+(((L480-B480*INT(L480/B480)))/C480)/100))))</f>
        <v>0</v>
      </c>
      <c r="AX480" s="57">
        <f>IF(ISERROR(IF(B480=C480,M480/C480,(INT(M480/B480)+(((M480-B480*INT(M480/B480)))/C480)/100))),0,(IF(B480=C480,M480/C480,(INT(M480/B480)+(((M480-B480*INT(M480/B480)))/C480)/100))))</f>
        <v>0</v>
      </c>
      <c r="AY480" s="57">
        <f>IF(ISERROR(IF(B480=C480,N480/C480,IF((INT(N480/B480)+(((N480-B480*INT(N480/B480)))/C480)/100)&lt;0,(INT(N480/B480)+(((N480-B480*INT(N480/B480)))/C480)/100)+(1-(B480/C480/100)),(INT(N480/B480)+(((N480-B480*INT(N480/B480)))/C480)/100)))),0,IF(B480=C480,N480/C480,IF((INT(N480/B480)+(((N480-B480*INT(N480/B480)))/C480)/100)&lt;0,(INT(N480/B480)+(((N480-B480*INT(N480/B480)))/C480)/100)+(1-(B480/C480/100)),(INT(N480/B480)+(((N480-B480*INT(N480/B480)))/C480)/100))))</f>
        <v>0</v>
      </c>
      <c r="AZ480" s="57">
        <f>IF(ISERROR(IF(B480=C480,O480/C480,(INT(O480/B480)+(((O480-B480*INT(O480/B480)))/C480)/100))),0,(IF(B480=C480,O480/C480,(INT(O480/B480)+(((O480-B480*INT(O480/B480)))/C480)/100))))</f>
        <v>0</v>
      </c>
      <c r="BA480" s="57">
        <f>IF(ISERROR(IF(B480=C480,P480/C480,IF((INT(P480/B480)+(((P480-B480*INT(P480/B480)))/C480)/100)&lt;0,(INT(P480/B480)+(((P480-B480*INT(P480/B480)))/C480)/100)+(1-(B480/C480/100)),(INT(P480/B480)+(((P480-B480*INT(P480/B480)))/C480)/100)))),0,IF(B480=C480,P480/C480,IF((INT(P480/B480)+(((P480-B480*INT(P480/B480)))/C480)/100)&lt;0,(INT(P480/B480)+(((P480-B480*INT(P480/B480)))/C480)/100)+(1-(B480/C480/100)),(INT(P480/B480)+(((P480-B480*INT(P480/B480)))/C480)/100))))</f>
        <v>0</v>
      </c>
      <c r="BB480" s="28">
        <f>R480</f>
        <v>0</v>
      </c>
      <c r="BC480" s="28">
        <f>S480</f>
        <v>0</v>
      </c>
      <c r="BD480" s="28">
        <f>AF480</f>
        <v>0</v>
      </c>
      <c r="BE480" s="28">
        <f>T480</f>
        <v>0</v>
      </c>
      <c r="BG480" s="57">
        <f>IF(ISERROR(IF(B480=C480,V480/C480,(INT(V480/B480)+(((V480-B480*INT(V480/B480)))/C480)/100))),0,(IF(B480=C480,V480/C480,(INT(V480/B480)+(((V480-B480*INT(V480/B480)))/C480)/100))))</f>
        <v>0</v>
      </c>
      <c r="BH480" s="57">
        <f>IF(ISERROR(IF(B480=C480,W480/C480,(INT(W480/B480)+(((W480-B480*INT(W480/B480)))/C480)/100))),0,(IF(B480=C480,W480/C480,(INT(W480/B480)+(((W480-B480*INT(W480/B480)))/C480)/100))))</f>
        <v>0</v>
      </c>
      <c r="BI480" s="57">
        <f>IF(ISERROR(IF(B480=C480,X480/C480,(INT(X480/B480)+(((X480-B480*INT(X480/B480)))/C480)/100))),0,(IF(B480=C480,X480/C480,(INT(X480/B480)+(((X480-B480*INT(X480/B480)))/C480)/100))))</f>
        <v>0</v>
      </c>
      <c r="BJ480" s="57">
        <f>IF(ISERROR(IF(B480=C480,Y480/C480,(INT(Y480/B480)+(((Y480-B480*INT(Y480/B480)))/C480)/100))),0,(IF(B480=C480,Y480/C480,(INT(Y480/B480)+(((Y480-B480*INT(Y480/B480)))/C480)/100))))</f>
        <v>0</v>
      </c>
      <c r="BL480" s="57">
        <f>IF(ISERROR(IF(B480=C480,AA480/C480,(INT(AA480/B480)+(((AA480-B480*INT(AA480/B480)))/C480)/100))),0,(IF(B480=C480,AA480/C480,(INT(AA480/B480)+(((AA480-B480*INT(AA480/B480)))/C480)/100))))</f>
        <v>0</v>
      </c>
      <c r="BM480" s="57">
        <f>IF(ISERROR(IF(B480=C480,AB480/C480,(INT(AB480/B480)+(((AB480-B480*INT(AB480/B480)))/C480)/100))),0,(IF(B480=C480,AB480/C480,(INT(AB480/B480)+(((AB480-B480*INT(AB480/B480)))/C480)/100))))</f>
        <v>0</v>
      </c>
      <c r="BN480" s="57">
        <f>IF(ISERROR(IF(B480=C480,AC480/C480,(INT(AC480/B480)+(((AC480-B480*INT(AC480/B480)))/C480)/100))),0,(IF(B480=C480,AC480/C480,(INT(AC480/B480)+(((AC480-B480*INT(AC480/B480)))/C480)/100))))</f>
        <v>0</v>
      </c>
      <c r="BO480" s="57">
        <f>IF(ISERROR(IF(B480=C480,AD480/C480,(INT(AD480/B480)+(((AD480-B480*INT(AD480/B480)))/C480)/100))),0,(IF(B480=C480,AD480/C480,(INT(AD480/B480)+(((AD480-B480*INT(AD480/B480)))/C480)/100))))</f>
        <v>0</v>
      </c>
      <c r="BQ480" s="155"/>
    </row>
    <row r="481" spans="1:69" hidden="1" x14ac:dyDescent="0.35">
      <c r="A481" s="134"/>
      <c r="B481" s="113">
        <v>750</v>
      </c>
      <c r="C481" s="113">
        <v>150</v>
      </c>
      <c r="D481" s="28">
        <f>SUM(AA481:AD481)</f>
        <v>0</v>
      </c>
      <c r="E481" s="113">
        <v>0</v>
      </c>
      <c r="F481" s="113">
        <v>0</v>
      </c>
      <c r="G481" s="28">
        <f>SUM(D481:F481)</f>
        <v>0</v>
      </c>
      <c r="H481" s="125">
        <v>0</v>
      </c>
      <c r="I481" s="113">
        <v>0</v>
      </c>
      <c r="J481" s="125">
        <v>0</v>
      </c>
      <c r="K481" s="113">
        <v>0</v>
      </c>
      <c r="L481" s="113">
        <v>0</v>
      </c>
      <c r="M481" s="113">
        <v>0</v>
      </c>
      <c r="N481" s="28">
        <f>G481-SUM(H481:M481)</f>
        <v>0</v>
      </c>
      <c r="O481" s="28">
        <f>SUM(V481:Y481)</f>
        <v>0</v>
      </c>
      <c r="P481" s="28">
        <f>O481-N481</f>
        <v>0</v>
      </c>
      <c r="Q481" s="61" t="str">
        <f>IF(ISERROR(P481/SUM(H481:L481)),"",P481/SUM(H481:L481))</f>
        <v/>
      </c>
      <c r="R481" s="113">
        <v>0</v>
      </c>
      <c r="S481" s="28">
        <f>IF(ISERROR(P481/C481*R481),0,(P481/C481*R481))</f>
        <v>0</v>
      </c>
      <c r="T481" s="60">
        <f>IF(ISERROR(P481/B481*AF481),0,(P481/B481*AF481))</f>
        <v>0</v>
      </c>
      <c r="V481" s="113">
        <v>0</v>
      </c>
      <c r="W481" s="113">
        <v>0</v>
      </c>
      <c r="X481" s="113">
        <v>0</v>
      </c>
      <c r="Y481" s="113">
        <v>0</v>
      </c>
      <c r="AA481" s="113">
        <v>0</v>
      </c>
      <c r="AB481" s="113">
        <v>0</v>
      </c>
      <c r="AC481" s="113">
        <v>0</v>
      </c>
      <c r="AD481" s="113">
        <v>0</v>
      </c>
      <c r="AF481" s="113">
        <v>0</v>
      </c>
      <c r="AG481" s="28">
        <f>G481-O481</f>
        <v>0</v>
      </c>
      <c r="AH481" s="58">
        <f>IF(ISERROR(AG481/B481*AF481),0,(AG481/B481*AF481))</f>
        <v>0</v>
      </c>
      <c r="AI481" s="28">
        <f>SUM(H481:M481)</f>
        <v>0</v>
      </c>
      <c r="AJ481" s="28">
        <f>IF(ISERROR(AI481/B481*AF481),0,(AI481/B481*AF481))</f>
        <v>0</v>
      </c>
      <c r="AK481" s="58">
        <f>IF(ISERROR(O481/B481*AF481),0,(O481/B481*AF481))</f>
        <v>0</v>
      </c>
      <c r="AL481" s="28">
        <f>IF(ISERROR(H481/B481*AF481),0,(H481/B481*AF481))</f>
        <v>0</v>
      </c>
      <c r="AN481" s="51">
        <f>A481</f>
        <v>0</v>
      </c>
      <c r="AO481" s="57">
        <f>IF(ISERROR(IF(B481=C481,D481/C481,(INT(D481/B481)+(((D481-B481*INT(D481/B481)))/C481)/100))),0,(IF(B481=C481,D481/C481,(INT(D481/B481)+(((D481-B481*INT(D481/B481)))/C481)/100))))</f>
        <v>0</v>
      </c>
      <c r="AP481" s="57">
        <f>IF(ISERROR(IF(B481=C481,E481/C481,(INT(E481/B481)+(((E481-B481*INT(E481/B481)))/C481)/100))),0,(IF(B481=C481,E481/C481,(INT(E481/B481)+(((E481-B481*INT(E481/B481)))/C481)/100))))</f>
        <v>0</v>
      </c>
      <c r="AQ481" s="57">
        <f>IF(ISERROR(IF(B481=C481,F481/C481,IF((INT(F481/B481)+(((F481-B481*INT(F481/B481)))/C481)/100)&lt;0,(INT(F481/B481)+(((F481-B481*INT(F481/B481)))/C481)/100)+(1-(B481/C481/100)),(INT(F481/B481)+(((F481-B481*INT(F481/B481)))/C481)/100)))),0,IF(B481=C481,F481/C481,IF((INT(F481/B481)+(((F481-B481*INT(F481/B481)))/C481)/100)&lt;0,(INT(F481/B481)+(((F481-B481*INT(F481/B481)))/C481)/100)+(1-(B481/C481/100)),(INT(F481/B481)+(((F481-B481*INT(F481/B481)))/C481)/100))))</f>
        <v>0</v>
      </c>
      <c r="AR481" s="57">
        <f>IF(ISERROR(IF(B481=C481,G481/C481,(INT(G481/B481)+(((G481-B481*INT(G481/B481)))/C481)/100))),0,(IF(B481=C481,G481/C481,(INT(G481/B481)+(((G481-B481*INT(G481/B481)))/C481)/100))))</f>
        <v>0</v>
      </c>
      <c r="AS481" s="57">
        <f>IF(ISERROR(IF(B481=C481,H481/C481,(INT(H481/B481)+(((H481-B481*INT(H481/B481)))/C481)/100))),0,(IF(B481=C481,H481/C481,(INT(H481/B481)+(((H481-B481*INT(H481/B481)))/C481)/100))))</f>
        <v>0</v>
      </c>
      <c r="AT481" s="57">
        <f>IF(ISERROR(IF(B481=C481,I481/C481,(INT(I481/B481)+(((I481-B481*INT(I481/B481)))/C481)/100))),0,(IF(B481=C481,I481/C481,(INT(I481/B481)+(((I481-B481*INT(I481/B481)))/C481)/100))))</f>
        <v>0</v>
      </c>
      <c r="AU481" s="57">
        <f>IF(ISERROR(IF(B481=C481,J481/C481,(INT(J481/B481)+(((J481-B481*INT(J481/B481)))/C481)/100))),0,(IF(B481=C481,J481/C481,(INT(J481/B481)+(((J481-B481*INT(J481/B481)))/C481)/100))))</f>
        <v>0</v>
      </c>
      <c r="AV481" s="57">
        <f>IF(ISERROR(IF(B481=C481,K481/C481,IF((INT(K481/B481)+(((K481-B481*INT(K481/B481)))/C481)/100)&lt;0,(INT(K481/B481)+(((K481-B481*INT(K481/B481)))/C481)/100)+(1-(B481/C481/100)),(INT(K481/B481)+(((K481-B481*INT(K481/B481)))/C481)/100)))),0,IF(B481=C481,K481/C481,IF((INT(K481/B481)+(((K481-B481*INT(K481/B481)))/C481)/100)&lt;0,(INT(K481/B481)+(((K481-B481*INT(K481/B481)))/C481)/100)+(1-(B481/C481/100)),(INT(K481/B481)+(((K481-B481*INT(K481/B481)))/C481)/100))))</f>
        <v>0</v>
      </c>
      <c r="AW481" s="57">
        <f>IF(ISERROR(IF(B481=C481,L481/C481,(INT(L481/B481)+(((L481-B481*INT(L481/B481)))/C481)/100))),0,(IF(B481=C481,L481/C481,(INT(L481/B481)+(((L481-B481*INT(L481/B481)))/C481)/100))))</f>
        <v>0</v>
      </c>
      <c r="AX481" s="57">
        <f>IF(ISERROR(IF(B481=C481,M481/C481,(INT(M481/B481)+(((M481-B481*INT(M481/B481)))/C481)/100))),0,(IF(B481=C481,M481/C481,(INT(M481/B481)+(((M481-B481*INT(M481/B481)))/C481)/100))))</f>
        <v>0</v>
      </c>
      <c r="AY481" s="57">
        <f>IF(ISERROR(IF(B481=C481,N481/C481,IF((INT(N481/B481)+(((N481-B481*INT(N481/B481)))/C481)/100)&lt;0,(INT(N481/B481)+(((N481-B481*INT(N481/B481)))/C481)/100)+(1-(B481/C481/100)),(INT(N481/B481)+(((N481-B481*INT(N481/B481)))/C481)/100)))),0,IF(B481=C481,N481/C481,IF((INT(N481/B481)+(((N481-B481*INT(N481/B481)))/C481)/100)&lt;0,(INT(N481/B481)+(((N481-B481*INT(N481/B481)))/C481)/100)+(1-(B481/C481/100)),(INT(N481/B481)+(((N481-B481*INT(N481/B481)))/C481)/100))))</f>
        <v>0</v>
      </c>
      <c r="AZ481" s="57">
        <f>IF(ISERROR(IF(B481=C481,O481/C481,(INT(O481/B481)+(((O481-B481*INT(O481/B481)))/C481)/100))),0,(IF(B481=C481,O481/C481,(INT(O481/B481)+(((O481-B481*INT(O481/B481)))/C481)/100))))</f>
        <v>0</v>
      </c>
      <c r="BA481" s="57">
        <f>IF(ISERROR(IF(B481=C481,P481/C481,IF((INT(P481/B481)+(((P481-B481*INT(P481/B481)))/C481)/100)&lt;0,(INT(P481/B481)+(((P481-B481*INT(P481/B481)))/C481)/100)+(1-(B481/C481/100)),(INT(P481/B481)+(((P481-B481*INT(P481/B481)))/C481)/100)))),0,IF(B481=C481,P481/C481,IF((INT(P481/B481)+(((P481-B481*INT(P481/B481)))/C481)/100)&lt;0,(INT(P481/B481)+(((P481-B481*INT(P481/B481)))/C481)/100)+(1-(B481/C481/100)),(INT(P481/B481)+(((P481-B481*INT(P481/B481)))/C481)/100))))</f>
        <v>0</v>
      </c>
      <c r="BB481" s="28">
        <f>R481</f>
        <v>0</v>
      </c>
      <c r="BC481" s="28">
        <f>S481</f>
        <v>0</v>
      </c>
      <c r="BD481" s="28">
        <f>AF481</f>
        <v>0</v>
      </c>
      <c r="BE481" s="28">
        <f>T481</f>
        <v>0</v>
      </c>
      <c r="BG481" s="57">
        <f>IF(ISERROR(IF(B481=C481,V481/C481,(INT(V481/B481)+(((V481-B481*INT(V481/B481)))/C481)/100))),0,(IF(B481=C481,V481/C481,(INT(V481/B481)+(((V481-B481*INT(V481/B481)))/C481)/100))))</f>
        <v>0</v>
      </c>
      <c r="BH481" s="57">
        <f>IF(ISERROR(IF(B481=C481,W481/C481,(INT(W481/B481)+(((W481-B481*INT(W481/B481)))/C481)/100))),0,(IF(B481=C481,W481/C481,(INT(W481/B481)+(((W481-B481*INT(W481/B481)))/C481)/100))))</f>
        <v>0</v>
      </c>
      <c r="BI481" s="57">
        <f>IF(ISERROR(IF(B481=C481,X481/C481,(INT(X481/B481)+(((X481-B481*INT(X481/B481)))/C481)/100))),0,(IF(B481=C481,X481/C481,(INT(X481/B481)+(((X481-B481*INT(X481/B481)))/C481)/100))))</f>
        <v>0</v>
      </c>
      <c r="BJ481" s="57">
        <f>IF(ISERROR(IF(B481=C481,Y481/C481,(INT(Y481/B481)+(((Y481-B481*INT(Y481/B481)))/C481)/100))),0,(IF(B481=C481,Y481/C481,(INT(Y481/B481)+(((Y481-B481*INT(Y481/B481)))/C481)/100))))</f>
        <v>0</v>
      </c>
      <c r="BL481" s="57">
        <f>IF(ISERROR(IF(B481=C481,AA481/C481,(INT(AA481/B481)+(((AA481-B481*INT(AA481/B481)))/C481)/100))),0,(IF(B481=C481,AA481/C481,(INT(AA481/B481)+(((AA481-B481*INT(AA481/B481)))/C481)/100))))</f>
        <v>0</v>
      </c>
      <c r="BM481" s="57">
        <f>IF(ISERROR(IF(B481=C481,AB481/C481,(INT(AB481/B481)+(((AB481-B481*INT(AB481/B481)))/C481)/100))),0,(IF(B481=C481,AB481/C481,(INT(AB481/B481)+(((AB481-B481*INT(AB481/B481)))/C481)/100))))</f>
        <v>0</v>
      </c>
      <c r="BN481" s="57">
        <f>IF(ISERROR(IF(B481=C481,AC481/C481,(INT(AC481/B481)+(((AC481-B481*INT(AC481/B481)))/C481)/100))),0,(IF(B481=C481,AC481/C481,(INT(AC481/B481)+(((AC481-B481*INT(AC481/B481)))/C481)/100))))</f>
        <v>0</v>
      </c>
      <c r="BO481" s="57">
        <f>IF(ISERROR(IF(B481=C481,AD481/C481,(INT(AD481/B481)+(((AD481-B481*INT(AD481/B481)))/C481)/100))),0,(IF(B481=C481,AD481/C481,(INT(AD481/B481)+(((AD481-B481*INT(AD481/B481)))/C481)/100))))</f>
        <v>0</v>
      </c>
      <c r="BQ481" s="155"/>
    </row>
    <row r="482" spans="1:69" hidden="1" x14ac:dyDescent="0.35">
      <c r="A482" s="134"/>
      <c r="B482" s="113">
        <v>750</v>
      </c>
      <c r="C482" s="113">
        <v>150</v>
      </c>
      <c r="D482" s="28">
        <f>SUM(AA482:AD482)</f>
        <v>0</v>
      </c>
      <c r="E482" s="113">
        <v>0</v>
      </c>
      <c r="F482" s="113">
        <v>0</v>
      </c>
      <c r="G482" s="28">
        <f>SUM(D482:F482)</f>
        <v>0</v>
      </c>
      <c r="H482" s="125">
        <v>0</v>
      </c>
      <c r="I482" s="113">
        <v>0</v>
      </c>
      <c r="J482" s="125">
        <v>0</v>
      </c>
      <c r="K482" s="113">
        <v>0</v>
      </c>
      <c r="L482" s="113">
        <v>0</v>
      </c>
      <c r="M482" s="113">
        <v>0</v>
      </c>
      <c r="N482" s="28">
        <f>G482-SUM(H482:M482)</f>
        <v>0</v>
      </c>
      <c r="O482" s="28">
        <f>SUM(V482:Y482)</f>
        <v>0</v>
      </c>
      <c r="P482" s="28">
        <f>O482-N482</f>
        <v>0</v>
      </c>
      <c r="Q482" s="61" t="str">
        <f>IF(ISERROR(P482/SUM(H482:L482)),"",P482/SUM(H482:L482))</f>
        <v/>
      </c>
      <c r="R482" s="113">
        <v>0</v>
      </c>
      <c r="S482" s="28">
        <f>IF(ISERROR(P482/C482*R482),0,(P482/C482*R482))</f>
        <v>0</v>
      </c>
      <c r="T482" s="60">
        <f>IF(ISERROR(P482/B482*AF482),0,(P482/B482*AF482))</f>
        <v>0</v>
      </c>
      <c r="V482" s="113">
        <v>0</v>
      </c>
      <c r="W482" s="113">
        <v>0</v>
      </c>
      <c r="X482" s="113">
        <v>0</v>
      </c>
      <c r="Y482" s="113">
        <v>0</v>
      </c>
      <c r="AA482" s="113">
        <v>0</v>
      </c>
      <c r="AB482" s="113">
        <v>0</v>
      </c>
      <c r="AC482" s="113">
        <v>0</v>
      </c>
      <c r="AD482" s="113">
        <v>0</v>
      </c>
      <c r="AF482" s="113">
        <v>0</v>
      </c>
      <c r="AG482" s="28">
        <f>G482-O482</f>
        <v>0</v>
      </c>
      <c r="AH482" s="58">
        <f>IF(ISERROR(AG482/B482*AF482),0,(AG482/B482*AF482))</f>
        <v>0</v>
      </c>
      <c r="AI482" s="28">
        <f>SUM(H482:M482)</f>
        <v>0</v>
      </c>
      <c r="AJ482" s="28">
        <f>IF(ISERROR(AI482/B482*AF482),0,(AI482/B482*AF482))</f>
        <v>0</v>
      </c>
      <c r="AK482" s="58">
        <f>IF(ISERROR(O482/B482*AF482),0,(O482/B482*AF482))</f>
        <v>0</v>
      </c>
      <c r="AL482" s="28">
        <f>IF(ISERROR(H482/B482*AF482),0,(H482/B482*AF482))</f>
        <v>0</v>
      </c>
      <c r="AN482" s="51">
        <f>A482</f>
        <v>0</v>
      </c>
      <c r="AO482" s="57">
        <f>IF(ISERROR(IF(B482=C482,D482/C482,(INT(D482/B482)+(((D482-B482*INT(D482/B482)))/C482)/100))),0,(IF(B482=C482,D482/C482,(INT(D482/B482)+(((D482-B482*INT(D482/B482)))/C482)/100))))</f>
        <v>0</v>
      </c>
      <c r="AP482" s="57">
        <f>IF(ISERROR(IF(B482=C482,E482/C482,(INT(E482/B482)+(((E482-B482*INT(E482/B482)))/C482)/100))),0,(IF(B482=C482,E482/C482,(INT(E482/B482)+(((E482-B482*INT(E482/B482)))/C482)/100))))</f>
        <v>0</v>
      </c>
      <c r="AQ482" s="57">
        <f>IF(ISERROR(IF(B482=C482,F482/C482,IF((INT(F482/B482)+(((F482-B482*INT(F482/B482)))/C482)/100)&lt;0,(INT(F482/B482)+(((F482-B482*INT(F482/B482)))/C482)/100)+(1-(B482/C482/100)),(INT(F482/B482)+(((F482-B482*INT(F482/B482)))/C482)/100)))),0,IF(B482=C482,F482/C482,IF((INT(F482/B482)+(((F482-B482*INT(F482/B482)))/C482)/100)&lt;0,(INT(F482/B482)+(((F482-B482*INT(F482/B482)))/C482)/100)+(1-(B482/C482/100)),(INT(F482/B482)+(((F482-B482*INT(F482/B482)))/C482)/100))))</f>
        <v>0</v>
      </c>
      <c r="AR482" s="57">
        <f>IF(ISERROR(IF(B482=C482,G482/C482,(INT(G482/B482)+(((G482-B482*INT(G482/B482)))/C482)/100))),0,(IF(B482=C482,G482/C482,(INT(G482/B482)+(((G482-B482*INT(G482/B482)))/C482)/100))))</f>
        <v>0</v>
      </c>
      <c r="AS482" s="57">
        <f>IF(ISERROR(IF(B482=C482,H482/C482,(INT(H482/B482)+(((H482-B482*INT(H482/B482)))/C482)/100))),0,(IF(B482=C482,H482/C482,(INT(H482/B482)+(((H482-B482*INT(H482/B482)))/C482)/100))))</f>
        <v>0</v>
      </c>
      <c r="AT482" s="57">
        <f>IF(ISERROR(IF(B482=C482,I482/C482,(INT(I482/B482)+(((I482-B482*INT(I482/B482)))/C482)/100))),0,(IF(B482=C482,I482/C482,(INT(I482/B482)+(((I482-B482*INT(I482/B482)))/C482)/100))))</f>
        <v>0</v>
      </c>
      <c r="AU482" s="57">
        <f>IF(ISERROR(IF(B482=C482,J482/C482,(INT(J482/B482)+(((J482-B482*INT(J482/B482)))/C482)/100))),0,(IF(B482=C482,J482/C482,(INT(J482/B482)+(((J482-B482*INT(J482/B482)))/C482)/100))))</f>
        <v>0</v>
      </c>
      <c r="AV482" s="57">
        <f>IF(ISERROR(IF(B482=C482,K482/C482,IF((INT(K482/B482)+(((K482-B482*INT(K482/B482)))/C482)/100)&lt;0,(INT(K482/B482)+(((K482-B482*INT(K482/B482)))/C482)/100)+(1-(B482/C482/100)),(INT(K482/B482)+(((K482-B482*INT(K482/B482)))/C482)/100)))),0,IF(B482=C482,K482/C482,IF((INT(K482/B482)+(((K482-B482*INT(K482/B482)))/C482)/100)&lt;0,(INT(K482/B482)+(((K482-B482*INT(K482/B482)))/C482)/100)+(1-(B482/C482/100)),(INT(K482/B482)+(((K482-B482*INT(K482/B482)))/C482)/100))))</f>
        <v>0</v>
      </c>
      <c r="AW482" s="57">
        <f>IF(ISERROR(IF(B482=C482,L482/C482,(INT(L482/B482)+(((L482-B482*INT(L482/B482)))/C482)/100))),0,(IF(B482=C482,L482/C482,(INT(L482/B482)+(((L482-B482*INT(L482/B482)))/C482)/100))))</f>
        <v>0</v>
      </c>
      <c r="AX482" s="57">
        <f>IF(ISERROR(IF(B482=C482,M482/C482,(INT(M482/B482)+(((M482-B482*INT(M482/B482)))/C482)/100))),0,(IF(B482=C482,M482/C482,(INT(M482/B482)+(((M482-B482*INT(M482/B482)))/C482)/100))))</f>
        <v>0</v>
      </c>
      <c r="AY482" s="57">
        <f>IF(ISERROR(IF(B482=C482,N482/C482,IF((INT(N482/B482)+(((N482-B482*INT(N482/B482)))/C482)/100)&lt;0,(INT(N482/B482)+(((N482-B482*INT(N482/B482)))/C482)/100)+(1-(B482/C482/100)),(INT(N482/B482)+(((N482-B482*INT(N482/B482)))/C482)/100)))),0,IF(B482=C482,N482/C482,IF((INT(N482/B482)+(((N482-B482*INT(N482/B482)))/C482)/100)&lt;0,(INT(N482/B482)+(((N482-B482*INT(N482/B482)))/C482)/100)+(1-(B482/C482/100)),(INT(N482/B482)+(((N482-B482*INT(N482/B482)))/C482)/100))))</f>
        <v>0</v>
      </c>
      <c r="AZ482" s="57">
        <f>IF(ISERROR(IF(B482=C482,O482/C482,(INT(O482/B482)+(((O482-B482*INT(O482/B482)))/C482)/100))),0,(IF(B482=C482,O482/C482,(INT(O482/B482)+(((O482-B482*INT(O482/B482)))/C482)/100))))</f>
        <v>0</v>
      </c>
      <c r="BA482" s="57">
        <f>IF(ISERROR(IF(B482=C482,P482/C482,IF((INT(P482/B482)+(((P482-B482*INT(P482/B482)))/C482)/100)&lt;0,(INT(P482/B482)+(((P482-B482*INT(P482/B482)))/C482)/100)+(1-(B482/C482/100)),(INT(P482/B482)+(((P482-B482*INT(P482/B482)))/C482)/100)))),0,IF(B482=C482,P482/C482,IF((INT(P482/B482)+(((P482-B482*INT(P482/B482)))/C482)/100)&lt;0,(INT(P482/B482)+(((P482-B482*INT(P482/B482)))/C482)/100)+(1-(B482/C482/100)),(INT(P482/B482)+(((P482-B482*INT(P482/B482)))/C482)/100))))</f>
        <v>0</v>
      </c>
      <c r="BB482" s="28">
        <f>R482</f>
        <v>0</v>
      </c>
      <c r="BC482" s="28">
        <f>S482</f>
        <v>0</v>
      </c>
      <c r="BD482" s="28">
        <f>AF482</f>
        <v>0</v>
      </c>
      <c r="BE482" s="28">
        <f>T482</f>
        <v>0</v>
      </c>
      <c r="BG482" s="57">
        <f>IF(ISERROR(IF(B482=C482,V482/C482,(INT(V482/B482)+(((V482-B482*INT(V482/B482)))/C482)/100))),0,(IF(B482=C482,V482/C482,(INT(V482/B482)+(((V482-B482*INT(V482/B482)))/C482)/100))))</f>
        <v>0</v>
      </c>
      <c r="BH482" s="57">
        <f>IF(ISERROR(IF(B482=C482,W482/C482,(INT(W482/B482)+(((W482-B482*INT(W482/B482)))/C482)/100))),0,(IF(B482=C482,W482/C482,(INT(W482/B482)+(((W482-B482*INT(W482/B482)))/C482)/100))))</f>
        <v>0</v>
      </c>
      <c r="BI482" s="57">
        <f>IF(ISERROR(IF(B482=C482,X482/C482,(INT(X482/B482)+(((X482-B482*INT(X482/B482)))/C482)/100))),0,(IF(B482=C482,X482/C482,(INT(X482/B482)+(((X482-B482*INT(X482/B482)))/C482)/100))))</f>
        <v>0</v>
      </c>
      <c r="BJ482" s="57">
        <f>IF(ISERROR(IF(B482=C482,Y482/C482,(INT(Y482/B482)+(((Y482-B482*INT(Y482/B482)))/C482)/100))),0,(IF(B482=C482,Y482/C482,(INT(Y482/B482)+(((Y482-B482*INT(Y482/B482)))/C482)/100))))</f>
        <v>0</v>
      </c>
      <c r="BL482" s="57">
        <f>IF(ISERROR(IF(B482=C482,AA482/C482,(INT(AA482/B482)+(((AA482-B482*INT(AA482/B482)))/C482)/100))),0,(IF(B482=C482,AA482/C482,(INT(AA482/B482)+(((AA482-B482*INT(AA482/B482)))/C482)/100))))</f>
        <v>0</v>
      </c>
      <c r="BM482" s="57">
        <f>IF(ISERROR(IF(B482=C482,AB482/C482,(INT(AB482/B482)+(((AB482-B482*INT(AB482/B482)))/C482)/100))),0,(IF(B482=C482,AB482/C482,(INT(AB482/B482)+(((AB482-B482*INT(AB482/B482)))/C482)/100))))</f>
        <v>0</v>
      </c>
      <c r="BN482" s="57">
        <f>IF(ISERROR(IF(B482=C482,AC482/C482,(INT(AC482/B482)+(((AC482-B482*INT(AC482/B482)))/C482)/100))),0,(IF(B482=C482,AC482/C482,(INT(AC482/B482)+(((AC482-B482*INT(AC482/B482)))/C482)/100))))</f>
        <v>0</v>
      </c>
      <c r="BO482" s="57">
        <f>IF(ISERROR(IF(B482=C482,AD482/C482,(INT(AD482/B482)+(((AD482-B482*INT(AD482/B482)))/C482)/100))),0,(IF(B482=C482,AD482/C482,(INT(AD482/B482)+(((AD482-B482*INT(AD482/B482)))/C482)/100))))</f>
        <v>0</v>
      </c>
      <c r="BQ482" s="155"/>
    </row>
    <row r="483" spans="1:69" hidden="1" x14ac:dyDescent="0.35">
      <c r="A483" s="134"/>
      <c r="B483" s="113">
        <v>750</v>
      </c>
      <c r="C483" s="113">
        <v>150</v>
      </c>
      <c r="D483" s="28">
        <f>SUM(AA483:AD483)</f>
        <v>0</v>
      </c>
      <c r="E483" s="113">
        <v>0</v>
      </c>
      <c r="F483" s="113">
        <v>0</v>
      </c>
      <c r="G483" s="28">
        <f>SUM(D483:F483)</f>
        <v>0</v>
      </c>
      <c r="H483" s="125">
        <v>0</v>
      </c>
      <c r="I483" s="113">
        <v>0</v>
      </c>
      <c r="J483" s="125">
        <v>0</v>
      </c>
      <c r="K483" s="113">
        <v>0</v>
      </c>
      <c r="L483" s="113">
        <v>0</v>
      </c>
      <c r="M483" s="113">
        <v>0</v>
      </c>
      <c r="N483" s="28">
        <f>G483-SUM(H483:M483)</f>
        <v>0</v>
      </c>
      <c r="O483" s="28">
        <f>SUM(V483:Y483)</f>
        <v>0</v>
      </c>
      <c r="P483" s="28">
        <f>O483-N483</f>
        <v>0</v>
      </c>
      <c r="Q483" s="61" t="str">
        <f>IF(ISERROR(P483/SUM(H483:L483)),"",P483/SUM(H483:L483))</f>
        <v/>
      </c>
      <c r="R483" s="113">
        <v>0</v>
      </c>
      <c r="S483" s="28">
        <f>IF(ISERROR(P483/C483*R483),0,(P483/C483*R483))</f>
        <v>0</v>
      </c>
      <c r="T483" s="60">
        <f>IF(ISERROR(P483/B483*AF483),0,(P483/B483*AF483))</f>
        <v>0</v>
      </c>
      <c r="V483" s="113">
        <v>0</v>
      </c>
      <c r="W483" s="113">
        <v>0</v>
      </c>
      <c r="X483" s="113">
        <v>0</v>
      </c>
      <c r="Y483" s="113">
        <v>0</v>
      </c>
      <c r="AA483" s="113">
        <v>0</v>
      </c>
      <c r="AB483" s="113">
        <v>0</v>
      </c>
      <c r="AC483" s="113">
        <v>0</v>
      </c>
      <c r="AD483" s="113">
        <v>0</v>
      </c>
      <c r="AF483" s="113">
        <v>0</v>
      </c>
      <c r="AG483" s="28">
        <f>G483-O483</f>
        <v>0</v>
      </c>
      <c r="AH483" s="58">
        <f>IF(ISERROR(AG483/B483*AF483),0,(AG483/B483*AF483))</f>
        <v>0</v>
      </c>
      <c r="AI483" s="28">
        <f>SUM(H483:M483)</f>
        <v>0</v>
      </c>
      <c r="AJ483" s="28">
        <f>IF(ISERROR(AI483/B483*AF483),0,(AI483/B483*AF483))</f>
        <v>0</v>
      </c>
      <c r="AK483" s="58">
        <f>IF(ISERROR(O483/B483*AF483),0,(O483/B483*AF483))</f>
        <v>0</v>
      </c>
      <c r="AL483" s="28">
        <f>IF(ISERROR(H483/B483*AF483),0,(H483/B483*AF483))</f>
        <v>0</v>
      </c>
      <c r="AN483" s="51">
        <f>A483</f>
        <v>0</v>
      </c>
      <c r="AO483" s="57">
        <f>IF(ISERROR(IF(B483=C483,D483/C483,(INT(D483/B483)+(((D483-B483*INT(D483/B483)))/C483)/100))),0,(IF(B483=C483,D483/C483,(INT(D483/B483)+(((D483-B483*INT(D483/B483)))/C483)/100))))</f>
        <v>0</v>
      </c>
      <c r="AP483" s="57">
        <f>IF(ISERROR(IF(B483=C483,E483/C483,(INT(E483/B483)+(((E483-B483*INT(E483/B483)))/C483)/100))),0,(IF(B483=C483,E483/C483,(INT(E483/B483)+(((E483-B483*INT(E483/B483)))/C483)/100))))</f>
        <v>0</v>
      </c>
      <c r="AQ483" s="57">
        <f>IF(ISERROR(IF(B483=C483,F483/C483,IF((INT(F483/B483)+(((F483-B483*INT(F483/B483)))/C483)/100)&lt;0,(INT(F483/B483)+(((F483-B483*INT(F483/B483)))/C483)/100)+(1-(B483/C483/100)),(INT(F483/B483)+(((F483-B483*INT(F483/B483)))/C483)/100)))),0,IF(B483=C483,F483/C483,IF((INT(F483/B483)+(((F483-B483*INT(F483/B483)))/C483)/100)&lt;0,(INT(F483/B483)+(((F483-B483*INT(F483/B483)))/C483)/100)+(1-(B483/C483/100)),(INT(F483/B483)+(((F483-B483*INT(F483/B483)))/C483)/100))))</f>
        <v>0</v>
      </c>
      <c r="AR483" s="57">
        <f>IF(ISERROR(IF(B483=C483,G483/C483,(INT(G483/B483)+(((G483-B483*INT(G483/B483)))/C483)/100))),0,(IF(B483=C483,G483/C483,(INT(G483/B483)+(((G483-B483*INT(G483/B483)))/C483)/100))))</f>
        <v>0</v>
      </c>
      <c r="AS483" s="57">
        <f>IF(ISERROR(IF(B483=C483,H483/C483,(INT(H483/B483)+(((H483-B483*INT(H483/B483)))/C483)/100))),0,(IF(B483=C483,H483/C483,(INT(H483/B483)+(((H483-B483*INT(H483/B483)))/C483)/100))))</f>
        <v>0</v>
      </c>
      <c r="AT483" s="57">
        <f>IF(ISERROR(IF(B483=C483,I483/C483,(INT(I483/B483)+(((I483-B483*INT(I483/B483)))/C483)/100))),0,(IF(B483=C483,I483/C483,(INT(I483/B483)+(((I483-B483*INT(I483/B483)))/C483)/100))))</f>
        <v>0</v>
      </c>
      <c r="AU483" s="57">
        <f>IF(ISERROR(IF(B483=C483,J483/C483,(INT(J483/B483)+(((J483-B483*INT(J483/B483)))/C483)/100))),0,(IF(B483=C483,J483/C483,(INT(J483/B483)+(((J483-B483*INT(J483/B483)))/C483)/100))))</f>
        <v>0</v>
      </c>
      <c r="AV483" s="57">
        <f>IF(ISERROR(IF(B483=C483,K483/C483,IF((INT(K483/B483)+(((K483-B483*INT(K483/B483)))/C483)/100)&lt;0,(INT(K483/B483)+(((K483-B483*INT(K483/B483)))/C483)/100)+(1-(B483/C483/100)),(INT(K483/B483)+(((K483-B483*INT(K483/B483)))/C483)/100)))),0,IF(B483=C483,K483/C483,IF((INT(K483/B483)+(((K483-B483*INT(K483/B483)))/C483)/100)&lt;0,(INT(K483/B483)+(((K483-B483*INT(K483/B483)))/C483)/100)+(1-(B483/C483/100)),(INT(K483/B483)+(((K483-B483*INT(K483/B483)))/C483)/100))))</f>
        <v>0</v>
      </c>
      <c r="AW483" s="57">
        <f>IF(ISERROR(IF(B483=C483,L483/C483,(INT(L483/B483)+(((L483-B483*INT(L483/B483)))/C483)/100))),0,(IF(B483=C483,L483/C483,(INT(L483/B483)+(((L483-B483*INT(L483/B483)))/C483)/100))))</f>
        <v>0</v>
      </c>
      <c r="AX483" s="57">
        <f>IF(ISERROR(IF(B483=C483,M483/C483,(INT(M483/B483)+(((M483-B483*INT(M483/B483)))/C483)/100))),0,(IF(B483=C483,M483/C483,(INT(M483/B483)+(((M483-B483*INT(M483/B483)))/C483)/100))))</f>
        <v>0</v>
      </c>
      <c r="AY483" s="57">
        <f>IF(ISERROR(IF(B483=C483,N483/C483,IF((INT(N483/B483)+(((N483-B483*INT(N483/B483)))/C483)/100)&lt;0,(INT(N483/B483)+(((N483-B483*INT(N483/B483)))/C483)/100)+(1-(B483/C483/100)),(INT(N483/B483)+(((N483-B483*INT(N483/B483)))/C483)/100)))),0,IF(B483=C483,N483/C483,IF((INT(N483/B483)+(((N483-B483*INT(N483/B483)))/C483)/100)&lt;0,(INT(N483/B483)+(((N483-B483*INT(N483/B483)))/C483)/100)+(1-(B483/C483/100)),(INT(N483/B483)+(((N483-B483*INT(N483/B483)))/C483)/100))))</f>
        <v>0</v>
      </c>
      <c r="AZ483" s="57">
        <f>IF(ISERROR(IF(B483=C483,O483/C483,(INT(O483/B483)+(((O483-B483*INT(O483/B483)))/C483)/100))),0,(IF(B483=C483,O483/C483,(INT(O483/B483)+(((O483-B483*INT(O483/B483)))/C483)/100))))</f>
        <v>0</v>
      </c>
      <c r="BA483" s="57">
        <f>IF(ISERROR(IF(B483=C483,P483/C483,IF((INT(P483/B483)+(((P483-B483*INT(P483/B483)))/C483)/100)&lt;0,(INT(P483/B483)+(((P483-B483*INT(P483/B483)))/C483)/100)+(1-(B483/C483/100)),(INT(P483/B483)+(((P483-B483*INT(P483/B483)))/C483)/100)))),0,IF(B483=C483,P483/C483,IF((INT(P483/B483)+(((P483-B483*INT(P483/B483)))/C483)/100)&lt;0,(INT(P483/B483)+(((P483-B483*INT(P483/B483)))/C483)/100)+(1-(B483/C483/100)),(INT(P483/B483)+(((P483-B483*INT(P483/B483)))/C483)/100))))</f>
        <v>0</v>
      </c>
      <c r="BB483" s="28">
        <f>R483</f>
        <v>0</v>
      </c>
      <c r="BC483" s="28">
        <f>S483</f>
        <v>0</v>
      </c>
      <c r="BD483" s="28">
        <f>AF483</f>
        <v>0</v>
      </c>
      <c r="BE483" s="28">
        <f>T483</f>
        <v>0</v>
      </c>
      <c r="BG483" s="57">
        <f>IF(ISERROR(IF(B483=C483,V483/C483,(INT(V483/B483)+(((V483-B483*INT(V483/B483)))/C483)/100))),0,(IF(B483=C483,V483/C483,(INT(V483/B483)+(((V483-B483*INT(V483/B483)))/C483)/100))))</f>
        <v>0</v>
      </c>
      <c r="BH483" s="57">
        <f>IF(ISERROR(IF(B483=C483,W483/C483,(INT(W483/B483)+(((W483-B483*INT(W483/B483)))/C483)/100))),0,(IF(B483=C483,W483/C483,(INT(W483/B483)+(((W483-B483*INT(W483/B483)))/C483)/100))))</f>
        <v>0</v>
      </c>
      <c r="BI483" s="57">
        <f>IF(ISERROR(IF(B483=C483,X483/C483,(INT(X483/B483)+(((X483-B483*INT(X483/B483)))/C483)/100))),0,(IF(B483=C483,X483/C483,(INT(X483/B483)+(((X483-B483*INT(X483/B483)))/C483)/100))))</f>
        <v>0</v>
      </c>
      <c r="BJ483" s="57">
        <f>IF(ISERROR(IF(B483=C483,Y483/C483,(INT(Y483/B483)+(((Y483-B483*INT(Y483/B483)))/C483)/100))),0,(IF(B483=C483,Y483/C483,(INT(Y483/B483)+(((Y483-B483*INT(Y483/B483)))/C483)/100))))</f>
        <v>0</v>
      </c>
      <c r="BL483" s="57">
        <f>IF(ISERROR(IF(B483=C483,AA483/C483,(INT(AA483/B483)+(((AA483-B483*INT(AA483/B483)))/C483)/100))),0,(IF(B483=C483,AA483/C483,(INT(AA483/B483)+(((AA483-B483*INT(AA483/B483)))/C483)/100))))</f>
        <v>0</v>
      </c>
      <c r="BM483" s="57">
        <f>IF(ISERROR(IF(B483=C483,AB483/C483,(INT(AB483/B483)+(((AB483-B483*INT(AB483/B483)))/C483)/100))),0,(IF(B483=C483,AB483/C483,(INT(AB483/B483)+(((AB483-B483*INT(AB483/B483)))/C483)/100))))</f>
        <v>0</v>
      </c>
      <c r="BN483" s="57">
        <f>IF(ISERROR(IF(B483=C483,AC483/C483,(INT(AC483/B483)+(((AC483-B483*INT(AC483/B483)))/C483)/100))),0,(IF(B483=C483,AC483/C483,(INT(AC483/B483)+(((AC483-B483*INT(AC483/B483)))/C483)/100))))</f>
        <v>0</v>
      </c>
      <c r="BO483" s="57">
        <f>IF(ISERROR(IF(B483=C483,AD483/C483,(INT(AD483/B483)+(((AD483-B483*INT(AD483/B483)))/C483)/100))),0,(IF(B483=C483,AD483/C483,(INT(AD483/B483)+(((AD483-B483*INT(AD483/B483)))/C483)/100))))</f>
        <v>0</v>
      </c>
      <c r="BQ483" s="155"/>
    </row>
    <row r="484" spans="1:69" hidden="1" x14ac:dyDescent="0.35">
      <c r="A484" s="94"/>
      <c r="B484" s="113">
        <v>750</v>
      </c>
      <c r="C484" s="113">
        <v>150</v>
      </c>
      <c r="D484" s="28">
        <f>SUM(AA484:AD484)</f>
        <v>0</v>
      </c>
      <c r="E484" s="113">
        <v>0</v>
      </c>
      <c r="F484" s="113">
        <v>0</v>
      </c>
      <c r="G484" s="28">
        <f>SUM(D484:F484)</f>
        <v>0</v>
      </c>
      <c r="H484" s="125">
        <v>0</v>
      </c>
      <c r="I484" s="113">
        <v>0</v>
      </c>
      <c r="J484" s="125">
        <v>0</v>
      </c>
      <c r="K484" s="113">
        <v>0</v>
      </c>
      <c r="L484" s="113">
        <v>0</v>
      </c>
      <c r="M484" s="113">
        <v>0</v>
      </c>
      <c r="N484" s="28">
        <f>G484-SUM(H484:M484)</f>
        <v>0</v>
      </c>
      <c r="O484" s="28">
        <f>SUM(V484:Y484)</f>
        <v>0</v>
      </c>
      <c r="P484" s="28">
        <f>O484-N484</f>
        <v>0</v>
      </c>
      <c r="Q484" s="61" t="str">
        <f>IF(ISERROR(P484/SUM(H484:L484)),"",P484/SUM(H484:L484))</f>
        <v/>
      </c>
      <c r="R484" s="113">
        <v>0</v>
      </c>
      <c r="S484" s="28">
        <f>IF(ISERROR(P484/C484*R484),0,(P484/C484*R484))</f>
        <v>0</v>
      </c>
      <c r="T484" s="60">
        <f>IF(ISERROR(P484/B484*AF484),0,(P484/B484*AF484))</f>
        <v>0</v>
      </c>
      <c r="V484" s="113">
        <v>0</v>
      </c>
      <c r="W484" s="113">
        <v>0</v>
      </c>
      <c r="X484" s="113">
        <v>0</v>
      </c>
      <c r="Y484" s="113">
        <v>0</v>
      </c>
      <c r="AA484" s="113">
        <v>0</v>
      </c>
      <c r="AB484" s="113">
        <v>0</v>
      </c>
      <c r="AC484" s="113">
        <v>0</v>
      </c>
      <c r="AD484" s="113">
        <v>0</v>
      </c>
      <c r="AF484" s="113">
        <v>0</v>
      </c>
      <c r="AG484" s="28">
        <f>G484-O484</f>
        <v>0</v>
      </c>
      <c r="AH484" s="58">
        <f>IF(ISERROR(AG484/B484*AF484),0,(AG484/B484*AF484))</f>
        <v>0</v>
      </c>
      <c r="AI484" s="28">
        <f>SUM(H484:M484)</f>
        <v>0</v>
      </c>
      <c r="AJ484" s="28">
        <f>IF(ISERROR(AI484/B484*AF484),0,(AI484/B484*AF484))</f>
        <v>0</v>
      </c>
      <c r="AK484" s="58">
        <f>IF(ISERROR(O484/B484*AF484),0,(O484/B484*AF484))</f>
        <v>0</v>
      </c>
      <c r="AL484" s="28">
        <f>IF(ISERROR(H484/B484*AF484),0,(H484/B484*AF484))</f>
        <v>0</v>
      </c>
      <c r="AN484" s="51">
        <f>A484</f>
        <v>0</v>
      </c>
      <c r="AO484" s="57">
        <f>IF(ISERROR(IF(B484=C484,D484/C484,(INT(D484/B484)+(((D484-B484*INT(D484/B484)))/C484)/100))),0,(IF(B484=C484,D484/C484,(INT(D484/B484)+(((D484-B484*INT(D484/B484)))/C484)/100))))</f>
        <v>0</v>
      </c>
      <c r="AP484" s="57">
        <f>IF(ISERROR(IF(B484=C484,E484/C484,(INT(E484/B484)+(((E484-B484*INT(E484/B484)))/C484)/100))),0,(IF(B484=C484,E484/C484,(INT(E484/B484)+(((E484-B484*INT(E484/B484)))/C484)/100))))</f>
        <v>0</v>
      </c>
      <c r="AQ484" s="57">
        <f>IF(ISERROR(IF(B484=C484,F484/C484,IF((INT(F484/B484)+(((F484-B484*INT(F484/B484)))/C484)/100)&lt;0,(INT(F484/B484)+(((F484-B484*INT(F484/B484)))/C484)/100)+(1-(B484/C484/100)),(INT(F484/B484)+(((F484-B484*INT(F484/B484)))/C484)/100)))),0,IF(B484=C484,F484/C484,IF((INT(F484/B484)+(((F484-B484*INT(F484/B484)))/C484)/100)&lt;0,(INT(F484/B484)+(((F484-B484*INT(F484/B484)))/C484)/100)+(1-(B484/C484/100)),(INT(F484/B484)+(((F484-B484*INT(F484/B484)))/C484)/100))))</f>
        <v>0</v>
      </c>
      <c r="AR484" s="57">
        <f>IF(ISERROR(IF(B484=C484,G484/C484,(INT(G484/B484)+(((G484-B484*INT(G484/B484)))/C484)/100))),0,(IF(B484=C484,G484/C484,(INT(G484/B484)+(((G484-B484*INT(G484/B484)))/C484)/100))))</f>
        <v>0</v>
      </c>
      <c r="AS484" s="57">
        <f>IF(ISERROR(IF(B484=C484,H484/C484,(INT(H484/B484)+(((H484-B484*INT(H484/B484)))/C484)/100))),0,(IF(B484=C484,H484/C484,(INT(H484/B484)+(((H484-B484*INT(H484/B484)))/C484)/100))))</f>
        <v>0</v>
      </c>
      <c r="AT484" s="57">
        <f>IF(ISERROR(IF(B484=C484,I484/C484,(INT(I484/B484)+(((I484-B484*INT(I484/B484)))/C484)/100))),0,(IF(B484=C484,I484/C484,(INT(I484/B484)+(((I484-B484*INT(I484/B484)))/C484)/100))))</f>
        <v>0</v>
      </c>
      <c r="AU484" s="57">
        <f>IF(ISERROR(IF(B484=C484,J484/C484,(INT(J484/B484)+(((J484-B484*INT(J484/B484)))/C484)/100))),0,(IF(B484=C484,J484/C484,(INT(J484/B484)+(((J484-B484*INT(J484/B484)))/C484)/100))))</f>
        <v>0</v>
      </c>
      <c r="AV484" s="57">
        <f>IF(ISERROR(IF(B484=C484,K484/C484,IF((INT(K484/B484)+(((K484-B484*INT(K484/B484)))/C484)/100)&lt;0,(INT(K484/B484)+(((K484-B484*INT(K484/B484)))/C484)/100)+(1-(B484/C484/100)),(INT(K484/B484)+(((K484-B484*INT(K484/B484)))/C484)/100)))),0,IF(B484=C484,K484/C484,IF((INT(K484/B484)+(((K484-B484*INT(K484/B484)))/C484)/100)&lt;0,(INT(K484/B484)+(((K484-B484*INT(K484/B484)))/C484)/100)+(1-(B484/C484/100)),(INT(K484/B484)+(((K484-B484*INT(K484/B484)))/C484)/100))))</f>
        <v>0</v>
      </c>
      <c r="AW484" s="57">
        <f>IF(ISERROR(IF(B484=C484,L484/C484,(INT(L484/B484)+(((L484-B484*INT(L484/B484)))/C484)/100))),0,(IF(B484=C484,L484/C484,(INT(L484/B484)+(((L484-B484*INT(L484/B484)))/C484)/100))))</f>
        <v>0</v>
      </c>
      <c r="AX484" s="57">
        <f>IF(ISERROR(IF(B484=C484,M484/C484,(INT(M484/B484)+(((M484-B484*INT(M484/B484)))/C484)/100))),0,(IF(B484=C484,M484/C484,(INT(M484/B484)+(((M484-B484*INT(M484/B484)))/C484)/100))))</f>
        <v>0</v>
      </c>
      <c r="AY484" s="57">
        <f>IF(ISERROR(IF(B484=C484,N484/C484,IF((INT(N484/B484)+(((N484-B484*INT(N484/B484)))/C484)/100)&lt;0,(INT(N484/B484)+(((N484-B484*INT(N484/B484)))/C484)/100)+(1-(B484/C484/100)),(INT(N484/B484)+(((N484-B484*INT(N484/B484)))/C484)/100)))),0,IF(B484=C484,N484/C484,IF((INT(N484/B484)+(((N484-B484*INT(N484/B484)))/C484)/100)&lt;0,(INT(N484/B484)+(((N484-B484*INT(N484/B484)))/C484)/100)+(1-(B484/C484/100)),(INT(N484/B484)+(((N484-B484*INT(N484/B484)))/C484)/100))))</f>
        <v>0</v>
      </c>
      <c r="AZ484" s="57">
        <f>IF(ISERROR(IF(B484=C484,O484/C484,(INT(O484/B484)+(((O484-B484*INT(O484/B484)))/C484)/100))),0,(IF(B484=C484,O484/C484,(INT(O484/B484)+(((O484-B484*INT(O484/B484)))/C484)/100))))</f>
        <v>0</v>
      </c>
      <c r="BA484" s="57">
        <f>IF(ISERROR(IF(B484=C484,P484/C484,IF((INT(P484/B484)+(((P484-B484*INT(P484/B484)))/C484)/100)&lt;0,(INT(P484/B484)+(((P484-B484*INT(P484/B484)))/C484)/100)+(1-(B484/C484/100)),(INT(P484/B484)+(((P484-B484*INT(P484/B484)))/C484)/100)))),0,IF(B484=C484,P484/C484,IF((INT(P484/B484)+(((P484-B484*INT(P484/B484)))/C484)/100)&lt;0,(INT(P484/B484)+(((P484-B484*INT(P484/B484)))/C484)/100)+(1-(B484/C484/100)),(INT(P484/B484)+(((P484-B484*INT(P484/B484)))/C484)/100))))</f>
        <v>0</v>
      </c>
      <c r="BB484" s="28">
        <f>R484</f>
        <v>0</v>
      </c>
      <c r="BC484" s="28">
        <f>S484</f>
        <v>0</v>
      </c>
      <c r="BD484" s="28">
        <f>AF484</f>
        <v>0</v>
      </c>
      <c r="BE484" s="28">
        <f>T484</f>
        <v>0</v>
      </c>
      <c r="BG484" s="57">
        <f>IF(ISERROR(IF(B484=C484,V484/C484,(INT(V484/B484)+(((V484-B484*INT(V484/B484)))/C484)/100))),0,(IF(B484=C484,V484/C484,(INT(V484/B484)+(((V484-B484*INT(V484/B484)))/C484)/100))))</f>
        <v>0</v>
      </c>
      <c r="BH484" s="57">
        <f>IF(ISERROR(IF(B484=C484,W484/C484,(INT(W484/B484)+(((W484-B484*INT(W484/B484)))/C484)/100))),0,(IF(B484=C484,W484/C484,(INT(W484/B484)+(((W484-B484*INT(W484/B484)))/C484)/100))))</f>
        <v>0</v>
      </c>
      <c r="BI484" s="57">
        <f>IF(ISERROR(IF(B484=C484,X484/C484,(INT(X484/B484)+(((X484-B484*INT(X484/B484)))/C484)/100))),0,(IF(B484=C484,X484/C484,(INT(X484/B484)+(((X484-B484*INT(X484/B484)))/C484)/100))))</f>
        <v>0</v>
      </c>
      <c r="BJ484" s="57">
        <f>IF(ISERROR(IF(B484=C484,Y484/C484,(INT(Y484/B484)+(((Y484-B484*INT(Y484/B484)))/C484)/100))),0,(IF(B484=C484,Y484/C484,(INT(Y484/B484)+(((Y484-B484*INT(Y484/B484)))/C484)/100))))</f>
        <v>0</v>
      </c>
      <c r="BL484" s="57">
        <f>IF(ISERROR(IF(B484=C484,AA484/C484,(INT(AA484/B484)+(((AA484-B484*INT(AA484/B484)))/C484)/100))),0,(IF(B484=C484,AA484/C484,(INT(AA484/B484)+(((AA484-B484*INT(AA484/B484)))/C484)/100))))</f>
        <v>0</v>
      </c>
      <c r="BM484" s="57">
        <f>IF(ISERROR(IF(B484=C484,AB484/C484,(INT(AB484/B484)+(((AB484-B484*INT(AB484/B484)))/C484)/100))),0,(IF(B484=C484,AB484/C484,(INT(AB484/B484)+(((AB484-B484*INT(AB484/B484)))/C484)/100))))</f>
        <v>0</v>
      </c>
      <c r="BN484" s="57">
        <f>IF(ISERROR(IF(B484=C484,AC484/C484,(INT(AC484/B484)+(((AC484-B484*INT(AC484/B484)))/C484)/100))),0,(IF(B484=C484,AC484/C484,(INT(AC484/B484)+(((AC484-B484*INT(AC484/B484)))/C484)/100))))</f>
        <v>0</v>
      </c>
      <c r="BO484" s="57">
        <f>IF(ISERROR(IF(B484=C484,AD484/C484,(INT(AD484/B484)+(((AD484-B484*INT(AD484/B484)))/C484)/100))),0,(IF(B484=C484,AD484/C484,(INT(AD484/B484)+(((AD484-B484*INT(AD484/B484)))/C484)/100))))</f>
        <v>0</v>
      </c>
      <c r="BQ484" s="155"/>
    </row>
    <row r="485" spans="1:69" hidden="1" x14ac:dyDescent="0.35">
      <c r="A485" s="134"/>
      <c r="B485" s="113">
        <v>750</v>
      </c>
      <c r="C485" s="113">
        <v>150</v>
      </c>
      <c r="D485" s="28">
        <f>SUM(AA485:AD485)</f>
        <v>0</v>
      </c>
      <c r="E485" s="113">
        <v>0</v>
      </c>
      <c r="F485" s="113">
        <v>0</v>
      </c>
      <c r="G485" s="28">
        <f>SUM(D485:F485)</f>
        <v>0</v>
      </c>
      <c r="H485" s="125">
        <v>0</v>
      </c>
      <c r="I485" s="113">
        <v>0</v>
      </c>
      <c r="J485" s="125">
        <v>0</v>
      </c>
      <c r="K485" s="113">
        <v>0</v>
      </c>
      <c r="L485" s="113">
        <v>0</v>
      </c>
      <c r="M485" s="113">
        <v>0</v>
      </c>
      <c r="N485" s="28">
        <f>G485-SUM(H485:M485)</f>
        <v>0</v>
      </c>
      <c r="O485" s="28">
        <f>SUM(V485:Y485)</f>
        <v>0</v>
      </c>
      <c r="P485" s="28">
        <f>O485-N485</f>
        <v>0</v>
      </c>
      <c r="Q485" s="61" t="str">
        <f>IF(ISERROR(P485/SUM(H485:L485)),"",P485/SUM(H485:L485))</f>
        <v/>
      </c>
      <c r="R485" s="113">
        <v>0</v>
      </c>
      <c r="S485" s="28">
        <f>IF(ISERROR(P485/C485*R485),0,(P485/C485*R485))</f>
        <v>0</v>
      </c>
      <c r="T485" s="60">
        <f>IF(ISERROR(P485/B485*AF485),0,(P485/B485*AF485))</f>
        <v>0</v>
      </c>
      <c r="V485" s="113">
        <v>0</v>
      </c>
      <c r="W485" s="113">
        <v>0</v>
      </c>
      <c r="X485" s="113">
        <v>0</v>
      </c>
      <c r="Y485" s="113">
        <v>0</v>
      </c>
      <c r="AA485" s="113">
        <v>0</v>
      </c>
      <c r="AB485" s="113">
        <v>0</v>
      </c>
      <c r="AC485" s="113">
        <v>0</v>
      </c>
      <c r="AD485" s="113">
        <v>0</v>
      </c>
      <c r="AF485" s="113">
        <v>0</v>
      </c>
      <c r="AG485" s="28">
        <f>G485-O485</f>
        <v>0</v>
      </c>
      <c r="AH485" s="58">
        <f>IF(ISERROR(AG485/B485*AF485),0,(AG485/B485*AF485))</f>
        <v>0</v>
      </c>
      <c r="AI485" s="28">
        <f>SUM(H485:M485)</f>
        <v>0</v>
      </c>
      <c r="AJ485" s="28">
        <f>IF(ISERROR(AI485/B485*AF485),0,(AI485/B485*AF485))</f>
        <v>0</v>
      </c>
      <c r="AK485" s="58">
        <f>IF(ISERROR(O485/B485*AF485),0,(O485/B485*AF485))</f>
        <v>0</v>
      </c>
      <c r="AL485" s="28">
        <f>IF(ISERROR(H485/B485*AF485),0,(H485/B485*AF485))</f>
        <v>0</v>
      </c>
      <c r="AN485" s="51">
        <f>A485</f>
        <v>0</v>
      </c>
      <c r="AO485" s="57">
        <f>IF(ISERROR(IF(B485=C485,D485/C485,(INT(D485/B485)+(((D485-B485*INT(D485/B485)))/C485)/100))),0,(IF(B485=C485,D485/C485,(INT(D485/B485)+(((D485-B485*INT(D485/B485)))/C485)/100))))</f>
        <v>0</v>
      </c>
      <c r="AP485" s="57">
        <f>IF(ISERROR(IF(B485=C485,E485/C485,(INT(E485/B485)+(((E485-B485*INT(E485/B485)))/C485)/100))),0,(IF(B485=C485,E485/C485,(INT(E485/B485)+(((E485-B485*INT(E485/B485)))/C485)/100))))</f>
        <v>0</v>
      </c>
      <c r="AQ485" s="57">
        <f>IF(ISERROR(IF(B485=C485,F485/C485,IF((INT(F485/B485)+(((F485-B485*INT(F485/B485)))/C485)/100)&lt;0,(INT(F485/B485)+(((F485-B485*INT(F485/B485)))/C485)/100)+(1-(B485/C485/100)),(INT(F485/B485)+(((F485-B485*INT(F485/B485)))/C485)/100)))),0,IF(B485=C485,F485/C485,IF((INT(F485/B485)+(((F485-B485*INT(F485/B485)))/C485)/100)&lt;0,(INT(F485/B485)+(((F485-B485*INT(F485/B485)))/C485)/100)+(1-(B485/C485/100)),(INT(F485/B485)+(((F485-B485*INT(F485/B485)))/C485)/100))))</f>
        <v>0</v>
      </c>
      <c r="AR485" s="57">
        <f>IF(ISERROR(IF(B485=C485,G485/C485,(INT(G485/B485)+(((G485-B485*INT(G485/B485)))/C485)/100))),0,(IF(B485=C485,G485/C485,(INT(G485/B485)+(((G485-B485*INT(G485/B485)))/C485)/100))))</f>
        <v>0</v>
      </c>
      <c r="AS485" s="57">
        <f>IF(ISERROR(IF(B485=C485,H485/C485,(INT(H485/B485)+(((H485-B485*INT(H485/B485)))/C485)/100))),0,(IF(B485=C485,H485/C485,(INT(H485/B485)+(((H485-B485*INT(H485/B485)))/C485)/100))))</f>
        <v>0</v>
      </c>
      <c r="AT485" s="57">
        <f>IF(ISERROR(IF(B485=C485,I485/C485,(INT(I485/B485)+(((I485-B485*INT(I485/B485)))/C485)/100))),0,(IF(B485=C485,I485/C485,(INT(I485/B485)+(((I485-B485*INT(I485/B485)))/C485)/100))))</f>
        <v>0</v>
      </c>
      <c r="AU485" s="57">
        <f>IF(ISERROR(IF(B485=C485,J485/C485,(INT(J485/B485)+(((J485-B485*INT(J485/B485)))/C485)/100))),0,(IF(B485=C485,J485/C485,(INT(J485/B485)+(((J485-B485*INT(J485/B485)))/C485)/100))))</f>
        <v>0</v>
      </c>
      <c r="AV485" s="57">
        <f>IF(ISERROR(IF(B485=C485,K485/C485,IF((INT(K485/B485)+(((K485-B485*INT(K485/B485)))/C485)/100)&lt;0,(INT(K485/B485)+(((K485-B485*INT(K485/B485)))/C485)/100)+(1-(B485/C485/100)),(INT(K485/B485)+(((K485-B485*INT(K485/B485)))/C485)/100)))),0,IF(B485=C485,K485/C485,IF((INT(K485/B485)+(((K485-B485*INT(K485/B485)))/C485)/100)&lt;0,(INT(K485/B485)+(((K485-B485*INT(K485/B485)))/C485)/100)+(1-(B485/C485/100)),(INT(K485/B485)+(((K485-B485*INT(K485/B485)))/C485)/100))))</f>
        <v>0</v>
      </c>
      <c r="AW485" s="57">
        <f>IF(ISERROR(IF(B485=C485,L485/C485,(INT(L485/B485)+(((L485-B485*INT(L485/B485)))/C485)/100))),0,(IF(B485=C485,L485/C485,(INT(L485/B485)+(((L485-B485*INT(L485/B485)))/C485)/100))))</f>
        <v>0</v>
      </c>
      <c r="AX485" s="57">
        <f>IF(ISERROR(IF(B485=C485,M485/C485,(INT(M485/B485)+(((M485-B485*INT(M485/B485)))/C485)/100))),0,(IF(B485=C485,M485/C485,(INT(M485/B485)+(((M485-B485*INT(M485/B485)))/C485)/100))))</f>
        <v>0</v>
      </c>
      <c r="AY485" s="57">
        <f>IF(ISERROR(IF(B485=C485,N485/C485,IF((INT(N485/B485)+(((N485-B485*INT(N485/B485)))/C485)/100)&lt;0,(INT(N485/B485)+(((N485-B485*INT(N485/B485)))/C485)/100)+(1-(B485/C485/100)),(INT(N485/B485)+(((N485-B485*INT(N485/B485)))/C485)/100)))),0,IF(B485=C485,N485/C485,IF((INT(N485/B485)+(((N485-B485*INT(N485/B485)))/C485)/100)&lt;0,(INT(N485/B485)+(((N485-B485*INT(N485/B485)))/C485)/100)+(1-(B485/C485/100)),(INT(N485/B485)+(((N485-B485*INT(N485/B485)))/C485)/100))))</f>
        <v>0</v>
      </c>
      <c r="AZ485" s="57">
        <f>IF(ISERROR(IF(B485=C485,O485/C485,(INT(O485/B485)+(((O485-B485*INT(O485/B485)))/C485)/100))),0,(IF(B485=C485,O485/C485,(INT(O485/B485)+(((O485-B485*INT(O485/B485)))/C485)/100))))</f>
        <v>0</v>
      </c>
      <c r="BA485" s="57">
        <f>IF(ISERROR(IF(B485=C485,P485/C485,IF((INT(P485/B485)+(((P485-B485*INT(P485/B485)))/C485)/100)&lt;0,(INT(P485/B485)+(((P485-B485*INT(P485/B485)))/C485)/100)+(1-(B485/C485/100)),(INT(P485/B485)+(((P485-B485*INT(P485/B485)))/C485)/100)))),0,IF(B485=C485,P485/C485,IF((INT(P485/B485)+(((P485-B485*INT(P485/B485)))/C485)/100)&lt;0,(INT(P485/B485)+(((P485-B485*INT(P485/B485)))/C485)/100)+(1-(B485/C485/100)),(INT(P485/B485)+(((P485-B485*INT(P485/B485)))/C485)/100))))</f>
        <v>0</v>
      </c>
      <c r="BB485" s="28">
        <f>R485</f>
        <v>0</v>
      </c>
      <c r="BC485" s="28">
        <f>S485</f>
        <v>0</v>
      </c>
      <c r="BD485" s="28">
        <f>AF485</f>
        <v>0</v>
      </c>
      <c r="BE485" s="28">
        <f>T485</f>
        <v>0</v>
      </c>
      <c r="BG485" s="57">
        <f>IF(ISERROR(IF(B485=C485,V485/C485,(INT(V485/B485)+(((V485-B485*INT(V485/B485)))/C485)/100))),0,(IF(B485=C485,V485/C485,(INT(V485/B485)+(((V485-B485*INT(V485/B485)))/C485)/100))))</f>
        <v>0</v>
      </c>
      <c r="BH485" s="57">
        <f>IF(ISERROR(IF(B485=C485,W485/C485,(INT(W485/B485)+(((W485-B485*INT(W485/B485)))/C485)/100))),0,(IF(B485=C485,W485/C485,(INT(W485/B485)+(((W485-B485*INT(W485/B485)))/C485)/100))))</f>
        <v>0</v>
      </c>
      <c r="BI485" s="57">
        <f>IF(ISERROR(IF(B485=C485,X485/C485,(INT(X485/B485)+(((X485-B485*INT(X485/B485)))/C485)/100))),0,(IF(B485=C485,X485/C485,(INT(X485/B485)+(((X485-B485*INT(X485/B485)))/C485)/100))))</f>
        <v>0</v>
      </c>
      <c r="BJ485" s="57">
        <f>IF(ISERROR(IF(B485=C485,Y485/C485,(INT(Y485/B485)+(((Y485-B485*INT(Y485/B485)))/C485)/100))),0,(IF(B485=C485,Y485/C485,(INT(Y485/B485)+(((Y485-B485*INT(Y485/B485)))/C485)/100))))</f>
        <v>0</v>
      </c>
      <c r="BL485" s="57">
        <f>IF(ISERROR(IF(B485=C485,AA485/C485,(INT(AA485/B485)+(((AA485-B485*INT(AA485/B485)))/C485)/100))),0,(IF(B485=C485,AA485/C485,(INT(AA485/B485)+(((AA485-B485*INT(AA485/B485)))/C485)/100))))</f>
        <v>0</v>
      </c>
      <c r="BM485" s="57">
        <f>IF(ISERROR(IF(B485=C485,AB485/C485,(INT(AB485/B485)+(((AB485-B485*INT(AB485/B485)))/C485)/100))),0,(IF(B485=C485,AB485/C485,(INT(AB485/B485)+(((AB485-B485*INT(AB485/B485)))/C485)/100))))</f>
        <v>0</v>
      </c>
      <c r="BN485" s="57">
        <f>IF(ISERROR(IF(B485=C485,AC485/C485,(INT(AC485/B485)+(((AC485-B485*INT(AC485/B485)))/C485)/100))),0,(IF(B485=C485,AC485/C485,(INT(AC485/B485)+(((AC485-B485*INT(AC485/B485)))/C485)/100))))</f>
        <v>0</v>
      </c>
      <c r="BO485" s="57">
        <f>IF(ISERROR(IF(B485=C485,AD485/C485,(INT(AD485/B485)+(((AD485-B485*INT(AD485/B485)))/C485)/100))),0,(IF(B485=C485,AD485/C485,(INT(AD485/B485)+(((AD485-B485*INT(AD485/B485)))/C485)/100))))</f>
        <v>0</v>
      </c>
      <c r="BQ485" s="155"/>
    </row>
    <row r="486" spans="1:69" hidden="1" x14ac:dyDescent="0.35">
      <c r="A486" s="94"/>
      <c r="B486" s="113">
        <v>750</v>
      </c>
      <c r="C486" s="113">
        <v>150</v>
      </c>
      <c r="D486" s="28">
        <f>SUM(AA486:AD486)</f>
        <v>0</v>
      </c>
      <c r="E486" s="113">
        <v>0</v>
      </c>
      <c r="F486" s="113">
        <v>0</v>
      </c>
      <c r="G486" s="28">
        <f>SUM(D486:F486)</f>
        <v>0</v>
      </c>
      <c r="H486" s="125">
        <v>0</v>
      </c>
      <c r="I486" s="113">
        <v>0</v>
      </c>
      <c r="J486" s="125">
        <v>0</v>
      </c>
      <c r="K486" s="113">
        <v>0</v>
      </c>
      <c r="L486" s="113">
        <v>0</v>
      </c>
      <c r="M486" s="113">
        <v>0</v>
      </c>
      <c r="N486" s="28">
        <f>G486-SUM(H486:M486)</f>
        <v>0</v>
      </c>
      <c r="O486" s="28">
        <f>SUM(V486:Y486)</f>
        <v>0</v>
      </c>
      <c r="P486" s="28">
        <f>O486-N486</f>
        <v>0</v>
      </c>
      <c r="Q486" s="61" t="str">
        <f>IF(ISERROR(P486/SUM(H486:L486)),"",P486/SUM(H486:L486))</f>
        <v/>
      </c>
      <c r="R486" s="113">
        <v>0</v>
      </c>
      <c r="S486" s="28">
        <f>IF(ISERROR(P486/C486*R486),0,(P486/C486*R486))</f>
        <v>0</v>
      </c>
      <c r="T486" s="60">
        <f>IF(ISERROR(P486/B486*AF486),0,(P486/B486*AF486))</f>
        <v>0</v>
      </c>
      <c r="V486" s="113">
        <v>0</v>
      </c>
      <c r="W486" s="113">
        <v>0</v>
      </c>
      <c r="X486" s="113">
        <v>0</v>
      </c>
      <c r="Y486" s="113">
        <v>0</v>
      </c>
      <c r="AA486" s="113">
        <v>0</v>
      </c>
      <c r="AB486" s="113">
        <v>0</v>
      </c>
      <c r="AC486" s="113">
        <v>0</v>
      </c>
      <c r="AD486" s="113">
        <v>0</v>
      </c>
      <c r="AF486" s="113">
        <v>0</v>
      </c>
      <c r="AG486" s="28">
        <f>G486-O486</f>
        <v>0</v>
      </c>
      <c r="AH486" s="58">
        <f>IF(ISERROR(AG486/B486*AF486),0,(AG486/B486*AF486))</f>
        <v>0</v>
      </c>
      <c r="AI486" s="28">
        <f>SUM(H486:M486)</f>
        <v>0</v>
      </c>
      <c r="AJ486" s="28">
        <f>IF(ISERROR(AI486/B486*AF486),0,(AI486/B486*AF486))</f>
        <v>0</v>
      </c>
      <c r="AK486" s="58">
        <f>IF(ISERROR(O486/B486*AF486),0,(O486/B486*AF486))</f>
        <v>0</v>
      </c>
      <c r="AL486" s="28">
        <f>IF(ISERROR(H486/B486*AF486),0,(H486/B486*AF486))</f>
        <v>0</v>
      </c>
      <c r="AN486" s="51">
        <f>A486</f>
        <v>0</v>
      </c>
      <c r="AO486" s="57">
        <f>IF(ISERROR(IF(B486=C486,D486/C486,(INT(D486/B486)+(((D486-B486*INT(D486/B486)))/C486)/100))),0,(IF(B486=C486,D486/C486,(INT(D486/B486)+(((D486-B486*INT(D486/B486)))/C486)/100))))</f>
        <v>0</v>
      </c>
      <c r="AP486" s="57">
        <f>IF(ISERROR(IF(B486=C486,E486/C486,(INT(E486/B486)+(((E486-B486*INT(E486/B486)))/C486)/100))),0,(IF(B486=C486,E486/C486,(INT(E486/B486)+(((E486-B486*INT(E486/B486)))/C486)/100))))</f>
        <v>0</v>
      </c>
      <c r="AQ486" s="57">
        <f>IF(ISERROR(IF(B486=C486,F486/C486,IF((INT(F486/B486)+(((F486-B486*INT(F486/B486)))/C486)/100)&lt;0,(INT(F486/B486)+(((F486-B486*INT(F486/B486)))/C486)/100)+(1-(B486/C486/100)),(INT(F486/B486)+(((F486-B486*INT(F486/B486)))/C486)/100)))),0,IF(B486=C486,F486/C486,IF((INT(F486/B486)+(((F486-B486*INT(F486/B486)))/C486)/100)&lt;0,(INT(F486/B486)+(((F486-B486*INT(F486/B486)))/C486)/100)+(1-(B486/C486/100)),(INT(F486/B486)+(((F486-B486*INT(F486/B486)))/C486)/100))))</f>
        <v>0</v>
      </c>
      <c r="AR486" s="57">
        <f>IF(ISERROR(IF(B486=C486,G486/C486,(INT(G486/B486)+(((G486-B486*INT(G486/B486)))/C486)/100))),0,(IF(B486=C486,G486/C486,(INT(G486/B486)+(((G486-B486*INT(G486/B486)))/C486)/100))))</f>
        <v>0</v>
      </c>
      <c r="AS486" s="57">
        <f>IF(ISERROR(IF(B486=C486,H486/C486,(INT(H486/B486)+(((H486-B486*INT(H486/B486)))/C486)/100))),0,(IF(B486=C486,H486/C486,(INT(H486/B486)+(((H486-B486*INT(H486/B486)))/C486)/100))))</f>
        <v>0</v>
      </c>
      <c r="AT486" s="57">
        <f>IF(ISERROR(IF(B486=C486,I486/C486,(INT(I486/B486)+(((I486-B486*INT(I486/B486)))/C486)/100))),0,(IF(B486=C486,I486/C486,(INT(I486/B486)+(((I486-B486*INT(I486/B486)))/C486)/100))))</f>
        <v>0</v>
      </c>
      <c r="AU486" s="57">
        <f>IF(ISERROR(IF(B486=C486,J486/C486,(INT(J486/B486)+(((J486-B486*INT(J486/B486)))/C486)/100))),0,(IF(B486=C486,J486/C486,(INT(J486/B486)+(((J486-B486*INT(J486/B486)))/C486)/100))))</f>
        <v>0</v>
      </c>
      <c r="AV486" s="57">
        <f>IF(ISERROR(IF(B486=C486,K486/C486,IF((INT(K486/B486)+(((K486-B486*INT(K486/B486)))/C486)/100)&lt;0,(INT(K486/B486)+(((K486-B486*INT(K486/B486)))/C486)/100)+(1-(B486/C486/100)),(INT(K486/B486)+(((K486-B486*INT(K486/B486)))/C486)/100)))),0,IF(B486=C486,K486/C486,IF((INT(K486/B486)+(((K486-B486*INT(K486/B486)))/C486)/100)&lt;0,(INT(K486/B486)+(((K486-B486*INT(K486/B486)))/C486)/100)+(1-(B486/C486/100)),(INT(K486/B486)+(((K486-B486*INT(K486/B486)))/C486)/100))))</f>
        <v>0</v>
      </c>
      <c r="AW486" s="57">
        <f>IF(ISERROR(IF(B486=C486,L486/C486,(INT(L486/B486)+(((L486-B486*INT(L486/B486)))/C486)/100))),0,(IF(B486=C486,L486/C486,(INT(L486/B486)+(((L486-B486*INT(L486/B486)))/C486)/100))))</f>
        <v>0</v>
      </c>
      <c r="AX486" s="57">
        <f>IF(ISERROR(IF(B486=C486,M486/C486,(INT(M486/B486)+(((M486-B486*INT(M486/B486)))/C486)/100))),0,(IF(B486=C486,M486/C486,(INT(M486/B486)+(((M486-B486*INT(M486/B486)))/C486)/100))))</f>
        <v>0</v>
      </c>
      <c r="AY486" s="57">
        <f>IF(ISERROR(IF(B486=C486,N486/C486,IF((INT(N486/B486)+(((N486-B486*INT(N486/B486)))/C486)/100)&lt;0,(INT(N486/B486)+(((N486-B486*INT(N486/B486)))/C486)/100)+(1-(B486/C486/100)),(INT(N486/B486)+(((N486-B486*INT(N486/B486)))/C486)/100)))),0,IF(B486=C486,N486/C486,IF((INT(N486/B486)+(((N486-B486*INT(N486/B486)))/C486)/100)&lt;0,(INT(N486/B486)+(((N486-B486*INT(N486/B486)))/C486)/100)+(1-(B486/C486/100)),(INT(N486/B486)+(((N486-B486*INT(N486/B486)))/C486)/100))))</f>
        <v>0</v>
      </c>
      <c r="AZ486" s="57">
        <f>IF(ISERROR(IF(B486=C486,O486/C486,(INT(O486/B486)+(((O486-B486*INT(O486/B486)))/C486)/100))),0,(IF(B486=C486,O486/C486,(INT(O486/B486)+(((O486-B486*INT(O486/B486)))/C486)/100))))</f>
        <v>0</v>
      </c>
      <c r="BA486" s="57">
        <f>IF(ISERROR(IF(B486=C486,P486/C486,IF((INT(P486/B486)+(((P486-B486*INT(P486/B486)))/C486)/100)&lt;0,(INT(P486/B486)+(((P486-B486*INT(P486/B486)))/C486)/100)+(1-(B486/C486/100)),(INT(P486/B486)+(((P486-B486*INT(P486/B486)))/C486)/100)))),0,IF(B486=C486,P486/C486,IF((INT(P486/B486)+(((P486-B486*INT(P486/B486)))/C486)/100)&lt;0,(INT(P486/B486)+(((P486-B486*INT(P486/B486)))/C486)/100)+(1-(B486/C486/100)),(INT(P486/B486)+(((P486-B486*INT(P486/B486)))/C486)/100))))</f>
        <v>0</v>
      </c>
      <c r="BB486" s="28">
        <f>R486</f>
        <v>0</v>
      </c>
      <c r="BC486" s="28">
        <f>S486</f>
        <v>0</v>
      </c>
      <c r="BD486" s="28">
        <f>AF486</f>
        <v>0</v>
      </c>
      <c r="BE486" s="28">
        <f>T486</f>
        <v>0</v>
      </c>
      <c r="BG486" s="57">
        <f>IF(ISERROR(IF(B486=C486,V486/C486,(INT(V486/B486)+(((V486-B486*INT(V486/B486)))/C486)/100))),0,(IF(B486=C486,V486/C486,(INT(V486/B486)+(((V486-B486*INT(V486/B486)))/C486)/100))))</f>
        <v>0</v>
      </c>
      <c r="BH486" s="57">
        <f>IF(ISERROR(IF(B486=C486,W486/C486,(INT(W486/B486)+(((W486-B486*INT(W486/B486)))/C486)/100))),0,(IF(B486=C486,W486/C486,(INT(W486/B486)+(((W486-B486*INT(W486/B486)))/C486)/100))))</f>
        <v>0</v>
      </c>
      <c r="BI486" s="57">
        <f>IF(ISERROR(IF(B486=C486,X486/C486,(INT(X486/B486)+(((X486-B486*INT(X486/B486)))/C486)/100))),0,(IF(B486=C486,X486/C486,(INT(X486/B486)+(((X486-B486*INT(X486/B486)))/C486)/100))))</f>
        <v>0</v>
      </c>
      <c r="BJ486" s="57">
        <f>IF(ISERROR(IF(B486=C486,Y486/C486,(INT(Y486/B486)+(((Y486-B486*INT(Y486/B486)))/C486)/100))),0,(IF(B486=C486,Y486/C486,(INT(Y486/B486)+(((Y486-B486*INT(Y486/B486)))/C486)/100))))</f>
        <v>0</v>
      </c>
      <c r="BL486" s="57">
        <f>IF(ISERROR(IF(B486=C486,AA486/C486,(INT(AA486/B486)+(((AA486-B486*INT(AA486/B486)))/C486)/100))),0,(IF(B486=C486,AA486/C486,(INT(AA486/B486)+(((AA486-B486*INT(AA486/B486)))/C486)/100))))</f>
        <v>0</v>
      </c>
      <c r="BM486" s="57">
        <f>IF(ISERROR(IF(B486=C486,AB486/C486,(INT(AB486/B486)+(((AB486-B486*INT(AB486/B486)))/C486)/100))),0,(IF(B486=C486,AB486/C486,(INT(AB486/B486)+(((AB486-B486*INT(AB486/B486)))/C486)/100))))</f>
        <v>0</v>
      </c>
      <c r="BN486" s="57">
        <f>IF(ISERROR(IF(B486=C486,AC486/C486,(INT(AC486/B486)+(((AC486-B486*INT(AC486/B486)))/C486)/100))),0,(IF(B486=C486,AC486/C486,(INT(AC486/B486)+(((AC486-B486*INT(AC486/B486)))/C486)/100))))</f>
        <v>0</v>
      </c>
      <c r="BO486" s="57">
        <f>IF(ISERROR(IF(B486=C486,AD486/C486,(INT(AD486/B486)+(((AD486-B486*INT(AD486/B486)))/C486)/100))),0,(IF(B486=C486,AD486/C486,(INT(AD486/B486)+(((AD486-B486*INT(AD486/B486)))/C486)/100))))</f>
        <v>0</v>
      </c>
      <c r="BQ486" s="155"/>
    </row>
    <row r="487" spans="1:69" hidden="1" x14ac:dyDescent="0.35">
      <c r="A487" s="134"/>
      <c r="B487" s="113">
        <v>750</v>
      </c>
      <c r="C487" s="113">
        <v>150</v>
      </c>
      <c r="D487" s="28">
        <f>SUM(AA487:AD487)</f>
        <v>0</v>
      </c>
      <c r="E487" s="113">
        <v>0</v>
      </c>
      <c r="F487" s="113">
        <v>0</v>
      </c>
      <c r="G487" s="28">
        <f>SUM(D487:F487)</f>
        <v>0</v>
      </c>
      <c r="H487" s="125">
        <v>0</v>
      </c>
      <c r="I487" s="113">
        <v>0</v>
      </c>
      <c r="J487" s="125">
        <v>0</v>
      </c>
      <c r="K487" s="113">
        <v>0</v>
      </c>
      <c r="L487" s="113">
        <v>0</v>
      </c>
      <c r="M487" s="113">
        <v>0</v>
      </c>
      <c r="N487" s="28">
        <f>G487-SUM(H487:M487)</f>
        <v>0</v>
      </c>
      <c r="O487" s="28">
        <f>SUM(V487:Y487)</f>
        <v>0</v>
      </c>
      <c r="P487" s="28">
        <f>O487-N487</f>
        <v>0</v>
      </c>
      <c r="Q487" s="61" t="str">
        <f>IF(ISERROR(P487/SUM(H487:L487)),"",P487/SUM(H487:L487))</f>
        <v/>
      </c>
      <c r="R487" s="113">
        <v>0</v>
      </c>
      <c r="S487" s="28">
        <f>IF(ISERROR(P487/C487*R487),0,(P487/C487*R487))</f>
        <v>0</v>
      </c>
      <c r="T487" s="60">
        <f>IF(ISERROR(P487/B487*AF487),0,(P487/B487*AF487))</f>
        <v>0</v>
      </c>
      <c r="V487" s="113">
        <v>0</v>
      </c>
      <c r="W487" s="113">
        <v>0</v>
      </c>
      <c r="X487" s="113">
        <v>0</v>
      </c>
      <c r="Y487" s="113">
        <v>0</v>
      </c>
      <c r="AA487" s="113">
        <v>0</v>
      </c>
      <c r="AB487" s="113">
        <v>0</v>
      </c>
      <c r="AC487" s="113">
        <v>0</v>
      </c>
      <c r="AD487" s="113">
        <v>0</v>
      </c>
      <c r="AF487" s="113">
        <v>0</v>
      </c>
      <c r="AG487" s="28">
        <f>G487-O487</f>
        <v>0</v>
      </c>
      <c r="AH487" s="58">
        <f>IF(ISERROR(AG487/B487*AF487),0,(AG487/B487*AF487))</f>
        <v>0</v>
      </c>
      <c r="AI487" s="28">
        <f>SUM(H487:M487)</f>
        <v>0</v>
      </c>
      <c r="AJ487" s="28">
        <f>IF(ISERROR(AI487/B487*AF487),0,(AI487/B487*AF487))</f>
        <v>0</v>
      </c>
      <c r="AK487" s="58">
        <f>IF(ISERROR(O487/B487*AF487),0,(O487/B487*AF487))</f>
        <v>0</v>
      </c>
      <c r="AL487" s="28">
        <f>IF(ISERROR(H487/B487*AF487),0,(H487/B487*AF487))</f>
        <v>0</v>
      </c>
      <c r="AN487" s="51">
        <f>A487</f>
        <v>0</v>
      </c>
      <c r="AO487" s="57">
        <f>IF(ISERROR(IF(B487=C487,D487/C487,(INT(D487/B487)+(((D487-B487*INT(D487/B487)))/C487)/100))),0,(IF(B487=C487,D487/C487,(INT(D487/B487)+(((D487-B487*INT(D487/B487)))/C487)/100))))</f>
        <v>0</v>
      </c>
      <c r="AP487" s="57">
        <f>IF(ISERROR(IF(B487=C487,E487/C487,(INT(E487/B487)+(((E487-B487*INT(E487/B487)))/C487)/100))),0,(IF(B487=C487,E487/C487,(INT(E487/B487)+(((E487-B487*INT(E487/B487)))/C487)/100))))</f>
        <v>0</v>
      </c>
      <c r="AQ487" s="57">
        <f>IF(ISERROR(IF(B487=C487,F487/C487,IF((INT(F487/B487)+(((F487-B487*INT(F487/B487)))/C487)/100)&lt;0,(INT(F487/B487)+(((F487-B487*INT(F487/B487)))/C487)/100)+(1-(B487/C487/100)),(INT(F487/B487)+(((F487-B487*INT(F487/B487)))/C487)/100)))),0,IF(B487=C487,F487/C487,IF((INT(F487/B487)+(((F487-B487*INT(F487/B487)))/C487)/100)&lt;0,(INT(F487/B487)+(((F487-B487*INT(F487/B487)))/C487)/100)+(1-(B487/C487/100)),(INT(F487/B487)+(((F487-B487*INT(F487/B487)))/C487)/100))))</f>
        <v>0</v>
      </c>
      <c r="AR487" s="57">
        <f>IF(ISERROR(IF(B487=C487,G487/C487,(INT(G487/B487)+(((G487-B487*INT(G487/B487)))/C487)/100))),0,(IF(B487=C487,G487/C487,(INT(G487/B487)+(((G487-B487*INT(G487/B487)))/C487)/100))))</f>
        <v>0</v>
      </c>
      <c r="AS487" s="57">
        <f>IF(ISERROR(IF(B487=C487,H487/C487,(INT(H487/B487)+(((H487-B487*INT(H487/B487)))/C487)/100))),0,(IF(B487=C487,H487/C487,(INT(H487/B487)+(((H487-B487*INT(H487/B487)))/C487)/100))))</f>
        <v>0</v>
      </c>
      <c r="AT487" s="57">
        <f>IF(ISERROR(IF(B487=C487,I487/C487,(INT(I487/B487)+(((I487-B487*INT(I487/B487)))/C487)/100))),0,(IF(B487=C487,I487/C487,(INT(I487/B487)+(((I487-B487*INT(I487/B487)))/C487)/100))))</f>
        <v>0</v>
      </c>
      <c r="AU487" s="57">
        <f>IF(ISERROR(IF(B487=C487,J487/C487,(INT(J487/B487)+(((J487-B487*INT(J487/B487)))/C487)/100))),0,(IF(B487=C487,J487/C487,(INT(J487/B487)+(((J487-B487*INT(J487/B487)))/C487)/100))))</f>
        <v>0</v>
      </c>
      <c r="AV487" s="57">
        <f>IF(ISERROR(IF(B487=C487,K487/C487,IF((INT(K487/B487)+(((K487-B487*INT(K487/B487)))/C487)/100)&lt;0,(INT(K487/B487)+(((K487-B487*INT(K487/B487)))/C487)/100)+(1-(B487/C487/100)),(INT(K487/B487)+(((K487-B487*INT(K487/B487)))/C487)/100)))),0,IF(B487=C487,K487/C487,IF((INT(K487/B487)+(((K487-B487*INT(K487/B487)))/C487)/100)&lt;0,(INT(K487/B487)+(((K487-B487*INT(K487/B487)))/C487)/100)+(1-(B487/C487/100)),(INT(K487/B487)+(((K487-B487*INT(K487/B487)))/C487)/100))))</f>
        <v>0</v>
      </c>
      <c r="AW487" s="57">
        <f>IF(ISERROR(IF(B487=C487,L487/C487,(INT(L487/B487)+(((L487-B487*INT(L487/B487)))/C487)/100))),0,(IF(B487=C487,L487/C487,(INT(L487/B487)+(((L487-B487*INT(L487/B487)))/C487)/100))))</f>
        <v>0</v>
      </c>
      <c r="AX487" s="57">
        <f>IF(ISERROR(IF(B487=C487,M487/C487,(INT(M487/B487)+(((M487-B487*INT(M487/B487)))/C487)/100))),0,(IF(B487=C487,M487/C487,(INT(M487/B487)+(((M487-B487*INT(M487/B487)))/C487)/100))))</f>
        <v>0</v>
      </c>
      <c r="AY487" s="57">
        <f>IF(ISERROR(IF(B487=C487,N487/C487,IF((INT(N487/B487)+(((N487-B487*INT(N487/B487)))/C487)/100)&lt;0,(INT(N487/B487)+(((N487-B487*INT(N487/B487)))/C487)/100)+(1-(B487/C487/100)),(INT(N487/B487)+(((N487-B487*INT(N487/B487)))/C487)/100)))),0,IF(B487=C487,N487/C487,IF((INT(N487/B487)+(((N487-B487*INT(N487/B487)))/C487)/100)&lt;0,(INT(N487/B487)+(((N487-B487*INT(N487/B487)))/C487)/100)+(1-(B487/C487/100)),(INT(N487/B487)+(((N487-B487*INT(N487/B487)))/C487)/100))))</f>
        <v>0</v>
      </c>
      <c r="AZ487" s="57">
        <f>IF(ISERROR(IF(B487=C487,O487/C487,(INT(O487/B487)+(((O487-B487*INT(O487/B487)))/C487)/100))),0,(IF(B487=C487,O487/C487,(INT(O487/B487)+(((O487-B487*INT(O487/B487)))/C487)/100))))</f>
        <v>0</v>
      </c>
      <c r="BA487" s="57">
        <f>IF(ISERROR(IF(B487=C487,P487/C487,IF((INT(P487/B487)+(((P487-B487*INT(P487/B487)))/C487)/100)&lt;0,(INT(P487/B487)+(((P487-B487*INT(P487/B487)))/C487)/100)+(1-(B487/C487/100)),(INT(P487/B487)+(((P487-B487*INT(P487/B487)))/C487)/100)))),0,IF(B487=C487,P487/C487,IF((INT(P487/B487)+(((P487-B487*INT(P487/B487)))/C487)/100)&lt;0,(INT(P487/B487)+(((P487-B487*INT(P487/B487)))/C487)/100)+(1-(B487/C487/100)),(INT(P487/B487)+(((P487-B487*INT(P487/B487)))/C487)/100))))</f>
        <v>0</v>
      </c>
      <c r="BB487" s="28">
        <f>R487</f>
        <v>0</v>
      </c>
      <c r="BC487" s="28">
        <f>S487</f>
        <v>0</v>
      </c>
      <c r="BD487" s="28">
        <f>AF487</f>
        <v>0</v>
      </c>
      <c r="BE487" s="28">
        <f>T487</f>
        <v>0</v>
      </c>
      <c r="BG487" s="57">
        <f>IF(ISERROR(IF(B487=C487,V487/C487,(INT(V487/B487)+(((V487-B487*INT(V487/B487)))/C487)/100))),0,(IF(B487=C487,V487/C487,(INT(V487/B487)+(((V487-B487*INT(V487/B487)))/C487)/100))))</f>
        <v>0</v>
      </c>
      <c r="BH487" s="57">
        <f>IF(ISERROR(IF(B487=C487,W487/C487,(INT(W487/B487)+(((W487-B487*INT(W487/B487)))/C487)/100))),0,(IF(B487=C487,W487/C487,(INT(W487/B487)+(((W487-B487*INT(W487/B487)))/C487)/100))))</f>
        <v>0</v>
      </c>
      <c r="BI487" s="57">
        <f>IF(ISERROR(IF(B487=C487,X487/C487,(INT(X487/B487)+(((X487-B487*INT(X487/B487)))/C487)/100))),0,(IF(B487=C487,X487/C487,(INT(X487/B487)+(((X487-B487*INT(X487/B487)))/C487)/100))))</f>
        <v>0</v>
      </c>
      <c r="BJ487" s="57">
        <f>IF(ISERROR(IF(B487=C487,Y487/C487,(INT(Y487/B487)+(((Y487-B487*INT(Y487/B487)))/C487)/100))),0,(IF(B487=C487,Y487/C487,(INT(Y487/B487)+(((Y487-B487*INT(Y487/B487)))/C487)/100))))</f>
        <v>0</v>
      </c>
      <c r="BL487" s="57">
        <f>IF(ISERROR(IF(B487=C487,AA487/C487,(INT(AA487/B487)+(((AA487-B487*INT(AA487/B487)))/C487)/100))),0,(IF(B487=C487,AA487/C487,(INT(AA487/B487)+(((AA487-B487*INT(AA487/B487)))/C487)/100))))</f>
        <v>0</v>
      </c>
      <c r="BM487" s="57">
        <f>IF(ISERROR(IF(B487=C487,AB487/C487,(INT(AB487/B487)+(((AB487-B487*INT(AB487/B487)))/C487)/100))),0,(IF(B487=C487,AB487/C487,(INT(AB487/B487)+(((AB487-B487*INT(AB487/B487)))/C487)/100))))</f>
        <v>0</v>
      </c>
      <c r="BN487" s="57">
        <f>IF(ISERROR(IF(B487=C487,AC487/C487,(INT(AC487/B487)+(((AC487-B487*INT(AC487/B487)))/C487)/100))),0,(IF(B487=C487,AC487/C487,(INT(AC487/B487)+(((AC487-B487*INT(AC487/B487)))/C487)/100))))</f>
        <v>0</v>
      </c>
      <c r="BO487" s="57">
        <f>IF(ISERROR(IF(B487=C487,AD487/C487,(INT(AD487/B487)+(((AD487-B487*INT(AD487/B487)))/C487)/100))),0,(IF(B487=C487,AD487/C487,(INT(AD487/B487)+(((AD487-B487*INT(AD487/B487)))/C487)/100))))</f>
        <v>0</v>
      </c>
      <c r="BQ487" s="155"/>
    </row>
    <row r="488" spans="1:69" hidden="1" x14ac:dyDescent="0.35">
      <c r="A488" s="94"/>
      <c r="B488" s="113">
        <v>750</v>
      </c>
      <c r="C488" s="113">
        <v>150</v>
      </c>
      <c r="D488" s="28">
        <f>SUM(AA488:AD488)</f>
        <v>0</v>
      </c>
      <c r="E488" s="113">
        <v>0</v>
      </c>
      <c r="F488" s="113">
        <v>0</v>
      </c>
      <c r="G488" s="28">
        <f>SUM(D488:F488)</f>
        <v>0</v>
      </c>
      <c r="H488" s="125">
        <v>0</v>
      </c>
      <c r="I488" s="113">
        <v>0</v>
      </c>
      <c r="J488" s="125">
        <v>0</v>
      </c>
      <c r="K488" s="113">
        <v>0</v>
      </c>
      <c r="L488" s="113">
        <v>0</v>
      </c>
      <c r="M488" s="113">
        <v>0</v>
      </c>
      <c r="N488" s="28">
        <f>G488-SUM(H488:M488)</f>
        <v>0</v>
      </c>
      <c r="O488" s="28">
        <f>SUM(V488:Y488)</f>
        <v>0</v>
      </c>
      <c r="P488" s="28">
        <f>O488-N488</f>
        <v>0</v>
      </c>
      <c r="Q488" s="61" t="str">
        <f>IF(ISERROR(P488/SUM(H488:L488)),"",P488/SUM(H488:L488))</f>
        <v/>
      </c>
      <c r="R488" s="113">
        <v>0</v>
      </c>
      <c r="S488" s="28">
        <f>IF(ISERROR(P488/C488*R488),0,(P488/C488*R488))</f>
        <v>0</v>
      </c>
      <c r="T488" s="60">
        <f>IF(ISERROR(P488/B488*AF488),0,(P488/B488*AF488))</f>
        <v>0</v>
      </c>
      <c r="V488" s="113">
        <v>0</v>
      </c>
      <c r="W488" s="113">
        <v>0</v>
      </c>
      <c r="X488" s="113">
        <v>0</v>
      </c>
      <c r="Y488" s="113">
        <v>0</v>
      </c>
      <c r="AA488" s="113">
        <v>0</v>
      </c>
      <c r="AB488" s="113">
        <v>0</v>
      </c>
      <c r="AC488" s="113">
        <v>0</v>
      </c>
      <c r="AD488" s="113">
        <v>0</v>
      </c>
      <c r="AF488" s="113">
        <v>0</v>
      </c>
      <c r="AG488" s="28">
        <f>G488-O488</f>
        <v>0</v>
      </c>
      <c r="AH488" s="58">
        <f>IF(ISERROR(AG488/B488*AF488),0,(AG488/B488*AF488))</f>
        <v>0</v>
      </c>
      <c r="AI488" s="28">
        <f>SUM(H488:M488)</f>
        <v>0</v>
      </c>
      <c r="AJ488" s="28">
        <f>IF(ISERROR(AI488/B488*AF488),0,(AI488/B488*AF488))</f>
        <v>0</v>
      </c>
      <c r="AK488" s="58">
        <f>IF(ISERROR(O488/B488*AF488),0,(O488/B488*AF488))</f>
        <v>0</v>
      </c>
      <c r="AL488" s="28">
        <f>IF(ISERROR(H488/B488*AF488),0,(H488/B488*AF488))</f>
        <v>0</v>
      </c>
      <c r="AN488" s="51">
        <f>A488</f>
        <v>0</v>
      </c>
      <c r="AO488" s="57">
        <f>IF(ISERROR(IF(B488=C488,D488/C488,(INT(D488/B488)+(((D488-B488*INT(D488/B488)))/C488)/100))),0,(IF(B488=C488,D488/C488,(INT(D488/B488)+(((D488-B488*INT(D488/B488)))/C488)/100))))</f>
        <v>0</v>
      </c>
      <c r="AP488" s="57">
        <f>IF(ISERROR(IF(B488=C488,E488/C488,(INT(E488/B488)+(((E488-B488*INT(E488/B488)))/C488)/100))),0,(IF(B488=C488,E488/C488,(INT(E488/B488)+(((E488-B488*INT(E488/B488)))/C488)/100))))</f>
        <v>0</v>
      </c>
      <c r="AQ488" s="57">
        <f>IF(ISERROR(IF(B488=C488,F488/C488,IF((INT(F488/B488)+(((F488-B488*INT(F488/B488)))/C488)/100)&lt;0,(INT(F488/B488)+(((F488-B488*INT(F488/B488)))/C488)/100)+(1-(B488/C488/100)),(INT(F488/B488)+(((F488-B488*INT(F488/B488)))/C488)/100)))),0,IF(B488=C488,F488/C488,IF((INT(F488/B488)+(((F488-B488*INT(F488/B488)))/C488)/100)&lt;0,(INT(F488/B488)+(((F488-B488*INT(F488/B488)))/C488)/100)+(1-(B488/C488/100)),(INT(F488/B488)+(((F488-B488*INT(F488/B488)))/C488)/100))))</f>
        <v>0</v>
      </c>
      <c r="AR488" s="57">
        <f>IF(ISERROR(IF(B488=C488,G488/C488,(INT(G488/B488)+(((G488-B488*INT(G488/B488)))/C488)/100))),0,(IF(B488=C488,G488/C488,(INT(G488/B488)+(((G488-B488*INT(G488/B488)))/C488)/100))))</f>
        <v>0</v>
      </c>
      <c r="AS488" s="57">
        <f>IF(ISERROR(IF(B488=C488,H488/C488,(INT(H488/B488)+(((H488-B488*INT(H488/B488)))/C488)/100))),0,(IF(B488=C488,H488/C488,(INT(H488/B488)+(((H488-B488*INT(H488/B488)))/C488)/100))))</f>
        <v>0</v>
      </c>
      <c r="AT488" s="57">
        <f>IF(ISERROR(IF(B488=C488,I488/C488,(INT(I488/B488)+(((I488-B488*INT(I488/B488)))/C488)/100))),0,(IF(B488=C488,I488/C488,(INT(I488/B488)+(((I488-B488*INT(I488/B488)))/C488)/100))))</f>
        <v>0</v>
      </c>
      <c r="AU488" s="57">
        <f>IF(ISERROR(IF(B488=C488,J488/C488,(INT(J488/B488)+(((J488-B488*INT(J488/B488)))/C488)/100))),0,(IF(B488=C488,J488/C488,(INT(J488/B488)+(((J488-B488*INT(J488/B488)))/C488)/100))))</f>
        <v>0</v>
      </c>
      <c r="AV488" s="57">
        <f>IF(ISERROR(IF(B488=C488,K488/C488,IF((INT(K488/B488)+(((K488-B488*INT(K488/B488)))/C488)/100)&lt;0,(INT(K488/B488)+(((K488-B488*INT(K488/B488)))/C488)/100)+(1-(B488/C488/100)),(INT(K488/B488)+(((K488-B488*INT(K488/B488)))/C488)/100)))),0,IF(B488=C488,K488/C488,IF((INT(K488/B488)+(((K488-B488*INT(K488/B488)))/C488)/100)&lt;0,(INT(K488/B488)+(((K488-B488*INT(K488/B488)))/C488)/100)+(1-(B488/C488/100)),(INT(K488/B488)+(((K488-B488*INT(K488/B488)))/C488)/100))))</f>
        <v>0</v>
      </c>
      <c r="AW488" s="57">
        <f>IF(ISERROR(IF(B488=C488,L488/C488,(INT(L488/B488)+(((L488-B488*INT(L488/B488)))/C488)/100))),0,(IF(B488=C488,L488/C488,(INT(L488/B488)+(((L488-B488*INT(L488/B488)))/C488)/100))))</f>
        <v>0</v>
      </c>
      <c r="AX488" s="57">
        <f>IF(ISERROR(IF(B488=C488,M488/C488,(INT(M488/B488)+(((M488-B488*INT(M488/B488)))/C488)/100))),0,(IF(B488=C488,M488/C488,(INT(M488/B488)+(((M488-B488*INT(M488/B488)))/C488)/100))))</f>
        <v>0</v>
      </c>
      <c r="AY488" s="57">
        <f>IF(ISERROR(IF(B488=C488,N488/C488,IF((INT(N488/B488)+(((N488-B488*INT(N488/B488)))/C488)/100)&lt;0,(INT(N488/B488)+(((N488-B488*INT(N488/B488)))/C488)/100)+(1-(B488/C488/100)),(INT(N488/B488)+(((N488-B488*INT(N488/B488)))/C488)/100)))),0,IF(B488=C488,N488/C488,IF((INT(N488/B488)+(((N488-B488*INT(N488/B488)))/C488)/100)&lt;0,(INT(N488/B488)+(((N488-B488*INT(N488/B488)))/C488)/100)+(1-(B488/C488/100)),(INT(N488/B488)+(((N488-B488*INT(N488/B488)))/C488)/100))))</f>
        <v>0</v>
      </c>
      <c r="AZ488" s="57">
        <f>IF(ISERROR(IF(B488=C488,O488/C488,(INT(O488/B488)+(((O488-B488*INT(O488/B488)))/C488)/100))),0,(IF(B488=C488,O488/C488,(INT(O488/B488)+(((O488-B488*INT(O488/B488)))/C488)/100))))</f>
        <v>0</v>
      </c>
      <c r="BA488" s="57">
        <f>IF(ISERROR(IF(B488=C488,P488/C488,IF((INT(P488/B488)+(((P488-B488*INT(P488/B488)))/C488)/100)&lt;0,(INT(P488/B488)+(((P488-B488*INT(P488/B488)))/C488)/100)+(1-(B488/C488/100)),(INT(P488/B488)+(((P488-B488*INT(P488/B488)))/C488)/100)))),0,IF(B488=C488,P488/C488,IF((INT(P488/B488)+(((P488-B488*INT(P488/B488)))/C488)/100)&lt;0,(INT(P488/B488)+(((P488-B488*INT(P488/B488)))/C488)/100)+(1-(B488/C488/100)),(INT(P488/B488)+(((P488-B488*INT(P488/B488)))/C488)/100))))</f>
        <v>0</v>
      </c>
      <c r="BB488" s="28">
        <f>R488</f>
        <v>0</v>
      </c>
      <c r="BC488" s="28">
        <f>S488</f>
        <v>0</v>
      </c>
      <c r="BD488" s="28">
        <f>AF488</f>
        <v>0</v>
      </c>
      <c r="BE488" s="28">
        <f>T488</f>
        <v>0</v>
      </c>
      <c r="BG488" s="57">
        <f>IF(ISERROR(IF(B488=C488,V488/C488,(INT(V488/B488)+(((V488-B488*INT(V488/B488)))/C488)/100))),0,(IF(B488=C488,V488/C488,(INT(V488/B488)+(((V488-B488*INT(V488/B488)))/C488)/100))))</f>
        <v>0</v>
      </c>
      <c r="BH488" s="57">
        <f>IF(ISERROR(IF(B488=C488,W488/C488,(INT(W488/B488)+(((W488-B488*INT(W488/B488)))/C488)/100))),0,(IF(B488=C488,W488/C488,(INT(W488/B488)+(((W488-B488*INT(W488/B488)))/C488)/100))))</f>
        <v>0</v>
      </c>
      <c r="BI488" s="57">
        <f>IF(ISERROR(IF(B488=C488,X488/C488,(INT(X488/B488)+(((X488-B488*INT(X488/B488)))/C488)/100))),0,(IF(B488=C488,X488/C488,(INT(X488/B488)+(((X488-B488*INT(X488/B488)))/C488)/100))))</f>
        <v>0</v>
      </c>
      <c r="BJ488" s="57">
        <f>IF(ISERROR(IF(B488=C488,Y488/C488,(INT(Y488/B488)+(((Y488-B488*INT(Y488/B488)))/C488)/100))),0,(IF(B488=C488,Y488/C488,(INT(Y488/B488)+(((Y488-B488*INT(Y488/B488)))/C488)/100))))</f>
        <v>0</v>
      </c>
      <c r="BL488" s="57">
        <f>IF(ISERROR(IF(B488=C488,AA488/C488,(INT(AA488/B488)+(((AA488-B488*INT(AA488/B488)))/C488)/100))),0,(IF(B488=C488,AA488/C488,(INT(AA488/B488)+(((AA488-B488*INT(AA488/B488)))/C488)/100))))</f>
        <v>0</v>
      </c>
      <c r="BM488" s="57">
        <f>IF(ISERROR(IF(B488=C488,AB488/C488,(INT(AB488/B488)+(((AB488-B488*INT(AB488/B488)))/C488)/100))),0,(IF(B488=C488,AB488/C488,(INT(AB488/B488)+(((AB488-B488*INT(AB488/B488)))/C488)/100))))</f>
        <v>0</v>
      </c>
      <c r="BN488" s="57">
        <f>IF(ISERROR(IF(B488=C488,AC488/C488,(INT(AC488/B488)+(((AC488-B488*INT(AC488/B488)))/C488)/100))),0,(IF(B488=C488,AC488/C488,(INT(AC488/B488)+(((AC488-B488*INT(AC488/B488)))/C488)/100))))</f>
        <v>0</v>
      </c>
      <c r="BO488" s="57">
        <f>IF(ISERROR(IF(B488=C488,AD488/C488,(INT(AD488/B488)+(((AD488-B488*INT(AD488/B488)))/C488)/100))),0,(IF(B488=C488,AD488/C488,(INT(AD488/B488)+(((AD488-B488*INT(AD488/B488)))/C488)/100))))</f>
        <v>0</v>
      </c>
      <c r="BQ488" s="155"/>
    </row>
    <row r="489" spans="1:69" hidden="1" x14ac:dyDescent="0.35">
      <c r="A489" s="94"/>
      <c r="B489" s="113">
        <v>0</v>
      </c>
      <c r="C489" s="113">
        <v>150</v>
      </c>
      <c r="D489" s="28">
        <f>SUM(AA489:AD489)</f>
        <v>0</v>
      </c>
      <c r="E489" s="113">
        <v>0</v>
      </c>
      <c r="F489" s="113">
        <v>0</v>
      </c>
      <c r="G489" s="28">
        <f>SUM(D489:F489)</f>
        <v>0</v>
      </c>
      <c r="H489" s="125">
        <v>0</v>
      </c>
      <c r="I489" s="113">
        <v>0</v>
      </c>
      <c r="J489" s="125">
        <v>0</v>
      </c>
      <c r="K489" s="113">
        <v>0</v>
      </c>
      <c r="L489" s="113">
        <v>0</v>
      </c>
      <c r="M489" s="113">
        <v>0</v>
      </c>
      <c r="N489" s="28">
        <f>G489-SUM(H489:M489)</f>
        <v>0</v>
      </c>
      <c r="O489" s="28">
        <f>SUM(V489:Y489)</f>
        <v>0</v>
      </c>
      <c r="P489" s="28">
        <f>O489-N489</f>
        <v>0</v>
      </c>
      <c r="Q489" s="61" t="str">
        <f>IF(ISERROR(P489/SUM(H489:L489)),"",P489/SUM(H489:L489))</f>
        <v/>
      </c>
      <c r="R489" s="113">
        <v>0</v>
      </c>
      <c r="S489" s="28">
        <f>IF(ISERROR(P489/C489*R489),0,(P489/C489*R489))</f>
        <v>0</v>
      </c>
      <c r="T489" s="60">
        <f>IF(ISERROR(P489/B489*AF489),0,(P489/B489*AF489))</f>
        <v>0</v>
      </c>
      <c r="V489" s="113">
        <v>0</v>
      </c>
      <c r="W489" s="113">
        <v>0</v>
      </c>
      <c r="X489" s="113">
        <v>0</v>
      </c>
      <c r="Y489" s="113">
        <v>0</v>
      </c>
      <c r="AA489" s="113">
        <v>0</v>
      </c>
      <c r="AB489" s="113">
        <v>0</v>
      </c>
      <c r="AC489" s="113">
        <v>0</v>
      </c>
      <c r="AD489" s="113">
        <v>0</v>
      </c>
      <c r="AF489" s="113">
        <v>0</v>
      </c>
      <c r="AG489" s="28">
        <f>G489-O489</f>
        <v>0</v>
      </c>
      <c r="AH489" s="58">
        <f>IF(ISERROR(AG489/B489*AF489),0,(AG489/B489*AF489))</f>
        <v>0</v>
      </c>
      <c r="AI489" s="28">
        <f>SUM(H489:M489)</f>
        <v>0</v>
      </c>
      <c r="AJ489" s="28">
        <f>IF(ISERROR(AI489/B489*AF489),0,(AI489/B489*AF489))</f>
        <v>0</v>
      </c>
      <c r="AK489" s="58">
        <f>IF(ISERROR(O489/B489*AF489),0,(O489/B489*AF489))</f>
        <v>0</v>
      </c>
      <c r="AL489" s="28">
        <f>IF(ISERROR(H489/B489*AF489),0,(H489/B489*AF489))</f>
        <v>0</v>
      </c>
      <c r="AN489" s="51">
        <f>A489</f>
        <v>0</v>
      </c>
      <c r="AO489" s="57">
        <f>IF(ISERROR(IF(B489=C489,D489/C489,(INT(D489/B489)+(((D489-B489*INT(D489/B489)))/C489)/100))),0,(IF(B489=C489,D489/C489,(INT(D489/B489)+(((D489-B489*INT(D489/B489)))/C489)/100))))</f>
        <v>0</v>
      </c>
      <c r="AP489" s="57">
        <f>IF(ISERROR(IF(B489=C489,E489/C489,(INT(E489/B489)+(((E489-B489*INT(E489/B489)))/C489)/100))),0,(IF(B489=C489,E489/C489,(INT(E489/B489)+(((E489-B489*INT(E489/B489)))/C489)/100))))</f>
        <v>0</v>
      </c>
      <c r="AQ489" s="57">
        <f>IF(ISERROR(IF(B489=C489,F489/C489,IF((INT(F489/B489)+(((F489-B489*INT(F489/B489)))/C489)/100)&lt;0,(INT(F489/B489)+(((F489-B489*INT(F489/B489)))/C489)/100)+(1-(B489/C489/100)),(INT(F489/B489)+(((F489-B489*INT(F489/B489)))/C489)/100)))),0,IF(B489=C489,F489/C489,IF((INT(F489/B489)+(((F489-B489*INT(F489/B489)))/C489)/100)&lt;0,(INT(F489/B489)+(((F489-B489*INT(F489/B489)))/C489)/100)+(1-(B489/C489/100)),(INT(F489/B489)+(((F489-B489*INT(F489/B489)))/C489)/100))))</f>
        <v>0</v>
      </c>
      <c r="AR489" s="57">
        <f>IF(ISERROR(IF(B489=C489,G489/C489,(INT(G489/B489)+(((G489-B489*INT(G489/B489)))/C489)/100))),0,(IF(B489=C489,G489/C489,(INT(G489/B489)+(((G489-B489*INT(G489/B489)))/C489)/100))))</f>
        <v>0</v>
      </c>
      <c r="AS489" s="57">
        <f>IF(ISERROR(IF(B489=C489,H489/C489,(INT(H489/B489)+(((H489-B489*INT(H489/B489)))/C489)/100))),0,(IF(B489=C489,H489/C489,(INT(H489/B489)+(((H489-B489*INT(H489/B489)))/C489)/100))))</f>
        <v>0</v>
      </c>
      <c r="AT489" s="57">
        <f>IF(ISERROR(IF(B489=C489,I489/C489,(INT(I489/B489)+(((I489-B489*INT(I489/B489)))/C489)/100))),0,(IF(B489=C489,I489/C489,(INT(I489/B489)+(((I489-B489*INT(I489/B489)))/C489)/100))))</f>
        <v>0</v>
      </c>
      <c r="AU489" s="57">
        <f>IF(ISERROR(IF(B489=C489,J489/C489,(INT(J489/B489)+(((J489-B489*INT(J489/B489)))/C489)/100))),0,(IF(B489=C489,J489/C489,(INT(J489/B489)+(((J489-B489*INT(J489/B489)))/C489)/100))))</f>
        <v>0</v>
      </c>
      <c r="AV489" s="57">
        <f>IF(ISERROR(IF(B489=C489,K489/C489,IF((INT(K489/B489)+(((K489-B489*INT(K489/B489)))/C489)/100)&lt;0,(INT(K489/B489)+(((K489-B489*INT(K489/B489)))/C489)/100)+(1-(B489/C489/100)),(INT(K489/B489)+(((K489-B489*INT(K489/B489)))/C489)/100)))),0,IF(B489=C489,K489/C489,IF((INT(K489/B489)+(((K489-B489*INT(K489/B489)))/C489)/100)&lt;0,(INT(K489/B489)+(((K489-B489*INT(K489/B489)))/C489)/100)+(1-(B489/C489/100)),(INT(K489/B489)+(((K489-B489*INT(K489/B489)))/C489)/100))))</f>
        <v>0</v>
      </c>
      <c r="AW489" s="57">
        <f>IF(ISERROR(IF(B489=C489,L489/C489,(INT(L489/B489)+(((L489-B489*INT(L489/B489)))/C489)/100))),0,(IF(B489=C489,L489/C489,(INT(L489/B489)+(((L489-B489*INT(L489/B489)))/C489)/100))))</f>
        <v>0</v>
      </c>
      <c r="AX489" s="57">
        <f>IF(ISERROR(IF(B489=C489,M489/C489,(INT(M489/B489)+(((M489-B489*INT(M489/B489)))/C489)/100))),0,(IF(B489=C489,M489/C489,(INT(M489/B489)+(((M489-B489*INT(M489/B489)))/C489)/100))))</f>
        <v>0</v>
      </c>
      <c r="AY489" s="57">
        <f>IF(ISERROR(IF(B489=C489,N489/C489,IF((INT(N489/B489)+(((N489-B489*INT(N489/B489)))/C489)/100)&lt;0,(INT(N489/B489)+(((N489-B489*INT(N489/B489)))/C489)/100)+(1-(B489/C489/100)),(INT(N489/B489)+(((N489-B489*INT(N489/B489)))/C489)/100)))),0,IF(B489=C489,N489/C489,IF((INT(N489/B489)+(((N489-B489*INT(N489/B489)))/C489)/100)&lt;0,(INT(N489/B489)+(((N489-B489*INT(N489/B489)))/C489)/100)+(1-(B489/C489/100)),(INT(N489/B489)+(((N489-B489*INT(N489/B489)))/C489)/100))))</f>
        <v>0</v>
      </c>
      <c r="AZ489" s="57">
        <f>IF(ISERROR(IF(B489=C489,O489/C489,(INT(O489/B489)+(((O489-B489*INT(O489/B489)))/C489)/100))),0,(IF(B489=C489,O489/C489,(INT(O489/B489)+(((O489-B489*INT(O489/B489)))/C489)/100))))</f>
        <v>0</v>
      </c>
      <c r="BA489" s="57">
        <f>IF(ISERROR(IF(B489=C489,P489/C489,IF((INT(P489/B489)+(((P489-B489*INT(P489/B489)))/C489)/100)&lt;0,(INT(P489/B489)+(((P489-B489*INT(P489/B489)))/C489)/100)+(1-(B489/C489/100)),(INT(P489/B489)+(((P489-B489*INT(P489/B489)))/C489)/100)))),0,IF(B489=C489,P489/C489,IF((INT(P489/B489)+(((P489-B489*INT(P489/B489)))/C489)/100)&lt;0,(INT(P489/B489)+(((P489-B489*INT(P489/B489)))/C489)/100)+(1-(B489/C489/100)),(INT(P489/B489)+(((P489-B489*INT(P489/B489)))/C489)/100))))</f>
        <v>0</v>
      </c>
      <c r="BB489" s="28">
        <f>R489</f>
        <v>0</v>
      </c>
      <c r="BC489" s="28">
        <f>S489</f>
        <v>0</v>
      </c>
      <c r="BD489" s="28">
        <f>AF489</f>
        <v>0</v>
      </c>
      <c r="BE489" s="28">
        <f>T489</f>
        <v>0</v>
      </c>
      <c r="BG489" s="57">
        <f>IF(ISERROR(IF(B489=C489,V489/C489,(INT(V489/B489)+(((V489-B489*INT(V489/B489)))/C489)/100))),0,(IF(B489=C489,V489/C489,(INT(V489/B489)+(((V489-B489*INT(V489/B489)))/C489)/100))))</f>
        <v>0</v>
      </c>
      <c r="BH489" s="57">
        <f>IF(ISERROR(IF(B489=C489,W489/C489,(INT(W489/B489)+(((W489-B489*INT(W489/B489)))/C489)/100))),0,(IF(B489=C489,W489/C489,(INT(W489/B489)+(((W489-B489*INT(W489/B489)))/C489)/100))))</f>
        <v>0</v>
      </c>
      <c r="BI489" s="57">
        <f>IF(ISERROR(IF(B489=C489,X489/C489,(INT(X489/B489)+(((X489-B489*INT(X489/B489)))/C489)/100))),0,(IF(B489=C489,X489/C489,(INT(X489/B489)+(((X489-B489*INT(X489/B489)))/C489)/100))))</f>
        <v>0</v>
      </c>
      <c r="BJ489" s="57">
        <f>IF(ISERROR(IF(B489=C489,Y489/C489,(INT(Y489/B489)+(((Y489-B489*INT(Y489/B489)))/C489)/100))),0,(IF(B489=C489,Y489/C489,(INT(Y489/B489)+(((Y489-B489*INT(Y489/B489)))/C489)/100))))</f>
        <v>0</v>
      </c>
      <c r="BL489" s="57">
        <f>IF(ISERROR(IF(B489=C489,AA489/C489,(INT(AA489/B489)+(((AA489-B489*INT(AA489/B489)))/C489)/100))),0,(IF(B489=C489,AA489/C489,(INT(AA489/B489)+(((AA489-B489*INT(AA489/B489)))/C489)/100))))</f>
        <v>0</v>
      </c>
      <c r="BM489" s="57">
        <f>IF(ISERROR(IF(B489=C489,AB489/C489,(INT(AB489/B489)+(((AB489-B489*INT(AB489/B489)))/C489)/100))),0,(IF(B489=C489,AB489/C489,(INT(AB489/B489)+(((AB489-B489*INT(AB489/B489)))/C489)/100))))</f>
        <v>0</v>
      </c>
      <c r="BN489" s="57">
        <f>IF(ISERROR(IF(B489=C489,AC489/C489,(INT(AC489/B489)+(((AC489-B489*INT(AC489/B489)))/C489)/100))),0,(IF(B489=C489,AC489/C489,(INT(AC489/B489)+(((AC489-B489*INT(AC489/B489)))/C489)/100))))</f>
        <v>0</v>
      </c>
      <c r="BO489" s="57">
        <f>IF(ISERROR(IF(B489=C489,AD489/C489,(INT(AD489/B489)+(((AD489-B489*INT(AD489/B489)))/C489)/100))),0,(IF(B489=C489,AD489/C489,(INT(AD489/B489)+(((AD489-B489*INT(AD489/B489)))/C489)/100))))</f>
        <v>0</v>
      </c>
      <c r="BQ489" s="155"/>
    </row>
    <row r="490" spans="1:69" hidden="1" x14ac:dyDescent="0.35">
      <c r="A490" s="94"/>
      <c r="B490" s="113">
        <v>0</v>
      </c>
      <c r="C490" s="113">
        <v>150</v>
      </c>
      <c r="D490" s="28">
        <f>SUM(AA490:AD490)</f>
        <v>0</v>
      </c>
      <c r="E490" s="113">
        <v>0</v>
      </c>
      <c r="F490" s="113">
        <v>0</v>
      </c>
      <c r="G490" s="28">
        <f>SUM(D490:F490)</f>
        <v>0</v>
      </c>
      <c r="H490" s="125">
        <v>0</v>
      </c>
      <c r="I490" s="113">
        <v>0</v>
      </c>
      <c r="J490" s="125">
        <v>0</v>
      </c>
      <c r="K490" s="113">
        <v>0</v>
      </c>
      <c r="L490" s="113">
        <v>0</v>
      </c>
      <c r="M490" s="113">
        <v>0</v>
      </c>
      <c r="N490" s="28">
        <f>G490-SUM(H490:M490)</f>
        <v>0</v>
      </c>
      <c r="O490" s="28">
        <f>SUM(V490:Y490)</f>
        <v>0</v>
      </c>
      <c r="P490" s="28">
        <f>O490-N490</f>
        <v>0</v>
      </c>
      <c r="Q490" s="61" t="str">
        <f>IF(ISERROR(P490/SUM(H490:L490)),"",P490/SUM(H490:L490))</f>
        <v/>
      </c>
      <c r="R490" s="113">
        <v>0</v>
      </c>
      <c r="S490" s="28">
        <f>IF(ISERROR(P490/C490*R490),0,(P490/C490*R490))</f>
        <v>0</v>
      </c>
      <c r="T490" s="60">
        <f>IF(ISERROR(P490/B490*AF490),0,(P490/B490*AF490))</f>
        <v>0</v>
      </c>
      <c r="V490" s="113">
        <v>0</v>
      </c>
      <c r="W490" s="113">
        <v>0</v>
      </c>
      <c r="X490" s="113">
        <v>0</v>
      </c>
      <c r="Y490" s="113">
        <v>0</v>
      </c>
      <c r="AA490" s="113">
        <v>0</v>
      </c>
      <c r="AB490" s="113">
        <v>0</v>
      </c>
      <c r="AC490" s="113">
        <v>0</v>
      </c>
      <c r="AD490" s="113">
        <v>0</v>
      </c>
      <c r="AF490" s="113">
        <v>0</v>
      </c>
      <c r="AG490" s="28">
        <f>G490-O490</f>
        <v>0</v>
      </c>
      <c r="AH490" s="58">
        <f>IF(ISERROR(AG490/B490*AF490),0,(AG490/B490*AF490))</f>
        <v>0</v>
      </c>
      <c r="AI490" s="28">
        <f>SUM(H490:M490)</f>
        <v>0</v>
      </c>
      <c r="AJ490" s="28">
        <f>IF(ISERROR(AI490/B490*AF490),0,(AI490/B490*AF490))</f>
        <v>0</v>
      </c>
      <c r="AK490" s="58">
        <f>IF(ISERROR(O490/B490*AF490),0,(O490/B490*AF490))</f>
        <v>0</v>
      </c>
      <c r="AL490" s="28">
        <f>IF(ISERROR(H490/B490*AF490),0,(H490/B490*AF490))</f>
        <v>0</v>
      </c>
      <c r="AN490" s="51">
        <f>A490</f>
        <v>0</v>
      </c>
      <c r="AO490" s="57">
        <f>IF(ISERROR(IF(B490=C490,D490/C490,(INT(D490/B490)+(((D490-B490*INT(D490/B490)))/C490)/100))),0,(IF(B490=C490,D490/C490,(INT(D490/B490)+(((D490-B490*INT(D490/B490)))/C490)/100))))</f>
        <v>0</v>
      </c>
      <c r="AP490" s="57">
        <f>IF(ISERROR(IF(B490=C490,E490/C490,(INT(E490/B490)+(((E490-B490*INT(E490/B490)))/C490)/100))),0,(IF(B490=C490,E490/C490,(INT(E490/B490)+(((E490-B490*INT(E490/B490)))/C490)/100))))</f>
        <v>0</v>
      </c>
      <c r="AQ490" s="57">
        <f>IF(ISERROR(IF(B490=C490,F490/C490,IF((INT(F490/B490)+(((F490-B490*INT(F490/B490)))/C490)/100)&lt;0,(INT(F490/B490)+(((F490-B490*INT(F490/B490)))/C490)/100)+(1-(B490/C490/100)),(INT(F490/B490)+(((F490-B490*INT(F490/B490)))/C490)/100)))),0,IF(B490=C490,F490/C490,IF((INT(F490/B490)+(((F490-B490*INT(F490/B490)))/C490)/100)&lt;0,(INT(F490/B490)+(((F490-B490*INT(F490/B490)))/C490)/100)+(1-(B490/C490/100)),(INT(F490/B490)+(((F490-B490*INT(F490/B490)))/C490)/100))))</f>
        <v>0</v>
      </c>
      <c r="AR490" s="57">
        <f>IF(ISERROR(IF(B490=C490,G490/C490,(INT(G490/B490)+(((G490-B490*INT(G490/B490)))/C490)/100))),0,(IF(B490=C490,G490/C490,(INT(G490/B490)+(((G490-B490*INT(G490/B490)))/C490)/100))))</f>
        <v>0</v>
      </c>
      <c r="AS490" s="57">
        <f>IF(ISERROR(IF(B490=C490,H490/C490,(INT(H490/B490)+(((H490-B490*INT(H490/B490)))/C490)/100))),0,(IF(B490=C490,H490/C490,(INT(H490/B490)+(((H490-B490*INT(H490/B490)))/C490)/100))))</f>
        <v>0</v>
      </c>
      <c r="AT490" s="57">
        <f>IF(ISERROR(IF(B490=C490,I490/C490,(INT(I490/B490)+(((I490-B490*INT(I490/B490)))/C490)/100))),0,(IF(B490=C490,I490/C490,(INT(I490/B490)+(((I490-B490*INT(I490/B490)))/C490)/100))))</f>
        <v>0</v>
      </c>
      <c r="AU490" s="57">
        <f>IF(ISERROR(IF(B490=C490,J490/C490,(INT(J490/B490)+(((J490-B490*INT(J490/B490)))/C490)/100))),0,(IF(B490=C490,J490/C490,(INT(J490/B490)+(((J490-B490*INT(J490/B490)))/C490)/100))))</f>
        <v>0</v>
      </c>
      <c r="AV490" s="57">
        <f>IF(ISERROR(IF(B490=C490,K490/C490,IF((INT(K490/B490)+(((K490-B490*INT(K490/B490)))/C490)/100)&lt;0,(INT(K490/B490)+(((K490-B490*INT(K490/B490)))/C490)/100)+(1-(B490/C490/100)),(INT(K490/B490)+(((K490-B490*INT(K490/B490)))/C490)/100)))),0,IF(B490=C490,K490/C490,IF((INT(K490/B490)+(((K490-B490*INT(K490/B490)))/C490)/100)&lt;0,(INT(K490/B490)+(((K490-B490*INT(K490/B490)))/C490)/100)+(1-(B490/C490/100)),(INT(K490/B490)+(((K490-B490*INT(K490/B490)))/C490)/100))))</f>
        <v>0</v>
      </c>
      <c r="AW490" s="57">
        <f>IF(ISERROR(IF(B490=C490,L490/C490,(INT(L490/B490)+(((L490-B490*INT(L490/B490)))/C490)/100))),0,(IF(B490=C490,L490/C490,(INT(L490/B490)+(((L490-B490*INT(L490/B490)))/C490)/100))))</f>
        <v>0</v>
      </c>
      <c r="AX490" s="57">
        <f>IF(ISERROR(IF(B490=C490,M490/C490,(INT(M490/B490)+(((M490-B490*INT(M490/B490)))/C490)/100))),0,(IF(B490=C490,M490/C490,(INT(M490/B490)+(((M490-B490*INT(M490/B490)))/C490)/100))))</f>
        <v>0</v>
      </c>
      <c r="AY490" s="57">
        <f>IF(ISERROR(IF(B490=C490,N490/C490,IF((INT(N490/B490)+(((N490-B490*INT(N490/B490)))/C490)/100)&lt;0,(INT(N490/B490)+(((N490-B490*INT(N490/B490)))/C490)/100)+(1-(B490/C490/100)),(INT(N490/B490)+(((N490-B490*INT(N490/B490)))/C490)/100)))),0,IF(B490=C490,N490/C490,IF((INT(N490/B490)+(((N490-B490*INT(N490/B490)))/C490)/100)&lt;0,(INT(N490/B490)+(((N490-B490*INT(N490/B490)))/C490)/100)+(1-(B490/C490/100)),(INT(N490/B490)+(((N490-B490*INT(N490/B490)))/C490)/100))))</f>
        <v>0</v>
      </c>
      <c r="AZ490" s="57">
        <f>IF(ISERROR(IF(B490=C490,O490/C490,(INT(O490/B490)+(((O490-B490*INT(O490/B490)))/C490)/100))),0,(IF(B490=C490,O490/C490,(INT(O490/B490)+(((O490-B490*INT(O490/B490)))/C490)/100))))</f>
        <v>0</v>
      </c>
      <c r="BA490" s="57">
        <f>IF(ISERROR(IF(B490=C490,P490/C490,IF((INT(P490/B490)+(((P490-B490*INT(P490/B490)))/C490)/100)&lt;0,(INT(P490/B490)+(((P490-B490*INT(P490/B490)))/C490)/100)+(1-(B490/C490/100)),(INT(P490/B490)+(((P490-B490*INT(P490/B490)))/C490)/100)))),0,IF(B490=C490,P490/C490,IF((INT(P490/B490)+(((P490-B490*INT(P490/B490)))/C490)/100)&lt;0,(INT(P490/B490)+(((P490-B490*INT(P490/B490)))/C490)/100)+(1-(B490/C490/100)),(INT(P490/B490)+(((P490-B490*INT(P490/B490)))/C490)/100))))</f>
        <v>0</v>
      </c>
      <c r="BB490" s="28">
        <f>R490</f>
        <v>0</v>
      </c>
      <c r="BC490" s="28">
        <f>S490</f>
        <v>0</v>
      </c>
      <c r="BD490" s="28">
        <f>AF490</f>
        <v>0</v>
      </c>
      <c r="BE490" s="28">
        <f>T490</f>
        <v>0</v>
      </c>
      <c r="BG490" s="57">
        <f>IF(ISERROR(IF(B490=C490,V490/C490,(INT(V490/B490)+(((V490-B490*INT(V490/B490)))/C490)/100))),0,(IF(B490=C490,V490/C490,(INT(V490/B490)+(((V490-B490*INT(V490/B490)))/C490)/100))))</f>
        <v>0</v>
      </c>
      <c r="BH490" s="57">
        <f>IF(ISERROR(IF(B490=C490,W490/C490,(INT(W490/B490)+(((W490-B490*INT(W490/B490)))/C490)/100))),0,(IF(B490=C490,W490/C490,(INT(W490/B490)+(((W490-B490*INT(W490/B490)))/C490)/100))))</f>
        <v>0</v>
      </c>
      <c r="BI490" s="57">
        <f>IF(ISERROR(IF(B490=C490,X490/C490,(INT(X490/B490)+(((X490-B490*INT(X490/B490)))/C490)/100))),0,(IF(B490=C490,X490/C490,(INT(X490/B490)+(((X490-B490*INT(X490/B490)))/C490)/100))))</f>
        <v>0</v>
      </c>
      <c r="BJ490" s="57">
        <f>IF(ISERROR(IF(B490=C490,Y490/C490,(INT(Y490/B490)+(((Y490-B490*INT(Y490/B490)))/C490)/100))),0,(IF(B490=C490,Y490/C490,(INT(Y490/B490)+(((Y490-B490*INT(Y490/B490)))/C490)/100))))</f>
        <v>0</v>
      </c>
      <c r="BL490" s="57">
        <f>IF(ISERROR(IF(B490=C490,AA490/C490,(INT(AA490/B490)+(((AA490-B490*INT(AA490/B490)))/C490)/100))),0,(IF(B490=C490,AA490/C490,(INT(AA490/B490)+(((AA490-B490*INT(AA490/B490)))/C490)/100))))</f>
        <v>0</v>
      </c>
      <c r="BM490" s="57">
        <f>IF(ISERROR(IF(B490=C490,AB490/C490,(INT(AB490/B490)+(((AB490-B490*INT(AB490/B490)))/C490)/100))),0,(IF(B490=C490,AB490/C490,(INT(AB490/B490)+(((AB490-B490*INT(AB490/B490)))/C490)/100))))</f>
        <v>0</v>
      </c>
      <c r="BN490" s="57">
        <f>IF(ISERROR(IF(B490=C490,AC490/C490,(INT(AC490/B490)+(((AC490-B490*INT(AC490/B490)))/C490)/100))),0,(IF(B490=C490,AC490/C490,(INT(AC490/B490)+(((AC490-B490*INT(AC490/B490)))/C490)/100))))</f>
        <v>0</v>
      </c>
      <c r="BO490" s="57">
        <f>IF(ISERROR(IF(B490=C490,AD490/C490,(INT(AD490/B490)+(((AD490-B490*INT(AD490/B490)))/C490)/100))),0,(IF(B490=C490,AD490/C490,(INT(AD490/B490)+(((AD490-B490*INT(AD490/B490)))/C490)/100))))</f>
        <v>0</v>
      </c>
      <c r="BQ490" s="155"/>
    </row>
    <row r="491" spans="1:69" hidden="1" x14ac:dyDescent="0.35">
      <c r="A491" s="94"/>
      <c r="B491" s="113">
        <v>0</v>
      </c>
      <c r="C491" s="113">
        <v>250</v>
      </c>
      <c r="D491" s="28">
        <f>SUM(AA491:AD491)</f>
        <v>0</v>
      </c>
      <c r="E491" s="113">
        <v>0</v>
      </c>
      <c r="F491" s="113">
        <v>0</v>
      </c>
      <c r="G491" s="28">
        <f>SUM(D491:F491)</f>
        <v>0</v>
      </c>
      <c r="H491" s="125">
        <v>0</v>
      </c>
      <c r="I491" s="113">
        <v>0</v>
      </c>
      <c r="J491" s="125">
        <v>0</v>
      </c>
      <c r="K491" s="113">
        <v>0</v>
      </c>
      <c r="L491" s="113">
        <v>0</v>
      </c>
      <c r="M491" s="113">
        <v>0</v>
      </c>
      <c r="N491" s="28">
        <f>G491-SUM(H491:M491)</f>
        <v>0</v>
      </c>
      <c r="O491" s="28">
        <f>SUM(V491:Y491)</f>
        <v>0</v>
      </c>
      <c r="P491" s="28">
        <f>O491-N491</f>
        <v>0</v>
      </c>
      <c r="Q491" s="61" t="str">
        <f>IF(ISERROR(P491/SUM(H491:L491)),"",P491/SUM(H491:L491))</f>
        <v/>
      </c>
      <c r="R491" s="113">
        <v>0</v>
      </c>
      <c r="S491" s="28">
        <f>IF(ISERROR(P491/C491*R491),0,(P491/C491*R491))</f>
        <v>0</v>
      </c>
      <c r="T491" s="60">
        <f>IF(ISERROR(P491/B491*AF491),0,(P491/B491*AF491))</f>
        <v>0</v>
      </c>
      <c r="V491" s="113">
        <v>0</v>
      </c>
      <c r="W491" s="113">
        <v>0</v>
      </c>
      <c r="X491" s="113">
        <v>0</v>
      </c>
      <c r="Y491" s="113">
        <v>0</v>
      </c>
      <c r="AA491" s="113">
        <v>0</v>
      </c>
      <c r="AB491" s="113">
        <v>0</v>
      </c>
      <c r="AC491" s="113">
        <v>0</v>
      </c>
      <c r="AD491" s="113">
        <v>0</v>
      </c>
      <c r="AF491" s="113">
        <v>0</v>
      </c>
      <c r="AG491" s="28">
        <f>G491-O491</f>
        <v>0</v>
      </c>
      <c r="AH491" s="58">
        <f>IF(ISERROR(AG491/B491*AF491),0,(AG491/B491*AF491))</f>
        <v>0</v>
      </c>
      <c r="AI491" s="28">
        <f>SUM(H491:M491)</f>
        <v>0</v>
      </c>
      <c r="AJ491" s="28">
        <f>IF(ISERROR(AI491/B491*AF491),0,(AI491/B491*AF491))</f>
        <v>0</v>
      </c>
      <c r="AK491" s="58">
        <f>IF(ISERROR(O491/B491*AF491),0,(O491/B491*AF491))</f>
        <v>0</v>
      </c>
      <c r="AL491" s="28">
        <f>IF(ISERROR(H491/B491*AF491),0,(H491/B491*AF491))</f>
        <v>0</v>
      </c>
      <c r="AN491" s="51">
        <f>A491</f>
        <v>0</v>
      </c>
      <c r="AO491" s="57">
        <f>IF(ISERROR(IF(B491=C491,D491/C491,(INT(D491/B491)+(((D491-B491*INT(D491/B491)))/C491)/100))),0,(IF(B491=C491,D491/C491,(INT(D491/B491)+(((D491-B491*INT(D491/B491)))/C491)/100))))</f>
        <v>0</v>
      </c>
      <c r="AP491" s="57">
        <f>IF(ISERROR(IF(B491=C491,E491/C491,(INT(E491/B491)+(((E491-B491*INT(E491/B491)))/C491)/100))),0,(IF(B491=C491,E491/C491,(INT(E491/B491)+(((E491-B491*INT(E491/B491)))/C491)/100))))</f>
        <v>0</v>
      </c>
      <c r="AQ491" s="57">
        <f>IF(ISERROR(IF(B491=C491,F491/C491,IF((INT(F491/B491)+(((F491-B491*INT(F491/B491)))/C491)/100)&lt;0,(INT(F491/B491)+(((F491-B491*INT(F491/B491)))/C491)/100)+(1-(B491/C491/100)),(INT(F491/B491)+(((F491-B491*INT(F491/B491)))/C491)/100)))),0,IF(B491=C491,F491/C491,IF((INT(F491/B491)+(((F491-B491*INT(F491/B491)))/C491)/100)&lt;0,(INT(F491/B491)+(((F491-B491*INT(F491/B491)))/C491)/100)+(1-(B491/C491/100)),(INT(F491/B491)+(((F491-B491*INT(F491/B491)))/C491)/100))))</f>
        <v>0</v>
      </c>
      <c r="AR491" s="57">
        <f>IF(ISERROR(IF(B491=C491,G491/C491,(INT(G491/B491)+(((G491-B491*INT(G491/B491)))/C491)/100))),0,(IF(B491=C491,G491/C491,(INT(G491/B491)+(((G491-B491*INT(G491/B491)))/C491)/100))))</f>
        <v>0</v>
      </c>
      <c r="AS491" s="57">
        <f>IF(ISERROR(IF(B491=C491,H491/C491,(INT(H491/B491)+(((H491-B491*INT(H491/B491)))/C491)/100))),0,(IF(B491=C491,H491/C491,(INT(H491/B491)+(((H491-B491*INT(H491/B491)))/C491)/100))))</f>
        <v>0</v>
      </c>
      <c r="AT491" s="57">
        <f>IF(ISERROR(IF(B491=C491,I491/C491,(INT(I491/B491)+(((I491-B491*INT(I491/B491)))/C491)/100))),0,(IF(B491=C491,I491/C491,(INT(I491/B491)+(((I491-B491*INT(I491/B491)))/C491)/100))))</f>
        <v>0</v>
      </c>
      <c r="AU491" s="57">
        <f>IF(ISERROR(IF(B491=C491,J491/C491,(INT(J491/B491)+(((J491-B491*INT(J491/B491)))/C491)/100))),0,(IF(B491=C491,J491/C491,(INT(J491/B491)+(((J491-B491*INT(J491/B491)))/C491)/100))))</f>
        <v>0</v>
      </c>
      <c r="AV491" s="57">
        <f>IF(ISERROR(IF(B491=C491,K491/C491,IF((INT(K491/B491)+(((K491-B491*INT(K491/B491)))/C491)/100)&lt;0,(INT(K491/B491)+(((K491-B491*INT(K491/B491)))/C491)/100)+(1-(B491/C491/100)),(INT(K491/B491)+(((K491-B491*INT(K491/B491)))/C491)/100)))),0,IF(B491=C491,K491/C491,IF((INT(K491/B491)+(((K491-B491*INT(K491/B491)))/C491)/100)&lt;0,(INT(K491/B491)+(((K491-B491*INT(K491/B491)))/C491)/100)+(1-(B491/C491/100)),(INT(K491/B491)+(((K491-B491*INT(K491/B491)))/C491)/100))))</f>
        <v>0</v>
      </c>
      <c r="AW491" s="57">
        <f>IF(ISERROR(IF(B491=C491,L491/C491,(INT(L491/B491)+(((L491-B491*INT(L491/B491)))/C491)/100))),0,(IF(B491=C491,L491/C491,(INT(L491/B491)+(((L491-B491*INT(L491/B491)))/C491)/100))))</f>
        <v>0</v>
      </c>
      <c r="AX491" s="57">
        <f>IF(ISERROR(IF(B491=C491,M491/C491,(INT(M491/B491)+(((M491-B491*INT(M491/B491)))/C491)/100))),0,(IF(B491=C491,M491/C491,(INT(M491/B491)+(((M491-B491*INT(M491/B491)))/C491)/100))))</f>
        <v>0</v>
      </c>
      <c r="AY491" s="57">
        <f>IF(ISERROR(IF(B491=C491,N491/C491,IF((INT(N491/B491)+(((N491-B491*INT(N491/B491)))/C491)/100)&lt;0,(INT(N491/B491)+(((N491-B491*INT(N491/B491)))/C491)/100)+(1-(B491/C491/100)),(INT(N491/B491)+(((N491-B491*INT(N491/B491)))/C491)/100)))),0,IF(B491=C491,N491/C491,IF((INT(N491/B491)+(((N491-B491*INT(N491/B491)))/C491)/100)&lt;0,(INT(N491/B491)+(((N491-B491*INT(N491/B491)))/C491)/100)+(1-(B491/C491/100)),(INT(N491/B491)+(((N491-B491*INT(N491/B491)))/C491)/100))))</f>
        <v>0</v>
      </c>
      <c r="AZ491" s="57">
        <f>IF(ISERROR(IF(B491=C491,O491/C491,(INT(O491/B491)+(((O491-B491*INT(O491/B491)))/C491)/100))),0,(IF(B491=C491,O491/C491,(INT(O491/B491)+(((O491-B491*INT(O491/B491)))/C491)/100))))</f>
        <v>0</v>
      </c>
      <c r="BA491" s="57">
        <f>IF(ISERROR(IF(B491=C491,P491/C491,IF((INT(P491/B491)+(((P491-B491*INT(P491/B491)))/C491)/100)&lt;0,(INT(P491/B491)+(((P491-B491*INT(P491/B491)))/C491)/100)+(1-(B491/C491/100)),(INT(P491/B491)+(((P491-B491*INT(P491/B491)))/C491)/100)))),0,IF(B491=C491,P491/C491,IF((INT(P491/B491)+(((P491-B491*INT(P491/B491)))/C491)/100)&lt;0,(INT(P491/B491)+(((P491-B491*INT(P491/B491)))/C491)/100)+(1-(B491/C491/100)),(INT(P491/B491)+(((P491-B491*INT(P491/B491)))/C491)/100))))</f>
        <v>0</v>
      </c>
      <c r="BB491" s="28">
        <f>R491</f>
        <v>0</v>
      </c>
      <c r="BC491" s="28">
        <f>S491</f>
        <v>0</v>
      </c>
      <c r="BD491" s="28">
        <f>AF491</f>
        <v>0</v>
      </c>
      <c r="BE491" s="28">
        <f>T491</f>
        <v>0</v>
      </c>
      <c r="BG491" s="57">
        <f>IF(ISERROR(IF(B491=C491,V491/C491,(INT(V491/B491)+(((V491-B491*INT(V491/B491)))/C491)/100))),0,(IF(B491=C491,V491/C491,(INT(V491/B491)+(((V491-B491*INT(V491/B491)))/C491)/100))))</f>
        <v>0</v>
      </c>
      <c r="BH491" s="57">
        <f>IF(ISERROR(IF(B491=C491,W491/C491,(INT(W491/B491)+(((W491-B491*INT(W491/B491)))/C491)/100))),0,(IF(B491=C491,W491/C491,(INT(W491/B491)+(((W491-B491*INT(W491/B491)))/C491)/100))))</f>
        <v>0</v>
      </c>
      <c r="BI491" s="57">
        <f>IF(ISERROR(IF(B491=C491,X491/C491,(INT(X491/B491)+(((X491-B491*INT(X491/B491)))/C491)/100))),0,(IF(B491=C491,X491/C491,(INT(X491/B491)+(((X491-B491*INT(X491/B491)))/C491)/100))))</f>
        <v>0</v>
      </c>
      <c r="BJ491" s="57">
        <f>IF(ISERROR(IF(B491=C491,Y491/C491,(INT(Y491/B491)+(((Y491-B491*INT(Y491/B491)))/C491)/100))),0,(IF(B491=C491,Y491/C491,(INT(Y491/B491)+(((Y491-B491*INT(Y491/B491)))/C491)/100))))</f>
        <v>0</v>
      </c>
      <c r="BL491" s="57">
        <f>IF(ISERROR(IF(B491=C491,AA491/C491,(INT(AA491/B491)+(((AA491-B491*INT(AA491/B491)))/C491)/100))),0,(IF(B491=C491,AA491/C491,(INT(AA491/B491)+(((AA491-B491*INT(AA491/B491)))/C491)/100))))</f>
        <v>0</v>
      </c>
      <c r="BM491" s="57">
        <f>IF(ISERROR(IF(B491=C491,AB491/C491,(INT(AB491/B491)+(((AB491-B491*INT(AB491/B491)))/C491)/100))),0,(IF(B491=C491,AB491/C491,(INT(AB491/B491)+(((AB491-B491*INT(AB491/B491)))/C491)/100))))</f>
        <v>0</v>
      </c>
      <c r="BN491" s="57">
        <f>IF(ISERROR(IF(B491=C491,AC491/C491,(INT(AC491/B491)+(((AC491-B491*INT(AC491/B491)))/C491)/100))),0,(IF(B491=C491,AC491/C491,(INT(AC491/B491)+(((AC491-B491*INT(AC491/B491)))/C491)/100))))</f>
        <v>0</v>
      </c>
      <c r="BO491" s="57">
        <f>IF(ISERROR(IF(B491=C491,AD491/C491,(INT(AD491/B491)+(((AD491-B491*INT(AD491/B491)))/C491)/100))),0,(IF(B491=C491,AD491/C491,(INT(AD491/B491)+(((AD491-B491*INT(AD491/B491)))/C491)/100))))</f>
        <v>0</v>
      </c>
      <c r="BQ491" s="155"/>
    </row>
    <row r="492" spans="1:69" hidden="1" x14ac:dyDescent="0.35">
      <c r="A492" s="94"/>
      <c r="B492" s="113">
        <v>0</v>
      </c>
      <c r="C492" s="113">
        <v>250</v>
      </c>
      <c r="D492" s="28">
        <f>SUM(AA492:AD492)</f>
        <v>0</v>
      </c>
      <c r="E492" s="113">
        <v>0</v>
      </c>
      <c r="F492" s="113">
        <v>0</v>
      </c>
      <c r="G492" s="28">
        <f>SUM(D492:F492)</f>
        <v>0</v>
      </c>
      <c r="H492" s="125">
        <v>0</v>
      </c>
      <c r="I492" s="113">
        <v>0</v>
      </c>
      <c r="J492" s="125">
        <v>0</v>
      </c>
      <c r="K492" s="113">
        <v>0</v>
      </c>
      <c r="L492" s="113">
        <v>0</v>
      </c>
      <c r="M492" s="113">
        <v>0</v>
      </c>
      <c r="N492" s="28">
        <f>G492-SUM(H492:M492)</f>
        <v>0</v>
      </c>
      <c r="O492" s="28">
        <f>SUM(V492:Y492)</f>
        <v>0</v>
      </c>
      <c r="P492" s="28">
        <f>O492-N492</f>
        <v>0</v>
      </c>
      <c r="Q492" s="61" t="str">
        <f>IF(ISERROR(P492/SUM(H492:L492)),"",P492/SUM(H492:L492))</f>
        <v/>
      </c>
      <c r="R492" s="113">
        <v>0</v>
      </c>
      <c r="S492" s="28">
        <f>IF(ISERROR(P492/C492*R492),0,(P492/C492*R492))</f>
        <v>0</v>
      </c>
      <c r="T492" s="60">
        <f>IF(ISERROR(P492/B492*AF492),0,(P492/B492*AF492))</f>
        <v>0</v>
      </c>
      <c r="V492" s="113">
        <v>0</v>
      </c>
      <c r="W492" s="113">
        <v>0</v>
      </c>
      <c r="X492" s="113">
        <v>0</v>
      </c>
      <c r="Y492" s="113">
        <v>0</v>
      </c>
      <c r="AA492" s="113">
        <v>0</v>
      </c>
      <c r="AB492" s="113">
        <v>0</v>
      </c>
      <c r="AC492" s="113">
        <v>0</v>
      </c>
      <c r="AD492" s="113">
        <v>0</v>
      </c>
      <c r="AF492" s="113">
        <v>0</v>
      </c>
      <c r="AG492" s="28">
        <f>G492-O492</f>
        <v>0</v>
      </c>
      <c r="AH492" s="58">
        <f>IF(ISERROR(AG492/B492*AF492),0,(AG492/B492*AF492))</f>
        <v>0</v>
      </c>
      <c r="AI492" s="28">
        <f>SUM(H492:M492)</f>
        <v>0</v>
      </c>
      <c r="AJ492" s="28">
        <f>IF(ISERROR(AI492/B492*AF492),0,(AI492/B492*AF492))</f>
        <v>0</v>
      </c>
      <c r="AK492" s="58">
        <f>IF(ISERROR(O492/B492*AF492),0,(O492/B492*AF492))</f>
        <v>0</v>
      </c>
      <c r="AL492" s="28">
        <f>IF(ISERROR(H492/B492*AF492),0,(H492/B492*AF492))</f>
        <v>0</v>
      </c>
      <c r="AN492" s="51">
        <f>A492</f>
        <v>0</v>
      </c>
      <c r="AO492" s="57">
        <f>IF(ISERROR(IF(B492=C492,D492/C492,(INT(D492/B492)+(((D492-B492*INT(D492/B492)))/C492)/100))),0,(IF(B492=C492,D492/C492,(INT(D492/B492)+(((D492-B492*INT(D492/B492)))/C492)/100))))</f>
        <v>0</v>
      </c>
      <c r="AP492" s="57">
        <f>IF(ISERROR(IF(B492=C492,E492/C492,(INT(E492/B492)+(((E492-B492*INT(E492/B492)))/C492)/100))),0,(IF(B492=C492,E492/C492,(INT(E492/B492)+(((E492-B492*INT(E492/B492)))/C492)/100))))</f>
        <v>0</v>
      </c>
      <c r="AQ492" s="57">
        <f>IF(ISERROR(IF(B492=C492,F492/C492,IF((INT(F492/B492)+(((F492-B492*INT(F492/B492)))/C492)/100)&lt;0,(INT(F492/B492)+(((F492-B492*INT(F492/B492)))/C492)/100)+(1-(B492/C492/100)),(INT(F492/B492)+(((F492-B492*INT(F492/B492)))/C492)/100)))),0,IF(B492=C492,F492/C492,IF((INT(F492/B492)+(((F492-B492*INT(F492/B492)))/C492)/100)&lt;0,(INT(F492/B492)+(((F492-B492*INT(F492/B492)))/C492)/100)+(1-(B492/C492/100)),(INT(F492/B492)+(((F492-B492*INT(F492/B492)))/C492)/100))))</f>
        <v>0</v>
      </c>
      <c r="AR492" s="57">
        <f>IF(ISERROR(IF(B492=C492,G492/C492,(INT(G492/B492)+(((G492-B492*INT(G492/B492)))/C492)/100))),0,(IF(B492=C492,G492/C492,(INT(G492/B492)+(((G492-B492*INT(G492/B492)))/C492)/100))))</f>
        <v>0</v>
      </c>
      <c r="AS492" s="57">
        <f>IF(ISERROR(IF(B492=C492,H492/C492,(INT(H492/B492)+(((H492-B492*INT(H492/B492)))/C492)/100))),0,(IF(B492=C492,H492/C492,(INT(H492/B492)+(((H492-B492*INT(H492/B492)))/C492)/100))))</f>
        <v>0</v>
      </c>
      <c r="AT492" s="57">
        <f>IF(ISERROR(IF(B492=C492,I492/C492,(INT(I492/B492)+(((I492-B492*INT(I492/B492)))/C492)/100))),0,(IF(B492=C492,I492/C492,(INT(I492/B492)+(((I492-B492*INT(I492/B492)))/C492)/100))))</f>
        <v>0</v>
      </c>
      <c r="AU492" s="57">
        <f>IF(ISERROR(IF(B492=C492,J492/C492,(INT(J492/B492)+(((J492-B492*INT(J492/B492)))/C492)/100))),0,(IF(B492=C492,J492/C492,(INT(J492/B492)+(((J492-B492*INT(J492/B492)))/C492)/100))))</f>
        <v>0</v>
      </c>
      <c r="AV492" s="57">
        <f>IF(ISERROR(IF(B492=C492,K492/C492,IF((INT(K492/B492)+(((K492-B492*INT(K492/B492)))/C492)/100)&lt;0,(INT(K492/B492)+(((K492-B492*INT(K492/B492)))/C492)/100)+(1-(B492/C492/100)),(INT(K492/B492)+(((K492-B492*INT(K492/B492)))/C492)/100)))),0,IF(B492=C492,K492/C492,IF((INT(K492/B492)+(((K492-B492*INT(K492/B492)))/C492)/100)&lt;0,(INT(K492/B492)+(((K492-B492*INT(K492/B492)))/C492)/100)+(1-(B492/C492/100)),(INT(K492/B492)+(((K492-B492*INT(K492/B492)))/C492)/100))))</f>
        <v>0</v>
      </c>
      <c r="AW492" s="57">
        <f>IF(ISERROR(IF(B492=C492,L492/C492,(INT(L492/B492)+(((L492-B492*INT(L492/B492)))/C492)/100))),0,(IF(B492=C492,L492/C492,(INT(L492/B492)+(((L492-B492*INT(L492/B492)))/C492)/100))))</f>
        <v>0</v>
      </c>
      <c r="AX492" s="57">
        <f>IF(ISERROR(IF(B492=C492,M492/C492,(INT(M492/B492)+(((M492-B492*INT(M492/B492)))/C492)/100))),0,(IF(B492=C492,M492/C492,(INT(M492/B492)+(((M492-B492*INT(M492/B492)))/C492)/100))))</f>
        <v>0</v>
      </c>
      <c r="AY492" s="57">
        <f>IF(ISERROR(IF(B492=C492,N492/C492,IF((INT(N492/B492)+(((N492-B492*INT(N492/B492)))/C492)/100)&lt;0,(INT(N492/B492)+(((N492-B492*INT(N492/B492)))/C492)/100)+(1-(B492/C492/100)),(INT(N492/B492)+(((N492-B492*INT(N492/B492)))/C492)/100)))),0,IF(B492=C492,N492/C492,IF((INT(N492/B492)+(((N492-B492*INT(N492/B492)))/C492)/100)&lt;0,(INT(N492/B492)+(((N492-B492*INT(N492/B492)))/C492)/100)+(1-(B492/C492/100)),(INT(N492/B492)+(((N492-B492*INT(N492/B492)))/C492)/100))))</f>
        <v>0</v>
      </c>
      <c r="AZ492" s="57">
        <f>IF(ISERROR(IF(B492=C492,O492/C492,(INT(O492/B492)+(((O492-B492*INT(O492/B492)))/C492)/100))),0,(IF(B492=C492,O492/C492,(INT(O492/B492)+(((O492-B492*INT(O492/B492)))/C492)/100))))</f>
        <v>0</v>
      </c>
      <c r="BA492" s="57">
        <f>IF(ISERROR(IF(B492=C492,P492/C492,IF((INT(P492/B492)+(((P492-B492*INT(P492/B492)))/C492)/100)&lt;0,(INT(P492/B492)+(((P492-B492*INT(P492/B492)))/C492)/100)+(1-(B492/C492/100)),(INT(P492/B492)+(((P492-B492*INT(P492/B492)))/C492)/100)))),0,IF(B492=C492,P492/C492,IF((INT(P492/B492)+(((P492-B492*INT(P492/B492)))/C492)/100)&lt;0,(INT(P492/B492)+(((P492-B492*INT(P492/B492)))/C492)/100)+(1-(B492/C492/100)),(INT(P492/B492)+(((P492-B492*INT(P492/B492)))/C492)/100))))</f>
        <v>0</v>
      </c>
      <c r="BB492" s="28">
        <f>R492</f>
        <v>0</v>
      </c>
      <c r="BC492" s="28">
        <f>S492</f>
        <v>0</v>
      </c>
      <c r="BD492" s="28">
        <f>AF492</f>
        <v>0</v>
      </c>
      <c r="BE492" s="28">
        <f>T492</f>
        <v>0</v>
      </c>
      <c r="BG492" s="57">
        <f>IF(ISERROR(IF(B492=C492,V492/C492,(INT(V492/B492)+(((V492-B492*INT(V492/B492)))/C492)/100))),0,(IF(B492=C492,V492/C492,(INT(V492/B492)+(((V492-B492*INT(V492/B492)))/C492)/100))))</f>
        <v>0</v>
      </c>
      <c r="BH492" s="57">
        <f>IF(ISERROR(IF(B492=C492,W492/C492,(INT(W492/B492)+(((W492-B492*INT(W492/B492)))/C492)/100))),0,(IF(B492=C492,W492/C492,(INT(W492/B492)+(((W492-B492*INT(W492/B492)))/C492)/100))))</f>
        <v>0</v>
      </c>
      <c r="BI492" s="57">
        <f>IF(ISERROR(IF(B492=C492,X492/C492,(INT(X492/B492)+(((X492-B492*INT(X492/B492)))/C492)/100))),0,(IF(B492=C492,X492/C492,(INT(X492/B492)+(((X492-B492*INT(X492/B492)))/C492)/100))))</f>
        <v>0</v>
      </c>
      <c r="BJ492" s="57">
        <f>IF(ISERROR(IF(B492=C492,Y492/C492,(INT(Y492/B492)+(((Y492-B492*INT(Y492/B492)))/C492)/100))),0,(IF(B492=C492,Y492/C492,(INT(Y492/B492)+(((Y492-B492*INT(Y492/B492)))/C492)/100))))</f>
        <v>0</v>
      </c>
      <c r="BL492" s="57">
        <f>IF(ISERROR(IF(B492=C492,AA492/C492,(INT(AA492/B492)+(((AA492-B492*INT(AA492/B492)))/C492)/100))),0,(IF(B492=C492,AA492/C492,(INT(AA492/B492)+(((AA492-B492*INT(AA492/B492)))/C492)/100))))</f>
        <v>0</v>
      </c>
      <c r="BM492" s="57">
        <f>IF(ISERROR(IF(B492=C492,AB492/C492,(INT(AB492/B492)+(((AB492-B492*INT(AB492/B492)))/C492)/100))),0,(IF(B492=C492,AB492/C492,(INT(AB492/B492)+(((AB492-B492*INT(AB492/B492)))/C492)/100))))</f>
        <v>0</v>
      </c>
      <c r="BN492" s="57">
        <f>IF(ISERROR(IF(B492=C492,AC492/C492,(INT(AC492/B492)+(((AC492-B492*INT(AC492/B492)))/C492)/100))),0,(IF(B492=C492,AC492/C492,(INT(AC492/B492)+(((AC492-B492*INT(AC492/B492)))/C492)/100))))</f>
        <v>0</v>
      </c>
      <c r="BO492" s="57">
        <f>IF(ISERROR(IF(B492=C492,AD492/C492,(INT(AD492/B492)+(((AD492-B492*INT(AD492/B492)))/C492)/100))),0,(IF(B492=C492,AD492/C492,(INT(AD492/B492)+(((AD492-B492*INT(AD492/B492)))/C492)/100))))</f>
        <v>0</v>
      </c>
      <c r="BQ492" s="155"/>
    </row>
    <row r="493" spans="1:69" hidden="1" x14ac:dyDescent="0.35">
      <c r="A493" s="94"/>
      <c r="B493" s="113">
        <v>0</v>
      </c>
      <c r="C493" s="113">
        <v>250</v>
      </c>
      <c r="D493" s="28">
        <f>SUM(AA493:AD493)</f>
        <v>0</v>
      </c>
      <c r="E493" s="113">
        <v>0</v>
      </c>
      <c r="F493" s="113">
        <v>0</v>
      </c>
      <c r="G493" s="28">
        <f>SUM(D493:F493)</f>
        <v>0</v>
      </c>
      <c r="H493" s="125">
        <v>0</v>
      </c>
      <c r="I493" s="113">
        <v>0</v>
      </c>
      <c r="J493" s="125">
        <v>0</v>
      </c>
      <c r="K493" s="113">
        <v>0</v>
      </c>
      <c r="L493" s="113">
        <v>0</v>
      </c>
      <c r="M493" s="113">
        <v>0</v>
      </c>
      <c r="N493" s="28">
        <f>G493-SUM(H493:M493)</f>
        <v>0</v>
      </c>
      <c r="O493" s="28">
        <f>SUM(V493:Y493)</f>
        <v>0</v>
      </c>
      <c r="P493" s="28">
        <f>O493-N493</f>
        <v>0</v>
      </c>
      <c r="Q493" s="61" t="str">
        <f>IF(ISERROR(P493/SUM(H493:L493)),"",P493/SUM(H493:L493))</f>
        <v/>
      </c>
      <c r="R493" s="113">
        <v>0</v>
      </c>
      <c r="S493" s="28">
        <f>IF(ISERROR(P493/C493*R493),0,(P493/C493*R493))</f>
        <v>0</v>
      </c>
      <c r="T493" s="60">
        <f>IF(ISERROR(P493/B493*AF493),0,(P493/B493*AF493))</f>
        <v>0</v>
      </c>
      <c r="V493" s="113">
        <v>0</v>
      </c>
      <c r="W493" s="113">
        <v>0</v>
      </c>
      <c r="X493" s="113">
        <v>0</v>
      </c>
      <c r="Y493" s="113">
        <v>0</v>
      </c>
      <c r="AA493" s="113">
        <v>0</v>
      </c>
      <c r="AB493" s="113">
        <v>0</v>
      </c>
      <c r="AC493" s="113">
        <v>0</v>
      </c>
      <c r="AD493" s="113">
        <v>0</v>
      </c>
      <c r="AF493" s="113">
        <v>0</v>
      </c>
      <c r="AG493" s="28">
        <f>G493-O493</f>
        <v>0</v>
      </c>
      <c r="AH493" s="58">
        <f>IF(ISERROR(AG493/B493*AF493),0,(AG493/B493*AF493))</f>
        <v>0</v>
      </c>
      <c r="AI493" s="28">
        <f>SUM(H493:M493)</f>
        <v>0</v>
      </c>
      <c r="AJ493" s="28">
        <f>IF(ISERROR(AI493/B493*AF493),0,(AI493/B493*AF493))</f>
        <v>0</v>
      </c>
      <c r="AK493" s="58">
        <f>IF(ISERROR(O493/B493*AF493),0,(O493/B493*AF493))</f>
        <v>0</v>
      </c>
      <c r="AL493" s="28">
        <f>IF(ISERROR(H493/B493*AF493),0,(H493/B493*AF493))</f>
        <v>0</v>
      </c>
      <c r="AN493" s="51">
        <f>A493</f>
        <v>0</v>
      </c>
      <c r="AO493" s="57">
        <f>IF(ISERROR(IF(B493=C493,D493/C493,(INT(D493/B493)+(((D493-B493*INT(D493/B493)))/C493)/100))),0,(IF(B493=C493,D493/C493,(INT(D493/B493)+(((D493-B493*INT(D493/B493)))/C493)/100))))</f>
        <v>0</v>
      </c>
      <c r="AP493" s="57">
        <f>IF(ISERROR(IF(B493=C493,E493/C493,(INT(E493/B493)+(((E493-B493*INT(E493/B493)))/C493)/100))),0,(IF(B493=C493,E493/C493,(INT(E493/B493)+(((E493-B493*INT(E493/B493)))/C493)/100))))</f>
        <v>0</v>
      </c>
      <c r="AQ493" s="57">
        <f>IF(ISERROR(IF(B493=C493,F493/C493,IF((INT(F493/B493)+(((F493-B493*INT(F493/B493)))/C493)/100)&lt;0,(INT(F493/B493)+(((F493-B493*INT(F493/B493)))/C493)/100)+(1-(B493/C493/100)),(INT(F493/B493)+(((F493-B493*INT(F493/B493)))/C493)/100)))),0,IF(B493=C493,F493/C493,IF((INT(F493/B493)+(((F493-B493*INT(F493/B493)))/C493)/100)&lt;0,(INT(F493/B493)+(((F493-B493*INT(F493/B493)))/C493)/100)+(1-(B493/C493/100)),(INT(F493/B493)+(((F493-B493*INT(F493/B493)))/C493)/100))))</f>
        <v>0</v>
      </c>
      <c r="AR493" s="57">
        <f>IF(ISERROR(IF(B493=C493,G493/C493,(INT(G493/B493)+(((G493-B493*INT(G493/B493)))/C493)/100))),0,(IF(B493=C493,G493/C493,(INT(G493/B493)+(((G493-B493*INT(G493/B493)))/C493)/100))))</f>
        <v>0</v>
      </c>
      <c r="AS493" s="57">
        <f>IF(ISERROR(IF(B493=C493,H493/C493,(INT(H493/B493)+(((H493-B493*INT(H493/B493)))/C493)/100))),0,(IF(B493=C493,H493/C493,(INT(H493/B493)+(((H493-B493*INT(H493/B493)))/C493)/100))))</f>
        <v>0</v>
      </c>
      <c r="AT493" s="57">
        <f>IF(ISERROR(IF(B493=C493,I493/C493,(INT(I493/B493)+(((I493-B493*INT(I493/B493)))/C493)/100))),0,(IF(B493=C493,I493/C493,(INT(I493/B493)+(((I493-B493*INT(I493/B493)))/C493)/100))))</f>
        <v>0</v>
      </c>
      <c r="AU493" s="57">
        <f>IF(ISERROR(IF(B493=C493,J493/C493,(INT(J493/B493)+(((J493-B493*INT(J493/B493)))/C493)/100))),0,(IF(B493=C493,J493/C493,(INT(J493/B493)+(((J493-B493*INT(J493/B493)))/C493)/100))))</f>
        <v>0</v>
      </c>
      <c r="AV493" s="57">
        <f>IF(ISERROR(IF(B493=C493,K493/C493,IF((INT(K493/B493)+(((K493-B493*INT(K493/B493)))/C493)/100)&lt;0,(INT(K493/B493)+(((K493-B493*INT(K493/B493)))/C493)/100)+(1-(B493/C493/100)),(INT(K493/B493)+(((K493-B493*INT(K493/B493)))/C493)/100)))),0,IF(B493=C493,K493/C493,IF((INT(K493/B493)+(((K493-B493*INT(K493/B493)))/C493)/100)&lt;0,(INT(K493/B493)+(((K493-B493*INT(K493/B493)))/C493)/100)+(1-(B493/C493/100)),(INT(K493/B493)+(((K493-B493*INT(K493/B493)))/C493)/100))))</f>
        <v>0</v>
      </c>
      <c r="AW493" s="57">
        <f>IF(ISERROR(IF(B493=C493,L493/C493,(INT(L493/B493)+(((L493-B493*INT(L493/B493)))/C493)/100))),0,(IF(B493=C493,L493/C493,(INT(L493/B493)+(((L493-B493*INT(L493/B493)))/C493)/100))))</f>
        <v>0</v>
      </c>
      <c r="AX493" s="57">
        <f>IF(ISERROR(IF(B493=C493,M493/C493,(INT(M493/B493)+(((M493-B493*INT(M493/B493)))/C493)/100))),0,(IF(B493=C493,M493/C493,(INT(M493/B493)+(((M493-B493*INT(M493/B493)))/C493)/100))))</f>
        <v>0</v>
      </c>
      <c r="AY493" s="57">
        <f>IF(ISERROR(IF(B493=C493,N493/C493,IF((INT(N493/B493)+(((N493-B493*INT(N493/B493)))/C493)/100)&lt;0,(INT(N493/B493)+(((N493-B493*INT(N493/B493)))/C493)/100)+(1-(B493/C493/100)),(INT(N493/B493)+(((N493-B493*INT(N493/B493)))/C493)/100)))),0,IF(B493=C493,N493/C493,IF((INT(N493/B493)+(((N493-B493*INT(N493/B493)))/C493)/100)&lt;0,(INT(N493/B493)+(((N493-B493*INT(N493/B493)))/C493)/100)+(1-(B493/C493/100)),(INT(N493/B493)+(((N493-B493*INT(N493/B493)))/C493)/100))))</f>
        <v>0</v>
      </c>
      <c r="AZ493" s="57">
        <f>IF(ISERROR(IF(B493=C493,O493/C493,(INT(O493/B493)+(((O493-B493*INT(O493/B493)))/C493)/100))),0,(IF(B493=C493,O493/C493,(INT(O493/B493)+(((O493-B493*INT(O493/B493)))/C493)/100))))</f>
        <v>0</v>
      </c>
      <c r="BA493" s="57">
        <f>IF(ISERROR(IF(B493=C493,P493/C493,IF((INT(P493/B493)+(((P493-B493*INT(P493/B493)))/C493)/100)&lt;0,(INT(P493/B493)+(((P493-B493*INT(P493/B493)))/C493)/100)+(1-(B493/C493/100)),(INT(P493/B493)+(((P493-B493*INT(P493/B493)))/C493)/100)))),0,IF(B493=C493,P493/C493,IF((INT(P493/B493)+(((P493-B493*INT(P493/B493)))/C493)/100)&lt;0,(INT(P493/B493)+(((P493-B493*INT(P493/B493)))/C493)/100)+(1-(B493/C493/100)),(INT(P493/B493)+(((P493-B493*INT(P493/B493)))/C493)/100))))</f>
        <v>0</v>
      </c>
      <c r="BB493" s="28">
        <f>R493</f>
        <v>0</v>
      </c>
      <c r="BC493" s="28">
        <f>S493</f>
        <v>0</v>
      </c>
      <c r="BD493" s="28">
        <f>AF493</f>
        <v>0</v>
      </c>
      <c r="BE493" s="28">
        <f>T493</f>
        <v>0</v>
      </c>
      <c r="BG493" s="57">
        <f>IF(ISERROR(IF(B493=C493,V493/C493,(INT(V493/B493)+(((V493-B493*INT(V493/B493)))/C493)/100))),0,(IF(B493=C493,V493/C493,(INT(V493/B493)+(((V493-B493*INT(V493/B493)))/C493)/100))))</f>
        <v>0</v>
      </c>
      <c r="BH493" s="57">
        <f>IF(ISERROR(IF(B493=C493,W493/C493,(INT(W493/B493)+(((W493-B493*INT(W493/B493)))/C493)/100))),0,(IF(B493=C493,W493/C493,(INT(W493/B493)+(((W493-B493*INT(W493/B493)))/C493)/100))))</f>
        <v>0</v>
      </c>
      <c r="BI493" s="57">
        <f>IF(ISERROR(IF(B493=C493,X493/C493,(INT(X493/B493)+(((X493-B493*INT(X493/B493)))/C493)/100))),0,(IF(B493=C493,X493/C493,(INT(X493/B493)+(((X493-B493*INT(X493/B493)))/C493)/100))))</f>
        <v>0</v>
      </c>
      <c r="BJ493" s="57">
        <f>IF(ISERROR(IF(B493=C493,Y493/C493,(INT(Y493/B493)+(((Y493-B493*INT(Y493/B493)))/C493)/100))),0,(IF(B493=C493,Y493/C493,(INT(Y493/B493)+(((Y493-B493*INT(Y493/B493)))/C493)/100))))</f>
        <v>0</v>
      </c>
      <c r="BL493" s="57">
        <f>IF(ISERROR(IF(B493=C493,AA493/C493,(INT(AA493/B493)+(((AA493-B493*INT(AA493/B493)))/C493)/100))),0,(IF(B493=C493,AA493/C493,(INT(AA493/B493)+(((AA493-B493*INT(AA493/B493)))/C493)/100))))</f>
        <v>0</v>
      </c>
      <c r="BM493" s="57">
        <f>IF(ISERROR(IF(B493=C493,AB493/C493,(INT(AB493/B493)+(((AB493-B493*INT(AB493/B493)))/C493)/100))),0,(IF(B493=C493,AB493/C493,(INT(AB493/B493)+(((AB493-B493*INT(AB493/B493)))/C493)/100))))</f>
        <v>0</v>
      </c>
      <c r="BN493" s="57">
        <f>IF(ISERROR(IF(B493=C493,AC493/C493,(INT(AC493/B493)+(((AC493-B493*INT(AC493/B493)))/C493)/100))),0,(IF(B493=C493,AC493/C493,(INT(AC493/B493)+(((AC493-B493*INT(AC493/B493)))/C493)/100))))</f>
        <v>0</v>
      </c>
      <c r="BO493" s="57">
        <f>IF(ISERROR(IF(B493=C493,AD493/C493,(INT(AD493/B493)+(((AD493-B493*INT(AD493/B493)))/C493)/100))),0,(IF(B493=C493,AD493/C493,(INT(AD493/B493)+(((AD493-B493*INT(AD493/B493)))/C493)/100))))</f>
        <v>0</v>
      </c>
      <c r="BQ493" s="155"/>
    </row>
    <row r="494" spans="1:69" hidden="1" x14ac:dyDescent="0.35">
      <c r="A494" s="94"/>
      <c r="B494" s="113">
        <v>0</v>
      </c>
      <c r="C494" s="113">
        <v>250</v>
      </c>
      <c r="D494" s="28">
        <f>SUM(AA494:AD494)</f>
        <v>0</v>
      </c>
      <c r="E494" s="113">
        <v>0</v>
      </c>
      <c r="F494" s="113">
        <v>0</v>
      </c>
      <c r="G494" s="28">
        <f>SUM(D494:F494)</f>
        <v>0</v>
      </c>
      <c r="H494" s="125">
        <v>0</v>
      </c>
      <c r="I494" s="113">
        <v>0</v>
      </c>
      <c r="J494" s="125">
        <v>0</v>
      </c>
      <c r="K494" s="113">
        <v>0</v>
      </c>
      <c r="L494" s="113">
        <v>0</v>
      </c>
      <c r="M494" s="113">
        <v>0</v>
      </c>
      <c r="N494" s="28">
        <f>G494-SUM(H494:M494)</f>
        <v>0</v>
      </c>
      <c r="O494" s="28">
        <f>SUM(V494:Y494)</f>
        <v>0</v>
      </c>
      <c r="P494" s="28">
        <f>O494-N494</f>
        <v>0</v>
      </c>
      <c r="Q494" s="61" t="str">
        <f>IF(ISERROR(P494/SUM(H494:L494)),"",P494/SUM(H494:L494))</f>
        <v/>
      </c>
      <c r="R494" s="113">
        <v>0</v>
      </c>
      <c r="S494" s="28">
        <f>IF(ISERROR(P494/C494*R494),0,(P494/C494*R494))</f>
        <v>0</v>
      </c>
      <c r="T494" s="60">
        <f>IF(ISERROR(P494/B494*AF494),0,(P494/B494*AF494))</f>
        <v>0</v>
      </c>
      <c r="V494" s="113">
        <v>0</v>
      </c>
      <c r="W494" s="113">
        <v>0</v>
      </c>
      <c r="X494" s="113">
        <v>0</v>
      </c>
      <c r="Y494" s="113">
        <v>0</v>
      </c>
      <c r="AA494" s="113">
        <v>0</v>
      </c>
      <c r="AB494" s="113">
        <v>0</v>
      </c>
      <c r="AC494" s="113">
        <v>0</v>
      </c>
      <c r="AD494" s="113">
        <v>0</v>
      </c>
      <c r="AF494" s="113">
        <v>0</v>
      </c>
      <c r="AG494" s="28">
        <f>G494-O494</f>
        <v>0</v>
      </c>
      <c r="AH494" s="58">
        <f>IF(ISERROR(AG494/B494*AF494),0,(AG494/B494*AF494))</f>
        <v>0</v>
      </c>
      <c r="AI494" s="28">
        <f>SUM(H494:M494)</f>
        <v>0</v>
      </c>
      <c r="AJ494" s="28">
        <f>IF(ISERROR(AI494/B494*AF494),0,(AI494/B494*AF494))</f>
        <v>0</v>
      </c>
      <c r="AK494" s="58">
        <f>IF(ISERROR(O494/B494*AF494),0,(O494/B494*AF494))</f>
        <v>0</v>
      </c>
      <c r="AL494" s="28">
        <f>IF(ISERROR(H494/B494*AF494),0,(H494/B494*AF494))</f>
        <v>0</v>
      </c>
      <c r="AN494" s="51">
        <f>A494</f>
        <v>0</v>
      </c>
      <c r="AO494" s="57">
        <f>IF(ISERROR(IF(B494=C494,D494/C494,(INT(D494/B494)+(((D494-B494*INT(D494/B494)))/C494)/100))),0,(IF(B494=C494,D494/C494,(INT(D494/B494)+(((D494-B494*INT(D494/B494)))/C494)/100))))</f>
        <v>0</v>
      </c>
      <c r="AP494" s="57">
        <f>IF(ISERROR(IF(B494=C494,E494/C494,(INT(E494/B494)+(((E494-B494*INT(E494/B494)))/C494)/100))),0,(IF(B494=C494,E494/C494,(INT(E494/B494)+(((E494-B494*INT(E494/B494)))/C494)/100))))</f>
        <v>0</v>
      </c>
      <c r="AQ494" s="57">
        <f>IF(ISERROR(IF(B494=C494,F494/C494,IF((INT(F494/B494)+(((F494-B494*INT(F494/B494)))/C494)/100)&lt;0,(INT(F494/B494)+(((F494-B494*INT(F494/B494)))/C494)/100)+(1-(B494/C494/100)),(INT(F494/B494)+(((F494-B494*INT(F494/B494)))/C494)/100)))),0,IF(B494=C494,F494/C494,IF((INT(F494/B494)+(((F494-B494*INT(F494/B494)))/C494)/100)&lt;0,(INT(F494/B494)+(((F494-B494*INT(F494/B494)))/C494)/100)+(1-(B494/C494/100)),(INT(F494/B494)+(((F494-B494*INT(F494/B494)))/C494)/100))))</f>
        <v>0</v>
      </c>
      <c r="AR494" s="57">
        <f>IF(ISERROR(IF(B494=C494,G494/C494,(INT(G494/B494)+(((G494-B494*INT(G494/B494)))/C494)/100))),0,(IF(B494=C494,G494/C494,(INT(G494/B494)+(((G494-B494*INT(G494/B494)))/C494)/100))))</f>
        <v>0</v>
      </c>
      <c r="AS494" s="57">
        <f>IF(ISERROR(IF(B494=C494,H494/C494,(INT(H494/B494)+(((H494-B494*INT(H494/B494)))/C494)/100))),0,(IF(B494=C494,H494/C494,(INT(H494/B494)+(((H494-B494*INT(H494/B494)))/C494)/100))))</f>
        <v>0</v>
      </c>
      <c r="AT494" s="57">
        <f>IF(ISERROR(IF(B494=C494,I494/C494,(INT(I494/B494)+(((I494-B494*INT(I494/B494)))/C494)/100))),0,(IF(B494=C494,I494/C494,(INT(I494/B494)+(((I494-B494*INT(I494/B494)))/C494)/100))))</f>
        <v>0</v>
      </c>
      <c r="AU494" s="57">
        <f>IF(ISERROR(IF(B494=C494,J494/C494,(INT(J494/B494)+(((J494-B494*INT(J494/B494)))/C494)/100))),0,(IF(B494=C494,J494/C494,(INT(J494/B494)+(((J494-B494*INT(J494/B494)))/C494)/100))))</f>
        <v>0</v>
      </c>
      <c r="AV494" s="57">
        <f>IF(ISERROR(IF(B494=C494,K494/C494,IF((INT(K494/B494)+(((K494-B494*INT(K494/B494)))/C494)/100)&lt;0,(INT(K494/B494)+(((K494-B494*INT(K494/B494)))/C494)/100)+(1-(B494/C494/100)),(INT(K494/B494)+(((K494-B494*INT(K494/B494)))/C494)/100)))),0,IF(B494=C494,K494/C494,IF((INT(K494/B494)+(((K494-B494*INT(K494/B494)))/C494)/100)&lt;0,(INT(K494/B494)+(((K494-B494*INT(K494/B494)))/C494)/100)+(1-(B494/C494/100)),(INT(K494/B494)+(((K494-B494*INT(K494/B494)))/C494)/100))))</f>
        <v>0</v>
      </c>
      <c r="AW494" s="57">
        <f>IF(ISERROR(IF(B494=C494,L494/C494,(INT(L494/B494)+(((L494-B494*INT(L494/B494)))/C494)/100))),0,(IF(B494=C494,L494/C494,(INT(L494/B494)+(((L494-B494*INT(L494/B494)))/C494)/100))))</f>
        <v>0</v>
      </c>
      <c r="AX494" s="57">
        <f>IF(ISERROR(IF(B494=C494,M494/C494,(INT(M494/B494)+(((M494-B494*INT(M494/B494)))/C494)/100))),0,(IF(B494=C494,M494/C494,(INT(M494/B494)+(((M494-B494*INT(M494/B494)))/C494)/100))))</f>
        <v>0</v>
      </c>
      <c r="AY494" s="57">
        <f>IF(ISERROR(IF(B494=C494,N494/C494,IF((INT(N494/B494)+(((N494-B494*INT(N494/B494)))/C494)/100)&lt;0,(INT(N494/B494)+(((N494-B494*INT(N494/B494)))/C494)/100)+(1-(B494/C494/100)),(INT(N494/B494)+(((N494-B494*INT(N494/B494)))/C494)/100)))),0,IF(B494=C494,N494/C494,IF((INT(N494/B494)+(((N494-B494*INT(N494/B494)))/C494)/100)&lt;0,(INT(N494/B494)+(((N494-B494*INT(N494/B494)))/C494)/100)+(1-(B494/C494/100)),(INT(N494/B494)+(((N494-B494*INT(N494/B494)))/C494)/100))))</f>
        <v>0</v>
      </c>
      <c r="AZ494" s="57">
        <f>IF(ISERROR(IF(B494=C494,O494/C494,(INT(O494/B494)+(((O494-B494*INT(O494/B494)))/C494)/100))),0,(IF(B494=C494,O494/C494,(INT(O494/B494)+(((O494-B494*INT(O494/B494)))/C494)/100))))</f>
        <v>0</v>
      </c>
      <c r="BA494" s="57">
        <f>IF(ISERROR(IF(B494=C494,P494/C494,IF((INT(P494/B494)+(((P494-B494*INT(P494/B494)))/C494)/100)&lt;0,(INT(P494/B494)+(((P494-B494*INT(P494/B494)))/C494)/100)+(1-(B494/C494/100)),(INT(P494/B494)+(((P494-B494*INT(P494/B494)))/C494)/100)))),0,IF(B494=C494,P494/C494,IF((INT(P494/B494)+(((P494-B494*INT(P494/B494)))/C494)/100)&lt;0,(INT(P494/B494)+(((P494-B494*INT(P494/B494)))/C494)/100)+(1-(B494/C494/100)),(INT(P494/B494)+(((P494-B494*INT(P494/B494)))/C494)/100))))</f>
        <v>0</v>
      </c>
      <c r="BB494" s="28">
        <f>R494</f>
        <v>0</v>
      </c>
      <c r="BC494" s="28">
        <f>S494</f>
        <v>0</v>
      </c>
      <c r="BD494" s="28">
        <f>AF494</f>
        <v>0</v>
      </c>
      <c r="BE494" s="28">
        <f>T494</f>
        <v>0</v>
      </c>
      <c r="BG494" s="57">
        <f>IF(ISERROR(IF(B494=C494,V494/C494,(INT(V494/B494)+(((V494-B494*INT(V494/B494)))/C494)/100))),0,(IF(B494=C494,V494/C494,(INT(V494/B494)+(((V494-B494*INT(V494/B494)))/C494)/100))))</f>
        <v>0</v>
      </c>
      <c r="BH494" s="57">
        <f>IF(ISERROR(IF(B494=C494,W494/C494,(INT(W494/B494)+(((W494-B494*INT(W494/B494)))/C494)/100))),0,(IF(B494=C494,W494/C494,(INT(W494/B494)+(((W494-B494*INT(W494/B494)))/C494)/100))))</f>
        <v>0</v>
      </c>
      <c r="BI494" s="57">
        <f>IF(ISERROR(IF(B494=C494,X494/C494,(INT(X494/B494)+(((X494-B494*INT(X494/B494)))/C494)/100))),0,(IF(B494=C494,X494/C494,(INT(X494/B494)+(((X494-B494*INT(X494/B494)))/C494)/100))))</f>
        <v>0</v>
      </c>
      <c r="BJ494" s="57">
        <f>IF(ISERROR(IF(B494=C494,Y494/C494,(INT(Y494/B494)+(((Y494-B494*INT(Y494/B494)))/C494)/100))),0,(IF(B494=C494,Y494/C494,(INT(Y494/B494)+(((Y494-B494*INT(Y494/B494)))/C494)/100))))</f>
        <v>0</v>
      </c>
      <c r="BL494" s="57">
        <f>IF(ISERROR(IF(B494=C494,AA494/C494,(INT(AA494/B494)+(((AA494-B494*INT(AA494/B494)))/C494)/100))),0,(IF(B494=C494,AA494/C494,(INT(AA494/B494)+(((AA494-B494*INT(AA494/B494)))/C494)/100))))</f>
        <v>0</v>
      </c>
      <c r="BM494" s="57">
        <f>IF(ISERROR(IF(B494=C494,AB494/C494,(INT(AB494/B494)+(((AB494-B494*INT(AB494/B494)))/C494)/100))),0,(IF(B494=C494,AB494/C494,(INT(AB494/B494)+(((AB494-B494*INT(AB494/B494)))/C494)/100))))</f>
        <v>0</v>
      </c>
      <c r="BN494" s="57">
        <f>IF(ISERROR(IF(B494=C494,AC494/C494,(INT(AC494/B494)+(((AC494-B494*INT(AC494/B494)))/C494)/100))),0,(IF(B494=C494,AC494/C494,(INT(AC494/B494)+(((AC494-B494*INT(AC494/B494)))/C494)/100))))</f>
        <v>0</v>
      </c>
      <c r="BO494" s="57">
        <f>IF(ISERROR(IF(B494=C494,AD494/C494,(INT(AD494/B494)+(((AD494-B494*INT(AD494/B494)))/C494)/100))),0,(IF(B494=C494,AD494/C494,(INT(AD494/B494)+(((AD494-B494*INT(AD494/B494)))/C494)/100))))</f>
        <v>0</v>
      </c>
      <c r="BQ494" s="155"/>
    </row>
    <row r="495" spans="1:69" hidden="1" x14ac:dyDescent="0.35">
      <c r="A495" s="94"/>
      <c r="B495" s="113">
        <v>0</v>
      </c>
      <c r="C495" s="113">
        <v>250</v>
      </c>
      <c r="D495" s="28">
        <f>SUM(AA495:AD495)</f>
        <v>0</v>
      </c>
      <c r="E495" s="113">
        <v>0</v>
      </c>
      <c r="F495" s="113">
        <v>0</v>
      </c>
      <c r="G495" s="28">
        <f>SUM(D495:F495)</f>
        <v>0</v>
      </c>
      <c r="H495" s="125">
        <v>0</v>
      </c>
      <c r="I495" s="113">
        <v>0</v>
      </c>
      <c r="J495" s="125">
        <v>0</v>
      </c>
      <c r="K495" s="113">
        <v>0</v>
      </c>
      <c r="L495" s="113">
        <v>0</v>
      </c>
      <c r="M495" s="113">
        <v>0</v>
      </c>
      <c r="N495" s="28">
        <f>G495-SUM(H495:M495)</f>
        <v>0</v>
      </c>
      <c r="O495" s="28">
        <f>SUM(V495:Y495)</f>
        <v>0</v>
      </c>
      <c r="P495" s="28">
        <f>O495-N495</f>
        <v>0</v>
      </c>
      <c r="Q495" s="61" t="str">
        <f>IF(ISERROR(P495/SUM(H495:L495)),"",P495/SUM(H495:L495))</f>
        <v/>
      </c>
      <c r="R495" s="113">
        <v>0</v>
      </c>
      <c r="S495" s="28">
        <f>IF(ISERROR(P495/C495*R495),0,(P495/C495*R495))</f>
        <v>0</v>
      </c>
      <c r="T495" s="60">
        <f>IF(ISERROR(P495/B495*AF495),0,(P495/B495*AF495))</f>
        <v>0</v>
      </c>
      <c r="V495" s="113">
        <v>0</v>
      </c>
      <c r="W495" s="113">
        <v>0</v>
      </c>
      <c r="X495" s="113">
        <v>0</v>
      </c>
      <c r="Y495" s="113">
        <v>0</v>
      </c>
      <c r="AA495" s="113">
        <v>0</v>
      </c>
      <c r="AB495" s="113">
        <v>0</v>
      </c>
      <c r="AC495" s="113">
        <v>0</v>
      </c>
      <c r="AD495" s="113">
        <v>0</v>
      </c>
      <c r="AF495" s="113">
        <v>0</v>
      </c>
      <c r="AG495" s="28">
        <f>G495-O495</f>
        <v>0</v>
      </c>
      <c r="AH495" s="58">
        <f>IF(ISERROR(AG495/B495*AF495),0,(AG495/B495*AF495))</f>
        <v>0</v>
      </c>
      <c r="AI495" s="28">
        <f>SUM(H495:M495)</f>
        <v>0</v>
      </c>
      <c r="AJ495" s="28">
        <f>IF(ISERROR(AI495/B495*AF495),0,(AI495/B495*AF495))</f>
        <v>0</v>
      </c>
      <c r="AK495" s="58">
        <f>IF(ISERROR(O495/B495*AF495),0,(O495/B495*AF495))</f>
        <v>0</v>
      </c>
      <c r="AL495" s="28">
        <f>IF(ISERROR(H495/B495*AF495),0,(H495/B495*AF495))</f>
        <v>0</v>
      </c>
      <c r="AN495" s="51">
        <f>A495</f>
        <v>0</v>
      </c>
      <c r="AO495" s="57">
        <f>IF(ISERROR(IF(B495=C495,D495/C495,(INT(D495/B495)+(((D495-B495*INT(D495/B495)))/C495)/100))),0,(IF(B495=C495,D495/C495,(INT(D495/B495)+(((D495-B495*INT(D495/B495)))/C495)/100))))</f>
        <v>0</v>
      </c>
      <c r="AP495" s="57">
        <f>IF(ISERROR(IF(B495=C495,E495/C495,(INT(E495/B495)+(((E495-B495*INT(E495/B495)))/C495)/100))),0,(IF(B495=C495,E495/C495,(INT(E495/B495)+(((E495-B495*INT(E495/B495)))/C495)/100))))</f>
        <v>0</v>
      </c>
      <c r="AQ495" s="57">
        <f>IF(ISERROR(IF(B495=C495,F495/C495,IF((INT(F495/B495)+(((F495-B495*INT(F495/B495)))/C495)/100)&lt;0,(INT(F495/B495)+(((F495-B495*INT(F495/B495)))/C495)/100)+(1-(B495/C495/100)),(INT(F495/B495)+(((F495-B495*INT(F495/B495)))/C495)/100)))),0,IF(B495=C495,F495/C495,IF((INT(F495/B495)+(((F495-B495*INT(F495/B495)))/C495)/100)&lt;0,(INT(F495/B495)+(((F495-B495*INT(F495/B495)))/C495)/100)+(1-(B495/C495/100)),(INT(F495/B495)+(((F495-B495*INT(F495/B495)))/C495)/100))))</f>
        <v>0</v>
      </c>
      <c r="AR495" s="57">
        <f>IF(ISERROR(IF(B495=C495,G495/C495,(INT(G495/B495)+(((G495-B495*INT(G495/B495)))/C495)/100))),0,(IF(B495=C495,G495/C495,(INT(G495/B495)+(((G495-B495*INT(G495/B495)))/C495)/100))))</f>
        <v>0</v>
      </c>
      <c r="AS495" s="57">
        <f>IF(ISERROR(IF(B495=C495,H495/C495,(INT(H495/B495)+(((H495-B495*INT(H495/B495)))/C495)/100))),0,(IF(B495=C495,H495/C495,(INT(H495/B495)+(((H495-B495*INT(H495/B495)))/C495)/100))))</f>
        <v>0</v>
      </c>
      <c r="AT495" s="57">
        <f>IF(ISERROR(IF(B495=C495,I495/C495,(INT(I495/B495)+(((I495-B495*INT(I495/B495)))/C495)/100))),0,(IF(B495=C495,I495/C495,(INT(I495/B495)+(((I495-B495*INT(I495/B495)))/C495)/100))))</f>
        <v>0</v>
      </c>
      <c r="AU495" s="57">
        <f>IF(ISERROR(IF(B495=C495,J495/C495,(INT(J495/B495)+(((J495-B495*INT(J495/B495)))/C495)/100))),0,(IF(B495=C495,J495/C495,(INT(J495/B495)+(((J495-B495*INT(J495/B495)))/C495)/100))))</f>
        <v>0</v>
      </c>
      <c r="AV495" s="57">
        <f>IF(ISERROR(IF(B495=C495,K495/C495,IF((INT(K495/B495)+(((K495-B495*INT(K495/B495)))/C495)/100)&lt;0,(INT(K495/B495)+(((K495-B495*INT(K495/B495)))/C495)/100)+(1-(B495/C495/100)),(INT(K495/B495)+(((K495-B495*INT(K495/B495)))/C495)/100)))),0,IF(B495=C495,K495/C495,IF((INT(K495/B495)+(((K495-B495*INT(K495/B495)))/C495)/100)&lt;0,(INT(K495/B495)+(((K495-B495*INT(K495/B495)))/C495)/100)+(1-(B495/C495/100)),(INT(K495/B495)+(((K495-B495*INT(K495/B495)))/C495)/100))))</f>
        <v>0</v>
      </c>
      <c r="AW495" s="57">
        <f>IF(ISERROR(IF(B495=C495,L495/C495,(INT(L495/B495)+(((L495-B495*INT(L495/B495)))/C495)/100))),0,(IF(B495=C495,L495/C495,(INT(L495/B495)+(((L495-B495*INT(L495/B495)))/C495)/100))))</f>
        <v>0</v>
      </c>
      <c r="AX495" s="57">
        <f>IF(ISERROR(IF(B495=C495,M495/C495,(INT(M495/B495)+(((M495-B495*INT(M495/B495)))/C495)/100))),0,(IF(B495=C495,M495/C495,(INT(M495/B495)+(((M495-B495*INT(M495/B495)))/C495)/100))))</f>
        <v>0</v>
      </c>
      <c r="AY495" s="57">
        <f>IF(ISERROR(IF(B495=C495,N495/C495,IF((INT(N495/B495)+(((N495-B495*INT(N495/B495)))/C495)/100)&lt;0,(INT(N495/B495)+(((N495-B495*INT(N495/B495)))/C495)/100)+(1-(B495/C495/100)),(INT(N495/B495)+(((N495-B495*INT(N495/B495)))/C495)/100)))),0,IF(B495=C495,N495/C495,IF((INT(N495/B495)+(((N495-B495*INT(N495/B495)))/C495)/100)&lt;0,(INT(N495/B495)+(((N495-B495*INT(N495/B495)))/C495)/100)+(1-(B495/C495/100)),(INT(N495/B495)+(((N495-B495*INT(N495/B495)))/C495)/100))))</f>
        <v>0</v>
      </c>
      <c r="AZ495" s="57">
        <f>IF(ISERROR(IF(B495=C495,O495/C495,(INT(O495/B495)+(((O495-B495*INT(O495/B495)))/C495)/100))),0,(IF(B495=C495,O495/C495,(INT(O495/B495)+(((O495-B495*INT(O495/B495)))/C495)/100))))</f>
        <v>0</v>
      </c>
      <c r="BA495" s="57">
        <f>IF(ISERROR(IF(B495=C495,P495/C495,IF((INT(P495/B495)+(((P495-B495*INT(P495/B495)))/C495)/100)&lt;0,(INT(P495/B495)+(((P495-B495*INT(P495/B495)))/C495)/100)+(1-(B495/C495/100)),(INT(P495/B495)+(((P495-B495*INT(P495/B495)))/C495)/100)))),0,IF(B495=C495,P495/C495,IF((INT(P495/B495)+(((P495-B495*INT(P495/B495)))/C495)/100)&lt;0,(INT(P495/B495)+(((P495-B495*INT(P495/B495)))/C495)/100)+(1-(B495/C495/100)),(INT(P495/B495)+(((P495-B495*INT(P495/B495)))/C495)/100))))</f>
        <v>0</v>
      </c>
      <c r="BB495" s="28">
        <f>R495</f>
        <v>0</v>
      </c>
      <c r="BC495" s="28">
        <f>S495</f>
        <v>0</v>
      </c>
      <c r="BD495" s="28">
        <f>AF495</f>
        <v>0</v>
      </c>
      <c r="BE495" s="28">
        <f>T495</f>
        <v>0</v>
      </c>
      <c r="BG495" s="57">
        <f>IF(ISERROR(IF(B495=C495,V495/C495,(INT(V495/B495)+(((V495-B495*INT(V495/B495)))/C495)/100))),0,(IF(B495=C495,V495/C495,(INT(V495/B495)+(((V495-B495*INT(V495/B495)))/C495)/100))))</f>
        <v>0</v>
      </c>
      <c r="BH495" s="57">
        <f>IF(ISERROR(IF(B495=C495,W495/C495,(INT(W495/B495)+(((W495-B495*INT(W495/B495)))/C495)/100))),0,(IF(B495=C495,W495/C495,(INT(W495/B495)+(((W495-B495*INT(W495/B495)))/C495)/100))))</f>
        <v>0</v>
      </c>
      <c r="BI495" s="57">
        <f>IF(ISERROR(IF(B495=C495,X495/C495,(INT(X495/B495)+(((X495-B495*INT(X495/B495)))/C495)/100))),0,(IF(B495=C495,X495/C495,(INT(X495/B495)+(((X495-B495*INT(X495/B495)))/C495)/100))))</f>
        <v>0</v>
      </c>
      <c r="BJ495" s="57">
        <f>IF(ISERROR(IF(B495=C495,Y495/C495,(INT(Y495/B495)+(((Y495-B495*INT(Y495/B495)))/C495)/100))),0,(IF(B495=C495,Y495/C495,(INT(Y495/B495)+(((Y495-B495*INT(Y495/B495)))/C495)/100))))</f>
        <v>0</v>
      </c>
      <c r="BL495" s="57">
        <f>IF(ISERROR(IF(B495=C495,AA495/C495,(INT(AA495/B495)+(((AA495-B495*INT(AA495/B495)))/C495)/100))),0,(IF(B495=C495,AA495/C495,(INT(AA495/B495)+(((AA495-B495*INT(AA495/B495)))/C495)/100))))</f>
        <v>0</v>
      </c>
      <c r="BM495" s="57">
        <f>IF(ISERROR(IF(B495=C495,AB495/C495,(INT(AB495/B495)+(((AB495-B495*INT(AB495/B495)))/C495)/100))),0,(IF(B495=C495,AB495/C495,(INT(AB495/B495)+(((AB495-B495*INT(AB495/B495)))/C495)/100))))</f>
        <v>0</v>
      </c>
      <c r="BN495" s="57">
        <f>IF(ISERROR(IF(B495=C495,AC495/C495,(INT(AC495/B495)+(((AC495-B495*INT(AC495/B495)))/C495)/100))),0,(IF(B495=C495,AC495/C495,(INT(AC495/B495)+(((AC495-B495*INT(AC495/B495)))/C495)/100))))</f>
        <v>0</v>
      </c>
      <c r="BO495" s="57">
        <f>IF(ISERROR(IF(B495=C495,AD495/C495,(INT(AD495/B495)+(((AD495-B495*INT(AD495/B495)))/C495)/100))),0,(IF(B495=C495,AD495/C495,(INT(AD495/B495)+(((AD495-B495*INT(AD495/B495)))/C495)/100))))</f>
        <v>0</v>
      </c>
      <c r="BQ495" s="155"/>
    </row>
    <row r="496" spans="1:69" hidden="1" x14ac:dyDescent="0.35">
      <c r="A496" s="94"/>
      <c r="B496" s="113">
        <v>0</v>
      </c>
      <c r="C496" s="113">
        <v>250</v>
      </c>
      <c r="D496" s="28">
        <f>SUM(AA496:AD496)</f>
        <v>0</v>
      </c>
      <c r="E496" s="113">
        <v>0</v>
      </c>
      <c r="F496" s="113">
        <v>0</v>
      </c>
      <c r="G496" s="28">
        <f>SUM(D496:F496)</f>
        <v>0</v>
      </c>
      <c r="H496" s="125">
        <v>0</v>
      </c>
      <c r="I496" s="113">
        <v>0</v>
      </c>
      <c r="J496" s="125">
        <v>0</v>
      </c>
      <c r="K496" s="113">
        <v>0</v>
      </c>
      <c r="L496" s="113">
        <v>0</v>
      </c>
      <c r="M496" s="113">
        <v>0</v>
      </c>
      <c r="N496" s="28">
        <f>G496-SUM(H496:M496)</f>
        <v>0</v>
      </c>
      <c r="O496" s="28">
        <f>SUM(V496:Y496)</f>
        <v>0</v>
      </c>
      <c r="P496" s="28">
        <f>O496-N496</f>
        <v>0</v>
      </c>
      <c r="Q496" s="61" t="str">
        <f>IF(ISERROR(P496/SUM(H496:L496)),"",P496/SUM(H496:L496))</f>
        <v/>
      </c>
      <c r="R496" s="113">
        <v>0</v>
      </c>
      <c r="S496" s="28">
        <f>IF(ISERROR(P496/C496*R496),0,(P496/C496*R496))</f>
        <v>0</v>
      </c>
      <c r="T496" s="60">
        <f>IF(ISERROR(P496/B496*AF496),0,(P496/B496*AF496))</f>
        <v>0</v>
      </c>
      <c r="V496" s="113">
        <v>0</v>
      </c>
      <c r="W496" s="113">
        <v>0</v>
      </c>
      <c r="X496" s="113">
        <v>0</v>
      </c>
      <c r="Y496" s="113">
        <v>0</v>
      </c>
      <c r="AA496" s="113">
        <v>0</v>
      </c>
      <c r="AB496" s="113">
        <v>0</v>
      </c>
      <c r="AC496" s="113">
        <v>0</v>
      </c>
      <c r="AD496" s="113">
        <v>0</v>
      </c>
      <c r="AF496" s="113">
        <v>0</v>
      </c>
      <c r="AG496" s="28">
        <f>G496-O496</f>
        <v>0</v>
      </c>
      <c r="AH496" s="58">
        <f>IF(ISERROR(AG496/B496*AF496),0,(AG496/B496*AF496))</f>
        <v>0</v>
      </c>
      <c r="AI496" s="28">
        <f>SUM(H496:M496)</f>
        <v>0</v>
      </c>
      <c r="AJ496" s="28">
        <f>IF(ISERROR(AI496/B496*AF496),0,(AI496/B496*AF496))</f>
        <v>0</v>
      </c>
      <c r="AK496" s="58">
        <f>IF(ISERROR(O496/B496*AF496),0,(O496/B496*AF496))</f>
        <v>0</v>
      </c>
      <c r="AL496" s="28">
        <f>IF(ISERROR(H496/B496*AF496),0,(H496/B496*AF496))</f>
        <v>0</v>
      </c>
      <c r="AN496" s="51">
        <f>A496</f>
        <v>0</v>
      </c>
      <c r="AO496" s="57">
        <f>IF(ISERROR(IF(B496=C496,D496/C496,(INT(D496/B496)+(((D496-B496*INT(D496/B496)))/C496)/100))),0,(IF(B496=C496,D496/C496,(INT(D496/B496)+(((D496-B496*INT(D496/B496)))/C496)/100))))</f>
        <v>0</v>
      </c>
      <c r="AP496" s="57">
        <f>IF(ISERROR(IF(B496=C496,E496/C496,(INT(E496/B496)+(((E496-B496*INT(E496/B496)))/C496)/100))),0,(IF(B496=C496,E496/C496,(INT(E496/B496)+(((E496-B496*INT(E496/B496)))/C496)/100))))</f>
        <v>0</v>
      </c>
      <c r="AQ496" s="57">
        <f>IF(ISERROR(IF(B496=C496,F496/C496,IF((INT(F496/B496)+(((F496-B496*INT(F496/B496)))/C496)/100)&lt;0,(INT(F496/B496)+(((F496-B496*INT(F496/B496)))/C496)/100)+(1-(B496/C496/100)),(INT(F496/B496)+(((F496-B496*INT(F496/B496)))/C496)/100)))),0,IF(B496=C496,F496/C496,IF((INT(F496/B496)+(((F496-B496*INT(F496/B496)))/C496)/100)&lt;0,(INT(F496/B496)+(((F496-B496*INT(F496/B496)))/C496)/100)+(1-(B496/C496/100)),(INT(F496/B496)+(((F496-B496*INT(F496/B496)))/C496)/100))))</f>
        <v>0</v>
      </c>
      <c r="AR496" s="57">
        <f>IF(ISERROR(IF(B496=C496,G496/C496,(INT(G496/B496)+(((G496-B496*INT(G496/B496)))/C496)/100))),0,(IF(B496=C496,G496/C496,(INT(G496/B496)+(((G496-B496*INT(G496/B496)))/C496)/100))))</f>
        <v>0</v>
      </c>
      <c r="AS496" s="57">
        <f>IF(ISERROR(IF(B496=C496,H496/C496,(INT(H496/B496)+(((H496-B496*INT(H496/B496)))/C496)/100))),0,(IF(B496=C496,H496/C496,(INT(H496/B496)+(((H496-B496*INT(H496/B496)))/C496)/100))))</f>
        <v>0</v>
      </c>
      <c r="AT496" s="57">
        <f>IF(ISERROR(IF(B496=C496,I496/C496,(INT(I496/B496)+(((I496-B496*INT(I496/B496)))/C496)/100))),0,(IF(B496=C496,I496/C496,(INT(I496/B496)+(((I496-B496*INT(I496/B496)))/C496)/100))))</f>
        <v>0</v>
      </c>
      <c r="AU496" s="57">
        <f>IF(ISERROR(IF(B496=C496,J496/C496,(INT(J496/B496)+(((J496-B496*INT(J496/B496)))/C496)/100))),0,(IF(B496=C496,J496/C496,(INT(J496/B496)+(((J496-B496*INT(J496/B496)))/C496)/100))))</f>
        <v>0</v>
      </c>
      <c r="AV496" s="57">
        <f>IF(ISERROR(IF(B496=C496,K496/C496,IF((INT(K496/B496)+(((K496-B496*INT(K496/B496)))/C496)/100)&lt;0,(INT(K496/B496)+(((K496-B496*INT(K496/B496)))/C496)/100)+(1-(B496/C496/100)),(INT(K496/B496)+(((K496-B496*INT(K496/B496)))/C496)/100)))),0,IF(B496=C496,K496/C496,IF((INT(K496/B496)+(((K496-B496*INT(K496/B496)))/C496)/100)&lt;0,(INT(K496/B496)+(((K496-B496*INT(K496/B496)))/C496)/100)+(1-(B496/C496/100)),(INT(K496/B496)+(((K496-B496*INT(K496/B496)))/C496)/100))))</f>
        <v>0</v>
      </c>
      <c r="AW496" s="57">
        <f>IF(ISERROR(IF(B496=C496,L496/C496,(INT(L496/B496)+(((L496-B496*INT(L496/B496)))/C496)/100))),0,(IF(B496=C496,L496/C496,(INT(L496/B496)+(((L496-B496*INT(L496/B496)))/C496)/100))))</f>
        <v>0</v>
      </c>
      <c r="AX496" s="57">
        <f>IF(ISERROR(IF(B496=C496,M496/C496,(INT(M496/B496)+(((M496-B496*INT(M496/B496)))/C496)/100))),0,(IF(B496=C496,M496/C496,(INT(M496/B496)+(((M496-B496*INT(M496/B496)))/C496)/100))))</f>
        <v>0</v>
      </c>
      <c r="AY496" s="57">
        <f>IF(ISERROR(IF(B496=C496,N496/C496,IF((INT(N496/B496)+(((N496-B496*INT(N496/B496)))/C496)/100)&lt;0,(INT(N496/B496)+(((N496-B496*INT(N496/B496)))/C496)/100)+(1-(B496/C496/100)),(INT(N496/B496)+(((N496-B496*INT(N496/B496)))/C496)/100)))),0,IF(B496=C496,N496/C496,IF((INT(N496/B496)+(((N496-B496*INT(N496/B496)))/C496)/100)&lt;0,(INT(N496/B496)+(((N496-B496*INT(N496/B496)))/C496)/100)+(1-(B496/C496/100)),(INT(N496/B496)+(((N496-B496*INT(N496/B496)))/C496)/100))))</f>
        <v>0</v>
      </c>
      <c r="AZ496" s="57">
        <f>IF(ISERROR(IF(B496=C496,O496/C496,(INT(O496/B496)+(((O496-B496*INT(O496/B496)))/C496)/100))),0,(IF(B496=C496,O496/C496,(INT(O496/B496)+(((O496-B496*INT(O496/B496)))/C496)/100))))</f>
        <v>0</v>
      </c>
      <c r="BA496" s="57">
        <f>IF(ISERROR(IF(B496=C496,P496/C496,IF((INT(P496/B496)+(((P496-B496*INT(P496/B496)))/C496)/100)&lt;0,(INT(P496/B496)+(((P496-B496*INT(P496/B496)))/C496)/100)+(1-(B496/C496/100)),(INT(P496/B496)+(((P496-B496*INT(P496/B496)))/C496)/100)))),0,IF(B496=C496,P496/C496,IF((INT(P496/B496)+(((P496-B496*INT(P496/B496)))/C496)/100)&lt;0,(INT(P496/B496)+(((P496-B496*INT(P496/B496)))/C496)/100)+(1-(B496/C496/100)),(INT(P496/B496)+(((P496-B496*INT(P496/B496)))/C496)/100))))</f>
        <v>0</v>
      </c>
      <c r="BB496" s="28">
        <f>R496</f>
        <v>0</v>
      </c>
      <c r="BC496" s="28">
        <f>S496</f>
        <v>0</v>
      </c>
      <c r="BD496" s="28">
        <f>AF496</f>
        <v>0</v>
      </c>
      <c r="BE496" s="28">
        <f>T496</f>
        <v>0</v>
      </c>
      <c r="BG496" s="57">
        <f>IF(ISERROR(IF(B496=C496,V496/C496,(INT(V496/B496)+(((V496-B496*INT(V496/B496)))/C496)/100))),0,(IF(B496=C496,V496/C496,(INT(V496/B496)+(((V496-B496*INT(V496/B496)))/C496)/100))))</f>
        <v>0</v>
      </c>
      <c r="BH496" s="57">
        <f>IF(ISERROR(IF(B496=C496,W496/C496,(INT(W496/B496)+(((W496-B496*INT(W496/B496)))/C496)/100))),0,(IF(B496=C496,W496/C496,(INT(W496/B496)+(((W496-B496*INT(W496/B496)))/C496)/100))))</f>
        <v>0</v>
      </c>
      <c r="BI496" s="57">
        <f>IF(ISERROR(IF(B496=C496,X496/C496,(INT(X496/B496)+(((X496-B496*INT(X496/B496)))/C496)/100))),0,(IF(B496=C496,X496/C496,(INT(X496/B496)+(((X496-B496*INT(X496/B496)))/C496)/100))))</f>
        <v>0</v>
      </c>
      <c r="BJ496" s="57">
        <f>IF(ISERROR(IF(B496=C496,Y496/C496,(INT(Y496/B496)+(((Y496-B496*INT(Y496/B496)))/C496)/100))),0,(IF(B496=C496,Y496/C496,(INT(Y496/B496)+(((Y496-B496*INT(Y496/B496)))/C496)/100))))</f>
        <v>0</v>
      </c>
      <c r="BL496" s="57">
        <f>IF(ISERROR(IF(B496=C496,AA496/C496,(INT(AA496/B496)+(((AA496-B496*INT(AA496/B496)))/C496)/100))),0,(IF(B496=C496,AA496/C496,(INT(AA496/B496)+(((AA496-B496*INT(AA496/B496)))/C496)/100))))</f>
        <v>0</v>
      </c>
      <c r="BM496" s="57">
        <f>IF(ISERROR(IF(B496=C496,AB496/C496,(INT(AB496/B496)+(((AB496-B496*INT(AB496/B496)))/C496)/100))),0,(IF(B496=C496,AB496/C496,(INT(AB496/B496)+(((AB496-B496*INT(AB496/B496)))/C496)/100))))</f>
        <v>0</v>
      </c>
      <c r="BN496" s="57">
        <f>IF(ISERROR(IF(B496=C496,AC496/C496,(INT(AC496/B496)+(((AC496-B496*INT(AC496/B496)))/C496)/100))),0,(IF(B496=C496,AC496/C496,(INT(AC496/B496)+(((AC496-B496*INT(AC496/B496)))/C496)/100))))</f>
        <v>0</v>
      </c>
      <c r="BO496" s="57">
        <f>IF(ISERROR(IF(B496=C496,AD496/C496,(INT(AD496/B496)+(((AD496-B496*INT(AD496/B496)))/C496)/100))),0,(IF(B496=C496,AD496/C496,(INT(AD496/B496)+(((AD496-B496*INT(AD496/B496)))/C496)/100))))</f>
        <v>0</v>
      </c>
      <c r="BQ496" s="155"/>
    </row>
    <row r="497" spans="1:69" hidden="1" x14ac:dyDescent="0.35">
      <c r="A497" s="94"/>
      <c r="B497" s="113">
        <v>0</v>
      </c>
      <c r="C497" s="113">
        <v>250</v>
      </c>
      <c r="D497" s="28">
        <f>SUM(AA497:AD497)</f>
        <v>0</v>
      </c>
      <c r="E497" s="113">
        <v>0</v>
      </c>
      <c r="F497" s="113">
        <v>0</v>
      </c>
      <c r="G497" s="28">
        <f>SUM(D497:F497)</f>
        <v>0</v>
      </c>
      <c r="H497" s="125">
        <v>0</v>
      </c>
      <c r="I497" s="113">
        <v>0</v>
      </c>
      <c r="J497" s="125">
        <v>0</v>
      </c>
      <c r="K497" s="113">
        <v>0</v>
      </c>
      <c r="L497" s="113">
        <v>0</v>
      </c>
      <c r="M497" s="113">
        <v>0</v>
      </c>
      <c r="N497" s="28">
        <f>G497-SUM(H497:M497)</f>
        <v>0</v>
      </c>
      <c r="O497" s="28">
        <f>SUM(V497:Y497)</f>
        <v>0</v>
      </c>
      <c r="P497" s="28">
        <f>O497-N497</f>
        <v>0</v>
      </c>
      <c r="Q497" s="61" t="str">
        <f>IF(ISERROR(P497/SUM(H497:L497)),"",P497/SUM(H497:L497))</f>
        <v/>
      </c>
      <c r="R497" s="113">
        <v>0</v>
      </c>
      <c r="S497" s="28">
        <f>IF(ISERROR(P497/C497*R497),0,(P497/C497*R497))</f>
        <v>0</v>
      </c>
      <c r="T497" s="60">
        <f>IF(ISERROR(P497/B497*AF497),0,(P497/B497*AF497))</f>
        <v>0</v>
      </c>
      <c r="V497" s="113">
        <v>0</v>
      </c>
      <c r="W497" s="113">
        <v>0</v>
      </c>
      <c r="X497" s="113">
        <v>0</v>
      </c>
      <c r="Y497" s="113">
        <v>0</v>
      </c>
      <c r="AA497" s="113">
        <v>0</v>
      </c>
      <c r="AB497" s="113">
        <v>0</v>
      </c>
      <c r="AC497" s="113">
        <v>0</v>
      </c>
      <c r="AD497" s="113">
        <v>0</v>
      </c>
      <c r="AF497" s="113">
        <v>0</v>
      </c>
      <c r="AG497" s="28">
        <f>G497-O497</f>
        <v>0</v>
      </c>
      <c r="AH497" s="58">
        <f>IF(ISERROR(AG497/B497*AF497),0,(AG497/B497*AF497))</f>
        <v>0</v>
      </c>
      <c r="AI497" s="28">
        <f>SUM(H497:M497)</f>
        <v>0</v>
      </c>
      <c r="AJ497" s="28">
        <f>IF(ISERROR(AI497/B497*AF497),0,(AI497/B497*AF497))</f>
        <v>0</v>
      </c>
      <c r="AK497" s="58">
        <f>IF(ISERROR(O497/B497*AF497),0,(O497/B497*AF497))</f>
        <v>0</v>
      </c>
      <c r="AL497" s="28">
        <f>IF(ISERROR(H497/B497*AF497),0,(H497/B497*AF497))</f>
        <v>0</v>
      </c>
      <c r="AN497" s="51">
        <f>A497</f>
        <v>0</v>
      </c>
      <c r="AO497" s="57">
        <f>IF(ISERROR(IF(B497=C497,D497/C497,(INT(D497/B497)+(((D497-B497*INT(D497/B497)))/C497)/100))),0,(IF(B497=C497,D497/C497,(INT(D497/B497)+(((D497-B497*INT(D497/B497)))/C497)/100))))</f>
        <v>0</v>
      </c>
      <c r="AP497" s="57">
        <f>IF(ISERROR(IF(B497=C497,E497/C497,(INT(E497/B497)+(((E497-B497*INT(E497/B497)))/C497)/100))),0,(IF(B497=C497,E497/C497,(INT(E497/B497)+(((E497-B497*INT(E497/B497)))/C497)/100))))</f>
        <v>0</v>
      </c>
      <c r="AQ497" s="57">
        <f>IF(ISERROR(IF(B497=C497,F497/C497,IF((INT(F497/B497)+(((F497-B497*INT(F497/B497)))/C497)/100)&lt;0,(INT(F497/B497)+(((F497-B497*INT(F497/B497)))/C497)/100)+(1-(B497/C497/100)),(INT(F497/B497)+(((F497-B497*INT(F497/B497)))/C497)/100)))),0,IF(B497=C497,F497/C497,IF((INT(F497/B497)+(((F497-B497*INT(F497/B497)))/C497)/100)&lt;0,(INT(F497/B497)+(((F497-B497*INT(F497/B497)))/C497)/100)+(1-(B497/C497/100)),(INT(F497/B497)+(((F497-B497*INT(F497/B497)))/C497)/100))))</f>
        <v>0</v>
      </c>
      <c r="AR497" s="57">
        <f>IF(ISERROR(IF(B497=C497,G497/C497,(INT(G497/B497)+(((G497-B497*INT(G497/B497)))/C497)/100))),0,(IF(B497=C497,G497/C497,(INT(G497/B497)+(((G497-B497*INT(G497/B497)))/C497)/100))))</f>
        <v>0</v>
      </c>
      <c r="AS497" s="57">
        <f>IF(ISERROR(IF(B497=C497,H497/C497,(INT(H497/B497)+(((H497-B497*INT(H497/B497)))/C497)/100))),0,(IF(B497=C497,H497/C497,(INT(H497/B497)+(((H497-B497*INT(H497/B497)))/C497)/100))))</f>
        <v>0</v>
      </c>
      <c r="AT497" s="57">
        <f>IF(ISERROR(IF(B497=C497,I497/C497,(INT(I497/B497)+(((I497-B497*INT(I497/B497)))/C497)/100))),0,(IF(B497=C497,I497/C497,(INT(I497/B497)+(((I497-B497*INT(I497/B497)))/C497)/100))))</f>
        <v>0</v>
      </c>
      <c r="AU497" s="57">
        <f>IF(ISERROR(IF(B497=C497,J497/C497,(INT(J497/B497)+(((J497-B497*INT(J497/B497)))/C497)/100))),0,(IF(B497=C497,J497/C497,(INT(J497/B497)+(((J497-B497*INT(J497/B497)))/C497)/100))))</f>
        <v>0</v>
      </c>
      <c r="AV497" s="57">
        <f>IF(ISERROR(IF(B497=C497,K497/C497,IF((INT(K497/B497)+(((K497-B497*INT(K497/B497)))/C497)/100)&lt;0,(INT(K497/B497)+(((K497-B497*INT(K497/B497)))/C497)/100)+(1-(B497/C497/100)),(INT(K497/B497)+(((K497-B497*INT(K497/B497)))/C497)/100)))),0,IF(B497=C497,K497/C497,IF((INT(K497/B497)+(((K497-B497*INT(K497/B497)))/C497)/100)&lt;0,(INT(K497/B497)+(((K497-B497*INT(K497/B497)))/C497)/100)+(1-(B497/C497/100)),(INT(K497/B497)+(((K497-B497*INT(K497/B497)))/C497)/100))))</f>
        <v>0</v>
      </c>
      <c r="AW497" s="57">
        <f>IF(ISERROR(IF(B497=C497,L497/C497,(INT(L497/B497)+(((L497-B497*INT(L497/B497)))/C497)/100))),0,(IF(B497=C497,L497/C497,(INT(L497/B497)+(((L497-B497*INT(L497/B497)))/C497)/100))))</f>
        <v>0</v>
      </c>
      <c r="AX497" s="57">
        <f>IF(ISERROR(IF(B497=C497,M497/C497,(INT(M497/B497)+(((M497-B497*INT(M497/B497)))/C497)/100))),0,(IF(B497=C497,M497/C497,(INT(M497/B497)+(((M497-B497*INT(M497/B497)))/C497)/100))))</f>
        <v>0</v>
      </c>
      <c r="AY497" s="57">
        <f>IF(ISERROR(IF(B497=C497,N497/C497,IF((INT(N497/B497)+(((N497-B497*INT(N497/B497)))/C497)/100)&lt;0,(INT(N497/B497)+(((N497-B497*INT(N497/B497)))/C497)/100)+(1-(B497/C497/100)),(INT(N497/B497)+(((N497-B497*INT(N497/B497)))/C497)/100)))),0,IF(B497=C497,N497/C497,IF((INT(N497/B497)+(((N497-B497*INT(N497/B497)))/C497)/100)&lt;0,(INT(N497/B497)+(((N497-B497*INT(N497/B497)))/C497)/100)+(1-(B497/C497/100)),(INT(N497/B497)+(((N497-B497*INT(N497/B497)))/C497)/100))))</f>
        <v>0</v>
      </c>
      <c r="AZ497" s="57">
        <f>IF(ISERROR(IF(B497=C497,O497/C497,(INT(O497/B497)+(((O497-B497*INT(O497/B497)))/C497)/100))),0,(IF(B497=C497,O497/C497,(INT(O497/B497)+(((O497-B497*INT(O497/B497)))/C497)/100))))</f>
        <v>0</v>
      </c>
      <c r="BA497" s="57">
        <f>IF(ISERROR(IF(B497=C497,P497/C497,IF((INT(P497/B497)+(((P497-B497*INT(P497/B497)))/C497)/100)&lt;0,(INT(P497/B497)+(((P497-B497*INT(P497/B497)))/C497)/100)+(1-(B497/C497/100)),(INT(P497/B497)+(((P497-B497*INT(P497/B497)))/C497)/100)))),0,IF(B497=C497,P497/C497,IF((INT(P497/B497)+(((P497-B497*INT(P497/B497)))/C497)/100)&lt;0,(INT(P497/B497)+(((P497-B497*INT(P497/B497)))/C497)/100)+(1-(B497/C497/100)),(INT(P497/B497)+(((P497-B497*INT(P497/B497)))/C497)/100))))</f>
        <v>0</v>
      </c>
      <c r="BB497" s="28">
        <f>R497</f>
        <v>0</v>
      </c>
      <c r="BC497" s="28">
        <f>S497</f>
        <v>0</v>
      </c>
      <c r="BD497" s="28">
        <f>AF497</f>
        <v>0</v>
      </c>
      <c r="BE497" s="28">
        <f>T497</f>
        <v>0</v>
      </c>
      <c r="BG497" s="57">
        <f>IF(ISERROR(IF(B497=C497,V497/C497,(INT(V497/B497)+(((V497-B497*INT(V497/B497)))/C497)/100))),0,(IF(B497=C497,V497/C497,(INT(V497/B497)+(((V497-B497*INT(V497/B497)))/C497)/100))))</f>
        <v>0</v>
      </c>
      <c r="BH497" s="57">
        <f>IF(ISERROR(IF(B497=C497,W497/C497,(INT(W497/B497)+(((W497-B497*INT(W497/B497)))/C497)/100))),0,(IF(B497=C497,W497/C497,(INT(W497/B497)+(((W497-B497*INT(W497/B497)))/C497)/100))))</f>
        <v>0</v>
      </c>
      <c r="BI497" s="57">
        <f>IF(ISERROR(IF(B497=C497,X497/C497,(INT(X497/B497)+(((X497-B497*INT(X497/B497)))/C497)/100))),0,(IF(B497=C497,X497/C497,(INT(X497/B497)+(((X497-B497*INT(X497/B497)))/C497)/100))))</f>
        <v>0</v>
      </c>
      <c r="BJ497" s="57">
        <f>IF(ISERROR(IF(B497=C497,Y497/C497,(INT(Y497/B497)+(((Y497-B497*INT(Y497/B497)))/C497)/100))),0,(IF(B497=C497,Y497/C497,(INT(Y497/B497)+(((Y497-B497*INT(Y497/B497)))/C497)/100))))</f>
        <v>0</v>
      </c>
      <c r="BL497" s="57">
        <f>IF(ISERROR(IF(B497=C497,AA497/C497,(INT(AA497/B497)+(((AA497-B497*INT(AA497/B497)))/C497)/100))),0,(IF(B497=C497,AA497/C497,(INT(AA497/B497)+(((AA497-B497*INT(AA497/B497)))/C497)/100))))</f>
        <v>0</v>
      </c>
      <c r="BM497" s="57">
        <f>IF(ISERROR(IF(B497=C497,AB497/C497,(INT(AB497/B497)+(((AB497-B497*INT(AB497/B497)))/C497)/100))),0,(IF(B497=C497,AB497/C497,(INT(AB497/B497)+(((AB497-B497*INT(AB497/B497)))/C497)/100))))</f>
        <v>0</v>
      </c>
      <c r="BN497" s="57">
        <f>IF(ISERROR(IF(B497=C497,AC497/C497,(INT(AC497/B497)+(((AC497-B497*INT(AC497/B497)))/C497)/100))),0,(IF(B497=C497,AC497/C497,(INT(AC497/B497)+(((AC497-B497*INT(AC497/B497)))/C497)/100))))</f>
        <v>0</v>
      </c>
      <c r="BO497" s="57">
        <f>IF(ISERROR(IF(B497=C497,AD497/C497,(INT(AD497/B497)+(((AD497-B497*INT(AD497/B497)))/C497)/100))),0,(IF(B497=C497,AD497/C497,(INT(AD497/B497)+(((AD497-B497*INT(AD497/B497)))/C497)/100))))</f>
        <v>0</v>
      </c>
      <c r="BQ497" s="155"/>
    </row>
    <row r="498" spans="1:69" hidden="1" x14ac:dyDescent="0.35">
      <c r="A498" s="94"/>
      <c r="B498" s="113">
        <v>0</v>
      </c>
      <c r="C498" s="113">
        <v>250</v>
      </c>
      <c r="D498" s="28">
        <f>SUM(AA498:AD498)</f>
        <v>0</v>
      </c>
      <c r="E498" s="113">
        <v>0</v>
      </c>
      <c r="F498" s="113">
        <v>0</v>
      </c>
      <c r="G498" s="28">
        <f>SUM(D498:F498)</f>
        <v>0</v>
      </c>
      <c r="H498" s="125">
        <v>0</v>
      </c>
      <c r="I498" s="113">
        <v>0</v>
      </c>
      <c r="J498" s="125">
        <v>0</v>
      </c>
      <c r="K498" s="113">
        <v>0</v>
      </c>
      <c r="L498" s="113">
        <v>0</v>
      </c>
      <c r="M498" s="113">
        <v>0</v>
      </c>
      <c r="N498" s="28">
        <f>G498-SUM(H498:M498)</f>
        <v>0</v>
      </c>
      <c r="O498" s="28">
        <f>SUM(V498:Y498)</f>
        <v>0</v>
      </c>
      <c r="P498" s="28">
        <f>O498-N498</f>
        <v>0</v>
      </c>
      <c r="Q498" s="61" t="str">
        <f>IF(ISERROR(P498/SUM(H498:L498)),"",P498/SUM(H498:L498))</f>
        <v/>
      </c>
      <c r="R498" s="113">
        <v>0</v>
      </c>
      <c r="S498" s="28">
        <f>IF(ISERROR(P498/C498*R498),0,(P498/C498*R498))</f>
        <v>0</v>
      </c>
      <c r="T498" s="60">
        <f>IF(ISERROR(P498/B498*AF498),0,(P498/B498*AF498))</f>
        <v>0</v>
      </c>
      <c r="V498" s="113">
        <v>0</v>
      </c>
      <c r="W498" s="113">
        <v>0</v>
      </c>
      <c r="X498" s="113">
        <v>0</v>
      </c>
      <c r="Y498" s="113">
        <v>0</v>
      </c>
      <c r="AA498" s="113">
        <v>0</v>
      </c>
      <c r="AB498" s="113">
        <v>0</v>
      </c>
      <c r="AC498" s="113">
        <v>0</v>
      </c>
      <c r="AD498" s="113">
        <v>0</v>
      </c>
      <c r="AF498" s="113">
        <v>0</v>
      </c>
      <c r="AG498" s="28">
        <f>G498-O498</f>
        <v>0</v>
      </c>
      <c r="AH498" s="58">
        <f>IF(ISERROR(AG498/B498*AF498),0,(AG498/B498*AF498))</f>
        <v>0</v>
      </c>
      <c r="AI498" s="28">
        <f>SUM(H498:M498)</f>
        <v>0</v>
      </c>
      <c r="AJ498" s="28">
        <f>IF(ISERROR(AI498/B498*AF498),0,(AI498/B498*AF498))</f>
        <v>0</v>
      </c>
      <c r="AK498" s="58">
        <f>IF(ISERROR(O498/B498*AF498),0,(O498/B498*AF498))</f>
        <v>0</v>
      </c>
      <c r="AL498" s="28">
        <f>IF(ISERROR(H498/B498*AF498),0,(H498/B498*AF498))</f>
        <v>0</v>
      </c>
      <c r="AN498" s="51">
        <f>A498</f>
        <v>0</v>
      </c>
      <c r="AO498" s="57">
        <f>IF(ISERROR(IF(B498=C498,D498/C498,(INT(D498/B498)+(((D498-B498*INT(D498/B498)))/C498)/100))),0,(IF(B498=C498,D498/C498,(INT(D498/B498)+(((D498-B498*INT(D498/B498)))/C498)/100))))</f>
        <v>0</v>
      </c>
      <c r="AP498" s="57">
        <f>IF(ISERROR(IF(B498=C498,E498/C498,(INT(E498/B498)+(((E498-B498*INT(E498/B498)))/C498)/100))),0,(IF(B498=C498,E498/C498,(INT(E498/B498)+(((E498-B498*INT(E498/B498)))/C498)/100))))</f>
        <v>0</v>
      </c>
      <c r="AQ498" s="57">
        <f>IF(ISERROR(IF(B498=C498,F498/C498,IF((INT(F498/B498)+(((F498-B498*INT(F498/B498)))/C498)/100)&lt;0,(INT(F498/B498)+(((F498-B498*INT(F498/B498)))/C498)/100)+(1-(B498/C498/100)),(INT(F498/B498)+(((F498-B498*INT(F498/B498)))/C498)/100)))),0,IF(B498=C498,F498/C498,IF((INT(F498/B498)+(((F498-B498*INT(F498/B498)))/C498)/100)&lt;0,(INT(F498/B498)+(((F498-B498*INT(F498/B498)))/C498)/100)+(1-(B498/C498/100)),(INT(F498/B498)+(((F498-B498*INT(F498/B498)))/C498)/100))))</f>
        <v>0</v>
      </c>
      <c r="AR498" s="57">
        <f>IF(ISERROR(IF(B498=C498,G498/C498,(INT(G498/B498)+(((G498-B498*INT(G498/B498)))/C498)/100))),0,(IF(B498=C498,G498/C498,(INT(G498/B498)+(((G498-B498*INT(G498/B498)))/C498)/100))))</f>
        <v>0</v>
      </c>
      <c r="AS498" s="57">
        <f>IF(ISERROR(IF(B498=C498,H498/C498,(INT(H498/B498)+(((H498-B498*INT(H498/B498)))/C498)/100))),0,(IF(B498=C498,H498/C498,(INT(H498/B498)+(((H498-B498*INT(H498/B498)))/C498)/100))))</f>
        <v>0</v>
      </c>
      <c r="AT498" s="57">
        <f>IF(ISERROR(IF(B498=C498,I498/C498,(INT(I498/B498)+(((I498-B498*INT(I498/B498)))/C498)/100))),0,(IF(B498=C498,I498/C498,(INT(I498/B498)+(((I498-B498*INT(I498/B498)))/C498)/100))))</f>
        <v>0</v>
      </c>
      <c r="AU498" s="57">
        <f>IF(ISERROR(IF(B498=C498,J498/C498,(INT(J498/B498)+(((J498-B498*INT(J498/B498)))/C498)/100))),0,(IF(B498=C498,J498/C498,(INT(J498/B498)+(((J498-B498*INT(J498/B498)))/C498)/100))))</f>
        <v>0</v>
      </c>
      <c r="AV498" s="57">
        <f>IF(ISERROR(IF(B498=C498,K498/C498,IF((INT(K498/B498)+(((K498-B498*INT(K498/B498)))/C498)/100)&lt;0,(INT(K498/B498)+(((K498-B498*INT(K498/B498)))/C498)/100)+(1-(B498/C498/100)),(INT(K498/B498)+(((K498-B498*INT(K498/B498)))/C498)/100)))),0,IF(B498=C498,K498/C498,IF((INT(K498/B498)+(((K498-B498*INT(K498/B498)))/C498)/100)&lt;0,(INT(K498/B498)+(((K498-B498*INT(K498/B498)))/C498)/100)+(1-(B498/C498/100)),(INT(K498/B498)+(((K498-B498*INT(K498/B498)))/C498)/100))))</f>
        <v>0</v>
      </c>
      <c r="AW498" s="57">
        <f>IF(ISERROR(IF(B498=C498,L498/C498,(INT(L498/B498)+(((L498-B498*INT(L498/B498)))/C498)/100))),0,(IF(B498=C498,L498/C498,(INT(L498/B498)+(((L498-B498*INT(L498/B498)))/C498)/100))))</f>
        <v>0</v>
      </c>
      <c r="AX498" s="57">
        <f>IF(ISERROR(IF(B498=C498,M498/C498,(INT(M498/B498)+(((M498-B498*INT(M498/B498)))/C498)/100))),0,(IF(B498=C498,M498/C498,(INT(M498/B498)+(((M498-B498*INT(M498/B498)))/C498)/100))))</f>
        <v>0</v>
      </c>
      <c r="AY498" s="57">
        <f>IF(ISERROR(IF(B498=C498,N498/C498,IF((INT(N498/B498)+(((N498-B498*INT(N498/B498)))/C498)/100)&lt;0,(INT(N498/B498)+(((N498-B498*INT(N498/B498)))/C498)/100)+(1-(B498/C498/100)),(INT(N498/B498)+(((N498-B498*INT(N498/B498)))/C498)/100)))),0,IF(B498=C498,N498/C498,IF((INT(N498/B498)+(((N498-B498*INT(N498/B498)))/C498)/100)&lt;0,(INT(N498/B498)+(((N498-B498*INT(N498/B498)))/C498)/100)+(1-(B498/C498/100)),(INT(N498/B498)+(((N498-B498*INT(N498/B498)))/C498)/100))))</f>
        <v>0</v>
      </c>
      <c r="AZ498" s="57">
        <f>IF(ISERROR(IF(B498=C498,O498/C498,(INT(O498/B498)+(((O498-B498*INT(O498/B498)))/C498)/100))),0,(IF(B498=C498,O498/C498,(INT(O498/B498)+(((O498-B498*INT(O498/B498)))/C498)/100))))</f>
        <v>0</v>
      </c>
      <c r="BA498" s="57">
        <f>IF(ISERROR(IF(B498=C498,P498/C498,IF((INT(P498/B498)+(((P498-B498*INT(P498/B498)))/C498)/100)&lt;0,(INT(P498/B498)+(((P498-B498*INT(P498/B498)))/C498)/100)+(1-(B498/C498/100)),(INT(P498/B498)+(((P498-B498*INT(P498/B498)))/C498)/100)))),0,IF(B498=C498,P498/C498,IF((INT(P498/B498)+(((P498-B498*INT(P498/B498)))/C498)/100)&lt;0,(INT(P498/B498)+(((P498-B498*INT(P498/B498)))/C498)/100)+(1-(B498/C498/100)),(INT(P498/B498)+(((P498-B498*INT(P498/B498)))/C498)/100))))</f>
        <v>0</v>
      </c>
      <c r="BB498" s="28">
        <f>R498</f>
        <v>0</v>
      </c>
      <c r="BC498" s="28">
        <f>S498</f>
        <v>0</v>
      </c>
      <c r="BD498" s="28">
        <f>AF498</f>
        <v>0</v>
      </c>
      <c r="BE498" s="28">
        <f>T498</f>
        <v>0</v>
      </c>
      <c r="BG498" s="57">
        <f>IF(ISERROR(IF(B498=C498,V498/C498,(INT(V498/B498)+(((V498-B498*INT(V498/B498)))/C498)/100))),0,(IF(B498=C498,V498/C498,(INT(V498/B498)+(((V498-B498*INT(V498/B498)))/C498)/100))))</f>
        <v>0</v>
      </c>
      <c r="BH498" s="57">
        <f>IF(ISERROR(IF(B498=C498,W498/C498,(INT(W498/B498)+(((W498-B498*INT(W498/B498)))/C498)/100))),0,(IF(B498=C498,W498/C498,(INT(W498/B498)+(((W498-B498*INT(W498/B498)))/C498)/100))))</f>
        <v>0</v>
      </c>
      <c r="BI498" s="57">
        <f>IF(ISERROR(IF(B498=C498,X498/C498,(INT(X498/B498)+(((X498-B498*INT(X498/B498)))/C498)/100))),0,(IF(B498=C498,X498/C498,(INT(X498/B498)+(((X498-B498*INT(X498/B498)))/C498)/100))))</f>
        <v>0</v>
      </c>
      <c r="BJ498" s="57">
        <f>IF(ISERROR(IF(B498=C498,Y498/C498,(INT(Y498/B498)+(((Y498-B498*INT(Y498/B498)))/C498)/100))),0,(IF(B498=C498,Y498/C498,(INT(Y498/B498)+(((Y498-B498*INT(Y498/B498)))/C498)/100))))</f>
        <v>0</v>
      </c>
      <c r="BL498" s="57">
        <f>IF(ISERROR(IF(B498=C498,AA498/C498,(INT(AA498/B498)+(((AA498-B498*INT(AA498/B498)))/C498)/100))),0,(IF(B498=C498,AA498/C498,(INT(AA498/B498)+(((AA498-B498*INT(AA498/B498)))/C498)/100))))</f>
        <v>0</v>
      </c>
      <c r="BM498" s="57">
        <f>IF(ISERROR(IF(B498=C498,AB498/C498,(INT(AB498/B498)+(((AB498-B498*INT(AB498/B498)))/C498)/100))),0,(IF(B498=C498,AB498/C498,(INT(AB498/B498)+(((AB498-B498*INT(AB498/B498)))/C498)/100))))</f>
        <v>0</v>
      </c>
      <c r="BN498" s="57">
        <f>IF(ISERROR(IF(B498=C498,AC498/C498,(INT(AC498/B498)+(((AC498-B498*INT(AC498/B498)))/C498)/100))),0,(IF(B498=C498,AC498/C498,(INT(AC498/B498)+(((AC498-B498*INT(AC498/B498)))/C498)/100))))</f>
        <v>0</v>
      </c>
      <c r="BO498" s="57">
        <f>IF(ISERROR(IF(B498=C498,AD498/C498,(INT(AD498/B498)+(((AD498-B498*INT(AD498/B498)))/C498)/100))),0,(IF(B498=C498,AD498/C498,(INT(AD498/B498)+(((AD498-B498*INT(AD498/B498)))/C498)/100))))</f>
        <v>0</v>
      </c>
      <c r="BQ498" s="155"/>
    </row>
    <row r="499" spans="1:69" hidden="1" x14ac:dyDescent="0.35">
      <c r="A499" s="94"/>
      <c r="B499" s="113">
        <v>0</v>
      </c>
      <c r="C499" s="113">
        <v>250</v>
      </c>
      <c r="D499" s="28">
        <f>SUM(AA499:AD499)</f>
        <v>0</v>
      </c>
      <c r="E499" s="113">
        <v>0</v>
      </c>
      <c r="F499" s="113">
        <v>0</v>
      </c>
      <c r="G499" s="28">
        <f>SUM(D499:F499)</f>
        <v>0</v>
      </c>
      <c r="H499" s="125">
        <v>0</v>
      </c>
      <c r="I499" s="113">
        <v>0</v>
      </c>
      <c r="J499" s="125">
        <v>0</v>
      </c>
      <c r="K499" s="113">
        <v>0</v>
      </c>
      <c r="L499" s="113">
        <v>0</v>
      </c>
      <c r="M499" s="113">
        <v>0</v>
      </c>
      <c r="N499" s="28">
        <f>G499-SUM(H499:M499)</f>
        <v>0</v>
      </c>
      <c r="O499" s="28">
        <f>SUM(V499:Y499)</f>
        <v>0</v>
      </c>
      <c r="P499" s="28">
        <f>O499-N499</f>
        <v>0</v>
      </c>
      <c r="Q499" s="61" t="str">
        <f>IF(ISERROR(P499/SUM(H499:L499)),"",P499/SUM(H499:L499))</f>
        <v/>
      </c>
      <c r="R499" s="113">
        <v>0</v>
      </c>
      <c r="S499" s="28">
        <f>IF(ISERROR(P499/C499*R499),0,(P499/C499*R499))</f>
        <v>0</v>
      </c>
      <c r="T499" s="60">
        <f>IF(ISERROR(P499/B499*AF499),0,(P499/B499*AF499))</f>
        <v>0</v>
      </c>
      <c r="V499" s="113">
        <v>0</v>
      </c>
      <c r="W499" s="113">
        <v>0</v>
      </c>
      <c r="X499" s="113">
        <v>0</v>
      </c>
      <c r="Y499" s="113">
        <v>0</v>
      </c>
      <c r="AA499" s="113">
        <v>0</v>
      </c>
      <c r="AB499" s="113">
        <v>0</v>
      </c>
      <c r="AC499" s="113">
        <v>0</v>
      </c>
      <c r="AD499" s="113">
        <v>0</v>
      </c>
      <c r="AF499" s="113">
        <v>0</v>
      </c>
      <c r="AG499" s="28">
        <f>G499-O499</f>
        <v>0</v>
      </c>
      <c r="AH499" s="58">
        <f>IF(ISERROR(AG499/B499*AF499),0,(AG499/B499*AF499))</f>
        <v>0</v>
      </c>
      <c r="AI499" s="28">
        <f>SUM(H499:M499)</f>
        <v>0</v>
      </c>
      <c r="AJ499" s="28">
        <f>IF(ISERROR(AI499/B499*AF499),0,(AI499/B499*AF499))</f>
        <v>0</v>
      </c>
      <c r="AK499" s="58">
        <f>IF(ISERROR(O499/B499*AF499),0,(O499/B499*AF499))</f>
        <v>0</v>
      </c>
      <c r="AL499" s="28">
        <f>IF(ISERROR(H499/B499*AF499),0,(H499/B499*AF499))</f>
        <v>0</v>
      </c>
      <c r="AN499" s="51">
        <f>A499</f>
        <v>0</v>
      </c>
      <c r="AO499" s="57">
        <f>IF(ISERROR(IF(B499=C499,D499/C499,(INT(D499/B499)+(((D499-B499*INT(D499/B499)))/C499)/100))),0,(IF(B499=C499,D499/C499,(INT(D499/B499)+(((D499-B499*INT(D499/B499)))/C499)/100))))</f>
        <v>0</v>
      </c>
      <c r="AP499" s="57">
        <f>IF(ISERROR(IF(B499=C499,E499/C499,(INT(E499/B499)+(((E499-B499*INT(E499/B499)))/C499)/100))),0,(IF(B499=C499,E499/C499,(INT(E499/B499)+(((E499-B499*INT(E499/B499)))/C499)/100))))</f>
        <v>0</v>
      </c>
      <c r="AQ499" s="57">
        <f>IF(ISERROR(IF(B499=C499,F499/C499,IF((INT(F499/B499)+(((F499-B499*INT(F499/B499)))/C499)/100)&lt;0,(INT(F499/B499)+(((F499-B499*INT(F499/B499)))/C499)/100)+(1-(B499/C499/100)),(INT(F499/B499)+(((F499-B499*INT(F499/B499)))/C499)/100)))),0,IF(B499=C499,F499/C499,IF((INT(F499/B499)+(((F499-B499*INT(F499/B499)))/C499)/100)&lt;0,(INT(F499/B499)+(((F499-B499*INT(F499/B499)))/C499)/100)+(1-(B499/C499/100)),(INT(F499/B499)+(((F499-B499*INT(F499/B499)))/C499)/100))))</f>
        <v>0</v>
      </c>
      <c r="AR499" s="57">
        <f>IF(ISERROR(IF(B499=C499,G499/C499,(INT(G499/B499)+(((G499-B499*INT(G499/B499)))/C499)/100))),0,(IF(B499=C499,G499/C499,(INT(G499/B499)+(((G499-B499*INT(G499/B499)))/C499)/100))))</f>
        <v>0</v>
      </c>
      <c r="AS499" s="57">
        <f>IF(ISERROR(IF(B499=C499,H499/C499,(INT(H499/B499)+(((H499-B499*INT(H499/B499)))/C499)/100))),0,(IF(B499=C499,H499/C499,(INT(H499/B499)+(((H499-B499*INT(H499/B499)))/C499)/100))))</f>
        <v>0</v>
      </c>
      <c r="AT499" s="57">
        <f>IF(ISERROR(IF(B499=C499,I499/C499,(INT(I499/B499)+(((I499-B499*INT(I499/B499)))/C499)/100))),0,(IF(B499=C499,I499/C499,(INT(I499/B499)+(((I499-B499*INT(I499/B499)))/C499)/100))))</f>
        <v>0</v>
      </c>
      <c r="AU499" s="57">
        <f>IF(ISERROR(IF(B499=C499,J499/C499,(INT(J499/B499)+(((J499-B499*INT(J499/B499)))/C499)/100))),0,(IF(B499=C499,J499/C499,(INT(J499/B499)+(((J499-B499*INT(J499/B499)))/C499)/100))))</f>
        <v>0</v>
      </c>
      <c r="AV499" s="57">
        <f>IF(ISERROR(IF(B499=C499,K499/C499,IF((INT(K499/B499)+(((K499-B499*INT(K499/B499)))/C499)/100)&lt;0,(INT(K499/B499)+(((K499-B499*INT(K499/B499)))/C499)/100)+(1-(B499/C499/100)),(INT(K499/B499)+(((K499-B499*INT(K499/B499)))/C499)/100)))),0,IF(B499=C499,K499/C499,IF((INT(K499/B499)+(((K499-B499*INT(K499/B499)))/C499)/100)&lt;0,(INT(K499/B499)+(((K499-B499*INT(K499/B499)))/C499)/100)+(1-(B499/C499/100)),(INT(K499/B499)+(((K499-B499*INT(K499/B499)))/C499)/100))))</f>
        <v>0</v>
      </c>
      <c r="AW499" s="57">
        <f>IF(ISERROR(IF(B499=C499,L499/C499,(INT(L499/B499)+(((L499-B499*INT(L499/B499)))/C499)/100))),0,(IF(B499=C499,L499/C499,(INT(L499/B499)+(((L499-B499*INT(L499/B499)))/C499)/100))))</f>
        <v>0</v>
      </c>
      <c r="AX499" s="57">
        <f>IF(ISERROR(IF(B499=C499,M499/C499,(INT(M499/B499)+(((M499-B499*INT(M499/B499)))/C499)/100))),0,(IF(B499=C499,M499/C499,(INT(M499/B499)+(((M499-B499*INT(M499/B499)))/C499)/100))))</f>
        <v>0</v>
      </c>
      <c r="AY499" s="57">
        <f>IF(ISERROR(IF(B499=C499,N499/C499,IF((INT(N499/B499)+(((N499-B499*INT(N499/B499)))/C499)/100)&lt;0,(INT(N499/B499)+(((N499-B499*INT(N499/B499)))/C499)/100)+(1-(B499/C499/100)),(INT(N499/B499)+(((N499-B499*INT(N499/B499)))/C499)/100)))),0,IF(B499=C499,N499/C499,IF((INT(N499/B499)+(((N499-B499*INT(N499/B499)))/C499)/100)&lt;0,(INT(N499/B499)+(((N499-B499*INT(N499/B499)))/C499)/100)+(1-(B499/C499/100)),(INT(N499/B499)+(((N499-B499*INT(N499/B499)))/C499)/100))))</f>
        <v>0</v>
      </c>
      <c r="AZ499" s="57">
        <f>IF(ISERROR(IF(B499=C499,O499/C499,(INT(O499/B499)+(((O499-B499*INT(O499/B499)))/C499)/100))),0,(IF(B499=C499,O499/C499,(INT(O499/B499)+(((O499-B499*INT(O499/B499)))/C499)/100))))</f>
        <v>0</v>
      </c>
      <c r="BA499" s="57">
        <f>IF(ISERROR(IF(B499=C499,P499/C499,IF((INT(P499/B499)+(((P499-B499*INT(P499/B499)))/C499)/100)&lt;0,(INT(P499/B499)+(((P499-B499*INT(P499/B499)))/C499)/100)+(1-(B499/C499/100)),(INT(P499/B499)+(((P499-B499*INT(P499/B499)))/C499)/100)))),0,IF(B499=C499,P499/C499,IF((INT(P499/B499)+(((P499-B499*INT(P499/B499)))/C499)/100)&lt;0,(INT(P499/B499)+(((P499-B499*INT(P499/B499)))/C499)/100)+(1-(B499/C499/100)),(INT(P499/B499)+(((P499-B499*INT(P499/B499)))/C499)/100))))</f>
        <v>0</v>
      </c>
      <c r="BB499" s="28">
        <f>R499</f>
        <v>0</v>
      </c>
      <c r="BC499" s="28">
        <f>S499</f>
        <v>0</v>
      </c>
      <c r="BD499" s="28">
        <f>AF499</f>
        <v>0</v>
      </c>
      <c r="BE499" s="28">
        <f>T499</f>
        <v>0</v>
      </c>
      <c r="BG499" s="57">
        <f>IF(ISERROR(IF(B499=C499,V499/C499,(INT(V499/B499)+(((V499-B499*INT(V499/B499)))/C499)/100))),0,(IF(B499=C499,V499/C499,(INT(V499/B499)+(((V499-B499*INT(V499/B499)))/C499)/100))))</f>
        <v>0</v>
      </c>
      <c r="BH499" s="57">
        <f>IF(ISERROR(IF(B499=C499,W499/C499,(INT(W499/B499)+(((W499-B499*INT(W499/B499)))/C499)/100))),0,(IF(B499=C499,W499/C499,(INT(W499/B499)+(((W499-B499*INT(W499/B499)))/C499)/100))))</f>
        <v>0</v>
      </c>
      <c r="BI499" s="57">
        <f>IF(ISERROR(IF(B499=C499,X499/C499,(INT(X499/B499)+(((X499-B499*INT(X499/B499)))/C499)/100))),0,(IF(B499=C499,X499/C499,(INT(X499/B499)+(((X499-B499*INT(X499/B499)))/C499)/100))))</f>
        <v>0</v>
      </c>
      <c r="BJ499" s="57">
        <f>IF(ISERROR(IF(B499=C499,Y499/C499,(INT(Y499/B499)+(((Y499-B499*INT(Y499/B499)))/C499)/100))),0,(IF(B499=C499,Y499/C499,(INT(Y499/B499)+(((Y499-B499*INT(Y499/B499)))/C499)/100))))</f>
        <v>0</v>
      </c>
      <c r="BL499" s="57">
        <f>IF(ISERROR(IF(B499=C499,AA499/C499,(INT(AA499/B499)+(((AA499-B499*INT(AA499/B499)))/C499)/100))),0,(IF(B499=C499,AA499/C499,(INT(AA499/B499)+(((AA499-B499*INT(AA499/B499)))/C499)/100))))</f>
        <v>0</v>
      </c>
      <c r="BM499" s="57">
        <f>IF(ISERROR(IF(B499=C499,AB499/C499,(INT(AB499/B499)+(((AB499-B499*INT(AB499/B499)))/C499)/100))),0,(IF(B499=C499,AB499/C499,(INT(AB499/B499)+(((AB499-B499*INT(AB499/B499)))/C499)/100))))</f>
        <v>0</v>
      </c>
      <c r="BN499" s="57">
        <f>IF(ISERROR(IF(B499=C499,AC499/C499,(INT(AC499/B499)+(((AC499-B499*INT(AC499/B499)))/C499)/100))),0,(IF(B499=C499,AC499/C499,(INT(AC499/B499)+(((AC499-B499*INT(AC499/B499)))/C499)/100))))</f>
        <v>0</v>
      </c>
      <c r="BO499" s="57">
        <f>IF(ISERROR(IF(B499=C499,AD499/C499,(INT(AD499/B499)+(((AD499-B499*INT(AD499/B499)))/C499)/100))),0,(IF(B499=C499,AD499/C499,(INT(AD499/B499)+(((AD499-B499*INT(AD499/B499)))/C499)/100))))</f>
        <v>0</v>
      </c>
      <c r="BQ499" s="155"/>
    </row>
    <row r="500" spans="1:69" hidden="1" x14ac:dyDescent="0.35">
      <c r="A500" s="94"/>
      <c r="B500" s="113">
        <v>0</v>
      </c>
      <c r="C500" s="113">
        <v>250</v>
      </c>
      <c r="D500" s="28">
        <f>SUM(AA500:AD500)</f>
        <v>0</v>
      </c>
      <c r="E500" s="113">
        <v>0</v>
      </c>
      <c r="F500" s="113">
        <v>0</v>
      </c>
      <c r="G500" s="28">
        <f>SUM(D500:F500)</f>
        <v>0</v>
      </c>
      <c r="H500" s="125">
        <v>0</v>
      </c>
      <c r="I500" s="113">
        <v>0</v>
      </c>
      <c r="J500" s="125">
        <v>0</v>
      </c>
      <c r="K500" s="113">
        <v>0</v>
      </c>
      <c r="L500" s="113">
        <v>0</v>
      </c>
      <c r="M500" s="113">
        <v>0</v>
      </c>
      <c r="N500" s="28">
        <f>G500-SUM(H500:M500)</f>
        <v>0</v>
      </c>
      <c r="O500" s="28">
        <f>SUM(V500:Y500)</f>
        <v>0</v>
      </c>
      <c r="P500" s="28">
        <f>O500-N500</f>
        <v>0</v>
      </c>
      <c r="Q500" s="61" t="str">
        <f>IF(ISERROR(P500/SUM(H500:L500)),"",P500/SUM(H500:L500))</f>
        <v/>
      </c>
      <c r="R500" s="113">
        <v>0</v>
      </c>
      <c r="S500" s="28">
        <f>IF(ISERROR(P500/C500*R500),0,(P500/C500*R500))</f>
        <v>0</v>
      </c>
      <c r="T500" s="60">
        <f>IF(ISERROR(P500/B500*AF500),0,(P500/B500*AF500))</f>
        <v>0</v>
      </c>
      <c r="V500" s="113">
        <v>0</v>
      </c>
      <c r="W500" s="113">
        <v>0</v>
      </c>
      <c r="X500" s="113">
        <v>0</v>
      </c>
      <c r="Y500" s="113">
        <v>0</v>
      </c>
      <c r="AA500" s="113">
        <v>0</v>
      </c>
      <c r="AB500" s="113">
        <v>0</v>
      </c>
      <c r="AC500" s="113">
        <v>0</v>
      </c>
      <c r="AD500" s="113">
        <v>0</v>
      </c>
      <c r="AF500" s="113">
        <v>0</v>
      </c>
      <c r="AG500" s="28">
        <f>G500-O500</f>
        <v>0</v>
      </c>
      <c r="AH500" s="58">
        <f>IF(ISERROR(AG500/B500*AF500),0,(AG500/B500*AF500))</f>
        <v>0</v>
      </c>
      <c r="AI500" s="28">
        <f>SUM(H500:M500)</f>
        <v>0</v>
      </c>
      <c r="AJ500" s="28">
        <f>IF(ISERROR(AI500/B500*AF500),0,(AI500/B500*AF500))</f>
        <v>0</v>
      </c>
      <c r="AK500" s="58">
        <f>IF(ISERROR(O500/B500*AF500),0,(O500/B500*AF500))</f>
        <v>0</v>
      </c>
      <c r="AL500" s="28">
        <f>IF(ISERROR(H500/B500*AF500),0,(H500/B500*AF500))</f>
        <v>0</v>
      </c>
      <c r="AN500" s="51">
        <f>A500</f>
        <v>0</v>
      </c>
      <c r="AO500" s="57">
        <f>IF(ISERROR(IF(B500=C500,D500/C500,(INT(D500/B500)+(((D500-B500*INT(D500/B500)))/C500)/100))),0,(IF(B500=C500,D500/C500,(INT(D500/B500)+(((D500-B500*INT(D500/B500)))/C500)/100))))</f>
        <v>0</v>
      </c>
      <c r="AP500" s="57">
        <f>IF(ISERROR(IF(B500=C500,E500/C500,(INT(E500/B500)+(((E500-B500*INT(E500/B500)))/C500)/100))),0,(IF(B500=C500,E500/C500,(INT(E500/B500)+(((E500-B500*INT(E500/B500)))/C500)/100))))</f>
        <v>0</v>
      </c>
      <c r="AQ500" s="57">
        <f>IF(ISERROR(IF(B500=C500,F500/C500,IF((INT(F500/B500)+(((F500-B500*INT(F500/B500)))/C500)/100)&lt;0,(INT(F500/B500)+(((F500-B500*INT(F500/B500)))/C500)/100)+(1-(B500/C500/100)),(INT(F500/B500)+(((F500-B500*INT(F500/B500)))/C500)/100)))),0,IF(B500=C500,F500/C500,IF((INT(F500/B500)+(((F500-B500*INT(F500/B500)))/C500)/100)&lt;0,(INT(F500/B500)+(((F500-B500*INT(F500/B500)))/C500)/100)+(1-(B500/C500/100)),(INT(F500/B500)+(((F500-B500*INT(F500/B500)))/C500)/100))))</f>
        <v>0</v>
      </c>
      <c r="AR500" s="57">
        <f>IF(ISERROR(IF(B500=C500,G500/C500,(INT(G500/B500)+(((G500-B500*INT(G500/B500)))/C500)/100))),0,(IF(B500=C500,G500/C500,(INT(G500/B500)+(((G500-B500*INT(G500/B500)))/C500)/100))))</f>
        <v>0</v>
      </c>
      <c r="AS500" s="57">
        <f>IF(ISERROR(IF(B500=C500,H500/C500,(INT(H500/B500)+(((H500-B500*INT(H500/B500)))/C500)/100))),0,(IF(B500=C500,H500/C500,(INT(H500/B500)+(((H500-B500*INT(H500/B500)))/C500)/100))))</f>
        <v>0</v>
      </c>
      <c r="AT500" s="57">
        <f>IF(ISERROR(IF(B500=C500,I500/C500,(INT(I500/B500)+(((I500-B500*INT(I500/B500)))/C500)/100))),0,(IF(B500=C500,I500/C500,(INT(I500/B500)+(((I500-B500*INT(I500/B500)))/C500)/100))))</f>
        <v>0</v>
      </c>
      <c r="AU500" s="57">
        <f>IF(ISERROR(IF(B500=C500,J500/C500,(INT(J500/B500)+(((J500-B500*INT(J500/B500)))/C500)/100))),0,(IF(B500=C500,J500/C500,(INT(J500/B500)+(((J500-B500*INT(J500/B500)))/C500)/100))))</f>
        <v>0</v>
      </c>
      <c r="AV500" s="57">
        <f>IF(ISERROR(IF(B500=C500,K500/C500,IF((INT(K500/B500)+(((K500-B500*INT(K500/B500)))/C500)/100)&lt;0,(INT(K500/B500)+(((K500-B500*INT(K500/B500)))/C500)/100)+(1-(B500/C500/100)),(INT(K500/B500)+(((K500-B500*INT(K500/B500)))/C500)/100)))),0,IF(B500=C500,K500/C500,IF((INT(K500/B500)+(((K500-B500*INT(K500/B500)))/C500)/100)&lt;0,(INT(K500/B500)+(((K500-B500*INT(K500/B500)))/C500)/100)+(1-(B500/C500/100)),(INT(K500/B500)+(((K500-B500*INT(K500/B500)))/C500)/100))))</f>
        <v>0</v>
      </c>
      <c r="AW500" s="57">
        <f>IF(ISERROR(IF(B500=C500,L500/C500,(INT(L500/B500)+(((L500-B500*INT(L500/B500)))/C500)/100))),0,(IF(B500=C500,L500/C500,(INT(L500/B500)+(((L500-B500*INT(L500/B500)))/C500)/100))))</f>
        <v>0</v>
      </c>
      <c r="AX500" s="57">
        <f>IF(ISERROR(IF(B500=C500,M500/C500,(INT(M500/B500)+(((M500-B500*INT(M500/B500)))/C500)/100))),0,(IF(B500=C500,M500/C500,(INT(M500/B500)+(((M500-B500*INT(M500/B500)))/C500)/100))))</f>
        <v>0</v>
      </c>
      <c r="AY500" s="57">
        <f>IF(ISERROR(IF(B500=C500,N500/C500,IF((INT(N500/B500)+(((N500-B500*INT(N500/B500)))/C500)/100)&lt;0,(INT(N500/B500)+(((N500-B500*INT(N500/B500)))/C500)/100)+(1-(B500/C500/100)),(INT(N500/B500)+(((N500-B500*INT(N500/B500)))/C500)/100)))),0,IF(B500=C500,N500/C500,IF((INT(N500/B500)+(((N500-B500*INT(N500/B500)))/C500)/100)&lt;0,(INT(N500/B500)+(((N500-B500*INT(N500/B500)))/C500)/100)+(1-(B500/C500/100)),(INT(N500/B500)+(((N500-B500*INT(N500/B500)))/C500)/100))))</f>
        <v>0</v>
      </c>
      <c r="AZ500" s="57">
        <f>IF(ISERROR(IF(B500=C500,O500/C500,(INT(O500/B500)+(((O500-B500*INT(O500/B500)))/C500)/100))),0,(IF(B500=C500,O500/C500,(INT(O500/B500)+(((O500-B500*INT(O500/B500)))/C500)/100))))</f>
        <v>0</v>
      </c>
      <c r="BA500" s="57">
        <f>IF(ISERROR(IF(B500=C500,P500/C500,IF((INT(P500/B500)+(((P500-B500*INT(P500/B500)))/C500)/100)&lt;0,(INT(P500/B500)+(((P500-B500*INT(P500/B500)))/C500)/100)+(1-(B500/C500/100)),(INT(P500/B500)+(((P500-B500*INT(P500/B500)))/C500)/100)))),0,IF(B500=C500,P500/C500,IF((INT(P500/B500)+(((P500-B500*INT(P500/B500)))/C500)/100)&lt;0,(INT(P500/B500)+(((P500-B500*INT(P500/B500)))/C500)/100)+(1-(B500/C500/100)),(INT(P500/B500)+(((P500-B500*INT(P500/B500)))/C500)/100))))</f>
        <v>0</v>
      </c>
      <c r="BB500" s="28">
        <f>R500</f>
        <v>0</v>
      </c>
      <c r="BC500" s="28">
        <f>S500</f>
        <v>0</v>
      </c>
      <c r="BD500" s="28">
        <f>AF500</f>
        <v>0</v>
      </c>
      <c r="BE500" s="28">
        <f>T500</f>
        <v>0</v>
      </c>
      <c r="BG500" s="57">
        <f>IF(ISERROR(IF(B500=C500,V500/C500,(INT(V500/B500)+(((V500-B500*INT(V500/B500)))/C500)/100))),0,(IF(B500=C500,V500/C500,(INT(V500/B500)+(((V500-B500*INT(V500/B500)))/C500)/100))))</f>
        <v>0</v>
      </c>
      <c r="BH500" s="57">
        <f>IF(ISERROR(IF(B500=C500,W500/C500,(INT(W500/B500)+(((W500-B500*INT(W500/B500)))/C500)/100))),0,(IF(B500=C500,W500/C500,(INT(W500/B500)+(((W500-B500*INT(W500/B500)))/C500)/100))))</f>
        <v>0</v>
      </c>
      <c r="BI500" s="57">
        <f>IF(ISERROR(IF(B500=C500,X500/C500,(INT(X500/B500)+(((X500-B500*INT(X500/B500)))/C500)/100))),0,(IF(B500=C500,X500/C500,(INT(X500/B500)+(((X500-B500*INT(X500/B500)))/C500)/100))))</f>
        <v>0</v>
      </c>
      <c r="BJ500" s="57">
        <f>IF(ISERROR(IF(B500=C500,Y500/C500,(INT(Y500/B500)+(((Y500-B500*INT(Y500/B500)))/C500)/100))),0,(IF(B500=C500,Y500/C500,(INT(Y500/B500)+(((Y500-B500*INT(Y500/B500)))/C500)/100))))</f>
        <v>0</v>
      </c>
      <c r="BL500" s="57">
        <f>IF(ISERROR(IF(B500=C500,AA500/C500,(INT(AA500/B500)+(((AA500-B500*INT(AA500/B500)))/C500)/100))),0,(IF(B500=C500,AA500/C500,(INT(AA500/B500)+(((AA500-B500*INT(AA500/B500)))/C500)/100))))</f>
        <v>0</v>
      </c>
      <c r="BM500" s="57">
        <f>IF(ISERROR(IF(B500=C500,AB500/C500,(INT(AB500/B500)+(((AB500-B500*INT(AB500/B500)))/C500)/100))),0,(IF(B500=C500,AB500/C500,(INT(AB500/B500)+(((AB500-B500*INT(AB500/B500)))/C500)/100))))</f>
        <v>0</v>
      </c>
      <c r="BN500" s="57">
        <f>IF(ISERROR(IF(B500=C500,AC500/C500,(INT(AC500/B500)+(((AC500-B500*INT(AC500/B500)))/C500)/100))),0,(IF(B500=C500,AC500/C500,(INT(AC500/B500)+(((AC500-B500*INT(AC500/B500)))/C500)/100))))</f>
        <v>0</v>
      </c>
      <c r="BO500" s="57">
        <f>IF(ISERROR(IF(B500=C500,AD500/C500,(INT(AD500/B500)+(((AD500-B500*INT(AD500/B500)))/C500)/100))),0,(IF(B500=C500,AD500/C500,(INT(AD500/B500)+(((AD500-B500*INT(AD500/B500)))/C500)/100))))</f>
        <v>0</v>
      </c>
      <c r="BQ500" s="155"/>
    </row>
    <row r="501" spans="1:69" hidden="1" x14ac:dyDescent="0.35">
      <c r="A501" s="94"/>
      <c r="B501" s="113">
        <v>0</v>
      </c>
      <c r="C501" s="113">
        <v>250</v>
      </c>
      <c r="D501" s="28">
        <f>SUM(AA501:AD501)</f>
        <v>0</v>
      </c>
      <c r="E501" s="113">
        <v>0</v>
      </c>
      <c r="F501" s="113">
        <v>0</v>
      </c>
      <c r="G501" s="28">
        <f>SUM(D501:F501)</f>
        <v>0</v>
      </c>
      <c r="H501" s="125">
        <v>0</v>
      </c>
      <c r="I501" s="113">
        <v>0</v>
      </c>
      <c r="J501" s="125">
        <v>0</v>
      </c>
      <c r="K501" s="113">
        <v>0</v>
      </c>
      <c r="L501" s="113">
        <v>0</v>
      </c>
      <c r="M501" s="113">
        <v>0</v>
      </c>
      <c r="N501" s="28">
        <f>G501-SUM(H501:M501)</f>
        <v>0</v>
      </c>
      <c r="O501" s="28">
        <f>SUM(V501:Y501)</f>
        <v>0</v>
      </c>
      <c r="P501" s="28">
        <f>O501-N501</f>
        <v>0</v>
      </c>
      <c r="Q501" s="61" t="str">
        <f>IF(ISERROR(P501/SUM(H501:L501)),"",P501/SUM(H501:L501))</f>
        <v/>
      </c>
      <c r="R501" s="113">
        <v>0</v>
      </c>
      <c r="S501" s="28">
        <f>IF(ISERROR(P501/C501*R501),0,(P501/C501*R501))</f>
        <v>0</v>
      </c>
      <c r="T501" s="60">
        <f>IF(ISERROR(P501/B501*AF501),0,(P501/B501*AF501))</f>
        <v>0</v>
      </c>
      <c r="V501" s="113">
        <v>0</v>
      </c>
      <c r="W501" s="113">
        <v>0</v>
      </c>
      <c r="X501" s="113">
        <v>0</v>
      </c>
      <c r="Y501" s="113">
        <v>0</v>
      </c>
      <c r="AA501" s="113">
        <v>0</v>
      </c>
      <c r="AB501" s="113">
        <v>0</v>
      </c>
      <c r="AC501" s="113">
        <v>0</v>
      </c>
      <c r="AD501" s="113">
        <v>0</v>
      </c>
      <c r="AF501" s="113">
        <v>0</v>
      </c>
      <c r="AG501" s="28">
        <f>G501-O501</f>
        <v>0</v>
      </c>
      <c r="AH501" s="58">
        <f>IF(ISERROR(AG501/B501*AF501),0,(AG501/B501*AF501))</f>
        <v>0</v>
      </c>
      <c r="AI501" s="28">
        <f>SUM(H501:M501)</f>
        <v>0</v>
      </c>
      <c r="AJ501" s="28">
        <f>IF(ISERROR(AI501/B501*AF501),0,(AI501/B501*AF501))</f>
        <v>0</v>
      </c>
      <c r="AK501" s="58">
        <f>IF(ISERROR(O501/B501*AF501),0,(O501/B501*AF501))</f>
        <v>0</v>
      </c>
      <c r="AL501" s="28">
        <f>IF(ISERROR(H501/B501*AF501),0,(H501/B501*AF501))</f>
        <v>0</v>
      </c>
      <c r="AN501" s="51">
        <f>A501</f>
        <v>0</v>
      </c>
      <c r="AO501" s="57">
        <f>IF(ISERROR(IF(B501=C501,D501/C501,(INT(D501/B501)+(((D501-B501*INT(D501/B501)))/C501)/100))),0,(IF(B501=C501,D501/C501,(INT(D501/B501)+(((D501-B501*INT(D501/B501)))/C501)/100))))</f>
        <v>0</v>
      </c>
      <c r="AP501" s="57">
        <f>IF(ISERROR(IF(B501=C501,E501/C501,(INT(E501/B501)+(((E501-B501*INT(E501/B501)))/C501)/100))),0,(IF(B501=C501,E501/C501,(INT(E501/B501)+(((E501-B501*INT(E501/B501)))/C501)/100))))</f>
        <v>0</v>
      </c>
      <c r="AQ501" s="57">
        <f>IF(ISERROR(IF(B501=C501,F501/C501,IF((INT(F501/B501)+(((F501-B501*INT(F501/B501)))/C501)/100)&lt;0,(INT(F501/B501)+(((F501-B501*INT(F501/B501)))/C501)/100)+(1-(B501/C501/100)),(INT(F501/B501)+(((F501-B501*INT(F501/B501)))/C501)/100)))),0,IF(B501=C501,F501/C501,IF((INT(F501/B501)+(((F501-B501*INT(F501/B501)))/C501)/100)&lt;0,(INT(F501/B501)+(((F501-B501*INT(F501/B501)))/C501)/100)+(1-(B501/C501/100)),(INT(F501/B501)+(((F501-B501*INT(F501/B501)))/C501)/100))))</f>
        <v>0</v>
      </c>
      <c r="AR501" s="57">
        <f>IF(ISERROR(IF(B501=C501,G501/C501,(INT(G501/B501)+(((G501-B501*INT(G501/B501)))/C501)/100))),0,(IF(B501=C501,G501/C501,(INT(G501/B501)+(((G501-B501*INT(G501/B501)))/C501)/100))))</f>
        <v>0</v>
      </c>
      <c r="AS501" s="57">
        <f>IF(ISERROR(IF(B501=C501,H501/C501,(INT(H501/B501)+(((H501-B501*INT(H501/B501)))/C501)/100))),0,(IF(B501=C501,H501/C501,(INT(H501/B501)+(((H501-B501*INT(H501/B501)))/C501)/100))))</f>
        <v>0</v>
      </c>
      <c r="AT501" s="57">
        <f>IF(ISERROR(IF(B501=C501,I501/C501,(INT(I501/B501)+(((I501-B501*INT(I501/B501)))/C501)/100))),0,(IF(B501=C501,I501/C501,(INT(I501/B501)+(((I501-B501*INT(I501/B501)))/C501)/100))))</f>
        <v>0</v>
      </c>
      <c r="AU501" s="57">
        <f>IF(ISERROR(IF(B501=C501,J501/C501,(INT(J501/B501)+(((J501-B501*INT(J501/B501)))/C501)/100))),0,(IF(B501=C501,J501/C501,(INT(J501/B501)+(((J501-B501*INT(J501/B501)))/C501)/100))))</f>
        <v>0</v>
      </c>
      <c r="AV501" s="57">
        <f>IF(ISERROR(IF(B501=C501,K501/C501,IF((INT(K501/B501)+(((K501-B501*INT(K501/B501)))/C501)/100)&lt;0,(INT(K501/B501)+(((K501-B501*INT(K501/B501)))/C501)/100)+(1-(B501/C501/100)),(INT(K501/B501)+(((K501-B501*INT(K501/B501)))/C501)/100)))),0,IF(B501=C501,K501/C501,IF((INT(K501/B501)+(((K501-B501*INT(K501/B501)))/C501)/100)&lt;0,(INT(K501/B501)+(((K501-B501*INT(K501/B501)))/C501)/100)+(1-(B501/C501/100)),(INT(K501/B501)+(((K501-B501*INT(K501/B501)))/C501)/100))))</f>
        <v>0</v>
      </c>
      <c r="AW501" s="57">
        <f>IF(ISERROR(IF(B501=C501,L501/C501,(INT(L501/B501)+(((L501-B501*INT(L501/B501)))/C501)/100))),0,(IF(B501=C501,L501/C501,(INT(L501/B501)+(((L501-B501*INT(L501/B501)))/C501)/100))))</f>
        <v>0</v>
      </c>
      <c r="AX501" s="57">
        <f>IF(ISERROR(IF(B501=C501,M501/C501,(INT(M501/B501)+(((M501-B501*INT(M501/B501)))/C501)/100))),0,(IF(B501=C501,M501/C501,(INT(M501/B501)+(((M501-B501*INT(M501/B501)))/C501)/100))))</f>
        <v>0</v>
      </c>
      <c r="AY501" s="57">
        <f>IF(ISERROR(IF(B501=C501,N501/C501,IF((INT(N501/B501)+(((N501-B501*INT(N501/B501)))/C501)/100)&lt;0,(INT(N501/B501)+(((N501-B501*INT(N501/B501)))/C501)/100)+(1-(B501/C501/100)),(INT(N501/B501)+(((N501-B501*INT(N501/B501)))/C501)/100)))),0,IF(B501=C501,N501/C501,IF((INT(N501/B501)+(((N501-B501*INT(N501/B501)))/C501)/100)&lt;0,(INT(N501/B501)+(((N501-B501*INT(N501/B501)))/C501)/100)+(1-(B501/C501/100)),(INT(N501/B501)+(((N501-B501*INT(N501/B501)))/C501)/100))))</f>
        <v>0</v>
      </c>
      <c r="AZ501" s="57">
        <f>IF(ISERROR(IF(B501=C501,O501/C501,(INT(O501/B501)+(((O501-B501*INT(O501/B501)))/C501)/100))),0,(IF(B501=C501,O501/C501,(INT(O501/B501)+(((O501-B501*INT(O501/B501)))/C501)/100))))</f>
        <v>0</v>
      </c>
      <c r="BA501" s="57">
        <f>IF(ISERROR(IF(B501=C501,P501/C501,IF((INT(P501/B501)+(((P501-B501*INT(P501/B501)))/C501)/100)&lt;0,(INT(P501/B501)+(((P501-B501*INT(P501/B501)))/C501)/100)+(1-(B501/C501/100)),(INT(P501/B501)+(((P501-B501*INT(P501/B501)))/C501)/100)))),0,IF(B501=C501,P501/C501,IF((INT(P501/B501)+(((P501-B501*INT(P501/B501)))/C501)/100)&lt;0,(INT(P501/B501)+(((P501-B501*INT(P501/B501)))/C501)/100)+(1-(B501/C501/100)),(INT(P501/B501)+(((P501-B501*INT(P501/B501)))/C501)/100))))</f>
        <v>0</v>
      </c>
      <c r="BB501" s="28">
        <f>R501</f>
        <v>0</v>
      </c>
      <c r="BC501" s="28">
        <f>S501</f>
        <v>0</v>
      </c>
      <c r="BD501" s="28">
        <f>AF501</f>
        <v>0</v>
      </c>
      <c r="BE501" s="28">
        <f>T501</f>
        <v>0</v>
      </c>
      <c r="BG501" s="57">
        <f>IF(ISERROR(IF(B501=C501,V501/C501,(INT(V501/B501)+(((V501-B501*INT(V501/B501)))/C501)/100))),0,(IF(B501=C501,V501/C501,(INT(V501/B501)+(((V501-B501*INT(V501/B501)))/C501)/100))))</f>
        <v>0</v>
      </c>
      <c r="BH501" s="57">
        <f>IF(ISERROR(IF(B501=C501,W501/C501,(INT(W501/B501)+(((W501-B501*INT(W501/B501)))/C501)/100))),0,(IF(B501=C501,W501/C501,(INT(W501/B501)+(((W501-B501*INT(W501/B501)))/C501)/100))))</f>
        <v>0</v>
      </c>
      <c r="BI501" s="57">
        <f>IF(ISERROR(IF(B501=C501,X501/C501,(INT(X501/B501)+(((X501-B501*INT(X501/B501)))/C501)/100))),0,(IF(B501=C501,X501/C501,(INT(X501/B501)+(((X501-B501*INT(X501/B501)))/C501)/100))))</f>
        <v>0</v>
      </c>
      <c r="BJ501" s="57">
        <f>IF(ISERROR(IF(B501=C501,Y501/C501,(INT(Y501/B501)+(((Y501-B501*INT(Y501/B501)))/C501)/100))),0,(IF(B501=C501,Y501/C501,(INT(Y501/B501)+(((Y501-B501*INT(Y501/B501)))/C501)/100))))</f>
        <v>0</v>
      </c>
      <c r="BL501" s="57">
        <f>IF(ISERROR(IF(B501=C501,AA501/C501,(INT(AA501/B501)+(((AA501-B501*INT(AA501/B501)))/C501)/100))),0,(IF(B501=C501,AA501/C501,(INT(AA501/B501)+(((AA501-B501*INT(AA501/B501)))/C501)/100))))</f>
        <v>0</v>
      </c>
      <c r="BM501" s="57">
        <f>IF(ISERROR(IF(B501=C501,AB501/C501,(INT(AB501/B501)+(((AB501-B501*INT(AB501/B501)))/C501)/100))),0,(IF(B501=C501,AB501/C501,(INT(AB501/B501)+(((AB501-B501*INT(AB501/B501)))/C501)/100))))</f>
        <v>0</v>
      </c>
      <c r="BN501" s="57">
        <f>IF(ISERROR(IF(B501=C501,AC501/C501,(INT(AC501/B501)+(((AC501-B501*INT(AC501/B501)))/C501)/100))),0,(IF(B501=C501,AC501/C501,(INT(AC501/B501)+(((AC501-B501*INT(AC501/B501)))/C501)/100))))</f>
        <v>0</v>
      </c>
      <c r="BO501" s="57">
        <f>IF(ISERROR(IF(B501=C501,AD501/C501,(INT(AD501/B501)+(((AD501-B501*INT(AD501/B501)))/C501)/100))),0,(IF(B501=C501,AD501/C501,(INT(AD501/B501)+(((AD501-B501*INT(AD501/B501)))/C501)/100))))</f>
        <v>0</v>
      </c>
      <c r="BQ501" s="155"/>
    </row>
    <row r="502" spans="1:69" hidden="1" x14ac:dyDescent="0.35">
      <c r="A502" s="94"/>
      <c r="B502" s="113">
        <v>0</v>
      </c>
      <c r="C502" s="113">
        <v>250</v>
      </c>
      <c r="D502" s="28">
        <f>SUM(AA502:AD502)</f>
        <v>0</v>
      </c>
      <c r="E502" s="113">
        <v>0</v>
      </c>
      <c r="F502" s="113">
        <v>0</v>
      </c>
      <c r="G502" s="28">
        <f>SUM(D502:F502)</f>
        <v>0</v>
      </c>
      <c r="H502" s="125">
        <v>0</v>
      </c>
      <c r="I502" s="113">
        <v>0</v>
      </c>
      <c r="J502" s="125">
        <v>0</v>
      </c>
      <c r="K502" s="113">
        <v>0</v>
      </c>
      <c r="L502" s="113">
        <v>0</v>
      </c>
      <c r="M502" s="113">
        <v>0</v>
      </c>
      <c r="N502" s="28">
        <f>G502-SUM(H502:M502)</f>
        <v>0</v>
      </c>
      <c r="O502" s="28">
        <f>SUM(V502:Y502)</f>
        <v>0</v>
      </c>
      <c r="P502" s="28">
        <f>O502-N502</f>
        <v>0</v>
      </c>
      <c r="Q502" s="61" t="str">
        <f>IF(ISERROR(P502/SUM(H502:L502)),"",P502/SUM(H502:L502))</f>
        <v/>
      </c>
      <c r="R502" s="113">
        <v>0</v>
      </c>
      <c r="S502" s="28">
        <f>IF(ISERROR(P502/C502*R502),0,(P502/C502*R502))</f>
        <v>0</v>
      </c>
      <c r="T502" s="60">
        <f>IF(ISERROR(P502/B502*AF502),0,(P502/B502*AF502))</f>
        <v>0</v>
      </c>
      <c r="V502" s="113">
        <v>0</v>
      </c>
      <c r="W502" s="113">
        <v>0</v>
      </c>
      <c r="X502" s="113">
        <v>0</v>
      </c>
      <c r="Y502" s="113">
        <v>0</v>
      </c>
      <c r="AA502" s="113">
        <v>0</v>
      </c>
      <c r="AB502" s="113">
        <v>0</v>
      </c>
      <c r="AC502" s="113">
        <v>0</v>
      </c>
      <c r="AD502" s="113">
        <v>0</v>
      </c>
      <c r="AF502" s="113">
        <v>0</v>
      </c>
      <c r="AG502" s="28">
        <f>G502-O502</f>
        <v>0</v>
      </c>
      <c r="AH502" s="58">
        <f>IF(ISERROR(AG502/B502*AF502),0,(AG502/B502*AF502))</f>
        <v>0</v>
      </c>
      <c r="AI502" s="28">
        <f>SUM(H502:M502)</f>
        <v>0</v>
      </c>
      <c r="AJ502" s="28">
        <f>IF(ISERROR(AI502/B502*AF502),0,(AI502/B502*AF502))</f>
        <v>0</v>
      </c>
      <c r="AK502" s="58">
        <f>IF(ISERROR(O502/B502*AF502),0,(O502/B502*AF502))</f>
        <v>0</v>
      </c>
      <c r="AL502" s="28">
        <f>IF(ISERROR(H502/B502*AF502),0,(H502/B502*AF502))</f>
        <v>0</v>
      </c>
      <c r="AN502" s="51">
        <f>A502</f>
        <v>0</v>
      </c>
      <c r="AO502" s="57">
        <f>IF(ISERROR(IF(B502=C502,D502/C502,(INT(D502/B502)+(((D502-B502*INT(D502/B502)))/C502)/100))),0,(IF(B502=C502,D502/C502,(INT(D502/B502)+(((D502-B502*INT(D502/B502)))/C502)/100))))</f>
        <v>0</v>
      </c>
      <c r="AP502" s="57">
        <f>IF(ISERROR(IF(B502=C502,E502/C502,(INT(E502/B502)+(((E502-B502*INT(E502/B502)))/C502)/100))),0,(IF(B502=C502,E502/C502,(INT(E502/B502)+(((E502-B502*INT(E502/B502)))/C502)/100))))</f>
        <v>0</v>
      </c>
      <c r="AQ502" s="57">
        <f>IF(ISERROR(IF(B502=C502,F502/C502,IF((INT(F502/B502)+(((F502-B502*INT(F502/B502)))/C502)/100)&lt;0,(INT(F502/B502)+(((F502-B502*INT(F502/B502)))/C502)/100)+(1-(B502/C502/100)),(INT(F502/B502)+(((F502-B502*INT(F502/B502)))/C502)/100)))),0,IF(B502=C502,F502/C502,IF((INT(F502/B502)+(((F502-B502*INT(F502/B502)))/C502)/100)&lt;0,(INT(F502/B502)+(((F502-B502*INT(F502/B502)))/C502)/100)+(1-(B502/C502/100)),(INT(F502/B502)+(((F502-B502*INT(F502/B502)))/C502)/100))))</f>
        <v>0</v>
      </c>
      <c r="AR502" s="57">
        <f>IF(ISERROR(IF(B502=C502,G502/C502,(INT(G502/B502)+(((G502-B502*INT(G502/B502)))/C502)/100))),0,(IF(B502=C502,G502/C502,(INT(G502/B502)+(((G502-B502*INT(G502/B502)))/C502)/100))))</f>
        <v>0</v>
      </c>
      <c r="AS502" s="57">
        <f>IF(ISERROR(IF(B502=C502,H502/C502,(INT(H502/B502)+(((H502-B502*INT(H502/B502)))/C502)/100))),0,(IF(B502=C502,H502/C502,(INT(H502/B502)+(((H502-B502*INT(H502/B502)))/C502)/100))))</f>
        <v>0</v>
      </c>
      <c r="AT502" s="57">
        <f>IF(ISERROR(IF(B502=C502,I502/C502,(INT(I502/B502)+(((I502-B502*INT(I502/B502)))/C502)/100))),0,(IF(B502=C502,I502/C502,(INT(I502/B502)+(((I502-B502*INT(I502/B502)))/C502)/100))))</f>
        <v>0</v>
      </c>
      <c r="AU502" s="57">
        <f>IF(ISERROR(IF(B502=C502,J502/C502,(INT(J502/B502)+(((J502-B502*INT(J502/B502)))/C502)/100))),0,(IF(B502=C502,J502/C502,(INT(J502/B502)+(((J502-B502*INT(J502/B502)))/C502)/100))))</f>
        <v>0</v>
      </c>
      <c r="AV502" s="57">
        <f>IF(ISERROR(IF(B502=C502,K502/C502,IF((INT(K502/B502)+(((K502-B502*INT(K502/B502)))/C502)/100)&lt;0,(INT(K502/B502)+(((K502-B502*INT(K502/B502)))/C502)/100)+(1-(B502/C502/100)),(INT(K502/B502)+(((K502-B502*INT(K502/B502)))/C502)/100)))),0,IF(B502=C502,K502/C502,IF((INT(K502/B502)+(((K502-B502*INT(K502/B502)))/C502)/100)&lt;0,(INT(K502/B502)+(((K502-B502*INT(K502/B502)))/C502)/100)+(1-(B502/C502/100)),(INT(K502/B502)+(((K502-B502*INT(K502/B502)))/C502)/100))))</f>
        <v>0</v>
      </c>
      <c r="AW502" s="57">
        <f>IF(ISERROR(IF(B502=C502,L502/C502,(INT(L502/B502)+(((L502-B502*INT(L502/B502)))/C502)/100))),0,(IF(B502=C502,L502/C502,(INT(L502/B502)+(((L502-B502*INT(L502/B502)))/C502)/100))))</f>
        <v>0</v>
      </c>
      <c r="AX502" s="57">
        <f>IF(ISERROR(IF(B502=C502,M502/C502,(INT(M502/B502)+(((M502-B502*INT(M502/B502)))/C502)/100))),0,(IF(B502=C502,M502/C502,(INT(M502/B502)+(((M502-B502*INT(M502/B502)))/C502)/100))))</f>
        <v>0</v>
      </c>
      <c r="AY502" s="57">
        <f>IF(ISERROR(IF(B502=C502,N502/C502,IF((INT(N502/B502)+(((N502-B502*INT(N502/B502)))/C502)/100)&lt;0,(INT(N502/B502)+(((N502-B502*INT(N502/B502)))/C502)/100)+(1-(B502/C502/100)),(INT(N502/B502)+(((N502-B502*INT(N502/B502)))/C502)/100)))),0,IF(B502=C502,N502/C502,IF((INT(N502/B502)+(((N502-B502*INT(N502/B502)))/C502)/100)&lt;0,(INT(N502/B502)+(((N502-B502*INT(N502/B502)))/C502)/100)+(1-(B502/C502/100)),(INT(N502/B502)+(((N502-B502*INT(N502/B502)))/C502)/100))))</f>
        <v>0</v>
      </c>
      <c r="AZ502" s="57">
        <f>IF(ISERROR(IF(B502=C502,O502/C502,(INT(O502/B502)+(((O502-B502*INT(O502/B502)))/C502)/100))),0,(IF(B502=C502,O502/C502,(INT(O502/B502)+(((O502-B502*INT(O502/B502)))/C502)/100))))</f>
        <v>0</v>
      </c>
      <c r="BA502" s="57">
        <f>IF(ISERROR(IF(B502=C502,P502/C502,IF((INT(P502/B502)+(((P502-B502*INT(P502/B502)))/C502)/100)&lt;0,(INT(P502/B502)+(((P502-B502*INT(P502/B502)))/C502)/100)+(1-(B502/C502/100)),(INT(P502/B502)+(((P502-B502*INT(P502/B502)))/C502)/100)))),0,IF(B502=C502,P502/C502,IF((INT(P502/B502)+(((P502-B502*INT(P502/B502)))/C502)/100)&lt;0,(INT(P502/B502)+(((P502-B502*INT(P502/B502)))/C502)/100)+(1-(B502/C502/100)),(INT(P502/B502)+(((P502-B502*INT(P502/B502)))/C502)/100))))</f>
        <v>0</v>
      </c>
      <c r="BB502" s="28">
        <f>R502</f>
        <v>0</v>
      </c>
      <c r="BC502" s="28">
        <f>S502</f>
        <v>0</v>
      </c>
      <c r="BD502" s="28">
        <f>AF502</f>
        <v>0</v>
      </c>
      <c r="BE502" s="28">
        <f>T502</f>
        <v>0</v>
      </c>
      <c r="BG502" s="57">
        <f>IF(ISERROR(IF(B502=C502,V502/C502,(INT(V502/B502)+(((V502-B502*INT(V502/B502)))/C502)/100))),0,(IF(B502=C502,V502/C502,(INT(V502/B502)+(((V502-B502*INT(V502/B502)))/C502)/100))))</f>
        <v>0</v>
      </c>
      <c r="BH502" s="57">
        <f>IF(ISERROR(IF(B502=C502,W502/C502,(INT(W502/B502)+(((W502-B502*INT(W502/B502)))/C502)/100))),0,(IF(B502=C502,W502/C502,(INT(W502/B502)+(((W502-B502*INT(W502/B502)))/C502)/100))))</f>
        <v>0</v>
      </c>
      <c r="BI502" s="57">
        <f>IF(ISERROR(IF(B502=C502,X502/C502,(INT(X502/B502)+(((X502-B502*INT(X502/B502)))/C502)/100))),0,(IF(B502=C502,X502/C502,(INT(X502/B502)+(((X502-B502*INT(X502/B502)))/C502)/100))))</f>
        <v>0</v>
      </c>
      <c r="BJ502" s="57">
        <f>IF(ISERROR(IF(B502=C502,Y502/C502,(INT(Y502/B502)+(((Y502-B502*INT(Y502/B502)))/C502)/100))),0,(IF(B502=C502,Y502/C502,(INT(Y502/B502)+(((Y502-B502*INT(Y502/B502)))/C502)/100))))</f>
        <v>0</v>
      </c>
      <c r="BL502" s="57">
        <f>IF(ISERROR(IF(B502=C502,AA502/C502,(INT(AA502/B502)+(((AA502-B502*INT(AA502/B502)))/C502)/100))),0,(IF(B502=C502,AA502/C502,(INT(AA502/B502)+(((AA502-B502*INT(AA502/B502)))/C502)/100))))</f>
        <v>0</v>
      </c>
      <c r="BM502" s="57">
        <f>IF(ISERROR(IF(B502=C502,AB502/C502,(INT(AB502/B502)+(((AB502-B502*INT(AB502/B502)))/C502)/100))),0,(IF(B502=C502,AB502/C502,(INT(AB502/B502)+(((AB502-B502*INT(AB502/B502)))/C502)/100))))</f>
        <v>0</v>
      </c>
      <c r="BN502" s="57">
        <f>IF(ISERROR(IF(B502=C502,AC502/C502,(INT(AC502/B502)+(((AC502-B502*INT(AC502/B502)))/C502)/100))),0,(IF(B502=C502,AC502/C502,(INT(AC502/B502)+(((AC502-B502*INT(AC502/B502)))/C502)/100))))</f>
        <v>0</v>
      </c>
      <c r="BO502" s="57">
        <f>IF(ISERROR(IF(B502=C502,AD502/C502,(INT(AD502/B502)+(((AD502-B502*INT(AD502/B502)))/C502)/100))),0,(IF(B502=C502,AD502/C502,(INT(AD502/B502)+(((AD502-B502*INT(AD502/B502)))/C502)/100))))</f>
        <v>0</v>
      </c>
      <c r="BQ502" s="155"/>
    </row>
    <row r="503" spans="1:69" hidden="1" x14ac:dyDescent="0.35">
      <c r="A503" s="94"/>
      <c r="B503" s="113">
        <v>0</v>
      </c>
      <c r="C503" s="113">
        <v>250</v>
      </c>
      <c r="D503" s="28">
        <f>SUM(AA503:AD503)</f>
        <v>0</v>
      </c>
      <c r="E503" s="113">
        <v>0</v>
      </c>
      <c r="F503" s="113">
        <v>0</v>
      </c>
      <c r="G503" s="28">
        <f>SUM(D503:F503)</f>
        <v>0</v>
      </c>
      <c r="H503" s="125">
        <v>0</v>
      </c>
      <c r="I503" s="113">
        <v>0</v>
      </c>
      <c r="J503" s="125">
        <v>0</v>
      </c>
      <c r="K503" s="113">
        <v>0</v>
      </c>
      <c r="L503" s="113">
        <v>0</v>
      </c>
      <c r="M503" s="113">
        <v>0</v>
      </c>
      <c r="N503" s="28">
        <f>G503-SUM(H503:M503)</f>
        <v>0</v>
      </c>
      <c r="O503" s="28">
        <f>SUM(V503:Y503)</f>
        <v>0</v>
      </c>
      <c r="P503" s="28">
        <f>O503-N503</f>
        <v>0</v>
      </c>
      <c r="Q503" s="61" t="str">
        <f>IF(ISERROR(P503/SUM(H503:L503)),"",P503/SUM(H503:L503))</f>
        <v/>
      </c>
      <c r="R503" s="113">
        <v>0</v>
      </c>
      <c r="S503" s="28">
        <f>IF(ISERROR(P503/C503*R503),0,(P503/C503*R503))</f>
        <v>0</v>
      </c>
      <c r="T503" s="60">
        <f>IF(ISERROR(P503/B503*AF503),0,(P503/B503*AF503))</f>
        <v>0</v>
      </c>
      <c r="V503" s="113">
        <v>0</v>
      </c>
      <c r="W503" s="113">
        <v>0</v>
      </c>
      <c r="X503" s="113">
        <v>0</v>
      </c>
      <c r="Y503" s="113">
        <v>0</v>
      </c>
      <c r="AA503" s="113">
        <v>0</v>
      </c>
      <c r="AB503" s="113">
        <v>0</v>
      </c>
      <c r="AC503" s="113">
        <v>0</v>
      </c>
      <c r="AD503" s="113">
        <v>0</v>
      </c>
      <c r="AF503" s="113">
        <v>0</v>
      </c>
      <c r="AG503" s="28">
        <f>G503-O503</f>
        <v>0</v>
      </c>
      <c r="AH503" s="58">
        <f>IF(ISERROR(AG503/B503*AF503),0,(AG503/B503*AF503))</f>
        <v>0</v>
      </c>
      <c r="AI503" s="28">
        <f>SUM(H503:M503)</f>
        <v>0</v>
      </c>
      <c r="AJ503" s="28">
        <f>IF(ISERROR(AI503/B503*AF503),0,(AI503/B503*AF503))</f>
        <v>0</v>
      </c>
      <c r="AK503" s="58">
        <f>IF(ISERROR(O503/B503*AF503),0,(O503/B503*AF503))</f>
        <v>0</v>
      </c>
      <c r="AL503" s="28">
        <f>IF(ISERROR(H503/B503*AF503),0,(H503/B503*AF503))</f>
        <v>0</v>
      </c>
      <c r="AN503" s="51">
        <f>A503</f>
        <v>0</v>
      </c>
      <c r="AO503" s="57">
        <f>IF(ISERROR(IF(B503=C503,D503/C503,(INT(D503/B503)+(((D503-B503*INT(D503/B503)))/C503)/100))),0,(IF(B503=C503,D503/C503,(INT(D503/B503)+(((D503-B503*INT(D503/B503)))/C503)/100))))</f>
        <v>0</v>
      </c>
      <c r="AP503" s="57">
        <f>IF(ISERROR(IF(B503=C503,E503/C503,(INT(E503/B503)+(((E503-B503*INT(E503/B503)))/C503)/100))),0,(IF(B503=C503,E503/C503,(INT(E503/B503)+(((E503-B503*INT(E503/B503)))/C503)/100))))</f>
        <v>0</v>
      </c>
      <c r="AQ503" s="57">
        <f>IF(ISERROR(IF(B503=C503,F503/C503,IF((INT(F503/B503)+(((F503-B503*INT(F503/B503)))/C503)/100)&lt;0,(INT(F503/B503)+(((F503-B503*INT(F503/B503)))/C503)/100)+(1-(B503/C503/100)),(INT(F503/B503)+(((F503-B503*INT(F503/B503)))/C503)/100)))),0,IF(B503=C503,F503/C503,IF((INT(F503/B503)+(((F503-B503*INT(F503/B503)))/C503)/100)&lt;0,(INT(F503/B503)+(((F503-B503*INT(F503/B503)))/C503)/100)+(1-(B503/C503/100)),(INT(F503/B503)+(((F503-B503*INT(F503/B503)))/C503)/100))))</f>
        <v>0</v>
      </c>
      <c r="AR503" s="57">
        <f>IF(ISERROR(IF(B503=C503,G503/C503,(INT(G503/B503)+(((G503-B503*INT(G503/B503)))/C503)/100))),0,(IF(B503=C503,G503/C503,(INT(G503/B503)+(((G503-B503*INT(G503/B503)))/C503)/100))))</f>
        <v>0</v>
      </c>
      <c r="AS503" s="57">
        <f>IF(ISERROR(IF(B503=C503,H503/C503,(INT(H503/B503)+(((H503-B503*INT(H503/B503)))/C503)/100))),0,(IF(B503=C503,H503/C503,(INT(H503/B503)+(((H503-B503*INT(H503/B503)))/C503)/100))))</f>
        <v>0</v>
      </c>
      <c r="AT503" s="57">
        <f>IF(ISERROR(IF(B503=C503,I503/C503,(INT(I503/B503)+(((I503-B503*INT(I503/B503)))/C503)/100))),0,(IF(B503=C503,I503/C503,(INT(I503/B503)+(((I503-B503*INT(I503/B503)))/C503)/100))))</f>
        <v>0</v>
      </c>
      <c r="AU503" s="57">
        <f>IF(ISERROR(IF(B503=C503,J503/C503,(INT(J503/B503)+(((J503-B503*INT(J503/B503)))/C503)/100))),0,(IF(B503=C503,J503/C503,(INT(J503/B503)+(((J503-B503*INT(J503/B503)))/C503)/100))))</f>
        <v>0</v>
      </c>
      <c r="AV503" s="57">
        <f>IF(ISERROR(IF(B503=C503,K503/C503,IF((INT(K503/B503)+(((K503-B503*INT(K503/B503)))/C503)/100)&lt;0,(INT(K503/B503)+(((K503-B503*INT(K503/B503)))/C503)/100)+(1-(B503/C503/100)),(INT(K503/B503)+(((K503-B503*INT(K503/B503)))/C503)/100)))),0,IF(B503=C503,K503/C503,IF((INT(K503/B503)+(((K503-B503*INT(K503/B503)))/C503)/100)&lt;0,(INT(K503/B503)+(((K503-B503*INT(K503/B503)))/C503)/100)+(1-(B503/C503/100)),(INT(K503/B503)+(((K503-B503*INT(K503/B503)))/C503)/100))))</f>
        <v>0</v>
      </c>
      <c r="AW503" s="57">
        <f>IF(ISERROR(IF(B503=C503,L503/C503,(INT(L503/B503)+(((L503-B503*INT(L503/B503)))/C503)/100))),0,(IF(B503=C503,L503/C503,(INT(L503/B503)+(((L503-B503*INT(L503/B503)))/C503)/100))))</f>
        <v>0</v>
      </c>
      <c r="AX503" s="57">
        <f>IF(ISERROR(IF(B503=C503,M503/C503,(INT(M503/B503)+(((M503-B503*INT(M503/B503)))/C503)/100))),0,(IF(B503=C503,M503/C503,(INT(M503/B503)+(((M503-B503*INT(M503/B503)))/C503)/100))))</f>
        <v>0</v>
      </c>
      <c r="AY503" s="57">
        <f>IF(ISERROR(IF(B503=C503,N503/C503,IF((INT(N503/B503)+(((N503-B503*INT(N503/B503)))/C503)/100)&lt;0,(INT(N503/B503)+(((N503-B503*INT(N503/B503)))/C503)/100)+(1-(B503/C503/100)),(INT(N503/B503)+(((N503-B503*INT(N503/B503)))/C503)/100)))),0,IF(B503=C503,N503/C503,IF((INT(N503/B503)+(((N503-B503*INT(N503/B503)))/C503)/100)&lt;0,(INT(N503/B503)+(((N503-B503*INT(N503/B503)))/C503)/100)+(1-(B503/C503/100)),(INT(N503/B503)+(((N503-B503*INT(N503/B503)))/C503)/100))))</f>
        <v>0</v>
      </c>
      <c r="AZ503" s="57">
        <f>IF(ISERROR(IF(B503=C503,O503/C503,(INT(O503/B503)+(((O503-B503*INT(O503/B503)))/C503)/100))),0,(IF(B503=C503,O503/C503,(INT(O503/B503)+(((O503-B503*INT(O503/B503)))/C503)/100))))</f>
        <v>0</v>
      </c>
      <c r="BA503" s="57">
        <f>IF(ISERROR(IF(B503=C503,P503/C503,IF((INT(P503/B503)+(((P503-B503*INT(P503/B503)))/C503)/100)&lt;0,(INT(P503/B503)+(((P503-B503*INT(P503/B503)))/C503)/100)+(1-(B503/C503/100)),(INT(P503/B503)+(((P503-B503*INT(P503/B503)))/C503)/100)))),0,IF(B503=C503,P503/C503,IF((INT(P503/B503)+(((P503-B503*INT(P503/B503)))/C503)/100)&lt;0,(INT(P503/B503)+(((P503-B503*INT(P503/B503)))/C503)/100)+(1-(B503/C503/100)),(INT(P503/B503)+(((P503-B503*INT(P503/B503)))/C503)/100))))</f>
        <v>0</v>
      </c>
      <c r="BB503" s="28">
        <f>R503</f>
        <v>0</v>
      </c>
      <c r="BC503" s="28">
        <f>S503</f>
        <v>0</v>
      </c>
      <c r="BD503" s="28">
        <f>AF503</f>
        <v>0</v>
      </c>
      <c r="BE503" s="28">
        <f>T503</f>
        <v>0</v>
      </c>
      <c r="BG503" s="57">
        <f>IF(ISERROR(IF(B503=C503,V503/C503,(INT(V503/B503)+(((V503-B503*INT(V503/B503)))/C503)/100))),0,(IF(B503=C503,V503/C503,(INT(V503/B503)+(((V503-B503*INT(V503/B503)))/C503)/100))))</f>
        <v>0</v>
      </c>
      <c r="BH503" s="57">
        <f>IF(ISERROR(IF(B503=C503,W503/C503,(INT(W503/B503)+(((W503-B503*INT(W503/B503)))/C503)/100))),0,(IF(B503=C503,W503/C503,(INT(W503/B503)+(((W503-B503*INT(W503/B503)))/C503)/100))))</f>
        <v>0</v>
      </c>
      <c r="BI503" s="57">
        <f>IF(ISERROR(IF(B503=C503,X503/C503,(INT(X503/B503)+(((X503-B503*INT(X503/B503)))/C503)/100))),0,(IF(B503=C503,X503/C503,(INT(X503/B503)+(((X503-B503*INT(X503/B503)))/C503)/100))))</f>
        <v>0</v>
      </c>
      <c r="BJ503" s="57">
        <f>IF(ISERROR(IF(B503=C503,Y503/C503,(INT(Y503/B503)+(((Y503-B503*INT(Y503/B503)))/C503)/100))),0,(IF(B503=C503,Y503/C503,(INT(Y503/B503)+(((Y503-B503*INT(Y503/B503)))/C503)/100))))</f>
        <v>0</v>
      </c>
      <c r="BL503" s="57">
        <f>IF(ISERROR(IF(B503=C503,AA503/C503,(INT(AA503/B503)+(((AA503-B503*INT(AA503/B503)))/C503)/100))),0,(IF(B503=C503,AA503/C503,(INT(AA503/B503)+(((AA503-B503*INT(AA503/B503)))/C503)/100))))</f>
        <v>0</v>
      </c>
      <c r="BM503" s="57">
        <f>IF(ISERROR(IF(B503=C503,AB503/C503,(INT(AB503/B503)+(((AB503-B503*INT(AB503/B503)))/C503)/100))),0,(IF(B503=C503,AB503/C503,(INT(AB503/B503)+(((AB503-B503*INT(AB503/B503)))/C503)/100))))</f>
        <v>0</v>
      </c>
      <c r="BN503" s="57">
        <f>IF(ISERROR(IF(B503=C503,AC503/C503,(INT(AC503/B503)+(((AC503-B503*INT(AC503/B503)))/C503)/100))),0,(IF(B503=C503,AC503/C503,(INT(AC503/B503)+(((AC503-B503*INT(AC503/B503)))/C503)/100))))</f>
        <v>0</v>
      </c>
      <c r="BO503" s="57">
        <f>IF(ISERROR(IF(B503=C503,AD503/C503,(INT(AD503/B503)+(((AD503-B503*INT(AD503/B503)))/C503)/100))),0,(IF(B503=C503,AD503/C503,(INT(AD503/B503)+(((AD503-B503*INT(AD503/B503)))/C503)/100))))</f>
        <v>0</v>
      </c>
      <c r="BQ503" s="155"/>
    </row>
    <row r="504" spans="1:69" hidden="1" x14ac:dyDescent="0.35">
      <c r="A504" s="94"/>
      <c r="B504" s="113">
        <v>0</v>
      </c>
      <c r="C504" s="113">
        <v>250</v>
      </c>
      <c r="D504" s="28">
        <f>SUM(AA504:AD504)</f>
        <v>0</v>
      </c>
      <c r="E504" s="113">
        <v>0</v>
      </c>
      <c r="F504" s="113">
        <v>0</v>
      </c>
      <c r="G504" s="28">
        <f>SUM(D504:F504)</f>
        <v>0</v>
      </c>
      <c r="H504" s="125">
        <v>0</v>
      </c>
      <c r="I504" s="113">
        <v>0</v>
      </c>
      <c r="J504" s="125">
        <v>0</v>
      </c>
      <c r="K504" s="113">
        <v>0</v>
      </c>
      <c r="L504" s="113">
        <v>0</v>
      </c>
      <c r="M504" s="113">
        <v>0</v>
      </c>
      <c r="N504" s="28">
        <f>G504-SUM(H504:M504)</f>
        <v>0</v>
      </c>
      <c r="O504" s="28">
        <f>SUM(V504:Y504)</f>
        <v>0</v>
      </c>
      <c r="P504" s="28">
        <f>O504-N504</f>
        <v>0</v>
      </c>
      <c r="Q504" s="61" t="str">
        <f>IF(ISERROR(P504/SUM(H504:L504)),"",P504/SUM(H504:L504))</f>
        <v/>
      </c>
      <c r="R504" s="113">
        <v>0</v>
      </c>
      <c r="S504" s="28">
        <f>IF(ISERROR(P504/C504*R504),0,(P504/C504*R504))</f>
        <v>0</v>
      </c>
      <c r="T504" s="60">
        <f>IF(ISERROR(P504/B504*AF504),0,(P504/B504*AF504))</f>
        <v>0</v>
      </c>
      <c r="V504" s="113">
        <v>0</v>
      </c>
      <c r="W504" s="113">
        <v>0</v>
      </c>
      <c r="X504" s="113">
        <v>0</v>
      </c>
      <c r="Y504" s="113">
        <v>0</v>
      </c>
      <c r="AA504" s="113">
        <v>0</v>
      </c>
      <c r="AB504" s="113">
        <v>0</v>
      </c>
      <c r="AC504" s="113">
        <v>0</v>
      </c>
      <c r="AD504" s="113">
        <v>0</v>
      </c>
      <c r="AF504" s="113">
        <v>0</v>
      </c>
      <c r="AG504" s="28">
        <f>G504-O504</f>
        <v>0</v>
      </c>
      <c r="AH504" s="58">
        <f>IF(ISERROR(AG504/B504*AF504),0,(AG504/B504*AF504))</f>
        <v>0</v>
      </c>
      <c r="AI504" s="28">
        <f>SUM(H504:M504)</f>
        <v>0</v>
      </c>
      <c r="AJ504" s="28">
        <f>IF(ISERROR(AI504/B504*AF504),0,(AI504/B504*AF504))</f>
        <v>0</v>
      </c>
      <c r="AK504" s="58">
        <f>IF(ISERROR(O504/B504*AF504),0,(O504/B504*AF504))</f>
        <v>0</v>
      </c>
      <c r="AL504" s="28">
        <f>IF(ISERROR(H504/B504*AF504),0,(H504/B504*AF504))</f>
        <v>0</v>
      </c>
      <c r="AN504" s="51">
        <f>A504</f>
        <v>0</v>
      </c>
      <c r="AO504" s="57">
        <f>IF(ISERROR(IF(B504=C504,D504/C504,(INT(D504/B504)+(((D504-B504*INT(D504/B504)))/C504)/100))),0,(IF(B504=C504,D504/C504,(INT(D504/B504)+(((D504-B504*INT(D504/B504)))/C504)/100))))</f>
        <v>0</v>
      </c>
      <c r="AP504" s="57">
        <f>IF(ISERROR(IF(B504=C504,E504/C504,(INT(E504/B504)+(((E504-B504*INT(E504/B504)))/C504)/100))),0,(IF(B504=C504,E504/C504,(INT(E504/B504)+(((E504-B504*INT(E504/B504)))/C504)/100))))</f>
        <v>0</v>
      </c>
      <c r="AQ504" s="57">
        <f>IF(ISERROR(IF(B504=C504,F504/C504,IF((INT(F504/B504)+(((F504-B504*INT(F504/B504)))/C504)/100)&lt;0,(INT(F504/B504)+(((F504-B504*INT(F504/B504)))/C504)/100)+(1-(B504/C504/100)),(INT(F504/B504)+(((F504-B504*INT(F504/B504)))/C504)/100)))),0,IF(B504=C504,F504/C504,IF((INT(F504/B504)+(((F504-B504*INT(F504/B504)))/C504)/100)&lt;0,(INT(F504/B504)+(((F504-B504*INT(F504/B504)))/C504)/100)+(1-(B504/C504/100)),(INT(F504/B504)+(((F504-B504*INT(F504/B504)))/C504)/100))))</f>
        <v>0</v>
      </c>
      <c r="AR504" s="57">
        <f>IF(ISERROR(IF(B504=C504,G504/C504,(INT(G504/B504)+(((G504-B504*INT(G504/B504)))/C504)/100))),0,(IF(B504=C504,G504/C504,(INT(G504/B504)+(((G504-B504*INT(G504/B504)))/C504)/100))))</f>
        <v>0</v>
      </c>
      <c r="AS504" s="57">
        <f>IF(ISERROR(IF(B504=C504,H504/C504,(INT(H504/B504)+(((H504-B504*INT(H504/B504)))/C504)/100))),0,(IF(B504=C504,H504/C504,(INT(H504/B504)+(((H504-B504*INT(H504/B504)))/C504)/100))))</f>
        <v>0</v>
      </c>
      <c r="AT504" s="57">
        <f>IF(ISERROR(IF(B504=C504,I504/C504,(INT(I504/B504)+(((I504-B504*INT(I504/B504)))/C504)/100))),0,(IF(B504=C504,I504/C504,(INT(I504/B504)+(((I504-B504*INT(I504/B504)))/C504)/100))))</f>
        <v>0</v>
      </c>
      <c r="AU504" s="57">
        <f>IF(ISERROR(IF(B504=C504,J504/C504,(INT(J504/B504)+(((J504-B504*INT(J504/B504)))/C504)/100))),0,(IF(B504=C504,J504/C504,(INT(J504/B504)+(((J504-B504*INT(J504/B504)))/C504)/100))))</f>
        <v>0</v>
      </c>
      <c r="AV504" s="57">
        <f>IF(ISERROR(IF(B504=C504,K504/C504,IF((INT(K504/B504)+(((K504-B504*INT(K504/B504)))/C504)/100)&lt;0,(INT(K504/B504)+(((K504-B504*INT(K504/B504)))/C504)/100)+(1-(B504/C504/100)),(INT(K504/B504)+(((K504-B504*INT(K504/B504)))/C504)/100)))),0,IF(B504=C504,K504/C504,IF((INT(K504/B504)+(((K504-B504*INT(K504/B504)))/C504)/100)&lt;0,(INT(K504/B504)+(((K504-B504*INT(K504/B504)))/C504)/100)+(1-(B504/C504/100)),(INT(K504/B504)+(((K504-B504*INT(K504/B504)))/C504)/100))))</f>
        <v>0</v>
      </c>
      <c r="AW504" s="57">
        <f>IF(ISERROR(IF(B504=C504,L504/C504,(INT(L504/B504)+(((L504-B504*INT(L504/B504)))/C504)/100))),0,(IF(B504=C504,L504/C504,(INT(L504/B504)+(((L504-B504*INT(L504/B504)))/C504)/100))))</f>
        <v>0</v>
      </c>
      <c r="AX504" s="57">
        <f>IF(ISERROR(IF(B504=C504,M504/C504,(INT(M504/B504)+(((M504-B504*INT(M504/B504)))/C504)/100))),0,(IF(B504=C504,M504/C504,(INT(M504/B504)+(((M504-B504*INT(M504/B504)))/C504)/100))))</f>
        <v>0</v>
      </c>
      <c r="AY504" s="57">
        <f>IF(ISERROR(IF(B504=C504,N504/C504,IF((INT(N504/B504)+(((N504-B504*INT(N504/B504)))/C504)/100)&lt;0,(INT(N504/B504)+(((N504-B504*INT(N504/B504)))/C504)/100)+(1-(B504/C504/100)),(INT(N504/B504)+(((N504-B504*INT(N504/B504)))/C504)/100)))),0,IF(B504=C504,N504/C504,IF((INT(N504/B504)+(((N504-B504*INT(N504/B504)))/C504)/100)&lt;0,(INT(N504/B504)+(((N504-B504*INT(N504/B504)))/C504)/100)+(1-(B504/C504/100)),(INT(N504/B504)+(((N504-B504*INT(N504/B504)))/C504)/100))))</f>
        <v>0</v>
      </c>
      <c r="AZ504" s="57">
        <f>IF(ISERROR(IF(B504=C504,O504/C504,(INT(O504/B504)+(((O504-B504*INT(O504/B504)))/C504)/100))),0,(IF(B504=C504,O504/C504,(INT(O504/B504)+(((O504-B504*INT(O504/B504)))/C504)/100))))</f>
        <v>0</v>
      </c>
      <c r="BA504" s="57">
        <f>IF(ISERROR(IF(B504=C504,P504/C504,IF((INT(P504/B504)+(((P504-B504*INT(P504/B504)))/C504)/100)&lt;0,(INT(P504/B504)+(((P504-B504*INT(P504/B504)))/C504)/100)+(1-(B504/C504/100)),(INT(P504/B504)+(((P504-B504*INT(P504/B504)))/C504)/100)))),0,IF(B504=C504,P504/C504,IF((INT(P504/B504)+(((P504-B504*INT(P504/B504)))/C504)/100)&lt;0,(INT(P504/B504)+(((P504-B504*INT(P504/B504)))/C504)/100)+(1-(B504/C504/100)),(INT(P504/B504)+(((P504-B504*INT(P504/B504)))/C504)/100))))</f>
        <v>0</v>
      </c>
      <c r="BB504" s="28">
        <f>R504</f>
        <v>0</v>
      </c>
      <c r="BC504" s="28">
        <f>S504</f>
        <v>0</v>
      </c>
      <c r="BD504" s="28">
        <f>AF504</f>
        <v>0</v>
      </c>
      <c r="BE504" s="28">
        <f>T504</f>
        <v>0</v>
      </c>
      <c r="BG504" s="57">
        <f>IF(ISERROR(IF(B504=C504,V504/C504,(INT(V504/B504)+(((V504-B504*INT(V504/B504)))/C504)/100))),0,(IF(B504=C504,V504/C504,(INT(V504/B504)+(((V504-B504*INT(V504/B504)))/C504)/100))))</f>
        <v>0</v>
      </c>
      <c r="BH504" s="57">
        <f>IF(ISERROR(IF(B504=C504,W504/C504,(INT(W504/B504)+(((W504-B504*INT(W504/B504)))/C504)/100))),0,(IF(B504=C504,W504/C504,(INT(W504/B504)+(((W504-B504*INT(W504/B504)))/C504)/100))))</f>
        <v>0</v>
      </c>
      <c r="BI504" s="57">
        <f>IF(ISERROR(IF(B504=C504,X504/C504,(INT(X504/B504)+(((X504-B504*INT(X504/B504)))/C504)/100))),0,(IF(B504=C504,X504/C504,(INT(X504/B504)+(((X504-B504*INT(X504/B504)))/C504)/100))))</f>
        <v>0</v>
      </c>
      <c r="BJ504" s="57">
        <f>IF(ISERROR(IF(B504=C504,Y504/C504,(INT(Y504/B504)+(((Y504-B504*INT(Y504/B504)))/C504)/100))),0,(IF(B504=C504,Y504/C504,(INT(Y504/B504)+(((Y504-B504*INT(Y504/B504)))/C504)/100))))</f>
        <v>0</v>
      </c>
      <c r="BL504" s="57">
        <f>IF(ISERROR(IF(B504=C504,AA504/C504,(INT(AA504/B504)+(((AA504-B504*INT(AA504/B504)))/C504)/100))),0,(IF(B504=C504,AA504/C504,(INT(AA504/B504)+(((AA504-B504*INT(AA504/B504)))/C504)/100))))</f>
        <v>0</v>
      </c>
      <c r="BM504" s="57">
        <f>IF(ISERROR(IF(B504=C504,AB504/C504,(INT(AB504/B504)+(((AB504-B504*INT(AB504/B504)))/C504)/100))),0,(IF(B504=C504,AB504/C504,(INT(AB504/B504)+(((AB504-B504*INT(AB504/B504)))/C504)/100))))</f>
        <v>0</v>
      </c>
      <c r="BN504" s="57">
        <f>IF(ISERROR(IF(B504=C504,AC504/C504,(INT(AC504/B504)+(((AC504-B504*INT(AC504/B504)))/C504)/100))),0,(IF(B504=C504,AC504/C504,(INT(AC504/B504)+(((AC504-B504*INT(AC504/B504)))/C504)/100))))</f>
        <v>0</v>
      </c>
      <c r="BO504" s="57">
        <f>IF(ISERROR(IF(B504=C504,AD504/C504,(INT(AD504/B504)+(((AD504-B504*INT(AD504/B504)))/C504)/100))),0,(IF(B504=C504,AD504/C504,(INT(AD504/B504)+(((AD504-B504*INT(AD504/B504)))/C504)/100))))</f>
        <v>0</v>
      </c>
      <c r="BQ504" s="155"/>
    </row>
    <row r="505" spans="1:69" hidden="1" x14ac:dyDescent="0.35">
      <c r="A505" s="94"/>
      <c r="B505" s="113">
        <v>0</v>
      </c>
      <c r="C505" s="113">
        <v>250</v>
      </c>
      <c r="D505" s="28">
        <f>SUM(AA505:AD505)</f>
        <v>0</v>
      </c>
      <c r="E505" s="113">
        <v>0</v>
      </c>
      <c r="F505" s="113">
        <v>0</v>
      </c>
      <c r="G505" s="28">
        <f>SUM(D505:F505)</f>
        <v>0</v>
      </c>
      <c r="H505" s="125">
        <v>0</v>
      </c>
      <c r="I505" s="113">
        <v>0</v>
      </c>
      <c r="J505" s="125">
        <v>0</v>
      </c>
      <c r="K505" s="113">
        <v>0</v>
      </c>
      <c r="L505" s="113">
        <v>0</v>
      </c>
      <c r="M505" s="113">
        <v>0</v>
      </c>
      <c r="N505" s="28">
        <f>G505-SUM(H505:M505)</f>
        <v>0</v>
      </c>
      <c r="O505" s="28">
        <f>SUM(V505:Y505)</f>
        <v>0</v>
      </c>
      <c r="P505" s="28">
        <f>O505-N505</f>
        <v>0</v>
      </c>
      <c r="Q505" s="61" t="str">
        <f>IF(ISERROR(P505/SUM(H505:L505)),"",P505/SUM(H505:L505))</f>
        <v/>
      </c>
      <c r="R505" s="113">
        <v>0</v>
      </c>
      <c r="S505" s="28">
        <f>IF(ISERROR(P505/C505*R505),0,(P505/C505*R505))</f>
        <v>0</v>
      </c>
      <c r="T505" s="60">
        <f>IF(ISERROR(P505/B505*AF505),0,(P505/B505*AF505))</f>
        <v>0</v>
      </c>
      <c r="V505" s="113">
        <v>0</v>
      </c>
      <c r="W505" s="113">
        <v>0</v>
      </c>
      <c r="X505" s="113">
        <v>0</v>
      </c>
      <c r="Y505" s="113">
        <v>0</v>
      </c>
      <c r="AA505" s="113">
        <v>0</v>
      </c>
      <c r="AB505" s="113">
        <v>0</v>
      </c>
      <c r="AC505" s="113">
        <v>0</v>
      </c>
      <c r="AD505" s="113">
        <v>0</v>
      </c>
      <c r="AF505" s="113">
        <v>0</v>
      </c>
      <c r="AG505" s="28">
        <f>G505-O505</f>
        <v>0</v>
      </c>
      <c r="AH505" s="58">
        <f>IF(ISERROR(AG505/B505*AF505),0,(AG505/B505*AF505))</f>
        <v>0</v>
      </c>
      <c r="AI505" s="28">
        <f>SUM(H505:M505)</f>
        <v>0</v>
      </c>
      <c r="AJ505" s="28">
        <f>IF(ISERROR(AI505/B505*AF505),0,(AI505/B505*AF505))</f>
        <v>0</v>
      </c>
      <c r="AK505" s="58">
        <f>IF(ISERROR(O505/B505*AF505),0,(O505/B505*AF505))</f>
        <v>0</v>
      </c>
      <c r="AL505" s="28">
        <f>IF(ISERROR(H505/B505*AF505),0,(H505/B505*AF505))</f>
        <v>0</v>
      </c>
      <c r="AN505" s="51">
        <f>A505</f>
        <v>0</v>
      </c>
      <c r="AO505" s="57">
        <f>IF(ISERROR(IF(B505=C505,D505/C505,(INT(D505/B505)+(((D505-B505*INT(D505/B505)))/C505)/100))),0,(IF(B505=C505,D505/C505,(INT(D505/B505)+(((D505-B505*INT(D505/B505)))/C505)/100))))</f>
        <v>0</v>
      </c>
      <c r="AP505" s="57">
        <f>IF(ISERROR(IF(B505=C505,E505/C505,(INT(E505/B505)+(((E505-B505*INT(E505/B505)))/C505)/100))),0,(IF(B505=C505,E505/C505,(INT(E505/B505)+(((E505-B505*INT(E505/B505)))/C505)/100))))</f>
        <v>0</v>
      </c>
      <c r="AQ505" s="57">
        <f>IF(ISERROR(IF(B505=C505,F505/C505,IF((INT(F505/B505)+(((F505-B505*INT(F505/B505)))/C505)/100)&lt;0,(INT(F505/B505)+(((F505-B505*INT(F505/B505)))/C505)/100)+(1-(B505/C505/100)),(INT(F505/B505)+(((F505-B505*INT(F505/B505)))/C505)/100)))),0,IF(B505=C505,F505/C505,IF((INT(F505/B505)+(((F505-B505*INT(F505/B505)))/C505)/100)&lt;0,(INT(F505/B505)+(((F505-B505*INT(F505/B505)))/C505)/100)+(1-(B505/C505/100)),(INT(F505/B505)+(((F505-B505*INT(F505/B505)))/C505)/100))))</f>
        <v>0</v>
      </c>
      <c r="AR505" s="57">
        <f>IF(ISERROR(IF(B505=C505,G505/C505,(INT(G505/B505)+(((G505-B505*INT(G505/B505)))/C505)/100))),0,(IF(B505=C505,G505/C505,(INT(G505/B505)+(((G505-B505*INT(G505/B505)))/C505)/100))))</f>
        <v>0</v>
      </c>
      <c r="AS505" s="57">
        <f>IF(ISERROR(IF(B505=C505,H505/C505,(INT(H505/B505)+(((H505-B505*INT(H505/B505)))/C505)/100))),0,(IF(B505=C505,H505/C505,(INT(H505/B505)+(((H505-B505*INT(H505/B505)))/C505)/100))))</f>
        <v>0</v>
      </c>
      <c r="AT505" s="57">
        <f>IF(ISERROR(IF(B505=C505,I505/C505,(INT(I505/B505)+(((I505-B505*INT(I505/B505)))/C505)/100))),0,(IF(B505=C505,I505/C505,(INT(I505/B505)+(((I505-B505*INT(I505/B505)))/C505)/100))))</f>
        <v>0</v>
      </c>
      <c r="AU505" s="57">
        <f>IF(ISERROR(IF(B505=C505,J505/C505,(INT(J505/B505)+(((J505-B505*INT(J505/B505)))/C505)/100))),0,(IF(B505=C505,J505/C505,(INT(J505/B505)+(((J505-B505*INT(J505/B505)))/C505)/100))))</f>
        <v>0</v>
      </c>
      <c r="AV505" s="57">
        <f>IF(ISERROR(IF(B505=C505,K505/C505,IF((INT(K505/B505)+(((K505-B505*INT(K505/B505)))/C505)/100)&lt;0,(INT(K505/B505)+(((K505-B505*INT(K505/B505)))/C505)/100)+(1-(B505/C505/100)),(INT(K505/B505)+(((K505-B505*INT(K505/B505)))/C505)/100)))),0,IF(B505=C505,K505/C505,IF((INT(K505/B505)+(((K505-B505*INT(K505/B505)))/C505)/100)&lt;0,(INT(K505/B505)+(((K505-B505*INT(K505/B505)))/C505)/100)+(1-(B505/C505/100)),(INT(K505/B505)+(((K505-B505*INT(K505/B505)))/C505)/100))))</f>
        <v>0</v>
      </c>
      <c r="AW505" s="57">
        <f>IF(ISERROR(IF(B505=C505,L505/C505,(INT(L505/B505)+(((L505-B505*INT(L505/B505)))/C505)/100))),0,(IF(B505=C505,L505/C505,(INT(L505/B505)+(((L505-B505*INT(L505/B505)))/C505)/100))))</f>
        <v>0</v>
      </c>
      <c r="AX505" s="57">
        <f>IF(ISERROR(IF(B505=C505,M505/C505,(INT(M505/B505)+(((M505-B505*INT(M505/B505)))/C505)/100))),0,(IF(B505=C505,M505/C505,(INT(M505/B505)+(((M505-B505*INT(M505/B505)))/C505)/100))))</f>
        <v>0</v>
      </c>
      <c r="AY505" s="57">
        <f>IF(ISERROR(IF(B505=C505,N505/C505,IF((INT(N505/B505)+(((N505-B505*INT(N505/B505)))/C505)/100)&lt;0,(INT(N505/B505)+(((N505-B505*INT(N505/B505)))/C505)/100)+(1-(B505/C505/100)),(INT(N505/B505)+(((N505-B505*INT(N505/B505)))/C505)/100)))),0,IF(B505=C505,N505/C505,IF((INT(N505/B505)+(((N505-B505*INT(N505/B505)))/C505)/100)&lt;0,(INT(N505/B505)+(((N505-B505*INT(N505/B505)))/C505)/100)+(1-(B505/C505/100)),(INT(N505/B505)+(((N505-B505*INT(N505/B505)))/C505)/100))))</f>
        <v>0</v>
      </c>
      <c r="AZ505" s="57">
        <f>IF(ISERROR(IF(B505=C505,O505/C505,(INT(O505/B505)+(((O505-B505*INT(O505/B505)))/C505)/100))),0,(IF(B505=C505,O505/C505,(INT(O505/B505)+(((O505-B505*INT(O505/B505)))/C505)/100))))</f>
        <v>0</v>
      </c>
      <c r="BA505" s="57">
        <f>IF(ISERROR(IF(B505=C505,P505/C505,IF((INT(P505/B505)+(((P505-B505*INT(P505/B505)))/C505)/100)&lt;0,(INT(P505/B505)+(((P505-B505*INT(P505/B505)))/C505)/100)+(1-(B505/C505/100)),(INT(P505/B505)+(((P505-B505*INT(P505/B505)))/C505)/100)))),0,IF(B505=C505,P505/C505,IF((INT(P505/B505)+(((P505-B505*INT(P505/B505)))/C505)/100)&lt;0,(INT(P505/B505)+(((P505-B505*INT(P505/B505)))/C505)/100)+(1-(B505/C505/100)),(INT(P505/B505)+(((P505-B505*INT(P505/B505)))/C505)/100))))</f>
        <v>0</v>
      </c>
      <c r="BB505" s="28">
        <f>R505</f>
        <v>0</v>
      </c>
      <c r="BC505" s="28">
        <f>S505</f>
        <v>0</v>
      </c>
      <c r="BD505" s="28">
        <f>AF505</f>
        <v>0</v>
      </c>
      <c r="BE505" s="28">
        <f>T505</f>
        <v>0</v>
      </c>
      <c r="BG505" s="57">
        <f>IF(ISERROR(IF(B505=C505,V505/C505,(INT(V505/B505)+(((V505-B505*INT(V505/B505)))/C505)/100))),0,(IF(B505=C505,V505/C505,(INT(V505/B505)+(((V505-B505*INT(V505/B505)))/C505)/100))))</f>
        <v>0</v>
      </c>
      <c r="BH505" s="57">
        <f>IF(ISERROR(IF(B505=C505,W505/C505,(INT(W505/B505)+(((W505-B505*INT(W505/B505)))/C505)/100))),0,(IF(B505=C505,W505/C505,(INT(W505/B505)+(((W505-B505*INT(W505/B505)))/C505)/100))))</f>
        <v>0</v>
      </c>
      <c r="BI505" s="57">
        <f>IF(ISERROR(IF(B505=C505,X505/C505,(INT(X505/B505)+(((X505-B505*INT(X505/B505)))/C505)/100))),0,(IF(B505=C505,X505/C505,(INT(X505/B505)+(((X505-B505*INT(X505/B505)))/C505)/100))))</f>
        <v>0</v>
      </c>
      <c r="BJ505" s="57">
        <f>IF(ISERROR(IF(B505=C505,Y505/C505,(INT(Y505/B505)+(((Y505-B505*INT(Y505/B505)))/C505)/100))),0,(IF(B505=C505,Y505/C505,(INT(Y505/B505)+(((Y505-B505*INT(Y505/B505)))/C505)/100))))</f>
        <v>0</v>
      </c>
      <c r="BL505" s="57">
        <f>IF(ISERROR(IF(B505=C505,AA505/C505,(INT(AA505/B505)+(((AA505-B505*INT(AA505/B505)))/C505)/100))),0,(IF(B505=C505,AA505/C505,(INT(AA505/B505)+(((AA505-B505*INT(AA505/B505)))/C505)/100))))</f>
        <v>0</v>
      </c>
      <c r="BM505" s="57">
        <f>IF(ISERROR(IF(B505=C505,AB505/C505,(INT(AB505/B505)+(((AB505-B505*INT(AB505/B505)))/C505)/100))),0,(IF(B505=C505,AB505/C505,(INT(AB505/B505)+(((AB505-B505*INT(AB505/B505)))/C505)/100))))</f>
        <v>0</v>
      </c>
      <c r="BN505" s="57">
        <f>IF(ISERROR(IF(B505=C505,AC505/C505,(INT(AC505/B505)+(((AC505-B505*INT(AC505/B505)))/C505)/100))),0,(IF(B505=C505,AC505/C505,(INT(AC505/B505)+(((AC505-B505*INT(AC505/B505)))/C505)/100))))</f>
        <v>0</v>
      </c>
      <c r="BO505" s="57">
        <f>IF(ISERROR(IF(B505=C505,AD505/C505,(INT(AD505/B505)+(((AD505-B505*INT(AD505/B505)))/C505)/100))),0,(IF(B505=C505,AD505/C505,(INT(AD505/B505)+(((AD505-B505*INT(AD505/B505)))/C505)/100))))</f>
        <v>0</v>
      </c>
      <c r="BQ505" s="155"/>
    </row>
    <row r="506" spans="1:69" hidden="1" x14ac:dyDescent="0.35">
      <c r="A506" s="94"/>
      <c r="B506" s="113">
        <v>0</v>
      </c>
      <c r="C506" s="113">
        <v>250</v>
      </c>
      <c r="D506" s="28">
        <f>SUM(AA506:AD506)</f>
        <v>0</v>
      </c>
      <c r="E506" s="113">
        <v>0</v>
      </c>
      <c r="F506" s="113">
        <v>0</v>
      </c>
      <c r="G506" s="28">
        <f>SUM(D506:F506)</f>
        <v>0</v>
      </c>
      <c r="H506" s="125">
        <v>0</v>
      </c>
      <c r="I506" s="113">
        <v>0</v>
      </c>
      <c r="J506" s="125">
        <v>0</v>
      </c>
      <c r="K506" s="113">
        <v>0</v>
      </c>
      <c r="L506" s="113">
        <v>0</v>
      </c>
      <c r="M506" s="113">
        <v>0</v>
      </c>
      <c r="N506" s="28">
        <f>G506-SUM(H506:M506)</f>
        <v>0</v>
      </c>
      <c r="O506" s="28">
        <f>SUM(V506:Y506)</f>
        <v>0</v>
      </c>
      <c r="P506" s="28">
        <f>O506-N506</f>
        <v>0</v>
      </c>
      <c r="Q506" s="61" t="str">
        <f>IF(ISERROR(P506/SUM(H506:L506)),"",P506/SUM(H506:L506))</f>
        <v/>
      </c>
      <c r="R506" s="113">
        <v>0</v>
      </c>
      <c r="S506" s="28">
        <f>IF(ISERROR(P506/C506*R506),0,(P506/C506*R506))</f>
        <v>0</v>
      </c>
      <c r="T506" s="60">
        <f>IF(ISERROR(P506/B506*AF506),0,(P506/B506*AF506))</f>
        <v>0</v>
      </c>
      <c r="V506" s="113">
        <v>0</v>
      </c>
      <c r="W506" s="113">
        <v>0</v>
      </c>
      <c r="X506" s="113">
        <v>0</v>
      </c>
      <c r="Y506" s="113">
        <v>0</v>
      </c>
      <c r="AA506" s="113">
        <v>0</v>
      </c>
      <c r="AB506" s="113">
        <v>0</v>
      </c>
      <c r="AC506" s="113">
        <v>0</v>
      </c>
      <c r="AD506" s="113">
        <v>0</v>
      </c>
      <c r="AF506" s="113">
        <v>0</v>
      </c>
      <c r="AG506" s="28">
        <f>G506-O506</f>
        <v>0</v>
      </c>
      <c r="AH506" s="58">
        <f>IF(ISERROR(AG506/B506*AF506),0,(AG506/B506*AF506))</f>
        <v>0</v>
      </c>
      <c r="AI506" s="28">
        <f>SUM(H506:M506)</f>
        <v>0</v>
      </c>
      <c r="AJ506" s="28">
        <f>IF(ISERROR(AI506/B506*AF506),0,(AI506/B506*AF506))</f>
        <v>0</v>
      </c>
      <c r="AK506" s="58">
        <f>IF(ISERROR(O506/B506*AF506),0,(O506/B506*AF506))</f>
        <v>0</v>
      </c>
      <c r="AL506" s="28">
        <f>IF(ISERROR(H506/B506*AF506),0,(H506/B506*AF506))</f>
        <v>0</v>
      </c>
      <c r="AN506" s="51">
        <f>A506</f>
        <v>0</v>
      </c>
      <c r="AO506" s="57">
        <f>IF(ISERROR(IF(B506=C506,D506/C506,(INT(D506/B506)+(((D506-B506*INT(D506/B506)))/C506)/100))),0,(IF(B506=C506,D506/C506,(INT(D506/B506)+(((D506-B506*INT(D506/B506)))/C506)/100))))</f>
        <v>0</v>
      </c>
      <c r="AP506" s="57">
        <f>IF(ISERROR(IF(B506=C506,E506/C506,(INT(E506/B506)+(((E506-B506*INT(E506/B506)))/C506)/100))),0,(IF(B506=C506,E506/C506,(INT(E506/B506)+(((E506-B506*INT(E506/B506)))/C506)/100))))</f>
        <v>0</v>
      </c>
      <c r="AQ506" s="57">
        <f>IF(ISERROR(IF(B506=C506,F506/C506,IF((INT(F506/B506)+(((F506-B506*INT(F506/B506)))/C506)/100)&lt;0,(INT(F506/B506)+(((F506-B506*INT(F506/B506)))/C506)/100)+(1-(B506/C506/100)),(INT(F506/B506)+(((F506-B506*INT(F506/B506)))/C506)/100)))),0,IF(B506=C506,F506/C506,IF((INT(F506/B506)+(((F506-B506*INT(F506/B506)))/C506)/100)&lt;0,(INT(F506/B506)+(((F506-B506*INT(F506/B506)))/C506)/100)+(1-(B506/C506/100)),(INT(F506/B506)+(((F506-B506*INT(F506/B506)))/C506)/100))))</f>
        <v>0</v>
      </c>
      <c r="AR506" s="57">
        <f>IF(ISERROR(IF(B506=C506,G506/C506,(INT(G506/B506)+(((G506-B506*INT(G506/B506)))/C506)/100))),0,(IF(B506=C506,G506/C506,(INT(G506/B506)+(((G506-B506*INT(G506/B506)))/C506)/100))))</f>
        <v>0</v>
      </c>
      <c r="AS506" s="57">
        <f>IF(ISERROR(IF(B506=C506,H506/C506,(INT(H506/B506)+(((H506-B506*INT(H506/B506)))/C506)/100))),0,(IF(B506=C506,H506/C506,(INT(H506/B506)+(((H506-B506*INT(H506/B506)))/C506)/100))))</f>
        <v>0</v>
      </c>
      <c r="AT506" s="57">
        <f>IF(ISERROR(IF(B506=C506,I506/C506,(INT(I506/B506)+(((I506-B506*INT(I506/B506)))/C506)/100))),0,(IF(B506=C506,I506/C506,(INT(I506/B506)+(((I506-B506*INT(I506/B506)))/C506)/100))))</f>
        <v>0</v>
      </c>
      <c r="AU506" s="57">
        <f>IF(ISERROR(IF(B506=C506,J506/C506,(INT(J506/B506)+(((J506-B506*INT(J506/B506)))/C506)/100))),0,(IF(B506=C506,J506/C506,(INT(J506/B506)+(((J506-B506*INT(J506/B506)))/C506)/100))))</f>
        <v>0</v>
      </c>
      <c r="AV506" s="57">
        <f>IF(ISERROR(IF(B506=C506,K506/C506,IF((INT(K506/B506)+(((K506-B506*INT(K506/B506)))/C506)/100)&lt;0,(INT(K506/B506)+(((K506-B506*INT(K506/B506)))/C506)/100)+(1-(B506/C506/100)),(INT(K506/B506)+(((K506-B506*INT(K506/B506)))/C506)/100)))),0,IF(B506=C506,K506/C506,IF((INT(K506/B506)+(((K506-B506*INT(K506/B506)))/C506)/100)&lt;0,(INT(K506/B506)+(((K506-B506*INT(K506/B506)))/C506)/100)+(1-(B506/C506/100)),(INT(K506/B506)+(((K506-B506*INT(K506/B506)))/C506)/100))))</f>
        <v>0</v>
      </c>
      <c r="AW506" s="57">
        <f>IF(ISERROR(IF(B506=C506,L506/C506,(INT(L506/B506)+(((L506-B506*INT(L506/B506)))/C506)/100))),0,(IF(B506=C506,L506/C506,(INT(L506/B506)+(((L506-B506*INT(L506/B506)))/C506)/100))))</f>
        <v>0</v>
      </c>
      <c r="AX506" s="57">
        <f>IF(ISERROR(IF(B506=C506,M506/C506,(INT(M506/B506)+(((M506-B506*INT(M506/B506)))/C506)/100))),0,(IF(B506=C506,M506/C506,(INT(M506/B506)+(((M506-B506*INT(M506/B506)))/C506)/100))))</f>
        <v>0</v>
      </c>
      <c r="AY506" s="57">
        <f>IF(ISERROR(IF(B506=C506,N506/C506,IF((INT(N506/B506)+(((N506-B506*INT(N506/B506)))/C506)/100)&lt;0,(INT(N506/B506)+(((N506-B506*INT(N506/B506)))/C506)/100)+(1-(B506/C506/100)),(INT(N506/B506)+(((N506-B506*INT(N506/B506)))/C506)/100)))),0,IF(B506=C506,N506/C506,IF((INT(N506/B506)+(((N506-B506*INT(N506/B506)))/C506)/100)&lt;0,(INT(N506/B506)+(((N506-B506*INT(N506/B506)))/C506)/100)+(1-(B506/C506/100)),(INT(N506/B506)+(((N506-B506*INT(N506/B506)))/C506)/100))))</f>
        <v>0</v>
      </c>
      <c r="AZ506" s="57">
        <f>IF(ISERROR(IF(B506=C506,O506/C506,(INT(O506/B506)+(((O506-B506*INT(O506/B506)))/C506)/100))),0,(IF(B506=C506,O506/C506,(INT(O506/B506)+(((O506-B506*INT(O506/B506)))/C506)/100))))</f>
        <v>0</v>
      </c>
      <c r="BA506" s="57">
        <f>IF(ISERROR(IF(B506=C506,P506/C506,IF((INT(P506/B506)+(((P506-B506*INT(P506/B506)))/C506)/100)&lt;0,(INT(P506/B506)+(((P506-B506*INT(P506/B506)))/C506)/100)+(1-(B506/C506/100)),(INT(P506/B506)+(((P506-B506*INT(P506/B506)))/C506)/100)))),0,IF(B506=C506,P506/C506,IF((INT(P506/B506)+(((P506-B506*INT(P506/B506)))/C506)/100)&lt;0,(INT(P506/B506)+(((P506-B506*INT(P506/B506)))/C506)/100)+(1-(B506/C506/100)),(INT(P506/B506)+(((P506-B506*INT(P506/B506)))/C506)/100))))</f>
        <v>0</v>
      </c>
      <c r="BB506" s="28">
        <f>R506</f>
        <v>0</v>
      </c>
      <c r="BC506" s="28">
        <f>S506</f>
        <v>0</v>
      </c>
      <c r="BD506" s="28">
        <f>AF506</f>
        <v>0</v>
      </c>
      <c r="BE506" s="28">
        <f>T506</f>
        <v>0</v>
      </c>
      <c r="BG506" s="57">
        <f>IF(ISERROR(IF(B506=C506,V506/C506,(INT(V506/B506)+(((V506-B506*INT(V506/B506)))/C506)/100))),0,(IF(B506=C506,V506/C506,(INT(V506/B506)+(((V506-B506*INT(V506/B506)))/C506)/100))))</f>
        <v>0</v>
      </c>
      <c r="BH506" s="57">
        <f>IF(ISERROR(IF(B506=C506,W506/C506,(INT(W506/B506)+(((W506-B506*INT(W506/B506)))/C506)/100))),0,(IF(B506=C506,W506/C506,(INT(W506/B506)+(((W506-B506*INT(W506/B506)))/C506)/100))))</f>
        <v>0</v>
      </c>
      <c r="BI506" s="57">
        <f>IF(ISERROR(IF(B506=C506,X506/C506,(INT(X506/B506)+(((X506-B506*INT(X506/B506)))/C506)/100))),0,(IF(B506=C506,X506/C506,(INT(X506/B506)+(((X506-B506*INT(X506/B506)))/C506)/100))))</f>
        <v>0</v>
      </c>
      <c r="BJ506" s="57">
        <f>IF(ISERROR(IF(B506=C506,Y506/C506,(INT(Y506/B506)+(((Y506-B506*INT(Y506/B506)))/C506)/100))),0,(IF(B506=C506,Y506/C506,(INT(Y506/B506)+(((Y506-B506*INT(Y506/B506)))/C506)/100))))</f>
        <v>0</v>
      </c>
      <c r="BL506" s="57">
        <f>IF(ISERROR(IF(B506=C506,AA506/C506,(INT(AA506/B506)+(((AA506-B506*INT(AA506/B506)))/C506)/100))),0,(IF(B506=C506,AA506/C506,(INT(AA506/B506)+(((AA506-B506*INT(AA506/B506)))/C506)/100))))</f>
        <v>0</v>
      </c>
      <c r="BM506" s="57">
        <f>IF(ISERROR(IF(B506=C506,AB506/C506,(INT(AB506/B506)+(((AB506-B506*INT(AB506/B506)))/C506)/100))),0,(IF(B506=C506,AB506/C506,(INT(AB506/B506)+(((AB506-B506*INT(AB506/B506)))/C506)/100))))</f>
        <v>0</v>
      </c>
      <c r="BN506" s="57">
        <f>IF(ISERROR(IF(B506=C506,AC506/C506,(INT(AC506/B506)+(((AC506-B506*INT(AC506/B506)))/C506)/100))),0,(IF(B506=C506,AC506/C506,(INT(AC506/B506)+(((AC506-B506*INT(AC506/B506)))/C506)/100))))</f>
        <v>0</v>
      </c>
      <c r="BO506" s="57">
        <f>IF(ISERROR(IF(B506=C506,AD506/C506,(INT(AD506/B506)+(((AD506-B506*INT(AD506/B506)))/C506)/100))),0,(IF(B506=C506,AD506/C506,(INT(AD506/B506)+(((AD506-B506*INT(AD506/B506)))/C506)/100))))</f>
        <v>0</v>
      </c>
      <c r="BQ506" s="155"/>
    </row>
    <row r="507" spans="1:69" hidden="1" x14ac:dyDescent="0.35">
      <c r="A507" s="94"/>
      <c r="B507" s="113">
        <v>0</v>
      </c>
      <c r="C507" s="113">
        <v>250</v>
      </c>
      <c r="D507" s="28">
        <f>SUM(AA507:AD507)</f>
        <v>0</v>
      </c>
      <c r="E507" s="113">
        <v>0</v>
      </c>
      <c r="F507" s="113">
        <v>0</v>
      </c>
      <c r="G507" s="28">
        <f>SUM(D507:F507)</f>
        <v>0</v>
      </c>
      <c r="H507" s="125">
        <v>0</v>
      </c>
      <c r="I507" s="113">
        <v>0</v>
      </c>
      <c r="J507" s="125">
        <v>0</v>
      </c>
      <c r="K507" s="113">
        <v>0</v>
      </c>
      <c r="L507" s="113">
        <v>0</v>
      </c>
      <c r="M507" s="113">
        <v>0</v>
      </c>
      <c r="N507" s="28">
        <f>G507-SUM(H507:M507)</f>
        <v>0</v>
      </c>
      <c r="O507" s="28">
        <f>SUM(V507:Y507)</f>
        <v>0</v>
      </c>
      <c r="P507" s="28">
        <f>O507-N507</f>
        <v>0</v>
      </c>
      <c r="Q507" s="61" t="str">
        <f>IF(ISERROR(P507/SUM(H507:L507)),"",P507/SUM(H507:L507))</f>
        <v/>
      </c>
      <c r="R507" s="113">
        <v>0</v>
      </c>
      <c r="S507" s="28">
        <f>IF(ISERROR(P507/C507*R507),0,(P507/C507*R507))</f>
        <v>0</v>
      </c>
      <c r="T507" s="60">
        <f>IF(ISERROR(P507/B507*AF507),0,(P507/B507*AF507))</f>
        <v>0</v>
      </c>
      <c r="V507" s="113">
        <v>0</v>
      </c>
      <c r="W507" s="113">
        <v>0</v>
      </c>
      <c r="X507" s="113">
        <v>0</v>
      </c>
      <c r="Y507" s="113">
        <v>0</v>
      </c>
      <c r="AA507" s="113">
        <v>0</v>
      </c>
      <c r="AB507" s="113">
        <v>0</v>
      </c>
      <c r="AC507" s="113">
        <v>0</v>
      </c>
      <c r="AD507" s="113">
        <v>0</v>
      </c>
      <c r="AF507" s="113">
        <v>0</v>
      </c>
      <c r="AG507" s="28">
        <f>G507-O507</f>
        <v>0</v>
      </c>
      <c r="AH507" s="58">
        <f>IF(ISERROR(AG507/B507*AF507),0,(AG507/B507*AF507))</f>
        <v>0</v>
      </c>
      <c r="AI507" s="28">
        <f>SUM(H507:M507)</f>
        <v>0</v>
      </c>
      <c r="AJ507" s="28">
        <f>IF(ISERROR(AI507/B507*AF507),0,(AI507/B507*AF507))</f>
        <v>0</v>
      </c>
      <c r="AK507" s="58">
        <f>IF(ISERROR(O507/B507*AF507),0,(O507/B507*AF507))</f>
        <v>0</v>
      </c>
      <c r="AL507" s="28">
        <f>IF(ISERROR(H507/B507*AF507),0,(H507/B507*AF507))</f>
        <v>0</v>
      </c>
      <c r="AN507" s="51">
        <f>A507</f>
        <v>0</v>
      </c>
      <c r="AO507" s="57">
        <f>IF(ISERROR(IF(B507=C507,D507/C507,(INT(D507/B507)+(((D507-B507*INT(D507/B507)))/C507)/100))),0,(IF(B507=C507,D507/C507,(INT(D507/B507)+(((D507-B507*INT(D507/B507)))/C507)/100))))</f>
        <v>0</v>
      </c>
      <c r="AP507" s="57">
        <f>IF(ISERROR(IF(B507=C507,E507/C507,(INT(E507/B507)+(((E507-B507*INT(E507/B507)))/C507)/100))),0,(IF(B507=C507,E507/C507,(INT(E507/B507)+(((E507-B507*INT(E507/B507)))/C507)/100))))</f>
        <v>0</v>
      </c>
      <c r="AQ507" s="57">
        <f>IF(ISERROR(IF(B507=C507,F507/C507,IF((INT(F507/B507)+(((F507-B507*INT(F507/B507)))/C507)/100)&lt;0,(INT(F507/B507)+(((F507-B507*INT(F507/B507)))/C507)/100)+(1-(B507/C507/100)),(INT(F507/B507)+(((F507-B507*INT(F507/B507)))/C507)/100)))),0,IF(B507=C507,F507/C507,IF((INT(F507/B507)+(((F507-B507*INT(F507/B507)))/C507)/100)&lt;0,(INT(F507/B507)+(((F507-B507*INT(F507/B507)))/C507)/100)+(1-(B507/C507/100)),(INT(F507/B507)+(((F507-B507*INT(F507/B507)))/C507)/100))))</f>
        <v>0</v>
      </c>
      <c r="AR507" s="57">
        <f>IF(ISERROR(IF(B507=C507,G507/C507,(INT(G507/B507)+(((G507-B507*INT(G507/B507)))/C507)/100))),0,(IF(B507=C507,G507/C507,(INT(G507/B507)+(((G507-B507*INT(G507/B507)))/C507)/100))))</f>
        <v>0</v>
      </c>
      <c r="AS507" s="57">
        <f>IF(ISERROR(IF(B507=C507,H507/C507,(INT(H507/B507)+(((H507-B507*INT(H507/B507)))/C507)/100))),0,(IF(B507=C507,H507/C507,(INT(H507/B507)+(((H507-B507*INT(H507/B507)))/C507)/100))))</f>
        <v>0</v>
      </c>
      <c r="AT507" s="57">
        <f>IF(ISERROR(IF(B507=C507,I507/C507,(INT(I507/B507)+(((I507-B507*INT(I507/B507)))/C507)/100))),0,(IF(B507=C507,I507/C507,(INT(I507/B507)+(((I507-B507*INT(I507/B507)))/C507)/100))))</f>
        <v>0</v>
      </c>
      <c r="AU507" s="57">
        <f>IF(ISERROR(IF(B507=C507,J507/C507,(INT(J507/B507)+(((J507-B507*INT(J507/B507)))/C507)/100))),0,(IF(B507=C507,J507/C507,(INT(J507/B507)+(((J507-B507*INT(J507/B507)))/C507)/100))))</f>
        <v>0</v>
      </c>
      <c r="AV507" s="57">
        <f>IF(ISERROR(IF(B507=C507,K507/C507,IF((INT(K507/B507)+(((K507-B507*INT(K507/B507)))/C507)/100)&lt;0,(INT(K507/B507)+(((K507-B507*INT(K507/B507)))/C507)/100)+(1-(B507/C507/100)),(INT(K507/B507)+(((K507-B507*INT(K507/B507)))/C507)/100)))),0,IF(B507=C507,K507/C507,IF((INT(K507/B507)+(((K507-B507*INT(K507/B507)))/C507)/100)&lt;0,(INT(K507/B507)+(((K507-B507*INT(K507/B507)))/C507)/100)+(1-(B507/C507/100)),(INT(K507/B507)+(((K507-B507*INT(K507/B507)))/C507)/100))))</f>
        <v>0</v>
      </c>
      <c r="AW507" s="57">
        <f>IF(ISERROR(IF(B507=C507,L507/C507,(INT(L507/B507)+(((L507-B507*INT(L507/B507)))/C507)/100))),0,(IF(B507=C507,L507/C507,(INT(L507/B507)+(((L507-B507*INT(L507/B507)))/C507)/100))))</f>
        <v>0</v>
      </c>
      <c r="AX507" s="57">
        <f>IF(ISERROR(IF(B507=C507,M507/C507,(INT(M507/B507)+(((M507-B507*INT(M507/B507)))/C507)/100))),0,(IF(B507=C507,M507/C507,(INT(M507/B507)+(((M507-B507*INT(M507/B507)))/C507)/100))))</f>
        <v>0</v>
      </c>
      <c r="AY507" s="57">
        <f>IF(ISERROR(IF(B507=C507,N507/C507,IF((INT(N507/B507)+(((N507-B507*INT(N507/B507)))/C507)/100)&lt;0,(INT(N507/B507)+(((N507-B507*INT(N507/B507)))/C507)/100)+(1-(B507/C507/100)),(INT(N507/B507)+(((N507-B507*INT(N507/B507)))/C507)/100)))),0,IF(B507=C507,N507/C507,IF((INT(N507/B507)+(((N507-B507*INT(N507/B507)))/C507)/100)&lt;0,(INT(N507/B507)+(((N507-B507*INT(N507/B507)))/C507)/100)+(1-(B507/C507/100)),(INT(N507/B507)+(((N507-B507*INT(N507/B507)))/C507)/100))))</f>
        <v>0</v>
      </c>
      <c r="AZ507" s="57">
        <f>IF(ISERROR(IF(B507=C507,O507/C507,(INT(O507/B507)+(((O507-B507*INT(O507/B507)))/C507)/100))),0,(IF(B507=C507,O507/C507,(INT(O507/B507)+(((O507-B507*INT(O507/B507)))/C507)/100))))</f>
        <v>0</v>
      </c>
      <c r="BA507" s="57">
        <f>IF(ISERROR(IF(B507=C507,P507/C507,IF((INT(P507/B507)+(((P507-B507*INT(P507/B507)))/C507)/100)&lt;0,(INT(P507/B507)+(((P507-B507*INT(P507/B507)))/C507)/100)+(1-(B507/C507/100)),(INT(P507/B507)+(((P507-B507*INT(P507/B507)))/C507)/100)))),0,IF(B507=C507,P507/C507,IF((INT(P507/B507)+(((P507-B507*INT(P507/B507)))/C507)/100)&lt;0,(INT(P507/B507)+(((P507-B507*INT(P507/B507)))/C507)/100)+(1-(B507/C507/100)),(INT(P507/B507)+(((P507-B507*INT(P507/B507)))/C507)/100))))</f>
        <v>0</v>
      </c>
      <c r="BB507" s="28">
        <f>R507</f>
        <v>0</v>
      </c>
      <c r="BC507" s="28">
        <f>S507</f>
        <v>0</v>
      </c>
      <c r="BD507" s="28">
        <f>AF507</f>
        <v>0</v>
      </c>
      <c r="BE507" s="28">
        <f>T507</f>
        <v>0</v>
      </c>
      <c r="BG507" s="57">
        <f>IF(ISERROR(IF(B507=C507,V507/C507,(INT(V507/B507)+(((V507-B507*INT(V507/B507)))/C507)/100))),0,(IF(B507=C507,V507/C507,(INT(V507/B507)+(((V507-B507*INT(V507/B507)))/C507)/100))))</f>
        <v>0</v>
      </c>
      <c r="BH507" s="57">
        <f>IF(ISERROR(IF(B507=C507,W507/C507,(INT(W507/B507)+(((W507-B507*INT(W507/B507)))/C507)/100))),0,(IF(B507=C507,W507/C507,(INT(W507/B507)+(((W507-B507*INT(W507/B507)))/C507)/100))))</f>
        <v>0</v>
      </c>
      <c r="BI507" s="57">
        <f>IF(ISERROR(IF(B507=C507,X507/C507,(INT(X507/B507)+(((X507-B507*INT(X507/B507)))/C507)/100))),0,(IF(B507=C507,X507/C507,(INT(X507/B507)+(((X507-B507*INT(X507/B507)))/C507)/100))))</f>
        <v>0</v>
      </c>
      <c r="BJ507" s="57">
        <f>IF(ISERROR(IF(B507=C507,Y507/C507,(INT(Y507/B507)+(((Y507-B507*INT(Y507/B507)))/C507)/100))),0,(IF(B507=C507,Y507/C507,(INT(Y507/B507)+(((Y507-B507*INT(Y507/B507)))/C507)/100))))</f>
        <v>0</v>
      </c>
      <c r="BL507" s="57">
        <f>IF(ISERROR(IF(B507=C507,AA507/C507,(INT(AA507/B507)+(((AA507-B507*INT(AA507/B507)))/C507)/100))),0,(IF(B507=C507,AA507/C507,(INT(AA507/B507)+(((AA507-B507*INT(AA507/B507)))/C507)/100))))</f>
        <v>0</v>
      </c>
      <c r="BM507" s="57">
        <f>IF(ISERROR(IF(B507=C507,AB507/C507,(INT(AB507/B507)+(((AB507-B507*INT(AB507/B507)))/C507)/100))),0,(IF(B507=C507,AB507/C507,(INT(AB507/B507)+(((AB507-B507*INT(AB507/B507)))/C507)/100))))</f>
        <v>0</v>
      </c>
      <c r="BN507" s="57">
        <f>IF(ISERROR(IF(B507=C507,AC507/C507,(INT(AC507/B507)+(((AC507-B507*INT(AC507/B507)))/C507)/100))),0,(IF(B507=C507,AC507/C507,(INT(AC507/B507)+(((AC507-B507*INT(AC507/B507)))/C507)/100))))</f>
        <v>0</v>
      </c>
      <c r="BO507" s="57">
        <f>IF(ISERROR(IF(B507=C507,AD507/C507,(INT(AD507/B507)+(((AD507-B507*INT(AD507/B507)))/C507)/100))),0,(IF(B507=C507,AD507/C507,(INT(AD507/B507)+(((AD507-B507*INT(AD507/B507)))/C507)/100))))</f>
        <v>0</v>
      </c>
      <c r="BQ507" s="155"/>
    </row>
    <row r="508" spans="1:69" hidden="1" x14ac:dyDescent="0.35">
      <c r="A508" s="94"/>
      <c r="B508" s="113">
        <v>0</v>
      </c>
      <c r="C508" s="113">
        <v>250</v>
      </c>
      <c r="D508" s="28">
        <f>SUM(AA508:AD508)</f>
        <v>0</v>
      </c>
      <c r="E508" s="113">
        <v>0</v>
      </c>
      <c r="F508" s="113">
        <v>0</v>
      </c>
      <c r="G508" s="28">
        <f>SUM(D508:F508)</f>
        <v>0</v>
      </c>
      <c r="H508" s="125">
        <v>0</v>
      </c>
      <c r="I508" s="113">
        <v>0</v>
      </c>
      <c r="J508" s="125">
        <v>0</v>
      </c>
      <c r="K508" s="113">
        <v>0</v>
      </c>
      <c r="L508" s="113">
        <v>0</v>
      </c>
      <c r="M508" s="113">
        <v>0</v>
      </c>
      <c r="N508" s="28">
        <f>G508-SUM(H508:M508)</f>
        <v>0</v>
      </c>
      <c r="O508" s="28">
        <f>SUM(V508:Y508)</f>
        <v>0</v>
      </c>
      <c r="P508" s="28">
        <f>O508-N508</f>
        <v>0</v>
      </c>
      <c r="Q508" s="61" t="str">
        <f>IF(ISERROR(P508/SUM(H508:L508)),"",P508/SUM(H508:L508))</f>
        <v/>
      </c>
      <c r="R508" s="113">
        <v>0</v>
      </c>
      <c r="S508" s="28">
        <f>IF(ISERROR(P508/C508*R508),0,(P508/C508*R508))</f>
        <v>0</v>
      </c>
      <c r="T508" s="60">
        <f>IF(ISERROR(P508/B508*AF508),0,(P508/B508*AF508))</f>
        <v>0</v>
      </c>
      <c r="V508" s="113">
        <v>0</v>
      </c>
      <c r="W508" s="113">
        <v>0</v>
      </c>
      <c r="X508" s="113">
        <v>0</v>
      </c>
      <c r="Y508" s="113">
        <v>0</v>
      </c>
      <c r="AA508" s="113">
        <v>0</v>
      </c>
      <c r="AB508" s="113">
        <v>0</v>
      </c>
      <c r="AC508" s="113">
        <v>0</v>
      </c>
      <c r="AD508" s="113">
        <v>0</v>
      </c>
      <c r="AF508" s="113">
        <v>0</v>
      </c>
      <c r="AG508" s="28">
        <f>G508-O508</f>
        <v>0</v>
      </c>
      <c r="AH508" s="58">
        <f>IF(ISERROR(AG508/B508*AF508),0,(AG508/B508*AF508))</f>
        <v>0</v>
      </c>
      <c r="AI508" s="28">
        <f>SUM(H508:M508)</f>
        <v>0</v>
      </c>
      <c r="AJ508" s="28">
        <f>IF(ISERROR(AI508/B508*AF508),0,(AI508/B508*AF508))</f>
        <v>0</v>
      </c>
      <c r="AK508" s="58">
        <f>IF(ISERROR(O508/B508*AF508),0,(O508/B508*AF508))</f>
        <v>0</v>
      </c>
      <c r="AL508" s="28">
        <f>IF(ISERROR(H508/B508*AF508),0,(H508/B508*AF508))</f>
        <v>0</v>
      </c>
      <c r="AN508" s="51">
        <f>A508</f>
        <v>0</v>
      </c>
      <c r="AO508" s="57">
        <f>IF(ISERROR(IF(B508=C508,D508/C508,(INT(D508/B508)+(((D508-B508*INT(D508/B508)))/C508)/100))),0,(IF(B508=C508,D508/C508,(INT(D508/B508)+(((D508-B508*INT(D508/B508)))/C508)/100))))</f>
        <v>0</v>
      </c>
      <c r="AP508" s="57">
        <f>IF(ISERROR(IF(B508=C508,E508/C508,(INT(E508/B508)+(((E508-B508*INT(E508/B508)))/C508)/100))),0,(IF(B508=C508,E508/C508,(INT(E508/B508)+(((E508-B508*INT(E508/B508)))/C508)/100))))</f>
        <v>0</v>
      </c>
      <c r="AQ508" s="57">
        <f>IF(ISERROR(IF(B508=C508,F508/C508,IF((INT(F508/B508)+(((F508-B508*INT(F508/B508)))/C508)/100)&lt;0,(INT(F508/B508)+(((F508-B508*INT(F508/B508)))/C508)/100)+(1-(B508/C508/100)),(INT(F508/B508)+(((F508-B508*INT(F508/B508)))/C508)/100)))),0,IF(B508=C508,F508/C508,IF((INT(F508/B508)+(((F508-B508*INT(F508/B508)))/C508)/100)&lt;0,(INT(F508/B508)+(((F508-B508*INT(F508/B508)))/C508)/100)+(1-(B508/C508/100)),(INT(F508/B508)+(((F508-B508*INT(F508/B508)))/C508)/100))))</f>
        <v>0</v>
      </c>
      <c r="AR508" s="57">
        <f>IF(ISERROR(IF(B508=C508,G508/C508,(INT(G508/B508)+(((G508-B508*INT(G508/B508)))/C508)/100))),0,(IF(B508=C508,G508/C508,(INT(G508/B508)+(((G508-B508*INT(G508/B508)))/C508)/100))))</f>
        <v>0</v>
      </c>
      <c r="AS508" s="57">
        <f>IF(ISERROR(IF(B508=C508,H508/C508,(INT(H508/B508)+(((H508-B508*INT(H508/B508)))/C508)/100))),0,(IF(B508=C508,H508/C508,(INT(H508/B508)+(((H508-B508*INT(H508/B508)))/C508)/100))))</f>
        <v>0</v>
      </c>
      <c r="AT508" s="57">
        <f>IF(ISERROR(IF(B508=C508,I508/C508,(INT(I508/B508)+(((I508-B508*INT(I508/B508)))/C508)/100))),0,(IF(B508=C508,I508/C508,(INT(I508/B508)+(((I508-B508*INT(I508/B508)))/C508)/100))))</f>
        <v>0</v>
      </c>
      <c r="AU508" s="57">
        <f>IF(ISERROR(IF(B508=C508,J508/C508,(INT(J508/B508)+(((J508-B508*INT(J508/B508)))/C508)/100))),0,(IF(B508=C508,J508/C508,(INT(J508/B508)+(((J508-B508*INT(J508/B508)))/C508)/100))))</f>
        <v>0</v>
      </c>
      <c r="AV508" s="57">
        <f>IF(ISERROR(IF(B508=C508,K508/C508,IF((INT(K508/B508)+(((K508-B508*INT(K508/B508)))/C508)/100)&lt;0,(INT(K508/B508)+(((K508-B508*INT(K508/B508)))/C508)/100)+(1-(B508/C508/100)),(INT(K508/B508)+(((K508-B508*INT(K508/B508)))/C508)/100)))),0,IF(B508=C508,K508/C508,IF((INT(K508/B508)+(((K508-B508*INT(K508/B508)))/C508)/100)&lt;0,(INT(K508/B508)+(((K508-B508*INT(K508/B508)))/C508)/100)+(1-(B508/C508/100)),(INT(K508/B508)+(((K508-B508*INT(K508/B508)))/C508)/100))))</f>
        <v>0</v>
      </c>
      <c r="AW508" s="57">
        <f>IF(ISERROR(IF(B508=C508,L508/C508,(INT(L508/B508)+(((L508-B508*INT(L508/B508)))/C508)/100))),0,(IF(B508=C508,L508/C508,(INT(L508/B508)+(((L508-B508*INT(L508/B508)))/C508)/100))))</f>
        <v>0</v>
      </c>
      <c r="AX508" s="57">
        <f>IF(ISERROR(IF(B508=C508,M508/C508,(INT(M508/B508)+(((M508-B508*INT(M508/B508)))/C508)/100))),0,(IF(B508=C508,M508/C508,(INT(M508/B508)+(((M508-B508*INT(M508/B508)))/C508)/100))))</f>
        <v>0</v>
      </c>
      <c r="AY508" s="57">
        <f>IF(ISERROR(IF(B508=C508,N508/C508,IF((INT(N508/B508)+(((N508-B508*INT(N508/B508)))/C508)/100)&lt;0,(INT(N508/B508)+(((N508-B508*INT(N508/B508)))/C508)/100)+(1-(B508/C508/100)),(INT(N508/B508)+(((N508-B508*INT(N508/B508)))/C508)/100)))),0,IF(B508=C508,N508/C508,IF((INT(N508/B508)+(((N508-B508*INT(N508/B508)))/C508)/100)&lt;0,(INT(N508/B508)+(((N508-B508*INT(N508/B508)))/C508)/100)+(1-(B508/C508/100)),(INT(N508/B508)+(((N508-B508*INT(N508/B508)))/C508)/100))))</f>
        <v>0</v>
      </c>
      <c r="AZ508" s="57">
        <f>IF(ISERROR(IF(B508=C508,O508/C508,(INT(O508/B508)+(((O508-B508*INT(O508/B508)))/C508)/100))),0,(IF(B508=C508,O508/C508,(INT(O508/B508)+(((O508-B508*INT(O508/B508)))/C508)/100))))</f>
        <v>0</v>
      </c>
      <c r="BA508" s="57">
        <f>IF(ISERROR(IF(B508=C508,P508/C508,IF((INT(P508/B508)+(((P508-B508*INT(P508/B508)))/C508)/100)&lt;0,(INT(P508/B508)+(((P508-B508*INT(P508/B508)))/C508)/100)+(1-(B508/C508/100)),(INT(P508/B508)+(((P508-B508*INT(P508/B508)))/C508)/100)))),0,IF(B508=C508,P508/C508,IF((INT(P508/B508)+(((P508-B508*INT(P508/B508)))/C508)/100)&lt;0,(INT(P508/B508)+(((P508-B508*INT(P508/B508)))/C508)/100)+(1-(B508/C508/100)),(INT(P508/B508)+(((P508-B508*INT(P508/B508)))/C508)/100))))</f>
        <v>0</v>
      </c>
      <c r="BB508" s="28">
        <f>R508</f>
        <v>0</v>
      </c>
      <c r="BC508" s="28">
        <f>S508</f>
        <v>0</v>
      </c>
      <c r="BD508" s="28">
        <f>AF508</f>
        <v>0</v>
      </c>
      <c r="BE508" s="28">
        <f>T508</f>
        <v>0</v>
      </c>
      <c r="BG508" s="57">
        <f>IF(ISERROR(IF(B508=C508,V508/C508,(INT(V508/B508)+(((V508-B508*INT(V508/B508)))/C508)/100))),0,(IF(B508=C508,V508/C508,(INT(V508/B508)+(((V508-B508*INT(V508/B508)))/C508)/100))))</f>
        <v>0</v>
      </c>
      <c r="BH508" s="57">
        <f>IF(ISERROR(IF(B508=C508,W508/C508,(INT(W508/B508)+(((W508-B508*INT(W508/B508)))/C508)/100))),0,(IF(B508=C508,W508/C508,(INT(W508/B508)+(((W508-B508*INT(W508/B508)))/C508)/100))))</f>
        <v>0</v>
      </c>
      <c r="BI508" s="57">
        <f>IF(ISERROR(IF(B508=C508,X508/C508,(INT(X508/B508)+(((X508-B508*INT(X508/B508)))/C508)/100))),0,(IF(B508=C508,X508/C508,(INT(X508/B508)+(((X508-B508*INT(X508/B508)))/C508)/100))))</f>
        <v>0</v>
      </c>
      <c r="BJ508" s="57">
        <f>IF(ISERROR(IF(B508=C508,Y508/C508,(INT(Y508/B508)+(((Y508-B508*INT(Y508/B508)))/C508)/100))),0,(IF(B508=C508,Y508/C508,(INT(Y508/B508)+(((Y508-B508*INT(Y508/B508)))/C508)/100))))</f>
        <v>0</v>
      </c>
      <c r="BL508" s="57">
        <f>IF(ISERROR(IF(B508=C508,AA508/C508,(INT(AA508/B508)+(((AA508-B508*INT(AA508/B508)))/C508)/100))),0,(IF(B508=C508,AA508/C508,(INT(AA508/B508)+(((AA508-B508*INT(AA508/B508)))/C508)/100))))</f>
        <v>0</v>
      </c>
      <c r="BM508" s="57">
        <f>IF(ISERROR(IF(B508=C508,AB508/C508,(INT(AB508/B508)+(((AB508-B508*INT(AB508/B508)))/C508)/100))),0,(IF(B508=C508,AB508/C508,(INT(AB508/B508)+(((AB508-B508*INT(AB508/B508)))/C508)/100))))</f>
        <v>0</v>
      </c>
      <c r="BN508" s="57">
        <f>IF(ISERROR(IF(B508=C508,AC508/C508,(INT(AC508/B508)+(((AC508-B508*INT(AC508/B508)))/C508)/100))),0,(IF(B508=C508,AC508/C508,(INT(AC508/B508)+(((AC508-B508*INT(AC508/B508)))/C508)/100))))</f>
        <v>0</v>
      </c>
      <c r="BO508" s="57">
        <f>IF(ISERROR(IF(B508=C508,AD508/C508,(INT(AD508/B508)+(((AD508-B508*INT(AD508/B508)))/C508)/100))),0,(IF(B508=C508,AD508/C508,(INT(AD508/B508)+(((AD508-B508*INT(AD508/B508)))/C508)/100))))</f>
        <v>0</v>
      </c>
      <c r="BQ508" s="155"/>
    </row>
    <row r="509" spans="1:69" hidden="1" x14ac:dyDescent="0.35">
      <c r="A509" s="94"/>
      <c r="B509" s="113">
        <v>0</v>
      </c>
      <c r="C509" s="113">
        <v>250</v>
      </c>
      <c r="D509" s="28">
        <f>SUM(AA509:AD509)</f>
        <v>0</v>
      </c>
      <c r="E509" s="113">
        <v>0</v>
      </c>
      <c r="F509" s="113">
        <v>0</v>
      </c>
      <c r="G509" s="28">
        <f>SUM(D509:F509)</f>
        <v>0</v>
      </c>
      <c r="H509" s="125">
        <v>0</v>
      </c>
      <c r="I509" s="113">
        <v>0</v>
      </c>
      <c r="J509" s="125">
        <v>0</v>
      </c>
      <c r="K509" s="113">
        <v>0</v>
      </c>
      <c r="L509" s="113">
        <v>0</v>
      </c>
      <c r="M509" s="113">
        <v>0</v>
      </c>
      <c r="N509" s="28">
        <f>G509-SUM(H509:M509)</f>
        <v>0</v>
      </c>
      <c r="O509" s="28">
        <f>SUM(V509:Y509)</f>
        <v>0</v>
      </c>
      <c r="P509" s="28">
        <f>O509-N509</f>
        <v>0</v>
      </c>
      <c r="Q509" s="61" t="str">
        <f>IF(ISERROR(P509/SUM(H509:L509)),"",P509/SUM(H509:L509))</f>
        <v/>
      </c>
      <c r="R509" s="113">
        <v>0</v>
      </c>
      <c r="S509" s="28">
        <f>IF(ISERROR(P509/C509*R509),0,(P509/C509*R509))</f>
        <v>0</v>
      </c>
      <c r="T509" s="60">
        <f>IF(ISERROR(P509/B509*AF509),0,(P509/B509*AF509))</f>
        <v>0</v>
      </c>
      <c r="V509" s="113">
        <v>0</v>
      </c>
      <c r="W509" s="113">
        <v>0</v>
      </c>
      <c r="X509" s="113">
        <v>0</v>
      </c>
      <c r="Y509" s="113">
        <v>0</v>
      </c>
      <c r="AA509" s="113">
        <v>0</v>
      </c>
      <c r="AB509" s="113">
        <v>0</v>
      </c>
      <c r="AC509" s="113">
        <v>0</v>
      </c>
      <c r="AD509" s="113">
        <v>0</v>
      </c>
      <c r="AF509" s="113">
        <v>0</v>
      </c>
      <c r="AG509" s="28">
        <f>G509-O509</f>
        <v>0</v>
      </c>
      <c r="AH509" s="58">
        <f>IF(ISERROR(AG509/B509*AF509),0,(AG509/B509*AF509))</f>
        <v>0</v>
      </c>
      <c r="AI509" s="28">
        <f>SUM(H509:M509)</f>
        <v>0</v>
      </c>
      <c r="AJ509" s="28">
        <f>IF(ISERROR(AI509/B509*AF509),0,(AI509/B509*AF509))</f>
        <v>0</v>
      </c>
      <c r="AK509" s="58">
        <f>IF(ISERROR(O509/B509*AF509),0,(O509/B509*AF509))</f>
        <v>0</v>
      </c>
      <c r="AL509" s="28">
        <f>IF(ISERROR(H509/B509*AF509),0,(H509/B509*AF509))</f>
        <v>0</v>
      </c>
      <c r="AN509" s="51">
        <f>A509</f>
        <v>0</v>
      </c>
      <c r="AO509" s="57">
        <f>IF(ISERROR(IF(B509=C509,D509/C509,(INT(D509/B509)+(((D509-B509*INT(D509/B509)))/C509)/100))),0,(IF(B509=C509,D509/C509,(INT(D509/B509)+(((D509-B509*INT(D509/B509)))/C509)/100))))</f>
        <v>0</v>
      </c>
      <c r="AP509" s="57">
        <f>IF(ISERROR(IF(B509=C509,E509/C509,(INT(E509/B509)+(((E509-B509*INT(E509/B509)))/C509)/100))),0,(IF(B509=C509,E509/C509,(INT(E509/B509)+(((E509-B509*INT(E509/B509)))/C509)/100))))</f>
        <v>0</v>
      </c>
      <c r="AQ509" s="57">
        <f>IF(ISERROR(IF(B509=C509,F509/C509,IF((INT(F509/B509)+(((F509-B509*INT(F509/B509)))/C509)/100)&lt;0,(INT(F509/B509)+(((F509-B509*INT(F509/B509)))/C509)/100)+(1-(B509/C509/100)),(INT(F509/B509)+(((F509-B509*INT(F509/B509)))/C509)/100)))),0,IF(B509=C509,F509/C509,IF((INT(F509/B509)+(((F509-B509*INT(F509/B509)))/C509)/100)&lt;0,(INT(F509/B509)+(((F509-B509*INT(F509/B509)))/C509)/100)+(1-(B509/C509/100)),(INT(F509/B509)+(((F509-B509*INT(F509/B509)))/C509)/100))))</f>
        <v>0</v>
      </c>
      <c r="AR509" s="57">
        <f>IF(ISERROR(IF(B509=C509,G509/C509,(INT(G509/B509)+(((G509-B509*INT(G509/B509)))/C509)/100))),0,(IF(B509=C509,G509/C509,(INT(G509/B509)+(((G509-B509*INT(G509/B509)))/C509)/100))))</f>
        <v>0</v>
      </c>
      <c r="AS509" s="57">
        <f>IF(ISERROR(IF(B509=C509,H509/C509,(INT(H509/B509)+(((H509-B509*INT(H509/B509)))/C509)/100))),0,(IF(B509=C509,H509/C509,(INT(H509/B509)+(((H509-B509*INT(H509/B509)))/C509)/100))))</f>
        <v>0</v>
      </c>
      <c r="AT509" s="57">
        <f>IF(ISERROR(IF(B509=C509,I509/C509,(INT(I509/B509)+(((I509-B509*INT(I509/B509)))/C509)/100))),0,(IF(B509=C509,I509/C509,(INT(I509/B509)+(((I509-B509*INT(I509/B509)))/C509)/100))))</f>
        <v>0</v>
      </c>
      <c r="AU509" s="57">
        <f>IF(ISERROR(IF(B509=C509,J509/C509,(INT(J509/B509)+(((J509-B509*INT(J509/B509)))/C509)/100))),0,(IF(B509=C509,J509/C509,(INT(J509/B509)+(((J509-B509*INT(J509/B509)))/C509)/100))))</f>
        <v>0</v>
      </c>
      <c r="AV509" s="57">
        <f>IF(ISERROR(IF(B509=C509,K509/C509,IF((INT(K509/B509)+(((K509-B509*INT(K509/B509)))/C509)/100)&lt;0,(INT(K509/B509)+(((K509-B509*INT(K509/B509)))/C509)/100)+(1-(B509/C509/100)),(INT(K509/B509)+(((K509-B509*INT(K509/B509)))/C509)/100)))),0,IF(B509=C509,K509/C509,IF((INT(K509/B509)+(((K509-B509*INT(K509/B509)))/C509)/100)&lt;0,(INT(K509/B509)+(((K509-B509*INT(K509/B509)))/C509)/100)+(1-(B509/C509/100)),(INT(K509/B509)+(((K509-B509*INT(K509/B509)))/C509)/100))))</f>
        <v>0</v>
      </c>
      <c r="AW509" s="57">
        <f>IF(ISERROR(IF(B509=C509,L509/C509,(INT(L509/B509)+(((L509-B509*INT(L509/B509)))/C509)/100))),0,(IF(B509=C509,L509/C509,(INT(L509/B509)+(((L509-B509*INT(L509/B509)))/C509)/100))))</f>
        <v>0</v>
      </c>
      <c r="AX509" s="57">
        <f>IF(ISERROR(IF(B509=C509,M509/C509,(INT(M509/B509)+(((M509-B509*INT(M509/B509)))/C509)/100))),0,(IF(B509=C509,M509/C509,(INT(M509/B509)+(((M509-B509*INT(M509/B509)))/C509)/100))))</f>
        <v>0</v>
      </c>
      <c r="AY509" s="57">
        <f>IF(ISERROR(IF(B509=C509,N509/C509,IF((INT(N509/B509)+(((N509-B509*INT(N509/B509)))/C509)/100)&lt;0,(INT(N509/B509)+(((N509-B509*INT(N509/B509)))/C509)/100)+(1-(B509/C509/100)),(INT(N509/B509)+(((N509-B509*INT(N509/B509)))/C509)/100)))),0,IF(B509=C509,N509/C509,IF((INT(N509/B509)+(((N509-B509*INT(N509/B509)))/C509)/100)&lt;0,(INT(N509/B509)+(((N509-B509*INT(N509/B509)))/C509)/100)+(1-(B509/C509/100)),(INT(N509/B509)+(((N509-B509*INT(N509/B509)))/C509)/100))))</f>
        <v>0</v>
      </c>
      <c r="AZ509" s="57">
        <f>IF(ISERROR(IF(B509=C509,O509/C509,(INT(O509/B509)+(((O509-B509*INT(O509/B509)))/C509)/100))),0,(IF(B509=C509,O509/C509,(INT(O509/B509)+(((O509-B509*INT(O509/B509)))/C509)/100))))</f>
        <v>0</v>
      </c>
      <c r="BA509" s="57">
        <f>IF(ISERROR(IF(B509=C509,P509/C509,IF((INT(P509/B509)+(((P509-B509*INT(P509/B509)))/C509)/100)&lt;0,(INT(P509/B509)+(((P509-B509*INT(P509/B509)))/C509)/100)+(1-(B509/C509/100)),(INT(P509/B509)+(((P509-B509*INT(P509/B509)))/C509)/100)))),0,IF(B509=C509,P509/C509,IF((INT(P509/B509)+(((P509-B509*INT(P509/B509)))/C509)/100)&lt;0,(INT(P509/B509)+(((P509-B509*INT(P509/B509)))/C509)/100)+(1-(B509/C509/100)),(INT(P509/B509)+(((P509-B509*INT(P509/B509)))/C509)/100))))</f>
        <v>0</v>
      </c>
      <c r="BB509" s="28">
        <f>R509</f>
        <v>0</v>
      </c>
      <c r="BC509" s="28">
        <f>S509</f>
        <v>0</v>
      </c>
      <c r="BD509" s="28">
        <f>AF509</f>
        <v>0</v>
      </c>
      <c r="BE509" s="28">
        <f>T509</f>
        <v>0</v>
      </c>
      <c r="BG509" s="57">
        <f>IF(ISERROR(IF(B509=C509,V509/C509,(INT(V509/B509)+(((V509-B509*INT(V509/B509)))/C509)/100))),0,(IF(B509=C509,V509/C509,(INT(V509/B509)+(((V509-B509*INT(V509/B509)))/C509)/100))))</f>
        <v>0</v>
      </c>
      <c r="BH509" s="57">
        <f>IF(ISERROR(IF(B509=C509,W509/C509,(INT(W509/B509)+(((W509-B509*INT(W509/B509)))/C509)/100))),0,(IF(B509=C509,W509/C509,(INT(W509/B509)+(((W509-B509*INT(W509/B509)))/C509)/100))))</f>
        <v>0</v>
      </c>
      <c r="BI509" s="57">
        <f>IF(ISERROR(IF(B509=C509,X509/C509,(INT(X509/B509)+(((X509-B509*INT(X509/B509)))/C509)/100))),0,(IF(B509=C509,X509/C509,(INT(X509/B509)+(((X509-B509*INT(X509/B509)))/C509)/100))))</f>
        <v>0</v>
      </c>
      <c r="BJ509" s="57">
        <f>IF(ISERROR(IF(B509=C509,Y509/C509,(INT(Y509/B509)+(((Y509-B509*INT(Y509/B509)))/C509)/100))),0,(IF(B509=C509,Y509/C509,(INT(Y509/B509)+(((Y509-B509*INT(Y509/B509)))/C509)/100))))</f>
        <v>0</v>
      </c>
      <c r="BL509" s="57">
        <f>IF(ISERROR(IF(B509=C509,AA509/C509,(INT(AA509/B509)+(((AA509-B509*INT(AA509/B509)))/C509)/100))),0,(IF(B509=C509,AA509/C509,(INT(AA509/B509)+(((AA509-B509*INT(AA509/B509)))/C509)/100))))</f>
        <v>0</v>
      </c>
      <c r="BM509" s="57">
        <f>IF(ISERROR(IF(B509=C509,AB509/C509,(INT(AB509/B509)+(((AB509-B509*INT(AB509/B509)))/C509)/100))),0,(IF(B509=C509,AB509/C509,(INT(AB509/B509)+(((AB509-B509*INT(AB509/B509)))/C509)/100))))</f>
        <v>0</v>
      </c>
      <c r="BN509" s="57">
        <f>IF(ISERROR(IF(B509=C509,AC509/C509,(INT(AC509/B509)+(((AC509-B509*INT(AC509/B509)))/C509)/100))),0,(IF(B509=C509,AC509/C509,(INT(AC509/B509)+(((AC509-B509*INT(AC509/B509)))/C509)/100))))</f>
        <v>0</v>
      </c>
      <c r="BO509" s="57">
        <f>IF(ISERROR(IF(B509=C509,AD509/C509,(INT(AD509/B509)+(((AD509-B509*INT(AD509/B509)))/C509)/100))),0,(IF(B509=C509,AD509/C509,(INT(AD509/B509)+(((AD509-B509*INT(AD509/B509)))/C509)/100))))</f>
        <v>0</v>
      </c>
      <c r="BQ509" s="155"/>
    </row>
    <row r="510" spans="1:69" hidden="1" x14ac:dyDescent="0.35">
      <c r="A510" s="94"/>
      <c r="B510" s="113">
        <v>0</v>
      </c>
      <c r="C510" s="113">
        <v>250</v>
      </c>
      <c r="D510" s="28">
        <f>SUM(AA510:AD510)</f>
        <v>0</v>
      </c>
      <c r="E510" s="113">
        <v>0</v>
      </c>
      <c r="F510" s="113">
        <v>0</v>
      </c>
      <c r="G510" s="28">
        <f>SUM(D510:F510)</f>
        <v>0</v>
      </c>
      <c r="H510" s="125">
        <v>0</v>
      </c>
      <c r="I510" s="113">
        <v>0</v>
      </c>
      <c r="J510" s="125">
        <v>0</v>
      </c>
      <c r="K510" s="113">
        <v>0</v>
      </c>
      <c r="L510" s="113">
        <v>0</v>
      </c>
      <c r="M510" s="113">
        <v>0</v>
      </c>
      <c r="N510" s="28">
        <f>G510-SUM(H510:M510)</f>
        <v>0</v>
      </c>
      <c r="O510" s="28">
        <f>SUM(V510:Y510)</f>
        <v>0</v>
      </c>
      <c r="P510" s="28">
        <f>O510-N510</f>
        <v>0</v>
      </c>
      <c r="Q510" s="61" t="str">
        <f>IF(ISERROR(P510/SUM(H510:L510)),"",P510/SUM(H510:L510))</f>
        <v/>
      </c>
      <c r="R510" s="113">
        <v>0</v>
      </c>
      <c r="S510" s="28">
        <f>IF(ISERROR(P510/C510*R510),0,(P510/C510*R510))</f>
        <v>0</v>
      </c>
      <c r="T510" s="60">
        <f>IF(ISERROR(P510/B510*AF510),0,(P510/B510*AF510))</f>
        <v>0</v>
      </c>
      <c r="V510" s="113">
        <v>0</v>
      </c>
      <c r="W510" s="113">
        <v>0</v>
      </c>
      <c r="X510" s="113">
        <v>0</v>
      </c>
      <c r="Y510" s="113">
        <v>0</v>
      </c>
      <c r="AA510" s="113">
        <v>0</v>
      </c>
      <c r="AB510" s="113">
        <v>0</v>
      </c>
      <c r="AC510" s="113">
        <v>0</v>
      </c>
      <c r="AD510" s="113">
        <v>0</v>
      </c>
      <c r="AF510" s="113">
        <v>0</v>
      </c>
      <c r="AG510" s="28">
        <f>G510-O510</f>
        <v>0</v>
      </c>
      <c r="AH510" s="58">
        <f>IF(ISERROR(AG510/B510*AF510),0,(AG510/B510*AF510))</f>
        <v>0</v>
      </c>
      <c r="AI510" s="28">
        <f>SUM(H510:M510)</f>
        <v>0</v>
      </c>
      <c r="AJ510" s="28">
        <f>IF(ISERROR(AI510/B510*AF510),0,(AI510/B510*AF510))</f>
        <v>0</v>
      </c>
      <c r="AK510" s="58">
        <f>IF(ISERROR(O510/B510*AF510),0,(O510/B510*AF510))</f>
        <v>0</v>
      </c>
      <c r="AL510" s="28">
        <f>IF(ISERROR(H510/B510*AF510),0,(H510/B510*AF510))</f>
        <v>0</v>
      </c>
      <c r="AN510" s="51">
        <f>A510</f>
        <v>0</v>
      </c>
      <c r="AO510" s="57">
        <f>IF(ISERROR(IF(B510=C510,D510/C510,(INT(D510/B510)+(((D510-B510*INT(D510/B510)))/C510)/100))),0,(IF(B510=C510,D510/C510,(INT(D510/B510)+(((D510-B510*INT(D510/B510)))/C510)/100))))</f>
        <v>0</v>
      </c>
      <c r="AP510" s="57">
        <f>IF(ISERROR(IF(B510=C510,E510/C510,(INT(E510/B510)+(((E510-B510*INT(E510/B510)))/C510)/100))),0,(IF(B510=C510,E510/C510,(INT(E510/B510)+(((E510-B510*INT(E510/B510)))/C510)/100))))</f>
        <v>0</v>
      </c>
      <c r="AQ510" s="57">
        <f>IF(ISERROR(IF(B510=C510,F510/C510,IF((INT(F510/B510)+(((F510-B510*INT(F510/B510)))/C510)/100)&lt;0,(INT(F510/B510)+(((F510-B510*INT(F510/B510)))/C510)/100)+(1-(B510/C510/100)),(INT(F510/B510)+(((F510-B510*INT(F510/B510)))/C510)/100)))),0,IF(B510=C510,F510/C510,IF((INT(F510/B510)+(((F510-B510*INT(F510/B510)))/C510)/100)&lt;0,(INT(F510/B510)+(((F510-B510*INT(F510/B510)))/C510)/100)+(1-(B510/C510/100)),(INT(F510/B510)+(((F510-B510*INT(F510/B510)))/C510)/100))))</f>
        <v>0</v>
      </c>
      <c r="AR510" s="57">
        <f>IF(ISERROR(IF(B510=C510,G510/C510,(INT(G510/B510)+(((G510-B510*INT(G510/B510)))/C510)/100))),0,(IF(B510=C510,G510/C510,(INT(G510/B510)+(((G510-B510*INT(G510/B510)))/C510)/100))))</f>
        <v>0</v>
      </c>
      <c r="AS510" s="57">
        <f>IF(ISERROR(IF(B510=C510,H510/C510,(INT(H510/B510)+(((H510-B510*INT(H510/B510)))/C510)/100))),0,(IF(B510=C510,H510/C510,(INT(H510/B510)+(((H510-B510*INT(H510/B510)))/C510)/100))))</f>
        <v>0</v>
      </c>
      <c r="AT510" s="57">
        <f>IF(ISERROR(IF(B510=C510,I510/C510,(INT(I510/B510)+(((I510-B510*INT(I510/B510)))/C510)/100))),0,(IF(B510=C510,I510/C510,(INT(I510/B510)+(((I510-B510*INT(I510/B510)))/C510)/100))))</f>
        <v>0</v>
      </c>
      <c r="AU510" s="57">
        <f>IF(ISERROR(IF(B510=C510,J510/C510,(INT(J510/B510)+(((J510-B510*INT(J510/B510)))/C510)/100))),0,(IF(B510=C510,J510/C510,(INT(J510/B510)+(((J510-B510*INT(J510/B510)))/C510)/100))))</f>
        <v>0</v>
      </c>
      <c r="AV510" s="57">
        <f>IF(ISERROR(IF(B510=C510,K510/C510,IF((INT(K510/B510)+(((K510-B510*INT(K510/B510)))/C510)/100)&lt;0,(INT(K510/B510)+(((K510-B510*INT(K510/B510)))/C510)/100)+(1-(B510/C510/100)),(INT(K510/B510)+(((K510-B510*INT(K510/B510)))/C510)/100)))),0,IF(B510=C510,K510/C510,IF((INT(K510/B510)+(((K510-B510*INT(K510/B510)))/C510)/100)&lt;0,(INT(K510/B510)+(((K510-B510*INT(K510/B510)))/C510)/100)+(1-(B510/C510/100)),(INT(K510/B510)+(((K510-B510*INT(K510/B510)))/C510)/100))))</f>
        <v>0</v>
      </c>
      <c r="AW510" s="57">
        <f>IF(ISERROR(IF(B510=C510,L510/C510,(INT(L510/B510)+(((L510-B510*INT(L510/B510)))/C510)/100))),0,(IF(B510=C510,L510/C510,(INT(L510/B510)+(((L510-B510*INT(L510/B510)))/C510)/100))))</f>
        <v>0</v>
      </c>
      <c r="AX510" s="57">
        <f>IF(ISERROR(IF(B510=C510,M510/C510,(INT(M510/B510)+(((M510-B510*INT(M510/B510)))/C510)/100))),0,(IF(B510=C510,M510/C510,(INT(M510/B510)+(((M510-B510*INT(M510/B510)))/C510)/100))))</f>
        <v>0</v>
      </c>
      <c r="AY510" s="57">
        <f>IF(ISERROR(IF(B510=C510,N510/C510,IF((INT(N510/B510)+(((N510-B510*INT(N510/B510)))/C510)/100)&lt;0,(INT(N510/B510)+(((N510-B510*INT(N510/B510)))/C510)/100)+(1-(B510/C510/100)),(INT(N510/B510)+(((N510-B510*INT(N510/B510)))/C510)/100)))),0,IF(B510=C510,N510/C510,IF((INT(N510/B510)+(((N510-B510*INT(N510/B510)))/C510)/100)&lt;0,(INT(N510/B510)+(((N510-B510*INT(N510/B510)))/C510)/100)+(1-(B510/C510/100)),(INT(N510/B510)+(((N510-B510*INT(N510/B510)))/C510)/100))))</f>
        <v>0</v>
      </c>
      <c r="AZ510" s="57">
        <f>IF(ISERROR(IF(B510=C510,O510/C510,(INT(O510/B510)+(((O510-B510*INT(O510/B510)))/C510)/100))),0,(IF(B510=C510,O510/C510,(INT(O510/B510)+(((O510-B510*INT(O510/B510)))/C510)/100))))</f>
        <v>0</v>
      </c>
      <c r="BA510" s="57">
        <f>IF(ISERROR(IF(B510=C510,P510/C510,IF((INT(P510/B510)+(((P510-B510*INT(P510/B510)))/C510)/100)&lt;0,(INT(P510/B510)+(((P510-B510*INT(P510/B510)))/C510)/100)+(1-(B510/C510/100)),(INT(P510/B510)+(((P510-B510*INT(P510/B510)))/C510)/100)))),0,IF(B510=C510,P510/C510,IF((INT(P510/B510)+(((P510-B510*INT(P510/B510)))/C510)/100)&lt;0,(INT(P510/B510)+(((P510-B510*INT(P510/B510)))/C510)/100)+(1-(B510/C510/100)),(INT(P510/B510)+(((P510-B510*INT(P510/B510)))/C510)/100))))</f>
        <v>0</v>
      </c>
      <c r="BB510" s="28">
        <f>R510</f>
        <v>0</v>
      </c>
      <c r="BC510" s="28">
        <f>S510</f>
        <v>0</v>
      </c>
      <c r="BD510" s="28">
        <f>AF510</f>
        <v>0</v>
      </c>
      <c r="BE510" s="28">
        <f>T510</f>
        <v>0</v>
      </c>
      <c r="BG510" s="57">
        <f>IF(ISERROR(IF(B510=C510,V510/C510,(INT(V510/B510)+(((V510-B510*INT(V510/B510)))/C510)/100))),0,(IF(B510=C510,V510/C510,(INT(V510/B510)+(((V510-B510*INT(V510/B510)))/C510)/100))))</f>
        <v>0</v>
      </c>
      <c r="BH510" s="57">
        <f>IF(ISERROR(IF(B510=C510,W510/C510,(INT(W510/B510)+(((W510-B510*INT(W510/B510)))/C510)/100))),0,(IF(B510=C510,W510/C510,(INT(W510/B510)+(((W510-B510*INT(W510/B510)))/C510)/100))))</f>
        <v>0</v>
      </c>
      <c r="BI510" s="57">
        <f>IF(ISERROR(IF(B510=C510,X510/C510,(INT(X510/B510)+(((X510-B510*INT(X510/B510)))/C510)/100))),0,(IF(B510=C510,X510/C510,(INT(X510/B510)+(((X510-B510*INT(X510/B510)))/C510)/100))))</f>
        <v>0</v>
      </c>
      <c r="BJ510" s="57">
        <f>IF(ISERROR(IF(B510=C510,Y510/C510,(INT(Y510/B510)+(((Y510-B510*INT(Y510/B510)))/C510)/100))),0,(IF(B510=C510,Y510/C510,(INT(Y510/B510)+(((Y510-B510*INT(Y510/B510)))/C510)/100))))</f>
        <v>0</v>
      </c>
      <c r="BL510" s="57">
        <f>IF(ISERROR(IF(B510=C510,AA510/C510,(INT(AA510/B510)+(((AA510-B510*INT(AA510/B510)))/C510)/100))),0,(IF(B510=C510,AA510/C510,(INT(AA510/B510)+(((AA510-B510*INT(AA510/B510)))/C510)/100))))</f>
        <v>0</v>
      </c>
      <c r="BM510" s="57">
        <f>IF(ISERROR(IF(B510=C510,AB510/C510,(INT(AB510/B510)+(((AB510-B510*INT(AB510/B510)))/C510)/100))),0,(IF(B510=C510,AB510/C510,(INT(AB510/B510)+(((AB510-B510*INT(AB510/B510)))/C510)/100))))</f>
        <v>0</v>
      </c>
      <c r="BN510" s="57">
        <f>IF(ISERROR(IF(B510=C510,AC510/C510,(INT(AC510/B510)+(((AC510-B510*INT(AC510/B510)))/C510)/100))),0,(IF(B510=C510,AC510/C510,(INT(AC510/B510)+(((AC510-B510*INT(AC510/B510)))/C510)/100))))</f>
        <v>0</v>
      </c>
      <c r="BO510" s="57">
        <f>IF(ISERROR(IF(B510=C510,AD510/C510,(INT(AD510/B510)+(((AD510-B510*INT(AD510/B510)))/C510)/100))),0,(IF(B510=C510,AD510/C510,(INT(AD510/B510)+(((AD510-B510*INT(AD510/B510)))/C510)/100))))</f>
        <v>0</v>
      </c>
      <c r="BQ510" s="155"/>
    </row>
    <row r="511" spans="1:69" hidden="1" x14ac:dyDescent="0.35">
      <c r="A511" s="94"/>
      <c r="B511" s="113">
        <v>0</v>
      </c>
      <c r="C511" s="113">
        <v>250</v>
      </c>
      <c r="D511" s="28">
        <f>SUM(AA511:AD511)</f>
        <v>0</v>
      </c>
      <c r="E511" s="113">
        <v>0</v>
      </c>
      <c r="F511" s="113">
        <v>0</v>
      </c>
      <c r="G511" s="28">
        <f>SUM(D511:F511)</f>
        <v>0</v>
      </c>
      <c r="H511" s="125">
        <v>0</v>
      </c>
      <c r="I511" s="113">
        <v>0</v>
      </c>
      <c r="J511" s="125">
        <v>0</v>
      </c>
      <c r="K511" s="113">
        <v>0</v>
      </c>
      <c r="L511" s="113">
        <v>0</v>
      </c>
      <c r="M511" s="113">
        <v>0</v>
      </c>
      <c r="N511" s="28">
        <f>G511-SUM(H511:M511)</f>
        <v>0</v>
      </c>
      <c r="O511" s="28">
        <f>SUM(V511:Y511)</f>
        <v>0</v>
      </c>
      <c r="P511" s="28">
        <f>O511-N511</f>
        <v>0</v>
      </c>
      <c r="Q511" s="61" t="str">
        <f>IF(ISERROR(P511/SUM(H511:L511)),"",P511/SUM(H511:L511))</f>
        <v/>
      </c>
      <c r="R511" s="113">
        <v>0</v>
      </c>
      <c r="S511" s="28">
        <f>IF(ISERROR(P511/C511*R511),0,(P511/C511*R511))</f>
        <v>0</v>
      </c>
      <c r="T511" s="60">
        <f>IF(ISERROR(P511/B511*AF511),0,(P511/B511*AF511))</f>
        <v>0</v>
      </c>
      <c r="V511" s="113">
        <v>0</v>
      </c>
      <c r="W511" s="113">
        <v>0</v>
      </c>
      <c r="X511" s="113">
        <v>0</v>
      </c>
      <c r="Y511" s="113">
        <v>0</v>
      </c>
      <c r="AA511" s="113">
        <v>0</v>
      </c>
      <c r="AB511" s="113">
        <v>0</v>
      </c>
      <c r="AC511" s="113">
        <v>0</v>
      </c>
      <c r="AD511" s="113">
        <v>0</v>
      </c>
      <c r="AF511" s="113">
        <v>0</v>
      </c>
      <c r="AG511" s="28">
        <f>G511-O511</f>
        <v>0</v>
      </c>
      <c r="AH511" s="58">
        <f>IF(ISERROR(AG511/B511*AF511),0,(AG511/B511*AF511))</f>
        <v>0</v>
      </c>
      <c r="AI511" s="28">
        <f>SUM(H511:M511)</f>
        <v>0</v>
      </c>
      <c r="AJ511" s="28">
        <f>IF(ISERROR(AI511/B511*AF511),0,(AI511/B511*AF511))</f>
        <v>0</v>
      </c>
      <c r="AK511" s="58">
        <f>IF(ISERROR(O511/B511*AF511),0,(O511/B511*AF511))</f>
        <v>0</v>
      </c>
      <c r="AL511" s="28">
        <f>IF(ISERROR(H511/B511*AF511),0,(H511/B511*AF511))</f>
        <v>0</v>
      </c>
      <c r="AN511" s="51">
        <f>A511</f>
        <v>0</v>
      </c>
      <c r="AO511" s="57">
        <f>IF(ISERROR(IF(B511=C511,D511/C511,(INT(D511/B511)+(((D511-B511*INT(D511/B511)))/C511)/100))),0,(IF(B511=C511,D511/C511,(INT(D511/B511)+(((D511-B511*INT(D511/B511)))/C511)/100))))</f>
        <v>0</v>
      </c>
      <c r="AP511" s="57">
        <f>IF(ISERROR(IF(B511=C511,E511/C511,(INT(E511/B511)+(((E511-B511*INT(E511/B511)))/C511)/100))),0,(IF(B511=C511,E511/C511,(INT(E511/B511)+(((E511-B511*INT(E511/B511)))/C511)/100))))</f>
        <v>0</v>
      </c>
      <c r="AQ511" s="57">
        <f>IF(ISERROR(IF(B511=C511,F511/C511,IF((INT(F511/B511)+(((F511-B511*INT(F511/B511)))/C511)/100)&lt;0,(INT(F511/B511)+(((F511-B511*INT(F511/B511)))/C511)/100)+(1-(B511/C511/100)),(INT(F511/B511)+(((F511-B511*INT(F511/B511)))/C511)/100)))),0,IF(B511=C511,F511/C511,IF((INT(F511/B511)+(((F511-B511*INT(F511/B511)))/C511)/100)&lt;0,(INT(F511/B511)+(((F511-B511*INT(F511/B511)))/C511)/100)+(1-(B511/C511/100)),(INT(F511/B511)+(((F511-B511*INT(F511/B511)))/C511)/100))))</f>
        <v>0</v>
      </c>
      <c r="AR511" s="57">
        <f>IF(ISERROR(IF(B511=C511,G511/C511,(INT(G511/B511)+(((G511-B511*INT(G511/B511)))/C511)/100))),0,(IF(B511=C511,G511/C511,(INT(G511/B511)+(((G511-B511*INT(G511/B511)))/C511)/100))))</f>
        <v>0</v>
      </c>
      <c r="AS511" s="57">
        <f>IF(ISERROR(IF(B511=C511,H511/C511,(INT(H511/B511)+(((H511-B511*INT(H511/B511)))/C511)/100))),0,(IF(B511=C511,H511/C511,(INT(H511/B511)+(((H511-B511*INT(H511/B511)))/C511)/100))))</f>
        <v>0</v>
      </c>
      <c r="AT511" s="57">
        <f>IF(ISERROR(IF(B511=C511,I511/C511,(INT(I511/B511)+(((I511-B511*INT(I511/B511)))/C511)/100))),0,(IF(B511=C511,I511/C511,(INT(I511/B511)+(((I511-B511*INT(I511/B511)))/C511)/100))))</f>
        <v>0</v>
      </c>
      <c r="AU511" s="57">
        <f>IF(ISERROR(IF(B511=C511,J511/C511,(INT(J511/B511)+(((J511-B511*INT(J511/B511)))/C511)/100))),0,(IF(B511=C511,J511/C511,(INT(J511/B511)+(((J511-B511*INT(J511/B511)))/C511)/100))))</f>
        <v>0</v>
      </c>
      <c r="AV511" s="57">
        <f>IF(ISERROR(IF(B511=C511,K511/C511,IF((INT(K511/B511)+(((K511-B511*INT(K511/B511)))/C511)/100)&lt;0,(INT(K511/B511)+(((K511-B511*INT(K511/B511)))/C511)/100)+(1-(B511/C511/100)),(INT(K511/B511)+(((K511-B511*INT(K511/B511)))/C511)/100)))),0,IF(B511=C511,K511/C511,IF((INT(K511/B511)+(((K511-B511*INT(K511/B511)))/C511)/100)&lt;0,(INT(K511/B511)+(((K511-B511*INT(K511/B511)))/C511)/100)+(1-(B511/C511/100)),(INT(K511/B511)+(((K511-B511*INT(K511/B511)))/C511)/100))))</f>
        <v>0</v>
      </c>
      <c r="AW511" s="57">
        <f>IF(ISERROR(IF(B511=C511,L511/C511,(INT(L511/B511)+(((L511-B511*INT(L511/B511)))/C511)/100))),0,(IF(B511=C511,L511/C511,(INT(L511/B511)+(((L511-B511*INT(L511/B511)))/C511)/100))))</f>
        <v>0</v>
      </c>
      <c r="AX511" s="57">
        <f>IF(ISERROR(IF(B511=C511,M511/C511,(INT(M511/B511)+(((M511-B511*INT(M511/B511)))/C511)/100))),0,(IF(B511=C511,M511/C511,(INT(M511/B511)+(((M511-B511*INT(M511/B511)))/C511)/100))))</f>
        <v>0</v>
      </c>
      <c r="AY511" s="57">
        <f>IF(ISERROR(IF(B511=C511,N511/C511,IF((INT(N511/B511)+(((N511-B511*INT(N511/B511)))/C511)/100)&lt;0,(INT(N511/B511)+(((N511-B511*INT(N511/B511)))/C511)/100)+(1-(B511/C511/100)),(INT(N511/B511)+(((N511-B511*INT(N511/B511)))/C511)/100)))),0,IF(B511=C511,N511/C511,IF((INT(N511/B511)+(((N511-B511*INT(N511/B511)))/C511)/100)&lt;0,(INT(N511/B511)+(((N511-B511*INT(N511/B511)))/C511)/100)+(1-(B511/C511/100)),(INT(N511/B511)+(((N511-B511*INT(N511/B511)))/C511)/100))))</f>
        <v>0</v>
      </c>
      <c r="AZ511" s="57">
        <f>IF(ISERROR(IF(B511=C511,O511/C511,(INT(O511/B511)+(((O511-B511*INT(O511/B511)))/C511)/100))),0,(IF(B511=C511,O511/C511,(INT(O511/B511)+(((O511-B511*INT(O511/B511)))/C511)/100))))</f>
        <v>0</v>
      </c>
      <c r="BA511" s="57">
        <f>IF(ISERROR(IF(B511=C511,P511/C511,IF((INT(P511/B511)+(((P511-B511*INT(P511/B511)))/C511)/100)&lt;0,(INT(P511/B511)+(((P511-B511*INT(P511/B511)))/C511)/100)+(1-(B511/C511/100)),(INT(P511/B511)+(((P511-B511*INT(P511/B511)))/C511)/100)))),0,IF(B511=C511,P511/C511,IF((INT(P511/B511)+(((P511-B511*INT(P511/B511)))/C511)/100)&lt;0,(INT(P511/B511)+(((P511-B511*INT(P511/B511)))/C511)/100)+(1-(B511/C511/100)),(INT(P511/B511)+(((P511-B511*INT(P511/B511)))/C511)/100))))</f>
        <v>0</v>
      </c>
      <c r="BB511" s="28">
        <f>R511</f>
        <v>0</v>
      </c>
      <c r="BC511" s="28">
        <f>S511</f>
        <v>0</v>
      </c>
      <c r="BD511" s="28">
        <f>AF511</f>
        <v>0</v>
      </c>
      <c r="BE511" s="28">
        <f>T511</f>
        <v>0</v>
      </c>
      <c r="BG511" s="57">
        <f>IF(ISERROR(IF(B511=C511,V511/C511,(INT(V511/B511)+(((V511-B511*INT(V511/B511)))/C511)/100))),0,(IF(B511=C511,V511/C511,(INT(V511/B511)+(((V511-B511*INT(V511/B511)))/C511)/100))))</f>
        <v>0</v>
      </c>
      <c r="BH511" s="57">
        <f>IF(ISERROR(IF(B511=C511,W511/C511,(INT(W511/B511)+(((W511-B511*INT(W511/B511)))/C511)/100))),0,(IF(B511=C511,W511/C511,(INT(W511/B511)+(((W511-B511*INT(W511/B511)))/C511)/100))))</f>
        <v>0</v>
      </c>
      <c r="BI511" s="57">
        <f>IF(ISERROR(IF(B511=C511,X511/C511,(INT(X511/B511)+(((X511-B511*INT(X511/B511)))/C511)/100))),0,(IF(B511=C511,X511/C511,(INT(X511/B511)+(((X511-B511*INT(X511/B511)))/C511)/100))))</f>
        <v>0</v>
      </c>
      <c r="BJ511" s="57">
        <f>IF(ISERROR(IF(B511=C511,Y511/C511,(INT(Y511/B511)+(((Y511-B511*INT(Y511/B511)))/C511)/100))),0,(IF(B511=C511,Y511/C511,(INT(Y511/B511)+(((Y511-B511*INT(Y511/B511)))/C511)/100))))</f>
        <v>0</v>
      </c>
      <c r="BL511" s="57">
        <f>IF(ISERROR(IF(B511=C511,AA511/C511,(INT(AA511/B511)+(((AA511-B511*INT(AA511/B511)))/C511)/100))),0,(IF(B511=C511,AA511/C511,(INT(AA511/B511)+(((AA511-B511*INT(AA511/B511)))/C511)/100))))</f>
        <v>0</v>
      </c>
      <c r="BM511" s="57">
        <f>IF(ISERROR(IF(B511=C511,AB511/C511,(INT(AB511/B511)+(((AB511-B511*INT(AB511/B511)))/C511)/100))),0,(IF(B511=C511,AB511/C511,(INT(AB511/B511)+(((AB511-B511*INT(AB511/B511)))/C511)/100))))</f>
        <v>0</v>
      </c>
      <c r="BN511" s="57">
        <f>IF(ISERROR(IF(B511=C511,AC511/C511,(INT(AC511/B511)+(((AC511-B511*INT(AC511/B511)))/C511)/100))),0,(IF(B511=C511,AC511/C511,(INT(AC511/B511)+(((AC511-B511*INT(AC511/B511)))/C511)/100))))</f>
        <v>0</v>
      </c>
      <c r="BO511" s="57">
        <f>IF(ISERROR(IF(B511=C511,AD511/C511,(INT(AD511/B511)+(((AD511-B511*INT(AD511/B511)))/C511)/100))),0,(IF(B511=C511,AD511/C511,(INT(AD511/B511)+(((AD511-B511*INT(AD511/B511)))/C511)/100))))</f>
        <v>0</v>
      </c>
      <c r="BQ511" s="155"/>
    </row>
    <row r="512" spans="1:69" hidden="1" x14ac:dyDescent="0.35">
      <c r="A512" s="94"/>
      <c r="B512" s="113">
        <v>0</v>
      </c>
      <c r="C512" s="113">
        <v>250</v>
      </c>
      <c r="D512" s="28">
        <f>SUM(AA512:AD512)</f>
        <v>0</v>
      </c>
      <c r="E512" s="113">
        <v>0</v>
      </c>
      <c r="F512" s="113">
        <v>0</v>
      </c>
      <c r="G512" s="28">
        <f>SUM(D512:F512)</f>
        <v>0</v>
      </c>
      <c r="H512" s="125">
        <v>0</v>
      </c>
      <c r="I512" s="113">
        <v>0</v>
      </c>
      <c r="J512" s="125">
        <v>0</v>
      </c>
      <c r="K512" s="113">
        <v>0</v>
      </c>
      <c r="L512" s="113">
        <v>0</v>
      </c>
      <c r="M512" s="113">
        <v>0</v>
      </c>
      <c r="N512" s="28">
        <f>G512-SUM(H512:M512)</f>
        <v>0</v>
      </c>
      <c r="O512" s="28">
        <f>SUM(V512:Y512)</f>
        <v>0</v>
      </c>
      <c r="P512" s="28">
        <f>O512-N512</f>
        <v>0</v>
      </c>
      <c r="Q512" s="61" t="str">
        <f>IF(ISERROR(P512/SUM(H512:L512)),"",P512/SUM(H512:L512))</f>
        <v/>
      </c>
      <c r="R512" s="113">
        <v>0</v>
      </c>
      <c r="S512" s="28">
        <f>IF(ISERROR(P512/C512*R512),0,(P512/C512*R512))</f>
        <v>0</v>
      </c>
      <c r="T512" s="60">
        <f>IF(ISERROR(P512/B512*AF512),0,(P512/B512*AF512))</f>
        <v>0</v>
      </c>
      <c r="V512" s="113">
        <v>0</v>
      </c>
      <c r="W512" s="113">
        <v>0</v>
      </c>
      <c r="X512" s="113">
        <v>0</v>
      </c>
      <c r="Y512" s="113">
        <v>0</v>
      </c>
      <c r="AA512" s="113">
        <v>0</v>
      </c>
      <c r="AB512" s="113">
        <v>0</v>
      </c>
      <c r="AC512" s="113">
        <v>0</v>
      </c>
      <c r="AD512" s="113">
        <v>0</v>
      </c>
      <c r="AF512" s="113">
        <v>0</v>
      </c>
      <c r="AG512" s="28">
        <f>G512-O512</f>
        <v>0</v>
      </c>
      <c r="AH512" s="58">
        <f>IF(ISERROR(AG512/B512*AF512),0,(AG512/B512*AF512))</f>
        <v>0</v>
      </c>
      <c r="AI512" s="28">
        <f>SUM(H512:M512)</f>
        <v>0</v>
      </c>
      <c r="AJ512" s="28">
        <f>IF(ISERROR(AI512/B512*AF512),0,(AI512/B512*AF512))</f>
        <v>0</v>
      </c>
      <c r="AK512" s="58">
        <f>IF(ISERROR(O512/B512*AF512),0,(O512/B512*AF512))</f>
        <v>0</v>
      </c>
      <c r="AL512" s="28">
        <f>IF(ISERROR(H512/B512*AF512),0,(H512/B512*AF512))</f>
        <v>0</v>
      </c>
      <c r="AN512" s="51">
        <f>A512</f>
        <v>0</v>
      </c>
      <c r="AO512" s="57">
        <f>IF(ISERROR(IF(B512=C512,D512/C512,(INT(D512/B512)+(((D512-B512*INT(D512/B512)))/C512)/100))),0,(IF(B512=C512,D512/C512,(INT(D512/B512)+(((D512-B512*INT(D512/B512)))/C512)/100))))</f>
        <v>0</v>
      </c>
      <c r="AP512" s="57">
        <f>IF(ISERROR(IF(B512=C512,E512/C512,(INT(E512/B512)+(((E512-B512*INT(E512/B512)))/C512)/100))),0,(IF(B512=C512,E512/C512,(INT(E512/B512)+(((E512-B512*INT(E512/B512)))/C512)/100))))</f>
        <v>0</v>
      </c>
      <c r="AQ512" s="57">
        <f>IF(ISERROR(IF(B512=C512,F512/C512,IF((INT(F512/B512)+(((F512-B512*INT(F512/B512)))/C512)/100)&lt;0,(INT(F512/B512)+(((F512-B512*INT(F512/B512)))/C512)/100)+(1-(B512/C512/100)),(INT(F512/B512)+(((F512-B512*INT(F512/B512)))/C512)/100)))),0,IF(B512=C512,F512/C512,IF((INT(F512/B512)+(((F512-B512*INT(F512/B512)))/C512)/100)&lt;0,(INT(F512/B512)+(((F512-B512*INT(F512/B512)))/C512)/100)+(1-(B512/C512/100)),(INT(F512/B512)+(((F512-B512*INT(F512/B512)))/C512)/100))))</f>
        <v>0</v>
      </c>
      <c r="AR512" s="57">
        <f>IF(ISERROR(IF(B512=C512,G512/C512,(INT(G512/B512)+(((G512-B512*INT(G512/B512)))/C512)/100))),0,(IF(B512=C512,G512/C512,(INT(G512/B512)+(((G512-B512*INT(G512/B512)))/C512)/100))))</f>
        <v>0</v>
      </c>
      <c r="AS512" s="57">
        <f>IF(ISERROR(IF(B512=C512,H512/C512,(INT(H512/B512)+(((H512-B512*INT(H512/B512)))/C512)/100))),0,(IF(B512=C512,H512/C512,(INT(H512/B512)+(((H512-B512*INT(H512/B512)))/C512)/100))))</f>
        <v>0</v>
      </c>
      <c r="AT512" s="57">
        <f>IF(ISERROR(IF(B512=C512,I512/C512,(INT(I512/B512)+(((I512-B512*INT(I512/B512)))/C512)/100))),0,(IF(B512=C512,I512/C512,(INT(I512/B512)+(((I512-B512*INT(I512/B512)))/C512)/100))))</f>
        <v>0</v>
      </c>
      <c r="AU512" s="57">
        <f>IF(ISERROR(IF(B512=C512,J512/C512,(INT(J512/B512)+(((J512-B512*INT(J512/B512)))/C512)/100))),0,(IF(B512=C512,J512/C512,(INT(J512/B512)+(((J512-B512*INT(J512/B512)))/C512)/100))))</f>
        <v>0</v>
      </c>
      <c r="AV512" s="57">
        <f>IF(ISERROR(IF(B512=C512,K512/C512,IF((INT(K512/B512)+(((K512-B512*INT(K512/B512)))/C512)/100)&lt;0,(INT(K512/B512)+(((K512-B512*INT(K512/B512)))/C512)/100)+(1-(B512/C512/100)),(INT(K512/B512)+(((K512-B512*INT(K512/B512)))/C512)/100)))),0,IF(B512=C512,K512/C512,IF((INT(K512/B512)+(((K512-B512*INT(K512/B512)))/C512)/100)&lt;0,(INT(K512/B512)+(((K512-B512*INT(K512/B512)))/C512)/100)+(1-(B512/C512/100)),(INT(K512/B512)+(((K512-B512*INT(K512/B512)))/C512)/100))))</f>
        <v>0</v>
      </c>
      <c r="AW512" s="57">
        <f>IF(ISERROR(IF(B512=C512,L512/C512,(INT(L512/B512)+(((L512-B512*INT(L512/B512)))/C512)/100))),0,(IF(B512=C512,L512/C512,(INT(L512/B512)+(((L512-B512*INT(L512/B512)))/C512)/100))))</f>
        <v>0</v>
      </c>
      <c r="AX512" s="57">
        <f>IF(ISERROR(IF(B512=C512,M512/C512,(INT(M512/B512)+(((M512-B512*INT(M512/B512)))/C512)/100))),0,(IF(B512=C512,M512/C512,(INT(M512/B512)+(((M512-B512*INT(M512/B512)))/C512)/100))))</f>
        <v>0</v>
      </c>
      <c r="AY512" s="57">
        <f>IF(ISERROR(IF(B512=C512,N512/C512,IF((INT(N512/B512)+(((N512-B512*INT(N512/B512)))/C512)/100)&lt;0,(INT(N512/B512)+(((N512-B512*INT(N512/B512)))/C512)/100)+(1-(B512/C512/100)),(INT(N512/B512)+(((N512-B512*INT(N512/B512)))/C512)/100)))),0,IF(B512=C512,N512/C512,IF((INT(N512/B512)+(((N512-B512*INT(N512/B512)))/C512)/100)&lt;0,(INT(N512/B512)+(((N512-B512*INT(N512/B512)))/C512)/100)+(1-(B512/C512/100)),(INT(N512/B512)+(((N512-B512*INT(N512/B512)))/C512)/100))))</f>
        <v>0</v>
      </c>
      <c r="AZ512" s="57">
        <f>IF(ISERROR(IF(B512=C512,O512/C512,(INT(O512/B512)+(((O512-B512*INT(O512/B512)))/C512)/100))),0,(IF(B512=C512,O512/C512,(INT(O512/B512)+(((O512-B512*INT(O512/B512)))/C512)/100))))</f>
        <v>0</v>
      </c>
      <c r="BA512" s="57">
        <f>IF(ISERROR(IF(B512=C512,P512/C512,IF((INT(P512/B512)+(((P512-B512*INT(P512/B512)))/C512)/100)&lt;0,(INT(P512/B512)+(((P512-B512*INT(P512/B512)))/C512)/100)+(1-(B512/C512/100)),(INT(P512/B512)+(((P512-B512*INT(P512/B512)))/C512)/100)))),0,IF(B512=C512,P512/C512,IF((INT(P512/B512)+(((P512-B512*INT(P512/B512)))/C512)/100)&lt;0,(INT(P512/B512)+(((P512-B512*INT(P512/B512)))/C512)/100)+(1-(B512/C512/100)),(INT(P512/B512)+(((P512-B512*INT(P512/B512)))/C512)/100))))</f>
        <v>0</v>
      </c>
      <c r="BB512" s="28">
        <f>R512</f>
        <v>0</v>
      </c>
      <c r="BC512" s="28">
        <f>S512</f>
        <v>0</v>
      </c>
      <c r="BD512" s="28">
        <f>AF512</f>
        <v>0</v>
      </c>
      <c r="BE512" s="28">
        <f>T512</f>
        <v>0</v>
      </c>
      <c r="BG512" s="57">
        <f>IF(ISERROR(IF(B512=C512,V512/C512,(INT(V512/B512)+(((V512-B512*INT(V512/B512)))/C512)/100))),0,(IF(B512=C512,V512/C512,(INT(V512/B512)+(((V512-B512*INT(V512/B512)))/C512)/100))))</f>
        <v>0</v>
      </c>
      <c r="BH512" s="57">
        <f>IF(ISERROR(IF(B512=C512,W512/C512,(INT(W512/B512)+(((W512-B512*INT(W512/B512)))/C512)/100))),0,(IF(B512=C512,W512/C512,(INT(W512/B512)+(((W512-B512*INT(W512/B512)))/C512)/100))))</f>
        <v>0</v>
      </c>
      <c r="BI512" s="57">
        <f>IF(ISERROR(IF(B512=C512,X512/C512,(INT(X512/B512)+(((X512-B512*INT(X512/B512)))/C512)/100))),0,(IF(B512=C512,X512/C512,(INT(X512/B512)+(((X512-B512*INT(X512/B512)))/C512)/100))))</f>
        <v>0</v>
      </c>
      <c r="BJ512" s="57">
        <f>IF(ISERROR(IF(B512=C512,Y512/C512,(INT(Y512/B512)+(((Y512-B512*INT(Y512/B512)))/C512)/100))),0,(IF(B512=C512,Y512/C512,(INT(Y512/B512)+(((Y512-B512*INT(Y512/B512)))/C512)/100))))</f>
        <v>0</v>
      </c>
      <c r="BL512" s="57">
        <f>IF(ISERROR(IF(B512=C512,AA512/C512,(INT(AA512/B512)+(((AA512-B512*INT(AA512/B512)))/C512)/100))),0,(IF(B512=C512,AA512/C512,(INT(AA512/B512)+(((AA512-B512*INT(AA512/B512)))/C512)/100))))</f>
        <v>0</v>
      </c>
      <c r="BM512" s="57">
        <f>IF(ISERROR(IF(B512=C512,AB512/C512,(INT(AB512/B512)+(((AB512-B512*INT(AB512/B512)))/C512)/100))),0,(IF(B512=C512,AB512/C512,(INT(AB512/B512)+(((AB512-B512*INT(AB512/B512)))/C512)/100))))</f>
        <v>0</v>
      </c>
      <c r="BN512" s="57">
        <f>IF(ISERROR(IF(B512=C512,AC512/C512,(INT(AC512/B512)+(((AC512-B512*INT(AC512/B512)))/C512)/100))),0,(IF(B512=C512,AC512/C512,(INT(AC512/B512)+(((AC512-B512*INT(AC512/B512)))/C512)/100))))</f>
        <v>0</v>
      </c>
      <c r="BO512" s="57">
        <f>IF(ISERROR(IF(B512=C512,AD512/C512,(INT(AD512/B512)+(((AD512-B512*INT(AD512/B512)))/C512)/100))),0,(IF(B512=C512,AD512/C512,(INT(AD512/B512)+(((AD512-B512*INT(AD512/B512)))/C512)/100))))</f>
        <v>0</v>
      </c>
      <c r="BQ512" s="155"/>
    </row>
    <row r="513" spans="1:69" hidden="1" x14ac:dyDescent="0.35">
      <c r="A513" s="94"/>
      <c r="B513" s="113">
        <v>0</v>
      </c>
      <c r="C513" s="113">
        <v>250</v>
      </c>
      <c r="D513" s="28">
        <f>SUM(AA513:AD513)</f>
        <v>0</v>
      </c>
      <c r="E513" s="113">
        <v>0</v>
      </c>
      <c r="F513" s="113">
        <v>0</v>
      </c>
      <c r="G513" s="28">
        <f>SUM(D513:F513)</f>
        <v>0</v>
      </c>
      <c r="H513" s="125">
        <v>0</v>
      </c>
      <c r="I513" s="113">
        <v>0</v>
      </c>
      <c r="J513" s="125">
        <v>0</v>
      </c>
      <c r="K513" s="113">
        <v>0</v>
      </c>
      <c r="L513" s="113">
        <v>0</v>
      </c>
      <c r="M513" s="113">
        <v>0</v>
      </c>
      <c r="N513" s="28">
        <f>G513-SUM(H513:M513)</f>
        <v>0</v>
      </c>
      <c r="O513" s="28">
        <f>SUM(V513:Y513)</f>
        <v>0</v>
      </c>
      <c r="P513" s="28">
        <f>O513-N513</f>
        <v>0</v>
      </c>
      <c r="Q513" s="61" t="str">
        <f>IF(ISERROR(P513/SUM(H513:L513)),"",P513/SUM(H513:L513))</f>
        <v/>
      </c>
      <c r="R513" s="113">
        <v>0</v>
      </c>
      <c r="S513" s="28">
        <f>IF(ISERROR(P513/C513*R513),0,(P513/C513*R513))</f>
        <v>0</v>
      </c>
      <c r="T513" s="60">
        <f>IF(ISERROR(P513/B513*AF513),0,(P513/B513*AF513))</f>
        <v>0</v>
      </c>
      <c r="V513" s="113">
        <v>0</v>
      </c>
      <c r="W513" s="113">
        <v>0</v>
      </c>
      <c r="X513" s="113">
        <v>0</v>
      </c>
      <c r="Y513" s="113">
        <v>0</v>
      </c>
      <c r="AA513" s="113">
        <v>0</v>
      </c>
      <c r="AB513" s="113">
        <v>0</v>
      </c>
      <c r="AC513" s="113">
        <v>0</v>
      </c>
      <c r="AD513" s="113">
        <v>0</v>
      </c>
      <c r="AF513" s="113">
        <v>0</v>
      </c>
      <c r="AG513" s="28">
        <f>G513-O513</f>
        <v>0</v>
      </c>
      <c r="AH513" s="58">
        <f>IF(ISERROR(AG513/B513*AF513),0,(AG513/B513*AF513))</f>
        <v>0</v>
      </c>
      <c r="AI513" s="28">
        <f>SUM(H513:M513)</f>
        <v>0</v>
      </c>
      <c r="AJ513" s="28">
        <f>IF(ISERROR(AI513/B513*AF513),0,(AI513/B513*AF513))</f>
        <v>0</v>
      </c>
      <c r="AK513" s="58">
        <f>IF(ISERROR(O513/B513*AF513),0,(O513/B513*AF513))</f>
        <v>0</v>
      </c>
      <c r="AL513" s="28">
        <f>IF(ISERROR(H513/B513*AF513),0,(H513/B513*AF513))</f>
        <v>0</v>
      </c>
      <c r="AN513" s="51">
        <f>A513</f>
        <v>0</v>
      </c>
      <c r="AO513" s="57">
        <f>IF(ISERROR(IF(B513=C513,D513/C513,(INT(D513/B513)+(((D513-B513*INT(D513/B513)))/C513)/100))),0,(IF(B513=C513,D513/C513,(INT(D513/B513)+(((D513-B513*INT(D513/B513)))/C513)/100))))</f>
        <v>0</v>
      </c>
      <c r="AP513" s="57">
        <f>IF(ISERROR(IF(B513=C513,E513/C513,(INT(E513/B513)+(((E513-B513*INT(E513/B513)))/C513)/100))),0,(IF(B513=C513,E513/C513,(INT(E513/B513)+(((E513-B513*INT(E513/B513)))/C513)/100))))</f>
        <v>0</v>
      </c>
      <c r="AQ513" s="57">
        <f>IF(ISERROR(IF(B513=C513,F513/C513,IF((INT(F513/B513)+(((F513-B513*INT(F513/B513)))/C513)/100)&lt;0,(INT(F513/B513)+(((F513-B513*INT(F513/B513)))/C513)/100)+(1-(B513/C513/100)),(INT(F513/B513)+(((F513-B513*INT(F513/B513)))/C513)/100)))),0,IF(B513=C513,F513/C513,IF((INT(F513/B513)+(((F513-B513*INT(F513/B513)))/C513)/100)&lt;0,(INT(F513/B513)+(((F513-B513*INT(F513/B513)))/C513)/100)+(1-(B513/C513/100)),(INT(F513/B513)+(((F513-B513*INT(F513/B513)))/C513)/100))))</f>
        <v>0</v>
      </c>
      <c r="AR513" s="57">
        <f>IF(ISERROR(IF(B513=C513,G513/C513,(INT(G513/B513)+(((G513-B513*INT(G513/B513)))/C513)/100))),0,(IF(B513=C513,G513/C513,(INT(G513/B513)+(((G513-B513*INT(G513/B513)))/C513)/100))))</f>
        <v>0</v>
      </c>
      <c r="AS513" s="57">
        <f>IF(ISERROR(IF(B513=C513,H513/C513,(INT(H513/B513)+(((H513-B513*INT(H513/B513)))/C513)/100))),0,(IF(B513=C513,H513/C513,(INT(H513/B513)+(((H513-B513*INT(H513/B513)))/C513)/100))))</f>
        <v>0</v>
      </c>
      <c r="AT513" s="57">
        <f>IF(ISERROR(IF(B513=C513,I513/C513,(INT(I513/B513)+(((I513-B513*INT(I513/B513)))/C513)/100))),0,(IF(B513=C513,I513/C513,(INT(I513/B513)+(((I513-B513*INT(I513/B513)))/C513)/100))))</f>
        <v>0</v>
      </c>
      <c r="AU513" s="57">
        <f>IF(ISERROR(IF(B513=C513,J513/C513,(INT(J513/B513)+(((J513-B513*INT(J513/B513)))/C513)/100))),0,(IF(B513=C513,J513/C513,(INT(J513/B513)+(((J513-B513*INT(J513/B513)))/C513)/100))))</f>
        <v>0</v>
      </c>
      <c r="AV513" s="57">
        <f>IF(ISERROR(IF(B513=C513,K513/C513,IF((INT(K513/B513)+(((K513-B513*INT(K513/B513)))/C513)/100)&lt;0,(INT(K513/B513)+(((K513-B513*INT(K513/B513)))/C513)/100)+(1-(B513/C513/100)),(INT(K513/B513)+(((K513-B513*INT(K513/B513)))/C513)/100)))),0,IF(B513=C513,K513/C513,IF((INT(K513/B513)+(((K513-B513*INT(K513/B513)))/C513)/100)&lt;0,(INT(K513/B513)+(((K513-B513*INT(K513/B513)))/C513)/100)+(1-(B513/C513/100)),(INT(K513/B513)+(((K513-B513*INT(K513/B513)))/C513)/100))))</f>
        <v>0</v>
      </c>
      <c r="AW513" s="57">
        <f>IF(ISERROR(IF(B513=C513,L513/C513,(INT(L513/B513)+(((L513-B513*INT(L513/B513)))/C513)/100))),0,(IF(B513=C513,L513/C513,(INT(L513/B513)+(((L513-B513*INT(L513/B513)))/C513)/100))))</f>
        <v>0</v>
      </c>
      <c r="AX513" s="57">
        <f>IF(ISERROR(IF(B513=C513,M513/C513,(INT(M513/B513)+(((M513-B513*INT(M513/B513)))/C513)/100))),0,(IF(B513=C513,M513/C513,(INT(M513/B513)+(((M513-B513*INT(M513/B513)))/C513)/100))))</f>
        <v>0</v>
      </c>
      <c r="AY513" s="57">
        <f>IF(ISERROR(IF(B513=C513,N513/C513,IF((INT(N513/B513)+(((N513-B513*INT(N513/B513)))/C513)/100)&lt;0,(INT(N513/B513)+(((N513-B513*INT(N513/B513)))/C513)/100)+(1-(B513/C513/100)),(INT(N513/B513)+(((N513-B513*INT(N513/B513)))/C513)/100)))),0,IF(B513=C513,N513/C513,IF((INT(N513/B513)+(((N513-B513*INT(N513/B513)))/C513)/100)&lt;0,(INT(N513/B513)+(((N513-B513*INT(N513/B513)))/C513)/100)+(1-(B513/C513/100)),(INT(N513/B513)+(((N513-B513*INT(N513/B513)))/C513)/100))))</f>
        <v>0</v>
      </c>
      <c r="AZ513" s="57">
        <f>IF(ISERROR(IF(B513=C513,O513/C513,(INT(O513/B513)+(((O513-B513*INT(O513/B513)))/C513)/100))),0,(IF(B513=C513,O513/C513,(INT(O513/B513)+(((O513-B513*INT(O513/B513)))/C513)/100))))</f>
        <v>0</v>
      </c>
      <c r="BA513" s="57">
        <f>IF(ISERROR(IF(B513=C513,P513/C513,IF((INT(P513/B513)+(((P513-B513*INT(P513/B513)))/C513)/100)&lt;0,(INT(P513/B513)+(((P513-B513*INT(P513/B513)))/C513)/100)+(1-(B513/C513/100)),(INT(P513/B513)+(((P513-B513*INT(P513/B513)))/C513)/100)))),0,IF(B513=C513,P513/C513,IF((INT(P513/B513)+(((P513-B513*INT(P513/B513)))/C513)/100)&lt;0,(INT(P513/B513)+(((P513-B513*INT(P513/B513)))/C513)/100)+(1-(B513/C513/100)),(INT(P513/B513)+(((P513-B513*INT(P513/B513)))/C513)/100))))</f>
        <v>0</v>
      </c>
      <c r="BB513" s="28">
        <f>R513</f>
        <v>0</v>
      </c>
      <c r="BC513" s="28">
        <f>S513</f>
        <v>0</v>
      </c>
      <c r="BD513" s="28">
        <f>AF513</f>
        <v>0</v>
      </c>
      <c r="BE513" s="28">
        <f>T513</f>
        <v>0</v>
      </c>
      <c r="BG513" s="57">
        <f>IF(ISERROR(IF(B513=C513,V513/C513,(INT(V513/B513)+(((V513-B513*INT(V513/B513)))/C513)/100))),0,(IF(B513=C513,V513/C513,(INT(V513/B513)+(((V513-B513*INT(V513/B513)))/C513)/100))))</f>
        <v>0</v>
      </c>
      <c r="BH513" s="57">
        <f>IF(ISERROR(IF(B513=C513,W513/C513,(INT(W513/B513)+(((W513-B513*INT(W513/B513)))/C513)/100))),0,(IF(B513=C513,W513/C513,(INT(W513/B513)+(((W513-B513*INT(W513/B513)))/C513)/100))))</f>
        <v>0</v>
      </c>
      <c r="BI513" s="57">
        <f>IF(ISERROR(IF(B513=C513,X513/C513,(INT(X513/B513)+(((X513-B513*INT(X513/B513)))/C513)/100))),0,(IF(B513=C513,X513/C513,(INT(X513/B513)+(((X513-B513*INT(X513/B513)))/C513)/100))))</f>
        <v>0</v>
      </c>
      <c r="BJ513" s="57">
        <f>IF(ISERROR(IF(B513=C513,Y513/C513,(INT(Y513/B513)+(((Y513-B513*INT(Y513/B513)))/C513)/100))),0,(IF(B513=C513,Y513/C513,(INT(Y513/B513)+(((Y513-B513*INT(Y513/B513)))/C513)/100))))</f>
        <v>0</v>
      </c>
      <c r="BL513" s="57">
        <f>IF(ISERROR(IF(B513=C513,AA513/C513,(INT(AA513/B513)+(((AA513-B513*INT(AA513/B513)))/C513)/100))),0,(IF(B513=C513,AA513/C513,(INT(AA513/B513)+(((AA513-B513*INT(AA513/B513)))/C513)/100))))</f>
        <v>0</v>
      </c>
      <c r="BM513" s="57">
        <f>IF(ISERROR(IF(B513=C513,AB513/C513,(INT(AB513/B513)+(((AB513-B513*INT(AB513/B513)))/C513)/100))),0,(IF(B513=C513,AB513/C513,(INT(AB513/B513)+(((AB513-B513*INT(AB513/B513)))/C513)/100))))</f>
        <v>0</v>
      </c>
      <c r="BN513" s="57">
        <f>IF(ISERROR(IF(B513=C513,AC513/C513,(INT(AC513/B513)+(((AC513-B513*INT(AC513/B513)))/C513)/100))),0,(IF(B513=C513,AC513/C513,(INT(AC513/B513)+(((AC513-B513*INT(AC513/B513)))/C513)/100))))</f>
        <v>0</v>
      </c>
      <c r="BO513" s="57">
        <f>IF(ISERROR(IF(B513=C513,AD513/C513,(INT(AD513/B513)+(((AD513-B513*INT(AD513/B513)))/C513)/100))),0,(IF(B513=C513,AD513/C513,(INT(AD513/B513)+(((AD513-B513*INT(AD513/B513)))/C513)/100))))</f>
        <v>0</v>
      </c>
      <c r="BQ513" s="155"/>
    </row>
    <row r="514" spans="1:69" hidden="1" x14ac:dyDescent="0.35">
      <c r="A514" s="94"/>
      <c r="B514" s="113">
        <v>0</v>
      </c>
      <c r="C514" s="113">
        <v>250</v>
      </c>
      <c r="D514" s="28">
        <f>SUM(AA514:AD514)</f>
        <v>0</v>
      </c>
      <c r="E514" s="113">
        <v>0</v>
      </c>
      <c r="F514" s="113">
        <v>0</v>
      </c>
      <c r="G514" s="28">
        <f>SUM(D514:F514)</f>
        <v>0</v>
      </c>
      <c r="H514" s="125">
        <v>0</v>
      </c>
      <c r="I514" s="113">
        <v>0</v>
      </c>
      <c r="J514" s="125">
        <v>0</v>
      </c>
      <c r="K514" s="113">
        <v>0</v>
      </c>
      <c r="L514" s="113">
        <v>0</v>
      </c>
      <c r="M514" s="113">
        <v>0</v>
      </c>
      <c r="N514" s="28">
        <f>G514-SUM(H514:M514)</f>
        <v>0</v>
      </c>
      <c r="O514" s="28">
        <f>SUM(V514:Y514)</f>
        <v>0</v>
      </c>
      <c r="P514" s="28">
        <f>O514-N514</f>
        <v>0</v>
      </c>
      <c r="Q514" s="61" t="str">
        <f>IF(ISERROR(P514/SUM(H514:L514)),"",P514/SUM(H514:L514))</f>
        <v/>
      </c>
      <c r="R514" s="113">
        <v>0</v>
      </c>
      <c r="S514" s="28">
        <f>IF(ISERROR(P514/C514*R514),0,(P514/C514*R514))</f>
        <v>0</v>
      </c>
      <c r="T514" s="60">
        <f>IF(ISERROR(P514/B514*AF514),0,(P514/B514*AF514))</f>
        <v>0</v>
      </c>
      <c r="V514" s="113">
        <v>0</v>
      </c>
      <c r="W514" s="113">
        <v>0</v>
      </c>
      <c r="X514" s="113">
        <v>0</v>
      </c>
      <c r="Y514" s="113">
        <v>0</v>
      </c>
      <c r="AA514" s="113">
        <v>0</v>
      </c>
      <c r="AB514" s="113">
        <v>0</v>
      </c>
      <c r="AC514" s="113">
        <v>0</v>
      </c>
      <c r="AD514" s="113">
        <v>0</v>
      </c>
      <c r="AF514" s="113">
        <v>0</v>
      </c>
      <c r="AG514" s="28">
        <f>G514-O514</f>
        <v>0</v>
      </c>
      <c r="AH514" s="58">
        <f>IF(ISERROR(AG514/B514*AF514),0,(AG514/B514*AF514))</f>
        <v>0</v>
      </c>
      <c r="AI514" s="28">
        <f>SUM(H514:M514)</f>
        <v>0</v>
      </c>
      <c r="AJ514" s="28">
        <f>IF(ISERROR(AI514/B514*AF514),0,(AI514/B514*AF514))</f>
        <v>0</v>
      </c>
      <c r="AK514" s="58">
        <f>IF(ISERROR(O514/B514*AF514),0,(O514/B514*AF514))</f>
        <v>0</v>
      </c>
      <c r="AL514" s="28">
        <f>IF(ISERROR(H514/B514*AF514),0,(H514/B514*AF514))</f>
        <v>0</v>
      </c>
      <c r="AN514" s="51">
        <f>A514</f>
        <v>0</v>
      </c>
      <c r="AO514" s="57">
        <f>IF(ISERROR(IF(B514=C514,D514/C514,(INT(D514/B514)+(((D514-B514*INT(D514/B514)))/C514)/100))),0,(IF(B514=C514,D514/C514,(INT(D514/B514)+(((D514-B514*INT(D514/B514)))/C514)/100))))</f>
        <v>0</v>
      </c>
      <c r="AP514" s="57">
        <f>IF(ISERROR(IF(B514=C514,E514/C514,(INT(E514/B514)+(((E514-B514*INT(E514/B514)))/C514)/100))),0,(IF(B514=C514,E514/C514,(INT(E514/B514)+(((E514-B514*INT(E514/B514)))/C514)/100))))</f>
        <v>0</v>
      </c>
      <c r="AQ514" s="57">
        <f>IF(ISERROR(IF(B514=C514,F514/C514,IF((INT(F514/B514)+(((F514-B514*INT(F514/B514)))/C514)/100)&lt;0,(INT(F514/B514)+(((F514-B514*INT(F514/B514)))/C514)/100)+(1-(B514/C514/100)),(INT(F514/B514)+(((F514-B514*INT(F514/B514)))/C514)/100)))),0,IF(B514=C514,F514/C514,IF((INT(F514/B514)+(((F514-B514*INT(F514/B514)))/C514)/100)&lt;0,(INT(F514/B514)+(((F514-B514*INT(F514/B514)))/C514)/100)+(1-(B514/C514/100)),(INT(F514/B514)+(((F514-B514*INT(F514/B514)))/C514)/100))))</f>
        <v>0</v>
      </c>
      <c r="AR514" s="57">
        <f>IF(ISERROR(IF(B514=C514,G514/C514,(INT(G514/B514)+(((G514-B514*INT(G514/B514)))/C514)/100))),0,(IF(B514=C514,G514/C514,(INT(G514/B514)+(((G514-B514*INT(G514/B514)))/C514)/100))))</f>
        <v>0</v>
      </c>
      <c r="AS514" s="57">
        <f>IF(ISERROR(IF(B514=C514,H514/C514,(INT(H514/B514)+(((H514-B514*INT(H514/B514)))/C514)/100))),0,(IF(B514=C514,H514/C514,(INT(H514/B514)+(((H514-B514*INT(H514/B514)))/C514)/100))))</f>
        <v>0</v>
      </c>
      <c r="AT514" s="57">
        <f>IF(ISERROR(IF(B514=C514,I514/C514,(INT(I514/B514)+(((I514-B514*INT(I514/B514)))/C514)/100))),0,(IF(B514=C514,I514/C514,(INT(I514/B514)+(((I514-B514*INT(I514/B514)))/C514)/100))))</f>
        <v>0</v>
      </c>
      <c r="AU514" s="57">
        <f>IF(ISERROR(IF(B514=C514,J514/C514,(INT(J514/B514)+(((J514-B514*INT(J514/B514)))/C514)/100))),0,(IF(B514=C514,J514/C514,(INT(J514/B514)+(((J514-B514*INT(J514/B514)))/C514)/100))))</f>
        <v>0</v>
      </c>
      <c r="AV514" s="57">
        <f>IF(ISERROR(IF(B514=C514,K514/C514,IF((INT(K514/B514)+(((K514-B514*INT(K514/B514)))/C514)/100)&lt;0,(INT(K514/B514)+(((K514-B514*INT(K514/B514)))/C514)/100)+(1-(B514/C514/100)),(INT(K514/B514)+(((K514-B514*INT(K514/B514)))/C514)/100)))),0,IF(B514=C514,K514/C514,IF((INT(K514/B514)+(((K514-B514*INT(K514/B514)))/C514)/100)&lt;0,(INT(K514/B514)+(((K514-B514*INT(K514/B514)))/C514)/100)+(1-(B514/C514/100)),(INT(K514/B514)+(((K514-B514*INT(K514/B514)))/C514)/100))))</f>
        <v>0</v>
      </c>
      <c r="AW514" s="57">
        <f>IF(ISERROR(IF(B514=C514,L514/C514,(INT(L514/B514)+(((L514-B514*INT(L514/B514)))/C514)/100))),0,(IF(B514=C514,L514/C514,(INT(L514/B514)+(((L514-B514*INT(L514/B514)))/C514)/100))))</f>
        <v>0</v>
      </c>
      <c r="AX514" s="57">
        <f>IF(ISERROR(IF(B514=C514,M514/C514,(INT(M514/B514)+(((M514-B514*INT(M514/B514)))/C514)/100))),0,(IF(B514=C514,M514/C514,(INT(M514/B514)+(((M514-B514*INT(M514/B514)))/C514)/100))))</f>
        <v>0</v>
      </c>
      <c r="AY514" s="57">
        <f>IF(ISERROR(IF(B514=C514,N514/C514,IF((INT(N514/B514)+(((N514-B514*INT(N514/B514)))/C514)/100)&lt;0,(INT(N514/B514)+(((N514-B514*INT(N514/B514)))/C514)/100)+(1-(B514/C514/100)),(INT(N514/B514)+(((N514-B514*INT(N514/B514)))/C514)/100)))),0,IF(B514=C514,N514/C514,IF((INT(N514/B514)+(((N514-B514*INT(N514/B514)))/C514)/100)&lt;0,(INT(N514/B514)+(((N514-B514*INT(N514/B514)))/C514)/100)+(1-(B514/C514/100)),(INT(N514/B514)+(((N514-B514*INT(N514/B514)))/C514)/100))))</f>
        <v>0</v>
      </c>
      <c r="AZ514" s="57">
        <f>IF(ISERROR(IF(B514=C514,O514/C514,(INT(O514/B514)+(((O514-B514*INT(O514/B514)))/C514)/100))),0,(IF(B514=C514,O514/C514,(INT(O514/B514)+(((O514-B514*INT(O514/B514)))/C514)/100))))</f>
        <v>0</v>
      </c>
      <c r="BA514" s="57">
        <f>IF(ISERROR(IF(B514=C514,P514/C514,IF((INT(P514/B514)+(((P514-B514*INT(P514/B514)))/C514)/100)&lt;0,(INT(P514/B514)+(((P514-B514*INT(P514/B514)))/C514)/100)+(1-(B514/C514/100)),(INT(P514/B514)+(((P514-B514*INT(P514/B514)))/C514)/100)))),0,IF(B514=C514,P514/C514,IF((INT(P514/B514)+(((P514-B514*INT(P514/B514)))/C514)/100)&lt;0,(INT(P514/B514)+(((P514-B514*INT(P514/B514)))/C514)/100)+(1-(B514/C514/100)),(INT(P514/B514)+(((P514-B514*INT(P514/B514)))/C514)/100))))</f>
        <v>0</v>
      </c>
      <c r="BB514" s="28">
        <f>R514</f>
        <v>0</v>
      </c>
      <c r="BC514" s="28">
        <f>S514</f>
        <v>0</v>
      </c>
      <c r="BD514" s="28">
        <f>AF514</f>
        <v>0</v>
      </c>
      <c r="BE514" s="28">
        <f>T514</f>
        <v>0</v>
      </c>
      <c r="BG514" s="57">
        <f>IF(ISERROR(IF(B514=C514,V514/C514,(INT(V514/B514)+(((V514-B514*INT(V514/B514)))/C514)/100))),0,(IF(B514=C514,V514/C514,(INT(V514/B514)+(((V514-B514*INT(V514/B514)))/C514)/100))))</f>
        <v>0</v>
      </c>
      <c r="BH514" s="57">
        <f>IF(ISERROR(IF(B514=C514,W514/C514,(INT(W514/B514)+(((W514-B514*INT(W514/B514)))/C514)/100))),0,(IF(B514=C514,W514/C514,(INT(W514/B514)+(((W514-B514*INT(W514/B514)))/C514)/100))))</f>
        <v>0</v>
      </c>
      <c r="BI514" s="57">
        <f>IF(ISERROR(IF(B514=C514,X514/C514,(INT(X514/B514)+(((X514-B514*INT(X514/B514)))/C514)/100))),0,(IF(B514=C514,X514/C514,(INT(X514/B514)+(((X514-B514*INT(X514/B514)))/C514)/100))))</f>
        <v>0</v>
      </c>
      <c r="BJ514" s="57">
        <f>IF(ISERROR(IF(B514=C514,Y514/C514,(INT(Y514/B514)+(((Y514-B514*INT(Y514/B514)))/C514)/100))),0,(IF(B514=C514,Y514/C514,(INT(Y514/B514)+(((Y514-B514*INT(Y514/B514)))/C514)/100))))</f>
        <v>0</v>
      </c>
      <c r="BL514" s="57">
        <f>IF(ISERROR(IF(B514=C514,AA514/C514,(INT(AA514/B514)+(((AA514-B514*INT(AA514/B514)))/C514)/100))),0,(IF(B514=C514,AA514/C514,(INT(AA514/B514)+(((AA514-B514*INT(AA514/B514)))/C514)/100))))</f>
        <v>0</v>
      </c>
      <c r="BM514" s="57">
        <f>IF(ISERROR(IF(B514=C514,AB514/C514,(INT(AB514/B514)+(((AB514-B514*INT(AB514/B514)))/C514)/100))),0,(IF(B514=C514,AB514/C514,(INT(AB514/B514)+(((AB514-B514*INT(AB514/B514)))/C514)/100))))</f>
        <v>0</v>
      </c>
      <c r="BN514" s="57">
        <f>IF(ISERROR(IF(B514=C514,AC514/C514,(INT(AC514/B514)+(((AC514-B514*INT(AC514/B514)))/C514)/100))),0,(IF(B514=C514,AC514/C514,(INT(AC514/B514)+(((AC514-B514*INT(AC514/B514)))/C514)/100))))</f>
        <v>0</v>
      </c>
      <c r="BO514" s="57">
        <f>IF(ISERROR(IF(B514=C514,AD514/C514,(INT(AD514/B514)+(((AD514-B514*INT(AD514/B514)))/C514)/100))),0,(IF(B514=C514,AD514/C514,(INT(AD514/B514)+(((AD514-B514*INT(AD514/B514)))/C514)/100))))</f>
        <v>0</v>
      </c>
      <c r="BQ514" s="155"/>
    </row>
    <row r="515" spans="1:69" hidden="1" x14ac:dyDescent="0.35">
      <c r="A515" s="94"/>
      <c r="B515" s="113">
        <v>0</v>
      </c>
      <c r="C515" s="113">
        <v>250</v>
      </c>
      <c r="D515" s="28">
        <f>SUM(AA515:AD515)</f>
        <v>0</v>
      </c>
      <c r="E515" s="113">
        <v>0</v>
      </c>
      <c r="F515" s="113">
        <v>0</v>
      </c>
      <c r="G515" s="28">
        <f>SUM(D515:F515)</f>
        <v>0</v>
      </c>
      <c r="H515" s="125">
        <v>0</v>
      </c>
      <c r="I515" s="113">
        <v>0</v>
      </c>
      <c r="J515" s="125">
        <v>0</v>
      </c>
      <c r="K515" s="113">
        <v>0</v>
      </c>
      <c r="L515" s="113">
        <v>0</v>
      </c>
      <c r="M515" s="113">
        <v>0</v>
      </c>
      <c r="N515" s="28">
        <f>G515-SUM(H515:M515)</f>
        <v>0</v>
      </c>
      <c r="O515" s="28">
        <f>SUM(V515:Y515)</f>
        <v>0</v>
      </c>
      <c r="P515" s="28">
        <f>O515-N515</f>
        <v>0</v>
      </c>
      <c r="Q515" s="61" t="str">
        <f>IF(ISERROR(P515/SUM(H515:L515)),"",P515/SUM(H515:L515))</f>
        <v/>
      </c>
      <c r="R515" s="113">
        <v>0</v>
      </c>
      <c r="S515" s="28">
        <f>IF(ISERROR(P515/C515*R515),0,(P515/C515*R515))</f>
        <v>0</v>
      </c>
      <c r="T515" s="60">
        <f>IF(ISERROR(P515/B515*AF515),0,(P515/B515*AF515))</f>
        <v>0</v>
      </c>
      <c r="V515" s="113">
        <v>0</v>
      </c>
      <c r="W515" s="113">
        <v>0</v>
      </c>
      <c r="X515" s="113">
        <v>0</v>
      </c>
      <c r="Y515" s="113">
        <v>0</v>
      </c>
      <c r="AA515" s="113">
        <v>0</v>
      </c>
      <c r="AB515" s="113">
        <v>0</v>
      </c>
      <c r="AC515" s="113">
        <v>0</v>
      </c>
      <c r="AD515" s="113">
        <v>0</v>
      </c>
      <c r="AF515" s="113">
        <v>0</v>
      </c>
      <c r="AG515" s="28">
        <f>G515-O515</f>
        <v>0</v>
      </c>
      <c r="AH515" s="58">
        <f>IF(ISERROR(AG515/B515*AF515),0,(AG515/B515*AF515))</f>
        <v>0</v>
      </c>
      <c r="AI515" s="28">
        <f>SUM(H515:M515)</f>
        <v>0</v>
      </c>
      <c r="AJ515" s="28">
        <f>IF(ISERROR(AI515/B515*AF515),0,(AI515/B515*AF515))</f>
        <v>0</v>
      </c>
      <c r="AK515" s="58">
        <f>IF(ISERROR(O515/B515*AF515),0,(O515/B515*AF515))</f>
        <v>0</v>
      </c>
      <c r="AL515" s="28">
        <f>IF(ISERROR(H515/B515*AF515),0,(H515/B515*AF515))</f>
        <v>0</v>
      </c>
      <c r="AN515" s="51">
        <f>A515</f>
        <v>0</v>
      </c>
      <c r="AO515" s="57">
        <f>IF(ISERROR(IF(B515=C515,D515/C515,(INT(D515/B515)+(((D515-B515*INT(D515/B515)))/C515)/100))),0,(IF(B515=C515,D515/C515,(INT(D515/B515)+(((D515-B515*INT(D515/B515)))/C515)/100))))</f>
        <v>0</v>
      </c>
      <c r="AP515" s="57">
        <f>IF(ISERROR(IF(B515=C515,E515/C515,(INT(E515/B515)+(((E515-B515*INT(E515/B515)))/C515)/100))),0,(IF(B515=C515,E515/C515,(INT(E515/B515)+(((E515-B515*INT(E515/B515)))/C515)/100))))</f>
        <v>0</v>
      </c>
      <c r="AQ515" s="57">
        <f>IF(ISERROR(IF(B515=C515,F515/C515,IF((INT(F515/B515)+(((F515-B515*INT(F515/B515)))/C515)/100)&lt;0,(INT(F515/B515)+(((F515-B515*INT(F515/B515)))/C515)/100)+(1-(B515/C515/100)),(INT(F515/B515)+(((F515-B515*INT(F515/B515)))/C515)/100)))),0,IF(B515=C515,F515/C515,IF((INT(F515/B515)+(((F515-B515*INT(F515/B515)))/C515)/100)&lt;0,(INT(F515/B515)+(((F515-B515*INT(F515/B515)))/C515)/100)+(1-(B515/C515/100)),(INT(F515/B515)+(((F515-B515*INT(F515/B515)))/C515)/100))))</f>
        <v>0</v>
      </c>
      <c r="AR515" s="57">
        <f>IF(ISERROR(IF(B515=C515,G515/C515,(INT(G515/B515)+(((G515-B515*INT(G515/B515)))/C515)/100))),0,(IF(B515=C515,G515/C515,(INT(G515/B515)+(((G515-B515*INT(G515/B515)))/C515)/100))))</f>
        <v>0</v>
      </c>
      <c r="AS515" s="57">
        <f>IF(ISERROR(IF(B515=C515,H515/C515,(INT(H515/B515)+(((H515-B515*INT(H515/B515)))/C515)/100))),0,(IF(B515=C515,H515/C515,(INT(H515/B515)+(((H515-B515*INT(H515/B515)))/C515)/100))))</f>
        <v>0</v>
      </c>
      <c r="AT515" s="57">
        <f>IF(ISERROR(IF(B515=C515,I515/C515,(INT(I515/B515)+(((I515-B515*INT(I515/B515)))/C515)/100))),0,(IF(B515=C515,I515/C515,(INT(I515/B515)+(((I515-B515*INT(I515/B515)))/C515)/100))))</f>
        <v>0</v>
      </c>
      <c r="AU515" s="57">
        <f>IF(ISERROR(IF(B515=C515,J515/C515,(INT(J515/B515)+(((J515-B515*INT(J515/B515)))/C515)/100))),0,(IF(B515=C515,J515/C515,(INT(J515/B515)+(((J515-B515*INT(J515/B515)))/C515)/100))))</f>
        <v>0</v>
      </c>
      <c r="AV515" s="57">
        <f>IF(ISERROR(IF(B515=C515,K515/C515,IF((INT(K515/B515)+(((K515-B515*INT(K515/B515)))/C515)/100)&lt;0,(INT(K515/B515)+(((K515-B515*INT(K515/B515)))/C515)/100)+(1-(B515/C515/100)),(INT(K515/B515)+(((K515-B515*INT(K515/B515)))/C515)/100)))),0,IF(B515=C515,K515/C515,IF((INT(K515/B515)+(((K515-B515*INT(K515/B515)))/C515)/100)&lt;0,(INT(K515/B515)+(((K515-B515*INT(K515/B515)))/C515)/100)+(1-(B515/C515/100)),(INT(K515/B515)+(((K515-B515*INT(K515/B515)))/C515)/100))))</f>
        <v>0</v>
      </c>
      <c r="AW515" s="57">
        <f>IF(ISERROR(IF(B515=C515,L515/C515,(INT(L515/B515)+(((L515-B515*INT(L515/B515)))/C515)/100))),0,(IF(B515=C515,L515/C515,(INT(L515/B515)+(((L515-B515*INT(L515/B515)))/C515)/100))))</f>
        <v>0</v>
      </c>
      <c r="AX515" s="57">
        <f>IF(ISERROR(IF(B515=C515,M515/C515,(INT(M515/B515)+(((M515-B515*INT(M515/B515)))/C515)/100))),0,(IF(B515=C515,M515/C515,(INT(M515/B515)+(((M515-B515*INT(M515/B515)))/C515)/100))))</f>
        <v>0</v>
      </c>
      <c r="AY515" s="57">
        <f>IF(ISERROR(IF(B515=C515,N515/C515,IF((INT(N515/B515)+(((N515-B515*INT(N515/B515)))/C515)/100)&lt;0,(INT(N515/B515)+(((N515-B515*INT(N515/B515)))/C515)/100)+(1-(B515/C515/100)),(INT(N515/B515)+(((N515-B515*INT(N515/B515)))/C515)/100)))),0,IF(B515=C515,N515/C515,IF((INT(N515/B515)+(((N515-B515*INT(N515/B515)))/C515)/100)&lt;0,(INT(N515/B515)+(((N515-B515*INT(N515/B515)))/C515)/100)+(1-(B515/C515/100)),(INT(N515/B515)+(((N515-B515*INT(N515/B515)))/C515)/100))))</f>
        <v>0</v>
      </c>
      <c r="AZ515" s="57">
        <f>IF(ISERROR(IF(B515=C515,O515/C515,(INT(O515/B515)+(((O515-B515*INT(O515/B515)))/C515)/100))),0,(IF(B515=C515,O515/C515,(INT(O515/B515)+(((O515-B515*INT(O515/B515)))/C515)/100))))</f>
        <v>0</v>
      </c>
      <c r="BA515" s="57">
        <f>IF(ISERROR(IF(B515=C515,P515/C515,IF((INT(P515/B515)+(((P515-B515*INT(P515/B515)))/C515)/100)&lt;0,(INT(P515/B515)+(((P515-B515*INT(P515/B515)))/C515)/100)+(1-(B515/C515/100)),(INT(P515/B515)+(((P515-B515*INT(P515/B515)))/C515)/100)))),0,IF(B515=C515,P515/C515,IF((INT(P515/B515)+(((P515-B515*INT(P515/B515)))/C515)/100)&lt;0,(INT(P515/B515)+(((P515-B515*INT(P515/B515)))/C515)/100)+(1-(B515/C515/100)),(INT(P515/B515)+(((P515-B515*INT(P515/B515)))/C515)/100))))</f>
        <v>0</v>
      </c>
      <c r="BB515" s="28">
        <f>R515</f>
        <v>0</v>
      </c>
      <c r="BC515" s="28">
        <f>S515</f>
        <v>0</v>
      </c>
      <c r="BD515" s="28">
        <f>AF515</f>
        <v>0</v>
      </c>
      <c r="BE515" s="28">
        <f>T515</f>
        <v>0</v>
      </c>
      <c r="BG515" s="57">
        <f>IF(ISERROR(IF(B515=C515,V515/C515,(INT(V515/B515)+(((V515-B515*INT(V515/B515)))/C515)/100))),0,(IF(B515=C515,V515/C515,(INT(V515/B515)+(((V515-B515*INT(V515/B515)))/C515)/100))))</f>
        <v>0</v>
      </c>
      <c r="BH515" s="57">
        <f>IF(ISERROR(IF(B515=C515,W515/C515,(INT(W515/B515)+(((W515-B515*INT(W515/B515)))/C515)/100))),0,(IF(B515=C515,W515/C515,(INT(W515/B515)+(((W515-B515*INT(W515/B515)))/C515)/100))))</f>
        <v>0</v>
      </c>
      <c r="BI515" s="57">
        <f>IF(ISERROR(IF(B515=C515,X515/C515,(INT(X515/B515)+(((X515-B515*INT(X515/B515)))/C515)/100))),0,(IF(B515=C515,X515/C515,(INT(X515/B515)+(((X515-B515*INT(X515/B515)))/C515)/100))))</f>
        <v>0</v>
      </c>
      <c r="BJ515" s="57">
        <f>IF(ISERROR(IF(B515=C515,Y515/C515,(INT(Y515/B515)+(((Y515-B515*INT(Y515/B515)))/C515)/100))),0,(IF(B515=C515,Y515/C515,(INT(Y515/B515)+(((Y515-B515*INT(Y515/B515)))/C515)/100))))</f>
        <v>0</v>
      </c>
      <c r="BL515" s="57">
        <f>IF(ISERROR(IF(B515=C515,AA515/C515,(INT(AA515/B515)+(((AA515-B515*INT(AA515/B515)))/C515)/100))),0,(IF(B515=C515,AA515/C515,(INT(AA515/B515)+(((AA515-B515*INT(AA515/B515)))/C515)/100))))</f>
        <v>0</v>
      </c>
      <c r="BM515" s="57">
        <f>IF(ISERROR(IF(B515=C515,AB515/C515,(INT(AB515/B515)+(((AB515-B515*INT(AB515/B515)))/C515)/100))),0,(IF(B515=C515,AB515/C515,(INT(AB515/B515)+(((AB515-B515*INT(AB515/B515)))/C515)/100))))</f>
        <v>0</v>
      </c>
      <c r="BN515" s="57">
        <f>IF(ISERROR(IF(B515=C515,AC515/C515,(INT(AC515/B515)+(((AC515-B515*INT(AC515/B515)))/C515)/100))),0,(IF(B515=C515,AC515/C515,(INT(AC515/B515)+(((AC515-B515*INT(AC515/B515)))/C515)/100))))</f>
        <v>0</v>
      </c>
      <c r="BO515" s="57">
        <f>IF(ISERROR(IF(B515=C515,AD515/C515,(INT(AD515/B515)+(((AD515-B515*INT(AD515/B515)))/C515)/100))),0,(IF(B515=C515,AD515/C515,(INT(AD515/B515)+(((AD515-B515*INT(AD515/B515)))/C515)/100))))</f>
        <v>0</v>
      </c>
      <c r="BQ515" s="155"/>
    </row>
    <row r="516" spans="1:69" hidden="1" x14ac:dyDescent="0.35">
      <c r="A516" s="94"/>
      <c r="B516" s="113">
        <v>0</v>
      </c>
      <c r="C516" s="113">
        <v>250</v>
      </c>
      <c r="D516" s="28">
        <f>SUM(AA516:AD516)</f>
        <v>0</v>
      </c>
      <c r="E516" s="113">
        <v>0</v>
      </c>
      <c r="F516" s="113">
        <v>0</v>
      </c>
      <c r="G516" s="28">
        <f>SUM(D516:F516)</f>
        <v>0</v>
      </c>
      <c r="H516" s="125">
        <v>0</v>
      </c>
      <c r="I516" s="113">
        <v>0</v>
      </c>
      <c r="J516" s="125">
        <v>0</v>
      </c>
      <c r="K516" s="113">
        <v>0</v>
      </c>
      <c r="L516" s="113">
        <v>0</v>
      </c>
      <c r="M516" s="113">
        <v>0</v>
      </c>
      <c r="N516" s="28">
        <f>G516-SUM(H516:M516)</f>
        <v>0</v>
      </c>
      <c r="O516" s="28">
        <f>SUM(V516:Y516)</f>
        <v>0</v>
      </c>
      <c r="P516" s="28">
        <f>O516-N516</f>
        <v>0</v>
      </c>
      <c r="Q516" s="61" t="str">
        <f>IF(ISERROR(P516/SUM(H516:L516)),"",P516/SUM(H516:L516))</f>
        <v/>
      </c>
      <c r="R516" s="113">
        <v>0</v>
      </c>
      <c r="S516" s="28">
        <f>IF(ISERROR(P516/C516*R516),0,(P516/C516*R516))</f>
        <v>0</v>
      </c>
      <c r="T516" s="60">
        <f>IF(ISERROR(P516/B516*AF516),0,(P516/B516*AF516))</f>
        <v>0</v>
      </c>
      <c r="V516" s="113">
        <v>0</v>
      </c>
      <c r="W516" s="113">
        <v>0</v>
      </c>
      <c r="X516" s="113">
        <v>0</v>
      </c>
      <c r="Y516" s="113">
        <v>0</v>
      </c>
      <c r="AA516" s="113">
        <v>0</v>
      </c>
      <c r="AB516" s="113">
        <v>0</v>
      </c>
      <c r="AC516" s="113">
        <v>0</v>
      </c>
      <c r="AD516" s="113">
        <v>0</v>
      </c>
      <c r="AF516" s="113">
        <v>0</v>
      </c>
      <c r="AG516" s="28">
        <f>G516-O516</f>
        <v>0</v>
      </c>
      <c r="AH516" s="58">
        <f>IF(ISERROR(AG516/B516*AF516),0,(AG516/B516*AF516))</f>
        <v>0</v>
      </c>
      <c r="AI516" s="28">
        <f>SUM(H516:M516)</f>
        <v>0</v>
      </c>
      <c r="AJ516" s="28">
        <f>IF(ISERROR(AI516/B516*AF516),0,(AI516/B516*AF516))</f>
        <v>0</v>
      </c>
      <c r="AK516" s="58">
        <f>IF(ISERROR(O516/B516*AF516),0,(O516/B516*AF516))</f>
        <v>0</v>
      </c>
      <c r="AL516" s="28">
        <f>IF(ISERROR(H516/B516*AF516),0,(H516/B516*AF516))</f>
        <v>0</v>
      </c>
      <c r="AN516" s="51">
        <f>A516</f>
        <v>0</v>
      </c>
      <c r="AO516" s="57">
        <f>IF(ISERROR(IF(B516=C516,D516/C516,(INT(D516/B516)+(((D516-B516*INT(D516/B516)))/C516)/100))),0,(IF(B516=C516,D516/C516,(INT(D516/B516)+(((D516-B516*INT(D516/B516)))/C516)/100))))</f>
        <v>0</v>
      </c>
      <c r="AP516" s="57">
        <f>IF(ISERROR(IF(B516=C516,E516/C516,(INT(E516/B516)+(((E516-B516*INT(E516/B516)))/C516)/100))),0,(IF(B516=C516,E516/C516,(INT(E516/B516)+(((E516-B516*INT(E516/B516)))/C516)/100))))</f>
        <v>0</v>
      </c>
      <c r="AQ516" s="57">
        <f>IF(ISERROR(IF(B516=C516,F516/C516,IF((INT(F516/B516)+(((F516-B516*INT(F516/B516)))/C516)/100)&lt;0,(INT(F516/B516)+(((F516-B516*INT(F516/B516)))/C516)/100)+(1-(B516/C516/100)),(INT(F516/B516)+(((F516-B516*INT(F516/B516)))/C516)/100)))),0,IF(B516=C516,F516/C516,IF((INT(F516/B516)+(((F516-B516*INT(F516/B516)))/C516)/100)&lt;0,(INT(F516/B516)+(((F516-B516*INT(F516/B516)))/C516)/100)+(1-(B516/C516/100)),(INT(F516/B516)+(((F516-B516*INT(F516/B516)))/C516)/100))))</f>
        <v>0</v>
      </c>
      <c r="AR516" s="57">
        <f>IF(ISERROR(IF(B516=C516,G516/C516,(INT(G516/B516)+(((G516-B516*INT(G516/B516)))/C516)/100))),0,(IF(B516=C516,G516/C516,(INT(G516/B516)+(((G516-B516*INT(G516/B516)))/C516)/100))))</f>
        <v>0</v>
      </c>
      <c r="AS516" s="57">
        <f>IF(ISERROR(IF(B516=C516,H516/C516,(INT(H516/B516)+(((H516-B516*INT(H516/B516)))/C516)/100))),0,(IF(B516=C516,H516/C516,(INT(H516/B516)+(((H516-B516*INT(H516/B516)))/C516)/100))))</f>
        <v>0</v>
      </c>
      <c r="AT516" s="57">
        <f>IF(ISERROR(IF(B516=C516,I516/C516,(INT(I516/B516)+(((I516-B516*INT(I516/B516)))/C516)/100))),0,(IF(B516=C516,I516/C516,(INT(I516/B516)+(((I516-B516*INT(I516/B516)))/C516)/100))))</f>
        <v>0</v>
      </c>
      <c r="AU516" s="57">
        <f>IF(ISERROR(IF(B516=C516,J516/C516,(INT(J516/B516)+(((J516-B516*INT(J516/B516)))/C516)/100))),0,(IF(B516=C516,J516/C516,(INT(J516/B516)+(((J516-B516*INT(J516/B516)))/C516)/100))))</f>
        <v>0</v>
      </c>
      <c r="AV516" s="57">
        <f>IF(ISERROR(IF(B516=C516,K516/C516,IF((INT(K516/B516)+(((K516-B516*INT(K516/B516)))/C516)/100)&lt;0,(INT(K516/B516)+(((K516-B516*INT(K516/B516)))/C516)/100)+(1-(B516/C516/100)),(INT(K516/B516)+(((K516-B516*INT(K516/B516)))/C516)/100)))),0,IF(B516=C516,K516/C516,IF((INT(K516/B516)+(((K516-B516*INT(K516/B516)))/C516)/100)&lt;0,(INT(K516/B516)+(((K516-B516*INT(K516/B516)))/C516)/100)+(1-(B516/C516/100)),(INT(K516/B516)+(((K516-B516*INT(K516/B516)))/C516)/100))))</f>
        <v>0</v>
      </c>
      <c r="AW516" s="57">
        <f>IF(ISERROR(IF(B516=C516,L516/C516,(INT(L516/B516)+(((L516-B516*INT(L516/B516)))/C516)/100))),0,(IF(B516=C516,L516/C516,(INT(L516/B516)+(((L516-B516*INT(L516/B516)))/C516)/100))))</f>
        <v>0</v>
      </c>
      <c r="AX516" s="57">
        <f>IF(ISERROR(IF(B516=C516,M516/C516,(INT(M516/B516)+(((M516-B516*INT(M516/B516)))/C516)/100))),0,(IF(B516=C516,M516/C516,(INT(M516/B516)+(((M516-B516*INT(M516/B516)))/C516)/100))))</f>
        <v>0</v>
      </c>
      <c r="AY516" s="57">
        <f>IF(ISERROR(IF(B516=C516,N516/C516,IF((INT(N516/B516)+(((N516-B516*INT(N516/B516)))/C516)/100)&lt;0,(INT(N516/B516)+(((N516-B516*INT(N516/B516)))/C516)/100)+(1-(B516/C516/100)),(INT(N516/B516)+(((N516-B516*INT(N516/B516)))/C516)/100)))),0,IF(B516=C516,N516/C516,IF((INT(N516/B516)+(((N516-B516*INT(N516/B516)))/C516)/100)&lt;0,(INT(N516/B516)+(((N516-B516*INT(N516/B516)))/C516)/100)+(1-(B516/C516/100)),(INT(N516/B516)+(((N516-B516*INT(N516/B516)))/C516)/100))))</f>
        <v>0</v>
      </c>
      <c r="AZ516" s="57">
        <f>IF(ISERROR(IF(B516=C516,O516/C516,(INT(O516/B516)+(((O516-B516*INT(O516/B516)))/C516)/100))),0,(IF(B516=C516,O516/C516,(INT(O516/B516)+(((O516-B516*INT(O516/B516)))/C516)/100))))</f>
        <v>0</v>
      </c>
      <c r="BA516" s="57">
        <f>IF(ISERROR(IF(B516=C516,P516/C516,IF((INT(P516/B516)+(((P516-B516*INT(P516/B516)))/C516)/100)&lt;0,(INT(P516/B516)+(((P516-B516*INT(P516/B516)))/C516)/100)+(1-(B516/C516/100)),(INT(P516/B516)+(((P516-B516*INT(P516/B516)))/C516)/100)))),0,IF(B516=C516,P516/C516,IF((INT(P516/B516)+(((P516-B516*INT(P516/B516)))/C516)/100)&lt;0,(INT(P516/B516)+(((P516-B516*INT(P516/B516)))/C516)/100)+(1-(B516/C516/100)),(INT(P516/B516)+(((P516-B516*INT(P516/B516)))/C516)/100))))</f>
        <v>0</v>
      </c>
      <c r="BB516" s="28">
        <f>R516</f>
        <v>0</v>
      </c>
      <c r="BC516" s="28">
        <f>S516</f>
        <v>0</v>
      </c>
      <c r="BD516" s="28">
        <f>AF516</f>
        <v>0</v>
      </c>
      <c r="BE516" s="28">
        <f>T516</f>
        <v>0</v>
      </c>
      <c r="BG516" s="57">
        <f>IF(ISERROR(IF(B516=C516,V516/C516,(INT(V516/B516)+(((V516-B516*INT(V516/B516)))/C516)/100))),0,(IF(B516=C516,V516/C516,(INT(V516/B516)+(((V516-B516*INT(V516/B516)))/C516)/100))))</f>
        <v>0</v>
      </c>
      <c r="BH516" s="57">
        <f>IF(ISERROR(IF(B516=C516,W516/C516,(INT(W516/B516)+(((W516-B516*INT(W516/B516)))/C516)/100))),0,(IF(B516=C516,W516/C516,(INT(W516/B516)+(((W516-B516*INT(W516/B516)))/C516)/100))))</f>
        <v>0</v>
      </c>
      <c r="BI516" s="57">
        <f>IF(ISERROR(IF(B516=C516,X516/C516,(INT(X516/B516)+(((X516-B516*INT(X516/B516)))/C516)/100))),0,(IF(B516=C516,X516/C516,(INT(X516/B516)+(((X516-B516*INT(X516/B516)))/C516)/100))))</f>
        <v>0</v>
      </c>
      <c r="BJ516" s="57">
        <f>IF(ISERROR(IF(B516=C516,Y516/C516,(INT(Y516/B516)+(((Y516-B516*INT(Y516/B516)))/C516)/100))),0,(IF(B516=C516,Y516/C516,(INT(Y516/B516)+(((Y516-B516*INT(Y516/B516)))/C516)/100))))</f>
        <v>0</v>
      </c>
      <c r="BL516" s="57">
        <f>IF(ISERROR(IF(B516=C516,AA516/C516,(INT(AA516/B516)+(((AA516-B516*INT(AA516/B516)))/C516)/100))),0,(IF(B516=C516,AA516/C516,(INT(AA516/B516)+(((AA516-B516*INT(AA516/B516)))/C516)/100))))</f>
        <v>0</v>
      </c>
      <c r="BM516" s="57">
        <f>IF(ISERROR(IF(B516=C516,AB516/C516,(INT(AB516/B516)+(((AB516-B516*INT(AB516/B516)))/C516)/100))),0,(IF(B516=C516,AB516/C516,(INT(AB516/B516)+(((AB516-B516*INT(AB516/B516)))/C516)/100))))</f>
        <v>0</v>
      </c>
      <c r="BN516" s="57">
        <f>IF(ISERROR(IF(B516=C516,AC516/C516,(INT(AC516/B516)+(((AC516-B516*INT(AC516/B516)))/C516)/100))),0,(IF(B516=C516,AC516/C516,(INT(AC516/B516)+(((AC516-B516*INT(AC516/B516)))/C516)/100))))</f>
        <v>0</v>
      </c>
      <c r="BO516" s="57">
        <f>IF(ISERROR(IF(B516=C516,AD516/C516,(INT(AD516/B516)+(((AD516-B516*INT(AD516/B516)))/C516)/100))),0,(IF(B516=C516,AD516/C516,(INT(AD516/B516)+(((AD516-B516*INT(AD516/B516)))/C516)/100))))</f>
        <v>0</v>
      </c>
      <c r="BQ516" s="155"/>
    </row>
    <row r="517" spans="1:69" hidden="1" x14ac:dyDescent="0.35">
      <c r="A517" s="94"/>
      <c r="B517" s="113">
        <v>0</v>
      </c>
      <c r="C517" s="113">
        <v>250</v>
      </c>
      <c r="D517" s="28">
        <f>SUM(AA517:AD517)</f>
        <v>0</v>
      </c>
      <c r="E517" s="113">
        <v>0</v>
      </c>
      <c r="F517" s="113">
        <v>0</v>
      </c>
      <c r="G517" s="28">
        <f>SUM(D517:F517)</f>
        <v>0</v>
      </c>
      <c r="H517" s="125">
        <v>0</v>
      </c>
      <c r="I517" s="113">
        <v>0</v>
      </c>
      <c r="J517" s="125">
        <v>0</v>
      </c>
      <c r="K517" s="113">
        <v>0</v>
      </c>
      <c r="L517" s="113">
        <v>0</v>
      </c>
      <c r="M517" s="113">
        <v>0</v>
      </c>
      <c r="N517" s="28">
        <f>G517-SUM(H517:M517)</f>
        <v>0</v>
      </c>
      <c r="O517" s="28">
        <f>SUM(V517:Y517)</f>
        <v>0</v>
      </c>
      <c r="P517" s="28">
        <f>O517-N517</f>
        <v>0</v>
      </c>
      <c r="Q517" s="61" t="str">
        <f>IF(ISERROR(P517/SUM(H517:L517)),"",P517/SUM(H517:L517))</f>
        <v/>
      </c>
      <c r="R517" s="113">
        <v>0</v>
      </c>
      <c r="S517" s="28">
        <f>IF(ISERROR(P517/C517*R517),0,(P517/C517*R517))</f>
        <v>0</v>
      </c>
      <c r="T517" s="60">
        <f>IF(ISERROR(P517/B517*AF517),0,(P517/B517*AF517))</f>
        <v>0</v>
      </c>
      <c r="V517" s="113">
        <v>0</v>
      </c>
      <c r="W517" s="113">
        <v>0</v>
      </c>
      <c r="X517" s="113">
        <v>0</v>
      </c>
      <c r="Y517" s="113">
        <v>0</v>
      </c>
      <c r="AA517" s="113">
        <v>0</v>
      </c>
      <c r="AB517" s="113">
        <v>0</v>
      </c>
      <c r="AC517" s="113">
        <v>0</v>
      </c>
      <c r="AD517" s="113">
        <v>0</v>
      </c>
      <c r="AF517" s="113">
        <v>0</v>
      </c>
      <c r="AG517" s="28">
        <f>G517-O517</f>
        <v>0</v>
      </c>
      <c r="AH517" s="58">
        <f>IF(ISERROR(AG517/B517*AF517),0,(AG517/B517*AF517))</f>
        <v>0</v>
      </c>
      <c r="AI517" s="28">
        <f>SUM(H517:M517)</f>
        <v>0</v>
      </c>
      <c r="AJ517" s="28">
        <f>IF(ISERROR(AI517/B517*AF517),0,(AI517/B517*AF517))</f>
        <v>0</v>
      </c>
      <c r="AK517" s="58">
        <f>IF(ISERROR(O517/B517*AF517),0,(O517/B517*AF517))</f>
        <v>0</v>
      </c>
      <c r="AL517" s="28">
        <f>IF(ISERROR(H517/B517*AF517),0,(H517/B517*AF517))</f>
        <v>0</v>
      </c>
      <c r="AN517" s="51">
        <f>A517</f>
        <v>0</v>
      </c>
      <c r="AO517" s="57">
        <f>IF(ISERROR(IF(B517=C517,D517/C517,(INT(D517/B517)+(((D517-B517*INT(D517/B517)))/C517)/100))),0,(IF(B517=C517,D517/C517,(INT(D517/B517)+(((D517-B517*INT(D517/B517)))/C517)/100))))</f>
        <v>0</v>
      </c>
      <c r="AP517" s="57">
        <f>IF(ISERROR(IF(B517=C517,E517/C517,(INT(E517/B517)+(((E517-B517*INT(E517/B517)))/C517)/100))),0,(IF(B517=C517,E517/C517,(INT(E517/B517)+(((E517-B517*INT(E517/B517)))/C517)/100))))</f>
        <v>0</v>
      </c>
      <c r="AQ517" s="57">
        <f>IF(ISERROR(IF(B517=C517,F517/C517,IF((INT(F517/B517)+(((F517-B517*INT(F517/B517)))/C517)/100)&lt;0,(INT(F517/B517)+(((F517-B517*INT(F517/B517)))/C517)/100)+(1-(B517/C517/100)),(INT(F517/B517)+(((F517-B517*INT(F517/B517)))/C517)/100)))),0,IF(B517=C517,F517/C517,IF((INT(F517/B517)+(((F517-B517*INT(F517/B517)))/C517)/100)&lt;0,(INT(F517/B517)+(((F517-B517*INT(F517/B517)))/C517)/100)+(1-(B517/C517/100)),(INT(F517/B517)+(((F517-B517*INT(F517/B517)))/C517)/100))))</f>
        <v>0</v>
      </c>
      <c r="AR517" s="57">
        <f>IF(ISERROR(IF(B517=C517,G517/C517,(INT(G517/B517)+(((G517-B517*INT(G517/B517)))/C517)/100))),0,(IF(B517=C517,G517/C517,(INT(G517/B517)+(((G517-B517*INT(G517/B517)))/C517)/100))))</f>
        <v>0</v>
      </c>
      <c r="AS517" s="57">
        <f>IF(ISERROR(IF(B517=C517,H517/C517,(INT(H517/B517)+(((H517-B517*INT(H517/B517)))/C517)/100))),0,(IF(B517=C517,H517/C517,(INT(H517/B517)+(((H517-B517*INT(H517/B517)))/C517)/100))))</f>
        <v>0</v>
      </c>
      <c r="AT517" s="57">
        <f>IF(ISERROR(IF(B517=C517,I517/C517,(INT(I517/B517)+(((I517-B517*INT(I517/B517)))/C517)/100))),0,(IF(B517=C517,I517/C517,(INT(I517/B517)+(((I517-B517*INT(I517/B517)))/C517)/100))))</f>
        <v>0</v>
      </c>
      <c r="AU517" s="57">
        <f>IF(ISERROR(IF(B517=C517,J517/C517,(INT(J517/B517)+(((J517-B517*INT(J517/B517)))/C517)/100))),0,(IF(B517=C517,J517/C517,(INT(J517/B517)+(((J517-B517*INT(J517/B517)))/C517)/100))))</f>
        <v>0</v>
      </c>
      <c r="AV517" s="57">
        <f>IF(ISERROR(IF(B517=C517,K517/C517,IF((INT(K517/B517)+(((K517-B517*INT(K517/B517)))/C517)/100)&lt;0,(INT(K517/B517)+(((K517-B517*INT(K517/B517)))/C517)/100)+(1-(B517/C517/100)),(INT(K517/B517)+(((K517-B517*INT(K517/B517)))/C517)/100)))),0,IF(B517=C517,K517/C517,IF((INT(K517/B517)+(((K517-B517*INT(K517/B517)))/C517)/100)&lt;0,(INT(K517/B517)+(((K517-B517*INT(K517/B517)))/C517)/100)+(1-(B517/C517/100)),(INT(K517/B517)+(((K517-B517*INT(K517/B517)))/C517)/100))))</f>
        <v>0</v>
      </c>
      <c r="AW517" s="57">
        <f>IF(ISERROR(IF(B517=C517,L517/C517,(INT(L517/B517)+(((L517-B517*INT(L517/B517)))/C517)/100))),0,(IF(B517=C517,L517/C517,(INT(L517/B517)+(((L517-B517*INT(L517/B517)))/C517)/100))))</f>
        <v>0</v>
      </c>
      <c r="AX517" s="57">
        <f>IF(ISERROR(IF(B517=C517,M517/C517,(INT(M517/B517)+(((M517-B517*INT(M517/B517)))/C517)/100))),0,(IF(B517=C517,M517/C517,(INT(M517/B517)+(((M517-B517*INT(M517/B517)))/C517)/100))))</f>
        <v>0</v>
      </c>
      <c r="AY517" s="57">
        <f>IF(ISERROR(IF(B517=C517,N517/C517,IF((INT(N517/B517)+(((N517-B517*INT(N517/B517)))/C517)/100)&lt;0,(INT(N517/B517)+(((N517-B517*INT(N517/B517)))/C517)/100)+(1-(B517/C517/100)),(INT(N517/B517)+(((N517-B517*INT(N517/B517)))/C517)/100)))),0,IF(B517=C517,N517/C517,IF((INT(N517/B517)+(((N517-B517*INT(N517/B517)))/C517)/100)&lt;0,(INT(N517/B517)+(((N517-B517*INT(N517/B517)))/C517)/100)+(1-(B517/C517/100)),(INT(N517/B517)+(((N517-B517*INT(N517/B517)))/C517)/100))))</f>
        <v>0</v>
      </c>
      <c r="AZ517" s="57">
        <f>IF(ISERROR(IF(B517=C517,O517/C517,(INT(O517/B517)+(((O517-B517*INT(O517/B517)))/C517)/100))),0,(IF(B517=C517,O517/C517,(INT(O517/B517)+(((O517-B517*INT(O517/B517)))/C517)/100))))</f>
        <v>0</v>
      </c>
      <c r="BA517" s="57">
        <f>IF(ISERROR(IF(B517=C517,P517/C517,IF((INT(P517/B517)+(((P517-B517*INT(P517/B517)))/C517)/100)&lt;0,(INT(P517/B517)+(((P517-B517*INT(P517/B517)))/C517)/100)+(1-(B517/C517/100)),(INT(P517/B517)+(((P517-B517*INT(P517/B517)))/C517)/100)))),0,IF(B517=C517,P517/C517,IF((INT(P517/B517)+(((P517-B517*INT(P517/B517)))/C517)/100)&lt;0,(INT(P517/B517)+(((P517-B517*INT(P517/B517)))/C517)/100)+(1-(B517/C517/100)),(INT(P517/B517)+(((P517-B517*INT(P517/B517)))/C517)/100))))</f>
        <v>0</v>
      </c>
      <c r="BB517" s="28">
        <f>R517</f>
        <v>0</v>
      </c>
      <c r="BC517" s="28">
        <f>S517</f>
        <v>0</v>
      </c>
      <c r="BD517" s="28">
        <f>AF517</f>
        <v>0</v>
      </c>
      <c r="BE517" s="28">
        <f>T517</f>
        <v>0</v>
      </c>
      <c r="BG517" s="57">
        <f>IF(ISERROR(IF(B517=C517,V517/C517,(INT(V517/B517)+(((V517-B517*INT(V517/B517)))/C517)/100))),0,(IF(B517=C517,V517/C517,(INT(V517/B517)+(((V517-B517*INT(V517/B517)))/C517)/100))))</f>
        <v>0</v>
      </c>
      <c r="BH517" s="57">
        <f>IF(ISERROR(IF(B517=C517,W517/C517,(INT(W517/B517)+(((W517-B517*INT(W517/B517)))/C517)/100))),0,(IF(B517=C517,W517/C517,(INT(W517/B517)+(((W517-B517*INT(W517/B517)))/C517)/100))))</f>
        <v>0</v>
      </c>
      <c r="BI517" s="57">
        <f>IF(ISERROR(IF(B517=C517,X517/C517,(INT(X517/B517)+(((X517-B517*INT(X517/B517)))/C517)/100))),0,(IF(B517=C517,X517/C517,(INT(X517/B517)+(((X517-B517*INT(X517/B517)))/C517)/100))))</f>
        <v>0</v>
      </c>
      <c r="BJ517" s="57">
        <f>IF(ISERROR(IF(B517=C517,Y517/C517,(INT(Y517/B517)+(((Y517-B517*INT(Y517/B517)))/C517)/100))),0,(IF(B517=C517,Y517/C517,(INT(Y517/B517)+(((Y517-B517*INT(Y517/B517)))/C517)/100))))</f>
        <v>0</v>
      </c>
      <c r="BL517" s="57">
        <f>IF(ISERROR(IF(B517=C517,AA517/C517,(INT(AA517/B517)+(((AA517-B517*INT(AA517/B517)))/C517)/100))),0,(IF(B517=C517,AA517/C517,(INT(AA517/B517)+(((AA517-B517*INT(AA517/B517)))/C517)/100))))</f>
        <v>0</v>
      </c>
      <c r="BM517" s="57">
        <f>IF(ISERROR(IF(B517=C517,AB517/C517,(INT(AB517/B517)+(((AB517-B517*INT(AB517/B517)))/C517)/100))),0,(IF(B517=C517,AB517/C517,(INT(AB517/B517)+(((AB517-B517*INT(AB517/B517)))/C517)/100))))</f>
        <v>0</v>
      </c>
      <c r="BN517" s="57">
        <f>IF(ISERROR(IF(B517=C517,AC517/C517,(INT(AC517/B517)+(((AC517-B517*INT(AC517/B517)))/C517)/100))),0,(IF(B517=C517,AC517/C517,(INT(AC517/B517)+(((AC517-B517*INT(AC517/B517)))/C517)/100))))</f>
        <v>0</v>
      </c>
      <c r="BO517" s="57">
        <f>IF(ISERROR(IF(B517=C517,AD517/C517,(INT(AD517/B517)+(((AD517-B517*INT(AD517/B517)))/C517)/100))),0,(IF(B517=C517,AD517/C517,(INT(AD517/B517)+(((AD517-B517*INT(AD517/B517)))/C517)/100))))</f>
        <v>0</v>
      </c>
      <c r="BQ517" s="155"/>
    </row>
    <row r="518" spans="1:69" hidden="1" x14ac:dyDescent="0.35">
      <c r="A518" s="94"/>
      <c r="B518" s="113">
        <v>0</v>
      </c>
      <c r="C518" s="113">
        <v>250</v>
      </c>
      <c r="D518" s="28">
        <f>SUM(AA518:AD518)</f>
        <v>0</v>
      </c>
      <c r="E518" s="113">
        <v>0</v>
      </c>
      <c r="F518" s="113">
        <v>0</v>
      </c>
      <c r="G518" s="28">
        <f>SUM(D518:F518)</f>
        <v>0</v>
      </c>
      <c r="H518" s="125">
        <v>0</v>
      </c>
      <c r="I518" s="113">
        <v>0</v>
      </c>
      <c r="J518" s="125">
        <v>0</v>
      </c>
      <c r="K518" s="113">
        <v>0</v>
      </c>
      <c r="L518" s="113">
        <v>0</v>
      </c>
      <c r="M518" s="113">
        <v>0</v>
      </c>
      <c r="N518" s="28">
        <f>G518-SUM(H518:M518)</f>
        <v>0</v>
      </c>
      <c r="O518" s="28">
        <f>SUM(V518:Y518)</f>
        <v>0</v>
      </c>
      <c r="P518" s="28">
        <f>O518-N518</f>
        <v>0</v>
      </c>
      <c r="Q518" s="61" t="str">
        <f>IF(ISERROR(P518/SUM(H518:L518)),"",P518/SUM(H518:L518))</f>
        <v/>
      </c>
      <c r="R518" s="113">
        <v>0</v>
      </c>
      <c r="S518" s="28">
        <f>IF(ISERROR(P518/C518*R518),0,(P518/C518*R518))</f>
        <v>0</v>
      </c>
      <c r="T518" s="60">
        <f>IF(ISERROR(P518/B518*AF518),0,(P518/B518*AF518))</f>
        <v>0</v>
      </c>
      <c r="V518" s="113">
        <v>0</v>
      </c>
      <c r="W518" s="113">
        <v>0</v>
      </c>
      <c r="X518" s="113">
        <v>0</v>
      </c>
      <c r="Y518" s="113">
        <v>0</v>
      </c>
      <c r="AA518" s="113">
        <v>0</v>
      </c>
      <c r="AB518" s="113">
        <v>0</v>
      </c>
      <c r="AC518" s="113">
        <v>0</v>
      </c>
      <c r="AD518" s="113">
        <v>0</v>
      </c>
      <c r="AF518" s="113">
        <v>0</v>
      </c>
      <c r="AG518" s="28">
        <f>G518-O518</f>
        <v>0</v>
      </c>
      <c r="AH518" s="58">
        <f>IF(ISERROR(AG518/B518*AF518),0,(AG518/B518*AF518))</f>
        <v>0</v>
      </c>
      <c r="AI518" s="28">
        <f>SUM(H518:M518)</f>
        <v>0</v>
      </c>
      <c r="AJ518" s="28">
        <f>IF(ISERROR(AI518/B518*AF518),0,(AI518/B518*AF518))</f>
        <v>0</v>
      </c>
      <c r="AK518" s="58">
        <f>IF(ISERROR(O518/B518*AF518),0,(O518/B518*AF518))</f>
        <v>0</v>
      </c>
      <c r="AL518" s="28">
        <f>IF(ISERROR(H518/B518*AF518),0,(H518/B518*AF518))</f>
        <v>0</v>
      </c>
      <c r="AN518" s="51">
        <f>A518</f>
        <v>0</v>
      </c>
      <c r="AO518" s="57">
        <f>IF(ISERROR(IF(B518=C518,D518/C518,(INT(D518/B518)+(((D518-B518*INT(D518/B518)))/C518)/100))),0,(IF(B518=C518,D518/C518,(INT(D518/B518)+(((D518-B518*INT(D518/B518)))/C518)/100))))</f>
        <v>0</v>
      </c>
      <c r="AP518" s="57">
        <f>IF(ISERROR(IF(B518=C518,E518/C518,(INT(E518/B518)+(((E518-B518*INT(E518/B518)))/C518)/100))),0,(IF(B518=C518,E518/C518,(INT(E518/B518)+(((E518-B518*INT(E518/B518)))/C518)/100))))</f>
        <v>0</v>
      </c>
      <c r="AQ518" s="57">
        <f>IF(ISERROR(IF(B518=C518,F518/C518,IF((INT(F518/B518)+(((F518-B518*INT(F518/B518)))/C518)/100)&lt;0,(INT(F518/B518)+(((F518-B518*INT(F518/B518)))/C518)/100)+(1-(B518/C518/100)),(INT(F518/B518)+(((F518-B518*INT(F518/B518)))/C518)/100)))),0,IF(B518=C518,F518/C518,IF((INT(F518/B518)+(((F518-B518*INT(F518/B518)))/C518)/100)&lt;0,(INT(F518/B518)+(((F518-B518*INT(F518/B518)))/C518)/100)+(1-(B518/C518/100)),(INT(F518/B518)+(((F518-B518*INT(F518/B518)))/C518)/100))))</f>
        <v>0</v>
      </c>
      <c r="AR518" s="57">
        <f>IF(ISERROR(IF(B518=C518,G518/C518,(INT(G518/B518)+(((G518-B518*INT(G518/B518)))/C518)/100))),0,(IF(B518=C518,G518/C518,(INT(G518/B518)+(((G518-B518*INT(G518/B518)))/C518)/100))))</f>
        <v>0</v>
      </c>
      <c r="AS518" s="57">
        <f>IF(ISERROR(IF(B518=C518,H518/C518,(INT(H518/B518)+(((H518-B518*INT(H518/B518)))/C518)/100))),0,(IF(B518=C518,H518/C518,(INT(H518/B518)+(((H518-B518*INT(H518/B518)))/C518)/100))))</f>
        <v>0</v>
      </c>
      <c r="AT518" s="57">
        <f>IF(ISERROR(IF(B518=C518,I518/C518,(INT(I518/B518)+(((I518-B518*INT(I518/B518)))/C518)/100))),0,(IF(B518=C518,I518/C518,(INT(I518/B518)+(((I518-B518*INT(I518/B518)))/C518)/100))))</f>
        <v>0</v>
      </c>
      <c r="AU518" s="57">
        <f>IF(ISERROR(IF(B518=C518,J518/C518,(INT(J518/B518)+(((J518-B518*INT(J518/B518)))/C518)/100))),0,(IF(B518=C518,J518/C518,(INT(J518/B518)+(((J518-B518*INT(J518/B518)))/C518)/100))))</f>
        <v>0</v>
      </c>
      <c r="AV518" s="57">
        <f>IF(ISERROR(IF(B518=C518,K518/C518,IF((INT(K518/B518)+(((K518-B518*INT(K518/B518)))/C518)/100)&lt;0,(INT(K518/B518)+(((K518-B518*INT(K518/B518)))/C518)/100)+(1-(B518/C518/100)),(INT(K518/B518)+(((K518-B518*INT(K518/B518)))/C518)/100)))),0,IF(B518=C518,K518/C518,IF((INT(K518/B518)+(((K518-B518*INT(K518/B518)))/C518)/100)&lt;0,(INT(K518/B518)+(((K518-B518*INT(K518/B518)))/C518)/100)+(1-(B518/C518/100)),(INT(K518/B518)+(((K518-B518*INT(K518/B518)))/C518)/100))))</f>
        <v>0</v>
      </c>
      <c r="AW518" s="57">
        <f>IF(ISERROR(IF(B518=C518,L518/C518,(INT(L518/B518)+(((L518-B518*INT(L518/B518)))/C518)/100))),0,(IF(B518=C518,L518/C518,(INT(L518/B518)+(((L518-B518*INT(L518/B518)))/C518)/100))))</f>
        <v>0</v>
      </c>
      <c r="AX518" s="57">
        <f>IF(ISERROR(IF(B518=C518,M518/C518,(INT(M518/B518)+(((M518-B518*INT(M518/B518)))/C518)/100))),0,(IF(B518=C518,M518/C518,(INT(M518/B518)+(((M518-B518*INT(M518/B518)))/C518)/100))))</f>
        <v>0</v>
      </c>
      <c r="AY518" s="57">
        <f>IF(ISERROR(IF(B518=C518,N518/C518,IF((INT(N518/B518)+(((N518-B518*INT(N518/B518)))/C518)/100)&lt;0,(INT(N518/B518)+(((N518-B518*INT(N518/B518)))/C518)/100)+(1-(B518/C518/100)),(INT(N518/B518)+(((N518-B518*INT(N518/B518)))/C518)/100)))),0,IF(B518=C518,N518/C518,IF((INT(N518/B518)+(((N518-B518*INT(N518/B518)))/C518)/100)&lt;0,(INT(N518/B518)+(((N518-B518*INT(N518/B518)))/C518)/100)+(1-(B518/C518/100)),(INT(N518/B518)+(((N518-B518*INT(N518/B518)))/C518)/100))))</f>
        <v>0</v>
      </c>
      <c r="AZ518" s="57">
        <f>IF(ISERROR(IF(B518=C518,O518/C518,(INT(O518/B518)+(((O518-B518*INT(O518/B518)))/C518)/100))),0,(IF(B518=C518,O518/C518,(INT(O518/B518)+(((O518-B518*INT(O518/B518)))/C518)/100))))</f>
        <v>0</v>
      </c>
      <c r="BA518" s="57">
        <f>IF(ISERROR(IF(B518=C518,P518/C518,IF((INT(P518/B518)+(((P518-B518*INT(P518/B518)))/C518)/100)&lt;0,(INT(P518/B518)+(((P518-B518*INT(P518/B518)))/C518)/100)+(1-(B518/C518/100)),(INT(P518/B518)+(((P518-B518*INT(P518/B518)))/C518)/100)))),0,IF(B518=C518,P518/C518,IF((INT(P518/B518)+(((P518-B518*INT(P518/B518)))/C518)/100)&lt;0,(INT(P518/B518)+(((P518-B518*INT(P518/B518)))/C518)/100)+(1-(B518/C518/100)),(INT(P518/B518)+(((P518-B518*INT(P518/B518)))/C518)/100))))</f>
        <v>0</v>
      </c>
      <c r="BB518" s="28">
        <f>R518</f>
        <v>0</v>
      </c>
      <c r="BC518" s="28">
        <f>S518</f>
        <v>0</v>
      </c>
      <c r="BD518" s="28">
        <f>AF518</f>
        <v>0</v>
      </c>
      <c r="BE518" s="28">
        <f>T518</f>
        <v>0</v>
      </c>
      <c r="BG518" s="57">
        <f>IF(ISERROR(IF(B518=C518,V518/C518,(INT(V518/B518)+(((V518-B518*INT(V518/B518)))/C518)/100))),0,(IF(B518=C518,V518/C518,(INT(V518/B518)+(((V518-B518*INT(V518/B518)))/C518)/100))))</f>
        <v>0</v>
      </c>
      <c r="BH518" s="57">
        <f>IF(ISERROR(IF(B518=C518,W518/C518,(INT(W518/B518)+(((W518-B518*INT(W518/B518)))/C518)/100))),0,(IF(B518=C518,W518/C518,(INT(W518/B518)+(((W518-B518*INT(W518/B518)))/C518)/100))))</f>
        <v>0</v>
      </c>
      <c r="BI518" s="57">
        <f>IF(ISERROR(IF(B518=C518,X518/C518,(INT(X518/B518)+(((X518-B518*INT(X518/B518)))/C518)/100))),0,(IF(B518=C518,X518/C518,(INT(X518/B518)+(((X518-B518*INT(X518/B518)))/C518)/100))))</f>
        <v>0</v>
      </c>
      <c r="BJ518" s="57">
        <f>IF(ISERROR(IF(B518=C518,Y518/C518,(INT(Y518/B518)+(((Y518-B518*INT(Y518/B518)))/C518)/100))),0,(IF(B518=C518,Y518/C518,(INT(Y518/B518)+(((Y518-B518*INT(Y518/B518)))/C518)/100))))</f>
        <v>0</v>
      </c>
      <c r="BL518" s="57">
        <f>IF(ISERROR(IF(B518=C518,AA518/C518,(INT(AA518/B518)+(((AA518-B518*INT(AA518/B518)))/C518)/100))),0,(IF(B518=C518,AA518/C518,(INT(AA518/B518)+(((AA518-B518*INT(AA518/B518)))/C518)/100))))</f>
        <v>0</v>
      </c>
      <c r="BM518" s="57">
        <f>IF(ISERROR(IF(B518=C518,AB518/C518,(INT(AB518/B518)+(((AB518-B518*INT(AB518/B518)))/C518)/100))),0,(IF(B518=C518,AB518/C518,(INT(AB518/B518)+(((AB518-B518*INT(AB518/B518)))/C518)/100))))</f>
        <v>0</v>
      </c>
      <c r="BN518" s="57">
        <f>IF(ISERROR(IF(B518=C518,AC518/C518,(INT(AC518/B518)+(((AC518-B518*INT(AC518/B518)))/C518)/100))),0,(IF(B518=C518,AC518/C518,(INT(AC518/B518)+(((AC518-B518*INT(AC518/B518)))/C518)/100))))</f>
        <v>0</v>
      </c>
      <c r="BO518" s="57">
        <f>IF(ISERROR(IF(B518=C518,AD518/C518,(INT(AD518/B518)+(((AD518-B518*INT(AD518/B518)))/C518)/100))),0,(IF(B518=C518,AD518/C518,(INT(AD518/B518)+(((AD518-B518*INT(AD518/B518)))/C518)/100))))</f>
        <v>0</v>
      </c>
      <c r="BQ518" s="155"/>
    </row>
    <row r="519" spans="1:69" hidden="1" x14ac:dyDescent="0.35">
      <c r="A519" s="94"/>
      <c r="B519" s="113">
        <v>0</v>
      </c>
      <c r="C519" s="113">
        <v>250</v>
      </c>
      <c r="D519" s="28">
        <f>SUM(AA519:AD519)</f>
        <v>0</v>
      </c>
      <c r="E519" s="113">
        <v>0</v>
      </c>
      <c r="F519" s="113">
        <v>0</v>
      </c>
      <c r="G519" s="28">
        <f>SUM(D519:F519)</f>
        <v>0</v>
      </c>
      <c r="H519" s="125">
        <v>0</v>
      </c>
      <c r="I519" s="113">
        <v>0</v>
      </c>
      <c r="J519" s="125">
        <v>0</v>
      </c>
      <c r="K519" s="113">
        <v>0</v>
      </c>
      <c r="L519" s="113">
        <v>0</v>
      </c>
      <c r="M519" s="113">
        <v>0</v>
      </c>
      <c r="N519" s="28">
        <f>G519-SUM(H519:M519)</f>
        <v>0</v>
      </c>
      <c r="O519" s="28">
        <f>SUM(V519:Y519)</f>
        <v>0</v>
      </c>
      <c r="P519" s="28">
        <f>O519-N519</f>
        <v>0</v>
      </c>
      <c r="Q519" s="61" t="str">
        <f>IF(ISERROR(P519/SUM(H519:L519)),"",P519/SUM(H519:L519))</f>
        <v/>
      </c>
      <c r="R519" s="113">
        <v>0</v>
      </c>
      <c r="S519" s="28">
        <f>IF(ISERROR(P519/C519*R519),0,(P519/C519*R519))</f>
        <v>0</v>
      </c>
      <c r="T519" s="60">
        <f>IF(ISERROR(P519/B519*AF519),0,(P519/B519*AF519))</f>
        <v>0</v>
      </c>
      <c r="V519" s="113">
        <v>0</v>
      </c>
      <c r="W519" s="113">
        <v>0</v>
      </c>
      <c r="X519" s="113">
        <v>0</v>
      </c>
      <c r="Y519" s="113">
        <v>0</v>
      </c>
      <c r="AA519" s="113">
        <v>0</v>
      </c>
      <c r="AB519" s="113">
        <v>0</v>
      </c>
      <c r="AC519" s="113">
        <v>0</v>
      </c>
      <c r="AD519" s="113">
        <v>0</v>
      </c>
      <c r="AF519" s="113">
        <v>0</v>
      </c>
      <c r="AG519" s="28">
        <f>G519-O519</f>
        <v>0</v>
      </c>
      <c r="AH519" s="58">
        <f>IF(ISERROR(AG519/B519*AF519),0,(AG519/B519*AF519))</f>
        <v>0</v>
      </c>
      <c r="AI519" s="28">
        <f>SUM(H519:M519)</f>
        <v>0</v>
      </c>
      <c r="AJ519" s="28">
        <f>IF(ISERROR(AI519/B519*AF519),0,(AI519/B519*AF519))</f>
        <v>0</v>
      </c>
      <c r="AK519" s="58">
        <f>IF(ISERROR(O519/B519*AF519),0,(O519/B519*AF519))</f>
        <v>0</v>
      </c>
      <c r="AL519" s="28">
        <f>IF(ISERROR(H519/B519*AF519),0,(H519/B519*AF519))</f>
        <v>0</v>
      </c>
      <c r="AN519" s="51">
        <f>A519</f>
        <v>0</v>
      </c>
      <c r="AO519" s="57">
        <f>IF(ISERROR(IF(B519=C519,D519/C519,(INT(D519/B519)+(((D519-B519*INT(D519/B519)))/C519)/100))),0,(IF(B519=C519,D519/C519,(INT(D519/B519)+(((D519-B519*INT(D519/B519)))/C519)/100))))</f>
        <v>0</v>
      </c>
      <c r="AP519" s="57">
        <f>IF(ISERROR(IF(B519=C519,E519/C519,(INT(E519/B519)+(((E519-B519*INT(E519/B519)))/C519)/100))),0,(IF(B519=C519,E519/C519,(INT(E519/B519)+(((E519-B519*INT(E519/B519)))/C519)/100))))</f>
        <v>0</v>
      </c>
      <c r="AQ519" s="57">
        <f>IF(ISERROR(IF(B519=C519,F519/C519,IF((INT(F519/B519)+(((F519-B519*INT(F519/B519)))/C519)/100)&lt;0,(INT(F519/B519)+(((F519-B519*INT(F519/B519)))/C519)/100)+(1-(B519/C519/100)),(INT(F519/B519)+(((F519-B519*INT(F519/B519)))/C519)/100)))),0,IF(B519=C519,F519/C519,IF((INT(F519/B519)+(((F519-B519*INT(F519/B519)))/C519)/100)&lt;0,(INT(F519/B519)+(((F519-B519*INT(F519/B519)))/C519)/100)+(1-(B519/C519/100)),(INT(F519/B519)+(((F519-B519*INT(F519/B519)))/C519)/100))))</f>
        <v>0</v>
      </c>
      <c r="AR519" s="57">
        <f>IF(ISERROR(IF(B519=C519,G519/C519,(INT(G519/B519)+(((G519-B519*INT(G519/B519)))/C519)/100))),0,(IF(B519=C519,G519/C519,(INT(G519/B519)+(((G519-B519*INT(G519/B519)))/C519)/100))))</f>
        <v>0</v>
      </c>
      <c r="AS519" s="57">
        <f>IF(ISERROR(IF(B519=C519,H519/C519,(INT(H519/B519)+(((H519-B519*INT(H519/B519)))/C519)/100))),0,(IF(B519=C519,H519/C519,(INT(H519/B519)+(((H519-B519*INT(H519/B519)))/C519)/100))))</f>
        <v>0</v>
      </c>
      <c r="AT519" s="57">
        <f>IF(ISERROR(IF(B519=C519,I519/C519,(INT(I519/B519)+(((I519-B519*INT(I519/B519)))/C519)/100))),0,(IF(B519=C519,I519/C519,(INT(I519/B519)+(((I519-B519*INT(I519/B519)))/C519)/100))))</f>
        <v>0</v>
      </c>
      <c r="AU519" s="57">
        <f>IF(ISERROR(IF(B519=C519,J519/C519,(INT(J519/B519)+(((J519-B519*INT(J519/B519)))/C519)/100))),0,(IF(B519=C519,J519/C519,(INT(J519/B519)+(((J519-B519*INT(J519/B519)))/C519)/100))))</f>
        <v>0</v>
      </c>
      <c r="AV519" s="57">
        <f>IF(ISERROR(IF(B519=C519,K519/C519,IF((INT(K519/B519)+(((K519-B519*INT(K519/B519)))/C519)/100)&lt;0,(INT(K519/B519)+(((K519-B519*INT(K519/B519)))/C519)/100)+(1-(B519/C519/100)),(INT(K519/B519)+(((K519-B519*INT(K519/B519)))/C519)/100)))),0,IF(B519=C519,K519/C519,IF((INT(K519/B519)+(((K519-B519*INT(K519/B519)))/C519)/100)&lt;0,(INT(K519/B519)+(((K519-B519*INT(K519/B519)))/C519)/100)+(1-(B519/C519/100)),(INT(K519/B519)+(((K519-B519*INT(K519/B519)))/C519)/100))))</f>
        <v>0</v>
      </c>
      <c r="AW519" s="57">
        <f>IF(ISERROR(IF(B519=C519,L519/C519,(INT(L519/B519)+(((L519-B519*INT(L519/B519)))/C519)/100))),0,(IF(B519=C519,L519/C519,(INT(L519/B519)+(((L519-B519*INT(L519/B519)))/C519)/100))))</f>
        <v>0</v>
      </c>
      <c r="AX519" s="57">
        <f>IF(ISERROR(IF(B519=C519,M519/C519,(INT(M519/B519)+(((M519-B519*INT(M519/B519)))/C519)/100))),0,(IF(B519=C519,M519/C519,(INT(M519/B519)+(((M519-B519*INT(M519/B519)))/C519)/100))))</f>
        <v>0</v>
      </c>
      <c r="AY519" s="57">
        <f>IF(ISERROR(IF(B519=C519,N519/C519,IF((INT(N519/B519)+(((N519-B519*INT(N519/B519)))/C519)/100)&lt;0,(INT(N519/B519)+(((N519-B519*INT(N519/B519)))/C519)/100)+(1-(B519/C519/100)),(INT(N519/B519)+(((N519-B519*INT(N519/B519)))/C519)/100)))),0,IF(B519=C519,N519/C519,IF((INT(N519/B519)+(((N519-B519*INT(N519/B519)))/C519)/100)&lt;0,(INT(N519/B519)+(((N519-B519*INT(N519/B519)))/C519)/100)+(1-(B519/C519/100)),(INT(N519/B519)+(((N519-B519*INT(N519/B519)))/C519)/100))))</f>
        <v>0</v>
      </c>
      <c r="AZ519" s="57">
        <f>IF(ISERROR(IF(B519=C519,O519/C519,(INT(O519/B519)+(((O519-B519*INT(O519/B519)))/C519)/100))),0,(IF(B519=C519,O519/C519,(INT(O519/B519)+(((O519-B519*INT(O519/B519)))/C519)/100))))</f>
        <v>0</v>
      </c>
      <c r="BA519" s="57">
        <f>IF(ISERROR(IF(B519=C519,P519/C519,IF((INT(P519/B519)+(((P519-B519*INT(P519/B519)))/C519)/100)&lt;0,(INT(P519/B519)+(((P519-B519*INT(P519/B519)))/C519)/100)+(1-(B519/C519/100)),(INT(P519/B519)+(((P519-B519*INT(P519/B519)))/C519)/100)))),0,IF(B519=C519,P519/C519,IF((INT(P519/B519)+(((P519-B519*INT(P519/B519)))/C519)/100)&lt;0,(INT(P519/B519)+(((P519-B519*INT(P519/B519)))/C519)/100)+(1-(B519/C519/100)),(INT(P519/B519)+(((P519-B519*INT(P519/B519)))/C519)/100))))</f>
        <v>0</v>
      </c>
      <c r="BB519" s="28">
        <f>R519</f>
        <v>0</v>
      </c>
      <c r="BC519" s="28">
        <f>S519</f>
        <v>0</v>
      </c>
      <c r="BD519" s="28">
        <f>AF519</f>
        <v>0</v>
      </c>
      <c r="BE519" s="28">
        <f>T519</f>
        <v>0</v>
      </c>
      <c r="BG519" s="57">
        <f>IF(ISERROR(IF(B519=C519,V519/C519,(INT(V519/B519)+(((V519-B519*INT(V519/B519)))/C519)/100))),0,(IF(B519=C519,V519/C519,(INT(V519/B519)+(((V519-B519*INT(V519/B519)))/C519)/100))))</f>
        <v>0</v>
      </c>
      <c r="BH519" s="57">
        <f>IF(ISERROR(IF(B519=C519,W519/C519,(INT(W519/B519)+(((W519-B519*INT(W519/B519)))/C519)/100))),0,(IF(B519=C519,W519/C519,(INT(W519/B519)+(((W519-B519*INT(W519/B519)))/C519)/100))))</f>
        <v>0</v>
      </c>
      <c r="BI519" s="57">
        <f>IF(ISERROR(IF(B519=C519,X519/C519,(INT(X519/B519)+(((X519-B519*INT(X519/B519)))/C519)/100))),0,(IF(B519=C519,X519/C519,(INT(X519/B519)+(((X519-B519*INT(X519/B519)))/C519)/100))))</f>
        <v>0</v>
      </c>
      <c r="BJ519" s="57">
        <f>IF(ISERROR(IF(B519=C519,Y519/C519,(INT(Y519/B519)+(((Y519-B519*INT(Y519/B519)))/C519)/100))),0,(IF(B519=C519,Y519/C519,(INT(Y519/B519)+(((Y519-B519*INT(Y519/B519)))/C519)/100))))</f>
        <v>0</v>
      </c>
      <c r="BL519" s="57">
        <f>IF(ISERROR(IF(B519=C519,AA519/C519,(INT(AA519/B519)+(((AA519-B519*INT(AA519/B519)))/C519)/100))),0,(IF(B519=C519,AA519/C519,(INT(AA519/B519)+(((AA519-B519*INT(AA519/B519)))/C519)/100))))</f>
        <v>0</v>
      </c>
      <c r="BM519" s="57">
        <f>IF(ISERROR(IF(B519=C519,AB519/C519,(INT(AB519/B519)+(((AB519-B519*INT(AB519/B519)))/C519)/100))),0,(IF(B519=C519,AB519/C519,(INT(AB519/B519)+(((AB519-B519*INT(AB519/B519)))/C519)/100))))</f>
        <v>0</v>
      </c>
      <c r="BN519" s="57">
        <f>IF(ISERROR(IF(B519=C519,AC519/C519,(INT(AC519/B519)+(((AC519-B519*INT(AC519/B519)))/C519)/100))),0,(IF(B519=C519,AC519/C519,(INT(AC519/B519)+(((AC519-B519*INT(AC519/B519)))/C519)/100))))</f>
        <v>0</v>
      </c>
      <c r="BO519" s="57">
        <f>IF(ISERROR(IF(B519=C519,AD519/C519,(INT(AD519/B519)+(((AD519-B519*INT(AD519/B519)))/C519)/100))),0,(IF(B519=C519,AD519/C519,(INT(AD519/B519)+(((AD519-B519*INT(AD519/B519)))/C519)/100))))</f>
        <v>0</v>
      </c>
      <c r="BQ519" s="155"/>
    </row>
    <row r="520" spans="1:69" hidden="1" x14ac:dyDescent="0.35">
      <c r="A520" s="94"/>
      <c r="B520" s="113">
        <v>0</v>
      </c>
      <c r="C520" s="113">
        <v>250</v>
      </c>
      <c r="D520" s="28">
        <f>SUM(AA520:AD520)</f>
        <v>0</v>
      </c>
      <c r="E520" s="113">
        <v>0</v>
      </c>
      <c r="F520" s="113">
        <v>0</v>
      </c>
      <c r="G520" s="28">
        <f>SUM(D520:F520)</f>
        <v>0</v>
      </c>
      <c r="H520" s="125">
        <v>0</v>
      </c>
      <c r="I520" s="113">
        <v>0</v>
      </c>
      <c r="J520" s="125">
        <v>0</v>
      </c>
      <c r="K520" s="113">
        <v>0</v>
      </c>
      <c r="L520" s="113">
        <v>0</v>
      </c>
      <c r="M520" s="113">
        <v>0</v>
      </c>
      <c r="N520" s="28">
        <f>G520-SUM(H520:M520)</f>
        <v>0</v>
      </c>
      <c r="O520" s="28">
        <f>SUM(V520:Y520)</f>
        <v>0</v>
      </c>
      <c r="P520" s="28">
        <f>O520-N520</f>
        <v>0</v>
      </c>
      <c r="Q520" s="61" t="str">
        <f>IF(ISERROR(P520/SUM(H520:L520)),"",P520/SUM(H520:L520))</f>
        <v/>
      </c>
      <c r="R520" s="113">
        <v>0</v>
      </c>
      <c r="S520" s="28">
        <f>IF(ISERROR(P520/C520*R520),0,(P520/C520*R520))</f>
        <v>0</v>
      </c>
      <c r="T520" s="60">
        <f>IF(ISERROR(P520/B520*AF520),0,(P520/B520*AF520))</f>
        <v>0</v>
      </c>
      <c r="V520" s="113">
        <v>0</v>
      </c>
      <c r="W520" s="113">
        <v>0</v>
      </c>
      <c r="X520" s="113">
        <v>0</v>
      </c>
      <c r="Y520" s="113">
        <v>0</v>
      </c>
      <c r="AA520" s="113">
        <v>0</v>
      </c>
      <c r="AB520" s="113">
        <v>0</v>
      </c>
      <c r="AC520" s="113">
        <v>0</v>
      </c>
      <c r="AD520" s="113">
        <v>0</v>
      </c>
      <c r="AF520" s="113">
        <v>0</v>
      </c>
      <c r="AG520" s="28">
        <f>G520-O520</f>
        <v>0</v>
      </c>
      <c r="AH520" s="58">
        <f>IF(ISERROR(AG520/B520*AF520),0,(AG520/B520*AF520))</f>
        <v>0</v>
      </c>
      <c r="AI520" s="28">
        <f>SUM(H520:M520)</f>
        <v>0</v>
      </c>
      <c r="AJ520" s="28">
        <f>IF(ISERROR(AI520/B520*AF520),0,(AI520/B520*AF520))</f>
        <v>0</v>
      </c>
      <c r="AK520" s="58">
        <f>IF(ISERROR(O520/B520*AF520),0,(O520/B520*AF520))</f>
        <v>0</v>
      </c>
      <c r="AL520" s="28">
        <f>IF(ISERROR(H520/B520*AF520),0,(H520/B520*AF520))</f>
        <v>0</v>
      </c>
      <c r="AN520" s="51">
        <f>A520</f>
        <v>0</v>
      </c>
      <c r="AO520" s="57">
        <f>IF(ISERROR(IF(B520=C520,D520/C520,(INT(D520/B520)+(((D520-B520*INT(D520/B520)))/C520)/100))),0,(IF(B520=C520,D520/C520,(INT(D520/B520)+(((D520-B520*INT(D520/B520)))/C520)/100))))</f>
        <v>0</v>
      </c>
      <c r="AP520" s="57">
        <f>IF(ISERROR(IF(B520=C520,E520/C520,(INT(E520/B520)+(((E520-B520*INT(E520/B520)))/C520)/100))),0,(IF(B520=C520,E520/C520,(INT(E520/B520)+(((E520-B520*INT(E520/B520)))/C520)/100))))</f>
        <v>0</v>
      </c>
      <c r="AQ520" s="57">
        <f>IF(ISERROR(IF(B520=C520,F520/C520,IF((INT(F520/B520)+(((F520-B520*INT(F520/B520)))/C520)/100)&lt;0,(INT(F520/B520)+(((F520-B520*INT(F520/B520)))/C520)/100)+(1-(B520/C520/100)),(INT(F520/B520)+(((F520-B520*INT(F520/B520)))/C520)/100)))),0,IF(B520=C520,F520/C520,IF((INT(F520/B520)+(((F520-B520*INT(F520/B520)))/C520)/100)&lt;0,(INT(F520/B520)+(((F520-B520*INT(F520/B520)))/C520)/100)+(1-(B520/C520/100)),(INT(F520/B520)+(((F520-B520*INT(F520/B520)))/C520)/100))))</f>
        <v>0</v>
      </c>
      <c r="AR520" s="57">
        <f>IF(ISERROR(IF(B520=C520,G520/C520,(INT(G520/B520)+(((G520-B520*INT(G520/B520)))/C520)/100))),0,(IF(B520=C520,G520/C520,(INT(G520/B520)+(((G520-B520*INT(G520/B520)))/C520)/100))))</f>
        <v>0</v>
      </c>
      <c r="AS520" s="57">
        <f>IF(ISERROR(IF(B520=C520,H520/C520,(INT(H520/B520)+(((H520-B520*INT(H520/B520)))/C520)/100))),0,(IF(B520=C520,H520/C520,(INT(H520/B520)+(((H520-B520*INT(H520/B520)))/C520)/100))))</f>
        <v>0</v>
      </c>
      <c r="AT520" s="57">
        <f>IF(ISERROR(IF(B520=C520,I520/C520,(INT(I520/B520)+(((I520-B520*INT(I520/B520)))/C520)/100))),0,(IF(B520=C520,I520/C520,(INT(I520/B520)+(((I520-B520*INT(I520/B520)))/C520)/100))))</f>
        <v>0</v>
      </c>
      <c r="AU520" s="57">
        <f>IF(ISERROR(IF(B520=C520,J520/C520,(INT(J520/B520)+(((J520-B520*INT(J520/B520)))/C520)/100))),0,(IF(B520=C520,J520/C520,(INT(J520/B520)+(((J520-B520*INT(J520/B520)))/C520)/100))))</f>
        <v>0</v>
      </c>
      <c r="AV520" s="57">
        <f>IF(ISERROR(IF(B520=C520,K520/C520,IF((INT(K520/B520)+(((K520-B520*INT(K520/B520)))/C520)/100)&lt;0,(INT(K520/B520)+(((K520-B520*INT(K520/B520)))/C520)/100)+(1-(B520/C520/100)),(INT(K520/B520)+(((K520-B520*INT(K520/B520)))/C520)/100)))),0,IF(B520=C520,K520/C520,IF((INT(K520/B520)+(((K520-B520*INT(K520/B520)))/C520)/100)&lt;0,(INT(K520/B520)+(((K520-B520*INT(K520/B520)))/C520)/100)+(1-(B520/C520/100)),(INT(K520/B520)+(((K520-B520*INT(K520/B520)))/C520)/100))))</f>
        <v>0</v>
      </c>
      <c r="AW520" s="57">
        <f>IF(ISERROR(IF(B520=C520,L520/C520,(INT(L520/B520)+(((L520-B520*INT(L520/B520)))/C520)/100))),0,(IF(B520=C520,L520/C520,(INT(L520/B520)+(((L520-B520*INT(L520/B520)))/C520)/100))))</f>
        <v>0</v>
      </c>
      <c r="AX520" s="57">
        <f>IF(ISERROR(IF(B520=C520,M520/C520,(INT(M520/B520)+(((M520-B520*INT(M520/B520)))/C520)/100))),0,(IF(B520=C520,M520/C520,(INT(M520/B520)+(((M520-B520*INT(M520/B520)))/C520)/100))))</f>
        <v>0</v>
      </c>
      <c r="AY520" s="57">
        <f>IF(ISERROR(IF(B520=C520,N520/C520,IF((INT(N520/B520)+(((N520-B520*INT(N520/B520)))/C520)/100)&lt;0,(INT(N520/B520)+(((N520-B520*INT(N520/B520)))/C520)/100)+(1-(B520/C520/100)),(INT(N520/B520)+(((N520-B520*INT(N520/B520)))/C520)/100)))),0,IF(B520=C520,N520/C520,IF((INT(N520/B520)+(((N520-B520*INT(N520/B520)))/C520)/100)&lt;0,(INT(N520/B520)+(((N520-B520*INT(N520/B520)))/C520)/100)+(1-(B520/C520/100)),(INT(N520/B520)+(((N520-B520*INT(N520/B520)))/C520)/100))))</f>
        <v>0</v>
      </c>
      <c r="AZ520" s="57">
        <f>IF(ISERROR(IF(B520=C520,O520/C520,(INT(O520/B520)+(((O520-B520*INT(O520/B520)))/C520)/100))),0,(IF(B520=C520,O520/C520,(INT(O520/B520)+(((O520-B520*INT(O520/B520)))/C520)/100))))</f>
        <v>0</v>
      </c>
      <c r="BA520" s="57">
        <f>IF(ISERROR(IF(B520=C520,P520/C520,IF((INT(P520/B520)+(((P520-B520*INT(P520/B520)))/C520)/100)&lt;0,(INT(P520/B520)+(((P520-B520*INT(P520/B520)))/C520)/100)+(1-(B520/C520/100)),(INT(P520/B520)+(((P520-B520*INT(P520/B520)))/C520)/100)))),0,IF(B520=C520,P520/C520,IF((INT(P520/B520)+(((P520-B520*INT(P520/B520)))/C520)/100)&lt;0,(INT(P520/B520)+(((P520-B520*INT(P520/B520)))/C520)/100)+(1-(B520/C520/100)),(INT(P520/B520)+(((P520-B520*INT(P520/B520)))/C520)/100))))</f>
        <v>0</v>
      </c>
      <c r="BB520" s="28">
        <f>R520</f>
        <v>0</v>
      </c>
      <c r="BC520" s="28">
        <f>S520</f>
        <v>0</v>
      </c>
      <c r="BD520" s="28">
        <f>AF520</f>
        <v>0</v>
      </c>
      <c r="BE520" s="28">
        <f>T520</f>
        <v>0</v>
      </c>
      <c r="BG520" s="57">
        <f>IF(ISERROR(IF(B520=C520,V520/C520,(INT(V520/B520)+(((V520-B520*INT(V520/B520)))/C520)/100))),0,(IF(B520=C520,V520/C520,(INT(V520/B520)+(((V520-B520*INT(V520/B520)))/C520)/100))))</f>
        <v>0</v>
      </c>
      <c r="BH520" s="57">
        <f>IF(ISERROR(IF(B520=C520,W520/C520,(INT(W520/B520)+(((W520-B520*INT(W520/B520)))/C520)/100))),0,(IF(B520=C520,W520/C520,(INT(W520/B520)+(((W520-B520*INT(W520/B520)))/C520)/100))))</f>
        <v>0</v>
      </c>
      <c r="BI520" s="57">
        <f>IF(ISERROR(IF(B520=C520,X520/C520,(INT(X520/B520)+(((X520-B520*INT(X520/B520)))/C520)/100))),0,(IF(B520=C520,X520/C520,(INT(X520/B520)+(((X520-B520*INT(X520/B520)))/C520)/100))))</f>
        <v>0</v>
      </c>
      <c r="BJ520" s="57">
        <f>IF(ISERROR(IF(B520=C520,Y520/C520,(INT(Y520/B520)+(((Y520-B520*INT(Y520/B520)))/C520)/100))),0,(IF(B520=C520,Y520/C520,(INT(Y520/B520)+(((Y520-B520*INT(Y520/B520)))/C520)/100))))</f>
        <v>0</v>
      </c>
      <c r="BL520" s="57">
        <f>IF(ISERROR(IF(B520=C520,AA520/C520,(INT(AA520/B520)+(((AA520-B520*INT(AA520/B520)))/C520)/100))),0,(IF(B520=C520,AA520/C520,(INT(AA520/B520)+(((AA520-B520*INT(AA520/B520)))/C520)/100))))</f>
        <v>0</v>
      </c>
      <c r="BM520" s="57">
        <f>IF(ISERROR(IF(B520=C520,AB520/C520,(INT(AB520/B520)+(((AB520-B520*INT(AB520/B520)))/C520)/100))),0,(IF(B520=C520,AB520/C520,(INT(AB520/B520)+(((AB520-B520*INT(AB520/B520)))/C520)/100))))</f>
        <v>0</v>
      </c>
      <c r="BN520" s="57">
        <f>IF(ISERROR(IF(B520=C520,AC520/C520,(INT(AC520/B520)+(((AC520-B520*INT(AC520/B520)))/C520)/100))),0,(IF(B520=C520,AC520/C520,(INT(AC520/B520)+(((AC520-B520*INT(AC520/B520)))/C520)/100))))</f>
        <v>0</v>
      </c>
      <c r="BO520" s="57">
        <f>IF(ISERROR(IF(B520=C520,AD520/C520,(INT(AD520/B520)+(((AD520-B520*INT(AD520/B520)))/C520)/100))),0,(IF(B520=C520,AD520/C520,(INT(AD520/B520)+(((AD520-B520*INT(AD520/B520)))/C520)/100))))</f>
        <v>0</v>
      </c>
      <c r="BQ520" s="155"/>
    </row>
    <row r="521" spans="1:69" hidden="1" x14ac:dyDescent="0.35">
      <c r="A521" s="94"/>
      <c r="B521" s="113">
        <v>0</v>
      </c>
      <c r="C521" s="113">
        <v>250</v>
      </c>
      <c r="D521" s="28">
        <f>SUM(AA521:AD521)</f>
        <v>0</v>
      </c>
      <c r="E521" s="113">
        <v>0</v>
      </c>
      <c r="F521" s="113">
        <v>0</v>
      </c>
      <c r="G521" s="28">
        <f>SUM(D521:F521)</f>
        <v>0</v>
      </c>
      <c r="H521" s="125">
        <v>0</v>
      </c>
      <c r="I521" s="113">
        <v>0</v>
      </c>
      <c r="J521" s="125">
        <v>0</v>
      </c>
      <c r="K521" s="113">
        <v>0</v>
      </c>
      <c r="L521" s="113">
        <v>0</v>
      </c>
      <c r="M521" s="113">
        <v>0</v>
      </c>
      <c r="N521" s="28">
        <f>G521-SUM(H521:M521)</f>
        <v>0</v>
      </c>
      <c r="O521" s="28">
        <f>SUM(V521:Y521)</f>
        <v>0</v>
      </c>
      <c r="P521" s="28">
        <f>O521-N521</f>
        <v>0</v>
      </c>
      <c r="Q521" s="61" t="str">
        <f>IF(ISERROR(P521/SUM(H521:L521)),"",P521/SUM(H521:L521))</f>
        <v/>
      </c>
      <c r="R521" s="113">
        <v>0</v>
      </c>
      <c r="S521" s="28">
        <f>IF(ISERROR(P521/C521*R521),0,(P521/C521*R521))</f>
        <v>0</v>
      </c>
      <c r="T521" s="60">
        <f>IF(ISERROR(P521/B521*AF521),0,(P521/B521*AF521))</f>
        <v>0</v>
      </c>
      <c r="V521" s="113">
        <v>0</v>
      </c>
      <c r="W521" s="113">
        <v>0</v>
      </c>
      <c r="X521" s="113">
        <v>0</v>
      </c>
      <c r="Y521" s="113">
        <v>0</v>
      </c>
      <c r="AA521" s="113">
        <v>0</v>
      </c>
      <c r="AB521" s="113">
        <v>0</v>
      </c>
      <c r="AC521" s="113">
        <v>0</v>
      </c>
      <c r="AD521" s="113">
        <v>0</v>
      </c>
      <c r="AF521" s="113">
        <v>0</v>
      </c>
      <c r="AG521" s="28">
        <f>G521-O521</f>
        <v>0</v>
      </c>
      <c r="AH521" s="58">
        <f>IF(ISERROR(AG521/B521*AF521),0,(AG521/B521*AF521))</f>
        <v>0</v>
      </c>
      <c r="AI521" s="28">
        <f>SUM(H521:M521)</f>
        <v>0</v>
      </c>
      <c r="AJ521" s="28">
        <f>IF(ISERROR(AI521/B521*AF521),0,(AI521/B521*AF521))</f>
        <v>0</v>
      </c>
      <c r="AK521" s="58">
        <f>IF(ISERROR(O521/B521*AF521),0,(O521/B521*AF521))</f>
        <v>0</v>
      </c>
      <c r="AL521" s="28">
        <f>IF(ISERROR(H521/B521*AF521),0,(H521/B521*AF521))</f>
        <v>0</v>
      </c>
      <c r="AN521" s="51">
        <f>A521</f>
        <v>0</v>
      </c>
      <c r="AO521" s="57">
        <f>IF(ISERROR(IF(B521=C521,D521/C521,(INT(D521/B521)+(((D521-B521*INT(D521/B521)))/C521)/100))),0,(IF(B521=C521,D521/C521,(INT(D521/B521)+(((D521-B521*INT(D521/B521)))/C521)/100))))</f>
        <v>0</v>
      </c>
      <c r="AP521" s="57">
        <f>IF(ISERROR(IF(B521=C521,E521/C521,(INT(E521/B521)+(((E521-B521*INT(E521/B521)))/C521)/100))),0,(IF(B521=C521,E521/C521,(INT(E521/B521)+(((E521-B521*INT(E521/B521)))/C521)/100))))</f>
        <v>0</v>
      </c>
      <c r="AQ521" s="57">
        <f>IF(ISERROR(IF(B521=C521,F521/C521,IF((INT(F521/B521)+(((F521-B521*INT(F521/B521)))/C521)/100)&lt;0,(INT(F521/B521)+(((F521-B521*INT(F521/B521)))/C521)/100)+(1-(B521/C521/100)),(INT(F521/B521)+(((F521-B521*INT(F521/B521)))/C521)/100)))),0,IF(B521=C521,F521/C521,IF((INT(F521/B521)+(((F521-B521*INT(F521/B521)))/C521)/100)&lt;0,(INT(F521/B521)+(((F521-B521*INT(F521/B521)))/C521)/100)+(1-(B521/C521/100)),(INT(F521/B521)+(((F521-B521*INT(F521/B521)))/C521)/100))))</f>
        <v>0</v>
      </c>
      <c r="AR521" s="57">
        <f>IF(ISERROR(IF(B521=C521,G521/C521,(INT(G521/B521)+(((G521-B521*INT(G521/B521)))/C521)/100))),0,(IF(B521=C521,G521/C521,(INT(G521/B521)+(((G521-B521*INT(G521/B521)))/C521)/100))))</f>
        <v>0</v>
      </c>
      <c r="AS521" s="57">
        <f>IF(ISERROR(IF(B521=C521,H521/C521,(INT(H521/B521)+(((H521-B521*INT(H521/B521)))/C521)/100))),0,(IF(B521=C521,H521/C521,(INT(H521/B521)+(((H521-B521*INT(H521/B521)))/C521)/100))))</f>
        <v>0</v>
      </c>
      <c r="AT521" s="57">
        <f>IF(ISERROR(IF(B521=C521,I521/C521,(INT(I521/B521)+(((I521-B521*INT(I521/B521)))/C521)/100))),0,(IF(B521=C521,I521/C521,(INT(I521/B521)+(((I521-B521*INT(I521/B521)))/C521)/100))))</f>
        <v>0</v>
      </c>
      <c r="AU521" s="57">
        <f>IF(ISERROR(IF(B521=C521,J521/C521,(INT(J521/B521)+(((J521-B521*INT(J521/B521)))/C521)/100))),0,(IF(B521=C521,J521/C521,(INT(J521/B521)+(((J521-B521*INT(J521/B521)))/C521)/100))))</f>
        <v>0</v>
      </c>
      <c r="AV521" s="57">
        <f>IF(ISERROR(IF(B521=C521,K521/C521,IF((INT(K521/B521)+(((K521-B521*INT(K521/B521)))/C521)/100)&lt;0,(INT(K521/B521)+(((K521-B521*INT(K521/B521)))/C521)/100)+(1-(B521/C521/100)),(INT(K521/B521)+(((K521-B521*INT(K521/B521)))/C521)/100)))),0,IF(B521=C521,K521/C521,IF((INT(K521/B521)+(((K521-B521*INT(K521/B521)))/C521)/100)&lt;0,(INT(K521/B521)+(((K521-B521*INT(K521/B521)))/C521)/100)+(1-(B521/C521/100)),(INT(K521/B521)+(((K521-B521*INT(K521/B521)))/C521)/100))))</f>
        <v>0</v>
      </c>
      <c r="AW521" s="57">
        <f>IF(ISERROR(IF(B521=C521,L521/C521,(INT(L521/B521)+(((L521-B521*INT(L521/B521)))/C521)/100))),0,(IF(B521=C521,L521/C521,(INT(L521/B521)+(((L521-B521*INT(L521/B521)))/C521)/100))))</f>
        <v>0</v>
      </c>
      <c r="AX521" s="57">
        <f>IF(ISERROR(IF(B521=C521,M521/C521,(INT(M521/B521)+(((M521-B521*INT(M521/B521)))/C521)/100))),0,(IF(B521=C521,M521/C521,(INT(M521/B521)+(((M521-B521*INT(M521/B521)))/C521)/100))))</f>
        <v>0</v>
      </c>
      <c r="AY521" s="57">
        <f>IF(ISERROR(IF(B521=C521,N521/C521,IF((INT(N521/B521)+(((N521-B521*INT(N521/B521)))/C521)/100)&lt;0,(INT(N521/B521)+(((N521-B521*INT(N521/B521)))/C521)/100)+(1-(B521/C521/100)),(INT(N521/B521)+(((N521-B521*INT(N521/B521)))/C521)/100)))),0,IF(B521=C521,N521/C521,IF((INT(N521/B521)+(((N521-B521*INT(N521/B521)))/C521)/100)&lt;0,(INT(N521/B521)+(((N521-B521*INT(N521/B521)))/C521)/100)+(1-(B521/C521/100)),(INT(N521/B521)+(((N521-B521*INT(N521/B521)))/C521)/100))))</f>
        <v>0</v>
      </c>
      <c r="AZ521" s="57">
        <f>IF(ISERROR(IF(B521=C521,O521/C521,(INT(O521/B521)+(((O521-B521*INT(O521/B521)))/C521)/100))),0,(IF(B521=C521,O521/C521,(INT(O521/B521)+(((O521-B521*INT(O521/B521)))/C521)/100))))</f>
        <v>0</v>
      </c>
      <c r="BA521" s="57">
        <f>IF(ISERROR(IF(B521=C521,P521/C521,IF((INT(P521/B521)+(((P521-B521*INT(P521/B521)))/C521)/100)&lt;0,(INT(P521/B521)+(((P521-B521*INT(P521/B521)))/C521)/100)+(1-(B521/C521/100)),(INT(P521/B521)+(((P521-B521*INT(P521/B521)))/C521)/100)))),0,IF(B521=C521,P521/C521,IF((INT(P521/B521)+(((P521-B521*INT(P521/B521)))/C521)/100)&lt;0,(INT(P521/B521)+(((P521-B521*INT(P521/B521)))/C521)/100)+(1-(B521/C521/100)),(INT(P521/B521)+(((P521-B521*INT(P521/B521)))/C521)/100))))</f>
        <v>0</v>
      </c>
      <c r="BB521" s="28">
        <f>R521</f>
        <v>0</v>
      </c>
      <c r="BC521" s="28">
        <f>S521</f>
        <v>0</v>
      </c>
      <c r="BD521" s="28">
        <f>AF521</f>
        <v>0</v>
      </c>
      <c r="BE521" s="28">
        <f>T521</f>
        <v>0</v>
      </c>
      <c r="BG521" s="57">
        <f>IF(ISERROR(IF(B521=C521,V521/C521,(INT(V521/B521)+(((V521-B521*INT(V521/B521)))/C521)/100))),0,(IF(B521=C521,V521/C521,(INT(V521/B521)+(((V521-B521*INT(V521/B521)))/C521)/100))))</f>
        <v>0</v>
      </c>
      <c r="BH521" s="57">
        <f>IF(ISERROR(IF(B521=C521,W521/C521,(INT(W521/B521)+(((W521-B521*INT(W521/B521)))/C521)/100))),0,(IF(B521=C521,W521/C521,(INT(W521/B521)+(((W521-B521*INT(W521/B521)))/C521)/100))))</f>
        <v>0</v>
      </c>
      <c r="BI521" s="57">
        <f>IF(ISERROR(IF(B521=C521,X521/C521,(INT(X521/B521)+(((X521-B521*INT(X521/B521)))/C521)/100))),0,(IF(B521=C521,X521/C521,(INT(X521/B521)+(((X521-B521*INT(X521/B521)))/C521)/100))))</f>
        <v>0</v>
      </c>
      <c r="BJ521" s="57">
        <f>IF(ISERROR(IF(B521=C521,Y521/C521,(INT(Y521/B521)+(((Y521-B521*INT(Y521/B521)))/C521)/100))),0,(IF(B521=C521,Y521/C521,(INT(Y521/B521)+(((Y521-B521*INT(Y521/B521)))/C521)/100))))</f>
        <v>0</v>
      </c>
      <c r="BL521" s="57">
        <f>IF(ISERROR(IF(B521=C521,AA521/C521,(INT(AA521/B521)+(((AA521-B521*INT(AA521/B521)))/C521)/100))),0,(IF(B521=C521,AA521/C521,(INT(AA521/B521)+(((AA521-B521*INT(AA521/B521)))/C521)/100))))</f>
        <v>0</v>
      </c>
      <c r="BM521" s="57">
        <f>IF(ISERROR(IF(B521=C521,AB521/C521,(INT(AB521/B521)+(((AB521-B521*INT(AB521/B521)))/C521)/100))),0,(IF(B521=C521,AB521/C521,(INT(AB521/B521)+(((AB521-B521*INT(AB521/B521)))/C521)/100))))</f>
        <v>0</v>
      </c>
      <c r="BN521" s="57">
        <f>IF(ISERROR(IF(B521=C521,AC521/C521,(INT(AC521/B521)+(((AC521-B521*INT(AC521/B521)))/C521)/100))),0,(IF(B521=C521,AC521/C521,(INT(AC521/B521)+(((AC521-B521*INT(AC521/B521)))/C521)/100))))</f>
        <v>0</v>
      </c>
      <c r="BO521" s="57">
        <f>IF(ISERROR(IF(B521=C521,AD521/C521,(INT(AD521/B521)+(((AD521-B521*INT(AD521/B521)))/C521)/100))),0,(IF(B521=C521,AD521/C521,(INT(AD521/B521)+(((AD521-B521*INT(AD521/B521)))/C521)/100))))</f>
        <v>0</v>
      </c>
      <c r="BQ521" s="155"/>
    </row>
    <row r="522" spans="1:69" hidden="1" x14ac:dyDescent="0.35">
      <c r="A522" s="94"/>
      <c r="B522" s="113">
        <v>0</v>
      </c>
      <c r="C522" s="113">
        <v>250</v>
      </c>
      <c r="D522" s="28">
        <f>SUM(AA522:AD522)</f>
        <v>0</v>
      </c>
      <c r="E522" s="113">
        <v>0</v>
      </c>
      <c r="F522" s="113">
        <v>0</v>
      </c>
      <c r="G522" s="28">
        <f>SUM(D522:F522)</f>
        <v>0</v>
      </c>
      <c r="H522" s="125">
        <v>0</v>
      </c>
      <c r="I522" s="113">
        <v>0</v>
      </c>
      <c r="J522" s="125">
        <v>0</v>
      </c>
      <c r="K522" s="113">
        <v>0</v>
      </c>
      <c r="L522" s="113">
        <v>0</v>
      </c>
      <c r="M522" s="113">
        <v>0</v>
      </c>
      <c r="N522" s="28">
        <f>G522-SUM(H522:M522)</f>
        <v>0</v>
      </c>
      <c r="O522" s="28">
        <f>SUM(V522:Y522)</f>
        <v>0</v>
      </c>
      <c r="P522" s="28">
        <f>O522-N522</f>
        <v>0</v>
      </c>
      <c r="Q522" s="61" t="str">
        <f>IF(ISERROR(P522/SUM(H522:L522)),"",P522/SUM(H522:L522))</f>
        <v/>
      </c>
      <c r="R522" s="113">
        <v>0</v>
      </c>
      <c r="S522" s="28">
        <f>IF(ISERROR(P522/C522*R522),0,(P522/C522*R522))</f>
        <v>0</v>
      </c>
      <c r="T522" s="60">
        <f>IF(ISERROR(P522/B522*AF522),0,(P522/B522*AF522))</f>
        <v>0</v>
      </c>
      <c r="V522" s="113">
        <v>0</v>
      </c>
      <c r="W522" s="113">
        <v>0</v>
      </c>
      <c r="X522" s="113">
        <v>0</v>
      </c>
      <c r="Y522" s="113">
        <v>0</v>
      </c>
      <c r="AA522" s="113">
        <v>0</v>
      </c>
      <c r="AB522" s="113">
        <v>0</v>
      </c>
      <c r="AC522" s="113">
        <v>0</v>
      </c>
      <c r="AD522" s="113">
        <v>0</v>
      </c>
      <c r="AF522" s="113">
        <v>0</v>
      </c>
      <c r="AG522" s="28">
        <f>G522-O522</f>
        <v>0</v>
      </c>
      <c r="AH522" s="58">
        <f>IF(ISERROR(AG522/B522*AF522),0,(AG522/B522*AF522))</f>
        <v>0</v>
      </c>
      <c r="AI522" s="28">
        <f>SUM(H522:M522)</f>
        <v>0</v>
      </c>
      <c r="AJ522" s="28">
        <f>IF(ISERROR(AI522/B522*AF522),0,(AI522/B522*AF522))</f>
        <v>0</v>
      </c>
      <c r="AK522" s="58">
        <f>IF(ISERROR(O522/B522*AF522),0,(O522/B522*AF522))</f>
        <v>0</v>
      </c>
      <c r="AL522" s="28">
        <f>IF(ISERROR(H522/B522*AF522),0,(H522/B522*AF522))</f>
        <v>0</v>
      </c>
      <c r="AN522" s="51">
        <f>A522</f>
        <v>0</v>
      </c>
      <c r="AO522" s="57">
        <f>IF(ISERROR(IF(B522=C522,D522/C522,(INT(D522/B522)+(((D522-B522*INT(D522/B522)))/C522)/100))),0,(IF(B522=C522,D522/C522,(INT(D522/B522)+(((D522-B522*INT(D522/B522)))/C522)/100))))</f>
        <v>0</v>
      </c>
      <c r="AP522" s="57">
        <f>IF(ISERROR(IF(B522=C522,E522/C522,(INT(E522/B522)+(((E522-B522*INT(E522/B522)))/C522)/100))),0,(IF(B522=C522,E522/C522,(INT(E522/B522)+(((E522-B522*INT(E522/B522)))/C522)/100))))</f>
        <v>0</v>
      </c>
      <c r="AQ522" s="57">
        <f>IF(ISERROR(IF(B522=C522,F522/C522,IF((INT(F522/B522)+(((F522-B522*INT(F522/B522)))/C522)/100)&lt;0,(INT(F522/B522)+(((F522-B522*INT(F522/B522)))/C522)/100)+(1-(B522/C522/100)),(INT(F522/B522)+(((F522-B522*INT(F522/B522)))/C522)/100)))),0,IF(B522=C522,F522/C522,IF((INT(F522/B522)+(((F522-B522*INT(F522/B522)))/C522)/100)&lt;0,(INT(F522/B522)+(((F522-B522*INT(F522/B522)))/C522)/100)+(1-(B522/C522/100)),(INT(F522/B522)+(((F522-B522*INT(F522/B522)))/C522)/100))))</f>
        <v>0</v>
      </c>
      <c r="AR522" s="57">
        <f>IF(ISERROR(IF(B522=C522,G522/C522,(INT(G522/B522)+(((G522-B522*INT(G522/B522)))/C522)/100))),0,(IF(B522=C522,G522/C522,(INT(G522/B522)+(((G522-B522*INT(G522/B522)))/C522)/100))))</f>
        <v>0</v>
      </c>
      <c r="AS522" s="57">
        <f>IF(ISERROR(IF(B522=C522,H522/C522,(INT(H522/B522)+(((H522-B522*INT(H522/B522)))/C522)/100))),0,(IF(B522=C522,H522/C522,(INT(H522/B522)+(((H522-B522*INT(H522/B522)))/C522)/100))))</f>
        <v>0</v>
      </c>
      <c r="AT522" s="57">
        <f>IF(ISERROR(IF(B522=C522,I522/C522,(INT(I522/B522)+(((I522-B522*INT(I522/B522)))/C522)/100))),0,(IF(B522=C522,I522/C522,(INT(I522/B522)+(((I522-B522*INT(I522/B522)))/C522)/100))))</f>
        <v>0</v>
      </c>
      <c r="AU522" s="57">
        <f>IF(ISERROR(IF(B522=C522,J522/C522,(INT(J522/B522)+(((J522-B522*INT(J522/B522)))/C522)/100))),0,(IF(B522=C522,J522/C522,(INT(J522/B522)+(((J522-B522*INT(J522/B522)))/C522)/100))))</f>
        <v>0</v>
      </c>
      <c r="AV522" s="57">
        <f>IF(ISERROR(IF(B522=C522,K522/C522,IF((INT(K522/B522)+(((K522-B522*INT(K522/B522)))/C522)/100)&lt;0,(INT(K522/B522)+(((K522-B522*INT(K522/B522)))/C522)/100)+(1-(B522/C522/100)),(INT(K522/B522)+(((K522-B522*INT(K522/B522)))/C522)/100)))),0,IF(B522=C522,K522/C522,IF((INT(K522/B522)+(((K522-B522*INT(K522/B522)))/C522)/100)&lt;0,(INT(K522/B522)+(((K522-B522*INT(K522/B522)))/C522)/100)+(1-(B522/C522/100)),(INT(K522/B522)+(((K522-B522*INT(K522/B522)))/C522)/100))))</f>
        <v>0</v>
      </c>
      <c r="AW522" s="57">
        <f>IF(ISERROR(IF(B522=C522,L522/C522,(INT(L522/B522)+(((L522-B522*INT(L522/B522)))/C522)/100))),0,(IF(B522=C522,L522/C522,(INT(L522/B522)+(((L522-B522*INT(L522/B522)))/C522)/100))))</f>
        <v>0</v>
      </c>
      <c r="AX522" s="57">
        <f>IF(ISERROR(IF(B522=C522,M522/C522,(INT(M522/B522)+(((M522-B522*INT(M522/B522)))/C522)/100))),0,(IF(B522=C522,M522/C522,(INT(M522/B522)+(((M522-B522*INT(M522/B522)))/C522)/100))))</f>
        <v>0</v>
      </c>
      <c r="AY522" s="57">
        <f>IF(ISERROR(IF(B522=C522,N522/C522,IF((INT(N522/B522)+(((N522-B522*INT(N522/B522)))/C522)/100)&lt;0,(INT(N522/B522)+(((N522-B522*INT(N522/B522)))/C522)/100)+(1-(B522/C522/100)),(INT(N522/B522)+(((N522-B522*INT(N522/B522)))/C522)/100)))),0,IF(B522=C522,N522/C522,IF((INT(N522/B522)+(((N522-B522*INT(N522/B522)))/C522)/100)&lt;0,(INT(N522/B522)+(((N522-B522*INT(N522/B522)))/C522)/100)+(1-(B522/C522/100)),(INT(N522/B522)+(((N522-B522*INT(N522/B522)))/C522)/100))))</f>
        <v>0</v>
      </c>
      <c r="AZ522" s="57">
        <f>IF(ISERROR(IF(B522=C522,O522/C522,(INT(O522/B522)+(((O522-B522*INT(O522/B522)))/C522)/100))),0,(IF(B522=C522,O522/C522,(INT(O522/B522)+(((O522-B522*INT(O522/B522)))/C522)/100))))</f>
        <v>0</v>
      </c>
      <c r="BA522" s="57">
        <f>IF(ISERROR(IF(B522=C522,P522/C522,IF((INT(P522/B522)+(((P522-B522*INT(P522/B522)))/C522)/100)&lt;0,(INT(P522/B522)+(((P522-B522*INT(P522/B522)))/C522)/100)+(1-(B522/C522/100)),(INT(P522/B522)+(((P522-B522*INT(P522/B522)))/C522)/100)))),0,IF(B522=C522,P522/C522,IF((INT(P522/B522)+(((P522-B522*INT(P522/B522)))/C522)/100)&lt;0,(INT(P522/B522)+(((P522-B522*INT(P522/B522)))/C522)/100)+(1-(B522/C522/100)),(INT(P522/B522)+(((P522-B522*INT(P522/B522)))/C522)/100))))</f>
        <v>0</v>
      </c>
      <c r="BB522" s="28">
        <f>R522</f>
        <v>0</v>
      </c>
      <c r="BC522" s="28">
        <f>S522</f>
        <v>0</v>
      </c>
      <c r="BD522" s="28">
        <f>AF522</f>
        <v>0</v>
      </c>
      <c r="BE522" s="28">
        <f>T522</f>
        <v>0</v>
      </c>
      <c r="BG522" s="57">
        <f>IF(ISERROR(IF(B522=C522,V522/C522,(INT(V522/B522)+(((V522-B522*INT(V522/B522)))/C522)/100))),0,(IF(B522=C522,V522/C522,(INT(V522/B522)+(((V522-B522*INT(V522/B522)))/C522)/100))))</f>
        <v>0</v>
      </c>
      <c r="BH522" s="57">
        <f>IF(ISERROR(IF(B522=C522,W522/C522,(INT(W522/B522)+(((W522-B522*INT(W522/B522)))/C522)/100))),0,(IF(B522=C522,W522/C522,(INT(W522/B522)+(((W522-B522*INT(W522/B522)))/C522)/100))))</f>
        <v>0</v>
      </c>
      <c r="BI522" s="57">
        <f>IF(ISERROR(IF(B522=C522,X522/C522,(INT(X522/B522)+(((X522-B522*INT(X522/B522)))/C522)/100))),0,(IF(B522=C522,X522/C522,(INT(X522/B522)+(((X522-B522*INT(X522/B522)))/C522)/100))))</f>
        <v>0</v>
      </c>
      <c r="BJ522" s="57">
        <f>IF(ISERROR(IF(B522=C522,Y522/C522,(INT(Y522/B522)+(((Y522-B522*INT(Y522/B522)))/C522)/100))),0,(IF(B522=C522,Y522/C522,(INT(Y522/B522)+(((Y522-B522*INT(Y522/B522)))/C522)/100))))</f>
        <v>0</v>
      </c>
      <c r="BL522" s="57">
        <f>IF(ISERROR(IF(B522=C522,AA522/C522,(INT(AA522/B522)+(((AA522-B522*INT(AA522/B522)))/C522)/100))),0,(IF(B522=C522,AA522/C522,(INT(AA522/B522)+(((AA522-B522*INT(AA522/B522)))/C522)/100))))</f>
        <v>0</v>
      </c>
      <c r="BM522" s="57">
        <f>IF(ISERROR(IF(B522=C522,AB522/C522,(INT(AB522/B522)+(((AB522-B522*INT(AB522/B522)))/C522)/100))),0,(IF(B522=C522,AB522/C522,(INT(AB522/B522)+(((AB522-B522*INT(AB522/B522)))/C522)/100))))</f>
        <v>0</v>
      </c>
      <c r="BN522" s="57">
        <f>IF(ISERROR(IF(B522=C522,AC522/C522,(INT(AC522/B522)+(((AC522-B522*INT(AC522/B522)))/C522)/100))),0,(IF(B522=C522,AC522/C522,(INT(AC522/B522)+(((AC522-B522*INT(AC522/B522)))/C522)/100))))</f>
        <v>0</v>
      </c>
      <c r="BO522" s="57">
        <f>IF(ISERROR(IF(B522=C522,AD522/C522,(INT(AD522/B522)+(((AD522-B522*INT(AD522/B522)))/C522)/100))),0,(IF(B522=C522,AD522/C522,(INT(AD522/B522)+(((AD522-B522*INT(AD522/B522)))/C522)/100))))</f>
        <v>0</v>
      </c>
      <c r="BQ522" s="155"/>
    </row>
    <row r="523" spans="1:69" hidden="1" x14ac:dyDescent="0.35">
      <c r="A523" s="94"/>
      <c r="B523" s="113">
        <v>0</v>
      </c>
      <c r="C523" s="113">
        <v>250</v>
      </c>
      <c r="D523" s="28">
        <f>SUM(AA523:AD523)</f>
        <v>0</v>
      </c>
      <c r="E523" s="113">
        <v>0</v>
      </c>
      <c r="F523" s="113">
        <v>0</v>
      </c>
      <c r="G523" s="28">
        <f>SUM(D523:F523)</f>
        <v>0</v>
      </c>
      <c r="H523" s="125">
        <v>0</v>
      </c>
      <c r="I523" s="113">
        <v>0</v>
      </c>
      <c r="J523" s="125">
        <v>0</v>
      </c>
      <c r="K523" s="113">
        <v>0</v>
      </c>
      <c r="L523" s="113">
        <v>0</v>
      </c>
      <c r="M523" s="113">
        <v>0</v>
      </c>
      <c r="N523" s="28">
        <f>G523-SUM(H523:M523)</f>
        <v>0</v>
      </c>
      <c r="O523" s="28">
        <f>SUM(V523:Y523)</f>
        <v>0</v>
      </c>
      <c r="P523" s="28">
        <f>O523-N523</f>
        <v>0</v>
      </c>
      <c r="Q523" s="61" t="str">
        <f>IF(ISERROR(P523/SUM(H523:L523)),"",P523/SUM(H523:L523))</f>
        <v/>
      </c>
      <c r="R523" s="113">
        <v>0</v>
      </c>
      <c r="S523" s="28">
        <f>IF(ISERROR(P523/C523*R523),0,(P523/C523*R523))</f>
        <v>0</v>
      </c>
      <c r="T523" s="60">
        <f>IF(ISERROR(P523/B523*AF523),0,(P523/B523*AF523))</f>
        <v>0</v>
      </c>
      <c r="V523" s="113">
        <v>0</v>
      </c>
      <c r="W523" s="113">
        <v>0</v>
      </c>
      <c r="X523" s="113">
        <v>0</v>
      </c>
      <c r="Y523" s="113">
        <v>0</v>
      </c>
      <c r="AA523" s="113">
        <v>0</v>
      </c>
      <c r="AB523" s="113">
        <v>0</v>
      </c>
      <c r="AC523" s="113">
        <v>0</v>
      </c>
      <c r="AD523" s="113">
        <v>0</v>
      </c>
      <c r="AF523" s="113">
        <v>0</v>
      </c>
      <c r="AG523" s="28">
        <f>G523-O523</f>
        <v>0</v>
      </c>
      <c r="AH523" s="58">
        <f>IF(ISERROR(AG523/B523*AF523),0,(AG523/B523*AF523))</f>
        <v>0</v>
      </c>
      <c r="AI523" s="28">
        <f>SUM(H523:M523)</f>
        <v>0</v>
      </c>
      <c r="AJ523" s="28">
        <f>IF(ISERROR(AI523/B523*AF523),0,(AI523/B523*AF523))</f>
        <v>0</v>
      </c>
      <c r="AK523" s="58">
        <f>IF(ISERROR(O523/B523*AF523),0,(O523/B523*AF523))</f>
        <v>0</v>
      </c>
      <c r="AL523" s="28">
        <f>IF(ISERROR(H523/B523*AF523),0,(H523/B523*AF523))</f>
        <v>0</v>
      </c>
      <c r="AN523" s="51">
        <f>A523</f>
        <v>0</v>
      </c>
      <c r="AO523" s="57">
        <f>IF(ISERROR(IF(B523=C523,D523/C523,(INT(D523/B523)+(((D523-B523*INT(D523/B523)))/C523)/100))),0,(IF(B523=C523,D523/C523,(INT(D523/B523)+(((D523-B523*INT(D523/B523)))/C523)/100))))</f>
        <v>0</v>
      </c>
      <c r="AP523" s="57">
        <f>IF(ISERROR(IF(B523=C523,E523/C523,(INT(E523/B523)+(((E523-B523*INT(E523/B523)))/C523)/100))),0,(IF(B523=C523,E523/C523,(INT(E523/B523)+(((E523-B523*INT(E523/B523)))/C523)/100))))</f>
        <v>0</v>
      </c>
      <c r="AQ523" s="57">
        <f>IF(ISERROR(IF(B523=C523,F523/C523,IF((INT(F523/B523)+(((F523-B523*INT(F523/B523)))/C523)/100)&lt;0,(INT(F523/B523)+(((F523-B523*INT(F523/B523)))/C523)/100)+(1-(B523/C523/100)),(INT(F523/B523)+(((F523-B523*INT(F523/B523)))/C523)/100)))),0,IF(B523=C523,F523/C523,IF((INT(F523/B523)+(((F523-B523*INT(F523/B523)))/C523)/100)&lt;0,(INT(F523/B523)+(((F523-B523*INT(F523/B523)))/C523)/100)+(1-(B523/C523/100)),(INT(F523/B523)+(((F523-B523*INT(F523/B523)))/C523)/100))))</f>
        <v>0</v>
      </c>
      <c r="AR523" s="57">
        <f>IF(ISERROR(IF(B523=C523,G523/C523,(INT(G523/B523)+(((G523-B523*INT(G523/B523)))/C523)/100))),0,(IF(B523=C523,G523/C523,(INT(G523/B523)+(((G523-B523*INT(G523/B523)))/C523)/100))))</f>
        <v>0</v>
      </c>
      <c r="AS523" s="57">
        <f>IF(ISERROR(IF(B523=C523,H523/C523,(INT(H523/B523)+(((H523-B523*INT(H523/B523)))/C523)/100))),0,(IF(B523=C523,H523/C523,(INT(H523/B523)+(((H523-B523*INT(H523/B523)))/C523)/100))))</f>
        <v>0</v>
      </c>
      <c r="AT523" s="57">
        <f>IF(ISERROR(IF(B523=C523,I523/C523,(INT(I523/B523)+(((I523-B523*INT(I523/B523)))/C523)/100))),0,(IF(B523=C523,I523/C523,(INT(I523/B523)+(((I523-B523*INT(I523/B523)))/C523)/100))))</f>
        <v>0</v>
      </c>
      <c r="AU523" s="57">
        <f>IF(ISERROR(IF(B523=C523,J523/C523,(INT(J523/B523)+(((J523-B523*INT(J523/B523)))/C523)/100))),0,(IF(B523=C523,J523/C523,(INT(J523/B523)+(((J523-B523*INT(J523/B523)))/C523)/100))))</f>
        <v>0</v>
      </c>
      <c r="AV523" s="57">
        <f>IF(ISERROR(IF(B523=C523,K523/C523,IF((INT(K523/B523)+(((K523-B523*INT(K523/B523)))/C523)/100)&lt;0,(INT(K523/B523)+(((K523-B523*INT(K523/B523)))/C523)/100)+(1-(B523/C523/100)),(INT(K523/B523)+(((K523-B523*INT(K523/B523)))/C523)/100)))),0,IF(B523=C523,K523/C523,IF((INT(K523/B523)+(((K523-B523*INT(K523/B523)))/C523)/100)&lt;0,(INT(K523/B523)+(((K523-B523*INT(K523/B523)))/C523)/100)+(1-(B523/C523/100)),(INT(K523/B523)+(((K523-B523*INT(K523/B523)))/C523)/100))))</f>
        <v>0</v>
      </c>
      <c r="AW523" s="57">
        <f>IF(ISERROR(IF(B523=C523,L523/C523,(INT(L523/B523)+(((L523-B523*INT(L523/B523)))/C523)/100))),0,(IF(B523=C523,L523/C523,(INT(L523/B523)+(((L523-B523*INT(L523/B523)))/C523)/100))))</f>
        <v>0</v>
      </c>
      <c r="AX523" s="57">
        <f>IF(ISERROR(IF(B523=C523,M523/C523,(INT(M523/B523)+(((M523-B523*INT(M523/B523)))/C523)/100))),0,(IF(B523=C523,M523/C523,(INT(M523/B523)+(((M523-B523*INT(M523/B523)))/C523)/100))))</f>
        <v>0</v>
      </c>
      <c r="AY523" s="57">
        <f>IF(ISERROR(IF(B523=C523,N523/C523,IF((INT(N523/B523)+(((N523-B523*INT(N523/B523)))/C523)/100)&lt;0,(INT(N523/B523)+(((N523-B523*INT(N523/B523)))/C523)/100)+(1-(B523/C523/100)),(INT(N523/B523)+(((N523-B523*INT(N523/B523)))/C523)/100)))),0,IF(B523=C523,N523/C523,IF((INT(N523/B523)+(((N523-B523*INT(N523/B523)))/C523)/100)&lt;0,(INT(N523/B523)+(((N523-B523*INT(N523/B523)))/C523)/100)+(1-(B523/C523/100)),(INT(N523/B523)+(((N523-B523*INT(N523/B523)))/C523)/100))))</f>
        <v>0</v>
      </c>
      <c r="AZ523" s="57">
        <f>IF(ISERROR(IF(B523=C523,O523/C523,(INT(O523/B523)+(((O523-B523*INT(O523/B523)))/C523)/100))),0,(IF(B523=C523,O523/C523,(INT(O523/B523)+(((O523-B523*INT(O523/B523)))/C523)/100))))</f>
        <v>0</v>
      </c>
      <c r="BA523" s="57">
        <f>IF(ISERROR(IF(B523=C523,P523/C523,IF((INT(P523/B523)+(((P523-B523*INT(P523/B523)))/C523)/100)&lt;0,(INT(P523/B523)+(((P523-B523*INT(P523/B523)))/C523)/100)+(1-(B523/C523/100)),(INT(P523/B523)+(((P523-B523*INT(P523/B523)))/C523)/100)))),0,IF(B523=C523,P523/C523,IF((INT(P523/B523)+(((P523-B523*INT(P523/B523)))/C523)/100)&lt;0,(INT(P523/B523)+(((P523-B523*INT(P523/B523)))/C523)/100)+(1-(B523/C523/100)),(INT(P523/B523)+(((P523-B523*INT(P523/B523)))/C523)/100))))</f>
        <v>0</v>
      </c>
      <c r="BB523" s="28">
        <f>R523</f>
        <v>0</v>
      </c>
      <c r="BC523" s="28">
        <f>S523</f>
        <v>0</v>
      </c>
      <c r="BD523" s="28">
        <f>AF523</f>
        <v>0</v>
      </c>
      <c r="BE523" s="28">
        <f>T523</f>
        <v>0</v>
      </c>
      <c r="BG523" s="57">
        <f>IF(ISERROR(IF(B523=C523,V523/C523,(INT(V523/B523)+(((V523-B523*INT(V523/B523)))/C523)/100))),0,(IF(B523=C523,V523/C523,(INT(V523/B523)+(((V523-B523*INT(V523/B523)))/C523)/100))))</f>
        <v>0</v>
      </c>
      <c r="BH523" s="57">
        <f>IF(ISERROR(IF(B523=C523,W523/C523,(INT(W523/B523)+(((W523-B523*INT(W523/B523)))/C523)/100))),0,(IF(B523=C523,W523/C523,(INT(W523/B523)+(((W523-B523*INT(W523/B523)))/C523)/100))))</f>
        <v>0</v>
      </c>
      <c r="BI523" s="57">
        <f>IF(ISERROR(IF(B523=C523,X523/C523,(INT(X523/B523)+(((X523-B523*INT(X523/B523)))/C523)/100))),0,(IF(B523=C523,X523/C523,(INT(X523/B523)+(((X523-B523*INT(X523/B523)))/C523)/100))))</f>
        <v>0</v>
      </c>
      <c r="BJ523" s="57">
        <f>IF(ISERROR(IF(B523=C523,Y523/C523,(INT(Y523/B523)+(((Y523-B523*INT(Y523/B523)))/C523)/100))),0,(IF(B523=C523,Y523/C523,(INT(Y523/B523)+(((Y523-B523*INT(Y523/B523)))/C523)/100))))</f>
        <v>0</v>
      </c>
      <c r="BL523" s="57">
        <f>IF(ISERROR(IF(B523=C523,AA523/C523,(INT(AA523/B523)+(((AA523-B523*INT(AA523/B523)))/C523)/100))),0,(IF(B523=C523,AA523/C523,(INT(AA523/B523)+(((AA523-B523*INT(AA523/B523)))/C523)/100))))</f>
        <v>0</v>
      </c>
      <c r="BM523" s="57">
        <f>IF(ISERROR(IF(B523=C523,AB523/C523,(INT(AB523/B523)+(((AB523-B523*INT(AB523/B523)))/C523)/100))),0,(IF(B523=C523,AB523/C523,(INT(AB523/B523)+(((AB523-B523*INT(AB523/B523)))/C523)/100))))</f>
        <v>0</v>
      </c>
      <c r="BN523" s="57">
        <f>IF(ISERROR(IF(B523=C523,AC523/C523,(INT(AC523/B523)+(((AC523-B523*INT(AC523/B523)))/C523)/100))),0,(IF(B523=C523,AC523/C523,(INT(AC523/B523)+(((AC523-B523*INT(AC523/B523)))/C523)/100))))</f>
        <v>0</v>
      </c>
      <c r="BO523" s="57">
        <f>IF(ISERROR(IF(B523=C523,AD523/C523,(INT(AD523/B523)+(((AD523-B523*INT(AD523/B523)))/C523)/100))),0,(IF(B523=C523,AD523/C523,(INT(AD523/B523)+(((AD523-B523*INT(AD523/B523)))/C523)/100))))</f>
        <v>0</v>
      </c>
      <c r="BQ523" s="155"/>
    </row>
    <row r="524" spans="1:69" hidden="1" x14ac:dyDescent="0.35">
      <c r="A524" s="94"/>
      <c r="B524" s="113">
        <v>0</v>
      </c>
      <c r="C524" s="113">
        <v>250</v>
      </c>
      <c r="D524" s="28">
        <f>SUM(AA524:AD524)</f>
        <v>0</v>
      </c>
      <c r="E524" s="113">
        <v>0</v>
      </c>
      <c r="F524" s="113">
        <v>0</v>
      </c>
      <c r="G524" s="28">
        <f>SUM(D524:F524)</f>
        <v>0</v>
      </c>
      <c r="H524" s="125">
        <v>0</v>
      </c>
      <c r="I524" s="113">
        <v>0</v>
      </c>
      <c r="J524" s="125">
        <v>0</v>
      </c>
      <c r="K524" s="113">
        <v>0</v>
      </c>
      <c r="L524" s="113">
        <v>0</v>
      </c>
      <c r="M524" s="113">
        <v>0</v>
      </c>
      <c r="N524" s="28">
        <f>G524-SUM(H524:M524)</f>
        <v>0</v>
      </c>
      <c r="O524" s="28">
        <f>SUM(V524:Y524)</f>
        <v>0</v>
      </c>
      <c r="P524" s="28">
        <f>O524-N524</f>
        <v>0</v>
      </c>
      <c r="Q524" s="61" t="str">
        <f>IF(ISERROR(P524/SUM(H524:L524)),"",P524/SUM(H524:L524))</f>
        <v/>
      </c>
      <c r="R524" s="113">
        <v>0</v>
      </c>
      <c r="S524" s="28">
        <f>IF(ISERROR(P524/C524*R524),0,(P524/C524*R524))</f>
        <v>0</v>
      </c>
      <c r="T524" s="60">
        <f>IF(ISERROR(P524/B524*AF524),0,(P524/B524*AF524))</f>
        <v>0</v>
      </c>
      <c r="V524" s="113">
        <v>0</v>
      </c>
      <c r="W524" s="113">
        <v>0</v>
      </c>
      <c r="X524" s="113">
        <v>0</v>
      </c>
      <c r="Y524" s="113">
        <v>0</v>
      </c>
      <c r="AA524" s="113">
        <v>0</v>
      </c>
      <c r="AB524" s="113">
        <v>0</v>
      </c>
      <c r="AC524" s="113">
        <v>0</v>
      </c>
      <c r="AD524" s="113">
        <v>0</v>
      </c>
      <c r="AF524" s="113">
        <v>0</v>
      </c>
      <c r="AG524" s="28">
        <f>G524-O524</f>
        <v>0</v>
      </c>
      <c r="AH524" s="58">
        <f>IF(ISERROR(AG524/B524*AF524),0,(AG524/B524*AF524))</f>
        <v>0</v>
      </c>
      <c r="AI524" s="28">
        <f>SUM(H524:M524)</f>
        <v>0</v>
      </c>
      <c r="AJ524" s="28">
        <f>IF(ISERROR(AI524/B524*AF524),0,(AI524/B524*AF524))</f>
        <v>0</v>
      </c>
      <c r="AK524" s="58">
        <f>IF(ISERROR(O524/B524*AF524),0,(O524/B524*AF524))</f>
        <v>0</v>
      </c>
      <c r="AL524" s="28">
        <f>IF(ISERROR(H524/B524*AF524),0,(H524/B524*AF524))</f>
        <v>0</v>
      </c>
      <c r="AN524" s="51">
        <f>A524</f>
        <v>0</v>
      </c>
      <c r="AO524" s="57">
        <f>IF(ISERROR(IF(B524=C524,D524/C524,(INT(D524/B524)+(((D524-B524*INT(D524/B524)))/C524)/100))),0,(IF(B524=C524,D524/C524,(INT(D524/B524)+(((D524-B524*INT(D524/B524)))/C524)/100))))</f>
        <v>0</v>
      </c>
      <c r="AP524" s="57">
        <f>IF(ISERROR(IF(B524=C524,E524/C524,(INT(E524/B524)+(((E524-B524*INT(E524/B524)))/C524)/100))),0,(IF(B524=C524,E524/C524,(INT(E524/B524)+(((E524-B524*INT(E524/B524)))/C524)/100))))</f>
        <v>0</v>
      </c>
      <c r="AQ524" s="57">
        <f>IF(ISERROR(IF(B524=C524,F524/C524,IF((INT(F524/B524)+(((F524-B524*INT(F524/B524)))/C524)/100)&lt;0,(INT(F524/B524)+(((F524-B524*INT(F524/B524)))/C524)/100)+(1-(B524/C524/100)),(INT(F524/B524)+(((F524-B524*INT(F524/B524)))/C524)/100)))),0,IF(B524=C524,F524/C524,IF((INT(F524/B524)+(((F524-B524*INT(F524/B524)))/C524)/100)&lt;0,(INT(F524/B524)+(((F524-B524*INT(F524/B524)))/C524)/100)+(1-(B524/C524/100)),(INT(F524/B524)+(((F524-B524*INT(F524/B524)))/C524)/100))))</f>
        <v>0</v>
      </c>
      <c r="AR524" s="57">
        <f>IF(ISERROR(IF(B524=C524,G524/C524,(INT(G524/B524)+(((G524-B524*INT(G524/B524)))/C524)/100))),0,(IF(B524=C524,G524/C524,(INT(G524/B524)+(((G524-B524*INT(G524/B524)))/C524)/100))))</f>
        <v>0</v>
      </c>
      <c r="AS524" s="57">
        <f>IF(ISERROR(IF(B524=C524,H524/C524,(INT(H524/B524)+(((H524-B524*INT(H524/B524)))/C524)/100))),0,(IF(B524=C524,H524/C524,(INT(H524/B524)+(((H524-B524*INT(H524/B524)))/C524)/100))))</f>
        <v>0</v>
      </c>
      <c r="AT524" s="57">
        <f>IF(ISERROR(IF(B524=C524,I524/C524,(INT(I524/B524)+(((I524-B524*INT(I524/B524)))/C524)/100))),0,(IF(B524=C524,I524/C524,(INT(I524/B524)+(((I524-B524*INT(I524/B524)))/C524)/100))))</f>
        <v>0</v>
      </c>
      <c r="AU524" s="57">
        <f>IF(ISERROR(IF(B524=C524,J524/C524,(INT(J524/B524)+(((J524-B524*INT(J524/B524)))/C524)/100))),0,(IF(B524=C524,J524/C524,(INT(J524/B524)+(((J524-B524*INT(J524/B524)))/C524)/100))))</f>
        <v>0</v>
      </c>
      <c r="AV524" s="57">
        <f>IF(ISERROR(IF(B524=C524,K524/C524,IF((INT(K524/B524)+(((K524-B524*INT(K524/B524)))/C524)/100)&lt;0,(INT(K524/B524)+(((K524-B524*INT(K524/B524)))/C524)/100)+(1-(B524/C524/100)),(INT(K524/B524)+(((K524-B524*INT(K524/B524)))/C524)/100)))),0,IF(B524=C524,K524/C524,IF((INT(K524/B524)+(((K524-B524*INT(K524/B524)))/C524)/100)&lt;0,(INT(K524/B524)+(((K524-B524*INT(K524/B524)))/C524)/100)+(1-(B524/C524/100)),(INT(K524/B524)+(((K524-B524*INT(K524/B524)))/C524)/100))))</f>
        <v>0</v>
      </c>
      <c r="AW524" s="57">
        <f>IF(ISERROR(IF(B524=C524,L524/C524,(INT(L524/B524)+(((L524-B524*INT(L524/B524)))/C524)/100))),0,(IF(B524=C524,L524/C524,(INT(L524/B524)+(((L524-B524*INT(L524/B524)))/C524)/100))))</f>
        <v>0</v>
      </c>
      <c r="AX524" s="57">
        <f>IF(ISERROR(IF(B524=C524,M524/C524,(INT(M524/B524)+(((M524-B524*INT(M524/B524)))/C524)/100))),0,(IF(B524=C524,M524/C524,(INT(M524/B524)+(((M524-B524*INT(M524/B524)))/C524)/100))))</f>
        <v>0</v>
      </c>
      <c r="AY524" s="57">
        <f>IF(ISERROR(IF(B524=C524,N524/C524,IF((INT(N524/B524)+(((N524-B524*INT(N524/B524)))/C524)/100)&lt;0,(INT(N524/B524)+(((N524-B524*INT(N524/B524)))/C524)/100)+(1-(B524/C524/100)),(INT(N524/B524)+(((N524-B524*INT(N524/B524)))/C524)/100)))),0,IF(B524=C524,N524/C524,IF((INT(N524/B524)+(((N524-B524*INT(N524/B524)))/C524)/100)&lt;0,(INT(N524/B524)+(((N524-B524*INT(N524/B524)))/C524)/100)+(1-(B524/C524/100)),(INT(N524/B524)+(((N524-B524*INT(N524/B524)))/C524)/100))))</f>
        <v>0</v>
      </c>
      <c r="AZ524" s="57">
        <f>IF(ISERROR(IF(B524=C524,O524/C524,(INT(O524/B524)+(((O524-B524*INT(O524/B524)))/C524)/100))),0,(IF(B524=C524,O524/C524,(INT(O524/B524)+(((O524-B524*INT(O524/B524)))/C524)/100))))</f>
        <v>0</v>
      </c>
      <c r="BA524" s="57">
        <f>IF(ISERROR(IF(B524=C524,P524/C524,IF((INT(P524/B524)+(((P524-B524*INT(P524/B524)))/C524)/100)&lt;0,(INT(P524/B524)+(((P524-B524*INT(P524/B524)))/C524)/100)+(1-(B524/C524/100)),(INT(P524/B524)+(((P524-B524*INT(P524/B524)))/C524)/100)))),0,IF(B524=C524,P524/C524,IF((INT(P524/B524)+(((P524-B524*INT(P524/B524)))/C524)/100)&lt;0,(INT(P524/B524)+(((P524-B524*INT(P524/B524)))/C524)/100)+(1-(B524/C524/100)),(INT(P524/B524)+(((P524-B524*INT(P524/B524)))/C524)/100))))</f>
        <v>0</v>
      </c>
      <c r="BB524" s="28">
        <f>R524</f>
        <v>0</v>
      </c>
      <c r="BC524" s="28">
        <f>S524</f>
        <v>0</v>
      </c>
      <c r="BD524" s="28">
        <f>AF524</f>
        <v>0</v>
      </c>
      <c r="BE524" s="28">
        <f>T524</f>
        <v>0</v>
      </c>
      <c r="BG524" s="57">
        <f>IF(ISERROR(IF(B524=C524,V524/C524,(INT(V524/B524)+(((V524-B524*INT(V524/B524)))/C524)/100))),0,(IF(B524=C524,V524/C524,(INT(V524/B524)+(((V524-B524*INT(V524/B524)))/C524)/100))))</f>
        <v>0</v>
      </c>
      <c r="BH524" s="57">
        <f>IF(ISERROR(IF(B524=C524,W524/C524,(INT(W524/B524)+(((W524-B524*INT(W524/B524)))/C524)/100))),0,(IF(B524=C524,W524/C524,(INT(W524/B524)+(((W524-B524*INT(W524/B524)))/C524)/100))))</f>
        <v>0</v>
      </c>
      <c r="BI524" s="57">
        <f>IF(ISERROR(IF(B524=C524,X524/C524,(INT(X524/B524)+(((X524-B524*INT(X524/B524)))/C524)/100))),0,(IF(B524=C524,X524/C524,(INT(X524/B524)+(((X524-B524*INT(X524/B524)))/C524)/100))))</f>
        <v>0</v>
      </c>
      <c r="BJ524" s="57">
        <f>IF(ISERROR(IF(B524=C524,Y524/C524,(INT(Y524/B524)+(((Y524-B524*INT(Y524/B524)))/C524)/100))),0,(IF(B524=C524,Y524/C524,(INT(Y524/B524)+(((Y524-B524*INT(Y524/B524)))/C524)/100))))</f>
        <v>0</v>
      </c>
      <c r="BL524" s="57">
        <f>IF(ISERROR(IF(B524=C524,AA524/C524,(INT(AA524/B524)+(((AA524-B524*INT(AA524/B524)))/C524)/100))),0,(IF(B524=C524,AA524/C524,(INT(AA524/B524)+(((AA524-B524*INT(AA524/B524)))/C524)/100))))</f>
        <v>0</v>
      </c>
      <c r="BM524" s="57">
        <f>IF(ISERROR(IF(B524=C524,AB524/C524,(INT(AB524/B524)+(((AB524-B524*INT(AB524/B524)))/C524)/100))),0,(IF(B524=C524,AB524/C524,(INT(AB524/B524)+(((AB524-B524*INT(AB524/B524)))/C524)/100))))</f>
        <v>0</v>
      </c>
      <c r="BN524" s="57">
        <f>IF(ISERROR(IF(B524=C524,AC524/C524,(INT(AC524/B524)+(((AC524-B524*INT(AC524/B524)))/C524)/100))),0,(IF(B524=C524,AC524/C524,(INT(AC524/B524)+(((AC524-B524*INT(AC524/B524)))/C524)/100))))</f>
        <v>0</v>
      </c>
      <c r="BO524" s="57">
        <f>IF(ISERROR(IF(B524=C524,AD524/C524,(INT(AD524/B524)+(((AD524-B524*INT(AD524/B524)))/C524)/100))),0,(IF(B524=C524,AD524/C524,(INT(AD524/B524)+(((AD524-B524*INT(AD524/B524)))/C524)/100))))</f>
        <v>0</v>
      </c>
      <c r="BQ524" s="155"/>
    </row>
    <row r="525" spans="1:69" hidden="1" x14ac:dyDescent="0.35">
      <c r="A525" s="94"/>
      <c r="B525" s="113">
        <v>0</v>
      </c>
      <c r="C525" s="113">
        <v>250</v>
      </c>
      <c r="D525" s="28">
        <f>SUM(AA525:AD525)</f>
        <v>0</v>
      </c>
      <c r="E525" s="113">
        <v>0</v>
      </c>
      <c r="F525" s="113">
        <v>0</v>
      </c>
      <c r="G525" s="28">
        <f>SUM(D525:F525)</f>
        <v>0</v>
      </c>
      <c r="H525" s="125">
        <v>0</v>
      </c>
      <c r="I525" s="113">
        <v>0</v>
      </c>
      <c r="J525" s="125">
        <v>0</v>
      </c>
      <c r="K525" s="113">
        <v>0</v>
      </c>
      <c r="L525" s="113">
        <v>0</v>
      </c>
      <c r="M525" s="113">
        <v>0</v>
      </c>
      <c r="N525" s="28">
        <f>G525-SUM(H525:M525)</f>
        <v>0</v>
      </c>
      <c r="O525" s="28">
        <f>SUM(V525:Y525)</f>
        <v>0</v>
      </c>
      <c r="P525" s="28">
        <f>O525-N525</f>
        <v>0</v>
      </c>
      <c r="Q525" s="61" t="str">
        <f>IF(ISERROR(P525/SUM(H525:L525)),"",P525/SUM(H525:L525))</f>
        <v/>
      </c>
      <c r="R525" s="113">
        <v>0</v>
      </c>
      <c r="S525" s="28">
        <f>IF(ISERROR(P525/C525*R525),0,(P525/C525*R525))</f>
        <v>0</v>
      </c>
      <c r="T525" s="60">
        <f>IF(ISERROR(P525/B525*AF525),0,(P525/B525*AF525))</f>
        <v>0</v>
      </c>
      <c r="V525" s="113">
        <v>0</v>
      </c>
      <c r="W525" s="113">
        <v>0</v>
      </c>
      <c r="X525" s="113">
        <v>0</v>
      </c>
      <c r="Y525" s="113">
        <v>0</v>
      </c>
      <c r="AA525" s="113">
        <v>0</v>
      </c>
      <c r="AB525" s="113">
        <v>0</v>
      </c>
      <c r="AC525" s="113">
        <v>0</v>
      </c>
      <c r="AD525" s="113">
        <v>0</v>
      </c>
      <c r="AF525" s="113">
        <v>0</v>
      </c>
      <c r="AG525" s="28">
        <f>G525-O525</f>
        <v>0</v>
      </c>
      <c r="AH525" s="58">
        <f>IF(ISERROR(AG525/B525*AF525),0,(AG525/B525*AF525))</f>
        <v>0</v>
      </c>
      <c r="AI525" s="28">
        <f>SUM(H525:M525)</f>
        <v>0</v>
      </c>
      <c r="AJ525" s="28">
        <f>IF(ISERROR(AI525/B525*AF525),0,(AI525/B525*AF525))</f>
        <v>0</v>
      </c>
      <c r="AK525" s="58">
        <f>IF(ISERROR(O525/B525*AF525),0,(O525/B525*AF525))</f>
        <v>0</v>
      </c>
      <c r="AL525" s="28">
        <f>IF(ISERROR(H525/B525*AF525),0,(H525/B525*AF525))</f>
        <v>0</v>
      </c>
      <c r="AN525" s="51">
        <f>A525</f>
        <v>0</v>
      </c>
      <c r="AO525" s="57">
        <f>IF(ISERROR(IF(B525=C525,D525/C525,(INT(D525/B525)+(((D525-B525*INT(D525/B525)))/C525)/100))),0,(IF(B525=C525,D525/C525,(INT(D525/B525)+(((D525-B525*INT(D525/B525)))/C525)/100))))</f>
        <v>0</v>
      </c>
      <c r="AP525" s="57">
        <f>IF(ISERROR(IF(B525=C525,E525/C525,(INT(E525/B525)+(((E525-B525*INT(E525/B525)))/C525)/100))),0,(IF(B525=C525,E525/C525,(INT(E525/B525)+(((E525-B525*INT(E525/B525)))/C525)/100))))</f>
        <v>0</v>
      </c>
      <c r="AQ525" s="57">
        <f>IF(ISERROR(IF(B525=C525,F525/C525,IF((INT(F525/B525)+(((F525-B525*INT(F525/B525)))/C525)/100)&lt;0,(INT(F525/B525)+(((F525-B525*INT(F525/B525)))/C525)/100)+(1-(B525/C525/100)),(INT(F525/B525)+(((F525-B525*INT(F525/B525)))/C525)/100)))),0,IF(B525=C525,F525/C525,IF((INT(F525/B525)+(((F525-B525*INT(F525/B525)))/C525)/100)&lt;0,(INT(F525/B525)+(((F525-B525*INT(F525/B525)))/C525)/100)+(1-(B525/C525/100)),(INT(F525/B525)+(((F525-B525*INT(F525/B525)))/C525)/100))))</f>
        <v>0</v>
      </c>
      <c r="AR525" s="57">
        <f>IF(ISERROR(IF(B525=C525,G525/C525,(INT(G525/B525)+(((G525-B525*INT(G525/B525)))/C525)/100))),0,(IF(B525=C525,G525/C525,(INT(G525/B525)+(((G525-B525*INT(G525/B525)))/C525)/100))))</f>
        <v>0</v>
      </c>
      <c r="AS525" s="57">
        <f>IF(ISERROR(IF(B525=C525,H525/C525,(INT(H525/B525)+(((H525-B525*INT(H525/B525)))/C525)/100))),0,(IF(B525=C525,H525/C525,(INT(H525/B525)+(((H525-B525*INT(H525/B525)))/C525)/100))))</f>
        <v>0</v>
      </c>
      <c r="AT525" s="57">
        <f>IF(ISERROR(IF(B525=C525,I525/C525,(INT(I525/B525)+(((I525-B525*INT(I525/B525)))/C525)/100))),0,(IF(B525=C525,I525/C525,(INT(I525/B525)+(((I525-B525*INT(I525/B525)))/C525)/100))))</f>
        <v>0</v>
      </c>
      <c r="AU525" s="57">
        <f>IF(ISERROR(IF(B525=C525,J525/C525,(INT(J525/B525)+(((J525-B525*INT(J525/B525)))/C525)/100))),0,(IF(B525=C525,J525/C525,(INT(J525/B525)+(((J525-B525*INT(J525/B525)))/C525)/100))))</f>
        <v>0</v>
      </c>
      <c r="AV525" s="57">
        <f>IF(ISERROR(IF(B525=C525,K525/C525,IF((INT(K525/B525)+(((K525-B525*INT(K525/B525)))/C525)/100)&lt;0,(INT(K525/B525)+(((K525-B525*INT(K525/B525)))/C525)/100)+(1-(B525/C525/100)),(INT(K525/B525)+(((K525-B525*INT(K525/B525)))/C525)/100)))),0,IF(B525=C525,K525/C525,IF((INT(K525/B525)+(((K525-B525*INT(K525/B525)))/C525)/100)&lt;0,(INT(K525/B525)+(((K525-B525*INT(K525/B525)))/C525)/100)+(1-(B525/C525/100)),(INT(K525/B525)+(((K525-B525*INT(K525/B525)))/C525)/100))))</f>
        <v>0</v>
      </c>
      <c r="AW525" s="57">
        <f>IF(ISERROR(IF(B525=C525,L525/C525,(INT(L525/B525)+(((L525-B525*INT(L525/B525)))/C525)/100))),0,(IF(B525=C525,L525/C525,(INT(L525/B525)+(((L525-B525*INT(L525/B525)))/C525)/100))))</f>
        <v>0</v>
      </c>
      <c r="AX525" s="57">
        <f>IF(ISERROR(IF(B525=C525,M525/C525,(INT(M525/B525)+(((M525-B525*INT(M525/B525)))/C525)/100))),0,(IF(B525=C525,M525/C525,(INT(M525/B525)+(((M525-B525*INT(M525/B525)))/C525)/100))))</f>
        <v>0</v>
      </c>
      <c r="AY525" s="57">
        <f>IF(ISERROR(IF(B525=C525,N525/C525,IF((INT(N525/B525)+(((N525-B525*INT(N525/B525)))/C525)/100)&lt;0,(INT(N525/B525)+(((N525-B525*INT(N525/B525)))/C525)/100)+(1-(B525/C525/100)),(INT(N525/B525)+(((N525-B525*INT(N525/B525)))/C525)/100)))),0,IF(B525=C525,N525/C525,IF((INT(N525/B525)+(((N525-B525*INT(N525/B525)))/C525)/100)&lt;0,(INT(N525/B525)+(((N525-B525*INT(N525/B525)))/C525)/100)+(1-(B525/C525/100)),(INT(N525/B525)+(((N525-B525*INT(N525/B525)))/C525)/100))))</f>
        <v>0</v>
      </c>
      <c r="AZ525" s="57">
        <f>IF(ISERROR(IF(B525=C525,O525/C525,(INT(O525/B525)+(((O525-B525*INT(O525/B525)))/C525)/100))),0,(IF(B525=C525,O525/C525,(INT(O525/B525)+(((O525-B525*INT(O525/B525)))/C525)/100))))</f>
        <v>0</v>
      </c>
      <c r="BA525" s="57">
        <f>IF(ISERROR(IF(B525=C525,P525/C525,IF((INT(P525/B525)+(((P525-B525*INT(P525/B525)))/C525)/100)&lt;0,(INT(P525/B525)+(((P525-B525*INT(P525/B525)))/C525)/100)+(1-(B525/C525/100)),(INT(P525/B525)+(((P525-B525*INT(P525/B525)))/C525)/100)))),0,IF(B525=C525,P525/C525,IF((INT(P525/B525)+(((P525-B525*INT(P525/B525)))/C525)/100)&lt;0,(INT(P525/B525)+(((P525-B525*INT(P525/B525)))/C525)/100)+(1-(B525/C525/100)),(INT(P525/B525)+(((P525-B525*INT(P525/B525)))/C525)/100))))</f>
        <v>0</v>
      </c>
      <c r="BB525" s="28">
        <f>R525</f>
        <v>0</v>
      </c>
      <c r="BC525" s="28">
        <f>S525</f>
        <v>0</v>
      </c>
      <c r="BD525" s="28">
        <f>AF525</f>
        <v>0</v>
      </c>
      <c r="BE525" s="28">
        <f>T525</f>
        <v>0</v>
      </c>
      <c r="BG525" s="57">
        <f>IF(ISERROR(IF(B525=C525,V525/C525,(INT(V525/B525)+(((V525-B525*INT(V525/B525)))/C525)/100))),0,(IF(B525=C525,V525/C525,(INT(V525/B525)+(((V525-B525*INT(V525/B525)))/C525)/100))))</f>
        <v>0</v>
      </c>
      <c r="BH525" s="57">
        <f>IF(ISERROR(IF(B525=C525,W525/C525,(INT(W525/B525)+(((W525-B525*INT(W525/B525)))/C525)/100))),0,(IF(B525=C525,W525/C525,(INT(W525/B525)+(((W525-B525*INT(W525/B525)))/C525)/100))))</f>
        <v>0</v>
      </c>
      <c r="BI525" s="57">
        <f>IF(ISERROR(IF(B525=C525,X525/C525,(INT(X525/B525)+(((X525-B525*INT(X525/B525)))/C525)/100))),0,(IF(B525=C525,X525/C525,(INT(X525/B525)+(((X525-B525*INT(X525/B525)))/C525)/100))))</f>
        <v>0</v>
      </c>
      <c r="BJ525" s="57">
        <f>IF(ISERROR(IF(B525=C525,Y525/C525,(INT(Y525/B525)+(((Y525-B525*INT(Y525/B525)))/C525)/100))),0,(IF(B525=C525,Y525/C525,(INT(Y525/B525)+(((Y525-B525*INT(Y525/B525)))/C525)/100))))</f>
        <v>0</v>
      </c>
      <c r="BL525" s="57">
        <f>IF(ISERROR(IF(B525=C525,AA525/C525,(INT(AA525/B525)+(((AA525-B525*INT(AA525/B525)))/C525)/100))),0,(IF(B525=C525,AA525/C525,(INT(AA525/B525)+(((AA525-B525*INT(AA525/B525)))/C525)/100))))</f>
        <v>0</v>
      </c>
      <c r="BM525" s="57">
        <f>IF(ISERROR(IF(B525=C525,AB525/C525,(INT(AB525/B525)+(((AB525-B525*INT(AB525/B525)))/C525)/100))),0,(IF(B525=C525,AB525/C525,(INT(AB525/B525)+(((AB525-B525*INT(AB525/B525)))/C525)/100))))</f>
        <v>0</v>
      </c>
      <c r="BN525" s="57">
        <f>IF(ISERROR(IF(B525=C525,AC525/C525,(INT(AC525/B525)+(((AC525-B525*INT(AC525/B525)))/C525)/100))),0,(IF(B525=C525,AC525/C525,(INT(AC525/B525)+(((AC525-B525*INT(AC525/B525)))/C525)/100))))</f>
        <v>0</v>
      </c>
      <c r="BO525" s="57">
        <f>IF(ISERROR(IF(B525=C525,AD525/C525,(INT(AD525/B525)+(((AD525-B525*INT(AD525/B525)))/C525)/100))),0,(IF(B525=C525,AD525/C525,(INT(AD525/B525)+(((AD525-B525*INT(AD525/B525)))/C525)/100))))</f>
        <v>0</v>
      </c>
      <c r="BQ525" s="155"/>
    </row>
    <row r="526" spans="1:69" hidden="1" x14ac:dyDescent="0.35">
      <c r="A526" s="94"/>
      <c r="B526" s="113">
        <v>0</v>
      </c>
      <c r="C526" s="113">
        <v>250</v>
      </c>
      <c r="D526" s="28">
        <f>SUM(AA526:AD526)</f>
        <v>0</v>
      </c>
      <c r="E526" s="113">
        <v>0</v>
      </c>
      <c r="F526" s="113">
        <v>0</v>
      </c>
      <c r="G526" s="28">
        <f>SUM(D526:F526)</f>
        <v>0</v>
      </c>
      <c r="H526" s="125">
        <v>0</v>
      </c>
      <c r="I526" s="113">
        <v>0</v>
      </c>
      <c r="J526" s="125">
        <v>0</v>
      </c>
      <c r="K526" s="113">
        <v>0</v>
      </c>
      <c r="L526" s="113">
        <v>0</v>
      </c>
      <c r="M526" s="113">
        <v>0</v>
      </c>
      <c r="N526" s="28">
        <f>G526-SUM(H526:M526)</f>
        <v>0</v>
      </c>
      <c r="O526" s="28">
        <f>SUM(V526:Y526)</f>
        <v>0</v>
      </c>
      <c r="P526" s="28">
        <f>O526-N526</f>
        <v>0</v>
      </c>
      <c r="Q526" s="61" t="str">
        <f>IF(ISERROR(P526/SUM(H526:L526)),"",P526/SUM(H526:L526))</f>
        <v/>
      </c>
      <c r="R526" s="113">
        <v>0</v>
      </c>
      <c r="S526" s="28">
        <f>IF(ISERROR(P526/C526*R526),0,(P526/C526*R526))</f>
        <v>0</v>
      </c>
      <c r="T526" s="60">
        <f>IF(ISERROR(P526/B526*AF526),0,(P526/B526*AF526))</f>
        <v>0</v>
      </c>
      <c r="V526" s="113">
        <v>0</v>
      </c>
      <c r="W526" s="113">
        <v>0</v>
      </c>
      <c r="X526" s="113">
        <v>0</v>
      </c>
      <c r="Y526" s="113">
        <v>0</v>
      </c>
      <c r="AA526" s="113">
        <v>0</v>
      </c>
      <c r="AB526" s="113">
        <v>0</v>
      </c>
      <c r="AC526" s="113">
        <v>0</v>
      </c>
      <c r="AD526" s="113">
        <v>0</v>
      </c>
      <c r="AF526" s="113">
        <v>0</v>
      </c>
      <c r="AG526" s="28">
        <f>G526-O526</f>
        <v>0</v>
      </c>
      <c r="AH526" s="58">
        <f>IF(ISERROR(AG526/B526*AF526),0,(AG526/B526*AF526))</f>
        <v>0</v>
      </c>
      <c r="AI526" s="28">
        <f>SUM(H526:M526)</f>
        <v>0</v>
      </c>
      <c r="AJ526" s="28">
        <f>IF(ISERROR(AI526/B526*AF526),0,(AI526/B526*AF526))</f>
        <v>0</v>
      </c>
      <c r="AK526" s="58">
        <f>IF(ISERROR(O526/B526*AF526),0,(O526/B526*AF526))</f>
        <v>0</v>
      </c>
      <c r="AL526" s="28">
        <f>IF(ISERROR(H526/B526*AF526),0,(H526/B526*AF526))</f>
        <v>0</v>
      </c>
      <c r="AN526" s="51">
        <f>A526</f>
        <v>0</v>
      </c>
      <c r="AO526" s="57">
        <f>IF(ISERROR(IF(B526=C526,D526/C526,(INT(D526/B526)+(((D526-B526*INT(D526/B526)))/C526)/100))),0,(IF(B526=C526,D526/C526,(INT(D526/B526)+(((D526-B526*INT(D526/B526)))/C526)/100))))</f>
        <v>0</v>
      </c>
      <c r="AP526" s="57">
        <f>IF(ISERROR(IF(B526=C526,E526/C526,(INT(E526/B526)+(((E526-B526*INT(E526/B526)))/C526)/100))),0,(IF(B526=C526,E526/C526,(INT(E526/B526)+(((E526-B526*INT(E526/B526)))/C526)/100))))</f>
        <v>0</v>
      </c>
      <c r="AQ526" s="57">
        <f>IF(ISERROR(IF(B526=C526,F526/C526,IF((INT(F526/B526)+(((F526-B526*INT(F526/B526)))/C526)/100)&lt;0,(INT(F526/B526)+(((F526-B526*INT(F526/B526)))/C526)/100)+(1-(B526/C526/100)),(INT(F526/B526)+(((F526-B526*INT(F526/B526)))/C526)/100)))),0,IF(B526=C526,F526/C526,IF((INT(F526/B526)+(((F526-B526*INT(F526/B526)))/C526)/100)&lt;0,(INT(F526/B526)+(((F526-B526*INT(F526/B526)))/C526)/100)+(1-(B526/C526/100)),(INT(F526/B526)+(((F526-B526*INT(F526/B526)))/C526)/100))))</f>
        <v>0</v>
      </c>
      <c r="AR526" s="57">
        <f>IF(ISERROR(IF(B526=C526,G526/C526,(INT(G526/B526)+(((G526-B526*INT(G526/B526)))/C526)/100))),0,(IF(B526=C526,G526/C526,(INT(G526/B526)+(((G526-B526*INT(G526/B526)))/C526)/100))))</f>
        <v>0</v>
      </c>
      <c r="AS526" s="57">
        <f>IF(ISERROR(IF(B526=C526,H526/C526,(INT(H526/B526)+(((H526-B526*INT(H526/B526)))/C526)/100))),0,(IF(B526=C526,H526/C526,(INT(H526/B526)+(((H526-B526*INT(H526/B526)))/C526)/100))))</f>
        <v>0</v>
      </c>
      <c r="AT526" s="57">
        <f>IF(ISERROR(IF(B526=C526,I526/C526,(INT(I526/B526)+(((I526-B526*INT(I526/B526)))/C526)/100))),0,(IF(B526=C526,I526/C526,(INT(I526/B526)+(((I526-B526*INT(I526/B526)))/C526)/100))))</f>
        <v>0</v>
      </c>
      <c r="AU526" s="57">
        <f>IF(ISERROR(IF(B526=C526,J526/C526,(INT(J526/B526)+(((J526-B526*INT(J526/B526)))/C526)/100))),0,(IF(B526=C526,J526/C526,(INT(J526/B526)+(((J526-B526*INT(J526/B526)))/C526)/100))))</f>
        <v>0</v>
      </c>
      <c r="AV526" s="57">
        <f>IF(ISERROR(IF(B526=C526,K526/C526,IF((INT(K526/B526)+(((K526-B526*INT(K526/B526)))/C526)/100)&lt;0,(INT(K526/B526)+(((K526-B526*INT(K526/B526)))/C526)/100)+(1-(B526/C526/100)),(INT(K526/B526)+(((K526-B526*INT(K526/B526)))/C526)/100)))),0,IF(B526=C526,K526/C526,IF((INT(K526/B526)+(((K526-B526*INT(K526/B526)))/C526)/100)&lt;0,(INT(K526/B526)+(((K526-B526*INT(K526/B526)))/C526)/100)+(1-(B526/C526/100)),(INT(K526/B526)+(((K526-B526*INT(K526/B526)))/C526)/100))))</f>
        <v>0</v>
      </c>
      <c r="AW526" s="57">
        <f>IF(ISERROR(IF(B526=C526,L526/C526,(INT(L526/B526)+(((L526-B526*INT(L526/B526)))/C526)/100))),0,(IF(B526=C526,L526/C526,(INT(L526/B526)+(((L526-B526*INT(L526/B526)))/C526)/100))))</f>
        <v>0</v>
      </c>
      <c r="AX526" s="57">
        <f>IF(ISERROR(IF(B526=C526,M526/C526,(INT(M526/B526)+(((M526-B526*INT(M526/B526)))/C526)/100))),0,(IF(B526=C526,M526/C526,(INT(M526/B526)+(((M526-B526*INT(M526/B526)))/C526)/100))))</f>
        <v>0</v>
      </c>
      <c r="AY526" s="57">
        <f>IF(ISERROR(IF(B526=C526,N526/C526,IF((INT(N526/B526)+(((N526-B526*INT(N526/B526)))/C526)/100)&lt;0,(INT(N526/B526)+(((N526-B526*INT(N526/B526)))/C526)/100)+(1-(B526/C526/100)),(INT(N526/B526)+(((N526-B526*INT(N526/B526)))/C526)/100)))),0,IF(B526=C526,N526/C526,IF((INT(N526/B526)+(((N526-B526*INT(N526/B526)))/C526)/100)&lt;0,(INT(N526/B526)+(((N526-B526*INT(N526/B526)))/C526)/100)+(1-(B526/C526/100)),(INT(N526/B526)+(((N526-B526*INT(N526/B526)))/C526)/100))))</f>
        <v>0</v>
      </c>
      <c r="AZ526" s="57">
        <f>IF(ISERROR(IF(B526=C526,O526/C526,(INT(O526/B526)+(((O526-B526*INT(O526/B526)))/C526)/100))),0,(IF(B526=C526,O526/C526,(INT(O526/B526)+(((O526-B526*INT(O526/B526)))/C526)/100))))</f>
        <v>0</v>
      </c>
      <c r="BA526" s="57">
        <f>IF(ISERROR(IF(B526=C526,P526/C526,IF((INT(P526/B526)+(((P526-B526*INT(P526/B526)))/C526)/100)&lt;0,(INT(P526/B526)+(((P526-B526*INT(P526/B526)))/C526)/100)+(1-(B526/C526/100)),(INT(P526/B526)+(((P526-B526*INT(P526/B526)))/C526)/100)))),0,IF(B526=C526,P526/C526,IF((INT(P526/B526)+(((P526-B526*INT(P526/B526)))/C526)/100)&lt;0,(INT(P526/B526)+(((P526-B526*INT(P526/B526)))/C526)/100)+(1-(B526/C526/100)),(INT(P526/B526)+(((P526-B526*INT(P526/B526)))/C526)/100))))</f>
        <v>0</v>
      </c>
      <c r="BB526" s="28">
        <f>R526</f>
        <v>0</v>
      </c>
      <c r="BC526" s="28">
        <f>S526</f>
        <v>0</v>
      </c>
      <c r="BD526" s="28">
        <f>AF526</f>
        <v>0</v>
      </c>
      <c r="BE526" s="28">
        <f>T526</f>
        <v>0</v>
      </c>
      <c r="BG526" s="57">
        <f>IF(ISERROR(IF(B526=C526,V526/C526,(INT(V526/B526)+(((V526-B526*INT(V526/B526)))/C526)/100))),0,(IF(B526=C526,V526/C526,(INT(V526/B526)+(((V526-B526*INT(V526/B526)))/C526)/100))))</f>
        <v>0</v>
      </c>
      <c r="BH526" s="57">
        <f>IF(ISERROR(IF(B526=C526,W526/C526,(INT(W526/B526)+(((W526-B526*INT(W526/B526)))/C526)/100))),0,(IF(B526=C526,W526/C526,(INT(W526/B526)+(((W526-B526*INT(W526/B526)))/C526)/100))))</f>
        <v>0</v>
      </c>
      <c r="BI526" s="57">
        <f>IF(ISERROR(IF(B526=C526,X526/C526,(INT(X526/B526)+(((X526-B526*INT(X526/B526)))/C526)/100))),0,(IF(B526=C526,X526/C526,(INT(X526/B526)+(((X526-B526*INT(X526/B526)))/C526)/100))))</f>
        <v>0</v>
      </c>
      <c r="BJ526" s="57">
        <f>IF(ISERROR(IF(B526=C526,Y526/C526,(INT(Y526/B526)+(((Y526-B526*INT(Y526/B526)))/C526)/100))),0,(IF(B526=C526,Y526/C526,(INT(Y526/B526)+(((Y526-B526*INT(Y526/B526)))/C526)/100))))</f>
        <v>0</v>
      </c>
      <c r="BL526" s="57">
        <f>IF(ISERROR(IF(B526=C526,AA526/C526,(INT(AA526/B526)+(((AA526-B526*INT(AA526/B526)))/C526)/100))),0,(IF(B526=C526,AA526/C526,(INT(AA526/B526)+(((AA526-B526*INT(AA526/B526)))/C526)/100))))</f>
        <v>0</v>
      </c>
      <c r="BM526" s="57">
        <f>IF(ISERROR(IF(B526=C526,AB526/C526,(INT(AB526/B526)+(((AB526-B526*INT(AB526/B526)))/C526)/100))),0,(IF(B526=C526,AB526/C526,(INT(AB526/B526)+(((AB526-B526*INT(AB526/B526)))/C526)/100))))</f>
        <v>0</v>
      </c>
      <c r="BN526" s="57">
        <f>IF(ISERROR(IF(B526=C526,AC526/C526,(INT(AC526/B526)+(((AC526-B526*INT(AC526/B526)))/C526)/100))),0,(IF(B526=C526,AC526/C526,(INT(AC526/B526)+(((AC526-B526*INT(AC526/B526)))/C526)/100))))</f>
        <v>0</v>
      </c>
      <c r="BO526" s="57">
        <f>IF(ISERROR(IF(B526=C526,AD526/C526,(INT(AD526/B526)+(((AD526-B526*INT(AD526/B526)))/C526)/100))),0,(IF(B526=C526,AD526/C526,(INT(AD526/B526)+(((AD526-B526*INT(AD526/B526)))/C526)/100))))</f>
        <v>0</v>
      </c>
      <c r="BQ526" s="155"/>
    </row>
    <row r="527" spans="1:69" hidden="1" x14ac:dyDescent="0.35">
      <c r="A527" s="94"/>
      <c r="B527" s="113">
        <v>0</v>
      </c>
      <c r="C527" s="113">
        <v>250</v>
      </c>
      <c r="D527" s="28">
        <f>SUM(AA527:AD527)</f>
        <v>0</v>
      </c>
      <c r="E527" s="113">
        <v>0</v>
      </c>
      <c r="F527" s="113">
        <v>0</v>
      </c>
      <c r="G527" s="28">
        <f>SUM(D527:F527)</f>
        <v>0</v>
      </c>
      <c r="H527" s="125">
        <v>0</v>
      </c>
      <c r="I527" s="113">
        <v>0</v>
      </c>
      <c r="J527" s="125">
        <v>0</v>
      </c>
      <c r="K527" s="113">
        <v>0</v>
      </c>
      <c r="L527" s="113">
        <v>0</v>
      </c>
      <c r="M527" s="113">
        <v>0</v>
      </c>
      <c r="N527" s="28">
        <f>G527-SUM(H527:M527)</f>
        <v>0</v>
      </c>
      <c r="O527" s="28">
        <f>SUM(V527:Y527)</f>
        <v>0</v>
      </c>
      <c r="P527" s="28">
        <f>O527-N527</f>
        <v>0</v>
      </c>
      <c r="Q527" s="61" t="str">
        <f>IF(ISERROR(P527/SUM(H527:L527)),"",P527/SUM(H527:L527))</f>
        <v/>
      </c>
      <c r="R527" s="113">
        <v>0</v>
      </c>
      <c r="S527" s="28">
        <f>IF(ISERROR(P527/C527*R527),0,(P527/C527*R527))</f>
        <v>0</v>
      </c>
      <c r="T527" s="60">
        <f>IF(ISERROR(P527/B527*AF527),0,(P527/B527*AF527))</f>
        <v>0</v>
      </c>
      <c r="V527" s="113">
        <v>0</v>
      </c>
      <c r="W527" s="113">
        <v>0</v>
      </c>
      <c r="X527" s="113">
        <v>0</v>
      </c>
      <c r="Y527" s="113">
        <v>0</v>
      </c>
      <c r="AA527" s="113">
        <v>0</v>
      </c>
      <c r="AB527" s="113">
        <v>0</v>
      </c>
      <c r="AC527" s="113">
        <v>0</v>
      </c>
      <c r="AD527" s="113">
        <v>0</v>
      </c>
      <c r="AF527" s="113">
        <v>0</v>
      </c>
      <c r="AG527" s="28">
        <f>G527-O527</f>
        <v>0</v>
      </c>
      <c r="AH527" s="58">
        <f>IF(ISERROR(AG527/B527*AF527),0,(AG527/B527*AF527))</f>
        <v>0</v>
      </c>
      <c r="AI527" s="28">
        <f>SUM(H527:M527)</f>
        <v>0</v>
      </c>
      <c r="AJ527" s="28">
        <f>IF(ISERROR(AI527/B527*AF527),0,(AI527/B527*AF527))</f>
        <v>0</v>
      </c>
      <c r="AK527" s="58">
        <f>IF(ISERROR(O527/B527*AF527),0,(O527/B527*AF527))</f>
        <v>0</v>
      </c>
      <c r="AL527" s="28">
        <f>IF(ISERROR(H527/B527*AF527),0,(H527/B527*AF527))</f>
        <v>0</v>
      </c>
      <c r="AN527" s="51">
        <f>A527</f>
        <v>0</v>
      </c>
      <c r="AO527" s="57">
        <f>IF(ISERROR(IF(B527=C527,D527/C527,(INT(D527/B527)+(((D527-B527*INT(D527/B527)))/C527)/100))),0,(IF(B527=C527,D527/C527,(INT(D527/B527)+(((D527-B527*INT(D527/B527)))/C527)/100))))</f>
        <v>0</v>
      </c>
      <c r="AP527" s="57">
        <f>IF(ISERROR(IF(B527=C527,E527/C527,(INT(E527/B527)+(((E527-B527*INT(E527/B527)))/C527)/100))),0,(IF(B527=C527,E527/C527,(INT(E527/B527)+(((E527-B527*INT(E527/B527)))/C527)/100))))</f>
        <v>0</v>
      </c>
      <c r="AQ527" s="57">
        <f>IF(ISERROR(IF(B527=C527,F527/C527,IF((INT(F527/B527)+(((F527-B527*INT(F527/B527)))/C527)/100)&lt;0,(INT(F527/B527)+(((F527-B527*INT(F527/B527)))/C527)/100)+(1-(B527/C527/100)),(INT(F527/B527)+(((F527-B527*INT(F527/B527)))/C527)/100)))),0,IF(B527=C527,F527/C527,IF((INT(F527/B527)+(((F527-B527*INT(F527/B527)))/C527)/100)&lt;0,(INT(F527/B527)+(((F527-B527*INT(F527/B527)))/C527)/100)+(1-(B527/C527/100)),(INT(F527/B527)+(((F527-B527*INT(F527/B527)))/C527)/100))))</f>
        <v>0</v>
      </c>
      <c r="AR527" s="57">
        <f>IF(ISERROR(IF(B527=C527,G527/C527,(INT(G527/B527)+(((G527-B527*INT(G527/B527)))/C527)/100))),0,(IF(B527=C527,G527/C527,(INT(G527/B527)+(((G527-B527*INT(G527/B527)))/C527)/100))))</f>
        <v>0</v>
      </c>
      <c r="AS527" s="57">
        <f>IF(ISERROR(IF(B527=C527,H527/C527,(INT(H527/B527)+(((H527-B527*INT(H527/B527)))/C527)/100))),0,(IF(B527=C527,H527/C527,(INT(H527/B527)+(((H527-B527*INT(H527/B527)))/C527)/100))))</f>
        <v>0</v>
      </c>
      <c r="AT527" s="57">
        <f>IF(ISERROR(IF(B527=C527,I527/C527,(INT(I527/B527)+(((I527-B527*INT(I527/B527)))/C527)/100))),0,(IF(B527=C527,I527/C527,(INT(I527/B527)+(((I527-B527*INT(I527/B527)))/C527)/100))))</f>
        <v>0</v>
      </c>
      <c r="AU527" s="57">
        <f>IF(ISERROR(IF(B527=C527,J527/C527,(INT(J527/B527)+(((J527-B527*INT(J527/B527)))/C527)/100))),0,(IF(B527=C527,J527/C527,(INT(J527/B527)+(((J527-B527*INT(J527/B527)))/C527)/100))))</f>
        <v>0</v>
      </c>
      <c r="AV527" s="57">
        <f>IF(ISERROR(IF(B527=C527,K527/C527,IF((INT(K527/B527)+(((K527-B527*INT(K527/B527)))/C527)/100)&lt;0,(INT(K527/B527)+(((K527-B527*INT(K527/B527)))/C527)/100)+(1-(B527/C527/100)),(INT(K527/B527)+(((K527-B527*INT(K527/B527)))/C527)/100)))),0,IF(B527=C527,K527/C527,IF((INT(K527/B527)+(((K527-B527*INT(K527/B527)))/C527)/100)&lt;0,(INT(K527/B527)+(((K527-B527*INT(K527/B527)))/C527)/100)+(1-(B527/C527/100)),(INT(K527/B527)+(((K527-B527*INT(K527/B527)))/C527)/100))))</f>
        <v>0</v>
      </c>
      <c r="AW527" s="57">
        <f>IF(ISERROR(IF(B527=C527,L527/C527,(INT(L527/B527)+(((L527-B527*INT(L527/B527)))/C527)/100))),0,(IF(B527=C527,L527/C527,(INT(L527/B527)+(((L527-B527*INT(L527/B527)))/C527)/100))))</f>
        <v>0</v>
      </c>
      <c r="AX527" s="57">
        <f>IF(ISERROR(IF(B527=C527,M527/C527,(INT(M527/B527)+(((M527-B527*INT(M527/B527)))/C527)/100))),0,(IF(B527=C527,M527/C527,(INT(M527/B527)+(((M527-B527*INT(M527/B527)))/C527)/100))))</f>
        <v>0</v>
      </c>
      <c r="AY527" s="57">
        <f>IF(ISERROR(IF(B527=C527,N527/C527,IF((INT(N527/B527)+(((N527-B527*INT(N527/B527)))/C527)/100)&lt;0,(INT(N527/B527)+(((N527-B527*INT(N527/B527)))/C527)/100)+(1-(B527/C527/100)),(INT(N527/B527)+(((N527-B527*INT(N527/B527)))/C527)/100)))),0,IF(B527=C527,N527/C527,IF((INT(N527/B527)+(((N527-B527*INT(N527/B527)))/C527)/100)&lt;0,(INT(N527/B527)+(((N527-B527*INT(N527/B527)))/C527)/100)+(1-(B527/C527/100)),(INT(N527/B527)+(((N527-B527*INT(N527/B527)))/C527)/100))))</f>
        <v>0</v>
      </c>
      <c r="AZ527" s="57">
        <f>IF(ISERROR(IF(B527=C527,O527/C527,(INT(O527/B527)+(((O527-B527*INT(O527/B527)))/C527)/100))),0,(IF(B527=C527,O527/C527,(INT(O527/B527)+(((O527-B527*INT(O527/B527)))/C527)/100))))</f>
        <v>0</v>
      </c>
      <c r="BA527" s="57">
        <f>IF(ISERROR(IF(B527=C527,P527/C527,IF((INT(P527/B527)+(((P527-B527*INT(P527/B527)))/C527)/100)&lt;0,(INT(P527/B527)+(((P527-B527*INT(P527/B527)))/C527)/100)+(1-(B527/C527/100)),(INT(P527/B527)+(((P527-B527*INT(P527/B527)))/C527)/100)))),0,IF(B527=C527,P527/C527,IF((INT(P527/B527)+(((P527-B527*INT(P527/B527)))/C527)/100)&lt;0,(INT(P527/B527)+(((P527-B527*INT(P527/B527)))/C527)/100)+(1-(B527/C527/100)),(INT(P527/B527)+(((P527-B527*INT(P527/B527)))/C527)/100))))</f>
        <v>0</v>
      </c>
      <c r="BB527" s="28">
        <f>R527</f>
        <v>0</v>
      </c>
      <c r="BC527" s="28">
        <f>S527</f>
        <v>0</v>
      </c>
      <c r="BD527" s="28">
        <f>AF527</f>
        <v>0</v>
      </c>
      <c r="BE527" s="28">
        <f>T527</f>
        <v>0</v>
      </c>
      <c r="BG527" s="57">
        <f>IF(ISERROR(IF(B527=C527,V527/C527,(INT(V527/B527)+(((V527-B527*INT(V527/B527)))/C527)/100))),0,(IF(B527=C527,V527/C527,(INT(V527/B527)+(((V527-B527*INT(V527/B527)))/C527)/100))))</f>
        <v>0</v>
      </c>
      <c r="BH527" s="57">
        <f>IF(ISERROR(IF(B527=C527,W527/C527,(INT(W527/B527)+(((W527-B527*INT(W527/B527)))/C527)/100))),0,(IF(B527=C527,W527/C527,(INT(W527/B527)+(((W527-B527*INT(W527/B527)))/C527)/100))))</f>
        <v>0</v>
      </c>
      <c r="BI527" s="57">
        <f>IF(ISERROR(IF(B527=C527,X527/C527,(INT(X527/B527)+(((X527-B527*INT(X527/B527)))/C527)/100))),0,(IF(B527=C527,X527/C527,(INT(X527/B527)+(((X527-B527*INT(X527/B527)))/C527)/100))))</f>
        <v>0</v>
      </c>
      <c r="BJ527" s="57">
        <f>IF(ISERROR(IF(B527=C527,Y527/C527,(INT(Y527/B527)+(((Y527-B527*INT(Y527/B527)))/C527)/100))),0,(IF(B527=C527,Y527/C527,(INT(Y527/B527)+(((Y527-B527*INT(Y527/B527)))/C527)/100))))</f>
        <v>0</v>
      </c>
      <c r="BL527" s="57">
        <f>IF(ISERROR(IF(B527=C527,AA527/C527,(INT(AA527/B527)+(((AA527-B527*INT(AA527/B527)))/C527)/100))),0,(IF(B527=C527,AA527/C527,(INT(AA527/B527)+(((AA527-B527*INT(AA527/B527)))/C527)/100))))</f>
        <v>0</v>
      </c>
      <c r="BM527" s="57">
        <f>IF(ISERROR(IF(B527=C527,AB527/C527,(INT(AB527/B527)+(((AB527-B527*INT(AB527/B527)))/C527)/100))),0,(IF(B527=C527,AB527/C527,(INT(AB527/B527)+(((AB527-B527*INT(AB527/B527)))/C527)/100))))</f>
        <v>0</v>
      </c>
      <c r="BN527" s="57">
        <f>IF(ISERROR(IF(B527=C527,AC527/C527,(INT(AC527/B527)+(((AC527-B527*INT(AC527/B527)))/C527)/100))),0,(IF(B527=C527,AC527/C527,(INT(AC527/B527)+(((AC527-B527*INT(AC527/B527)))/C527)/100))))</f>
        <v>0</v>
      </c>
      <c r="BO527" s="57">
        <f>IF(ISERROR(IF(B527=C527,AD527/C527,(INT(AD527/B527)+(((AD527-B527*INT(AD527/B527)))/C527)/100))),0,(IF(B527=C527,AD527/C527,(INT(AD527/B527)+(((AD527-B527*INT(AD527/B527)))/C527)/100))))</f>
        <v>0</v>
      </c>
      <c r="BQ527" s="155"/>
    </row>
    <row r="528" spans="1:69" hidden="1" x14ac:dyDescent="0.35">
      <c r="A528" s="94"/>
      <c r="B528" s="113">
        <v>0</v>
      </c>
      <c r="C528" s="113">
        <v>250</v>
      </c>
      <c r="D528" s="28">
        <f>SUM(AA528:AD528)</f>
        <v>0</v>
      </c>
      <c r="E528" s="113">
        <v>0</v>
      </c>
      <c r="F528" s="113">
        <v>0</v>
      </c>
      <c r="G528" s="28">
        <f>SUM(D528:F528)</f>
        <v>0</v>
      </c>
      <c r="H528" s="125">
        <v>0</v>
      </c>
      <c r="I528" s="113">
        <v>0</v>
      </c>
      <c r="J528" s="125">
        <v>0</v>
      </c>
      <c r="K528" s="113">
        <v>0</v>
      </c>
      <c r="L528" s="113">
        <v>0</v>
      </c>
      <c r="M528" s="113">
        <v>0</v>
      </c>
      <c r="N528" s="28">
        <f>G528-SUM(H528:M528)</f>
        <v>0</v>
      </c>
      <c r="O528" s="28">
        <f>SUM(V528:Y528)</f>
        <v>0</v>
      </c>
      <c r="P528" s="28">
        <f>O528-N528</f>
        <v>0</v>
      </c>
      <c r="Q528" s="61" t="str">
        <f>IF(ISERROR(P528/SUM(H528:L528)),"",P528/SUM(H528:L528))</f>
        <v/>
      </c>
      <c r="R528" s="113">
        <v>0</v>
      </c>
      <c r="S528" s="28">
        <f>IF(ISERROR(P528/C528*R528),0,(P528/C528*R528))</f>
        <v>0</v>
      </c>
      <c r="T528" s="60">
        <f>IF(ISERROR(P528/B528*AF528),0,(P528/B528*AF528))</f>
        <v>0</v>
      </c>
      <c r="V528" s="113">
        <v>0</v>
      </c>
      <c r="W528" s="113">
        <v>0</v>
      </c>
      <c r="X528" s="113">
        <v>0</v>
      </c>
      <c r="Y528" s="113">
        <v>0</v>
      </c>
      <c r="AA528" s="113">
        <v>0</v>
      </c>
      <c r="AB528" s="113">
        <v>0</v>
      </c>
      <c r="AC528" s="113">
        <v>0</v>
      </c>
      <c r="AD528" s="113">
        <v>0</v>
      </c>
      <c r="AF528" s="113">
        <v>0</v>
      </c>
      <c r="AG528" s="28">
        <f>G528-O528</f>
        <v>0</v>
      </c>
      <c r="AH528" s="58">
        <f>IF(ISERROR(AG528/B528*AF528),0,(AG528/B528*AF528))</f>
        <v>0</v>
      </c>
      <c r="AI528" s="28">
        <f>SUM(H528:M528)</f>
        <v>0</v>
      </c>
      <c r="AJ528" s="28">
        <f>IF(ISERROR(AI528/B528*AF528),0,(AI528/B528*AF528))</f>
        <v>0</v>
      </c>
      <c r="AK528" s="58">
        <f>IF(ISERROR(O528/B528*AF528),0,(O528/B528*AF528))</f>
        <v>0</v>
      </c>
      <c r="AL528" s="28">
        <f>IF(ISERROR(H528/B528*AF528),0,(H528/B528*AF528))</f>
        <v>0</v>
      </c>
      <c r="AN528" s="51">
        <f>A528</f>
        <v>0</v>
      </c>
      <c r="AO528" s="57">
        <f>IF(ISERROR(IF(B528=C528,D528/C528,(INT(D528/B528)+(((D528-B528*INT(D528/B528)))/C528)/100))),0,(IF(B528=C528,D528/C528,(INT(D528/B528)+(((D528-B528*INT(D528/B528)))/C528)/100))))</f>
        <v>0</v>
      </c>
      <c r="AP528" s="57">
        <f>IF(ISERROR(IF(B528=C528,E528/C528,(INT(E528/B528)+(((E528-B528*INT(E528/B528)))/C528)/100))),0,(IF(B528=C528,E528/C528,(INT(E528/B528)+(((E528-B528*INT(E528/B528)))/C528)/100))))</f>
        <v>0</v>
      </c>
      <c r="AQ528" s="57">
        <f>IF(ISERROR(IF(B528=C528,F528/C528,IF((INT(F528/B528)+(((F528-B528*INT(F528/B528)))/C528)/100)&lt;0,(INT(F528/B528)+(((F528-B528*INT(F528/B528)))/C528)/100)+(1-(B528/C528/100)),(INT(F528/B528)+(((F528-B528*INT(F528/B528)))/C528)/100)))),0,IF(B528=C528,F528/C528,IF((INT(F528/B528)+(((F528-B528*INT(F528/B528)))/C528)/100)&lt;0,(INT(F528/B528)+(((F528-B528*INT(F528/B528)))/C528)/100)+(1-(B528/C528/100)),(INT(F528/B528)+(((F528-B528*INT(F528/B528)))/C528)/100))))</f>
        <v>0</v>
      </c>
      <c r="AR528" s="57">
        <f>IF(ISERROR(IF(B528=C528,G528/C528,(INT(G528/B528)+(((G528-B528*INT(G528/B528)))/C528)/100))),0,(IF(B528=C528,G528/C528,(INT(G528/B528)+(((G528-B528*INT(G528/B528)))/C528)/100))))</f>
        <v>0</v>
      </c>
      <c r="AS528" s="57">
        <f>IF(ISERROR(IF(B528=C528,H528/C528,(INT(H528/B528)+(((H528-B528*INT(H528/B528)))/C528)/100))),0,(IF(B528=C528,H528/C528,(INT(H528/B528)+(((H528-B528*INT(H528/B528)))/C528)/100))))</f>
        <v>0</v>
      </c>
      <c r="AT528" s="57">
        <f>IF(ISERROR(IF(B528=C528,I528/C528,(INT(I528/B528)+(((I528-B528*INT(I528/B528)))/C528)/100))),0,(IF(B528=C528,I528/C528,(INT(I528/B528)+(((I528-B528*INT(I528/B528)))/C528)/100))))</f>
        <v>0</v>
      </c>
      <c r="AU528" s="57">
        <f>IF(ISERROR(IF(B528=C528,J528/C528,(INT(J528/B528)+(((J528-B528*INT(J528/B528)))/C528)/100))),0,(IF(B528=C528,J528/C528,(INT(J528/B528)+(((J528-B528*INT(J528/B528)))/C528)/100))))</f>
        <v>0</v>
      </c>
      <c r="AV528" s="57">
        <f>IF(ISERROR(IF(B528=C528,K528/C528,IF((INT(K528/B528)+(((K528-B528*INT(K528/B528)))/C528)/100)&lt;0,(INT(K528/B528)+(((K528-B528*INT(K528/B528)))/C528)/100)+(1-(B528/C528/100)),(INT(K528/B528)+(((K528-B528*INT(K528/B528)))/C528)/100)))),0,IF(B528=C528,K528/C528,IF((INT(K528/B528)+(((K528-B528*INT(K528/B528)))/C528)/100)&lt;0,(INT(K528/B528)+(((K528-B528*INT(K528/B528)))/C528)/100)+(1-(B528/C528/100)),(INT(K528/B528)+(((K528-B528*INT(K528/B528)))/C528)/100))))</f>
        <v>0</v>
      </c>
      <c r="AW528" s="57">
        <f>IF(ISERROR(IF(B528=C528,L528/C528,(INT(L528/B528)+(((L528-B528*INT(L528/B528)))/C528)/100))),0,(IF(B528=C528,L528/C528,(INT(L528/B528)+(((L528-B528*INT(L528/B528)))/C528)/100))))</f>
        <v>0</v>
      </c>
      <c r="AX528" s="57">
        <f>IF(ISERROR(IF(B528=C528,M528/C528,(INT(M528/B528)+(((M528-B528*INT(M528/B528)))/C528)/100))),0,(IF(B528=C528,M528/C528,(INT(M528/B528)+(((M528-B528*INT(M528/B528)))/C528)/100))))</f>
        <v>0</v>
      </c>
      <c r="AY528" s="57">
        <f>IF(ISERROR(IF(B528=C528,N528/C528,IF((INT(N528/B528)+(((N528-B528*INT(N528/B528)))/C528)/100)&lt;0,(INT(N528/B528)+(((N528-B528*INT(N528/B528)))/C528)/100)+(1-(B528/C528/100)),(INT(N528/B528)+(((N528-B528*INT(N528/B528)))/C528)/100)))),0,IF(B528=C528,N528/C528,IF((INT(N528/B528)+(((N528-B528*INT(N528/B528)))/C528)/100)&lt;0,(INT(N528/B528)+(((N528-B528*INT(N528/B528)))/C528)/100)+(1-(B528/C528/100)),(INT(N528/B528)+(((N528-B528*INT(N528/B528)))/C528)/100))))</f>
        <v>0</v>
      </c>
      <c r="AZ528" s="57">
        <f>IF(ISERROR(IF(B528=C528,O528/C528,(INT(O528/B528)+(((O528-B528*INT(O528/B528)))/C528)/100))),0,(IF(B528=C528,O528/C528,(INT(O528/B528)+(((O528-B528*INT(O528/B528)))/C528)/100))))</f>
        <v>0</v>
      </c>
      <c r="BA528" s="57">
        <f>IF(ISERROR(IF(B528=C528,P528/C528,IF((INT(P528/B528)+(((P528-B528*INT(P528/B528)))/C528)/100)&lt;0,(INT(P528/B528)+(((P528-B528*INT(P528/B528)))/C528)/100)+(1-(B528/C528/100)),(INT(P528/B528)+(((P528-B528*INT(P528/B528)))/C528)/100)))),0,IF(B528=C528,P528/C528,IF((INT(P528/B528)+(((P528-B528*INT(P528/B528)))/C528)/100)&lt;0,(INT(P528/B528)+(((P528-B528*INT(P528/B528)))/C528)/100)+(1-(B528/C528/100)),(INT(P528/B528)+(((P528-B528*INT(P528/B528)))/C528)/100))))</f>
        <v>0</v>
      </c>
      <c r="BB528" s="28">
        <f>R528</f>
        <v>0</v>
      </c>
      <c r="BC528" s="28">
        <f>S528</f>
        <v>0</v>
      </c>
      <c r="BD528" s="28">
        <f>AF528</f>
        <v>0</v>
      </c>
      <c r="BE528" s="28">
        <f>T528</f>
        <v>0</v>
      </c>
      <c r="BG528" s="57">
        <f>IF(ISERROR(IF(B528=C528,V528/C528,(INT(V528/B528)+(((V528-B528*INT(V528/B528)))/C528)/100))),0,(IF(B528=C528,V528/C528,(INT(V528/B528)+(((V528-B528*INT(V528/B528)))/C528)/100))))</f>
        <v>0</v>
      </c>
      <c r="BH528" s="57">
        <f>IF(ISERROR(IF(B528=C528,W528/C528,(INT(W528/B528)+(((W528-B528*INT(W528/B528)))/C528)/100))),0,(IF(B528=C528,W528/C528,(INT(W528/B528)+(((W528-B528*INT(W528/B528)))/C528)/100))))</f>
        <v>0</v>
      </c>
      <c r="BI528" s="57">
        <f>IF(ISERROR(IF(B528=C528,X528/C528,(INT(X528/B528)+(((X528-B528*INT(X528/B528)))/C528)/100))),0,(IF(B528=C528,X528/C528,(INT(X528/B528)+(((X528-B528*INT(X528/B528)))/C528)/100))))</f>
        <v>0</v>
      </c>
      <c r="BJ528" s="57">
        <f>IF(ISERROR(IF(B528=C528,Y528/C528,(INT(Y528/B528)+(((Y528-B528*INT(Y528/B528)))/C528)/100))),0,(IF(B528=C528,Y528/C528,(INT(Y528/B528)+(((Y528-B528*INT(Y528/B528)))/C528)/100))))</f>
        <v>0</v>
      </c>
      <c r="BL528" s="57">
        <f>IF(ISERROR(IF(B528=C528,AA528/C528,(INT(AA528/B528)+(((AA528-B528*INT(AA528/B528)))/C528)/100))),0,(IF(B528=C528,AA528/C528,(INT(AA528/B528)+(((AA528-B528*INT(AA528/B528)))/C528)/100))))</f>
        <v>0</v>
      </c>
      <c r="BM528" s="57">
        <f>IF(ISERROR(IF(B528=C528,AB528/C528,(INT(AB528/B528)+(((AB528-B528*INT(AB528/B528)))/C528)/100))),0,(IF(B528=C528,AB528/C528,(INT(AB528/B528)+(((AB528-B528*INT(AB528/B528)))/C528)/100))))</f>
        <v>0</v>
      </c>
      <c r="BN528" s="57">
        <f>IF(ISERROR(IF(B528=C528,AC528/C528,(INT(AC528/B528)+(((AC528-B528*INT(AC528/B528)))/C528)/100))),0,(IF(B528=C528,AC528/C528,(INT(AC528/B528)+(((AC528-B528*INT(AC528/B528)))/C528)/100))))</f>
        <v>0</v>
      </c>
      <c r="BO528" s="57">
        <f>IF(ISERROR(IF(B528=C528,AD528/C528,(INT(AD528/B528)+(((AD528-B528*INT(AD528/B528)))/C528)/100))),0,(IF(B528=C528,AD528/C528,(INT(AD528/B528)+(((AD528-B528*INT(AD528/B528)))/C528)/100))))</f>
        <v>0</v>
      </c>
      <c r="BQ528" s="155"/>
    </row>
    <row r="529" spans="1:69" hidden="1" x14ac:dyDescent="0.35">
      <c r="A529" s="94"/>
      <c r="B529" s="113">
        <v>0</v>
      </c>
      <c r="C529" s="113">
        <v>250</v>
      </c>
      <c r="D529" s="28">
        <f>SUM(AA529:AD529)</f>
        <v>0</v>
      </c>
      <c r="E529" s="113">
        <v>0</v>
      </c>
      <c r="F529" s="113">
        <v>0</v>
      </c>
      <c r="G529" s="28">
        <f>SUM(D529:F529)</f>
        <v>0</v>
      </c>
      <c r="H529" s="125">
        <v>0</v>
      </c>
      <c r="I529" s="113">
        <v>0</v>
      </c>
      <c r="J529" s="125">
        <v>0</v>
      </c>
      <c r="K529" s="113">
        <v>0</v>
      </c>
      <c r="L529" s="113">
        <v>0</v>
      </c>
      <c r="M529" s="113">
        <v>0</v>
      </c>
      <c r="N529" s="28">
        <f>G529-SUM(H529:M529)</f>
        <v>0</v>
      </c>
      <c r="O529" s="28">
        <f>SUM(V529:Y529)</f>
        <v>0</v>
      </c>
      <c r="P529" s="28">
        <f>O529-N529</f>
        <v>0</v>
      </c>
      <c r="Q529" s="61" t="str">
        <f>IF(ISERROR(P529/SUM(H529:L529)),"",P529/SUM(H529:L529))</f>
        <v/>
      </c>
      <c r="R529" s="113">
        <v>0</v>
      </c>
      <c r="S529" s="28">
        <f>IF(ISERROR(P529/C529*R529),0,(P529/C529*R529))</f>
        <v>0</v>
      </c>
      <c r="T529" s="60">
        <f>IF(ISERROR(P529/B529*AF529),0,(P529/B529*AF529))</f>
        <v>0</v>
      </c>
      <c r="V529" s="113">
        <v>0</v>
      </c>
      <c r="W529" s="113">
        <v>0</v>
      </c>
      <c r="X529" s="113">
        <v>0</v>
      </c>
      <c r="Y529" s="113">
        <v>0</v>
      </c>
      <c r="AA529" s="113">
        <v>0</v>
      </c>
      <c r="AB529" s="113">
        <v>0</v>
      </c>
      <c r="AC529" s="113">
        <v>0</v>
      </c>
      <c r="AD529" s="113">
        <v>0</v>
      </c>
      <c r="AF529" s="113">
        <v>0</v>
      </c>
      <c r="AG529" s="28">
        <f>G529-O529</f>
        <v>0</v>
      </c>
      <c r="AH529" s="58">
        <f>IF(ISERROR(AG529/B529*AF529),0,(AG529/B529*AF529))</f>
        <v>0</v>
      </c>
      <c r="AI529" s="28">
        <f>SUM(H529:M529)</f>
        <v>0</v>
      </c>
      <c r="AJ529" s="28">
        <f>IF(ISERROR(AI529/B529*AF529),0,(AI529/B529*AF529))</f>
        <v>0</v>
      </c>
      <c r="AK529" s="58">
        <f>IF(ISERROR(O529/B529*AF529),0,(O529/B529*AF529))</f>
        <v>0</v>
      </c>
      <c r="AL529" s="28">
        <f>IF(ISERROR(H529/B529*AF529),0,(H529/B529*AF529))</f>
        <v>0</v>
      </c>
      <c r="AN529" s="51">
        <f>A529</f>
        <v>0</v>
      </c>
      <c r="AO529" s="57">
        <f>IF(ISERROR(IF(B529=C529,D529/C529,(INT(D529/B529)+(((D529-B529*INT(D529/B529)))/C529)/100))),0,(IF(B529=C529,D529/C529,(INT(D529/B529)+(((D529-B529*INT(D529/B529)))/C529)/100))))</f>
        <v>0</v>
      </c>
      <c r="AP529" s="57">
        <f>IF(ISERROR(IF(B529=C529,E529/C529,(INT(E529/B529)+(((E529-B529*INT(E529/B529)))/C529)/100))),0,(IF(B529=C529,E529/C529,(INT(E529/B529)+(((E529-B529*INT(E529/B529)))/C529)/100))))</f>
        <v>0</v>
      </c>
      <c r="AQ529" s="57">
        <f>IF(ISERROR(IF(B529=C529,F529/C529,IF((INT(F529/B529)+(((F529-B529*INT(F529/B529)))/C529)/100)&lt;0,(INT(F529/B529)+(((F529-B529*INT(F529/B529)))/C529)/100)+(1-(B529/C529/100)),(INT(F529/B529)+(((F529-B529*INT(F529/B529)))/C529)/100)))),0,IF(B529=C529,F529/C529,IF((INT(F529/B529)+(((F529-B529*INT(F529/B529)))/C529)/100)&lt;0,(INT(F529/B529)+(((F529-B529*INT(F529/B529)))/C529)/100)+(1-(B529/C529/100)),(INT(F529/B529)+(((F529-B529*INT(F529/B529)))/C529)/100))))</f>
        <v>0</v>
      </c>
      <c r="AR529" s="57">
        <f>IF(ISERROR(IF(B529=C529,G529/C529,(INT(G529/B529)+(((G529-B529*INT(G529/B529)))/C529)/100))),0,(IF(B529=C529,G529/C529,(INT(G529/B529)+(((G529-B529*INT(G529/B529)))/C529)/100))))</f>
        <v>0</v>
      </c>
      <c r="AS529" s="57">
        <f>IF(ISERROR(IF(B529=C529,H529/C529,(INT(H529/B529)+(((H529-B529*INT(H529/B529)))/C529)/100))),0,(IF(B529=C529,H529/C529,(INT(H529/B529)+(((H529-B529*INT(H529/B529)))/C529)/100))))</f>
        <v>0</v>
      </c>
      <c r="AT529" s="57">
        <f>IF(ISERROR(IF(B529=C529,I529/C529,(INT(I529/B529)+(((I529-B529*INT(I529/B529)))/C529)/100))),0,(IF(B529=C529,I529/C529,(INT(I529/B529)+(((I529-B529*INT(I529/B529)))/C529)/100))))</f>
        <v>0</v>
      </c>
      <c r="AU529" s="57">
        <f>IF(ISERROR(IF(B529=C529,J529/C529,(INT(J529/B529)+(((J529-B529*INT(J529/B529)))/C529)/100))),0,(IF(B529=C529,J529/C529,(INT(J529/B529)+(((J529-B529*INT(J529/B529)))/C529)/100))))</f>
        <v>0</v>
      </c>
      <c r="AV529" s="57">
        <f>IF(ISERROR(IF(B529=C529,K529/C529,IF((INT(K529/B529)+(((K529-B529*INT(K529/B529)))/C529)/100)&lt;0,(INT(K529/B529)+(((K529-B529*INT(K529/B529)))/C529)/100)+(1-(B529/C529/100)),(INT(K529/B529)+(((K529-B529*INT(K529/B529)))/C529)/100)))),0,IF(B529=C529,K529/C529,IF((INT(K529/B529)+(((K529-B529*INT(K529/B529)))/C529)/100)&lt;0,(INT(K529/B529)+(((K529-B529*INT(K529/B529)))/C529)/100)+(1-(B529/C529/100)),(INT(K529/B529)+(((K529-B529*INT(K529/B529)))/C529)/100))))</f>
        <v>0</v>
      </c>
      <c r="AW529" s="57">
        <f>IF(ISERROR(IF(B529=C529,L529/C529,(INT(L529/B529)+(((L529-B529*INT(L529/B529)))/C529)/100))),0,(IF(B529=C529,L529/C529,(INT(L529/B529)+(((L529-B529*INT(L529/B529)))/C529)/100))))</f>
        <v>0</v>
      </c>
      <c r="AX529" s="57">
        <f>IF(ISERROR(IF(B529=C529,M529/C529,(INT(M529/B529)+(((M529-B529*INT(M529/B529)))/C529)/100))),0,(IF(B529=C529,M529/C529,(INT(M529/B529)+(((M529-B529*INT(M529/B529)))/C529)/100))))</f>
        <v>0</v>
      </c>
      <c r="AY529" s="57">
        <f>IF(ISERROR(IF(B529=C529,N529/C529,IF((INT(N529/B529)+(((N529-B529*INT(N529/B529)))/C529)/100)&lt;0,(INT(N529/B529)+(((N529-B529*INT(N529/B529)))/C529)/100)+(1-(B529/C529/100)),(INT(N529/B529)+(((N529-B529*INT(N529/B529)))/C529)/100)))),0,IF(B529=C529,N529/C529,IF((INT(N529/B529)+(((N529-B529*INT(N529/B529)))/C529)/100)&lt;0,(INT(N529/B529)+(((N529-B529*INT(N529/B529)))/C529)/100)+(1-(B529/C529/100)),(INT(N529/B529)+(((N529-B529*INT(N529/B529)))/C529)/100))))</f>
        <v>0</v>
      </c>
      <c r="AZ529" s="57">
        <f>IF(ISERROR(IF(B529=C529,O529/C529,(INT(O529/B529)+(((O529-B529*INT(O529/B529)))/C529)/100))),0,(IF(B529=C529,O529/C529,(INT(O529/B529)+(((O529-B529*INT(O529/B529)))/C529)/100))))</f>
        <v>0</v>
      </c>
      <c r="BA529" s="57">
        <f>IF(ISERROR(IF(B529=C529,P529/C529,IF((INT(P529/B529)+(((P529-B529*INT(P529/B529)))/C529)/100)&lt;0,(INT(P529/B529)+(((P529-B529*INT(P529/B529)))/C529)/100)+(1-(B529/C529/100)),(INT(P529/B529)+(((P529-B529*INT(P529/B529)))/C529)/100)))),0,IF(B529=C529,P529/C529,IF((INT(P529/B529)+(((P529-B529*INT(P529/B529)))/C529)/100)&lt;0,(INT(P529/B529)+(((P529-B529*INT(P529/B529)))/C529)/100)+(1-(B529/C529/100)),(INT(P529/B529)+(((P529-B529*INT(P529/B529)))/C529)/100))))</f>
        <v>0</v>
      </c>
      <c r="BB529" s="28">
        <f>R529</f>
        <v>0</v>
      </c>
      <c r="BC529" s="28">
        <f>S529</f>
        <v>0</v>
      </c>
      <c r="BD529" s="28">
        <f>AF529</f>
        <v>0</v>
      </c>
      <c r="BE529" s="28">
        <f>T529</f>
        <v>0</v>
      </c>
      <c r="BG529" s="57">
        <f>IF(ISERROR(IF(B529=C529,V529/C529,(INT(V529/B529)+(((V529-B529*INT(V529/B529)))/C529)/100))),0,(IF(B529=C529,V529/C529,(INT(V529/B529)+(((V529-B529*INT(V529/B529)))/C529)/100))))</f>
        <v>0</v>
      </c>
      <c r="BH529" s="57">
        <f>IF(ISERROR(IF(B529=C529,W529/C529,(INT(W529/B529)+(((W529-B529*INT(W529/B529)))/C529)/100))),0,(IF(B529=C529,W529/C529,(INT(W529/B529)+(((W529-B529*INT(W529/B529)))/C529)/100))))</f>
        <v>0</v>
      </c>
      <c r="BI529" s="57">
        <f>IF(ISERROR(IF(B529=C529,X529/C529,(INT(X529/B529)+(((X529-B529*INT(X529/B529)))/C529)/100))),0,(IF(B529=C529,X529/C529,(INT(X529/B529)+(((X529-B529*INT(X529/B529)))/C529)/100))))</f>
        <v>0</v>
      </c>
      <c r="BJ529" s="57">
        <f>IF(ISERROR(IF(B529=C529,Y529/C529,(INT(Y529/B529)+(((Y529-B529*INT(Y529/B529)))/C529)/100))),0,(IF(B529=C529,Y529/C529,(INT(Y529/B529)+(((Y529-B529*INT(Y529/B529)))/C529)/100))))</f>
        <v>0</v>
      </c>
      <c r="BL529" s="57">
        <f>IF(ISERROR(IF(B529=C529,AA529/C529,(INT(AA529/B529)+(((AA529-B529*INT(AA529/B529)))/C529)/100))),0,(IF(B529=C529,AA529/C529,(INT(AA529/B529)+(((AA529-B529*INT(AA529/B529)))/C529)/100))))</f>
        <v>0</v>
      </c>
      <c r="BM529" s="57">
        <f>IF(ISERROR(IF(B529=C529,AB529/C529,(INT(AB529/B529)+(((AB529-B529*INT(AB529/B529)))/C529)/100))),0,(IF(B529=C529,AB529/C529,(INT(AB529/B529)+(((AB529-B529*INT(AB529/B529)))/C529)/100))))</f>
        <v>0</v>
      </c>
      <c r="BN529" s="57">
        <f>IF(ISERROR(IF(B529=C529,AC529/C529,(INT(AC529/B529)+(((AC529-B529*INT(AC529/B529)))/C529)/100))),0,(IF(B529=C529,AC529/C529,(INT(AC529/B529)+(((AC529-B529*INT(AC529/B529)))/C529)/100))))</f>
        <v>0</v>
      </c>
      <c r="BO529" s="57">
        <f>IF(ISERROR(IF(B529=C529,AD529/C529,(INT(AD529/B529)+(((AD529-B529*INT(AD529/B529)))/C529)/100))),0,(IF(B529=C529,AD529/C529,(INT(AD529/B529)+(((AD529-B529*INT(AD529/B529)))/C529)/100))))</f>
        <v>0</v>
      </c>
      <c r="BQ529" s="155"/>
    </row>
    <row r="530" spans="1:69" hidden="1" x14ac:dyDescent="0.35">
      <c r="A530" s="94"/>
      <c r="B530" s="113">
        <v>0</v>
      </c>
      <c r="C530" s="113">
        <v>250</v>
      </c>
      <c r="D530" s="28">
        <f>SUM(AA530:AD530)</f>
        <v>0</v>
      </c>
      <c r="E530" s="113">
        <v>0</v>
      </c>
      <c r="F530" s="113">
        <v>0</v>
      </c>
      <c r="G530" s="28">
        <f>SUM(D530:F530)</f>
        <v>0</v>
      </c>
      <c r="H530" s="125">
        <v>0</v>
      </c>
      <c r="I530" s="113">
        <v>0</v>
      </c>
      <c r="J530" s="125">
        <v>0</v>
      </c>
      <c r="K530" s="113">
        <v>0</v>
      </c>
      <c r="L530" s="113">
        <v>0</v>
      </c>
      <c r="M530" s="113">
        <v>0</v>
      </c>
      <c r="N530" s="28">
        <f>G530-SUM(H530:M530)</f>
        <v>0</v>
      </c>
      <c r="O530" s="28">
        <f>SUM(V530:Y530)</f>
        <v>0</v>
      </c>
      <c r="P530" s="28">
        <f>O530-N530</f>
        <v>0</v>
      </c>
      <c r="Q530" s="61" t="str">
        <f>IF(ISERROR(P530/SUM(H530:L530)),"",P530/SUM(H530:L530))</f>
        <v/>
      </c>
      <c r="R530" s="113">
        <v>0</v>
      </c>
      <c r="S530" s="28">
        <f>IF(ISERROR(P530/C530*R530),0,(P530/C530*R530))</f>
        <v>0</v>
      </c>
      <c r="T530" s="60">
        <f>IF(ISERROR(P530/B530*AF530),0,(P530/B530*AF530))</f>
        <v>0</v>
      </c>
      <c r="V530" s="113">
        <v>0</v>
      </c>
      <c r="W530" s="113">
        <v>0</v>
      </c>
      <c r="X530" s="113">
        <v>0</v>
      </c>
      <c r="Y530" s="113">
        <v>0</v>
      </c>
      <c r="AA530" s="113">
        <v>0</v>
      </c>
      <c r="AB530" s="113">
        <v>0</v>
      </c>
      <c r="AC530" s="113">
        <v>0</v>
      </c>
      <c r="AD530" s="113">
        <v>0</v>
      </c>
      <c r="AF530" s="113">
        <v>0</v>
      </c>
      <c r="AG530" s="28">
        <f>G530-O530</f>
        <v>0</v>
      </c>
      <c r="AH530" s="58">
        <f>IF(ISERROR(AG530/B530*AF530),0,(AG530/B530*AF530))</f>
        <v>0</v>
      </c>
      <c r="AI530" s="28">
        <f>SUM(H530:M530)</f>
        <v>0</v>
      </c>
      <c r="AJ530" s="28">
        <f>IF(ISERROR(AI530/B530*AF530),0,(AI530/B530*AF530))</f>
        <v>0</v>
      </c>
      <c r="AK530" s="58">
        <f>IF(ISERROR(O530/B530*AF530),0,(O530/B530*AF530))</f>
        <v>0</v>
      </c>
      <c r="AL530" s="28">
        <f>IF(ISERROR(H530/B530*AF530),0,(H530/B530*AF530))</f>
        <v>0</v>
      </c>
      <c r="AN530" s="51">
        <f>A530</f>
        <v>0</v>
      </c>
      <c r="AO530" s="57">
        <f>IF(ISERROR(IF(B530=C530,D530/C530,(INT(D530/B530)+(((D530-B530*INT(D530/B530)))/C530)/100))),0,(IF(B530=C530,D530/C530,(INT(D530/B530)+(((D530-B530*INT(D530/B530)))/C530)/100))))</f>
        <v>0</v>
      </c>
      <c r="AP530" s="57">
        <f>IF(ISERROR(IF(B530=C530,E530/C530,(INT(E530/B530)+(((E530-B530*INT(E530/B530)))/C530)/100))),0,(IF(B530=C530,E530/C530,(INT(E530/B530)+(((E530-B530*INT(E530/B530)))/C530)/100))))</f>
        <v>0</v>
      </c>
      <c r="AQ530" s="57">
        <f>IF(ISERROR(IF(B530=C530,F530/C530,IF((INT(F530/B530)+(((F530-B530*INT(F530/B530)))/C530)/100)&lt;0,(INT(F530/B530)+(((F530-B530*INT(F530/B530)))/C530)/100)+(1-(B530/C530/100)),(INT(F530/B530)+(((F530-B530*INT(F530/B530)))/C530)/100)))),0,IF(B530=C530,F530/C530,IF((INT(F530/B530)+(((F530-B530*INT(F530/B530)))/C530)/100)&lt;0,(INT(F530/B530)+(((F530-B530*INT(F530/B530)))/C530)/100)+(1-(B530/C530/100)),(INT(F530/B530)+(((F530-B530*INT(F530/B530)))/C530)/100))))</f>
        <v>0</v>
      </c>
      <c r="AR530" s="57">
        <f>IF(ISERROR(IF(B530=C530,G530/C530,(INT(G530/B530)+(((G530-B530*INT(G530/B530)))/C530)/100))),0,(IF(B530=C530,G530/C530,(INT(G530/B530)+(((G530-B530*INT(G530/B530)))/C530)/100))))</f>
        <v>0</v>
      </c>
      <c r="AS530" s="57">
        <f>IF(ISERROR(IF(B530=C530,H530/C530,(INT(H530/B530)+(((H530-B530*INT(H530/B530)))/C530)/100))),0,(IF(B530=C530,H530/C530,(INT(H530/B530)+(((H530-B530*INT(H530/B530)))/C530)/100))))</f>
        <v>0</v>
      </c>
      <c r="AT530" s="57">
        <f>IF(ISERROR(IF(B530=C530,I530/C530,(INT(I530/B530)+(((I530-B530*INT(I530/B530)))/C530)/100))),0,(IF(B530=C530,I530/C530,(INT(I530/B530)+(((I530-B530*INT(I530/B530)))/C530)/100))))</f>
        <v>0</v>
      </c>
      <c r="AU530" s="57">
        <f>IF(ISERROR(IF(B530=C530,J530/C530,(INT(J530/B530)+(((J530-B530*INT(J530/B530)))/C530)/100))),0,(IF(B530=C530,J530/C530,(INT(J530/B530)+(((J530-B530*INT(J530/B530)))/C530)/100))))</f>
        <v>0</v>
      </c>
      <c r="AV530" s="57">
        <f>IF(ISERROR(IF(B530=C530,K530/C530,IF((INT(K530/B530)+(((K530-B530*INT(K530/B530)))/C530)/100)&lt;0,(INT(K530/B530)+(((K530-B530*INT(K530/B530)))/C530)/100)+(1-(B530/C530/100)),(INT(K530/B530)+(((K530-B530*INT(K530/B530)))/C530)/100)))),0,IF(B530=C530,K530/C530,IF((INT(K530/B530)+(((K530-B530*INT(K530/B530)))/C530)/100)&lt;0,(INT(K530/B530)+(((K530-B530*INT(K530/B530)))/C530)/100)+(1-(B530/C530/100)),(INT(K530/B530)+(((K530-B530*INT(K530/B530)))/C530)/100))))</f>
        <v>0</v>
      </c>
      <c r="AW530" s="57">
        <f>IF(ISERROR(IF(B530=C530,L530/C530,(INT(L530/B530)+(((L530-B530*INT(L530/B530)))/C530)/100))),0,(IF(B530=C530,L530/C530,(INT(L530/B530)+(((L530-B530*INT(L530/B530)))/C530)/100))))</f>
        <v>0</v>
      </c>
      <c r="AX530" s="57">
        <f>IF(ISERROR(IF(B530=C530,M530/C530,(INT(M530/B530)+(((M530-B530*INT(M530/B530)))/C530)/100))),0,(IF(B530=C530,M530/C530,(INT(M530/B530)+(((M530-B530*INT(M530/B530)))/C530)/100))))</f>
        <v>0</v>
      </c>
      <c r="AY530" s="57">
        <f>IF(ISERROR(IF(B530=C530,N530/C530,IF((INT(N530/B530)+(((N530-B530*INT(N530/B530)))/C530)/100)&lt;0,(INT(N530/B530)+(((N530-B530*INT(N530/B530)))/C530)/100)+(1-(B530/C530/100)),(INT(N530/B530)+(((N530-B530*INT(N530/B530)))/C530)/100)))),0,IF(B530=C530,N530/C530,IF((INT(N530/B530)+(((N530-B530*INT(N530/B530)))/C530)/100)&lt;0,(INT(N530/B530)+(((N530-B530*INT(N530/B530)))/C530)/100)+(1-(B530/C530/100)),(INT(N530/B530)+(((N530-B530*INT(N530/B530)))/C530)/100))))</f>
        <v>0</v>
      </c>
      <c r="AZ530" s="57">
        <f>IF(ISERROR(IF(B530=C530,O530/C530,(INT(O530/B530)+(((O530-B530*INT(O530/B530)))/C530)/100))),0,(IF(B530=C530,O530/C530,(INT(O530/B530)+(((O530-B530*INT(O530/B530)))/C530)/100))))</f>
        <v>0</v>
      </c>
      <c r="BA530" s="57">
        <f>IF(ISERROR(IF(B530=C530,P530/C530,IF((INT(P530/B530)+(((P530-B530*INT(P530/B530)))/C530)/100)&lt;0,(INT(P530/B530)+(((P530-B530*INT(P530/B530)))/C530)/100)+(1-(B530/C530/100)),(INT(P530/B530)+(((P530-B530*INT(P530/B530)))/C530)/100)))),0,IF(B530=C530,P530/C530,IF((INT(P530/B530)+(((P530-B530*INT(P530/B530)))/C530)/100)&lt;0,(INT(P530/B530)+(((P530-B530*INT(P530/B530)))/C530)/100)+(1-(B530/C530/100)),(INT(P530/B530)+(((P530-B530*INT(P530/B530)))/C530)/100))))</f>
        <v>0</v>
      </c>
      <c r="BB530" s="28">
        <f>R530</f>
        <v>0</v>
      </c>
      <c r="BC530" s="28">
        <f>S530</f>
        <v>0</v>
      </c>
      <c r="BD530" s="28">
        <f>AF530</f>
        <v>0</v>
      </c>
      <c r="BE530" s="28">
        <f>T530</f>
        <v>0</v>
      </c>
      <c r="BG530" s="57">
        <f>IF(ISERROR(IF(B530=C530,V530/C530,(INT(V530/B530)+(((V530-B530*INT(V530/B530)))/C530)/100))),0,(IF(B530=C530,V530/C530,(INT(V530/B530)+(((V530-B530*INT(V530/B530)))/C530)/100))))</f>
        <v>0</v>
      </c>
      <c r="BH530" s="57">
        <f>IF(ISERROR(IF(B530=C530,W530/C530,(INT(W530/B530)+(((W530-B530*INT(W530/B530)))/C530)/100))),0,(IF(B530=C530,W530/C530,(INT(W530/B530)+(((W530-B530*INT(W530/B530)))/C530)/100))))</f>
        <v>0</v>
      </c>
      <c r="BI530" s="57">
        <f>IF(ISERROR(IF(B530=C530,X530/C530,(INT(X530/B530)+(((X530-B530*INT(X530/B530)))/C530)/100))),0,(IF(B530=C530,X530/C530,(INT(X530/B530)+(((X530-B530*INT(X530/B530)))/C530)/100))))</f>
        <v>0</v>
      </c>
      <c r="BJ530" s="57">
        <f>IF(ISERROR(IF(B530=C530,Y530/C530,(INT(Y530/B530)+(((Y530-B530*INT(Y530/B530)))/C530)/100))),0,(IF(B530=C530,Y530/C530,(INT(Y530/B530)+(((Y530-B530*INT(Y530/B530)))/C530)/100))))</f>
        <v>0</v>
      </c>
      <c r="BL530" s="57">
        <f>IF(ISERROR(IF(B530=C530,AA530/C530,(INT(AA530/B530)+(((AA530-B530*INT(AA530/B530)))/C530)/100))),0,(IF(B530=C530,AA530/C530,(INT(AA530/B530)+(((AA530-B530*INT(AA530/B530)))/C530)/100))))</f>
        <v>0</v>
      </c>
      <c r="BM530" s="57">
        <f>IF(ISERROR(IF(B530=C530,AB530/C530,(INT(AB530/B530)+(((AB530-B530*INT(AB530/B530)))/C530)/100))),0,(IF(B530=C530,AB530/C530,(INT(AB530/B530)+(((AB530-B530*INT(AB530/B530)))/C530)/100))))</f>
        <v>0</v>
      </c>
      <c r="BN530" s="57">
        <f>IF(ISERROR(IF(B530=C530,AC530/C530,(INT(AC530/B530)+(((AC530-B530*INT(AC530/B530)))/C530)/100))),0,(IF(B530=C530,AC530/C530,(INT(AC530/B530)+(((AC530-B530*INT(AC530/B530)))/C530)/100))))</f>
        <v>0</v>
      </c>
      <c r="BO530" s="57">
        <f>IF(ISERROR(IF(B530=C530,AD530/C530,(INT(AD530/B530)+(((AD530-B530*INT(AD530/B530)))/C530)/100))),0,(IF(B530=C530,AD530/C530,(INT(AD530/B530)+(((AD530-B530*INT(AD530/B530)))/C530)/100))))</f>
        <v>0</v>
      </c>
      <c r="BQ530" s="155"/>
    </row>
    <row r="531" spans="1:69" hidden="1" x14ac:dyDescent="0.35">
      <c r="A531" s="94"/>
      <c r="B531" s="113">
        <v>0</v>
      </c>
      <c r="C531" s="113">
        <v>250</v>
      </c>
      <c r="D531" s="28">
        <f>SUM(AA531:AD531)</f>
        <v>0</v>
      </c>
      <c r="E531" s="113">
        <v>0</v>
      </c>
      <c r="F531" s="113">
        <v>0</v>
      </c>
      <c r="G531" s="28">
        <f>SUM(D531:F531)</f>
        <v>0</v>
      </c>
      <c r="H531" s="125">
        <v>0</v>
      </c>
      <c r="I531" s="113">
        <v>0</v>
      </c>
      <c r="J531" s="125">
        <v>0</v>
      </c>
      <c r="K531" s="113">
        <v>0</v>
      </c>
      <c r="L531" s="113">
        <v>0</v>
      </c>
      <c r="M531" s="113">
        <v>0</v>
      </c>
      <c r="N531" s="28">
        <f>G531-SUM(H531:M531)</f>
        <v>0</v>
      </c>
      <c r="O531" s="28">
        <f>SUM(V531:Y531)</f>
        <v>0</v>
      </c>
      <c r="P531" s="28">
        <f>O531-N531</f>
        <v>0</v>
      </c>
      <c r="Q531" s="61" t="str">
        <f>IF(ISERROR(P531/SUM(H531:L531)),"",P531/SUM(H531:L531))</f>
        <v/>
      </c>
      <c r="R531" s="113">
        <v>0</v>
      </c>
      <c r="S531" s="28">
        <f>IF(ISERROR(P531/C531*R531),0,(P531/C531*R531))</f>
        <v>0</v>
      </c>
      <c r="T531" s="60">
        <f>IF(ISERROR(P531/B531*AF531),0,(P531/B531*AF531))</f>
        <v>0</v>
      </c>
      <c r="V531" s="113">
        <v>0</v>
      </c>
      <c r="W531" s="113">
        <v>0</v>
      </c>
      <c r="X531" s="113">
        <v>0</v>
      </c>
      <c r="Y531" s="113">
        <v>0</v>
      </c>
      <c r="AA531" s="113">
        <v>0</v>
      </c>
      <c r="AB531" s="113">
        <v>0</v>
      </c>
      <c r="AC531" s="113">
        <v>0</v>
      </c>
      <c r="AD531" s="113">
        <v>0</v>
      </c>
      <c r="AF531" s="113">
        <v>0</v>
      </c>
      <c r="AG531" s="28">
        <f>G531-O531</f>
        <v>0</v>
      </c>
      <c r="AH531" s="58">
        <f>IF(ISERROR(AG531/B531*AF531),0,(AG531/B531*AF531))</f>
        <v>0</v>
      </c>
      <c r="AI531" s="28">
        <f>SUM(H531:M531)</f>
        <v>0</v>
      </c>
      <c r="AJ531" s="28">
        <f>IF(ISERROR(AI531/B531*AF531),0,(AI531/B531*AF531))</f>
        <v>0</v>
      </c>
      <c r="AK531" s="58">
        <f>IF(ISERROR(O531/B531*AF531),0,(O531/B531*AF531))</f>
        <v>0</v>
      </c>
      <c r="AL531" s="28">
        <f>IF(ISERROR(H531/B531*AF531),0,(H531/B531*AF531))</f>
        <v>0</v>
      </c>
      <c r="AN531" s="51">
        <f>A531</f>
        <v>0</v>
      </c>
      <c r="AO531" s="57">
        <f>IF(ISERROR(IF(B531=C531,D531/C531,(INT(D531/B531)+(((D531-B531*INT(D531/B531)))/C531)/100))),0,(IF(B531=C531,D531/C531,(INT(D531/B531)+(((D531-B531*INT(D531/B531)))/C531)/100))))</f>
        <v>0</v>
      </c>
      <c r="AP531" s="57">
        <f>IF(ISERROR(IF(B531=C531,E531/C531,(INT(E531/B531)+(((E531-B531*INT(E531/B531)))/C531)/100))),0,(IF(B531=C531,E531/C531,(INT(E531/B531)+(((E531-B531*INT(E531/B531)))/C531)/100))))</f>
        <v>0</v>
      </c>
      <c r="AQ531" s="57">
        <f>IF(ISERROR(IF(B531=C531,F531/C531,IF((INT(F531/B531)+(((F531-B531*INT(F531/B531)))/C531)/100)&lt;0,(INT(F531/B531)+(((F531-B531*INT(F531/B531)))/C531)/100)+(1-(B531/C531/100)),(INT(F531/B531)+(((F531-B531*INT(F531/B531)))/C531)/100)))),0,IF(B531=C531,F531/C531,IF((INT(F531/B531)+(((F531-B531*INT(F531/B531)))/C531)/100)&lt;0,(INT(F531/B531)+(((F531-B531*INT(F531/B531)))/C531)/100)+(1-(B531/C531/100)),(INT(F531/B531)+(((F531-B531*INT(F531/B531)))/C531)/100))))</f>
        <v>0</v>
      </c>
      <c r="AR531" s="57">
        <f>IF(ISERROR(IF(B531=C531,G531/C531,(INT(G531/B531)+(((G531-B531*INT(G531/B531)))/C531)/100))),0,(IF(B531=C531,G531/C531,(INT(G531/B531)+(((G531-B531*INT(G531/B531)))/C531)/100))))</f>
        <v>0</v>
      </c>
      <c r="AS531" s="57">
        <f>IF(ISERROR(IF(B531=C531,H531/C531,(INT(H531/B531)+(((H531-B531*INT(H531/B531)))/C531)/100))),0,(IF(B531=C531,H531/C531,(INT(H531/B531)+(((H531-B531*INT(H531/B531)))/C531)/100))))</f>
        <v>0</v>
      </c>
      <c r="AT531" s="57">
        <f>IF(ISERROR(IF(B531=C531,I531/C531,(INT(I531/B531)+(((I531-B531*INT(I531/B531)))/C531)/100))),0,(IF(B531=C531,I531/C531,(INT(I531/B531)+(((I531-B531*INT(I531/B531)))/C531)/100))))</f>
        <v>0</v>
      </c>
      <c r="AU531" s="57">
        <f>IF(ISERROR(IF(B531=C531,J531/C531,(INT(J531/B531)+(((J531-B531*INT(J531/B531)))/C531)/100))),0,(IF(B531=C531,J531/C531,(INT(J531/B531)+(((J531-B531*INT(J531/B531)))/C531)/100))))</f>
        <v>0</v>
      </c>
      <c r="AV531" s="57">
        <f>IF(ISERROR(IF(B531=C531,K531/C531,IF((INT(K531/B531)+(((K531-B531*INT(K531/B531)))/C531)/100)&lt;0,(INT(K531/B531)+(((K531-B531*INT(K531/B531)))/C531)/100)+(1-(B531/C531/100)),(INT(K531/B531)+(((K531-B531*INT(K531/B531)))/C531)/100)))),0,IF(B531=C531,K531/C531,IF((INT(K531/B531)+(((K531-B531*INT(K531/B531)))/C531)/100)&lt;0,(INT(K531/B531)+(((K531-B531*INT(K531/B531)))/C531)/100)+(1-(B531/C531/100)),(INT(K531/B531)+(((K531-B531*INT(K531/B531)))/C531)/100))))</f>
        <v>0</v>
      </c>
      <c r="AW531" s="57">
        <f>IF(ISERROR(IF(B531=C531,L531/C531,(INT(L531/B531)+(((L531-B531*INT(L531/B531)))/C531)/100))),0,(IF(B531=C531,L531/C531,(INT(L531/B531)+(((L531-B531*INT(L531/B531)))/C531)/100))))</f>
        <v>0</v>
      </c>
      <c r="AX531" s="57">
        <f>IF(ISERROR(IF(B531=C531,M531/C531,(INT(M531/B531)+(((M531-B531*INT(M531/B531)))/C531)/100))),0,(IF(B531=C531,M531/C531,(INT(M531/B531)+(((M531-B531*INT(M531/B531)))/C531)/100))))</f>
        <v>0</v>
      </c>
      <c r="AY531" s="57">
        <f>IF(ISERROR(IF(B531=C531,N531/C531,IF((INT(N531/B531)+(((N531-B531*INT(N531/B531)))/C531)/100)&lt;0,(INT(N531/B531)+(((N531-B531*INT(N531/B531)))/C531)/100)+(1-(B531/C531/100)),(INT(N531/B531)+(((N531-B531*INT(N531/B531)))/C531)/100)))),0,IF(B531=C531,N531/C531,IF((INT(N531/B531)+(((N531-B531*INT(N531/B531)))/C531)/100)&lt;0,(INT(N531/B531)+(((N531-B531*INT(N531/B531)))/C531)/100)+(1-(B531/C531/100)),(INT(N531/B531)+(((N531-B531*INT(N531/B531)))/C531)/100))))</f>
        <v>0</v>
      </c>
      <c r="AZ531" s="57">
        <f>IF(ISERROR(IF(B531=C531,O531/C531,(INT(O531/B531)+(((O531-B531*INT(O531/B531)))/C531)/100))),0,(IF(B531=C531,O531/C531,(INT(O531/B531)+(((O531-B531*INT(O531/B531)))/C531)/100))))</f>
        <v>0</v>
      </c>
      <c r="BA531" s="57">
        <f>IF(ISERROR(IF(B531=C531,P531/C531,IF((INT(P531/B531)+(((P531-B531*INT(P531/B531)))/C531)/100)&lt;0,(INT(P531/B531)+(((P531-B531*INT(P531/B531)))/C531)/100)+(1-(B531/C531/100)),(INT(P531/B531)+(((P531-B531*INT(P531/B531)))/C531)/100)))),0,IF(B531=C531,P531/C531,IF((INT(P531/B531)+(((P531-B531*INT(P531/B531)))/C531)/100)&lt;0,(INT(P531/B531)+(((P531-B531*INT(P531/B531)))/C531)/100)+(1-(B531/C531/100)),(INT(P531/B531)+(((P531-B531*INT(P531/B531)))/C531)/100))))</f>
        <v>0</v>
      </c>
      <c r="BB531" s="28">
        <f>R531</f>
        <v>0</v>
      </c>
      <c r="BC531" s="28">
        <f>S531</f>
        <v>0</v>
      </c>
      <c r="BD531" s="28">
        <f>AF531</f>
        <v>0</v>
      </c>
      <c r="BE531" s="28">
        <f>T531</f>
        <v>0</v>
      </c>
      <c r="BG531" s="57">
        <f>IF(ISERROR(IF(B531=C531,V531/C531,(INT(V531/B531)+(((V531-B531*INT(V531/B531)))/C531)/100))),0,(IF(B531=C531,V531/C531,(INT(V531/B531)+(((V531-B531*INT(V531/B531)))/C531)/100))))</f>
        <v>0</v>
      </c>
      <c r="BH531" s="57">
        <f>IF(ISERROR(IF(B531=C531,W531/C531,(INT(W531/B531)+(((W531-B531*INT(W531/B531)))/C531)/100))),0,(IF(B531=C531,W531/C531,(INT(W531/B531)+(((W531-B531*INT(W531/B531)))/C531)/100))))</f>
        <v>0</v>
      </c>
      <c r="BI531" s="57">
        <f>IF(ISERROR(IF(B531=C531,X531/C531,(INT(X531/B531)+(((X531-B531*INT(X531/B531)))/C531)/100))),0,(IF(B531=C531,X531/C531,(INT(X531/B531)+(((X531-B531*INT(X531/B531)))/C531)/100))))</f>
        <v>0</v>
      </c>
      <c r="BJ531" s="57">
        <f>IF(ISERROR(IF(B531=C531,Y531/C531,(INT(Y531/B531)+(((Y531-B531*INT(Y531/B531)))/C531)/100))),0,(IF(B531=C531,Y531/C531,(INT(Y531/B531)+(((Y531-B531*INT(Y531/B531)))/C531)/100))))</f>
        <v>0</v>
      </c>
      <c r="BL531" s="57">
        <f>IF(ISERROR(IF(B531=C531,AA531/C531,(INT(AA531/B531)+(((AA531-B531*INT(AA531/B531)))/C531)/100))),0,(IF(B531=C531,AA531/C531,(INT(AA531/B531)+(((AA531-B531*INT(AA531/B531)))/C531)/100))))</f>
        <v>0</v>
      </c>
      <c r="BM531" s="57">
        <f>IF(ISERROR(IF(B531=C531,AB531/C531,(INT(AB531/B531)+(((AB531-B531*INT(AB531/B531)))/C531)/100))),0,(IF(B531=C531,AB531/C531,(INT(AB531/B531)+(((AB531-B531*INT(AB531/B531)))/C531)/100))))</f>
        <v>0</v>
      </c>
      <c r="BN531" s="57">
        <f>IF(ISERROR(IF(B531=C531,AC531/C531,(INT(AC531/B531)+(((AC531-B531*INT(AC531/B531)))/C531)/100))),0,(IF(B531=C531,AC531/C531,(INT(AC531/B531)+(((AC531-B531*INT(AC531/B531)))/C531)/100))))</f>
        <v>0</v>
      </c>
      <c r="BO531" s="57">
        <f>IF(ISERROR(IF(B531=C531,AD531/C531,(INT(AD531/B531)+(((AD531-B531*INT(AD531/B531)))/C531)/100))),0,(IF(B531=C531,AD531/C531,(INT(AD531/B531)+(((AD531-B531*INT(AD531/B531)))/C531)/100))))</f>
        <v>0</v>
      </c>
      <c r="BQ531" s="155"/>
    </row>
    <row r="532" spans="1:69" hidden="1" x14ac:dyDescent="0.35">
      <c r="A532" s="94"/>
      <c r="B532" s="113">
        <v>0</v>
      </c>
      <c r="C532" s="113">
        <v>250</v>
      </c>
      <c r="D532" s="28">
        <f>SUM(AA532:AD532)</f>
        <v>0</v>
      </c>
      <c r="E532" s="113">
        <v>0</v>
      </c>
      <c r="F532" s="113">
        <v>0</v>
      </c>
      <c r="G532" s="28">
        <f>SUM(D532:F532)</f>
        <v>0</v>
      </c>
      <c r="H532" s="125">
        <v>0</v>
      </c>
      <c r="I532" s="113">
        <v>0</v>
      </c>
      <c r="J532" s="125">
        <v>0</v>
      </c>
      <c r="K532" s="113">
        <v>0</v>
      </c>
      <c r="L532" s="113">
        <v>0</v>
      </c>
      <c r="M532" s="113">
        <v>0</v>
      </c>
      <c r="N532" s="28">
        <f>G532-SUM(H532:M532)</f>
        <v>0</v>
      </c>
      <c r="O532" s="28">
        <f>SUM(V532:Y532)</f>
        <v>0</v>
      </c>
      <c r="P532" s="28">
        <f>O532-N532</f>
        <v>0</v>
      </c>
      <c r="Q532" s="61" t="str">
        <f>IF(ISERROR(P532/SUM(H532:L532)),"",P532/SUM(H532:L532))</f>
        <v/>
      </c>
      <c r="R532" s="113">
        <v>0</v>
      </c>
      <c r="S532" s="28">
        <f>IF(ISERROR(P532/C532*R532),0,(P532/C532*R532))</f>
        <v>0</v>
      </c>
      <c r="T532" s="60">
        <f>IF(ISERROR(P532/B532*AF532),0,(P532/B532*AF532))</f>
        <v>0</v>
      </c>
      <c r="V532" s="113">
        <v>0</v>
      </c>
      <c r="W532" s="113">
        <v>0</v>
      </c>
      <c r="X532" s="113">
        <v>0</v>
      </c>
      <c r="Y532" s="113">
        <v>0</v>
      </c>
      <c r="AA532" s="113">
        <v>0</v>
      </c>
      <c r="AB532" s="113">
        <v>0</v>
      </c>
      <c r="AC532" s="113">
        <v>0</v>
      </c>
      <c r="AD532" s="113">
        <v>0</v>
      </c>
      <c r="AF532" s="113">
        <v>0</v>
      </c>
      <c r="AG532" s="28">
        <f>G532-O532</f>
        <v>0</v>
      </c>
      <c r="AH532" s="58">
        <f>IF(ISERROR(AG532/B532*AF532),0,(AG532/B532*AF532))</f>
        <v>0</v>
      </c>
      <c r="AI532" s="28">
        <f>SUM(H532:M532)</f>
        <v>0</v>
      </c>
      <c r="AJ532" s="28">
        <f>IF(ISERROR(AI532/B532*AF532),0,(AI532/B532*AF532))</f>
        <v>0</v>
      </c>
      <c r="AK532" s="58">
        <f>IF(ISERROR(O532/B532*AF532),0,(O532/B532*AF532))</f>
        <v>0</v>
      </c>
      <c r="AL532" s="28">
        <f>IF(ISERROR(H532/B532*AF532),0,(H532/B532*AF532))</f>
        <v>0</v>
      </c>
      <c r="AN532" s="51">
        <f>A532</f>
        <v>0</v>
      </c>
      <c r="AO532" s="57">
        <f>IF(ISERROR(IF(B532=C532,D532/C532,(INT(D532/B532)+(((D532-B532*INT(D532/B532)))/C532)/100))),0,(IF(B532=C532,D532/C532,(INT(D532/B532)+(((D532-B532*INT(D532/B532)))/C532)/100))))</f>
        <v>0</v>
      </c>
      <c r="AP532" s="57">
        <f>IF(ISERROR(IF(B532=C532,E532/C532,(INT(E532/B532)+(((E532-B532*INT(E532/B532)))/C532)/100))),0,(IF(B532=C532,E532/C532,(INT(E532/B532)+(((E532-B532*INT(E532/B532)))/C532)/100))))</f>
        <v>0</v>
      </c>
      <c r="AQ532" s="57">
        <f>IF(ISERROR(IF(B532=C532,F532/C532,IF((INT(F532/B532)+(((F532-B532*INT(F532/B532)))/C532)/100)&lt;0,(INT(F532/B532)+(((F532-B532*INT(F532/B532)))/C532)/100)+(1-(B532/C532/100)),(INT(F532/B532)+(((F532-B532*INT(F532/B532)))/C532)/100)))),0,IF(B532=C532,F532/C532,IF((INT(F532/B532)+(((F532-B532*INT(F532/B532)))/C532)/100)&lt;0,(INT(F532/B532)+(((F532-B532*INT(F532/B532)))/C532)/100)+(1-(B532/C532/100)),(INT(F532/B532)+(((F532-B532*INT(F532/B532)))/C532)/100))))</f>
        <v>0</v>
      </c>
      <c r="AR532" s="57">
        <f>IF(ISERROR(IF(B532=C532,G532/C532,(INT(G532/B532)+(((G532-B532*INT(G532/B532)))/C532)/100))),0,(IF(B532=C532,G532/C532,(INT(G532/B532)+(((G532-B532*INT(G532/B532)))/C532)/100))))</f>
        <v>0</v>
      </c>
      <c r="AS532" s="57">
        <f>IF(ISERROR(IF(B532=C532,H532/C532,(INT(H532/B532)+(((H532-B532*INT(H532/B532)))/C532)/100))),0,(IF(B532=C532,H532/C532,(INT(H532/B532)+(((H532-B532*INT(H532/B532)))/C532)/100))))</f>
        <v>0</v>
      </c>
      <c r="AT532" s="57">
        <f>IF(ISERROR(IF(B532=C532,I532/C532,(INT(I532/B532)+(((I532-B532*INT(I532/B532)))/C532)/100))),0,(IF(B532=C532,I532/C532,(INT(I532/B532)+(((I532-B532*INT(I532/B532)))/C532)/100))))</f>
        <v>0</v>
      </c>
      <c r="AU532" s="57">
        <f>IF(ISERROR(IF(B532=C532,J532/C532,(INT(J532/B532)+(((J532-B532*INT(J532/B532)))/C532)/100))),0,(IF(B532=C532,J532/C532,(INT(J532/B532)+(((J532-B532*INT(J532/B532)))/C532)/100))))</f>
        <v>0</v>
      </c>
      <c r="AV532" s="57">
        <f>IF(ISERROR(IF(B532=C532,K532/C532,IF((INT(K532/B532)+(((K532-B532*INT(K532/B532)))/C532)/100)&lt;0,(INT(K532/B532)+(((K532-B532*INT(K532/B532)))/C532)/100)+(1-(B532/C532/100)),(INT(K532/B532)+(((K532-B532*INT(K532/B532)))/C532)/100)))),0,IF(B532=C532,K532/C532,IF((INT(K532/B532)+(((K532-B532*INT(K532/B532)))/C532)/100)&lt;0,(INT(K532/B532)+(((K532-B532*INT(K532/B532)))/C532)/100)+(1-(B532/C532/100)),(INT(K532/B532)+(((K532-B532*INT(K532/B532)))/C532)/100))))</f>
        <v>0</v>
      </c>
      <c r="AW532" s="57">
        <f>IF(ISERROR(IF(B532=C532,L532/C532,(INT(L532/B532)+(((L532-B532*INT(L532/B532)))/C532)/100))),0,(IF(B532=C532,L532/C532,(INT(L532/B532)+(((L532-B532*INT(L532/B532)))/C532)/100))))</f>
        <v>0</v>
      </c>
      <c r="AX532" s="57">
        <f>IF(ISERROR(IF(B532=C532,M532/C532,(INT(M532/B532)+(((M532-B532*INT(M532/B532)))/C532)/100))),0,(IF(B532=C532,M532/C532,(INT(M532/B532)+(((M532-B532*INT(M532/B532)))/C532)/100))))</f>
        <v>0</v>
      </c>
      <c r="AY532" s="57">
        <f>IF(ISERROR(IF(B532=C532,N532/C532,IF((INT(N532/B532)+(((N532-B532*INT(N532/B532)))/C532)/100)&lt;0,(INT(N532/B532)+(((N532-B532*INT(N532/B532)))/C532)/100)+(1-(B532/C532/100)),(INT(N532/B532)+(((N532-B532*INT(N532/B532)))/C532)/100)))),0,IF(B532=C532,N532/C532,IF((INT(N532/B532)+(((N532-B532*INT(N532/B532)))/C532)/100)&lt;0,(INT(N532/B532)+(((N532-B532*INT(N532/B532)))/C532)/100)+(1-(B532/C532/100)),(INT(N532/B532)+(((N532-B532*INT(N532/B532)))/C532)/100))))</f>
        <v>0</v>
      </c>
      <c r="AZ532" s="57">
        <f>IF(ISERROR(IF(B532=C532,O532/C532,(INT(O532/B532)+(((O532-B532*INT(O532/B532)))/C532)/100))),0,(IF(B532=C532,O532/C532,(INT(O532/B532)+(((O532-B532*INT(O532/B532)))/C532)/100))))</f>
        <v>0</v>
      </c>
      <c r="BA532" s="57">
        <f>IF(ISERROR(IF(B532=C532,P532/C532,IF((INT(P532/B532)+(((P532-B532*INT(P532/B532)))/C532)/100)&lt;0,(INT(P532/B532)+(((P532-B532*INT(P532/B532)))/C532)/100)+(1-(B532/C532/100)),(INT(P532/B532)+(((P532-B532*INT(P532/B532)))/C532)/100)))),0,IF(B532=C532,P532/C532,IF((INT(P532/B532)+(((P532-B532*INT(P532/B532)))/C532)/100)&lt;0,(INT(P532/B532)+(((P532-B532*INT(P532/B532)))/C532)/100)+(1-(B532/C532/100)),(INT(P532/B532)+(((P532-B532*INT(P532/B532)))/C532)/100))))</f>
        <v>0</v>
      </c>
      <c r="BB532" s="28">
        <f>R532</f>
        <v>0</v>
      </c>
      <c r="BC532" s="28">
        <f>S532</f>
        <v>0</v>
      </c>
      <c r="BD532" s="28">
        <f>AF532</f>
        <v>0</v>
      </c>
      <c r="BE532" s="28">
        <f>T532</f>
        <v>0</v>
      </c>
      <c r="BG532" s="57">
        <f>IF(ISERROR(IF(B532=C532,V532/C532,(INT(V532/B532)+(((V532-B532*INT(V532/B532)))/C532)/100))),0,(IF(B532=C532,V532/C532,(INT(V532/B532)+(((V532-B532*INT(V532/B532)))/C532)/100))))</f>
        <v>0</v>
      </c>
      <c r="BH532" s="57">
        <f>IF(ISERROR(IF(B532=C532,W532/C532,(INT(W532/B532)+(((W532-B532*INT(W532/B532)))/C532)/100))),0,(IF(B532=C532,W532/C532,(INT(W532/B532)+(((W532-B532*INT(W532/B532)))/C532)/100))))</f>
        <v>0</v>
      </c>
      <c r="BI532" s="57">
        <f>IF(ISERROR(IF(B532=C532,X532/C532,(INT(X532/B532)+(((X532-B532*INT(X532/B532)))/C532)/100))),0,(IF(B532=C532,X532/C532,(INT(X532/B532)+(((X532-B532*INT(X532/B532)))/C532)/100))))</f>
        <v>0</v>
      </c>
      <c r="BJ532" s="57">
        <f>IF(ISERROR(IF(B532=C532,Y532/C532,(INT(Y532/B532)+(((Y532-B532*INT(Y532/B532)))/C532)/100))),0,(IF(B532=C532,Y532/C532,(INT(Y532/B532)+(((Y532-B532*INT(Y532/B532)))/C532)/100))))</f>
        <v>0</v>
      </c>
      <c r="BL532" s="57">
        <f>IF(ISERROR(IF(B532=C532,AA532/C532,(INT(AA532/B532)+(((AA532-B532*INT(AA532/B532)))/C532)/100))),0,(IF(B532=C532,AA532/C532,(INT(AA532/B532)+(((AA532-B532*INT(AA532/B532)))/C532)/100))))</f>
        <v>0</v>
      </c>
      <c r="BM532" s="57">
        <f>IF(ISERROR(IF(B532=C532,AB532/C532,(INT(AB532/B532)+(((AB532-B532*INT(AB532/B532)))/C532)/100))),0,(IF(B532=C532,AB532/C532,(INT(AB532/B532)+(((AB532-B532*INT(AB532/B532)))/C532)/100))))</f>
        <v>0</v>
      </c>
      <c r="BN532" s="57">
        <f>IF(ISERROR(IF(B532=C532,AC532/C532,(INT(AC532/B532)+(((AC532-B532*INT(AC532/B532)))/C532)/100))),0,(IF(B532=C532,AC532/C532,(INT(AC532/B532)+(((AC532-B532*INT(AC532/B532)))/C532)/100))))</f>
        <v>0</v>
      </c>
      <c r="BO532" s="57">
        <f>IF(ISERROR(IF(B532=C532,AD532/C532,(INT(AD532/B532)+(((AD532-B532*INT(AD532/B532)))/C532)/100))),0,(IF(B532=C532,AD532/C532,(INT(AD532/B532)+(((AD532-B532*INT(AD532/B532)))/C532)/100))))</f>
        <v>0</v>
      </c>
      <c r="BQ532" s="155"/>
    </row>
    <row r="533" spans="1:69" hidden="1" x14ac:dyDescent="0.35">
      <c r="A533" s="94"/>
      <c r="B533" s="113">
        <v>0</v>
      </c>
      <c r="C533" s="113">
        <v>250</v>
      </c>
      <c r="D533" s="28">
        <f>SUM(AA533:AD533)</f>
        <v>0</v>
      </c>
      <c r="E533" s="113">
        <v>0</v>
      </c>
      <c r="F533" s="113">
        <v>0</v>
      </c>
      <c r="G533" s="28">
        <f>SUM(D533:F533)</f>
        <v>0</v>
      </c>
      <c r="H533" s="125">
        <v>0</v>
      </c>
      <c r="I533" s="113">
        <v>0</v>
      </c>
      <c r="J533" s="125">
        <v>0</v>
      </c>
      <c r="K533" s="113">
        <v>0</v>
      </c>
      <c r="L533" s="113">
        <v>0</v>
      </c>
      <c r="M533" s="113">
        <v>0</v>
      </c>
      <c r="N533" s="28">
        <f>G533-SUM(H533:M533)</f>
        <v>0</v>
      </c>
      <c r="O533" s="28">
        <f>SUM(V533:Y533)</f>
        <v>0</v>
      </c>
      <c r="P533" s="28">
        <f>O533-N533</f>
        <v>0</v>
      </c>
      <c r="Q533" s="61" t="str">
        <f>IF(ISERROR(P533/SUM(H533:L533)),"",P533/SUM(H533:L533))</f>
        <v/>
      </c>
      <c r="R533" s="113">
        <v>0</v>
      </c>
      <c r="S533" s="28">
        <f>IF(ISERROR(P533/C533*R533),0,(P533/C533*R533))</f>
        <v>0</v>
      </c>
      <c r="T533" s="60">
        <f>IF(ISERROR(P533/B533*AF533),0,(P533/B533*AF533))</f>
        <v>0</v>
      </c>
      <c r="V533" s="113">
        <v>0</v>
      </c>
      <c r="W533" s="113">
        <v>0</v>
      </c>
      <c r="X533" s="113">
        <v>0</v>
      </c>
      <c r="Y533" s="113">
        <v>0</v>
      </c>
      <c r="AA533" s="113">
        <v>0</v>
      </c>
      <c r="AB533" s="113">
        <v>0</v>
      </c>
      <c r="AC533" s="113">
        <v>0</v>
      </c>
      <c r="AD533" s="113">
        <v>0</v>
      </c>
      <c r="AF533" s="113">
        <v>0</v>
      </c>
      <c r="AG533" s="28">
        <f>G533-O533</f>
        <v>0</v>
      </c>
      <c r="AH533" s="58">
        <f>IF(ISERROR(AG533/B533*AF533),0,(AG533/B533*AF533))</f>
        <v>0</v>
      </c>
      <c r="AI533" s="28">
        <f>SUM(H533:M533)</f>
        <v>0</v>
      </c>
      <c r="AJ533" s="28">
        <f>IF(ISERROR(AI533/B533*AF533),0,(AI533/B533*AF533))</f>
        <v>0</v>
      </c>
      <c r="AK533" s="58">
        <f>IF(ISERROR(O533/B533*AF533),0,(O533/B533*AF533))</f>
        <v>0</v>
      </c>
      <c r="AL533" s="28">
        <f>IF(ISERROR(H533/B533*AF533),0,(H533/B533*AF533))</f>
        <v>0</v>
      </c>
      <c r="AN533" s="51">
        <f>A533</f>
        <v>0</v>
      </c>
      <c r="AO533" s="57">
        <f>IF(ISERROR(IF(B533=C533,D533/C533,(INT(D533/B533)+(((D533-B533*INT(D533/B533)))/C533)/100))),0,(IF(B533=C533,D533/C533,(INT(D533/B533)+(((D533-B533*INT(D533/B533)))/C533)/100))))</f>
        <v>0</v>
      </c>
      <c r="AP533" s="57">
        <f>IF(ISERROR(IF(B533=C533,E533/C533,(INT(E533/B533)+(((E533-B533*INT(E533/B533)))/C533)/100))),0,(IF(B533=C533,E533/C533,(INT(E533/B533)+(((E533-B533*INT(E533/B533)))/C533)/100))))</f>
        <v>0</v>
      </c>
      <c r="AQ533" s="57">
        <f>IF(ISERROR(IF(B533=C533,F533/C533,IF((INT(F533/B533)+(((F533-B533*INT(F533/B533)))/C533)/100)&lt;0,(INT(F533/B533)+(((F533-B533*INT(F533/B533)))/C533)/100)+(1-(B533/C533/100)),(INT(F533/B533)+(((F533-B533*INT(F533/B533)))/C533)/100)))),0,IF(B533=C533,F533/C533,IF((INT(F533/B533)+(((F533-B533*INT(F533/B533)))/C533)/100)&lt;0,(INT(F533/B533)+(((F533-B533*INT(F533/B533)))/C533)/100)+(1-(B533/C533/100)),(INT(F533/B533)+(((F533-B533*INT(F533/B533)))/C533)/100))))</f>
        <v>0</v>
      </c>
      <c r="AR533" s="57">
        <f>IF(ISERROR(IF(B533=C533,G533/C533,(INT(G533/B533)+(((G533-B533*INT(G533/B533)))/C533)/100))),0,(IF(B533=C533,G533/C533,(INT(G533/B533)+(((G533-B533*INT(G533/B533)))/C533)/100))))</f>
        <v>0</v>
      </c>
      <c r="AS533" s="57">
        <f>IF(ISERROR(IF(B533=C533,H533/C533,(INT(H533/B533)+(((H533-B533*INT(H533/B533)))/C533)/100))),0,(IF(B533=C533,H533/C533,(INT(H533/B533)+(((H533-B533*INT(H533/B533)))/C533)/100))))</f>
        <v>0</v>
      </c>
      <c r="AT533" s="57">
        <f>IF(ISERROR(IF(B533=C533,I533/C533,(INT(I533/B533)+(((I533-B533*INT(I533/B533)))/C533)/100))),0,(IF(B533=C533,I533/C533,(INT(I533/B533)+(((I533-B533*INT(I533/B533)))/C533)/100))))</f>
        <v>0</v>
      </c>
      <c r="AU533" s="57">
        <f>IF(ISERROR(IF(B533=C533,J533/C533,(INT(J533/B533)+(((J533-B533*INT(J533/B533)))/C533)/100))),0,(IF(B533=C533,J533/C533,(INT(J533/B533)+(((J533-B533*INT(J533/B533)))/C533)/100))))</f>
        <v>0</v>
      </c>
      <c r="AV533" s="57">
        <f>IF(ISERROR(IF(B533=C533,K533/C533,IF((INT(K533/B533)+(((K533-B533*INT(K533/B533)))/C533)/100)&lt;0,(INT(K533/B533)+(((K533-B533*INT(K533/B533)))/C533)/100)+(1-(B533/C533/100)),(INT(K533/B533)+(((K533-B533*INT(K533/B533)))/C533)/100)))),0,IF(B533=C533,K533/C533,IF((INT(K533/B533)+(((K533-B533*INT(K533/B533)))/C533)/100)&lt;0,(INT(K533/B533)+(((K533-B533*INT(K533/B533)))/C533)/100)+(1-(B533/C533/100)),(INT(K533/B533)+(((K533-B533*INT(K533/B533)))/C533)/100))))</f>
        <v>0</v>
      </c>
      <c r="AW533" s="57">
        <f>IF(ISERROR(IF(B533=C533,L533/C533,(INT(L533/B533)+(((L533-B533*INT(L533/B533)))/C533)/100))),0,(IF(B533=C533,L533/C533,(INT(L533/B533)+(((L533-B533*INT(L533/B533)))/C533)/100))))</f>
        <v>0</v>
      </c>
      <c r="AX533" s="57">
        <f>IF(ISERROR(IF(B533=C533,M533/C533,(INT(M533/B533)+(((M533-B533*INT(M533/B533)))/C533)/100))),0,(IF(B533=C533,M533/C533,(INT(M533/B533)+(((M533-B533*INT(M533/B533)))/C533)/100))))</f>
        <v>0</v>
      </c>
      <c r="AY533" s="57">
        <f>IF(ISERROR(IF(B533=C533,N533/C533,IF((INT(N533/B533)+(((N533-B533*INT(N533/B533)))/C533)/100)&lt;0,(INT(N533/B533)+(((N533-B533*INT(N533/B533)))/C533)/100)+(1-(B533/C533/100)),(INT(N533/B533)+(((N533-B533*INT(N533/B533)))/C533)/100)))),0,IF(B533=C533,N533/C533,IF((INT(N533/B533)+(((N533-B533*INT(N533/B533)))/C533)/100)&lt;0,(INT(N533/B533)+(((N533-B533*INT(N533/B533)))/C533)/100)+(1-(B533/C533/100)),(INT(N533/B533)+(((N533-B533*INT(N533/B533)))/C533)/100))))</f>
        <v>0</v>
      </c>
      <c r="AZ533" s="57">
        <f>IF(ISERROR(IF(B533=C533,O533/C533,(INT(O533/B533)+(((O533-B533*INT(O533/B533)))/C533)/100))),0,(IF(B533=C533,O533/C533,(INT(O533/B533)+(((O533-B533*INT(O533/B533)))/C533)/100))))</f>
        <v>0</v>
      </c>
      <c r="BA533" s="57">
        <f>IF(ISERROR(IF(B533=C533,P533/C533,IF((INT(P533/B533)+(((P533-B533*INT(P533/B533)))/C533)/100)&lt;0,(INT(P533/B533)+(((P533-B533*INT(P533/B533)))/C533)/100)+(1-(B533/C533/100)),(INT(P533/B533)+(((P533-B533*INT(P533/B533)))/C533)/100)))),0,IF(B533=C533,P533/C533,IF((INT(P533/B533)+(((P533-B533*INT(P533/B533)))/C533)/100)&lt;0,(INT(P533/B533)+(((P533-B533*INT(P533/B533)))/C533)/100)+(1-(B533/C533/100)),(INT(P533/B533)+(((P533-B533*INT(P533/B533)))/C533)/100))))</f>
        <v>0</v>
      </c>
      <c r="BB533" s="28">
        <f>R533</f>
        <v>0</v>
      </c>
      <c r="BC533" s="28">
        <f>S533</f>
        <v>0</v>
      </c>
      <c r="BD533" s="28">
        <f>AF533</f>
        <v>0</v>
      </c>
      <c r="BE533" s="28">
        <f>T533</f>
        <v>0</v>
      </c>
      <c r="BG533" s="57">
        <f>IF(ISERROR(IF(B533=C533,V533/C533,(INT(V533/B533)+(((V533-B533*INT(V533/B533)))/C533)/100))),0,(IF(B533=C533,V533/C533,(INT(V533/B533)+(((V533-B533*INT(V533/B533)))/C533)/100))))</f>
        <v>0</v>
      </c>
      <c r="BH533" s="57">
        <f>IF(ISERROR(IF(B533=C533,W533/C533,(INT(W533/B533)+(((W533-B533*INT(W533/B533)))/C533)/100))),0,(IF(B533=C533,W533/C533,(INT(W533/B533)+(((W533-B533*INT(W533/B533)))/C533)/100))))</f>
        <v>0</v>
      </c>
      <c r="BI533" s="57">
        <f>IF(ISERROR(IF(B533=C533,X533/C533,(INT(X533/B533)+(((X533-B533*INT(X533/B533)))/C533)/100))),0,(IF(B533=C533,X533/C533,(INT(X533/B533)+(((X533-B533*INT(X533/B533)))/C533)/100))))</f>
        <v>0</v>
      </c>
      <c r="BJ533" s="57">
        <f>IF(ISERROR(IF(B533=C533,Y533/C533,(INT(Y533/B533)+(((Y533-B533*INT(Y533/B533)))/C533)/100))),0,(IF(B533=C533,Y533/C533,(INT(Y533/B533)+(((Y533-B533*INT(Y533/B533)))/C533)/100))))</f>
        <v>0</v>
      </c>
      <c r="BL533" s="57">
        <f>IF(ISERROR(IF(B533=C533,AA533/C533,(INT(AA533/B533)+(((AA533-B533*INT(AA533/B533)))/C533)/100))),0,(IF(B533=C533,AA533/C533,(INT(AA533/B533)+(((AA533-B533*INT(AA533/B533)))/C533)/100))))</f>
        <v>0</v>
      </c>
      <c r="BM533" s="57">
        <f>IF(ISERROR(IF(B533=C533,AB533/C533,(INT(AB533/B533)+(((AB533-B533*INT(AB533/B533)))/C533)/100))),0,(IF(B533=C533,AB533/C533,(INT(AB533/B533)+(((AB533-B533*INT(AB533/B533)))/C533)/100))))</f>
        <v>0</v>
      </c>
      <c r="BN533" s="57">
        <f>IF(ISERROR(IF(B533=C533,AC533/C533,(INT(AC533/B533)+(((AC533-B533*INT(AC533/B533)))/C533)/100))),0,(IF(B533=C533,AC533/C533,(INT(AC533/B533)+(((AC533-B533*INT(AC533/B533)))/C533)/100))))</f>
        <v>0</v>
      </c>
      <c r="BO533" s="57">
        <f>IF(ISERROR(IF(B533=C533,AD533/C533,(INT(AD533/B533)+(((AD533-B533*INT(AD533/B533)))/C533)/100))),0,(IF(B533=C533,AD533/C533,(INT(AD533/B533)+(((AD533-B533*INT(AD533/B533)))/C533)/100))))</f>
        <v>0</v>
      </c>
      <c r="BQ533" s="155"/>
    </row>
    <row r="534" spans="1:69" hidden="1" x14ac:dyDescent="0.35">
      <c r="A534" s="94"/>
      <c r="B534" s="113">
        <v>0</v>
      </c>
      <c r="C534" s="113">
        <v>250</v>
      </c>
      <c r="D534" s="28">
        <f>SUM(AA534:AD534)</f>
        <v>0</v>
      </c>
      <c r="E534" s="113">
        <v>0</v>
      </c>
      <c r="F534" s="113">
        <v>0</v>
      </c>
      <c r="G534" s="28">
        <f>SUM(D534:F534)</f>
        <v>0</v>
      </c>
      <c r="H534" s="125">
        <v>0</v>
      </c>
      <c r="I534" s="113">
        <v>0</v>
      </c>
      <c r="J534" s="125">
        <v>0</v>
      </c>
      <c r="K534" s="113">
        <v>0</v>
      </c>
      <c r="L534" s="113">
        <v>0</v>
      </c>
      <c r="M534" s="113">
        <v>0</v>
      </c>
      <c r="N534" s="28">
        <f>G534-SUM(H534:M534)</f>
        <v>0</v>
      </c>
      <c r="O534" s="28">
        <f>SUM(V534:Y534)</f>
        <v>0</v>
      </c>
      <c r="P534" s="28">
        <f>O534-N534</f>
        <v>0</v>
      </c>
      <c r="Q534" s="61" t="str">
        <f>IF(ISERROR(P534/SUM(H534:L534)),"",P534/SUM(H534:L534))</f>
        <v/>
      </c>
      <c r="R534" s="113">
        <v>0</v>
      </c>
      <c r="S534" s="28">
        <f>IF(ISERROR(P534/C534*R534),0,(P534/C534*R534))</f>
        <v>0</v>
      </c>
      <c r="T534" s="60">
        <f>IF(ISERROR(P534/B534*AF534),0,(P534/B534*AF534))</f>
        <v>0</v>
      </c>
      <c r="V534" s="113">
        <v>0</v>
      </c>
      <c r="W534" s="113">
        <v>0</v>
      </c>
      <c r="X534" s="113">
        <v>0</v>
      </c>
      <c r="Y534" s="113">
        <v>0</v>
      </c>
      <c r="AA534" s="113">
        <v>0</v>
      </c>
      <c r="AB534" s="113">
        <v>0</v>
      </c>
      <c r="AC534" s="113">
        <v>0</v>
      </c>
      <c r="AD534" s="113">
        <v>0</v>
      </c>
      <c r="AF534" s="113">
        <v>0</v>
      </c>
      <c r="AG534" s="28">
        <f>G534-O534</f>
        <v>0</v>
      </c>
      <c r="AH534" s="58">
        <f>IF(ISERROR(AG534/B534*AF534),0,(AG534/B534*AF534))</f>
        <v>0</v>
      </c>
      <c r="AI534" s="28">
        <f>SUM(H534:M534)</f>
        <v>0</v>
      </c>
      <c r="AJ534" s="28">
        <f>IF(ISERROR(AI534/B534*AF534),0,(AI534/B534*AF534))</f>
        <v>0</v>
      </c>
      <c r="AK534" s="58">
        <f>IF(ISERROR(O534/B534*AF534),0,(O534/B534*AF534))</f>
        <v>0</v>
      </c>
      <c r="AL534" s="28">
        <f>IF(ISERROR(H534/B534*AF534),0,(H534/B534*AF534))</f>
        <v>0</v>
      </c>
      <c r="AN534" s="51">
        <f>A534</f>
        <v>0</v>
      </c>
      <c r="AO534" s="57">
        <f>IF(ISERROR(IF(B534=C534,D534/C534,(INT(D534/B534)+(((D534-B534*INT(D534/B534)))/C534)/100))),0,(IF(B534=C534,D534/C534,(INT(D534/B534)+(((D534-B534*INT(D534/B534)))/C534)/100))))</f>
        <v>0</v>
      </c>
      <c r="AP534" s="57">
        <f>IF(ISERROR(IF(B534=C534,E534/C534,(INT(E534/B534)+(((E534-B534*INT(E534/B534)))/C534)/100))),0,(IF(B534=C534,E534/C534,(INT(E534/B534)+(((E534-B534*INT(E534/B534)))/C534)/100))))</f>
        <v>0</v>
      </c>
      <c r="AQ534" s="57">
        <f>IF(ISERROR(IF(B534=C534,F534/C534,IF((INT(F534/B534)+(((F534-B534*INT(F534/B534)))/C534)/100)&lt;0,(INT(F534/B534)+(((F534-B534*INT(F534/B534)))/C534)/100)+(1-(B534/C534/100)),(INT(F534/B534)+(((F534-B534*INT(F534/B534)))/C534)/100)))),0,IF(B534=C534,F534/C534,IF((INT(F534/B534)+(((F534-B534*INT(F534/B534)))/C534)/100)&lt;0,(INT(F534/B534)+(((F534-B534*INT(F534/B534)))/C534)/100)+(1-(B534/C534/100)),(INT(F534/B534)+(((F534-B534*INT(F534/B534)))/C534)/100))))</f>
        <v>0</v>
      </c>
      <c r="AR534" s="57">
        <f>IF(ISERROR(IF(B534=C534,G534/C534,(INT(G534/B534)+(((G534-B534*INT(G534/B534)))/C534)/100))),0,(IF(B534=C534,G534/C534,(INT(G534/B534)+(((G534-B534*INT(G534/B534)))/C534)/100))))</f>
        <v>0</v>
      </c>
      <c r="AS534" s="57">
        <f>IF(ISERROR(IF(B534=C534,H534/C534,(INT(H534/B534)+(((H534-B534*INT(H534/B534)))/C534)/100))),0,(IF(B534=C534,H534/C534,(INT(H534/B534)+(((H534-B534*INT(H534/B534)))/C534)/100))))</f>
        <v>0</v>
      </c>
      <c r="AT534" s="57">
        <f>IF(ISERROR(IF(B534=C534,I534/C534,(INT(I534/B534)+(((I534-B534*INT(I534/B534)))/C534)/100))),0,(IF(B534=C534,I534/C534,(INT(I534/B534)+(((I534-B534*INT(I534/B534)))/C534)/100))))</f>
        <v>0</v>
      </c>
      <c r="AU534" s="57">
        <f>IF(ISERROR(IF(B534=C534,J534/C534,(INT(J534/B534)+(((J534-B534*INT(J534/B534)))/C534)/100))),0,(IF(B534=C534,J534/C534,(INT(J534/B534)+(((J534-B534*INT(J534/B534)))/C534)/100))))</f>
        <v>0</v>
      </c>
      <c r="AV534" s="57">
        <f>IF(ISERROR(IF(B534=C534,K534/C534,IF((INT(K534/B534)+(((K534-B534*INT(K534/B534)))/C534)/100)&lt;0,(INT(K534/B534)+(((K534-B534*INT(K534/B534)))/C534)/100)+(1-(B534/C534/100)),(INT(K534/B534)+(((K534-B534*INT(K534/B534)))/C534)/100)))),0,IF(B534=C534,K534/C534,IF((INT(K534/B534)+(((K534-B534*INT(K534/B534)))/C534)/100)&lt;0,(INT(K534/B534)+(((K534-B534*INT(K534/B534)))/C534)/100)+(1-(B534/C534/100)),(INT(K534/B534)+(((K534-B534*INT(K534/B534)))/C534)/100))))</f>
        <v>0</v>
      </c>
      <c r="AW534" s="57">
        <f>IF(ISERROR(IF(B534=C534,L534/C534,(INT(L534/B534)+(((L534-B534*INT(L534/B534)))/C534)/100))),0,(IF(B534=C534,L534/C534,(INT(L534/B534)+(((L534-B534*INT(L534/B534)))/C534)/100))))</f>
        <v>0</v>
      </c>
      <c r="AX534" s="57">
        <f>IF(ISERROR(IF(B534=C534,M534/C534,(INT(M534/B534)+(((M534-B534*INT(M534/B534)))/C534)/100))),0,(IF(B534=C534,M534/C534,(INT(M534/B534)+(((M534-B534*INT(M534/B534)))/C534)/100))))</f>
        <v>0</v>
      </c>
      <c r="AY534" s="57">
        <f>IF(ISERROR(IF(B534=C534,N534/C534,IF((INT(N534/B534)+(((N534-B534*INT(N534/B534)))/C534)/100)&lt;0,(INT(N534/B534)+(((N534-B534*INT(N534/B534)))/C534)/100)+(1-(B534/C534/100)),(INT(N534/B534)+(((N534-B534*INT(N534/B534)))/C534)/100)))),0,IF(B534=C534,N534/C534,IF((INT(N534/B534)+(((N534-B534*INT(N534/B534)))/C534)/100)&lt;0,(INT(N534/B534)+(((N534-B534*INT(N534/B534)))/C534)/100)+(1-(B534/C534/100)),(INT(N534/B534)+(((N534-B534*INT(N534/B534)))/C534)/100))))</f>
        <v>0</v>
      </c>
      <c r="AZ534" s="57">
        <f>IF(ISERROR(IF(B534=C534,O534/C534,(INT(O534/B534)+(((O534-B534*INT(O534/B534)))/C534)/100))),0,(IF(B534=C534,O534/C534,(INT(O534/B534)+(((O534-B534*INT(O534/B534)))/C534)/100))))</f>
        <v>0</v>
      </c>
      <c r="BA534" s="57">
        <f>IF(ISERROR(IF(B534=C534,P534/C534,IF((INT(P534/B534)+(((P534-B534*INT(P534/B534)))/C534)/100)&lt;0,(INT(P534/B534)+(((P534-B534*INT(P534/B534)))/C534)/100)+(1-(B534/C534/100)),(INT(P534/B534)+(((P534-B534*INT(P534/B534)))/C534)/100)))),0,IF(B534=C534,P534/C534,IF((INT(P534/B534)+(((P534-B534*INT(P534/B534)))/C534)/100)&lt;0,(INT(P534/B534)+(((P534-B534*INT(P534/B534)))/C534)/100)+(1-(B534/C534/100)),(INT(P534/B534)+(((P534-B534*INT(P534/B534)))/C534)/100))))</f>
        <v>0</v>
      </c>
      <c r="BB534" s="28">
        <f>R534</f>
        <v>0</v>
      </c>
      <c r="BC534" s="28">
        <f>S534</f>
        <v>0</v>
      </c>
      <c r="BD534" s="28">
        <f>AF534</f>
        <v>0</v>
      </c>
      <c r="BE534" s="28">
        <f>T534</f>
        <v>0</v>
      </c>
      <c r="BG534" s="57">
        <f>IF(ISERROR(IF(B534=C534,V534/C534,(INT(V534/B534)+(((V534-B534*INT(V534/B534)))/C534)/100))),0,(IF(B534=C534,V534/C534,(INT(V534/B534)+(((V534-B534*INT(V534/B534)))/C534)/100))))</f>
        <v>0</v>
      </c>
      <c r="BH534" s="57">
        <f>IF(ISERROR(IF(B534=C534,W534/C534,(INT(W534/B534)+(((W534-B534*INT(W534/B534)))/C534)/100))),0,(IF(B534=C534,W534/C534,(INT(W534/B534)+(((W534-B534*INT(W534/B534)))/C534)/100))))</f>
        <v>0</v>
      </c>
      <c r="BI534" s="57">
        <f>IF(ISERROR(IF(B534=C534,X534/C534,(INT(X534/B534)+(((X534-B534*INT(X534/B534)))/C534)/100))),0,(IF(B534=C534,X534/C534,(INT(X534/B534)+(((X534-B534*INT(X534/B534)))/C534)/100))))</f>
        <v>0</v>
      </c>
      <c r="BJ534" s="57">
        <f>IF(ISERROR(IF(B534=C534,Y534/C534,(INT(Y534/B534)+(((Y534-B534*INT(Y534/B534)))/C534)/100))),0,(IF(B534=C534,Y534/C534,(INT(Y534/B534)+(((Y534-B534*INT(Y534/B534)))/C534)/100))))</f>
        <v>0</v>
      </c>
      <c r="BL534" s="57">
        <f>IF(ISERROR(IF(B534=C534,AA534/C534,(INT(AA534/B534)+(((AA534-B534*INT(AA534/B534)))/C534)/100))),0,(IF(B534=C534,AA534/C534,(INT(AA534/B534)+(((AA534-B534*INT(AA534/B534)))/C534)/100))))</f>
        <v>0</v>
      </c>
      <c r="BM534" s="57">
        <f>IF(ISERROR(IF(B534=C534,AB534/C534,(INT(AB534/B534)+(((AB534-B534*INT(AB534/B534)))/C534)/100))),0,(IF(B534=C534,AB534/C534,(INT(AB534/B534)+(((AB534-B534*INT(AB534/B534)))/C534)/100))))</f>
        <v>0</v>
      </c>
      <c r="BN534" s="57">
        <f>IF(ISERROR(IF(B534=C534,AC534/C534,(INT(AC534/B534)+(((AC534-B534*INT(AC534/B534)))/C534)/100))),0,(IF(B534=C534,AC534/C534,(INT(AC534/B534)+(((AC534-B534*INT(AC534/B534)))/C534)/100))))</f>
        <v>0</v>
      </c>
      <c r="BO534" s="57">
        <f>IF(ISERROR(IF(B534=C534,AD534/C534,(INT(AD534/B534)+(((AD534-B534*INT(AD534/B534)))/C534)/100))),0,(IF(B534=C534,AD534/C534,(INT(AD534/B534)+(((AD534-B534*INT(AD534/B534)))/C534)/100))))</f>
        <v>0</v>
      </c>
      <c r="BQ534" s="155"/>
    </row>
    <row r="535" spans="1:69" hidden="1" x14ac:dyDescent="0.35">
      <c r="A535" s="94"/>
      <c r="B535" s="113">
        <v>0</v>
      </c>
      <c r="C535" s="113">
        <v>250</v>
      </c>
      <c r="D535" s="28">
        <f>SUM(AA535:AD535)</f>
        <v>0</v>
      </c>
      <c r="E535" s="113">
        <v>0</v>
      </c>
      <c r="F535" s="113">
        <v>0</v>
      </c>
      <c r="G535" s="28">
        <f>SUM(D535:F535)</f>
        <v>0</v>
      </c>
      <c r="H535" s="125">
        <v>0</v>
      </c>
      <c r="I535" s="113">
        <v>0</v>
      </c>
      <c r="J535" s="125">
        <v>0</v>
      </c>
      <c r="K535" s="113">
        <v>0</v>
      </c>
      <c r="L535" s="113">
        <v>0</v>
      </c>
      <c r="M535" s="113">
        <v>0</v>
      </c>
      <c r="N535" s="28">
        <f>G535-SUM(H535:M535)</f>
        <v>0</v>
      </c>
      <c r="O535" s="28">
        <f>SUM(V535:Y535)</f>
        <v>0</v>
      </c>
      <c r="P535" s="28">
        <f>O535-N535</f>
        <v>0</v>
      </c>
      <c r="Q535" s="61" t="str">
        <f>IF(ISERROR(P535/SUM(H535:L535)),"",P535/SUM(H535:L535))</f>
        <v/>
      </c>
      <c r="R535" s="113">
        <v>0</v>
      </c>
      <c r="S535" s="28">
        <f>IF(ISERROR(P535/C535*R535),0,(P535/C535*R535))</f>
        <v>0</v>
      </c>
      <c r="T535" s="60">
        <f>IF(ISERROR(P535/B535*AF535),0,(P535/B535*AF535))</f>
        <v>0</v>
      </c>
      <c r="V535" s="113">
        <v>0</v>
      </c>
      <c r="W535" s="113">
        <v>0</v>
      </c>
      <c r="X535" s="113">
        <v>0</v>
      </c>
      <c r="Y535" s="113">
        <v>0</v>
      </c>
      <c r="AA535" s="113">
        <v>0</v>
      </c>
      <c r="AB535" s="113">
        <v>0</v>
      </c>
      <c r="AC535" s="113">
        <v>0</v>
      </c>
      <c r="AD535" s="113">
        <v>0</v>
      </c>
      <c r="AF535" s="113">
        <v>0</v>
      </c>
      <c r="AG535" s="28">
        <f>G535-O535</f>
        <v>0</v>
      </c>
      <c r="AH535" s="58">
        <f>IF(ISERROR(AG535/B535*AF535),0,(AG535/B535*AF535))</f>
        <v>0</v>
      </c>
      <c r="AI535" s="28">
        <f>SUM(H535:M535)</f>
        <v>0</v>
      </c>
      <c r="AJ535" s="28">
        <f>IF(ISERROR(AI535/B535*AF535),0,(AI535/B535*AF535))</f>
        <v>0</v>
      </c>
      <c r="AK535" s="58">
        <f>IF(ISERROR(O535/B535*AF535),0,(O535/B535*AF535))</f>
        <v>0</v>
      </c>
      <c r="AL535" s="28">
        <f>IF(ISERROR(H535/B535*AF535),0,(H535/B535*AF535))</f>
        <v>0</v>
      </c>
      <c r="AN535" s="51">
        <f>A535</f>
        <v>0</v>
      </c>
      <c r="AO535" s="57">
        <f>IF(ISERROR(IF(B535=C535,D535/C535,(INT(D535/B535)+(((D535-B535*INT(D535/B535)))/C535)/100))),0,(IF(B535=C535,D535/C535,(INT(D535/B535)+(((D535-B535*INT(D535/B535)))/C535)/100))))</f>
        <v>0</v>
      </c>
      <c r="AP535" s="57">
        <f>IF(ISERROR(IF(B535=C535,E535/C535,(INT(E535/B535)+(((E535-B535*INT(E535/B535)))/C535)/100))),0,(IF(B535=C535,E535/C535,(INT(E535/B535)+(((E535-B535*INT(E535/B535)))/C535)/100))))</f>
        <v>0</v>
      </c>
      <c r="AQ535" s="57">
        <f>IF(ISERROR(IF(B535=C535,F535/C535,IF((INT(F535/B535)+(((F535-B535*INT(F535/B535)))/C535)/100)&lt;0,(INT(F535/B535)+(((F535-B535*INT(F535/B535)))/C535)/100)+(1-(B535/C535/100)),(INT(F535/B535)+(((F535-B535*INT(F535/B535)))/C535)/100)))),0,IF(B535=C535,F535/C535,IF((INT(F535/B535)+(((F535-B535*INT(F535/B535)))/C535)/100)&lt;0,(INT(F535/B535)+(((F535-B535*INT(F535/B535)))/C535)/100)+(1-(B535/C535/100)),(INT(F535/B535)+(((F535-B535*INT(F535/B535)))/C535)/100))))</f>
        <v>0</v>
      </c>
      <c r="AR535" s="57">
        <f>IF(ISERROR(IF(B535=C535,G535/C535,(INT(G535/B535)+(((G535-B535*INT(G535/B535)))/C535)/100))),0,(IF(B535=C535,G535/C535,(INT(G535/B535)+(((G535-B535*INT(G535/B535)))/C535)/100))))</f>
        <v>0</v>
      </c>
      <c r="AS535" s="57">
        <f>IF(ISERROR(IF(B535=C535,H535/C535,(INT(H535/B535)+(((H535-B535*INT(H535/B535)))/C535)/100))),0,(IF(B535=C535,H535/C535,(INT(H535/B535)+(((H535-B535*INT(H535/B535)))/C535)/100))))</f>
        <v>0</v>
      </c>
      <c r="AT535" s="57">
        <f>IF(ISERROR(IF(B535=C535,I535/C535,(INT(I535/B535)+(((I535-B535*INT(I535/B535)))/C535)/100))),0,(IF(B535=C535,I535/C535,(INT(I535/B535)+(((I535-B535*INT(I535/B535)))/C535)/100))))</f>
        <v>0</v>
      </c>
      <c r="AU535" s="57">
        <f>IF(ISERROR(IF(B535=C535,J535/C535,(INT(J535/B535)+(((J535-B535*INT(J535/B535)))/C535)/100))),0,(IF(B535=C535,J535/C535,(INT(J535/B535)+(((J535-B535*INT(J535/B535)))/C535)/100))))</f>
        <v>0</v>
      </c>
      <c r="AV535" s="57">
        <f>IF(ISERROR(IF(B535=C535,K535/C535,IF((INT(K535/B535)+(((K535-B535*INT(K535/B535)))/C535)/100)&lt;0,(INT(K535/B535)+(((K535-B535*INT(K535/B535)))/C535)/100)+(1-(B535/C535/100)),(INT(K535/B535)+(((K535-B535*INT(K535/B535)))/C535)/100)))),0,IF(B535=C535,K535/C535,IF((INT(K535/B535)+(((K535-B535*INT(K535/B535)))/C535)/100)&lt;0,(INT(K535/B535)+(((K535-B535*INT(K535/B535)))/C535)/100)+(1-(B535/C535/100)),(INT(K535/B535)+(((K535-B535*INT(K535/B535)))/C535)/100))))</f>
        <v>0</v>
      </c>
      <c r="AW535" s="57">
        <f>IF(ISERROR(IF(B535=C535,L535/C535,(INT(L535/B535)+(((L535-B535*INT(L535/B535)))/C535)/100))),0,(IF(B535=C535,L535/C535,(INT(L535/B535)+(((L535-B535*INT(L535/B535)))/C535)/100))))</f>
        <v>0</v>
      </c>
      <c r="AX535" s="57">
        <f>IF(ISERROR(IF(B535=C535,M535/C535,(INT(M535/B535)+(((M535-B535*INT(M535/B535)))/C535)/100))),0,(IF(B535=C535,M535/C535,(INT(M535/B535)+(((M535-B535*INT(M535/B535)))/C535)/100))))</f>
        <v>0</v>
      </c>
      <c r="AY535" s="57">
        <f>IF(ISERROR(IF(B535=C535,N535/C535,IF((INT(N535/B535)+(((N535-B535*INT(N535/B535)))/C535)/100)&lt;0,(INT(N535/B535)+(((N535-B535*INT(N535/B535)))/C535)/100)+(1-(B535/C535/100)),(INT(N535/B535)+(((N535-B535*INT(N535/B535)))/C535)/100)))),0,IF(B535=C535,N535/C535,IF((INT(N535/B535)+(((N535-B535*INT(N535/B535)))/C535)/100)&lt;0,(INT(N535/B535)+(((N535-B535*INT(N535/B535)))/C535)/100)+(1-(B535/C535/100)),(INT(N535/B535)+(((N535-B535*INT(N535/B535)))/C535)/100))))</f>
        <v>0</v>
      </c>
      <c r="AZ535" s="57">
        <f>IF(ISERROR(IF(B535=C535,O535/C535,(INT(O535/B535)+(((O535-B535*INT(O535/B535)))/C535)/100))),0,(IF(B535=C535,O535/C535,(INT(O535/B535)+(((O535-B535*INT(O535/B535)))/C535)/100))))</f>
        <v>0</v>
      </c>
      <c r="BA535" s="57">
        <f>IF(ISERROR(IF(B535=C535,P535/C535,IF((INT(P535/B535)+(((P535-B535*INT(P535/B535)))/C535)/100)&lt;0,(INT(P535/B535)+(((P535-B535*INT(P535/B535)))/C535)/100)+(1-(B535/C535/100)),(INT(P535/B535)+(((P535-B535*INT(P535/B535)))/C535)/100)))),0,IF(B535=C535,P535/C535,IF((INT(P535/B535)+(((P535-B535*INT(P535/B535)))/C535)/100)&lt;0,(INT(P535/B535)+(((P535-B535*INT(P535/B535)))/C535)/100)+(1-(B535/C535/100)),(INT(P535/B535)+(((P535-B535*INT(P535/B535)))/C535)/100))))</f>
        <v>0</v>
      </c>
      <c r="BB535" s="28">
        <f>R535</f>
        <v>0</v>
      </c>
      <c r="BC535" s="28">
        <f>S535</f>
        <v>0</v>
      </c>
      <c r="BD535" s="28">
        <f>AF535</f>
        <v>0</v>
      </c>
      <c r="BE535" s="28">
        <f>T535</f>
        <v>0</v>
      </c>
      <c r="BG535" s="57">
        <f>IF(ISERROR(IF(B535=C535,V535/C535,(INT(V535/B535)+(((V535-B535*INT(V535/B535)))/C535)/100))),0,(IF(B535=C535,V535/C535,(INT(V535/B535)+(((V535-B535*INT(V535/B535)))/C535)/100))))</f>
        <v>0</v>
      </c>
      <c r="BH535" s="57">
        <f>IF(ISERROR(IF(B535=C535,W535/C535,(INT(W535/B535)+(((W535-B535*INT(W535/B535)))/C535)/100))),0,(IF(B535=C535,W535/C535,(INT(W535/B535)+(((W535-B535*INT(W535/B535)))/C535)/100))))</f>
        <v>0</v>
      </c>
      <c r="BI535" s="57">
        <f>IF(ISERROR(IF(B535=C535,X535/C535,(INT(X535/B535)+(((X535-B535*INT(X535/B535)))/C535)/100))),0,(IF(B535=C535,X535/C535,(INT(X535/B535)+(((X535-B535*INT(X535/B535)))/C535)/100))))</f>
        <v>0</v>
      </c>
      <c r="BJ535" s="57">
        <f>IF(ISERROR(IF(B535=C535,Y535/C535,(INT(Y535/B535)+(((Y535-B535*INT(Y535/B535)))/C535)/100))),0,(IF(B535=C535,Y535/C535,(INT(Y535/B535)+(((Y535-B535*INT(Y535/B535)))/C535)/100))))</f>
        <v>0</v>
      </c>
      <c r="BL535" s="57">
        <f>IF(ISERROR(IF(B535=C535,AA535/C535,(INT(AA535/B535)+(((AA535-B535*INT(AA535/B535)))/C535)/100))),0,(IF(B535=C535,AA535/C535,(INT(AA535/B535)+(((AA535-B535*INT(AA535/B535)))/C535)/100))))</f>
        <v>0</v>
      </c>
      <c r="BM535" s="57">
        <f>IF(ISERROR(IF(B535=C535,AB535/C535,(INT(AB535/B535)+(((AB535-B535*INT(AB535/B535)))/C535)/100))),0,(IF(B535=C535,AB535/C535,(INT(AB535/B535)+(((AB535-B535*INT(AB535/B535)))/C535)/100))))</f>
        <v>0</v>
      </c>
      <c r="BN535" s="57">
        <f>IF(ISERROR(IF(B535=C535,AC535/C535,(INT(AC535/B535)+(((AC535-B535*INT(AC535/B535)))/C535)/100))),0,(IF(B535=C535,AC535/C535,(INT(AC535/B535)+(((AC535-B535*INT(AC535/B535)))/C535)/100))))</f>
        <v>0</v>
      </c>
      <c r="BO535" s="57">
        <f>IF(ISERROR(IF(B535=C535,AD535/C535,(INT(AD535/B535)+(((AD535-B535*INT(AD535/B535)))/C535)/100))),0,(IF(B535=C535,AD535/C535,(INT(AD535/B535)+(((AD535-B535*INT(AD535/B535)))/C535)/100))))</f>
        <v>0</v>
      </c>
      <c r="BQ535" s="155"/>
    </row>
    <row r="536" spans="1:69" hidden="1" x14ac:dyDescent="0.35">
      <c r="A536" s="94"/>
      <c r="B536" s="113">
        <v>0</v>
      </c>
      <c r="C536" s="113">
        <v>250</v>
      </c>
      <c r="D536" s="28">
        <f>SUM(AA536:AD536)</f>
        <v>0</v>
      </c>
      <c r="E536" s="113">
        <v>0</v>
      </c>
      <c r="F536" s="113">
        <v>0</v>
      </c>
      <c r="G536" s="28">
        <f>SUM(D536:F536)</f>
        <v>0</v>
      </c>
      <c r="H536" s="125">
        <v>0</v>
      </c>
      <c r="I536" s="113">
        <v>0</v>
      </c>
      <c r="J536" s="125">
        <v>0</v>
      </c>
      <c r="K536" s="113">
        <v>0</v>
      </c>
      <c r="L536" s="113">
        <v>0</v>
      </c>
      <c r="M536" s="113">
        <v>0</v>
      </c>
      <c r="N536" s="28">
        <f>G536-SUM(H536:M536)</f>
        <v>0</v>
      </c>
      <c r="O536" s="28">
        <f>SUM(V536:Y536)</f>
        <v>0</v>
      </c>
      <c r="P536" s="28">
        <f>O536-N536</f>
        <v>0</v>
      </c>
      <c r="Q536" s="61" t="str">
        <f>IF(ISERROR(P536/SUM(H536:L536)),"",P536/SUM(H536:L536))</f>
        <v/>
      </c>
      <c r="R536" s="113">
        <v>0</v>
      </c>
      <c r="S536" s="28">
        <f>IF(ISERROR(P536/C536*R536),0,(P536/C536*R536))</f>
        <v>0</v>
      </c>
      <c r="T536" s="60">
        <f>IF(ISERROR(P536/B536*AF536),0,(P536/B536*AF536))</f>
        <v>0</v>
      </c>
      <c r="V536" s="113">
        <v>0</v>
      </c>
      <c r="W536" s="113">
        <v>0</v>
      </c>
      <c r="X536" s="113">
        <v>0</v>
      </c>
      <c r="Y536" s="113">
        <v>0</v>
      </c>
      <c r="AA536" s="113">
        <v>0</v>
      </c>
      <c r="AB536" s="113">
        <v>0</v>
      </c>
      <c r="AC536" s="113">
        <v>0</v>
      </c>
      <c r="AD536" s="113">
        <v>0</v>
      </c>
      <c r="AF536" s="113">
        <v>0</v>
      </c>
      <c r="AG536" s="28">
        <f>G536-O536</f>
        <v>0</v>
      </c>
      <c r="AH536" s="58">
        <f>IF(ISERROR(AG536/B536*AF536),0,(AG536/B536*AF536))</f>
        <v>0</v>
      </c>
      <c r="AI536" s="28">
        <f>SUM(H536:M536)</f>
        <v>0</v>
      </c>
      <c r="AJ536" s="28">
        <f>IF(ISERROR(AI536/B536*AF536),0,(AI536/B536*AF536))</f>
        <v>0</v>
      </c>
      <c r="AK536" s="58">
        <f>IF(ISERROR(O536/B536*AF536),0,(O536/B536*AF536))</f>
        <v>0</v>
      </c>
      <c r="AL536" s="28">
        <f>IF(ISERROR(H536/B536*AF536),0,(H536/B536*AF536))</f>
        <v>0</v>
      </c>
      <c r="AN536" s="51">
        <f>A536</f>
        <v>0</v>
      </c>
      <c r="AO536" s="57">
        <f>IF(ISERROR(IF(B536=C536,D536/C536,(INT(D536/B536)+(((D536-B536*INT(D536/B536)))/C536)/100))),0,(IF(B536=C536,D536/C536,(INT(D536/B536)+(((D536-B536*INT(D536/B536)))/C536)/100))))</f>
        <v>0</v>
      </c>
      <c r="AP536" s="57">
        <f>IF(ISERROR(IF(B536=C536,E536/C536,(INT(E536/B536)+(((E536-B536*INT(E536/B536)))/C536)/100))),0,(IF(B536=C536,E536/C536,(INT(E536/B536)+(((E536-B536*INT(E536/B536)))/C536)/100))))</f>
        <v>0</v>
      </c>
      <c r="AQ536" s="57">
        <f>IF(ISERROR(IF(B536=C536,F536/C536,IF((INT(F536/B536)+(((F536-B536*INT(F536/B536)))/C536)/100)&lt;0,(INT(F536/B536)+(((F536-B536*INT(F536/B536)))/C536)/100)+(1-(B536/C536/100)),(INT(F536/B536)+(((F536-B536*INT(F536/B536)))/C536)/100)))),0,IF(B536=C536,F536/C536,IF((INT(F536/B536)+(((F536-B536*INT(F536/B536)))/C536)/100)&lt;0,(INT(F536/B536)+(((F536-B536*INT(F536/B536)))/C536)/100)+(1-(B536/C536/100)),(INT(F536/B536)+(((F536-B536*INT(F536/B536)))/C536)/100))))</f>
        <v>0</v>
      </c>
      <c r="AR536" s="57">
        <f>IF(ISERROR(IF(B536=C536,G536/C536,(INT(G536/B536)+(((G536-B536*INT(G536/B536)))/C536)/100))),0,(IF(B536=C536,G536/C536,(INT(G536/B536)+(((G536-B536*INT(G536/B536)))/C536)/100))))</f>
        <v>0</v>
      </c>
      <c r="AS536" s="57">
        <f>IF(ISERROR(IF(B536=C536,H536/C536,(INT(H536/B536)+(((H536-B536*INT(H536/B536)))/C536)/100))),0,(IF(B536=C536,H536/C536,(INT(H536/B536)+(((H536-B536*INT(H536/B536)))/C536)/100))))</f>
        <v>0</v>
      </c>
      <c r="AT536" s="57">
        <f>IF(ISERROR(IF(B536=C536,I536/C536,(INT(I536/B536)+(((I536-B536*INT(I536/B536)))/C536)/100))),0,(IF(B536=C536,I536/C536,(INT(I536/B536)+(((I536-B536*INT(I536/B536)))/C536)/100))))</f>
        <v>0</v>
      </c>
      <c r="AU536" s="57">
        <f>IF(ISERROR(IF(B536=C536,J536/C536,(INT(J536/B536)+(((J536-B536*INT(J536/B536)))/C536)/100))),0,(IF(B536=C536,J536/C536,(INT(J536/B536)+(((J536-B536*INT(J536/B536)))/C536)/100))))</f>
        <v>0</v>
      </c>
      <c r="AV536" s="57">
        <f>IF(ISERROR(IF(B536=C536,K536/C536,IF((INT(K536/B536)+(((K536-B536*INT(K536/B536)))/C536)/100)&lt;0,(INT(K536/B536)+(((K536-B536*INT(K536/B536)))/C536)/100)+(1-(B536/C536/100)),(INT(K536/B536)+(((K536-B536*INT(K536/B536)))/C536)/100)))),0,IF(B536=C536,K536/C536,IF((INT(K536/B536)+(((K536-B536*INT(K536/B536)))/C536)/100)&lt;0,(INT(K536/B536)+(((K536-B536*INT(K536/B536)))/C536)/100)+(1-(B536/C536/100)),(INT(K536/B536)+(((K536-B536*INT(K536/B536)))/C536)/100))))</f>
        <v>0</v>
      </c>
      <c r="AW536" s="57">
        <f>IF(ISERROR(IF(B536=C536,L536/C536,(INT(L536/B536)+(((L536-B536*INT(L536/B536)))/C536)/100))),0,(IF(B536=C536,L536/C536,(INT(L536/B536)+(((L536-B536*INT(L536/B536)))/C536)/100))))</f>
        <v>0</v>
      </c>
      <c r="AX536" s="57">
        <f>IF(ISERROR(IF(B536=C536,M536/C536,(INT(M536/B536)+(((M536-B536*INT(M536/B536)))/C536)/100))),0,(IF(B536=C536,M536/C536,(INT(M536/B536)+(((M536-B536*INT(M536/B536)))/C536)/100))))</f>
        <v>0</v>
      </c>
      <c r="AY536" s="57">
        <f>IF(ISERROR(IF(B536=C536,N536/C536,IF((INT(N536/B536)+(((N536-B536*INT(N536/B536)))/C536)/100)&lt;0,(INT(N536/B536)+(((N536-B536*INT(N536/B536)))/C536)/100)+(1-(B536/C536/100)),(INT(N536/B536)+(((N536-B536*INT(N536/B536)))/C536)/100)))),0,IF(B536=C536,N536/C536,IF((INT(N536/B536)+(((N536-B536*INT(N536/B536)))/C536)/100)&lt;0,(INT(N536/B536)+(((N536-B536*INT(N536/B536)))/C536)/100)+(1-(B536/C536/100)),(INT(N536/B536)+(((N536-B536*INT(N536/B536)))/C536)/100))))</f>
        <v>0</v>
      </c>
      <c r="AZ536" s="57">
        <f>IF(ISERROR(IF(B536=C536,O536/C536,(INT(O536/B536)+(((O536-B536*INT(O536/B536)))/C536)/100))),0,(IF(B536=C536,O536/C536,(INT(O536/B536)+(((O536-B536*INT(O536/B536)))/C536)/100))))</f>
        <v>0</v>
      </c>
      <c r="BA536" s="57">
        <f>IF(ISERROR(IF(B536=C536,P536/C536,IF((INT(P536/B536)+(((P536-B536*INT(P536/B536)))/C536)/100)&lt;0,(INT(P536/B536)+(((P536-B536*INT(P536/B536)))/C536)/100)+(1-(B536/C536/100)),(INT(P536/B536)+(((P536-B536*INT(P536/B536)))/C536)/100)))),0,IF(B536=C536,P536/C536,IF((INT(P536/B536)+(((P536-B536*INT(P536/B536)))/C536)/100)&lt;0,(INT(P536/B536)+(((P536-B536*INT(P536/B536)))/C536)/100)+(1-(B536/C536/100)),(INT(P536/B536)+(((P536-B536*INT(P536/B536)))/C536)/100))))</f>
        <v>0</v>
      </c>
      <c r="BB536" s="28">
        <f>R536</f>
        <v>0</v>
      </c>
      <c r="BC536" s="28">
        <f>S536</f>
        <v>0</v>
      </c>
      <c r="BD536" s="28">
        <f>AF536</f>
        <v>0</v>
      </c>
      <c r="BE536" s="28">
        <f>T536</f>
        <v>0</v>
      </c>
      <c r="BG536" s="57">
        <f>IF(ISERROR(IF(B536=C536,V536/C536,(INT(V536/B536)+(((V536-B536*INT(V536/B536)))/C536)/100))),0,(IF(B536=C536,V536/C536,(INT(V536/B536)+(((V536-B536*INT(V536/B536)))/C536)/100))))</f>
        <v>0</v>
      </c>
      <c r="BH536" s="57">
        <f>IF(ISERROR(IF(B536=C536,W536/C536,(INT(W536/B536)+(((W536-B536*INT(W536/B536)))/C536)/100))),0,(IF(B536=C536,W536/C536,(INT(W536/B536)+(((W536-B536*INT(W536/B536)))/C536)/100))))</f>
        <v>0</v>
      </c>
      <c r="BI536" s="57">
        <f>IF(ISERROR(IF(B536=C536,X536/C536,(INT(X536/B536)+(((X536-B536*INT(X536/B536)))/C536)/100))),0,(IF(B536=C536,X536/C536,(INT(X536/B536)+(((X536-B536*INT(X536/B536)))/C536)/100))))</f>
        <v>0</v>
      </c>
      <c r="BJ536" s="57">
        <f>IF(ISERROR(IF(B536=C536,Y536/C536,(INT(Y536/B536)+(((Y536-B536*INT(Y536/B536)))/C536)/100))),0,(IF(B536=C536,Y536/C536,(INT(Y536/B536)+(((Y536-B536*INT(Y536/B536)))/C536)/100))))</f>
        <v>0</v>
      </c>
      <c r="BL536" s="57">
        <f>IF(ISERROR(IF(B536=C536,AA536/C536,(INT(AA536/B536)+(((AA536-B536*INT(AA536/B536)))/C536)/100))),0,(IF(B536=C536,AA536/C536,(INT(AA536/B536)+(((AA536-B536*INT(AA536/B536)))/C536)/100))))</f>
        <v>0</v>
      </c>
      <c r="BM536" s="57">
        <f>IF(ISERROR(IF(B536=C536,AB536/C536,(INT(AB536/B536)+(((AB536-B536*INT(AB536/B536)))/C536)/100))),0,(IF(B536=C536,AB536/C536,(INT(AB536/B536)+(((AB536-B536*INT(AB536/B536)))/C536)/100))))</f>
        <v>0</v>
      </c>
      <c r="BN536" s="57">
        <f>IF(ISERROR(IF(B536=C536,AC536/C536,(INT(AC536/B536)+(((AC536-B536*INT(AC536/B536)))/C536)/100))),0,(IF(B536=C536,AC536/C536,(INT(AC536/B536)+(((AC536-B536*INT(AC536/B536)))/C536)/100))))</f>
        <v>0</v>
      </c>
      <c r="BO536" s="57">
        <f>IF(ISERROR(IF(B536=C536,AD536/C536,(INT(AD536/B536)+(((AD536-B536*INT(AD536/B536)))/C536)/100))),0,(IF(B536=C536,AD536/C536,(INT(AD536/B536)+(((AD536-B536*INT(AD536/B536)))/C536)/100))))</f>
        <v>0</v>
      </c>
      <c r="BQ536" s="155"/>
    </row>
    <row r="537" spans="1:69" hidden="1" x14ac:dyDescent="0.35">
      <c r="A537" s="94"/>
      <c r="B537" s="113">
        <v>0</v>
      </c>
      <c r="C537" s="113">
        <v>250</v>
      </c>
      <c r="D537" s="28">
        <f>SUM(AA537:AD537)</f>
        <v>0</v>
      </c>
      <c r="E537" s="113">
        <v>0</v>
      </c>
      <c r="F537" s="113">
        <v>0</v>
      </c>
      <c r="G537" s="28">
        <f>SUM(D537:F537)</f>
        <v>0</v>
      </c>
      <c r="H537" s="125">
        <v>0</v>
      </c>
      <c r="I537" s="113">
        <v>0</v>
      </c>
      <c r="J537" s="125">
        <v>0</v>
      </c>
      <c r="K537" s="113">
        <v>0</v>
      </c>
      <c r="L537" s="113">
        <v>0</v>
      </c>
      <c r="M537" s="113">
        <v>0</v>
      </c>
      <c r="N537" s="28">
        <f>G537-SUM(H537:M537)</f>
        <v>0</v>
      </c>
      <c r="O537" s="28">
        <f>SUM(V537:Y537)</f>
        <v>0</v>
      </c>
      <c r="P537" s="28">
        <f>O537-N537</f>
        <v>0</v>
      </c>
      <c r="Q537" s="61" t="str">
        <f>IF(ISERROR(P537/SUM(H537:L537)),"",P537/SUM(H537:L537))</f>
        <v/>
      </c>
      <c r="R537" s="113">
        <v>0</v>
      </c>
      <c r="S537" s="28">
        <f>IF(ISERROR(P537/C537*R537),0,(P537/C537*R537))</f>
        <v>0</v>
      </c>
      <c r="T537" s="60">
        <f>IF(ISERROR(P537/B537*AF537),0,(P537/B537*AF537))</f>
        <v>0</v>
      </c>
      <c r="V537" s="113">
        <v>0</v>
      </c>
      <c r="W537" s="113">
        <v>0</v>
      </c>
      <c r="X537" s="113">
        <v>0</v>
      </c>
      <c r="Y537" s="113">
        <v>0</v>
      </c>
      <c r="AA537" s="113">
        <v>0</v>
      </c>
      <c r="AB537" s="113">
        <v>0</v>
      </c>
      <c r="AC537" s="113">
        <v>0</v>
      </c>
      <c r="AD537" s="113">
        <v>0</v>
      </c>
      <c r="AF537" s="113">
        <v>0</v>
      </c>
      <c r="AG537" s="28">
        <f>G537-O537</f>
        <v>0</v>
      </c>
      <c r="AH537" s="58">
        <f>IF(ISERROR(AG537/B537*AF537),0,(AG537/B537*AF537))</f>
        <v>0</v>
      </c>
      <c r="AI537" s="28">
        <f>SUM(H537:M537)</f>
        <v>0</v>
      </c>
      <c r="AJ537" s="28">
        <f>IF(ISERROR(AI537/B537*AF537),0,(AI537/B537*AF537))</f>
        <v>0</v>
      </c>
      <c r="AK537" s="58">
        <f>IF(ISERROR(O537/B537*AF537),0,(O537/B537*AF537))</f>
        <v>0</v>
      </c>
      <c r="AL537" s="28">
        <f>IF(ISERROR(H537/B537*AF537),0,(H537/B537*AF537))</f>
        <v>0</v>
      </c>
      <c r="AN537" s="51">
        <f>A537</f>
        <v>0</v>
      </c>
      <c r="AO537" s="57">
        <f>IF(ISERROR(IF(B537=C537,D537/C537,(INT(D537/B537)+(((D537-B537*INT(D537/B537)))/C537)/100))),0,(IF(B537=C537,D537/C537,(INT(D537/B537)+(((D537-B537*INT(D537/B537)))/C537)/100))))</f>
        <v>0</v>
      </c>
      <c r="AP537" s="57">
        <f>IF(ISERROR(IF(B537=C537,E537/C537,(INT(E537/B537)+(((E537-B537*INT(E537/B537)))/C537)/100))),0,(IF(B537=C537,E537/C537,(INT(E537/B537)+(((E537-B537*INT(E537/B537)))/C537)/100))))</f>
        <v>0</v>
      </c>
      <c r="AQ537" s="57">
        <f>IF(ISERROR(IF(B537=C537,F537/C537,IF((INT(F537/B537)+(((F537-B537*INT(F537/B537)))/C537)/100)&lt;0,(INT(F537/B537)+(((F537-B537*INT(F537/B537)))/C537)/100)+(1-(B537/C537/100)),(INT(F537/B537)+(((F537-B537*INT(F537/B537)))/C537)/100)))),0,IF(B537=C537,F537/C537,IF((INT(F537/B537)+(((F537-B537*INT(F537/B537)))/C537)/100)&lt;0,(INT(F537/B537)+(((F537-B537*INT(F537/B537)))/C537)/100)+(1-(B537/C537/100)),(INT(F537/B537)+(((F537-B537*INT(F537/B537)))/C537)/100))))</f>
        <v>0</v>
      </c>
      <c r="AR537" s="57">
        <f>IF(ISERROR(IF(B537=C537,G537/C537,(INT(G537/B537)+(((G537-B537*INT(G537/B537)))/C537)/100))),0,(IF(B537=C537,G537/C537,(INT(G537/B537)+(((G537-B537*INT(G537/B537)))/C537)/100))))</f>
        <v>0</v>
      </c>
      <c r="AS537" s="57">
        <f>IF(ISERROR(IF(B537=C537,H537/C537,(INT(H537/B537)+(((H537-B537*INT(H537/B537)))/C537)/100))),0,(IF(B537=C537,H537/C537,(INT(H537/B537)+(((H537-B537*INT(H537/B537)))/C537)/100))))</f>
        <v>0</v>
      </c>
      <c r="AT537" s="57">
        <f>IF(ISERROR(IF(B537=C537,I537/C537,(INT(I537/B537)+(((I537-B537*INT(I537/B537)))/C537)/100))),0,(IF(B537=C537,I537/C537,(INT(I537/B537)+(((I537-B537*INT(I537/B537)))/C537)/100))))</f>
        <v>0</v>
      </c>
      <c r="AU537" s="57">
        <f>IF(ISERROR(IF(B537=C537,J537/C537,(INT(J537/B537)+(((J537-B537*INT(J537/B537)))/C537)/100))),0,(IF(B537=C537,J537/C537,(INT(J537/B537)+(((J537-B537*INT(J537/B537)))/C537)/100))))</f>
        <v>0</v>
      </c>
      <c r="AV537" s="57">
        <f>IF(ISERROR(IF(B537=C537,K537/C537,IF((INT(K537/B537)+(((K537-B537*INT(K537/B537)))/C537)/100)&lt;0,(INT(K537/B537)+(((K537-B537*INT(K537/B537)))/C537)/100)+(1-(B537/C537/100)),(INT(K537/B537)+(((K537-B537*INT(K537/B537)))/C537)/100)))),0,IF(B537=C537,K537/C537,IF((INT(K537/B537)+(((K537-B537*INT(K537/B537)))/C537)/100)&lt;0,(INT(K537/B537)+(((K537-B537*INT(K537/B537)))/C537)/100)+(1-(B537/C537/100)),(INT(K537/B537)+(((K537-B537*INT(K537/B537)))/C537)/100))))</f>
        <v>0</v>
      </c>
      <c r="AW537" s="57">
        <f>IF(ISERROR(IF(B537=C537,L537/C537,(INT(L537/B537)+(((L537-B537*INT(L537/B537)))/C537)/100))),0,(IF(B537=C537,L537/C537,(INT(L537/B537)+(((L537-B537*INT(L537/B537)))/C537)/100))))</f>
        <v>0</v>
      </c>
      <c r="AX537" s="57">
        <f>IF(ISERROR(IF(B537=C537,M537/C537,(INT(M537/B537)+(((M537-B537*INT(M537/B537)))/C537)/100))),0,(IF(B537=C537,M537/C537,(INT(M537/B537)+(((M537-B537*INT(M537/B537)))/C537)/100))))</f>
        <v>0</v>
      </c>
      <c r="AY537" s="57">
        <f>IF(ISERROR(IF(B537=C537,N537/C537,IF((INT(N537/B537)+(((N537-B537*INT(N537/B537)))/C537)/100)&lt;0,(INT(N537/B537)+(((N537-B537*INT(N537/B537)))/C537)/100)+(1-(B537/C537/100)),(INT(N537/B537)+(((N537-B537*INT(N537/B537)))/C537)/100)))),0,IF(B537=C537,N537/C537,IF((INT(N537/B537)+(((N537-B537*INT(N537/B537)))/C537)/100)&lt;0,(INT(N537/B537)+(((N537-B537*INT(N537/B537)))/C537)/100)+(1-(B537/C537/100)),(INT(N537/B537)+(((N537-B537*INT(N537/B537)))/C537)/100))))</f>
        <v>0</v>
      </c>
      <c r="AZ537" s="57">
        <f>IF(ISERROR(IF(B537=C537,O537/C537,(INT(O537/B537)+(((O537-B537*INT(O537/B537)))/C537)/100))),0,(IF(B537=C537,O537/C537,(INT(O537/B537)+(((O537-B537*INT(O537/B537)))/C537)/100))))</f>
        <v>0</v>
      </c>
      <c r="BA537" s="57">
        <f>IF(ISERROR(IF(B537=C537,P537/C537,IF((INT(P537/B537)+(((P537-B537*INT(P537/B537)))/C537)/100)&lt;0,(INT(P537/B537)+(((P537-B537*INT(P537/B537)))/C537)/100)+(1-(B537/C537/100)),(INT(P537/B537)+(((P537-B537*INT(P537/B537)))/C537)/100)))),0,IF(B537=C537,P537/C537,IF((INT(P537/B537)+(((P537-B537*INT(P537/B537)))/C537)/100)&lt;0,(INT(P537/B537)+(((P537-B537*INT(P537/B537)))/C537)/100)+(1-(B537/C537/100)),(INT(P537/B537)+(((P537-B537*INT(P537/B537)))/C537)/100))))</f>
        <v>0</v>
      </c>
      <c r="BB537" s="28">
        <f>R537</f>
        <v>0</v>
      </c>
      <c r="BC537" s="28">
        <f>S537</f>
        <v>0</v>
      </c>
      <c r="BD537" s="28">
        <f>AF537</f>
        <v>0</v>
      </c>
      <c r="BE537" s="28">
        <f>T537</f>
        <v>0</v>
      </c>
      <c r="BG537" s="57">
        <f>IF(ISERROR(IF(B537=C537,V537/C537,(INT(V537/B537)+(((V537-B537*INT(V537/B537)))/C537)/100))),0,(IF(B537=C537,V537/C537,(INT(V537/B537)+(((V537-B537*INT(V537/B537)))/C537)/100))))</f>
        <v>0</v>
      </c>
      <c r="BH537" s="57">
        <f>IF(ISERROR(IF(B537=C537,W537/C537,(INT(W537/B537)+(((W537-B537*INT(W537/B537)))/C537)/100))),0,(IF(B537=C537,W537/C537,(INT(W537/B537)+(((W537-B537*INT(W537/B537)))/C537)/100))))</f>
        <v>0</v>
      </c>
      <c r="BI537" s="57">
        <f>IF(ISERROR(IF(B537=C537,X537/C537,(INT(X537/B537)+(((X537-B537*INT(X537/B537)))/C537)/100))),0,(IF(B537=C537,X537/C537,(INT(X537/B537)+(((X537-B537*INT(X537/B537)))/C537)/100))))</f>
        <v>0</v>
      </c>
      <c r="BJ537" s="57">
        <f>IF(ISERROR(IF(B537=C537,Y537/C537,(INT(Y537/B537)+(((Y537-B537*INT(Y537/B537)))/C537)/100))),0,(IF(B537=C537,Y537/C537,(INT(Y537/B537)+(((Y537-B537*INT(Y537/B537)))/C537)/100))))</f>
        <v>0</v>
      </c>
      <c r="BL537" s="57">
        <f>IF(ISERROR(IF(B537=C537,AA537/C537,(INT(AA537/B537)+(((AA537-B537*INT(AA537/B537)))/C537)/100))),0,(IF(B537=C537,AA537/C537,(INT(AA537/B537)+(((AA537-B537*INT(AA537/B537)))/C537)/100))))</f>
        <v>0</v>
      </c>
      <c r="BM537" s="57">
        <f>IF(ISERROR(IF(B537=C537,AB537/C537,(INT(AB537/B537)+(((AB537-B537*INT(AB537/B537)))/C537)/100))),0,(IF(B537=C537,AB537/C537,(INT(AB537/B537)+(((AB537-B537*INT(AB537/B537)))/C537)/100))))</f>
        <v>0</v>
      </c>
      <c r="BN537" s="57">
        <f>IF(ISERROR(IF(B537=C537,AC537/C537,(INT(AC537/B537)+(((AC537-B537*INT(AC537/B537)))/C537)/100))),0,(IF(B537=C537,AC537/C537,(INT(AC537/B537)+(((AC537-B537*INT(AC537/B537)))/C537)/100))))</f>
        <v>0</v>
      </c>
      <c r="BO537" s="57">
        <f>IF(ISERROR(IF(B537=C537,AD537/C537,(INT(AD537/B537)+(((AD537-B537*INT(AD537/B537)))/C537)/100))),0,(IF(B537=C537,AD537/C537,(INT(AD537/B537)+(((AD537-B537*INT(AD537/B537)))/C537)/100))))</f>
        <v>0</v>
      </c>
      <c r="BQ537" s="155"/>
    </row>
    <row r="538" spans="1:69" hidden="1" x14ac:dyDescent="0.35">
      <c r="A538" s="94"/>
      <c r="B538" s="113">
        <v>0</v>
      </c>
      <c r="C538" s="113">
        <v>250</v>
      </c>
      <c r="D538" s="28">
        <f>SUM(AA538:AD538)</f>
        <v>0</v>
      </c>
      <c r="E538" s="113">
        <v>0</v>
      </c>
      <c r="F538" s="113">
        <v>0</v>
      </c>
      <c r="G538" s="28">
        <f>SUM(D538:F538)</f>
        <v>0</v>
      </c>
      <c r="H538" s="125">
        <v>0</v>
      </c>
      <c r="I538" s="113">
        <v>0</v>
      </c>
      <c r="J538" s="125">
        <v>0</v>
      </c>
      <c r="K538" s="113">
        <v>0</v>
      </c>
      <c r="L538" s="113">
        <v>0</v>
      </c>
      <c r="M538" s="113">
        <v>0</v>
      </c>
      <c r="N538" s="28">
        <f>G538-SUM(H538:M538)</f>
        <v>0</v>
      </c>
      <c r="O538" s="28">
        <f>SUM(V538:Y538)</f>
        <v>0</v>
      </c>
      <c r="P538" s="28">
        <f>O538-N538</f>
        <v>0</v>
      </c>
      <c r="Q538" s="61" t="str">
        <f>IF(ISERROR(P538/SUM(H538:L538)),"",P538/SUM(H538:L538))</f>
        <v/>
      </c>
      <c r="R538" s="113">
        <v>0</v>
      </c>
      <c r="S538" s="28">
        <f>IF(ISERROR(P538/C538*R538),0,(P538/C538*R538))</f>
        <v>0</v>
      </c>
      <c r="T538" s="60">
        <f>IF(ISERROR(P538/B538*AF538),0,(P538/B538*AF538))</f>
        <v>0</v>
      </c>
      <c r="V538" s="113">
        <v>0</v>
      </c>
      <c r="W538" s="113">
        <v>0</v>
      </c>
      <c r="X538" s="113">
        <v>0</v>
      </c>
      <c r="Y538" s="113">
        <v>0</v>
      </c>
      <c r="AA538" s="113">
        <v>0</v>
      </c>
      <c r="AB538" s="113">
        <v>0</v>
      </c>
      <c r="AC538" s="113">
        <v>0</v>
      </c>
      <c r="AD538" s="113">
        <v>0</v>
      </c>
      <c r="AF538" s="113">
        <v>0</v>
      </c>
      <c r="AG538" s="28">
        <f>G538-O538</f>
        <v>0</v>
      </c>
      <c r="AH538" s="58">
        <f>IF(ISERROR(AG538/B538*AF538),0,(AG538/B538*AF538))</f>
        <v>0</v>
      </c>
      <c r="AI538" s="28">
        <f>SUM(H538:M538)</f>
        <v>0</v>
      </c>
      <c r="AJ538" s="28">
        <f>IF(ISERROR(AI538/B538*AF538),0,(AI538/B538*AF538))</f>
        <v>0</v>
      </c>
      <c r="AK538" s="58">
        <f>IF(ISERROR(O538/B538*AF538),0,(O538/B538*AF538))</f>
        <v>0</v>
      </c>
      <c r="AL538" s="28">
        <f>IF(ISERROR(H538/B538*AF538),0,(H538/B538*AF538))</f>
        <v>0</v>
      </c>
      <c r="AN538" s="51">
        <f>A538</f>
        <v>0</v>
      </c>
      <c r="AO538" s="57">
        <f>IF(ISERROR(IF(B538=C538,D538/C538,(INT(D538/B538)+(((D538-B538*INT(D538/B538)))/C538)/100))),0,(IF(B538=C538,D538/C538,(INT(D538/B538)+(((D538-B538*INT(D538/B538)))/C538)/100))))</f>
        <v>0</v>
      </c>
      <c r="AP538" s="57">
        <f>IF(ISERROR(IF(B538=C538,E538/C538,(INT(E538/B538)+(((E538-B538*INT(E538/B538)))/C538)/100))),0,(IF(B538=C538,E538/C538,(INT(E538/B538)+(((E538-B538*INT(E538/B538)))/C538)/100))))</f>
        <v>0</v>
      </c>
      <c r="AQ538" s="57">
        <f>IF(ISERROR(IF(B538=C538,F538/C538,IF((INT(F538/B538)+(((F538-B538*INT(F538/B538)))/C538)/100)&lt;0,(INT(F538/B538)+(((F538-B538*INT(F538/B538)))/C538)/100)+(1-(B538/C538/100)),(INT(F538/B538)+(((F538-B538*INT(F538/B538)))/C538)/100)))),0,IF(B538=C538,F538/C538,IF((INT(F538/B538)+(((F538-B538*INT(F538/B538)))/C538)/100)&lt;0,(INT(F538/B538)+(((F538-B538*INT(F538/B538)))/C538)/100)+(1-(B538/C538/100)),(INT(F538/B538)+(((F538-B538*INT(F538/B538)))/C538)/100))))</f>
        <v>0</v>
      </c>
      <c r="AR538" s="57">
        <f>IF(ISERROR(IF(B538=C538,G538/C538,(INT(G538/B538)+(((G538-B538*INT(G538/B538)))/C538)/100))),0,(IF(B538=C538,G538/C538,(INT(G538/B538)+(((G538-B538*INT(G538/B538)))/C538)/100))))</f>
        <v>0</v>
      </c>
      <c r="AS538" s="57">
        <f>IF(ISERROR(IF(B538=C538,H538/C538,(INT(H538/B538)+(((H538-B538*INT(H538/B538)))/C538)/100))),0,(IF(B538=C538,H538/C538,(INT(H538/B538)+(((H538-B538*INT(H538/B538)))/C538)/100))))</f>
        <v>0</v>
      </c>
      <c r="AT538" s="57">
        <f>IF(ISERROR(IF(B538=C538,I538/C538,(INT(I538/B538)+(((I538-B538*INT(I538/B538)))/C538)/100))),0,(IF(B538=C538,I538/C538,(INT(I538/B538)+(((I538-B538*INT(I538/B538)))/C538)/100))))</f>
        <v>0</v>
      </c>
      <c r="AU538" s="57">
        <f>IF(ISERROR(IF(B538=C538,J538/C538,(INT(J538/B538)+(((J538-B538*INT(J538/B538)))/C538)/100))),0,(IF(B538=C538,J538/C538,(INT(J538/B538)+(((J538-B538*INT(J538/B538)))/C538)/100))))</f>
        <v>0</v>
      </c>
      <c r="AV538" s="57">
        <f>IF(ISERROR(IF(B538=C538,K538/C538,IF((INT(K538/B538)+(((K538-B538*INT(K538/B538)))/C538)/100)&lt;0,(INT(K538/B538)+(((K538-B538*INT(K538/B538)))/C538)/100)+(1-(B538/C538/100)),(INT(K538/B538)+(((K538-B538*INT(K538/B538)))/C538)/100)))),0,IF(B538=C538,K538/C538,IF((INT(K538/B538)+(((K538-B538*INT(K538/B538)))/C538)/100)&lt;0,(INT(K538/B538)+(((K538-B538*INT(K538/B538)))/C538)/100)+(1-(B538/C538/100)),(INT(K538/B538)+(((K538-B538*INT(K538/B538)))/C538)/100))))</f>
        <v>0</v>
      </c>
      <c r="AW538" s="57">
        <f>IF(ISERROR(IF(B538=C538,L538/C538,(INT(L538/B538)+(((L538-B538*INT(L538/B538)))/C538)/100))),0,(IF(B538=C538,L538/C538,(INT(L538/B538)+(((L538-B538*INT(L538/B538)))/C538)/100))))</f>
        <v>0</v>
      </c>
      <c r="AX538" s="57">
        <f>IF(ISERROR(IF(B538=C538,M538/C538,(INT(M538/B538)+(((M538-B538*INT(M538/B538)))/C538)/100))),0,(IF(B538=C538,M538/C538,(INT(M538/B538)+(((M538-B538*INT(M538/B538)))/C538)/100))))</f>
        <v>0</v>
      </c>
      <c r="AY538" s="57">
        <f>IF(ISERROR(IF(B538=C538,N538/C538,IF((INT(N538/B538)+(((N538-B538*INT(N538/B538)))/C538)/100)&lt;0,(INT(N538/B538)+(((N538-B538*INT(N538/B538)))/C538)/100)+(1-(B538/C538/100)),(INT(N538/B538)+(((N538-B538*INT(N538/B538)))/C538)/100)))),0,IF(B538=C538,N538/C538,IF((INT(N538/B538)+(((N538-B538*INT(N538/B538)))/C538)/100)&lt;0,(INT(N538/B538)+(((N538-B538*INT(N538/B538)))/C538)/100)+(1-(B538/C538/100)),(INT(N538/B538)+(((N538-B538*INT(N538/B538)))/C538)/100))))</f>
        <v>0</v>
      </c>
      <c r="AZ538" s="57">
        <f>IF(ISERROR(IF(B538=C538,O538/C538,(INT(O538/B538)+(((O538-B538*INT(O538/B538)))/C538)/100))),0,(IF(B538=C538,O538/C538,(INT(O538/B538)+(((O538-B538*INT(O538/B538)))/C538)/100))))</f>
        <v>0</v>
      </c>
      <c r="BA538" s="57">
        <f>IF(ISERROR(IF(B538=C538,P538/C538,IF((INT(P538/B538)+(((P538-B538*INT(P538/B538)))/C538)/100)&lt;0,(INT(P538/B538)+(((P538-B538*INT(P538/B538)))/C538)/100)+(1-(B538/C538/100)),(INT(P538/B538)+(((P538-B538*INT(P538/B538)))/C538)/100)))),0,IF(B538=C538,P538/C538,IF((INT(P538/B538)+(((P538-B538*INT(P538/B538)))/C538)/100)&lt;0,(INT(P538/B538)+(((P538-B538*INT(P538/B538)))/C538)/100)+(1-(B538/C538/100)),(INT(P538/B538)+(((P538-B538*INT(P538/B538)))/C538)/100))))</f>
        <v>0</v>
      </c>
      <c r="BB538" s="28">
        <f>R538</f>
        <v>0</v>
      </c>
      <c r="BC538" s="28">
        <f>S538</f>
        <v>0</v>
      </c>
      <c r="BD538" s="28">
        <f>AF538</f>
        <v>0</v>
      </c>
      <c r="BE538" s="28">
        <f>T538</f>
        <v>0</v>
      </c>
      <c r="BG538" s="57">
        <f>IF(ISERROR(IF(B538=C538,V538/C538,(INT(V538/B538)+(((V538-B538*INT(V538/B538)))/C538)/100))),0,(IF(B538=C538,V538/C538,(INT(V538/B538)+(((V538-B538*INT(V538/B538)))/C538)/100))))</f>
        <v>0</v>
      </c>
      <c r="BH538" s="57">
        <f>IF(ISERROR(IF(B538=C538,W538/C538,(INT(W538/B538)+(((W538-B538*INT(W538/B538)))/C538)/100))),0,(IF(B538=C538,W538/C538,(INT(W538/B538)+(((W538-B538*INT(W538/B538)))/C538)/100))))</f>
        <v>0</v>
      </c>
      <c r="BI538" s="57">
        <f>IF(ISERROR(IF(B538=C538,X538/C538,(INT(X538/B538)+(((X538-B538*INT(X538/B538)))/C538)/100))),0,(IF(B538=C538,X538/C538,(INT(X538/B538)+(((X538-B538*INT(X538/B538)))/C538)/100))))</f>
        <v>0</v>
      </c>
      <c r="BJ538" s="57">
        <f>IF(ISERROR(IF(B538=C538,Y538/C538,(INT(Y538/B538)+(((Y538-B538*INT(Y538/B538)))/C538)/100))),0,(IF(B538=C538,Y538/C538,(INT(Y538/B538)+(((Y538-B538*INT(Y538/B538)))/C538)/100))))</f>
        <v>0</v>
      </c>
      <c r="BL538" s="57">
        <f>IF(ISERROR(IF(B538=C538,AA538/C538,(INT(AA538/B538)+(((AA538-B538*INT(AA538/B538)))/C538)/100))),0,(IF(B538=C538,AA538/C538,(INT(AA538/B538)+(((AA538-B538*INT(AA538/B538)))/C538)/100))))</f>
        <v>0</v>
      </c>
      <c r="BM538" s="57">
        <f>IF(ISERROR(IF(B538=C538,AB538/C538,(INT(AB538/B538)+(((AB538-B538*INT(AB538/B538)))/C538)/100))),0,(IF(B538=C538,AB538/C538,(INT(AB538/B538)+(((AB538-B538*INT(AB538/B538)))/C538)/100))))</f>
        <v>0</v>
      </c>
      <c r="BN538" s="57">
        <f>IF(ISERROR(IF(B538=C538,AC538/C538,(INT(AC538/B538)+(((AC538-B538*INT(AC538/B538)))/C538)/100))),0,(IF(B538=C538,AC538/C538,(INT(AC538/B538)+(((AC538-B538*INT(AC538/B538)))/C538)/100))))</f>
        <v>0</v>
      </c>
      <c r="BO538" s="57">
        <f>IF(ISERROR(IF(B538=C538,AD538/C538,(INT(AD538/B538)+(((AD538-B538*INT(AD538/B538)))/C538)/100))),0,(IF(B538=C538,AD538/C538,(INT(AD538/B538)+(((AD538-B538*INT(AD538/B538)))/C538)/100))))</f>
        <v>0</v>
      </c>
      <c r="BQ538" s="155"/>
    </row>
    <row r="539" spans="1:69" hidden="1" x14ac:dyDescent="0.35">
      <c r="A539" s="94"/>
      <c r="B539" s="113">
        <v>0</v>
      </c>
      <c r="C539" s="113">
        <v>250</v>
      </c>
      <c r="D539" s="28">
        <f>SUM(AA539:AD539)</f>
        <v>0</v>
      </c>
      <c r="E539" s="113">
        <v>0</v>
      </c>
      <c r="F539" s="113">
        <v>0</v>
      </c>
      <c r="G539" s="28">
        <f>SUM(D539:F539)</f>
        <v>0</v>
      </c>
      <c r="H539" s="125">
        <v>0</v>
      </c>
      <c r="I539" s="113">
        <v>0</v>
      </c>
      <c r="J539" s="125">
        <v>0</v>
      </c>
      <c r="K539" s="113">
        <v>0</v>
      </c>
      <c r="L539" s="113">
        <v>0</v>
      </c>
      <c r="M539" s="113">
        <v>0</v>
      </c>
      <c r="N539" s="28">
        <f>G539-SUM(H539:M539)</f>
        <v>0</v>
      </c>
      <c r="O539" s="28">
        <f>SUM(V539:Y539)</f>
        <v>0</v>
      </c>
      <c r="P539" s="28">
        <f>O539-N539</f>
        <v>0</v>
      </c>
      <c r="Q539" s="61" t="str">
        <f>IF(ISERROR(P539/SUM(H539:L539)),"",P539/SUM(H539:L539))</f>
        <v/>
      </c>
      <c r="R539" s="113">
        <v>0</v>
      </c>
      <c r="S539" s="28">
        <f>IF(ISERROR(P539/C539*R539),0,(P539/C539*R539))</f>
        <v>0</v>
      </c>
      <c r="T539" s="60">
        <f>IF(ISERROR(P539/B539*AF539),0,(P539/B539*AF539))</f>
        <v>0</v>
      </c>
      <c r="V539" s="113">
        <v>0</v>
      </c>
      <c r="W539" s="113">
        <v>0</v>
      </c>
      <c r="X539" s="113">
        <v>0</v>
      </c>
      <c r="Y539" s="113">
        <v>0</v>
      </c>
      <c r="AA539" s="113">
        <v>0</v>
      </c>
      <c r="AB539" s="113">
        <v>0</v>
      </c>
      <c r="AC539" s="113">
        <v>0</v>
      </c>
      <c r="AD539" s="113">
        <v>0</v>
      </c>
      <c r="AF539" s="113">
        <v>0</v>
      </c>
      <c r="AG539" s="28">
        <f>G539-O539</f>
        <v>0</v>
      </c>
      <c r="AH539" s="58">
        <f>IF(ISERROR(AG539/B539*AF539),0,(AG539/B539*AF539))</f>
        <v>0</v>
      </c>
      <c r="AI539" s="28">
        <f>SUM(H539:M539)</f>
        <v>0</v>
      </c>
      <c r="AJ539" s="28">
        <f>IF(ISERROR(AI539/B539*AF539),0,(AI539/B539*AF539))</f>
        <v>0</v>
      </c>
      <c r="AK539" s="58">
        <f>IF(ISERROR(O539/B539*AF539),0,(O539/B539*AF539))</f>
        <v>0</v>
      </c>
      <c r="AL539" s="28">
        <f>IF(ISERROR(H539/B539*AF539),0,(H539/B539*AF539))</f>
        <v>0</v>
      </c>
      <c r="AN539" s="51">
        <f>A539</f>
        <v>0</v>
      </c>
      <c r="AO539" s="57">
        <f>IF(ISERROR(IF(B539=C539,D539/C539,(INT(D539/B539)+(((D539-B539*INT(D539/B539)))/C539)/100))),0,(IF(B539=C539,D539/C539,(INT(D539/B539)+(((D539-B539*INT(D539/B539)))/C539)/100))))</f>
        <v>0</v>
      </c>
      <c r="AP539" s="57">
        <f>IF(ISERROR(IF(B539=C539,E539/C539,(INT(E539/B539)+(((E539-B539*INT(E539/B539)))/C539)/100))),0,(IF(B539=C539,E539/C539,(INT(E539/B539)+(((E539-B539*INT(E539/B539)))/C539)/100))))</f>
        <v>0</v>
      </c>
      <c r="AQ539" s="57">
        <f>IF(ISERROR(IF(B539=C539,F539/C539,IF((INT(F539/B539)+(((F539-B539*INT(F539/B539)))/C539)/100)&lt;0,(INT(F539/B539)+(((F539-B539*INT(F539/B539)))/C539)/100)+(1-(B539/C539/100)),(INT(F539/B539)+(((F539-B539*INT(F539/B539)))/C539)/100)))),0,IF(B539=C539,F539/C539,IF((INT(F539/B539)+(((F539-B539*INT(F539/B539)))/C539)/100)&lt;0,(INT(F539/B539)+(((F539-B539*INT(F539/B539)))/C539)/100)+(1-(B539/C539/100)),(INT(F539/B539)+(((F539-B539*INT(F539/B539)))/C539)/100))))</f>
        <v>0</v>
      </c>
      <c r="AR539" s="57">
        <f>IF(ISERROR(IF(B539=C539,G539/C539,(INT(G539/B539)+(((G539-B539*INT(G539/B539)))/C539)/100))),0,(IF(B539=C539,G539/C539,(INT(G539/B539)+(((G539-B539*INT(G539/B539)))/C539)/100))))</f>
        <v>0</v>
      </c>
      <c r="AS539" s="57">
        <f>IF(ISERROR(IF(B539=C539,H539/C539,(INT(H539/B539)+(((H539-B539*INT(H539/B539)))/C539)/100))),0,(IF(B539=C539,H539/C539,(INT(H539/B539)+(((H539-B539*INT(H539/B539)))/C539)/100))))</f>
        <v>0</v>
      </c>
      <c r="AT539" s="57">
        <f>IF(ISERROR(IF(B539=C539,I539/C539,(INT(I539/B539)+(((I539-B539*INT(I539/B539)))/C539)/100))),0,(IF(B539=C539,I539/C539,(INT(I539/B539)+(((I539-B539*INT(I539/B539)))/C539)/100))))</f>
        <v>0</v>
      </c>
      <c r="AU539" s="57">
        <f>IF(ISERROR(IF(B539=C539,J539/C539,(INT(J539/B539)+(((J539-B539*INT(J539/B539)))/C539)/100))),0,(IF(B539=C539,J539/C539,(INT(J539/B539)+(((J539-B539*INT(J539/B539)))/C539)/100))))</f>
        <v>0</v>
      </c>
      <c r="AV539" s="57">
        <f>IF(ISERROR(IF(B539=C539,K539/C539,IF((INT(K539/B539)+(((K539-B539*INT(K539/B539)))/C539)/100)&lt;0,(INT(K539/B539)+(((K539-B539*INT(K539/B539)))/C539)/100)+(1-(B539/C539/100)),(INT(K539/B539)+(((K539-B539*INT(K539/B539)))/C539)/100)))),0,IF(B539=C539,K539/C539,IF((INT(K539/B539)+(((K539-B539*INT(K539/B539)))/C539)/100)&lt;0,(INT(K539/B539)+(((K539-B539*INT(K539/B539)))/C539)/100)+(1-(B539/C539/100)),(INT(K539/B539)+(((K539-B539*INT(K539/B539)))/C539)/100))))</f>
        <v>0</v>
      </c>
      <c r="AW539" s="57">
        <f>IF(ISERROR(IF(B539=C539,L539/C539,(INT(L539/B539)+(((L539-B539*INT(L539/B539)))/C539)/100))),0,(IF(B539=C539,L539/C539,(INT(L539/B539)+(((L539-B539*INT(L539/B539)))/C539)/100))))</f>
        <v>0</v>
      </c>
      <c r="AX539" s="57">
        <f>IF(ISERROR(IF(B539=C539,M539/C539,(INT(M539/B539)+(((M539-B539*INT(M539/B539)))/C539)/100))),0,(IF(B539=C539,M539/C539,(INT(M539/B539)+(((M539-B539*INT(M539/B539)))/C539)/100))))</f>
        <v>0</v>
      </c>
      <c r="AY539" s="57">
        <f>IF(ISERROR(IF(B539=C539,N539/C539,IF((INT(N539/B539)+(((N539-B539*INT(N539/B539)))/C539)/100)&lt;0,(INT(N539/B539)+(((N539-B539*INT(N539/B539)))/C539)/100)+(1-(B539/C539/100)),(INT(N539/B539)+(((N539-B539*INT(N539/B539)))/C539)/100)))),0,IF(B539=C539,N539/C539,IF((INT(N539/B539)+(((N539-B539*INT(N539/B539)))/C539)/100)&lt;0,(INT(N539/B539)+(((N539-B539*INT(N539/B539)))/C539)/100)+(1-(B539/C539/100)),(INT(N539/B539)+(((N539-B539*INT(N539/B539)))/C539)/100))))</f>
        <v>0</v>
      </c>
      <c r="AZ539" s="57">
        <f>IF(ISERROR(IF(B539=C539,O539/C539,(INT(O539/B539)+(((O539-B539*INT(O539/B539)))/C539)/100))),0,(IF(B539=C539,O539/C539,(INT(O539/B539)+(((O539-B539*INT(O539/B539)))/C539)/100))))</f>
        <v>0</v>
      </c>
      <c r="BA539" s="57">
        <f>IF(ISERROR(IF(B539=C539,P539/C539,IF((INT(P539/B539)+(((P539-B539*INT(P539/B539)))/C539)/100)&lt;0,(INT(P539/B539)+(((P539-B539*INT(P539/B539)))/C539)/100)+(1-(B539/C539/100)),(INT(P539/B539)+(((P539-B539*INT(P539/B539)))/C539)/100)))),0,IF(B539=C539,P539/C539,IF((INT(P539/B539)+(((P539-B539*INT(P539/B539)))/C539)/100)&lt;0,(INT(P539/B539)+(((P539-B539*INT(P539/B539)))/C539)/100)+(1-(B539/C539/100)),(INT(P539/B539)+(((P539-B539*INT(P539/B539)))/C539)/100))))</f>
        <v>0</v>
      </c>
      <c r="BB539" s="28">
        <f>R539</f>
        <v>0</v>
      </c>
      <c r="BC539" s="28">
        <f>S539</f>
        <v>0</v>
      </c>
      <c r="BD539" s="28">
        <f>AF539</f>
        <v>0</v>
      </c>
      <c r="BE539" s="28">
        <f>T539</f>
        <v>0</v>
      </c>
      <c r="BG539" s="57">
        <f>IF(ISERROR(IF(B539=C539,V539/C539,(INT(V539/B539)+(((V539-B539*INT(V539/B539)))/C539)/100))),0,(IF(B539=C539,V539/C539,(INT(V539/B539)+(((V539-B539*INT(V539/B539)))/C539)/100))))</f>
        <v>0</v>
      </c>
      <c r="BH539" s="57">
        <f>IF(ISERROR(IF(B539=C539,W539/C539,(INT(W539/B539)+(((W539-B539*INT(W539/B539)))/C539)/100))),0,(IF(B539=C539,W539/C539,(INT(W539/B539)+(((W539-B539*INT(W539/B539)))/C539)/100))))</f>
        <v>0</v>
      </c>
      <c r="BI539" s="57">
        <f>IF(ISERROR(IF(B539=C539,X539/C539,(INT(X539/B539)+(((X539-B539*INT(X539/B539)))/C539)/100))),0,(IF(B539=C539,X539/C539,(INT(X539/B539)+(((X539-B539*INT(X539/B539)))/C539)/100))))</f>
        <v>0</v>
      </c>
      <c r="BJ539" s="57">
        <f>IF(ISERROR(IF(B539=C539,Y539/C539,(INT(Y539/B539)+(((Y539-B539*INT(Y539/B539)))/C539)/100))),0,(IF(B539=C539,Y539/C539,(INT(Y539/B539)+(((Y539-B539*INT(Y539/B539)))/C539)/100))))</f>
        <v>0</v>
      </c>
      <c r="BL539" s="57">
        <f>IF(ISERROR(IF(B539=C539,AA539/C539,(INT(AA539/B539)+(((AA539-B539*INT(AA539/B539)))/C539)/100))),0,(IF(B539=C539,AA539/C539,(INT(AA539/B539)+(((AA539-B539*INT(AA539/B539)))/C539)/100))))</f>
        <v>0</v>
      </c>
      <c r="BM539" s="57">
        <f>IF(ISERROR(IF(B539=C539,AB539/C539,(INT(AB539/B539)+(((AB539-B539*INT(AB539/B539)))/C539)/100))),0,(IF(B539=C539,AB539/C539,(INT(AB539/B539)+(((AB539-B539*INT(AB539/B539)))/C539)/100))))</f>
        <v>0</v>
      </c>
      <c r="BN539" s="57">
        <f>IF(ISERROR(IF(B539=C539,AC539/C539,(INT(AC539/B539)+(((AC539-B539*INT(AC539/B539)))/C539)/100))),0,(IF(B539=C539,AC539/C539,(INT(AC539/B539)+(((AC539-B539*INT(AC539/B539)))/C539)/100))))</f>
        <v>0</v>
      </c>
      <c r="BO539" s="57">
        <f>IF(ISERROR(IF(B539=C539,AD539/C539,(INT(AD539/B539)+(((AD539-B539*INT(AD539/B539)))/C539)/100))),0,(IF(B539=C539,AD539/C539,(INT(AD539/B539)+(((AD539-B539*INT(AD539/B539)))/C539)/100))))</f>
        <v>0</v>
      </c>
      <c r="BQ539" s="155"/>
    </row>
    <row r="540" spans="1:69" hidden="1" x14ac:dyDescent="0.35">
      <c r="A540" s="94"/>
      <c r="B540" s="113">
        <v>0</v>
      </c>
      <c r="C540" s="113">
        <v>250</v>
      </c>
      <c r="D540" s="28">
        <f>SUM(AA540:AD540)</f>
        <v>0</v>
      </c>
      <c r="E540" s="113">
        <v>0</v>
      </c>
      <c r="F540" s="113">
        <v>0</v>
      </c>
      <c r="G540" s="28">
        <f>SUM(D540:F540)</f>
        <v>0</v>
      </c>
      <c r="H540" s="125">
        <v>0</v>
      </c>
      <c r="I540" s="113">
        <v>0</v>
      </c>
      <c r="J540" s="125">
        <v>0</v>
      </c>
      <c r="K540" s="113">
        <v>0</v>
      </c>
      <c r="L540" s="113">
        <v>0</v>
      </c>
      <c r="M540" s="113">
        <v>0</v>
      </c>
      <c r="N540" s="28">
        <f>G540-SUM(H540:M540)</f>
        <v>0</v>
      </c>
      <c r="O540" s="28">
        <f>SUM(V540:Y540)</f>
        <v>0</v>
      </c>
      <c r="P540" s="28">
        <f>O540-N540</f>
        <v>0</v>
      </c>
      <c r="Q540" s="61" t="str">
        <f>IF(ISERROR(P540/SUM(H540:L540)),"",P540/SUM(H540:L540))</f>
        <v/>
      </c>
      <c r="R540" s="113">
        <v>0</v>
      </c>
      <c r="S540" s="28">
        <f>IF(ISERROR(P540/C540*R540),0,(P540/C540*R540))</f>
        <v>0</v>
      </c>
      <c r="T540" s="60">
        <f>IF(ISERROR(P540/B540*AF540),0,(P540/B540*AF540))</f>
        <v>0</v>
      </c>
      <c r="V540" s="113">
        <v>0</v>
      </c>
      <c r="W540" s="113">
        <v>0</v>
      </c>
      <c r="X540" s="113">
        <v>0</v>
      </c>
      <c r="Y540" s="113">
        <v>0</v>
      </c>
      <c r="AA540" s="113">
        <v>0</v>
      </c>
      <c r="AB540" s="113">
        <v>0</v>
      </c>
      <c r="AC540" s="113">
        <v>0</v>
      </c>
      <c r="AD540" s="113">
        <v>0</v>
      </c>
      <c r="AF540" s="113">
        <v>0</v>
      </c>
      <c r="AG540" s="28">
        <f>G540-O540</f>
        <v>0</v>
      </c>
      <c r="AH540" s="58">
        <f>IF(ISERROR(AG540/B540*AF540),0,(AG540/B540*AF540))</f>
        <v>0</v>
      </c>
      <c r="AI540" s="28">
        <f>SUM(H540:M540)</f>
        <v>0</v>
      </c>
      <c r="AJ540" s="28">
        <f>IF(ISERROR(AI540/B540*AF540),0,(AI540/B540*AF540))</f>
        <v>0</v>
      </c>
      <c r="AK540" s="58">
        <f>IF(ISERROR(O540/B540*AF540),0,(O540/B540*AF540))</f>
        <v>0</v>
      </c>
      <c r="AL540" s="28">
        <f>IF(ISERROR(H540/B540*AF540),0,(H540/B540*AF540))</f>
        <v>0</v>
      </c>
      <c r="AN540" s="51">
        <f>A540</f>
        <v>0</v>
      </c>
      <c r="AO540" s="57">
        <f>IF(ISERROR(IF(B540=C540,D540/C540,(INT(D540/B540)+(((D540-B540*INT(D540/B540)))/C540)/100))),0,(IF(B540=C540,D540/C540,(INT(D540/B540)+(((D540-B540*INT(D540/B540)))/C540)/100))))</f>
        <v>0</v>
      </c>
      <c r="AP540" s="57">
        <f>IF(ISERROR(IF(B540=C540,E540/C540,(INT(E540/B540)+(((E540-B540*INT(E540/B540)))/C540)/100))),0,(IF(B540=C540,E540/C540,(INT(E540/B540)+(((E540-B540*INT(E540/B540)))/C540)/100))))</f>
        <v>0</v>
      </c>
      <c r="AQ540" s="57">
        <f>IF(ISERROR(IF(B540=C540,F540/C540,IF((INT(F540/B540)+(((F540-B540*INT(F540/B540)))/C540)/100)&lt;0,(INT(F540/B540)+(((F540-B540*INT(F540/B540)))/C540)/100)+(1-(B540/C540/100)),(INT(F540/B540)+(((F540-B540*INT(F540/B540)))/C540)/100)))),0,IF(B540=C540,F540/C540,IF((INT(F540/B540)+(((F540-B540*INT(F540/B540)))/C540)/100)&lt;0,(INT(F540/B540)+(((F540-B540*INT(F540/B540)))/C540)/100)+(1-(B540/C540/100)),(INT(F540/B540)+(((F540-B540*INT(F540/B540)))/C540)/100))))</f>
        <v>0</v>
      </c>
      <c r="AR540" s="57">
        <f>IF(ISERROR(IF(B540=C540,G540/C540,(INT(G540/B540)+(((G540-B540*INT(G540/B540)))/C540)/100))),0,(IF(B540=C540,G540/C540,(INT(G540/B540)+(((G540-B540*INT(G540/B540)))/C540)/100))))</f>
        <v>0</v>
      </c>
      <c r="AS540" s="57">
        <f>IF(ISERROR(IF(B540=C540,H540/C540,(INT(H540/B540)+(((H540-B540*INT(H540/B540)))/C540)/100))),0,(IF(B540=C540,H540/C540,(INT(H540/B540)+(((H540-B540*INT(H540/B540)))/C540)/100))))</f>
        <v>0</v>
      </c>
      <c r="AT540" s="57">
        <f>IF(ISERROR(IF(B540=C540,I540/C540,(INT(I540/B540)+(((I540-B540*INT(I540/B540)))/C540)/100))),0,(IF(B540=C540,I540/C540,(INT(I540/B540)+(((I540-B540*INT(I540/B540)))/C540)/100))))</f>
        <v>0</v>
      </c>
      <c r="AU540" s="57">
        <f>IF(ISERROR(IF(B540=C540,J540/C540,(INT(J540/B540)+(((J540-B540*INT(J540/B540)))/C540)/100))),0,(IF(B540=C540,J540/C540,(INT(J540/B540)+(((J540-B540*INT(J540/B540)))/C540)/100))))</f>
        <v>0</v>
      </c>
      <c r="AV540" s="57">
        <f>IF(ISERROR(IF(B540=C540,K540/C540,IF((INT(K540/B540)+(((K540-B540*INT(K540/B540)))/C540)/100)&lt;0,(INT(K540/B540)+(((K540-B540*INT(K540/B540)))/C540)/100)+(1-(B540/C540/100)),(INT(K540/B540)+(((K540-B540*INT(K540/B540)))/C540)/100)))),0,IF(B540=C540,K540/C540,IF((INT(K540/B540)+(((K540-B540*INT(K540/B540)))/C540)/100)&lt;0,(INT(K540/B540)+(((K540-B540*INT(K540/B540)))/C540)/100)+(1-(B540/C540/100)),(INT(K540/B540)+(((K540-B540*INT(K540/B540)))/C540)/100))))</f>
        <v>0</v>
      </c>
      <c r="AW540" s="57">
        <f>IF(ISERROR(IF(B540=C540,L540/C540,(INT(L540/B540)+(((L540-B540*INT(L540/B540)))/C540)/100))),0,(IF(B540=C540,L540/C540,(INT(L540/B540)+(((L540-B540*INT(L540/B540)))/C540)/100))))</f>
        <v>0</v>
      </c>
      <c r="AX540" s="57">
        <f>IF(ISERROR(IF(B540=C540,M540/C540,(INT(M540/B540)+(((M540-B540*INT(M540/B540)))/C540)/100))),0,(IF(B540=C540,M540/C540,(INT(M540/B540)+(((M540-B540*INT(M540/B540)))/C540)/100))))</f>
        <v>0</v>
      </c>
      <c r="AY540" s="57">
        <f>IF(ISERROR(IF(B540=C540,N540/C540,IF((INT(N540/B540)+(((N540-B540*INT(N540/B540)))/C540)/100)&lt;0,(INT(N540/B540)+(((N540-B540*INT(N540/B540)))/C540)/100)+(1-(B540/C540/100)),(INT(N540/B540)+(((N540-B540*INT(N540/B540)))/C540)/100)))),0,IF(B540=C540,N540/C540,IF((INT(N540/B540)+(((N540-B540*INT(N540/B540)))/C540)/100)&lt;0,(INT(N540/B540)+(((N540-B540*INT(N540/B540)))/C540)/100)+(1-(B540/C540/100)),(INT(N540/B540)+(((N540-B540*INT(N540/B540)))/C540)/100))))</f>
        <v>0</v>
      </c>
      <c r="AZ540" s="57">
        <f>IF(ISERROR(IF(B540=C540,O540/C540,(INT(O540/B540)+(((O540-B540*INT(O540/B540)))/C540)/100))),0,(IF(B540=C540,O540/C540,(INT(O540/B540)+(((O540-B540*INT(O540/B540)))/C540)/100))))</f>
        <v>0</v>
      </c>
      <c r="BA540" s="57">
        <f>IF(ISERROR(IF(B540=C540,P540/C540,IF((INT(P540/B540)+(((P540-B540*INT(P540/B540)))/C540)/100)&lt;0,(INT(P540/B540)+(((P540-B540*INT(P540/B540)))/C540)/100)+(1-(B540/C540/100)),(INT(P540/B540)+(((P540-B540*INT(P540/B540)))/C540)/100)))),0,IF(B540=C540,P540/C540,IF((INT(P540/B540)+(((P540-B540*INT(P540/B540)))/C540)/100)&lt;0,(INT(P540/B540)+(((P540-B540*INT(P540/B540)))/C540)/100)+(1-(B540/C540/100)),(INT(P540/B540)+(((P540-B540*INT(P540/B540)))/C540)/100))))</f>
        <v>0</v>
      </c>
      <c r="BB540" s="28">
        <f>R540</f>
        <v>0</v>
      </c>
      <c r="BC540" s="28">
        <f>S540</f>
        <v>0</v>
      </c>
      <c r="BD540" s="28">
        <f>AF540</f>
        <v>0</v>
      </c>
      <c r="BE540" s="28">
        <f>T540</f>
        <v>0</v>
      </c>
      <c r="BG540" s="57">
        <f>IF(ISERROR(IF(B540=C540,V540/C540,(INT(V540/B540)+(((V540-B540*INT(V540/B540)))/C540)/100))),0,(IF(B540=C540,V540/C540,(INT(V540/B540)+(((V540-B540*INT(V540/B540)))/C540)/100))))</f>
        <v>0</v>
      </c>
      <c r="BH540" s="57">
        <f>IF(ISERROR(IF(B540=C540,W540/C540,(INT(W540/B540)+(((W540-B540*INT(W540/B540)))/C540)/100))),0,(IF(B540=C540,W540/C540,(INT(W540/B540)+(((W540-B540*INT(W540/B540)))/C540)/100))))</f>
        <v>0</v>
      </c>
      <c r="BI540" s="57">
        <f>IF(ISERROR(IF(B540=C540,X540/C540,(INT(X540/B540)+(((X540-B540*INT(X540/B540)))/C540)/100))),0,(IF(B540=C540,X540/C540,(INT(X540/B540)+(((X540-B540*INT(X540/B540)))/C540)/100))))</f>
        <v>0</v>
      </c>
      <c r="BJ540" s="57">
        <f>IF(ISERROR(IF(B540=C540,Y540/C540,(INT(Y540/B540)+(((Y540-B540*INT(Y540/B540)))/C540)/100))),0,(IF(B540=C540,Y540/C540,(INT(Y540/B540)+(((Y540-B540*INT(Y540/B540)))/C540)/100))))</f>
        <v>0</v>
      </c>
      <c r="BL540" s="57">
        <f>IF(ISERROR(IF(B540=C540,AA540/C540,(INT(AA540/B540)+(((AA540-B540*INT(AA540/B540)))/C540)/100))),0,(IF(B540=C540,AA540/C540,(INT(AA540/B540)+(((AA540-B540*INT(AA540/B540)))/C540)/100))))</f>
        <v>0</v>
      </c>
      <c r="BM540" s="57">
        <f>IF(ISERROR(IF(B540=C540,AB540/C540,(INT(AB540/B540)+(((AB540-B540*INT(AB540/B540)))/C540)/100))),0,(IF(B540=C540,AB540/C540,(INT(AB540/B540)+(((AB540-B540*INT(AB540/B540)))/C540)/100))))</f>
        <v>0</v>
      </c>
      <c r="BN540" s="57">
        <f>IF(ISERROR(IF(B540=C540,AC540/C540,(INT(AC540/B540)+(((AC540-B540*INT(AC540/B540)))/C540)/100))),0,(IF(B540=C540,AC540/C540,(INT(AC540/B540)+(((AC540-B540*INT(AC540/B540)))/C540)/100))))</f>
        <v>0</v>
      </c>
      <c r="BO540" s="57">
        <f>IF(ISERROR(IF(B540=C540,AD540/C540,(INT(AD540/B540)+(((AD540-B540*INT(AD540/B540)))/C540)/100))),0,(IF(B540=C540,AD540/C540,(INT(AD540/B540)+(((AD540-B540*INT(AD540/B540)))/C540)/100))))</f>
        <v>0</v>
      </c>
      <c r="BQ540" s="155"/>
    </row>
    <row r="541" spans="1:69" hidden="1" x14ac:dyDescent="0.35">
      <c r="A541" s="94"/>
      <c r="B541" s="113">
        <v>0</v>
      </c>
      <c r="C541" s="113">
        <v>250</v>
      </c>
      <c r="D541" s="28">
        <f>SUM(AA541:AD541)</f>
        <v>0</v>
      </c>
      <c r="E541" s="113">
        <v>0</v>
      </c>
      <c r="F541" s="113">
        <v>0</v>
      </c>
      <c r="G541" s="28">
        <f>SUM(D541:F541)</f>
        <v>0</v>
      </c>
      <c r="H541" s="125">
        <v>0</v>
      </c>
      <c r="I541" s="113">
        <v>0</v>
      </c>
      <c r="J541" s="125">
        <v>0</v>
      </c>
      <c r="K541" s="113">
        <v>0</v>
      </c>
      <c r="L541" s="113">
        <v>0</v>
      </c>
      <c r="M541" s="113">
        <v>0</v>
      </c>
      <c r="N541" s="28">
        <f>G541-SUM(H541:M541)</f>
        <v>0</v>
      </c>
      <c r="O541" s="28">
        <f>SUM(V541:Y541)</f>
        <v>0</v>
      </c>
      <c r="P541" s="28">
        <f>O541-N541</f>
        <v>0</v>
      </c>
      <c r="Q541" s="61" t="str">
        <f>IF(ISERROR(P541/SUM(H541:L541)),"",P541/SUM(H541:L541))</f>
        <v/>
      </c>
      <c r="R541" s="113">
        <v>0</v>
      </c>
      <c r="S541" s="28">
        <f>IF(ISERROR(P541/C541*R541),0,(P541/C541*R541))</f>
        <v>0</v>
      </c>
      <c r="T541" s="60">
        <f>IF(ISERROR(P541/B541*AF541),0,(P541/B541*AF541))</f>
        <v>0</v>
      </c>
      <c r="V541" s="113">
        <v>0</v>
      </c>
      <c r="W541" s="113">
        <v>0</v>
      </c>
      <c r="X541" s="113">
        <v>0</v>
      </c>
      <c r="Y541" s="113">
        <v>0</v>
      </c>
      <c r="AA541" s="113">
        <v>0</v>
      </c>
      <c r="AB541" s="113">
        <v>0</v>
      </c>
      <c r="AC541" s="113">
        <v>0</v>
      </c>
      <c r="AD541" s="113">
        <v>0</v>
      </c>
      <c r="AF541" s="113">
        <v>0</v>
      </c>
      <c r="AG541" s="28">
        <f>G541-O541</f>
        <v>0</v>
      </c>
      <c r="AH541" s="58">
        <f>IF(ISERROR(AG541/B541*AF541),0,(AG541/B541*AF541))</f>
        <v>0</v>
      </c>
      <c r="AI541" s="28">
        <f>SUM(H541:M541)</f>
        <v>0</v>
      </c>
      <c r="AJ541" s="28">
        <f>IF(ISERROR(AI541/B541*AF541),0,(AI541/B541*AF541))</f>
        <v>0</v>
      </c>
      <c r="AK541" s="58">
        <f>IF(ISERROR(O541/B541*AF541),0,(O541/B541*AF541))</f>
        <v>0</v>
      </c>
      <c r="AL541" s="28">
        <f>IF(ISERROR(H541/B541*AF541),0,(H541/B541*AF541))</f>
        <v>0</v>
      </c>
      <c r="AN541" s="51">
        <f>A541</f>
        <v>0</v>
      </c>
      <c r="AO541" s="57">
        <f>IF(ISERROR(IF(B541=C541,D541/C541,(INT(D541/B541)+(((D541-B541*INT(D541/B541)))/C541)/100))),0,(IF(B541=C541,D541/C541,(INT(D541/B541)+(((D541-B541*INT(D541/B541)))/C541)/100))))</f>
        <v>0</v>
      </c>
      <c r="AP541" s="57">
        <f>IF(ISERROR(IF(B541=C541,E541/C541,(INT(E541/B541)+(((E541-B541*INT(E541/B541)))/C541)/100))),0,(IF(B541=C541,E541/C541,(INT(E541/B541)+(((E541-B541*INT(E541/B541)))/C541)/100))))</f>
        <v>0</v>
      </c>
      <c r="AQ541" s="57">
        <f>IF(ISERROR(IF(B541=C541,F541/C541,IF((INT(F541/B541)+(((F541-B541*INT(F541/B541)))/C541)/100)&lt;0,(INT(F541/B541)+(((F541-B541*INT(F541/B541)))/C541)/100)+(1-(B541/C541/100)),(INT(F541/B541)+(((F541-B541*INT(F541/B541)))/C541)/100)))),0,IF(B541=C541,F541/C541,IF((INT(F541/B541)+(((F541-B541*INT(F541/B541)))/C541)/100)&lt;0,(INT(F541/B541)+(((F541-B541*INT(F541/B541)))/C541)/100)+(1-(B541/C541/100)),(INT(F541/B541)+(((F541-B541*INT(F541/B541)))/C541)/100))))</f>
        <v>0</v>
      </c>
      <c r="AR541" s="57">
        <f>IF(ISERROR(IF(B541=C541,G541/C541,(INT(G541/B541)+(((G541-B541*INT(G541/B541)))/C541)/100))),0,(IF(B541=C541,G541/C541,(INT(G541/B541)+(((G541-B541*INT(G541/B541)))/C541)/100))))</f>
        <v>0</v>
      </c>
      <c r="AS541" s="57">
        <f>IF(ISERROR(IF(B541=C541,H541/C541,(INT(H541/B541)+(((H541-B541*INT(H541/B541)))/C541)/100))),0,(IF(B541=C541,H541/C541,(INT(H541/B541)+(((H541-B541*INT(H541/B541)))/C541)/100))))</f>
        <v>0</v>
      </c>
      <c r="AT541" s="57">
        <f>IF(ISERROR(IF(B541=C541,I541/C541,(INT(I541/B541)+(((I541-B541*INT(I541/B541)))/C541)/100))),0,(IF(B541=C541,I541/C541,(INT(I541/B541)+(((I541-B541*INT(I541/B541)))/C541)/100))))</f>
        <v>0</v>
      </c>
      <c r="AU541" s="57">
        <f>IF(ISERROR(IF(B541=C541,J541/C541,(INT(J541/B541)+(((J541-B541*INT(J541/B541)))/C541)/100))),0,(IF(B541=C541,J541/C541,(INT(J541/B541)+(((J541-B541*INT(J541/B541)))/C541)/100))))</f>
        <v>0</v>
      </c>
      <c r="AV541" s="57">
        <f>IF(ISERROR(IF(B541=C541,K541/C541,IF((INT(K541/B541)+(((K541-B541*INT(K541/B541)))/C541)/100)&lt;0,(INT(K541/B541)+(((K541-B541*INT(K541/B541)))/C541)/100)+(1-(B541/C541/100)),(INT(K541/B541)+(((K541-B541*INT(K541/B541)))/C541)/100)))),0,IF(B541=C541,K541/C541,IF((INT(K541/B541)+(((K541-B541*INT(K541/B541)))/C541)/100)&lt;0,(INT(K541/B541)+(((K541-B541*INT(K541/B541)))/C541)/100)+(1-(B541/C541/100)),(INT(K541/B541)+(((K541-B541*INT(K541/B541)))/C541)/100))))</f>
        <v>0</v>
      </c>
      <c r="AW541" s="57">
        <f>IF(ISERROR(IF(B541=C541,L541/C541,(INT(L541/B541)+(((L541-B541*INT(L541/B541)))/C541)/100))),0,(IF(B541=C541,L541/C541,(INT(L541/B541)+(((L541-B541*INT(L541/B541)))/C541)/100))))</f>
        <v>0</v>
      </c>
      <c r="AX541" s="57">
        <f>IF(ISERROR(IF(B541=C541,M541/C541,(INT(M541/B541)+(((M541-B541*INT(M541/B541)))/C541)/100))),0,(IF(B541=C541,M541/C541,(INT(M541/B541)+(((M541-B541*INT(M541/B541)))/C541)/100))))</f>
        <v>0</v>
      </c>
      <c r="AY541" s="57">
        <f>IF(ISERROR(IF(B541=C541,N541/C541,IF((INT(N541/B541)+(((N541-B541*INT(N541/B541)))/C541)/100)&lt;0,(INT(N541/B541)+(((N541-B541*INT(N541/B541)))/C541)/100)+(1-(B541/C541/100)),(INT(N541/B541)+(((N541-B541*INT(N541/B541)))/C541)/100)))),0,IF(B541=C541,N541/C541,IF((INT(N541/B541)+(((N541-B541*INT(N541/B541)))/C541)/100)&lt;0,(INT(N541/B541)+(((N541-B541*INT(N541/B541)))/C541)/100)+(1-(B541/C541/100)),(INT(N541/B541)+(((N541-B541*INT(N541/B541)))/C541)/100))))</f>
        <v>0</v>
      </c>
      <c r="AZ541" s="57">
        <f>IF(ISERROR(IF(B541=C541,O541/C541,(INT(O541/B541)+(((O541-B541*INT(O541/B541)))/C541)/100))),0,(IF(B541=C541,O541/C541,(INT(O541/B541)+(((O541-B541*INT(O541/B541)))/C541)/100))))</f>
        <v>0</v>
      </c>
      <c r="BA541" s="57">
        <f>IF(ISERROR(IF(B541=C541,P541/C541,IF((INT(P541/B541)+(((P541-B541*INT(P541/B541)))/C541)/100)&lt;0,(INT(P541/B541)+(((P541-B541*INT(P541/B541)))/C541)/100)+(1-(B541/C541/100)),(INT(P541/B541)+(((P541-B541*INT(P541/B541)))/C541)/100)))),0,IF(B541=C541,P541/C541,IF((INT(P541/B541)+(((P541-B541*INT(P541/B541)))/C541)/100)&lt;0,(INT(P541/B541)+(((P541-B541*INT(P541/B541)))/C541)/100)+(1-(B541/C541/100)),(INT(P541/B541)+(((P541-B541*INT(P541/B541)))/C541)/100))))</f>
        <v>0</v>
      </c>
      <c r="BB541" s="28">
        <f>R541</f>
        <v>0</v>
      </c>
      <c r="BC541" s="28">
        <f>S541</f>
        <v>0</v>
      </c>
      <c r="BD541" s="28">
        <f>AF541</f>
        <v>0</v>
      </c>
      <c r="BE541" s="28">
        <f>T541</f>
        <v>0</v>
      </c>
      <c r="BG541" s="57">
        <f>IF(ISERROR(IF(B541=C541,V541/C541,(INT(V541/B541)+(((V541-B541*INT(V541/B541)))/C541)/100))),0,(IF(B541=C541,V541/C541,(INT(V541/B541)+(((V541-B541*INT(V541/B541)))/C541)/100))))</f>
        <v>0</v>
      </c>
      <c r="BH541" s="57">
        <f>IF(ISERROR(IF(B541=C541,W541/C541,(INT(W541/B541)+(((W541-B541*INT(W541/B541)))/C541)/100))),0,(IF(B541=C541,W541/C541,(INT(W541/B541)+(((W541-B541*INT(W541/B541)))/C541)/100))))</f>
        <v>0</v>
      </c>
      <c r="BI541" s="57">
        <f>IF(ISERROR(IF(B541=C541,X541/C541,(INT(X541/B541)+(((X541-B541*INT(X541/B541)))/C541)/100))),0,(IF(B541=C541,X541/C541,(INT(X541/B541)+(((X541-B541*INT(X541/B541)))/C541)/100))))</f>
        <v>0</v>
      </c>
      <c r="BJ541" s="57">
        <f>IF(ISERROR(IF(B541=C541,Y541/C541,(INT(Y541/B541)+(((Y541-B541*INT(Y541/B541)))/C541)/100))),0,(IF(B541=C541,Y541/C541,(INT(Y541/B541)+(((Y541-B541*INT(Y541/B541)))/C541)/100))))</f>
        <v>0</v>
      </c>
      <c r="BL541" s="57">
        <f>IF(ISERROR(IF(B541=C541,AA541/C541,(INT(AA541/B541)+(((AA541-B541*INT(AA541/B541)))/C541)/100))),0,(IF(B541=C541,AA541/C541,(INT(AA541/B541)+(((AA541-B541*INT(AA541/B541)))/C541)/100))))</f>
        <v>0</v>
      </c>
      <c r="BM541" s="57">
        <f>IF(ISERROR(IF(B541=C541,AB541/C541,(INT(AB541/B541)+(((AB541-B541*INT(AB541/B541)))/C541)/100))),0,(IF(B541=C541,AB541/C541,(INT(AB541/B541)+(((AB541-B541*INT(AB541/B541)))/C541)/100))))</f>
        <v>0</v>
      </c>
      <c r="BN541" s="57">
        <f>IF(ISERROR(IF(B541=C541,AC541/C541,(INT(AC541/B541)+(((AC541-B541*INT(AC541/B541)))/C541)/100))),0,(IF(B541=C541,AC541/C541,(INT(AC541/B541)+(((AC541-B541*INT(AC541/B541)))/C541)/100))))</f>
        <v>0</v>
      </c>
      <c r="BO541" s="57">
        <f>IF(ISERROR(IF(B541=C541,AD541/C541,(INT(AD541/B541)+(((AD541-B541*INT(AD541/B541)))/C541)/100))),0,(IF(B541=C541,AD541/C541,(INT(AD541/B541)+(((AD541-B541*INT(AD541/B541)))/C541)/100))))</f>
        <v>0</v>
      </c>
      <c r="BQ541" s="155"/>
    </row>
    <row r="542" spans="1:69" hidden="1" x14ac:dyDescent="0.35">
      <c r="A542" s="94"/>
      <c r="B542" s="113">
        <v>0</v>
      </c>
      <c r="C542" s="113">
        <v>250</v>
      </c>
      <c r="D542" s="28">
        <f>SUM(AA542:AD542)</f>
        <v>0</v>
      </c>
      <c r="E542" s="113">
        <v>0</v>
      </c>
      <c r="F542" s="113">
        <v>0</v>
      </c>
      <c r="G542" s="28">
        <f>SUM(D542:F542)</f>
        <v>0</v>
      </c>
      <c r="H542" s="125">
        <v>0</v>
      </c>
      <c r="I542" s="113">
        <v>0</v>
      </c>
      <c r="J542" s="125">
        <v>0</v>
      </c>
      <c r="K542" s="113">
        <v>0</v>
      </c>
      <c r="L542" s="113">
        <v>0</v>
      </c>
      <c r="M542" s="113">
        <v>0</v>
      </c>
      <c r="N542" s="28">
        <f>G542-SUM(H542:M542)</f>
        <v>0</v>
      </c>
      <c r="O542" s="28">
        <f>SUM(V542:Y542)</f>
        <v>0</v>
      </c>
      <c r="P542" s="28">
        <f>O542-N542</f>
        <v>0</v>
      </c>
      <c r="Q542" s="61" t="str">
        <f>IF(ISERROR(P542/SUM(H542:L542)),"",P542/SUM(H542:L542))</f>
        <v/>
      </c>
      <c r="R542" s="113">
        <v>0</v>
      </c>
      <c r="S542" s="28">
        <f>IF(ISERROR(P542/C542*R542),0,(P542/C542*R542))</f>
        <v>0</v>
      </c>
      <c r="T542" s="60">
        <f>IF(ISERROR(P542/B542*AF542),0,(P542/B542*AF542))</f>
        <v>0</v>
      </c>
      <c r="V542" s="113">
        <v>0</v>
      </c>
      <c r="W542" s="113">
        <v>0</v>
      </c>
      <c r="X542" s="113">
        <v>0</v>
      </c>
      <c r="Y542" s="113">
        <v>0</v>
      </c>
      <c r="AA542" s="113">
        <v>0</v>
      </c>
      <c r="AB542" s="113">
        <v>0</v>
      </c>
      <c r="AC542" s="113">
        <v>0</v>
      </c>
      <c r="AD542" s="113">
        <v>0</v>
      </c>
      <c r="AF542" s="113">
        <v>0</v>
      </c>
      <c r="AG542" s="28">
        <f>G542-O542</f>
        <v>0</v>
      </c>
      <c r="AH542" s="58">
        <f>IF(ISERROR(AG542/B542*AF542),0,(AG542/B542*AF542))</f>
        <v>0</v>
      </c>
      <c r="AI542" s="28">
        <f>SUM(H542:M542)</f>
        <v>0</v>
      </c>
      <c r="AJ542" s="28">
        <f>IF(ISERROR(AI542/B542*AF542),0,(AI542/B542*AF542))</f>
        <v>0</v>
      </c>
      <c r="AK542" s="58">
        <f>IF(ISERROR(O542/B542*AF542),0,(O542/B542*AF542))</f>
        <v>0</v>
      </c>
      <c r="AL542" s="28">
        <f>IF(ISERROR(H542/B542*AF542),0,(H542/B542*AF542))</f>
        <v>0</v>
      </c>
      <c r="AN542" s="51">
        <f>A542</f>
        <v>0</v>
      </c>
      <c r="AO542" s="57">
        <f>IF(ISERROR(IF(B542=C542,D542/C542,(INT(D542/B542)+(((D542-B542*INT(D542/B542)))/C542)/100))),0,(IF(B542=C542,D542/C542,(INT(D542/B542)+(((D542-B542*INT(D542/B542)))/C542)/100))))</f>
        <v>0</v>
      </c>
      <c r="AP542" s="57">
        <f>IF(ISERROR(IF(B542=C542,E542/C542,(INT(E542/B542)+(((E542-B542*INT(E542/B542)))/C542)/100))),0,(IF(B542=C542,E542/C542,(INT(E542/B542)+(((E542-B542*INT(E542/B542)))/C542)/100))))</f>
        <v>0</v>
      </c>
      <c r="AQ542" s="57">
        <f>IF(ISERROR(IF(B542=C542,F542/C542,IF((INT(F542/B542)+(((F542-B542*INT(F542/B542)))/C542)/100)&lt;0,(INT(F542/B542)+(((F542-B542*INT(F542/B542)))/C542)/100)+(1-(B542/C542/100)),(INT(F542/B542)+(((F542-B542*INT(F542/B542)))/C542)/100)))),0,IF(B542=C542,F542/C542,IF((INT(F542/B542)+(((F542-B542*INT(F542/B542)))/C542)/100)&lt;0,(INT(F542/B542)+(((F542-B542*INT(F542/B542)))/C542)/100)+(1-(B542/C542/100)),(INT(F542/B542)+(((F542-B542*INT(F542/B542)))/C542)/100))))</f>
        <v>0</v>
      </c>
      <c r="AR542" s="57">
        <f>IF(ISERROR(IF(B542=C542,G542/C542,(INT(G542/B542)+(((G542-B542*INT(G542/B542)))/C542)/100))),0,(IF(B542=C542,G542/C542,(INT(G542/B542)+(((G542-B542*INT(G542/B542)))/C542)/100))))</f>
        <v>0</v>
      </c>
      <c r="AS542" s="57">
        <f>IF(ISERROR(IF(B542=C542,H542/C542,(INT(H542/B542)+(((H542-B542*INT(H542/B542)))/C542)/100))),0,(IF(B542=C542,H542/C542,(INT(H542/B542)+(((H542-B542*INT(H542/B542)))/C542)/100))))</f>
        <v>0</v>
      </c>
      <c r="AT542" s="57">
        <f>IF(ISERROR(IF(B542=C542,I542/C542,(INT(I542/B542)+(((I542-B542*INT(I542/B542)))/C542)/100))),0,(IF(B542=C542,I542/C542,(INT(I542/B542)+(((I542-B542*INT(I542/B542)))/C542)/100))))</f>
        <v>0</v>
      </c>
      <c r="AU542" s="57">
        <f>IF(ISERROR(IF(B542=C542,J542/C542,(INT(J542/B542)+(((J542-B542*INT(J542/B542)))/C542)/100))),0,(IF(B542=C542,J542/C542,(INT(J542/B542)+(((J542-B542*INT(J542/B542)))/C542)/100))))</f>
        <v>0</v>
      </c>
      <c r="AV542" s="57">
        <f>IF(ISERROR(IF(B542=C542,K542/C542,IF((INT(K542/B542)+(((K542-B542*INT(K542/B542)))/C542)/100)&lt;0,(INT(K542/B542)+(((K542-B542*INT(K542/B542)))/C542)/100)+(1-(B542/C542/100)),(INT(K542/B542)+(((K542-B542*INT(K542/B542)))/C542)/100)))),0,IF(B542=C542,K542/C542,IF((INT(K542/B542)+(((K542-B542*INT(K542/B542)))/C542)/100)&lt;0,(INT(K542/B542)+(((K542-B542*INT(K542/B542)))/C542)/100)+(1-(B542/C542/100)),(INT(K542/B542)+(((K542-B542*INT(K542/B542)))/C542)/100))))</f>
        <v>0</v>
      </c>
      <c r="AW542" s="57">
        <f>IF(ISERROR(IF(B542=C542,L542/C542,(INT(L542/B542)+(((L542-B542*INT(L542/B542)))/C542)/100))),0,(IF(B542=C542,L542/C542,(INT(L542/B542)+(((L542-B542*INT(L542/B542)))/C542)/100))))</f>
        <v>0</v>
      </c>
      <c r="AX542" s="57">
        <f>IF(ISERROR(IF(B542=C542,M542/C542,(INT(M542/B542)+(((M542-B542*INT(M542/B542)))/C542)/100))),0,(IF(B542=C542,M542/C542,(INT(M542/B542)+(((M542-B542*INT(M542/B542)))/C542)/100))))</f>
        <v>0</v>
      </c>
      <c r="AY542" s="57">
        <f>IF(ISERROR(IF(B542=C542,N542/C542,IF((INT(N542/B542)+(((N542-B542*INT(N542/B542)))/C542)/100)&lt;0,(INT(N542/B542)+(((N542-B542*INT(N542/B542)))/C542)/100)+(1-(B542/C542/100)),(INT(N542/B542)+(((N542-B542*INT(N542/B542)))/C542)/100)))),0,IF(B542=C542,N542/C542,IF((INT(N542/B542)+(((N542-B542*INT(N542/B542)))/C542)/100)&lt;0,(INT(N542/B542)+(((N542-B542*INT(N542/B542)))/C542)/100)+(1-(B542/C542/100)),(INT(N542/B542)+(((N542-B542*INT(N542/B542)))/C542)/100))))</f>
        <v>0</v>
      </c>
      <c r="AZ542" s="57">
        <f>IF(ISERROR(IF(B542=C542,O542/C542,(INT(O542/B542)+(((O542-B542*INT(O542/B542)))/C542)/100))),0,(IF(B542=C542,O542/C542,(INT(O542/B542)+(((O542-B542*INT(O542/B542)))/C542)/100))))</f>
        <v>0</v>
      </c>
      <c r="BA542" s="57">
        <f>IF(ISERROR(IF(B542=C542,P542/C542,IF((INT(P542/B542)+(((P542-B542*INT(P542/B542)))/C542)/100)&lt;0,(INT(P542/B542)+(((P542-B542*INT(P542/B542)))/C542)/100)+(1-(B542/C542/100)),(INT(P542/B542)+(((P542-B542*INT(P542/B542)))/C542)/100)))),0,IF(B542=C542,P542/C542,IF((INT(P542/B542)+(((P542-B542*INT(P542/B542)))/C542)/100)&lt;0,(INT(P542/B542)+(((P542-B542*INT(P542/B542)))/C542)/100)+(1-(B542/C542/100)),(INT(P542/B542)+(((P542-B542*INT(P542/B542)))/C542)/100))))</f>
        <v>0</v>
      </c>
      <c r="BB542" s="28">
        <f>R542</f>
        <v>0</v>
      </c>
      <c r="BC542" s="28">
        <f>S542</f>
        <v>0</v>
      </c>
      <c r="BD542" s="28">
        <f>AF542</f>
        <v>0</v>
      </c>
      <c r="BE542" s="28">
        <f>T542</f>
        <v>0</v>
      </c>
      <c r="BG542" s="57">
        <f>IF(ISERROR(IF(B542=C542,V542/C542,(INT(V542/B542)+(((V542-B542*INT(V542/B542)))/C542)/100))),0,(IF(B542=C542,V542/C542,(INT(V542/B542)+(((V542-B542*INT(V542/B542)))/C542)/100))))</f>
        <v>0</v>
      </c>
      <c r="BH542" s="57">
        <f>IF(ISERROR(IF(B542=C542,W542/C542,(INT(W542/B542)+(((W542-B542*INT(W542/B542)))/C542)/100))),0,(IF(B542=C542,W542/C542,(INT(W542/B542)+(((W542-B542*INT(W542/B542)))/C542)/100))))</f>
        <v>0</v>
      </c>
      <c r="BI542" s="57">
        <f>IF(ISERROR(IF(B542=C542,X542/C542,(INT(X542/B542)+(((X542-B542*INT(X542/B542)))/C542)/100))),0,(IF(B542=C542,X542/C542,(INT(X542/B542)+(((X542-B542*INT(X542/B542)))/C542)/100))))</f>
        <v>0</v>
      </c>
      <c r="BJ542" s="57">
        <f>IF(ISERROR(IF(B542=C542,Y542/C542,(INT(Y542/B542)+(((Y542-B542*INT(Y542/B542)))/C542)/100))),0,(IF(B542=C542,Y542/C542,(INT(Y542/B542)+(((Y542-B542*INT(Y542/B542)))/C542)/100))))</f>
        <v>0</v>
      </c>
      <c r="BL542" s="57">
        <f>IF(ISERROR(IF(B542=C542,AA542/C542,(INT(AA542/B542)+(((AA542-B542*INT(AA542/B542)))/C542)/100))),0,(IF(B542=C542,AA542/C542,(INT(AA542/B542)+(((AA542-B542*INT(AA542/B542)))/C542)/100))))</f>
        <v>0</v>
      </c>
      <c r="BM542" s="57">
        <f>IF(ISERROR(IF(B542=C542,AB542/C542,(INT(AB542/B542)+(((AB542-B542*INT(AB542/B542)))/C542)/100))),0,(IF(B542=C542,AB542/C542,(INT(AB542/B542)+(((AB542-B542*INT(AB542/B542)))/C542)/100))))</f>
        <v>0</v>
      </c>
      <c r="BN542" s="57">
        <f>IF(ISERROR(IF(B542=C542,AC542/C542,(INT(AC542/B542)+(((AC542-B542*INT(AC542/B542)))/C542)/100))),0,(IF(B542=C542,AC542/C542,(INT(AC542/B542)+(((AC542-B542*INT(AC542/B542)))/C542)/100))))</f>
        <v>0</v>
      </c>
      <c r="BO542" s="57">
        <f>IF(ISERROR(IF(B542=C542,AD542/C542,(INT(AD542/B542)+(((AD542-B542*INT(AD542/B542)))/C542)/100))),0,(IF(B542=C542,AD542/C542,(INT(AD542/B542)+(((AD542-B542*INT(AD542/B542)))/C542)/100))))</f>
        <v>0</v>
      </c>
      <c r="BQ542" s="155"/>
    </row>
    <row r="543" spans="1:69" hidden="1" x14ac:dyDescent="0.35">
      <c r="A543" s="94"/>
      <c r="B543" s="113">
        <v>0</v>
      </c>
      <c r="C543" s="113">
        <v>250</v>
      </c>
      <c r="D543" s="28">
        <f>SUM(AA543:AD543)</f>
        <v>0</v>
      </c>
      <c r="E543" s="113">
        <v>0</v>
      </c>
      <c r="F543" s="113">
        <v>0</v>
      </c>
      <c r="G543" s="28">
        <f>SUM(D543:F543)</f>
        <v>0</v>
      </c>
      <c r="H543" s="125">
        <v>0</v>
      </c>
      <c r="I543" s="113">
        <v>0</v>
      </c>
      <c r="J543" s="125">
        <v>0</v>
      </c>
      <c r="K543" s="113">
        <v>0</v>
      </c>
      <c r="L543" s="113">
        <v>0</v>
      </c>
      <c r="M543" s="113">
        <v>0</v>
      </c>
      <c r="N543" s="28">
        <f>G543-SUM(H543:M543)</f>
        <v>0</v>
      </c>
      <c r="O543" s="28">
        <f>SUM(V543:Y543)</f>
        <v>0</v>
      </c>
      <c r="P543" s="28">
        <f>O543-N543</f>
        <v>0</v>
      </c>
      <c r="Q543" s="61" t="str">
        <f>IF(ISERROR(P543/SUM(H543:L543)),"",P543/SUM(H543:L543))</f>
        <v/>
      </c>
      <c r="R543" s="113">
        <v>0</v>
      </c>
      <c r="S543" s="28">
        <f>IF(ISERROR(P543/C543*R543),0,(P543/C543*R543))</f>
        <v>0</v>
      </c>
      <c r="T543" s="60">
        <f>IF(ISERROR(P543/B543*AF543),0,(P543/B543*AF543))</f>
        <v>0</v>
      </c>
      <c r="V543" s="113">
        <v>0</v>
      </c>
      <c r="W543" s="113">
        <v>0</v>
      </c>
      <c r="X543" s="113">
        <v>0</v>
      </c>
      <c r="Y543" s="113">
        <v>0</v>
      </c>
      <c r="AA543" s="113">
        <v>0</v>
      </c>
      <c r="AB543" s="113">
        <v>0</v>
      </c>
      <c r="AC543" s="113">
        <v>0</v>
      </c>
      <c r="AD543" s="113">
        <v>0</v>
      </c>
      <c r="AF543" s="113">
        <v>0</v>
      </c>
      <c r="AG543" s="28">
        <f>G543-O543</f>
        <v>0</v>
      </c>
      <c r="AH543" s="58">
        <f>IF(ISERROR(AG543/B543*AF543),0,(AG543/B543*AF543))</f>
        <v>0</v>
      </c>
      <c r="AI543" s="28">
        <f>SUM(H543:M543)</f>
        <v>0</v>
      </c>
      <c r="AJ543" s="28">
        <f>IF(ISERROR(AI543/B543*AF543),0,(AI543/B543*AF543))</f>
        <v>0</v>
      </c>
      <c r="AK543" s="58">
        <f>IF(ISERROR(O543/B543*AF543),0,(O543/B543*AF543))</f>
        <v>0</v>
      </c>
      <c r="AL543" s="28">
        <f>IF(ISERROR(H543/B543*AF543),0,(H543/B543*AF543))</f>
        <v>0</v>
      </c>
      <c r="AN543" s="51">
        <f>A543</f>
        <v>0</v>
      </c>
      <c r="AO543" s="57">
        <f>IF(ISERROR(IF(B543=C543,D543/C543,(INT(D543/B543)+(((D543-B543*INT(D543/B543)))/C543)/100))),0,(IF(B543=C543,D543/C543,(INT(D543/B543)+(((D543-B543*INT(D543/B543)))/C543)/100))))</f>
        <v>0</v>
      </c>
      <c r="AP543" s="57">
        <f>IF(ISERROR(IF(B543=C543,E543/C543,(INT(E543/B543)+(((E543-B543*INT(E543/B543)))/C543)/100))),0,(IF(B543=C543,E543/C543,(INT(E543/B543)+(((E543-B543*INT(E543/B543)))/C543)/100))))</f>
        <v>0</v>
      </c>
      <c r="AQ543" s="57">
        <f>IF(ISERROR(IF(B543=C543,F543/C543,IF((INT(F543/B543)+(((F543-B543*INT(F543/B543)))/C543)/100)&lt;0,(INT(F543/B543)+(((F543-B543*INT(F543/B543)))/C543)/100)+(1-(B543/C543/100)),(INT(F543/B543)+(((F543-B543*INT(F543/B543)))/C543)/100)))),0,IF(B543=C543,F543/C543,IF((INT(F543/B543)+(((F543-B543*INT(F543/B543)))/C543)/100)&lt;0,(INT(F543/B543)+(((F543-B543*INT(F543/B543)))/C543)/100)+(1-(B543/C543/100)),(INT(F543/B543)+(((F543-B543*INT(F543/B543)))/C543)/100))))</f>
        <v>0</v>
      </c>
      <c r="AR543" s="57">
        <f>IF(ISERROR(IF(B543=C543,G543/C543,(INT(G543/B543)+(((G543-B543*INT(G543/B543)))/C543)/100))),0,(IF(B543=C543,G543/C543,(INT(G543/B543)+(((G543-B543*INT(G543/B543)))/C543)/100))))</f>
        <v>0</v>
      </c>
      <c r="AS543" s="57">
        <f>IF(ISERROR(IF(B543=C543,H543/C543,(INT(H543/B543)+(((H543-B543*INT(H543/B543)))/C543)/100))),0,(IF(B543=C543,H543/C543,(INT(H543/B543)+(((H543-B543*INT(H543/B543)))/C543)/100))))</f>
        <v>0</v>
      </c>
      <c r="AT543" s="57">
        <f>IF(ISERROR(IF(B543=C543,I543/C543,(INT(I543/B543)+(((I543-B543*INT(I543/B543)))/C543)/100))),0,(IF(B543=C543,I543/C543,(INT(I543/B543)+(((I543-B543*INT(I543/B543)))/C543)/100))))</f>
        <v>0</v>
      </c>
      <c r="AU543" s="57">
        <f>IF(ISERROR(IF(B543=C543,J543/C543,(INT(J543/B543)+(((J543-B543*INT(J543/B543)))/C543)/100))),0,(IF(B543=C543,J543/C543,(INT(J543/B543)+(((J543-B543*INT(J543/B543)))/C543)/100))))</f>
        <v>0</v>
      </c>
      <c r="AV543" s="57">
        <f>IF(ISERROR(IF(B543=C543,K543/C543,IF((INT(K543/B543)+(((K543-B543*INT(K543/B543)))/C543)/100)&lt;0,(INT(K543/B543)+(((K543-B543*INT(K543/B543)))/C543)/100)+(1-(B543/C543/100)),(INT(K543/B543)+(((K543-B543*INT(K543/B543)))/C543)/100)))),0,IF(B543=C543,K543/C543,IF((INT(K543/B543)+(((K543-B543*INT(K543/B543)))/C543)/100)&lt;0,(INT(K543/B543)+(((K543-B543*INT(K543/B543)))/C543)/100)+(1-(B543/C543/100)),(INT(K543/B543)+(((K543-B543*INT(K543/B543)))/C543)/100))))</f>
        <v>0</v>
      </c>
      <c r="AW543" s="57">
        <f>IF(ISERROR(IF(B543=C543,L543/C543,(INT(L543/B543)+(((L543-B543*INT(L543/B543)))/C543)/100))),0,(IF(B543=C543,L543/C543,(INT(L543/B543)+(((L543-B543*INT(L543/B543)))/C543)/100))))</f>
        <v>0</v>
      </c>
      <c r="AX543" s="57">
        <f>IF(ISERROR(IF(B543=C543,M543/C543,(INT(M543/B543)+(((M543-B543*INT(M543/B543)))/C543)/100))),0,(IF(B543=C543,M543/C543,(INT(M543/B543)+(((M543-B543*INT(M543/B543)))/C543)/100))))</f>
        <v>0</v>
      </c>
      <c r="AY543" s="57">
        <f>IF(ISERROR(IF(B543=C543,N543/C543,IF((INT(N543/B543)+(((N543-B543*INT(N543/B543)))/C543)/100)&lt;0,(INT(N543/B543)+(((N543-B543*INT(N543/B543)))/C543)/100)+(1-(B543/C543/100)),(INT(N543/B543)+(((N543-B543*INT(N543/B543)))/C543)/100)))),0,IF(B543=C543,N543/C543,IF((INT(N543/B543)+(((N543-B543*INT(N543/B543)))/C543)/100)&lt;0,(INT(N543/B543)+(((N543-B543*INT(N543/B543)))/C543)/100)+(1-(B543/C543/100)),(INT(N543/B543)+(((N543-B543*INT(N543/B543)))/C543)/100))))</f>
        <v>0</v>
      </c>
      <c r="AZ543" s="57">
        <f>IF(ISERROR(IF(B543=C543,O543/C543,(INT(O543/B543)+(((O543-B543*INT(O543/B543)))/C543)/100))),0,(IF(B543=C543,O543/C543,(INT(O543/B543)+(((O543-B543*INT(O543/B543)))/C543)/100))))</f>
        <v>0</v>
      </c>
      <c r="BA543" s="57">
        <f>IF(ISERROR(IF(B543=C543,P543/C543,IF((INT(P543/B543)+(((P543-B543*INT(P543/B543)))/C543)/100)&lt;0,(INT(P543/B543)+(((P543-B543*INT(P543/B543)))/C543)/100)+(1-(B543/C543/100)),(INT(P543/B543)+(((P543-B543*INT(P543/B543)))/C543)/100)))),0,IF(B543=C543,P543/C543,IF((INT(P543/B543)+(((P543-B543*INT(P543/B543)))/C543)/100)&lt;0,(INT(P543/B543)+(((P543-B543*INT(P543/B543)))/C543)/100)+(1-(B543/C543/100)),(INT(P543/B543)+(((P543-B543*INT(P543/B543)))/C543)/100))))</f>
        <v>0</v>
      </c>
      <c r="BB543" s="28">
        <f>R543</f>
        <v>0</v>
      </c>
      <c r="BC543" s="28">
        <f>S543</f>
        <v>0</v>
      </c>
      <c r="BD543" s="28">
        <f>AF543</f>
        <v>0</v>
      </c>
      <c r="BE543" s="28">
        <f>T543</f>
        <v>0</v>
      </c>
      <c r="BG543" s="57">
        <f>IF(ISERROR(IF(B543=C543,V543/C543,(INT(V543/B543)+(((V543-B543*INT(V543/B543)))/C543)/100))),0,(IF(B543=C543,V543/C543,(INT(V543/B543)+(((V543-B543*INT(V543/B543)))/C543)/100))))</f>
        <v>0</v>
      </c>
      <c r="BH543" s="57">
        <f>IF(ISERROR(IF(B543=C543,W543/C543,(INT(W543/B543)+(((W543-B543*INT(W543/B543)))/C543)/100))),0,(IF(B543=C543,W543/C543,(INT(W543/B543)+(((W543-B543*INT(W543/B543)))/C543)/100))))</f>
        <v>0</v>
      </c>
      <c r="BI543" s="57">
        <f>IF(ISERROR(IF(B543=C543,X543/C543,(INT(X543/B543)+(((X543-B543*INT(X543/B543)))/C543)/100))),0,(IF(B543=C543,X543/C543,(INT(X543/B543)+(((X543-B543*INT(X543/B543)))/C543)/100))))</f>
        <v>0</v>
      </c>
      <c r="BJ543" s="57">
        <f>IF(ISERROR(IF(B543=C543,Y543/C543,(INT(Y543/B543)+(((Y543-B543*INT(Y543/B543)))/C543)/100))),0,(IF(B543=C543,Y543/C543,(INT(Y543/B543)+(((Y543-B543*INT(Y543/B543)))/C543)/100))))</f>
        <v>0</v>
      </c>
      <c r="BL543" s="57">
        <f>IF(ISERROR(IF(B543=C543,AA543/C543,(INT(AA543/B543)+(((AA543-B543*INT(AA543/B543)))/C543)/100))),0,(IF(B543=C543,AA543/C543,(INT(AA543/B543)+(((AA543-B543*INT(AA543/B543)))/C543)/100))))</f>
        <v>0</v>
      </c>
      <c r="BM543" s="57">
        <f>IF(ISERROR(IF(B543=C543,AB543/C543,(INT(AB543/B543)+(((AB543-B543*INT(AB543/B543)))/C543)/100))),0,(IF(B543=C543,AB543/C543,(INT(AB543/B543)+(((AB543-B543*INT(AB543/B543)))/C543)/100))))</f>
        <v>0</v>
      </c>
      <c r="BN543" s="57">
        <f>IF(ISERROR(IF(B543=C543,AC543/C543,(INT(AC543/B543)+(((AC543-B543*INT(AC543/B543)))/C543)/100))),0,(IF(B543=C543,AC543/C543,(INT(AC543/B543)+(((AC543-B543*INT(AC543/B543)))/C543)/100))))</f>
        <v>0</v>
      </c>
      <c r="BO543" s="57">
        <f>IF(ISERROR(IF(B543=C543,AD543/C543,(INT(AD543/B543)+(((AD543-B543*INT(AD543/B543)))/C543)/100))),0,(IF(B543=C543,AD543/C543,(INT(AD543/B543)+(((AD543-B543*INT(AD543/B543)))/C543)/100))))</f>
        <v>0</v>
      </c>
      <c r="BQ543" s="155"/>
    </row>
    <row r="544" spans="1:69" hidden="1" x14ac:dyDescent="0.35">
      <c r="A544" s="94"/>
      <c r="B544" s="113">
        <v>0</v>
      </c>
      <c r="C544" s="113">
        <v>250</v>
      </c>
      <c r="D544" s="28">
        <f>SUM(AA544:AD544)</f>
        <v>0</v>
      </c>
      <c r="E544" s="113">
        <v>0</v>
      </c>
      <c r="F544" s="113">
        <v>0</v>
      </c>
      <c r="G544" s="28">
        <f>SUM(D544:F544)</f>
        <v>0</v>
      </c>
      <c r="H544" s="125">
        <v>0</v>
      </c>
      <c r="I544" s="113">
        <v>0</v>
      </c>
      <c r="J544" s="125">
        <v>0</v>
      </c>
      <c r="K544" s="113">
        <v>0</v>
      </c>
      <c r="L544" s="113">
        <v>0</v>
      </c>
      <c r="M544" s="113">
        <v>0</v>
      </c>
      <c r="N544" s="28">
        <f>G544-SUM(H544:M544)</f>
        <v>0</v>
      </c>
      <c r="O544" s="28">
        <f>SUM(V544:Y544)</f>
        <v>0</v>
      </c>
      <c r="P544" s="28">
        <f>O544-N544</f>
        <v>0</v>
      </c>
      <c r="Q544" s="61" t="str">
        <f>IF(ISERROR(P544/SUM(H544:L544)),"",P544/SUM(H544:L544))</f>
        <v/>
      </c>
      <c r="R544" s="113">
        <v>0</v>
      </c>
      <c r="S544" s="28">
        <f>IF(ISERROR(P544/C544*R544),0,(P544/C544*R544))</f>
        <v>0</v>
      </c>
      <c r="T544" s="60">
        <f>IF(ISERROR(P544/B544*AF544),0,(P544/B544*AF544))</f>
        <v>0</v>
      </c>
      <c r="V544" s="113">
        <v>0</v>
      </c>
      <c r="W544" s="113">
        <v>0</v>
      </c>
      <c r="X544" s="113">
        <v>0</v>
      </c>
      <c r="Y544" s="113">
        <v>0</v>
      </c>
      <c r="AA544" s="113">
        <v>0</v>
      </c>
      <c r="AB544" s="113">
        <v>0</v>
      </c>
      <c r="AC544" s="113">
        <v>0</v>
      </c>
      <c r="AD544" s="113">
        <v>0</v>
      </c>
      <c r="AF544" s="113">
        <v>0</v>
      </c>
      <c r="AG544" s="28">
        <f>G544-O544</f>
        <v>0</v>
      </c>
      <c r="AH544" s="58">
        <f>IF(ISERROR(AG544/B544*AF544),0,(AG544/B544*AF544))</f>
        <v>0</v>
      </c>
      <c r="AI544" s="28">
        <f>SUM(H544:M544)</f>
        <v>0</v>
      </c>
      <c r="AJ544" s="28">
        <f>IF(ISERROR(AI544/B544*AF544),0,(AI544/B544*AF544))</f>
        <v>0</v>
      </c>
      <c r="AK544" s="58">
        <f>IF(ISERROR(O544/B544*AF544),0,(O544/B544*AF544))</f>
        <v>0</v>
      </c>
      <c r="AL544" s="28">
        <f>IF(ISERROR(H544/B544*AF544),0,(H544/B544*AF544))</f>
        <v>0</v>
      </c>
      <c r="AN544" s="51">
        <f>A544</f>
        <v>0</v>
      </c>
      <c r="AO544" s="57">
        <f>IF(ISERROR(IF(B544=C544,D544/C544,(INT(D544/B544)+(((D544-B544*INT(D544/B544)))/C544)/100))),0,(IF(B544=C544,D544/C544,(INT(D544/B544)+(((D544-B544*INT(D544/B544)))/C544)/100))))</f>
        <v>0</v>
      </c>
      <c r="AP544" s="57">
        <f>IF(ISERROR(IF(B544=C544,E544/C544,(INT(E544/B544)+(((E544-B544*INT(E544/B544)))/C544)/100))),0,(IF(B544=C544,E544/C544,(INT(E544/B544)+(((E544-B544*INT(E544/B544)))/C544)/100))))</f>
        <v>0</v>
      </c>
      <c r="AQ544" s="57">
        <f>IF(ISERROR(IF(B544=C544,F544/C544,IF((INT(F544/B544)+(((F544-B544*INT(F544/B544)))/C544)/100)&lt;0,(INT(F544/B544)+(((F544-B544*INT(F544/B544)))/C544)/100)+(1-(B544/C544/100)),(INT(F544/B544)+(((F544-B544*INT(F544/B544)))/C544)/100)))),0,IF(B544=C544,F544/C544,IF((INT(F544/B544)+(((F544-B544*INT(F544/B544)))/C544)/100)&lt;0,(INT(F544/B544)+(((F544-B544*INT(F544/B544)))/C544)/100)+(1-(B544/C544/100)),(INT(F544/B544)+(((F544-B544*INT(F544/B544)))/C544)/100))))</f>
        <v>0</v>
      </c>
      <c r="AR544" s="57">
        <f>IF(ISERROR(IF(B544=C544,G544/C544,(INT(G544/B544)+(((G544-B544*INT(G544/B544)))/C544)/100))),0,(IF(B544=C544,G544/C544,(INT(G544/B544)+(((G544-B544*INT(G544/B544)))/C544)/100))))</f>
        <v>0</v>
      </c>
      <c r="AS544" s="57">
        <f>IF(ISERROR(IF(B544=C544,H544/C544,(INT(H544/B544)+(((H544-B544*INT(H544/B544)))/C544)/100))),0,(IF(B544=C544,H544/C544,(INT(H544/B544)+(((H544-B544*INT(H544/B544)))/C544)/100))))</f>
        <v>0</v>
      </c>
      <c r="AT544" s="57">
        <f>IF(ISERROR(IF(B544=C544,I544/C544,(INT(I544/B544)+(((I544-B544*INT(I544/B544)))/C544)/100))),0,(IF(B544=C544,I544/C544,(INT(I544/B544)+(((I544-B544*INT(I544/B544)))/C544)/100))))</f>
        <v>0</v>
      </c>
      <c r="AU544" s="57">
        <f>IF(ISERROR(IF(B544=C544,J544/C544,(INT(J544/B544)+(((J544-B544*INT(J544/B544)))/C544)/100))),0,(IF(B544=C544,J544/C544,(INT(J544/B544)+(((J544-B544*INT(J544/B544)))/C544)/100))))</f>
        <v>0</v>
      </c>
      <c r="AV544" s="57">
        <f>IF(ISERROR(IF(B544=C544,K544/C544,IF((INT(K544/B544)+(((K544-B544*INT(K544/B544)))/C544)/100)&lt;0,(INT(K544/B544)+(((K544-B544*INT(K544/B544)))/C544)/100)+(1-(B544/C544/100)),(INT(K544/B544)+(((K544-B544*INT(K544/B544)))/C544)/100)))),0,IF(B544=C544,K544/C544,IF((INT(K544/B544)+(((K544-B544*INT(K544/B544)))/C544)/100)&lt;0,(INT(K544/B544)+(((K544-B544*INT(K544/B544)))/C544)/100)+(1-(B544/C544/100)),(INT(K544/B544)+(((K544-B544*INT(K544/B544)))/C544)/100))))</f>
        <v>0</v>
      </c>
      <c r="AW544" s="57">
        <f>IF(ISERROR(IF(B544=C544,L544/C544,(INT(L544/B544)+(((L544-B544*INT(L544/B544)))/C544)/100))),0,(IF(B544=C544,L544/C544,(INT(L544/B544)+(((L544-B544*INT(L544/B544)))/C544)/100))))</f>
        <v>0</v>
      </c>
      <c r="AX544" s="57">
        <f>IF(ISERROR(IF(B544=C544,M544/C544,(INT(M544/B544)+(((M544-B544*INT(M544/B544)))/C544)/100))),0,(IF(B544=C544,M544/C544,(INT(M544/B544)+(((M544-B544*INT(M544/B544)))/C544)/100))))</f>
        <v>0</v>
      </c>
      <c r="AY544" s="57">
        <f>IF(ISERROR(IF(B544=C544,N544/C544,IF((INT(N544/B544)+(((N544-B544*INT(N544/B544)))/C544)/100)&lt;0,(INT(N544/B544)+(((N544-B544*INT(N544/B544)))/C544)/100)+(1-(B544/C544/100)),(INT(N544/B544)+(((N544-B544*INT(N544/B544)))/C544)/100)))),0,IF(B544=C544,N544/C544,IF((INT(N544/B544)+(((N544-B544*INT(N544/B544)))/C544)/100)&lt;0,(INT(N544/B544)+(((N544-B544*INT(N544/B544)))/C544)/100)+(1-(B544/C544/100)),(INT(N544/B544)+(((N544-B544*INT(N544/B544)))/C544)/100))))</f>
        <v>0</v>
      </c>
      <c r="AZ544" s="57">
        <f>IF(ISERROR(IF(B544=C544,O544/C544,(INT(O544/B544)+(((O544-B544*INT(O544/B544)))/C544)/100))),0,(IF(B544=C544,O544/C544,(INT(O544/B544)+(((O544-B544*INT(O544/B544)))/C544)/100))))</f>
        <v>0</v>
      </c>
      <c r="BA544" s="57">
        <f>IF(ISERROR(IF(B544=C544,P544/C544,IF((INT(P544/B544)+(((P544-B544*INT(P544/B544)))/C544)/100)&lt;0,(INT(P544/B544)+(((P544-B544*INT(P544/B544)))/C544)/100)+(1-(B544/C544/100)),(INT(P544/B544)+(((P544-B544*INT(P544/B544)))/C544)/100)))),0,IF(B544=C544,P544/C544,IF((INT(P544/B544)+(((P544-B544*INT(P544/B544)))/C544)/100)&lt;0,(INT(P544/B544)+(((P544-B544*INT(P544/B544)))/C544)/100)+(1-(B544/C544/100)),(INT(P544/B544)+(((P544-B544*INT(P544/B544)))/C544)/100))))</f>
        <v>0</v>
      </c>
      <c r="BB544" s="28">
        <f>R544</f>
        <v>0</v>
      </c>
      <c r="BC544" s="28">
        <f>S544</f>
        <v>0</v>
      </c>
      <c r="BD544" s="28">
        <f>AF544</f>
        <v>0</v>
      </c>
      <c r="BE544" s="28">
        <f>T544</f>
        <v>0</v>
      </c>
      <c r="BG544" s="57">
        <f>IF(ISERROR(IF(B544=C544,V544/C544,(INT(V544/B544)+(((V544-B544*INT(V544/B544)))/C544)/100))),0,(IF(B544=C544,V544/C544,(INT(V544/B544)+(((V544-B544*INT(V544/B544)))/C544)/100))))</f>
        <v>0</v>
      </c>
      <c r="BH544" s="57">
        <f>IF(ISERROR(IF(B544=C544,W544/C544,(INT(W544/B544)+(((W544-B544*INT(W544/B544)))/C544)/100))),0,(IF(B544=C544,W544/C544,(INT(W544/B544)+(((W544-B544*INT(W544/B544)))/C544)/100))))</f>
        <v>0</v>
      </c>
      <c r="BI544" s="57">
        <f>IF(ISERROR(IF(B544=C544,X544/C544,(INT(X544/B544)+(((X544-B544*INT(X544/B544)))/C544)/100))),0,(IF(B544=C544,X544/C544,(INT(X544/B544)+(((X544-B544*INT(X544/B544)))/C544)/100))))</f>
        <v>0</v>
      </c>
      <c r="BJ544" s="57">
        <f>IF(ISERROR(IF(B544=C544,Y544/C544,(INT(Y544/B544)+(((Y544-B544*INT(Y544/B544)))/C544)/100))),0,(IF(B544=C544,Y544/C544,(INT(Y544/B544)+(((Y544-B544*INT(Y544/B544)))/C544)/100))))</f>
        <v>0</v>
      </c>
      <c r="BL544" s="57">
        <f>IF(ISERROR(IF(B544=C544,AA544/C544,(INT(AA544/B544)+(((AA544-B544*INT(AA544/B544)))/C544)/100))),0,(IF(B544=C544,AA544/C544,(INT(AA544/B544)+(((AA544-B544*INT(AA544/B544)))/C544)/100))))</f>
        <v>0</v>
      </c>
      <c r="BM544" s="57">
        <f>IF(ISERROR(IF(B544=C544,AB544/C544,(INT(AB544/B544)+(((AB544-B544*INT(AB544/B544)))/C544)/100))),0,(IF(B544=C544,AB544/C544,(INT(AB544/B544)+(((AB544-B544*INT(AB544/B544)))/C544)/100))))</f>
        <v>0</v>
      </c>
      <c r="BN544" s="57">
        <f>IF(ISERROR(IF(B544=C544,AC544/C544,(INT(AC544/B544)+(((AC544-B544*INT(AC544/B544)))/C544)/100))),0,(IF(B544=C544,AC544/C544,(INT(AC544/B544)+(((AC544-B544*INT(AC544/B544)))/C544)/100))))</f>
        <v>0</v>
      </c>
      <c r="BO544" s="57">
        <f>IF(ISERROR(IF(B544=C544,AD544/C544,(INT(AD544/B544)+(((AD544-B544*INT(AD544/B544)))/C544)/100))),0,(IF(B544=C544,AD544/C544,(INT(AD544/B544)+(((AD544-B544*INT(AD544/B544)))/C544)/100))))</f>
        <v>0</v>
      </c>
      <c r="BQ544" s="155"/>
    </row>
    <row r="545" spans="1:69" hidden="1" x14ac:dyDescent="0.35">
      <c r="A545" s="94"/>
      <c r="B545" s="113">
        <v>0</v>
      </c>
      <c r="C545" s="113">
        <v>250</v>
      </c>
      <c r="D545" s="28">
        <f>SUM(AA545:AD545)</f>
        <v>0</v>
      </c>
      <c r="E545" s="113">
        <v>0</v>
      </c>
      <c r="F545" s="113">
        <v>0</v>
      </c>
      <c r="G545" s="28">
        <f>SUM(D545:F545)</f>
        <v>0</v>
      </c>
      <c r="H545" s="125">
        <v>0</v>
      </c>
      <c r="I545" s="113">
        <v>0</v>
      </c>
      <c r="J545" s="125">
        <v>0</v>
      </c>
      <c r="K545" s="113">
        <v>0</v>
      </c>
      <c r="L545" s="113">
        <v>0</v>
      </c>
      <c r="M545" s="113">
        <v>0</v>
      </c>
      <c r="N545" s="28">
        <f>G545-SUM(H545:M545)</f>
        <v>0</v>
      </c>
      <c r="O545" s="28">
        <f>SUM(V545:Y545)</f>
        <v>0</v>
      </c>
      <c r="P545" s="28">
        <f>O545-N545</f>
        <v>0</v>
      </c>
      <c r="Q545" s="61" t="str">
        <f>IF(ISERROR(P545/SUM(H545:L545)),"",P545/SUM(H545:L545))</f>
        <v/>
      </c>
      <c r="R545" s="113">
        <v>0</v>
      </c>
      <c r="S545" s="28">
        <f>IF(ISERROR(P545/C545*R545),0,(P545/C545*R545))</f>
        <v>0</v>
      </c>
      <c r="T545" s="60">
        <f>IF(ISERROR(P545/B545*AF545),0,(P545/B545*AF545))</f>
        <v>0</v>
      </c>
      <c r="V545" s="113">
        <v>0</v>
      </c>
      <c r="W545" s="113">
        <v>0</v>
      </c>
      <c r="X545" s="113">
        <v>0</v>
      </c>
      <c r="Y545" s="113">
        <v>0</v>
      </c>
      <c r="AA545" s="113">
        <v>0</v>
      </c>
      <c r="AB545" s="113">
        <v>0</v>
      </c>
      <c r="AC545" s="113">
        <v>0</v>
      </c>
      <c r="AD545" s="113">
        <v>0</v>
      </c>
      <c r="AF545" s="113">
        <v>0</v>
      </c>
      <c r="AG545" s="28">
        <f>G545-O545</f>
        <v>0</v>
      </c>
      <c r="AH545" s="58">
        <f>IF(ISERROR(AG545/B545*AF545),0,(AG545/B545*AF545))</f>
        <v>0</v>
      </c>
      <c r="AI545" s="28">
        <f>SUM(H545:M545)</f>
        <v>0</v>
      </c>
      <c r="AJ545" s="28">
        <f>IF(ISERROR(AI545/B545*AF545),0,(AI545/B545*AF545))</f>
        <v>0</v>
      </c>
      <c r="AK545" s="58">
        <f>IF(ISERROR(O545/B545*AF545),0,(O545/B545*AF545))</f>
        <v>0</v>
      </c>
      <c r="AL545" s="28">
        <f>IF(ISERROR(H545/B545*AF545),0,(H545/B545*AF545))</f>
        <v>0</v>
      </c>
      <c r="AN545" s="51">
        <f>A545</f>
        <v>0</v>
      </c>
      <c r="AO545" s="57">
        <f>IF(ISERROR(IF(B545=C545,D545/C545,(INT(D545/B545)+(((D545-B545*INT(D545/B545)))/C545)/100))),0,(IF(B545=C545,D545/C545,(INT(D545/B545)+(((D545-B545*INT(D545/B545)))/C545)/100))))</f>
        <v>0</v>
      </c>
      <c r="AP545" s="57">
        <f>IF(ISERROR(IF(B545=C545,E545/C545,(INT(E545/B545)+(((E545-B545*INT(E545/B545)))/C545)/100))),0,(IF(B545=C545,E545/C545,(INT(E545/B545)+(((E545-B545*INT(E545/B545)))/C545)/100))))</f>
        <v>0</v>
      </c>
      <c r="AQ545" s="57">
        <f>IF(ISERROR(IF(B545=C545,F545/C545,IF((INT(F545/B545)+(((F545-B545*INT(F545/B545)))/C545)/100)&lt;0,(INT(F545/B545)+(((F545-B545*INT(F545/B545)))/C545)/100)+(1-(B545/C545/100)),(INT(F545/B545)+(((F545-B545*INT(F545/B545)))/C545)/100)))),0,IF(B545=C545,F545/C545,IF((INT(F545/B545)+(((F545-B545*INT(F545/B545)))/C545)/100)&lt;0,(INT(F545/B545)+(((F545-B545*INT(F545/B545)))/C545)/100)+(1-(B545/C545/100)),(INT(F545/B545)+(((F545-B545*INT(F545/B545)))/C545)/100))))</f>
        <v>0</v>
      </c>
      <c r="AR545" s="57">
        <f>IF(ISERROR(IF(B545=C545,G545/C545,(INT(G545/B545)+(((G545-B545*INT(G545/B545)))/C545)/100))),0,(IF(B545=C545,G545/C545,(INT(G545/B545)+(((G545-B545*INT(G545/B545)))/C545)/100))))</f>
        <v>0</v>
      </c>
      <c r="AS545" s="57">
        <f>IF(ISERROR(IF(B545=C545,H545/C545,(INT(H545/B545)+(((H545-B545*INT(H545/B545)))/C545)/100))),0,(IF(B545=C545,H545/C545,(INT(H545/B545)+(((H545-B545*INT(H545/B545)))/C545)/100))))</f>
        <v>0</v>
      </c>
      <c r="AT545" s="57">
        <f>IF(ISERROR(IF(B545=C545,I545/C545,(INT(I545/B545)+(((I545-B545*INT(I545/B545)))/C545)/100))),0,(IF(B545=C545,I545/C545,(INT(I545/B545)+(((I545-B545*INT(I545/B545)))/C545)/100))))</f>
        <v>0</v>
      </c>
      <c r="AU545" s="57">
        <f>IF(ISERROR(IF(B545=C545,J545/C545,(INT(J545/B545)+(((J545-B545*INT(J545/B545)))/C545)/100))),0,(IF(B545=C545,J545/C545,(INT(J545/B545)+(((J545-B545*INT(J545/B545)))/C545)/100))))</f>
        <v>0</v>
      </c>
      <c r="AV545" s="57">
        <f>IF(ISERROR(IF(B545=C545,K545/C545,IF((INT(K545/B545)+(((K545-B545*INT(K545/B545)))/C545)/100)&lt;0,(INT(K545/B545)+(((K545-B545*INT(K545/B545)))/C545)/100)+(1-(B545/C545/100)),(INT(K545/B545)+(((K545-B545*INT(K545/B545)))/C545)/100)))),0,IF(B545=C545,K545/C545,IF((INT(K545/B545)+(((K545-B545*INT(K545/B545)))/C545)/100)&lt;0,(INT(K545/B545)+(((K545-B545*INT(K545/B545)))/C545)/100)+(1-(B545/C545/100)),(INT(K545/B545)+(((K545-B545*INT(K545/B545)))/C545)/100))))</f>
        <v>0</v>
      </c>
      <c r="AW545" s="57">
        <f>IF(ISERROR(IF(B545=C545,L545/C545,(INT(L545/B545)+(((L545-B545*INT(L545/B545)))/C545)/100))),0,(IF(B545=C545,L545/C545,(INT(L545/B545)+(((L545-B545*INT(L545/B545)))/C545)/100))))</f>
        <v>0</v>
      </c>
      <c r="AX545" s="57">
        <f>IF(ISERROR(IF(B545=C545,M545/C545,(INT(M545/B545)+(((M545-B545*INT(M545/B545)))/C545)/100))),0,(IF(B545=C545,M545/C545,(INT(M545/B545)+(((M545-B545*INT(M545/B545)))/C545)/100))))</f>
        <v>0</v>
      </c>
      <c r="AY545" s="57">
        <f>IF(ISERROR(IF(B545=C545,N545/C545,IF((INT(N545/B545)+(((N545-B545*INT(N545/B545)))/C545)/100)&lt;0,(INT(N545/B545)+(((N545-B545*INT(N545/B545)))/C545)/100)+(1-(B545/C545/100)),(INT(N545/B545)+(((N545-B545*INT(N545/B545)))/C545)/100)))),0,IF(B545=C545,N545/C545,IF((INT(N545/B545)+(((N545-B545*INT(N545/B545)))/C545)/100)&lt;0,(INT(N545/B545)+(((N545-B545*INT(N545/B545)))/C545)/100)+(1-(B545/C545/100)),(INT(N545/B545)+(((N545-B545*INT(N545/B545)))/C545)/100))))</f>
        <v>0</v>
      </c>
      <c r="AZ545" s="57">
        <f>IF(ISERROR(IF(B545=C545,O545/C545,(INT(O545/B545)+(((O545-B545*INT(O545/B545)))/C545)/100))),0,(IF(B545=C545,O545/C545,(INT(O545/B545)+(((O545-B545*INT(O545/B545)))/C545)/100))))</f>
        <v>0</v>
      </c>
      <c r="BA545" s="57">
        <f>IF(ISERROR(IF(B545=C545,P545/C545,IF((INT(P545/B545)+(((P545-B545*INT(P545/B545)))/C545)/100)&lt;0,(INT(P545/B545)+(((P545-B545*INT(P545/B545)))/C545)/100)+(1-(B545/C545/100)),(INT(P545/B545)+(((P545-B545*INT(P545/B545)))/C545)/100)))),0,IF(B545=C545,P545/C545,IF((INT(P545/B545)+(((P545-B545*INT(P545/B545)))/C545)/100)&lt;0,(INT(P545/B545)+(((P545-B545*INT(P545/B545)))/C545)/100)+(1-(B545/C545/100)),(INT(P545/B545)+(((P545-B545*INT(P545/B545)))/C545)/100))))</f>
        <v>0</v>
      </c>
      <c r="BB545" s="28">
        <f>R545</f>
        <v>0</v>
      </c>
      <c r="BC545" s="28">
        <f>S545</f>
        <v>0</v>
      </c>
      <c r="BD545" s="28">
        <f>AF545</f>
        <v>0</v>
      </c>
      <c r="BE545" s="28">
        <f>T545</f>
        <v>0</v>
      </c>
      <c r="BG545" s="57">
        <f>IF(ISERROR(IF(B545=C545,V545/C545,(INT(V545/B545)+(((V545-B545*INT(V545/B545)))/C545)/100))),0,(IF(B545=C545,V545/C545,(INT(V545/B545)+(((V545-B545*INT(V545/B545)))/C545)/100))))</f>
        <v>0</v>
      </c>
      <c r="BH545" s="57">
        <f>IF(ISERROR(IF(B545=C545,W545/C545,(INT(W545/B545)+(((W545-B545*INT(W545/B545)))/C545)/100))),0,(IF(B545=C545,W545/C545,(INT(W545/B545)+(((W545-B545*INT(W545/B545)))/C545)/100))))</f>
        <v>0</v>
      </c>
      <c r="BI545" s="57">
        <f>IF(ISERROR(IF(B545=C545,X545/C545,(INT(X545/B545)+(((X545-B545*INT(X545/B545)))/C545)/100))),0,(IF(B545=C545,X545/C545,(INT(X545/B545)+(((X545-B545*INT(X545/B545)))/C545)/100))))</f>
        <v>0</v>
      </c>
      <c r="BJ545" s="57">
        <f>IF(ISERROR(IF(B545=C545,Y545/C545,(INT(Y545/B545)+(((Y545-B545*INT(Y545/B545)))/C545)/100))),0,(IF(B545=C545,Y545/C545,(INT(Y545/B545)+(((Y545-B545*INT(Y545/B545)))/C545)/100))))</f>
        <v>0</v>
      </c>
      <c r="BL545" s="57">
        <f>IF(ISERROR(IF(B545=C545,AA545/C545,(INT(AA545/B545)+(((AA545-B545*INT(AA545/B545)))/C545)/100))),0,(IF(B545=C545,AA545/C545,(INT(AA545/B545)+(((AA545-B545*INT(AA545/B545)))/C545)/100))))</f>
        <v>0</v>
      </c>
      <c r="BM545" s="57">
        <f>IF(ISERROR(IF(B545=C545,AB545/C545,(INT(AB545/B545)+(((AB545-B545*INT(AB545/B545)))/C545)/100))),0,(IF(B545=C545,AB545/C545,(INT(AB545/B545)+(((AB545-B545*INT(AB545/B545)))/C545)/100))))</f>
        <v>0</v>
      </c>
      <c r="BN545" s="57">
        <f>IF(ISERROR(IF(B545=C545,AC545/C545,(INT(AC545/B545)+(((AC545-B545*INT(AC545/B545)))/C545)/100))),0,(IF(B545=C545,AC545/C545,(INT(AC545/B545)+(((AC545-B545*INT(AC545/B545)))/C545)/100))))</f>
        <v>0</v>
      </c>
      <c r="BO545" s="57">
        <f>IF(ISERROR(IF(B545=C545,AD545/C545,(INT(AD545/B545)+(((AD545-B545*INT(AD545/B545)))/C545)/100))),0,(IF(B545=C545,AD545/C545,(INT(AD545/B545)+(((AD545-B545*INT(AD545/B545)))/C545)/100))))</f>
        <v>0</v>
      </c>
      <c r="BQ545" s="155"/>
    </row>
    <row r="546" spans="1:69" hidden="1" x14ac:dyDescent="0.35">
      <c r="A546" s="94"/>
      <c r="B546" s="113">
        <v>0</v>
      </c>
      <c r="C546" s="113">
        <v>250</v>
      </c>
      <c r="D546" s="28">
        <f>SUM(AA546:AD546)</f>
        <v>0</v>
      </c>
      <c r="E546" s="113">
        <v>0</v>
      </c>
      <c r="F546" s="113">
        <v>0</v>
      </c>
      <c r="G546" s="28">
        <f>SUM(D546:F546)</f>
        <v>0</v>
      </c>
      <c r="H546" s="125">
        <v>0</v>
      </c>
      <c r="I546" s="113">
        <v>0</v>
      </c>
      <c r="J546" s="125">
        <v>0</v>
      </c>
      <c r="K546" s="113">
        <v>0</v>
      </c>
      <c r="L546" s="113">
        <v>0</v>
      </c>
      <c r="M546" s="113">
        <v>0</v>
      </c>
      <c r="N546" s="28">
        <f>G546-SUM(H546:M546)</f>
        <v>0</v>
      </c>
      <c r="O546" s="28">
        <f>SUM(V546:Y546)</f>
        <v>0</v>
      </c>
      <c r="P546" s="28">
        <f>O546-N546</f>
        <v>0</v>
      </c>
      <c r="Q546" s="61" t="str">
        <f>IF(ISERROR(P546/SUM(H546:L546)),"",P546/SUM(H546:L546))</f>
        <v/>
      </c>
      <c r="R546" s="113">
        <v>0</v>
      </c>
      <c r="S546" s="28">
        <f>IF(ISERROR(P546/C546*R546),0,(P546/C546*R546))</f>
        <v>0</v>
      </c>
      <c r="T546" s="60">
        <f>IF(ISERROR(P546/B546*AF546),0,(P546/B546*AF546))</f>
        <v>0</v>
      </c>
      <c r="V546" s="113">
        <v>0</v>
      </c>
      <c r="W546" s="113">
        <v>0</v>
      </c>
      <c r="X546" s="113">
        <v>0</v>
      </c>
      <c r="Y546" s="113">
        <v>0</v>
      </c>
      <c r="AA546" s="113">
        <v>0</v>
      </c>
      <c r="AB546" s="113">
        <v>0</v>
      </c>
      <c r="AC546" s="113">
        <v>0</v>
      </c>
      <c r="AD546" s="113">
        <v>0</v>
      </c>
      <c r="AF546" s="113">
        <v>0</v>
      </c>
      <c r="AG546" s="28">
        <f>G546-O546</f>
        <v>0</v>
      </c>
      <c r="AH546" s="58">
        <f>IF(ISERROR(AG546/B546*AF546),0,(AG546/B546*AF546))</f>
        <v>0</v>
      </c>
      <c r="AI546" s="28">
        <f>SUM(H546:M546)</f>
        <v>0</v>
      </c>
      <c r="AJ546" s="28">
        <f>IF(ISERROR(AI546/B546*AF546),0,(AI546/B546*AF546))</f>
        <v>0</v>
      </c>
      <c r="AK546" s="58">
        <f>IF(ISERROR(O546/B546*AF546),0,(O546/B546*AF546))</f>
        <v>0</v>
      </c>
      <c r="AL546" s="28">
        <f>IF(ISERROR(H546/B546*AF546),0,(H546/B546*AF546))</f>
        <v>0</v>
      </c>
      <c r="AN546" s="51">
        <f>A546</f>
        <v>0</v>
      </c>
      <c r="AO546" s="57">
        <f>IF(ISERROR(IF(B546=C546,D546/C546,(INT(D546/B546)+(((D546-B546*INT(D546/B546)))/C546)/100))),0,(IF(B546=C546,D546/C546,(INT(D546/B546)+(((D546-B546*INT(D546/B546)))/C546)/100))))</f>
        <v>0</v>
      </c>
      <c r="AP546" s="57">
        <f>IF(ISERROR(IF(B546=C546,E546/C546,(INT(E546/B546)+(((E546-B546*INT(E546/B546)))/C546)/100))),0,(IF(B546=C546,E546/C546,(INT(E546/B546)+(((E546-B546*INT(E546/B546)))/C546)/100))))</f>
        <v>0</v>
      </c>
      <c r="AQ546" s="57">
        <f>IF(ISERROR(IF(B546=C546,F546/C546,IF((INT(F546/B546)+(((F546-B546*INT(F546/B546)))/C546)/100)&lt;0,(INT(F546/B546)+(((F546-B546*INT(F546/B546)))/C546)/100)+(1-(B546/C546/100)),(INT(F546/B546)+(((F546-B546*INT(F546/B546)))/C546)/100)))),0,IF(B546=C546,F546/C546,IF((INT(F546/B546)+(((F546-B546*INT(F546/B546)))/C546)/100)&lt;0,(INT(F546/B546)+(((F546-B546*INT(F546/B546)))/C546)/100)+(1-(B546/C546/100)),(INT(F546/B546)+(((F546-B546*INT(F546/B546)))/C546)/100))))</f>
        <v>0</v>
      </c>
      <c r="AR546" s="57">
        <f>IF(ISERROR(IF(B546=C546,G546/C546,(INT(G546/B546)+(((G546-B546*INT(G546/B546)))/C546)/100))),0,(IF(B546=C546,G546/C546,(INT(G546/B546)+(((G546-B546*INT(G546/B546)))/C546)/100))))</f>
        <v>0</v>
      </c>
      <c r="AS546" s="57">
        <f>IF(ISERROR(IF(B546=C546,H546/C546,(INT(H546/B546)+(((H546-B546*INT(H546/B546)))/C546)/100))),0,(IF(B546=C546,H546/C546,(INT(H546/B546)+(((H546-B546*INT(H546/B546)))/C546)/100))))</f>
        <v>0</v>
      </c>
      <c r="AT546" s="57">
        <f>IF(ISERROR(IF(B546=C546,I546/C546,(INT(I546/B546)+(((I546-B546*INT(I546/B546)))/C546)/100))),0,(IF(B546=C546,I546/C546,(INT(I546/B546)+(((I546-B546*INT(I546/B546)))/C546)/100))))</f>
        <v>0</v>
      </c>
      <c r="AU546" s="57">
        <f>IF(ISERROR(IF(B546=C546,J546/C546,(INT(J546/B546)+(((J546-B546*INT(J546/B546)))/C546)/100))),0,(IF(B546=C546,J546/C546,(INT(J546/B546)+(((J546-B546*INT(J546/B546)))/C546)/100))))</f>
        <v>0</v>
      </c>
      <c r="AV546" s="57">
        <f>IF(ISERROR(IF(B546=C546,K546/C546,IF((INT(K546/B546)+(((K546-B546*INT(K546/B546)))/C546)/100)&lt;0,(INT(K546/B546)+(((K546-B546*INT(K546/B546)))/C546)/100)+(1-(B546/C546/100)),(INT(K546/B546)+(((K546-B546*INT(K546/B546)))/C546)/100)))),0,IF(B546=C546,K546/C546,IF((INT(K546/B546)+(((K546-B546*INT(K546/B546)))/C546)/100)&lt;0,(INT(K546/B546)+(((K546-B546*INT(K546/B546)))/C546)/100)+(1-(B546/C546/100)),(INT(K546/B546)+(((K546-B546*INT(K546/B546)))/C546)/100))))</f>
        <v>0</v>
      </c>
      <c r="AW546" s="57">
        <f>IF(ISERROR(IF(B546=C546,L546/C546,(INT(L546/B546)+(((L546-B546*INT(L546/B546)))/C546)/100))),0,(IF(B546=C546,L546/C546,(INT(L546/B546)+(((L546-B546*INT(L546/B546)))/C546)/100))))</f>
        <v>0</v>
      </c>
      <c r="AX546" s="57">
        <f>IF(ISERROR(IF(B546=C546,M546/C546,(INT(M546/B546)+(((M546-B546*INT(M546/B546)))/C546)/100))),0,(IF(B546=C546,M546/C546,(INT(M546/B546)+(((M546-B546*INT(M546/B546)))/C546)/100))))</f>
        <v>0</v>
      </c>
      <c r="AY546" s="57">
        <f>IF(ISERROR(IF(B546=C546,N546/C546,IF((INT(N546/B546)+(((N546-B546*INT(N546/B546)))/C546)/100)&lt;0,(INT(N546/B546)+(((N546-B546*INT(N546/B546)))/C546)/100)+(1-(B546/C546/100)),(INT(N546/B546)+(((N546-B546*INT(N546/B546)))/C546)/100)))),0,IF(B546=C546,N546/C546,IF((INT(N546/B546)+(((N546-B546*INT(N546/B546)))/C546)/100)&lt;0,(INT(N546/B546)+(((N546-B546*INT(N546/B546)))/C546)/100)+(1-(B546/C546/100)),(INT(N546/B546)+(((N546-B546*INT(N546/B546)))/C546)/100))))</f>
        <v>0</v>
      </c>
      <c r="AZ546" s="57">
        <f>IF(ISERROR(IF(B546=C546,O546/C546,(INT(O546/B546)+(((O546-B546*INT(O546/B546)))/C546)/100))),0,(IF(B546=C546,O546/C546,(INT(O546/B546)+(((O546-B546*INT(O546/B546)))/C546)/100))))</f>
        <v>0</v>
      </c>
      <c r="BA546" s="57">
        <f>IF(ISERROR(IF(B546=C546,P546/C546,IF((INT(P546/B546)+(((P546-B546*INT(P546/B546)))/C546)/100)&lt;0,(INT(P546/B546)+(((P546-B546*INT(P546/B546)))/C546)/100)+(1-(B546/C546/100)),(INT(P546/B546)+(((P546-B546*INT(P546/B546)))/C546)/100)))),0,IF(B546=C546,P546/C546,IF((INT(P546/B546)+(((P546-B546*INT(P546/B546)))/C546)/100)&lt;0,(INT(P546/B546)+(((P546-B546*INT(P546/B546)))/C546)/100)+(1-(B546/C546/100)),(INT(P546/B546)+(((P546-B546*INT(P546/B546)))/C546)/100))))</f>
        <v>0</v>
      </c>
      <c r="BB546" s="28">
        <f>R546</f>
        <v>0</v>
      </c>
      <c r="BC546" s="28">
        <f>S546</f>
        <v>0</v>
      </c>
      <c r="BD546" s="28">
        <f>AF546</f>
        <v>0</v>
      </c>
      <c r="BE546" s="28">
        <f>T546</f>
        <v>0</v>
      </c>
      <c r="BG546" s="57">
        <f>IF(ISERROR(IF(B546=C546,V546/C546,(INT(V546/B546)+(((V546-B546*INT(V546/B546)))/C546)/100))),0,(IF(B546=C546,V546/C546,(INT(V546/B546)+(((V546-B546*INT(V546/B546)))/C546)/100))))</f>
        <v>0</v>
      </c>
      <c r="BH546" s="57">
        <f>IF(ISERROR(IF(B546=C546,W546/C546,(INT(W546/B546)+(((W546-B546*INT(W546/B546)))/C546)/100))),0,(IF(B546=C546,W546/C546,(INT(W546/B546)+(((W546-B546*INT(W546/B546)))/C546)/100))))</f>
        <v>0</v>
      </c>
      <c r="BI546" s="57">
        <f>IF(ISERROR(IF(B546=C546,X546/C546,(INT(X546/B546)+(((X546-B546*INT(X546/B546)))/C546)/100))),0,(IF(B546=C546,X546/C546,(INT(X546/B546)+(((X546-B546*INT(X546/B546)))/C546)/100))))</f>
        <v>0</v>
      </c>
      <c r="BJ546" s="57">
        <f>IF(ISERROR(IF(B546=C546,Y546/C546,(INT(Y546/B546)+(((Y546-B546*INT(Y546/B546)))/C546)/100))),0,(IF(B546=C546,Y546/C546,(INT(Y546/B546)+(((Y546-B546*INT(Y546/B546)))/C546)/100))))</f>
        <v>0</v>
      </c>
      <c r="BL546" s="57">
        <f>IF(ISERROR(IF(B546=C546,AA546/C546,(INT(AA546/B546)+(((AA546-B546*INT(AA546/B546)))/C546)/100))),0,(IF(B546=C546,AA546/C546,(INT(AA546/B546)+(((AA546-B546*INT(AA546/B546)))/C546)/100))))</f>
        <v>0</v>
      </c>
      <c r="BM546" s="57">
        <f>IF(ISERROR(IF(B546=C546,AB546/C546,(INT(AB546/B546)+(((AB546-B546*INT(AB546/B546)))/C546)/100))),0,(IF(B546=C546,AB546/C546,(INT(AB546/B546)+(((AB546-B546*INT(AB546/B546)))/C546)/100))))</f>
        <v>0</v>
      </c>
      <c r="BN546" s="57">
        <f>IF(ISERROR(IF(B546=C546,AC546/C546,(INT(AC546/B546)+(((AC546-B546*INT(AC546/B546)))/C546)/100))),0,(IF(B546=C546,AC546/C546,(INT(AC546/B546)+(((AC546-B546*INT(AC546/B546)))/C546)/100))))</f>
        <v>0</v>
      </c>
      <c r="BO546" s="57">
        <f>IF(ISERROR(IF(B546=C546,AD546/C546,(INT(AD546/B546)+(((AD546-B546*INT(AD546/B546)))/C546)/100))),0,(IF(B546=C546,AD546/C546,(INT(AD546/B546)+(((AD546-B546*INT(AD546/B546)))/C546)/100))))</f>
        <v>0</v>
      </c>
      <c r="BQ546" s="155"/>
    </row>
    <row r="547" spans="1:69" hidden="1" x14ac:dyDescent="0.35">
      <c r="A547" s="94"/>
      <c r="B547" s="113">
        <v>0</v>
      </c>
      <c r="C547" s="113">
        <v>250</v>
      </c>
      <c r="D547" s="28">
        <f>SUM(AA547:AD547)</f>
        <v>0</v>
      </c>
      <c r="E547" s="113">
        <v>0</v>
      </c>
      <c r="F547" s="113">
        <v>0</v>
      </c>
      <c r="G547" s="28">
        <f>SUM(D547:F547)</f>
        <v>0</v>
      </c>
      <c r="H547" s="125">
        <v>0</v>
      </c>
      <c r="I547" s="113">
        <v>0</v>
      </c>
      <c r="J547" s="125">
        <v>0</v>
      </c>
      <c r="K547" s="113">
        <v>0</v>
      </c>
      <c r="L547" s="113">
        <v>0</v>
      </c>
      <c r="M547" s="113">
        <v>0</v>
      </c>
      <c r="N547" s="28">
        <f>G547-SUM(H547:M547)</f>
        <v>0</v>
      </c>
      <c r="O547" s="28">
        <f>SUM(V547:Y547)</f>
        <v>0</v>
      </c>
      <c r="P547" s="28">
        <f>O547-N547</f>
        <v>0</v>
      </c>
      <c r="Q547" s="61" t="str">
        <f>IF(ISERROR(P547/SUM(H547:L547)),"",P547/SUM(H547:L547))</f>
        <v/>
      </c>
      <c r="R547" s="113">
        <v>0</v>
      </c>
      <c r="S547" s="28">
        <f>IF(ISERROR(P547/C547*R547),0,(P547/C547*R547))</f>
        <v>0</v>
      </c>
      <c r="T547" s="60">
        <f>IF(ISERROR(P547/B547*AF547),0,(P547/B547*AF547))</f>
        <v>0</v>
      </c>
      <c r="V547" s="113">
        <v>0</v>
      </c>
      <c r="W547" s="113">
        <v>0</v>
      </c>
      <c r="X547" s="113">
        <v>0</v>
      </c>
      <c r="Y547" s="113">
        <v>0</v>
      </c>
      <c r="AA547" s="113">
        <v>0</v>
      </c>
      <c r="AB547" s="113">
        <v>0</v>
      </c>
      <c r="AC547" s="113">
        <v>0</v>
      </c>
      <c r="AD547" s="113">
        <v>0</v>
      </c>
      <c r="AF547" s="113">
        <v>0</v>
      </c>
      <c r="AG547" s="28">
        <f>G547-O547</f>
        <v>0</v>
      </c>
      <c r="AH547" s="58">
        <f>IF(ISERROR(AG547/B547*AF547),0,(AG547/B547*AF547))</f>
        <v>0</v>
      </c>
      <c r="AI547" s="28">
        <f>SUM(H547:M547)</f>
        <v>0</v>
      </c>
      <c r="AJ547" s="28">
        <f>IF(ISERROR(AI547/B547*AF547),0,(AI547/B547*AF547))</f>
        <v>0</v>
      </c>
      <c r="AK547" s="58">
        <f>IF(ISERROR(O547/B547*AF547),0,(O547/B547*AF547))</f>
        <v>0</v>
      </c>
      <c r="AL547" s="28">
        <f>IF(ISERROR(H547/B547*AF547),0,(H547/B547*AF547))</f>
        <v>0</v>
      </c>
      <c r="AN547" s="51">
        <f>A547</f>
        <v>0</v>
      </c>
      <c r="AO547" s="57">
        <f>IF(ISERROR(IF(B547=C547,D547/C547,(INT(D547/B547)+(((D547-B547*INT(D547/B547)))/C547)/100))),0,(IF(B547=C547,D547/C547,(INT(D547/B547)+(((D547-B547*INT(D547/B547)))/C547)/100))))</f>
        <v>0</v>
      </c>
      <c r="AP547" s="57">
        <f>IF(ISERROR(IF(B547=C547,E547/C547,(INT(E547/B547)+(((E547-B547*INT(E547/B547)))/C547)/100))),0,(IF(B547=C547,E547/C547,(INT(E547/B547)+(((E547-B547*INT(E547/B547)))/C547)/100))))</f>
        <v>0</v>
      </c>
      <c r="AQ547" s="57">
        <f>IF(ISERROR(IF(B547=C547,F547/C547,IF((INT(F547/B547)+(((F547-B547*INT(F547/B547)))/C547)/100)&lt;0,(INT(F547/B547)+(((F547-B547*INT(F547/B547)))/C547)/100)+(1-(B547/C547/100)),(INT(F547/B547)+(((F547-B547*INT(F547/B547)))/C547)/100)))),0,IF(B547=C547,F547/C547,IF((INT(F547/B547)+(((F547-B547*INT(F547/B547)))/C547)/100)&lt;0,(INT(F547/B547)+(((F547-B547*INT(F547/B547)))/C547)/100)+(1-(B547/C547/100)),(INT(F547/B547)+(((F547-B547*INT(F547/B547)))/C547)/100))))</f>
        <v>0</v>
      </c>
      <c r="AR547" s="57">
        <f>IF(ISERROR(IF(B547=C547,G547/C547,(INT(G547/B547)+(((G547-B547*INT(G547/B547)))/C547)/100))),0,(IF(B547=C547,G547/C547,(INT(G547/B547)+(((G547-B547*INT(G547/B547)))/C547)/100))))</f>
        <v>0</v>
      </c>
      <c r="AS547" s="57">
        <f>IF(ISERROR(IF(B547=C547,H547/C547,(INT(H547/B547)+(((H547-B547*INT(H547/B547)))/C547)/100))),0,(IF(B547=C547,H547/C547,(INT(H547/B547)+(((H547-B547*INT(H547/B547)))/C547)/100))))</f>
        <v>0</v>
      </c>
      <c r="AT547" s="57">
        <f>IF(ISERROR(IF(B547=C547,I547/C547,(INT(I547/B547)+(((I547-B547*INT(I547/B547)))/C547)/100))),0,(IF(B547=C547,I547/C547,(INT(I547/B547)+(((I547-B547*INT(I547/B547)))/C547)/100))))</f>
        <v>0</v>
      </c>
      <c r="AU547" s="57">
        <f>IF(ISERROR(IF(B547=C547,J547/C547,(INT(J547/B547)+(((J547-B547*INT(J547/B547)))/C547)/100))),0,(IF(B547=C547,J547/C547,(INT(J547/B547)+(((J547-B547*INT(J547/B547)))/C547)/100))))</f>
        <v>0</v>
      </c>
      <c r="AV547" s="57">
        <f>IF(ISERROR(IF(B547=C547,K547/C547,IF((INT(K547/B547)+(((K547-B547*INT(K547/B547)))/C547)/100)&lt;0,(INT(K547/B547)+(((K547-B547*INT(K547/B547)))/C547)/100)+(1-(B547/C547/100)),(INT(K547/B547)+(((K547-B547*INT(K547/B547)))/C547)/100)))),0,IF(B547=C547,K547/C547,IF((INT(K547/B547)+(((K547-B547*INT(K547/B547)))/C547)/100)&lt;0,(INT(K547/B547)+(((K547-B547*INT(K547/B547)))/C547)/100)+(1-(B547/C547/100)),(INT(K547/B547)+(((K547-B547*INT(K547/B547)))/C547)/100))))</f>
        <v>0</v>
      </c>
      <c r="AW547" s="57">
        <f>IF(ISERROR(IF(B547=C547,L547/C547,(INT(L547/B547)+(((L547-B547*INT(L547/B547)))/C547)/100))),0,(IF(B547=C547,L547/C547,(INT(L547/B547)+(((L547-B547*INT(L547/B547)))/C547)/100))))</f>
        <v>0</v>
      </c>
      <c r="AX547" s="57">
        <f>IF(ISERROR(IF(B547=C547,M547/C547,(INT(M547/B547)+(((M547-B547*INT(M547/B547)))/C547)/100))),0,(IF(B547=C547,M547/C547,(INT(M547/B547)+(((M547-B547*INT(M547/B547)))/C547)/100))))</f>
        <v>0</v>
      </c>
      <c r="AY547" s="57">
        <f>IF(ISERROR(IF(B547=C547,N547/C547,IF((INT(N547/B547)+(((N547-B547*INT(N547/B547)))/C547)/100)&lt;0,(INT(N547/B547)+(((N547-B547*INT(N547/B547)))/C547)/100)+(1-(B547/C547/100)),(INT(N547/B547)+(((N547-B547*INT(N547/B547)))/C547)/100)))),0,IF(B547=C547,N547/C547,IF((INT(N547/B547)+(((N547-B547*INT(N547/B547)))/C547)/100)&lt;0,(INT(N547/B547)+(((N547-B547*INT(N547/B547)))/C547)/100)+(1-(B547/C547/100)),(INT(N547/B547)+(((N547-B547*INT(N547/B547)))/C547)/100))))</f>
        <v>0</v>
      </c>
      <c r="AZ547" s="57">
        <f>IF(ISERROR(IF(B547=C547,O547/C547,(INT(O547/B547)+(((O547-B547*INT(O547/B547)))/C547)/100))),0,(IF(B547=C547,O547/C547,(INT(O547/B547)+(((O547-B547*INT(O547/B547)))/C547)/100))))</f>
        <v>0</v>
      </c>
      <c r="BA547" s="57">
        <f>IF(ISERROR(IF(B547=C547,P547/C547,IF((INT(P547/B547)+(((P547-B547*INT(P547/B547)))/C547)/100)&lt;0,(INT(P547/B547)+(((P547-B547*INT(P547/B547)))/C547)/100)+(1-(B547/C547/100)),(INT(P547/B547)+(((P547-B547*INT(P547/B547)))/C547)/100)))),0,IF(B547=C547,P547/C547,IF((INT(P547/B547)+(((P547-B547*INT(P547/B547)))/C547)/100)&lt;0,(INT(P547/B547)+(((P547-B547*INT(P547/B547)))/C547)/100)+(1-(B547/C547/100)),(INT(P547/B547)+(((P547-B547*INT(P547/B547)))/C547)/100))))</f>
        <v>0</v>
      </c>
      <c r="BB547" s="28">
        <f>R547</f>
        <v>0</v>
      </c>
      <c r="BC547" s="28">
        <f>S547</f>
        <v>0</v>
      </c>
      <c r="BD547" s="28">
        <f>AF547</f>
        <v>0</v>
      </c>
      <c r="BE547" s="28">
        <f>T547</f>
        <v>0</v>
      </c>
      <c r="BG547" s="57">
        <f>IF(ISERROR(IF(B547=C547,V547/C547,(INT(V547/B547)+(((V547-B547*INT(V547/B547)))/C547)/100))),0,(IF(B547=C547,V547/C547,(INT(V547/B547)+(((V547-B547*INT(V547/B547)))/C547)/100))))</f>
        <v>0</v>
      </c>
      <c r="BH547" s="57">
        <f>IF(ISERROR(IF(B547=C547,W547/C547,(INT(W547/B547)+(((W547-B547*INT(W547/B547)))/C547)/100))),0,(IF(B547=C547,W547/C547,(INT(W547/B547)+(((W547-B547*INT(W547/B547)))/C547)/100))))</f>
        <v>0</v>
      </c>
      <c r="BI547" s="57">
        <f>IF(ISERROR(IF(B547=C547,X547/C547,(INT(X547/B547)+(((X547-B547*INT(X547/B547)))/C547)/100))),0,(IF(B547=C547,X547/C547,(INT(X547/B547)+(((X547-B547*INT(X547/B547)))/C547)/100))))</f>
        <v>0</v>
      </c>
      <c r="BJ547" s="57">
        <f>IF(ISERROR(IF(B547=C547,Y547/C547,(INT(Y547/B547)+(((Y547-B547*INT(Y547/B547)))/C547)/100))),0,(IF(B547=C547,Y547/C547,(INT(Y547/B547)+(((Y547-B547*INT(Y547/B547)))/C547)/100))))</f>
        <v>0</v>
      </c>
      <c r="BL547" s="57">
        <f>IF(ISERROR(IF(B547=C547,AA547/C547,(INT(AA547/B547)+(((AA547-B547*INT(AA547/B547)))/C547)/100))),0,(IF(B547=C547,AA547/C547,(INT(AA547/B547)+(((AA547-B547*INT(AA547/B547)))/C547)/100))))</f>
        <v>0</v>
      </c>
      <c r="BM547" s="57">
        <f>IF(ISERROR(IF(B547=C547,AB547/C547,(INT(AB547/B547)+(((AB547-B547*INT(AB547/B547)))/C547)/100))),0,(IF(B547=C547,AB547/C547,(INT(AB547/B547)+(((AB547-B547*INT(AB547/B547)))/C547)/100))))</f>
        <v>0</v>
      </c>
      <c r="BN547" s="57">
        <f>IF(ISERROR(IF(B547=C547,AC547/C547,(INT(AC547/B547)+(((AC547-B547*INT(AC547/B547)))/C547)/100))),0,(IF(B547=C547,AC547/C547,(INT(AC547/B547)+(((AC547-B547*INT(AC547/B547)))/C547)/100))))</f>
        <v>0</v>
      </c>
      <c r="BO547" s="57">
        <f>IF(ISERROR(IF(B547=C547,AD547/C547,(INT(AD547/B547)+(((AD547-B547*INT(AD547/B547)))/C547)/100))),0,(IF(B547=C547,AD547/C547,(INT(AD547/B547)+(((AD547-B547*INT(AD547/B547)))/C547)/100))))</f>
        <v>0</v>
      </c>
      <c r="BQ547" s="155"/>
    </row>
    <row r="548" spans="1:69" hidden="1" x14ac:dyDescent="0.35">
      <c r="A548" s="94"/>
      <c r="B548" s="113">
        <v>0</v>
      </c>
      <c r="C548" s="113">
        <v>250</v>
      </c>
      <c r="D548" s="28">
        <f>SUM(AA548:AD548)</f>
        <v>0</v>
      </c>
      <c r="E548" s="113">
        <v>0</v>
      </c>
      <c r="F548" s="113">
        <v>0</v>
      </c>
      <c r="G548" s="28">
        <f>SUM(D548:F548)</f>
        <v>0</v>
      </c>
      <c r="H548" s="125">
        <v>0</v>
      </c>
      <c r="I548" s="113">
        <v>0</v>
      </c>
      <c r="J548" s="125">
        <v>0</v>
      </c>
      <c r="K548" s="113">
        <v>0</v>
      </c>
      <c r="L548" s="113">
        <v>0</v>
      </c>
      <c r="M548" s="113">
        <v>0</v>
      </c>
      <c r="N548" s="28">
        <f>G548-SUM(H548:M548)</f>
        <v>0</v>
      </c>
      <c r="O548" s="28">
        <f>SUM(V548:Y548)</f>
        <v>0</v>
      </c>
      <c r="P548" s="28">
        <f>O548-N548</f>
        <v>0</v>
      </c>
      <c r="Q548" s="61" t="str">
        <f>IF(ISERROR(P548/SUM(H548:L548)),"",P548/SUM(H548:L548))</f>
        <v/>
      </c>
      <c r="R548" s="113">
        <v>0</v>
      </c>
      <c r="S548" s="28">
        <f>IF(ISERROR(P548/C548*R548),0,(P548/C548*R548))</f>
        <v>0</v>
      </c>
      <c r="T548" s="60">
        <f>IF(ISERROR(P548/B548*AF548),0,(P548/B548*AF548))</f>
        <v>0</v>
      </c>
      <c r="V548" s="113">
        <v>0</v>
      </c>
      <c r="W548" s="113">
        <v>0</v>
      </c>
      <c r="X548" s="113">
        <v>0</v>
      </c>
      <c r="Y548" s="113">
        <v>0</v>
      </c>
      <c r="AA548" s="113">
        <v>0</v>
      </c>
      <c r="AB548" s="113">
        <v>0</v>
      </c>
      <c r="AC548" s="113">
        <v>0</v>
      </c>
      <c r="AD548" s="113">
        <v>0</v>
      </c>
      <c r="AF548" s="113">
        <v>0</v>
      </c>
      <c r="AG548" s="28">
        <f>G548-O548</f>
        <v>0</v>
      </c>
      <c r="AH548" s="58">
        <f>IF(ISERROR(AG548/B548*AF548),0,(AG548/B548*AF548))</f>
        <v>0</v>
      </c>
      <c r="AI548" s="28">
        <f>SUM(H548:M548)</f>
        <v>0</v>
      </c>
      <c r="AJ548" s="28">
        <f>IF(ISERROR(AI548/B548*AF548),0,(AI548/B548*AF548))</f>
        <v>0</v>
      </c>
      <c r="AK548" s="58">
        <f>IF(ISERROR(O548/B548*AF548),0,(O548/B548*AF548))</f>
        <v>0</v>
      </c>
      <c r="AL548" s="28">
        <f>IF(ISERROR(H548/B548*AF548),0,(H548/B548*AF548))</f>
        <v>0</v>
      </c>
      <c r="AN548" s="51">
        <f>A548</f>
        <v>0</v>
      </c>
      <c r="AO548" s="57">
        <f>IF(ISERROR(IF(B548=C548,D548/C548,(INT(D548/B548)+(((D548-B548*INT(D548/B548)))/C548)/100))),0,(IF(B548=C548,D548/C548,(INT(D548/B548)+(((D548-B548*INT(D548/B548)))/C548)/100))))</f>
        <v>0</v>
      </c>
      <c r="AP548" s="57">
        <f>IF(ISERROR(IF(B548=C548,E548/C548,(INT(E548/B548)+(((E548-B548*INT(E548/B548)))/C548)/100))),0,(IF(B548=C548,E548/C548,(INT(E548/B548)+(((E548-B548*INT(E548/B548)))/C548)/100))))</f>
        <v>0</v>
      </c>
      <c r="AQ548" s="57">
        <f>IF(ISERROR(IF(B548=C548,F548/C548,IF((INT(F548/B548)+(((F548-B548*INT(F548/B548)))/C548)/100)&lt;0,(INT(F548/B548)+(((F548-B548*INT(F548/B548)))/C548)/100)+(1-(B548/C548/100)),(INT(F548/B548)+(((F548-B548*INT(F548/B548)))/C548)/100)))),0,IF(B548=C548,F548/C548,IF((INT(F548/B548)+(((F548-B548*INT(F548/B548)))/C548)/100)&lt;0,(INT(F548/B548)+(((F548-B548*INT(F548/B548)))/C548)/100)+(1-(B548/C548/100)),(INT(F548/B548)+(((F548-B548*INT(F548/B548)))/C548)/100))))</f>
        <v>0</v>
      </c>
      <c r="AR548" s="57">
        <f>IF(ISERROR(IF(B548=C548,G548/C548,(INT(G548/B548)+(((G548-B548*INT(G548/B548)))/C548)/100))),0,(IF(B548=C548,G548/C548,(INT(G548/B548)+(((G548-B548*INT(G548/B548)))/C548)/100))))</f>
        <v>0</v>
      </c>
      <c r="AS548" s="57">
        <f>IF(ISERROR(IF(B548=C548,H548/C548,(INT(H548/B548)+(((H548-B548*INT(H548/B548)))/C548)/100))),0,(IF(B548=C548,H548/C548,(INT(H548/B548)+(((H548-B548*INT(H548/B548)))/C548)/100))))</f>
        <v>0</v>
      </c>
      <c r="AT548" s="57">
        <f>IF(ISERROR(IF(B548=C548,I548/C548,(INT(I548/B548)+(((I548-B548*INT(I548/B548)))/C548)/100))),0,(IF(B548=C548,I548/C548,(INT(I548/B548)+(((I548-B548*INT(I548/B548)))/C548)/100))))</f>
        <v>0</v>
      </c>
      <c r="AU548" s="57">
        <f>IF(ISERROR(IF(B548=C548,J548/C548,(INT(J548/B548)+(((J548-B548*INT(J548/B548)))/C548)/100))),0,(IF(B548=C548,J548/C548,(INT(J548/B548)+(((J548-B548*INT(J548/B548)))/C548)/100))))</f>
        <v>0</v>
      </c>
      <c r="AV548" s="57">
        <f>IF(ISERROR(IF(B548=C548,K548/C548,IF((INT(K548/B548)+(((K548-B548*INT(K548/B548)))/C548)/100)&lt;0,(INT(K548/B548)+(((K548-B548*INT(K548/B548)))/C548)/100)+(1-(B548/C548/100)),(INT(K548/B548)+(((K548-B548*INT(K548/B548)))/C548)/100)))),0,IF(B548=C548,K548/C548,IF((INT(K548/B548)+(((K548-B548*INT(K548/B548)))/C548)/100)&lt;0,(INT(K548/B548)+(((K548-B548*INT(K548/B548)))/C548)/100)+(1-(B548/C548/100)),(INT(K548/B548)+(((K548-B548*INT(K548/B548)))/C548)/100))))</f>
        <v>0</v>
      </c>
      <c r="AW548" s="57">
        <f>IF(ISERROR(IF(B548=C548,L548/C548,(INT(L548/B548)+(((L548-B548*INT(L548/B548)))/C548)/100))),0,(IF(B548=C548,L548/C548,(INT(L548/B548)+(((L548-B548*INT(L548/B548)))/C548)/100))))</f>
        <v>0</v>
      </c>
      <c r="AX548" s="57">
        <f>IF(ISERROR(IF(B548=C548,M548/C548,(INT(M548/B548)+(((M548-B548*INT(M548/B548)))/C548)/100))),0,(IF(B548=C548,M548/C548,(INT(M548/B548)+(((M548-B548*INT(M548/B548)))/C548)/100))))</f>
        <v>0</v>
      </c>
      <c r="AY548" s="57">
        <f>IF(ISERROR(IF(B548=C548,N548/C548,IF((INT(N548/B548)+(((N548-B548*INT(N548/B548)))/C548)/100)&lt;0,(INT(N548/B548)+(((N548-B548*INT(N548/B548)))/C548)/100)+(1-(B548/C548/100)),(INT(N548/B548)+(((N548-B548*INT(N548/B548)))/C548)/100)))),0,IF(B548=C548,N548/C548,IF((INT(N548/B548)+(((N548-B548*INT(N548/B548)))/C548)/100)&lt;0,(INT(N548/B548)+(((N548-B548*INT(N548/B548)))/C548)/100)+(1-(B548/C548/100)),(INT(N548/B548)+(((N548-B548*INT(N548/B548)))/C548)/100))))</f>
        <v>0</v>
      </c>
      <c r="AZ548" s="57">
        <f>IF(ISERROR(IF(B548=C548,O548/C548,(INT(O548/B548)+(((O548-B548*INT(O548/B548)))/C548)/100))),0,(IF(B548=C548,O548/C548,(INT(O548/B548)+(((O548-B548*INT(O548/B548)))/C548)/100))))</f>
        <v>0</v>
      </c>
      <c r="BA548" s="57">
        <f>IF(ISERROR(IF(B548=C548,P548/C548,IF((INT(P548/B548)+(((P548-B548*INT(P548/B548)))/C548)/100)&lt;0,(INT(P548/B548)+(((P548-B548*INT(P548/B548)))/C548)/100)+(1-(B548/C548/100)),(INT(P548/B548)+(((P548-B548*INT(P548/B548)))/C548)/100)))),0,IF(B548=C548,P548/C548,IF((INT(P548/B548)+(((P548-B548*INT(P548/B548)))/C548)/100)&lt;0,(INT(P548/B548)+(((P548-B548*INT(P548/B548)))/C548)/100)+(1-(B548/C548/100)),(INT(P548/B548)+(((P548-B548*INT(P548/B548)))/C548)/100))))</f>
        <v>0</v>
      </c>
      <c r="BB548" s="28">
        <f>R548</f>
        <v>0</v>
      </c>
      <c r="BC548" s="28">
        <f>S548</f>
        <v>0</v>
      </c>
      <c r="BD548" s="28">
        <f>AF548</f>
        <v>0</v>
      </c>
      <c r="BE548" s="28">
        <f>T548</f>
        <v>0</v>
      </c>
      <c r="BG548" s="57">
        <f>IF(ISERROR(IF(B548=C548,V548/C548,(INT(V548/B548)+(((V548-B548*INT(V548/B548)))/C548)/100))),0,(IF(B548=C548,V548/C548,(INT(V548/B548)+(((V548-B548*INT(V548/B548)))/C548)/100))))</f>
        <v>0</v>
      </c>
      <c r="BH548" s="57">
        <f>IF(ISERROR(IF(B548=C548,W548/C548,(INT(W548/B548)+(((W548-B548*INT(W548/B548)))/C548)/100))),0,(IF(B548=C548,W548/C548,(INT(W548/B548)+(((W548-B548*INT(W548/B548)))/C548)/100))))</f>
        <v>0</v>
      </c>
      <c r="BI548" s="57">
        <f>IF(ISERROR(IF(B548=C548,X548/C548,(INT(X548/B548)+(((X548-B548*INT(X548/B548)))/C548)/100))),0,(IF(B548=C548,X548/C548,(INT(X548/B548)+(((X548-B548*INT(X548/B548)))/C548)/100))))</f>
        <v>0</v>
      </c>
      <c r="BJ548" s="57">
        <f>IF(ISERROR(IF(B548=C548,Y548/C548,(INT(Y548/B548)+(((Y548-B548*INT(Y548/B548)))/C548)/100))),0,(IF(B548=C548,Y548/C548,(INT(Y548/B548)+(((Y548-B548*INT(Y548/B548)))/C548)/100))))</f>
        <v>0</v>
      </c>
      <c r="BL548" s="57">
        <f>IF(ISERROR(IF(B548=C548,AA548/C548,(INT(AA548/B548)+(((AA548-B548*INT(AA548/B548)))/C548)/100))),0,(IF(B548=C548,AA548/C548,(INT(AA548/B548)+(((AA548-B548*INT(AA548/B548)))/C548)/100))))</f>
        <v>0</v>
      </c>
      <c r="BM548" s="57">
        <f>IF(ISERROR(IF(B548=C548,AB548/C548,(INT(AB548/B548)+(((AB548-B548*INT(AB548/B548)))/C548)/100))),0,(IF(B548=C548,AB548/C548,(INT(AB548/B548)+(((AB548-B548*INT(AB548/B548)))/C548)/100))))</f>
        <v>0</v>
      </c>
      <c r="BN548" s="57">
        <f>IF(ISERROR(IF(B548=C548,AC548/C548,(INT(AC548/B548)+(((AC548-B548*INT(AC548/B548)))/C548)/100))),0,(IF(B548=C548,AC548/C548,(INT(AC548/B548)+(((AC548-B548*INT(AC548/B548)))/C548)/100))))</f>
        <v>0</v>
      </c>
      <c r="BO548" s="57">
        <f>IF(ISERROR(IF(B548=C548,AD548/C548,(INT(AD548/B548)+(((AD548-B548*INT(AD548/B548)))/C548)/100))),0,(IF(B548=C548,AD548/C548,(INT(AD548/B548)+(((AD548-B548*INT(AD548/B548)))/C548)/100))))</f>
        <v>0</v>
      </c>
      <c r="BQ548" s="155"/>
    </row>
    <row r="549" spans="1:69" hidden="1" x14ac:dyDescent="0.35">
      <c r="A549" s="94"/>
      <c r="B549" s="113">
        <v>0</v>
      </c>
      <c r="C549" s="113">
        <v>250</v>
      </c>
      <c r="D549" s="28">
        <f>SUM(AA549:AD549)</f>
        <v>0</v>
      </c>
      <c r="E549" s="113">
        <v>0</v>
      </c>
      <c r="F549" s="113">
        <v>0</v>
      </c>
      <c r="G549" s="28">
        <f>SUM(D549:F549)</f>
        <v>0</v>
      </c>
      <c r="H549" s="125">
        <v>0</v>
      </c>
      <c r="I549" s="113">
        <v>0</v>
      </c>
      <c r="J549" s="125">
        <v>0</v>
      </c>
      <c r="K549" s="113">
        <v>0</v>
      </c>
      <c r="L549" s="113">
        <v>0</v>
      </c>
      <c r="M549" s="113">
        <v>0</v>
      </c>
      <c r="N549" s="28">
        <f>G549-SUM(H549:M549)</f>
        <v>0</v>
      </c>
      <c r="O549" s="28">
        <f>SUM(V549:Y549)</f>
        <v>0</v>
      </c>
      <c r="P549" s="28">
        <f>O549-N549</f>
        <v>0</v>
      </c>
      <c r="Q549" s="61" t="str">
        <f>IF(ISERROR(P549/SUM(H549:L549)),"",P549/SUM(H549:L549))</f>
        <v/>
      </c>
      <c r="R549" s="113">
        <v>0</v>
      </c>
      <c r="S549" s="28">
        <f>IF(ISERROR(P549/C549*R549),0,(P549/C549*R549))</f>
        <v>0</v>
      </c>
      <c r="T549" s="60">
        <f>IF(ISERROR(P549/B549*AF549),0,(P549/B549*AF549))</f>
        <v>0</v>
      </c>
      <c r="V549" s="113">
        <v>0</v>
      </c>
      <c r="W549" s="113">
        <v>0</v>
      </c>
      <c r="X549" s="113">
        <v>0</v>
      </c>
      <c r="Y549" s="113">
        <v>0</v>
      </c>
      <c r="AA549" s="113">
        <v>0</v>
      </c>
      <c r="AB549" s="113">
        <v>0</v>
      </c>
      <c r="AC549" s="113">
        <v>0</v>
      </c>
      <c r="AD549" s="113">
        <v>0</v>
      </c>
      <c r="AF549" s="113">
        <v>0</v>
      </c>
      <c r="AG549" s="28">
        <f>G549-O549</f>
        <v>0</v>
      </c>
      <c r="AH549" s="58">
        <f>IF(ISERROR(AG549/B549*AF549),0,(AG549/B549*AF549))</f>
        <v>0</v>
      </c>
      <c r="AI549" s="28">
        <f>SUM(H549:M549)</f>
        <v>0</v>
      </c>
      <c r="AJ549" s="28">
        <f>IF(ISERROR(AI549/B549*AF549),0,(AI549/B549*AF549))</f>
        <v>0</v>
      </c>
      <c r="AK549" s="58">
        <f>IF(ISERROR(O549/B549*AF549),0,(O549/B549*AF549))</f>
        <v>0</v>
      </c>
      <c r="AL549" s="28">
        <f>IF(ISERROR(H549/B549*AF549),0,(H549/B549*AF549))</f>
        <v>0</v>
      </c>
      <c r="AN549" s="51">
        <f>A549</f>
        <v>0</v>
      </c>
      <c r="AO549" s="57">
        <f>IF(ISERROR(IF(B549=C549,D549/C549,(INT(D549/B549)+(((D549-B549*INT(D549/B549)))/C549)/100))),0,(IF(B549=C549,D549/C549,(INT(D549/B549)+(((D549-B549*INT(D549/B549)))/C549)/100))))</f>
        <v>0</v>
      </c>
      <c r="AP549" s="57">
        <f>IF(ISERROR(IF(B549=C549,E549/C549,(INT(E549/B549)+(((E549-B549*INT(E549/B549)))/C549)/100))),0,(IF(B549=C549,E549/C549,(INT(E549/B549)+(((E549-B549*INT(E549/B549)))/C549)/100))))</f>
        <v>0</v>
      </c>
      <c r="AQ549" s="57">
        <f>IF(ISERROR(IF(B549=C549,F549/C549,IF((INT(F549/B549)+(((F549-B549*INT(F549/B549)))/C549)/100)&lt;0,(INT(F549/B549)+(((F549-B549*INT(F549/B549)))/C549)/100)+(1-(B549/C549/100)),(INT(F549/B549)+(((F549-B549*INT(F549/B549)))/C549)/100)))),0,IF(B549=C549,F549/C549,IF((INT(F549/B549)+(((F549-B549*INT(F549/B549)))/C549)/100)&lt;0,(INT(F549/B549)+(((F549-B549*INT(F549/B549)))/C549)/100)+(1-(B549/C549/100)),(INT(F549/B549)+(((F549-B549*INT(F549/B549)))/C549)/100))))</f>
        <v>0</v>
      </c>
      <c r="AR549" s="57">
        <f>IF(ISERROR(IF(B549=C549,G549/C549,(INT(G549/B549)+(((G549-B549*INT(G549/B549)))/C549)/100))),0,(IF(B549=C549,G549/C549,(INT(G549/B549)+(((G549-B549*INT(G549/B549)))/C549)/100))))</f>
        <v>0</v>
      </c>
      <c r="AS549" s="57">
        <f>IF(ISERROR(IF(B549=C549,H549/C549,(INT(H549/B549)+(((H549-B549*INT(H549/B549)))/C549)/100))),0,(IF(B549=C549,H549/C549,(INT(H549/B549)+(((H549-B549*INT(H549/B549)))/C549)/100))))</f>
        <v>0</v>
      </c>
      <c r="AT549" s="57">
        <f>IF(ISERROR(IF(B549=C549,I549/C549,(INT(I549/B549)+(((I549-B549*INT(I549/B549)))/C549)/100))),0,(IF(B549=C549,I549/C549,(INT(I549/B549)+(((I549-B549*INT(I549/B549)))/C549)/100))))</f>
        <v>0</v>
      </c>
      <c r="AU549" s="57">
        <f>IF(ISERROR(IF(B549=C549,J549/C549,(INT(J549/B549)+(((J549-B549*INT(J549/B549)))/C549)/100))),0,(IF(B549=C549,J549/C549,(INT(J549/B549)+(((J549-B549*INT(J549/B549)))/C549)/100))))</f>
        <v>0</v>
      </c>
      <c r="AV549" s="57">
        <f>IF(ISERROR(IF(B549=C549,K549/C549,IF((INT(K549/B549)+(((K549-B549*INT(K549/B549)))/C549)/100)&lt;0,(INT(K549/B549)+(((K549-B549*INT(K549/B549)))/C549)/100)+(1-(B549/C549/100)),(INT(K549/B549)+(((K549-B549*INT(K549/B549)))/C549)/100)))),0,IF(B549=C549,K549/C549,IF((INT(K549/B549)+(((K549-B549*INT(K549/B549)))/C549)/100)&lt;0,(INT(K549/B549)+(((K549-B549*INT(K549/B549)))/C549)/100)+(1-(B549/C549/100)),(INT(K549/B549)+(((K549-B549*INT(K549/B549)))/C549)/100))))</f>
        <v>0</v>
      </c>
      <c r="AW549" s="57">
        <f>IF(ISERROR(IF(B549=C549,L549/C549,(INT(L549/B549)+(((L549-B549*INT(L549/B549)))/C549)/100))),0,(IF(B549=C549,L549/C549,(INT(L549/B549)+(((L549-B549*INT(L549/B549)))/C549)/100))))</f>
        <v>0</v>
      </c>
      <c r="AX549" s="57">
        <f>IF(ISERROR(IF(B549=C549,M549/C549,(INT(M549/B549)+(((M549-B549*INT(M549/B549)))/C549)/100))),0,(IF(B549=C549,M549/C549,(INT(M549/B549)+(((M549-B549*INT(M549/B549)))/C549)/100))))</f>
        <v>0</v>
      </c>
      <c r="AY549" s="57">
        <f>IF(ISERROR(IF(B549=C549,N549/C549,IF((INT(N549/B549)+(((N549-B549*INT(N549/B549)))/C549)/100)&lt;0,(INT(N549/B549)+(((N549-B549*INT(N549/B549)))/C549)/100)+(1-(B549/C549/100)),(INT(N549/B549)+(((N549-B549*INT(N549/B549)))/C549)/100)))),0,IF(B549=C549,N549/C549,IF((INT(N549/B549)+(((N549-B549*INT(N549/B549)))/C549)/100)&lt;0,(INT(N549/B549)+(((N549-B549*INT(N549/B549)))/C549)/100)+(1-(B549/C549/100)),(INT(N549/B549)+(((N549-B549*INT(N549/B549)))/C549)/100))))</f>
        <v>0</v>
      </c>
      <c r="AZ549" s="57">
        <f>IF(ISERROR(IF(B549=C549,O549/C549,(INT(O549/B549)+(((O549-B549*INT(O549/B549)))/C549)/100))),0,(IF(B549=C549,O549/C549,(INT(O549/B549)+(((O549-B549*INT(O549/B549)))/C549)/100))))</f>
        <v>0</v>
      </c>
      <c r="BA549" s="57">
        <f>IF(ISERROR(IF(B549=C549,P549/C549,IF((INT(P549/B549)+(((P549-B549*INT(P549/B549)))/C549)/100)&lt;0,(INT(P549/B549)+(((P549-B549*INT(P549/B549)))/C549)/100)+(1-(B549/C549/100)),(INT(P549/B549)+(((P549-B549*INT(P549/B549)))/C549)/100)))),0,IF(B549=C549,P549/C549,IF((INT(P549/B549)+(((P549-B549*INT(P549/B549)))/C549)/100)&lt;0,(INT(P549/B549)+(((P549-B549*INT(P549/B549)))/C549)/100)+(1-(B549/C549/100)),(INT(P549/B549)+(((P549-B549*INT(P549/B549)))/C549)/100))))</f>
        <v>0</v>
      </c>
      <c r="BB549" s="28">
        <f>R549</f>
        <v>0</v>
      </c>
      <c r="BC549" s="28">
        <f>S549</f>
        <v>0</v>
      </c>
      <c r="BD549" s="28">
        <f>AF549</f>
        <v>0</v>
      </c>
      <c r="BE549" s="28">
        <f>T549</f>
        <v>0</v>
      </c>
      <c r="BG549" s="57">
        <f>IF(ISERROR(IF(B549=C549,V549/C549,(INT(V549/B549)+(((V549-B549*INT(V549/B549)))/C549)/100))),0,(IF(B549=C549,V549/C549,(INT(V549/B549)+(((V549-B549*INT(V549/B549)))/C549)/100))))</f>
        <v>0</v>
      </c>
      <c r="BH549" s="57">
        <f>IF(ISERROR(IF(B549=C549,W549/C549,(INT(W549/B549)+(((W549-B549*INT(W549/B549)))/C549)/100))),0,(IF(B549=C549,W549/C549,(INT(W549/B549)+(((W549-B549*INT(W549/B549)))/C549)/100))))</f>
        <v>0</v>
      </c>
      <c r="BI549" s="57">
        <f>IF(ISERROR(IF(B549=C549,X549/C549,(INT(X549/B549)+(((X549-B549*INT(X549/B549)))/C549)/100))),0,(IF(B549=C549,X549/C549,(INT(X549/B549)+(((X549-B549*INT(X549/B549)))/C549)/100))))</f>
        <v>0</v>
      </c>
      <c r="BJ549" s="57">
        <f>IF(ISERROR(IF(B549=C549,Y549/C549,(INT(Y549/B549)+(((Y549-B549*INT(Y549/B549)))/C549)/100))),0,(IF(B549=C549,Y549/C549,(INT(Y549/B549)+(((Y549-B549*INT(Y549/B549)))/C549)/100))))</f>
        <v>0</v>
      </c>
      <c r="BL549" s="57">
        <f>IF(ISERROR(IF(B549=C549,AA549/C549,(INT(AA549/B549)+(((AA549-B549*INT(AA549/B549)))/C549)/100))),0,(IF(B549=C549,AA549/C549,(INT(AA549/B549)+(((AA549-B549*INT(AA549/B549)))/C549)/100))))</f>
        <v>0</v>
      </c>
      <c r="BM549" s="57">
        <f>IF(ISERROR(IF(B549=C549,AB549/C549,(INT(AB549/B549)+(((AB549-B549*INT(AB549/B549)))/C549)/100))),0,(IF(B549=C549,AB549/C549,(INT(AB549/B549)+(((AB549-B549*INT(AB549/B549)))/C549)/100))))</f>
        <v>0</v>
      </c>
      <c r="BN549" s="57">
        <f>IF(ISERROR(IF(B549=C549,AC549/C549,(INT(AC549/B549)+(((AC549-B549*INT(AC549/B549)))/C549)/100))),0,(IF(B549=C549,AC549/C549,(INT(AC549/B549)+(((AC549-B549*INT(AC549/B549)))/C549)/100))))</f>
        <v>0</v>
      </c>
      <c r="BO549" s="57">
        <f>IF(ISERROR(IF(B549=C549,AD549/C549,(INT(AD549/B549)+(((AD549-B549*INT(AD549/B549)))/C549)/100))),0,(IF(B549=C549,AD549/C549,(INT(AD549/B549)+(((AD549-B549*INT(AD549/B549)))/C549)/100))))</f>
        <v>0</v>
      </c>
      <c r="BQ549" s="155"/>
    </row>
    <row r="550" spans="1:69" hidden="1" x14ac:dyDescent="0.35">
      <c r="A550" s="94"/>
      <c r="B550" s="113">
        <v>0</v>
      </c>
      <c r="C550" s="113">
        <v>250</v>
      </c>
      <c r="D550" s="28">
        <f>SUM(AA550:AD550)</f>
        <v>0</v>
      </c>
      <c r="E550" s="113">
        <v>0</v>
      </c>
      <c r="F550" s="113">
        <v>0</v>
      </c>
      <c r="G550" s="28">
        <f>SUM(D550:F550)</f>
        <v>0</v>
      </c>
      <c r="H550" s="125">
        <v>0</v>
      </c>
      <c r="I550" s="113">
        <v>0</v>
      </c>
      <c r="J550" s="125">
        <v>0</v>
      </c>
      <c r="K550" s="113">
        <v>0</v>
      </c>
      <c r="L550" s="113">
        <v>0</v>
      </c>
      <c r="M550" s="113">
        <v>0</v>
      </c>
      <c r="N550" s="28">
        <f>G550-SUM(H550:M550)</f>
        <v>0</v>
      </c>
      <c r="O550" s="28">
        <f>SUM(V550:Y550)</f>
        <v>0</v>
      </c>
      <c r="P550" s="28">
        <f>O550-N550</f>
        <v>0</v>
      </c>
      <c r="Q550" s="61" t="str">
        <f>IF(ISERROR(P550/SUM(H550:L550)),"",P550/SUM(H550:L550))</f>
        <v/>
      </c>
      <c r="R550" s="113">
        <v>0</v>
      </c>
      <c r="S550" s="28">
        <f>IF(ISERROR(P550/C550*R550),0,(P550/C550*R550))</f>
        <v>0</v>
      </c>
      <c r="T550" s="60">
        <f>IF(ISERROR(P550/B550*AF550),0,(P550/B550*AF550))</f>
        <v>0</v>
      </c>
      <c r="V550" s="113">
        <v>0</v>
      </c>
      <c r="W550" s="113">
        <v>0</v>
      </c>
      <c r="X550" s="113">
        <v>0</v>
      </c>
      <c r="Y550" s="113">
        <v>0</v>
      </c>
      <c r="AA550" s="113">
        <v>0</v>
      </c>
      <c r="AB550" s="113">
        <v>0</v>
      </c>
      <c r="AC550" s="113">
        <v>0</v>
      </c>
      <c r="AD550" s="113">
        <v>0</v>
      </c>
      <c r="AF550" s="113">
        <v>0</v>
      </c>
      <c r="AG550" s="28">
        <f>G550-O550</f>
        <v>0</v>
      </c>
      <c r="AH550" s="58">
        <f>IF(ISERROR(AG550/B550*AF550),0,(AG550/B550*AF550))</f>
        <v>0</v>
      </c>
      <c r="AI550" s="28">
        <f>SUM(H550:M550)</f>
        <v>0</v>
      </c>
      <c r="AJ550" s="28">
        <f>IF(ISERROR(AI550/B550*AF550),0,(AI550/B550*AF550))</f>
        <v>0</v>
      </c>
      <c r="AK550" s="58">
        <f>IF(ISERROR(O550/B550*AF550),0,(O550/B550*AF550))</f>
        <v>0</v>
      </c>
      <c r="AL550" s="28">
        <f>IF(ISERROR(H550/B550*AF550),0,(H550/B550*AF550))</f>
        <v>0</v>
      </c>
      <c r="AN550" s="51">
        <f>A550</f>
        <v>0</v>
      </c>
      <c r="AO550" s="57">
        <f>IF(ISERROR(IF(B550=C550,D550/C550,(INT(D550/B550)+(((D550-B550*INT(D550/B550)))/C550)/100))),0,(IF(B550=C550,D550/C550,(INT(D550/B550)+(((D550-B550*INT(D550/B550)))/C550)/100))))</f>
        <v>0</v>
      </c>
      <c r="AP550" s="57">
        <f>IF(ISERROR(IF(B550=C550,E550/C550,(INT(E550/B550)+(((E550-B550*INT(E550/B550)))/C550)/100))),0,(IF(B550=C550,E550/C550,(INT(E550/B550)+(((E550-B550*INT(E550/B550)))/C550)/100))))</f>
        <v>0</v>
      </c>
      <c r="AQ550" s="57">
        <f>IF(ISERROR(IF(B550=C550,F550/C550,IF((INT(F550/B550)+(((F550-B550*INT(F550/B550)))/C550)/100)&lt;0,(INT(F550/B550)+(((F550-B550*INT(F550/B550)))/C550)/100)+(1-(B550/C550/100)),(INT(F550/B550)+(((F550-B550*INT(F550/B550)))/C550)/100)))),0,IF(B550=C550,F550/C550,IF((INT(F550/B550)+(((F550-B550*INT(F550/B550)))/C550)/100)&lt;0,(INT(F550/B550)+(((F550-B550*INT(F550/B550)))/C550)/100)+(1-(B550/C550/100)),(INT(F550/B550)+(((F550-B550*INT(F550/B550)))/C550)/100))))</f>
        <v>0</v>
      </c>
      <c r="AR550" s="57">
        <f>IF(ISERROR(IF(B550=C550,G550/C550,(INT(G550/B550)+(((G550-B550*INT(G550/B550)))/C550)/100))),0,(IF(B550=C550,G550/C550,(INT(G550/B550)+(((G550-B550*INT(G550/B550)))/C550)/100))))</f>
        <v>0</v>
      </c>
      <c r="AS550" s="57">
        <f>IF(ISERROR(IF(B550=C550,H550/C550,(INT(H550/B550)+(((H550-B550*INT(H550/B550)))/C550)/100))),0,(IF(B550=C550,H550/C550,(INT(H550/B550)+(((H550-B550*INT(H550/B550)))/C550)/100))))</f>
        <v>0</v>
      </c>
      <c r="AT550" s="57">
        <f>IF(ISERROR(IF(B550=C550,I550/C550,(INT(I550/B550)+(((I550-B550*INT(I550/B550)))/C550)/100))),0,(IF(B550=C550,I550/C550,(INT(I550/B550)+(((I550-B550*INT(I550/B550)))/C550)/100))))</f>
        <v>0</v>
      </c>
      <c r="AU550" s="57">
        <f>IF(ISERROR(IF(B550=C550,J550/C550,(INT(J550/B550)+(((J550-B550*INT(J550/B550)))/C550)/100))),0,(IF(B550=C550,J550/C550,(INT(J550/B550)+(((J550-B550*INT(J550/B550)))/C550)/100))))</f>
        <v>0</v>
      </c>
      <c r="AV550" s="57">
        <f>IF(ISERROR(IF(B550=C550,K550/C550,IF((INT(K550/B550)+(((K550-B550*INT(K550/B550)))/C550)/100)&lt;0,(INT(K550/B550)+(((K550-B550*INT(K550/B550)))/C550)/100)+(1-(B550/C550/100)),(INT(K550/B550)+(((K550-B550*INT(K550/B550)))/C550)/100)))),0,IF(B550=C550,K550/C550,IF((INT(K550/B550)+(((K550-B550*INT(K550/B550)))/C550)/100)&lt;0,(INT(K550/B550)+(((K550-B550*INT(K550/B550)))/C550)/100)+(1-(B550/C550/100)),(INT(K550/B550)+(((K550-B550*INT(K550/B550)))/C550)/100))))</f>
        <v>0</v>
      </c>
      <c r="AW550" s="57">
        <f>IF(ISERROR(IF(B550=C550,L550/C550,(INT(L550/B550)+(((L550-B550*INT(L550/B550)))/C550)/100))),0,(IF(B550=C550,L550/C550,(INT(L550/B550)+(((L550-B550*INT(L550/B550)))/C550)/100))))</f>
        <v>0</v>
      </c>
      <c r="AX550" s="57">
        <f>IF(ISERROR(IF(B550=C550,M550/C550,(INT(M550/B550)+(((M550-B550*INT(M550/B550)))/C550)/100))),0,(IF(B550=C550,M550/C550,(INT(M550/B550)+(((M550-B550*INT(M550/B550)))/C550)/100))))</f>
        <v>0</v>
      </c>
      <c r="AY550" s="57">
        <f>IF(ISERROR(IF(B550=C550,N550/C550,IF((INT(N550/B550)+(((N550-B550*INT(N550/B550)))/C550)/100)&lt;0,(INT(N550/B550)+(((N550-B550*INT(N550/B550)))/C550)/100)+(1-(B550/C550/100)),(INT(N550/B550)+(((N550-B550*INT(N550/B550)))/C550)/100)))),0,IF(B550=C550,N550/C550,IF((INT(N550/B550)+(((N550-B550*INT(N550/B550)))/C550)/100)&lt;0,(INT(N550/B550)+(((N550-B550*INT(N550/B550)))/C550)/100)+(1-(B550/C550/100)),(INT(N550/B550)+(((N550-B550*INT(N550/B550)))/C550)/100))))</f>
        <v>0</v>
      </c>
      <c r="AZ550" s="57">
        <f>IF(ISERROR(IF(B550=C550,O550/C550,(INT(O550/B550)+(((O550-B550*INT(O550/B550)))/C550)/100))),0,(IF(B550=C550,O550/C550,(INT(O550/B550)+(((O550-B550*INT(O550/B550)))/C550)/100))))</f>
        <v>0</v>
      </c>
      <c r="BA550" s="57">
        <f>IF(ISERROR(IF(B550=C550,P550/C550,IF((INT(P550/B550)+(((P550-B550*INT(P550/B550)))/C550)/100)&lt;0,(INT(P550/B550)+(((P550-B550*INT(P550/B550)))/C550)/100)+(1-(B550/C550/100)),(INT(P550/B550)+(((P550-B550*INT(P550/B550)))/C550)/100)))),0,IF(B550=C550,P550/C550,IF((INT(P550/B550)+(((P550-B550*INT(P550/B550)))/C550)/100)&lt;0,(INT(P550/B550)+(((P550-B550*INT(P550/B550)))/C550)/100)+(1-(B550/C550/100)),(INT(P550/B550)+(((P550-B550*INT(P550/B550)))/C550)/100))))</f>
        <v>0</v>
      </c>
      <c r="BB550" s="28">
        <f>R550</f>
        <v>0</v>
      </c>
      <c r="BC550" s="28">
        <f>S550</f>
        <v>0</v>
      </c>
      <c r="BD550" s="28">
        <f>AF550</f>
        <v>0</v>
      </c>
      <c r="BE550" s="28">
        <f>T550</f>
        <v>0</v>
      </c>
      <c r="BG550" s="57">
        <f>IF(ISERROR(IF(B550=C550,V550/C550,(INT(V550/B550)+(((V550-B550*INT(V550/B550)))/C550)/100))),0,(IF(B550=C550,V550/C550,(INT(V550/B550)+(((V550-B550*INT(V550/B550)))/C550)/100))))</f>
        <v>0</v>
      </c>
      <c r="BH550" s="57">
        <f>IF(ISERROR(IF(B550=C550,W550/C550,(INT(W550/B550)+(((W550-B550*INT(W550/B550)))/C550)/100))),0,(IF(B550=C550,W550/C550,(INT(W550/B550)+(((W550-B550*INT(W550/B550)))/C550)/100))))</f>
        <v>0</v>
      </c>
      <c r="BI550" s="57">
        <f>IF(ISERROR(IF(B550=C550,X550/C550,(INT(X550/B550)+(((X550-B550*INT(X550/B550)))/C550)/100))),0,(IF(B550=C550,X550/C550,(INT(X550/B550)+(((X550-B550*INT(X550/B550)))/C550)/100))))</f>
        <v>0</v>
      </c>
      <c r="BJ550" s="57">
        <f>IF(ISERROR(IF(B550=C550,Y550/C550,(INT(Y550/B550)+(((Y550-B550*INT(Y550/B550)))/C550)/100))),0,(IF(B550=C550,Y550/C550,(INT(Y550/B550)+(((Y550-B550*INT(Y550/B550)))/C550)/100))))</f>
        <v>0</v>
      </c>
      <c r="BL550" s="57">
        <f>IF(ISERROR(IF(B550=C550,AA550/C550,(INT(AA550/B550)+(((AA550-B550*INT(AA550/B550)))/C550)/100))),0,(IF(B550=C550,AA550/C550,(INT(AA550/B550)+(((AA550-B550*INT(AA550/B550)))/C550)/100))))</f>
        <v>0</v>
      </c>
      <c r="BM550" s="57">
        <f>IF(ISERROR(IF(B550=C550,AB550/C550,(INT(AB550/B550)+(((AB550-B550*INT(AB550/B550)))/C550)/100))),0,(IF(B550=C550,AB550/C550,(INT(AB550/B550)+(((AB550-B550*INT(AB550/B550)))/C550)/100))))</f>
        <v>0</v>
      </c>
      <c r="BN550" s="57">
        <f>IF(ISERROR(IF(B550=C550,AC550/C550,(INT(AC550/B550)+(((AC550-B550*INT(AC550/B550)))/C550)/100))),0,(IF(B550=C550,AC550/C550,(INT(AC550/B550)+(((AC550-B550*INT(AC550/B550)))/C550)/100))))</f>
        <v>0</v>
      </c>
      <c r="BO550" s="57">
        <f>IF(ISERROR(IF(B550=C550,AD550/C550,(INT(AD550/B550)+(((AD550-B550*INT(AD550/B550)))/C550)/100))),0,(IF(B550=C550,AD550/C550,(INT(AD550/B550)+(((AD550-B550*INT(AD550/B550)))/C550)/100))))</f>
        <v>0</v>
      </c>
      <c r="BQ550" s="155"/>
    </row>
    <row r="551" spans="1:69" hidden="1" x14ac:dyDescent="0.35">
      <c r="A551" s="94"/>
      <c r="B551" s="113">
        <v>0</v>
      </c>
      <c r="C551" s="113">
        <v>250</v>
      </c>
      <c r="D551" s="28">
        <f>SUM(AA551:AD551)</f>
        <v>0</v>
      </c>
      <c r="E551" s="113">
        <v>0</v>
      </c>
      <c r="F551" s="113">
        <v>0</v>
      </c>
      <c r="G551" s="28">
        <f>SUM(D551:F551)</f>
        <v>0</v>
      </c>
      <c r="H551" s="125">
        <v>0</v>
      </c>
      <c r="I551" s="113">
        <v>0</v>
      </c>
      <c r="J551" s="125">
        <v>0</v>
      </c>
      <c r="K551" s="113">
        <v>0</v>
      </c>
      <c r="L551" s="113">
        <v>0</v>
      </c>
      <c r="M551" s="113">
        <v>0</v>
      </c>
      <c r="N551" s="28">
        <f>G551-SUM(H551:M551)</f>
        <v>0</v>
      </c>
      <c r="O551" s="28">
        <f>SUM(V551:Y551)</f>
        <v>0</v>
      </c>
      <c r="P551" s="28">
        <f>O551-N551</f>
        <v>0</v>
      </c>
      <c r="Q551" s="61" t="str">
        <f>IF(ISERROR(P551/SUM(H551:L551)),"",P551/SUM(H551:L551))</f>
        <v/>
      </c>
      <c r="R551" s="113">
        <v>0</v>
      </c>
      <c r="S551" s="28">
        <f>IF(ISERROR(P551/C551*R551),0,(P551/C551*R551))</f>
        <v>0</v>
      </c>
      <c r="T551" s="60">
        <f>IF(ISERROR(P551/B551*AF551),0,(P551/B551*AF551))</f>
        <v>0</v>
      </c>
      <c r="V551" s="113">
        <v>0</v>
      </c>
      <c r="W551" s="113">
        <v>0</v>
      </c>
      <c r="X551" s="113">
        <v>0</v>
      </c>
      <c r="Y551" s="113">
        <v>0</v>
      </c>
      <c r="AA551" s="113">
        <v>0</v>
      </c>
      <c r="AB551" s="113">
        <v>0</v>
      </c>
      <c r="AC551" s="113">
        <v>0</v>
      </c>
      <c r="AD551" s="113">
        <v>0</v>
      </c>
      <c r="AF551" s="113">
        <v>0</v>
      </c>
      <c r="AG551" s="28">
        <f>G551-O551</f>
        <v>0</v>
      </c>
      <c r="AH551" s="58">
        <f>IF(ISERROR(AG551/B551*AF551),0,(AG551/B551*AF551))</f>
        <v>0</v>
      </c>
      <c r="AI551" s="28">
        <f>SUM(H551:M551)</f>
        <v>0</v>
      </c>
      <c r="AJ551" s="28">
        <f>IF(ISERROR(AI551/B551*AF551),0,(AI551/B551*AF551))</f>
        <v>0</v>
      </c>
      <c r="AK551" s="58">
        <f>IF(ISERROR(O551/B551*AF551),0,(O551/B551*AF551))</f>
        <v>0</v>
      </c>
      <c r="AL551" s="28">
        <f>IF(ISERROR(H551/B551*AF551),0,(H551/B551*AF551))</f>
        <v>0</v>
      </c>
      <c r="AN551" s="51">
        <f>A551</f>
        <v>0</v>
      </c>
      <c r="AO551" s="57">
        <f>IF(ISERROR(IF(B551=C551,D551/C551,(INT(D551/B551)+(((D551-B551*INT(D551/B551)))/C551)/100))),0,(IF(B551=C551,D551/C551,(INT(D551/B551)+(((D551-B551*INT(D551/B551)))/C551)/100))))</f>
        <v>0</v>
      </c>
      <c r="AP551" s="57">
        <f>IF(ISERROR(IF(B551=C551,E551/C551,(INT(E551/B551)+(((E551-B551*INT(E551/B551)))/C551)/100))),0,(IF(B551=C551,E551/C551,(INT(E551/B551)+(((E551-B551*INT(E551/B551)))/C551)/100))))</f>
        <v>0</v>
      </c>
      <c r="AQ551" s="57">
        <f>IF(ISERROR(IF(B551=C551,F551/C551,IF((INT(F551/B551)+(((F551-B551*INT(F551/B551)))/C551)/100)&lt;0,(INT(F551/B551)+(((F551-B551*INT(F551/B551)))/C551)/100)+(1-(B551/C551/100)),(INT(F551/B551)+(((F551-B551*INT(F551/B551)))/C551)/100)))),0,IF(B551=C551,F551/C551,IF((INT(F551/B551)+(((F551-B551*INT(F551/B551)))/C551)/100)&lt;0,(INT(F551/B551)+(((F551-B551*INT(F551/B551)))/C551)/100)+(1-(B551/C551/100)),(INT(F551/B551)+(((F551-B551*INT(F551/B551)))/C551)/100))))</f>
        <v>0</v>
      </c>
      <c r="AR551" s="57">
        <f>IF(ISERROR(IF(B551=C551,G551/C551,(INT(G551/B551)+(((G551-B551*INT(G551/B551)))/C551)/100))),0,(IF(B551=C551,G551/C551,(INT(G551/B551)+(((G551-B551*INT(G551/B551)))/C551)/100))))</f>
        <v>0</v>
      </c>
      <c r="AS551" s="57">
        <f>IF(ISERROR(IF(B551=C551,H551/C551,(INT(H551/B551)+(((H551-B551*INT(H551/B551)))/C551)/100))),0,(IF(B551=C551,H551/C551,(INT(H551/B551)+(((H551-B551*INT(H551/B551)))/C551)/100))))</f>
        <v>0</v>
      </c>
      <c r="AT551" s="57">
        <f>IF(ISERROR(IF(B551=C551,I551/C551,(INT(I551/B551)+(((I551-B551*INT(I551/B551)))/C551)/100))),0,(IF(B551=C551,I551/C551,(INT(I551/B551)+(((I551-B551*INT(I551/B551)))/C551)/100))))</f>
        <v>0</v>
      </c>
      <c r="AU551" s="57">
        <f>IF(ISERROR(IF(B551=C551,J551/C551,(INT(J551/B551)+(((J551-B551*INT(J551/B551)))/C551)/100))),0,(IF(B551=C551,J551/C551,(INT(J551/B551)+(((J551-B551*INT(J551/B551)))/C551)/100))))</f>
        <v>0</v>
      </c>
      <c r="AV551" s="57">
        <f>IF(ISERROR(IF(B551=C551,K551/C551,IF((INT(K551/B551)+(((K551-B551*INT(K551/B551)))/C551)/100)&lt;0,(INT(K551/B551)+(((K551-B551*INT(K551/B551)))/C551)/100)+(1-(B551/C551/100)),(INT(K551/B551)+(((K551-B551*INT(K551/B551)))/C551)/100)))),0,IF(B551=C551,K551/C551,IF((INT(K551/B551)+(((K551-B551*INT(K551/B551)))/C551)/100)&lt;0,(INT(K551/B551)+(((K551-B551*INT(K551/B551)))/C551)/100)+(1-(B551/C551/100)),(INT(K551/B551)+(((K551-B551*INT(K551/B551)))/C551)/100))))</f>
        <v>0</v>
      </c>
      <c r="AW551" s="57">
        <f>IF(ISERROR(IF(B551=C551,L551/C551,(INT(L551/B551)+(((L551-B551*INT(L551/B551)))/C551)/100))),0,(IF(B551=C551,L551/C551,(INT(L551/B551)+(((L551-B551*INT(L551/B551)))/C551)/100))))</f>
        <v>0</v>
      </c>
      <c r="AX551" s="57">
        <f>IF(ISERROR(IF(B551=C551,M551/C551,(INT(M551/B551)+(((M551-B551*INT(M551/B551)))/C551)/100))),0,(IF(B551=C551,M551/C551,(INT(M551/B551)+(((M551-B551*INT(M551/B551)))/C551)/100))))</f>
        <v>0</v>
      </c>
      <c r="AY551" s="57">
        <f>IF(ISERROR(IF(B551=C551,N551/C551,IF((INT(N551/B551)+(((N551-B551*INT(N551/B551)))/C551)/100)&lt;0,(INT(N551/B551)+(((N551-B551*INT(N551/B551)))/C551)/100)+(1-(B551/C551/100)),(INT(N551/B551)+(((N551-B551*INT(N551/B551)))/C551)/100)))),0,IF(B551=C551,N551/C551,IF((INT(N551/B551)+(((N551-B551*INT(N551/B551)))/C551)/100)&lt;0,(INT(N551/B551)+(((N551-B551*INT(N551/B551)))/C551)/100)+(1-(B551/C551/100)),(INT(N551/B551)+(((N551-B551*INT(N551/B551)))/C551)/100))))</f>
        <v>0</v>
      </c>
      <c r="AZ551" s="57">
        <f>IF(ISERROR(IF(B551=C551,O551/C551,(INT(O551/B551)+(((O551-B551*INT(O551/B551)))/C551)/100))),0,(IF(B551=C551,O551/C551,(INT(O551/B551)+(((O551-B551*INT(O551/B551)))/C551)/100))))</f>
        <v>0</v>
      </c>
      <c r="BA551" s="57">
        <f>IF(ISERROR(IF(B551=C551,P551/C551,IF((INT(P551/B551)+(((P551-B551*INT(P551/B551)))/C551)/100)&lt;0,(INT(P551/B551)+(((P551-B551*INT(P551/B551)))/C551)/100)+(1-(B551/C551/100)),(INT(P551/B551)+(((P551-B551*INT(P551/B551)))/C551)/100)))),0,IF(B551=C551,P551/C551,IF((INT(P551/B551)+(((P551-B551*INT(P551/B551)))/C551)/100)&lt;0,(INT(P551/B551)+(((P551-B551*INT(P551/B551)))/C551)/100)+(1-(B551/C551/100)),(INT(P551/B551)+(((P551-B551*INT(P551/B551)))/C551)/100))))</f>
        <v>0</v>
      </c>
      <c r="BB551" s="28">
        <f>R551</f>
        <v>0</v>
      </c>
      <c r="BC551" s="28">
        <f>S551</f>
        <v>0</v>
      </c>
      <c r="BD551" s="28">
        <f>AF551</f>
        <v>0</v>
      </c>
      <c r="BE551" s="28">
        <f>T551</f>
        <v>0</v>
      </c>
      <c r="BG551" s="57">
        <f>IF(ISERROR(IF(B551=C551,V551/C551,(INT(V551/B551)+(((V551-B551*INT(V551/B551)))/C551)/100))),0,(IF(B551=C551,V551/C551,(INT(V551/B551)+(((V551-B551*INT(V551/B551)))/C551)/100))))</f>
        <v>0</v>
      </c>
      <c r="BH551" s="57">
        <f>IF(ISERROR(IF(B551=C551,W551/C551,(INT(W551/B551)+(((W551-B551*INT(W551/B551)))/C551)/100))),0,(IF(B551=C551,W551/C551,(INT(W551/B551)+(((W551-B551*INT(W551/B551)))/C551)/100))))</f>
        <v>0</v>
      </c>
      <c r="BI551" s="57">
        <f>IF(ISERROR(IF(B551=C551,X551/C551,(INT(X551/B551)+(((X551-B551*INT(X551/B551)))/C551)/100))),0,(IF(B551=C551,X551/C551,(INT(X551/B551)+(((X551-B551*INT(X551/B551)))/C551)/100))))</f>
        <v>0</v>
      </c>
      <c r="BJ551" s="57">
        <f>IF(ISERROR(IF(B551=C551,Y551/C551,(INT(Y551/B551)+(((Y551-B551*INT(Y551/B551)))/C551)/100))),0,(IF(B551=C551,Y551/C551,(INT(Y551/B551)+(((Y551-B551*INT(Y551/B551)))/C551)/100))))</f>
        <v>0</v>
      </c>
      <c r="BL551" s="57">
        <f>IF(ISERROR(IF(B551=C551,AA551/C551,(INT(AA551/B551)+(((AA551-B551*INT(AA551/B551)))/C551)/100))),0,(IF(B551=C551,AA551/C551,(INT(AA551/B551)+(((AA551-B551*INT(AA551/B551)))/C551)/100))))</f>
        <v>0</v>
      </c>
      <c r="BM551" s="57">
        <f>IF(ISERROR(IF(B551=C551,AB551/C551,(INT(AB551/B551)+(((AB551-B551*INT(AB551/B551)))/C551)/100))),0,(IF(B551=C551,AB551/C551,(INT(AB551/B551)+(((AB551-B551*INT(AB551/B551)))/C551)/100))))</f>
        <v>0</v>
      </c>
      <c r="BN551" s="57">
        <f>IF(ISERROR(IF(B551=C551,AC551/C551,(INT(AC551/B551)+(((AC551-B551*INT(AC551/B551)))/C551)/100))),0,(IF(B551=C551,AC551/C551,(INT(AC551/B551)+(((AC551-B551*INT(AC551/B551)))/C551)/100))))</f>
        <v>0</v>
      </c>
      <c r="BO551" s="57">
        <f>IF(ISERROR(IF(B551=C551,AD551/C551,(INT(AD551/B551)+(((AD551-B551*INT(AD551/B551)))/C551)/100))),0,(IF(B551=C551,AD551/C551,(INT(AD551/B551)+(((AD551-B551*INT(AD551/B551)))/C551)/100))))</f>
        <v>0</v>
      </c>
      <c r="BQ551" s="155"/>
    </row>
    <row r="552" spans="1:69" hidden="1" x14ac:dyDescent="0.35">
      <c r="A552" s="94"/>
      <c r="B552" s="113">
        <v>0</v>
      </c>
      <c r="C552" s="113">
        <v>250</v>
      </c>
      <c r="D552" s="28">
        <f>SUM(AA552:AD552)</f>
        <v>0</v>
      </c>
      <c r="E552" s="113">
        <v>0</v>
      </c>
      <c r="F552" s="113">
        <v>0</v>
      </c>
      <c r="G552" s="28">
        <f>SUM(D552:F552)</f>
        <v>0</v>
      </c>
      <c r="H552" s="125">
        <v>0</v>
      </c>
      <c r="I552" s="113">
        <v>0</v>
      </c>
      <c r="J552" s="125">
        <v>0</v>
      </c>
      <c r="K552" s="113">
        <v>0</v>
      </c>
      <c r="L552" s="113">
        <v>0</v>
      </c>
      <c r="M552" s="113">
        <v>0</v>
      </c>
      <c r="N552" s="28">
        <f>G552-SUM(H552:M552)</f>
        <v>0</v>
      </c>
      <c r="O552" s="28">
        <f>SUM(V552:Y552)</f>
        <v>0</v>
      </c>
      <c r="P552" s="28">
        <f>O552-N552</f>
        <v>0</v>
      </c>
      <c r="Q552" s="61" t="str">
        <f>IF(ISERROR(P552/SUM(H552:L552)),"",P552/SUM(H552:L552))</f>
        <v/>
      </c>
      <c r="R552" s="113">
        <v>0</v>
      </c>
      <c r="S552" s="28">
        <f>IF(ISERROR(P552/C552*R552),0,(P552/C552*R552))</f>
        <v>0</v>
      </c>
      <c r="T552" s="60">
        <f>IF(ISERROR(P552/B552*AF552),0,(P552/B552*AF552))</f>
        <v>0</v>
      </c>
      <c r="V552" s="113">
        <v>0</v>
      </c>
      <c r="W552" s="113">
        <v>0</v>
      </c>
      <c r="X552" s="113">
        <v>0</v>
      </c>
      <c r="Y552" s="113">
        <v>0</v>
      </c>
      <c r="AA552" s="113">
        <v>0</v>
      </c>
      <c r="AB552" s="113">
        <v>0</v>
      </c>
      <c r="AC552" s="113">
        <v>0</v>
      </c>
      <c r="AD552" s="113">
        <v>0</v>
      </c>
      <c r="AF552" s="113">
        <v>0</v>
      </c>
      <c r="AG552" s="28">
        <f>G552-O552</f>
        <v>0</v>
      </c>
      <c r="AH552" s="58">
        <f>IF(ISERROR(AG552/B552*AF552),0,(AG552/B552*AF552))</f>
        <v>0</v>
      </c>
      <c r="AI552" s="28">
        <f>SUM(H552:M552)</f>
        <v>0</v>
      </c>
      <c r="AJ552" s="28">
        <f>IF(ISERROR(AI552/B552*AF552),0,(AI552/B552*AF552))</f>
        <v>0</v>
      </c>
      <c r="AK552" s="58">
        <f>IF(ISERROR(O552/B552*AF552),0,(O552/B552*AF552))</f>
        <v>0</v>
      </c>
      <c r="AL552" s="28">
        <f>IF(ISERROR(H552/B552*AF552),0,(H552/B552*AF552))</f>
        <v>0</v>
      </c>
      <c r="AN552" s="51">
        <f>A552</f>
        <v>0</v>
      </c>
      <c r="AO552" s="57">
        <f>IF(ISERROR(IF(B552=C552,D552/C552,(INT(D552/B552)+(((D552-B552*INT(D552/B552)))/C552)/100))),0,(IF(B552=C552,D552/C552,(INT(D552/B552)+(((D552-B552*INT(D552/B552)))/C552)/100))))</f>
        <v>0</v>
      </c>
      <c r="AP552" s="57">
        <f>IF(ISERROR(IF(B552=C552,E552/C552,(INT(E552/B552)+(((E552-B552*INT(E552/B552)))/C552)/100))),0,(IF(B552=C552,E552/C552,(INT(E552/B552)+(((E552-B552*INT(E552/B552)))/C552)/100))))</f>
        <v>0</v>
      </c>
      <c r="AQ552" s="57">
        <f>IF(ISERROR(IF(B552=C552,F552/C552,IF((INT(F552/B552)+(((F552-B552*INT(F552/B552)))/C552)/100)&lt;0,(INT(F552/B552)+(((F552-B552*INT(F552/B552)))/C552)/100)+(1-(B552/C552/100)),(INT(F552/B552)+(((F552-B552*INT(F552/B552)))/C552)/100)))),0,IF(B552=C552,F552/C552,IF((INT(F552/B552)+(((F552-B552*INT(F552/B552)))/C552)/100)&lt;0,(INT(F552/B552)+(((F552-B552*INT(F552/B552)))/C552)/100)+(1-(B552/C552/100)),(INT(F552/B552)+(((F552-B552*INT(F552/B552)))/C552)/100))))</f>
        <v>0</v>
      </c>
      <c r="AR552" s="57">
        <f>IF(ISERROR(IF(B552=C552,G552/C552,(INT(G552/B552)+(((G552-B552*INT(G552/B552)))/C552)/100))),0,(IF(B552=C552,G552/C552,(INT(G552/B552)+(((G552-B552*INT(G552/B552)))/C552)/100))))</f>
        <v>0</v>
      </c>
      <c r="AS552" s="57">
        <f>IF(ISERROR(IF(B552=C552,H552/C552,(INT(H552/B552)+(((H552-B552*INT(H552/B552)))/C552)/100))),0,(IF(B552=C552,H552/C552,(INT(H552/B552)+(((H552-B552*INT(H552/B552)))/C552)/100))))</f>
        <v>0</v>
      </c>
      <c r="AT552" s="57">
        <f>IF(ISERROR(IF(B552=C552,I552/C552,(INT(I552/B552)+(((I552-B552*INT(I552/B552)))/C552)/100))),0,(IF(B552=C552,I552/C552,(INT(I552/B552)+(((I552-B552*INT(I552/B552)))/C552)/100))))</f>
        <v>0</v>
      </c>
      <c r="AU552" s="57">
        <f>IF(ISERROR(IF(B552=C552,J552/C552,(INT(J552/B552)+(((J552-B552*INT(J552/B552)))/C552)/100))),0,(IF(B552=C552,J552/C552,(INT(J552/B552)+(((J552-B552*INT(J552/B552)))/C552)/100))))</f>
        <v>0</v>
      </c>
      <c r="AV552" s="57">
        <f>IF(ISERROR(IF(B552=C552,K552/C552,IF((INT(K552/B552)+(((K552-B552*INT(K552/B552)))/C552)/100)&lt;0,(INT(K552/B552)+(((K552-B552*INT(K552/B552)))/C552)/100)+(1-(B552/C552/100)),(INT(K552/B552)+(((K552-B552*INT(K552/B552)))/C552)/100)))),0,IF(B552=C552,K552/C552,IF((INT(K552/B552)+(((K552-B552*INT(K552/B552)))/C552)/100)&lt;0,(INT(K552/B552)+(((K552-B552*INT(K552/B552)))/C552)/100)+(1-(B552/C552/100)),(INT(K552/B552)+(((K552-B552*INT(K552/B552)))/C552)/100))))</f>
        <v>0</v>
      </c>
      <c r="AW552" s="57">
        <f>IF(ISERROR(IF(B552=C552,L552/C552,(INT(L552/B552)+(((L552-B552*INT(L552/B552)))/C552)/100))),0,(IF(B552=C552,L552/C552,(INT(L552/B552)+(((L552-B552*INT(L552/B552)))/C552)/100))))</f>
        <v>0</v>
      </c>
      <c r="AX552" s="57">
        <f>IF(ISERROR(IF(B552=C552,M552/C552,(INT(M552/B552)+(((M552-B552*INT(M552/B552)))/C552)/100))),0,(IF(B552=C552,M552/C552,(INT(M552/B552)+(((M552-B552*INT(M552/B552)))/C552)/100))))</f>
        <v>0</v>
      </c>
      <c r="AY552" s="57">
        <f>IF(ISERROR(IF(B552=C552,N552/C552,IF((INT(N552/B552)+(((N552-B552*INT(N552/B552)))/C552)/100)&lt;0,(INT(N552/B552)+(((N552-B552*INT(N552/B552)))/C552)/100)+(1-(B552/C552/100)),(INT(N552/B552)+(((N552-B552*INT(N552/B552)))/C552)/100)))),0,IF(B552=C552,N552/C552,IF((INT(N552/B552)+(((N552-B552*INT(N552/B552)))/C552)/100)&lt;0,(INT(N552/B552)+(((N552-B552*INT(N552/B552)))/C552)/100)+(1-(B552/C552/100)),(INT(N552/B552)+(((N552-B552*INT(N552/B552)))/C552)/100))))</f>
        <v>0</v>
      </c>
      <c r="AZ552" s="57">
        <f>IF(ISERROR(IF(B552=C552,O552/C552,(INT(O552/B552)+(((O552-B552*INT(O552/B552)))/C552)/100))),0,(IF(B552=C552,O552/C552,(INT(O552/B552)+(((O552-B552*INT(O552/B552)))/C552)/100))))</f>
        <v>0</v>
      </c>
      <c r="BA552" s="57">
        <f>IF(ISERROR(IF(B552=C552,P552/C552,IF((INT(P552/B552)+(((P552-B552*INT(P552/B552)))/C552)/100)&lt;0,(INT(P552/B552)+(((P552-B552*INT(P552/B552)))/C552)/100)+(1-(B552/C552/100)),(INT(P552/B552)+(((P552-B552*INT(P552/B552)))/C552)/100)))),0,IF(B552=C552,P552/C552,IF((INT(P552/B552)+(((P552-B552*INT(P552/B552)))/C552)/100)&lt;0,(INT(P552/B552)+(((P552-B552*INT(P552/B552)))/C552)/100)+(1-(B552/C552/100)),(INT(P552/B552)+(((P552-B552*INT(P552/B552)))/C552)/100))))</f>
        <v>0</v>
      </c>
      <c r="BB552" s="28">
        <f>R552</f>
        <v>0</v>
      </c>
      <c r="BC552" s="28">
        <f>S552</f>
        <v>0</v>
      </c>
      <c r="BD552" s="28">
        <f>AF552</f>
        <v>0</v>
      </c>
      <c r="BE552" s="28">
        <f>T552</f>
        <v>0</v>
      </c>
      <c r="BG552" s="57">
        <f>IF(ISERROR(IF(B552=C552,V552/C552,(INT(V552/B552)+(((V552-B552*INT(V552/B552)))/C552)/100))),0,(IF(B552=C552,V552/C552,(INT(V552/B552)+(((V552-B552*INT(V552/B552)))/C552)/100))))</f>
        <v>0</v>
      </c>
      <c r="BH552" s="57">
        <f>IF(ISERROR(IF(B552=C552,W552/C552,(INT(W552/B552)+(((W552-B552*INT(W552/B552)))/C552)/100))),0,(IF(B552=C552,W552/C552,(INT(W552/B552)+(((W552-B552*INT(W552/B552)))/C552)/100))))</f>
        <v>0</v>
      </c>
      <c r="BI552" s="57">
        <f>IF(ISERROR(IF(B552=C552,X552/C552,(INT(X552/B552)+(((X552-B552*INT(X552/B552)))/C552)/100))),0,(IF(B552=C552,X552/C552,(INT(X552/B552)+(((X552-B552*INT(X552/B552)))/C552)/100))))</f>
        <v>0</v>
      </c>
      <c r="BJ552" s="57">
        <f>IF(ISERROR(IF(B552=C552,Y552/C552,(INT(Y552/B552)+(((Y552-B552*INT(Y552/B552)))/C552)/100))),0,(IF(B552=C552,Y552/C552,(INT(Y552/B552)+(((Y552-B552*INT(Y552/B552)))/C552)/100))))</f>
        <v>0</v>
      </c>
      <c r="BL552" s="57">
        <f>IF(ISERROR(IF(B552=C552,AA552/C552,(INT(AA552/B552)+(((AA552-B552*INT(AA552/B552)))/C552)/100))),0,(IF(B552=C552,AA552/C552,(INT(AA552/B552)+(((AA552-B552*INT(AA552/B552)))/C552)/100))))</f>
        <v>0</v>
      </c>
      <c r="BM552" s="57">
        <f>IF(ISERROR(IF(B552=C552,AB552/C552,(INT(AB552/B552)+(((AB552-B552*INT(AB552/B552)))/C552)/100))),0,(IF(B552=C552,AB552/C552,(INT(AB552/B552)+(((AB552-B552*INT(AB552/B552)))/C552)/100))))</f>
        <v>0</v>
      </c>
      <c r="BN552" s="57">
        <f>IF(ISERROR(IF(B552=C552,AC552/C552,(INT(AC552/B552)+(((AC552-B552*INT(AC552/B552)))/C552)/100))),0,(IF(B552=C552,AC552/C552,(INT(AC552/B552)+(((AC552-B552*INT(AC552/B552)))/C552)/100))))</f>
        <v>0</v>
      </c>
      <c r="BO552" s="57">
        <f>IF(ISERROR(IF(B552=C552,AD552/C552,(INT(AD552/B552)+(((AD552-B552*INT(AD552/B552)))/C552)/100))),0,(IF(B552=C552,AD552/C552,(INT(AD552/B552)+(((AD552-B552*INT(AD552/B552)))/C552)/100))))</f>
        <v>0</v>
      </c>
      <c r="BQ552" s="155"/>
    </row>
    <row r="553" spans="1:69" hidden="1" x14ac:dyDescent="0.35">
      <c r="A553" s="94"/>
      <c r="B553" s="113">
        <v>0</v>
      </c>
      <c r="C553" s="113">
        <v>250</v>
      </c>
      <c r="D553" s="28">
        <f>SUM(AA553:AD553)</f>
        <v>0</v>
      </c>
      <c r="E553" s="113">
        <v>0</v>
      </c>
      <c r="F553" s="113">
        <v>0</v>
      </c>
      <c r="G553" s="28">
        <f>SUM(D553:F553)</f>
        <v>0</v>
      </c>
      <c r="H553" s="125">
        <v>0</v>
      </c>
      <c r="I553" s="113">
        <v>0</v>
      </c>
      <c r="J553" s="125">
        <v>0</v>
      </c>
      <c r="K553" s="113">
        <v>0</v>
      </c>
      <c r="L553" s="113">
        <v>0</v>
      </c>
      <c r="M553" s="113">
        <v>0</v>
      </c>
      <c r="N553" s="28">
        <f>G553-SUM(H553:M553)</f>
        <v>0</v>
      </c>
      <c r="O553" s="28">
        <f>SUM(V553:Y553)</f>
        <v>0</v>
      </c>
      <c r="P553" s="28">
        <f>O553-N553</f>
        <v>0</v>
      </c>
      <c r="Q553" s="61" t="str">
        <f>IF(ISERROR(P553/SUM(H553:L553)),"",P553/SUM(H553:L553))</f>
        <v/>
      </c>
      <c r="R553" s="113">
        <v>0</v>
      </c>
      <c r="S553" s="28">
        <f>IF(ISERROR(P553/C553*R553),0,(P553/C553*R553))</f>
        <v>0</v>
      </c>
      <c r="T553" s="60">
        <f>IF(ISERROR(P553/B553*AF553),0,(P553/B553*AF553))</f>
        <v>0</v>
      </c>
      <c r="V553" s="113">
        <v>0</v>
      </c>
      <c r="W553" s="113">
        <v>0</v>
      </c>
      <c r="X553" s="113">
        <v>0</v>
      </c>
      <c r="Y553" s="113">
        <v>0</v>
      </c>
      <c r="AA553" s="113">
        <v>0</v>
      </c>
      <c r="AB553" s="113">
        <v>0</v>
      </c>
      <c r="AC553" s="113">
        <v>0</v>
      </c>
      <c r="AD553" s="113">
        <v>0</v>
      </c>
      <c r="AF553" s="113">
        <v>0</v>
      </c>
      <c r="AG553" s="28">
        <f>G553-O553</f>
        <v>0</v>
      </c>
      <c r="AH553" s="58">
        <f>IF(ISERROR(AG553/B553*AF553),0,(AG553/B553*AF553))</f>
        <v>0</v>
      </c>
      <c r="AI553" s="28">
        <f>SUM(H553:M553)</f>
        <v>0</v>
      </c>
      <c r="AJ553" s="28">
        <f>IF(ISERROR(AI553/B553*AF553),0,(AI553/B553*AF553))</f>
        <v>0</v>
      </c>
      <c r="AK553" s="58">
        <f>IF(ISERROR(O553/B553*AF553),0,(O553/B553*AF553))</f>
        <v>0</v>
      </c>
      <c r="AL553" s="28">
        <f>IF(ISERROR(H553/B553*AF553),0,(H553/B553*AF553))</f>
        <v>0</v>
      </c>
      <c r="AN553" s="51">
        <f>A553</f>
        <v>0</v>
      </c>
      <c r="AO553" s="57">
        <f>IF(ISERROR(IF(B553=C553,D553/C553,(INT(D553/B553)+(((D553-B553*INT(D553/B553)))/C553)/100))),0,(IF(B553=C553,D553/C553,(INT(D553/B553)+(((D553-B553*INT(D553/B553)))/C553)/100))))</f>
        <v>0</v>
      </c>
      <c r="AP553" s="57">
        <f>IF(ISERROR(IF(B553=C553,E553/C553,(INT(E553/B553)+(((E553-B553*INT(E553/B553)))/C553)/100))),0,(IF(B553=C553,E553/C553,(INT(E553/B553)+(((E553-B553*INT(E553/B553)))/C553)/100))))</f>
        <v>0</v>
      </c>
      <c r="AQ553" s="57">
        <f>IF(ISERROR(IF(B553=C553,F553/C553,IF((INT(F553/B553)+(((F553-B553*INT(F553/B553)))/C553)/100)&lt;0,(INT(F553/B553)+(((F553-B553*INT(F553/B553)))/C553)/100)+(1-(B553/C553/100)),(INT(F553/B553)+(((F553-B553*INT(F553/B553)))/C553)/100)))),0,IF(B553=C553,F553/C553,IF((INT(F553/B553)+(((F553-B553*INT(F553/B553)))/C553)/100)&lt;0,(INT(F553/B553)+(((F553-B553*INT(F553/B553)))/C553)/100)+(1-(B553/C553/100)),(INT(F553/B553)+(((F553-B553*INT(F553/B553)))/C553)/100))))</f>
        <v>0</v>
      </c>
      <c r="AR553" s="57">
        <f>IF(ISERROR(IF(B553=C553,G553/C553,(INT(G553/B553)+(((G553-B553*INT(G553/B553)))/C553)/100))),0,(IF(B553=C553,G553/C553,(INT(G553/B553)+(((G553-B553*INT(G553/B553)))/C553)/100))))</f>
        <v>0</v>
      </c>
      <c r="AS553" s="57">
        <f>IF(ISERROR(IF(B553=C553,H553/C553,(INT(H553/B553)+(((H553-B553*INT(H553/B553)))/C553)/100))),0,(IF(B553=C553,H553/C553,(INT(H553/B553)+(((H553-B553*INT(H553/B553)))/C553)/100))))</f>
        <v>0</v>
      </c>
      <c r="AT553" s="57">
        <f>IF(ISERROR(IF(B553=C553,I553/C553,(INT(I553/B553)+(((I553-B553*INT(I553/B553)))/C553)/100))),0,(IF(B553=C553,I553/C553,(INT(I553/B553)+(((I553-B553*INT(I553/B553)))/C553)/100))))</f>
        <v>0</v>
      </c>
      <c r="AU553" s="57">
        <f>IF(ISERROR(IF(B553=C553,J553/C553,(INT(J553/B553)+(((J553-B553*INT(J553/B553)))/C553)/100))),0,(IF(B553=C553,J553/C553,(INT(J553/B553)+(((J553-B553*INT(J553/B553)))/C553)/100))))</f>
        <v>0</v>
      </c>
      <c r="AV553" s="57">
        <f>IF(ISERROR(IF(B553=C553,K553/C553,IF((INT(K553/B553)+(((K553-B553*INT(K553/B553)))/C553)/100)&lt;0,(INT(K553/B553)+(((K553-B553*INT(K553/B553)))/C553)/100)+(1-(B553/C553/100)),(INT(K553/B553)+(((K553-B553*INT(K553/B553)))/C553)/100)))),0,IF(B553=C553,K553/C553,IF((INT(K553/B553)+(((K553-B553*INT(K553/B553)))/C553)/100)&lt;0,(INT(K553/B553)+(((K553-B553*INT(K553/B553)))/C553)/100)+(1-(B553/C553/100)),(INT(K553/B553)+(((K553-B553*INT(K553/B553)))/C553)/100))))</f>
        <v>0</v>
      </c>
      <c r="AW553" s="57">
        <f>IF(ISERROR(IF(B553=C553,L553/C553,(INT(L553/B553)+(((L553-B553*INT(L553/B553)))/C553)/100))),0,(IF(B553=C553,L553/C553,(INT(L553/B553)+(((L553-B553*INT(L553/B553)))/C553)/100))))</f>
        <v>0</v>
      </c>
      <c r="AX553" s="57">
        <f>IF(ISERROR(IF(B553=C553,M553/C553,(INT(M553/B553)+(((M553-B553*INT(M553/B553)))/C553)/100))),0,(IF(B553=C553,M553/C553,(INT(M553/B553)+(((M553-B553*INT(M553/B553)))/C553)/100))))</f>
        <v>0</v>
      </c>
      <c r="AY553" s="57">
        <f>IF(ISERROR(IF(B553=C553,N553/C553,IF((INT(N553/B553)+(((N553-B553*INT(N553/B553)))/C553)/100)&lt;0,(INT(N553/B553)+(((N553-B553*INT(N553/B553)))/C553)/100)+(1-(B553/C553/100)),(INT(N553/B553)+(((N553-B553*INT(N553/B553)))/C553)/100)))),0,IF(B553=C553,N553/C553,IF((INT(N553/B553)+(((N553-B553*INT(N553/B553)))/C553)/100)&lt;0,(INT(N553/B553)+(((N553-B553*INT(N553/B553)))/C553)/100)+(1-(B553/C553/100)),(INT(N553/B553)+(((N553-B553*INT(N553/B553)))/C553)/100))))</f>
        <v>0</v>
      </c>
      <c r="AZ553" s="57">
        <f>IF(ISERROR(IF(B553=C553,O553/C553,(INT(O553/B553)+(((O553-B553*INT(O553/B553)))/C553)/100))),0,(IF(B553=C553,O553/C553,(INT(O553/B553)+(((O553-B553*INT(O553/B553)))/C553)/100))))</f>
        <v>0</v>
      </c>
      <c r="BA553" s="57">
        <f>IF(ISERROR(IF(B553=C553,P553/C553,IF((INT(P553/B553)+(((P553-B553*INT(P553/B553)))/C553)/100)&lt;0,(INT(P553/B553)+(((P553-B553*INT(P553/B553)))/C553)/100)+(1-(B553/C553/100)),(INT(P553/B553)+(((P553-B553*INT(P553/B553)))/C553)/100)))),0,IF(B553=C553,P553/C553,IF((INT(P553/B553)+(((P553-B553*INT(P553/B553)))/C553)/100)&lt;0,(INT(P553/B553)+(((P553-B553*INT(P553/B553)))/C553)/100)+(1-(B553/C553/100)),(INT(P553/B553)+(((P553-B553*INT(P553/B553)))/C553)/100))))</f>
        <v>0</v>
      </c>
      <c r="BB553" s="28">
        <f>R553</f>
        <v>0</v>
      </c>
      <c r="BC553" s="28">
        <f>S553</f>
        <v>0</v>
      </c>
      <c r="BD553" s="28">
        <f>AF553</f>
        <v>0</v>
      </c>
      <c r="BE553" s="28">
        <f>T553</f>
        <v>0</v>
      </c>
      <c r="BG553" s="57">
        <f>IF(ISERROR(IF(B553=C553,V553/C553,(INT(V553/B553)+(((V553-B553*INT(V553/B553)))/C553)/100))),0,(IF(B553=C553,V553/C553,(INT(V553/B553)+(((V553-B553*INT(V553/B553)))/C553)/100))))</f>
        <v>0</v>
      </c>
      <c r="BH553" s="57">
        <f>IF(ISERROR(IF(B553=C553,W553/C553,(INT(W553/B553)+(((W553-B553*INT(W553/B553)))/C553)/100))),0,(IF(B553=C553,W553/C553,(INT(W553/B553)+(((W553-B553*INT(W553/B553)))/C553)/100))))</f>
        <v>0</v>
      </c>
      <c r="BI553" s="57">
        <f>IF(ISERROR(IF(B553=C553,X553/C553,(INT(X553/B553)+(((X553-B553*INT(X553/B553)))/C553)/100))),0,(IF(B553=C553,X553/C553,(INT(X553/B553)+(((X553-B553*INT(X553/B553)))/C553)/100))))</f>
        <v>0</v>
      </c>
      <c r="BJ553" s="57">
        <f>IF(ISERROR(IF(B553=C553,Y553/C553,(INT(Y553/B553)+(((Y553-B553*INT(Y553/B553)))/C553)/100))),0,(IF(B553=C553,Y553/C553,(INT(Y553/B553)+(((Y553-B553*INT(Y553/B553)))/C553)/100))))</f>
        <v>0</v>
      </c>
      <c r="BL553" s="57">
        <f>IF(ISERROR(IF(B553=C553,AA553/C553,(INT(AA553/B553)+(((AA553-B553*INT(AA553/B553)))/C553)/100))),0,(IF(B553=C553,AA553/C553,(INT(AA553/B553)+(((AA553-B553*INT(AA553/B553)))/C553)/100))))</f>
        <v>0</v>
      </c>
      <c r="BM553" s="57">
        <f>IF(ISERROR(IF(B553=C553,AB553/C553,(INT(AB553/B553)+(((AB553-B553*INT(AB553/B553)))/C553)/100))),0,(IF(B553=C553,AB553/C553,(INT(AB553/B553)+(((AB553-B553*INT(AB553/B553)))/C553)/100))))</f>
        <v>0</v>
      </c>
      <c r="BN553" s="57">
        <f>IF(ISERROR(IF(B553=C553,AC553/C553,(INT(AC553/B553)+(((AC553-B553*INT(AC553/B553)))/C553)/100))),0,(IF(B553=C553,AC553/C553,(INT(AC553/B553)+(((AC553-B553*INT(AC553/B553)))/C553)/100))))</f>
        <v>0</v>
      </c>
      <c r="BO553" s="57">
        <f>IF(ISERROR(IF(B553=C553,AD553/C553,(INT(AD553/B553)+(((AD553-B553*INT(AD553/B553)))/C553)/100))),0,(IF(B553=C553,AD553/C553,(INT(AD553/B553)+(((AD553-B553*INT(AD553/B553)))/C553)/100))))</f>
        <v>0</v>
      </c>
      <c r="BQ553" s="155"/>
    </row>
    <row r="554" spans="1:69" hidden="1" x14ac:dyDescent="0.35">
      <c r="A554" s="94"/>
      <c r="B554" s="113">
        <v>0</v>
      </c>
      <c r="C554" s="113">
        <v>250</v>
      </c>
      <c r="D554" s="28">
        <f>SUM(AA554:AD554)</f>
        <v>0</v>
      </c>
      <c r="E554" s="113">
        <v>0</v>
      </c>
      <c r="F554" s="113">
        <v>0</v>
      </c>
      <c r="G554" s="28">
        <f>SUM(D554:F554)</f>
        <v>0</v>
      </c>
      <c r="H554" s="125">
        <v>0</v>
      </c>
      <c r="I554" s="113">
        <v>0</v>
      </c>
      <c r="J554" s="125">
        <v>0</v>
      </c>
      <c r="K554" s="113">
        <v>0</v>
      </c>
      <c r="L554" s="113">
        <v>0</v>
      </c>
      <c r="M554" s="113">
        <v>0</v>
      </c>
      <c r="N554" s="28">
        <f>G554-SUM(H554:M554)</f>
        <v>0</v>
      </c>
      <c r="O554" s="28">
        <f>SUM(V554:Y554)</f>
        <v>0</v>
      </c>
      <c r="P554" s="28">
        <f>O554-N554</f>
        <v>0</v>
      </c>
      <c r="Q554" s="61" t="str">
        <f>IF(ISERROR(P554/SUM(H554:L554)),"",P554/SUM(H554:L554))</f>
        <v/>
      </c>
      <c r="R554" s="113">
        <v>0</v>
      </c>
      <c r="S554" s="28">
        <f>IF(ISERROR(P554/C554*R554),0,(P554/C554*R554))</f>
        <v>0</v>
      </c>
      <c r="T554" s="60">
        <f>IF(ISERROR(P554/B554*AF554),0,(P554/B554*AF554))</f>
        <v>0</v>
      </c>
      <c r="V554" s="113">
        <v>0</v>
      </c>
      <c r="W554" s="113">
        <v>0</v>
      </c>
      <c r="X554" s="113">
        <v>0</v>
      </c>
      <c r="Y554" s="113">
        <v>0</v>
      </c>
      <c r="AA554" s="113">
        <v>0</v>
      </c>
      <c r="AB554" s="113">
        <v>0</v>
      </c>
      <c r="AC554" s="113">
        <v>0</v>
      </c>
      <c r="AD554" s="113">
        <v>0</v>
      </c>
      <c r="AF554" s="113">
        <v>0</v>
      </c>
      <c r="AG554" s="28">
        <f>G554-O554</f>
        <v>0</v>
      </c>
      <c r="AH554" s="58">
        <f>IF(ISERROR(AG554/B554*AF554),0,(AG554/B554*AF554))</f>
        <v>0</v>
      </c>
      <c r="AI554" s="28">
        <f>SUM(H554:M554)</f>
        <v>0</v>
      </c>
      <c r="AJ554" s="28">
        <f>IF(ISERROR(AI554/B554*AF554),0,(AI554/B554*AF554))</f>
        <v>0</v>
      </c>
      <c r="AK554" s="58">
        <f>IF(ISERROR(O554/B554*AF554),0,(O554/B554*AF554))</f>
        <v>0</v>
      </c>
      <c r="AL554" s="28">
        <f>IF(ISERROR(H554/B554*AF554),0,(H554/B554*AF554))</f>
        <v>0</v>
      </c>
      <c r="AN554" s="51">
        <f>A554</f>
        <v>0</v>
      </c>
      <c r="AO554" s="57">
        <f>IF(ISERROR(IF(B554=C554,D554/C554,(INT(D554/B554)+(((D554-B554*INT(D554/B554)))/C554)/100))),0,(IF(B554=C554,D554/C554,(INT(D554/B554)+(((D554-B554*INT(D554/B554)))/C554)/100))))</f>
        <v>0</v>
      </c>
      <c r="AP554" s="57">
        <f>IF(ISERROR(IF(B554=C554,E554/C554,(INT(E554/B554)+(((E554-B554*INT(E554/B554)))/C554)/100))),0,(IF(B554=C554,E554/C554,(INT(E554/B554)+(((E554-B554*INT(E554/B554)))/C554)/100))))</f>
        <v>0</v>
      </c>
      <c r="AQ554" s="57">
        <f>IF(ISERROR(IF(B554=C554,F554/C554,IF((INT(F554/B554)+(((F554-B554*INT(F554/B554)))/C554)/100)&lt;0,(INT(F554/B554)+(((F554-B554*INT(F554/B554)))/C554)/100)+(1-(B554/C554/100)),(INT(F554/B554)+(((F554-B554*INT(F554/B554)))/C554)/100)))),0,IF(B554=C554,F554/C554,IF((INT(F554/B554)+(((F554-B554*INT(F554/B554)))/C554)/100)&lt;0,(INT(F554/B554)+(((F554-B554*INT(F554/B554)))/C554)/100)+(1-(B554/C554/100)),(INT(F554/B554)+(((F554-B554*INT(F554/B554)))/C554)/100))))</f>
        <v>0</v>
      </c>
      <c r="AR554" s="57">
        <f>IF(ISERROR(IF(B554=C554,G554/C554,(INT(G554/B554)+(((G554-B554*INT(G554/B554)))/C554)/100))),0,(IF(B554=C554,G554/C554,(INT(G554/B554)+(((G554-B554*INT(G554/B554)))/C554)/100))))</f>
        <v>0</v>
      </c>
      <c r="AS554" s="57">
        <f>IF(ISERROR(IF(B554=C554,H554/C554,(INT(H554/B554)+(((H554-B554*INT(H554/B554)))/C554)/100))),0,(IF(B554=C554,H554/C554,(INT(H554/B554)+(((H554-B554*INT(H554/B554)))/C554)/100))))</f>
        <v>0</v>
      </c>
      <c r="AT554" s="57">
        <f>IF(ISERROR(IF(B554=C554,I554/C554,(INT(I554/B554)+(((I554-B554*INT(I554/B554)))/C554)/100))),0,(IF(B554=C554,I554/C554,(INT(I554/B554)+(((I554-B554*INT(I554/B554)))/C554)/100))))</f>
        <v>0</v>
      </c>
      <c r="AU554" s="57">
        <f>IF(ISERROR(IF(B554=C554,J554/C554,(INT(J554/B554)+(((J554-B554*INT(J554/B554)))/C554)/100))),0,(IF(B554=C554,J554/C554,(INT(J554/B554)+(((J554-B554*INT(J554/B554)))/C554)/100))))</f>
        <v>0</v>
      </c>
      <c r="AV554" s="57">
        <f>IF(ISERROR(IF(B554=C554,K554/C554,IF((INT(K554/B554)+(((K554-B554*INT(K554/B554)))/C554)/100)&lt;0,(INT(K554/B554)+(((K554-B554*INT(K554/B554)))/C554)/100)+(1-(B554/C554/100)),(INT(K554/B554)+(((K554-B554*INT(K554/B554)))/C554)/100)))),0,IF(B554=C554,K554/C554,IF((INT(K554/B554)+(((K554-B554*INT(K554/B554)))/C554)/100)&lt;0,(INT(K554/B554)+(((K554-B554*INT(K554/B554)))/C554)/100)+(1-(B554/C554/100)),(INT(K554/B554)+(((K554-B554*INT(K554/B554)))/C554)/100))))</f>
        <v>0</v>
      </c>
      <c r="AW554" s="57">
        <f>IF(ISERROR(IF(B554=C554,L554/C554,(INT(L554/B554)+(((L554-B554*INT(L554/B554)))/C554)/100))),0,(IF(B554=C554,L554/C554,(INT(L554/B554)+(((L554-B554*INT(L554/B554)))/C554)/100))))</f>
        <v>0</v>
      </c>
      <c r="AX554" s="57">
        <f>IF(ISERROR(IF(B554=C554,M554/C554,(INT(M554/B554)+(((M554-B554*INT(M554/B554)))/C554)/100))),0,(IF(B554=C554,M554/C554,(INT(M554/B554)+(((M554-B554*INT(M554/B554)))/C554)/100))))</f>
        <v>0</v>
      </c>
      <c r="AY554" s="57">
        <f>IF(ISERROR(IF(B554=C554,N554/C554,IF((INT(N554/B554)+(((N554-B554*INT(N554/B554)))/C554)/100)&lt;0,(INT(N554/B554)+(((N554-B554*INT(N554/B554)))/C554)/100)+(1-(B554/C554/100)),(INT(N554/B554)+(((N554-B554*INT(N554/B554)))/C554)/100)))),0,IF(B554=C554,N554/C554,IF((INT(N554/B554)+(((N554-B554*INT(N554/B554)))/C554)/100)&lt;0,(INT(N554/B554)+(((N554-B554*INT(N554/B554)))/C554)/100)+(1-(B554/C554/100)),(INT(N554/B554)+(((N554-B554*INT(N554/B554)))/C554)/100))))</f>
        <v>0</v>
      </c>
      <c r="AZ554" s="57">
        <f>IF(ISERROR(IF(B554=C554,O554/C554,(INT(O554/B554)+(((O554-B554*INT(O554/B554)))/C554)/100))),0,(IF(B554=C554,O554/C554,(INT(O554/B554)+(((O554-B554*INT(O554/B554)))/C554)/100))))</f>
        <v>0</v>
      </c>
      <c r="BA554" s="57">
        <f>IF(ISERROR(IF(B554=C554,P554/C554,IF((INT(P554/B554)+(((P554-B554*INT(P554/B554)))/C554)/100)&lt;0,(INT(P554/B554)+(((P554-B554*INT(P554/B554)))/C554)/100)+(1-(B554/C554/100)),(INT(P554/B554)+(((P554-B554*INT(P554/B554)))/C554)/100)))),0,IF(B554=C554,P554/C554,IF((INT(P554/B554)+(((P554-B554*INT(P554/B554)))/C554)/100)&lt;0,(INT(P554/B554)+(((P554-B554*INT(P554/B554)))/C554)/100)+(1-(B554/C554/100)),(INT(P554/B554)+(((P554-B554*INT(P554/B554)))/C554)/100))))</f>
        <v>0</v>
      </c>
      <c r="BB554" s="28">
        <f>R554</f>
        <v>0</v>
      </c>
      <c r="BC554" s="28">
        <f>S554</f>
        <v>0</v>
      </c>
      <c r="BD554" s="28">
        <f>AF554</f>
        <v>0</v>
      </c>
      <c r="BE554" s="28">
        <f>T554</f>
        <v>0</v>
      </c>
      <c r="BG554" s="57">
        <f>IF(ISERROR(IF(B554=C554,V554/C554,(INT(V554/B554)+(((V554-B554*INT(V554/B554)))/C554)/100))),0,(IF(B554=C554,V554/C554,(INT(V554/B554)+(((V554-B554*INT(V554/B554)))/C554)/100))))</f>
        <v>0</v>
      </c>
      <c r="BH554" s="57">
        <f>IF(ISERROR(IF(B554=C554,W554/C554,(INT(W554/B554)+(((W554-B554*INT(W554/B554)))/C554)/100))),0,(IF(B554=C554,W554/C554,(INT(W554/B554)+(((W554-B554*INT(W554/B554)))/C554)/100))))</f>
        <v>0</v>
      </c>
      <c r="BI554" s="57">
        <f>IF(ISERROR(IF(B554=C554,X554/C554,(INT(X554/B554)+(((X554-B554*INT(X554/B554)))/C554)/100))),0,(IF(B554=C554,X554/C554,(INT(X554/B554)+(((X554-B554*INT(X554/B554)))/C554)/100))))</f>
        <v>0</v>
      </c>
      <c r="BJ554" s="57">
        <f>IF(ISERROR(IF(B554=C554,Y554/C554,(INT(Y554/B554)+(((Y554-B554*INT(Y554/B554)))/C554)/100))),0,(IF(B554=C554,Y554/C554,(INT(Y554/B554)+(((Y554-B554*INT(Y554/B554)))/C554)/100))))</f>
        <v>0</v>
      </c>
      <c r="BL554" s="57">
        <f>IF(ISERROR(IF(B554=C554,AA554/C554,(INT(AA554/B554)+(((AA554-B554*INT(AA554/B554)))/C554)/100))),0,(IF(B554=C554,AA554/C554,(INT(AA554/B554)+(((AA554-B554*INT(AA554/B554)))/C554)/100))))</f>
        <v>0</v>
      </c>
      <c r="BM554" s="57">
        <f>IF(ISERROR(IF(B554=C554,AB554/C554,(INT(AB554/B554)+(((AB554-B554*INT(AB554/B554)))/C554)/100))),0,(IF(B554=C554,AB554/C554,(INT(AB554/B554)+(((AB554-B554*INT(AB554/B554)))/C554)/100))))</f>
        <v>0</v>
      </c>
      <c r="BN554" s="57">
        <f>IF(ISERROR(IF(B554=C554,AC554/C554,(INT(AC554/B554)+(((AC554-B554*INT(AC554/B554)))/C554)/100))),0,(IF(B554=C554,AC554/C554,(INT(AC554/B554)+(((AC554-B554*INT(AC554/B554)))/C554)/100))))</f>
        <v>0</v>
      </c>
      <c r="BO554" s="57">
        <f>IF(ISERROR(IF(B554=C554,AD554/C554,(INT(AD554/B554)+(((AD554-B554*INT(AD554/B554)))/C554)/100))),0,(IF(B554=C554,AD554/C554,(INT(AD554/B554)+(((AD554-B554*INT(AD554/B554)))/C554)/100))))</f>
        <v>0</v>
      </c>
      <c r="BQ554" s="155"/>
    </row>
    <row r="555" spans="1:69" hidden="1" x14ac:dyDescent="0.35">
      <c r="A555" s="94"/>
      <c r="B555" s="113">
        <v>0</v>
      </c>
      <c r="C555" s="113">
        <v>250</v>
      </c>
      <c r="D555" s="28">
        <f>SUM(AA555:AD555)</f>
        <v>0</v>
      </c>
      <c r="E555" s="113">
        <v>0</v>
      </c>
      <c r="F555" s="113">
        <v>0</v>
      </c>
      <c r="G555" s="28">
        <f>SUM(D555:F555)</f>
        <v>0</v>
      </c>
      <c r="H555" s="125">
        <v>0</v>
      </c>
      <c r="I555" s="113">
        <v>0</v>
      </c>
      <c r="J555" s="125">
        <v>0</v>
      </c>
      <c r="K555" s="113">
        <v>0</v>
      </c>
      <c r="L555" s="113">
        <v>0</v>
      </c>
      <c r="M555" s="113">
        <v>0</v>
      </c>
      <c r="N555" s="28">
        <f>G555-SUM(H555:M555)</f>
        <v>0</v>
      </c>
      <c r="O555" s="28">
        <f>SUM(V555:Y555)</f>
        <v>0</v>
      </c>
      <c r="P555" s="28">
        <f>O555-N555</f>
        <v>0</v>
      </c>
      <c r="Q555" s="61" t="str">
        <f>IF(ISERROR(P555/SUM(H555:L555)),"",P555/SUM(H555:L555))</f>
        <v/>
      </c>
      <c r="R555" s="113">
        <v>0</v>
      </c>
      <c r="S555" s="28">
        <f>IF(ISERROR(P555/C555*R555),0,(P555/C555*R555))</f>
        <v>0</v>
      </c>
      <c r="T555" s="60">
        <f>IF(ISERROR(P555/B555*AF555),0,(P555/B555*AF555))</f>
        <v>0</v>
      </c>
      <c r="V555" s="113">
        <v>0</v>
      </c>
      <c r="W555" s="113">
        <v>0</v>
      </c>
      <c r="X555" s="113">
        <v>0</v>
      </c>
      <c r="Y555" s="113">
        <v>0</v>
      </c>
      <c r="AA555" s="113">
        <v>0</v>
      </c>
      <c r="AB555" s="113">
        <v>0</v>
      </c>
      <c r="AC555" s="113">
        <v>0</v>
      </c>
      <c r="AD555" s="113">
        <v>0</v>
      </c>
      <c r="AF555" s="113">
        <v>0</v>
      </c>
      <c r="AG555" s="28">
        <f>G555-O555</f>
        <v>0</v>
      </c>
      <c r="AH555" s="58">
        <f>IF(ISERROR(AG555/B555*AF555),0,(AG555/B555*AF555))</f>
        <v>0</v>
      </c>
      <c r="AI555" s="28">
        <f>SUM(H555:M555)</f>
        <v>0</v>
      </c>
      <c r="AJ555" s="28">
        <f>IF(ISERROR(AI555/B555*AF555),0,(AI555/B555*AF555))</f>
        <v>0</v>
      </c>
      <c r="AK555" s="58">
        <f>IF(ISERROR(O555/B555*AF555),0,(O555/B555*AF555))</f>
        <v>0</v>
      </c>
      <c r="AL555" s="28">
        <f>IF(ISERROR(H555/B555*AF555),0,(H555/B555*AF555))</f>
        <v>0</v>
      </c>
      <c r="AN555" s="51">
        <f>A555</f>
        <v>0</v>
      </c>
      <c r="AO555" s="57">
        <f>IF(ISERROR(IF(B555=C555,D555/C555,(INT(D555/B555)+(((D555-B555*INT(D555/B555)))/C555)/100))),0,(IF(B555=C555,D555/C555,(INT(D555/B555)+(((D555-B555*INT(D555/B555)))/C555)/100))))</f>
        <v>0</v>
      </c>
      <c r="AP555" s="57">
        <f>IF(ISERROR(IF(B555=C555,E555/C555,(INT(E555/B555)+(((E555-B555*INT(E555/B555)))/C555)/100))),0,(IF(B555=C555,E555/C555,(INT(E555/B555)+(((E555-B555*INT(E555/B555)))/C555)/100))))</f>
        <v>0</v>
      </c>
      <c r="AQ555" s="57">
        <f>IF(ISERROR(IF(B555=C555,F555/C555,IF((INT(F555/B555)+(((F555-B555*INT(F555/B555)))/C555)/100)&lt;0,(INT(F555/B555)+(((F555-B555*INT(F555/B555)))/C555)/100)+(1-(B555/C555/100)),(INT(F555/B555)+(((F555-B555*INT(F555/B555)))/C555)/100)))),0,IF(B555=C555,F555/C555,IF((INT(F555/B555)+(((F555-B555*INT(F555/B555)))/C555)/100)&lt;0,(INT(F555/B555)+(((F555-B555*INT(F555/B555)))/C555)/100)+(1-(B555/C555/100)),(INT(F555/B555)+(((F555-B555*INT(F555/B555)))/C555)/100))))</f>
        <v>0</v>
      </c>
      <c r="AR555" s="57">
        <f>IF(ISERROR(IF(B555=C555,G555/C555,(INT(G555/B555)+(((G555-B555*INT(G555/B555)))/C555)/100))),0,(IF(B555=C555,G555/C555,(INT(G555/B555)+(((G555-B555*INT(G555/B555)))/C555)/100))))</f>
        <v>0</v>
      </c>
      <c r="AS555" s="57">
        <f>IF(ISERROR(IF(B555=C555,H555/C555,(INT(H555/B555)+(((H555-B555*INT(H555/B555)))/C555)/100))),0,(IF(B555=C555,H555/C555,(INT(H555/B555)+(((H555-B555*INT(H555/B555)))/C555)/100))))</f>
        <v>0</v>
      </c>
      <c r="AT555" s="57">
        <f>IF(ISERROR(IF(B555=C555,I555/C555,(INT(I555/B555)+(((I555-B555*INT(I555/B555)))/C555)/100))),0,(IF(B555=C555,I555/C555,(INT(I555/B555)+(((I555-B555*INT(I555/B555)))/C555)/100))))</f>
        <v>0</v>
      </c>
      <c r="AU555" s="57">
        <f>IF(ISERROR(IF(B555=C555,J555/C555,(INT(J555/B555)+(((J555-B555*INT(J555/B555)))/C555)/100))),0,(IF(B555=C555,J555/C555,(INT(J555/B555)+(((J555-B555*INT(J555/B555)))/C555)/100))))</f>
        <v>0</v>
      </c>
      <c r="AV555" s="57">
        <f>IF(ISERROR(IF(B555=C555,K555/C555,IF((INT(K555/B555)+(((K555-B555*INT(K555/B555)))/C555)/100)&lt;0,(INT(K555/B555)+(((K555-B555*INT(K555/B555)))/C555)/100)+(1-(B555/C555/100)),(INT(K555/B555)+(((K555-B555*INT(K555/B555)))/C555)/100)))),0,IF(B555=C555,K555/C555,IF((INT(K555/B555)+(((K555-B555*INT(K555/B555)))/C555)/100)&lt;0,(INT(K555/B555)+(((K555-B555*INT(K555/B555)))/C555)/100)+(1-(B555/C555/100)),(INT(K555/B555)+(((K555-B555*INT(K555/B555)))/C555)/100))))</f>
        <v>0</v>
      </c>
      <c r="AW555" s="57">
        <f>IF(ISERROR(IF(B555=C555,L555/C555,(INT(L555/B555)+(((L555-B555*INT(L555/B555)))/C555)/100))),0,(IF(B555=C555,L555/C555,(INT(L555/B555)+(((L555-B555*INT(L555/B555)))/C555)/100))))</f>
        <v>0</v>
      </c>
      <c r="AX555" s="57">
        <f>IF(ISERROR(IF(B555=C555,M555/C555,(INT(M555/B555)+(((M555-B555*INT(M555/B555)))/C555)/100))),0,(IF(B555=C555,M555/C555,(INT(M555/B555)+(((M555-B555*INT(M555/B555)))/C555)/100))))</f>
        <v>0</v>
      </c>
      <c r="AY555" s="57">
        <f>IF(ISERROR(IF(B555=C555,N555/C555,IF((INT(N555/B555)+(((N555-B555*INT(N555/B555)))/C555)/100)&lt;0,(INT(N555/B555)+(((N555-B555*INT(N555/B555)))/C555)/100)+(1-(B555/C555/100)),(INT(N555/B555)+(((N555-B555*INT(N555/B555)))/C555)/100)))),0,IF(B555=C555,N555/C555,IF((INT(N555/B555)+(((N555-B555*INT(N555/B555)))/C555)/100)&lt;0,(INT(N555/B555)+(((N555-B555*INT(N555/B555)))/C555)/100)+(1-(B555/C555/100)),(INT(N555/B555)+(((N555-B555*INT(N555/B555)))/C555)/100))))</f>
        <v>0</v>
      </c>
      <c r="AZ555" s="57">
        <f>IF(ISERROR(IF(B555=C555,O555/C555,(INT(O555/B555)+(((O555-B555*INT(O555/B555)))/C555)/100))),0,(IF(B555=C555,O555/C555,(INT(O555/B555)+(((O555-B555*INT(O555/B555)))/C555)/100))))</f>
        <v>0</v>
      </c>
      <c r="BA555" s="57">
        <f>IF(ISERROR(IF(B555=C555,P555/C555,IF((INT(P555/B555)+(((P555-B555*INT(P555/B555)))/C555)/100)&lt;0,(INT(P555/B555)+(((P555-B555*INT(P555/B555)))/C555)/100)+(1-(B555/C555/100)),(INT(P555/B555)+(((P555-B555*INT(P555/B555)))/C555)/100)))),0,IF(B555=C555,P555/C555,IF((INT(P555/B555)+(((P555-B555*INT(P555/B555)))/C555)/100)&lt;0,(INT(P555/B555)+(((P555-B555*INT(P555/B555)))/C555)/100)+(1-(B555/C555/100)),(INT(P555/B555)+(((P555-B555*INT(P555/B555)))/C555)/100))))</f>
        <v>0</v>
      </c>
      <c r="BB555" s="28">
        <f>R555</f>
        <v>0</v>
      </c>
      <c r="BC555" s="28">
        <f>S555</f>
        <v>0</v>
      </c>
      <c r="BD555" s="28">
        <f>AF555</f>
        <v>0</v>
      </c>
      <c r="BE555" s="28">
        <f>T555</f>
        <v>0</v>
      </c>
      <c r="BG555" s="57">
        <f>IF(ISERROR(IF(B555=C555,V555/C555,(INT(V555/B555)+(((V555-B555*INT(V555/B555)))/C555)/100))),0,(IF(B555=C555,V555/C555,(INT(V555/B555)+(((V555-B555*INT(V555/B555)))/C555)/100))))</f>
        <v>0</v>
      </c>
      <c r="BH555" s="57">
        <f>IF(ISERROR(IF(B555=C555,W555/C555,(INT(W555/B555)+(((W555-B555*INT(W555/B555)))/C555)/100))),0,(IF(B555=C555,W555/C555,(INT(W555/B555)+(((W555-B555*INT(W555/B555)))/C555)/100))))</f>
        <v>0</v>
      </c>
      <c r="BI555" s="57">
        <f>IF(ISERROR(IF(B555=C555,X555/C555,(INT(X555/B555)+(((X555-B555*INT(X555/B555)))/C555)/100))),0,(IF(B555=C555,X555/C555,(INT(X555/B555)+(((X555-B555*INT(X555/B555)))/C555)/100))))</f>
        <v>0</v>
      </c>
      <c r="BJ555" s="57">
        <f>IF(ISERROR(IF(B555=C555,Y555/C555,(INT(Y555/B555)+(((Y555-B555*INT(Y555/B555)))/C555)/100))),0,(IF(B555=C555,Y555/C555,(INT(Y555/B555)+(((Y555-B555*INT(Y555/B555)))/C555)/100))))</f>
        <v>0</v>
      </c>
      <c r="BL555" s="57">
        <f>IF(ISERROR(IF(B555=C555,AA555/C555,(INT(AA555/B555)+(((AA555-B555*INT(AA555/B555)))/C555)/100))),0,(IF(B555=C555,AA555/C555,(INT(AA555/B555)+(((AA555-B555*INT(AA555/B555)))/C555)/100))))</f>
        <v>0</v>
      </c>
      <c r="BM555" s="57">
        <f>IF(ISERROR(IF(B555=C555,AB555/C555,(INT(AB555/B555)+(((AB555-B555*INT(AB555/B555)))/C555)/100))),0,(IF(B555=C555,AB555/C555,(INT(AB555/B555)+(((AB555-B555*INT(AB555/B555)))/C555)/100))))</f>
        <v>0</v>
      </c>
      <c r="BN555" s="57">
        <f>IF(ISERROR(IF(B555=C555,AC555/C555,(INT(AC555/B555)+(((AC555-B555*INT(AC555/B555)))/C555)/100))),0,(IF(B555=C555,AC555/C555,(INT(AC555/B555)+(((AC555-B555*INT(AC555/B555)))/C555)/100))))</f>
        <v>0</v>
      </c>
      <c r="BO555" s="57">
        <f>IF(ISERROR(IF(B555=C555,AD555/C555,(INT(AD555/B555)+(((AD555-B555*INT(AD555/B555)))/C555)/100))),0,(IF(B555=C555,AD555/C555,(INT(AD555/B555)+(((AD555-B555*INT(AD555/B555)))/C555)/100))))</f>
        <v>0</v>
      </c>
      <c r="BQ555" s="155"/>
    </row>
    <row r="556" spans="1:69" hidden="1" x14ac:dyDescent="0.35">
      <c r="A556" s="94"/>
      <c r="B556" s="113">
        <v>0</v>
      </c>
      <c r="C556" s="113">
        <v>250</v>
      </c>
      <c r="D556" s="28">
        <f>SUM(AA556:AD556)</f>
        <v>0</v>
      </c>
      <c r="E556" s="113">
        <v>0</v>
      </c>
      <c r="F556" s="113">
        <v>0</v>
      </c>
      <c r="G556" s="28">
        <f>SUM(D556:F556)</f>
        <v>0</v>
      </c>
      <c r="H556" s="125">
        <v>0</v>
      </c>
      <c r="I556" s="113">
        <v>0</v>
      </c>
      <c r="J556" s="125">
        <v>0</v>
      </c>
      <c r="K556" s="113">
        <v>0</v>
      </c>
      <c r="L556" s="113">
        <v>0</v>
      </c>
      <c r="M556" s="113">
        <v>0</v>
      </c>
      <c r="N556" s="28">
        <f>G556-SUM(H556:M556)</f>
        <v>0</v>
      </c>
      <c r="O556" s="28">
        <f>SUM(V556:Y556)</f>
        <v>0</v>
      </c>
      <c r="P556" s="28">
        <f>O556-N556</f>
        <v>0</v>
      </c>
      <c r="Q556" s="61" t="str">
        <f>IF(ISERROR(P556/SUM(H556:L556)),"",P556/SUM(H556:L556))</f>
        <v/>
      </c>
      <c r="R556" s="113">
        <v>0</v>
      </c>
      <c r="S556" s="28">
        <f>IF(ISERROR(P556/C556*R556),0,(P556/C556*R556))</f>
        <v>0</v>
      </c>
      <c r="T556" s="60">
        <f>IF(ISERROR(P556/B556*AF556),0,(P556/B556*AF556))</f>
        <v>0</v>
      </c>
      <c r="V556" s="113">
        <v>0</v>
      </c>
      <c r="W556" s="113">
        <v>0</v>
      </c>
      <c r="X556" s="113">
        <v>0</v>
      </c>
      <c r="Y556" s="113">
        <v>0</v>
      </c>
      <c r="AA556" s="113">
        <v>0</v>
      </c>
      <c r="AB556" s="113">
        <v>0</v>
      </c>
      <c r="AC556" s="113">
        <v>0</v>
      </c>
      <c r="AD556" s="113">
        <v>0</v>
      </c>
      <c r="AF556" s="113">
        <v>0</v>
      </c>
      <c r="AG556" s="28">
        <f>G556-O556</f>
        <v>0</v>
      </c>
      <c r="AH556" s="58">
        <f>IF(ISERROR(AG556/B556*AF556),0,(AG556/B556*AF556))</f>
        <v>0</v>
      </c>
      <c r="AI556" s="28">
        <f>SUM(H556:M556)</f>
        <v>0</v>
      </c>
      <c r="AJ556" s="28">
        <f>IF(ISERROR(AI556/B556*AF556),0,(AI556/B556*AF556))</f>
        <v>0</v>
      </c>
      <c r="AK556" s="58">
        <f>IF(ISERROR(O556/B556*AF556),0,(O556/B556*AF556))</f>
        <v>0</v>
      </c>
      <c r="AL556" s="28">
        <f>IF(ISERROR(H556/B556*AF556),0,(H556/B556*AF556))</f>
        <v>0</v>
      </c>
      <c r="AN556" s="51">
        <f>A556</f>
        <v>0</v>
      </c>
      <c r="AO556" s="57">
        <f>IF(ISERROR(IF(B556=C556,D556/C556,(INT(D556/B556)+(((D556-B556*INT(D556/B556)))/C556)/100))),0,(IF(B556=C556,D556/C556,(INT(D556/B556)+(((D556-B556*INT(D556/B556)))/C556)/100))))</f>
        <v>0</v>
      </c>
      <c r="AP556" s="57">
        <f>IF(ISERROR(IF(B556=C556,E556/C556,(INT(E556/B556)+(((E556-B556*INT(E556/B556)))/C556)/100))),0,(IF(B556=C556,E556/C556,(INT(E556/B556)+(((E556-B556*INT(E556/B556)))/C556)/100))))</f>
        <v>0</v>
      </c>
      <c r="AQ556" s="57">
        <f>IF(ISERROR(IF(B556=C556,F556/C556,IF((INT(F556/B556)+(((F556-B556*INT(F556/B556)))/C556)/100)&lt;0,(INT(F556/B556)+(((F556-B556*INT(F556/B556)))/C556)/100)+(1-(B556/C556/100)),(INT(F556/B556)+(((F556-B556*INT(F556/B556)))/C556)/100)))),0,IF(B556=C556,F556/C556,IF((INT(F556/B556)+(((F556-B556*INT(F556/B556)))/C556)/100)&lt;0,(INT(F556/B556)+(((F556-B556*INT(F556/B556)))/C556)/100)+(1-(B556/C556/100)),(INT(F556/B556)+(((F556-B556*INT(F556/B556)))/C556)/100))))</f>
        <v>0</v>
      </c>
      <c r="AR556" s="57">
        <f>IF(ISERROR(IF(B556=C556,G556/C556,(INT(G556/B556)+(((G556-B556*INT(G556/B556)))/C556)/100))),0,(IF(B556=C556,G556/C556,(INT(G556/B556)+(((G556-B556*INT(G556/B556)))/C556)/100))))</f>
        <v>0</v>
      </c>
      <c r="AS556" s="57">
        <f>IF(ISERROR(IF(B556=C556,H556/C556,(INT(H556/B556)+(((H556-B556*INT(H556/B556)))/C556)/100))),0,(IF(B556=C556,H556/C556,(INT(H556/B556)+(((H556-B556*INT(H556/B556)))/C556)/100))))</f>
        <v>0</v>
      </c>
      <c r="AT556" s="57">
        <f>IF(ISERROR(IF(B556=C556,I556/C556,(INT(I556/B556)+(((I556-B556*INT(I556/B556)))/C556)/100))),0,(IF(B556=C556,I556/C556,(INT(I556/B556)+(((I556-B556*INT(I556/B556)))/C556)/100))))</f>
        <v>0</v>
      </c>
      <c r="AU556" s="57">
        <f>IF(ISERROR(IF(B556=C556,J556/C556,(INT(J556/B556)+(((J556-B556*INT(J556/B556)))/C556)/100))),0,(IF(B556=C556,J556/C556,(INT(J556/B556)+(((J556-B556*INT(J556/B556)))/C556)/100))))</f>
        <v>0</v>
      </c>
      <c r="AV556" s="57">
        <f>IF(ISERROR(IF(B556=C556,K556/C556,IF((INT(K556/B556)+(((K556-B556*INT(K556/B556)))/C556)/100)&lt;0,(INT(K556/B556)+(((K556-B556*INT(K556/B556)))/C556)/100)+(1-(B556/C556/100)),(INT(K556/B556)+(((K556-B556*INT(K556/B556)))/C556)/100)))),0,IF(B556=C556,K556/C556,IF((INT(K556/B556)+(((K556-B556*INT(K556/B556)))/C556)/100)&lt;0,(INT(K556/B556)+(((K556-B556*INT(K556/B556)))/C556)/100)+(1-(B556/C556/100)),(INT(K556/B556)+(((K556-B556*INT(K556/B556)))/C556)/100))))</f>
        <v>0</v>
      </c>
      <c r="AW556" s="57">
        <f>IF(ISERROR(IF(B556=C556,L556/C556,(INT(L556/B556)+(((L556-B556*INT(L556/B556)))/C556)/100))),0,(IF(B556=C556,L556/C556,(INT(L556/B556)+(((L556-B556*INT(L556/B556)))/C556)/100))))</f>
        <v>0</v>
      </c>
      <c r="AX556" s="57">
        <f>IF(ISERROR(IF(B556=C556,M556/C556,(INT(M556/B556)+(((M556-B556*INT(M556/B556)))/C556)/100))),0,(IF(B556=C556,M556/C556,(INT(M556/B556)+(((M556-B556*INT(M556/B556)))/C556)/100))))</f>
        <v>0</v>
      </c>
      <c r="AY556" s="57">
        <f>IF(ISERROR(IF(B556=C556,N556/C556,IF((INT(N556/B556)+(((N556-B556*INT(N556/B556)))/C556)/100)&lt;0,(INT(N556/B556)+(((N556-B556*INT(N556/B556)))/C556)/100)+(1-(B556/C556/100)),(INT(N556/B556)+(((N556-B556*INT(N556/B556)))/C556)/100)))),0,IF(B556=C556,N556/C556,IF((INT(N556/B556)+(((N556-B556*INT(N556/B556)))/C556)/100)&lt;0,(INT(N556/B556)+(((N556-B556*INT(N556/B556)))/C556)/100)+(1-(B556/C556/100)),(INT(N556/B556)+(((N556-B556*INT(N556/B556)))/C556)/100))))</f>
        <v>0</v>
      </c>
      <c r="AZ556" s="57">
        <f>IF(ISERROR(IF(B556=C556,O556/C556,(INT(O556/B556)+(((O556-B556*INT(O556/B556)))/C556)/100))),0,(IF(B556=C556,O556/C556,(INT(O556/B556)+(((O556-B556*INT(O556/B556)))/C556)/100))))</f>
        <v>0</v>
      </c>
      <c r="BA556" s="57">
        <f>IF(ISERROR(IF(B556=C556,P556/C556,IF((INT(P556/B556)+(((P556-B556*INT(P556/B556)))/C556)/100)&lt;0,(INT(P556/B556)+(((P556-B556*INT(P556/B556)))/C556)/100)+(1-(B556/C556/100)),(INT(P556/B556)+(((P556-B556*INT(P556/B556)))/C556)/100)))),0,IF(B556=C556,P556/C556,IF((INT(P556/B556)+(((P556-B556*INT(P556/B556)))/C556)/100)&lt;0,(INT(P556/B556)+(((P556-B556*INT(P556/B556)))/C556)/100)+(1-(B556/C556/100)),(INT(P556/B556)+(((P556-B556*INT(P556/B556)))/C556)/100))))</f>
        <v>0</v>
      </c>
      <c r="BB556" s="28">
        <f>R556</f>
        <v>0</v>
      </c>
      <c r="BC556" s="28">
        <f>S556</f>
        <v>0</v>
      </c>
      <c r="BD556" s="28">
        <f>AF556</f>
        <v>0</v>
      </c>
      <c r="BE556" s="28">
        <f>T556</f>
        <v>0</v>
      </c>
      <c r="BG556" s="57">
        <f>IF(ISERROR(IF(B556=C556,V556/C556,(INT(V556/B556)+(((V556-B556*INT(V556/B556)))/C556)/100))),0,(IF(B556=C556,V556/C556,(INT(V556/B556)+(((V556-B556*INT(V556/B556)))/C556)/100))))</f>
        <v>0</v>
      </c>
      <c r="BH556" s="57">
        <f>IF(ISERROR(IF(B556=C556,W556/C556,(INT(W556/B556)+(((W556-B556*INT(W556/B556)))/C556)/100))),0,(IF(B556=C556,W556/C556,(INT(W556/B556)+(((W556-B556*INT(W556/B556)))/C556)/100))))</f>
        <v>0</v>
      </c>
      <c r="BI556" s="57">
        <f>IF(ISERROR(IF(B556=C556,X556/C556,(INT(X556/B556)+(((X556-B556*INT(X556/B556)))/C556)/100))),0,(IF(B556=C556,X556/C556,(INT(X556/B556)+(((X556-B556*INT(X556/B556)))/C556)/100))))</f>
        <v>0</v>
      </c>
      <c r="BJ556" s="57">
        <f>IF(ISERROR(IF(B556=C556,Y556/C556,(INT(Y556/B556)+(((Y556-B556*INT(Y556/B556)))/C556)/100))),0,(IF(B556=C556,Y556/C556,(INT(Y556/B556)+(((Y556-B556*INT(Y556/B556)))/C556)/100))))</f>
        <v>0</v>
      </c>
      <c r="BL556" s="57">
        <f>IF(ISERROR(IF(B556=C556,AA556/C556,(INT(AA556/B556)+(((AA556-B556*INT(AA556/B556)))/C556)/100))),0,(IF(B556=C556,AA556/C556,(INT(AA556/B556)+(((AA556-B556*INT(AA556/B556)))/C556)/100))))</f>
        <v>0</v>
      </c>
      <c r="BM556" s="57">
        <f>IF(ISERROR(IF(B556=C556,AB556/C556,(INT(AB556/B556)+(((AB556-B556*INT(AB556/B556)))/C556)/100))),0,(IF(B556=C556,AB556/C556,(INT(AB556/B556)+(((AB556-B556*INT(AB556/B556)))/C556)/100))))</f>
        <v>0</v>
      </c>
      <c r="BN556" s="57">
        <f>IF(ISERROR(IF(B556=C556,AC556/C556,(INT(AC556/B556)+(((AC556-B556*INT(AC556/B556)))/C556)/100))),0,(IF(B556=C556,AC556/C556,(INT(AC556/B556)+(((AC556-B556*INT(AC556/B556)))/C556)/100))))</f>
        <v>0</v>
      </c>
      <c r="BO556" s="57">
        <f>IF(ISERROR(IF(B556=C556,AD556/C556,(INT(AD556/B556)+(((AD556-B556*INT(AD556/B556)))/C556)/100))),0,(IF(B556=C556,AD556/C556,(INT(AD556/B556)+(((AD556-B556*INT(AD556/B556)))/C556)/100))))</f>
        <v>0</v>
      </c>
      <c r="BQ556" s="155"/>
    </row>
    <row r="557" spans="1:69" hidden="1" x14ac:dyDescent="0.35">
      <c r="A557" s="94"/>
      <c r="B557" s="113">
        <v>0</v>
      </c>
      <c r="C557" s="113">
        <v>250</v>
      </c>
      <c r="D557" s="28">
        <f>SUM(AA557:AD557)</f>
        <v>0</v>
      </c>
      <c r="E557" s="113">
        <v>0</v>
      </c>
      <c r="F557" s="113">
        <v>0</v>
      </c>
      <c r="G557" s="28">
        <f>SUM(D557:F557)</f>
        <v>0</v>
      </c>
      <c r="H557" s="125">
        <v>0</v>
      </c>
      <c r="I557" s="113">
        <v>0</v>
      </c>
      <c r="J557" s="125">
        <v>0</v>
      </c>
      <c r="K557" s="113">
        <v>0</v>
      </c>
      <c r="L557" s="113">
        <v>0</v>
      </c>
      <c r="M557" s="113">
        <v>0</v>
      </c>
      <c r="N557" s="28">
        <f>G557-SUM(H557:M557)</f>
        <v>0</v>
      </c>
      <c r="O557" s="28">
        <f>SUM(V557:Y557)</f>
        <v>0</v>
      </c>
      <c r="P557" s="28">
        <f>O557-N557</f>
        <v>0</v>
      </c>
      <c r="Q557" s="61" t="str">
        <f>IF(ISERROR(P557/SUM(H557:L557)),"",P557/SUM(H557:L557))</f>
        <v/>
      </c>
      <c r="R557" s="113">
        <v>0</v>
      </c>
      <c r="S557" s="28">
        <f>IF(ISERROR(P557/C557*R557),0,(P557/C557*R557))</f>
        <v>0</v>
      </c>
      <c r="T557" s="60">
        <f>IF(ISERROR(P557/B557*AF557),0,(P557/B557*AF557))</f>
        <v>0</v>
      </c>
      <c r="V557" s="113">
        <v>0</v>
      </c>
      <c r="W557" s="113">
        <v>0</v>
      </c>
      <c r="X557" s="113">
        <v>0</v>
      </c>
      <c r="Y557" s="113">
        <v>0</v>
      </c>
      <c r="AA557" s="113">
        <v>0</v>
      </c>
      <c r="AB557" s="113">
        <v>0</v>
      </c>
      <c r="AC557" s="113">
        <v>0</v>
      </c>
      <c r="AD557" s="113">
        <v>0</v>
      </c>
      <c r="AF557" s="113">
        <v>0</v>
      </c>
      <c r="AG557" s="28">
        <f>G557-O557</f>
        <v>0</v>
      </c>
      <c r="AH557" s="58">
        <f>IF(ISERROR(AG557/B557*AF557),0,(AG557/B557*AF557))</f>
        <v>0</v>
      </c>
      <c r="AI557" s="28">
        <f>SUM(H557:M557)</f>
        <v>0</v>
      </c>
      <c r="AJ557" s="28">
        <f>IF(ISERROR(AI557/B557*AF557),0,(AI557/B557*AF557))</f>
        <v>0</v>
      </c>
      <c r="AK557" s="58">
        <f>IF(ISERROR(O557/B557*AF557),0,(O557/B557*AF557))</f>
        <v>0</v>
      </c>
      <c r="AL557" s="28">
        <f>IF(ISERROR(H557/B557*AF557),0,(H557/B557*AF557))</f>
        <v>0</v>
      </c>
      <c r="AN557" s="51">
        <f>A557</f>
        <v>0</v>
      </c>
      <c r="AO557" s="57">
        <f>IF(ISERROR(IF(B557=C557,D557/C557,(INT(D557/B557)+(((D557-B557*INT(D557/B557)))/C557)/100))),0,(IF(B557=C557,D557/C557,(INT(D557/B557)+(((D557-B557*INT(D557/B557)))/C557)/100))))</f>
        <v>0</v>
      </c>
      <c r="AP557" s="57">
        <f>IF(ISERROR(IF(B557=C557,E557/C557,(INT(E557/B557)+(((E557-B557*INT(E557/B557)))/C557)/100))),0,(IF(B557=C557,E557/C557,(INT(E557/B557)+(((E557-B557*INT(E557/B557)))/C557)/100))))</f>
        <v>0</v>
      </c>
      <c r="AQ557" s="57">
        <f>IF(ISERROR(IF(B557=C557,F557/C557,IF((INT(F557/B557)+(((F557-B557*INT(F557/B557)))/C557)/100)&lt;0,(INT(F557/B557)+(((F557-B557*INT(F557/B557)))/C557)/100)+(1-(B557/C557/100)),(INT(F557/B557)+(((F557-B557*INT(F557/B557)))/C557)/100)))),0,IF(B557=C557,F557/C557,IF((INT(F557/B557)+(((F557-B557*INT(F557/B557)))/C557)/100)&lt;0,(INT(F557/B557)+(((F557-B557*INT(F557/B557)))/C557)/100)+(1-(B557/C557/100)),(INT(F557/B557)+(((F557-B557*INT(F557/B557)))/C557)/100))))</f>
        <v>0</v>
      </c>
      <c r="AR557" s="57">
        <f>IF(ISERROR(IF(B557=C557,G557/C557,(INT(G557/B557)+(((G557-B557*INT(G557/B557)))/C557)/100))),0,(IF(B557=C557,G557/C557,(INT(G557/B557)+(((G557-B557*INT(G557/B557)))/C557)/100))))</f>
        <v>0</v>
      </c>
      <c r="AS557" s="57">
        <f>IF(ISERROR(IF(B557=C557,H557/C557,(INT(H557/B557)+(((H557-B557*INT(H557/B557)))/C557)/100))),0,(IF(B557=C557,H557/C557,(INT(H557/B557)+(((H557-B557*INT(H557/B557)))/C557)/100))))</f>
        <v>0</v>
      </c>
      <c r="AT557" s="57">
        <f>IF(ISERROR(IF(B557=C557,I557/C557,(INT(I557/B557)+(((I557-B557*INT(I557/B557)))/C557)/100))),0,(IF(B557=C557,I557/C557,(INT(I557/B557)+(((I557-B557*INT(I557/B557)))/C557)/100))))</f>
        <v>0</v>
      </c>
      <c r="AU557" s="57">
        <f>IF(ISERROR(IF(B557=C557,J557/C557,(INT(J557/B557)+(((J557-B557*INT(J557/B557)))/C557)/100))),0,(IF(B557=C557,J557/C557,(INT(J557/B557)+(((J557-B557*INT(J557/B557)))/C557)/100))))</f>
        <v>0</v>
      </c>
      <c r="AV557" s="57">
        <f>IF(ISERROR(IF(B557=C557,K557/C557,IF((INT(K557/B557)+(((K557-B557*INT(K557/B557)))/C557)/100)&lt;0,(INT(K557/B557)+(((K557-B557*INT(K557/B557)))/C557)/100)+(1-(B557/C557/100)),(INT(K557/B557)+(((K557-B557*INT(K557/B557)))/C557)/100)))),0,IF(B557=C557,K557/C557,IF((INT(K557/B557)+(((K557-B557*INT(K557/B557)))/C557)/100)&lt;0,(INT(K557/B557)+(((K557-B557*INT(K557/B557)))/C557)/100)+(1-(B557/C557/100)),(INT(K557/B557)+(((K557-B557*INT(K557/B557)))/C557)/100))))</f>
        <v>0</v>
      </c>
      <c r="AW557" s="57">
        <f>IF(ISERROR(IF(B557=C557,L557/C557,(INT(L557/B557)+(((L557-B557*INT(L557/B557)))/C557)/100))),0,(IF(B557=C557,L557/C557,(INT(L557/B557)+(((L557-B557*INT(L557/B557)))/C557)/100))))</f>
        <v>0</v>
      </c>
      <c r="AX557" s="57">
        <f>IF(ISERROR(IF(B557=C557,M557/C557,(INT(M557/B557)+(((M557-B557*INT(M557/B557)))/C557)/100))),0,(IF(B557=C557,M557/C557,(INT(M557/B557)+(((M557-B557*INT(M557/B557)))/C557)/100))))</f>
        <v>0</v>
      </c>
      <c r="AY557" s="57">
        <f>IF(ISERROR(IF(B557=C557,N557/C557,IF((INT(N557/B557)+(((N557-B557*INT(N557/B557)))/C557)/100)&lt;0,(INT(N557/B557)+(((N557-B557*INT(N557/B557)))/C557)/100)+(1-(B557/C557/100)),(INT(N557/B557)+(((N557-B557*INT(N557/B557)))/C557)/100)))),0,IF(B557=C557,N557/C557,IF((INT(N557/B557)+(((N557-B557*INT(N557/B557)))/C557)/100)&lt;0,(INT(N557/B557)+(((N557-B557*INT(N557/B557)))/C557)/100)+(1-(B557/C557/100)),(INT(N557/B557)+(((N557-B557*INT(N557/B557)))/C557)/100))))</f>
        <v>0</v>
      </c>
      <c r="AZ557" s="57">
        <f>IF(ISERROR(IF(B557=C557,O557/C557,(INT(O557/B557)+(((O557-B557*INT(O557/B557)))/C557)/100))),0,(IF(B557=C557,O557/C557,(INT(O557/B557)+(((O557-B557*INT(O557/B557)))/C557)/100))))</f>
        <v>0</v>
      </c>
      <c r="BA557" s="57">
        <f>IF(ISERROR(IF(B557=C557,P557/C557,IF((INT(P557/B557)+(((P557-B557*INT(P557/B557)))/C557)/100)&lt;0,(INT(P557/B557)+(((P557-B557*INT(P557/B557)))/C557)/100)+(1-(B557/C557/100)),(INT(P557/B557)+(((P557-B557*INT(P557/B557)))/C557)/100)))),0,IF(B557=C557,P557/C557,IF((INT(P557/B557)+(((P557-B557*INT(P557/B557)))/C557)/100)&lt;0,(INT(P557/B557)+(((P557-B557*INT(P557/B557)))/C557)/100)+(1-(B557/C557/100)),(INT(P557/B557)+(((P557-B557*INT(P557/B557)))/C557)/100))))</f>
        <v>0</v>
      </c>
      <c r="BB557" s="28">
        <f>R557</f>
        <v>0</v>
      </c>
      <c r="BC557" s="28">
        <f>S557</f>
        <v>0</v>
      </c>
      <c r="BD557" s="28">
        <f>AF557</f>
        <v>0</v>
      </c>
      <c r="BE557" s="28">
        <f>T557</f>
        <v>0</v>
      </c>
      <c r="BG557" s="57">
        <f>IF(ISERROR(IF(B557=C557,V557/C557,(INT(V557/B557)+(((V557-B557*INT(V557/B557)))/C557)/100))),0,(IF(B557=C557,V557/C557,(INT(V557/B557)+(((V557-B557*INT(V557/B557)))/C557)/100))))</f>
        <v>0</v>
      </c>
      <c r="BH557" s="57">
        <f>IF(ISERROR(IF(B557=C557,W557/C557,(INT(W557/B557)+(((W557-B557*INT(W557/B557)))/C557)/100))),0,(IF(B557=C557,W557/C557,(INT(W557/B557)+(((W557-B557*INT(W557/B557)))/C557)/100))))</f>
        <v>0</v>
      </c>
      <c r="BI557" s="57">
        <f>IF(ISERROR(IF(B557=C557,X557/C557,(INT(X557/B557)+(((X557-B557*INT(X557/B557)))/C557)/100))),0,(IF(B557=C557,X557/C557,(INT(X557/B557)+(((X557-B557*INT(X557/B557)))/C557)/100))))</f>
        <v>0</v>
      </c>
      <c r="BJ557" s="57">
        <f>IF(ISERROR(IF(B557=C557,Y557/C557,(INT(Y557/B557)+(((Y557-B557*INT(Y557/B557)))/C557)/100))),0,(IF(B557=C557,Y557/C557,(INT(Y557/B557)+(((Y557-B557*INT(Y557/B557)))/C557)/100))))</f>
        <v>0</v>
      </c>
      <c r="BL557" s="57">
        <f>IF(ISERROR(IF(B557=C557,AA557/C557,(INT(AA557/B557)+(((AA557-B557*INT(AA557/B557)))/C557)/100))),0,(IF(B557=C557,AA557/C557,(INT(AA557/B557)+(((AA557-B557*INT(AA557/B557)))/C557)/100))))</f>
        <v>0</v>
      </c>
      <c r="BM557" s="57">
        <f>IF(ISERROR(IF(B557=C557,AB557/C557,(INT(AB557/B557)+(((AB557-B557*INT(AB557/B557)))/C557)/100))),0,(IF(B557=C557,AB557/C557,(INT(AB557/B557)+(((AB557-B557*INT(AB557/B557)))/C557)/100))))</f>
        <v>0</v>
      </c>
      <c r="BN557" s="57">
        <f>IF(ISERROR(IF(B557=C557,AC557/C557,(INT(AC557/B557)+(((AC557-B557*INT(AC557/B557)))/C557)/100))),0,(IF(B557=C557,AC557/C557,(INT(AC557/B557)+(((AC557-B557*INT(AC557/B557)))/C557)/100))))</f>
        <v>0</v>
      </c>
      <c r="BO557" s="57">
        <f>IF(ISERROR(IF(B557=C557,AD557/C557,(INT(AD557/B557)+(((AD557-B557*INT(AD557/B557)))/C557)/100))),0,(IF(B557=C557,AD557/C557,(INT(AD557/B557)+(((AD557-B557*INT(AD557/B557)))/C557)/100))))</f>
        <v>0</v>
      </c>
      <c r="BQ557" s="155"/>
    </row>
    <row r="558" spans="1:69" hidden="1" x14ac:dyDescent="0.35">
      <c r="A558" s="94"/>
      <c r="B558" s="113">
        <v>0</v>
      </c>
      <c r="C558" s="113">
        <v>250</v>
      </c>
      <c r="D558" s="28">
        <f>SUM(AA558:AD558)</f>
        <v>0</v>
      </c>
      <c r="E558" s="113">
        <v>0</v>
      </c>
      <c r="F558" s="113">
        <v>0</v>
      </c>
      <c r="G558" s="28">
        <f>SUM(D558:F558)</f>
        <v>0</v>
      </c>
      <c r="H558" s="125">
        <v>0</v>
      </c>
      <c r="I558" s="113">
        <v>0</v>
      </c>
      <c r="J558" s="125">
        <v>0</v>
      </c>
      <c r="K558" s="113">
        <v>0</v>
      </c>
      <c r="L558" s="113">
        <v>0</v>
      </c>
      <c r="M558" s="113">
        <v>0</v>
      </c>
      <c r="N558" s="28">
        <f>G558-SUM(H558:M558)</f>
        <v>0</v>
      </c>
      <c r="O558" s="28">
        <f>SUM(V558:Y558)</f>
        <v>0</v>
      </c>
      <c r="P558" s="28">
        <f>O558-N558</f>
        <v>0</v>
      </c>
      <c r="Q558" s="61" t="str">
        <f>IF(ISERROR(P558/SUM(H558:L558)),"",P558/SUM(H558:L558))</f>
        <v/>
      </c>
      <c r="R558" s="113">
        <v>0</v>
      </c>
      <c r="S558" s="28">
        <f>IF(ISERROR(P558/C558*R558),0,(P558/C558*R558))</f>
        <v>0</v>
      </c>
      <c r="T558" s="60">
        <f>IF(ISERROR(P558/B558*AF558),0,(P558/B558*AF558))</f>
        <v>0</v>
      </c>
      <c r="V558" s="113">
        <v>0</v>
      </c>
      <c r="W558" s="113">
        <v>0</v>
      </c>
      <c r="X558" s="113">
        <v>0</v>
      </c>
      <c r="Y558" s="113">
        <v>0</v>
      </c>
      <c r="AA558" s="113">
        <v>0</v>
      </c>
      <c r="AB558" s="113">
        <v>0</v>
      </c>
      <c r="AC558" s="113">
        <v>0</v>
      </c>
      <c r="AD558" s="113">
        <v>0</v>
      </c>
      <c r="AF558" s="113">
        <v>0</v>
      </c>
      <c r="AG558" s="28">
        <f>G558-O558</f>
        <v>0</v>
      </c>
      <c r="AH558" s="58">
        <f>IF(ISERROR(AG558/B558*AF558),0,(AG558/B558*AF558))</f>
        <v>0</v>
      </c>
      <c r="AI558" s="28">
        <f>SUM(H558:M558)</f>
        <v>0</v>
      </c>
      <c r="AJ558" s="28">
        <f>IF(ISERROR(AI558/B558*AF558),0,(AI558/B558*AF558))</f>
        <v>0</v>
      </c>
      <c r="AK558" s="58">
        <f>IF(ISERROR(O558/B558*AF558),0,(O558/B558*AF558))</f>
        <v>0</v>
      </c>
      <c r="AL558" s="28">
        <f>IF(ISERROR(H558/B558*AF558),0,(H558/B558*AF558))</f>
        <v>0</v>
      </c>
      <c r="AN558" s="51">
        <f>A558</f>
        <v>0</v>
      </c>
      <c r="AO558" s="57">
        <f>IF(ISERROR(IF(B558=C558,D558/C558,(INT(D558/B558)+(((D558-B558*INT(D558/B558)))/C558)/100))),0,(IF(B558=C558,D558/C558,(INT(D558/B558)+(((D558-B558*INT(D558/B558)))/C558)/100))))</f>
        <v>0</v>
      </c>
      <c r="AP558" s="57">
        <f>IF(ISERROR(IF(B558=C558,E558/C558,(INT(E558/B558)+(((E558-B558*INT(E558/B558)))/C558)/100))),0,(IF(B558=C558,E558/C558,(INT(E558/B558)+(((E558-B558*INT(E558/B558)))/C558)/100))))</f>
        <v>0</v>
      </c>
      <c r="AQ558" s="57">
        <f>IF(ISERROR(IF(B558=C558,F558/C558,IF((INT(F558/B558)+(((F558-B558*INT(F558/B558)))/C558)/100)&lt;0,(INT(F558/B558)+(((F558-B558*INT(F558/B558)))/C558)/100)+(1-(B558/C558/100)),(INT(F558/B558)+(((F558-B558*INT(F558/B558)))/C558)/100)))),0,IF(B558=C558,F558/C558,IF((INT(F558/B558)+(((F558-B558*INT(F558/B558)))/C558)/100)&lt;0,(INT(F558/B558)+(((F558-B558*INT(F558/B558)))/C558)/100)+(1-(B558/C558/100)),(INT(F558/B558)+(((F558-B558*INT(F558/B558)))/C558)/100))))</f>
        <v>0</v>
      </c>
      <c r="AR558" s="57">
        <f>IF(ISERROR(IF(B558=C558,G558/C558,(INT(G558/B558)+(((G558-B558*INT(G558/B558)))/C558)/100))),0,(IF(B558=C558,G558/C558,(INT(G558/B558)+(((G558-B558*INT(G558/B558)))/C558)/100))))</f>
        <v>0</v>
      </c>
      <c r="AS558" s="57">
        <f>IF(ISERROR(IF(B558=C558,H558/C558,(INT(H558/B558)+(((H558-B558*INT(H558/B558)))/C558)/100))),0,(IF(B558=C558,H558/C558,(INT(H558/B558)+(((H558-B558*INT(H558/B558)))/C558)/100))))</f>
        <v>0</v>
      </c>
      <c r="AT558" s="57">
        <f>IF(ISERROR(IF(B558=C558,I558/C558,(INT(I558/B558)+(((I558-B558*INT(I558/B558)))/C558)/100))),0,(IF(B558=C558,I558/C558,(INT(I558/B558)+(((I558-B558*INT(I558/B558)))/C558)/100))))</f>
        <v>0</v>
      </c>
      <c r="AU558" s="57">
        <f>IF(ISERROR(IF(B558=C558,J558/C558,(INT(J558/B558)+(((J558-B558*INT(J558/B558)))/C558)/100))),0,(IF(B558=C558,J558/C558,(INT(J558/B558)+(((J558-B558*INT(J558/B558)))/C558)/100))))</f>
        <v>0</v>
      </c>
      <c r="AV558" s="57">
        <f>IF(ISERROR(IF(B558=C558,K558/C558,IF((INT(K558/B558)+(((K558-B558*INT(K558/B558)))/C558)/100)&lt;0,(INT(K558/B558)+(((K558-B558*INT(K558/B558)))/C558)/100)+(1-(B558/C558/100)),(INT(K558/B558)+(((K558-B558*INT(K558/B558)))/C558)/100)))),0,IF(B558=C558,K558/C558,IF((INT(K558/B558)+(((K558-B558*INT(K558/B558)))/C558)/100)&lt;0,(INT(K558/B558)+(((K558-B558*INT(K558/B558)))/C558)/100)+(1-(B558/C558/100)),(INT(K558/B558)+(((K558-B558*INT(K558/B558)))/C558)/100))))</f>
        <v>0</v>
      </c>
      <c r="AW558" s="57">
        <f>IF(ISERROR(IF(B558=C558,L558/C558,(INT(L558/B558)+(((L558-B558*INT(L558/B558)))/C558)/100))),0,(IF(B558=C558,L558/C558,(INT(L558/B558)+(((L558-B558*INT(L558/B558)))/C558)/100))))</f>
        <v>0</v>
      </c>
      <c r="AX558" s="57">
        <f>IF(ISERROR(IF(B558=C558,M558/C558,(INT(M558/B558)+(((M558-B558*INT(M558/B558)))/C558)/100))),0,(IF(B558=C558,M558/C558,(INT(M558/B558)+(((M558-B558*INT(M558/B558)))/C558)/100))))</f>
        <v>0</v>
      </c>
      <c r="AY558" s="57">
        <f>IF(ISERROR(IF(B558=C558,N558/C558,IF((INT(N558/B558)+(((N558-B558*INT(N558/B558)))/C558)/100)&lt;0,(INT(N558/B558)+(((N558-B558*INT(N558/B558)))/C558)/100)+(1-(B558/C558/100)),(INT(N558/B558)+(((N558-B558*INT(N558/B558)))/C558)/100)))),0,IF(B558=C558,N558/C558,IF((INT(N558/B558)+(((N558-B558*INT(N558/B558)))/C558)/100)&lt;0,(INT(N558/B558)+(((N558-B558*INT(N558/B558)))/C558)/100)+(1-(B558/C558/100)),(INT(N558/B558)+(((N558-B558*INT(N558/B558)))/C558)/100))))</f>
        <v>0</v>
      </c>
      <c r="AZ558" s="57">
        <f>IF(ISERROR(IF(B558=C558,O558/C558,(INT(O558/B558)+(((O558-B558*INT(O558/B558)))/C558)/100))),0,(IF(B558=C558,O558/C558,(INT(O558/B558)+(((O558-B558*INT(O558/B558)))/C558)/100))))</f>
        <v>0</v>
      </c>
      <c r="BA558" s="57">
        <f>IF(ISERROR(IF(B558=C558,P558/C558,IF((INT(P558/B558)+(((P558-B558*INT(P558/B558)))/C558)/100)&lt;0,(INT(P558/B558)+(((P558-B558*INT(P558/B558)))/C558)/100)+(1-(B558/C558/100)),(INT(P558/B558)+(((P558-B558*INT(P558/B558)))/C558)/100)))),0,IF(B558=C558,P558/C558,IF((INT(P558/B558)+(((P558-B558*INT(P558/B558)))/C558)/100)&lt;0,(INT(P558/B558)+(((P558-B558*INT(P558/B558)))/C558)/100)+(1-(B558/C558/100)),(INT(P558/B558)+(((P558-B558*INT(P558/B558)))/C558)/100))))</f>
        <v>0</v>
      </c>
      <c r="BB558" s="28">
        <f>R558</f>
        <v>0</v>
      </c>
      <c r="BC558" s="28">
        <f>S558</f>
        <v>0</v>
      </c>
      <c r="BD558" s="28">
        <f>AF558</f>
        <v>0</v>
      </c>
      <c r="BE558" s="28">
        <f>T558</f>
        <v>0</v>
      </c>
      <c r="BG558" s="57">
        <f>IF(ISERROR(IF(B558=C558,V558/C558,(INT(V558/B558)+(((V558-B558*INT(V558/B558)))/C558)/100))),0,(IF(B558=C558,V558/C558,(INT(V558/B558)+(((V558-B558*INT(V558/B558)))/C558)/100))))</f>
        <v>0</v>
      </c>
      <c r="BH558" s="57">
        <f>IF(ISERROR(IF(B558=C558,W558/C558,(INT(W558/B558)+(((W558-B558*INT(W558/B558)))/C558)/100))),0,(IF(B558=C558,W558/C558,(INT(W558/B558)+(((W558-B558*INT(W558/B558)))/C558)/100))))</f>
        <v>0</v>
      </c>
      <c r="BI558" s="57">
        <f>IF(ISERROR(IF(B558=C558,X558/C558,(INT(X558/B558)+(((X558-B558*INT(X558/B558)))/C558)/100))),0,(IF(B558=C558,X558/C558,(INT(X558/B558)+(((X558-B558*INT(X558/B558)))/C558)/100))))</f>
        <v>0</v>
      </c>
      <c r="BJ558" s="57">
        <f>IF(ISERROR(IF(B558=C558,Y558/C558,(INT(Y558/B558)+(((Y558-B558*INT(Y558/B558)))/C558)/100))),0,(IF(B558=C558,Y558/C558,(INT(Y558/B558)+(((Y558-B558*INT(Y558/B558)))/C558)/100))))</f>
        <v>0</v>
      </c>
      <c r="BL558" s="57">
        <f>IF(ISERROR(IF(B558=C558,AA558/C558,(INT(AA558/B558)+(((AA558-B558*INT(AA558/B558)))/C558)/100))),0,(IF(B558=C558,AA558/C558,(INT(AA558/B558)+(((AA558-B558*INT(AA558/B558)))/C558)/100))))</f>
        <v>0</v>
      </c>
      <c r="BM558" s="57">
        <f>IF(ISERROR(IF(B558=C558,AB558/C558,(INT(AB558/B558)+(((AB558-B558*INT(AB558/B558)))/C558)/100))),0,(IF(B558=C558,AB558/C558,(INT(AB558/B558)+(((AB558-B558*INT(AB558/B558)))/C558)/100))))</f>
        <v>0</v>
      </c>
      <c r="BN558" s="57">
        <f>IF(ISERROR(IF(B558=C558,AC558/C558,(INT(AC558/B558)+(((AC558-B558*INT(AC558/B558)))/C558)/100))),0,(IF(B558=C558,AC558/C558,(INT(AC558/B558)+(((AC558-B558*INT(AC558/B558)))/C558)/100))))</f>
        <v>0</v>
      </c>
      <c r="BO558" s="57">
        <f>IF(ISERROR(IF(B558=C558,AD558/C558,(INT(AD558/B558)+(((AD558-B558*INT(AD558/B558)))/C558)/100))),0,(IF(B558=C558,AD558/C558,(INT(AD558/B558)+(((AD558-B558*INT(AD558/B558)))/C558)/100))))</f>
        <v>0</v>
      </c>
      <c r="BQ558" s="155"/>
    </row>
    <row r="559" spans="1:69" hidden="1" x14ac:dyDescent="0.35">
      <c r="A559" s="94"/>
      <c r="B559" s="113">
        <v>0</v>
      </c>
      <c r="C559" s="113">
        <v>250</v>
      </c>
      <c r="D559" s="28">
        <f>SUM(AA559:AD559)</f>
        <v>0</v>
      </c>
      <c r="E559" s="113">
        <v>0</v>
      </c>
      <c r="F559" s="113">
        <v>0</v>
      </c>
      <c r="G559" s="28">
        <f>SUM(D559:F559)</f>
        <v>0</v>
      </c>
      <c r="H559" s="125">
        <v>0</v>
      </c>
      <c r="I559" s="113">
        <v>0</v>
      </c>
      <c r="J559" s="125">
        <v>0</v>
      </c>
      <c r="K559" s="113">
        <v>0</v>
      </c>
      <c r="L559" s="113">
        <v>0</v>
      </c>
      <c r="M559" s="113">
        <v>0</v>
      </c>
      <c r="N559" s="28">
        <f>G559-SUM(H559:M559)</f>
        <v>0</v>
      </c>
      <c r="O559" s="28">
        <f>SUM(V559:Y559)</f>
        <v>0</v>
      </c>
      <c r="P559" s="28">
        <f>O559-N559</f>
        <v>0</v>
      </c>
      <c r="Q559" s="61" t="str">
        <f>IF(ISERROR(P559/SUM(H559:L559)),"",P559/SUM(H559:L559))</f>
        <v/>
      </c>
      <c r="R559" s="113">
        <v>0</v>
      </c>
      <c r="S559" s="28">
        <f>IF(ISERROR(P559/C559*R559),0,(P559/C559*R559))</f>
        <v>0</v>
      </c>
      <c r="T559" s="60">
        <f>IF(ISERROR(P559/B559*AF559),0,(P559/B559*AF559))</f>
        <v>0</v>
      </c>
      <c r="V559" s="113">
        <v>0</v>
      </c>
      <c r="W559" s="113">
        <v>0</v>
      </c>
      <c r="X559" s="113">
        <v>0</v>
      </c>
      <c r="Y559" s="113">
        <v>0</v>
      </c>
      <c r="AA559" s="113">
        <v>0</v>
      </c>
      <c r="AB559" s="113">
        <v>0</v>
      </c>
      <c r="AC559" s="113">
        <v>0</v>
      </c>
      <c r="AD559" s="113">
        <v>0</v>
      </c>
      <c r="AF559" s="113">
        <v>0</v>
      </c>
      <c r="AG559" s="28">
        <f>G559-O559</f>
        <v>0</v>
      </c>
      <c r="AH559" s="58">
        <f>IF(ISERROR(AG559/B559*AF559),0,(AG559/B559*AF559))</f>
        <v>0</v>
      </c>
      <c r="AI559" s="28">
        <f>SUM(H559:M559)</f>
        <v>0</v>
      </c>
      <c r="AJ559" s="28">
        <f>IF(ISERROR(AI559/B559*AF559),0,(AI559/B559*AF559))</f>
        <v>0</v>
      </c>
      <c r="AK559" s="58">
        <f>IF(ISERROR(O559/B559*AF559),0,(O559/B559*AF559))</f>
        <v>0</v>
      </c>
      <c r="AL559" s="28">
        <f>IF(ISERROR(H559/B559*AF559),0,(H559/B559*AF559))</f>
        <v>0</v>
      </c>
      <c r="AN559" s="51">
        <f>A559</f>
        <v>0</v>
      </c>
      <c r="AO559" s="57">
        <f>IF(ISERROR(IF(B559=C559,D559/C559,(INT(D559/B559)+(((D559-B559*INT(D559/B559)))/C559)/100))),0,(IF(B559=C559,D559/C559,(INT(D559/B559)+(((D559-B559*INT(D559/B559)))/C559)/100))))</f>
        <v>0</v>
      </c>
      <c r="AP559" s="57">
        <f>IF(ISERROR(IF(B559=C559,E559/C559,(INT(E559/B559)+(((E559-B559*INT(E559/B559)))/C559)/100))),0,(IF(B559=C559,E559/C559,(INT(E559/B559)+(((E559-B559*INT(E559/B559)))/C559)/100))))</f>
        <v>0</v>
      </c>
      <c r="AQ559" s="57">
        <f>IF(ISERROR(IF(B559=C559,F559/C559,IF((INT(F559/B559)+(((F559-B559*INT(F559/B559)))/C559)/100)&lt;0,(INT(F559/B559)+(((F559-B559*INT(F559/B559)))/C559)/100)+(1-(B559/C559/100)),(INT(F559/B559)+(((F559-B559*INT(F559/B559)))/C559)/100)))),0,IF(B559=C559,F559/C559,IF((INT(F559/B559)+(((F559-B559*INT(F559/B559)))/C559)/100)&lt;0,(INT(F559/B559)+(((F559-B559*INT(F559/B559)))/C559)/100)+(1-(B559/C559/100)),(INT(F559/B559)+(((F559-B559*INT(F559/B559)))/C559)/100))))</f>
        <v>0</v>
      </c>
      <c r="AR559" s="57">
        <f>IF(ISERROR(IF(B559=C559,G559/C559,(INT(G559/B559)+(((G559-B559*INT(G559/B559)))/C559)/100))),0,(IF(B559=C559,G559/C559,(INT(G559/B559)+(((G559-B559*INT(G559/B559)))/C559)/100))))</f>
        <v>0</v>
      </c>
      <c r="AS559" s="57">
        <f>IF(ISERROR(IF(B559=C559,H559/C559,(INT(H559/B559)+(((H559-B559*INT(H559/B559)))/C559)/100))),0,(IF(B559=C559,H559/C559,(INT(H559/B559)+(((H559-B559*INT(H559/B559)))/C559)/100))))</f>
        <v>0</v>
      </c>
      <c r="AT559" s="57">
        <f>IF(ISERROR(IF(B559=C559,I559/C559,(INT(I559/B559)+(((I559-B559*INT(I559/B559)))/C559)/100))),0,(IF(B559=C559,I559/C559,(INT(I559/B559)+(((I559-B559*INT(I559/B559)))/C559)/100))))</f>
        <v>0</v>
      </c>
      <c r="AU559" s="57">
        <f>IF(ISERROR(IF(B559=C559,J559/C559,(INT(J559/B559)+(((J559-B559*INT(J559/B559)))/C559)/100))),0,(IF(B559=C559,J559/C559,(INT(J559/B559)+(((J559-B559*INT(J559/B559)))/C559)/100))))</f>
        <v>0</v>
      </c>
      <c r="AV559" s="57">
        <f>IF(ISERROR(IF(B559=C559,K559/C559,IF((INT(K559/B559)+(((K559-B559*INT(K559/B559)))/C559)/100)&lt;0,(INT(K559/B559)+(((K559-B559*INT(K559/B559)))/C559)/100)+(1-(B559/C559/100)),(INT(K559/B559)+(((K559-B559*INT(K559/B559)))/C559)/100)))),0,IF(B559=C559,K559/C559,IF((INT(K559/B559)+(((K559-B559*INT(K559/B559)))/C559)/100)&lt;0,(INT(K559/B559)+(((K559-B559*INT(K559/B559)))/C559)/100)+(1-(B559/C559/100)),(INT(K559/B559)+(((K559-B559*INT(K559/B559)))/C559)/100))))</f>
        <v>0</v>
      </c>
      <c r="AW559" s="57">
        <f>IF(ISERROR(IF(B559=C559,L559/C559,(INT(L559/B559)+(((L559-B559*INT(L559/B559)))/C559)/100))),0,(IF(B559=C559,L559/C559,(INT(L559/B559)+(((L559-B559*INT(L559/B559)))/C559)/100))))</f>
        <v>0</v>
      </c>
      <c r="AX559" s="57">
        <f>IF(ISERROR(IF(B559=C559,M559/C559,(INT(M559/B559)+(((M559-B559*INT(M559/B559)))/C559)/100))),0,(IF(B559=C559,M559/C559,(INT(M559/B559)+(((M559-B559*INT(M559/B559)))/C559)/100))))</f>
        <v>0</v>
      </c>
      <c r="AY559" s="57">
        <f>IF(ISERROR(IF(B559=C559,N559/C559,IF((INT(N559/B559)+(((N559-B559*INT(N559/B559)))/C559)/100)&lt;0,(INT(N559/B559)+(((N559-B559*INT(N559/B559)))/C559)/100)+(1-(B559/C559/100)),(INT(N559/B559)+(((N559-B559*INT(N559/B559)))/C559)/100)))),0,IF(B559=C559,N559/C559,IF((INT(N559/B559)+(((N559-B559*INT(N559/B559)))/C559)/100)&lt;0,(INT(N559/B559)+(((N559-B559*INT(N559/B559)))/C559)/100)+(1-(B559/C559/100)),(INT(N559/B559)+(((N559-B559*INT(N559/B559)))/C559)/100))))</f>
        <v>0</v>
      </c>
      <c r="AZ559" s="57">
        <f>IF(ISERROR(IF(B559=C559,O559/C559,(INT(O559/B559)+(((O559-B559*INT(O559/B559)))/C559)/100))),0,(IF(B559=C559,O559/C559,(INT(O559/B559)+(((O559-B559*INT(O559/B559)))/C559)/100))))</f>
        <v>0</v>
      </c>
      <c r="BA559" s="57">
        <f>IF(ISERROR(IF(B559=C559,P559/C559,IF((INT(P559/B559)+(((P559-B559*INT(P559/B559)))/C559)/100)&lt;0,(INT(P559/B559)+(((P559-B559*INT(P559/B559)))/C559)/100)+(1-(B559/C559/100)),(INT(P559/B559)+(((P559-B559*INT(P559/B559)))/C559)/100)))),0,IF(B559=C559,P559/C559,IF((INT(P559/B559)+(((P559-B559*INT(P559/B559)))/C559)/100)&lt;0,(INT(P559/B559)+(((P559-B559*INT(P559/B559)))/C559)/100)+(1-(B559/C559/100)),(INT(P559/B559)+(((P559-B559*INT(P559/B559)))/C559)/100))))</f>
        <v>0</v>
      </c>
      <c r="BB559" s="28">
        <f>R559</f>
        <v>0</v>
      </c>
      <c r="BC559" s="28">
        <f>S559</f>
        <v>0</v>
      </c>
      <c r="BD559" s="28">
        <f>AF559</f>
        <v>0</v>
      </c>
      <c r="BE559" s="28">
        <f>T559</f>
        <v>0</v>
      </c>
      <c r="BG559" s="57">
        <f>IF(ISERROR(IF(B559=C559,V559/C559,(INT(V559/B559)+(((V559-B559*INT(V559/B559)))/C559)/100))),0,(IF(B559=C559,V559/C559,(INT(V559/B559)+(((V559-B559*INT(V559/B559)))/C559)/100))))</f>
        <v>0</v>
      </c>
      <c r="BH559" s="57">
        <f>IF(ISERROR(IF(B559=C559,W559/C559,(INT(W559/B559)+(((W559-B559*INT(W559/B559)))/C559)/100))),0,(IF(B559=C559,W559/C559,(INT(W559/B559)+(((W559-B559*INT(W559/B559)))/C559)/100))))</f>
        <v>0</v>
      </c>
      <c r="BI559" s="57">
        <f>IF(ISERROR(IF(B559=C559,X559/C559,(INT(X559/B559)+(((X559-B559*INT(X559/B559)))/C559)/100))),0,(IF(B559=C559,X559/C559,(INT(X559/B559)+(((X559-B559*INT(X559/B559)))/C559)/100))))</f>
        <v>0</v>
      </c>
      <c r="BJ559" s="57">
        <f>IF(ISERROR(IF(B559=C559,Y559/C559,(INT(Y559/B559)+(((Y559-B559*INT(Y559/B559)))/C559)/100))),0,(IF(B559=C559,Y559/C559,(INT(Y559/B559)+(((Y559-B559*INT(Y559/B559)))/C559)/100))))</f>
        <v>0</v>
      </c>
      <c r="BL559" s="57">
        <f>IF(ISERROR(IF(B559=C559,AA559/C559,(INT(AA559/B559)+(((AA559-B559*INT(AA559/B559)))/C559)/100))),0,(IF(B559=C559,AA559/C559,(INT(AA559/B559)+(((AA559-B559*INT(AA559/B559)))/C559)/100))))</f>
        <v>0</v>
      </c>
      <c r="BM559" s="57">
        <f>IF(ISERROR(IF(B559=C559,AB559/C559,(INT(AB559/B559)+(((AB559-B559*INT(AB559/B559)))/C559)/100))),0,(IF(B559=C559,AB559/C559,(INT(AB559/B559)+(((AB559-B559*INT(AB559/B559)))/C559)/100))))</f>
        <v>0</v>
      </c>
      <c r="BN559" s="57">
        <f>IF(ISERROR(IF(B559=C559,AC559/C559,(INT(AC559/B559)+(((AC559-B559*INT(AC559/B559)))/C559)/100))),0,(IF(B559=C559,AC559/C559,(INT(AC559/B559)+(((AC559-B559*INT(AC559/B559)))/C559)/100))))</f>
        <v>0</v>
      </c>
      <c r="BO559" s="57">
        <f>IF(ISERROR(IF(B559=C559,AD559/C559,(INT(AD559/B559)+(((AD559-B559*INT(AD559/B559)))/C559)/100))),0,(IF(B559=C559,AD559/C559,(INT(AD559/B559)+(((AD559-B559*INT(AD559/B559)))/C559)/100))))</f>
        <v>0</v>
      </c>
      <c r="BQ559" s="155"/>
    </row>
    <row r="560" spans="1:69" hidden="1" x14ac:dyDescent="0.35">
      <c r="A560" s="94"/>
      <c r="B560" s="113">
        <v>0</v>
      </c>
      <c r="C560" s="113">
        <v>250</v>
      </c>
      <c r="D560" s="28">
        <f>SUM(AA560:AD560)</f>
        <v>0</v>
      </c>
      <c r="E560" s="113">
        <v>0</v>
      </c>
      <c r="F560" s="113">
        <v>0</v>
      </c>
      <c r="G560" s="28">
        <f>SUM(D560:F560)</f>
        <v>0</v>
      </c>
      <c r="H560" s="125">
        <v>0</v>
      </c>
      <c r="I560" s="113">
        <v>0</v>
      </c>
      <c r="J560" s="125">
        <v>0</v>
      </c>
      <c r="K560" s="113">
        <v>0</v>
      </c>
      <c r="L560" s="113">
        <v>0</v>
      </c>
      <c r="M560" s="113">
        <v>0</v>
      </c>
      <c r="N560" s="28">
        <f>G560-SUM(H560:M560)</f>
        <v>0</v>
      </c>
      <c r="O560" s="28">
        <f>SUM(V560:Y560)</f>
        <v>0</v>
      </c>
      <c r="P560" s="28">
        <f>O560-N560</f>
        <v>0</v>
      </c>
      <c r="Q560" s="61" t="str">
        <f>IF(ISERROR(P560/SUM(H560:L560)),"",P560/SUM(H560:L560))</f>
        <v/>
      </c>
      <c r="R560" s="113">
        <v>0</v>
      </c>
      <c r="S560" s="28">
        <f>IF(ISERROR(P560/C560*R560),0,(P560/C560*R560))</f>
        <v>0</v>
      </c>
      <c r="T560" s="60">
        <f>IF(ISERROR(P560/B560*AF560),0,(P560/B560*AF560))</f>
        <v>0</v>
      </c>
      <c r="V560" s="113">
        <v>0</v>
      </c>
      <c r="W560" s="113">
        <v>0</v>
      </c>
      <c r="X560" s="113">
        <v>0</v>
      </c>
      <c r="Y560" s="113">
        <v>0</v>
      </c>
      <c r="AA560" s="113">
        <v>0</v>
      </c>
      <c r="AB560" s="113">
        <v>0</v>
      </c>
      <c r="AC560" s="113">
        <v>0</v>
      </c>
      <c r="AD560" s="113">
        <v>0</v>
      </c>
      <c r="AF560" s="113">
        <v>0</v>
      </c>
      <c r="AG560" s="28">
        <f>G560-O560</f>
        <v>0</v>
      </c>
      <c r="AH560" s="58">
        <f>IF(ISERROR(AG560/B560*AF560),0,(AG560/B560*AF560))</f>
        <v>0</v>
      </c>
      <c r="AI560" s="28">
        <f>SUM(H560:M560)</f>
        <v>0</v>
      </c>
      <c r="AJ560" s="28">
        <f>IF(ISERROR(AI560/B560*AF560),0,(AI560/B560*AF560))</f>
        <v>0</v>
      </c>
      <c r="AK560" s="58">
        <f>IF(ISERROR(O560/B560*AF560),0,(O560/B560*AF560))</f>
        <v>0</v>
      </c>
      <c r="AL560" s="28">
        <f>IF(ISERROR(H560/B560*AF560),0,(H560/B560*AF560))</f>
        <v>0</v>
      </c>
      <c r="AN560" s="51">
        <f>A560</f>
        <v>0</v>
      </c>
      <c r="AO560" s="57">
        <f>IF(ISERROR(IF(B560=C560,D560/C560,(INT(D560/B560)+(((D560-B560*INT(D560/B560)))/C560)/100))),0,(IF(B560=C560,D560/C560,(INT(D560/B560)+(((D560-B560*INT(D560/B560)))/C560)/100))))</f>
        <v>0</v>
      </c>
      <c r="AP560" s="57">
        <f>IF(ISERROR(IF(B560=C560,E560/C560,(INT(E560/B560)+(((E560-B560*INT(E560/B560)))/C560)/100))),0,(IF(B560=C560,E560/C560,(INT(E560/B560)+(((E560-B560*INT(E560/B560)))/C560)/100))))</f>
        <v>0</v>
      </c>
      <c r="AQ560" s="57">
        <f>IF(ISERROR(IF(B560=C560,F560/C560,IF((INT(F560/B560)+(((F560-B560*INT(F560/B560)))/C560)/100)&lt;0,(INT(F560/B560)+(((F560-B560*INT(F560/B560)))/C560)/100)+(1-(B560/C560/100)),(INT(F560/B560)+(((F560-B560*INT(F560/B560)))/C560)/100)))),0,IF(B560=C560,F560/C560,IF((INT(F560/B560)+(((F560-B560*INT(F560/B560)))/C560)/100)&lt;0,(INT(F560/B560)+(((F560-B560*INT(F560/B560)))/C560)/100)+(1-(B560/C560/100)),(INT(F560/B560)+(((F560-B560*INT(F560/B560)))/C560)/100))))</f>
        <v>0</v>
      </c>
      <c r="AR560" s="57">
        <f>IF(ISERROR(IF(B560=C560,G560/C560,(INT(G560/B560)+(((G560-B560*INT(G560/B560)))/C560)/100))),0,(IF(B560=C560,G560/C560,(INT(G560/B560)+(((G560-B560*INT(G560/B560)))/C560)/100))))</f>
        <v>0</v>
      </c>
      <c r="AS560" s="57">
        <f>IF(ISERROR(IF(B560=C560,H560/C560,(INT(H560/B560)+(((H560-B560*INT(H560/B560)))/C560)/100))),0,(IF(B560=C560,H560/C560,(INT(H560/B560)+(((H560-B560*INT(H560/B560)))/C560)/100))))</f>
        <v>0</v>
      </c>
      <c r="AT560" s="57">
        <f>IF(ISERROR(IF(B560=C560,I560/C560,(INT(I560/B560)+(((I560-B560*INT(I560/B560)))/C560)/100))),0,(IF(B560=C560,I560/C560,(INT(I560/B560)+(((I560-B560*INT(I560/B560)))/C560)/100))))</f>
        <v>0</v>
      </c>
      <c r="AU560" s="57">
        <f>IF(ISERROR(IF(B560=C560,J560/C560,(INT(J560/B560)+(((J560-B560*INT(J560/B560)))/C560)/100))),0,(IF(B560=C560,J560/C560,(INT(J560/B560)+(((J560-B560*INT(J560/B560)))/C560)/100))))</f>
        <v>0</v>
      </c>
      <c r="AV560" s="57">
        <f>IF(ISERROR(IF(B560=C560,K560/C560,IF((INT(K560/B560)+(((K560-B560*INT(K560/B560)))/C560)/100)&lt;0,(INT(K560/B560)+(((K560-B560*INT(K560/B560)))/C560)/100)+(1-(B560/C560/100)),(INT(K560/B560)+(((K560-B560*INT(K560/B560)))/C560)/100)))),0,IF(B560=C560,K560/C560,IF((INT(K560/B560)+(((K560-B560*INT(K560/B560)))/C560)/100)&lt;0,(INT(K560/B560)+(((K560-B560*INT(K560/B560)))/C560)/100)+(1-(B560/C560/100)),(INT(K560/B560)+(((K560-B560*INT(K560/B560)))/C560)/100))))</f>
        <v>0</v>
      </c>
      <c r="AW560" s="57">
        <f>IF(ISERROR(IF(B560=C560,L560/C560,(INT(L560/B560)+(((L560-B560*INT(L560/B560)))/C560)/100))),0,(IF(B560=C560,L560/C560,(INT(L560/B560)+(((L560-B560*INT(L560/B560)))/C560)/100))))</f>
        <v>0</v>
      </c>
      <c r="AX560" s="57">
        <f>IF(ISERROR(IF(B560=C560,M560/C560,(INT(M560/B560)+(((M560-B560*INT(M560/B560)))/C560)/100))),0,(IF(B560=C560,M560/C560,(INT(M560/B560)+(((M560-B560*INT(M560/B560)))/C560)/100))))</f>
        <v>0</v>
      </c>
      <c r="AY560" s="57">
        <f>IF(ISERROR(IF(B560=C560,N560/C560,IF((INT(N560/B560)+(((N560-B560*INT(N560/B560)))/C560)/100)&lt;0,(INT(N560/B560)+(((N560-B560*INT(N560/B560)))/C560)/100)+(1-(B560/C560/100)),(INT(N560/B560)+(((N560-B560*INT(N560/B560)))/C560)/100)))),0,IF(B560=C560,N560/C560,IF((INT(N560/B560)+(((N560-B560*INT(N560/B560)))/C560)/100)&lt;0,(INT(N560/B560)+(((N560-B560*INT(N560/B560)))/C560)/100)+(1-(B560/C560/100)),(INT(N560/B560)+(((N560-B560*INT(N560/B560)))/C560)/100))))</f>
        <v>0</v>
      </c>
      <c r="AZ560" s="57">
        <f>IF(ISERROR(IF(B560=C560,O560/C560,(INT(O560/B560)+(((O560-B560*INT(O560/B560)))/C560)/100))),0,(IF(B560=C560,O560/C560,(INT(O560/B560)+(((O560-B560*INT(O560/B560)))/C560)/100))))</f>
        <v>0</v>
      </c>
      <c r="BA560" s="57">
        <f>IF(ISERROR(IF(B560=C560,P560/C560,IF((INT(P560/B560)+(((P560-B560*INT(P560/B560)))/C560)/100)&lt;0,(INT(P560/B560)+(((P560-B560*INT(P560/B560)))/C560)/100)+(1-(B560/C560/100)),(INT(P560/B560)+(((P560-B560*INT(P560/B560)))/C560)/100)))),0,IF(B560=C560,P560/C560,IF((INT(P560/B560)+(((P560-B560*INT(P560/B560)))/C560)/100)&lt;0,(INT(P560/B560)+(((P560-B560*INT(P560/B560)))/C560)/100)+(1-(B560/C560/100)),(INT(P560/B560)+(((P560-B560*INT(P560/B560)))/C560)/100))))</f>
        <v>0</v>
      </c>
      <c r="BB560" s="28">
        <f>R560</f>
        <v>0</v>
      </c>
      <c r="BC560" s="28">
        <f>S560</f>
        <v>0</v>
      </c>
      <c r="BD560" s="28">
        <f>AF560</f>
        <v>0</v>
      </c>
      <c r="BE560" s="28">
        <f>T560</f>
        <v>0</v>
      </c>
      <c r="BG560" s="57">
        <f>IF(ISERROR(IF(B560=C560,V560/C560,(INT(V560/B560)+(((V560-B560*INT(V560/B560)))/C560)/100))),0,(IF(B560=C560,V560/C560,(INT(V560/B560)+(((V560-B560*INT(V560/B560)))/C560)/100))))</f>
        <v>0</v>
      </c>
      <c r="BH560" s="57">
        <f>IF(ISERROR(IF(B560=C560,W560/C560,(INT(W560/B560)+(((W560-B560*INT(W560/B560)))/C560)/100))),0,(IF(B560=C560,W560/C560,(INT(W560/B560)+(((W560-B560*INT(W560/B560)))/C560)/100))))</f>
        <v>0</v>
      </c>
      <c r="BI560" s="57">
        <f>IF(ISERROR(IF(B560=C560,X560/C560,(INT(X560/B560)+(((X560-B560*INT(X560/B560)))/C560)/100))),0,(IF(B560=C560,X560/C560,(INT(X560/B560)+(((X560-B560*INT(X560/B560)))/C560)/100))))</f>
        <v>0</v>
      </c>
      <c r="BJ560" s="57">
        <f>IF(ISERROR(IF(B560=C560,Y560/C560,(INT(Y560/B560)+(((Y560-B560*INT(Y560/B560)))/C560)/100))),0,(IF(B560=C560,Y560/C560,(INT(Y560/B560)+(((Y560-B560*INT(Y560/B560)))/C560)/100))))</f>
        <v>0</v>
      </c>
      <c r="BL560" s="57">
        <f>IF(ISERROR(IF(B560=C560,AA560/C560,(INT(AA560/B560)+(((AA560-B560*INT(AA560/B560)))/C560)/100))),0,(IF(B560=C560,AA560/C560,(INT(AA560/B560)+(((AA560-B560*INT(AA560/B560)))/C560)/100))))</f>
        <v>0</v>
      </c>
      <c r="BM560" s="57">
        <f>IF(ISERROR(IF(B560=C560,AB560/C560,(INT(AB560/B560)+(((AB560-B560*INT(AB560/B560)))/C560)/100))),0,(IF(B560=C560,AB560/C560,(INT(AB560/B560)+(((AB560-B560*INT(AB560/B560)))/C560)/100))))</f>
        <v>0</v>
      </c>
      <c r="BN560" s="57">
        <f>IF(ISERROR(IF(B560=C560,AC560/C560,(INT(AC560/B560)+(((AC560-B560*INT(AC560/B560)))/C560)/100))),0,(IF(B560=C560,AC560/C560,(INT(AC560/B560)+(((AC560-B560*INT(AC560/B560)))/C560)/100))))</f>
        <v>0</v>
      </c>
      <c r="BO560" s="57">
        <f>IF(ISERROR(IF(B560=C560,AD560/C560,(INT(AD560/B560)+(((AD560-B560*INT(AD560/B560)))/C560)/100))),0,(IF(B560=C560,AD560/C560,(INT(AD560/B560)+(((AD560-B560*INT(AD560/B560)))/C560)/100))))</f>
        <v>0</v>
      </c>
      <c r="BQ560" s="155"/>
    </row>
    <row r="561" spans="1:69" hidden="1" x14ac:dyDescent="0.35">
      <c r="A561" s="94"/>
      <c r="B561" s="113">
        <v>0</v>
      </c>
      <c r="C561" s="113">
        <v>250</v>
      </c>
      <c r="D561" s="28">
        <f>SUM(AA561:AD561)</f>
        <v>0</v>
      </c>
      <c r="E561" s="113">
        <v>0</v>
      </c>
      <c r="F561" s="113">
        <v>0</v>
      </c>
      <c r="G561" s="28">
        <f>SUM(D561:F561)</f>
        <v>0</v>
      </c>
      <c r="H561" s="125">
        <v>0</v>
      </c>
      <c r="I561" s="113">
        <v>0</v>
      </c>
      <c r="J561" s="125">
        <v>0</v>
      </c>
      <c r="K561" s="113">
        <v>0</v>
      </c>
      <c r="L561" s="113">
        <v>0</v>
      </c>
      <c r="M561" s="113">
        <v>0</v>
      </c>
      <c r="N561" s="28">
        <f>G561-SUM(H561:M561)</f>
        <v>0</v>
      </c>
      <c r="O561" s="28">
        <f>SUM(V561:Y561)</f>
        <v>0</v>
      </c>
      <c r="P561" s="28">
        <f>O561-N561</f>
        <v>0</v>
      </c>
      <c r="Q561" s="61" t="str">
        <f>IF(ISERROR(P561/SUM(H561:L561)),"",P561/SUM(H561:L561))</f>
        <v/>
      </c>
      <c r="R561" s="113">
        <v>0</v>
      </c>
      <c r="S561" s="28">
        <f>IF(ISERROR(P561/C561*R561),0,(P561/C561*R561))</f>
        <v>0</v>
      </c>
      <c r="T561" s="60">
        <f>IF(ISERROR(P561/B561*AF561),0,(P561/B561*AF561))</f>
        <v>0</v>
      </c>
      <c r="V561" s="113">
        <v>0</v>
      </c>
      <c r="W561" s="113">
        <v>0</v>
      </c>
      <c r="X561" s="113">
        <v>0</v>
      </c>
      <c r="Y561" s="113">
        <v>0</v>
      </c>
      <c r="AA561" s="113">
        <v>0</v>
      </c>
      <c r="AB561" s="113">
        <v>0</v>
      </c>
      <c r="AC561" s="113">
        <v>0</v>
      </c>
      <c r="AD561" s="113">
        <v>0</v>
      </c>
      <c r="AF561" s="113">
        <v>0</v>
      </c>
      <c r="AG561" s="28">
        <f>G561-O561</f>
        <v>0</v>
      </c>
      <c r="AH561" s="58">
        <f>IF(ISERROR(AG561/B561*AF561),0,(AG561/B561*AF561))</f>
        <v>0</v>
      </c>
      <c r="AI561" s="28">
        <f>SUM(H561:M561)</f>
        <v>0</v>
      </c>
      <c r="AJ561" s="28">
        <f>IF(ISERROR(AI561/B561*AF561),0,(AI561/B561*AF561))</f>
        <v>0</v>
      </c>
      <c r="AK561" s="58">
        <f>IF(ISERROR(O561/B561*AF561),0,(O561/B561*AF561))</f>
        <v>0</v>
      </c>
      <c r="AL561" s="28">
        <f>IF(ISERROR(H561/B561*AF561),0,(H561/B561*AF561))</f>
        <v>0</v>
      </c>
      <c r="AN561" s="51">
        <f>A561</f>
        <v>0</v>
      </c>
      <c r="AO561" s="57">
        <f>IF(ISERROR(IF(B561=C561,D561/C561,(INT(D561/B561)+(((D561-B561*INT(D561/B561)))/C561)/100))),0,(IF(B561=C561,D561/C561,(INT(D561/B561)+(((D561-B561*INT(D561/B561)))/C561)/100))))</f>
        <v>0</v>
      </c>
      <c r="AP561" s="57">
        <f>IF(ISERROR(IF(B561=C561,E561/C561,(INT(E561/B561)+(((E561-B561*INT(E561/B561)))/C561)/100))),0,(IF(B561=C561,E561/C561,(INT(E561/B561)+(((E561-B561*INT(E561/B561)))/C561)/100))))</f>
        <v>0</v>
      </c>
      <c r="AQ561" s="57">
        <f>IF(ISERROR(IF(B561=C561,F561/C561,IF((INT(F561/B561)+(((F561-B561*INT(F561/B561)))/C561)/100)&lt;0,(INT(F561/B561)+(((F561-B561*INT(F561/B561)))/C561)/100)+(1-(B561/C561/100)),(INT(F561/B561)+(((F561-B561*INT(F561/B561)))/C561)/100)))),0,IF(B561=C561,F561/C561,IF((INT(F561/B561)+(((F561-B561*INT(F561/B561)))/C561)/100)&lt;0,(INT(F561/B561)+(((F561-B561*INT(F561/B561)))/C561)/100)+(1-(B561/C561/100)),(INT(F561/B561)+(((F561-B561*INT(F561/B561)))/C561)/100))))</f>
        <v>0</v>
      </c>
      <c r="AR561" s="57">
        <f>IF(ISERROR(IF(B561=C561,G561/C561,(INT(G561/B561)+(((G561-B561*INT(G561/B561)))/C561)/100))),0,(IF(B561=C561,G561/C561,(INT(G561/B561)+(((G561-B561*INT(G561/B561)))/C561)/100))))</f>
        <v>0</v>
      </c>
      <c r="AS561" s="57">
        <f>IF(ISERROR(IF(B561=C561,H561/C561,(INT(H561/B561)+(((H561-B561*INT(H561/B561)))/C561)/100))),0,(IF(B561=C561,H561/C561,(INT(H561/B561)+(((H561-B561*INT(H561/B561)))/C561)/100))))</f>
        <v>0</v>
      </c>
      <c r="AT561" s="57">
        <f>IF(ISERROR(IF(B561=C561,I561/C561,(INT(I561/B561)+(((I561-B561*INT(I561/B561)))/C561)/100))),0,(IF(B561=C561,I561/C561,(INT(I561/B561)+(((I561-B561*INT(I561/B561)))/C561)/100))))</f>
        <v>0</v>
      </c>
      <c r="AU561" s="57">
        <f>IF(ISERROR(IF(B561=C561,J561/C561,(INT(J561/B561)+(((J561-B561*INT(J561/B561)))/C561)/100))),0,(IF(B561=C561,J561/C561,(INT(J561/B561)+(((J561-B561*INT(J561/B561)))/C561)/100))))</f>
        <v>0</v>
      </c>
      <c r="AV561" s="57">
        <f>IF(ISERROR(IF(B561=C561,K561/C561,IF((INT(K561/B561)+(((K561-B561*INT(K561/B561)))/C561)/100)&lt;0,(INT(K561/B561)+(((K561-B561*INT(K561/B561)))/C561)/100)+(1-(B561/C561/100)),(INT(K561/B561)+(((K561-B561*INT(K561/B561)))/C561)/100)))),0,IF(B561=C561,K561/C561,IF((INT(K561/B561)+(((K561-B561*INT(K561/B561)))/C561)/100)&lt;0,(INT(K561/B561)+(((K561-B561*INT(K561/B561)))/C561)/100)+(1-(B561/C561/100)),(INT(K561/B561)+(((K561-B561*INT(K561/B561)))/C561)/100))))</f>
        <v>0</v>
      </c>
      <c r="AW561" s="57">
        <f>IF(ISERROR(IF(B561=C561,L561/C561,(INT(L561/B561)+(((L561-B561*INT(L561/B561)))/C561)/100))),0,(IF(B561=C561,L561/C561,(INT(L561/B561)+(((L561-B561*INT(L561/B561)))/C561)/100))))</f>
        <v>0</v>
      </c>
      <c r="AX561" s="57">
        <f>IF(ISERROR(IF(B561=C561,M561/C561,(INT(M561/B561)+(((M561-B561*INT(M561/B561)))/C561)/100))),0,(IF(B561=C561,M561/C561,(INT(M561/B561)+(((M561-B561*INT(M561/B561)))/C561)/100))))</f>
        <v>0</v>
      </c>
      <c r="AY561" s="57">
        <f>IF(ISERROR(IF(B561=C561,N561/C561,IF((INT(N561/B561)+(((N561-B561*INT(N561/B561)))/C561)/100)&lt;0,(INT(N561/B561)+(((N561-B561*INT(N561/B561)))/C561)/100)+(1-(B561/C561/100)),(INT(N561/B561)+(((N561-B561*INT(N561/B561)))/C561)/100)))),0,IF(B561=C561,N561/C561,IF((INT(N561/B561)+(((N561-B561*INT(N561/B561)))/C561)/100)&lt;0,(INT(N561/B561)+(((N561-B561*INT(N561/B561)))/C561)/100)+(1-(B561/C561/100)),(INT(N561/B561)+(((N561-B561*INT(N561/B561)))/C561)/100))))</f>
        <v>0</v>
      </c>
      <c r="AZ561" s="57">
        <f>IF(ISERROR(IF(B561=C561,O561/C561,(INT(O561/B561)+(((O561-B561*INT(O561/B561)))/C561)/100))),0,(IF(B561=C561,O561/C561,(INT(O561/B561)+(((O561-B561*INT(O561/B561)))/C561)/100))))</f>
        <v>0</v>
      </c>
      <c r="BA561" s="57">
        <f>IF(ISERROR(IF(B561=C561,P561/C561,IF((INT(P561/B561)+(((P561-B561*INT(P561/B561)))/C561)/100)&lt;0,(INT(P561/B561)+(((P561-B561*INT(P561/B561)))/C561)/100)+(1-(B561/C561/100)),(INT(P561/B561)+(((P561-B561*INT(P561/B561)))/C561)/100)))),0,IF(B561=C561,P561/C561,IF((INT(P561/B561)+(((P561-B561*INT(P561/B561)))/C561)/100)&lt;0,(INT(P561/B561)+(((P561-B561*INT(P561/B561)))/C561)/100)+(1-(B561/C561/100)),(INT(P561/B561)+(((P561-B561*INT(P561/B561)))/C561)/100))))</f>
        <v>0</v>
      </c>
      <c r="BB561" s="28">
        <f>R561</f>
        <v>0</v>
      </c>
      <c r="BC561" s="28">
        <f>S561</f>
        <v>0</v>
      </c>
      <c r="BD561" s="28">
        <f>AF561</f>
        <v>0</v>
      </c>
      <c r="BE561" s="28">
        <f>T561</f>
        <v>0</v>
      </c>
      <c r="BG561" s="57">
        <f>IF(ISERROR(IF(B561=C561,V561/C561,(INT(V561/B561)+(((V561-B561*INT(V561/B561)))/C561)/100))),0,(IF(B561=C561,V561/C561,(INT(V561/B561)+(((V561-B561*INT(V561/B561)))/C561)/100))))</f>
        <v>0</v>
      </c>
      <c r="BH561" s="57">
        <f>IF(ISERROR(IF(B561=C561,W561/C561,(INT(W561/B561)+(((W561-B561*INT(W561/B561)))/C561)/100))),0,(IF(B561=C561,W561/C561,(INT(W561/B561)+(((W561-B561*INT(W561/B561)))/C561)/100))))</f>
        <v>0</v>
      </c>
      <c r="BI561" s="57">
        <f>IF(ISERROR(IF(B561=C561,X561/C561,(INT(X561/B561)+(((X561-B561*INT(X561/B561)))/C561)/100))),0,(IF(B561=C561,X561/C561,(INT(X561/B561)+(((X561-B561*INT(X561/B561)))/C561)/100))))</f>
        <v>0</v>
      </c>
      <c r="BJ561" s="57">
        <f>IF(ISERROR(IF(B561=C561,Y561/C561,(INT(Y561/B561)+(((Y561-B561*INT(Y561/B561)))/C561)/100))),0,(IF(B561=C561,Y561/C561,(INT(Y561/B561)+(((Y561-B561*INT(Y561/B561)))/C561)/100))))</f>
        <v>0</v>
      </c>
      <c r="BL561" s="57">
        <f>IF(ISERROR(IF(B561=C561,AA561/C561,(INT(AA561/B561)+(((AA561-B561*INT(AA561/B561)))/C561)/100))),0,(IF(B561=C561,AA561/C561,(INT(AA561/B561)+(((AA561-B561*INT(AA561/B561)))/C561)/100))))</f>
        <v>0</v>
      </c>
      <c r="BM561" s="57">
        <f>IF(ISERROR(IF(B561=C561,AB561/C561,(INT(AB561/B561)+(((AB561-B561*INT(AB561/B561)))/C561)/100))),0,(IF(B561=C561,AB561/C561,(INT(AB561/B561)+(((AB561-B561*INT(AB561/B561)))/C561)/100))))</f>
        <v>0</v>
      </c>
      <c r="BN561" s="57">
        <f>IF(ISERROR(IF(B561=C561,AC561/C561,(INT(AC561/B561)+(((AC561-B561*INT(AC561/B561)))/C561)/100))),0,(IF(B561=C561,AC561/C561,(INT(AC561/B561)+(((AC561-B561*INT(AC561/B561)))/C561)/100))))</f>
        <v>0</v>
      </c>
      <c r="BO561" s="57">
        <f>IF(ISERROR(IF(B561=C561,AD561/C561,(INT(AD561/B561)+(((AD561-B561*INT(AD561/B561)))/C561)/100))),0,(IF(B561=C561,AD561/C561,(INT(AD561/B561)+(((AD561-B561*INT(AD561/B561)))/C561)/100))))</f>
        <v>0</v>
      </c>
      <c r="BQ561" s="155"/>
    </row>
    <row r="562" spans="1:69" hidden="1" x14ac:dyDescent="0.35">
      <c r="A562" s="94"/>
      <c r="B562" s="113">
        <v>0</v>
      </c>
      <c r="C562" s="113">
        <v>250</v>
      </c>
      <c r="D562" s="28">
        <f>SUM(AA562:AD562)</f>
        <v>0</v>
      </c>
      <c r="E562" s="113">
        <v>0</v>
      </c>
      <c r="F562" s="113">
        <v>0</v>
      </c>
      <c r="G562" s="28">
        <f>SUM(D562:F562)</f>
        <v>0</v>
      </c>
      <c r="H562" s="125">
        <v>0</v>
      </c>
      <c r="I562" s="113">
        <v>0</v>
      </c>
      <c r="J562" s="125">
        <v>0</v>
      </c>
      <c r="K562" s="113">
        <v>0</v>
      </c>
      <c r="L562" s="113">
        <v>0</v>
      </c>
      <c r="M562" s="113">
        <v>0</v>
      </c>
      <c r="N562" s="28">
        <f>G562-SUM(H562:M562)</f>
        <v>0</v>
      </c>
      <c r="O562" s="28">
        <f>SUM(V562:Y562)</f>
        <v>0</v>
      </c>
      <c r="P562" s="28">
        <f>O562-N562</f>
        <v>0</v>
      </c>
      <c r="Q562" s="61" t="str">
        <f>IF(ISERROR(P562/SUM(H562:L562)),"",P562/SUM(H562:L562))</f>
        <v/>
      </c>
      <c r="R562" s="113">
        <v>0</v>
      </c>
      <c r="S562" s="28">
        <f>IF(ISERROR(P562/C562*R562),0,(P562/C562*R562))</f>
        <v>0</v>
      </c>
      <c r="T562" s="60">
        <f>IF(ISERROR(P562/B562*AF562),0,(P562/B562*AF562))</f>
        <v>0</v>
      </c>
      <c r="V562" s="113">
        <v>0</v>
      </c>
      <c r="W562" s="113">
        <v>0</v>
      </c>
      <c r="X562" s="113">
        <v>0</v>
      </c>
      <c r="Y562" s="113">
        <v>0</v>
      </c>
      <c r="AA562" s="113">
        <v>0</v>
      </c>
      <c r="AB562" s="113">
        <v>0</v>
      </c>
      <c r="AC562" s="113">
        <v>0</v>
      </c>
      <c r="AD562" s="113">
        <v>0</v>
      </c>
      <c r="AF562" s="113">
        <v>0</v>
      </c>
      <c r="AG562" s="28">
        <f>G562-O562</f>
        <v>0</v>
      </c>
      <c r="AH562" s="58">
        <f>IF(ISERROR(AG562/B562*AF562),0,(AG562/B562*AF562))</f>
        <v>0</v>
      </c>
      <c r="AI562" s="28">
        <f>SUM(H562:M562)</f>
        <v>0</v>
      </c>
      <c r="AJ562" s="28">
        <f>IF(ISERROR(AI562/B562*AF562),0,(AI562/B562*AF562))</f>
        <v>0</v>
      </c>
      <c r="AK562" s="58">
        <f>IF(ISERROR(O562/B562*AF562),0,(O562/B562*AF562))</f>
        <v>0</v>
      </c>
      <c r="AL562" s="28">
        <f>IF(ISERROR(H562/B562*AF562),0,(H562/B562*AF562))</f>
        <v>0</v>
      </c>
      <c r="AN562" s="51">
        <f>A562</f>
        <v>0</v>
      </c>
      <c r="AO562" s="57">
        <f>IF(ISERROR(IF(B562=C562,D562/C562,(INT(D562/B562)+(((D562-B562*INT(D562/B562)))/C562)/100))),0,(IF(B562=C562,D562/C562,(INT(D562/B562)+(((D562-B562*INT(D562/B562)))/C562)/100))))</f>
        <v>0</v>
      </c>
      <c r="AP562" s="57">
        <f>IF(ISERROR(IF(B562=C562,E562/C562,(INT(E562/B562)+(((E562-B562*INT(E562/B562)))/C562)/100))),0,(IF(B562=C562,E562/C562,(INT(E562/B562)+(((E562-B562*INT(E562/B562)))/C562)/100))))</f>
        <v>0</v>
      </c>
      <c r="AQ562" s="57">
        <f>IF(ISERROR(IF(B562=C562,F562/C562,IF((INT(F562/B562)+(((F562-B562*INT(F562/B562)))/C562)/100)&lt;0,(INT(F562/B562)+(((F562-B562*INT(F562/B562)))/C562)/100)+(1-(B562/C562/100)),(INT(F562/B562)+(((F562-B562*INT(F562/B562)))/C562)/100)))),0,IF(B562=C562,F562/C562,IF((INT(F562/B562)+(((F562-B562*INT(F562/B562)))/C562)/100)&lt;0,(INT(F562/B562)+(((F562-B562*INT(F562/B562)))/C562)/100)+(1-(B562/C562/100)),(INT(F562/B562)+(((F562-B562*INT(F562/B562)))/C562)/100))))</f>
        <v>0</v>
      </c>
      <c r="AR562" s="57">
        <f>IF(ISERROR(IF(B562=C562,G562/C562,(INT(G562/B562)+(((G562-B562*INT(G562/B562)))/C562)/100))),0,(IF(B562=C562,G562/C562,(INT(G562/B562)+(((G562-B562*INT(G562/B562)))/C562)/100))))</f>
        <v>0</v>
      </c>
      <c r="AS562" s="57">
        <f>IF(ISERROR(IF(B562=C562,H562/C562,(INT(H562/B562)+(((H562-B562*INT(H562/B562)))/C562)/100))),0,(IF(B562=C562,H562/C562,(INT(H562/B562)+(((H562-B562*INT(H562/B562)))/C562)/100))))</f>
        <v>0</v>
      </c>
      <c r="AT562" s="57">
        <f>IF(ISERROR(IF(B562=C562,I562/C562,(INT(I562/B562)+(((I562-B562*INT(I562/B562)))/C562)/100))),0,(IF(B562=C562,I562/C562,(INT(I562/B562)+(((I562-B562*INT(I562/B562)))/C562)/100))))</f>
        <v>0</v>
      </c>
      <c r="AU562" s="57">
        <f>IF(ISERROR(IF(B562=C562,J562/C562,(INT(J562/B562)+(((J562-B562*INT(J562/B562)))/C562)/100))),0,(IF(B562=C562,J562/C562,(INT(J562/B562)+(((J562-B562*INT(J562/B562)))/C562)/100))))</f>
        <v>0</v>
      </c>
      <c r="AV562" s="57">
        <f>IF(ISERROR(IF(B562=C562,K562/C562,IF((INT(K562/B562)+(((K562-B562*INT(K562/B562)))/C562)/100)&lt;0,(INT(K562/B562)+(((K562-B562*INT(K562/B562)))/C562)/100)+(1-(B562/C562/100)),(INT(K562/B562)+(((K562-B562*INT(K562/B562)))/C562)/100)))),0,IF(B562=C562,K562/C562,IF((INT(K562/B562)+(((K562-B562*INT(K562/B562)))/C562)/100)&lt;0,(INT(K562/B562)+(((K562-B562*INT(K562/B562)))/C562)/100)+(1-(B562/C562/100)),(INT(K562/B562)+(((K562-B562*INT(K562/B562)))/C562)/100))))</f>
        <v>0</v>
      </c>
      <c r="AW562" s="57">
        <f>IF(ISERROR(IF(B562=C562,L562/C562,(INT(L562/B562)+(((L562-B562*INT(L562/B562)))/C562)/100))),0,(IF(B562=C562,L562/C562,(INT(L562/B562)+(((L562-B562*INT(L562/B562)))/C562)/100))))</f>
        <v>0</v>
      </c>
      <c r="AX562" s="57">
        <f>IF(ISERROR(IF(B562=C562,M562/C562,(INT(M562/B562)+(((M562-B562*INT(M562/B562)))/C562)/100))),0,(IF(B562=C562,M562/C562,(INT(M562/B562)+(((M562-B562*INT(M562/B562)))/C562)/100))))</f>
        <v>0</v>
      </c>
      <c r="AY562" s="57">
        <f>IF(ISERROR(IF(B562=C562,N562/C562,IF((INT(N562/B562)+(((N562-B562*INT(N562/B562)))/C562)/100)&lt;0,(INT(N562/B562)+(((N562-B562*INT(N562/B562)))/C562)/100)+(1-(B562/C562/100)),(INT(N562/B562)+(((N562-B562*INT(N562/B562)))/C562)/100)))),0,IF(B562=C562,N562/C562,IF((INT(N562/B562)+(((N562-B562*INT(N562/B562)))/C562)/100)&lt;0,(INT(N562/B562)+(((N562-B562*INT(N562/B562)))/C562)/100)+(1-(B562/C562/100)),(INT(N562/B562)+(((N562-B562*INT(N562/B562)))/C562)/100))))</f>
        <v>0</v>
      </c>
      <c r="AZ562" s="57">
        <f>IF(ISERROR(IF(B562=C562,O562/C562,(INT(O562/B562)+(((O562-B562*INT(O562/B562)))/C562)/100))),0,(IF(B562=C562,O562/C562,(INT(O562/B562)+(((O562-B562*INT(O562/B562)))/C562)/100))))</f>
        <v>0</v>
      </c>
      <c r="BA562" s="57">
        <f>IF(ISERROR(IF(B562=C562,P562/C562,IF((INT(P562/B562)+(((P562-B562*INT(P562/B562)))/C562)/100)&lt;0,(INT(P562/B562)+(((P562-B562*INT(P562/B562)))/C562)/100)+(1-(B562/C562/100)),(INT(P562/B562)+(((P562-B562*INT(P562/B562)))/C562)/100)))),0,IF(B562=C562,P562/C562,IF((INT(P562/B562)+(((P562-B562*INT(P562/B562)))/C562)/100)&lt;0,(INT(P562/B562)+(((P562-B562*INT(P562/B562)))/C562)/100)+(1-(B562/C562/100)),(INT(P562/B562)+(((P562-B562*INT(P562/B562)))/C562)/100))))</f>
        <v>0</v>
      </c>
      <c r="BB562" s="28">
        <f>R562</f>
        <v>0</v>
      </c>
      <c r="BC562" s="28">
        <f>S562</f>
        <v>0</v>
      </c>
      <c r="BD562" s="28">
        <f>AF562</f>
        <v>0</v>
      </c>
      <c r="BE562" s="28">
        <f>T562</f>
        <v>0</v>
      </c>
      <c r="BG562" s="57">
        <f>IF(ISERROR(IF(B562=C562,V562/C562,(INT(V562/B562)+(((V562-B562*INT(V562/B562)))/C562)/100))),0,(IF(B562=C562,V562/C562,(INT(V562/B562)+(((V562-B562*INT(V562/B562)))/C562)/100))))</f>
        <v>0</v>
      </c>
      <c r="BH562" s="57">
        <f>IF(ISERROR(IF(B562=C562,W562/C562,(INT(W562/B562)+(((W562-B562*INT(W562/B562)))/C562)/100))),0,(IF(B562=C562,W562/C562,(INT(W562/B562)+(((W562-B562*INT(W562/B562)))/C562)/100))))</f>
        <v>0</v>
      </c>
      <c r="BI562" s="57">
        <f>IF(ISERROR(IF(B562=C562,X562/C562,(INT(X562/B562)+(((X562-B562*INT(X562/B562)))/C562)/100))),0,(IF(B562=C562,X562/C562,(INT(X562/B562)+(((X562-B562*INT(X562/B562)))/C562)/100))))</f>
        <v>0</v>
      </c>
      <c r="BJ562" s="57">
        <f>IF(ISERROR(IF(B562=C562,Y562/C562,(INT(Y562/B562)+(((Y562-B562*INT(Y562/B562)))/C562)/100))),0,(IF(B562=C562,Y562/C562,(INT(Y562/B562)+(((Y562-B562*INT(Y562/B562)))/C562)/100))))</f>
        <v>0</v>
      </c>
      <c r="BL562" s="57">
        <f>IF(ISERROR(IF(B562=C562,AA562/C562,(INT(AA562/B562)+(((AA562-B562*INT(AA562/B562)))/C562)/100))),0,(IF(B562=C562,AA562/C562,(INT(AA562/B562)+(((AA562-B562*INT(AA562/B562)))/C562)/100))))</f>
        <v>0</v>
      </c>
      <c r="BM562" s="57">
        <f>IF(ISERROR(IF(B562=C562,AB562/C562,(INT(AB562/B562)+(((AB562-B562*INT(AB562/B562)))/C562)/100))),0,(IF(B562=C562,AB562/C562,(INT(AB562/B562)+(((AB562-B562*INT(AB562/B562)))/C562)/100))))</f>
        <v>0</v>
      </c>
      <c r="BN562" s="57">
        <f>IF(ISERROR(IF(B562=C562,AC562/C562,(INT(AC562/B562)+(((AC562-B562*INT(AC562/B562)))/C562)/100))),0,(IF(B562=C562,AC562/C562,(INT(AC562/B562)+(((AC562-B562*INT(AC562/B562)))/C562)/100))))</f>
        <v>0</v>
      </c>
      <c r="BO562" s="57">
        <f>IF(ISERROR(IF(B562=C562,AD562/C562,(INT(AD562/B562)+(((AD562-B562*INT(AD562/B562)))/C562)/100))),0,(IF(B562=C562,AD562/C562,(INT(AD562/B562)+(((AD562-B562*INT(AD562/B562)))/C562)/100))))</f>
        <v>0</v>
      </c>
      <c r="BQ562" s="155"/>
    </row>
    <row r="563" spans="1:69" hidden="1" x14ac:dyDescent="0.35">
      <c r="A563" s="94"/>
      <c r="B563" s="113">
        <v>0</v>
      </c>
      <c r="C563" s="113">
        <v>250</v>
      </c>
      <c r="D563" s="28">
        <f>SUM(AA563:AD563)</f>
        <v>0</v>
      </c>
      <c r="E563" s="113">
        <v>0</v>
      </c>
      <c r="F563" s="113">
        <v>0</v>
      </c>
      <c r="G563" s="28">
        <f>SUM(D563:F563)</f>
        <v>0</v>
      </c>
      <c r="H563" s="125">
        <v>0</v>
      </c>
      <c r="I563" s="113">
        <v>0</v>
      </c>
      <c r="J563" s="125">
        <v>0</v>
      </c>
      <c r="K563" s="113">
        <v>0</v>
      </c>
      <c r="L563" s="113">
        <v>0</v>
      </c>
      <c r="M563" s="113">
        <v>0</v>
      </c>
      <c r="N563" s="28">
        <f>G563-SUM(H563:M563)</f>
        <v>0</v>
      </c>
      <c r="O563" s="28">
        <f>SUM(V563:Y563)</f>
        <v>0</v>
      </c>
      <c r="P563" s="28">
        <f>O563-N563</f>
        <v>0</v>
      </c>
      <c r="Q563" s="61" t="str">
        <f>IF(ISERROR(P563/SUM(H563:L563)),"",P563/SUM(H563:L563))</f>
        <v/>
      </c>
      <c r="R563" s="113">
        <v>0</v>
      </c>
      <c r="S563" s="28">
        <f>IF(ISERROR(P563/C563*R563),0,(P563/C563*R563))</f>
        <v>0</v>
      </c>
      <c r="T563" s="60">
        <f>IF(ISERROR(P563/B563*AF563),0,(P563/B563*AF563))</f>
        <v>0</v>
      </c>
      <c r="V563" s="113">
        <v>0</v>
      </c>
      <c r="W563" s="113">
        <v>0</v>
      </c>
      <c r="X563" s="113">
        <v>0</v>
      </c>
      <c r="Y563" s="113">
        <v>0</v>
      </c>
      <c r="AA563" s="113">
        <v>0</v>
      </c>
      <c r="AB563" s="113">
        <v>0</v>
      </c>
      <c r="AC563" s="113">
        <v>0</v>
      </c>
      <c r="AD563" s="113">
        <v>0</v>
      </c>
      <c r="AF563" s="113">
        <v>0</v>
      </c>
      <c r="AG563" s="28">
        <f>G563-O563</f>
        <v>0</v>
      </c>
      <c r="AH563" s="58">
        <f>IF(ISERROR(AG563/B563*AF563),0,(AG563/B563*AF563))</f>
        <v>0</v>
      </c>
      <c r="AI563" s="28">
        <f>SUM(H563:M563)</f>
        <v>0</v>
      </c>
      <c r="AJ563" s="28">
        <f>IF(ISERROR(AI563/B563*AF563),0,(AI563/B563*AF563))</f>
        <v>0</v>
      </c>
      <c r="AK563" s="58">
        <f>IF(ISERROR(O563/B563*AF563),0,(O563/B563*AF563))</f>
        <v>0</v>
      </c>
      <c r="AL563" s="28">
        <f>IF(ISERROR(H563/B563*AF563),0,(H563/B563*AF563))</f>
        <v>0</v>
      </c>
      <c r="AN563" s="51">
        <f>A563</f>
        <v>0</v>
      </c>
      <c r="AO563" s="57">
        <f>IF(ISERROR(IF(B563=C563,D563/C563,(INT(D563/B563)+(((D563-B563*INT(D563/B563)))/C563)/100))),0,(IF(B563=C563,D563/C563,(INT(D563/B563)+(((D563-B563*INT(D563/B563)))/C563)/100))))</f>
        <v>0</v>
      </c>
      <c r="AP563" s="57">
        <f>IF(ISERROR(IF(B563=C563,E563/C563,(INT(E563/B563)+(((E563-B563*INT(E563/B563)))/C563)/100))),0,(IF(B563=C563,E563/C563,(INT(E563/B563)+(((E563-B563*INT(E563/B563)))/C563)/100))))</f>
        <v>0</v>
      </c>
      <c r="AQ563" s="57">
        <f>IF(ISERROR(IF(B563=C563,F563/C563,IF((INT(F563/B563)+(((F563-B563*INT(F563/B563)))/C563)/100)&lt;0,(INT(F563/B563)+(((F563-B563*INT(F563/B563)))/C563)/100)+(1-(B563/C563/100)),(INT(F563/B563)+(((F563-B563*INT(F563/B563)))/C563)/100)))),0,IF(B563=C563,F563/C563,IF((INT(F563/B563)+(((F563-B563*INT(F563/B563)))/C563)/100)&lt;0,(INT(F563/B563)+(((F563-B563*INT(F563/B563)))/C563)/100)+(1-(B563/C563/100)),(INT(F563/B563)+(((F563-B563*INT(F563/B563)))/C563)/100))))</f>
        <v>0</v>
      </c>
      <c r="AR563" s="57">
        <f>IF(ISERROR(IF(B563=C563,G563/C563,(INT(G563/B563)+(((G563-B563*INT(G563/B563)))/C563)/100))),0,(IF(B563=C563,G563/C563,(INT(G563/B563)+(((G563-B563*INT(G563/B563)))/C563)/100))))</f>
        <v>0</v>
      </c>
      <c r="AS563" s="57">
        <f>IF(ISERROR(IF(B563=C563,H563/C563,(INT(H563/B563)+(((H563-B563*INT(H563/B563)))/C563)/100))),0,(IF(B563=C563,H563/C563,(INT(H563/B563)+(((H563-B563*INT(H563/B563)))/C563)/100))))</f>
        <v>0</v>
      </c>
      <c r="AT563" s="57">
        <f>IF(ISERROR(IF(B563=C563,I563/C563,(INT(I563/B563)+(((I563-B563*INT(I563/B563)))/C563)/100))),0,(IF(B563=C563,I563/C563,(INT(I563/B563)+(((I563-B563*INT(I563/B563)))/C563)/100))))</f>
        <v>0</v>
      </c>
      <c r="AU563" s="57">
        <f>IF(ISERROR(IF(B563=C563,J563/C563,(INT(J563/B563)+(((J563-B563*INT(J563/B563)))/C563)/100))),0,(IF(B563=C563,J563/C563,(INT(J563/B563)+(((J563-B563*INT(J563/B563)))/C563)/100))))</f>
        <v>0</v>
      </c>
      <c r="AV563" s="57">
        <f>IF(ISERROR(IF(B563=C563,K563/C563,IF((INT(K563/B563)+(((K563-B563*INT(K563/B563)))/C563)/100)&lt;0,(INT(K563/B563)+(((K563-B563*INT(K563/B563)))/C563)/100)+(1-(B563/C563/100)),(INT(K563/B563)+(((K563-B563*INT(K563/B563)))/C563)/100)))),0,IF(B563=C563,K563/C563,IF((INT(K563/B563)+(((K563-B563*INT(K563/B563)))/C563)/100)&lt;0,(INT(K563/B563)+(((K563-B563*INT(K563/B563)))/C563)/100)+(1-(B563/C563/100)),(INT(K563/B563)+(((K563-B563*INT(K563/B563)))/C563)/100))))</f>
        <v>0</v>
      </c>
      <c r="AW563" s="57">
        <f>IF(ISERROR(IF(B563=C563,L563/C563,(INT(L563/B563)+(((L563-B563*INT(L563/B563)))/C563)/100))),0,(IF(B563=C563,L563/C563,(INT(L563/B563)+(((L563-B563*INT(L563/B563)))/C563)/100))))</f>
        <v>0</v>
      </c>
      <c r="AX563" s="57">
        <f>IF(ISERROR(IF(B563=C563,M563/C563,(INT(M563/B563)+(((M563-B563*INT(M563/B563)))/C563)/100))),0,(IF(B563=C563,M563/C563,(INT(M563/B563)+(((M563-B563*INT(M563/B563)))/C563)/100))))</f>
        <v>0</v>
      </c>
      <c r="AY563" s="57">
        <f>IF(ISERROR(IF(B563=C563,N563/C563,IF((INT(N563/B563)+(((N563-B563*INT(N563/B563)))/C563)/100)&lt;0,(INT(N563/B563)+(((N563-B563*INT(N563/B563)))/C563)/100)+(1-(B563/C563/100)),(INT(N563/B563)+(((N563-B563*INT(N563/B563)))/C563)/100)))),0,IF(B563=C563,N563/C563,IF((INT(N563/B563)+(((N563-B563*INT(N563/B563)))/C563)/100)&lt;0,(INT(N563/B563)+(((N563-B563*INT(N563/B563)))/C563)/100)+(1-(B563/C563/100)),(INT(N563/B563)+(((N563-B563*INT(N563/B563)))/C563)/100))))</f>
        <v>0</v>
      </c>
      <c r="AZ563" s="57">
        <f>IF(ISERROR(IF(B563=C563,O563/C563,(INT(O563/B563)+(((O563-B563*INT(O563/B563)))/C563)/100))),0,(IF(B563=C563,O563/C563,(INT(O563/B563)+(((O563-B563*INT(O563/B563)))/C563)/100))))</f>
        <v>0</v>
      </c>
      <c r="BA563" s="57">
        <f>IF(ISERROR(IF(B563=C563,P563/C563,IF((INT(P563/B563)+(((P563-B563*INT(P563/B563)))/C563)/100)&lt;0,(INT(P563/B563)+(((P563-B563*INT(P563/B563)))/C563)/100)+(1-(B563/C563/100)),(INT(P563/B563)+(((P563-B563*INT(P563/B563)))/C563)/100)))),0,IF(B563=C563,P563/C563,IF((INT(P563/B563)+(((P563-B563*INT(P563/B563)))/C563)/100)&lt;0,(INT(P563/B563)+(((P563-B563*INT(P563/B563)))/C563)/100)+(1-(B563/C563/100)),(INT(P563/B563)+(((P563-B563*INT(P563/B563)))/C563)/100))))</f>
        <v>0</v>
      </c>
      <c r="BB563" s="28">
        <f>R563</f>
        <v>0</v>
      </c>
      <c r="BC563" s="28">
        <f>S563</f>
        <v>0</v>
      </c>
      <c r="BD563" s="28">
        <f>AF563</f>
        <v>0</v>
      </c>
      <c r="BE563" s="28">
        <f>T563</f>
        <v>0</v>
      </c>
      <c r="BG563" s="57">
        <f>IF(ISERROR(IF(B563=C563,V563/C563,(INT(V563/B563)+(((V563-B563*INT(V563/B563)))/C563)/100))),0,(IF(B563=C563,V563/C563,(INT(V563/B563)+(((V563-B563*INT(V563/B563)))/C563)/100))))</f>
        <v>0</v>
      </c>
      <c r="BH563" s="57">
        <f>IF(ISERROR(IF(B563=C563,W563/C563,(INT(W563/B563)+(((W563-B563*INT(W563/B563)))/C563)/100))),0,(IF(B563=C563,W563/C563,(INT(W563/B563)+(((W563-B563*INT(W563/B563)))/C563)/100))))</f>
        <v>0</v>
      </c>
      <c r="BI563" s="57">
        <f>IF(ISERROR(IF(B563=C563,X563/C563,(INT(X563/B563)+(((X563-B563*INT(X563/B563)))/C563)/100))),0,(IF(B563=C563,X563/C563,(INT(X563/B563)+(((X563-B563*INT(X563/B563)))/C563)/100))))</f>
        <v>0</v>
      </c>
      <c r="BJ563" s="57">
        <f>IF(ISERROR(IF(B563=C563,Y563/C563,(INT(Y563/B563)+(((Y563-B563*INT(Y563/B563)))/C563)/100))),0,(IF(B563=C563,Y563/C563,(INT(Y563/B563)+(((Y563-B563*INT(Y563/B563)))/C563)/100))))</f>
        <v>0</v>
      </c>
      <c r="BL563" s="57">
        <f>IF(ISERROR(IF(B563=C563,AA563/C563,(INT(AA563/B563)+(((AA563-B563*INT(AA563/B563)))/C563)/100))),0,(IF(B563=C563,AA563/C563,(INT(AA563/B563)+(((AA563-B563*INT(AA563/B563)))/C563)/100))))</f>
        <v>0</v>
      </c>
      <c r="BM563" s="57">
        <f>IF(ISERROR(IF(B563=C563,AB563/C563,(INT(AB563/B563)+(((AB563-B563*INT(AB563/B563)))/C563)/100))),0,(IF(B563=C563,AB563/C563,(INT(AB563/B563)+(((AB563-B563*INT(AB563/B563)))/C563)/100))))</f>
        <v>0</v>
      </c>
      <c r="BN563" s="57">
        <f>IF(ISERROR(IF(B563=C563,AC563/C563,(INT(AC563/B563)+(((AC563-B563*INT(AC563/B563)))/C563)/100))),0,(IF(B563=C563,AC563/C563,(INT(AC563/B563)+(((AC563-B563*INT(AC563/B563)))/C563)/100))))</f>
        <v>0</v>
      </c>
      <c r="BO563" s="57">
        <f>IF(ISERROR(IF(B563=C563,AD563/C563,(INT(AD563/B563)+(((AD563-B563*INT(AD563/B563)))/C563)/100))),0,(IF(B563=C563,AD563/C563,(INT(AD563/B563)+(((AD563-B563*INT(AD563/B563)))/C563)/100))))</f>
        <v>0</v>
      </c>
      <c r="BQ563" s="155"/>
    </row>
    <row r="564" spans="1:69" hidden="1" x14ac:dyDescent="0.35">
      <c r="A564" s="94"/>
      <c r="B564" s="113">
        <v>0</v>
      </c>
      <c r="C564" s="113">
        <v>250</v>
      </c>
      <c r="D564" s="28">
        <f>SUM(AA564:AD564)</f>
        <v>0</v>
      </c>
      <c r="E564" s="113">
        <v>0</v>
      </c>
      <c r="F564" s="113">
        <v>0</v>
      </c>
      <c r="G564" s="28">
        <f>SUM(D564:F564)</f>
        <v>0</v>
      </c>
      <c r="H564" s="125">
        <v>0</v>
      </c>
      <c r="I564" s="113">
        <v>0</v>
      </c>
      <c r="J564" s="125">
        <v>0</v>
      </c>
      <c r="K564" s="113">
        <v>0</v>
      </c>
      <c r="L564" s="113">
        <v>0</v>
      </c>
      <c r="M564" s="113">
        <v>0</v>
      </c>
      <c r="N564" s="28">
        <f>G564-SUM(H564:M564)</f>
        <v>0</v>
      </c>
      <c r="O564" s="28">
        <f>SUM(V564:Y564)</f>
        <v>0</v>
      </c>
      <c r="P564" s="28">
        <f>O564-N564</f>
        <v>0</v>
      </c>
      <c r="Q564" s="61" t="str">
        <f>IF(ISERROR(P564/SUM(H564:L564)),"",P564/SUM(H564:L564))</f>
        <v/>
      </c>
      <c r="R564" s="113">
        <v>0</v>
      </c>
      <c r="S564" s="28">
        <f>IF(ISERROR(P564/C564*R564),0,(P564/C564*R564))</f>
        <v>0</v>
      </c>
      <c r="T564" s="60">
        <f>IF(ISERROR(P564/B564*AF564),0,(P564/B564*AF564))</f>
        <v>0</v>
      </c>
      <c r="V564" s="113">
        <v>0</v>
      </c>
      <c r="W564" s="113">
        <v>0</v>
      </c>
      <c r="X564" s="113">
        <v>0</v>
      </c>
      <c r="Y564" s="113">
        <v>0</v>
      </c>
      <c r="AA564" s="113">
        <v>0</v>
      </c>
      <c r="AB564" s="113">
        <v>0</v>
      </c>
      <c r="AC564" s="113">
        <v>0</v>
      </c>
      <c r="AD564" s="113">
        <v>0</v>
      </c>
      <c r="AF564" s="113">
        <v>0</v>
      </c>
      <c r="AG564" s="28">
        <f>G564-O564</f>
        <v>0</v>
      </c>
      <c r="AH564" s="58">
        <f>IF(ISERROR(AG564/B564*AF564),0,(AG564/B564*AF564))</f>
        <v>0</v>
      </c>
      <c r="AI564" s="28">
        <f>SUM(H564:M564)</f>
        <v>0</v>
      </c>
      <c r="AJ564" s="28">
        <f>IF(ISERROR(AI564/B564*AF564),0,(AI564/B564*AF564))</f>
        <v>0</v>
      </c>
      <c r="AK564" s="58">
        <f>IF(ISERROR(O564/B564*AF564),0,(O564/B564*AF564))</f>
        <v>0</v>
      </c>
      <c r="AL564" s="28">
        <f>IF(ISERROR(H564/B564*AF564),0,(H564/B564*AF564))</f>
        <v>0</v>
      </c>
      <c r="AN564" s="51">
        <f>A564</f>
        <v>0</v>
      </c>
      <c r="AO564" s="57">
        <f>IF(ISERROR(IF(B564=C564,D564/C564,(INT(D564/B564)+(((D564-B564*INT(D564/B564)))/C564)/100))),0,(IF(B564=C564,D564/C564,(INT(D564/B564)+(((D564-B564*INT(D564/B564)))/C564)/100))))</f>
        <v>0</v>
      </c>
      <c r="AP564" s="57">
        <f>IF(ISERROR(IF(B564=C564,E564/C564,(INT(E564/B564)+(((E564-B564*INT(E564/B564)))/C564)/100))),0,(IF(B564=C564,E564/C564,(INT(E564/B564)+(((E564-B564*INT(E564/B564)))/C564)/100))))</f>
        <v>0</v>
      </c>
      <c r="AQ564" s="57">
        <f>IF(ISERROR(IF(B564=C564,F564/C564,IF((INT(F564/B564)+(((F564-B564*INT(F564/B564)))/C564)/100)&lt;0,(INT(F564/B564)+(((F564-B564*INT(F564/B564)))/C564)/100)+(1-(B564/C564/100)),(INT(F564/B564)+(((F564-B564*INT(F564/B564)))/C564)/100)))),0,IF(B564=C564,F564/C564,IF((INT(F564/B564)+(((F564-B564*INT(F564/B564)))/C564)/100)&lt;0,(INT(F564/B564)+(((F564-B564*INT(F564/B564)))/C564)/100)+(1-(B564/C564/100)),(INT(F564/B564)+(((F564-B564*INT(F564/B564)))/C564)/100))))</f>
        <v>0</v>
      </c>
      <c r="AR564" s="57">
        <f>IF(ISERROR(IF(B564=C564,G564/C564,(INT(G564/B564)+(((G564-B564*INT(G564/B564)))/C564)/100))),0,(IF(B564=C564,G564/C564,(INT(G564/B564)+(((G564-B564*INT(G564/B564)))/C564)/100))))</f>
        <v>0</v>
      </c>
      <c r="AS564" s="57">
        <f>IF(ISERROR(IF(B564=C564,H564/C564,(INT(H564/B564)+(((H564-B564*INT(H564/B564)))/C564)/100))),0,(IF(B564=C564,H564/C564,(INT(H564/B564)+(((H564-B564*INT(H564/B564)))/C564)/100))))</f>
        <v>0</v>
      </c>
      <c r="AT564" s="57">
        <f>IF(ISERROR(IF(B564=C564,I564/C564,(INT(I564/B564)+(((I564-B564*INT(I564/B564)))/C564)/100))),0,(IF(B564=C564,I564/C564,(INT(I564/B564)+(((I564-B564*INT(I564/B564)))/C564)/100))))</f>
        <v>0</v>
      </c>
      <c r="AU564" s="57">
        <f>IF(ISERROR(IF(B564=C564,J564/C564,(INT(J564/B564)+(((J564-B564*INT(J564/B564)))/C564)/100))),0,(IF(B564=C564,J564/C564,(INT(J564/B564)+(((J564-B564*INT(J564/B564)))/C564)/100))))</f>
        <v>0</v>
      </c>
      <c r="AV564" s="57">
        <f>IF(ISERROR(IF(B564=C564,K564/C564,IF((INT(K564/B564)+(((K564-B564*INT(K564/B564)))/C564)/100)&lt;0,(INT(K564/B564)+(((K564-B564*INT(K564/B564)))/C564)/100)+(1-(B564/C564/100)),(INT(K564/B564)+(((K564-B564*INT(K564/B564)))/C564)/100)))),0,IF(B564=C564,K564/C564,IF((INT(K564/B564)+(((K564-B564*INT(K564/B564)))/C564)/100)&lt;0,(INT(K564/B564)+(((K564-B564*INT(K564/B564)))/C564)/100)+(1-(B564/C564/100)),(INT(K564/B564)+(((K564-B564*INT(K564/B564)))/C564)/100))))</f>
        <v>0</v>
      </c>
      <c r="AW564" s="57">
        <f>IF(ISERROR(IF(B564=C564,L564/C564,(INT(L564/B564)+(((L564-B564*INT(L564/B564)))/C564)/100))),0,(IF(B564=C564,L564/C564,(INT(L564/B564)+(((L564-B564*INT(L564/B564)))/C564)/100))))</f>
        <v>0</v>
      </c>
      <c r="AX564" s="57">
        <f>IF(ISERROR(IF(B564=C564,M564/C564,(INT(M564/B564)+(((M564-B564*INT(M564/B564)))/C564)/100))),0,(IF(B564=C564,M564/C564,(INT(M564/B564)+(((M564-B564*INT(M564/B564)))/C564)/100))))</f>
        <v>0</v>
      </c>
      <c r="AY564" s="57">
        <f>IF(ISERROR(IF(B564=C564,N564/C564,IF((INT(N564/B564)+(((N564-B564*INT(N564/B564)))/C564)/100)&lt;0,(INT(N564/B564)+(((N564-B564*INT(N564/B564)))/C564)/100)+(1-(B564/C564/100)),(INT(N564/B564)+(((N564-B564*INT(N564/B564)))/C564)/100)))),0,IF(B564=C564,N564/C564,IF((INT(N564/B564)+(((N564-B564*INT(N564/B564)))/C564)/100)&lt;0,(INT(N564/B564)+(((N564-B564*INT(N564/B564)))/C564)/100)+(1-(B564/C564/100)),(INT(N564/B564)+(((N564-B564*INT(N564/B564)))/C564)/100))))</f>
        <v>0</v>
      </c>
      <c r="AZ564" s="57">
        <f>IF(ISERROR(IF(B564=C564,O564/C564,(INT(O564/B564)+(((O564-B564*INT(O564/B564)))/C564)/100))),0,(IF(B564=C564,O564/C564,(INT(O564/B564)+(((O564-B564*INT(O564/B564)))/C564)/100))))</f>
        <v>0</v>
      </c>
      <c r="BA564" s="57">
        <f>IF(ISERROR(IF(B564=C564,P564/C564,IF((INT(P564/B564)+(((P564-B564*INT(P564/B564)))/C564)/100)&lt;0,(INT(P564/B564)+(((P564-B564*INT(P564/B564)))/C564)/100)+(1-(B564/C564/100)),(INT(P564/B564)+(((P564-B564*INT(P564/B564)))/C564)/100)))),0,IF(B564=C564,P564/C564,IF((INT(P564/B564)+(((P564-B564*INT(P564/B564)))/C564)/100)&lt;0,(INT(P564/B564)+(((P564-B564*INT(P564/B564)))/C564)/100)+(1-(B564/C564/100)),(INT(P564/B564)+(((P564-B564*INT(P564/B564)))/C564)/100))))</f>
        <v>0</v>
      </c>
      <c r="BB564" s="28">
        <f>R564</f>
        <v>0</v>
      </c>
      <c r="BC564" s="28">
        <f>S564</f>
        <v>0</v>
      </c>
      <c r="BD564" s="28">
        <f>AF564</f>
        <v>0</v>
      </c>
      <c r="BE564" s="28">
        <f>T564</f>
        <v>0</v>
      </c>
      <c r="BG564" s="57">
        <f>IF(ISERROR(IF(B564=C564,V564/C564,(INT(V564/B564)+(((V564-B564*INT(V564/B564)))/C564)/100))),0,(IF(B564=C564,V564/C564,(INT(V564/B564)+(((V564-B564*INT(V564/B564)))/C564)/100))))</f>
        <v>0</v>
      </c>
      <c r="BH564" s="57">
        <f>IF(ISERROR(IF(B564=C564,W564/C564,(INT(W564/B564)+(((W564-B564*INT(W564/B564)))/C564)/100))),0,(IF(B564=C564,W564/C564,(INT(W564/B564)+(((W564-B564*INT(W564/B564)))/C564)/100))))</f>
        <v>0</v>
      </c>
      <c r="BI564" s="57">
        <f>IF(ISERROR(IF(B564=C564,X564/C564,(INT(X564/B564)+(((X564-B564*INT(X564/B564)))/C564)/100))),0,(IF(B564=C564,X564/C564,(INT(X564/B564)+(((X564-B564*INT(X564/B564)))/C564)/100))))</f>
        <v>0</v>
      </c>
      <c r="BJ564" s="57">
        <f>IF(ISERROR(IF(B564=C564,Y564/C564,(INT(Y564/B564)+(((Y564-B564*INT(Y564/B564)))/C564)/100))),0,(IF(B564=C564,Y564/C564,(INT(Y564/B564)+(((Y564-B564*INT(Y564/B564)))/C564)/100))))</f>
        <v>0</v>
      </c>
      <c r="BL564" s="57">
        <f>IF(ISERROR(IF(B564=C564,AA564/C564,(INT(AA564/B564)+(((AA564-B564*INT(AA564/B564)))/C564)/100))),0,(IF(B564=C564,AA564/C564,(INT(AA564/B564)+(((AA564-B564*INT(AA564/B564)))/C564)/100))))</f>
        <v>0</v>
      </c>
      <c r="BM564" s="57">
        <f>IF(ISERROR(IF(B564=C564,AB564/C564,(INT(AB564/B564)+(((AB564-B564*INT(AB564/B564)))/C564)/100))),0,(IF(B564=C564,AB564/C564,(INT(AB564/B564)+(((AB564-B564*INT(AB564/B564)))/C564)/100))))</f>
        <v>0</v>
      </c>
      <c r="BN564" s="57">
        <f>IF(ISERROR(IF(B564=C564,AC564/C564,(INT(AC564/B564)+(((AC564-B564*INT(AC564/B564)))/C564)/100))),0,(IF(B564=C564,AC564/C564,(INT(AC564/B564)+(((AC564-B564*INT(AC564/B564)))/C564)/100))))</f>
        <v>0</v>
      </c>
      <c r="BO564" s="57">
        <f>IF(ISERROR(IF(B564=C564,AD564/C564,(INT(AD564/B564)+(((AD564-B564*INT(AD564/B564)))/C564)/100))),0,(IF(B564=C564,AD564/C564,(INT(AD564/B564)+(((AD564-B564*INT(AD564/B564)))/C564)/100))))</f>
        <v>0</v>
      </c>
      <c r="BQ564" s="155"/>
    </row>
    <row r="565" spans="1:69" hidden="1" x14ac:dyDescent="0.35">
      <c r="A565" s="94"/>
      <c r="B565" s="113">
        <v>0</v>
      </c>
      <c r="C565" s="113">
        <v>250</v>
      </c>
      <c r="D565" s="28">
        <f>SUM(AA565:AD565)</f>
        <v>0</v>
      </c>
      <c r="E565" s="113">
        <v>0</v>
      </c>
      <c r="F565" s="113">
        <v>0</v>
      </c>
      <c r="G565" s="28">
        <f>SUM(D565:F565)</f>
        <v>0</v>
      </c>
      <c r="H565" s="125">
        <v>0</v>
      </c>
      <c r="I565" s="113">
        <v>0</v>
      </c>
      <c r="J565" s="125">
        <v>0</v>
      </c>
      <c r="K565" s="113">
        <v>0</v>
      </c>
      <c r="L565" s="113">
        <v>0</v>
      </c>
      <c r="M565" s="113">
        <v>0</v>
      </c>
      <c r="N565" s="28">
        <f>G565-SUM(H565:M565)</f>
        <v>0</v>
      </c>
      <c r="O565" s="28">
        <f>SUM(V565:Y565)</f>
        <v>0</v>
      </c>
      <c r="P565" s="28">
        <f>O565-N565</f>
        <v>0</v>
      </c>
      <c r="Q565" s="61" t="str">
        <f>IF(ISERROR(P565/SUM(H565:L565)),"",P565/SUM(H565:L565))</f>
        <v/>
      </c>
      <c r="R565" s="113">
        <v>0</v>
      </c>
      <c r="S565" s="28">
        <f>IF(ISERROR(P565/C565*R565),0,(P565/C565*R565))</f>
        <v>0</v>
      </c>
      <c r="T565" s="60">
        <f>IF(ISERROR(P565/B565*AF565),0,(P565/B565*AF565))</f>
        <v>0</v>
      </c>
      <c r="V565" s="113">
        <v>0</v>
      </c>
      <c r="W565" s="113">
        <v>0</v>
      </c>
      <c r="X565" s="113">
        <v>0</v>
      </c>
      <c r="Y565" s="113">
        <v>0</v>
      </c>
      <c r="AA565" s="113">
        <v>0</v>
      </c>
      <c r="AB565" s="113">
        <v>0</v>
      </c>
      <c r="AC565" s="113">
        <v>0</v>
      </c>
      <c r="AD565" s="113">
        <v>0</v>
      </c>
      <c r="AF565" s="113">
        <v>0</v>
      </c>
      <c r="AG565" s="28">
        <f>G565-O565</f>
        <v>0</v>
      </c>
      <c r="AH565" s="58">
        <f>IF(ISERROR(AG565/B565*AF565),0,(AG565/B565*AF565))</f>
        <v>0</v>
      </c>
      <c r="AI565" s="28">
        <f>SUM(H565:M565)</f>
        <v>0</v>
      </c>
      <c r="AJ565" s="28">
        <f>IF(ISERROR(AI565/B565*AF565),0,(AI565/B565*AF565))</f>
        <v>0</v>
      </c>
      <c r="AK565" s="58">
        <f>IF(ISERROR(O565/B565*AF565),0,(O565/B565*AF565))</f>
        <v>0</v>
      </c>
      <c r="AL565" s="28">
        <f>IF(ISERROR(H565/B565*AF565),0,(H565/B565*AF565))</f>
        <v>0</v>
      </c>
      <c r="AN565" s="51">
        <f>A565</f>
        <v>0</v>
      </c>
      <c r="AO565" s="57">
        <f>IF(ISERROR(IF(B565=C565,D565/C565,(INT(D565/B565)+(((D565-B565*INT(D565/B565)))/C565)/100))),0,(IF(B565=C565,D565/C565,(INT(D565/B565)+(((D565-B565*INT(D565/B565)))/C565)/100))))</f>
        <v>0</v>
      </c>
      <c r="AP565" s="57">
        <f>IF(ISERROR(IF(B565=C565,E565/C565,(INT(E565/B565)+(((E565-B565*INT(E565/B565)))/C565)/100))),0,(IF(B565=C565,E565/C565,(INT(E565/B565)+(((E565-B565*INT(E565/B565)))/C565)/100))))</f>
        <v>0</v>
      </c>
      <c r="AQ565" s="57">
        <f>IF(ISERROR(IF(B565=C565,F565/C565,IF((INT(F565/B565)+(((F565-B565*INT(F565/B565)))/C565)/100)&lt;0,(INT(F565/B565)+(((F565-B565*INT(F565/B565)))/C565)/100)+(1-(B565/C565/100)),(INT(F565/B565)+(((F565-B565*INT(F565/B565)))/C565)/100)))),0,IF(B565=C565,F565/C565,IF((INT(F565/B565)+(((F565-B565*INT(F565/B565)))/C565)/100)&lt;0,(INT(F565/B565)+(((F565-B565*INT(F565/B565)))/C565)/100)+(1-(B565/C565/100)),(INT(F565/B565)+(((F565-B565*INT(F565/B565)))/C565)/100))))</f>
        <v>0</v>
      </c>
      <c r="AR565" s="57">
        <f>IF(ISERROR(IF(B565=C565,G565/C565,(INT(G565/B565)+(((G565-B565*INT(G565/B565)))/C565)/100))),0,(IF(B565=C565,G565/C565,(INT(G565/B565)+(((G565-B565*INT(G565/B565)))/C565)/100))))</f>
        <v>0</v>
      </c>
      <c r="AS565" s="57">
        <f>IF(ISERROR(IF(B565=C565,H565/C565,(INT(H565/B565)+(((H565-B565*INT(H565/B565)))/C565)/100))),0,(IF(B565=C565,H565/C565,(INT(H565/B565)+(((H565-B565*INT(H565/B565)))/C565)/100))))</f>
        <v>0</v>
      </c>
      <c r="AT565" s="57">
        <f>IF(ISERROR(IF(B565=C565,I565/C565,(INT(I565/B565)+(((I565-B565*INT(I565/B565)))/C565)/100))),0,(IF(B565=C565,I565/C565,(INT(I565/B565)+(((I565-B565*INT(I565/B565)))/C565)/100))))</f>
        <v>0</v>
      </c>
      <c r="AU565" s="57">
        <f>IF(ISERROR(IF(B565=C565,J565/C565,(INT(J565/B565)+(((J565-B565*INT(J565/B565)))/C565)/100))),0,(IF(B565=C565,J565/C565,(INT(J565/B565)+(((J565-B565*INT(J565/B565)))/C565)/100))))</f>
        <v>0</v>
      </c>
      <c r="AV565" s="57">
        <f>IF(ISERROR(IF(B565=C565,K565/C565,IF((INT(K565/B565)+(((K565-B565*INT(K565/B565)))/C565)/100)&lt;0,(INT(K565/B565)+(((K565-B565*INT(K565/B565)))/C565)/100)+(1-(B565/C565/100)),(INT(K565/B565)+(((K565-B565*INT(K565/B565)))/C565)/100)))),0,IF(B565=C565,K565/C565,IF((INT(K565/B565)+(((K565-B565*INT(K565/B565)))/C565)/100)&lt;0,(INT(K565/B565)+(((K565-B565*INT(K565/B565)))/C565)/100)+(1-(B565/C565/100)),(INT(K565/B565)+(((K565-B565*INT(K565/B565)))/C565)/100))))</f>
        <v>0</v>
      </c>
      <c r="AW565" s="57">
        <f>IF(ISERROR(IF(B565=C565,L565/C565,(INT(L565/B565)+(((L565-B565*INT(L565/B565)))/C565)/100))),0,(IF(B565=C565,L565/C565,(INT(L565/B565)+(((L565-B565*INT(L565/B565)))/C565)/100))))</f>
        <v>0</v>
      </c>
      <c r="AX565" s="57">
        <f>IF(ISERROR(IF(B565=C565,M565/C565,(INT(M565/B565)+(((M565-B565*INT(M565/B565)))/C565)/100))),0,(IF(B565=C565,M565/C565,(INT(M565/B565)+(((M565-B565*INT(M565/B565)))/C565)/100))))</f>
        <v>0</v>
      </c>
      <c r="AY565" s="57">
        <f>IF(ISERROR(IF(B565=C565,N565/C565,IF((INT(N565/B565)+(((N565-B565*INT(N565/B565)))/C565)/100)&lt;0,(INT(N565/B565)+(((N565-B565*INT(N565/B565)))/C565)/100)+(1-(B565/C565/100)),(INT(N565/B565)+(((N565-B565*INT(N565/B565)))/C565)/100)))),0,IF(B565=C565,N565/C565,IF((INT(N565/B565)+(((N565-B565*INT(N565/B565)))/C565)/100)&lt;0,(INT(N565/B565)+(((N565-B565*INT(N565/B565)))/C565)/100)+(1-(B565/C565/100)),(INT(N565/B565)+(((N565-B565*INT(N565/B565)))/C565)/100))))</f>
        <v>0</v>
      </c>
      <c r="AZ565" s="57">
        <f>IF(ISERROR(IF(B565=C565,O565/C565,(INT(O565/B565)+(((O565-B565*INT(O565/B565)))/C565)/100))),0,(IF(B565=C565,O565/C565,(INT(O565/B565)+(((O565-B565*INT(O565/B565)))/C565)/100))))</f>
        <v>0</v>
      </c>
      <c r="BA565" s="57">
        <f>IF(ISERROR(IF(B565=C565,P565/C565,IF((INT(P565/B565)+(((P565-B565*INT(P565/B565)))/C565)/100)&lt;0,(INT(P565/B565)+(((P565-B565*INT(P565/B565)))/C565)/100)+(1-(B565/C565/100)),(INT(P565/B565)+(((P565-B565*INT(P565/B565)))/C565)/100)))),0,IF(B565=C565,P565/C565,IF((INT(P565/B565)+(((P565-B565*INT(P565/B565)))/C565)/100)&lt;0,(INT(P565/B565)+(((P565-B565*INT(P565/B565)))/C565)/100)+(1-(B565/C565/100)),(INT(P565/B565)+(((P565-B565*INT(P565/B565)))/C565)/100))))</f>
        <v>0</v>
      </c>
      <c r="BB565" s="28">
        <f>R565</f>
        <v>0</v>
      </c>
      <c r="BC565" s="28">
        <f>S565</f>
        <v>0</v>
      </c>
      <c r="BD565" s="28">
        <f>AF565</f>
        <v>0</v>
      </c>
      <c r="BE565" s="28">
        <f>T565</f>
        <v>0</v>
      </c>
      <c r="BG565" s="57">
        <f>IF(ISERROR(IF(B565=C565,V565/C565,(INT(V565/B565)+(((V565-B565*INT(V565/B565)))/C565)/100))),0,(IF(B565=C565,V565/C565,(INT(V565/B565)+(((V565-B565*INT(V565/B565)))/C565)/100))))</f>
        <v>0</v>
      </c>
      <c r="BH565" s="57">
        <f>IF(ISERROR(IF(B565=C565,W565/C565,(INT(W565/B565)+(((W565-B565*INT(W565/B565)))/C565)/100))),0,(IF(B565=C565,W565/C565,(INT(W565/B565)+(((W565-B565*INT(W565/B565)))/C565)/100))))</f>
        <v>0</v>
      </c>
      <c r="BI565" s="57">
        <f>IF(ISERROR(IF(B565=C565,X565/C565,(INT(X565/B565)+(((X565-B565*INT(X565/B565)))/C565)/100))),0,(IF(B565=C565,X565/C565,(INT(X565/B565)+(((X565-B565*INT(X565/B565)))/C565)/100))))</f>
        <v>0</v>
      </c>
      <c r="BJ565" s="57">
        <f>IF(ISERROR(IF(B565=C565,Y565/C565,(INT(Y565/B565)+(((Y565-B565*INT(Y565/B565)))/C565)/100))),0,(IF(B565=C565,Y565/C565,(INT(Y565/B565)+(((Y565-B565*INT(Y565/B565)))/C565)/100))))</f>
        <v>0</v>
      </c>
      <c r="BL565" s="57">
        <f>IF(ISERROR(IF(B565=C565,AA565/C565,(INT(AA565/B565)+(((AA565-B565*INT(AA565/B565)))/C565)/100))),0,(IF(B565=C565,AA565/C565,(INT(AA565/B565)+(((AA565-B565*INT(AA565/B565)))/C565)/100))))</f>
        <v>0</v>
      </c>
      <c r="BM565" s="57">
        <f>IF(ISERROR(IF(B565=C565,AB565/C565,(INT(AB565/B565)+(((AB565-B565*INT(AB565/B565)))/C565)/100))),0,(IF(B565=C565,AB565/C565,(INT(AB565/B565)+(((AB565-B565*INT(AB565/B565)))/C565)/100))))</f>
        <v>0</v>
      </c>
      <c r="BN565" s="57">
        <f>IF(ISERROR(IF(B565=C565,AC565/C565,(INT(AC565/B565)+(((AC565-B565*INT(AC565/B565)))/C565)/100))),0,(IF(B565=C565,AC565/C565,(INT(AC565/B565)+(((AC565-B565*INT(AC565/B565)))/C565)/100))))</f>
        <v>0</v>
      </c>
      <c r="BO565" s="57">
        <f>IF(ISERROR(IF(B565=C565,AD565/C565,(INT(AD565/B565)+(((AD565-B565*INT(AD565/B565)))/C565)/100))),0,(IF(B565=C565,AD565/C565,(INT(AD565/B565)+(((AD565-B565*INT(AD565/B565)))/C565)/100))))</f>
        <v>0</v>
      </c>
      <c r="BQ565" s="155"/>
    </row>
    <row r="566" spans="1:69" hidden="1" x14ac:dyDescent="0.35">
      <c r="A566" s="94"/>
      <c r="B566" s="113">
        <v>0</v>
      </c>
      <c r="C566" s="113">
        <v>250</v>
      </c>
      <c r="D566" s="28">
        <f>SUM(AA566:AD566)</f>
        <v>0</v>
      </c>
      <c r="E566" s="113">
        <v>0</v>
      </c>
      <c r="F566" s="113">
        <v>0</v>
      </c>
      <c r="G566" s="28">
        <f>SUM(D566:F566)</f>
        <v>0</v>
      </c>
      <c r="H566" s="125">
        <v>0</v>
      </c>
      <c r="I566" s="113">
        <v>0</v>
      </c>
      <c r="J566" s="125">
        <v>0</v>
      </c>
      <c r="K566" s="113">
        <v>0</v>
      </c>
      <c r="L566" s="113">
        <v>0</v>
      </c>
      <c r="M566" s="113">
        <v>0</v>
      </c>
      <c r="N566" s="28">
        <f>G566-SUM(H566:M566)</f>
        <v>0</v>
      </c>
      <c r="O566" s="28">
        <f>SUM(V566:Y566)</f>
        <v>0</v>
      </c>
      <c r="P566" s="28">
        <f>O566-N566</f>
        <v>0</v>
      </c>
      <c r="Q566" s="61" t="str">
        <f>IF(ISERROR(P566/SUM(H566:L566)),"",P566/SUM(H566:L566))</f>
        <v/>
      </c>
      <c r="R566" s="113">
        <v>0</v>
      </c>
      <c r="S566" s="28">
        <f>IF(ISERROR(P566/C566*R566),0,(P566/C566*R566))</f>
        <v>0</v>
      </c>
      <c r="T566" s="60">
        <f>IF(ISERROR(P566/B566*AF566),0,(P566/B566*AF566))</f>
        <v>0</v>
      </c>
      <c r="V566" s="113">
        <v>0</v>
      </c>
      <c r="W566" s="113">
        <v>0</v>
      </c>
      <c r="X566" s="113">
        <v>0</v>
      </c>
      <c r="Y566" s="113">
        <v>0</v>
      </c>
      <c r="AA566" s="113">
        <v>0</v>
      </c>
      <c r="AB566" s="113">
        <v>0</v>
      </c>
      <c r="AC566" s="113">
        <v>0</v>
      </c>
      <c r="AD566" s="113">
        <v>0</v>
      </c>
      <c r="AF566" s="113">
        <v>0</v>
      </c>
      <c r="AG566" s="28">
        <f>G566-O566</f>
        <v>0</v>
      </c>
      <c r="AH566" s="58">
        <f>IF(ISERROR(AG566/B566*AF566),0,(AG566/B566*AF566))</f>
        <v>0</v>
      </c>
      <c r="AI566" s="28">
        <f>SUM(H566:M566)</f>
        <v>0</v>
      </c>
      <c r="AJ566" s="28">
        <f>IF(ISERROR(AI566/B566*AF566),0,(AI566/B566*AF566))</f>
        <v>0</v>
      </c>
      <c r="AK566" s="58">
        <f>IF(ISERROR(O566/B566*AF566),0,(O566/B566*AF566))</f>
        <v>0</v>
      </c>
      <c r="AL566" s="28">
        <f>IF(ISERROR(H566/B566*AF566),0,(H566/B566*AF566))</f>
        <v>0</v>
      </c>
      <c r="AN566" s="51">
        <f>A566</f>
        <v>0</v>
      </c>
      <c r="AO566" s="57">
        <f>IF(ISERROR(IF(B566=C566,D566/C566,(INT(D566/B566)+(((D566-B566*INT(D566/B566)))/C566)/100))),0,(IF(B566=C566,D566/C566,(INT(D566/B566)+(((D566-B566*INT(D566/B566)))/C566)/100))))</f>
        <v>0</v>
      </c>
      <c r="AP566" s="57">
        <f>IF(ISERROR(IF(B566=C566,E566/C566,(INT(E566/B566)+(((E566-B566*INT(E566/B566)))/C566)/100))),0,(IF(B566=C566,E566/C566,(INT(E566/B566)+(((E566-B566*INT(E566/B566)))/C566)/100))))</f>
        <v>0</v>
      </c>
      <c r="AQ566" s="57">
        <f>IF(ISERROR(IF(B566=C566,F566/C566,IF((INT(F566/B566)+(((F566-B566*INT(F566/B566)))/C566)/100)&lt;0,(INT(F566/B566)+(((F566-B566*INT(F566/B566)))/C566)/100)+(1-(B566/C566/100)),(INT(F566/B566)+(((F566-B566*INT(F566/B566)))/C566)/100)))),0,IF(B566=C566,F566/C566,IF((INT(F566/B566)+(((F566-B566*INT(F566/B566)))/C566)/100)&lt;0,(INT(F566/B566)+(((F566-B566*INT(F566/B566)))/C566)/100)+(1-(B566/C566/100)),(INT(F566/B566)+(((F566-B566*INT(F566/B566)))/C566)/100))))</f>
        <v>0</v>
      </c>
      <c r="AR566" s="57">
        <f>IF(ISERROR(IF(B566=C566,G566/C566,(INT(G566/B566)+(((G566-B566*INT(G566/B566)))/C566)/100))),0,(IF(B566=C566,G566/C566,(INT(G566/B566)+(((G566-B566*INT(G566/B566)))/C566)/100))))</f>
        <v>0</v>
      </c>
      <c r="AS566" s="57">
        <f>IF(ISERROR(IF(B566=C566,H566/C566,(INT(H566/B566)+(((H566-B566*INT(H566/B566)))/C566)/100))),0,(IF(B566=C566,H566/C566,(INT(H566/B566)+(((H566-B566*INT(H566/B566)))/C566)/100))))</f>
        <v>0</v>
      </c>
      <c r="AT566" s="57">
        <f>IF(ISERROR(IF(B566=C566,I566/C566,(INT(I566/B566)+(((I566-B566*INT(I566/B566)))/C566)/100))),0,(IF(B566=C566,I566/C566,(INT(I566/B566)+(((I566-B566*INT(I566/B566)))/C566)/100))))</f>
        <v>0</v>
      </c>
      <c r="AU566" s="57">
        <f>IF(ISERROR(IF(B566=C566,J566/C566,(INT(J566/B566)+(((J566-B566*INT(J566/B566)))/C566)/100))),0,(IF(B566=C566,J566/C566,(INT(J566/B566)+(((J566-B566*INT(J566/B566)))/C566)/100))))</f>
        <v>0</v>
      </c>
      <c r="AV566" s="57">
        <f>IF(ISERROR(IF(B566=C566,K566/C566,IF((INT(K566/B566)+(((K566-B566*INT(K566/B566)))/C566)/100)&lt;0,(INT(K566/B566)+(((K566-B566*INT(K566/B566)))/C566)/100)+(1-(B566/C566/100)),(INT(K566/B566)+(((K566-B566*INT(K566/B566)))/C566)/100)))),0,IF(B566=C566,K566/C566,IF((INT(K566/B566)+(((K566-B566*INT(K566/B566)))/C566)/100)&lt;0,(INT(K566/B566)+(((K566-B566*INT(K566/B566)))/C566)/100)+(1-(B566/C566/100)),(INT(K566/B566)+(((K566-B566*INT(K566/B566)))/C566)/100))))</f>
        <v>0</v>
      </c>
      <c r="AW566" s="57">
        <f>IF(ISERROR(IF(B566=C566,L566/C566,(INT(L566/B566)+(((L566-B566*INT(L566/B566)))/C566)/100))),0,(IF(B566=C566,L566/C566,(INT(L566/B566)+(((L566-B566*INT(L566/B566)))/C566)/100))))</f>
        <v>0</v>
      </c>
      <c r="AX566" s="57">
        <f>IF(ISERROR(IF(B566=C566,M566/C566,(INT(M566/B566)+(((M566-B566*INT(M566/B566)))/C566)/100))),0,(IF(B566=C566,M566/C566,(INT(M566/B566)+(((M566-B566*INT(M566/B566)))/C566)/100))))</f>
        <v>0</v>
      </c>
      <c r="AY566" s="57">
        <f>IF(ISERROR(IF(B566=C566,N566/C566,IF((INT(N566/B566)+(((N566-B566*INT(N566/B566)))/C566)/100)&lt;0,(INT(N566/B566)+(((N566-B566*INT(N566/B566)))/C566)/100)+(1-(B566/C566/100)),(INT(N566/B566)+(((N566-B566*INT(N566/B566)))/C566)/100)))),0,IF(B566=C566,N566/C566,IF((INT(N566/B566)+(((N566-B566*INT(N566/B566)))/C566)/100)&lt;0,(INT(N566/B566)+(((N566-B566*INT(N566/B566)))/C566)/100)+(1-(B566/C566/100)),(INT(N566/B566)+(((N566-B566*INT(N566/B566)))/C566)/100))))</f>
        <v>0</v>
      </c>
      <c r="AZ566" s="57">
        <f>IF(ISERROR(IF(B566=C566,O566/C566,(INT(O566/B566)+(((O566-B566*INT(O566/B566)))/C566)/100))),0,(IF(B566=C566,O566/C566,(INT(O566/B566)+(((O566-B566*INT(O566/B566)))/C566)/100))))</f>
        <v>0</v>
      </c>
      <c r="BA566" s="57">
        <f>IF(ISERROR(IF(B566=C566,P566/C566,IF((INT(P566/B566)+(((P566-B566*INT(P566/B566)))/C566)/100)&lt;0,(INT(P566/B566)+(((P566-B566*INT(P566/B566)))/C566)/100)+(1-(B566/C566/100)),(INT(P566/B566)+(((P566-B566*INT(P566/B566)))/C566)/100)))),0,IF(B566=C566,P566/C566,IF((INT(P566/B566)+(((P566-B566*INT(P566/B566)))/C566)/100)&lt;0,(INT(P566/B566)+(((P566-B566*INT(P566/B566)))/C566)/100)+(1-(B566/C566/100)),(INT(P566/B566)+(((P566-B566*INT(P566/B566)))/C566)/100))))</f>
        <v>0</v>
      </c>
      <c r="BB566" s="28">
        <f>R566</f>
        <v>0</v>
      </c>
      <c r="BC566" s="28">
        <f>S566</f>
        <v>0</v>
      </c>
      <c r="BD566" s="28">
        <f>AF566</f>
        <v>0</v>
      </c>
      <c r="BE566" s="28">
        <f>T566</f>
        <v>0</v>
      </c>
      <c r="BG566" s="57">
        <f>IF(ISERROR(IF(B566=C566,V566/C566,(INT(V566/B566)+(((V566-B566*INT(V566/B566)))/C566)/100))),0,(IF(B566=C566,V566/C566,(INT(V566/B566)+(((V566-B566*INT(V566/B566)))/C566)/100))))</f>
        <v>0</v>
      </c>
      <c r="BH566" s="57">
        <f>IF(ISERROR(IF(B566=C566,W566/C566,(INT(W566/B566)+(((W566-B566*INT(W566/B566)))/C566)/100))),0,(IF(B566=C566,W566/C566,(INT(W566/B566)+(((W566-B566*INT(W566/B566)))/C566)/100))))</f>
        <v>0</v>
      </c>
      <c r="BI566" s="57">
        <f>IF(ISERROR(IF(B566=C566,X566/C566,(INT(X566/B566)+(((X566-B566*INT(X566/B566)))/C566)/100))),0,(IF(B566=C566,X566/C566,(INT(X566/B566)+(((X566-B566*INT(X566/B566)))/C566)/100))))</f>
        <v>0</v>
      </c>
      <c r="BJ566" s="57">
        <f>IF(ISERROR(IF(B566=C566,Y566/C566,(INT(Y566/B566)+(((Y566-B566*INT(Y566/B566)))/C566)/100))),0,(IF(B566=C566,Y566/C566,(INT(Y566/B566)+(((Y566-B566*INT(Y566/B566)))/C566)/100))))</f>
        <v>0</v>
      </c>
      <c r="BL566" s="57">
        <f>IF(ISERROR(IF(B566=C566,AA566/C566,(INT(AA566/B566)+(((AA566-B566*INT(AA566/B566)))/C566)/100))),0,(IF(B566=C566,AA566/C566,(INT(AA566/B566)+(((AA566-B566*INT(AA566/B566)))/C566)/100))))</f>
        <v>0</v>
      </c>
      <c r="BM566" s="57">
        <f>IF(ISERROR(IF(B566=C566,AB566/C566,(INT(AB566/B566)+(((AB566-B566*INT(AB566/B566)))/C566)/100))),0,(IF(B566=C566,AB566/C566,(INT(AB566/B566)+(((AB566-B566*INT(AB566/B566)))/C566)/100))))</f>
        <v>0</v>
      </c>
      <c r="BN566" s="57">
        <f>IF(ISERROR(IF(B566=C566,AC566/C566,(INT(AC566/B566)+(((AC566-B566*INT(AC566/B566)))/C566)/100))),0,(IF(B566=C566,AC566/C566,(INT(AC566/B566)+(((AC566-B566*INT(AC566/B566)))/C566)/100))))</f>
        <v>0</v>
      </c>
      <c r="BO566" s="57">
        <f>IF(ISERROR(IF(B566=C566,AD566/C566,(INT(AD566/B566)+(((AD566-B566*INT(AD566/B566)))/C566)/100))),0,(IF(B566=C566,AD566/C566,(INT(AD566/B566)+(((AD566-B566*INT(AD566/B566)))/C566)/100))))</f>
        <v>0</v>
      </c>
      <c r="BQ566" s="155"/>
    </row>
    <row r="567" spans="1:69" hidden="1" x14ac:dyDescent="0.35">
      <c r="A567" s="94"/>
      <c r="B567" s="113">
        <v>0</v>
      </c>
      <c r="C567" s="113">
        <v>250</v>
      </c>
      <c r="D567" s="28">
        <f>SUM(AA567:AD567)</f>
        <v>0</v>
      </c>
      <c r="E567" s="113">
        <v>0</v>
      </c>
      <c r="F567" s="113">
        <v>0</v>
      </c>
      <c r="G567" s="28">
        <f>SUM(D567:F567)</f>
        <v>0</v>
      </c>
      <c r="H567" s="125">
        <v>0</v>
      </c>
      <c r="I567" s="113">
        <v>0</v>
      </c>
      <c r="J567" s="125">
        <v>0</v>
      </c>
      <c r="K567" s="113">
        <v>0</v>
      </c>
      <c r="L567" s="113">
        <v>0</v>
      </c>
      <c r="M567" s="113">
        <v>0</v>
      </c>
      <c r="N567" s="28">
        <f>G567-SUM(H567:M567)</f>
        <v>0</v>
      </c>
      <c r="O567" s="28">
        <f>SUM(V567:Y567)</f>
        <v>0</v>
      </c>
      <c r="P567" s="28">
        <f>O567-N567</f>
        <v>0</v>
      </c>
      <c r="Q567" s="61" t="str">
        <f>IF(ISERROR(P567/SUM(H567:L567)),"",P567/SUM(H567:L567))</f>
        <v/>
      </c>
      <c r="R567" s="113">
        <v>0</v>
      </c>
      <c r="S567" s="28">
        <f>IF(ISERROR(P567/C567*R567),0,(P567/C567*R567))</f>
        <v>0</v>
      </c>
      <c r="T567" s="60">
        <f>IF(ISERROR(P567/B567*AF567),0,(P567/B567*AF567))</f>
        <v>0</v>
      </c>
      <c r="V567" s="113">
        <v>0</v>
      </c>
      <c r="W567" s="113">
        <v>0</v>
      </c>
      <c r="X567" s="113">
        <v>0</v>
      </c>
      <c r="Y567" s="113">
        <v>0</v>
      </c>
      <c r="AA567" s="113">
        <v>0</v>
      </c>
      <c r="AB567" s="113">
        <v>0</v>
      </c>
      <c r="AC567" s="113">
        <v>0</v>
      </c>
      <c r="AD567" s="113">
        <v>0</v>
      </c>
      <c r="AF567" s="113">
        <v>0</v>
      </c>
      <c r="AG567" s="28">
        <f>G567-O567</f>
        <v>0</v>
      </c>
      <c r="AH567" s="58">
        <f>IF(ISERROR(AG567/B567*AF567),0,(AG567/B567*AF567))</f>
        <v>0</v>
      </c>
      <c r="AI567" s="28">
        <f>SUM(H567:M567)</f>
        <v>0</v>
      </c>
      <c r="AJ567" s="28">
        <f>IF(ISERROR(AI567/B567*AF567),0,(AI567/B567*AF567))</f>
        <v>0</v>
      </c>
      <c r="AK567" s="58">
        <f>IF(ISERROR(O567/B567*AF567),0,(O567/B567*AF567))</f>
        <v>0</v>
      </c>
      <c r="AL567" s="28">
        <f>IF(ISERROR(H567/B567*AF567),0,(H567/B567*AF567))</f>
        <v>0</v>
      </c>
      <c r="AN567" s="51">
        <f>A567</f>
        <v>0</v>
      </c>
      <c r="AO567" s="57">
        <f>IF(ISERROR(IF(B567=C567,D567/C567,(INT(D567/B567)+(((D567-B567*INT(D567/B567)))/C567)/100))),0,(IF(B567=C567,D567/C567,(INT(D567/B567)+(((D567-B567*INT(D567/B567)))/C567)/100))))</f>
        <v>0</v>
      </c>
      <c r="AP567" s="57">
        <f>IF(ISERROR(IF(B567=C567,E567/C567,(INT(E567/B567)+(((E567-B567*INT(E567/B567)))/C567)/100))),0,(IF(B567=C567,E567/C567,(INT(E567/B567)+(((E567-B567*INT(E567/B567)))/C567)/100))))</f>
        <v>0</v>
      </c>
      <c r="AQ567" s="57">
        <f>IF(ISERROR(IF(B567=C567,F567/C567,IF((INT(F567/B567)+(((F567-B567*INT(F567/B567)))/C567)/100)&lt;0,(INT(F567/B567)+(((F567-B567*INT(F567/B567)))/C567)/100)+(1-(B567/C567/100)),(INT(F567/B567)+(((F567-B567*INT(F567/B567)))/C567)/100)))),0,IF(B567=C567,F567/C567,IF((INT(F567/B567)+(((F567-B567*INT(F567/B567)))/C567)/100)&lt;0,(INT(F567/B567)+(((F567-B567*INT(F567/B567)))/C567)/100)+(1-(B567/C567/100)),(INT(F567/B567)+(((F567-B567*INT(F567/B567)))/C567)/100))))</f>
        <v>0</v>
      </c>
      <c r="AR567" s="57">
        <f>IF(ISERROR(IF(B567=C567,G567/C567,(INT(G567/B567)+(((G567-B567*INT(G567/B567)))/C567)/100))),0,(IF(B567=C567,G567/C567,(INT(G567/B567)+(((G567-B567*INT(G567/B567)))/C567)/100))))</f>
        <v>0</v>
      </c>
      <c r="AS567" s="57">
        <f>IF(ISERROR(IF(B567=C567,H567/C567,(INT(H567/B567)+(((H567-B567*INT(H567/B567)))/C567)/100))),0,(IF(B567=C567,H567/C567,(INT(H567/B567)+(((H567-B567*INT(H567/B567)))/C567)/100))))</f>
        <v>0</v>
      </c>
      <c r="AT567" s="57">
        <f>IF(ISERROR(IF(B567=C567,I567/C567,(INT(I567/B567)+(((I567-B567*INT(I567/B567)))/C567)/100))),0,(IF(B567=C567,I567/C567,(INT(I567/B567)+(((I567-B567*INT(I567/B567)))/C567)/100))))</f>
        <v>0</v>
      </c>
      <c r="AU567" s="57">
        <f>IF(ISERROR(IF(B567=C567,J567/C567,(INT(J567/B567)+(((J567-B567*INT(J567/B567)))/C567)/100))),0,(IF(B567=C567,J567/C567,(INT(J567/B567)+(((J567-B567*INT(J567/B567)))/C567)/100))))</f>
        <v>0</v>
      </c>
      <c r="AV567" s="57">
        <f>IF(ISERROR(IF(B567=C567,K567/C567,IF((INT(K567/B567)+(((K567-B567*INT(K567/B567)))/C567)/100)&lt;0,(INT(K567/B567)+(((K567-B567*INT(K567/B567)))/C567)/100)+(1-(B567/C567/100)),(INT(K567/B567)+(((K567-B567*INT(K567/B567)))/C567)/100)))),0,IF(B567=C567,K567/C567,IF((INT(K567/B567)+(((K567-B567*INT(K567/B567)))/C567)/100)&lt;0,(INT(K567/B567)+(((K567-B567*INT(K567/B567)))/C567)/100)+(1-(B567/C567/100)),(INT(K567/B567)+(((K567-B567*INT(K567/B567)))/C567)/100))))</f>
        <v>0</v>
      </c>
      <c r="AW567" s="57">
        <f>IF(ISERROR(IF(B567=C567,L567/C567,(INT(L567/B567)+(((L567-B567*INT(L567/B567)))/C567)/100))),0,(IF(B567=C567,L567/C567,(INT(L567/B567)+(((L567-B567*INT(L567/B567)))/C567)/100))))</f>
        <v>0</v>
      </c>
      <c r="AX567" s="57">
        <f>IF(ISERROR(IF(B567=C567,M567/C567,(INT(M567/B567)+(((M567-B567*INT(M567/B567)))/C567)/100))),0,(IF(B567=C567,M567/C567,(INT(M567/B567)+(((M567-B567*INT(M567/B567)))/C567)/100))))</f>
        <v>0</v>
      </c>
      <c r="AY567" s="57">
        <f>IF(ISERROR(IF(B567=C567,N567/C567,IF((INT(N567/B567)+(((N567-B567*INT(N567/B567)))/C567)/100)&lt;0,(INT(N567/B567)+(((N567-B567*INT(N567/B567)))/C567)/100)+(1-(B567/C567/100)),(INT(N567/B567)+(((N567-B567*INT(N567/B567)))/C567)/100)))),0,IF(B567=C567,N567/C567,IF((INT(N567/B567)+(((N567-B567*INT(N567/B567)))/C567)/100)&lt;0,(INT(N567/B567)+(((N567-B567*INT(N567/B567)))/C567)/100)+(1-(B567/C567/100)),(INT(N567/B567)+(((N567-B567*INT(N567/B567)))/C567)/100))))</f>
        <v>0</v>
      </c>
      <c r="AZ567" s="57">
        <f>IF(ISERROR(IF(B567=C567,O567/C567,(INT(O567/B567)+(((O567-B567*INT(O567/B567)))/C567)/100))),0,(IF(B567=C567,O567/C567,(INT(O567/B567)+(((O567-B567*INT(O567/B567)))/C567)/100))))</f>
        <v>0</v>
      </c>
      <c r="BA567" s="57">
        <f>IF(ISERROR(IF(B567=C567,P567/C567,IF((INT(P567/B567)+(((P567-B567*INT(P567/B567)))/C567)/100)&lt;0,(INT(P567/B567)+(((P567-B567*INT(P567/B567)))/C567)/100)+(1-(B567/C567/100)),(INT(P567/B567)+(((P567-B567*INT(P567/B567)))/C567)/100)))),0,IF(B567=C567,P567/C567,IF((INT(P567/B567)+(((P567-B567*INT(P567/B567)))/C567)/100)&lt;0,(INT(P567/B567)+(((P567-B567*INT(P567/B567)))/C567)/100)+(1-(B567/C567/100)),(INT(P567/B567)+(((P567-B567*INT(P567/B567)))/C567)/100))))</f>
        <v>0</v>
      </c>
      <c r="BB567" s="28">
        <f>R567</f>
        <v>0</v>
      </c>
      <c r="BC567" s="28">
        <f>S567</f>
        <v>0</v>
      </c>
      <c r="BD567" s="28">
        <f>AF567</f>
        <v>0</v>
      </c>
      <c r="BE567" s="28">
        <f>T567</f>
        <v>0</v>
      </c>
      <c r="BG567" s="57">
        <f>IF(ISERROR(IF(B567=C567,V567/C567,(INT(V567/B567)+(((V567-B567*INT(V567/B567)))/C567)/100))),0,(IF(B567=C567,V567/C567,(INT(V567/B567)+(((V567-B567*INT(V567/B567)))/C567)/100))))</f>
        <v>0</v>
      </c>
      <c r="BH567" s="57">
        <f>IF(ISERROR(IF(B567=C567,W567/C567,(INT(W567/B567)+(((W567-B567*INT(W567/B567)))/C567)/100))),0,(IF(B567=C567,W567/C567,(INT(W567/B567)+(((W567-B567*INT(W567/B567)))/C567)/100))))</f>
        <v>0</v>
      </c>
      <c r="BI567" s="57">
        <f>IF(ISERROR(IF(B567=C567,X567/C567,(INT(X567/B567)+(((X567-B567*INT(X567/B567)))/C567)/100))),0,(IF(B567=C567,X567/C567,(INT(X567/B567)+(((X567-B567*INT(X567/B567)))/C567)/100))))</f>
        <v>0</v>
      </c>
      <c r="BJ567" s="57">
        <f>IF(ISERROR(IF(B567=C567,Y567/C567,(INT(Y567/B567)+(((Y567-B567*INT(Y567/B567)))/C567)/100))),0,(IF(B567=C567,Y567/C567,(INT(Y567/B567)+(((Y567-B567*INT(Y567/B567)))/C567)/100))))</f>
        <v>0</v>
      </c>
      <c r="BL567" s="57">
        <f>IF(ISERROR(IF(B567=C567,AA567/C567,(INT(AA567/B567)+(((AA567-B567*INT(AA567/B567)))/C567)/100))),0,(IF(B567=C567,AA567/C567,(INT(AA567/B567)+(((AA567-B567*INT(AA567/B567)))/C567)/100))))</f>
        <v>0</v>
      </c>
      <c r="BM567" s="57">
        <f>IF(ISERROR(IF(B567=C567,AB567/C567,(INT(AB567/B567)+(((AB567-B567*INT(AB567/B567)))/C567)/100))),0,(IF(B567=C567,AB567/C567,(INT(AB567/B567)+(((AB567-B567*INT(AB567/B567)))/C567)/100))))</f>
        <v>0</v>
      </c>
      <c r="BN567" s="57">
        <f>IF(ISERROR(IF(B567=C567,AC567/C567,(INT(AC567/B567)+(((AC567-B567*INT(AC567/B567)))/C567)/100))),0,(IF(B567=C567,AC567/C567,(INT(AC567/B567)+(((AC567-B567*INT(AC567/B567)))/C567)/100))))</f>
        <v>0</v>
      </c>
      <c r="BO567" s="57">
        <f>IF(ISERROR(IF(B567=C567,AD567/C567,(INT(AD567/B567)+(((AD567-B567*INT(AD567/B567)))/C567)/100))),0,(IF(B567=C567,AD567/C567,(INT(AD567/B567)+(((AD567-B567*INT(AD567/B567)))/C567)/100))))</f>
        <v>0</v>
      </c>
      <c r="BQ567" s="155"/>
    </row>
    <row r="568" spans="1:69" hidden="1" x14ac:dyDescent="0.35">
      <c r="A568" s="94"/>
      <c r="B568" s="113">
        <v>0</v>
      </c>
      <c r="C568" s="113">
        <v>250</v>
      </c>
      <c r="D568" s="28">
        <f>SUM(AA568:AD568)</f>
        <v>0</v>
      </c>
      <c r="E568" s="113">
        <v>0</v>
      </c>
      <c r="F568" s="113">
        <v>0</v>
      </c>
      <c r="G568" s="28">
        <f>SUM(D568:F568)</f>
        <v>0</v>
      </c>
      <c r="H568" s="125">
        <v>0</v>
      </c>
      <c r="I568" s="113">
        <v>0</v>
      </c>
      <c r="J568" s="125">
        <v>0</v>
      </c>
      <c r="K568" s="113">
        <v>0</v>
      </c>
      <c r="L568" s="113">
        <v>0</v>
      </c>
      <c r="M568" s="113">
        <v>0</v>
      </c>
      <c r="N568" s="28">
        <f>G568-SUM(H568:M568)</f>
        <v>0</v>
      </c>
      <c r="O568" s="28">
        <f>SUM(V568:Y568)</f>
        <v>0</v>
      </c>
      <c r="P568" s="28">
        <f>O568-N568</f>
        <v>0</v>
      </c>
      <c r="Q568" s="61" t="str">
        <f>IF(ISERROR(P568/SUM(H568:L568)),"",P568/SUM(H568:L568))</f>
        <v/>
      </c>
      <c r="R568" s="113">
        <v>0</v>
      </c>
      <c r="S568" s="28">
        <f>IF(ISERROR(P568/C568*R568),0,(P568/C568*R568))</f>
        <v>0</v>
      </c>
      <c r="T568" s="60">
        <f>IF(ISERROR(P568/B568*AF568),0,(P568/B568*AF568))</f>
        <v>0</v>
      </c>
      <c r="V568" s="113">
        <v>0</v>
      </c>
      <c r="W568" s="113">
        <v>0</v>
      </c>
      <c r="X568" s="113">
        <v>0</v>
      </c>
      <c r="Y568" s="113">
        <v>0</v>
      </c>
      <c r="AA568" s="113">
        <v>0</v>
      </c>
      <c r="AB568" s="113">
        <v>0</v>
      </c>
      <c r="AC568" s="113">
        <v>0</v>
      </c>
      <c r="AD568" s="113">
        <v>0</v>
      </c>
      <c r="AF568" s="113">
        <v>0</v>
      </c>
      <c r="AG568" s="28">
        <f>G568-O568</f>
        <v>0</v>
      </c>
      <c r="AH568" s="58">
        <f>IF(ISERROR(AG568/B568*AF568),0,(AG568/B568*AF568))</f>
        <v>0</v>
      </c>
      <c r="AI568" s="28">
        <f>SUM(H568:M568)</f>
        <v>0</v>
      </c>
      <c r="AJ568" s="28">
        <f>IF(ISERROR(AI568/B568*AF568),0,(AI568/B568*AF568))</f>
        <v>0</v>
      </c>
      <c r="AK568" s="58">
        <f>IF(ISERROR(O568/B568*AF568),0,(O568/B568*AF568))</f>
        <v>0</v>
      </c>
      <c r="AL568" s="28">
        <f>IF(ISERROR(H568/B568*AF568),0,(H568/B568*AF568))</f>
        <v>0</v>
      </c>
      <c r="AN568" s="51">
        <f>A568</f>
        <v>0</v>
      </c>
      <c r="AO568" s="57">
        <f>IF(ISERROR(IF(B568=C568,D568/C568,(INT(D568/B568)+(((D568-B568*INT(D568/B568)))/C568)/100))),0,(IF(B568=C568,D568/C568,(INT(D568/B568)+(((D568-B568*INT(D568/B568)))/C568)/100))))</f>
        <v>0</v>
      </c>
      <c r="AP568" s="57">
        <f>IF(ISERROR(IF(B568=C568,E568/C568,(INT(E568/B568)+(((E568-B568*INT(E568/B568)))/C568)/100))),0,(IF(B568=C568,E568/C568,(INT(E568/B568)+(((E568-B568*INT(E568/B568)))/C568)/100))))</f>
        <v>0</v>
      </c>
      <c r="AQ568" s="57">
        <f>IF(ISERROR(IF(B568=C568,F568/C568,IF((INT(F568/B568)+(((F568-B568*INT(F568/B568)))/C568)/100)&lt;0,(INT(F568/B568)+(((F568-B568*INT(F568/B568)))/C568)/100)+(1-(B568/C568/100)),(INT(F568/B568)+(((F568-B568*INT(F568/B568)))/C568)/100)))),0,IF(B568=C568,F568/C568,IF((INT(F568/B568)+(((F568-B568*INT(F568/B568)))/C568)/100)&lt;0,(INT(F568/B568)+(((F568-B568*INT(F568/B568)))/C568)/100)+(1-(B568/C568/100)),(INT(F568/B568)+(((F568-B568*INT(F568/B568)))/C568)/100))))</f>
        <v>0</v>
      </c>
      <c r="AR568" s="57">
        <f>IF(ISERROR(IF(B568=C568,G568/C568,(INT(G568/B568)+(((G568-B568*INT(G568/B568)))/C568)/100))),0,(IF(B568=C568,G568/C568,(INT(G568/B568)+(((G568-B568*INT(G568/B568)))/C568)/100))))</f>
        <v>0</v>
      </c>
      <c r="AS568" s="57">
        <f>IF(ISERROR(IF(B568=C568,H568/C568,(INT(H568/B568)+(((H568-B568*INT(H568/B568)))/C568)/100))),0,(IF(B568=C568,H568/C568,(INT(H568/B568)+(((H568-B568*INT(H568/B568)))/C568)/100))))</f>
        <v>0</v>
      </c>
      <c r="AT568" s="57">
        <f>IF(ISERROR(IF(B568=C568,I568/C568,(INT(I568/B568)+(((I568-B568*INT(I568/B568)))/C568)/100))),0,(IF(B568=C568,I568/C568,(INT(I568/B568)+(((I568-B568*INT(I568/B568)))/C568)/100))))</f>
        <v>0</v>
      </c>
      <c r="AU568" s="57">
        <f>IF(ISERROR(IF(B568=C568,J568/C568,(INT(J568/B568)+(((J568-B568*INT(J568/B568)))/C568)/100))),0,(IF(B568=C568,J568/C568,(INT(J568/B568)+(((J568-B568*INT(J568/B568)))/C568)/100))))</f>
        <v>0</v>
      </c>
      <c r="AV568" s="57">
        <f>IF(ISERROR(IF(B568=C568,K568/C568,IF((INT(K568/B568)+(((K568-B568*INT(K568/B568)))/C568)/100)&lt;0,(INT(K568/B568)+(((K568-B568*INT(K568/B568)))/C568)/100)+(1-(B568/C568/100)),(INT(K568/B568)+(((K568-B568*INT(K568/B568)))/C568)/100)))),0,IF(B568=C568,K568/C568,IF((INT(K568/B568)+(((K568-B568*INT(K568/B568)))/C568)/100)&lt;0,(INT(K568/B568)+(((K568-B568*INT(K568/B568)))/C568)/100)+(1-(B568/C568/100)),(INT(K568/B568)+(((K568-B568*INT(K568/B568)))/C568)/100))))</f>
        <v>0</v>
      </c>
      <c r="AW568" s="57">
        <f>IF(ISERROR(IF(B568=C568,L568/C568,(INT(L568/B568)+(((L568-B568*INT(L568/B568)))/C568)/100))),0,(IF(B568=C568,L568/C568,(INT(L568/B568)+(((L568-B568*INT(L568/B568)))/C568)/100))))</f>
        <v>0</v>
      </c>
      <c r="AX568" s="57">
        <f>IF(ISERROR(IF(B568=C568,M568/C568,(INT(M568/B568)+(((M568-B568*INT(M568/B568)))/C568)/100))),0,(IF(B568=C568,M568/C568,(INT(M568/B568)+(((M568-B568*INT(M568/B568)))/C568)/100))))</f>
        <v>0</v>
      </c>
      <c r="AY568" s="57">
        <f>IF(ISERROR(IF(B568=C568,N568/C568,IF((INT(N568/B568)+(((N568-B568*INT(N568/B568)))/C568)/100)&lt;0,(INT(N568/B568)+(((N568-B568*INT(N568/B568)))/C568)/100)+(1-(B568/C568/100)),(INT(N568/B568)+(((N568-B568*INT(N568/B568)))/C568)/100)))),0,IF(B568=C568,N568/C568,IF((INT(N568/B568)+(((N568-B568*INT(N568/B568)))/C568)/100)&lt;0,(INT(N568/B568)+(((N568-B568*INT(N568/B568)))/C568)/100)+(1-(B568/C568/100)),(INT(N568/B568)+(((N568-B568*INT(N568/B568)))/C568)/100))))</f>
        <v>0</v>
      </c>
      <c r="AZ568" s="57">
        <f>IF(ISERROR(IF(B568=C568,O568/C568,(INT(O568/B568)+(((O568-B568*INT(O568/B568)))/C568)/100))),0,(IF(B568=C568,O568/C568,(INT(O568/B568)+(((O568-B568*INT(O568/B568)))/C568)/100))))</f>
        <v>0</v>
      </c>
      <c r="BA568" s="57">
        <f>IF(ISERROR(IF(B568=C568,P568/C568,IF((INT(P568/B568)+(((P568-B568*INT(P568/B568)))/C568)/100)&lt;0,(INT(P568/B568)+(((P568-B568*INT(P568/B568)))/C568)/100)+(1-(B568/C568/100)),(INT(P568/B568)+(((P568-B568*INT(P568/B568)))/C568)/100)))),0,IF(B568=C568,P568/C568,IF((INT(P568/B568)+(((P568-B568*INT(P568/B568)))/C568)/100)&lt;0,(INT(P568/B568)+(((P568-B568*INT(P568/B568)))/C568)/100)+(1-(B568/C568/100)),(INT(P568/B568)+(((P568-B568*INT(P568/B568)))/C568)/100))))</f>
        <v>0</v>
      </c>
      <c r="BB568" s="28">
        <f>R568</f>
        <v>0</v>
      </c>
      <c r="BC568" s="28">
        <f>S568</f>
        <v>0</v>
      </c>
      <c r="BD568" s="28">
        <f>AF568</f>
        <v>0</v>
      </c>
      <c r="BE568" s="28">
        <f>T568</f>
        <v>0</v>
      </c>
      <c r="BG568" s="57">
        <f>IF(ISERROR(IF(B568=C568,V568/C568,(INT(V568/B568)+(((V568-B568*INT(V568/B568)))/C568)/100))),0,(IF(B568=C568,V568/C568,(INT(V568/B568)+(((V568-B568*INT(V568/B568)))/C568)/100))))</f>
        <v>0</v>
      </c>
      <c r="BH568" s="57">
        <f>IF(ISERROR(IF(B568=C568,W568/C568,(INT(W568/B568)+(((W568-B568*INT(W568/B568)))/C568)/100))),0,(IF(B568=C568,W568/C568,(INT(W568/B568)+(((W568-B568*INT(W568/B568)))/C568)/100))))</f>
        <v>0</v>
      </c>
      <c r="BI568" s="57">
        <f>IF(ISERROR(IF(B568=C568,X568/C568,(INT(X568/B568)+(((X568-B568*INT(X568/B568)))/C568)/100))),0,(IF(B568=C568,X568/C568,(INT(X568/B568)+(((X568-B568*INT(X568/B568)))/C568)/100))))</f>
        <v>0</v>
      </c>
      <c r="BJ568" s="57">
        <f>IF(ISERROR(IF(B568=C568,Y568/C568,(INT(Y568/B568)+(((Y568-B568*INT(Y568/B568)))/C568)/100))),0,(IF(B568=C568,Y568/C568,(INT(Y568/B568)+(((Y568-B568*INT(Y568/B568)))/C568)/100))))</f>
        <v>0</v>
      </c>
      <c r="BL568" s="57">
        <f>IF(ISERROR(IF(B568=C568,AA568/C568,(INT(AA568/B568)+(((AA568-B568*INT(AA568/B568)))/C568)/100))),0,(IF(B568=C568,AA568/C568,(INT(AA568/B568)+(((AA568-B568*INT(AA568/B568)))/C568)/100))))</f>
        <v>0</v>
      </c>
      <c r="BM568" s="57">
        <f>IF(ISERROR(IF(B568=C568,AB568/C568,(INT(AB568/B568)+(((AB568-B568*INT(AB568/B568)))/C568)/100))),0,(IF(B568=C568,AB568/C568,(INT(AB568/B568)+(((AB568-B568*INT(AB568/B568)))/C568)/100))))</f>
        <v>0</v>
      </c>
      <c r="BN568" s="57">
        <f>IF(ISERROR(IF(B568=C568,AC568/C568,(INT(AC568/B568)+(((AC568-B568*INT(AC568/B568)))/C568)/100))),0,(IF(B568=C568,AC568/C568,(INT(AC568/B568)+(((AC568-B568*INT(AC568/B568)))/C568)/100))))</f>
        <v>0</v>
      </c>
      <c r="BO568" s="57">
        <f>IF(ISERROR(IF(B568=C568,AD568/C568,(INT(AD568/B568)+(((AD568-B568*INT(AD568/B568)))/C568)/100))),0,(IF(B568=C568,AD568/C568,(INT(AD568/B568)+(((AD568-B568*INT(AD568/B568)))/C568)/100))))</f>
        <v>0</v>
      </c>
      <c r="BQ568" s="155"/>
    </row>
    <row r="569" spans="1:69" hidden="1" x14ac:dyDescent="0.35">
      <c r="A569" s="94"/>
      <c r="B569" s="113">
        <v>0</v>
      </c>
      <c r="C569" s="113">
        <v>250</v>
      </c>
      <c r="D569" s="28">
        <f>SUM(AA569:AD569)</f>
        <v>0</v>
      </c>
      <c r="E569" s="113">
        <v>0</v>
      </c>
      <c r="F569" s="113">
        <v>0</v>
      </c>
      <c r="G569" s="28">
        <f>SUM(D569:F569)</f>
        <v>0</v>
      </c>
      <c r="H569" s="125">
        <v>0</v>
      </c>
      <c r="I569" s="113">
        <v>0</v>
      </c>
      <c r="J569" s="125">
        <v>0</v>
      </c>
      <c r="K569" s="113">
        <v>0</v>
      </c>
      <c r="L569" s="113">
        <v>0</v>
      </c>
      <c r="M569" s="113">
        <v>0</v>
      </c>
      <c r="N569" s="28">
        <f>G569-SUM(H569:M569)</f>
        <v>0</v>
      </c>
      <c r="O569" s="28">
        <f>SUM(V569:Y569)</f>
        <v>0</v>
      </c>
      <c r="P569" s="28">
        <f>O569-N569</f>
        <v>0</v>
      </c>
      <c r="Q569" s="61" t="str">
        <f>IF(ISERROR(P569/SUM(H569:L569)),"",P569/SUM(H569:L569))</f>
        <v/>
      </c>
      <c r="R569" s="113">
        <v>0</v>
      </c>
      <c r="S569" s="28">
        <f>IF(ISERROR(P569/C569*R569),0,(P569/C569*R569))</f>
        <v>0</v>
      </c>
      <c r="T569" s="60">
        <f>IF(ISERROR(P569/B569*AF569),0,(P569/B569*AF569))</f>
        <v>0</v>
      </c>
      <c r="V569" s="113">
        <v>0</v>
      </c>
      <c r="W569" s="113">
        <v>0</v>
      </c>
      <c r="X569" s="113">
        <v>0</v>
      </c>
      <c r="Y569" s="113">
        <v>0</v>
      </c>
      <c r="AA569" s="113">
        <v>0</v>
      </c>
      <c r="AB569" s="113">
        <v>0</v>
      </c>
      <c r="AC569" s="113">
        <v>0</v>
      </c>
      <c r="AD569" s="113">
        <v>0</v>
      </c>
      <c r="AF569" s="113">
        <v>0</v>
      </c>
      <c r="AG569" s="28">
        <f>G569-O569</f>
        <v>0</v>
      </c>
      <c r="AH569" s="58">
        <f>IF(ISERROR(AG569/B569*AF569),0,(AG569/B569*AF569))</f>
        <v>0</v>
      </c>
      <c r="AI569" s="28">
        <f>SUM(H569:M569)</f>
        <v>0</v>
      </c>
      <c r="AJ569" s="28">
        <f>IF(ISERROR(AI569/B569*AF569),0,(AI569/B569*AF569))</f>
        <v>0</v>
      </c>
      <c r="AK569" s="58">
        <f>IF(ISERROR(O569/B569*AF569),0,(O569/B569*AF569))</f>
        <v>0</v>
      </c>
      <c r="AL569" s="28">
        <f>IF(ISERROR(H569/B569*AF569),0,(H569/B569*AF569))</f>
        <v>0</v>
      </c>
      <c r="AN569" s="51">
        <f>A569</f>
        <v>0</v>
      </c>
      <c r="AO569" s="57">
        <f>IF(ISERROR(IF(B569=C569,D569/C569,(INT(D569/B569)+(((D569-B569*INT(D569/B569)))/C569)/100))),0,(IF(B569=C569,D569/C569,(INT(D569/B569)+(((D569-B569*INT(D569/B569)))/C569)/100))))</f>
        <v>0</v>
      </c>
      <c r="AP569" s="57">
        <f>IF(ISERROR(IF(B569=C569,E569/C569,(INT(E569/B569)+(((E569-B569*INT(E569/B569)))/C569)/100))),0,(IF(B569=C569,E569/C569,(INT(E569/B569)+(((E569-B569*INT(E569/B569)))/C569)/100))))</f>
        <v>0</v>
      </c>
      <c r="AQ569" s="57">
        <f>IF(ISERROR(IF(B569=C569,F569/C569,IF((INT(F569/B569)+(((F569-B569*INT(F569/B569)))/C569)/100)&lt;0,(INT(F569/B569)+(((F569-B569*INT(F569/B569)))/C569)/100)+(1-(B569/C569/100)),(INT(F569/B569)+(((F569-B569*INT(F569/B569)))/C569)/100)))),0,IF(B569=C569,F569/C569,IF((INT(F569/B569)+(((F569-B569*INT(F569/B569)))/C569)/100)&lt;0,(INT(F569/B569)+(((F569-B569*INT(F569/B569)))/C569)/100)+(1-(B569/C569/100)),(INT(F569/B569)+(((F569-B569*INT(F569/B569)))/C569)/100))))</f>
        <v>0</v>
      </c>
      <c r="AR569" s="57">
        <f>IF(ISERROR(IF(B569=C569,G569/C569,(INT(G569/B569)+(((G569-B569*INT(G569/B569)))/C569)/100))),0,(IF(B569=C569,G569/C569,(INT(G569/B569)+(((G569-B569*INT(G569/B569)))/C569)/100))))</f>
        <v>0</v>
      </c>
      <c r="AS569" s="57">
        <f>IF(ISERROR(IF(B569=C569,H569/C569,(INT(H569/B569)+(((H569-B569*INT(H569/B569)))/C569)/100))),0,(IF(B569=C569,H569/C569,(INT(H569/B569)+(((H569-B569*INT(H569/B569)))/C569)/100))))</f>
        <v>0</v>
      </c>
      <c r="AT569" s="57">
        <f>IF(ISERROR(IF(B569=C569,I569/C569,(INT(I569/B569)+(((I569-B569*INT(I569/B569)))/C569)/100))),0,(IF(B569=C569,I569/C569,(INT(I569/B569)+(((I569-B569*INT(I569/B569)))/C569)/100))))</f>
        <v>0</v>
      </c>
      <c r="AU569" s="57">
        <f>IF(ISERROR(IF(B569=C569,J569/C569,(INT(J569/B569)+(((J569-B569*INT(J569/B569)))/C569)/100))),0,(IF(B569=C569,J569/C569,(INT(J569/B569)+(((J569-B569*INT(J569/B569)))/C569)/100))))</f>
        <v>0</v>
      </c>
      <c r="AV569" s="57">
        <f>IF(ISERROR(IF(B569=C569,K569/C569,IF((INT(K569/B569)+(((K569-B569*INT(K569/B569)))/C569)/100)&lt;0,(INT(K569/B569)+(((K569-B569*INT(K569/B569)))/C569)/100)+(1-(B569/C569/100)),(INT(K569/B569)+(((K569-B569*INT(K569/B569)))/C569)/100)))),0,IF(B569=C569,K569/C569,IF((INT(K569/B569)+(((K569-B569*INT(K569/B569)))/C569)/100)&lt;0,(INT(K569/B569)+(((K569-B569*INT(K569/B569)))/C569)/100)+(1-(B569/C569/100)),(INT(K569/B569)+(((K569-B569*INT(K569/B569)))/C569)/100))))</f>
        <v>0</v>
      </c>
      <c r="AW569" s="57">
        <f>IF(ISERROR(IF(B569=C569,L569/C569,(INT(L569/B569)+(((L569-B569*INT(L569/B569)))/C569)/100))),0,(IF(B569=C569,L569/C569,(INT(L569/B569)+(((L569-B569*INT(L569/B569)))/C569)/100))))</f>
        <v>0</v>
      </c>
      <c r="AX569" s="57">
        <f>IF(ISERROR(IF(B569=C569,M569/C569,(INT(M569/B569)+(((M569-B569*INT(M569/B569)))/C569)/100))),0,(IF(B569=C569,M569/C569,(INT(M569/B569)+(((M569-B569*INT(M569/B569)))/C569)/100))))</f>
        <v>0</v>
      </c>
      <c r="AY569" s="57">
        <f>IF(ISERROR(IF(B569=C569,N569/C569,IF((INT(N569/B569)+(((N569-B569*INT(N569/B569)))/C569)/100)&lt;0,(INT(N569/B569)+(((N569-B569*INT(N569/B569)))/C569)/100)+(1-(B569/C569/100)),(INT(N569/B569)+(((N569-B569*INT(N569/B569)))/C569)/100)))),0,IF(B569=C569,N569/C569,IF((INT(N569/B569)+(((N569-B569*INT(N569/B569)))/C569)/100)&lt;0,(INT(N569/B569)+(((N569-B569*INT(N569/B569)))/C569)/100)+(1-(B569/C569/100)),(INT(N569/B569)+(((N569-B569*INT(N569/B569)))/C569)/100))))</f>
        <v>0</v>
      </c>
      <c r="AZ569" s="57">
        <f>IF(ISERROR(IF(B569=C569,O569/C569,(INT(O569/B569)+(((O569-B569*INT(O569/B569)))/C569)/100))),0,(IF(B569=C569,O569/C569,(INT(O569/B569)+(((O569-B569*INT(O569/B569)))/C569)/100))))</f>
        <v>0</v>
      </c>
      <c r="BA569" s="57">
        <f>IF(ISERROR(IF(B569=C569,P569/C569,IF((INT(P569/B569)+(((P569-B569*INT(P569/B569)))/C569)/100)&lt;0,(INT(P569/B569)+(((P569-B569*INT(P569/B569)))/C569)/100)+(1-(B569/C569/100)),(INT(P569/B569)+(((P569-B569*INT(P569/B569)))/C569)/100)))),0,IF(B569=C569,P569/C569,IF((INT(P569/B569)+(((P569-B569*INT(P569/B569)))/C569)/100)&lt;0,(INT(P569/B569)+(((P569-B569*INT(P569/B569)))/C569)/100)+(1-(B569/C569/100)),(INT(P569/B569)+(((P569-B569*INT(P569/B569)))/C569)/100))))</f>
        <v>0</v>
      </c>
      <c r="BB569" s="28">
        <f>R569</f>
        <v>0</v>
      </c>
      <c r="BC569" s="28">
        <f>S569</f>
        <v>0</v>
      </c>
      <c r="BD569" s="28">
        <f>AF569</f>
        <v>0</v>
      </c>
      <c r="BE569" s="28">
        <f>T569</f>
        <v>0</v>
      </c>
      <c r="BG569" s="57">
        <f>IF(ISERROR(IF(B569=C569,V569/C569,(INT(V569/B569)+(((V569-B569*INT(V569/B569)))/C569)/100))),0,(IF(B569=C569,V569/C569,(INT(V569/B569)+(((V569-B569*INT(V569/B569)))/C569)/100))))</f>
        <v>0</v>
      </c>
      <c r="BH569" s="57">
        <f>IF(ISERROR(IF(B569=C569,W569/C569,(INT(W569/B569)+(((W569-B569*INT(W569/B569)))/C569)/100))),0,(IF(B569=C569,W569/C569,(INT(W569/B569)+(((W569-B569*INT(W569/B569)))/C569)/100))))</f>
        <v>0</v>
      </c>
      <c r="BI569" s="57">
        <f>IF(ISERROR(IF(B569=C569,X569/C569,(INT(X569/B569)+(((X569-B569*INT(X569/B569)))/C569)/100))),0,(IF(B569=C569,X569/C569,(INT(X569/B569)+(((X569-B569*INT(X569/B569)))/C569)/100))))</f>
        <v>0</v>
      </c>
      <c r="BJ569" s="57">
        <f>IF(ISERROR(IF(B569=C569,Y569/C569,(INT(Y569/B569)+(((Y569-B569*INT(Y569/B569)))/C569)/100))),0,(IF(B569=C569,Y569/C569,(INT(Y569/B569)+(((Y569-B569*INT(Y569/B569)))/C569)/100))))</f>
        <v>0</v>
      </c>
      <c r="BL569" s="57">
        <f>IF(ISERROR(IF(B569=C569,AA569/C569,(INT(AA569/B569)+(((AA569-B569*INT(AA569/B569)))/C569)/100))),0,(IF(B569=C569,AA569/C569,(INT(AA569/B569)+(((AA569-B569*INT(AA569/B569)))/C569)/100))))</f>
        <v>0</v>
      </c>
      <c r="BM569" s="57">
        <f>IF(ISERROR(IF(B569=C569,AB569/C569,(INT(AB569/B569)+(((AB569-B569*INT(AB569/B569)))/C569)/100))),0,(IF(B569=C569,AB569/C569,(INT(AB569/B569)+(((AB569-B569*INT(AB569/B569)))/C569)/100))))</f>
        <v>0</v>
      </c>
      <c r="BN569" s="57">
        <f>IF(ISERROR(IF(B569=C569,AC569/C569,(INT(AC569/B569)+(((AC569-B569*INT(AC569/B569)))/C569)/100))),0,(IF(B569=C569,AC569/C569,(INT(AC569/B569)+(((AC569-B569*INT(AC569/B569)))/C569)/100))))</f>
        <v>0</v>
      </c>
      <c r="BO569" s="57">
        <f>IF(ISERROR(IF(B569=C569,AD569/C569,(INT(AD569/B569)+(((AD569-B569*INT(AD569/B569)))/C569)/100))),0,(IF(B569=C569,AD569/C569,(INT(AD569/B569)+(((AD569-B569*INT(AD569/B569)))/C569)/100))))</f>
        <v>0</v>
      </c>
      <c r="BQ569" s="155"/>
    </row>
    <row r="570" spans="1:69" hidden="1" x14ac:dyDescent="0.35">
      <c r="A570" s="94"/>
      <c r="B570" s="113">
        <v>0</v>
      </c>
      <c r="C570" s="113">
        <v>250</v>
      </c>
      <c r="D570" s="28">
        <f>SUM(AA570:AD570)</f>
        <v>0</v>
      </c>
      <c r="E570" s="113">
        <v>0</v>
      </c>
      <c r="F570" s="113">
        <v>0</v>
      </c>
      <c r="G570" s="28">
        <f>SUM(D570:F570)</f>
        <v>0</v>
      </c>
      <c r="H570" s="125">
        <v>0</v>
      </c>
      <c r="I570" s="113">
        <v>0</v>
      </c>
      <c r="J570" s="125">
        <v>0</v>
      </c>
      <c r="K570" s="113">
        <v>0</v>
      </c>
      <c r="L570" s="113">
        <v>0</v>
      </c>
      <c r="M570" s="113">
        <v>0</v>
      </c>
      <c r="N570" s="28">
        <f>G570-SUM(H570:M570)</f>
        <v>0</v>
      </c>
      <c r="O570" s="28">
        <f>SUM(V570:Y570)</f>
        <v>0</v>
      </c>
      <c r="P570" s="28">
        <f>O570-N570</f>
        <v>0</v>
      </c>
      <c r="Q570" s="61" t="str">
        <f>IF(ISERROR(P570/SUM(H570:L570)),"",P570/SUM(H570:L570))</f>
        <v/>
      </c>
      <c r="R570" s="113">
        <v>0</v>
      </c>
      <c r="S570" s="28">
        <f>IF(ISERROR(P570/C570*R570),0,(P570/C570*R570))</f>
        <v>0</v>
      </c>
      <c r="T570" s="60">
        <f>IF(ISERROR(P570/B570*AF570),0,(P570/B570*AF570))</f>
        <v>0</v>
      </c>
      <c r="V570" s="113">
        <v>0</v>
      </c>
      <c r="W570" s="113">
        <v>0</v>
      </c>
      <c r="X570" s="113">
        <v>0</v>
      </c>
      <c r="Y570" s="113">
        <v>0</v>
      </c>
      <c r="AA570" s="113">
        <v>0</v>
      </c>
      <c r="AB570" s="113">
        <v>0</v>
      </c>
      <c r="AC570" s="113">
        <v>0</v>
      </c>
      <c r="AD570" s="113">
        <v>0</v>
      </c>
      <c r="AF570" s="113">
        <v>0</v>
      </c>
      <c r="AG570" s="28">
        <f>G570-O570</f>
        <v>0</v>
      </c>
      <c r="AH570" s="58">
        <f>IF(ISERROR(AG570/B570*AF570),0,(AG570/B570*AF570))</f>
        <v>0</v>
      </c>
      <c r="AI570" s="28">
        <f>SUM(H570:M570)</f>
        <v>0</v>
      </c>
      <c r="AJ570" s="28">
        <f>IF(ISERROR(AI570/B570*AF570),0,(AI570/B570*AF570))</f>
        <v>0</v>
      </c>
      <c r="AK570" s="58">
        <f>IF(ISERROR(O570/B570*AF570),0,(O570/B570*AF570))</f>
        <v>0</v>
      </c>
      <c r="AL570" s="28">
        <f>IF(ISERROR(H570/B570*AF570),0,(H570/B570*AF570))</f>
        <v>0</v>
      </c>
      <c r="AN570" s="51">
        <f>A570</f>
        <v>0</v>
      </c>
      <c r="AO570" s="57">
        <f>IF(ISERROR(IF(B570=C570,D570/C570,(INT(D570/B570)+(((D570-B570*INT(D570/B570)))/C570)/100))),0,(IF(B570=C570,D570/C570,(INT(D570/B570)+(((D570-B570*INT(D570/B570)))/C570)/100))))</f>
        <v>0</v>
      </c>
      <c r="AP570" s="57">
        <f>IF(ISERROR(IF(B570=C570,E570/C570,(INT(E570/B570)+(((E570-B570*INT(E570/B570)))/C570)/100))),0,(IF(B570=C570,E570/C570,(INT(E570/B570)+(((E570-B570*INT(E570/B570)))/C570)/100))))</f>
        <v>0</v>
      </c>
      <c r="AQ570" s="57">
        <f>IF(ISERROR(IF(B570=C570,F570/C570,IF((INT(F570/B570)+(((F570-B570*INT(F570/B570)))/C570)/100)&lt;0,(INT(F570/B570)+(((F570-B570*INT(F570/B570)))/C570)/100)+(1-(B570/C570/100)),(INT(F570/B570)+(((F570-B570*INT(F570/B570)))/C570)/100)))),0,IF(B570=C570,F570/C570,IF((INT(F570/B570)+(((F570-B570*INT(F570/B570)))/C570)/100)&lt;0,(INT(F570/B570)+(((F570-B570*INT(F570/B570)))/C570)/100)+(1-(B570/C570/100)),(INT(F570/B570)+(((F570-B570*INT(F570/B570)))/C570)/100))))</f>
        <v>0</v>
      </c>
      <c r="AR570" s="57">
        <f>IF(ISERROR(IF(B570=C570,G570/C570,(INT(G570/B570)+(((G570-B570*INT(G570/B570)))/C570)/100))),0,(IF(B570=C570,G570/C570,(INT(G570/B570)+(((G570-B570*INT(G570/B570)))/C570)/100))))</f>
        <v>0</v>
      </c>
      <c r="AS570" s="57">
        <f>IF(ISERROR(IF(B570=C570,H570/C570,(INT(H570/B570)+(((H570-B570*INT(H570/B570)))/C570)/100))),0,(IF(B570=C570,H570/C570,(INT(H570/B570)+(((H570-B570*INT(H570/B570)))/C570)/100))))</f>
        <v>0</v>
      </c>
      <c r="AT570" s="57">
        <f>IF(ISERROR(IF(B570=C570,I570/C570,(INT(I570/B570)+(((I570-B570*INT(I570/B570)))/C570)/100))),0,(IF(B570=C570,I570/C570,(INT(I570/B570)+(((I570-B570*INT(I570/B570)))/C570)/100))))</f>
        <v>0</v>
      </c>
      <c r="AU570" s="57">
        <f>IF(ISERROR(IF(B570=C570,J570/C570,(INT(J570/B570)+(((J570-B570*INT(J570/B570)))/C570)/100))),0,(IF(B570=C570,J570/C570,(INT(J570/B570)+(((J570-B570*INT(J570/B570)))/C570)/100))))</f>
        <v>0</v>
      </c>
      <c r="AV570" s="57">
        <f>IF(ISERROR(IF(B570=C570,K570/C570,IF((INT(K570/B570)+(((K570-B570*INT(K570/B570)))/C570)/100)&lt;0,(INT(K570/B570)+(((K570-B570*INT(K570/B570)))/C570)/100)+(1-(B570/C570/100)),(INT(K570/B570)+(((K570-B570*INT(K570/B570)))/C570)/100)))),0,IF(B570=C570,K570/C570,IF((INT(K570/B570)+(((K570-B570*INT(K570/B570)))/C570)/100)&lt;0,(INT(K570/B570)+(((K570-B570*INT(K570/B570)))/C570)/100)+(1-(B570/C570/100)),(INT(K570/B570)+(((K570-B570*INT(K570/B570)))/C570)/100))))</f>
        <v>0</v>
      </c>
      <c r="AW570" s="57">
        <f>IF(ISERROR(IF(B570=C570,L570/C570,(INT(L570/B570)+(((L570-B570*INT(L570/B570)))/C570)/100))),0,(IF(B570=C570,L570/C570,(INT(L570/B570)+(((L570-B570*INT(L570/B570)))/C570)/100))))</f>
        <v>0</v>
      </c>
      <c r="AX570" s="57">
        <f>IF(ISERROR(IF(B570=C570,M570/C570,(INT(M570/B570)+(((M570-B570*INT(M570/B570)))/C570)/100))),0,(IF(B570=C570,M570/C570,(INT(M570/B570)+(((M570-B570*INT(M570/B570)))/C570)/100))))</f>
        <v>0</v>
      </c>
      <c r="AY570" s="57">
        <f>IF(ISERROR(IF(B570=C570,N570/C570,IF((INT(N570/B570)+(((N570-B570*INT(N570/B570)))/C570)/100)&lt;0,(INT(N570/B570)+(((N570-B570*INT(N570/B570)))/C570)/100)+(1-(B570/C570/100)),(INT(N570/B570)+(((N570-B570*INT(N570/B570)))/C570)/100)))),0,IF(B570=C570,N570/C570,IF((INT(N570/B570)+(((N570-B570*INT(N570/B570)))/C570)/100)&lt;0,(INT(N570/B570)+(((N570-B570*INT(N570/B570)))/C570)/100)+(1-(B570/C570/100)),(INT(N570/B570)+(((N570-B570*INT(N570/B570)))/C570)/100))))</f>
        <v>0</v>
      </c>
      <c r="AZ570" s="57">
        <f>IF(ISERROR(IF(B570=C570,O570/C570,(INT(O570/B570)+(((O570-B570*INT(O570/B570)))/C570)/100))),0,(IF(B570=C570,O570/C570,(INT(O570/B570)+(((O570-B570*INT(O570/B570)))/C570)/100))))</f>
        <v>0</v>
      </c>
      <c r="BA570" s="57">
        <f>IF(ISERROR(IF(B570=C570,P570/C570,IF((INT(P570/B570)+(((P570-B570*INT(P570/B570)))/C570)/100)&lt;0,(INT(P570/B570)+(((P570-B570*INT(P570/B570)))/C570)/100)+(1-(B570/C570/100)),(INT(P570/B570)+(((P570-B570*INT(P570/B570)))/C570)/100)))),0,IF(B570=C570,P570/C570,IF((INT(P570/B570)+(((P570-B570*INT(P570/B570)))/C570)/100)&lt;0,(INT(P570/B570)+(((P570-B570*INT(P570/B570)))/C570)/100)+(1-(B570/C570/100)),(INT(P570/B570)+(((P570-B570*INT(P570/B570)))/C570)/100))))</f>
        <v>0</v>
      </c>
      <c r="BB570" s="28">
        <f>R570</f>
        <v>0</v>
      </c>
      <c r="BC570" s="28">
        <f>S570</f>
        <v>0</v>
      </c>
      <c r="BD570" s="28">
        <f>AF570</f>
        <v>0</v>
      </c>
      <c r="BE570" s="28">
        <f>T570</f>
        <v>0</v>
      </c>
      <c r="BG570" s="57">
        <f>IF(ISERROR(IF(B570=C570,V570/C570,(INT(V570/B570)+(((V570-B570*INT(V570/B570)))/C570)/100))),0,(IF(B570=C570,V570/C570,(INT(V570/B570)+(((V570-B570*INT(V570/B570)))/C570)/100))))</f>
        <v>0</v>
      </c>
      <c r="BH570" s="57">
        <f>IF(ISERROR(IF(B570=C570,W570/C570,(INT(W570/B570)+(((W570-B570*INT(W570/B570)))/C570)/100))),0,(IF(B570=C570,W570/C570,(INT(W570/B570)+(((W570-B570*INT(W570/B570)))/C570)/100))))</f>
        <v>0</v>
      </c>
      <c r="BI570" s="57">
        <f>IF(ISERROR(IF(B570=C570,X570/C570,(INT(X570/B570)+(((X570-B570*INT(X570/B570)))/C570)/100))),0,(IF(B570=C570,X570/C570,(INT(X570/B570)+(((X570-B570*INT(X570/B570)))/C570)/100))))</f>
        <v>0</v>
      </c>
      <c r="BJ570" s="57">
        <f>IF(ISERROR(IF(B570=C570,Y570/C570,(INT(Y570/B570)+(((Y570-B570*INT(Y570/B570)))/C570)/100))),0,(IF(B570=C570,Y570/C570,(INT(Y570/B570)+(((Y570-B570*INT(Y570/B570)))/C570)/100))))</f>
        <v>0</v>
      </c>
      <c r="BL570" s="57">
        <f>IF(ISERROR(IF(B570=C570,AA570/C570,(INT(AA570/B570)+(((AA570-B570*INT(AA570/B570)))/C570)/100))),0,(IF(B570=C570,AA570/C570,(INT(AA570/B570)+(((AA570-B570*INT(AA570/B570)))/C570)/100))))</f>
        <v>0</v>
      </c>
      <c r="BM570" s="57">
        <f>IF(ISERROR(IF(B570=C570,AB570/C570,(INT(AB570/B570)+(((AB570-B570*INT(AB570/B570)))/C570)/100))),0,(IF(B570=C570,AB570/C570,(INT(AB570/B570)+(((AB570-B570*INT(AB570/B570)))/C570)/100))))</f>
        <v>0</v>
      </c>
      <c r="BN570" s="57">
        <f>IF(ISERROR(IF(B570=C570,AC570/C570,(INT(AC570/B570)+(((AC570-B570*INT(AC570/B570)))/C570)/100))),0,(IF(B570=C570,AC570/C570,(INT(AC570/B570)+(((AC570-B570*INT(AC570/B570)))/C570)/100))))</f>
        <v>0</v>
      </c>
      <c r="BO570" s="57">
        <f>IF(ISERROR(IF(B570=C570,AD570/C570,(INT(AD570/B570)+(((AD570-B570*INT(AD570/B570)))/C570)/100))),0,(IF(B570=C570,AD570/C570,(INT(AD570/B570)+(((AD570-B570*INT(AD570/B570)))/C570)/100))))</f>
        <v>0</v>
      </c>
      <c r="BQ570" s="155"/>
    </row>
    <row r="571" spans="1:69" hidden="1" x14ac:dyDescent="0.35">
      <c r="A571" s="94"/>
      <c r="B571" s="113">
        <v>0</v>
      </c>
      <c r="C571" s="113">
        <v>250</v>
      </c>
      <c r="D571" s="28">
        <f>SUM(AA571:AD571)</f>
        <v>0</v>
      </c>
      <c r="E571" s="113">
        <v>0</v>
      </c>
      <c r="F571" s="113">
        <v>0</v>
      </c>
      <c r="G571" s="28">
        <f>SUM(D571:F571)</f>
        <v>0</v>
      </c>
      <c r="H571" s="125">
        <v>0</v>
      </c>
      <c r="I571" s="113">
        <v>0</v>
      </c>
      <c r="J571" s="125">
        <v>0</v>
      </c>
      <c r="K571" s="113">
        <v>0</v>
      </c>
      <c r="L571" s="113">
        <v>0</v>
      </c>
      <c r="M571" s="113">
        <v>0</v>
      </c>
      <c r="N571" s="28">
        <f>G571-SUM(H571:M571)</f>
        <v>0</v>
      </c>
      <c r="O571" s="28">
        <f>SUM(V571:Y571)</f>
        <v>0</v>
      </c>
      <c r="P571" s="28">
        <f>O571-N571</f>
        <v>0</v>
      </c>
      <c r="Q571" s="61" t="str">
        <f>IF(ISERROR(P571/SUM(H571:L571)),"",P571/SUM(H571:L571))</f>
        <v/>
      </c>
      <c r="R571" s="113">
        <v>0</v>
      </c>
      <c r="S571" s="28">
        <f>IF(ISERROR(P571/C571*R571),0,(P571/C571*R571))</f>
        <v>0</v>
      </c>
      <c r="T571" s="60">
        <f>IF(ISERROR(P571/B571*AF571),0,(P571/B571*AF571))</f>
        <v>0</v>
      </c>
      <c r="V571" s="113">
        <v>0</v>
      </c>
      <c r="W571" s="113">
        <v>0</v>
      </c>
      <c r="X571" s="113">
        <v>0</v>
      </c>
      <c r="Y571" s="113">
        <v>0</v>
      </c>
      <c r="AA571" s="113">
        <v>0</v>
      </c>
      <c r="AB571" s="113">
        <v>0</v>
      </c>
      <c r="AC571" s="113">
        <v>0</v>
      </c>
      <c r="AD571" s="113">
        <v>0</v>
      </c>
      <c r="AF571" s="113">
        <v>0</v>
      </c>
      <c r="AG571" s="28">
        <f>G571-O571</f>
        <v>0</v>
      </c>
      <c r="AH571" s="58">
        <f>IF(ISERROR(AG571/B571*AF571),0,(AG571/B571*AF571))</f>
        <v>0</v>
      </c>
      <c r="AI571" s="28">
        <f>SUM(H571:M571)</f>
        <v>0</v>
      </c>
      <c r="AJ571" s="28">
        <f>IF(ISERROR(AI571/B571*AF571),0,(AI571/B571*AF571))</f>
        <v>0</v>
      </c>
      <c r="AK571" s="58">
        <f>IF(ISERROR(O571/B571*AF571),0,(O571/B571*AF571))</f>
        <v>0</v>
      </c>
      <c r="AL571" s="28">
        <f>IF(ISERROR(H571/B571*AF571),0,(H571/B571*AF571))</f>
        <v>0</v>
      </c>
      <c r="AN571" s="51">
        <f>A571</f>
        <v>0</v>
      </c>
      <c r="AO571" s="57">
        <f>IF(ISERROR(IF(B571=C571,D571/C571,(INT(D571/B571)+(((D571-B571*INT(D571/B571)))/C571)/100))),0,(IF(B571=C571,D571/C571,(INT(D571/B571)+(((D571-B571*INT(D571/B571)))/C571)/100))))</f>
        <v>0</v>
      </c>
      <c r="AP571" s="57">
        <f>IF(ISERROR(IF(B571=C571,E571/C571,(INT(E571/B571)+(((E571-B571*INT(E571/B571)))/C571)/100))),0,(IF(B571=C571,E571/C571,(INT(E571/B571)+(((E571-B571*INT(E571/B571)))/C571)/100))))</f>
        <v>0</v>
      </c>
      <c r="AQ571" s="57">
        <f>IF(ISERROR(IF(B571=C571,F571/C571,IF((INT(F571/B571)+(((F571-B571*INT(F571/B571)))/C571)/100)&lt;0,(INT(F571/B571)+(((F571-B571*INT(F571/B571)))/C571)/100)+(1-(B571/C571/100)),(INT(F571/B571)+(((F571-B571*INT(F571/B571)))/C571)/100)))),0,IF(B571=C571,F571/C571,IF((INT(F571/B571)+(((F571-B571*INT(F571/B571)))/C571)/100)&lt;0,(INT(F571/B571)+(((F571-B571*INT(F571/B571)))/C571)/100)+(1-(B571/C571/100)),(INT(F571/B571)+(((F571-B571*INT(F571/B571)))/C571)/100))))</f>
        <v>0</v>
      </c>
      <c r="AR571" s="57">
        <f>IF(ISERROR(IF(B571=C571,G571/C571,(INT(G571/B571)+(((G571-B571*INT(G571/B571)))/C571)/100))),0,(IF(B571=C571,G571/C571,(INT(G571/B571)+(((G571-B571*INT(G571/B571)))/C571)/100))))</f>
        <v>0</v>
      </c>
      <c r="AS571" s="57">
        <f>IF(ISERROR(IF(B571=C571,H571/C571,(INT(H571/B571)+(((H571-B571*INT(H571/B571)))/C571)/100))),0,(IF(B571=C571,H571/C571,(INT(H571/B571)+(((H571-B571*INT(H571/B571)))/C571)/100))))</f>
        <v>0</v>
      </c>
      <c r="AT571" s="57">
        <f>IF(ISERROR(IF(B571=C571,I571/C571,(INT(I571/B571)+(((I571-B571*INT(I571/B571)))/C571)/100))),0,(IF(B571=C571,I571/C571,(INT(I571/B571)+(((I571-B571*INT(I571/B571)))/C571)/100))))</f>
        <v>0</v>
      </c>
      <c r="AU571" s="57">
        <f>IF(ISERROR(IF(B571=C571,J571/C571,(INT(J571/B571)+(((J571-B571*INT(J571/B571)))/C571)/100))),0,(IF(B571=C571,J571/C571,(INT(J571/B571)+(((J571-B571*INT(J571/B571)))/C571)/100))))</f>
        <v>0</v>
      </c>
      <c r="AV571" s="57">
        <f>IF(ISERROR(IF(B571=C571,K571/C571,IF((INT(K571/B571)+(((K571-B571*INT(K571/B571)))/C571)/100)&lt;0,(INT(K571/B571)+(((K571-B571*INT(K571/B571)))/C571)/100)+(1-(B571/C571/100)),(INT(K571/B571)+(((K571-B571*INT(K571/B571)))/C571)/100)))),0,IF(B571=C571,K571/C571,IF((INT(K571/B571)+(((K571-B571*INT(K571/B571)))/C571)/100)&lt;0,(INT(K571/B571)+(((K571-B571*INT(K571/B571)))/C571)/100)+(1-(B571/C571/100)),(INT(K571/B571)+(((K571-B571*INT(K571/B571)))/C571)/100))))</f>
        <v>0</v>
      </c>
      <c r="AW571" s="57">
        <f>IF(ISERROR(IF(B571=C571,L571/C571,(INT(L571/B571)+(((L571-B571*INT(L571/B571)))/C571)/100))),0,(IF(B571=C571,L571/C571,(INT(L571/B571)+(((L571-B571*INT(L571/B571)))/C571)/100))))</f>
        <v>0</v>
      </c>
      <c r="AX571" s="57">
        <f>IF(ISERROR(IF(B571=C571,M571/C571,(INT(M571/B571)+(((M571-B571*INT(M571/B571)))/C571)/100))),0,(IF(B571=C571,M571/C571,(INT(M571/B571)+(((M571-B571*INT(M571/B571)))/C571)/100))))</f>
        <v>0</v>
      </c>
      <c r="AY571" s="57">
        <f>IF(ISERROR(IF(B571=C571,N571/C571,IF((INT(N571/B571)+(((N571-B571*INT(N571/B571)))/C571)/100)&lt;0,(INT(N571/B571)+(((N571-B571*INT(N571/B571)))/C571)/100)+(1-(B571/C571/100)),(INT(N571/B571)+(((N571-B571*INT(N571/B571)))/C571)/100)))),0,IF(B571=C571,N571/C571,IF((INT(N571/B571)+(((N571-B571*INT(N571/B571)))/C571)/100)&lt;0,(INT(N571/B571)+(((N571-B571*INT(N571/B571)))/C571)/100)+(1-(B571/C571/100)),(INT(N571/B571)+(((N571-B571*INT(N571/B571)))/C571)/100))))</f>
        <v>0</v>
      </c>
      <c r="AZ571" s="57">
        <f>IF(ISERROR(IF(B571=C571,O571/C571,(INT(O571/B571)+(((O571-B571*INT(O571/B571)))/C571)/100))),0,(IF(B571=C571,O571/C571,(INT(O571/B571)+(((O571-B571*INT(O571/B571)))/C571)/100))))</f>
        <v>0</v>
      </c>
      <c r="BA571" s="57">
        <f>IF(ISERROR(IF(B571=C571,P571/C571,IF((INT(P571/B571)+(((P571-B571*INT(P571/B571)))/C571)/100)&lt;0,(INT(P571/B571)+(((P571-B571*INT(P571/B571)))/C571)/100)+(1-(B571/C571/100)),(INT(P571/B571)+(((P571-B571*INT(P571/B571)))/C571)/100)))),0,IF(B571=C571,P571/C571,IF((INT(P571/B571)+(((P571-B571*INT(P571/B571)))/C571)/100)&lt;0,(INT(P571/B571)+(((P571-B571*INT(P571/B571)))/C571)/100)+(1-(B571/C571/100)),(INT(P571/B571)+(((P571-B571*INT(P571/B571)))/C571)/100))))</f>
        <v>0</v>
      </c>
      <c r="BB571" s="28">
        <f>R571</f>
        <v>0</v>
      </c>
      <c r="BC571" s="28">
        <f>S571</f>
        <v>0</v>
      </c>
      <c r="BD571" s="28">
        <f>AF571</f>
        <v>0</v>
      </c>
      <c r="BE571" s="28">
        <f>T571</f>
        <v>0</v>
      </c>
      <c r="BG571" s="57">
        <f>IF(ISERROR(IF(B571=C571,V571/C571,(INT(V571/B571)+(((V571-B571*INT(V571/B571)))/C571)/100))),0,(IF(B571=C571,V571/C571,(INT(V571/B571)+(((V571-B571*INT(V571/B571)))/C571)/100))))</f>
        <v>0</v>
      </c>
      <c r="BH571" s="57">
        <f>IF(ISERROR(IF(B571=C571,W571/C571,(INT(W571/B571)+(((W571-B571*INT(W571/B571)))/C571)/100))),0,(IF(B571=C571,W571/C571,(INT(W571/B571)+(((W571-B571*INT(W571/B571)))/C571)/100))))</f>
        <v>0</v>
      </c>
      <c r="BI571" s="57">
        <f>IF(ISERROR(IF(B571=C571,X571/C571,(INT(X571/B571)+(((X571-B571*INT(X571/B571)))/C571)/100))),0,(IF(B571=C571,X571/C571,(INT(X571/B571)+(((X571-B571*INT(X571/B571)))/C571)/100))))</f>
        <v>0</v>
      </c>
      <c r="BJ571" s="57">
        <f>IF(ISERROR(IF(B571=C571,Y571/C571,(INT(Y571/B571)+(((Y571-B571*INT(Y571/B571)))/C571)/100))),0,(IF(B571=C571,Y571/C571,(INT(Y571/B571)+(((Y571-B571*INT(Y571/B571)))/C571)/100))))</f>
        <v>0</v>
      </c>
      <c r="BL571" s="57">
        <f>IF(ISERROR(IF(B571=C571,AA571/C571,(INT(AA571/B571)+(((AA571-B571*INT(AA571/B571)))/C571)/100))),0,(IF(B571=C571,AA571/C571,(INT(AA571/B571)+(((AA571-B571*INT(AA571/B571)))/C571)/100))))</f>
        <v>0</v>
      </c>
      <c r="BM571" s="57">
        <f>IF(ISERROR(IF(B571=C571,AB571/C571,(INT(AB571/B571)+(((AB571-B571*INT(AB571/B571)))/C571)/100))),0,(IF(B571=C571,AB571/C571,(INT(AB571/B571)+(((AB571-B571*INT(AB571/B571)))/C571)/100))))</f>
        <v>0</v>
      </c>
      <c r="BN571" s="57">
        <f>IF(ISERROR(IF(B571=C571,AC571/C571,(INT(AC571/B571)+(((AC571-B571*INT(AC571/B571)))/C571)/100))),0,(IF(B571=C571,AC571/C571,(INT(AC571/B571)+(((AC571-B571*INT(AC571/B571)))/C571)/100))))</f>
        <v>0</v>
      </c>
      <c r="BO571" s="57">
        <f>IF(ISERROR(IF(B571=C571,AD571/C571,(INT(AD571/B571)+(((AD571-B571*INT(AD571/B571)))/C571)/100))),0,(IF(B571=C571,AD571/C571,(INT(AD571/B571)+(((AD571-B571*INT(AD571/B571)))/C571)/100))))</f>
        <v>0</v>
      </c>
      <c r="BQ571" s="155"/>
    </row>
    <row r="572" spans="1:69" hidden="1" x14ac:dyDescent="0.35">
      <c r="A572" s="94"/>
      <c r="B572" s="113">
        <v>0</v>
      </c>
      <c r="C572" s="113">
        <v>250</v>
      </c>
      <c r="D572" s="28">
        <f>SUM(AA572:AD572)</f>
        <v>0</v>
      </c>
      <c r="E572" s="113">
        <v>0</v>
      </c>
      <c r="F572" s="113">
        <v>0</v>
      </c>
      <c r="G572" s="28">
        <f>SUM(D572:F572)</f>
        <v>0</v>
      </c>
      <c r="H572" s="125">
        <v>0</v>
      </c>
      <c r="I572" s="113">
        <v>0</v>
      </c>
      <c r="J572" s="125">
        <v>0</v>
      </c>
      <c r="K572" s="113">
        <v>0</v>
      </c>
      <c r="L572" s="113">
        <v>0</v>
      </c>
      <c r="M572" s="113">
        <v>0</v>
      </c>
      <c r="N572" s="28">
        <f>G572-SUM(H572:M572)</f>
        <v>0</v>
      </c>
      <c r="O572" s="28">
        <f>SUM(V572:Y572)</f>
        <v>0</v>
      </c>
      <c r="P572" s="28">
        <f>O572-N572</f>
        <v>0</v>
      </c>
      <c r="Q572" s="61" t="str">
        <f>IF(ISERROR(P572/SUM(H572:L572)),"",P572/SUM(H572:L572))</f>
        <v/>
      </c>
      <c r="R572" s="113">
        <v>0</v>
      </c>
      <c r="S572" s="28">
        <f>IF(ISERROR(P572/C572*R572),0,(P572/C572*R572))</f>
        <v>0</v>
      </c>
      <c r="T572" s="60">
        <f>IF(ISERROR(P572/B572*AF572),0,(P572/B572*AF572))</f>
        <v>0</v>
      </c>
      <c r="V572" s="113">
        <v>0</v>
      </c>
      <c r="W572" s="113">
        <v>0</v>
      </c>
      <c r="X572" s="113">
        <v>0</v>
      </c>
      <c r="Y572" s="113">
        <v>0</v>
      </c>
      <c r="AA572" s="113">
        <v>0</v>
      </c>
      <c r="AB572" s="113">
        <v>0</v>
      </c>
      <c r="AC572" s="113">
        <v>0</v>
      </c>
      <c r="AD572" s="113">
        <v>0</v>
      </c>
      <c r="AF572" s="113">
        <v>0</v>
      </c>
      <c r="AG572" s="28">
        <f>G572-O572</f>
        <v>0</v>
      </c>
      <c r="AH572" s="58">
        <f>IF(ISERROR(AG572/B572*AF572),0,(AG572/B572*AF572))</f>
        <v>0</v>
      </c>
      <c r="AI572" s="28">
        <f>SUM(H572:M572)</f>
        <v>0</v>
      </c>
      <c r="AJ572" s="28">
        <f>IF(ISERROR(AI572/B572*AF572),0,(AI572/B572*AF572))</f>
        <v>0</v>
      </c>
      <c r="AK572" s="58">
        <f>IF(ISERROR(O572/B572*AF572),0,(O572/B572*AF572))</f>
        <v>0</v>
      </c>
      <c r="AL572" s="28">
        <f>IF(ISERROR(H572/B572*AF572),0,(H572/B572*AF572))</f>
        <v>0</v>
      </c>
      <c r="AN572" s="51">
        <f>A572</f>
        <v>0</v>
      </c>
      <c r="AO572" s="57">
        <f>IF(ISERROR(IF(B572=C572,D572/C572,(INT(D572/B572)+(((D572-B572*INT(D572/B572)))/C572)/100))),0,(IF(B572=C572,D572/C572,(INT(D572/B572)+(((D572-B572*INT(D572/B572)))/C572)/100))))</f>
        <v>0</v>
      </c>
      <c r="AP572" s="57">
        <f>IF(ISERROR(IF(B572=C572,E572/C572,(INT(E572/B572)+(((E572-B572*INT(E572/B572)))/C572)/100))),0,(IF(B572=C572,E572/C572,(INT(E572/B572)+(((E572-B572*INT(E572/B572)))/C572)/100))))</f>
        <v>0</v>
      </c>
      <c r="AQ572" s="57">
        <f>IF(ISERROR(IF(B572=C572,F572/C572,IF((INT(F572/B572)+(((F572-B572*INT(F572/B572)))/C572)/100)&lt;0,(INT(F572/B572)+(((F572-B572*INT(F572/B572)))/C572)/100)+(1-(B572/C572/100)),(INT(F572/B572)+(((F572-B572*INT(F572/B572)))/C572)/100)))),0,IF(B572=C572,F572/C572,IF((INT(F572/B572)+(((F572-B572*INT(F572/B572)))/C572)/100)&lt;0,(INT(F572/B572)+(((F572-B572*INT(F572/B572)))/C572)/100)+(1-(B572/C572/100)),(INT(F572/B572)+(((F572-B572*INT(F572/B572)))/C572)/100))))</f>
        <v>0</v>
      </c>
      <c r="AR572" s="57">
        <f>IF(ISERROR(IF(B572=C572,G572/C572,(INT(G572/B572)+(((G572-B572*INT(G572/B572)))/C572)/100))),0,(IF(B572=C572,G572/C572,(INT(G572/B572)+(((G572-B572*INT(G572/B572)))/C572)/100))))</f>
        <v>0</v>
      </c>
      <c r="AS572" s="57">
        <f>IF(ISERROR(IF(B572=C572,H572/C572,(INT(H572/B572)+(((H572-B572*INT(H572/B572)))/C572)/100))),0,(IF(B572=C572,H572/C572,(INT(H572/B572)+(((H572-B572*INT(H572/B572)))/C572)/100))))</f>
        <v>0</v>
      </c>
      <c r="AT572" s="57">
        <f>IF(ISERROR(IF(B572=C572,I572/C572,(INT(I572/B572)+(((I572-B572*INT(I572/B572)))/C572)/100))),0,(IF(B572=C572,I572/C572,(INT(I572/B572)+(((I572-B572*INT(I572/B572)))/C572)/100))))</f>
        <v>0</v>
      </c>
      <c r="AU572" s="57">
        <f>IF(ISERROR(IF(B572=C572,J572/C572,(INT(J572/B572)+(((J572-B572*INT(J572/B572)))/C572)/100))),0,(IF(B572=C572,J572/C572,(INT(J572/B572)+(((J572-B572*INT(J572/B572)))/C572)/100))))</f>
        <v>0</v>
      </c>
      <c r="AV572" s="57">
        <f>IF(ISERROR(IF(B572=C572,K572/C572,IF((INT(K572/B572)+(((K572-B572*INT(K572/B572)))/C572)/100)&lt;0,(INT(K572/B572)+(((K572-B572*INT(K572/B572)))/C572)/100)+(1-(B572/C572/100)),(INT(K572/B572)+(((K572-B572*INT(K572/B572)))/C572)/100)))),0,IF(B572=C572,K572/C572,IF((INT(K572/B572)+(((K572-B572*INT(K572/B572)))/C572)/100)&lt;0,(INT(K572/B572)+(((K572-B572*INT(K572/B572)))/C572)/100)+(1-(B572/C572/100)),(INT(K572/B572)+(((K572-B572*INT(K572/B572)))/C572)/100))))</f>
        <v>0</v>
      </c>
      <c r="AW572" s="57">
        <f>IF(ISERROR(IF(B572=C572,L572/C572,(INT(L572/B572)+(((L572-B572*INT(L572/B572)))/C572)/100))),0,(IF(B572=C572,L572/C572,(INT(L572/B572)+(((L572-B572*INT(L572/B572)))/C572)/100))))</f>
        <v>0</v>
      </c>
      <c r="AX572" s="57">
        <f>IF(ISERROR(IF(B572=C572,M572/C572,(INT(M572/B572)+(((M572-B572*INT(M572/B572)))/C572)/100))),0,(IF(B572=C572,M572/C572,(INT(M572/B572)+(((M572-B572*INT(M572/B572)))/C572)/100))))</f>
        <v>0</v>
      </c>
      <c r="AY572" s="57">
        <f>IF(ISERROR(IF(B572=C572,N572/C572,IF((INT(N572/B572)+(((N572-B572*INT(N572/B572)))/C572)/100)&lt;0,(INT(N572/B572)+(((N572-B572*INT(N572/B572)))/C572)/100)+(1-(B572/C572/100)),(INT(N572/B572)+(((N572-B572*INT(N572/B572)))/C572)/100)))),0,IF(B572=C572,N572/C572,IF((INT(N572/B572)+(((N572-B572*INT(N572/B572)))/C572)/100)&lt;0,(INT(N572/B572)+(((N572-B572*INT(N572/B572)))/C572)/100)+(1-(B572/C572/100)),(INT(N572/B572)+(((N572-B572*INT(N572/B572)))/C572)/100))))</f>
        <v>0</v>
      </c>
      <c r="AZ572" s="57">
        <f>IF(ISERROR(IF(B572=C572,O572/C572,(INT(O572/B572)+(((O572-B572*INT(O572/B572)))/C572)/100))),0,(IF(B572=C572,O572/C572,(INT(O572/B572)+(((O572-B572*INT(O572/B572)))/C572)/100))))</f>
        <v>0</v>
      </c>
      <c r="BA572" s="57">
        <f>IF(ISERROR(IF(B572=C572,P572/C572,IF((INT(P572/B572)+(((P572-B572*INT(P572/B572)))/C572)/100)&lt;0,(INT(P572/B572)+(((P572-B572*INT(P572/B572)))/C572)/100)+(1-(B572/C572/100)),(INT(P572/B572)+(((P572-B572*INT(P572/B572)))/C572)/100)))),0,IF(B572=C572,P572/C572,IF((INT(P572/B572)+(((P572-B572*INT(P572/B572)))/C572)/100)&lt;0,(INT(P572/B572)+(((P572-B572*INT(P572/B572)))/C572)/100)+(1-(B572/C572/100)),(INT(P572/B572)+(((P572-B572*INT(P572/B572)))/C572)/100))))</f>
        <v>0</v>
      </c>
      <c r="BB572" s="28">
        <f>R572</f>
        <v>0</v>
      </c>
      <c r="BC572" s="28">
        <f>S572</f>
        <v>0</v>
      </c>
      <c r="BD572" s="28">
        <f>AF572</f>
        <v>0</v>
      </c>
      <c r="BE572" s="28">
        <f>T572</f>
        <v>0</v>
      </c>
      <c r="BG572" s="57">
        <f>IF(ISERROR(IF(B572=C572,V572/C572,(INT(V572/B572)+(((V572-B572*INT(V572/B572)))/C572)/100))),0,(IF(B572=C572,V572/C572,(INT(V572/B572)+(((V572-B572*INT(V572/B572)))/C572)/100))))</f>
        <v>0</v>
      </c>
      <c r="BH572" s="57">
        <f>IF(ISERROR(IF(B572=C572,W572/C572,(INT(W572/B572)+(((W572-B572*INT(W572/B572)))/C572)/100))),0,(IF(B572=C572,W572/C572,(INT(W572/B572)+(((W572-B572*INT(W572/B572)))/C572)/100))))</f>
        <v>0</v>
      </c>
      <c r="BI572" s="57">
        <f>IF(ISERROR(IF(B572=C572,X572/C572,(INT(X572/B572)+(((X572-B572*INT(X572/B572)))/C572)/100))),0,(IF(B572=C572,X572/C572,(INT(X572/B572)+(((X572-B572*INT(X572/B572)))/C572)/100))))</f>
        <v>0</v>
      </c>
      <c r="BJ572" s="57">
        <f>IF(ISERROR(IF(B572=C572,Y572/C572,(INT(Y572/B572)+(((Y572-B572*INT(Y572/B572)))/C572)/100))),0,(IF(B572=C572,Y572/C572,(INT(Y572/B572)+(((Y572-B572*INT(Y572/B572)))/C572)/100))))</f>
        <v>0</v>
      </c>
      <c r="BL572" s="57">
        <f>IF(ISERROR(IF(B572=C572,AA572/C572,(INT(AA572/B572)+(((AA572-B572*INT(AA572/B572)))/C572)/100))),0,(IF(B572=C572,AA572/C572,(INT(AA572/B572)+(((AA572-B572*INT(AA572/B572)))/C572)/100))))</f>
        <v>0</v>
      </c>
      <c r="BM572" s="57">
        <f>IF(ISERROR(IF(B572=C572,AB572/C572,(INT(AB572/B572)+(((AB572-B572*INT(AB572/B572)))/C572)/100))),0,(IF(B572=C572,AB572/C572,(INT(AB572/B572)+(((AB572-B572*INT(AB572/B572)))/C572)/100))))</f>
        <v>0</v>
      </c>
      <c r="BN572" s="57">
        <f>IF(ISERROR(IF(B572=C572,AC572/C572,(INT(AC572/B572)+(((AC572-B572*INT(AC572/B572)))/C572)/100))),0,(IF(B572=C572,AC572/C572,(INT(AC572/B572)+(((AC572-B572*INT(AC572/B572)))/C572)/100))))</f>
        <v>0</v>
      </c>
      <c r="BO572" s="57">
        <f>IF(ISERROR(IF(B572=C572,AD572/C572,(INT(AD572/B572)+(((AD572-B572*INT(AD572/B572)))/C572)/100))),0,(IF(B572=C572,AD572/C572,(INT(AD572/B572)+(((AD572-B572*INT(AD572/B572)))/C572)/100))))</f>
        <v>0</v>
      </c>
      <c r="BQ572" s="155"/>
    </row>
    <row r="573" spans="1:69" hidden="1" x14ac:dyDescent="0.35">
      <c r="A573" s="94"/>
      <c r="B573" s="113">
        <v>0</v>
      </c>
      <c r="C573" s="113">
        <v>250</v>
      </c>
      <c r="D573" s="28">
        <f>SUM(AA573:AD573)</f>
        <v>0</v>
      </c>
      <c r="E573" s="113">
        <v>0</v>
      </c>
      <c r="F573" s="113">
        <v>0</v>
      </c>
      <c r="G573" s="28">
        <f>SUM(D573:F573)</f>
        <v>0</v>
      </c>
      <c r="H573" s="125">
        <v>0</v>
      </c>
      <c r="I573" s="113">
        <v>0</v>
      </c>
      <c r="J573" s="125">
        <v>0</v>
      </c>
      <c r="K573" s="113">
        <v>0</v>
      </c>
      <c r="L573" s="113">
        <v>0</v>
      </c>
      <c r="M573" s="113">
        <v>0</v>
      </c>
      <c r="N573" s="28">
        <f>G573-SUM(H573:M573)</f>
        <v>0</v>
      </c>
      <c r="O573" s="28">
        <f>SUM(V573:Y573)</f>
        <v>0</v>
      </c>
      <c r="P573" s="28">
        <f>O573-N573</f>
        <v>0</v>
      </c>
      <c r="Q573" s="61" t="str">
        <f>IF(ISERROR(P573/SUM(H573:L573)),"",P573/SUM(H573:L573))</f>
        <v/>
      </c>
      <c r="R573" s="113">
        <v>0</v>
      </c>
      <c r="S573" s="28">
        <f>IF(ISERROR(P573/C573*R573),0,(P573/C573*R573))</f>
        <v>0</v>
      </c>
      <c r="T573" s="60">
        <f>IF(ISERROR(P573/B573*AF573),0,(P573/B573*AF573))</f>
        <v>0</v>
      </c>
      <c r="V573" s="113">
        <v>0</v>
      </c>
      <c r="W573" s="113">
        <v>0</v>
      </c>
      <c r="X573" s="113">
        <v>0</v>
      </c>
      <c r="Y573" s="113">
        <v>0</v>
      </c>
      <c r="AA573" s="113">
        <v>0</v>
      </c>
      <c r="AB573" s="113">
        <v>0</v>
      </c>
      <c r="AC573" s="113">
        <v>0</v>
      </c>
      <c r="AD573" s="113">
        <v>0</v>
      </c>
      <c r="AF573" s="113">
        <v>0</v>
      </c>
      <c r="AG573" s="28">
        <f>G573-O573</f>
        <v>0</v>
      </c>
      <c r="AH573" s="58">
        <f>IF(ISERROR(AG573/B573*AF573),0,(AG573/B573*AF573))</f>
        <v>0</v>
      </c>
      <c r="AI573" s="28">
        <f>SUM(H573:M573)</f>
        <v>0</v>
      </c>
      <c r="AJ573" s="28">
        <f>IF(ISERROR(AI573/B573*AF573),0,(AI573/B573*AF573))</f>
        <v>0</v>
      </c>
      <c r="AK573" s="58">
        <f>IF(ISERROR(O573/B573*AF573),0,(O573/B573*AF573))</f>
        <v>0</v>
      </c>
      <c r="AL573" s="28">
        <f>IF(ISERROR(H573/B573*AF573),0,(H573/B573*AF573))</f>
        <v>0</v>
      </c>
      <c r="AN573" s="51">
        <f>A573</f>
        <v>0</v>
      </c>
      <c r="AO573" s="57">
        <f>IF(ISERROR(IF(B573=C573,D573/C573,(INT(D573/B573)+(((D573-B573*INT(D573/B573)))/C573)/100))),0,(IF(B573=C573,D573/C573,(INT(D573/B573)+(((D573-B573*INT(D573/B573)))/C573)/100))))</f>
        <v>0</v>
      </c>
      <c r="AP573" s="57">
        <f>IF(ISERROR(IF(B573=C573,E573/C573,(INT(E573/B573)+(((E573-B573*INT(E573/B573)))/C573)/100))),0,(IF(B573=C573,E573/C573,(INT(E573/B573)+(((E573-B573*INT(E573/B573)))/C573)/100))))</f>
        <v>0</v>
      </c>
      <c r="AQ573" s="57">
        <f>IF(ISERROR(IF(B573=C573,F573/C573,IF((INT(F573/B573)+(((F573-B573*INT(F573/B573)))/C573)/100)&lt;0,(INT(F573/B573)+(((F573-B573*INT(F573/B573)))/C573)/100)+(1-(B573/C573/100)),(INT(F573/B573)+(((F573-B573*INT(F573/B573)))/C573)/100)))),0,IF(B573=C573,F573/C573,IF((INT(F573/B573)+(((F573-B573*INT(F573/B573)))/C573)/100)&lt;0,(INT(F573/B573)+(((F573-B573*INT(F573/B573)))/C573)/100)+(1-(B573/C573/100)),(INT(F573/B573)+(((F573-B573*INT(F573/B573)))/C573)/100))))</f>
        <v>0</v>
      </c>
      <c r="AR573" s="57">
        <f>IF(ISERROR(IF(B573=C573,G573/C573,(INT(G573/B573)+(((G573-B573*INT(G573/B573)))/C573)/100))),0,(IF(B573=C573,G573/C573,(INT(G573/B573)+(((G573-B573*INT(G573/B573)))/C573)/100))))</f>
        <v>0</v>
      </c>
      <c r="AS573" s="57">
        <f>IF(ISERROR(IF(B573=C573,H573/C573,(INT(H573/B573)+(((H573-B573*INT(H573/B573)))/C573)/100))),0,(IF(B573=C573,H573/C573,(INT(H573/B573)+(((H573-B573*INT(H573/B573)))/C573)/100))))</f>
        <v>0</v>
      </c>
      <c r="AT573" s="57">
        <f>IF(ISERROR(IF(B573=C573,I573/C573,(INT(I573/B573)+(((I573-B573*INT(I573/B573)))/C573)/100))),0,(IF(B573=C573,I573/C573,(INT(I573/B573)+(((I573-B573*INT(I573/B573)))/C573)/100))))</f>
        <v>0</v>
      </c>
      <c r="AU573" s="57">
        <f>IF(ISERROR(IF(B573=C573,J573/C573,(INT(J573/B573)+(((J573-B573*INT(J573/B573)))/C573)/100))),0,(IF(B573=C573,J573/C573,(INT(J573/B573)+(((J573-B573*INT(J573/B573)))/C573)/100))))</f>
        <v>0</v>
      </c>
      <c r="AV573" s="57">
        <f>IF(ISERROR(IF(B573=C573,K573/C573,IF((INT(K573/B573)+(((K573-B573*INT(K573/B573)))/C573)/100)&lt;0,(INT(K573/B573)+(((K573-B573*INT(K573/B573)))/C573)/100)+(1-(B573/C573/100)),(INT(K573/B573)+(((K573-B573*INT(K573/B573)))/C573)/100)))),0,IF(B573=C573,K573/C573,IF((INT(K573/B573)+(((K573-B573*INT(K573/B573)))/C573)/100)&lt;0,(INT(K573/B573)+(((K573-B573*INT(K573/B573)))/C573)/100)+(1-(B573/C573/100)),(INT(K573/B573)+(((K573-B573*INT(K573/B573)))/C573)/100))))</f>
        <v>0</v>
      </c>
      <c r="AW573" s="57">
        <f>IF(ISERROR(IF(B573=C573,L573/C573,(INT(L573/B573)+(((L573-B573*INT(L573/B573)))/C573)/100))),0,(IF(B573=C573,L573/C573,(INT(L573/B573)+(((L573-B573*INT(L573/B573)))/C573)/100))))</f>
        <v>0</v>
      </c>
      <c r="AX573" s="57">
        <f>IF(ISERROR(IF(B573=C573,M573/C573,(INT(M573/B573)+(((M573-B573*INT(M573/B573)))/C573)/100))),0,(IF(B573=C573,M573/C573,(INT(M573/B573)+(((M573-B573*INT(M573/B573)))/C573)/100))))</f>
        <v>0</v>
      </c>
      <c r="AY573" s="57">
        <f>IF(ISERROR(IF(B573=C573,N573/C573,IF((INT(N573/B573)+(((N573-B573*INT(N573/B573)))/C573)/100)&lt;0,(INT(N573/B573)+(((N573-B573*INT(N573/B573)))/C573)/100)+(1-(B573/C573/100)),(INT(N573/B573)+(((N573-B573*INT(N573/B573)))/C573)/100)))),0,IF(B573=C573,N573/C573,IF((INT(N573/B573)+(((N573-B573*INT(N573/B573)))/C573)/100)&lt;0,(INT(N573/B573)+(((N573-B573*INT(N573/B573)))/C573)/100)+(1-(B573/C573/100)),(INT(N573/B573)+(((N573-B573*INT(N573/B573)))/C573)/100))))</f>
        <v>0</v>
      </c>
      <c r="AZ573" s="57">
        <f>IF(ISERROR(IF(B573=C573,O573/C573,(INT(O573/B573)+(((O573-B573*INT(O573/B573)))/C573)/100))),0,(IF(B573=C573,O573/C573,(INT(O573/B573)+(((O573-B573*INT(O573/B573)))/C573)/100))))</f>
        <v>0</v>
      </c>
      <c r="BA573" s="57">
        <f>IF(ISERROR(IF(B573=C573,P573/C573,IF((INT(P573/B573)+(((P573-B573*INT(P573/B573)))/C573)/100)&lt;0,(INT(P573/B573)+(((P573-B573*INT(P573/B573)))/C573)/100)+(1-(B573/C573/100)),(INT(P573/B573)+(((P573-B573*INT(P573/B573)))/C573)/100)))),0,IF(B573=C573,P573/C573,IF((INT(P573/B573)+(((P573-B573*INT(P573/B573)))/C573)/100)&lt;0,(INT(P573/B573)+(((P573-B573*INT(P573/B573)))/C573)/100)+(1-(B573/C573/100)),(INT(P573/B573)+(((P573-B573*INT(P573/B573)))/C573)/100))))</f>
        <v>0</v>
      </c>
      <c r="BB573" s="28">
        <f>R573</f>
        <v>0</v>
      </c>
      <c r="BC573" s="28">
        <f>S573</f>
        <v>0</v>
      </c>
      <c r="BD573" s="28">
        <f>AF573</f>
        <v>0</v>
      </c>
      <c r="BE573" s="28">
        <f>T573</f>
        <v>0</v>
      </c>
      <c r="BG573" s="57">
        <f>IF(ISERROR(IF(B573=C573,V573/C573,(INT(V573/B573)+(((V573-B573*INT(V573/B573)))/C573)/100))),0,(IF(B573=C573,V573/C573,(INT(V573/B573)+(((V573-B573*INT(V573/B573)))/C573)/100))))</f>
        <v>0</v>
      </c>
      <c r="BH573" s="57">
        <f>IF(ISERROR(IF(B573=C573,W573/C573,(INT(W573/B573)+(((W573-B573*INT(W573/B573)))/C573)/100))),0,(IF(B573=C573,W573/C573,(INT(W573/B573)+(((W573-B573*INT(W573/B573)))/C573)/100))))</f>
        <v>0</v>
      </c>
      <c r="BI573" s="57">
        <f>IF(ISERROR(IF(B573=C573,X573/C573,(INT(X573/B573)+(((X573-B573*INT(X573/B573)))/C573)/100))),0,(IF(B573=C573,X573/C573,(INT(X573/B573)+(((X573-B573*INT(X573/B573)))/C573)/100))))</f>
        <v>0</v>
      </c>
      <c r="BJ573" s="57">
        <f>IF(ISERROR(IF(B573=C573,Y573/C573,(INT(Y573/B573)+(((Y573-B573*INT(Y573/B573)))/C573)/100))),0,(IF(B573=C573,Y573/C573,(INT(Y573/B573)+(((Y573-B573*INT(Y573/B573)))/C573)/100))))</f>
        <v>0</v>
      </c>
      <c r="BL573" s="57">
        <f>IF(ISERROR(IF(B573=C573,AA573/C573,(INT(AA573/B573)+(((AA573-B573*INT(AA573/B573)))/C573)/100))),0,(IF(B573=C573,AA573/C573,(INT(AA573/B573)+(((AA573-B573*INT(AA573/B573)))/C573)/100))))</f>
        <v>0</v>
      </c>
      <c r="BM573" s="57">
        <f>IF(ISERROR(IF(B573=C573,AB573/C573,(INT(AB573/B573)+(((AB573-B573*INT(AB573/B573)))/C573)/100))),0,(IF(B573=C573,AB573/C573,(INT(AB573/B573)+(((AB573-B573*INT(AB573/B573)))/C573)/100))))</f>
        <v>0</v>
      </c>
      <c r="BN573" s="57">
        <f>IF(ISERROR(IF(B573=C573,AC573/C573,(INT(AC573/B573)+(((AC573-B573*INT(AC573/B573)))/C573)/100))),0,(IF(B573=C573,AC573/C573,(INT(AC573/B573)+(((AC573-B573*INT(AC573/B573)))/C573)/100))))</f>
        <v>0</v>
      </c>
      <c r="BO573" s="57">
        <f>IF(ISERROR(IF(B573=C573,AD573/C573,(INT(AD573/B573)+(((AD573-B573*INT(AD573/B573)))/C573)/100))),0,(IF(B573=C573,AD573/C573,(INT(AD573/B573)+(((AD573-B573*INT(AD573/B573)))/C573)/100))))</f>
        <v>0</v>
      </c>
      <c r="BQ573" s="155"/>
    </row>
    <row r="574" spans="1:69" hidden="1" x14ac:dyDescent="0.35">
      <c r="A574" s="94"/>
      <c r="B574" s="113">
        <v>0</v>
      </c>
      <c r="C574" s="113">
        <v>250</v>
      </c>
      <c r="D574" s="28">
        <f>SUM(AA574:AD574)</f>
        <v>0</v>
      </c>
      <c r="E574" s="113">
        <v>0</v>
      </c>
      <c r="F574" s="113">
        <v>0</v>
      </c>
      <c r="G574" s="28">
        <f>SUM(D574:F574)</f>
        <v>0</v>
      </c>
      <c r="H574" s="125">
        <v>0</v>
      </c>
      <c r="I574" s="113">
        <v>0</v>
      </c>
      <c r="J574" s="125">
        <v>0</v>
      </c>
      <c r="K574" s="113">
        <v>0</v>
      </c>
      <c r="L574" s="113">
        <v>0</v>
      </c>
      <c r="M574" s="113">
        <v>0</v>
      </c>
      <c r="N574" s="28">
        <f>G574-SUM(H574:M574)</f>
        <v>0</v>
      </c>
      <c r="O574" s="28">
        <f>SUM(V574:Y574)</f>
        <v>0</v>
      </c>
      <c r="P574" s="28">
        <f>O574-N574</f>
        <v>0</v>
      </c>
      <c r="Q574" s="61" t="str">
        <f>IF(ISERROR(P574/SUM(H574:L574)),"",P574/SUM(H574:L574))</f>
        <v/>
      </c>
      <c r="R574" s="113">
        <v>0</v>
      </c>
      <c r="S574" s="28">
        <f>IF(ISERROR(P574/C574*R574),0,(P574/C574*R574))</f>
        <v>0</v>
      </c>
      <c r="T574" s="60">
        <f>IF(ISERROR(P574/B574*AF574),0,(P574/B574*AF574))</f>
        <v>0</v>
      </c>
      <c r="V574" s="113">
        <v>0</v>
      </c>
      <c r="W574" s="113">
        <v>0</v>
      </c>
      <c r="X574" s="113">
        <v>0</v>
      </c>
      <c r="Y574" s="113">
        <v>0</v>
      </c>
      <c r="AA574" s="113">
        <v>0</v>
      </c>
      <c r="AB574" s="113">
        <v>0</v>
      </c>
      <c r="AC574" s="113">
        <v>0</v>
      </c>
      <c r="AD574" s="113">
        <v>0</v>
      </c>
      <c r="AF574" s="113">
        <v>0</v>
      </c>
      <c r="AG574" s="28">
        <f>G574-O574</f>
        <v>0</v>
      </c>
      <c r="AH574" s="58">
        <f>IF(ISERROR(AG574/B574*AF574),0,(AG574/B574*AF574))</f>
        <v>0</v>
      </c>
      <c r="AI574" s="28">
        <f>SUM(H574:M574)</f>
        <v>0</v>
      </c>
      <c r="AJ574" s="28">
        <f>IF(ISERROR(AI574/B574*AF574),0,(AI574/B574*AF574))</f>
        <v>0</v>
      </c>
      <c r="AK574" s="58">
        <f>IF(ISERROR(O574/B574*AF574),0,(O574/B574*AF574))</f>
        <v>0</v>
      </c>
      <c r="AL574" s="28">
        <f>IF(ISERROR(H574/B574*AF574),0,(H574/B574*AF574))</f>
        <v>0</v>
      </c>
      <c r="AN574" s="51">
        <f>A574</f>
        <v>0</v>
      </c>
      <c r="AO574" s="57">
        <f>IF(ISERROR(IF(B574=C574,D574/C574,(INT(D574/B574)+(((D574-B574*INT(D574/B574)))/C574)/100))),0,(IF(B574=C574,D574/C574,(INT(D574/B574)+(((D574-B574*INT(D574/B574)))/C574)/100))))</f>
        <v>0</v>
      </c>
      <c r="AP574" s="57">
        <f>IF(ISERROR(IF(B574=C574,E574/C574,(INT(E574/B574)+(((E574-B574*INT(E574/B574)))/C574)/100))),0,(IF(B574=C574,E574/C574,(INT(E574/B574)+(((E574-B574*INT(E574/B574)))/C574)/100))))</f>
        <v>0</v>
      </c>
      <c r="AQ574" s="57">
        <f>IF(ISERROR(IF(B574=C574,F574/C574,IF((INT(F574/B574)+(((F574-B574*INT(F574/B574)))/C574)/100)&lt;0,(INT(F574/B574)+(((F574-B574*INT(F574/B574)))/C574)/100)+(1-(B574/C574/100)),(INT(F574/B574)+(((F574-B574*INT(F574/B574)))/C574)/100)))),0,IF(B574=C574,F574/C574,IF((INT(F574/B574)+(((F574-B574*INT(F574/B574)))/C574)/100)&lt;0,(INT(F574/B574)+(((F574-B574*INT(F574/B574)))/C574)/100)+(1-(B574/C574/100)),(INT(F574/B574)+(((F574-B574*INT(F574/B574)))/C574)/100))))</f>
        <v>0</v>
      </c>
      <c r="AR574" s="57">
        <f>IF(ISERROR(IF(B574=C574,G574/C574,(INT(G574/B574)+(((G574-B574*INT(G574/B574)))/C574)/100))),0,(IF(B574=C574,G574/C574,(INT(G574/B574)+(((G574-B574*INT(G574/B574)))/C574)/100))))</f>
        <v>0</v>
      </c>
      <c r="AS574" s="57">
        <f>IF(ISERROR(IF(B574=C574,H574/C574,(INT(H574/B574)+(((H574-B574*INT(H574/B574)))/C574)/100))),0,(IF(B574=C574,H574/C574,(INT(H574/B574)+(((H574-B574*INT(H574/B574)))/C574)/100))))</f>
        <v>0</v>
      </c>
      <c r="AT574" s="57">
        <f>IF(ISERROR(IF(B574=C574,I574/C574,(INT(I574/B574)+(((I574-B574*INT(I574/B574)))/C574)/100))),0,(IF(B574=C574,I574/C574,(INT(I574/B574)+(((I574-B574*INT(I574/B574)))/C574)/100))))</f>
        <v>0</v>
      </c>
      <c r="AU574" s="57">
        <f>IF(ISERROR(IF(B574=C574,J574/C574,(INT(J574/B574)+(((J574-B574*INT(J574/B574)))/C574)/100))),0,(IF(B574=C574,J574/C574,(INT(J574/B574)+(((J574-B574*INT(J574/B574)))/C574)/100))))</f>
        <v>0</v>
      </c>
      <c r="AV574" s="57">
        <f>IF(ISERROR(IF(B574=C574,K574/C574,IF((INT(K574/B574)+(((K574-B574*INT(K574/B574)))/C574)/100)&lt;0,(INT(K574/B574)+(((K574-B574*INT(K574/B574)))/C574)/100)+(1-(B574/C574/100)),(INT(K574/B574)+(((K574-B574*INT(K574/B574)))/C574)/100)))),0,IF(B574=C574,K574/C574,IF((INT(K574/B574)+(((K574-B574*INT(K574/B574)))/C574)/100)&lt;0,(INT(K574/B574)+(((K574-B574*INT(K574/B574)))/C574)/100)+(1-(B574/C574/100)),(INT(K574/B574)+(((K574-B574*INT(K574/B574)))/C574)/100))))</f>
        <v>0</v>
      </c>
      <c r="AW574" s="57">
        <f>IF(ISERROR(IF(B574=C574,L574/C574,(INT(L574/B574)+(((L574-B574*INT(L574/B574)))/C574)/100))),0,(IF(B574=C574,L574/C574,(INT(L574/B574)+(((L574-B574*INT(L574/B574)))/C574)/100))))</f>
        <v>0</v>
      </c>
      <c r="AX574" s="57">
        <f>IF(ISERROR(IF(B574=C574,M574/C574,(INT(M574/B574)+(((M574-B574*INT(M574/B574)))/C574)/100))),0,(IF(B574=C574,M574/C574,(INT(M574/B574)+(((M574-B574*INT(M574/B574)))/C574)/100))))</f>
        <v>0</v>
      </c>
      <c r="AY574" s="57">
        <f>IF(ISERROR(IF(B574=C574,N574/C574,IF((INT(N574/B574)+(((N574-B574*INT(N574/B574)))/C574)/100)&lt;0,(INT(N574/B574)+(((N574-B574*INT(N574/B574)))/C574)/100)+(1-(B574/C574/100)),(INT(N574/B574)+(((N574-B574*INT(N574/B574)))/C574)/100)))),0,IF(B574=C574,N574/C574,IF((INT(N574/B574)+(((N574-B574*INT(N574/B574)))/C574)/100)&lt;0,(INT(N574/B574)+(((N574-B574*INT(N574/B574)))/C574)/100)+(1-(B574/C574/100)),(INT(N574/B574)+(((N574-B574*INT(N574/B574)))/C574)/100))))</f>
        <v>0</v>
      </c>
      <c r="AZ574" s="57">
        <f>IF(ISERROR(IF(B574=C574,O574/C574,(INT(O574/B574)+(((O574-B574*INT(O574/B574)))/C574)/100))),0,(IF(B574=C574,O574/C574,(INT(O574/B574)+(((O574-B574*INT(O574/B574)))/C574)/100))))</f>
        <v>0</v>
      </c>
      <c r="BA574" s="57">
        <f>IF(ISERROR(IF(B574=C574,P574/C574,IF((INT(P574/B574)+(((P574-B574*INT(P574/B574)))/C574)/100)&lt;0,(INT(P574/B574)+(((P574-B574*INT(P574/B574)))/C574)/100)+(1-(B574/C574/100)),(INT(P574/B574)+(((P574-B574*INT(P574/B574)))/C574)/100)))),0,IF(B574=C574,P574/C574,IF((INT(P574/B574)+(((P574-B574*INT(P574/B574)))/C574)/100)&lt;0,(INT(P574/B574)+(((P574-B574*INT(P574/B574)))/C574)/100)+(1-(B574/C574/100)),(INT(P574/B574)+(((P574-B574*INT(P574/B574)))/C574)/100))))</f>
        <v>0</v>
      </c>
      <c r="BB574" s="28">
        <f>R574</f>
        <v>0</v>
      </c>
      <c r="BC574" s="28">
        <f>S574</f>
        <v>0</v>
      </c>
      <c r="BD574" s="28">
        <f>AF574</f>
        <v>0</v>
      </c>
      <c r="BE574" s="28">
        <f>T574</f>
        <v>0</v>
      </c>
      <c r="BG574" s="57">
        <f>IF(ISERROR(IF(B574=C574,V574/C574,(INT(V574/B574)+(((V574-B574*INT(V574/B574)))/C574)/100))),0,(IF(B574=C574,V574/C574,(INT(V574/B574)+(((V574-B574*INT(V574/B574)))/C574)/100))))</f>
        <v>0</v>
      </c>
      <c r="BH574" s="57">
        <f>IF(ISERROR(IF(B574=C574,W574/C574,(INT(W574/B574)+(((W574-B574*INT(W574/B574)))/C574)/100))),0,(IF(B574=C574,W574/C574,(INT(W574/B574)+(((W574-B574*INT(W574/B574)))/C574)/100))))</f>
        <v>0</v>
      </c>
      <c r="BI574" s="57">
        <f>IF(ISERROR(IF(B574=C574,X574/C574,(INT(X574/B574)+(((X574-B574*INT(X574/B574)))/C574)/100))),0,(IF(B574=C574,X574/C574,(INT(X574/B574)+(((X574-B574*INT(X574/B574)))/C574)/100))))</f>
        <v>0</v>
      </c>
      <c r="BJ574" s="57">
        <f>IF(ISERROR(IF(B574=C574,Y574/C574,(INT(Y574/B574)+(((Y574-B574*INT(Y574/B574)))/C574)/100))),0,(IF(B574=C574,Y574/C574,(INT(Y574/B574)+(((Y574-B574*INT(Y574/B574)))/C574)/100))))</f>
        <v>0</v>
      </c>
      <c r="BL574" s="57">
        <f>IF(ISERROR(IF(B574=C574,AA574/C574,(INT(AA574/B574)+(((AA574-B574*INT(AA574/B574)))/C574)/100))),0,(IF(B574=C574,AA574/C574,(INT(AA574/B574)+(((AA574-B574*INT(AA574/B574)))/C574)/100))))</f>
        <v>0</v>
      </c>
      <c r="BM574" s="57">
        <f>IF(ISERROR(IF(B574=C574,AB574/C574,(INT(AB574/B574)+(((AB574-B574*INT(AB574/B574)))/C574)/100))),0,(IF(B574=C574,AB574/C574,(INT(AB574/B574)+(((AB574-B574*INT(AB574/B574)))/C574)/100))))</f>
        <v>0</v>
      </c>
      <c r="BN574" s="57">
        <f>IF(ISERROR(IF(B574=C574,AC574/C574,(INT(AC574/B574)+(((AC574-B574*INT(AC574/B574)))/C574)/100))),0,(IF(B574=C574,AC574/C574,(INT(AC574/B574)+(((AC574-B574*INT(AC574/B574)))/C574)/100))))</f>
        <v>0</v>
      </c>
      <c r="BO574" s="57">
        <f>IF(ISERROR(IF(B574=C574,AD574/C574,(INT(AD574/B574)+(((AD574-B574*INT(AD574/B574)))/C574)/100))),0,(IF(B574=C574,AD574/C574,(INT(AD574/B574)+(((AD574-B574*INT(AD574/B574)))/C574)/100))))</f>
        <v>0</v>
      </c>
      <c r="BQ574" s="155"/>
    </row>
    <row r="575" spans="1:69" hidden="1" x14ac:dyDescent="0.35">
      <c r="A575" s="94"/>
      <c r="B575" s="113">
        <v>0</v>
      </c>
      <c r="C575" s="113">
        <v>250</v>
      </c>
      <c r="D575" s="28">
        <f>SUM(AA575:AD575)</f>
        <v>0</v>
      </c>
      <c r="E575" s="113">
        <v>0</v>
      </c>
      <c r="F575" s="113">
        <v>0</v>
      </c>
      <c r="G575" s="28">
        <f>SUM(D575:F575)</f>
        <v>0</v>
      </c>
      <c r="H575" s="125">
        <v>0</v>
      </c>
      <c r="I575" s="113">
        <v>0</v>
      </c>
      <c r="J575" s="125">
        <v>0</v>
      </c>
      <c r="K575" s="113">
        <v>0</v>
      </c>
      <c r="L575" s="113">
        <v>0</v>
      </c>
      <c r="M575" s="113">
        <v>0</v>
      </c>
      <c r="N575" s="28">
        <f>G575-SUM(H575:M575)</f>
        <v>0</v>
      </c>
      <c r="O575" s="28">
        <f>SUM(V575:Y575)</f>
        <v>0</v>
      </c>
      <c r="P575" s="28">
        <f>O575-N575</f>
        <v>0</v>
      </c>
      <c r="Q575" s="61" t="str">
        <f>IF(ISERROR(P575/SUM(H575:L575)),"",P575/SUM(H575:L575))</f>
        <v/>
      </c>
      <c r="R575" s="113">
        <v>0</v>
      </c>
      <c r="S575" s="28">
        <f>IF(ISERROR(P575/C575*R575),0,(P575/C575*R575))</f>
        <v>0</v>
      </c>
      <c r="T575" s="60">
        <f>IF(ISERROR(P575/B575*AF575),0,(P575/B575*AF575))</f>
        <v>0</v>
      </c>
      <c r="V575" s="113">
        <v>0</v>
      </c>
      <c r="W575" s="113">
        <v>0</v>
      </c>
      <c r="X575" s="113">
        <v>0</v>
      </c>
      <c r="Y575" s="113">
        <v>0</v>
      </c>
      <c r="AA575" s="113">
        <v>0</v>
      </c>
      <c r="AB575" s="113">
        <v>0</v>
      </c>
      <c r="AC575" s="113">
        <v>0</v>
      </c>
      <c r="AD575" s="113">
        <v>0</v>
      </c>
      <c r="AF575" s="113">
        <v>0</v>
      </c>
      <c r="AG575" s="28">
        <f>G575-O575</f>
        <v>0</v>
      </c>
      <c r="AH575" s="58">
        <f>IF(ISERROR(AG575/B575*AF575),0,(AG575/B575*AF575))</f>
        <v>0</v>
      </c>
      <c r="AI575" s="28">
        <f>SUM(H575:M575)</f>
        <v>0</v>
      </c>
      <c r="AJ575" s="28">
        <f>IF(ISERROR(AI575/B575*AF575),0,(AI575/B575*AF575))</f>
        <v>0</v>
      </c>
      <c r="AK575" s="58">
        <f>IF(ISERROR(O575/B575*AF575),0,(O575/B575*AF575))</f>
        <v>0</v>
      </c>
      <c r="AL575" s="28">
        <f>IF(ISERROR(H575/B575*AF575),0,(H575/B575*AF575))</f>
        <v>0</v>
      </c>
      <c r="AN575" s="51">
        <f>A575</f>
        <v>0</v>
      </c>
      <c r="AO575" s="57">
        <f>IF(ISERROR(IF(B575=C575,D575/C575,(INT(D575/B575)+(((D575-B575*INT(D575/B575)))/C575)/100))),0,(IF(B575=C575,D575/C575,(INT(D575/B575)+(((D575-B575*INT(D575/B575)))/C575)/100))))</f>
        <v>0</v>
      </c>
      <c r="AP575" s="57">
        <f>IF(ISERROR(IF(B575=C575,E575/C575,(INT(E575/B575)+(((E575-B575*INT(E575/B575)))/C575)/100))),0,(IF(B575=C575,E575/C575,(INT(E575/B575)+(((E575-B575*INT(E575/B575)))/C575)/100))))</f>
        <v>0</v>
      </c>
      <c r="AQ575" s="57">
        <f>IF(ISERROR(IF(B575=C575,F575/C575,IF((INT(F575/B575)+(((F575-B575*INT(F575/B575)))/C575)/100)&lt;0,(INT(F575/B575)+(((F575-B575*INT(F575/B575)))/C575)/100)+(1-(B575/C575/100)),(INT(F575/B575)+(((F575-B575*INT(F575/B575)))/C575)/100)))),0,IF(B575=C575,F575/C575,IF((INT(F575/B575)+(((F575-B575*INT(F575/B575)))/C575)/100)&lt;0,(INT(F575/B575)+(((F575-B575*INT(F575/B575)))/C575)/100)+(1-(B575/C575/100)),(INT(F575/B575)+(((F575-B575*INT(F575/B575)))/C575)/100))))</f>
        <v>0</v>
      </c>
      <c r="AR575" s="57">
        <f>IF(ISERROR(IF(B575=C575,G575/C575,(INT(G575/B575)+(((G575-B575*INT(G575/B575)))/C575)/100))),0,(IF(B575=C575,G575/C575,(INT(G575/B575)+(((G575-B575*INT(G575/B575)))/C575)/100))))</f>
        <v>0</v>
      </c>
      <c r="AS575" s="57">
        <f>IF(ISERROR(IF(B575=C575,H575/C575,(INT(H575/B575)+(((H575-B575*INT(H575/B575)))/C575)/100))),0,(IF(B575=C575,H575/C575,(INT(H575/B575)+(((H575-B575*INT(H575/B575)))/C575)/100))))</f>
        <v>0</v>
      </c>
      <c r="AT575" s="57">
        <f>IF(ISERROR(IF(B575=C575,I575/C575,(INT(I575/B575)+(((I575-B575*INT(I575/B575)))/C575)/100))),0,(IF(B575=C575,I575/C575,(INT(I575/B575)+(((I575-B575*INT(I575/B575)))/C575)/100))))</f>
        <v>0</v>
      </c>
      <c r="AU575" s="57">
        <f>IF(ISERROR(IF(B575=C575,J575/C575,(INT(J575/B575)+(((J575-B575*INT(J575/B575)))/C575)/100))),0,(IF(B575=C575,J575/C575,(INT(J575/B575)+(((J575-B575*INT(J575/B575)))/C575)/100))))</f>
        <v>0</v>
      </c>
      <c r="AV575" s="57">
        <f>IF(ISERROR(IF(B575=C575,K575/C575,IF((INT(K575/B575)+(((K575-B575*INT(K575/B575)))/C575)/100)&lt;0,(INT(K575/B575)+(((K575-B575*INT(K575/B575)))/C575)/100)+(1-(B575/C575/100)),(INT(K575/B575)+(((K575-B575*INT(K575/B575)))/C575)/100)))),0,IF(B575=C575,K575/C575,IF((INT(K575/B575)+(((K575-B575*INT(K575/B575)))/C575)/100)&lt;0,(INT(K575/B575)+(((K575-B575*INT(K575/B575)))/C575)/100)+(1-(B575/C575/100)),(INT(K575/B575)+(((K575-B575*INT(K575/B575)))/C575)/100))))</f>
        <v>0</v>
      </c>
      <c r="AW575" s="57">
        <f>IF(ISERROR(IF(B575=C575,L575/C575,(INT(L575/B575)+(((L575-B575*INT(L575/B575)))/C575)/100))),0,(IF(B575=C575,L575/C575,(INT(L575/B575)+(((L575-B575*INT(L575/B575)))/C575)/100))))</f>
        <v>0</v>
      </c>
      <c r="AX575" s="57">
        <f>IF(ISERROR(IF(B575=C575,M575/C575,(INT(M575/B575)+(((M575-B575*INT(M575/B575)))/C575)/100))),0,(IF(B575=C575,M575/C575,(INT(M575/B575)+(((M575-B575*INT(M575/B575)))/C575)/100))))</f>
        <v>0</v>
      </c>
      <c r="AY575" s="57">
        <f>IF(ISERROR(IF(B575=C575,N575/C575,IF((INT(N575/B575)+(((N575-B575*INT(N575/B575)))/C575)/100)&lt;0,(INT(N575/B575)+(((N575-B575*INT(N575/B575)))/C575)/100)+(1-(B575/C575/100)),(INT(N575/B575)+(((N575-B575*INT(N575/B575)))/C575)/100)))),0,IF(B575=C575,N575/C575,IF((INT(N575/B575)+(((N575-B575*INT(N575/B575)))/C575)/100)&lt;0,(INT(N575/B575)+(((N575-B575*INT(N575/B575)))/C575)/100)+(1-(B575/C575/100)),(INT(N575/B575)+(((N575-B575*INT(N575/B575)))/C575)/100))))</f>
        <v>0</v>
      </c>
      <c r="AZ575" s="57">
        <f>IF(ISERROR(IF(B575=C575,O575/C575,(INT(O575/B575)+(((O575-B575*INT(O575/B575)))/C575)/100))),0,(IF(B575=C575,O575/C575,(INT(O575/B575)+(((O575-B575*INT(O575/B575)))/C575)/100))))</f>
        <v>0</v>
      </c>
      <c r="BA575" s="57">
        <f>IF(ISERROR(IF(B575=C575,P575/C575,IF((INT(P575/B575)+(((P575-B575*INT(P575/B575)))/C575)/100)&lt;0,(INT(P575/B575)+(((P575-B575*INT(P575/B575)))/C575)/100)+(1-(B575/C575/100)),(INT(P575/B575)+(((P575-B575*INT(P575/B575)))/C575)/100)))),0,IF(B575=C575,P575/C575,IF((INT(P575/B575)+(((P575-B575*INT(P575/B575)))/C575)/100)&lt;0,(INT(P575/B575)+(((P575-B575*INT(P575/B575)))/C575)/100)+(1-(B575/C575/100)),(INT(P575/B575)+(((P575-B575*INT(P575/B575)))/C575)/100))))</f>
        <v>0</v>
      </c>
      <c r="BB575" s="28">
        <f>R575</f>
        <v>0</v>
      </c>
      <c r="BC575" s="28">
        <f>S575</f>
        <v>0</v>
      </c>
      <c r="BD575" s="28">
        <f>AF575</f>
        <v>0</v>
      </c>
      <c r="BE575" s="28">
        <f>T575</f>
        <v>0</v>
      </c>
      <c r="BG575" s="57">
        <f>IF(ISERROR(IF(B575=C575,V575/C575,(INT(V575/B575)+(((V575-B575*INT(V575/B575)))/C575)/100))),0,(IF(B575=C575,V575/C575,(INT(V575/B575)+(((V575-B575*INT(V575/B575)))/C575)/100))))</f>
        <v>0</v>
      </c>
      <c r="BH575" s="57">
        <f>IF(ISERROR(IF(B575=C575,W575/C575,(INT(W575/B575)+(((W575-B575*INT(W575/B575)))/C575)/100))),0,(IF(B575=C575,W575/C575,(INT(W575/B575)+(((W575-B575*INT(W575/B575)))/C575)/100))))</f>
        <v>0</v>
      </c>
      <c r="BI575" s="57">
        <f>IF(ISERROR(IF(B575=C575,X575/C575,(INT(X575/B575)+(((X575-B575*INT(X575/B575)))/C575)/100))),0,(IF(B575=C575,X575/C575,(INT(X575/B575)+(((X575-B575*INT(X575/B575)))/C575)/100))))</f>
        <v>0</v>
      </c>
      <c r="BJ575" s="57">
        <f>IF(ISERROR(IF(B575=C575,Y575/C575,(INT(Y575/B575)+(((Y575-B575*INT(Y575/B575)))/C575)/100))),0,(IF(B575=C575,Y575/C575,(INT(Y575/B575)+(((Y575-B575*INT(Y575/B575)))/C575)/100))))</f>
        <v>0</v>
      </c>
      <c r="BL575" s="57">
        <f>IF(ISERROR(IF(B575=C575,AA575/C575,(INT(AA575/B575)+(((AA575-B575*INT(AA575/B575)))/C575)/100))),0,(IF(B575=C575,AA575/C575,(INT(AA575/B575)+(((AA575-B575*INT(AA575/B575)))/C575)/100))))</f>
        <v>0</v>
      </c>
      <c r="BM575" s="57">
        <f>IF(ISERROR(IF(B575=C575,AB575/C575,(INT(AB575/B575)+(((AB575-B575*INT(AB575/B575)))/C575)/100))),0,(IF(B575=C575,AB575/C575,(INT(AB575/B575)+(((AB575-B575*INT(AB575/B575)))/C575)/100))))</f>
        <v>0</v>
      </c>
      <c r="BN575" s="57">
        <f>IF(ISERROR(IF(B575=C575,AC575/C575,(INT(AC575/B575)+(((AC575-B575*INT(AC575/B575)))/C575)/100))),0,(IF(B575=C575,AC575/C575,(INT(AC575/B575)+(((AC575-B575*INT(AC575/B575)))/C575)/100))))</f>
        <v>0</v>
      </c>
      <c r="BO575" s="57">
        <f>IF(ISERROR(IF(B575=C575,AD575/C575,(INT(AD575/B575)+(((AD575-B575*INT(AD575/B575)))/C575)/100))),0,(IF(B575=C575,AD575/C575,(INT(AD575/B575)+(((AD575-B575*INT(AD575/B575)))/C575)/100))))</f>
        <v>0</v>
      </c>
      <c r="BQ575" s="155"/>
    </row>
    <row r="576" spans="1:69" hidden="1" x14ac:dyDescent="0.35">
      <c r="A576" s="94"/>
      <c r="B576" s="113">
        <v>0</v>
      </c>
      <c r="C576" s="113">
        <v>250</v>
      </c>
      <c r="D576" s="28">
        <f>SUM(AA576:AD576)</f>
        <v>0</v>
      </c>
      <c r="E576" s="113">
        <v>0</v>
      </c>
      <c r="F576" s="113">
        <v>0</v>
      </c>
      <c r="G576" s="28">
        <f>SUM(D576:F576)</f>
        <v>0</v>
      </c>
      <c r="H576" s="125">
        <v>0</v>
      </c>
      <c r="I576" s="113">
        <v>0</v>
      </c>
      <c r="J576" s="125">
        <v>0</v>
      </c>
      <c r="K576" s="113">
        <v>0</v>
      </c>
      <c r="L576" s="113">
        <v>0</v>
      </c>
      <c r="M576" s="113">
        <v>0</v>
      </c>
      <c r="N576" s="28">
        <f>G576-SUM(H576:M576)</f>
        <v>0</v>
      </c>
      <c r="O576" s="28">
        <f>SUM(V576:Y576)</f>
        <v>0</v>
      </c>
      <c r="P576" s="28">
        <f>O576-N576</f>
        <v>0</v>
      </c>
      <c r="Q576" s="61" t="str">
        <f>IF(ISERROR(P576/SUM(H576:L576)),"",P576/SUM(H576:L576))</f>
        <v/>
      </c>
      <c r="R576" s="113">
        <v>0</v>
      </c>
      <c r="S576" s="28">
        <f>IF(ISERROR(P576/C576*R576),0,(P576/C576*R576))</f>
        <v>0</v>
      </c>
      <c r="T576" s="60">
        <f>IF(ISERROR(P576/B576*AF576),0,(P576/B576*AF576))</f>
        <v>0</v>
      </c>
      <c r="V576" s="113">
        <v>0</v>
      </c>
      <c r="W576" s="113">
        <v>0</v>
      </c>
      <c r="X576" s="113">
        <v>0</v>
      </c>
      <c r="Y576" s="113">
        <v>0</v>
      </c>
      <c r="AA576" s="113">
        <v>0</v>
      </c>
      <c r="AB576" s="113">
        <v>0</v>
      </c>
      <c r="AC576" s="113">
        <v>0</v>
      </c>
      <c r="AD576" s="113">
        <v>0</v>
      </c>
      <c r="AF576" s="113">
        <v>0</v>
      </c>
      <c r="AG576" s="28">
        <f>G576-O576</f>
        <v>0</v>
      </c>
      <c r="AH576" s="58">
        <f>IF(ISERROR(AG576/B576*AF576),0,(AG576/B576*AF576))</f>
        <v>0</v>
      </c>
      <c r="AI576" s="28">
        <f>SUM(H576:M576)</f>
        <v>0</v>
      </c>
      <c r="AJ576" s="28">
        <f>IF(ISERROR(AI576/B576*AF576),0,(AI576/B576*AF576))</f>
        <v>0</v>
      </c>
      <c r="AK576" s="58">
        <f>IF(ISERROR(O576/B576*AF576),0,(O576/B576*AF576))</f>
        <v>0</v>
      </c>
      <c r="AL576" s="28">
        <f>IF(ISERROR(H576/B576*AF576),0,(H576/B576*AF576))</f>
        <v>0</v>
      </c>
      <c r="AN576" s="51">
        <f>A576</f>
        <v>0</v>
      </c>
      <c r="AO576" s="57">
        <f>IF(ISERROR(IF(B576=C576,D576/C576,(INT(D576/B576)+(((D576-B576*INT(D576/B576)))/C576)/100))),0,(IF(B576=C576,D576/C576,(INT(D576/B576)+(((D576-B576*INT(D576/B576)))/C576)/100))))</f>
        <v>0</v>
      </c>
      <c r="AP576" s="57">
        <f>IF(ISERROR(IF(B576=C576,E576/C576,(INT(E576/B576)+(((E576-B576*INT(E576/B576)))/C576)/100))),0,(IF(B576=C576,E576/C576,(INT(E576/B576)+(((E576-B576*INT(E576/B576)))/C576)/100))))</f>
        <v>0</v>
      </c>
      <c r="AQ576" s="57">
        <f>IF(ISERROR(IF(B576=C576,F576/C576,IF((INT(F576/B576)+(((F576-B576*INT(F576/B576)))/C576)/100)&lt;0,(INT(F576/B576)+(((F576-B576*INT(F576/B576)))/C576)/100)+(1-(B576/C576/100)),(INT(F576/B576)+(((F576-B576*INT(F576/B576)))/C576)/100)))),0,IF(B576=C576,F576/C576,IF((INT(F576/B576)+(((F576-B576*INT(F576/B576)))/C576)/100)&lt;0,(INT(F576/B576)+(((F576-B576*INT(F576/B576)))/C576)/100)+(1-(B576/C576/100)),(INT(F576/B576)+(((F576-B576*INT(F576/B576)))/C576)/100))))</f>
        <v>0</v>
      </c>
      <c r="AR576" s="57">
        <f>IF(ISERROR(IF(B576=C576,G576/C576,(INT(G576/B576)+(((G576-B576*INT(G576/B576)))/C576)/100))),0,(IF(B576=C576,G576/C576,(INT(G576/B576)+(((G576-B576*INT(G576/B576)))/C576)/100))))</f>
        <v>0</v>
      </c>
      <c r="AS576" s="57">
        <f>IF(ISERROR(IF(B576=C576,H576/C576,(INT(H576/B576)+(((H576-B576*INT(H576/B576)))/C576)/100))),0,(IF(B576=C576,H576/C576,(INT(H576/B576)+(((H576-B576*INT(H576/B576)))/C576)/100))))</f>
        <v>0</v>
      </c>
      <c r="AT576" s="57">
        <f>IF(ISERROR(IF(B576=C576,I576/C576,(INT(I576/B576)+(((I576-B576*INT(I576/B576)))/C576)/100))),0,(IF(B576=C576,I576/C576,(INT(I576/B576)+(((I576-B576*INT(I576/B576)))/C576)/100))))</f>
        <v>0</v>
      </c>
      <c r="AU576" s="57">
        <f>IF(ISERROR(IF(B576=C576,J576/C576,(INT(J576/B576)+(((J576-B576*INT(J576/B576)))/C576)/100))),0,(IF(B576=C576,J576/C576,(INT(J576/B576)+(((J576-B576*INT(J576/B576)))/C576)/100))))</f>
        <v>0</v>
      </c>
      <c r="AV576" s="57">
        <f>IF(ISERROR(IF(B576=C576,K576/C576,IF((INT(K576/B576)+(((K576-B576*INT(K576/B576)))/C576)/100)&lt;0,(INT(K576/B576)+(((K576-B576*INT(K576/B576)))/C576)/100)+(1-(B576/C576/100)),(INT(K576/B576)+(((K576-B576*INT(K576/B576)))/C576)/100)))),0,IF(B576=C576,K576/C576,IF((INT(K576/B576)+(((K576-B576*INT(K576/B576)))/C576)/100)&lt;0,(INT(K576/B576)+(((K576-B576*INT(K576/B576)))/C576)/100)+(1-(B576/C576/100)),(INT(K576/B576)+(((K576-B576*INT(K576/B576)))/C576)/100))))</f>
        <v>0</v>
      </c>
      <c r="AW576" s="57">
        <f>IF(ISERROR(IF(B576=C576,L576/C576,(INT(L576/B576)+(((L576-B576*INT(L576/B576)))/C576)/100))),0,(IF(B576=C576,L576/C576,(INT(L576/B576)+(((L576-B576*INT(L576/B576)))/C576)/100))))</f>
        <v>0</v>
      </c>
      <c r="AX576" s="57">
        <f>IF(ISERROR(IF(B576=C576,M576/C576,(INT(M576/B576)+(((M576-B576*INT(M576/B576)))/C576)/100))),0,(IF(B576=C576,M576/C576,(INT(M576/B576)+(((M576-B576*INT(M576/B576)))/C576)/100))))</f>
        <v>0</v>
      </c>
      <c r="AY576" s="57">
        <f>IF(ISERROR(IF(B576=C576,N576/C576,IF((INT(N576/B576)+(((N576-B576*INT(N576/B576)))/C576)/100)&lt;0,(INT(N576/B576)+(((N576-B576*INT(N576/B576)))/C576)/100)+(1-(B576/C576/100)),(INT(N576/B576)+(((N576-B576*INT(N576/B576)))/C576)/100)))),0,IF(B576=C576,N576/C576,IF((INT(N576/B576)+(((N576-B576*INT(N576/B576)))/C576)/100)&lt;0,(INT(N576/B576)+(((N576-B576*INT(N576/B576)))/C576)/100)+(1-(B576/C576/100)),(INT(N576/B576)+(((N576-B576*INT(N576/B576)))/C576)/100))))</f>
        <v>0</v>
      </c>
      <c r="AZ576" s="57">
        <f>IF(ISERROR(IF(B576=C576,O576/C576,(INT(O576/B576)+(((O576-B576*INT(O576/B576)))/C576)/100))),0,(IF(B576=C576,O576/C576,(INT(O576/B576)+(((O576-B576*INT(O576/B576)))/C576)/100))))</f>
        <v>0</v>
      </c>
      <c r="BA576" s="57">
        <f>IF(ISERROR(IF(B576=C576,P576/C576,IF((INT(P576/B576)+(((P576-B576*INT(P576/B576)))/C576)/100)&lt;0,(INT(P576/B576)+(((P576-B576*INT(P576/B576)))/C576)/100)+(1-(B576/C576/100)),(INT(P576/B576)+(((P576-B576*INT(P576/B576)))/C576)/100)))),0,IF(B576=C576,P576/C576,IF((INT(P576/B576)+(((P576-B576*INT(P576/B576)))/C576)/100)&lt;0,(INT(P576/B576)+(((P576-B576*INT(P576/B576)))/C576)/100)+(1-(B576/C576/100)),(INT(P576/B576)+(((P576-B576*INT(P576/B576)))/C576)/100))))</f>
        <v>0</v>
      </c>
      <c r="BB576" s="28">
        <f>R576</f>
        <v>0</v>
      </c>
      <c r="BC576" s="28">
        <f>S576</f>
        <v>0</v>
      </c>
      <c r="BD576" s="28">
        <f>AF576</f>
        <v>0</v>
      </c>
      <c r="BE576" s="28">
        <f>T576</f>
        <v>0</v>
      </c>
      <c r="BG576" s="57">
        <f>IF(ISERROR(IF(B576=C576,V576/C576,(INT(V576/B576)+(((V576-B576*INT(V576/B576)))/C576)/100))),0,(IF(B576=C576,V576/C576,(INT(V576/B576)+(((V576-B576*INT(V576/B576)))/C576)/100))))</f>
        <v>0</v>
      </c>
      <c r="BH576" s="57">
        <f>IF(ISERROR(IF(B576=C576,W576/C576,(INT(W576/B576)+(((W576-B576*INT(W576/B576)))/C576)/100))),0,(IF(B576=C576,W576/C576,(INT(W576/B576)+(((W576-B576*INT(W576/B576)))/C576)/100))))</f>
        <v>0</v>
      </c>
      <c r="BI576" s="57">
        <f>IF(ISERROR(IF(B576=C576,X576/C576,(INT(X576/B576)+(((X576-B576*INT(X576/B576)))/C576)/100))),0,(IF(B576=C576,X576/C576,(INT(X576/B576)+(((X576-B576*INT(X576/B576)))/C576)/100))))</f>
        <v>0</v>
      </c>
      <c r="BJ576" s="57">
        <f>IF(ISERROR(IF(B576=C576,Y576/C576,(INT(Y576/B576)+(((Y576-B576*INT(Y576/B576)))/C576)/100))),0,(IF(B576=C576,Y576/C576,(INT(Y576/B576)+(((Y576-B576*INT(Y576/B576)))/C576)/100))))</f>
        <v>0</v>
      </c>
      <c r="BL576" s="57">
        <f>IF(ISERROR(IF(B576=C576,AA576/C576,(INT(AA576/B576)+(((AA576-B576*INT(AA576/B576)))/C576)/100))),0,(IF(B576=C576,AA576/C576,(INT(AA576/B576)+(((AA576-B576*INT(AA576/B576)))/C576)/100))))</f>
        <v>0</v>
      </c>
      <c r="BM576" s="57">
        <f>IF(ISERROR(IF(B576=C576,AB576/C576,(INT(AB576/B576)+(((AB576-B576*INT(AB576/B576)))/C576)/100))),0,(IF(B576=C576,AB576/C576,(INT(AB576/B576)+(((AB576-B576*INT(AB576/B576)))/C576)/100))))</f>
        <v>0</v>
      </c>
      <c r="BN576" s="57">
        <f>IF(ISERROR(IF(B576=C576,AC576/C576,(INT(AC576/B576)+(((AC576-B576*INT(AC576/B576)))/C576)/100))),0,(IF(B576=C576,AC576/C576,(INT(AC576/B576)+(((AC576-B576*INT(AC576/B576)))/C576)/100))))</f>
        <v>0</v>
      </c>
      <c r="BO576" s="57">
        <f>IF(ISERROR(IF(B576=C576,AD576/C576,(INT(AD576/B576)+(((AD576-B576*INT(AD576/B576)))/C576)/100))),0,(IF(B576=C576,AD576/C576,(INT(AD576/B576)+(((AD576-B576*INT(AD576/B576)))/C576)/100))))</f>
        <v>0</v>
      </c>
      <c r="BQ576" s="155"/>
    </row>
    <row r="577" spans="1:69" hidden="1" x14ac:dyDescent="0.35">
      <c r="A577" s="94"/>
      <c r="B577" s="113">
        <v>0</v>
      </c>
      <c r="C577" s="113">
        <v>250</v>
      </c>
      <c r="D577" s="28">
        <f>SUM(AA577:AD577)</f>
        <v>0</v>
      </c>
      <c r="E577" s="113">
        <v>0</v>
      </c>
      <c r="F577" s="113">
        <v>0</v>
      </c>
      <c r="G577" s="28">
        <f>SUM(D577:F577)</f>
        <v>0</v>
      </c>
      <c r="H577" s="125">
        <v>0</v>
      </c>
      <c r="I577" s="113">
        <v>0</v>
      </c>
      <c r="J577" s="125">
        <v>0</v>
      </c>
      <c r="K577" s="113">
        <v>0</v>
      </c>
      <c r="L577" s="113">
        <v>0</v>
      </c>
      <c r="M577" s="113">
        <v>0</v>
      </c>
      <c r="N577" s="28">
        <f>G577-SUM(H577:M577)</f>
        <v>0</v>
      </c>
      <c r="O577" s="28">
        <f>SUM(V577:Y577)</f>
        <v>0</v>
      </c>
      <c r="P577" s="28">
        <f>O577-N577</f>
        <v>0</v>
      </c>
      <c r="Q577" s="61" t="str">
        <f>IF(ISERROR(P577/SUM(H577:L577)),"",P577/SUM(H577:L577))</f>
        <v/>
      </c>
      <c r="R577" s="113">
        <v>0</v>
      </c>
      <c r="S577" s="28">
        <f>IF(ISERROR(P577/C577*R577),0,(P577/C577*R577))</f>
        <v>0</v>
      </c>
      <c r="T577" s="60">
        <f>IF(ISERROR(P577/B577*AF577),0,(P577/B577*AF577))</f>
        <v>0</v>
      </c>
      <c r="V577" s="113">
        <v>0</v>
      </c>
      <c r="W577" s="113">
        <v>0</v>
      </c>
      <c r="X577" s="113">
        <v>0</v>
      </c>
      <c r="Y577" s="113">
        <v>0</v>
      </c>
      <c r="AA577" s="113">
        <v>0</v>
      </c>
      <c r="AB577" s="113">
        <v>0</v>
      </c>
      <c r="AC577" s="113">
        <v>0</v>
      </c>
      <c r="AD577" s="113">
        <v>0</v>
      </c>
      <c r="AF577" s="113">
        <v>0</v>
      </c>
      <c r="AG577" s="28">
        <f>G577-O577</f>
        <v>0</v>
      </c>
      <c r="AH577" s="58">
        <f>IF(ISERROR(AG577/B577*AF577),0,(AG577/B577*AF577))</f>
        <v>0</v>
      </c>
      <c r="AI577" s="28">
        <f>SUM(H577:M577)</f>
        <v>0</v>
      </c>
      <c r="AJ577" s="28">
        <f>IF(ISERROR(AI577/B577*AF577),0,(AI577/B577*AF577))</f>
        <v>0</v>
      </c>
      <c r="AK577" s="58">
        <f>IF(ISERROR(O577/B577*AF577),0,(O577/B577*AF577))</f>
        <v>0</v>
      </c>
      <c r="AL577" s="28">
        <f>IF(ISERROR(H577/B577*AF577),0,(H577/B577*AF577))</f>
        <v>0</v>
      </c>
      <c r="AN577" s="51">
        <f>A577</f>
        <v>0</v>
      </c>
      <c r="AO577" s="57">
        <f>IF(ISERROR(IF(B577=C577,D577/C577,(INT(D577/B577)+(((D577-B577*INT(D577/B577)))/C577)/100))),0,(IF(B577=C577,D577/C577,(INT(D577/B577)+(((D577-B577*INT(D577/B577)))/C577)/100))))</f>
        <v>0</v>
      </c>
      <c r="AP577" s="57">
        <f>IF(ISERROR(IF(B577=C577,E577/C577,(INT(E577/B577)+(((E577-B577*INT(E577/B577)))/C577)/100))),0,(IF(B577=C577,E577/C577,(INT(E577/B577)+(((E577-B577*INT(E577/B577)))/C577)/100))))</f>
        <v>0</v>
      </c>
      <c r="AQ577" s="57">
        <f>IF(ISERROR(IF(B577=C577,F577/C577,IF((INT(F577/B577)+(((F577-B577*INT(F577/B577)))/C577)/100)&lt;0,(INT(F577/B577)+(((F577-B577*INT(F577/B577)))/C577)/100)+(1-(B577/C577/100)),(INT(F577/B577)+(((F577-B577*INT(F577/B577)))/C577)/100)))),0,IF(B577=C577,F577/C577,IF((INT(F577/B577)+(((F577-B577*INT(F577/B577)))/C577)/100)&lt;0,(INT(F577/B577)+(((F577-B577*INT(F577/B577)))/C577)/100)+(1-(B577/C577/100)),(INT(F577/B577)+(((F577-B577*INT(F577/B577)))/C577)/100))))</f>
        <v>0</v>
      </c>
      <c r="AR577" s="57">
        <f>IF(ISERROR(IF(B577=C577,G577/C577,(INT(G577/B577)+(((G577-B577*INT(G577/B577)))/C577)/100))),0,(IF(B577=C577,G577/C577,(INT(G577/B577)+(((G577-B577*INT(G577/B577)))/C577)/100))))</f>
        <v>0</v>
      </c>
      <c r="AS577" s="57">
        <f>IF(ISERROR(IF(B577=C577,H577/C577,(INT(H577/B577)+(((H577-B577*INT(H577/B577)))/C577)/100))),0,(IF(B577=C577,H577/C577,(INT(H577/B577)+(((H577-B577*INT(H577/B577)))/C577)/100))))</f>
        <v>0</v>
      </c>
      <c r="AT577" s="57">
        <f>IF(ISERROR(IF(B577=C577,I577/C577,(INT(I577/B577)+(((I577-B577*INT(I577/B577)))/C577)/100))),0,(IF(B577=C577,I577/C577,(INT(I577/B577)+(((I577-B577*INT(I577/B577)))/C577)/100))))</f>
        <v>0</v>
      </c>
      <c r="AU577" s="57">
        <f>IF(ISERROR(IF(B577=C577,J577/C577,(INT(J577/B577)+(((J577-B577*INT(J577/B577)))/C577)/100))),0,(IF(B577=C577,J577/C577,(INT(J577/B577)+(((J577-B577*INT(J577/B577)))/C577)/100))))</f>
        <v>0</v>
      </c>
      <c r="AV577" s="57">
        <f>IF(ISERROR(IF(B577=C577,K577/C577,IF((INT(K577/B577)+(((K577-B577*INT(K577/B577)))/C577)/100)&lt;0,(INT(K577/B577)+(((K577-B577*INT(K577/B577)))/C577)/100)+(1-(B577/C577/100)),(INT(K577/B577)+(((K577-B577*INT(K577/B577)))/C577)/100)))),0,IF(B577=C577,K577/C577,IF((INT(K577/B577)+(((K577-B577*INT(K577/B577)))/C577)/100)&lt;0,(INT(K577/B577)+(((K577-B577*INT(K577/B577)))/C577)/100)+(1-(B577/C577/100)),(INT(K577/B577)+(((K577-B577*INT(K577/B577)))/C577)/100))))</f>
        <v>0</v>
      </c>
      <c r="AW577" s="57">
        <f>IF(ISERROR(IF(B577=C577,L577/C577,(INT(L577/B577)+(((L577-B577*INT(L577/B577)))/C577)/100))),0,(IF(B577=C577,L577/C577,(INT(L577/B577)+(((L577-B577*INT(L577/B577)))/C577)/100))))</f>
        <v>0</v>
      </c>
      <c r="AX577" s="57">
        <f>IF(ISERROR(IF(B577=C577,M577/C577,(INT(M577/B577)+(((M577-B577*INT(M577/B577)))/C577)/100))),0,(IF(B577=C577,M577/C577,(INT(M577/B577)+(((M577-B577*INT(M577/B577)))/C577)/100))))</f>
        <v>0</v>
      </c>
      <c r="AY577" s="57">
        <f>IF(ISERROR(IF(B577=C577,N577/C577,IF((INT(N577/B577)+(((N577-B577*INT(N577/B577)))/C577)/100)&lt;0,(INT(N577/B577)+(((N577-B577*INT(N577/B577)))/C577)/100)+(1-(B577/C577/100)),(INT(N577/B577)+(((N577-B577*INT(N577/B577)))/C577)/100)))),0,IF(B577=C577,N577/C577,IF((INT(N577/B577)+(((N577-B577*INT(N577/B577)))/C577)/100)&lt;0,(INT(N577/B577)+(((N577-B577*INT(N577/B577)))/C577)/100)+(1-(B577/C577/100)),(INT(N577/B577)+(((N577-B577*INT(N577/B577)))/C577)/100))))</f>
        <v>0</v>
      </c>
      <c r="AZ577" s="57">
        <f>IF(ISERROR(IF(B577=C577,O577/C577,(INT(O577/B577)+(((O577-B577*INT(O577/B577)))/C577)/100))),0,(IF(B577=C577,O577/C577,(INT(O577/B577)+(((O577-B577*INT(O577/B577)))/C577)/100))))</f>
        <v>0</v>
      </c>
      <c r="BA577" s="57">
        <f>IF(ISERROR(IF(B577=C577,P577/C577,IF((INT(P577/B577)+(((P577-B577*INT(P577/B577)))/C577)/100)&lt;0,(INT(P577/B577)+(((P577-B577*INT(P577/B577)))/C577)/100)+(1-(B577/C577/100)),(INT(P577/B577)+(((P577-B577*INT(P577/B577)))/C577)/100)))),0,IF(B577=C577,P577/C577,IF((INT(P577/B577)+(((P577-B577*INT(P577/B577)))/C577)/100)&lt;0,(INT(P577/B577)+(((P577-B577*INT(P577/B577)))/C577)/100)+(1-(B577/C577/100)),(INT(P577/B577)+(((P577-B577*INT(P577/B577)))/C577)/100))))</f>
        <v>0</v>
      </c>
      <c r="BB577" s="28">
        <f>R577</f>
        <v>0</v>
      </c>
      <c r="BC577" s="28">
        <f>S577</f>
        <v>0</v>
      </c>
      <c r="BD577" s="28">
        <f>AF577</f>
        <v>0</v>
      </c>
      <c r="BE577" s="28">
        <f>T577</f>
        <v>0</v>
      </c>
      <c r="BG577" s="57">
        <f>IF(ISERROR(IF(B577=C577,V577/C577,(INT(V577/B577)+(((V577-B577*INT(V577/B577)))/C577)/100))),0,(IF(B577=C577,V577/C577,(INT(V577/B577)+(((V577-B577*INT(V577/B577)))/C577)/100))))</f>
        <v>0</v>
      </c>
      <c r="BH577" s="57">
        <f>IF(ISERROR(IF(B577=C577,W577/C577,(INT(W577/B577)+(((W577-B577*INT(W577/B577)))/C577)/100))),0,(IF(B577=C577,W577/C577,(INT(W577/B577)+(((W577-B577*INT(W577/B577)))/C577)/100))))</f>
        <v>0</v>
      </c>
      <c r="BI577" s="57">
        <f>IF(ISERROR(IF(B577=C577,X577/C577,(INT(X577/B577)+(((X577-B577*INT(X577/B577)))/C577)/100))),0,(IF(B577=C577,X577/C577,(INT(X577/B577)+(((X577-B577*INT(X577/B577)))/C577)/100))))</f>
        <v>0</v>
      </c>
      <c r="BJ577" s="57">
        <f>IF(ISERROR(IF(B577=C577,Y577/C577,(INT(Y577/B577)+(((Y577-B577*INT(Y577/B577)))/C577)/100))),0,(IF(B577=C577,Y577/C577,(INT(Y577/B577)+(((Y577-B577*INT(Y577/B577)))/C577)/100))))</f>
        <v>0</v>
      </c>
      <c r="BL577" s="57">
        <f>IF(ISERROR(IF(B577=C577,AA577/C577,(INT(AA577/B577)+(((AA577-B577*INT(AA577/B577)))/C577)/100))),0,(IF(B577=C577,AA577/C577,(INT(AA577/B577)+(((AA577-B577*INT(AA577/B577)))/C577)/100))))</f>
        <v>0</v>
      </c>
      <c r="BM577" s="57">
        <f>IF(ISERROR(IF(B577=C577,AB577/C577,(INT(AB577/B577)+(((AB577-B577*INT(AB577/B577)))/C577)/100))),0,(IF(B577=C577,AB577/C577,(INT(AB577/B577)+(((AB577-B577*INT(AB577/B577)))/C577)/100))))</f>
        <v>0</v>
      </c>
      <c r="BN577" s="57">
        <f>IF(ISERROR(IF(B577=C577,AC577/C577,(INT(AC577/B577)+(((AC577-B577*INT(AC577/B577)))/C577)/100))),0,(IF(B577=C577,AC577/C577,(INT(AC577/B577)+(((AC577-B577*INT(AC577/B577)))/C577)/100))))</f>
        <v>0</v>
      </c>
      <c r="BO577" s="57">
        <f>IF(ISERROR(IF(B577=C577,AD577/C577,(INT(AD577/B577)+(((AD577-B577*INT(AD577/B577)))/C577)/100))),0,(IF(B577=C577,AD577/C577,(INT(AD577/B577)+(((AD577-B577*INT(AD577/B577)))/C577)/100))))</f>
        <v>0</v>
      </c>
      <c r="BQ577" s="155"/>
    </row>
    <row r="578" spans="1:69" hidden="1" x14ac:dyDescent="0.35">
      <c r="A578" s="94"/>
      <c r="B578" s="113">
        <v>0</v>
      </c>
      <c r="C578" s="113">
        <v>250</v>
      </c>
      <c r="D578" s="28">
        <f>SUM(AA578:AD578)</f>
        <v>0</v>
      </c>
      <c r="E578" s="113">
        <v>0</v>
      </c>
      <c r="F578" s="113">
        <v>0</v>
      </c>
      <c r="G578" s="28">
        <f>SUM(D578:F578)</f>
        <v>0</v>
      </c>
      <c r="H578" s="125">
        <v>0</v>
      </c>
      <c r="I578" s="113">
        <v>0</v>
      </c>
      <c r="J578" s="125">
        <v>0</v>
      </c>
      <c r="K578" s="113">
        <v>0</v>
      </c>
      <c r="L578" s="113">
        <v>0</v>
      </c>
      <c r="M578" s="113">
        <v>0</v>
      </c>
      <c r="N578" s="28">
        <f>G578-SUM(H578:M578)</f>
        <v>0</v>
      </c>
      <c r="O578" s="28">
        <f>SUM(V578:Y578)</f>
        <v>0</v>
      </c>
      <c r="P578" s="28">
        <f>O578-N578</f>
        <v>0</v>
      </c>
      <c r="Q578" s="61" t="str">
        <f>IF(ISERROR(P578/SUM(H578:L578)),"",P578/SUM(H578:L578))</f>
        <v/>
      </c>
      <c r="R578" s="113">
        <v>0</v>
      </c>
      <c r="S578" s="28">
        <f>IF(ISERROR(P578/C578*R578),0,(P578/C578*R578))</f>
        <v>0</v>
      </c>
      <c r="T578" s="60">
        <f>IF(ISERROR(P578/B578*AF578),0,(P578/B578*AF578))</f>
        <v>0</v>
      </c>
      <c r="V578" s="113">
        <v>0</v>
      </c>
      <c r="W578" s="113">
        <v>0</v>
      </c>
      <c r="X578" s="113">
        <v>0</v>
      </c>
      <c r="Y578" s="113">
        <v>0</v>
      </c>
      <c r="AA578" s="113">
        <v>0</v>
      </c>
      <c r="AB578" s="113">
        <v>0</v>
      </c>
      <c r="AC578" s="113">
        <v>0</v>
      </c>
      <c r="AD578" s="113">
        <v>0</v>
      </c>
      <c r="AF578" s="113">
        <v>0</v>
      </c>
      <c r="AG578" s="28">
        <f>G578-O578</f>
        <v>0</v>
      </c>
      <c r="AH578" s="58">
        <f>IF(ISERROR(AG578/B578*AF578),0,(AG578/B578*AF578))</f>
        <v>0</v>
      </c>
      <c r="AI578" s="28">
        <f>SUM(H578:M578)</f>
        <v>0</v>
      </c>
      <c r="AJ578" s="28">
        <f>IF(ISERROR(AI578/B578*AF578),0,(AI578/B578*AF578))</f>
        <v>0</v>
      </c>
      <c r="AK578" s="58">
        <f>IF(ISERROR(O578/B578*AF578),0,(O578/B578*AF578))</f>
        <v>0</v>
      </c>
      <c r="AL578" s="28">
        <f>IF(ISERROR(H578/B578*AF578),0,(H578/B578*AF578))</f>
        <v>0</v>
      </c>
      <c r="AN578" s="51">
        <f>A578</f>
        <v>0</v>
      </c>
      <c r="AO578" s="57">
        <f>IF(ISERROR(IF(B578=C578,D578/C578,(INT(D578/B578)+(((D578-B578*INT(D578/B578)))/C578)/100))),0,(IF(B578=C578,D578/C578,(INT(D578/B578)+(((D578-B578*INT(D578/B578)))/C578)/100))))</f>
        <v>0</v>
      </c>
      <c r="AP578" s="57">
        <f>IF(ISERROR(IF(B578=C578,E578/C578,(INT(E578/B578)+(((E578-B578*INT(E578/B578)))/C578)/100))),0,(IF(B578=C578,E578/C578,(INT(E578/B578)+(((E578-B578*INT(E578/B578)))/C578)/100))))</f>
        <v>0</v>
      </c>
      <c r="AQ578" s="57">
        <f>IF(ISERROR(IF(B578=C578,F578/C578,IF((INT(F578/B578)+(((F578-B578*INT(F578/B578)))/C578)/100)&lt;0,(INT(F578/B578)+(((F578-B578*INT(F578/B578)))/C578)/100)+(1-(B578/C578/100)),(INT(F578/B578)+(((F578-B578*INT(F578/B578)))/C578)/100)))),0,IF(B578=C578,F578/C578,IF((INT(F578/B578)+(((F578-B578*INT(F578/B578)))/C578)/100)&lt;0,(INT(F578/B578)+(((F578-B578*INT(F578/B578)))/C578)/100)+(1-(B578/C578/100)),(INT(F578/B578)+(((F578-B578*INT(F578/B578)))/C578)/100))))</f>
        <v>0</v>
      </c>
      <c r="AR578" s="57">
        <f>IF(ISERROR(IF(B578=C578,G578/C578,(INT(G578/B578)+(((G578-B578*INT(G578/B578)))/C578)/100))),0,(IF(B578=C578,G578/C578,(INT(G578/B578)+(((G578-B578*INT(G578/B578)))/C578)/100))))</f>
        <v>0</v>
      </c>
      <c r="AS578" s="57">
        <f>IF(ISERROR(IF(B578=C578,H578/C578,(INT(H578/B578)+(((H578-B578*INT(H578/B578)))/C578)/100))),0,(IF(B578=C578,H578/C578,(INT(H578/B578)+(((H578-B578*INT(H578/B578)))/C578)/100))))</f>
        <v>0</v>
      </c>
      <c r="AT578" s="57">
        <f>IF(ISERROR(IF(B578=C578,I578/C578,(INT(I578/B578)+(((I578-B578*INT(I578/B578)))/C578)/100))),0,(IF(B578=C578,I578/C578,(INT(I578/B578)+(((I578-B578*INT(I578/B578)))/C578)/100))))</f>
        <v>0</v>
      </c>
      <c r="AU578" s="57">
        <f>IF(ISERROR(IF(B578=C578,J578/C578,(INT(J578/B578)+(((J578-B578*INT(J578/B578)))/C578)/100))),0,(IF(B578=C578,J578/C578,(INT(J578/B578)+(((J578-B578*INT(J578/B578)))/C578)/100))))</f>
        <v>0</v>
      </c>
      <c r="AV578" s="57">
        <f>IF(ISERROR(IF(B578=C578,K578/C578,IF((INT(K578/B578)+(((K578-B578*INT(K578/B578)))/C578)/100)&lt;0,(INT(K578/B578)+(((K578-B578*INT(K578/B578)))/C578)/100)+(1-(B578/C578/100)),(INT(K578/B578)+(((K578-B578*INT(K578/B578)))/C578)/100)))),0,IF(B578=C578,K578/C578,IF((INT(K578/B578)+(((K578-B578*INT(K578/B578)))/C578)/100)&lt;0,(INT(K578/B578)+(((K578-B578*INT(K578/B578)))/C578)/100)+(1-(B578/C578/100)),(INT(K578/B578)+(((K578-B578*INT(K578/B578)))/C578)/100))))</f>
        <v>0</v>
      </c>
      <c r="AW578" s="57">
        <f>IF(ISERROR(IF(B578=C578,L578/C578,(INT(L578/B578)+(((L578-B578*INT(L578/B578)))/C578)/100))),0,(IF(B578=C578,L578/C578,(INT(L578/B578)+(((L578-B578*INT(L578/B578)))/C578)/100))))</f>
        <v>0</v>
      </c>
      <c r="AX578" s="57">
        <f>IF(ISERROR(IF(B578=C578,M578/C578,(INT(M578/B578)+(((M578-B578*INT(M578/B578)))/C578)/100))),0,(IF(B578=C578,M578/C578,(INT(M578/B578)+(((M578-B578*INT(M578/B578)))/C578)/100))))</f>
        <v>0</v>
      </c>
      <c r="AY578" s="57">
        <f>IF(ISERROR(IF(B578=C578,N578/C578,IF((INT(N578/B578)+(((N578-B578*INT(N578/B578)))/C578)/100)&lt;0,(INT(N578/B578)+(((N578-B578*INT(N578/B578)))/C578)/100)+(1-(B578/C578/100)),(INT(N578/B578)+(((N578-B578*INT(N578/B578)))/C578)/100)))),0,IF(B578=C578,N578/C578,IF((INT(N578/B578)+(((N578-B578*INT(N578/B578)))/C578)/100)&lt;0,(INT(N578/B578)+(((N578-B578*INT(N578/B578)))/C578)/100)+(1-(B578/C578/100)),(INT(N578/B578)+(((N578-B578*INT(N578/B578)))/C578)/100))))</f>
        <v>0</v>
      </c>
      <c r="AZ578" s="57">
        <f>IF(ISERROR(IF(B578=C578,O578/C578,(INT(O578/B578)+(((O578-B578*INT(O578/B578)))/C578)/100))),0,(IF(B578=C578,O578/C578,(INT(O578/B578)+(((O578-B578*INT(O578/B578)))/C578)/100))))</f>
        <v>0</v>
      </c>
      <c r="BA578" s="57">
        <f>IF(ISERROR(IF(B578=C578,P578/C578,IF((INT(P578/B578)+(((P578-B578*INT(P578/B578)))/C578)/100)&lt;0,(INT(P578/B578)+(((P578-B578*INT(P578/B578)))/C578)/100)+(1-(B578/C578/100)),(INT(P578/B578)+(((P578-B578*INT(P578/B578)))/C578)/100)))),0,IF(B578=C578,P578/C578,IF((INT(P578/B578)+(((P578-B578*INT(P578/B578)))/C578)/100)&lt;0,(INT(P578/B578)+(((P578-B578*INT(P578/B578)))/C578)/100)+(1-(B578/C578/100)),(INT(P578/B578)+(((P578-B578*INT(P578/B578)))/C578)/100))))</f>
        <v>0</v>
      </c>
      <c r="BB578" s="28">
        <f>R578</f>
        <v>0</v>
      </c>
      <c r="BC578" s="28">
        <f>S578</f>
        <v>0</v>
      </c>
      <c r="BD578" s="28">
        <f>AF578</f>
        <v>0</v>
      </c>
      <c r="BE578" s="28">
        <f>T578</f>
        <v>0</v>
      </c>
      <c r="BG578" s="57">
        <f>IF(ISERROR(IF(B578=C578,V578/C578,(INT(V578/B578)+(((V578-B578*INT(V578/B578)))/C578)/100))),0,(IF(B578=C578,V578/C578,(INT(V578/B578)+(((V578-B578*INT(V578/B578)))/C578)/100))))</f>
        <v>0</v>
      </c>
      <c r="BH578" s="57">
        <f>IF(ISERROR(IF(B578=C578,W578/C578,(INT(W578/B578)+(((W578-B578*INT(W578/B578)))/C578)/100))),0,(IF(B578=C578,W578/C578,(INT(W578/B578)+(((W578-B578*INT(W578/B578)))/C578)/100))))</f>
        <v>0</v>
      </c>
      <c r="BI578" s="57">
        <f>IF(ISERROR(IF(B578=C578,X578/C578,(INT(X578/B578)+(((X578-B578*INT(X578/B578)))/C578)/100))),0,(IF(B578=C578,X578/C578,(INT(X578/B578)+(((X578-B578*INT(X578/B578)))/C578)/100))))</f>
        <v>0</v>
      </c>
      <c r="BJ578" s="57">
        <f>IF(ISERROR(IF(B578=C578,Y578/C578,(INT(Y578/B578)+(((Y578-B578*INT(Y578/B578)))/C578)/100))),0,(IF(B578=C578,Y578/C578,(INT(Y578/B578)+(((Y578-B578*INT(Y578/B578)))/C578)/100))))</f>
        <v>0</v>
      </c>
      <c r="BL578" s="57">
        <f>IF(ISERROR(IF(B578=C578,AA578/C578,(INT(AA578/B578)+(((AA578-B578*INT(AA578/B578)))/C578)/100))),0,(IF(B578=C578,AA578/C578,(INT(AA578/B578)+(((AA578-B578*INT(AA578/B578)))/C578)/100))))</f>
        <v>0</v>
      </c>
      <c r="BM578" s="57">
        <f>IF(ISERROR(IF(B578=C578,AB578/C578,(INT(AB578/B578)+(((AB578-B578*INT(AB578/B578)))/C578)/100))),0,(IF(B578=C578,AB578/C578,(INT(AB578/B578)+(((AB578-B578*INT(AB578/B578)))/C578)/100))))</f>
        <v>0</v>
      </c>
      <c r="BN578" s="57">
        <f>IF(ISERROR(IF(B578=C578,AC578/C578,(INT(AC578/B578)+(((AC578-B578*INT(AC578/B578)))/C578)/100))),0,(IF(B578=C578,AC578/C578,(INT(AC578/B578)+(((AC578-B578*INT(AC578/B578)))/C578)/100))))</f>
        <v>0</v>
      </c>
      <c r="BO578" s="57">
        <f>IF(ISERROR(IF(B578=C578,AD578/C578,(INT(AD578/B578)+(((AD578-B578*INT(AD578/B578)))/C578)/100))),0,(IF(B578=C578,AD578/C578,(INT(AD578/B578)+(((AD578-B578*INT(AD578/B578)))/C578)/100))))</f>
        <v>0</v>
      </c>
      <c r="BQ578" s="155"/>
    </row>
    <row r="579" spans="1:69" hidden="1" x14ac:dyDescent="0.35">
      <c r="A579" s="94"/>
      <c r="B579" s="113">
        <v>0</v>
      </c>
      <c r="C579" s="113">
        <v>250</v>
      </c>
      <c r="D579" s="28">
        <f>SUM(AA579:AD579)</f>
        <v>0</v>
      </c>
      <c r="E579" s="113">
        <v>0</v>
      </c>
      <c r="F579" s="113">
        <v>0</v>
      </c>
      <c r="G579" s="28">
        <f>SUM(D579:F579)</f>
        <v>0</v>
      </c>
      <c r="H579" s="125">
        <v>0</v>
      </c>
      <c r="I579" s="113">
        <v>0</v>
      </c>
      <c r="J579" s="125">
        <v>0</v>
      </c>
      <c r="K579" s="113">
        <v>0</v>
      </c>
      <c r="L579" s="113">
        <v>0</v>
      </c>
      <c r="M579" s="113">
        <v>0</v>
      </c>
      <c r="N579" s="28">
        <f>G579-SUM(H579:M579)</f>
        <v>0</v>
      </c>
      <c r="O579" s="28">
        <f>SUM(V579:Y579)</f>
        <v>0</v>
      </c>
      <c r="P579" s="28">
        <f>O579-N579</f>
        <v>0</v>
      </c>
      <c r="Q579" s="61" t="str">
        <f>IF(ISERROR(P579/SUM(H579:L579)),"",P579/SUM(H579:L579))</f>
        <v/>
      </c>
      <c r="R579" s="113">
        <v>0</v>
      </c>
      <c r="S579" s="28">
        <f>IF(ISERROR(P579/C579*R579),0,(P579/C579*R579))</f>
        <v>0</v>
      </c>
      <c r="T579" s="60">
        <f>IF(ISERROR(P579/B579*AF579),0,(P579/B579*AF579))</f>
        <v>0</v>
      </c>
      <c r="V579" s="113">
        <v>0</v>
      </c>
      <c r="W579" s="113">
        <v>0</v>
      </c>
      <c r="X579" s="113">
        <v>0</v>
      </c>
      <c r="Y579" s="113">
        <v>0</v>
      </c>
      <c r="AA579" s="113">
        <v>0</v>
      </c>
      <c r="AB579" s="113">
        <v>0</v>
      </c>
      <c r="AC579" s="113">
        <v>0</v>
      </c>
      <c r="AD579" s="113">
        <v>0</v>
      </c>
      <c r="AF579" s="113">
        <v>0</v>
      </c>
      <c r="AG579" s="28">
        <f>G579-O579</f>
        <v>0</v>
      </c>
      <c r="AH579" s="58">
        <f>IF(ISERROR(AG579/B579*AF579),0,(AG579/B579*AF579))</f>
        <v>0</v>
      </c>
      <c r="AI579" s="28">
        <f>SUM(H579:M579)</f>
        <v>0</v>
      </c>
      <c r="AJ579" s="28">
        <f>IF(ISERROR(AI579/B579*AF579),0,(AI579/B579*AF579))</f>
        <v>0</v>
      </c>
      <c r="AK579" s="58">
        <f>IF(ISERROR(O579/B579*AF579),0,(O579/B579*AF579))</f>
        <v>0</v>
      </c>
      <c r="AL579" s="28">
        <f>IF(ISERROR(H579/B579*AF579),0,(H579/B579*AF579))</f>
        <v>0</v>
      </c>
      <c r="AN579" s="51">
        <f>A579</f>
        <v>0</v>
      </c>
      <c r="AO579" s="57">
        <f>IF(ISERROR(IF(B579=C579,D579/C579,(INT(D579/B579)+(((D579-B579*INT(D579/B579)))/C579)/100))),0,(IF(B579=C579,D579/C579,(INT(D579/B579)+(((D579-B579*INT(D579/B579)))/C579)/100))))</f>
        <v>0</v>
      </c>
      <c r="AP579" s="57">
        <f>IF(ISERROR(IF(B579=C579,E579/C579,(INT(E579/B579)+(((E579-B579*INT(E579/B579)))/C579)/100))),0,(IF(B579=C579,E579/C579,(INT(E579/B579)+(((E579-B579*INT(E579/B579)))/C579)/100))))</f>
        <v>0</v>
      </c>
      <c r="AQ579" s="57">
        <f>IF(ISERROR(IF(B579=C579,F579/C579,IF((INT(F579/B579)+(((F579-B579*INT(F579/B579)))/C579)/100)&lt;0,(INT(F579/B579)+(((F579-B579*INT(F579/B579)))/C579)/100)+(1-(B579/C579/100)),(INT(F579/B579)+(((F579-B579*INT(F579/B579)))/C579)/100)))),0,IF(B579=C579,F579/C579,IF((INT(F579/B579)+(((F579-B579*INT(F579/B579)))/C579)/100)&lt;0,(INT(F579/B579)+(((F579-B579*INT(F579/B579)))/C579)/100)+(1-(B579/C579/100)),(INT(F579/B579)+(((F579-B579*INT(F579/B579)))/C579)/100))))</f>
        <v>0</v>
      </c>
      <c r="AR579" s="57">
        <f>IF(ISERROR(IF(B579=C579,G579/C579,(INT(G579/B579)+(((G579-B579*INT(G579/B579)))/C579)/100))),0,(IF(B579=C579,G579/C579,(INT(G579/B579)+(((G579-B579*INT(G579/B579)))/C579)/100))))</f>
        <v>0</v>
      </c>
      <c r="AS579" s="57">
        <f>IF(ISERROR(IF(B579=C579,H579/C579,(INT(H579/B579)+(((H579-B579*INT(H579/B579)))/C579)/100))),0,(IF(B579=C579,H579/C579,(INT(H579/B579)+(((H579-B579*INT(H579/B579)))/C579)/100))))</f>
        <v>0</v>
      </c>
      <c r="AT579" s="57">
        <f>IF(ISERROR(IF(B579=C579,I579/C579,(INT(I579/B579)+(((I579-B579*INT(I579/B579)))/C579)/100))),0,(IF(B579=C579,I579/C579,(INT(I579/B579)+(((I579-B579*INT(I579/B579)))/C579)/100))))</f>
        <v>0</v>
      </c>
      <c r="AU579" s="57">
        <f>IF(ISERROR(IF(B579=C579,J579/C579,(INT(J579/B579)+(((J579-B579*INT(J579/B579)))/C579)/100))),0,(IF(B579=C579,J579/C579,(INT(J579/B579)+(((J579-B579*INT(J579/B579)))/C579)/100))))</f>
        <v>0</v>
      </c>
      <c r="AV579" s="57">
        <f>IF(ISERROR(IF(B579=C579,K579/C579,IF((INT(K579/B579)+(((K579-B579*INT(K579/B579)))/C579)/100)&lt;0,(INT(K579/B579)+(((K579-B579*INT(K579/B579)))/C579)/100)+(1-(B579/C579/100)),(INT(K579/B579)+(((K579-B579*INT(K579/B579)))/C579)/100)))),0,IF(B579=C579,K579/C579,IF((INT(K579/B579)+(((K579-B579*INT(K579/B579)))/C579)/100)&lt;0,(INT(K579/B579)+(((K579-B579*INT(K579/B579)))/C579)/100)+(1-(B579/C579/100)),(INT(K579/B579)+(((K579-B579*INT(K579/B579)))/C579)/100))))</f>
        <v>0</v>
      </c>
      <c r="AW579" s="57">
        <f>IF(ISERROR(IF(B579=C579,L579/C579,(INT(L579/B579)+(((L579-B579*INT(L579/B579)))/C579)/100))),0,(IF(B579=C579,L579/C579,(INT(L579/B579)+(((L579-B579*INT(L579/B579)))/C579)/100))))</f>
        <v>0</v>
      </c>
      <c r="AX579" s="57">
        <f>IF(ISERROR(IF(B579=C579,M579/C579,(INT(M579/B579)+(((M579-B579*INT(M579/B579)))/C579)/100))),0,(IF(B579=C579,M579/C579,(INT(M579/B579)+(((M579-B579*INT(M579/B579)))/C579)/100))))</f>
        <v>0</v>
      </c>
      <c r="AY579" s="57">
        <f>IF(ISERROR(IF(B579=C579,N579/C579,IF((INT(N579/B579)+(((N579-B579*INT(N579/B579)))/C579)/100)&lt;0,(INT(N579/B579)+(((N579-B579*INT(N579/B579)))/C579)/100)+(1-(B579/C579/100)),(INT(N579/B579)+(((N579-B579*INT(N579/B579)))/C579)/100)))),0,IF(B579=C579,N579/C579,IF((INT(N579/B579)+(((N579-B579*INT(N579/B579)))/C579)/100)&lt;0,(INT(N579/B579)+(((N579-B579*INT(N579/B579)))/C579)/100)+(1-(B579/C579/100)),(INT(N579/B579)+(((N579-B579*INT(N579/B579)))/C579)/100))))</f>
        <v>0</v>
      </c>
      <c r="AZ579" s="57">
        <f>IF(ISERROR(IF(B579=C579,O579/C579,(INT(O579/B579)+(((O579-B579*INT(O579/B579)))/C579)/100))),0,(IF(B579=C579,O579/C579,(INT(O579/B579)+(((O579-B579*INT(O579/B579)))/C579)/100))))</f>
        <v>0</v>
      </c>
      <c r="BA579" s="57">
        <f>IF(ISERROR(IF(B579=C579,P579/C579,IF((INT(P579/B579)+(((P579-B579*INT(P579/B579)))/C579)/100)&lt;0,(INT(P579/B579)+(((P579-B579*INT(P579/B579)))/C579)/100)+(1-(B579/C579/100)),(INT(P579/B579)+(((P579-B579*INT(P579/B579)))/C579)/100)))),0,IF(B579=C579,P579/C579,IF((INT(P579/B579)+(((P579-B579*INT(P579/B579)))/C579)/100)&lt;0,(INT(P579/B579)+(((P579-B579*INT(P579/B579)))/C579)/100)+(1-(B579/C579/100)),(INT(P579/B579)+(((P579-B579*INT(P579/B579)))/C579)/100))))</f>
        <v>0</v>
      </c>
      <c r="BB579" s="28">
        <f>R579</f>
        <v>0</v>
      </c>
      <c r="BC579" s="28">
        <f>S579</f>
        <v>0</v>
      </c>
      <c r="BD579" s="28">
        <f>AF579</f>
        <v>0</v>
      </c>
      <c r="BE579" s="28">
        <f>T579</f>
        <v>0</v>
      </c>
      <c r="BG579" s="57">
        <f>IF(ISERROR(IF(B579=C579,V579/C579,(INT(V579/B579)+(((V579-B579*INT(V579/B579)))/C579)/100))),0,(IF(B579=C579,V579/C579,(INT(V579/B579)+(((V579-B579*INT(V579/B579)))/C579)/100))))</f>
        <v>0</v>
      </c>
      <c r="BH579" s="57">
        <f>IF(ISERROR(IF(B579=C579,W579/C579,(INT(W579/B579)+(((W579-B579*INT(W579/B579)))/C579)/100))),0,(IF(B579=C579,W579/C579,(INT(W579/B579)+(((W579-B579*INT(W579/B579)))/C579)/100))))</f>
        <v>0</v>
      </c>
      <c r="BI579" s="57">
        <f>IF(ISERROR(IF(B579=C579,X579/C579,(INT(X579/B579)+(((X579-B579*INT(X579/B579)))/C579)/100))),0,(IF(B579=C579,X579/C579,(INT(X579/B579)+(((X579-B579*INT(X579/B579)))/C579)/100))))</f>
        <v>0</v>
      </c>
      <c r="BJ579" s="57">
        <f>IF(ISERROR(IF(B579=C579,Y579/C579,(INT(Y579/B579)+(((Y579-B579*INT(Y579/B579)))/C579)/100))),0,(IF(B579=C579,Y579/C579,(INT(Y579/B579)+(((Y579-B579*INT(Y579/B579)))/C579)/100))))</f>
        <v>0</v>
      </c>
      <c r="BL579" s="57">
        <f>IF(ISERROR(IF(B579=C579,AA579/C579,(INT(AA579/B579)+(((AA579-B579*INT(AA579/B579)))/C579)/100))),0,(IF(B579=C579,AA579/C579,(INT(AA579/B579)+(((AA579-B579*INT(AA579/B579)))/C579)/100))))</f>
        <v>0</v>
      </c>
      <c r="BM579" s="57">
        <f>IF(ISERROR(IF(B579=C579,AB579/C579,(INT(AB579/B579)+(((AB579-B579*INT(AB579/B579)))/C579)/100))),0,(IF(B579=C579,AB579/C579,(INT(AB579/B579)+(((AB579-B579*INT(AB579/B579)))/C579)/100))))</f>
        <v>0</v>
      </c>
      <c r="BN579" s="57">
        <f>IF(ISERROR(IF(B579=C579,AC579/C579,(INT(AC579/B579)+(((AC579-B579*INT(AC579/B579)))/C579)/100))),0,(IF(B579=C579,AC579/C579,(INT(AC579/B579)+(((AC579-B579*INT(AC579/B579)))/C579)/100))))</f>
        <v>0</v>
      </c>
      <c r="BO579" s="57">
        <f>IF(ISERROR(IF(B579=C579,AD579/C579,(INT(AD579/B579)+(((AD579-B579*INT(AD579/B579)))/C579)/100))),0,(IF(B579=C579,AD579/C579,(INT(AD579/B579)+(((AD579-B579*INT(AD579/B579)))/C579)/100))))</f>
        <v>0</v>
      </c>
      <c r="BQ579" s="155"/>
    </row>
    <row r="580" spans="1:69" hidden="1" x14ac:dyDescent="0.35">
      <c r="A580" s="94"/>
      <c r="B580" s="113">
        <v>0</v>
      </c>
      <c r="C580" s="113">
        <v>250</v>
      </c>
      <c r="D580" s="28">
        <f>SUM(AA580:AD580)</f>
        <v>0</v>
      </c>
      <c r="E580" s="113">
        <v>0</v>
      </c>
      <c r="F580" s="113">
        <v>0</v>
      </c>
      <c r="G580" s="28">
        <f>SUM(D580:F580)</f>
        <v>0</v>
      </c>
      <c r="H580" s="125">
        <v>0</v>
      </c>
      <c r="I580" s="113">
        <v>0</v>
      </c>
      <c r="J580" s="125">
        <v>0</v>
      </c>
      <c r="K580" s="113">
        <v>0</v>
      </c>
      <c r="L580" s="113">
        <v>0</v>
      </c>
      <c r="M580" s="113">
        <v>0</v>
      </c>
      <c r="N580" s="28">
        <f>G580-SUM(H580:M580)</f>
        <v>0</v>
      </c>
      <c r="O580" s="28">
        <f>SUM(V580:Y580)</f>
        <v>0</v>
      </c>
      <c r="P580" s="28">
        <f>O580-N580</f>
        <v>0</v>
      </c>
      <c r="Q580" s="61" t="str">
        <f>IF(ISERROR(P580/SUM(H580:L580)),"",P580/SUM(H580:L580))</f>
        <v/>
      </c>
      <c r="R580" s="113">
        <v>0</v>
      </c>
      <c r="S580" s="28">
        <f>IF(ISERROR(P580/C580*R580),0,(P580/C580*R580))</f>
        <v>0</v>
      </c>
      <c r="T580" s="60">
        <f>IF(ISERROR(P580/B580*AF580),0,(P580/B580*AF580))</f>
        <v>0</v>
      </c>
      <c r="V580" s="113">
        <v>0</v>
      </c>
      <c r="W580" s="113">
        <v>0</v>
      </c>
      <c r="X580" s="113">
        <v>0</v>
      </c>
      <c r="Y580" s="113">
        <v>0</v>
      </c>
      <c r="AA580" s="113">
        <v>0</v>
      </c>
      <c r="AB580" s="113">
        <v>0</v>
      </c>
      <c r="AC580" s="113">
        <v>0</v>
      </c>
      <c r="AD580" s="113">
        <v>0</v>
      </c>
      <c r="AF580" s="113">
        <v>0</v>
      </c>
      <c r="AG580" s="28">
        <f>G580-O580</f>
        <v>0</v>
      </c>
      <c r="AH580" s="58">
        <f>IF(ISERROR(AG580/B580*AF580),0,(AG580/B580*AF580))</f>
        <v>0</v>
      </c>
      <c r="AI580" s="28">
        <f>SUM(H580:M580)</f>
        <v>0</v>
      </c>
      <c r="AJ580" s="28">
        <f>IF(ISERROR(AI580/B580*AF580),0,(AI580/B580*AF580))</f>
        <v>0</v>
      </c>
      <c r="AK580" s="58">
        <f>IF(ISERROR(O580/B580*AF580),0,(O580/B580*AF580))</f>
        <v>0</v>
      </c>
      <c r="AL580" s="28">
        <f>IF(ISERROR(H580/B580*AF580),0,(H580/B580*AF580))</f>
        <v>0</v>
      </c>
      <c r="AN580" s="51">
        <f>A580</f>
        <v>0</v>
      </c>
      <c r="AO580" s="57">
        <f>IF(ISERROR(IF(B580=C580,D580/C580,(INT(D580/B580)+(((D580-B580*INT(D580/B580)))/C580)/100))),0,(IF(B580=C580,D580/C580,(INT(D580/B580)+(((D580-B580*INT(D580/B580)))/C580)/100))))</f>
        <v>0</v>
      </c>
      <c r="AP580" s="57">
        <f>IF(ISERROR(IF(B580=C580,E580/C580,(INT(E580/B580)+(((E580-B580*INT(E580/B580)))/C580)/100))),0,(IF(B580=C580,E580/C580,(INT(E580/B580)+(((E580-B580*INT(E580/B580)))/C580)/100))))</f>
        <v>0</v>
      </c>
      <c r="AQ580" s="57">
        <f>IF(ISERROR(IF(B580=C580,F580/C580,IF((INT(F580/B580)+(((F580-B580*INT(F580/B580)))/C580)/100)&lt;0,(INT(F580/B580)+(((F580-B580*INT(F580/B580)))/C580)/100)+(1-(B580/C580/100)),(INT(F580/B580)+(((F580-B580*INT(F580/B580)))/C580)/100)))),0,IF(B580=C580,F580/C580,IF((INT(F580/B580)+(((F580-B580*INT(F580/B580)))/C580)/100)&lt;0,(INT(F580/B580)+(((F580-B580*INT(F580/B580)))/C580)/100)+(1-(B580/C580/100)),(INT(F580/B580)+(((F580-B580*INT(F580/B580)))/C580)/100))))</f>
        <v>0</v>
      </c>
      <c r="AR580" s="57">
        <f>IF(ISERROR(IF(B580=C580,G580/C580,(INT(G580/B580)+(((G580-B580*INT(G580/B580)))/C580)/100))),0,(IF(B580=C580,G580/C580,(INT(G580/B580)+(((G580-B580*INT(G580/B580)))/C580)/100))))</f>
        <v>0</v>
      </c>
      <c r="AS580" s="57">
        <f>IF(ISERROR(IF(B580=C580,H580/C580,(INT(H580/B580)+(((H580-B580*INT(H580/B580)))/C580)/100))),0,(IF(B580=C580,H580/C580,(INT(H580/B580)+(((H580-B580*INT(H580/B580)))/C580)/100))))</f>
        <v>0</v>
      </c>
      <c r="AT580" s="57">
        <f>IF(ISERROR(IF(B580=C580,I580/C580,(INT(I580/B580)+(((I580-B580*INT(I580/B580)))/C580)/100))),0,(IF(B580=C580,I580/C580,(INT(I580/B580)+(((I580-B580*INT(I580/B580)))/C580)/100))))</f>
        <v>0</v>
      </c>
      <c r="AU580" s="57">
        <f>IF(ISERROR(IF(B580=C580,J580/C580,(INT(J580/B580)+(((J580-B580*INT(J580/B580)))/C580)/100))),0,(IF(B580=C580,J580/C580,(INT(J580/B580)+(((J580-B580*INT(J580/B580)))/C580)/100))))</f>
        <v>0</v>
      </c>
      <c r="AV580" s="57">
        <f>IF(ISERROR(IF(B580=C580,K580/C580,IF((INT(K580/B580)+(((K580-B580*INT(K580/B580)))/C580)/100)&lt;0,(INT(K580/B580)+(((K580-B580*INT(K580/B580)))/C580)/100)+(1-(B580/C580/100)),(INT(K580/B580)+(((K580-B580*INT(K580/B580)))/C580)/100)))),0,IF(B580=C580,K580/C580,IF((INT(K580/B580)+(((K580-B580*INT(K580/B580)))/C580)/100)&lt;0,(INT(K580/B580)+(((K580-B580*INT(K580/B580)))/C580)/100)+(1-(B580/C580/100)),(INT(K580/B580)+(((K580-B580*INT(K580/B580)))/C580)/100))))</f>
        <v>0</v>
      </c>
      <c r="AW580" s="57">
        <f>IF(ISERROR(IF(B580=C580,L580/C580,(INT(L580/B580)+(((L580-B580*INT(L580/B580)))/C580)/100))),0,(IF(B580=C580,L580/C580,(INT(L580/B580)+(((L580-B580*INT(L580/B580)))/C580)/100))))</f>
        <v>0</v>
      </c>
      <c r="AX580" s="57">
        <f>IF(ISERROR(IF(B580=C580,M580/C580,(INT(M580/B580)+(((M580-B580*INT(M580/B580)))/C580)/100))),0,(IF(B580=C580,M580/C580,(INT(M580/B580)+(((M580-B580*INT(M580/B580)))/C580)/100))))</f>
        <v>0</v>
      </c>
      <c r="AY580" s="57">
        <f>IF(ISERROR(IF(B580=C580,N580/C580,IF((INT(N580/B580)+(((N580-B580*INT(N580/B580)))/C580)/100)&lt;0,(INT(N580/B580)+(((N580-B580*INT(N580/B580)))/C580)/100)+(1-(B580/C580/100)),(INT(N580/B580)+(((N580-B580*INT(N580/B580)))/C580)/100)))),0,IF(B580=C580,N580/C580,IF((INT(N580/B580)+(((N580-B580*INT(N580/B580)))/C580)/100)&lt;0,(INT(N580/B580)+(((N580-B580*INT(N580/B580)))/C580)/100)+(1-(B580/C580/100)),(INT(N580/B580)+(((N580-B580*INT(N580/B580)))/C580)/100))))</f>
        <v>0</v>
      </c>
      <c r="AZ580" s="57">
        <f>IF(ISERROR(IF(B580=C580,O580/C580,(INT(O580/B580)+(((O580-B580*INT(O580/B580)))/C580)/100))),0,(IF(B580=C580,O580/C580,(INT(O580/B580)+(((O580-B580*INT(O580/B580)))/C580)/100))))</f>
        <v>0</v>
      </c>
      <c r="BA580" s="57">
        <f>IF(ISERROR(IF(B580=C580,P580/C580,IF((INT(P580/B580)+(((P580-B580*INT(P580/B580)))/C580)/100)&lt;0,(INT(P580/B580)+(((P580-B580*INT(P580/B580)))/C580)/100)+(1-(B580/C580/100)),(INT(P580/B580)+(((P580-B580*INT(P580/B580)))/C580)/100)))),0,IF(B580=C580,P580/C580,IF((INT(P580/B580)+(((P580-B580*INT(P580/B580)))/C580)/100)&lt;0,(INT(P580/B580)+(((P580-B580*INT(P580/B580)))/C580)/100)+(1-(B580/C580/100)),(INT(P580/B580)+(((P580-B580*INT(P580/B580)))/C580)/100))))</f>
        <v>0</v>
      </c>
      <c r="BB580" s="28">
        <f>R580</f>
        <v>0</v>
      </c>
      <c r="BC580" s="28">
        <f>S580</f>
        <v>0</v>
      </c>
      <c r="BD580" s="28">
        <f>AF580</f>
        <v>0</v>
      </c>
      <c r="BE580" s="28">
        <f>T580</f>
        <v>0</v>
      </c>
      <c r="BG580" s="57">
        <f>IF(ISERROR(IF(B580=C580,V580/C580,(INT(V580/B580)+(((V580-B580*INT(V580/B580)))/C580)/100))),0,(IF(B580=C580,V580/C580,(INT(V580/B580)+(((V580-B580*INT(V580/B580)))/C580)/100))))</f>
        <v>0</v>
      </c>
      <c r="BH580" s="57">
        <f>IF(ISERROR(IF(B580=C580,W580/C580,(INT(W580/B580)+(((W580-B580*INT(W580/B580)))/C580)/100))),0,(IF(B580=C580,W580/C580,(INT(W580/B580)+(((W580-B580*INT(W580/B580)))/C580)/100))))</f>
        <v>0</v>
      </c>
      <c r="BI580" s="57">
        <f>IF(ISERROR(IF(B580=C580,X580/C580,(INT(X580/B580)+(((X580-B580*INT(X580/B580)))/C580)/100))),0,(IF(B580=C580,X580/C580,(INT(X580/B580)+(((X580-B580*INT(X580/B580)))/C580)/100))))</f>
        <v>0</v>
      </c>
      <c r="BJ580" s="57">
        <f>IF(ISERROR(IF(B580=C580,Y580/C580,(INT(Y580/B580)+(((Y580-B580*INT(Y580/B580)))/C580)/100))),0,(IF(B580=C580,Y580/C580,(INT(Y580/B580)+(((Y580-B580*INT(Y580/B580)))/C580)/100))))</f>
        <v>0</v>
      </c>
      <c r="BL580" s="57">
        <f>IF(ISERROR(IF(B580=C580,AA580/C580,(INT(AA580/B580)+(((AA580-B580*INT(AA580/B580)))/C580)/100))),0,(IF(B580=C580,AA580/C580,(INT(AA580/B580)+(((AA580-B580*INT(AA580/B580)))/C580)/100))))</f>
        <v>0</v>
      </c>
      <c r="BM580" s="57">
        <f>IF(ISERROR(IF(B580=C580,AB580/C580,(INT(AB580/B580)+(((AB580-B580*INT(AB580/B580)))/C580)/100))),0,(IF(B580=C580,AB580/C580,(INT(AB580/B580)+(((AB580-B580*INT(AB580/B580)))/C580)/100))))</f>
        <v>0</v>
      </c>
      <c r="BN580" s="57">
        <f>IF(ISERROR(IF(B580=C580,AC580/C580,(INT(AC580/B580)+(((AC580-B580*INT(AC580/B580)))/C580)/100))),0,(IF(B580=C580,AC580/C580,(INT(AC580/B580)+(((AC580-B580*INT(AC580/B580)))/C580)/100))))</f>
        <v>0</v>
      </c>
      <c r="BO580" s="57">
        <f>IF(ISERROR(IF(B580=C580,AD580/C580,(INT(AD580/B580)+(((AD580-B580*INT(AD580/B580)))/C580)/100))),0,(IF(B580=C580,AD580/C580,(INT(AD580/B580)+(((AD580-B580*INT(AD580/B580)))/C580)/100))))</f>
        <v>0</v>
      </c>
      <c r="BQ580" s="155"/>
    </row>
    <row r="581" spans="1:69" hidden="1" x14ac:dyDescent="0.35">
      <c r="A581" s="94"/>
      <c r="B581" s="113">
        <v>0</v>
      </c>
      <c r="C581" s="113">
        <v>250</v>
      </c>
      <c r="D581" s="28">
        <f>SUM(AA581:AD581)</f>
        <v>0</v>
      </c>
      <c r="E581" s="113">
        <v>0</v>
      </c>
      <c r="F581" s="113">
        <v>0</v>
      </c>
      <c r="G581" s="28">
        <f>SUM(D581:F581)</f>
        <v>0</v>
      </c>
      <c r="H581" s="125">
        <v>0</v>
      </c>
      <c r="I581" s="113">
        <v>0</v>
      </c>
      <c r="J581" s="125">
        <v>0</v>
      </c>
      <c r="K581" s="113">
        <v>0</v>
      </c>
      <c r="L581" s="113">
        <v>0</v>
      </c>
      <c r="M581" s="113">
        <v>0</v>
      </c>
      <c r="N581" s="28">
        <f>G581-SUM(H581:M581)</f>
        <v>0</v>
      </c>
      <c r="O581" s="28">
        <f>SUM(V581:Y581)</f>
        <v>0</v>
      </c>
      <c r="P581" s="28">
        <f>O581-N581</f>
        <v>0</v>
      </c>
      <c r="Q581" s="61" t="str">
        <f>IF(ISERROR(P581/SUM(H581:L581)),"",P581/SUM(H581:L581))</f>
        <v/>
      </c>
      <c r="R581" s="113">
        <v>0</v>
      </c>
      <c r="S581" s="28">
        <f>IF(ISERROR(P581/C581*R581),0,(P581/C581*R581))</f>
        <v>0</v>
      </c>
      <c r="T581" s="60">
        <f>IF(ISERROR(P581/B581*AF581),0,(P581/B581*AF581))</f>
        <v>0</v>
      </c>
      <c r="V581" s="113">
        <v>0</v>
      </c>
      <c r="W581" s="113">
        <v>0</v>
      </c>
      <c r="X581" s="113">
        <v>0</v>
      </c>
      <c r="Y581" s="113">
        <v>0</v>
      </c>
      <c r="AA581" s="113">
        <v>0</v>
      </c>
      <c r="AB581" s="113">
        <v>0</v>
      </c>
      <c r="AC581" s="113">
        <v>0</v>
      </c>
      <c r="AD581" s="113">
        <v>0</v>
      </c>
      <c r="AF581" s="113">
        <v>0</v>
      </c>
      <c r="AG581" s="28">
        <f>G581-O581</f>
        <v>0</v>
      </c>
      <c r="AH581" s="58">
        <f>IF(ISERROR(AG581/B581*AF581),0,(AG581/B581*AF581))</f>
        <v>0</v>
      </c>
      <c r="AI581" s="28">
        <f>SUM(H581:M581)</f>
        <v>0</v>
      </c>
      <c r="AJ581" s="28">
        <f>IF(ISERROR(AI581/B581*AF581),0,(AI581/B581*AF581))</f>
        <v>0</v>
      </c>
      <c r="AK581" s="58">
        <f>IF(ISERROR(O581/B581*AF581),0,(O581/B581*AF581))</f>
        <v>0</v>
      </c>
      <c r="AL581" s="28">
        <f>IF(ISERROR(H581/B581*AF581),0,(H581/B581*AF581))</f>
        <v>0</v>
      </c>
      <c r="AN581" s="51">
        <f>A581</f>
        <v>0</v>
      </c>
      <c r="AO581" s="57">
        <f>IF(ISERROR(IF(B581=C581,D581/C581,(INT(D581/B581)+(((D581-B581*INT(D581/B581)))/C581)/100))),0,(IF(B581=C581,D581/C581,(INT(D581/B581)+(((D581-B581*INT(D581/B581)))/C581)/100))))</f>
        <v>0</v>
      </c>
      <c r="AP581" s="57">
        <f>IF(ISERROR(IF(B581=C581,E581/C581,(INT(E581/B581)+(((E581-B581*INT(E581/B581)))/C581)/100))),0,(IF(B581=C581,E581/C581,(INT(E581/B581)+(((E581-B581*INT(E581/B581)))/C581)/100))))</f>
        <v>0</v>
      </c>
      <c r="AQ581" s="57">
        <f>IF(ISERROR(IF(B581=C581,F581/C581,IF((INT(F581/B581)+(((F581-B581*INT(F581/B581)))/C581)/100)&lt;0,(INT(F581/B581)+(((F581-B581*INT(F581/B581)))/C581)/100)+(1-(B581/C581/100)),(INT(F581/B581)+(((F581-B581*INT(F581/B581)))/C581)/100)))),0,IF(B581=C581,F581/C581,IF((INT(F581/B581)+(((F581-B581*INT(F581/B581)))/C581)/100)&lt;0,(INT(F581/B581)+(((F581-B581*INT(F581/B581)))/C581)/100)+(1-(B581/C581/100)),(INT(F581/B581)+(((F581-B581*INT(F581/B581)))/C581)/100))))</f>
        <v>0</v>
      </c>
      <c r="AR581" s="57">
        <f>IF(ISERROR(IF(B581=C581,G581/C581,(INT(G581/B581)+(((G581-B581*INT(G581/B581)))/C581)/100))),0,(IF(B581=C581,G581/C581,(INT(G581/B581)+(((G581-B581*INT(G581/B581)))/C581)/100))))</f>
        <v>0</v>
      </c>
      <c r="AS581" s="57">
        <f>IF(ISERROR(IF(B581=C581,H581/C581,(INT(H581/B581)+(((H581-B581*INT(H581/B581)))/C581)/100))),0,(IF(B581=C581,H581/C581,(INT(H581/B581)+(((H581-B581*INT(H581/B581)))/C581)/100))))</f>
        <v>0</v>
      </c>
      <c r="AT581" s="57">
        <f>IF(ISERROR(IF(B581=C581,I581/C581,(INT(I581/B581)+(((I581-B581*INT(I581/B581)))/C581)/100))),0,(IF(B581=C581,I581/C581,(INT(I581/B581)+(((I581-B581*INT(I581/B581)))/C581)/100))))</f>
        <v>0</v>
      </c>
      <c r="AU581" s="57">
        <f>IF(ISERROR(IF(B581=C581,J581/C581,(INT(J581/B581)+(((J581-B581*INT(J581/B581)))/C581)/100))),0,(IF(B581=C581,J581/C581,(INT(J581/B581)+(((J581-B581*INT(J581/B581)))/C581)/100))))</f>
        <v>0</v>
      </c>
      <c r="AV581" s="57">
        <f>IF(ISERROR(IF(B581=C581,K581/C581,IF((INT(K581/B581)+(((K581-B581*INT(K581/B581)))/C581)/100)&lt;0,(INT(K581/B581)+(((K581-B581*INT(K581/B581)))/C581)/100)+(1-(B581/C581/100)),(INT(K581/B581)+(((K581-B581*INT(K581/B581)))/C581)/100)))),0,IF(B581=C581,K581/C581,IF((INT(K581/B581)+(((K581-B581*INT(K581/B581)))/C581)/100)&lt;0,(INT(K581/B581)+(((K581-B581*INT(K581/B581)))/C581)/100)+(1-(B581/C581/100)),(INT(K581/B581)+(((K581-B581*INT(K581/B581)))/C581)/100))))</f>
        <v>0</v>
      </c>
      <c r="AW581" s="57">
        <f>IF(ISERROR(IF(B581=C581,L581/C581,(INT(L581/B581)+(((L581-B581*INT(L581/B581)))/C581)/100))),0,(IF(B581=C581,L581/C581,(INT(L581/B581)+(((L581-B581*INT(L581/B581)))/C581)/100))))</f>
        <v>0</v>
      </c>
      <c r="AX581" s="57">
        <f>IF(ISERROR(IF(B581=C581,M581/C581,(INT(M581/B581)+(((M581-B581*INT(M581/B581)))/C581)/100))),0,(IF(B581=C581,M581/C581,(INT(M581/B581)+(((M581-B581*INT(M581/B581)))/C581)/100))))</f>
        <v>0</v>
      </c>
      <c r="AY581" s="57">
        <f>IF(ISERROR(IF(B581=C581,N581/C581,IF((INT(N581/B581)+(((N581-B581*INT(N581/B581)))/C581)/100)&lt;0,(INT(N581/B581)+(((N581-B581*INT(N581/B581)))/C581)/100)+(1-(B581/C581/100)),(INT(N581/B581)+(((N581-B581*INT(N581/B581)))/C581)/100)))),0,IF(B581=C581,N581/C581,IF((INT(N581/B581)+(((N581-B581*INT(N581/B581)))/C581)/100)&lt;0,(INT(N581/B581)+(((N581-B581*INT(N581/B581)))/C581)/100)+(1-(B581/C581/100)),(INT(N581/B581)+(((N581-B581*INT(N581/B581)))/C581)/100))))</f>
        <v>0</v>
      </c>
      <c r="AZ581" s="57">
        <f>IF(ISERROR(IF(B581=C581,O581/C581,(INT(O581/B581)+(((O581-B581*INT(O581/B581)))/C581)/100))),0,(IF(B581=C581,O581/C581,(INT(O581/B581)+(((O581-B581*INT(O581/B581)))/C581)/100))))</f>
        <v>0</v>
      </c>
      <c r="BA581" s="57">
        <f>IF(ISERROR(IF(B581=C581,P581/C581,IF((INT(P581/B581)+(((P581-B581*INT(P581/B581)))/C581)/100)&lt;0,(INT(P581/B581)+(((P581-B581*INT(P581/B581)))/C581)/100)+(1-(B581/C581/100)),(INT(P581/B581)+(((P581-B581*INT(P581/B581)))/C581)/100)))),0,IF(B581=C581,P581/C581,IF((INT(P581/B581)+(((P581-B581*INT(P581/B581)))/C581)/100)&lt;0,(INT(P581/B581)+(((P581-B581*INT(P581/B581)))/C581)/100)+(1-(B581/C581/100)),(INT(P581/B581)+(((P581-B581*INT(P581/B581)))/C581)/100))))</f>
        <v>0</v>
      </c>
      <c r="BB581" s="28">
        <f>R581</f>
        <v>0</v>
      </c>
      <c r="BC581" s="28">
        <f>S581</f>
        <v>0</v>
      </c>
      <c r="BD581" s="28">
        <f>AF581</f>
        <v>0</v>
      </c>
      <c r="BE581" s="28">
        <f>T581</f>
        <v>0</v>
      </c>
      <c r="BG581" s="57">
        <f>IF(ISERROR(IF(B581=C581,V581/C581,(INT(V581/B581)+(((V581-B581*INT(V581/B581)))/C581)/100))),0,(IF(B581=C581,V581/C581,(INT(V581/B581)+(((V581-B581*INT(V581/B581)))/C581)/100))))</f>
        <v>0</v>
      </c>
      <c r="BH581" s="57">
        <f>IF(ISERROR(IF(B581=C581,W581/C581,(INT(W581/B581)+(((W581-B581*INT(W581/B581)))/C581)/100))),0,(IF(B581=C581,W581/C581,(INT(W581/B581)+(((W581-B581*INT(W581/B581)))/C581)/100))))</f>
        <v>0</v>
      </c>
      <c r="BI581" s="57">
        <f>IF(ISERROR(IF(B581=C581,X581/C581,(INT(X581/B581)+(((X581-B581*INT(X581/B581)))/C581)/100))),0,(IF(B581=C581,X581/C581,(INT(X581/B581)+(((X581-B581*INT(X581/B581)))/C581)/100))))</f>
        <v>0</v>
      </c>
      <c r="BJ581" s="57">
        <f>IF(ISERROR(IF(B581=C581,Y581/C581,(INT(Y581/B581)+(((Y581-B581*INT(Y581/B581)))/C581)/100))),0,(IF(B581=C581,Y581/C581,(INT(Y581/B581)+(((Y581-B581*INT(Y581/B581)))/C581)/100))))</f>
        <v>0</v>
      </c>
      <c r="BL581" s="57">
        <f>IF(ISERROR(IF(B581=C581,AA581/C581,(INT(AA581/B581)+(((AA581-B581*INT(AA581/B581)))/C581)/100))),0,(IF(B581=C581,AA581/C581,(INT(AA581/B581)+(((AA581-B581*INT(AA581/B581)))/C581)/100))))</f>
        <v>0</v>
      </c>
      <c r="BM581" s="57">
        <f>IF(ISERROR(IF(B581=C581,AB581/C581,(INT(AB581/B581)+(((AB581-B581*INT(AB581/B581)))/C581)/100))),0,(IF(B581=C581,AB581/C581,(INT(AB581/B581)+(((AB581-B581*INT(AB581/B581)))/C581)/100))))</f>
        <v>0</v>
      </c>
      <c r="BN581" s="57">
        <f>IF(ISERROR(IF(B581=C581,AC581/C581,(INT(AC581/B581)+(((AC581-B581*INT(AC581/B581)))/C581)/100))),0,(IF(B581=C581,AC581/C581,(INT(AC581/B581)+(((AC581-B581*INT(AC581/B581)))/C581)/100))))</f>
        <v>0</v>
      </c>
      <c r="BO581" s="57">
        <f>IF(ISERROR(IF(B581=C581,AD581/C581,(INT(AD581/B581)+(((AD581-B581*INT(AD581/B581)))/C581)/100))),0,(IF(B581=C581,AD581/C581,(INT(AD581/B581)+(((AD581-B581*INT(AD581/B581)))/C581)/100))))</f>
        <v>0</v>
      </c>
      <c r="BQ581" s="155"/>
    </row>
    <row r="582" spans="1:69" hidden="1" x14ac:dyDescent="0.35">
      <c r="A582" s="94"/>
      <c r="B582" s="113">
        <v>0</v>
      </c>
      <c r="C582" s="113">
        <v>250</v>
      </c>
      <c r="D582" s="28">
        <f>SUM(AA582:AD582)</f>
        <v>0</v>
      </c>
      <c r="E582" s="113">
        <v>0</v>
      </c>
      <c r="F582" s="113">
        <v>0</v>
      </c>
      <c r="G582" s="28">
        <f>SUM(D582:F582)</f>
        <v>0</v>
      </c>
      <c r="H582" s="125">
        <v>0</v>
      </c>
      <c r="I582" s="113">
        <v>0</v>
      </c>
      <c r="J582" s="125">
        <v>0</v>
      </c>
      <c r="K582" s="113">
        <v>0</v>
      </c>
      <c r="L582" s="113">
        <v>0</v>
      </c>
      <c r="M582" s="113">
        <v>0</v>
      </c>
      <c r="N582" s="28">
        <f>G582-SUM(H582:M582)</f>
        <v>0</v>
      </c>
      <c r="O582" s="28">
        <f>SUM(V582:Y582)</f>
        <v>0</v>
      </c>
      <c r="P582" s="28">
        <f>O582-N582</f>
        <v>0</v>
      </c>
      <c r="Q582" s="61" t="str">
        <f>IF(ISERROR(P582/SUM(H582:L582)),"",P582/SUM(H582:L582))</f>
        <v/>
      </c>
      <c r="R582" s="113">
        <v>0</v>
      </c>
      <c r="S582" s="28">
        <f>IF(ISERROR(P582/C582*R582),0,(P582/C582*R582))</f>
        <v>0</v>
      </c>
      <c r="T582" s="60">
        <f>IF(ISERROR(P582/B582*AF582),0,(P582/B582*AF582))</f>
        <v>0</v>
      </c>
      <c r="V582" s="113">
        <v>0</v>
      </c>
      <c r="W582" s="113">
        <v>0</v>
      </c>
      <c r="X582" s="113">
        <v>0</v>
      </c>
      <c r="Y582" s="113">
        <v>0</v>
      </c>
      <c r="AA582" s="113">
        <v>0</v>
      </c>
      <c r="AB582" s="113">
        <v>0</v>
      </c>
      <c r="AC582" s="113">
        <v>0</v>
      </c>
      <c r="AD582" s="113">
        <v>0</v>
      </c>
      <c r="AF582" s="113">
        <v>0</v>
      </c>
      <c r="AG582" s="28">
        <f>G582-O582</f>
        <v>0</v>
      </c>
      <c r="AH582" s="58">
        <f>IF(ISERROR(AG582/B582*AF582),0,(AG582/B582*AF582))</f>
        <v>0</v>
      </c>
      <c r="AI582" s="28">
        <f>SUM(H582:M582)</f>
        <v>0</v>
      </c>
      <c r="AJ582" s="28">
        <f>IF(ISERROR(AI582/B582*AF582),0,(AI582/B582*AF582))</f>
        <v>0</v>
      </c>
      <c r="AK582" s="58">
        <f>IF(ISERROR(O582/B582*AF582),0,(O582/B582*AF582))</f>
        <v>0</v>
      </c>
      <c r="AL582" s="28">
        <f>IF(ISERROR(H582/B582*AF582),0,(H582/B582*AF582))</f>
        <v>0</v>
      </c>
      <c r="AN582" s="51">
        <f>A582</f>
        <v>0</v>
      </c>
      <c r="AO582" s="57">
        <f>IF(ISERROR(IF(B582=C582,D582/C582,(INT(D582/B582)+(((D582-B582*INT(D582/B582)))/C582)/100))),0,(IF(B582=C582,D582/C582,(INT(D582/B582)+(((D582-B582*INT(D582/B582)))/C582)/100))))</f>
        <v>0</v>
      </c>
      <c r="AP582" s="57">
        <f>IF(ISERROR(IF(B582=C582,E582/C582,(INT(E582/B582)+(((E582-B582*INT(E582/B582)))/C582)/100))),0,(IF(B582=C582,E582/C582,(INT(E582/B582)+(((E582-B582*INT(E582/B582)))/C582)/100))))</f>
        <v>0</v>
      </c>
      <c r="AQ582" s="57">
        <f>IF(ISERROR(IF(B582=C582,F582/C582,IF((INT(F582/B582)+(((F582-B582*INT(F582/B582)))/C582)/100)&lt;0,(INT(F582/B582)+(((F582-B582*INT(F582/B582)))/C582)/100)+(1-(B582/C582/100)),(INT(F582/B582)+(((F582-B582*INT(F582/B582)))/C582)/100)))),0,IF(B582=C582,F582/C582,IF((INT(F582/B582)+(((F582-B582*INT(F582/B582)))/C582)/100)&lt;0,(INT(F582/B582)+(((F582-B582*INT(F582/B582)))/C582)/100)+(1-(B582/C582/100)),(INT(F582/B582)+(((F582-B582*INT(F582/B582)))/C582)/100))))</f>
        <v>0</v>
      </c>
      <c r="AR582" s="57">
        <f>IF(ISERROR(IF(B582=C582,G582/C582,(INT(G582/B582)+(((G582-B582*INT(G582/B582)))/C582)/100))),0,(IF(B582=C582,G582/C582,(INT(G582/B582)+(((G582-B582*INT(G582/B582)))/C582)/100))))</f>
        <v>0</v>
      </c>
      <c r="AS582" s="57">
        <f>IF(ISERROR(IF(B582=C582,H582/C582,(INT(H582/B582)+(((H582-B582*INT(H582/B582)))/C582)/100))),0,(IF(B582=C582,H582/C582,(INT(H582/B582)+(((H582-B582*INT(H582/B582)))/C582)/100))))</f>
        <v>0</v>
      </c>
      <c r="AT582" s="57">
        <f>IF(ISERROR(IF(B582=C582,I582/C582,(INT(I582/B582)+(((I582-B582*INT(I582/B582)))/C582)/100))),0,(IF(B582=C582,I582/C582,(INT(I582/B582)+(((I582-B582*INT(I582/B582)))/C582)/100))))</f>
        <v>0</v>
      </c>
      <c r="AU582" s="57">
        <f>IF(ISERROR(IF(B582=C582,J582/C582,(INT(J582/B582)+(((J582-B582*INT(J582/B582)))/C582)/100))),0,(IF(B582=C582,J582/C582,(INT(J582/B582)+(((J582-B582*INT(J582/B582)))/C582)/100))))</f>
        <v>0</v>
      </c>
      <c r="AV582" s="57">
        <f>IF(ISERROR(IF(B582=C582,K582/C582,IF((INT(K582/B582)+(((K582-B582*INT(K582/B582)))/C582)/100)&lt;0,(INT(K582/B582)+(((K582-B582*INT(K582/B582)))/C582)/100)+(1-(B582/C582/100)),(INT(K582/B582)+(((K582-B582*INT(K582/B582)))/C582)/100)))),0,IF(B582=C582,K582/C582,IF((INT(K582/B582)+(((K582-B582*INT(K582/B582)))/C582)/100)&lt;0,(INT(K582/B582)+(((K582-B582*INT(K582/B582)))/C582)/100)+(1-(B582/C582/100)),(INT(K582/B582)+(((K582-B582*INT(K582/B582)))/C582)/100))))</f>
        <v>0</v>
      </c>
      <c r="AW582" s="57">
        <f>IF(ISERROR(IF(B582=C582,L582/C582,(INT(L582/B582)+(((L582-B582*INT(L582/B582)))/C582)/100))),0,(IF(B582=C582,L582/C582,(INT(L582/B582)+(((L582-B582*INT(L582/B582)))/C582)/100))))</f>
        <v>0</v>
      </c>
      <c r="AX582" s="57">
        <f>IF(ISERROR(IF(B582=C582,M582/C582,(INT(M582/B582)+(((M582-B582*INT(M582/B582)))/C582)/100))),0,(IF(B582=C582,M582/C582,(INT(M582/B582)+(((M582-B582*INT(M582/B582)))/C582)/100))))</f>
        <v>0</v>
      </c>
      <c r="AY582" s="57">
        <f>IF(ISERROR(IF(B582=C582,N582/C582,IF((INT(N582/B582)+(((N582-B582*INT(N582/B582)))/C582)/100)&lt;0,(INT(N582/B582)+(((N582-B582*INT(N582/B582)))/C582)/100)+(1-(B582/C582/100)),(INT(N582/B582)+(((N582-B582*INT(N582/B582)))/C582)/100)))),0,IF(B582=C582,N582/C582,IF((INT(N582/B582)+(((N582-B582*INT(N582/B582)))/C582)/100)&lt;0,(INT(N582/B582)+(((N582-B582*INT(N582/B582)))/C582)/100)+(1-(B582/C582/100)),(INT(N582/B582)+(((N582-B582*INT(N582/B582)))/C582)/100))))</f>
        <v>0</v>
      </c>
      <c r="AZ582" s="57">
        <f>IF(ISERROR(IF(B582=C582,O582/C582,(INT(O582/B582)+(((O582-B582*INT(O582/B582)))/C582)/100))),0,(IF(B582=C582,O582/C582,(INT(O582/B582)+(((O582-B582*INT(O582/B582)))/C582)/100))))</f>
        <v>0</v>
      </c>
      <c r="BA582" s="57">
        <f>IF(ISERROR(IF(B582=C582,P582/C582,IF((INT(P582/B582)+(((P582-B582*INT(P582/B582)))/C582)/100)&lt;0,(INT(P582/B582)+(((P582-B582*INT(P582/B582)))/C582)/100)+(1-(B582/C582/100)),(INT(P582/B582)+(((P582-B582*INT(P582/B582)))/C582)/100)))),0,IF(B582=C582,P582/C582,IF((INT(P582/B582)+(((P582-B582*INT(P582/B582)))/C582)/100)&lt;0,(INT(P582/B582)+(((P582-B582*INT(P582/B582)))/C582)/100)+(1-(B582/C582/100)),(INT(P582/B582)+(((P582-B582*INT(P582/B582)))/C582)/100))))</f>
        <v>0</v>
      </c>
      <c r="BB582" s="28">
        <f>R582</f>
        <v>0</v>
      </c>
      <c r="BC582" s="28">
        <f>S582</f>
        <v>0</v>
      </c>
      <c r="BD582" s="28">
        <f>AF582</f>
        <v>0</v>
      </c>
      <c r="BE582" s="28">
        <f>T582</f>
        <v>0</v>
      </c>
      <c r="BG582" s="57">
        <f>IF(ISERROR(IF(B582=C582,V582/C582,(INT(V582/B582)+(((V582-B582*INT(V582/B582)))/C582)/100))),0,(IF(B582=C582,V582/C582,(INT(V582/B582)+(((V582-B582*INT(V582/B582)))/C582)/100))))</f>
        <v>0</v>
      </c>
      <c r="BH582" s="57">
        <f>IF(ISERROR(IF(B582=C582,W582/C582,(INT(W582/B582)+(((W582-B582*INT(W582/B582)))/C582)/100))),0,(IF(B582=C582,W582/C582,(INT(W582/B582)+(((W582-B582*INT(W582/B582)))/C582)/100))))</f>
        <v>0</v>
      </c>
      <c r="BI582" s="57">
        <f>IF(ISERROR(IF(B582=C582,X582/C582,(INT(X582/B582)+(((X582-B582*INT(X582/B582)))/C582)/100))),0,(IF(B582=C582,X582/C582,(INT(X582/B582)+(((X582-B582*INT(X582/B582)))/C582)/100))))</f>
        <v>0</v>
      </c>
      <c r="BJ582" s="57">
        <f>IF(ISERROR(IF(B582=C582,Y582/C582,(INT(Y582/B582)+(((Y582-B582*INT(Y582/B582)))/C582)/100))),0,(IF(B582=C582,Y582/C582,(INT(Y582/B582)+(((Y582-B582*INT(Y582/B582)))/C582)/100))))</f>
        <v>0</v>
      </c>
      <c r="BL582" s="57">
        <f>IF(ISERROR(IF(B582=C582,AA582/C582,(INT(AA582/B582)+(((AA582-B582*INT(AA582/B582)))/C582)/100))),0,(IF(B582=C582,AA582/C582,(INT(AA582/B582)+(((AA582-B582*INT(AA582/B582)))/C582)/100))))</f>
        <v>0</v>
      </c>
      <c r="BM582" s="57">
        <f>IF(ISERROR(IF(B582=C582,AB582/C582,(INT(AB582/B582)+(((AB582-B582*INT(AB582/B582)))/C582)/100))),0,(IF(B582=C582,AB582/C582,(INT(AB582/B582)+(((AB582-B582*INT(AB582/B582)))/C582)/100))))</f>
        <v>0</v>
      </c>
      <c r="BN582" s="57">
        <f>IF(ISERROR(IF(B582=C582,AC582/C582,(INT(AC582/B582)+(((AC582-B582*INT(AC582/B582)))/C582)/100))),0,(IF(B582=C582,AC582/C582,(INT(AC582/B582)+(((AC582-B582*INT(AC582/B582)))/C582)/100))))</f>
        <v>0</v>
      </c>
      <c r="BO582" s="57">
        <f>IF(ISERROR(IF(B582=C582,AD582/C582,(INT(AD582/B582)+(((AD582-B582*INT(AD582/B582)))/C582)/100))),0,(IF(B582=C582,AD582/C582,(INT(AD582/B582)+(((AD582-B582*INT(AD582/B582)))/C582)/100))))</f>
        <v>0</v>
      </c>
      <c r="BQ582" s="155"/>
    </row>
    <row r="583" spans="1:69" hidden="1" x14ac:dyDescent="0.35">
      <c r="A583" s="94"/>
      <c r="B583" s="113">
        <v>0</v>
      </c>
      <c r="C583" s="113">
        <v>250</v>
      </c>
      <c r="D583" s="28">
        <f>SUM(AA583:AD583)</f>
        <v>0</v>
      </c>
      <c r="E583" s="113">
        <v>0</v>
      </c>
      <c r="F583" s="113">
        <v>0</v>
      </c>
      <c r="G583" s="28">
        <f>SUM(D583:F583)</f>
        <v>0</v>
      </c>
      <c r="H583" s="125">
        <v>0</v>
      </c>
      <c r="I583" s="113">
        <v>0</v>
      </c>
      <c r="J583" s="125">
        <v>0</v>
      </c>
      <c r="K583" s="113">
        <v>0</v>
      </c>
      <c r="L583" s="113">
        <v>0</v>
      </c>
      <c r="M583" s="113">
        <v>0</v>
      </c>
      <c r="N583" s="28">
        <f>G583-SUM(H583:M583)</f>
        <v>0</v>
      </c>
      <c r="O583" s="28">
        <f>SUM(V583:Y583)</f>
        <v>0</v>
      </c>
      <c r="P583" s="28">
        <f>O583-N583</f>
        <v>0</v>
      </c>
      <c r="Q583" s="61" t="str">
        <f>IF(ISERROR(P583/SUM(H583:L583)),"",P583/SUM(H583:L583))</f>
        <v/>
      </c>
      <c r="R583" s="113">
        <v>0</v>
      </c>
      <c r="S583" s="28">
        <f>IF(ISERROR(P583/C583*R583),0,(P583/C583*R583))</f>
        <v>0</v>
      </c>
      <c r="T583" s="60">
        <f>IF(ISERROR(P583/B583*AF583),0,(P583/B583*AF583))</f>
        <v>0</v>
      </c>
      <c r="V583" s="113">
        <v>0</v>
      </c>
      <c r="W583" s="113">
        <v>0</v>
      </c>
      <c r="X583" s="113">
        <v>0</v>
      </c>
      <c r="Y583" s="113">
        <v>0</v>
      </c>
      <c r="AA583" s="113">
        <v>0</v>
      </c>
      <c r="AB583" s="113">
        <v>0</v>
      </c>
      <c r="AC583" s="113">
        <v>0</v>
      </c>
      <c r="AD583" s="113">
        <v>0</v>
      </c>
      <c r="AF583" s="113">
        <v>0</v>
      </c>
      <c r="AG583" s="28">
        <f>G583-O583</f>
        <v>0</v>
      </c>
      <c r="AH583" s="58">
        <f>IF(ISERROR(AG583/B583*AF583),0,(AG583/B583*AF583))</f>
        <v>0</v>
      </c>
      <c r="AI583" s="28">
        <f>SUM(H583:M583)</f>
        <v>0</v>
      </c>
      <c r="AJ583" s="28">
        <f>IF(ISERROR(AI583/B583*AF583),0,(AI583/B583*AF583))</f>
        <v>0</v>
      </c>
      <c r="AK583" s="58">
        <f>IF(ISERROR(O583/B583*AF583),0,(O583/B583*AF583))</f>
        <v>0</v>
      </c>
      <c r="AL583" s="28">
        <f>IF(ISERROR(H583/B583*AF583),0,(H583/B583*AF583))</f>
        <v>0</v>
      </c>
      <c r="AN583" s="51">
        <f>A583</f>
        <v>0</v>
      </c>
      <c r="AO583" s="57">
        <f>IF(ISERROR(IF(B583=C583,D583/C583,(INT(D583/B583)+(((D583-B583*INT(D583/B583)))/C583)/100))),0,(IF(B583=C583,D583/C583,(INT(D583/B583)+(((D583-B583*INT(D583/B583)))/C583)/100))))</f>
        <v>0</v>
      </c>
      <c r="AP583" s="57">
        <f>IF(ISERROR(IF(B583=C583,E583/C583,(INT(E583/B583)+(((E583-B583*INT(E583/B583)))/C583)/100))),0,(IF(B583=C583,E583/C583,(INT(E583/B583)+(((E583-B583*INT(E583/B583)))/C583)/100))))</f>
        <v>0</v>
      </c>
      <c r="AQ583" s="57">
        <f>IF(ISERROR(IF(B583=C583,F583/C583,IF((INT(F583/B583)+(((F583-B583*INT(F583/B583)))/C583)/100)&lt;0,(INT(F583/B583)+(((F583-B583*INT(F583/B583)))/C583)/100)+(1-(B583/C583/100)),(INT(F583/B583)+(((F583-B583*INT(F583/B583)))/C583)/100)))),0,IF(B583=C583,F583/C583,IF((INT(F583/B583)+(((F583-B583*INT(F583/B583)))/C583)/100)&lt;0,(INT(F583/B583)+(((F583-B583*INT(F583/B583)))/C583)/100)+(1-(B583/C583/100)),(INT(F583/B583)+(((F583-B583*INT(F583/B583)))/C583)/100))))</f>
        <v>0</v>
      </c>
      <c r="AR583" s="57">
        <f>IF(ISERROR(IF(B583=C583,G583/C583,(INT(G583/B583)+(((G583-B583*INT(G583/B583)))/C583)/100))),0,(IF(B583=C583,G583/C583,(INT(G583/B583)+(((G583-B583*INT(G583/B583)))/C583)/100))))</f>
        <v>0</v>
      </c>
      <c r="AS583" s="57">
        <f>IF(ISERROR(IF(B583=C583,H583/C583,(INT(H583/B583)+(((H583-B583*INT(H583/B583)))/C583)/100))),0,(IF(B583=C583,H583/C583,(INT(H583/B583)+(((H583-B583*INT(H583/B583)))/C583)/100))))</f>
        <v>0</v>
      </c>
      <c r="AT583" s="57">
        <f>IF(ISERROR(IF(B583=C583,I583/C583,(INT(I583/B583)+(((I583-B583*INT(I583/B583)))/C583)/100))),0,(IF(B583=C583,I583/C583,(INT(I583/B583)+(((I583-B583*INT(I583/B583)))/C583)/100))))</f>
        <v>0</v>
      </c>
      <c r="AU583" s="57">
        <f>IF(ISERROR(IF(B583=C583,J583/C583,(INT(J583/B583)+(((J583-B583*INT(J583/B583)))/C583)/100))),0,(IF(B583=C583,J583/C583,(INT(J583/B583)+(((J583-B583*INT(J583/B583)))/C583)/100))))</f>
        <v>0</v>
      </c>
      <c r="AV583" s="57">
        <f>IF(ISERROR(IF(B583=C583,K583/C583,IF((INT(K583/B583)+(((K583-B583*INT(K583/B583)))/C583)/100)&lt;0,(INT(K583/B583)+(((K583-B583*INT(K583/B583)))/C583)/100)+(1-(B583/C583/100)),(INT(K583/B583)+(((K583-B583*INT(K583/B583)))/C583)/100)))),0,IF(B583=C583,K583/C583,IF((INT(K583/B583)+(((K583-B583*INT(K583/B583)))/C583)/100)&lt;0,(INT(K583/B583)+(((K583-B583*INT(K583/B583)))/C583)/100)+(1-(B583/C583/100)),(INT(K583/B583)+(((K583-B583*INT(K583/B583)))/C583)/100))))</f>
        <v>0</v>
      </c>
      <c r="AW583" s="57">
        <f>IF(ISERROR(IF(B583=C583,L583/C583,(INT(L583/B583)+(((L583-B583*INT(L583/B583)))/C583)/100))),0,(IF(B583=C583,L583/C583,(INT(L583/B583)+(((L583-B583*INT(L583/B583)))/C583)/100))))</f>
        <v>0</v>
      </c>
      <c r="AX583" s="57">
        <f>IF(ISERROR(IF(B583=C583,M583/C583,(INT(M583/B583)+(((M583-B583*INT(M583/B583)))/C583)/100))),0,(IF(B583=C583,M583/C583,(INT(M583/B583)+(((M583-B583*INT(M583/B583)))/C583)/100))))</f>
        <v>0</v>
      </c>
      <c r="AY583" s="57">
        <f>IF(ISERROR(IF(B583=C583,N583/C583,IF((INT(N583/B583)+(((N583-B583*INT(N583/B583)))/C583)/100)&lt;0,(INT(N583/B583)+(((N583-B583*INT(N583/B583)))/C583)/100)+(1-(B583/C583/100)),(INT(N583/B583)+(((N583-B583*INT(N583/B583)))/C583)/100)))),0,IF(B583=C583,N583/C583,IF((INT(N583/B583)+(((N583-B583*INT(N583/B583)))/C583)/100)&lt;0,(INT(N583/B583)+(((N583-B583*INT(N583/B583)))/C583)/100)+(1-(B583/C583/100)),(INT(N583/B583)+(((N583-B583*INT(N583/B583)))/C583)/100))))</f>
        <v>0</v>
      </c>
      <c r="AZ583" s="57">
        <f>IF(ISERROR(IF(B583=C583,O583/C583,(INT(O583/B583)+(((O583-B583*INT(O583/B583)))/C583)/100))),0,(IF(B583=C583,O583/C583,(INT(O583/B583)+(((O583-B583*INT(O583/B583)))/C583)/100))))</f>
        <v>0</v>
      </c>
      <c r="BA583" s="57">
        <f>IF(ISERROR(IF(B583=C583,P583/C583,IF((INT(P583/B583)+(((P583-B583*INT(P583/B583)))/C583)/100)&lt;0,(INT(P583/B583)+(((P583-B583*INT(P583/B583)))/C583)/100)+(1-(B583/C583/100)),(INT(P583/B583)+(((P583-B583*INT(P583/B583)))/C583)/100)))),0,IF(B583=C583,P583/C583,IF((INT(P583/B583)+(((P583-B583*INT(P583/B583)))/C583)/100)&lt;0,(INT(P583/B583)+(((P583-B583*INT(P583/B583)))/C583)/100)+(1-(B583/C583/100)),(INT(P583/B583)+(((P583-B583*INT(P583/B583)))/C583)/100))))</f>
        <v>0</v>
      </c>
      <c r="BB583" s="28">
        <f>R583</f>
        <v>0</v>
      </c>
      <c r="BC583" s="28">
        <f>S583</f>
        <v>0</v>
      </c>
      <c r="BD583" s="28">
        <f>AF583</f>
        <v>0</v>
      </c>
      <c r="BE583" s="28">
        <f>T583</f>
        <v>0</v>
      </c>
      <c r="BG583" s="57">
        <f>IF(ISERROR(IF(B583=C583,V583/C583,(INT(V583/B583)+(((V583-B583*INT(V583/B583)))/C583)/100))),0,(IF(B583=C583,V583/C583,(INT(V583/B583)+(((V583-B583*INT(V583/B583)))/C583)/100))))</f>
        <v>0</v>
      </c>
      <c r="BH583" s="57">
        <f>IF(ISERROR(IF(B583=C583,W583/C583,(INT(W583/B583)+(((W583-B583*INT(W583/B583)))/C583)/100))),0,(IF(B583=C583,W583/C583,(INT(W583/B583)+(((W583-B583*INT(W583/B583)))/C583)/100))))</f>
        <v>0</v>
      </c>
      <c r="BI583" s="57">
        <f>IF(ISERROR(IF(B583=C583,X583/C583,(INT(X583/B583)+(((X583-B583*INT(X583/B583)))/C583)/100))),0,(IF(B583=C583,X583/C583,(INT(X583/B583)+(((X583-B583*INT(X583/B583)))/C583)/100))))</f>
        <v>0</v>
      </c>
      <c r="BJ583" s="57">
        <f>IF(ISERROR(IF(B583=C583,Y583/C583,(INT(Y583/B583)+(((Y583-B583*INT(Y583/B583)))/C583)/100))),0,(IF(B583=C583,Y583/C583,(INT(Y583/B583)+(((Y583-B583*INT(Y583/B583)))/C583)/100))))</f>
        <v>0</v>
      </c>
      <c r="BL583" s="57">
        <f>IF(ISERROR(IF(B583=C583,AA583/C583,(INT(AA583/B583)+(((AA583-B583*INT(AA583/B583)))/C583)/100))),0,(IF(B583=C583,AA583/C583,(INT(AA583/B583)+(((AA583-B583*INT(AA583/B583)))/C583)/100))))</f>
        <v>0</v>
      </c>
      <c r="BM583" s="57">
        <f>IF(ISERROR(IF(B583=C583,AB583/C583,(INT(AB583/B583)+(((AB583-B583*INT(AB583/B583)))/C583)/100))),0,(IF(B583=C583,AB583/C583,(INT(AB583/B583)+(((AB583-B583*INT(AB583/B583)))/C583)/100))))</f>
        <v>0</v>
      </c>
      <c r="BN583" s="57">
        <f>IF(ISERROR(IF(B583=C583,AC583/C583,(INT(AC583/B583)+(((AC583-B583*INT(AC583/B583)))/C583)/100))),0,(IF(B583=C583,AC583/C583,(INT(AC583/B583)+(((AC583-B583*INT(AC583/B583)))/C583)/100))))</f>
        <v>0</v>
      </c>
      <c r="BO583" s="57">
        <f>IF(ISERROR(IF(B583=C583,AD583/C583,(INT(AD583/B583)+(((AD583-B583*INT(AD583/B583)))/C583)/100))),0,(IF(B583=C583,AD583/C583,(INT(AD583/B583)+(((AD583-B583*INT(AD583/B583)))/C583)/100))))</f>
        <v>0</v>
      </c>
      <c r="BQ583" s="155"/>
    </row>
    <row r="584" spans="1:69" hidden="1" x14ac:dyDescent="0.35">
      <c r="A584" s="94"/>
      <c r="B584" s="113">
        <v>0</v>
      </c>
      <c r="C584" s="113">
        <v>250</v>
      </c>
      <c r="D584" s="28">
        <f>SUM(AA584:AD584)</f>
        <v>0</v>
      </c>
      <c r="E584" s="113">
        <v>0</v>
      </c>
      <c r="F584" s="113">
        <v>0</v>
      </c>
      <c r="G584" s="28">
        <f>SUM(D584:F584)</f>
        <v>0</v>
      </c>
      <c r="H584" s="125">
        <v>0</v>
      </c>
      <c r="I584" s="113">
        <v>0</v>
      </c>
      <c r="J584" s="125">
        <v>0</v>
      </c>
      <c r="K584" s="113">
        <v>0</v>
      </c>
      <c r="L584" s="113">
        <v>0</v>
      </c>
      <c r="M584" s="113">
        <v>0</v>
      </c>
      <c r="N584" s="28">
        <f>G584-SUM(H584:M584)</f>
        <v>0</v>
      </c>
      <c r="O584" s="28">
        <f>SUM(V584:Y584)</f>
        <v>0</v>
      </c>
      <c r="P584" s="28">
        <f>O584-N584</f>
        <v>0</v>
      </c>
      <c r="Q584" s="61" t="str">
        <f>IF(ISERROR(P584/SUM(H584:L584)),"",P584/SUM(H584:L584))</f>
        <v/>
      </c>
      <c r="R584" s="113">
        <v>0</v>
      </c>
      <c r="S584" s="28">
        <f>IF(ISERROR(P584/C584*R584),0,(P584/C584*R584))</f>
        <v>0</v>
      </c>
      <c r="T584" s="60">
        <f>IF(ISERROR(P584/B584*AF584),0,(P584/B584*AF584))</f>
        <v>0</v>
      </c>
      <c r="V584" s="113">
        <v>0</v>
      </c>
      <c r="W584" s="113">
        <v>0</v>
      </c>
      <c r="X584" s="113">
        <v>0</v>
      </c>
      <c r="Y584" s="113">
        <v>0</v>
      </c>
      <c r="AA584" s="113">
        <v>0</v>
      </c>
      <c r="AB584" s="113">
        <v>0</v>
      </c>
      <c r="AC584" s="113">
        <v>0</v>
      </c>
      <c r="AD584" s="113">
        <v>0</v>
      </c>
      <c r="AF584" s="113">
        <v>0</v>
      </c>
      <c r="AG584" s="28">
        <f>G584-O584</f>
        <v>0</v>
      </c>
      <c r="AH584" s="58">
        <f>IF(ISERROR(AG584/B584*AF584),0,(AG584/B584*AF584))</f>
        <v>0</v>
      </c>
      <c r="AI584" s="28">
        <f>SUM(H584:M584)</f>
        <v>0</v>
      </c>
      <c r="AJ584" s="28">
        <f>IF(ISERROR(AI584/B584*AF584),0,(AI584/B584*AF584))</f>
        <v>0</v>
      </c>
      <c r="AK584" s="58">
        <f>IF(ISERROR(O584/B584*AF584),0,(O584/B584*AF584))</f>
        <v>0</v>
      </c>
      <c r="AL584" s="28">
        <f>IF(ISERROR(H584/B584*AF584),0,(H584/B584*AF584))</f>
        <v>0</v>
      </c>
      <c r="AN584" s="51">
        <f>A584</f>
        <v>0</v>
      </c>
      <c r="AO584" s="57">
        <f>IF(ISERROR(IF(B584=C584,D584/C584,(INT(D584/B584)+(((D584-B584*INT(D584/B584)))/C584)/100))),0,(IF(B584=C584,D584/C584,(INT(D584/B584)+(((D584-B584*INT(D584/B584)))/C584)/100))))</f>
        <v>0</v>
      </c>
      <c r="AP584" s="57">
        <f>IF(ISERROR(IF(B584=C584,E584/C584,(INT(E584/B584)+(((E584-B584*INT(E584/B584)))/C584)/100))),0,(IF(B584=C584,E584/C584,(INT(E584/B584)+(((E584-B584*INT(E584/B584)))/C584)/100))))</f>
        <v>0</v>
      </c>
      <c r="AQ584" s="57">
        <f>IF(ISERROR(IF(B584=C584,F584/C584,IF((INT(F584/B584)+(((F584-B584*INT(F584/B584)))/C584)/100)&lt;0,(INT(F584/B584)+(((F584-B584*INT(F584/B584)))/C584)/100)+(1-(B584/C584/100)),(INT(F584/B584)+(((F584-B584*INT(F584/B584)))/C584)/100)))),0,IF(B584=C584,F584/C584,IF((INT(F584/B584)+(((F584-B584*INT(F584/B584)))/C584)/100)&lt;0,(INT(F584/B584)+(((F584-B584*INT(F584/B584)))/C584)/100)+(1-(B584/C584/100)),(INT(F584/B584)+(((F584-B584*INT(F584/B584)))/C584)/100))))</f>
        <v>0</v>
      </c>
      <c r="AR584" s="57">
        <f>IF(ISERROR(IF(B584=C584,G584/C584,(INT(G584/B584)+(((G584-B584*INT(G584/B584)))/C584)/100))),0,(IF(B584=C584,G584/C584,(INT(G584/B584)+(((G584-B584*INT(G584/B584)))/C584)/100))))</f>
        <v>0</v>
      </c>
      <c r="AS584" s="57">
        <f>IF(ISERROR(IF(B584=C584,H584/C584,(INT(H584/B584)+(((H584-B584*INT(H584/B584)))/C584)/100))),0,(IF(B584=C584,H584/C584,(INT(H584/B584)+(((H584-B584*INT(H584/B584)))/C584)/100))))</f>
        <v>0</v>
      </c>
      <c r="AT584" s="57">
        <f>IF(ISERROR(IF(B584=C584,I584/C584,(INT(I584/B584)+(((I584-B584*INT(I584/B584)))/C584)/100))),0,(IF(B584=C584,I584/C584,(INT(I584/B584)+(((I584-B584*INT(I584/B584)))/C584)/100))))</f>
        <v>0</v>
      </c>
      <c r="AU584" s="57">
        <f>IF(ISERROR(IF(B584=C584,J584/C584,(INT(J584/B584)+(((J584-B584*INT(J584/B584)))/C584)/100))),0,(IF(B584=C584,J584/C584,(INT(J584/B584)+(((J584-B584*INT(J584/B584)))/C584)/100))))</f>
        <v>0</v>
      </c>
      <c r="AV584" s="57">
        <f>IF(ISERROR(IF(B584=C584,K584/C584,IF((INT(K584/B584)+(((K584-B584*INT(K584/B584)))/C584)/100)&lt;0,(INT(K584/B584)+(((K584-B584*INT(K584/B584)))/C584)/100)+(1-(B584/C584/100)),(INT(K584/B584)+(((K584-B584*INT(K584/B584)))/C584)/100)))),0,IF(B584=C584,K584/C584,IF((INT(K584/B584)+(((K584-B584*INT(K584/B584)))/C584)/100)&lt;0,(INT(K584/B584)+(((K584-B584*INT(K584/B584)))/C584)/100)+(1-(B584/C584/100)),(INT(K584/B584)+(((K584-B584*INT(K584/B584)))/C584)/100))))</f>
        <v>0</v>
      </c>
      <c r="AW584" s="57">
        <f>IF(ISERROR(IF(B584=C584,L584/C584,(INT(L584/B584)+(((L584-B584*INT(L584/B584)))/C584)/100))),0,(IF(B584=C584,L584/C584,(INT(L584/B584)+(((L584-B584*INT(L584/B584)))/C584)/100))))</f>
        <v>0</v>
      </c>
      <c r="AX584" s="57">
        <f>IF(ISERROR(IF(B584=C584,M584/C584,(INT(M584/B584)+(((M584-B584*INT(M584/B584)))/C584)/100))),0,(IF(B584=C584,M584/C584,(INT(M584/B584)+(((M584-B584*INT(M584/B584)))/C584)/100))))</f>
        <v>0</v>
      </c>
      <c r="AY584" s="57">
        <f>IF(ISERROR(IF(B584=C584,N584/C584,IF((INT(N584/B584)+(((N584-B584*INT(N584/B584)))/C584)/100)&lt;0,(INT(N584/B584)+(((N584-B584*INT(N584/B584)))/C584)/100)+(1-(B584/C584/100)),(INT(N584/B584)+(((N584-B584*INT(N584/B584)))/C584)/100)))),0,IF(B584=C584,N584/C584,IF((INT(N584/B584)+(((N584-B584*INT(N584/B584)))/C584)/100)&lt;0,(INT(N584/B584)+(((N584-B584*INT(N584/B584)))/C584)/100)+(1-(B584/C584/100)),(INT(N584/B584)+(((N584-B584*INT(N584/B584)))/C584)/100))))</f>
        <v>0</v>
      </c>
      <c r="AZ584" s="57">
        <f>IF(ISERROR(IF(B584=C584,O584/C584,(INT(O584/B584)+(((O584-B584*INT(O584/B584)))/C584)/100))),0,(IF(B584=C584,O584/C584,(INT(O584/B584)+(((O584-B584*INT(O584/B584)))/C584)/100))))</f>
        <v>0</v>
      </c>
      <c r="BA584" s="57">
        <f>IF(ISERROR(IF(B584=C584,P584/C584,IF((INT(P584/B584)+(((P584-B584*INT(P584/B584)))/C584)/100)&lt;0,(INT(P584/B584)+(((P584-B584*INT(P584/B584)))/C584)/100)+(1-(B584/C584/100)),(INT(P584/B584)+(((P584-B584*INT(P584/B584)))/C584)/100)))),0,IF(B584=C584,P584/C584,IF((INT(P584/B584)+(((P584-B584*INT(P584/B584)))/C584)/100)&lt;0,(INT(P584/B584)+(((P584-B584*INT(P584/B584)))/C584)/100)+(1-(B584/C584/100)),(INT(P584/B584)+(((P584-B584*INT(P584/B584)))/C584)/100))))</f>
        <v>0</v>
      </c>
      <c r="BB584" s="28">
        <f>R584</f>
        <v>0</v>
      </c>
      <c r="BC584" s="28">
        <f>S584</f>
        <v>0</v>
      </c>
      <c r="BD584" s="28">
        <f>AF584</f>
        <v>0</v>
      </c>
      <c r="BE584" s="28">
        <f>T584</f>
        <v>0</v>
      </c>
      <c r="BG584" s="57">
        <f>IF(ISERROR(IF(B584=C584,V584/C584,(INT(V584/B584)+(((V584-B584*INT(V584/B584)))/C584)/100))),0,(IF(B584=C584,V584/C584,(INT(V584/B584)+(((V584-B584*INT(V584/B584)))/C584)/100))))</f>
        <v>0</v>
      </c>
      <c r="BH584" s="57">
        <f>IF(ISERROR(IF(B584=C584,W584/C584,(INT(W584/B584)+(((W584-B584*INT(W584/B584)))/C584)/100))),0,(IF(B584=C584,W584/C584,(INT(W584/B584)+(((W584-B584*INT(W584/B584)))/C584)/100))))</f>
        <v>0</v>
      </c>
      <c r="BI584" s="57">
        <f>IF(ISERROR(IF(B584=C584,X584/C584,(INT(X584/B584)+(((X584-B584*INT(X584/B584)))/C584)/100))),0,(IF(B584=C584,X584/C584,(INT(X584/B584)+(((X584-B584*INT(X584/B584)))/C584)/100))))</f>
        <v>0</v>
      </c>
      <c r="BJ584" s="57">
        <f>IF(ISERROR(IF(B584=C584,Y584/C584,(INT(Y584/B584)+(((Y584-B584*INT(Y584/B584)))/C584)/100))),0,(IF(B584=C584,Y584/C584,(INT(Y584/B584)+(((Y584-B584*INT(Y584/B584)))/C584)/100))))</f>
        <v>0</v>
      </c>
      <c r="BL584" s="57">
        <f>IF(ISERROR(IF(B584=C584,AA584/C584,(INT(AA584/B584)+(((AA584-B584*INT(AA584/B584)))/C584)/100))),0,(IF(B584=C584,AA584/C584,(INT(AA584/B584)+(((AA584-B584*INT(AA584/B584)))/C584)/100))))</f>
        <v>0</v>
      </c>
      <c r="BM584" s="57">
        <f>IF(ISERROR(IF(B584=C584,AB584/C584,(INT(AB584/B584)+(((AB584-B584*INT(AB584/B584)))/C584)/100))),0,(IF(B584=C584,AB584/C584,(INT(AB584/B584)+(((AB584-B584*INT(AB584/B584)))/C584)/100))))</f>
        <v>0</v>
      </c>
      <c r="BN584" s="57">
        <f>IF(ISERROR(IF(B584=C584,AC584/C584,(INT(AC584/B584)+(((AC584-B584*INT(AC584/B584)))/C584)/100))),0,(IF(B584=C584,AC584/C584,(INT(AC584/B584)+(((AC584-B584*INT(AC584/B584)))/C584)/100))))</f>
        <v>0</v>
      </c>
      <c r="BO584" s="57">
        <f>IF(ISERROR(IF(B584=C584,AD584/C584,(INT(AD584/B584)+(((AD584-B584*INT(AD584/B584)))/C584)/100))),0,(IF(B584=C584,AD584/C584,(INT(AD584/B584)+(((AD584-B584*INT(AD584/B584)))/C584)/100))))</f>
        <v>0</v>
      </c>
      <c r="BQ584" s="155"/>
    </row>
    <row r="585" spans="1:69" hidden="1" x14ac:dyDescent="0.35">
      <c r="A585" s="94"/>
      <c r="B585" s="113">
        <v>0</v>
      </c>
      <c r="C585" s="113">
        <v>250</v>
      </c>
      <c r="D585" s="28">
        <f>SUM(AA585:AD585)</f>
        <v>0</v>
      </c>
      <c r="E585" s="113">
        <v>0</v>
      </c>
      <c r="F585" s="113">
        <v>0</v>
      </c>
      <c r="G585" s="28">
        <f>SUM(D585:F585)</f>
        <v>0</v>
      </c>
      <c r="H585" s="125">
        <v>0</v>
      </c>
      <c r="I585" s="113">
        <v>0</v>
      </c>
      <c r="J585" s="125">
        <v>0</v>
      </c>
      <c r="K585" s="113">
        <v>0</v>
      </c>
      <c r="L585" s="113">
        <v>0</v>
      </c>
      <c r="M585" s="113">
        <v>0</v>
      </c>
      <c r="N585" s="28">
        <f>G585-SUM(H585:M585)</f>
        <v>0</v>
      </c>
      <c r="O585" s="28">
        <f>SUM(V585:Y585)</f>
        <v>0</v>
      </c>
      <c r="P585" s="28">
        <f>O585-N585</f>
        <v>0</v>
      </c>
      <c r="Q585" s="61" t="str">
        <f>IF(ISERROR(P585/SUM(H585:L585)),"",P585/SUM(H585:L585))</f>
        <v/>
      </c>
      <c r="R585" s="113">
        <v>0</v>
      </c>
      <c r="S585" s="28">
        <f>IF(ISERROR(P585/C585*R585),0,(P585/C585*R585))</f>
        <v>0</v>
      </c>
      <c r="T585" s="60">
        <f>IF(ISERROR(P585/B585*AF585),0,(P585/B585*AF585))</f>
        <v>0</v>
      </c>
      <c r="V585" s="113">
        <v>0</v>
      </c>
      <c r="W585" s="113">
        <v>0</v>
      </c>
      <c r="X585" s="113">
        <v>0</v>
      </c>
      <c r="Y585" s="113">
        <v>0</v>
      </c>
      <c r="AA585" s="113">
        <v>0</v>
      </c>
      <c r="AB585" s="113">
        <v>0</v>
      </c>
      <c r="AC585" s="113">
        <v>0</v>
      </c>
      <c r="AD585" s="113">
        <v>0</v>
      </c>
      <c r="AF585" s="113">
        <v>0</v>
      </c>
      <c r="AG585" s="28">
        <f>G585-O585</f>
        <v>0</v>
      </c>
      <c r="AH585" s="58">
        <f>IF(ISERROR(AG585/B585*AF585),0,(AG585/B585*AF585))</f>
        <v>0</v>
      </c>
      <c r="AI585" s="28">
        <f>SUM(H585:M585)</f>
        <v>0</v>
      </c>
      <c r="AJ585" s="28">
        <f>IF(ISERROR(AI585/B585*AF585),0,(AI585/B585*AF585))</f>
        <v>0</v>
      </c>
      <c r="AK585" s="58">
        <f>IF(ISERROR(O585/B585*AF585),0,(O585/B585*AF585))</f>
        <v>0</v>
      </c>
      <c r="AL585" s="28">
        <f>IF(ISERROR(H585/B585*AF585),0,(H585/B585*AF585))</f>
        <v>0</v>
      </c>
      <c r="AN585" s="51">
        <f>A585</f>
        <v>0</v>
      </c>
      <c r="AO585" s="57">
        <f>IF(ISERROR(IF(B585=C585,D585/C585,(INT(D585/B585)+(((D585-B585*INT(D585/B585)))/C585)/100))),0,(IF(B585=C585,D585/C585,(INT(D585/B585)+(((D585-B585*INT(D585/B585)))/C585)/100))))</f>
        <v>0</v>
      </c>
      <c r="AP585" s="57">
        <f>IF(ISERROR(IF(B585=C585,E585/C585,(INT(E585/B585)+(((E585-B585*INT(E585/B585)))/C585)/100))),0,(IF(B585=C585,E585/C585,(INT(E585/B585)+(((E585-B585*INT(E585/B585)))/C585)/100))))</f>
        <v>0</v>
      </c>
      <c r="AQ585" s="57">
        <f>IF(ISERROR(IF(B585=C585,F585/C585,IF((INT(F585/B585)+(((F585-B585*INT(F585/B585)))/C585)/100)&lt;0,(INT(F585/B585)+(((F585-B585*INT(F585/B585)))/C585)/100)+(1-(B585/C585/100)),(INT(F585/B585)+(((F585-B585*INT(F585/B585)))/C585)/100)))),0,IF(B585=C585,F585/C585,IF((INT(F585/B585)+(((F585-B585*INT(F585/B585)))/C585)/100)&lt;0,(INT(F585/B585)+(((F585-B585*INT(F585/B585)))/C585)/100)+(1-(B585/C585/100)),(INT(F585/B585)+(((F585-B585*INT(F585/B585)))/C585)/100))))</f>
        <v>0</v>
      </c>
      <c r="AR585" s="57">
        <f>IF(ISERROR(IF(B585=C585,G585/C585,(INT(G585/B585)+(((G585-B585*INT(G585/B585)))/C585)/100))),0,(IF(B585=C585,G585/C585,(INT(G585/B585)+(((G585-B585*INT(G585/B585)))/C585)/100))))</f>
        <v>0</v>
      </c>
      <c r="AS585" s="57">
        <f>IF(ISERROR(IF(B585=C585,H585/C585,(INT(H585/B585)+(((H585-B585*INT(H585/B585)))/C585)/100))),0,(IF(B585=C585,H585/C585,(INT(H585/B585)+(((H585-B585*INT(H585/B585)))/C585)/100))))</f>
        <v>0</v>
      </c>
      <c r="AT585" s="57">
        <f>IF(ISERROR(IF(B585=C585,I585/C585,(INT(I585/B585)+(((I585-B585*INT(I585/B585)))/C585)/100))),0,(IF(B585=C585,I585/C585,(INT(I585/B585)+(((I585-B585*INT(I585/B585)))/C585)/100))))</f>
        <v>0</v>
      </c>
      <c r="AU585" s="57">
        <f>IF(ISERROR(IF(B585=C585,J585/C585,(INT(J585/B585)+(((J585-B585*INT(J585/B585)))/C585)/100))),0,(IF(B585=C585,J585/C585,(INT(J585/B585)+(((J585-B585*INT(J585/B585)))/C585)/100))))</f>
        <v>0</v>
      </c>
      <c r="AV585" s="57">
        <f>IF(ISERROR(IF(B585=C585,K585/C585,IF((INT(K585/B585)+(((K585-B585*INT(K585/B585)))/C585)/100)&lt;0,(INT(K585/B585)+(((K585-B585*INT(K585/B585)))/C585)/100)+(1-(B585/C585/100)),(INT(K585/B585)+(((K585-B585*INT(K585/B585)))/C585)/100)))),0,IF(B585=C585,K585/C585,IF((INT(K585/B585)+(((K585-B585*INT(K585/B585)))/C585)/100)&lt;0,(INT(K585/B585)+(((K585-B585*INT(K585/B585)))/C585)/100)+(1-(B585/C585/100)),(INT(K585/B585)+(((K585-B585*INT(K585/B585)))/C585)/100))))</f>
        <v>0</v>
      </c>
      <c r="AW585" s="57">
        <f>IF(ISERROR(IF(B585=C585,L585/C585,(INT(L585/B585)+(((L585-B585*INT(L585/B585)))/C585)/100))),0,(IF(B585=C585,L585/C585,(INT(L585/B585)+(((L585-B585*INT(L585/B585)))/C585)/100))))</f>
        <v>0</v>
      </c>
      <c r="AX585" s="57">
        <f>IF(ISERROR(IF(B585=C585,M585/C585,(INT(M585/B585)+(((M585-B585*INT(M585/B585)))/C585)/100))),0,(IF(B585=C585,M585/C585,(INT(M585/B585)+(((M585-B585*INT(M585/B585)))/C585)/100))))</f>
        <v>0</v>
      </c>
      <c r="AY585" s="57">
        <f>IF(ISERROR(IF(B585=C585,N585/C585,IF((INT(N585/B585)+(((N585-B585*INT(N585/B585)))/C585)/100)&lt;0,(INT(N585/B585)+(((N585-B585*INT(N585/B585)))/C585)/100)+(1-(B585/C585/100)),(INT(N585/B585)+(((N585-B585*INT(N585/B585)))/C585)/100)))),0,IF(B585=C585,N585/C585,IF((INT(N585/B585)+(((N585-B585*INT(N585/B585)))/C585)/100)&lt;0,(INT(N585/B585)+(((N585-B585*INT(N585/B585)))/C585)/100)+(1-(B585/C585/100)),(INT(N585/B585)+(((N585-B585*INT(N585/B585)))/C585)/100))))</f>
        <v>0</v>
      </c>
      <c r="AZ585" s="57">
        <f>IF(ISERROR(IF(B585=C585,O585/C585,(INT(O585/B585)+(((O585-B585*INT(O585/B585)))/C585)/100))),0,(IF(B585=C585,O585/C585,(INT(O585/B585)+(((O585-B585*INT(O585/B585)))/C585)/100))))</f>
        <v>0</v>
      </c>
      <c r="BA585" s="57">
        <f>IF(ISERROR(IF(B585=C585,P585/C585,IF((INT(P585/B585)+(((P585-B585*INT(P585/B585)))/C585)/100)&lt;0,(INT(P585/B585)+(((P585-B585*INT(P585/B585)))/C585)/100)+(1-(B585/C585/100)),(INT(P585/B585)+(((P585-B585*INT(P585/B585)))/C585)/100)))),0,IF(B585=C585,P585/C585,IF((INT(P585/B585)+(((P585-B585*INT(P585/B585)))/C585)/100)&lt;0,(INT(P585/B585)+(((P585-B585*INT(P585/B585)))/C585)/100)+(1-(B585/C585/100)),(INT(P585/B585)+(((P585-B585*INT(P585/B585)))/C585)/100))))</f>
        <v>0</v>
      </c>
      <c r="BB585" s="28">
        <f>R585</f>
        <v>0</v>
      </c>
      <c r="BC585" s="28">
        <f>S585</f>
        <v>0</v>
      </c>
      <c r="BD585" s="28">
        <f>AF585</f>
        <v>0</v>
      </c>
      <c r="BE585" s="28">
        <f>T585</f>
        <v>0</v>
      </c>
      <c r="BG585" s="57">
        <f>IF(ISERROR(IF(B585=C585,V585/C585,(INT(V585/B585)+(((V585-B585*INT(V585/B585)))/C585)/100))),0,(IF(B585=C585,V585/C585,(INT(V585/B585)+(((V585-B585*INT(V585/B585)))/C585)/100))))</f>
        <v>0</v>
      </c>
      <c r="BH585" s="57">
        <f>IF(ISERROR(IF(B585=C585,W585/C585,(INT(W585/B585)+(((W585-B585*INT(W585/B585)))/C585)/100))),0,(IF(B585=C585,W585/C585,(INT(W585/B585)+(((W585-B585*INT(W585/B585)))/C585)/100))))</f>
        <v>0</v>
      </c>
      <c r="BI585" s="57">
        <f>IF(ISERROR(IF(B585=C585,X585/C585,(INT(X585/B585)+(((X585-B585*INT(X585/B585)))/C585)/100))),0,(IF(B585=C585,X585/C585,(INT(X585/B585)+(((X585-B585*INT(X585/B585)))/C585)/100))))</f>
        <v>0</v>
      </c>
      <c r="BJ585" s="57">
        <f>IF(ISERROR(IF(B585=C585,Y585/C585,(INT(Y585/B585)+(((Y585-B585*INT(Y585/B585)))/C585)/100))),0,(IF(B585=C585,Y585/C585,(INT(Y585/B585)+(((Y585-B585*INT(Y585/B585)))/C585)/100))))</f>
        <v>0</v>
      </c>
      <c r="BL585" s="57">
        <f>IF(ISERROR(IF(B585=C585,AA585/C585,(INT(AA585/B585)+(((AA585-B585*INT(AA585/B585)))/C585)/100))),0,(IF(B585=C585,AA585/C585,(INT(AA585/B585)+(((AA585-B585*INT(AA585/B585)))/C585)/100))))</f>
        <v>0</v>
      </c>
      <c r="BM585" s="57">
        <f>IF(ISERROR(IF(B585=C585,AB585/C585,(INT(AB585/B585)+(((AB585-B585*INT(AB585/B585)))/C585)/100))),0,(IF(B585=C585,AB585/C585,(INT(AB585/B585)+(((AB585-B585*INT(AB585/B585)))/C585)/100))))</f>
        <v>0</v>
      </c>
      <c r="BN585" s="57">
        <f>IF(ISERROR(IF(B585=C585,AC585/C585,(INT(AC585/B585)+(((AC585-B585*INT(AC585/B585)))/C585)/100))),0,(IF(B585=C585,AC585/C585,(INT(AC585/B585)+(((AC585-B585*INT(AC585/B585)))/C585)/100))))</f>
        <v>0</v>
      </c>
      <c r="BO585" s="57">
        <f>IF(ISERROR(IF(B585=C585,AD585/C585,(INT(AD585/B585)+(((AD585-B585*INT(AD585/B585)))/C585)/100))),0,(IF(B585=C585,AD585/C585,(INT(AD585/B585)+(((AD585-B585*INT(AD585/B585)))/C585)/100))))</f>
        <v>0</v>
      </c>
      <c r="BQ585" s="155"/>
    </row>
    <row r="586" spans="1:69" hidden="1" x14ac:dyDescent="0.35">
      <c r="A586" s="94"/>
      <c r="B586" s="113">
        <v>0</v>
      </c>
      <c r="C586" s="113">
        <v>250</v>
      </c>
      <c r="D586" s="28">
        <f>SUM(AA586:AD586)</f>
        <v>0</v>
      </c>
      <c r="E586" s="113">
        <v>0</v>
      </c>
      <c r="F586" s="113">
        <v>0</v>
      </c>
      <c r="G586" s="28">
        <f>SUM(D586:F586)</f>
        <v>0</v>
      </c>
      <c r="H586" s="125">
        <v>0</v>
      </c>
      <c r="I586" s="113">
        <v>0</v>
      </c>
      <c r="J586" s="125">
        <v>0</v>
      </c>
      <c r="K586" s="113">
        <v>0</v>
      </c>
      <c r="L586" s="113">
        <v>0</v>
      </c>
      <c r="M586" s="113">
        <v>0</v>
      </c>
      <c r="N586" s="28">
        <f>G586-SUM(H586:M586)</f>
        <v>0</v>
      </c>
      <c r="O586" s="28">
        <f>SUM(V586:Y586)</f>
        <v>0</v>
      </c>
      <c r="P586" s="28">
        <f>O586-N586</f>
        <v>0</v>
      </c>
      <c r="Q586" s="61" t="str">
        <f>IF(ISERROR(P586/SUM(H586:L586)),"",P586/SUM(H586:L586))</f>
        <v/>
      </c>
      <c r="R586" s="113">
        <v>0</v>
      </c>
      <c r="S586" s="28">
        <f>IF(ISERROR(P586/C586*R586),0,(P586/C586*R586))</f>
        <v>0</v>
      </c>
      <c r="T586" s="60">
        <f>IF(ISERROR(P586/B586*AF586),0,(P586/B586*AF586))</f>
        <v>0</v>
      </c>
      <c r="V586" s="113">
        <v>0</v>
      </c>
      <c r="W586" s="113">
        <v>0</v>
      </c>
      <c r="X586" s="113">
        <v>0</v>
      </c>
      <c r="Y586" s="113">
        <v>0</v>
      </c>
      <c r="AA586" s="113">
        <v>0</v>
      </c>
      <c r="AB586" s="113">
        <v>0</v>
      </c>
      <c r="AC586" s="113">
        <v>0</v>
      </c>
      <c r="AD586" s="113">
        <v>0</v>
      </c>
      <c r="AF586" s="113">
        <v>0</v>
      </c>
      <c r="AG586" s="28">
        <f>G586-O586</f>
        <v>0</v>
      </c>
      <c r="AH586" s="58">
        <f>IF(ISERROR(AG586/B586*AF586),0,(AG586/B586*AF586))</f>
        <v>0</v>
      </c>
      <c r="AI586" s="28">
        <f>SUM(H586:M586)</f>
        <v>0</v>
      </c>
      <c r="AJ586" s="28">
        <f>IF(ISERROR(AI586/B586*AF586),0,(AI586/B586*AF586))</f>
        <v>0</v>
      </c>
      <c r="AK586" s="58">
        <f>IF(ISERROR(O586/B586*AF586),0,(O586/B586*AF586))</f>
        <v>0</v>
      </c>
      <c r="AL586" s="28">
        <f>IF(ISERROR(H586/B586*AF586),0,(H586/B586*AF586))</f>
        <v>0</v>
      </c>
      <c r="AN586" s="51">
        <f>A586</f>
        <v>0</v>
      </c>
      <c r="AO586" s="57">
        <f>IF(ISERROR(IF(B586=C586,D586/C586,(INT(D586/B586)+(((D586-B586*INT(D586/B586)))/C586)/100))),0,(IF(B586=C586,D586/C586,(INT(D586/B586)+(((D586-B586*INT(D586/B586)))/C586)/100))))</f>
        <v>0</v>
      </c>
      <c r="AP586" s="57">
        <f>IF(ISERROR(IF(B586=C586,E586/C586,(INT(E586/B586)+(((E586-B586*INT(E586/B586)))/C586)/100))),0,(IF(B586=C586,E586/C586,(INT(E586/B586)+(((E586-B586*INT(E586/B586)))/C586)/100))))</f>
        <v>0</v>
      </c>
      <c r="AQ586" s="57">
        <f>IF(ISERROR(IF(B586=C586,F586/C586,IF((INT(F586/B586)+(((F586-B586*INT(F586/B586)))/C586)/100)&lt;0,(INT(F586/B586)+(((F586-B586*INT(F586/B586)))/C586)/100)+(1-(B586/C586/100)),(INT(F586/B586)+(((F586-B586*INT(F586/B586)))/C586)/100)))),0,IF(B586=C586,F586/C586,IF((INT(F586/B586)+(((F586-B586*INT(F586/B586)))/C586)/100)&lt;0,(INT(F586/B586)+(((F586-B586*INT(F586/B586)))/C586)/100)+(1-(B586/C586/100)),(INT(F586/B586)+(((F586-B586*INT(F586/B586)))/C586)/100))))</f>
        <v>0</v>
      </c>
      <c r="AR586" s="57">
        <f>IF(ISERROR(IF(B586=C586,G586/C586,(INT(G586/B586)+(((G586-B586*INT(G586/B586)))/C586)/100))),0,(IF(B586=C586,G586/C586,(INT(G586/B586)+(((G586-B586*INT(G586/B586)))/C586)/100))))</f>
        <v>0</v>
      </c>
      <c r="AS586" s="57">
        <f>IF(ISERROR(IF(B586=C586,H586/C586,(INT(H586/B586)+(((H586-B586*INT(H586/B586)))/C586)/100))),0,(IF(B586=C586,H586/C586,(INT(H586/B586)+(((H586-B586*INT(H586/B586)))/C586)/100))))</f>
        <v>0</v>
      </c>
      <c r="AT586" s="57">
        <f>IF(ISERROR(IF(B586=C586,I586/C586,(INT(I586/B586)+(((I586-B586*INT(I586/B586)))/C586)/100))),0,(IF(B586=C586,I586/C586,(INT(I586/B586)+(((I586-B586*INT(I586/B586)))/C586)/100))))</f>
        <v>0</v>
      </c>
      <c r="AU586" s="57">
        <f>IF(ISERROR(IF(B586=C586,J586/C586,(INT(J586/B586)+(((J586-B586*INT(J586/B586)))/C586)/100))),0,(IF(B586=C586,J586/C586,(INT(J586/B586)+(((J586-B586*INT(J586/B586)))/C586)/100))))</f>
        <v>0</v>
      </c>
      <c r="AV586" s="57">
        <f>IF(ISERROR(IF(B586=C586,K586/C586,IF((INT(K586/B586)+(((K586-B586*INT(K586/B586)))/C586)/100)&lt;0,(INT(K586/B586)+(((K586-B586*INT(K586/B586)))/C586)/100)+(1-(B586/C586/100)),(INT(K586/B586)+(((K586-B586*INT(K586/B586)))/C586)/100)))),0,IF(B586=C586,K586/C586,IF((INT(K586/B586)+(((K586-B586*INT(K586/B586)))/C586)/100)&lt;0,(INT(K586/B586)+(((K586-B586*INT(K586/B586)))/C586)/100)+(1-(B586/C586/100)),(INT(K586/B586)+(((K586-B586*INT(K586/B586)))/C586)/100))))</f>
        <v>0</v>
      </c>
      <c r="AW586" s="57">
        <f>IF(ISERROR(IF(B586=C586,L586/C586,(INT(L586/B586)+(((L586-B586*INT(L586/B586)))/C586)/100))),0,(IF(B586=C586,L586/C586,(INT(L586/B586)+(((L586-B586*INT(L586/B586)))/C586)/100))))</f>
        <v>0</v>
      </c>
      <c r="AX586" s="57">
        <f>IF(ISERROR(IF(B586=C586,M586/C586,(INT(M586/B586)+(((M586-B586*INT(M586/B586)))/C586)/100))),0,(IF(B586=C586,M586/C586,(INT(M586/B586)+(((M586-B586*INT(M586/B586)))/C586)/100))))</f>
        <v>0</v>
      </c>
      <c r="AY586" s="57">
        <f>IF(ISERROR(IF(B586=C586,N586/C586,IF((INT(N586/B586)+(((N586-B586*INT(N586/B586)))/C586)/100)&lt;0,(INT(N586/B586)+(((N586-B586*INT(N586/B586)))/C586)/100)+(1-(B586/C586/100)),(INT(N586/B586)+(((N586-B586*INT(N586/B586)))/C586)/100)))),0,IF(B586=C586,N586/C586,IF((INT(N586/B586)+(((N586-B586*INT(N586/B586)))/C586)/100)&lt;0,(INT(N586/B586)+(((N586-B586*INT(N586/B586)))/C586)/100)+(1-(B586/C586/100)),(INT(N586/B586)+(((N586-B586*INT(N586/B586)))/C586)/100))))</f>
        <v>0</v>
      </c>
      <c r="AZ586" s="57">
        <f>IF(ISERROR(IF(B586=C586,O586/C586,(INT(O586/B586)+(((O586-B586*INT(O586/B586)))/C586)/100))),0,(IF(B586=C586,O586/C586,(INT(O586/B586)+(((O586-B586*INT(O586/B586)))/C586)/100))))</f>
        <v>0</v>
      </c>
      <c r="BA586" s="57">
        <f>IF(ISERROR(IF(B586=C586,P586/C586,IF((INT(P586/B586)+(((P586-B586*INT(P586/B586)))/C586)/100)&lt;0,(INT(P586/B586)+(((P586-B586*INT(P586/B586)))/C586)/100)+(1-(B586/C586/100)),(INT(P586/B586)+(((P586-B586*INT(P586/B586)))/C586)/100)))),0,IF(B586=C586,P586/C586,IF((INT(P586/B586)+(((P586-B586*INT(P586/B586)))/C586)/100)&lt;0,(INT(P586/B586)+(((P586-B586*INT(P586/B586)))/C586)/100)+(1-(B586/C586/100)),(INT(P586/B586)+(((P586-B586*INT(P586/B586)))/C586)/100))))</f>
        <v>0</v>
      </c>
      <c r="BB586" s="28">
        <f>R586</f>
        <v>0</v>
      </c>
      <c r="BC586" s="28">
        <f>S586</f>
        <v>0</v>
      </c>
      <c r="BD586" s="28">
        <f>AF586</f>
        <v>0</v>
      </c>
      <c r="BE586" s="28">
        <f>T586</f>
        <v>0</v>
      </c>
      <c r="BG586" s="57">
        <f>IF(ISERROR(IF(B586=C586,V586/C586,(INT(V586/B586)+(((V586-B586*INT(V586/B586)))/C586)/100))),0,(IF(B586=C586,V586/C586,(INT(V586/B586)+(((V586-B586*INT(V586/B586)))/C586)/100))))</f>
        <v>0</v>
      </c>
      <c r="BH586" s="57">
        <f>IF(ISERROR(IF(B586=C586,W586/C586,(INT(W586/B586)+(((W586-B586*INT(W586/B586)))/C586)/100))),0,(IF(B586=C586,W586/C586,(INT(W586/B586)+(((W586-B586*INT(W586/B586)))/C586)/100))))</f>
        <v>0</v>
      </c>
      <c r="BI586" s="57">
        <f>IF(ISERROR(IF(B586=C586,X586/C586,(INT(X586/B586)+(((X586-B586*INT(X586/B586)))/C586)/100))),0,(IF(B586=C586,X586/C586,(INT(X586/B586)+(((X586-B586*INT(X586/B586)))/C586)/100))))</f>
        <v>0</v>
      </c>
      <c r="BJ586" s="57">
        <f>IF(ISERROR(IF(B586=C586,Y586/C586,(INT(Y586/B586)+(((Y586-B586*INT(Y586/B586)))/C586)/100))),0,(IF(B586=C586,Y586/C586,(INT(Y586/B586)+(((Y586-B586*INT(Y586/B586)))/C586)/100))))</f>
        <v>0</v>
      </c>
      <c r="BL586" s="57">
        <f>IF(ISERROR(IF(B586=C586,AA586/C586,(INT(AA586/B586)+(((AA586-B586*INT(AA586/B586)))/C586)/100))),0,(IF(B586=C586,AA586/C586,(INT(AA586/B586)+(((AA586-B586*INT(AA586/B586)))/C586)/100))))</f>
        <v>0</v>
      </c>
      <c r="BM586" s="57">
        <f>IF(ISERROR(IF(B586=C586,AB586/C586,(INT(AB586/B586)+(((AB586-B586*INT(AB586/B586)))/C586)/100))),0,(IF(B586=C586,AB586/C586,(INT(AB586/B586)+(((AB586-B586*INT(AB586/B586)))/C586)/100))))</f>
        <v>0</v>
      </c>
      <c r="BN586" s="57">
        <f>IF(ISERROR(IF(B586=C586,AC586/C586,(INT(AC586/B586)+(((AC586-B586*INT(AC586/B586)))/C586)/100))),0,(IF(B586=C586,AC586/C586,(INT(AC586/B586)+(((AC586-B586*INT(AC586/B586)))/C586)/100))))</f>
        <v>0</v>
      </c>
      <c r="BO586" s="57">
        <f>IF(ISERROR(IF(B586=C586,AD586/C586,(INT(AD586/B586)+(((AD586-B586*INT(AD586/B586)))/C586)/100))),0,(IF(B586=C586,AD586/C586,(INT(AD586/B586)+(((AD586-B586*INT(AD586/B586)))/C586)/100))))</f>
        <v>0</v>
      </c>
      <c r="BQ586" s="155"/>
    </row>
    <row r="587" spans="1:69" hidden="1" x14ac:dyDescent="0.35">
      <c r="A587" s="94"/>
      <c r="B587" s="113">
        <v>0</v>
      </c>
      <c r="C587" s="113">
        <v>250</v>
      </c>
      <c r="D587" s="28">
        <f>SUM(AA587:AD587)</f>
        <v>0</v>
      </c>
      <c r="E587" s="113">
        <v>0</v>
      </c>
      <c r="F587" s="113">
        <v>0</v>
      </c>
      <c r="G587" s="28">
        <f>SUM(D587:F587)</f>
        <v>0</v>
      </c>
      <c r="H587" s="125">
        <v>0</v>
      </c>
      <c r="I587" s="113">
        <v>0</v>
      </c>
      <c r="J587" s="125">
        <v>0</v>
      </c>
      <c r="K587" s="113">
        <v>0</v>
      </c>
      <c r="L587" s="113">
        <v>0</v>
      </c>
      <c r="M587" s="113">
        <v>0</v>
      </c>
      <c r="N587" s="28">
        <f>G587-SUM(H587:M587)</f>
        <v>0</v>
      </c>
      <c r="O587" s="28">
        <f>SUM(V587:Y587)</f>
        <v>0</v>
      </c>
      <c r="P587" s="28">
        <f>O587-N587</f>
        <v>0</v>
      </c>
      <c r="Q587" s="61" t="str">
        <f>IF(ISERROR(P587/SUM(H587:L587)),"",P587/SUM(H587:L587))</f>
        <v/>
      </c>
      <c r="R587" s="113">
        <v>0</v>
      </c>
      <c r="S587" s="28">
        <f>IF(ISERROR(P587/C587*R587),0,(P587/C587*R587))</f>
        <v>0</v>
      </c>
      <c r="T587" s="60">
        <f>IF(ISERROR(P587/B587*AF587),0,(P587/B587*AF587))</f>
        <v>0</v>
      </c>
      <c r="V587" s="113">
        <v>0</v>
      </c>
      <c r="W587" s="113">
        <v>0</v>
      </c>
      <c r="X587" s="113">
        <v>0</v>
      </c>
      <c r="Y587" s="113">
        <v>0</v>
      </c>
      <c r="AA587" s="113">
        <v>0</v>
      </c>
      <c r="AB587" s="113">
        <v>0</v>
      </c>
      <c r="AC587" s="113">
        <v>0</v>
      </c>
      <c r="AD587" s="113">
        <v>0</v>
      </c>
      <c r="AF587" s="113">
        <v>0</v>
      </c>
      <c r="AG587" s="28">
        <f>G587-O587</f>
        <v>0</v>
      </c>
      <c r="AH587" s="58">
        <f>IF(ISERROR(AG587/B587*AF587),0,(AG587/B587*AF587))</f>
        <v>0</v>
      </c>
      <c r="AI587" s="28">
        <f>SUM(H587:M587)</f>
        <v>0</v>
      </c>
      <c r="AJ587" s="28">
        <f>IF(ISERROR(AI587/B587*AF587),0,(AI587/B587*AF587))</f>
        <v>0</v>
      </c>
      <c r="AK587" s="58">
        <f>IF(ISERROR(O587/B587*AF587),0,(O587/B587*AF587))</f>
        <v>0</v>
      </c>
      <c r="AL587" s="28">
        <f>IF(ISERROR(H587/B587*AF587),0,(H587/B587*AF587))</f>
        <v>0</v>
      </c>
      <c r="AN587" s="51">
        <f>A587</f>
        <v>0</v>
      </c>
      <c r="AO587" s="57">
        <f>IF(ISERROR(IF(B587=C587,D587/C587,(INT(D587/B587)+(((D587-B587*INT(D587/B587)))/C587)/100))),0,(IF(B587=C587,D587/C587,(INT(D587/B587)+(((D587-B587*INT(D587/B587)))/C587)/100))))</f>
        <v>0</v>
      </c>
      <c r="AP587" s="57">
        <f>IF(ISERROR(IF(B587=C587,E587/C587,(INT(E587/B587)+(((E587-B587*INT(E587/B587)))/C587)/100))),0,(IF(B587=C587,E587/C587,(INT(E587/B587)+(((E587-B587*INT(E587/B587)))/C587)/100))))</f>
        <v>0</v>
      </c>
      <c r="AQ587" s="57">
        <f>IF(ISERROR(IF(B587=C587,F587/C587,IF((INT(F587/B587)+(((F587-B587*INT(F587/B587)))/C587)/100)&lt;0,(INT(F587/B587)+(((F587-B587*INT(F587/B587)))/C587)/100)+(1-(B587/C587/100)),(INT(F587/B587)+(((F587-B587*INT(F587/B587)))/C587)/100)))),0,IF(B587=C587,F587/C587,IF((INT(F587/B587)+(((F587-B587*INT(F587/B587)))/C587)/100)&lt;0,(INT(F587/B587)+(((F587-B587*INT(F587/B587)))/C587)/100)+(1-(B587/C587/100)),(INT(F587/B587)+(((F587-B587*INT(F587/B587)))/C587)/100))))</f>
        <v>0</v>
      </c>
      <c r="AR587" s="57">
        <f>IF(ISERROR(IF(B587=C587,G587/C587,(INT(G587/B587)+(((G587-B587*INT(G587/B587)))/C587)/100))),0,(IF(B587=C587,G587/C587,(INT(G587/B587)+(((G587-B587*INT(G587/B587)))/C587)/100))))</f>
        <v>0</v>
      </c>
      <c r="AS587" s="57">
        <f>IF(ISERROR(IF(B587=C587,H587/C587,(INT(H587/B587)+(((H587-B587*INT(H587/B587)))/C587)/100))),0,(IF(B587=C587,H587/C587,(INT(H587/B587)+(((H587-B587*INT(H587/B587)))/C587)/100))))</f>
        <v>0</v>
      </c>
      <c r="AT587" s="57">
        <f>IF(ISERROR(IF(B587=C587,I587/C587,(INT(I587/B587)+(((I587-B587*INT(I587/B587)))/C587)/100))),0,(IF(B587=C587,I587/C587,(INT(I587/B587)+(((I587-B587*INT(I587/B587)))/C587)/100))))</f>
        <v>0</v>
      </c>
      <c r="AU587" s="57">
        <f>IF(ISERROR(IF(B587=C587,J587/C587,(INT(J587/B587)+(((J587-B587*INT(J587/B587)))/C587)/100))),0,(IF(B587=C587,J587/C587,(INT(J587/B587)+(((J587-B587*INT(J587/B587)))/C587)/100))))</f>
        <v>0</v>
      </c>
      <c r="AV587" s="57">
        <f>IF(ISERROR(IF(B587=C587,K587/C587,IF((INT(K587/B587)+(((K587-B587*INT(K587/B587)))/C587)/100)&lt;0,(INT(K587/B587)+(((K587-B587*INT(K587/B587)))/C587)/100)+(1-(B587/C587/100)),(INT(K587/B587)+(((K587-B587*INT(K587/B587)))/C587)/100)))),0,IF(B587=C587,K587/C587,IF((INT(K587/B587)+(((K587-B587*INT(K587/B587)))/C587)/100)&lt;0,(INT(K587/B587)+(((K587-B587*INT(K587/B587)))/C587)/100)+(1-(B587/C587/100)),(INT(K587/B587)+(((K587-B587*INT(K587/B587)))/C587)/100))))</f>
        <v>0</v>
      </c>
      <c r="AW587" s="57">
        <f>IF(ISERROR(IF(B587=C587,L587/C587,(INT(L587/B587)+(((L587-B587*INT(L587/B587)))/C587)/100))),0,(IF(B587=C587,L587/C587,(INT(L587/B587)+(((L587-B587*INT(L587/B587)))/C587)/100))))</f>
        <v>0</v>
      </c>
      <c r="AX587" s="57">
        <f>IF(ISERROR(IF(B587=C587,M587/C587,(INT(M587/B587)+(((M587-B587*INT(M587/B587)))/C587)/100))),0,(IF(B587=C587,M587/C587,(INT(M587/B587)+(((M587-B587*INT(M587/B587)))/C587)/100))))</f>
        <v>0</v>
      </c>
      <c r="AY587" s="57">
        <f>IF(ISERROR(IF(B587=C587,N587/C587,IF((INT(N587/B587)+(((N587-B587*INT(N587/B587)))/C587)/100)&lt;0,(INT(N587/B587)+(((N587-B587*INT(N587/B587)))/C587)/100)+(1-(B587/C587/100)),(INT(N587/B587)+(((N587-B587*INT(N587/B587)))/C587)/100)))),0,IF(B587=C587,N587/C587,IF((INT(N587/B587)+(((N587-B587*INT(N587/B587)))/C587)/100)&lt;0,(INT(N587/B587)+(((N587-B587*INT(N587/B587)))/C587)/100)+(1-(B587/C587/100)),(INT(N587/B587)+(((N587-B587*INT(N587/B587)))/C587)/100))))</f>
        <v>0</v>
      </c>
      <c r="AZ587" s="57">
        <f>IF(ISERROR(IF(B587=C587,O587/C587,(INT(O587/B587)+(((O587-B587*INT(O587/B587)))/C587)/100))),0,(IF(B587=C587,O587/C587,(INT(O587/B587)+(((O587-B587*INT(O587/B587)))/C587)/100))))</f>
        <v>0</v>
      </c>
      <c r="BA587" s="57">
        <f>IF(ISERROR(IF(B587=C587,P587/C587,IF((INT(P587/B587)+(((P587-B587*INT(P587/B587)))/C587)/100)&lt;0,(INT(P587/B587)+(((P587-B587*INT(P587/B587)))/C587)/100)+(1-(B587/C587/100)),(INT(P587/B587)+(((P587-B587*INT(P587/B587)))/C587)/100)))),0,IF(B587=C587,P587/C587,IF((INT(P587/B587)+(((P587-B587*INT(P587/B587)))/C587)/100)&lt;0,(INT(P587/B587)+(((P587-B587*INT(P587/B587)))/C587)/100)+(1-(B587/C587/100)),(INT(P587/B587)+(((P587-B587*INT(P587/B587)))/C587)/100))))</f>
        <v>0</v>
      </c>
      <c r="BB587" s="28">
        <f>R587</f>
        <v>0</v>
      </c>
      <c r="BC587" s="28">
        <f>S587</f>
        <v>0</v>
      </c>
      <c r="BD587" s="28">
        <f>AF587</f>
        <v>0</v>
      </c>
      <c r="BE587" s="28">
        <f>T587</f>
        <v>0</v>
      </c>
      <c r="BG587" s="57">
        <f>IF(ISERROR(IF(B587=C587,V587/C587,(INT(V587/B587)+(((V587-B587*INT(V587/B587)))/C587)/100))),0,(IF(B587=C587,V587/C587,(INT(V587/B587)+(((V587-B587*INT(V587/B587)))/C587)/100))))</f>
        <v>0</v>
      </c>
      <c r="BH587" s="57">
        <f>IF(ISERROR(IF(B587=C587,W587/C587,(INT(W587/B587)+(((W587-B587*INT(W587/B587)))/C587)/100))),0,(IF(B587=C587,W587/C587,(INT(W587/B587)+(((W587-B587*INT(W587/B587)))/C587)/100))))</f>
        <v>0</v>
      </c>
      <c r="BI587" s="57">
        <f>IF(ISERROR(IF(B587=C587,X587/C587,(INT(X587/B587)+(((X587-B587*INT(X587/B587)))/C587)/100))),0,(IF(B587=C587,X587/C587,(INT(X587/B587)+(((X587-B587*INT(X587/B587)))/C587)/100))))</f>
        <v>0</v>
      </c>
      <c r="BJ587" s="57">
        <f>IF(ISERROR(IF(B587=C587,Y587/C587,(INT(Y587/B587)+(((Y587-B587*INT(Y587/B587)))/C587)/100))),0,(IF(B587=C587,Y587/C587,(INT(Y587/B587)+(((Y587-B587*INT(Y587/B587)))/C587)/100))))</f>
        <v>0</v>
      </c>
      <c r="BL587" s="57">
        <f>IF(ISERROR(IF(B587=C587,AA587/C587,(INT(AA587/B587)+(((AA587-B587*INT(AA587/B587)))/C587)/100))),0,(IF(B587=C587,AA587/C587,(INT(AA587/B587)+(((AA587-B587*INT(AA587/B587)))/C587)/100))))</f>
        <v>0</v>
      </c>
      <c r="BM587" s="57">
        <f>IF(ISERROR(IF(B587=C587,AB587/C587,(INT(AB587/B587)+(((AB587-B587*INT(AB587/B587)))/C587)/100))),0,(IF(B587=C587,AB587/C587,(INT(AB587/B587)+(((AB587-B587*INT(AB587/B587)))/C587)/100))))</f>
        <v>0</v>
      </c>
      <c r="BN587" s="57">
        <f>IF(ISERROR(IF(B587=C587,AC587/C587,(INT(AC587/B587)+(((AC587-B587*INT(AC587/B587)))/C587)/100))),0,(IF(B587=C587,AC587/C587,(INT(AC587/B587)+(((AC587-B587*INT(AC587/B587)))/C587)/100))))</f>
        <v>0</v>
      </c>
      <c r="BO587" s="57">
        <f>IF(ISERROR(IF(B587=C587,AD587/C587,(INT(AD587/B587)+(((AD587-B587*INT(AD587/B587)))/C587)/100))),0,(IF(B587=C587,AD587/C587,(INT(AD587/B587)+(((AD587-B587*INT(AD587/B587)))/C587)/100))))</f>
        <v>0</v>
      </c>
      <c r="BQ587" s="155"/>
    </row>
    <row r="588" spans="1:69" hidden="1" x14ac:dyDescent="0.35">
      <c r="A588" s="94"/>
      <c r="B588" s="113">
        <v>0</v>
      </c>
      <c r="C588" s="113">
        <v>250</v>
      </c>
      <c r="D588" s="28">
        <f>SUM(AA588:AD588)</f>
        <v>0</v>
      </c>
      <c r="E588" s="113">
        <v>0</v>
      </c>
      <c r="F588" s="113">
        <v>0</v>
      </c>
      <c r="G588" s="28">
        <f>SUM(D588:F588)</f>
        <v>0</v>
      </c>
      <c r="H588" s="125">
        <v>0</v>
      </c>
      <c r="I588" s="113">
        <v>0</v>
      </c>
      <c r="J588" s="125">
        <v>0</v>
      </c>
      <c r="K588" s="113">
        <v>0</v>
      </c>
      <c r="L588" s="113">
        <v>0</v>
      </c>
      <c r="M588" s="113">
        <v>0</v>
      </c>
      <c r="N588" s="28">
        <f>G588-SUM(H588:M588)</f>
        <v>0</v>
      </c>
      <c r="O588" s="28">
        <f>SUM(V588:Y588)</f>
        <v>0</v>
      </c>
      <c r="P588" s="28">
        <f>O588-N588</f>
        <v>0</v>
      </c>
      <c r="Q588" s="61" t="str">
        <f>IF(ISERROR(P588/SUM(H588:L588)),"",P588/SUM(H588:L588))</f>
        <v/>
      </c>
      <c r="R588" s="113">
        <v>0</v>
      </c>
      <c r="S588" s="28">
        <f>IF(ISERROR(P588/C588*R588),0,(P588/C588*R588))</f>
        <v>0</v>
      </c>
      <c r="T588" s="60">
        <f>IF(ISERROR(P588/B588*AF588),0,(P588/B588*AF588))</f>
        <v>0</v>
      </c>
      <c r="V588" s="113">
        <v>0</v>
      </c>
      <c r="W588" s="113">
        <v>0</v>
      </c>
      <c r="X588" s="113">
        <v>0</v>
      </c>
      <c r="Y588" s="113">
        <v>0</v>
      </c>
      <c r="AA588" s="113">
        <v>0</v>
      </c>
      <c r="AB588" s="113">
        <v>0</v>
      </c>
      <c r="AC588" s="113">
        <v>0</v>
      </c>
      <c r="AD588" s="113">
        <v>0</v>
      </c>
      <c r="AF588" s="113">
        <v>0</v>
      </c>
      <c r="AG588" s="28">
        <f>G588-O588</f>
        <v>0</v>
      </c>
      <c r="AH588" s="58">
        <f>IF(ISERROR(AG588/B588*AF588),0,(AG588/B588*AF588))</f>
        <v>0</v>
      </c>
      <c r="AI588" s="28">
        <f>SUM(H588:M588)</f>
        <v>0</v>
      </c>
      <c r="AJ588" s="28">
        <f>IF(ISERROR(AI588/B588*AF588),0,(AI588/B588*AF588))</f>
        <v>0</v>
      </c>
      <c r="AK588" s="58">
        <f>IF(ISERROR(O588/B588*AF588),0,(O588/B588*AF588))</f>
        <v>0</v>
      </c>
      <c r="AL588" s="28">
        <f>IF(ISERROR(H588/B588*AF588),0,(H588/B588*AF588))</f>
        <v>0</v>
      </c>
      <c r="AN588" s="51">
        <f>A588</f>
        <v>0</v>
      </c>
      <c r="AO588" s="57">
        <f>IF(ISERROR(IF(B588=C588,D588/C588,(INT(D588/B588)+(((D588-B588*INT(D588/B588)))/C588)/100))),0,(IF(B588=C588,D588/C588,(INT(D588/B588)+(((D588-B588*INT(D588/B588)))/C588)/100))))</f>
        <v>0</v>
      </c>
      <c r="AP588" s="57">
        <f>IF(ISERROR(IF(B588=C588,E588/C588,(INT(E588/B588)+(((E588-B588*INT(E588/B588)))/C588)/100))),0,(IF(B588=C588,E588/C588,(INT(E588/B588)+(((E588-B588*INT(E588/B588)))/C588)/100))))</f>
        <v>0</v>
      </c>
      <c r="AQ588" s="57">
        <f>IF(ISERROR(IF(B588=C588,F588/C588,IF((INT(F588/B588)+(((F588-B588*INT(F588/B588)))/C588)/100)&lt;0,(INT(F588/B588)+(((F588-B588*INT(F588/B588)))/C588)/100)+(1-(B588/C588/100)),(INT(F588/B588)+(((F588-B588*INT(F588/B588)))/C588)/100)))),0,IF(B588=C588,F588/C588,IF((INT(F588/B588)+(((F588-B588*INT(F588/B588)))/C588)/100)&lt;0,(INT(F588/B588)+(((F588-B588*INT(F588/B588)))/C588)/100)+(1-(B588/C588/100)),(INT(F588/B588)+(((F588-B588*INT(F588/B588)))/C588)/100))))</f>
        <v>0</v>
      </c>
      <c r="AR588" s="57">
        <f>IF(ISERROR(IF(B588=C588,G588/C588,(INT(G588/B588)+(((G588-B588*INT(G588/B588)))/C588)/100))),0,(IF(B588=C588,G588/C588,(INT(G588/B588)+(((G588-B588*INT(G588/B588)))/C588)/100))))</f>
        <v>0</v>
      </c>
      <c r="AS588" s="57">
        <f>IF(ISERROR(IF(B588=C588,H588/C588,(INT(H588/B588)+(((H588-B588*INT(H588/B588)))/C588)/100))),0,(IF(B588=C588,H588/C588,(INT(H588/B588)+(((H588-B588*INT(H588/B588)))/C588)/100))))</f>
        <v>0</v>
      </c>
      <c r="AT588" s="57">
        <f>IF(ISERROR(IF(B588=C588,I588/C588,(INT(I588/B588)+(((I588-B588*INT(I588/B588)))/C588)/100))),0,(IF(B588=C588,I588/C588,(INT(I588/B588)+(((I588-B588*INT(I588/B588)))/C588)/100))))</f>
        <v>0</v>
      </c>
      <c r="AU588" s="57">
        <f>IF(ISERROR(IF(B588=C588,J588/C588,(INT(J588/B588)+(((J588-B588*INT(J588/B588)))/C588)/100))),0,(IF(B588=C588,J588/C588,(INT(J588/B588)+(((J588-B588*INT(J588/B588)))/C588)/100))))</f>
        <v>0</v>
      </c>
      <c r="AV588" s="57">
        <f>IF(ISERROR(IF(B588=C588,K588/C588,IF((INT(K588/B588)+(((K588-B588*INT(K588/B588)))/C588)/100)&lt;0,(INT(K588/B588)+(((K588-B588*INT(K588/B588)))/C588)/100)+(1-(B588/C588/100)),(INT(K588/B588)+(((K588-B588*INT(K588/B588)))/C588)/100)))),0,IF(B588=C588,K588/C588,IF((INT(K588/B588)+(((K588-B588*INT(K588/B588)))/C588)/100)&lt;0,(INT(K588/B588)+(((K588-B588*INT(K588/B588)))/C588)/100)+(1-(B588/C588/100)),(INT(K588/B588)+(((K588-B588*INT(K588/B588)))/C588)/100))))</f>
        <v>0</v>
      </c>
      <c r="AW588" s="57">
        <f>IF(ISERROR(IF(B588=C588,L588/C588,(INT(L588/B588)+(((L588-B588*INT(L588/B588)))/C588)/100))),0,(IF(B588=C588,L588/C588,(INT(L588/B588)+(((L588-B588*INT(L588/B588)))/C588)/100))))</f>
        <v>0</v>
      </c>
      <c r="AX588" s="57">
        <f>IF(ISERROR(IF(B588=C588,M588/C588,(INT(M588/B588)+(((M588-B588*INT(M588/B588)))/C588)/100))),0,(IF(B588=C588,M588/C588,(INT(M588/B588)+(((M588-B588*INT(M588/B588)))/C588)/100))))</f>
        <v>0</v>
      </c>
      <c r="AY588" s="57">
        <f>IF(ISERROR(IF(B588=C588,N588/C588,IF((INT(N588/B588)+(((N588-B588*INT(N588/B588)))/C588)/100)&lt;0,(INT(N588/B588)+(((N588-B588*INT(N588/B588)))/C588)/100)+(1-(B588/C588/100)),(INT(N588/B588)+(((N588-B588*INT(N588/B588)))/C588)/100)))),0,IF(B588=C588,N588/C588,IF((INT(N588/B588)+(((N588-B588*INT(N588/B588)))/C588)/100)&lt;0,(INT(N588/B588)+(((N588-B588*INT(N588/B588)))/C588)/100)+(1-(B588/C588/100)),(INT(N588/B588)+(((N588-B588*INT(N588/B588)))/C588)/100))))</f>
        <v>0</v>
      </c>
      <c r="AZ588" s="57">
        <f>IF(ISERROR(IF(B588=C588,O588/C588,(INT(O588/B588)+(((O588-B588*INT(O588/B588)))/C588)/100))),0,(IF(B588=C588,O588/C588,(INT(O588/B588)+(((O588-B588*INT(O588/B588)))/C588)/100))))</f>
        <v>0</v>
      </c>
      <c r="BA588" s="57">
        <f>IF(ISERROR(IF(B588=C588,P588/C588,IF((INT(P588/B588)+(((P588-B588*INT(P588/B588)))/C588)/100)&lt;0,(INT(P588/B588)+(((P588-B588*INT(P588/B588)))/C588)/100)+(1-(B588/C588/100)),(INT(P588/B588)+(((P588-B588*INT(P588/B588)))/C588)/100)))),0,IF(B588=C588,P588/C588,IF((INT(P588/B588)+(((P588-B588*INT(P588/B588)))/C588)/100)&lt;0,(INT(P588/B588)+(((P588-B588*INT(P588/B588)))/C588)/100)+(1-(B588/C588/100)),(INT(P588/B588)+(((P588-B588*INT(P588/B588)))/C588)/100))))</f>
        <v>0</v>
      </c>
      <c r="BB588" s="28">
        <f>R588</f>
        <v>0</v>
      </c>
      <c r="BC588" s="28">
        <f>S588</f>
        <v>0</v>
      </c>
      <c r="BD588" s="28">
        <f>AF588</f>
        <v>0</v>
      </c>
      <c r="BE588" s="28">
        <f>T588</f>
        <v>0</v>
      </c>
      <c r="BG588" s="57">
        <f>IF(ISERROR(IF(B588=C588,V588/C588,(INT(V588/B588)+(((V588-B588*INT(V588/B588)))/C588)/100))),0,(IF(B588=C588,V588/C588,(INT(V588/B588)+(((V588-B588*INT(V588/B588)))/C588)/100))))</f>
        <v>0</v>
      </c>
      <c r="BH588" s="57">
        <f>IF(ISERROR(IF(B588=C588,W588/C588,(INT(W588/B588)+(((W588-B588*INT(W588/B588)))/C588)/100))),0,(IF(B588=C588,W588/C588,(INT(W588/B588)+(((W588-B588*INT(W588/B588)))/C588)/100))))</f>
        <v>0</v>
      </c>
      <c r="BI588" s="57">
        <f>IF(ISERROR(IF(B588=C588,X588/C588,(INT(X588/B588)+(((X588-B588*INT(X588/B588)))/C588)/100))),0,(IF(B588=C588,X588/C588,(INT(X588/B588)+(((X588-B588*INT(X588/B588)))/C588)/100))))</f>
        <v>0</v>
      </c>
      <c r="BJ588" s="57">
        <f>IF(ISERROR(IF(B588=C588,Y588/C588,(INT(Y588/B588)+(((Y588-B588*INT(Y588/B588)))/C588)/100))),0,(IF(B588=C588,Y588/C588,(INT(Y588/B588)+(((Y588-B588*INT(Y588/B588)))/C588)/100))))</f>
        <v>0</v>
      </c>
      <c r="BL588" s="57">
        <f>IF(ISERROR(IF(B588=C588,AA588/C588,(INT(AA588/B588)+(((AA588-B588*INT(AA588/B588)))/C588)/100))),0,(IF(B588=C588,AA588/C588,(INT(AA588/B588)+(((AA588-B588*INT(AA588/B588)))/C588)/100))))</f>
        <v>0</v>
      </c>
      <c r="BM588" s="57">
        <f>IF(ISERROR(IF(B588=C588,AB588/C588,(INT(AB588/B588)+(((AB588-B588*INT(AB588/B588)))/C588)/100))),0,(IF(B588=C588,AB588/C588,(INT(AB588/B588)+(((AB588-B588*INT(AB588/B588)))/C588)/100))))</f>
        <v>0</v>
      </c>
      <c r="BN588" s="57">
        <f>IF(ISERROR(IF(B588=C588,AC588/C588,(INT(AC588/B588)+(((AC588-B588*INT(AC588/B588)))/C588)/100))),0,(IF(B588=C588,AC588/C588,(INT(AC588/B588)+(((AC588-B588*INT(AC588/B588)))/C588)/100))))</f>
        <v>0</v>
      </c>
      <c r="BO588" s="57">
        <f>IF(ISERROR(IF(B588=C588,AD588/C588,(INT(AD588/B588)+(((AD588-B588*INT(AD588/B588)))/C588)/100))),0,(IF(B588=C588,AD588/C588,(INT(AD588/B588)+(((AD588-B588*INT(AD588/B588)))/C588)/100))))</f>
        <v>0</v>
      </c>
      <c r="BQ588" s="155"/>
    </row>
    <row r="589" spans="1:69" hidden="1" x14ac:dyDescent="0.35">
      <c r="A589" s="94"/>
      <c r="B589" s="113">
        <v>0</v>
      </c>
      <c r="C589" s="113">
        <v>250</v>
      </c>
      <c r="D589" s="28">
        <f>SUM(AA589:AD589)</f>
        <v>0</v>
      </c>
      <c r="E589" s="113">
        <v>0</v>
      </c>
      <c r="F589" s="113">
        <v>0</v>
      </c>
      <c r="G589" s="28">
        <f>SUM(D589:F589)</f>
        <v>0</v>
      </c>
      <c r="H589" s="125">
        <v>0</v>
      </c>
      <c r="I589" s="113">
        <v>0</v>
      </c>
      <c r="J589" s="125">
        <v>0</v>
      </c>
      <c r="K589" s="113">
        <v>0</v>
      </c>
      <c r="L589" s="113">
        <v>0</v>
      </c>
      <c r="M589" s="113">
        <v>0</v>
      </c>
      <c r="N589" s="28">
        <f>G589-SUM(H589:M589)</f>
        <v>0</v>
      </c>
      <c r="O589" s="28">
        <f>SUM(V589:Y589)</f>
        <v>0</v>
      </c>
      <c r="P589" s="28">
        <f>O589-N589</f>
        <v>0</v>
      </c>
      <c r="Q589" s="61" t="str">
        <f>IF(ISERROR(P589/SUM(H589:L589)),"",P589/SUM(H589:L589))</f>
        <v/>
      </c>
      <c r="R589" s="113">
        <v>0</v>
      </c>
      <c r="S589" s="28">
        <f>IF(ISERROR(P589/C589*R589),0,(P589/C589*R589))</f>
        <v>0</v>
      </c>
      <c r="T589" s="60">
        <f>IF(ISERROR(P589/B589*AF589),0,(P589/B589*AF589))</f>
        <v>0</v>
      </c>
      <c r="V589" s="113">
        <v>0</v>
      </c>
      <c r="W589" s="113">
        <v>0</v>
      </c>
      <c r="X589" s="113">
        <v>0</v>
      </c>
      <c r="Y589" s="113">
        <v>0</v>
      </c>
      <c r="AA589" s="113">
        <v>0</v>
      </c>
      <c r="AB589" s="113">
        <v>0</v>
      </c>
      <c r="AC589" s="113">
        <v>0</v>
      </c>
      <c r="AD589" s="113">
        <v>0</v>
      </c>
      <c r="AF589" s="113">
        <v>0</v>
      </c>
      <c r="AG589" s="28">
        <f>G589-O589</f>
        <v>0</v>
      </c>
      <c r="AH589" s="58">
        <f>IF(ISERROR(AG589/B589*AF589),0,(AG589/B589*AF589))</f>
        <v>0</v>
      </c>
      <c r="AI589" s="28">
        <f>SUM(H589:M589)</f>
        <v>0</v>
      </c>
      <c r="AJ589" s="28">
        <f>IF(ISERROR(AI589/B589*AF589),0,(AI589/B589*AF589))</f>
        <v>0</v>
      </c>
      <c r="AK589" s="58">
        <f>IF(ISERROR(O589/B589*AF589),0,(O589/B589*AF589))</f>
        <v>0</v>
      </c>
      <c r="AL589" s="28">
        <f>IF(ISERROR(H589/B589*AF589),0,(H589/B589*AF589))</f>
        <v>0</v>
      </c>
      <c r="AN589" s="51">
        <f>A589</f>
        <v>0</v>
      </c>
      <c r="AO589" s="57">
        <f>IF(ISERROR(IF(B589=C589,D589/C589,(INT(D589/B589)+(((D589-B589*INT(D589/B589)))/C589)/100))),0,(IF(B589=C589,D589/C589,(INT(D589/B589)+(((D589-B589*INT(D589/B589)))/C589)/100))))</f>
        <v>0</v>
      </c>
      <c r="AP589" s="57">
        <f>IF(ISERROR(IF(B589=C589,E589/C589,(INT(E589/B589)+(((E589-B589*INT(E589/B589)))/C589)/100))),0,(IF(B589=C589,E589/C589,(INT(E589/B589)+(((E589-B589*INT(E589/B589)))/C589)/100))))</f>
        <v>0</v>
      </c>
      <c r="AQ589" s="57">
        <f>IF(ISERROR(IF(B589=C589,F589/C589,IF((INT(F589/B589)+(((F589-B589*INT(F589/B589)))/C589)/100)&lt;0,(INT(F589/B589)+(((F589-B589*INT(F589/B589)))/C589)/100)+(1-(B589/C589/100)),(INT(F589/B589)+(((F589-B589*INT(F589/B589)))/C589)/100)))),0,IF(B589=C589,F589/C589,IF((INT(F589/B589)+(((F589-B589*INT(F589/B589)))/C589)/100)&lt;0,(INT(F589/B589)+(((F589-B589*INT(F589/B589)))/C589)/100)+(1-(B589/C589/100)),(INT(F589/B589)+(((F589-B589*INT(F589/B589)))/C589)/100))))</f>
        <v>0</v>
      </c>
      <c r="AR589" s="57">
        <f>IF(ISERROR(IF(B589=C589,G589/C589,(INT(G589/B589)+(((G589-B589*INT(G589/B589)))/C589)/100))),0,(IF(B589=C589,G589/C589,(INT(G589/B589)+(((G589-B589*INT(G589/B589)))/C589)/100))))</f>
        <v>0</v>
      </c>
      <c r="AS589" s="57">
        <f>IF(ISERROR(IF(B589=C589,H589/C589,(INT(H589/B589)+(((H589-B589*INT(H589/B589)))/C589)/100))),0,(IF(B589=C589,H589/C589,(INT(H589/B589)+(((H589-B589*INT(H589/B589)))/C589)/100))))</f>
        <v>0</v>
      </c>
      <c r="AT589" s="57">
        <f>IF(ISERROR(IF(B589=C589,I589/C589,(INT(I589/B589)+(((I589-B589*INT(I589/B589)))/C589)/100))),0,(IF(B589=C589,I589/C589,(INT(I589/B589)+(((I589-B589*INT(I589/B589)))/C589)/100))))</f>
        <v>0</v>
      </c>
      <c r="AU589" s="57">
        <f>IF(ISERROR(IF(B589=C589,J589/C589,(INT(J589/B589)+(((J589-B589*INT(J589/B589)))/C589)/100))),0,(IF(B589=C589,J589/C589,(INT(J589/B589)+(((J589-B589*INT(J589/B589)))/C589)/100))))</f>
        <v>0</v>
      </c>
      <c r="AV589" s="57">
        <f>IF(ISERROR(IF(B589=C589,K589/C589,IF((INT(K589/B589)+(((K589-B589*INT(K589/B589)))/C589)/100)&lt;0,(INT(K589/B589)+(((K589-B589*INT(K589/B589)))/C589)/100)+(1-(B589/C589/100)),(INT(K589/B589)+(((K589-B589*INT(K589/B589)))/C589)/100)))),0,IF(B589=C589,K589/C589,IF((INT(K589/B589)+(((K589-B589*INT(K589/B589)))/C589)/100)&lt;0,(INT(K589/B589)+(((K589-B589*INT(K589/B589)))/C589)/100)+(1-(B589/C589/100)),(INT(K589/B589)+(((K589-B589*INT(K589/B589)))/C589)/100))))</f>
        <v>0</v>
      </c>
      <c r="AW589" s="57">
        <f>IF(ISERROR(IF(B589=C589,L589/C589,(INT(L589/B589)+(((L589-B589*INT(L589/B589)))/C589)/100))),0,(IF(B589=C589,L589/C589,(INT(L589/B589)+(((L589-B589*INT(L589/B589)))/C589)/100))))</f>
        <v>0</v>
      </c>
      <c r="AX589" s="57">
        <f>IF(ISERROR(IF(B589=C589,M589/C589,(INT(M589/B589)+(((M589-B589*INT(M589/B589)))/C589)/100))),0,(IF(B589=C589,M589/C589,(INT(M589/B589)+(((M589-B589*INT(M589/B589)))/C589)/100))))</f>
        <v>0</v>
      </c>
      <c r="AY589" s="57">
        <f>IF(ISERROR(IF(B589=C589,N589/C589,IF((INT(N589/B589)+(((N589-B589*INT(N589/B589)))/C589)/100)&lt;0,(INT(N589/B589)+(((N589-B589*INT(N589/B589)))/C589)/100)+(1-(B589/C589/100)),(INT(N589/B589)+(((N589-B589*INT(N589/B589)))/C589)/100)))),0,IF(B589=C589,N589/C589,IF((INT(N589/B589)+(((N589-B589*INT(N589/B589)))/C589)/100)&lt;0,(INT(N589/B589)+(((N589-B589*INT(N589/B589)))/C589)/100)+(1-(B589/C589/100)),(INT(N589/B589)+(((N589-B589*INT(N589/B589)))/C589)/100))))</f>
        <v>0</v>
      </c>
      <c r="AZ589" s="57">
        <f>IF(ISERROR(IF(B589=C589,O589/C589,(INT(O589/B589)+(((O589-B589*INT(O589/B589)))/C589)/100))),0,(IF(B589=C589,O589/C589,(INT(O589/B589)+(((O589-B589*INT(O589/B589)))/C589)/100))))</f>
        <v>0</v>
      </c>
      <c r="BA589" s="57">
        <f>IF(ISERROR(IF(B589=C589,P589/C589,IF((INT(P589/B589)+(((P589-B589*INT(P589/B589)))/C589)/100)&lt;0,(INT(P589/B589)+(((P589-B589*INT(P589/B589)))/C589)/100)+(1-(B589/C589/100)),(INT(P589/B589)+(((P589-B589*INT(P589/B589)))/C589)/100)))),0,IF(B589=C589,P589/C589,IF((INT(P589/B589)+(((P589-B589*INT(P589/B589)))/C589)/100)&lt;0,(INT(P589/B589)+(((P589-B589*INT(P589/B589)))/C589)/100)+(1-(B589/C589/100)),(INT(P589/B589)+(((P589-B589*INT(P589/B589)))/C589)/100))))</f>
        <v>0</v>
      </c>
      <c r="BB589" s="28">
        <f>R589</f>
        <v>0</v>
      </c>
      <c r="BC589" s="28">
        <f>S589</f>
        <v>0</v>
      </c>
      <c r="BD589" s="28">
        <f>AF589</f>
        <v>0</v>
      </c>
      <c r="BE589" s="28">
        <f>T589</f>
        <v>0</v>
      </c>
      <c r="BG589" s="57">
        <f>IF(ISERROR(IF(B589=C589,V589/C589,(INT(V589/B589)+(((V589-B589*INT(V589/B589)))/C589)/100))),0,(IF(B589=C589,V589/C589,(INT(V589/B589)+(((V589-B589*INT(V589/B589)))/C589)/100))))</f>
        <v>0</v>
      </c>
      <c r="BH589" s="57">
        <f>IF(ISERROR(IF(B589=C589,W589/C589,(INT(W589/B589)+(((W589-B589*INT(W589/B589)))/C589)/100))),0,(IF(B589=C589,W589/C589,(INT(W589/B589)+(((W589-B589*INT(W589/B589)))/C589)/100))))</f>
        <v>0</v>
      </c>
      <c r="BI589" s="57">
        <f>IF(ISERROR(IF(B589=C589,X589/C589,(INT(X589/B589)+(((X589-B589*INT(X589/B589)))/C589)/100))),0,(IF(B589=C589,X589/C589,(INT(X589/B589)+(((X589-B589*INT(X589/B589)))/C589)/100))))</f>
        <v>0</v>
      </c>
      <c r="BJ589" s="57">
        <f>IF(ISERROR(IF(B589=C589,Y589/C589,(INT(Y589/B589)+(((Y589-B589*INT(Y589/B589)))/C589)/100))),0,(IF(B589=C589,Y589/C589,(INT(Y589/B589)+(((Y589-B589*INT(Y589/B589)))/C589)/100))))</f>
        <v>0</v>
      </c>
      <c r="BL589" s="57">
        <f>IF(ISERROR(IF(B589=C589,AA589/C589,(INT(AA589/B589)+(((AA589-B589*INT(AA589/B589)))/C589)/100))),0,(IF(B589=C589,AA589/C589,(INT(AA589/B589)+(((AA589-B589*INT(AA589/B589)))/C589)/100))))</f>
        <v>0</v>
      </c>
      <c r="BM589" s="57">
        <f>IF(ISERROR(IF(B589=C589,AB589/C589,(INT(AB589/B589)+(((AB589-B589*INT(AB589/B589)))/C589)/100))),0,(IF(B589=C589,AB589/C589,(INT(AB589/B589)+(((AB589-B589*INT(AB589/B589)))/C589)/100))))</f>
        <v>0</v>
      </c>
      <c r="BN589" s="57">
        <f>IF(ISERROR(IF(B589=C589,AC589/C589,(INT(AC589/B589)+(((AC589-B589*INT(AC589/B589)))/C589)/100))),0,(IF(B589=C589,AC589/C589,(INT(AC589/B589)+(((AC589-B589*INT(AC589/B589)))/C589)/100))))</f>
        <v>0</v>
      </c>
      <c r="BO589" s="57">
        <f>IF(ISERROR(IF(B589=C589,AD589/C589,(INT(AD589/B589)+(((AD589-B589*INT(AD589/B589)))/C589)/100))),0,(IF(B589=C589,AD589/C589,(INT(AD589/B589)+(((AD589-B589*INT(AD589/B589)))/C589)/100))))</f>
        <v>0</v>
      </c>
      <c r="BQ589" s="155"/>
    </row>
    <row r="590" spans="1:69" hidden="1" x14ac:dyDescent="0.35">
      <c r="A590" s="94"/>
      <c r="B590" s="113">
        <v>0</v>
      </c>
      <c r="C590" s="113">
        <v>250</v>
      </c>
      <c r="D590" s="28">
        <f>SUM(AA590:AD590)</f>
        <v>0</v>
      </c>
      <c r="E590" s="113">
        <v>0</v>
      </c>
      <c r="F590" s="113">
        <v>0</v>
      </c>
      <c r="G590" s="28">
        <f>SUM(D590:F590)</f>
        <v>0</v>
      </c>
      <c r="H590" s="125">
        <v>0</v>
      </c>
      <c r="I590" s="113">
        <v>0</v>
      </c>
      <c r="J590" s="125">
        <v>0</v>
      </c>
      <c r="K590" s="113">
        <v>0</v>
      </c>
      <c r="L590" s="113">
        <v>0</v>
      </c>
      <c r="M590" s="113">
        <v>0</v>
      </c>
      <c r="N590" s="28">
        <f>G590-SUM(H590:M590)</f>
        <v>0</v>
      </c>
      <c r="O590" s="28">
        <f>SUM(V590:Y590)</f>
        <v>0</v>
      </c>
      <c r="P590" s="28">
        <f>O590-N590</f>
        <v>0</v>
      </c>
      <c r="Q590" s="61" t="str">
        <f>IF(ISERROR(P590/SUM(H590:L590)),"",P590/SUM(H590:L590))</f>
        <v/>
      </c>
      <c r="R590" s="113">
        <v>0</v>
      </c>
      <c r="S590" s="28">
        <f>IF(ISERROR(P590/C590*R590),0,(P590/C590*R590))</f>
        <v>0</v>
      </c>
      <c r="T590" s="60">
        <f>IF(ISERROR(P590/B590*AF590),0,(P590/B590*AF590))</f>
        <v>0</v>
      </c>
      <c r="V590" s="113">
        <v>0</v>
      </c>
      <c r="W590" s="113">
        <v>0</v>
      </c>
      <c r="X590" s="113">
        <v>0</v>
      </c>
      <c r="Y590" s="113">
        <v>0</v>
      </c>
      <c r="AA590" s="113">
        <v>0</v>
      </c>
      <c r="AB590" s="113">
        <v>0</v>
      </c>
      <c r="AC590" s="113">
        <v>0</v>
      </c>
      <c r="AD590" s="113">
        <v>0</v>
      </c>
      <c r="AF590" s="113">
        <v>0</v>
      </c>
      <c r="AG590" s="28">
        <f>G590-O590</f>
        <v>0</v>
      </c>
      <c r="AH590" s="58">
        <f>IF(ISERROR(AG590/B590*AF590),0,(AG590/B590*AF590))</f>
        <v>0</v>
      </c>
      <c r="AI590" s="28">
        <f>SUM(H590:M590)</f>
        <v>0</v>
      </c>
      <c r="AJ590" s="28">
        <f>IF(ISERROR(AI590/B590*AF590),0,(AI590/B590*AF590))</f>
        <v>0</v>
      </c>
      <c r="AK590" s="58">
        <f>IF(ISERROR(O590/B590*AF590),0,(O590/B590*AF590))</f>
        <v>0</v>
      </c>
      <c r="AL590" s="28">
        <f>IF(ISERROR(H590/B590*AF590),0,(H590/B590*AF590))</f>
        <v>0</v>
      </c>
      <c r="AN590" s="51">
        <f>A590</f>
        <v>0</v>
      </c>
      <c r="AO590" s="57">
        <f>IF(ISERROR(IF(B590=C590,D590/C590,(INT(D590/B590)+(((D590-B590*INT(D590/B590)))/C590)/100))),0,(IF(B590=C590,D590/C590,(INT(D590/B590)+(((D590-B590*INT(D590/B590)))/C590)/100))))</f>
        <v>0</v>
      </c>
      <c r="AP590" s="57">
        <f>IF(ISERROR(IF(B590=C590,E590/C590,(INT(E590/B590)+(((E590-B590*INT(E590/B590)))/C590)/100))),0,(IF(B590=C590,E590/C590,(INT(E590/B590)+(((E590-B590*INT(E590/B590)))/C590)/100))))</f>
        <v>0</v>
      </c>
      <c r="AQ590" s="57">
        <f>IF(ISERROR(IF(B590=C590,F590/C590,IF((INT(F590/B590)+(((F590-B590*INT(F590/B590)))/C590)/100)&lt;0,(INT(F590/B590)+(((F590-B590*INT(F590/B590)))/C590)/100)+(1-(B590/C590/100)),(INT(F590/B590)+(((F590-B590*INT(F590/B590)))/C590)/100)))),0,IF(B590=C590,F590/C590,IF((INT(F590/B590)+(((F590-B590*INT(F590/B590)))/C590)/100)&lt;0,(INT(F590/B590)+(((F590-B590*INT(F590/B590)))/C590)/100)+(1-(B590/C590/100)),(INT(F590/B590)+(((F590-B590*INT(F590/B590)))/C590)/100))))</f>
        <v>0</v>
      </c>
      <c r="AR590" s="57">
        <f>IF(ISERROR(IF(B590=C590,G590/C590,(INT(G590/B590)+(((G590-B590*INT(G590/B590)))/C590)/100))),0,(IF(B590=C590,G590/C590,(INT(G590/B590)+(((G590-B590*INT(G590/B590)))/C590)/100))))</f>
        <v>0</v>
      </c>
      <c r="AS590" s="57">
        <f>IF(ISERROR(IF(B590=C590,H590/C590,(INT(H590/B590)+(((H590-B590*INT(H590/B590)))/C590)/100))),0,(IF(B590=C590,H590/C590,(INT(H590/B590)+(((H590-B590*INT(H590/B590)))/C590)/100))))</f>
        <v>0</v>
      </c>
      <c r="AT590" s="57">
        <f>IF(ISERROR(IF(B590=C590,I590/C590,(INT(I590/B590)+(((I590-B590*INT(I590/B590)))/C590)/100))),0,(IF(B590=C590,I590/C590,(INT(I590/B590)+(((I590-B590*INT(I590/B590)))/C590)/100))))</f>
        <v>0</v>
      </c>
      <c r="AU590" s="57">
        <f>IF(ISERROR(IF(B590=C590,J590/C590,(INT(J590/B590)+(((J590-B590*INT(J590/B590)))/C590)/100))),0,(IF(B590=C590,J590/C590,(INT(J590/B590)+(((J590-B590*INT(J590/B590)))/C590)/100))))</f>
        <v>0</v>
      </c>
      <c r="AV590" s="57">
        <f>IF(ISERROR(IF(B590=C590,K590/C590,IF((INT(K590/B590)+(((K590-B590*INT(K590/B590)))/C590)/100)&lt;0,(INT(K590/B590)+(((K590-B590*INT(K590/B590)))/C590)/100)+(1-(B590/C590/100)),(INT(K590/B590)+(((K590-B590*INT(K590/B590)))/C590)/100)))),0,IF(B590=C590,K590/C590,IF((INT(K590/B590)+(((K590-B590*INT(K590/B590)))/C590)/100)&lt;0,(INT(K590/B590)+(((K590-B590*INT(K590/B590)))/C590)/100)+(1-(B590/C590/100)),(INT(K590/B590)+(((K590-B590*INT(K590/B590)))/C590)/100))))</f>
        <v>0</v>
      </c>
      <c r="AW590" s="57">
        <f>IF(ISERROR(IF(B590=C590,L590/C590,(INT(L590/B590)+(((L590-B590*INT(L590/B590)))/C590)/100))),0,(IF(B590=C590,L590/C590,(INT(L590/B590)+(((L590-B590*INT(L590/B590)))/C590)/100))))</f>
        <v>0</v>
      </c>
      <c r="AX590" s="57">
        <f>IF(ISERROR(IF(B590=C590,M590/C590,(INT(M590/B590)+(((M590-B590*INT(M590/B590)))/C590)/100))),0,(IF(B590=C590,M590/C590,(INT(M590/B590)+(((M590-B590*INT(M590/B590)))/C590)/100))))</f>
        <v>0</v>
      </c>
      <c r="AY590" s="57">
        <f>IF(ISERROR(IF(B590=C590,N590/C590,IF((INT(N590/B590)+(((N590-B590*INT(N590/B590)))/C590)/100)&lt;0,(INT(N590/B590)+(((N590-B590*INT(N590/B590)))/C590)/100)+(1-(B590/C590/100)),(INT(N590/B590)+(((N590-B590*INT(N590/B590)))/C590)/100)))),0,IF(B590=C590,N590/C590,IF((INT(N590/B590)+(((N590-B590*INT(N590/B590)))/C590)/100)&lt;0,(INT(N590/B590)+(((N590-B590*INT(N590/B590)))/C590)/100)+(1-(B590/C590/100)),(INT(N590/B590)+(((N590-B590*INT(N590/B590)))/C590)/100))))</f>
        <v>0</v>
      </c>
      <c r="AZ590" s="57">
        <f>IF(ISERROR(IF(B590=C590,O590/C590,(INT(O590/B590)+(((O590-B590*INT(O590/B590)))/C590)/100))),0,(IF(B590=C590,O590/C590,(INT(O590/B590)+(((O590-B590*INT(O590/B590)))/C590)/100))))</f>
        <v>0</v>
      </c>
      <c r="BA590" s="57">
        <f>IF(ISERROR(IF(B590=C590,P590/C590,IF((INT(P590/B590)+(((P590-B590*INT(P590/B590)))/C590)/100)&lt;0,(INT(P590/B590)+(((P590-B590*INT(P590/B590)))/C590)/100)+(1-(B590/C590/100)),(INT(P590/B590)+(((P590-B590*INT(P590/B590)))/C590)/100)))),0,IF(B590=C590,P590/C590,IF((INT(P590/B590)+(((P590-B590*INT(P590/B590)))/C590)/100)&lt;0,(INT(P590/B590)+(((P590-B590*INT(P590/B590)))/C590)/100)+(1-(B590/C590/100)),(INT(P590/B590)+(((P590-B590*INT(P590/B590)))/C590)/100))))</f>
        <v>0</v>
      </c>
      <c r="BB590" s="28">
        <f>R590</f>
        <v>0</v>
      </c>
      <c r="BC590" s="28">
        <f>S590</f>
        <v>0</v>
      </c>
      <c r="BD590" s="28">
        <f>AF590</f>
        <v>0</v>
      </c>
      <c r="BE590" s="28">
        <f>T590</f>
        <v>0</v>
      </c>
      <c r="BG590" s="57">
        <f>IF(ISERROR(IF(B590=C590,V590/C590,(INT(V590/B590)+(((V590-B590*INT(V590/B590)))/C590)/100))),0,(IF(B590=C590,V590/C590,(INT(V590/B590)+(((V590-B590*INT(V590/B590)))/C590)/100))))</f>
        <v>0</v>
      </c>
      <c r="BH590" s="57">
        <f>IF(ISERROR(IF(B590=C590,W590/C590,(INT(W590/B590)+(((W590-B590*INT(W590/B590)))/C590)/100))),0,(IF(B590=C590,W590/C590,(INT(W590/B590)+(((W590-B590*INT(W590/B590)))/C590)/100))))</f>
        <v>0</v>
      </c>
      <c r="BI590" s="57">
        <f>IF(ISERROR(IF(B590=C590,X590/C590,(INT(X590/B590)+(((X590-B590*INT(X590/B590)))/C590)/100))),0,(IF(B590=C590,X590/C590,(INT(X590/B590)+(((X590-B590*INT(X590/B590)))/C590)/100))))</f>
        <v>0</v>
      </c>
      <c r="BJ590" s="57">
        <f>IF(ISERROR(IF(B590=C590,Y590/C590,(INT(Y590/B590)+(((Y590-B590*INT(Y590/B590)))/C590)/100))),0,(IF(B590=C590,Y590/C590,(INT(Y590/B590)+(((Y590-B590*INT(Y590/B590)))/C590)/100))))</f>
        <v>0</v>
      </c>
      <c r="BL590" s="57">
        <f>IF(ISERROR(IF(B590=C590,AA590/C590,(INT(AA590/B590)+(((AA590-B590*INT(AA590/B590)))/C590)/100))),0,(IF(B590=C590,AA590/C590,(INT(AA590/B590)+(((AA590-B590*INT(AA590/B590)))/C590)/100))))</f>
        <v>0</v>
      </c>
      <c r="BM590" s="57">
        <f>IF(ISERROR(IF(B590=C590,AB590/C590,(INT(AB590/B590)+(((AB590-B590*INT(AB590/B590)))/C590)/100))),0,(IF(B590=C590,AB590/C590,(INT(AB590/B590)+(((AB590-B590*INT(AB590/B590)))/C590)/100))))</f>
        <v>0</v>
      </c>
      <c r="BN590" s="57">
        <f>IF(ISERROR(IF(B590=C590,AC590/C590,(INT(AC590/B590)+(((AC590-B590*INT(AC590/B590)))/C590)/100))),0,(IF(B590=C590,AC590/C590,(INT(AC590/B590)+(((AC590-B590*INT(AC590/B590)))/C590)/100))))</f>
        <v>0</v>
      </c>
      <c r="BO590" s="57">
        <f>IF(ISERROR(IF(B590=C590,AD590/C590,(INT(AD590/B590)+(((AD590-B590*INT(AD590/B590)))/C590)/100))),0,(IF(B590=C590,AD590/C590,(INT(AD590/B590)+(((AD590-B590*INT(AD590/B590)))/C590)/100))))</f>
        <v>0</v>
      </c>
      <c r="BQ590" s="155"/>
    </row>
    <row r="591" spans="1:69" hidden="1" x14ac:dyDescent="0.35">
      <c r="A591" s="94"/>
      <c r="B591" s="113">
        <v>0</v>
      </c>
      <c r="C591" s="113">
        <v>250</v>
      </c>
      <c r="D591" s="28">
        <f>SUM(AA591:AD591)</f>
        <v>0</v>
      </c>
      <c r="E591" s="113">
        <v>0</v>
      </c>
      <c r="F591" s="113">
        <v>0</v>
      </c>
      <c r="G591" s="28">
        <f>SUM(D591:F591)</f>
        <v>0</v>
      </c>
      <c r="H591" s="125">
        <v>0</v>
      </c>
      <c r="I591" s="113">
        <v>0</v>
      </c>
      <c r="J591" s="125">
        <v>0</v>
      </c>
      <c r="K591" s="113">
        <v>0</v>
      </c>
      <c r="L591" s="113">
        <v>0</v>
      </c>
      <c r="M591" s="113">
        <v>0</v>
      </c>
      <c r="N591" s="28">
        <f>G591-SUM(H591:M591)</f>
        <v>0</v>
      </c>
      <c r="O591" s="28">
        <f>SUM(V591:Y591)</f>
        <v>0</v>
      </c>
      <c r="P591" s="28">
        <f>O591-N591</f>
        <v>0</v>
      </c>
      <c r="Q591" s="61" t="str">
        <f>IF(ISERROR(P591/SUM(H591:L591)),"",P591/SUM(H591:L591))</f>
        <v/>
      </c>
      <c r="R591" s="113">
        <v>0</v>
      </c>
      <c r="S591" s="28">
        <f>IF(ISERROR(P591/C591*R591),0,(P591/C591*R591))</f>
        <v>0</v>
      </c>
      <c r="T591" s="60">
        <f>IF(ISERROR(P591/B591*AF591),0,(P591/B591*AF591))</f>
        <v>0</v>
      </c>
      <c r="V591" s="113">
        <v>0</v>
      </c>
      <c r="W591" s="113">
        <v>0</v>
      </c>
      <c r="X591" s="113">
        <v>0</v>
      </c>
      <c r="Y591" s="113">
        <v>0</v>
      </c>
      <c r="AA591" s="113">
        <v>0</v>
      </c>
      <c r="AB591" s="113">
        <v>0</v>
      </c>
      <c r="AC591" s="113">
        <v>0</v>
      </c>
      <c r="AD591" s="113">
        <v>0</v>
      </c>
      <c r="AF591" s="113">
        <v>0</v>
      </c>
      <c r="AG591" s="28">
        <f>G591-O591</f>
        <v>0</v>
      </c>
      <c r="AH591" s="58">
        <f>IF(ISERROR(AG591/B591*AF591),0,(AG591/B591*AF591))</f>
        <v>0</v>
      </c>
      <c r="AI591" s="28">
        <f>SUM(H591:M591)</f>
        <v>0</v>
      </c>
      <c r="AJ591" s="28">
        <f>IF(ISERROR(AI591/B591*AF591),0,(AI591/B591*AF591))</f>
        <v>0</v>
      </c>
      <c r="AK591" s="58">
        <f>IF(ISERROR(O591/B591*AF591),0,(O591/B591*AF591))</f>
        <v>0</v>
      </c>
      <c r="AL591" s="28">
        <f>IF(ISERROR(H591/B591*AF591),0,(H591/B591*AF591))</f>
        <v>0</v>
      </c>
      <c r="AN591" s="51">
        <f>A591</f>
        <v>0</v>
      </c>
      <c r="AO591" s="57">
        <f>IF(ISERROR(IF(B591=C591,D591/C591,(INT(D591/B591)+(((D591-B591*INT(D591/B591)))/C591)/100))),0,(IF(B591=C591,D591/C591,(INT(D591/B591)+(((D591-B591*INT(D591/B591)))/C591)/100))))</f>
        <v>0</v>
      </c>
      <c r="AP591" s="57">
        <f>IF(ISERROR(IF(B591=C591,E591/C591,(INT(E591/B591)+(((E591-B591*INT(E591/B591)))/C591)/100))),0,(IF(B591=C591,E591/C591,(INT(E591/B591)+(((E591-B591*INT(E591/B591)))/C591)/100))))</f>
        <v>0</v>
      </c>
      <c r="AQ591" s="57">
        <f>IF(ISERROR(IF(B591=C591,F591/C591,IF((INT(F591/B591)+(((F591-B591*INT(F591/B591)))/C591)/100)&lt;0,(INT(F591/B591)+(((F591-B591*INT(F591/B591)))/C591)/100)+(1-(B591/C591/100)),(INT(F591/B591)+(((F591-B591*INT(F591/B591)))/C591)/100)))),0,IF(B591=C591,F591/C591,IF((INT(F591/B591)+(((F591-B591*INT(F591/B591)))/C591)/100)&lt;0,(INT(F591/B591)+(((F591-B591*INT(F591/B591)))/C591)/100)+(1-(B591/C591/100)),(INT(F591/B591)+(((F591-B591*INT(F591/B591)))/C591)/100))))</f>
        <v>0</v>
      </c>
      <c r="AR591" s="57">
        <f>IF(ISERROR(IF(B591=C591,G591/C591,(INT(G591/B591)+(((G591-B591*INT(G591/B591)))/C591)/100))),0,(IF(B591=C591,G591/C591,(INT(G591/B591)+(((G591-B591*INT(G591/B591)))/C591)/100))))</f>
        <v>0</v>
      </c>
      <c r="AS591" s="57">
        <f>IF(ISERROR(IF(B591=C591,H591/C591,(INT(H591/B591)+(((H591-B591*INT(H591/B591)))/C591)/100))),0,(IF(B591=C591,H591/C591,(INT(H591/B591)+(((H591-B591*INT(H591/B591)))/C591)/100))))</f>
        <v>0</v>
      </c>
      <c r="AT591" s="57">
        <f>IF(ISERROR(IF(B591=C591,I591/C591,(INT(I591/B591)+(((I591-B591*INT(I591/B591)))/C591)/100))),0,(IF(B591=C591,I591/C591,(INT(I591/B591)+(((I591-B591*INT(I591/B591)))/C591)/100))))</f>
        <v>0</v>
      </c>
      <c r="AU591" s="57">
        <f>IF(ISERROR(IF(B591=C591,J591/C591,(INT(J591/B591)+(((J591-B591*INT(J591/B591)))/C591)/100))),0,(IF(B591=C591,J591/C591,(INT(J591/B591)+(((J591-B591*INT(J591/B591)))/C591)/100))))</f>
        <v>0</v>
      </c>
      <c r="AV591" s="57">
        <f>IF(ISERROR(IF(B591=C591,K591/C591,IF((INT(K591/B591)+(((K591-B591*INT(K591/B591)))/C591)/100)&lt;0,(INT(K591/B591)+(((K591-B591*INT(K591/B591)))/C591)/100)+(1-(B591/C591/100)),(INT(K591/B591)+(((K591-B591*INT(K591/B591)))/C591)/100)))),0,IF(B591=C591,K591/C591,IF((INT(K591/B591)+(((K591-B591*INT(K591/B591)))/C591)/100)&lt;0,(INT(K591/B591)+(((K591-B591*INT(K591/B591)))/C591)/100)+(1-(B591/C591/100)),(INT(K591/B591)+(((K591-B591*INT(K591/B591)))/C591)/100))))</f>
        <v>0</v>
      </c>
      <c r="AW591" s="57">
        <f>IF(ISERROR(IF(B591=C591,L591/C591,(INT(L591/B591)+(((L591-B591*INT(L591/B591)))/C591)/100))),0,(IF(B591=C591,L591/C591,(INT(L591/B591)+(((L591-B591*INT(L591/B591)))/C591)/100))))</f>
        <v>0</v>
      </c>
      <c r="AX591" s="57">
        <f>IF(ISERROR(IF(B591=C591,M591/C591,(INT(M591/B591)+(((M591-B591*INT(M591/B591)))/C591)/100))),0,(IF(B591=C591,M591/C591,(INT(M591/B591)+(((M591-B591*INT(M591/B591)))/C591)/100))))</f>
        <v>0</v>
      </c>
      <c r="AY591" s="57">
        <f>IF(ISERROR(IF(B591=C591,N591/C591,IF((INT(N591/B591)+(((N591-B591*INT(N591/B591)))/C591)/100)&lt;0,(INT(N591/B591)+(((N591-B591*INT(N591/B591)))/C591)/100)+(1-(B591/C591/100)),(INT(N591/B591)+(((N591-B591*INT(N591/B591)))/C591)/100)))),0,IF(B591=C591,N591/C591,IF((INT(N591/B591)+(((N591-B591*INT(N591/B591)))/C591)/100)&lt;0,(INT(N591/B591)+(((N591-B591*INT(N591/B591)))/C591)/100)+(1-(B591/C591/100)),(INT(N591/B591)+(((N591-B591*INT(N591/B591)))/C591)/100))))</f>
        <v>0</v>
      </c>
      <c r="AZ591" s="57">
        <f>IF(ISERROR(IF(B591=C591,O591/C591,(INT(O591/B591)+(((O591-B591*INT(O591/B591)))/C591)/100))),0,(IF(B591=C591,O591/C591,(INT(O591/B591)+(((O591-B591*INT(O591/B591)))/C591)/100))))</f>
        <v>0</v>
      </c>
      <c r="BA591" s="57">
        <f>IF(ISERROR(IF(B591=C591,P591/C591,IF((INT(P591/B591)+(((P591-B591*INT(P591/B591)))/C591)/100)&lt;0,(INT(P591/B591)+(((P591-B591*INT(P591/B591)))/C591)/100)+(1-(B591/C591/100)),(INT(P591/B591)+(((P591-B591*INT(P591/B591)))/C591)/100)))),0,IF(B591=C591,P591/C591,IF((INT(P591/B591)+(((P591-B591*INT(P591/B591)))/C591)/100)&lt;0,(INT(P591/B591)+(((P591-B591*INT(P591/B591)))/C591)/100)+(1-(B591/C591/100)),(INT(P591/B591)+(((P591-B591*INT(P591/B591)))/C591)/100))))</f>
        <v>0</v>
      </c>
      <c r="BB591" s="28">
        <f>R591</f>
        <v>0</v>
      </c>
      <c r="BC591" s="28">
        <f>S591</f>
        <v>0</v>
      </c>
      <c r="BD591" s="28">
        <f>AF591</f>
        <v>0</v>
      </c>
      <c r="BE591" s="28">
        <f>T591</f>
        <v>0</v>
      </c>
      <c r="BG591" s="57">
        <f>IF(ISERROR(IF(B591=C591,V591/C591,(INT(V591/B591)+(((V591-B591*INT(V591/B591)))/C591)/100))),0,(IF(B591=C591,V591/C591,(INT(V591/B591)+(((V591-B591*INT(V591/B591)))/C591)/100))))</f>
        <v>0</v>
      </c>
      <c r="BH591" s="57">
        <f>IF(ISERROR(IF(B591=C591,W591/C591,(INT(W591/B591)+(((W591-B591*INT(W591/B591)))/C591)/100))),0,(IF(B591=C591,W591/C591,(INT(W591/B591)+(((W591-B591*INT(W591/B591)))/C591)/100))))</f>
        <v>0</v>
      </c>
      <c r="BI591" s="57">
        <f>IF(ISERROR(IF(B591=C591,X591/C591,(INT(X591/B591)+(((X591-B591*INT(X591/B591)))/C591)/100))),0,(IF(B591=C591,X591/C591,(INT(X591/B591)+(((X591-B591*INT(X591/B591)))/C591)/100))))</f>
        <v>0</v>
      </c>
      <c r="BJ591" s="57">
        <f>IF(ISERROR(IF(B591=C591,Y591/C591,(INT(Y591/B591)+(((Y591-B591*INT(Y591/B591)))/C591)/100))),0,(IF(B591=C591,Y591/C591,(INT(Y591/B591)+(((Y591-B591*INT(Y591/B591)))/C591)/100))))</f>
        <v>0</v>
      </c>
      <c r="BL591" s="57">
        <f>IF(ISERROR(IF(B591=C591,AA591/C591,(INT(AA591/B591)+(((AA591-B591*INT(AA591/B591)))/C591)/100))),0,(IF(B591=C591,AA591/C591,(INT(AA591/B591)+(((AA591-B591*INT(AA591/B591)))/C591)/100))))</f>
        <v>0</v>
      </c>
      <c r="BM591" s="57">
        <f>IF(ISERROR(IF(B591=C591,AB591/C591,(INT(AB591/B591)+(((AB591-B591*INT(AB591/B591)))/C591)/100))),0,(IF(B591=C591,AB591/C591,(INT(AB591/B591)+(((AB591-B591*INT(AB591/B591)))/C591)/100))))</f>
        <v>0</v>
      </c>
      <c r="BN591" s="57">
        <f>IF(ISERROR(IF(B591=C591,AC591/C591,(INT(AC591/B591)+(((AC591-B591*INT(AC591/B591)))/C591)/100))),0,(IF(B591=C591,AC591/C591,(INT(AC591/B591)+(((AC591-B591*INT(AC591/B591)))/C591)/100))))</f>
        <v>0</v>
      </c>
      <c r="BO591" s="57">
        <f>IF(ISERROR(IF(B591=C591,AD591/C591,(INT(AD591/B591)+(((AD591-B591*INT(AD591/B591)))/C591)/100))),0,(IF(B591=C591,AD591/C591,(INT(AD591/B591)+(((AD591-B591*INT(AD591/B591)))/C591)/100))))</f>
        <v>0</v>
      </c>
      <c r="BQ591" s="155"/>
    </row>
    <row r="592" spans="1:69" hidden="1" x14ac:dyDescent="0.35">
      <c r="A592" s="94"/>
      <c r="B592" s="113">
        <v>0</v>
      </c>
      <c r="C592" s="113">
        <v>250</v>
      </c>
      <c r="D592" s="28">
        <f>SUM(AA592:AD592)</f>
        <v>0</v>
      </c>
      <c r="E592" s="113">
        <v>0</v>
      </c>
      <c r="F592" s="113">
        <v>0</v>
      </c>
      <c r="G592" s="28">
        <f>SUM(D592:F592)</f>
        <v>0</v>
      </c>
      <c r="H592" s="125">
        <v>0</v>
      </c>
      <c r="I592" s="113">
        <v>0</v>
      </c>
      <c r="J592" s="125">
        <v>0</v>
      </c>
      <c r="K592" s="113">
        <v>0</v>
      </c>
      <c r="L592" s="113">
        <v>0</v>
      </c>
      <c r="M592" s="113">
        <v>0</v>
      </c>
      <c r="N592" s="28">
        <f>G592-SUM(H592:M592)</f>
        <v>0</v>
      </c>
      <c r="O592" s="28">
        <f>SUM(V592:Y592)</f>
        <v>0</v>
      </c>
      <c r="P592" s="28">
        <f>O592-N592</f>
        <v>0</v>
      </c>
      <c r="Q592" s="61" t="str">
        <f>IF(ISERROR(P592/SUM(H592:L592)),"",P592/SUM(H592:L592))</f>
        <v/>
      </c>
      <c r="R592" s="113">
        <v>0</v>
      </c>
      <c r="S592" s="28">
        <f>IF(ISERROR(P592/C592*R592),0,(P592/C592*R592))</f>
        <v>0</v>
      </c>
      <c r="T592" s="60">
        <f>IF(ISERROR(P592/B592*AF592),0,(P592/B592*AF592))</f>
        <v>0</v>
      </c>
      <c r="V592" s="113">
        <v>0</v>
      </c>
      <c r="W592" s="113">
        <v>0</v>
      </c>
      <c r="X592" s="113">
        <v>0</v>
      </c>
      <c r="Y592" s="113">
        <v>0</v>
      </c>
      <c r="AA592" s="113">
        <v>0</v>
      </c>
      <c r="AB592" s="113">
        <v>0</v>
      </c>
      <c r="AC592" s="113">
        <v>0</v>
      </c>
      <c r="AD592" s="113">
        <v>0</v>
      </c>
      <c r="AF592" s="113">
        <v>0</v>
      </c>
      <c r="AG592" s="28">
        <f>G592-O592</f>
        <v>0</v>
      </c>
      <c r="AH592" s="58">
        <f>IF(ISERROR(AG592/B592*AF592),0,(AG592/B592*AF592))</f>
        <v>0</v>
      </c>
      <c r="AI592" s="28">
        <f>SUM(H592:M592)</f>
        <v>0</v>
      </c>
      <c r="AJ592" s="28">
        <f>IF(ISERROR(AI592/B592*AF592),0,(AI592/B592*AF592))</f>
        <v>0</v>
      </c>
      <c r="AK592" s="58">
        <f>IF(ISERROR(O592/B592*AF592),0,(O592/B592*AF592))</f>
        <v>0</v>
      </c>
      <c r="AL592" s="28">
        <f>IF(ISERROR(H592/B592*AF592),0,(H592/B592*AF592))</f>
        <v>0</v>
      </c>
      <c r="AN592" s="51">
        <f>A592</f>
        <v>0</v>
      </c>
      <c r="AO592" s="57">
        <f>IF(ISERROR(IF(B592=C592,D592/C592,(INT(D592/B592)+(((D592-B592*INT(D592/B592)))/C592)/100))),0,(IF(B592=C592,D592/C592,(INT(D592/B592)+(((D592-B592*INT(D592/B592)))/C592)/100))))</f>
        <v>0</v>
      </c>
      <c r="AP592" s="57">
        <f>IF(ISERROR(IF(B592=C592,E592/C592,(INT(E592/B592)+(((E592-B592*INT(E592/B592)))/C592)/100))),0,(IF(B592=C592,E592/C592,(INT(E592/B592)+(((E592-B592*INT(E592/B592)))/C592)/100))))</f>
        <v>0</v>
      </c>
      <c r="AQ592" s="57">
        <f>IF(ISERROR(IF(B592=C592,F592/C592,IF((INT(F592/B592)+(((F592-B592*INT(F592/B592)))/C592)/100)&lt;0,(INT(F592/B592)+(((F592-B592*INT(F592/B592)))/C592)/100)+(1-(B592/C592/100)),(INT(F592/B592)+(((F592-B592*INT(F592/B592)))/C592)/100)))),0,IF(B592=C592,F592/C592,IF((INT(F592/B592)+(((F592-B592*INT(F592/B592)))/C592)/100)&lt;0,(INT(F592/B592)+(((F592-B592*INT(F592/B592)))/C592)/100)+(1-(B592/C592/100)),(INT(F592/B592)+(((F592-B592*INT(F592/B592)))/C592)/100))))</f>
        <v>0</v>
      </c>
      <c r="AR592" s="57">
        <f>IF(ISERROR(IF(B592=C592,G592/C592,(INT(G592/B592)+(((G592-B592*INT(G592/B592)))/C592)/100))),0,(IF(B592=C592,G592/C592,(INT(G592/B592)+(((G592-B592*INT(G592/B592)))/C592)/100))))</f>
        <v>0</v>
      </c>
      <c r="AS592" s="57">
        <f>IF(ISERROR(IF(B592=C592,H592/C592,(INT(H592/B592)+(((H592-B592*INT(H592/B592)))/C592)/100))),0,(IF(B592=C592,H592/C592,(INT(H592/B592)+(((H592-B592*INT(H592/B592)))/C592)/100))))</f>
        <v>0</v>
      </c>
      <c r="AT592" s="57">
        <f>IF(ISERROR(IF(B592=C592,I592/C592,(INT(I592/B592)+(((I592-B592*INT(I592/B592)))/C592)/100))),0,(IF(B592=C592,I592/C592,(INT(I592/B592)+(((I592-B592*INT(I592/B592)))/C592)/100))))</f>
        <v>0</v>
      </c>
      <c r="AU592" s="57">
        <f>IF(ISERROR(IF(B592=C592,J592/C592,(INT(J592/B592)+(((J592-B592*INT(J592/B592)))/C592)/100))),0,(IF(B592=C592,J592/C592,(INT(J592/B592)+(((J592-B592*INT(J592/B592)))/C592)/100))))</f>
        <v>0</v>
      </c>
      <c r="AV592" s="57">
        <f>IF(ISERROR(IF(B592=C592,K592/C592,IF((INT(K592/B592)+(((K592-B592*INT(K592/B592)))/C592)/100)&lt;0,(INT(K592/B592)+(((K592-B592*INT(K592/B592)))/C592)/100)+(1-(B592/C592/100)),(INT(K592/B592)+(((K592-B592*INT(K592/B592)))/C592)/100)))),0,IF(B592=C592,K592/C592,IF((INT(K592/B592)+(((K592-B592*INT(K592/B592)))/C592)/100)&lt;0,(INT(K592/B592)+(((K592-B592*INT(K592/B592)))/C592)/100)+(1-(B592/C592/100)),(INT(K592/B592)+(((K592-B592*INT(K592/B592)))/C592)/100))))</f>
        <v>0</v>
      </c>
      <c r="AW592" s="57">
        <f>IF(ISERROR(IF(B592=C592,L592/C592,(INT(L592/B592)+(((L592-B592*INT(L592/B592)))/C592)/100))),0,(IF(B592=C592,L592/C592,(INT(L592/B592)+(((L592-B592*INT(L592/B592)))/C592)/100))))</f>
        <v>0</v>
      </c>
      <c r="AX592" s="57">
        <f>IF(ISERROR(IF(B592=C592,M592/C592,(INT(M592/B592)+(((M592-B592*INT(M592/B592)))/C592)/100))),0,(IF(B592=C592,M592/C592,(INT(M592/B592)+(((M592-B592*INT(M592/B592)))/C592)/100))))</f>
        <v>0</v>
      </c>
      <c r="AY592" s="57">
        <f>IF(ISERROR(IF(B592=C592,N592/C592,IF((INT(N592/B592)+(((N592-B592*INT(N592/B592)))/C592)/100)&lt;0,(INT(N592/B592)+(((N592-B592*INT(N592/B592)))/C592)/100)+(1-(B592/C592/100)),(INT(N592/B592)+(((N592-B592*INT(N592/B592)))/C592)/100)))),0,IF(B592=C592,N592/C592,IF((INT(N592/B592)+(((N592-B592*INT(N592/B592)))/C592)/100)&lt;0,(INT(N592/B592)+(((N592-B592*INT(N592/B592)))/C592)/100)+(1-(B592/C592/100)),(INT(N592/B592)+(((N592-B592*INT(N592/B592)))/C592)/100))))</f>
        <v>0</v>
      </c>
      <c r="AZ592" s="57">
        <f>IF(ISERROR(IF(B592=C592,O592/C592,(INT(O592/B592)+(((O592-B592*INT(O592/B592)))/C592)/100))),0,(IF(B592=C592,O592/C592,(INT(O592/B592)+(((O592-B592*INT(O592/B592)))/C592)/100))))</f>
        <v>0</v>
      </c>
      <c r="BA592" s="57">
        <f>IF(ISERROR(IF(B592=C592,P592/C592,IF((INT(P592/B592)+(((P592-B592*INT(P592/B592)))/C592)/100)&lt;0,(INT(P592/B592)+(((P592-B592*INT(P592/B592)))/C592)/100)+(1-(B592/C592/100)),(INT(P592/B592)+(((P592-B592*INT(P592/B592)))/C592)/100)))),0,IF(B592=C592,P592/C592,IF((INT(P592/B592)+(((P592-B592*INT(P592/B592)))/C592)/100)&lt;0,(INT(P592/B592)+(((P592-B592*INT(P592/B592)))/C592)/100)+(1-(B592/C592/100)),(INT(P592/B592)+(((P592-B592*INT(P592/B592)))/C592)/100))))</f>
        <v>0</v>
      </c>
      <c r="BB592" s="28">
        <f>R592</f>
        <v>0</v>
      </c>
      <c r="BC592" s="28">
        <f>S592</f>
        <v>0</v>
      </c>
      <c r="BD592" s="28">
        <f>AF592</f>
        <v>0</v>
      </c>
      <c r="BE592" s="28">
        <f>T592</f>
        <v>0</v>
      </c>
      <c r="BG592" s="57">
        <f>IF(ISERROR(IF(B592=C592,V592/C592,(INT(V592/B592)+(((V592-B592*INT(V592/B592)))/C592)/100))),0,(IF(B592=C592,V592/C592,(INT(V592/B592)+(((V592-B592*INT(V592/B592)))/C592)/100))))</f>
        <v>0</v>
      </c>
      <c r="BH592" s="57">
        <f>IF(ISERROR(IF(B592=C592,W592/C592,(INT(W592/B592)+(((W592-B592*INT(W592/B592)))/C592)/100))),0,(IF(B592=C592,W592/C592,(INT(W592/B592)+(((W592-B592*INT(W592/B592)))/C592)/100))))</f>
        <v>0</v>
      </c>
      <c r="BI592" s="57">
        <f>IF(ISERROR(IF(B592=C592,X592/C592,(INT(X592/B592)+(((X592-B592*INT(X592/B592)))/C592)/100))),0,(IF(B592=C592,X592/C592,(INT(X592/B592)+(((X592-B592*INT(X592/B592)))/C592)/100))))</f>
        <v>0</v>
      </c>
      <c r="BJ592" s="57">
        <f>IF(ISERROR(IF(B592=C592,Y592/C592,(INT(Y592/B592)+(((Y592-B592*INT(Y592/B592)))/C592)/100))),0,(IF(B592=C592,Y592/C592,(INT(Y592/B592)+(((Y592-B592*INT(Y592/B592)))/C592)/100))))</f>
        <v>0</v>
      </c>
      <c r="BL592" s="57">
        <f>IF(ISERROR(IF(B592=C592,AA592/C592,(INT(AA592/B592)+(((AA592-B592*INT(AA592/B592)))/C592)/100))),0,(IF(B592=C592,AA592/C592,(INT(AA592/B592)+(((AA592-B592*INT(AA592/B592)))/C592)/100))))</f>
        <v>0</v>
      </c>
      <c r="BM592" s="57">
        <f>IF(ISERROR(IF(B592=C592,AB592/C592,(INT(AB592/B592)+(((AB592-B592*INT(AB592/B592)))/C592)/100))),0,(IF(B592=C592,AB592/C592,(INT(AB592/B592)+(((AB592-B592*INT(AB592/B592)))/C592)/100))))</f>
        <v>0</v>
      </c>
      <c r="BN592" s="57">
        <f>IF(ISERROR(IF(B592=C592,AC592/C592,(INT(AC592/B592)+(((AC592-B592*INT(AC592/B592)))/C592)/100))),0,(IF(B592=C592,AC592/C592,(INT(AC592/B592)+(((AC592-B592*INT(AC592/B592)))/C592)/100))))</f>
        <v>0</v>
      </c>
      <c r="BO592" s="57">
        <f>IF(ISERROR(IF(B592=C592,AD592/C592,(INT(AD592/B592)+(((AD592-B592*INT(AD592/B592)))/C592)/100))),0,(IF(B592=C592,AD592/C592,(INT(AD592/B592)+(((AD592-B592*INT(AD592/B592)))/C592)/100))))</f>
        <v>0</v>
      </c>
      <c r="BQ592" s="155"/>
    </row>
    <row r="593" spans="1:69" hidden="1" x14ac:dyDescent="0.35">
      <c r="A593" s="94"/>
      <c r="B593" s="113">
        <v>0</v>
      </c>
      <c r="C593" s="113">
        <v>250</v>
      </c>
      <c r="D593" s="28">
        <f>SUM(AA593:AD593)</f>
        <v>0</v>
      </c>
      <c r="E593" s="113">
        <v>0</v>
      </c>
      <c r="F593" s="113">
        <v>0</v>
      </c>
      <c r="G593" s="28">
        <f>SUM(D593:F593)</f>
        <v>0</v>
      </c>
      <c r="H593" s="125">
        <v>0</v>
      </c>
      <c r="I593" s="113">
        <v>0</v>
      </c>
      <c r="J593" s="125">
        <v>0</v>
      </c>
      <c r="K593" s="113">
        <v>0</v>
      </c>
      <c r="L593" s="113">
        <v>0</v>
      </c>
      <c r="M593" s="113">
        <v>0</v>
      </c>
      <c r="N593" s="28">
        <f>G593-SUM(H593:M593)</f>
        <v>0</v>
      </c>
      <c r="O593" s="28">
        <f>SUM(V593:Y593)</f>
        <v>0</v>
      </c>
      <c r="P593" s="28">
        <f>O593-N593</f>
        <v>0</v>
      </c>
      <c r="Q593" s="61" t="str">
        <f>IF(ISERROR(P593/SUM(H593:L593)),"",P593/SUM(H593:L593))</f>
        <v/>
      </c>
      <c r="R593" s="113">
        <v>0</v>
      </c>
      <c r="S593" s="28">
        <f>IF(ISERROR(P593/C593*R593),0,(P593/C593*R593))</f>
        <v>0</v>
      </c>
      <c r="T593" s="60">
        <f>IF(ISERROR(P593/B593*AF593),0,(P593/B593*AF593))</f>
        <v>0</v>
      </c>
      <c r="V593" s="113">
        <v>0</v>
      </c>
      <c r="W593" s="113">
        <v>0</v>
      </c>
      <c r="X593" s="113">
        <v>0</v>
      </c>
      <c r="Y593" s="113">
        <v>0</v>
      </c>
      <c r="AA593" s="113">
        <v>0</v>
      </c>
      <c r="AB593" s="113">
        <v>0</v>
      </c>
      <c r="AC593" s="113">
        <v>0</v>
      </c>
      <c r="AD593" s="113">
        <v>0</v>
      </c>
      <c r="AF593" s="113">
        <v>0</v>
      </c>
      <c r="AG593" s="28">
        <f>G593-O593</f>
        <v>0</v>
      </c>
      <c r="AH593" s="58">
        <f>IF(ISERROR(AG593/B593*AF593),0,(AG593/B593*AF593))</f>
        <v>0</v>
      </c>
      <c r="AI593" s="28">
        <f>SUM(H593:M593)</f>
        <v>0</v>
      </c>
      <c r="AJ593" s="28">
        <f>IF(ISERROR(AI593/B593*AF593),0,(AI593/B593*AF593))</f>
        <v>0</v>
      </c>
      <c r="AK593" s="58">
        <f>IF(ISERROR(O593/B593*AF593),0,(O593/B593*AF593))</f>
        <v>0</v>
      </c>
      <c r="AL593" s="28">
        <f>IF(ISERROR(H593/B593*AF593),0,(H593/B593*AF593))</f>
        <v>0</v>
      </c>
      <c r="AN593" s="51">
        <f>A593</f>
        <v>0</v>
      </c>
      <c r="AO593" s="57">
        <f>IF(ISERROR(IF(B593=C593,D593/C593,(INT(D593/B593)+(((D593-B593*INT(D593/B593)))/C593)/100))),0,(IF(B593=C593,D593/C593,(INT(D593/B593)+(((D593-B593*INT(D593/B593)))/C593)/100))))</f>
        <v>0</v>
      </c>
      <c r="AP593" s="57">
        <f>IF(ISERROR(IF(B593=C593,E593/C593,(INT(E593/B593)+(((E593-B593*INT(E593/B593)))/C593)/100))),0,(IF(B593=C593,E593/C593,(INT(E593/B593)+(((E593-B593*INT(E593/B593)))/C593)/100))))</f>
        <v>0</v>
      </c>
      <c r="AQ593" s="57">
        <f>IF(ISERROR(IF(B593=C593,F593/C593,IF((INT(F593/B593)+(((F593-B593*INT(F593/B593)))/C593)/100)&lt;0,(INT(F593/B593)+(((F593-B593*INT(F593/B593)))/C593)/100)+(1-(B593/C593/100)),(INT(F593/B593)+(((F593-B593*INT(F593/B593)))/C593)/100)))),0,IF(B593=C593,F593/C593,IF((INT(F593/B593)+(((F593-B593*INT(F593/B593)))/C593)/100)&lt;0,(INT(F593/B593)+(((F593-B593*INT(F593/B593)))/C593)/100)+(1-(B593/C593/100)),(INT(F593/B593)+(((F593-B593*INT(F593/B593)))/C593)/100))))</f>
        <v>0</v>
      </c>
      <c r="AR593" s="57">
        <f>IF(ISERROR(IF(B593=C593,G593/C593,(INT(G593/B593)+(((G593-B593*INT(G593/B593)))/C593)/100))),0,(IF(B593=C593,G593/C593,(INT(G593/B593)+(((G593-B593*INT(G593/B593)))/C593)/100))))</f>
        <v>0</v>
      </c>
      <c r="AS593" s="57">
        <f>IF(ISERROR(IF(B593=C593,H593/C593,(INT(H593/B593)+(((H593-B593*INT(H593/B593)))/C593)/100))),0,(IF(B593=C593,H593/C593,(INT(H593/B593)+(((H593-B593*INT(H593/B593)))/C593)/100))))</f>
        <v>0</v>
      </c>
      <c r="AT593" s="57">
        <f>IF(ISERROR(IF(B593=C593,I593/C593,(INT(I593/B593)+(((I593-B593*INT(I593/B593)))/C593)/100))),0,(IF(B593=C593,I593/C593,(INT(I593/B593)+(((I593-B593*INT(I593/B593)))/C593)/100))))</f>
        <v>0</v>
      </c>
      <c r="AU593" s="57">
        <f>IF(ISERROR(IF(B593=C593,J593/C593,(INT(J593/B593)+(((J593-B593*INT(J593/B593)))/C593)/100))),0,(IF(B593=C593,J593/C593,(INT(J593/B593)+(((J593-B593*INT(J593/B593)))/C593)/100))))</f>
        <v>0</v>
      </c>
      <c r="AV593" s="57">
        <f>IF(ISERROR(IF(B593=C593,K593/C593,IF((INT(K593/B593)+(((K593-B593*INT(K593/B593)))/C593)/100)&lt;0,(INT(K593/B593)+(((K593-B593*INT(K593/B593)))/C593)/100)+(1-(B593/C593/100)),(INT(K593/B593)+(((K593-B593*INT(K593/B593)))/C593)/100)))),0,IF(B593=C593,K593/C593,IF((INT(K593/B593)+(((K593-B593*INT(K593/B593)))/C593)/100)&lt;0,(INT(K593/B593)+(((K593-B593*INT(K593/B593)))/C593)/100)+(1-(B593/C593/100)),(INT(K593/B593)+(((K593-B593*INT(K593/B593)))/C593)/100))))</f>
        <v>0</v>
      </c>
      <c r="AW593" s="57">
        <f>IF(ISERROR(IF(B593=C593,L593/C593,(INT(L593/B593)+(((L593-B593*INT(L593/B593)))/C593)/100))),0,(IF(B593=C593,L593/C593,(INT(L593/B593)+(((L593-B593*INT(L593/B593)))/C593)/100))))</f>
        <v>0</v>
      </c>
      <c r="AX593" s="57">
        <f>IF(ISERROR(IF(B593=C593,M593/C593,(INT(M593/B593)+(((M593-B593*INT(M593/B593)))/C593)/100))),0,(IF(B593=C593,M593/C593,(INT(M593/B593)+(((M593-B593*INT(M593/B593)))/C593)/100))))</f>
        <v>0</v>
      </c>
      <c r="AY593" s="57">
        <f>IF(ISERROR(IF(B593=C593,N593/C593,IF((INT(N593/B593)+(((N593-B593*INT(N593/B593)))/C593)/100)&lt;0,(INT(N593/B593)+(((N593-B593*INT(N593/B593)))/C593)/100)+(1-(B593/C593/100)),(INT(N593/B593)+(((N593-B593*INT(N593/B593)))/C593)/100)))),0,IF(B593=C593,N593/C593,IF((INT(N593/B593)+(((N593-B593*INT(N593/B593)))/C593)/100)&lt;0,(INT(N593/B593)+(((N593-B593*INT(N593/B593)))/C593)/100)+(1-(B593/C593/100)),(INT(N593/B593)+(((N593-B593*INT(N593/B593)))/C593)/100))))</f>
        <v>0</v>
      </c>
      <c r="AZ593" s="57">
        <f>IF(ISERROR(IF(B593=C593,O593/C593,(INT(O593/B593)+(((O593-B593*INT(O593/B593)))/C593)/100))),0,(IF(B593=C593,O593/C593,(INT(O593/B593)+(((O593-B593*INT(O593/B593)))/C593)/100))))</f>
        <v>0</v>
      </c>
      <c r="BA593" s="57">
        <f>IF(ISERROR(IF(B593=C593,P593/C593,IF((INT(P593/B593)+(((P593-B593*INT(P593/B593)))/C593)/100)&lt;0,(INT(P593/B593)+(((P593-B593*INT(P593/B593)))/C593)/100)+(1-(B593/C593/100)),(INT(P593/B593)+(((P593-B593*INT(P593/B593)))/C593)/100)))),0,IF(B593=C593,P593/C593,IF((INT(P593/B593)+(((P593-B593*INT(P593/B593)))/C593)/100)&lt;0,(INT(P593/B593)+(((P593-B593*INT(P593/B593)))/C593)/100)+(1-(B593/C593/100)),(INT(P593/B593)+(((P593-B593*INT(P593/B593)))/C593)/100))))</f>
        <v>0</v>
      </c>
      <c r="BB593" s="28">
        <f>R593</f>
        <v>0</v>
      </c>
      <c r="BC593" s="28">
        <f>S593</f>
        <v>0</v>
      </c>
      <c r="BD593" s="28">
        <f>AF593</f>
        <v>0</v>
      </c>
      <c r="BE593" s="28">
        <f>T593</f>
        <v>0</v>
      </c>
      <c r="BG593" s="57">
        <f>IF(ISERROR(IF(B593=C593,V593/C593,(INT(V593/B593)+(((V593-B593*INT(V593/B593)))/C593)/100))),0,(IF(B593=C593,V593/C593,(INT(V593/B593)+(((V593-B593*INT(V593/B593)))/C593)/100))))</f>
        <v>0</v>
      </c>
      <c r="BH593" s="57">
        <f>IF(ISERROR(IF(B593=C593,W593/C593,(INT(W593/B593)+(((W593-B593*INT(W593/B593)))/C593)/100))),0,(IF(B593=C593,W593/C593,(INT(W593/B593)+(((W593-B593*INT(W593/B593)))/C593)/100))))</f>
        <v>0</v>
      </c>
      <c r="BI593" s="57">
        <f>IF(ISERROR(IF(B593=C593,X593/C593,(INT(X593/B593)+(((X593-B593*INT(X593/B593)))/C593)/100))),0,(IF(B593=C593,X593/C593,(INT(X593/B593)+(((X593-B593*INT(X593/B593)))/C593)/100))))</f>
        <v>0</v>
      </c>
      <c r="BJ593" s="57">
        <f>IF(ISERROR(IF(B593=C593,Y593/C593,(INT(Y593/B593)+(((Y593-B593*INT(Y593/B593)))/C593)/100))),0,(IF(B593=C593,Y593/C593,(INT(Y593/B593)+(((Y593-B593*INT(Y593/B593)))/C593)/100))))</f>
        <v>0</v>
      </c>
      <c r="BL593" s="57">
        <f>IF(ISERROR(IF(B593=C593,AA593/C593,(INT(AA593/B593)+(((AA593-B593*INT(AA593/B593)))/C593)/100))),0,(IF(B593=C593,AA593/C593,(INT(AA593/B593)+(((AA593-B593*INT(AA593/B593)))/C593)/100))))</f>
        <v>0</v>
      </c>
      <c r="BM593" s="57">
        <f>IF(ISERROR(IF(B593=C593,AB593/C593,(INT(AB593/B593)+(((AB593-B593*INT(AB593/B593)))/C593)/100))),0,(IF(B593=C593,AB593/C593,(INT(AB593/B593)+(((AB593-B593*INT(AB593/B593)))/C593)/100))))</f>
        <v>0</v>
      </c>
      <c r="BN593" s="57">
        <f>IF(ISERROR(IF(B593=C593,AC593/C593,(INT(AC593/B593)+(((AC593-B593*INT(AC593/B593)))/C593)/100))),0,(IF(B593=C593,AC593/C593,(INT(AC593/B593)+(((AC593-B593*INT(AC593/B593)))/C593)/100))))</f>
        <v>0</v>
      </c>
      <c r="BO593" s="57">
        <f>IF(ISERROR(IF(B593=C593,AD593/C593,(INT(AD593/B593)+(((AD593-B593*INT(AD593/B593)))/C593)/100))),0,(IF(B593=C593,AD593/C593,(INT(AD593/B593)+(((AD593-B593*INT(AD593/B593)))/C593)/100))))</f>
        <v>0</v>
      </c>
      <c r="BQ593" s="155"/>
    </row>
    <row r="594" spans="1:69" hidden="1" x14ac:dyDescent="0.35">
      <c r="A594" s="94"/>
      <c r="B594" s="113">
        <v>0</v>
      </c>
      <c r="C594" s="113">
        <v>250</v>
      </c>
      <c r="D594" s="28">
        <f>SUM(AA594:AD594)</f>
        <v>0</v>
      </c>
      <c r="E594" s="113">
        <v>0</v>
      </c>
      <c r="F594" s="113">
        <v>0</v>
      </c>
      <c r="G594" s="28">
        <f>SUM(D594:F594)</f>
        <v>0</v>
      </c>
      <c r="H594" s="125">
        <v>0</v>
      </c>
      <c r="I594" s="113">
        <v>0</v>
      </c>
      <c r="J594" s="125">
        <v>0</v>
      </c>
      <c r="K594" s="113">
        <v>0</v>
      </c>
      <c r="L594" s="113">
        <v>0</v>
      </c>
      <c r="M594" s="113">
        <v>0</v>
      </c>
      <c r="N594" s="28">
        <f>G594-SUM(H594:M594)</f>
        <v>0</v>
      </c>
      <c r="O594" s="28">
        <f>SUM(V594:Y594)</f>
        <v>0</v>
      </c>
      <c r="P594" s="28">
        <f>O594-N594</f>
        <v>0</v>
      </c>
      <c r="Q594" s="61" t="str">
        <f>IF(ISERROR(P594/SUM(H594:L594)),"",P594/SUM(H594:L594))</f>
        <v/>
      </c>
      <c r="R594" s="113">
        <v>0</v>
      </c>
      <c r="S594" s="28">
        <f>IF(ISERROR(P594/C594*R594),0,(P594/C594*R594))</f>
        <v>0</v>
      </c>
      <c r="T594" s="60">
        <f>IF(ISERROR(P594/B594*AF594),0,(P594/B594*AF594))</f>
        <v>0</v>
      </c>
      <c r="V594" s="113">
        <v>0</v>
      </c>
      <c r="W594" s="113">
        <v>0</v>
      </c>
      <c r="X594" s="113">
        <v>0</v>
      </c>
      <c r="Y594" s="113">
        <v>0</v>
      </c>
      <c r="AA594" s="113">
        <v>0</v>
      </c>
      <c r="AB594" s="113">
        <v>0</v>
      </c>
      <c r="AC594" s="113">
        <v>0</v>
      </c>
      <c r="AD594" s="113">
        <v>0</v>
      </c>
      <c r="AF594" s="113">
        <v>0</v>
      </c>
      <c r="AG594" s="28">
        <f>G594-O594</f>
        <v>0</v>
      </c>
      <c r="AH594" s="58">
        <f>IF(ISERROR(AG594/B594*AF594),0,(AG594/B594*AF594))</f>
        <v>0</v>
      </c>
      <c r="AI594" s="28">
        <f>SUM(H594:M594)</f>
        <v>0</v>
      </c>
      <c r="AJ594" s="28">
        <f>IF(ISERROR(AI594/B594*AF594),0,(AI594/B594*AF594))</f>
        <v>0</v>
      </c>
      <c r="AK594" s="58">
        <f>IF(ISERROR(O594/B594*AF594),0,(O594/B594*AF594))</f>
        <v>0</v>
      </c>
      <c r="AL594" s="28">
        <f>IF(ISERROR(H594/B594*AF594),0,(H594/B594*AF594))</f>
        <v>0</v>
      </c>
      <c r="AN594" s="51">
        <f>A594</f>
        <v>0</v>
      </c>
      <c r="AO594" s="57">
        <f>IF(ISERROR(IF(B594=C594,D594/C594,(INT(D594/B594)+(((D594-B594*INT(D594/B594)))/C594)/100))),0,(IF(B594=C594,D594/C594,(INT(D594/B594)+(((D594-B594*INT(D594/B594)))/C594)/100))))</f>
        <v>0</v>
      </c>
      <c r="AP594" s="57">
        <f>IF(ISERROR(IF(B594=C594,E594/C594,(INT(E594/B594)+(((E594-B594*INT(E594/B594)))/C594)/100))),0,(IF(B594=C594,E594/C594,(INT(E594/B594)+(((E594-B594*INT(E594/B594)))/C594)/100))))</f>
        <v>0</v>
      </c>
      <c r="AQ594" s="57">
        <f>IF(ISERROR(IF(B594=C594,F594/C594,IF((INT(F594/B594)+(((F594-B594*INT(F594/B594)))/C594)/100)&lt;0,(INT(F594/B594)+(((F594-B594*INT(F594/B594)))/C594)/100)+(1-(B594/C594/100)),(INT(F594/B594)+(((F594-B594*INT(F594/B594)))/C594)/100)))),0,IF(B594=C594,F594/C594,IF((INT(F594/B594)+(((F594-B594*INT(F594/B594)))/C594)/100)&lt;0,(INT(F594/B594)+(((F594-B594*INT(F594/B594)))/C594)/100)+(1-(B594/C594/100)),(INT(F594/B594)+(((F594-B594*INT(F594/B594)))/C594)/100))))</f>
        <v>0</v>
      </c>
      <c r="AR594" s="57">
        <f>IF(ISERROR(IF(B594=C594,G594/C594,(INT(G594/B594)+(((G594-B594*INT(G594/B594)))/C594)/100))),0,(IF(B594=C594,G594/C594,(INT(G594/B594)+(((G594-B594*INT(G594/B594)))/C594)/100))))</f>
        <v>0</v>
      </c>
      <c r="AS594" s="57">
        <f>IF(ISERROR(IF(B594=C594,H594/C594,(INT(H594/B594)+(((H594-B594*INT(H594/B594)))/C594)/100))),0,(IF(B594=C594,H594/C594,(INT(H594/B594)+(((H594-B594*INT(H594/B594)))/C594)/100))))</f>
        <v>0</v>
      </c>
      <c r="AT594" s="57">
        <f>IF(ISERROR(IF(B594=C594,I594/C594,(INT(I594/B594)+(((I594-B594*INT(I594/B594)))/C594)/100))),0,(IF(B594=C594,I594/C594,(INT(I594/B594)+(((I594-B594*INT(I594/B594)))/C594)/100))))</f>
        <v>0</v>
      </c>
      <c r="AU594" s="57">
        <f>IF(ISERROR(IF(B594=C594,J594/C594,(INT(J594/B594)+(((J594-B594*INT(J594/B594)))/C594)/100))),0,(IF(B594=C594,J594/C594,(INT(J594/B594)+(((J594-B594*INT(J594/B594)))/C594)/100))))</f>
        <v>0</v>
      </c>
      <c r="AV594" s="57">
        <f>IF(ISERROR(IF(B594=C594,K594/C594,IF((INT(K594/B594)+(((K594-B594*INT(K594/B594)))/C594)/100)&lt;0,(INT(K594/B594)+(((K594-B594*INT(K594/B594)))/C594)/100)+(1-(B594/C594/100)),(INT(K594/B594)+(((K594-B594*INT(K594/B594)))/C594)/100)))),0,IF(B594=C594,K594/C594,IF((INT(K594/B594)+(((K594-B594*INT(K594/B594)))/C594)/100)&lt;0,(INT(K594/B594)+(((K594-B594*INT(K594/B594)))/C594)/100)+(1-(B594/C594/100)),(INT(K594/B594)+(((K594-B594*INT(K594/B594)))/C594)/100))))</f>
        <v>0</v>
      </c>
      <c r="AW594" s="57">
        <f>IF(ISERROR(IF(B594=C594,L594/C594,(INT(L594/B594)+(((L594-B594*INT(L594/B594)))/C594)/100))),0,(IF(B594=C594,L594/C594,(INT(L594/B594)+(((L594-B594*INT(L594/B594)))/C594)/100))))</f>
        <v>0</v>
      </c>
      <c r="AX594" s="57">
        <f>IF(ISERROR(IF(B594=C594,M594/C594,(INT(M594/B594)+(((M594-B594*INT(M594/B594)))/C594)/100))),0,(IF(B594=C594,M594/C594,(INT(M594/B594)+(((M594-B594*INT(M594/B594)))/C594)/100))))</f>
        <v>0</v>
      </c>
      <c r="AY594" s="57">
        <f>IF(ISERROR(IF(B594=C594,N594/C594,IF((INT(N594/B594)+(((N594-B594*INT(N594/B594)))/C594)/100)&lt;0,(INT(N594/B594)+(((N594-B594*INT(N594/B594)))/C594)/100)+(1-(B594/C594/100)),(INT(N594/B594)+(((N594-B594*INT(N594/B594)))/C594)/100)))),0,IF(B594=C594,N594/C594,IF((INT(N594/B594)+(((N594-B594*INT(N594/B594)))/C594)/100)&lt;0,(INT(N594/B594)+(((N594-B594*INT(N594/B594)))/C594)/100)+(1-(B594/C594/100)),(INT(N594/B594)+(((N594-B594*INT(N594/B594)))/C594)/100))))</f>
        <v>0</v>
      </c>
      <c r="AZ594" s="57">
        <f>IF(ISERROR(IF(B594=C594,O594/C594,(INT(O594/B594)+(((O594-B594*INT(O594/B594)))/C594)/100))),0,(IF(B594=C594,O594/C594,(INT(O594/B594)+(((O594-B594*INT(O594/B594)))/C594)/100))))</f>
        <v>0</v>
      </c>
      <c r="BA594" s="57">
        <f>IF(ISERROR(IF(B594=C594,P594/C594,IF((INT(P594/B594)+(((P594-B594*INT(P594/B594)))/C594)/100)&lt;0,(INT(P594/B594)+(((P594-B594*INT(P594/B594)))/C594)/100)+(1-(B594/C594/100)),(INT(P594/B594)+(((P594-B594*INT(P594/B594)))/C594)/100)))),0,IF(B594=C594,P594/C594,IF((INT(P594/B594)+(((P594-B594*INT(P594/B594)))/C594)/100)&lt;0,(INT(P594/B594)+(((P594-B594*INT(P594/B594)))/C594)/100)+(1-(B594/C594/100)),(INT(P594/B594)+(((P594-B594*INT(P594/B594)))/C594)/100))))</f>
        <v>0</v>
      </c>
      <c r="BB594" s="28">
        <f>R594</f>
        <v>0</v>
      </c>
      <c r="BC594" s="28">
        <f>S594</f>
        <v>0</v>
      </c>
      <c r="BD594" s="28">
        <f>AF594</f>
        <v>0</v>
      </c>
      <c r="BE594" s="28">
        <f>T594</f>
        <v>0</v>
      </c>
      <c r="BG594" s="57">
        <f>IF(ISERROR(IF(B594=C594,V594/C594,(INT(V594/B594)+(((V594-B594*INT(V594/B594)))/C594)/100))),0,(IF(B594=C594,V594/C594,(INT(V594/B594)+(((V594-B594*INT(V594/B594)))/C594)/100))))</f>
        <v>0</v>
      </c>
      <c r="BH594" s="57">
        <f>IF(ISERROR(IF(B594=C594,W594/C594,(INT(W594/B594)+(((W594-B594*INT(W594/B594)))/C594)/100))),0,(IF(B594=C594,W594/C594,(INT(W594/B594)+(((W594-B594*INT(W594/B594)))/C594)/100))))</f>
        <v>0</v>
      </c>
      <c r="BI594" s="57">
        <f>IF(ISERROR(IF(B594=C594,X594/C594,(INT(X594/B594)+(((X594-B594*INT(X594/B594)))/C594)/100))),0,(IF(B594=C594,X594/C594,(INT(X594/B594)+(((X594-B594*INT(X594/B594)))/C594)/100))))</f>
        <v>0</v>
      </c>
      <c r="BJ594" s="57">
        <f>IF(ISERROR(IF(B594=C594,Y594/C594,(INT(Y594/B594)+(((Y594-B594*INT(Y594/B594)))/C594)/100))),0,(IF(B594=C594,Y594/C594,(INT(Y594/B594)+(((Y594-B594*INT(Y594/B594)))/C594)/100))))</f>
        <v>0</v>
      </c>
      <c r="BL594" s="57">
        <f>IF(ISERROR(IF(B594=C594,AA594/C594,(INT(AA594/B594)+(((AA594-B594*INT(AA594/B594)))/C594)/100))),0,(IF(B594=C594,AA594/C594,(INT(AA594/B594)+(((AA594-B594*INT(AA594/B594)))/C594)/100))))</f>
        <v>0</v>
      </c>
      <c r="BM594" s="57">
        <f>IF(ISERROR(IF(B594=C594,AB594/C594,(INT(AB594/B594)+(((AB594-B594*INT(AB594/B594)))/C594)/100))),0,(IF(B594=C594,AB594/C594,(INT(AB594/B594)+(((AB594-B594*INT(AB594/B594)))/C594)/100))))</f>
        <v>0</v>
      </c>
      <c r="BN594" s="57">
        <f>IF(ISERROR(IF(B594=C594,AC594/C594,(INT(AC594/B594)+(((AC594-B594*INT(AC594/B594)))/C594)/100))),0,(IF(B594=C594,AC594/C594,(INT(AC594/B594)+(((AC594-B594*INT(AC594/B594)))/C594)/100))))</f>
        <v>0</v>
      </c>
      <c r="BO594" s="57">
        <f>IF(ISERROR(IF(B594=C594,AD594/C594,(INT(AD594/B594)+(((AD594-B594*INT(AD594/B594)))/C594)/100))),0,(IF(B594=C594,AD594/C594,(INT(AD594/B594)+(((AD594-B594*INT(AD594/B594)))/C594)/100))))</f>
        <v>0</v>
      </c>
      <c r="BQ594" s="155"/>
    </row>
    <row r="595" spans="1:69" hidden="1" x14ac:dyDescent="0.35">
      <c r="A595" s="94"/>
      <c r="B595" s="113">
        <v>0</v>
      </c>
      <c r="C595" s="113">
        <v>250</v>
      </c>
      <c r="D595" s="28">
        <f>SUM(AA595:AD595)</f>
        <v>0</v>
      </c>
      <c r="E595" s="113">
        <v>0</v>
      </c>
      <c r="F595" s="113">
        <v>0</v>
      </c>
      <c r="G595" s="28">
        <f>SUM(D595:F595)</f>
        <v>0</v>
      </c>
      <c r="H595" s="125">
        <v>0</v>
      </c>
      <c r="I595" s="113">
        <v>0</v>
      </c>
      <c r="J595" s="125">
        <v>0</v>
      </c>
      <c r="K595" s="113">
        <v>0</v>
      </c>
      <c r="L595" s="113">
        <v>0</v>
      </c>
      <c r="M595" s="113">
        <v>0</v>
      </c>
      <c r="N595" s="28">
        <f>G595-SUM(H595:M595)</f>
        <v>0</v>
      </c>
      <c r="O595" s="28">
        <f>SUM(V595:Y595)</f>
        <v>0</v>
      </c>
      <c r="P595" s="28">
        <f>O595-N595</f>
        <v>0</v>
      </c>
      <c r="Q595" s="61" t="str">
        <f>IF(ISERROR(P595/SUM(H595:L595)),"",P595/SUM(H595:L595))</f>
        <v/>
      </c>
      <c r="R595" s="113">
        <v>0</v>
      </c>
      <c r="S595" s="28">
        <f>IF(ISERROR(P595/C595*R595),0,(P595/C595*R595))</f>
        <v>0</v>
      </c>
      <c r="T595" s="60">
        <f>IF(ISERROR(P595/B595*AF595),0,(P595/B595*AF595))</f>
        <v>0</v>
      </c>
      <c r="V595" s="113">
        <v>0</v>
      </c>
      <c r="W595" s="113">
        <v>0</v>
      </c>
      <c r="X595" s="113">
        <v>0</v>
      </c>
      <c r="Y595" s="113">
        <v>0</v>
      </c>
      <c r="AA595" s="113">
        <v>0</v>
      </c>
      <c r="AB595" s="113">
        <v>0</v>
      </c>
      <c r="AC595" s="113">
        <v>0</v>
      </c>
      <c r="AD595" s="113">
        <v>0</v>
      </c>
      <c r="AF595" s="113">
        <v>0</v>
      </c>
      <c r="AG595" s="28">
        <f>G595-O595</f>
        <v>0</v>
      </c>
      <c r="AH595" s="58">
        <f>IF(ISERROR(AG595/B595*AF595),0,(AG595/B595*AF595))</f>
        <v>0</v>
      </c>
      <c r="AI595" s="28">
        <f>SUM(H595:M595)</f>
        <v>0</v>
      </c>
      <c r="AJ595" s="28">
        <f>IF(ISERROR(AI595/B595*AF595),0,(AI595/B595*AF595))</f>
        <v>0</v>
      </c>
      <c r="AK595" s="58">
        <f>IF(ISERROR(O595/B595*AF595),0,(O595/B595*AF595))</f>
        <v>0</v>
      </c>
      <c r="AL595" s="28">
        <f>IF(ISERROR(H595/B595*AF595),0,(H595/B595*AF595))</f>
        <v>0</v>
      </c>
      <c r="AN595" s="51">
        <f>A595</f>
        <v>0</v>
      </c>
      <c r="AO595" s="57">
        <f>IF(ISERROR(IF(B595=C595,D595/C595,(INT(D595/B595)+(((D595-B595*INT(D595/B595)))/C595)/100))),0,(IF(B595=C595,D595/C595,(INT(D595/B595)+(((D595-B595*INT(D595/B595)))/C595)/100))))</f>
        <v>0</v>
      </c>
      <c r="AP595" s="57">
        <f>IF(ISERROR(IF(B595=C595,E595/C595,(INT(E595/B595)+(((E595-B595*INT(E595/B595)))/C595)/100))),0,(IF(B595=C595,E595/C595,(INT(E595/B595)+(((E595-B595*INT(E595/B595)))/C595)/100))))</f>
        <v>0</v>
      </c>
      <c r="AQ595" s="57">
        <f>IF(ISERROR(IF(B595=C595,F595/C595,IF((INT(F595/B595)+(((F595-B595*INT(F595/B595)))/C595)/100)&lt;0,(INT(F595/B595)+(((F595-B595*INT(F595/B595)))/C595)/100)+(1-(B595/C595/100)),(INT(F595/B595)+(((F595-B595*INT(F595/B595)))/C595)/100)))),0,IF(B595=C595,F595/C595,IF((INT(F595/B595)+(((F595-B595*INT(F595/B595)))/C595)/100)&lt;0,(INT(F595/B595)+(((F595-B595*INT(F595/B595)))/C595)/100)+(1-(B595/C595/100)),(INT(F595/B595)+(((F595-B595*INT(F595/B595)))/C595)/100))))</f>
        <v>0</v>
      </c>
      <c r="AR595" s="57">
        <f>IF(ISERROR(IF(B595=C595,G595/C595,(INT(G595/B595)+(((G595-B595*INT(G595/B595)))/C595)/100))),0,(IF(B595=C595,G595/C595,(INT(G595/B595)+(((G595-B595*INT(G595/B595)))/C595)/100))))</f>
        <v>0</v>
      </c>
      <c r="AS595" s="57">
        <f>IF(ISERROR(IF(B595=C595,H595/C595,(INT(H595/B595)+(((H595-B595*INT(H595/B595)))/C595)/100))),0,(IF(B595=C595,H595/C595,(INT(H595/B595)+(((H595-B595*INT(H595/B595)))/C595)/100))))</f>
        <v>0</v>
      </c>
      <c r="AT595" s="57">
        <f>IF(ISERROR(IF(B595=C595,I595/C595,(INT(I595/B595)+(((I595-B595*INT(I595/B595)))/C595)/100))),0,(IF(B595=C595,I595/C595,(INT(I595/B595)+(((I595-B595*INT(I595/B595)))/C595)/100))))</f>
        <v>0</v>
      </c>
      <c r="AU595" s="57">
        <f>IF(ISERROR(IF(B595=C595,J595/C595,(INT(J595/B595)+(((J595-B595*INT(J595/B595)))/C595)/100))),0,(IF(B595=C595,J595/C595,(INT(J595/B595)+(((J595-B595*INT(J595/B595)))/C595)/100))))</f>
        <v>0</v>
      </c>
      <c r="AV595" s="57">
        <f>IF(ISERROR(IF(B595=C595,K595/C595,IF((INT(K595/B595)+(((K595-B595*INT(K595/B595)))/C595)/100)&lt;0,(INT(K595/B595)+(((K595-B595*INT(K595/B595)))/C595)/100)+(1-(B595/C595/100)),(INT(K595/B595)+(((K595-B595*INT(K595/B595)))/C595)/100)))),0,IF(B595=C595,K595/C595,IF((INT(K595/B595)+(((K595-B595*INT(K595/B595)))/C595)/100)&lt;0,(INT(K595/B595)+(((K595-B595*INT(K595/B595)))/C595)/100)+(1-(B595/C595/100)),(INT(K595/B595)+(((K595-B595*INT(K595/B595)))/C595)/100))))</f>
        <v>0</v>
      </c>
      <c r="AW595" s="57">
        <f>IF(ISERROR(IF(B595=C595,L595/C595,(INT(L595/B595)+(((L595-B595*INT(L595/B595)))/C595)/100))),0,(IF(B595=C595,L595/C595,(INT(L595/B595)+(((L595-B595*INT(L595/B595)))/C595)/100))))</f>
        <v>0</v>
      </c>
      <c r="AX595" s="57">
        <f>IF(ISERROR(IF(B595=C595,M595/C595,(INT(M595/B595)+(((M595-B595*INT(M595/B595)))/C595)/100))),0,(IF(B595=C595,M595/C595,(INT(M595/B595)+(((M595-B595*INT(M595/B595)))/C595)/100))))</f>
        <v>0</v>
      </c>
      <c r="AY595" s="57">
        <f>IF(ISERROR(IF(B595=C595,N595/C595,IF((INT(N595/B595)+(((N595-B595*INT(N595/B595)))/C595)/100)&lt;0,(INT(N595/B595)+(((N595-B595*INT(N595/B595)))/C595)/100)+(1-(B595/C595/100)),(INT(N595/B595)+(((N595-B595*INT(N595/B595)))/C595)/100)))),0,IF(B595=C595,N595/C595,IF((INT(N595/B595)+(((N595-B595*INT(N595/B595)))/C595)/100)&lt;0,(INT(N595/B595)+(((N595-B595*INT(N595/B595)))/C595)/100)+(1-(B595/C595/100)),(INT(N595/B595)+(((N595-B595*INT(N595/B595)))/C595)/100))))</f>
        <v>0</v>
      </c>
      <c r="AZ595" s="57">
        <f>IF(ISERROR(IF(B595=C595,O595/C595,(INT(O595/B595)+(((O595-B595*INT(O595/B595)))/C595)/100))),0,(IF(B595=C595,O595/C595,(INT(O595/B595)+(((O595-B595*INT(O595/B595)))/C595)/100))))</f>
        <v>0</v>
      </c>
      <c r="BA595" s="57">
        <f>IF(ISERROR(IF(B595=C595,P595/C595,IF((INT(P595/B595)+(((P595-B595*INT(P595/B595)))/C595)/100)&lt;0,(INT(P595/B595)+(((P595-B595*INT(P595/B595)))/C595)/100)+(1-(B595/C595/100)),(INT(P595/B595)+(((P595-B595*INT(P595/B595)))/C595)/100)))),0,IF(B595=C595,P595/C595,IF((INT(P595/B595)+(((P595-B595*INT(P595/B595)))/C595)/100)&lt;0,(INT(P595/B595)+(((P595-B595*INT(P595/B595)))/C595)/100)+(1-(B595/C595/100)),(INT(P595/B595)+(((P595-B595*INT(P595/B595)))/C595)/100))))</f>
        <v>0</v>
      </c>
      <c r="BB595" s="28">
        <f>R595</f>
        <v>0</v>
      </c>
      <c r="BC595" s="28">
        <f>S595</f>
        <v>0</v>
      </c>
      <c r="BD595" s="28">
        <f>AF595</f>
        <v>0</v>
      </c>
      <c r="BE595" s="28">
        <f>T595</f>
        <v>0</v>
      </c>
      <c r="BG595" s="57">
        <f>IF(ISERROR(IF(B595=C595,V595/C595,(INT(V595/B595)+(((V595-B595*INT(V595/B595)))/C595)/100))),0,(IF(B595=C595,V595/C595,(INT(V595/B595)+(((V595-B595*INT(V595/B595)))/C595)/100))))</f>
        <v>0</v>
      </c>
      <c r="BH595" s="57">
        <f>IF(ISERROR(IF(B595=C595,W595/C595,(INT(W595/B595)+(((W595-B595*INT(W595/B595)))/C595)/100))),0,(IF(B595=C595,W595/C595,(INT(W595/B595)+(((W595-B595*INT(W595/B595)))/C595)/100))))</f>
        <v>0</v>
      </c>
      <c r="BI595" s="57">
        <f>IF(ISERROR(IF(B595=C595,X595/C595,(INT(X595/B595)+(((X595-B595*INT(X595/B595)))/C595)/100))),0,(IF(B595=C595,X595/C595,(INT(X595/B595)+(((X595-B595*INT(X595/B595)))/C595)/100))))</f>
        <v>0</v>
      </c>
      <c r="BJ595" s="57">
        <f>IF(ISERROR(IF(B595=C595,Y595/C595,(INT(Y595/B595)+(((Y595-B595*INT(Y595/B595)))/C595)/100))),0,(IF(B595=C595,Y595/C595,(INT(Y595/B595)+(((Y595-B595*INT(Y595/B595)))/C595)/100))))</f>
        <v>0</v>
      </c>
      <c r="BL595" s="57">
        <f>IF(ISERROR(IF(B595=C595,AA595/C595,(INT(AA595/B595)+(((AA595-B595*INT(AA595/B595)))/C595)/100))),0,(IF(B595=C595,AA595/C595,(INT(AA595/B595)+(((AA595-B595*INT(AA595/B595)))/C595)/100))))</f>
        <v>0</v>
      </c>
      <c r="BM595" s="57">
        <f>IF(ISERROR(IF(B595=C595,AB595/C595,(INT(AB595/B595)+(((AB595-B595*INT(AB595/B595)))/C595)/100))),0,(IF(B595=C595,AB595/C595,(INT(AB595/B595)+(((AB595-B595*INT(AB595/B595)))/C595)/100))))</f>
        <v>0</v>
      </c>
      <c r="BN595" s="57">
        <f>IF(ISERROR(IF(B595=C595,AC595/C595,(INT(AC595/B595)+(((AC595-B595*INT(AC595/B595)))/C595)/100))),0,(IF(B595=C595,AC595/C595,(INT(AC595/B595)+(((AC595-B595*INT(AC595/B595)))/C595)/100))))</f>
        <v>0</v>
      </c>
      <c r="BO595" s="57">
        <f>IF(ISERROR(IF(B595=C595,AD595/C595,(INT(AD595/B595)+(((AD595-B595*INT(AD595/B595)))/C595)/100))),0,(IF(B595=C595,AD595/C595,(INT(AD595/B595)+(((AD595-B595*INT(AD595/B595)))/C595)/100))))</f>
        <v>0</v>
      </c>
      <c r="BQ595" s="155"/>
    </row>
    <row r="596" spans="1:69" hidden="1" x14ac:dyDescent="0.35">
      <c r="A596" s="94"/>
      <c r="B596" s="113">
        <v>0</v>
      </c>
      <c r="C596" s="113">
        <v>250</v>
      </c>
      <c r="D596" s="28">
        <f>SUM(AA596:AD596)</f>
        <v>0</v>
      </c>
      <c r="E596" s="113">
        <v>0</v>
      </c>
      <c r="F596" s="113">
        <v>0</v>
      </c>
      <c r="G596" s="28">
        <f>SUM(D596:F596)</f>
        <v>0</v>
      </c>
      <c r="H596" s="125">
        <v>0</v>
      </c>
      <c r="I596" s="113">
        <v>0</v>
      </c>
      <c r="J596" s="125">
        <v>0</v>
      </c>
      <c r="K596" s="113">
        <v>0</v>
      </c>
      <c r="L596" s="113">
        <v>0</v>
      </c>
      <c r="M596" s="113">
        <v>0</v>
      </c>
      <c r="N596" s="28">
        <f>G596-SUM(H596:M596)</f>
        <v>0</v>
      </c>
      <c r="O596" s="28">
        <f>SUM(V596:Y596)</f>
        <v>0</v>
      </c>
      <c r="P596" s="28">
        <f>O596-N596</f>
        <v>0</v>
      </c>
      <c r="Q596" s="61" t="str">
        <f>IF(ISERROR(P596/SUM(H596:L596)),"",P596/SUM(H596:L596))</f>
        <v/>
      </c>
      <c r="R596" s="113">
        <v>0</v>
      </c>
      <c r="S596" s="28">
        <f>IF(ISERROR(P596/C596*R596),0,(P596/C596*R596))</f>
        <v>0</v>
      </c>
      <c r="T596" s="60">
        <f>IF(ISERROR(P596/B596*AF596),0,(P596/B596*AF596))</f>
        <v>0</v>
      </c>
      <c r="V596" s="113">
        <v>0</v>
      </c>
      <c r="W596" s="113">
        <v>0</v>
      </c>
      <c r="X596" s="113">
        <v>0</v>
      </c>
      <c r="Y596" s="113">
        <v>0</v>
      </c>
      <c r="AA596" s="113">
        <v>0</v>
      </c>
      <c r="AB596" s="113">
        <v>0</v>
      </c>
      <c r="AC596" s="113">
        <v>0</v>
      </c>
      <c r="AD596" s="113">
        <v>0</v>
      </c>
      <c r="AF596" s="113">
        <v>0</v>
      </c>
      <c r="AG596" s="28">
        <f>G596-O596</f>
        <v>0</v>
      </c>
      <c r="AH596" s="58">
        <f>IF(ISERROR(AG596/B596*AF596),0,(AG596/B596*AF596))</f>
        <v>0</v>
      </c>
      <c r="AI596" s="28">
        <f>SUM(H596:M596)</f>
        <v>0</v>
      </c>
      <c r="AJ596" s="28">
        <f>IF(ISERROR(AI596/B596*AF596),0,(AI596/B596*AF596))</f>
        <v>0</v>
      </c>
      <c r="AK596" s="58">
        <f>IF(ISERROR(O596/B596*AF596),0,(O596/B596*AF596))</f>
        <v>0</v>
      </c>
      <c r="AL596" s="28">
        <f>IF(ISERROR(H596/B596*AF596),0,(H596/B596*AF596))</f>
        <v>0</v>
      </c>
      <c r="AN596" s="51">
        <f>A596</f>
        <v>0</v>
      </c>
      <c r="AO596" s="57">
        <f>IF(ISERROR(IF(B596=C596,D596/C596,(INT(D596/B596)+(((D596-B596*INT(D596/B596)))/C596)/100))),0,(IF(B596=C596,D596/C596,(INT(D596/B596)+(((D596-B596*INT(D596/B596)))/C596)/100))))</f>
        <v>0</v>
      </c>
      <c r="AP596" s="57">
        <f>IF(ISERROR(IF(B596=C596,E596/C596,(INT(E596/B596)+(((E596-B596*INT(E596/B596)))/C596)/100))),0,(IF(B596=C596,E596/C596,(INT(E596/B596)+(((E596-B596*INT(E596/B596)))/C596)/100))))</f>
        <v>0</v>
      </c>
      <c r="AQ596" s="57">
        <f>IF(ISERROR(IF(B596=C596,F596/C596,IF((INT(F596/B596)+(((F596-B596*INT(F596/B596)))/C596)/100)&lt;0,(INT(F596/B596)+(((F596-B596*INT(F596/B596)))/C596)/100)+(1-(B596/C596/100)),(INT(F596/B596)+(((F596-B596*INT(F596/B596)))/C596)/100)))),0,IF(B596=C596,F596/C596,IF((INT(F596/B596)+(((F596-B596*INT(F596/B596)))/C596)/100)&lt;0,(INT(F596/B596)+(((F596-B596*INT(F596/B596)))/C596)/100)+(1-(B596/C596/100)),(INT(F596/B596)+(((F596-B596*INT(F596/B596)))/C596)/100))))</f>
        <v>0</v>
      </c>
      <c r="AR596" s="57">
        <f>IF(ISERROR(IF(B596=C596,G596/C596,(INT(G596/B596)+(((G596-B596*INT(G596/B596)))/C596)/100))),0,(IF(B596=C596,G596/C596,(INT(G596/B596)+(((G596-B596*INT(G596/B596)))/C596)/100))))</f>
        <v>0</v>
      </c>
      <c r="AS596" s="57">
        <f>IF(ISERROR(IF(B596=C596,H596/C596,(INT(H596/B596)+(((H596-B596*INT(H596/B596)))/C596)/100))),0,(IF(B596=C596,H596/C596,(INT(H596/B596)+(((H596-B596*INT(H596/B596)))/C596)/100))))</f>
        <v>0</v>
      </c>
      <c r="AT596" s="57">
        <f>IF(ISERROR(IF(B596=C596,I596/C596,(INT(I596/B596)+(((I596-B596*INT(I596/B596)))/C596)/100))),0,(IF(B596=C596,I596/C596,(INT(I596/B596)+(((I596-B596*INT(I596/B596)))/C596)/100))))</f>
        <v>0</v>
      </c>
      <c r="AU596" s="57">
        <f>IF(ISERROR(IF(B596=C596,J596/C596,(INT(J596/B596)+(((J596-B596*INT(J596/B596)))/C596)/100))),0,(IF(B596=C596,J596/C596,(INT(J596/B596)+(((J596-B596*INT(J596/B596)))/C596)/100))))</f>
        <v>0</v>
      </c>
      <c r="AV596" s="57">
        <f>IF(ISERROR(IF(B596=C596,K596/C596,IF((INT(K596/B596)+(((K596-B596*INT(K596/B596)))/C596)/100)&lt;0,(INT(K596/B596)+(((K596-B596*INT(K596/B596)))/C596)/100)+(1-(B596/C596/100)),(INT(K596/B596)+(((K596-B596*INT(K596/B596)))/C596)/100)))),0,IF(B596=C596,K596/C596,IF((INT(K596/B596)+(((K596-B596*INT(K596/B596)))/C596)/100)&lt;0,(INT(K596/B596)+(((K596-B596*INT(K596/B596)))/C596)/100)+(1-(B596/C596/100)),(INT(K596/B596)+(((K596-B596*INT(K596/B596)))/C596)/100))))</f>
        <v>0</v>
      </c>
      <c r="AW596" s="57">
        <f>IF(ISERROR(IF(B596=C596,L596/C596,(INT(L596/B596)+(((L596-B596*INT(L596/B596)))/C596)/100))),0,(IF(B596=C596,L596/C596,(INT(L596/B596)+(((L596-B596*INT(L596/B596)))/C596)/100))))</f>
        <v>0</v>
      </c>
      <c r="AX596" s="57">
        <f>IF(ISERROR(IF(B596=C596,M596/C596,(INT(M596/B596)+(((M596-B596*INT(M596/B596)))/C596)/100))),0,(IF(B596=C596,M596/C596,(INT(M596/B596)+(((M596-B596*INT(M596/B596)))/C596)/100))))</f>
        <v>0</v>
      </c>
      <c r="AY596" s="57">
        <f>IF(ISERROR(IF(B596=C596,N596/C596,IF((INT(N596/B596)+(((N596-B596*INT(N596/B596)))/C596)/100)&lt;0,(INT(N596/B596)+(((N596-B596*INT(N596/B596)))/C596)/100)+(1-(B596/C596/100)),(INT(N596/B596)+(((N596-B596*INT(N596/B596)))/C596)/100)))),0,IF(B596=C596,N596/C596,IF((INT(N596/B596)+(((N596-B596*INT(N596/B596)))/C596)/100)&lt;0,(INT(N596/B596)+(((N596-B596*INT(N596/B596)))/C596)/100)+(1-(B596/C596/100)),(INT(N596/B596)+(((N596-B596*INT(N596/B596)))/C596)/100))))</f>
        <v>0</v>
      </c>
      <c r="AZ596" s="57">
        <f>IF(ISERROR(IF(B596=C596,O596/C596,(INT(O596/B596)+(((O596-B596*INT(O596/B596)))/C596)/100))),0,(IF(B596=C596,O596/C596,(INT(O596/B596)+(((O596-B596*INT(O596/B596)))/C596)/100))))</f>
        <v>0</v>
      </c>
      <c r="BA596" s="57">
        <f>IF(ISERROR(IF(B596=C596,P596/C596,IF((INT(P596/B596)+(((P596-B596*INT(P596/B596)))/C596)/100)&lt;0,(INT(P596/B596)+(((P596-B596*INT(P596/B596)))/C596)/100)+(1-(B596/C596/100)),(INT(P596/B596)+(((P596-B596*INT(P596/B596)))/C596)/100)))),0,IF(B596=C596,P596/C596,IF((INT(P596/B596)+(((P596-B596*INT(P596/B596)))/C596)/100)&lt;0,(INT(P596/B596)+(((P596-B596*INT(P596/B596)))/C596)/100)+(1-(B596/C596/100)),(INT(P596/B596)+(((P596-B596*INT(P596/B596)))/C596)/100))))</f>
        <v>0</v>
      </c>
      <c r="BB596" s="28">
        <f>R596</f>
        <v>0</v>
      </c>
      <c r="BC596" s="28">
        <f>S596</f>
        <v>0</v>
      </c>
      <c r="BD596" s="28">
        <f>AF596</f>
        <v>0</v>
      </c>
      <c r="BE596" s="28">
        <f>T596</f>
        <v>0</v>
      </c>
      <c r="BG596" s="57">
        <f>IF(ISERROR(IF(B596=C596,V596/C596,(INT(V596/B596)+(((V596-B596*INT(V596/B596)))/C596)/100))),0,(IF(B596=C596,V596/C596,(INT(V596/B596)+(((V596-B596*INT(V596/B596)))/C596)/100))))</f>
        <v>0</v>
      </c>
      <c r="BH596" s="57">
        <f>IF(ISERROR(IF(B596=C596,W596/C596,(INT(W596/B596)+(((W596-B596*INT(W596/B596)))/C596)/100))),0,(IF(B596=C596,W596/C596,(INT(W596/B596)+(((W596-B596*INT(W596/B596)))/C596)/100))))</f>
        <v>0</v>
      </c>
      <c r="BI596" s="57">
        <f>IF(ISERROR(IF(B596=C596,X596/C596,(INT(X596/B596)+(((X596-B596*INT(X596/B596)))/C596)/100))),0,(IF(B596=C596,X596/C596,(INT(X596/B596)+(((X596-B596*INT(X596/B596)))/C596)/100))))</f>
        <v>0</v>
      </c>
      <c r="BJ596" s="57">
        <f>IF(ISERROR(IF(B596=C596,Y596/C596,(INT(Y596/B596)+(((Y596-B596*INT(Y596/B596)))/C596)/100))),0,(IF(B596=C596,Y596/C596,(INT(Y596/B596)+(((Y596-B596*INT(Y596/B596)))/C596)/100))))</f>
        <v>0</v>
      </c>
      <c r="BL596" s="57">
        <f>IF(ISERROR(IF(B596=C596,AA596/C596,(INT(AA596/B596)+(((AA596-B596*INT(AA596/B596)))/C596)/100))),0,(IF(B596=C596,AA596/C596,(INT(AA596/B596)+(((AA596-B596*INT(AA596/B596)))/C596)/100))))</f>
        <v>0</v>
      </c>
      <c r="BM596" s="57">
        <f>IF(ISERROR(IF(B596=C596,AB596/C596,(INT(AB596/B596)+(((AB596-B596*INT(AB596/B596)))/C596)/100))),0,(IF(B596=C596,AB596/C596,(INT(AB596/B596)+(((AB596-B596*INT(AB596/B596)))/C596)/100))))</f>
        <v>0</v>
      </c>
      <c r="BN596" s="57">
        <f>IF(ISERROR(IF(B596=C596,AC596/C596,(INT(AC596/B596)+(((AC596-B596*INT(AC596/B596)))/C596)/100))),0,(IF(B596=C596,AC596/C596,(INT(AC596/B596)+(((AC596-B596*INT(AC596/B596)))/C596)/100))))</f>
        <v>0</v>
      </c>
      <c r="BO596" s="57">
        <f>IF(ISERROR(IF(B596=C596,AD596/C596,(INT(AD596/B596)+(((AD596-B596*INT(AD596/B596)))/C596)/100))),0,(IF(B596=C596,AD596/C596,(INT(AD596/B596)+(((AD596-B596*INT(AD596/B596)))/C596)/100))))</f>
        <v>0</v>
      </c>
      <c r="BQ596" s="155"/>
    </row>
    <row r="597" spans="1:69" hidden="1" x14ac:dyDescent="0.35">
      <c r="A597" s="94"/>
      <c r="B597" s="113">
        <v>0</v>
      </c>
      <c r="C597" s="113">
        <v>250</v>
      </c>
      <c r="D597" s="28">
        <f>SUM(AA597:AD597)</f>
        <v>0</v>
      </c>
      <c r="E597" s="113">
        <v>0</v>
      </c>
      <c r="F597" s="113">
        <v>0</v>
      </c>
      <c r="G597" s="28">
        <f>SUM(D597:F597)</f>
        <v>0</v>
      </c>
      <c r="H597" s="125">
        <v>0</v>
      </c>
      <c r="I597" s="113">
        <v>0</v>
      </c>
      <c r="J597" s="125">
        <v>0</v>
      </c>
      <c r="K597" s="113">
        <v>0</v>
      </c>
      <c r="L597" s="113">
        <v>0</v>
      </c>
      <c r="M597" s="113">
        <v>0</v>
      </c>
      <c r="N597" s="28">
        <f>G597-SUM(H597:M597)</f>
        <v>0</v>
      </c>
      <c r="O597" s="28">
        <f>SUM(V597:Y597)</f>
        <v>0</v>
      </c>
      <c r="P597" s="28">
        <f>O597-N597</f>
        <v>0</v>
      </c>
      <c r="Q597" s="61" t="str">
        <f>IF(ISERROR(P597/SUM(H597:L597)),"",P597/SUM(H597:L597))</f>
        <v/>
      </c>
      <c r="R597" s="113">
        <v>0</v>
      </c>
      <c r="S597" s="28">
        <f>IF(ISERROR(P597/C597*R597),0,(P597/C597*R597))</f>
        <v>0</v>
      </c>
      <c r="T597" s="60">
        <f>IF(ISERROR(P597/B597*AF597),0,(P597/B597*AF597))</f>
        <v>0</v>
      </c>
      <c r="V597" s="113">
        <v>0</v>
      </c>
      <c r="W597" s="113">
        <v>0</v>
      </c>
      <c r="X597" s="113">
        <v>0</v>
      </c>
      <c r="Y597" s="113">
        <v>0</v>
      </c>
      <c r="AA597" s="113">
        <v>0</v>
      </c>
      <c r="AB597" s="113">
        <v>0</v>
      </c>
      <c r="AC597" s="113">
        <v>0</v>
      </c>
      <c r="AD597" s="113">
        <v>0</v>
      </c>
      <c r="AF597" s="113">
        <v>0</v>
      </c>
      <c r="AG597" s="28">
        <f>G597-O597</f>
        <v>0</v>
      </c>
      <c r="AH597" s="58">
        <f>IF(ISERROR(AG597/B597*AF597),0,(AG597/B597*AF597))</f>
        <v>0</v>
      </c>
      <c r="AI597" s="28">
        <f>SUM(H597:M597)</f>
        <v>0</v>
      </c>
      <c r="AJ597" s="28">
        <f>IF(ISERROR(AI597/B597*AF597),0,(AI597/B597*AF597))</f>
        <v>0</v>
      </c>
      <c r="AK597" s="58">
        <f>IF(ISERROR(O597/B597*AF597),0,(O597/B597*AF597))</f>
        <v>0</v>
      </c>
      <c r="AL597" s="28">
        <f>IF(ISERROR(H597/B597*AF597),0,(H597/B597*AF597))</f>
        <v>0</v>
      </c>
      <c r="AN597" s="51">
        <f>A597</f>
        <v>0</v>
      </c>
      <c r="AO597" s="57">
        <f>IF(ISERROR(IF(B597=C597,D597/C597,(INT(D597/B597)+(((D597-B597*INT(D597/B597)))/C597)/100))),0,(IF(B597=C597,D597/C597,(INT(D597/B597)+(((D597-B597*INT(D597/B597)))/C597)/100))))</f>
        <v>0</v>
      </c>
      <c r="AP597" s="57">
        <f>IF(ISERROR(IF(B597=C597,E597/C597,(INT(E597/B597)+(((E597-B597*INT(E597/B597)))/C597)/100))),0,(IF(B597=C597,E597/C597,(INT(E597/B597)+(((E597-B597*INT(E597/B597)))/C597)/100))))</f>
        <v>0</v>
      </c>
      <c r="AQ597" s="57">
        <f>IF(ISERROR(IF(B597=C597,F597/C597,IF((INT(F597/B597)+(((F597-B597*INT(F597/B597)))/C597)/100)&lt;0,(INT(F597/B597)+(((F597-B597*INT(F597/B597)))/C597)/100)+(1-(B597/C597/100)),(INT(F597/B597)+(((F597-B597*INT(F597/B597)))/C597)/100)))),0,IF(B597=C597,F597/C597,IF((INT(F597/B597)+(((F597-B597*INT(F597/B597)))/C597)/100)&lt;0,(INT(F597/B597)+(((F597-B597*INT(F597/B597)))/C597)/100)+(1-(B597/C597/100)),(INT(F597/B597)+(((F597-B597*INT(F597/B597)))/C597)/100))))</f>
        <v>0</v>
      </c>
      <c r="AR597" s="57">
        <f>IF(ISERROR(IF(B597=C597,G597/C597,(INT(G597/B597)+(((G597-B597*INT(G597/B597)))/C597)/100))),0,(IF(B597=C597,G597/C597,(INT(G597/B597)+(((G597-B597*INT(G597/B597)))/C597)/100))))</f>
        <v>0</v>
      </c>
      <c r="AS597" s="57">
        <f>IF(ISERROR(IF(B597=C597,H597/C597,(INT(H597/B597)+(((H597-B597*INT(H597/B597)))/C597)/100))),0,(IF(B597=C597,H597/C597,(INT(H597/B597)+(((H597-B597*INT(H597/B597)))/C597)/100))))</f>
        <v>0</v>
      </c>
      <c r="AT597" s="57">
        <f>IF(ISERROR(IF(B597=C597,I597/C597,(INT(I597/B597)+(((I597-B597*INT(I597/B597)))/C597)/100))),0,(IF(B597=C597,I597/C597,(INT(I597/B597)+(((I597-B597*INT(I597/B597)))/C597)/100))))</f>
        <v>0</v>
      </c>
      <c r="AU597" s="57">
        <f>IF(ISERROR(IF(B597=C597,J597/C597,(INT(J597/B597)+(((J597-B597*INT(J597/B597)))/C597)/100))),0,(IF(B597=C597,J597/C597,(INT(J597/B597)+(((J597-B597*INT(J597/B597)))/C597)/100))))</f>
        <v>0</v>
      </c>
      <c r="AV597" s="57">
        <f>IF(ISERROR(IF(B597=C597,K597/C597,IF((INT(K597/B597)+(((K597-B597*INT(K597/B597)))/C597)/100)&lt;0,(INT(K597/B597)+(((K597-B597*INT(K597/B597)))/C597)/100)+(1-(B597/C597/100)),(INT(K597/B597)+(((K597-B597*INT(K597/B597)))/C597)/100)))),0,IF(B597=C597,K597/C597,IF((INT(K597/B597)+(((K597-B597*INT(K597/B597)))/C597)/100)&lt;0,(INT(K597/B597)+(((K597-B597*INT(K597/B597)))/C597)/100)+(1-(B597/C597/100)),(INT(K597/B597)+(((K597-B597*INT(K597/B597)))/C597)/100))))</f>
        <v>0</v>
      </c>
      <c r="AW597" s="57">
        <f>IF(ISERROR(IF(B597=C597,L597/C597,(INT(L597/B597)+(((L597-B597*INT(L597/B597)))/C597)/100))),0,(IF(B597=C597,L597/C597,(INT(L597/B597)+(((L597-B597*INT(L597/B597)))/C597)/100))))</f>
        <v>0</v>
      </c>
      <c r="AX597" s="57">
        <f>IF(ISERROR(IF(B597=C597,M597/C597,(INT(M597/B597)+(((M597-B597*INT(M597/B597)))/C597)/100))),0,(IF(B597=C597,M597/C597,(INT(M597/B597)+(((M597-B597*INT(M597/B597)))/C597)/100))))</f>
        <v>0</v>
      </c>
      <c r="AY597" s="57">
        <f>IF(ISERROR(IF(B597=C597,N597/C597,IF((INT(N597/B597)+(((N597-B597*INT(N597/B597)))/C597)/100)&lt;0,(INT(N597/B597)+(((N597-B597*INT(N597/B597)))/C597)/100)+(1-(B597/C597/100)),(INT(N597/B597)+(((N597-B597*INT(N597/B597)))/C597)/100)))),0,IF(B597=C597,N597/C597,IF((INT(N597/B597)+(((N597-B597*INT(N597/B597)))/C597)/100)&lt;0,(INT(N597/B597)+(((N597-B597*INT(N597/B597)))/C597)/100)+(1-(B597/C597/100)),(INT(N597/B597)+(((N597-B597*INT(N597/B597)))/C597)/100))))</f>
        <v>0</v>
      </c>
      <c r="AZ597" s="57">
        <f>IF(ISERROR(IF(B597=C597,O597/C597,(INT(O597/B597)+(((O597-B597*INT(O597/B597)))/C597)/100))),0,(IF(B597=C597,O597/C597,(INT(O597/B597)+(((O597-B597*INT(O597/B597)))/C597)/100))))</f>
        <v>0</v>
      </c>
      <c r="BA597" s="57">
        <f>IF(ISERROR(IF(B597=C597,P597/C597,IF((INT(P597/B597)+(((P597-B597*INT(P597/B597)))/C597)/100)&lt;0,(INT(P597/B597)+(((P597-B597*INT(P597/B597)))/C597)/100)+(1-(B597/C597/100)),(INT(P597/B597)+(((P597-B597*INT(P597/B597)))/C597)/100)))),0,IF(B597=C597,P597/C597,IF((INT(P597/B597)+(((P597-B597*INT(P597/B597)))/C597)/100)&lt;0,(INT(P597/B597)+(((P597-B597*INT(P597/B597)))/C597)/100)+(1-(B597/C597/100)),(INT(P597/B597)+(((P597-B597*INT(P597/B597)))/C597)/100))))</f>
        <v>0</v>
      </c>
      <c r="BB597" s="28">
        <f>R597</f>
        <v>0</v>
      </c>
      <c r="BC597" s="28">
        <f>S597</f>
        <v>0</v>
      </c>
      <c r="BD597" s="28">
        <f>AF597</f>
        <v>0</v>
      </c>
      <c r="BE597" s="28">
        <f>T597</f>
        <v>0</v>
      </c>
      <c r="BG597" s="57">
        <f>IF(ISERROR(IF(B597=C597,V597/C597,(INT(V597/B597)+(((V597-B597*INT(V597/B597)))/C597)/100))),0,(IF(B597=C597,V597/C597,(INT(V597/B597)+(((V597-B597*INT(V597/B597)))/C597)/100))))</f>
        <v>0</v>
      </c>
      <c r="BH597" s="57">
        <f>IF(ISERROR(IF(B597=C597,W597/C597,(INT(W597/B597)+(((W597-B597*INT(W597/B597)))/C597)/100))),0,(IF(B597=C597,W597/C597,(INT(W597/B597)+(((W597-B597*INT(W597/B597)))/C597)/100))))</f>
        <v>0</v>
      </c>
      <c r="BI597" s="57">
        <f>IF(ISERROR(IF(B597=C597,X597/C597,(INT(X597/B597)+(((X597-B597*INT(X597/B597)))/C597)/100))),0,(IF(B597=C597,X597/C597,(INT(X597/B597)+(((X597-B597*INT(X597/B597)))/C597)/100))))</f>
        <v>0</v>
      </c>
      <c r="BJ597" s="57">
        <f>IF(ISERROR(IF(B597=C597,Y597/C597,(INT(Y597/B597)+(((Y597-B597*INT(Y597/B597)))/C597)/100))),0,(IF(B597=C597,Y597/C597,(INT(Y597/B597)+(((Y597-B597*INT(Y597/B597)))/C597)/100))))</f>
        <v>0</v>
      </c>
      <c r="BL597" s="57">
        <f>IF(ISERROR(IF(B597=C597,AA597/C597,(INT(AA597/B597)+(((AA597-B597*INT(AA597/B597)))/C597)/100))),0,(IF(B597=C597,AA597/C597,(INT(AA597/B597)+(((AA597-B597*INT(AA597/B597)))/C597)/100))))</f>
        <v>0</v>
      </c>
      <c r="BM597" s="57">
        <f>IF(ISERROR(IF(B597=C597,AB597/C597,(INT(AB597/B597)+(((AB597-B597*INT(AB597/B597)))/C597)/100))),0,(IF(B597=C597,AB597/C597,(INT(AB597/B597)+(((AB597-B597*INT(AB597/B597)))/C597)/100))))</f>
        <v>0</v>
      </c>
      <c r="BN597" s="57">
        <f>IF(ISERROR(IF(B597=C597,AC597/C597,(INT(AC597/B597)+(((AC597-B597*INT(AC597/B597)))/C597)/100))),0,(IF(B597=C597,AC597/C597,(INT(AC597/B597)+(((AC597-B597*INT(AC597/B597)))/C597)/100))))</f>
        <v>0</v>
      </c>
      <c r="BO597" s="57">
        <f>IF(ISERROR(IF(B597=C597,AD597/C597,(INT(AD597/B597)+(((AD597-B597*INT(AD597/B597)))/C597)/100))),0,(IF(B597=C597,AD597/C597,(INT(AD597/B597)+(((AD597-B597*INT(AD597/B597)))/C597)/100))))</f>
        <v>0</v>
      </c>
      <c r="BQ597" s="155"/>
    </row>
    <row r="598" spans="1:69" hidden="1" x14ac:dyDescent="0.35">
      <c r="A598" s="94"/>
      <c r="B598" s="113">
        <v>0</v>
      </c>
      <c r="C598" s="113">
        <v>250</v>
      </c>
      <c r="D598" s="28">
        <f>SUM(AA598:AD598)</f>
        <v>0</v>
      </c>
      <c r="E598" s="113">
        <v>0</v>
      </c>
      <c r="F598" s="113">
        <v>0</v>
      </c>
      <c r="G598" s="28">
        <f>SUM(D598:F598)</f>
        <v>0</v>
      </c>
      <c r="H598" s="125">
        <v>0</v>
      </c>
      <c r="I598" s="113">
        <v>0</v>
      </c>
      <c r="J598" s="125">
        <v>0</v>
      </c>
      <c r="K598" s="113">
        <v>0</v>
      </c>
      <c r="L598" s="113">
        <v>0</v>
      </c>
      <c r="M598" s="113">
        <v>0</v>
      </c>
      <c r="N598" s="28">
        <f>G598-SUM(H598:M598)</f>
        <v>0</v>
      </c>
      <c r="O598" s="28">
        <f>SUM(V598:Y598)</f>
        <v>0</v>
      </c>
      <c r="P598" s="28">
        <f>O598-N598</f>
        <v>0</v>
      </c>
      <c r="Q598" s="61" t="str">
        <f>IF(ISERROR(P598/SUM(H598:L598)),"",P598/SUM(H598:L598))</f>
        <v/>
      </c>
      <c r="R598" s="113">
        <v>0</v>
      </c>
      <c r="S598" s="28">
        <f>IF(ISERROR(P598/C598*R598),0,(P598/C598*R598))</f>
        <v>0</v>
      </c>
      <c r="T598" s="60">
        <f>IF(ISERROR(P598/B598*AF598),0,(P598/B598*AF598))</f>
        <v>0</v>
      </c>
      <c r="V598" s="113">
        <v>0</v>
      </c>
      <c r="W598" s="113">
        <v>0</v>
      </c>
      <c r="X598" s="113">
        <v>0</v>
      </c>
      <c r="Y598" s="113">
        <v>0</v>
      </c>
      <c r="AA598" s="113">
        <v>0</v>
      </c>
      <c r="AB598" s="113">
        <v>0</v>
      </c>
      <c r="AC598" s="113">
        <v>0</v>
      </c>
      <c r="AD598" s="113">
        <v>0</v>
      </c>
      <c r="AF598" s="113">
        <v>0</v>
      </c>
      <c r="AG598" s="28">
        <f>G598-O598</f>
        <v>0</v>
      </c>
      <c r="AH598" s="58">
        <f>IF(ISERROR(AG598/B598*AF598),0,(AG598/B598*AF598))</f>
        <v>0</v>
      </c>
      <c r="AI598" s="28">
        <f>SUM(H598:M598)</f>
        <v>0</v>
      </c>
      <c r="AJ598" s="28">
        <f>IF(ISERROR(AI598/B598*AF598),0,(AI598/B598*AF598))</f>
        <v>0</v>
      </c>
      <c r="AK598" s="58">
        <f>IF(ISERROR(O598/B598*AF598),0,(O598/B598*AF598))</f>
        <v>0</v>
      </c>
      <c r="AL598" s="28">
        <f>IF(ISERROR(H598/B598*AF598),0,(H598/B598*AF598))</f>
        <v>0</v>
      </c>
      <c r="AN598" s="51">
        <f>A598</f>
        <v>0</v>
      </c>
      <c r="AO598" s="57">
        <f>IF(ISERROR(IF(B598=C598,D598/C598,(INT(D598/B598)+(((D598-B598*INT(D598/B598)))/C598)/100))),0,(IF(B598=C598,D598/C598,(INT(D598/B598)+(((D598-B598*INT(D598/B598)))/C598)/100))))</f>
        <v>0</v>
      </c>
      <c r="AP598" s="57">
        <f>IF(ISERROR(IF(B598=C598,E598/C598,(INT(E598/B598)+(((E598-B598*INT(E598/B598)))/C598)/100))),0,(IF(B598=C598,E598/C598,(INT(E598/B598)+(((E598-B598*INT(E598/B598)))/C598)/100))))</f>
        <v>0</v>
      </c>
      <c r="AQ598" s="57">
        <f>IF(ISERROR(IF(B598=C598,F598/C598,IF((INT(F598/B598)+(((F598-B598*INT(F598/B598)))/C598)/100)&lt;0,(INT(F598/B598)+(((F598-B598*INT(F598/B598)))/C598)/100)+(1-(B598/C598/100)),(INT(F598/B598)+(((F598-B598*INT(F598/B598)))/C598)/100)))),0,IF(B598=C598,F598/C598,IF((INT(F598/B598)+(((F598-B598*INT(F598/B598)))/C598)/100)&lt;0,(INT(F598/B598)+(((F598-B598*INT(F598/B598)))/C598)/100)+(1-(B598/C598/100)),(INT(F598/B598)+(((F598-B598*INT(F598/B598)))/C598)/100))))</f>
        <v>0</v>
      </c>
      <c r="AR598" s="57">
        <f>IF(ISERROR(IF(B598=C598,G598/C598,(INT(G598/B598)+(((G598-B598*INT(G598/B598)))/C598)/100))),0,(IF(B598=C598,G598/C598,(INT(G598/B598)+(((G598-B598*INT(G598/B598)))/C598)/100))))</f>
        <v>0</v>
      </c>
      <c r="AS598" s="57">
        <f>IF(ISERROR(IF(B598=C598,H598/C598,(INT(H598/B598)+(((H598-B598*INT(H598/B598)))/C598)/100))),0,(IF(B598=C598,H598/C598,(INT(H598/B598)+(((H598-B598*INT(H598/B598)))/C598)/100))))</f>
        <v>0</v>
      </c>
      <c r="AT598" s="57">
        <f>IF(ISERROR(IF(B598=C598,I598/C598,(INT(I598/B598)+(((I598-B598*INT(I598/B598)))/C598)/100))),0,(IF(B598=C598,I598/C598,(INT(I598/B598)+(((I598-B598*INT(I598/B598)))/C598)/100))))</f>
        <v>0</v>
      </c>
      <c r="AU598" s="57">
        <f>IF(ISERROR(IF(B598=C598,J598/C598,(INT(J598/B598)+(((J598-B598*INT(J598/B598)))/C598)/100))),0,(IF(B598=C598,J598/C598,(INT(J598/B598)+(((J598-B598*INT(J598/B598)))/C598)/100))))</f>
        <v>0</v>
      </c>
      <c r="AV598" s="57">
        <f>IF(ISERROR(IF(B598=C598,K598/C598,IF((INT(K598/B598)+(((K598-B598*INT(K598/B598)))/C598)/100)&lt;0,(INT(K598/B598)+(((K598-B598*INT(K598/B598)))/C598)/100)+(1-(B598/C598/100)),(INT(K598/B598)+(((K598-B598*INT(K598/B598)))/C598)/100)))),0,IF(B598=C598,K598/C598,IF((INT(K598/B598)+(((K598-B598*INT(K598/B598)))/C598)/100)&lt;0,(INT(K598/B598)+(((K598-B598*INT(K598/B598)))/C598)/100)+(1-(B598/C598/100)),(INT(K598/B598)+(((K598-B598*INT(K598/B598)))/C598)/100))))</f>
        <v>0</v>
      </c>
      <c r="AW598" s="57">
        <f>IF(ISERROR(IF(B598=C598,L598/C598,(INT(L598/B598)+(((L598-B598*INT(L598/B598)))/C598)/100))),0,(IF(B598=C598,L598/C598,(INT(L598/B598)+(((L598-B598*INT(L598/B598)))/C598)/100))))</f>
        <v>0</v>
      </c>
      <c r="AX598" s="57">
        <f>IF(ISERROR(IF(B598=C598,M598/C598,(INT(M598/B598)+(((M598-B598*INT(M598/B598)))/C598)/100))),0,(IF(B598=C598,M598/C598,(INT(M598/B598)+(((M598-B598*INT(M598/B598)))/C598)/100))))</f>
        <v>0</v>
      </c>
      <c r="AY598" s="57">
        <f>IF(ISERROR(IF(B598=C598,N598/C598,IF((INT(N598/B598)+(((N598-B598*INT(N598/B598)))/C598)/100)&lt;0,(INT(N598/B598)+(((N598-B598*INT(N598/B598)))/C598)/100)+(1-(B598/C598/100)),(INT(N598/B598)+(((N598-B598*INT(N598/B598)))/C598)/100)))),0,IF(B598=C598,N598/C598,IF((INT(N598/B598)+(((N598-B598*INT(N598/B598)))/C598)/100)&lt;0,(INT(N598/B598)+(((N598-B598*INT(N598/B598)))/C598)/100)+(1-(B598/C598/100)),(INT(N598/B598)+(((N598-B598*INT(N598/B598)))/C598)/100))))</f>
        <v>0</v>
      </c>
      <c r="AZ598" s="57">
        <f>IF(ISERROR(IF(B598=C598,O598/C598,(INT(O598/B598)+(((O598-B598*INT(O598/B598)))/C598)/100))),0,(IF(B598=C598,O598/C598,(INT(O598/B598)+(((O598-B598*INT(O598/B598)))/C598)/100))))</f>
        <v>0</v>
      </c>
      <c r="BA598" s="57">
        <f>IF(ISERROR(IF(B598=C598,P598/C598,IF((INT(P598/B598)+(((P598-B598*INT(P598/B598)))/C598)/100)&lt;0,(INT(P598/B598)+(((P598-B598*INT(P598/B598)))/C598)/100)+(1-(B598/C598/100)),(INT(P598/B598)+(((P598-B598*INT(P598/B598)))/C598)/100)))),0,IF(B598=C598,P598/C598,IF((INT(P598/B598)+(((P598-B598*INT(P598/B598)))/C598)/100)&lt;0,(INT(P598/B598)+(((P598-B598*INT(P598/B598)))/C598)/100)+(1-(B598/C598/100)),(INT(P598/B598)+(((P598-B598*INT(P598/B598)))/C598)/100))))</f>
        <v>0</v>
      </c>
      <c r="BB598" s="28">
        <f>R598</f>
        <v>0</v>
      </c>
      <c r="BC598" s="28">
        <f>S598</f>
        <v>0</v>
      </c>
      <c r="BD598" s="28">
        <f>AF598</f>
        <v>0</v>
      </c>
      <c r="BE598" s="28">
        <f>T598</f>
        <v>0</v>
      </c>
      <c r="BG598" s="57">
        <f>IF(ISERROR(IF(B598=C598,V598/C598,(INT(V598/B598)+(((V598-B598*INT(V598/B598)))/C598)/100))),0,(IF(B598=C598,V598/C598,(INT(V598/B598)+(((V598-B598*INT(V598/B598)))/C598)/100))))</f>
        <v>0</v>
      </c>
      <c r="BH598" s="57">
        <f>IF(ISERROR(IF(B598=C598,W598/C598,(INT(W598/B598)+(((W598-B598*INT(W598/B598)))/C598)/100))),0,(IF(B598=C598,W598/C598,(INT(W598/B598)+(((W598-B598*INT(W598/B598)))/C598)/100))))</f>
        <v>0</v>
      </c>
      <c r="BI598" s="57">
        <f>IF(ISERROR(IF(B598=C598,X598/C598,(INT(X598/B598)+(((X598-B598*INT(X598/B598)))/C598)/100))),0,(IF(B598=C598,X598/C598,(INT(X598/B598)+(((X598-B598*INT(X598/B598)))/C598)/100))))</f>
        <v>0</v>
      </c>
      <c r="BJ598" s="57">
        <f>IF(ISERROR(IF(B598=C598,Y598/C598,(INT(Y598/B598)+(((Y598-B598*INT(Y598/B598)))/C598)/100))),0,(IF(B598=C598,Y598/C598,(INT(Y598/B598)+(((Y598-B598*INT(Y598/B598)))/C598)/100))))</f>
        <v>0</v>
      </c>
      <c r="BL598" s="57">
        <f>IF(ISERROR(IF(B598=C598,AA598/C598,(INT(AA598/B598)+(((AA598-B598*INT(AA598/B598)))/C598)/100))),0,(IF(B598=C598,AA598/C598,(INT(AA598/B598)+(((AA598-B598*INT(AA598/B598)))/C598)/100))))</f>
        <v>0</v>
      </c>
      <c r="BM598" s="57">
        <f>IF(ISERROR(IF(B598=C598,AB598/C598,(INT(AB598/B598)+(((AB598-B598*INT(AB598/B598)))/C598)/100))),0,(IF(B598=C598,AB598/C598,(INT(AB598/B598)+(((AB598-B598*INT(AB598/B598)))/C598)/100))))</f>
        <v>0</v>
      </c>
      <c r="BN598" s="57">
        <f>IF(ISERROR(IF(B598=C598,AC598/C598,(INT(AC598/B598)+(((AC598-B598*INT(AC598/B598)))/C598)/100))),0,(IF(B598=C598,AC598/C598,(INT(AC598/B598)+(((AC598-B598*INT(AC598/B598)))/C598)/100))))</f>
        <v>0</v>
      </c>
      <c r="BO598" s="57">
        <f>IF(ISERROR(IF(B598=C598,AD598/C598,(INT(AD598/B598)+(((AD598-B598*INT(AD598/B598)))/C598)/100))),0,(IF(B598=C598,AD598/C598,(INT(AD598/B598)+(((AD598-B598*INT(AD598/B598)))/C598)/100))))</f>
        <v>0</v>
      </c>
      <c r="BQ598" s="155"/>
    </row>
    <row r="599" spans="1:69" hidden="1" x14ac:dyDescent="0.35">
      <c r="A599" s="94"/>
      <c r="B599" s="113">
        <v>0</v>
      </c>
      <c r="C599" s="113">
        <v>250</v>
      </c>
      <c r="D599" s="28">
        <f>SUM(AA599:AD599)</f>
        <v>0</v>
      </c>
      <c r="E599" s="113">
        <v>0</v>
      </c>
      <c r="F599" s="113">
        <v>0</v>
      </c>
      <c r="G599" s="28">
        <f>SUM(D599:F599)</f>
        <v>0</v>
      </c>
      <c r="H599" s="125">
        <v>0</v>
      </c>
      <c r="I599" s="113">
        <v>0</v>
      </c>
      <c r="J599" s="125">
        <v>0</v>
      </c>
      <c r="K599" s="113">
        <v>0</v>
      </c>
      <c r="L599" s="113">
        <v>0</v>
      </c>
      <c r="M599" s="113">
        <v>0</v>
      </c>
      <c r="N599" s="28">
        <f>G599-SUM(H599:M599)</f>
        <v>0</v>
      </c>
      <c r="O599" s="28">
        <f>SUM(V599:Y599)</f>
        <v>0</v>
      </c>
      <c r="P599" s="28">
        <f>O599-N599</f>
        <v>0</v>
      </c>
      <c r="Q599" s="61" t="str">
        <f>IF(ISERROR(P599/SUM(H599:L599)),"",P599/SUM(H599:L599))</f>
        <v/>
      </c>
      <c r="R599" s="113">
        <v>0</v>
      </c>
      <c r="S599" s="28">
        <f>IF(ISERROR(P599/C599*R599),0,(P599/C599*R599))</f>
        <v>0</v>
      </c>
      <c r="T599" s="60">
        <f>IF(ISERROR(P599/B599*AF599),0,(P599/B599*AF599))</f>
        <v>0</v>
      </c>
      <c r="V599" s="113">
        <v>0</v>
      </c>
      <c r="W599" s="113">
        <v>0</v>
      </c>
      <c r="X599" s="113">
        <v>0</v>
      </c>
      <c r="Y599" s="113">
        <v>0</v>
      </c>
      <c r="AA599" s="113">
        <v>0</v>
      </c>
      <c r="AB599" s="113">
        <v>0</v>
      </c>
      <c r="AC599" s="113">
        <v>0</v>
      </c>
      <c r="AD599" s="113">
        <v>0</v>
      </c>
      <c r="AF599" s="113">
        <v>0</v>
      </c>
      <c r="AG599" s="28">
        <f>G599-O599</f>
        <v>0</v>
      </c>
      <c r="AH599" s="58">
        <f>IF(ISERROR(AG599/B599*AF599),0,(AG599/B599*AF599))</f>
        <v>0</v>
      </c>
      <c r="AI599" s="28">
        <f>SUM(H599:M599)</f>
        <v>0</v>
      </c>
      <c r="AJ599" s="28">
        <f>IF(ISERROR(AI599/B599*AF599),0,(AI599/B599*AF599))</f>
        <v>0</v>
      </c>
      <c r="AK599" s="58">
        <f>IF(ISERROR(O599/B599*AF599),0,(O599/B599*AF599))</f>
        <v>0</v>
      </c>
      <c r="AL599" s="28">
        <f>IF(ISERROR(H599/B599*AF599),0,(H599/B599*AF599))</f>
        <v>0</v>
      </c>
      <c r="AN599" s="51">
        <f>A599</f>
        <v>0</v>
      </c>
      <c r="AO599" s="57">
        <f>IF(ISERROR(IF(B599=C599,D599/C599,(INT(D599/B599)+(((D599-B599*INT(D599/B599)))/C599)/100))),0,(IF(B599=C599,D599/C599,(INT(D599/B599)+(((D599-B599*INT(D599/B599)))/C599)/100))))</f>
        <v>0</v>
      </c>
      <c r="AP599" s="57">
        <f>IF(ISERROR(IF(B599=C599,E599/C599,(INT(E599/B599)+(((E599-B599*INT(E599/B599)))/C599)/100))),0,(IF(B599=C599,E599/C599,(INT(E599/B599)+(((E599-B599*INT(E599/B599)))/C599)/100))))</f>
        <v>0</v>
      </c>
      <c r="AQ599" s="57">
        <f>IF(ISERROR(IF(B599=C599,F599/C599,IF((INT(F599/B599)+(((F599-B599*INT(F599/B599)))/C599)/100)&lt;0,(INT(F599/B599)+(((F599-B599*INT(F599/B599)))/C599)/100)+(1-(B599/C599/100)),(INT(F599/B599)+(((F599-B599*INT(F599/B599)))/C599)/100)))),0,IF(B599=C599,F599/C599,IF((INT(F599/B599)+(((F599-B599*INT(F599/B599)))/C599)/100)&lt;0,(INT(F599/B599)+(((F599-B599*INT(F599/B599)))/C599)/100)+(1-(B599/C599/100)),(INT(F599/B599)+(((F599-B599*INT(F599/B599)))/C599)/100))))</f>
        <v>0</v>
      </c>
      <c r="AR599" s="57">
        <f>IF(ISERROR(IF(B599=C599,G599/C599,(INT(G599/B599)+(((G599-B599*INT(G599/B599)))/C599)/100))),0,(IF(B599=C599,G599/C599,(INT(G599/B599)+(((G599-B599*INT(G599/B599)))/C599)/100))))</f>
        <v>0</v>
      </c>
      <c r="AS599" s="57">
        <f>IF(ISERROR(IF(B599=C599,H599/C599,(INT(H599/B599)+(((H599-B599*INT(H599/B599)))/C599)/100))),0,(IF(B599=C599,H599/C599,(INT(H599/B599)+(((H599-B599*INT(H599/B599)))/C599)/100))))</f>
        <v>0</v>
      </c>
      <c r="AT599" s="57">
        <f>IF(ISERROR(IF(B599=C599,I599/C599,(INT(I599/B599)+(((I599-B599*INT(I599/B599)))/C599)/100))),0,(IF(B599=C599,I599/C599,(INT(I599/B599)+(((I599-B599*INT(I599/B599)))/C599)/100))))</f>
        <v>0</v>
      </c>
      <c r="AU599" s="57">
        <f>IF(ISERROR(IF(B599=C599,J599/C599,(INT(J599/B599)+(((J599-B599*INT(J599/B599)))/C599)/100))),0,(IF(B599=C599,J599/C599,(INT(J599/B599)+(((J599-B599*INT(J599/B599)))/C599)/100))))</f>
        <v>0</v>
      </c>
      <c r="AV599" s="57">
        <f>IF(ISERROR(IF(B599=C599,K599/C599,IF((INT(K599/B599)+(((K599-B599*INT(K599/B599)))/C599)/100)&lt;0,(INT(K599/B599)+(((K599-B599*INT(K599/B599)))/C599)/100)+(1-(B599/C599/100)),(INT(K599/B599)+(((K599-B599*INT(K599/B599)))/C599)/100)))),0,IF(B599=C599,K599/C599,IF((INT(K599/B599)+(((K599-B599*INT(K599/B599)))/C599)/100)&lt;0,(INT(K599/B599)+(((K599-B599*INT(K599/B599)))/C599)/100)+(1-(B599/C599/100)),(INT(K599/B599)+(((K599-B599*INT(K599/B599)))/C599)/100))))</f>
        <v>0</v>
      </c>
      <c r="AW599" s="57">
        <f>IF(ISERROR(IF(B599=C599,L599/C599,(INT(L599/B599)+(((L599-B599*INT(L599/B599)))/C599)/100))),0,(IF(B599=C599,L599/C599,(INT(L599/B599)+(((L599-B599*INT(L599/B599)))/C599)/100))))</f>
        <v>0</v>
      </c>
      <c r="AX599" s="57">
        <f>IF(ISERROR(IF(B599=C599,M599/C599,(INT(M599/B599)+(((M599-B599*INT(M599/B599)))/C599)/100))),0,(IF(B599=C599,M599/C599,(INT(M599/B599)+(((M599-B599*INT(M599/B599)))/C599)/100))))</f>
        <v>0</v>
      </c>
      <c r="AY599" s="57">
        <f>IF(ISERROR(IF(B599=C599,N599/C599,IF((INT(N599/B599)+(((N599-B599*INT(N599/B599)))/C599)/100)&lt;0,(INT(N599/B599)+(((N599-B599*INT(N599/B599)))/C599)/100)+(1-(B599/C599/100)),(INT(N599/B599)+(((N599-B599*INT(N599/B599)))/C599)/100)))),0,IF(B599=C599,N599/C599,IF((INT(N599/B599)+(((N599-B599*INT(N599/B599)))/C599)/100)&lt;0,(INT(N599/B599)+(((N599-B599*INT(N599/B599)))/C599)/100)+(1-(B599/C599/100)),(INT(N599/B599)+(((N599-B599*INT(N599/B599)))/C599)/100))))</f>
        <v>0</v>
      </c>
      <c r="AZ599" s="57">
        <f>IF(ISERROR(IF(B599=C599,O599/C599,(INT(O599/B599)+(((O599-B599*INT(O599/B599)))/C599)/100))),0,(IF(B599=C599,O599/C599,(INT(O599/B599)+(((O599-B599*INT(O599/B599)))/C599)/100))))</f>
        <v>0</v>
      </c>
      <c r="BA599" s="57">
        <f>IF(ISERROR(IF(B599=C599,P599/C599,IF((INT(P599/B599)+(((P599-B599*INT(P599/B599)))/C599)/100)&lt;0,(INT(P599/B599)+(((P599-B599*INT(P599/B599)))/C599)/100)+(1-(B599/C599/100)),(INT(P599/B599)+(((P599-B599*INT(P599/B599)))/C599)/100)))),0,IF(B599=C599,P599/C599,IF((INT(P599/B599)+(((P599-B599*INT(P599/B599)))/C599)/100)&lt;0,(INT(P599/B599)+(((P599-B599*INT(P599/B599)))/C599)/100)+(1-(B599/C599/100)),(INT(P599/B599)+(((P599-B599*INT(P599/B599)))/C599)/100))))</f>
        <v>0</v>
      </c>
      <c r="BB599" s="28">
        <f>R599</f>
        <v>0</v>
      </c>
      <c r="BC599" s="28">
        <f>S599</f>
        <v>0</v>
      </c>
      <c r="BD599" s="28">
        <f>AF599</f>
        <v>0</v>
      </c>
      <c r="BE599" s="28">
        <f>T599</f>
        <v>0</v>
      </c>
      <c r="BG599" s="57">
        <f>IF(ISERROR(IF(B599=C599,V599/C599,(INT(V599/B599)+(((V599-B599*INT(V599/B599)))/C599)/100))),0,(IF(B599=C599,V599/C599,(INT(V599/B599)+(((V599-B599*INT(V599/B599)))/C599)/100))))</f>
        <v>0</v>
      </c>
      <c r="BH599" s="57">
        <f>IF(ISERROR(IF(B599=C599,W599/C599,(INT(W599/B599)+(((W599-B599*INT(W599/B599)))/C599)/100))),0,(IF(B599=C599,W599/C599,(INT(W599/B599)+(((W599-B599*INT(W599/B599)))/C599)/100))))</f>
        <v>0</v>
      </c>
      <c r="BI599" s="57">
        <f>IF(ISERROR(IF(B599=C599,X599/C599,(INT(X599/B599)+(((X599-B599*INT(X599/B599)))/C599)/100))),0,(IF(B599=C599,X599/C599,(INT(X599/B599)+(((X599-B599*INT(X599/B599)))/C599)/100))))</f>
        <v>0</v>
      </c>
      <c r="BJ599" s="57">
        <f>IF(ISERROR(IF(B599=C599,Y599/C599,(INT(Y599/B599)+(((Y599-B599*INT(Y599/B599)))/C599)/100))),0,(IF(B599=C599,Y599/C599,(INT(Y599/B599)+(((Y599-B599*INT(Y599/B599)))/C599)/100))))</f>
        <v>0</v>
      </c>
      <c r="BL599" s="57">
        <f>IF(ISERROR(IF(B599=C599,AA599/C599,(INT(AA599/B599)+(((AA599-B599*INT(AA599/B599)))/C599)/100))),0,(IF(B599=C599,AA599/C599,(INT(AA599/B599)+(((AA599-B599*INT(AA599/B599)))/C599)/100))))</f>
        <v>0</v>
      </c>
      <c r="BM599" s="57">
        <f>IF(ISERROR(IF(B599=C599,AB599/C599,(INT(AB599/B599)+(((AB599-B599*INT(AB599/B599)))/C599)/100))),0,(IF(B599=C599,AB599/C599,(INT(AB599/B599)+(((AB599-B599*INT(AB599/B599)))/C599)/100))))</f>
        <v>0</v>
      </c>
      <c r="BN599" s="57">
        <f>IF(ISERROR(IF(B599=C599,AC599/C599,(INT(AC599/B599)+(((AC599-B599*INT(AC599/B599)))/C599)/100))),0,(IF(B599=C599,AC599/C599,(INT(AC599/B599)+(((AC599-B599*INT(AC599/B599)))/C599)/100))))</f>
        <v>0</v>
      </c>
      <c r="BO599" s="57">
        <f>IF(ISERROR(IF(B599=C599,AD599/C599,(INT(AD599/B599)+(((AD599-B599*INT(AD599/B599)))/C599)/100))),0,(IF(B599=C599,AD599/C599,(INT(AD599/B599)+(((AD599-B599*INT(AD599/B599)))/C599)/100))))</f>
        <v>0</v>
      </c>
      <c r="BQ599" s="155"/>
    </row>
    <row r="600" spans="1:69" hidden="1" x14ac:dyDescent="0.35">
      <c r="A600" s="94"/>
      <c r="B600" s="113">
        <v>0</v>
      </c>
      <c r="C600" s="113">
        <v>250</v>
      </c>
      <c r="D600" s="28">
        <f>SUM(AA600:AD600)</f>
        <v>0</v>
      </c>
      <c r="E600" s="113">
        <v>0</v>
      </c>
      <c r="F600" s="113">
        <v>0</v>
      </c>
      <c r="G600" s="28">
        <f>SUM(D600:F600)</f>
        <v>0</v>
      </c>
      <c r="H600" s="125">
        <v>0</v>
      </c>
      <c r="I600" s="113">
        <v>0</v>
      </c>
      <c r="J600" s="125">
        <v>0</v>
      </c>
      <c r="K600" s="113">
        <v>0</v>
      </c>
      <c r="L600" s="113">
        <v>0</v>
      </c>
      <c r="M600" s="113">
        <v>0</v>
      </c>
      <c r="N600" s="28">
        <f>G600-SUM(H600:M600)</f>
        <v>0</v>
      </c>
      <c r="O600" s="28">
        <f>SUM(V600:Y600)</f>
        <v>0</v>
      </c>
      <c r="P600" s="28">
        <f>O600-N600</f>
        <v>0</v>
      </c>
      <c r="Q600" s="61" t="str">
        <f>IF(ISERROR(P600/SUM(H600:L600)),"",P600/SUM(H600:L600))</f>
        <v/>
      </c>
      <c r="R600" s="113">
        <v>0</v>
      </c>
      <c r="S600" s="28">
        <f>IF(ISERROR(P600/C600*R600),0,(P600/C600*R600))</f>
        <v>0</v>
      </c>
      <c r="T600" s="60">
        <f>IF(ISERROR(P600/B600*AF600),0,(P600/B600*AF600))</f>
        <v>0</v>
      </c>
      <c r="V600" s="113">
        <v>0</v>
      </c>
      <c r="W600" s="113">
        <v>0</v>
      </c>
      <c r="X600" s="113">
        <v>0</v>
      </c>
      <c r="Y600" s="113">
        <v>0</v>
      </c>
      <c r="AA600" s="113">
        <v>0</v>
      </c>
      <c r="AB600" s="113">
        <v>0</v>
      </c>
      <c r="AC600" s="113">
        <v>0</v>
      </c>
      <c r="AD600" s="113">
        <v>0</v>
      </c>
      <c r="AF600" s="113">
        <v>0</v>
      </c>
      <c r="AG600" s="28">
        <f>G600-O600</f>
        <v>0</v>
      </c>
      <c r="AH600" s="58">
        <f>IF(ISERROR(AG600/B600*AF600),0,(AG600/B600*AF600))</f>
        <v>0</v>
      </c>
      <c r="AI600" s="28">
        <f>SUM(H600:M600)</f>
        <v>0</v>
      </c>
      <c r="AJ600" s="28">
        <f>IF(ISERROR(AI600/B600*AF600),0,(AI600/B600*AF600))</f>
        <v>0</v>
      </c>
      <c r="AK600" s="58">
        <f>IF(ISERROR(O600/B600*AF600),0,(O600/B600*AF600))</f>
        <v>0</v>
      </c>
      <c r="AL600" s="28">
        <f>IF(ISERROR(H600/B600*AF600),0,(H600/B600*AF600))</f>
        <v>0</v>
      </c>
      <c r="AN600" s="51">
        <f>A600</f>
        <v>0</v>
      </c>
      <c r="AO600" s="57">
        <f>IF(ISERROR(IF(B600=C600,D600/C600,(INT(D600/B600)+(((D600-B600*INT(D600/B600)))/C600)/100))),0,(IF(B600=C600,D600/C600,(INT(D600/B600)+(((D600-B600*INT(D600/B600)))/C600)/100))))</f>
        <v>0</v>
      </c>
      <c r="AP600" s="57">
        <f>IF(ISERROR(IF(B600=C600,E600/C600,(INT(E600/B600)+(((E600-B600*INT(E600/B600)))/C600)/100))),0,(IF(B600=C600,E600/C600,(INT(E600/B600)+(((E600-B600*INT(E600/B600)))/C600)/100))))</f>
        <v>0</v>
      </c>
      <c r="AQ600" s="57">
        <f>IF(ISERROR(IF(B600=C600,F600/C600,IF((INT(F600/B600)+(((F600-B600*INT(F600/B600)))/C600)/100)&lt;0,(INT(F600/B600)+(((F600-B600*INT(F600/B600)))/C600)/100)+(1-(B600/C600/100)),(INT(F600/B600)+(((F600-B600*INT(F600/B600)))/C600)/100)))),0,IF(B600=C600,F600/C600,IF((INT(F600/B600)+(((F600-B600*INT(F600/B600)))/C600)/100)&lt;0,(INT(F600/B600)+(((F600-B600*INT(F600/B600)))/C600)/100)+(1-(B600/C600/100)),(INT(F600/B600)+(((F600-B600*INT(F600/B600)))/C600)/100))))</f>
        <v>0</v>
      </c>
      <c r="AR600" s="57">
        <f>IF(ISERROR(IF(B600=C600,G600/C600,(INT(G600/B600)+(((G600-B600*INT(G600/B600)))/C600)/100))),0,(IF(B600=C600,G600/C600,(INT(G600/B600)+(((G600-B600*INT(G600/B600)))/C600)/100))))</f>
        <v>0</v>
      </c>
      <c r="AS600" s="57">
        <f>IF(ISERROR(IF(B600=C600,H600/C600,(INT(H600/B600)+(((H600-B600*INT(H600/B600)))/C600)/100))),0,(IF(B600=C600,H600/C600,(INT(H600/B600)+(((H600-B600*INT(H600/B600)))/C600)/100))))</f>
        <v>0</v>
      </c>
      <c r="AT600" s="57">
        <f>IF(ISERROR(IF(B600=C600,I600/C600,(INT(I600/B600)+(((I600-B600*INT(I600/B600)))/C600)/100))),0,(IF(B600=C600,I600/C600,(INT(I600/B600)+(((I600-B600*INT(I600/B600)))/C600)/100))))</f>
        <v>0</v>
      </c>
      <c r="AU600" s="57">
        <f>IF(ISERROR(IF(B600=C600,J600/C600,(INT(J600/B600)+(((J600-B600*INT(J600/B600)))/C600)/100))),0,(IF(B600=C600,J600/C600,(INT(J600/B600)+(((J600-B600*INT(J600/B600)))/C600)/100))))</f>
        <v>0</v>
      </c>
      <c r="AV600" s="57">
        <f>IF(ISERROR(IF(B600=C600,K600/C600,IF((INT(K600/B600)+(((K600-B600*INT(K600/B600)))/C600)/100)&lt;0,(INT(K600/B600)+(((K600-B600*INT(K600/B600)))/C600)/100)+(1-(B600/C600/100)),(INT(K600/B600)+(((K600-B600*INT(K600/B600)))/C600)/100)))),0,IF(B600=C600,K600/C600,IF((INT(K600/B600)+(((K600-B600*INT(K600/B600)))/C600)/100)&lt;0,(INT(K600/B600)+(((K600-B600*INT(K600/B600)))/C600)/100)+(1-(B600/C600/100)),(INT(K600/B600)+(((K600-B600*INT(K600/B600)))/C600)/100))))</f>
        <v>0</v>
      </c>
      <c r="AW600" s="57">
        <f>IF(ISERROR(IF(B600=C600,L600/C600,(INT(L600/B600)+(((L600-B600*INT(L600/B600)))/C600)/100))),0,(IF(B600=C600,L600/C600,(INT(L600/B600)+(((L600-B600*INT(L600/B600)))/C600)/100))))</f>
        <v>0</v>
      </c>
      <c r="AX600" s="57">
        <f>IF(ISERROR(IF(B600=C600,M600/C600,(INT(M600/B600)+(((M600-B600*INT(M600/B600)))/C600)/100))),0,(IF(B600=C600,M600/C600,(INT(M600/B600)+(((M600-B600*INT(M600/B600)))/C600)/100))))</f>
        <v>0</v>
      </c>
      <c r="AY600" s="57">
        <f>IF(ISERROR(IF(B600=C600,N600/C600,IF((INT(N600/B600)+(((N600-B600*INT(N600/B600)))/C600)/100)&lt;0,(INT(N600/B600)+(((N600-B600*INT(N600/B600)))/C600)/100)+(1-(B600/C600/100)),(INT(N600/B600)+(((N600-B600*INT(N600/B600)))/C600)/100)))),0,IF(B600=C600,N600/C600,IF((INT(N600/B600)+(((N600-B600*INT(N600/B600)))/C600)/100)&lt;0,(INT(N600/B600)+(((N600-B600*INT(N600/B600)))/C600)/100)+(1-(B600/C600/100)),(INT(N600/B600)+(((N600-B600*INT(N600/B600)))/C600)/100))))</f>
        <v>0</v>
      </c>
      <c r="AZ600" s="57">
        <f>IF(ISERROR(IF(B600=C600,O600/C600,(INT(O600/B600)+(((O600-B600*INT(O600/B600)))/C600)/100))),0,(IF(B600=C600,O600/C600,(INT(O600/B600)+(((O600-B600*INT(O600/B600)))/C600)/100))))</f>
        <v>0</v>
      </c>
      <c r="BA600" s="57">
        <f>IF(ISERROR(IF(B600=C600,P600/C600,IF((INT(P600/B600)+(((P600-B600*INT(P600/B600)))/C600)/100)&lt;0,(INT(P600/B600)+(((P600-B600*INT(P600/B600)))/C600)/100)+(1-(B600/C600/100)),(INT(P600/B600)+(((P600-B600*INT(P600/B600)))/C600)/100)))),0,IF(B600=C600,P600/C600,IF((INT(P600/B600)+(((P600-B600*INT(P600/B600)))/C600)/100)&lt;0,(INT(P600/B600)+(((P600-B600*INT(P600/B600)))/C600)/100)+(1-(B600/C600/100)),(INT(P600/B600)+(((P600-B600*INT(P600/B600)))/C600)/100))))</f>
        <v>0</v>
      </c>
      <c r="BB600" s="28">
        <f>R600</f>
        <v>0</v>
      </c>
      <c r="BC600" s="28">
        <f>S600</f>
        <v>0</v>
      </c>
      <c r="BD600" s="28">
        <f>AF600</f>
        <v>0</v>
      </c>
      <c r="BE600" s="28">
        <f>T600</f>
        <v>0</v>
      </c>
      <c r="BG600" s="57">
        <f>IF(ISERROR(IF(B600=C600,V600/C600,(INT(V600/B600)+(((V600-B600*INT(V600/B600)))/C600)/100))),0,(IF(B600=C600,V600/C600,(INT(V600/B600)+(((V600-B600*INT(V600/B600)))/C600)/100))))</f>
        <v>0</v>
      </c>
      <c r="BH600" s="57">
        <f>IF(ISERROR(IF(B600=C600,W600/C600,(INT(W600/B600)+(((W600-B600*INT(W600/B600)))/C600)/100))),0,(IF(B600=C600,W600/C600,(INT(W600/B600)+(((W600-B600*INT(W600/B600)))/C600)/100))))</f>
        <v>0</v>
      </c>
      <c r="BI600" s="57">
        <f>IF(ISERROR(IF(B600=C600,X600/C600,(INT(X600/B600)+(((X600-B600*INT(X600/B600)))/C600)/100))),0,(IF(B600=C600,X600/C600,(INT(X600/B600)+(((X600-B600*INT(X600/B600)))/C600)/100))))</f>
        <v>0</v>
      </c>
      <c r="BJ600" s="57">
        <f>IF(ISERROR(IF(B600=C600,Y600/C600,(INT(Y600/B600)+(((Y600-B600*INT(Y600/B600)))/C600)/100))),0,(IF(B600=C600,Y600/C600,(INT(Y600/B600)+(((Y600-B600*INT(Y600/B600)))/C600)/100))))</f>
        <v>0</v>
      </c>
      <c r="BL600" s="57">
        <f>IF(ISERROR(IF(B600=C600,AA600/C600,(INT(AA600/B600)+(((AA600-B600*INT(AA600/B600)))/C600)/100))),0,(IF(B600=C600,AA600/C600,(INT(AA600/B600)+(((AA600-B600*INT(AA600/B600)))/C600)/100))))</f>
        <v>0</v>
      </c>
      <c r="BM600" s="57">
        <f>IF(ISERROR(IF(B600=C600,AB600/C600,(INT(AB600/B600)+(((AB600-B600*INT(AB600/B600)))/C600)/100))),0,(IF(B600=C600,AB600/C600,(INT(AB600/B600)+(((AB600-B600*INT(AB600/B600)))/C600)/100))))</f>
        <v>0</v>
      </c>
      <c r="BN600" s="57">
        <f>IF(ISERROR(IF(B600=C600,AC600/C600,(INT(AC600/B600)+(((AC600-B600*INT(AC600/B600)))/C600)/100))),0,(IF(B600=C600,AC600/C600,(INT(AC600/B600)+(((AC600-B600*INT(AC600/B600)))/C600)/100))))</f>
        <v>0</v>
      </c>
      <c r="BO600" s="57">
        <f>IF(ISERROR(IF(B600=C600,AD600/C600,(INT(AD600/B600)+(((AD600-B600*INT(AD600/B600)))/C600)/100))),0,(IF(B600=C600,AD600/C600,(INT(AD600/B600)+(((AD600-B600*INT(AD600/B600)))/C600)/100))))</f>
        <v>0</v>
      </c>
      <c r="BQ600" s="155"/>
    </row>
    <row r="601" spans="1:69" hidden="1" x14ac:dyDescent="0.35">
      <c r="A601" s="94"/>
      <c r="B601" s="113">
        <v>0</v>
      </c>
      <c r="C601" s="113">
        <v>250</v>
      </c>
      <c r="D601" s="28">
        <f>SUM(AA601:AD601)</f>
        <v>0</v>
      </c>
      <c r="E601" s="113">
        <v>0</v>
      </c>
      <c r="F601" s="113">
        <v>0</v>
      </c>
      <c r="G601" s="28">
        <f>SUM(D601:F601)</f>
        <v>0</v>
      </c>
      <c r="H601" s="125">
        <v>0</v>
      </c>
      <c r="I601" s="113">
        <v>0</v>
      </c>
      <c r="J601" s="125">
        <v>0</v>
      </c>
      <c r="K601" s="113">
        <v>0</v>
      </c>
      <c r="L601" s="113">
        <v>0</v>
      </c>
      <c r="M601" s="113">
        <v>0</v>
      </c>
      <c r="N601" s="28">
        <f>G601-SUM(H601:M601)</f>
        <v>0</v>
      </c>
      <c r="O601" s="28">
        <f>SUM(V601:Y601)</f>
        <v>0</v>
      </c>
      <c r="P601" s="28">
        <f>O601-N601</f>
        <v>0</v>
      </c>
      <c r="Q601" s="61" t="str">
        <f>IF(ISERROR(P601/SUM(H601:L601)),"",P601/SUM(H601:L601))</f>
        <v/>
      </c>
      <c r="R601" s="113">
        <v>0</v>
      </c>
      <c r="S601" s="28">
        <f>IF(ISERROR(P601/C601*R601),0,(P601/C601*R601))</f>
        <v>0</v>
      </c>
      <c r="T601" s="60">
        <f>IF(ISERROR(P601/B601*AF601),0,(P601/B601*AF601))</f>
        <v>0</v>
      </c>
      <c r="V601" s="113">
        <v>0</v>
      </c>
      <c r="W601" s="113">
        <v>0</v>
      </c>
      <c r="X601" s="113">
        <v>0</v>
      </c>
      <c r="Y601" s="113">
        <v>0</v>
      </c>
      <c r="AA601" s="113">
        <v>0</v>
      </c>
      <c r="AB601" s="113">
        <v>0</v>
      </c>
      <c r="AC601" s="113">
        <v>0</v>
      </c>
      <c r="AD601" s="113">
        <v>0</v>
      </c>
      <c r="AF601" s="113">
        <v>0</v>
      </c>
      <c r="AG601" s="28">
        <f>G601-O601</f>
        <v>0</v>
      </c>
      <c r="AH601" s="58">
        <f>IF(ISERROR(AG601/B601*AF601),0,(AG601/B601*AF601))</f>
        <v>0</v>
      </c>
      <c r="AI601" s="28">
        <f>SUM(H601:M601)</f>
        <v>0</v>
      </c>
      <c r="AJ601" s="28">
        <f>IF(ISERROR(AI601/B601*AF601),0,(AI601/B601*AF601))</f>
        <v>0</v>
      </c>
      <c r="AK601" s="58">
        <f>IF(ISERROR(O601/B601*AF601),0,(O601/B601*AF601))</f>
        <v>0</v>
      </c>
      <c r="AL601" s="28">
        <f>IF(ISERROR(H601/B601*AF601),0,(H601/B601*AF601))</f>
        <v>0</v>
      </c>
      <c r="AN601" s="51">
        <f>A601</f>
        <v>0</v>
      </c>
      <c r="AO601" s="57">
        <f>IF(ISERROR(IF(B601=C601,D601/C601,(INT(D601/B601)+(((D601-B601*INT(D601/B601)))/C601)/100))),0,(IF(B601=C601,D601/C601,(INT(D601/B601)+(((D601-B601*INT(D601/B601)))/C601)/100))))</f>
        <v>0</v>
      </c>
      <c r="AP601" s="57">
        <f>IF(ISERROR(IF(B601=C601,E601/C601,(INT(E601/B601)+(((E601-B601*INT(E601/B601)))/C601)/100))),0,(IF(B601=C601,E601/C601,(INT(E601/B601)+(((E601-B601*INT(E601/B601)))/C601)/100))))</f>
        <v>0</v>
      </c>
      <c r="AQ601" s="57">
        <f>IF(ISERROR(IF(B601=C601,F601/C601,IF((INT(F601/B601)+(((F601-B601*INT(F601/B601)))/C601)/100)&lt;0,(INT(F601/B601)+(((F601-B601*INT(F601/B601)))/C601)/100)+(1-(B601/C601/100)),(INT(F601/B601)+(((F601-B601*INT(F601/B601)))/C601)/100)))),0,IF(B601=C601,F601/C601,IF((INT(F601/B601)+(((F601-B601*INT(F601/B601)))/C601)/100)&lt;0,(INT(F601/B601)+(((F601-B601*INT(F601/B601)))/C601)/100)+(1-(B601/C601/100)),(INT(F601/B601)+(((F601-B601*INT(F601/B601)))/C601)/100))))</f>
        <v>0</v>
      </c>
      <c r="AR601" s="57">
        <f>IF(ISERROR(IF(B601=C601,G601/C601,(INT(G601/B601)+(((G601-B601*INT(G601/B601)))/C601)/100))),0,(IF(B601=C601,G601/C601,(INT(G601/B601)+(((G601-B601*INT(G601/B601)))/C601)/100))))</f>
        <v>0</v>
      </c>
      <c r="AS601" s="57">
        <f>IF(ISERROR(IF(B601=C601,H601/C601,(INT(H601/B601)+(((H601-B601*INT(H601/B601)))/C601)/100))),0,(IF(B601=C601,H601/C601,(INT(H601/B601)+(((H601-B601*INT(H601/B601)))/C601)/100))))</f>
        <v>0</v>
      </c>
      <c r="AT601" s="57">
        <f>IF(ISERROR(IF(B601=C601,I601/C601,(INT(I601/B601)+(((I601-B601*INT(I601/B601)))/C601)/100))),0,(IF(B601=C601,I601/C601,(INT(I601/B601)+(((I601-B601*INT(I601/B601)))/C601)/100))))</f>
        <v>0</v>
      </c>
      <c r="AU601" s="57">
        <f>IF(ISERROR(IF(B601=C601,J601/C601,(INT(J601/B601)+(((J601-B601*INT(J601/B601)))/C601)/100))),0,(IF(B601=C601,J601/C601,(INT(J601/B601)+(((J601-B601*INT(J601/B601)))/C601)/100))))</f>
        <v>0</v>
      </c>
      <c r="AV601" s="57">
        <f>IF(ISERROR(IF(B601=C601,K601/C601,IF((INT(K601/B601)+(((K601-B601*INT(K601/B601)))/C601)/100)&lt;0,(INT(K601/B601)+(((K601-B601*INT(K601/B601)))/C601)/100)+(1-(B601/C601/100)),(INT(K601/B601)+(((K601-B601*INT(K601/B601)))/C601)/100)))),0,IF(B601=C601,K601/C601,IF((INT(K601/B601)+(((K601-B601*INT(K601/B601)))/C601)/100)&lt;0,(INT(K601/B601)+(((K601-B601*INT(K601/B601)))/C601)/100)+(1-(B601/C601/100)),(INT(K601/B601)+(((K601-B601*INT(K601/B601)))/C601)/100))))</f>
        <v>0</v>
      </c>
      <c r="AW601" s="57">
        <f>IF(ISERROR(IF(B601=C601,L601/C601,(INT(L601/B601)+(((L601-B601*INT(L601/B601)))/C601)/100))),0,(IF(B601=C601,L601/C601,(INT(L601/B601)+(((L601-B601*INT(L601/B601)))/C601)/100))))</f>
        <v>0</v>
      </c>
      <c r="AX601" s="57">
        <f>IF(ISERROR(IF(B601=C601,M601/C601,(INT(M601/B601)+(((M601-B601*INT(M601/B601)))/C601)/100))),0,(IF(B601=C601,M601/C601,(INT(M601/B601)+(((M601-B601*INT(M601/B601)))/C601)/100))))</f>
        <v>0</v>
      </c>
      <c r="AY601" s="57">
        <f>IF(ISERROR(IF(B601=C601,N601/C601,IF((INT(N601/B601)+(((N601-B601*INT(N601/B601)))/C601)/100)&lt;0,(INT(N601/B601)+(((N601-B601*INT(N601/B601)))/C601)/100)+(1-(B601/C601/100)),(INT(N601/B601)+(((N601-B601*INT(N601/B601)))/C601)/100)))),0,IF(B601=C601,N601/C601,IF((INT(N601/B601)+(((N601-B601*INT(N601/B601)))/C601)/100)&lt;0,(INT(N601/B601)+(((N601-B601*INT(N601/B601)))/C601)/100)+(1-(B601/C601/100)),(INT(N601/B601)+(((N601-B601*INT(N601/B601)))/C601)/100))))</f>
        <v>0</v>
      </c>
      <c r="AZ601" s="57">
        <f>IF(ISERROR(IF(B601=C601,O601/C601,(INT(O601/B601)+(((O601-B601*INT(O601/B601)))/C601)/100))),0,(IF(B601=C601,O601/C601,(INT(O601/B601)+(((O601-B601*INT(O601/B601)))/C601)/100))))</f>
        <v>0</v>
      </c>
      <c r="BA601" s="57">
        <f>IF(ISERROR(IF(B601=C601,P601/C601,IF((INT(P601/B601)+(((P601-B601*INT(P601/B601)))/C601)/100)&lt;0,(INT(P601/B601)+(((P601-B601*INT(P601/B601)))/C601)/100)+(1-(B601/C601/100)),(INT(P601/B601)+(((P601-B601*INT(P601/B601)))/C601)/100)))),0,IF(B601=C601,P601/C601,IF((INT(P601/B601)+(((P601-B601*INT(P601/B601)))/C601)/100)&lt;0,(INT(P601/B601)+(((P601-B601*INT(P601/B601)))/C601)/100)+(1-(B601/C601/100)),(INT(P601/B601)+(((P601-B601*INT(P601/B601)))/C601)/100))))</f>
        <v>0</v>
      </c>
      <c r="BB601" s="28">
        <f>R601</f>
        <v>0</v>
      </c>
      <c r="BC601" s="28">
        <f>S601</f>
        <v>0</v>
      </c>
      <c r="BD601" s="28">
        <f>AF601</f>
        <v>0</v>
      </c>
      <c r="BE601" s="28">
        <f>T601</f>
        <v>0</v>
      </c>
      <c r="BG601" s="57">
        <f>IF(ISERROR(IF(B601=C601,V601/C601,(INT(V601/B601)+(((V601-B601*INT(V601/B601)))/C601)/100))),0,(IF(B601=C601,V601/C601,(INT(V601/B601)+(((V601-B601*INT(V601/B601)))/C601)/100))))</f>
        <v>0</v>
      </c>
      <c r="BH601" s="57">
        <f>IF(ISERROR(IF(B601=C601,W601/C601,(INT(W601/B601)+(((W601-B601*INT(W601/B601)))/C601)/100))),0,(IF(B601=C601,W601/C601,(INT(W601/B601)+(((W601-B601*INT(W601/B601)))/C601)/100))))</f>
        <v>0</v>
      </c>
      <c r="BI601" s="57">
        <f>IF(ISERROR(IF(B601=C601,X601/C601,(INT(X601/B601)+(((X601-B601*INT(X601/B601)))/C601)/100))),0,(IF(B601=C601,X601/C601,(INT(X601/B601)+(((X601-B601*INT(X601/B601)))/C601)/100))))</f>
        <v>0</v>
      </c>
      <c r="BJ601" s="57">
        <f>IF(ISERROR(IF(B601=C601,Y601/C601,(INT(Y601/B601)+(((Y601-B601*INT(Y601/B601)))/C601)/100))),0,(IF(B601=C601,Y601/C601,(INT(Y601/B601)+(((Y601-B601*INT(Y601/B601)))/C601)/100))))</f>
        <v>0</v>
      </c>
      <c r="BL601" s="57">
        <f>IF(ISERROR(IF(B601=C601,AA601/C601,(INT(AA601/B601)+(((AA601-B601*INT(AA601/B601)))/C601)/100))),0,(IF(B601=C601,AA601/C601,(INT(AA601/B601)+(((AA601-B601*INT(AA601/B601)))/C601)/100))))</f>
        <v>0</v>
      </c>
      <c r="BM601" s="57">
        <f>IF(ISERROR(IF(B601=C601,AB601/C601,(INT(AB601/B601)+(((AB601-B601*INT(AB601/B601)))/C601)/100))),0,(IF(B601=C601,AB601/C601,(INT(AB601/B601)+(((AB601-B601*INT(AB601/B601)))/C601)/100))))</f>
        <v>0</v>
      </c>
      <c r="BN601" s="57">
        <f>IF(ISERROR(IF(B601=C601,AC601/C601,(INT(AC601/B601)+(((AC601-B601*INT(AC601/B601)))/C601)/100))),0,(IF(B601=C601,AC601/C601,(INT(AC601/B601)+(((AC601-B601*INT(AC601/B601)))/C601)/100))))</f>
        <v>0</v>
      </c>
      <c r="BO601" s="57">
        <f>IF(ISERROR(IF(B601=C601,AD601/C601,(INT(AD601/B601)+(((AD601-B601*INT(AD601/B601)))/C601)/100))),0,(IF(B601=C601,AD601/C601,(INT(AD601/B601)+(((AD601-B601*INT(AD601/B601)))/C601)/100))))</f>
        <v>0</v>
      </c>
      <c r="BQ601" s="155"/>
    </row>
    <row r="602" spans="1:69" hidden="1" x14ac:dyDescent="0.35">
      <c r="A602" s="94"/>
      <c r="B602" s="113">
        <v>0</v>
      </c>
      <c r="C602" s="113">
        <v>250</v>
      </c>
      <c r="D602" s="28">
        <f>SUM(AA602:AD602)</f>
        <v>0</v>
      </c>
      <c r="E602" s="113">
        <v>0</v>
      </c>
      <c r="F602" s="113">
        <v>0</v>
      </c>
      <c r="G602" s="28">
        <f>SUM(D602:F602)</f>
        <v>0</v>
      </c>
      <c r="H602" s="125">
        <v>0</v>
      </c>
      <c r="I602" s="113">
        <v>0</v>
      </c>
      <c r="J602" s="125">
        <v>0</v>
      </c>
      <c r="K602" s="113">
        <v>0</v>
      </c>
      <c r="L602" s="113">
        <v>0</v>
      </c>
      <c r="M602" s="113">
        <v>0</v>
      </c>
      <c r="N602" s="28">
        <f>G602-SUM(H602:M602)</f>
        <v>0</v>
      </c>
      <c r="O602" s="28">
        <f>SUM(V602:Y602)</f>
        <v>0</v>
      </c>
      <c r="P602" s="28">
        <f>O602-N602</f>
        <v>0</v>
      </c>
      <c r="Q602" s="61" t="str">
        <f>IF(ISERROR(P602/SUM(H602:L602)),"",P602/SUM(H602:L602))</f>
        <v/>
      </c>
      <c r="R602" s="113">
        <v>0</v>
      </c>
      <c r="S602" s="28">
        <f>IF(ISERROR(P602/C602*R602),0,(P602/C602*R602))</f>
        <v>0</v>
      </c>
      <c r="T602" s="60">
        <f>IF(ISERROR(P602/B602*AF602),0,(P602/B602*AF602))</f>
        <v>0</v>
      </c>
      <c r="V602" s="113">
        <v>0</v>
      </c>
      <c r="W602" s="113">
        <v>0</v>
      </c>
      <c r="X602" s="113">
        <v>0</v>
      </c>
      <c r="Y602" s="113">
        <v>0</v>
      </c>
      <c r="AA602" s="113">
        <v>0</v>
      </c>
      <c r="AB602" s="113">
        <v>0</v>
      </c>
      <c r="AC602" s="113">
        <v>0</v>
      </c>
      <c r="AD602" s="113">
        <v>0</v>
      </c>
      <c r="AF602" s="113">
        <v>0</v>
      </c>
      <c r="AG602" s="28">
        <f>G602-O602</f>
        <v>0</v>
      </c>
      <c r="AH602" s="58">
        <f>IF(ISERROR(AG602/B602*AF602),0,(AG602/B602*AF602))</f>
        <v>0</v>
      </c>
      <c r="AI602" s="28">
        <f>SUM(H602:M602)</f>
        <v>0</v>
      </c>
      <c r="AJ602" s="28">
        <f>IF(ISERROR(AI602/B602*AF602),0,(AI602/B602*AF602))</f>
        <v>0</v>
      </c>
      <c r="AK602" s="58">
        <f>IF(ISERROR(O602/B602*AF602),0,(O602/B602*AF602))</f>
        <v>0</v>
      </c>
      <c r="AL602" s="28">
        <f>IF(ISERROR(H602/B602*AF602),0,(H602/B602*AF602))</f>
        <v>0</v>
      </c>
      <c r="AN602" s="51">
        <f>A602</f>
        <v>0</v>
      </c>
      <c r="AO602" s="57">
        <f>IF(ISERROR(IF(B602=C602,D602/C602,(INT(D602/B602)+(((D602-B602*INT(D602/B602)))/C602)/100))),0,(IF(B602=C602,D602/C602,(INT(D602/B602)+(((D602-B602*INT(D602/B602)))/C602)/100))))</f>
        <v>0</v>
      </c>
      <c r="AP602" s="57">
        <f>IF(ISERROR(IF(B602=C602,E602/C602,(INT(E602/B602)+(((E602-B602*INT(E602/B602)))/C602)/100))),0,(IF(B602=C602,E602/C602,(INT(E602/B602)+(((E602-B602*INT(E602/B602)))/C602)/100))))</f>
        <v>0</v>
      </c>
      <c r="AQ602" s="57">
        <f>IF(ISERROR(IF(B602=C602,F602/C602,IF((INT(F602/B602)+(((F602-B602*INT(F602/B602)))/C602)/100)&lt;0,(INT(F602/B602)+(((F602-B602*INT(F602/B602)))/C602)/100)+(1-(B602/C602/100)),(INT(F602/B602)+(((F602-B602*INT(F602/B602)))/C602)/100)))),0,IF(B602=C602,F602/C602,IF((INT(F602/B602)+(((F602-B602*INT(F602/B602)))/C602)/100)&lt;0,(INT(F602/B602)+(((F602-B602*INT(F602/B602)))/C602)/100)+(1-(B602/C602/100)),(INT(F602/B602)+(((F602-B602*INT(F602/B602)))/C602)/100))))</f>
        <v>0</v>
      </c>
      <c r="AR602" s="57">
        <f>IF(ISERROR(IF(B602=C602,G602/C602,(INT(G602/B602)+(((G602-B602*INT(G602/B602)))/C602)/100))),0,(IF(B602=C602,G602/C602,(INT(G602/B602)+(((G602-B602*INT(G602/B602)))/C602)/100))))</f>
        <v>0</v>
      </c>
      <c r="AS602" s="57">
        <f>IF(ISERROR(IF(B602=C602,H602/C602,(INT(H602/B602)+(((H602-B602*INT(H602/B602)))/C602)/100))),0,(IF(B602=C602,H602/C602,(INT(H602/B602)+(((H602-B602*INT(H602/B602)))/C602)/100))))</f>
        <v>0</v>
      </c>
      <c r="AT602" s="57">
        <f>IF(ISERROR(IF(B602=C602,I602/C602,(INT(I602/B602)+(((I602-B602*INT(I602/B602)))/C602)/100))),0,(IF(B602=C602,I602/C602,(INT(I602/B602)+(((I602-B602*INT(I602/B602)))/C602)/100))))</f>
        <v>0</v>
      </c>
      <c r="AU602" s="57">
        <f>IF(ISERROR(IF(B602=C602,J602/C602,(INT(J602/B602)+(((J602-B602*INT(J602/B602)))/C602)/100))),0,(IF(B602=C602,J602/C602,(INT(J602/B602)+(((J602-B602*INT(J602/B602)))/C602)/100))))</f>
        <v>0</v>
      </c>
      <c r="AV602" s="57">
        <f>IF(ISERROR(IF(B602=C602,K602/C602,IF((INT(K602/B602)+(((K602-B602*INT(K602/B602)))/C602)/100)&lt;0,(INT(K602/B602)+(((K602-B602*INT(K602/B602)))/C602)/100)+(1-(B602/C602/100)),(INT(K602/B602)+(((K602-B602*INT(K602/B602)))/C602)/100)))),0,IF(B602=C602,K602/C602,IF((INT(K602/B602)+(((K602-B602*INT(K602/B602)))/C602)/100)&lt;0,(INT(K602/B602)+(((K602-B602*INT(K602/B602)))/C602)/100)+(1-(B602/C602/100)),(INT(K602/B602)+(((K602-B602*INT(K602/B602)))/C602)/100))))</f>
        <v>0</v>
      </c>
      <c r="AW602" s="57">
        <f>IF(ISERROR(IF(B602=C602,L602/C602,(INT(L602/B602)+(((L602-B602*INT(L602/B602)))/C602)/100))),0,(IF(B602=C602,L602/C602,(INT(L602/B602)+(((L602-B602*INT(L602/B602)))/C602)/100))))</f>
        <v>0</v>
      </c>
      <c r="AX602" s="57">
        <f>IF(ISERROR(IF(B602=C602,M602/C602,(INT(M602/B602)+(((M602-B602*INT(M602/B602)))/C602)/100))),0,(IF(B602=C602,M602/C602,(INT(M602/B602)+(((M602-B602*INT(M602/B602)))/C602)/100))))</f>
        <v>0</v>
      </c>
      <c r="AY602" s="57">
        <f>IF(ISERROR(IF(B602=C602,N602/C602,IF((INT(N602/B602)+(((N602-B602*INT(N602/B602)))/C602)/100)&lt;0,(INT(N602/B602)+(((N602-B602*INT(N602/B602)))/C602)/100)+(1-(B602/C602/100)),(INT(N602/B602)+(((N602-B602*INT(N602/B602)))/C602)/100)))),0,IF(B602=C602,N602/C602,IF((INT(N602/B602)+(((N602-B602*INT(N602/B602)))/C602)/100)&lt;0,(INT(N602/B602)+(((N602-B602*INT(N602/B602)))/C602)/100)+(1-(B602/C602/100)),(INT(N602/B602)+(((N602-B602*INT(N602/B602)))/C602)/100))))</f>
        <v>0</v>
      </c>
      <c r="AZ602" s="57">
        <f>IF(ISERROR(IF(B602=C602,O602/C602,(INT(O602/B602)+(((O602-B602*INT(O602/B602)))/C602)/100))),0,(IF(B602=C602,O602/C602,(INT(O602/B602)+(((O602-B602*INT(O602/B602)))/C602)/100))))</f>
        <v>0</v>
      </c>
      <c r="BA602" s="57">
        <f>IF(ISERROR(IF(B602=C602,P602/C602,IF((INT(P602/B602)+(((P602-B602*INT(P602/B602)))/C602)/100)&lt;0,(INT(P602/B602)+(((P602-B602*INT(P602/B602)))/C602)/100)+(1-(B602/C602/100)),(INT(P602/B602)+(((P602-B602*INT(P602/B602)))/C602)/100)))),0,IF(B602=C602,P602/C602,IF((INT(P602/B602)+(((P602-B602*INT(P602/B602)))/C602)/100)&lt;0,(INT(P602/B602)+(((P602-B602*INT(P602/B602)))/C602)/100)+(1-(B602/C602/100)),(INT(P602/B602)+(((P602-B602*INT(P602/B602)))/C602)/100))))</f>
        <v>0</v>
      </c>
      <c r="BB602" s="28">
        <f>R602</f>
        <v>0</v>
      </c>
      <c r="BC602" s="28">
        <f>S602</f>
        <v>0</v>
      </c>
      <c r="BD602" s="28">
        <f>AF602</f>
        <v>0</v>
      </c>
      <c r="BE602" s="28">
        <f>T602</f>
        <v>0</v>
      </c>
      <c r="BG602" s="57">
        <f>IF(ISERROR(IF(B602=C602,V602/C602,(INT(V602/B602)+(((V602-B602*INT(V602/B602)))/C602)/100))),0,(IF(B602=C602,V602/C602,(INT(V602/B602)+(((V602-B602*INT(V602/B602)))/C602)/100))))</f>
        <v>0</v>
      </c>
      <c r="BH602" s="57">
        <f>IF(ISERROR(IF(B602=C602,W602/C602,(INT(W602/B602)+(((W602-B602*INT(W602/B602)))/C602)/100))),0,(IF(B602=C602,W602/C602,(INT(W602/B602)+(((W602-B602*INT(W602/B602)))/C602)/100))))</f>
        <v>0</v>
      </c>
      <c r="BI602" s="57">
        <f>IF(ISERROR(IF(B602=C602,X602/C602,(INT(X602/B602)+(((X602-B602*INT(X602/B602)))/C602)/100))),0,(IF(B602=C602,X602/C602,(INT(X602/B602)+(((X602-B602*INT(X602/B602)))/C602)/100))))</f>
        <v>0</v>
      </c>
      <c r="BJ602" s="57">
        <f>IF(ISERROR(IF(B602=C602,Y602/C602,(INT(Y602/B602)+(((Y602-B602*INT(Y602/B602)))/C602)/100))),0,(IF(B602=C602,Y602/C602,(INT(Y602/B602)+(((Y602-B602*INT(Y602/B602)))/C602)/100))))</f>
        <v>0</v>
      </c>
      <c r="BL602" s="57">
        <f>IF(ISERROR(IF(B602=C602,AA602/C602,(INT(AA602/B602)+(((AA602-B602*INT(AA602/B602)))/C602)/100))),0,(IF(B602=C602,AA602/C602,(INT(AA602/B602)+(((AA602-B602*INT(AA602/B602)))/C602)/100))))</f>
        <v>0</v>
      </c>
      <c r="BM602" s="57">
        <f>IF(ISERROR(IF(B602=C602,AB602/C602,(INT(AB602/B602)+(((AB602-B602*INT(AB602/B602)))/C602)/100))),0,(IF(B602=C602,AB602/C602,(INT(AB602/B602)+(((AB602-B602*INT(AB602/B602)))/C602)/100))))</f>
        <v>0</v>
      </c>
      <c r="BN602" s="57">
        <f>IF(ISERROR(IF(B602=C602,AC602/C602,(INT(AC602/B602)+(((AC602-B602*INT(AC602/B602)))/C602)/100))),0,(IF(B602=C602,AC602/C602,(INT(AC602/B602)+(((AC602-B602*INT(AC602/B602)))/C602)/100))))</f>
        <v>0</v>
      </c>
      <c r="BO602" s="57">
        <f>IF(ISERROR(IF(B602=C602,AD602/C602,(INT(AD602/B602)+(((AD602-B602*INT(AD602/B602)))/C602)/100))),0,(IF(B602=C602,AD602/C602,(INT(AD602/B602)+(((AD602-B602*INT(AD602/B602)))/C602)/100))))</f>
        <v>0</v>
      </c>
      <c r="BQ602" s="155"/>
    </row>
    <row r="603" spans="1:69" hidden="1" x14ac:dyDescent="0.35">
      <c r="A603" s="94"/>
      <c r="B603" s="113">
        <v>0</v>
      </c>
      <c r="C603" s="113">
        <v>250</v>
      </c>
      <c r="D603" s="28">
        <f>SUM(AA603:AD603)</f>
        <v>0</v>
      </c>
      <c r="E603" s="113">
        <v>0</v>
      </c>
      <c r="F603" s="113">
        <v>0</v>
      </c>
      <c r="G603" s="28">
        <f>SUM(D603:F603)</f>
        <v>0</v>
      </c>
      <c r="H603" s="125">
        <v>0</v>
      </c>
      <c r="I603" s="113">
        <v>0</v>
      </c>
      <c r="J603" s="125">
        <v>0</v>
      </c>
      <c r="K603" s="113">
        <v>0</v>
      </c>
      <c r="L603" s="113">
        <v>0</v>
      </c>
      <c r="M603" s="113">
        <v>0</v>
      </c>
      <c r="N603" s="28">
        <f>G603-SUM(H603:M603)</f>
        <v>0</v>
      </c>
      <c r="O603" s="28">
        <f>SUM(V603:Y603)</f>
        <v>0</v>
      </c>
      <c r="P603" s="28">
        <f>O603-N603</f>
        <v>0</v>
      </c>
      <c r="Q603" s="61" t="str">
        <f>IF(ISERROR(P603/SUM(H603:L603)),"",P603/SUM(H603:L603))</f>
        <v/>
      </c>
      <c r="R603" s="113">
        <v>0</v>
      </c>
      <c r="S603" s="28">
        <f>IF(ISERROR(P603/C603*R603),0,(P603/C603*R603))</f>
        <v>0</v>
      </c>
      <c r="T603" s="60">
        <f>IF(ISERROR(P603/B603*AF603),0,(P603/B603*AF603))</f>
        <v>0</v>
      </c>
      <c r="V603" s="113">
        <v>0</v>
      </c>
      <c r="W603" s="113">
        <v>0</v>
      </c>
      <c r="X603" s="113">
        <v>0</v>
      </c>
      <c r="Y603" s="113">
        <v>0</v>
      </c>
      <c r="AA603" s="113">
        <v>0</v>
      </c>
      <c r="AB603" s="113">
        <v>0</v>
      </c>
      <c r="AC603" s="113">
        <v>0</v>
      </c>
      <c r="AD603" s="113">
        <v>0</v>
      </c>
      <c r="AF603" s="113">
        <v>0</v>
      </c>
      <c r="AG603" s="28">
        <f>G603-O603</f>
        <v>0</v>
      </c>
      <c r="AH603" s="58">
        <f>IF(ISERROR(AG603/B603*AF603),0,(AG603/B603*AF603))</f>
        <v>0</v>
      </c>
      <c r="AI603" s="28">
        <f>SUM(H603:M603)</f>
        <v>0</v>
      </c>
      <c r="AJ603" s="28">
        <f>IF(ISERROR(AI603/B603*AF603),0,(AI603/B603*AF603))</f>
        <v>0</v>
      </c>
      <c r="AK603" s="58">
        <f>IF(ISERROR(O603/B603*AF603),0,(O603/B603*AF603))</f>
        <v>0</v>
      </c>
      <c r="AL603" s="28">
        <f>IF(ISERROR(H603/B603*AF603),0,(H603/B603*AF603))</f>
        <v>0</v>
      </c>
      <c r="AN603" s="51">
        <f>A603</f>
        <v>0</v>
      </c>
      <c r="AO603" s="57">
        <f>IF(ISERROR(IF(B603=C603,D603/C603,(INT(D603/B603)+(((D603-B603*INT(D603/B603)))/C603)/100))),0,(IF(B603=C603,D603/C603,(INT(D603/B603)+(((D603-B603*INT(D603/B603)))/C603)/100))))</f>
        <v>0</v>
      </c>
      <c r="AP603" s="57">
        <f>IF(ISERROR(IF(B603=C603,E603/C603,(INT(E603/B603)+(((E603-B603*INT(E603/B603)))/C603)/100))),0,(IF(B603=C603,E603/C603,(INT(E603/B603)+(((E603-B603*INT(E603/B603)))/C603)/100))))</f>
        <v>0</v>
      </c>
      <c r="AQ603" s="57">
        <f>IF(ISERROR(IF(B603=C603,F603/C603,IF((INT(F603/B603)+(((F603-B603*INT(F603/B603)))/C603)/100)&lt;0,(INT(F603/B603)+(((F603-B603*INT(F603/B603)))/C603)/100)+(1-(B603/C603/100)),(INT(F603/B603)+(((F603-B603*INT(F603/B603)))/C603)/100)))),0,IF(B603=C603,F603/C603,IF((INT(F603/B603)+(((F603-B603*INT(F603/B603)))/C603)/100)&lt;0,(INT(F603/B603)+(((F603-B603*INT(F603/B603)))/C603)/100)+(1-(B603/C603/100)),(INT(F603/B603)+(((F603-B603*INT(F603/B603)))/C603)/100))))</f>
        <v>0</v>
      </c>
      <c r="AR603" s="57">
        <f>IF(ISERROR(IF(B603=C603,G603/C603,(INT(G603/B603)+(((G603-B603*INT(G603/B603)))/C603)/100))),0,(IF(B603=C603,G603/C603,(INT(G603/B603)+(((G603-B603*INT(G603/B603)))/C603)/100))))</f>
        <v>0</v>
      </c>
      <c r="AS603" s="57">
        <f>IF(ISERROR(IF(B603=C603,H603/C603,(INT(H603/B603)+(((H603-B603*INT(H603/B603)))/C603)/100))),0,(IF(B603=C603,H603/C603,(INT(H603/B603)+(((H603-B603*INT(H603/B603)))/C603)/100))))</f>
        <v>0</v>
      </c>
      <c r="AT603" s="57">
        <f>IF(ISERROR(IF(B603=C603,I603/C603,(INT(I603/B603)+(((I603-B603*INT(I603/B603)))/C603)/100))),0,(IF(B603=C603,I603/C603,(INT(I603/B603)+(((I603-B603*INT(I603/B603)))/C603)/100))))</f>
        <v>0</v>
      </c>
      <c r="AU603" s="57">
        <f>IF(ISERROR(IF(B603=C603,J603/C603,(INT(J603/B603)+(((J603-B603*INT(J603/B603)))/C603)/100))),0,(IF(B603=C603,J603/C603,(INT(J603/B603)+(((J603-B603*INT(J603/B603)))/C603)/100))))</f>
        <v>0</v>
      </c>
      <c r="AV603" s="57">
        <f>IF(ISERROR(IF(B603=C603,K603/C603,IF((INT(K603/B603)+(((K603-B603*INT(K603/B603)))/C603)/100)&lt;0,(INT(K603/B603)+(((K603-B603*INT(K603/B603)))/C603)/100)+(1-(B603/C603/100)),(INT(K603/B603)+(((K603-B603*INT(K603/B603)))/C603)/100)))),0,IF(B603=C603,K603/C603,IF((INT(K603/B603)+(((K603-B603*INT(K603/B603)))/C603)/100)&lt;0,(INT(K603/B603)+(((K603-B603*INT(K603/B603)))/C603)/100)+(1-(B603/C603/100)),(INT(K603/B603)+(((K603-B603*INT(K603/B603)))/C603)/100))))</f>
        <v>0</v>
      </c>
      <c r="AW603" s="57">
        <f>IF(ISERROR(IF(B603=C603,L603/C603,(INT(L603/B603)+(((L603-B603*INT(L603/B603)))/C603)/100))),0,(IF(B603=C603,L603/C603,(INT(L603/B603)+(((L603-B603*INT(L603/B603)))/C603)/100))))</f>
        <v>0</v>
      </c>
      <c r="AX603" s="57">
        <f>IF(ISERROR(IF(B603=C603,M603/C603,(INT(M603/B603)+(((M603-B603*INT(M603/B603)))/C603)/100))),0,(IF(B603=C603,M603/C603,(INT(M603/B603)+(((M603-B603*INT(M603/B603)))/C603)/100))))</f>
        <v>0</v>
      </c>
      <c r="AY603" s="57">
        <f>IF(ISERROR(IF(B603=C603,N603/C603,IF((INT(N603/B603)+(((N603-B603*INT(N603/B603)))/C603)/100)&lt;0,(INT(N603/B603)+(((N603-B603*INT(N603/B603)))/C603)/100)+(1-(B603/C603/100)),(INT(N603/B603)+(((N603-B603*INT(N603/B603)))/C603)/100)))),0,IF(B603=C603,N603/C603,IF((INT(N603/B603)+(((N603-B603*INT(N603/B603)))/C603)/100)&lt;0,(INT(N603/B603)+(((N603-B603*INT(N603/B603)))/C603)/100)+(1-(B603/C603/100)),(INT(N603/B603)+(((N603-B603*INT(N603/B603)))/C603)/100))))</f>
        <v>0</v>
      </c>
      <c r="AZ603" s="57">
        <f>IF(ISERROR(IF(B603=C603,O603/C603,(INT(O603/B603)+(((O603-B603*INT(O603/B603)))/C603)/100))),0,(IF(B603=C603,O603/C603,(INT(O603/B603)+(((O603-B603*INT(O603/B603)))/C603)/100))))</f>
        <v>0</v>
      </c>
      <c r="BA603" s="57">
        <f>IF(ISERROR(IF(B603=C603,P603/C603,IF((INT(P603/B603)+(((P603-B603*INT(P603/B603)))/C603)/100)&lt;0,(INT(P603/B603)+(((P603-B603*INT(P603/B603)))/C603)/100)+(1-(B603/C603/100)),(INT(P603/B603)+(((P603-B603*INT(P603/B603)))/C603)/100)))),0,IF(B603=C603,P603/C603,IF((INT(P603/B603)+(((P603-B603*INT(P603/B603)))/C603)/100)&lt;0,(INT(P603/B603)+(((P603-B603*INT(P603/B603)))/C603)/100)+(1-(B603/C603/100)),(INT(P603/B603)+(((P603-B603*INT(P603/B603)))/C603)/100))))</f>
        <v>0</v>
      </c>
      <c r="BB603" s="28">
        <f>R603</f>
        <v>0</v>
      </c>
      <c r="BC603" s="28">
        <f>S603</f>
        <v>0</v>
      </c>
      <c r="BD603" s="28">
        <f>AF603</f>
        <v>0</v>
      </c>
      <c r="BE603" s="28">
        <f>T603</f>
        <v>0</v>
      </c>
      <c r="BG603" s="57">
        <f>IF(ISERROR(IF(B603=C603,V603/C603,(INT(V603/B603)+(((V603-B603*INT(V603/B603)))/C603)/100))),0,(IF(B603=C603,V603/C603,(INT(V603/B603)+(((V603-B603*INT(V603/B603)))/C603)/100))))</f>
        <v>0</v>
      </c>
      <c r="BH603" s="57">
        <f>IF(ISERROR(IF(B603=C603,W603/C603,(INT(W603/B603)+(((W603-B603*INT(W603/B603)))/C603)/100))),0,(IF(B603=C603,W603/C603,(INT(W603/B603)+(((W603-B603*INT(W603/B603)))/C603)/100))))</f>
        <v>0</v>
      </c>
      <c r="BI603" s="57">
        <f>IF(ISERROR(IF(B603=C603,X603/C603,(INT(X603/B603)+(((X603-B603*INT(X603/B603)))/C603)/100))),0,(IF(B603=C603,X603/C603,(INT(X603/B603)+(((X603-B603*INT(X603/B603)))/C603)/100))))</f>
        <v>0</v>
      </c>
      <c r="BJ603" s="57">
        <f>IF(ISERROR(IF(B603=C603,Y603/C603,(INT(Y603/B603)+(((Y603-B603*INT(Y603/B603)))/C603)/100))),0,(IF(B603=C603,Y603/C603,(INT(Y603/B603)+(((Y603-B603*INT(Y603/B603)))/C603)/100))))</f>
        <v>0</v>
      </c>
      <c r="BL603" s="57">
        <f>IF(ISERROR(IF(B603=C603,AA603/C603,(INT(AA603/B603)+(((AA603-B603*INT(AA603/B603)))/C603)/100))),0,(IF(B603=C603,AA603/C603,(INT(AA603/B603)+(((AA603-B603*INT(AA603/B603)))/C603)/100))))</f>
        <v>0</v>
      </c>
      <c r="BM603" s="57">
        <f>IF(ISERROR(IF(B603=C603,AB603/C603,(INT(AB603/B603)+(((AB603-B603*INT(AB603/B603)))/C603)/100))),0,(IF(B603=C603,AB603/C603,(INT(AB603/B603)+(((AB603-B603*INT(AB603/B603)))/C603)/100))))</f>
        <v>0</v>
      </c>
      <c r="BN603" s="57">
        <f>IF(ISERROR(IF(B603=C603,AC603/C603,(INT(AC603/B603)+(((AC603-B603*INT(AC603/B603)))/C603)/100))),0,(IF(B603=C603,AC603/C603,(INT(AC603/B603)+(((AC603-B603*INT(AC603/B603)))/C603)/100))))</f>
        <v>0</v>
      </c>
      <c r="BO603" s="57">
        <f>IF(ISERROR(IF(B603=C603,AD603/C603,(INT(AD603/B603)+(((AD603-B603*INT(AD603/B603)))/C603)/100))),0,(IF(B603=C603,AD603/C603,(INT(AD603/B603)+(((AD603-B603*INT(AD603/B603)))/C603)/100))))</f>
        <v>0</v>
      </c>
      <c r="BQ603" s="155"/>
    </row>
    <row r="604" spans="1:69" hidden="1" x14ac:dyDescent="0.35">
      <c r="A604" s="94"/>
      <c r="B604" s="113">
        <v>0</v>
      </c>
      <c r="C604" s="113">
        <v>250</v>
      </c>
      <c r="D604" s="28">
        <f>SUM(AA604:AD604)</f>
        <v>0</v>
      </c>
      <c r="E604" s="113">
        <v>0</v>
      </c>
      <c r="F604" s="113">
        <v>0</v>
      </c>
      <c r="G604" s="28">
        <f>SUM(D604:F604)</f>
        <v>0</v>
      </c>
      <c r="H604" s="125">
        <v>0</v>
      </c>
      <c r="I604" s="113">
        <v>0</v>
      </c>
      <c r="J604" s="125">
        <v>0</v>
      </c>
      <c r="K604" s="113">
        <v>0</v>
      </c>
      <c r="L604" s="113">
        <v>0</v>
      </c>
      <c r="M604" s="113">
        <v>0</v>
      </c>
      <c r="N604" s="28">
        <f>G604-SUM(H604:M604)</f>
        <v>0</v>
      </c>
      <c r="O604" s="28">
        <f>SUM(V604:Y604)</f>
        <v>0</v>
      </c>
      <c r="P604" s="28">
        <f>O604-N604</f>
        <v>0</v>
      </c>
      <c r="Q604" s="61" t="str">
        <f>IF(ISERROR(P604/SUM(H604:L604)),"",P604/SUM(H604:L604))</f>
        <v/>
      </c>
      <c r="R604" s="113">
        <v>0</v>
      </c>
      <c r="S604" s="28">
        <f>IF(ISERROR(P604/C604*R604),0,(P604/C604*R604))</f>
        <v>0</v>
      </c>
      <c r="T604" s="60">
        <f>IF(ISERROR(P604/B604*AF604),0,(P604/B604*AF604))</f>
        <v>0</v>
      </c>
      <c r="V604" s="113">
        <v>0</v>
      </c>
      <c r="W604" s="113">
        <v>0</v>
      </c>
      <c r="X604" s="113">
        <v>0</v>
      </c>
      <c r="Y604" s="113">
        <v>0</v>
      </c>
      <c r="AA604" s="113">
        <v>0</v>
      </c>
      <c r="AB604" s="113">
        <v>0</v>
      </c>
      <c r="AC604" s="113">
        <v>0</v>
      </c>
      <c r="AD604" s="113">
        <v>0</v>
      </c>
      <c r="AF604" s="113">
        <v>0</v>
      </c>
      <c r="AG604" s="28">
        <f>G604-O604</f>
        <v>0</v>
      </c>
      <c r="AH604" s="58">
        <f>IF(ISERROR(AG604/B604*AF604),0,(AG604/B604*AF604))</f>
        <v>0</v>
      </c>
      <c r="AI604" s="28">
        <f>SUM(H604:M604)</f>
        <v>0</v>
      </c>
      <c r="AJ604" s="28">
        <f>IF(ISERROR(AI604/B604*AF604),0,(AI604/B604*AF604))</f>
        <v>0</v>
      </c>
      <c r="AK604" s="58">
        <f>IF(ISERROR(O604/B604*AF604),0,(O604/B604*AF604))</f>
        <v>0</v>
      </c>
      <c r="AL604" s="28">
        <f>IF(ISERROR(H604/B604*AF604),0,(H604/B604*AF604))</f>
        <v>0</v>
      </c>
      <c r="AN604" s="51">
        <f>A604</f>
        <v>0</v>
      </c>
      <c r="AO604" s="57">
        <f>IF(ISERROR(IF(B604=C604,D604/C604,(INT(D604/B604)+(((D604-B604*INT(D604/B604)))/C604)/100))),0,(IF(B604=C604,D604/C604,(INT(D604/B604)+(((D604-B604*INT(D604/B604)))/C604)/100))))</f>
        <v>0</v>
      </c>
      <c r="AP604" s="57">
        <f>IF(ISERROR(IF(B604=C604,E604/C604,(INT(E604/B604)+(((E604-B604*INT(E604/B604)))/C604)/100))),0,(IF(B604=C604,E604/C604,(INT(E604/B604)+(((E604-B604*INT(E604/B604)))/C604)/100))))</f>
        <v>0</v>
      </c>
      <c r="AQ604" s="57">
        <f>IF(ISERROR(IF(B604=C604,F604/C604,IF((INT(F604/B604)+(((F604-B604*INT(F604/B604)))/C604)/100)&lt;0,(INT(F604/B604)+(((F604-B604*INT(F604/B604)))/C604)/100)+(1-(B604/C604/100)),(INT(F604/B604)+(((F604-B604*INT(F604/B604)))/C604)/100)))),0,IF(B604=C604,F604/C604,IF((INT(F604/B604)+(((F604-B604*INT(F604/B604)))/C604)/100)&lt;0,(INT(F604/B604)+(((F604-B604*INT(F604/B604)))/C604)/100)+(1-(B604/C604/100)),(INT(F604/B604)+(((F604-B604*INT(F604/B604)))/C604)/100))))</f>
        <v>0</v>
      </c>
      <c r="AR604" s="57">
        <f>IF(ISERROR(IF(B604=C604,G604/C604,(INT(G604/B604)+(((G604-B604*INT(G604/B604)))/C604)/100))),0,(IF(B604=C604,G604/C604,(INT(G604/B604)+(((G604-B604*INT(G604/B604)))/C604)/100))))</f>
        <v>0</v>
      </c>
      <c r="AS604" s="57">
        <f>IF(ISERROR(IF(B604=C604,H604/C604,(INT(H604/B604)+(((H604-B604*INT(H604/B604)))/C604)/100))),0,(IF(B604=C604,H604/C604,(INT(H604/B604)+(((H604-B604*INT(H604/B604)))/C604)/100))))</f>
        <v>0</v>
      </c>
      <c r="AT604" s="57">
        <f>IF(ISERROR(IF(B604=C604,I604/C604,(INT(I604/B604)+(((I604-B604*INT(I604/B604)))/C604)/100))),0,(IF(B604=C604,I604/C604,(INT(I604/B604)+(((I604-B604*INT(I604/B604)))/C604)/100))))</f>
        <v>0</v>
      </c>
      <c r="AU604" s="57">
        <f>IF(ISERROR(IF(B604=C604,J604/C604,(INT(J604/B604)+(((J604-B604*INT(J604/B604)))/C604)/100))),0,(IF(B604=C604,J604/C604,(INT(J604/B604)+(((J604-B604*INT(J604/B604)))/C604)/100))))</f>
        <v>0</v>
      </c>
      <c r="AV604" s="57">
        <f>IF(ISERROR(IF(B604=C604,K604/C604,IF((INT(K604/B604)+(((K604-B604*INT(K604/B604)))/C604)/100)&lt;0,(INT(K604/B604)+(((K604-B604*INT(K604/B604)))/C604)/100)+(1-(B604/C604/100)),(INT(K604/B604)+(((K604-B604*INT(K604/B604)))/C604)/100)))),0,IF(B604=C604,K604/C604,IF((INT(K604/B604)+(((K604-B604*INT(K604/B604)))/C604)/100)&lt;0,(INT(K604/B604)+(((K604-B604*INT(K604/B604)))/C604)/100)+(1-(B604/C604/100)),(INT(K604/B604)+(((K604-B604*INT(K604/B604)))/C604)/100))))</f>
        <v>0</v>
      </c>
      <c r="AW604" s="57">
        <f>IF(ISERROR(IF(B604=C604,L604/C604,(INT(L604/B604)+(((L604-B604*INT(L604/B604)))/C604)/100))),0,(IF(B604=C604,L604/C604,(INT(L604/B604)+(((L604-B604*INT(L604/B604)))/C604)/100))))</f>
        <v>0</v>
      </c>
      <c r="AX604" s="57">
        <f>IF(ISERROR(IF(B604=C604,M604/C604,(INT(M604/B604)+(((M604-B604*INT(M604/B604)))/C604)/100))),0,(IF(B604=C604,M604/C604,(INT(M604/B604)+(((M604-B604*INT(M604/B604)))/C604)/100))))</f>
        <v>0</v>
      </c>
      <c r="AY604" s="57">
        <f>IF(ISERROR(IF(B604=C604,N604/C604,IF((INT(N604/B604)+(((N604-B604*INT(N604/B604)))/C604)/100)&lt;0,(INT(N604/B604)+(((N604-B604*INT(N604/B604)))/C604)/100)+(1-(B604/C604/100)),(INT(N604/B604)+(((N604-B604*INT(N604/B604)))/C604)/100)))),0,IF(B604=C604,N604/C604,IF((INT(N604/B604)+(((N604-B604*INT(N604/B604)))/C604)/100)&lt;0,(INT(N604/B604)+(((N604-B604*INT(N604/B604)))/C604)/100)+(1-(B604/C604/100)),(INT(N604/B604)+(((N604-B604*INT(N604/B604)))/C604)/100))))</f>
        <v>0</v>
      </c>
      <c r="AZ604" s="57">
        <f>IF(ISERROR(IF(B604=C604,O604/C604,(INT(O604/B604)+(((O604-B604*INT(O604/B604)))/C604)/100))),0,(IF(B604=C604,O604/C604,(INT(O604/B604)+(((O604-B604*INT(O604/B604)))/C604)/100))))</f>
        <v>0</v>
      </c>
      <c r="BA604" s="57">
        <f>IF(ISERROR(IF(B604=C604,P604/C604,IF((INT(P604/B604)+(((P604-B604*INT(P604/B604)))/C604)/100)&lt;0,(INT(P604/B604)+(((P604-B604*INT(P604/B604)))/C604)/100)+(1-(B604/C604/100)),(INT(P604/B604)+(((P604-B604*INT(P604/B604)))/C604)/100)))),0,IF(B604=C604,P604/C604,IF((INT(P604/B604)+(((P604-B604*INT(P604/B604)))/C604)/100)&lt;0,(INT(P604/B604)+(((P604-B604*INT(P604/B604)))/C604)/100)+(1-(B604/C604/100)),(INT(P604/B604)+(((P604-B604*INT(P604/B604)))/C604)/100))))</f>
        <v>0</v>
      </c>
      <c r="BB604" s="28">
        <f>R604</f>
        <v>0</v>
      </c>
      <c r="BC604" s="28">
        <f>S604</f>
        <v>0</v>
      </c>
      <c r="BD604" s="28">
        <f>AF604</f>
        <v>0</v>
      </c>
      <c r="BE604" s="28">
        <f>T604</f>
        <v>0</v>
      </c>
      <c r="BG604" s="57">
        <f>IF(ISERROR(IF(B604=C604,V604/C604,(INT(V604/B604)+(((V604-B604*INT(V604/B604)))/C604)/100))),0,(IF(B604=C604,V604/C604,(INT(V604/B604)+(((V604-B604*INT(V604/B604)))/C604)/100))))</f>
        <v>0</v>
      </c>
      <c r="BH604" s="57">
        <f>IF(ISERROR(IF(B604=C604,W604/C604,(INT(W604/B604)+(((W604-B604*INT(W604/B604)))/C604)/100))),0,(IF(B604=C604,W604/C604,(INT(W604/B604)+(((W604-B604*INT(W604/B604)))/C604)/100))))</f>
        <v>0</v>
      </c>
      <c r="BI604" s="57">
        <f>IF(ISERROR(IF(B604=C604,X604/C604,(INT(X604/B604)+(((X604-B604*INT(X604/B604)))/C604)/100))),0,(IF(B604=C604,X604/C604,(INT(X604/B604)+(((X604-B604*INT(X604/B604)))/C604)/100))))</f>
        <v>0</v>
      </c>
      <c r="BJ604" s="57">
        <f>IF(ISERROR(IF(B604=C604,Y604/C604,(INT(Y604/B604)+(((Y604-B604*INT(Y604/B604)))/C604)/100))),0,(IF(B604=C604,Y604/C604,(INT(Y604/B604)+(((Y604-B604*INT(Y604/B604)))/C604)/100))))</f>
        <v>0</v>
      </c>
      <c r="BL604" s="57">
        <f>IF(ISERROR(IF(B604=C604,AA604/C604,(INT(AA604/B604)+(((AA604-B604*INT(AA604/B604)))/C604)/100))),0,(IF(B604=C604,AA604/C604,(INT(AA604/B604)+(((AA604-B604*INT(AA604/B604)))/C604)/100))))</f>
        <v>0</v>
      </c>
      <c r="BM604" s="57">
        <f>IF(ISERROR(IF(B604=C604,AB604/C604,(INT(AB604/B604)+(((AB604-B604*INT(AB604/B604)))/C604)/100))),0,(IF(B604=C604,AB604/C604,(INT(AB604/B604)+(((AB604-B604*INT(AB604/B604)))/C604)/100))))</f>
        <v>0</v>
      </c>
      <c r="BN604" s="57">
        <f>IF(ISERROR(IF(B604=C604,AC604/C604,(INT(AC604/B604)+(((AC604-B604*INT(AC604/B604)))/C604)/100))),0,(IF(B604=C604,AC604/C604,(INT(AC604/B604)+(((AC604-B604*INT(AC604/B604)))/C604)/100))))</f>
        <v>0</v>
      </c>
      <c r="BO604" s="57">
        <f>IF(ISERROR(IF(B604=C604,AD604/C604,(INT(AD604/B604)+(((AD604-B604*INT(AD604/B604)))/C604)/100))),0,(IF(B604=C604,AD604/C604,(INT(AD604/B604)+(((AD604-B604*INT(AD604/B604)))/C604)/100))))</f>
        <v>0</v>
      </c>
      <c r="BQ604" s="155"/>
    </row>
    <row r="605" spans="1:69" hidden="1" x14ac:dyDescent="0.35">
      <c r="A605" s="94"/>
      <c r="B605" s="113">
        <v>0</v>
      </c>
      <c r="C605" s="113">
        <v>250</v>
      </c>
      <c r="D605" s="28">
        <f>SUM(AA605:AD605)</f>
        <v>0</v>
      </c>
      <c r="E605" s="113">
        <v>0</v>
      </c>
      <c r="F605" s="113">
        <v>0</v>
      </c>
      <c r="G605" s="28">
        <f>SUM(D605:F605)</f>
        <v>0</v>
      </c>
      <c r="H605" s="125">
        <v>0</v>
      </c>
      <c r="I605" s="113">
        <v>0</v>
      </c>
      <c r="J605" s="125">
        <v>0</v>
      </c>
      <c r="K605" s="113">
        <v>0</v>
      </c>
      <c r="L605" s="113">
        <v>0</v>
      </c>
      <c r="M605" s="113">
        <v>0</v>
      </c>
      <c r="N605" s="28">
        <f>G605-SUM(H605:M605)</f>
        <v>0</v>
      </c>
      <c r="O605" s="28">
        <f>SUM(V605:Y605)</f>
        <v>0</v>
      </c>
      <c r="P605" s="28">
        <f>O605-N605</f>
        <v>0</v>
      </c>
      <c r="Q605" s="61" t="str">
        <f>IF(ISERROR(P605/SUM(H605:L605)),"",P605/SUM(H605:L605))</f>
        <v/>
      </c>
      <c r="R605" s="113">
        <v>0</v>
      </c>
      <c r="S605" s="28">
        <f>IF(ISERROR(P605/C605*R605),0,(P605/C605*R605))</f>
        <v>0</v>
      </c>
      <c r="T605" s="60">
        <f>IF(ISERROR(P605/B605*AF605),0,(P605/B605*AF605))</f>
        <v>0</v>
      </c>
      <c r="V605" s="113">
        <v>0</v>
      </c>
      <c r="W605" s="113">
        <v>0</v>
      </c>
      <c r="X605" s="113">
        <v>0</v>
      </c>
      <c r="Y605" s="113">
        <v>0</v>
      </c>
      <c r="AA605" s="113">
        <v>0</v>
      </c>
      <c r="AB605" s="113">
        <v>0</v>
      </c>
      <c r="AC605" s="113">
        <v>0</v>
      </c>
      <c r="AD605" s="113">
        <v>0</v>
      </c>
      <c r="AF605" s="113">
        <v>0</v>
      </c>
      <c r="AG605" s="28">
        <f>G605-O605</f>
        <v>0</v>
      </c>
      <c r="AH605" s="58">
        <f>IF(ISERROR(AG605/B605*AF605),0,(AG605/B605*AF605))</f>
        <v>0</v>
      </c>
      <c r="AI605" s="28">
        <f>SUM(H605:M605)</f>
        <v>0</v>
      </c>
      <c r="AJ605" s="28">
        <f>IF(ISERROR(AI605/B605*AF605),0,(AI605/B605*AF605))</f>
        <v>0</v>
      </c>
      <c r="AK605" s="58">
        <f>IF(ISERROR(O605/B605*AF605),0,(O605/B605*AF605))</f>
        <v>0</v>
      </c>
      <c r="AL605" s="28">
        <f>IF(ISERROR(H605/B605*AF605),0,(H605/B605*AF605))</f>
        <v>0</v>
      </c>
      <c r="AN605" s="51">
        <f>A605</f>
        <v>0</v>
      </c>
      <c r="AO605" s="57">
        <f>IF(ISERROR(IF(B605=C605,D605/C605,(INT(D605/B605)+(((D605-B605*INT(D605/B605)))/C605)/100))),0,(IF(B605=C605,D605/C605,(INT(D605/B605)+(((D605-B605*INT(D605/B605)))/C605)/100))))</f>
        <v>0</v>
      </c>
      <c r="AP605" s="57">
        <f>IF(ISERROR(IF(B605=C605,E605/C605,(INT(E605/B605)+(((E605-B605*INT(E605/B605)))/C605)/100))),0,(IF(B605=C605,E605/C605,(INT(E605/B605)+(((E605-B605*INT(E605/B605)))/C605)/100))))</f>
        <v>0</v>
      </c>
      <c r="AQ605" s="57">
        <f>IF(ISERROR(IF(B605=C605,F605/C605,IF((INT(F605/B605)+(((F605-B605*INT(F605/B605)))/C605)/100)&lt;0,(INT(F605/B605)+(((F605-B605*INT(F605/B605)))/C605)/100)+(1-(B605/C605/100)),(INT(F605/B605)+(((F605-B605*INT(F605/B605)))/C605)/100)))),0,IF(B605=C605,F605/C605,IF((INT(F605/B605)+(((F605-B605*INT(F605/B605)))/C605)/100)&lt;0,(INT(F605/B605)+(((F605-B605*INT(F605/B605)))/C605)/100)+(1-(B605/C605/100)),(INT(F605/B605)+(((F605-B605*INT(F605/B605)))/C605)/100))))</f>
        <v>0</v>
      </c>
      <c r="AR605" s="57">
        <f>IF(ISERROR(IF(B605=C605,G605/C605,(INT(G605/B605)+(((G605-B605*INT(G605/B605)))/C605)/100))),0,(IF(B605=C605,G605/C605,(INT(G605/B605)+(((G605-B605*INT(G605/B605)))/C605)/100))))</f>
        <v>0</v>
      </c>
      <c r="AS605" s="57">
        <f>IF(ISERROR(IF(B605=C605,H605/C605,(INT(H605/B605)+(((H605-B605*INT(H605/B605)))/C605)/100))),0,(IF(B605=C605,H605/C605,(INT(H605/B605)+(((H605-B605*INT(H605/B605)))/C605)/100))))</f>
        <v>0</v>
      </c>
      <c r="AT605" s="57">
        <f>IF(ISERROR(IF(B605=C605,I605/C605,(INT(I605/B605)+(((I605-B605*INT(I605/B605)))/C605)/100))),0,(IF(B605=C605,I605/C605,(INT(I605/B605)+(((I605-B605*INT(I605/B605)))/C605)/100))))</f>
        <v>0</v>
      </c>
      <c r="AU605" s="57">
        <f>IF(ISERROR(IF(B605=C605,J605/C605,(INT(J605/B605)+(((J605-B605*INT(J605/B605)))/C605)/100))),0,(IF(B605=C605,J605/C605,(INT(J605/B605)+(((J605-B605*INT(J605/B605)))/C605)/100))))</f>
        <v>0</v>
      </c>
      <c r="AV605" s="57">
        <f>IF(ISERROR(IF(B605=C605,K605/C605,IF((INT(K605/B605)+(((K605-B605*INT(K605/B605)))/C605)/100)&lt;0,(INT(K605/B605)+(((K605-B605*INT(K605/B605)))/C605)/100)+(1-(B605/C605/100)),(INT(K605/B605)+(((K605-B605*INT(K605/B605)))/C605)/100)))),0,IF(B605=C605,K605/C605,IF((INT(K605/B605)+(((K605-B605*INT(K605/B605)))/C605)/100)&lt;0,(INT(K605/B605)+(((K605-B605*INT(K605/B605)))/C605)/100)+(1-(B605/C605/100)),(INT(K605/B605)+(((K605-B605*INT(K605/B605)))/C605)/100))))</f>
        <v>0</v>
      </c>
      <c r="AW605" s="57">
        <f>IF(ISERROR(IF(B605=C605,L605/C605,(INT(L605/B605)+(((L605-B605*INT(L605/B605)))/C605)/100))),0,(IF(B605=C605,L605/C605,(INT(L605/B605)+(((L605-B605*INT(L605/B605)))/C605)/100))))</f>
        <v>0</v>
      </c>
      <c r="AX605" s="57">
        <f>IF(ISERROR(IF(B605=C605,M605/C605,(INT(M605/B605)+(((M605-B605*INT(M605/B605)))/C605)/100))),0,(IF(B605=C605,M605/C605,(INT(M605/B605)+(((M605-B605*INT(M605/B605)))/C605)/100))))</f>
        <v>0</v>
      </c>
      <c r="AY605" s="57">
        <f>IF(ISERROR(IF(B605=C605,N605/C605,IF((INT(N605/B605)+(((N605-B605*INT(N605/B605)))/C605)/100)&lt;0,(INT(N605/B605)+(((N605-B605*INT(N605/B605)))/C605)/100)+(1-(B605/C605/100)),(INT(N605/B605)+(((N605-B605*INT(N605/B605)))/C605)/100)))),0,IF(B605=C605,N605/C605,IF((INT(N605/B605)+(((N605-B605*INT(N605/B605)))/C605)/100)&lt;0,(INT(N605/B605)+(((N605-B605*INT(N605/B605)))/C605)/100)+(1-(B605/C605/100)),(INT(N605/B605)+(((N605-B605*INT(N605/B605)))/C605)/100))))</f>
        <v>0</v>
      </c>
      <c r="AZ605" s="57">
        <f>IF(ISERROR(IF(B605=C605,O605/C605,(INT(O605/B605)+(((O605-B605*INT(O605/B605)))/C605)/100))),0,(IF(B605=C605,O605/C605,(INT(O605/B605)+(((O605-B605*INT(O605/B605)))/C605)/100))))</f>
        <v>0</v>
      </c>
      <c r="BA605" s="57">
        <f>IF(ISERROR(IF(B605=C605,P605/C605,IF((INT(P605/B605)+(((P605-B605*INT(P605/B605)))/C605)/100)&lt;0,(INT(P605/B605)+(((P605-B605*INT(P605/B605)))/C605)/100)+(1-(B605/C605/100)),(INT(P605/B605)+(((P605-B605*INT(P605/B605)))/C605)/100)))),0,IF(B605=C605,P605/C605,IF((INT(P605/B605)+(((P605-B605*INT(P605/B605)))/C605)/100)&lt;0,(INT(P605/B605)+(((P605-B605*INT(P605/B605)))/C605)/100)+(1-(B605/C605/100)),(INT(P605/B605)+(((P605-B605*INT(P605/B605)))/C605)/100))))</f>
        <v>0</v>
      </c>
      <c r="BB605" s="28">
        <f>R605</f>
        <v>0</v>
      </c>
      <c r="BC605" s="28">
        <f>S605</f>
        <v>0</v>
      </c>
      <c r="BD605" s="28">
        <f>AF605</f>
        <v>0</v>
      </c>
      <c r="BE605" s="28">
        <f>T605</f>
        <v>0</v>
      </c>
      <c r="BG605" s="57">
        <f>IF(ISERROR(IF(B605=C605,V605/C605,(INT(V605/B605)+(((V605-B605*INT(V605/B605)))/C605)/100))),0,(IF(B605=C605,V605/C605,(INT(V605/B605)+(((V605-B605*INT(V605/B605)))/C605)/100))))</f>
        <v>0</v>
      </c>
      <c r="BH605" s="57">
        <f>IF(ISERROR(IF(B605=C605,W605/C605,(INT(W605/B605)+(((W605-B605*INT(W605/B605)))/C605)/100))),0,(IF(B605=C605,W605/C605,(INT(W605/B605)+(((W605-B605*INT(W605/B605)))/C605)/100))))</f>
        <v>0</v>
      </c>
      <c r="BI605" s="57">
        <f>IF(ISERROR(IF(B605=C605,X605/C605,(INT(X605/B605)+(((X605-B605*INT(X605/B605)))/C605)/100))),0,(IF(B605=C605,X605/C605,(INT(X605/B605)+(((X605-B605*INT(X605/B605)))/C605)/100))))</f>
        <v>0</v>
      </c>
      <c r="BJ605" s="57">
        <f>IF(ISERROR(IF(B605=C605,Y605/C605,(INT(Y605/B605)+(((Y605-B605*INT(Y605/B605)))/C605)/100))),0,(IF(B605=C605,Y605/C605,(INT(Y605/B605)+(((Y605-B605*INT(Y605/B605)))/C605)/100))))</f>
        <v>0</v>
      </c>
      <c r="BL605" s="57">
        <f>IF(ISERROR(IF(B605=C605,AA605/C605,(INT(AA605/B605)+(((AA605-B605*INT(AA605/B605)))/C605)/100))),0,(IF(B605=C605,AA605/C605,(INT(AA605/B605)+(((AA605-B605*INT(AA605/B605)))/C605)/100))))</f>
        <v>0</v>
      </c>
      <c r="BM605" s="57">
        <f>IF(ISERROR(IF(B605=C605,AB605/C605,(INT(AB605/B605)+(((AB605-B605*INT(AB605/B605)))/C605)/100))),0,(IF(B605=C605,AB605/C605,(INT(AB605/B605)+(((AB605-B605*INT(AB605/B605)))/C605)/100))))</f>
        <v>0</v>
      </c>
      <c r="BN605" s="57">
        <f>IF(ISERROR(IF(B605=C605,AC605/C605,(INT(AC605/B605)+(((AC605-B605*INT(AC605/B605)))/C605)/100))),0,(IF(B605=C605,AC605/C605,(INT(AC605/B605)+(((AC605-B605*INT(AC605/B605)))/C605)/100))))</f>
        <v>0</v>
      </c>
      <c r="BO605" s="57">
        <f>IF(ISERROR(IF(B605=C605,AD605/C605,(INT(AD605/B605)+(((AD605-B605*INT(AD605/B605)))/C605)/100))),0,(IF(B605=C605,AD605/C605,(INT(AD605/B605)+(((AD605-B605*INT(AD605/B605)))/C605)/100))))</f>
        <v>0</v>
      </c>
      <c r="BQ605" s="155"/>
    </row>
    <row r="606" spans="1:69" hidden="1" x14ac:dyDescent="0.35">
      <c r="A606" s="94"/>
      <c r="B606" s="113">
        <v>0</v>
      </c>
      <c r="C606" s="113">
        <v>250</v>
      </c>
      <c r="D606" s="28">
        <f>SUM(AA606:AD606)</f>
        <v>0</v>
      </c>
      <c r="E606" s="113">
        <v>0</v>
      </c>
      <c r="F606" s="113">
        <v>0</v>
      </c>
      <c r="G606" s="28">
        <f>SUM(D606:F606)</f>
        <v>0</v>
      </c>
      <c r="H606" s="125">
        <v>0</v>
      </c>
      <c r="I606" s="113">
        <v>0</v>
      </c>
      <c r="J606" s="125">
        <v>0</v>
      </c>
      <c r="K606" s="113">
        <v>0</v>
      </c>
      <c r="L606" s="113">
        <v>0</v>
      </c>
      <c r="M606" s="113">
        <v>0</v>
      </c>
      <c r="N606" s="28">
        <f>G606-SUM(H606:M606)</f>
        <v>0</v>
      </c>
      <c r="O606" s="28">
        <f>SUM(V606:Y606)</f>
        <v>0</v>
      </c>
      <c r="P606" s="28">
        <f>O606-N606</f>
        <v>0</v>
      </c>
      <c r="Q606" s="61" t="str">
        <f>IF(ISERROR(P606/SUM(H606:L606)),"",P606/SUM(H606:L606))</f>
        <v/>
      </c>
      <c r="R606" s="113">
        <v>0</v>
      </c>
      <c r="S606" s="28">
        <f>IF(ISERROR(P606/C606*R606),0,(P606/C606*R606))</f>
        <v>0</v>
      </c>
      <c r="T606" s="60">
        <f>IF(ISERROR(P606/B606*AF606),0,(P606/B606*AF606))</f>
        <v>0</v>
      </c>
      <c r="V606" s="113">
        <v>0</v>
      </c>
      <c r="W606" s="113">
        <v>0</v>
      </c>
      <c r="X606" s="113">
        <v>0</v>
      </c>
      <c r="Y606" s="113">
        <v>0</v>
      </c>
      <c r="AA606" s="113">
        <v>0</v>
      </c>
      <c r="AB606" s="113">
        <v>0</v>
      </c>
      <c r="AC606" s="113">
        <v>0</v>
      </c>
      <c r="AD606" s="113">
        <v>0</v>
      </c>
      <c r="AF606" s="113">
        <v>0</v>
      </c>
      <c r="AG606" s="28">
        <f>G606-O606</f>
        <v>0</v>
      </c>
      <c r="AH606" s="58">
        <f>IF(ISERROR(AG606/B606*AF606),0,(AG606/B606*AF606))</f>
        <v>0</v>
      </c>
      <c r="AI606" s="28">
        <f>SUM(H606:M606)</f>
        <v>0</v>
      </c>
      <c r="AJ606" s="28">
        <f>IF(ISERROR(AI606/B606*AF606),0,(AI606/B606*AF606))</f>
        <v>0</v>
      </c>
      <c r="AK606" s="58">
        <f>IF(ISERROR(O606/B606*AF606),0,(O606/B606*AF606))</f>
        <v>0</v>
      </c>
      <c r="AL606" s="28">
        <f>IF(ISERROR(H606/B606*AF606),0,(H606/B606*AF606))</f>
        <v>0</v>
      </c>
      <c r="AN606" s="51">
        <f>A606</f>
        <v>0</v>
      </c>
      <c r="AO606" s="57">
        <f>IF(ISERROR(IF(B606=C606,D606/C606,(INT(D606/B606)+(((D606-B606*INT(D606/B606)))/C606)/100))),0,(IF(B606=C606,D606/C606,(INT(D606/B606)+(((D606-B606*INT(D606/B606)))/C606)/100))))</f>
        <v>0</v>
      </c>
      <c r="AP606" s="57">
        <f>IF(ISERROR(IF(B606=C606,E606/C606,(INT(E606/B606)+(((E606-B606*INT(E606/B606)))/C606)/100))),0,(IF(B606=C606,E606/C606,(INT(E606/B606)+(((E606-B606*INT(E606/B606)))/C606)/100))))</f>
        <v>0</v>
      </c>
      <c r="AQ606" s="57">
        <f>IF(ISERROR(IF(B606=C606,F606/C606,IF((INT(F606/B606)+(((F606-B606*INT(F606/B606)))/C606)/100)&lt;0,(INT(F606/B606)+(((F606-B606*INT(F606/B606)))/C606)/100)+(1-(B606/C606/100)),(INT(F606/B606)+(((F606-B606*INT(F606/B606)))/C606)/100)))),0,IF(B606=C606,F606/C606,IF((INT(F606/B606)+(((F606-B606*INT(F606/B606)))/C606)/100)&lt;0,(INT(F606/B606)+(((F606-B606*INT(F606/B606)))/C606)/100)+(1-(B606/C606/100)),(INT(F606/B606)+(((F606-B606*INT(F606/B606)))/C606)/100))))</f>
        <v>0</v>
      </c>
      <c r="AR606" s="57">
        <f>IF(ISERROR(IF(B606=C606,G606/C606,(INT(G606/B606)+(((G606-B606*INT(G606/B606)))/C606)/100))),0,(IF(B606=C606,G606/C606,(INT(G606/B606)+(((G606-B606*INT(G606/B606)))/C606)/100))))</f>
        <v>0</v>
      </c>
      <c r="AS606" s="57">
        <f>IF(ISERROR(IF(B606=C606,H606/C606,(INT(H606/B606)+(((H606-B606*INT(H606/B606)))/C606)/100))),0,(IF(B606=C606,H606/C606,(INT(H606/B606)+(((H606-B606*INT(H606/B606)))/C606)/100))))</f>
        <v>0</v>
      </c>
      <c r="AT606" s="57">
        <f>IF(ISERROR(IF(B606=C606,I606/C606,(INT(I606/B606)+(((I606-B606*INT(I606/B606)))/C606)/100))),0,(IF(B606=C606,I606/C606,(INT(I606/B606)+(((I606-B606*INT(I606/B606)))/C606)/100))))</f>
        <v>0</v>
      </c>
      <c r="AU606" s="57">
        <f>IF(ISERROR(IF(B606=C606,J606/C606,(INT(J606/B606)+(((J606-B606*INT(J606/B606)))/C606)/100))),0,(IF(B606=C606,J606/C606,(INT(J606/B606)+(((J606-B606*INT(J606/B606)))/C606)/100))))</f>
        <v>0</v>
      </c>
      <c r="AV606" s="57">
        <f>IF(ISERROR(IF(B606=C606,K606/C606,IF((INT(K606/B606)+(((K606-B606*INT(K606/B606)))/C606)/100)&lt;0,(INT(K606/B606)+(((K606-B606*INT(K606/B606)))/C606)/100)+(1-(B606/C606/100)),(INT(K606/B606)+(((K606-B606*INT(K606/B606)))/C606)/100)))),0,IF(B606=C606,K606/C606,IF((INT(K606/B606)+(((K606-B606*INT(K606/B606)))/C606)/100)&lt;0,(INT(K606/B606)+(((K606-B606*INT(K606/B606)))/C606)/100)+(1-(B606/C606/100)),(INT(K606/B606)+(((K606-B606*INT(K606/B606)))/C606)/100))))</f>
        <v>0</v>
      </c>
      <c r="AW606" s="57">
        <f>IF(ISERROR(IF(B606=C606,L606/C606,(INT(L606/B606)+(((L606-B606*INT(L606/B606)))/C606)/100))),0,(IF(B606=C606,L606/C606,(INT(L606/B606)+(((L606-B606*INT(L606/B606)))/C606)/100))))</f>
        <v>0</v>
      </c>
      <c r="AX606" s="57">
        <f>IF(ISERROR(IF(B606=C606,M606/C606,(INT(M606/B606)+(((M606-B606*INT(M606/B606)))/C606)/100))),0,(IF(B606=C606,M606/C606,(INT(M606/B606)+(((M606-B606*INT(M606/B606)))/C606)/100))))</f>
        <v>0</v>
      </c>
      <c r="AY606" s="57">
        <f>IF(ISERROR(IF(B606=C606,N606/C606,IF((INT(N606/B606)+(((N606-B606*INT(N606/B606)))/C606)/100)&lt;0,(INT(N606/B606)+(((N606-B606*INT(N606/B606)))/C606)/100)+(1-(B606/C606/100)),(INT(N606/B606)+(((N606-B606*INT(N606/B606)))/C606)/100)))),0,IF(B606=C606,N606/C606,IF((INT(N606/B606)+(((N606-B606*INT(N606/B606)))/C606)/100)&lt;0,(INT(N606/B606)+(((N606-B606*INT(N606/B606)))/C606)/100)+(1-(B606/C606/100)),(INT(N606/B606)+(((N606-B606*INT(N606/B606)))/C606)/100))))</f>
        <v>0</v>
      </c>
      <c r="AZ606" s="57">
        <f>IF(ISERROR(IF(B606=C606,O606/C606,(INT(O606/B606)+(((O606-B606*INT(O606/B606)))/C606)/100))),0,(IF(B606=C606,O606/C606,(INT(O606/B606)+(((O606-B606*INT(O606/B606)))/C606)/100))))</f>
        <v>0</v>
      </c>
      <c r="BA606" s="57">
        <f>IF(ISERROR(IF(B606=C606,P606/C606,IF((INT(P606/B606)+(((P606-B606*INT(P606/B606)))/C606)/100)&lt;0,(INT(P606/B606)+(((P606-B606*INT(P606/B606)))/C606)/100)+(1-(B606/C606/100)),(INT(P606/B606)+(((P606-B606*INT(P606/B606)))/C606)/100)))),0,IF(B606=C606,P606/C606,IF((INT(P606/B606)+(((P606-B606*INT(P606/B606)))/C606)/100)&lt;0,(INT(P606/B606)+(((P606-B606*INT(P606/B606)))/C606)/100)+(1-(B606/C606/100)),(INT(P606/B606)+(((P606-B606*INT(P606/B606)))/C606)/100))))</f>
        <v>0</v>
      </c>
      <c r="BB606" s="28">
        <f>R606</f>
        <v>0</v>
      </c>
      <c r="BC606" s="28">
        <f>S606</f>
        <v>0</v>
      </c>
      <c r="BD606" s="28">
        <f>AF606</f>
        <v>0</v>
      </c>
      <c r="BE606" s="28">
        <f>T606</f>
        <v>0</v>
      </c>
      <c r="BG606" s="57">
        <f>IF(ISERROR(IF(B606=C606,V606/C606,(INT(V606/B606)+(((V606-B606*INT(V606/B606)))/C606)/100))),0,(IF(B606=C606,V606/C606,(INT(V606/B606)+(((V606-B606*INT(V606/B606)))/C606)/100))))</f>
        <v>0</v>
      </c>
      <c r="BH606" s="57">
        <f>IF(ISERROR(IF(B606=C606,W606/C606,(INT(W606/B606)+(((W606-B606*INT(W606/B606)))/C606)/100))),0,(IF(B606=C606,W606/C606,(INT(W606/B606)+(((W606-B606*INT(W606/B606)))/C606)/100))))</f>
        <v>0</v>
      </c>
      <c r="BI606" s="57">
        <f>IF(ISERROR(IF(B606=C606,X606/C606,(INT(X606/B606)+(((X606-B606*INT(X606/B606)))/C606)/100))),0,(IF(B606=C606,X606/C606,(INT(X606/B606)+(((X606-B606*INT(X606/B606)))/C606)/100))))</f>
        <v>0</v>
      </c>
      <c r="BJ606" s="57">
        <f>IF(ISERROR(IF(B606=C606,Y606/C606,(INT(Y606/B606)+(((Y606-B606*INT(Y606/B606)))/C606)/100))),0,(IF(B606=C606,Y606/C606,(INT(Y606/B606)+(((Y606-B606*INT(Y606/B606)))/C606)/100))))</f>
        <v>0</v>
      </c>
      <c r="BL606" s="57">
        <f>IF(ISERROR(IF(B606=C606,AA606/C606,(INT(AA606/B606)+(((AA606-B606*INT(AA606/B606)))/C606)/100))),0,(IF(B606=C606,AA606/C606,(INT(AA606/B606)+(((AA606-B606*INT(AA606/B606)))/C606)/100))))</f>
        <v>0</v>
      </c>
      <c r="BM606" s="57">
        <f>IF(ISERROR(IF(B606=C606,AB606/C606,(INT(AB606/B606)+(((AB606-B606*INT(AB606/B606)))/C606)/100))),0,(IF(B606=C606,AB606/C606,(INT(AB606/B606)+(((AB606-B606*INT(AB606/B606)))/C606)/100))))</f>
        <v>0</v>
      </c>
      <c r="BN606" s="57">
        <f>IF(ISERROR(IF(B606=C606,AC606/C606,(INT(AC606/B606)+(((AC606-B606*INT(AC606/B606)))/C606)/100))),0,(IF(B606=C606,AC606/C606,(INT(AC606/B606)+(((AC606-B606*INT(AC606/B606)))/C606)/100))))</f>
        <v>0</v>
      </c>
      <c r="BO606" s="57">
        <f>IF(ISERROR(IF(B606=C606,AD606/C606,(INT(AD606/B606)+(((AD606-B606*INT(AD606/B606)))/C606)/100))),0,(IF(B606=C606,AD606/C606,(INT(AD606/B606)+(((AD606-B606*INT(AD606/B606)))/C606)/100))))</f>
        <v>0</v>
      </c>
      <c r="BQ606" s="155"/>
    </row>
    <row r="607" spans="1:69" hidden="1" x14ac:dyDescent="0.35">
      <c r="A607" s="94"/>
      <c r="B607" s="113">
        <v>0</v>
      </c>
      <c r="C607" s="113">
        <v>250</v>
      </c>
      <c r="D607" s="28">
        <f>SUM(AA607:AD607)</f>
        <v>0</v>
      </c>
      <c r="E607" s="113">
        <v>0</v>
      </c>
      <c r="F607" s="113">
        <v>0</v>
      </c>
      <c r="G607" s="28">
        <f>SUM(D607:F607)</f>
        <v>0</v>
      </c>
      <c r="H607" s="125">
        <v>0</v>
      </c>
      <c r="I607" s="113">
        <v>0</v>
      </c>
      <c r="J607" s="125">
        <v>0</v>
      </c>
      <c r="K607" s="113">
        <v>0</v>
      </c>
      <c r="L607" s="113">
        <v>0</v>
      </c>
      <c r="M607" s="113">
        <v>0</v>
      </c>
      <c r="N607" s="28">
        <f>G607-SUM(H607:M607)</f>
        <v>0</v>
      </c>
      <c r="O607" s="28">
        <f>SUM(V607:Y607)</f>
        <v>0</v>
      </c>
      <c r="P607" s="28">
        <f>O607-N607</f>
        <v>0</v>
      </c>
      <c r="Q607" s="61" t="str">
        <f>IF(ISERROR(P607/SUM(H607:L607)),"",P607/SUM(H607:L607))</f>
        <v/>
      </c>
      <c r="R607" s="113">
        <v>0</v>
      </c>
      <c r="S607" s="28">
        <f>IF(ISERROR(P607/C607*R607),0,(P607/C607*R607))</f>
        <v>0</v>
      </c>
      <c r="T607" s="60">
        <f>IF(ISERROR(P607/B607*AF607),0,(P607/B607*AF607))</f>
        <v>0</v>
      </c>
      <c r="V607" s="113">
        <v>0</v>
      </c>
      <c r="W607" s="113">
        <v>0</v>
      </c>
      <c r="X607" s="113">
        <v>0</v>
      </c>
      <c r="Y607" s="113">
        <v>0</v>
      </c>
      <c r="AA607" s="113">
        <v>0</v>
      </c>
      <c r="AB607" s="113">
        <v>0</v>
      </c>
      <c r="AC607" s="113">
        <v>0</v>
      </c>
      <c r="AD607" s="113">
        <v>0</v>
      </c>
      <c r="AF607" s="113">
        <v>0</v>
      </c>
      <c r="AG607" s="28">
        <f>G607-O607</f>
        <v>0</v>
      </c>
      <c r="AH607" s="58">
        <f>IF(ISERROR(AG607/B607*AF607),0,(AG607/B607*AF607))</f>
        <v>0</v>
      </c>
      <c r="AI607" s="28">
        <f>SUM(H607:M607)</f>
        <v>0</v>
      </c>
      <c r="AJ607" s="28">
        <f>IF(ISERROR(AI607/B607*AF607),0,(AI607/B607*AF607))</f>
        <v>0</v>
      </c>
      <c r="AK607" s="58">
        <f>IF(ISERROR(O607/B607*AF607),0,(O607/B607*AF607))</f>
        <v>0</v>
      </c>
      <c r="AL607" s="28">
        <f>IF(ISERROR(H607/B607*AF607),0,(H607/B607*AF607))</f>
        <v>0</v>
      </c>
      <c r="AN607" s="51">
        <f>A607</f>
        <v>0</v>
      </c>
      <c r="AO607" s="57">
        <f>IF(ISERROR(IF(B607=C607,D607/C607,(INT(D607/B607)+(((D607-B607*INT(D607/B607)))/C607)/100))),0,(IF(B607=C607,D607/C607,(INT(D607/B607)+(((D607-B607*INT(D607/B607)))/C607)/100))))</f>
        <v>0</v>
      </c>
      <c r="AP607" s="57">
        <f>IF(ISERROR(IF(B607=C607,E607/C607,(INT(E607/B607)+(((E607-B607*INT(E607/B607)))/C607)/100))),0,(IF(B607=C607,E607/C607,(INT(E607/B607)+(((E607-B607*INT(E607/B607)))/C607)/100))))</f>
        <v>0</v>
      </c>
      <c r="AQ607" s="57">
        <f>IF(ISERROR(IF(B607=C607,F607/C607,IF((INT(F607/B607)+(((F607-B607*INT(F607/B607)))/C607)/100)&lt;0,(INT(F607/B607)+(((F607-B607*INT(F607/B607)))/C607)/100)+(1-(B607/C607/100)),(INT(F607/B607)+(((F607-B607*INT(F607/B607)))/C607)/100)))),0,IF(B607=C607,F607/C607,IF((INT(F607/B607)+(((F607-B607*INT(F607/B607)))/C607)/100)&lt;0,(INT(F607/B607)+(((F607-B607*INT(F607/B607)))/C607)/100)+(1-(B607/C607/100)),(INT(F607/B607)+(((F607-B607*INT(F607/B607)))/C607)/100))))</f>
        <v>0</v>
      </c>
      <c r="AR607" s="57">
        <f>IF(ISERROR(IF(B607=C607,G607/C607,(INT(G607/B607)+(((G607-B607*INT(G607/B607)))/C607)/100))),0,(IF(B607=C607,G607/C607,(INT(G607/B607)+(((G607-B607*INT(G607/B607)))/C607)/100))))</f>
        <v>0</v>
      </c>
      <c r="AS607" s="57">
        <f>IF(ISERROR(IF(B607=C607,H607/C607,(INT(H607/B607)+(((H607-B607*INT(H607/B607)))/C607)/100))),0,(IF(B607=C607,H607/C607,(INT(H607/B607)+(((H607-B607*INT(H607/B607)))/C607)/100))))</f>
        <v>0</v>
      </c>
      <c r="AT607" s="57">
        <f>IF(ISERROR(IF(B607=C607,I607/C607,(INT(I607/B607)+(((I607-B607*INT(I607/B607)))/C607)/100))),0,(IF(B607=C607,I607/C607,(INT(I607/B607)+(((I607-B607*INT(I607/B607)))/C607)/100))))</f>
        <v>0</v>
      </c>
      <c r="AU607" s="57">
        <f>IF(ISERROR(IF(B607=C607,J607/C607,(INT(J607/B607)+(((J607-B607*INT(J607/B607)))/C607)/100))),0,(IF(B607=C607,J607/C607,(INT(J607/B607)+(((J607-B607*INT(J607/B607)))/C607)/100))))</f>
        <v>0</v>
      </c>
      <c r="AV607" s="57">
        <f>IF(ISERROR(IF(B607=C607,K607/C607,IF((INT(K607/B607)+(((K607-B607*INT(K607/B607)))/C607)/100)&lt;0,(INT(K607/B607)+(((K607-B607*INT(K607/B607)))/C607)/100)+(1-(B607/C607/100)),(INT(K607/B607)+(((K607-B607*INT(K607/B607)))/C607)/100)))),0,IF(B607=C607,K607/C607,IF((INT(K607/B607)+(((K607-B607*INT(K607/B607)))/C607)/100)&lt;0,(INT(K607/B607)+(((K607-B607*INT(K607/B607)))/C607)/100)+(1-(B607/C607/100)),(INT(K607/B607)+(((K607-B607*INT(K607/B607)))/C607)/100))))</f>
        <v>0</v>
      </c>
      <c r="AW607" s="57">
        <f>IF(ISERROR(IF(B607=C607,L607/C607,(INT(L607/B607)+(((L607-B607*INT(L607/B607)))/C607)/100))),0,(IF(B607=C607,L607/C607,(INT(L607/B607)+(((L607-B607*INT(L607/B607)))/C607)/100))))</f>
        <v>0</v>
      </c>
      <c r="AX607" s="57">
        <f>IF(ISERROR(IF(B607=C607,M607/C607,(INT(M607/B607)+(((M607-B607*INT(M607/B607)))/C607)/100))),0,(IF(B607=C607,M607/C607,(INT(M607/B607)+(((M607-B607*INT(M607/B607)))/C607)/100))))</f>
        <v>0</v>
      </c>
      <c r="AY607" s="57">
        <f>IF(ISERROR(IF(B607=C607,N607/C607,IF((INT(N607/B607)+(((N607-B607*INT(N607/B607)))/C607)/100)&lt;0,(INT(N607/B607)+(((N607-B607*INT(N607/B607)))/C607)/100)+(1-(B607/C607/100)),(INT(N607/B607)+(((N607-B607*INT(N607/B607)))/C607)/100)))),0,IF(B607=C607,N607/C607,IF((INT(N607/B607)+(((N607-B607*INT(N607/B607)))/C607)/100)&lt;0,(INT(N607/B607)+(((N607-B607*INT(N607/B607)))/C607)/100)+(1-(B607/C607/100)),(INT(N607/B607)+(((N607-B607*INT(N607/B607)))/C607)/100))))</f>
        <v>0</v>
      </c>
      <c r="AZ607" s="57">
        <f>IF(ISERROR(IF(B607=C607,O607/C607,(INT(O607/B607)+(((O607-B607*INT(O607/B607)))/C607)/100))),0,(IF(B607=C607,O607/C607,(INT(O607/B607)+(((O607-B607*INT(O607/B607)))/C607)/100))))</f>
        <v>0</v>
      </c>
      <c r="BA607" s="57">
        <f>IF(ISERROR(IF(B607=C607,P607/C607,IF((INT(P607/B607)+(((P607-B607*INT(P607/B607)))/C607)/100)&lt;0,(INT(P607/B607)+(((P607-B607*INT(P607/B607)))/C607)/100)+(1-(B607/C607/100)),(INT(P607/B607)+(((P607-B607*INT(P607/B607)))/C607)/100)))),0,IF(B607=C607,P607/C607,IF((INT(P607/B607)+(((P607-B607*INT(P607/B607)))/C607)/100)&lt;0,(INT(P607/B607)+(((P607-B607*INT(P607/B607)))/C607)/100)+(1-(B607/C607/100)),(INT(P607/B607)+(((P607-B607*INT(P607/B607)))/C607)/100))))</f>
        <v>0</v>
      </c>
      <c r="BB607" s="28">
        <f>R607</f>
        <v>0</v>
      </c>
      <c r="BC607" s="28">
        <f>S607</f>
        <v>0</v>
      </c>
      <c r="BD607" s="28">
        <f>AF607</f>
        <v>0</v>
      </c>
      <c r="BE607" s="28">
        <f>T607</f>
        <v>0</v>
      </c>
      <c r="BG607" s="57">
        <f>IF(ISERROR(IF(B607=C607,V607/C607,(INT(V607/B607)+(((V607-B607*INT(V607/B607)))/C607)/100))),0,(IF(B607=C607,V607/C607,(INT(V607/B607)+(((V607-B607*INT(V607/B607)))/C607)/100))))</f>
        <v>0</v>
      </c>
      <c r="BH607" s="57">
        <f>IF(ISERROR(IF(B607=C607,W607/C607,(INT(W607/B607)+(((W607-B607*INT(W607/B607)))/C607)/100))),0,(IF(B607=C607,W607/C607,(INT(W607/B607)+(((W607-B607*INT(W607/B607)))/C607)/100))))</f>
        <v>0</v>
      </c>
      <c r="BI607" s="57">
        <f>IF(ISERROR(IF(B607=C607,X607/C607,(INT(X607/B607)+(((X607-B607*INT(X607/B607)))/C607)/100))),0,(IF(B607=C607,X607/C607,(INT(X607/B607)+(((X607-B607*INT(X607/B607)))/C607)/100))))</f>
        <v>0</v>
      </c>
      <c r="BJ607" s="57">
        <f>IF(ISERROR(IF(B607=C607,Y607/C607,(INT(Y607/B607)+(((Y607-B607*INT(Y607/B607)))/C607)/100))),0,(IF(B607=C607,Y607/C607,(INT(Y607/B607)+(((Y607-B607*INT(Y607/B607)))/C607)/100))))</f>
        <v>0</v>
      </c>
      <c r="BL607" s="57">
        <f>IF(ISERROR(IF(B607=C607,AA607/C607,(INT(AA607/B607)+(((AA607-B607*INT(AA607/B607)))/C607)/100))),0,(IF(B607=C607,AA607/C607,(INT(AA607/B607)+(((AA607-B607*INT(AA607/B607)))/C607)/100))))</f>
        <v>0</v>
      </c>
      <c r="BM607" s="57">
        <f>IF(ISERROR(IF(B607=C607,AB607/C607,(INT(AB607/B607)+(((AB607-B607*INT(AB607/B607)))/C607)/100))),0,(IF(B607=C607,AB607/C607,(INT(AB607/B607)+(((AB607-B607*INT(AB607/B607)))/C607)/100))))</f>
        <v>0</v>
      </c>
      <c r="BN607" s="57">
        <f>IF(ISERROR(IF(B607=C607,AC607/C607,(INT(AC607/B607)+(((AC607-B607*INT(AC607/B607)))/C607)/100))),0,(IF(B607=C607,AC607/C607,(INT(AC607/B607)+(((AC607-B607*INT(AC607/B607)))/C607)/100))))</f>
        <v>0</v>
      </c>
      <c r="BO607" s="57">
        <f>IF(ISERROR(IF(B607=C607,AD607/C607,(INT(AD607/B607)+(((AD607-B607*INT(AD607/B607)))/C607)/100))),0,(IF(B607=C607,AD607/C607,(INT(AD607/B607)+(((AD607-B607*INT(AD607/B607)))/C607)/100))))</f>
        <v>0</v>
      </c>
      <c r="BQ607" s="155"/>
    </row>
    <row r="608" spans="1:69" hidden="1" x14ac:dyDescent="0.35">
      <c r="A608" s="94"/>
      <c r="B608" s="113">
        <v>0</v>
      </c>
      <c r="C608" s="113">
        <v>250</v>
      </c>
      <c r="D608" s="28">
        <f>SUM(AA608:AD608)</f>
        <v>0</v>
      </c>
      <c r="E608" s="113">
        <v>0</v>
      </c>
      <c r="F608" s="113">
        <v>0</v>
      </c>
      <c r="G608" s="28">
        <f>SUM(D608:F608)</f>
        <v>0</v>
      </c>
      <c r="H608" s="125">
        <v>0</v>
      </c>
      <c r="I608" s="113">
        <v>0</v>
      </c>
      <c r="J608" s="125">
        <v>0</v>
      </c>
      <c r="K608" s="113">
        <v>0</v>
      </c>
      <c r="L608" s="113">
        <v>0</v>
      </c>
      <c r="M608" s="113">
        <v>0</v>
      </c>
      <c r="N608" s="28">
        <f>G608-SUM(H608:M608)</f>
        <v>0</v>
      </c>
      <c r="O608" s="28">
        <f>SUM(V608:Y608)</f>
        <v>0</v>
      </c>
      <c r="P608" s="28">
        <f>O608-N608</f>
        <v>0</v>
      </c>
      <c r="Q608" s="61" t="str">
        <f>IF(ISERROR(P608/SUM(H608:L608)),"",P608/SUM(H608:L608))</f>
        <v/>
      </c>
      <c r="R608" s="113">
        <v>0</v>
      </c>
      <c r="S608" s="28">
        <f>IF(ISERROR(P608/C608*R608),0,(P608/C608*R608))</f>
        <v>0</v>
      </c>
      <c r="T608" s="60">
        <f>IF(ISERROR(P608/B608*AF608),0,(P608/B608*AF608))</f>
        <v>0</v>
      </c>
      <c r="V608" s="113">
        <v>0</v>
      </c>
      <c r="W608" s="113">
        <v>0</v>
      </c>
      <c r="X608" s="113">
        <v>0</v>
      </c>
      <c r="Y608" s="113">
        <v>0</v>
      </c>
      <c r="AA608" s="113">
        <v>0</v>
      </c>
      <c r="AB608" s="113">
        <v>0</v>
      </c>
      <c r="AC608" s="113">
        <v>0</v>
      </c>
      <c r="AD608" s="113">
        <v>0</v>
      </c>
      <c r="AF608" s="113">
        <v>0</v>
      </c>
      <c r="AG608" s="28">
        <f>G608-O608</f>
        <v>0</v>
      </c>
      <c r="AH608" s="58">
        <f>IF(ISERROR(AG608/B608*AF608),0,(AG608/B608*AF608))</f>
        <v>0</v>
      </c>
      <c r="AI608" s="28">
        <f>SUM(H608:M608)</f>
        <v>0</v>
      </c>
      <c r="AJ608" s="28">
        <f>IF(ISERROR(AI608/B608*AF608),0,(AI608/B608*AF608))</f>
        <v>0</v>
      </c>
      <c r="AK608" s="58">
        <f>IF(ISERROR(O608/B608*AF608),0,(O608/B608*AF608))</f>
        <v>0</v>
      </c>
      <c r="AL608" s="28">
        <f>IF(ISERROR(H608/B608*AF608),0,(H608/B608*AF608))</f>
        <v>0</v>
      </c>
      <c r="AN608" s="51">
        <f>A608</f>
        <v>0</v>
      </c>
      <c r="AO608" s="57">
        <f>IF(ISERROR(IF(B608=C608,D608/C608,(INT(D608/B608)+(((D608-B608*INT(D608/B608)))/C608)/100))),0,(IF(B608=C608,D608/C608,(INT(D608/B608)+(((D608-B608*INT(D608/B608)))/C608)/100))))</f>
        <v>0</v>
      </c>
      <c r="AP608" s="57">
        <f>IF(ISERROR(IF(B608=C608,E608/C608,(INT(E608/B608)+(((E608-B608*INT(E608/B608)))/C608)/100))),0,(IF(B608=C608,E608/C608,(INT(E608/B608)+(((E608-B608*INT(E608/B608)))/C608)/100))))</f>
        <v>0</v>
      </c>
      <c r="AQ608" s="57">
        <f>IF(ISERROR(IF(B608=C608,F608/C608,IF((INT(F608/B608)+(((F608-B608*INT(F608/B608)))/C608)/100)&lt;0,(INT(F608/B608)+(((F608-B608*INT(F608/B608)))/C608)/100)+(1-(B608/C608/100)),(INT(F608/B608)+(((F608-B608*INT(F608/B608)))/C608)/100)))),0,IF(B608=C608,F608/C608,IF((INT(F608/B608)+(((F608-B608*INT(F608/B608)))/C608)/100)&lt;0,(INT(F608/B608)+(((F608-B608*INT(F608/B608)))/C608)/100)+(1-(B608/C608/100)),(INT(F608/B608)+(((F608-B608*INT(F608/B608)))/C608)/100))))</f>
        <v>0</v>
      </c>
      <c r="AR608" s="57">
        <f>IF(ISERROR(IF(B608=C608,G608/C608,(INT(G608/B608)+(((G608-B608*INT(G608/B608)))/C608)/100))),0,(IF(B608=C608,G608/C608,(INT(G608/B608)+(((G608-B608*INT(G608/B608)))/C608)/100))))</f>
        <v>0</v>
      </c>
      <c r="AS608" s="57">
        <f>IF(ISERROR(IF(B608=C608,H608/C608,(INT(H608/B608)+(((H608-B608*INT(H608/B608)))/C608)/100))),0,(IF(B608=C608,H608/C608,(INT(H608/B608)+(((H608-B608*INT(H608/B608)))/C608)/100))))</f>
        <v>0</v>
      </c>
      <c r="AT608" s="57">
        <f>IF(ISERROR(IF(B608=C608,I608/C608,(INT(I608/B608)+(((I608-B608*INT(I608/B608)))/C608)/100))),0,(IF(B608=C608,I608/C608,(INT(I608/B608)+(((I608-B608*INT(I608/B608)))/C608)/100))))</f>
        <v>0</v>
      </c>
      <c r="AU608" s="57">
        <f>IF(ISERROR(IF(B608=C608,J608/C608,(INT(J608/B608)+(((J608-B608*INT(J608/B608)))/C608)/100))),0,(IF(B608=C608,J608/C608,(INT(J608/B608)+(((J608-B608*INT(J608/B608)))/C608)/100))))</f>
        <v>0</v>
      </c>
      <c r="AV608" s="57">
        <f>IF(ISERROR(IF(B608=C608,K608/C608,IF((INT(K608/B608)+(((K608-B608*INT(K608/B608)))/C608)/100)&lt;0,(INT(K608/B608)+(((K608-B608*INT(K608/B608)))/C608)/100)+(1-(B608/C608/100)),(INT(K608/B608)+(((K608-B608*INT(K608/B608)))/C608)/100)))),0,IF(B608=C608,K608/C608,IF((INT(K608/B608)+(((K608-B608*INT(K608/B608)))/C608)/100)&lt;0,(INT(K608/B608)+(((K608-B608*INT(K608/B608)))/C608)/100)+(1-(B608/C608/100)),(INT(K608/B608)+(((K608-B608*INT(K608/B608)))/C608)/100))))</f>
        <v>0</v>
      </c>
      <c r="AW608" s="57">
        <f>IF(ISERROR(IF(B608=C608,L608/C608,(INT(L608/B608)+(((L608-B608*INT(L608/B608)))/C608)/100))),0,(IF(B608=C608,L608/C608,(INT(L608/B608)+(((L608-B608*INT(L608/B608)))/C608)/100))))</f>
        <v>0</v>
      </c>
      <c r="AX608" s="57">
        <f>IF(ISERROR(IF(B608=C608,M608/C608,(INT(M608/B608)+(((M608-B608*INT(M608/B608)))/C608)/100))),0,(IF(B608=C608,M608/C608,(INT(M608/B608)+(((M608-B608*INT(M608/B608)))/C608)/100))))</f>
        <v>0</v>
      </c>
      <c r="AY608" s="57">
        <f>IF(ISERROR(IF(B608=C608,N608/C608,IF((INT(N608/B608)+(((N608-B608*INT(N608/B608)))/C608)/100)&lt;0,(INT(N608/B608)+(((N608-B608*INT(N608/B608)))/C608)/100)+(1-(B608/C608/100)),(INT(N608/B608)+(((N608-B608*INT(N608/B608)))/C608)/100)))),0,IF(B608=C608,N608/C608,IF((INT(N608/B608)+(((N608-B608*INT(N608/B608)))/C608)/100)&lt;0,(INT(N608/B608)+(((N608-B608*INT(N608/B608)))/C608)/100)+(1-(B608/C608/100)),(INT(N608/B608)+(((N608-B608*INT(N608/B608)))/C608)/100))))</f>
        <v>0</v>
      </c>
      <c r="AZ608" s="57">
        <f>IF(ISERROR(IF(B608=C608,O608/C608,(INT(O608/B608)+(((O608-B608*INT(O608/B608)))/C608)/100))),0,(IF(B608=C608,O608/C608,(INT(O608/B608)+(((O608-B608*INT(O608/B608)))/C608)/100))))</f>
        <v>0</v>
      </c>
      <c r="BA608" s="57">
        <f>IF(ISERROR(IF(B608=C608,P608/C608,IF((INT(P608/B608)+(((P608-B608*INT(P608/B608)))/C608)/100)&lt;0,(INT(P608/B608)+(((P608-B608*INT(P608/B608)))/C608)/100)+(1-(B608/C608/100)),(INT(P608/B608)+(((P608-B608*INT(P608/B608)))/C608)/100)))),0,IF(B608=C608,P608/C608,IF((INT(P608/B608)+(((P608-B608*INT(P608/B608)))/C608)/100)&lt;0,(INT(P608/B608)+(((P608-B608*INT(P608/B608)))/C608)/100)+(1-(B608/C608/100)),(INT(P608/B608)+(((P608-B608*INT(P608/B608)))/C608)/100))))</f>
        <v>0</v>
      </c>
      <c r="BB608" s="28">
        <f>R608</f>
        <v>0</v>
      </c>
      <c r="BC608" s="28">
        <f>S608</f>
        <v>0</v>
      </c>
      <c r="BD608" s="28">
        <f>AF608</f>
        <v>0</v>
      </c>
      <c r="BE608" s="28">
        <f>T608</f>
        <v>0</v>
      </c>
      <c r="BG608" s="57">
        <f>IF(ISERROR(IF(B608=C608,V608/C608,(INT(V608/B608)+(((V608-B608*INT(V608/B608)))/C608)/100))),0,(IF(B608=C608,V608/C608,(INT(V608/B608)+(((V608-B608*INT(V608/B608)))/C608)/100))))</f>
        <v>0</v>
      </c>
      <c r="BH608" s="57">
        <f>IF(ISERROR(IF(B608=C608,W608/C608,(INT(W608/B608)+(((W608-B608*INT(W608/B608)))/C608)/100))),0,(IF(B608=C608,W608/C608,(INT(W608/B608)+(((W608-B608*INT(W608/B608)))/C608)/100))))</f>
        <v>0</v>
      </c>
      <c r="BI608" s="57">
        <f>IF(ISERROR(IF(B608=C608,X608/C608,(INT(X608/B608)+(((X608-B608*INT(X608/B608)))/C608)/100))),0,(IF(B608=C608,X608/C608,(INT(X608/B608)+(((X608-B608*INT(X608/B608)))/C608)/100))))</f>
        <v>0</v>
      </c>
      <c r="BJ608" s="57">
        <f>IF(ISERROR(IF(B608=C608,Y608/C608,(INT(Y608/B608)+(((Y608-B608*INT(Y608/B608)))/C608)/100))),0,(IF(B608=C608,Y608/C608,(INT(Y608/B608)+(((Y608-B608*INT(Y608/B608)))/C608)/100))))</f>
        <v>0</v>
      </c>
      <c r="BL608" s="57">
        <f>IF(ISERROR(IF(B608=C608,AA608/C608,(INT(AA608/B608)+(((AA608-B608*INT(AA608/B608)))/C608)/100))),0,(IF(B608=C608,AA608/C608,(INT(AA608/B608)+(((AA608-B608*INT(AA608/B608)))/C608)/100))))</f>
        <v>0</v>
      </c>
      <c r="BM608" s="57">
        <f>IF(ISERROR(IF(B608=C608,AB608/C608,(INT(AB608/B608)+(((AB608-B608*INT(AB608/B608)))/C608)/100))),0,(IF(B608=C608,AB608/C608,(INT(AB608/B608)+(((AB608-B608*INT(AB608/B608)))/C608)/100))))</f>
        <v>0</v>
      </c>
      <c r="BN608" s="57">
        <f>IF(ISERROR(IF(B608=C608,AC608/C608,(INT(AC608/B608)+(((AC608-B608*INT(AC608/B608)))/C608)/100))),0,(IF(B608=C608,AC608/C608,(INT(AC608/B608)+(((AC608-B608*INT(AC608/B608)))/C608)/100))))</f>
        <v>0</v>
      </c>
      <c r="BO608" s="57">
        <f>IF(ISERROR(IF(B608=C608,AD608/C608,(INT(AD608/B608)+(((AD608-B608*INT(AD608/B608)))/C608)/100))),0,(IF(B608=C608,AD608/C608,(INT(AD608/B608)+(((AD608-B608*INT(AD608/B608)))/C608)/100))))</f>
        <v>0</v>
      </c>
      <c r="BQ608" s="155"/>
    </row>
    <row r="609" spans="1:69" hidden="1" x14ac:dyDescent="0.35">
      <c r="A609" s="94"/>
      <c r="B609" s="113">
        <v>0</v>
      </c>
      <c r="C609" s="113">
        <v>250</v>
      </c>
      <c r="D609" s="28">
        <f>SUM(AA609:AD609)</f>
        <v>0</v>
      </c>
      <c r="E609" s="113">
        <v>0</v>
      </c>
      <c r="F609" s="113">
        <v>0</v>
      </c>
      <c r="G609" s="28">
        <f>SUM(D609:F609)</f>
        <v>0</v>
      </c>
      <c r="H609" s="125">
        <v>0</v>
      </c>
      <c r="I609" s="113">
        <v>0</v>
      </c>
      <c r="J609" s="125">
        <v>0</v>
      </c>
      <c r="K609" s="113">
        <v>0</v>
      </c>
      <c r="L609" s="113">
        <v>0</v>
      </c>
      <c r="M609" s="113">
        <v>0</v>
      </c>
      <c r="N609" s="28">
        <f>G609-SUM(H609:M609)</f>
        <v>0</v>
      </c>
      <c r="O609" s="28">
        <f>SUM(V609:Y609)</f>
        <v>0</v>
      </c>
      <c r="P609" s="28">
        <f>O609-N609</f>
        <v>0</v>
      </c>
      <c r="Q609" s="61" t="str">
        <f>IF(ISERROR(P609/SUM(H609:L609)),"",P609/SUM(H609:L609))</f>
        <v/>
      </c>
      <c r="R609" s="113">
        <v>0</v>
      </c>
      <c r="S609" s="28">
        <f>IF(ISERROR(P609/C609*R609),0,(P609/C609*R609))</f>
        <v>0</v>
      </c>
      <c r="T609" s="60">
        <f>IF(ISERROR(P609/B609*AF609),0,(P609/B609*AF609))</f>
        <v>0</v>
      </c>
      <c r="V609" s="113">
        <v>0</v>
      </c>
      <c r="W609" s="113">
        <v>0</v>
      </c>
      <c r="X609" s="113">
        <v>0</v>
      </c>
      <c r="Y609" s="113">
        <v>0</v>
      </c>
      <c r="AA609" s="113">
        <v>0</v>
      </c>
      <c r="AB609" s="113">
        <v>0</v>
      </c>
      <c r="AC609" s="113">
        <v>0</v>
      </c>
      <c r="AD609" s="113">
        <v>0</v>
      </c>
      <c r="AF609" s="113">
        <v>0</v>
      </c>
      <c r="AG609" s="28">
        <f>G609-O609</f>
        <v>0</v>
      </c>
      <c r="AH609" s="58">
        <f>IF(ISERROR(AG609/B609*AF609),0,(AG609/B609*AF609))</f>
        <v>0</v>
      </c>
      <c r="AI609" s="28">
        <f>SUM(H609:M609)</f>
        <v>0</v>
      </c>
      <c r="AJ609" s="28">
        <f>IF(ISERROR(AI609/B609*AF609),0,(AI609/B609*AF609))</f>
        <v>0</v>
      </c>
      <c r="AK609" s="58">
        <f>IF(ISERROR(O609/B609*AF609),0,(O609/B609*AF609))</f>
        <v>0</v>
      </c>
      <c r="AL609" s="28">
        <f>IF(ISERROR(H609/B609*AF609),0,(H609/B609*AF609))</f>
        <v>0</v>
      </c>
      <c r="AN609" s="51">
        <f>A609</f>
        <v>0</v>
      </c>
      <c r="AO609" s="57">
        <f>IF(ISERROR(IF(B609=C609,D609/C609,(INT(D609/B609)+(((D609-B609*INT(D609/B609)))/C609)/100))),0,(IF(B609=C609,D609/C609,(INT(D609/B609)+(((D609-B609*INT(D609/B609)))/C609)/100))))</f>
        <v>0</v>
      </c>
      <c r="AP609" s="57">
        <f>IF(ISERROR(IF(B609=C609,E609/C609,(INT(E609/B609)+(((E609-B609*INT(E609/B609)))/C609)/100))),0,(IF(B609=C609,E609/C609,(INT(E609/B609)+(((E609-B609*INT(E609/B609)))/C609)/100))))</f>
        <v>0</v>
      </c>
      <c r="AQ609" s="57">
        <f>IF(ISERROR(IF(B609=C609,F609/C609,IF((INT(F609/B609)+(((F609-B609*INT(F609/B609)))/C609)/100)&lt;0,(INT(F609/B609)+(((F609-B609*INT(F609/B609)))/C609)/100)+(1-(B609/C609/100)),(INT(F609/B609)+(((F609-B609*INT(F609/B609)))/C609)/100)))),0,IF(B609=C609,F609/C609,IF((INT(F609/B609)+(((F609-B609*INT(F609/B609)))/C609)/100)&lt;0,(INT(F609/B609)+(((F609-B609*INT(F609/B609)))/C609)/100)+(1-(B609/C609/100)),(INT(F609/B609)+(((F609-B609*INT(F609/B609)))/C609)/100))))</f>
        <v>0</v>
      </c>
      <c r="AR609" s="57">
        <f>IF(ISERROR(IF(B609=C609,G609/C609,(INT(G609/B609)+(((G609-B609*INT(G609/B609)))/C609)/100))),0,(IF(B609=C609,G609/C609,(INT(G609/B609)+(((G609-B609*INT(G609/B609)))/C609)/100))))</f>
        <v>0</v>
      </c>
      <c r="AS609" s="57">
        <f>IF(ISERROR(IF(B609=C609,H609/C609,(INT(H609/B609)+(((H609-B609*INT(H609/B609)))/C609)/100))),0,(IF(B609=C609,H609/C609,(INT(H609/B609)+(((H609-B609*INT(H609/B609)))/C609)/100))))</f>
        <v>0</v>
      </c>
      <c r="AT609" s="57">
        <f>IF(ISERROR(IF(B609=C609,I609/C609,(INT(I609/B609)+(((I609-B609*INT(I609/B609)))/C609)/100))),0,(IF(B609=C609,I609/C609,(INT(I609/B609)+(((I609-B609*INT(I609/B609)))/C609)/100))))</f>
        <v>0</v>
      </c>
      <c r="AU609" s="57">
        <f>IF(ISERROR(IF(B609=C609,J609/C609,(INT(J609/B609)+(((J609-B609*INT(J609/B609)))/C609)/100))),0,(IF(B609=C609,J609/C609,(INT(J609/B609)+(((J609-B609*INT(J609/B609)))/C609)/100))))</f>
        <v>0</v>
      </c>
      <c r="AV609" s="57">
        <f>IF(ISERROR(IF(B609=C609,K609/C609,IF((INT(K609/B609)+(((K609-B609*INT(K609/B609)))/C609)/100)&lt;0,(INT(K609/B609)+(((K609-B609*INT(K609/B609)))/C609)/100)+(1-(B609/C609/100)),(INT(K609/B609)+(((K609-B609*INT(K609/B609)))/C609)/100)))),0,IF(B609=C609,K609/C609,IF((INT(K609/B609)+(((K609-B609*INT(K609/B609)))/C609)/100)&lt;0,(INT(K609/B609)+(((K609-B609*INT(K609/B609)))/C609)/100)+(1-(B609/C609/100)),(INT(K609/B609)+(((K609-B609*INT(K609/B609)))/C609)/100))))</f>
        <v>0</v>
      </c>
      <c r="AW609" s="57">
        <f>IF(ISERROR(IF(B609=C609,L609/C609,(INT(L609/B609)+(((L609-B609*INT(L609/B609)))/C609)/100))),0,(IF(B609=C609,L609/C609,(INT(L609/B609)+(((L609-B609*INT(L609/B609)))/C609)/100))))</f>
        <v>0</v>
      </c>
      <c r="AX609" s="57">
        <f>IF(ISERROR(IF(B609=C609,M609/C609,(INT(M609/B609)+(((M609-B609*INT(M609/B609)))/C609)/100))),0,(IF(B609=C609,M609/C609,(INT(M609/B609)+(((M609-B609*INT(M609/B609)))/C609)/100))))</f>
        <v>0</v>
      </c>
      <c r="AY609" s="57">
        <f>IF(ISERROR(IF(B609=C609,N609/C609,IF((INT(N609/B609)+(((N609-B609*INT(N609/B609)))/C609)/100)&lt;0,(INT(N609/B609)+(((N609-B609*INT(N609/B609)))/C609)/100)+(1-(B609/C609/100)),(INT(N609/B609)+(((N609-B609*INT(N609/B609)))/C609)/100)))),0,IF(B609=C609,N609/C609,IF((INT(N609/B609)+(((N609-B609*INT(N609/B609)))/C609)/100)&lt;0,(INT(N609/B609)+(((N609-B609*INT(N609/B609)))/C609)/100)+(1-(B609/C609/100)),(INT(N609/B609)+(((N609-B609*INT(N609/B609)))/C609)/100))))</f>
        <v>0</v>
      </c>
      <c r="AZ609" s="57">
        <f>IF(ISERROR(IF(B609=C609,O609/C609,(INT(O609/B609)+(((O609-B609*INT(O609/B609)))/C609)/100))),0,(IF(B609=C609,O609/C609,(INT(O609/B609)+(((O609-B609*INT(O609/B609)))/C609)/100))))</f>
        <v>0</v>
      </c>
      <c r="BA609" s="57">
        <f>IF(ISERROR(IF(B609=C609,P609/C609,IF((INT(P609/B609)+(((P609-B609*INT(P609/B609)))/C609)/100)&lt;0,(INT(P609/B609)+(((P609-B609*INT(P609/B609)))/C609)/100)+(1-(B609/C609/100)),(INT(P609/B609)+(((P609-B609*INT(P609/B609)))/C609)/100)))),0,IF(B609=C609,P609/C609,IF((INT(P609/B609)+(((P609-B609*INT(P609/B609)))/C609)/100)&lt;0,(INT(P609/B609)+(((P609-B609*INT(P609/B609)))/C609)/100)+(1-(B609/C609/100)),(INT(P609/B609)+(((P609-B609*INT(P609/B609)))/C609)/100))))</f>
        <v>0</v>
      </c>
      <c r="BB609" s="28">
        <f>R609</f>
        <v>0</v>
      </c>
      <c r="BC609" s="28">
        <f>S609</f>
        <v>0</v>
      </c>
      <c r="BD609" s="28">
        <f>AF609</f>
        <v>0</v>
      </c>
      <c r="BE609" s="28">
        <f>T609</f>
        <v>0</v>
      </c>
      <c r="BG609" s="57">
        <f>IF(ISERROR(IF(B609=C609,V609/C609,(INT(V609/B609)+(((V609-B609*INT(V609/B609)))/C609)/100))),0,(IF(B609=C609,V609/C609,(INT(V609/B609)+(((V609-B609*INT(V609/B609)))/C609)/100))))</f>
        <v>0</v>
      </c>
      <c r="BH609" s="57">
        <f>IF(ISERROR(IF(B609=C609,W609/C609,(INT(W609/B609)+(((W609-B609*INT(W609/B609)))/C609)/100))),0,(IF(B609=C609,W609/C609,(INT(W609/B609)+(((W609-B609*INT(W609/B609)))/C609)/100))))</f>
        <v>0</v>
      </c>
      <c r="BI609" s="57">
        <f>IF(ISERROR(IF(B609=C609,X609/C609,(INT(X609/B609)+(((X609-B609*INT(X609/B609)))/C609)/100))),0,(IF(B609=C609,X609/C609,(INT(X609/B609)+(((X609-B609*INT(X609/B609)))/C609)/100))))</f>
        <v>0</v>
      </c>
      <c r="BJ609" s="57">
        <f>IF(ISERROR(IF(B609=C609,Y609/C609,(INT(Y609/B609)+(((Y609-B609*INT(Y609/B609)))/C609)/100))),0,(IF(B609=C609,Y609/C609,(INT(Y609/B609)+(((Y609-B609*INT(Y609/B609)))/C609)/100))))</f>
        <v>0</v>
      </c>
      <c r="BL609" s="57">
        <f>IF(ISERROR(IF(B609=C609,AA609/C609,(INT(AA609/B609)+(((AA609-B609*INT(AA609/B609)))/C609)/100))),0,(IF(B609=C609,AA609/C609,(INT(AA609/B609)+(((AA609-B609*INT(AA609/B609)))/C609)/100))))</f>
        <v>0</v>
      </c>
      <c r="BM609" s="57">
        <f>IF(ISERROR(IF(B609=C609,AB609/C609,(INT(AB609/B609)+(((AB609-B609*INT(AB609/B609)))/C609)/100))),0,(IF(B609=C609,AB609/C609,(INT(AB609/B609)+(((AB609-B609*INT(AB609/B609)))/C609)/100))))</f>
        <v>0</v>
      </c>
      <c r="BN609" s="57">
        <f>IF(ISERROR(IF(B609=C609,AC609/C609,(INT(AC609/B609)+(((AC609-B609*INT(AC609/B609)))/C609)/100))),0,(IF(B609=C609,AC609/C609,(INT(AC609/B609)+(((AC609-B609*INT(AC609/B609)))/C609)/100))))</f>
        <v>0</v>
      </c>
      <c r="BO609" s="57">
        <f>IF(ISERROR(IF(B609=C609,AD609/C609,(INT(AD609/B609)+(((AD609-B609*INT(AD609/B609)))/C609)/100))),0,(IF(B609=C609,AD609/C609,(INT(AD609/B609)+(((AD609-B609*INT(AD609/B609)))/C609)/100))))</f>
        <v>0</v>
      </c>
      <c r="BQ609" s="155"/>
    </row>
    <row r="610" spans="1:69" hidden="1" x14ac:dyDescent="0.35">
      <c r="A610" s="94"/>
      <c r="B610" s="113">
        <v>0</v>
      </c>
      <c r="C610" s="113">
        <v>250</v>
      </c>
      <c r="D610" s="28">
        <f>SUM(AA610:AD610)</f>
        <v>0</v>
      </c>
      <c r="E610" s="113">
        <v>0</v>
      </c>
      <c r="F610" s="113">
        <v>0</v>
      </c>
      <c r="G610" s="28">
        <f>SUM(D610:F610)</f>
        <v>0</v>
      </c>
      <c r="H610" s="125">
        <v>0</v>
      </c>
      <c r="I610" s="113">
        <v>0</v>
      </c>
      <c r="J610" s="125">
        <v>0</v>
      </c>
      <c r="K610" s="113">
        <v>0</v>
      </c>
      <c r="L610" s="113">
        <v>0</v>
      </c>
      <c r="M610" s="113">
        <v>0</v>
      </c>
      <c r="N610" s="28">
        <f>G610-SUM(H610:M610)</f>
        <v>0</v>
      </c>
      <c r="O610" s="28">
        <f>SUM(V610:Y610)</f>
        <v>0</v>
      </c>
      <c r="P610" s="28">
        <f>O610-N610</f>
        <v>0</v>
      </c>
      <c r="Q610" s="61" t="str">
        <f>IF(ISERROR(P610/SUM(H610:L610)),"",P610/SUM(H610:L610))</f>
        <v/>
      </c>
      <c r="R610" s="113">
        <v>0</v>
      </c>
      <c r="S610" s="28">
        <f>IF(ISERROR(P610/C610*R610),0,(P610/C610*R610))</f>
        <v>0</v>
      </c>
      <c r="T610" s="60">
        <f>IF(ISERROR(P610/B610*AF610),0,(P610/B610*AF610))</f>
        <v>0</v>
      </c>
      <c r="V610" s="113">
        <v>0</v>
      </c>
      <c r="W610" s="113">
        <v>0</v>
      </c>
      <c r="X610" s="113">
        <v>0</v>
      </c>
      <c r="Y610" s="113">
        <v>0</v>
      </c>
      <c r="AA610" s="113">
        <v>0</v>
      </c>
      <c r="AB610" s="113">
        <v>0</v>
      </c>
      <c r="AC610" s="113">
        <v>0</v>
      </c>
      <c r="AD610" s="113">
        <v>0</v>
      </c>
      <c r="AF610" s="113">
        <v>0</v>
      </c>
      <c r="AG610" s="28">
        <f>G610-O610</f>
        <v>0</v>
      </c>
      <c r="AH610" s="58">
        <f>IF(ISERROR(AG610/B610*AF610),0,(AG610/B610*AF610))</f>
        <v>0</v>
      </c>
      <c r="AI610" s="28">
        <f>SUM(H610:M610)</f>
        <v>0</v>
      </c>
      <c r="AJ610" s="28">
        <f>IF(ISERROR(AI610/B610*AF610),0,(AI610/B610*AF610))</f>
        <v>0</v>
      </c>
      <c r="AK610" s="58">
        <f>IF(ISERROR(O610/B610*AF610),0,(O610/B610*AF610))</f>
        <v>0</v>
      </c>
      <c r="AL610" s="28">
        <f>IF(ISERROR(H610/B610*AF610),0,(H610/B610*AF610))</f>
        <v>0</v>
      </c>
      <c r="AN610" s="51">
        <f>A610</f>
        <v>0</v>
      </c>
      <c r="AO610" s="57">
        <f>IF(ISERROR(IF(B610=C610,D610/C610,(INT(D610/B610)+(((D610-B610*INT(D610/B610)))/C610)/100))),0,(IF(B610=C610,D610/C610,(INT(D610/B610)+(((D610-B610*INT(D610/B610)))/C610)/100))))</f>
        <v>0</v>
      </c>
      <c r="AP610" s="57">
        <f>IF(ISERROR(IF(B610=C610,E610/C610,(INT(E610/B610)+(((E610-B610*INT(E610/B610)))/C610)/100))),0,(IF(B610=C610,E610/C610,(INT(E610/B610)+(((E610-B610*INT(E610/B610)))/C610)/100))))</f>
        <v>0</v>
      </c>
      <c r="AQ610" s="57">
        <f>IF(ISERROR(IF(B610=C610,F610/C610,IF((INT(F610/B610)+(((F610-B610*INT(F610/B610)))/C610)/100)&lt;0,(INT(F610/B610)+(((F610-B610*INT(F610/B610)))/C610)/100)+(1-(B610/C610/100)),(INT(F610/B610)+(((F610-B610*INT(F610/B610)))/C610)/100)))),0,IF(B610=C610,F610/C610,IF((INT(F610/B610)+(((F610-B610*INT(F610/B610)))/C610)/100)&lt;0,(INT(F610/B610)+(((F610-B610*INT(F610/B610)))/C610)/100)+(1-(B610/C610/100)),(INT(F610/B610)+(((F610-B610*INT(F610/B610)))/C610)/100))))</f>
        <v>0</v>
      </c>
      <c r="AR610" s="57">
        <f>IF(ISERROR(IF(B610=C610,G610/C610,(INT(G610/B610)+(((G610-B610*INT(G610/B610)))/C610)/100))),0,(IF(B610=C610,G610/C610,(INT(G610/B610)+(((G610-B610*INT(G610/B610)))/C610)/100))))</f>
        <v>0</v>
      </c>
      <c r="AS610" s="57">
        <f>IF(ISERROR(IF(B610=C610,H610/C610,(INT(H610/B610)+(((H610-B610*INT(H610/B610)))/C610)/100))),0,(IF(B610=C610,H610/C610,(INT(H610/B610)+(((H610-B610*INT(H610/B610)))/C610)/100))))</f>
        <v>0</v>
      </c>
      <c r="AT610" s="57">
        <f>IF(ISERROR(IF(B610=C610,I610/C610,(INT(I610/B610)+(((I610-B610*INT(I610/B610)))/C610)/100))),0,(IF(B610=C610,I610/C610,(INT(I610/B610)+(((I610-B610*INT(I610/B610)))/C610)/100))))</f>
        <v>0</v>
      </c>
      <c r="AU610" s="57">
        <f>IF(ISERROR(IF(B610=C610,J610/C610,(INT(J610/B610)+(((J610-B610*INT(J610/B610)))/C610)/100))),0,(IF(B610=C610,J610/C610,(INT(J610/B610)+(((J610-B610*INT(J610/B610)))/C610)/100))))</f>
        <v>0</v>
      </c>
      <c r="AV610" s="57">
        <f>IF(ISERROR(IF(B610=C610,K610/C610,IF((INT(K610/B610)+(((K610-B610*INT(K610/B610)))/C610)/100)&lt;0,(INT(K610/B610)+(((K610-B610*INT(K610/B610)))/C610)/100)+(1-(B610/C610/100)),(INT(K610/B610)+(((K610-B610*INT(K610/B610)))/C610)/100)))),0,IF(B610=C610,K610/C610,IF((INT(K610/B610)+(((K610-B610*INT(K610/B610)))/C610)/100)&lt;0,(INT(K610/B610)+(((K610-B610*INT(K610/B610)))/C610)/100)+(1-(B610/C610/100)),(INT(K610/B610)+(((K610-B610*INT(K610/B610)))/C610)/100))))</f>
        <v>0</v>
      </c>
      <c r="AW610" s="57">
        <f>IF(ISERROR(IF(B610=C610,L610/C610,(INT(L610/B610)+(((L610-B610*INT(L610/B610)))/C610)/100))),0,(IF(B610=C610,L610/C610,(INT(L610/B610)+(((L610-B610*INT(L610/B610)))/C610)/100))))</f>
        <v>0</v>
      </c>
      <c r="AX610" s="57">
        <f>IF(ISERROR(IF(B610=C610,M610/C610,(INT(M610/B610)+(((M610-B610*INT(M610/B610)))/C610)/100))),0,(IF(B610=C610,M610/C610,(INT(M610/B610)+(((M610-B610*INT(M610/B610)))/C610)/100))))</f>
        <v>0</v>
      </c>
      <c r="AY610" s="57">
        <f>IF(ISERROR(IF(B610=C610,N610/C610,IF((INT(N610/B610)+(((N610-B610*INT(N610/B610)))/C610)/100)&lt;0,(INT(N610/B610)+(((N610-B610*INT(N610/B610)))/C610)/100)+(1-(B610/C610/100)),(INT(N610/B610)+(((N610-B610*INT(N610/B610)))/C610)/100)))),0,IF(B610=C610,N610/C610,IF((INT(N610/B610)+(((N610-B610*INT(N610/B610)))/C610)/100)&lt;0,(INT(N610/B610)+(((N610-B610*INT(N610/B610)))/C610)/100)+(1-(B610/C610/100)),(INT(N610/B610)+(((N610-B610*INT(N610/B610)))/C610)/100))))</f>
        <v>0</v>
      </c>
      <c r="AZ610" s="57">
        <f>IF(ISERROR(IF(B610=C610,O610/C610,(INT(O610/B610)+(((O610-B610*INT(O610/B610)))/C610)/100))),0,(IF(B610=C610,O610/C610,(INT(O610/B610)+(((O610-B610*INT(O610/B610)))/C610)/100))))</f>
        <v>0</v>
      </c>
      <c r="BA610" s="57">
        <f>IF(ISERROR(IF(B610=C610,P610/C610,IF((INT(P610/B610)+(((P610-B610*INT(P610/B610)))/C610)/100)&lt;0,(INT(P610/B610)+(((P610-B610*INT(P610/B610)))/C610)/100)+(1-(B610/C610/100)),(INT(P610/B610)+(((P610-B610*INT(P610/B610)))/C610)/100)))),0,IF(B610=C610,P610/C610,IF((INT(P610/B610)+(((P610-B610*INT(P610/B610)))/C610)/100)&lt;0,(INT(P610/B610)+(((P610-B610*INT(P610/B610)))/C610)/100)+(1-(B610/C610/100)),(INT(P610/B610)+(((P610-B610*INT(P610/B610)))/C610)/100))))</f>
        <v>0</v>
      </c>
      <c r="BB610" s="28">
        <f>R610</f>
        <v>0</v>
      </c>
      <c r="BC610" s="28">
        <f>S610</f>
        <v>0</v>
      </c>
      <c r="BD610" s="28">
        <f>AF610</f>
        <v>0</v>
      </c>
      <c r="BE610" s="28">
        <f>T610</f>
        <v>0</v>
      </c>
      <c r="BG610" s="57">
        <f>IF(ISERROR(IF(B610=C610,V610/C610,(INT(V610/B610)+(((V610-B610*INT(V610/B610)))/C610)/100))),0,(IF(B610=C610,V610/C610,(INT(V610/B610)+(((V610-B610*INT(V610/B610)))/C610)/100))))</f>
        <v>0</v>
      </c>
      <c r="BH610" s="57">
        <f>IF(ISERROR(IF(B610=C610,W610/C610,(INT(W610/B610)+(((W610-B610*INT(W610/B610)))/C610)/100))),0,(IF(B610=C610,W610/C610,(INT(W610/B610)+(((W610-B610*INT(W610/B610)))/C610)/100))))</f>
        <v>0</v>
      </c>
      <c r="BI610" s="57">
        <f>IF(ISERROR(IF(B610=C610,X610/C610,(INT(X610/B610)+(((X610-B610*INT(X610/B610)))/C610)/100))),0,(IF(B610=C610,X610/C610,(INT(X610/B610)+(((X610-B610*INT(X610/B610)))/C610)/100))))</f>
        <v>0</v>
      </c>
      <c r="BJ610" s="57">
        <f>IF(ISERROR(IF(B610=C610,Y610/C610,(INT(Y610/B610)+(((Y610-B610*INT(Y610/B610)))/C610)/100))),0,(IF(B610=C610,Y610/C610,(INT(Y610/B610)+(((Y610-B610*INT(Y610/B610)))/C610)/100))))</f>
        <v>0</v>
      </c>
      <c r="BL610" s="57">
        <f>IF(ISERROR(IF(B610=C610,AA610/C610,(INT(AA610/B610)+(((AA610-B610*INT(AA610/B610)))/C610)/100))),0,(IF(B610=C610,AA610/C610,(INT(AA610/B610)+(((AA610-B610*INT(AA610/B610)))/C610)/100))))</f>
        <v>0</v>
      </c>
      <c r="BM610" s="57">
        <f>IF(ISERROR(IF(B610=C610,AB610/C610,(INT(AB610/B610)+(((AB610-B610*INT(AB610/B610)))/C610)/100))),0,(IF(B610=C610,AB610/C610,(INT(AB610/B610)+(((AB610-B610*INT(AB610/B610)))/C610)/100))))</f>
        <v>0</v>
      </c>
      <c r="BN610" s="57">
        <f>IF(ISERROR(IF(B610=C610,AC610/C610,(INT(AC610/B610)+(((AC610-B610*INT(AC610/B610)))/C610)/100))),0,(IF(B610=C610,AC610/C610,(INT(AC610/B610)+(((AC610-B610*INT(AC610/B610)))/C610)/100))))</f>
        <v>0</v>
      </c>
      <c r="BO610" s="57">
        <f>IF(ISERROR(IF(B610=C610,AD610/C610,(INT(AD610/B610)+(((AD610-B610*INT(AD610/B610)))/C610)/100))),0,(IF(B610=C610,AD610/C610,(INT(AD610/B610)+(((AD610-B610*INT(AD610/B610)))/C610)/100))))</f>
        <v>0</v>
      </c>
      <c r="BQ610" s="155"/>
    </row>
    <row r="611" spans="1:69" hidden="1" x14ac:dyDescent="0.35">
      <c r="A611" s="94"/>
      <c r="B611" s="113">
        <v>0</v>
      </c>
      <c r="C611" s="113">
        <v>250</v>
      </c>
      <c r="D611" s="28">
        <f>SUM(AA611:AD611)</f>
        <v>0</v>
      </c>
      <c r="E611" s="113">
        <v>0</v>
      </c>
      <c r="F611" s="113">
        <v>0</v>
      </c>
      <c r="G611" s="28">
        <f>SUM(D611:F611)</f>
        <v>0</v>
      </c>
      <c r="H611" s="125">
        <v>0</v>
      </c>
      <c r="I611" s="113">
        <v>0</v>
      </c>
      <c r="J611" s="125">
        <v>0</v>
      </c>
      <c r="K611" s="113">
        <v>0</v>
      </c>
      <c r="L611" s="113">
        <v>0</v>
      </c>
      <c r="M611" s="113">
        <v>0</v>
      </c>
      <c r="N611" s="28">
        <f>G611-SUM(H611:M611)</f>
        <v>0</v>
      </c>
      <c r="O611" s="28">
        <f>SUM(V611:Y611)</f>
        <v>0</v>
      </c>
      <c r="P611" s="28">
        <f>O611-N611</f>
        <v>0</v>
      </c>
      <c r="Q611" s="61" t="str">
        <f>IF(ISERROR(P611/SUM(H611:L611)),"",P611/SUM(H611:L611))</f>
        <v/>
      </c>
      <c r="R611" s="113">
        <v>0</v>
      </c>
      <c r="S611" s="28">
        <f>IF(ISERROR(P611/C611*R611),0,(P611/C611*R611))</f>
        <v>0</v>
      </c>
      <c r="T611" s="60">
        <f>IF(ISERROR(P611/B611*AF611),0,(P611/B611*AF611))</f>
        <v>0</v>
      </c>
      <c r="V611" s="113">
        <v>0</v>
      </c>
      <c r="W611" s="113">
        <v>0</v>
      </c>
      <c r="X611" s="113">
        <v>0</v>
      </c>
      <c r="Y611" s="113">
        <v>0</v>
      </c>
      <c r="AA611" s="113">
        <v>0</v>
      </c>
      <c r="AB611" s="113">
        <v>0</v>
      </c>
      <c r="AC611" s="113">
        <v>0</v>
      </c>
      <c r="AD611" s="113">
        <v>0</v>
      </c>
      <c r="AF611" s="113">
        <v>0</v>
      </c>
      <c r="AG611" s="28">
        <f>G611-O611</f>
        <v>0</v>
      </c>
      <c r="AH611" s="58">
        <f>IF(ISERROR(AG611/B611*AF611),0,(AG611/B611*AF611))</f>
        <v>0</v>
      </c>
      <c r="AI611" s="28">
        <f>SUM(H611:M611)</f>
        <v>0</v>
      </c>
      <c r="AJ611" s="28">
        <f>IF(ISERROR(AI611/B611*AF611),0,(AI611/B611*AF611))</f>
        <v>0</v>
      </c>
      <c r="AK611" s="58">
        <f>IF(ISERROR(O611/B611*AF611),0,(O611/B611*AF611))</f>
        <v>0</v>
      </c>
      <c r="AL611" s="28">
        <f>IF(ISERROR(H611/B611*AF611),0,(H611/B611*AF611))</f>
        <v>0</v>
      </c>
      <c r="AN611" s="51">
        <f>A611</f>
        <v>0</v>
      </c>
      <c r="AO611" s="57">
        <f>IF(ISERROR(IF(B611=C611,D611/C611,(INT(D611/B611)+(((D611-B611*INT(D611/B611)))/C611)/100))),0,(IF(B611=C611,D611/C611,(INT(D611/B611)+(((D611-B611*INT(D611/B611)))/C611)/100))))</f>
        <v>0</v>
      </c>
      <c r="AP611" s="57">
        <f>IF(ISERROR(IF(B611=C611,E611/C611,(INT(E611/B611)+(((E611-B611*INT(E611/B611)))/C611)/100))),0,(IF(B611=C611,E611/C611,(INT(E611/B611)+(((E611-B611*INT(E611/B611)))/C611)/100))))</f>
        <v>0</v>
      </c>
      <c r="AQ611" s="57">
        <f>IF(ISERROR(IF(B611=C611,F611/C611,IF((INT(F611/B611)+(((F611-B611*INT(F611/B611)))/C611)/100)&lt;0,(INT(F611/B611)+(((F611-B611*INT(F611/B611)))/C611)/100)+(1-(B611/C611/100)),(INT(F611/B611)+(((F611-B611*INT(F611/B611)))/C611)/100)))),0,IF(B611=C611,F611/C611,IF((INT(F611/B611)+(((F611-B611*INT(F611/B611)))/C611)/100)&lt;0,(INT(F611/B611)+(((F611-B611*INT(F611/B611)))/C611)/100)+(1-(B611/C611/100)),(INT(F611/B611)+(((F611-B611*INT(F611/B611)))/C611)/100))))</f>
        <v>0</v>
      </c>
      <c r="AR611" s="57">
        <f>IF(ISERROR(IF(B611=C611,G611/C611,(INT(G611/B611)+(((G611-B611*INT(G611/B611)))/C611)/100))),0,(IF(B611=C611,G611/C611,(INT(G611/B611)+(((G611-B611*INT(G611/B611)))/C611)/100))))</f>
        <v>0</v>
      </c>
      <c r="AS611" s="57">
        <f>IF(ISERROR(IF(B611=C611,H611/C611,(INT(H611/B611)+(((H611-B611*INT(H611/B611)))/C611)/100))),0,(IF(B611=C611,H611/C611,(INT(H611/B611)+(((H611-B611*INT(H611/B611)))/C611)/100))))</f>
        <v>0</v>
      </c>
      <c r="AT611" s="57">
        <f>IF(ISERROR(IF(B611=C611,I611/C611,(INT(I611/B611)+(((I611-B611*INT(I611/B611)))/C611)/100))),0,(IF(B611=C611,I611/C611,(INT(I611/B611)+(((I611-B611*INT(I611/B611)))/C611)/100))))</f>
        <v>0</v>
      </c>
      <c r="AU611" s="57">
        <f>IF(ISERROR(IF(B611=C611,J611/C611,(INT(J611/B611)+(((J611-B611*INT(J611/B611)))/C611)/100))),0,(IF(B611=C611,J611/C611,(INT(J611/B611)+(((J611-B611*INT(J611/B611)))/C611)/100))))</f>
        <v>0</v>
      </c>
      <c r="AV611" s="57">
        <f>IF(ISERROR(IF(B611=C611,K611/C611,IF((INT(K611/B611)+(((K611-B611*INT(K611/B611)))/C611)/100)&lt;0,(INT(K611/B611)+(((K611-B611*INT(K611/B611)))/C611)/100)+(1-(B611/C611/100)),(INT(K611/B611)+(((K611-B611*INT(K611/B611)))/C611)/100)))),0,IF(B611=C611,K611/C611,IF((INT(K611/B611)+(((K611-B611*INT(K611/B611)))/C611)/100)&lt;0,(INT(K611/B611)+(((K611-B611*INT(K611/B611)))/C611)/100)+(1-(B611/C611/100)),(INT(K611/B611)+(((K611-B611*INT(K611/B611)))/C611)/100))))</f>
        <v>0</v>
      </c>
      <c r="AW611" s="57">
        <f>IF(ISERROR(IF(B611=C611,L611/C611,(INT(L611/B611)+(((L611-B611*INT(L611/B611)))/C611)/100))),0,(IF(B611=C611,L611/C611,(INT(L611/B611)+(((L611-B611*INT(L611/B611)))/C611)/100))))</f>
        <v>0</v>
      </c>
      <c r="AX611" s="57">
        <f>IF(ISERROR(IF(B611=C611,M611/C611,(INT(M611/B611)+(((M611-B611*INT(M611/B611)))/C611)/100))),0,(IF(B611=C611,M611/C611,(INT(M611/B611)+(((M611-B611*INT(M611/B611)))/C611)/100))))</f>
        <v>0</v>
      </c>
      <c r="AY611" s="57">
        <f>IF(ISERROR(IF(B611=C611,N611/C611,IF((INT(N611/B611)+(((N611-B611*INT(N611/B611)))/C611)/100)&lt;0,(INT(N611/B611)+(((N611-B611*INT(N611/B611)))/C611)/100)+(1-(B611/C611/100)),(INT(N611/B611)+(((N611-B611*INT(N611/B611)))/C611)/100)))),0,IF(B611=C611,N611/C611,IF((INT(N611/B611)+(((N611-B611*INT(N611/B611)))/C611)/100)&lt;0,(INT(N611/B611)+(((N611-B611*INT(N611/B611)))/C611)/100)+(1-(B611/C611/100)),(INT(N611/B611)+(((N611-B611*INT(N611/B611)))/C611)/100))))</f>
        <v>0</v>
      </c>
      <c r="AZ611" s="57">
        <f>IF(ISERROR(IF(B611=C611,O611/C611,(INT(O611/B611)+(((O611-B611*INT(O611/B611)))/C611)/100))),0,(IF(B611=C611,O611/C611,(INT(O611/B611)+(((O611-B611*INT(O611/B611)))/C611)/100))))</f>
        <v>0</v>
      </c>
      <c r="BA611" s="57">
        <f>IF(ISERROR(IF(B611=C611,P611/C611,IF((INT(P611/B611)+(((P611-B611*INT(P611/B611)))/C611)/100)&lt;0,(INT(P611/B611)+(((P611-B611*INT(P611/B611)))/C611)/100)+(1-(B611/C611/100)),(INT(P611/B611)+(((P611-B611*INT(P611/B611)))/C611)/100)))),0,IF(B611=C611,P611/C611,IF((INT(P611/B611)+(((P611-B611*INT(P611/B611)))/C611)/100)&lt;0,(INT(P611/B611)+(((P611-B611*INT(P611/B611)))/C611)/100)+(1-(B611/C611/100)),(INT(P611/B611)+(((P611-B611*INT(P611/B611)))/C611)/100))))</f>
        <v>0</v>
      </c>
      <c r="BB611" s="28">
        <f>R611</f>
        <v>0</v>
      </c>
      <c r="BC611" s="28">
        <f>S611</f>
        <v>0</v>
      </c>
      <c r="BD611" s="28">
        <f>AF611</f>
        <v>0</v>
      </c>
      <c r="BE611" s="28">
        <f>T611</f>
        <v>0</v>
      </c>
      <c r="BG611" s="57">
        <f>IF(ISERROR(IF(B611=C611,V611/C611,(INT(V611/B611)+(((V611-B611*INT(V611/B611)))/C611)/100))),0,(IF(B611=C611,V611/C611,(INT(V611/B611)+(((V611-B611*INT(V611/B611)))/C611)/100))))</f>
        <v>0</v>
      </c>
      <c r="BH611" s="57">
        <f>IF(ISERROR(IF(B611=C611,W611/C611,(INT(W611/B611)+(((W611-B611*INT(W611/B611)))/C611)/100))),0,(IF(B611=C611,W611/C611,(INT(W611/B611)+(((W611-B611*INT(W611/B611)))/C611)/100))))</f>
        <v>0</v>
      </c>
      <c r="BI611" s="57">
        <f>IF(ISERROR(IF(B611=C611,X611/C611,(INT(X611/B611)+(((X611-B611*INT(X611/B611)))/C611)/100))),0,(IF(B611=C611,X611/C611,(INT(X611/B611)+(((X611-B611*INT(X611/B611)))/C611)/100))))</f>
        <v>0</v>
      </c>
      <c r="BJ611" s="57">
        <f>IF(ISERROR(IF(B611=C611,Y611/C611,(INT(Y611/B611)+(((Y611-B611*INT(Y611/B611)))/C611)/100))),0,(IF(B611=C611,Y611/C611,(INT(Y611/B611)+(((Y611-B611*INT(Y611/B611)))/C611)/100))))</f>
        <v>0</v>
      </c>
      <c r="BL611" s="57">
        <f>IF(ISERROR(IF(B611=C611,AA611/C611,(INT(AA611/B611)+(((AA611-B611*INT(AA611/B611)))/C611)/100))),0,(IF(B611=C611,AA611/C611,(INT(AA611/B611)+(((AA611-B611*INT(AA611/B611)))/C611)/100))))</f>
        <v>0</v>
      </c>
      <c r="BM611" s="57">
        <f>IF(ISERROR(IF(B611=C611,AB611/C611,(INT(AB611/B611)+(((AB611-B611*INT(AB611/B611)))/C611)/100))),0,(IF(B611=C611,AB611/C611,(INT(AB611/B611)+(((AB611-B611*INT(AB611/B611)))/C611)/100))))</f>
        <v>0</v>
      </c>
      <c r="BN611" s="57">
        <f>IF(ISERROR(IF(B611=C611,AC611/C611,(INT(AC611/B611)+(((AC611-B611*INT(AC611/B611)))/C611)/100))),0,(IF(B611=C611,AC611/C611,(INT(AC611/B611)+(((AC611-B611*INT(AC611/B611)))/C611)/100))))</f>
        <v>0</v>
      </c>
      <c r="BO611" s="57">
        <f>IF(ISERROR(IF(B611=C611,AD611/C611,(INT(AD611/B611)+(((AD611-B611*INT(AD611/B611)))/C611)/100))),0,(IF(B611=C611,AD611/C611,(INT(AD611/B611)+(((AD611-B611*INT(AD611/B611)))/C611)/100))))</f>
        <v>0</v>
      </c>
      <c r="BQ611" s="155"/>
    </row>
    <row r="612" spans="1:69" hidden="1" x14ac:dyDescent="0.35">
      <c r="A612" s="94"/>
      <c r="B612" s="113">
        <v>0</v>
      </c>
      <c r="C612" s="113">
        <v>250</v>
      </c>
      <c r="D612" s="28">
        <f>SUM(AA612:AD612)</f>
        <v>0</v>
      </c>
      <c r="E612" s="113">
        <v>0</v>
      </c>
      <c r="F612" s="113">
        <v>0</v>
      </c>
      <c r="G612" s="28">
        <f>SUM(D612:F612)</f>
        <v>0</v>
      </c>
      <c r="H612" s="125">
        <v>0</v>
      </c>
      <c r="I612" s="113">
        <v>0</v>
      </c>
      <c r="J612" s="125">
        <v>0</v>
      </c>
      <c r="K612" s="113">
        <v>0</v>
      </c>
      <c r="L612" s="113">
        <v>0</v>
      </c>
      <c r="M612" s="113">
        <v>0</v>
      </c>
      <c r="N612" s="28">
        <f>G612-SUM(H612:M612)</f>
        <v>0</v>
      </c>
      <c r="O612" s="28">
        <f>SUM(V612:Y612)</f>
        <v>0</v>
      </c>
      <c r="P612" s="28">
        <f>O612-N612</f>
        <v>0</v>
      </c>
      <c r="Q612" s="61" t="str">
        <f>IF(ISERROR(P612/SUM(H612:L612)),"",P612/SUM(H612:L612))</f>
        <v/>
      </c>
      <c r="R612" s="113">
        <v>0</v>
      </c>
      <c r="S612" s="28">
        <f>IF(ISERROR(P612/C612*R612),0,(P612/C612*R612))</f>
        <v>0</v>
      </c>
      <c r="T612" s="60">
        <f>IF(ISERROR(P612/B612*AF612),0,(P612/B612*AF612))</f>
        <v>0</v>
      </c>
      <c r="V612" s="113">
        <v>0</v>
      </c>
      <c r="W612" s="113">
        <v>0</v>
      </c>
      <c r="X612" s="113">
        <v>0</v>
      </c>
      <c r="Y612" s="113">
        <v>0</v>
      </c>
      <c r="AA612" s="113">
        <v>0</v>
      </c>
      <c r="AB612" s="113">
        <v>0</v>
      </c>
      <c r="AC612" s="113">
        <v>0</v>
      </c>
      <c r="AD612" s="113">
        <v>0</v>
      </c>
      <c r="AF612" s="113">
        <v>0</v>
      </c>
      <c r="AG612" s="28">
        <f>G612-O612</f>
        <v>0</v>
      </c>
      <c r="AH612" s="58">
        <f>IF(ISERROR(AG612/B612*AF612),0,(AG612/B612*AF612))</f>
        <v>0</v>
      </c>
      <c r="AI612" s="28">
        <f>SUM(H612:M612)</f>
        <v>0</v>
      </c>
      <c r="AJ612" s="28">
        <f>IF(ISERROR(AI612/B612*AF612),0,(AI612/B612*AF612))</f>
        <v>0</v>
      </c>
      <c r="AK612" s="58">
        <f>IF(ISERROR(O612/B612*AF612),0,(O612/B612*AF612))</f>
        <v>0</v>
      </c>
      <c r="AL612" s="28">
        <f>IF(ISERROR(H612/B612*AF612),0,(H612/B612*AF612))</f>
        <v>0</v>
      </c>
      <c r="AN612" s="51">
        <f>A612</f>
        <v>0</v>
      </c>
      <c r="AO612" s="57">
        <f>IF(ISERROR(IF(B612=C612,D612/C612,(INT(D612/B612)+(((D612-B612*INT(D612/B612)))/C612)/100))),0,(IF(B612=C612,D612/C612,(INT(D612/B612)+(((D612-B612*INT(D612/B612)))/C612)/100))))</f>
        <v>0</v>
      </c>
      <c r="AP612" s="57">
        <f>IF(ISERROR(IF(B612=C612,E612/C612,(INT(E612/B612)+(((E612-B612*INT(E612/B612)))/C612)/100))),0,(IF(B612=C612,E612/C612,(INT(E612/B612)+(((E612-B612*INT(E612/B612)))/C612)/100))))</f>
        <v>0</v>
      </c>
      <c r="AQ612" s="57">
        <f>IF(ISERROR(IF(B612=C612,F612/C612,IF((INT(F612/B612)+(((F612-B612*INT(F612/B612)))/C612)/100)&lt;0,(INT(F612/B612)+(((F612-B612*INT(F612/B612)))/C612)/100)+(1-(B612/C612/100)),(INT(F612/B612)+(((F612-B612*INT(F612/B612)))/C612)/100)))),0,IF(B612=C612,F612/C612,IF((INT(F612/B612)+(((F612-B612*INT(F612/B612)))/C612)/100)&lt;0,(INT(F612/B612)+(((F612-B612*INT(F612/B612)))/C612)/100)+(1-(B612/C612/100)),(INT(F612/B612)+(((F612-B612*INT(F612/B612)))/C612)/100))))</f>
        <v>0</v>
      </c>
      <c r="AR612" s="57">
        <f>IF(ISERROR(IF(B612=C612,G612/C612,(INT(G612/B612)+(((G612-B612*INT(G612/B612)))/C612)/100))),0,(IF(B612=C612,G612/C612,(INT(G612/B612)+(((G612-B612*INT(G612/B612)))/C612)/100))))</f>
        <v>0</v>
      </c>
      <c r="AS612" s="57">
        <f>IF(ISERROR(IF(B612=C612,H612/C612,(INT(H612/B612)+(((H612-B612*INT(H612/B612)))/C612)/100))),0,(IF(B612=C612,H612/C612,(INT(H612/B612)+(((H612-B612*INT(H612/B612)))/C612)/100))))</f>
        <v>0</v>
      </c>
      <c r="AT612" s="57">
        <f>IF(ISERROR(IF(B612=C612,I612/C612,(INT(I612/B612)+(((I612-B612*INT(I612/B612)))/C612)/100))),0,(IF(B612=C612,I612/C612,(INT(I612/B612)+(((I612-B612*INT(I612/B612)))/C612)/100))))</f>
        <v>0</v>
      </c>
      <c r="AU612" s="57">
        <f>IF(ISERROR(IF(B612=C612,J612/C612,(INT(J612/B612)+(((J612-B612*INT(J612/B612)))/C612)/100))),0,(IF(B612=C612,J612/C612,(INT(J612/B612)+(((J612-B612*INT(J612/B612)))/C612)/100))))</f>
        <v>0</v>
      </c>
      <c r="AV612" s="57">
        <f>IF(ISERROR(IF(B612=C612,K612/C612,IF((INT(K612/B612)+(((K612-B612*INT(K612/B612)))/C612)/100)&lt;0,(INT(K612/B612)+(((K612-B612*INT(K612/B612)))/C612)/100)+(1-(B612/C612/100)),(INT(K612/B612)+(((K612-B612*INT(K612/B612)))/C612)/100)))),0,IF(B612=C612,K612/C612,IF((INT(K612/B612)+(((K612-B612*INT(K612/B612)))/C612)/100)&lt;0,(INT(K612/B612)+(((K612-B612*INT(K612/B612)))/C612)/100)+(1-(B612/C612/100)),(INT(K612/B612)+(((K612-B612*INT(K612/B612)))/C612)/100))))</f>
        <v>0</v>
      </c>
      <c r="AW612" s="57">
        <f>IF(ISERROR(IF(B612=C612,L612/C612,(INT(L612/B612)+(((L612-B612*INT(L612/B612)))/C612)/100))),0,(IF(B612=C612,L612/C612,(INT(L612/B612)+(((L612-B612*INT(L612/B612)))/C612)/100))))</f>
        <v>0</v>
      </c>
      <c r="AX612" s="57">
        <f>IF(ISERROR(IF(B612=C612,M612/C612,(INT(M612/B612)+(((M612-B612*INT(M612/B612)))/C612)/100))),0,(IF(B612=C612,M612/C612,(INT(M612/B612)+(((M612-B612*INT(M612/B612)))/C612)/100))))</f>
        <v>0</v>
      </c>
      <c r="AY612" s="57">
        <f>IF(ISERROR(IF(B612=C612,N612/C612,IF((INT(N612/B612)+(((N612-B612*INT(N612/B612)))/C612)/100)&lt;0,(INT(N612/B612)+(((N612-B612*INT(N612/B612)))/C612)/100)+(1-(B612/C612/100)),(INT(N612/B612)+(((N612-B612*INT(N612/B612)))/C612)/100)))),0,IF(B612=C612,N612/C612,IF((INT(N612/B612)+(((N612-B612*INT(N612/B612)))/C612)/100)&lt;0,(INT(N612/B612)+(((N612-B612*INT(N612/B612)))/C612)/100)+(1-(B612/C612/100)),(INT(N612/B612)+(((N612-B612*INT(N612/B612)))/C612)/100))))</f>
        <v>0</v>
      </c>
      <c r="AZ612" s="57">
        <f>IF(ISERROR(IF(B612=C612,O612/C612,(INT(O612/B612)+(((O612-B612*INT(O612/B612)))/C612)/100))),0,(IF(B612=C612,O612/C612,(INT(O612/B612)+(((O612-B612*INT(O612/B612)))/C612)/100))))</f>
        <v>0</v>
      </c>
      <c r="BA612" s="57">
        <f>IF(ISERROR(IF(B612=C612,P612/C612,IF((INT(P612/B612)+(((P612-B612*INT(P612/B612)))/C612)/100)&lt;0,(INT(P612/B612)+(((P612-B612*INT(P612/B612)))/C612)/100)+(1-(B612/C612/100)),(INT(P612/B612)+(((P612-B612*INT(P612/B612)))/C612)/100)))),0,IF(B612=C612,P612/C612,IF((INT(P612/B612)+(((P612-B612*INT(P612/B612)))/C612)/100)&lt;0,(INT(P612/B612)+(((P612-B612*INT(P612/B612)))/C612)/100)+(1-(B612/C612/100)),(INT(P612/B612)+(((P612-B612*INT(P612/B612)))/C612)/100))))</f>
        <v>0</v>
      </c>
      <c r="BB612" s="28">
        <f>R612</f>
        <v>0</v>
      </c>
      <c r="BC612" s="28">
        <f>S612</f>
        <v>0</v>
      </c>
      <c r="BD612" s="28">
        <f>AF612</f>
        <v>0</v>
      </c>
      <c r="BE612" s="28">
        <f>T612</f>
        <v>0</v>
      </c>
      <c r="BG612" s="57">
        <f>IF(ISERROR(IF(B612=C612,V612/C612,(INT(V612/B612)+(((V612-B612*INT(V612/B612)))/C612)/100))),0,(IF(B612=C612,V612/C612,(INT(V612/B612)+(((V612-B612*INT(V612/B612)))/C612)/100))))</f>
        <v>0</v>
      </c>
      <c r="BH612" s="57">
        <f>IF(ISERROR(IF(B612=C612,W612/C612,(INT(W612/B612)+(((W612-B612*INT(W612/B612)))/C612)/100))),0,(IF(B612=C612,W612/C612,(INT(W612/B612)+(((W612-B612*INT(W612/B612)))/C612)/100))))</f>
        <v>0</v>
      </c>
      <c r="BI612" s="57">
        <f>IF(ISERROR(IF(B612=C612,X612/C612,(INT(X612/B612)+(((X612-B612*INT(X612/B612)))/C612)/100))),0,(IF(B612=C612,X612/C612,(INT(X612/B612)+(((X612-B612*INT(X612/B612)))/C612)/100))))</f>
        <v>0</v>
      </c>
      <c r="BJ612" s="57">
        <f>IF(ISERROR(IF(B612=C612,Y612/C612,(INT(Y612/B612)+(((Y612-B612*INT(Y612/B612)))/C612)/100))),0,(IF(B612=C612,Y612/C612,(INT(Y612/B612)+(((Y612-B612*INT(Y612/B612)))/C612)/100))))</f>
        <v>0</v>
      </c>
      <c r="BL612" s="57">
        <f>IF(ISERROR(IF(B612=C612,AA612/C612,(INT(AA612/B612)+(((AA612-B612*INT(AA612/B612)))/C612)/100))),0,(IF(B612=C612,AA612/C612,(INT(AA612/B612)+(((AA612-B612*INT(AA612/B612)))/C612)/100))))</f>
        <v>0</v>
      </c>
      <c r="BM612" s="57">
        <f>IF(ISERROR(IF(B612=C612,AB612/C612,(INT(AB612/B612)+(((AB612-B612*INT(AB612/B612)))/C612)/100))),0,(IF(B612=C612,AB612/C612,(INT(AB612/B612)+(((AB612-B612*INT(AB612/B612)))/C612)/100))))</f>
        <v>0</v>
      </c>
      <c r="BN612" s="57">
        <f>IF(ISERROR(IF(B612=C612,AC612/C612,(INT(AC612/B612)+(((AC612-B612*INT(AC612/B612)))/C612)/100))),0,(IF(B612=C612,AC612/C612,(INT(AC612/B612)+(((AC612-B612*INT(AC612/B612)))/C612)/100))))</f>
        <v>0</v>
      </c>
      <c r="BO612" s="57">
        <f>IF(ISERROR(IF(B612=C612,AD612/C612,(INT(AD612/B612)+(((AD612-B612*INT(AD612/B612)))/C612)/100))),0,(IF(B612=C612,AD612/C612,(INT(AD612/B612)+(((AD612-B612*INT(AD612/B612)))/C612)/100))))</f>
        <v>0</v>
      </c>
      <c r="BQ612" s="155"/>
    </row>
    <row r="613" spans="1:69" hidden="1" x14ac:dyDescent="0.35">
      <c r="A613" s="94"/>
      <c r="B613" s="113">
        <v>0</v>
      </c>
      <c r="C613" s="113">
        <v>250</v>
      </c>
      <c r="D613" s="28">
        <f>SUM(AA613:AD613)</f>
        <v>0</v>
      </c>
      <c r="E613" s="113">
        <v>0</v>
      </c>
      <c r="F613" s="113">
        <v>0</v>
      </c>
      <c r="G613" s="28">
        <f>SUM(D613:F613)</f>
        <v>0</v>
      </c>
      <c r="H613" s="125">
        <v>0</v>
      </c>
      <c r="I613" s="113">
        <v>0</v>
      </c>
      <c r="J613" s="125">
        <v>0</v>
      </c>
      <c r="K613" s="113">
        <v>0</v>
      </c>
      <c r="L613" s="113">
        <v>0</v>
      </c>
      <c r="M613" s="113">
        <v>0</v>
      </c>
      <c r="N613" s="28">
        <f>G613-SUM(H613:M613)</f>
        <v>0</v>
      </c>
      <c r="O613" s="28">
        <f>SUM(V613:Y613)</f>
        <v>0</v>
      </c>
      <c r="P613" s="28">
        <f>O613-N613</f>
        <v>0</v>
      </c>
      <c r="Q613" s="61" t="str">
        <f>IF(ISERROR(P613/SUM(H613:L613)),"",P613/SUM(H613:L613))</f>
        <v/>
      </c>
      <c r="R613" s="113">
        <v>0</v>
      </c>
      <c r="S613" s="28">
        <f>IF(ISERROR(P613/C613*R613),0,(P613/C613*R613))</f>
        <v>0</v>
      </c>
      <c r="T613" s="60">
        <f>IF(ISERROR(P613/B613*AF613),0,(P613/B613*AF613))</f>
        <v>0</v>
      </c>
      <c r="V613" s="113">
        <v>0</v>
      </c>
      <c r="W613" s="113">
        <v>0</v>
      </c>
      <c r="X613" s="113">
        <v>0</v>
      </c>
      <c r="Y613" s="113">
        <v>0</v>
      </c>
      <c r="AA613" s="113">
        <v>0</v>
      </c>
      <c r="AB613" s="113">
        <v>0</v>
      </c>
      <c r="AC613" s="113">
        <v>0</v>
      </c>
      <c r="AD613" s="113">
        <v>0</v>
      </c>
      <c r="AF613" s="113">
        <v>0</v>
      </c>
      <c r="AG613" s="28">
        <f>G613-O613</f>
        <v>0</v>
      </c>
      <c r="AH613" s="58">
        <f>IF(ISERROR(AG613/B613*AF613),0,(AG613/B613*AF613))</f>
        <v>0</v>
      </c>
      <c r="AI613" s="28">
        <f>SUM(H613:M613)</f>
        <v>0</v>
      </c>
      <c r="AJ613" s="28">
        <f>IF(ISERROR(AI613/B613*AF613),0,(AI613/B613*AF613))</f>
        <v>0</v>
      </c>
      <c r="AK613" s="58">
        <f>IF(ISERROR(O613/B613*AF613),0,(O613/B613*AF613))</f>
        <v>0</v>
      </c>
      <c r="AL613" s="28">
        <f>IF(ISERROR(H613/B613*AF613),0,(H613/B613*AF613))</f>
        <v>0</v>
      </c>
      <c r="AN613" s="51">
        <f>A613</f>
        <v>0</v>
      </c>
      <c r="AO613" s="57">
        <f>IF(ISERROR(IF(B613=C613,D613/C613,(INT(D613/B613)+(((D613-B613*INT(D613/B613)))/C613)/100))),0,(IF(B613=C613,D613/C613,(INT(D613/B613)+(((D613-B613*INT(D613/B613)))/C613)/100))))</f>
        <v>0</v>
      </c>
      <c r="AP613" s="57">
        <f>IF(ISERROR(IF(B613=C613,E613/C613,(INT(E613/B613)+(((E613-B613*INT(E613/B613)))/C613)/100))),0,(IF(B613=C613,E613/C613,(INT(E613/B613)+(((E613-B613*INT(E613/B613)))/C613)/100))))</f>
        <v>0</v>
      </c>
      <c r="AQ613" s="57">
        <f>IF(ISERROR(IF(B613=C613,F613/C613,IF((INT(F613/B613)+(((F613-B613*INT(F613/B613)))/C613)/100)&lt;0,(INT(F613/B613)+(((F613-B613*INT(F613/B613)))/C613)/100)+(1-(B613/C613/100)),(INT(F613/B613)+(((F613-B613*INT(F613/B613)))/C613)/100)))),0,IF(B613=C613,F613/C613,IF((INT(F613/B613)+(((F613-B613*INT(F613/B613)))/C613)/100)&lt;0,(INT(F613/B613)+(((F613-B613*INT(F613/B613)))/C613)/100)+(1-(B613/C613/100)),(INT(F613/B613)+(((F613-B613*INT(F613/B613)))/C613)/100))))</f>
        <v>0</v>
      </c>
      <c r="AR613" s="57">
        <f>IF(ISERROR(IF(B613=C613,G613/C613,(INT(G613/B613)+(((G613-B613*INT(G613/B613)))/C613)/100))),0,(IF(B613=C613,G613/C613,(INT(G613/B613)+(((G613-B613*INT(G613/B613)))/C613)/100))))</f>
        <v>0</v>
      </c>
      <c r="AS613" s="57">
        <f>IF(ISERROR(IF(B613=C613,H613/C613,(INT(H613/B613)+(((H613-B613*INT(H613/B613)))/C613)/100))),0,(IF(B613=C613,H613/C613,(INT(H613/B613)+(((H613-B613*INT(H613/B613)))/C613)/100))))</f>
        <v>0</v>
      </c>
      <c r="AT613" s="57">
        <f>IF(ISERROR(IF(B613=C613,I613/C613,(INT(I613/B613)+(((I613-B613*INT(I613/B613)))/C613)/100))),0,(IF(B613=C613,I613/C613,(INT(I613/B613)+(((I613-B613*INT(I613/B613)))/C613)/100))))</f>
        <v>0</v>
      </c>
      <c r="AU613" s="57">
        <f>IF(ISERROR(IF(B613=C613,J613/C613,(INT(J613/B613)+(((J613-B613*INT(J613/B613)))/C613)/100))),0,(IF(B613=C613,J613/C613,(INT(J613/B613)+(((J613-B613*INT(J613/B613)))/C613)/100))))</f>
        <v>0</v>
      </c>
      <c r="AV613" s="57">
        <f>IF(ISERROR(IF(B613=C613,K613/C613,IF((INT(K613/B613)+(((K613-B613*INT(K613/B613)))/C613)/100)&lt;0,(INT(K613/B613)+(((K613-B613*INT(K613/B613)))/C613)/100)+(1-(B613/C613/100)),(INT(K613/B613)+(((K613-B613*INT(K613/B613)))/C613)/100)))),0,IF(B613=C613,K613/C613,IF((INT(K613/B613)+(((K613-B613*INT(K613/B613)))/C613)/100)&lt;0,(INT(K613/B613)+(((K613-B613*INT(K613/B613)))/C613)/100)+(1-(B613/C613/100)),(INT(K613/B613)+(((K613-B613*INT(K613/B613)))/C613)/100))))</f>
        <v>0</v>
      </c>
      <c r="AW613" s="57">
        <f>IF(ISERROR(IF(B613=C613,L613/C613,(INT(L613/B613)+(((L613-B613*INT(L613/B613)))/C613)/100))),0,(IF(B613=C613,L613/C613,(INT(L613/B613)+(((L613-B613*INT(L613/B613)))/C613)/100))))</f>
        <v>0</v>
      </c>
      <c r="AX613" s="57">
        <f>IF(ISERROR(IF(B613=C613,M613/C613,(INT(M613/B613)+(((M613-B613*INT(M613/B613)))/C613)/100))),0,(IF(B613=C613,M613/C613,(INT(M613/B613)+(((M613-B613*INT(M613/B613)))/C613)/100))))</f>
        <v>0</v>
      </c>
      <c r="AY613" s="57">
        <f>IF(ISERROR(IF(B613=C613,N613/C613,IF((INT(N613/B613)+(((N613-B613*INT(N613/B613)))/C613)/100)&lt;0,(INT(N613/B613)+(((N613-B613*INT(N613/B613)))/C613)/100)+(1-(B613/C613/100)),(INT(N613/B613)+(((N613-B613*INT(N613/B613)))/C613)/100)))),0,IF(B613=C613,N613/C613,IF((INT(N613/B613)+(((N613-B613*INT(N613/B613)))/C613)/100)&lt;0,(INT(N613/B613)+(((N613-B613*INT(N613/B613)))/C613)/100)+(1-(B613/C613/100)),(INT(N613/B613)+(((N613-B613*INT(N613/B613)))/C613)/100))))</f>
        <v>0</v>
      </c>
      <c r="AZ613" s="57">
        <f>IF(ISERROR(IF(B613=C613,O613/C613,(INT(O613/B613)+(((O613-B613*INT(O613/B613)))/C613)/100))),0,(IF(B613=C613,O613/C613,(INT(O613/B613)+(((O613-B613*INT(O613/B613)))/C613)/100))))</f>
        <v>0</v>
      </c>
      <c r="BA613" s="57">
        <f>IF(ISERROR(IF(B613=C613,P613/C613,IF((INT(P613/B613)+(((P613-B613*INT(P613/B613)))/C613)/100)&lt;0,(INT(P613/B613)+(((P613-B613*INT(P613/B613)))/C613)/100)+(1-(B613/C613/100)),(INT(P613/B613)+(((P613-B613*INT(P613/B613)))/C613)/100)))),0,IF(B613=C613,P613/C613,IF((INT(P613/B613)+(((P613-B613*INT(P613/B613)))/C613)/100)&lt;0,(INT(P613/B613)+(((P613-B613*INT(P613/B613)))/C613)/100)+(1-(B613/C613/100)),(INT(P613/B613)+(((P613-B613*INT(P613/B613)))/C613)/100))))</f>
        <v>0</v>
      </c>
      <c r="BB613" s="28">
        <f>R613</f>
        <v>0</v>
      </c>
      <c r="BC613" s="28">
        <f>S613</f>
        <v>0</v>
      </c>
      <c r="BD613" s="28">
        <f>AF613</f>
        <v>0</v>
      </c>
      <c r="BE613" s="28">
        <f>T613</f>
        <v>0</v>
      </c>
      <c r="BG613" s="57">
        <f>IF(ISERROR(IF(B613=C613,V613/C613,(INT(V613/B613)+(((V613-B613*INT(V613/B613)))/C613)/100))),0,(IF(B613=C613,V613/C613,(INT(V613/B613)+(((V613-B613*INT(V613/B613)))/C613)/100))))</f>
        <v>0</v>
      </c>
      <c r="BH613" s="57">
        <f>IF(ISERROR(IF(B613=C613,W613/C613,(INT(W613/B613)+(((W613-B613*INT(W613/B613)))/C613)/100))),0,(IF(B613=C613,W613/C613,(INT(W613/B613)+(((W613-B613*INT(W613/B613)))/C613)/100))))</f>
        <v>0</v>
      </c>
      <c r="BI613" s="57">
        <f>IF(ISERROR(IF(B613=C613,X613/C613,(INT(X613/B613)+(((X613-B613*INT(X613/B613)))/C613)/100))),0,(IF(B613=C613,X613/C613,(INT(X613/B613)+(((X613-B613*INT(X613/B613)))/C613)/100))))</f>
        <v>0</v>
      </c>
      <c r="BJ613" s="57">
        <f>IF(ISERROR(IF(B613=C613,Y613/C613,(INT(Y613/B613)+(((Y613-B613*INT(Y613/B613)))/C613)/100))),0,(IF(B613=C613,Y613/C613,(INT(Y613/B613)+(((Y613-B613*INT(Y613/B613)))/C613)/100))))</f>
        <v>0</v>
      </c>
      <c r="BL613" s="57">
        <f>IF(ISERROR(IF(B613=C613,AA613/C613,(INT(AA613/B613)+(((AA613-B613*INT(AA613/B613)))/C613)/100))),0,(IF(B613=C613,AA613/C613,(INT(AA613/B613)+(((AA613-B613*INT(AA613/B613)))/C613)/100))))</f>
        <v>0</v>
      </c>
      <c r="BM613" s="57">
        <f>IF(ISERROR(IF(B613=C613,AB613/C613,(INT(AB613/B613)+(((AB613-B613*INT(AB613/B613)))/C613)/100))),0,(IF(B613=C613,AB613/C613,(INT(AB613/B613)+(((AB613-B613*INT(AB613/B613)))/C613)/100))))</f>
        <v>0</v>
      </c>
      <c r="BN613" s="57">
        <f>IF(ISERROR(IF(B613=C613,AC613/C613,(INT(AC613/B613)+(((AC613-B613*INT(AC613/B613)))/C613)/100))),0,(IF(B613=C613,AC613/C613,(INT(AC613/B613)+(((AC613-B613*INT(AC613/B613)))/C613)/100))))</f>
        <v>0</v>
      </c>
      <c r="BO613" s="57">
        <f>IF(ISERROR(IF(B613=C613,AD613/C613,(INT(AD613/B613)+(((AD613-B613*INT(AD613/B613)))/C613)/100))),0,(IF(B613=C613,AD613/C613,(INT(AD613/B613)+(((AD613-B613*INT(AD613/B613)))/C613)/100))))</f>
        <v>0</v>
      </c>
      <c r="BQ613" s="155"/>
    </row>
    <row r="614" spans="1:69" hidden="1" x14ac:dyDescent="0.35">
      <c r="A614" s="94"/>
      <c r="B614" s="113">
        <v>0</v>
      </c>
      <c r="C614" s="113">
        <v>250</v>
      </c>
      <c r="D614" s="28">
        <f>SUM(AA614:AD614)</f>
        <v>0</v>
      </c>
      <c r="E614" s="113">
        <v>0</v>
      </c>
      <c r="F614" s="113">
        <v>0</v>
      </c>
      <c r="G614" s="28">
        <f>SUM(D614:F614)</f>
        <v>0</v>
      </c>
      <c r="H614" s="125">
        <v>0</v>
      </c>
      <c r="I614" s="113">
        <v>0</v>
      </c>
      <c r="J614" s="125">
        <v>0</v>
      </c>
      <c r="K614" s="113">
        <v>0</v>
      </c>
      <c r="L614" s="113">
        <v>0</v>
      </c>
      <c r="M614" s="113">
        <v>0</v>
      </c>
      <c r="N614" s="28">
        <f>G614-SUM(H614:M614)</f>
        <v>0</v>
      </c>
      <c r="O614" s="28">
        <f>SUM(V614:Y614)</f>
        <v>0</v>
      </c>
      <c r="P614" s="28">
        <f>O614-N614</f>
        <v>0</v>
      </c>
      <c r="Q614" s="61" t="str">
        <f>IF(ISERROR(P614/SUM(H614:L614)),"",P614/SUM(H614:L614))</f>
        <v/>
      </c>
      <c r="R614" s="113">
        <v>0</v>
      </c>
      <c r="S614" s="28">
        <f>IF(ISERROR(P614/C614*R614),0,(P614/C614*R614))</f>
        <v>0</v>
      </c>
      <c r="T614" s="60">
        <f>IF(ISERROR(P614/B614*AF614),0,(P614/B614*AF614))</f>
        <v>0</v>
      </c>
      <c r="V614" s="113">
        <v>0</v>
      </c>
      <c r="W614" s="113">
        <v>0</v>
      </c>
      <c r="X614" s="113">
        <v>0</v>
      </c>
      <c r="Y614" s="113">
        <v>0</v>
      </c>
      <c r="AA614" s="113">
        <v>0</v>
      </c>
      <c r="AB614" s="113">
        <v>0</v>
      </c>
      <c r="AC614" s="113">
        <v>0</v>
      </c>
      <c r="AD614" s="113">
        <v>0</v>
      </c>
      <c r="AF614" s="113">
        <v>0</v>
      </c>
      <c r="AG614" s="28">
        <f>G614-O614</f>
        <v>0</v>
      </c>
      <c r="AH614" s="58">
        <f>IF(ISERROR(AG614/B614*AF614),0,(AG614/B614*AF614))</f>
        <v>0</v>
      </c>
      <c r="AI614" s="28">
        <f>SUM(H614:M614)</f>
        <v>0</v>
      </c>
      <c r="AJ614" s="28">
        <f>IF(ISERROR(AI614/B614*AF614),0,(AI614/B614*AF614))</f>
        <v>0</v>
      </c>
      <c r="AK614" s="58">
        <f>IF(ISERROR(O614/B614*AF614),0,(O614/B614*AF614))</f>
        <v>0</v>
      </c>
      <c r="AL614" s="28">
        <f>IF(ISERROR(H614/B614*AF614),0,(H614/B614*AF614))</f>
        <v>0</v>
      </c>
      <c r="AN614" s="51">
        <f>A614</f>
        <v>0</v>
      </c>
      <c r="AO614" s="57">
        <f>IF(ISERROR(IF(B614=C614,D614/C614,(INT(D614/B614)+(((D614-B614*INT(D614/B614)))/C614)/100))),0,(IF(B614=C614,D614/C614,(INT(D614/B614)+(((D614-B614*INT(D614/B614)))/C614)/100))))</f>
        <v>0</v>
      </c>
      <c r="AP614" s="57">
        <f>IF(ISERROR(IF(B614=C614,E614/C614,(INT(E614/B614)+(((E614-B614*INT(E614/B614)))/C614)/100))),0,(IF(B614=C614,E614/C614,(INT(E614/B614)+(((E614-B614*INT(E614/B614)))/C614)/100))))</f>
        <v>0</v>
      </c>
      <c r="AQ614" s="57">
        <f>IF(ISERROR(IF(B614=C614,F614/C614,IF((INT(F614/B614)+(((F614-B614*INT(F614/B614)))/C614)/100)&lt;0,(INT(F614/B614)+(((F614-B614*INT(F614/B614)))/C614)/100)+(1-(B614/C614/100)),(INT(F614/B614)+(((F614-B614*INT(F614/B614)))/C614)/100)))),0,IF(B614=C614,F614/C614,IF((INT(F614/B614)+(((F614-B614*INT(F614/B614)))/C614)/100)&lt;0,(INT(F614/B614)+(((F614-B614*INT(F614/B614)))/C614)/100)+(1-(B614/C614/100)),(INT(F614/B614)+(((F614-B614*INT(F614/B614)))/C614)/100))))</f>
        <v>0</v>
      </c>
      <c r="AR614" s="57">
        <f>IF(ISERROR(IF(B614=C614,G614/C614,(INT(G614/B614)+(((G614-B614*INT(G614/B614)))/C614)/100))),0,(IF(B614=C614,G614/C614,(INT(G614/B614)+(((G614-B614*INT(G614/B614)))/C614)/100))))</f>
        <v>0</v>
      </c>
      <c r="AS614" s="57">
        <f>IF(ISERROR(IF(B614=C614,H614/C614,(INT(H614/B614)+(((H614-B614*INT(H614/B614)))/C614)/100))),0,(IF(B614=C614,H614/C614,(INT(H614/B614)+(((H614-B614*INT(H614/B614)))/C614)/100))))</f>
        <v>0</v>
      </c>
      <c r="AT614" s="57">
        <f>IF(ISERROR(IF(B614=C614,I614/C614,(INT(I614/B614)+(((I614-B614*INT(I614/B614)))/C614)/100))),0,(IF(B614=C614,I614/C614,(INT(I614/B614)+(((I614-B614*INT(I614/B614)))/C614)/100))))</f>
        <v>0</v>
      </c>
      <c r="AU614" s="57">
        <f>IF(ISERROR(IF(B614=C614,J614/C614,(INT(J614/B614)+(((J614-B614*INT(J614/B614)))/C614)/100))),0,(IF(B614=C614,J614/C614,(INT(J614/B614)+(((J614-B614*INT(J614/B614)))/C614)/100))))</f>
        <v>0</v>
      </c>
      <c r="AV614" s="57">
        <f>IF(ISERROR(IF(B614=C614,K614/C614,IF((INT(K614/B614)+(((K614-B614*INT(K614/B614)))/C614)/100)&lt;0,(INT(K614/B614)+(((K614-B614*INT(K614/B614)))/C614)/100)+(1-(B614/C614/100)),(INT(K614/B614)+(((K614-B614*INT(K614/B614)))/C614)/100)))),0,IF(B614=C614,K614/C614,IF((INT(K614/B614)+(((K614-B614*INT(K614/B614)))/C614)/100)&lt;0,(INT(K614/B614)+(((K614-B614*INT(K614/B614)))/C614)/100)+(1-(B614/C614/100)),(INT(K614/B614)+(((K614-B614*INT(K614/B614)))/C614)/100))))</f>
        <v>0</v>
      </c>
      <c r="AW614" s="57">
        <f>IF(ISERROR(IF(B614=C614,L614/C614,(INT(L614/B614)+(((L614-B614*INT(L614/B614)))/C614)/100))),0,(IF(B614=C614,L614/C614,(INT(L614/B614)+(((L614-B614*INT(L614/B614)))/C614)/100))))</f>
        <v>0</v>
      </c>
      <c r="AX614" s="57">
        <f>IF(ISERROR(IF(B614=C614,M614/C614,(INT(M614/B614)+(((M614-B614*INT(M614/B614)))/C614)/100))),0,(IF(B614=C614,M614/C614,(INT(M614/B614)+(((M614-B614*INT(M614/B614)))/C614)/100))))</f>
        <v>0</v>
      </c>
      <c r="AY614" s="57">
        <f>IF(ISERROR(IF(B614=C614,N614/C614,IF((INT(N614/B614)+(((N614-B614*INT(N614/B614)))/C614)/100)&lt;0,(INT(N614/B614)+(((N614-B614*INT(N614/B614)))/C614)/100)+(1-(B614/C614/100)),(INT(N614/B614)+(((N614-B614*INT(N614/B614)))/C614)/100)))),0,IF(B614=C614,N614/C614,IF((INT(N614/B614)+(((N614-B614*INT(N614/B614)))/C614)/100)&lt;0,(INT(N614/B614)+(((N614-B614*INT(N614/B614)))/C614)/100)+(1-(B614/C614/100)),(INT(N614/B614)+(((N614-B614*INT(N614/B614)))/C614)/100))))</f>
        <v>0</v>
      </c>
      <c r="AZ614" s="57">
        <f>IF(ISERROR(IF(B614=C614,O614/C614,(INT(O614/B614)+(((O614-B614*INT(O614/B614)))/C614)/100))),0,(IF(B614=C614,O614/C614,(INT(O614/B614)+(((O614-B614*INT(O614/B614)))/C614)/100))))</f>
        <v>0</v>
      </c>
      <c r="BA614" s="57">
        <f>IF(ISERROR(IF(B614=C614,P614/C614,IF((INT(P614/B614)+(((P614-B614*INT(P614/B614)))/C614)/100)&lt;0,(INT(P614/B614)+(((P614-B614*INT(P614/B614)))/C614)/100)+(1-(B614/C614/100)),(INT(P614/B614)+(((P614-B614*INT(P614/B614)))/C614)/100)))),0,IF(B614=C614,P614/C614,IF((INT(P614/B614)+(((P614-B614*INT(P614/B614)))/C614)/100)&lt;0,(INT(P614/B614)+(((P614-B614*INT(P614/B614)))/C614)/100)+(1-(B614/C614/100)),(INT(P614/B614)+(((P614-B614*INT(P614/B614)))/C614)/100))))</f>
        <v>0</v>
      </c>
      <c r="BB614" s="28">
        <f>R614</f>
        <v>0</v>
      </c>
      <c r="BC614" s="28">
        <f>S614</f>
        <v>0</v>
      </c>
      <c r="BD614" s="28">
        <f>AF614</f>
        <v>0</v>
      </c>
      <c r="BE614" s="28">
        <f>T614</f>
        <v>0</v>
      </c>
      <c r="BG614" s="57">
        <f>IF(ISERROR(IF(B614=C614,V614/C614,(INT(V614/B614)+(((V614-B614*INT(V614/B614)))/C614)/100))),0,(IF(B614=C614,V614/C614,(INT(V614/B614)+(((V614-B614*INT(V614/B614)))/C614)/100))))</f>
        <v>0</v>
      </c>
      <c r="BH614" s="57">
        <f>IF(ISERROR(IF(B614=C614,W614/C614,(INT(W614/B614)+(((W614-B614*INT(W614/B614)))/C614)/100))),0,(IF(B614=C614,W614/C614,(INT(W614/B614)+(((W614-B614*INT(W614/B614)))/C614)/100))))</f>
        <v>0</v>
      </c>
      <c r="BI614" s="57">
        <f>IF(ISERROR(IF(B614=C614,X614/C614,(INT(X614/B614)+(((X614-B614*INT(X614/B614)))/C614)/100))),0,(IF(B614=C614,X614/C614,(INT(X614/B614)+(((X614-B614*INT(X614/B614)))/C614)/100))))</f>
        <v>0</v>
      </c>
      <c r="BJ614" s="57">
        <f>IF(ISERROR(IF(B614=C614,Y614/C614,(INT(Y614/B614)+(((Y614-B614*INT(Y614/B614)))/C614)/100))),0,(IF(B614=C614,Y614/C614,(INT(Y614/B614)+(((Y614-B614*INT(Y614/B614)))/C614)/100))))</f>
        <v>0</v>
      </c>
      <c r="BL614" s="57">
        <f>IF(ISERROR(IF(B614=C614,AA614/C614,(INT(AA614/B614)+(((AA614-B614*INT(AA614/B614)))/C614)/100))),0,(IF(B614=C614,AA614/C614,(INT(AA614/B614)+(((AA614-B614*INT(AA614/B614)))/C614)/100))))</f>
        <v>0</v>
      </c>
      <c r="BM614" s="57">
        <f>IF(ISERROR(IF(B614=C614,AB614/C614,(INT(AB614/B614)+(((AB614-B614*INT(AB614/B614)))/C614)/100))),0,(IF(B614=C614,AB614/C614,(INT(AB614/B614)+(((AB614-B614*INT(AB614/B614)))/C614)/100))))</f>
        <v>0</v>
      </c>
      <c r="BN614" s="57">
        <f>IF(ISERROR(IF(B614=C614,AC614/C614,(INT(AC614/B614)+(((AC614-B614*INT(AC614/B614)))/C614)/100))),0,(IF(B614=C614,AC614/C614,(INT(AC614/B614)+(((AC614-B614*INT(AC614/B614)))/C614)/100))))</f>
        <v>0</v>
      </c>
      <c r="BO614" s="57">
        <f>IF(ISERROR(IF(B614=C614,AD614/C614,(INT(AD614/B614)+(((AD614-B614*INT(AD614/B614)))/C614)/100))),0,(IF(B614=C614,AD614/C614,(INT(AD614/B614)+(((AD614-B614*INT(AD614/B614)))/C614)/100))))</f>
        <v>0</v>
      </c>
      <c r="BQ614" s="155"/>
    </row>
    <row r="615" spans="1:69" hidden="1" x14ac:dyDescent="0.35">
      <c r="A615" s="94"/>
      <c r="B615" s="113">
        <v>0</v>
      </c>
      <c r="C615" s="113">
        <v>250</v>
      </c>
      <c r="D615" s="28">
        <f>SUM(AA615:AD615)</f>
        <v>0</v>
      </c>
      <c r="E615" s="113">
        <v>0</v>
      </c>
      <c r="F615" s="113">
        <v>0</v>
      </c>
      <c r="G615" s="28">
        <f>SUM(D615:F615)</f>
        <v>0</v>
      </c>
      <c r="H615" s="125">
        <v>0</v>
      </c>
      <c r="I615" s="113">
        <v>0</v>
      </c>
      <c r="J615" s="125">
        <v>0</v>
      </c>
      <c r="K615" s="113">
        <v>0</v>
      </c>
      <c r="L615" s="113">
        <v>0</v>
      </c>
      <c r="M615" s="113">
        <v>0</v>
      </c>
      <c r="N615" s="28">
        <f>G615-SUM(H615:M615)</f>
        <v>0</v>
      </c>
      <c r="O615" s="28">
        <f>SUM(V615:Y615)</f>
        <v>0</v>
      </c>
      <c r="P615" s="28">
        <f>O615-N615</f>
        <v>0</v>
      </c>
      <c r="Q615" s="61" t="str">
        <f>IF(ISERROR(P615/SUM(H615:L615)),"",P615/SUM(H615:L615))</f>
        <v/>
      </c>
      <c r="R615" s="113">
        <v>0</v>
      </c>
      <c r="S615" s="28">
        <f>IF(ISERROR(P615/C615*R615),0,(P615/C615*R615))</f>
        <v>0</v>
      </c>
      <c r="T615" s="60">
        <f>IF(ISERROR(P615/B615*AF615),0,(P615/B615*AF615))</f>
        <v>0</v>
      </c>
      <c r="V615" s="113">
        <v>0</v>
      </c>
      <c r="W615" s="113">
        <v>0</v>
      </c>
      <c r="X615" s="113">
        <v>0</v>
      </c>
      <c r="Y615" s="113">
        <v>0</v>
      </c>
      <c r="AA615" s="113">
        <v>0</v>
      </c>
      <c r="AB615" s="113">
        <v>0</v>
      </c>
      <c r="AC615" s="113">
        <v>0</v>
      </c>
      <c r="AD615" s="113">
        <v>0</v>
      </c>
      <c r="AF615" s="113">
        <v>0</v>
      </c>
      <c r="AG615" s="28">
        <f>G615-O615</f>
        <v>0</v>
      </c>
      <c r="AH615" s="58">
        <f>IF(ISERROR(AG615/B615*AF615),0,(AG615/B615*AF615))</f>
        <v>0</v>
      </c>
      <c r="AI615" s="28">
        <f>SUM(H615:M615)</f>
        <v>0</v>
      </c>
      <c r="AJ615" s="28">
        <f>IF(ISERROR(AI615/B615*AF615),0,(AI615/B615*AF615))</f>
        <v>0</v>
      </c>
      <c r="AK615" s="58">
        <f>IF(ISERROR(O615/B615*AF615),0,(O615/B615*AF615))</f>
        <v>0</v>
      </c>
      <c r="AL615" s="28">
        <f>IF(ISERROR(H615/B615*AF615),0,(H615/B615*AF615))</f>
        <v>0</v>
      </c>
      <c r="AN615" s="51">
        <f>A615</f>
        <v>0</v>
      </c>
      <c r="AO615" s="57">
        <f>IF(ISERROR(IF(B615=C615,D615/C615,(INT(D615/B615)+(((D615-B615*INT(D615/B615)))/C615)/100))),0,(IF(B615=C615,D615/C615,(INT(D615/B615)+(((D615-B615*INT(D615/B615)))/C615)/100))))</f>
        <v>0</v>
      </c>
      <c r="AP615" s="57">
        <f>IF(ISERROR(IF(B615=C615,E615/C615,(INT(E615/B615)+(((E615-B615*INT(E615/B615)))/C615)/100))),0,(IF(B615=C615,E615/C615,(INT(E615/B615)+(((E615-B615*INT(E615/B615)))/C615)/100))))</f>
        <v>0</v>
      </c>
      <c r="AQ615" s="57">
        <f>IF(ISERROR(IF(B615=C615,F615/C615,IF((INT(F615/B615)+(((F615-B615*INT(F615/B615)))/C615)/100)&lt;0,(INT(F615/B615)+(((F615-B615*INT(F615/B615)))/C615)/100)+(1-(B615/C615/100)),(INT(F615/B615)+(((F615-B615*INT(F615/B615)))/C615)/100)))),0,IF(B615=C615,F615/C615,IF((INT(F615/B615)+(((F615-B615*INT(F615/B615)))/C615)/100)&lt;0,(INT(F615/B615)+(((F615-B615*INT(F615/B615)))/C615)/100)+(1-(B615/C615/100)),(INT(F615/B615)+(((F615-B615*INT(F615/B615)))/C615)/100))))</f>
        <v>0</v>
      </c>
      <c r="AR615" s="57">
        <f>IF(ISERROR(IF(B615=C615,G615/C615,(INT(G615/B615)+(((G615-B615*INT(G615/B615)))/C615)/100))),0,(IF(B615=C615,G615/C615,(INT(G615/B615)+(((G615-B615*INT(G615/B615)))/C615)/100))))</f>
        <v>0</v>
      </c>
      <c r="AS615" s="57">
        <f>IF(ISERROR(IF(B615=C615,H615/C615,(INT(H615/B615)+(((H615-B615*INT(H615/B615)))/C615)/100))),0,(IF(B615=C615,H615/C615,(INT(H615/B615)+(((H615-B615*INT(H615/B615)))/C615)/100))))</f>
        <v>0</v>
      </c>
      <c r="AT615" s="57">
        <f>IF(ISERROR(IF(B615=C615,I615/C615,(INT(I615/B615)+(((I615-B615*INT(I615/B615)))/C615)/100))),0,(IF(B615=C615,I615/C615,(INT(I615/B615)+(((I615-B615*INT(I615/B615)))/C615)/100))))</f>
        <v>0</v>
      </c>
      <c r="AU615" s="57">
        <f>IF(ISERROR(IF(B615=C615,J615/C615,(INT(J615/B615)+(((J615-B615*INT(J615/B615)))/C615)/100))),0,(IF(B615=C615,J615/C615,(INT(J615/B615)+(((J615-B615*INT(J615/B615)))/C615)/100))))</f>
        <v>0</v>
      </c>
      <c r="AV615" s="57">
        <f>IF(ISERROR(IF(B615=C615,K615/C615,IF((INT(K615/B615)+(((K615-B615*INT(K615/B615)))/C615)/100)&lt;0,(INT(K615/B615)+(((K615-B615*INT(K615/B615)))/C615)/100)+(1-(B615/C615/100)),(INT(K615/B615)+(((K615-B615*INT(K615/B615)))/C615)/100)))),0,IF(B615=C615,K615/C615,IF((INT(K615/B615)+(((K615-B615*INT(K615/B615)))/C615)/100)&lt;0,(INT(K615/B615)+(((K615-B615*INT(K615/B615)))/C615)/100)+(1-(B615/C615/100)),(INT(K615/B615)+(((K615-B615*INT(K615/B615)))/C615)/100))))</f>
        <v>0</v>
      </c>
      <c r="AW615" s="57">
        <f>IF(ISERROR(IF(B615=C615,L615/C615,(INT(L615/B615)+(((L615-B615*INT(L615/B615)))/C615)/100))),0,(IF(B615=C615,L615/C615,(INT(L615/B615)+(((L615-B615*INT(L615/B615)))/C615)/100))))</f>
        <v>0</v>
      </c>
      <c r="AX615" s="57">
        <f>IF(ISERROR(IF(B615=C615,M615/C615,(INT(M615/B615)+(((M615-B615*INT(M615/B615)))/C615)/100))),0,(IF(B615=C615,M615/C615,(INT(M615/B615)+(((M615-B615*INT(M615/B615)))/C615)/100))))</f>
        <v>0</v>
      </c>
      <c r="AY615" s="57">
        <f>IF(ISERROR(IF(B615=C615,N615/C615,IF((INT(N615/B615)+(((N615-B615*INT(N615/B615)))/C615)/100)&lt;0,(INT(N615/B615)+(((N615-B615*INT(N615/B615)))/C615)/100)+(1-(B615/C615/100)),(INT(N615/B615)+(((N615-B615*INT(N615/B615)))/C615)/100)))),0,IF(B615=C615,N615/C615,IF((INT(N615/B615)+(((N615-B615*INT(N615/B615)))/C615)/100)&lt;0,(INT(N615/B615)+(((N615-B615*INT(N615/B615)))/C615)/100)+(1-(B615/C615/100)),(INT(N615/B615)+(((N615-B615*INT(N615/B615)))/C615)/100))))</f>
        <v>0</v>
      </c>
      <c r="AZ615" s="57">
        <f>IF(ISERROR(IF(B615=C615,O615/C615,(INT(O615/B615)+(((O615-B615*INT(O615/B615)))/C615)/100))),0,(IF(B615=C615,O615/C615,(INT(O615/B615)+(((O615-B615*INT(O615/B615)))/C615)/100))))</f>
        <v>0</v>
      </c>
      <c r="BA615" s="57">
        <f>IF(ISERROR(IF(B615=C615,P615/C615,IF((INT(P615/B615)+(((P615-B615*INT(P615/B615)))/C615)/100)&lt;0,(INT(P615/B615)+(((P615-B615*INT(P615/B615)))/C615)/100)+(1-(B615/C615/100)),(INT(P615/B615)+(((P615-B615*INT(P615/B615)))/C615)/100)))),0,IF(B615=C615,P615/C615,IF((INT(P615/B615)+(((P615-B615*INT(P615/B615)))/C615)/100)&lt;0,(INT(P615/B615)+(((P615-B615*INT(P615/B615)))/C615)/100)+(1-(B615/C615/100)),(INT(P615/B615)+(((P615-B615*INT(P615/B615)))/C615)/100))))</f>
        <v>0</v>
      </c>
      <c r="BB615" s="28">
        <f>R615</f>
        <v>0</v>
      </c>
      <c r="BC615" s="28">
        <f>S615</f>
        <v>0</v>
      </c>
      <c r="BD615" s="28">
        <f>AF615</f>
        <v>0</v>
      </c>
      <c r="BE615" s="28">
        <f>T615</f>
        <v>0</v>
      </c>
      <c r="BG615" s="57">
        <f>IF(ISERROR(IF(B615=C615,V615/C615,(INT(V615/B615)+(((V615-B615*INT(V615/B615)))/C615)/100))),0,(IF(B615=C615,V615/C615,(INT(V615/B615)+(((V615-B615*INT(V615/B615)))/C615)/100))))</f>
        <v>0</v>
      </c>
      <c r="BH615" s="57">
        <f>IF(ISERROR(IF(B615=C615,W615/C615,(INT(W615/B615)+(((W615-B615*INT(W615/B615)))/C615)/100))),0,(IF(B615=C615,W615/C615,(INT(W615/B615)+(((W615-B615*INT(W615/B615)))/C615)/100))))</f>
        <v>0</v>
      </c>
      <c r="BI615" s="57">
        <f>IF(ISERROR(IF(B615=C615,X615/C615,(INT(X615/B615)+(((X615-B615*INT(X615/B615)))/C615)/100))),0,(IF(B615=C615,X615/C615,(INT(X615/B615)+(((X615-B615*INT(X615/B615)))/C615)/100))))</f>
        <v>0</v>
      </c>
      <c r="BJ615" s="57">
        <f>IF(ISERROR(IF(B615=C615,Y615/C615,(INT(Y615/B615)+(((Y615-B615*INT(Y615/B615)))/C615)/100))),0,(IF(B615=C615,Y615/C615,(INT(Y615/B615)+(((Y615-B615*INT(Y615/B615)))/C615)/100))))</f>
        <v>0</v>
      </c>
      <c r="BL615" s="57">
        <f>IF(ISERROR(IF(B615=C615,AA615/C615,(INT(AA615/B615)+(((AA615-B615*INT(AA615/B615)))/C615)/100))),0,(IF(B615=C615,AA615/C615,(INT(AA615/B615)+(((AA615-B615*INT(AA615/B615)))/C615)/100))))</f>
        <v>0</v>
      </c>
      <c r="BM615" s="57">
        <f>IF(ISERROR(IF(B615=C615,AB615/C615,(INT(AB615/B615)+(((AB615-B615*INT(AB615/B615)))/C615)/100))),0,(IF(B615=C615,AB615/C615,(INT(AB615/B615)+(((AB615-B615*INT(AB615/B615)))/C615)/100))))</f>
        <v>0</v>
      </c>
      <c r="BN615" s="57">
        <f>IF(ISERROR(IF(B615=C615,AC615/C615,(INT(AC615/B615)+(((AC615-B615*INT(AC615/B615)))/C615)/100))),0,(IF(B615=C615,AC615/C615,(INT(AC615/B615)+(((AC615-B615*INT(AC615/B615)))/C615)/100))))</f>
        <v>0</v>
      </c>
      <c r="BO615" s="57">
        <f>IF(ISERROR(IF(B615=C615,AD615/C615,(INT(AD615/B615)+(((AD615-B615*INT(AD615/B615)))/C615)/100))),0,(IF(B615=C615,AD615/C615,(INT(AD615/B615)+(((AD615-B615*INT(AD615/B615)))/C615)/100))))</f>
        <v>0</v>
      </c>
      <c r="BQ615" s="155"/>
    </row>
    <row r="616" spans="1:69" hidden="1" x14ac:dyDescent="0.35">
      <c r="A616" s="94"/>
      <c r="B616" s="113">
        <v>0</v>
      </c>
      <c r="C616" s="113">
        <v>250</v>
      </c>
      <c r="D616" s="28">
        <f>SUM(AA616:AD616)</f>
        <v>0</v>
      </c>
      <c r="E616" s="113">
        <v>0</v>
      </c>
      <c r="F616" s="113">
        <v>0</v>
      </c>
      <c r="G616" s="28">
        <f>SUM(D616:F616)</f>
        <v>0</v>
      </c>
      <c r="H616" s="125">
        <v>0</v>
      </c>
      <c r="I616" s="113">
        <v>0</v>
      </c>
      <c r="J616" s="125">
        <v>0</v>
      </c>
      <c r="K616" s="113">
        <v>0</v>
      </c>
      <c r="L616" s="113">
        <v>0</v>
      </c>
      <c r="M616" s="113">
        <v>0</v>
      </c>
      <c r="N616" s="28">
        <f>G616-SUM(H616:M616)</f>
        <v>0</v>
      </c>
      <c r="O616" s="28">
        <f>SUM(V616:Y616)</f>
        <v>0</v>
      </c>
      <c r="P616" s="28">
        <f>O616-N616</f>
        <v>0</v>
      </c>
      <c r="Q616" s="61" t="str">
        <f>IF(ISERROR(P616/SUM(H616:L616)),"",P616/SUM(H616:L616))</f>
        <v/>
      </c>
      <c r="R616" s="113">
        <v>0</v>
      </c>
      <c r="S616" s="28">
        <f>IF(ISERROR(P616/C616*R616),0,(P616/C616*R616))</f>
        <v>0</v>
      </c>
      <c r="T616" s="60">
        <f>IF(ISERROR(P616/B616*AF616),0,(P616/B616*AF616))</f>
        <v>0</v>
      </c>
      <c r="V616" s="113">
        <v>0</v>
      </c>
      <c r="W616" s="113">
        <v>0</v>
      </c>
      <c r="X616" s="113">
        <v>0</v>
      </c>
      <c r="Y616" s="113">
        <v>0</v>
      </c>
      <c r="AA616" s="113">
        <v>0</v>
      </c>
      <c r="AB616" s="113">
        <v>0</v>
      </c>
      <c r="AC616" s="113">
        <v>0</v>
      </c>
      <c r="AD616" s="113">
        <v>0</v>
      </c>
      <c r="AF616" s="113">
        <v>0</v>
      </c>
      <c r="AG616" s="28">
        <f>G616-O616</f>
        <v>0</v>
      </c>
      <c r="AH616" s="58">
        <f>IF(ISERROR(AG616/B616*AF616),0,(AG616/B616*AF616))</f>
        <v>0</v>
      </c>
      <c r="AI616" s="28">
        <f>SUM(H616:M616)</f>
        <v>0</v>
      </c>
      <c r="AJ616" s="28">
        <f>IF(ISERROR(AI616/B616*AF616),0,(AI616/B616*AF616))</f>
        <v>0</v>
      </c>
      <c r="AK616" s="58">
        <f>IF(ISERROR(O616/B616*AF616),0,(O616/B616*AF616))</f>
        <v>0</v>
      </c>
      <c r="AL616" s="28">
        <f>IF(ISERROR(H616/B616*AF616),0,(H616/B616*AF616))</f>
        <v>0</v>
      </c>
      <c r="AN616" s="51">
        <f>A616</f>
        <v>0</v>
      </c>
      <c r="AO616" s="57">
        <f>IF(ISERROR(IF(B616=C616,D616/C616,(INT(D616/B616)+(((D616-B616*INT(D616/B616)))/C616)/100))),0,(IF(B616=C616,D616/C616,(INT(D616/B616)+(((D616-B616*INT(D616/B616)))/C616)/100))))</f>
        <v>0</v>
      </c>
      <c r="AP616" s="57">
        <f>IF(ISERROR(IF(B616=C616,E616/C616,(INT(E616/B616)+(((E616-B616*INT(E616/B616)))/C616)/100))),0,(IF(B616=C616,E616/C616,(INT(E616/B616)+(((E616-B616*INT(E616/B616)))/C616)/100))))</f>
        <v>0</v>
      </c>
      <c r="AQ616" s="57">
        <f>IF(ISERROR(IF(B616=C616,F616/C616,IF((INT(F616/B616)+(((F616-B616*INT(F616/B616)))/C616)/100)&lt;0,(INT(F616/B616)+(((F616-B616*INT(F616/B616)))/C616)/100)+(1-(B616/C616/100)),(INT(F616/B616)+(((F616-B616*INT(F616/B616)))/C616)/100)))),0,IF(B616=C616,F616/C616,IF((INT(F616/B616)+(((F616-B616*INT(F616/B616)))/C616)/100)&lt;0,(INT(F616/B616)+(((F616-B616*INT(F616/B616)))/C616)/100)+(1-(B616/C616/100)),(INT(F616/B616)+(((F616-B616*INT(F616/B616)))/C616)/100))))</f>
        <v>0</v>
      </c>
      <c r="AR616" s="57">
        <f>IF(ISERROR(IF(B616=C616,G616/C616,(INT(G616/B616)+(((G616-B616*INT(G616/B616)))/C616)/100))),0,(IF(B616=C616,G616/C616,(INT(G616/B616)+(((G616-B616*INT(G616/B616)))/C616)/100))))</f>
        <v>0</v>
      </c>
      <c r="AS616" s="57">
        <f>IF(ISERROR(IF(B616=C616,H616/C616,(INT(H616/B616)+(((H616-B616*INT(H616/B616)))/C616)/100))),0,(IF(B616=C616,H616/C616,(INT(H616/B616)+(((H616-B616*INT(H616/B616)))/C616)/100))))</f>
        <v>0</v>
      </c>
      <c r="AT616" s="57">
        <f>IF(ISERROR(IF(B616=C616,I616/C616,(INT(I616/B616)+(((I616-B616*INT(I616/B616)))/C616)/100))),0,(IF(B616=C616,I616/C616,(INT(I616/B616)+(((I616-B616*INT(I616/B616)))/C616)/100))))</f>
        <v>0</v>
      </c>
      <c r="AU616" s="57">
        <f>IF(ISERROR(IF(B616=C616,J616/C616,(INT(J616/B616)+(((J616-B616*INT(J616/B616)))/C616)/100))),0,(IF(B616=C616,J616/C616,(INT(J616/B616)+(((J616-B616*INT(J616/B616)))/C616)/100))))</f>
        <v>0</v>
      </c>
      <c r="AV616" s="57">
        <f>IF(ISERROR(IF(B616=C616,K616/C616,IF((INT(K616/B616)+(((K616-B616*INT(K616/B616)))/C616)/100)&lt;0,(INT(K616/B616)+(((K616-B616*INT(K616/B616)))/C616)/100)+(1-(B616/C616/100)),(INT(K616/B616)+(((K616-B616*INT(K616/B616)))/C616)/100)))),0,IF(B616=C616,K616/C616,IF((INT(K616/B616)+(((K616-B616*INT(K616/B616)))/C616)/100)&lt;0,(INT(K616/B616)+(((K616-B616*INT(K616/B616)))/C616)/100)+(1-(B616/C616/100)),(INT(K616/B616)+(((K616-B616*INT(K616/B616)))/C616)/100))))</f>
        <v>0</v>
      </c>
      <c r="AW616" s="57">
        <f>IF(ISERROR(IF(B616=C616,L616/C616,(INT(L616/B616)+(((L616-B616*INT(L616/B616)))/C616)/100))),0,(IF(B616=C616,L616/C616,(INT(L616/B616)+(((L616-B616*INT(L616/B616)))/C616)/100))))</f>
        <v>0</v>
      </c>
      <c r="AX616" s="57">
        <f>IF(ISERROR(IF(B616=C616,M616/C616,(INT(M616/B616)+(((M616-B616*INT(M616/B616)))/C616)/100))),0,(IF(B616=C616,M616/C616,(INT(M616/B616)+(((M616-B616*INT(M616/B616)))/C616)/100))))</f>
        <v>0</v>
      </c>
      <c r="AY616" s="57">
        <f>IF(ISERROR(IF(B616=C616,N616/C616,IF((INT(N616/B616)+(((N616-B616*INT(N616/B616)))/C616)/100)&lt;0,(INT(N616/B616)+(((N616-B616*INT(N616/B616)))/C616)/100)+(1-(B616/C616/100)),(INT(N616/B616)+(((N616-B616*INT(N616/B616)))/C616)/100)))),0,IF(B616=C616,N616/C616,IF((INT(N616/B616)+(((N616-B616*INT(N616/B616)))/C616)/100)&lt;0,(INT(N616/B616)+(((N616-B616*INT(N616/B616)))/C616)/100)+(1-(B616/C616/100)),(INT(N616/B616)+(((N616-B616*INT(N616/B616)))/C616)/100))))</f>
        <v>0</v>
      </c>
      <c r="AZ616" s="57">
        <f>IF(ISERROR(IF(B616=C616,O616/C616,(INT(O616/B616)+(((O616-B616*INT(O616/B616)))/C616)/100))),0,(IF(B616=C616,O616/C616,(INT(O616/B616)+(((O616-B616*INT(O616/B616)))/C616)/100))))</f>
        <v>0</v>
      </c>
      <c r="BA616" s="57">
        <f>IF(ISERROR(IF(B616=C616,P616/C616,IF((INT(P616/B616)+(((P616-B616*INT(P616/B616)))/C616)/100)&lt;0,(INT(P616/B616)+(((P616-B616*INT(P616/B616)))/C616)/100)+(1-(B616/C616/100)),(INT(P616/B616)+(((P616-B616*INT(P616/B616)))/C616)/100)))),0,IF(B616=C616,P616/C616,IF((INT(P616/B616)+(((P616-B616*INT(P616/B616)))/C616)/100)&lt;0,(INT(P616/B616)+(((P616-B616*INT(P616/B616)))/C616)/100)+(1-(B616/C616/100)),(INT(P616/B616)+(((P616-B616*INT(P616/B616)))/C616)/100))))</f>
        <v>0</v>
      </c>
      <c r="BB616" s="28">
        <f>R616</f>
        <v>0</v>
      </c>
      <c r="BC616" s="28">
        <f>S616</f>
        <v>0</v>
      </c>
      <c r="BD616" s="28">
        <f>AF616</f>
        <v>0</v>
      </c>
      <c r="BE616" s="28">
        <f>T616</f>
        <v>0</v>
      </c>
      <c r="BG616" s="57">
        <f>IF(ISERROR(IF(B616=C616,V616/C616,(INT(V616/B616)+(((V616-B616*INT(V616/B616)))/C616)/100))),0,(IF(B616=C616,V616/C616,(INT(V616/B616)+(((V616-B616*INT(V616/B616)))/C616)/100))))</f>
        <v>0</v>
      </c>
      <c r="BH616" s="57">
        <f>IF(ISERROR(IF(B616=C616,W616/C616,(INT(W616/B616)+(((W616-B616*INT(W616/B616)))/C616)/100))),0,(IF(B616=C616,W616/C616,(INT(W616/B616)+(((W616-B616*INT(W616/B616)))/C616)/100))))</f>
        <v>0</v>
      </c>
      <c r="BI616" s="57">
        <f>IF(ISERROR(IF(B616=C616,X616/C616,(INT(X616/B616)+(((X616-B616*INT(X616/B616)))/C616)/100))),0,(IF(B616=C616,X616/C616,(INT(X616/B616)+(((X616-B616*INT(X616/B616)))/C616)/100))))</f>
        <v>0</v>
      </c>
      <c r="BJ616" s="57">
        <f>IF(ISERROR(IF(B616=C616,Y616/C616,(INT(Y616/B616)+(((Y616-B616*INT(Y616/B616)))/C616)/100))),0,(IF(B616=C616,Y616/C616,(INT(Y616/B616)+(((Y616-B616*INT(Y616/B616)))/C616)/100))))</f>
        <v>0</v>
      </c>
      <c r="BL616" s="57">
        <f>IF(ISERROR(IF(B616=C616,AA616/C616,(INT(AA616/B616)+(((AA616-B616*INT(AA616/B616)))/C616)/100))),0,(IF(B616=C616,AA616/C616,(INT(AA616/B616)+(((AA616-B616*INT(AA616/B616)))/C616)/100))))</f>
        <v>0</v>
      </c>
      <c r="BM616" s="57">
        <f>IF(ISERROR(IF(B616=C616,AB616/C616,(INT(AB616/B616)+(((AB616-B616*INT(AB616/B616)))/C616)/100))),0,(IF(B616=C616,AB616/C616,(INT(AB616/B616)+(((AB616-B616*INT(AB616/B616)))/C616)/100))))</f>
        <v>0</v>
      </c>
      <c r="BN616" s="57">
        <f>IF(ISERROR(IF(B616=C616,AC616/C616,(INT(AC616/B616)+(((AC616-B616*INT(AC616/B616)))/C616)/100))),0,(IF(B616=C616,AC616/C616,(INT(AC616/B616)+(((AC616-B616*INT(AC616/B616)))/C616)/100))))</f>
        <v>0</v>
      </c>
      <c r="BO616" s="57">
        <f>IF(ISERROR(IF(B616=C616,AD616/C616,(INT(AD616/B616)+(((AD616-B616*INT(AD616/B616)))/C616)/100))),0,(IF(B616=C616,AD616/C616,(INT(AD616/B616)+(((AD616-B616*INT(AD616/B616)))/C616)/100))))</f>
        <v>0</v>
      </c>
      <c r="BQ616" s="155"/>
    </row>
    <row r="617" spans="1:69" hidden="1" x14ac:dyDescent="0.35">
      <c r="A617" s="94"/>
      <c r="B617" s="113">
        <v>0</v>
      </c>
      <c r="C617" s="113">
        <v>250</v>
      </c>
      <c r="D617" s="28">
        <f>SUM(AA617:AD617)</f>
        <v>0</v>
      </c>
      <c r="E617" s="113">
        <v>0</v>
      </c>
      <c r="F617" s="113">
        <v>0</v>
      </c>
      <c r="G617" s="28">
        <f>SUM(D617:F617)</f>
        <v>0</v>
      </c>
      <c r="H617" s="125">
        <v>0</v>
      </c>
      <c r="I617" s="113">
        <v>0</v>
      </c>
      <c r="J617" s="125">
        <v>0</v>
      </c>
      <c r="K617" s="113">
        <v>0</v>
      </c>
      <c r="L617" s="113">
        <v>0</v>
      </c>
      <c r="M617" s="113">
        <v>0</v>
      </c>
      <c r="N617" s="28">
        <f>G617-SUM(H617:M617)</f>
        <v>0</v>
      </c>
      <c r="O617" s="28">
        <f>SUM(V617:Y617)</f>
        <v>0</v>
      </c>
      <c r="P617" s="28">
        <f>O617-N617</f>
        <v>0</v>
      </c>
      <c r="Q617" s="61" t="str">
        <f>IF(ISERROR(P617/SUM(H617:L617)),"",P617/SUM(H617:L617))</f>
        <v/>
      </c>
      <c r="R617" s="113">
        <v>0</v>
      </c>
      <c r="S617" s="28">
        <f>IF(ISERROR(P617/C617*R617),0,(P617/C617*R617))</f>
        <v>0</v>
      </c>
      <c r="T617" s="60">
        <f>IF(ISERROR(P617/B617*AF617),0,(P617/B617*AF617))</f>
        <v>0</v>
      </c>
      <c r="V617" s="113">
        <v>0</v>
      </c>
      <c r="W617" s="113">
        <v>0</v>
      </c>
      <c r="X617" s="113">
        <v>0</v>
      </c>
      <c r="Y617" s="113">
        <v>0</v>
      </c>
      <c r="AA617" s="113">
        <v>0</v>
      </c>
      <c r="AB617" s="113">
        <v>0</v>
      </c>
      <c r="AC617" s="113">
        <v>0</v>
      </c>
      <c r="AD617" s="113">
        <v>0</v>
      </c>
      <c r="AF617" s="113">
        <v>0</v>
      </c>
      <c r="AG617" s="28">
        <f>G617-O617</f>
        <v>0</v>
      </c>
      <c r="AH617" s="58">
        <f>IF(ISERROR(AG617/B617*AF617),0,(AG617/B617*AF617))</f>
        <v>0</v>
      </c>
      <c r="AI617" s="28">
        <f>SUM(H617:M617)</f>
        <v>0</v>
      </c>
      <c r="AJ617" s="28">
        <f>IF(ISERROR(AI617/B617*AF617),0,(AI617/B617*AF617))</f>
        <v>0</v>
      </c>
      <c r="AK617" s="58">
        <f>IF(ISERROR(O617/B617*AF617),0,(O617/B617*AF617))</f>
        <v>0</v>
      </c>
      <c r="AL617" s="28">
        <f>IF(ISERROR(H617/B617*AF617),0,(H617/B617*AF617))</f>
        <v>0</v>
      </c>
      <c r="AN617" s="51">
        <f>A617</f>
        <v>0</v>
      </c>
      <c r="AO617" s="57">
        <f>IF(ISERROR(IF(B617=C617,D617/C617,(INT(D617/B617)+(((D617-B617*INT(D617/B617)))/C617)/100))),0,(IF(B617=C617,D617/C617,(INT(D617/B617)+(((D617-B617*INT(D617/B617)))/C617)/100))))</f>
        <v>0</v>
      </c>
      <c r="AP617" s="57">
        <f>IF(ISERROR(IF(B617=C617,E617/C617,(INT(E617/B617)+(((E617-B617*INT(E617/B617)))/C617)/100))),0,(IF(B617=C617,E617/C617,(INT(E617/B617)+(((E617-B617*INT(E617/B617)))/C617)/100))))</f>
        <v>0</v>
      </c>
      <c r="AQ617" s="57">
        <f>IF(ISERROR(IF(B617=C617,F617/C617,IF((INT(F617/B617)+(((F617-B617*INT(F617/B617)))/C617)/100)&lt;0,(INT(F617/B617)+(((F617-B617*INT(F617/B617)))/C617)/100)+(1-(B617/C617/100)),(INT(F617/B617)+(((F617-B617*INT(F617/B617)))/C617)/100)))),0,IF(B617=C617,F617/C617,IF((INT(F617/B617)+(((F617-B617*INT(F617/B617)))/C617)/100)&lt;0,(INT(F617/B617)+(((F617-B617*INT(F617/B617)))/C617)/100)+(1-(B617/C617/100)),(INT(F617/B617)+(((F617-B617*INT(F617/B617)))/C617)/100))))</f>
        <v>0</v>
      </c>
      <c r="AR617" s="57">
        <f>IF(ISERROR(IF(B617=C617,G617/C617,(INT(G617/B617)+(((G617-B617*INT(G617/B617)))/C617)/100))),0,(IF(B617=C617,G617/C617,(INT(G617/B617)+(((G617-B617*INT(G617/B617)))/C617)/100))))</f>
        <v>0</v>
      </c>
      <c r="AS617" s="57">
        <f>IF(ISERROR(IF(B617=C617,H617/C617,(INT(H617/B617)+(((H617-B617*INT(H617/B617)))/C617)/100))),0,(IF(B617=C617,H617/C617,(INT(H617/B617)+(((H617-B617*INT(H617/B617)))/C617)/100))))</f>
        <v>0</v>
      </c>
      <c r="AT617" s="57">
        <f>IF(ISERROR(IF(B617=C617,I617/C617,(INT(I617/B617)+(((I617-B617*INT(I617/B617)))/C617)/100))),0,(IF(B617=C617,I617/C617,(INT(I617/B617)+(((I617-B617*INT(I617/B617)))/C617)/100))))</f>
        <v>0</v>
      </c>
      <c r="AU617" s="57">
        <f>IF(ISERROR(IF(B617=C617,J617/C617,(INT(J617/B617)+(((J617-B617*INT(J617/B617)))/C617)/100))),0,(IF(B617=C617,J617/C617,(INT(J617/B617)+(((J617-B617*INT(J617/B617)))/C617)/100))))</f>
        <v>0</v>
      </c>
      <c r="AV617" s="57">
        <f>IF(ISERROR(IF(B617=C617,K617/C617,IF((INT(K617/B617)+(((K617-B617*INT(K617/B617)))/C617)/100)&lt;0,(INT(K617/B617)+(((K617-B617*INT(K617/B617)))/C617)/100)+(1-(B617/C617/100)),(INT(K617/B617)+(((K617-B617*INT(K617/B617)))/C617)/100)))),0,IF(B617=C617,K617/C617,IF((INT(K617/B617)+(((K617-B617*INT(K617/B617)))/C617)/100)&lt;0,(INT(K617/B617)+(((K617-B617*INT(K617/B617)))/C617)/100)+(1-(B617/C617/100)),(INT(K617/B617)+(((K617-B617*INT(K617/B617)))/C617)/100))))</f>
        <v>0</v>
      </c>
      <c r="AW617" s="57">
        <f>IF(ISERROR(IF(B617=C617,L617/C617,(INT(L617/B617)+(((L617-B617*INT(L617/B617)))/C617)/100))),0,(IF(B617=C617,L617/C617,(INT(L617/B617)+(((L617-B617*INT(L617/B617)))/C617)/100))))</f>
        <v>0</v>
      </c>
      <c r="AX617" s="57">
        <f>IF(ISERROR(IF(B617=C617,M617/C617,(INT(M617/B617)+(((M617-B617*INT(M617/B617)))/C617)/100))),0,(IF(B617=C617,M617/C617,(INT(M617/B617)+(((M617-B617*INT(M617/B617)))/C617)/100))))</f>
        <v>0</v>
      </c>
      <c r="AY617" s="57">
        <f>IF(ISERROR(IF(B617=C617,N617/C617,IF((INT(N617/B617)+(((N617-B617*INT(N617/B617)))/C617)/100)&lt;0,(INT(N617/B617)+(((N617-B617*INT(N617/B617)))/C617)/100)+(1-(B617/C617/100)),(INT(N617/B617)+(((N617-B617*INT(N617/B617)))/C617)/100)))),0,IF(B617=C617,N617/C617,IF((INT(N617/B617)+(((N617-B617*INT(N617/B617)))/C617)/100)&lt;0,(INT(N617/B617)+(((N617-B617*INT(N617/B617)))/C617)/100)+(1-(B617/C617/100)),(INT(N617/B617)+(((N617-B617*INT(N617/B617)))/C617)/100))))</f>
        <v>0</v>
      </c>
      <c r="AZ617" s="57">
        <f>IF(ISERROR(IF(B617=C617,O617/C617,(INT(O617/B617)+(((O617-B617*INT(O617/B617)))/C617)/100))),0,(IF(B617=C617,O617/C617,(INT(O617/B617)+(((O617-B617*INT(O617/B617)))/C617)/100))))</f>
        <v>0</v>
      </c>
      <c r="BA617" s="57">
        <f>IF(ISERROR(IF(B617=C617,P617/C617,IF((INT(P617/B617)+(((P617-B617*INT(P617/B617)))/C617)/100)&lt;0,(INT(P617/B617)+(((P617-B617*INT(P617/B617)))/C617)/100)+(1-(B617/C617/100)),(INT(P617/B617)+(((P617-B617*INT(P617/B617)))/C617)/100)))),0,IF(B617=C617,P617/C617,IF((INT(P617/B617)+(((P617-B617*INT(P617/B617)))/C617)/100)&lt;0,(INT(P617/B617)+(((P617-B617*INT(P617/B617)))/C617)/100)+(1-(B617/C617/100)),(INT(P617/B617)+(((P617-B617*INT(P617/B617)))/C617)/100))))</f>
        <v>0</v>
      </c>
      <c r="BB617" s="28">
        <f>R617</f>
        <v>0</v>
      </c>
      <c r="BC617" s="28">
        <f>S617</f>
        <v>0</v>
      </c>
      <c r="BD617" s="28">
        <f>AF617</f>
        <v>0</v>
      </c>
      <c r="BE617" s="28">
        <f>T617</f>
        <v>0</v>
      </c>
      <c r="BG617" s="57">
        <f>IF(ISERROR(IF(B617=C617,V617/C617,(INT(V617/B617)+(((V617-B617*INT(V617/B617)))/C617)/100))),0,(IF(B617=C617,V617/C617,(INT(V617/B617)+(((V617-B617*INT(V617/B617)))/C617)/100))))</f>
        <v>0</v>
      </c>
      <c r="BH617" s="57">
        <f>IF(ISERROR(IF(B617=C617,W617/C617,(INT(W617/B617)+(((W617-B617*INT(W617/B617)))/C617)/100))),0,(IF(B617=C617,W617/C617,(INT(W617/B617)+(((W617-B617*INT(W617/B617)))/C617)/100))))</f>
        <v>0</v>
      </c>
      <c r="BI617" s="57">
        <f>IF(ISERROR(IF(B617=C617,X617/C617,(INT(X617/B617)+(((X617-B617*INT(X617/B617)))/C617)/100))),0,(IF(B617=C617,X617/C617,(INT(X617/B617)+(((X617-B617*INT(X617/B617)))/C617)/100))))</f>
        <v>0</v>
      </c>
      <c r="BJ617" s="57">
        <f>IF(ISERROR(IF(B617=C617,Y617/C617,(INT(Y617/B617)+(((Y617-B617*INT(Y617/B617)))/C617)/100))),0,(IF(B617=C617,Y617/C617,(INT(Y617/B617)+(((Y617-B617*INT(Y617/B617)))/C617)/100))))</f>
        <v>0</v>
      </c>
      <c r="BL617" s="57">
        <f>IF(ISERROR(IF(B617=C617,AA617/C617,(INT(AA617/B617)+(((AA617-B617*INT(AA617/B617)))/C617)/100))),0,(IF(B617=C617,AA617/C617,(INT(AA617/B617)+(((AA617-B617*INT(AA617/B617)))/C617)/100))))</f>
        <v>0</v>
      </c>
      <c r="BM617" s="57">
        <f>IF(ISERROR(IF(B617=C617,AB617/C617,(INT(AB617/B617)+(((AB617-B617*INT(AB617/B617)))/C617)/100))),0,(IF(B617=C617,AB617/C617,(INT(AB617/B617)+(((AB617-B617*INT(AB617/B617)))/C617)/100))))</f>
        <v>0</v>
      </c>
      <c r="BN617" s="57">
        <f>IF(ISERROR(IF(B617=C617,AC617/C617,(INT(AC617/B617)+(((AC617-B617*INT(AC617/B617)))/C617)/100))),0,(IF(B617=C617,AC617/C617,(INT(AC617/B617)+(((AC617-B617*INT(AC617/B617)))/C617)/100))))</f>
        <v>0</v>
      </c>
      <c r="BO617" s="57">
        <f>IF(ISERROR(IF(B617=C617,AD617/C617,(INT(AD617/B617)+(((AD617-B617*INT(AD617/B617)))/C617)/100))),0,(IF(B617=C617,AD617/C617,(INT(AD617/B617)+(((AD617-B617*INT(AD617/B617)))/C617)/100))))</f>
        <v>0</v>
      </c>
      <c r="BQ617" s="155"/>
    </row>
    <row r="618" spans="1:69" hidden="1" x14ac:dyDescent="0.35">
      <c r="A618" s="94"/>
      <c r="B618" s="113">
        <v>0</v>
      </c>
      <c r="C618" s="113">
        <v>250</v>
      </c>
      <c r="D618" s="28">
        <f>SUM(AA618:AD618)</f>
        <v>0</v>
      </c>
      <c r="E618" s="113">
        <v>0</v>
      </c>
      <c r="F618" s="113">
        <v>0</v>
      </c>
      <c r="G618" s="28">
        <f>SUM(D618:F618)</f>
        <v>0</v>
      </c>
      <c r="H618" s="125">
        <v>0</v>
      </c>
      <c r="I618" s="113">
        <v>0</v>
      </c>
      <c r="J618" s="125">
        <v>0</v>
      </c>
      <c r="K618" s="113">
        <v>0</v>
      </c>
      <c r="L618" s="113">
        <v>0</v>
      </c>
      <c r="M618" s="113">
        <v>0</v>
      </c>
      <c r="N618" s="28">
        <f>G618-SUM(H618:M618)</f>
        <v>0</v>
      </c>
      <c r="O618" s="28">
        <f>SUM(V618:Y618)</f>
        <v>0</v>
      </c>
      <c r="P618" s="28">
        <f>O618-N618</f>
        <v>0</v>
      </c>
      <c r="Q618" s="61" t="str">
        <f>IF(ISERROR(P618/SUM(H618:L618)),"",P618/SUM(H618:L618))</f>
        <v/>
      </c>
      <c r="R618" s="113">
        <v>0</v>
      </c>
      <c r="S618" s="28">
        <f>IF(ISERROR(P618/C618*R618),0,(P618/C618*R618))</f>
        <v>0</v>
      </c>
      <c r="T618" s="60">
        <f>IF(ISERROR(P618/B618*AF618),0,(P618/B618*AF618))</f>
        <v>0</v>
      </c>
      <c r="V618" s="113">
        <v>0</v>
      </c>
      <c r="W618" s="113">
        <v>0</v>
      </c>
      <c r="X618" s="113">
        <v>0</v>
      </c>
      <c r="Y618" s="113">
        <v>0</v>
      </c>
      <c r="AA618" s="113">
        <v>0</v>
      </c>
      <c r="AB618" s="113">
        <v>0</v>
      </c>
      <c r="AC618" s="113">
        <v>0</v>
      </c>
      <c r="AD618" s="113">
        <v>0</v>
      </c>
      <c r="AF618" s="113">
        <v>0</v>
      </c>
      <c r="AG618" s="28">
        <f>G618-O618</f>
        <v>0</v>
      </c>
      <c r="AH618" s="58">
        <f>IF(ISERROR(AG618/B618*AF618),0,(AG618/B618*AF618))</f>
        <v>0</v>
      </c>
      <c r="AI618" s="28">
        <f>SUM(H618:M618)</f>
        <v>0</v>
      </c>
      <c r="AJ618" s="28">
        <f>IF(ISERROR(AI618/B618*AF618),0,(AI618/B618*AF618))</f>
        <v>0</v>
      </c>
      <c r="AK618" s="58">
        <f>IF(ISERROR(O618/B618*AF618),0,(O618/B618*AF618))</f>
        <v>0</v>
      </c>
      <c r="AL618" s="28">
        <f>IF(ISERROR(H618/B618*AF618),0,(H618/B618*AF618))</f>
        <v>0</v>
      </c>
      <c r="AN618" s="51">
        <f>A618</f>
        <v>0</v>
      </c>
      <c r="AO618" s="57">
        <f>IF(ISERROR(IF(B618=C618,D618/C618,(INT(D618/B618)+(((D618-B618*INT(D618/B618)))/C618)/100))),0,(IF(B618=C618,D618/C618,(INT(D618/B618)+(((D618-B618*INT(D618/B618)))/C618)/100))))</f>
        <v>0</v>
      </c>
      <c r="AP618" s="57">
        <f>IF(ISERROR(IF(B618=C618,E618/C618,(INT(E618/B618)+(((E618-B618*INT(E618/B618)))/C618)/100))),0,(IF(B618=C618,E618/C618,(INT(E618/B618)+(((E618-B618*INT(E618/B618)))/C618)/100))))</f>
        <v>0</v>
      </c>
      <c r="AQ618" s="57">
        <f>IF(ISERROR(IF(B618=C618,F618/C618,IF((INT(F618/B618)+(((F618-B618*INT(F618/B618)))/C618)/100)&lt;0,(INT(F618/B618)+(((F618-B618*INT(F618/B618)))/C618)/100)+(1-(B618/C618/100)),(INT(F618/B618)+(((F618-B618*INT(F618/B618)))/C618)/100)))),0,IF(B618=C618,F618/C618,IF((INT(F618/B618)+(((F618-B618*INT(F618/B618)))/C618)/100)&lt;0,(INT(F618/B618)+(((F618-B618*INT(F618/B618)))/C618)/100)+(1-(B618/C618/100)),(INT(F618/B618)+(((F618-B618*INT(F618/B618)))/C618)/100))))</f>
        <v>0</v>
      </c>
      <c r="AR618" s="57">
        <f>IF(ISERROR(IF(B618=C618,G618/C618,(INT(G618/B618)+(((G618-B618*INT(G618/B618)))/C618)/100))),0,(IF(B618=C618,G618/C618,(INT(G618/B618)+(((G618-B618*INT(G618/B618)))/C618)/100))))</f>
        <v>0</v>
      </c>
      <c r="AS618" s="57">
        <f>IF(ISERROR(IF(B618=C618,H618/C618,(INT(H618/B618)+(((H618-B618*INT(H618/B618)))/C618)/100))),0,(IF(B618=C618,H618/C618,(INT(H618/B618)+(((H618-B618*INT(H618/B618)))/C618)/100))))</f>
        <v>0</v>
      </c>
      <c r="AT618" s="57">
        <f>IF(ISERROR(IF(B618=C618,I618/C618,(INT(I618/B618)+(((I618-B618*INT(I618/B618)))/C618)/100))),0,(IF(B618=C618,I618/C618,(INT(I618/B618)+(((I618-B618*INT(I618/B618)))/C618)/100))))</f>
        <v>0</v>
      </c>
      <c r="AU618" s="57">
        <f>IF(ISERROR(IF(B618=C618,J618/C618,(INT(J618/B618)+(((J618-B618*INT(J618/B618)))/C618)/100))),0,(IF(B618=C618,J618/C618,(INT(J618/B618)+(((J618-B618*INT(J618/B618)))/C618)/100))))</f>
        <v>0</v>
      </c>
      <c r="AV618" s="57">
        <f>IF(ISERROR(IF(B618=C618,K618/C618,IF((INT(K618/B618)+(((K618-B618*INT(K618/B618)))/C618)/100)&lt;0,(INT(K618/B618)+(((K618-B618*INT(K618/B618)))/C618)/100)+(1-(B618/C618/100)),(INT(K618/B618)+(((K618-B618*INT(K618/B618)))/C618)/100)))),0,IF(B618=C618,K618/C618,IF((INT(K618/B618)+(((K618-B618*INT(K618/B618)))/C618)/100)&lt;0,(INT(K618/B618)+(((K618-B618*INT(K618/B618)))/C618)/100)+(1-(B618/C618/100)),(INT(K618/B618)+(((K618-B618*INT(K618/B618)))/C618)/100))))</f>
        <v>0</v>
      </c>
      <c r="AW618" s="57">
        <f>IF(ISERROR(IF(B618=C618,L618/C618,(INT(L618/B618)+(((L618-B618*INT(L618/B618)))/C618)/100))),0,(IF(B618=C618,L618/C618,(INT(L618/B618)+(((L618-B618*INT(L618/B618)))/C618)/100))))</f>
        <v>0</v>
      </c>
      <c r="AX618" s="57">
        <f>IF(ISERROR(IF(B618=C618,M618/C618,(INT(M618/B618)+(((M618-B618*INT(M618/B618)))/C618)/100))),0,(IF(B618=C618,M618/C618,(INT(M618/B618)+(((M618-B618*INT(M618/B618)))/C618)/100))))</f>
        <v>0</v>
      </c>
      <c r="AY618" s="57">
        <f>IF(ISERROR(IF(B618=C618,N618/C618,IF((INT(N618/B618)+(((N618-B618*INT(N618/B618)))/C618)/100)&lt;0,(INT(N618/B618)+(((N618-B618*INT(N618/B618)))/C618)/100)+(1-(B618/C618/100)),(INT(N618/B618)+(((N618-B618*INT(N618/B618)))/C618)/100)))),0,IF(B618=C618,N618/C618,IF((INT(N618/B618)+(((N618-B618*INT(N618/B618)))/C618)/100)&lt;0,(INT(N618/B618)+(((N618-B618*INT(N618/B618)))/C618)/100)+(1-(B618/C618/100)),(INT(N618/B618)+(((N618-B618*INT(N618/B618)))/C618)/100))))</f>
        <v>0</v>
      </c>
      <c r="AZ618" s="57">
        <f>IF(ISERROR(IF(B618=C618,O618/C618,(INT(O618/B618)+(((O618-B618*INT(O618/B618)))/C618)/100))),0,(IF(B618=C618,O618/C618,(INT(O618/B618)+(((O618-B618*INT(O618/B618)))/C618)/100))))</f>
        <v>0</v>
      </c>
      <c r="BA618" s="57">
        <f>IF(ISERROR(IF(B618=C618,P618/C618,IF((INT(P618/B618)+(((P618-B618*INT(P618/B618)))/C618)/100)&lt;0,(INT(P618/B618)+(((P618-B618*INT(P618/B618)))/C618)/100)+(1-(B618/C618/100)),(INT(P618/B618)+(((P618-B618*INT(P618/B618)))/C618)/100)))),0,IF(B618=C618,P618/C618,IF((INT(P618/B618)+(((P618-B618*INT(P618/B618)))/C618)/100)&lt;0,(INT(P618/B618)+(((P618-B618*INT(P618/B618)))/C618)/100)+(1-(B618/C618/100)),(INT(P618/B618)+(((P618-B618*INT(P618/B618)))/C618)/100))))</f>
        <v>0</v>
      </c>
      <c r="BB618" s="28">
        <f>R618</f>
        <v>0</v>
      </c>
      <c r="BC618" s="28">
        <f>S618</f>
        <v>0</v>
      </c>
      <c r="BD618" s="28">
        <f>AF618</f>
        <v>0</v>
      </c>
      <c r="BE618" s="28">
        <f>T618</f>
        <v>0</v>
      </c>
      <c r="BG618" s="57">
        <f>IF(ISERROR(IF(B618=C618,V618/C618,(INT(V618/B618)+(((V618-B618*INT(V618/B618)))/C618)/100))),0,(IF(B618=C618,V618/C618,(INT(V618/B618)+(((V618-B618*INT(V618/B618)))/C618)/100))))</f>
        <v>0</v>
      </c>
      <c r="BH618" s="57">
        <f>IF(ISERROR(IF(B618=C618,W618/C618,(INT(W618/B618)+(((W618-B618*INT(W618/B618)))/C618)/100))),0,(IF(B618=C618,W618/C618,(INT(W618/B618)+(((W618-B618*INT(W618/B618)))/C618)/100))))</f>
        <v>0</v>
      </c>
      <c r="BI618" s="57">
        <f>IF(ISERROR(IF(B618=C618,X618/C618,(INT(X618/B618)+(((X618-B618*INT(X618/B618)))/C618)/100))),0,(IF(B618=C618,X618/C618,(INT(X618/B618)+(((X618-B618*INT(X618/B618)))/C618)/100))))</f>
        <v>0</v>
      </c>
      <c r="BJ618" s="57">
        <f>IF(ISERROR(IF(B618=C618,Y618/C618,(INT(Y618/B618)+(((Y618-B618*INT(Y618/B618)))/C618)/100))),0,(IF(B618=C618,Y618/C618,(INT(Y618/B618)+(((Y618-B618*INT(Y618/B618)))/C618)/100))))</f>
        <v>0</v>
      </c>
      <c r="BL618" s="57">
        <f>IF(ISERROR(IF(B618=C618,AA618/C618,(INT(AA618/B618)+(((AA618-B618*INT(AA618/B618)))/C618)/100))),0,(IF(B618=C618,AA618/C618,(INT(AA618/B618)+(((AA618-B618*INT(AA618/B618)))/C618)/100))))</f>
        <v>0</v>
      </c>
      <c r="BM618" s="57">
        <f>IF(ISERROR(IF(B618=C618,AB618/C618,(INT(AB618/B618)+(((AB618-B618*INT(AB618/B618)))/C618)/100))),0,(IF(B618=C618,AB618/C618,(INT(AB618/B618)+(((AB618-B618*INT(AB618/B618)))/C618)/100))))</f>
        <v>0</v>
      </c>
      <c r="BN618" s="57">
        <f>IF(ISERROR(IF(B618=C618,AC618/C618,(INT(AC618/B618)+(((AC618-B618*INT(AC618/B618)))/C618)/100))),0,(IF(B618=C618,AC618/C618,(INT(AC618/B618)+(((AC618-B618*INT(AC618/B618)))/C618)/100))))</f>
        <v>0</v>
      </c>
      <c r="BO618" s="57">
        <f>IF(ISERROR(IF(B618=C618,AD618/C618,(INT(AD618/B618)+(((AD618-B618*INT(AD618/B618)))/C618)/100))),0,(IF(B618=C618,AD618/C618,(INT(AD618/B618)+(((AD618-B618*INT(AD618/B618)))/C618)/100))))</f>
        <v>0</v>
      </c>
      <c r="BQ618" s="155"/>
    </row>
    <row r="619" spans="1:69" hidden="1" x14ac:dyDescent="0.35">
      <c r="A619" s="94"/>
      <c r="B619" s="113">
        <v>0</v>
      </c>
      <c r="C619" s="113">
        <v>250</v>
      </c>
      <c r="D619" s="28">
        <f>SUM(AA619:AD619)</f>
        <v>0</v>
      </c>
      <c r="E619" s="113">
        <v>0</v>
      </c>
      <c r="F619" s="113">
        <v>0</v>
      </c>
      <c r="G619" s="28">
        <f>SUM(D619:F619)</f>
        <v>0</v>
      </c>
      <c r="H619" s="125">
        <v>0</v>
      </c>
      <c r="I619" s="113">
        <v>0</v>
      </c>
      <c r="J619" s="125">
        <v>0</v>
      </c>
      <c r="K619" s="113">
        <v>0</v>
      </c>
      <c r="L619" s="113">
        <v>0</v>
      </c>
      <c r="M619" s="113">
        <v>0</v>
      </c>
      <c r="N619" s="28">
        <f>G619-SUM(H619:M619)</f>
        <v>0</v>
      </c>
      <c r="O619" s="28">
        <f>SUM(V619:Y619)</f>
        <v>0</v>
      </c>
      <c r="P619" s="28">
        <f>O619-N619</f>
        <v>0</v>
      </c>
      <c r="Q619" s="61" t="str">
        <f>IF(ISERROR(P619/SUM(H619:L619)),"",P619/SUM(H619:L619))</f>
        <v/>
      </c>
      <c r="R619" s="113">
        <v>0</v>
      </c>
      <c r="S619" s="28">
        <f>IF(ISERROR(P619/C619*R619),0,(P619/C619*R619))</f>
        <v>0</v>
      </c>
      <c r="T619" s="60">
        <f>IF(ISERROR(P619/B619*AF619),0,(P619/B619*AF619))</f>
        <v>0</v>
      </c>
      <c r="V619" s="113">
        <v>0</v>
      </c>
      <c r="W619" s="113">
        <v>0</v>
      </c>
      <c r="X619" s="113">
        <v>0</v>
      </c>
      <c r="Y619" s="113">
        <v>0</v>
      </c>
      <c r="AA619" s="113">
        <v>0</v>
      </c>
      <c r="AB619" s="113">
        <v>0</v>
      </c>
      <c r="AC619" s="113">
        <v>0</v>
      </c>
      <c r="AD619" s="113">
        <v>0</v>
      </c>
      <c r="AF619" s="113">
        <v>0</v>
      </c>
      <c r="AG619" s="28">
        <f>G619-O619</f>
        <v>0</v>
      </c>
      <c r="AH619" s="58">
        <f>IF(ISERROR(AG619/B619*AF619),0,(AG619/B619*AF619))</f>
        <v>0</v>
      </c>
      <c r="AI619" s="28">
        <f>SUM(H619:M619)</f>
        <v>0</v>
      </c>
      <c r="AJ619" s="28">
        <f>IF(ISERROR(AI619/B619*AF619),0,(AI619/B619*AF619))</f>
        <v>0</v>
      </c>
      <c r="AK619" s="58">
        <f>IF(ISERROR(O619/B619*AF619),0,(O619/B619*AF619))</f>
        <v>0</v>
      </c>
      <c r="AL619" s="28">
        <f>IF(ISERROR(H619/B619*AF619),0,(H619/B619*AF619))</f>
        <v>0</v>
      </c>
      <c r="AN619" s="51">
        <f>A619</f>
        <v>0</v>
      </c>
      <c r="AO619" s="57">
        <f>IF(ISERROR(IF(B619=C619,D619/C619,(INT(D619/B619)+(((D619-B619*INT(D619/B619)))/C619)/100))),0,(IF(B619=C619,D619/C619,(INT(D619/B619)+(((D619-B619*INT(D619/B619)))/C619)/100))))</f>
        <v>0</v>
      </c>
      <c r="AP619" s="57">
        <f>IF(ISERROR(IF(B619=C619,E619/C619,(INT(E619/B619)+(((E619-B619*INT(E619/B619)))/C619)/100))),0,(IF(B619=C619,E619/C619,(INT(E619/B619)+(((E619-B619*INT(E619/B619)))/C619)/100))))</f>
        <v>0</v>
      </c>
      <c r="AQ619" s="57">
        <f>IF(ISERROR(IF(B619=C619,F619/C619,IF((INT(F619/B619)+(((F619-B619*INT(F619/B619)))/C619)/100)&lt;0,(INT(F619/B619)+(((F619-B619*INT(F619/B619)))/C619)/100)+(1-(B619/C619/100)),(INT(F619/B619)+(((F619-B619*INT(F619/B619)))/C619)/100)))),0,IF(B619=C619,F619/C619,IF((INT(F619/B619)+(((F619-B619*INT(F619/B619)))/C619)/100)&lt;0,(INT(F619/B619)+(((F619-B619*INT(F619/B619)))/C619)/100)+(1-(B619/C619/100)),(INT(F619/B619)+(((F619-B619*INT(F619/B619)))/C619)/100))))</f>
        <v>0</v>
      </c>
      <c r="AR619" s="57">
        <f>IF(ISERROR(IF(B619=C619,G619/C619,(INT(G619/B619)+(((G619-B619*INT(G619/B619)))/C619)/100))),0,(IF(B619=C619,G619/C619,(INT(G619/B619)+(((G619-B619*INT(G619/B619)))/C619)/100))))</f>
        <v>0</v>
      </c>
      <c r="AS619" s="57">
        <f>IF(ISERROR(IF(B619=C619,H619/C619,(INT(H619/B619)+(((H619-B619*INT(H619/B619)))/C619)/100))),0,(IF(B619=C619,H619/C619,(INT(H619/B619)+(((H619-B619*INT(H619/B619)))/C619)/100))))</f>
        <v>0</v>
      </c>
      <c r="AT619" s="57">
        <f>IF(ISERROR(IF(B619=C619,I619/C619,(INT(I619/B619)+(((I619-B619*INT(I619/B619)))/C619)/100))),0,(IF(B619=C619,I619/C619,(INT(I619/B619)+(((I619-B619*INT(I619/B619)))/C619)/100))))</f>
        <v>0</v>
      </c>
      <c r="AU619" s="57">
        <f>IF(ISERROR(IF(B619=C619,J619/C619,(INT(J619/B619)+(((J619-B619*INT(J619/B619)))/C619)/100))),0,(IF(B619=C619,J619/C619,(INT(J619/B619)+(((J619-B619*INT(J619/B619)))/C619)/100))))</f>
        <v>0</v>
      </c>
      <c r="AV619" s="57">
        <f>IF(ISERROR(IF(B619=C619,K619/C619,IF((INT(K619/B619)+(((K619-B619*INT(K619/B619)))/C619)/100)&lt;0,(INT(K619/B619)+(((K619-B619*INT(K619/B619)))/C619)/100)+(1-(B619/C619/100)),(INT(K619/B619)+(((K619-B619*INT(K619/B619)))/C619)/100)))),0,IF(B619=C619,K619/C619,IF((INT(K619/B619)+(((K619-B619*INT(K619/B619)))/C619)/100)&lt;0,(INT(K619/B619)+(((K619-B619*INT(K619/B619)))/C619)/100)+(1-(B619/C619/100)),(INT(K619/B619)+(((K619-B619*INT(K619/B619)))/C619)/100))))</f>
        <v>0</v>
      </c>
      <c r="AW619" s="57">
        <f>IF(ISERROR(IF(B619=C619,L619/C619,(INT(L619/B619)+(((L619-B619*INT(L619/B619)))/C619)/100))),0,(IF(B619=C619,L619/C619,(INT(L619/B619)+(((L619-B619*INT(L619/B619)))/C619)/100))))</f>
        <v>0</v>
      </c>
      <c r="AX619" s="57">
        <f>IF(ISERROR(IF(B619=C619,M619/C619,(INT(M619/B619)+(((M619-B619*INT(M619/B619)))/C619)/100))),0,(IF(B619=C619,M619/C619,(INT(M619/B619)+(((M619-B619*INT(M619/B619)))/C619)/100))))</f>
        <v>0</v>
      </c>
      <c r="AY619" s="57">
        <f>IF(ISERROR(IF(B619=C619,N619/C619,IF((INT(N619/B619)+(((N619-B619*INT(N619/B619)))/C619)/100)&lt;0,(INT(N619/B619)+(((N619-B619*INT(N619/B619)))/C619)/100)+(1-(B619/C619/100)),(INT(N619/B619)+(((N619-B619*INT(N619/B619)))/C619)/100)))),0,IF(B619=C619,N619/C619,IF((INT(N619/B619)+(((N619-B619*INT(N619/B619)))/C619)/100)&lt;0,(INT(N619/B619)+(((N619-B619*INT(N619/B619)))/C619)/100)+(1-(B619/C619/100)),(INT(N619/B619)+(((N619-B619*INT(N619/B619)))/C619)/100))))</f>
        <v>0</v>
      </c>
      <c r="AZ619" s="57">
        <f>IF(ISERROR(IF(B619=C619,O619/C619,(INT(O619/B619)+(((O619-B619*INT(O619/B619)))/C619)/100))),0,(IF(B619=C619,O619/C619,(INT(O619/B619)+(((O619-B619*INT(O619/B619)))/C619)/100))))</f>
        <v>0</v>
      </c>
      <c r="BA619" s="57">
        <f>IF(ISERROR(IF(B619=C619,P619/C619,IF((INT(P619/B619)+(((P619-B619*INT(P619/B619)))/C619)/100)&lt;0,(INT(P619/B619)+(((P619-B619*INT(P619/B619)))/C619)/100)+(1-(B619/C619/100)),(INT(P619/B619)+(((P619-B619*INT(P619/B619)))/C619)/100)))),0,IF(B619=C619,P619/C619,IF((INT(P619/B619)+(((P619-B619*INT(P619/B619)))/C619)/100)&lt;0,(INT(P619/B619)+(((P619-B619*INT(P619/B619)))/C619)/100)+(1-(B619/C619/100)),(INT(P619/B619)+(((P619-B619*INT(P619/B619)))/C619)/100))))</f>
        <v>0</v>
      </c>
      <c r="BB619" s="28">
        <f>R619</f>
        <v>0</v>
      </c>
      <c r="BC619" s="28">
        <f>S619</f>
        <v>0</v>
      </c>
      <c r="BD619" s="28">
        <f>AF619</f>
        <v>0</v>
      </c>
      <c r="BE619" s="28">
        <f>T619</f>
        <v>0</v>
      </c>
      <c r="BG619" s="57">
        <f>IF(ISERROR(IF(B619=C619,V619/C619,(INT(V619/B619)+(((V619-B619*INT(V619/B619)))/C619)/100))),0,(IF(B619=C619,V619/C619,(INT(V619/B619)+(((V619-B619*INT(V619/B619)))/C619)/100))))</f>
        <v>0</v>
      </c>
      <c r="BH619" s="57">
        <f>IF(ISERROR(IF(B619=C619,W619/C619,(INT(W619/B619)+(((W619-B619*INT(W619/B619)))/C619)/100))),0,(IF(B619=C619,W619/C619,(INT(W619/B619)+(((W619-B619*INT(W619/B619)))/C619)/100))))</f>
        <v>0</v>
      </c>
      <c r="BI619" s="57">
        <f>IF(ISERROR(IF(B619=C619,X619/C619,(INT(X619/B619)+(((X619-B619*INT(X619/B619)))/C619)/100))),0,(IF(B619=C619,X619/C619,(INT(X619/B619)+(((X619-B619*INT(X619/B619)))/C619)/100))))</f>
        <v>0</v>
      </c>
      <c r="BJ619" s="57">
        <f>IF(ISERROR(IF(B619=C619,Y619/C619,(INT(Y619/B619)+(((Y619-B619*INT(Y619/B619)))/C619)/100))),0,(IF(B619=C619,Y619/C619,(INT(Y619/B619)+(((Y619-B619*INT(Y619/B619)))/C619)/100))))</f>
        <v>0</v>
      </c>
      <c r="BL619" s="57">
        <f>IF(ISERROR(IF(B619=C619,AA619/C619,(INT(AA619/B619)+(((AA619-B619*INT(AA619/B619)))/C619)/100))),0,(IF(B619=C619,AA619/C619,(INT(AA619/B619)+(((AA619-B619*INT(AA619/B619)))/C619)/100))))</f>
        <v>0</v>
      </c>
      <c r="BM619" s="57">
        <f>IF(ISERROR(IF(B619=C619,AB619/C619,(INT(AB619/B619)+(((AB619-B619*INT(AB619/B619)))/C619)/100))),0,(IF(B619=C619,AB619/C619,(INT(AB619/B619)+(((AB619-B619*INT(AB619/B619)))/C619)/100))))</f>
        <v>0</v>
      </c>
      <c r="BN619" s="57">
        <f>IF(ISERROR(IF(B619=C619,AC619/C619,(INT(AC619/B619)+(((AC619-B619*INT(AC619/B619)))/C619)/100))),0,(IF(B619=C619,AC619/C619,(INT(AC619/B619)+(((AC619-B619*INT(AC619/B619)))/C619)/100))))</f>
        <v>0</v>
      </c>
      <c r="BO619" s="57">
        <f>IF(ISERROR(IF(B619=C619,AD619/C619,(INT(AD619/B619)+(((AD619-B619*INT(AD619/B619)))/C619)/100))),0,(IF(B619=C619,AD619/C619,(INT(AD619/B619)+(((AD619-B619*INT(AD619/B619)))/C619)/100))))</f>
        <v>0</v>
      </c>
      <c r="BQ619" s="155"/>
    </row>
    <row r="620" spans="1:69" hidden="1" x14ac:dyDescent="0.35">
      <c r="A620" s="94"/>
      <c r="B620" s="113">
        <v>0</v>
      </c>
      <c r="C620" s="113">
        <v>250</v>
      </c>
      <c r="D620" s="28">
        <f>SUM(AA620:AD620)</f>
        <v>0</v>
      </c>
      <c r="E620" s="113">
        <v>0</v>
      </c>
      <c r="F620" s="113">
        <v>0</v>
      </c>
      <c r="G620" s="28">
        <f>SUM(D620:F620)</f>
        <v>0</v>
      </c>
      <c r="H620" s="125">
        <v>0</v>
      </c>
      <c r="I620" s="113">
        <v>0</v>
      </c>
      <c r="J620" s="125">
        <v>0</v>
      </c>
      <c r="K620" s="113">
        <v>0</v>
      </c>
      <c r="L620" s="113">
        <v>0</v>
      </c>
      <c r="M620" s="113">
        <v>0</v>
      </c>
      <c r="N620" s="28">
        <f>G620-SUM(H620:M620)</f>
        <v>0</v>
      </c>
      <c r="O620" s="28">
        <f>SUM(V620:Y620)</f>
        <v>0</v>
      </c>
      <c r="P620" s="28">
        <f>O620-N620</f>
        <v>0</v>
      </c>
      <c r="Q620" s="61" t="str">
        <f>IF(ISERROR(P620/SUM(H620:L620)),"",P620/SUM(H620:L620))</f>
        <v/>
      </c>
      <c r="R620" s="113">
        <v>0</v>
      </c>
      <c r="S620" s="28">
        <f>IF(ISERROR(P620/C620*R620),0,(P620/C620*R620))</f>
        <v>0</v>
      </c>
      <c r="T620" s="60">
        <f>IF(ISERROR(P620/B620*AF620),0,(P620/B620*AF620))</f>
        <v>0</v>
      </c>
      <c r="V620" s="113">
        <v>0</v>
      </c>
      <c r="W620" s="113">
        <v>0</v>
      </c>
      <c r="X620" s="113">
        <v>0</v>
      </c>
      <c r="Y620" s="113">
        <v>0</v>
      </c>
      <c r="AA620" s="113">
        <v>0</v>
      </c>
      <c r="AB620" s="113">
        <v>0</v>
      </c>
      <c r="AC620" s="113">
        <v>0</v>
      </c>
      <c r="AD620" s="113">
        <v>0</v>
      </c>
      <c r="AF620" s="113">
        <v>0</v>
      </c>
      <c r="AG620" s="28">
        <f>G620-O620</f>
        <v>0</v>
      </c>
      <c r="AH620" s="58">
        <f>IF(ISERROR(AG620/B620*AF620),0,(AG620/B620*AF620))</f>
        <v>0</v>
      </c>
      <c r="AI620" s="28">
        <f>SUM(H620:M620)</f>
        <v>0</v>
      </c>
      <c r="AJ620" s="28">
        <f>IF(ISERROR(AI620/B620*AF620),0,(AI620/B620*AF620))</f>
        <v>0</v>
      </c>
      <c r="AK620" s="58">
        <f>IF(ISERROR(O620/B620*AF620),0,(O620/B620*AF620))</f>
        <v>0</v>
      </c>
      <c r="AL620" s="28">
        <f>IF(ISERROR(H620/B620*AF620),0,(H620/B620*AF620))</f>
        <v>0</v>
      </c>
      <c r="AN620" s="51">
        <f>A620</f>
        <v>0</v>
      </c>
      <c r="AO620" s="57">
        <f>IF(ISERROR(IF(B620=C620,D620/C620,(INT(D620/B620)+(((D620-B620*INT(D620/B620)))/C620)/100))),0,(IF(B620=C620,D620/C620,(INT(D620/B620)+(((D620-B620*INT(D620/B620)))/C620)/100))))</f>
        <v>0</v>
      </c>
      <c r="AP620" s="57">
        <f>IF(ISERROR(IF(B620=C620,E620/C620,(INT(E620/B620)+(((E620-B620*INT(E620/B620)))/C620)/100))),0,(IF(B620=C620,E620/C620,(INT(E620/B620)+(((E620-B620*INT(E620/B620)))/C620)/100))))</f>
        <v>0</v>
      </c>
      <c r="AQ620" s="57">
        <f>IF(ISERROR(IF(B620=C620,F620/C620,IF((INT(F620/B620)+(((F620-B620*INT(F620/B620)))/C620)/100)&lt;0,(INT(F620/B620)+(((F620-B620*INT(F620/B620)))/C620)/100)+(1-(B620/C620/100)),(INT(F620/B620)+(((F620-B620*INT(F620/B620)))/C620)/100)))),0,IF(B620=C620,F620/C620,IF((INT(F620/B620)+(((F620-B620*INT(F620/B620)))/C620)/100)&lt;0,(INT(F620/B620)+(((F620-B620*INT(F620/B620)))/C620)/100)+(1-(B620/C620/100)),(INT(F620/B620)+(((F620-B620*INT(F620/B620)))/C620)/100))))</f>
        <v>0</v>
      </c>
      <c r="AR620" s="57">
        <f>IF(ISERROR(IF(B620=C620,G620/C620,(INT(G620/B620)+(((G620-B620*INT(G620/B620)))/C620)/100))),0,(IF(B620=C620,G620/C620,(INT(G620/B620)+(((G620-B620*INT(G620/B620)))/C620)/100))))</f>
        <v>0</v>
      </c>
      <c r="AS620" s="57">
        <f>IF(ISERROR(IF(B620=C620,H620/C620,(INT(H620/B620)+(((H620-B620*INT(H620/B620)))/C620)/100))),0,(IF(B620=C620,H620/C620,(INT(H620/B620)+(((H620-B620*INT(H620/B620)))/C620)/100))))</f>
        <v>0</v>
      </c>
      <c r="AT620" s="57">
        <f>IF(ISERROR(IF(B620=C620,I620/C620,(INT(I620/B620)+(((I620-B620*INT(I620/B620)))/C620)/100))),0,(IF(B620=C620,I620/C620,(INT(I620/B620)+(((I620-B620*INT(I620/B620)))/C620)/100))))</f>
        <v>0</v>
      </c>
      <c r="AU620" s="57">
        <f>IF(ISERROR(IF(B620=C620,J620/C620,(INT(J620/B620)+(((J620-B620*INT(J620/B620)))/C620)/100))),0,(IF(B620=C620,J620/C620,(INT(J620/B620)+(((J620-B620*INT(J620/B620)))/C620)/100))))</f>
        <v>0</v>
      </c>
      <c r="AV620" s="57">
        <f>IF(ISERROR(IF(B620=C620,K620/C620,IF((INT(K620/B620)+(((K620-B620*INT(K620/B620)))/C620)/100)&lt;0,(INT(K620/B620)+(((K620-B620*INT(K620/B620)))/C620)/100)+(1-(B620/C620/100)),(INT(K620/B620)+(((K620-B620*INT(K620/B620)))/C620)/100)))),0,IF(B620=C620,K620/C620,IF((INT(K620/B620)+(((K620-B620*INT(K620/B620)))/C620)/100)&lt;0,(INT(K620/B620)+(((K620-B620*INT(K620/B620)))/C620)/100)+(1-(B620/C620/100)),(INT(K620/B620)+(((K620-B620*INT(K620/B620)))/C620)/100))))</f>
        <v>0</v>
      </c>
      <c r="AW620" s="57">
        <f>IF(ISERROR(IF(B620=C620,L620/C620,(INT(L620/B620)+(((L620-B620*INT(L620/B620)))/C620)/100))),0,(IF(B620=C620,L620/C620,(INT(L620/B620)+(((L620-B620*INT(L620/B620)))/C620)/100))))</f>
        <v>0</v>
      </c>
      <c r="AX620" s="57">
        <f>IF(ISERROR(IF(B620=C620,M620/C620,(INT(M620/B620)+(((M620-B620*INT(M620/B620)))/C620)/100))),0,(IF(B620=C620,M620/C620,(INT(M620/B620)+(((M620-B620*INT(M620/B620)))/C620)/100))))</f>
        <v>0</v>
      </c>
      <c r="AY620" s="57">
        <f>IF(ISERROR(IF(B620=C620,N620/C620,IF((INT(N620/B620)+(((N620-B620*INT(N620/B620)))/C620)/100)&lt;0,(INT(N620/B620)+(((N620-B620*INT(N620/B620)))/C620)/100)+(1-(B620/C620/100)),(INT(N620/B620)+(((N620-B620*INT(N620/B620)))/C620)/100)))),0,IF(B620=C620,N620/C620,IF((INT(N620/B620)+(((N620-B620*INT(N620/B620)))/C620)/100)&lt;0,(INT(N620/B620)+(((N620-B620*INT(N620/B620)))/C620)/100)+(1-(B620/C620/100)),(INT(N620/B620)+(((N620-B620*INT(N620/B620)))/C620)/100))))</f>
        <v>0</v>
      </c>
      <c r="AZ620" s="57">
        <f>IF(ISERROR(IF(B620=C620,O620/C620,(INT(O620/B620)+(((O620-B620*INT(O620/B620)))/C620)/100))),0,(IF(B620=C620,O620/C620,(INT(O620/B620)+(((O620-B620*INT(O620/B620)))/C620)/100))))</f>
        <v>0</v>
      </c>
      <c r="BA620" s="57">
        <f>IF(ISERROR(IF(B620=C620,P620/C620,IF((INT(P620/B620)+(((P620-B620*INT(P620/B620)))/C620)/100)&lt;0,(INT(P620/B620)+(((P620-B620*INT(P620/B620)))/C620)/100)+(1-(B620/C620/100)),(INT(P620/B620)+(((P620-B620*INT(P620/B620)))/C620)/100)))),0,IF(B620=C620,P620/C620,IF((INT(P620/B620)+(((P620-B620*INT(P620/B620)))/C620)/100)&lt;0,(INT(P620/B620)+(((P620-B620*INT(P620/B620)))/C620)/100)+(1-(B620/C620/100)),(INT(P620/B620)+(((P620-B620*INT(P620/B620)))/C620)/100))))</f>
        <v>0</v>
      </c>
      <c r="BB620" s="28">
        <f>R620</f>
        <v>0</v>
      </c>
      <c r="BC620" s="28">
        <f>S620</f>
        <v>0</v>
      </c>
      <c r="BD620" s="28">
        <f>AF620</f>
        <v>0</v>
      </c>
      <c r="BE620" s="28">
        <f>T620</f>
        <v>0</v>
      </c>
      <c r="BG620" s="57">
        <f>IF(ISERROR(IF(B620=C620,V620/C620,(INT(V620/B620)+(((V620-B620*INT(V620/B620)))/C620)/100))),0,(IF(B620=C620,V620/C620,(INT(V620/B620)+(((V620-B620*INT(V620/B620)))/C620)/100))))</f>
        <v>0</v>
      </c>
      <c r="BH620" s="57">
        <f>IF(ISERROR(IF(B620=C620,W620/C620,(INT(W620/B620)+(((W620-B620*INT(W620/B620)))/C620)/100))),0,(IF(B620=C620,W620/C620,(INT(W620/B620)+(((W620-B620*INT(W620/B620)))/C620)/100))))</f>
        <v>0</v>
      </c>
      <c r="BI620" s="57">
        <f>IF(ISERROR(IF(B620=C620,X620/C620,(INT(X620/B620)+(((X620-B620*INT(X620/B620)))/C620)/100))),0,(IF(B620=C620,X620/C620,(INT(X620/B620)+(((X620-B620*INT(X620/B620)))/C620)/100))))</f>
        <v>0</v>
      </c>
      <c r="BJ620" s="57">
        <f>IF(ISERROR(IF(B620=C620,Y620/C620,(INT(Y620/B620)+(((Y620-B620*INT(Y620/B620)))/C620)/100))),0,(IF(B620=C620,Y620/C620,(INT(Y620/B620)+(((Y620-B620*INT(Y620/B620)))/C620)/100))))</f>
        <v>0</v>
      </c>
      <c r="BL620" s="57">
        <f>IF(ISERROR(IF(B620=C620,AA620/C620,(INT(AA620/B620)+(((AA620-B620*INT(AA620/B620)))/C620)/100))),0,(IF(B620=C620,AA620/C620,(INT(AA620/B620)+(((AA620-B620*INT(AA620/B620)))/C620)/100))))</f>
        <v>0</v>
      </c>
      <c r="BM620" s="57">
        <f>IF(ISERROR(IF(B620=C620,AB620/C620,(INT(AB620/B620)+(((AB620-B620*INT(AB620/B620)))/C620)/100))),0,(IF(B620=C620,AB620/C620,(INT(AB620/B620)+(((AB620-B620*INT(AB620/B620)))/C620)/100))))</f>
        <v>0</v>
      </c>
      <c r="BN620" s="57">
        <f>IF(ISERROR(IF(B620=C620,AC620/C620,(INT(AC620/B620)+(((AC620-B620*INT(AC620/B620)))/C620)/100))),0,(IF(B620=C620,AC620/C620,(INT(AC620/B620)+(((AC620-B620*INT(AC620/B620)))/C620)/100))))</f>
        <v>0</v>
      </c>
      <c r="BO620" s="57">
        <f>IF(ISERROR(IF(B620=C620,AD620/C620,(INT(AD620/B620)+(((AD620-B620*INT(AD620/B620)))/C620)/100))),0,(IF(B620=C620,AD620/C620,(INT(AD620/B620)+(((AD620-B620*INT(AD620/B620)))/C620)/100))))</f>
        <v>0</v>
      </c>
      <c r="BQ620" s="155"/>
    </row>
    <row r="621" spans="1:69" hidden="1" x14ac:dyDescent="0.35">
      <c r="A621" s="94"/>
      <c r="B621" s="113">
        <v>0</v>
      </c>
      <c r="C621" s="113">
        <v>250</v>
      </c>
      <c r="D621" s="28">
        <f>SUM(AA621:AD621)</f>
        <v>0</v>
      </c>
      <c r="E621" s="113">
        <v>0</v>
      </c>
      <c r="F621" s="113">
        <v>0</v>
      </c>
      <c r="G621" s="28">
        <f>SUM(D621:F621)</f>
        <v>0</v>
      </c>
      <c r="H621" s="125">
        <v>0</v>
      </c>
      <c r="I621" s="113">
        <v>0</v>
      </c>
      <c r="J621" s="125">
        <v>0</v>
      </c>
      <c r="K621" s="113">
        <v>0</v>
      </c>
      <c r="L621" s="113">
        <v>0</v>
      </c>
      <c r="M621" s="113">
        <v>0</v>
      </c>
      <c r="N621" s="28">
        <f>G621-SUM(H621:M621)</f>
        <v>0</v>
      </c>
      <c r="O621" s="28">
        <f>SUM(V621:Y621)</f>
        <v>0</v>
      </c>
      <c r="P621" s="28">
        <f>O621-N621</f>
        <v>0</v>
      </c>
      <c r="Q621" s="61" t="str">
        <f>IF(ISERROR(P621/SUM(H621:L621)),"",P621/SUM(H621:L621))</f>
        <v/>
      </c>
      <c r="R621" s="113">
        <v>0</v>
      </c>
      <c r="S621" s="28">
        <f>IF(ISERROR(P621/C621*R621),0,(P621/C621*R621))</f>
        <v>0</v>
      </c>
      <c r="T621" s="60">
        <f>IF(ISERROR(P621/B621*AF621),0,(P621/B621*AF621))</f>
        <v>0</v>
      </c>
      <c r="V621" s="113">
        <v>0</v>
      </c>
      <c r="W621" s="113">
        <v>0</v>
      </c>
      <c r="X621" s="113">
        <v>0</v>
      </c>
      <c r="Y621" s="113">
        <v>0</v>
      </c>
      <c r="AA621" s="113">
        <v>0</v>
      </c>
      <c r="AB621" s="113">
        <v>0</v>
      </c>
      <c r="AC621" s="113">
        <v>0</v>
      </c>
      <c r="AD621" s="113">
        <v>0</v>
      </c>
      <c r="AF621" s="113">
        <v>0</v>
      </c>
      <c r="AG621" s="28">
        <f>G621-O621</f>
        <v>0</v>
      </c>
      <c r="AH621" s="58">
        <f>IF(ISERROR(AG621/B621*AF621),0,(AG621/B621*AF621))</f>
        <v>0</v>
      </c>
      <c r="AI621" s="28">
        <f>SUM(H621:M621)</f>
        <v>0</v>
      </c>
      <c r="AJ621" s="28">
        <f>IF(ISERROR(AI621/B621*AF621),0,(AI621/B621*AF621))</f>
        <v>0</v>
      </c>
      <c r="AK621" s="58">
        <f>IF(ISERROR(O621/B621*AF621),0,(O621/B621*AF621))</f>
        <v>0</v>
      </c>
      <c r="AL621" s="28">
        <f>IF(ISERROR(H621/B621*AF621),0,(H621/B621*AF621))</f>
        <v>0</v>
      </c>
      <c r="AN621" s="51">
        <f>A621</f>
        <v>0</v>
      </c>
      <c r="AO621" s="57">
        <f>IF(ISERROR(IF(B621=C621,D621/C621,(INT(D621/B621)+(((D621-B621*INT(D621/B621)))/C621)/100))),0,(IF(B621=C621,D621/C621,(INT(D621/B621)+(((D621-B621*INT(D621/B621)))/C621)/100))))</f>
        <v>0</v>
      </c>
      <c r="AP621" s="57">
        <f>IF(ISERROR(IF(B621=C621,E621/C621,(INT(E621/B621)+(((E621-B621*INT(E621/B621)))/C621)/100))),0,(IF(B621=C621,E621/C621,(INT(E621/B621)+(((E621-B621*INT(E621/B621)))/C621)/100))))</f>
        <v>0</v>
      </c>
      <c r="AQ621" s="57">
        <f>IF(ISERROR(IF(B621=C621,F621/C621,IF((INT(F621/B621)+(((F621-B621*INT(F621/B621)))/C621)/100)&lt;0,(INT(F621/B621)+(((F621-B621*INT(F621/B621)))/C621)/100)+(1-(B621/C621/100)),(INT(F621/B621)+(((F621-B621*INT(F621/B621)))/C621)/100)))),0,IF(B621=C621,F621/C621,IF((INT(F621/B621)+(((F621-B621*INT(F621/B621)))/C621)/100)&lt;0,(INT(F621/B621)+(((F621-B621*INT(F621/B621)))/C621)/100)+(1-(B621/C621/100)),(INT(F621/B621)+(((F621-B621*INT(F621/B621)))/C621)/100))))</f>
        <v>0</v>
      </c>
      <c r="AR621" s="57">
        <f>IF(ISERROR(IF(B621=C621,G621/C621,(INT(G621/B621)+(((G621-B621*INT(G621/B621)))/C621)/100))),0,(IF(B621=C621,G621/C621,(INT(G621/B621)+(((G621-B621*INT(G621/B621)))/C621)/100))))</f>
        <v>0</v>
      </c>
      <c r="AS621" s="57">
        <f>IF(ISERROR(IF(B621=C621,H621/C621,(INT(H621/B621)+(((H621-B621*INT(H621/B621)))/C621)/100))),0,(IF(B621=C621,H621/C621,(INT(H621/B621)+(((H621-B621*INT(H621/B621)))/C621)/100))))</f>
        <v>0</v>
      </c>
      <c r="AT621" s="57">
        <f>IF(ISERROR(IF(B621=C621,I621/C621,(INT(I621/B621)+(((I621-B621*INT(I621/B621)))/C621)/100))),0,(IF(B621=C621,I621/C621,(INT(I621/B621)+(((I621-B621*INT(I621/B621)))/C621)/100))))</f>
        <v>0</v>
      </c>
      <c r="AU621" s="57">
        <f>IF(ISERROR(IF(B621=C621,J621/C621,(INT(J621/B621)+(((J621-B621*INT(J621/B621)))/C621)/100))),0,(IF(B621=C621,J621/C621,(INT(J621/B621)+(((J621-B621*INT(J621/B621)))/C621)/100))))</f>
        <v>0</v>
      </c>
      <c r="AV621" s="57">
        <f>IF(ISERROR(IF(B621=C621,K621/C621,IF((INT(K621/B621)+(((K621-B621*INT(K621/B621)))/C621)/100)&lt;0,(INT(K621/B621)+(((K621-B621*INT(K621/B621)))/C621)/100)+(1-(B621/C621/100)),(INT(K621/B621)+(((K621-B621*INT(K621/B621)))/C621)/100)))),0,IF(B621=C621,K621/C621,IF((INT(K621/B621)+(((K621-B621*INT(K621/B621)))/C621)/100)&lt;0,(INT(K621/B621)+(((K621-B621*INT(K621/B621)))/C621)/100)+(1-(B621/C621/100)),(INT(K621/B621)+(((K621-B621*INT(K621/B621)))/C621)/100))))</f>
        <v>0</v>
      </c>
      <c r="AW621" s="57">
        <f>IF(ISERROR(IF(B621=C621,L621/C621,(INT(L621/B621)+(((L621-B621*INT(L621/B621)))/C621)/100))),0,(IF(B621=C621,L621/C621,(INT(L621/B621)+(((L621-B621*INT(L621/B621)))/C621)/100))))</f>
        <v>0</v>
      </c>
      <c r="AX621" s="57">
        <f>IF(ISERROR(IF(B621=C621,M621/C621,(INT(M621/B621)+(((M621-B621*INT(M621/B621)))/C621)/100))),0,(IF(B621=C621,M621/C621,(INT(M621/B621)+(((M621-B621*INT(M621/B621)))/C621)/100))))</f>
        <v>0</v>
      </c>
      <c r="AY621" s="57">
        <f>IF(ISERROR(IF(B621=C621,N621/C621,IF((INT(N621/B621)+(((N621-B621*INT(N621/B621)))/C621)/100)&lt;0,(INT(N621/B621)+(((N621-B621*INT(N621/B621)))/C621)/100)+(1-(B621/C621/100)),(INT(N621/B621)+(((N621-B621*INT(N621/B621)))/C621)/100)))),0,IF(B621=C621,N621/C621,IF((INT(N621/B621)+(((N621-B621*INT(N621/B621)))/C621)/100)&lt;0,(INT(N621/B621)+(((N621-B621*INT(N621/B621)))/C621)/100)+(1-(B621/C621/100)),(INT(N621/B621)+(((N621-B621*INT(N621/B621)))/C621)/100))))</f>
        <v>0</v>
      </c>
      <c r="AZ621" s="57">
        <f>IF(ISERROR(IF(B621=C621,O621/C621,(INT(O621/B621)+(((O621-B621*INT(O621/B621)))/C621)/100))),0,(IF(B621=C621,O621/C621,(INT(O621/B621)+(((O621-B621*INT(O621/B621)))/C621)/100))))</f>
        <v>0</v>
      </c>
      <c r="BA621" s="57">
        <f>IF(ISERROR(IF(B621=C621,P621/C621,IF((INT(P621/B621)+(((P621-B621*INT(P621/B621)))/C621)/100)&lt;0,(INT(P621/B621)+(((P621-B621*INT(P621/B621)))/C621)/100)+(1-(B621/C621/100)),(INT(P621/B621)+(((P621-B621*INT(P621/B621)))/C621)/100)))),0,IF(B621=C621,P621/C621,IF((INT(P621/B621)+(((P621-B621*INT(P621/B621)))/C621)/100)&lt;0,(INT(P621/B621)+(((P621-B621*INT(P621/B621)))/C621)/100)+(1-(B621/C621/100)),(INT(P621/B621)+(((P621-B621*INT(P621/B621)))/C621)/100))))</f>
        <v>0</v>
      </c>
      <c r="BB621" s="28">
        <f>R621</f>
        <v>0</v>
      </c>
      <c r="BC621" s="28">
        <f>S621</f>
        <v>0</v>
      </c>
      <c r="BD621" s="28">
        <f>AF621</f>
        <v>0</v>
      </c>
      <c r="BE621" s="28">
        <f>T621</f>
        <v>0</v>
      </c>
      <c r="BG621" s="57">
        <f>IF(ISERROR(IF(B621=C621,V621/C621,(INT(V621/B621)+(((V621-B621*INT(V621/B621)))/C621)/100))),0,(IF(B621=C621,V621/C621,(INT(V621/B621)+(((V621-B621*INT(V621/B621)))/C621)/100))))</f>
        <v>0</v>
      </c>
      <c r="BH621" s="57">
        <f>IF(ISERROR(IF(B621=C621,W621/C621,(INT(W621/B621)+(((W621-B621*INT(W621/B621)))/C621)/100))),0,(IF(B621=C621,W621/C621,(INT(W621/B621)+(((W621-B621*INT(W621/B621)))/C621)/100))))</f>
        <v>0</v>
      </c>
      <c r="BI621" s="57">
        <f>IF(ISERROR(IF(B621=C621,X621/C621,(INT(X621/B621)+(((X621-B621*INT(X621/B621)))/C621)/100))),0,(IF(B621=C621,X621/C621,(INT(X621/B621)+(((X621-B621*INT(X621/B621)))/C621)/100))))</f>
        <v>0</v>
      </c>
      <c r="BJ621" s="57">
        <f>IF(ISERROR(IF(B621=C621,Y621/C621,(INT(Y621/B621)+(((Y621-B621*INT(Y621/B621)))/C621)/100))),0,(IF(B621=C621,Y621/C621,(INT(Y621/B621)+(((Y621-B621*INT(Y621/B621)))/C621)/100))))</f>
        <v>0</v>
      </c>
      <c r="BL621" s="57">
        <f>IF(ISERROR(IF(B621=C621,AA621/C621,(INT(AA621/B621)+(((AA621-B621*INT(AA621/B621)))/C621)/100))),0,(IF(B621=C621,AA621/C621,(INT(AA621/B621)+(((AA621-B621*INT(AA621/B621)))/C621)/100))))</f>
        <v>0</v>
      </c>
      <c r="BM621" s="57">
        <f>IF(ISERROR(IF(B621=C621,AB621/C621,(INT(AB621/B621)+(((AB621-B621*INT(AB621/B621)))/C621)/100))),0,(IF(B621=C621,AB621/C621,(INT(AB621/B621)+(((AB621-B621*INT(AB621/B621)))/C621)/100))))</f>
        <v>0</v>
      </c>
      <c r="BN621" s="57">
        <f>IF(ISERROR(IF(B621=C621,AC621/C621,(INT(AC621/B621)+(((AC621-B621*INT(AC621/B621)))/C621)/100))),0,(IF(B621=C621,AC621/C621,(INT(AC621/B621)+(((AC621-B621*INT(AC621/B621)))/C621)/100))))</f>
        <v>0</v>
      </c>
      <c r="BO621" s="57">
        <f>IF(ISERROR(IF(B621=C621,AD621/C621,(INT(AD621/B621)+(((AD621-B621*INT(AD621/B621)))/C621)/100))),0,(IF(B621=C621,AD621/C621,(INT(AD621/B621)+(((AD621-B621*INT(AD621/B621)))/C621)/100))))</f>
        <v>0</v>
      </c>
      <c r="BQ621" s="155"/>
    </row>
    <row r="622" spans="1:69" hidden="1" x14ac:dyDescent="0.35">
      <c r="A622" s="94"/>
      <c r="B622" s="113">
        <v>0</v>
      </c>
      <c r="C622" s="113">
        <v>250</v>
      </c>
      <c r="D622" s="28">
        <f>SUM(AA622:AD622)</f>
        <v>0</v>
      </c>
      <c r="E622" s="113">
        <v>0</v>
      </c>
      <c r="F622" s="113">
        <v>0</v>
      </c>
      <c r="G622" s="28">
        <f>SUM(D622:F622)</f>
        <v>0</v>
      </c>
      <c r="H622" s="125">
        <v>0</v>
      </c>
      <c r="I622" s="113">
        <v>0</v>
      </c>
      <c r="J622" s="125">
        <v>0</v>
      </c>
      <c r="K622" s="113">
        <v>0</v>
      </c>
      <c r="L622" s="113">
        <v>0</v>
      </c>
      <c r="M622" s="113">
        <v>0</v>
      </c>
      <c r="N622" s="28">
        <f>G622-SUM(H622:M622)</f>
        <v>0</v>
      </c>
      <c r="O622" s="28">
        <f>SUM(V622:Y622)</f>
        <v>0</v>
      </c>
      <c r="P622" s="28">
        <f>O622-N622</f>
        <v>0</v>
      </c>
      <c r="Q622" s="61" t="str">
        <f>IF(ISERROR(P622/SUM(H622:L622)),"",P622/SUM(H622:L622))</f>
        <v/>
      </c>
      <c r="R622" s="113">
        <v>0</v>
      </c>
      <c r="S622" s="28">
        <f>IF(ISERROR(P622/C622*R622),0,(P622/C622*R622))</f>
        <v>0</v>
      </c>
      <c r="T622" s="60">
        <f>IF(ISERROR(P622/B622*AF622),0,(P622/B622*AF622))</f>
        <v>0</v>
      </c>
      <c r="V622" s="113">
        <v>0</v>
      </c>
      <c r="W622" s="113">
        <v>0</v>
      </c>
      <c r="X622" s="113">
        <v>0</v>
      </c>
      <c r="Y622" s="113">
        <v>0</v>
      </c>
      <c r="AA622" s="113">
        <v>0</v>
      </c>
      <c r="AB622" s="113">
        <v>0</v>
      </c>
      <c r="AC622" s="113">
        <v>0</v>
      </c>
      <c r="AD622" s="113">
        <v>0</v>
      </c>
      <c r="AF622" s="113">
        <v>0</v>
      </c>
      <c r="AG622" s="28">
        <f>G622-O622</f>
        <v>0</v>
      </c>
      <c r="AH622" s="58">
        <f>IF(ISERROR(AG622/B622*AF622),0,(AG622/B622*AF622))</f>
        <v>0</v>
      </c>
      <c r="AI622" s="28">
        <f>SUM(H622:M622)</f>
        <v>0</v>
      </c>
      <c r="AJ622" s="28">
        <f>IF(ISERROR(AI622/B622*AF622),0,(AI622/B622*AF622))</f>
        <v>0</v>
      </c>
      <c r="AK622" s="58">
        <f>IF(ISERROR(O622/B622*AF622),0,(O622/B622*AF622))</f>
        <v>0</v>
      </c>
      <c r="AL622" s="28">
        <f>IF(ISERROR(H622/B622*AF622),0,(H622/B622*AF622))</f>
        <v>0</v>
      </c>
      <c r="AN622" s="51">
        <f>A622</f>
        <v>0</v>
      </c>
      <c r="AO622" s="57">
        <f>IF(ISERROR(IF(B622=C622,D622/C622,(INT(D622/B622)+(((D622-B622*INT(D622/B622)))/C622)/100))),0,(IF(B622=C622,D622/C622,(INT(D622/B622)+(((D622-B622*INT(D622/B622)))/C622)/100))))</f>
        <v>0</v>
      </c>
      <c r="AP622" s="57">
        <f>IF(ISERROR(IF(B622=C622,E622/C622,(INT(E622/B622)+(((E622-B622*INT(E622/B622)))/C622)/100))),0,(IF(B622=C622,E622/C622,(INT(E622/B622)+(((E622-B622*INT(E622/B622)))/C622)/100))))</f>
        <v>0</v>
      </c>
      <c r="AQ622" s="57">
        <f>IF(ISERROR(IF(B622=C622,F622/C622,IF((INT(F622/B622)+(((F622-B622*INT(F622/B622)))/C622)/100)&lt;0,(INT(F622/B622)+(((F622-B622*INT(F622/B622)))/C622)/100)+(1-(B622/C622/100)),(INT(F622/B622)+(((F622-B622*INT(F622/B622)))/C622)/100)))),0,IF(B622=C622,F622/C622,IF((INT(F622/B622)+(((F622-B622*INT(F622/B622)))/C622)/100)&lt;0,(INT(F622/B622)+(((F622-B622*INT(F622/B622)))/C622)/100)+(1-(B622/C622/100)),(INT(F622/B622)+(((F622-B622*INT(F622/B622)))/C622)/100))))</f>
        <v>0</v>
      </c>
      <c r="AR622" s="57">
        <f>IF(ISERROR(IF(B622=C622,G622/C622,(INT(G622/B622)+(((G622-B622*INT(G622/B622)))/C622)/100))),0,(IF(B622=C622,G622/C622,(INT(G622/B622)+(((G622-B622*INT(G622/B622)))/C622)/100))))</f>
        <v>0</v>
      </c>
      <c r="AS622" s="57">
        <f>IF(ISERROR(IF(B622=C622,H622/C622,(INT(H622/B622)+(((H622-B622*INT(H622/B622)))/C622)/100))),0,(IF(B622=C622,H622/C622,(INT(H622/B622)+(((H622-B622*INT(H622/B622)))/C622)/100))))</f>
        <v>0</v>
      </c>
      <c r="AT622" s="57">
        <f>IF(ISERROR(IF(B622=C622,I622/C622,(INT(I622/B622)+(((I622-B622*INT(I622/B622)))/C622)/100))),0,(IF(B622=C622,I622/C622,(INT(I622/B622)+(((I622-B622*INT(I622/B622)))/C622)/100))))</f>
        <v>0</v>
      </c>
      <c r="AU622" s="57">
        <f>IF(ISERROR(IF(B622=C622,J622/C622,(INT(J622/B622)+(((J622-B622*INT(J622/B622)))/C622)/100))),0,(IF(B622=C622,J622/C622,(INT(J622/B622)+(((J622-B622*INT(J622/B622)))/C622)/100))))</f>
        <v>0</v>
      </c>
      <c r="AV622" s="57">
        <f>IF(ISERROR(IF(B622=C622,K622/C622,IF((INT(K622/B622)+(((K622-B622*INT(K622/B622)))/C622)/100)&lt;0,(INT(K622/B622)+(((K622-B622*INT(K622/B622)))/C622)/100)+(1-(B622/C622/100)),(INT(K622/B622)+(((K622-B622*INT(K622/B622)))/C622)/100)))),0,IF(B622=C622,K622/C622,IF((INT(K622/B622)+(((K622-B622*INT(K622/B622)))/C622)/100)&lt;0,(INT(K622/B622)+(((K622-B622*INT(K622/B622)))/C622)/100)+(1-(B622/C622/100)),(INT(K622/B622)+(((K622-B622*INT(K622/B622)))/C622)/100))))</f>
        <v>0</v>
      </c>
      <c r="AW622" s="57">
        <f>IF(ISERROR(IF(B622=C622,L622/C622,(INT(L622/B622)+(((L622-B622*INT(L622/B622)))/C622)/100))),0,(IF(B622=C622,L622/C622,(INT(L622/B622)+(((L622-B622*INT(L622/B622)))/C622)/100))))</f>
        <v>0</v>
      </c>
      <c r="AX622" s="57">
        <f>IF(ISERROR(IF(B622=C622,M622/C622,(INT(M622/B622)+(((M622-B622*INT(M622/B622)))/C622)/100))),0,(IF(B622=C622,M622/C622,(INT(M622/B622)+(((M622-B622*INT(M622/B622)))/C622)/100))))</f>
        <v>0</v>
      </c>
      <c r="AY622" s="57">
        <f>IF(ISERROR(IF(B622=C622,N622/C622,IF((INT(N622/B622)+(((N622-B622*INT(N622/B622)))/C622)/100)&lt;0,(INT(N622/B622)+(((N622-B622*INT(N622/B622)))/C622)/100)+(1-(B622/C622/100)),(INT(N622/B622)+(((N622-B622*INT(N622/B622)))/C622)/100)))),0,IF(B622=C622,N622/C622,IF((INT(N622/B622)+(((N622-B622*INT(N622/B622)))/C622)/100)&lt;0,(INT(N622/B622)+(((N622-B622*INT(N622/B622)))/C622)/100)+(1-(B622/C622/100)),(INT(N622/B622)+(((N622-B622*INT(N622/B622)))/C622)/100))))</f>
        <v>0</v>
      </c>
      <c r="AZ622" s="57">
        <f>IF(ISERROR(IF(B622=C622,O622/C622,(INT(O622/B622)+(((O622-B622*INT(O622/B622)))/C622)/100))),0,(IF(B622=C622,O622/C622,(INT(O622/B622)+(((O622-B622*INT(O622/B622)))/C622)/100))))</f>
        <v>0</v>
      </c>
      <c r="BA622" s="57">
        <f>IF(ISERROR(IF(B622=C622,P622/C622,IF((INT(P622/B622)+(((P622-B622*INT(P622/B622)))/C622)/100)&lt;0,(INT(P622/B622)+(((P622-B622*INT(P622/B622)))/C622)/100)+(1-(B622/C622/100)),(INT(P622/B622)+(((P622-B622*INT(P622/B622)))/C622)/100)))),0,IF(B622=C622,P622/C622,IF((INT(P622/B622)+(((P622-B622*INT(P622/B622)))/C622)/100)&lt;0,(INT(P622/B622)+(((P622-B622*INT(P622/B622)))/C622)/100)+(1-(B622/C622/100)),(INT(P622/B622)+(((P622-B622*INT(P622/B622)))/C622)/100))))</f>
        <v>0</v>
      </c>
      <c r="BB622" s="28">
        <f>R622</f>
        <v>0</v>
      </c>
      <c r="BC622" s="28">
        <f>S622</f>
        <v>0</v>
      </c>
      <c r="BD622" s="28">
        <f>AF622</f>
        <v>0</v>
      </c>
      <c r="BE622" s="28">
        <f>T622</f>
        <v>0</v>
      </c>
      <c r="BG622" s="57">
        <f>IF(ISERROR(IF(B622=C622,V622/C622,(INT(V622/B622)+(((V622-B622*INT(V622/B622)))/C622)/100))),0,(IF(B622=C622,V622/C622,(INT(V622/B622)+(((V622-B622*INT(V622/B622)))/C622)/100))))</f>
        <v>0</v>
      </c>
      <c r="BH622" s="57">
        <f>IF(ISERROR(IF(B622=C622,W622/C622,(INT(W622/B622)+(((W622-B622*INT(W622/B622)))/C622)/100))),0,(IF(B622=C622,W622/C622,(INT(W622/B622)+(((W622-B622*INT(W622/B622)))/C622)/100))))</f>
        <v>0</v>
      </c>
      <c r="BI622" s="57">
        <f>IF(ISERROR(IF(B622=C622,X622/C622,(INT(X622/B622)+(((X622-B622*INT(X622/B622)))/C622)/100))),0,(IF(B622=C622,X622/C622,(INT(X622/B622)+(((X622-B622*INT(X622/B622)))/C622)/100))))</f>
        <v>0</v>
      </c>
      <c r="BJ622" s="57">
        <f>IF(ISERROR(IF(B622=C622,Y622/C622,(INT(Y622/B622)+(((Y622-B622*INT(Y622/B622)))/C622)/100))),0,(IF(B622=C622,Y622/C622,(INT(Y622/B622)+(((Y622-B622*INT(Y622/B622)))/C622)/100))))</f>
        <v>0</v>
      </c>
      <c r="BL622" s="57">
        <f>IF(ISERROR(IF(B622=C622,AA622/C622,(INT(AA622/B622)+(((AA622-B622*INT(AA622/B622)))/C622)/100))),0,(IF(B622=C622,AA622/C622,(INT(AA622/B622)+(((AA622-B622*INT(AA622/B622)))/C622)/100))))</f>
        <v>0</v>
      </c>
      <c r="BM622" s="57">
        <f>IF(ISERROR(IF(B622=C622,AB622/C622,(INT(AB622/B622)+(((AB622-B622*INT(AB622/B622)))/C622)/100))),0,(IF(B622=C622,AB622/C622,(INT(AB622/B622)+(((AB622-B622*INT(AB622/B622)))/C622)/100))))</f>
        <v>0</v>
      </c>
      <c r="BN622" s="57">
        <f>IF(ISERROR(IF(B622=C622,AC622/C622,(INT(AC622/B622)+(((AC622-B622*INT(AC622/B622)))/C622)/100))),0,(IF(B622=C622,AC622/C622,(INT(AC622/B622)+(((AC622-B622*INT(AC622/B622)))/C622)/100))))</f>
        <v>0</v>
      </c>
      <c r="BO622" s="57">
        <f>IF(ISERROR(IF(B622=C622,AD622/C622,(INT(AD622/B622)+(((AD622-B622*INT(AD622/B622)))/C622)/100))),0,(IF(B622=C622,AD622/C622,(INT(AD622/B622)+(((AD622-B622*INT(AD622/B622)))/C622)/100))))</f>
        <v>0</v>
      </c>
      <c r="BQ622" s="155"/>
    </row>
    <row r="623" spans="1:69" hidden="1" x14ac:dyDescent="0.35">
      <c r="A623" s="94"/>
      <c r="B623" s="113">
        <v>0</v>
      </c>
      <c r="C623" s="113">
        <v>250</v>
      </c>
      <c r="D623" s="28">
        <f>SUM(AA623:AD623)</f>
        <v>0</v>
      </c>
      <c r="E623" s="113">
        <v>0</v>
      </c>
      <c r="F623" s="113">
        <v>0</v>
      </c>
      <c r="G623" s="28">
        <f>SUM(D623:F623)</f>
        <v>0</v>
      </c>
      <c r="H623" s="125">
        <v>0</v>
      </c>
      <c r="I623" s="113">
        <v>0</v>
      </c>
      <c r="J623" s="125">
        <v>0</v>
      </c>
      <c r="K623" s="113">
        <v>0</v>
      </c>
      <c r="L623" s="113">
        <v>0</v>
      </c>
      <c r="M623" s="113">
        <v>0</v>
      </c>
      <c r="N623" s="28">
        <f>G623-SUM(H623:M623)</f>
        <v>0</v>
      </c>
      <c r="O623" s="28">
        <f>SUM(V623:Y623)</f>
        <v>0</v>
      </c>
      <c r="P623" s="28">
        <f>O623-N623</f>
        <v>0</v>
      </c>
      <c r="Q623" s="61" t="str">
        <f>IF(ISERROR(P623/SUM(H623:L623)),"",P623/SUM(H623:L623))</f>
        <v/>
      </c>
      <c r="R623" s="113">
        <v>0</v>
      </c>
      <c r="S623" s="28">
        <f>IF(ISERROR(P623/C623*R623),0,(P623/C623*R623))</f>
        <v>0</v>
      </c>
      <c r="T623" s="60">
        <f>IF(ISERROR(P623/B623*AF623),0,(P623/B623*AF623))</f>
        <v>0</v>
      </c>
      <c r="V623" s="113">
        <v>0</v>
      </c>
      <c r="W623" s="113">
        <v>0</v>
      </c>
      <c r="X623" s="113">
        <v>0</v>
      </c>
      <c r="Y623" s="113">
        <v>0</v>
      </c>
      <c r="AA623" s="113">
        <v>0</v>
      </c>
      <c r="AB623" s="113">
        <v>0</v>
      </c>
      <c r="AC623" s="113">
        <v>0</v>
      </c>
      <c r="AD623" s="113">
        <v>0</v>
      </c>
      <c r="AF623" s="113">
        <v>0</v>
      </c>
      <c r="AG623" s="28">
        <f>G623-O623</f>
        <v>0</v>
      </c>
      <c r="AH623" s="58">
        <f>IF(ISERROR(AG623/B623*AF623),0,(AG623/B623*AF623))</f>
        <v>0</v>
      </c>
      <c r="AI623" s="28">
        <f>SUM(H623:M623)</f>
        <v>0</v>
      </c>
      <c r="AJ623" s="28">
        <f>IF(ISERROR(AI623/B623*AF623),0,(AI623/B623*AF623))</f>
        <v>0</v>
      </c>
      <c r="AK623" s="58">
        <f>IF(ISERROR(O623/B623*AF623),0,(O623/B623*AF623))</f>
        <v>0</v>
      </c>
      <c r="AL623" s="28">
        <f>IF(ISERROR(H623/B623*AF623),0,(H623/B623*AF623))</f>
        <v>0</v>
      </c>
      <c r="AN623" s="51">
        <f>A623</f>
        <v>0</v>
      </c>
      <c r="AO623" s="57">
        <f>IF(ISERROR(IF(B623=C623,D623/C623,(INT(D623/B623)+(((D623-B623*INT(D623/B623)))/C623)/100))),0,(IF(B623=C623,D623/C623,(INT(D623/B623)+(((D623-B623*INT(D623/B623)))/C623)/100))))</f>
        <v>0</v>
      </c>
      <c r="AP623" s="57">
        <f>IF(ISERROR(IF(B623=C623,E623/C623,(INT(E623/B623)+(((E623-B623*INT(E623/B623)))/C623)/100))),0,(IF(B623=C623,E623/C623,(INT(E623/B623)+(((E623-B623*INT(E623/B623)))/C623)/100))))</f>
        <v>0</v>
      </c>
      <c r="AQ623" s="57">
        <f>IF(ISERROR(IF(B623=C623,F623/C623,IF((INT(F623/B623)+(((F623-B623*INT(F623/B623)))/C623)/100)&lt;0,(INT(F623/B623)+(((F623-B623*INT(F623/B623)))/C623)/100)+(1-(B623/C623/100)),(INT(F623/B623)+(((F623-B623*INT(F623/B623)))/C623)/100)))),0,IF(B623=C623,F623/C623,IF((INT(F623/B623)+(((F623-B623*INT(F623/B623)))/C623)/100)&lt;0,(INT(F623/B623)+(((F623-B623*INT(F623/B623)))/C623)/100)+(1-(B623/C623/100)),(INT(F623/B623)+(((F623-B623*INT(F623/B623)))/C623)/100))))</f>
        <v>0</v>
      </c>
      <c r="AR623" s="57">
        <f>IF(ISERROR(IF(B623=C623,G623/C623,(INT(G623/B623)+(((G623-B623*INT(G623/B623)))/C623)/100))),0,(IF(B623=C623,G623/C623,(INT(G623/B623)+(((G623-B623*INT(G623/B623)))/C623)/100))))</f>
        <v>0</v>
      </c>
      <c r="AS623" s="57">
        <f>IF(ISERROR(IF(B623=C623,H623/C623,(INT(H623/B623)+(((H623-B623*INT(H623/B623)))/C623)/100))),0,(IF(B623=C623,H623/C623,(INT(H623/B623)+(((H623-B623*INT(H623/B623)))/C623)/100))))</f>
        <v>0</v>
      </c>
      <c r="AT623" s="57">
        <f>IF(ISERROR(IF(B623=C623,I623/C623,(INT(I623/B623)+(((I623-B623*INT(I623/B623)))/C623)/100))),0,(IF(B623=C623,I623/C623,(INT(I623/B623)+(((I623-B623*INT(I623/B623)))/C623)/100))))</f>
        <v>0</v>
      </c>
      <c r="AU623" s="57">
        <f>IF(ISERROR(IF(B623=C623,J623/C623,(INT(J623/B623)+(((J623-B623*INT(J623/B623)))/C623)/100))),0,(IF(B623=C623,J623/C623,(INT(J623/B623)+(((J623-B623*INT(J623/B623)))/C623)/100))))</f>
        <v>0</v>
      </c>
      <c r="AV623" s="57">
        <f>IF(ISERROR(IF(B623=C623,K623/C623,IF((INT(K623/B623)+(((K623-B623*INT(K623/B623)))/C623)/100)&lt;0,(INT(K623/B623)+(((K623-B623*INT(K623/B623)))/C623)/100)+(1-(B623/C623/100)),(INT(K623/B623)+(((K623-B623*INT(K623/B623)))/C623)/100)))),0,IF(B623=C623,K623/C623,IF((INT(K623/B623)+(((K623-B623*INT(K623/B623)))/C623)/100)&lt;0,(INT(K623/B623)+(((K623-B623*INT(K623/B623)))/C623)/100)+(1-(B623/C623/100)),(INT(K623/B623)+(((K623-B623*INT(K623/B623)))/C623)/100))))</f>
        <v>0</v>
      </c>
      <c r="AW623" s="57">
        <f>IF(ISERROR(IF(B623=C623,L623/C623,(INT(L623/B623)+(((L623-B623*INT(L623/B623)))/C623)/100))),0,(IF(B623=C623,L623/C623,(INT(L623/B623)+(((L623-B623*INT(L623/B623)))/C623)/100))))</f>
        <v>0</v>
      </c>
      <c r="AX623" s="57">
        <f>IF(ISERROR(IF(B623=C623,M623/C623,(INT(M623/B623)+(((M623-B623*INT(M623/B623)))/C623)/100))),0,(IF(B623=C623,M623/C623,(INT(M623/B623)+(((M623-B623*INT(M623/B623)))/C623)/100))))</f>
        <v>0</v>
      </c>
      <c r="AY623" s="57">
        <f>IF(ISERROR(IF(B623=C623,N623/C623,IF((INT(N623/B623)+(((N623-B623*INT(N623/B623)))/C623)/100)&lt;0,(INT(N623/B623)+(((N623-B623*INT(N623/B623)))/C623)/100)+(1-(B623/C623/100)),(INT(N623/B623)+(((N623-B623*INT(N623/B623)))/C623)/100)))),0,IF(B623=C623,N623/C623,IF((INT(N623/B623)+(((N623-B623*INT(N623/B623)))/C623)/100)&lt;0,(INT(N623/B623)+(((N623-B623*INT(N623/B623)))/C623)/100)+(1-(B623/C623/100)),(INT(N623/B623)+(((N623-B623*INT(N623/B623)))/C623)/100))))</f>
        <v>0</v>
      </c>
      <c r="AZ623" s="57">
        <f>IF(ISERROR(IF(B623=C623,O623/C623,(INT(O623/B623)+(((O623-B623*INT(O623/B623)))/C623)/100))),0,(IF(B623=C623,O623/C623,(INT(O623/B623)+(((O623-B623*INT(O623/B623)))/C623)/100))))</f>
        <v>0</v>
      </c>
      <c r="BA623" s="57">
        <f>IF(ISERROR(IF(B623=C623,P623/C623,IF((INT(P623/B623)+(((P623-B623*INT(P623/B623)))/C623)/100)&lt;0,(INT(P623/B623)+(((P623-B623*INT(P623/B623)))/C623)/100)+(1-(B623/C623/100)),(INT(P623/B623)+(((P623-B623*INT(P623/B623)))/C623)/100)))),0,IF(B623=C623,P623/C623,IF((INT(P623/B623)+(((P623-B623*INT(P623/B623)))/C623)/100)&lt;0,(INT(P623/B623)+(((P623-B623*INT(P623/B623)))/C623)/100)+(1-(B623/C623/100)),(INT(P623/B623)+(((P623-B623*INT(P623/B623)))/C623)/100))))</f>
        <v>0</v>
      </c>
      <c r="BB623" s="28">
        <f>R623</f>
        <v>0</v>
      </c>
      <c r="BC623" s="28">
        <f>S623</f>
        <v>0</v>
      </c>
      <c r="BD623" s="28">
        <f>AF623</f>
        <v>0</v>
      </c>
      <c r="BE623" s="28">
        <f>T623</f>
        <v>0</v>
      </c>
      <c r="BG623" s="57">
        <f>IF(ISERROR(IF(B623=C623,V623/C623,(INT(V623/B623)+(((V623-B623*INT(V623/B623)))/C623)/100))),0,(IF(B623=C623,V623/C623,(INT(V623/B623)+(((V623-B623*INT(V623/B623)))/C623)/100))))</f>
        <v>0</v>
      </c>
      <c r="BH623" s="57">
        <f>IF(ISERROR(IF(B623=C623,W623/C623,(INT(W623/B623)+(((W623-B623*INT(W623/B623)))/C623)/100))),0,(IF(B623=C623,W623/C623,(INT(W623/B623)+(((W623-B623*INT(W623/B623)))/C623)/100))))</f>
        <v>0</v>
      </c>
      <c r="BI623" s="57">
        <f>IF(ISERROR(IF(B623=C623,X623/C623,(INT(X623/B623)+(((X623-B623*INT(X623/B623)))/C623)/100))),0,(IF(B623=C623,X623/C623,(INT(X623/B623)+(((X623-B623*INT(X623/B623)))/C623)/100))))</f>
        <v>0</v>
      </c>
      <c r="BJ623" s="57">
        <f>IF(ISERROR(IF(B623=C623,Y623/C623,(INT(Y623/B623)+(((Y623-B623*INT(Y623/B623)))/C623)/100))),0,(IF(B623=C623,Y623/C623,(INT(Y623/B623)+(((Y623-B623*INT(Y623/B623)))/C623)/100))))</f>
        <v>0</v>
      </c>
      <c r="BL623" s="57">
        <f>IF(ISERROR(IF(B623=C623,AA623/C623,(INT(AA623/B623)+(((AA623-B623*INT(AA623/B623)))/C623)/100))),0,(IF(B623=C623,AA623/C623,(INT(AA623/B623)+(((AA623-B623*INT(AA623/B623)))/C623)/100))))</f>
        <v>0</v>
      </c>
      <c r="BM623" s="57">
        <f>IF(ISERROR(IF(B623=C623,AB623/C623,(INT(AB623/B623)+(((AB623-B623*INT(AB623/B623)))/C623)/100))),0,(IF(B623=C623,AB623/C623,(INT(AB623/B623)+(((AB623-B623*INT(AB623/B623)))/C623)/100))))</f>
        <v>0</v>
      </c>
      <c r="BN623" s="57">
        <f>IF(ISERROR(IF(B623=C623,AC623/C623,(INT(AC623/B623)+(((AC623-B623*INT(AC623/B623)))/C623)/100))),0,(IF(B623=C623,AC623/C623,(INT(AC623/B623)+(((AC623-B623*INT(AC623/B623)))/C623)/100))))</f>
        <v>0</v>
      </c>
      <c r="BO623" s="57">
        <f>IF(ISERROR(IF(B623=C623,AD623/C623,(INT(AD623/B623)+(((AD623-B623*INT(AD623/B623)))/C623)/100))),0,(IF(B623=C623,AD623/C623,(INT(AD623/B623)+(((AD623-B623*INT(AD623/B623)))/C623)/100))))</f>
        <v>0</v>
      </c>
      <c r="BQ623" s="155"/>
    </row>
    <row r="624" spans="1:69" hidden="1" x14ac:dyDescent="0.35">
      <c r="A624" s="94"/>
      <c r="B624" s="113">
        <v>0</v>
      </c>
      <c r="C624" s="113">
        <v>250</v>
      </c>
      <c r="D624" s="28">
        <f>SUM(AA624:AD624)</f>
        <v>0</v>
      </c>
      <c r="E624" s="113">
        <v>0</v>
      </c>
      <c r="F624" s="113">
        <v>0</v>
      </c>
      <c r="G624" s="28">
        <f>SUM(D624:F624)</f>
        <v>0</v>
      </c>
      <c r="H624" s="125">
        <v>0</v>
      </c>
      <c r="I624" s="113">
        <v>0</v>
      </c>
      <c r="J624" s="125">
        <v>0</v>
      </c>
      <c r="K624" s="113">
        <v>0</v>
      </c>
      <c r="L624" s="113">
        <v>0</v>
      </c>
      <c r="M624" s="113">
        <v>0</v>
      </c>
      <c r="N624" s="28">
        <f>G624-SUM(H624:M624)</f>
        <v>0</v>
      </c>
      <c r="O624" s="28">
        <f>SUM(V624:Y624)</f>
        <v>0</v>
      </c>
      <c r="P624" s="28">
        <f>O624-N624</f>
        <v>0</v>
      </c>
      <c r="Q624" s="61" t="str">
        <f>IF(ISERROR(P624/SUM(H624:L624)),"",P624/SUM(H624:L624))</f>
        <v/>
      </c>
      <c r="R624" s="113">
        <v>0</v>
      </c>
      <c r="S624" s="28">
        <f>IF(ISERROR(P624/C624*R624),0,(P624/C624*R624))</f>
        <v>0</v>
      </c>
      <c r="T624" s="60">
        <f>IF(ISERROR(P624/B624*AF624),0,(P624/B624*AF624))</f>
        <v>0</v>
      </c>
      <c r="V624" s="113">
        <v>0</v>
      </c>
      <c r="W624" s="113">
        <v>0</v>
      </c>
      <c r="X624" s="113">
        <v>0</v>
      </c>
      <c r="Y624" s="113">
        <v>0</v>
      </c>
      <c r="AA624" s="113">
        <v>0</v>
      </c>
      <c r="AB624" s="113">
        <v>0</v>
      </c>
      <c r="AC624" s="113">
        <v>0</v>
      </c>
      <c r="AD624" s="113">
        <v>0</v>
      </c>
      <c r="AF624" s="113">
        <v>0</v>
      </c>
      <c r="AG624" s="28">
        <f>G624-O624</f>
        <v>0</v>
      </c>
      <c r="AH624" s="58">
        <f>IF(ISERROR(AG624/B624*AF624),0,(AG624/B624*AF624))</f>
        <v>0</v>
      </c>
      <c r="AI624" s="28">
        <f>SUM(H624:M624)</f>
        <v>0</v>
      </c>
      <c r="AJ624" s="28">
        <f>IF(ISERROR(AI624/B624*AF624),0,(AI624/B624*AF624))</f>
        <v>0</v>
      </c>
      <c r="AK624" s="58">
        <f>IF(ISERROR(O624/B624*AF624),0,(O624/B624*AF624))</f>
        <v>0</v>
      </c>
      <c r="AL624" s="28">
        <f>IF(ISERROR(H624/B624*AF624),0,(H624/B624*AF624))</f>
        <v>0</v>
      </c>
      <c r="AN624" s="51">
        <f>A624</f>
        <v>0</v>
      </c>
      <c r="AO624" s="57">
        <f>IF(ISERROR(IF(B624=C624,D624/C624,(INT(D624/B624)+(((D624-B624*INT(D624/B624)))/C624)/100))),0,(IF(B624=C624,D624/C624,(INT(D624/B624)+(((D624-B624*INT(D624/B624)))/C624)/100))))</f>
        <v>0</v>
      </c>
      <c r="AP624" s="57">
        <f>IF(ISERROR(IF(B624=C624,E624/C624,(INT(E624/B624)+(((E624-B624*INT(E624/B624)))/C624)/100))),0,(IF(B624=C624,E624/C624,(INT(E624/B624)+(((E624-B624*INT(E624/B624)))/C624)/100))))</f>
        <v>0</v>
      </c>
      <c r="AQ624" s="57">
        <f>IF(ISERROR(IF(B624=C624,F624/C624,IF((INT(F624/B624)+(((F624-B624*INT(F624/B624)))/C624)/100)&lt;0,(INT(F624/B624)+(((F624-B624*INT(F624/B624)))/C624)/100)+(1-(B624/C624/100)),(INT(F624/B624)+(((F624-B624*INT(F624/B624)))/C624)/100)))),0,IF(B624=C624,F624/C624,IF((INT(F624/B624)+(((F624-B624*INT(F624/B624)))/C624)/100)&lt;0,(INT(F624/B624)+(((F624-B624*INT(F624/B624)))/C624)/100)+(1-(B624/C624/100)),(INT(F624/B624)+(((F624-B624*INT(F624/B624)))/C624)/100))))</f>
        <v>0</v>
      </c>
      <c r="AR624" s="57">
        <f>IF(ISERROR(IF(B624=C624,G624/C624,(INT(G624/B624)+(((G624-B624*INT(G624/B624)))/C624)/100))),0,(IF(B624=C624,G624/C624,(INT(G624/B624)+(((G624-B624*INT(G624/B624)))/C624)/100))))</f>
        <v>0</v>
      </c>
      <c r="AS624" s="57">
        <f>IF(ISERROR(IF(B624=C624,H624/C624,(INT(H624/B624)+(((H624-B624*INT(H624/B624)))/C624)/100))),0,(IF(B624=C624,H624/C624,(INT(H624/B624)+(((H624-B624*INT(H624/B624)))/C624)/100))))</f>
        <v>0</v>
      </c>
      <c r="AT624" s="57">
        <f>IF(ISERROR(IF(B624=C624,I624/C624,(INT(I624/B624)+(((I624-B624*INT(I624/B624)))/C624)/100))),0,(IF(B624=C624,I624/C624,(INT(I624/B624)+(((I624-B624*INT(I624/B624)))/C624)/100))))</f>
        <v>0</v>
      </c>
      <c r="AU624" s="57">
        <f>IF(ISERROR(IF(B624=C624,J624/C624,(INT(J624/B624)+(((J624-B624*INT(J624/B624)))/C624)/100))),0,(IF(B624=C624,J624/C624,(INT(J624/B624)+(((J624-B624*INT(J624/B624)))/C624)/100))))</f>
        <v>0</v>
      </c>
      <c r="AV624" s="57">
        <f>IF(ISERROR(IF(B624=C624,K624/C624,IF((INT(K624/B624)+(((K624-B624*INT(K624/B624)))/C624)/100)&lt;0,(INT(K624/B624)+(((K624-B624*INT(K624/B624)))/C624)/100)+(1-(B624/C624/100)),(INT(K624/B624)+(((K624-B624*INT(K624/B624)))/C624)/100)))),0,IF(B624=C624,K624/C624,IF((INT(K624/B624)+(((K624-B624*INT(K624/B624)))/C624)/100)&lt;0,(INT(K624/B624)+(((K624-B624*INT(K624/B624)))/C624)/100)+(1-(B624/C624/100)),(INT(K624/B624)+(((K624-B624*INT(K624/B624)))/C624)/100))))</f>
        <v>0</v>
      </c>
      <c r="AW624" s="57">
        <f>IF(ISERROR(IF(B624=C624,L624/C624,(INT(L624/B624)+(((L624-B624*INT(L624/B624)))/C624)/100))),0,(IF(B624=C624,L624/C624,(INT(L624/B624)+(((L624-B624*INT(L624/B624)))/C624)/100))))</f>
        <v>0</v>
      </c>
      <c r="AX624" s="57">
        <f>IF(ISERROR(IF(B624=C624,M624/C624,(INT(M624/B624)+(((M624-B624*INT(M624/B624)))/C624)/100))),0,(IF(B624=C624,M624/C624,(INT(M624/B624)+(((M624-B624*INT(M624/B624)))/C624)/100))))</f>
        <v>0</v>
      </c>
      <c r="AY624" s="57">
        <f>IF(ISERROR(IF(B624=C624,N624/C624,IF((INT(N624/B624)+(((N624-B624*INT(N624/B624)))/C624)/100)&lt;0,(INT(N624/B624)+(((N624-B624*INT(N624/B624)))/C624)/100)+(1-(B624/C624/100)),(INT(N624/B624)+(((N624-B624*INT(N624/B624)))/C624)/100)))),0,IF(B624=C624,N624/C624,IF((INT(N624/B624)+(((N624-B624*INT(N624/B624)))/C624)/100)&lt;0,(INT(N624/B624)+(((N624-B624*INT(N624/B624)))/C624)/100)+(1-(B624/C624/100)),(INT(N624/B624)+(((N624-B624*INT(N624/B624)))/C624)/100))))</f>
        <v>0</v>
      </c>
      <c r="AZ624" s="57">
        <f>IF(ISERROR(IF(B624=C624,O624/C624,(INT(O624/B624)+(((O624-B624*INT(O624/B624)))/C624)/100))),0,(IF(B624=C624,O624/C624,(INT(O624/B624)+(((O624-B624*INT(O624/B624)))/C624)/100))))</f>
        <v>0</v>
      </c>
      <c r="BA624" s="57">
        <f>IF(ISERROR(IF(B624=C624,P624/C624,IF((INT(P624/B624)+(((P624-B624*INT(P624/B624)))/C624)/100)&lt;0,(INT(P624/B624)+(((P624-B624*INT(P624/B624)))/C624)/100)+(1-(B624/C624/100)),(INT(P624/B624)+(((P624-B624*INT(P624/B624)))/C624)/100)))),0,IF(B624=C624,P624/C624,IF((INT(P624/B624)+(((P624-B624*INT(P624/B624)))/C624)/100)&lt;0,(INT(P624/B624)+(((P624-B624*INT(P624/B624)))/C624)/100)+(1-(B624/C624/100)),(INT(P624/B624)+(((P624-B624*INT(P624/B624)))/C624)/100))))</f>
        <v>0</v>
      </c>
      <c r="BB624" s="28">
        <f>R624</f>
        <v>0</v>
      </c>
      <c r="BC624" s="28">
        <f>S624</f>
        <v>0</v>
      </c>
      <c r="BD624" s="28">
        <f>AF624</f>
        <v>0</v>
      </c>
      <c r="BE624" s="28">
        <f>T624</f>
        <v>0</v>
      </c>
      <c r="BG624" s="57">
        <f>IF(ISERROR(IF(B624=C624,V624/C624,(INT(V624/B624)+(((V624-B624*INT(V624/B624)))/C624)/100))),0,(IF(B624=C624,V624/C624,(INT(V624/B624)+(((V624-B624*INT(V624/B624)))/C624)/100))))</f>
        <v>0</v>
      </c>
      <c r="BH624" s="57">
        <f>IF(ISERROR(IF(B624=C624,W624/C624,(INT(W624/B624)+(((W624-B624*INT(W624/B624)))/C624)/100))),0,(IF(B624=C624,W624/C624,(INT(W624/B624)+(((W624-B624*INT(W624/B624)))/C624)/100))))</f>
        <v>0</v>
      </c>
      <c r="BI624" s="57">
        <f>IF(ISERROR(IF(B624=C624,X624/C624,(INT(X624/B624)+(((X624-B624*INT(X624/B624)))/C624)/100))),0,(IF(B624=C624,X624/C624,(INT(X624/B624)+(((X624-B624*INT(X624/B624)))/C624)/100))))</f>
        <v>0</v>
      </c>
      <c r="BJ624" s="57">
        <f>IF(ISERROR(IF(B624=C624,Y624/C624,(INT(Y624/B624)+(((Y624-B624*INT(Y624/B624)))/C624)/100))),0,(IF(B624=C624,Y624/C624,(INT(Y624/B624)+(((Y624-B624*INT(Y624/B624)))/C624)/100))))</f>
        <v>0</v>
      </c>
      <c r="BL624" s="57">
        <f>IF(ISERROR(IF(B624=C624,AA624/C624,(INT(AA624/B624)+(((AA624-B624*INT(AA624/B624)))/C624)/100))),0,(IF(B624=C624,AA624/C624,(INT(AA624/B624)+(((AA624-B624*INT(AA624/B624)))/C624)/100))))</f>
        <v>0</v>
      </c>
      <c r="BM624" s="57">
        <f>IF(ISERROR(IF(B624=C624,AB624/C624,(INT(AB624/B624)+(((AB624-B624*INT(AB624/B624)))/C624)/100))),0,(IF(B624=C624,AB624/C624,(INT(AB624/B624)+(((AB624-B624*INT(AB624/B624)))/C624)/100))))</f>
        <v>0</v>
      </c>
      <c r="BN624" s="57">
        <f>IF(ISERROR(IF(B624=C624,AC624/C624,(INT(AC624/B624)+(((AC624-B624*INT(AC624/B624)))/C624)/100))),0,(IF(B624=C624,AC624/C624,(INT(AC624/B624)+(((AC624-B624*INT(AC624/B624)))/C624)/100))))</f>
        <v>0</v>
      </c>
      <c r="BO624" s="57">
        <f>IF(ISERROR(IF(B624=C624,AD624/C624,(INT(AD624/B624)+(((AD624-B624*INT(AD624/B624)))/C624)/100))),0,(IF(B624=C624,AD624/C624,(INT(AD624/B624)+(((AD624-B624*INT(AD624/B624)))/C624)/100))))</f>
        <v>0</v>
      </c>
      <c r="BQ624" s="155"/>
    </row>
    <row r="625" spans="1:69" hidden="1" x14ac:dyDescent="0.35">
      <c r="A625" s="94"/>
      <c r="B625" s="113">
        <v>0</v>
      </c>
      <c r="C625" s="113">
        <v>250</v>
      </c>
      <c r="D625" s="28">
        <f>SUM(AA625:AD625)</f>
        <v>0</v>
      </c>
      <c r="E625" s="113">
        <v>0</v>
      </c>
      <c r="F625" s="113">
        <v>0</v>
      </c>
      <c r="G625" s="28">
        <f>SUM(D625:F625)</f>
        <v>0</v>
      </c>
      <c r="H625" s="125">
        <v>0</v>
      </c>
      <c r="I625" s="113">
        <v>0</v>
      </c>
      <c r="J625" s="125">
        <v>0</v>
      </c>
      <c r="K625" s="113">
        <v>0</v>
      </c>
      <c r="L625" s="113">
        <v>0</v>
      </c>
      <c r="M625" s="113">
        <v>0</v>
      </c>
      <c r="N625" s="28">
        <f>G625-SUM(H625:M625)</f>
        <v>0</v>
      </c>
      <c r="O625" s="28">
        <f>SUM(V625:Y625)</f>
        <v>0</v>
      </c>
      <c r="P625" s="28">
        <f>O625-N625</f>
        <v>0</v>
      </c>
      <c r="Q625" s="61" t="str">
        <f>IF(ISERROR(P625/SUM(H625:L625)),"",P625/SUM(H625:L625))</f>
        <v/>
      </c>
      <c r="R625" s="113">
        <v>0</v>
      </c>
      <c r="S625" s="28">
        <f>IF(ISERROR(P625/C625*R625),0,(P625/C625*R625))</f>
        <v>0</v>
      </c>
      <c r="T625" s="60">
        <f>IF(ISERROR(P625/B625*AF625),0,(P625/B625*AF625))</f>
        <v>0</v>
      </c>
      <c r="V625" s="113">
        <v>0</v>
      </c>
      <c r="W625" s="113">
        <v>0</v>
      </c>
      <c r="X625" s="113">
        <v>0</v>
      </c>
      <c r="Y625" s="113">
        <v>0</v>
      </c>
      <c r="AA625" s="113">
        <v>0</v>
      </c>
      <c r="AB625" s="113">
        <v>0</v>
      </c>
      <c r="AC625" s="113">
        <v>0</v>
      </c>
      <c r="AD625" s="113">
        <v>0</v>
      </c>
      <c r="AF625" s="113">
        <v>0</v>
      </c>
      <c r="AG625" s="28">
        <f>G625-O625</f>
        <v>0</v>
      </c>
      <c r="AH625" s="58">
        <f>IF(ISERROR(AG625/B625*AF625),0,(AG625/B625*AF625))</f>
        <v>0</v>
      </c>
      <c r="AI625" s="28">
        <f>SUM(H625:M625)</f>
        <v>0</v>
      </c>
      <c r="AJ625" s="28">
        <f>IF(ISERROR(AI625/B625*AF625),0,(AI625/B625*AF625))</f>
        <v>0</v>
      </c>
      <c r="AK625" s="58">
        <f>IF(ISERROR(O625/B625*AF625),0,(O625/B625*AF625))</f>
        <v>0</v>
      </c>
      <c r="AL625" s="28">
        <f>IF(ISERROR(H625/B625*AF625),0,(H625/B625*AF625))</f>
        <v>0</v>
      </c>
      <c r="AN625" s="51">
        <f>A625</f>
        <v>0</v>
      </c>
      <c r="AO625" s="57">
        <f>IF(ISERROR(IF(B625=C625,D625/C625,(INT(D625/B625)+(((D625-B625*INT(D625/B625)))/C625)/100))),0,(IF(B625=C625,D625/C625,(INT(D625/B625)+(((D625-B625*INT(D625/B625)))/C625)/100))))</f>
        <v>0</v>
      </c>
      <c r="AP625" s="57">
        <f>IF(ISERROR(IF(B625=C625,E625/C625,(INT(E625/B625)+(((E625-B625*INT(E625/B625)))/C625)/100))),0,(IF(B625=C625,E625/C625,(INT(E625/B625)+(((E625-B625*INT(E625/B625)))/C625)/100))))</f>
        <v>0</v>
      </c>
      <c r="AQ625" s="57">
        <f>IF(ISERROR(IF(B625=C625,F625/C625,IF((INT(F625/B625)+(((F625-B625*INT(F625/B625)))/C625)/100)&lt;0,(INT(F625/B625)+(((F625-B625*INT(F625/B625)))/C625)/100)+(1-(B625/C625/100)),(INT(F625/B625)+(((F625-B625*INT(F625/B625)))/C625)/100)))),0,IF(B625=C625,F625/C625,IF((INT(F625/B625)+(((F625-B625*INT(F625/B625)))/C625)/100)&lt;0,(INT(F625/B625)+(((F625-B625*INT(F625/B625)))/C625)/100)+(1-(B625/C625/100)),(INT(F625/B625)+(((F625-B625*INT(F625/B625)))/C625)/100))))</f>
        <v>0</v>
      </c>
      <c r="AR625" s="57">
        <f>IF(ISERROR(IF(B625=C625,G625/C625,(INT(G625/B625)+(((G625-B625*INT(G625/B625)))/C625)/100))),0,(IF(B625=C625,G625/C625,(INT(G625/B625)+(((G625-B625*INT(G625/B625)))/C625)/100))))</f>
        <v>0</v>
      </c>
      <c r="AS625" s="57">
        <f>IF(ISERROR(IF(B625=C625,H625/C625,(INT(H625/B625)+(((H625-B625*INT(H625/B625)))/C625)/100))),0,(IF(B625=C625,H625/C625,(INT(H625/B625)+(((H625-B625*INT(H625/B625)))/C625)/100))))</f>
        <v>0</v>
      </c>
      <c r="AT625" s="57">
        <f>IF(ISERROR(IF(B625=C625,I625/C625,(INT(I625/B625)+(((I625-B625*INT(I625/B625)))/C625)/100))),0,(IF(B625=C625,I625/C625,(INT(I625/B625)+(((I625-B625*INT(I625/B625)))/C625)/100))))</f>
        <v>0</v>
      </c>
      <c r="AU625" s="57">
        <f>IF(ISERROR(IF(B625=C625,J625/C625,(INT(J625/B625)+(((J625-B625*INT(J625/B625)))/C625)/100))),0,(IF(B625=C625,J625/C625,(INT(J625/B625)+(((J625-B625*INT(J625/B625)))/C625)/100))))</f>
        <v>0</v>
      </c>
      <c r="AV625" s="57">
        <f>IF(ISERROR(IF(B625=C625,K625/C625,IF((INT(K625/B625)+(((K625-B625*INT(K625/B625)))/C625)/100)&lt;0,(INT(K625/B625)+(((K625-B625*INT(K625/B625)))/C625)/100)+(1-(B625/C625/100)),(INT(K625/B625)+(((K625-B625*INT(K625/B625)))/C625)/100)))),0,IF(B625=C625,K625/C625,IF((INT(K625/B625)+(((K625-B625*INT(K625/B625)))/C625)/100)&lt;0,(INT(K625/B625)+(((K625-B625*INT(K625/B625)))/C625)/100)+(1-(B625/C625/100)),(INT(K625/B625)+(((K625-B625*INT(K625/B625)))/C625)/100))))</f>
        <v>0</v>
      </c>
      <c r="AW625" s="57">
        <f>IF(ISERROR(IF(B625=C625,L625/C625,(INT(L625/B625)+(((L625-B625*INT(L625/B625)))/C625)/100))),0,(IF(B625=C625,L625/C625,(INT(L625/B625)+(((L625-B625*INT(L625/B625)))/C625)/100))))</f>
        <v>0</v>
      </c>
      <c r="AX625" s="57">
        <f>IF(ISERROR(IF(B625=C625,M625/C625,(INT(M625/B625)+(((M625-B625*INT(M625/B625)))/C625)/100))),0,(IF(B625=C625,M625/C625,(INT(M625/B625)+(((M625-B625*INT(M625/B625)))/C625)/100))))</f>
        <v>0</v>
      </c>
      <c r="AY625" s="57">
        <f>IF(ISERROR(IF(B625=C625,N625/C625,IF((INT(N625/B625)+(((N625-B625*INT(N625/B625)))/C625)/100)&lt;0,(INT(N625/B625)+(((N625-B625*INT(N625/B625)))/C625)/100)+(1-(B625/C625/100)),(INT(N625/B625)+(((N625-B625*INT(N625/B625)))/C625)/100)))),0,IF(B625=C625,N625/C625,IF((INT(N625/B625)+(((N625-B625*INT(N625/B625)))/C625)/100)&lt;0,(INT(N625/B625)+(((N625-B625*INT(N625/B625)))/C625)/100)+(1-(B625/C625/100)),(INT(N625/B625)+(((N625-B625*INT(N625/B625)))/C625)/100))))</f>
        <v>0</v>
      </c>
      <c r="AZ625" s="57">
        <f>IF(ISERROR(IF(B625=C625,O625/C625,(INT(O625/B625)+(((O625-B625*INT(O625/B625)))/C625)/100))),0,(IF(B625=C625,O625/C625,(INT(O625/B625)+(((O625-B625*INT(O625/B625)))/C625)/100))))</f>
        <v>0</v>
      </c>
      <c r="BA625" s="57">
        <f>IF(ISERROR(IF(B625=C625,P625/C625,IF((INT(P625/B625)+(((P625-B625*INT(P625/B625)))/C625)/100)&lt;0,(INT(P625/B625)+(((P625-B625*INT(P625/B625)))/C625)/100)+(1-(B625/C625/100)),(INT(P625/B625)+(((P625-B625*INT(P625/B625)))/C625)/100)))),0,IF(B625=C625,P625/C625,IF((INT(P625/B625)+(((P625-B625*INT(P625/B625)))/C625)/100)&lt;0,(INT(P625/B625)+(((P625-B625*INT(P625/B625)))/C625)/100)+(1-(B625/C625/100)),(INT(P625/B625)+(((P625-B625*INT(P625/B625)))/C625)/100))))</f>
        <v>0</v>
      </c>
      <c r="BB625" s="28">
        <f>R625</f>
        <v>0</v>
      </c>
      <c r="BC625" s="28">
        <f>S625</f>
        <v>0</v>
      </c>
      <c r="BD625" s="28">
        <f>AF625</f>
        <v>0</v>
      </c>
      <c r="BE625" s="28">
        <f>T625</f>
        <v>0</v>
      </c>
      <c r="BG625" s="57">
        <f>IF(ISERROR(IF(B625=C625,V625/C625,(INT(V625/B625)+(((V625-B625*INT(V625/B625)))/C625)/100))),0,(IF(B625=C625,V625/C625,(INT(V625/B625)+(((V625-B625*INT(V625/B625)))/C625)/100))))</f>
        <v>0</v>
      </c>
      <c r="BH625" s="57">
        <f>IF(ISERROR(IF(B625=C625,W625/C625,(INT(W625/B625)+(((W625-B625*INT(W625/B625)))/C625)/100))),0,(IF(B625=C625,W625/C625,(INT(W625/B625)+(((W625-B625*INT(W625/B625)))/C625)/100))))</f>
        <v>0</v>
      </c>
      <c r="BI625" s="57">
        <f>IF(ISERROR(IF(B625=C625,X625/C625,(INT(X625/B625)+(((X625-B625*INT(X625/B625)))/C625)/100))),0,(IF(B625=C625,X625/C625,(INT(X625/B625)+(((X625-B625*INT(X625/B625)))/C625)/100))))</f>
        <v>0</v>
      </c>
      <c r="BJ625" s="57">
        <f>IF(ISERROR(IF(B625=C625,Y625/C625,(INT(Y625/B625)+(((Y625-B625*INT(Y625/B625)))/C625)/100))),0,(IF(B625=C625,Y625/C625,(INT(Y625/B625)+(((Y625-B625*INT(Y625/B625)))/C625)/100))))</f>
        <v>0</v>
      </c>
      <c r="BL625" s="57">
        <f>IF(ISERROR(IF(B625=C625,AA625/C625,(INT(AA625/B625)+(((AA625-B625*INT(AA625/B625)))/C625)/100))),0,(IF(B625=C625,AA625/C625,(INT(AA625/B625)+(((AA625-B625*INT(AA625/B625)))/C625)/100))))</f>
        <v>0</v>
      </c>
      <c r="BM625" s="57">
        <f>IF(ISERROR(IF(B625=C625,AB625/C625,(INT(AB625/B625)+(((AB625-B625*INT(AB625/B625)))/C625)/100))),0,(IF(B625=C625,AB625/C625,(INT(AB625/B625)+(((AB625-B625*INT(AB625/B625)))/C625)/100))))</f>
        <v>0</v>
      </c>
      <c r="BN625" s="57">
        <f>IF(ISERROR(IF(B625=C625,AC625/C625,(INT(AC625/B625)+(((AC625-B625*INT(AC625/B625)))/C625)/100))),0,(IF(B625=C625,AC625/C625,(INT(AC625/B625)+(((AC625-B625*INT(AC625/B625)))/C625)/100))))</f>
        <v>0</v>
      </c>
      <c r="BO625" s="57">
        <f>IF(ISERROR(IF(B625=C625,AD625/C625,(INT(AD625/B625)+(((AD625-B625*INT(AD625/B625)))/C625)/100))),0,(IF(B625=C625,AD625/C625,(INT(AD625/B625)+(((AD625-B625*INT(AD625/B625)))/C625)/100))))</f>
        <v>0</v>
      </c>
      <c r="BQ625" s="155"/>
    </row>
    <row r="626" spans="1:69" hidden="1" x14ac:dyDescent="0.35">
      <c r="A626" s="94"/>
      <c r="B626" s="113">
        <v>0</v>
      </c>
      <c r="C626" s="113">
        <v>250</v>
      </c>
      <c r="D626" s="28">
        <f>SUM(AA626:AD626)</f>
        <v>0</v>
      </c>
      <c r="E626" s="113">
        <v>0</v>
      </c>
      <c r="F626" s="113">
        <v>0</v>
      </c>
      <c r="G626" s="28">
        <f>SUM(D626:F626)</f>
        <v>0</v>
      </c>
      <c r="H626" s="125">
        <v>0</v>
      </c>
      <c r="I626" s="113">
        <v>0</v>
      </c>
      <c r="J626" s="125">
        <v>0</v>
      </c>
      <c r="K626" s="113">
        <v>0</v>
      </c>
      <c r="L626" s="113">
        <v>0</v>
      </c>
      <c r="M626" s="113">
        <v>0</v>
      </c>
      <c r="N626" s="28">
        <f>G626-SUM(H626:M626)</f>
        <v>0</v>
      </c>
      <c r="O626" s="28">
        <f>SUM(V626:Y626)</f>
        <v>0</v>
      </c>
      <c r="P626" s="28">
        <f>O626-N626</f>
        <v>0</v>
      </c>
      <c r="Q626" s="61" t="str">
        <f>IF(ISERROR(P626/SUM(H626:L626)),"",P626/SUM(H626:L626))</f>
        <v/>
      </c>
      <c r="R626" s="113">
        <v>0</v>
      </c>
      <c r="S626" s="28">
        <f>IF(ISERROR(P626/C626*R626),0,(P626/C626*R626))</f>
        <v>0</v>
      </c>
      <c r="T626" s="60">
        <f>IF(ISERROR(P626/B626*AF626),0,(P626/B626*AF626))</f>
        <v>0</v>
      </c>
      <c r="V626" s="113">
        <v>0</v>
      </c>
      <c r="W626" s="113">
        <v>0</v>
      </c>
      <c r="X626" s="113">
        <v>0</v>
      </c>
      <c r="Y626" s="113">
        <v>0</v>
      </c>
      <c r="AA626" s="113">
        <v>0</v>
      </c>
      <c r="AB626" s="113">
        <v>0</v>
      </c>
      <c r="AC626" s="113">
        <v>0</v>
      </c>
      <c r="AD626" s="113">
        <v>0</v>
      </c>
      <c r="AF626" s="113">
        <v>0</v>
      </c>
      <c r="AG626" s="28">
        <f>G626-O626</f>
        <v>0</v>
      </c>
      <c r="AH626" s="58">
        <f>IF(ISERROR(AG626/B626*AF626),0,(AG626/B626*AF626))</f>
        <v>0</v>
      </c>
      <c r="AI626" s="28">
        <f>SUM(H626:M626)</f>
        <v>0</v>
      </c>
      <c r="AJ626" s="28">
        <f>IF(ISERROR(AI626/B626*AF626),0,(AI626/B626*AF626))</f>
        <v>0</v>
      </c>
      <c r="AK626" s="58">
        <f>IF(ISERROR(O626/B626*AF626),0,(O626/B626*AF626))</f>
        <v>0</v>
      </c>
      <c r="AL626" s="28">
        <f>IF(ISERROR(H626/B626*AF626),0,(H626/B626*AF626))</f>
        <v>0</v>
      </c>
      <c r="AN626" s="51">
        <f>A626</f>
        <v>0</v>
      </c>
      <c r="AO626" s="57">
        <f>IF(ISERROR(IF(B626=C626,D626/C626,(INT(D626/B626)+(((D626-B626*INT(D626/B626)))/C626)/100))),0,(IF(B626=C626,D626/C626,(INT(D626/B626)+(((D626-B626*INT(D626/B626)))/C626)/100))))</f>
        <v>0</v>
      </c>
      <c r="AP626" s="57">
        <f>IF(ISERROR(IF(B626=C626,E626/C626,(INT(E626/B626)+(((E626-B626*INT(E626/B626)))/C626)/100))),0,(IF(B626=C626,E626/C626,(INT(E626/B626)+(((E626-B626*INT(E626/B626)))/C626)/100))))</f>
        <v>0</v>
      </c>
      <c r="AQ626" s="57">
        <f>IF(ISERROR(IF(B626=C626,F626/C626,IF((INT(F626/B626)+(((F626-B626*INT(F626/B626)))/C626)/100)&lt;0,(INT(F626/B626)+(((F626-B626*INT(F626/B626)))/C626)/100)+(1-(B626/C626/100)),(INT(F626/B626)+(((F626-B626*INT(F626/B626)))/C626)/100)))),0,IF(B626=C626,F626/C626,IF((INT(F626/B626)+(((F626-B626*INT(F626/B626)))/C626)/100)&lt;0,(INT(F626/B626)+(((F626-B626*INT(F626/B626)))/C626)/100)+(1-(B626/C626/100)),(INT(F626/B626)+(((F626-B626*INT(F626/B626)))/C626)/100))))</f>
        <v>0</v>
      </c>
      <c r="AR626" s="57">
        <f>IF(ISERROR(IF(B626=C626,G626/C626,(INT(G626/B626)+(((G626-B626*INT(G626/B626)))/C626)/100))),0,(IF(B626=C626,G626/C626,(INT(G626/B626)+(((G626-B626*INT(G626/B626)))/C626)/100))))</f>
        <v>0</v>
      </c>
      <c r="AS626" s="57">
        <f>IF(ISERROR(IF(B626=C626,H626/C626,(INT(H626/B626)+(((H626-B626*INT(H626/B626)))/C626)/100))),0,(IF(B626=C626,H626/C626,(INT(H626/B626)+(((H626-B626*INT(H626/B626)))/C626)/100))))</f>
        <v>0</v>
      </c>
      <c r="AT626" s="57">
        <f>IF(ISERROR(IF(B626=C626,I626/C626,(INT(I626/B626)+(((I626-B626*INT(I626/B626)))/C626)/100))),0,(IF(B626=C626,I626/C626,(INT(I626/B626)+(((I626-B626*INT(I626/B626)))/C626)/100))))</f>
        <v>0</v>
      </c>
      <c r="AU626" s="57">
        <f>IF(ISERROR(IF(B626=C626,J626/C626,(INT(J626/B626)+(((J626-B626*INT(J626/B626)))/C626)/100))),0,(IF(B626=C626,J626/C626,(INT(J626/B626)+(((J626-B626*INT(J626/B626)))/C626)/100))))</f>
        <v>0</v>
      </c>
      <c r="AV626" s="57">
        <f>IF(ISERROR(IF(B626=C626,K626/C626,IF((INT(K626/B626)+(((K626-B626*INT(K626/B626)))/C626)/100)&lt;0,(INT(K626/B626)+(((K626-B626*INT(K626/B626)))/C626)/100)+(1-(B626/C626/100)),(INT(K626/B626)+(((K626-B626*INT(K626/B626)))/C626)/100)))),0,IF(B626=C626,K626/C626,IF((INT(K626/B626)+(((K626-B626*INT(K626/B626)))/C626)/100)&lt;0,(INT(K626/B626)+(((K626-B626*INT(K626/B626)))/C626)/100)+(1-(B626/C626/100)),(INT(K626/B626)+(((K626-B626*INT(K626/B626)))/C626)/100))))</f>
        <v>0</v>
      </c>
      <c r="AW626" s="57">
        <f>IF(ISERROR(IF(B626=C626,L626/C626,(INT(L626/B626)+(((L626-B626*INT(L626/B626)))/C626)/100))),0,(IF(B626=C626,L626/C626,(INT(L626/B626)+(((L626-B626*INT(L626/B626)))/C626)/100))))</f>
        <v>0</v>
      </c>
      <c r="AX626" s="57">
        <f>IF(ISERROR(IF(B626=C626,M626/C626,(INT(M626/B626)+(((M626-B626*INT(M626/B626)))/C626)/100))),0,(IF(B626=C626,M626/C626,(INT(M626/B626)+(((M626-B626*INT(M626/B626)))/C626)/100))))</f>
        <v>0</v>
      </c>
      <c r="AY626" s="57">
        <f>IF(ISERROR(IF(B626=C626,N626/C626,IF((INT(N626/B626)+(((N626-B626*INT(N626/B626)))/C626)/100)&lt;0,(INT(N626/B626)+(((N626-B626*INT(N626/B626)))/C626)/100)+(1-(B626/C626/100)),(INT(N626/B626)+(((N626-B626*INT(N626/B626)))/C626)/100)))),0,IF(B626=C626,N626/C626,IF((INT(N626/B626)+(((N626-B626*INT(N626/B626)))/C626)/100)&lt;0,(INT(N626/B626)+(((N626-B626*INT(N626/B626)))/C626)/100)+(1-(B626/C626/100)),(INT(N626/B626)+(((N626-B626*INT(N626/B626)))/C626)/100))))</f>
        <v>0</v>
      </c>
      <c r="AZ626" s="57">
        <f>IF(ISERROR(IF(B626=C626,O626/C626,(INT(O626/B626)+(((O626-B626*INT(O626/B626)))/C626)/100))),0,(IF(B626=C626,O626/C626,(INT(O626/B626)+(((O626-B626*INT(O626/B626)))/C626)/100))))</f>
        <v>0</v>
      </c>
      <c r="BA626" s="57">
        <f>IF(ISERROR(IF(B626=C626,P626/C626,IF((INT(P626/B626)+(((P626-B626*INT(P626/B626)))/C626)/100)&lt;0,(INT(P626/B626)+(((P626-B626*INT(P626/B626)))/C626)/100)+(1-(B626/C626/100)),(INT(P626/B626)+(((P626-B626*INT(P626/B626)))/C626)/100)))),0,IF(B626=C626,P626/C626,IF((INT(P626/B626)+(((P626-B626*INT(P626/B626)))/C626)/100)&lt;0,(INT(P626/B626)+(((P626-B626*INT(P626/B626)))/C626)/100)+(1-(B626/C626/100)),(INT(P626/B626)+(((P626-B626*INT(P626/B626)))/C626)/100))))</f>
        <v>0</v>
      </c>
      <c r="BB626" s="28">
        <f>R626</f>
        <v>0</v>
      </c>
      <c r="BC626" s="28">
        <f>S626</f>
        <v>0</v>
      </c>
      <c r="BD626" s="28">
        <f>AF626</f>
        <v>0</v>
      </c>
      <c r="BE626" s="28">
        <f>T626</f>
        <v>0</v>
      </c>
      <c r="BG626" s="57">
        <f>IF(ISERROR(IF(B626=C626,V626/C626,(INT(V626/B626)+(((V626-B626*INT(V626/B626)))/C626)/100))),0,(IF(B626=C626,V626/C626,(INT(V626/B626)+(((V626-B626*INT(V626/B626)))/C626)/100))))</f>
        <v>0</v>
      </c>
      <c r="BH626" s="57">
        <f>IF(ISERROR(IF(B626=C626,W626/C626,(INT(W626/B626)+(((W626-B626*INT(W626/B626)))/C626)/100))),0,(IF(B626=C626,W626/C626,(INT(W626/B626)+(((W626-B626*INT(W626/B626)))/C626)/100))))</f>
        <v>0</v>
      </c>
      <c r="BI626" s="57">
        <f>IF(ISERROR(IF(B626=C626,X626/C626,(INT(X626/B626)+(((X626-B626*INT(X626/B626)))/C626)/100))),0,(IF(B626=C626,X626/C626,(INT(X626/B626)+(((X626-B626*INT(X626/B626)))/C626)/100))))</f>
        <v>0</v>
      </c>
      <c r="BJ626" s="57">
        <f>IF(ISERROR(IF(B626=C626,Y626/C626,(INT(Y626/B626)+(((Y626-B626*INT(Y626/B626)))/C626)/100))),0,(IF(B626=C626,Y626/C626,(INT(Y626/B626)+(((Y626-B626*INT(Y626/B626)))/C626)/100))))</f>
        <v>0</v>
      </c>
      <c r="BL626" s="57">
        <f>IF(ISERROR(IF(B626=C626,AA626/C626,(INT(AA626/B626)+(((AA626-B626*INT(AA626/B626)))/C626)/100))),0,(IF(B626=C626,AA626/C626,(INT(AA626/B626)+(((AA626-B626*INT(AA626/B626)))/C626)/100))))</f>
        <v>0</v>
      </c>
      <c r="BM626" s="57">
        <f>IF(ISERROR(IF(B626=C626,AB626/C626,(INT(AB626/B626)+(((AB626-B626*INT(AB626/B626)))/C626)/100))),0,(IF(B626=C626,AB626/C626,(INT(AB626/B626)+(((AB626-B626*INT(AB626/B626)))/C626)/100))))</f>
        <v>0</v>
      </c>
      <c r="BN626" s="57">
        <f>IF(ISERROR(IF(B626=C626,AC626/C626,(INT(AC626/B626)+(((AC626-B626*INT(AC626/B626)))/C626)/100))),0,(IF(B626=C626,AC626/C626,(INT(AC626/B626)+(((AC626-B626*INT(AC626/B626)))/C626)/100))))</f>
        <v>0</v>
      </c>
      <c r="BO626" s="57">
        <f>IF(ISERROR(IF(B626=C626,AD626/C626,(INT(AD626/B626)+(((AD626-B626*INT(AD626/B626)))/C626)/100))),0,(IF(B626=C626,AD626/C626,(INT(AD626/B626)+(((AD626-B626*INT(AD626/B626)))/C626)/100))))</f>
        <v>0</v>
      </c>
      <c r="BQ626" s="155"/>
    </row>
    <row r="627" spans="1:69" hidden="1" x14ac:dyDescent="0.35">
      <c r="A627" s="94"/>
      <c r="B627" s="113">
        <v>0</v>
      </c>
      <c r="C627" s="113">
        <v>250</v>
      </c>
      <c r="D627" s="28">
        <f>SUM(AA627:AD627)</f>
        <v>0</v>
      </c>
      <c r="E627" s="113">
        <v>0</v>
      </c>
      <c r="F627" s="113">
        <v>0</v>
      </c>
      <c r="G627" s="28">
        <f>SUM(D627:F627)</f>
        <v>0</v>
      </c>
      <c r="H627" s="125">
        <v>0</v>
      </c>
      <c r="I627" s="113">
        <v>0</v>
      </c>
      <c r="J627" s="125">
        <v>0</v>
      </c>
      <c r="K627" s="113">
        <v>0</v>
      </c>
      <c r="L627" s="113">
        <v>0</v>
      </c>
      <c r="M627" s="113">
        <v>0</v>
      </c>
      <c r="N627" s="28">
        <f>G627-SUM(H627:M627)</f>
        <v>0</v>
      </c>
      <c r="O627" s="28">
        <f>SUM(V627:Y627)</f>
        <v>0</v>
      </c>
      <c r="P627" s="28">
        <f>O627-N627</f>
        <v>0</v>
      </c>
      <c r="Q627" s="61" t="str">
        <f>IF(ISERROR(P627/SUM(H627:L627)),"",P627/SUM(H627:L627))</f>
        <v/>
      </c>
      <c r="R627" s="113">
        <v>0</v>
      </c>
      <c r="S627" s="28">
        <f>IF(ISERROR(P627/C627*R627),0,(P627/C627*R627))</f>
        <v>0</v>
      </c>
      <c r="T627" s="60">
        <f>IF(ISERROR(P627/B627*AF627),0,(P627/B627*AF627))</f>
        <v>0</v>
      </c>
      <c r="V627" s="113">
        <v>0</v>
      </c>
      <c r="W627" s="113">
        <v>0</v>
      </c>
      <c r="X627" s="113">
        <v>0</v>
      </c>
      <c r="Y627" s="113">
        <v>0</v>
      </c>
      <c r="AA627" s="113">
        <v>0</v>
      </c>
      <c r="AB627" s="113">
        <v>0</v>
      </c>
      <c r="AC627" s="113">
        <v>0</v>
      </c>
      <c r="AD627" s="113">
        <v>0</v>
      </c>
      <c r="AF627" s="113">
        <v>0</v>
      </c>
      <c r="AG627" s="28">
        <f>G627-O627</f>
        <v>0</v>
      </c>
      <c r="AH627" s="58">
        <f>IF(ISERROR(AG627/B627*AF627),0,(AG627/B627*AF627))</f>
        <v>0</v>
      </c>
      <c r="AI627" s="28">
        <f>SUM(H627:M627)</f>
        <v>0</v>
      </c>
      <c r="AJ627" s="28">
        <f>IF(ISERROR(AI627/B627*AF627),0,(AI627/B627*AF627))</f>
        <v>0</v>
      </c>
      <c r="AK627" s="58">
        <f>IF(ISERROR(O627/B627*AF627),0,(O627/B627*AF627))</f>
        <v>0</v>
      </c>
      <c r="AL627" s="28">
        <f>IF(ISERROR(H627/B627*AF627),0,(H627/B627*AF627))</f>
        <v>0</v>
      </c>
      <c r="AN627" s="51">
        <f>A627</f>
        <v>0</v>
      </c>
      <c r="AO627" s="57">
        <f>IF(ISERROR(IF(B627=C627,D627/C627,(INT(D627/B627)+(((D627-B627*INT(D627/B627)))/C627)/100))),0,(IF(B627=C627,D627/C627,(INT(D627/B627)+(((D627-B627*INT(D627/B627)))/C627)/100))))</f>
        <v>0</v>
      </c>
      <c r="AP627" s="57">
        <f>IF(ISERROR(IF(B627=C627,E627/C627,(INT(E627/B627)+(((E627-B627*INT(E627/B627)))/C627)/100))),0,(IF(B627=C627,E627/C627,(INT(E627/B627)+(((E627-B627*INT(E627/B627)))/C627)/100))))</f>
        <v>0</v>
      </c>
      <c r="AQ627" s="57">
        <f>IF(ISERROR(IF(B627=C627,F627/C627,IF((INT(F627/B627)+(((F627-B627*INT(F627/B627)))/C627)/100)&lt;0,(INT(F627/B627)+(((F627-B627*INT(F627/B627)))/C627)/100)+(1-(B627/C627/100)),(INT(F627/B627)+(((F627-B627*INT(F627/B627)))/C627)/100)))),0,IF(B627=C627,F627/C627,IF((INT(F627/B627)+(((F627-B627*INT(F627/B627)))/C627)/100)&lt;0,(INT(F627/B627)+(((F627-B627*INT(F627/B627)))/C627)/100)+(1-(B627/C627/100)),(INT(F627/B627)+(((F627-B627*INT(F627/B627)))/C627)/100))))</f>
        <v>0</v>
      </c>
      <c r="AR627" s="57">
        <f>IF(ISERROR(IF(B627=C627,G627/C627,(INT(G627/B627)+(((G627-B627*INT(G627/B627)))/C627)/100))),0,(IF(B627=C627,G627/C627,(INT(G627/B627)+(((G627-B627*INT(G627/B627)))/C627)/100))))</f>
        <v>0</v>
      </c>
      <c r="AS627" s="57">
        <f>IF(ISERROR(IF(B627=C627,H627/C627,(INT(H627/B627)+(((H627-B627*INT(H627/B627)))/C627)/100))),0,(IF(B627=C627,H627/C627,(INT(H627/B627)+(((H627-B627*INT(H627/B627)))/C627)/100))))</f>
        <v>0</v>
      </c>
      <c r="AT627" s="57">
        <f>IF(ISERROR(IF(B627=C627,I627/C627,(INT(I627/B627)+(((I627-B627*INT(I627/B627)))/C627)/100))),0,(IF(B627=C627,I627/C627,(INT(I627/B627)+(((I627-B627*INT(I627/B627)))/C627)/100))))</f>
        <v>0</v>
      </c>
      <c r="AU627" s="57">
        <f>IF(ISERROR(IF(B627=C627,J627/C627,(INT(J627/B627)+(((J627-B627*INT(J627/B627)))/C627)/100))),0,(IF(B627=C627,J627/C627,(INT(J627/B627)+(((J627-B627*INT(J627/B627)))/C627)/100))))</f>
        <v>0</v>
      </c>
      <c r="AV627" s="57">
        <f>IF(ISERROR(IF(B627=C627,K627/C627,IF((INT(K627/B627)+(((K627-B627*INT(K627/B627)))/C627)/100)&lt;0,(INT(K627/B627)+(((K627-B627*INT(K627/B627)))/C627)/100)+(1-(B627/C627/100)),(INT(K627/B627)+(((K627-B627*INT(K627/B627)))/C627)/100)))),0,IF(B627=C627,K627/C627,IF((INT(K627/B627)+(((K627-B627*INT(K627/B627)))/C627)/100)&lt;0,(INT(K627/B627)+(((K627-B627*INT(K627/B627)))/C627)/100)+(1-(B627/C627/100)),(INT(K627/B627)+(((K627-B627*INT(K627/B627)))/C627)/100))))</f>
        <v>0</v>
      </c>
      <c r="AW627" s="57">
        <f>IF(ISERROR(IF(B627=C627,L627/C627,(INT(L627/B627)+(((L627-B627*INT(L627/B627)))/C627)/100))),0,(IF(B627=C627,L627/C627,(INT(L627/B627)+(((L627-B627*INT(L627/B627)))/C627)/100))))</f>
        <v>0</v>
      </c>
      <c r="AX627" s="57">
        <f>IF(ISERROR(IF(B627=C627,M627/C627,(INT(M627/B627)+(((M627-B627*INT(M627/B627)))/C627)/100))),0,(IF(B627=C627,M627/C627,(INT(M627/B627)+(((M627-B627*INT(M627/B627)))/C627)/100))))</f>
        <v>0</v>
      </c>
      <c r="AY627" s="57">
        <f>IF(ISERROR(IF(B627=C627,N627/C627,IF((INT(N627/B627)+(((N627-B627*INT(N627/B627)))/C627)/100)&lt;0,(INT(N627/B627)+(((N627-B627*INT(N627/B627)))/C627)/100)+(1-(B627/C627/100)),(INT(N627/B627)+(((N627-B627*INT(N627/B627)))/C627)/100)))),0,IF(B627=C627,N627/C627,IF((INT(N627/B627)+(((N627-B627*INT(N627/B627)))/C627)/100)&lt;0,(INT(N627/B627)+(((N627-B627*INT(N627/B627)))/C627)/100)+(1-(B627/C627/100)),(INT(N627/B627)+(((N627-B627*INT(N627/B627)))/C627)/100))))</f>
        <v>0</v>
      </c>
      <c r="AZ627" s="57">
        <f>IF(ISERROR(IF(B627=C627,O627/C627,(INT(O627/B627)+(((O627-B627*INT(O627/B627)))/C627)/100))),0,(IF(B627=C627,O627/C627,(INT(O627/B627)+(((O627-B627*INT(O627/B627)))/C627)/100))))</f>
        <v>0</v>
      </c>
      <c r="BA627" s="57">
        <f>IF(ISERROR(IF(B627=C627,P627/C627,IF((INT(P627/B627)+(((P627-B627*INT(P627/B627)))/C627)/100)&lt;0,(INT(P627/B627)+(((P627-B627*INT(P627/B627)))/C627)/100)+(1-(B627/C627/100)),(INT(P627/B627)+(((P627-B627*INT(P627/B627)))/C627)/100)))),0,IF(B627=C627,P627/C627,IF((INT(P627/B627)+(((P627-B627*INT(P627/B627)))/C627)/100)&lt;0,(INT(P627/B627)+(((P627-B627*INT(P627/B627)))/C627)/100)+(1-(B627/C627/100)),(INT(P627/B627)+(((P627-B627*INT(P627/B627)))/C627)/100))))</f>
        <v>0</v>
      </c>
      <c r="BB627" s="28">
        <f>R627</f>
        <v>0</v>
      </c>
      <c r="BC627" s="28">
        <f>S627</f>
        <v>0</v>
      </c>
      <c r="BD627" s="28">
        <f>AF627</f>
        <v>0</v>
      </c>
      <c r="BE627" s="28">
        <f>T627</f>
        <v>0</v>
      </c>
      <c r="BG627" s="57">
        <f>IF(ISERROR(IF(B627=C627,V627/C627,(INT(V627/B627)+(((V627-B627*INT(V627/B627)))/C627)/100))),0,(IF(B627=C627,V627/C627,(INT(V627/B627)+(((V627-B627*INT(V627/B627)))/C627)/100))))</f>
        <v>0</v>
      </c>
      <c r="BH627" s="57">
        <f>IF(ISERROR(IF(B627=C627,W627/C627,(INT(W627/B627)+(((W627-B627*INT(W627/B627)))/C627)/100))),0,(IF(B627=C627,W627/C627,(INT(W627/B627)+(((W627-B627*INT(W627/B627)))/C627)/100))))</f>
        <v>0</v>
      </c>
      <c r="BI627" s="57">
        <f>IF(ISERROR(IF(B627=C627,X627/C627,(INT(X627/B627)+(((X627-B627*INT(X627/B627)))/C627)/100))),0,(IF(B627=C627,X627/C627,(INT(X627/B627)+(((X627-B627*INT(X627/B627)))/C627)/100))))</f>
        <v>0</v>
      </c>
      <c r="BJ627" s="57">
        <f>IF(ISERROR(IF(B627=C627,Y627/C627,(INT(Y627/B627)+(((Y627-B627*INT(Y627/B627)))/C627)/100))),0,(IF(B627=C627,Y627/C627,(INT(Y627/B627)+(((Y627-B627*INT(Y627/B627)))/C627)/100))))</f>
        <v>0</v>
      </c>
      <c r="BL627" s="57">
        <f>IF(ISERROR(IF(B627=C627,AA627/C627,(INT(AA627/B627)+(((AA627-B627*INT(AA627/B627)))/C627)/100))),0,(IF(B627=C627,AA627/C627,(INT(AA627/B627)+(((AA627-B627*INT(AA627/B627)))/C627)/100))))</f>
        <v>0</v>
      </c>
      <c r="BM627" s="57">
        <f>IF(ISERROR(IF(B627=C627,AB627/C627,(INT(AB627/B627)+(((AB627-B627*INT(AB627/B627)))/C627)/100))),0,(IF(B627=C627,AB627/C627,(INT(AB627/B627)+(((AB627-B627*INT(AB627/B627)))/C627)/100))))</f>
        <v>0</v>
      </c>
      <c r="BN627" s="57">
        <f>IF(ISERROR(IF(B627=C627,AC627/C627,(INT(AC627/B627)+(((AC627-B627*INT(AC627/B627)))/C627)/100))),0,(IF(B627=C627,AC627/C627,(INT(AC627/B627)+(((AC627-B627*INT(AC627/B627)))/C627)/100))))</f>
        <v>0</v>
      </c>
      <c r="BO627" s="57">
        <f>IF(ISERROR(IF(B627=C627,AD627/C627,(INT(AD627/B627)+(((AD627-B627*INT(AD627/B627)))/C627)/100))),0,(IF(B627=C627,AD627/C627,(INT(AD627/B627)+(((AD627-B627*INT(AD627/B627)))/C627)/100))))</f>
        <v>0</v>
      </c>
      <c r="BQ627" s="155"/>
    </row>
    <row r="628" spans="1:69" hidden="1" x14ac:dyDescent="0.35">
      <c r="A628" s="94"/>
      <c r="B628" s="113">
        <v>0</v>
      </c>
      <c r="C628" s="113">
        <v>250</v>
      </c>
      <c r="D628" s="28">
        <f>SUM(AA628:AD628)</f>
        <v>0</v>
      </c>
      <c r="E628" s="113">
        <v>0</v>
      </c>
      <c r="F628" s="113">
        <v>0</v>
      </c>
      <c r="G628" s="28">
        <f>SUM(D628:F628)</f>
        <v>0</v>
      </c>
      <c r="H628" s="125">
        <v>0</v>
      </c>
      <c r="I628" s="113">
        <v>0</v>
      </c>
      <c r="J628" s="125">
        <v>0</v>
      </c>
      <c r="K628" s="113">
        <v>0</v>
      </c>
      <c r="L628" s="113">
        <v>0</v>
      </c>
      <c r="M628" s="113">
        <v>0</v>
      </c>
      <c r="N628" s="28">
        <f>G628-SUM(H628:M628)</f>
        <v>0</v>
      </c>
      <c r="O628" s="28">
        <f>SUM(V628:Y628)</f>
        <v>0</v>
      </c>
      <c r="P628" s="28">
        <f>O628-N628</f>
        <v>0</v>
      </c>
      <c r="Q628" s="61" t="str">
        <f>IF(ISERROR(P628/SUM(H628:L628)),"",P628/SUM(H628:L628))</f>
        <v/>
      </c>
      <c r="R628" s="113">
        <v>0</v>
      </c>
      <c r="S628" s="28">
        <f>IF(ISERROR(P628/C628*R628),0,(P628/C628*R628))</f>
        <v>0</v>
      </c>
      <c r="T628" s="60">
        <f>IF(ISERROR(P628/B628*AF628),0,(P628/B628*AF628))</f>
        <v>0</v>
      </c>
      <c r="V628" s="113">
        <v>0</v>
      </c>
      <c r="W628" s="113">
        <v>0</v>
      </c>
      <c r="X628" s="113">
        <v>0</v>
      </c>
      <c r="Y628" s="113">
        <v>0</v>
      </c>
      <c r="AA628" s="113">
        <v>0</v>
      </c>
      <c r="AB628" s="113">
        <v>0</v>
      </c>
      <c r="AC628" s="113">
        <v>0</v>
      </c>
      <c r="AD628" s="113">
        <v>0</v>
      </c>
      <c r="AF628" s="113">
        <v>0</v>
      </c>
      <c r="AG628" s="28">
        <f>G628-O628</f>
        <v>0</v>
      </c>
      <c r="AH628" s="58">
        <f>IF(ISERROR(AG628/B628*AF628),0,(AG628/B628*AF628))</f>
        <v>0</v>
      </c>
      <c r="AI628" s="28">
        <f>SUM(H628:M628)</f>
        <v>0</v>
      </c>
      <c r="AJ628" s="28">
        <f>IF(ISERROR(AI628/B628*AF628),0,(AI628/B628*AF628))</f>
        <v>0</v>
      </c>
      <c r="AK628" s="58">
        <f>IF(ISERROR(O628/B628*AF628),0,(O628/B628*AF628))</f>
        <v>0</v>
      </c>
      <c r="AL628" s="28">
        <f>IF(ISERROR(H628/B628*AF628),0,(H628/B628*AF628))</f>
        <v>0</v>
      </c>
      <c r="AN628" s="51">
        <f>A628</f>
        <v>0</v>
      </c>
      <c r="AO628" s="57">
        <f>IF(ISERROR(IF(B628=C628,D628/C628,(INT(D628/B628)+(((D628-B628*INT(D628/B628)))/C628)/100))),0,(IF(B628=C628,D628/C628,(INT(D628/B628)+(((D628-B628*INT(D628/B628)))/C628)/100))))</f>
        <v>0</v>
      </c>
      <c r="AP628" s="57">
        <f>IF(ISERROR(IF(B628=C628,E628/C628,(INT(E628/B628)+(((E628-B628*INT(E628/B628)))/C628)/100))),0,(IF(B628=C628,E628/C628,(INT(E628/B628)+(((E628-B628*INT(E628/B628)))/C628)/100))))</f>
        <v>0</v>
      </c>
      <c r="AQ628" s="57">
        <f>IF(ISERROR(IF(B628=C628,F628/C628,IF((INT(F628/B628)+(((F628-B628*INT(F628/B628)))/C628)/100)&lt;0,(INT(F628/B628)+(((F628-B628*INT(F628/B628)))/C628)/100)+(1-(B628/C628/100)),(INT(F628/B628)+(((F628-B628*INT(F628/B628)))/C628)/100)))),0,IF(B628=C628,F628/C628,IF((INT(F628/B628)+(((F628-B628*INT(F628/B628)))/C628)/100)&lt;0,(INT(F628/B628)+(((F628-B628*INT(F628/B628)))/C628)/100)+(1-(B628/C628/100)),(INT(F628/B628)+(((F628-B628*INT(F628/B628)))/C628)/100))))</f>
        <v>0</v>
      </c>
      <c r="AR628" s="57">
        <f>IF(ISERROR(IF(B628=C628,G628/C628,(INT(G628/B628)+(((G628-B628*INT(G628/B628)))/C628)/100))),0,(IF(B628=C628,G628/C628,(INT(G628/B628)+(((G628-B628*INT(G628/B628)))/C628)/100))))</f>
        <v>0</v>
      </c>
      <c r="AS628" s="57">
        <f>IF(ISERROR(IF(B628=C628,H628/C628,(INT(H628/B628)+(((H628-B628*INT(H628/B628)))/C628)/100))),0,(IF(B628=C628,H628/C628,(INT(H628/B628)+(((H628-B628*INT(H628/B628)))/C628)/100))))</f>
        <v>0</v>
      </c>
      <c r="AT628" s="57">
        <f>IF(ISERROR(IF(B628=C628,I628/C628,(INT(I628/B628)+(((I628-B628*INT(I628/B628)))/C628)/100))),0,(IF(B628=C628,I628/C628,(INT(I628/B628)+(((I628-B628*INT(I628/B628)))/C628)/100))))</f>
        <v>0</v>
      </c>
      <c r="AU628" s="57">
        <f>IF(ISERROR(IF(B628=C628,J628/C628,(INT(J628/B628)+(((J628-B628*INT(J628/B628)))/C628)/100))),0,(IF(B628=C628,J628/C628,(INT(J628/B628)+(((J628-B628*INT(J628/B628)))/C628)/100))))</f>
        <v>0</v>
      </c>
      <c r="AV628" s="57">
        <f>IF(ISERROR(IF(B628=C628,K628/C628,IF((INT(K628/B628)+(((K628-B628*INT(K628/B628)))/C628)/100)&lt;0,(INT(K628/B628)+(((K628-B628*INT(K628/B628)))/C628)/100)+(1-(B628/C628/100)),(INT(K628/B628)+(((K628-B628*INT(K628/B628)))/C628)/100)))),0,IF(B628=C628,K628/C628,IF((INT(K628/B628)+(((K628-B628*INT(K628/B628)))/C628)/100)&lt;0,(INT(K628/B628)+(((K628-B628*INT(K628/B628)))/C628)/100)+(1-(B628/C628/100)),(INT(K628/B628)+(((K628-B628*INT(K628/B628)))/C628)/100))))</f>
        <v>0</v>
      </c>
      <c r="AW628" s="57">
        <f>IF(ISERROR(IF(B628=C628,L628/C628,(INT(L628/B628)+(((L628-B628*INT(L628/B628)))/C628)/100))),0,(IF(B628=C628,L628/C628,(INT(L628/B628)+(((L628-B628*INT(L628/B628)))/C628)/100))))</f>
        <v>0</v>
      </c>
      <c r="AX628" s="57">
        <f>IF(ISERROR(IF(B628=C628,M628/C628,(INT(M628/B628)+(((M628-B628*INT(M628/B628)))/C628)/100))),0,(IF(B628=C628,M628/C628,(INT(M628/B628)+(((M628-B628*INT(M628/B628)))/C628)/100))))</f>
        <v>0</v>
      </c>
      <c r="AY628" s="57">
        <f>IF(ISERROR(IF(B628=C628,N628/C628,IF((INT(N628/B628)+(((N628-B628*INT(N628/B628)))/C628)/100)&lt;0,(INT(N628/B628)+(((N628-B628*INT(N628/B628)))/C628)/100)+(1-(B628/C628/100)),(INT(N628/B628)+(((N628-B628*INT(N628/B628)))/C628)/100)))),0,IF(B628=C628,N628/C628,IF((INT(N628/B628)+(((N628-B628*INT(N628/B628)))/C628)/100)&lt;0,(INT(N628/B628)+(((N628-B628*INT(N628/B628)))/C628)/100)+(1-(B628/C628/100)),(INT(N628/B628)+(((N628-B628*INT(N628/B628)))/C628)/100))))</f>
        <v>0</v>
      </c>
      <c r="AZ628" s="57">
        <f>IF(ISERROR(IF(B628=C628,O628/C628,(INT(O628/B628)+(((O628-B628*INT(O628/B628)))/C628)/100))),0,(IF(B628=C628,O628/C628,(INT(O628/B628)+(((O628-B628*INT(O628/B628)))/C628)/100))))</f>
        <v>0</v>
      </c>
      <c r="BA628" s="57">
        <f>IF(ISERROR(IF(B628=C628,P628/C628,IF((INT(P628/B628)+(((P628-B628*INT(P628/B628)))/C628)/100)&lt;0,(INT(P628/B628)+(((P628-B628*INT(P628/B628)))/C628)/100)+(1-(B628/C628/100)),(INT(P628/B628)+(((P628-B628*INT(P628/B628)))/C628)/100)))),0,IF(B628=C628,P628/C628,IF((INT(P628/B628)+(((P628-B628*INT(P628/B628)))/C628)/100)&lt;0,(INT(P628/B628)+(((P628-B628*INT(P628/B628)))/C628)/100)+(1-(B628/C628/100)),(INT(P628/B628)+(((P628-B628*INT(P628/B628)))/C628)/100))))</f>
        <v>0</v>
      </c>
      <c r="BB628" s="28">
        <f>R628</f>
        <v>0</v>
      </c>
      <c r="BC628" s="28">
        <f>S628</f>
        <v>0</v>
      </c>
      <c r="BD628" s="28">
        <f>AF628</f>
        <v>0</v>
      </c>
      <c r="BE628" s="28">
        <f>T628</f>
        <v>0</v>
      </c>
      <c r="BG628" s="57">
        <f>IF(ISERROR(IF(B628=C628,V628/C628,(INT(V628/B628)+(((V628-B628*INT(V628/B628)))/C628)/100))),0,(IF(B628=C628,V628/C628,(INT(V628/B628)+(((V628-B628*INT(V628/B628)))/C628)/100))))</f>
        <v>0</v>
      </c>
      <c r="BH628" s="57">
        <f>IF(ISERROR(IF(B628=C628,W628/C628,(INT(W628/B628)+(((W628-B628*INT(W628/B628)))/C628)/100))),0,(IF(B628=C628,W628/C628,(INT(W628/B628)+(((W628-B628*INT(W628/B628)))/C628)/100))))</f>
        <v>0</v>
      </c>
      <c r="BI628" s="57">
        <f>IF(ISERROR(IF(B628=C628,X628/C628,(INT(X628/B628)+(((X628-B628*INT(X628/B628)))/C628)/100))),0,(IF(B628=C628,X628/C628,(INT(X628/B628)+(((X628-B628*INT(X628/B628)))/C628)/100))))</f>
        <v>0</v>
      </c>
      <c r="BJ628" s="57">
        <f>IF(ISERROR(IF(B628=C628,Y628/C628,(INT(Y628/B628)+(((Y628-B628*INT(Y628/B628)))/C628)/100))),0,(IF(B628=C628,Y628/C628,(INT(Y628/B628)+(((Y628-B628*INT(Y628/B628)))/C628)/100))))</f>
        <v>0</v>
      </c>
      <c r="BL628" s="57">
        <f>IF(ISERROR(IF(B628=C628,AA628/C628,(INT(AA628/B628)+(((AA628-B628*INT(AA628/B628)))/C628)/100))),0,(IF(B628=C628,AA628/C628,(INT(AA628/B628)+(((AA628-B628*INT(AA628/B628)))/C628)/100))))</f>
        <v>0</v>
      </c>
      <c r="BM628" s="57">
        <f>IF(ISERROR(IF(B628=C628,AB628/C628,(INT(AB628/B628)+(((AB628-B628*INT(AB628/B628)))/C628)/100))),0,(IF(B628=C628,AB628/C628,(INT(AB628/B628)+(((AB628-B628*INT(AB628/B628)))/C628)/100))))</f>
        <v>0</v>
      </c>
      <c r="BN628" s="57">
        <f>IF(ISERROR(IF(B628=C628,AC628/C628,(INT(AC628/B628)+(((AC628-B628*INT(AC628/B628)))/C628)/100))),0,(IF(B628=C628,AC628/C628,(INT(AC628/B628)+(((AC628-B628*INT(AC628/B628)))/C628)/100))))</f>
        <v>0</v>
      </c>
      <c r="BO628" s="57">
        <f>IF(ISERROR(IF(B628=C628,AD628/C628,(INT(AD628/B628)+(((AD628-B628*INT(AD628/B628)))/C628)/100))),0,(IF(B628=C628,AD628/C628,(INT(AD628/B628)+(((AD628-B628*INT(AD628/B628)))/C628)/100))))</f>
        <v>0</v>
      </c>
      <c r="BQ628" s="155"/>
    </row>
    <row r="629" spans="1:69" hidden="1" x14ac:dyDescent="0.35">
      <c r="A629" s="94"/>
      <c r="B629" s="113">
        <v>0</v>
      </c>
      <c r="C629" s="113">
        <v>250</v>
      </c>
      <c r="D629" s="28">
        <f>SUM(AA629:AD629)</f>
        <v>0</v>
      </c>
      <c r="E629" s="113">
        <v>0</v>
      </c>
      <c r="F629" s="113">
        <v>0</v>
      </c>
      <c r="G629" s="28">
        <f>SUM(D629:F629)</f>
        <v>0</v>
      </c>
      <c r="H629" s="125">
        <v>0</v>
      </c>
      <c r="I629" s="113">
        <v>0</v>
      </c>
      <c r="J629" s="125">
        <v>0</v>
      </c>
      <c r="K629" s="113">
        <v>0</v>
      </c>
      <c r="L629" s="113">
        <v>0</v>
      </c>
      <c r="M629" s="113">
        <v>0</v>
      </c>
      <c r="N629" s="28">
        <f>G629-SUM(H629:M629)</f>
        <v>0</v>
      </c>
      <c r="O629" s="28">
        <f>SUM(V629:Y629)</f>
        <v>0</v>
      </c>
      <c r="P629" s="28">
        <f>O629-N629</f>
        <v>0</v>
      </c>
      <c r="Q629" s="61" t="str">
        <f>IF(ISERROR(P629/SUM(H629:L629)),"",P629/SUM(H629:L629))</f>
        <v/>
      </c>
      <c r="R629" s="113">
        <v>0</v>
      </c>
      <c r="S629" s="28">
        <f>IF(ISERROR(P629/C629*R629),0,(P629/C629*R629))</f>
        <v>0</v>
      </c>
      <c r="T629" s="60">
        <f>IF(ISERROR(P629/B629*AF629),0,(P629/B629*AF629))</f>
        <v>0</v>
      </c>
      <c r="V629" s="113">
        <v>0</v>
      </c>
      <c r="W629" s="113">
        <v>0</v>
      </c>
      <c r="X629" s="113">
        <v>0</v>
      </c>
      <c r="Y629" s="113">
        <v>0</v>
      </c>
      <c r="AA629" s="113">
        <v>0</v>
      </c>
      <c r="AB629" s="113">
        <v>0</v>
      </c>
      <c r="AC629" s="113">
        <v>0</v>
      </c>
      <c r="AD629" s="113">
        <v>0</v>
      </c>
      <c r="AF629" s="113">
        <v>0</v>
      </c>
      <c r="AG629" s="28">
        <f>G629-O629</f>
        <v>0</v>
      </c>
      <c r="AH629" s="58">
        <f>IF(ISERROR(AG629/B629*AF629),0,(AG629/B629*AF629))</f>
        <v>0</v>
      </c>
      <c r="AI629" s="28">
        <f>SUM(H629:M629)</f>
        <v>0</v>
      </c>
      <c r="AJ629" s="28">
        <f>IF(ISERROR(AI629/B629*AF629),0,(AI629/B629*AF629))</f>
        <v>0</v>
      </c>
      <c r="AK629" s="58">
        <f>IF(ISERROR(O629/B629*AF629),0,(O629/B629*AF629))</f>
        <v>0</v>
      </c>
      <c r="AL629" s="28">
        <f>IF(ISERROR(H629/B629*AF629),0,(H629/B629*AF629))</f>
        <v>0</v>
      </c>
      <c r="AN629" s="51">
        <f>A629</f>
        <v>0</v>
      </c>
      <c r="AO629" s="57">
        <f>IF(ISERROR(IF(B629=C629,D629/C629,(INT(D629/B629)+(((D629-B629*INT(D629/B629)))/C629)/100))),0,(IF(B629=C629,D629/C629,(INT(D629/B629)+(((D629-B629*INT(D629/B629)))/C629)/100))))</f>
        <v>0</v>
      </c>
      <c r="AP629" s="57">
        <f>IF(ISERROR(IF(B629=C629,E629/C629,(INT(E629/B629)+(((E629-B629*INT(E629/B629)))/C629)/100))),0,(IF(B629=C629,E629/C629,(INT(E629/B629)+(((E629-B629*INT(E629/B629)))/C629)/100))))</f>
        <v>0</v>
      </c>
      <c r="AQ629" s="57">
        <f>IF(ISERROR(IF(B629=C629,F629/C629,IF((INT(F629/B629)+(((F629-B629*INT(F629/B629)))/C629)/100)&lt;0,(INT(F629/B629)+(((F629-B629*INT(F629/B629)))/C629)/100)+(1-(B629/C629/100)),(INT(F629/B629)+(((F629-B629*INT(F629/B629)))/C629)/100)))),0,IF(B629=C629,F629/C629,IF((INT(F629/B629)+(((F629-B629*INT(F629/B629)))/C629)/100)&lt;0,(INT(F629/B629)+(((F629-B629*INT(F629/B629)))/C629)/100)+(1-(B629/C629/100)),(INT(F629/B629)+(((F629-B629*INT(F629/B629)))/C629)/100))))</f>
        <v>0</v>
      </c>
      <c r="AR629" s="57">
        <f>IF(ISERROR(IF(B629=C629,G629/C629,(INT(G629/B629)+(((G629-B629*INT(G629/B629)))/C629)/100))),0,(IF(B629=C629,G629/C629,(INT(G629/B629)+(((G629-B629*INT(G629/B629)))/C629)/100))))</f>
        <v>0</v>
      </c>
      <c r="AS629" s="57">
        <f>IF(ISERROR(IF(B629=C629,H629/C629,(INT(H629/B629)+(((H629-B629*INT(H629/B629)))/C629)/100))),0,(IF(B629=C629,H629/C629,(INT(H629/B629)+(((H629-B629*INT(H629/B629)))/C629)/100))))</f>
        <v>0</v>
      </c>
      <c r="AT629" s="57">
        <f>IF(ISERROR(IF(B629=C629,I629/C629,(INT(I629/B629)+(((I629-B629*INT(I629/B629)))/C629)/100))),0,(IF(B629=C629,I629/C629,(INT(I629/B629)+(((I629-B629*INT(I629/B629)))/C629)/100))))</f>
        <v>0</v>
      </c>
      <c r="AU629" s="57">
        <f>IF(ISERROR(IF(B629=C629,J629/C629,(INT(J629/B629)+(((J629-B629*INT(J629/B629)))/C629)/100))),0,(IF(B629=C629,J629/C629,(INT(J629/B629)+(((J629-B629*INT(J629/B629)))/C629)/100))))</f>
        <v>0</v>
      </c>
      <c r="AV629" s="57">
        <f>IF(ISERROR(IF(B629=C629,K629/C629,IF((INT(K629/B629)+(((K629-B629*INT(K629/B629)))/C629)/100)&lt;0,(INT(K629/B629)+(((K629-B629*INT(K629/B629)))/C629)/100)+(1-(B629/C629/100)),(INT(K629/B629)+(((K629-B629*INT(K629/B629)))/C629)/100)))),0,IF(B629=C629,K629/C629,IF((INT(K629/B629)+(((K629-B629*INT(K629/B629)))/C629)/100)&lt;0,(INT(K629/B629)+(((K629-B629*INT(K629/B629)))/C629)/100)+(1-(B629/C629/100)),(INT(K629/B629)+(((K629-B629*INT(K629/B629)))/C629)/100))))</f>
        <v>0</v>
      </c>
      <c r="AW629" s="57">
        <f>IF(ISERROR(IF(B629=C629,L629/C629,(INT(L629/B629)+(((L629-B629*INT(L629/B629)))/C629)/100))),0,(IF(B629=C629,L629/C629,(INT(L629/B629)+(((L629-B629*INT(L629/B629)))/C629)/100))))</f>
        <v>0</v>
      </c>
      <c r="AX629" s="57">
        <f>IF(ISERROR(IF(B629=C629,M629/C629,(INT(M629/B629)+(((M629-B629*INT(M629/B629)))/C629)/100))),0,(IF(B629=C629,M629/C629,(INT(M629/B629)+(((M629-B629*INT(M629/B629)))/C629)/100))))</f>
        <v>0</v>
      </c>
      <c r="AY629" s="57">
        <f>IF(ISERROR(IF(B629=C629,N629/C629,IF((INT(N629/B629)+(((N629-B629*INT(N629/B629)))/C629)/100)&lt;0,(INT(N629/B629)+(((N629-B629*INT(N629/B629)))/C629)/100)+(1-(B629/C629/100)),(INT(N629/B629)+(((N629-B629*INT(N629/B629)))/C629)/100)))),0,IF(B629=C629,N629/C629,IF((INT(N629/B629)+(((N629-B629*INT(N629/B629)))/C629)/100)&lt;0,(INT(N629/B629)+(((N629-B629*INT(N629/B629)))/C629)/100)+(1-(B629/C629/100)),(INT(N629/B629)+(((N629-B629*INT(N629/B629)))/C629)/100))))</f>
        <v>0</v>
      </c>
      <c r="AZ629" s="57">
        <f>IF(ISERROR(IF(B629=C629,O629/C629,(INT(O629/B629)+(((O629-B629*INT(O629/B629)))/C629)/100))),0,(IF(B629=C629,O629/C629,(INT(O629/B629)+(((O629-B629*INT(O629/B629)))/C629)/100))))</f>
        <v>0</v>
      </c>
      <c r="BA629" s="57">
        <f>IF(ISERROR(IF(B629=C629,P629/C629,IF((INT(P629/B629)+(((P629-B629*INT(P629/B629)))/C629)/100)&lt;0,(INT(P629/B629)+(((P629-B629*INT(P629/B629)))/C629)/100)+(1-(B629/C629/100)),(INT(P629/B629)+(((P629-B629*INT(P629/B629)))/C629)/100)))),0,IF(B629=C629,P629/C629,IF((INT(P629/B629)+(((P629-B629*INT(P629/B629)))/C629)/100)&lt;0,(INT(P629/B629)+(((P629-B629*INT(P629/B629)))/C629)/100)+(1-(B629/C629/100)),(INT(P629/B629)+(((P629-B629*INT(P629/B629)))/C629)/100))))</f>
        <v>0</v>
      </c>
      <c r="BB629" s="28">
        <f>R629</f>
        <v>0</v>
      </c>
      <c r="BC629" s="28">
        <f>S629</f>
        <v>0</v>
      </c>
      <c r="BD629" s="28">
        <f>AF629</f>
        <v>0</v>
      </c>
      <c r="BE629" s="28">
        <f>T629</f>
        <v>0</v>
      </c>
      <c r="BG629" s="57">
        <f>IF(ISERROR(IF(B629=C629,V629/C629,(INT(V629/B629)+(((V629-B629*INT(V629/B629)))/C629)/100))),0,(IF(B629=C629,V629/C629,(INT(V629/B629)+(((V629-B629*INT(V629/B629)))/C629)/100))))</f>
        <v>0</v>
      </c>
      <c r="BH629" s="57">
        <f>IF(ISERROR(IF(B629=C629,W629/C629,(INT(W629/B629)+(((W629-B629*INT(W629/B629)))/C629)/100))),0,(IF(B629=C629,W629/C629,(INT(W629/B629)+(((W629-B629*INT(W629/B629)))/C629)/100))))</f>
        <v>0</v>
      </c>
      <c r="BI629" s="57">
        <f>IF(ISERROR(IF(B629=C629,X629/C629,(INT(X629/B629)+(((X629-B629*INT(X629/B629)))/C629)/100))),0,(IF(B629=C629,X629/C629,(INT(X629/B629)+(((X629-B629*INT(X629/B629)))/C629)/100))))</f>
        <v>0</v>
      </c>
      <c r="BJ629" s="57">
        <f>IF(ISERROR(IF(B629=C629,Y629/C629,(INT(Y629/B629)+(((Y629-B629*INT(Y629/B629)))/C629)/100))),0,(IF(B629=C629,Y629/C629,(INT(Y629/B629)+(((Y629-B629*INT(Y629/B629)))/C629)/100))))</f>
        <v>0</v>
      </c>
      <c r="BL629" s="57">
        <f>IF(ISERROR(IF(B629=C629,AA629/C629,(INT(AA629/B629)+(((AA629-B629*INT(AA629/B629)))/C629)/100))),0,(IF(B629=C629,AA629/C629,(INT(AA629/B629)+(((AA629-B629*INT(AA629/B629)))/C629)/100))))</f>
        <v>0</v>
      </c>
      <c r="BM629" s="57">
        <f>IF(ISERROR(IF(B629=C629,AB629/C629,(INT(AB629/B629)+(((AB629-B629*INT(AB629/B629)))/C629)/100))),0,(IF(B629=C629,AB629/C629,(INT(AB629/B629)+(((AB629-B629*INT(AB629/B629)))/C629)/100))))</f>
        <v>0</v>
      </c>
      <c r="BN629" s="57">
        <f>IF(ISERROR(IF(B629=C629,AC629/C629,(INT(AC629/B629)+(((AC629-B629*INT(AC629/B629)))/C629)/100))),0,(IF(B629=C629,AC629/C629,(INT(AC629/B629)+(((AC629-B629*INT(AC629/B629)))/C629)/100))))</f>
        <v>0</v>
      </c>
      <c r="BO629" s="57">
        <f>IF(ISERROR(IF(B629=C629,AD629/C629,(INT(AD629/B629)+(((AD629-B629*INT(AD629/B629)))/C629)/100))),0,(IF(B629=C629,AD629/C629,(INT(AD629/B629)+(((AD629-B629*INT(AD629/B629)))/C629)/100))))</f>
        <v>0</v>
      </c>
      <c r="BQ629" s="155"/>
    </row>
    <row r="630" spans="1:69" hidden="1" x14ac:dyDescent="0.35">
      <c r="A630" s="94"/>
      <c r="B630" s="113">
        <v>0</v>
      </c>
      <c r="C630" s="113">
        <v>250</v>
      </c>
      <c r="D630" s="28">
        <f>SUM(AA630:AD630)</f>
        <v>0</v>
      </c>
      <c r="E630" s="113">
        <v>0</v>
      </c>
      <c r="F630" s="113">
        <v>0</v>
      </c>
      <c r="G630" s="28">
        <f>SUM(D630:F630)</f>
        <v>0</v>
      </c>
      <c r="H630" s="125">
        <v>0</v>
      </c>
      <c r="I630" s="113">
        <v>0</v>
      </c>
      <c r="J630" s="125">
        <v>0</v>
      </c>
      <c r="K630" s="113">
        <v>0</v>
      </c>
      <c r="L630" s="113">
        <v>0</v>
      </c>
      <c r="M630" s="113">
        <v>0</v>
      </c>
      <c r="N630" s="28">
        <f>G630-SUM(H630:M630)</f>
        <v>0</v>
      </c>
      <c r="O630" s="28">
        <f>SUM(V630:Y630)</f>
        <v>0</v>
      </c>
      <c r="P630" s="28">
        <f>O630-N630</f>
        <v>0</v>
      </c>
      <c r="Q630" s="61" t="str">
        <f>IF(ISERROR(P630/SUM(H630:L630)),"",P630/SUM(H630:L630))</f>
        <v/>
      </c>
      <c r="R630" s="113">
        <v>0</v>
      </c>
      <c r="S630" s="28">
        <f>IF(ISERROR(P630/C630*R630),0,(P630/C630*R630))</f>
        <v>0</v>
      </c>
      <c r="T630" s="60">
        <f>IF(ISERROR(P630/B630*AF630),0,(P630/B630*AF630))</f>
        <v>0</v>
      </c>
      <c r="V630" s="113">
        <v>0</v>
      </c>
      <c r="W630" s="113">
        <v>0</v>
      </c>
      <c r="X630" s="113">
        <v>0</v>
      </c>
      <c r="Y630" s="113">
        <v>0</v>
      </c>
      <c r="AA630" s="113">
        <v>0</v>
      </c>
      <c r="AB630" s="113">
        <v>0</v>
      </c>
      <c r="AC630" s="113">
        <v>0</v>
      </c>
      <c r="AD630" s="113">
        <v>0</v>
      </c>
      <c r="AF630" s="113">
        <v>0</v>
      </c>
      <c r="AG630" s="28">
        <f>G630-O630</f>
        <v>0</v>
      </c>
      <c r="AH630" s="58">
        <f>IF(ISERROR(AG630/B630*AF630),0,(AG630/B630*AF630))</f>
        <v>0</v>
      </c>
      <c r="AI630" s="28">
        <f>SUM(H630:M630)</f>
        <v>0</v>
      </c>
      <c r="AJ630" s="28">
        <f>IF(ISERROR(AI630/B630*AF630),0,(AI630/B630*AF630))</f>
        <v>0</v>
      </c>
      <c r="AK630" s="58">
        <f>IF(ISERROR(O630/B630*AF630),0,(O630/B630*AF630))</f>
        <v>0</v>
      </c>
      <c r="AL630" s="28">
        <f>IF(ISERROR(H630/B630*AF630),0,(H630/B630*AF630))</f>
        <v>0</v>
      </c>
      <c r="AN630" s="51">
        <f>A630</f>
        <v>0</v>
      </c>
      <c r="AO630" s="57">
        <f>IF(ISERROR(IF(B630=C630,D630/C630,(INT(D630/B630)+(((D630-B630*INT(D630/B630)))/C630)/100))),0,(IF(B630=C630,D630/C630,(INT(D630/B630)+(((D630-B630*INT(D630/B630)))/C630)/100))))</f>
        <v>0</v>
      </c>
      <c r="AP630" s="57">
        <f>IF(ISERROR(IF(B630=C630,E630/C630,(INT(E630/B630)+(((E630-B630*INT(E630/B630)))/C630)/100))),0,(IF(B630=C630,E630/C630,(INT(E630/B630)+(((E630-B630*INT(E630/B630)))/C630)/100))))</f>
        <v>0</v>
      </c>
      <c r="AQ630" s="57">
        <f>IF(ISERROR(IF(B630=C630,F630/C630,IF((INT(F630/B630)+(((F630-B630*INT(F630/B630)))/C630)/100)&lt;0,(INT(F630/B630)+(((F630-B630*INT(F630/B630)))/C630)/100)+(1-(B630/C630/100)),(INT(F630/B630)+(((F630-B630*INT(F630/B630)))/C630)/100)))),0,IF(B630=C630,F630/C630,IF((INT(F630/B630)+(((F630-B630*INT(F630/B630)))/C630)/100)&lt;0,(INT(F630/B630)+(((F630-B630*INT(F630/B630)))/C630)/100)+(1-(B630/C630/100)),(INT(F630/B630)+(((F630-B630*INT(F630/B630)))/C630)/100))))</f>
        <v>0</v>
      </c>
      <c r="AR630" s="57">
        <f>IF(ISERROR(IF(B630=C630,G630/C630,(INT(G630/B630)+(((G630-B630*INT(G630/B630)))/C630)/100))),0,(IF(B630=C630,G630/C630,(INT(G630/B630)+(((G630-B630*INT(G630/B630)))/C630)/100))))</f>
        <v>0</v>
      </c>
      <c r="AS630" s="57">
        <f>IF(ISERROR(IF(B630=C630,H630/C630,(INT(H630/B630)+(((H630-B630*INT(H630/B630)))/C630)/100))),0,(IF(B630=C630,H630/C630,(INT(H630/B630)+(((H630-B630*INT(H630/B630)))/C630)/100))))</f>
        <v>0</v>
      </c>
      <c r="AT630" s="57">
        <f>IF(ISERROR(IF(B630=C630,I630/C630,(INT(I630/B630)+(((I630-B630*INT(I630/B630)))/C630)/100))),0,(IF(B630=C630,I630/C630,(INT(I630/B630)+(((I630-B630*INT(I630/B630)))/C630)/100))))</f>
        <v>0</v>
      </c>
      <c r="AU630" s="57">
        <f>IF(ISERROR(IF(B630=C630,J630/C630,(INT(J630/B630)+(((J630-B630*INT(J630/B630)))/C630)/100))),0,(IF(B630=C630,J630/C630,(INT(J630/B630)+(((J630-B630*INT(J630/B630)))/C630)/100))))</f>
        <v>0</v>
      </c>
      <c r="AV630" s="57">
        <f>IF(ISERROR(IF(B630=C630,K630/C630,IF((INT(K630/B630)+(((K630-B630*INT(K630/B630)))/C630)/100)&lt;0,(INT(K630/B630)+(((K630-B630*INT(K630/B630)))/C630)/100)+(1-(B630/C630/100)),(INT(K630/B630)+(((K630-B630*INT(K630/B630)))/C630)/100)))),0,IF(B630=C630,K630/C630,IF((INT(K630/B630)+(((K630-B630*INT(K630/B630)))/C630)/100)&lt;0,(INT(K630/B630)+(((K630-B630*INT(K630/B630)))/C630)/100)+(1-(B630/C630/100)),(INT(K630/B630)+(((K630-B630*INT(K630/B630)))/C630)/100))))</f>
        <v>0</v>
      </c>
      <c r="AW630" s="57">
        <f>IF(ISERROR(IF(B630=C630,L630/C630,(INT(L630/B630)+(((L630-B630*INT(L630/B630)))/C630)/100))),0,(IF(B630=C630,L630/C630,(INT(L630/B630)+(((L630-B630*INT(L630/B630)))/C630)/100))))</f>
        <v>0</v>
      </c>
      <c r="AX630" s="57">
        <f>IF(ISERROR(IF(B630=C630,M630/C630,(INT(M630/B630)+(((M630-B630*INT(M630/B630)))/C630)/100))),0,(IF(B630=C630,M630/C630,(INT(M630/B630)+(((M630-B630*INT(M630/B630)))/C630)/100))))</f>
        <v>0</v>
      </c>
      <c r="AY630" s="57">
        <f>IF(ISERROR(IF(B630=C630,N630/C630,IF((INT(N630/B630)+(((N630-B630*INT(N630/B630)))/C630)/100)&lt;0,(INT(N630/B630)+(((N630-B630*INT(N630/B630)))/C630)/100)+(1-(B630/C630/100)),(INT(N630/B630)+(((N630-B630*INT(N630/B630)))/C630)/100)))),0,IF(B630=C630,N630/C630,IF((INT(N630/B630)+(((N630-B630*INT(N630/B630)))/C630)/100)&lt;0,(INT(N630/B630)+(((N630-B630*INT(N630/B630)))/C630)/100)+(1-(B630/C630/100)),(INT(N630/B630)+(((N630-B630*INT(N630/B630)))/C630)/100))))</f>
        <v>0</v>
      </c>
      <c r="AZ630" s="57">
        <f>IF(ISERROR(IF(B630=C630,O630/C630,(INT(O630/B630)+(((O630-B630*INT(O630/B630)))/C630)/100))),0,(IF(B630=C630,O630/C630,(INT(O630/B630)+(((O630-B630*INT(O630/B630)))/C630)/100))))</f>
        <v>0</v>
      </c>
      <c r="BA630" s="57">
        <f>IF(ISERROR(IF(B630=C630,P630/C630,IF((INT(P630/B630)+(((P630-B630*INT(P630/B630)))/C630)/100)&lt;0,(INT(P630/B630)+(((P630-B630*INT(P630/B630)))/C630)/100)+(1-(B630/C630/100)),(INT(P630/B630)+(((P630-B630*INT(P630/B630)))/C630)/100)))),0,IF(B630=C630,P630/C630,IF((INT(P630/B630)+(((P630-B630*INT(P630/B630)))/C630)/100)&lt;0,(INT(P630/B630)+(((P630-B630*INT(P630/B630)))/C630)/100)+(1-(B630/C630/100)),(INT(P630/B630)+(((P630-B630*INT(P630/B630)))/C630)/100))))</f>
        <v>0</v>
      </c>
      <c r="BB630" s="28">
        <f>R630</f>
        <v>0</v>
      </c>
      <c r="BC630" s="28">
        <f>S630</f>
        <v>0</v>
      </c>
      <c r="BD630" s="28">
        <f>AF630</f>
        <v>0</v>
      </c>
      <c r="BE630" s="28">
        <f>T630</f>
        <v>0</v>
      </c>
      <c r="BG630" s="57">
        <f>IF(ISERROR(IF(B630=C630,V630/C630,(INT(V630/B630)+(((V630-B630*INT(V630/B630)))/C630)/100))),0,(IF(B630=C630,V630/C630,(INT(V630/B630)+(((V630-B630*INT(V630/B630)))/C630)/100))))</f>
        <v>0</v>
      </c>
      <c r="BH630" s="57">
        <f>IF(ISERROR(IF(B630=C630,W630/C630,(INT(W630/B630)+(((W630-B630*INT(W630/B630)))/C630)/100))),0,(IF(B630=C630,W630/C630,(INT(W630/B630)+(((W630-B630*INT(W630/B630)))/C630)/100))))</f>
        <v>0</v>
      </c>
      <c r="BI630" s="57">
        <f>IF(ISERROR(IF(B630=C630,X630/C630,(INT(X630/B630)+(((X630-B630*INT(X630/B630)))/C630)/100))),0,(IF(B630=C630,X630/C630,(INT(X630/B630)+(((X630-B630*INT(X630/B630)))/C630)/100))))</f>
        <v>0</v>
      </c>
      <c r="BJ630" s="57">
        <f>IF(ISERROR(IF(B630=C630,Y630/C630,(INT(Y630/B630)+(((Y630-B630*INT(Y630/B630)))/C630)/100))),0,(IF(B630=C630,Y630/C630,(INT(Y630/B630)+(((Y630-B630*INT(Y630/B630)))/C630)/100))))</f>
        <v>0</v>
      </c>
      <c r="BL630" s="57">
        <f>IF(ISERROR(IF(B630=C630,AA630/C630,(INT(AA630/B630)+(((AA630-B630*INT(AA630/B630)))/C630)/100))),0,(IF(B630=C630,AA630/C630,(INT(AA630/B630)+(((AA630-B630*INT(AA630/B630)))/C630)/100))))</f>
        <v>0</v>
      </c>
      <c r="BM630" s="57">
        <f>IF(ISERROR(IF(B630=C630,AB630/C630,(INT(AB630/B630)+(((AB630-B630*INT(AB630/B630)))/C630)/100))),0,(IF(B630=C630,AB630/C630,(INT(AB630/B630)+(((AB630-B630*INT(AB630/B630)))/C630)/100))))</f>
        <v>0</v>
      </c>
      <c r="BN630" s="57">
        <f>IF(ISERROR(IF(B630=C630,AC630/C630,(INT(AC630/B630)+(((AC630-B630*INT(AC630/B630)))/C630)/100))),0,(IF(B630=C630,AC630/C630,(INT(AC630/B630)+(((AC630-B630*INT(AC630/B630)))/C630)/100))))</f>
        <v>0</v>
      </c>
      <c r="BO630" s="57">
        <f>IF(ISERROR(IF(B630=C630,AD630/C630,(INT(AD630/B630)+(((AD630-B630*INT(AD630/B630)))/C630)/100))),0,(IF(B630=C630,AD630/C630,(INT(AD630/B630)+(((AD630-B630*INT(AD630/B630)))/C630)/100))))</f>
        <v>0</v>
      </c>
      <c r="BQ630" s="155"/>
    </row>
    <row r="631" spans="1:69" hidden="1" x14ac:dyDescent="0.35">
      <c r="A631" s="94"/>
      <c r="B631" s="113">
        <v>0</v>
      </c>
      <c r="C631" s="113">
        <v>250</v>
      </c>
      <c r="D631" s="28">
        <f>SUM(AA631:AD631)</f>
        <v>0</v>
      </c>
      <c r="E631" s="113">
        <v>0</v>
      </c>
      <c r="F631" s="113">
        <v>0</v>
      </c>
      <c r="G631" s="28">
        <f>SUM(D631:F631)</f>
        <v>0</v>
      </c>
      <c r="H631" s="125">
        <v>0</v>
      </c>
      <c r="I631" s="113">
        <v>0</v>
      </c>
      <c r="J631" s="125">
        <v>0</v>
      </c>
      <c r="K631" s="113">
        <v>0</v>
      </c>
      <c r="L631" s="113">
        <v>0</v>
      </c>
      <c r="M631" s="113">
        <v>0</v>
      </c>
      <c r="N631" s="28">
        <f>G631-SUM(H631:M631)</f>
        <v>0</v>
      </c>
      <c r="O631" s="28">
        <f>SUM(V631:Y631)</f>
        <v>0</v>
      </c>
      <c r="P631" s="28">
        <f>O631-N631</f>
        <v>0</v>
      </c>
      <c r="Q631" s="61" t="str">
        <f>IF(ISERROR(P631/SUM(H631:L631)),"",P631/SUM(H631:L631))</f>
        <v/>
      </c>
      <c r="R631" s="113">
        <v>0</v>
      </c>
      <c r="S631" s="28">
        <f>IF(ISERROR(P631/C631*R631),0,(P631/C631*R631))</f>
        <v>0</v>
      </c>
      <c r="T631" s="60">
        <f>IF(ISERROR(P631/B631*AF631),0,(P631/B631*AF631))</f>
        <v>0</v>
      </c>
      <c r="V631" s="113">
        <v>0</v>
      </c>
      <c r="W631" s="113">
        <v>0</v>
      </c>
      <c r="X631" s="113">
        <v>0</v>
      </c>
      <c r="Y631" s="113">
        <v>0</v>
      </c>
      <c r="AA631" s="113">
        <v>0</v>
      </c>
      <c r="AB631" s="113">
        <v>0</v>
      </c>
      <c r="AC631" s="113">
        <v>0</v>
      </c>
      <c r="AD631" s="113">
        <v>0</v>
      </c>
      <c r="AF631" s="113">
        <v>0</v>
      </c>
      <c r="AG631" s="28">
        <f>G631-O631</f>
        <v>0</v>
      </c>
      <c r="AH631" s="58">
        <f>IF(ISERROR(AG631/B631*AF631),0,(AG631/B631*AF631))</f>
        <v>0</v>
      </c>
      <c r="AI631" s="28">
        <f>SUM(H631:M631)</f>
        <v>0</v>
      </c>
      <c r="AJ631" s="28">
        <f>IF(ISERROR(AI631/B631*AF631),0,(AI631/B631*AF631))</f>
        <v>0</v>
      </c>
      <c r="AK631" s="58">
        <f>IF(ISERROR(O631/B631*AF631),0,(O631/B631*AF631))</f>
        <v>0</v>
      </c>
      <c r="AL631" s="28">
        <f>IF(ISERROR(H631/B631*AF631),0,(H631/B631*AF631))</f>
        <v>0</v>
      </c>
      <c r="AN631" s="51">
        <f>A631</f>
        <v>0</v>
      </c>
      <c r="AO631" s="57">
        <f>IF(ISERROR(IF(B631=C631,D631/C631,(INT(D631/B631)+(((D631-B631*INT(D631/B631)))/C631)/100))),0,(IF(B631=C631,D631/C631,(INT(D631/B631)+(((D631-B631*INT(D631/B631)))/C631)/100))))</f>
        <v>0</v>
      </c>
      <c r="AP631" s="57">
        <f>IF(ISERROR(IF(B631=C631,E631/C631,(INT(E631/B631)+(((E631-B631*INT(E631/B631)))/C631)/100))),0,(IF(B631=C631,E631/C631,(INT(E631/B631)+(((E631-B631*INT(E631/B631)))/C631)/100))))</f>
        <v>0</v>
      </c>
      <c r="AQ631" s="57">
        <f>IF(ISERROR(IF(B631=C631,F631/C631,IF((INT(F631/B631)+(((F631-B631*INT(F631/B631)))/C631)/100)&lt;0,(INT(F631/B631)+(((F631-B631*INT(F631/B631)))/C631)/100)+(1-(B631/C631/100)),(INT(F631/B631)+(((F631-B631*INT(F631/B631)))/C631)/100)))),0,IF(B631=C631,F631/C631,IF((INT(F631/B631)+(((F631-B631*INT(F631/B631)))/C631)/100)&lt;0,(INT(F631/B631)+(((F631-B631*INT(F631/B631)))/C631)/100)+(1-(B631/C631/100)),(INT(F631/B631)+(((F631-B631*INT(F631/B631)))/C631)/100))))</f>
        <v>0</v>
      </c>
      <c r="AR631" s="57">
        <f>IF(ISERROR(IF(B631=C631,G631/C631,(INT(G631/B631)+(((G631-B631*INT(G631/B631)))/C631)/100))),0,(IF(B631=C631,G631/C631,(INT(G631/B631)+(((G631-B631*INT(G631/B631)))/C631)/100))))</f>
        <v>0</v>
      </c>
      <c r="AS631" s="57">
        <f>IF(ISERROR(IF(B631=C631,H631/C631,(INT(H631/B631)+(((H631-B631*INT(H631/B631)))/C631)/100))),0,(IF(B631=C631,H631/C631,(INT(H631/B631)+(((H631-B631*INT(H631/B631)))/C631)/100))))</f>
        <v>0</v>
      </c>
      <c r="AT631" s="57">
        <f>IF(ISERROR(IF(B631=C631,I631/C631,(INT(I631/B631)+(((I631-B631*INT(I631/B631)))/C631)/100))),0,(IF(B631=C631,I631/C631,(INT(I631/B631)+(((I631-B631*INT(I631/B631)))/C631)/100))))</f>
        <v>0</v>
      </c>
      <c r="AU631" s="57">
        <f>IF(ISERROR(IF(B631=C631,J631/C631,(INT(J631/B631)+(((J631-B631*INT(J631/B631)))/C631)/100))),0,(IF(B631=C631,J631/C631,(INT(J631/B631)+(((J631-B631*INT(J631/B631)))/C631)/100))))</f>
        <v>0</v>
      </c>
      <c r="AV631" s="57">
        <f>IF(ISERROR(IF(B631=C631,K631/C631,IF((INT(K631/B631)+(((K631-B631*INT(K631/B631)))/C631)/100)&lt;0,(INT(K631/B631)+(((K631-B631*INT(K631/B631)))/C631)/100)+(1-(B631/C631/100)),(INT(K631/B631)+(((K631-B631*INT(K631/B631)))/C631)/100)))),0,IF(B631=C631,K631/C631,IF((INT(K631/B631)+(((K631-B631*INT(K631/B631)))/C631)/100)&lt;0,(INT(K631/B631)+(((K631-B631*INT(K631/B631)))/C631)/100)+(1-(B631/C631/100)),(INT(K631/B631)+(((K631-B631*INT(K631/B631)))/C631)/100))))</f>
        <v>0</v>
      </c>
      <c r="AW631" s="57">
        <f>IF(ISERROR(IF(B631=C631,L631/C631,(INT(L631/B631)+(((L631-B631*INT(L631/B631)))/C631)/100))),0,(IF(B631=C631,L631/C631,(INT(L631/B631)+(((L631-B631*INT(L631/B631)))/C631)/100))))</f>
        <v>0</v>
      </c>
      <c r="AX631" s="57">
        <f>IF(ISERROR(IF(B631=C631,M631/C631,(INT(M631/B631)+(((M631-B631*INT(M631/B631)))/C631)/100))),0,(IF(B631=C631,M631/C631,(INT(M631/B631)+(((M631-B631*INT(M631/B631)))/C631)/100))))</f>
        <v>0</v>
      </c>
      <c r="AY631" s="57">
        <f>IF(ISERROR(IF(B631=C631,N631/C631,IF((INT(N631/B631)+(((N631-B631*INT(N631/B631)))/C631)/100)&lt;0,(INT(N631/B631)+(((N631-B631*INT(N631/B631)))/C631)/100)+(1-(B631/C631/100)),(INT(N631/B631)+(((N631-B631*INT(N631/B631)))/C631)/100)))),0,IF(B631=C631,N631/C631,IF((INT(N631/B631)+(((N631-B631*INT(N631/B631)))/C631)/100)&lt;0,(INT(N631/B631)+(((N631-B631*INT(N631/B631)))/C631)/100)+(1-(B631/C631/100)),(INT(N631/B631)+(((N631-B631*INT(N631/B631)))/C631)/100))))</f>
        <v>0</v>
      </c>
      <c r="AZ631" s="57">
        <f>IF(ISERROR(IF(B631=C631,O631/C631,(INT(O631/B631)+(((O631-B631*INT(O631/B631)))/C631)/100))),0,(IF(B631=C631,O631/C631,(INT(O631/B631)+(((O631-B631*INT(O631/B631)))/C631)/100))))</f>
        <v>0</v>
      </c>
      <c r="BA631" s="57">
        <f>IF(ISERROR(IF(B631=C631,P631/C631,IF((INT(P631/B631)+(((P631-B631*INT(P631/B631)))/C631)/100)&lt;0,(INT(P631/B631)+(((P631-B631*INT(P631/B631)))/C631)/100)+(1-(B631/C631/100)),(INT(P631/B631)+(((P631-B631*INT(P631/B631)))/C631)/100)))),0,IF(B631=C631,P631/C631,IF((INT(P631/B631)+(((P631-B631*INT(P631/B631)))/C631)/100)&lt;0,(INT(P631/B631)+(((P631-B631*INT(P631/B631)))/C631)/100)+(1-(B631/C631/100)),(INT(P631/B631)+(((P631-B631*INT(P631/B631)))/C631)/100))))</f>
        <v>0</v>
      </c>
      <c r="BB631" s="28">
        <f>R631</f>
        <v>0</v>
      </c>
      <c r="BC631" s="28">
        <f>S631</f>
        <v>0</v>
      </c>
      <c r="BD631" s="28">
        <f>AF631</f>
        <v>0</v>
      </c>
      <c r="BE631" s="28">
        <f>T631</f>
        <v>0</v>
      </c>
      <c r="BG631" s="57">
        <f>IF(ISERROR(IF(B631=C631,V631/C631,(INT(V631/B631)+(((V631-B631*INT(V631/B631)))/C631)/100))),0,(IF(B631=C631,V631/C631,(INT(V631/B631)+(((V631-B631*INT(V631/B631)))/C631)/100))))</f>
        <v>0</v>
      </c>
      <c r="BH631" s="57">
        <f>IF(ISERROR(IF(B631=C631,W631/C631,(INT(W631/B631)+(((W631-B631*INT(W631/B631)))/C631)/100))),0,(IF(B631=C631,W631/C631,(INT(W631/B631)+(((W631-B631*INT(W631/B631)))/C631)/100))))</f>
        <v>0</v>
      </c>
      <c r="BI631" s="57">
        <f>IF(ISERROR(IF(B631=C631,X631/C631,(INT(X631/B631)+(((X631-B631*INT(X631/B631)))/C631)/100))),0,(IF(B631=C631,X631/C631,(INT(X631/B631)+(((X631-B631*INT(X631/B631)))/C631)/100))))</f>
        <v>0</v>
      </c>
      <c r="BJ631" s="57">
        <f>IF(ISERROR(IF(B631=C631,Y631/C631,(INT(Y631/B631)+(((Y631-B631*INT(Y631/B631)))/C631)/100))),0,(IF(B631=C631,Y631/C631,(INT(Y631/B631)+(((Y631-B631*INT(Y631/B631)))/C631)/100))))</f>
        <v>0</v>
      </c>
      <c r="BL631" s="57">
        <f>IF(ISERROR(IF(B631=C631,AA631/C631,(INT(AA631/B631)+(((AA631-B631*INT(AA631/B631)))/C631)/100))),0,(IF(B631=C631,AA631/C631,(INT(AA631/B631)+(((AA631-B631*INT(AA631/B631)))/C631)/100))))</f>
        <v>0</v>
      </c>
      <c r="BM631" s="57">
        <f>IF(ISERROR(IF(B631=C631,AB631/C631,(INT(AB631/B631)+(((AB631-B631*INT(AB631/B631)))/C631)/100))),0,(IF(B631=C631,AB631/C631,(INT(AB631/B631)+(((AB631-B631*INT(AB631/B631)))/C631)/100))))</f>
        <v>0</v>
      </c>
      <c r="BN631" s="57">
        <f>IF(ISERROR(IF(B631=C631,AC631/C631,(INT(AC631/B631)+(((AC631-B631*INT(AC631/B631)))/C631)/100))),0,(IF(B631=C631,AC631/C631,(INT(AC631/B631)+(((AC631-B631*INT(AC631/B631)))/C631)/100))))</f>
        <v>0</v>
      </c>
      <c r="BO631" s="57">
        <f>IF(ISERROR(IF(B631=C631,AD631/C631,(INT(AD631/B631)+(((AD631-B631*INT(AD631/B631)))/C631)/100))),0,(IF(B631=C631,AD631/C631,(INT(AD631/B631)+(((AD631-B631*INT(AD631/B631)))/C631)/100))))</f>
        <v>0</v>
      </c>
      <c r="BQ631" s="155"/>
    </row>
    <row r="632" spans="1:69" hidden="1" x14ac:dyDescent="0.35">
      <c r="A632" s="94"/>
      <c r="B632" s="113">
        <v>0</v>
      </c>
      <c r="C632" s="113">
        <v>250</v>
      </c>
      <c r="D632" s="28">
        <f>SUM(AA632:AD632)</f>
        <v>0</v>
      </c>
      <c r="E632" s="113">
        <v>0</v>
      </c>
      <c r="F632" s="113">
        <v>0</v>
      </c>
      <c r="G632" s="28">
        <f>SUM(D632:F632)</f>
        <v>0</v>
      </c>
      <c r="H632" s="125">
        <v>0</v>
      </c>
      <c r="I632" s="113">
        <v>0</v>
      </c>
      <c r="J632" s="125">
        <v>0</v>
      </c>
      <c r="K632" s="113">
        <v>0</v>
      </c>
      <c r="L632" s="113">
        <v>0</v>
      </c>
      <c r="M632" s="113">
        <v>0</v>
      </c>
      <c r="N632" s="28">
        <f>G632-SUM(H632:M632)</f>
        <v>0</v>
      </c>
      <c r="O632" s="28">
        <f>SUM(V632:Y632)</f>
        <v>0</v>
      </c>
      <c r="P632" s="28">
        <f>O632-N632</f>
        <v>0</v>
      </c>
      <c r="Q632" s="61" t="str">
        <f>IF(ISERROR(P632/SUM(H632:L632)),"",P632/SUM(H632:L632))</f>
        <v/>
      </c>
      <c r="R632" s="113">
        <v>0</v>
      </c>
      <c r="S632" s="28">
        <f>IF(ISERROR(P632/C632*R632),0,(P632/C632*R632))</f>
        <v>0</v>
      </c>
      <c r="T632" s="60">
        <f>IF(ISERROR(P632/B632*AF632),0,(P632/B632*AF632))</f>
        <v>0</v>
      </c>
      <c r="V632" s="113">
        <v>0</v>
      </c>
      <c r="W632" s="113">
        <v>0</v>
      </c>
      <c r="X632" s="113">
        <v>0</v>
      </c>
      <c r="Y632" s="113">
        <v>0</v>
      </c>
      <c r="AA632" s="113">
        <v>0</v>
      </c>
      <c r="AB632" s="113">
        <v>0</v>
      </c>
      <c r="AC632" s="113">
        <v>0</v>
      </c>
      <c r="AD632" s="113">
        <v>0</v>
      </c>
      <c r="AF632" s="113">
        <v>0</v>
      </c>
      <c r="AG632" s="28">
        <f>G632-O632</f>
        <v>0</v>
      </c>
      <c r="AH632" s="58">
        <f>IF(ISERROR(AG632/B632*AF632),0,(AG632/B632*AF632))</f>
        <v>0</v>
      </c>
      <c r="AI632" s="28">
        <f>SUM(H632:M632)</f>
        <v>0</v>
      </c>
      <c r="AJ632" s="28">
        <f>IF(ISERROR(AI632/B632*AF632),0,(AI632/B632*AF632))</f>
        <v>0</v>
      </c>
      <c r="AK632" s="58">
        <f>IF(ISERROR(O632/B632*AF632),0,(O632/B632*AF632))</f>
        <v>0</v>
      </c>
      <c r="AL632" s="28">
        <f>IF(ISERROR(H632/B632*AF632),0,(H632/B632*AF632))</f>
        <v>0</v>
      </c>
      <c r="AN632" s="51">
        <f>A632</f>
        <v>0</v>
      </c>
      <c r="AO632" s="57">
        <f>IF(ISERROR(IF(B632=C632,D632/C632,(INT(D632/B632)+(((D632-B632*INT(D632/B632)))/C632)/100))),0,(IF(B632=C632,D632/C632,(INT(D632/B632)+(((D632-B632*INT(D632/B632)))/C632)/100))))</f>
        <v>0</v>
      </c>
      <c r="AP632" s="57">
        <f>IF(ISERROR(IF(B632=C632,E632/C632,(INT(E632/B632)+(((E632-B632*INT(E632/B632)))/C632)/100))),0,(IF(B632=C632,E632/C632,(INT(E632/B632)+(((E632-B632*INT(E632/B632)))/C632)/100))))</f>
        <v>0</v>
      </c>
      <c r="AQ632" s="57">
        <f>IF(ISERROR(IF(B632=C632,F632/C632,IF((INT(F632/B632)+(((F632-B632*INT(F632/B632)))/C632)/100)&lt;0,(INT(F632/B632)+(((F632-B632*INT(F632/B632)))/C632)/100)+(1-(B632/C632/100)),(INT(F632/B632)+(((F632-B632*INT(F632/B632)))/C632)/100)))),0,IF(B632=C632,F632/C632,IF((INT(F632/B632)+(((F632-B632*INT(F632/B632)))/C632)/100)&lt;0,(INT(F632/B632)+(((F632-B632*INT(F632/B632)))/C632)/100)+(1-(B632/C632/100)),(INT(F632/B632)+(((F632-B632*INT(F632/B632)))/C632)/100))))</f>
        <v>0</v>
      </c>
      <c r="AR632" s="57">
        <f>IF(ISERROR(IF(B632=C632,G632/C632,(INT(G632/B632)+(((G632-B632*INT(G632/B632)))/C632)/100))),0,(IF(B632=C632,G632/C632,(INT(G632/B632)+(((G632-B632*INT(G632/B632)))/C632)/100))))</f>
        <v>0</v>
      </c>
      <c r="AS632" s="57">
        <f>IF(ISERROR(IF(B632=C632,H632/C632,(INT(H632/B632)+(((H632-B632*INT(H632/B632)))/C632)/100))),0,(IF(B632=C632,H632/C632,(INT(H632/B632)+(((H632-B632*INT(H632/B632)))/C632)/100))))</f>
        <v>0</v>
      </c>
      <c r="AT632" s="57">
        <f>IF(ISERROR(IF(B632=C632,I632/C632,(INT(I632/B632)+(((I632-B632*INT(I632/B632)))/C632)/100))),0,(IF(B632=C632,I632/C632,(INT(I632/B632)+(((I632-B632*INT(I632/B632)))/C632)/100))))</f>
        <v>0</v>
      </c>
      <c r="AU632" s="57">
        <f>IF(ISERROR(IF(B632=C632,J632/C632,(INT(J632/B632)+(((J632-B632*INT(J632/B632)))/C632)/100))),0,(IF(B632=C632,J632/C632,(INT(J632/B632)+(((J632-B632*INT(J632/B632)))/C632)/100))))</f>
        <v>0</v>
      </c>
      <c r="AV632" s="57">
        <f>IF(ISERROR(IF(B632=C632,K632/C632,IF((INT(K632/B632)+(((K632-B632*INT(K632/B632)))/C632)/100)&lt;0,(INT(K632/B632)+(((K632-B632*INT(K632/B632)))/C632)/100)+(1-(B632/C632/100)),(INT(K632/B632)+(((K632-B632*INT(K632/B632)))/C632)/100)))),0,IF(B632=C632,K632/C632,IF((INT(K632/B632)+(((K632-B632*INT(K632/B632)))/C632)/100)&lt;0,(INT(K632/B632)+(((K632-B632*INT(K632/B632)))/C632)/100)+(1-(B632/C632/100)),(INT(K632/B632)+(((K632-B632*INT(K632/B632)))/C632)/100))))</f>
        <v>0</v>
      </c>
      <c r="AW632" s="57">
        <f>IF(ISERROR(IF(B632=C632,L632/C632,(INT(L632/B632)+(((L632-B632*INT(L632/B632)))/C632)/100))),0,(IF(B632=C632,L632/C632,(INT(L632/B632)+(((L632-B632*INT(L632/B632)))/C632)/100))))</f>
        <v>0</v>
      </c>
      <c r="AX632" s="57">
        <f>IF(ISERROR(IF(B632=C632,M632/C632,(INT(M632/B632)+(((M632-B632*INT(M632/B632)))/C632)/100))),0,(IF(B632=C632,M632/C632,(INT(M632/B632)+(((M632-B632*INT(M632/B632)))/C632)/100))))</f>
        <v>0</v>
      </c>
      <c r="AY632" s="57">
        <f>IF(ISERROR(IF(B632=C632,N632/C632,IF((INT(N632/B632)+(((N632-B632*INT(N632/B632)))/C632)/100)&lt;0,(INT(N632/B632)+(((N632-B632*INT(N632/B632)))/C632)/100)+(1-(B632/C632/100)),(INT(N632/B632)+(((N632-B632*INT(N632/B632)))/C632)/100)))),0,IF(B632=C632,N632/C632,IF((INT(N632/B632)+(((N632-B632*INT(N632/B632)))/C632)/100)&lt;0,(INT(N632/B632)+(((N632-B632*INT(N632/B632)))/C632)/100)+(1-(B632/C632/100)),(INT(N632/B632)+(((N632-B632*INT(N632/B632)))/C632)/100))))</f>
        <v>0</v>
      </c>
      <c r="AZ632" s="57">
        <f>IF(ISERROR(IF(B632=C632,O632/C632,(INT(O632/B632)+(((O632-B632*INT(O632/B632)))/C632)/100))),0,(IF(B632=C632,O632/C632,(INT(O632/B632)+(((O632-B632*INT(O632/B632)))/C632)/100))))</f>
        <v>0</v>
      </c>
      <c r="BA632" s="57">
        <f>IF(ISERROR(IF(B632=C632,P632/C632,IF((INT(P632/B632)+(((P632-B632*INT(P632/B632)))/C632)/100)&lt;0,(INT(P632/B632)+(((P632-B632*INT(P632/B632)))/C632)/100)+(1-(B632/C632/100)),(INT(P632/B632)+(((P632-B632*INT(P632/B632)))/C632)/100)))),0,IF(B632=C632,P632/C632,IF((INT(P632/B632)+(((P632-B632*INT(P632/B632)))/C632)/100)&lt;0,(INT(P632/B632)+(((P632-B632*INT(P632/B632)))/C632)/100)+(1-(B632/C632/100)),(INT(P632/B632)+(((P632-B632*INT(P632/B632)))/C632)/100))))</f>
        <v>0</v>
      </c>
      <c r="BB632" s="28">
        <f>R632</f>
        <v>0</v>
      </c>
      <c r="BC632" s="28">
        <f>S632</f>
        <v>0</v>
      </c>
      <c r="BD632" s="28">
        <f>AF632</f>
        <v>0</v>
      </c>
      <c r="BE632" s="28">
        <f>T632</f>
        <v>0</v>
      </c>
      <c r="BG632" s="57">
        <f>IF(ISERROR(IF(B632=C632,V632/C632,(INT(V632/B632)+(((V632-B632*INT(V632/B632)))/C632)/100))),0,(IF(B632=C632,V632/C632,(INT(V632/B632)+(((V632-B632*INT(V632/B632)))/C632)/100))))</f>
        <v>0</v>
      </c>
      <c r="BH632" s="57">
        <f>IF(ISERROR(IF(B632=C632,W632/C632,(INT(W632/B632)+(((W632-B632*INT(W632/B632)))/C632)/100))),0,(IF(B632=C632,W632/C632,(INT(W632/B632)+(((W632-B632*INT(W632/B632)))/C632)/100))))</f>
        <v>0</v>
      </c>
      <c r="BI632" s="57">
        <f>IF(ISERROR(IF(B632=C632,X632/C632,(INT(X632/B632)+(((X632-B632*INT(X632/B632)))/C632)/100))),0,(IF(B632=C632,X632/C632,(INT(X632/B632)+(((X632-B632*INT(X632/B632)))/C632)/100))))</f>
        <v>0</v>
      </c>
      <c r="BJ632" s="57">
        <f>IF(ISERROR(IF(B632=C632,Y632/C632,(INT(Y632/B632)+(((Y632-B632*INT(Y632/B632)))/C632)/100))),0,(IF(B632=C632,Y632/C632,(INT(Y632/B632)+(((Y632-B632*INT(Y632/B632)))/C632)/100))))</f>
        <v>0</v>
      </c>
      <c r="BL632" s="57">
        <f>IF(ISERROR(IF(B632=C632,AA632/C632,(INT(AA632/B632)+(((AA632-B632*INT(AA632/B632)))/C632)/100))),0,(IF(B632=C632,AA632/C632,(INT(AA632/B632)+(((AA632-B632*INT(AA632/B632)))/C632)/100))))</f>
        <v>0</v>
      </c>
      <c r="BM632" s="57">
        <f>IF(ISERROR(IF(B632=C632,AB632/C632,(INT(AB632/B632)+(((AB632-B632*INT(AB632/B632)))/C632)/100))),0,(IF(B632=C632,AB632/C632,(INT(AB632/B632)+(((AB632-B632*INT(AB632/B632)))/C632)/100))))</f>
        <v>0</v>
      </c>
      <c r="BN632" s="57">
        <f>IF(ISERROR(IF(B632=C632,AC632/C632,(INT(AC632/B632)+(((AC632-B632*INT(AC632/B632)))/C632)/100))),0,(IF(B632=C632,AC632/C632,(INT(AC632/B632)+(((AC632-B632*INT(AC632/B632)))/C632)/100))))</f>
        <v>0</v>
      </c>
      <c r="BO632" s="57">
        <f>IF(ISERROR(IF(B632=C632,AD632/C632,(INT(AD632/B632)+(((AD632-B632*INT(AD632/B632)))/C632)/100))),0,(IF(B632=C632,AD632/C632,(INT(AD632/B632)+(((AD632-B632*INT(AD632/B632)))/C632)/100))))</f>
        <v>0</v>
      </c>
      <c r="BQ632" s="155"/>
    </row>
    <row r="633" spans="1:69" hidden="1" x14ac:dyDescent="0.35">
      <c r="A633" s="94"/>
      <c r="B633" s="113">
        <v>0</v>
      </c>
      <c r="C633" s="113">
        <v>250</v>
      </c>
      <c r="D633" s="28">
        <f>SUM(AA633:AD633)</f>
        <v>0</v>
      </c>
      <c r="E633" s="113">
        <v>0</v>
      </c>
      <c r="F633" s="113">
        <v>0</v>
      </c>
      <c r="G633" s="28">
        <f>SUM(D633:F633)</f>
        <v>0</v>
      </c>
      <c r="H633" s="125">
        <v>0</v>
      </c>
      <c r="I633" s="113">
        <v>0</v>
      </c>
      <c r="J633" s="125">
        <v>0</v>
      </c>
      <c r="K633" s="113">
        <v>0</v>
      </c>
      <c r="L633" s="113">
        <v>0</v>
      </c>
      <c r="M633" s="113">
        <v>0</v>
      </c>
      <c r="N633" s="28">
        <f>G633-SUM(H633:M633)</f>
        <v>0</v>
      </c>
      <c r="O633" s="28">
        <f>SUM(V633:Y633)</f>
        <v>0</v>
      </c>
      <c r="P633" s="28">
        <f>O633-N633</f>
        <v>0</v>
      </c>
      <c r="Q633" s="61" t="str">
        <f>IF(ISERROR(P633/SUM(H633:L633)),"",P633/SUM(H633:L633))</f>
        <v/>
      </c>
      <c r="R633" s="113">
        <v>0</v>
      </c>
      <c r="S633" s="28">
        <f>IF(ISERROR(P633/C633*R633),0,(P633/C633*R633))</f>
        <v>0</v>
      </c>
      <c r="T633" s="60">
        <f>IF(ISERROR(P633/B633*AF633),0,(P633/B633*AF633))</f>
        <v>0</v>
      </c>
      <c r="V633" s="113">
        <v>0</v>
      </c>
      <c r="W633" s="113">
        <v>0</v>
      </c>
      <c r="X633" s="113">
        <v>0</v>
      </c>
      <c r="Y633" s="113">
        <v>0</v>
      </c>
      <c r="AA633" s="113">
        <v>0</v>
      </c>
      <c r="AB633" s="113">
        <v>0</v>
      </c>
      <c r="AC633" s="113">
        <v>0</v>
      </c>
      <c r="AD633" s="113">
        <v>0</v>
      </c>
      <c r="AF633" s="113">
        <v>0</v>
      </c>
      <c r="AG633" s="28">
        <f>G633-O633</f>
        <v>0</v>
      </c>
      <c r="AH633" s="58">
        <f>IF(ISERROR(AG633/B633*AF633),0,(AG633/B633*AF633))</f>
        <v>0</v>
      </c>
      <c r="AI633" s="28">
        <f>SUM(H633:M633)</f>
        <v>0</v>
      </c>
      <c r="AJ633" s="28">
        <f>IF(ISERROR(AI633/B633*AF633),0,(AI633/B633*AF633))</f>
        <v>0</v>
      </c>
      <c r="AK633" s="58">
        <f>IF(ISERROR(O633/B633*AF633),0,(O633/B633*AF633))</f>
        <v>0</v>
      </c>
      <c r="AL633" s="28">
        <f>IF(ISERROR(H633/B633*AF633),0,(H633/B633*AF633))</f>
        <v>0</v>
      </c>
      <c r="AN633" s="51">
        <f>A633</f>
        <v>0</v>
      </c>
      <c r="AO633" s="57">
        <f>IF(ISERROR(IF(B633=C633,D633/C633,(INT(D633/B633)+(((D633-B633*INT(D633/B633)))/C633)/100))),0,(IF(B633=C633,D633/C633,(INT(D633/B633)+(((D633-B633*INT(D633/B633)))/C633)/100))))</f>
        <v>0</v>
      </c>
      <c r="AP633" s="57">
        <f>IF(ISERROR(IF(B633=C633,E633/C633,(INT(E633/B633)+(((E633-B633*INT(E633/B633)))/C633)/100))),0,(IF(B633=C633,E633/C633,(INT(E633/B633)+(((E633-B633*INT(E633/B633)))/C633)/100))))</f>
        <v>0</v>
      </c>
      <c r="AQ633" s="57">
        <f>IF(ISERROR(IF(B633=C633,F633/C633,IF((INT(F633/B633)+(((F633-B633*INT(F633/B633)))/C633)/100)&lt;0,(INT(F633/B633)+(((F633-B633*INT(F633/B633)))/C633)/100)+(1-(B633/C633/100)),(INT(F633/B633)+(((F633-B633*INT(F633/B633)))/C633)/100)))),0,IF(B633=C633,F633/C633,IF((INT(F633/B633)+(((F633-B633*INT(F633/B633)))/C633)/100)&lt;0,(INT(F633/B633)+(((F633-B633*INT(F633/B633)))/C633)/100)+(1-(B633/C633/100)),(INT(F633/B633)+(((F633-B633*INT(F633/B633)))/C633)/100))))</f>
        <v>0</v>
      </c>
      <c r="AR633" s="57">
        <f>IF(ISERROR(IF(B633=C633,G633/C633,(INT(G633/B633)+(((G633-B633*INT(G633/B633)))/C633)/100))),0,(IF(B633=C633,G633/C633,(INT(G633/B633)+(((G633-B633*INT(G633/B633)))/C633)/100))))</f>
        <v>0</v>
      </c>
      <c r="AS633" s="57">
        <f>IF(ISERROR(IF(B633=C633,H633/C633,(INT(H633/B633)+(((H633-B633*INT(H633/B633)))/C633)/100))),0,(IF(B633=C633,H633/C633,(INT(H633/B633)+(((H633-B633*INT(H633/B633)))/C633)/100))))</f>
        <v>0</v>
      </c>
      <c r="AT633" s="57">
        <f>IF(ISERROR(IF(B633=C633,I633/C633,(INT(I633/B633)+(((I633-B633*INT(I633/B633)))/C633)/100))),0,(IF(B633=C633,I633/C633,(INT(I633/B633)+(((I633-B633*INT(I633/B633)))/C633)/100))))</f>
        <v>0</v>
      </c>
      <c r="AU633" s="57">
        <f>IF(ISERROR(IF(B633=C633,J633/C633,(INT(J633/B633)+(((J633-B633*INT(J633/B633)))/C633)/100))),0,(IF(B633=C633,J633/C633,(INT(J633/B633)+(((J633-B633*INT(J633/B633)))/C633)/100))))</f>
        <v>0</v>
      </c>
      <c r="AV633" s="57">
        <f>IF(ISERROR(IF(B633=C633,K633/C633,IF((INT(K633/B633)+(((K633-B633*INT(K633/B633)))/C633)/100)&lt;0,(INT(K633/B633)+(((K633-B633*INT(K633/B633)))/C633)/100)+(1-(B633/C633/100)),(INT(K633/B633)+(((K633-B633*INT(K633/B633)))/C633)/100)))),0,IF(B633=C633,K633/C633,IF((INT(K633/B633)+(((K633-B633*INT(K633/B633)))/C633)/100)&lt;0,(INT(K633/B633)+(((K633-B633*INT(K633/B633)))/C633)/100)+(1-(B633/C633/100)),(INT(K633/B633)+(((K633-B633*INT(K633/B633)))/C633)/100))))</f>
        <v>0</v>
      </c>
      <c r="AW633" s="57">
        <f>IF(ISERROR(IF(B633=C633,L633/C633,(INT(L633/B633)+(((L633-B633*INT(L633/B633)))/C633)/100))),0,(IF(B633=C633,L633/C633,(INT(L633/B633)+(((L633-B633*INT(L633/B633)))/C633)/100))))</f>
        <v>0</v>
      </c>
      <c r="AX633" s="57">
        <f>IF(ISERROR(IF(B633=C633,M633/C633,(INT(M633/B633)+(((M633-B633*INT(M633/B633)))/C633)/100))),0,(IF(B633=C633,M633/C633,(INT(M633/B633)+(((M633-B633*INT(M633/B633)))/C633)/100))))</f>
        <v>0</v>
      </c>
      <c r="AY633" s="57">
        <f>IF(ISERROR(IF(B633=C633,N633/C633,IF((INT(N633/B633)+(((N633-B633*INT(N633/B633)))/C633)/100)&lt;0,(INT(N633/B633)+(((N633-B633*INT(N633/B633)))/C633)/100)+(1-(B633/C633/100)),(INT(N633/B633)+(((N633-B633*INT(N633/B633)))/C633)/100)))),0,IF(B633=C633,N633/C633,IF((INT(N633/B633)+(((N633-B633*INT(N633/B633)))/C633)/100)&lt;0,(INT(N633/B633)+(((N633-B633*INT(N633/B633)))/C633)/100)+(1-(B633/C633/100)),(INT(N633/B633)+(((N633-B633*INT(N633/B633)))/C633)/100))))</f>
        <v>0</v>
      </c>
      <c r="AZ633" s="57">
        <f>IF(ISERROR(IF(B633=C633,O633/C633,(INT(O633/B633)+(((O633-B633*INT(O633/B633)))/C633)/100))),0,(IF(B633=C633,O633/C633,(INT(O633/B633)+(((O633-B633*INT(O633/B633)))/C633)/100))))</f>
        <v>0</v>
      </c>
      <c r="BA633" s="57">
        <f>IF(ISERROR(IF(B633=C633,P633/C633,IF((INT(P633/B633)+(((P633-B633*INT(P633/B633)))/C633)/100)&lt;0,(INT(P633/B633)+(((P633-B633*INT(P633/B633)))/C633)/100)+(1-(B633/C633/100)),(INT(P633/B633)+(((P633-B633*INT(P633/B633)))/C633)/100)))),0,IF(B633=C633,P633/C633,IF((INT(P633/B633)+(((P633-B633*INT(P633/B633)))/C633)/100)&lt;0,(INT(P633/B633)+(((P633-B633*INT(P633/B633)))/C633)/100)+(1-(B633/C633/100)),(INT(P633/B633)+(((P633-B633*INT(P633/B633)))/C633)/100))))</f>
        <v>0</v>
      </c>
      <c r="BB633" s="28">
        <f>R633</f>
        <v>0</v>
      </c>
      <c r="BC633" s="28">
        <f>S633</f>
        <v>0</v>
      </c>
      <c r="BD633" s="28">
        <f>AF633</f>
        <v>0</v>
      </c>
      <c r="BE633" s="28">
        <f>T633</f>
        <v>0</v>
      </c>
      <c r="BG633" s="57">
        <f>IF(ISERROR(IF(B633=C633,V633/C633,(INT(V633/B633)+(((V633-B633*INT(V633/B633)))/C633)/100))),0,(IF(B633=C633,V633/C633,(INT(V633/B633)+(((V633-B633*INT(V633/B633)))/C633)/100))))</f>
        <v>0</v>
      </c>
      <c r="BH633" s="57">
        <f>IF(ISERROR(IF(B633=C633,W633/C633,(INT(W633/B633)+(((W633-B633*INT(W633/B633)))/C633)/100))),0,(IF(B633=C633,W633/C633,(INT(W633/B633)+(((W633-B633*INT(W633/B633)))/C633)/100))))</f>
        <v>0</v>
      </c>
      <c r="BI633" s="57">
        <f>IF(ISERROR(IF(B633=C633,X633/C633,(INT(X633/B633)+(((X633-B633*INT(X633/B633)))/C633)/100))),0,(IF(B633=C633,X633/C633,(INT(X633/B633)+(((X633-B633*INT(X633/B633)))/C633)/100))))</f>
        <v>0</v>
      </c>
      <c r="BJ633" s="57">
        <f>IF(ISERROR(IF(B633=C633,Y633/C633,(INT(Y633/B633)+(((Y633-B633*INT(Y633/B633)))/C633)/100))),0,(IF(B633=C633,Y633/C633,(INT(Y633/B633)+(((Y633-B633*INT(Y633/B633)))/C633)/100))))</f>
        <v>0</v>
      </c>
      <c r="BL633" s="57">
        <f>IF(ISERROR(IF(B633=C633,AA633/C633,(INT(AA633/B633)+(((AA633-B633*INT(AA633/B633)))/C633)/100))),0,(IF(B633=C633,AA633/C633,(INT(AA633/B633)+(((AA633-B633*INT(AA633/B633)))/C633)/100))))</f>
        <v>0</v>
      </c>
      <c r="BM633" s="57">
        <f>IF(ISERROR(IF(B633=C633,AB633/C633,(INT(AB633/B633)+(((AB633-B633*INT(AB633/B633)))/C633)/100))),0,(IF(B633=C633,AB633/C633,(INT(AB633/B633)+(((AB633-B633*INT(AB633/B633)))/C633)/100))))</f>
        <v>0</v>
      </c>
      <c r="BN633" s="57">
        <f>IF(ISERROR(IF(B633=C633,AC633/C633,(INT(AC633/B633)+(((AC633-B633*INT(AC633/B633)))/C633)/100))),0,(IF(B633=C633,AC633/C633,(INT(AC633/B633)+(((AC633-B633*INT(AC633/B633)))/C633)/100))))</f>
        <v>0</v>
      </c>
      <c r="BO633" s="57">
        <f>IF(ISERROR(IF(B633=C633,AD633/C633,(INT(AD633/B633)+(((AD633-B633*INT(AD633/B633)))/C633)/100))),0,(IF(B633=C633,AD633/C633,(INT(AD633/B633)+(((AD633-B633*INT(AD633/B633)))/C633)/100))))</f>
        <v>0</v>
      </c>
      <c r="BQ633" s="155"/>
    </row>
    <row r="634" spans="1:69" hidden="1" x14ac:dyDescent="0.35">
      <c r="A634" s="94"/>
      <c r="B634" s="113">
        <v>0</v>
      </c>
      <c r="C634" s="113">
        <v>250</v>
      </c>
      <c r="D634" s="28">
        <f>SUM(AA634:AD634)</f>
        <v>0</v>
      </c>
      <c r="E634" s="113">
        <v>0</v>
      </c>
      <c r="F634" s="113">
        <v>0</v>
      </c>
      <c r="G634" s="28">
        <f>SUM(D634:F634)</f>
        <v>0</v>
      </c>
      <c r="H634" s="125">
        <v>0</v>
      </c>
      <c r="I634" s="113">
        <v>0</v>
      </c>
      <c r="J634" s="125">
        <v>0</v>
      </c>
      <c r="K634" s="113">
        <v>0</v>
      </c>
      <c r="L634" s="113">
        <v>0</v>
      </c>
      <c r="M634" s="113">
        <v>0</v>
      </c>
      <c r="N634" s="28">
        <f>G634-SUM(H634:M634)</f>
        <v>0</v>
      </c>
      <c r="O634" s="28">
        <f>SUM(V634:Y634)</f>
        <v>0</v>
      </c>
      <c r="P634" s="28">
        <f>O634-N634</f>
        <v>0</v>
      </c>
      <c r="Q634" s="61" t="str">
        <f>IF(ISERROR(P634/SUM(H634:L634)),"",P634/SUM(H634:L634))</f>
        <v/>
      </c>
      <c r="R634" s="113">
        <v>0</v>
      </c>
      <c r="S634" s="28">
        <f>IF(ISERROR(P634/C634*R634),0,(P634/C634*R634))</f>
        <v>0</v>
      </c>
      <c r="T634" s="60">
        <f>IF(ISERROR(P634/B634*AF634),0,(P634/B634*AF634))</f>
        <v>0</v>
      </c>
      <c r="V634" s="113">
        <v>0</v>
      </c>
      <c r="W634" s="113">
        <v>0</v>
      </c>
      <c r="X634" s="113">
        <v>0</v>
      </c>
      <c r="Y634" s="113">
        <v>0</v>
      </c>
      <c r="AA634" s="113">
        <v>0</v>
      </c>
      <c r="AB634" s="113">
        <v>0</v>
      </c>
      <c r="AC634" s="113">
        <v>0</v>
      </c>
      <c r="AD634" s="113">
        <v>0</v>
      </c>
      <c r="AF634" s="113">
        <v>0</v>
      </c>
      <c r="AG634" s="28">
        <f>G634-O634</f>
        <v>0</v>
      </c>
      <c r="AH634" s="58">
        <f>IF(ISERROR(AG634/B634*AF634),0,(AG634/B634*AF634))</f>
        <v>0</v>
      </c>
      <c r="AI634" s="28">
        <f>SUM(H634:M634)</f>
        <v>0</v>
      </c>
      <c r="AJ634" s="28">
        <f>IF(ISERROR(AI634/B634*AF634),0,(AI634/B634*AF634))</f>
        <v>0</v>
      </c>
      <c r="AK634" s="58">
        <f>IF(ISERROR(O634/B634*AF634),0,(O634/B634*AF634))</f>
        <v>0</v>
      </c>
      <c r="AL634" s="28">
        <f>IF(ISERROR(H634/B634*AF634),0,(H634/B634*AF634))</f>
        <v>0</v>
      </c>
      <c r="AN634" s="51">
        <f>A634</f>
        <v>0</v>
      </c>
      <c r="AO634" s="57">
        <f>IF(ISERROR(IF(B634=C634,D634/C634,(INT(D634/B634)+(((D634-B634*INT(D634/B634)))/C634)/100))),0,(IF(B634=C634,D634/C634,(INT(D634/B634)+(((D634-B634*INT(D634/B634)))/C634)/100))))</f>
        <v>0</v>
      </c>
      <c r="AP634" s="57">
        <f>IF(ISERROR(IF(B634=C634,E634/C634,(INT(E634/B634)+(((E634-B634*INT(E634/B634)))/C634)/100))),0,(IF(B634=C634,E634/C634,(INT(E634/B634)+(((E634-B634*INT(E634/B634)))/C634)/100))))</f>
        <v>0</v>
      </c>
      <c r="AQ634" s="57">
        <f>IF(ISERROR(IF(B634=C634,F634/C634,IF((INT(F634/B634)+(((F634-B634*INT(F634/B634)))/C634)/100)&lt;0,(INT(F634/B634)+(((F634-B634*INT(F634/B634)))/C634)/100)+(1-(B634/C634/100)),(INT(F634/B634)+(((F634-B634*INT(F634/B634)))/C634)/100)))),0,IF(B634=C634,F634/C634,IF((INT(F634/B634)+(((F634-B634*INT(F634/B634)))/C634)/100)&lt;0,(INT(F634/B634)+(((F634-B634*INT(F634/B634)))/C634)/100)+(1-(B634/C634/100)),(INT(F634/B634)+(((F634-B634*INT(F634/B634)))/C634)/100))))</f>
        <v>0</v>
      </c>
      <c r="AR634" s="57">
        <f>IF(ISERROR(IF(B634=C634,G634/C634,(INT(G634/B634)+(((G634-B634*INT(G634/B634)))/C634)/100))),0,(IF(B634=C634,G634/C634,(INT(G634/B634)+(((G634-B634*INT(G634/B634)))/C634)/100))))</f>
        <v>0</v>
      </c>
      <c r="AS634" s="57">
        <f>IF(ISERROR(IF(B634=C634,H634/C634,(INT(H634/B634)+(((H634-B634*INT(H634/B634)))/C634)/100))),0,(IF(B634=C634,H634/C634,(INT(H634/B634)+(((H634-B634*INT(H634/B634)))/C634)/100))))</f>
        <v>0</v>
      </c>
      <c r="AT634" s="57">
        <f>IF(ISERROR(IF(B634=C634,I634/C634,(INT(I634/B634)+(((I634-B634*INT(I634/B634)))/C634)/100))),0,(IF(B634=C634,I634/C634,(INT(I634/B634)+(((I634-B634*INT(I634/B634)))/C634)/100))))</f>
        <v>0</v>
      </c>
      <c r="AU634" s="57">
        <f>IF(ISERROR(IF(B634=C634,J634/C634,(INT(J634/B634)+(((J634-B634*INT(J634/B634)))/C634)/100))),0,(IF(B634=C634,J634/C634,(INT(J634/B634)+(((J634-B634*INT(J634/B634)))/C634)/100))))</f>
        <v>0</v>
      </c>
      <c r="AV634" s="57">
        <f>IF(ISERROR(IF(B634=C634,K634/C634,IF((INT(K634/B634)+(((K634-B634*INT(K634/B634)))/C634)/100)&lt;0,(INT(K634/B634)+(((K634-B634*INT(K634/B634)))/C634)/100)+(1-(B634/C634/100)),(INT(K634/B634)+(((K634-B634*INT(K634/B634)))/C634)/100)))),0,IF(B634=C634,K634/C634,IF((INT(K634/B634)+(((K634-B634*INT(K634/B634)))/C634)/100)&lt;0,(INT(K634/B634)+(((K634-B634*INT(K634/B634)))/C634)/100)+(1-(B634/C634/100)),(INT(K634/B634)+(((K634-B634*INT(K634/B634)))/C634)/100))))</f>
        <v>0</v>
      </c>
      <c r="AW634" s="57">
        <f>IF(ISERROR(IF(B634=C634,L634/C634,(INT(L634/B634)+(((L634-B634*INT(L634/B634)))/C634)/100))),0,(IF(B634=C634,L634/C634,(INT(L634/B634)+(((L634-B634*INT(L634/B634)))/C634)/100))))</f>
        <v>0</v>
      </c>
      <c r="AX634" s="57">
        <f>IF(ISERROR(IF(B634=C634,M634/C634,(INT(M634/B634)+(((M634-B634*INT(M634/B634)))/C634)/100))),0,(IF(B634=C634,M634/C634,(INT(M634/B634)+(((M634-B634*INT(M634/B634)))/C634)/100))))</f>
        <v>0</v>
      </c>
      <c r="AY634" s="57">
        <f>IF(ISERROR(IF(B634=C634,N634/C634,IF((INT(N634/B634)+(((N634-B634*INT(N634/B634)))/C634)/100)&lt;0,(INT(N634/B634)+(((N634-B634*INT(N634/B634)))/C634)/100)+(1-(B634/C634/100)),(INT(N634/B634)+(((N634-B634*INT(N634/B634)))/C634)/100)))),0,IF(B634=C634,N634/C634,IF((INT(N634/B634)+(((N634-B634*INT(N634/B634)))/C634)/100)&lt;0,(INT(N634/B634)+(((N634-B634*INT(N634/B634)))/C634)/100)+(1-(B634/C634/100)),(INT(N634/B634)+(((N634-B634*INT(N634/B634)))/C634)/100))))</f>
        <v>0</v>
      </c>
      <c r="AZ634" s="57">
        <f>IF(ISERROR(IF(B634=C634,O634/C634,(INT(O634/B634)+(((O634-B634*INT(O634/B634)))/C634)/100))),0,(IF(B634=C634,O634/C634,(INT(O634/B634)+(((O634-B634*INT(O634/B634)))/C634)/100))))</f>
        <v>0</v>
      </c>
      <c r="BA634" s="57">
        <f>IF(ISERROR(IF(B634=C634,P634/C634,IF((INT(P634/B634)+(((P634-B634*INT(P634/B634)))/C634)/100)&lt;0,(INT(P634/B634)+(((P634-B634*INT(P634/B634)))/C634)/100)+(1-(B634/C634/100)),(INT(P634/B634)+(((P634-B634*INT(P634/B634)))/C634)/100)))),0,IF(B634=C634,P634/C634,IF((INT(P634/B634)+(((P634-B634*INT(P634/B634)))/C634)/100)&lt;0,(INT(P634/B634)+(((P634-B634*INT(P634/B634)))/C634)/100)+(1-(B634/C634/100)),(INT(P634/B634)+(((P634-B634*INT(P634/B634)))/C634)/100))))</f>
        <v>0</v>
      </c>
      <c r="BB634" s="28">
        <f>R634</f>
        <v>0</v>
      </c>
      <c r="BC634" s="28">
        <f>S634</f>
        <v>0</v>
      </c>
      <c r="BD634" s="28">
        <f>AF634</f>
        <v>0</v>
      </c>
      <c r="BE634" s="28">
        <f>T634</f>
        <v>0</v>
      </c>
      <c r="BG634" s="57">
        <f>IF(ISERROR(IF(B634=C634,V634/C634,(INT(V634/B634)+(((V634-B634*INT(V634/B634)))/C634)/100))),0,(IF(B634=C634,V634/C634,(INT(V634/B634)+(((V634-B634*INT(V634/B634)))/C634)/100))))</f>
        <v>0</v>
      </c>
      <c r="BH634" s="57">
        <f>IF(ISERROR(IF(B634=C634,W634/C634,(INT(W634/B634)+(((W634-B634*INT(W634/B634)))/C634)/100))),0,(IF(B634=C634,W634/C634,(INT(W634/B634)+(((W634-B634*INT(W634/B634)))/C634)/100))))</f>
        <v>0</v>
      </c>
      <c r="BI634" s="57">
        <f>IF(ISERROR(IF(B634=C634,X634/C634,(INT(X634/B634)+(((X634-B634*INT(X634/B634)))/C634)/100))),0,(IF(B634=C634,X634/C634,(INT(X634/B634)+(((X634-B634*INT(X634/B634)))/C634)/100))))</f>
        <v>0</v>
      </c>
      <c r="BJ634" s="57">
        <f>IF(ISERROR(IF(B634=C634,Y634/C634,(INT(Y634/B634)+(((Y634-B634*INT(Y634/B634)))/C634)/100))),0,(IF(B634=C634,Y634/C634,(INT(Y634/B634)+(((Y634-B634*INT(Y634/B634)))/C634)/100))))</f>
        <v>0</v>
      </c>
      <c r="BL634" s="57">
        <f>IF(ISERROR(IF(B634=C634,AA634/C634,(INT(AA634/B634)+(((AA634-B634*INT(AA634/B634)))/C634)/100))),0,(IF(B634=C634,AA634/C634,(INT(AA634/B634)+(((AA634-B634*INT(AA634/B634)))/C634)/100))))</f>
        <v>0</v>
      </c>
      <c r="BM634" s="57">
        <f>IF(ISERROR(IF(B634=C634,AB634/C634,(INT(AB634/B634)+(((AB634-B634*INT(AB634/B634)))/C634)/100))),0,(IF(B634=C634,AB634/C634,(INT(AB634/B634)+(((AB634-B634*INT(AB634/B634)))/C634)/100))))</f>
        <v>0</v>
      </c>
      <c r="BN634" s="57">
        <f>IF(ISERROR(IF(B634=C634,AC634/C634,(INT(AC634/B634)+(((AC634-B634*INT(AC634/B634)))/C634)/100))),0,(IF(B634=C634,AC634/C634,(INT(AC634/B634)+(((AC634-B634*INT(AC634/B634)))/C634)/100))))</f>
        <v>0</v>
      </c>
      <c r="BO634" s="57">
        <f>IF(ISERROR(IF(B634=C634,AD634/C634,(INT(AD634/B634)+(((AD634-B634*INT(AD634/B634)))/C634)/100))),0,(IF(B634=C634,AD634/C634,(INT(AD634/B634)+(((AD634-B634*INT(AD634/B634)))/C634)/100))))</f>
        <v>0</v>
      </c>
      <c r="BQ634" s="155"/>
    </row>
    <row r="635" spans="1:69" hidden="1" x14ac:dyDescent="0.35">
      <c r="A635" s="94"/>
      <c r="B635" s="113">
        <v>0</v>
      </c>
      <c r="C635" s="113">
        <v>250</v>
      </c>
      <c r="D635" s="28">
        <f>SUM(AA635:AD635)</f>
        <v>0</v>
      </c>
      <c r="E635" s="113">
        <v>0</v>
      </c>
      <c r="F635" s="113">
        <v>0</v>
      </c>
      <c r="G635" s="28">
        <f>SUM(D635:F635)</f>
        <v>0</v>
      </c>
      <c r="H635" s="125">
        <v>0</v>
      </c>
      <c r="I635" s="113">
        <v>0</v>
      </c>
      <c r="J635" s="125">
        <v>0</v>
      </c>
      <c r="K635" s="113">
        <v>0</v>
      </c>
      <c r="L635" s="113">
        <v>0</v>
      </c>
      <c r="M635" s="113">
        <v>0</v>
      </c>
      <c r="N635" s="28">
        <f>G635-SUM(H635:M635)</f>
        <v>0</v>
      </c>
      <c r="O635" s="28">
        <f>SUM(V635:Y635)</f>
        <v>0</v>
      </c>
      <c r="P635" s="28">
        <f>O635-N635</f>
        <v>0</v>
      </c>
      <c r="Q635" s="61" t="str">
        <f>IF(ISERROR(P635/SUM(H635:L635)),"",P635/SUM(H635:L635))</f>
        <v/>
      </c>
      <c r="R635" s="113">
        <v>0</v>
      </c>
      <c r="S635" s="28">
        <f>IF(ISERROR(P635/C635*R635),0,(P635/C635*R635))</f>
        <v>0</v>
      </c>
      <c r="T635" s="60">
        <f>IF(ISERROR(P635/B635*AF635),0,(P635/B635*AF635))</f>
        <v>0</v>
      </c>
      <c r="V635" s="113">
        <v>0</v>
      </c>
      <c r="W635" s="113">
        <v>0</v>
      </c>
      <c r="X635" s="113">
        <v>0</v>
      </c>
      <c r="Y635" s="113">
        <v>0</v>
      </c>
      <c r="AA635" s="113">
        <v>0</v>
      </c>
      <c r="AB635" s="113">
        <v>0</v>
      </c>
      <c r="AC635" s="113">
        <v>0</v>
      </c>
      <c r="AD635" s="113">
        <v>0</v>
      </c>
      <c r="AF635" s="113">
        <v>0</v>
      </c>
      <c r="AG635" s="28">
        <f>G635-O635</f>
        <v>0</v>
      </c>
      <c r="AH635" s="58">
        <f>IF(ISERROR(AG635/B635*AF635),0,(AG635/B635*AF635))</f>
        <v>0</v>
      </c>
      <c r="AI635" s="28">
        <f>SUM(H635:M635)</f>
        <v>0</v>
      </c>
      <c r="AJ635" s="28">
        <f>IF(ISERROR(AI635/B635*AF635),0,(AI635/B635*AF635))</f>
        <v>0</v>
      </c>
      <c r="AK635" s="58">
        <f>IF(ISERROR(O635/B635*AF635),0,(O635/B635*AF635))</f>
        <v>0</v>
      </c>
      <c r="AL635" s="28">
        <f>IF(ISERROR(H635/B635*AF635),0,(H635/B635*AF635))</f>
        <v>0</v>
      </c>
      <c r="AN635" s="51">
        <f>A635</f>
        <v>0</v>
      </c>
      <c r="AO635" s="57">
        <f>IF(ISERROR(IF(B635=C635,D635/C635,(INT(D635/B635)+(((D635-B635*INT(D635/B635)))/C635)/100))),0,(IF(B635=C635,D635/C635,(INT(D635/B635)+(((D635-B635*INT(D635/B635)))/C635)/100))))</f>
        <v>0</v>
      </c>
      <c r="AP635" s="57">
        <f>IF(ISERROR(IF(B635=C635,E635/C635,(INT(E635/B635)+(((E635-B635*INT(E635/B635)))/C635)/100))),0,(IF(B635=C635,E635/C635,(INT(E635/B635)+(((E635-B635*INT(E635/B635)))/C635)/100))))</f>
        <v>0</v>
      </c>
      <c r="AQ635" s="57">
        <f>IF(ISERROR(IF(B635=C635,F635/C635,IF((INT(F635/B635)+(((F635-B635*INT(F635/B635)))/C635)/100)&lt;0,(INT(F635/B635)+(((F635-B635*INT(F635/B635)))/C635)/100)+(1-(B635/C635/100)),(INT(F635/B635)+(((F635-B635*INT(F635/B635)))/C635)/100)))),0,IF(B635=C635,F635/C635,IF((INT(F635/B635)+(((F635-B635*INT(F635/B635)))/C635)/100)&lt;0,(INT(F635/B635)+(((F635-B635*INT(F635/B635)))/C635)/100)+(1-(B635/C635/100)),(INT(F635/B635)+(((F635-B635*INT(F635/B635)))/C635)/100))))</f>
        <v>0</v>
      </c>
      <c r="AR635" s="57">
        <f>IF(ISERROR(IF(B635=C635,G635/C635,(INT(G635/B635)+(((G635-B635*INT(G635/B635)))/C635)/100))),0,(IF(B635=C635,G635/C635,(INT(G635/B635)+(((G635-B635*INT(G635/B635)))/C635)/100))))</f>
        <v>0</v>
      </c>
      <c r="AS635" s="57">
        <f>IF(ISERROR(IF(B635=C635,H635/C635,(INT(H635/B635)+(((H635-B635*INT(H635/B635)))/C635)/100))),0,(IF(B635=C635,H635/C635,(INT(H635/B635)+(((H635-B635*INT(H635/B635)))/C635)/100))))</f>
        <v>0</v>
      </c>
      <c r="AT635" s="57">
        <f>IF(ISERROR(IF(B635=C635,I635/C635,(INT(I635/B635)+(((I635-B635*INT(I635/B635)))/C635)/100))),0,(IF(B635=C635,I635/C635,(INT(I635/B635)+(((I635-B635*INT(I635/B635)))/C635)/100))))</f>
        <v>0</v>
      </c>
      <c r="AU635" s="57">
        <f>IF(ISERROR(IF(B635=C635,J635/C635,(INT(J635/B635)+(((J635-B635*INT(J635/B635)))/C635)/100))),0,(IF(B635=C635,J635/C635,(INT(J635/B635)+(((J635-B635*INT(J635/B635)))/C635)/100))))</f>
        <v>0</v>
      </c>
      <c r="AV635" s="57">
        <f>IF(ISERROR(IF(B635=C635,K635/C635,IF((INT(K635/B635)+(((K635-B635*INT(K635/B635)))/C635)/100)&lt;0,(INT(K635/B635)+(((K635-B635*INT(K635/B635)))/C635)/100)+(1-(B635/C635/100)),(INT(K635/B635)+(((K635-B635*INT(K635/B635)))/C635)/100)))),0,IF(B635=C635,K635/C635,IF((INT(K635/B635)+(((K635-B635*INT(K635/B635)))/C635)/100)&lt;0,(INT(K635/B635)+(((K635-B635*INT(K635/B635)))/C635)/100)+(1-(B635/C635/100)),(INT(K635/B635)+(((K635-B635*INT(K635/B635)))/C635)/100))))</f>
        <v>0</v>
      </c>
      <c r="AW635" s="57">
        <f>IF(ISERROR(IF(B635=C635,L635/C635,(INT(L635/B635)+(((L635-B635*INT(L635/B635)))/C635)/100))),0,(IF(B635=C635,L635/C635,(INT(L635/B635)+(((L635-B635*INT(L635/B635)))/C635)/100))))</f>
        <v>0</v>
      </c>
      <c r="AX635" s="57">
        <f>IF(ISERROR(IF(B635=C635,M635/C635,(INT(M635/B635)+(((M635-B635*INT(M635/B635)))/C635)/100))),0,(IF(B635=C635,M635/C635,(INT(M635/B635)+(((M635-B635*INT(M635/B635)))/C635)/100))))</f>
        <v>0</v>
      </c>
      <c r="AY635" s="57">
        <f>IF(ISERROR(IF(B635=C635,N635/C635,IF((INT(N635/B635)+(((N635-B635*INT(N635/B635)))/C635)/100)&lt;0,(INT(N635/B635)+(((N635-B635*INT(N635/B635)))/C635)/100)+(1-(B635/C635/100)),(INT(N635/B635)+(((N635-B635*INT(N635/B635)))/C635)/100)))),0,IF(B635=C635,N635/C635,IF((INT(N635/B635)+(((N635-B635*INT(N635/B635)))/C635)/100)&lt;0,(INT(N635/B635)+(((N635-B635*INT(N635/B635)))/C635)/100)+(1-(B635/C635/100)),(INT(N635/B635)+(((N635-B635*INT(N635/B635)))/C635)/100))))</f>
        <v>0</v>
      </c>
      <c r="AZ635" s="57">
        <f>IF(ISERROR(IF(B635=C635,O635/C635,(INT(O635/B635)+(((O635-B635*INT(O635/B635)))/C635)/100))),0,(IF(B635=C635,O635/C635,(INT(O635/B635)+(((O635-B635*INT(O635/B635)))/C635)/100))))</f>
        <v>0</v>
      </c>
      <c r="BA635" s="57">
        <f>IF(ISERROR(IF(B635=C635,P635/C635,IF((INT(P635/B635)+(((P635-B635*INT(P635/B635)))/C635)/100)&lt;0,(INT(P635/B635)+(((P635-B635*INT(P635/B635)))/C635)/100)+(1-(B635/C635/100)),(INT(P635/B635)+(((P635-B635*INT(P635/B635)))/C635)/100)))),0,IF(B635=C635,P635/C635,IF((INT(P635/B635)+(((P635-B635*INT(P635/B635)))/C635)/100)&lt;0,(INT(P635/B635)+(((P635-B635*INT(P635/B635)))/C635)/100)+(1-(B635/C635/100)),(INT(P635/B635)+(((P635-B635*INT(P635/B635)))/C635)/100))))</f>
        <v>0</v>
      </c>
      <c r="BB635" s="28">
        <f>R635</f>
        <v>0</v>
      </c>
      <c r="BC635" s="28">
        <f>S635</f>
        <v>0</v>
      </c>
      <c r="BD635" s="28">
        <f>AF635</f>
        <v>0</v>
      </c>
      <c r="BE635" s="28">
        <f>T635</f>
        <v>0</v>
      </c>
      <c r="BG635" s="57">
        <f>IF(ISERROR(IF(B635=C635,V635/C635,(INT(V635/B635)+(((V635-B635*INT(V635/B635)))/C635)/100))),0,(IF(B635=C635,V635/C635,(INT(V635/B635)+(((V635-B635*INT(V635/B635)))/C635)/100))))</f>
        <v>0</v>
      </c>
      <c r="BH635" s="57">
        <f>IF(ISERROR(IF(B635=C635,W635/C635,(INT(W635/B635)+(((W635-B635*INT(W635/B635)))/C635)/100))),0,(IF(B635=C635,W635/C635,(INT(W635/B635)+(((W635-B635*INT(W635/B635)))/C635)/100))))</f>
        <v>0</v>
      </c>
      <c r="BI635" s="57">
        <f>IF(ISERROR(IF(B635=C635,X635/C635,(INT(X635/B635)+(((X635-B635*INT(X635/B635)))/C635)/100))),0,(IF(B635=C635,X635/C635,(INT(X635/B635)+(((X635-B635*INT(X635/B635)))/C635)/100))))</f>
        <v>0</v>
      </c>
      <c r="BJ635" s="57">
        <f>IF(ISERROR(IF(B635=C635,Y635/C635,(INT(Y635/B635)+(((Y635-B635*INT(Y635/B635)))/C635)/100))),0,(IF(B635=C635,Y635/C635,(INT(Y635/B635)+(((Y635-B635*INT(Y635/B635)))/C635)/100))))</f>
        <v>0</v>
      </c>
      <c r="BL635" s="57">
        <f>IF(ISERROR(IF(B635=C635,AA635/C635,(INT(AA635/B635)+(((AA635-B635*INT(AA635/B635)))/C635)/100))),0,(IF(B635=C635,AA635/C635,(INT(AA635/B635)+(((AA635-B635*INT(AA635/B635)))/C635)/100))))</f>
        <v>0</v>
      </c>
      <c r="BM635" s="57">
        <f>IF(ISERROR(IF(B635=C635,AB635/C635,(INT(AB635/B635)+(((AB635-B635*INT(AB635/B635)))/C635)/100))),0,(IF(B635=C635,AB635/C635,(INT(AB635/B635)+(((AB635-B635*INT(AB635/B635)))/C635)/100))))</f>
        <v>0</v>
      </c>
      <c r="BN635" s="57">
        <f>IF(ISERROR(IF(B635=C635,AC635/C635,(INT(AC635/B635)+(((AC635-B635*INT(AC635/B635)))/C635)/100))),0,(IF(B635=C635,AC635/C635,(INT(AC635/B635)+(((AC635-B635*INT(AC635/B635)))/C635)/100))))</f>
        <v>0</v>
      </c>
      <c r="BO635" s="57">
        <f>IF(ISERROR(IF(B635=C635,AD635/C635,(INT(AD635/B635)+(((AD635-B635*INT(AD635/B635)))/C635)/100))),0,(IF(B635=C635,AD635/C635,(INT(AD635/B635)+(((AD635-B635*INT(AD635/B635)))/C635)/100))))</f>
        <v>0</v>
      </c>
      <c r="BQ635" s="155"/>
    </row>
    <row r="636" spans="1:69" hidden="1" x14ac:dyDescent="0.35">
      <c r="A636" s="94"/>
      <c r="B636" s="113">
        <v>0</v>
      </c>
      <c r="C636" s="113">
        <v>250</v>
      </c>
      <c r="D636" s="28">
        <f>SUM(AA636:AD636)</f>
        <v>0</v>
      </c>
      <c r="E636" s="113">
        <v>0</v>
      </c>
      <c r="F636" s="113">
        <v>0</v>
      </c>
      <c r="G636" s="28">
        <f>SUM(D636:F636)</f>
        <v>0</v>
      </c>
      <c r="H636" s="125">
        <v>0</v>
      </c>
      <c r="I636" s="113">
        <v>0</v>
      </c>
      <c r="J636" s="125">
        <v>0</v>
      </c>
      <c r="K636" s="113">
        <v>0</v>
      </c>
      <c r="L636" s="113">
        <v>0</v>
      </c>
      <c r="M636" s="113">
        <v>0</v>
      </c>
      <c r="N636" s="28">
        <f>G636-SUM(H636:M636)</f>
        <v>0</v>
      </c>
      <c r="O636" s="28">
        <f>SUM(V636:Y636)</f>
        <v>0</v>
      </c>
      <c r="P636" s="28">
        <f>O636-N636</f>
        <v>0</v>
      </c>
      <c r="Q636" s="61" t="str">
        <f>IF(ISERROR(P636/SUM(H636:L636)),"",P636/SUM(H636:L636))</f>
        <v/>
      </c>
      <c r="R636" s="113">
        <v>0</v>
      </c>
      <c r="S636" s="28">
        <f>IF(ISERROR(P636/C636*R636),0,(P636/C636*R636))</f>
        <v>0</v>
      </c>
      <c r="T636" s="60">
        <f>IF(ISERROR(P636/B636*AF636),0,(P636/B636*AF636))</f>
        <v>0</v>
      </c>
      <c r="V636" s="113">
        <v>0</v>
      </c>
      <c r="W636" s="113">
        <v>0</v>
      </c>
      <c r="X636" s="113">
        <v>0</v>
      </c>
      <c r="Y636" s="113">
        <v>0</v>
      </c>
      <c r="AA636" s="113">
        <v>0</v>
      </c>
      <c r="AB636" s="113">
        <v>0</v>
      </c>
      <c r="AC636" s="113">
        <v>0</v>
      </c>
      <c r="AD636" s="113">
        <v>0</v>
      </c>
      <c r="AF636" s="113">
        <v>0</v>
      </c>
      <c r="AG636" s="28">
        <f>G636-O636</f>
        <v>0</v>
      </c>
      <c r="AH636" s="58">
        <f>IF(ISERROR(AG636/B636*AF636),0,(AG636/B636*AF636))</f>
        <v>0</v>
      </c>
      <c r="AI636" s="28">
        <f>SUM(H636:M636)</f>
        <v>0</v>
      </c>
      <c r="AJ636" s="28">
        <f>IF(ISERROR(AI636/B636*AF636),0,(AI636/B636*AF636))</f>
        <v>0</v>
      </c>
      <c r="AK636" s="58">
        <f>IF(ISERROR(O636/B636*AF636),0,(O636/B636*AF636))</f>
        <v>0</v>
      </c>
      <c r="AL636" s="28">
        <f>IF(ISERROR(H636/B636*AF636),0,(H636/B636*AF636))</f>
        <v>0</v>
      </c>
      <c r="AN636" s="51">
        <f>A636</f>
        <v>0</v>
      </c>
      <c r="AO636" s="57">
        <f>IF(ISERROR(IF(B636=C636,D636/C636,(INT(D636/B636)+(((D636-B636*INT(D636/B636)))/C636)/100))),0,(IF(B636=C636,D636/C636,(INT(D636/B636)+(((D636-B636*INT(D636/B636)))/C636)/100))))</f>
        <v>0</v>
      </c>
      <c r="AP636" s="57">
        <f>IF(ISERROR(IF(B636=C636,E636/C636,(INT(E636/B636)+(((E636-B636*INT(E636/B636)))/C636)/100))),0,(IF(B636=C636,E636/C636,(INT(E636/B636)+(((E636-B636*INT(E636/B636)))/C636)/100))))</f>
        <v>0</v>
      </c>
      <c r="AQ636" s="57">
        <f>IF(ISERROR(IF(B636=C636,F636/C636,IF((INT(F636/B636)+(((F636-B636*INT(F636/B636)))/C636)/100)&lt;0,(INT(F636/B636)+(((F636-B636*INT(F636/B636)))/C636)/100)+(1-(B636/C636/100)),(INT(F636/B636)+(((F636-B636*INT(F636/B636)))/C636)/100)))),0,IF(B636=C636,F636/C636,IF((INT(F636/B636)+(((F636-B636*INT(F636/B636)))/C636)/100)&lt;0,(INT(F636/B636)+(((F636-B636*INT(F636/B636)))/C636)/100)+(1-(B636/C636/100)),(INT(F636/B636)+(((F636-B636*INT(F636/B636)))/C636)/100))))</f>
        <v>0</v>
      </c>
      <c r="AR636" s="57">
        <f>IF(ISERROR(IF(B636=C636,G636/C636,(INT(G636/B636)+(((G636-B636*INT(G636/B636)))/C636)/100))),0,(IF(B636=C636,G636/C636,(INT(G636/B636)+(((G636-B636*INT(G636/B636)))/C636)/100))))</f>
        <v>0</v>
      </c>
      <c r="AS636" s="57">
        <f>IF(ISERROR(IF(B636=C636,H636/C636,(INT(H636/B636)+(((H636-B636*INT(H636/B636)))/C636)/100))),0,(IF(B636=C636,H636/C636,(INT(H636/B636)+(((H636-B636*INT(H636/B636)))/C636)/100))))</f>
        <v>0</v>
      </c>
      <c r="AT636" s="57">
        <f>IF(ISERROR(IF(B636=C636,I636/C636,(INT(I636/B636)+(((I636-B636*INT(I636/B636)))/C636)/100))),0,(IF(B636=C636,I636/C636,(INT(I636/B636)+(((I636-B636*INT(I636/B636)))/C636)/100))))</f>
        <v>0</v>
      </c>
      <c r="AU636" s="57">
        <f>IF(ISERROR(IF(B636=C636,J636/C636,(INT(J636/B636)+(((J636-B636*INT(J636/B636)))/C636)/100))),0,(IF(B636=C636,J636/C636,(INT(J636/B636)+(((J636-B636*INT(J636/B636)))/C636)/100))))</f>
        <v>0</v>
      </c>
      <c r="AV636" s="57">
        <f>IF(ISERROR(IF(B636=C636,K636/C636,IF((INT(K636/B636)+(((K636-B636*INT(K636/B636)))/C636)/100)&lt;0,(INT(K636/B636)+(((K636-B636*INT(K636/B636)))/C636)/100)+(1-(B636/C636/100)),(INT(K636/B636)+(((K636-B636*INT(K636/B636)))/C636)/100)))),0,IF(B636=C636,K636/C636,IF((INT(K636/B636)+(((K636-B636*INT(K636/B636)))/C636)/100)&lt;0,(INT(K636/B636)+(((K636-B636*INT(K636/B636)))/C636)/100)+(1-(B636/C636/100)),(INT(K636/B636)+(((K636-B636*INT(K636/B636)))/C636)/100))))</f>
        <v>0</v>
      </c>
      <c r="AW636" s="57">
        <f>IF(ISERROR(IF(B636=C636,L636/C636,(INT(L636/B636)+(((L636-B636*INT(L636/B636)))/C636)/100))),0,(IF(B636=C636,L636/C636,(INT(L636/B636)+(((L636-B636*INT(L636/B636)))/C636)/100))))</f>
        <v>0</v>
      </c>
      <c r="AX636" s="57">
        <f>IF(ISERROR(IF(B636=C636,M636/C636,(INT(M636/B636)+(((M636-B636*INT(M636/B636)))/C636)/100))),0,(IF(B636=C636,M636/C636,(INT(M636/B636)+(((M636-B636*INT(M636/B636)))/C636)/100))))</f>
        <v>0</v>
      </c>
      <c r="AY636" s="57">
        <f>IF(ISERROR(IF(B636=C636,N636/C636,IF((INT(N636/B636)+(((N636-B636*INT(N636/B636)))/C636)/100)&lt;0,(INT(N636/B636)+(((N636-B636*INT(N636/B636)))/C636)/100)+(1-(B636/C636/100)),(INT(N636/B636)+(((N636-B636*INT(N636/B636)))/C636)/100)))),0,IF(B636=C636,N636/C636,IF((INT(N636/B636)+(((N636-B636*INT(N636/B636)))/C636)/100)&lt;0,(INT(N636/B636)+(((N636-B636*INT(N636/B636)))/C636)/100)+(1-(B636/C636/100)),(INT(N636/B636)+(((N636-B636*INT(N636/B636)))/C636)/100))))</f>
        <v>0</v>
      </c>
      <c r="AZ636" s="57">
        <f>IF(ISERROR(IF(B636=C636,O636/C636,(INT(O636/B636)+(((O636-B636*INT(O636/B636)))/C636)/100))),0,(IF(B636=C636,O636/C636,(INT(O636/B636)+(((O636-B636*INT(O636/B636)))/C636)/100))))</f>
        <v>0</v>
      </c>
      <c r="BA636" s="57">
        <f>IF(ISERROR(IF(B636=C636,P636/C636,IF((INT(P636/B636)+(((P636-B636*INT(P636/B636)))/C636)/100)&lt;0,(INT(P636/B636)+(((P636-B636*INT(P636/B636)))/C636)/100)+(1-(B636/C636/100)),(INT(P636/B636)+(((P636-B636*INT(P636/B636)))/C636)/100)))),0,IF(B636=C636,P636/C636,IF((INT(P636/B636)+(((P636-B636*INT(P636/B636)))/C636)/100)&lt;0,(INT(P636/B636)+(((P636-B636*INT(P636/B636)))/C636)/100)+(1-(B636/C636/100)),(INT(P636/B636)+(((P636-B636*INT(P636/B636)))/C636)/100))))</f>
        <v>0</v>
      </c>
      <c r="BB636" s="28">
        <f>R636</f>
        <v>0</v>
      </c>
      <c r="BC636" s="28">
        <f>S636</f>
        <v>0</v>
      </c>
      <c r="BD636" s="28">
        <f>AF636</f>
        <v>0</v>
      </c>
      <c r="BE636" s="28">
        <f>T636</f>
        <v>0</v>
      </c>
      <c r="BG636" s="57">
        <f>IF(ISERROR(IF(B636=C636,V636/C636,(INT(V636/B636)+(((V636-B636*INT(V636/B636)))/C636)/100))),0,(IF(B636=C636,V636/C636,(INT(V636/B636)+(((V636-B636*INT(V636/B636)))/C636)/100))))</f>
        <v>0</v>
      </c>
      <c r="BH636" s="57">
        <f>IF(ISERROR(IF(B636=C636,W636/C636,(INT(W636/B636)+(((W636-B636*INT(W636/B636)))/C636)/100))),0,(IF(B636=C636,W636/C636,(INT(W636/B636)+(((W636-B636*INT(W636/B636)))/C636)/100))))</f>
        <v>0</v>
      </c>
      <c r="BI636" s="57">
        <f>IF(ISERROR(IF(B636=C636,X636/C636,(INT(X636/B636)+(((X636-B636*INT(X636/B636)))/C636)/100))),0,(IF(B636=C636,X636/C636,(INT(X636/B636)+(((X636-B636*INT(X636/B636)))/C636)/100))))</f>
        <v>0</v>
      </c>
      <c r="BJ636" s="57">
        <f>IF(ISERROR(IF(B636=C636,Y636/C636,(INT(Y636/B636)+(((Y636-B636*INT(Y636/B636)))/C636)/100))),0,(IF(B636=C636,Y636/C636,(INT(Y636/B636)+(((Y636-B636*INT(Y636/B636)))/C636)/100))))</f>
        <v>0</v>
      </c>
      <c r="BL636" s="57">
        <f>IF(ISERROR(IF(B636=C636,AA636/C636,(INT(AA636/B636)+(((AA636-B636*INT(AA636/B636)))/C636)/100))),0,(IF(B636=C636,AA636/C636,(INT(AA636/B636)+(((AA636-B636*INT(AA636/B636)))/C636)/100))))</f>
        <v>0</v>
      </c>
      <c r="BM636" s="57">
        <f>IF(ISERROR(IF(B636=C636,AB636/C636,(INT(AB636/B636)+(((AB636-B636*INT(AB636/B636)))/C636)/100))),0,(IF(B636=C636,AB636/C636,(INT(AB636/B636)+(((AB636-B636*INT(AB636/B636)))/C636)/100))))</f>
        <v>0</v>
      </c>
      <c r="BN636" s="57">
        <f>IF(ISERROR(IF(B636=C636,AC636/C636,(INT(AC636/B636)+(((AC636-B636*INT(AC636/B636)))/C636)/100))),0,(IF(B636=C636,AC636/C636,(INT(AC636/B636)+(((AC636-B636*INT(AC636/B636)))/C636)/100))))</f>
        <v>0</v>
      </c>
      <c r="BO636" s="57">
        <f>IF(ISERROR(IF(B636=C636,AD636/C636,(INT(AD636/B636)+(((AD636-B636*INT(AD636/B636)))/C636)/100))),0,(IF(B636=C636,AD636/C636,(INT(AD636/B636)+(((AD636-B636*INT(AD636/B636)))/C636)/100))))</f>
        <v>0</v>
      </c>
      <c r="BQ636" s="155"/>
    </row>
    <row r="637" spans="1:69" hidden="1" x14ac:dyDescent="0.35">
      <c r="A637" s="94"/>
      <c r="B637" s="113">
        <v>0</v>
      </c>
      <c r="C637" s="113">
        <v>250</v>
      </c>
      <c r="D637" s="28">
        <f>SUM(AA637:AD637)</f>
        <v>0</v>
      </c>
      <c r="E637" s="113">
        <v>0</v>
      </c>
      <c r="F637" s="113">
        <v>0</v>
      </c>
      <c r="G637" s="28">
        <f>SUM(D637:F637)</f>
        <v>0</v>
      </c>
      <c r="H637" s="125">
        <v>0</v>
      </c>
      <c r="I637" s="113">
        <v>0</v>
      </c>
      <c r="J637" s="125">
        <v>0</v>
      </c>
      <c r="K637" s="113">
        <v>0</v>
      </c>
      <c r="L637" s="113">
        <v>0</v>
      </c>
      <c r="M637" s="113">
        <v>0</v>
      </c>
      <c r="N637" s="28">
        <f>G637-SUM(H637:M637)</f>
        <v>0</v>
      </c>
      <c r="O637" s="28">
        <f>SUM(V637:Y637)</f>
        <v>0</v>
      </c>
      <c r="P637" s="28">
        <f>O637-N637</f>
        <v>0</v>
      </c>
      <c r="Q637" s="61" t="str">
        <f>IF(ISERROR(P637/SUM(H637:L637)),"",P637/SUM(H637:L637))</f>
        <v/>
      </c>
      <c r="R637" s="113">
        <v>0</v>
      </c>
      <c r="S637" s="28">
        <f>IF(ISERROR(P637/C637*R637),0,(P637/C637*R637))</f>
        <v>0</v>
      </c>
      <c r="T637" s="60">
        <f>IF(ISERROR(P637/B637*AF637),0,(P637/B637*AF637))</f>
        <v>0</v>
      </c>
      <c r="V637" s="113">
        <v>0</v>
      </c>
      <c r="W637" s="113">
        <v>0</v>
      </c>
      <c r="X637" s="113">
        <v>0</v>
      </c>
      <c r="Y637" s="113">
        <v>0</v>
      </c>
      <c r="AA637" s="113">
        <v>0</v>
      </c>
      <c r="AB637" s="113">
        <v>0</v>
      </c>
      <c r="AC637" s="113">
        <v>0</v>
      </c>
      <c r="AD637" s="113">
        <v>0</v>
      </c>
      <c r="AF637" s="113">
        <v>0</v>
      </c>
      <c r="AG637" s="28">
        <f>G637-O637</f>
        <v>0</v>
      </c>
      <c r="AH637" s="58">
        <f>IF(ISERROR(AG637/B637*AF637),0,(AG637/B637*AF637))</f>
        <v>0</v>
      </c>
      <c r="AI637" s="28">
        <f>SUM(H637:M637)</f>
        <v>0</v>
      </c>
      <c r="AJ637" s="28">
        <f>IF(ISERROR(AI637/B637*AF637),0,(AI637/B637*AF637))</f>
        <v>0</v>
      </c>
      <c r="AK637" s="58">
        <f>IF(ISERROR(O637/B637*AF637),0,(O637/B637*AF637))</f>
        <v>0</v>
      </c>
      <c r="AL637" s="28">
        <f>IF(ISERROR(H637/B637*AF637),0,(H637/B637*AF637))</f>
        <v>0</v>
      </c>
      <c r="AN637" s="51">
        <f>A637</f>
        <v>0</v>
      </c>
      <c r="AO637" s="57">
        <f>IF(ISERROR(IF(B637=C637,D637/C637,(INT(D637/B637)+(((D637-B637*INT(D637/B637)))/C637)/100))),0,(IF(B637=C637,D637/C637,(INT(D637/B637)+(((D637-B637*INT(D637/B637)))/C637)/100))))</f>
        <v>0</v>
      </c>
      <c r="AP637" s="57">
        <f>IF(ISERROR(IF(B637=C637,E637/C637,(INT(E637/B637)+(((E637-B637*INT(E637/B637)))/C637)/100))),0,(IF(B637=C637,E637/C637,(INT(E637/B637)+(((E637-B637*INT(E637/B637)))/C637)/100))))</f>
        <v>0</v>
      </c>
      <c r="AQ637" s="57">
        <f>IF(ISERROR(IF(B637=C637,F637/C637,IF((INT(F637/B637)+(((F637-B637*INT(F637/B637)))/C637)/100)&lt;0,(INT(F637/B637)+(((F637-B637*INT(F637/B637)))/C637)/100)+(1-(B637/C637/100)),(INT(F637/B637)+(((F637-B637*INT(F637/B637)))/C637)/100)))),0,IF(B637=C637,F637/C637,IF((INT(F637/B637)+(((F637-B637*INT(F637/B637)))/C637)/100)&lt;0,(INT(F637/B637)+(((F637-B637*INT(F637/B637)))/C637)/100)+(1-(B637/C637/100)),(INT(F637/B637)+(((F637-B637*INT(F637/B637)))/C637)/100))))</f>
        <v>0</v>
      </c>
      <c r="AR637" s="57">
        <f>IF(ISERROR(IF(B637=C637,G637/C637,(INT(G637/B637)+(((G637-B637*INT(G637/B637)))/C637)/100))),0,(IF(B637=C637,G637/C637,(INT(G637/B637)+(((G637-B637*INT(G637/B637)))/C637)/100))))</f>
        <v>0</v>
      </c>
      <c r="AS637" s="57">
        <f>IF(ISERROR(IF(B637=C637,H637/C637,(INT(H637/B637)+(((H637-B637*INT(H637/B637)))/C637)/100))),0,(IF(B637=C637,H637/C637,(INT(H637/B637)+(((H637-B637*INT(H637/B637)))/C637)/100))))</f>
        <v>0</v>
      </c>
      <c r="AT637" s="57">
        <f>IF(ISERROR(IF(B637=C637,I637/C637,(INT(I637/B637)+(((I637-B637*INT(I637/B637)))/C637)/100))),0,(IF(B637=C637,I637/C637,(INT(I637/B637)+(((I637-B637*INT(I637/B637)))/C637)/100))))</f>
        <v>0</v>
      </c>
      <c r="AU637" s="57">
        <f>IF(ISERROR(IF(B637=C637,J637/C637,(INT(J637/B637)+(((J637-B637*INT(J637/B637)))/C637)/100))),0,(IF(B637=C637,J637/C637,(INT(J637/B637)+(((J637-B637*INT(J637/B637)))/C637)/100))))</f>
        <v>0</v>
      </c>
      <c r="AV637" s="57">
        <f>IF(ISERROR(IF(B637=C637,K637/C637,IF((INT(K637/B637)+(((K637-B637*INT(K637/B637)))/C637)/100)&lt;0,(INT(K637/B637)+(((K637-B637*INT(K637/B637)))/C637)/100)+(1-(B637/C637/100)),(INT(K637/B637)+(((K637-B637*INT(K637/B637)))/C637)/100)))),0,IF(B637=C637,K637/C637,IF((INT(K637/B637)+(((K637-B637*INT(K637/B637)))/C637)/100)&lt;0,(INT(K637/B637)+(((K637-B637*INT(K637/B637)))/C637)/100)+(1-(B637/C637/100)),(INT(K637/B637)+(((K637-B637*INT(K637/B637)))/C637)/100))))</f>
        <v>0</v>
      </c>
      <c r="AW637" s="57">
        <f>IF(ISERROR(IF(B637=C637,L637/C637,(INT(L637/B637)+(((L637-B637*INT(L637/B637)))/C637)/100))),0,(IF(B637=C637,L637/C637,(INT(L637/B637)+(((L637-B637*INT(L637/B637)))/C637)/100))))</f>
        <v>0</v>
      </c>
      <c r="AX637" s="57">
        <f>IF(ISERROR(IF(B637=C637,M637/C637,(INT(M637/B637)+(((M637-B637*INT(M637/B637)))/C637)/100))),0,(IF(B637=C637,M637/C637,(INT(M637/B637)+(((M637-B637*INT(M637/B637)))/C637)/100))))</f>
        <v>0</v>
      </c>
      <c r="AY637" s="57">
        <f>IF(ISERROR(IF(B637=C637,N637/C637,IF((INT(N637/B637)+(((N637-B637*INT(N637/B637)))/C637)/100)&lt;0,(INT(N637/B637)+(((N637-B637*INT(N637/B637)))/C637)/100)+(1-(B637/C637/100)),(INT(N637/B637)+(((N637-B637*INT(N637/B637)))/C637)/100)))),0,IF(B637=C637,N637/C637,IF((INT(N637/B637)+(((N637-B637*INT(N637/B637)))/C637)/100)&lt;0,(INT(N637/B637)+(((N637-B637*INT(N637/B637)))/C637)/100)+(1-(B637/C637/100)),(INT(N637/B637)+(((N637-B637*INT(N637/B637)))/C637)/100))))</f>
        <v>0</v>
      </c>
      <c r="AZ637" s="57">
        <f>IF(ISERROR(IF(B637=C637,O637/C637,(INT(O637/B637)+(((O637-B637*INT(O637/B637)))/C637)/100))),0,(IF(B637=C637,O637/C637,(INT(O637/B637)+(((O637-B637*INT(O637/B637)))/C637)/100))))</f>
        <v>0</v>
      </c>
      <c r="BA637" s="57">
        <f>IF(ISERROR(IF(B637=C637,P637/C637,IF((INT(P637/B637)+(((P637-B637*INT(P637/B637)))/C637)/100)&lt;0,(INT(P637/B637)+(((P637-B637*INT(P637/B637)))/C637)/100)+(1-(B637/C637/100)),(INT(P637/B637)+(((P637-B637*INT(P637/B637)))/C637)/100)))),0,IF(B637=C637,P637/C637,IF((INT(P637/B637)+(((P637-B637*INT(P637/B637)))/C637)/100)&lt;0,(INT(P637/B637)+(((P637-B637*INT(P637/B637)))/C637)/100)+(1-(B637/C637/100)),(INT(P637/B637)+(((P637-B637*INT(P637/B637)))/C637)/100))))</f>
        <v>0</v>
      </c>
      <c r="BB637" s="28">
        <f>R637</f>
        <v>0</v>
      </c>
      <c r="BC637" s="28">
        <f>S637</f>
        <v>0</v>
      </c>
      <c r="BD637" s="28">
        <f>AF637</f>
        <v>0</v>
      </c>
      <c r="BE637" s="28">
        <f>T637</f>
        <v>0</v>
      </c>
      <c r="BG637" s="57">
        <f>IF(ISERROR(IF(B637=C637,V637/C637,(INT(V637/B637)+(((V637-B637*INT(V637/B637)))/C637)/100))),0,(IF(B637=C637,V637/C637,(INT(V637/B637)+(((V637-B637*INT(V637/B637)))/C637)/100))))</f>
        <v>0</v>
      </c>
      <c r="BH637" s="57">
        <f>IF(ISERROR(IF(B637=C637,W637/C637,(INT(W637/B637)+(((W637-B637*INT(W637/B637)))/C637)/100))),0,(IF(B637=C637,W637/C637,(INT(W637/B637)+(((W637-B637*INT(W637/B637)))/C637)/100))))</f>
        <v>0</v>
      </c>
      <c r="BI637" s="57">
        <f>IF(ISERROR(IF(B637=C637,X637/C637,(INT(X637/B637)+(((X637-B637*INT(X637/B637)))/C637)/100))),0,(IF(B637=C637,X637/C637,(INT(X637/B637)+(((X637-B637*INT(X637/B637)))/C637)/100))))</f>
        <v>0</v>
      </c>
      <c r="BJ637" s="57">
        <f>IF(ISERROR(IF(B637=C637,Y637/C637,(INT(Y637/B637)+(((Y637-B637*INT(Y637/B637)))/C637)/100))),0,(IF(B637=C637,Y637/C637,(INT(Y637/B637)+(((Y637-B637*INT(Y637/B637)))/C637)/100))))</f>
        <v>0</v>
      </c>
      <c r="BL637" s="57">
        <f>IF(ISERROR(IF(B637=C637,AA637/C637,(INT(AA637/B637)+(((AA637-B637*INT(AA637/B637)))/C637)/100))),0,(IF(B637=C637,AA637/C637,(INT(AA637/B637)+(((AA637-B637*INT(AA637/B637)))/C637)/100))))</f>
        <v>0</v>
      </c>
      <c r="BM637" s="57">
        <f>IF(ISERROR(IF(B637=C637,AB637/C637,(INT(AB637/B637)+(((AB637-B637*INT(AB637/B637)))/C637)/100))),0,(IF(B637=C637,AB637/C637,(INT(AB637/B637)+(((AB637-B637*INT(AB637/B637)))/C637)/100))))</f>
        <v>0</v>
      </c>
      <c r="BN637" s="57">
        <f>IF(ISERROR(IF(B637=C637,AC637/C637,(INT(AC637/B637)+(((AC637-B637*INT(AC637/B637)))/C637)/100))),0,(IF(B637=C637,AC637/C637,(INT(AC637/B637)+(((AC637-B637*INT(AC637/B637)))/C637)/100))))</f>
        <v>0</v>
      </c>
      <c r="BO637" s="57">
        <f>IF(ISERROR(IF(B637=C637,AD637/C637,(INT(AD637/B637)+(((AD637-B637*INT(AD637/B637)))/C637)/100))),0,(IF(B637=C637,AD637/C637,(INT(AD637/B637)+(((AD637-B637*INT(AD637/B637)))/C637)/100))))</f>
        <v>0</v>
      </c>
      <c r="BQ637" s="155"/>
    </row>
    <row r="638" spans="1:69" hidden="1" x14ac:dyDescent="0.35">
      <c r="A638" s="94"/>
      <c r="B638" s="113">
        <v>0</v>
      </c>
      <c r="C638" s="113">
        <v>250</v>
      </c>
      <c r="D638" s="28">
        <f>SUM(AA638:AD638)</f>
        <v>0</v>
      </c>
      <c r="E638" s="113">
        <v>0</v>
      </c>
      <c r="F638" s="113">
        <v>0</v>
      </c>
      <c r="G638" s="28">
        <f>SUM(D638:F638)</f>
        <v>0</v>
      </c>
      <c r="H638" s="125">
        <v>0</v>
      </c>
      <c r="I638" s="113">
        <v>0</v>
      </c>
      <c r="J638" s="125">
        <v>0</v>
      </c>
      <c r="K638" s="113">
        <v>0</v>
      </c>
      <c r="L638" s="113">
        <v>0</v>
      </c>
      <c r="M638" s="113">
        <v>0</v>
      </c>
      <c r="N638" s="28">
        <f>G638-SUM(H638:M638)</f>
        <v>0</v>
      </c>
      <c r="O638" s="28">
        <f>SUM(V638:Y638)</f>
        <v>0</v>
      </c>
      <c r="P638" s="28">
        <f>O638-N638</f>
        <v>0</v>
      </c>
      <c r="Q638" s="61" t="str">
        <f>IF(ISERROR(P638/SUM(H638:L638)),"",P638/SUM(H638:L638))</f>
        <v/>
      </c>
      <c r="R638" s="113">
        <v>0</v>
      </c>
      <c r="S638" s="28">
        <f>IF(ISERROR(P638/C638*R638),0,(P638/C638*R638))</f>
        <v>0</v>
      </c>
      <c r="T638" s="60">
        <f>IF(ISERROR(P638/B638*AF638),0,(P638/B638*AF638))</f>
        <v>0</v>
      </c>
      <c r="V638" s="113">
        <v>0</v>
      </c>
      <c r="W638" s="113">
        <v>0</v>
      </c>
      <c r="X638" s="113">
        <v>0</v>
      </c>
      <c r="Y638" s="113">
        <v>0</v>
      </c>
      <c r="AA638" s="113">
        <v>0</v>
      </c>
      <c r="AB638" s="113">
        <v>0</v>
      </c>
      <c r="AC638" s="113">
        <v>0</v>
      </c>
      <c r="AD638" s="113">
        <v>0</v>
      </c>
      <c r="AF638" s="113">
        <v>0</v>
      </c>
      <c r="AG638" s="28">
        <f>G638-O638</f>
        <v>0</v>
      </c>
      <c r="AH638" s="58">
        <f>IF(ISERROR(AG638/B638*AF638),0,(AG638/B638*AF638))</f>
        <v>0</v>
      </c>
      <c r="AI638" s="28">
        <f>SUM(H638:M638)</f>
        <v>0</v>
      </c>
      <c r="AJ638" s="28">
        <f>IF(ISERROR(AI638/B638*AF638),0,(AI638/B638*AF638))</f>
        <v>0</v>
      </c>
      <c r="AK638" s="58">
        <f>IF(ISERROR(O638/B638*AF638),0,(O638/B638*AF638))</f>
        <v>0</v>
      </c>
      <c r="AL638" s="28">
        <f>IF(ISERROR(H638/B638*AF638),0,(H638/B638*AF638))</f>
        <v>0</v>
      </c>
      <c r="AN638" s="51">
        <f>A638</f>
        <v>0</v>
      </c>
      <c r="AO638" s="57">
        <f>IF(ISERROR(IF(B638=C638,D638/C638,(INT(D638/B638)+(((D638-B638*INT(D638/B638)))/C638)/100))),0,(IF(B638=C638,D638/C638,(INT(D638/B638)+(((D638-B638*INT(D638/B638)))/C638)/100))))</f>
        <v>0</v>
      </c>
      <c r="AP638" s="57">
        <f>IF(ISERROR(IF(B638=C638,E638/C638,(INT(E638/B638)+(((E638-B638*INT(E638/B638)))/C638)/100))),0,(IF(B638=C638,E638/C638,(INT(E638/B638)+(((E638-B638*INT(E638/B638)))/C638)/100))))</f>
        <v>0</v>
      </c>
      <c r="AQ638" s="57">
        <f>IF(ISERROR(IF(B638=C638,F638/C638,IF((INT(F638/B638)+(((F638-B638*INT(F638/B638)))/C638)/100)&lt;0,(INT(F638/B638)+(((F638-B638*INT(F638/B638)))/C638)/100)+(1-(B638/C638/100)),(INT(F638/B638)+(((F638-B638*INT(F638/B638)))/C638)/100)))),0,IF(B638=C638,F638/C638,IF((INT(F638/B638)+(((F638-B638*INT(F638/B638)))/C638)/100)&lt;0,(INT(F638/B638)+(((F638-B638*INT(F638/B638)))/C638)/100)+(1-(B638/C638/100)),(INT(F638/B638)+(((F638-B638*INT(F638/B638)))/C638)/100))))</f>
        <v>0</v>
      </c>
      <c r="AR638" s="57">
        <f>IF(ISERROR(IF(B638=C638,G638/C638,(INT(G638/B638)+(((G638-B638*INT(G638/B638)))/C638)/100))),0,(IF(B638=C638,G638/C638,(INT(G638/B638)+(((G638-B638*INT(G638/B638)))/C638)/100))))</f>
        <v>0</v>
      </c>
      <c r="AS638" s="57">
        <f>IF(ISERROR(IF(B638=C638,H638/C638,(INT(H638/B638)+(((H638-B638*INT(H638/B638)))/C638)/100))),0,(IF(B638=C638,H638/C638,(INT(H638/B638)+(((H638-B638*INT(H638/B638)))/C638)/100))))</f>
        <v>0</v>
      </c>
      <c r="AT638" s="57">
        <f>IF(ISERROR(IF(B638=C638,I638/C638,(INT(I638/B638)+(((I638-B638*INT(I638/B638)))/C638)/100))),0,(IF(B638=C638,I638/C638,(INT(I638/B638)+(((I638-B638*INT(I638/B638)))/C638)/100))))</f>
        <v>0</v>
      </c>
      <c r="AU638" s="57">
        <f>IF(ISERROR(IF(B638=C638,J638/C638,(INT(J638/B638)+(((J638-B638*INT(J638/B638)))/C638)/100))),0,(IF(B638=C638,J638/C638,(INT(J638/B638)+(((J638-B638*INT(J638/B638)))/C638)/100))))</f>
        <v>0</v>
      </c>
      <c r="AV638" s="57">
        <f>IF(ISERROR(IF(B638=C638,K638/C638,IF((INT(K638/B638)+(((K638-B638*INT(K638/B638)))/C638)/100)&lt;0,(INT(K638/B638)+(((K638-B638*INT(K638/B638)))/C638)/100)+(1-(B638/C638/100)),(INT(K638/B638)+(((K638-B638*INT(K638/B638)))/C638)/100)))),0,IF(B638=C638,K638/C638,IF((INT(K638/B638)+(((K638-B638*INT(K638/B638)))/C638)/100)&lt;0,(INT(K638/B638)+(((K638-B638*INT(K638/B638)))/C638)/100)+(1-(B638/C638/100)),(INT(K638/B638)+(((K638-B638*INT(K638/B638)))/C638)/100))))</f>
        <v>0</v>
      </c>
      <c r="AW638" s="57">
        <f>IF(ISERROR(IF(B638=C638,L638/C638,(INT(L638/B638)+(((L638-B638*INT(L638/B638)))/C638)/100))),0,(IF(B638=C638,L638/C638,(INT(L638/B638)+(((L638-B638*INT(L638/B638)))/C638)/100))))</f>
        <v>0</v>
      </c>
      <c r="AX638" s="57">
        <f>IF(ISERROR(IF(B638=C638,M638/C638,(INT(M638/B638)+(((M638-B638*INT(M638/B638)))/C638)/100))),0,(IF(B638=C638,M638/C638,(INT(M638/B638)+(((M638-B638*INT(M638/B638)))/C638)/100))))</f>
        <v>0</v>
      </c>
      <c r="AY638" s="57">
        <f>IF(ISERROR(IF(B638=C638,N638/C638,IF((INT(N638/B638)+(((N638-B638*INT(N638/B638)))/C638)/100)&lt;0,(INT(N638/B638)+(((N638-B638*INT(N638/B638)))/C638)/100)+(1-(B638/C638/100)),(INT(N638/B638)+(((N638-B638*INT(N638/B638)))/C638)/100)))),0,IF(B638=C638,N638/C638,IF((INT(N638/B638)+(((N638-B638*INT(N638/B638)))/C638)/100)&lt;0,(INT(N638/B638)+(((N638-B638*INT(N638/B638)))/C638)/100)+(1-(B638/C638/100)),(INT(N638/B638)+(((N638-B638*INT(N638/B638)))/C638)/100))))</f>
        <v>0</v>
      </c>
      <c r="AZ638" s="57">
        <f>IF(ISERROR(IF(B638=C638,O638/C638,(INT(O638/B638)+(((O638-B638*INT(O638/B638)))/C638)/100))),0,(IF(B638=C638,O638/C638,(INT(O638/B638)+(((O638-B638*INT(O638/B638)))/C638)/100))))</f>
        <v>0</v>
      </c>
      <c r="BA638" s="57">
        <f>IF(ISERROR(IF(B638=C638,P638/C638,IF((INT(P638/B638)+(((P638-B638*INT(P638/B638)))/C638)/100)&lt;0,(INT(P638/B638)+(((P638-B638*INT(P638/B638)))/C638)/100)+(1-(B638/C638/100)),(INT(P638/B638)+(((P638-B638*INT(P638/B638)))/C638)/100)))),0,IF(B638=C638,P638/C638,IF((INT(P638/B638)+(((P638-B638*INT(P638/B638)))/C638)/100)&lt;0,(INT(P638/B638)+(((P638-B638*INT(P638/B638)))/C638)/100)+(1-(B638/C638/100)),(INT(P638/B638)+(((P638-B638*INT(P638/B638)))/C638)/100))))</f>
        <v>0</v>
      </c>
      <c r="BB638" s="28">
        <f>R638</f>
        <v>0</v>
      </c>
      <c r="BC638" s="28">
        <f>S638</f>
        <v>0</v>
      </c>
      <c r="BD638" s="28">
        <f>AF638</f>
        <v>0</v>
      </c>
      <c r="BE638" s="28">
        <f>T638</f>
        <v>0</v>
      </c>
      <c r="BG638" s="57">
        <f>IF(ISERROR(IF(B638=C638,V638/C638,(INT(V638/B638)+(((V638-B638*INT(V638/B638)))/C638)/100))),0,(IF(B638=C638,V638/C638,(INT(V638/B638)+(((V638-B638*INT(V638/B638)))/C638)/100))))</f>
        <v>0</v>
      </c>
      <c r="BH638" s="57">
        <f>IF(ISERROR(IF(B638=C638,W638/C638,(INT(W638/B638)+(((W638-B638*INT(W638/B638)))/C638)/100))),0,(IF(B638=C638,W638/C638,(INT(W638/B638)+(((W638-B638*INT(W638/B638)))/C638)/100))))</f>
        <v>0</v>
      </c>
      <c r="BI638" s="57">
        <f>IF(ISERROR(IF(B638=C638,X638/C638,(INT(X638/B638)+(((X638-B638*INT(X638/B638)))/C638)/100))),0,(IF(B638=C638,X638/C638,(INT(X638/B638)+(((X638-B638*INT(X638/B638)))/C638)/100))))</f>
        <v>0</v>
      </c>
      <c r="BJ638" s="57">
        <f>IF(ISERROR(IF(B638=C638,Y638/C638,(INT(Y638/B638)+(((Y638-B638*INT(Y638/B638)))/C638)/100))),0,(IF(B638=C638,Y638/C638,(INT(Y638/B638)+(((Y638-B638*INT(Y638/B638)))/C638)/100))))</f>
        <v>0</v>
      </c>
      <c r="BL638" s="57">
        <f>IF(ISERROR(IF(B638=C638,AA638/C638,(INT(AA638/B638)+(((AA638-B638*INT(AA638/B638)))/C638)/100))),0,(IF(B638=C638,AA638/C638,(INT(AA638/B638)+(((AA638-B638*INT(AA638/B638)))/C638)/100))))</f>
        <v>0</v>
      </c>
      <c r="BM638" s="57">
        <f>IF(ISERROR(IF(B638=C638,AB638/C638,(INT(AB638/B638)+(((AB638-B638*INT(AB638/B638)))/C638)/100))),0,(IF(B638=C638,AB638/C638,(INT(AB638/B638)+(((AB638-B638*INT(AB638/B638)))/C638)/100))))</f>
        <v>0</v>
      </c>
      <c r="BN638" s="57">
        <f>IF(ISERROR(IF(B638=C638,AC638/C638,(INT(AC638/B638)+(((AC638-B638*INT(AC638/B638)))/C638)/100))),0,(IF(B638=C638,AC638/C638,(INT(AC638/B638)+(((AC638-B638*INT(AC638/B638)))/C638)/100))))</f>
        <v>0</v>
      </c>
      <c r="BO638" s="57">
        <f>IF(ISERROR(IF(B638=C638,AD638/C638,(INT(AD638/B638)+(((AD638-B638*INT(AD638/B638)))/C638)/100))),0,(IF(B638=C638,AD638/C638,(INT(AD638/B638)+(((AD638-B638*INT(AD638/B638)))/C638)/100))))</f>
        <v>0</v>
      </c>
      <c r="BQ638" s="155"/>
    </row>
    <row r="639" spans="1:69" hidden="1" x14ac:dyDescent="0.35">
      <c r="A639" s="94"/>
      <c r="B639" s="113">
        <v>0</v>
      </c>
      <c r="C639" s="113">
        <v>250</v>
      </c>
      <c r="D639" s="28">
        <f>SUM(AA639:AD639)</f>
        <v>0</v>
      </c>
      <c r="E639" s="113">
        <v>0</v>
      </c>
      <c r="F639" s="113">
        <v>0</v>
      </c>
      <c r="G639" s="28">
        <f>SUM(D639:F639)</f>
        <v>0</v>
      </c>
      <c r="H639" s="125">
        <v>0</v>
      </c>
      <c r="I639" s="113">
        <v>0</v>
      </c>
      <c r="J639" s="125">
        <v>0</v>
      </c>
      <c r="K639" s="113">
        <v>0</v>
      </c>
      <c r="L639" s="113">
        <v>0</v>
      </c>
      <c r="M639" s="113">
        <v>0</v>
      </c>
      <c r="N639" s="28">
        <f>G639-SUM(H639:M639)</f>
        <v>0</v>
      </c>
      <c r="O639" s="28">
        <f>SUM(V639:Y639)</f>
        <v>0</v>
      </c>
      <c r="P639" s="28">
        <f>O639-N639</f>
        <v>0</v>
      </c>
      <c r="Q639" s="61" t="str">
        <f>IF(ISERROR(P639/SUM(H639:L639)),"",P639/SUM(H639:L639))</f>
        <v/>
      </c>
      <c r="R639" s="113">
        <v>0</v>
      </c>
      <c r="S639" s="28">
        <f>IF(ISERROR(P639/C639*R639),0,(P639/C639*R639))</f>
        <v>0</v>
      </c>
      <c r="T639" s="60">
        <f>IF(ISERROR(P639/B639*AF639),0,(P639/B639*AF639))</f>
        <v>0</v>
      </c>
      <c r="V639" s="113">
        <v>0</v>
      </c>
      <c r="W639" s="113">
        <v>0</v>
      </c>
      <c r="X639" s="113">
        <v>0</v>
      </c>
      <c r="Y639" s="113">
        <v>0</v>
      </c>
      <c r="AA639" s="113">
        <v>0</v>
      </c>
      <c r="AB639" s="113">
        <v>0</v>
      </c>
      <c r="AC639" s="113">
        <v>0</v>
      </c>
      <c r="AD639" s="113">
        <v>0</v>
      </c>
      <c r="AF639" s="113">
        <v>0</v>
      </c>
      <c r="AG639" s="28">
        <f>G639-O639</f>
        <v>0</v>
      </c>
      <c r="AH639" s="58">
        <f>IF(ISERROR(AG639/B639*AF639),0,(AG639/B639*AF639))</f>
        <v>0</v>
      </c>
      <c r="AI639" s="28">
        <f>SUM(H639:M639)</f>
        <v>0</v>
      </c>
      <c r="AJ639" s="28">
        <f>IF(ISERROR(AI639/B639*AF639),0,(AI639/B639*AF639))</f>
        <v>0</v>
      </c>
      <c r="AK639" s="58">
        <f>IF(ISERROR(O639/B639*AF639),0,(O639/B639*AF639))</f>
        <v>0</v>
      </c>
      <c r="AL639" s="28">
        <f>IF(ISERROR(H639/B639*AF639),0,(H639/B639*AF639))</f>
        <v>0</v>
      </c>
      <c r="AN639" s="51">
        <f>A639</f>
        <v>0</v>
      </c>
      <c r="AO639" s="57">
        <f>IF(ISERROR(IF(B639=C639,D639/C639,(INT(D639/B639)+(((D639-B639*INT(D639/B639)))/C639)/100))),0,(IF(B639=C639,D639/C639,(INT(D639/B639)+(((D639-B639*INT(D639/B639)))/C639)/100))))</f>
        <v>0</v>
      </c>
      <c r="AP639" s="57">
        <f>IF(ISERROR(IF(B639=C639,E639/C639,(INT(E639/B639)+(((E639-B639*INT(E639/B639)))/C639)/100))),0,(IF(B639=C639,E639/C639,(INT(E639/B639)+(((E639-B639*INT(E639/B639)))/C639)/100))))</f>
        <v>0</v>
      </c>
      <c r="AQ639" s="57">
        <f>IF(ISERROR(IF(B639=C639,F639/C639,IF((INT(F639/B639)+(((F639-B639*INT(F639/B639)))/C639)/100)&lt;0,(INT(F639/B639)+(((F639-B639*INT(F639/B639)))/C639)/100)+(1-(B639/C639/100)),(INT(F639/B639)+(((F639-B639*INT(F639/B639)))/C639)/100)))),0,IF(B639=C639,F639/C639,IF((INT(F639/B639)+(((F639-B639*INT(F639/B639)))/C639)/100)&lt;0,(INT(F639/B639)+(((F639-B639*INT(F639/B639)))/C639)/100)+(1-(B639/C639/100)),(INT(F639/B639)+(((F639-B639*INT(F639/B639)))/C639)/100))))</f>
        <v>0</v>
      </c>
      <c r="AR639" s="57">
        <f>IF(ISERROR(IF(B639=C639,G639/C639,(INT(G639/B639)+(((G639-B639*INT(G639/B639)))/C639)/100))),0,(IF(B639=C639,G639/C639,(INT(G639/B639)+(((G639-B639*INT(G639/B639)))/C639)/100))))</f>
        <v>0</v>
      </c>
      <c r="AS639" s="57">
        <f>IF(ISERROR(IF(B639=C639,H639/C639,(INT(H639/B639)+(((H639-B639*INT(H639/B639)))/C639)/100))),0,(IF(B639=C639,H639/C639,(INT(H639/B639)+(((H639-B639*INT(H639/B639)))/C639)/100))))</f>
        <v>0</v>
      </c>
      <c r="AT639" s="57">
        <f>IF(ISERROR(IF(B639=C639,I639/C639,(INT(I639/B639)+(((I639-B639*INT(I639/B639)))/C639)/100))),0,(IF(B639=C639,I639/C639,(INT(I639/B639)+(((I639-B639*INT(I639/B639)))/C639)/100))))</f>
        <v>0</v>
      </c>
      <c r="AU639" s="57">
        <f>IF(ISERROR(IF(B639=C639,J639/C639,(INT(J639/B639)+(((J639-B639*INT(J639/B639)))/C639)/100))),0,(IF(B639=C639,J639/C639,(INT(J639/B639)+(((J639-B639*INT(J639/B639)))/C639)/100))))</f>
        <v>0</v>
      </c>
      <c r="AV639" s="57">
        <f>IF(ISERROR(IF(B639=C639,K639/C639,IF((INT(K639/B639)+(((K639-B639*INT(K639/B639)))/C639)/100)&lt;0,(INT(K639/B639)+(((K639-B639*INT(K639/B639)))/C639)/100)+(1-(B639/C639/100)),(INT(K639/B639)+(((K639-B639*INT(K639/B639)))/C639)/100)))),0,IF(B639=C639,K639/C639,IF((INT(K639/B639)+(((K639-B639*INT(K639/B639)))/C639)/100)&lt;0,(INT(K639/B639)+(((K639-B639*INT(K639/B639)))/C639)/100)+(1-(B639/C639/100)),(INT(K639/B639)+(((K639-B639*INT(K639/B639)))/C639)/100))))</f>
        <v>0</v>
      </c>
      <c r="AW639" s="57">
        <f>IF(ISERROR(IF(B639=C639,L639/C639,(INT(L639/B639)+(((L639-B639*INT(L639/B639)))/C639)/100))),0,(IF(B639=C639,L639/C639,(INT(L639/B639)+(((L639-B639*INT(L639/B639)))/C639)/100))))</f>
        <v>0</v>
      </c>
      <c r="AX639" s="57">
        <f>IF(ISERROR(IF(B639=C639,M639/C639,(INT(M639/B639)+(((M639-B639*INT(M639/B639)))/C639)/100))),0,(IF(B639=C639,M639/C639,(INT(M639/B639)+(((M639-B639*INT(M639/B639)))/C639)/100))))</f>
        <v>0</v>
      </c>
      <c r="AY639" s="57">
        <f>IF(ISERROR(IF(B639=C639,N639/C639,IF((INT(N639/B639)+(((N639-B639*INT(N639/B639)))/C639)/100)&lt;0,(INT(N639/B639)+(((N639-B639*INT(N639/B639)))/C639)/100)+(1-(B639/C639/100)),(INT(N639/B639)+(((N639-B639*INT(N639/B639)))/C639)/100)))),0,IF(B639=C639,N639/C639,IF((INT(N639/B639)+(((N639-B639*INT(N639/B639)))/C639)/100)&lt;0,(INT(N639/B639)+(((N639-B639*INT(N639/B639)))/C639)/100)+(1-(B639/C639/100)),(INT(N639/B639)+(((N639-B639*INT(N639/B639)))/C639)/100))))</f>
        <v>0</v>
      </c>
      <c r="AZ639" s="57">
        <f>IF(ISERROR(IF(B639=C639,O639/C639,(INT(O639/B639)+(((O639-B639*INT(O639/B639)))/C639)/100))),0,(IF(B639=C639,O639/C639,(INT(O639/B639)+(((O639-B639*INT(O639/B639)))/C639)/100))))</f>
        <v>0</v>
      </c>
      <c r="BA639" s="57">
        <f>IF(ISERROR(IF(B639=C639,P639/C639,IF((INT(P639/B639)+(((P639-B639*INT(P639/B639)))/C639)/100)&lt;0,(INT(P639/B639)+(((P639-B639*INT(P639/B639)))/C639)/100)+(1-(B639/C639/100)),(INT(P639/B639)+(((P639-B639*INT(P639/B639)))/C639)/100)))),0,IF(B639=C639,P639/C639,IF((INT(P639/B639)+(((P639-B639*INT(P639/B639)))/C639)/100)&lt;0,(INT(P639/B639)+(((P639-B639*INT(P639/B639)))/C639)/100)+(1-(B639/C639/100)),(INT(P639/B639)+(((P639-B639*INT(P639/B639)))/C639)/100))))</f>
        <v>0</v>
      </c>
      <c r="BB639" s="28">
        <f>R639</f>
        <v>0</v>
      </c>
      <c r="BC639" s="28">
        <f>S639</f>
        <v>0</v>
      </c>
      <c r="BD639" s="28">
        <f>AF639</f>
        <v>0</v>
      </c>
      <c r="BE639" s="28">
        <f>T639</f>
        <v>0</v>
      </c>
      <c r="BG639" s="57">
        <f>IF(ISERROR(IF(B639=C639,V639/C639,(INT(V639/B639)+(((V639-B639*INT(V639/B639)))/C639)/100))),0,(IF(B639=C639,V639/C639,(INT(V639/B639)+(((V639-B639*INT(V639/B639)))/C639)/100))))</f>
        <v>0</v>
      </c>
      <c r="BH639" s="57">
        <f>IF(ISERROR(IF(B639=C639,W639/C639,(INT(W639/B639)+(((W639-B639*INT(W639/B639)))/C639)/100))),0,(IF(B639=C639,W639/C639,(INT(W639/B639)+(((W639-B639*INT(W639/B639)))/C639)/100))))</f>
        <v>0</v>
      </c>
      <c r="BI639" s="57">
        <f>IF(ISERROR(IF(B639=C639,X639/C639,(INT(X639/B639)+(((X639-B639*INT(X639/B639)))/C639)/100))),0,(IF(B639=C639,X639/C639,(INT(X639/B639)+(((X639-B639*INT(X639/B639)))/C639)/100))))</f>
        <v>0</v>
      </c>
      <c r="BJ639" s="57">
        <f>IF(ISERROR(IF(B639=C639,Y639/C639,(INT(Y639/B639)+(((Y639-B639*INT(Y639/B639)))/C639)/100))),0,(IF(B639=C639,Y639/C639,(INT(Y639/B639)+(((Y639-B639*INT(Y639/B639)))/C639)/100))))</f>
        <v>0</v>
      </c>
      <c r="BL639" s="57">
        <f>IF(ISERROR(IF(B639=C639,AA639/C639,(INT(AA639/B639)+(((AA639-B639*INT(AA639/B639)))/C639)/100))),0,(IF(B639=C639,AA639/C639,(INT(AA639/B639)+(((AA639-B639*INT(AA639/B639)))/C639)/100))))</f>
        <v>0</v>
      </c>
      <c r="BM639" s="57">
        <f>IF(ISERROR(IF(B639=C639,AB639/C639,(INT(AB639/B639)+(((AB639-B639*INT(AB639/B639)))/C639)/100))),0,(IF(B639=C639,AB639/C639,(INT(AB639/B639)+(((AB639-B639*INT(AB639/B639)))/C639)/100))))</f>
        <v>0</v>
      </c>
      <c r="BN639" s="57">
        <f>IF(ISERROR(IF(B639=C639,AC639/C639,(INT(AC639/B639)+(((AC639-B639*INT(AC639/B639)))/C639)/100))),0,(IF(B639=C639,AC639/C639,(INT(AC639/B639)+(((AC639-B639*INT(AC639/B639)))/C639)/100))))</f>
        <v>0</v>
      </c>
      <c r="BO639" s="57">
        <f>IF(ISERROR(IF(B639=C639,AD639/C639,(INT(AD639/B639)+(((AD639-B639*INT(AD639/B639)))/C639)/100))),0,(IF(B639=C639,AD639/C639,(INT(AD639/B639)+(((AD639-B639*INT(AD639/B639)))/C639)/100))))</f>
        <v>0</v>
      </c>
      <c r="BQ639" s="155"/>
    </row>
    <row r="640" spans="1:69" hidden="1" x14ac:dyDescent="0.35">
      <c r="A640" s="94"/>
      <c r="B640" s="113">
        <v>0</v>
      </c>
      <c r="C640" s="113">
        <v>250</v>
      </c>
      <c r="D640" s="28">
        <f>SUM(AA640:AD640)</f>
        <v>0</v>
      </c>
      <c r="E640" s="113">
        <v>0</v>
      </c>
      <c r="F640" s="113">
        <v>0</v>
      </c>
      <c r="G640" s="28">
        <f>SUM(D640:F640)</f>
        <v>0</v>
      </c>
      <c r="H640" s="125">
        <v>0</v>
      </c>
      <c r="I640" s="113">
        <v>0</v>
      </c>
      <c r="J640" s="125">
        <v>0</v>
      </c>
      <c r="K640" s="113">
        <v>0</v>
      </c>
      <c r="L640" s="113">
        <v>0</v>
      </c>
      <c r="M640" s="113">
        <v>0</v>
      </c>
      <c r="N640" s="28">
        <f>G640-SUM(H640:M640)</f>
        <v>0</v>
      </c>
      <c r="O640" s="28">
        <f>SUM(V640:Y640)</f>
        <v>0</v>
      </c>
      <c r="P640" s="28">
        <f>O640-N640</f>
        <v>0</v>
      </c>
      <c r="Q640" s="61" t="str">
        <f>IF(ISERROR(P640/SUM(H640:L640)),"",P640/SUM(H640:L640))</f>
        <v/>
      </c>
      <c r="R640" s="113">
        <v>0</v>
      </c>
      <c r="S640" s="28">
        <f>IF(ISERROR(P640/C640*R640),0,(P640/C640*R640))</f>
        <v>0</v>
      </c>
      <c r="T640" s="60">
        <f>IF(ISERROR(P640/B640*AF640),0,(P640/B640*AF640))</f>
        <v>0</v>
      </c>
      <c r="V640" s="113">
        <v>0</v>
      </c>
      <c r="W640" s="113">
        <v>0</v>
      </c>
      <c r="X640" s="113">
        <v>0</v>
      </c>
      <c r="Y640" s="113">
        <v>0</v>
      </c>
      <c r="AA640" s="113">
        <v>0</v>
      </c>
      <c r="AB640" s="113">
        <v>0</v>
      </c>
      <c r="AC640" s="113">
        <v>0</v>
      </c>
      <c r="AD640" s="113">
        <v>0</v>
      </c>
      <c r="AF640" s="113">
        <v>0</v>
      </c>
      <c r="AG640" s="28">
        <f>G640-O640</f>
        <v>0</v>
      </c>
      <c r="AH640" s="58">
        <f>IF(ISERROR(AG640/B640*AF640),0,(AG640/B640*AF640))</f>
        <v>0</v>
      </c>
      <c r="AI640" s="28">
        <f>SUM(H640:M640)</f>
        <v>0</v>
      </c>
      <c r="AJ640" s="28">
        <f>IF(ISERROR(AI640/B640*AF640),0,(AI640/B640*AF640))</f>
        <v>0</v>
      </c>
      <c r="AK640" s="58">
        <f>IF(ISERROR(O640/B640*AF640),0,(O640/B640*AF640))</f>
        <v>0</v>
      </c>
      <c r="AL640" s="28">
        <f>IF(ISERROR(H640/B640*AF640),0,(H640/B640*AF640))</f>
        <v>0</v>
      </c>
      <c r="AN640" s="51">
        <f>A640</f>
        <v>0</v>
      </c>
      <c r="AO640" s="57">
        <f>IF(ISERROR(IF(B640=C640,D640/C640,(INT(D640/B640)+(((D640-B640*INT(D640/B640)))/C640)/100))),0,(IF(B640=C640,D640/C640,(INT(D640/B640)+(((D640-B640*INT(D640/B640)))/C640)/100))))</f>
        <v>0</v>
      </c>
      <c r="AP640" s="57">
        <f>IF(ISERROR(IF(B640=C640,E640/C640,(INT(E640/B640)+(((E640-B640*INT(E640/B640)))/C640)/100))),0,(IF(B640=C640,E640/C640,(INT(E640/B640)+(((E640-B640*INT(E640/B640)))/C640)/100))))</f>
        <v>0</v>
      </c>
      <c r="AQ640" s="57">
        <f>IF(ISERROR(IF(B640=C640,F640/C640,IF((INT(F640/B640)+(((F640-B640*INT(F640/B640)))/C640)/100)&lt;0,(INT(F640/B640)+(((F640-B640*INT(F640/B640)))/C640)/100)+(1-(B640/C640/100)),(INT(F640/B640)+(((F640-B640*INT(F640/B640)))/C640)/100)))),0,IF(B640=C640,F640/C640,IF((INT(F640/B640)+(((F640-B640*INT(F640/B640)))/C640)/100)&lt;0,(INT(F640/B640)+(((F640-B640*INT(F640/B640)))/C640)/100)+(1-(B640/C640/100)),(INT(F640/B640)+(((F640-B640*INT(F640/B640)))/C640)/100))))</f>
        <v>0</v>
      </c>
      <c r="AR640" s="57">
        <f>IF(ISERROR(IF(B640=C640,G640/C640,(INT(G640/B640)+(((G640-B640*INT(G640/B640)))/C640)/100))),0,(IF(B640=C640,G640/C640,(INT(G640/B640)+(((G640-B640*INT(G640/B640)))/C640)/100))))</f>
        <v>0</v>
      </c>
      <c r="AS640" s="57">
        <f>IF(ISERROR(IF(B640=C640,H640/C640,(INT(H640/B640)+(((H640-B640*INT(H640/B640)))/C640)/100))),0,(IF(B640=C640,H640/C640,(INT(H640/B640)+(((H640-B640*INT(H640/B640)))/C640)/100))))</f>
        <v>0</v>
      </c>
      <c r="AT640" s="57">
        <f>IF(ISERROR(IF(B640=C640,I640/C640,(INT(I640/B640)+(((I640-B640*INT(I640/B640)))/C640)/100))),0,(IF(B640=C640,I640/C640,(INT(I640/B640)+(((I640-B640*INT(I640/B640)))/C640)/100))))</f>
        <v>0</v>
      </c>
      <c r="AU640" s="57">
        <f>IF(ISERROR(IF(B640=C640,J640/C640,(INT(J640/B640)+(((J640-B640*INT(J640/B640)))/C640)/100))),0,(IF(B640=C640,J640/C640,(INT(J640/B640)+(((J640-B640*INT(J640/B640)))/C640)/100))))</f>
        <v>0</v>
      </c>
      <c r="AV640" s="57">
        <f>IF(ISERROR(IF(B640=C640,K640/C640,IF((INT(K640/B640)+(((K640-B640*INT(K640/B640)))/C640)/100)&lt;0,(INT(K640/B640)+(((K640-B640*INT(K640/B640)))/C640)/100)+(1-(B640/C640/100)),(INT(K640/B640)+(((K640-B640*INT(K640/B640)))/C640)/100)))),0,IF(B640=C640,K640/C640,IF((INT(K640/B640)+(((K640-B640*INT(K640/B640)))/C640)/100)&lt;0,(INT(K640/B640)+(((K640-B640*INT(K640/B640)))/C640)/100)+(1-(B640/C640/100)),(INT(K640/B640)+(((K640-B640*INT(K640/B640)))/C640)/100))))</f>
        <v>0</v>
      </c>
      <c r="AW640" s="57">
        <f>IF(ISERROR(IF(B640=C640,L640/C640,(INT(L640/B640)+(((L640-B640*INT(L640/B640)))/C640)/100))),0,(IF(B640=C640,L640/C640,(INT(L640/B640)+(((L640-B640*INT(L640/B640)))/C640)/100))))</f>
        <v>0</v>
      </c>
      <c r="AX640" s="57">
        <f>IF(ISERROR(IF(B640=C640,M640/C640,(INT(M640/B640)+(((M640-B640*INT(M640/B640)))/C640)/100))),0,(IF(B640=C640,M640/C640,(INT(M640/B640)+(((M640-B640*INT(M640/B640)))/C640)/100))))</f>
        <v>0</v>
      </c>
      <c r="AY640" s="57">
        <f>IF(ISERROR(IF(B640=C640,N640/C640,IF((INT(N640/B640)+(((N640-B640*INT(N640/B640)))/C640)/100)&lt;0,(INT(N640/B640)+(((N640-B640*INT(N640/B640)))/C640)/100)+(1-(B640/C640/100)),(INT(N640/B640)+(((N640-B640*INT(N640/B640)))/C640)/100)))),0,IF(B640=C640,N640/C640,IF((INT(N640/B640)+(((N640-B640*INT(N640/B640)))/C640)/100)&lt;0,(INT(N640/B640)+(((N640-B640*INT(N640/B640)))/C640)/100)+(1-(B640/C640/100)),(INT(N640/B640)+(((N640-B640*INT(N640/B640)))/C640)/100))))</f>
        <v>0</v>
      </c>
      <c r="AZ640" s="57">
        <f>IF(ISERROR(IF(B640=C640,O640/C640,(INT(O640/B640)+(((O640-B640*INT(O640/B640)))/C640)/100))),0,(IF(B640=C640,O640/C640,(INT(O640/B640)+(((O640-B640*INT(O640/B640)))/C640)/100))))</f>
        <v>0</v>
      </c>
      <c r="BA640" s="57">
        <f>IF(ISERROR(IF(B640=C640,P640/C640,IF((INT(P640/B640)+(((P640-B640*INT(P640/B640)))/C640)/100)&lt;0,(INT(P640/B640)+(((P640-B640*INT(P640/B640)))/C640)/100)+(1-(B640/C640/100)),(INT(P640/B640)+(((P640-B640*INT(P640/B640)))/C640)/100)))),0,IF(B640=C640,P640/C640,IF((INT(P640/B640)+(((P640-B640*INT(P640/B640)))/C640)/100)&lt;0,(INT(P640/B640)+(((P640-B640*INT(P640/B640)))/C640)/100)+(1-(B640/C640/100)),(INT(P640/B640)+(((P640-B640*INT(P640/B640)))/C640)/100))))</f>
        <v>0</v>
      </c>
      <c r="BB640" s="28">
        <f>R640</f>
        <v>0</v>
      </c>
      <c r="BC640" s="28">
        <f>S640</f>
        <v>0</v>
      </c>
      <c r="BD640" s="28">
        <f>AF640</f>
        <v>0</v>
      </c>
      <c r="BE640" s="28">
        <f>T640</f>
        <v>0</v>
      </c>
      <c r="BG640" s="57">
        <f>IF(ISERROR(IF(B640=C640,V640/C640,(INT(V640/B640)+(((V640-B640*INT(V640/B640)))/C640)/100))),0,(IF(B640=C640,V640/C640,(INT(V640/B640)+(((V640-B640*INT(V640/B640)))/C640)/100))))</f>
        <v>0</v>
      </c>
      <c r="BH640" s="57">
        <f>IF(ISERROR(IF(B640=C640,W640/C640,(INT(W640/B640)+(((W640-B640*INT(W640/B640)))/C640)/100))),0,(IF(B640=C640,W640/C640,(INT(W640/B640)+(((W640-B640*INT(W640/B640)))/C640)/100))))</f>
        <v>0</v>
      </c>
      <c r="BI640" s="57">
        <f>IF(ISERROR(IF(B640=C640,X640/C640,(INT(X640/B640)+(((X640-B640*INT(X640/B640)))/C640)/100))),0,(IF(B640=C640,X640/C640,(INT(X640/B640)+(((X640-B640*INT(X640/B640)))/C640)/100))))</f>
        <v>0</v>
      </c>
      <c r="BJ640" s="57">
        <f>IF(ISERROR(IF(B640=C640,Y640/C640,(INT(Y640/B640)+(((Y640-B640*INT(Y640/B640)))/C640)/100))),0,(IF(B640=C640,Y640/C640,(INT(Y640/B640)+(((Y640-B640*INT(Y640/B640)))/C640)/100))))</f>
        <v>0</v>
      </c>
      <c r="BL640" s="57">
        <f>IF(ISERROR(IF(B640=C640,AA640/C640,(INT(AA640/B640)+(((AA640-B640*INT(AA640/B640)))/C640)/100))),0,(IF(B640=C640,AA640/C640,(INT(AA640/B640)+(((AA640-B640*INT(AA640/B640)))/C640)/100))))</f>
        <v>0</v>
      </c>
      <c r="BM640" s="57">
        <f>IF(ISERROR(IF(B640=C640,AB640/C640,(INT(AB640/B640)+(((AB640-B640*INT(AB640/B640)))/C640)/100))),0,(IF(B640=C640,AB640/C640,(INT(AB640/B640)+(((AB640-B640*INT(AB640/B640)))/C640)/100))))</f>
        <v>0</v>
      </c>
      <c r="BN640" s="57">
        <f>IF(ISERROR(IF(B640=C640,AC640/C640,(INT(AC640/B640)+(((AC640-B640*INT(AC640/B640)))/C640)/100))),0,(IF(B640=C640,AC640/C640,(INT(AC640/B640)+(((AC640-B640*INT(AC640/B640)))/C640)/100))))</f>
        <v>0</v>
      </c>
      <c r="BO640" s="57">
        <f>IF(ISERROR(IF(B640=C640,AD640/C640,(INT(AD640/B640)+(((AD640-B640*INT(AD640/B640)))/C640)/100))),0,(IF(B640=C640,AD640/C640,(INT(AD640/B640)+(((AD640-B640*INT(AD640/B640)))/C640)/100))))</f>
        <v>0</v>
      </c>
      <c r="BQ640" s="155"/>
    </row>
    <row r="641" spans="1:69" hidden="1" x14ac:dyDescent="0.35">
      <c r="A641" s="94"/>
      <c r="B641" s="113">
        <v>0</v>
      </c>
      <c r="C641" s="113">
        <v>250</v>
      </c>
      <c r="D641" s="28">
        <f>SUM(AA641:AD641)</f>
        <v>0</v>
      </c>
      <c r="E641" s="113">
        <v>0</v>
      </c>
      <c r="F641" s="113">
        <v>0</v>
      </c>
      <c r="G641" s="28">
        <f>SUM(D641:F641)</f>
        <v>0</v>
      </c>
      <c r="H641" s="125">
        <v>0</v>
      </c>
      <c r="I641" s="113">
        <v>0</v>
      </c>
      <c r="J641" s="125">
        <v>0</v>
      </c>
      <c r="K641" s="113">
        <v>0</v>
      </c>
      <c r="L641" s="113">
        <v>0</v>
      </c>
      <c r="M641" s="113">
        <v>0</v>
      </c>
      <c r="N641" s="28">
        <f>G641-SUM(H641:M641)</f>
        <v>0</v>
      </c>
      <c r="O641" s="28">
        <f>SUM(V641:Y641)</f>
        <v>0</v>
      </c>
      <c r="P641" s="28">
        <f>O641-N641</f>
        <v>0</v>
      </c>
      <c r="Q641" s="61" t="str">
        <f>IF(ISERROR(P641/SUM(H641:L641)),"",P641/SUM(H641:L641))</f>
        <v/>
      </c>
      <c r="R641" s="113">
        <v>0</v>
      </c>
      <c r="S641" s="28">
        <f>IF(ISERROR(P641/C641*R641),0,(P641/C641*R641))</f>
        <v>0</v>
      </c>
      <c r="T641" s="60">
        <f>IF(ISERROR(P641/B641*AF641),0,(P641/B641*AF641))</f>
        <v>0</v>
      </c>
      <c r="V641" s="113">
        <v>0</v>
      </c>
      <c r="W641" s="113">
        <v>0</v>
      </c>
      <c r="X641" s="113">
        <v>0</v>
      </c>
      <c r="Y641" s="113">
        <v>0</v>
      </c>
      <c r="AA641" s="113">
        <v>0</v>
      </c>
      <c r="AB641" s="113">
        <v>0</v>
      </c>
      <c r="AC641" s="113">
        <v>0</v>
      </c>
      <c r="AD641" s="113">
        <v>0</v>
      </c>
      <c r="AF641" s="113">
        <v>0</v>
      </c>
      <c r="AG641" s="28">
        <f>G641-O641</f>
        <v>0</v>
      </c>
      <c r="AH641" s="58">
        <f>IF(ISERROR(AG641/B641*AF641),0,(AG641/B641*AF641))</f>
        <v>0</v>
      </c>
      <c r="AI641" s="28">
        <f>SUM(H641:M641)</f>
        <v>0</v>
      </c>
      <c r="AJ641" s="28">
        <f>IF(ISERROR(AI641/B641*AF641),0,(AI641/B641*AF641))</f>
        <v>0</v>
      </c>
      <c r="AK641" s="58">
        <f>IF(ISERROR(O641/B641*AF641),0,(O641/B641*AF641))</f>
        <v>0</v>
      </c>
      <c r="AL641" s="28">
        <f>IF(ISERROR(H641/B641*AF641),0,(H641/B641*AF641))</f>
        <v>0</v>
      </c>
      <c r="AN641" s="51">
        <f>A641</f>
        <v>0</v>
      </c>
      <c r="AO641" s="57">
        <f>IF(ISERROR(IF(B641=C641,D641/C641,(INT(D641/B641)+(((D641-B641*INT(D641/B641)))/C641)/100))),0,(IF(B641=C641,D641/C641,(INT(D641/B641)+(((D641-B641*INT(D641/B641)))/C641)/100))))</f>
        <v>0</v>
      </c>
      <c r="AP641" s="57">
        <f>IF(ISERROR(IF(B641=C641,E641/C641,(INT(E641/B641)+(((E641-B641*INT(E641/B641)))/C641)/100))),0,(IF(B641=C641,E641/C641,(INT(E641/B641)+(((E641-B641*INT(E641/B641)))/C641)/100))))</f>
        <v>0</v>
      </c>
      <c r="AQ641" s="57">
        <f>IF(ISERROR(IF(B641=C641,F641/C641,IF((INT(F641/B641)+(((F641-B641*INT(F641/B641)))/C641)/100)&lt;0,(INT(F641/B641)+(((F641-B641*INT(F641/B641)))/C641)/100)+(1-(B641/C641/100)),(INT(F641/B641)+(((F641-B641*INT(F641/B641)))/C641)/100)))),0,IF(B641=C641,F641/C641,IF((INT(F641/B641)+(((F641-B641*INT(F641/B641)))/C641)/100)&lt;0,(INT(F641/B641)+(((F641-B641*INT(F641/B641)))/C641)/100)+(1-(B641/C641/100)),(INT(F641/B641)+(((F641-B641*INT(F641/B641)))/C641)/100))))</f>
        <v>0</v>
      </c>
      <c r="AR641" s="57">
        <f>IF(ISERROR(IF(B641=C641,G641/C641,(INT(G641/B641)+(((G641-B641*INT(G641/B641)))/C641)/100))),0,(IF(B641=C641,G641/C641,(INT(G641/B641)+(((G641-B641*INT(G641/B641)))/C641)/100))))</f>
        <v>0</v>
      </c>
      <c r="AS641" s="57">
        <f>IF(ISERROR(IF(B641=C641,H641/C641,(INT(H641/B641)+(((H641-B641*INT(H641/B641)))/C641)/100))),0,(IF(B641=C641,H641/C641,(INT(H641/B641)+(((H641-B641*INT(H641/B641)))/C641)/100))))</f>
        <v>0</v>
      </c>
      <c r="AT641" s="57">
        <f>IF(ISERROR(IF(B641=C641,I641/C641,(INT(I641/B641)+(((I641-B641*INT(I641/B641)))/C641)/100))),0,(IF(B641=C641,I641/C641,(INT(I641/B641)+(((I641-B641*INT(I641/B641)))/C641)/100))))</f>
        <v>0</v>
      </c>
      <c r="AU641" s="57">
        <f>IF(ISERROR(IF(B641=C641,J641/C641,(INT(J641/B641)+(((J641-B641*INT(J641/B641)))/C641)/100))),0,(IF(B641=C641,J641/C641,(INT(J641/B641)+(((J641-B641*INT(J641/B641)))/C641)/100))))</f>
        <v>0</v>
      </c>
      <c r="AV641" s="57">
        <f>IF(ISERROR(IF(B641=C641,K641/C641,IF((INT(K641/B641)+(((K641-B641*INT(K641/B641)))/C641)/100)&lt;0,(INT(K641/B641)+(((K641-B641*INT(K641/B641)))/C641)/100)+(1-(B641/C641/100)),(INT(K641/B641)+(((K641-B641*INT(K641/B641)))/C641)/100)))),0,IF(B641=C641,K641/C641,IF((INT(K641/B641)+(((K641-B641*INT(K641/B641)))/C641)/100)&lt;0,(INT(K641/B641)+(((K641-B641*INT(K641/B641)))/C641)/100)+(1-(B641/C641/100)),(INT(K641/B641)+(((K641-B641*INT(K641/B641)))/C641)/100))))</f>
        <v>0</v>
      </c>
      <c r="AW641" s="57">
        <f>IF(ISERROR(IF(B641=C641,L641/C641,(INT(L641/B641)+(((L641-B641*INT(L641/B641)))/C641)/100))),0,(IF(B641=C641,L641/C641,(INT(L641/B641)+(((L641-B641*INT(L641/B641)))/C641)/100))))</f>
        <v>0</v>
      </c>
      <c r="AX641" s="57">
        <f>IF(ISERROR(IF(B641=C641,M641/C641,(INT(M641/B641)+(((M641-B641*INT(M641/B641)))/C641)/100))),0,(IF(B641=C641,M641/C641,(INT(M641/B641)+(((M641-B641*INT(M641/B641)))/C641)/100))))</f>
        <v>0</v>
      </c>
      <c r="AY641" s="57">
        <f>IF(ISERROR(IF(B641=C641,N641/C641,IF((INT(N641/B641)+(((N641-B641*INT(N641/B641)))/C641)/100)&lt;0,(INT(N641/B641)+(((N641-B641*INT(N641/B641)))/C641)/100)+(1-(B641/C641/100)),(INT(N641/B641)+(((N641-B641*INT(N641/B641)))/C641)/100)))),0,IF(B641=C641,N641/C641,IF((INT(N641/B641)+(((N641-B641*INT(N641/B641)))/C641)/100)&lt;0,(INT(N641/B641)+(((N641-B641*INT(N641/B641)))/C641)/100)+(1-(B641/C641/100)),(INT(N641/B641)+(((N641-B641*INT(N641/B641)))/C641)/100))))</f>
        <v>0</v>
      </c>
      <c r="AZ641" s="57">
        <f>IF(ISERROR(IF(B641=C641,O641/C641,(INT(O641/B641)+(((O641-B641*INT(O641/B641)))/C641)/100))),0,(IF(B641=C641,O641/C641,(INT(O641/B641)+(((O641-B641*INT(O641/B641)))/C641)/100))))</f>
        <v>0</v>
      </c>
      <c r="BA641" s="57">
        <f>IF(ISERROR(IF(B641=C641,P641/C641,IF((INT(P641/B641)+(((P641-B641*INT(P641/B641)))/C641)/100)&lt;0,(INT(P641/B641)+(((P641-B641*INT(P641/B641)))/C641)/100)+(1-(B641/C641/100)),(INT(P641/B641)+(((P641-B641*INT(P641/B641)))/C641)/100)))),0,IF(B641=C641,P641/C641,IF((INT(P641/B641)+(((P641-B641*INT(P641/B641)))/C641)/100)&lt;0,(INT(P641/B641)+(((P641-B641*INT(P641/B641)))/C641)/100)+(1-(B641/C641/100)),(INT(P641/B641)+(((P641-B641*INT(P641/B641)))/C641)/100))))</f>
        <v>0</v>
      </c>
      <c r="BB641" s="28">
        <f>R641</f>
        <v>0</v>
      </c>
      <c r="BC641" s="28">
        <f>S641</f>
        <v>0</v>
      </c>
      <c r="BD641" s="28">
        <f>AF641</f>
        <v>0</v>
      </c>
      <c r="BE641" s="28">
        <f>T641</f>
        <v>0</v>
      </c>
      <c r="BG641" s="57">
        <f>IF(ISERROR(IF(B641=C641,V641/C641,(INT(V641/B641)+(((V641-B641*INT(V641/B641)))/C641)/100))),0,(IF(B641=C641,V641/C641,(INT(V641/B641)+(((V641-B641*INT(V641/B641)))/C641)/100))))</f>
        <v>0</v>
      </c>
      <c r="BH641" s="57">
        <f>IF(ISERROR(IF(B641=C641,W641/C641,(INT(W641/B641)+(((W641-B641*INT(W641/B641)))/C641)/100))),0,(IF(B641=C641,W641/C641,(INT(W641/B641)+(((W641-B641*INT(W641/B641)))/C641)/100))))</f>
        <v>0</v>
      </c>
      <c r="BI641" s="57">
        <f>IF(ISERROR(IF(B641=C641,X641/C641,(INT(X641/B641)+(((X641-B641*INT(X641/B641)))/C641)/100))),0,(IF(B641=C641,X641/C641,(INT(X641/B641)+(((X641-B641*INT(X641/B641)))/C641)/100))))</f>
        <v>0</v>
      </c>
      <c r="BJ641" s="57">
        <f>IF(ISERROR(IF(B641=C641,Y641/C641,(INT(Y641/B641)+(((Y641-B641*INT(Y641/B641)))/C641)/100))),0,(IF(B641=C641,Y641/C641,(INT(Y641/B641)+(((Y641-B641*INT(Y641/B641)))/C641)/100))))</f>
        <v>0</v>
      </c>
      <c r="BL641" s="57">
        <f>IF(ISERROR(IF(B641=C641,AA641/C641,(INT(AA641/B641)+(((AA641-B641*INT(AA641/B641)))/C641)/100))),0,(IF(B641=C641,AA641/C641,(INT(AA641/B641)+(((AA641-B641*INT(AA641/B641)))/C641)/100))))</f>
        <v>0</v>
      </c>
      <c r="BM641" s="57">
        <f>IF(ISERROR(IF(B641=C641,AB641/C641,(INT(AB641/B641)+(((AB641-B641*INT(AB641/B641)))/C641)/100))),0,(IF(B641=C641,AB641/C641,(INT(AB641/B641)+(((AB641-B641*INT(AB641/B641)))/C641)/100))))</f>
        <v>0</v>
      </c>
      <c r="BN641" s="57">
        <f>IF(ISERROR(IF(B641=C641,AC641/C641,(INT(AC641/B641)+(((AC641-B641*INT(AC641/B641)))/C641)/100))),0,(IF(B641=C641,AC641/C641,(INT(AC641/B641)+(((AC641-B641*INT(AC641/B641)))/C641)/100))))</f>
        <v>0</v>
      </c>
      <c r="BO641" s="57">
        <f>IF(ISERROR(IF(B641=C641,AD641/C641,(INT(AD641/B641)+(((AD641-B641*INT(AD641/B641)))/C641)/100))),0,(IF(B641=C641,AD641/C641,(INT(AD641/B641)+(((AD641-B641*INT(AD641/B641)))/C641)/100))))</f>
        <v>0</v>
      </c>
      <c r="BQ641" s="155"/>
    </row>
    <row r="642" spans="1:69" hidden="1" x14ac:dyDescent="0.35">
      <c r="A642" s="94"/>
      <c r="B642" s="113">
        <v>0</v>
      </c>
      <c r="C642" s="113">
        <v>250</v>
      </c>
      <c r="D642" s="28">
        <f>SUM(AA642:AD642)</f>
        <v>0</v>
      </c>
      <c r="E642" s="113">
        <v>0</v>
      </c>
      <c r="F642" s="113">
        <v>0</v>
      </c>
      <c r="G642" s="28">
        <f>SUM(D642:F642)</f>
        <v>0</v>
      </c>
      <c r="H642" s="125">
        <v>0</v>
      </c>
      <c r="I642" s="113">
        <v>0</v>
      </c>
      <c r="J642" s="125">
        <v>0</v>
      </c>
      <c r="K642" s="113">
        <v>0</v>
      </c>
      <c r="L642" s="113">
        <v>0</v>
      </c>
      <c r="M642" s="113">
        <v>0</v>
      </c>
      <c r="N642" s="28">
        <f>G642-SUM(H642:M642)</f>
        <v>0</v>
      </c>
      <c r="O642" s="28">
        <f>SUM(V642:Y642)</f>
        <v>0</v>
      </c>
      <c r="P642" s="28">
        <f>O642-N642</f>
        <v>0</v>
      </c>
      <c r="Q642" s="61" t="str">
        <f>IF(ISERROR(P642/SUM(H642:L642)),"",P642/SUM(H642:L642))</f>
        <v/>
      </c>
      <c r="R642" s="113">
        <v>0</v>
      </c>
      <c r="S642" s="28">
        <f>IF(ISERROR(P642/C642*R642),0,(P642/C642*R642))</f>
        <v>0</v>
      </c>
      <c r="T642" s="60">
        <f>IF(ISERROR(P642/B642*AF642),0,(P642/B642*AF642))</f>
        <v>0</v>
      </c>
      <c r="V642" s="113">
        <v>0</v>
      </c>
      <c r="W642" s="113">
        <v>0</v>
      </c>
      <c r="X642" s="113">
        <v>0</v>
      </c>
      <c r="Y642" s="113">
        <v>0</v>
      </c>
      <c r="AA642" s="113">
        <v>0</v>
      </c>
      <c r="AB642" s="113">
        <v>0</v>
      </c>
      <c r="AC642" s="113">
        <v>0</v>
      </c>
      <c r="AD642" s="113">
        <v>0</v>
      </c>
      <c r="AF642" s="113">
        <v>0</v>
      </c>
      <c r="AG642" s="28">
        <f>G642-O642</f>
        <v>0</v>
      </c>
      <c r="AH642" s="58">
        <f>IF(ISERROR(AG642/B642*AF642),0,(AG642/B642*AF642))</f>
        <v>0</v>
      </c>
      <c r="AI642" s="28">
        <f>SUM(H642:M642)</f>
        <v>0</v>
      </c>
      <c r="AJ642" s="28">
        <f>IF(ISERROR(AI642/B642*AF642),0,(AI642/B642*AF642))</f>
        <v>0</v>
      </c>
      <c r="AK642" s="58">
        <f>IF(ISERROR(O642/B642*AF642),0,(O642/B642*AF642))</f>
        <v>0</v>
      </c>
      <c r="AL642" s="28">
        <f>IF(ISERROR(H642/B642*AF642),0,(H642/B642*AF642))</f>
        <v>0</v>
      </c>
      <c r="AN642" s="51">
        <f>A642</f>
        <v>0</v>
      </c>
      <c r="AO642" s="57">
        <f>IF(ISERROR(IF(B642=C642,D642/C642,(INT(D642/B642)+(((D642-B642*INT(D642/B642)))/C642)/100))),0,(IF(B642=C642,D642/C642,(INT(D642/B642)+(((D642-B642*INT(D642/B642)))/C642)/100))))</f>
        <v>0</v>
      </c>
      <c r="AP642" s="57">
        <f>IF(ISERROR(IF(B642=C642,E642/C642,(INT(E642/B642)+(((E642-B642*INT(E642/B642)))/C642)/100))),0,(IF(B642=C642,E642/C642,(INT(E642/B642)+(((E642-B642*INT(E642/B642)))/C642)/100))))</f>
        <v>0</v>
      </c>
      <c r="AQ642" s="57">
        <f>IF(ISERROR(IF(B642=C642,F642/C642,IF((INT(F642/B642)+(((F642-B642*INT(F642/B642)))/C642)/100)&lt;0,(INT(F642/B642)+(((F642-B642*INT(F642/B642)))/C642)/100)+(1-(B642/C642/100)),(INT(F642/B642)+(((F642-B642*INT(F642/B642)))/C642)/100)))),0,IF(B642=C642,F642/C642,IF((INT(F642/B642)+(((F642-B642*INT(F642/B642)))/C642)/100)&lt;0,(INT(F642/B642)+(((F642-B642*INT(F642/B642)))/C642)/100)+(1-(B642/C642/100)),(INT(F642/B642)+(((F642-B642*INT(F642/B642)))/C642)/100))))</f>
        <v>0</v>
      </c>
      <c r="AR642" s="57">
        <f>IF(ISERROR(IF(B642=C642,G642/C642,(INT(G642/B642)+(((G642-B642*INT(G642/B642)))/C642)/100))),0,(IF(B642=C642,G642/C642,(INT(G642/B642)+(((G642-B642*INT(G642/B642)))/C642)/100))))</f>
        <v>0</v>
      </c>
      <c r="AS642" s="57">
        <f>IF(ISERROR(IF(B642=C642,H642/C642,(INT(H642/B642)+(((H642-B642*INT(H642/B642)))/C642)/100))),0,(IF(B642=C642,H642/C642,(INT(H642/B642)+(((H642-B642*INT(H642/B642)))/C642)/100))))</f>
        <v>0</v>
      </c>
      <c r="AT642" s="57">
        <f>IF(ISERROR(IF(B642=C642,I642/C642,(INT(I642/B642)+(((I642-B642*INT(I642/B642)))/C642)/100))),0,(IF(B642=C642,I642/C642,(INT(I642/B642)+(((I642-B642*INT(I642/B642)))/C642)/100))))</f>
        <v>0</v>
      </c>
      <c r="AU642" s="57">
        <f>IF(ISERROR(IF(B642=C642,J642/C642,(INT(J642/B642)+(((J642-B642*INT(J642/B642)))/C642)/100))),0,(IF(B642=C642,J642/C642,(INT(J642/B642)+(((J642-B642*INT(J642/B642)))/C642)/100))))</f>
        <v>0</v>
      </c>
      <c r="AV642" s="57">
        <f>IF(ISERROR(IF(B642=C642,K642/C642,IF((INT(K642/B642)+(((K642-B642*INT(K642/B642)))/C642)/100)&lt;0,(INT(K642/B642)+(((K642-B642*INT(K642/B642)))/C642)/100)+(1-(B642/C642/100)),(INT(K642/B642)+(((K642-B642*INT(K642/B642)))/C642)/100)))),0,IF(B642=C642,K642/C642,IF((INT(K642/B642)+(((K642-B642*INT(K642/B642)))/C642)/100)&lt;0,(INT(K642/B642)+(((K642-B642*INT(K642/B642)))/C642)/100)+(1-(B642/C642/100)),(INT(K642/B642)+(((K642-B642*INT(K642/B642)))/C642)/100))))</f>
        <v>0</v>
      </c>
      <c r="AW642" s="57">
        <f>IF(ISERROR(IF(B642=C642,L642/C642,(INT(L642/B642)+(((L642-B642*INT(L642/B642)))/C642)/100))),0,(IF(B642=C642,L642/C642,(INT(L642/B642)+(((L642-B642*INT(L642/B642)))/C642)/100))))</f>
        <v>0</v>
      </c>
      <c r="AX642" s="57">
        <f>IF(ISERROR(IF(B642=C642,M642/C642,(INT(M642/B642)+(((M642-B642*INT(M642/B642)))/C642)/100))),0,(IF(B642=C642,M642/C642,(INT(M642/B642)+(((M642-B642*INT(M642/B642)))/C642)/100))))</f>
        <v>0</v>
      </c>
      <c r="AY642" s="57">
        <f>IF(ISERROR(IF(B642=C642,N642/C642,IF((INT(N642/B642)+(((N642-B642*INT(N642/B642)))/C642)/100)&lt;0,(INT(N642/B642)+(((N642-B642*INT(N642/B642)))/C642)/100)+(1-(B642/C642/100)),(INT(N642/B642)+(((N642-B642*INT(N642/B642)))/C642)/100)))),0,IF(B642=C642,N642/C642,IF((INT(N642/B642)+(((N642-B642*INT(N642/B642)))/C642)/100)&lt;0,(INT(N642/B642)+(((N642-B642*INT(N642/B642)))/C642)/100)+(1-(B642/C642/100)),(INT(N642/B642)+(((N642-B642*INT(N642/B642)))/C642)/100))))</f>
        <v>0</v>
      </c>
      <c r="AZ642" s="57">
        <f>IF(ISERROR(IF(B642=C642,O642/C642,(INT(O642/B642)+(((O642-B642*INT(O642/B642)))/C642)/100))),0,(IF(B642=C642,O642/C642,(INT(O642/B642)+(((O642-B642*INT(O642/B642)))/C642)/100))))</f>
        <v>0</v>
      </c>
      <c r="BA642" s="57">
        <f>IF(ISERROR(IF(B642=C642,P642/C642,IF((INT(P642/B642)+(((P642-B642*INT(P642/B642)))/C642)/100)&lt;0,(INT(P642/B642)+(((P642-B642*INT(P642/B642)))/C642)/100)+(1-(B642/C642/100)),(INT(P642/B642)+(((P642-B642*INT(P642/B642)))/C642)/100)))),0,IF(B642=C642,P642/C642,IF((INT(P642/B642)+(((P642-B642*INT(P642/B642)))/C642)/100)&lt;0,(INT(P642/B642)+(((P642-B642*INT(P642/B642)))/C642)/100)+(1-(B642/C642/100)),(INT(P642/B642)+(((P642-B642*INT(P642/B642)))/C642)/100))))</f>
        <v>0</v>
      </c>
      <c r="BB642" s="28">
        <f>R642</f>
        <v>0</v>
      </c>
      <c r="BC642" s="28">
        <f>S642</f>
        <v>0</v>
      </c>
      <c r="BD642" s="28">
        <f>AF642</f>
        <v>0</v>
      </c>
      <c r="BE642" s="28">
        <f>T642</f>
        <v>0</v>
      </c>
      <c r="BG642" s="57">
        <f>IF(ISERROR(IF(B642=C642,V642/C642,(INT(V642/B642)+(((V642-B642*INT(V642/B642)))/C642)/100))),0,(IF(B642=C642,V642/C642,(INT(V642/B642)+(((V642-B642*INT(V642/B642)))/C642)/100))))</f>
        <v>0</v>
      </c>
      <c r="BH642" s="57">
        <f>IF(ISERROR(IF(B642=C642,W642/C642,(INT(W642/B642)+(((W642-B642*INT(W642/B642)))/C642)/100))),0,(IF(B642=C642,W642/C642,(INT(W642/B642)+(((W642-B642*INT(W642/B642)))/C642)/100))))</f>
        <v>0</v>
      </c>
      <c r="BI642" s="57">
        <f>IF(ISERROR(IF(B642=C642,X642/C642,(INT(X642/B642)+(((X642-B642*INT(X642/B642)))/C642)/100))),0,(IF(B642=C642,X642/C642,(INT(X642/B642)+(((X642-B642*INT(X642/B642)))/C642)/100))))</f>
        <v>0</v>
      </c>
      <c r="BJ642" s="57">
        <f>IF(ISERROR(IF(B642=C642,Y642/C642,(INT(Y642/B642)+(((Y642-B642*INT(Y642/B642)))/C642)/100))),0,(IF(B642=C642,Y642/C642,(INT(Y642/B642)+(((Y642-B642*INT(Y642/B642)))/C642)/100))))</f>
        <v>0</v>
      </c>
      <c r="BL642" s="57">
        <f>IF(ISERROR(IF(B642=C642,AA642/C642,(INT(AA642/B642)+(((AA642-B642*INT(AA642/B642)))/C642)/100))),0,(IF(B642=C642,AA642/C642,(INT(AA642/B642)+(((AA642-B642*INT(AA642/B642)))/C642)/100))))</f>
        <v>0</v>
      </c>
      <c r="BM642" s="57">
        <f>IF(ISERROR(IF(B642=C642,AB642/C642,(INT(AB642/B642)+(((AB642-B642*INT(AB642/B642)))/C642)/100))),0,(IF(B642=C642,AB642/C642,(INT(AB642/B642)+(((AB642-B642*INT(AB642/B642)))/C642)/100))))</f>
        <v>0</v>
      </c>
      <c r="BN642" s="57">
        <f>IF(ISERROR(IF(B642=C642,AC642/C642,(INT(AC642/B642)+(((AC642-B642*INT(AC642/B642)))/C642)/100))),0,(IF(B642=C642,AC642/C642,(INT(AC642/B642)+(((AC642-B642*INT(AC642/B642)))/C642)/100))))</f>
        <v>0</v>
      </c>
      <c r="BO642" s="57">
        <f>IF(ISERROR(IF(B642=C642,AD642/C642,(INT(AD642/B642)+(((AD642-B642*INT(AD642/B642)))/C642)/100))),0,(IF(B642=C642,AD642/C642,(INT(AD642/B642)+(((AD642-B642*INT(AD642/B642)))/C642)/100))))</f>
        <v>0</v>
      </c>
      <c r="BQ642" s="155"/>
    </row>
    <row r="643" spans="1:69" hidden="1" x14ac:dyDescent="0.35">
      <c r="A643" s="94"/>
      <c r="B643" s="113">
        <v>0</v>
      </c>
      <c r="C643" s="113">
        <v>250</v>
      </c>
      <c r="D643" s="28">
        <f>SUM(AA643:AD643)</f>
        <v>0</v>
      </c>
      <c r="E643" s="113">
        <v>0</v>
      </c>
      <c r="F643" s="113">
        <v>0</v>
      </c>
      <c r="G643" s="28">
        <f>SUM(D643:F643)</f>
        <v>0</v>
      </c>
      <c r="H643" s="125">
        <v>0</v>
      </c>
      <c r="I643" s="113">
        <v>0</v>
      </c>
      <c r="J643" s="125">
        <v>0</v>
      </c>
      <c r="K643" s="113">
        <v>0</v>
      </c>
      <c r="L643" s="113">
        <v>0</v>
      </c>
      <c r="M643" s="113">
        <v>0</v>
      </c>
      <c r="N643" s="28">
        <f>G643-SUM(H643:M643)</f>
        <v>0</v>
      </c>
      <c r="O643" s="28">
        <f>SUM(V643:Y643)</f>
        <v>0</v>
      </c>
      <c r="P643" s="28">
        <f>O643-N643</f>
        <v>0</v>
      </c>
      <c r="Q643" s="61" t="str">
        <f>IF(ISERROR(P643/SUM(H643:L643)),"",P643/SUM(H643:L643))</f>
        <v/>
      </c>
      <c r="R643" s="113">
        <v>0</v>
      </c>
      <c r="S643" s="28">
        <f>IF(ISERROR(P643/C643*R643),0,(P643/C643*R643))</f>
        <v>0</v>
      </c>
      <c r="T643" s="60">
        <f>IF(ISERROR(P643/B643*AF643),0,(P643/B643*AF643))</f>
        <v>0</v>
      </c>
      <c r="V643" s="113">
        <v>0</v>
      </c>
      <c r="W643" s="113">
        <v>0</v>
      </c>
      <c r="X643" s="113">
        <v>0</v>
      </c>
      <c r="Y643" s="113">
        <v>0</v>
      </c>
      <c r="AA643" s="113">
        <v>0</v>
      </c>
      <c r="AB643" s="113">
        <v>0</v>
      </c>
      <c r="AC643" s="113">
        <v>0</v>
      </c>
      <c r="AD643" s="113">
        <v>0</v>
      </c>
      <c r="AF643" s="113">
        <v>0</v>
      </c>
      <c r="AG643" s="28">
        <f>G643-O643</f>
        <v>0</v>
      </c>
      <c r="AH643" s="58">
        <f>IF(ISERROR(AG643/B643*AF643),0,(AG643/B643*AF643))</f>
        <v>0</v>
      </c>
      <c r="AI643" s="28">
        <f>SUM(H643:M643)</f>
        <v>0</v>
      </c>
      <c r="AJ643" s="28">
        <f>IF(ISERROR(AI643/B643*AF643),0,(AI643/B643*AF643))</f>
        <v>0</v>
      </c>
      <c r="AK643" s="58">
        <f>IF(ISERROR(O643/B643*AF643),0,(O643/B643*AF643))</f>
        <v>0</v>
      </c>
      <c r="AL643" s="28">
        <f>IF(ISERROR(H643/B643*AF643),0,(H643/B643*AF643))</f>
        <v>0</v>
      </c>
      <c r="AN643" s="51">
        <f>A643</f>
        <v>0</v>
      </c>
      <c r="AO643" s="57">
        <f>IF(ISERROR(IF(B643=C643,D643/C643,(INT(D643/B643)+(((D643-B643*INT(D643/B643)))/C643)/100))),0,(IF(B643=C643,D643/C643,(INT(D643/B643)+(((D643-B643*INT(D643/B643)))/C643)/100))))</f>
        <v>0</v>
      </c>
      <c r="AP643" s="57">
        <f>IF(ISERROR(IF(B643=C643,E643/C643,(INT(E643/B643)+(((E643-B643*INT(E643/B643)))/C643)/100))),0,(IF(B643=C643,E643/C643,(INT(E643/B643)+(((E643-B643*INT(E643/B643)))/C643)/100))))</f>
        <v>0</v>
      </c>
      <c r="AQ643" s="57">
        <f>IF(ISERROR(IF(B643=C643,F643/C643,IF((INT(F643/B643)+(((F643-B643*INT(F643/B643)))/C643)/100)&lt;0,(INT(F643/B643)+(((F643-B643*INT(F643/B643)))/C643)/100)+(1-(B643/C643/100)),(INT(F643/B643)+(((F643-B643*INT(F643/B643)))/C643)/100)))),0,IF(B643=C643,F643/C643,IF((INT(F643/B643)+(((F643-B643*INT(F643/B643)))/C643)/100)&lt;0,(INT(F643/B643)+(((F643-B643*INT(F643/B643)))/C643)/100)+(1-(B643/C643/100)),(INT(F643/B643)+(((F643-B643*INT(F643/B643)))/C643)/100))))</f>
        <v>0</v>
      </c>
      <c r="AR643" s="57">
        <f>IF(ISERROR(IF(B643=C643,G643/C643,(INT(G643/B643)+(((G643-B643*INT(G643/B643)))/C643)/100))),0,(IF(B643=C643,G643/C643,(INT(G643/B643)+(((G643-B643*INT(G643/B643)))/C643)/100))))</f>
        <v>0</v>
      </c>
      <c r="AS643" s="57">
        <f>IF(ISERROR(IF(B643=C643,H643/C643,(INT(H643/B643)+(((H643-B643*INT(H643/B643)))/C643)/100))),0,(IF(B643=C643,H643/C643,(INT(H643/B643)+(((H643-B643*INT(H643/B643)))/C643)/100))))</f>
        <v>0</v>
      </c>
      <c r="AT643" s="57">
        <f>IF(ISERROR(IF(B643=C643,I643/C643,(INT(I643/B643)+(((I643-B643*INT(I643/B643)))/C643)/100))),0,(IF(B643=C643,I643/C643,(INT(I643/B643)+(((I643-B643*INT(I643/B643)))/C643)/100))))</f>
        <v>0</v>
      </c>
      <c r="AU643" s="57">
        <f>IF(ISERROR(IF(B643=C643,J643/C643,(INT(J643/B643)+(((J643-B643*INT(J643/B643)))/C643)/100))),0,(IF(B643=C643,J643/C643,(INT(J643/B643)+(((J643-B643*INT(J643/B643)))/C643)/100))))</f>
        <v>0</v>
      </c>
      <c r="AV643" s="57">
        <f>IF(ISERROR(IF(B643=C643,K643/C643,IF((INT(K643/B643)+(((K643-B643*INT(K643/B643)))/C643)/100)&lt;0,(INT(K643/B643)+(((K643-B643*INT(K643/B643)))/C643)/100)+(1-(B643/C643/100)),(INT(K643/B643)+(((K643-B643*INT(K643/B643)))/C643)/100)))),0,IF(B643=C643,K643/C643,IF((INT(K643/B643)+(((K643-B643*INT(K643/B643)))/C643)/100)&lt;0,(INT(K643/B643)+(((K643-B643*INT(K643/B643)))/C643)/100)+(1-(B643/C643/100)),(INT(K643/B643)+(((K643-B643*INT(K643/B643)))/C643)/100))))</f>
        <v>0</v>
      </c>
      <c r="AW643" s="57">
        <f>IF(ISERROR(IF(B643=C643,L643/C643,(INT(L643/B643)+(((L643-B643*INT(L643/B643)))/C643)/100))),0,(IF(B643=C643,L643/C643,(INT(L643/B643)+(((L643-B643*INT(L643/B643)))/C643)/100))))</f>
        <v>0</v>
      </c>
      <c r="AX643" s="57">
        <f>IF(ISERROR(IF(B643=C643,M643/C643,(INT(M643/B643)+(((M643-B643*INT(M643/B643)))/C643)/100))),0,(IF(B643=C643,M643/C643,(INT(M643/B643)+(((M643-B643*INT(M643/B643)))/C643)/100))))</f>
        <v>0</v>
      </c>
      <c r="AY643" s="57">
        <f>IF(ISERROR(IF(B643=C643,N643/C643,IF((INT(N643/B643)+(((N643-B643*INT(N643/B643)))/C643)/100)&lt;0,(INT(N643/B643)+(((N643-B643*INT(N643/B643)))/C643)/100)+(1-(B643/C643/100)),(INT(N643/B643)+(((N643-B643*INT(N643/B643)))/C643)/100)))),0,IF(B643=C643,N643/C643,IF((INT(N643/B643)+(((N643-B643*INT(N643/B643)))/C643)/100)&lt;0,(INT(N643/B643)+(((N643-B643*INT(N643/B643)))/C643)/100)+(1-(B643/C643/100)),(INT(N643/B643)+(((N643-B643*INT(N643/B643)))/C643)/100))))</f>
        <v>0</v>
      </c>
      <c r="AZ643" s="57">
        <f>IF(ISERROR(IF(B643=C643,O643/C643,(INT(O643/B643)+(((O643-B643*INT(O643/B643)))/C643)/100))),0,(IF(B643=C643,O643/C643,(INT(O643/B643)+(((O643-B643*INT(O643/B643)))/C643)/100))))</f>
        <v>0</v>
      </c>
      <c r="BA643" s="57">
        <f>IF(ISERROR(IF(B643=C643,P643/C643,IF((INT(P643/B643)+(((P643-B643*INT(P643/B643)))/C643)/100)&lt;0,(INT(P643/B643)+(((P643-B643*INT(P643/B643)))/C643)/100)+(1-(B643/C643/100)),(INT(P643/B643)+(((P643-B643*INT(P643/B643)))/C643)/100)))),0,IF(B643=C643,P643/C643,IF((INT(P643/B643)+(((P643-B643*INT(P643/B643)))/C643)/100)&lt;0,(INT(P643/B643)+(((P643-B643*INT(P643/B643)))/C643)/100)+(1-(B643/C643/100)),(INT(P643/B643)+(((P643-B643*INT(P643/B643)))/C643)/100))))</f>
        <v>0</v>
      </c>
      <c r="BB643" s="28">
        <f>R643</f>
        <v>0</v>
      </c>
      <c r="BC643" s="28">
        <f>S643</f>
        <v>0</v>
      </c>
      <c r="BD643" s="28">
        <f>AF643</f>
        <v>0</v>
      </c>
      <c r="BE643" s="28">
        <f>T643</f>
        <v>0</v>
      </c>
      <c r="BG643" s="57">
        <f>IF(ISERROR(IF(B643=C643,V643/C643,(INT(V643/B643)+(((V643-B643*INT(V643/B643)))/C643)/100))),0,(IF(B643=C643,V643/C643,(INT(V643/B643)+(((V643-B643*INT(V643/B643)))/C643)/100))))</f>
        <v>0</v>
      </c>
      <c r="BH643" s="57">
        <f>IF(ISERROR(IF(B643=C643,W643/C643,(INT(W643/B643)+(((W643-B643*INT(W643/B643)))/C643)/100))),0,(IF(B643=C643,W643/C643,(INT(W643/B643)+(((W643-B643*INT(W643/B643)))/C643)/100))))</f>
        <v>0</v>
      </c>
      <c r="BI643" s="57">
        <f>IF(ISERROR(IF(B643=C643,X643/C643,(INT(X643/B643)+(((X643-B643*INT(X643/B643)))/C643)/100))),0,(IF(B643=C643,X643/C643,(INT(X643/B643)+(((X643-B643*INT(X643/B643)))/C643)/100))))</f>
        <v>0</v>
      </c>
      <c r="BJ643" s="57">
        <f>IF(ISERROR(IF(B643=C643,Y643/C643,(INT(Y643/B643)+(((Y643-B643*INT(Y643/B643)))/C643)/100))),0,(IF(B643=C643,Y643/C643,(INT(Y643/B643)+(((Y643-B643*INT(Y643/B643)))/C643)/100))))</f>
        <v>0</v>
      </c>
      <c r="BL643" s="57">
        <f>IF(ISERROR(IF(B643=C643,AA643/C643,(INT(AA643/B643)+(((AA643-B643*INT(AA643/B643)))/C643)/100))),0,(IF(B643=C643,AA643/C643,(INT(AA643/B643)+(((AA643-B643*INT(AA643/B643)))/C643)/100))))</f>
        <v>0</v>
      </c>
      <c r="BM643" s="57">
        <f>IF(ISERROR(IF(B643=C643,AB643/C643,(INT(AB643/B643)+(((AB643-B643*INT(AB643/B643)))/C643)/100))),0,(IF(B643=C643,AB643/C643,(INT(AB643/B643)+(((AB643-B643*INT(AB643/B643)))/C643)/100))))</f>
        <v>0</v>
      </c>
      <c r="BN643" s="57">
        <f>IF(ISERROR(IF(B643=C643,AC643/C643,(INT(AC643/B643)+(((AC643-B643*INT(AC643/B643)))/C643)/100))),0,(IF(B643=C643,AC643/C643,(INT(AC643/B643)+(((AC643-B643*INT(AC643/B643)))/C643)/100))))</f>
        <v>0</v>
      </c>
      <c r="BO643" s="57">
        <f>IF(ISERROR(IF(B643=C643,AD643/C643,(INT(AD643/B643)+(((AD643-B643*INT(AD643/B643)))/C643)/100))),0,(IF(B643=C643,AD643/C643,(INT(AD643/B643)+(((AD643-B643*INT(AD643/B643)))/C643)/100))))</f>
        <v>0</v>
      </c>
      <c r="BQ643" s="155"/>
    </row>
    <row r="644" spans="1:69" hidden="1" x14ac:dyDescent="0.35">
      <c r="A644" s="94"/>
      <c r="B644" s="113">
        <v>0</v>
      </c>
      <c r="C644" s="113">
        <v>250</v>
      </c>
      <c r="D644" s="28">
        <f>SUM(AA644:AD644)</f>
        <v>0</v>
      </c>
      <c r="E644" s="113">
        <v>0</v>
      </c>
      <c r="F644" s="113">
        <v>0</v>
      </c>
      <c r="G644" s="28">
        <f>SUM(D644:F644)</f>
        <v>0</v>
      </c>
      <c r="H644" s="125">
        <v>0</v>
      </c>
      <c r="I644" s="113">
        <v>0</v>
      </c>
      <c r="J644" s="125">
        <v>0</v>
      </c>
      <c r="K644" s="113">
        <v>0</v>
      </c>
      <c r="L644" s="113">
        <v>0</v>
      </c>
      <c r="M644" s="113">
        <v>0</v>
      </c>
      <c r="N644" s="28">
        <f>G644-SUM(H644:M644)</f>
        <v>0</v>
      </c>
      <c r="O644" s="28">
        <f>SUM(V644:Y644)</f>
        <v>0</v>
      </c>
      <c r="P644" s="28">
        <f>O644-N644</f>
        <v>0</v>
      </c>
      <c r="Q644" s="61" t="str">
        <f>IF(ISERROR(P644/SUM(H644:L644)),"",P644/SUM(H644:L644))</f>
        <v/>
      </c>
      <c r="R644" s="113">
        <v>0</v>
      </c>
      <c r="S644" s="28">
        <f>IF(ISERROR(P644/C644*R644),0,(P644/C644*R644))</f>
        <v>0</v>
      </c>
      <c r="T644" s="60">
        <f>IF(ISERROR(P644/B644*AF644),0,(P644/B644*AF644))</f>
        <v>0</v>
      </c>
      <c r="V644" s="113">
        <v>0</v>
      </c>
      <c r="W644" s="113">
        <v>0</v>
      </c>
      <c r="X644" s="113">
        <v>0</v>
      </c>
      <c r="Y644" s="113">
        <v>0</v>
      </c>
      <c r="AA644" s="113">
        <v>0</v>
      </c>
      <c r="AB644" s="113">
        <v>0</v>
      </c>
      <c r="AC644" s="113">
        <v>0</v>
      </c>
      <c r="AD644" s="113">
        <v>0</v>
      </c>
      <c r="AF644" s="113">
        <v>0</v>
      </c>
      <c r="AG644" s="28">
        <f>G644-O644</f>
        <v>0</v>
      </c>
      <c r="AH644" s="58">
        <f>IF(ISERROR(AG644/B644*AF644),0,(AG644/B644*AF644))</f>
        <v>0</v>
      </c>
      <c r="AI644" s="28">
        <f>SUM(H644:M644)</f>
        <v>0</v>
      </c>
      <c r="AJ644" s="28">
        <f>IF(ISERROR(AI644/B644*AF644),0,(AI644/B644*AF644))</f>
        <v>0</v>
      </c>
      <c r="AK644" s="58">
        <f>IF(ISERROR(O644/B644*AF644),0,(O644/B644*AF644))</f>
        <v>0</v>
      </c>
      <c r="AL644" s="28">
        <f>IF(ISERROR(H644/B644*AF644),0,(H644/B644*AF644))</f>
        <v>0</v>
      </c>
      <c r="AN644" s="51">
        <f>A644</f>
        <v>0</v>
      </c>
      <c r="AO644" s="57">
        <f>IF(ISERROR(IF(B644=C644,D644/C644,(INT(D644/B644)+(((D644-B644*INT(D644/B644)))/C644)/100))),0,(IF(B644=C644,D644/C644,(INT(D644/B644)+(((D644-B644*INT(D644/B644)))/C644)/100))))</f>
        <v>0</v>
      </c>
      <c r="AP644" s="57">
        <f>IF(ISERROR(IF(B644=C644,E644/C644,(INT(E644/B644)+(((E644-B644*INT(E644/B644)))/C644)/100))),0,(IF(B644=C644,E644/C644,(INT(E644/B644)+(((E644-B644*INT(E644/B644)))/C644)/100))))</f>
        <v>0</v>
      </c>
      <c r="AQ644" s="57">
        <f>IF(ISERROR(IF(B644=C644,F644/C644,IF((INT(F644/B644)+(((F644-B644*INT(F644/B644)))/C644)/100)&lt;0,(INT(F644/B644)+(((F644-B644*INT(F644/B644)))/C644)/100)+(1-(B644/C644/100)),(INT(F644/B644)+(((F644-B644*INT(F644/B644)))/C644)/100)))),0,IF(B644=C644,F644/C644,IF((INT(F644/B644)+(((F644-B644*INT(F644/B644)))/C644)/100)&lt;0,(INT(F644/B644)+(((F644-B644*INT(F644/B644)))/C644)/100)+(1-(B644/C644/100)),(INT(F644/B644)+(((F644-B644*INT(F644/B644)))/C644)/100))))</f>
        <v>0</v>
      </c>
      <c r="AR644" s="57">
        <f>IF(ISERROR(IF(B644=C644,G644/C644,(INT(G644/B644)+(((G644-B644*INT(G644/B644)))/C644)/100))),0,(IF(B644=C644,G644/C644,(INT(G644/B644)+(((G644-B644*INT(G644/B644)))/C644)/100))))</f>
        <v>0</v>
      </c>
      <c r="AS644" s="57">
        <f>IF(ISERROR(IF(B644=C644,H644/C644,(INT(H644/B644)+(((H644-B644*INT(H644/B644)))/C644)/100))),0,(IF(B644=C644,H644/C644,(INT(H644/B644)+(((H644-B644*INT(H644/B644)))/C644)/100))))</f>
        <v>0</v>
      </c>
      <c r="AT644" s="57">
        <f>IF(ISERROR(IF(B644=C644,I644/C644,(INT(I644/B644)+(((I644-B644*INT(I644/B644)))/C644)/100))),0,(IF(B644=C644,I644/C644,(INT(I644/B644)+(((I644-B644*INT(I644/B644)))/C644)/100))))</f>
        <v>0</v>
      </c>
      <c r="AU644" s="57">
        <f>IF(ISERROR(IF(B644=C644,J644/C644,(INT(J644/B644)+(((J644-B644*INT(J644/B644)))/C644)/100))),0,(IF(B644=C644,J644/C644,(INT(J644/B644)+(((J644-B644*INT(J644/B644)))/C644)/100))))</f>
        <v>0</v>
      </c>
      <c r="AV644" s="57">
        <f>IF(ISERROR(IF(B644=C644,K644/C644,IF((INT(K644/B644)+(((K644-B644*INT(K644/B644)))/C644)/100)&lt;0,(INT(K644/B644)+(((K644-B644*INT(K644/B644)))/C644)/100)+(1-(B644/C644/100)),(INT(K644/B644)+(((K644-B644*INT(K644/B644)))/C644)/100)))),0,IF(B644=C644,K644/C644,IF((INT(K644/B644)+(((K644-B644*INT(K644/B644)))/C644)/100)&lt;0,(INT(K644/B644)+(((K644-B644*INT(K644/B644)))/C644)/100)+(1-(B644/C644/100)),(INT(K644/B644)+(((K644-B644*INT(K644/B644)))/C644)/100))))</f>
        <v>0</v>
      </c>
      <c r="AW644" s="57">
        <f>IF(ISERROR(IF(B644=C644,L644/C644,(INT(L644/B644)+(((L644-B644*INT(L644/B644)))/C644)/100))),0,(IF(B644=C644,L644/C644,(INT(L644/B644)+(((L644-B644*INT(L644/B644)))/C644)/100))))</f>
        <v>0</v>
      </c>
      <c r="AX644" s="57">
        <f>IF(ISERROR(IF(B644=C644,M644/C644,(INT(M644/B644)+(((M644-B644*INT(M644/B644)))/C644)/100))),0,(IF(B644=C644,M644/C644,(INT(M644/B644)+(((M644-B644*INT(M644/B644)))/C644)/100))))</f>
        <v>0</v>
      </c>
      <c r="AY644" s="57">
        <f>IF(ISERROR(IF(B644=C644,N644/C644,IF((INT(N644/B644)+(((N644-B644*INT(N644/B644)))/C644)/100)&lt;0,(INT(N644/B644)+(((N644-B644*INT(N644/B644)))/C644)/100)+(1-(B644/C644/100)),(INT(N644/B644)+(((N644-B644*INT(N644/B644)))/C644)/100)))),0,IF(B644=C644,N644/C644,IF((INT(N644/B644)+(((N644-B644*INT(N644/B644)))/C644)/100)&lt;0,(INT(N644/B644)+(((N644-B644*INT(N644/B644)))/C644)/100)+(1-(B644/C644/100)),(INT(N644/B644)+(((N644-B644*INT(N644/B644)))/C644)/100))))</f>
        <v>0</v>
      </c>
      <c r="AZ644" s="57">
        <f>IF(ISERROR(IF(B644=C644,O644/C644,(INT(O644/B644)+(((O644-B644*INT(O644/B644)))/C644)/100))),0,(IF(B644=C644,O644/C644,(INT(O644/B644)+(((O644-B644*INT(O644/B644)))/C644)/100))))</f>
        <v>0</v>
      </c>
      <c r="BA644" s="57">
        <f>IF(ISERROR(IF(B644=C644,P644/C644,IF((INT(P644/B644)+(((P644-B644*INT(P644/B644)))/C644)/100)&lt;0,(INT(P644/B644)+(((P644-B644*INT(P644/B644)))/C644)/100)+(1-(B644/C644/100)),(INT(P644/B644)+(((P644-B644*INT(P644/B644)))/C644)/100)))),0,IF(B644=C644,P644/C644,IF((INT(P644/B644)+(((P644-B644*INT(P644/B644)))/C644)/100)&lt;0,(INT(P644/B644)+(((P644-B644*INT(P644/B644)))/C644)/100)+(1-(B644/C644/100)),(INT(P644/B644)+(((P644-B644*INT(P644/B644)))/C644)/100))))</f>
        <v>0</v>
      </c>
      <c r="BB644" s="28">
        <f>R644</f>
        <v>0</v>
      </c>
      <c r="BC644" s="28">
        <f>S644</f>
        <v>0</v>
      </c>
      <c r="BD644" s="28">
        <f>AF644</f>
        <v>0</v>
      </c>
      <c r="BE644" s="28">
        <f>T644</f>
        <v>0</v>
      </c>
      <c r="BG644" s="57">
        <f>IF(ISERROR(IF(B644=C644,V644/C644,(INT(V644/B644)+(((V644-B644*INT(V644/B644)))/C644)/100))),0,(IF(B644=C644,V644/C644,(INT(V644/B644)+(((V644-B644*INT(V644/B644)))/C644)/100))))</f>
        <v>0</v>
      </c>
      <c r="BH644" s="57">
        <f>IF(ISERROR(IF(B644=C644,W644/C644,(INT(W644/B644)+(((W644-B644*INT(W644/B644)))/C644)/100))),0,(IF(B644=C644,W644/C644,(INT(W644/B644)+(((W644-B644*INT(W644/B644)))/C644)/100))))</f>
        <v>0</v>
      </c>
      <c r="BI644" s="57">
        <f>IF(ISERROR(IF(B644=C644,X644/C644,(INT(X644/B644)+(((X644-B644*INT(X644/B644)))/C644)/100))),0,(IF(B644=C644,X644/C644,(INT(X644/B644)+(((X644-B644*INT(X644/B644)))/C644)/100))))</f>
        <v>0</v>
      </c>
      <c r="BJ644" s="57">
        <f>IF(ISERROR(IF(B644=C644,Y644/C644,(INT(Y644/B644)+(((Y644-B644*INT(Y644/B644)))/C644)/100))),0,(IF(B644=C644,Y644/C644,(INT(Y644/B644)+(((Y644-B644*INT(Y644/B644)))/C644)/100))))</f>
        <v>0</v>
      </c>
      <c r="BL644" s="57">
        <f>IF(ISERROR(IF(B644=C644,AA644/C644,(INT(AA644/B644)+(((AA644-B644*INT(AA644/B644)))/C644)/100))),0,(IF(B644=C644,AA644/C644,(INT(AA644/B644)+(((AA644-B644*INT(AA644/B644)))/C644)/100))))</f>
        <v>0</v>
      </c>
      <c r="BM644" s="57">
        <f>IF(ISERROR(IF(B644=C644,AB644/C644,(INT(AB644/B644)+(((AB644-B644*INT(AB644/B644)))/C644)/100))),0,(IF(B644=C644,AB644/C644,(INT(AB644/B644)+(((AB644-B644*INT(AB644/B644)))/C644)/100))))</f>
        <v>0</v>
      </c>
      <c r="BN644" s="57">
        <f>IF(ISERROR(IF(B644=C644,AC644/C644,(INT(AC644/B644)+(((AC644-B644*INT(AC644/B644)))/C644)/100))),0,(IF(B644=C644,AC644/C644,(INT(AC644/B644)+(((AC644-B644*INT(AC644/B644)))/C644)/100))))</f>
        <v>0</v>
      </c>
      <c r="BO644" s="57">
        <f>IF(ISERROR(IF(B644=C644,AD644/C644,(INT(AD644/B644)+(((AD644-B644*INT(AD644/B644)))/C644)/100))),0,(IF(B644=C644,AD644/C644,(INT(AD644/B644)+(((AD644-B644*INT(AD644/B644)))/C644)/100))))</f>
        <v>0</v>
      </c>
      <c r="BQ644" s="155"/>
    </row>
    <row r="645" spans="1:69" hidden="1" x14ac:dyDescent="0.35">
      <c r="A645" s="94"/>
      <c r="B645" s="113">
        <v>0</v>
      </c>
      <c r="C645" s="113">
        <v>250</v>
      </c>
      <c r="D645" s="28">
        <f>SUM(AA645:AD645)</f>
        <v>0</v>
      </c>
      <c r="E645" s="113">
        <v>0</v>
      </c>
      <c r="F645" s="113">
        <v>0</v>
      </c>
      <c r="G645" s="28">
        <f>SUM(D645:F645)</f>
        <v>0</v>
      </c>
      <c r="H645" s="125">
        <v>0</v>
      </c>
      <c r="I645" s="113">
        <v>0</v>
      </c>
      <c r="J645" s="125">
        <v>0</v>
      </c>
      <c r="K645" s="113">
        <v>0</v>
      </c>
      <c r="L645" s="113">
        <v>0</v>
      </c>
      <c r="M645" s="113">
        <v>0</v>
      </c>
      <c r="N645" s="28">
        <f>G645-SUM(H645:M645)</f>
        <v>0</v>
      </c>
      <c r="O645" s="28">
        <f>SUM(V645:Y645)</f>
        <v>0</v>
      </c>
      <c r="P645" s="28">
        <f>O645-N645</f>
        <v>0</v>
      </c>
      <c r="Q645" s="61" t="str">
        <f>IF(ISERROR(P645/SUM(H645:L645)),"",P645/SUM(H645:L645))</f>
        <v/>
      </c>
      <c r="R645" s="113">
        <v>0</v>
      </c>
      <c r="S645" s="28">
        <f>IF(ISERROR(P645/C645*R645),0,(P645/C645*R645))</f>
        <v>0</v>
      </c>
      <c r="T645" s="60">
        <f>IF(ISERROR(P645/B645*AF645),0,(P645/B645*AF645))</f>
        <v>0</v>
      </c>
      <c r="V645" s="113">
        <v>0</v>
      </c>
      <c r="W645" s="113">
        <v>0</v>
      </c>
      <c r="X645" s="113">
        <v>0</v>
      </c>
      <c r="Y645" s="113">
        <v>0</v>
      </c>
      <c r="AA645" s="113">
        <v>0</v>
      </c>
      <c r="AB645" s="113">
        <v>0</v>
      </c>
      <c r="AC645" s="113">
        <v>0</v>
      </c>
      <c r="AD645" s="113">
        <v>0</v>
      </c>
      <c r="AF645" s="113">
        <v>0</v>
      </c>
      <c r="AG645" s="28">
        <f>G645-O645</f>
        <v>0</v>
      </c>
      <c r="AH645" s="58">
        <f>IF(ISERROR(AG645/B645*AF645),0,(AG645/B645*AF645))</f>
        <v>0</v>
      </c>
      <c r="AI645" s="28">
        <f>SUM(H645:M645)</f>
        <v>0</v>
      </c>
      <c r="AJ645" s="28">
        <f>IF(ISERROR(AI645/B645*AF645),0,(AI645/B645*AF645))</f>
        <v>0</v>
      </c>
      <c r="AK645" s="58">
        <f>IF(ISERROR(O645/B645*AF645),0,(O645/B645*AF645))</f>
        <v>0</v>
      </c>
      <c r="AL645" s="28">
        <f>IF(ISERROR(H645/B645*AF645),0,(H645/B645*AF645))</f>
        <v>0</v>
      </c>
      <c r="AN645" s="51">
        <f>A645</f>
        <v>0</v>
      </c>
      <c r="AO645" s="57">
        <f>IF(ISERROR(IF(B645=C645,D645/C645,(INT(D645/B645)+(((D645-B645*INT(D645/B645)))/C645)/100))),0,(IF(B645=C645,D645/C645,(INT(D645/B645)+(((D645-B645*INT(D645/B645)))/C645)/100))))</f>
        <v>0</v>
      </c>
      <c r="AP645" s="57">
        <f>IF(ISERROR(IF(B645=C645,E645/C645,(INT(E645/B645)+(((E645-B645*INT(E645/B645)))/C645)/100))),0,(IF(B645=C645,E645/C645,(INT(E645/B645)+(((E645-B645*INT(E645/B645)))/C645)/100))))</f>
        <v>0</v>
      </c>
      <c r="AQ645" s="57">
        <f>IF(ISERROR(IF(B645=C645,F645/C645,IF((INT(F645/B645)+(((F645-B645*INT(F645/B645)))/C645)/100)&lt;0,(INT(F645/B645)+(((F645-B645*INT(F645/B645)))/C645)/100)+(1-(B645/C645/100)),(INT(F645/B645)+(((F645-B645*INT(F645/B645)))/C645)/100)))),0,IF(B645=C645,F645/C645,IF((INT(F645/B645)+(((F645-B645*INT(F645/B645)))/C645)/100)&lt;0,(INT(F645/B645)+(((F645-B645*INT(F645/B645)))/C645)/100)+(1-(B645/C645/100)),(INT(F645/B645)+(((F645-B645*INT(F645/B645)))/C645)/100))))</f>
        <v>0</v>
      </c>
      <c r="AR645" s="57">
        <f>IF(ISERROR(IF(B645=C645,G645/C645,(INT(G645/B645)+(((G645-B645*INT(G645/B645)))/C645)/100))),0,(IF(B645=C645,G645/C645,(INT(G645/B645)+(((G645-B645*INT(G645/B645)))/C645)/100))))</f>
        <v>0</v>
      </c>
      <c r="AS645" s="57">
        <f>IF(ISERROR(IF(B645=C645,H645/C645,(INT(H645/B645)+(((H645-B645*INT(H645/B645)))/C645)/100))),0,(IF(B645=C645,H645/C645,(INT(H645/B645)+(((H645-B645*INT(H645/B645)))/C645)/100))))</f>
        <v>0</v>
      </c>
      <c r="AT645" s="57">
        <f>IF(ISERROR(IF(B645=C645,I645/C645,(INT(I645/B645)+(((I645-B645*INT(I645/B645)))/C645)/100))),0,(IF(B645=C645,I645/C645,(INT(I645/B645)+(((I645-B645*INT(I645/B645)))/C645)/100))))</f>
        <v>0</v>
      </c>
      <c r="AU645" s="57">
        <f>IF(ISERROR(IF(B645=C645,J645/C645,(INT(J645/B645)+(((J645-B645*INT(J645/B645)))/C645)/100))),0,(IF(B645=C645,J645/C645,(INT(J645/B645)+(((J645-B645*INT(J645/B645)))/C645)/100))))</f>
        <v>0</v>
      </c>
      <c r="AV645" s="57">
        <f>IF(ISERROR(IF(B645=C645,K645/C645,IF((INT(K645/B645)+(((K645-B645*INT(K645/B645)))/C645)/100)&lt;0,(INT(K645/B645)+(((K645-B645*INT(K645/B645)))/C645)/100)+(1-(B645/C645/100)),(INT(K645/B645)+(((K645-B645*INT(K645/B645)))/C645)/100)))),0,IF(B645=C645,K645/C645,IF((INT(K645/B645)+(((K645-B645*INT(K645/B645)))/C645)/100)&lt;0,(INT(K645/B645)+(((K645-B645*INT(K645/B645)))/C645)/100)+(1-(B645/C645/100)),(INT(K645/B645)+(((K645-B645*INT(K645/B645)))/C645)/100))))</f>
        <v>0</v>
      </c>
      <c r="AW645" s="57">
        <f>IF(ISERROR(IF(B645=C645,L645/C645,(INT(L645/B645)+(((L645-B645*INT(L645/B645)))/C645)/100))),0,(IF(B645=C645,L645/C645,(INT(L645/B645)+(((L645-B645*INT(L645/B645)))/C645)/100))))</f>
        <v>0</v>
      </c>
      <c r="AX645" s="57">
        <f>IF(ISERROR(IF(B645=C645,M645/C645,(INT(M645/B645)+(((M645-B645*INT(M645/B645)))/C645)/100))),0,(IF(B645=C645,M645/C645,(INT(M645/B645)+(((M645-B645*INT(M645/B645)))/C645)/100))))</f>
        <v>0</v>
      </c>
      <c r="AY645" s="57">
        <f>IF(ISERROR(IF(B645=C645,N645/C645,IF((INT(N645/B645)+(((N645-B645*INT(N645/B645)))/C645)/100)&lt;0,(INT(N645/B645)+(((N645-B645*INT(N645/B645)))/C645)/100)+(1-(B645/C645/100)),(INT(N645/B645)+(((N645-B645*INT(N645/B645)))/C645)/100)))),0,IF(B645=C645,N645/C645,IF((INT(N645/B645)+(((N645-B645*INT(N645/B645)))/C645)/100)&lt;0,(INT(N645/B645)+(((N645-B645*INT(N645/B645)))/C645)/100)+(1-(B645/C645/100)),(INT(N645/B645)+(((N645-B645*INT(N645/B645)))/C645)/100))))</f>
        <v>0</v>
      </c>
      <c r="AZ645" s="57">
        <f>IF(ISERROR(IF(B645=C645,O645/C645,(INT(O645/B645)+(((O645-B645*INT(O645/B645)))/C645)/100))),0,(IF(B645=C645,O645/C645,(INT(O645/B645)+(((O645-B645*INT(O645/B645)))/C645)/100))))</f>
        <v>0</v>
      </c>
      <c r="BA645" s="57">
        <f>IF(ISERROR(IF(B645=C645,P645/C645,IF((INT(P645/B645)+(((P645-B645*INT(P645/B645)))/C645)/100)&lt;0,(INT(P645/B645)+(((P645-B645*INT(P645/B645)))/C645)/100)+(1-(B645/C645/100)),(INT(P645/B645)+(((P645-B645*INT(P645/B645)))/C645)/100)))),0,IF(B645=C645,P645/C645,IF((INT(P645/B645)+(((P645-B645*INT(P645/B645)))/C645)/100)&lt;0,(INT(P645/B645)+(((P645-B645*INT(P645/B645)))/C645)/100)+(1-(B645/C645/100)),(INT(P645/B645)+(((P645-B645*INT(P645/B645)))/C645)/100))))</f>
        <v>0</v>
      </c>
      <c r="BB645" s="28">
        <f>R645</f>
        <v>0</v>
      </c>
      <c r="BC645" s="28">
        <f>S645</f>
        <v>0</v>
      </c>
      <c r="BD645" s="28">
        <f>AF645</f>
        <v>0</v>
      </c>
      <c r="BE645" s="28">
        <f>T645</f>
        <v>0</v>
      </c>
      <c r="BG645" s="57">
        <f>IF(ISERROR(IF(B645=C645,V645/C645,(INT(V645/B645)+(((V645-B645*INT(V645/B645)))/C645)/100))),0,(IF(B645=C645,V645/C645,(INT(V645/B645)+(((V645-B645*INT(V645/B645)))/C645)/100))))</f>
        <v>0</v>
      </c>
      <c r="BH645" s="57">
        <f>IF(ISERROR(IF(B645=C645,W645/C645,(INT(W645/B645)+(((W645-B645*INT(W645/B645)))/C645)/100))),0,(IF(B645=C645,W645/C645,(INT(W645/B645)+(((W645-B645*INT(W645/B645)))/C645)/100))))</f>
        <v>0</v>
      </c>
      <c r="BI645" s="57">
        <f>IF(ISERROR(IF(B645=C645,X645/C645,(INT(X645/B645)+(((X645-B645*INT(X645/B645)))/C645)/100))),0,(IF(B645=C645,X645/C645,(INT(X645/B645)+(((X645-B645*INT(X645/B645)))/C645)/100))))</f>
        <v>0</v>
      </c>
      <c r="BJ645" s="57">
        <f>IF(ISERROR(IF(B645=C645,Y645/C645,(INT(Y645/B645)+(((Y645-B645*INT(Y645/B645)))/C645)/100))),0,(IF(B645=C645,Y645/C645,(INT(Y645/B645)+(((Y645-B645*INT(Y645/B645)))/C645)/100))))</f>
        <v>0</v>
      </c>
      <c r="BL645" s="57">
        <f>IF(ISERROR(IF(B645=C645,AA645/C645,(INT(AA645/B645)+(((AA645-B645*INT(AA645/B645)))/C645)/100))),0,(IF(B645=C645,AA645/C645,(INT(AA645/B645)+(((AA645-B645*INT(AA645/B645)))/C645)/100))))</f>
        <v>0</v>
      </c>
      <c r="BM645" s="57">
        <f>IF(ISERROR(IF(B645=C645,AB645/C645,(INT(AB645/B645)+(((AB645-B645*INT(AB645/B645)))/C645)/100))),0,(IF(B645=C645,AB645/C645,(INT(AB645/B645)+(((AB645-B645*INT(AB645/B645)))/C645)/100))))</f>
        <v>0</v>
      </c>
      <c r="BN645" s="57">
        <f>IF(ISERROR(IF(B645=C645,AC645/C645,(INT(AC645/B645)+(((AC645-B645*INT(AC645/B645)))/C645)/100))),0,(IF(B645=C645,AC645/C645,(INT(AC645/B645)+(((AC645-B645*INT(AC645/B645)))/C645)/100))))</f>
        <v>0</v>
      </c>
      <c r="BO645" s="57">
        <f>IF(ISERROR(IF(B645=C645,AD645/C645,(INT(AD645/B645)+(((AD645-B645*INT(AD645/B645)))/C645)/100))),0,(IF(B645=C645,AD645/C645,(INT(AD645/B645)+(((AD645-B645*INT(AD645/B645)))/C645)/100))))</f>
        <v>0</v>
      </c>
      <c r="BQ645" s="155"/>
    </row>
    <row r="646" spans="1:69" hidden="1" x14ac:dyDescent="0.35">
      <c r="A646" s="94"/>
      <c r="B646" s="113">
        <v>0</v>
      </c>
      <c r="C646" s="113">
        <v>250</v>
      </c>
      <c r="D646" s="28">
        <f>SUM(AA646:AD646)</f>
        <v>0</v>
      </c>
      <c r="E646" s="113">
        <v>0</v>
      </c>
      <c r="F646" s="113">
        <v>0</v>
      </c>
      <c r="G646" s="28">
        <f>SUM(D646:F646)</f>
        <v>0</v>
      </c>
      <c r="H646" s="125">
        <v>0</v>
      </c>
      <c r="I646" s="113">
        <v>0</v>
      </c>
      <c r="J646" s="125">
        <v>0</v>
      </c>
      <c r="K646" s="113">
        <v>0</v>
      </c>
      <c r="L646" s="113">
        <v>0</v>
      </c>
      <c r="M646" s="113">
        <v>0</v>
      </c>
      <c r="N646" s="28">
        <f>G646-SUM(H646:M646)</f>
        <v>0</v>
      </c>
      <c r="O646" s="28">
        <f>SUM(V646:Y646)</f>
        <v>0</v>
      </c>
      <c r="P646" s="28">
        <f>O646-N646</f>
        <v>0</v>
      </c>
      <c r="Q646" s="61" t="str">
        <f>IF(ISERROR(P646/SUM(H646:L646)),"",P646/SUM(H646:L646))</f>
        <v/>
      </c>
      <c r="R646" s="113">
        <v>0</v>
      </c>
      <c r="S646" s="28">
        <f>IF(ISERROR(P646/C646*R646),0,(P646/C646*R646))</f>
        <v>0</v>
      </c>
      <c r="T646" s="60">
        <f>IF(ISERROR(P646/B646*AF646),0,(P646/B646*AF646))</f>
        <v>0</v>
      </c>
      <c r="V646" s="113">
        <v>0</v>
      </c>
      <c r="W646" s="113">
        <v>0</v>
      </c>
      <c r="X646" s="113">
        <v>0</v>
      </c>
      <c r="Y646" s="113">
        <v>0</v>
      </c>
      <c r="AA646" s="113">
        <v>0</v>
      </c>
      <c r="AB646" s="113">
        <v>0</v>
      </c>
      <c r="AC646" s="113">
        <v>0</v>
      </c>
      <c r="AD646" s="113">
        <v>0</v>
      </c>
      <c r="AF646" s="113">
        <v>0</v>
      </c>
      <c r="AG646" s="28">
        <f>G646-O646</f>
        <v>0</v>
      </c>
      <c r="AH646" s="58">
        <f>IF(ISERROR(AG646/B646*AF646),0,(AG646/B646*AF646))</f>
        <v>0</v>
      </c>
      <c r="AI646" s="28">
        <f>SUM(H646:M646)</f>
        <v>0</v>
      </c>
      <c r="AJ646" s="28">
        <f>IF(ISERROR(AI646/B646*AF646),0,(AI646/B646*AF646))</f>
        <v>0</v>
      </c>
      <c r="AK646" s="58">
        <f>IF(ISERROR(O646/B646*AF646),0,(O646/B646*AF646))</f>
        <v>0</v>
      </c>
      <c r="AL646" s="28">
        <f>IF(ISERROR(H646/B646*AF646),0,(H646/B646*AF646))</f>
        <v>0</v>
      </c>
      <c r="AN646" s="51">
        <f>A646</f>
        <v>0</v>
      </c>
      <c r="AO646" s="57">
        <f>IF(ISERROR(IF(B646=C646,D646/C646,(INT(D646/B646)+(((D646-B646*INT(D646/B646)))/C646)/100))),0,(IF(B646=C646,D646/C646,(INT(D646/B646)+(((D646-B646*INT(D646/B646)))/C646)/100))))</f>
        <v>0</v>
      </c>
      <c r="AP646" s="57">
        <f>IF(ISERROR(IF(B646=C646,E646/C646,(INT(E646/B646)+(((E646-B646*INT(E646/B646)))/C646)/100))),0,(IF(B646=C646,E646/C646,(INT(E646/B646)+(((E646-B646*INT(E646/B646)))/C646)/100))))</f>
        <v>0</v>
      </c>
      <c r="AQ646" s="57">
        <f>IF(ISERROR(IF(B646=C646,F646/C646,IF((INT(F646/B646)+(((F646-B646*INT(F646/B646)))/C646)/100)&lt;0,(INT(F646/B646)+(((F646-B646*INT(F646/B646)))/C646)/100)+(1-(B646/C646/100)),(INT(F646/B646)+(((F646-B646*INT(F646/B646)))/C646)/100)))),0,IF(B646=C646,F646/C646,IF((INT(F646/B646)+(((F646-B646*INT(F646/B646)))/C646)/100)&lt;0,(INT(F646/B646)+(((F646-B646*INT(F646/B646)))/C646)/100)+(1-(B646/C646/100)),(INT(F646/B646)+(((F646-B646*INT(F646/B646)))/C646)/100))))</f>
        <v>0</v>
      </c>
      <c r="AR646" s="57">
        <f>IF(ISERROR(IF(B646=C646,G646/C646,(INT(G646/B646)+(((G646-B646*INT(G646/B646)))/C646)/100))),0,(IF(B646=C646,G646/C646,(INT(G646/B646)+(((G646-B646*INT(G646/B646)))/C646)/100))))</f>
        <v>0</v>
      </c>
      <c r="AS646" s="57">
        <f>IF(ISERROR(IF(B646=C646,H646/C646,(INT(H646/B646)+(((H646-B646*INT(H646/B646)))/C646)/100))),0,(IF(B646=C646,H646/C646,(INT(H646/B646)+(((H646-B646*INT(H646/B646)))/C646)/100))))</f>
        <v>0</v>
      </c>
      <c r="AT646" s="57">
        <f>IF(ISERROR(IF(B646=C646,I646/C646,(INT(I646/B646)+(((I646-B646*INT(I646/B646)))/C646)/100))),0,(IF(B646=C646,I646/C646,(INT(I646/B646)+(((I646-B646*INT(I646/B646)))/C646)/100))))</f>
        <v>0</v>
      </c>
      <c r="AU646" s="57">
        <f>IF(ISERROR(IF(B646=C646,J646/C646,(INT(J646/B646)+(((J646-B646*INT(J646/B646)))/C646)/100))),0,(IF(B646=C646,J646/C646,(INT(J646/B646)+(((J646-B646*INT(J646/B646)))/C646)/100))))</f>
        <v>0</v>
      </c>
      <c r="AV646" s="57">
        <f>IF(ISERROR(IF(B646=C646,K646/C646,IF((INT(K646/B646)+(((K646-B646*INT(K646/B646)))/C646)/100)&lt;0,(INT(K646/B646)+(((K646-B646*INT(K646/B646)))/C646)/100)+(1-(B646/C646/100)),(INT(K646/B646)+(((K646-B646*INT(K646/B646)))/C646)/100)))),0,IF(B646=C646,K646/C646,IF((INT(K646/B646)+(((K646-B646*INT(K646/B646)))/C646)/100)&lt;0,(INT(K646/B646)+(((K646-B646*INT(K646/B646)))/C646)/100)+(1-(B646/C646/100)),(INT(K646/B646)+(((K646-B646*INT(K646/B646)))/C646)/100))))</f>
        <v>0</v>
      </c>
      <c r="AW646" s="57">
        <f>IF(ISERROR(IF(B646=C646,L646/C646,(INT(L646/B646)+(((L646-B646*INT(L646/B646)))/C646)/100))),0,(IF(B646=C646,L646/C646,(INT(L646/B646)+(((L646-B646*INT(L646/B646)))/C646)/100))))</f>
        <v>0</v>
      </c>
      <c r="AX646" s="57">
        <f>IF(ISERROR(IF(B646=C646,M646/C646,(INT(M646/B646)+(((M646-B646*INT(M646/B646)))/C646)/100))),0,(IF(B646=C646,M646/C646,(INT(M646/B646)+(((M646-B646*INT(M646/B646)))/C646)/100))))</f>
        <v>0</v>
      </c>
      <c r="AY646" s="57">
        <f>IF(ISERROR(IF(B646=C646,N646/C646,IF((INT(N646/B646)+(((N646-B646*INT(N646/B646)))/C646)/100)&lt;0,(INT(N646/B646)+(((N646-B646*INT(N646/B646)))/C646)/100)+(1-(B646/C646/100)),(INT(N646/B646)+(((N646-B646*INT(N646/B646)))/C646)/100)))),0,IF(B646=C646,N646/C646,IF((INT(N646/B646)+(((N646-B646*INT(N646/B646)))/C646)/100)&lt;0,(INT(N646/B646)+(((N646-B646*INT(N646/B646)))/C646)/100)+(1-(B646/C646/100)),(INT(N646/B646)+(((N646-B646*INT(N646/B646)))/C646)/100))))</f>
        <v>0</v>
      </c>
      <c r="AZ646" s="57">
        <f>IF(ISERROR(IF(B646=C646,O646/C646,(INT(O646/B646)+(((O646-B646*INT(O646/B646)))/C646)/100))),0,(IF(B646=C646,O646/C646,(INT(O646/B646)+(((O646-B646*INT(O646/B646)))/C646)/100))))</f>
        <v>0</v>
      </c>
      <c r="BA646" s="57">
        <f>IF(ISERROR(IF(B646=C646,P646/C646,IF((INT(P646/B646)+(((P646-B646*INT(P646/B646)))/C646)/100)&lt;0,(INT(P646/B646)+(((P646-B646*INT(P646/B646)))/C646)/100)+(1-(B646/C646/100)),(INT(P646/B646)+(((P646-B646*INT(P646/B646)))/C646)/100)))),0,IF(B646=C646,P646/C646,IF((INT(P646/B646)+(((P646-B646*INT(P646/B646)))/C646)/100)&lt;0,(INT(P646/B646)+(((P646-B646*INT(P646/B646)))/C646)/100)+(1-(B646/C646/100)),(INT(P646/B646)+(((P646-B646*INT(P646/B646)))/C646)/100))))</f>
        <v>0</v>
      </c>
      <c r="BB646" s="28">
        <f>R646</f>
        <v>0</v>
      </c>
      <c r="BC646" s="28">
        <f>S646</f>
        <v>0</v>
      </c>
      <c r="BD646" s="28">
        <f>AF646</f>
        <v>0</v>
      </c>
      <c r="BE646" s="28">
        <f>T646</f>
        <v>0</v>
      </c>
      <c r="BG646" s="57">
        <f>IF(ISERROR(IF(B646=C646,V646/C646,(INT(V646/B646)+(((V646-B646*INT(V646/B646)))/C646)/100))),0,(IF(B646=C646,V646/C646,(INT(V646/B646)+(((V646-B646*INT(V646/B646)))/C646)/100))))</f>
        <v>0</v>
      </c>
      <c r="BH646" s="57">
        <f>IF(ISERROR(IF(B646=C646,W646/C646,(INT(W646/B646)+(((W646-B646*INT(W646/B646)))/C646)/100))),0,(IF(B646=C646,W646/C646,(INT(W646/B646)+(((W646-B646*INT(W646/B646)))/C646)/100))))</f>
        <v>0</v>
      </c>
      <c r="BI646" s="57">
        <f>IF(ISERROR(IF(B646=C646,X646/C646,(INT(X646/B646)+(((X646-B646*INT(X646/B646)))/C646)/100))),0,(IF(B646=C646,X646/C646,(INT(X646/B646)+(((X646-B646*INT(X646/B646)))/C646)/100))))</f>
        <v>0</v>
      </c>
      <c r="BJ646" s="57">
        <f>IF(ISERROR(IF(B646=C646,Y646/C646,(INT(Y646/B646)+(((Y646-B646*INT(Y646/B646)))/C646)/100))),0,(IF(B646=C646,Y646/C646,(INT(Y646/B646)+(((Y646-B646*INT(Y646/B646)))/C646)/100))))</f>
        <v>0</v>
      </c>
      <c r="BL646" s="57">
        <f>IF(ISERROR(IF(B646=C646,AA646/C646,(INT(AA646/B646)+(((AA646-B646*INT(AA646/B646)))/C646)/100))),0,(IF(B646=C646,AA646/C646,(INT(AA646/B646)+(((AA646-B646*INT(AA646/B646)))/C646)/100))))</f>
        <v>0</v>
      </c>
      <c r="BM646" s="57">
        <f>IF(ISERROR(IF(B646=C646,AB646/C646,(INT(AB646/B646)+(((AB646-B646*INT(AB646/B646)))/C646)/100))),0,(IF(B646=C646,AB646/C646,(INT(AB646/B646)+(((AB646-B646*INT(AB646/B646)))/C646)/100))))</f>
        <v>0</v>
      </c>
      <c r="BN646" s="57">
        <f>IF(ISERROR(IF(B646=C646,AC646/C646,(INT(AC646/B646)+(((AC646-B646*INT(AC646/B646)))/C646)/100))),0,(IF(B646=C646,AC646/C646,(INT(AC646/B646)+(((AC646-B646*INT(AC646/B646)))/C646)/100))))</f>
        <v>0</v>
      </c>
      <c r="BO646" s="57">
        <f>IF(ISERROR(IF(B646=C646,AD646/C646,(INT(AD646/B646)+(((AD646-B646*INT(AD646/B646)))/C646)/100))),0,(IF(B646=C646,AD646/C646,(INT(AD646/B646)+(((AD646-B646*INT(AD646/B646)))/C646)/100))))</f>
        <v>0</v>
      </c>
      <c r="BQ646" s="155"/>
    </row>
    <row r="647" spans="1:69" hidden="1" x14ac:dyDescent="0.35">
      <c r="A647" s="94"/>
      <c r="B647" s="113">
        <v>0</v>
      </c>
      <c r="C647" s="113">
        <v>250</v>
      </c>
      <c r="D647" s="28">
        <f>SUM(AA647:AD647)</f>
        <v>0</v>
      </c>
      <c r="E647" s="113">
        <v>0</v>
      </c>
      <c r="F647" s="113">
        <v>0</v>
      </c>
      <c r="G647" s="28">
        <f>SUM(D647:F647)</f>
        <v>0</v>
      </c>
      <c r="H647" s="125">
        <v>0</v>
      </c>
      <c r="I647" s="113">
        <v>0</v>
      </c>
      <c r="J647" s="125">
        <v>0</v>
      </c>
      <c r="K647" s="113">
        <v>0</v>
      </c>
      <c r="L647" s="113">
        <v>0</v>
      </c>
      <c r="M647" s="113">
        <v>0</v>
      </c>
      <c r="N647" s="28">
        <f>G647-SUM(H647:M647)</f>
        <v>0</v>
      </c>
      <c r="O647" s="28">
        <f>SUM(V647:Y647)</f>
        <v>0</v>
      </c>
      <c r="P647" s="28">
        <f>O647-N647</f>
        <v>0</v>
      </c>
      <c r="Q647" s="61" t="str">
        <f>IF(ISERROR(P647/SUM(H647:L647)),"",P647/SUM(H647:L647))</f>
        <v/>
      </c>
      <c r="R647" s="113">
        <v>0</v>
      </c>
      <c r="S647" s="28">
        <f>IF(ISERROR(P647/C647*R647),0,(P647/C647*R647))</f>
        <v>0</v>
      </c>
      <c r="T647" s="60">
        <f>IF(ISERROR(P647/B647*AF647),0,(P647/B647*AF647))</f>
        <v>0</v>
      </c>
      <c r="V647" s="113">
        <v>0</v>
      </c>
      <c r="W647" s="113">
        <v>0</v>
      </c>
      <c r="X647" s="113">
        <v>0</v>
      </c>
      <c r="Y647" s="113">
        <v>0</v>
      </c>
      <c r="AA647" s="113">
        <v>0</v>
      </c>
      <c r="AB647" s="113">
        <v>0</v>
      </c>
      <c r="AC647" s="113">
        <v>0</v>
      </c>
      <c r="AD647" s="113">
        <v>0</v>
      </c>
      <c r="AF647" s="113">
        <v>0</v>
      </c>
      <c r="AG647" s="28">
        <f>G647-O647</f>
        <v>0</v>
      </c>
      <c r="AH647" s="58">
        <f>IF(ISERROR(AG647/B647*AF647),0,(AG647/B647*AF647))</f>
        <v>0</v>
      </c>
      <c r="AI647" s="28">
        <f>SUM(H647:M647)</f>
        <v>0</v>
      </c>
      <c r="AJ647" s="28">
        <f>IF(ISERROR(AI647/B647*AF647),0,(AI647/B647*AF647))</f>
        <v>0</v>
      </c>
      <c r="AK647" s="58">
        <f>IF(ISERROR(O647/B647*AF647),0,(O647/B647*AF647))</f>
        <v>0</v>
      </c>
      <c r="AL647" s="28">
        <f>IF(ISERROR(H647/B647*AF647),0,(H647/B647*AF647))</f>
        <v>0</v>
      </c>
      <c r="AN647" s="51">
        <f>A647</f>
        <v>0</v>
      </c>
      <c r="AO647" s="57">
        <f>IF(ISERROR(IF(B647=C647,D647/C647,(INT(D647/B647)+(((D647-B647*INT(D647/B647)))/C647)/100))),0,(IF(B647=C647,D647/C647,(INT(D647/B647)+(((D647-B647*INT(D647/B647)))/C647)/100))))</f>
        <v>0</v>
      </c>
      <c r="AP647" s="57">
        <f>IF(ISERROR(IF(B647=C647,E647/C647,(INT(E647/B647)+(((E647-B647*INT(E647/B647)))/C647)/100))),0,(IF(B647=C647,E647/C647,(INT(E647/B647)+(((E647-B647*INT(E647/B647)))/C647)/100))))</f>
        <v>0</v>
      </c>
      <c r="AQ647" s="57">
        <f>IF(ISERROR(IF(B647=C647,F647/C647,IF((INT(F647/B647)+(((F647-B647*INT(F647/B647)))/C647)/100)&lt;0,(INT(F647/B647)+(((F647-B647*INT(F647/B647)))/C647)/100)+(1-(B647/C647/100)),(INT(F647/B647)+(((F647-B647*INT(F647/B647)))/C647)/100)))),0,IF(B647=C647,F647/C647,IF((INT(F647/B647)+(((F647-B647*INT(F647/B647)))/C647)/100)&lt;0,(INT(F647/B647)+(((F647-B647*INT(F647/B647)))/C647)/100)+(1-(B647/C647/100)),(INT(F647/B647)+(((F647-B647*INT(F647/B647)))/C647)/100))))</f>
        <v>0</v>
      </c>
      <c r="AR647" s="57">
        <f>IF(ISERROR(IF(B647=C647,G647/C647,(INT(G647/B647)+(((G647-B647*INT(G647/B647)))/C647)/100))),0,(IF(B647=C647,G647/C647,(INT(G647/B647)+(((G647-B647*INT(G647/B647)))/C647)/100))))</f>
        <v>0</v>
      </c>
      <c r="AS647" s="57">
        <f>IF(ISERROR(IF(B647=C647,H647/C647,(INT(H647/B647)+(((H647-B647*INT(H647/B647)))/C647)/100))),0,(IF(B647=C647,H647/C647,(INT(H647/B647)+(((H647-B647*INT(H647/B647)))/C647)/100))))</f>
        <v>0</v>
      </c>
      <c r="AT647" s="57">
        <f>IF(ISERROR(IF(B647=C647,I647/C647,(INT(I647/B647)+(((I647-B647*INT(I647/B647)))/C647)/100))),0,(IF(B647=C647,I647/C647,(INT(I647/B647)+(((I647-B647*INT(I647/B647)))/C647)/100))))</f>
        <v>0</v>
      </c>
      <c r="AU647" s="57">
        <f>IF(ISERROR(IF(B647=C647,J647/C647,(INT(J647/B647)+(((J647-B647*INT(J647/B647)))/C647)/100))),0,(IF(B647=C647,J647/C647,(INT(J647/B647)+(((J647-B647*INT(J647/B647)))/C647)/100))))</f>
        <v>0</v>
      </c>
      <c r="AV647" s="57">
        <f>IF(ISERROR(IF(B647=C647,K647/C647,IF((INT(K647/B647)+(((K647-B647*INT(K647/B647)))/C647)/100)&lt;0,(INT(K647/B647)+(((K647-B647*INT(K647/B647)))/C647)/100)+(1-(B647/C647/100)),(INT(K647/B647)+(((K647-B647*INT(K647/B647)))/C647)/100)))),0,IF(B647=C647,K647/C647,IF((INT(K647/B647)+(((K647-B647*INT(K647/B647)))/C647)/100)&lt;0,(INT(K647/B647)+(((K647-B647*INT(K647/B647)))/C647)/100)+(1-(B647/C647/100)),(INT(K647/B647)+(((K647-B647*INT(K647/B647)))/C647)/100))))</f>
        <v>0</v>
      </c>
      <c r="AW647" s="57">
        <f>IF(ISERROR(IF(B647=C647,L647/C647,(INT(L647/B647)+(((L647-B647*INT(L647/B647)))/C647)/100))),0,(IF(B647=C647,L647/C647,(INT(L647/B647)+(((L647-B647*INT(L647/B647)))/C647)/100))))</f>
        <v>0</v>
      </c>
      <c r="AX647" s="57">
        <f>IF(ISERROR(IF(B647=C647,M647/C647,(INT(M647/B647)+(((M647-B647*INT(M647/B647)))/C647)/100))),0,(IF(B647=C647,M647/C647,(INT(M647/B647)+(((M647-B647*INT(M647/B647)))/C647)/100))))</f>
        <v>0</v>
      </c>
      <c r="AY647" s="57">
        <f>IF(ISERROR(IF(B647=C647,N647/C647,IF((INT(N647/B647)+(((N647-B647*INT(N647/B647)))/C647)/100)&lt;0,(INT(N647/B647)+(((N647-B647*INT(N647/B647)))/C647)/100)+(1-(B647/C647/100)),(INT(N647/B647)+(((N647-B647*INT(N647/B647)))/C647)/100)))),0,IF(B647=C647,N647/C647,IF((INT(N647/B647)+(((N647-B647*INT(N647/B647)))/C647)/100)&lt;0,(INT(N647/B647)+(((N647-B647*INT(N647/B647)))/C647)/100)+(1-(B647/C647/100)),(INT(N647/B647)+(((N647-B647*INT(N647/B647)))/C647)/100))))</f>
        <v>0</v>
      </c>
      <c r="AZ647" s="57">
        <f>IF(ISERROR(IF(B647=C647,O647/C647,(INT(O647/B647)+(((O647-B647*INT(O647/B647)))/C647)/100))),0,(IF(B647=C647,O647/C647,(INT(O647/B647)+(((O647-B647*INT(O647/B647)))/C647)/100))))</f>
        <v>0</v>
      </c>
      <c r="BA647" s="57">
        <f>IF(ISERROR(IF(B647=C647,P647/C647,IF((INT(P647/B647)+(((P647-B647*INT(P647/B647)))/C647)/100)&lt;0,(INT(P647/B647)+(((P647-B647*INT(P647/B647)))/C647)/100)+(1-(B647/C647/100)),(INT(P647/B647)+(((P647-B647*INT(P647/B647)))/C647)/100)))),0,IF(B647=C647,P647/C647,IF((INT(P647/B647)+(((P647-B647*INT(P647/B647)))/C647)/100)&lt;0,(INT(P647/B647)+(((P647-B647*INT(P647/B647)))/C647)/100)+(1-(B647/C647/100)),(INT(P647/B647)+(((P647-B647*INT(P647/B647)))/C647)/100))))</f>
        <v>0</v>
      </c>
      <c r="BB647" s="28">
        <f>R647</f>
        <v>0</v>
      </c>
      <c r="BC647" s="28">
        <f>S647</f>
        <v>0</v>
      </c>
      <c r="BD647" s="28">
        <f>AF647</f>
        <v>0</v>
      </c>
      <c r="BE647" s="28">
        <f>T647</f>
        <v>0</v>
      </c>
      <c r="BG647" s="57">
        <f>IF(ISERROR(IF(B647=C647,V647/C647,(INT(V647/B647)+(((V647-B647*INT(V647/B647)))/C647)/100))),0,(IF(B647=C647,V647/C647,(INT(V647/B647)+(((V647-B647*INT(V647/B647)))/C647)/100))))</f>
        <v>0</v>
      </c>
      <c r="BH647" s="57">
        <f>IF(ISERROR(IF(B647=C647,W647/C647,(INT(W647/B647)+(((W647-B647*INT(W647/B647)))/C647)/100))),0,(IF(B647=C647,W647/C647,(INT(W647/B647)+(((W647-B647*INT(W647/B647)))/C647)/100))))</f>
        <v>0</v>
      </c>
      <c r="BI647" s="57">
        <f>IF(ISERROR(IF(B647=C647,X647/C647,(INT(X647/B647)+(((X647-B647*INT(X647/B647)))/C647)/100))),0,(IF(B647=C647,X647/C647,(INT(X647/B647)+(((X647-B647*INT(X647/B647)))/C647)/100))))</f>
        <v>0</v>
      </c>
      <c r="BJ647" s="57">
        <f>IF(ISERROR(IF(B647=C647,Y647/C647,(INT(Y647/B647)+(((Y647-B647*INT(Y647/B647)))/C647)/100))),0,(IF(B647=C647,Y647/C647,(INT(Y647/B647)+(((Y647-B647*INT(Y647/B647)))/C647)/100))))</f>
        <v>0</v>
      </c>
      <c r="BL647" s="57">
        <f>IF(ISERROR(IF(B647=C647,AA647/C647,(INT(AA647/B647)+(((AA647-B647*INT(AA647/B647)))/C647)/100))),0,(IF(B647=C647,AA647/C647,(INT(AA647/B647)+(((AA647-B647*INT(AA647/B647)))/C647)/100))))</f>
        <v>0</v>
      </c>
      <c r="BM647" s="57">
        <f>IF(ISERROR(IF(B647=C647,AB647/C647,(INT(AB647/B647)+(((AB647-B647*INT(AB647/B647)))/C647)/100))),0,(IF(B647=C647,AB647/C647,(INT(AB647/B647)+(((AB647-B647*INT(AB647/B647)))/C647)/100))))</f>
        <v>0</v>
      </c>
      <c r="BN647" s="57">
        <f>IF(ISERROR(IF(B647=C647,AC647/C647,(INT(AC647/B647)+(((AC647-B647*INT(AC647/B647)))/C647)/100))),0,(IF(B647=C647,AC647/C647,(INT(AC647/B647)+(((AC647-B647*INT(AC647/B647)))/C647)/100))))</f>
        <v>0</v>
      </c>
      <c r="BO647" s="57">
        <f>IF(ISERROR(IF(B647=C647,AD647/C647,(INT(AD647/B647)+(((AD647-B647*INT(AD647/B647)))/C647)/100))),0,(IF(B647=C647,AD647/C647,(INT(AD647/B647)+(((AD647-B647*INT(AD647/B647)))/C647)/100))))</f>
        <v>0</v>
      </c>
      <c r="BQ647" s="155"/>
    </row>
    <row r="648" spans="1:69" hidden="1" x14ac:dyDescent="0.35">
      <c r="A648" s="94"/>
      <c r="B648" s="113">
        <v>0</v>
      </c>
      <c r="C648" s="113">
        <v>250</v>
      </c>
      <c r="D648" s="28">
        <f>SUM(AA648:AD648)</f>
        <v>0</v>
      </c>
      <c r="E648" s="113">
        <v>0</v>
      </c>
      <c r="F648" s="113">
        <v>0</v>
      </c>
      <c r="G648" s="28">
        <f>SUM(D648:F648)</f>
        <v>0</v>
      </c>
      <c r="H648" s="125">
        <v>0</v>
      </c>
      <c r="I648" s="113">
        <v>0</v>
      </c>
      <c r="J648" s="125">
        <v>0</v>
      </c>
      <c r="K648" s="113">
        <v>0</v>
      </c>
      <c r="L648" s="113">
        <v>0</v>
      </c>
      <c r="M648" s="113">
        <v>0</v>
      </c>
      <c r="N648" s="28">
        <f>G648-SUM(H648:M648)</f>
        <v>0</v>
      </c>
      <c r="O648" s="28">
        <f>SUM(V648:Y648)</f>
        <v>0</v>
      </c>
      <c r="P648" s="28">
        <f>O648-N648</f>
        <v>0</v>
      </c>
      <c r="Q648" s="61" t="str">
        <f>IF(ISERROR(P648/SUM(H648:L648)),"",P648/SUM(H648:L648))</f>
        <v/>
      </c>
      <c r="R648" s="113">
        <v>0</v>
      </c>
      <c r="S648" s="28">
        <f>IF(ISERROR(P648/C648*R648),0,(P648/C648*R648))</f>
        <v>0</v>
      </c>
      <c r="T648" s="60">
        <f>IF(ISERROR(P648/B648*AF648),0,(P648/B648*AF648))</f>
        <v>0</v>
      </c>
      <c r="V648" s="113">
        <v>0</v>
      </c>
      <c r="W648" s="113">
        <v>0</v>
      </c>
      <c r="X648" s="113">
        <v>0</v>
      </c>
      <c r="Y648" s="113">
        <v>0</v>
      </c>
      <c r="AA648" s="113">
        <v>0</v>
      </c>
      <c r="AB648" s="113">
        <v>0</v>
      </c>
      <c r="AC648" s="113">
        <v>0</v>
      </c>
      <c r="AD648" s="113">
        <v>0</v>
      </c>
      <c r="AF648" s="113">
        <v>0</v>
      </c>
      <c r="AG648" s="28">
        <f>G648-O648</f>
        <v>0</v>
      </c>
      <c r="AH648" s="58">
        <f>IF(ISERROR(AG648/B648*AF648),0,(AG648/B648*AF648))</f>
        <v>0</v>
      </c>
      <c r="AI648" s="28">
        <f>SUM(H648:M648)</f>
        <v>0</v>
      </c>
      <c r="AJ648" s="28">
        <f>IF(ISERROR(AI648/B648*AF648),0,(AI648/B648*AF648))</f>
        <v>0</v>
      </c>
      <c r="AK648" s="58">
        <f>IF(ISERROR(O648/B648*AF648),0,(O648/B648*AF648))</f>
        <v>0</v>
      </c>
      <c r="AL648" s="28">
        <f>IF(ISERROR(H648/B648*AF648),0,(H648/B648*AF648))</f>
        <v>0</v>
      </c>
      <c r="AN648" s="51">
        <f>A648</f>
        <v>0</v>
      </c>
      <c r="AO648" s="57">
        <f>IF(ISERROR(IF(B648=C648,D648/C648,(INT(D648/B648)+(((D648-B648*INT(D648/B648)))/C648)/100))),0,(IF(B648=C648,D648/C648,(INT(D648/B648)+(((D648-B648*INT(D648/B648)))/C648)/100))))</f>
        <v>0</v>
      </c>
      <c r="AP648" s="57">
        <f>IF(ISERROR(IF(B648=C648,E648/C648,(INT(E648/B648)+(((E648-B648*INT(E648/B648)))/C648)/100))),0,(IF(B648=C648,E648/C648,(INT(E648/B648)+(((E648-B648*INT(E648/B648)))/C648)/100))))</f>
        <v>0</v>
      </c>
      <c r="AQ648" s="57">
        <f>IF(ISERROR(IF(B648=C648,F648/C648,IF((INT(F648/B648)+(((F648-B648*INT(F648/B648)))/C648)/100)&lt;0,(INT(F648/B648)+(((F648-B648*INT(F648/B648)))/C648)/100)+(1-(B648/C648/100)),(INT(F648/B648)+(((F648-B648*INT(F648/B648)))/C648)/100)))),0,IF(B648=C648,F648/C648,IF((INT(F648/B648)+(((F648-B648*INT(F648/B648)))/C648)/100)&lt;0,(INT(F648/B648)+(((F648-B648*INT(F648/B648)))/C648)/100)+(1-(B648/C648/100)),(INT(F648/B648)+(((F648-B648*INT(F648/B648)))/C648)/100))))</f>
        <v>0</v>
      </c>
      <c r="AR648" s="57">
        <f>IF(ISERROR(IF(B648=C648,G648/C648,(INT(G648/B648)+(((G648-B648*INT(G648/B648)))/C648)/100))),0,(IF(B648=C648,G648/C648,(INT(G648/B648)+(((G648-B648*INT(G648/B648)))/C648)/100))))</f>
        <v>0</v>
      </c>
      <c r="AS648" s="57">
        <f>IF(ISERROR(IF(B648=C648,H648/C648,(INT(H648/B648)+(((H648-B648*INT(H648/B648)))/C648)/100))),0,(IF(B648=C648,H648/C648,(INT(H648/B648)+(((H648-B648*INT(H648/B648)))/C648)/100))))</f>
        <v>0</v>
      </c>
      <c r="AT648" s="57">
        <f>IF(ISERROR(IF(B648=C648,I648/C648,(INT(I648/B648)+(((I648-B648*INT(I648/B648)))/C648)/100))),0,(IF(B648=C648,I648/C648,(INT(I648/B648)+(((I648-B648*INT(I648/B648)))/C648)/100))))</f>
        <v>0</v>
      </c>
      <c r="AU648" s="57">
        <f>IF(ISERROR(IF(B648=C648,J648/C648,(INT(J648/B648)+(((J648-B648*INT(J648/B648)))/C648)/100))),0,(IF(B648=C648,J648/C648,(INT(J648/B648)+(((J648-B648*INT(J648/B648)))/C648)/100))))</f>
        <v>0</v>
      </c>
      <c r="AV648" s="57">
        <f>IF(ISERROR(IF(B648=C648,K648/C648,IF((INT(K648/B648)+(((K648-B648*INT(K648/B648)))/C648)/100)&lt;0,(INT(K648/B648)+(((K648-B648*INT(K648/B648)))/C648)/100)+(1-(B648/C648/100)),(INT(K648/B648)+(((K648-B648*INT(K648/B648)))/C648)/100)))),0,IF(B648=C648,K648/C648,IF((INT(K648/B648)+(((K648-B648*INT(K648/B648)))/C648)/100)&lt;0,(INT(K648/B648)+(((K648-B648*INT(K648/B648)))/C648)/100)+(1-(B648/C648/100)),(INT(K648/B648)+(((K648-B648*INT(K648/B648)))/C648)/100))))</f>
        <v>0</v>
      </c>
      <c r="AW648" s="57">
        <f>IF(ISERROR(IF(B648=C648,L648/C648,(INT(L648/B648)+(((L648-B648*INT(L648/B648)))/C648)/100))),0,(IF(B648=C648,L648/C648,(INT(L648/B648)+(((L648-B648*INT(L648/B648)))/C648)/100))))</f>
        <v>0</v>
      </c>
      <c r="AX648" s="57">
        <f>IF(ISERROR(IF(B648=C648,M648/C648,(INT(M648/B648)+(((M648-B648*INT(M648/B648)))/C648)/100))),0,(IF(B648=C648,M648/C648,(INT(M648/B648)+(((M648-B648*INT(M648/B648)))/C648)/100))))</f>
        <v>0</v>
      </c>
      <c r="AY648" s="57">
        <f>IF(ISERROR(IF(B648=C648,N648/C648,IF((INT(N648/B648)+(((N648-B648*INT(N648/B648)))/C648)/100)&lt;0,(INT(N648/B648)+(((N648-B648*INT(N648/B648)))/C648)/100)+(1-(B648/C648/100)),(INT(N648/B648)+(((N648-B648*INT(N648/B648)))/C648)/100)))),0,IF(B648=C648,N648/C648,IF((INT(N648/B648)+(((N648-B648*INT(N648/B648)))/C648)/100)&lt;0,(INT(N648/B648)+(((N648-B648*INT(N648/B648)))/C648)/100)+(1-(B648/C648/100)),(INT(N648/B648)+(((N648-B648*INT(N648/B648)))/C648)/100))))</f>
        <v>0</v>
      </c>
      <c r="AZ648" s="57">
        <f>IF(ISERROR(IF(B648=C648,O648/C648,(INT(O648/B648)+(((O648-B648*INT(O648/B648)))/C648)/100))),0,(IF(B648=C648,O648/C648,(INT(O648/B648)+(((O648-B648*INT(O648/B648)))/C648)/100))))</f>
        <v>0</v>
      </c>
      <c r="BA648" s="57">
        <f>IF(ISERROR(IF(B648=C648,P648/C648,IF((INT(P648/B648)+(((P648-B648*INT(P648/B648)))/C648)/100)&lt;0,(INT(P648/B648)+(((P648-B648*INT(P648/B648)))/C648)/100)+(1-(B648/C648/100)),(INT(P648/B648)+(((P648-B648*INT(P648/B648)))/C648)/100)))),0,IF(B648=C648,P648/C648,IF((INT(P648/B648)+(((P648-B648*INT(P648/B648)))/C648)/100)&lt;0,(INT(P648/B648)+(((P648-B648*INT(P648/B648)))/C648)/100)+(1-(B648/C648/100)),(INT(P648/B648)+(((P648-B648*INT(P648/B648)))/C648)/100))))</f>
        <v>0</v>
      </c>
      <c r="BB648" s="28">
        <f>R648</f>
        <v>0</v>
      </c>
      <c r="BC648" s="28">
        <f>S648</f>
        <v>0</v>
      </c>
      <c r="BD648" s="28">
        <f>AF648</f>
        <v>0</v>
      </c>
      <c r="BE648" s="28">
        <f>T648</f>
        <v>0</v>
      </c>
      <c r="BG648" s="57">
        <f>IF(ISERROR(IF(B648=C648,V648/C648,(INT(V648/B648)+(((V648-B648*INT(V648/B648)))/C648)/100))),0,(IF(B648=C648,V648/C648,(INT(V648/B648)+(((V648-B648*INT(V648/B648)))/C648)/100))))</f>
        <v>0</v>
      </c>
      <c r="BH648" s="57">
        <f>IF(ISERROR(IF(B648=C648,W648/C648,(INT(W648/B648)+(((W648-B648*INT(W648/B648)))/C648)/100))),0,(IF(B648=C648,W648/C648,(INT(W648/B648)+(((W648-B648*INT(W648/B648)))/C648)/100))))</f>
        <v>0</v>
      </c>
      <c r="BI648" s="57">
        <f>IF(ISERROR(IF(B648=C648,X648/C648,(INT(X648/B648)+(((X648-B648*INT(X648/B648)))/C648)/100))),0,(IF(B648=C648,X648/C648,(INT(X648/B648)+(((X648-B648*INT(X648/B648)))/C648)/100))))</f>
        <v>0</v>
      </c>
      <c r="BJ648" s="57">
        <f>IF(ISERROR(IF(B648=C648,Y648/C648,(INT(Y648/B648)+(((Y648-B648*INT(Y648/B648)))/C648)/100))),0,(IF(B648=C648,Y648/C648,(INT(Y648/B648)+(((Y648-B648*INT(Y648/B648)))/C648)/100))))</f>
        <v>0</v>
      </c>
      <c r="BL648" s="57">
        <f>IF(ISERROR(IF(B648=C648,AA648/C648,(INT(AA648/B648)+(((AA648-B648*INT(AA648/B648)))/C648)/100))),0,(IF(B648=C648,AA648/C648,(INT(AA648/B648)+(((AA648-B648*INT(AA648/B648)))/C648)/100))))</f>
        <v>0</v>
      </c>
      <c r="BM648" s="57">
        <f>IF(ISERROR(IF(B648=C648,AB648/C648,(INT(AB648/B648)+(((AB648-B648*INT(AB648/B648)))/C648)/100))),0,(IF(B648=C648,AB648/C648,(INT(AB648/B648)+(((AB648-B648*INT(AB648/B648)))/C648)/100))))</f>
        <v>0</v>
      </c>
      <c r="BN648" s="57">
        <f>IF(ISERROR(IF(B648=C648,AC648/C648,(INT(AC648/B648)+(((AC648-B648*INT(AC648/B648)))/C648)/100))),0,(IF(B648=C648,AC648/C648,(INT(AC648/B648)+(((AC648-B648*INT(AC648/B648)))/C648)/100))))</f>
        <v>0</v>
      </c>
      <c r="BO648" s="57">
        <f>IF(ISERROR(IF(B648=C648,AD648/C648,(INT(AD648/B648)+(((AD648-B648*INT(AD648/B648)))/C648)/100))),0,(IF(B648=C648,AD648/C648,(INT(AD648/B648)+(((AD648-B648*INT(AD648/B648)))/C648)/100))))</f>
        <v>0</v>
      </c>
      <c r="BQ648" s="155"/>
    </row>
    <row r="649" spans="1:69" hidden="1" x14ac:dyDescent="0.35">
      <c r="A649" s="94"/>
      <c r="B649" s="113">
        <v>0</v>
      </c>
      <c r="C649" s="113">
        <v>250</v>
      </c>
      <c r="D649" s="28">
        <f>SUM(AA649:AD649)</f>
        <v>0</v>
      </c>
      <c r="E649" s="113">
        <v>0</v>
      </c>
      <c r="F649" s="113">
        <v>0</v>
      </c>
      <c r="G649" s="28">
        <f>SUM(D649:F649)</f>
        <v>0</v>
      </c>
      <c r="H649" s="125">
        <v>0</v>
      </c>
      <c r="I649" s="113">
        <v>0</v>
      </c>
      <c r="J649" s="125">
        <v>0</v>
      </c>
      <c r="K649" s="113">
        <v>0</v>
      </c>
      <c r="L649" s="113">
        <v>0</v>
      </c>
      <c r="M649" s="113">
        <v>0</v>
      </c>
      <c r="N649" s="28">
        <f>G649-SUM(H649:M649)</f>
        <v>0</v>
      </c>
      <c r="O649" s="28">
        <f>SUM(V649:Y649)</f>
        <v>0</v>
      </c>
      <c r="P649" s="28">
        <f>O649-N649</f>
        <v>0</v>
      </c>
      <c r="Q649" s="61" t="str">
        <f>IF(ISERROR(P649/SUM(H649:L649)),"",P649/SUM(H649:L649))</f>
        <v/>
      </c>
      <c r="R649" s="113">
        <v>0</v>
      </c>
      <c r="S649" s="28">
        <f>IF(ISERROR(P649/C649*R649),0,(P649/C649*R649))</f>
        <v>0</v>
      </c>
      <c r="T649" s="60">
        <f>IF(ISERROR(P649/B649*AF649),0,(P649/B649*AF649))</f>
        <v>0</v>
      </c>
      <c r="V649" s="113">
        <v>0</v>
      </c>
      <c r="W649" s="113">
        <v>0</v>
      </c>
      <c r="X649" s="113">
        <v>0</v>
      </c>
      <c r="Y649" s="113">
        <v>0</v>
      </c>
      <c r="AA649" s="113">
        <v>0</v>
      </c>
      <c r="AB649" s="113">
        <v>0</v>
      </c>
      <c r="AC649" s="113">
        <v>0</v>
      </c>
      <c r="AD649" s="113">
        <v>0</v>
      </c>
      <c r="AF649" s="113">
        <v>0</v>
      </c>
      <c r="AG649" s="28">
        <f>G649-O649</f>
        <v>0</v>
      </c>
      <c r="AH649" s="58">
        <f>IF(ISERROR(AG649/B649*AF649),0,(AG649/B649*AF649))</f>
        <v>0</v>
      </c>
      <c r="AI649" s="28">
        <f>SUM(H649:M649)</f>
        <v>0</v>
      </c>
      <c r="AJ649" s="28">
        <f>IF(ISERROR(AI649/B649*AF649),0,(AI649/B649*AF649))</f>
        <v>0</v>
      </c>
      <c r="AK649" s="58">
        <f>IF(ISERROR(O649/B649*AF649),0,(O649/B649*AF649))</f>
        <v>0</v>
      </c>
      <c r="AL649" s="28">
        <f>IF(ISERROR(H649/B649*AF649),0,(H649/B649*AF649))</f>
        <v>0</v>
      </c>
      <c r="AN649" s="51">
        <f>A649</f>
        <v>0</v>
      </c>
      <c r="AO649" s="57">
        <f>IF(ISERROR(IF(B649=C649,D649/C649,(INT(D649/B649)+(((D649-B649*INT(D649/B649)))/C649)/100))),0,(IF(B649=C649,D649/C649,(INT(D649/B649)+(((D649-B649*INT(D649/B649)))/C649)/100))))</f>
        <v>0</v>
      </c>
      <c r="AP649" s="57">
        <f>IF(ISERROR(IF(B649=C649,E649/C649,(INT(E649/B649)+(((E649-B649*INT(E649/B649)))/C649)/100))),0,(IF(B649=C649,E649/C649,(INT(E649/B649)+(((E649-B649*INT(E649/B649)))/C649)/100))))</f>
        <v>0</v>
      </c>
      <c r="AQ649" s="57">
        <f>IF(ISERROR(IF(B649=C649,F649/C649,IF((INT(F649/B649)+(((F649-B649*INT(F649/B649)))/C649)/100)&lt;0,(INT(F649/B649)+(((F649-B649*INT(F649/B649)))/C649)/100)+(1-(B649/C649/100)),(INT(F649/B649)+(((F649-B649*INT(F649/B649)))/C649)/100)))),0,IF(B649=C649,F649/C649,IF((INT(F649/B649)+(((F649-B649*INT(F649/B649)))/C649)/100)&lt;0,(INT(F649/B649)+(((F649-B649*INT(F649/B649)))/C649)/100)+(1-(B649/C649/100)),(INT(F649/B649)+(((F649-B649*INT(F649/B649)))/C649)/100))))</f>
        <v>0</v>
      </c>
      <c r="AR649" s="57">
        <f>IF(ISERROR(IF(B649=C649,G649/C649,(INT(G649/B649)+(((G649-B649*INT(G649/B649)))/C649)/100))),0,(IF(B649=C649,G649/C649,(INT(G649/B649)+(((G649-B649*INT(G649/B649)))/C649)/100))))</f>
        <v>0</v>
      </c>
      <c r="AS649" s="57">
        <f>IF(ISERROR(IF(B649=C649,H649/C649,(INT(H649/B649)+(((H649-B649*INT(H649/B649)))/C649)/100))),0,(IF(B649=C649,H649/C649,(INT(H649/B649)+(((H649-B649*INT(H649/B649)))/C649)/100))))</f>
        <v>0</v>
      </c>
      <c r="AT649" s="57">
        <f>IF(ISERROR(IF(B649=C649,I649/C649,(INT(I649/B649)+(((I649-B649*INT(I649/B649)))/C649)/100))),0,(IF(B649=C649,I649/C649,(INT(I649/B649)+(((I649-B649*INT(I649/B649)))/C649)/100))))</f>
        <v>0</v>
      </c>
      <c r="AU649" s="57">
        <f>IF(ISERROR(IF(B649=C649,J649/C649,(INT(J649/B649)+(((J649-B649*INT(J649/B649)))/C649)/100))),0,(IF(B649=C649,J649/C649,(INT(J649/B649)+(((J649-B649*INT(J649/B649)))/C649)/100))))</f>
        <v>0</v>
      </c>
      <c r="AV649" s="57">
        <f>IF(ISERROR(IF(B649=C649,K649/C649,IF((INT(K649/B649)+(((K649-B649*INT(K649/B649)))/C649)/100)&lt;0,(INT(K649/B649)+(((K649-B649*INT(K649/B649)))/C649)/100)+(1-(B649/C649/100)),(INT(K649/B649)+(((K649-B649*INT(K649/B649)))/C649)/100)))),0,IF(B649=C649,K649/C649,IF((INT(K649/B649)+(((K649-B649*INT(K649/B649)))/C649)/100)&lt;0,(INT(K649/B649)+(((K649-B649*INT(K649/B649)))/C649)/100)+(1-(B649/C649/100)),(INT(K649/B649)+(((K649-B649*INT(K649/B649)))/C649)/100))))</f>
        <v>0</v>
      </c>
      <c r="AW649" s="57">
        <f>IF(ISERROR(IF(B649=C649,L649/C649,(INT(L649/B649)+(((L649-B649*INT(L649/B649)))/C649)/100))),0,(IF(B649=C649,L649/C649,(INT(L649/B649)+(((L649-B649*INT(L649/B649)))/C649)/100))))</f>
        <v>0</v>
      </c>
      <c r="AX649" s="57">
        <f>IF(ISERROR(IF(B649=C649,M649/C649,(INT(M649/B649)+(((M649-B649*INT(M649/B649)))/C649)/100))),0,(IF(B649=C649,M649/C649,(INT(M649/B649)+(((M649-B649*INT(M649/B649)))/C649)/100))))</f>
        <v>0</v>
      </c>
      <c r="AY649" s="57">
        <f>IF(ISERROR(IF(B649=C649,N649/C649,IF((INT(N649/B649)+(((N649-B649*INT(N649/B649)))/C649)/100)&lt;0,(INT(N649/B649)+(((N649-B649*INT(N649/B649)))/C649)/100)+(1-(B649/C649/100)),(INT(N649/B649)+(((N649-B649*INT(N649/B649)))/C649)/100)))),0,IF(B649=C649,N649/C649,IF((INT(N649/B649)+(((N649-B649*INT(N649/B649)))/C649)/100)&lt;0,(INT(N649/B649)+(((N649-B649*INT(N649/B649)))/C649)/100)+(1-(B649/C649/100)),(INT(N649/B649)+(((N649-B649*INT(N649/B649)))/C649)/100))))</f>
        <v>0</v>
      </c>
      <c r="AZ649" s="57">
        <f>IF(ISERROR(IF(B649=C649,O649/C649,(INT(O649/B649)+(((O649-B649*INT(O649/B649)))/C649)/100))),0,(IF(B649=C649,O649/C649,(INT(O649/B649)+(((O649-B649*INT(O649/B649)))/C649)/100))))</f>
        <v>0</v>
      </c>
      <c r="BA649" s="57">
        <f>IF(ISERROR(IF(B649=C649,P649/C649,IF((INT(P649/B649)+(((P649-B649*INT(P649/B649)))/C649)/100)&lt;0,(INT(P649/B649)+(((P649-B649*INT(P649/B649)))/C649)/100)+(1-(B649/C649/100)),(INT(P649/B649)+(((P649-B649*INT(P649/B649)))/C649)/100)))),0,IF(B649=C649,P649/C649,IF((INT(P649/B649)+(((P649-B649*INT(P649/B649)))/C649)/100)&lt;0,(INT(P649/B649)+(((P649-B649*INT(P649/B649)))/C649)/100)+(1-(B649/C649/100)),(INT(P649/B649)+(((P649-B649*INT(P649/B649)))/C649)/100))))</f>
        <v>0</v>
      </c>
      <c r="BB649" s="28">
        <f>R649</f>
        <v>0</v>
      </c>
      <c r="BC649" s="28">
        <f>S649</f>
        <v>0</v>
      </c>
      <c r="BD649" s="28">
        <f>AF649</f>
        <v>0</v>
      </c>
      <c r="BE649" s="28">
        <f>T649</f>
        <v>0</v>
      </c>
      <c r="BG649" s="57">
        <f>IF(ISERROR(IF(B649=C649,V649/C649,(INT(V649/B649)+(((V649-B649*INT(V649/B649)))/C649)/100))),0,(IF(B649=C649,V649/C649,(INT(V649/B649)+(((V649-B649*INT(V649/B649)))/C649)/100))))</f>
        <v>0</v>
      </c>
      <c r="BH649" s="57">
        <f>IF(ISERROR(IF(B649=C649,W649/C649,(INT(W649/B649)+(((W649-B649*INT(W649/B649)))/C649)/100))),0,(IF(B649=C649,W649/C649,(INT(W649/B649)+(((W649-B649*INT(W649/B649)))/C649)/100))))</f>
        <v>0</v>
      </c>
      <c r="BI649" s="57">
        <f>IF(ISERROR(IF(B649=C649,X649/C649,(INT(X649/B649)+(((X649-B649*INT(X649/B649)))/C649)/100))),0,(IF(B649=C649,X649/C649,(INT(X649/B649)+(((X649-B649*INT(X649/B649)))/C649)/100))))</f>
        <v>0</v>
      </c>
      <c r="BJ649" s="57">
        <f>IF(ISERROR(IF(B649=C649,Y649/C649,(INT(Y649/B649)+(((Y649-B649*INT(Y649/B649)))/C649)/100))),0,(IF(B649=C649,Y649/C649,(INT(Y649/B649)+(((Y649-B649*INT(Y649/B649)))/C649)/100))))</f>
        <v>0</v>
      </c>
      <c r="BL649" s="57">
        <f>IF(ISERROR(IF(B649=C649,AA649/C649,(INT(AA649/B649)+(((AA649-B649*INT(AA649/B649)))/C649)/100))),0,(IF(B649=C649,AA649/C649,(INT(AA649/B649)+(((AA649-B649*INT(AA649/B649)))/C649)/100))))</f>
        <v>0</v>
      </c>
      <c r="BM649" s="57">
        <f>IF(ISERROR(IF(B649=C649,AB649/C649,(INT(AB649/B649)+(((AB649-B649*INT(AB649/B649)))/C649)/100))),0,(IF(B649=C649,AB649/C649,(INT(AB649/B649)+(((AB649-B649*INT(AB649/B649)))/C649)/100))))</f>
        <v>0</v>
      </c>
      <c r="BN649" s="57">
        <f>IF(ISERROR(IF(B649=C649,AC649/C649,(INT(AC649/B649)+(((AC649-B649*INT(AC649/B649)))/C649)/100))),0,(IF(B649=C649,AC649/C649,(INT(AC649/B649)+(((AC649-B649*INT(AC649/B649)))/C649)/100))))</f>
        <v>0</v>
      </c>
      <c r="BO649" s="57">
        <f>IF(ISERROR(IF(B649=C649,AD649/C649,(INT(AD649/B649)+(((AD649-B649*INT(AD649/B649)))/C649)/100))),0,(IF(B649=C649,AD649/C649,(INT(AD649/B649)+(((AD649-B649*INT(AD649/B649)))/C649)/100))))</f>
        <v>0</v>
      </c>
      <c r="BQ649" s="155"/>
    </row>
    <row r="650" spans="1:69" hidden="1" x14ac:dyDescent="0.35">
      <c r="A650" s="94"/>
      <c r="B650" s="113">
        <v>0</v>
      </c>
      <c r="C650" s="113">
        <v>250</v>
      </c>
      <c r="D650" s="28">
        <f>SUM(AA650:AD650)</f>
        <v>0</v>
      </c>
      <c r="E650" s="113">
        <v>0</v>
      </c>
      <c r="F650" s="113">
        <v>0</v>
      </c>
      <c r="G650" s="28">
        <f>SUM(D650:F650)</f>
        <v>0</v>
      </c>
      <c r="H650" s="125">
        <v>0</v>
      </c>
      <c r="I650" s="113">
        <v>0</v>
      </c>
      <c r="J650" s="125">
        <v>0</v>
      </c>
      <c r="K650" s="113">
        <v>0</v>
      </c>
      <c r="L650" s="113">
        <v>0</v>
      </c>
      <c r="M650" s="113">
        <v>0</v>
      </c>
      <c r="N650" s="28">
        <f>G650-SUM(H650:M650)</f>
        <v>0</v>
      </c>
      <c r="O650" s="28">
        <f>SUM(V650:Y650)</f>
        <v>0</v>
      </c>
      <c r="P650" s="28">
        <f>O650-N650</f>
        <v>0</v>
      </c>
      <c r="Q650" s="61" t="str">
        <f>IF(ISERROR(P650/SUM(H650:L650)),"",P650/SUM(H650:L650))</f>
        <v/>
      </c>
      <c r="R650" s="113">
        <v>0</v>
      </c>
      <c r="S650" s="28">
        <f>IF(ISERROR(P650/C650*R650),0,(P650/C650*R650))</f>
        <v>0</v>
      </c>
      <c r="T650" s="60">
        <f>IF(ISERROR(P650/B650*AF650),0,(P650/B650*AF650))</f>
        <v>0</v>
      </c>
      <c r="V650" s="113">
        <v>0</v>
      </c>
      <c r="W650" s="113">
        <v>0</v>
      </c>
      <c r="X650" s="113">
        <v>0</v>
      </c>
      <c r="Y650" s="113">
        <v>0</v>
      </c>
      <c r="AA650" s="113">
        <v>0</v>
      </c>
      <c r="AB650" s="113">
        <v>0</v>
      </c>
      <c r="AC650" s="113">
        <v>0</v>
      </c>
      <c r="AD650" s="113">
        <v>0</v>
      </c>
      <c r="AF650" s="113">
        <v>0</v>
      </c>
      <c r="AG650" s="28">
        <f>G650-O650</f>
        <v>0</v>
      </c>
      <c r="AH650" s="58">
        <f>IF(ISERROR(AG650/B650*AF650),0,(AG650/B650*AF650))</f>
        <v>0</v>
      </c>
      <c r="AI650" s="28">
        <f>SUM(H650:M650)</f>
        <v>0</v>
      </c>
      <c r="AJ650" s="28">
        <f>IF(ISERROR(AI650/B650*AF650),0,(AI650/B650*AF650))</f>
        <v>0</v>
      </c>
      <c r="AK650" s="58">
        <f>IF(ISERROR(O650/B650*AF650),0,(O650/B650*AF650))</f>
        <v>0</v>
      </c>
      <c r="AL650" s="28">
        <f>IF(ISERROR(H650/B650*AF650),0,(H650/B650*AF650))</f>
        <v>0</v>
      </c>
      <c r="AN650" s="51">
        <f>A650</f>
        <v>0</v>
      </c>
      <c r="AO650" s="57">
        <f>IF(ISERROR(IF(B650=C650,D650/C650,(INT(D650/B650)+(((D650-B650*INT(D650/B650)))/C650)/100))),0,(IF(B650=C650,D650/C650,(INT(D650/B650)+(((D650-B650*INT(D650/B650)))/C650)/100))))</f>
        <v>0</v>
      </c>
      <c r="AP650" s="57">
        <f>IF(ISERROR(IF(B650=C650,E650/C650,(INT(E650/B650)+(((E650-B650*INT(E650/B650)))/C650)/100))),0,(IF(B650=C650,E650/C650,(INT(E650/B650)+(((E650-B650*INT(E650/B650)))/C650)/100))))</f>
        <v>0</v>
      </c>
      <c r="AQ650" s="57">
        <f>IF(ISERROR(IF(B650=C650,F650/C650,IF((INT(F650/B650)+(((F650-B650*INT(F650/B650)))/C650)/100)&lt;0,(INT(F650/B650)+(((F650-B650*INT(F650/B650)))/C650)/100)+(1-(B650/C650/100)),(INT(F650/B650)+(((F650-B650*INT(F650/B650)))/C650)/100)))),0,IF(B650=C650,F650/C650,IF((INT(F650/B650)+(((F650-B650*INT(F650/B650)))/C650)/100)&lt;0,(INT(F650/B650)+(((F650-B650*INT(F650/B650)))/C650)/100)+(1-(B650/C650/100)),(INT(F650/B650)+(((F650-B650*INT(F650/B650)))/C650)/100))))</f>
        <v>0</v>
      </c>
      <c r="AR650" s="57">
        <f>IF(ISERROR(IF(B650=C650,G650/C650,(INT(G650/B650)+(((G650-B650*INT(G650/B650)))/C650)/100))),0,(IF(B650=C650,G650/C650,(INT(G650/B650)+(((G650-B650*INT(G650/B650)))/C650)/100))))</f>
        <v>0</v>
      </c>
      <c r="AS650" s="57">
        <f>IF(ISERROR(IF(B650=C650,H650/C650,(INT(H650/B650)+(((H650-B650*INT(H650/B650)))/C650)/100))),0,(IF(B650=C650,H650/C650,(INT(H650/B650)+(((H650-B650*INT(H650/B650)))/C650)/100))))</f>
        <v>0</v>
      </c>
      <c r="AT650" s="57">
        <f>IF(ISERROR(IF(B650=C650,I650/C650,(INT(I650/B650)+(((I650-B650*INT(I650/B650)))/C650)/100))),0,(IF(B650=C650,I650/C650,(INT(I650/B650)+(((I650-B650*INT(I650/B650)))/C650)/100))))</f>
        <v>0</v>
      </c>
      <c r="AU650" s="57">
        <f>IF(ISERROR(IF(B650=C650,J650/C650,(INT(J650/B650)+(((J650-B650*INT(J650/B650)))/C650)/100))),0,(IF(B650=C650,J650/C650,(INT(J650/B650)+(((J650-B650*INT(J650/B650)))/C650)/100))))</f>
        <v>0</v>
      </c>
      <c r="AV650" s="57">
        <f>IF(ISERROR(IF(B650=C650,K650/C650,IF((INT(K650/B650)+(((K650-B650*INT(K650/B650)))/C650)/100)&lt;0,(INT(K650/B650)+(((K650-B650*INT(K650/B650)))/C650)/100)+(1-(B650/C650/100)),(INT(K650/B650)+(((K650-B650*INT(K650/B650)))/C650)/100)))),0,IF(B650=C650,K650/C650,IF((INT(K650/B650)+(((K650-B650*INT(K650/B650)))/C650)/100)&lt;0,(INT(K650/B650)+(((K650-B650*INT(K650/B650)))/C650)/100)+(1-(B650/C650/100)),(INT(K650/B650)+(((K650-B650*INT(K650/B650)))/C650)/100))))</f>
        <v>0</v>
      </c>
      <c r="AW650" s="57">
        <f>IF(ISERROR(IF(B650=C650,L650/C650,(INT(L650/B650)+(((L650-B650*INT(L650/B650)))/C650)/100))),0,(IF(B650=C650,L650/C650,(INT(L650/B650)+(((L650-B650*INT(L650/B650)))/C650)/100))))</f>
        <v>0</v>
      </c>
      <c r="AX650" s="57">
        <f>IF(ISERROR(IF(B650=C650,M650/C650,(INT(M650/B650)+(((M650-B650*INT(M650/B650)))/C650)/100))),0,(IF(B650=C650,M650/C650,(INT(M650/B650)+(((M650-B650*INT(M650/B650)))/C650)/100))))</f>
        <v>0</v>
      </c>
      <c r="AY650" s="57">
        <f>IF(ISERROR(IF(B650=C650,N650/C650,IF((INT(N650/B650)+(((N650-B650*INT(N650/B650)))/C650)/100)&lt;0,(INT(N650/B650)+(((N650-B650*INT(N650/B650)))/C650)/100)+(1-(B650/C650/100)),(INT(N650/B650)+(((N650-B650*INT(N650/B650)))/C650)/100)))),0,IF(B650=C650,N650/C650,IF((INT(N650/B650)+(((N650-B650*INT(N650/B650)))/C650)/100)&lt;0,(INT(N650/B650)+(((N650-B650*INT(N650/B650)))/C650)/100)+(1-(B650/C650/100)),(INT(N650/B650)+(((N650-B650*INT(N650/B650)))/C650)/100))))</f>
        <v>0</v>
      </c>
      <c r="AZ650" s="57">
        <f>IF(ISERROR(IF(B650=C650,O650/C650,(INT(O650/B650)+(((O650-B650*INT(O650/B650)))/C650)/100))),0,(IF(B650=C650,O650/C650,(INT(O650/B650)+(((O650-B650*INT(O650/B650)))/C650)/100))))</f>
        <v>0</v>
      </c>
      <c r="BA650" s="57">
        <f>IF(ISERROR(IF(B650=C650,P650/C650,IF((INT(P650/B650)+(((P650-B650*INT(P650/B650)))/C650)/100)&lt;0,(INT(P650/B650)+(((P650-B650*INT(P650/B650)))/C650)/100)+(1-(B650/C650/100)),(INT(P650/B650)+(((P650-B650*INT(P650/B650)))/C650)/100)))),0,IF(B650=C650,P650/C650,IF((INT(P650/B650)+(((P650-B650*INT(P650/B650)))/C650)/100)&lt;0,(INT(P650/B650)+(((P650-B650*INT(P650/B650)))/C650)/100)+(1-(B650/C650/100)),(INT(P650/B650)+(((P650-B650*INT(P650/B650)))/C650)/100))))</f>
        <v>0</v>
      </c>
      <c r="BB650" s="28">
        <f>R650</f>
        <v>0</v>
      </c>
      <c r="BC650" s="28">
        <f>S650</f>
        <v>0</v>
      </c>
      <c r="BD650" s="28">
        <f>AF650</f>
        <v>0</v>
      </c>
      <c r="BE650" s="28">
        <f>T650</f>
        <v>0</v>
      </c>
      <c r="BG650" s="57">
        <f>IF(ISERROR(IF(B650=C650,V650/C650,(INT(V650/B650)+(((V650-B650*INT(V650/B650)))/C650)/100))),0,(IF(B650=C650,V650/C650,(INT(V650/B650)+(((V650-B650*INT(V650/B650)))/C650)/100))))</f>
        <v>0</v>
      </c>
      <c r="BH650" s="57">
        <f>IF(ISERROR(IF(B650=C650,W650/C650,(INT(W650/B650)+(((W650-B650*INT(W650/B650)))/C650)/100))),0,(IF(B650=C650,W650/C650,(INT(W650/B650)+(((W650-B650*INT(W650/B650)))/C650)/100))))</f>
        <v>0</v>
      </c>
      <c r="BI650" s="57">
        <f>IF(ISERROR(IF(B650=C650,X650/C650,(INT(X650/B650)+(((X650-B650*INT(X650/B650)))/C650)/100))),0,(IF(B650=C650,X650/C650,(INT(X650/B650)+(((X650-B650*INT(X650/B650)))/C650)/100))))</f>
        <v>0</v>
      </c>
      <c r="BJ650" s="57">
        <f>IF(ISERROR(IF(B650=C650,Y650/C650,(INT(Y650/B650)+(((Y650-B650*INT(Y650/B650)))/C650)/100))),0,(IF(B650=C650,Y650/C650,(INT(Y650/B650)+(((Y650-B650*INT(Y650/B650)))/C650)/100))))</f>
        <v>0</v>
      </c>
      <c r="BL650" s="57">
        <f>IF(ISERROR(IF(B650=C650,AA650/C650,(INT(AA650/B650)+(((AA650-B650*INT(AA650/B650)))/C650)/100))),0,(IF(B650=C650,AA650/C650,(INT(AA650/B650)+(((AA650-B650*INT(AA650/B650)))/C650)/100))))</f>
        <v>0</v>
      </c>
      <c r="BM650" s="57">
        <f>IF(ISERROR(IF(B650=C650,AB650/C650,(INT(AB650/B650)+(((AB650-B650*INT(AB650/B650)))/C650)/100))),0,(IF(B650=C650,AB650/C650,(INT(AB650/B650)+(((AB650-B650*INT(AB650/B650)))/C650)/100))))</f>
        <v>0</v>
      </c>
      <c r="BN650" s="57">
        <f>IF(ISERROR(IF(B650=C650,AC650/C650,(INT(AC650/B650)+(((AC650-B650*INT(AC650/B650)))/C650)/100))),0,(IF(B650=C650,AC650/C650,(INT(AC650/B650)+(((AC650-B650*INT(AC650/B650)))/C650)/100))))</f>
        <v>0</v>
      </c>
      <c r="BO650" s="57">
        <f>IF(ISERROR(IF(B650=C650,AD650/C650,(INT(AD650/B650)+(((AD650-B650*INT(AD650/B650)))/C650)/100))),0,(IF(B650=C650,AD650/C650,(INT(AD650/B650)+(((AD650-B650*INT(AD650/B650)))/C650)/100))))</f>
        <v>0</v>
      </c>
      <c r="BQ650" s="155"/>
    </row>
    <row r="651" spans="1:69" hidden="1" x14ac:dyDescent="0.35">
      <c r="A651" s="94"/>
      <c r="B651" s="113">
        <v>0</v>
      </c>
      <c r="C651" s="113">
        <v>250</v>
      </c>
      <c r="D651" s="28">
        <f>SUM(AA651:AD651)</f>
        <v>0</v>
      </c>
      <c r="E651" s="113">
        <v>0</v>
      </c>
      <c r="F651" s="113">
        <v>0</v>
      </c>
      <c r="G651" s="28">
        <f>SUM(D651:F651)</f>
        <v>0</v>
      </c>
      <c r="H651" s="125">
        <v>0</v>
      </c>
      <c r="I651" s="113">
        <v>0</v>
      </c>
      <c r="J651" s="125">
        <v>0</v>
      </c>
      <c r="K651" s="113">
        <v>0</v>
      </c>
      <c r="L651" s="113">
        <v>0</v>
      </c>
      <c r="M651" s="113">
        <v>0</v>
      </c>
      <c r="N651" s="28">
        <f>G651-SUM(H651:M651)</f>
        <v>0</v>
      </c>
      <c r="O651" s="28">
        <f>SUM(V651:Y651)</f>
        <v>0</v>
      </c>
      <c r="P651" s="28">
        <f>O651-N651</f>
        <v>0</v>
      </c>
      <c r="Q651" s="61" t="str">
        <f>IF(ISERROR(P651/SUM(H651:L651)),"",P651/SUM(H651:L651))</f>
        <v/>
      </c>
      <c r="R651" s="113">
        <v>0</v>
      </c>
      <c r="S651" s="28">
        <f>IF(ISERROR(P651/C651*R651),0,(P651/C651*R651))</f>
        <v>0</v>
      </c>
      <c r="T651" s="60">
        <f>IF(ISERROR(P651/B651*AF651),0,(P651/B651*AF651))</f>
        <v>0</v>
      </c>
      <c r="V651" s="113">
        <v>0</v>
      </c>
      <c r="W651" s="113">
        <v>0</v>
      </c>
      <c r="X651" s="113">
        <v>0</v>
      </c>
      <c r="Y651" s="113">
        <v>0</v>
      </c>
      <c r="AA651" s="113">
        <v>0</v>
      </c>
      <c r="AB651" s="113">
        <v>0</v>
      </c>
      <c r="AC651" s="113">
        <v>0</v>
      </c>
      <c r="AD651" s="113">
        <v>0</v>
      </c>
      <c r="AF651" s="113">
        <v>0</v>
      </c>
      <c r="AG651" s="28">
        <f>G651-O651</f>
        <v>0</v>
      </c>
      <c r="AH651" s="58">
        <f>IF(ISERROR(AG651/B651*AF651),0,(AG651/B651*AF651))</f>
        <v>0</v>
      </c>
      <c r="AI651" s="28">
        <f>SUM(H651:M651)</f>
        <v>0</v>
      </c>
      <c r="AJ651" s="28">
        <f>IF(ISERROR(AI651/B651*AF651),0,(AI651/B651*AF651))</f>
        <v>0</v>
      </c>
      <c r="AK651" s="58">
        <f>IF(ISERROR(O651/B651*AF651),0,(O651/B651*AF651))</f>
        <v>0</v>
      </c>
      <c r="AL651" s="28">
        <f>IF(ISERROR(H651/B651*AF651),0,(H651/B651*AF651))</f>
        <v>0</v>
      </c>
      <c r="AN651" s="51">
        <f>A651</f>
        <v>0</v>
      </c>
      <c r="AO651" s="57">
        <f>IF(ISERROR(IF(B651=C651,D651/C651,(INT(D651/B651)+(((D651-B651*INT(D651/B651)))/C651)/100))),0,(IF(B651=C651,D651/C651,(INT(D651/B651)+(((D651-B651*INT(D651/B651)))/C651)/100))))</f>
        <v>0</v>
      </c>
      <c r="AP651" s="57">
        <f>IF(ISERROR(IF(B651=C651,E651/C651,(INT(E651/B651)+(((E651-B651*INT(E651/B651)))/C651)/100))),0,(IF(B651=C651,E651/C651,(INT(E651/B651)+(((E651-B651*INT(E651/B651)))/C651)/100))))</f>
        <v>0</v>
      </c>
      <c r="AQ651" s="57">
        <f>IF(ISERROR(IF(B651=C651,F651/C651,IF((INT(F651/B651)+(((F651-B651*INT(F651/B651)))/C651)/100)&lt;0,(INT(F651/B651)+(((F651-B651*INT(F651/B651)))/C651)/100)+(1-(B651/C651/100)),(INT(F651/B651)+(((F651-B651*INT(F651/B651)))/C651)/100)))),0,IF(B651=C651,F651/C651,IF((INT(F651/B651)+(((F651-B651*INT(F651/B651)))/C651)/100)&lt;0,(INT(F651/B651)+(((F651-B651*INT(F651/B651)))/C651)/100)+(1-(B651/C651/100)),(INT(F651/B651)+(((F651-B651*INT(F651/B651)))/C651)/100))))</f>
        <v>0</v>
      </c>
      <c r="AR651" s="57">
        <f>IF(ISERROR(IF(B651=C651,G651/C651,(INT(G651/B651)+(((G651-B651*INT(G651/B651)))/C651)/100))),0,(IF(B651=C651,G651/C651,(INT(G651/B651)+(((G651-B651*INT(G651/B651)))/C651)/100))))</f>
        <v>0</v>
      </c>
      <c r="AS651" s="57">
        <f>IF(ISERROR(IF(B651=C651,H651/C651,(INT(H651/B651)+(((H651-B651*INT(H651/B651)))/C651)/100))),0,(IF(B651=C651,H651/C651,(INT(H651/B651)+(((H651-B651*INT(H651/B651)))/C651)/100))))</f>
        <v>0</v>
      </c>
      <c r="AT651" s="57">
        <f>IF(ISERROR(IF(B651=C651,I651/C651,(INT(I651/B651)+(((I651-B651*INT(I651/B651)))/C651)/100))),0,(IF(B651=C651,I651/C651,(INT(I651/B651)+(((I651-B651*INT(I651/B651)))/C651)/100))))</f>
        <v>0</v>
      </c>
      <c r="AU651" s="57">
        <f>IF(ISERROR(IF(B651=C651,J651/C651,(INT(J651/B651)+(((J651-B651*INT(J651/B651)))/C651)/100))),0,(IF(B651=C651,J651/C651,(INT(J651/B651)+(((J651-B651*INT(J651/B651)))/C651)/100))))</f>
        <v>0</v>
      </c>
      <c r="AV651" s="57">
        <f>IF(ISERROR(IF(B651=C651,K651/C651,IF((INT(K651/B651)+(((K651-B651*INT(K651/B651)))/C651)/100)&lt;0,(INT(K651/B651)+(((K651-B651*INT(K651/B651)))/C651)/100)+(1-(B651/C651/100)),(INT(K651/B651)+(((K651-B651*INT(K651/B651)))/C651)/100)))),0,IF(B651=C651,K651/C651,IF((INT(K651/B651)+(((K651-B651*INT(K651/B651)))/C651)/100)&lt;0,(INT(K651/B651)+(((K651-B651*INT(K651/B651)))/C651)/100)+(1-(B651/C651/100)),(INT(K651/B651)+(((K651-B651*INT(K651/B651)))/C651)/100))))</f>
        <v>0</v>
      </c>
      <c r="AW651" s="57">
        <f>IF(ISERROR(IF(B651=C651,L651/C651,(INT(L651/B651)+(((L651-B651*INT(L651/B651)))/C651)/100))),0,(IF(B651=C651,L651/C651,(INT(L651/B651)+(((L651-B651*INT(L651/B651)))/C651)/100))))</f>
        <v>0</v>
      </c>
      <c r="AX651" s="57">
        <f>IF(ISERROR(IF(B651=C651,M651/C651,(INT(M651/B651)+(((M651-B651*INT(M651/B651)))/C651)/100))),0,(IF(B651=C651,M651/C651,(INT(M651/B651)+(((M651-B651*INT(M651/B651)))/C651)/100))))</f>
        <v>0</v>
      </c>
      <c r="AY651" s="57">
        <f>IF(ISERROR(IF(B651=C651,N651/C651,IF((INT(N651/B651)+(((N651-B651*INT(N651/B651)))/C651)/100)&lt;0,(INT(N651/B651)+(((N651-B651*INT(N651/B651)))/C651)/100)+(1-(B651/C651/100)),(INT(N651/B651)+(((N651-B651*INT(N651/B651)))/C651)/100)))),0,IF(B651=C651,N651/C651,IF((INT(N651/B651)+(((N651-B651*INT(N651/B651)))/C651)/100)&lt;0,(INT(N651/B651)+(((N651-B651*INT(N651/B651)))/C651)/100)+(1-(B651/C651/100)),(INT(N651/B651)+(((N651-B651*INT(N651/B651)))/C651)/100))))</f>
        <v>0</v>
      </c>
      <c r="AZ651" s="57">
        <f>IF(ISERROR(IF(B651=C651,O651/C651,(INT(O651/B651)+(((O651-B651*INT(O651/B651)))/C651)/100))),0,(IF(B651=C651,O651/C651,(INT(O651/B651)+(((O651-B651*INT(O651/B651)))/C651)/100))))</f>
        <v>0</v>
      </c>
      <c r="BA651" s="57">
        <f>IF(ISERROR(IF(B651=C651,P651/C651,IF((INT(P651/B651)+(((P651-B651*INT(P651/B651)))/C651)/100)&lt;0,(INT(P651/B651)+(((P651-B651*INT(P651/B651)))/C651)/100)+(1-(B651/C651/100)),(INT(P651/B651)+(((P651-B651*INT(P651/B651)))/C651)/100)))),0,IF(B651=C651,P651/C651,IF((INT(P651/B651)+(((P651-B651*INT(P651/B651)))/C651)/100)&lt;0,(INT(P651/B651)+(((P651-B651*INT(P651/B651)))/C651)/100)+(1-(B651/C651/100)),(INT(P651/B651)+(((P651-B651*INT(P651/B651)))/C651)/100))))</f>
        <v>0</v>
      </c>
      <c r="BB651" s="28">
        <f>R651</f>
        <v>0</v>
      </c>
      <c r="BC651" s="28">
        <f>S651</f>
        <v>0</v>
      </c>
      <c r="BD651" s="28">
        <f>AF651</f>
        <v>0</v>
      </c>
      <c r="BE651" s="28">
        <f>T651</f>
        <v>0</v>
      </c>
      <c r="BG651" s="57">
        <f>IF(ISERROR(IF(B651=C651,V651/C651,(INT(V651/B651)+(((V651-B651*INT(V651/B651)))/C651)/100))),0,(IF(B651=C651,V651/C651,(INT(V651/B651)+(((V651-B651*INT(V651/B651)))/C651)/100))))</f>
        <v>0</v>
      </c>
      <c r="BH651" s="57">
        <f>IF(ISERROR(IF(B651=C651,W651/C651,(INT(W651/B651)+(((W651-B651*INT(W651/B651)))/C651)/100))),0,(IF(B651=C651,W651/C651,(INT(W651/B651)+(((W651-B651*INT(W651/B651)))/C651)/100))))</f>
        <v>0</v>
      </c>
      <c r="BI651" s="57">
        <f>IF(ISERROR(IF(B651=C651,X651/C651,(INT(X651/B651)+(((X651-B651*INT(X651/B651)))/C651)/100))),0,(IF(B651=C651,X651/C651,(INT(X651/B651)+(((X651-B651*INT(X651/B651)))/C651)/100))))</f>
        <v>0</v>
      </c>
      <c r="BJ651" s="57">
        <f>IF(ISERROR(IF(B651=C651,Y651/C651,(INT(Y651/B651)+(((Y651-B651*INT(Y651/B651)))/C651)/100))),0,(IF(B651=C651,Y651/C651,(INT(Y651/B651)+(((Y651-B651*INT(Y651/B651)))/C651)/100))))</f>
        <v>0</v>
      </c>
      <c r="BL651" s="57">
        <f>IF(ISERROR(IF(B651=C651,AA651/C651,(INT(AA651/B651)+(((AA651-B651*INT(AA651/B651)))/C651)/100))),0,(IF(B651=C651,AA651/C651,(INT(AA651/B651)+(((AA651-B651*INT(AA651/B651)))/C651)/100))))</f>
        <v>0</v>
      </c>
      <c r="BM651" s="57">
        <f>IF(ISERROR(IF(B651=C651,AB651/C651,(INT(AB651/B651)+(((AB651-B651*INT(AB651/B651)))/C651)/100))),0,(IF(B651=C651,AB651/C651,(INT(AB651/B651)+(((AB651-B651*INT(AB651/B651)))/C651)/100))))</f>
        <v>0</v>
      </c>
      <c r="BN651" s="57">
        <f>IF(ISERROR(IF(B651=C651,AC651/C651,(INT(AC651/B651)+(((AC651-B651*INT(AC651/B651)))/C651)/100))),0,(IF(B651=C651,AC651/C651,(INT(AC651/B651)+(((AC651-B651*INT(AC651/B651)))/C651)/100))))</f>
        <v>0</v>
      </c>
      <c r="BO651" s="57">
        <f>IF(ISERROR(IF(B651=C651,AD651/C651,(INT(AD651/B651)+(((AD651-B651*INT(AD651/B651)))/C651)/100))),0,(IF(B651=C651,AD651/C651,(INT(AD651/B651)+(((AD651-B651*INT(AD651/B651)))/C651)/100))))</f>
        <v>0</v>
      </c>
      <c r="BQ651" s="155"/>
    </row>
    <row r="652" spans="1:69" hidden="1" x14ac:dyDescent="0.35">
      <c r="A652" s="94"/>
      <c r="B652" s="113">
        <v>0</v>
      </c>
      <c r="C652" s="113">
        <v>250</v>
      </c>
      <c r="D652" s="28">
        <f>SUM(AA652:AD652)</f>
        <v>0</v>
      </c>
      <c r="E652" s="113">
        <v>0</v>
      </c>
      <c r="F652" s="113">
        <v>0</v>
      </c>
      <c r="G652" s="28">
        <f>SUM(D652:F652)</f>
        <v>0</v>
      </c>
      <c r="H652" s="125">
        <v>0</v>
      </c>
      <c r="I652" s="113">
        <v>0</v>
      </c>
      <c r="J652" s="125">
        <v>0</v>
      </c>
      <c r="K652" s="113">
        <v>0</v>
      </c>
      <c r="L652" s="113">
        <v>0</v>
      </c>
      <c r="M652" s="113">
        <v>0</v>
      </c>
      <c r="N652" s="28">
        <f>G652-SUM(H652:M652)</f>
        <v>0</v>
      </c>
      <c r="O652" s="28">
        <f>SUM(V652:Y652)</f>
        <v>0</v>
      </c>
      <c r="P652" s="28">
        <f>O652-N652</f>
        <v>0</v>
      </c>
      <c r="Q652" s="61" t="str">
        <f>IF(ISERROR(P652/SUM(H652:L652)),"",P652/SUM(H652:L652))</f>
        <v/>
      </c>
      <c r="R652" s="113">
        <v>0</v>
      </c>
      <c r="S652" s="28">
        <f>IF(ISERROR(P652/C652*R652),0,(P652/C652*R652))</f>
        <v>0</v>
      </c>
      <c r="T652" s="60">
        <f>IF(ISERROR(P652/B652*AF652),0,(P652/B652*AF652))</f>
        <v>0</v>
      </c>
      <c r="V652" s="113">
        <v>0</v>
      </c>
      <c r="W652" s="113">
        <v>0</v>
      </c>
      <c r="X652" s="113">
        <v>0</v>
      </c>
      <c r="Y652" s="113">
        <v>0</v>
      </c>
      <c r="AA652" s="113">
        <v>0</v>
      </c>
      <c r="AB652" s="113">
        <v>0</v>
      </c>
      <c r="AC652" s="113">
        <v>0</v>
      </c>
      <c r="AD652" s="113">
        <v>0</v>
      </c>
      <c r="AF652" s="113">
        <v>0</v>
      </c>
      <c r="AG652" s="28">
        <f>G652-O652</f>
        <v>0</v>
      </c>
      <c r="AH652" s="58">
        <f>IF(ISERROR(AG652/B652*AF652),0,(AG652/B652*AF652))</f>
        <v>0</v>
      </c>
      <c r="AI652" s="28">
        <f>SUM(H652:M652)</f>
        <v>0</v>
      </c>
      <c r="AJ652" s="28">
        <f>IF(ISERROR(AI652/B652*AF652),0,(AI652/B652*AF652))</f>
        <v>0</v>
      </c>
      <c r="AK652" s="58">
        <f>IF(ISERROR(O652/B652*AF652),0,(O652/B652*AF652))</f>
        <v>0</v>
      </c>
      <c r="AL652" s="28">
        <f>IF(ISERROR(H652/B652*AF652),0,(H652/B652*AF652))</f>
        <v>0</v>
      </c>
      <c r="AN652" s="51">
        <f>A652</f>
        <v>0</v>
      </c>
      <c r="AO652" s="57">
        <f>IF(ISERROR(IF(B652=C652,D652/C652,(INT(D652/B652)+(((D652-B652*INT(D652/B652)))/C652)/100))),0,(IF(B652=C652,D652/C652,(INT(D652/B652)+(((D652-B652*INT(D652/B652)))/C652)/100))))</f>
        <v>0</v>
      </c>
      <c r="AP652" s="57">
        <f>IF(ISERROR(IF(B652=C652,E652/C652,(INT(E652/B652)+(((E652-B652*INT(E652/B652)))/C652)/100))),0,(IF(B652=C652,E652/C652,(INT(E652/B652)+(((E652-B652*INT(E652/B652)))/C652)/100))))</f>
        <v>0</v>
      </c>
      <c r="AQ652" s="57">
        <f>IF(ISERROR(IF(B652=C652,F652/C652,IF((INT(F652/B652)+(((F652-B652*INT(F652/B652)))/C652)/100)&lt;0,(INT(F652/B652)+(((F652-B652*INT(F652/B652)))/C652)/100)+(1-(B652/C652/100)),(INT(F652/B652)+(((F652-B652*INT(F652/B652)))/C652)/100)))),0,IF(B652=C652,F652/C652,IF((INT(F652/B652)+(((F652-B652*INT(F652/B652)))/C652)/100)&lt;0,(INT(F652/B652)+(((F652-B652*INT(F652/B652)))/C652)/100)+(1-(B652/C652/100)),(INT(F652/B652)+(((F652-B652*INT(F652/B652)))/C652)/100))))</f>
        <v>0</v>
      </c>
      <c r="AR652" s="57">
        <f>IF(ISERROR(IF(B652=C652,G652/C652,(INT(G652/B652)+(((G652-B652*INT(G652/B652)))/C652)/100))),0,(IF(B652=C652,G652/C652,(INT(G652/B652)+(((G652-B652*INT(G652/B652)))/C652)/100))))</f>
        <v>0</v>
      </c>
      <c r="AS652" s="57">
        <f>IF(ISERROR(IF(B652=C652,H652/C652,(INT(H652/B652)+(((H652-B652*INT(H652/B652)))/C652)/100))),0,(IF(B652=C652,H652/C652,(INT(H652/B652)+(((H652-B652*INT(H652/B652)))/C652)/100))))</f>
        <v>0</v>
      </c>
      <c r="AT652" s="57">
        <f>IF(ISERROR(IF(B652=C652,I652/C652,(INT(I652/B652)+(((I652-B652*INT(I652/B652)))/C652)/100))),0,(IF(B652=C652,I652/C652,(INT(I652/B652)+(((I652-B652*INT(I652/B652)))/C652)/100))))</f>
        <v>0</v>
      </c>
      <c r="AU652" s="57">
        <f>IF(ISERROR(IF(B652=C652,J652/C652,(INT(J652/B652)+(((J652-B652*INT(J652/B652)))/C652)/100))),0,(IF(B652=C652,J652/C652,(INT(J652/B652)+(((J652-B652*INT(J652/B652)))/C652)/100))))</f>
        <v>0</v>
      </c>
      <c r="AV652" s="57">
        <f>IF(ISERROR(IF(B652=C652,K652/C652,IF((INT(K652/B652)+(((K652-B652*INT(K652/B652)))/C652)/100)&lt;0,(INT(K652/B652)+(((K652-B652*INT(K652/B652)))/C652)/100)+(1-(B652/C652/100)),(INT(K652/B652)+(((K652-B652*INT(K652/B652)))/C652)/100)))),0,IF(B652=C652,K652/C652,IF((INT(K652/B652)+(((K652-B652*INT(K652/B652)))/C652)/100)&lt;0,(INT(K652/B652)+(((K652-B652*INT(K652/B652)))/C652)/100)+(1-(B652/C652/100)),(INT(K652/B652)+(((K652-B652*INT(K652/B652)))/C652)/100))))</f>
        <v>0</v>
      </c>
      <c r="AW652" s="57">
        <f>IF(ISERROR(IF(B652=C652,L652/C652,(INT(L652/B652)+(((L652-B652*INT(L652/B652)))/C652)/100))),0,(IF(B652=C652,L652/C652,(INT(L652/B652)+(((L652-B652*INT(L652/B652)))/C652)/100))))</f>
        <v>0</v>
      </c>
      <c r="AX652" s="57">
        <f>IF(ISERROR(IF(B652=C652,M652/C652,(INT(M652/B652)+(((M652-B652*INT(M652/B652)))/C652)/100))),0,(IF(B652=C652,M652/C652,(INT(M652/B652)+(((M652-B652*INT(M652/B652)))/C652)/100))))</f>
        <v>0</v>
      </c>
      <c r="AY652" s="57">
        <f>IF(ISERROR(IF(B652=C652,N652/C652,IF((INT(N652/B652)+(((N652-B652*INT(N652/B652)))/C652)/100)&lt;0,(INT(N652/B652)+(((N652-B652*INT(N652/B652)))/C652)/100)+(1-(B652/C652/100)),(INT(N652/B652)+(((N652-B652*INT(N652/B652)))/C652)/100)))),0,IF(B652=C652,N652/C652,IF((INT(N652/B652)+(((N652-B652*INT(N652/B652)))/C652)/100)&lt;0,(INT(N652/B652)+(((N652-B652*INT(N652/B652)))/C652)/100)+(1-(B652/C652/100)),(INT(N652/B652)+(((N652-B652*INT(N652/B652)))/C652)/100))))</f>
        <v>0</v>
      </c>
      <c r="AZ652" s="57">
        <f>IF(ISERROR(IF(B652=C652,O652/C652,(INT(O652/B652)+(((O652-B652*INT(O652/B652)))/C652)/100))),0,(IF(B652=C652,O652/C652,(INT(O652/B652)+(((O652-B652*INT(O652/B652)))/C652)/100))))</f>
        <v>0</v>
      </c>
      <c r="BA652" s="57">
        <f>IF(ISERROR(IF(B652=C652,P652/C652,IF((INT(P652/B652)+(((P652-B652*INT(P652/B652)))/C652)/100)&lt;0,(INT(P652/B652)+(((P652-B652*INT(P652/B652)))/C652)/100)+(1-(B652/C652/100)),(INT(P652/B652)+(((P652-B652*INT(P652/B652)))/C652)/100)))),0,IF(B652=C652,P652/C652,IF((INT(P652/B652)+(((P652-B652*INT(P652/B652)))/C652)/100)&lt;0,(INT(P652/B652)+(((P652-B652*INT(P652/B652)))/C652)/100)+(1-(B652/C652/100)),(INT(P652/B652)+(((P652-B652*INT(P652/B652)))/C652)/100))))</f>
        <v>0</v>
      </c>
      <c r="BB652" s="28">
        <f>R652</f>
        <v>0</v>
      </c>
      <c r="BC652" s="28">
        <f>S652</f>
        <v>0</v>
      </c>
      <c r="BD652" s="28">
        <f>AF652</f>
        <v>0</v>
      </c>
      <c r="BE652" s="28">
        <f>T652</f>
        <v>0</v>
      </c>
      <c r="BG652" s="57">
        <f>IF(ISERROR(IF(B652=C652,V652/C652,(INT(V652/B652)+(((V652-B652*INT(V652/B652)))/C652)/100))),0,(IF(B652=C652,V652/C652,(INT(V652/B652)+(((V652-B652*INT(V652/B652)))/C652)/100))))</f>
        <v>0</v>
      </c>
      <c r="BH652" s="57">
        <f>IF(ISERROR(IF(B652=C652,W652/C652,(INT(W652/B652)+(((W652-B652*INT(W652/B652)))/C652)/100))),0,(IF(B652=C652,W652/C652,(INT(W652/B652)+(((W652-B652*INT(W652/B652)))/C652)/100))))</f>
        <v>0</v>
      </c>
      <c r="BI652" s="57">
        <f>IF(ISERROR(IF(B652=C652,X652/C652,(INT(X652/B652)+(((X652-B652*INT(X652/B652)))/C652)/100))),0,(IF(B652=C652,X652/C652,(INT(X652/B652)+(((X652-B652*INT(X652/B652)))/C652)/100))))</f>
        <v>0</v>
      </c>
      <c r="BJ652" s="57">
        <f>IF(ISERROR(IF(B652=C652,Y652/C652,(INT(Y652/B652)+(((Y652-B652*INT(Y652/B652)))/C652)/100))),0,(IF(B652=C652,Y652/C652,(INT(Y652/B652)+(((Y652-B652*INT(Y652/B652)))/C652)/100))))</f>
        <v>0</v>
      </c>
      <c r="BL652" s="57">
        <f>IF(ISERROR(IF(B652=C652,AA652/C652,(INT(AA652/B652)+(((AA652-B652*INT(AA652/B652)))/C652)/100))),0,(IF(B652=C652,AA652/C652,(INT(AA652/B652)+(((AA652-B652*INT(AA652/B652)))/C652)/100))))</f>
        <v>0</v>
      </c>
      <c r="BM652" s="57">
        <f>IF(ISERROR(IF(B652=C652,AB652/C652,(INT(AB652/B652)+(((AB652-B652*INT(AB652/B652)))/C652)/100))),0,(IF(B652=C652,AB652/C652,(INT(AB652/B652)+(((AB652-B652*INT(AB652/B652)))/C652)/100))))</f>
        <v>0</v>
      </c>
      <c r="BN652" s="57">
        <f>IF(ISERROR(IF(B652=C652,AC652/C652,(INT(AC652/B652)+(((AC652-B652*INT(AC652/B652)))/C652)/100))),0,(IF(B652=C652,AC652/C652,(INT(AC652/B652)+(((AC652-B652*INT(AC652/B652)))/C652)/100))))</f>
        <v>0</v>
      </c>
      <c r="BO652" s="57">
        <f>IF(ISERROR(IF(B652=C652,AD652/C652,(INT(AD652/B652)+(((AD652-B652*INT(AD652/B652)))/C652)/100))),0,(IF(B652=C652,AD652/C652,(INT(AD652/B652)+(((AD652-B652*INT(AD652/B652)))/C652)/100))))</f>
        <v>0</v>
      </c>
      <c r="BQ652" s="155"/>
    </row>
    <row r="653" spans="1:69" hidden="1" x14ac:dyDescent="0.35">
      <c r="A653" s="94"/>
      <c r="B653" s="113">
        <v>0</v>
      </c>
      <c r="C653" s="113">
        <v>250</v>
      </c>
      <c r="D653" s="28">
        <f>SUM(AA653:AD653)</f>
        <v>0</v>
      </c>
      <c r="E653" s="113">
        <v>0</v>
      </c>
      <c r="F653" s="113">
        <v>0</v>
      </c>
      <c r="G653" s="28">
        <f>SUM(D653:F653)</f>
        <v>0</v>
      </c>
      <c r="H653" s="125">
        <v>0</v>
      </c>
      <c r="I653" s="113">
        <v>0</v>
      </c>
      <c r="J653" s="125">
        <v>0</v>
      </c>
      <c r="K653" s="113">
        <v>0</v>
      </c>
      <c r="L653" s="113">
        <v>0</v>
      </c>
      <c r="M653" s="113">
        <v>0</v>
      </c>
      <c r="N653" s="28">
        <f>G653-SUM(H653:M653)</f>
        <v>0</v>
      </c>
      <c r="O653" s="28">
        <f>SUM(V653:Y653)</f>
        <v>0</v>
      </c>
      <c r="P653" s="28">
        <f>O653-N653</f>
        <v>0</v>
      </c>
      <c r="Q653" s="61" t="str">
        <f>IF(ISERROR(P653/SUM(H653:L653)),"",P653/SUM(H653:L653))</f>
        <v/>
      </c>
      <c r="R653" s="113">
        <v>0</v>
      </c>
      <c r="S653" s="28">
        <f>IF(ISERROR(P653/C653*R653),0,(P653/C653*R653))</f>
        <v>0</v>
      </c>
      <c r="T653" s="60">
        <f>IF(ISERROR(P653/B653*AF653),0,(P653/B653*AF653))</f>
        <v>0</v>
      </c>
      <c r="V653" s="113">
        <v>0</v>
      </c>
      <c r="W653" s="113">
        <v>0</v>
      </c>
      <c r="X653" s="113">
        <v>0</v>
      </c>
      <c r="Y653" s="113">
        <v>0</v>
      </c>
      <c r="AA653" s="113">
        <v>0</v>
      </c>
      <c r="AB653" s="113">
        <v>0</v>
      </c>
      <c r="AC653" s="113">
        <v>0</v>
      </c>
      <c r="AD653" s="113">
        <v>0</v>
      </c>
      <c r="AF653" s="113">
        <v>0</v>
      </c>
      <c r="AG653" s="28">
        <f>G653-O653</f>
        <v>0</v>
      </c>
      <c r="AH653" s="58">
        <f>IF(ISERROR(AG653/B653*AF653),0,(AG653/B653*AF653))</f>
        <v>0</v>
      </c>
      <c r="AI653" s="28">
        <f>SUM(H653:M653)</f>
        <v>0</v>
      </c>
      <c r="AJ653" s="28">
        <f>IF(ISERROR(AI653/B653*AF653),0,(AI653/B653*AF653))</f>
        <v>0</v>
      </c>
      <c r="AK653" s="58">
        <f>IF(ISERROR(O653/B653*AF653),0,(O653/B653*AF653))</f>
        <v>0</v>
      </c>
      <c r="AL653" s="28">
        <f>IF(ISERROR(H653/B653*AF653),0,(H653/B653*AF653))</f>
        <v>0</v>
      </c>
      <c r="AN653" s="51">
        <f>A653</f>
        <v>0</v>
      </c>
      <c r="AO653" s="57">
        <f>IF(ISERROR(IF(B653=C653,D653/C653,(INT(D653/B653)+(((D653-B653*INT(D653/B653)))/C653)/100))),0,(IF(B653=C653,D653/C653,(INT(D653/B653)+(((D653-B653*INT(D653/B653)))/C653)/100))))</f>
        <v>0</v>
      </c>
      <c r="AP653" s="57">
        <f>IF(ISERROR(IF(B653=C653,E653/C653,(INT(E653/B653)+(((E653-B653*INT(E653/B653)))/C653)/100))),0,(IF(B653=C653,E653/C653,(INT(E653/B653)+(((E653-B653*INT(E653/B653)))/C653)/100))))</f>
        <v>0</v>
      </c>
      <c r="AQ653" s="57">
        <f>IF(ISERROR(IF(B653=C653,F653/C653,IF((INT(F653/B653)+(((F653-B653*INT(F653/B653)))/C653)/100)&lt;0,(INT(F653/B653)+(((F653-B653*INT(F653/B653)))/C653)/100)+(1-(B653/C653/100)),(INT(F653/B653)+(((F653-B653*INT(F653/B653)))/C653)/100)))),0,IF(B653=C653,F653/C653,IF((INT(F653/B653)+(((F653-B653*INT(F653/B653)))/C653)/100)&lt;0,(INT(F653/B653)+(((F653-B653*INT(F653/B653)))/C653)/100)+(1-(B653/C653/100)),(INT(F653/B653)+(((F653-B653*INT(F653/B653)))/C653)/100))))</f>
        <v>0</v>
      </c>
      <c r="AR653" s="57">
        <f>IF(ISERROR(IF(B653=C653,G653/C653,(INT(G653/B653)+(((G653-B653*INT(G653/B653)))/C653)/100))),0,(IF(B653=C653,G653/C653,(INT(G653/B653)+(((G653-B653*INT(G653/B653)))/C653)/100))))</f>
        <v>0</v>
      </c>
      <c r="AS653" s="57">
        <f>IF(ISERROR(IF(B653=C653,H653/C653,(INT(H653/B653)+(((H653-B653*INT(H653/B653)))/C653)/100))),0,(IF(B653=C653,H653/C653,(INT(H653/B653)+(((H653-B653*INT(H653/B653)))/C653)/100))))</f>
        <v>0</v>
      </c>
      <c r="AT653" s="57">
        <f>IF(ISERROR(IF(B653=C653,I653/C653,(INT(I653/B653)+(((I653-B653*INT(I653/B653)))/C653)/100))),0,(IF(B653=C653,I653/C653,(INT(I653/B653)+(((I653-B653*INT(I653/B653)))/C653)/100))))</f>
        <v>0</v>
      </c>
      <c r="AU653" s="57">
        <f>IF(ISERROR(IF(B653=C653,J653/C653,(INT(J653/B653)+(((J653-B653*INT(J653/B653)))/C653)/100))),0,(IF(B653=C653,J653/C653,(INT(J653/B653)+(((J653-B653*INT(J653/B653)))/C653)/100))))</f>
        <v>0</v>
      </c>
      <c r="AV653" s="57">
        <f>IF(ISERROR(IF(B653=C653,K653/C653,IF((INT(K653/B653)+(((K653-B653*INT(K653/B653)))/C653)/100)&lt;0,(INT(K653/B653)+(((K653-B653*INT(K653/B653)))/C653)/100)+(1-(B653/C653/100)),(INT(K653/B653)+(((K653-B653*INT(K653/B653)))/C653)/100)))),0,IF(B653=C653,K653/C653,IF((INT(K653/B653)+(((K653-B653*INT(K653/B653)))/C653)/100)&lt;0,(INT(K653/B653)+(((K653-B653*INT(K653/B653)))/C653)/100)+(1-(B653/C653/100)),(INT(K653/B653)+(((K653-B653*INT(K653/B653)))/C653)/100))))</f>
        <v>0</v>
      </c>
      <c r="AW653" s="57">
        <f>IF(ISERROR(IF(B653=C653,L653/C653,(INT(L653/B653)+(((L653-B653*INT(L653/B653)))/C653)/100))),0,(IF(B653=C653,L653/C653,(INT(L653/B653)+(((L653-B653*INT(L653/B653)))/C653)/100))))</f>
        <v>0</v>
      </c>
      <c r="AX653" s="57">
        <f>IF(ISERROR(IF(B653=C653,M653/C653,(INT(M653/B653)+(((M653-B653*INT(M653/B653)))/C653)/100))),0,(IF(B653=C653,M653/C653,(INT(M653/B653)+(((M653-B653*INT(M653/B653)))/C653)/100))))</f>
        <v>0</v>
      </c>
      <c r="AY653" s="57">
        <f>IF(ISERROR(IF(B653=C653,N653/C653,IF((INT(N653/B653)+(((N653-B653*INT(N653/B653)))/C653)/100)&lt;0,(INT(N653/B653)+(((N653-B653*INT(N653/B653)))/C653)/100)+(1-(B653/C653/100)),(INT(N653/B653)+(((N653-B653*INT(N653/B653)))/C653)/100)))),0,IF(B653=C653,N653/C653,IF((INT(N653/B653)+(((N653-B653*INT(N653/B653)))/C653)/100)&lt;0,(INT(N653/B653)+(((N653-B653*INT(N653/B653)))/C653)/100)+(1-(B653/C653/100)),(INT(N653/B653)+(((N653-B653*INT(N653/B653)))/C653)/100))))</f>
        <v>0</v>
      </c>
      <c r="AZ653" s="57">
        <f>IF(ISERROR(IF(B653=C653,O653/C653,(INT(O653/B653)+(((O653-B653*INT(O653/B653)))/C653)/100))),0,(IF(B653=C653,O653/C653,(INT(O653/B653)+(((O653-B653*INT(O653/B653)))/C653)/100))))</f>
        <v>0</v>
      </c>
      <c r="BA653" s="57">
        <f>IF(ISERROR(IF(B653=C653,P653/C653,IF((INT(P653/B653)+(((P653-B653*INT(P653/B653)))/C653)/100)&lt;0,(INT(P653/B653)+(((P653-B653*INT(P653/B653)))/C653)/100)+(1-(B653/C653/100)),(INT(P653/B653)+(((P653-B653*INT(P653/B653)))/C653)/100)))),0,IF(B653=C653,P653/C653,IF((INT(P653/B653)+(((P653-B653*INT(P653/B653)))/C653)/100)&lt;0,(INT(P653/B653)+(((P653-B653*INT(P653/B653)))/C653)/100)+(1-(B653/C653/100)),(INT(P653/B653)+(((P653-B653*INT(P653/B653)))/C653)/100))))</f>
        <v>0</v>
      </c>
      <c r="BB653" s="28">
        <f>R653</f>
        <v>0</v>
      </c>
      <c r="BC653" s="28">
        <f>S653</f>
        <v>0</v>
      </c>
      <c r="BD653" s="28">
        <f>AF653</f>
        <v>0</v>
      </c>
      <c r="BE653" s="28">
        <f>T653</f>
        <v>0</v>
      </c>
      <c r="BG653" s="57">
        <f>IF(ISERROR(IF(B653=C653,V653/C653,(INT(V653/B653)+(((V653-B653*INT(V653/B653)))/C653)/100))),0,(IF(B653=C653,V653/C653,(INT(V653/B653)+(((V653-B653*INT(V653/B653)))/C653)/100))))</f>
        <v>0</v>
      </c>
      <c r="BH653" s="57">
        <f>IF(ISERROR(IF(B653=C653,W653/C653,(INT(W653/B653)+(((W653-B653*INT(W653/B653)))/C653)/100))),0,(IF(B653=C653,W653/C653,(INT(W653/B653)+(((W653-B653*INT(W653/B653)))/C653)/100))))</f>
        <v>0</v>
      </c>
      <c r="BI653" s="57">
        <f>IF(ISERROR(IF(B653=C653,X653/C653,(INT(X653/B653)+(((X653-B653*INT(X653/B653)))/C653)/100))),0,(IF(B653=C653,X653/C653,(INT(X653/B653)+(((X653-B653*INT(X653/B653)))/C653)/100))))</f>
        <v>0</v>
      </c>
      <c r="BJ653" s="57">
        <f>IF(ISERROR(IF(B653=C653,Y653/C653,(INT(Y653/B653)+(((Y653-B653*INT(Y653/B653)))/C653)/100))),0,(IF(B653=C653,Y653/C653,(INT(Y653/B653)+(((Y653-B653*INT(Y653/B653)))/C653)/100))))</f>
        <v>0</v>
      </c>
      <c r="BL653" s="57">
        <f>IF(ISERROR(IF(B653=C653,AA653/C653,(INT(AA653/B653)+(((AA653-B653*INT(AA653/B653)))/C653)/100))),0,(IF(B653=C653,AA653/C653,(INT(AA653/B653)+(((AA653-B653*INT(AA653/B653)))/C653)/100))))</f>
        <v>0</v>
      </c>
      <c r="BM653" s="57">
        <f>IF(ISERROR(IF(B653=C653,AB653/C653,(INT(AB653/B653)+(((AB653-B653*INT(AB653/B653)))/C653)/100))),0,(IF(B653=C653,AB653/C653,(INT(AB653/B653)+(((AB653-B653*INT(AB653/B653)))/C653)/100))))</f>
        <v>0</v>
      </c>
      <c r="BN653" s="57">
        <f>IF(ISERROR(IF(B653=C653,AC653/C653,(INT(AC653/B653)+(((AC653-B653*INT(AC653/B653)))/C653)/100))),0,(IF(B653=C653,AC653/C653,(INT(AC653/B653)+(((AC653-B653*INT(AC653/B653)))/C653)/100))))</f>
        <v>0</v>
      </c>
      <c r="BO653" s="57">
        <f>IF(ISERROR(IF(B653=C653,AD653/C653,(INT(AD653/B653)+(((AD653-B653*INT(AD653/B653)))/C653)/100))),0,(IF(B653=C653,AD653/C653,(INT(AD653/B653)+(((AD653-B653*INT(AD653/B653)))/C653)/100))))</f>
        <v>0</v>
      </c>
      <c r="BQ653" s="155"/>
    </row>
    <row r="654" spans="1:69" hidden="1" x14ac:dyDescent="0.35">
      <c r="A654" s="94"/>
      <c r="B654" s="113">
        <v>0</v>
      </c>
      <c r="C654" s="113">
        <v>250</v>
      </c>
      <c r="D654" s="28">
        <f>SUM(AA654:AD654)</f>
        <v>0</v>
      </c>
      <c r="E654" s="113">
        <v>0</v>
      </c>
      <c r="F654" s="113">
        <v>0</v>
      </c>
      <c r="G654" s="28">
        <f>SUM(D654:F654)</f>
        <v>0</v>
      </c>
      <c r="H654" s="125">
        <v>0</v>
      </c>
      <c r="I654" s="113">
        <v>0</v>
      </c>
      <c r="J654" s="125">
        <v>0</v>
      </c>
      <c r="K654" s="113">
        <v>0</v>
      </c>
      <c r="L654" s="113">
        <v>0</v>
      </c>
      <c r="M654" s="113">
        <v>0</v>
      </c>
      <c r="N654" s="28">
        <f>G654-SUM(H654:M654)</f>
        <v>0</v>
      </c>
      <c r="O654" s="28">
        <f>SUM(V654:Y654)</f>
        <v>0</v>
      </c>
      <c r="P654" s="28">
        <f>O654-N654</f>
        <v>0</v>
      </c>
      <c r="Q654" s="61" t="str">
        <f>IF(ISERROR(P654/SUM(H654:L654)),"",P654/SUM(H654:L654))</f>
        <v/>
      </c>
      <c r="R654" s="113">
        <v>0</v>
      </c>
      <c r="S654" s="28">
        <f>IF(ISERROR(P654/C654*R654),0,(P654/C654*R654))</f>
        <v>0</v>
      </c>
      <c r="T654" s="60">
        <f>IF(ISERROR(P654/B654*AF654),0,(P654/B654*AF654))</f>
        <v>0</v>
      </c>
      <c r="V654" s="113">
        <v>0</v>
      </c>
      <c r="W654" s="113">
        <v>0</v>
      </c>
      <c r="X654" s="113">
        <v>0</v>
      </c>
      <c r="Y654" s="113">
        <v>0</v>
      </c>
      <c r="AA654" s="113">
        <v>0</v>
      </c>
      <c r="AB654" s="113">
        <v>0</v>
      </c>
      <c r="AC654" s="113">
        <v>0</v>
      </c>
      <c r="AD654" s="113">
        <v>0</v>
      </c>
      <c r="AF654" s="113">
        <v>0</v>
      </c>
      <c r="AG654" s="28">
        <f>G654-O654</f>
        <v>0</v>
      </c>
      <c r="AH654" s="58">
        <f>IF(ISERROR(AG654/B654*AF654),0,(AG654/B654*AF654))</f>
        <v>0</v>
      </c>
      <c r="AI654" s="28">
        <f>SUM(H654:M654)</f>
        <v>0</v>
      </c>
      <c r="AJ654" s="28">
        <f>IF(ISERROR(AI654/B654*AF654),0,(AI654/B654*AF654))</f>
        <v>0</v>
      </c>
      <c r="AK654" s="58">
        <f>IF(ISERROR(O654/B654*AF654),0,(O654/B654*AF654))</f>
        <v>0</v>
      </c>
      <c r="AL654" s="28">
        <f>IF(ISERROR(H654/B654*AF654),0,(H654/B654*AF654))</f>
        <v>0</v>
      </c>
      <c r="AN654" s="51">
        <f>A654</f>
        <v>0</v>
      </c>
      <c r="AO654" s="57">
        <f>IF(ISERROR(IF(B654=C654,D654/C654,(INT(D654/B654)+(((D654-B654*INT(D654/B654)))/C654)/100))),0,(IF(B654=C654,D654/C654,(INT(D654/B654)+(((D654-B654*INT(D654/B654)))/C654)/100))))</f>
        <v>0</v>
      </c>
      <c r="AP654" s="57">
        <f>IF(ISERROR(IF(B654=C654,E654/C654,(INT(E654/B654)+(((E654-B654*INT(E654/B654)))/C654)/100))),0,(IF(B654=C654,E654/C654,(INT(E654/B654)+(((E654-B654*INT(E654/B654)))/C654)/100))))</f>
        <v>0</v>
      </c>
      <c r="AQ654" s="57">
        <f>IF(ISERROR(IF(B654=C654,F654/C654,IF((INT(F654/B654)+(((F654-B654*INT(F654/B654)))/C654)/100)&lt;0,(INT(F654/B654)+(((F654-B654*INT(F654/B654)))/C654)/100)+(1-(B654/C654/100)),(INT(F654/B654)+(((F654-B654*INT(F654/B654)))/C654)/100)))),0,IF(B654=C654,F654/C654,IF((INT(F654/B654)+(((F654-B654*INT(F654/B654)))/C654)/100)&lt;0,(INT(F654/B654)+(((F654-B654*INT(F654/B654)))/C654)/100)+(1-(B654/C654/100)),(INT(F654/B654)+(((F654-B654*INT(F654/B654)))/C654)/100))))</f>
        <v>0</v>
      </c>
      <c r="AR654" s="57">
        <f>IF(ISERROR(IF(B654=C654,G654/C654,(INT(G654/B654)+(((G654-B654*INT(G654/B654)))/C654)/100))),0,(IF(B654=C654,G654/C654,(INT(G654/B654)+(((G654-B654*INT(G654/B654)))/C654)/100))))</f>
        <v>0</v>
      </c>
      <c r="AS654" s="57">
        <f>IF(ISERROR(IF(B654=C654,H654/C654,(INT(H654/B654)+(((H654-B654*INT(H654/B654)))/C654)/100))),0,(IF(B654=C654,H654/C654,(INT(H654/B654)+(((H654-B654*INT(H654/B654)))/C654)/100))))</f>
        <v>0</v>
      </c>
      <c r="AT654" s="57">
        <f>IF(ISERROR(IF(B654=C654,I654/C654,(INT(I654/B654)+(((I654-B654*INT(I654/B654)))/C654)/100))),0,(IF(B654=C654,I654/C654,(INT(I654/B654)+(((I654-B654*INT(I654/B654)))/C654)/100))))</f>
        <v>0</v>
      </c>
      <c r="AU654" s="57">
        <f>IF(ISERROR(IF(B654=C654,J654/C654,(INT(J654/B654)+(((J654-B654*INT(J654/B654)))/C654)/100))),0,(IF(B654=C654,J654/C654,(INT(J654/B654)+(((J654-B654*INT(J654/B654)))/C654)/100))))</f>
        <v>0</v>
      </c>
      <c r="AV654" s="57">
        <f>IF(ISERROR(IF(B654=C654,K654/C654,IF((INT(K654/B654)+(((K654-B654*INT(K654/B654)))/C654)/100)&lt;0,(INT(K654/B654)+(((K654-B654*INT(K654/B654)))/C654)/100)+(1-(B654/C654/100)),(INT(K654/B654)+(((K654-B654*INT(K654/B654)))/C654)/100)))),0,IF(B654=C654,K654/C654,IF((INT(K654/B654)+(((K654-B654*INT(K654/B654)))/C654)/100)&lt;0,(INT(K654/B654)+(((K654-B654*INT(K654/B654)))/C654)/100)+(1-(B654/C654/100)),(INT(K654/B654)+(((K654-B654*INT(K654/B654)))/C654)/100))))</f>
        <v>0</v>
      </c>
      <c r="AW654" s="57">
        <f>IF(ISERROR(IF(B654=C654,L654/C654,(INT(L654/B654)+(((L654-B654*INT(L654/B654)))/C654)/100))),0,(IF(B654=C654,L654/C654,(INT(L654/B654)+(((L654-B654*INT(L654/B654)))/C654)/100))))</f>
        <v>0</v>
      </c>
      <c r="AX654" s="57">
        <f>IF(ISERROR(IF(B654=C654,M654/C654,(INT(M654/B654)+(((M654-B654*INT(M654/B654)))/C654)/100))),0,(IF(B654=C654,M654/C654,(INT(M654/B654)+(((M654-B654*INT(M654/B654)))/C654)/100))))</f>
        <v>0</v>
      </c>
      <c r="AY654" s="57">
        <f>IF(ISERROR(IF(B654=C654,N654/C654,IF((INT(N654/B654)+(((N654-B654*INT(N654/B654)))/C654)/100)&lt;0,(INT(N654/B654)+(((N654-B654*INT(N654/B654)))/C654)/100)+(1-(B654/C654/100)),(INT(N654/B654)+(((N654-B654*INT(N654/B654)))/C654)/100)))),0,IF(B654=C654,N654/C654,IF((INT(N654/B654)+(((N654-B654*INT(N654/B654)))/C654)/100)&lt;0,(INT(N654/B654)+(((N654-B654*INT(N654/B654)))/C654)/100)+(1-(B654/C654/100)),(INT(N654/B654)+(((N654-B654*INT(N654/B654)))/C654)/100))))</f>
        <v>0</v>
      </c>
      <c r="AZ654" s="57">
        <f>IF(ISERROR(IF(B654=C654,O654/C654,(INT(O654/B654)+(((O654-B654*INT(O654/B654)))/C654)/100))),0,(IF(B654=C654,O654/C654,(INT(O654/B654)+(((O654-B654*INT(O654/B654)))/C654)/100))))</f>
        <v>0</v>
      </c>
      <c r="BA654" s="57">
        <f>IF(ISERROR(IF(B654=C654,P654/C654,IF((INT(P654/B654)+(((P654-B654*INT(P654/B654)))/C654)/100)&lt;0,(INT(P654/B654)+(((P654-B654*INT(P654/B654)))/C654)/100)+(1-(B654/C654/100)),(INT(P654/B654)+(((P654-B654*INT(P654/B654)))/C654)/100)))),0,IF(B654=C654,P654/C654,IF((INT(P654/B654)+(((P654-B654*INT(P654/B654)))/C654)/100)&lt;0,(INT(P654/B654)+(((P654-B654*INT(P654/B654)))/C654)/100)+(1-(B654/C654/100)),(INT(P654/B654)+(((P654-B654*INT(P654/B654)))/C654)/100))))</f>
        <v>0</v>
      </c>
      <c r="BB654" s="28">
        <f>R654</f>
        <v>0</v>
      </c>
      <c r="BC654" s="28">
        <f>S654</f>
        <v>0</v>
      </c>
      <c r="BD654" s="28">
        <f>AF654</f>
        <v>0</v>
      </c>
      <c r="BE654" s="28">
        <f>T654</f>
        <v>0</v>
      </c>
      <c r="BG654" s="57">
        <f>IF(ISERROR(IF(B654=C654,V654/C654,(INT(V654/B654)+(((V654-B654*INT(V654/B654)))/C654)/100))),0,(IF(B654=C654,V654/C654,(INT(V654/B654)+(((V654-B654*INT(V654/B654)))/C654)/100))))</f>
        <v>0</v>
      </c>
      <c r="BH654" s="57">
        <f>IF(ISERROR(IF(B654=C654,W654/C654,(INT(W654/B654)+(((W654-B654*INT(W654/B654)))/C654)/100))),0,(IF(B654=C654,W654/C654,(INT(W654/B654)+(((W654-B654*INT(W654/B654)))/C654)/100))))</f>
        <v>0</v>
      </c>
      <c r="BI654" s="57">
        <f>IF(ISERROR(IF(B654=C654,X654/C654,(INT(X654/B654)+(((X654-B654*INT(X654/B654)))/C654)/100))),0,(IF(B654=C654,X654/C654,(INT(X654/B654)+(((X654-B654*INT(X654/B654)))/C654)/100))))</f>
        <v>0</v>
      </c>
      <c r="BJ654" s="57">
        <f>IF(ISERROR(IF(B654=C654,Y654/C654,(INT(Y654/B654)+(((Y654-B654*INT(Y654/B654)))/C654)/100))),0,(IF(B654=C654,Y654/C654,(INT(Y654/B654)+(((Y654-B654*INT(Y654/B654)))/C654)/100))))</f>
        <v>0</v>
      </c>
      <c r="BL654" s="57">
        <f>IF(ISERROR(IF(B654=C654,AA654/C654,(INT(AA654/B654)+(((AA654-B654*INT(AA654/B654)))/C654)/100))),0,(IF(B654=C654,AA654/C654,(INT(AA654/B654)+(((AA654-B654*INT(AA654/B654)))/C654)/100))))</f>
        <v>0</v>
      </c>
      <c r="BM654" s="57">
        <f>IF(ISERROR(IF(B654=C654,AB654/C654,(INT(AB654/B654)+(((AB654-B654*INT(AB654/B654)))/C654)/100))),0,(IF(B654=C654,AB654/C654,(INT(AB654/B654)+(((AB654-B654*INT(AB654/B654)))/C654)/100))))</f>
        <v>0</v>
      </c>
      <c r="BN654" s="57">
        <f>IF(ISERROR(IF(B654=C654,AC654/C654,(INT(AC654/B654)+(((AC654-B654*INT(AC654/B654)))/C654)/100))),0,(IF(B654=C654,AC654/C654,(INT(AC654/B654)+(((AC654-B654*INT(AC654/B654)))/C654)/100))))</f>
        <v>0</v>
      </c>
      <c r="BO654" s="57">
        <f>IF(ISERROR(IF(B654=C654,AD654/C654,(INT(AD654/B654)+(((AD654-B654*INT(AD654/B654)))/C654)/100))),0,(IF(B654=C654,AD654/C654,(INT(AD654/B654)+(((AD654-B654*INT(AD654/B654)))/C654)/100))))</f>
        <v>0</v>
      </c>
      <c r="BQ654" s="155"/>
    </row>
    <row r="655" spans="1:69" hidden="1" x14ac:dyDescent="0.35">
      <c r="A655" s="94"/>
      <c r="B655" s="113">
        <v>0</v>
      </c>
      <c r="C655" s="113">
        <v>250</v>
      </c>
      <c r="D655" s="28">
        <f>SUM(AA655:AD655)</f>
        <v>0</v>
      </c>
      <c r="E655" s="113">
        <v>0</v>
      </c>
      <c r="F655" s="113">
        <v>0</v>
      </c>
      <c r="G655" s="28">
        <f>SUM(D655:F655)</f>
        <v>0</v>
      </c>
      <c r="H655" s="125">
        <v>0</v>
      </c>
      <c r="I655" s="113">
        <v>0</v>
      </c>
      <c r="J655" s="125">
        <v>0</v>
      </c>
      <c r="K655" s="113">
        <v>0</v>
      </c>
      <c r="L655" s="113">
        <v>0</v>
      </c>
      <c r="M655" s="113">
        <v>0</v>
      </c>
      <c r="N655" s="28">
        <f>G655-SUM(H655:M655)</f>
        <v>0</v>
      </c>
      <c r="O655" s="28">
        <f>SUM(V655:Y655)</f>
        <v>0</v>
      </c>
      <c r="P655" s="28">
        <f>O655-N655</f>
        <v>0</v>
      </c>
      <c r="Q655" s="61" t="str">
        <f>IF(ISERROR(P655/SUM(H655:L655)),"",P655/SUM(H655:L655))</f>
        <v/>
      </c>
      <c r="R655" s="113">
        <v>0</v>
      </c>
      <c r="S655" s="28">
        <f>IF(ISERROR(P655/C655*R655),0,(P655/C655*R655))</f>
        <v>0</v>
      </c>
      <c r="T655" s="60">
        <f>IF(ISERROR(P655/B655*AF655),0,(P655/B655*AF655))</f>
        <v>0</v>
      </c>
      <c r="V655" s="113">
        <v>0</v>
      </c>
      <c r="W655" s="113">
        <v>0</v>
      </c>
      <c r="X655" s="113">
        <v>0</v>
      </c>
      <c r="Y655" s="113">
        <v>0</v>
      </c>
      <c r="AA655" s="113">
        <v>0</v>
      </c>
      <c r="AB655" s="113">
        <v>0</v>
      </c>
      <c r="AC655" s="113">
        <v>0</v>
      </c>
      <c r="AD655" s="113">
        <v>0</v>
      </c>
      <c r="AF655" s="113">
        <v>0</v>
      </c>
      <c r="AG655" s="28">
        <f>G655-O655</f>
        <v>0</v>
      </c>
      <c r="AH655" s="58">
        <f>IF(ISERROR(AG655/B655*AF655),0,(AG655/B655*AF655))</f>
        <v>0</v>
      </c>
      <c r="AI655" s="28">
        <f>SUM(H655:M655)</f>
        <v>0</v>
      </c>
      <c r="AJ655" s="28">
        <f>IF(ISERROR(AI655/B655*AF655),0,(AI655/B655*AF655))</f>
        <v>0</v>
      </c>
      <c r="AK655" s="58">
        <f>IF(ISERROR(O655/B655*AF655),0,(O655/B655*AF655))</f>
        <v>0</v>
      </c>
      <c r="AL655" s="28">
        <f>IF(ISERROR(H655/B655*AF655),0,(H655/B655*AF655))</f>
        <v>0</v>
      </c>
      <c r="AN655" s="51">
        <f>A655</f>
        <v>0</v>
      </c>
      <c r="AO655" s="57">
        <f>IF(ISERROR(IF(B655=C655,D655/C655,(INT(D655/B655)+(((D655-B655*INT(D655/B655)))/C655)/100))),0,(IF(B655=C655,D655/C655,(INT(D655/B655)+(((D655-B655*INT(D655/B655)))/C655)/100))))</f>
        <v>0</v>
      </c>
      <c r="AP655" s="57">
        <f>IF(ISERROR(IF(B655=C655,E655/C655,(INT(E655/B655)+(((E655-B655*INT(E655/B655)))/C655)/100))),0,(IF(B655=C655,E655/C655,(INT(E655/B655)+(((E655-B655*INT(E655/B655)))/C655)/100))))</f>
        <v>0</v>
      </c>
      <c r="AQ655" s="57">
        <f>IF(ISERROR(IF(B655=C655,F655/C655,IF((INT(F655/B655)+(((F655-B655*INT(F655/B655)))/C655)/100)&lt;0,(INT(F655/B655)+(((F655-B655*INT(F655/B655)))/C655)/100)+(1-(B655/C655/100)),(INT(F655/B655)+(((F655-B655*INT(F655/B655)))/C655)/100)))),0,IF(B655=C655,F655/C655,IF((INT(F655/B655)+(((F655-B655*INT(F655/B655)))/C655)/100)&lt;0,(INT(F655/B655)+(((F655-B655*INT(F655/B655)))/C655)/100)+(1-(B655/C655/100)),(INT(F655/B655)+(((F655-B655*INT(F655/B655)))/C655)/100))))</f>
        <v>0</v>
      </c>
      <c r="AR655" s="57">
        <f>IF(ISERROR(IF(B655=C655,G655/C655,(INT(G655/B655)+(((G655-B655*INT(G655/B655)))/C655)/100))),0,(IF(B655=C655,G655/C655,(INT(G655/B655)+(((G655-B655*INT(G655/B655)))/C655)/100))))</f>
        <v>0</v>
      </c>
      <c r="AS655" s="57">
        <f>IF(ISERROR(IF(B655=C655,H655/C655,(INT(H655/B655)+(((H655-B655*INT(H655/B655)))/C655)/100))),0,(IF(B655=C655,H655/C655,(INT(H655/B655)+(((H655-B655*INT(H655/B655)))/C655)/100))))</f>
        <v>0</v>
      </c>
      <c r="AT655" s="57">
        <f>IF(ISERROR(IF(B655=C655,I655/C655,(INT(I655/B655)+(((I655-B655*INT(I655/B655)))/C655)/100))),0,(IF(B655=C655,I655/C655,(INT(I655/B655)+(((I655-B655*INT(I655/B655)))/C655)/100))))</f>
        <v>0</v>
      </c>
      <c r="AU655" s="57">
        <f>IF(ISERROR(IF(B655=C655,J655/C655,(INT(J655/B655)+(((J655-B655*INT(J655/B655)))/C655)/100))),0,(IF(B655=C655,J655/C655,(INT(J655/B655)+(((J655-B655*INT(J655/B655)))/C655)/100))))</f>
        <v>0</v>
      </c>
      <c r="AV655" s="57">
        <f>IF(ISERROR(IF(B655=C655,K655/C655,IF((INT(K655/B655)+(((K655-B655*INT(K655/B655)))/C655)/100)&lt;0,(INT(K655/B655)+(((K655-B655*INT(K655/B655)))/C655)/100)+(1-(B655/C655/100)),(INT(K655/B655)+(((K655-B655*INT(K655/B655)))/C655)/100)))),0,IF(B655=C655,K655/C655,IF((INT(K655/B655)+(((K655-B655*INT(K655/B655)))/C655)/100)&lt;0,(INT(K655/B655)+(((K655-B655*INT(K655/B655)))/C655)/100)+(1-(B655/C655/100)),(INT(K655/B655)+(((K655-B655*INT(K655/B655)))/C655)/100))))</f>
        <v>0</v>
      </c>
      <c r="AW655" s="57">
        <f>IF(ISERROR(IF(B655=C655,L655/C655,(INT(L655/B655)+(((L655-B655*INT(L655/B655)))/C655)/100))),0,(IF(B655=C655,L655/C655,(INT(L655/B655)+(((L655-B655*INT(L655/B655)))/C655)/100))))</f>
        <v>0</v>
      </c>
      <c r="AX655" s="57">
        <f>IF(ISERROR(IF(B655=C655,M655/C655,(INT(M655/B655)+(((M655-B655*INT(M655/B655)))/C655)/100))),0,(IF(B655=C655,M655/C655,(INT(M655/B655)+(((M655-B655*INT(M655/B655)))/C655)/100))))</f>
        <v>0</v>
      </c>
      <c r="AY655" s="57">
        <f>IF(ISERROR(IF(B655=C655,N655/C655,IF((INT(N655/B655)+(((N655-B655*INT(N655/B655)))/C655)/100)&lt;0,(INT(N655/B655)+(((N655-B655*INT(N655/B655)))/C655)/100)+(1-(B655/C655/100)),(INT(N655/B655)+(((N655-B655*INT(N655/B655)))/C655)/100)))),0,IF(B655=C655,N655/C655,IF((INT(N655/B655)+(((N655-B655*INT(N655/B655)))/C655)/100)&lt;0,(INT(N655/B655)+(((N655-B655*INT(N655/B655)))/C655)/100)+(1-(B655/C655/100)),(INT(N655/B655)+(((N655-B655*INT(N655/B655)))/C655)/100))))</f>
        <v>0</v>
      </c>
      <c r="AZ655" s="57">
        <f>IF(ISERROR(IF(B655=C655,O655/C655,(INT(O655/B655)+(((O655-B655*INT(O655/B655)))/C655)/100))),0,(IF(B655=C655,O655/C655,(INT(O655/B655)+(((O655-B655*INT(O655/B655)))/C655)/100))))</f>
        <v>0</v>
      </c>
      <c r="BA655" s="57">
        <f>IF(ISERROR(IF(B655=C655,P655/C655,IF((INT(P655/B655)+(((P655-B655*INT(P655/B655)))/C655)/100)&lt;0,(INT(P655/B655)+(((P655-B655*INT(P655/B655)))/C655)/100)+(1-(B655/C655/100)),(INT(P655/B655)+(((P655-B655*INT(P655/B655)))/C655)/100)))),0,IF(B655=C655,P655/C655,IF((INT(P655/B655)+(((P655-B655*INT(P655/B655)))/C655)/100)&lt;0,(INT(P655/B655)+(((P655-B655*INT(P655/B655)))/C655)/100)+(1-(B655/C655/100)),(INT(P655/B655)+(((P655-B655*INT(P655/B655)))/C655)/100))))</f>
        <v>0</v>
      </c>
      <c r="BB655" s="28">
        <f>R655</f>
        <v>0</v>
      </c>
      <c r="BC655" s="28">
        <f>S655</f>
        <v>0</v>
      </c>
      <c r="BD655" s="28">
        <f>AF655</f>
        <v>0</v>
      </c>
      <c r="BE655" s="28">
        <f>T655</f>
        <v>0</v>
      </c>
      <c r="BG655" s="57">
        <f>IF(ISERROR(IF(B655=C655,V655/C655,(INT(V655/B655)+(((V655-B655*INT(V655/B655)))/C655)/100))),0,(IF(B655=C655,V655/C655,(INT(V655/B655)+(((V655-B655*INT(V655/B655)))/C655)/100))))</f>
        <v>0</v>
      </c>
      <c r="BH655" s="57">
        <f>IF(ISERROR(IF(B655=C655,W655/C655,(INT(W655/B655)+(((W655-B655*INT(W655/B655)))/C655)/100))),0,(IF(B655=C655,W655/C655,(INT(W655/B655)+(((W655-B655*INT(W655/B655)))/C655)/100))))</f>
        <v>0</v>
      </c>
      <c r="BI655" s="57">
        <f>IF(ISERROR(IF(B655=C655,X655/C655,(INT(X655/B655)+(((X655-B655*INT(X655/B655)))/C655)/100))),0,(IF(B655=C655,X655/C655,(INT(X655/B655)+(((X655-B655*INT(X655/B655)))/C655)/100))))</f>
        <v>0</v>
      </c>
      <c r="BJ655" s="57">
        <f>IF(ISERROR(IF(B655=C655,Y655/C655,(INT(Y655/B655)+(((Y655-B655*INT(Y655/B655)))/C655)/100))),0,(IF(B655=C655,Y655/C655,(INT(Y655/B655)+(((Y655-B655*INT(Y655/B655)))/C655)/100))))</f>
        <v>0</v>
      </c>
      <c r="BL655" s="57">
        <f>IF(ISERROR(IF(B655=C655,AA655/C655,(INT(AA655/B655)+(((AA655-B655*INT(AA655/B655)))/C655)/100))),0,(IF(B655=C655,AA655/C655,(INT(AA655/B655)+(((AA655-B655*INT(AA655/B655)))/C655)/100))))</f>
        <v>0</v>
      </c>
      <c r="BM655" s="57">
        <f>IF(ISERROR(IF(B655=C655,AB655/C655,(INT(AB655/B655)+(((AB655-B655*INT(AB655/B655)))/C655)/100))),0,(IF(B655=C655,AB655/C655,(INT(AB655/B655)+(((AB655-B655*INT(AB655/B655)))/C655)/100))))</f>
        <v>0</v>
      </c>
      <c r="BN655" s="57">
        <f>IF(ISERROR(IF(B655=C655,AC655/C655,(INT(AC655/B655)+(((AC655-B655*INT(AC655/B655)))/C655)/100))),0,(IF(B655=C655,AC655/C655,(INT(AC655/B655)+(((AC655-B655*INT(AC655/B655)))/C655)/100))))</f>
        <v>0</v>
      </c>
      <c r="BO655" s="57">
        <f>IF(ISERROR(IF(B655=C655,AD655/C655,(INT(AD655/B655)+(((AD655-B655*INT(AD655/B655)))/C655)/100))),0,(IF(B655=C655,AD655/C655,(INT(AD655/B655)+(((AD655-B655*INT(AD655/B655)))/C655)/100))))</f>
        <v>0</v>
      </c>
      <c r="BQ655" s="155"/>
    </row>
    <row r="656" spans="1:69" hidden="1" x14ac:dyDescent="0.35">
      <c r="A656" s="94"/>
      <c r="B656" s="113">
        <v>0</v>
      </c>
      <c r="C656" s="113">
        <v>250</v>
      </c>
      <c r="D656" s="28">
        <f>SUM(AA656:AD656)</f>
        <v>0</v>
      </c>
      <c r="E656" s="113">
        <v>0</v>
      </c>
      <c r="F656" s="113">
        <v>0</v>
      </c>
      <c r="G656" s="28">
        <f>SUM(D656:F656)</f>
        <v>0</v>
      </c>
      <c r="H656" s="125">
        <v>0</v>
      </c>
      <c r="I656" s="113">
        <v>0</v>
      </c>
      <c r="J656" s="125">
        <v>0</v>
      </c>
      <c r="K656" s="113">
        <v>0</v>
      </c>
      <c r="L656" s="113">
        <v>0</v>
      </c>
      <c r="M656" s="113">
        <v>0</v>
      </c>
      <c r="N656" s="28">
        <f>G656-SUM(H656:M656)</f>
        <v>0</v>
      </c>
      <c r="O656" s="28">
        <f>SUM(V656:Y656)</f>
        <v>0</v>
      </c>
      <c r="P656" s="28">
        <f>O656-N656</f>
        <v>0</v>
      </c>
      <c r="Q656" s="61" t="str">
        <f>IF(ISERROR(P656/SUM(H656:L656)),"",P656/SUM(H656:L656))</f>
        <v/>
      </c>
      <c r="R656" s="113">
        <v>0</v>
      </c>
      <c r="S656" s="28">
        <f>IF(ISERROR(P656/C656*R656),0,(P656/C656*R656))</f>
        <v>0</v>
      </c>
      <c r="T656" s="60">
        <f>IF(ISERROR(P656/B656*AF656),0,(P656/B656*AF656))</f>
        <v>0</v>
      </c>
      <c r="V656" s="113">
        <v>0</v>
      </c>
      <c r="W656" s="113">
        <v>0</v>
      </c>
      <c r="X656" s="113">
        <v>0</v>
      </c>
      <c r="Y656" s="113">
        <v>0</v>
      </c>
      <c r="AA656" s="113">
        <v>0</v>
      </c>
      <c r="AB656" s="113">
        <v>0</v>
      </c>
      <c r="AC656" s="113">
        <v>0</v>
      </c>
      <c r="AD656" s="113">
        <v>0</v>
      </c>
      <c r="AF656" s="113">
        <v>0</v>
      </c>
      <c r="AG656" s="28">
        <f>G656-O656</f>
        <v>0</v>
      </c>
      <c r="AH656" s="58">
        <f>IF(ISERROR(AG656/B656*AF656),0,(AG656/B656*AF656))</f>
        <v>0</v>
      </c>
      <c r="AI656" s="28">
        <f>SUM(H656:M656)</f>
        <v>0</v>
      </c>
      <c r="AJ656" s="28">
        <f>IF(ISERROR(AI656/B656*AF656),0,(AI656/B656*AF656))</f>
        <v>0</v>
      </c>
      <c r="AK656" s="58">
        <f>IF(ISERROR(O656/B656*AF656),0,(O656/B656*AF656))</f>
        <v>0</v>
      </c>
      <c r="AL656" s="28">
        <f>IF(ISERROR(H656/B656*AF656),0,(H656/B656*AF656))</f>
        <v>0</v>
      </c>
      <c r="AN656" s="51">
        <f>A656</f>
        <v>0</v>
      </c>
      <c r="AO656" s="57">
        <f>IF(ISERROR(IF(B656=C656,D656/C656,(INT(D656/B656)+(((D656-B656*INT(D656/B656)))/C656)/100))),0,(IF(B656=C656,D656/C656,(INT(D656/B656)+(((D656-B656*INT(D656/B656)))/C656)/100))))</f>
        <v>0</v>
      </c>
      <c r="AP656" s="57">
        <f>IF(ISERROR(IF(B656=C656,E656/C656,(INT(E656/B656)+(((E656-B656*INT(E656/B656)))/C656)/100))),0,(IF(B656=C656,E656/C656,(INT(E656/B656)+(((E656-B656*INT(E656/B656)))/C656)/100))))</f>
        <v>0</v>
      </c>
      <c r="AQ656" s="57">
        <f>IF(ISERROR(IF(B656=C656,F656/C656,IF((INT(F656/B656)+(((F656-B656*INT(F656/B656)))/C656)/100)&lt;0,(INT(F656/B656)+(((F656-B656*INT(F656/B656)))/C656)/100)+(1-(B656/C656/100)),(INT(F656/B656)+(((F656-B656*INT(F656/B656)))/C656)/100)))),0,IF(B656=C656,F656/C656,IF((INT(F656/B656)+(((F656-B656*INT(F656/B656)))/C656)/100)&lt;0,(INT(F656/B656)+(((F656-B656*INT(F656/B656)))/C656)/100)+(1-(B656/C656/100)),(INT(F656/B656)+(((F656-B656*INT(F656/B656)))/C656)/100))))</f>
        <v>0</v>
      </c>
      <c r="AR656" s="57">
        <f>IF(ISERROR(IF(B656=C656,G656/C656,(INT(G656/B656)+(((G656-B656*INT(G656/B656)))/C656)/100))),0,(IF(B656=C656,G656/C656,(INT(G656/B656)+(((G656-B656*INT(G656/B656)))/C656)/100))))</f>
        <v>0</v>
      </c>
      <c r="AS656" s="57">
        <f>IF(ISERROR(IF(B656=C656,H656/C656,(INT(H656/B656)+(((H656-B656*INT(H656/B656)))/C656)/100))),0,(IF(B656=C656,H656/C656,(INT(H656/B656)+(((H656-B656*INT(H656/B656)))/C656)/100))))</f>
        <v>0</v>
      </c>
      <c r="AT656" s="57">
        <f>IF(ISERROR(IF(B656=C656,I656/C656,(INT(I656/B656)+(((I656-B656*INT(I656/B656)))/C656)/100))),0,(IF(B656=C656,I656/C656,(INT(I656/B656)+(((I656-B656*INT(I656/B656)))/C656)/100))))</f>
        <v>0</v>
      </c>
      <c r="AU656" s="57">
        <f>IF(ISERROR(IF(B656=C656,J656/C656,(INT(J656/B656)+(((J656-B656*INT(J656/B656)))/C656)/100))),0,(IF(B656=C656,J656/C656,(INT(J656/B656)+(((J656-B656*INT(J656/B656)))/C656)/100))))</f>
        <v>0</v>
      </c>
      <c r="AV656" s="57">
        <f>IF(ISERROR(IF(B656=C656,K656/C656,IF((INT(K656/B656)+(((K656-B656*INT(K656/B656)))/C656)/100)&lt;0,(INT(K656/B656)+(((K656-B656*INT(K656/B656)))/C656)/100)+(1-(B656/C656/100)),(INT(K656/B656)+(((K656-B656*INT(K656/B656)))/C656)/100)))),0,IF(B656=C656,K656/C656,IF((INT(K656/B656)+(((K656-B656*INT(K656/B656)))/C656)/100)&lt;0,(INT(K656/B656)+(((K656-B656*INT(K656/B656)))/C656)/100)+(1-(B656/C656/100)),(INT(K656/B656)+(((K656-B656*INT(K656/B656)))/C656)/100))))</f>
        <v>0</v>
      </c>
      <c r="AW656" s="57">
        <f>IF(ISERROR(IF(B656=C656,L656/C656,(INT(L656/B656)+(((L656-B656*INT(L656/B656)))/C656)/100))),0,(IF(B656=C656,L656/C656,(INT(L656/B656)+(((L656-B656*INT(L656/B656)))/C656)/100))))</f>
        <v>0</v>
      </c>
      <c r="AX656" s="57">
        <f>IF(ISERROR(IF(B656=C656,M656/C656,(INT(M656/B656)+(((M656-B656*INT(M656/B656)))/C656)/100))),0,(IF(B656=C656,M656/C656,(INT(M656/B656)+(((M656-B656*INT(M656/B656)))/C656)/100))))</f>
        <v>0</v>
      </c>
      <c r="AY656" s="57">
        <f>IF(ISERROR(IF(B656=C656,N656/C656,IF((INT(N656/B656)+(((N656-B656*INT(N656/B656)))/C656)/100)&lt;0,(INT(N656/B656)+(((N656-B656*INT(N656/B656)))/C656)/100)+(1-(B656/C656/100)),(INT(N656/B656)+(((N656-B656*INT(N656/B656)))/C656)/100)))),0,IF(B656=C656,N656/C656,IF((INT(N656/B656)+(((N656-B656*INT(N656/B656)))/C656)/100)&lt;0,(INT(N656/B656)+(((N656-B656*INT(N656/B656)))/C656)/100)+(1-(B656/C656/100)),(INT(N656/B656)+(((N656-B656*INT(N656/B656)))/C656)/100))))</f>
        <v>0</v>
      </c>
      <c r="AZ656" s="57">
        <f>IF(ISERROR(IF(B656=C656,O656/C656,(INT(O656/B656)+(((O656-B656*INT(O656/B656)))/C656)/100))),0,(IF(B656=C656,O656/C656,(INT(O656/B656)+(((O656-B656*INT(O656/B656)))/C656)/100))))</f>
        <v>0</v>
      </c>
      <c r="BA656" s="57">
        <f>IF(ISERROR(IF(B656=C656,P656/C656,IF((INT(P656/B656)+(((P656-B656*INT(P656/B656)))/C656)/100)&lt;0,(INT(P656/B656)+(((P656-B656*INT(P656/B656)))/C656)/100)+(1-(B656/C656/100)),(INT(P656/B656)+(((P656-B656*INT(P656/B656)))/C656)/100)))),0,IF(B656=C656,P656/C656,IF((INT(P656/B656)+(((P656-B656*INT(P656/B656)))/C656)/100)&lt;0,(INT(P656/B656)+(((P656-B656*INT(P656/B656)))/C656)/100)+(1-(B656/C656/100)),(INT(P656/B656)+(((P656-B656*INT(P656/B656)))/C656)/100))))</f>
        <v>0</v>
      </c>
      <c r="BB656" s="28">
        <f>R656</f>
        <v>0</v>
      </c>
      <c r="BC656" s="28">
        <f>S656</f>
        <v>0</v>
      </c>
      <c r="BD656" s="28">
        <f>AF656</f>
        <v>0</v>
      </c>
      <c r="BE656" s="28">
        <f>T656</f>
        <v>0</v>
      </c>
      <c r="BG656" s="57">
        <f>IF(ISERROR(IF(B656=C656,V656/C656,(INT(V656/B656)+(((V656-B656*INT(V656/B656)))/C656)/100))),0,(IF(B656=C656,V656/C656,(INT(V656/B656)+(((V656-B656*INT(V656/B656)))/C656)/100))))</f>
        <v>0</v>
      </c>
      <c r="BH656" s="57">
        <f>IF(ISERROR(IF(B656=C656,W656/C656,(INT(W656/B656)+(((W656-B656*INT(W656/B656)))/C656)/100))),0,(IF(B656=C656,W656/C656,(INT(W656/B656)+(((W656-B656*INT(W656/B656)))/C656)/100))))</f>
        <v>0</v>
      </c>
      <c r="BI656" s="57">
        <f>IF(ISERROR(IF(B656=C656,X656/C656,(INT(X656/B656)+(((X656-B656*INT(X656/B656)))/C656)/100))),0,(IF(B656=C656,X656/C656,(INT(X656/B656)+(((X656-B656*INT(X656/B656)))/C656)/100))))</f>
        <v>0</v>
      </c>
      <c r="BJ656" s="57">
        <f>IF(ISERROR(IF(B656=C656,Y656/C656,(INT(Y656/B656)+(((Y656-B656*INT(Y656/B656)))/C656)/100))),0,(IF(B656=C656,Y656/C656,(INT(Y656/B656)+(((Y656-B656*INT(Y656/B656)))/C656)/100))))</f>
        <v>0</v>
      </c>
      <c r="BL656" s="57">
        <f>IF(ISERROR(IF(B656=C656,AA656/C656,(INT(AA656/B656)+(((AA656-B656*INT(AA656/B656)))/C656)/100))),0,(IF(B656=C656,AA656/C656,(INT(AA656/B656)+(((AA656-B656*INT(AA656/B656)))/C656)/100))))</f>
        <v>0</v>
      </c>
      <c r="BM656" s="57">
        <f>IF(ISERROR(IF(B656=C656,AB656/C656,(INT(AB656/B656)+(((AB656-B656*INT(AB656/B656)))/C656)/100))),0,(IF(B656=C656,AB656/C656,(INT(AB656/B656)+(((AB656-B656*INT(AB656/B656)))/C656)/100))))</f>
        <v>0</v>
      </c>
      <c r="BN656" s="57">
        <f>IF(ISERROR(IF(B656=C656,AC656/C656,(INT(AC656/B656)+(((AC656-B656*INT(AC656/B656)))/C656)/100))),0,(IF(B656=C656,AC656/C656,(INT(AC656/B656)+(((AC656-B656*INT(AC656/B656)))/C656)/100))))</f>
        <v>0</v>
      </c>
      <c r="BO656" s="57">
        <f>IF(ISERROR(IF(B656=C656,AD656/C656,(INT(AD656/B656)+(((AD656-B656*INT(AD656/B656)))/C656)/100))),0,(IF(B656=C656,AD656/C656,(INT(AD656/B656)+(((AD656-B656*INT(AD656/B656)))/C656)/100))))</f>
        <v>0</v>
      </c>
      <c r="BQ656" s="155"/>
    </row>
    <row r="657" spans="1:69" hidden="1" x14ac:dyDescent="0.35">
      <c r="A657" s="94"/>
      <c r="B657" s="113">
        <v>0</v>
      </c>
      <c r="C657" s="113">
        <v>250</v>
      </c>
      <c r="D657" s="28">
        <f>SUM(AA657:AD657)</f>
        <v>0</v>
      </c>
      <c r="E657" s="113">
        <v>0</v>
      </c>
      <c r="F657" s="113">
        <v>0</v>
      </c>
      <c r="G657" s="28">
        <f>SUM(D657:F657)</f>
        <v>0</v>
      </c>
      <c r="H657" s="125">
        <v>0</v>
      </c>
      <c r="I657" s="113">
        <v>0</v>
      </c>
      <c r="J657" s="125">
        <v>0</v>
      </c>
      <c r="K657" s="113">
        <v>0</v>
      </c>
      <c r="L657" s="113">
        <v>0</v>
      </c>
      <c r="M657" s="113">
        <v>0</v>
      </c>
      <c r="N657" s="28">
        <f>G657-SUM(H657:M657)</f>
        <v>0</v>
      </c>
      <c r="O657" s="28">
        <f>SUM(V657:Y657)</f>
        <v>0</v>
      </c>
      <c r="P657" s="28">
        <f>O657-N657</f>
        <v>0</v>
      </c>
      <c r="Q657" s="61" t="str">
        <f>IF(ISERROR(P657/SUM(H657:L657)),"",P657/SUM(H657:L657))</f>
        <v/>
      </c>
      <c r="R657" s="113">
        <v>0</v>
      </c>
      <c r="S657" s="28">
        <f>IF(ISERROR(P657/C657*R657),0,(P657/C657*R657))</f>
        <v>0</v>
      </c>
      <c r="T657" s="60">
        <f>IF(ISERROR(P657/B657*AF657),0,(P657/B657*AF657))</f>
        <v>0</v>
      </c>
      <c r="V657" s="113">
        <v>0</v>
      </c>
      <c r="W657" s="113">
        <v>0</v>
      </c>
      <c r="X657" s="113">
        <v>0</v>
      </c>
      <c r="Y657" s="113">
        <v>0</v>
      </c>
      <c r="AA657" s="113">
        <v>0</v>
      </c>
      <c r="AB657" s="113">
        <v>0</v>
      </c>
      <c r="AC657" s="113">
        <v>0</v>
      </c>
      <c r="AD657" s="113">
        <v>0</v>
      </c>
      <c r="AF657" s="113">
        <v>0</v>
      </c>
      <c r="AG657" s="28">
        <f>G657-O657</f>
        <v>0</v>
      </c>
      <c r="AH657" s="58">
        <f>IF(ISERROR(AG657/B657*AF657),0,(AG657/B657*AF657))</f>
        <v>0</v>
      </c>
      <c r="AI657" s="28">
        <f>SUM(H657:M657)</f>
        <v>0</v>
      </c>
      <c r="AJ657" s="28">
        <f>IF(ISERROR(AI657/B657*AF657),0,(AI657/B657*AF657))</f>
        <v>0</v>
      </c>
      <c r="AK657" s="58">
        <f>IF(ISERROR(O657/B657*AF657),0,(O657/B657*AF657))</f>
        <v>0</v>
      </c>
      <c r="AL657" s="28">
        <f>IF(ISERROR(H657/B657*AF657),0,(H657/B657*AF657))</f>
        <v>0</v>
      </c>
      <c r="AN657" s="51">
        <f>A657</f>
        <v>0</v>
      </c>
      <c r="AO657" s="57">
        <f>IF(ISERROR(IF(B657=C657,D657/C657,(INT(D657/B657)+(((D657-B657*INT(D657/B657)))/C657)/100))),0,(IF(B657=C657,D657/C657,(INT(D657/B657)+(((D657-B657*INT(D657/B657)))/C657)/100))))</f>
        <v>0</v>
      </c>
      <c r="AP657" s="57">
        <f>IF(ISERROR(IF(B657=C657,E657/C657,(INT(E657/B657)+(((E657-B657*INT(E657/B657)))/C657)/100))),0,(IF(B657=C657,E657/C657,(INT(E657/B657)+(((E657-B657*INT(E657/B657)))/C657)/100))))</f>
        <v>0</v>
      </c>
      <c r="AQ657" s="57">
        <f>IF(ISERROR(IF(B657=C657,F657/C657,IF((INT(F657/B657)+(((F657-B657*INT(F657/B657)))/C657)/100)&lt;0,(INT(F657/B657)+(((F657-B657*INT(F657/B657)))/C657)/100)+(1-(B657/C657/100)),(INT(F657/B657)+(((F657-B657*INT(F657/B657)))/C657)/100)))),0,IF(B657=C657,F657/C657,IF((INT(F657/B657)+(((F657-B657*INT(F657/B657)))/C657)/100)&lt;0,(INT(F657/B657)+(((F657-B657*INT(F657/B657)))/C657)/100)+(1-(B657/C657/100)),(INT(F657/B657)+(((F657-B657*INT(F657/B657)))/C657)/100))))</f>
        <v>0</v>
      </c>
      <c r="AR657" s="57">
        <f>IF(ISERROR(IF(B657=C657,G657/C657,(INT(G657/B657)+(((G657-B657*INT(G657/B657)))/C657)/100))),0,(IF(B657=C657,G657/C657,(INT(G657/B657)+(((G657-B657*INT(G657/B657)))/C657)/100))))</f>
        <v>0</v>
      </c>
      <c r="AS657" s="57">
        <f>IF(ISERROR(IF(B657=C657,H657/C657,(INT(H657/B657)+(((H657-B657*INT(H657/B657)))/C657)/100))),0,(IF(B657=C657,H657/C657,(INT(H657/B657)+(((H657-B657*INT(H657/B657)))/C657)/100))))</f>
        <v>0</v>
      </c>
      <c r="AT657" s="57">
        <f>IF(ISERROR(IF(B657=C657,I657/C657,(INT(I657/B657)+(((I657-B657*INT(I657/B657)))/C657)/100))),0,(IF(B657=C657,I657/C657,(INT(I657/B657)+(((I657-B657*INT(I657/B657)))/C657)/100))))</f>
        <v>0</v>
      </c>
      <c r="AU657" s="57">
        <f>IF(ISERROR(IF(B657=C657,J657/C657,(INT(J657/B657)+(((J657-B657*INT(J657/B657)))/C657)/100))),0,(IF(B657=C657,J657/C657,(INT(J657/B657)+(((J657-B657*INT(J657/B657)))/C657)/100))))</f>
        <v>0</v>
      </c>
      <c r="AV657" s="57">
        <f>IF(ISERROR(IF(B657=C657,K657/C657,IF((INT(K657/B657)+(((K657-B657*INT(K657/B657)))/C657)/100)&lt;0,(INT(K657/B657)+(((K657-B657*INT(K657/B657)))/C657)/100)+(1-(B657/C657/100)),(INT(K657/B657)+(((K657-B657*INT(K657/B657)))/C657)/100)))),0,IF(B657=C657,K657/C657,IF((INT(K657/B657)+(((K657-B657*INT(K657/B657)))/C657)/100)&lt;0,(INT(K657/B657)+(((K657-B657*INT(K657/B657)))/C657)/100)+(1-(B657/C657/100)),(INT(K657/B657)+(((K657-B657*INT(K657/B657)))/C657)/100))))</f>
        <v>0</v>
      </c>
      <c r="AW657" s="57">
        <f>IF(ISERROR(IF(B657=C657,L657/C657,(INT(L657/B657)+(((L657-B657*INT(L657/B657)))/C657)/100))),0,(IF(B657=C657,L657/C657,(INT(L657/B657)+(((L657-B657*INT(L657/B657)))/C657)/100))))</f>
        <v>0</v>
      </c>
      <c r="AX657" s="57">
        <f>IF(ISERROR(IF(B657=C657,M657/C657,(INT(M657/B657)+(((M657-B657*INT(M657/B657)))/C657)/100))),0,(IF(B657=C657,M657/C657,(INT(M657/B657)+(((M657-B657*INT(M657/B657)))/C657)/100))))</f>
        <v>0</v>
      </c>
      <c r="AY657" s="57">
        <f>IF(ISERROR(IF(B657=C657,N657/C657,IF((INT(N657/B657)+(((N657-B657*INT(N657/B657)))/C657)/100)&lt;0,(INT(N657/B657)+(((N657-B657*INT(N657/B657)))/C657)/100)+(1-(B657/C657/100)),(INT(N657/B657)+(((N657-B657*INT(N657/B657)))/C657)/100)))),0,IF(B657=C657,N657/C657,IF((INT(N657/B657)+(((N657-B657*INT(N657/B657)))/C657)/100)&lt;0,(INT(N657/B657)+(((N657-B657*INT(N657/B657)))/C657)/100)+(1-(B657/C657/100)),(INT(N657/B657)+(((N657-B657*INT(N657/B657)))/C657)/100))))</f>
        <v>0</v>
      </c>
      <c r="AZ657" s="57">
        <f>IF(ISERROR(IF(B657=C657,O657/C657,(INT(O657/B657)+(((O657-B657*INT(O657/B657)))/C657)/100))),0,(IF(B657=C657,O657/C657,(INT(O657/B657)+(((O657-B657*INT(O657/B657)))/C657)/100))))</f>
        <v>0</v>
      </c>
      <c r="BA657" s="57">
        <f>IF(ISERROR(IF(B657=C657,P657/C657,IF((INT(P657/B657)+(((P657-B657*INT(P657/B657)))/C657)/100)&lt;0,(INT(P657/B657)+(((P657-B657*INT(P657/B657)))/C657)/100)+(1-(B657/C657/100)),(INT(P657/B657)+(((P657-B657*INT(P657/B657)))/C657)/100)))),0,IF(B657=C657,P657/C657,IF((INT(P657/B657)+(((P657-B657*INT(P657/B657)))/C657)/100)&lt;0,(INT(P657/B657)+(((P657-B657*INT(P657/B657)))/C657)/100)+(1-(B657/C657/100)),(INT(P657/B657)+(((P657-B657*INT(P657/B657)))/C657)/100))))</f>
        <v>0</v>
      </c>
      <c r="BB657" s="28">
        <f>R657</f>
        <v>0</v>
      </c>
      <c r="BC657" s="28">
        <f>S657</f>
        <v>0</v>
      </c>
      <c r="BD657" s="28">
        <f>AF657</f>
        <v>0</v>
      </c>
      <c r="BE657" s="28">
        <f>T657</f>
        <v>0</v>
      </c>
      <c r="BG657" s="57">
        <f>IF(ISERROR(IF(B657=C657,V657/C657,(INT(V657/B657)+(((V657-B657*INT(V657/B657)))/C657)/100))),0,(IF(B657=C657,V657/C657,(INT(V657/B657)+(((V657-B657*INT(V657/B657)))/C657)/100))))</f>
        <v>0</v>
      </c>
      <c r="BH657" s="57">
        <f>IF(ISERROR(IF(B657=C657,W657/C657,(INT(W657/B657)+(((W657-B657*INT(W657/B657)))/C657)/100))),0,(IF(B657=C657,W657/C657,(INT(W657/B657)+(((W657-B657*INT(W657/B657)))/C657)/100))))</f>
        <v>0</v>
      </c>
      <c r="BI657" s="57">
        <f>IF(ISERROR(IF(B657=C657,X657/C657,(INT(X657/B657)+(((X657-B657*INT(X657/B657)))/C657)/100))),0,(IF(B657=C657,X657/C657,(INT(X657/B657)+(((X657-B657*INT(X657/B657)))/C657)/100))))</f>
        <v>0</v>
      </c>
      <c r="BJ657" s="57">
        <f>IF(ISERROR(IF(B657=C657,Y657/C657,(INT(Y657/B657)+(((Y657-B657*INT(Y657/B657)))/C657)/100))),0,(IF(B657=C657,Y657/C657,(INT(Y657/B657)+(((Y657-B657*INT(Y657/B657)))/C657)/100))))</f>
        <v>0</v>
      </c>
      <c r="BL657" s="57">
        <f>IF(ISERROR(IF(B657=C657,AA657/C657,(INT(AA657/B657)+(((AA657-B657*INT(AA657/B657)))/C657)/100))),0,(IF(B657=C657,AA657/C657,(INT(AA657/B657)+(((AA657-B657*INT(AA657/B657)))/C657)/100))))</f>
        <v>0</v>
      </c>
      <c r="BM657" s="57">
        <f>IF(ISERROR(IF(B657=C657,AB657/C657,(INT(AB657/B657)+(((AB657-B657*INT(AB657/B657)))/C657)/100))),0,(IF(B657=C657,AB657/C657,(INT(AB657/B657)+(((AB657-B657*INT(AB657/B657)))/C657)/100))))</f>
        <v>0</v>
      </c>
      <c r="BN657" s="57">
        <f>IF(ISERROR(IF(B657=C657,AC657/C657,(INT(AC657/B657)+(((AC657-B657*INT(AC657/B657)))/C657)/100))),0,(IF(B657=C657,AC657/C657,(INT(AC657/B657)+(((AC657-B657*INT(AC657/B657)))/C657)/100))))</f>
        <v>0</v>
      </c>
      <c r="BO657" s="57">
        <f>IF(ISERROR(IF(B657=C657,AD657/C657,(INT(AD657/B657)+(((AD657-B657*INT(AD657/B657)))/C657)/100))),0,(IF(B657=C657,AD657/C657,(INT(AD657/B657)+(((AD657-B657*INT(AD657/B657)))/C657)/100))))</f>
        <v>0</v>
      </c>
      <c r="BQ657" s="155"/>
    </row>
    <row r="658" spans="1:69" hidden="1" x14ac:dyDescent="0.35">
      <c r="A658" s="94"/>
      <c r="B658" s="113">
        <v>0</v>
      </c>
      <c r="C658" s="113">
        <v>250</v>
      </c>
      <c r="D658" s="28">
        <f>SUM(AA658:AD658)</f>
        <v>0</v>
      </c>
      <c r="E658" s="113">
        <v>0</v>
      </c>
      <c r="F658" s="113">
        <v>0</v>
      </c>
      <c r="G658" s="28">
        <f>SUM(D658:F658)</f>
        <v>0</v>
      </c>
      <c r="H658" s="125">
        <v>0</v>
      </c>
      <c r="I658" s="113">
        <v>0</v>
      </c>
      <c r="J658" s="125">
        <v>0</v>
      </c>
      <c r="K658" s="113">
        <v>0</v>
      </c>
      <c r="L658" s="113">
        <v>0</v>
      </c>
      <c r="M658" s="113">
        <v>0</v>
      </c>
      <c r="N658" s="28">
        <f>G658-SUM(H658:M658)</f>
        <v>0</v>
      </c>
      <c r="O658" s="28">
        <f>SUM(V658:Y658)</f>
        <v>0</v>
      </c>
      <c r="P658" s="28">
        <f>O658-N658</f>
        <v>0</v>
      </c>
      <c r="Q658" s="61" t="str">
        <f>IF(ISERROR(P658/SUM(H658:L658)),"",P658/SUM(H658:L658))</f>
        <v/>
      </c>
      <c r="R658" s="113">
        <v>0</v>
      </c>
      <c r="S658" s="28">
        <f>IF(ISERROR(P658/C658*R658),0,(P658/C658*R658))</f>
        <v>0</v>
      </c>
      <c r="T658" s="60">
        <f>IF(ISERROR(P658/B658*AF658),0,(P658/B658*AF658))</f>
        <v>0</v>
      </c>
      <c r="V658" s="113">
        <v>0</v>
      </c>
      <c r="W658" s="113">
        <v>0</v>
      </c>
      <c r="X658" s="113">
        <v>0</v>
      </c>
      <c r="Y658" s="113">
        <v>0</v>
      </c>
      <c r="AA658" s="113">
        <v>0</v>
      </c>
      <c r="AB658" s="113">
        <v>0</v>
      </c>
      <c r="AC658" s="113">
        <v>0</v>
      </c>
      <c r="AD658" s="113">
        <v>0</v>
      </c>
      <c r="AF658" s="113">
        <v>0</v>
      </c>
      <c r="AG658" s="28">
        <f>G658-O658</f>
        <v>0</v>
      </c>
      <c r="AH658" s="58">
        <f>IF(ISERROR(AG658/B658*AF658),0,(AG658/B658*AF658))</f>
        <v>0</v>
      </c>
      <c r="AI658" s="28">
        <f>SUM(H658:M658)</f>
        <v>0</v>
      </c>
      <c r="AJ658" s="28">
        <f>IF(ISERROR(AI658/B658*AF658),0,(AI658/B658*AF658))</f>
        <v>0</v>
      </c>
      <c r="AK658" s="58">
        <f>IF(ISERROR(O658/B658*AF658),0,(O658/B658*AF658))</f>
        <v>0</v>
      </c>
      <c r="AL658" s="28">
        <f>IF(ISERROR(H658/B658*AF658),0,(H658/B658*AF658))</f>
        <v>0</v>
      </c>
      <c r="AN658" s="51">
        <f>A658</f>
        <v>0</v>
      </c>
      <c r="AO658" s="57">
        <f>IF(ISERROR(IF(B658=C658,D658/C658,(INT(D658/B658)+(((D658-B658*INT(D658/B658)))/C658)/100))),0,(IF(B658=C658,D658/C658,(INT(D658/B658)+(((D658-B658*INT(D658/B658)))/C658)/100))))</f>
        <v>0</v>
      </c>
      <c r="AP658" s="57">
        <f>IF(ISERROR(IF(B658=C658,E658/C658,(INT(E658/B658)+(((E658-B658*INT(E658/B658)))/C658)/100))),0,(IF(B658=C658,E658/C658,(INT(E658/B658)+(((E658-B658*INT(E658/B658)))/C658)/100))))</f>
        <v>0</v>
      </c>
      <c r="AQ658" s="57">
        <f>IF(ISERROR(IF(B658=C658,F658/C658,IF((INT(F658/B658)+(((F658-B658*INT(F658/B658)))/C658)/100)&lt;0,(INT(F658/B658)+(((F658-B658*INT(F658/B658)))/C658)/100)+(1-(B658/C658/100)),(INT(F658/B658)+(((F658-B658*INT(F658/B658)))/C658)/100)))),0,IF(B658=C658,F658/C658,IF((INT(F658/B658)+(((F658-B658*INT(F658/B658)))/C658)/100)&lt;0,(INT(F658/B658)+(((F658-B658*INT(F658/B658)))/C658)/100)+(1-(B658/C658/100)),(INT(F658/B658)+(((F658-B658*INT(F658/B658)))/C658)/100))))</f>
        <v>0</v>
      </c>
      <c r="AR658" s="57">
        <f>IF(ISERROR(IF(B658=C658,G658/C658,(INT(G658/B658)+(((G658-B658*INT(G658/B658)))/C658)/100))),0,(IF(B658=C658,G658/C658,(INT(G658/B658)+(((G658-B658*INT(G658/B658)))/C658)/100))))</f>
        <v>0</v>
      </c>
      <c r="AS658" s="57">
        <f>IF(ISERROR(IF(B658=C658,H658/C658,(INT(H658/B658)+(((H658-B658*INT(H658/B658)))/C658)/100))),0,(IF(B658=C658,H658/C658,(INT(H658/B658)+(((H658-B658*INT(H658/B658)))/C658)/100))))</f>
        <v>0</v>
      </c>
      <c r="AT658" s="57">
        <f>IF(ISERROR(IF(B658=C658,I658/C658,(INT(I658/B658)+(((I658-B658*INT(I658/B658)))/C658)/100))),0,(IF(B658=C658,I658/C658,(INT(I658/B658)+(((I658-B658*INT(I658/B658)))/C658)/100))))</f>
        <v>0</v>
      </c>
      <c r="AU658" s="57">
        <f>IF(ISERROR(IF(B658=C658,J658/C658,(INT(J658/B658)+(((J658-B658*INT(J658/B658)))/C658)/100))),0,(IF(B658=C658,J658/C658,(INT(J658/B658)+(((J658-B658*INT(J658/B658)))/C658)/100))))</f>
        <v>0</v>
      </c>
      <c r="AV658" s="57">
        <f>IF(ISERROR(IF(B658=C658,K658/C658,IF((INT(K658/B658)+(((K658-B658*INT(K658/B658)))/C658)/100)&lt;0,(INT(K658/B658)+(((K658-B658*INT(K658/B658)))/C658)/100)+(1-(B658/C658/100)),(INT(K658/B658)+(((K658-B658*INT(K658/B658)))/C658)/100)))),0,IF(B658=C658,K658/C658,IF((INT(K658/B658)+(((K658-B658*INT(K658/B658)))/C658)/100)&lt;0,(INT(K658/B658)+(((K658-B658*INT(K658/B658)))/C658)/100)+(1-(B658/C658/100)),(INT(K658/B658)+(((K658-B658*INT(K658/B658)))/C658)/100))))</f>
        <v>0</v>
      </c>
      <c r="AW658" s="57">
        <f>IF(ISERROR(IF(B658=C658,L658/C658,(INT(L658/B658)+(((L658-B658*INT(L658/B658)))/C658)/100))),0,(IF(B658=C658,L658/C658,(INT(L658/B658)+(((L658-B658*INT(L658/B658)))/C658)/100))))</f>
        <v>0</v>
      </c>
      <c r="AX658" s="57">
        <f>IF(ISERROR(IF(B658=C658,M658/C658,(INT(M658/B658)+(((M658-B658*INT(M658/B658)))/C658)/100))),0,(IF(B658=C658,M658/C658,(INT(M658/B658)+(((M658-B658*INT(M658/B658)))/C658)/100))))</f>
        <v>0</v>
      </c>
      <c r="AY658" s="57">
        <f>IF(ISERROR(IF(B658=C658,N658/C658,IF((INT(N658/B658)+(((N658-B658*INT(N658/B658)))/C658)/100)&lt;0,(INT(N658/B658)+(((N658-B658*INT(N658/B658)))/C658)/100)+(1-(B658/C658/100)),(INT(N658/B658)+(((N658-B658*INT(N658/B658)))/C658)/100)))),0,IF(B658=C658,N658/C658,IF((INT(N658/B658)+(((N658-B658*INT(N658/B658)))/C658)/100)&lt;0,(INT(N658/B658)+(((N658-B658*INT(N658/B658)))/C658)/100)+(1-(B658/C658/100)),(INT(N658/B658)+(((N658-B658*INT(N658/B658)))/C658)/100))))</f>
        <v>0</v>
      </c>
      <c r="AZ658" s="57">
        <f>IF(ISERROR(IF(B658=C658,O658/C658,(INT(O658/B658)+(((O658-B658*INT(O658/B658)))/C658)/100))),0,(IF(B658=C658,O658/C658,(INT(O658/B658)+(((O658-B658*INT(O658/B658)))/C658)/100))))</f>
        <v>0</v>
      </c>
      <c r="BA658" s="57">
        <f>IF(ISERROR(IF(B658=C658,P658/C658,IF((INT(P658/B658)+(((P658-B658*INT(P658/B658)))/C658)/100)&lt;0,(INT(P658/B658)+(((P658-B658*INT(P658/B658)))/C658)/100)+(1-(B658/C658/100)),(INT(P658/B658)+(((P658-B658*INT(P658/B658)))/C658)/100)))),0,IF(B658=C658,P658/C658,IF((INT(P658/B658)+(((P658-B658*INT(P658/B658)))/C658)/100)&lt;0,(INT(P658/B658)+(((P658-B658*INT(P658/B658)))/C658)/100)+(1-(B658/C658/100)),(INT(P658/B658)+(((P658-B658*INT(P658/B658)))/C658)/100))))</f>
        <v>0</v>
      </c>
      <c r="BB658" s="28">
        <f>R658</f>
        <v>0</v>
      </c>
      <c r="BC658" s="28">
        <f>S658</f>
        <v>0</v>
      </c>
      <c r="BD658" s="28">
        <f>AF658</f>
        <v>0</v>
      </c>
      <c r="BE658" s="28">
        <f>T658</f>
        <v>0</v>
      </c>
      <c r="BG658" s="57">
        <f>IF(ISERROR(IF(B658=C658,V658/C658,(INT(V658/B658)+(((V658-B658*INT(V658/B658)))/C658)/100))),0,(IF(B658=C658,V658/C658,(INT(V658/B658)+(((V658-B658*INT(V658/B658)))/C658)/100))))</f>
        <v>0</v>
      </c>
      <c r="BH658" s="57">
        <f>IF(ISERROR(IF(B658=C658,W658/C658,(INT(W658/B658)+(((W658-B658*INT(W658/B658)))/C658)/100))),0,(IF(B658=C658,W658/C658,(INT(W658/B658)+(((W658-B658*INT(W658/B658)))/C658)/100))))</f>
        <v>0</v>
      </c>
      <c r="BI658" s="57">
        <f>IF(ISERROR(IF(B658=C658,X658/C658,(INT(X658/B658)+(((X658-B658*INT(X658/B658)))/C658)/100))),0,(IF(B658=C658,X658/C658,(INT(X658/B658)+(((X658-B658*INT(X658/B658)))/C658)/100))))</f>
        <v>0</v>
      </c>
      <c r="BJ658" s="57">
        <f>IF(ISERROR(IF(B658=C658,Y658/C658,(INT(Y658/B658)+(((Y658-B658*INT(Y658/B658)))/C658)/100))),0,(IF(B658=C658,Y658/C658,(INT(Y658/B658)+(((Y658-B658*INT(Y658/B658)))/C658)/100))))</f>
        <v>0</v>
      </c>
      <c r="BL658" s="57">
        <f>IF(ISERROR(IF(B658=C658,AA658/C658,(INT(AA658/B658)+(((AA658-B658*INT(AA658/B658)))/C658)/100))),0,(IF(B658=C658,AA658/C658,(INT(AA658/B658)+(((AA658-B658*INT(AA658/B658)))/C658)/100))))</f>
        <v>0</v>
      </c>
      <c r="BM658" s="57">
        <f>IF(ISERROR(IF(B658=C658,AB658/C658,(INT(AB658/B658)+(((AB658-B658*INT(AB658/B658)))/C658)/100))),0,(IF(B658=C658,AB658/C658,(INT(AB658/B658)+(((AB658-B658*INT(AB658/B658)))/C658)/100))))</f>
        <v>0</v>
      </c>
      <c r="BN658" s="57">
        <f>IF(ISERROR(IF(B658=C658,AC658/C658,(INT(AC658/B658)+(((AC658-B658*INT(AC658/B658)))/C658)/100))),0,(IF(B658=C658,AC658/C658,(INT(AC658/B658)+(((AC658-B658*INT(AC658/B658)))/C658)/100))))</f>
        <v>0</v>
      </c>
      <c r="BO658" s="57">
        <f>IF(ISERROR(IF(B658=C658,AD658/C658,(INT(AD658/B658)+(((AD658-B658*INT(AD658/B658)))/C658)/100))),0,(IF(B658=C658,AD658/C658,(INT(AD658/B658)+(((AD658-B658*INT(AD658/B658)))/C658)/100))))</f>
        <v>0</v>
      </c>
      <c r="BQ658" s="155"/>
    </row>
    <row r="659" spans="1:69" hidden="1" x14ac:dyDescent="0.35">
      <c r="A659" s="94"/>
      <c r="B659" s="113">
        <v>0</v>
      </c>
      <c r="C659" s="113">
        <v>250</v>
      </c>
      <c r="D659" s="28">
        <f>SUM(AA659:AD659)</f>
        <v>0</v>
      </c>
      <c r="E659" s="113">
        <v>0</v>
      </c>
      <c r="F659" s="113">
        <v>0</v>
      </c>
      <c r="G659" s="28">
        <f>SUM(D659:F659)</f>
        <v>0</v>
      </c>
      <c r="H659" s="125">
        <v>0</v>
      </c>
      <c r="I659" s="113">
        <v>0</v>
      </c>
      <c r="J659" s="125">
        <v>0</v>
      </c>
      <c r="K659" s="113">
        <v>0</v>
      </c>
      <c r="L659" s="113">
        <v>0</v>
      </c>
      <c r="M659" s="113">
        <v>0</v>
      </c>
      <c r="N659" s="28">
        <f>G659-SUM(H659:M659)</f>
        <v>0</v>
      </c>
      <c r="O659" s="28">
        <f>SUM(V659:Y659)</f>
        <v>0</v>
      </c>
      <c r="P659" s="28">
        <f>O659-N659</f>
        <v>0</v>
      </c>
      <c r="Q659" s="61" t="str">
        <f>IF(ISERROR(P659/SUM(H659:L659)),"",P659/SUM(H659:L659))</f>
        <v/>
      </c>
      <c r="R659" s="113">
        <v>0</v>
      </c>
      <c r="S659" s="28">
        <f>IF(ISERROR(P659/C659*R659),0,(P659/C659*R659))</f>
        <v>0</v>
      </c>
      <c r="T659" s="60">
        <f>IF(ISERROR(P659/B659*AF659),0,(P659/B659*AF659))</f>
        <v>0</v>
      </c>
      <c r="V659" s="113">
        <v>0</v>
      </c>
      <c r="W659" s="113">
        <v>0</v>
      </c>
      <c r="X659" s="113">
        <v>0</v>
      </c>
      <c r="Y659" s="113">
        <v>0</v>
      </c>
      <c r="AA659" s="113">
        <v>0</v>
      </c>
      <c r="AB659" s="113">
        <v>0</v>
      </c>
      <c r="AC659" s="113">
        <v>0</v>
      </c>
      <c r="AD659" s="113">
        <v>0</v>
      </c>
      <c r="AF659" s="113">
        <v>0</v>
      </c>
      <c r="AG659" s="28">
        <f>G659-O659</f>
        <v>0</v>
      </c>
      <c r="AH659" s="58">
        <f>IF(ISERROR(AG659/B659*AF659),0,(AG659/B659*AF659))</f>
        <v>0</v>
      </c>
      <c r="AI659" s="28">
        <f>SUM(H659:M659)</f>
        <v>0</v>
      </c>
      <c r="AJ659" s="28">
        <f>IF(ISERROR(AI659/B659*AF659),0,(AI659/B659*AF659))</f>
        <v>0</v>
      </c>
      <c r="AK659" s="58">
        <f>IF(ISERROR(O659/B659*AF659),0,(O659/B659*AF659))</f>
        <v>0</v>
      </c>
      <c r="AL659" s="28">
        <f>IF(ISERROR(H659/B659*AF659),0,(H659/B659*AF659))</f>
        <v>0</v>
      </c>
      <c r="AN659" s="51">
        <f>A659</f>
        <v>0</v>
      </c>
      <c r="AO659" s="57">
        <f>IF(ISERROR(IF(B659=C659,D659/C659,(INT(D659/B659)+(((D659-B659*INT(D659/B659)))/C659)/100))),0,(IF(B659=C659,D659/C659,(INT(D659/B659)+(((D659-B659*INT(D659/B659)))/C659)/100))))</f>
        <v>0</v>
      </c>
      <c r="AP659" s="57">
        <f>IF(ISERROR(IF(B659=C659,E659/C659,(INT(E659/B659)+(((E659-B659*INT(E659/B659)))/C659)/100))),0,(IF(B659=C659,E659/C659,(INT(E659/B659)+(((E659-B659*INT(E659/B659)))/C659)/100))))</f>
        <v>0</v>
      </c>
      <c r="AQ659" s="57">
        <f>IF(ISERROR(IF(B659=C659,F659/C659,IF((INT(F659/B659)+(((F659-B659*INT(F659/B659)))/C659)/100)&lt;0,(INT(F659/B659)+(((F659-B659*INT(F659/B659)))/C659)/100)+(1-(B659/C659/100)),(INT(F659/B659)+(((F659-B659*INT(F659/B659)))/C659)/100)))),0,IF(B659=C659,F659/C659,IF((INT(F659/B659)+(((F659-B659*INT(F659/B659)))/C659)/100)&lt;0,(INT(F659/B659)+(((F659-B659*INT(F659/B659)))/C659)/100)+(1-(B659/C659/100)),(INT(F659/B659)+(((F659-B659*INT(F659/B659)))/C659)/100))))</f>
        <v>0</v>
      </c>
      <c r="AR659" s="57">
        <f>IF(ISERROR(IF(B659=C659,G659/C659,(INT(G659/B659)+(((G659-B659*INT(G659/B659)))/C659)/100))),0,(IF(B659=C659,G659/C659,(INT(G659/B659)+(((G659-B659*INT(G659/B659)))/C659)/100))))</f>
        <v>0</v>
      </c>
      <c r="AS659" s="57">
        <f>IF(ISERROR(IF(B659=C659,H659/C659,(INT(H659/B659)+(((H659-B659*INT(H659/B659)))/C659)/100))),0,(IF(B659=C659,H659/C659,(INT(H659/B659)+(((H659-B659*INT(H659/B659)))/C659)/100))))</f>
        <v>0</v>
      </c>
      <c r="AT659" s="57">
        <f>IF(ISERROR(IF(B659=C659,I659/C659,(INT(I659/B659)+(((I659-B659*INT(I659/B659)))/C659)/100))),0,(IF(B659=C659,I659/C659,(INT(I659/B659)+(((I659-B659*INT(I659/B659)))/C659)/100))))</f>
        <v>0</v>
      </c>
      <c r="AU659" s="57">
        <f>IF(ISERROR(IF(B659=C659,J659/C659,(INT(J659/B659)+(((J659-B659*INT(J659/B659)))/C659)/100))),0,(IF(B659=C659,J659/C659,(INT(J659/B659)+(((J659-B659*INT(J659/B659)))/C659)/100))))</f>
        <v>0</v>
      </c>
      <c r="AV659" s="57">
        <f>IF(ISERROR(IF(B659=C659,K659/C659,IF((INT(K659/B659)+(((K659-B659*INT(K659/B659)))/C659)/100)&lt;0,(INT(K659/B659)+(((K659-B659*INT(K659/B659)))/C659)/100)+(1-(B659/C659/100)),(INT(K659/B659)+(((K659-B659*INT(K659/B659)))/C659)/100)))),0,IF(B659=C659,K659/C659,IF((INT(K659/B659)+(((K659-B659*INT(K659/B659)))/C659)/100)&lt;0,(INT(K659/B659)+(((K659-B659*INT(K659/B659)))/C659)/100)+(1-(B659/C659/100)),(INT(K659/B659)+(((K659-B659*INT(K659/B659)))/C659)/100))))</f>
        <v>0</v>
      </c>
      <c r="AW659" s="57">
        <f>IF(ISERROR(IF(B659=C659,L659/C659,(INT(L659/B659)+(((L659-B659*INT(L659/B659)))/C659)/100))),0,(IF(B659=C659,L659/C659,(INT(L659/B659)+(((L659-B659*INT(L659/B659)))/C659)/100))))</f>
        <v>0</v>
      </c>
      <c r="AX659" s="57">
        <f>IF(ISERROR(IF(B659=C659,M659/C659,(INT(M659/B659)+(((M659-B659*INT(M659/B659)))/C659)/100))),0,(IF(B659=C659,M659/C659,(INT(M659/B659)+(((M659-B659*INT(M659/B659)))/C659)/100))))</f>
        <v>0</v>
      </c>
      <c r="AY659" s="57">
        <f>IF(ISERROR(IF(B659=C659,N659/C659,IF((INT(N659/B659)+(((N659-B659*INT(N659/B659)))/C659)/100)&lt;0,(INT(N659/B659)+(((N659-B659*INT(N659/B659)))/C659)/100)+(1-(B659/C659/100)),(INT(N659/B659)+(((N659-B659*INT(N659/B659)))/C659)/100)))),0,IF(B659=C659,N659/C659,IF((INT(N659/B659)+(((N659-B659*INT(N659/B659)))/C659)/100)&lt;0,(INT(N659/B659)+(((N659-B659*INT(N659/B659)))/C659)/100)+(1-(B659/C659/100)),(INT(N659/B659)+(((N659-B659*INT(N659/B659)))/C659)/100))))</f>
        <v>0</v>
      </c>
      <c r="AZ659" s="57">
        <f>IF(ISERROR(IF(B659=C659,O659/C659,(INT(O659/B659)+(((O659-B659*INT(O659/B659)))/C659)/100))),0,(IF(B659=C659,O659/C659,(INT(O659/B659)+(((O659-B659*INT(O659/B659)))/C659)/100))))</f>
        <v>0</v>
      </c>
      <c r="BA659" s="57">
        <f>IF(ISERROR(IF(B659=C659,P659/C659,IF((INT(P659/B659)+(((P659-B659*INT(P659/B659)))/C659)/100)&lt;0,(INT(P659/B659)+(((P659-B659*INT(P659/B659)))/C659)/100)+(1-(B659/C659/100)),(INT(P659/B659)+(((P659-B659*INT(P659/B659)))/C659)/100)))),0,IF(B659=C659,P659/C659,IF((INT(P659/B659)+(((P659-B659*INT(P659/B659)))/C659)/100)&lt;0,(INT(P659/B659)+(((P659-B659*INT(P659/B659)))/C659)/100)+(1-(B659/C659/100)),(INT(P659/B659)+(((P659-B659*INT(P659/B659)))/C659)/100))))</f>
        <v>0</v>
      </c>
      <c r="BB659" s="28">
        <f>R659</f>
        <v>0</v>
      </c>
      <c r="BC659" s="28">
        <f>S659</f>
        <v>0</v>
      </c>
      <c r="BD659" s="28">
        <f>AF659</f>
        <v>0</v>
      </c>
      <c r="BE659" s="28">
        <f>T659</f>
        <v>0</v>
      </c>
      <c r="BG659" s="57">
        <f>IF(ISERROR(IF(B659=C659,V659/C659,(INT(V659/B659)+(((V659-B659*INT(V659/B659)))/C659)/100))),0,(IF(B659=C659,V659/C659,(INT(V659/B659)+(((V659-B659*INT(V659/B659)))/C659)/100))))</f>
        <v>0</v>
      </c>
      <c r="BH659" s="57">
        <f>IF(ISERROR(IF(B659=C659,W659/C659,(INT(W659/B659)+(((W659-B659*INT(W659/B659)))/C659)/100))),0,(IF(B659=C659,W659/C659,(INT(W659/B659)+(((W659-B659*INT(W659/B659)))/C659)/100))))</f>
        <v>0</v>
      </c>
      <c r="BI659" s="57">
        <f>IF(ISERROR(IF(B659=C659,X659/C659,(INT(X659/B659)+(((X659-B659*INT(X659/B659)))/C659)/100))),0,(IF(B659=C659,X659/C659,(INT(X659/B659)+(((X659-B659*INT(X659/B659)))/C659)/100))))</f>
        <v>0</v>
      </c>
      <c r="BJ659" s="57">
        <f>IF(ISERROR(IF(B659=C659,Y659/C659,(INT(Y659/B659)+(((Y659-B659*INT(Y659/B659)))/C659)/100))),0,(IF(B659=C659,Y659/C659,(INT(Y659/B659)+(((Y659-B659*INT(Y659/B659)))/C659)/100))))</f>
        <v>0</v>
      </c>
      <c r="BL659" s="57">
        <f>IF(ISERROR(IF(B659=C659,AA659/C659,(INT(AA659/B659)+(((AA659-B659*INT(AA659/B659)))/C659)/100))),0,(IF(B659=C659,AA659/C659,(INT(AA659/B659)+(((AA659-B659*INT(AA659/B659)))/C659)/100))))</f>
        <v>0</v>
      </c>
      <c r="BM659" s="57">
        <f>IF(ISERROR(IF(B659=C659,AB659/C659,(INT(AB659/B659)+(((AB659-B659*INT(AB659/B659)))/C659)/100))),0,(IF(B659=C659,AB659/C659,(INT(AB659/B659)+(((AB659-B659*INT(AB659/B659)))/C659)/100))))</f>
        <v>0</v>
      </c>
      <c r="BN659" s="57">
        <f>IF(ISERROR(IF(B659=C659,AC659/C659,(INT(AC659/B659)+(((AC659-B659*INT(AC659/B659)))/C659)/100))),0,(IF(B659=C659,AC659/C659,(INT(AC659/B659)+(((AC659-B659*INT(AC659/B659)))/C659)/100))))</f>
        <v>0</v>
      </c>
      <c r="BO659" s="57">
        <f>IF(ISERROR(IF(B659=C659,AD659/C659,(INT(AD659/B659)+(((AD659-B659*INT(AD659/B659)))/C659)/100))),0,(IF(B659=C659,AD659/C659,(INT(AD659/B659)+(((AD659-B659*INT(AD659/B659)))/C659)/100))))</f>
        <v>0</v>
      </c>
      <c r="BQ659" s="155"/>
    </row>
    <row r="660" spans="1:69" hidden="1" x14ac:dyDescent="0.35">
      <c r="A660" s="94"/>
      <c r="B660" s="113">
        <v>0</v>
      </c>
      <c r="C660" s="113">
        <v>250</v>
      </c>
      <c r="D660" s="28">
        <f>SUM(AA660:AD660)</f>
        <v>0</v>
      </c>
      <c r="E660" s="113">
        <v>0</v>
      </c>
      <c r="F660" s="113">
        <v>0</v>
      </c>
      <c r="G660" s="28">
        <f>SUM(D660:F660)</f>
        <v>0</v>
      </c>
      <c r="H660" s="125">
        <v>0</v>
      </c>
      <c r="I660" s="113">
        <v>0</v>
      </c>
      <c r="J660" s="125">
        <v>0</v>
      </c>
      <c r="K660" s="113">
        <v>0</v>
      </c>
      <c r="L660" s="113">
        <v>0</v>
      </c>
      <c r="M660" s="113">
        <v>0</v>
      </c>
      <c r="N660" s="28">
        <f>G660-SUM(H660:M660)</f>
        <v>0</v>
      </c>
      <c r="O660" s="28">
        <f>SUM(V660:Y660)</f>
        <v>0</v>
      </c>
      <c r="P660" s="28">
        <f>O660-N660</f>
        <v>0</v>
      </c>
      <c r="Q660" s="61" t="str">
        <f>IF(ISERROR(P660/SUM(H660:L660)),"",P660/SUM(H660:L660))</f>
        <v/>
      </c>
      <c r="R660" s="113">
        <v>0</v>
      </c>
      <c r="S660" s="28">
        <f>IF(ISERROR(P660/C660*R660),0,(P660/C660*R660))</f>
        <v>0</v>
      </c>
      <c r="T660" s="60">
        <f>IF(ISERROR(P660/B660*AF660),0,(P660/B660*AF660))</f>
        <v>0</v>
      </c>
      <c r="V660" s="113">
        <v>0</v>
      </c>
      <c r="W660" s="113">
        <v>0</v>
      </c>
      <c r="X660" s="113">
        <v>0</v>
      </c>
      <c r="Y660" s="113">
        <v>0</v>
      </c>
      <c r="AA660" s="113">
        <v>0</v>
      </c>
      <c r="AB660" s="113">
        <v>0</v>
      </c>
      <c r="AC660" s="113">
        <v>0</v>
      </c>
      <c r="AD660" s="113">
        <v>0</v>
      </c>
      <c r="AF660" s="113">
        <v>0</v>
      </c>
      <c r="AG660" s="28">
        <f>G660-O660</f>
        <v>0</v>
      </c>
      <c r="AH660" s="58">
        <f>IF(ISERROR(AG660/B660*AF660),0,(AG660/B660*AF660))</f>
        <v>0</v>
      </c>
      <c r="AI660" s="28">
        <f>SUM(H660:M660)</f>
        <v>0</v>
      </c>
      <c r="AJ660" s="28">
        <f>IF(ISERROR(AI660/B660*AF660),0,(AI660/B660*AF660))</f>
        <v>0</v>
      </c>
      <c r="AK660" s="58">
        <f>IF(ISERROR(O660/B660*AF660),0,(O660/B660*AF660))</f>
        <v>0</v>
      </c>
      <c r="AL660" s="28">
        <f>IF(ISERROR(H660/B660*AF660),0,(H660/B660*AF660))</f>
        <v>0</v>
      </c>
      <c r="AN660" s="51">
        <f>A660</f>
        <v>0</v>
      </c>
      <c r="AO660" s="57">
        <f>IF(ISERROR(IF(B660=C660,D660/C660,(INT(D660/B660)+(((D660-B660*INT(D660/B660)))/C660)/100))),0,(IF(B660=C660,D660/C660,(INT(D660/B660)+(((D660-B660*INT(D660/B660)))/C660)/100))))</f>
        <v>0</v>
      </c>
      <c r="AP660" s="57">
        <f>IF(ISERROR(IF(B660=C660,E660/C660,(INT(E660/B660)+(((E660-B660*INT(E660/B660)))/C660)/100))),0,(IF(B660=C660,E660/C660,(INT(E660/B660)+(((E660-B660*INT(E660/B660)))/C660)/100))))</f>
        <v>0</v>
      </c>
      <c r="AQ660" s="57">
        <f>IF(ISERROR(IF(B660=C660,F660/C660,IF((INT(F660/B660)+(((F660-B660*INT(F660/B660)))/C660)/100)&lt;0,(INT(F660/B660)+(((F660-B660*INT(F660/B660)))/C660)/100)+(1-(B660/C660/100)),(INT(F660/B660)+(((F660-B660*INT(F660/B660)))/C660)/100)))),0,IF(B660=C660,F660/C660,IF((INT(F660/B660)+(((F660-B660*INT(F660/B660)))/C660)/100)&lt;0,(INT(F660/B660)+(((F660-B660*INT(F660/B660)))/C660)/100)+(1-(B660/C660/100)),(INT(F660/B660)+(((F660-B660*INT(F660/B660)))/C660)/100))))</f>
        <v>0</v>
      </c>
      <c r="AR660" s="57">
        <f>IF(ISERROR(IF(B660=C660,G660/C660,(INT(G660/B660)+(((G660-B660*INT(G660/B660)))/C660)/100))),0,(IF(B660=C660,G660/C660,(INT(G660/B660)+(((G660-B660*INT(G660/B660)))/C660)/100))))</f>
        <v>0</v>
      </c>
      <c r="AS660" s="57">
        <f>IF(ISERROR(IF(B660=C660,H660/C660,(INT(H660/B660)+(((H660-B660*INT(H660/B660)))/C660)/100))),0,(IF(B660=C660,H660/C660,(INT(H660/B660)+(((H660-B660*INT(H660/B660)))/C660)/100))))</f>
        <v>0</v>
      </c>
      <c r="AT660" s="57">
        <f>IF(ISERROR(IF(B660=C660,I660/C660,(INT(I660/B660)+(((I660-B660*INT(I660/B660)))/C660)/100))),0,(IF(B660=C660,I660/C660,(INT(I660/B660)+(((I660-B660*INT(I660/B660)))/C660)/100))))</f>
        <v>0</v>
      </c>
      <c r="AU660" s="57">
        <f>IF(ISERROR(IF(B660=C660,J660/C660,(INT(J660/B660)+(((J660-B660*INT(J660/B660)))/C660)/100))),0,(IF(B660=C660,J660/C660,(INT(J660/B660)+(((J660-B660*INT(J660/B660)))/C660)/100))))</f>
        <v>0</v>
      </c>
      <c r="AV660" s="57">
        <f>IF(ISERROR(IF(B660=C660,K660/C660,IF((INT(K660/B660)+(((K660-B660*INT(K660/B660)))/C660)/100)&lt;0,(INT(K660/B660)+(((K660-B660*INT(K660/B660)))/C660)/100)+(1-(B660/C660/100)),(INT(K660/B660)+(((K660-B660*INT(K660/B660)))/C660)/100)))),0,IF(B660=C660,K660/C660,IF((INT(K660/B660)+(((K660-B660*INT(K660/B660)))/C660)/100)&lt;0,(INT(K660/B660)+(((K660-B660*INT(K660/B660)))/C660)/100)+(1-(B660/C660/100)),(INT(K660/B660)+(((K660-B660*INT(K660/B660)))/C660)/100))))</f>
        <v>0</v>
      </c>
      <c r="AW660" s="57">
        <f>IF(ISERROR(IF(B660=C660,L660/C660,(INT(L660/B660)+(((L660-B660*INT(L660/B660)))/C660)/100))),0,(IF(B660=C660,L660/C660,(INT(L660/B660)+(((L660-B660*INT(L660/B660)))/C660)/100))))</f>
        <v>0</v>
      </c>
      <c r="AX660" s="57">
        <f>IF(ISERROR(IF(B660=C660,M660/C660,(INT(M660/B660)+(((M660-B660*INT(M660/B660)))/C660)/100))),0,(IF(B660=C660,M660/C660,(INT(M660/B660)+(((M660-B660*INT(M660/B660)))/C660)/100))))</f>
        <v>0</v>
      </c>
      <c r="AY660" s="57">
        <f>IF(ISERROR(IF(B660=C660,N660/C660,IF((INT(N660/B660)+(((N660-B660*INT(N660/B660)))/C660)/100)&lt;0,(INT(N660/B660)+(((N660-B660*INT(N660/B660)))/C660)/100)+(1-(B660/C660/100)),(INT(N660/B660)+(((N660-B660*INT(N660/B660)))/C660)/100)))),0,IF(B660=C660,N660/C660,IF((INT(N660/B660)+(((N660-B660*INT(N660/B660)))/C660)/100)&lt;0,(INT(N660/B660)+(((N660-B660*INT(N660/B660)))/C660)/100)+(1-(B660/C660/100)),(INT(N660/B660)+(((N660-B660*INT(N660/B660)))/C660)/100))))</f>
        <v>0</v>
      </c>
      <c r="AZ660" s="57">
        <f>IF(ISERROR(IF(B660=C660,O660/C660,(INT(O660/B660)+(((O660-B660*INT(O660/B660)))/C660)/100))),0,(IF(B660=C660,O660/C660,(INT(O660/B660)+(((O660-B660*INT(O660/B660)))/C660)/100))))</f>
        <v>0</v>
      </c>
      <c r="BA660" s="57">
        <f>IF(ISERROR(IF(B660=C660,P660/C660,IF((INT(P660/B660)+(((P660-B660*INT(P660/B660)))/C660)/100)&lt;0,(INT(P660/B660)+(((P660-B660*INT(P660/B660)))/C660)/100)+(1-(B660/C660/100)),(INT(P660/B660)+(((P660-B660*INT(P660/B660)))/C660)/100)))),0,IF(B660=C660,P660/C660,IF((INT(P660/B660)+(((P660-B660*INT(P660/B660)))/C660)/100)&lt;0,(INT(P660/B660)+(((P660-B660*INT(P660/B660)))/C660)/100)+(1-(B660/C660/100)),(INT(P660/B660)+(((P660-B660*INT(P660/B660)))/C660)/100))))</f>
        <v>0</v>
      </c>
      <c r="BB660" s="28">
        <f>R660</f>
        <v>0</v>
      </c>
      <c r="BC660" s="28">
        <f>S660</f>
        <v>0</v>
      </c>
      <c r="BD660" s="28">
        <f>AF660</f>
        <v>0</v>
      </c>
      <c r="BE660" s="28">
        <f>T660</f>
        <v>0</v>
      </c>
      <c r="BG660" s="57">
        <f>IF(ISERROR(IF(B660=C660,V660/C660,(INT(V660/B660)+(((V660-B660*INT(V660/B660)))/C660)/100))),0,(IF(B660=C660,V660/C660,(INT(V660/B660)+(((V660-B660*INT(V660/B660)))/C660)/100))))</f>
        <v>0</v>
      </c>
      <c r="BH660" s="57">
        <f>IF(ISERROR(IF(B660=C660,W660/C660,(INT(W660/B660)+(((W660-B660*INT(W660/B660)))/C660)/100))),0,(IF(B660=C660,W660/C660,(INT(W660/B660)+(((W660-B660*INT(W660/B660)))/C660)/100))))</f>
        <v>0</v>
      </c>
      <c r="BI660" s="57">
        <f>IF(ISERROR(IF(B660=C660,X660/C660,(INT(X660/B660)+(((X660-B660*INT(X660/B660)))/C660)/100))),0,(IF(B660=C660,X660/C660,(INT(X660/B660)+(((X660-B660*INT(X660/B660)))/C660)/100))))</f>
        <v>0</v>
      </c>
      <c r="BJ660" s="57">
        <f>IF(ISERROR(IF(B660=C660,Y660/C660,(INT(Y660/B660)+(((Y660-B660*INT(Y660/B660)))/C660)/100))),0,(IF(B660=C660,Y660/C660,(INT(Y660/B660)+(((Y660-B660*INT(Y660/B660)))/C660)/100))))</f>
        <v>0</v>
      </c>
      <c r="BL660" s="57">
        <f>IF(ISERROR(IF(B660=C660,AA660/C660,(INT(AA660/B660)+(((AA660-B660*INT(AA660/B660)))/C660)/100))),0,(IF(B660=C660,AA660/C660,(INT(AA660/B660)+(((AA660-B660*INT(AA660/B660)))/C660)/100))))</f>
        <v>0</v>
      </c>
      <c r="BM660" s="57">
        <f>IF(ISERROR(IF(B660=C660,AB660/C660,(INT(AB660/B660)+(((AB660-B660*INT(AB660/B660)))/C660)/100))),0,(IF(B660=C660,AB660/C660,(INT(AB660/B660)+(((AB660-B660*INT(AB660/B660)))/C660)/100))))</f>
        <v>0</v>
      </c>
      <c r="BN660" s="57">
        <f>IF(ISERROR(IF(B660=C660,AC660/C660,(INT(AC660/B660)+(((AC660-B660*INT(AC660/B660)))/C660)/100))),0,(IF(B660=C660,AC660/C660,(INT(AC660/B660)+(((AC660-B660*INT(AC660/B660)))/C660)/100))))</f>
        <v>0</v>
      </c>
      <c r="BO660" s="57">
        <f>IF(ISERROR(IF(B660=C660,AD660/C660,(INT(AD660/B660)+(((AD660-B660*INT(AD660/B660)))/C660)/100))),0,(IF(B660=C660,AD660/C660,(INT(AD660/B660)+(((AD660-B660*INT(AD660/B660)))/C660)/100))))</f>
        <v>0</v>
      </c>
      <c r="BQ660" s="155"/>
    </row>
    <row r="661" spans="1:69" hidden="1" x14ac:dyDescent="0.35">
      <c r="A661" s="94"/>
      <c r="B661" s="113">
        <v>0</v>
      </c>
      <c r="C661" s="113">
        <v>250</v>
      </c>
      <c r="D661" s="28">
        <f>SUM(AA661:AD661)</f>
        <v>0</v>
      </c>
      <c r="E661" s="113">
        <v>0</v>
      </c>
      <c r="F661" s="113">
        <v>0</v>
      </c>
      <c r="G661" s="28">
        <f>SUM(D661:F661)</f>
        <v>0</v>
      </c>
      <c r="H661" s="125">
        <v>0</v>
      </c>
      <c r="I661" s="113">
        <v>0</v>
      </c>
      <c r="J661" s="125">
        <v>0</v>
      </c>
      <c r="K661" s="113">
        <v>0</v>
      </c>
      <c r="L661" s="113">
        <v>0</v>
      </c>
      <c r="M661" s="113">
        <v>0</v>
      </c>
      <c r="N661" s="28">
        <f>G661-SUM(H661:M661)</f>
        <v>0</v>
      </c>
      <c r="O661" s="28">
        <f>SUM(V661:Y661)</f>
        <v>0</v>
      </c>
      <c r="P661" s="28">
        <f>O661-N661</f>
        <v>0</v>
      </c>
      <c r="Q661" s="61" t="str">
        <f>IF(ISERROR(P661/SUM(H661:L661)),"",P661/SUM(H661:L661))</f>
        <v/>
      </c>
      <c r="R661" s="113">
        <v>0</v>
      </c>
      <c r="S661" s="28">
        <f>IF(ISERROR(P661/C661*R661),0,(P661/C661*R661))</f>
        <v>0</v>
      </c>
      <c r="T661" s="60">
        <f>IF(ISERROR(P661/B661*AF661),0,(P661/B661*AF661))</f>
        <v>0</v>
      </c>
      <c r="V661" s="113">
        <v>0</v>
      </c>
      <c r="W661" s="113">
        <v>0</v>
      </c>
      <c r="X661" s="113">
        <v>0</v>
      </c>
      <c r="Y661" s="113">
        <v>0</v>
      </c>
      <c r="AA661" s="113">
        <v>0</v>
      </c>
      <c r="AB661" s="113">
        <v>0</v>
      </c>
      <c r="AC661" s="113">
        <v>0</v>
      </c>
      <c r="AD661" s="113">
        <v>0</v>
      </c>
      <c r="AF661" s="113">
        <v>0</v>
      </c>
      <c r="AG661" s="28">
        <f>G661-O661</f>
        <v>0</v>
      </c>
      <c r="AH661" s="58">
        <f>IF(ISERROR(AG661/B661*AF661),0,(AG661/B661*AF661))</f>
        <v>0</v>
      </c>
      <c r="AI661" s="28">
        <f>SUM(H661:M661)</f>
        <v>0</v>
      </c>
      <c r="AJ661" s="28">
        <f>IF(ISERROR(AI661/B661*AF661),0,(AI661/B661*AF661))</f>
        <v>0</v>
      </c>
      <c r="AK661" s="58">
        <f>IF(ISERROR(O661/B661*AF661),0,(O661/B661*AF661))</f>
        <v>0</v>
      </c>
      <c r="AL661" s="28">
        <f>IF(ISERROR(H661/B661*AF661),0,(H661/B661*AF661))</f>
        <v>0</v>
      </c>
      <c r="AN661" s="51">
        <f>A661</f>
        <v>0</v>
      </c>
      <c r="AO661" s="57">
        <f>IF(ISERROR(IF(B661=C661,D661/C661,(INT(D661/B661)+(((D661-B661*INT(D661/B661)))/C661)/100))),0,(IF(B661=C661,D661/C661,(INT(D661/B661)+(((D661-B661*INT(D661/B661)))/C661)/100))))</f>
        <v>0</v>
      </c>
      <c r="AP661" s="57">
        <f>IF(ISERROR(IF(B661=C661,E661/C661,(INT(E661/B661)+(((E661-B661*INT(E661/B661)))/C661)/100))),0,(IF(B661=C661,E661/C661,(INT(E661/B661)+(((E661-B661*INT(E661/B661)))/C661)/100))))</f>
        <v>0</v>
      </c>
      <c r="AQ661" s="57">
        <f>IF(ISERROR(IF(B661=C661,F661/C661,IF((INT(F661/B661)+(((F661-B661*INT(F661/B661)))/C661)/100)&lt;0,(INT(F661/B661)+(((F661-B661*INT(F661/B661)))/C661)/100)+(1-(B661/C661/100)),(INT(F661/B661)+(((F661-B661*INT(F661/B661)))/C661)/100)))),0,IF(B661=C661,F661/C661,IF((INT(F661/B661)+(((F661-B661*INT(F661/B661)))/C661)/100)&lt;0,(INT(F661/B661)+(((F661-B661*INT(F661/B661)))/C661)/100)+(1-(B661/C661/100)),(INT(F661/B661)+(((F661-B661*INT(F661/B661)))/C661)/100))))</f>
        <v>0</v>
      </c>
      <c r="AR661" s="57">
        <f>IF(ISERROR(IF(B661=C661,G661/C661,(INT(G661/B661)+(((G661-B661*INT(G661/B661)))/C661)/100))),0,(IF(B661=C661,G661/C661,(INT(G661/B661)+(((G661-B661*INT(G661/B661)))/C661)/100))))</f>
        <v>0</v>
      </c>
      <c r="AS661" s="57">
        <f>IF(ISERROR(IF(B661=C661,H661/C661,(INT(H661/B661)+(((H661-B661*INT(H661/B661)))/C661)/100))),0,(IF(B661=C661,H661/C661,(INT(H661/B661)+(((H661-B661*INT(H661/B661)))/C661)/100))))</f>
        <v>0</v>
      </c>
      <c r="AT661" s="57">
        <f>IF(ISERROR(IF(B661=C661,I661/C661,(INT(I661/B661)+(((I661-B661*INT(I661/B661)))/C661)/100))),0,(IF(B661=C661,I661/C661,(INT(I661/B661)+(((I661-B661*INT(I661/B661)))/C661)/100))))</f>
        <v>0</v>
      </c>
      <c r="AU661" s="57">
        <f>IF(ISERROR(IF(B661=C661,J661/C661,(INT(J661/B661)+(((J661-B661*INT(J661/B661)))/C661)/100))),0,(IF(B661=C661,J661/C661,(INT(J661/B661)+(((J661-B661*INT(J661/B661)))/C661)/100))))</f>
        <v>0</v>
      </c>
      <c r="AV661" s="57">
        <f>IF(ISERROR(IF(B661=C661,K661/C661,IF((INT(K661/B661)+(((K661-B661*INT(K661/B661)))/C661)/100)&lt;0,(INT(K661/B661)+(((K661-B661*INT(K661/B661)))/C661)/100)+(1-(B661/C661/100)),(INT(K661/B661)+(((K661-B661*INT(K661/B661)))/C661)/100)))),0,IF(B661=C661,K661/C661,IF((INT(K661/B661)+(((K661-B661*INT(K661/B661)))/C661)/100)&lt;0,(INT(K661/B661)+(((K661-B661*INT(K661/B661)))/C661)/100)+(1-(B661/C661/100)),(INT(K661/B661)+(((K661-B661*INT(K661/B661)))/C661)/100))))</f>
        <v>0</v>
      </c>
      <c r="AW661" s="57">
        <f>IF(ISERROR(IF(B661=C661,L661/C661,(INT(L661/B661)+(((L661-B661*INT(L661/B661)))/C661)/100))),0,(IF(B661=C661,L661/C661,(INT(L661/B661)+(((L661-B661*INT(L661/B661)))/C661)/100))))</f>
        <v>0</v>
      </c>
      <c r="AX661" s="57">
        <f>IF(ISERROR(IF(B661=C661,M661/C661,(INT(M661/B661)+(((M661-B661*INT(M661/B661)))/C661)/100))),0,(IF(B661=C661,M661/C661,(INT(M661/B661)+(((M661-B661*INT(M661/B661)))/C661)/100))))</f>
        <v>0</v>
      </c>
      <c r="AY661" s="57">
        <f>IF(ISERROR(IF(B661=C661,N661/C661,IF((INT(N661/B661)+(((N661-B661*INT(N661/B661)))/C661)/100)&lt;0,(INT(N661/B661)+(((N661-B661*INT(N661/B661)))/C661)/100)+(1-(B661/C661/100)),(INT(N661/B661)+(((N661-B661*INT(N661/B661)))/C661)/100)))),0,IF(B661=C661,N661/C661,IF((INT(N661/B661)+(((N661-B661*INT(N661/B661)))/C661)/100)&lt;0,(INT(N661/B661)+(((N661-B661*INT(N661/B661)))/C661)/100)+(1-(B661/C661/100)),(INT(N661/B661)+(((N661-B661*INT(N661/B661)))/C661)/100))))</f>
        <v>0</v>
      </c>
      <c r="AZ661" s="57">
        <f>IF(ISERROR(IF(B661=C661,O661/C661,(INT(O661/B661)+(((O661-B661*INT(O661/B661)))/C661)/100))),0,(IF(B661=C661,O661/C661,(INT(O661/B661)+(((O661-B661*INT(O661/B661)))/C661)/100))))</f>
        <v>0</v>
      </c>
      <c r="BA661" s="57">
        <f>IF(ISERROR(IF(B661=C661,P661/C661,IF((INT(P661/B661)+(((P661-B661*INT(P661/B661)))/C661)/100)&lt;0,(INT(P661/B661)+(((P661-B661*INT(P661/B661)))/C661)/100)+(1-(B661/C661/100)),(INT(P661/B661)+(((P661-B661*INT(P661/B661)))/C661)/100)))),0,IF(B661=C661,P661/C661,IF((INT(P661/B661)+(((P661-B661*INT(P661/B661)))/C661)/100)&lt;0,(INT(P661/B661)+(((P661-B661*INT(P661/B661)))/C661)/100)+(1-(B661/C661/100)),(INT(P661/B661)+(((P661-B661*INT(P661/B661)))/C661)/100))))</f>
        <v>0</v>
      </c>
      <c r="BB661" s="28">
        <f>R661</f>
        <v>0</v>
      </c>
      <c r="BC661" s="28">
        <f>S661</f>
        <v>0</v>
      </c>
      <c r="BD661" s="28">
        <f>AF661</f>
        <v>0</v>
      </c>
      <c r="BE661" s="28">
        <f>T661</f>
        <v>0</v>
      </c>
      <c r="BG661" s="57">
        <f>IF(ISERROR(IF(B661=C661,V661/C661,(INT(V661/B661)+(((V661-B661*INT(V661/B661)))/C661)/100))),0,(IF(B661=C661,V661/C661,(INT(V661/B661)+(((V661-B661*INT(V661/B661)))/C661)/100))))</f>
        <v>0</v>
      </c>
      <c r="BH661" s="57">
        <f>IF(ISERROR(IF(B661=C661,W661/C661,(INT(W661/B661)+(((W661-B661*INT(W661/B661)))/C661)/100))),0,(IF(B661=C661,W661/C661,(INT(W661/B661)+(((W661-B661*INT(W661/B661)))/C661)/100))))</f>
        <v>0</v>
      </c>
      <c r="BI661" s="57">
        <f>IF(ISERROR(IF(B661=C661,X661/C661,(INT(X661/B661)+(((X661-B661*INT(X661/B661)))/C661)/100))),0,(IF(B661=C661,X661/C661,(INT(X661/B661)+(((X661-B661*INT(X661/B661)))/C661)/100))))</f>
        <v>0</v>
      </c>
      <c r="BJ661" s="57">
        <f>IF(ISERROR(IF(B661=C661,Y661/C661,(INT(Y661/B661)+(((Y661-B661*INT(Y661/B661)))/C661)/100))),0,(IF(B661=C661,Y661/C661,(INT(Y661/B661)+(((Y661-B661*INT(Y661/B661)))/C661)/100))))</f>
        <v>0</v>
      </c>
      <c r="BL661" s="57">
        <f>IF(ISERROR(IF(B661=C661,AA661/C661,(INT(AA661/B661)+(((AA661-B661*INT(AA661/B661)))/C661)/100))),0,(IF(B661=C661,AA661/C661,(INT(AA661/B661)+(((AA661-B661*INT(AA661/B661)))/C661)/100))))</f>
        <v>0</v>
      </c>
      <c r="BM661" s="57">
        <f>IF(ISERROR(IF(B661=C661,AB661/C661,(INT(AB661/B661)+(((AB661-B661*INT(AB661/B661)))/C661)/100))),0,(IF(B661=C661,AB661/C661,(INT(AB661/B661)+(((AB661-B661*INT(AB661/B661)))/C661)/100))))</f>
        <v>0</v>
      </c>
      <c r="BN661" s="57">
        <f>IF(ISERROR(IF(B661=C661,AC661/C661,(INT(AC661/B661)+(((AC661-B661*INT(AC661/B661)))/C661)/100))),0,(IF(B661=C661,AC661/C661,(INT(AC661/B661)+(((AC661-B661*INT(AC661/B661)))/C661)/100))))</f>
        <v>0</v>
      </c>
      <c r="BO661" s="57">
        <f>IF(ISERROR(IF(B661=C661,AD661/C661,(INT(AD661/B661)+(((AD661-B661*INT(AD661/B661)))/C661)/100))),0,(IF(B661=C661,AD661/C661,(INT(AD661/B661)+(((AD661-B661*INT(AD661/B661)))/C661)/100))))</f>
        <v>0</v>
      </c>
      <c r="BQ661" s="155"/>
    </row>
    <row r="662" spans="1:69" hidden="1" x14ac:dyDescent="0.35">
      <c r="A662" s="94"/>
      <c r="B662" s="113">
        <v>0</v>
      </c>
      <c r="C662" s="113">
        <v>250</v>
      </c>
      <c r="D662" s="28">
        <f>SUM(AA662:AD662)</f>
        <v>0</v>
      </c>
      <c r="E662" s="113">
        <v>0</v>
      </c>
      <c r="F662" s="113">
        <v>0</v>
      </c>
      <c r="G662" s="28">
        <f>SUM(D662:F662)</f>
        <v>0</v>
      </c>
      <c r="H662" s="125">
        <v>0</v>
      </c>
      <c r="I662" s="113">
        <v>0</v>
      </c>
      <c r="J662" s="125">
        <v>0</v>
      </c>
      <c r="K662" s="113">
        <v>0</v>
      </c>
      <c r="L662" s="113">
        <v>0</v>
      </c>
      <c r="M662" s="113">
        <v>0</v>
      </c>
      <c r="N662" s="28">
        <f>G662-SUM(H662:M662)</f>
        <v>0</v>
      </c>
      <c r="O662" s="28">
        <f>SUM(V662:Y662)</f>
        <v>0</v>
      </c>
      <c r="P662" s="28">
        <f>O662-N662</f>
        <v>0</v>
      </c>
      <c r="Q662" s="61" t="str">
        <f>IF(ISERROR(P662/SUM(H662:L662)),"",P662/SUM(H662:L662))</f>
        <v/>
      </c>
      <c r="R662" s="113">
        <v>0</v>
      </c>
      <c r="S662" s="28">
        <f>IF(ISERROR(P662/C662*R662),0,(P662/C662*R662))</f>
        <v>0</v>
      </c>
      <c r="T662" s="60">
        <f>IF(ISERROR(P662/B662*AF662),0,(P662/B662*AF662))</f>
        <v>0</v>
      </c>
      <c r="V662" s="113">
        <v>0</v>
      </c>
      <c r="W662" s="113">
        <v>0</v>
      </c>
      <c r="X662" s="113">
        <v>0</v>
      </c>
      <c r="Y662" s="113">
        <v>0</v>
      </c>
      <c r="AA662" s="113">
        <v>0</v>
      </c>
      <c r="AB662" s="113">
        <v>0</v>
      </c>
      <c r="AC662" s="113">
        <v>0</v>
      </c>
      <c r="AD662" s="113">
        <v>0</v>
      </c>
      <c r="AF662" s="113">
        <v>0</v>
      </c>
      <c r="AG662" s="28">
        <f>G662-O662</f>
        <v>0</v>
      </c>
      <c r="AH662" s="58">
        <f>IF(ISERROR(AG662/B662*AF662),0,(AG662/B662*AF662))</f>
        <v>0</v>
      </c>
      <c r="AI662" s="28">
        <f>SUM(H662:M662)</f>
        <v>0</v>
      </c>
      <c r="AJ662" s="28">
        <f>IF(ISERROR(AI662/B662*AF662),0,(AI662/B662*AF662))</f>
        <v>0</v>
      </c>
      <c r="AK662" s="58">
        <f>IF(ISERROR(O662/B662*AF662),0,(O662/B662*AF662))</f>
        <v>0</v>
      </c>
      <c r="AL662" s="28">
        <f>IF(ISERROR(H662/B662*AF662),0,(H662/B662*AF662))</f>
        <v>0</v>
      </c>
      <c r="AN662" s="51">
        <f>A662</f>
        <v>0</v>
      </c>
      <c r="AO662" s="57">
        <f>IF(ISERROR(IF(B662=C662,D662/C662,(INT(D662/B662)+(((D662-B662*INT(D662/B662)))/C662)/100))),0,(IF(B662=C662,D662/C662,(INT(D662/B662)+(((D662-B662*INT(D662/B662)))/C662)/100))))</f>
        <v>0</v>
      </c>
      <c r="AP662" s="57">
        <f>IF(ISERROR(IF(B662=C662,E662/C662,(INT(E662/B662)+(((E662-B662*INT(E662/B662)))/C662)/100))),0,(IF(B662=C662,E662/C662,(INT(E662/B662)+(((E662-B662*INT(E662/B662)))/C662)/100))))</f>
        <v>0</v>
      </c>
      <c r="AQ662" s="57">
        <f>IF(ISERROR(IF(B662=C662,F662/C662,IF((INT(F662/B662)+(((F662-B662*INT(F662/B662)))/C662)/100)&lt;0,(INT(F662/B662)+(((F662-B662*INT(F662/B662)))/C662)/100)+(1-(B662/C662/100)),(INT(F662/B662)+(((F662-B662*INT(F662/B662)))/C662)/100)))),0,IF(B662=C662,F662/C662,IF((INT(F662/B662)+(((F662-B662*INT(F662/B662)))/C662)/100)&lt;0,(INT(F662/B662)+(((F662-B662*INT(F662/B662)))/C662)/100)+(1-(B662/C662/100)),(INT(F662/B662)+(((F662-B662*INT(F662/B662)))/C662)/100))))</f>
        <v>0</v>
      </c>
      <c r="AR662" s="57">
        <f>IF(ISERROR(IF(B662=C662,G662/C662,(INT(G662/B662)+(((G662-B662*INT(G662/B662)))/C662)/100))),0,(IF(B662=C662,G662/C662,(INT(G662/B662)+(((G662-B662*INT(G662/B662)))/C662)/100))))</f>
        <v>0</v>
      </c>
      <c r="AS662" s="57">
        <f>IF(ISERROR(IF(B662=C662,H662/C662,(INT(H662/B662)+(((H662-B662*INT(H662/B662)))/C662)/100))),0,(IF(B662=C662,H662/C662,(INT(H662/B662)+(((H662-B662*INT(H662/B662)))/C662)/100))))</f>
        <v>0</v>
      </c>
      <c r="AT662" s="57">
        <f>IF(ISERROR(IF(B662=C662,I662/C662,(INT(I662/B662)+(((I662-B662*INT(I662/B662)))/C662)/100))),0,(IF(B662=C662,I662/C662,(INT(I662/B662)+(((I662-B662*INT(I662/B662)))/C662)/100))))</f>
        <v>0</v>
      </c>
      <c r="AU662" s="57">
        <f>IF(ISERROR(IF(B662=C662,J662/C662,(INT(J662/B662)+(((J662-B662*INT(J662/B662)))/C662)/100))),0,(IF(B662=C662,J662/C662,(INT(J662/B662)+(((J662-B662*INT(J662/B662)))/C662)/100))))</f>
        <v>0</v>
      </c>
      <c r="AV662" s="57">
        <f>IF(ISERROR(IF(B662=C662,K662/C662,IF((INT(K662/B662)+(((K662-B662*INT(K662/B662)))/C662)/100)&lt;0,(INT(K662/B662)+(((K662-B662*INT(K662/B662)))/C662)/100)+(1-(B662/C662/100)),(INT(K662/B662)+(((K662-B662*INT(K662/B662)))/C662)/100)))),0,IF(B662=C662,K662/C662,IF((INT(K662/B662)+(((K662-B662*INT(K662/B662)))/C662)/100)&lt;0,(INT(K662/B662)+(((K662-B662*INT(K662/B662)))/C662)/100)+(1-(B662/C662/100)),(INT(K662/B662)+(((K662-B662*INT(K662/B662)))/C662)/100))))</f>
        <v>0</v>
      </c>
      <c r="AW662" s="57">
        <f>IF(ISERROR(IF(B662=C662,L662/C662,(INT(L662/B662)+(((L662-B662*INT(L662/B662)))/C662)/100))),0,(IF(B662=C662,L662/C662,(INT(L662/B662)+(((L662-B662*INT(L662/B662)))/C662)/100))))</f>
        <v>0</v>
      </c>
      <c r="AX662" s="57">
        <f>IF(ISERROR(IF(B662=C662,M662/C662,(INT(M662/B662)+(((M662-B662*INT(M662/B662)))/C662)/100))),0,(IF(B662=C662,M662/C662,(INT(M662/B662)+(((M662-B662*INT(M662/B662)))/C662)/100))))</f>
        <v>0</v>
      </c>
      <c r="AY662" s="57">
        <f>IF(ISERROR(IF(B662=C662,N662/C662,IF((INT(N662/B662)+(((N662-B662*INT(N662/B662)))/C662)/100)&lt;0,(INT(N662/B662)+(((N662-B662*INT(N662/B662)))/C662)/100)+(1-(B662/C662/100)),(INT(N662/B662)+(((N662-B662*INT(N662/B662)))/C662)/100)))),0,IF(B662=C662,N662/C662,IF((INT(N662/B662)+(((N662-B662*INT(N662/B662)))/C662)/100)&lt;0,(INT(N662/B662)+(((N662-B662*INT(N662/B662)))/C662)/100)+(1-(B662/C662/100)),(INT(N662/B662)+(((N662-B662*INT(N662/B662)))/C662)/100))))</f>
        <v>0</v>
      </c>
      <c r="AZ662" s="57">
        <f>IF(ISERROR(IF(B662=C662,O662/C662,(INT(O662/B662)+(((O662-B662*INT(O662/B662)))/C662)/100))),0,(IF(B662=C662,O662/C662,(INT(O662/B662)+(((O662-B662*INT(O662/B662)))/C662)/100))))</f>
        <v>0</v>
      </c>
      <c r="BA662" s="57">
        <f>IF(ISERROR(IF(B662=C662,P662/C662,IF((INT(P662/B662)+(((P662-B662*INT(P662/B662)))/C662)/100)&lt;0,(INT(P662/B662)+(((P662-B662*INT(P662/B662)))/C662)/100)+(1-(B662/C662/100)),(INT(P662/B662)+(((P662-B662*INT(P662/B662)))/C662)/100)))),0,IF(B662=C662,P662/C662,IF((INT(P662/B662)+(((P662-B662*INT(P662/B662)))/C662)/100)&lt;0,(INT(P662/B662)+(((P662-B662*INT(P662/B662)))/C662)/100)+(1-(B662/C662/100)),(INT(P662/B662)+(((P662-B662*INT(P662/B662)))/C662)/100))))</f>
        <v>0</v>
      </c>
      <c r="BB662" s="28">
        <f>R662</f>
        <v>0</v>
      </c>
      <c r="BC662" s="28">
        <f>S662</f>
        <v>0</v>
      </c>
      <c r="BD662" s="28">
        <f>AF662</f>
        <v>0</v>
      </c>
      <c r="BE662" s="28">
        <f>T662</f>
        <v>0</v>
      </c>
      <c r="BG662" s="57">
        <f>IF(ISERROR(IF(B662=C662,V662/C662,(INT(V662/B662)+(((V662-B662*INT(V662/B662)))/C662)/100))),0,(IF(B662=C662,V662/C662,(INT(V662/B662)+(((V662-B662*INT(V662/B662)))/C662)/100))))</f>
        <v>0</v>
      </c>
      <c r="BH662" s="57">
        <f>IF(ISERROR(IF(B662=C662,W662/C662,(INT(W662/B662)+(((W662-B662*INT(W662/B662)))/C662)/100))),0,(IF(B662=C662,W662/C662,(INT(W662/B662)+(((W662-B662*INT(W662/B662)))/C662)/100))))</f>
        <v>0</v>
      </c>
      <c r="BI662" s="57">
        <f>IF(ISERROR(IF(B662=C662,X662/C662,(INT(X662/B662)+(((X662-B662*INT(X662/B662)))/C662)/100))),0,(IF(B662=C662,X662/C662,(INT(X662/B662)+(((X662-B662*INT(X662/B662)))/C662)/100))))</f>
        <v>0</v>
      </c>
      <c r="BJ662" s="57">
        <f>IF(ISERROR(IF(B662=C662,Y662/C662,(INT(Y662/B662)+(((Y662-B662*INT(Y662/B662)))/C662)/100))),0,(IF(B662=C662,Y662/C662,(INT(Y662/B662)+(((Y662-B662*INT(Y662/B662)))/C662)/100))))</f>
        <v>0</v>
      </c>
      <c r="BL662" s="57">
        <f>IF(ISERROR(IF(B662=C662,AA662/C662,(INT(AA662/B662)+(((AA662-B662*INT(AA662/B662)))/C662)/100))),0,(IF(B662=C662,AA662/C662,(INT(AA662/B662)+(((AA662-B662*INT(AA662/B662)))/C662)/100))))</f>
        <v>0</v>
      </c>
      <c r="BM662" s="57">
        <f>IF(ISERROR(IF(B662=C662,AB662/C662,(INT(AB662/B662)+(((AB662-B662*INT(AB662/B662)))/C662)/100))),0,(IF(B662=C662,AB662/C662,(INT(AB662/B662)+(((AB662-B662*INT(AB662/B662)))/C662)/100))))</f>
        <v>0</v>
      </c>
      <c r="BN662" s="57">
        <f>IF(ISERROR(IF(B662=C662,AC662/C662,(INT(AC662/B662)+(((AC662-B662*INT(AC662/B662)))/C662)/100))),0,(IF(B662=C662,AC662/C662,(INT(AC662/B662)+(((AC662-B662*INT(AC662/B662)))/C662)/100))))</f>
        <v>0</v>
      </c>
      <c r="BO662" s="57">
        <f>IF(ISERROR(IF(B662=C662,AD662/C662,(INT(AD662/B662)+(((AD662-B662*INT(AD662/B662)))/C662)/100))),0,(IF(B662=C662,AD662/C662,(INT(AD662/B662)+(((AD662-B662*INT(AD662/B662)))/C662)/100))))</f>
        <v>0</v>
      </c>
      <c r="BQ662" s="155"/>
    </row>
    <row r="663" spans="1:69" hidden="1" x14ac:dyDescent="0.35">
      <c r="A663" s="94"/>
      <c r="B663" s="113">
        <v>0</v>
      </c>
      <c r="C663" s="113">
        <v>250</v>
      </c>
      <c r="D663" s="28">
        <f>SUM(AA663:AD663)</f>
        <v>0</v>
      </c>
      <c r="E663" s="113">
        <v>0</v>
      </c>
      <c r="F663" s="113">
        <v>0</v>
      </c>
      <c r="G663" s="28">
        <f>SUM(D663:F663)</f>
        <v>0</v>
      </c>
      <c r="H663" s="125">
        <v>0</v>
      </c>
      <c r="I663" s="113">
        <v>0</v>
      </c>
      <c r="J663" s="125">
        <v>0</v>
      </c>
      <c r="K663" s="113">
        <v>0</v>
      </c>
      <c r="L663" s="113">
        <v>0</v>
      </c>
      <c r="M663" s="113">
        <v>0</v>
      </c>
      <c r="N663" s="28">
        <f>G663-SUM(H663:M663)</f>
        <v>0</v>
      </c>
      <c r="O663" s="28">
        <f>SUM(V663:Y663)</f>
        <v>0</v>
      </c>
      <c r="P663" s="28">
        <f>O663-N663</f>
        <v>0</v>
      </c>
      <c r="Q663" s="61" t="str">
        <f>IF(ISERROR(P663/SUM(H663:L663)),"",P663/SUM(H663:L663))</f>
        <v/>
      </c>
      <c r="R663" s="113">
        <v>0</v>
      </c>
      <c r="S663" s="28">
        <f>IF(ISERROR(P663/C663*R663),0,(P663/C663*R663))</f>
        <v>0</v>
      </c>
      <c r="T663" s="60">
        <f>IF(ISERROR(P663/B663*AF663),0,(P663/B663*AF663))</f>
        <v>0</v>
      </c>
      <c r="V663" s="113">
        <v>0</v>
      </c>
      <c r="W663" s="113">
        <v>0</v>
      </c>
      <c r="X663" s="113">
        <v>0</v>
      </c>
      <c r="Y663" s="113">
        <v>0</v>
      </c>
      <c r="AA663" s="113">
        <v>0</v>
      </c>
      <c r="AB663" s="113">
        <v>0</v>
      </c>
      <c r="AC663" s="113">
        <v>0</v>
      </c>
      <c r="AD663" s="113">
        <v>0</v>
      </c>
      <c r="AF663" s="113">
        <v>0</v>
      </c>
      <c r="AG663" s="28">
        <f>G663-O663</f>
        <v>0</v>
      </c>
      <c r="AH663" s="58">
        <f>IF(ISERROR(AG663/B663*AF663),0,(AG663/B663*AF663))</f>
        <v>0</v>
      </c>
      <c r="AI663" s="28">
        <f>SUM(H663:M663)</f>
        <v>0</v>
      </c>
      <c r="AJ663" s="28">
        <f>IF(ISERROR(AI663/B663*AF663),0,(AI663/B663*AF663))</f>
        <v>0</v>
      </c>
      <c r="AK663" s="58">
        <f>IF(ISERROR(O663/B663*AF663),0,(O663/B663*AF663))</f>
        <v>0</v>
      </c>
      <c r="AL663" s="28">
        <f>IF(ISERROR(H663/B663*AF663),0,(H663/B663*AF663))</f>
        <v>0</v>
      </c>
      <c r="AN663" s="51">
        <f>A663</f>
        <v>0</v>
      </c>
      <c r="AO663" s="57">
        <f>IF(ISERROR(IF(B663=C663,D663/C663,(INT(D663/B663)+(((D663-B663*INT(D663/B663)))/C663)/100))),0,(IF(B663=C663,D663/C663,(INT(D663/B663)+(((D663-B663*INT(D663/B663)))/C663)/100))))</f>
        <v>0</v>
      </c>
      <c r="AP663" s="57">
        <f>IF(ISERROR(IF(B663=C663,E663/C663,(INT(E663/B663)+(((E663-B663*INT(E663/B663)))/C663)/100))),0,(IF(B663=C663,E663/C663,(INT(E663/B663)+(((E663-B663*INT(E663/B663)))/C663)/100))))</f>
        <v>0</v>
      </c>
      <c r="AQ663" s="57">
        <f>IF(ISERROR(IF(B663=C663,F663/C663,IF((INT(F663/B663)+(((F663-B663*INT(F663/B663)))/C663)/100)&lt;0,(INT(F663/B663)+(((F663-B663*INT(F663/B663)))/C663)/100)+(1-(B663/C663/100)),(INT(F663/B663)+(((F663-B663*INT(F663/B663)))/C663)/100)))),0,IF(B663=C663,F663/C663,IF((INT(F663/B663)+(((F663-B663*INT(F663/B663)))/C663)/100)&lt;0,(INT(F663/B663)+(((F663-B663*INT(F663/B663)))/C663)/100)+(1-(B663/C663/100)),(INT(F663/B663)+(((F663-B663*INT(F663/B663)))/C663)/100))))</f>
        <v>0</v>
      </c>
      <c r="AR663" s="57">
        <f>IF(ISERROR(IF(B663=C663,G663/C663,(INT(G663/B663)+(((G663-B663*INT(G663/B663)))/C663)/100))),0,(IF(B663=C663,G663/C663,(INT(G663/B663)+(((G663-B663*INT(G663/B663)))/C663)/100))))</f>
        <v>0</v>
      </c>
      <c r="AS663" s="57">
        <f>IF(ISERROR(IF(B663=C663,H663/C663,(INT(H663/B663)+(((H663-B663*INT(H663/B663)))/C663)/100))),0,(IF(B663=C663,H663/C663,(INT(H663/B663)+(((H663-B663*INT(H663/B663)))/C663)/100))))</f>
        <v>0</v>
      </c>
      <c r="AT663" s="57">
        <f>IF(ISERROR(IF(B663=C663,I663/C663,(INT(I663/B663)+(((I663-B663*INT(I663/B663)))/C663)/100))),0,(IF(B663=C663,I663/C663,(INT(I663/B663)+(((I663-B663*INT(I663/B663)))/C663)/100))))</f>
        <v>0</v>
      </c>
      <c r="AU663" s="57">
        <f>IF(ISERROR(IF(B663=C663,J663/C663,(INT(J663/B663)+(((J663-B663*INT(J663/B663)))/C663)/100))),0,(IF(B663=C663,J663/C663,(INT(J663/B663)+(((J663-B663*INT(J663/B663)))/C663)/100))))</f>
        <v>0</v>
      </c>
      <c r="AV663" s="57">
        <f>IF(ISERROR(IF(B663=C663,K663/C663,IF((INT(K663/B663)+(((K663-B663*INT(K663/B663)))/C663)/100)&lt;0,(INT(K663/B663)+(((K663-B663*INT(K663/B663)))/C663)/100)+(1-(B663/C663/100)),(INT(K663/B663)+(((K663-B663*INT(K663/B663)))/C663)/100)))),0,IF(B663=C663,K663/C663,IF((INT(K663/B663)+(((K663-B663*INT(K663/B663)))/C663)/100)&lt;0,(INT(K663/B663)+(((K663-B663*INT(K663/B663)))/C663)/100)+(1-(B663/C663/100)),(INT(K663/B663)+(((K663-B663*INT(K663/B663)))/C663)/100))))</f>
        <v>0</v>
      </c>
      <c r="AW663" s="57">
        <f>IF(ISERROR(IF(B663=C663,L663/C663,(INT(L663/B663)+(((L663-B663*INT(L663/B663)))/C663)/100))),0,(IF(B663=C663,L663/C663,(INT(L663/B663)+(((L663-B663*INT(L663/B663)))/C663)/100))))</f>
        <v>0</v>
      </c>
      <c r="AX663" s="57">
        <f>IF(ISERROR(IF(B663=C663,M663/C663,(INT(M663/B663)+(((M663-B663*INT(M663/B663)))/C663)/100))),0,(IF(B663=C663,M663/C663,(INT(M663/B663)+(((M663-B663*INT(M663/B663)))/C663)/100))))</f>
        <v>0</v>
      </c>
      <c r="AY663" s="57">
        <f>IF(ISERROR(IF(B663=C663,N663/C663,IF((INT(N663/B663)+(((N663-B663*INT(N663/B663)))/C663)/100)&lt;0,(INT(N663/B663)+(((N663-B663*INT(N663/B663)))/C663)/100)+(1-(B663/C663/100)),(INT(N663/B663)+(((N663-B663*INT(N663/B663)))/C663)/100)))),0,IF(B663=C663,N663/C663,IF((INT(N663/B663)+(((N663-B663*INT(N663/B663)))/C663)/100)&lt;0,(INT(N663/B663)+(((N663-B663*INT(N663/B663)))/C663)/100)+(1-(B663/C663/100)),(INT(N663/B663)+(((N663-B663*INT(N663/B663)))/C663)/100))))</f>
        <v>0</v>
      </c>
      <c r="AZ663" s="57">
        <f>IF(ISERROR(IF(B663=C663,O663/C663,(INT(O663/B663)+(((O663-B663*INT(O663/B663)))/C663)/100))),0,(IF(B663=C663,O663/C663,(INT(O663/B663)+(((O663-B663*INT(O663/B663)))/C663)/100))))</f>
        <v>0</v>
      </c>
      <c r="BA663" s="57">
        <f>IF(ISERROR(IF(B663=C663,P663/C663,IF((INT(P663/B663)+(((P663-B663*INT(P663/B663)))/C663)/100)&lt;0,(INT(P663/B663)+(((P663-B663*INT(P663/B663)))/C663)/100)+(1-(B663/C663/100)),(INT(P663/B663)+(((P663-B663*INT(P663/B663)))/C663)/100)))),0,IF(B663=C663,P663/C663,IF((INT(P663/B663)+(((P663-B663*INT(P663/B663)))/C663)/100)&lt;0,(INT(P663/B663)+(((P663-B663*INT(P663/B663)))/C663)/100)+(1-(B663/C663/100)),(INT(P663/B663)+(((P663-B663*INT(P663/B663)))/C663)/100))))</f>
        <v>0</v>
      </c>
      <c r="BB663" s="28">
        <f>R663</f>
        <v>0</v>
      </c>
      <c r="BC663" s="28">
        <f>S663</f>
        <v>0</v>
      </c>
      <c r="BD663" s="28">
        <f>AF663</f>
        <v>0</v>
      </c>
      <c r="BE663" s="28">
        <f>T663</f>
        <v>0</v>
      </c>
      <c r="BG663" s="57">
        <f>IF(ISERROR(IF(B663=C663,V663/C663,(INT(V663/B663)+(((V663-B663*INT(V663/B663)))/C663)/100))),0,(IF(B663=C663,V663/C663,(INT(V663/B663)+(((V663-B663*INT(V663/B663)))/C663)/100))))</f>
        <v>0</v>
      </c>
      <c r="BH663" s="57">
        <f>IF(ISERROR(IF(B663=C663,W663/C663,(INT(W663/B663)+(((W663-B663*INT(W663/B663)))/C663)/100))),0,(IF(B663=C663,W663/C663,(INT(W663/B663)+(((W663-B663*INT(W663/B663)))/C663)/100))))</f>
        <v>0</v>
      </c>
      <c r="BI663" s="57">
        <f>IF(ISERROR(IF(B663=C663,X663/C663,(INT(X663/B663)+(((X663-B663*INT(X663/B663)))/C663)/100))),0,(IF(B663=C663,X663/C663,(INT(X663/B663)+(((X663-B663*INT(X663/B663)))/C663)/100))))</f>
        <v>0</v>
      </c>
      <c r="BJ663" s="57">
        <f>IF(ISERROR(IF(B663=C663,Y663/C663,(INT(Y663/B663)+(((Y663-B663*INT(Y663/B663)))/C663)/100))),0,(IF(B663=C663,Y663/C663,(INT(Y663/B663)+(((Y663-B663*INT(Y663/B663)))/C663)/100))))</f>
        <v>0</v>
      </c>
      <c r="BL663" s="57">
        <f>IF(ISERROR(IF(B663=C663,AA663/C663,(INT(AA663/B663)+(((AA663-B663*INT(AA663/B663)))/C663)/100))),0,(IF(B663=C663,AA663/C663,(INT(AA663/B663)+(((AA663-B663*INT(AA663/B663)))/C663)/100))))</f>
        <v>0</v>
      </c>
      <c r="BM663" s="57">
        <f>IF(ISERROR(IF(B663=C663,AB663/C663,(INT(AB663/B663)+(((AB663-B663*INT(AB663/B663)))/C663)/100))),0,(IF(B663=C663,AB663/C663,(INT(AB663/B663)+(((AB663-B663*INT(AB663/B663)))/C663)/100))))</f>
        <v>0</v>
      </c>
      <c r="BN663" s="57">
        <f>IF(ISERROR(IF(B663=C663,AC663/C663,(INT(AC663/B663)+(((AC663-B663*INT(AC663/B663)))/C663)/100))),0,(IF(B663=C663,AC663/C663,(INT(AC663/B663)+(((AC663-B663*INT(AC663/B663)))/C663)/100))))</f>
        <v>0</v>
      </c>
      <c r="BO663" s="57">
        <f>IF(ISERROR(IF(B663=C663,AD663/C663,(INT(AD663/B663)+(((AD663-B663*INT(AD663/B663)))/C663)/100))),0,(IF(B663=C663,AD663/C663,(INT(AD663/B663)+(((AD663-B663*INT(AD663/B663)))/C663)/100))))</f>
        <v>0</v>
      </c>
      <c r="BQ663" s="155"/>
    </row>
    <row r="664" spans="1:69" hidden="1" x14ac:dyDescent="0.35">
      <c r="A664" s="94"/>
      <c r="B664" s="113">
        <v>0</v>
      </c>
      <c r="C664" s="113">
        <v>250</v>
      </c>
      <c r="D664" s="28">
        <f>SUM(AA664:AD664)</f>
        <v>0</v>
      </c>
      <c r="E664" s="113">
        <v>0</v>
      </c>
      <c r="F664" s="113">
        <v>0</v>
      </c>
      <c r="G664" s="28">
        <f>SUM(D664:F664)</f>
        <v>0</v>
      </c>
      <c r="H664" s="125">
        <v>0</v>
      </c>
      <c r="I664" s="113">
        <v>0</v>
      </c>
      <c r="J664" s="125">
        <v>0</v>
      </c>
      <c r="K664" s="113">
        <v>0</v>
      </c>
      <c r="L664" s="113">
        <v>0</v>
      </c>
      <c r="M664" s="113">
        <v>0</v>
      </c>
      <c r="N664" s="28">
        <f>G664-SUM(H664:M664)</f>
        <v>0</v>
      </c>
      <c r="O664" s="28">
        <f>SUM(V664:Y664)</f>
        <v>0</v>
      </c>
      <c r="P664" s="28">
        <f>O664-N664</f>
        <v>0</v>
      </c>
      <c r="Q664" s="61" t="str">
        <f>IF(ISERROR(P664/SUM(H664:L664)),"",P664/SUM(H664:L664))</f>
        <v/>
      </c>
      <c r="R664" s="113">
        <v>0</v>
      </c>
      <c r="S664" s="28">
        <f>IF(ISERROR(P664/C664*R664),0,(P664/C664*R664))</f>
        <v>0</v>
      </c>
      <c r="T664" s="60">
        <f>IF(ISERROR(P664/B664*AF664),0,(P664/B664*AF664))</f>
        <v>0</v>
      </c>
      <c r="V664" s="113">
        <v>0</v>
      </c>
      <c r="W664" s="113">
        <v>0</v>
      </c>
      <c r="X664" s="113">
        <v>0</v>
      </c>
      <c r="Y664" s="113">
        <v>0</v>
      </c>
      <c r="AA664" s="113">
        <v>0</v>
      </c>
      <c r="AB664" s="113">
        <v>0</v>
      </c>
      <c r="AC664" s="113">
        <v>0</v>
      </c>
      <c r="AD664" s="113">
        <v>0</v>
      </c>
      <c r="AF664" s="113">
        <v>0</v>
      </c>
      <c r="AG664" s="28">
        <f>G664-O664</f>
        <v>0</v>
      </c>
      <c r="AH664" s="58">
        <f>IF(ISERROR(AG664/B664*AF664),0,(AG664/B664*AF664))</f>
        <v>0</v>
      </c>
      <c r="AI664" s="28">
        <f>SUM(H664:M664)</f>
        <v>0</v>
      </c>
      <c r="AJ664" s="28">
        <f>IF(ISERROR(AI664/B664*AF664),0,(AI664/B664*AF664))</f>
        <v>0</v>
      </c>
      <c r="AK664" s="58">
        <f>IF(ISERROR(O664/B664*AF664),0,(O664/B664*AF664))</f>
        <v>0</v>
      </c>
      <c r="AL664" s="28">
        <f>IF(ISERROR(H664/B664*AF664),0,(H664/B664*AF664))</f>
        <v>0</v>
      </c>
      <c r="AN664" s="51">
        <f>A664</f>
        <v>0</v>
      </c>
      <c r="AO664" s="57">
        <f>IF(ISERROR(IF(B664=C664,D664/C664,(INT(D664/B664)+(((D664-B664*INT(D664/B664)))/C664)/100))),0,(IF(B664=C664,D664/C664,(INT(D664/B664)+(((D664-B664*INT(D664/B664)))/C664)/100))))</f>
        <v>0</v>
      </c>
      <c r="AP664" s="57">
        <f>IF(ISERROR(IF(B664=C664,E664/C664,(INT(E664/B664)+(((E664-B664*INT(E664/B664)))/C664)/100))),0,(IF(B664=C664,E664/C664,(INT(E664/B664)+(((E664-B664*INT(E664/B664)))/C664)/100))))</f>
        <v>0</v>
      </c>
      <c r="AQ664" s="57">
        <f>IF(ISERROR(IF(B664=C664,F664/C664,IF((INT(F664/B664)+(((F664-B664*INT(F664/B664)))/C664)/100)&lt;0,(INT(F664/B664)+(((F664-B664*INT(F664/B664)))/C664)/100)+(1-(B664/C664/100)),(INT(F664/B664)+(((F664-B664*INT(F664/B664)))/C664)/100)))),0,IF(B664=C664,F664/C664,IF((INT(F664/B664)+(((F664-B664*INT(F664/B664)))/C664)/100)&lt;0,(INT(F664/B664)+(((F664-B664*INT(F664/B664)))/C664)/100)+(1-(B664/C664/100)),(INT(F664/B664)+(((F664-B664*INT(F664/B664)))/C664)/100))))</f>
        <v>0</v>
      </c>
      <c r="AR664" s="57">
        <f>IF(ISERROR(IF(B664=C664,G664/C664,(INT(G664/B664)+(((G664-B664*INT(G664/B664)))/C664)/100))),0,(IF(B664=C664,G664/C664,(INT(G664/B664)+(((G664-B664*INT(G664/B664)))/C664)/100))))</f>
        <v>0</v>
      </c>
      <c r="AS664" s="57">
        <f>IF(ISERROR(IF(B664=C664,H664/C664,(INT(H664/B664)+(((H664-B664*INT(H664/B664)))/C664)/100))),0,(IF(B664=C664,H664/C664,(INT(H664/B664)+(((H664-B664*INT(H664/B664)))/C664)/100))))</f>
        <v>0</v>
      </c>
      <c r="AT664" s="57">
        <f>IF(ISERROR(IF(B664=C664,I664/C664,(INT(I664/B664)+(((I664-B664*INT(I664/B664)))/C664)/100))),0,(IF(B664=C664,I664/C664,(INT(I664/B664)+(((I664-B664*INT(I664/B664)))/C664)/100))))</f>
        <v>0</v>
      </c>
      <c r="AU664" s="57">
        <f>IF(ISERROR(IF(B664=C664,J664/C664,(INT(J664/B664)+(((J664-B664*INT(J664/B664)))/C664)/100))),0,(IF(B664=C664,J664/C664,(INT(J664/B664)+(((J664-B664*INT(J664/B664)))/C664)/100))))</f>
        <v>0</v>
      </c>
      <c r="AV664" s="57">
        <f>IF(ISERROR(IF(B664=C664,K664/C664,IF((INT(K664/B664)+(((K664-B664*INT(K664/B664)))/C664)/100)&lt;0,(INT(K664/B664)+(((K664-B664*INT(K664/B664)))/C664)/100)+(1-(B664/C664/100)),(INT(K664/B664)+(((K664-B664*INT(K664/B664)))/C664)/100)))),0,IF(B664=C664,K664/C664,IF((INT(K664/B664)+(((K664-B664*INT(K664/B664)))/C664)/100)&lt;0,(INT(K664/B664)+(((K664-B664*INT(K664/B664)))/C664)/100)+(1-(B664/C664/100)),(INT(K664/B664)+(((K664-B664*INT(K664/B664)))/C664)/100))))</f>
        <v>0</v>
      </c>
      <c r="AW664" s="57">
        <f>IF(ISERROR(IF(B664=C664,L664/C664,(INT(L664/B664)+(((L664-B664*INT(L664/B664)))/C664)/100))),0,(IF(B664=C664,L664/C664,(INT(L664/B664)+(((L664-B664*INT(L664/B664)))/C664)/100))))</f>
        <v>0</v>
      </c>
      <c r="AX664" s="57">
        <f>IF(ISERROR(IF(B664=C664,M664/C664,(INT(M664/B664)+(((M664-B664*INT(M664/B664)))/C664)/100))),0,(IF(B664=C664,M664/C664,(INT(M664/B664)+(((M664-B664*INT(M664/B664)))/C664)/100))))</f>
        <v>0</v>
      </c>
      <c r="AY664" s="57">
        <f>IF(ISERROR(IF(B664=C664,N664/C664,IF((INT(N664/B664)+(((N664-B664*INT(N664/B664)))/C664)/100)&lt;0,(INT(N664/B664)+(((N664-B664*INT(N664/B664)))/C664)/100)+(1-(B664/C664/100)),(INT(N664/B664)+(((N664-B664*INT(N664/B664)))/C664)/100)))),0,IF(B664=C664,N664/C664,IF((INT(N664/B664)+(((N664-B664*INT(N664/B664)))/C664)/100)&lt;0,(INT(N664/B664)+(((N664-B664*INT(N664/B664)))/C664)/100)+(1-(B664/C664/100)),(INT(N664/B664)+(((N664-B664*INT(N664/B664)))/C664)/100))))</f>
        <v>0</v>
      </c>
      <c r="AZ664" s="57">
        <f>IF(ISERROR(IF(B664=C664,O664/C664,(INT(O664/B664)+(((O664-B664*INT(O664/B664)))/C664)/100))),0,(IF(B664=C664,O664/C664,(INT(O664/B664)+(((O664-B664*INT(O664/B664)))/C664)/100))))</f>
        <v>0</v>
      </c>
      <c r="BA664" s="57">
        <f>IF(ISERROR(IF(B664=C664,P664/C664,IF((INT(P664/B664)+(((P664-B664*INT(P664/B664)))/C664)/100)&lt;0,(INT(P664/B664)+(((P664-B664*INT(P664/B664)))/C664)/100)+(1-(B664/C664/100)),(INT(P664/B664)+(((P664-B664*INT(P664/B664)))/C664)/100)))),0,IF(B664=C664,P664/C664,IF((INT(P664/B664)+(((P664-B664*INT(P664/B664)))/C664)/100)&lt;0,(INT(P664/B664)+(((P664-B664*INT(P664/B664)))/C664)/100)+(1-(B664/C664/100)),(INT(P664/B664)+(((P664-B664*INT(P664/B664)))/C664)/100))))</f>
        <v>0</v>
      </c>
      <c r="BB664" s="28">
        <f>R664</f>
        <v>0</v>
      </c>
      <c r="BC664" s="28">
        <f>S664</f>
        <v>0</v>
      </c>
      <c r="BD664" s="28">
        <f>AF664</f>
        <v>0</v>
      </c>
      <c r="BE664" s="28">
        <f>T664</f>
        <v>0</v>
      </c>
      <c r="BG664" s="57">
        <f>IF(ISERROR(IF(B664=C664,V664/C664,(INT(V664/B664)+(((V664-B664*INT(V664/B664)))/C664)/100))),0,(IF(B664=C664,V664/C664,(INT(V664/B664)+(((V664-B664*INT(V664/B664)))/C664)/100))))</f>
        <v>0</v>
      </c>
      <c r="BH664" s="57">
        <f>IF(ISERROR(IF(B664=C664,W664/C664,(INT(W664/B664)+(((W664-B664*INT(W664/B664)))/C664)/100))),0,(IF(B664=C664,W664/C664,(INT(W664/B664)+(((W664-B664*INT(W664/B664)))/C664)/100))))</f>
        <v>0</v>
      </c>
      <c r="BI664" s="57">
        <f>IF(ISERROR(IF(B664=C664,X664/C664,(INT(X664/B664)+(((X664-B664*INT(X664/B664)))/C664)/100))),0,(IF(B664=C664,X664/C664,(INT(X664/B664)+(((X664-B664*INT(X664/B664)))/C664)/100))))</f>
        <v>0</v>
      </c>
      <c r="BJ664" s="57">
        <f>IF(ISERROR(IF(B664=C664,Y664/C664,(INT(Y664/B664)+(((Y664-B664*INT(Y664/B664)))/C664)/100))),0,(IF(B664=C664,Y664/C664,(INT(Y664/B664)+(((Y664-B664*INT(Y664/B664)))/C664)/100))))</f>
        <v>0</v>
      </c>
      <c r="BL664" s="57">
        <f>IF(ISERROR(IF(B664=C664,AA664/C664,(INT(AA664/B664)+(((AA664-B664*INT(AA664/B664)))/C664)/100))),0,(IF(B664=C664,AA664/C664,(INT(AA664/B664)+(((AA664-B664*INT(AA664/B664)))/C664)/100))))</f>
        <v>0</v>
      </c>
      <c r="BM664" s="57">
        <f>IF(ISERROR(IF(B664=C664,AB664/C664,(INT(AB664/B664)+(((AB664-B664*INT(AB664/B664)))/C664)/100))),0,(IF(B664=C664,AB664/C664,(INT(AB664/B664)+(((AB664-B664*INT(AB664/B664)))/C664)/100))))</f>
        <v>0</v>
      </c>
      <c r="BN664" s="57">
        <f>IF(ISERROR(IF(B664=C664,AC664/C664,(INT(AC664/B664)+(((AC664-B664*INT(AC664/B664)))/C664)/100))),0,(IF(B664=C664,AC664/C664,(INT(AC664/B664)+(((AC664-B664*INT(AC664/B664)))/C664)/100))))</f>
        <v>0</v>
      </c>
      <c r="BO664" s="57">
        <f>IF(ISERROR(IF(B664=C664,AD664/C664,(INT(AD664/B664)+(((AD664-B664*INT(AD664/B664)))/C664)/100))),0,(IF(B664=C664,AD664/C664,(INT(AD664/B664)+(((AD664-B664*INT(AD664/B664)))/C664)/100))))</f>
        <v>0</v>
      </c>
      <c r="BQ664" s="155"/>
    </row>
    <row r="665" spans="1:69" hidden="1" x14ac:dyDescent="0.35">
      <c r="A665" s="94"/>
      <c r="B665" s="113">
        <v>0</v>
      </c>
      <c r="C665" s="113">
        <v>250</v>
      </c>
      <c r="D665" s="28">
        <f>SUM(AA665:AD665)</f>
        <v>0</v>
      </c>
      <c r="E665" s="113">
        <v>0</v>
      </c>
      <c r="F665" s="113">
        <v>0</v>
      </c>
      <c r="G665" s="28">
        <f>SUM(D665:F665)</f>
        <v>0</v>
      </c>
      <c r="H665" s="125">
        <v>0</v>
      </c>
      <c r="I665" s="113">
        <v>0</v>
      </c>
      <c r="J665" s="125">
        <v>0</v>
      </c>
      <c r="K665" s="113">
        <v>0</v>
      </c>
      <c r="L665" s="113">
        <v>0</v>
      </c>
      <c r="M665" s="113">
        <v>0</v>
      </c>
      <c r="N665" s="28">
        <f>G665-SUM(H665:M665)</f>
        <v>0</v>
      </c>
      <c r="O665" s="28">
        <f>SUM(V665:Y665)</f>
        <v>0</v>
      </c>
      <c r="P665" s="28">
        <f>O665-N665</f>
        <v>0</v>
      </c>
      <c r="Q665" s="61" t="str">
        <f>IF(ISERROR(P665/SUM(H665:L665)),"",P665/SUM(H665:L665))</f>
        <v/>
      </c>
      <c r="R665" s="113">
        <v>0</v>
      </c>
      <c r="S665" s="28">
        <f>IF(ISERROR(P665/C665*R665),0,(P665/C665*R665))</f>
        <v>0</v>
      </c>
      <c r="T665" s="60">
        <f>IF(ISERROR(P665/B665*AF665),0,(P665/B665*AF665))</f>
        <v>0</v>
      </c>
      <c r="V665" s="113">
        <v>0</v>
      </c>
      <c r="W665" s="113">
        <v>0</v>
      </c>
      <c r="X665" s="113">
        <v>0</v>
      </c>
      <c r="Y665" s="113">
        <v>0</v>
      </c>
      <c r="AA665" s="113">
        <v>0</v>
      </c>
      <c r="AB665" s="113">
        <v>0</v>
      </c>
      <c r="AC665" s="113">
        <v>0</v>
      </c>
      <c r="AD665" s="113">
        <v>0</v>
      </c>
      <c r="AF665" s="113">
        <v>0</v>
      </c>
      <c r="AG665" s="28">
        <f>G665-O665</f>
        <v>0</v>
      </c>
      <c r="AH665" s="58">
        <f>IF(ISERROR(AG665/B665*AF665),0,(AG665/B665*AF665))</f>
        <v>0</v>
      </c>
      <c r="AI665" s="28">
        <f>SUM(H665:M665)</f>
        <v>0</v>
      </c>
      <c r="AJ665" s="28">
        <f>IF(ISERROR(AI665/B665*AF665),0,(AI665/B665*AF665))</f>
        <v>0</v>
      </c>
      <c r="AK665" s="58">
        <f>IF(ISERROR(O665/B665*AF665),0,(O665/B665*AF665))</f>
        <v>0</v>
      </c>
      <c r="AL665" s="28">
        <f>IF(ISERROR(H665/B665*AF665),0,(H665/B665*AF665))</f>
        <v>0</v>
      </c>
      <c r="AN665" s="51">
        <f>A665</f>
        <v>0</v>
      </c>
      <c r="AO665" s="57">
        <f>IF(ISERROR(IF(B665=C665,D665/C665,(INT(D665/B665)+(((D665-B665*INT(D665/B665)))/C665)/100))),0,(IF(B665=C665,D665/C665,(INT(D665/B665)+(((D665-B665*INT(D665/B665)))/C665)/100))))</f>
        <v>0</v>
      </c>
      <c r="AP665" s="57">
        <f>IF(ISERROR(IF(B665=C665,E665/C665,(INT(E665/B665)+(((E665-B665*INT(E665/B665)))/C665)/100))),0,(IF(B665=C665,E665/C665,(INT(E665/B665)+(((E665-B665*INT(E665/B665)))/C665)/100))))</f>
        <v>0</v>
      </c>
      <c r="AQ665" s="57">
        <f>IF(ISERROR(IF(B665=C665,F665/C665,IF((INT(F665/B665)+(((F665-B665*INT(F665/B665)))/C665)/100)&lt;0,(INT(F665/B665)+(((F665-B665*INT(F665/B665)))/C665)/100)+(1-(B665/C665/100)),(INT(F665/B665)+(((F665-B665*INT(F665/B665)))/C665)/100)))),0,IF(B665=C665,F665/C665,IF((INT(F665/B665)+(((F665-B665*INT(F665/B665)))/C665)/100)&lt;0,(INT(F665/B665)+(((F665-B665*INT(F665/B665)))/C665)/100)+(1-(B665/C665/100)),(INT(F665/B665)+(((F665-B665*INT(F665/B665)))/C665)/100))))</f>
        <v>0</v>
      </c>
      <c r="AR665" s="57">
        <f>IF(ISERROR(IF(B665=C665,G665/C665,(INT(G665/B665)+(((G665-B665*INT(G665/B665)))/C665)/100))),0,(IF(B665=C665,G665/C665,(INT(G665/B665)+(((G665-B665*INT(G665/B665)))/C665)/100))))</f>
        <v>0</v>
      </c>
      <c r="AS665" s="57">
        <f>IF(ISERROR(IF(B665=C665,H665/C665,(INT(H665/B665)+(((H665-B665*INT(H665/B665)))/C665)/100))),0,(IF(B665=C665,H665/C665,(INT(H665/B665)+(((H665-B665*INT(H665/B665)))/C665)/100))))</f>
        <v>0</v>
      </c>
      <c r="AT665" s="57">
        <f>IF(ISERROR(IF(B665=C665,I665/C665,(INT(I665/B665)+(((I665-B665*INT(I665/B665)))/C665)/100))),0,(IF(B665=C665,I665/C665,(INT(I665/B665)+(((I665-B665*INT(I665/B665)))/C665)/100))))</f>
        <v>0</v>
      </c>
      <c r="AU665" s="57">
        <f>IF(ISERROR(IF(B665=C665,J665/C665,(INT(J665/B665)+(((J665-B665*INT(J665/B665)))/C665)/100))),0,(IF(B665=C665,J665/C665,(INT(J665/B665)+(((J665-B665*INT(J665/B665)))/C665)/100))))</f>
        <v>0</v>
      </c>
      <c r="AV665" s="57">
        <f>IF(ISERROR(IF(B665=C665,K665/C665,IF((INT(K665/B665)+(((K665-B665*INT(K665/B665)))/C665)/100)&lt;0,(INT(K665/B665)+(((K665-B665*INT(K665/B665)))/C665)/100)+(1-(B665/C665/100)),(INT(K665/B665)+(((K665-B665*INT(K665/B665)))/C665)/100)))),0,IF(B665=C665,K665/C665,IF((INT(K665/B665)+(((K665-B665*INT(K665/B665)))/C665)/100)&lt;0,(INT(K665/B665)+(((K665-B665*INT(K665/B665)))/C665)/100)+(1-(B665/C665/100)),(INT(K665/B665)+(((K665-B665*INT(K665/B665)))/C665)/100))))</f>
        <v>0</v>
      </c>
      <c r="AW665" s="57">
        <f>IF(ISERROR(IF(B665=C665,L665/C665,(INT(L665/B665)+(((L665-B665*INT(L665/B665)))/C665)/100))),0,(IF(B665=C665,L665/C665,(INT(L665/B665)+(((L665-B665*INT(L665/B665)))/C665)/100))))</f>
        <v>0</v>
      </c>
      <c r="AX665" s="57">
        <f>IF(ISERROR(IF(B665=C665,M665/C665,(INT(M665/B665)+(((M665-B665*INT(M665/B665)))/C665)/100))),0,(IF(B665=C665,M665/C665,(INT(M665/B665)+(((M665-B665*INT(M665/B665)))/C665)/100))))</f>
        <v>0</v>
      </c>
      <c r="AY665" s="57">
        <f>IF(ISERROR(IF(B665=C665,N665/C665,IF((INT(N665/B665)+(((N665-B665*INT(N665/B665)))/C665)/100)&lt;0,(INT(N665/B665)+(((N665-B665*INT(N665/B665)))/C665)/100)+(1-(B665/C665/100)),(INT(N665/B665)+(((N665-B665*INT(N665/B665)))/C665)/100)))),0,IF(B665=C665,N665/C665,IF((INT(N665/B665)+(((N665-B665*INT(N665/B665)))/C665)/100)&lt;0,(INT(N665/B665)+(((N665-B665*INT(N665/B665)))/C665)/100)+(1-(B665/C665/100)),(INT(N665/B665)+(((N665-B665*INT(N665/B665)))/C665)/100))))</f>
        <v>0</v>
      </c>
      <c r="AZ665" s="57">
        <f>IF(ISERROR(IF(B665=C665,O665/C665,(INT(O665/B665)+(((O665-B665*INT(O665/B665)))/C665)/100))),0,(IF(B665=C665,O665/C665,(INT(O665/B665)+(((O665-B665*INT(O665/B665)))/C665)/100))))</f>
        <v>0</v>
      </c>
      <c r="BA665" s="57">
        <f>IF(ISERROR(IF(B665=C665,P665/C665,IF((INT(P665/B665)+(((P665-B665*INT(P665/B665)))/C665)/100)&lt;0,(INT(P665/B665)+(((P665-B665*INT(P665/B665)))/C665)/100)+(1-(B665/C665/100)),(INT(P665/B665)+(((P665-B665*INT(P665/B665)))/C665)/100)))),0,IF(B665=C665,P665/C665,IF((INT(P665/B665)+(((P665-B665*INT(P665/B665)))/C665)/100)&lt;0,(INT(P665/B665)+(((P665-B665*INT(P665/B665)))/C665)/100)+(1-(B665/C665/100)),(INT(P665/B665)+(((P665-B665*INT(P665/B665)))/C665)/100))))</f>
        <v>0</v>
      </c>
      <c r="BB665" s="28">
        <f>R665</f>
        <v>0</v>
      </c>
      <c r="BC665" s="28">
        <f>S665</f>
        <v>0</v>
      </c>
      <c r="BD665" s="28">
        <f>AF665</f>
        <v>0</v>
      </c>
      <c r="BE665" s="28">
        <f>T665</f>
        <v>0</v>
      </c>
      <c r="BG665" s="57">
        <f>IF(ISERROR(IF(B665=C665,V665/C665,(INT(V665/B665)+(((V665-B665*INT(V665/B665)))/C665)/100))),0,(IF(B665=C665,V665/C665,(INT(V665/B665)+(((V665-B665*INT(V665/B665)))/C665)/100))))</f>
        <v>0</v>
      </c>
      <c r="BH665" s="57">
        <f>IF(ISERROR(IF(B665=C665,W665/C665,(INT(W665/B665)+(((W665-B665*INT(W665/B665)))/C665)/100))),0,(IF(B665=C665,W665/C665,(INT(W665/B665)+(((W665-B665*INT(W665/B665)))/C665)/100))))</f>
        <v>0</v>
      </c>
      <c r="BI665" s="57">
        <f>IF(ISERROR(IF(B665=C665,X665/C665,(INT(X665/B665)+(((X665-B665*INT(X665/B665)))/C665)/100))),0,(IF(B665=C665,X665/C665,(INT(X665/B665)+(((X665-B665*INT(X665/B665)))/C665)/100))))</f>
        <v>0</v>
      </c>
      <c r="BJ665" s="57">
        <f>IF(ISERROR(IF(B665=C665,Y665/C665,(INT(Y665/B665)+(((Y665-B665*INT(Y665/B665)))/C665)/100))),0,(IF(B665=C665,Y665/C665,(INT(Y665/B665)+(((Y665-B665*INT(Y665/B665)))/C665)/100))))</f>
        <v>0</v>
      </c>
      <c r="BL665" s="57">
        <f>IF(ISERROR(IF(B665=C665,AA665/C665,(INT(AA665/B665)+(((AA665-B665*INT(AA665/B665)))/C665)/100))),0,(IF(B665=C665,AA665/C665,(INT(AA665/B665)+(((AA665-B665*INT(AA665/B665)))/C665)/100))))</f>
        <v>0</v>
      </c>
      <c r="BM665" s="57">
        <f>IF(ISERROR(IF(B665=C665,AB665/C665,(INT(AB665/B665)+(((AB665-B665*INT(AB665/B665)))/C665)/100))),0,(IF(B665=C665,AB665/C665,(INT(AB665/B665)+(((AB665-B665*INT(AB665/B665)))/C665)/100))))</f>
        <v>0</v>
      </c>
      <c r="BN665" s="57">
        <f>IF(ISERROR(IF(B665=C665,AC665/C665,(INT(AC665/B665)+(((AC665-B665*INT(AC665/B665)))/C665)/100))),0,(IF(B665=C665,AC665/C665,(INT(AC665/B665)+(((AC665-B665*INT(AC665/B665)))/C665)/100))))</f>
        <v>0</v>
      </c>
      <c r="BO665" s="57">
        <f>IF(ISERROR(IF(B665=C665,AD665/C665,(INT(AD665/B665)+(((AD665-B665*INT(AD665/B665)))/C665)/100))),0,(IF(B665=C665,AD665/C665,(INT(AD665/B665)+(((AD665-B665*INT(AD665/B665)))/C665)/100))))</f>
        <v>0</v>
      </c>
      <c r="BQ665" s="155"/>
    </row>
    <row r="666" spans="1:69" hidden="1" x14ac:dyDescent="0.35">
      <c r="A666" s="94"/>
      <c r="B666" s="113">
        <v>0</v>
      </c>
      <c r="C666" s="113">
        <v>250</v>
      </c>
      <c r="D666" s="28">
        <f>SUM(AA666:AD666)</f>
        <v>0</v>
      </c>
      <c r="E666" s="113">
        <v>0</v>
      </c>
      <c r="F666" s="113">
        <v>0</v>
      </c>
      <c r="G666" s="28">
        <f>SUM(D666:F666)</f>
        <v>0</v>
      </c>
      <c r="H666" s="125">
        <v>0</v>
      </c>
      <c r="I666" s="113">
        <v>0</v>
      </c>
      <c r="J666" s="125">
        <v>0</v>
      </c>
      <c r="K666" s="113">
        <v>0</v>
      </c>
      <c r="L666" s="113">
        <v>0</v>
      </c>
      <c r="M666" s="113">
        <v>0</v>
      </c>
      <c r="N666" s="28">
        <f>G666-SUM(H666:M666)</f>
        <v>0</v>
      </c>
      <c r="O666" s="28">
        <f>SUM(V666:Y666)</f>
        <v>0</v>
      </c>
      <c r="P666" s="28">
        <f>O666-N666</f>
        <v>0</v>
      </c>
      <c r="Q666" s="61" t="str">
        <f>IF(ISERROR(P666/SUM(H666:L666)),"",P666/SUM(H666:L666))</f>
        <v/>
      </c>
      <c r="R666" s="113">
        <v>0</v>
      </c>
      <c r="S666" s="28">
        <f>IF(ISERROR(P666/C666*R666),0,(P666/C666*R666))</f>
        <v>0</v>
      </c>
      <c r="T666" s="60">
        <f>IF(ISERROR(P666/B666*AF666),0,(P666/B666*AF666))</f>
        <v>0</v>
      </c>
      <c r="V666" s="113">
        <v>0</v>
      </c>
      <c r="W666" s="113">
        <v>0</v>
      </c>
      <c r="X666" s="113">
        <v>0</v>
      </c>
      <c r="Y666" s="113">
        <v>0</v>
      </c>
      <c r="AA666" s="113">
        <v>0</v>
      </c>
      <c r="AB666" s="113">
        <v>0</v>
      </c>
      <c r="AC666" s="113">
        <v>0</v>
      </c>
      <c r="AD666" s="113">
        <v>0</v>
      </c>
      <c r="AF666" s="113">
        <v>0</v>
      </c>
      <c r="AG666" s="28">
        <f>G666-O666</f>
        <v>0</v>
      </c>
      <c r="AH666" s="58">
        <f>IF(ISERROR(AG666/B666*AF666),0,(AG666/B666*AF666))</f>
        <v>0</v>
      </c>
      <c r="AI666" s="28">
        <f>SUM(H666:M666)</f>
        <v>0</v>
      </c>
      <c r="AJ666" s="28">
        <f>IF(ISERROR(AI666/B666*AF666),0,(AI666/B666*AF666))</f>
        <v>0</v>
      </c>
      <c r="AK666" s="58">
        <f>IF(ISERROR(O666/B666*AF666),0,(O666/B666*AF666))</f>
        <v>0</v>
      </c>
      <c r="AL666" s="28">
        <f>IF(ISERROR(H666/B666*AF666),0,(H666/B666*AF666))</f>
        <v>0</v>
      </c>
      <c r="AN666" s="51">
        <f>A666</f>
        <v>0</v>
      </c>
      <c r="AO666" s="57">
        <f>IF(ISERROR(IF(B666=C666,D666/C666,(INT(D666/B666)+(((D666-B666*INT(D666/B666)))/C666)/100))),0,(IF(B666=C666,D666/C666,(INT(D666/B666)+(((D666-B666*INT(D666/B666)))/C666)/100))))</f>
        <v>0</v>
      </c>
      <c r="AP666" s="57">
        <f>IF(ISERROR(IF(B666=C666,E666/C666,(INT(E666/B666)+(((E666-B666*INT(E666/B666)))/C666)/100))),0,(IF(B666=C666,E666/C666,(INT(E666/B666)+(((E666-B666*INT(E666/B666)))/C666)/100))))</f>
        <v>0</v>
      </c>
      <c r="AQ666" s="57">
        <f>IF(ISERROR(IF(B666=C666,F666/C666,IF((INT(F666/B666)+(((F666-B666*INT(F666/B666)))/C666)/100)&lt;0,(INT(F666/B666)+(((F666-B666*INT(F666/B666)))/C666)/100)+(1-(B666/C666/100)),(INT(F666/B666)+(((F666-B666*INT(F666/B666)))/C666)/100)))),0,IF(B666=C666,F666/C666,IF((INT(F666/B666)+(((F666-B666*INT(F666/B666)))/C666)/100)&lt;0,(INT(F666/B666)+(((F666-B666*INT(F666/B666)))/C666)/100)+(1-(B666/C666/100)),(INT(F666/B666)+(((F666-B666*INT(F666/B666)))/C666)/100))))</f>
        <v>0</v>
      </c>
      <c r="AR666" s="57">
        <f>IF(ISERROR(IF(B666=C666,G666/C666,(INT(G666/B666)+(((G666-B666*INT(G666/B666)))/C666)/100))),0,(IF(B666=C666,G666/C666,(INT(G666/B666)+(((G666-B666*INT(G666/B666)))/C666)/100))))</f>
        <v>0</v>
      </c>
      <c r="AS666" s="57">
        <f>IF(ISERROR(IF(B666=C666,H666/C666,(INT(H666/B666)+(((H666-B666*INT(H666/B666)))/C666)/100))),0,(IF(B666=C666,H666/C666,(INT(H666/B666)+(((H666-B666*INT(H666/B666)))/C666)/100))))</f>
        <v>0</v>
      </c>
      <c r="AT666" s="57">
        <f>IF(ISERROR(IF(B666=C666,I666/C666,(INT(I666/B666)+(((I666-B666*INT(I666/B666)))/C666)/100))),0,(IF(B666=C666,I666/C666,(INT(I666/B666)+(((I666-B666*INT(I666/B666)))/C666)/100))))</f>
        <v>0</v>
      </c>
      <c r="AU666" s="57">
        <f>IF(ISERROR(IF(B666=C666,J666/C666,(INT(J666/B666)+(((J666-B666*INT(J666/B666)))/C666)/100))),0,(IF(B666=C666,J666/C666,(INT(J666/B666)+(((J666-B666*INT(J666/B666)))/C666)/100))))</f>
        <v>0</v>
      </c>
      <c r="AV666" s="57">
        <f>IF(ISERROR(IF(B666=C666,K666/C666,IF((INT(K666/B666)+(((K666-B666*INT(K666/B666)))/C666)/100)&lt;0,(INT(K666/B666)+(((K666-B666*INT(K666/B666)))/C666)/100)+(1-(B666/C666/100)),(INT(K666/B666)+(((K666-B666*INT(K666/B666)))/C666)/100)))),0,IF(B666=C666,K666/C666,IF((INT(K666/B666)+(((K666-B666*INT(K666/B666)))/C666)/100)&lt;0,(INT(K666/B666)+(((K666-B666*INT(K666/B666)))/C666)/100)+(1-(B666/C666/100)),(INT(K666/B666)+(((K666-B666*INT(K666/B666)))/C666)/100))))</f>
        <v>0</v>
      </c>
      <c r="AW666" s="57">
        <f>IF(ISERROR(IF(B666=C666,L666/C666,(INT(L666/B666)+(((L666-B666*INT(L666/B666)))/C666)/100))),0,(IF(B666=C666,L666/C666,(INT(L666/B666)+(((L666-B666*INT(L666/B666)))/C666)/100))))</f>
        <v>0</v>
      </c>
      <c r="AX666" s="57">
        <f>IF(ISERROR(IF(B666=C666,M666/C666,(INT(M666/B666)+(((M666-B666*INT(M666/B666)))/C666)/100))),0,(IF(B666=C666,M666/C666,(INT(M666/B666)+(((M666-B666*INT(M666/B666)))/C666)/100))))</f>
        <v>0</v>
      </c>
      <c r="AY666" s="57">
        <f>IF(ISERROR(IF(B666=C666,N666/C666,IF((INT(N666/B666)+(((N666-B666*INT(N666/B666)))/C666)/100)&lt;0,(INT(N666/B666)+(((N666-B666*INT(N666/B666)))/C666)/100)+(1-(B666/C666/100)),(INT(N666/B666)+(((N666-B666*INT(N666/B666)))/C666)/100)))),0,IF(B666=C666,N666/C666,IF((INT(N666/B666)+(((N666-B666*INT(N666/B666)))/C666)/100)&lt;0,(INT(N666/B666)+(((N666-B666*INT(N666/B666)))/C666)/100)+(1-(B666/C666/100)),(INT(N666/B666)+(((N666-B666*INT(N666/B666)))/C666)/100))))</f>
        <v>0</v>
      </c>
      <c r="AZ666" s="57">
        <f>IF(ISERROR(IF(B666=C666,O666/C666,(INT(O666/B666)+(((O666-B666*INT(O666/B666)))/C666)/100))),0,(IF(B666=C666,O666/C666,(INT(O666/B666)+(((O666-B666*INT(O666/B666)))/C666)/100))))</f>
        <v>0</v>
      </c>
      <c r="BA666" s="57">
        <f>IF(ISERROR(IF(B666=C666,P666/C666,IF((INT(P666/B666)+(((P666-B666*INT(P666/B666)))/C666)/100)&lt;0,(INT(P666/B666)+(((P666-B666*INT(P666/B666)))/C666)/100)+(1-(B666/C666/100)),(INT(P666/B666)+(((P666-B666*INT(P666/B666)))/C666)/100)))),0,IF(B666=C666,P666/C666,IF((INT(P666/B666)+(((P666-B666*INT(P666/B666)))/C666)/100)&lt;0,(INT(P666/B666)+(((P666-B666*INT(P666/B666)))/C666)/100)+(1-(B666/C666/100)),(INT(P666/B666)+(((P666-B666*INT(P666/B666)))/C666)/100))))</f>
        <v>0</v>
      </c>
      <c r="BB666" s="28">
        <f>R666</f>
        <v>0</v>
      </c>
      <c r="BC666" s="28">
        <f>S666</f>
        <v>0</v>
      </c>
      <c r="BD666" s="28">
        <f>AF666</f>
        <v>0</v>
      </c>
      <c r="BE666" s="28">
        <f>T666</f>
        <v>0</v>
      </c>
      <c r="BG666" s="57">
        <f>IF(ISERROR(IF(B666=C666,V666/C666,(INT(V666/B666)+(((V666-B666*INT(V666/B666)))/C666)/100))),0,(IF(B666=C666,V666/C666,(INT(V666/B666)+(((V666-B666*INT(V666/B666)))/C666)/100))))</f>
        <v>0</v>
      </c>
      <c r="BH666" s="57">
        <f>IF(ISERROR(IF(B666=C666,W666/C666,(INT(W666/B666)+(((W666-B666*INT(W666/B666)))/C666)/100))),0,(IF(B666=C666,W666/C666,(INT(W666/B666)+(((W666-B666*INT(W666/B666)))/C666)/100))))</f>
        <v>0</v>
      </c>
      <c r="BI666" s="57">
        <f>IF(ISERROR(IF(B666=C666,X666/C666,(INT(X666/B666)+(((X666-B666*INT(X666/B666)))/C666)/100))),0,(IF(B666=C666,X666/C666,(INT(X666/B666)+(((X666-B666*INT(X666/B666)))/C666)/100))))</f>
        <v>0</v>
      </c>
      <c r="BJ666" s="57">
        <f>IF(ISERROR(IF(B666=C666,Y666/C666,(INT(Y666/B666)+(((Y666-B666*INT(Y666/B666)))/C666)/100))),0,(IF(B666=C666,Y666/C666,(INT(Y666/B666)+(((Y666-B666*INT(Y666/B666)))/C666)/100))))</f>
        <v>0</v>
      </c>
      <c r="BL666" s="57">
        <f>IF(ISERROR(IF(B666=C666,AA666/C666,(INT(AA666/B666)+(((AA666-B666*INT(AA666/B666)))/C666)/100))),0,(IF(B666=C666,AA666/C666,(INT(AA666/B666)+(((AA666-B666*INT(AA666/B666)))/C666)/100))))</f>
        <v>0</v>
      </c>
      <c r="BM666" s="57">
        <f>IF(ISERROR(IF(B666=C666,AB666/C666,(INT(AB666/B666)+(((AB666-B666*INT(AB666/B666)))/C666)/100))),0,(IF(B666=C666,AB666/C666,(INT(AB666/B666)+(((AB666-B666*INT(AB666/B666)))/C666)/100))))</f>
        <v>0</v>
      </c>
      <c r="BN666" s="57">
        <f>IF(ISERROR(IF(B666=C666,AC666/C666,(INT(AC666/B666)+(((AC666-B666*INT(AC666/B666)))/C666)/100))),0,(IF(B666=C666,AC666/C666,(INT(AC666/B666)+(((AC666-B666*INT(AC666/B666)))/C666)/100))))</f>
        <v>0</v>
      </c>
      <c r="BO666" s="57">
        <f>IF(ISERROR(IF(B666=C666,AD666/C666,(INT(AD666/B666)+(((AD666-B666*INT(AD666/B666)))/C666)/100))),0,(IF(B666=C666,AD666/C666,(INT(AD666/B666)+(((AD666-B666*INT(AD666/B666)))/C666)/100))))</f>
        <v>0</v>
      </c>
      <c r="BQ666" s="155"/>
    </row>
    <row r="667" spans="1:69" hidden="1" x14ac:dyDescent="0.35">
      <c r="A667" s="94"/>
      <c r="B667" s="113">
        <v>0</v>
      </c>
      <c r="C667" s="113">
        <v>250</v>
      </c>
      <c r="D667" s="28">
        <f>SUM(AA667:AD667)</f>
        <v>0</v>
      </c>
      <c r="E667" s="113">
        <v>0</v>
      </c>
      <c r="F667" s="113">
        <v>0</v>
      </c>
      <c r="G667" s="28">
        <f>SUM(D667:F667)</f>
        <v>0</v>
      </c>
      <c r="H667" s="125">
        <v>0</v>
      </c>
      <c r="I667" s="113">
        <v>0</v>
      </c>
      <c r="J667" s="125">
        <v>0</v>
      </c>
      <c r="K667" s="113">
        <v>0</v>
      </c>
      <c r="L667" s="113">
        <v>0</v>
      </c>
      <c r="M667" s="113">
        <v>0</v>
      </c>
      <c r="N667" s="28">
        <f>G667-SUM(H667:M667)</f>
        <v>0</v>
      </c>
      <c r="O667" s="28">
        <f>SUM(V667:Y667)</f>
        <v>0</v>
      </c>
      <c r="P667" s="28">
        <f>O667-N667</f>
        <v>0</v>
      </c>
      <c r="Q667" s="61" t="str">
        <f>IF(ISERROR(P667/SUM(H667:L667)),"",P667/SUM(H667:L667))</f>
        <v/>
      </c>
      <c r="R667" s="113">
        <v>0</v>
      </c>
      <c r="S667" s="28">
        <f>IF(ISERROR(P667/C667*R667),0,(P667/C667*R667))</f>
        <v>0</v>
      </c>
      <c r="T667" s="60">
        <f>IF(ISERROR(P667/B667*AF667),0,(P667/B667*AF667))</f>
        <v>0</v>
      </c>
      <c r="V667" s="113">
        <v>0</v>
      </c>
      <c r="W667" s="113">
        <v>0</v>
      </c>
      <c r="X667" s="113">
        <v>0</v>
      </c>
      <c r="Y667" s="113">
        <v>0</v>
      </c>
      <c r="AA667" s="113">
        <v>0</v>
      </c>
      <c r="AB667" s="113">
        <v>0</v>
      </c>
      <c r="AC667" s="113">
        <v>0</v>
      </c>
      <c r="AD667" s="113">
        <v>0</v>
      </c>
      <c r="AF667" s="113">
        <v>0</v>
      </c>
      <c r="AG667" s="28">
        <f>G667-O667</f>
        <v>0</v>
      </c>
      <c r="AH667" s="58">
        <f>IF(ISERROR(AG667/B667*AF667),0,(AG667/B667*AF667))</f>
        <v>0</v>
      </c>
      <c r="AI667" s="28">
        <f>SUM(H667:M667)</f>
        <v>0</v>
      </c>
      <c r="AJ667" s="28">
        <f>IF(ISERROR(AI667/B667*AF667),0,(AI667/B667*AF667))</f>
        <v>0</v>
      </c>
      <c r="AK667" s="58">
        <f>IF(ISERROR(O667/B667*AF667),0,(O667/B667*AF667))</f>
        <v>0</v>
      </c>
      <c r="AL667" s="28">
        <f>IF(ISERROR(H667/B667*AF667),0,(H667/B667*AF667))</f>
        <v>0</v>
      </c>
      <c r="AN667" s="51">
        <f>A667</f>
        <v>0</v>
      </c>
      <c r="AO667" s="57">
        <f>IF(ISERROR(IF(B667=C667,D667/C667,(INT(D667/B667)+(((D667-B667*INT(D667/B667)))/C667)/100))),0,(IF(B667=C667,D667/C667,(INT(D667/B667)+(((D667-B667*INT(D667/B667)))/C667)/100))))</f>
        <v>0</v>
      </c>
      <c r="AP667" s="57">
        <f>IF(ISERROR(IF(B667=C667,E667/C667,(INT(E667/B667)+(((E667-B667*INT(E667/B667)))/C667)/100))),0,(IF(B667=C667,E667/C667,(INT(E667/B667)+(((E667-B667*INT(E667/B667)))/C667)/100))))</f>
        <v>0</v>
      </c>
      <c r="AQ667" s="57">
        <f>IF(ISERROR(IF(B667=C667,F667/C667,IF((INT(F667/B667)+(((F667-B667*INT(F667/B667)))/C667)/100)&lt;0,(INT(F667/B667)+(((F667-B667*INT(F667/B667)))/C667)/100)+(1-(B667/C667/100)),(INT(F667/B667)+(((F667-B667*INT(F667/B667)))/C667)/100)))),0,IF(B667=C667,F667/C667,IF((INT(F667/B667)+(((F667-B667*INT(F667/B667)))/C667)/100)&lt;0,(INT(F667/B667)+(((F667-B667*INT(F667/B667)))/C667)/100)+(1-(B667/C667/100)),(INT(F667/B667)+(((F667-B667*INT(F667/B667)))/C667)/100))))</f>
        <v>0</v>
      </c>
      <c r="AR667" s="57">
        <f>IF(ISERROR(IF(B667=C667,G667/C667,(INT(G667/B667)+(((G667-B667*INT(G667/B667)))/C667)/100))),0,(IF(B667=C667,G667/C667,(INT(G667/B667)+(((G667-B667*INT(G667/B667)))/C667)/100))))</f>
        <v>0</v>
      </c>
      <c r="AS667" s="57">
        <f>IF(ISERROR(IF(B667=C667,H667/C667,(INT(H667/B667)+(((H667-B667*INT(H667/B667)))/C667)/100))),0,(IF(B667=C667,H667/C667,(INT(H667/B667)+(((H667-B667*INT(H667/B667)))/C667)/100))))</f>
        <v>0</v>
      </c>
      <c r="AT667" s="57">
        <f>IF(ISERROR(IF(B667=C667,I667/C667,(INT(I667/B667)+(((I667-B667*INT(I667/B667)))/C667)/100))),0,(IF(B667=C667,I667/C667,(INT(I667/B667)+(((I667-B667*INT(I667/B667)))/C667)/100))))</f>
        <v>0</v>
      </c>
      <c r="AU667" s="57">
        <f>IF(ISERROR(IF(B667=C667,J667/C667,(INT(J667/B667)+(((J667-B667*INT(J667/B667)))/C667)/100))),0,(IF(B667=C667,J667/C667,(INT(J667/B667)+(((J667-B667*INT(J667/B667)))/C667)/100))))</f>
        <v>0</v>
      </c>
      <c r="AV667" s="57">
        <f>IF(ISERROR(IF(B667=C667,K667/C667,IF((INT(K667/B667)+(((K667-B667*INT(K667/B667)))/C667)/100)&lt;0,(INT(K667/B667)+(((K667-B667*INT(K667/B667)))/C667)/100)+(1-(B667/C667/100)),(INT(K667/B667)+(((K667-B667*INT(K667/B667)))/C667)/100)))),0,IF(B667=C667,K667/C667,IF((INT(K667/B667)+(((K667-B667*INT(K667/B667)))/C667)/100)&lt;0,(INT(K667/B667)+(((K667-B667*INT(K667/B667)))/C667)/100)+(1-(B667/C667/100)),(INT(K667/B667)+(((K667-B667*INT(K667/B667)))/C667)/100))))</f>
        <v>0</v>
      </c>
      <c r="AW667" s="57">
        <f>IF(ISERROR(IF(B667=C667,L667/C667,(INT(L667/B667)+(((L667-B667*INT(L667/B667)))/C667)/100))),0,(IF(B667=C667,L667/C667,(INT(L667/B667)+(((L667-B667*INT(L667/B667)))/C667)/100))))</f>
        <v>0</v>
      </c>
      <c r="AX667" s="57">
        <f>IF(ISERROR(IF(B667=C667,M667/C667,(INT(M667/B667)+(((M667-B667*INT(M667/B667)))/C667)/100))),0,(IF(B667=C667,M667/C667,(INT(M667/B667)+(((M667-B667*INT(M667/B667)))/C667)/100))))</f>
        <v>0</v>
      </c>
      <c r="AY667" s="57">
        <f>IF(ISERROR(IF(B667=C667,N667/C667,IF((INT(N667/B667)+(((N667-B667*INT(N667/B667)))/C667)/100)&lt;0,(INT(N667/B667)+(((N667-B667*INT(N667/B667)))/C667)/100)+(1-(B667/C667/100)),(INT(N667/B667)+(((N667-B667*INT(N667/B667)))/C667)/100)))),0,IF(B667=C667,N667/C667,IF((INT(N667/B667)+(((N667-B667*INT(N667/B667)))/C667)/100)&lt;0,(INT(N667/B667)+(((N667-B667*INT(N667/B667)))/C667)/100)+(1-(B667/C667/100)),(INT(N667/B667)+(((N667-B667*INT(N667/B667)))/C667)/100))))</f>
        <v>0</v>
      </c>
      <c r="AZ667" s="57">
        <f>IF(ISERROR(IF(B667=C667,O667/C667,(INT(O667/B667)+(((O667-B667*INT(O667/B667)))/C667)/100))),0,(IF(B667=C667,O667/C667,(INT(O667/B667)+(((O667-B667*INT(O667/B667)))/C667)/100))))</f>
        <v>0</v>
      </c>
      <c r="BA667" s="57">
        <f>IF(ISERROR(IF(B667=C667,P667/C667,IF((INT(P667/B667)+(((P667-B667*INT(P667/B667)))/C667)/100)&lt;0,(INT(P667/B667)+(((P667-B667*INT(P667/B667)))/C667)/100)+(1-(B667/C667/100)),(INT(P667/B667)+(((P667-B667*INT(P667/B667)))/C667)/100)))),0,IF(B667=C667,P667/C667,IF((INT(P667/B667)+(((P667-B667*INT(P667/B667)))/C667)/100)&lt;0,(INT(P667/B667)+(((P667-B667*INT(P667/B667)))/C667)/100)+(1-(B667/C667/100)),(INT(P667/B667)+(((P667-B667*INT(P667/B667)))/C667)/100))))</f>
        <v>0</v>
      </c>
      <c r="BB667" s="28">
        <f>R667</f>
        <v>0</v>
      </c>
      <c r="BC667" s="28">
        <f>S667</f>
        <v>0</v>
      </c>
      <c r="BD667" s="28">
        <f>AF667</f>
        <v>0</v>
      </c>
      <c r="BE667" s="28">
        <f>T667</f>
        <v>0</v>
      </c>
      <c r="BG667" s="57">
        <f>IF(ISERROR(IF(B667=C667,V667/C667,(INT(V667/B667)+(((V667-B667*INT(V667/B667)))/C667)/100))),0,(IF(B667=C667,V667/C667,(INT(V667/B667)+(((V667-B667*INT(V667/B667)))/C667)/100))))</f>
        <v>0</v>
      </c>
      <c r="BH667" s="57">
        <f>IF(ISERROR(IF(B667=C667,W667/C667,(INT(W667/B667)+(((W667-B667*INT(W667/B667)))/C667)/100))),0,(IF(B667=C667,W667/C667,(INT(W667/B667)+(((W667-B667*INT(W667/B667)))/C667)/100))))</f>
        <v>0</v>
      </c>
      <c r="BI667" s="57">
        <f>IF(ISERROR(IF(B667=C667,X667/C667,(INT(X667/B667)+(((X667-B667*INT(X667/B667)))/C667)/100))),0,(IF(B667=C667,X667/C667,(INT(X667/B667)+(((X667-B667*INT(X667/B667)))/C667)/100))))</f>
        <v>0</v>
      </c>
      <c r="BJ667" s="57">
        <f>IF(ISERROR(IF(B667=C667,Y667/C667,(INT(Y667/B667)+(((Y667-B667*INT(Y667/B667)))/C667)/100))),0,(IF(B667=C667,Y667/C667,(INT(Y667/B667)+(((Y667-B667*INT(Y667/B667)))/C667)/100))))</f>
        <v>0</v>
      </c>
      <c r="BL667" s="57">
        <f>IF(ISERROR(IF(B667=C667,AA667/C667,(INT(AA667/B667)+(((AA667-B667*INT(AA667/B667)))/C667)/100))),0,(IF(B667=C667,AA667/C667,(INT(AA667/B667)+(((AA667-B667*INT(AA667/B667)))/C667)/100))))</f>
        <v>0</v>
      </c>
      <c r="BM667" s="57">
        <f>IF(ISERROR(IF(B667=C667,AB667/C667,(INT(AB667/B667)+(((AB667-B667*INT(AB667/B667)))/C667)/100))),0,(IF(B667=C667,AB667/C667,(INT(AB667/B667)+(((AB667-B667*INT(AB667/B667)))/C667)/100))))</f>
        <v>0</v>
      </c>
      <c r="BN667" s="57">
        <f>IF(ISERROR(IF(B667=C667,AC667/C667,(INT(AC667/B667)+(((AC667-B667*INT(AC667/B667)))/C667)/100))),0,(IF(B667=C667,AC667/C667,(INT(AC667/B667)+(((AC667-B667*INT(AC667/B667)))/C667)/100))))</f>
        <v>0</v>
      </c>
      <c r="BO667" s="57">
        <f>IF(ISERROR(IF(B667=C667,AD667/C667,(INT(AD667/B667)+(((AD667-B667*INT(AD667/B667)))/C667)/100))),0,(IF(B667=C667,AD667/C667,(INT(AD667/B667)+(((AD667-B667*INT(AD667/B667)))/C667)/100))))</f>
        <v>0</v>
      </c>
      <c r="BQ667" s="155"/>
    </row>
    <row r="668" spans="1:69" hidden="1" x14ac:dyDescent="0.35">
      <c r="A668" s="94"/>
      <c r="B668" s="113">
        <v>0</v>
      </c>
      <c r="C668" s="113">
        <v>250</v>
      </c>
      <c r="D668" s="28">
        <f>SUM(AA668:AD668)</f>
        <v>0</v>
      </c>
      <c r="E668" s="113">
        <v>0</v>
      </c>
      <c r="F668" s="113">
        <v>0</v>
      </c>
      <c r="G668" s="28">
        <f>SUM(D668:F668)</f>
        <v>0</v>
      </c>
      <c r="H668" s="125">
        <v>0</v>
      </c>
      <c r="I668" s="113">
        <v>0</v>
      </c>
      <c r="J668" s="125">
        <v>0</v>
      </c>
      <c r="K668" s="113">
        <v>0</v>
      </c>
      <c r="L668" s="113">
        <v>0</v>
      </c>
      <c r="M668" s="113">
        <v>0</v>
      </c>
      <c r="N668" s="28">
        <f>G668-SUM(H668:M668)</f>
        <v>0</v>
      </c>
      <c r="O668" s="28">
        <f>SUM(V668:Y668)</f>
        <v>0</v>
      </c>
      <c r="P668" s="28">
        <f>O668-N668</f>
        <v>0</v>
      </c>
      <c r="Q668" s="61" t="str">
        <f>IF(ISERROR(P668/SUM(H668:L668)),"",P668/SUM(H668:L668))</f>
        <v/>
      </c>
      <c r="R668" s="113">
        <v>0</v>
      </c>
      <c r="S668" s="28">
        <f>IF(ISERROR(P668/C668*R668),0,(P668/C668*R668))</f>
        <v>0</v>
      </c>
      <c r="T668" s="60">
        <f>IF(ISERROR(P668/B668*AF668),0,(P668/B668*AF668))</f>
        <v>0</v>
      </c>
      <c r="V668" s="113">
        <v>0</v>
      </c>
      <c r="W668" s="113">
        <v>0</v>
      </c>
      <c r="X668" s="113">
        <v>0</v>
      </c>
      <c r="Y668" s="113">
        <v>0</v>
      </c>
      <c r="AA668" s="113">
        <v>0</v>
      </c>
      <c r="AB668" s="113">
        <v>0</v>
      </c>
      <c r="AC668" s="113">
        <v>0</v>
      </c>
      <c r="AD668" s="113">
        <v>0</v>
      </c>
      <c r="AF668" s="113">
        <v>0</v>
      </c>
      <c r="AG668" s="28">
        <f>G668-O668</f>
        <v>0</v>
      </c>
      <c r="AH668" s="58">
        <f>IF(ISERROR(AG668/B668*AF668),0,(AG668/B668*AF668))</f>
        <v>0</v>
      </c>
      <c r="AI668" s="28">
        <f>SUM(H668:M668)</f>
        <v>0</v>
      </c>
      <c r="AJ668" s="28">
        <f>IF(ISERROR(AI668/B668*AF668),0,(AI668/B668*AF668))</f>
        <v>0</v>
      </c>
      <c r="AK668" s="58">
        <f>IF(ISERROR(O668/B668*AF668),0,(O668/B668*AF668))</f>
        <v>0</v>
      </c>
      <c r="AL668" s="28">
        <f>IF(ISERROR(H668/B668*AF668),0,(H668/B668*AF668))</f>
        <v>0</v>
      </c>
      <c r="AN668" s="51">
        <f>A668</f>
        <v>0</v>
      </c>
      <c r="AO668" s="57">
        <f>IF(ISERROR(IF(B668=C668,D668/C668,(INT(D668/B668)+(((D668-B668*INT(D668/B668)))/C668)/100))),0,(IF(B668=C668,D668/C668,(INT(D668/B668)+(((D668-B668*INT(D668/B668)))/C668)/100))))</f>
        <v>0</v>
      </c>
      <c r="AP668" s="57">
        <f>IF(ISERROR(IF(B668=C668,E668/C668,(INT(E668/B668)+(((E668-B668*INT(E668/B668)))/C668)/100))),0,(IF(B668=C668,E668/C668,(INT(E668/B668)+(((E668-B668*INT(E668/B668)))/C668)/100))))</f>
        <v>0</v>
      </c>
      <c r="AQ668" s="57">
        <f>IF(ISERROR(IF(B668=C668,F668/C668,IF((INT(F668/B668)+(((F668-B668*INT(F668/B668)))/C668)/100)&lt;0,(INT(F668/B668)+(((F668-B668*INT(F668/B668)))/C668)/100)+(1-(B668/C668/100)),(INT(F668/B668)+(((F668-B668*INT(F668/B668)))/C668)/100)))),0,IF(B668=C668,F668/C668,IF((INT(F668/B668)+(((F668-B668*INT(F668/B668)))/C668)/100)&lt;0,(INT(F668/B668)+(((F668-B668*INT(F668/B668)))/C668)/100)+(1-(B668/C668/100)),(INT(F668/B668)+(((F668-B668*INT(F668/B668)))/C668)/100))))</f>
        <v>0</v>
      </c>
      <c r="AR668" s="57">
        <f>IF(ISERROR(IF(B668=C668,G668/C668,(INT(G668/B668)+(((G668-B668*INT(G668/B668)))/C668)/100))),0,(IF(B668=C668,G668/C668,(INT(G668/B668)+(((G668-B668*INT(G668/B668)))/C668)/100))))</f>
        <v>0</v>
      </c>
      <c r="AS668" s="57">
        <f>IF(ISERROR(IF(B668=C668,H668/C668,(INT(H668/B668)+(((H668-B668*INT(H668/B668)))/C668)/100))),0,(IF(B668=C668,H668/C668,(INT(H668/B668)+(((H668-B668*INT(H668/B668)))/C668)/100))))</f>
        <v>0</v>
      </c>
      <c r="AT668" s="57">
        <f>IF(ISERROR(IF(B668=C668,I668/C668,(INT(I668/B668)+(((I668-B668*INT(I668/B668)))/C668)/100))),0,(IF(B668=C668,I668/C668,(INT(I668/B668)+(((I668-B668*INT(I668/B668)))/C668)/100))))</f>
        <v>0</v>
      </c>
      <c r="AU668" s="57">
        <f>IF(ISERROR(IF(B668=C668,J668/C668,(INT(J668/B668)+(((J668-B668*INT(J668/B668)))/C668)/100))),0,(IF(B668=C668,J668/C668,(INT(J668/B668)+(((J668-B668*INT(J668/B668)))/C668)/100))))</f>
        <v>0</v>
      </c>
      <c r="AV668" s="57">
        <f>IF(ISERROR(IF(B668=C668,K668/C668,IF((INT(K668/B668)+(((K668-B668*INT(K668/B668)))/C668)/100)&lt;0,(INT(K668/B668)+(((K668-B668*INT(K668/B668)))/C668)/100)+(1-(B668/C668/100)),(INT(K668/B668)+(((K668-B668*INT(K668/B668)))/C668)/100)))),0,IF(B668=C668,K668/C668,IF((INT(K668/B668)+(((K668-B668*INT(K668/B668)))/C668)/100)&lt;0,(INT(K668/B668)+(((K668-B668*INT(K668/B668)))/C668)/100)+(1-(B668/C668/100)),(INT(K668/B668)+(((K668-B668*INT(K668/B668)))/C668)/100))))</f>
        <v>0</v>
      </c>
      <c r="AW668" s="57">
        <f>IF(ISERROR(IF(B668=C668,L668/C668,(INT(L668/B668)+(((L668-B668*INT(L668/B668)))/C668)/100))),0,(IF(B668=C668,L668/C668,(INT(L668/B668)+(((L668-B668*INT(L668/B668)))/C668)/100))))</f>
        <v>0</v>
      </c>
      <c r="AX668" s="57">
        <f>IF(ISERROR(IF(B668=C668,M668/C668,(INT(M668/B668)+(((M668-B668*INT(M668/B668)))/C668)/100))),0,(IF(B668=C668,M668/C668,(INT(M668/B668)+(((M668-B668*INT(M668/B668)))/C668)/100))))</f>
        <v>0</v>
      </c>
      <c r="AY668" s="57">
        <f>IF(ISERROR(IF(B668=C668,N668/C668,IF((INT(N668/B668)+(((N668-B668*INT(N668/B668)))/C668)/100)&lt;0,(INT(N668/B668)+(((N668-B668*INT(N668/B668)))/C668)/100)+(1-(B668/C668/100)),(INT(N668/B668)+(((N668-B668*INT(N668/B668)))/C668)/100)))),0,IF(B668=C668,N668/C668,IF((INT(N668/B668)+(((N668-B668*INT(N668/B668)))/C668)/100)&lt;0,(INT(N668/B668)+(((N668-B668*INT(N668/B668)))/C668)/100)+(1-(B668/C668/100)),(INT(N668/B668)+(((N668-B668*INT(N668/B668)))/C668)/100))))</f>
        <v>0</v>
      </c>
      <c r="AZ668" s="57">
        <f>IF(ISERROR(IF(B668=C668,O668/C668,(INT(O668/B668)+(((O668-B668*INT(O668/B668)))/C668)/100))),0,(IF(B668=C668,O668/C668,(INT(O668/B668)+(((O668-B668*INT(O668/B668)))/C668)/100))))</f>
        <v>0</v>
      </c>
      <c r="BA668" s="57">
        <f>IF(ISERROR(IF(B668=C668,P668/C668,IF((INT(P668/B668)+(((P668-B668*INT(P668/B668)))/C668)/100)&lt;0,(INT(P668/B668)+(((P668-B668*INT(P668/B668)))/C668)/100)+(1-(B668/C668/100)),(INT(P668/B668)+(((P668-B668*INT(P668/B668)))/C668)/100)))),0,IF(B668=C668,P668/C668,IF((INT(P668/B668)+(((P668-B668*INT(P668/B668)))/C668)/100)&lt;0,(INT(P668/B668)+(((P668-B668*INT(P668/B668)))/C668)/100)+(1-(B668/C668/100)),(INT(P668/B668)+(((P668-B668*INT(P668/B668)))/C668)/100))))</f>
        <v>0</v>
      </c>
      <c r="BB668" s="28">
        <f>R668</f>
        <v>0</v>
      </c>
      <c r="BC668" s="28">
        <f>S668</f>
        <v>0</v>
      </c>
      <c r="BD668" s="28">
        <f>AF668</f>
        <v>0</v>
      </c>
      <c r="BE668" s="28">
        <f>T668</f>
        <v>0</v>
      </c>
      <c r="BG668" s="57">
        <f>IF(ISERROR(IF(B668=C668,V668/C668,(INT(V668/B668)+(((V668-B668*INT(V668/B668)))/C668)/100))),0,(IF(B668=C668,V668/C668,(INT(V668/B668)+(((V668-B668*INT(V668/B668)))/C668)/100))))</f>
        <v>0</v>
      </c>
      <c r="BH668" s="57">
        <f>IF(ISERROR(IF(B668=C668,W668/C668,(INT(W668/B668)+(((W668-B668*INT(W668/B668)))/C668)/100))),0,(IF(B668=C668,W668/C668,(INT(W668/B668)+(((W668-B668*INT(W668/B668)))/C668)/100))))</f>
        <v>0</v>
      </c>
      <c r="BI668" s="57">
        <f>IF(ISERROR(IF(B668=C668,X668/C668,(INT(X668/B668)+(((X668-B668*INT(X668/B668)))/C668)/100))),0,(IF(B668=C668,X668/C668,(INT(X668/B668)+(((X668-B668*INT(X668/B668)))/C668)/100))))</f>
        <v>0</v>
      </c>
      <c r="BJ668" s="57">
        <f>IF(ISERROR(IF(B668=C668,Y668/C668,(INT(Y668/B668)+(((Y668-B668*INT(Y668/B668)))/C668)/100))),0,(IF(B668=C668,Y668/C668,(INT(Y668/B668)+(((Y668-B668*INT(Y668/B668)))/C668)/100))))</f>
        <v>0</v>
      </c>
      <c r="BL668" s="57">
        <f>IF(ISERROR(IF(B668=C668,AA668/C668,(INT(AA668/B668)+(((AA668-B668*INT(AA668/B668)))/C668)/100))),0,(IF(B668=C668,AA668/C668,(INT(AA668/B668)+(((AA668-B668*INT(AA668/B668)))/C668)/100))))</f>
        <v>0</v>
      </c>
      <c r="BM668" s="57">
        <f>IF(ISERROR(IF(B668=C668,AB668/C668,(INT(AB668/B668)+(((AB668-B668*INT(AB668/B668)))/C668)/100))),0,(IF(B668=C668,AB668/C668,(INT(AB668/B668)+(((AB668-B668*INT(AB668/B668)))/C668)/100))))</f>
        <v>0</v>
      </c>
      <c r="BN668" s="57">
        <f>IF(ISERROR(IF(B668=C668,AC668/C668,(INT(AC668/B668)+(((AC668-B668*INT(AC668/B668)))/C668)/100))),0,(IF(B668=C668,AC668/C668,(INT(AC668/B668)+(((AC668-B668*INT(AC668/B668)))/C668)/100))))</f>
        <v>0</v>
      </c>
      <c r="BO668" s="57">
        <f>IF(ISERROR(IF(B668=C668,AD668/C668,(INT(AD668/B668)+(((AD668-B668*INT(AD668/B668)))/C668)/100))),0,(IF(B668=C668,AD668/C668,(INT(AD668/B668)+(((AD668-B668*INT(AD668/B668)))/C668)/100))))</f>
        <v>0</v>
      </c>
      <c r="BQ668" s="155"/>
    </row>
    <row r="669" spans="1:69" hidden="1" x14ac:dyDescent="0.35">
      <c r="A669" s="94"/>
      <c r="B669" s="113">
        <v>0</v>
      </c>
      <c r="C669" s="113">
        <v>250</v>
      </c>
      <c r="D669" s="28">
        <f>SUM(AA669:AD669)</f>
        <v>0</v>
      </c>
      <c r="E669" s="113">
        <v>0</v>
      </c>
      <c r="F669" s="113">
        <v>0</v>
      </c>
      <c r="G669" s="28">
        <f>SUM(D669:F669)</f>
        <v>0</v>
      </c>
      <c r="H669" s="125">
        <v>0</v>
      </c>
      <c r="I669" s="113">
        <v>0</v>
      </c>
      <c r="J669" s="125">
        <v>0</v>
      </c>
      <c r="K669" s="113">
        <v>0</v>
      </c>
      <c r="L669" s="113">
        <v>0</v>
      </c>
      <c r="M669" s="113">
        <v>0</v>
      </c>
      <c r="N669" s="28">
        <f>G669-SUM(H669:M669)</f>
        <v>0</v>
      </c>
      <c r="O669" s="28">
        <f>SUM(V669:Y669)</f>
        <v>0</v>
      </c>
      <c r="P669" s="28">
        <f>O669-N669</f>
        <v>0</v>
      </c>
      <c r="Q669" s="61" t="str">
        <f>IF(ISERROR(P669/SUM(H669:L669)),"",P669/SUM(H669:L669))</f>
        <v/>
      </c>
      <c r="R669" s="113">
        <v>0</v>
      </c>
      <c r="S669" s="28">
        <f>IF(ISERROR(P669/C669*R669),0,(P669/C669*R669))</f>
        <v>0</v>
      </c>
      <c r="T669" s="60">
        <f>IF(ISERROR(P669/B669*AF669),0,(P669/B669*AF669))</f>
        <v>0</v>
      </c>
      <c r="V669" s="113">
        <v>0</v>
      </c>
      <c r="W669" s="113">
        <v>0</v>
      </c>
      <c r="X669" s="113">
        <v>0</v>
      </c>
      <c r="Y669" s="113">
        <v>0</v>
      </c>
      <c r="AA669" s="113">
        <v>0</v>
      </c>
      <c r="AB669" s="113">
        <v>0</v>
      </c>
      <c r="AC669" s="113">
        <v>0</v>
      </c>
      <c r="AD669" s="113">
        <v>0</v>
      </c>
      <c r="AF669" s="113">
        <v>0</v>
      </c>
      <c r="AG669" s="28">
        <f>G669-O669</f>
        <v>0</v>
      </c>
      <c r="AH669" s="58">
        <f>IF(ISERROR(AG669/B669*AF669),0,(AG669/B669*AF669))</f>
        <v>0</v>
      </c>
      <c r="AI669" s="28">
        <f>SUM(H669:M669)</f>
        <v>0</v>
      </c>
      <c r="AJ669" s="28">
        <f>IF(ISERROR(AI669/B669*AF669),0,(AI669/B669*AF669))</f>
        <v>0</v>
      </c>
      <c r="AK669" s="58">
        <f>IF(ISERROR(O669/B669*AF669),0,(O669/B669*AF669))</f>
        <v>0</v>
      </c>
      <c r="AL669" s="28">
        <f>IF(ISERROR(H669/B669*AF669),0,(H669/B669*AF669))</f>
        <v>0</v>
      </c>
      <c r="AN669" s="51">
        <f>A669</f>
        <v>0</v>
      </c>
      <c r="AO669" s="57">
        <f>IF(ISERROR(IF(B669=C669,D669/C669,(INT(D669/B669)+(((D669-B669*INT(D669/B669)))/C669)/100))),0,(IF(B669=C669,D669/C669,(INT(D669/B669)+(((D669-B669*INT(D669/B669)))/C669)/100))))</f>
        <v>0</v>
      </c>
      <c r="AP669" s="57">
        <f>IF(ISERROR(IF(B669=C669,E669/C669,(INT(E669/B669)+(((E669-B669*INT(E669/B669)))/C669)/100))),0,(IF(B669=C669,E669/C669,(INT(E669/B669)+(((E669-B669*INT(E669/B669)))/C669)/100))))</f>
        <v>0</v>
      </c>
      <c r="AQ669" s="57">
        <f>IF(ISERROR(IF(B669=C669,F669/C669,IF((INT(F669/B669)+(((F669-B669*INT(F669/B669)))/C669)/100)&lt;0,(INT(F669/B669)+(((F669-B669*INT(F669/B669)))/C669)/100)+(1-(B669/C669/100)),(INT(F669/B669)+(((F669-B669*INT(F669/B669)))/C669)/100)))),0,IF(B669=C669,F669/C669,IF((INT(F669/B669)+(((F669-B669*INT(F669/B669)))/C669)/100)&lt;0,(INT(F669/B669)+(((F669-B669*INT(F669/B669)))/C669)/100)+(1-(B669/C669/100)),(INT(F669/B669)+(((F669-B669*INT(F669/B669)))/C669)/100))))</f>
        <v>0</v>
      </c>
      <c r="AR669" s="57">
        <f>IF(ISERROR(IF(B669=C669,G669/C669,(INT(G669/B669)+(((G669-B669*INT(G669/B669)))/C669)/100))),0,(IF(B669=C669,G669/C669,(INT(G669/B669)+(((G669-B669*INT(G669/B669)))/C669)/100))))</f>
        <v>0</v>
      </c>
      <c r="AS669" s="57">
        <f>IF(ISERROR(IF(B669=C669,H669/C669,(INT(H669/B669)+(((H669-B669*INT(H669/B669)))/C669)/100))),0,(IF(B669=C669,H669/C669,(INT(H669/B669)+(((H669-B669*INT(H669/B669)))/C669)/100))))</f>
        <v>0</v>
      </c>
      <c r="AT669" s="57">
        <f>IF(ISERROR(IF(B669=C669,I669/C669,(INT(I669/B669)+(((I669-B669*INT(I669/B669)))/C669)/100))),0,(IF(B669=C669,I669/C669,(INT(I669/B669)+(((I669-B669*INT(I669/B669)))/C669)/100))))</f>
        <v>0</v>
      </c>
      <c r="AU669" s="57">
        <f>IF(ISERROR(IF(B669=C669,J669/C669,(INT(J669/B669)+(((J669-B669*INT(J669/B669)))/C669)/100))),0,(IF(B669=C669,J669/C669,(INT(J669/B669)+(((J669-B669*INT(J669/B669)))/C669)/100))))</f>
        <v>0</v>
      </c>
      <c r="AV669" s="57">
        <f>IF(ISERROR(IF(B669=C669,K669/C669,IF((INT(K669/B669)+(((K669-B669*INT(K669/B669)))/C669)/100)&lt;0,(INT(K669/B669)+(((K669-B669*INT(K669/B669)))/C669)/100)+(1-(B669/C669/100)),(INT(K669/B669)+(((K669-B669*INT(K669/B669)))/C669)/100)))),0,IF(B669=C669,K669/C669,IF((INT(K669/B669)+(((K669-B669*INT(K669/B669)))/C669)/100)&lt;0,(INT(K669/B669)+(((K669-B669*INT(K669/B669)))/C669)/100)+(1-(B669/C669/100)),(INT(K669/B669)+(((K669-B669*INT(K669/B669)))/C669)/100))))</f>
        <v>0</v>
      </c>
      <c r="AW669" s="57">
        <f>IF(ISERROR(IF(B669=C669,L669/C669,(INT(L669/B669)+(((L669-B669*INT(L669/B669)))/C669)/100))),0,(IF(B669=C669,L669/C669,(INT(L669/B669)+(((L669-B669*INT(L669/B669)))/C669)/100))))</f>
        <v>0</v>
      </c>
      <c r="AX669" s="57">
        <f>IF(ISERROR(IF(B669=C669,M669/C669,(INT(M669/B669)+(((M669-B669*INT(M669/B669)))/C669)/100))),0,(IF(B669=C669,M669/C669,(INT(M669/B669)+(((M669-B669*INT(M669/B669)))/C669)/100))))</f>
        <v>0</v>
      </c>
      <c r="AY669" s="57">
        <f>IF(ISERROR(IF(B669=C669,N669/C669,IF((INT(N669/B669)+(((N669-B669*INT(N669/B669)))/C669)/100)&lt;0,(INT(N669/B669)+(((N669-B669*INT(N669/B669)))/C669)/100)+(1-(B669/C669/100)),(INT(N669/B669)+(((N669-B669*INT(N669/B669)))/C669)/100)))),0,IF(B669=C669,N669/C669,IF((INT(N669/B669)+(((N669-B669*INT(N669/B669)))/C669)/100)&lt;0,(INT(N669/B669)+(((N669-B669*INT(N669/B669)))/C669)/100)+(1-(B669/C669/100)),(INT(N669/B669)+(((N669-B669*INT(N669/B669)))/C669)/100))))</f>
        <v>0</v>
      </c>
      <c r="AZ669" s="57">
        <f>IF(ISERROR(IF(B669=C669,O669/C669,(INT(O669/B669)+(((O669-B669*INT(O669/B669)))/C669)/100))),0,(IF(B669=C669,O669/C669,(INT(O669/B669)+(((O669-B669*INT(O669/B669)))/C669)/100))))</f>
        <v>0</v>
      </c>
      <c r="BA669" s="57">
        <f>IF(ISERROR(IF(B669=C669,P669/C669,IF((INT(P669/B669)+(((P669-B669*INT(P669/B669)))/C669)/100)&lt;0,(INT(P669/B669)+(((P669-B669*INT(P669/B669)))/C669)/100)+(1-(B669/C669/100)),(INT(P669/B669)+(((P669-B669*INT(P669/B669)))/C669)/100)))),0,IF(B669=C669,P669/C669,IF((INT(P669/B669)+(((P669-B669*INT(P669/B669)))/C669)/100)&lt;0,(INT(P669/B669)+(((P669-B669*INT(P669/B669)))/C669)/100)+(1-(B669/C669/100)),(INT(P669/B669)+(((P669-B669*INT(P669/B669)))/C669)/100))))</f>
        <v>0</v>
      </c>
      <c r="BB669" s="28">
        <f>R669</f>
        <v>0</v>
      </c>
      <c r="BC669" s="28">
        <f>S669</f>
        <v>0</v>
      </c>
      <c r="BD669" s="28">
        <f>AF669</f>
        <v>0</v>
      </c>
      <c r="BE669" s="28">
        <f>T669</f>
        <v>0</v>
      </c>
      <c r="BG669" s="57">
        <f>IF(ISERROR(IF(B669=C669,V669/C669,(INT(V669/B669)+(((V669-B669*INT(V669/B669)))/C669)/100))),0,(IF(B669=C669,V669/C669,(INT(V669/B669)+(((V669-B669*INT(V669/B669)))/C669)/100))))</f>
        <v>0</v>
      </c>
      <c r="BH669" s="57">
        <f>IF(ISERROR(IF(B669=C669,W669/C669,(INT(W669/B669)+(((W669-B669*INT(W669/B669)))/C669)/100))),0,(IF(B669=C669,W669/C669,(INT(W669/B669)+(((W669-B669*INT(W669/B669)))/C669)/100))))</f>
        <v>0</v>
      </c>
      <c r="BI669" s="57">
        <f>IF(ISERROR(IF(B669=C669,X669/C669,(INT(X669/B669)+(((X669-B669*INT(X669/B669)))/C669)/100))),0,(IF(B669=C669,X669/C669,(INT(X669/B669)+(((X669-B669*INT(X669/B669)))/C669)/100))))</f>
        <v>0</v>
      </c>
      <c r="BJ669" s="57">
        <f>IF(ISERROR(IF(B669=C669,Y669/C669,(INT(Y669/B669)+(((Y669-B669*INT(Y669/B669)))/C669)/100))),0,(IF(B669=C669,Y669/C669,(INT(Y669/B669)+(((Y669-B669*INT(Y669/B669)))/C669)/100))))</f>
        <v>0</v>
      </c>
      <c r="BL669" s="57">
        <f>IF(ISERROR(IF(B669=C669,AA669/C669,(INT(AA669/B669)+(((AA669-B669*INT(AA669/B669)))/C669)/100))),0,(IF(B669=C669,AA669/C669,(INT(AA669/B669)+(((AA669-B669*INT(AA669/B669)))/C669)/100))))</f>
        <v>0</v>
      </c>
      <c r="BM669" s="57">
        <f>IF(ISERROR(IF(B669=C669,AB669/C669,(INT(AB669/B669)+(((AB669-B669*INT(AB669/B669)))/C669)/100))),0,(IF(B669=C669,AB669/C669,(INT(AB669/B669)+(((AB669-B669*INT(AB669/B669)))/C669)/100))))</f>
        <v>0</v>
      </c>
      <c r="BN669" s="57">
        <f>IF(ISERROR(IF(B669=C669,AC669/C669,(INT(AC669/B669)+(((AC669-B669*INT(AC669/B669)))/C669)/100))),0,(IF(B669=C669,AC669/C669,(INT(AC669/B669)+(((AC669-B669*INT(AC669/B669)))/C669)/100))))</f>
        <v>0</v>
      </c>
      <c r="BO669" s="57">
        <f>IF(ISERROR(IF(B669=C669,AD669/C669,(INT(AD669/B669)+(((AD669-B669*INT(AD669/B669)))/C669)/100))),0,(IF(B669=C669,AD669/C669,(INT(AD669/B669)+(((AD669-B669*INT(AD669/B669)))/C669)/100))))</f>
        <v>0</v>
      </c>
      <c r="BQ669" s="155"/>
    </row>
    <row r="670" spans="1:69" hidden="1" x14ac:dyDescent="0.35">
      <c r="A670" s="94"/>
      <c r="B670" s="113">
        <v>0</v>
      </c>
      <c r="C670" s="113">
        <v>250</v>
      </c>
      <c r="D670" s="28">
        <f>SUM(AA670:AD670)</f>
        <v>0</v>
      </c>
      <c r="E670" s="113">
        <v>0</v>
      </c>
      <c r="F670" s="113">
        <v>0</v>
      </c>
      <c r="G670" s="28">
        <f>SUM(D670:F670)</f>
        <v>0</v>
      </c>
      <c r="H670" s="125">
        <v>0</v>
      </c>
      <c r="I670" s="113">
        <v>0</v>
      </c>
      <c r="J670" s="125">
        <v>0</v>
      </c>
      <c r="K670" s="113">
        <v>0</v>
      </c>
      <c r="L670" s="113">
        <v>0</v>
      </c>
      <c r="M670" s="113">
        <v>0</v>
      </c>
      <c r="N670" s="28">
        <f>G670-SUM(H670:M670)</f>
        <v>0</v>
      </c>
      <c r="O670" s="28">
        <f>SUM(V670:Y670)</f>
        <v>0</v>
      </c>
      <c r="P670" s="28">
        <f>O670-N670</f>
        <v>0</v>
      </c>
      <c r="Q670" s="61" t="str">
        <f>IF(ISERROR(P670/SUM(H670:L670)),"",P670/SUM(H670:L670))</f>
        <v/>
      </c>
      <c r="R670" s="113">
        <v>0</v>
      </c>
      <c r="S670" s="28">
        <f>IF(ISERROR(P670/C670*R670),0,(P670/C670*R670))</f>
        <v>0</v>
      </c>
      <c r="T670" s="60">
        <f>IF(ISERROR(P670/B670*AF670),0,(P670/B670*AF670))</f>
        <v>0</v>
      </c>
      <c r="V670" s="113">
        <v>0</v>
      </c>
      <c r="W670" s="113">
        <v>0</v>
      </c>
      <c r="X670" s="113">
        <v>0</v>
      </c>
      <c r="Y670" s="113">
        <v>0</v>
      </c>
      <c r="AA670" s="113">
        <v>0</v>
      </c>
      <c r="AB670" s="113">
        <v>0</v>
      </c>
      <c r="AC670" s="113">
        <v>0</v>
      </c>
      <c r="AD670" s="113">
        <v>0</v>
      </c>
      <c r="AF670" s="113">
        <v>0</v>
      </c>
      <c r="AG670" s="28">
        <f>G670-O670</f>
        <v>0</v>
      </c>
      <c r="AH670" s="58">
        <f>IF(ISERROR(AG670/B670*AF670),0,(AG670/B670*AF670))</f>
        <v>0</v>
      </c>
      <c r="AI670" s="28">
        <f>SUM(H670:M670)</f>
        <v>0</v>
      </c>
      <c r="AJ670" s="28">
        <f>IF(ISERROR(AI670/B670*AF670),0,(AI670/B670*AF670))</f>
        <v>0</v>
      </c>
      <c r="AK670" s="58">
        <f>IF(ISERROR(O670/B670*AF670),0,(O670/B670*AF670))</f>
        <v>0</v>
      </c>
      <c r="AL670" s="28">
        <f>IF(ISERROR(H670/B670*AF670),0,(H670/B670*AF670))</f>
        <v>0</v>
      </c>
      <c r="AN670" s="51">
        <f>A670</f>
        <v>0</v>
      </c>
      <c r="AO670" s="57">
        <f>IF(ISERROR(IF(B670=C670,D670/C670,(INT(D670/B670)+(((D670-B670*INT(D670/B670)))/C670)/100))),0,(IF(B670=C670,D670/C670,(INT(D670/B670)+(((D670-B670*INT(D670/B670)))/C670)/100))))</f>
        <v>0</v>
      </c>
      <c r="AP670" s="57">
        <f>IF(ISERROR(IF(B670=C670,E670/C670,(INT(E670/B670)+(((E670-B670*INT(E670/B670)))/C670)/100))),0,(IF(B670=C670,E670/C670,(INT(E670/B670)+(((E670-B670*INT(E670/B670)))/C670)/100))))</f>
        <v>0</v>
      </c>
      <c r="AQ670" s="57">
        <f>IF(ISERROR(IF(B670=C670,F670/C670,IF((INT(F670/B670)+(((F670-B670*INT(F670/B670)))/C670)/100)&lt;0,(INT(F670/B670)+(((F670-B670*INT(F670/B670)))/C670)/100)+(1-(B670/C670/100)),(INT(F670/B670)+(((F670-B670*INT(F670/B670)))/C670)/100)))),0,IF(B670=C670,F670/C670,IF((INT(F670/B670)+(((F670-B670*INT(F670/B670)))/C670)/100)&lt;0,(INT(F670/B670)+(((F670-B670*INT(F670/B670)))/C670)/100)+(1-(B670/C670/100)),(INT(F670/B670)+(((F670-B670*INT(F670/B670)))/C670)/100))))</f>
        <v>0</v>
      </c>
      <c r="AR670" s="57">
        <f>IF(ISERROR(IF(B670=C670,G670/C670,(INT(G670/B670)+(((G670-B670*INT(G670/B670)))/C670)/100))),0,(IF(B670=C670,G670/C670,(INT(G670/B670)+(((G670-B670*INT(G670/B670)))/C670)/100))))</f>
        <v>0</v>
      </c>
      <c r="AS670" s="57">
        <f>IF(ISERROR(IF(B670=C670,H670/C670,(INT(H670/B670)+(((H670-B670*INT(H670/B670)))/C670)/100))),0,(IF(B670=C670,H670/C670,(INT(H670/B670)+(((H670-B670*INT(H670/B670)))/C670)/100))))</f>
        <v>0</v>
      </c>
      <c r="AT670" s="57">
        <f>IF(ISERROR(IF(B670=C670,I670/C670,(INT(I670/B670)+(((I670-B670*INT(I670/B670)))/C670)/100))),0,(IF(B670=C670,I670/C670,(INT(I670/B670)+(((I670-B670*INT(I670/B670)))/C670)/100))))</f>
        <v>0</v>
      </c>
      <c r="AU670" s="57">
        <f>IF(ISERROR(IF(B670=C670,J670/C670,(INT(J670/B670)+(((J670-B670*INT(J670/B670)))/C670)/100))),0,(IF(B670=C670,J670/C670,(INT(J670/B670)+(((J670-B670*INT(J670/B670)))/C670)/100))))</f>
        <v>0</v>
      </c>
      <c r="AV670" s="57">
        <f>IF(ISERROR(IF(B670=C670,K670/C670,IF((INT(K670/B670)+(((K670-B670*INT(K670/B670)))/C670)/100)&lt;0,(INT(K670/B670)+(((K670-B670*INT(K670/B670)))/C670)/100)+(1-(B670/C670/100)),(INT(K670/B670)+(((K670-B670*INT(K670/B670)))/C670)/100)))),0,IF(B670=C670,K670/C670,IF((INT(K670/B670)+(((K670-B670*INT(K670/B670)))/C670)/100)&lt;0,(INT(K670/B670)+(((K670-B670*INT(K670/B670)))/C670)/100)+(1-(B670/C670/100)),(INT(K670/B670)+(((K670-B670*INT(K670/B670)))/C670)/100))))</f>
        <v>0</v>
      </c>
      <c r="AW670" s="57">
        <f>IF(ISERROR(IF(B670=C670,L670/C670,(INT(L670/B670)+(((L670-B670*INT(L670/B670)))/C670)/100))),0,(IF(B670=C670,L670/C670,(INT(L670/B670)+(((L670-B670*INT(L670/B670)))/C670)/100))))</f>
        <v>0</v>
      </c>
      <c r="AX670" s="57">
        <f>IF(ISERROR(IF(B670=C670,M670/C670,(INT(M670/B670)+(((M670-B670*INT(M670/B670)))/C670)/100))),0,(IF(B670=C670,M670/C670,(INT(M670/B670)+(((M670-B670*INT(M670/B670)))/C670)/100))))</f>
        <v>0</v>
      </c>
      <c r="AY670" s="57">
        <f>IF(ISERROR(IF(B670=C670,N670/C670,IF((INT(N670/B670)+(((N670-B670*INT(N670/B670)))/C670)/100)&lt;0,(INT(N670/B670)+(((N670-B670*INT(N670/B670)))/C670)/100)+(1-(B670/C670/100)),(INT(N670/B670)+(((N670-B670*INT(N670/B670)))/C670)/100)))),0,IF(B670=C670,N670/C670,IF((INT(N670/B670)+(((N670-B670*INT(N670/B670)))/C670)/100)&lt;0,(INT(N670/B670)+(((N670-B670*INT(N670/B670)))/C670)/100)+(1-(B670/C670/100)),(INT(N670/B670)+(((N670-B670*INT(N670/B670)))/C670)/100))))</f>
        <v>0</v>
      </c>
      <c r="AZ670" s="57">
        <f>IF(ISERROR(IF(B670=C670,O670/C670,(INT(O670/B670)+(((O670-B670*INT(O670/B670)))/C670)/100))),0,(IF(B670=C670,O670/C670,(INT(O670/B670)+(((O670-B670*INT(O670/B670)))/C670)/100))))</f>
        <v>0</v>
      </c>
      <c r="BA670" s="57">
        <f>IF(ISERROR(IF(B670=C670,P670/C670,IF((INT(P670/B670)+(((P670-B670*INT(P670/B670)))/C670)/100)&lt;0,(INT(P670/B670)+(((P670-B670*INT(P670/B670)))/C670)/100)+(1-(B670/C670/100)),(INT(P670/B670)+(((P670-B670*INT(P670/B670)))/C670)/100)))),0,IF(B670=C670,P670/C670,IF((INT(P670/B670)+(((P670-B670*INT(P670/B670)))/C670)/100)&lt;0,(INT(P670/B670)+(((P670-B670*INT(P670/B670)))/C670)/100)+(1-(B670/C670/100)),(INT(P670/B670)+(((P670-B670*INT(P670/B670)))/C670)/100))))</f>
        <v>0</v>
      </c>
      <c r="BB670" s="28">
        <f>R670</f>
        <v>0</v>
      </c>
      <c r="BC670" s="28">
        <f>S670</f>
        <v>0</v>
      </c>
      <c r="BD670" s="28">
        <f>AF670</f>
        <v>0</v>
      </c>
      <c r="BE670" s="28">
        <f>T670</f>
        <v>0</v>
      </c>
      <c r="BG670" s="57">
        <f>IF(ISERROR(IF(B670=C670,V670/C670,(INT(V670/B670)+(((V670-B670*INT(V670/B670)))/C670)/100))),0,(IF(B670=C670,V670/C670,(INT(V670/B670)+(((V670-B670*INT(V670/B670)))/C670)/100))))</f>
        <v>0</v>
      </c>
      <c r="BH670" s="57">
        <f>IF(ISERROR(IF(B670=C670,W670/C670,(INT(W670/B670)+(((W670-B670*INT(W670/B670)))/C670)/100))),0,(IF(B670=C670,W670/C670,(INT(W670/B670)+(((W670-B670*INT(W670/B670)))/C670)/100))))</f>
        <v>0</v>
      </c>
      <c r="BI670" s="57">
        <f>IF(ISERROR(IF(B670=C670,X670/C670,(INT(X670/B670)+(((X670-B670*INT(X670/B670)))/C670)/100))),0,(IF(B670=C670,X670/C670,(INT(X670/B670)+(((X670-B670*INT(X670/B670)))/C670)/100))))</f>
        <v>0</v>
      </c>
      <c r="BJ670" s="57">
        <f>IF(ISERROR(IF(B670=C670,Y670/C670,(INT(Y670/B670)+(((Y670-B670*INT(Y670/B670)))/C670)/100))),0,(IF(B670=C670,Y670/C670,(INT(Y670/B670)+(((Y670-B670*INT(Y670/B670)))/C670)/100))))</f>
        <v>0</v>
      </c>
      <c r="BL670" s="57">
        <f>IF(ISERROR(IF(B670=C670,AA670/C670,(INT(AA670/B670)+(((AA670-B670*INT(AA670/B670)))/C670)/100))),0,(IF(B670=C670,AA670/C670,(INT(AA670/B670)+(((AA670-B670*INT(AA670/B670)))/C670)/100))))</f>
        <v>0</v>
      </c>
      <c r="BM670" s="57">
        <f>IF(ISERROR(IF(B670=C670,AB670/C670,(INT(AB670/B670)+(((AB670-B670*INT(AB670/B670)))/C670)/100))),0,(IF(B670=C670,AB670/C670,(INT(AB670/B670)+(((AB670-B670*INT(AB670/B670)))/C670)/100))))</f>
        <v>0</v>
      </c>
      <c r="BN670" s="57">
        <f>IF(ISERROR(IF(B670=C670,AC670/C670,(INT(AC670/B670)+(((AC670-B670*INT(AC670/B670)))/C670)/100))),0,(IF(B670=C670,AC670/C670,(INT(AC670/B670)+(((AC670-B670*INT(AC670/B670)))/C670)/100))))</f>
        <v>0</v>
      </c>
      <c r="BO670" s="57">
        <f>IF(ISERROR(IF(B670=C670,AD670/C670,(INT(AD670/B670)+(((AD670-B670*INT(AD670/B670)))/C670)/100))),0,(IF(B670=C670,AD670/C670,(INT(AD670/B670)+(((AD670-B670*INT(AD670/B670)))/C670)/100))))</f>
        <v>0</v>
      </c>
      <c r="BQ670" s="155"/>
    </row>
    <row r="671" spans="1:69" hidden="1" x14ac:dyDescent="0.35">
      <c r="A671" s="94"/>
      <c r="B671" s="113">
        <v>0</v>
      </c>
      <c r="C671" s="113">
        <v>250</v>
      </c>
      <c r="D671" s="28">
        <f>SUM(AA671:AD671)</f>
        <v>0</v>
      </c>
      <c r="E671" s="113">
        <v>0</v>
      </c>
      <c r="F671" s="113">
        <v>0</v>
      </c>
      <c r="G671" s="28">
        <f>SUM(D671:F671)</f>
        <v>0</v>
      </c>
      <c r="H671" s="125">
        <v>0</v>
      </c>
      <c r="I671" s="113">
        <v>0</v>
      </c>
      <c r="J671" s="125">
        <v>0</v>
      </c>
      <c r="K671" s="113">
        <v>0</v>
      </c>
      <c r="L671" s="113">
        <v>0</v>
      </c>
      <c r="M671" s="113">
        <v>0</v>
      </c>
      <c r="N671" s="28">
        <f>G671-SUM(H671:M671)</f>
        <v>0</v>
      </c>
      <c r="O671" s="28">
        <f>SUM(V671:Y671)</f>
        <v>0</v>
      </c>
      <c r="P671" s="28">
        <f>O671-N671</f>
        <v>0</v>
      </c>
      <c r="Q671" s="61" t="str">
        <f>IF(ISERROR(P671/SUM(H671:L671)),"",P671/SUM(H671:L671))</f>
        <v/>
      </c>
      <c r="R671" s="113">
        <v>0</v>
      </c>
      <c r="S671" s="28">
        <f>IF(ISERROR(P671/C671*R671),0,(P671/C671*R671))</f>
        <v>0</v>
      </c>
      <c r="T671" s="60">
        <f>IF(ISERROR(P671/B671*AF671),0,(P671/B671*AF671))</f>
        <v>0</v>
      </c>
      <c r="V671" s="113">
        <v>0</v>
      </c>
      <c r="W671" s="113">
        <v>0</v>
      </c>
      <c r="X671" s="113">
        <v>0</v>
      </c>
      <c r="Y671" s="113">
        <v>0</v>
      </c>
      <c r="AA671" s="113">
        <v>0</v>
      </c>
      <c r="AB671" s="113">
        <v>0</v>
      </c>
      <c r="AC671" s="113">
        <v>0</v>
      </c>
      <c r="AD671" s="113">
        <v>0</v>
      </c>
      <c r="AF671" s="113">
        <v>0</v>
      </c>
      <c r="AG671" s="28">
        <f>G671-O671</f>
        <v>0</v>
      </c>
      <c r="AH671" s="58">
        <f>IF(ISERROR(AG671/B671*AF671),0,(AG671/B671*AF671))</f>
        <v>0</v>
      </c>
      <c r="AI671" s="28">
        <f>SUM(H671:M671)</f>
        <v>0</v>
      </c>
      <c r="AJ671" s="28">
        <f>IF(ISERROR(AI671/B671*AF671),0,(AI671/B671*AF671))</f>
        <v>0</v>
      </c>
      <c r="AK671" s="58">
        <f>IF(ISERROR(O671/B671*AF671),0,(O671/B671*AF671))</f>
        <v>0</v>
      </c>
      <c r="AL671" s="28">
        <f>IF(ISERROR(H671/B671*AF671),0,(H671/B671*AF671))</f>
        <v>0</v>
      </c>
      <c r="AN671" s="51">
        <f>A671</f>
        <v>0</v>
      </c>
      <c r="AO671" s="57">
        <f>IF(ISERROR(IF(B671=C671,D671/C671,(INT(D671/B671)+(((D671-B671*INT(D671/B671)))/C671)/100))),0,(IF(B671=C671,D671/C671,(INT(D671/B671)+(((D671-B671*INT(D671/B671)))/C671)/100))))</f>
        <v>0</v>
      </c>
      <c r="AP671" s="57">
        <f>IF(ISERROR(IF(B671=C671,E671/C671,(INT(E671/B671)+(((E671-B671*INT(E671/B671)))/C671)/100))),0,(IF(B671=C671,E671/C671,(INT(E671/B671)+(((E671-B671*INT(E671/B671)))/C671)/100))))</f>
        <v>0</v>
      </c>
      <c r="AQ671" s="57">
        <f>IF(ISERROR(IF(B671=C671,F671/C671,IF((INT(F671/B671)+(((F671-B671*INT(F671/B671)))/C671)/100)&lt;0,(INT(F671/B671)+(((F671-B671*INT(F671/B671)))/C671)/100)+(1-(B671/C671/100)),(INT(F671/B671)+(((F671-B671*INT(F671/B671)))/C671)/100)))),0,IF(B671=C671,F671/C671,IF((INT(F671/B671)+(((F671-B671*INT(F671/B671)))/C671)/100)&lt;0,(INT(F671/B671)+(((F671-B671*INT(F671/B671)))/C671)/100)+(1-(B671/C671/100)),(INT(F671/B671)+(((F671-B671*INT(F671/B671)))/C671)/100))))</f>
        <v>0</v>
      </c>
      <c r="AR671" s="57">
        <f>IF(ISERROR(IF(B671=C671,G671/C671,(INT(G671/B671)+(((G671-B671*INT(G671/B671)))/C671)/100))),0,(IF(B671=C671,G671/C671,(INT(G671/B671)+(((G671-B671*INT(G671/B671)))/C671)/100))))</f>
        <v>0</v>
      </c>
      <c r="AS671" s="57">
        <f>IF(ISERROR(IF(B671=C671,H671/C671,(INT(H671/B671)+(((H671-B671*INT(H671/B671)))/C671)/100))),0,(IF(B671=C671,H671/C671,(INT(H671/B671)+(((H671-B671*INT(H671/B671)))/C671)/100))))</f>
        <v>0</v>
      </c>
      <c r="AT671" s="57">
        <f>IF(ISERROR(IF(B671=C671,I671/C671,(INT(I671/B671)+(((I671-B671*INT(I671/B671)))/C671)/100))),0,(IF(B671=C671,I671/C671,(INT(I671/B671)+(((I671-B671*INT(I671/B671)))/C671)/100))))</f>
        <v>0</v>
      </c>
      <c r="AU671" s="57">
        <f>IF(ISERROR(IF(B671=C671,J671/C671,(INT(J671/B671)+(((J671-B671*INT(J671/B671)))/C671)/100))),0,(IF(B671=C671,J671/C671,(INT(J671/B671)+(((J671-B671*INT(J671/B671)))/C671)/100))))</f>
        <v>0</v>
      </c>
      <c r="AV671" s="57">
        <f>IF(ISERROR(IF(B671=C671,K671/C671,IF((INT(K671/B671)+(((K671-B671*INT(K671/B671)))/C671)/100)&lt;0,(INT(K671/B671)+(((K671-B671*INT(K671/B671)))/C671)/100)+(1-(B671/C671/100)),(INT(K671/B671)+(((K671-B671*INT(K671/B671)))/C671)/100)))),0,IF(B671=C671,K671/C671,IF((INT(K671/B671)+(((K671-B671*INT(K671/B671)))/C671)/100)&lt;0,(INT(K671/B671)+(((K671-B671*INT(K671/B671)))/C671)/100)+(1-(B671/C671/100)),(INT(K671/B671)+(((K671-B671*INT(K671/B671)))/C671)/100))))</f>
        <v>0</v>
      </c>
      <c r="AW671" s="57">
        <f>IF(ISERROR(IF(B671=C671,L671/C671,(INT(L671/B671)+(((L671-B671*INT(L671/B671)))/C671)/100))),0,(IF(B671=C671,L671/C671,(INT(L671/B671)+(((L671-B671*INT(L671/B671)))/C671)/100))))</f>
        <v>0</v>
      </c>
      <c r="AX671" s="57">
        <f>IF(ISERROR(IF(B671=C671,M671/C671,(INT(M671/B671)+(((M671-B671*INT(M671/B671)))/C671)/100))),0,(IF(B671=C671,M671/C671,(INT(M671/B671)+(((M671-B671*INT(M671/B671)))/C671)/100))))</f>
        <v>0</v>
      </c>
      <c r="AY671" s="57">
        <f>IF(ISERROR(IF(B671=C671,N671/C671,IF((INT(N671/B671)+(((N671-B671*INT(N671/B671)))/C671)/100)&lt;0,(INT(N671/B671)+(((N671-B671*INT(N671/B671)))/C671)/100)+(1-(B671/C671/100)),(INT(N671/B671)+(((N671-B671*INT(N671/B671)))/C671)/100)))),0,IF(B671=C671,N671/C671,IF((INT(N671/B671)+(((N671-B671*INT(N671/B671)))/C671)/100)&lt;0,(INT(N671/B671)+(((N671-B671*INT(N671/B671)))/C671)/100)+(1-(B671/C671/100)),(INT(N671/B671)+(((N671-B671*INT(N671/B671)))/C671)/100))))</f>
        <v>0</v>
      </c>
      <c r="AZ671" s="57">
        <f>IF(ISERROR(IF(B671=C671,O671/C671,(INT(O671/B671)+(((O671-B671*INT(O671/B671)))/C671)/100))),0,(IF(B671=C671,O671/C671,(INT(O671/B671)+(((O671-B671*INT(O671/B671)))/C671)/100))))</f>
        <v>0</v>
      </c>
      <c r="BA671" s="57">
        <f>IF(ISERROR(IF(B671=C671,P671/C671,IF((INT(P671/B671)+(((P671-B671*INT(P671/B671)))/C671)/100)&lt;0,(INT(P671/B671)+(((P671-B671*INT(P671/B671)))/C671)/100)+(1-(B671/C671/100)),(INT(P671/B671)+(((P671-B671*INT(P671/B671)))/C671)/100)))),0,IF(B671=C671,P671/C671,IF((INT(P671/B671)+(((P671-B671*INT(P671/B671)))/C671)/100)&lt;0,(INT(P671/B671)+(((P671-B671*INT(P671/B671)))/C671)/100)+(1-(B671/C671/100)),(INT(P671/B671)+(((P671-B671*INT(P671/B671)))/C671)/100))))</f>
        <v>0</v>
      </c>
      <c r="BB671" s="28">
        <f>R671</f>
        <v>0</v>
      </c>
      <c r="BC671" s="28">
        <f>S671</f>
        <v>0</v>
      </c>
      <c r="BD671" s="28">
        <f>AF671</f>
        <v>0</v>
      </c>
      <c r="BE671" s="28">
        <f>T671</f>
        <v>0</v>
      </c>
      <c r="BG671" s="57">
        <f>IF(ISERROR(IF(B671=C671,V671/C671,(INT(V671/B671)+(((V671-B671*INT(V671/B671)))/C671)/100))),0,(IF(B671=C671,V671/C671,(INT(V671/B671)+(((V671-B671*INT(V671/B671)))/C671)/100))))</f>
        <v>0</v>
      </c>
      <c r="BH671" s="57">
        <f>IF(ISERROR(IF(B671=C671,W671/C671,(INT(W671/B671)+(((W671-B671*INT(W671/B671)))/C671)/100))),0,(IF(B671=C671,W671/C671,(INT(W671/B671)+(((W671-B671*INT(W671/B671)))/C671)/100))))</f>
        <v>0</v>
      </c>
      <c r="BI671" s="57">
        <f>IF(ISERROR(IF(B671=C671,X671/C671,(INT(X671/B671)+(((X671-B671*INT(X671/B671)))/C671)/100))),0,(IF(B671=C671,X671/C671,(INT(X671/B671)+(((X671-B671*INT(X671/B671)))/C671)/100))))</f>
        <v>0</v>
      </c>
      <c r="BJ671" s="57">
        <f>IF(ISERROR(IF(B671=C671,Y671/C671,(INT(Y671/B671)+(((Y671-B671*INT(Y671/B671)))/C671)/100))),0,(IF(B671=C671,Y671/C671,(INT(Y671/B671)+(((Y671-B671*INT(Y671/B671)))/C671)/100))))</f>
        <v>0</v>
      </c>
      <c r="BL671" s="57">
        <f>IF(ISERROR(IF(B671=C671,AA671/C671,(INT(AA671/B671)+(((AA671-B671*INT(AA671/B671)))/C671)/100))),0,(IF(B671=C671,AA671/C671,(INT(AA671/B671)+(((AA671-B671*INT(AA671/B671)))/C671)/100))))</f>
        <v>0</v>
      </c>
      <c r="BM671" s="57">
        <f>IF(ISERROR(IF(B671=C671,AB671/C671,(INT(AB671/B671)+(((AB671-B671*INT(AB671/B671)))/C671)/100))),0,(IF(B671=C671,AB671/C671,(INT(AB671/B671)+(((AB671-B671*INT(AB671/B671)))/C671)/100))))</f>
        <v>0</v>
      </c>
      <c r="BN671" s="57">
        <f>IF(ISERROR(IF(B671=C671,AC671/C671,(INT(AC671/B671)+(((AC671-B671*INT(AC671/B671)))/C671)/100))),0,(IF(B671=C671,AC671/C671,(INT(AC671/B671)+(((AC671-B671*INT(AC671/B671)))/C671)/100))))</f>
        <v>0</v>
      </c>
      <c r="BO671" s="57">
        <f>IF(ISERROR(IF(B671=C671,AD671/C671,(INT(AD671/B671)+(((AD671-B671*INT(AD671/B671)))/C671)/100))),0,(IF(B671=C671,AD671/C671,(INT(AD671/B671)+(((AD671-B671*INT(AD671/B671)))/C671)/100))))</f>
        <v>0</v>
      </c>
      <c r="BQ671" s="155"/>
    </row>
    <row r="672" spans="1:69" hidden="1" x14ac:dyDescent="0.35">
      <c r="A672" s="94"/>
      <c r="B672" s="113">
        <v>0</v>
      </c>
      <c r="C672" s="113">
        <v>250</v>
      </c>
      <c r="D672" s="28">
        <f>SUM(AA672:AD672)</f>
        <v>0</v>
      </c>
      <c r="E672" s="113">
        <v>0</v>
      </c>
      <c r="F672" s="113">
        <v>0</v>
      </c>
      <c r="G672" s="28">
        <f>SUM(D672:F672)</f>
        <v>0</v>
      </c>
      <c r="H672" s="125">
        <v>0</v>
      </c>
      <c r="I672" s="113">
        <v>0</v>
      </c>
      <c r="J672" s="125">
        <v>0</v>
      </c>
      <c r="K672" s="113">
        <v>0</v>
      </c>
      <c r="L672" s="113">
        <v>0</v>
      </c>
      <c r="M672" s="113">
        <v>0</v>
      </c>
      <c r="N672" s="28">
        <f>G672-SUM(H672:M672)</f>
        <v>0</v>
      </c>
      <c r="O672" s="28">
        <f>SUM(V672:Y672)</f>
        <v>0</v>
      </c>
      <c r="P672" s="28">
        <f>O672-N672</f>
        <v>0</v>
      </c>
      <c r="Q672" s="61" t="str">
        <f>IF(ISERROR(P672/SUM(H672:L672)),"",P672/SUM(H672:L672))</f>
        <v/>
      </c>
      <c r="R672" s="113">
        <v>0</v>
      </c>
      <c r="S672" s="28">
        <f>IF(ISERROR(P672/C672*R672),0,(P672/C672*R672))</f>
        <v>0</v>
      </c>
      <c r="T672" s="60">
        <f>IF(ISERROR(P672/B672*AF672),0,(P672/B672*AF672))</f>
        <v>0</v>
      </c>
      <c r="V672" s="113">
        <v>0</v>
      </c>
      <c r="W672" s="113">
        <v>0</v>
      </c>
      <c r="X672" s="113">
        <v>0</v>
      </c>
      <c r="Y672" s="113">
        <v>0</v>
      </c>
      <c r="AA672" s="113">
        <v>0</v>
      </c>
      <c r="AB672" s="113">
        <v>0</v>
      </c>
      <c r="AC672" s="113">
        <v>0</v>
      </c>
      <c r="AD672" s="113">
        <v>0</v>
      </c>
      <c r="AF672" s="113">
        <v>0</v>
      </c>
      <c r="AG672" s="28">
        <f>G672-O672</f>
        <v>0</v>
      </c>
      <c r="AH672" s="58">
        <f>IF(ISERROR(AG672/B672*AF672),0,(AG672/B672*AF672))</f>
        <v>0</v>
      </c>
      <c r="AI672" s="28">
        <f>SUM(H672:M672)</f>
        <v>0</v>
      </c>
      <c r="AJ672" s="28">
        <f>IF(ISERROR(AI672/B672*AF672),0,(AI672/B672*AF672))</f>
        <v>0</v>
      </c>
      <c r="AK672" s="58">
        <f>IF(ISERROR(O672/B672*AF672),0,(O672/B672*AF672))</f>
        <v>0</v>
      </c>
      <c r="AL672" s="28">
        <f>IF(ISERROR(H672/B672*AF672),0,(H672/B672*AF672))</f>
        <v>0</v>
      </c>
      <c r="AN672" s="51">
        <f>A672</f>
        <v>0</v>
      </c>
      <c r="AO672" s="57">
        <f>IF(ISERROR(IF(B672=C672,D672/C672,(INT(D672/B672)+(((D672-B672*INT(D672/B672)))/C672)/100))),0,(IF(B672=C672,D672/C672,(INT(D672/B672)+(((D672-B672*INT(D672/B672)))/C672)/100))))</f>
        <v>0</v>
      </c>
      <c r="AP672" s="57">
        <f>IF(ISERROR(IF(B672=C672,E672/C672,(INT(E672/B672)+(((E672-B672*INT(E672/B672)))/C672)/100))),0,(IF(B672=C672,E672/C672,(INT(E672/B672)+(((E672-B672*INT(E672/B672)))/C672)/100))))</f>
        <v>0</v>
      </c>
      <c r="AQ672" s="57">
        <f>IF(ISERROR(IF(B672=C672,F672/C672,IF((INT(F672/B672)+(((F672-B672*INT(F672/B672)))/C672)/100)&lt;0,(INT(F672/B672)+(((F672-B672*INT(F672/B672)))/C672)/100)+(1-(B672/C672/100)),(INT(F672/B672)+(((F672-B672*INT(F672/B672)))/C672)/100)))),0,IF(B672=C672,F672/C672,IF((INT(F672/B672)+(((F672-B672*INT(F672/B672)))/C672)/100)&lt;0,(INT(F672/B672)+(((F672-B672*INT(F672/B672)))/C672)/100)+(1-(B672/C672/100)),(INT(F672/B672)+(((F672-B672*INT(F672/B672)))/C672)/100))))</f>
        <v>0</v>
      </c>
      <c r="AR672" s="57">
        <f>IF(ISERROR(IF(B672=C672,G672/C672,(INT(G672/B672)+(((G672-B672*INT(G672/B672)))/C672)/100))),0,(IF(B672=C672,G672/C672,(INT(G672/B672)+(((G672-B672*INT(G672/B672)))/C672)/100))))</f>
        <v>0</v>
      </c>
      <c r="AS672" s="57">
        <f>IF(ISERROR(IF(B672=C672,H672/C672,(INT(H672/B672)+(((H672-B672*INT(H672/B672)))/C672)/100))),0,(IF(B672=C672,H672/C672,(INT(H672/B672)+(((H672-B672*INT(H672/B672)))/C672)/100))))</f>
        <v>0</v>
      </c>
      <c r="AT672" s="57">
        <f>IF(ISERROR(IF(B672=C672,I672/C672,(INT(I672/B672)+(((I672-B672*INT(I672/B672)))/C672)/100))),0,(IF(B672=C672,I672/C672,(INT(I672/B672)+(((I672-B672*INT(I672/B672)))/C672)/100))))</f>
        <v>0</v>
      </c>
      <c r="AU672" s="57">
        <f>IF(ISERROR(IF(B672=C672,J672/C672,(INT(J672/B672)+(((J672-B672*INT(J672/B672)))/C672)/100))),0,(IF(B672=C672,J672/C672,(INT(J672/B672)+(((J672-B672*INT(J672/B672)))/C672)/100))))</f>
        <v>0</v>
      </c>
      <c r="AV672" s="57">
        <f>IF(ISERROR(IF(B672=C672,K672/C672,IF((INT(K672/B672)+(((K672-B672*INT(K672/B672)))/C672)/100)&lt;0,(INT(K672/B672)+(((K672-B672*INT(K672/B672)))/C672)/100)+(1-(B672/C672/100)),(INT(K672/B672)+(((K672-B672*INT(K672/B672)))/C672)/100)))),0,IF(B672=C672,K672/C672,IF((INT(K672/B672)+(((K672-B672*INT(K672/B672)))/C672)/100)&lt;0,(INT(K672/B672)+(((K672-B672*INT(K672/B672)))/C672)/100)+(1-(B672/C672/100)),(INT(K672/B672)+(((K672-B672*INT(K672/B672)))/C672)/100))))</f>
        <v>0</v>
      </c>
      <c r="AW672" s="57">
        <f>IF(ISERROR(IF(B672=C672,L672/C672,(INT(L672/B672)+(((L672-B672*INT(L672/B672)))/C672)/100))),0,(IF(B672=C672,L672/C672,(INT(L672/B672)+(((L672-B672*INT(L672/B672)))/C672)/100))))</f>
        <v>0</v>
      </c>
      <c r="AX672" s="57">
        <f>IF(ISERROR(IF(B672=C672,M672/C672,(INT(M672/B672)+(((M672-B672*INT(M672/B672)))/C672)/100))),0,(IF(B672=C672,M672/C672,(INT(M672/B672)+(((M672-B672*INT(M672/B672)))/C672)/100))))</f>
        <v>0</v>
      </c>
      <c r="AY672" s="57">
        <f>IF(ISERROR(IF(B672=C672,N672/C672,IF((INT(N672/B672)+(((N672-B672*INT(N672/B672)))/C672)/100)&lt;0,(INT(N672/B672)+(((N672-B672*INT(N672/B672)))/C672)/100)+(1-(B672/C672/100)),(INT(N672/B672)+(((N672-B672*INT(N672/B672)))/C672)/100)))),0,IF(B672=C672,N672/C672,IF((INT(N672/B672)+(((N672-B672*INT(N672/B672)))/C672)/100)&lt;0,(INT(N672/B672)+(((N672-B672*INT(N672/B672)))/C672)/100)+(1-(B672/C672/100)),(INT(N672/B672)+(((N672-B672*INT(N672/B672)))/C672)/100))))</f>
        <v>0</v>
      </c>
      <c r="AZ672" s="57">
        <f>IF(ISERROR(IF(B672=C672,O672/C672,(INT(O672/B672)+(((O672-B672*INT(O672/B672)))/C672)/100))),0,(IF(B672=C672,O672/C672,(INT(O672/B672)+(((O672-B672*INT(O672/B672)))/C672)/100))))</f>
        <v>0</v>
      </c>
      <c r="BA672" s="57">
        <f>IF(ISERROR(IF(B672=C672,P672/C672,IF((INT(P672/B672)+(((P672-B672*INT(P672/B672)))/C672)/100)&lt;0,(INT(P672/B672)+(((P672-B672*INT(P672/B672)))/C672)/100)+(1-(B672/C672/100)),(INT(P672/B672)+(((P672-B672*INT(P672/B672)))/C672)/100)))),0,IF(B672=C672,P672/C672,IF((INT(P672/B672)+(((P672-B672*INT(P672/B672)))/C672)/100)&lt;0,(INT(P672/B672)+(((P672-B672*INT(P672/B672)))/C672)/100)+(1-(B672/C672/100)),(INT(P672/B672)+(((P672-B672*INT(P672/B672)))/C672)/100))))</f>
        <v>0</v>
      </c>
      <c r="BB672" s="28">
        <f>R672</f>
        <v>0</v>
      </c>
      <c r="BC672" s="28">
        <f>S672</f>
        <v>0</v>
      </c>
      <c r="BD672" s="28">
        <f>AF672</f>
        <v>0</v>
      </c>
      <c r="BE672" s="28">
        <f>T672</f>
        <v>0</v>
      </c>
      <c r="BG672" s="57">
        <f>IF(ISERROR(IF(B672=C672,V672/C672,(INT(V672/B672)+(((V672-B672*INT(V672/B672)))/C672)/100))),0,(IF(B672=C672,V672/C672,(INT(V672/B672)+(((V672-B672*INT(V672/B672)))/C672)/100))))</f>
        <v>0</v>
      </c>
      <c r="BH672" s="57">
        <f>IF(ISERROR(IF(B672=C672,W672/C672,(INT(W672/B672)+(((W672-B672*INT(W672/B672)))/C672)/100))),0,(IF(B672=C672,W672/C672,(INT(W672/B672)+(((W672-B672*INT(W672/B672)))/C672)/100))))</f>
        <v>0</v>
      </c>
      <c r="BI672" s="57">
        <f>IF(ISERROR(IF(B672=C672,X672/C672,(INT(X672/B672)+(((X672-B672*INT(X672/B672)))/C672)/100))),0,(IF(B672=C672,X672/C672,(INT(X672/B672)+(((X672-B672*INT(X672/B672)))/C672)/100))))</f>
        <v>0</v>
      </c>
      <c r="BJ672" s="57">
        <f>IF(ISERROR(IF(B672=C672,Y672/C672,(INT(Y672/B672)+(((Y672-B672*INT(Y672/B672)))/C672)/100))),0,(IF(B672=C672,Y672/C672,(INT(Y672/B672)+(((Y672-B672*INT(Y672/B672)))/C672)/100))))</f>
        <v>0</v>
      </c>
      <c r="BL672" s="57">
        <f>IF(ISERROR(IF(B672=C672,AA672/C672,(INT(AA672/B672)+(((AA672-B672*INT(AA672/B672)))/C672)/100))),0,(IF(B672=C672,AA672/C672,(INT(AA672/B672)+(((AA672-B672*INT(AA672/B672)))/C672)/100))))</f>
        <v>0</v>
      </c>
      <c r="BM672" s="57">
        <f>IF(ISERROR(IF(B672=C672,AB672/C672,(INT(AB672/B672)+(((AB672-B672*INT(AB672/B672)))/C672)/100))),0,(IF(B672=C672,AB672/C672,(INT(AB672/B672)+(((AB672-B672*INT(AB672/B672)))/C672)/100))))</f>
        <v>0</v>
      </c>
      <c r="BN672" s="57">
        <f>IF(ISERROR(IF(B672=C672,AC672/C672,(INT(AC672/B672)+(((AC672-B672*INT(AC672/B672)))/C672)/100))),0,(IF(B672=C672,AC672/C672,(INT(AC672/B672)+(((AC672-B672*INT(AC672/B672)))/C672)/100))))</f>
        <v>0</v>
      </c>
      <c r="BO672" s="57">
        <f>IF(ISERROR(IF(B672=C672,AD672/C672,(INT(AD672/B672)+(((AD672-B672*INT(AD672/B672)))/C672)/100))),0,(IF(B672=C672,AD672/C672,(INT(AD672/B672)+(((AD672-B672*INT(AD672/B672)))/C672)/100))))</f>
        <v>0</v>
      </c>
      <c r="BQ672" s="155"/>
    </row>
    <row r="673" spans="1:69" hidden="1" x14ac:dyDescent="0.35">
      <c r="A673" s="94"/>
      <c r="B673" s="113">
        <v>0</v>
      </c>
      <c r="C673" s="113">
        <v>250</v>
      </c>
      <c r="D673" s="28">
        <f>SUM(AA673:AD673)</f>
        <v>0</v>
      </c>
      <c r="E673" s="113">
        <v>0</v>
      </c>
      <c r="F673" s="113">
        <v>0</v>
      </c>
      <c r="G673" s="28">
        <f>SUM(D673:F673)</f>
        <v>0</v>
      </c>
      <c r="H673" s="125">
        <v>0</v>
      </c>
      <c r="I673" s="113">
        <v>0</v>
      </c>
      <c r="J673" s="125">
        <v>0</v>
      </c>
      <c r="K673" s="113">
        <v>0</v>
      </c>
      <c r="L673" s="113">
        <v>0</v>
      </c>
      <c r="M673" s="113">
        <v>0</v>
      </c>
      <c r="N673" s="28">
        <f>G673-SUM(H673:M673)</f>
        <v>0</v>
      </c>
      <c r="O673" s="28">
        <f>SUM(V673:Y673)</f>
        <v>0</v>
      </c>
      <c r="P673" s="28">
        <f>O673-N673</f>
        <v>0</v>
      </c>
      <c r="Q673" s="61" t="str">
        <f>IF(ISERROR(P673/SUM(H673:L673)),"",P673/SUM(H673:L673))</f>
        <v/>
      </c>
      <c r="R673" s="113">
        <v>0</v>
      </c>
      <c r="S673" s="28">
        <f>IF(ISERROR(P673/C673*R673),0,(P673/C673*R673))</f>
        <v>0</v>
      </c>
      <c r="T673" s="60">
        <f>IF(ISERROR(P673/B673*AF673),0,(P673/B673*AF673))</f>
        <v>0</v>
      </c>
      <c r="V673" s="113">
        <v>0</v>
      </c>
      <c r="W673" s="113">
        <v>0</v>
      </c>
      <c r="X673" s="113">
        <v>0</v>
      </c>
      <c r="Y673" s="113">
        <v>0</v>
      </c>
      <c r="AA673" s="113">
        <v>0</v>
      </c>
      <c r="AB673" s="113">
        <v>0</v>
      </c>
      <c r="AC673" s="113">
        <v>0</v>
      </c>
      <c r="AD673" s="113">
        <v>0</v>
      </c>
      <c r="AF673" s="113">
        <v>0</v>
      </c>
      <c r="AG673" s="28">
        <f>G673-O673</f>
        <v>0</v>
      </c>
      <c r="AH673" s="58">
        <f>IF(ISERROR(AG673/B673*AF673),0,(AG673/B673*AF673))</f>
        <v>0</v>
      </c>
      <c r="AI673" s="28">
        <f>SUM(H673:M673)</f>
        <v>0</v>
      </c>
      <c r="AJ673" s="28">
        <f>IF(ISERROR(AI673/B673*AF673),0,(AI673/B673*AF673))</f>
        <v>0</v>
      </c>
      <c r="AK673" s="58">
        <f>IF(ISERROR(O673/B673*AF673),0,(O673/B673*AF673))</f>
        <v>0</v>
      </c>
      <c r="AL673" s="28">
        <f>IF(ISERROR(H673/B673*AF673),0,(H673/B673*AF673))</f>
        <v>0</v>
      </c>
      <c r="AN673" s="51">
        <f>A673</f>
        <v>0</v>
      </c>
      <c r="AO673" s="57">
        <f>IF(ISERROR(IF(B673=C673,D673/C673,(INT(D673/B673)+(((D673-B673*INT(D673/B673)))/C673)/100))),0,(IF(B673=C673,D673/C673,(INT(D673/B673)+(((D673-B673*INT(D673/B673)))/C673)/100))))</f>
        <v>0</v>
      </c>
      <c r="AP673" s="57">
        <f>IF(ISERROR(IF(B673=C673,E673/C673,(INT(E673/B673)+(((E673-B673*INT(E673/B673)))/C673)/100))),0,(IF(B673=C673,E673/C673,(INT(E673/B673)+(((E673-B673*INT(E673/B673)))/C673)/100))))</f>
        <v>0</v>
      </c>
      <c r="AQ673" s="57">
        <f>IF(ISERROR(IF(B673=C673,F673/C673,IF((INT(F673/B673)+(((F673-B673*INT(F673/B673)))/C673)/100)&lt;0,(INT(F673/B673)+(((F673-B673*INT(F673/B673)))/C673)/100)+(1-(B673/C673/100)),(INT(F673/B673)+(((F673-B673*INT(F673/B673)))/C673)/100)))),0,IF(B673=C673,F673/C673,IF((INT(F673/B673)+(((F673-B673*INT(F673/B673)))/C673)/100)&lt;0,(INT(F673/B673)+(((F673-B673*INT(F673/B673)))/C673)/100)+(1-(B673/C673/100)),(INT(F673/B673)+(((F673-B673*INT(F673/B673)))/C673)/100))))</f>
        <v>0</v>
      </c>
      <c r="AR673" s="57">
        <f>IF(ISERROR(IF(B673=C673,G673/C673,(INT(G673/B673)+(((G673-B673*INT(G673/B673)))/C673)/100))),0,(IF(B673=C673,G673/C673,(INT(G673/B673)+(((G673-B673*INT(G673/B673)))/C673)/100))))</f>
        <v>0</v>
      </c>
      <c r="AS673" s="57">
        <f>IF(ISERROR(IF(B673=C673,H673/C673,(INT(H673/B673)+(((H673-B673*INT(H673/B673)))/C673)/100))),0,(IF(B673=C673,H673/C673,(INT(H673/B673)+(((H673-B673*INT(H673/B673)))/C673)/100))))</f>
        <v>0</v>
      </c>
      <c r="AT673" s="57">
        <f>IF(ISERROR(IF(B673=C673,I673/C673,(INT(I673/B673)+(((I673-B673*INT(I673/B673)))/C673)/100))),0,(IF(B673=C673,I673/C673,(INT(I673/B673)+(((I673-B673*INT(I673/B673)))/C673)/100))))</f>
        <v>0</v>
      </c>
      <c r="AU673" s="57">
        <f>IF(ISERROR(IF(B673=C673,J673/C673,(INT(J673/B673)+(((J673-B673*INT(J673/B673)))/C673)/100))),0,(IF(B673=C673,J673/C673,(INT(J673/B673)+(((J673-B673*INT(J673/B673)))/C673)/100))))</f>
        <v>0</v>
      </c>
      <c r="AV673" s="57">
        <f>IF(ISERROR(IF(B673=C673,K673/C673,IF((INT(K673/B673)+(((K673-B673*INT(K673/B673)))/C673)/100)&lt;0,(INT(K673/B673)+(((K673-B673*INT(K673/B673)))/C673)/100)+(1-(B673/C673/100)),(INT(K673/B673)+(((K673-B673*INT(K673/B673)))/C673)/100)))),0,IF(B673=C673,K673/C673,IF((INT(K673/B673)+(((K673-B673*INT(K673/B673)))/C673)/100)&lt;0,(INT(K673/B673)+(((K673-B673*INT(K673/B673)))/C673)/100)+(1-(B673/C673/100)),(INT(K673/B673)+(((K673-B673*INT(K673/B673)))/C673)/100))))</f>
        <v>0</v>
      </c>
      <c r="AW673" s="57">
        <f>IF(ISERROR(IF(B673=C673,L673/C673,(INT(L673/B673)+(((L673-B673*INT(L673/B673)))/C673)/100))),0,(IF(B673=C673,L673/C673,(INT(L673/B673)+(((L673-B673*INT(L673/B673)))/C673)/100))))</f>
        <v>0</v>
      </c>
      <c r="AX673" s="57">
        <f>IF(ISERROR(IF(B673=C673,M673/C673,(INT(M673/B673)+(((M673-B673*INT(M673/B673)))/C673)/100))),0,(IF(B673=C673,M673/C673,(INT(M673/B673)+(((M673-B673*INT(M673/B673)))/C673)/100))))</f>
        <v>0</v>
      </c>
      <c r="AY673" s="57">
        <f>IF(ISERROR(IF(B673=C673,N673/C673,IF((INT(N673/B673)+(((N673-B673*INT(N673/B673)))/C673)/100)&lt;0,(INT(N673/B673)+(((N673-B673*INT(N673/B673)))/C673)/100)+(1-(B673/C673/100)),(INT(N673/B673)+(((N673-B673*INT(N673/B673)))/C673)/100)))),0,IF(B673=C673,N673/C673,IF((INT(N673/B673)+(((N673-B673*INT(N673/B673)))/C673)/100)&lt;0,(INT(N673/B673)+(((N673-B673*INT(N673/B673)))/C673)/100)+(1-(B673/C673/100)),(INT(N673/B673)+(((N673-B673*INT(N673/B673)))/C673)/100))))</f>
        <v>0</v>
      </c>
      <c r="AZ673" s="57">
        <f>IF(ISERROR(IF(B673=C673,O673/C673,(INT(O673/B673)+(((O673-B673*INT(O673/B673)))/C673)/100))),0,(IF(B673=C673,O673/C673,(INT(O673/B673)+(((O673-B673*INT(O673/B673)))/C673)/100))))</f>
        <v>0</v>
      </c>
      <c r="BA673" s="57">
        <f>IF(ISERROR(IF(B673=C673,P673/C673,IF((INT(P673/B673)+(((P673-B673*INT(P673/B673)))/C673)/100)&lt;0,(INT(P673/B673)+(((P673-B673*INT(P673/B673)))/C673)/100)+(1-(B673/C673/100)),(INT(P673/B673)+(((P673-B673*INT(P673/B673)))/C673)/100)))),0,IF(B673=C673,P673/C673,IF((INT(P673/B673)+(((P673-B673*INT(P673/B673)))/C673)/100)&lt;0,(INT(P673/B673)+(((P673-B673*INT(P673/B673)))/C673)/100)+(1-(B673/C673/100)),(INT(P673/B673)+(((P673-B673*INT(P673/B673)))/C673)/100))))</f>
        <v>0</v>
      </c>
      <c r="BB673" s="28">
        <f>R673</f>
        <v>0</v>
      </c>
      <c r="BC673" s="28">
        <f>S673</f>
        <v>0</v>
      </c>
      <c r="BD673" s="28">
        <f>AF673</f>
        <v>0</v>
      </c>
      <c r="BE673" s="28">
        <f>T673</f>
        <v>0</v>
      </c>
      <c r="BG673" s="57">
        <f>IF(ISERROR(IF(B673=C673,V673/C673,(INT(V673/B673)+(((V673-B673*INT(V673/B673)))/C673)/100))),0,(IF(B673=C673,V673/C673,(INT(V673/B673)+(((V673-B673*INT(V673/B673)))/C673)/100))))</f>
        <v>0</v>
      </c>
      <c r="BH673" s="57">
        <f>IF(ISERROR(IF(B673=C673,W673/C673,(INT(W673/B673)+(((W673-B673*INT(W673/B673)))/C673)/100))),0,(IF(B673=C673,W673/C673,(INT(W673/B673)+(((W673-B673*INT(W673/B673)))/C673)/100))))</f>
        <v>0</v>
      </c>
      <c r="BI673" s="57">
        <f>IF(ISERROR(IF(B673=C673,X673/C673,(INT(X673/B673)+(((X673-B673*INT(X673/B673)))/C673)/100))),0,(IF(B673=C673,X673/C673,(INT(X673/B673)+(((X673-B673*INT(X673/B673)))/C673)/100))))</f>
        <v>0</v>
      </c>
      <c r="BJ673" s="57">
        <f>IF(ISERROR(IF(B673=C673,Y673/C673,(INT(Y673/B673)+(((Y673-B673*INT(Y673/B673)))/C673)/100))),0,(IF(B673=C673,Y673/C673,(INT(Y673/B673)+(((Y673-B673*INT(Y673/B673)))/C673)/100))))</f>
        <v>0</v>
      </c>
      <c r="BL673" s="57">
        <f>IF(ISERROR(IF(B673=C673,AA673/C673,(INT(AA673/B673)+(((AA673-B673*INT(AA673/B673)))/C673)/100))),0,(IF(B673=C673,AA673/C673,(INT(AA673/B673)+(((AA673-B673*INT(AA673/B673)))/C673)/100))))</f>
        <v>0</v>
      </c>
      <c r="BM673" s="57">
        <f>IF(ISERROR(IF(B673=C673,AB673/C673,(INT(AB673/B673)+(((AB673-B673*INT(AB673/B673)))/C673)/100))),0,(IF(B673=C673,AB673/C673,(INT(AB673/B673)+(((AB673-B673*INT(AB673/B673)))/C673)/100))))</f>
        <v>0</v>
      </c>
      <c r="BN673" s="57">
        <f>IF(ISERROR(IF(B673=C673,AC673/C673,(INT(AC673/B673)+(((AC673-B673*INT(AC673/B673)))/C673)/100))),0,(IF(B673=C673,AC673/C673,(INT(AC673/B673)+(((AC673-B673*INT(AC673/B673)))/C673)/100))))</f>
        <v>0</v>
      </c>
      <c r="BO673" s="57">
        <f>IF(ISERROR(IF(B673=C673,AD673/C673,(INT(AD673/B673)+(((AD673-B673*INT(AD673/B673)))/C673)/100))),0,(IF(B673=C673,AD673/C673,(INT(AD673/B673)+(((AD673-B673*INT(AD673/B673)))/C673)/100))))</f>
        <v>0</v>
      </c>
      <c r="BQ673" s="155"/>
    </row>
    <row r="674" spans="1:69" hidden="1" x14ac:dyDescent="0.35">
      <c r="A674" s="94"/>
      <c r="B674" s="113">
        <v>0</v>
      </c>
      <c r="C674" s="113">
        <v>250</v>
      </c>
      <c r="D674" s="28">
        <f>SUM(AA674:AD674)</f>
        <v>0</v>
      </c>
      <c r="E674" s="113">
        <v>0</v>
      </c>
      <c r="F674" s="113">
        <v>0</v>
      </c>
      <c r="G674" s="28">
        <f>SUM(D674:F674)</f>
        <v>0</v>
      </c>
      <c r="H674" s="125">
        <v>0</v>
      </c>
      <c r="I674" s="113">
        <v>0</v>
      </c>
      <c r="J674" s="125">
        <v>0</v>
      </c>
      <c r="K674" s="113">
        <v>0</v>
      </c>
      <c r="L674" s="113">
        <v>0</v>
      </c>
      <c r="M674" s="113">
        <v>0</v>
      </c>
      <c r="N674" s="28">
        <f>G674-SUM(H674:M674)</f>
        <v>0</v>
      </c>
      <c r="O674" s="28">
        <f>SUM(V674:Y674)</f>
        <v>0</v>
      </c>
      <c r="P674" s="28">
        <f>O674-N674</f>
        <v>0</v>
      </c>
      <c r="Q674" s="61" t="str">
        <f>IF(ISERROR(P674/SUM(H674:L674)),"",P674/SUM(H674:L674))</f>
        <v/>
      </c>
      <c r="R674" s="113">
        <v>0</v>
      </c>
      <c r="S674" s="28">
        <f>IF(ISERROR(P674/C674*R674),0,(P674/C674*R674))</f>
        <v>0</v>
      </c>
      <c r="T674" s="60">
        <f>IF(ISERROR(P674/B674*AF674),0,(P674/B674*AF674))</f>
        <v>0</v>
      </c>
      <c r="V674" s="113">
        <v>0</v>
      </c>
      <c r="W674" s="113">
        <v>0</v>
      </c>
      <c r="X674" s="113">
        <v>0</v>
      </c>
      <c r="Y674" s="113">
        <v>0</v>
      </c>
      <c r="AA674" s="113">
        <v>0</v>
      </c>
      <c r="AB674" s="113">
        <v>0</v>
      </c>
      <c r="AC674" s="113">
        <v>0</v>
      </c>
      <c r="AD674" s="113">
        <v>0</v>
      </c>
      <c r="AF674" s="113">
        <v>0</v>
      </c>
      <c r="AG674" s="28">
        <f>G674-O674</f>
        <v>0</v>
      </c>
      <c r="AH674" s="58">
        <f>IF(ISERROR(AG674/B674*AF674),0,(AG674/B674*AF674))</f>
        <v>0</v>
      </c>
      <c r="AI674" s="28">
        <f>SUM(H674:M674)</f>
        <v>0</v>
      </c>
      <c r="AJ674" s="28">
        <f>IF(ISERROR(AI674/B674*AF674),0,(AI674/B674*AF674))</f>
        <v>0</v>
      </c>
      <c r="AK674" s="58">
        <f>IF(ISERROR(O674/B674*AF674),0,(O674/B674*AF674))</f>
        <v>0</v>
      </c>
      <c r="AL674" s="28">
        <f>IF(ISERROR(H674/B674*AF674),0,(H674/B674*AF674))</f>
        <v>0</v>
      </c>
      <c r="AN674" s="51">
        <f>A674</f>
        <v>0</v>
      </c>
      <c r="AO674" s="57">
        <f>IF(ISERROR(IF(B674=C674,D674/C674,(INT(D674/B674)+(((D674-B674*INT(D674/B674)))/C674)/100))),0,(IF(B674=C674,D674/C674,(INT(D674/B674)+(((D674-B674*INT(D674/B674)))/C674)/100))))</f>
        <v>0</v>
      </c>
      <c r="AP674" s="57">
        <f>IF(ISERROR(IF(B674=C674,E674/C674,(INT(E674/B674)+(((E674-B674*INT(E674/B674)))/C674)/100))),0,(IF(B674=C674,E674/C674,(INT(E674/B674)+(((E674-B674*INT(E674/B674)))/C674)/100))))</f>
        <v>0</v>
      </c>
      <c r="AQ674" s="57">
        <f>IF(ISERROR(IF(B674=C674,F674/C674,IF((INT(F674/B674)+(((F674-B674*INT(F674/B674)))/C674)/100)&lt;0,(INT(F674/B674)+(((F674-B674*INT(F674/B674)))/C674)/100)+(1-(B674/C674/100)),(INT(F674/B674)+(((F674-B674*INT(F674/B674)))/C674)/100)))),0,IF(B674=C674,F674/C674,IF((INT(F674/B674)+(((F674-B674*INT(F674/B674)))/C674)/100)&lt;0,(INT(F674/B674)+(((F674-B674*INT(F674/B674)))/C674)/100)+(1-(B674/C674/100)),(INT(F674/B674)+(((F674-B674*INT(F674/B674)))/C674)/100))))</f>
        <v>0</v>
      </c>
      <c r="AR674" s="57">
        <f>IF(ISERROR(IF(B674=C674,G674/C674,(INT(G674/B674)+(((G674-B674*INT(G674/B674)))/C674)/100))),0,(IF(B674=C674,G674/C674,(INT(G674/B674)+(((G674-B674*INT(G674/B674)))/C674)/100))))</f>
        <v>0</v>
      </c>
      <c r="AS674" s="57">
        <f>IF(ISERROR(IF(B674=C674,H674/C674,(INT(H674/B674)+(((H674-B674*INT(H674/B674)))/C674)/100))),0,(IF(B674=C674,H674/C674,(INT(H674/B674)+(((H674-B674*INT(H674/B674)))/C674)/100))))</f>
        <v>0</v>
      </c>
      <c r="AT674" s="57">
        <f>IF(ISERROR(IF(B674=C674,I674/C674,(INT(I674/B674)+(((I674-B674*INT(I674/B674)))/C674)/100))),0,(IF(B674=C674,I674/C674,(INT(I674/B674)+(((I674-B674*INT(I674/B674)))/C674)/100))))</f>
        <v>0</v>
      </c>
      <c r="AU674" s="57">
        <f>IF(ISERROR(IF(B674=C674,J674/C674,(INT(J674/B674)+(((J674-B674*INT(J674/B674)))/C674)/100))),0,(IF(B674=C674,J674/C674,(INT(J674/B674)+(((J674-B674*INT(J674/B674)))/C674)/100))))</f>
        <v>0</v>
      </c>
      <c r="AV674" s="57">
        <f>IF(ISERROR(IF(B674=C674,K674/C674,IF((INT(K674/B674)+(((K674-B674*INT(K674/B674)))/C674)/100)&lt;0,(INT(K674/B674)+(((K674-B674*INT(K674/B674)))/C674)/100)+(1-(B674/C674/100)),(INT(K674/B674)+(((K674-B674*INT(K674/B674)))/C674)/100)))),0,IF(B674=C674,K674/C674,IF((INT(K674/B674)+(((K674-B674*INT(K674/B674)))/C674)/100)&lt;0,(INT(K674/B674)+(((K674-B674*INT(K674/B674)))/C674)/100)+(1-(B674/C674/100)),(INT(K674/B674)+(((K674-B674*INT(K674/B674)))/C674)/100))))</f>
        <v>0</v>
      </c>
      <c r="AW674" s="57">
        <f>IF(ISERROR(IF(B674=C674,L674/C674,(INT(L674/B674)+(((L674-B674*INT(L674/B674)))/C674)/100))),0,(IF(B674=C674,L674/C674,(INT(L674/B674)+(((L674-B674*INT(L674/B674)))/C674)/100))))</f>
        <v>0</v>
      </c>
      <c r="AX674" s="57">
        <f>IF(ISERROR(IF(B674=C674,M674/C674,(INT(M674/B674)+(((M674-B674*INT(M674/B674)))/C674)/100))),0,(IF(B674=C674,M674/C674,(INT(M674/B674)+(((M674-B674*INT(M674/B674)))/C674)/100))))</f>
        <v>0</v>
      </c>
      <c r="AY674" s="57">
        <f>IF(ISERROR(IF(B674=C674,N674/C674,IF((INT(N674/B674)+(((N674-B674*INT(N674/B674)))/C674)/100)&lt;0,(INT(N674/B674)+(((N674-B674*INT(N674/B674)))/C674)/100)+(1-(B674/C674/100)),(INT(N674/B674)+(((N674-B674*INT(N674/B674)))/C674)/100)))),0,IF(B674=C674,N674/C674,IF((INT(N674/B674)+(((N674-B674*INT(N674/B674)))/C674)/100)&lt;0,(INT(N674/B674)+(((N674-B674*INT(N674/B674)))/C674)/100)+(1-(B674/C674/100)),(INT(N674/B674)+(((N674-B674*INT(N674/B674)))/C674)/100))))</f>
        <v>0</v>
      </c>
      <c r="AZ674" s="57">
        <f>IF(ISERROR(IF(B674=C674,O674/C674,(INT(O674/B674)+(((O674-B674*INT(O674/B674)))/C674)/100))),0,(IF(B674=C674,O674/C674,(INT(O674/B674)+(((O674-B674*INT(O674/B674)))/C674)/100))))</f>
        <v>0</v>
      </c>
      <c r="BA674" s="57">
        <f>IF(ISERROR(IF(B674=C674,P674/C674,IF((INT(P674/B674)+(((P674-B674*INT(P674/B674)))/C674)/100)&lt;0,(INT(P674/B674)+(((P674-B674*INT(P674/B674)))/C674)/100)+(1-(B674/C674/100)),(INT(P674/B674)+(((P674-B674*INT(P674/B674)))/C674)/100)))),0,IF(B674=C674,P674/C674,IF((INT(P674/B674)+(((P674-B674*INT(P674/B674)))/C674)/100)&lt;0,(INT(P674/B674)+(((P674-B674*INT(P674/B674)))/C674)/100)+(1-(B674/C674/100)),(INT(P674/B674)+(((P674-B674*INT(P674/B674)))/C674)/100))))</f>
        <v>0</v>
      </c>
      <c r="BB674" s="28">
        <f>R674</f>
        <v>0</v>
      </c>
      <c r="BC674" s="28">
        <f>S674</f>
        <v>0</v>
      </c>
      <c r="BD674" s="28">
        <f>AF674</f>
        <v>0</v>
      </c>
      <c r="BE674" s="28">
        <f>T674</f>
        <v>0</v>
      </c>
      <c r="BG674" s="57">
        <f>IF(ISERROR(IF(B674=C674,V674/C674,(INT(V674/B674)+(((V674-B674*INT(V674/B674)))/C674)/100))),0,(IF(B674=C674,V674/C674,(INT(V674/B674)+(((V674-B674*INT(V674/B674)))/C674)/100))))</f>
        <v>0</v>
      </c>
      <c r="BH674" s="57">
        <f>IF(ISERROR(IF(B674=C674,W674/C674,(INT(W674/B674)+(((W674-B674*INT(W674/B674)))/C674)/100))),0,(IF(B674=C674,W674/C674,(INT(W674/B674)+(((W674-B674*INT(W674/B674)))/C674)/100))))</f>
        <v>0</v>
      </c>
      <c r="BI674" s="57">
        <f>IF(ISERROR(IF(B674=C674,X674/C674,(INT(X674/B674)+(((X674-B674*INT(X674/B674)))/C674)/100))),0,(IF(B674=C674,X674/C674,(INT(X674/B674)+(((X674-B674*INT(X674/B674)))/C674)/100))))</f>
        <v>0</v>
      </c>
      <c r="BJ674" s="57">
        <f>IF(ISERROR(IF(B674=C674,Y674/C674,(INT(Y674/B674)+(((Y674-B674*INT(Y674/B674)))/C674)/100))),0,(IF(B674=C674,Y674/C674,(INT(Y674/B674)+(((Y674-B674*INT(Y674/B674)))/C674)/100))))</f>
        <v>0</v>
      </c>
      <c r="BL674" s="57">
        <f>IF(ISERROR(IF(B674=C674,AA674/C674,(INT(AA674/B674)+(((AA674-B674*INT(AA674/B674)))/C674)/100))),0,(IF(B674=C674,AA674/C674,(INT(AA674/B674)+(((AA674-B674*INT(AA674/B674)))/C674)/100))))</f>
        <v>0</v>
      </c>
      <c r="BM674" s="57">
        <f>IF(ISERROR(IF(B674=C674,AB674/C674,(INT(AB674/B674)+(((AB674-B674*INT(AB674/B674)))/C674)/100))),0,(IF(B674=C674,AB674/C674,(INT(AB674/B674)+(((AB674-B674*INT(AB674/B674)))/C674)/100))))</f>
        <v>0</v>
      </c>
      <c r="BN674" s="57">
        <f>IF(ISERROR(IF(B674=C674,AC674/C674,(INT(AC674/B674)+(((AC674-B674*INT(AC674/B674)))/C674)/100))),0,(IF(B674=C674,AC674/C674,(INT(AC674/B674)+(((AC674-B674*INT(AC674/B674)))/C674)/100))))</f>
        <v>0</v>
      </c>
      <c r="BO674" s="57">
        <f>IF(ISERROR(IF(B674=C674,AD674/C674,(INT(AD674/B674)+(((AD674-B674*INT(AD674/B674)))/C674)/100))),0,(IF(B674=C674,AD674/C674,(INT(AD674/B674)+(((AD674-B674*INT(AD674/B674)))/C674)/100))))</f>
        <v>0</v>
      </c>
      <c r="BQ674" s="155"/>
    </row>
    <row r="675" spans="1:69" hidden="1" x14ac:dyDescent="0.35">
      <c r="A675" s="94"/>
      <c r="B675" s="113">
        <v>0</v>
      </c>
      <c r="C675" s="113">
        <v>250</v>
      </c>
      <c r="D675" s="28">
        <f>SUM(AA675:AD675)</f>
        <v>0</v>
      </c>
      <c r="E675" s="113">
        <v>0</v>
      </c>
      <c r="F675" s="113">
        <v>0</v>
      </c>
      <c r="G675" s="28">
        <f>SUM(D675:F675)</f>
        <v>0</v>
      </c>
      <c r="H675" s="125">
        <v>0</v>
      </c>
      <c r="I675" s="113">
        <v>0</v>
      </c>
      <c r="J675" s="125">
        <v>0</v>
      </c>
      <c r="K675" s="113">
        <v>0</v>
      </c>
      <c r="L675" s="113">
        <v>0</v>
      </c>
      <c r="M675" s="113">
        <v>0</v>
      </c>
      <c r="N675" s="28">
        <f>G675-SUM(H675:M675)</f>
        <v>0</v>
      </c>
      <c r="O675" s="28">
        <f>SUM(V675:Y675)</f>
        <v>0</v>
      </c>
      <c r="P675" s="28">
        <f>O675-N675</f>
        <v>0</v>
      </c>
      <c r="Q675" s="61" t="str">
        <f>IF(ISERROR(P675/SUM(H675:L675)),"",P675/SUM(H675:L675))</f>
        <v/>
      </c>
      <c r="R675" s="113">
        <v>0</v>
      </c>
      <c r="S675" s="28">
        <f>IF(ISERROR(P675/C675*R675),0,(P675/C675*R675))</f>
        <v>0</v>
      </c>
      <c r="T675" s="60">
        <f>IF(ISERROR(P675/B675*AF675),0,(P675/B675*AF675))</f>
        <v>0</v>
      </c>
      <c r="V675" s="113">
        <v>0</v>
      </c>
      <c r="W675" s="113">
        <v>0</v>
      </c>
      <c r="X675" s="113">
        <v>0</v>
      </c>
      <c r="Y675" s="113">
        <v>0</v>
      </c>
      <c r="AA675" s="113">
        <v>0</v>
      </c>
      <c r="AB675" s="113">
        <v>0</v>
      </c>
      <c r="AC675" s="113">
        <v>0</v>
      </c>
      <c r="AD675" s="113">
        <v>0</v>
      </c>
      <c r="AF675" s="113">
        <v>0</v>
      </c>
      <c r="AG675" s="28">
        <f>G675-O675</f>
        <v>0</v>
      </c>
      <c r="AH675" s="58">
        <f>IF(ISERROR(AG675/B675*AF675),0,(AG675/B675*AF675))</f>
        <v>0</v>
      </c>
      <c r="AI675" s="28">
        <f>SUM(H675:M675)</f>
        <v>0</v>
      </c>
      <c r="AJ675" s="28">
        <f>IF(ISERROR(AI675/B675*AF675),0,(AI675/B675*AF675))</f>
        <v>0</v>
      </c>
      <c r="AK675" s="58">
        <f>IF(ISERROR(O675/B675*AF675),0,(O675/B675*AF675))</f>
        <v>0</v>
      </c>
      <c r="AL675" s="28">
        <f>IF(ISERROR(H675/B675*AF675),0,(H675/B675*AF675))</f>
        <v>0</v>
      </c>
      <c r="AN675" s="51">
        <f>A675</f>
        <v>0</v>
      </c>
      <c r="AO675" s="57">
        <f>IF(ISERROR(IF(B675=C675,D675/C675,(INT(D675/B675)+(((D675-B675*INT(D675/B675)))/C675)/100))),0,(IF(B675=C675,D675/C675,(INT(D675/B675)+(((D675-B675*INT(D675/B675)))/C675)/100))))</f>
        <v>0</v>
      </c>
      <c r="AP675" s="57">
        <f>IF(ISERROR(IF(B675=C675,E675/C675,(INT(E675/B675)+(((E675-B675*INT(E675/B675)))/C675)/100))),0,(IF(B675=C675,E675/C675,(INT(E675/B675)+(((E675-B675*INT(E675/B675)))/C675)/100))))</f>
        <v>0</v>
      </c>
      <c r="AQ675" s="57">
        <f>IF(ISERROR(IF(B675=C675,F675/C675,IF((INT(F675/B675)+(((F675-B675*INT(F675/B675)))/C675)/100)&lt;0,(INT(F675/B675)+(((F675-B675*INT(F675/B675)))/C675)/100)+(1-(B675/C675/100)),(INT(F675/B675)+(((F675-B675*INT(F675/B675)))/C675)/100)))),0,IF(B675=C675,F675/C675,IF((INT(F675/B675)+(((F675-B675*INT(F675/B675)))/C675)/100)&lt;0,(INT(F675/B675)+(((F675-B675*INT(F675/B675)))/C675)/100)+(1-(B675/C675/100)),(INT(F675/B675)+(((F675-B675*INT(F675/B675)))/C675)/100))))</f>
        <v>0</v>
      </c>
      <c r="AR675" s="57">
        <f>IF(ISERROR(IF(B675=C675,G675/C675,(INT(G675/B675)+(((G675-B675*INT(G675/B675)))/C675)/100))),0,(IF(B675=C675,G675/C675,(INT(G675/B675)+(((G675-B675*INT(G675/B675)))/C675)/100))))</f>
        <v>0</v>
      </c>
      <c r="AS675" s="57">
        <f>IF(ISERROR(IF(B675=C675,H675/C675,(INT(H675/B675)+(((H675-B675*INT(H675/B675)))/C675)/100))),0,(IF(B675=C675,H675/C675,(INT(H675/B675)+(((H675-B675*INT(H675/B675)))/C675)/100))))</f>
        <v>0</v>
      </c>
      <c r="AT675" s="57">
        <f>IF(ISERROR(IF(B675=C675,I675/C675,(INT(I675/B675)+(((I675-B675*INT(I675/B675)))/C675)/100))),0,(IF(B675=C675,I675/C675,(INT(I675/B675)+(((I675-B675*INT(I675/B675)))/C675)/100))))</f>
        <v>0</v>
      </c>
      <c r="AU675" s="57">
        <f>IF(ISERROR(IF(B675=C675,J675/C675,(INT(J675/B675)+(((J675-B675*INT(J675/B675)))/C675)/100))),0,(IF(B675=C675,J675/C675,(INT(J675/B675)+(((J675-B675*INT(J675/B675)))/C675)/100))))</f>
        <v>0</v>
      </c>
      <c r="AV675" s="57">
        <f>IF(ISERROR(IF(B675=C675,K675/C675,IF((INT(K675/B675)+(((K675-B675*INT(K675/B675)))/C675)/100)&lt;0,(INT(K675/B675)+(((K675-B675*INT(K675/B675)))/C675)/100)+(1-(B675/C675/100)),(INT(K675/B675)+(((K675-B675*INT(K675/B675)))/C675)/100)))),0,IF(B675=C675,K675/C675,IF((INT(K675/B675)+(((K675-B675*INT(K675/B675)))/C675)/100)&lt;0,(INT(K675/B675)+(((K675-B675*INT(K675/B675)))/C675)/100)+(1-(B675/C675/100)),(INT(K675/B675)+(((K675-B675*INT(K675/B675)))/C675)/100))))</f>
        <v>0</v>
      </c>
      <c r="AW675" s="57">
        <f>IF(ISERROR(IF(B675=C675,L675/C675,(INT(L675/B675)+(((L675-B675*INT(L675/B675)))/C675)/100))),0,(IF(B675=C675,L675/C675,(INT(L675/B675)+(((L675-B675*INT(L675/B675)))/C675)/100))))</f>
        <v>0</v>
      </c>
      <c r="AX675" s="57">
        <f>IF(ISERROR(IF(B675=C675,M675/C675,(INT(M675/B675)+(((M675-B675*INT(M675/B675)))/C675)/100))),0,(IF(B675=C675,M675/C675,(INT(M675/B675)+(((M675-B675*INT(M675/B675)))/C675)/100))))</f>
        <v>0</v>
      </c>
      <c r="AY675" s="57">
        <f>IF(ISERROR(IF(B675=C675,N675/C675,IF((INT(N675/B675)+(((N675-B675*INT(N675/B675)))/C675)/100)&lt;0,(INT(N675/B675)+(((N675-B675*INT(N675/B675)))/C675)/100)+(1-(B675/C675/100)),(INT(N675/B675)+(((N675-B675*INT(N675/B675)))/C675)/100)))),0,IF(B675=C675,N675/C675,IF((INT(N675/B675)+(((N675-B675*INT(N675/B675)))/C675)/100)&lt;0,(INT(N675/B675)+(((N675-B675*INT(N675/B675)))/C675)/100)+(1-(B675/C675/100)),(INT(N675/B675)+(((N675-B675*INT(N675/B675)))/C675)/100))))</f>
        <v>0</v>
      </c>
      <c r="AZ675" s="57">
        <f>IF(ISERROR(IF(B675=C675,O675/C675,(INT(O675/B675)+(((O675-B675*INT(O675/B675)))/C675)/100))),0,(IF(B675=C675,O675/C675,(INT(O675/B675)+(((O675-B675*INT(O675/B675)))/C675)/100))))</f>
        <v>0</v>
      </c>
      <c r="BA675" s="57">
        <f>IF(ISERROR(IF(B675=C675,P675/C675,IF((INT(P675/B675)+(((P675-B675*INT(P675/B675)))/C675)/100)&lt;0,(INT(P675/B675)+(((P675-B675*INT(P675/B675)))/C675)/100)+(1-(B675/C675/100)),(INT(P675/B675)+(((P675-B675*INT(P675/B675)))/C675)/100)))),0,IF(B675=C675,P675/C675,IF((INT(P675/B675)+(((P675-B675*INT(P675/B675)))/C675)/100)&lt;0,(INT(P675/B675)+(((P675-B675*INT(P675/B675)))/C675)/100)+(1-(B675/C675/100)),(INT(P675/B675)+(((P675-B675*INT(P675/B675)))/C675)/100))))</f>
        <v>0</v>
      </c>
      <c r="BB675" s="28">
        <f>R675</f>
        <v>0</v>
      </c>
      <c r="BC675" s="28">
        <f>S675</f>
        <v>0</v>
      </c>
      <c r="BD675" s="28">
        <f>AF675</f>
        <v>0</v>
      </c>
      <c r="BE675" s="28">
        <f>T675</f>
        <v>0</v>
      </c>
      <c r="BG675" s="57">
        <f>IF(ISERROR(IF(B675=C675,V675/C675,(INT(V675/B675)+(((V675-B675*INT(V675/B675)))/C675)/100))),0,(IF(B675=C675,V675/C675,(INT(V675/B675)+(((V675-B675*INT(V675/B675)))/C675)/100))))</f>
        <v>0</v>
      </c>
      <c r="BH675" s="57">
        <f>IF(ISERROR(IF(B675=C675,W675/C675,(INT(W675/B675)+(((W675-B675*INT(W675/B675)))/C675)/100))),0,(IF(B675=C675,W675/C675,(INT(W675/B675)+(((W675-B675*INT(W675/B675)))/C675)/100))))</f>
        <v>0</v>
      </c>
      <c r="BI675" s="57">
        <f>IF(ISERROR(IF(B675=C675,X675/C675,(INT(X675/B675)+(((X675-B675*INT(X675/B675)))/C675)/100))),0,(IF(B675=C675,X675/C675,(INT(X675/B675)+(((X675-B675*INT(X675/B675)))/C675)/100))))</f>
        <v>0</v>
      </c>
      <c r="BJ675" s="57">
        <f>IF(ISERROR(IF(B675=C675,Y675/C675,(INT(Y675/B675)+(((Y675-B675*INT(Y675/B675)))/C675)/100))),0,(IF(B675=C675,Y675/C675,(INT(Y675/B675)+(((Y675-B675*INT(Y675/B675)))/C675)/100))))</f>
        <v>0</v>
      </c>
      <c r="BL675" s="57">
        <f>IF(ISERROR(IF(B675=C675,AA675/C675,(INT(AA675/B675)+(((AA675-B675*INT(AA675/B675)))/C675)/100))),0,(IF(B675=C675,AA675/C675,(INT(AA675/B675)+(((AA675-B675*INT(AA675/B675)))/C675)/100))))</f>
        <v>0</v>
      </c>
      <c r="BM675" s="57">
        <f>IF(ISERROR(IF(B675=C675,AB675/C675,(INT(AB675/B675)+(((AB675-B675*INT(AB675/B675)))/C675)/100))),0,(IF(B675=C675,AB675/C675,(INT(AB675/B675)+(((AB675-B675*INT(AB675/B675)))/C675)/100))))</f>
        <v>0</v>
      </c>
      <c r="BN675" s="57">
        <f>IF(ISERROR(IF(B675=C675,AC675/C675,(INT(AC675/B675)+(((AC675-B675*INT(AC675/B675)))/C675)/100))),0,(IF(B675=C675,AC675/C675,(INT(AC675/B675)+(((AC675-B675*INT(AC675/B675)))/C675)/100))))</f>
        <v>0</v>
      </c>
      <c r="BO675" s="57">
        <f>IF(ISERROR(IF(B675=C675,AD675/C675,(INT(AD675/B675)+(((AD675-B675*INT(AD675/B675)))/C675)/100))),0,(IF(B675=C675,AD675/C675,(INT(AD675/B675)+(((AD675-B675*INT(AD675/B675)))/C675)/100))))</f>
        <v>0</v>
      </c>
      <c r="BQ675" s="155"/>
    </row>
    <row r="676" spans="1:69" hidden="1" x14ac:dyDescent="0.35">
      <c r="A676" s="94"/>
      <c r="B676" s="113">
        <v>0</v>
      </c>
      <c r="C676" s="113">
        <v>250</v>
      </c>
      <c r="D676" s="28">
        <f>SUM(AA676:AD676)</f>
        <v>0</v>
      </c>
      <c r="E676" s="113">
        <v>0</v>
      </c>
      <c r="F676" s="113">
        <v>0</v>
      </c>
      <c r="G676" s="28">
        <f>SUM(D676:F676)</f>
        <v>0</v>
      </c>
      <c r="H676" s="125">
        <v>0</v>
      </c>
      <c r="I676" s="113">
        <v>0</v>
      </c>
      <c r="J676" s="125">
        <v>0</v>
      </c>
      <c r="K676" s="113">
        <v>0</v>
      </c>
      <c r="L676" s="113">
        <v>0</v>
      </c>
      <c r="M676" s="113">
        <v>0</v>
      </c>
      <c r="N676" s="28">
        <f>G676-SUM(H676:M676)</f>
        <v>0</v>
      </c>
      <c r="O676" s="28">
        <f>SUM(V676:Y676)</f>
        <v>0</v>
      </c>
      <c r="P676" s="28">
        <f>O676-N676</f>
        <v>0</v>
      </c>
      <c r="Q676" s="61" t="str">
        <f>IF(ISERROR(P676/SUM(H676:L676)),"",P676/SUM(H676:L676))</f>
        <v/>
      </c>
      <c r="R676" s="113">
        <v>0</v>
      </c>
      <c r="S676" s="28">
        <f>IF(ISERROR(P676/C676*R676),0,(P676/C676*R676))</f>
        <v>0</v>
      </c>
      <c r="T676" s="60">
        <f>IF(ISERROR(P676/B676*AF676),0,(P676/B676*AF676))</f>
        <v>0</v>
      </c>
      <c r="V676" s="113">
        <v>0</v>
      </c>
      <c r="W676" s="113">
        <v>0</v>
      </c>
      <c r="X676" s="113">
        <v>0</v>
      </c>
      <c r="Y676" s="113">
        <v>0</v>
      </c>
      <c r="AA676" s="113">
        <v>0</v>
      </c>
      <c r="AB676" s="113">
        <v>0</v>
      </c>
      <c r="AC676" s="113">
        <v>0</v>
      </c>
      <c r="AD676" s="113">
        <v>0</v>
      </c>
      <c r="AF676" s="113">
        <v>0</v>
      </c>
      <c r="AG676" s="28">
        <f>G676-O676</f>
        <v>0</v>
      </c>
      <c r="AH676" s="58">
        <f>IF(ISERROR(AG676/B676*AF676),0,(AG676/B676*AF676))</f>
        <v>0</v>
      </c>
      <c r="AI676" s="28">
        <f>SUM(H676:M676)</f>
        <v>0</v>
      </c>
      <c r="AJ676" s="28">
        <f>IF(ISERROR(AI676/B676*AF676),0,(AI676/B676*AF676))</f>
        <v>0</v>
      </c>
      <c r="AK676" s="58">
        <f>IF(ISERROR(O676/B676*AF676),0,(O676/B676*AF676))</f>
        <v>0</v>
      </c>
      <c r="AL676" s="28">
        <f>IF(ISERROR(H676/B676*AF676),0,(H676/B676*AF676))</f>
        <v>0</v>
      </c>
      <c r="AN676" s="51">
        <f>A676</f>
        <v>0</v>
      </c>
      <c r="AO676" s="57">
        <f>IF(ISERROR(IF(B676=C676,D676/C676,(INT(D676/B676)+(((D676-B676*INT(D676/B676)))/C676)/100))),0,(IF(B676=C676,D676/C676,(INT(D676/B676)+(((D676-B676*INT(D676/B676)))/C676)/100))))</f>
        <v>0</v>
      </c>
      <c r="AP676" s="57">
        <f>IF(ISERROR(IF(B676=C676,E676/C676,(INT(E676/B676)+(((E676-B676*INT(E676/B676)))/C676)/100))),0,(IF(B676=C676,E676/C676,(INT(E676/B676)+(((E676-B676*INT(E676/B676)))/C676)/100))))</f>
        <v>0</v>
      </c>
      <c r="AQ676" s="57">
        <f>IF(ISERROR(IF(B676=C676,F676/C676,IF((INT(F676/B676)+(((F676-B676*INT(F676/B676)))/C676)/100)&lt;0,(INT(F676/B676)+(((F676-B676*INT(F676/B676)))/C676)/100)+(1-(B676/C676/100)),(INT(F676/B676)+(((F676-B676*INT(F676/B676)))/C676)/100)))),0,IF(B676=C676,F676/C676,IF((INT(F676/B676)+(((F676-B676*INT(F676/B676)))/C676)/100)&lt;0,(INT(F676/B676)+(((F676-B676*INT(F676/B676)))/C676)/100)+(1-(B676/C676/100)),(INT(F676/B676)+(((F676-B676*INT(F676/B676)))/C676)/100))))</f>
        <v>0</v>
      </c>
      <c r="AR676" s="57">
        <f>IF(ISERROR(IF(B676=C676,G676/C676,(INT(G676/B676)+(((G676-B676*INT(G676/B676)))/C676)/100))),0,(IF(B676=C676,G676/C676,(INT(G676/B676)+(((G676-B676*INT(G676/B676)))/C676)/100))))</f>
        <v>0</v>
      </c>
      <c r="AS676" s="57">
        <f>IF(ISERROR(IF(B676=C676,H676/C676,(INT(H676/B676)+(((H676-B676*INT(H676/B676)))/C676)/100))),0,(IF(B676=C676,H676/C676,(INT(H676/B676)+(((H676-B676*INT(H676/B676)))/C676)/100))))</f>
        <v>0</v>
      </c>
      <c r="AT676" s="57">
        <f>IF(ISERROR(IF(B676=C676,I676/C676,(INT(I676/B676)+(((I676-B676*INT(I676/B676)))/C676)/100))),0,(IF(B676=C676,I676/C676,(INT(I676/B676)+(((I676-B676*INT(I676/B676)))/C676)/100))))</f>
        <v>0</v>
      </c>
      <c r="AU676" s="57">
        <f>IF(ISERROR(IF(B676=C676,J676/C676,(INT(J676/B676)+(((J676-B676*INT(J676/B676)))/C676)/100))),0,(IF(B676=C676,J676/C676,(INT(J676/B676)+(((J676-B676*INT(J676/B676)))/C676)/100))))</f>
        <v>0</v>
      </c>
      <c r="AV676" s="57">
        <f>IF(ISERROR(IF(B676=C676,K676/C676,IF((INT(K676/B676)+(((K676-B676*INT(K676/B676)))/C676)/100)&lt;0,(INT(K676/B676)+(((K676-B676*INT(K676/B676)))/C676)/100)+(1-(B676/C676/100)),(INT(K676/B676)+(((K676-B676*INT(K676/B676)))/C676)/100)))),0,IF(B676=C676,K676/C676,IF((INT(K676/B676)+(((K676-B676*INT(K676/B676)))/C676)/100)&lt;0,(INT(K676/B676)+(((K676-B676*INT(K676/B676)))/C676)/100)+(1-(B676/C676/100)),(INT(K676/B676)+(((K676-B676*INT(K676/B676)))/C676)/100))))</f>
        <v>0</v>
      </c>
      <c r="AW676" s="57">
        <f>IF(ISERROR(IF(B676=C676,L676/C676,(INT(L676/B676)+(((L676-B676*INT(L676/B676)))/C676)/100))),0,(IF(B676=C676,L676/C676,(INT(L676/B676)+(((L676-B676*INT(L676/B676)))/C676)/100))))</f>
        <v>0</v>
      </c>
      <c r="AX676" s="57">
        <f>IF(ISERROR(IF(B676=C676,M676/C676,(INT(M676/B676)+(((M676-B676*INT(M676/B676)))/C676)/100))),0,(IF(B676=C676,M676/C676,(INT(M676/B676)+(((M676-B676*INT(M676/B676)))/C676)/100))))</f>
        <v>0</v>
      </c>
      <c r="AY676" s="57">
        <f>IF(ISERROR(IF(B676=C676,N676/C676,IF((INT(N676/B676)+(((N676-B676*INT(N676/B676)))/C676)/100)&lt;0,(INT(N676/B676)+(((N676-B676*INT(N676/B676)))/C676)/100)+(1-(B676/C676/100)),(INT(N676/B676)+(((N676-B676*INT(N676/B676)))/C676)/100)))),0,IF(B676=C676,N676/C676,IF((INT(N676/B676)+(((N676-B676*INT(N676/B676)))/C676)/100)&lt;0,(INT(N676/B676)+(((N676-B676*INT(N676/B676)))/C676)/100)+(1-(B676/C676/100)),(INT(N676/B676)+(((N676-B676*INT(N676/B676)))/C676)/100))))</f>
        <v>0</v>
      </c>
      <c r="AZ676" s="57">
        <f>IF(ISERROR(IF(B676=C676,O676/C676,(INT(O676/B676)+(((O676-B676*INT(O676/B676)))/C676)/100))),0,(IF(B676=C676,O676/C676,(INT(O676/B676)+(((O676-B676*INT(O676/B676)))/C676)/100))))</f>
        <v>0</v>
      </c>
      <c r="BA676" s="57">
        <f>IF(ISERROR(IF(B676=C676,P676/C676,IF((INT(P676/B676)+(((P676-B676*INT(P676/B676)))/C676)/100)&lt;0,(INT(P676/B676)+(((P676-B676*INT(P676/B676)))/C676)/100)+(1-(B676/C676/100)),(INT(P676/B676)+(((P676-B676*INT(P676/B676)))/C676)/100)))),0,IF(B676=C676,P676/C676,IF((INT(P676/B676)+(((P676-B676*INT(P676/B676)))/C676)/100)&lt;0,(INT(P676/B676)+(((P676-B676*INT(P676/B676)))/C676)/100)+(1-(B676/C676/100)),(INT(P676/B676)+(((P676-B676*INT(P676/B676)))/C676)/100))))</f>
        <v>0</v>
      </c>
      <c r="BB676" s="28">
        <f>R676</f>
        <v>0</v>
      </c>
      <c r="BC676" s="28">
        <f>S676</f>
        <v>0</v>
      </c>
      <c r="BD676" s="28">
        <f>AF676</f>
        <v>0</v>
      </c>
      <c r="BE676" s="28">
        <f>T676</f>
        <v>0</v>
      </c>
      <c r="BG676" s="57">
        <f>IF(ISERROR(IF(B676=C676,V676/C676,(INT(V676/B676)+(((V676-B676*INT(V676/B676)))/C676)/100))),0,(IF(B676=C676,V676/C676,(INT(V676/B676)+(((V676-B676*INT(V676/B676)))/C676)/100))))</f>
        <v>0</v>
      </c>
      <c r="BH676" s="57">
        <f>IF(ISERROR(IF(B676=C676,W676/C676,(INT(W676/B676)+(((W676-B676*INT(W676/B676)))/C676)/100))),0,(IF(B676=C676,W676/C676,(INT(W676/B676)+(((W676-B676*INT(W676/B676)))/C676)/100))))</f>
        <v>0</v>
      </c>
      <c r="BI676" s="57">
        <f>IF(ISERROR(IF(B676=C676,X676/C676,(INT(X676/B676)+(((X676-B676*INT(X676/B676)))/C676)/100))),0,(IF(B676=C676,X676/C676,(INT(X676/B676)+(((X676-B676*INT(X676/B676)))/C676)/100))))</f>
        <v>0</v>
      </c>
      <c r="BJ676" s="57">
        <f>IF(ISERROR(IF(B676=C676,Y676/C676,(INT(Y676/B676)+(((Y676-B676*INT(Y676/B676)))/C676)/100))),0,(IF(B676=C676,Y676/C676,(INT(Y676/B676)+(((Y676-B676*INT(Y676/B676)))/C676)/100))))</f>
        <v>0</v>
      </c>
      <c r="BL676" s="57">
        <f>IF(ISERROR(IF(B676=C676,AA676/C676,(INT(AA676/B676)+(((AA676-B676*INT(AA676/B676)))/C676)/100))),0,(IF(B676=C676,AA676/C676,(INT(AA676/B676)+(((AA676-B676*INT(AA676/B676)))/C676)/100))))</f>
        <v>0</v>
      </c>
      <c r="BM676" s="57">
        <f>IF(ISERROR(IF(B676=C676,AB676/C676,(INT(AB676/B676)+(((AB676-B676*INT(AB676/B676)))/C676)/100))),0,(IF(B676=C676,AB676/C676,(INT(AB676/B676)+(((AB676-B676*INT(AB676/B676)))/C676)/100))))</f>
        <v>0</v>
      </c>
      <c r="BN676" s="57">
        <f>IF(ISERROR(IF(B676=C676,AC676/C676,(INT(AC676/B676)+(((AC676-B676*INT(AC676/B676)))/C676)/100))),0,(IF(B676=C676,AC676/C676,(INT(AC676/B676)+(((AC676-B676*INT(AC676/B676)))/C676)/100))))</f>
        <v>0</v>
      </c>
      <c r="BO676" s="57">
        <f>IF(ISERROR(IF(B676=C676,AD676/C676,(INT(AD676/B676)+(((AD676-B676*INT(AD676/B676)))/C676)/100))),0,(IF(B676=C676,AD676/C676,(INT(AD676/B676)+(((AD676-B676*INT(AD676/B676)))/C676)/100))))</f>
        <v>0</v>
      </c>
      <c r="BQ676" s="155"/>
    </row>
    <row r="677" spans="1:69" hidden="1" x14ac:dyDescent="0.35">
      <c r="A677" s="94"/>
      <c r="B677" s="113">
        <v>0</v>
      </c>
      <c r="C677" s="113">
        <v>250</v>
      </c>
      <c r="D677" s="28">
        <f>SUM(AA677:AD677)</f>
        <v>0</v>
      </c>
      <c r="E677" s="113">
        <v>0</v>
      </c>
      <c r="F677" s="113">
        <v>0</v>
      </c>
      <c r="G677" s="28">
        <f>SUM(D677:F677)</f>
        <v>0</v>
      </c>
      <c r="H677" s="125">
        <v>0</v>
      </c>
      <c r="I677" s="113">
        <v>0</v>
      </c>
      <c r="J677" s="125">
        <v>0</v>
      </c>
      <c r="K677" s="113">
        <v>0</v>
      </c>
      <c r="L677" s="113">
        <v>0</v>
      </c>
      <c r="M677" s="113">
        <v>0</v>
      </c>
      <c r="N677" s="28">
        <f>G677-SUM(H677:M677)</f>
        <v>0</v>
      </c>
      <c r="O677" s="28">
        <f>SUM(V677:Y677)</f>
        <v>0</v>
      </c>
      <c r="P677" s="28">
        <f>O677-N677</f>
        <v>0</v>
      </c>
      <c r="Q677" s="61" t="str">
        <f>IF(ISERROR(P677/SUM(H677:L677)),"",P677/SUM(H677:L677))</f>
        <v/>
      </c>
      <c r="R677" s="113">
        <v>0</v>
      </c>
      <c r="S677" s="28">
        <f>IF(ISERROR(P677/C677*R677),0,(P677/C677*R677))</f>
        <v>0</v>
      </c>
      <c r="T677" s="60">
        <f>IF(ISERROR(P677/B677*AF677),0,(P677/B677*AF677))</f>
        <v>0</v>
      </c>
      <c r="V677" s="113">
        <v>0</v>
      </c>
      <c r="W677" s="113">
        <v>0</v>
      </c>
      <c r="X677" s="113">
        <v>0</v>
      </c>
      <c r="Y677" s="113">
        <v>0</v>
      </c>
      <c r="AA677" s="113">
        <v>0</v>
      </c>
      <c r="AB677" s="113">
        <v>0</v>
      </c>
      <c r="AC677" s="113">
        <v>0</v>
      </c>
      <c r="AD677" s="113">
        <v>0</v>
      </c>
      <c r="AF677" s="113">
        <v>0</v>
      </c>
      <c r="AG677" s="28">
        <f>G677-O677</f>
        <v>0</v>
      </c>
      <c r="AH677" s="58">
        <f>IF(ISERROR(AG677/B677*AF677),0,(AG677/B677*AF677))</f>
        <v>0</v>
      </c>
      <c r="AI677" s="28">
        <f>SUM(H677:M677)</f>
        <v>0</v>
      </c>
      <c r="AJ677" s="28">
        <f>IF(ISERROR(AI677/B677*AF677),0,(AI677/B677*AF677))</f>
        <v>0</v>
      </c>
      <c r="AK677" s="58">
        <f>IF(ISERROR(O677/B677*AF677),0,(O677/B677*AF677))</f>
        <v>0</v>
      </c>
      <c r="AL677" s="28">
        <f>IF(ISERROR(H677/B677*AF677),0,(H677/B677*AF677))</f>
        <v>0</v>
      </c>
      <c r="AN677" s="51">
        <f>A677</f>
        <v>0</v>
      </c>
      <c r="AO677" s="57">
        <f>IF(ISERROR(IF(B677=C677,D677/C677,(INT(D677/B677)+(((D677-B677*INT(D677/B677)))/C677)/100))),0,(IF(B677=C677,D677/C677,(INT(D677/B677)+(((D677-B677*INT(D677/B677)))/C677)/100))))</f>
        <v>0</v>
      </c>
      <c r="AP677" s="57">
        <f>IF(ISERROR(IF(B677=C677,E677/C677,(INT(E677/B677)+(((E677-B677*INT(E677/B677)))/C677)/100))),0,(IF(B677=C677,E677/C677,(INT(E677/B677)+(((E677-B677*INT(E677/B677)))/C677)/100))))</f>
        <v>0</v>
      </c>
      <c r="AQ677" s="57">
        <f>IF(ISERROR(IF(B677=C677,F677/C677,IF((INT(F677/B677)+(((F677-B677*INT(F677/B677)))/C677)/100)&lt;0,(INT(F677/B677)+(((F677-B677*INT(F677/B677)))/C677)/100)+(1-(B677/C677/100)),(INT(F677/B677)+(((F677-B677*INT(F677/B677)))/C677)/100)))),0,IF(B677=C677,F677/C677,IF((INT(F677/B677)+(((F677-B677*INT(F677/B677)))/C677)/100)&lt;0,(INT(F677/B677)+(((F677-B677*INT(F677/B677)))/C677)/100)+(1-(B677/C677/100)),(INT(F677/B677)+(((F677-B677*INT(F677/B677)))/C677)/100))))</f>
        <v>0</v>
      </c>
      <c r="AR677" s="57">
        <f>IF(ISERROR(IF(B677=C677,G677/C677,(INT(G677/B677)+(((G677-B677*INT(G677/B677)))/C677)/100))),0,(IF(B677=C677,G677/C677,(INT(G677/B677)+(((G677-B677*INT(G677/B677)))/C677)/100))))</f>
        <v>0</v>
      </c>
      <c r="AS677" s="57">
        <f>IF(ISERROR(IF(B677=C677,H677/C677,(INT(H677/B677)+(((H677-B677*INT(H677/B677)))/C677)/100))),0,(IF(B677=C677,H677/C677,(INT(H677/B677)+(((H677-B677*INT(H677/B677)))/C677)/100))))</f>
        <v>0</v>
      </c>
      <c r="AT677" s="57">
        <f>IF(ISERROR(IF(B677=C677,I677/C677,(INT(I677/B677)+(((I677-B677*INT(I677/B677)))/C677)/100))),0,(IF(B677=C677,I677/C677,(INT(I677/B677)+(((I677-B677*INT(I677/B677)))/C677)/100))))</f>
        <v>0</v>
      </c>
      <c r="AU677" s="57">
        <f>IF(ISERROR(IF(B677=C677,J677/C677,(INT(J677/B677)+(((J677-B677*INT(J677/B677)))/C677)/100))),0,(IF(B677=C677,J677/C677,(INT(J677/B677)+(((J677-B677*INT(J677/B677)))/C677)/100))))</f>
        <v>0</v>
      </c>
      <c r="AV677" s="57">
        <f>IF(ISERROR(IF(B677=C677,K677/C677,IF((INT(K677/B677)+(((K677-B677*INT(K677/B677)))/C677)/100)&lt;0,(INT(K677/B677)+(((K677-B677*INT(K677/B677)))/C677)/100)+(1-(B677/C677/100)),(INT(K677/B677)+(((K677-B677*INT(K677/B677)))/C677)/100)))),0,IF(B677=C677,K677/C677,IF((INT(K677/B677)+(((K677-B677*INT(K677/B677)))/C677)/100)&lt;0,(INT(K677/B677)+(((K677-B677*INT(K677/B677)))/C677)/100)+(1-(B677/C677/100)),(INT(K677/B677)+(((K677-B677*INT(K677/B677)))/C677)/100))))</f>
        <v>0</v>
      </c>
      <c r="AW677" s="57">
        <f>IF(ISERROR(IF(B677=C677,L677/C677,(INT(L677/B677)+(((L677-B677*INT(L677/B677)))/C677)/100))),0,(IF(B677=C677,L677/C677,(INT(L677/B677)+(((L677-B677*INT(L677/B677)))/C677)/100))))</f>
        <v>0</v>
      </c>
      <c r="AX677" s="57">
        <f>IF(ISERROR(IF(B677=C677,M677/C677,(INT(M677/B677)+(((M677-B677*INT(M677/B677)))/C677)/100))),0,(IF(B677=C677,M677/C677,(INT(M677/B677)+(((M677-B677*INT(M677/B677)))/C677)/100))))</f>
        <v>0</v>
      </c>
      <c r="AY677" s="57">
        <f>IF(ISERROR(IF(B677=C677,N677/C677,IF((INT(N677/B677)+(((N677-B677*INT(N677/B677)))/C677)/100)&lt;0,(INT(N677/B677)+(((N677-B677*INT(N677/B677)))/C677)/100)+(1-(B677/C677/100)),(INT(N677/B677)+(((N677-B677*INT(N677/B677)))/C677)/100)))),0,IF(B677=C677,N677/C677,IF((INT(N677/B677)+(((N677-B677*INT(N677/B677)))/C677)/100)&lt;0,(INT(N677/B677)+(((N677-B677*INT(N677/B677)))/C677)/100)+(1-(B677/C677/100)),(INT(N677/B677)+(((N677-B677*INT(N677/B677)))/C677)/100))))</f>
        <v>0</v>
      </c>
      <c r="AZ677" s="57">
        <f>IF(ISERROR(IF(B677=C677,O677/C677,(INT(O677/B677)+(((O677-B677*INT(O677/B677)))/C677)/100))),0,(IF(B677=C677,O677/C677,(INT(O677/B677)+(((O677-B677*INT(O677/B677)))/C677)/100))))</f>
        <v>0</v>
      </c>
      <c r="BA677" s="57">
        <f>IF(ISERROR(IF(B677=C677,P677/C677,IF((INT(P677/B677)+(((P677-B677*INT(P677/B677)))/C677)/100)&lt;0,(INT(P677/B677)+(((P677-B677*INT(P677/B677)))/C677)/100)+(1-(B677/C677/100)),(INT(P677/B677)+(((P677-B677*INT(P677/B677)))/C677)/100)))),0,IF(B677=C677,P677/C677,IF((INT(P677/B677)+(((P677-B677*INT(P677/B677)))/C677)/100)&lt;0,(INT(P677/B677)+(((P677-B677*INT(P677/B677)))/C677)/100)+(1-(B677/C677/100)),(INT(P677/B677)+(((P677-B677*INT(P677/B677)))/C677)/100))))</f>
        <v>0</v>
      </c>
      <c r="BB677" s="28">
        <f>R677</f>
        <v>0</v>
      </c>
      <c r="BC677" s="28">
        <f>S677</f>
        <v>0</v>
      </c>
      <c r="BD677" s="28">
        <f>AF677</f>
        <v>0</v>
      </c>
      <c r="BE677" s="28">
        <f>T677</f>
        <v>0</v>
      </c>
      <c r="BG677" s="57">
        <f>IF(ISERROR(IF(B677=C677,V677/C677,(INT(V677/B677)+(((V677-B677*INT(V677/B677)))/C677)/100))),0,(IF(B677=C677,V677/C677,(INT(V677/B677)+(((V677-B677*INT(V677/B677)))/C677)/100))))</f>
        <v>0</v>
      </c>
      <c r="BH677" s="57">
        <f>IF(ISERROR(IF(B677=C677,W677/C677,(INT(W677/B677)+(((W677-B677*INT(W677/B677)))/C677)/100))),0,(IF(B677=C677,W677/C677,(INT(W677/B677)+(((W677-B677*INT(W677/B677)))/C677)/100))))</f>
        <v>0</v>
      </c>
      <c r="BI677" s="57">
        <f>IF(ISERROR(IF(B677=C677,X677/C677,(INT(X677/B677)+(((X677-B677*INT(X677/B677)))/C677)/100))),0,(IF(B677=C677,X677/C677,(INT(X677/B677)+(((X677-B677*INT(X677/B677)))/C677)/100))))</f>
        <v>0</v>
      </c>
      <c r="BJ677" s="57">
        <f>IF(ISERROR(IF(B677=C677,Y677/C677,(INT(Y677/B677)+(((Y677-B677*INT(Y677/B677)))/C677)/100))),0,(IF(B677=C677,Y677/C677,(INT(Y677/B677)+(((Y677-B677*INT(Y677/B677)))/C677)/100))))</f>
        <v>0</v>
      </c>
      <c r="BL677" s="57">
        <f>IF(ISERROR(IF(B677=C677,AA677/C677,(INT(AA677/B677)+(((AA677-B677*INT(AA677/B677)))/C677)/100))),0,(IF(B677=C677,AA677/C677,(INT(AA677/B677)+(((AA677-B677*INT(AA677/B677)))/C677)/100))))</f>
        <v>0</v>
      </c>
      <c r="BM677" s="57">
        <f>IF(ISERROR(IF(B677=C677,AB677/C677,(INT(AB677/B677)+(((AB677-B677*INT(AB677/B677)))/C677)/100))),0,(IF(B677=C677,AB677/C677,(INT(AB677/B677)+(((AB677-B677*INT(AB677/B677)))/C677)/100))))</f>
        <v>0</v>
      </c>
      <c r="BN677" s="57">
        <f>IF(ISERROR(IF(B677=C677,AC677/C677,(INT(AC677/B677)+(((AC677-B677*INT(AC677/B677)))/C677)/100))),0,(IF(B677=C677,AC677/C677,(INT(AC677/B677)+(((AC677-B677*INT(AC677/B677)))/C677)/100))))</f>
        <v>0</v>
      </c>
      <c r="BO677" s="57">
        <f>IF(ISERROR(IF(B677=C677,AD677/C677,(INT(AD677/B677)+(((AD677-B677*INT(AD677/B677)))/C677)/100))),0,(IF(B677=C677,AD677/C677,(INT(AD677/B677)+(((AD677-B677*INT(AD677/B677)))/C677)/100))))</f>
        <v>0</v>
      </c>
      <c r="BQ677" s="155"/>
    </row>
    <row r="678" spans="1:69" hidden="1" x14ac:dyDescent="0.35">
      <c r="A678" s="94"/>
      <c r="B678" s="113">
        <v>0</v>
      </c>
      <c r="C678" s="113">
        <v>250</v>
      </c>
      <c r="D678" s="28">
        <f>SUM(AA678:AD678)</f>
        <v>0</v>
      </c>
      <c r="E678" s="113">
        <v>0</v>
      </c>
      <c r="F678" s="113">
        <v>0</v>
      </c>
      <c r="G678" s="28">
        <f>SUM(D678:F678)</f>
        <v>0</v>
      </c>
      <c r="H678" s="125">
        <v>0</v>
      </c>
      <c r="I678" s="113">
        <v>0</v>
      </c>
      <c r="J678" s="125">
        <v>0</v>
      </c>
      <c r="K678" s="113">
        <v>0</v>
      </c>
      <c r="L678" s="113">
        <v>0</v>
      </c>
      <c r="M678" s="113">
        <v>0</v>
      </c>
      <c r="N678" s="28">
        <f>G678-SUM(H678:M678)</f>
        <v>0</v>
      </c>
      <c r="O678" s="28">
        <f>SUM(V678:Y678)</f>
        <v>0</v>
      </c>
      <c r="P678" s="28">
        <f>O678-N678</f>
        <v>0</v>
      </c>
      <c r="Q678" s="61" t="str">
        <f>IF(ISERROR(P678/SUM(H678:L678)),"",P678/SUM(H678:L678))</f>
        <v/>
      </c>
      <c r="R678" s="113">
        <v>0</v>
      </c>
      <c r="S678" s="28">
        <f>IF(ISERROR(P678/C678*R678),0,(P678/C678*R678))</f>
        <v>0</v>
      </c>
      <c r="T678" s="60">
        <f>IF(ISERROR(P678/B678*AF678),0,(P678/B678*AF678))</f>
        <v>0</v>
      </c>
      <c r="V678" s="113">
        <v>0</v>
      </c>
      <c r="W678" s="113">
        <v>0</v>
      </c>
      <c r="X678" s="113">
        <v>0</v>
      </c>
      <c r="Y678" s="113">
        <v>0</v>
      </c>
      <c r="AA678" s="113">
        <v>0</v>
      </c>
      <c r="AB678" s="113">
        <v>0</v>
      </c>
      <c r="AC678" s="113">
        <v>0</v>
      </c>
      <c r="AD678" s="113">
        <v>0</v>
      </c>
      <c r="AF678" s="113">
        <v>0</v>
      </c>
      <c r="AG678" s="28">
        <f>G678-O678</f>
        <v>0</v>
      </c>
      <c r="AH678" s="58">
        <f>IF(ISERROR(AG678/B678*AF678),0,(AG678/B678*AF678))</f>
        <v>0</v>
      </c>
      <c r="AI678" s="28">
        <f>SUM(H678:M678)</f>
        <v>0</v>
      </c>
      <c r="AJ678" s="28">
        <f>IF(ISERROR(AI678/B678*AF678),0,(AI678/B678*AF678))</f>
        <v>0</v>
      </c>
      <c r="AK678" s="58">
        <f>IF(ISERROR(O678/B678*AF678),0,(O678/B678*AF678))</f>
        <v>0</v>
      </c>
      <c r="AL678" s="28">
        <f>IF(ISERROR(H678/B678*AF678),0,(H678/B678*AF678))</f>
        <v>0</v>
      </c>
      <c r="AN678" s="51">
        <f>A678</f>
        <v>0</v>
      </c>
      <c r="AO678" s="57">
        <f>IF(ISERROR(IF(B678=C678,D678/C678,(INT(D678/B678)+(((D678-B678*INT(D678/B678)))/C678)/100))),0,(IF(B678=C678,D678/C678,(INT(D678/B678)+(((D678-B678*INT(D678/B678)))/C678)/100))))</f>
        <v>0</v>
      </c>
      <c r="AP678" s="57">
        <f>IF(ISERROR(IF(B678=C678,E678/C678,(INT(E678/B678)+(((E678-B678*INT(E678/B678)))/C678)/100))),0,(IF(B678=C678,E678/C678,(INT(E678/B678)+(((E678-B678*INT(E678/B678)))/C678)/100))))</f>
        <v>0</v>
      </c>
      <c r="AQ678" s="57">
        <f>IF(ISERROR(IF(B678=C678,F678/C678,IF((INT(F678/B678)+(((F678-B678*INT(F678/B678)))/C678)/100)&lt;0,(INT(F678/B678)+(((F678-B678*INT(F678/B678)))/C678)/100)+(1-(B678/C678/100)),(INT(F678/B678)+(((F678-B678*INT(F678/B678)))/C678)/100)))),0,IF(B678=C678,F678/C678,IF((INT(F678/B678)+(((F678-B678*INT(F678/B678)))/C678)/100)&lt;0,(INT(F678/B678)+(((F678-B678*INT(F678/B678)))/C678)/100)+(1-(B678/C678/100)),(INT(F678/B678)+(((F678-B678*INT(F678/B678)))/C678)/100))))</f>
        <v>0</v>
      </c>
      <c r="AR678" s="57">
        <f>IF(ISERROR(IF(B678=C678,G678/C678,(INT(G678/B678)+(((G678-B678*INT(G678/B678)))/C678)/100))),0,(IF(B678=C678,G678/C678,(INT(G678/B678)+(((G678-B678*INT(G678/B678)))/C678)/100))))</f>
        <v>0</v>
      </c>
      <c r="AS678" s="57">
        <f>IF(ISERROR(IF(B678=C678,H678/C678,(INT(H678/B678)+(((H678-B678*INT(H678/B678)))/C678)/100))),0,(IF(B678=C678,H678/C678,(INT(H678/B678)+(((H678-B678*INT(H678/B678)))/C678)/100))))</f>
        <v>0</v>
      </c>
      <c r="AT678" s="57">
        <f>IF(ISERROR(IF(B678=C678,I678/C678,(INT(I678/B678)+(((I678-B678*INT(I678/B678)))/C678)/100))),0,(IF(B678=C678,I678/C678,(INT(I678/B678)+(((I678-B678*INT(I678/B678)))/C678)/100))))</f>
        <v>0</v>
      </c>
      <c r="AU678" s="57">
        <f>IF(ISERROR(IF(B678=C678,J678/C678,(INT(J678/B678)+(((J678-B678*INT(J678/B678)))/C678)/100))),0,(IF(B678=C678,J678/C678,(INT(J678/B678)+(((J678-B678*INT(J678/B678)))/C678)/100))))</f>
        <v>0</v>
      </c>
      <c r="AV678" s="57">
        <f>IF(ISERROR(IF(B678=C678,K678/C678,IF((INT(K678/B678)+(((K678-B678*INT(K678/B678)))/C678)/100)&lt;0,(INT(K678/B678)+(((K678-B678*INT(K678/B678)))/C678)/100)+(1-(B678/C678/100)),(INT(K678/B678)+(((K678-B678*INT(K678/B678)))/C678)/100)))),0,IF(B678=C678,K678/C678,IF((INT(K678/B678)+(((K678-B678*INT(K678/B678)))/C678)/100)&lt;0,(INT(K678/B678)+(((K678-B678*INT(K678/B678)))/C678)/100)+(1-(B678/C678/100)),(INT(K678/B678)+(((K678-B678*INT(K678/B678)))/C678)/100))))</f>
        <v>0</v>
      </c>
      <c r="AW678" s="57">
        <f>IF(ISERROR(IF(B678=C678,L678/C678,(INT(L678/B678)+(((L678-B678*INT(L678/B678)))/C678)/100))),0,(IF(B678=C678,L678/C678,(INT(L678/B678)+(((L678-B678*INT(L678/B678)))/C678)/100))))</f>
        <v>0</v>
      </c>
      <c r="AX678" s="57">
        <f>IF(ISERROR(IF(B678=C678,M678/C678,(INT(M678/B678)+(((M678-B678*INT(M678/B678)))/C678)/100))),0,(IF(B678=C678,M678/C678,(INT(M678/B678)+(((M678-B678*INT(M678/B678)))/C678)/100))))</f>
        <v>0</v>
      </c>
      <c r="AY678" s="57">
        <f>IF(ISERROR(IF(B678=C678,N678/C678,IF((INT(N678/B678)+(((N678-B678*INT(N678/B678)))/C678)/100)&lt;0,(INT(N678/B678)+(((N678-B678*INT(N678/B678)))/C678)/100)+(1-(B678/C678/100)),(INT(N678/B678)+(((N678-B678*INT(N678/B678)))/C678)/100)))),0,IF(B678=C678,N678/C678,IF((INT(N678/B678)+(((N678-B678*INT(N678/B678)))/C678)/100)&lt;0,(INT(N678/B678)+(((N678-B678*INT(N678/B678)))/C678)/100)+(1-(B678/C678/100)),(INT(N678/B678)+(((N678-B678*INT(N678/B678)))/C678)/100))))</f>
        <v>0</v>
      </c>
      <c r="AZ678" s="57">
        <f>IF(ISERROR(IF(B678=C678,O678/C678,(INT(O678/B678)+(((O678-B678*INT(O678/B678)))/C678)/100))),0,(IF(B678=C678,O678/C678,(INT(O678/B678)+(((O678-B678*INT(O678/B678)))/C678)/100))))</f>
        <v>0</v>
      </c>
      <c r="BA678" s="57">
        <f>IF(ISERROR(IF(B678=C678,P678/C678,IF((INT(P678/B678)+(((P678-B678*INT(P678/B678)))/C678)/100)&lt;0,(INT(P678/B678)+(((P678-B678*INT(P678/B678)))/C678)/100)+(1-(B678/C678/100)),(INT(P678/B678)+(((P678-B678*INT(P678/B678)))/C678)/100)))),0,IF(B678=C678,P678/C678,IF((INT(P678/B678)+(((P678-B678*INT(P678/B678)))/C678)/100)&lt;0,(INT(P678/B678)+(((P678-B678*INT(P678/B678)))/C678)/100)+(1-(B678/C678/100)),(INT(P678/B678)+(((P678-B678*INT(P678/B678)))/C678)/100))))</f>
        <v>0</v>
      </c>
      <c r="BB678" s="28">
        <f>R678</f>
        <v>0</v>
      </c>
      <c r="BC678" s="28">
        <f>S678</f>
        <v>0</v>
      </c>
      <c r="BD678" s="28">
        <f>AF678</f>
        <v>0</v>
      </c>
      <c r="BE678" s="28">
        <f>T678</f>
        <v>0</v>
      </c>
      <c r="BG678" s="57">
        <f>IF(ISERROR(IF(B678=C678,V678/C678,(INT(V678/B678)+(((V678-B678*INT(V678/B678)))/C678)/100))),0,(IF(B678=C678,V678/C678,(INT(V678/B678)+(((V678-B678*INT(V678/B678)))/C678)/100))))</f>
        <v>0</v>
      </c>
      <c r="BH678" s="57">
        <f>IF(ISERROR(IF(B678=C678,W678/C678,(INT(W678/B678)+(((W678-B678*INT(W678/B678)))/C678)/100))),0,(IF(B678=C678,W678/C678,(INT(W678/B678)+(((W678-B678*INT(W678/B678)))/C678)/100))))</f>
        <v>0</v>
      </c>
      <c r="BI678" s="57">
        <f>IF(ISERROR(IF(B678=C678,X678/C678,(INT(X678/B678)+(((X678-B678*INT(X678/B678)))/C678)/100))),0,(IF(B678=C678,X678/C678,(INT(X678/B678)+(((X678-B678*INT(X678/B678)))/C678)/100))))</f>
        <v>0</v>
      </c>
      <c r="BJ678" s="57">
        <f>IF(ISERROR(IF(B678=C678,Y678/C678,(INT(Y678/B678)+(((Y678-B678*INT(Y678/B678)))/C678)/100))),0,(IF(B678=C678,Y678/C678,(INT(Y678/B678)+(((Y678-B678*INT(Y678/B678)))/C678)/100))))</f>
        <v>0</v>
      </c>
      <c r="BL678" s="57">
        <f>IF(ISERROR(IF(B678=C678,AA678/C678,(INT(AA678/B678)+(((AA678-B678*INT(AA678/B678)))/C678)/100))),0,(IF(B678=C678,AA678/C678,(INT(AA678/B678)+(((AA678-B678*INT(AA678/B678)))/C678)/100))))</f>
        <v>0</v>
      </c>
      <c r="BM678" s="57">
        <f>IF(ISERROR(IF(B678=C678,AB678/C678,(INT(AB678/B678)+(((AB678-B678*INT(AB678/B678)))/C678)/100))),0,(IF(B678=C678,AB678/C678,(INT(AB678/B678)+(((AB678-B678*INT(AB678/B678)))/C678)/100))))</f>
        <v>0</v>
      </c>
      <c r="BN678" s="57">
        <f>IF(ISERROR(IF(B678=C678,AC678/C678,(INT(AC678/B678)+(((AC678-B678*INT(AC678/B678)))/C678)/100))),0,(IF(B678=C678,AC678/C678,(INT(AC678/B678)+(((AC678-B678*INT(AC678/B678)))/C678)/100))))</f>
        <v>0</v>
      </c>
      <c r="BO678" s="57">
        <f>IF(ISERROR(IF(B678=C678,AD678/C678,(INT(AD678/B678)+(((AD678-B678*INT(AD678/B678)))/C678)/100))),0,(IF(B678=C678,AD678/C678,(INT(AD678/B678)+(((AD678-B678*INT(AD678/B678)))/C678)/100))))</f>
        <v>0</v>
      </c>
      <c r="BQ678" s="155"/>
    </row>
    <row r="679" spans="1:69" hidden="1" x14ac:dyDescent="0.35">
      <c r="A679" s="94"/>
      <c r="B679" s="113">
        <v>0</v>
      </c>
      <c r="C679" s="113">
        <v>250</v>
      </c>
      <c r="D679" s="28">
        <f>SUM(AA679:AD679)</f>
        <v>0</v>
      </c>
      <c r="E679" s="113">
        <v>0</v>
      </c>
      <c r="F679" s="113">
        <v>0</v>
      </c>
      <c r="G679" s="28">
        <f>SUM(D679:F679)</f>
        <v>0</v>
      </c>
      <c r="H679" s="125">
        <v>0</v>
      </c>
      <c r="I679" s="113">
        <v>0</v>
      </c>
      <c r="J679" s="125">
        <v>0</v>
      </c>
      <c r="K679" s="113">
        <v>0</v>
      </c>
      <c r="L679" s="113">
        <v>0</v>
      </c>
      <c r="M679" s="113">
        <v>0</v>
      </c>
      <c r="N679" s="28">
        <f>G679-SUM(H679:M679)</f>
        <v>0</v>
      </c>
      <c r="O679" s="28">
        <f>SUM(V679:Y679)</f>
        <v>0</v>
      </c>
      <c r="P679" s="28">
        <f>O679-N679</f>
        <v>0</v>
      </c>
      <c r="Q679" s="61" t="str">
        <f>IF(ISERROR(P679/SUM(H679:L679)),"",P679/SUM(H679:L679))</f>
        <v/>
      </c>
      <c r="R679" s="113">
        <v>0</v>
      </c>
      <c r="S679" s="28">
        <f>IF(ISERROR(P679/C679*R679),0,(P679/C679*R679))</f>
        <v>0</v>
      </c>
      <c r="T679" s="60">
        <f>IF(ISERROR(P679/B679*AF679),0,(P679/B679*AF679))</f>
        <v>0</v>
      </c>
      <c r="V679" s="113">
        <v>0</v>
      </c>
      <c r="W679" s="113">
        <v>0</v>
      </c>
      <c r="X679" s="113">
        <v>0</v>
      </c>
      <c r="Y679" s="113">
        <v>0</v>
      </c>
      <c r="AA679" s="113">
        <v>0</v>
      </c>
      <c r="AB679" s="113">
        <v>0</v>
      </c>
      <c r="AC679" s="113">
        <v>0</v>
      </c>
      <c r="AD679" s="113">
        <v>0</v>
      </c>
      <c r="AF679" s="113">
        <v>0</v>
      </c>
      <c r="AG679" s="28">
        <f>G679-O679</f>
        <v>0</v>
      </c>
      <c r="AH679" s="58">
        <f>IF(ISERROR(AG679/B679*AF679),0,(AG679/B679*AF679))</f>
        <v>0</v>
      </c>
      <c r="AI679" s="28">
        <f>SUM(H679:M679)</f>
        <v>0</v>
      </c>
      <c r="AJ679" s="28">
        <f>IF(ISERROR(AI679/B679*AF679),0,(AI679/B679*AF679))</f>
        <v>0</v>
      </c>
      <c r="AK679" s="58">
        <f>IF(ISERROR(O679/B679*AF679),0,(O679/B679*AF679))</f>
        <v>0</v>
      </c>
      <c r="AL679" s="28">
        <f>IF(ISERROR(H679/B679*AF679),0,(H679/B679*AF679))</f>
        <v>0</v>
      </c>
      <c r="AN679" s="51">
        <f>A679</f>
        <v>0</v>
      </c>
      <c r="AO679" s="57">
        <f>IF(ISERROR(IF(B679=C679,D679/C679,(INT(D679/B679)+(((D679-B679*INT(D679/B679)))/C679)/100))),0,(IF(B679=C679,D679/C679,(INT(D679/B679)+(((D679-B679*INT(D679/B679)))/C679)/100))))</f>
        <v>0</v>
      </c>
      <c r="AP679" s="57">
        <f>IF(ISERROR(IF(B679=C679,E679/C679,(INT(E679/B679)+(((E679-B679*INT(E679/B679)))/C679)/100))),0,(IF(B679=C679,E679/C679,(INT(E679/B679)+(((E679-B679*INT(E679/B679)))/C679)/100))))</f>
        <v>0</v>
      </c>
      <c r="AQ679" s="57">
        <f>IF(ISERROR(IF(B679=C679,F679/C679,IF((INT(F679/B679)+(((F679-B679*INT(F679/B679)))/C679)/100)&lt;0,(INT(F679/B679)+(((F679-B679*INT(F679/B679)))/C679)/100)+(1-(B679/C679/100)),(INT(F679/B679)+(((F679-B679*INT(F679/B679)))/C679)/100)))),0,IF(B679=C679,F679/C679,IF((INT(F679/B679)+(((F679-B679*INT(F679/B679)))/C679)/100)&lt;0,(INT(F679/B679)+(((F679-B679*INT(F679/B679)))/C679)/100)+(1-(B679/C679/100)),(INT(F679/B679)+(((F679-B679*INT(F679/B679)))/C679)/100))))</f>
        <v>0</v>
      </c>
      <c r="AR679" s="57">
        <f>IF(ISERROR(IF(B679=C679,G679/C679,(INT(G679/B679)+(((G679-B679*INT(G679/B679)))/C679)/100))),0,(IF(B679=C679,G679/C679,(INT(G679/B679)+(((G679-B679*INT(G679/B679)))/C679)/100))))</f>
        <v>0</v>
      </c>
      <c r="AS679" s="57">
        <f>IF(ISERROR(IF(B679=C679,H679/C679,(INT(H679/B679)+(((H679-B679*INT(H679/B679)))/C679)/100))),0,(IF(B679=C679,H679/C679,(INT(H679/B679)+(((H679-B679*INT(H679/B679)))/C679)/100))))</f>
        <v>0</v>
      </c>
      <c r="AT679" s="57">
        <f>IF(ISERROR(IF(B679=C679,I679/C679,(INT(I679/B679)+(((I679-B679*INT(I679/B679)))/C679)/100))),0,(IF(B679=C679,I679/C679,(INT(I679/B679)+(((I679-B679*INT(I679/B679)))/C679)/100))))</f>
        <v>0</v>
      </c>
      <c r="AU679" s="57">
        <f>IF(ISERROR(IF(B679=C679,J679/C679,(INT(J679/B679)+(((J679-B679*INT(J679/B679)))/C679)/100))),0,(IF(B679=C679,J679/C679,(INT(J679/B679)+(((J679-B679*INT(J679/B679)))/C679)/100))))</f>
        <v>0</v>
      </c>
      <c r="AV679" s="57">
        <f>IF(ISERROR(IF(B679=C679,K679/C679,IF((INT(K679/B679)+(((K679-B679*INT(K679/B679)))/C679)/100)&lt;0,(INT(K679/B679)+(((K679-B679*INT(K679/B679)))/C679)/100)+(1-(B679/C679/100)),(INT(K679/B679)+(((K679-B679*INT(K679/B679)))/C679)/100)))),0,IF(B679=C679,K679/C679,IF((INT(K679/B679)+(((K679-B679*INT(K679/B679)))/C679)/100)&lt;0,(INT(K679/B679)+(((K679-B679*INT(K679/B679)))/C679)/100)+(1-(B679/C679/100)),(INT(K679/B679)+(((K679-B679*INT(K679/B679)))/C679)/100))))</f>
        <v>0</v>
      </c>
      <c r="AW679" s="57">
        <f>IF(ISERROR(IF(B679=C679,L679/C679,(INT(L679/B679)+(((L679-B679*INT(L679/B679)))/C679)/100))),0,(IF(B679=C679,L679/C679,(INT(L679/B679)+(((L679-B679*INT(L679/B679)))/C679)/100))))</f>
        <v>0</v>
      </c>
      <c r="AX679" s="57">
        <f>IF(ISERROR(IF(B679=C679,M679/C679,(INT(M679/B679)+(((M679-B679*INT(M679/B679)))/C679)/100))),0,(IF(B679=C679,M679/C679,(INT(M679/B679)+(((M679-B679*INT(M679/B679)))/C679)/100))))</f>
        <v>0</v>
      </c>
      <c r="AY679" s="57">
        <f>IF(ISERROR(IF(B679=C679,N679/C679,IF((INT(N679/B679)+(((N679-B679*INT(N679/B679)))/C679)/100)&lt;0,(INT(N679/B679)+(((N679-B679*INT(N679/B679)))/C679)/100)+(1-(B679/C679/100)),(INT(N679/B679)+(((N679-B679*INT(N679/B679)))/C679)/100)))),0,IF(B679=C679,N679/C679,IF((INT(N679/B679)+(((N679-B679*INT(N679/B679)))/C679)/100)&lt;0,(INT(N679/B679)+(((N679-B679*INT(N679/B679)))/C679)/100)+(1-(B679/C679/100)),(INT(N679/B679)+(((N679-B679*INT(N679/B679)))/C679)/100))))</f>
        <v>0</v>
      </c>
      <c r="AZ679" s="57">
        <f>IF(ISERROR(IF(B679=C679,O679/C679,(INT(O679/B679)+(((O679-B679*INT(O679/B679)))/C679)/100))),0,(IF(B679=C679,O679/C679,(INT(O679/B679)+(((O679-B679*INT(O679/B679)))/C679)/100))))</f>
        <v>0</v>
      </c>
      <c r="BA679" s="57">
        <f>IF(ISERROR(IF(B679=C679,P679/C679,IF((INT(P679/B679)+(((P679-B679*INT(P679/B679)))/C679)/100)&lt;0,(INT(P679/B679)+(((P679-B679*INT(P679/B679)))/C679)/100)+(1-(B679/C679/100)),(INT(P679/B679)+(((P679-B679*INT(P679/B679)))/C679)/100)))),0,IF(B679=C679,P679/C679,IF((INT(P679/B679)+(((P679-B679*INT(P679/B679)))/C679)/100)&lt;0,(INT(P679/B679)+(((P679-B679*INT(P679/B679)))/C679)/100)+(1-(B679/C679/100)),(INT(P679/B679)+(((P679-B679*INT(P679/B679)))/C679)/100))))</f>
        <v>0</v>
      </c>
      <c r="BB679" s="28">
        <f>R679</f>
        <v>0</v>
      </c>
      <c r="BC679" s="28">
        <f>S679</f>
        <v>0</v>
      </c>
      <c r="BD679" s="28">
        <f>AF679</f>
        <v>0</v>
      </c>
      <c r="BE679" s="28">
        <f>T679</f>
        <v>0</v>
      </c>
      <c r="BG679" s="57">
        <f>IF(ISERROR(IF(B679=C679,V679/C679,(INT(V679/B679)+(((V679-B679*INT(V679/B679)))/C679)/100))),0,(IF(B679=C679,V679/C679,(INT(V679/B679)+(((V679-B679*INT(V679/B679)))/C679)/100))))</f>
        <v>0</v>
      </c>
      <c r="BH679" s="57">
        <f>IF(ISERROR(IF(B679=C679,W679/C679,(INT(W679/B679)+(((W679-B679*INT(W679/B679)))/C679)/100))),0,(IF(B679=C679,W679/C679,(INT(W679/B679)+(((W679-B679*INT(W679/B679)))/C679)/100))))</f>
        <v>0</v>
      </c>
      <c r="BI679" s="57">
        <f>IF(ISERROR(IF(B679=C679,X679/C679,(INT(X679/B679)+(((X679-B679*INT(X679/B679)))/C679)/100))),0,(IF(B679=C679,X679/C679,(INT(X679/B679)+(((X679-B679*INT(X679/B679)))/C679)/100))))</f>
        <v>0</v>
      </c>
      <c r="BJ679" s="57">
        <f>IF(ISERROR(IF(B679=C679,Y679/C679,(INT(Y679/B679)+(((Y679-B679*INT(Y679/B679)))/C679)/100))),0,(IF(B679=C679,Y679/C679,(INT(Y679/B679)+(((Y679-B679*INT(Y679/B679)))/C679)/100))))</f>
        <v>0</v>
      </c>
      <c r="BL679" s="57">
        <f>IF(ISERROR(IF(B679=C679,AA679/C679,(INT(AA679/B679)+(((AA679-B679*INT(AA679/B679)))/C679)/100))),0,(IF(B679=C679,AA679/C679,(INT(AA679/B679)+(((AA679-B679*INT(AA679/B679)))/C679)/100))))</f>
        <v>0</v>
      </c>
      <c r="BM679" s="57">
        <f>IF(ISERROR(IF(B679=C679,AB679/C679,(INT(AB679/B679)+(((AB679-B679*INT(AB679/B679)))/C679)/100))),0,(IF(B679=C679,AB679/C679,(INT(AB679/B679)+(((AB679-B679*INT(AB679/B679)))/C679)/100))))</f>
        <v>0</v>
      </c>
      <c r="BN679" s="57">
        <f>IF(ISERROR(IF(B679=C679,AC679/C679,(INT(AC679/B679)+(((AC679-B679*INT(AC679/B679)))/C679)/100))),0,(IF(B679=C679,AC679/C679,(INT(AC679/B679)+(((AC679-B679*INT(AC679/B679)))/C679)/100))))</f>
        <v>0</v>
      </c>
      <c r="BO679" s="57">
        <f>IF(ISERROR(IF(B679=C679,AD679/C679,(INT(AD679/B679)+(((AD679-B679*INT(AD679/B679)))/C679)/100))),0,(IF(B679=C679,AD679/C679,(INT(AD679/B679)+(((AD679-B679*INT(AD679/B679)))/C679)/100))))</f>
        <v>0</v>
      </c>
      <c r="BQ679" s="155"/>
    </row>
    <row r="680" spans="1:69" hidden="1" x14ac:dyDescent="0.35">
      <c r="A680" s="94"/>
      <c r="B680" s="113">
        <v>0</v>
      </c>
      <c r="C680" s="113">
        <v>250</v>
      </c>
      <c r="D680" s="28">
        <f>SUM(AA680:AD680)</f>
        <v>0</v>
      </c>
      <c r="E680" s="113">
        <v>0</v>
      </c>
      <c r="F680" s="113">
        <v>0</v>
      </c>
      <c r="G680" s="28">
        <f>SUM(D680:F680)</f>
        <v>0</v>
      </c>
      <c r="H680" s="125">
        <v>0</v>
      </c>
      <c r="I680" s="113">
        <v>0</v>
      </c>
      <c r="J680" s="125">
        <v>0</v>
      </c>
      <c r="K680" s="113">
        <v>0</v>
      </c>
      <c r="L680" s="113">
        <v>0</v>
      </c>
      <c r="M680" s="113">
        <v>0</v>
      </c>
      <c r="N680" s="28">
        <f>G680-SUM(H680:M680)</f>
        <v>0</v>
      </c>
      <c r="O680" s="28">
        <f>SUM(V680:Y680)</f>
        <v>0</v>
      </c>
      <c r="P680" s="28">
        <f>O680-N680</f>
        <v>0</v>
      </c>
      <c r="Q680" s="61" t="str">
        <f>IF(ISERROR(P680/SUM(H680:L680)),"",P680/SUM(H680:L680))</f>
        <v/>
      </c>
      <c r="R680" s="113">
        <v>0</v>
      </c>
      <c r="S680" s="28">
        <f>IF(ISERROR(P680/C680*R680),0,(P680/C680*R680))</f>
        <v>0</v>
      </c>
      <c r="T680" s="60">
        <f>IF(ISERROR(P680/B680*AF680),0,(P680/B680*AF680))</f>
        <v>0</v>
      </c>
      <c r="V680" s="113">
        <v>0</v>
      </c>
      <c r="W680" s="113">
        <v>0</v>
      </c>
      <c r="X680" s="113">
        <v>0</v>
      </c>
      <c r="Y680" s="113">
        <v>0</v>
      </c>
      <c r="AA680" s="113">
        <v>0</v>
      </c>
      <c r="AB680" s="113">
        <v>0</v>
      </c>
      <c r="AC680" s="113">
        <v>0</v>
      </c>
      <c r="AD680" s="113">
        <v>0</v>
      </c>
      <c r="AF680" s="113">
        <v>0</v>
      </c>
      <c r="AG680" s="28">
        <f>G680-O680</f>
        <v>0</v>
      </c>
      <c r="AH680" s="58">
        <f>IF(ISERROR(AG680/B680*AF680),0,(AG680/B680*AF680))</f>
        <v>0</v>
      </c>
      <c r="AI680" s="28">
        <f>SUM(H680:M680)</f>
        <v>0</v>
      </c>
      <c r="AJ680" s="28">
        <f>IF(ISERROR(AI680/B680*AF680),0,(AI680/B680*AF680))</f>
        <v>0</v>
      </c>
      <c r="AK680" s="58">
        <f>IF(ISERROR(O680/B680*AF680),0,(O680/B680*AF680))</f>
        <v>0</v>
      </c>
      <c r="AL680" s="28">
        <f>IF(ISERROR(H680/B680*AF680),0,(H680/B680*AF680))</f>
        <v>0</v>
      </c>
      <c r="AN680" s="51">
        <f>A680</f>
        <v>0</v>
      </c>
      <c r="AO680" s="57">
        <f>IF(ISERROR(IF(B680=C680,D680/C680,(INT(D680/B680)+(((D680-B680*INT(D680/B680)))/C680)/100))),0,(IF(B680=C680,D680/C680,(INT(D680/B680)+(((D680-B680*INT(D680/B680)))/C680)/100))))</f>
        <v>0</v>
      </c>
      <c r="AP680" s="57">
        <f>IF(ISERROR(IF(B680=C680,E680/C680,(INT(E680/B680)+(((E680-B680*INT(E680/B680)))/C680)/100))),0,(IF(B680=C680,E680/C680,(INT(E680/B680)+(((E680-B680*INT(E680/B680)))/C680)/100))))</f>
        <v>0</v>
      </c>
      <c r="AQ680" s="57">
        <f>IF(ISERROR(IF(B680=C680,F680/C680,IF((INT(F680/B680)+(((F680-B680*INT(F680/B680)))/C680)/100)&lt;0,(INT(F680/B680)+(((F680-B680*INT(F680/B680)))/C680)/100)+(1-(B680/C680/100)),(INT(F680/B680)+(((F680-B680*INT(F680/B680)))/C680)/100)))),0,IF(B680=C680,F680/C680,IF((INT(F680/B680)+(((F680-B680*INT(F680/B680)))/C680)/100)&lt;0,(INT(F680/B680)+(((F680-B680*INT(F680/B680)))/C680)/100)+(1-(B680/C680/100)),(INT(F680/B680)+(((F680-B680*INT(F680/B680)))/C680)/100))))</f>
        <v>0</v>
      </c>
      <c r="AR680" s="57">
        <f>IF(ISERROR(IF(B680=C680,G680/C680,(INT(G680/B680)+(((G680-B680*INT(G680/B680)))/C680)/100))),0,(IF(B680=C680,G680/C680,(INT(G680/B680)+(((G680-B680*INT(G680/B680)))/C680)/100))))</f>
        <v>0</v>
      </c>
      <c r="AS680" s="57">
        <f>IF(ISERROR(IF(B680=C680,H680/C680,(INT(H680/B680)+(((H680-B680*INT(H680/B680)))/C680)/100))),0,(IF(B680=C680,H680/C680,(INT(H680/B680)+(((H680-B680*INT(H680/B680)))/C680)/100))))</f>
        <v>0</v>
      </c>
      <c r="AT680" s="57">
        <f>IF(ISERROR(IF(B680=C680,I680/C680,(INT(I680/B680)+(((I680-B680*INT(I680/B680)))/C680)/100))),0,(IF(B680=C680,I680/C680,(INT(I680/B680)+(((I680-B680*INT(I680/B680)))/C680)/100))))</f>
        <v>0</v>
      </c>
      <c r="AU680" s="57">
        <f>IF(ISERROR(IF(B680=C680,J680/C680,(INT(J680/B680)+(((J680-B680*INT(J680/B680)))/C680)/100))),0,(IF(B680=C680,J680/C680,(INT(J680/B680)+(((J680-B680*INT(J680/B680)))/C680)/100))))</f>
        <v>0</v>
      </c>
      <c r="AV680" s="57">
        <f>IF(ISERROR(IF(B680=C680,K680/C680,IF((INT(K680/B680)+(((K680-B680*INT(K680/B680)))/C680)/100)&lt;0,(INT(K680/B680)+(((K680-B680*INT(K680/B680)))/C680)/100)+(1-(B680/C680/100)),(INT(K680/B680)+(((K680-B680*INT(K680/B680)))/C680)/100)))),0,IF(B680=C680,K680/C680,IF((INT(K680/B680)+(((K680-B680*INT(K680/B680)))/C680)/100)&lt;0,(INT(K680/B680)+(((K680-B680*INT(K680/B680)))/C680)/100)+(1-(B680/C680/100)),(INT(K680/B680)+(((K680-B680*INT(K680/B680)))/C680)/100))))</f>
        <v>0</v>
      </c>
      <c r="AW680" s="57">
        <f>IF(ISERROR(IF(B680=C680,L680/C680,(INT(L680/B680)+(((L680-B680*INT(L680/B680)))/C680)/100))),0,(IF(B680=C680,L680/C680,(INT(L680/B680)+(((L680-B680*INT(L680/B680)))/C680)/100))))</f>
        <v>0</v>
      </c>
      <c r="AX680" s="57">
        <f>IF(ISERROR(IF(B680=C680,M680/C680,(INT(M680/B680)+(((M680-B680*INT(M680/B680)))/C680)/100))),0,(IF(B680=C680,M680/C680,(INT(M680/B680)+(((M680-B680*INT(M680/B680)))/C680)/100))))</f>
        <v>0</v>
      </c>
      <c r="AY680" s="57">
        <f>IF(ISERROR(IF(B680=C680,N680/C680,IF((INT(N680/B680)+(((N680-B680*INT(N680/B680)))/C680)/100)&lt;0,(INT(N680/B680)+(((N680-B680*INT(N680/B680)))/C680)/100)+(1-(B680/C680/100)),(INT(N680/B680)+(((N680-B680*INT(N680/B680)))/C680)/100)))),0,IF(B680=C680,N680/C680,IF((INT(N680/B680)+(((N680-B680*INT(N680/B680)))/C680)/100)&lt;0,(INT(N680/B680)+(((N680-B680*INT(N680/B680)))/C680)/100)+(1-(B680/C680/100)),(INT(N680/B680)+(((N680-B680*INT(N680/B680)))/C680)/100))))</f>
        <v>0</v>
      </c>
      <c r="AZ680" s="57">
        <f>IF(ISERROR(IF(B680=C680,O680/C680,(INT(O680/B680)+(((O680-B680*INT(O680/B680)))/C680)/100))),0,(IF(B680=C680,O680/C680,(INT(O680/B680)+(((O680-B680*INT(O680/B680)))/C680)/100))))</f>
        <v>0</v>
      </c>
      <c r="BA680" s="57">
        <f>IF(ISERROR(IF(B680=C680,P680/C680,IF((INT(P680/B680)+(((P680-B680*INT(P680/B680)))/C680)/100)&lt;0,(INT(P680/B680)+(((P680-B680*INT(P680/B680)))/C680)/100)+(1-(B680/C680/100)),(INT(P680/B680)+(((P680-B680*INT(P680/B680)))/C680)/100)))),0,IF(B680=C680,P680/C680,IF((INT(P680/B680)+(((P680-B680*INT(P680/B680)))/C680)/100)&lt;0,(INT(P680/B680)+(((P680-B680*INT(P680/B680)))/C680)/100)+(1-(B680/C680/100)),(INT(P680/B680)+(((P680-B680*INT(P680/B680)))/C680)/100))))</f>
        <v>0</v>
      </c>
      <c r="BB680" s="28">
        <f>R680</f>
        <v>0</v>
      </c>
      <c r="BC680" s="28">
        <f>S680</f>
        <v>0</v>
      </c>
      <c r="BD680" s="28">
        <f>AF680</f>
        <v>0</v>
      </c>
      <c r="BE680" s="28">
        <f>T680</f>
        <v>0</v>
      </c>
      <c r="BG680" s="57">
        <f>IF(ISERROR(IF(B680=C680,V680/C680,(INT(V680/B680)+(((V680-B680*INT(V680/B680)))/C680)/100))),0,(IF(B680=C680,V680/C680,(INT(V680/B680)+(((V680-B680*INT(V680/B680)))/C680)/100))))</f>
        <v>0</v>
      </c>
      <c r="BH680" s="57">
        <f>IF(ISERROR(IF(B680=C680,W680/C680,(INT(W680/B680)+(((W680-B680*INT(W680/B680)))/C680)/100))),0,(IF(B680=C680,W680/C680,(INT(W680/B680)+(((W680-B680*INT(W680/B680)))/C680)/100))))</f>
        <v>0</v>
      </c>
      <c r="BI680" s="57">
        <f>IF(ISERROR(IF(B680=C680,X680/C680,(INT(X680/B680)+(((X680-B680*INT(X680/B680)))/C680)/100))),0,(IF(B680=C680,X680/C680,(INT(X680/B680)+(((X680-B680*INT(X680/B680)))/C680)/100))))</f>
        <v>0</v>
      </c>
      <c r="BJ680" s="57">
        <f>IF(ISERROR(IF(B680=C680,Y680/C680,(INT(Y680/B680)+(((Y680-B680*INT(Y680/B680)))/C680)/100))),0,(IF(B680=C680,Y680/C680,(INT(Y680/B680)+(((Y680-B680*INT(Y680/B680)))/C680)/100))))</f>
        <v>0</v>
      </c>
      <c r="BL680" s="57">
        <f>IF(ISERROR(IF(B680=C680,AA680/C680,(INT(AA680/B680)+(((AA680-B680*INT(AA680/B680)))/C680)/100))),0,(IF(B680=C680,AA680/C680,(INT(AA680/B680)+(((AA680-B680*INT(AA680/B680)))/C680)/100))))</f>
        <v>0</v>
      </c>
      <c r="BM680" s="57">
        <f>IF(ISERROR(IF(B680=C680,AB680/C680,(INT(AB680/B680)+(((AB680-B680*INT(AB680/B680)))/C680)/100))),0,(IF(B680=C680,AB680/C680,(INT(AB680/B680)+(((AB680-B680*INT(AB680/B680)))/C680)/100))))</f>
        <v>0</v>
      </c>
      <c r="BN680" s="57">
        <f>IF(ISERROR(IF(B680=C680,AC680/C680,(INT(AC680/B680)+(((AC680-B680*INT(AC680/B680)))/C680)/100))),0,(IF(B680=C680,AC680/C680,(INT(AC680/B680)+(((AC680-B680*INT(AC680/B680)))/C680)/100))))</f>
        <v>0</v>
      </c>
      <c r="BO680" s="57">
        <f>IF(ISERROR(IF(B680=C680,AD680/C680,(INT(AD680/B680)+(((AD680-B680*INT(AD680/B680)))/C680)/100))),0,(IF(B680=C680,AD680/C680,(INT(AD680/B680)+(((AD680-B680*INT(AD680/B680)))/C680)/100))))</f>
        <v>0</v>
      </c>
      <c r="BQ680" s="155"/>
    </row>
    <row r="681" spans="1:69" hidden="1" x14ac:dyDescent="0.35">
      <c r="A681" s="94"/>
      <c r="B681" s="113">
        <v>0</v>
      </c>
      <c r="C681" s="113">
        <v>250</v>
      </c>
      <c r="D681" s="28">
        <f>SUM(AA681:AD681)</f>
        <v>0</v>
      </c>
      <c r="E681" s="113">
        <v>0</v>
      </c>
      <c r="F681" s="113">
        <v>0</v>
      </c>
      <c r="G681" s="28">
        <f>SUM(D681:F681)</f>
        <v>0</v>
      </c>
      <c r="H681" s="125">
        <v>0</v>
      </c>
      <c r="I681" s="113">
        <v>0</v>
      </c>
      <c r="J681" s="125">
        <v>0</v>
      </c>
      <c r="K681" s="113">
        <v>0</v>
      </c>
      <c r="L681" s="113">
        <v>0</v>
      </c>
      <c r="M681" s="113">
        <v>0</v>
      </c>
      <c r="N681" s="28">
        <f>G681-SUM(H681:M681)</f>
        <v>0</v>
      </c>
      <c r="O681" s="28">
        <f>SUM(V681:Y681)</f>
        <v>0</v>
      </c>
      <c r="P681" s="28">
        <f>O681-N681</f>
        <v>0</v>
      </c>
      <c r="Q681" s="61" t="str">
        <f>IF(ISERROR(P681/SUM(H681:L681)),"",P681/SUM(H681:L681))</f>
        <v/>
      </c>
      <c r="R681" s="113">
        <v>0</v>
      </c>
      <c r="S681" s="28">
        <f>IF(ISERROR(P681/C681*R681),0,(P681/C681*R681))</f>
        <v>0</v>
      </c>
      <c r="T681" s="60">
        <f>IF(ISERROR(P681/B681*AF681),0,(P681/B681*AF681))</f>
        <v>0</v>
      </c>
      <c r="V681" s="113">
        <v>0</v>
      </c>
      <c r="W681" s="113">
        <v>0</v>
      </c>
      <c r="X681" s="113">
        <v>0</v>
      </c>
      <c r="Y681" s="113">
        <v>0</v>
      </c>
      <c r="AA681" s="113">
        <v>0</v>
      </c>
      <c r="AB681" s="113">
        <v>0</v>
      </c>
      <c r="AC681" s="113">
        <v>0</v>
      </c>
      <c r="AD681" s="113">
        <v>0</v>
      </c>
      <c r="AF681" s="113">
        <v>0</v>
      </c>
      <c r="AG681" s="28">
        <f>G681-O681</f>
        <v>0</v>
      </c>
      <c r="AH681" s="58">
        <f>IF(ISERROR(AG681/B681*AF681),0,(AG681/B681*AF681))</f>
        <v>0</v>
      </c>
      <c r="AI681" s="28">
        <f>SUM(H681:M681)</f>
        <v>0</v>
      </c>
      <c r="AJ681" s="28">
        <f>IF(ISERROR(AI681/B681*AF681),0,(AI681/B681*AF681))</f>
        <v>0</v>
      </c>
      <c r="AK681" s="58">
        <f>IF(ISERROR(O681/B681*AF681),0,(O681/B681*AF681))</f>
        <v>0</v>
      </c>
      <c r="AL681" s="28">
        <f>IF(ISERROR(H681/B681*AF681),0,(H681/B681*AF681))</f>
        <v>0</v>
      </c>
      <c r="AN681" s="51">
        <f>A681</f>
        <v>0</v>
      </c>
      <c r="AO681" s="57">
        <f>IF(ISERROR(IF(B681=C681,D681/C681,(INT(D681/B681)+(((D681-B681*INT(D681/B681)))/C681)/100))),0,(IF(B681=C681,D681/C681,(INT(D681/B681)+(((D681-B681*INT(D681/B681)))/C681)/100))))</f>
        <v>0</v>
      </c>
      <c r="AP681" s="57">
        <f>IF(ISERROR(IF(B681=C681,E681/C681,(INT(E681/B681)+(((E681-B681*INT(E681/B681)))/C681)/100))),0,(IF(B681=C681,E681/C681,(INT(E681/B681)+(((E681-B681*INT(E681/B681)))/C681)/100))))</f>
        <v>0</v>
      </c>
      <c r="AQ681" s="57">
        <f>IF(ISERROR(IF(B681=C681,F681/C681,IF((INT(F681/B681)+(((F681-B681*INT(F681/B681)))/C681)/100)&lt;0,(INT(F681/B681)+(((F681-B681*INT(F681/B681)))/C681)/100)+(1-(B681/C681/100)),(INT(F681/B681)+(((F681-B681*INT(F681/B681)))/C681)/100)))),0,IF(B681=C681,F681/C681,IF((INT(F681/B681)+(((F681-B681*INT(F681/B681)))/C681)/100)&lt;0,(INT(F681/B681)+(((F681-B681*INT(F681/B681)))/C681)/100)+(1-(B681/C681/100)),(INT(F681/B681)+(((F681-B681*INT(F681/B681)))/C681)/100))))</f>
        <v>0</v>
      </c>
      <c r="AR681" s="57">
        <f>IF(ISERROR(IF(B681=C681,G681/C681,(INT(G681/B681)+(((G681-B681*INT(G681/B681)))/C681)/100))),0,(IF(B681=C681,G681/C681,(INT(G681/B681)+(((G681-B681*INT(G681/B681)))/C681)/100))))</f>
        <v>0</v>
      </c>
      <c r="AS681" s="57">
        <f>IF(ISERROR(IF(B681=C681,H681/C681,(INT(H681/B681)+(((H681-B681*INT(H681/B681)))/C681)/100))),0,(IF(B681=C681,H681/C681,(INT(H681/B681)+(((H681-B681*INT(H681/B681)))/C681)/100))))</f>
        <v>0</v>
      </c>
      <c r="AT681" s="57">
        <f>IF(ISERROR(IF(B681=C681,I681/C681,(INT(I681/B681)+(((I681-B681*INT(I681/B681)))/C681)/100))),0,(IF(B681=C681,I681/C681,(INT(I681/B681)+(((I681-B681*INT(I681/B681)))/C681)/100))))</f>
        <v>0</v>
      </c>
      <c r="AU681" s="57">
        <f>IF(ISERROR(IF(B681=C681,J681/C681,(INT(J681/B681)+(((J681-B681*INT(J681/B681)))/C681)/100))),0,(IF(B681=C681,J681/C681,(INT(J681/B681)+(((J681-B681*INT(J681/B681)))/C681)/100))))</f>
        <v>0</v>
      </c>
      <c r="AV681" s="57">
        <f>IF(ISERROR(IF(B681=C681,K681/C681,IF((INT(K681/B681)+(((K681-B681*INT(K681/B681)))/C681)/100)&lt;0,(INT(K681/B681)+(((K681-B681*INT(K681/B681)))/C681)/100)+(1-(B681/C681/100)),(INT(K681/B681)+(((K681-B681*INT(K681/B681)))/C681)/100)))),0,IF(B681=C681,K681/C681,IF((INT(K681/B681)+(((K681-B681*INT(K681/B681)))/C681)/100)&lt;0,(INT(K681/B681)+(((K681-B681*INT(K681/B681)))/C681)/100)+(1-(B681/C681/100)),(INT(K681/B681)+(((K681-B681*INT(K681/B681)))/C681)/100))))</f>
        <v>0</v>
      </c>
      <c r="AW681" s="57">
        <f>IF(ISERROR(IF(B681=C681,L681/C681,(INT(L681/B681)+(((L681-B681*INT(L681/B681)))/C681)/100))),0,(IF(B681=C681,L681/C681,(INT(L681/B681)+(((L681-B681*INT(L681/B681)))/C681)/100))))</f>
        <v>0</v>
      </c>
      <c r="AX681" s="57">
        <f>IF(ISERROR(IF(B681=C681,M681/C681,(INT(M681/B681)+(((M681-B681*INT(M681/B681)))/C681)/100))),0,(IF(B681=C681,M681/C681,(INT(M681/B681)+(((M681-B681*INT(M681/B681)))/C681)/100))))</f>
        <v>0</v>
      </c>
      <c r="AY681" s="57">
        <f>IF(ISERROR(IF(B681=C681,N681/C681,IF((INT(N681/B681)+(((N681-B681*INT(N681/B681)))/C681)/100)&lt;0,(INT(N681/B681)+(((N681-B681*INT(N681/B681)))/C681)/100)+(1-(B681/C681/100)),(INT(N681/B681)+(((N681-B681*INT(N681/B681)))/C681)/100)))),0,IF(B681=C681,N681/C681,IF((INT(N681/B681)+(((N681-B681*INT(N681/B681)))/C681)/100)&lt;0,(INT(N681/B681)+(((N681-B681*INT(N681/B681)))/C681)/100)+(1-(B681/C681/100)),(INT(N681/B681)+(((N681-B681*INT(N681/B681)))/C681)/100))))</f>
        <v>0</v>
      </c>
      <c r="AZ681" s="57">
        <f>IF(ISERROR(IF(B681=C681,O681/C681,(INT(O681/B681)+(((O681-B681*INT(O681/B681)))/C681)/100))),0,(IF(B681=C681,O681/C681,(INT(O681/B681)+(((O681-B681*INT(O681/B681)))/C681)/100))))</f>
        <v>0</v>
      </c>
      <c r="BA681" s="57">
        <f>IF(ISERROR(IF(B681=C681,P681/C681,IF((INT(P681/B681)+(((P681-B681*INT(P681/B681)))/C681)/100)&lt;0,(INT(P681/B681)+(((P681-B681*INT(P681/B681)))/C681)/100)+(1-(B681/C681/100)),(INT(P681/B681)+(((P681-B681*INT(P681/B681)))/C681)/100)))),0,IF(B681=C681,P681/C681,IF((INT(P681/B681)+(((P681-B681*INT(P681/B681)))/C681)/100)&lt;0,(INT(P681/B681)+(((P681-B681*INT(P681/B681)))/C681)/100)+(1-(B681/C681/100)),(INT(P681/B681)+(((P681-B681*INT(P681/B681)))/C681)/100))))</f>
        <v>0</v>
      </c>
      <c r="BB681" s="28">
        <f>R681</f>
        <v>0</v>
      </c>
      <c r="BC681" s="28">
        <f>S681</f>
        <v>0</v>
      </c>
      <c r="BD681" s="28">
        <f>AF681</f>
        <v>0</v>
      </c>
      <c r="BE681" s="28">
        <f>T681</f>
        <v>0</v>
      </c>
      <c r="BG681" s="57">
        <f>IF(ISERROR(IF(B681=C681,V681/C681,(INT(V681/B681)+(((V681-B681*INT(V681/B681)))/C681)/100))),0,(IF(B681=C681,V681/C681,(INT(V681/B681)+(((V681-B681*INT(V681/B681)))/C681)/100))))</f>
        <v>0</v>
      </c>
      <c r="BH681" s="57">
        <f>IF(ISERROR(IF(B681=C681,W681/C681,(INT(W681/B681)+(((W681-B681*INT(W681/B681)))/C681)/100))),0,(IF(B681=C681,W681/C681,(INT(W681/B681)+(((W681-B681*INT(W681/B681)))/C681)/100))))</f>
        <v>0</v>
      </c>
      <c r="BI681" s="57">
        <f>IF(ISERROR(IF(B681=C681,X681/C681,(INT(X681/B681)+(((X681-B681*INT(X681/B681)))/C681)/100))),0,(IF(B681=C681,X681/C681,(INT(X681/B681)+(((X681-B681*INT(X681/B681)))/C681)/100))))</f>
        <v>0</v>
      </c>
      <c r="BJ681" s="57">
        <f>IF(ISERROR(IF(B681=C681,Y681/C681,(INT(Y681/B681)+(((Y681-B681*INT(Y681/B681)))/C681)/100))),0,(IF(B681=C681,Y681/C681,(INT(Y681/B681)+(((Y681-B681*INT(Y681/B681)))/C681)/100))))</f>
        <v>0</v>
      </c>
      <c r="BL681" s="57">
        <f>IF(ISERROR(IF(B681=C681,AA681/C681,(INT(AA681/B681)+(((AA681-B681*INT(AA681/B681)))/C681)/100))),0,(IF(B681=C681,AA681/C681,(INT(AA681/B681)+(((AA681-B681*INT(AA681/B681)))/C681)/100))))</f>
        <v>0</v>
      </c>
      <c r="BM681" s="57">
        <f>IF(ISERROR(IF(B681=C681,AB681/C681,(INT(AB681/B681)+(((AB681-B681*INT(AB681/B681)))/C681)/100))),0,(IF(B681=C681,AB681/C681,(INT(AB681/B681)+(((AB681-B681*INT(AB681/B681)))/C681)/100))))</f>
        <v>0</v>
      </c>
      <c r="BN681" s="57">
        <f>IF(ISERROR(IF(B681=C681,AC681/C681,(INT(AC681/B681)+(((AC681-B681*INT(AC681/B681)))/C681)/100))),0,(IF(B681=C681,AC681/C681,(INT(AC681/B681)+(((AC681-B681*INT(AC681/B681)))/C681)/100))))</f>
        <v>0</v>
      </c>
      <c r="BO681" s="57">
        <f>IF(ISERROR(IF(B681=C681,AD681/C681,(INT(AD681/B681)+(((AD681-B681*INT(AD681/B681)))/C681)/100))),0,(IF(B681=C681,AD681/C681,(INT(AD681/B681)+(((AD681-B681*INT(AD681/B681)))/C681)/100))))</f>
        <v>0</v>
      </c>
      <c r="BQ681" s="155"/>
    </row>
    <row r="682" spans="1:69" hidden="1" x14ac:dyDescent="0.35">
      <c r="A682" s="94"/>
      <c r="B682" s="113">
        <v>0</v>
      </c>
      <c r="C682" s="113">
        <v>250</v>
      </c>
      <c r="D682" s="28">
        <f>SUM(AA682:AD682)</f>
        <v>0</v>
      </c>
      <c r="E682" s="113">
        <v>0</v>
      </c>
      <c r="F682" s="113">
        <v>0</v>
      </c>
      <c r="G682" s="28">
        <f>SUM(D682:F682)</f>
        <v>0</v>
      </c>
      <c r="H682" s="125">
        <v>0</v>
      </c>
      <c r="I682" s="113">
        <v>0</v>
      </c>
      <c r="J682" s="125">
        <v>0</v>
      </c>
      <c r="K682" s="113">
        <v>0</v>
      </c>
      <c r="L682" s="113">
        <v>0</v>
      </c>
      <c r="M682" s="113">
        <v>0</v>
      </c>
      <c r="N682" s="28">
        <f>G682-SUM(H682:M682)</f>
        <v>0</v>
      </c>
      <c r="O682" s="28">
        <f>SUM(V682:Y682)</f>
        <v>0</v>
      </c>
      <c r="P682" s="28">
        <f>O682-N682</f>
        <v>0</v>
      </c>
      <c r="Q682" s="61" t="str">
        <f>IF(ISERROR(P682/SUM(H682:L682)),"",P682/SUM(H682:L682))</f>
        <v/>
      </c>
      <c r="R682" s="113">
        <v>0</v>
      </c>
      <c r="S682" s="28">
        <f>IF(ISERROR(P682/C682*R682),0,(P682/C682*R682))</f>
        <v>0</v>
      </c>
      <c r="T682" s="60">
        <f>IF(ISERROR(P682/B682*AF682),0,(P682/B682*AF682))</f>
        <v>0</v>
      </c>
      <c r="V682" s="113">
        <v>0</v>
      </c>
      <c r="W682" s="113">
        <v>0</v>
      </c>
      <c r="X682" s="113">
        <v>0</v>
      </c>
      <c r="Y682" s="113">
        <v>0</v>
      </c>
      <c r="AA682" s="113">
        <v>0</v>
      </c>
      <c r="AB682" s="113">
        <v>0</v>
      </c>
      <c r="AC682" s="113">
        <v>0</v>
      </c>
      <c r="AD682" s="113">
        <v>0</v>
      </c>
      <c r="AF682" s="113">
        <v>0</v>
      </c>
      <c r="AG682" s="28">
        <f>G682-O682</f>
        <v>0</v>
      </c>
      <c r="AH682" s="58">
        <f>IF(ISERROR(AG682/B682*AF682),0,(AG682/B682*AF682))</f>
        <v>0</v>
      </c>
      <c r="AI682" s="28">
        <f>SUM(H682:M682)</f>
        <v>0</v>
      </c>
      <c r="AJ682" s="28">
        <f>IF(ISERROR(AI682/B682*AF682),0,(AI682/B682*AF682))</f>
        <v>0</v>
      </c>
      <c r="AK682" s="58">
        <f>IF(ISERROR(O682/B682*AF682),0,(O682/B682*AF682))</f>
        <v>0</v>
      </c>
      <c r="AL682" s="28">
        <f>IF(ISERROR(H682/B682*AF682),0,(H682/B682*AF682))</f>
        <v>0</v>
      </c>
      <c r="AN682" s="51">
        <f>A682</f>
        <v>0</v>
      </c>
      <c r="AO682" s="57">
        <f>IF(ISERROR(IF(B682=C682,D682/C682,(INT(D682/B682)+(((D682-B682*INT(D682/B682)))/C682)/100))),0,(IF(B682=C682,D682/C682,(INT(D682/B682)+(((D682-B682*INT(D682/B682)))/C682)/100))))</f>
        <v>0</v>
      </c>
      <c r="AP682" s="57">
        <f>IF(ISERROR(IF(B682=C682,E682/C682,(INT(E682/B682)+(((E682-B682*INT(E682/B682)))/C682)/100))),0,(IF(B682=C682,E682/C682,(INT(E682/B682)+(((E682-B682*INT(E682/B682)))/C682)/100))))</f>
        <v>0</v>
      </c>
      <c r="AQ682" s="57">
        <f>IF(ISERROR(IF(B682=C682,F682/C682,IF((INT(F682/B682)+(((F682-B682*INT(F682/B682)))/C682)/100)&lt;0,(INT(F682/B682)+(((F682-B682*INT(F682/B682)))/C682)/100)+(1-(B682/C682/100)),(INT(F682/B682)+(((F682-B682*INT(F682/B682)))/C682)/100)))),0,IF(B682=C682,F682/C682,IF((INT(F682/B682)+(((F682-B682*INT(F682/B682)))/C682)/100)&lt;0,(INT(F682/B682)+(((F682-B682*INT(F682/B682)))/C682)/100)+(1-(B682/C682/100)),(INT(F682/B682)+(((F682-B682*INT(F682/B682)))/C682)/100))))</f>
        <v>0</v>
      </c>
      <c r="AR682" s="57">
        <f>IF(ISERROR(IF(B682=C682,G682/C682,(INT(G682/B682)+(((G682-B682*INT(G682/B682)))/C682)/100))),0,(IF(B682=C682,G682/C682,(INT(G682/B682)+(((G682-B682*INT(G682/B682)))/C682)/100))))</f>
        <v>0</v>
      </c>
      <c r="AS682" s="57">
        <f>IF(ISERROR(IF(B682=C682,H682/C682,(INT(H682/B682)+(((H682-B682*INT(H682/B682)))/C682)/100))),0,(IF(B682=C682,H682/C682,(INT(H682/B682)+(((H682-B682*INT(H682/B682)))/C682)/100))))</f>
        <v>0</v>
      </c>
      <c r="AT682" s="57">
        <f>IF(ISERROR(IF(B682=C682,I682/C682,(INT(I682/B682)+(((I682-B682*INT(I682/B682)))/C682)/100))),0,(IF(B682=C682,I682/C682,(INT(I682/B682)+(((I682-B682*INT(I682/B682)))/C682)/100))))</f>
        <v>0</v>
      </c>
      <c r="AU682" s="57">
        <f>IF(ISERROR(IF(B682=C682,J682/C682,(INT(J682/B682)+(((J682-B682*INT(J682/B682)))/C682)/100))),0,(IF(B682=C682,J682/C682,(INT(J682/B682)+(((J682-B682*INT(J682/B682)))/C682)/100))))</f>
        <v>0</v>
      </c>
      <c r="AV682" s="57">
        <f>IF(ISERROR(IF(B682=C682,K682/C682,IF((INT(K682/B682)+(((K682-B682*INT(K682/B682)))/C682)/100)&lt;0,(INT(K682/B682)+(((K682-B682*INT(K682/B682)))/C682)/100)+(1-(B682/C682/100)),(INT(K682/B682)+(((K682-B682*INT(K682/B682)))/C682)/100)))),0,IF(B682=C682,K682/C682,IF((INT(K682/B682)+(((K682-B682*INT(K682/B682)))/C682)/100)&lt;0,(INT(K682/B682)+(((K682-B682*INT(K682/B682)))/C682)/100)+(1-(B682/C682/100)),(INT(K682/B682)+(((K682-B682*INT(K682/B682)))/C682)/100))))</f>
        <v>0</v>
      </c>
      <c r="AW682" s="57">
        <f>IF(ISERROR(IF(B682=C682,L682/C682,(INT(L682/B682)+(((L682-B682*INT(L682/B682)))/C682)/100))),0,(IF(B682=C682,L682/C682,(INT(L682/B682)+(((L682-B682*INT(L682/B682)))/C682)/100))))</f>
        <v>0</v>
      </c>
      <c r="AX682" s="57">
        <f>IF(ISERROR(IF(B682=C682,M682/C682,(INT(M682/B682)+(((M682-B682*INT(M682/B682)))/C682)/100))),0,(IF(B682=C682,M682/C682,(INT(M682/B682)+(((M682-B682*INT(M682/B682)))/C682)/100))))</f>
        <v>0</v>
      </c>
      <c r="AY682" s="57">
        <f>IF(ISERROR(IF(B682=C682,N682/C682,IF((INT(N682/B682)+(((N682-B682*INT(N682/B682)))/C682)/100)&lt;0,(INT(N682/B682)+(((N682-B682*INT(N682/B682)))/C682)/100)+(1-(B682/C682/100)),(INT(N682/B682)+(((N682-B682*INT(N682/B682)))/C682)/100)))),0,IF(B682=C682,N682/C682,IF((INT(N682/B682)+(((N682-B682*INT(N682/B682)))/C682)/100)&lt;0,(INT(N682/B682)+(((N682-B682*INT(N682/B682)))/C682)/100)+(1-(B682/C682/100)),(INT(N682/B682)+(((N682-B682*INT(N682/B682)))/C682)/100))))</f>
        <v>0</v>
      </c>
      <c r="AZ682" s="57">
        <f>IF(ISERROR(IF(B682=C682,O682/C682,(INT(O682/B682)+(((O682-B682*INT(O682/B682)))/C682)/100))),0,(IF(B682=C682,O682/C682,(INT(O682/B682)+(((O682-B682*INT(O682/B682)))/C682)/100))))</f>
        <v>0</v>
      </c>
      <c r="BA682" s="57">
        <f>IF(ISERROR(IF(B682=C682,P682/C682,IF((INT(P682/B682)+(((P682-B682*INT(P682/B682)))/C682)/100)&lt;0,(INT(P682/B682)+(((P682-B682*INT(P682/B682)))/C682)/100)+(1-(B682/C682/100)),(INT(P682/B682)+(((P682-B682*INT(P682/B682)))/C682)/100)))),0,IF(B682=C682,P682/C682,IF((INT(P682/B682)+(((P682-B682*INT(P682/B682)))/C682)/100)&lt;0,(INT(P682/B682)+(((P682-B682*INT(P682/B682)))/C682)/100)+(1-(B682/C682/100)),(INT(P682/B682)+(((P682-B682*INT(P682/B682)))/C682)/100))))</f>
        <v>0</v>
      </c>
      <c r="BB682" s="28">
        <f>R682</f>
        <v>0</v>
      </c>
      <c r="BC682" s="28">
        <f>S682</f>
        <v>0</v>
      </c>
      <c r="BD682" s="28">
        <f>AF682</f>
        <v>0</v>
      </c>
      <c r="BE682" s="28">
        <f>T682</f>
        <v>0</v>
      </c>
      <c r="BG682" s="57">
        <f>IF(ISERROR(IF(B682=C682,V682/C682,(INT(V682/B682)+(((V682-B682*INT(V682/B682)))/C682)/100))),0,(IF(B682=C682,V682/C682,(INT(V682/B682)+(((V682-B682*INT(V682/B682)))/C682)/100))))</f>
        <v>0</v>
      </c>
      <c r="BH682" s="57">
        <f>IF(ISERROR(IF(B682=C682,W682/C682,(INT(W682/B682)+(((W682-B682*INT(W682/B682)))/C682)/100))),0,(IF(B682=C682,W682/C682,(INT(W682/B682)+(((W682-B682*INT(W682/B682)))/C682)/100))))</f>
        <v>0</v>
      </c>
      <c r="BI682" s="57">
        <f>IF(ISERROR(IF(B682=C682,X682/C682,(INT(X682/B682)+(((X682-B682*INT(X682/B682)))/C682)/100))),0,(IF(B682=C682,X682/C682,(INT(X682/B682)+(((X682-B682*INT(X682/B682)))/C682)/100))))</f>
        <v>0</v>
      </c>
      <c r="BJ682" s="57">
        <f>IF(ISERROR(IF(B682=C682,Y682/C682,(INT(Y682/B682)+(((Y682-B682*INT(Y682/B682)))/C682)/100))),0,(IF(B682=C682,Y682/C682,(INT(Y682/B682)+(((Y682-B682*INT(Y682/B682)))/C682)/100))))</f>
        <v>0</v>
      </c>
      <c r="BL682" s="57">
        <f>IF(ISERROR(IF(B682=C682,AA682/C682,(INT(AA682/B682)+(((AA682-B682*INT(AA682/B682)))/C682)/100))),0,(IF(B682=C682,AA682/C682,(INT(AA682/B682)+(((AA682-B682*INT(AA682/B682)))/C682)/100))))</f>
        <v>0</v>
      </c>
      <c r="BM682" s="57">
        <f>IF(ISERROR(IF(B682=C682,AB682/C682,(INT(AB682/B682)+(((AB682-B682*INT(AB682/B682)))/C682)/100))),0,(IF(B682=C682,AB682/C682,(INT(AB682/B682)+(((AB682-B682*INT(AB682/B682)))/C682)/100))))</f>
        <v>0</v>
      </c>
      <c r="BN682" s="57">
        <f>IF(ISERROR(IF(B682=C682,AC682/C682,(INT(AC682/B682)+(((AC682-B682*INT(AC682/B682)))/C682)/100))),0,(IF(B682=C682,AC682/C682,(INT(AC682/B682)+(((AC682-B682*INT(AC682/B682)))/C682)/100))))</f>
        <v>0</v>
      </c>
      <c r="BO682" s="57">
        <f>IF(ISERROR(IF(B682=C682,AD682/C682,(INT(AD682/B682)+(((AD682-B682*INT(AD682/B682)))/C682)/100))),0,(IF(B682=C682,AD682/C682,(INT(AD682/B682)+(((AD682-B682*INT(AD682/B682)))/C682)/100))))</f>
        <v>0</v>
      </c>
      <c r="BQ682" s="155"/>
    </row>
    <row r="683" spans="1:69" hidden="1" x14ac:dyDescent="0.35">
      <c r="A683" s="94"/>
      <c r="B683" s="113">
        <v>0</v>
      </c>
      <c r="C683" s="113">
        <v>250</v>
      </c>
      <c r="D683" s="28">
        <f>SUM(AA683:AD683)</f>
        <v>0</v>
      </c>
      <c r="E683" s="113">
        <v>0</v>
      </c>
      <c r="F683" s="113">
        <v>0</v>
      </c>
      <c r="G683" s="28">
        <f>SUM(D683:F683)</f>
        <v>0</v>
      </c>
      <c r="H683" s="125">
        <v>0</v>
      </c>
      <c r="I683" s="113">
        <v>0</v>
      </c>
      <c r="J683" s="125">
        <v>0</v>
      </c>
      <c r="K683" s="113">
        <v>0</v>
      </c>
      <c r="L683" s="113">
        <v>0</v>
      </c>
      <c r="M683" s="113">
        <v>0</v>
      </c>
      <c r="N683" s="28">
        <f>G683-SUM(H683:M683)</f>
        <v>0</v>
      </c>
      <c r="O683" s="28">
        <f>SUM(V683:Y683)</f>
        <v>0</v>
      </c>
      <c r="P683" s="28">
        <f>O683-N683</f>
        <v>0</v>
      </c>
      <c r="Q683" s="61" t="str">
        <f>IF(ISERROR(P683/SUM(H683:L683)),"",P683/SUM(H683:L683))</f>
        <v/>
      </c>
      <c r="R683" s="113">
        <v>0</v>
      </c>
      <c r="S683" s="28">
        <f>IF(ISERROR(P683/C683*R683),0,(P683/C683*R683))</f>
        <v>0</v>
      </c>
      <c r="T683" s="60">
        <f>IF(ISERROR(P683/B683*AF683),0,(P683/B683*AF683))</f>
        <v>0</v>
      </c>
      <c r="V683" s="113">
        <v>0</v>
      </c>
      <c r="W683" s="113">
        <v>0</v>
      </c>
      <c r="X683" s="113">
        <v>0</v>
      </c>
      <c r="Y683" s="113">
        <v>0</v>
      </c>
      <c r="AA683" s="113">
        <v>0</v>
      </c>
      <c r="AB683" s="113">
        <v>0</v>
      </c>
      <c r="AC683" s="113">
        <v>0</v>
      </c>
      <c r="AD683" s="113">
        <v>0</v>
      </c>
      <c r="AF683" s="113">
        <v>0</v>
      </c>
      <c r="AG683" s="28">
        <f>G683-O683</f>
        <v>0</v>
      </c>
      <c r="AH683" s="58">
        <f>IF(ISERROR(AG683/B683*AF683),0,(AG683/B683*AF683))</f>
        <v>0</v>
      </c>
      <c r="AI683" s="28">
        <f>SUM(H683:M683)</f>
        <v>0</v>
      </c>
      <c r="AJ683" s="28">
        <f>IF(ISERROR(AI683/B683*AF683),0,(AI683/B683*AF683))</f>
        <v>0</v>
      </c>
      <c r="AK683" s="58">
        <f>IF(ISERROR(O683/B683*AF683),0,(O683/B683*AF683))</f>
        <v>0</v>
      </c>
      <c r="AL683" s="28">
        <f>IF(ISERROR(H683/B683*AF683),0,(H683/B683*AF683))</f>
        <v>0</v>
      </c>
      <c r="AN683" s="51">
        <f>A683</f>
        <v>0</v>
      </c>
      <c r="AO683" s="57">
        <f>IF(ISERROR(IF(B683=C683,D683/C683,(INT(D683/B683)+(((D683-B683*INT(D683/B683)))/C683)/100))),0,(IF(B683=C683,D683/C683,(INT(D683/B683)+(((D683-B683*INT(D683/B683)))/C683)/100))))</f>
        <v>0</v>
      </c>
      <c r="AP683" s="57">
        <f>IF(ISERROR(IF(B683=C683,E683/C683,(INT(E683/B683)+(((E683-B683*INT(E683/B683)))/C683)/100))),0,(IF(B683=C683,E683/C683,(INT(E683/B683)+(((E683-B683*INT(E683/B683)))/C683)/100))))</f>
        <v>0</v>
      </c>
      <c r="AQ683" s="57">
        <f>IF(ISERROR(IF(B683=C683,F683/C683,IF((INT(F683/B683)+(((F683-B683*INT(F683/B683)))/C683)/100)&lt;0,(INT(F683/B683)+(((F683-B683*INT(F683/B683)))/C683)/100)+(1-(B683/C683/100)),(INT(F683/B683)+(((F683-B683*INT(F683/B683)))/C683)/100)))),0,IF(B683=C683,F683/C683,IF((INT(F683/B683)+(((F683-B683*INT(F683/B683)))/C683)/100)&lt;0,(INT(F683/B683)+(((F683-B683*INT(F683/B683)))/C683)/100)+(1-(B683/C683/100)),(INT(F683/B683)+(((F683-B683*INT(F683/B683)))/C683)/100))))</f>
        <v>0</v>
      </c>
      <c r="AR683" s="57">
        <f>IF(ISERROR(IF(B683=C683,G683/C683,(INT(G683/B683)+(((G683-B683*INT(G683/B683)))/C683)/100))),0,(IF(B683=C683,G683/C683,(INT(G683/B683)+(((G683-B683*INT(G683/B683)))/C683)/100))))</f>
        <v>0</v>
      </c>
      <c r="AS683" s="57">
        <f>IF(ISERROR(IF(B683=C683,H683/C683,(INT(H683/B683)+(((H683-B683*INT(H683/B683)))/C683)/100))),0,(IF(B683=C683,H683/C683,(INT(H683/B683)+(((H683-B683*INT(H683/B683)))/C683)/100))))</f>
        <v>0</v>
      </c>
      <c r="AT683" s="57">
        <f>IF(ISERROR(IF(B683=C683,I683/C683,(INT(I683/B683)+(((I683-B683*INT(I683/B683)))/C683)/100))),0,(IF(B683=C683,I683/C683,(INT(I683/B683)+(((I683-B683*INT(I683/B683)))/C683)/100))))</f>
        <v>0</v>
      </c>
      <c r="AU683" s="57">
        <f>IF(ISERROR(IF(B683=C683,J683/C683,(INT(J683/B683)+(((J683-B683*INT(J683/B683)))/C683)/100))),0,(IF(B683=C683,J683/C683,(INT(J683/B683)+(((J683-B683*INT(J683/B683)))/C683)/100))))</f>
        <v>0</v>
      </c>
      <c r="AV683" s="57">
        <f>IF(ISERROR(IF(B683=C683,K683/C683,IF((INT(K683/B683)+(((K683-B683*INT(K683/B683)))/C683)/100)&lt;0,(INT(K683/B683)+(((K683-B683*INT(K683/B683)))/C683)/100)+(1-(B683/C683/100)),(INT(K683/B683)+(((K683-B683*INT(K683/B683)))/C683)/100)))),0,IF(B683=C683,K683/C683,IF((INT(K683/B683)+(((K683-B683*INT(K683/B683)))/C683)/100)&lt;0,(INT(K683/B683)+(((K683-B683*INT(K683/B683)))/C683)/100)+(1-(B683/C683/100)),(INT(K683/B683)+(((K683-B683*INT(K683/B683)))/C683)/100))))</f>
        <v>0</v>
      </c>
      <c r="AW683" s="57">
        <f>IF(ISERROR(IF(B683=C683,L683/C683,(INT(L683/B683)+(((L683-B683*INT(L683/B683)))/C683)/100))),0,(IF(B683=C683,L683/C683,(INT(L683/B683)+(((L683-B683*INT(L683/B683)))/C683)/100))))</f>
        <v>0</v>
      </c>
      <c r="AX683" s="57">
        <f>IF(ISERROR(IF(B683=C683,M683/C683,(INT(M683/B683)+(((M683-B683*INT(M683/B683)))/C683)/100))),0,(IF(B683=C683,M683/C683,(INT(M683/B683)+(((M683-B683*INT(M683/B683)))/C683)/100))))</f>
        <v>0</v>
      </c>
      <c r="AY683" s="57">
        <f>IF(ISERROR(IF(B683=C683,N683/C683,IF((INT(N683/B683)+(((N683-B683*INT(N683/B683)))/C683)/100)&lt;0,(INT(N683/B683)+(((N683-B683*INT(N683/B683)))/C683)/100)+(1-(B683/C683/100)),(INT(N683/B683)+(((N683-B683*INT(N683/B683)))/C683)/100)))),0,IF(B683=C683,N683/C683,IF((INT(N683/B683)+(((N683-B683*INT(N683/B683)))/C683)/100)&lt;0,(INT(N683/B683)+(((N683-B683*INT(N683/B683)))/C683)/100)+(1-(B683/C683/100)),(INT(N683/B683)+(((N683-B683*INT(N683/B683)))/C683)/100))))</f>
        <v>0</v>
      </c>
      <c r="AZ683" s="57">
        <f>IF(ISERROR(IF(B683=C683,O683/C683,(INT(O683/B683)+(((O683-B683*INT(O683/B683)))/C683)/100))),0,(IF(B683=C683,O683/C683,(INT(O683/B683)+(((O683-B683*INT(O683/B683)))/C683)/100))))</f>
        <v>0</v>
      </c>
      <c r="BA683" s="57">
        <f>IF(ISERROR(IF(B683=C683,P683/C683,IF((INT(P683/B683)+(((P683-B683*INT(P683/B683)))/C683)/100)&lt;0,(INT(P683/B683)+(((P683-B683*INT(P683/B683)))/C683)/100)+(1-(B683/C683/100)),(INT(P683/B683)+(((P683-B683*INT(P683/B683)))/C683)/100)))),0,IF(B683=C683,P683/C683,IF((INT(P683/B683)+(((P683-B683*INT(P683/B683)))/C683)/100)&lt;0,(INT(P683/B683)+(((P683-B683*INT(P683/B683)))/C683)/100)+(1-(B683/C683/100)),(INT(P683/B683)+(((P683-B683*INT(P683/B683)))/C683)/100))))</f>
        <v>0</v>
      </c>
      <c r="BB683" s="28">
        <f>R683</f>
        <v>0</v>
      </c>
      <c r="BC683" s="28">
        <f>S683</f>
        <v>0</v>
      </c>
      <c r="BD683" s="28">
        <f>AF683</f>
        <v>0</v>
      </c>
      <c r="BE683" s="28">
        <f>T683</f>
        <v>0</v>
      </c>
      <c r="BG683" s="57">
        <f>IF(ISERROR(IF(B683=C683,V683/C683,(INT(V683/B683)+(((V683-B683*INT(V683/B683)))/C683)/100))),0,(IF(B683=C683,V683/C683,(INT(V683/B683)+(((V683-B683*INT(V683/B683)))/C683)/100))))</f>
        <v>0</v>
      </c>
      <c r="BH683" s="57">
        <f>IF(ISERROR(IF(B683=C683,W683/C683,(INT(W683/B683)+(((W683-B683*INT(W683/B683)))/C683)/100))),0,(IF(B683=C683,W683/C683,(INT(W683/B683)+(((W683-B683*INT(W683/B683)))/C683)/100))))</f>
        <v>0</v>
      </c>
      <c r="BI683" s="57">
        <f>IF(ISERROR(IF(B683=C683,X683/C683,(INT(X683/B683)+(((X683-B683*INT(X683/B683)))/C683)/100))),0,(IF(B683=C683,X683/C683,(INT(X683/B683)+(((X683-B683*INT(X683/B683)))/C683)/100))))</f>
        <v>0</v>
      </c>
      <c r="BJ683" s="57">
        <f>IF(ISERROR(IF(B683=C683,Y683/C683,(INT(Y683/B683)+(((Y683-B683*INT(Y683/B683)))/C683)/100))),0,(IF(B683=C683,Y683/C683,(INT(Y683/B683)+(((Y683-B683*INT(Y683/B683)))/C683)/100))))</f>
        <v>0</v>
      </c>
      <c r="BL683" s="57">
        <f>IF(ISERROR(IF(B683=C683,AA683/C683,(INT(AA683/B683)+(((AA683-B683*INT(AA683/B683)))/C683)/100))),0,(IF(B683=C683,AA683/C683,(INT(AA683/B683)+(((AA683-B683*INT(AA683/B683)))/C683)/100))))</f>
        <v>0</v>
      </c>
      <c r="BM683" s="57">
        <f>IF(ISERROR(IF(B683=C683,AB683/C683,(INT(AB683/B683)+(((AB683-B683*INT(AB683/B683)))/C683)/100))),0,(IF(B683=C683,AB683/C683,(INT(AB683/B683)+(((AB683-B683*INT(AB683/B683)))/C683)/100))))</f>
        <v>0</v>
      </c>
      <c r="BN683" s="57">
        <f>IF(ISERROR(IF(B683=C683,AC683/C683,(INT(AC683/B683)+(((AC683-B683*INT(AC683/B683)))/C683)/100))),0,(IF(B683=C683,AC683/C683,(INT(AC683/B683)+(((AC683-B683*INT(AC683/B683)))/C683)/100))))</f>
        <v>0</v>
      </c>
      <c r="BO683" s="57">
        <f>IF(ISERROR(IF(B683=C683,AD683/C683,(INT(AD683/B683)+(((AD683-B683*INT(AD683/B683)))/C683)/100))),0,(IF(B683=C683,AD683/C683,(INT(AD683/B683)+(((AD683-B683*INT(AD683/B683)))/C683)/100))))</f>
        <v>0</v>
      </c>
      <c r="BQ683" s="155"/>
    </row>
    <row r="684" spans="1:69" hidden="1" x14ac:dyDescent="0.35">
      <c r="A684" s="94"/>
      <c r="B684" s="113">
        <v>0</v>
      </c>
      <c r="C684" s="113">
        <v>250</v>
      </c>
      <c r="D684" s="28">
        <f>SUM(AA684:AD684)</f>
        <v>0</v>
      </c>
      <c r="E684" s="113">
        <v>0</v>
      </c>
      <c r="F684" s="113">
        <v>0</v>
      </c>
      <c r="G684" s="28">
        <f>SUM(D684:F684)</f>
        <v>0</v>
      </c>
      <c r="H684" s="125">
        <v>0</v>
      </c>
      <c r="I684" s="113">
        <v>0</v>
      </c>
      <c r="J684" s="125">
        <v>0</v>
      </c>
      <c r="K684" s="113">
        <v>0</v>
      </c>
      <c r="L684" s="113">
        <v>0</v>
      </c>
      <c r="M684" s="113">
        <v>0</v>
      </c>
      <c r="N684" s="28">
        <f>G684-SUM(H684:M684)</f>
        <v>0</v>
      </c>
      <c r="O684" s="28">
        <f>SUM(V684:Y684)</f>
        <v>0</v>
      </c>
      <c r="P684" s="28">
        <f>O684-N684</f>
        <v>0</v>
      </c>
      <c r="Q684" s="61" t="str">
        <f>IF(ISERROR(P684/SUM(H684:L684)),"",P684/SUM(H684:L684))</f>
        <v/>
      </c>
      <c r="R684" s="113">
        <v>0</v>
      </c>
      <c r="S684" s="28">
        <f>IF(ISERROR(P684/C684*R684),0,(P684/C684*R684))</f>
        <v>0</v>
      </c>
      <c r="T684" s="60">
        <f>IF(ISERROR(P684/B684*AF684),0,(P684/B684*AF684))</f>
        <v>0</v>
      </c>
      <c r="V684" s="113">
        <v>0</v>
      </c>
      <c r="W684" s="113">
        <v>0</v>
      </c>
      <c r="X684" s="113">
        <v>0</v>
      </c>
      <c r="Y684" s="113">
        <v>0</v>
      </c>
      <c r="AA684" s="113">
        <v>0</v>
      </c>
      <c r="AB684" s="113">
        <v>0</v>
      </c>
      <c r="AC684" s="113">
        <v>0</v>
      </c>
      <c r="AD684" s="113">
        <v>0</v>
      </c>
      <c r="AF684" s="113">
        <v>0</v>
      </c>
      <c r="AG684" s="28">
        <f>G684-O684</f>
        <v>0</v>
      </c>
      <c r="AH684" s="58">
        <f>IF(ISERROR(AG684/B684*AF684),0,(AG684/B684*AF684))</f>
        <v>0</v>
      </c>
      <c r="AI684" s="28">
        <f>SUM(H684:M684)</f>
        <v>0</v>
      </c>
      <c r="AJ684" s="28">
        <f>IF(ISERROR(AI684/B684*AF684),0,(AI684/B684*AF684))</f>
        <v>0</v>
      </c>
      <c r="AK684" s="58">
        <f>IF(ISERROR(O684/B684*AF684),0,(O684/B684*AF684))</f>
        <v>0</v>
      </c>
      <c r="AL684" s="28">
        <f>IF(ISERROR(H684/B684*AF684),0,(H684/B684*AF684))</f>
        <v>0</v>
      </c>
      <c r="AN684" s="51">
        <f>A684</f>
        <v>0</v>
      </c>
      <c r="AO684" s="57">
        <f>IF(ISERROR(IF(B684=C684,D684/C684,(INT(D684/B684)+(((D684-B684*INT(D684/B684)))/C684)/100))),0,(IF(B684=C684,D684/C684,(INT(D684/B684)+(((D684-B684*INT(D684/B684)))/C684)/100))))</f>
        <v>0</v>
      </c>
      <c r="AP684" s="57">
        <f>IF(ISERROR(IF(B684=C684,E684/C684,(INT(E684/B684)+(((E684-B684*INT(E684/B684)))/C684)/100))),0,(IF(B684=C684,E684/C684,(INT(E684/B684)+(((E684-B684*INT(E684/B684)))/C684)/100))))</f>
        <v>0</v>
      </c>
      <c r="AQ684" s="57">
        <f>IF(ISERROR(IF(B684=C684,F684/C684,IF((INT(F684/B684)+(((F684-B684*INT(F684/B684)))/C684)/100)&lt;0,(INT(F684/B684)+(((F684-B684*INT(F684/B684)))/C684)/100)+(1-(B684/C684/100)),(INT(F684/B684)+(((F684-B684*INT(F684/B684)))/C684)/100)))),0,IF(B684=C684,F684/C684,IF((INT(F684/B684)+(((F684-B684*INT(F684/B684)))/C684)/100)&lt;0,(INT(F684/B684)+(((F684-B684*INT(F684/B684)))/C684)/100)+(1-(B684/C684/100)),(INT(F684/B684)+(((F684-B684*INT(F684/B684)))/C684)/100))))</f>
        <v>0</v>
      </c>
      <c r="AR684" s="57">
        <f>IF(ISERROR(IF(B684=C684,G684/C684,(INT(G684/B684)+(((G684-B684*INT(G684/B684)))/C684)/100))),0,(IF(B684=C684,G684/C684,(INT(G684/B684)+(((G684-B684*INT(G684/B684)))/C684)/100))))</f>
        <v>0</v>
      </c>
      <c r="AS684" s="57">
        <f>IF(ISERROR(IF(B684=C684,H684/C684,(INT(H684/B684)+(((H684-B684*INT(H684/B684)))/C684)/100))),0,(IF(B684=C684,H684/C684,(INT(H684/B684)+(((H684-B684*INT(H684/B684)))/C684)/100))))</f>
        <v>0</v>
      </c>
      <c r="AT684" s="57">
        <f>IF(ISERROR(IF(B684=C684,I684/C684,(INT(I684/B684)+(((I684-B684*INT(I684/B684)))/C684)/100))),0,(IF(B684=C684,I684/C684,(INT(I684/B684)+(((I684-B684*INT(I684/B684)))/C684)/100))))</f>
        <v>0</v>
      </c>
      <c r="AU684" s="57">
        <f>IF(ISERROR(IF(B684=C684,J684/C684,(INT(J684/B684)+(((J684-B684*INT(J684/B684)))/C684)/100))),0,(IF(B684=C684,J684/C684,(INT(J684/B684)+(((J684-B684*INT(J684/B684)))/C684)/100))))</f>
        <v>0</v>
      </c>
      <c r="AV684" s="57">
        <f>IF(ISERROR(IF(B684=C684,K684/C684,IF((INT(K684/B684)+(((K684-B684*INT(K684/B684)))/C684)/100)&lt;0,(INT(K684/B684)+(((K684-B684*INT(K684/B684)))/C684)/100)+(1-(B684/C684/100)),(INT(K684/B684)+(((K684-B684*INT(K684/B684)))/C684)/100)))),0,IF(B684=C684,K684/C684,IF((INT(K684/B684)+(((K684-B684*INT(K684/B684)))/C684)/100)&lt;0,(INT(K684/B684)+(((K684-B684*INT(K684/B684)))/C684)/100)+(1-(B684/C684/100)),(INT(K684/B684)+(((K684-B684*INT(K684/B684)))/C684)/100))))</f>
        <v>0</v>
      </c>
      <c r="AW684" s="57">
        <f>IF(ISERROR(IF(B684=C684,L684/C684,(INT(L684/B684)+(((L684-B684*INT(L684/B684)))/C684)/100))),0,(IF(B684=C684,L684/C684,(INT(L684/B684)+(((L684-B684*INT(L684/B684)))/C684)/100))))</f>
        <v>0</v>
      </c>
      <c r="AX684" s="57">
        <f>IF(ISERROR(IF(B684=C684,M684/C684,(INT(M684/B684)+(((M684-B684*INT(M684/B684)))/C684)/100))),0,(IF(B684=C684,M684/C684,(INT(M684/B684)+(((M684-B684*INT(M684/B684)))/C684)/100))))</f>
        <v>0</v>
      </c>
      <c r="AY684" s="57">
        <f>IF(ISERROR(IF(B684=C684,N684/C684,IF((INT(N684/B684)+(((N684-B684*INT(N684/B684)))/C684)/100)&lt;0,(INT(N684/B684)+(((N684-B684*INT(N684/B684)))/C684)/100)+(1-(B684/C684/100)),(INT(N684/B684)+(((N684-B684*INT(N684/B684)))/C684)/100)))),0,IF(B684=C684,N684/C684,IF((INT(N684/B684)+(((N684-B684*INT(N684/B684)))/C684)/100)&lt;0,(INT(N684/B684)+(((N684-B684*INT(N684/B684)))/C684)/100)+(1-(B684/C684/100)),(INT(N684/B684)+(((N684-B684*INT(N684/B684)))/C684)/100))))</f>
        <v>0</v>
      </c>
      <c r="AZ684" s="57">
        <f>IF(ISERROR(IF(B684=C684,O684/C684,(INT(O684/B684)+(((O684-B684*INT(O684/B684)))/C684)/100))),0,(IF(B684=C684,O684/C684,(INT(O684/B684)+(((O684-B684*INT(O684/B684)))/C684)/100))))</f>
        <v>0</v>
      </c>
      <c r="BA684" s="57">
        <f>IF(ISERROR(IF(B684=C684,P684/C684,IF((INT(P684/B684)+(((P684-B684*INT(P684/B684)))/C684)/100)&lt;0,(INT(P684/B684)+(((P684-B684*INT(P684/B684)))/C684)/100)+(1-(B684/C684/100)),(INT(P684/B684)+(((P684-B684*INT(P684/B684)))/C684)/100)))),0,IF(B684=C684,P684/C684,IF((INT(P684/B684)+(((P684-B684*INT(P684/B684)))/C684)/100)&lt;0,(INT(P684/B684)+(((P684-B684*INT(P684/B684)))/C684)/100)+(1-(B684/C684/100)),(INT(P684/B684)+(((P684-B684*INT(P684/B684)))/C684)/100))))</f>
        <v>0</v>
      </c>
      <c r="BB684" s="28">
        <f>R684</f>
        <v>0</v>
      </c>
      <c r="BC684" s="28">
        <f>S684</f>
        <v>0</v>
      </c>
      <c r="BD684" s="28">
        <f>AF684</f>
        <v>0</v>
      </c>
      <c r="BE684" s="28">
        <f>T684</f>
        <v>0</v>
      </c>
      <c r="BG684" s="57">
        <f>IF(ISERROR(IF(B684=C684,V684/C684,(INT(V684/B684)+(((V684-B684*INT(V684/B684)))/C684)/100))),0,(IF(B684=C684,V684/C684,(INT(V684/B684)+(((V684-B684*INT(V684/B684)))/C684)/100))))</f>
        <v>0</v>
      </c>
      <c r="BH684" s="57">
        <f>IF(ISERROR(IF(B684=C684,W684/C684,(INT(W684/B684)+(((W684-B684*INT(W684/B684)))/C684)/100))),0,(IF(B684=C684,W684/C684,(INT(W684/B684)+(((W684-B684*INT(W684/B684)))/C684)/100))))</f>
        <v>0</v>
      </c>
      <c r="BI684" s="57">
        <f>IF(ISERROR(IF(B684=C684,X684/C684,(INT(X684/B684)+(((X684-B684*INT(X684/B684)))/C684)/100))),0,(IF(B684=C684,X684/C684,(INT(X684/B684)+(((X684-B684*INT(X684/B684)))/C684)/100))))</f>
        <v>0</v>
      </c>
      <c r="BJ684" s="57">
        <f>IF(ISERROR(IF(B684=C684,Y684/C684,(INT(Y684/B684)+(((Y684-B684*INT(Y684/B684)))/C684)/100))),0,(IF(B684=C684,Y684/C684,(INT(Y684/B684)+(((Y684-B684*INT(Y684/B684)))/C684)/100))))</f>
        <v>0</v>
      </c>
      <c r="BL684" s="57">
        <f>IF(ISERROR(IF(B684=C684,AA684/C684,(INT(AA684/B684)+(((AA684-B684*INT(AA684/B684)))/C684)/100))),0,(IF(B684=C684,AA684/C684,(INT(AA684/B684)+(((AA684-B684*INT(AA684/B684)))/C684)/100))))</f>
        <v>0</v>
      </c>
      <c r="BM684" s="57">
        <f>IF(ISERROR(IF(B684=C684,AB684/C684,(INT(AB684/B684)+(((AB684-B684*INT(AB684/B684)))/C684)/100))),0,(IF(B684=C684,AB684/C684,(INT(AB684/B684)+(((AB684-B684*INT(AB684/B684)))/C684)/100))))</f>
        <v>0</v>
      </c>
      <c r="BN684" s="57">
        <f>IF(ISERROR(IF(B684=C684,AC684/C684,(INT(AC684/B684)+(((AC684-B684*INT(AC684/B684)))/C684)/100))),0,(IF(B684=C684,AC684/C684,(INT(AC684/B684)+(((AC684-B684*INT(AC684/B684)))/C684)/100))))</f>
        <v>0</v>
      </c>
      <c r="BO684" s="57">
        <f>IF(ISERROR(IF(B684=C684,AD684/C684,(INT(AD684/B684)+(((AD684-B684*INT(AD684/B684)))/C684)/100))),0,(IF(B684=C684,AD684/C684,(INT(AD684/B684)+(((AD684-B684*INT(AD684/B684)))/C684)/100))))</f>
        <v>0</v>
      </c>
      <c r="BQ684" s="155"/>
    </row>
    <row r="685" spans="1:69" hidden="1" x14ac:dyDescent="0.35">
      <c r="A685" s="94"/>
      <c r="B685" s="113">
        <v>0</v>
      </c>
      <c r="C685" s="113">
        <v>250</v>
      </c>
      <c r="D685" s="28">
        <f>SUM(AA685:AD685)</f>
        <v>0</v>
      </c>
      <c r="E685" s="113">
        <v>0</v>
      </c>
      <c r="F685" s="113">
        <v>0</v>
      </c>
      <c r="G685" s="28">
        <f>SUM(D685:F685)</f>
        <v>0</v>
      </c>
      <c r="H685" s="125">
        <v>0</v>
      </c>
      <c r="I685" s="113">
        <v>0</v>
      </c>
      <c r="J685" s="125">
        <v>0</v>
      </c>
      <c r="K685" s="113">
        <v>0</v>
      </c>
      <c r="L685" s="113">
        <v>0</v>
      </c>
      <c r="M685" s="113">
        <v>0</v>
      </c>
      <c r="N685" s="28">
        <f>G685-SUM(H685:M685)</f>
        <v>0</v>
      </c>
      <c r="O685" s="28">
        <f>SUM(V685:Y685)</f>
        <v>0</v>
      </c>
      <c r="P685" s="28">
        <f>O685-N685</f>
        <v>0</v>
      </c>
      <c r="Q685" s="61" t="str">
        <f>IF(ISERROR(P685/SUM(H685:L685)),"",P685/SUM(H685:L685))</f>
        <v/>
      </c>
      <c r="R685" s="113">
        <v>0</v>
      </c>
      <c r="S685" s="28">
        <f>IF(ISERROR(P685/C685*R685),0,(P685/C685*R685))</f>
        <v>0</v>
      </c>
      <c r="T685" s="60">
        <f>IF(ISERROR(P685/B685*AF685),0,(P685/B685*AF685))</f>
        <v>0</v>
      </c>
      <c r="V685" s="113">
        <v>0</v>
      </c>
      <c r="W685" s="113">
        <v>0</v>
      </c>
      <c r="X685" s="113">
        <v>0</v>
      </c>
      <c r="Y685" s="113">
        <v>0</v>
      </c>
      <c r="AA685" s="113">
        <v>0</v>
      </c>
      <c r="AB685" s="113">
        <v>0</v>
      </c>
      <c r="AC685" s="113">
        <v>0</v>
      </c>
      <c r="AD685" s="113">
        <v>0</v>
      </c>
      <c r="AF685" s="113">
        <v>0</v>
      </c>
      <c r="AG685" s="28">
        <f>G685-O685</f>
        <v>0</v>
      </c>
      <c r="AH685" s="58">
        <f>IF(ISERROR(AG685/B685*AF685),0,(AG685/B685*AF685))</f>
        <v>0</v>
      </c>
      <c r="AI685" s="28">
        <f>SUM(H685:M685)</f>
        <v>0</v>
      </c>
      <c r="AJ685" s="28">
        <f>IF(ISERROR(AI685/B685*AF685),0,(AI685/B685*AF685))</f>
        <v>0</v>
      </c>
      <c r="AK685" s="58">
        <f>IF(ISERROR(O685/B685*AF685),0,(O685/B685*AF685))</f>
        <v>0</v>
      </c>
      <c r="AL685" s="28">
        <f>IF(ISERROR(H685/B685*AF685),0,(H685/B685*AF685))</f>
        <v>0</v>
      </c>
      <c r="AN685" s="51">
        <f>A685</f>
        <v>0</v>
      </c>
      <c r="AO685" s="57">
        <f>IF(ISERROR(IF(B685=C685,D685/C685,(INT(D685/B685)+(((D685-B685*INT(D685/B685)))/C685)/100))),0,(IF(B685=C685,D685/C685,(INT(D685/B685)+(((D685-B685*INT(D685/B685)))/C685)/100))))</f>
        <v>0</v>
      </c>
      <c r="AP685" s="57">
        <f>IF(ISERROR(IF(B685=C685,E685/C685,(INT(E685/B685)+(((E685-B685*INT(E685/B685)))/C685)/100))),0,(IF(B685=C685,E685/C685,(INT(E685/B685)+(((E685-B685*INT(E685/B685)))/C685)/100))))</f>
        <v>0</v>
      </c>
      <c r="AQ685" s="57">
        <f>IF(ISERROR(IF(B685=C685,F685/C685,IF((INT(F685/B685)+(((F685-B685*INT(F685/B685)))/C685)/100)&lt;0,(INT(F685/B685)+(((F685-B685*INT(F685/B685)))/C685)/100)+(1-(B685/C685/100)),(INT(F685/B685)+(((F685-B685*INT(F685/B685)))/C685)/100)))),0,IF(B685=C685,F685/C685,IF((INT(F685/B685)+(((F685-B685*INT(F685/B685)))/C685)/100)&lt;0,(INT(F685/B685)+(((F685-B685*INT(F685/B685)))/C685)/100)+(1-(B685/C685/100)),(INT(F685/B685)+(((F685-B685*INT(F685/B685)))/C685)/100))))</f>
        <v>0</v>
      </c>
      <c r="AR685" s="57">
        <f>IF(ISERROR(IF(B685=C685,G685/C685,(INT(G685/B685)+(((G685-B685*INT(G685/B685)))/C685)/100))),0,(IF(B685=C685,G685/C685,(INT(G685/B685)+(((G685-B685*INT(G685/B685)))/C685)/100))))</f>
        <v>0</v>
      </c>
      <c r="AS685" s="57">
        <f>IF(ISERROR(IF(B685=C685,H685/C685,(INT(H685/B685)+(((H685-B685*INT(H685/B685)))/C685)/100))),0,(IF(B685=C685,H685/C685,(INT(H685/B685)+(((H685-B685*INT(H685/B685)))/C685)/100))))</f>
        <v>0</v>
      </c>
      <c r="AT685" s="57">
        <f>IF(ISERROR(IF(B685=C685,I685/C685,(INT(I685/B685)+(((I685-B685*INT(I685/B685)))/C685)/100))),0,(IF(B685=C685,I685/C685,(INT(I685/B685)+(((I685-B685*INT(I685/B685)))/C685)/100))))</f>
        <v>0</v>
      </c>
      <c r="AU685" s="57">
        <f>IF(ISERROR(IF(B685=C685,J685/C685,(INT(J685/B685)+(((J685-B685*INT(J685/B685)))/C685)/100))),0,(IF(B685=C685,J685/C685,(INT(J685/B685)+(((J685-B685*INT(J685/B685)))/C685)/100))))</f>
        <v>0</v>
      </c>
      <c r="AV685" s="57">
        <f>IF(ISERROR(IF(B685=C685,K685/C685,IF((INT(K685/B685)+(((K685-B685*INT(K685/B685)))/C685)/100)&lt;0,(INT(K685/B685)+(((K685-B685*INT(K685/B685)))/C685)/100)+(1-(B685/C685/100)),(INT(K685/B685)+(((K685-B685*INT(K685/B685)))/C685)/100)))),0,IF(B685=C685,K685/C685,IF((INT(K685/B685)+(((K685-B685*INT(K685/B685)))/C685)/100)&lt;0,(INT(K685/B685)+(((K685-B685*INT(K685/B685)))/C685)/100)+(1-(B685/C685/100)),(INT(K685/B685)+(((K685-B685*INT(K685/B685)))/C685)/100))))</f>
        <v>0</v>
      </c>
      <c r="AW685" s="57">
        <f>IF(ISERROR(IF(B685=C685,L685/C685,(INT(L685/B685)+(((L685-B685*INT(L685/B685)))/C685)/100))),0,(IF(B685=C685,L685/C685,(INT(L685/B685)+(((L685-B685*INT(L685/B685)))/C685)/100))))</f>
        <v>0</v>
      </c>
      <c r="AX685" s="57">
        <f>IF(ISERROR(IF(B685=C685,M685/C685,(INT(M685/B685)+(((M685-B685*INT(M685/B685)))/C685)/100))),0,(IF(B685=C685,M685/C685,(INT(M685/B685)+(((M685-B685*INT(M685/B685)))/C685)/100))))</f>
        <v>0</v>
      </c>
      <c r="AY685" s="57">
        <f>IF(ISERROR(IF(B685=C685,N685/C685,IF((INT(N685/B685)+(((N685-B685*INT(N685/B685)))/C685)/100)&lt;0,(INT(N685/B685)+(((N685-B685*INT(N685/B685)))/C685)/100)+(1-(B685/C685/100)),(INT(N685/B685)+(((N685-B685*INT(N685/B685)))/C685)/100)))),0,IF(B685=C685,N685/C685,IF((INT(N685/B685)+(((N685-B685*INT(N685/B685)))/C685)/100)&lt;0,(INT(N685/B685)+(((N685-B685*INT(N685/B685)))/C685)/100)+(1-(B685/C685/100)),(INT(N685/B685)+(((N685-B685*INT(N685/B685)))/C685)/100))))</f>
        <v>0</v>
      </c>
      <c r="AZ685" s="57">
        <f>IF(ISERROR(IF(B685=C685,O685/C685,(INT(O685/B685)+(((O685-B685*INT(O685/B685)))/C685)/100))),0,(IF(B685=C685,O685/C685,(INT(O685/B685)+(((O685-B685*INT(O685/B685)))/C685)/100))))</f>
        <v>0</v>
      </c>
      <c r="BA685" s="57">
        <f>IF(ISERROR(IF(B685=C685,P685/C685,IF((INT(P685/B685)+(((P685-B685*INT(P685/B685)))/C685)/100)&lt;0,(INT(P685/B685)+(((P685-B685*INT(P685/B685)))/C685)/100)+(1-(B685/C685/100)),(INT(P685/B685)+(((P685-B685*INT(P685/B685)))/C685)/100)))),0,IF(B685=C685,P685/C685,IF((INT(P685/B685)+(((P685-B685*INT(P685/B685)))/C685)/100)&lt;0,(INT(P685/B685)+(((P685-B685*INT(P685/B685)))/C685)/100)+(1-(B685/C685/100)),(INT(P685/B685)+(((P685-B685*INT(P685/B685)))/C685)/100))))</f>
        <v>0</v>
      </c>
      <c r="BB685" s="28">
        <f>R685</f>
        <v>0</v>
      </c>
      <c r="BC685" s="28">
        <f>S685</f>
        <v>0</v>
      </c>
      <c r="BD685" s="28">
        <f>AF685</f>
        <v>0</v>
      </c>
      <c r="BE685" s="28">
        <f>T685</f>
        <v>0</v>
      </c>
      <c r="BG685" s="57">
        <f>IF(ISERROR(IF(B685=C685,V685/C685,(INT(V685/B685)+(((V685-B685*INT(V685/B685)))/C685)/100))),0,(IF(B685=C685,V685/C685,(INT(V685/B685)+(((V685-B685*INT(V685/B685)))/C685)/100))))</f>
        <v>0</v>
      </c>
      <c r="BH685" s="57">
        <f>IF(ISERROR(IF(B685=C685,W685/C685,(INT(W685/B685)+(((W685-B685*INT(W685/B685)))/C685)/100))),0,(IF(B685=C685,W685/C685,(INT(W685/B685)+(((W685-B685*INT(W685/B685)))/C685)/100))))</f>
        <v>0</v>
      </c>
      <c r="BI685" s="57">
        <f>IF(ISERROR(IF(B685=C685,X685/C685,(INT(X685/B685)+(((X685-B685*INT(X685/B685)))/C685)/100))),0,(IF(B685=C685,X685/C685,(INT(X685/B685)+(((X685-B685*INT(X685/B685)))/C685)/100))))</f>
        <v>0</v>
      </c>
      <c r="BJ685" s="57">
        <f>IF(ISERROR(IF(B685=C685,Y685/C685,(INT(Y685/B685)+(((Y685-B685*INT(Y685/B685)))/C685)/100))),0,(IF(B685=C685,Y685/C685,(INT(Y685/B685)+(((Y685-B685*INT(Y685/B685)))/C685)/100))))</f>
        <v>0</v>
      </c>
      <c r="BL685" s="57">
        <f>IF(ISERROR(IF(B685=C685,AA685/C685,(INT(AA685/B685)+(((AA685-B685*INT(AA685/B685)))/C685)/100))),0,(IF(B685=C685,AA685/C685,(INT(AA685/B685)+(((AA685-B685*INT(AA685/B685)))/C685)/100))))</f>
        <v>0</v>
      </c>
      <c r="BM685" s="57">
        <f>IF(ISERROR(IF(B685=C685,AB685/C685,(INT(AB685/B685)+(((AB685-B685*INT(AB685/B685)))/C685)/100))),0,(IF(B685=C685,AB685/C685,(INT(AB685/B685)+(((AB685-B685*INT(AB685/B685)))/C685)/100))))</f>
        <v>0</v>
      </c>
      <c r="BN685" s="57">
        <f>IF(ISERROR(IF(B685=C685,AC685/C685,(INT(AC685/B685)+(((AC685-B685*INT(AC685/B685)))/C685)/100))),0,(IF(B685=C685,AC685/C685,(INT(AC685/B685)+(((AC685-B685*INT(AC685/B685)))/C685)/100))))</f>
        <v>0</v>
      </c>
      <c r="BO685" s="57">
        <f>IF(ISERROR(IF(B685=C685,AD685/C685,(INT(AD685/B685)+(((AD685-B685*INT(AD685/B685)))/C685)/100))),0,(IF(B685=C685,AD685/C685,(INT(AD685/B685)+(((AD685-B685*INT(AD685/B685)))/C685)/100))))</f>
        <v>0</v>
      </c>
      <c r="BQ685" s="155"/>
    </row>
    <row r="686" spans="1:69" hidden="1" x14ac:dyDescent="0.35">
      <c r="A686" s="94"/>
      <c r="B686" s="113">
        <v>0</v>
      </c>
      <c r="C686" s="113">
        <v>250</v>
      </c>
      <c r="D686" s="28">
        <f>SUM(AA686:AD686)</f>
        <v>0</v>
      </c>
      <c r="E686" s="113">
        <v>0</v>
      </c>
      <c r="F686" s="113">
        <v>0</v>
      </c>
      <c r="G686" s="28">
        <f>SUM(D686:F686)</f>
        <v>0</v>
      </c>
      <c r="H686" s="125">
        <v>0</v>
      </c>
      <c r="I686" s="113">
        <v>0</v>
      </c>
      <c r="J686" s="125">
        <v>0</v>
      </c>
      <c r="K686" s="113">
        <v>0</v>
      </c>
      <c r="L686" s="113">
        <v>0</v>
      </c>
      <c r="M686" s="113">
        <v>0</v>
      </c>
      <c r="N686" s="28">
        <f>G686-SUM(H686:M686)</f>
        <v>0</v>
      </c>
      <c r="O686" s="28">
        <f>SUM(V686:Y686)</f>
        <v>0</v>
      </c>
      <c r="P686" s="28">
        <f>O686-N686</f>
        <v>0</v>
      </c>
      <c r="Q686" s="61" t="str">
        <f>IF(ISERROR(P686/SUM(H686:L686)),"",P686/SUM(H686:L686))</f>
        <v/>
      </c>
      <c r="R686" s="113">
        <v>0</v>
      </c>
      <c r="S686" s="28">
        <f>IF(ISERROR(P686/C686*R686),0,(P686/C686*R686))</f>
        <v>0</v>
      </c>
      <c r="T686" s="60">
        <f>IF(ISERROR(P686/B686*AF686),0,(P686/B686*AF686))</f>
        <v>0</v>
      </c>
      <c r="V686" s="113">
        <v>0</v>
      </c>
      <c r="W686" s="113">
        <v>0</v>
      </c>
      <c r="X686" s="113">
        <v>0</v>
      </c>
      <c r="Y686" s="113">
        <v>0</v>
      </c>
      <c r="AA686" s="113">
        <v>0</v>
      </c>
      <c r="AB686" s="113">
        <v>0</v>
      </c>
      <c r="AC686" s="113">
        <v>0</v>
      </c>
      <c r="AD686" s="113">
        <v>0</v>
      </c>
      <c r="AF686" s="113">
        <v>0</v>
      </c>
      <c r="AG686" s="28">
        <f>G686-O686</f>
        <v>0</v>
      </c>
      <c r="AH686" s="58">
        <f>IF(ISERROR(AG686/B686*AF686),0,(AG686/B686*AF686))</f>
        <v>0</v>
      </c>
      <c r="AI686" s="28">
        <f>SUM(H686:M686)</f>
        <v>0</v>
      </c>
      <c r="AJ686" s="28">
        <f>IF(ISERROR(AI686/B686*AF686),0,(AI686/B686*AF686))</f>
        <v>0</v>
      </c>
      <c r="AK686" s="58">
        <f>IF(ISERROR(O686/B686*AF686),0,(O686/B686*AF686))</f>
        <v>0</v>
      </c>
      <c r="AL686" s="28">
        <f>IF(ISERROR(H686/B686*AF686),0,(H686/B686*AF686))</f>
        <v>0</v>
      </c>
      <c r="AN686" s="51">
        <f>A686</f>
        <v>0</v>
      </c>
      <c r="AO686" s="57">
        <f>IF(ISERROR(IF(B686=C686,D686/C686,(INT(D686/B686)+(((D686-B686*INT(D686/B686)))/C686)/100))),0,(IF(B686=C686,D686/C686,(INT(D686/B686)+(((D686-B686*INT(D686/B686)))/C686)/100))))</f>
        <v>0</v>
      </c>
      <c r="AP686" s="57">
        <f>IF(ISERROR(IF(B686=C686,E686/C686,(INT(E686/B686)+(((E686-B686*INT(E686/B686)))/C686)/100))),0,(IF(B686=C686,E686/C686,(INT(E686/B686)+(((E686-B686*INT(E686/B686)))/C686)/100))))</f>
        <v>0</v>
      </c>
      <c r="AQ686" s="57">
        <f>IF(ISERROR(IF(B686=C686,F686/C686,IF((INT(F686/B686)+(((F686-B686*INT(F686/B686)))/C686)/100)&lt;0,(INT(F686/B686)+(((F686-B686*INT(F686/B686)))/C686)/100)+(1-(B686/C686/100)),(INT(F686/B686)+(((F686-B686*INT(F686/B686)))/C686)/100)))),0,IF(B686=C686,F686/C686,IF((INT(F686/B686)+(((F686-B686*INT(F686/B686)))/C686)/100)&lt;0,(INT(F686/B686)+(((F686-B686*INT(F686/B686)))/C686)/100)+(1-(B686/C686/100)),(INT(F686/B686)+(((F686-B686*INT(F686/B686)))/C686)/100))))</f>
        <v>0</v>
      </c>
      <c r="AR686" s="57">
        <f>IF(ISERROR(IF(B686=C686,G686/C686,(INT(G686/B686)+(((G686-B686*INT(G686/B686)))/C686)/100))),0,(IF(B686=C686,G686/C686,(INT(G686/B686)+(((G686-B686*INT(G686/B686)))/C686)/100))))</f>
        <v>0</v>
      </c>
      <c r="AS686" s="57">
        <f>IF(ISERROR(IF(B686=C686,H686/C686,(INT(H686/B686)+(((H686-B686*INT(H686/B686)))/C686)/100))),0,(IF(B686=C686,H686/C686,(INT(H686/B686)+(((H686-B686*INT(H686/B686)))/C686)/100))))</f>
        <v>0</v>
      </c>
      <c r="AT686" s="57">
        <f>IF(ISERROR(IF(B686=C686,I686/C686,(INT(I686/B686)+(((I686-B686*INT(I686/B686)))/C686)/100))),0,(IF(B686=C686,I686/C686,(INT(I686/B686)+(((I686-B686*INT(I686/B686)))/C686)/100))))</f>
        <v>0</v>
      </c>
      <c r="AU686" s="57">
        <f>IF(ISERROR(IF(B686=C686,J686/C686,(INT(J686/B686)+(((J686-B686*INT(J686/B686)))/C686)/100))),0,(IF(B686=C686,J686/C686,(INT(J686/B686)+(((J686-B686*INT(J686/B686)))/C686)/100))))</f>
        <v>0</v>
      </c>
      <c r="AV686" s="57">
        <f>IF(ISERROR(IF(B686=C686,K686/C686,IF((INT(K686/B686)+(((K686-B686*INT(K686/B686)))/C686)/100)&lt;0,(INT(K686/B686)+(((K686-B686*INT(K686/B686)))/C686)/100)+(1-(B686/C686/100)),(INT(K686/B686)+(((K686-B686*INT(K686/B686)))/C686)/100)))),0,IF(B686=C686,K686/C686,IF((INT(K686/B686)+(((K686-B686*INT(K686/B686)))/C686)/100)&lt;0,(INT(K686/B686)+(((K686-B686*INT(K686/B686)))/C686)/100)+(1-(B686/C686/100)),(INT(K686/B686)+(((K686-B686*INT(K686/B686)))/C686)/100))))</f>
        <v>0</v>
      </c>
      <c r="AW686" s="57">
        <f>IF(ISERROR(IF(B686=C686,L686/C686,(INT(L686/B686)+(((L686-B686*INT(L686/B686)))/C686)/100))),0,(IF(B686=C686,L686/C686,(INT(L686/B686)+(((L686-B686*INT(L686/B686)))/C686)/100))))</f>
        <v>0</v>
      </c>
      <c r="AX686" s="57">
        <f>IF(ISERROR(IF(B686=C686,M686/C686,(INT(M686/B686)+(((M686-B686*INT(M686/B686)))/C686)/100))),0,(IF(B686=C686,M686/C686,(INT(M686/B686)+(((M686-B686*INT(M686/B686)))/C686)/100))))</f>
        <v>0</v>
      </c>
      <c r="AY686" s="57">
        <f>IF(ISERROR(IF(B686=C686,N686/C686,IF((INT(N686/B686)+(((N686-B686*INT(N686/B686)))/C686)/100)&lt;0,(INT(N686/B686)+(((N686-B686*INT(N686/B686)))/C686)/100)+(1-(B686/C686/100)),(INT(N686/B686)+(((N686-B686*INT(N686/B686)))/C686)/100)))),0,IF(B686=C686,N686/C686,IF((INT(N686/B686)+(((N686-B686*INT(N686/B686)))/C686)/100)&lt;0,(INT(N686/B686)+(((N686-B686*INT(N686/B686)))/C686)/100)+(1-(B686/C686/100)),(INT(N686/B686)+(((N686-B686*INT(N686/B686)))/C686)/100))))</f>
        <v>0</v>
      </c>
      <c r="AZ686" s="57">
        <f>IF(ISERROR(IF(B686=C686,O686/C686,(INT(O686/B686)+(((O686-B686*INT(O686/B686)))/C686)/100))),0,(IF(B686=C686,O686/C686,(INT(O686/B686)+(((O686-B686*INT(O686/B686)))/C686)/100))))</f>
        <v>0</v>
      </c>
      <c r="BA686" s="57">
        <f>IF(ISERROR(IF(B686=C686,P686/C686,IF((INT(P686/B686)+(((P686-B686*INT(P686/B686)))/C686)/100)&lt;0,(INT(P686/B686)+(((P686-B686*INT(P686/B686)))/C686)/100)+(1-(B686/C686/100)),(INT(P686/B686)+(((P686-B686*INT(P686/B686)))/C686)/100)))),0,IF(B686=C686,P686/C686,IF((INT(P686/B686)+(((P686-B686*INT(P686/B686)))/C686)/100)&lt;0,(INT(P686/B686)+(((P686-B686*INT(P686/B686)))/C686)/100)+(1-(B686/C686/100)),(INT(P686/B686)+(((P686-B686*INT(P686/B686)))/C686)/100))))</f>
        <v>0</v>
      </c>
      <c r="BB686" s="28">
        <f>R686</f>
        <v>0</v>
      </c>
      <c r="BC686" s="28">
        <f>S686</f>
        <v>0</v>
      </c>
      <c r="BD686" s="28">
        <f>AF686</f>
        <v>0</v>
      </c>
      <c r="BE686" s="28">
        <f>T686</f>
        <v>0</v>
      </c>
      <c r="BG686" s="57">
        <f>IF(ISERROR(IF(B686=C686,V686/C686,(INT(V686/B686)+(((V686-B686*INT(V686/B686)))/C686)/100))),0,(IF(B686=C686,V686/C686,(INT(V686/B686)+(((V686-B686*INT(V686/B686)))/C686)/100))))</f>
        <v>0</v>
      </c>
      <c r="BH686" s="57">
        <f>IF(ISERROR(IF(B686=C686,W686/C686,(INT(W686/B686)+(((W686-B686*INT(W686/B686)))/C686)/100))),0,(IF(B686=C686,W686/C686,(INT(W686/B686)+(((W686-B686*INT(W686/B686)))/C686)/100))))</f>
        <v>0</v>
      </c>
      <c r="BI686" s="57">
        <f>IF(ISERROR(IF(B686=C686,X686/C686,(INT(X686/B686)+(((X686-B686*INT(X686/B686)))/C686)/100))),0,(IF(B686=C686,X686/C686,(INT(X686/B686)+(((X686-B686*INT(X686/B686)))/C686)/100))))</f>
        <v>0</v>
      </c>
      <c r="BJ686" s="57">
        <f>IF(ISERROR(IF(B686=C686,Y686/C686,(INT(Y686/B686)+(((Y686-B686*INT(Y686/B686)))/C686)/100))),0,(IF(B686=C686,Y686/C686,(INT(Y686/B686)+(((Y686-B686*INT(Y686/B686)))/C686)/100))))</f>
        <v>0</v>
      </c>
      <c r="BL686" s="57">
        <f>IF(ISERROR(IF(B686=C686,AA686/C686,(INT(AA686/B686)+(((AA686-B686*INT(AA686/B686)))/C686)/100))),0,(IF(B686=C686,AA686/C686,(INT(AA686/B686)+(((AA686-B686*INT(AA686/B686)))/C686)/100))))</f>
        <v>0</v>
      </c>
      <c r="BM686" s="57">
        <f>IF(ISERROR(IF(B686=C686,AB686/C686,(INT(AB686/B686)+(((AB686-B686*INT(AB686/B686)))/C686)/100))),0,(IF(B686=C686,AB686/C686,(INT(AB686/B686)+(((AB686-B686*INT(AB686/B686)))/C686)/100))))</f>
        <v>0</v>
      </c>
      <c r="BN686" s="57">
        <f>IF(ISERROR(IF(B686=C686,AC686/C686,(INT(AC686/B686)+(((AC686-B686*INT(AC686/B686)))/C686)/100))),0,(IF(B686=C686,AC686/C686,(INT(AC686/B686)+(((AC686-B686*INT(AC686/B686)))/C686)/100))))</f>
        <v>0</v>
      </c>
      <c r="BO686" s="57">
        <f>IF(ISERROR(IF(B686=C686,AD686/C686,(INT(AD686/B686)+(((AD686-B686*INT(AD686/B686)))/C686)/100))),0,(IF(B686=C686,AD686/C686,(INT(AD686/B686)+(((AD686-B686*INT(AD686/B686)))/C686)/100))))</f>
        <v>0</v>
      </c>
      <c r="BQ686" s="155"/>
    </row>
    <row r="687" spans="1:69" hidden="1" x14ac:dyDescent="0.35">
      <c r="A687" s="94"/>
      <c r="B687" s="113">
        <v>0</v>
      </c>
      <c r="C687" s="113">
        <v>250</v>
      </c>
      <c r="D687" s="28">
        <f>SUM(AA687:AD687)</f>
        <v>0</v>
      </c>
      <c r="E687" s="113">
        <v>0</v>
      </c>
      <c r="F687" s="113">
        <v>0</v>
      </c>
      <c r="G687" s="28">
        <f>SUM(D687:F687)</f>
        <v>0</v>
      </c>
      <c r="H687" s="125">
        <v>0</v>
      </c>
      <c r="I687" s="113">
        <v>0</v>
      </c>
      <c r="J687" s="125">
        <v>0</v>
      </c>
      <c r="K687" s="113">
        <v>0</v>
      </c>
      <c r="L687" s="113">
        <v>0</v>
      </c>
      <c r="M687" s="113">
        <v>0</v>
      </c>
      <c r="N687" s="28">
        <f>G687-SUM(H687:M687)</f>
        <v>0</v>
      </c>
      <c r="O687" s="28">
        <f>SUM(V687:Y687)</f>
        <v>0</v>
      </c>
      <c r="P687" s="28">
        <f>O687-N687</f>
        <v>0</v>
      </c>
      <c r="Q687" s="61" t="str">
        <f>IF(ISERROR(P687/SUM(H687:L687)),"",P687/SUM(H687:L687))</f>
        <v/>
      </c>
      <c r="R687" s="113">
        <v>0</v>
      </c>
      <c r="S687" s="28">
        <f>IF(ISERROR(P687/C687*R687),0,(P687/C687*R687))</f>
        <v>0</v>
      </c>
      <c r="T687" s="60">
        <f>IF(ISERROR(P687/B687*AF687),0,(P687/B687*AF687))</f>
        <v>0</v>
      </c>
      <c r="V687" s="113">
        <v>0</v>
      </c>
      <c r="W687" s="113">
        <v>0</v>
      </c>
      <c r="X687" s="113">
        <v>0</v>
      </c>
      <c r="Y687" s="113">
        <v>0</v>
      </c>
      <c r="AA687" s="113">
        <v>0</v>
      </c>
      <c r="AB687" s="113">
        <v>0</v>
      </c>
      <c r="AC687" s="113">
        <v>0</v>
      </c>
      <c r="AD687" s="113">
        <v>0</v>
      </c>
      <c r="AF687" s="113">
        <v>0</v>
      </c>
      <c r="AG687" s="28">
        <f>G687-O687</f>
        <v>0</v>
      </c>
      <c r="AH687" s="58">
        <f>IF(ISERROR(AG687/B687*AF687),0,(AG687/B687*AF687))</f>
        <v>0</v>
      </c>
      <c r="AI687" s="28">
        <f>SUM(H687:M687)</f>
        <v>0</v>
      </c>
      <c r="AJ687" s="28">
        <f>IF(ISERROR(AI687/B687*AF687),0,(AI687/B687*AF687))</f>
        <v>0</v>
      </c>
      <c r="AK687" s="58">
        <f>IF(ISERROR(O687/B687*AF687),0,(O687/B687*AF687))</f>
        <v>0</v>
      </c>
      <c r="AL687" s="28">
        <f>IF(ISERROR(H687/B687*AF687),0,(H687/B687*AF687))</f>
        <v>0</v>
      </c>
      <c r="AN687" s="51">
        <f>A687</f>
        <v>0</v>
      </c>
      <c r="AO687" s="57">
        <f>IF(ISERROR(IF(B687=C687,D687/C687,(INT(D687/B687)+(((D687-B687*INT(D687/B687)))/C687)/100))),0,(IF(B687=C687,D687/C687,(INT(D687/B687)+(((D687-B687*INT(D687/B687)))/C687)/100))))</f>
        <v>0</v>
      </c>
      <c r="AP687" s="57">
        <f>IF(ISERROR(IF(B687=C687,E687/C687,(INT(E687/B687)+(((E687-B687*INT(E687/B687)))/C687)/100))),0,(IF(B687=C687,E687/C687,(INT(E687/B687)+(((E687-B687*INT(E687/B687)))/C687)/100))))</f>
        <v>0</v>
      </c>
      <c r="AQ687" s="57">
        <f>IF(ISERROR(IF(B687=C687,F687/C687,IF((INT(F687/B687)+(((F687-B687*INT(F687/B687)))/C687)/100)&lt;0,(INT(F687/B687)+(((F687-B687*INT(F687/B687)))/C687)/100)+(1-(B687/C687/100)),(INT(F687/B687)+(((F687-B687*INT(F687/B687)))/C687)/100)))),0,IF(B687=C687,F687/C687,IF((INT(F687/B687)+(((F687-B687*INT(F687/B687)))/C687)/100)&lt;0,(INT(F687/B687)+(((F687-B687*INT(F687/B687)))/C687)/100)+(1-(B687/C687/100)),(INT(F687/B687)+(((F687-B687*INT(F687/B687)))/C687)/100))))</f>
        <v>0</v>
      </c>
      <c r="AR687" s="57">
        <f>IF(ISERROR(IF(B687=C687,G687/C687,(INT(G687/B687)+(((G687-B687*INT(G687/B687)))/C687)/100))),0,(IF(B687=C687,G687/C687,(INT(G687/B687)+(((G687-B687*INT(G687/B687)))/C687)/100))))</f>
        <v>0</v>
      </c>
      <c r="AS687" s="57">
        <f>IF(ISERROR(IF(B687=C687,H687/C687,(INT(H687/B687)+(((H687-B687*INT(H687/B687)))/C687)/100))),0,(IF(B687=C687,H687/C687,(INT(H687/B687)+(((H687-B687*INT(H687/B687)))/C687)/100))))</f>
        <v>0</v>
      </c>
      <c r="AT687" s="57">
        <f>IF(ISERROR(IF(B687=C687,I687/C687,(INT(I687/B687)+(((I687-B687*INT(I687/B687)))/C687)/100))),0,(IF(B687=C687,I687/C687,(INT(I687/B687)+(((I687-B687*INT(I687/B687)))/C687)/100))))</f>
        <v>0</v>
      </c>
      <c r="AU687" s="57">
        <f>IF(ISERROR(IF(B687=C687,J687/C687,(INT(J687/B687)+(((J687-B687*INT(J687/B687)))/C687)/100))),0,(IF(B687=C687,J687/C687,(INT(J687/B687)+(((J687-B687*INT(J687/B687)))/C687)/100))))</f>
        <v>0</v>
      </c>
      <c r="AV687" s="57">
        <f>IF(ISERROR(IF(B687=C687,K687/C687,IF((INT(K687/B687)+(((K687-B687*INT(K687/B687)))/C687)/100)&lt;0,(INT(K687/B687)+(((K687-B687*INT(K687/B687)))/C687)/100)+(1-(B687/C687/100)),(INT(K687/B687)+(((K687-B687*INT(K687/B687)))/C687)/100)))),0,IF(B687=C687,K687/C687,IF((INT(K687/B687)+(((K687-B687*INT(K687/B687)))/C687)/100)&lt;0,(INT(K687/B687)+(((K687-B687*INT(K687/B687)))/C687)/100)+(1-(B687/C687/100)),(INT(K687/B687)+(((K687-B687*INT(K687/B687)))/C687)/100))))</f>
        <v>0</v>
      </c>
      <c r="AW687" s="57">
        <f>IF(ISERROR(IF(B687=C687,L687/C687,(INT(L687/B687)+(((L687-B687*INT(L687/B687)))/C687)/100))),0,(IF(B687=C687,L687/C687,(INT(L687/B687)+(((L687-B687*INT(L687/B687)))/C687)/100))))</f>
        <v>0</v>
      </c>
      <c r="AX687" s="57">
        <f>IF(ISERROR(IF(B687=C687,M687/C687,(INT(M687/B687)+(((M687-B687*INT(M687/B687)))/C687)/100))),0,(IF(B687=C687,M687/C687,(INT(M687/B687)+(((M687-B687*INT(M687/B687)))/C687)/100))))</f>
        <v>0</v>
      </c>
      <c r="AY687" s="57">
        <f>IF(ISERROR(IF(B687=C687,N687/C687,IF((INT(N687/B687)+(((N687-B687*INT(N687/B687)))/C687)/100)&lt;0,(INT(N687/B687)+(((N687-B687*INT(N687/B687)))/C687)/100)+(1-(B687/C687/100)),(INT(N687/B687)+(((N687-B687*INT(N687/B687)))/C687)/100)))),0,IF(B687=C687,N687/C687,IF((INT(N687/B687)+(((N687-B687*INT(N687/B687)))/C687)/100)&lt;0,(INT(N687/B687)+(((N687-B687*INT(N687/B687)))/C687)/100)+(1-(B687/C687/100)),(INT(N687/B687)+(((N687-B687*INT(N687/B687)))/C687)/100))))</f>
        <v>0</v>
      </c>
      <c r="AZ687" s="57">
        <f>IF(ISERROR(IF(B687=C687,O687/C687,(INT(O687/B687)+(((O687-B687*INT(O687/B687)))/C687)/100))),0,(IF(B687=C687,O687/C687,(INT(O687/B687)+(((O687-B687*INT(O687/B687)))/C687)/100))))</f>
        <v>0</v>
      </c>
      <c r="BA687" s="57">
        <f>IF(ISERROR(IF(B687=C687,P687/C687,IF((INT(P687/B687)+(((P687-B687*INT(P687/B687)))/C687)/100)&lt;0,(INT(P687/B687)+(((P687-B687*INT(P687/B687)))/C687)/100)+(1-(B687/C687/100)),(INT(P687/B687)+(((P687-B687*INT(P687/B687)))/C687)/100)))),0,IF(B687=C687,P687/C687,IF((INT(P687/B687)+(((P687-B687*INT(P687/B687)))/C687)/100)&lt;0,(INT(P687/B687)+(((P687-B687*INT(P687/B687)))/C687)/100)+(1-(B687/C687/100)),(INT(P687/B687)+(((P687-B687*INT(P687/B687)))/C687)/100))))</f>
        <v>0</v>
      </c>
      <c r="BB687" s="28">
        <f>R687</f>
        <v>0</v>
      </c>
      <c r="BC687" s="28">
        <f>S687</f>
        <v>0</v>
      </c>
      <c r="BD687" s="28">
        <f>AF687</f>
        <v>0</v>
      </c>
      <c r="BE687" s="28">
        <f>T687</f>
        <v>0</v>
      </c>
      <c r="BG687" s="57">
        <f>IF(ISERROR(IF(B687=C687,V687/C687,(INT(V687/B687)+(((V687-B687*INT(V687/B687)))/C687)/100))),0,(IF(B687=C687,V687/C687,(INT(V687/B687)+(((V687-B687*INT(V687/B687)))/C687)/100))))</f>
        <v>0</v>
      </c>
      <c r="BH687" s="57">
        <f>IF(ISERROR(IF(B687=C687,W687/C687,(INT(W687/B687)+(((W687-B687*INT(W687/B687)))/C687)/100))),0,(IF(B687=C687,W687/C687,(INT(W687/B687)+(((W687-B687*INT(W687/B687)))/C687)/100))))</f>
        <v>0</v>
      </c>
      <c r="BI687" s="57">
        <f>IF(ISERROR(IF(B687=C687,X687/C687,(INT(X687/B687)+(((X687-B687*INT(X687/B687)))/C687)/100))),0,(IF(B687=C687,X687/C687,(INT(X687/B687)+(((X687-B687*INT(X687/B687)))/C687)/100))))</f>
        <v>0</v>
      </c>
      <c r="BJ687" s="57">
        <f>IF(ISERROR(IF(B687=C687,Y687/C687,(INT(Y687/B687)+(((Y687-B687*INT(Y687/B687)))/C687)/100))),0,(IF(B687=C687,Y687/C687,(INT(Y687/B687)+(((Y687-B687*INT(Y687/B687)))/C687)/100))))</f>
        <v>0</v>
      </c>
      <c r="BL687" s="57">
        <f>IF(ISERROR(IF(B687=C687,AA687/C687,(INT(AA687/B687)+(((AA687-B687*INT(AA687/B687)))/C687)/100))),0,(IF(B687=C687,AA687/C687,(INT(AA687/B687)+(((AA687-B687*INT(AA687/B687)))/C687)/100))))</f>
        <v>0</v>
      </c>
      <c r="BM687" s="57">
        <f>IF(ISERROR(IF(B687=C687,AB687/C687,(INT(AB687/B687)+(((AB687-B687*INT(AB687/B687)))/C687)/100))),0,(IF(B687=C687,AB687/C687,(INT(AB687/B687)+(((AB687-B687*INT(AB687/B687)))/C687)/100))))</f>
        <v>0</v>
      </c>
      <c r="BN687" s="57">
        <f>IF(ISERROR(IF(B687=C687,AC687/C687,(INT(AC687/B687)+(((AC687-B687*INT(AC687/B687)))/C687)/100))),0,(IF(B687=C687,AC687/C687,(INT(AC687/B687)+(((AC687-B687*INT(AC687/B687)))/C687)/100))))</f>
        <v>0</v>
      </c>
      <c r="BO687" s="57">
        <f>IF(ISERROR(IF(B687=C687,AD687/C687,(INT(AD687/B687)+(((AD687-B687*INT(AD687/B687)))/C687)/100))),0,(IF(B687=C687,AD687/C687,(INT(AD687/B687)+(((AD687-B687*INT(AD687/B687)))/C687)/100))))</f>
        <v>0</v>
      </c>
      <c r="BQ687" s="155"/>
    </row>
    <row r="688" spans="1:69" hidden="1" x14ac:dyDescent="0.35">
      <c r="A688" s="94"/>
      <c r="B688" s="113">
        <v>0</v>
      </c>
      <c r="C688" s="113">
        <v>250</v>
      </c>
      <c r="D688" s="28">
        <f>SUM(AA688:AD688)</f>
        <v>0</v>
      </c>
      <c r="E688" s="113">
        <v>0</v>
      </c>
      <c r="F688" s="113">
        <v>0</v>
      </c>
      <c r="G688" s="28">
        <f>SUM(D688:F688)</f>
        <v>0</v>
      </c>
      <c r="H688" s="125">
        <v>0</v>
      </c>
      <c r="I688" s="113">
        <v>0</v>
      </c>
      <c r="J688" s="125">
        <v>0</v>
      </c>
      <c r="K688" s="113">
        <v>0</v>
      </c>
      <c r="L688" s="113">
        <v>0</v>
      </c>
      <c r="M688" s="113">
        <v>0</v>
      </c>
      <c r="N688" s="28">
        <f>G688-SUM(H688:M688)</f>
        <v>0</v>
      </c>
      <c r="O688" s="28">
        <f>SUM(V688:Y688)</f>
        <v>0</v>
      </c>
      <c r="P688" s="28">
        <f>O688-N688</f>
        <v>0</v>
      </c>
      <c r="Q688" s="61" t="str">
        <f>IF(ISERROR(P688/SUM(H688:L688)),"",P688/SUM(H688:L688))</f>
        <v/>
      </c>
      <c r="R688" s="113">
        <v>0</v>
      </c>
      <c r="S688" s="28">
        <f>IF(ISERROR(P688/C688*R688),0,(P688/C688*R688))</f>
        <v>0</v>
      </c>
      <c r="T688" s="60">
        <f>IF(ISERROR(P688/B688*AF688),0,(P688/B688*AF688))</f>
        <v>0</v>
      </c>
      <c r="V688" s="113">
        <v>0</v>
      </c>
      <c r="W688" s="113">
        <v>0</v>
      </c>
      <c r="X688" s="113">
        <v>0</v>
      </c>
      <c r="Y688" s="113">
        <v>0</v>
      </c>
      <c r="AA688" s="113">
        <v>0</v>
      </c>
      <c r="AB688" s="113">
        <v>0</v>
      </c>
      <c r="AC688" s="113">
        <v>0</v>
      </c>
      <c r="AD688" s="113">
        <v>0</v>
      </c>
      <c r="AF688" s="113">
        <v>0</v>
      </c>
      <c r="AG688" s="28">
        <f>G688-O688</f>
        <v>0</v>
      </c>
      <c r="AH688" s="58">
        <f>IF(ISERROR(AG688/B688*AF688),0,(AG688/B688*AF688))</f>
        <v>0</v>
      </c>
      <c r="AI688" s="28">
        <f>SUM(H688:M688)</f>
        <v>0</v>
      </c>
      <c r="AJ688" s="28">
        <f>IF(ISERROR(AI688/B688*AF688),0,(AI688/B688*AF688))</f>
        <v>0</v>
      </c>
      <c r="AK688" s="58">
        <f>IF(ISERROR(O688/B688*AF688),0,(O688/B688*AF688))</f>
        <v>0</v>
      </c>
      <c r="AL688" s="28">
        <f>IF(ISERROR(H688/B688*AF688),0,(H688/B688*AF688))</f>
        <v>0</v>
      </c>
      <c r="AN688" s="51">
        <f>A688</f>
        <v>0</v>
      </c>
      <c r="AO688" s="57">
        <f>IF(ISERROR(IF(B688=C688,D688/C688,(INT(D688/B688)+(((D688-B688*INT(D688/B688)))/C688)/100))),0,(IF(B688=C688,D688/C688,(INT(D688/B688)+(((D688-B688*INT(D688/B688)))/C688)/100))))</f>
        <v>0</v>
      </c>
      <c r="AP688" s="57">
        <f>IF(ISERROR(IF(B688=C688,E688/C688,(INT(E688/B688)+(((E688-B688*INT(E688/B688)))/C688)/100))),0,(IF(B688=C688,E688/C688,(INT(E688/B688)+(((E688-B688*INT(E688/B688)))/C688)/100))))</f>
        <v>0</v>
      </c>
      <c r="AQ688" s="57">
        <f>IF(ISERROR(IF(B688=C688,F688/C688,IF((INT(F688/B688)+(((F688-B688*INT(F688/B688)))/C688)/100)&lt;0,(INT(F688/B688)+(((F688-B688*INT(F688/B688)))/C688)/100)+(1-(B688/C688/100)),(INT(F688/B688)+(((F688-B688*INT(F688/B688)))/C688)/100)))),0,IF(B688=C688,F688/C688,IF((INT(F688/B688)+(((F688-B688*INT(F688/B688)))/C688)/100)&lt;0,(INT(F688/B688)+(((F688-B688*INT(F688/B688)))/C688)/100)+(1-(B688/C688/100)),(INT(F688/B688)+(((F688-B688*INT(F688/B688)))/C688)/100))))</f>
        <v>0</v>
      </c>
      <c r="AR688" s="57">
        <f>IF(ISERROR(IF(B688=C688,G688/C688,(INT(G688/B688)+(((G688-B688*INT(G688/B688)))/C688)/100))),0,(IF(B688=C688,G688/C688,(INT(G688/B688)+(((G688-B688*INT(G688/B688)))/C688)/100))))</f>
        <v>0</v>
      </c>
      <c r="AS688" s="57">
        <f>IF(ISERROR(IF(B688=C688,H688/C688,(INT(H688/B688)+(((H688-B688*INT(H688/B688)))/C688)/100))),0,(IF(B688=C688,H688/C688,(INT(H688/B688)+(((H688-B688*INT(H688/B688)))/C688)/100))))</f>
        <v>0</v>
      </c>
      <c r="AT688" s="57">
        <f>IF(ISERROR(IF(B688=C688,I688/C688,(INT(I688/B688)+(((I688-B688*INT(I688/B688)))/C688)/100))),0,(IF(B688=C688,I688/C688,(INT(I688/B688)+(((I688-B688*INT(I688/B688)))/C688)/100))))</f>
        <v>0</v>
      </c>
      <c r="AU688" s="57">
        <f>IF(ISERROR(IF(B688=C688,J688/C688,(INT(J688/B688)+(((J688-B688*INT(J688/B688)))/C688)/100))),0,(IF(B688=C688,J688/C688,(INT(J688/B688)+(((J688-B688*INT(J688/B688)))/C688)/100))))</f>
        <v>0</v>
      </c>
      <c r="AV688" s="57">
        <f>IF(ISERROR(IF(B688=C688,K688/C688,IF((INT(K688/B688)+(((K688-B688*INT(K688/B688)))/C688)/100)&lt;0,(INT(K688/B688)+(((K688-B688*INT(K688/B688)))/C688)/100)+(1-(B688/C688/100)),(INT(K688/B688)+(((K688-B688*INT(K688/B688)))/C688)/100)))),0,IF(B688=C688,K688/C688,IF((INT(K688/B688)+(((K688-B688*INT(K688/B688)))/C688)/100)&lt;0,(INT(K688/B688)+(((K688-B688*INT(K688/B688)))/C688)/100)+(1-(B688/C688/100)),(INT(K688/B688)+(((K688-B688*INT(K688/B688)))/C688)/100))))</f>
        <v>0</v>
      </c>
      <c r="AW688" s="57">
        <f>IF(ISERROR(IF(B688=C688,L688/C688,(INT(L688/B688)+(((L688-B688*INT(L688/B688)))/C688)/100))),0,(IF(B688=C688,L688/C688,(INT(L688/B688)+(((L688-B688*INT(L688/B688)))/C688)/100))))</f>
        <v>0</v>
      </c>
      <c r="AX688" s="57">
        <f>IF(ISERROR(IF(B688=C688,M688/C688,(INT(M688/B688)+(((M688-B688*INT(M688/B688)))/C688)/100))),0,(IF(B688=C688,M688/C688,(INT(M688/B688)+(((M688-B688*INT(M688/B688)))/C688)/100))))</f>
        <v>0</v>
      </c>
      <c r="AY688" s="57">
        <f>IF(ISERROR(IF(B688=C688,N688/C688,IF((INT(N688/B688)+(((N688-B688*INT(N688/B688)))/C688)/100)&lt;0,(INT(N688/B688)+(((N688-B688*INT(N688/B688)))/C688)/100)+(1-(B688/C688/100)),(INT(N688/B688)+(((N688-B688*INT(N688/B688)))/C688)/100)))),0,IF(B688=C688,N688/C688,IF((INT(N688/B688)+(((N688-B688*INT(N688/B688)))/C688)/100)&lt;0,(INT(N688/B688)+(((N688-B688*INT(N688/B688)))/C688)/100)+(1-(B688/C688/100)),(INT(N688/B688)+(((N688-B688*INT(N688/B688)))/C688)/100))))</f>
        <v>0</v>
      </c>
      <c r="AZ688" s="57">
        <f>IF(ISERROR(IF(B688=C688,O688/C688,(INT(O688/B688)+(((O688-B688*INT(O688/B688)))/C688)/100))),0,(IF(B688=C688,O688/C688,(INT(O688/B688)+(((O688-B688*INT(O688/B688)))/C688)/100))))</f>
        <v>0</v>
      </c>
      <c r="BA688" s="57">
        <f>IF(ISERROR(IF(B688=C688,P688/C688,IF((INT(P688/B688)+(((P688-B688*INT(P688/B688)))/C688)/100)&lt;0,(INT(P688/B688)+(((P688-B688*INT(P688/B688)))/C688)/100)+(1-(B688/C688/100)),(INT(P688/B688)+(((P688-B688*INT(P688/B688)))/C688)/100)))),0,IF(B688=C688,P688/C688,IF((INT(P688/B688)+(((P688-B688*INT(P688/B688)))/C688)/100)&lt;0,(INT(P688/B688)+(((P688-B688*INT(P688/B688)))/C688)/100)+(1-(B688/C688/100)),(INT(P688/B688)+(((P688-B688*INT(P688/B688)))/C688)/100))))</f>
        <v>0</v>
      </c>
      <c r="BB688" s="28">
        <f>R688</f>
        <v>0</v>
      </c>
      <c r="BC688" s="28">
        <f>S688</f>
        <v>0</v>
      </c>
      <c r="BD688" s="28">
        <f>AF688</f>
        <v>0</v>
      </c>
      <c r="BE688" s="28">
        <f>T688</f>
        <v>0</v>
      </c>
      <c r="BG688" s="57">
        <f>IF(ISERROR(IF(B688=C688,V688/C688,(INT(V688/B688)+(((V688-B688*INT(V688/B688)))/C688)/100))),0,(IF(B688=C688,V688/C688,(INT(V688/B688)+(((V688-B688*INT(V688/B688)))/C688)/100))))</f>
        <v>0</v>
      </c>
      <c r="BH688" s="57">
        <f>IF(ISERROR(IF(B688=C688,W688/C688,(INT(W688/B688)+(((W688-B688*INT(W688/B688)))/C688)/100))),0,(IF(B688=C688,W688/C688,(INT(W688/B688)+(((W688-B688*INT(W688/B688)))/C688)/100))))</f>
        <v>0</v>
      </c>
      <c r="BI688" s="57">
        <f>IF(ISERROR(IF(B688=C688,X688/C688,(INT(X688/B688)+(((X688-B688*INT(X688/B688)))/C688)/100))),0,(IF(B688=C688,X688/C688,(INT(X688/B688)+(((X688-B688*INT(X688/B688)))/C688)/100))))</f>
        <v>0</v>
      </c>
      <c r="BJ688" s="57">
        <f>IF(ISERROR(IF(B688=C688,Y688/C688,(INT(Y688/B688)+(((Y688-B688*INT(Y688/B688)))/C688)/100))),0,(IF(B688=C688,Y688/C688,(INT(Y688/B688)+(((Y688-B688*INT(Y688/B688)))/C688)/100))))</f>
        <v>0</v>
      </c>
      <c r="BL688" s="57">
        <f>IF(ISERROR(IF(B688=C688,AA688/C688,(INT(AA688/B688)+(((AA688-B688*INT(AA688/B688)))/C688)/100))),0,(IF(B688=C688,AA688/C688,(INT(AA688/B688)+(((AA688-B688*INT(AA688/B688)))/C688)/100))))</f>
        <v>0</v>
      </c>
      <c r="BM688" s="57">
        <f>IF(ISERROR(IF(B688=C688,AB688/C688,(INT(AB688/B688)+(((AB688-B688*INT(AB688/B688)))/C688)/100))),0,(IF(B688=C688,AB688/C688,(INT(AB688/B688)+(((AB688-B688*INT(AB688/B688)))/C688)/100))))</f>
        <v>0</v>
      </c>
      <c r="BN688" s="57">
        <f>IF(ISERROR(IF(B688=C688,AC688/C688,(INT(AC688/B688)+(((AC688-B688*INT(AC688/B688)))/C688)/100))),0,(IF(B688=C688,AC688/C688,(INT(AC688/B688)+(((AC688-B688*INT(AC688/B688)))/C688)/100))))</f>
        <v>0</v>
      </c>
      <c r="BO688" s="57">
        <f>IF(ISERROR(IF(B688=C688,AD688/C688,(INT(AD688/B688)+(((AD688-B688*INT(AD688/B688)))/C688)/100))),0,(IF(B688=C688,AD688/C688,(INT(AD688/B688)+(((AD688-B688*INT(AD688/B688)))/C688)/100))))</f>
        <v>0</v>
      </c>
      <c r="BQ688" s="155"/>
    </row>
    <row r="689" spans="1:69" hidden="1" x14ac:dyDescent="0.35">
      <c r="A689" s="94"/>
      <c r="B689" s="113">
        <v>0</v>
      </c>
      <c r="C689" s="113">
        <v>250</v>
      </c>
      <c r="D689" s="28">
        <f>SUM(AA689:AD689)</f>
        <v>0</v>
      </c>
      <c r="E689" s="113">
        <v>0</v>
      </c>
      <c r="F689" s="113">
        <v>0</v>
      </c>
      <c r="G689" s="28">
        <f>SUM(D689:F689)</f>
        <v>0</v>
      </c>
      <c r="H689" s="125">
        <v>0</v>
      </c>
      <c r="I689" s="113">
        <v>0</v>
      </c>
      <c r="J689" s="125">
        <v>0</v>
      </c>
      <c r="K689" s="113">
        <v>0</v>
      </c>
      <c r="L689" s="113">
        <v>0</v>
      </c>
      <c r="M689" s="113">
        <v>0</v>
      </c>
      <c r="N689" s="28">
        <f>G689-SUM(H689:M689)</f>
        <v>0</v>
      </c>
      <c r="O689" s="28">
        <f>SUM(V689:Y689)</f>
        <v>0</v>
      </c>
      <c r="P689" s="28">
        <f>O689-N689</f>
        <v>0</v>
      </c>
      <c r="Q689" s="61" t="str">
        <f>IF(ISERROR(P689/SUM(H689:L689)),"",P689/SUM(H689:L689))</f>
        <v/>
      </c>
      <c r="R689" s="113">
        <v>0</v>
      </c>
      <c r="S689" s="28">
        <f>IF(ISERROR(P689/C689*R689),0,(P689/C689*R689))</f>
        <v>0</v>
      </c>
      <c r="T689" s="60">
        <f>IF(ISERROR(P689/B689*AF689),0,(P689/B689*AF689))</f>
        <v>0</v>
      </c>
      <c r="V689" s="113">
        <v>0</v>
      </c>
      <c r="W689" s="113">
        <v>0</v>
      </c>
      <c r="X689" s="113">
        <v>0</v>
      </c>
      <c r="Y689" s="113">
        <v>0</v>
      </c>
      <c r="AA689" s="113">
        <v>0</v>
      </c>
      <c r="AB689" s="113">
        <v>0</v>
      </c>
      <c r="AC689" s="113">
        <v>0</v>
      </c>
      <c r="AD689" s="113">
        <v>0</v>
      </c>
      <c r="AF689" s="113">
        <v>0</v>
      </c>
      <c r="AG689" s="28">
        <f>G689-O689</f>
        <v>0</v>
      </c>
      <c r="AH689" s="58">
        <f>IF(ISERROR(AG689/B689*AF689),0,(AG689/B689*AF689))</f>
        <v>0</v>
      </c>
      <c r="AI689" s="28">
        <f>SUM(H689:M689)</f>
        <v>0</v>
      </c>
      <c r="AJ689" s="28">
        <f>IF(ISERROR(AI689/B689*AF689),0,(AI689/B689*AF689))</f>
        <v>0</v>
      </c>
      <c r="AK689" s="58">
        <f>IF(ISERROR(O689/B689*AF689),0,(O689/B689*AF689))</f>
        <v>0</v>
      </c>
      <c r="AL689" s="28">
        <f>IF(ISERROR(H689/B689*AF689),0,(H689/B689*AF689))</f>
        <v>0</v>
      </c>
      <c r="AN689" s="51">
        <f>A689</f>
        <v>0</v>
      </c>
      <c r="AO689" s="57">
        <f>IF(ISERROR(IF(B689=C689,D689/C689,(INT(D689/B689)+(((D689-B689*INT(D689/B689)))/C689)/100))),0,(IF(B689=C689,D689/C689,(INT(D689/B689)+(((D689-B689*INT(D689/B689)))/C689)/100))))</f>
        <v>0</v>
      </c>
      <c r="AP689" s="57">
        <f>IF(ISERROR(IF(B689=C689,E689/C689,(INT(E689/B689)+(((E689-B689*INT(E689/B689)))/C689)/100))),0,(IF(B689=C689,E689/C689,(INT(E689/B689)+(((E689-B689*INT(E689/B689)))/C689)/100))))</f>
        <v>0</v>
      </c>
      <c r="AQ689" s="57">
        <f>IF(ISERROR(IF(B689=C689,F689/C689,IF((INT(F689/B689)+(((F689-B689*INT(F689/B689)))/C689)/100)&lt;0,(INT(F689/B689)+(((F689-B689*INT(F689/B689)))/C689)/100)+(1-(B689/C689/100)),(INT(F689/B689)+(((F689-B689*INT(F689/B689)))/C689)/100)))),0,IF(B689=C689,F689/C689,IF((INT(F689/B689)+(((F689-B689*INT(F689/B689)))/C689)/100)&lt;0,(INT(F689/B689)+(((F689-B689*INT(F689/B689)))/C689)/100)+(1-(B689/C689/100)),(INT(F689/B689)+(((F689-B689*INT(F689/B689)))/C689)/100))))</f>
        <v>0</v>
      </c>
      <c r="AR689" s="57">
        <f>IF(ISERROR(IF(B689=C689,G689/C689,(INT(G689/B689)+(((G689-B689*INT(G689/B689)))/C689)/100))),0,(IF(B689=C689,G689/C689,(INT(G689/B689)+(((G689-B689*INT(G689/B689)))/C689)/100))))</f>
        <v>0</v>
      </c>
      <c r="AS689" s="57">
        <f>IF(ISERROR(IF(B689=C689,H689/C689,(INT(H689/B689)+(((H689-B689*INT(H689/B689)))/C689)/100))),0,(IF(B689=C689,H689/C689,(INT(H689/B689)+(((H689-B689*INT(H689/B689)))/C689)/100))))</f>
        <v>0</v>
      </c>
      <c r="AT689" s="57">
        <f>IF(ISERROR(IF(B689=C689,I689/C689,(INT(I689/B689)+(((I689-B689*INT(I689/B689)))/C689)/100))),0,(IF(B689=C689,I689/C689,(INT(I689/B689)+(((I689-B689*INT(I689/B689)))/C689)/100))))</f>
        <v>0</v>
      </c>
      <c r="AU689" s="57">
        <f>IF(ISERROR(IF(B689=C689,J689/C689,(INT(J689/B689)+(((J689-B689*INT(J689/B689)))/C689)/100))),0,(IF(B689=C689,J689/C689,(INT(J689/B689)+(((J689-B689*INT(J689/B689)))/C689)/100))))</f>
        <v>0</v>
      </c>
      <c r="AV689" s="57">
        <f>IF(ISERROR(IF(B689=C689,K689/C689,IF((INT(K689/B689)+(((K689-B689*INT(K689/B689)))/C689)/100)&lt;0,(INT(K689/B689)+(((K689-B689*INT(K689/B689)))/C689)/100)+(1-(B689/C689/100)),(INT(K689/B689)+(((K689-B689*INT(K689/B689)))/C689)/100)))),0,IF(B689=C689,K689/C689,IF((INT(K689/B689)+(((K689-B689*INT(K689/B689)))/C689)/100)&lt;0,(INT(K689/B689)+(((K689-B689*INT(K689/B689)))/C689)/100)+(1-(B689/C689/100)),(INT(K689/B689)+(((K689-B689*INT(K689/B689)))/C689)/100))))</f>
        <v>0</v>
      </c>
      <c r="AW689" s="57">
        <f>IF(ISERROR(IF(B689=C689,L689/C689,(INT(L689/B689)+(((L689-B689*INT(L689/B689)))/C689)/100))),0,(IF(B689=C689,L689/C689,(INT(L689/B689)+(((L689-B689*INT(L689/B689)))/C689)/100))))</f>
        <v>0</v>
      </c>
      <c r="AX689" s="57">
        <f>IF(ISERROR(IF(B689=C689,M689/C689,(INT(M689/B689)+(((M689-B689*INT(M689/B689)))/C689)/100))),0,(IF(B689=C689,M689/C689,(INT(M689/B689)+(((M689-B689*INT(M689/B689)))/C689)/100))))</f>
        <v>0</v>
      </c>
      <c r="AY689" s="57">
        <f>IF(ISERROR(IF(B689=C689,N689/C689,IF((INT(N689/B689)+(((N689-B689*INT(N689/B689)))/C689)/100)&lt;0,(INT(N689/B689)+(((N689-B689*INT(N689/B689)))/C689)/100)+(1-(B689/C689/100)),(INT(N689/B689)+(((N689-B689*INT(N689/B689)))/C689)/100)))),0,IF(B689=C689,N689/C689,IF((INT(N689/B689)+(((N689-B689*INT(N689/B689)))/C689)/100)&lt;0,(INT(N689/B689)+(((N689-B689*INT(N689/B689)))/C689)/100)+(1-(B689/C689/100)),(INT(N689/B689)+(((N689-B689*INT(N689/B689)))/C689)/100))))</f>
        <v>0</v>
      </c>
      <c r="AZ689" s="57">
        <f>IF(ISERROR(IF(B689=C689,O689/C689,(INT(O689/B689)+(((O689-B689*INT(O689/B689)))/C689)/100))),0,(IF(B689=C689,O689/C689,(INT(O689/B689)+(((O689-B689*INT(O689/B689)))/C689)/100))))</f>
        <v>0</v>
      </c>
      <c r="BA689" s="57">
        <f>IF(ISERROR(IF(B689=C689,P689/C689,IF((INT(P689/B689)+(((P689-B689*INT(P689/B689)))/C689)/100)&lt;0,(INT(P689/B689)+(((P689-B689*INT(P689/B689)))/C689)/100)+(1-(B689/C689/100)),(INT(P689/B689)+(((P689-B689*INT(P689/B689)))/C689)/100)))),0,IF(B689=C689,P689/C689,IF((INT(P689/B689)+(((P689-B689*INT(P689/B689)))/C689)/100)&lt;0,(INT(P689/B689)+(((P689-B689*INT(P689/B689)))/C689)/100)+(1-(B689/C689/100)),(INT(P689/B689)+(((P689-B689*INT(P689/B689)))/C689)/100))))</f>
        <v>0</v>
      </c>
      <c r="BB689" s="28">
        <f>R689</f>
        <v>0</v>
      </c>
      <c r="BC689" s="28">
        <f>S689</f>
        <v>0</v>
      </c>
      <c r="BD689" s="28">
        <f>AF689</f>
        <v>0</v>
      </c>
      <c r="BE689" s="28">
        <f>T689</f>
        <v>0</v>
      </c>
      <c r="BG689" s="57">
        <f>IF(ISERROR(IF(B689=C689,V689/C689,(INT(V689/B689)+(((V689-B689*INT(V689/B689)))/C689)/100))),0,(IF(B689=C689,V689/C689,(INT(V689/B689)+(((V689-B689*INT(V689/B689)))/C689)/100))))</f>
        <v>0</v>
      </c>
      <c r="BH689" s="57">
        <f>IF(ISERROR(IF(B689=C689,W689/C689,(INT(W689/B689)+(((W689-B689*INT(W689/B689)))/C689)/100))),0,(IF(B689=C689,W689/C689,(INT(W689/B689)+(((W689-B689*INT(W689/B689)))/C689)/100))))</f>
        <v>0</v>
      </c>
      <c r="BI689" s="57">
        <f>IF(ISERROR(IF(B689=C689,X689/C689,(INT(X689/B689)+(((X689-B689*INT(X689/B689)))/C689)/100))),0,(IF(B689=C689,X689/C689,(INT(X689/B689)+(((X689-B689*INT(X689/B689)))/C689)/100))))</f>
        <v>0</v>
      </c>
      <c r="BJ689" s="57">
        <f>IF(ISERROR(IF(B689=C689,Y689/C689,(INT(Y689/B689)+(((Y689-B689*INT(Y689/B689)))/C689)/100))),0,(IF(B689=C689,Y689/C689,(INT(Y689/B689)+(((Y689-B689*INT(Y689/B689)))/C689)/100))))</f>
        <v>0</v>
      </c>
      <c r="BL689" s="57">
        <f>IF(ISERROR(IF(B689=C689,AA689/C689,(INT(AA689/B689)+(((AA689-B689*INT(AA689/B689)))/C689)/100))),0,(IF(B689=C689,AA689/C689,(INT(AA689/B689)+(((AA689-B689*INT(AA689/B689)))/C689)/100))))</f>
        <v>0</v>
      </c>
      <c r="BM689" s="57">
        <f>IF(ISERROR(IF(B689=C689,AB689/C689,(INT(AB689/B689)+(((AB689-B689*INT(AB689/B689)))/C689)/100))),0,(IF(B689=C689,AB689/C689,(INT(AB689/B689)+(((AB689-B689*INT(AB689/B689)))/C689)/100))))</f>
        <v>0</v>
      </c>
      <c r="BN689" s="57">
        <f>IF(ISERROR(IF(B689=C689,AC689/C689,(INT(AC689/B689)+(((AC689-B689*INT(AC689/B689)))/C689)/100))),0,(IF(B689=C689,AC689/C689,(INT(AC689/B689)+(((AC689-B689*INT(AC689/B689)))/C689)/100))))</f>
        <v>0</v>
      </c>
      <c r="BO689" s="57">
        <f>IF(ISERROR(IF(B689=C689,AD689/C689,(INT(AD689/B689)+(((AD689-B689*INT(AD689/B689)))/C689)/100))),0,(IF(B689=C689,AD689/C689,(INT(AD689/B689)+(((AD689-B689*INT(AD689/B689)))/C689)/100))))</f>
        <v>0</v>
      </c>
      <c r="BQ689" s="155"/>
    </row>
    <row r="690" spans="1:69" hidden="1" x14ac:dyDescent="0.35">
      <c r="A690" s="94"/>
      <c r="B690" s="113">
        <v>0</v>
      </c>
      <c r="C690" s="113">
        <v>250</v>
      </c>
      <c r="D690" s="28">
        <f>SUM(AA690:AD690)</f>
        <v>0</v>
      </c>
      <c r="E690" s="113">
        <v>0</v>
      </c>
      <c r="F690" s="113">
        <v>0</v>
      </c>
      <c r="G690" s="28">
        <f>SUM(D690:F690)</f>
        <v>0</v>
      </c>
      <c r="H690" s="125">
        <v>0</v>
      </c>
      <c r="I690" s="113">
        <v>0</v>
      </c>
      <c r="J690" s="125">
        <v>0</v>
      </c>
      <c r="K690" s="113">
        <v>0</v>
      </c>
      <c r="L690" s="113">
        <v>0</v>
      </c>
      <c r="M690" s="113">
        <v>0</v>
      </c>
      <c r="N690" s="28">
        <f>G690-SUM(H690:M690)</f>
        <v>0</v>
      </c>
      <c r="O690" s="28">
        <f>SUM(V690:Y690)</f>
        <v>0</v>
      </c>
      <c r="P690" s="28">
        <f>O690-N690</f>
        <v>0</v>
      </c>
      <c r="Q690" s="61" t="str">
        <f>IF(ISERROR(P690/SUM(H690:L690)),"",P690/SUM(H690:L690))</f>
        <v/>
      </c>
      <c r="R690" s="113">
        <v>0</v>
      </c>
      <c r="S690" s="28">
        <f>IF(ISERROR(P690/C690*R690),0,(P690/C690*R690))</f>
        <v>0</v>
      </c>
      <c r="T690" s="60">
        <f>IF(ISERROR(P690/B690*AF690),0,(P690/B690*AF690))</f>
        <v>0</v>
      </c>
      <c r="V690" s="113">
        <v>0</v>
      </c>
      <c r="W690" s="113">
        <v>0</v>
      </c>
      <c r="X690" s="113">
        <v>0</v>
      </c>
      <c r="Y690" s="113">
        <v>0</v>
      </c>
      <c r="AA690" s="113">
        <v>0</v>
      </c>
      <c r="AB690" s="113">
        <v>0</v>
      </c>
      <c r="AC690" s="113">
        <v>0</v>
      </c>
      <c r="AD690" s="113">
        <v>0</v>
      </c>
      <c r="AF690" s="113">
        <v>0</v>
      </c>
      <c r="AG690" s="28">
        <f>G690-O690</f>
        <v>0</v>
      </c>
      <c r="AH690" s="58">
        <f>IF(ISERROR(AG690/B690*AF690),0,(AG690/B690*AF690))</f>
        <v>0</v>
      </c>
      <c r="AI690" s="28">
        <f>SUM(H690:M690)</f>
        <v>0</v>
      </c>
      <c r="AJ690" s="28">
        <f>IF(ISERROR(AI690/B690*AF690),0,(AI690/B690*AF690))</f>
        <v>0</v>
      </c>
      <c r="AK690" s="58">
        <f>IF(ISERROR(O690/B690*AF690),0,(O690/B690*AF690))</f>
        <v>0</v>
      </c>
      <c r="AL690" s="28">
        <f>IF(ISERROR(H690/B690*AF690),0,(H690/B690*AF690))</f>
        <v>0</v>
      </c>
      <c r="AN690" s="51">
        <f>A690</f>
        <v>0</v>
      </c>
      <c r="AO690" s="57">
        <f>IF(ISERROR(IF(B690=C690,D690/C690,(INT(D690/B690)+(((D690-B690*INT(D690/B690)))/C690)/100))),0,(IF(B690=C690,D690/C690,(INT(D690/B690)+(((D690-B690*INT(D690/B690)))/C690)/100))))</f>
        <v>0</v>
      </c>
      <c r="AP690" s="57">
        <f>IF(ISERROR(IF(B690=C690,E690/C690,(INT(E690/B690)+(((E690-B690*INT(E690/B690)))/C690)/100))),0,(IF(B690=C690,E690/C690,(INT(E690/B690)+(((E690-B690*INT(E690/B690)))/C690)/100))))</f>
        <v>0</v>
      </c>
      <c r="AQ690" s="57">
        <f>IF(ISERROR(IF(B690=C690,F690/C690,IF((INT(F690/B690)+(((F690-B690*INT(F690/B690)))/C690)/100)&lt;0,(INT(F690/B690)+(((F690-B690*INT(F690/B690)))/C690)/100)+(1-(B690/C690/100)),(INT(F690/B690)+(((F690-B690*INT(F690/B690)))/C690)/100)))),0,IF(B690=C690,F690/C690,IF((INT(F690/B690)+(((F690-B690*INT(F690/B690)))/C690)/100)&lt;0,(INT(F690/B690)+(((F690-B690*INT(F690/B690)))/C690)/100)+(1-(B690/C690/100)),(INT(F690/B690)+(((F690-B690*INT(F690/B690)))/C690)/100))))</f>
        <v>0</v>
      </c>
      <c r="AR690" s="57">
        <f>IF(ISERROR(IF(B690=C690,G690/C690,(INT(G690/B690)+(((G690-B690*INT(G690/B690)))/C690)/100))),0,(IF(B690=C690,G690/C690,(INT(G690/B690)+(((G690-B690*INT(G690/B690)))/C690)/100))))</f>
        <v>0</v>
      </c>
      <c r="AS690" s="57">
        <f>IF(ISERROR(IF(B690=C690,H690/C690,(INT(H690/B690)+(((H690-B690*INT(H690/B690)))/C690)/100))),0,(IF(B690=C690,H690/C690,(INT(H690/B690)+(((H690-B690*INT(H690/B690)))/C690)/100))))</f>
        <v>0</v>
      </c>
      <c r="AT690" s="57">
        <f>IF(ISERROR(IF(B690=C690,I690/C690,(INT(I690/B690)+(((I690-B690*INT(I690/B690)))/C690)/100))),0,(IF(B690=C690,I690/C690,(INT(I690/B690)+(((I690-B690*INT(I690/B690)))/C690)/100))))</f>
        <v>0</v>
      </c>
      <c r="AU690" s="57">
        <f>IF(ISERROR(IF(B690=C690,J690/C690,(INT(J690/B690)+(((J690-B690*INT(J690/B690)))/C690)/100))),0,(IF(B690=C690,J690/C690,(INT(J690/B690)+(((J690-B690*INT(J690/B690)))/C690)/100))))</f>
        <v>0</v>
      </c>
      <c r="AV690" s="57">
        <f>IF(ISERROR(IF(B690=C690,K690/C690,IF((INT(K690/B690)+(((K690-B690*INT(K690/B690)))/C690)/100)&lt;0,(INT(K690/B690)+(((K690-B690*INT(K690/B690)))/C690)/100)+(1-(B690/C690/100)),(INT(K690/B690)+(((K690-B690*INT(K690/B690)))/C690)/100)))),0,IF(B690=C690,K690/C690,IF((INT(K690/B690)+(((K690-B690*INT(K690/B690)))/C690)/100)&lt;0,(INT(K690/B690)+(((K690-B690*INT(K690/B690)))/C690)/100)+(1-(B690/C690/100)),(INT(K690/B690)+(((K690-B690*INT(K690/B690)))/C690)/100))))</f>
        <v>0</v>
      </c>
      <c r="AW690" s="57">
        <f>IF(ISERROR(IF(B690=C690,L690/C690,(INT(L690/B690)+(((L690-B690*INT(L690/B690)))/C690)/100))),0,(IF(B690=C690,L690/C690,(INT(L690/B690)+(((L690-B690*INT(L690/B690)))/C690)/100))))</f>
        <v>0</v>
      </c>
      <c r="AX690" s="57">
        <f>IF(ISERROR(IF(B690=C690,M690/C690,(INT(M690/B690)+(((M690-B690*INT(M690/B690)))/C690)/100))),0,(IF(B690=C690,M690/C690,(INT(M690/B690)+(((M690-B690*INT(M690/B690)))/C690)/100))))</f>
        <v>0</v>
      </c>
      <c r="AY690" s="57">
        <f>IF(ISERROR(IF(B690=C690,N690/C690,IF((INT(N690/B690)+(((N690-B690*INT(N690/B690)))/C690)/100)&lt;0,(INT(N690/B690)+(((N690-B690*INT(N690/B690)))/C690)/100)+(1-(B690/C690/100)),(INT(N690/B690)+(((N690-B690*INT(N690/B690)))/C690)/100)))),0,IF(B690=C690,N690/C690,IF((INT(N690/B690)+(((N690-B690*INT(N690/B690)))/C690)/100)&lt;0,(INT(N690/B690)+(((N690-B690*INT(N690/B690)))/C690)/100)+(1-(B690/C690/100)),(INT(N690/B690)+(((N690-B690*INT(N690/B690)))/C690)/100))))</f>
        <v>0</v>
      </c>
      <c r="AZ690" s="57">
        <f>IF(ISERROR(IF(B690=C690,O690/C690,(INT(O690/B690)+(((O690-B690*INT(O690/B690)))/C690)/100))),0,(IF(B690=C690,O690/C690,(INT(O690/B690)+(((O690-B690*INT(O690/B690)))/C690)/100))))</f>
        <v>0</v>
      </c>
      <c r="BA690" s="57">
        <f>IF(ISERROR(IF(B690=C690,P690/C690,IF((INT(P690/B690)+(((P690-B690*INT(P690/B690)))/C690)/100)&lt;0,(INT(P690/B690)+(((P690-B690*INT(P690/B690)))/C690)/100)+(1-(B690/C690/100)),(INT(P690/B690)+(((P690-B690*INT(P690/B690)))/C690)/100)))),0,IF(B690=C690,P690/C690,IF((INT(P690/B690)+(((P690-B690*INT(P690/B690)))/C690)/100)&lt;0,(INT(P690/B690)+(((P690-B690*INT(P690/B690)))/C690)/100)+(1-(B690/C690/100)),(INT(P690/B690)+(((P690-B690*INT(P690/B690)))/C690)/100))))</f>
        <v>0</v>
      </c>
      <c r="BB690" s="28">
        <f>R690</f>
        <v>0</v>
      </c>
      <c r="BC690" s="28">
        <f>S690</f>
        <v>0</v>
      </c>
      <c r="BD690" s="28">
        <f>AF690</f>
        <v>0</v>
      </c>
      <c r="BE690" s="28">
        <f>T690</f>
        <v>0</v>
      </c>
      <c r="BG690" s="57">
        <f>IF(ISERROR(IF(B690=C690,V690/C690,(INT(V690/B690)+(((V690-B690*INT(V690/B690)))/C690)/100))),0,(IF(B690=C690,V690/C690,(INT(V690/B690)+(((V690-B690*INT(V690/B690)))/C690)/100))))</f>
        <v>0</v>
      </c>
      <c r="BH690" s="57">
        <f>IF(ISERROR(IF(B690=C690,W690/C690,(INT(W690/B690)+(((W690-B690*INT(W690/B690)))/C690)/100))),0,(IF(B690=C690,W690/C690,(INT(W690/B690)+(((W690-B690*INT(W690/B690)))/C690)/100))))</f>
        <v>0</v>
      </c>
      <c r="BI690" s="57">
        <f>IF(ISERROR(IF(B690=C690,X690/C690,(INT(X690/B690)+(((X690-B690*INT(X690/B690)))/C690)/100))),0,(IF(B690=C690,X690/C690,(INT(X690/B690)+(((X690-B690*INT(X690/B690)))/C690)/100))))</f>
        <v>0</v>
      </c>
      <c r="BJ690" s="57">
        <f>IF(ISERROR(IF(B690=C690,Y690/C690,(INT(Y690/B690)+(((Y690-B690*INT(Y690/B690)))/C690)/100))),0,(IF(B690=C690,Y690/C690,(INT(Y690/B690)+(((Y690-B690*INT(Y690/B690)))/C690)/100))))</f>
        <v>0</v>
      </c>
      <c r="BL690" s="57">
        <f>IF(ISERROR(IF(B690=C690,AA690/C690,(INT(AA690/B690)+(((AA690-B690*INT(AA690/B690)))/C690)/100))),0,(IF(B690=C690,AA690/C690,(INT(AA690/B690)+(((AA690-B690*INT(AA690/B690)))/C690)/100))))</f>
        <v>0</v>
      </c>
      <c r="BM690" s="57">
        <f>IF(ISERROR(IF(B690=C690,AB690/C690,(INT(AB690/B690)+(((AB690-B690*INT(AB690/B690)))/C690)/100))),0,(IF(B690=C690,AB690/C690,(INT(AB690/B690)+(((AB690-B690*INT(AB690/B690)))/C690)/100))))</f>
        <v>0</v>
      </c>
      <c r="BN690" s="57">
        <f>IF(ISERROR(IF(B690=C690,AC690/C690,(INT(AC690/B690)+(((AC690-B690*INT(AC690/B690)))/C690)/100))),0,(IF(B690=C690,AC690/C690,(INT(AC690/B690)+(((AC690-B690*INT(AC690/B690)))/C690)/100))))</f>
        <v>0</v>
      </c>
      <c r="BO690" s="57">
        <f>IF(ISERROR(IF(B690=C690,AD690/C690,(INT(AD690/B690)+(((AD690-B690*INT(AD690/B690)))/C690)/100))),0,(IF(B690=C690,AD690/C690,(INT(AD690/B690)+(((AD690-B690*INT(AD690/B690)))/C690)/100))))</f>
        <v>0</v>
      </c>
      <c r="BQ690" s="155"/>
    </row>
    <row r="691" spans="1:69" hidden="1" x14ac:dyDescent="0.35">
      <c r="A691" s="94"/>
      <c r="B691" s="113">
        <v>0</v>
      </c>
      <c r="C691" s="113">
        <v>250</v>
      </c>
      <c r="D691" s="28">
        <f>SUM(AA691:AD691)</f>
        <v>0</v>
      </c>
      <c r="E691" s="113">
        <v>0</v>
      </c>
      <c r="F691" s="113">
        <v>0</v>
      </c>
      <c r="G691" s="28">
        <f>SUM(D691:F691)</f>
        <v>0</v>
      </c>
      <c r="H691" s="125">
        <v>0</v>
      </c>
      <c r="I691" s="113">
        <v>0</v>
      </c>
      <c r="J691" s="125">
        <v>0</v>
      </c>
      <c r="K691" s="113">
        <v>0</v>
      </c>
      <c r="L691" s="113">
        <v>0</v>
      </c>
      <c r="M691" s="113">
        <v>0</v>
      </c>
      <c r="N691" s="28">
        <f>G691-SUM(H691:M691)</f>
        <v>0</v>
      </c>
      <c r="O691" s="28">
        <f>SUM(V691:Y691)</f>
        <v>0</v>
      </c>
      <c r="P691" s="28">
        <f>O691-N691</f>
        <v>0</v>
      </c>
      <c r="Q691" s="61" t="str">
        <f>IF(ISERROR(P691/SUM(H691:L691)),"",P691/SUM(H691:L691))</f>
        <v/>
      </c>
      <c r="R691" s="113">
        <v>0</v>
      </c>
      <c r="S691" s="28">
        <f>IF(ISERROR(P691/C691*R691),0,(P691/C691*R691))</f>
        <v>0</v>
      </c>
      <c r="T691" s="60">
        <f>IF(ISERROR(P691/B691*AF691),0,(P691/B691*AF691))</f>
        <v>0</v>
      </c>
      <c r="V691" s="113">
        <v>0</v>
      </c>
      <c r="W691" s="113">
        <v>0</v>
      </c>
      <c r="X691" s="113">
        <v>0</v>
      </c>
      <c r="Y691" s="113">
        <v>0</v>
      </c>
      <c r="AA691" s="113">
        <v>0</v>
      </c>
      <c r="AB691" s="113">
        <v>0</v>
      </c>
      <c r="AC691" s="113">
        <v>0</v>
      </c>
      <c r="AD691" s="113">
        <v>0</v>
      </c>
      <c r="AF691" s="113">
        <v>0</v>
      </c>
      <c r="AG691" s="28">
        <f>G691-O691</f>
        <v>0</v>
      </c>
      <c r="AH691" s="58">
        <f>IF(ISERROR(AG691/B691*AF691),0,(AG691/B691*AF691))</f>
        <v>0</v>
      </c>
      <c r="AI691" s="28">
        <f>SUM(H691:M691)</f>
        <v>0</v>
      </c>
      <c r="AJ691" s="28">
        <f>IF(ISERROR(AI691/B691*AF691),0,(AI691/B691*AF691))</f>
        <v>0</v>
      </c>
      <c r="AK691" s="58">
        <f>IF(ISERROR(O691/B691*AF691),0,(O691/B691*AF691))</f>
        <v>0</v>
      </c>
      <c r="AL691" s="28">
        <f>IF(ISERROR(H691/B691*AF691),0,(H691/B691*AF691))</f>
        <v>0</v>
      </c>
      <c r="AN691" s="51">
        <f>A691</f>
        <v>0</v>
      </c>
      <c r="AO691" s="57">
        <f>IF(ISERROR(IF(B691=C691,D691/C691,(INT(D691/B691)+(((D691-B691*INT(D691/B691)))/C691)/100))),0,(IF(B691=C691,D691/C691,(INT(D691/B691)+(((D691-B691*INT(D691/B691)))/C691)/100))))</f>
        <v>0</v>
      </c>
      <c r="AP691" s="57">
        <f>IF(ISERROR(IF(B691=C691,E691/C691,(INT(E691/B691)+(((E691-B691*INT(E691/B691)))/C691)/100))),0,(IF(B691=C691,E691/C691,(INT(E691/B691)+(((E691-B691*INT(E691/B691)))/C691)/100))))</f>
        <v>0</v>
      </c>
      <c r="AQ691" s="57">
        <f>IF(ISERROR(IF(B691=C691,F691/C691,IF((INT(F691/B691)+(((F691-B691*INT(F691/B691)))/C691)/100)&lt;0,(INT(F691/B691)+(((F691-B691*INT(F691/B691)))/C691)/100)+(1-(B691/C691/100)),(INT(F691/B691)+(((F691-B691*INT(F691/B691)))/C691)/100)))),0,IF(B691=C691,F691/C691,IF((INT(F691/B691)+(((F691-B691*INT(F691/B691)))/C691)/100)&lt;0,(INT(F691/B691)+(((F691-B691*INT(F691/B691)))/C691)/100)+(1-(B691/C691/100)),(INT(F691/B691)+(((F691-B691*INT(F691/B691)))/C691)/100))))</f>
        <v>0</v>
      </c>
      <c r="AR691" s="57">
        <f>IF(ISERROR(IF(B691=C691,G691/C691,(INT(G691/B691)+(((G691-B691*INT(G691/B691)))/C691)/100))),0,(IF(B691=C691,G691/C691,(INT(G691/B691)+(((G691-B691*INT(G691/B691)))/C691)/100))))</f>
        <v>0</v>
      </c>
      <c r="AS691" s="57">
        <f>IF(ISERROR(IF(B691=C691,H691/C691,(INT(H691/B691)+(((H691-B691*INT(H691/B691)))/C691)/100))),0,(IF(B691=C691,H691/C691,(INT(H691/B691)+(((H691-B691*INT(H691/B691)))/C691)/100))))</f>
        <v>0</v>
      </c>
      <c r="AT691" s="57">
        <f>IF(ISERROR(IF(B691=C691,I691/C691,(INT(I691/B691)+(((I691-B691*INT(I691/B691)))/C691)/100))),0,(IF(B691=C691,I691/C691,(INT(I691/B691)+(((I691-B691*INT(I691/B691)))/C691)/100))))</f>
        <v>0</v>
      </c>
      <c r="AU691" s="57">
        <f>IF(ISERROR(IF(B691=C691,J691/C691,(INT(J691/B691)+(((J691-B691*INT(J691/B691)))/C691)/100))),0,(IF(B691=C691,J691/C691,(INT(J691/B691)+(((J691-B691*INT(J691/B691)))/C691)/100))))</f>
        <v>0</v>
      </c>
      <c r="AV691" s="57">
        <f>IF(ISERROR(IF(B691=C691,K691/C691,IF((INT(K691/B691)+(((K691-B691*INT(K691/B691)))/C691)/100)&lt;0,(INT(K691/B691)+(((K691-B691*INT(K691/B691)))/C691)/100)+(1-(B691/C691/100)),(INT(K691/B691)+(((K691-B691*INT(K691/B691)))/C691)/100)))),0,IF(B691=C691,K691/C691,IF((INT(K691/B691)+(((K691-B691*INT(K691/B691)))/C691)/100)&lt;0,(INT(K691/B691)+(((K691-B691*INT(K691/B691)))/C691)/100)+(1-(B691/C691/100)),(INT(K691/B691)+(((K691-B691*INT(K691/B691)))/C691)/100))))</f>
        <v>0</v>
      </c>
      <c r="AW691" s="57">
        <f>IF(ISERROR(IF(B691=C691,L691/C691,(INT(L691/B691)+(((L691-B691*INT(L691/B691)))/C691)/100))),0,(IF(B691=C691,L691/C691,(INT(L691/B691)+(((L691-B691*INT(L691/B691)))/C691)/100))))</f>
        <v>0</v>
      </c>
      <c r="AX691" s="57">
        <f>IF(ISERROR(IF(B691=C691,M691/C691,(INT(M691/B691)+(((M691-B691*INT(M691/B691)))/C691)/100))),0,(IF(B691=C691,M691/C691,(INT(M691/B691)+(((M691-B691*INT(M691/B691)))/C691)/100))))</f>
        <v>0</v>
      </c>
      <c r="AY691" s="57">
        <f>IF(ISERROR(IF(B691=C691,N691/C691,IF((INT(N691/B691)+(((N691-B691*INT(N691/B691)))/C691)/100)&lt;0,(INT(N691/B691)+(((N691-B691*INT(N691/B691)))/C691)/100)+(1-(B691/C691/100)),(INT(N691/B691)+(((N691-B691*INT(N691/B691)))/C691)/100)))),0,IF(B691=C691,N691/C691,IF((INT(N691/B691)+(((N691-B691*INT(N691/B691)))/C691)/100)&lt;0,(INT(N691/B691)+(((N691-B691*INT(N691/B691)))/C691)/100)+(1-(B691/C691/100)),(INT(N691/B691)+(((N691-B691*INT(N691/B691)))/C691)/100))))</f>
        <v>0</v>
      </c>
      <c r="AZ691" s="57">
        <f>IF(ISERROR(IF(B691=C691,O691/C691,(INT(O691/B691)+(((O691-B691*INT(O691/B691)))/C691)/100))),0,(IF(B691=C691,O691/C691,(INT(O691/B691)+(((O691-B691*INT(O691/B691)))/C691)/100))))</f>
        <v>0</v>
      </c>
      <c r="BA691" s="57">
        <f>IF(ISERROR(IF(B691=C691,P691/C691,IF((INT(P691/B691)+(((P691-B691*INT(P691/B691)))/C691)/100)&lt;0,(INT(P691/B691)+(((P691-B691*INT(P691/B691)))/C691)/100)+(1-(B691/C691/100)),(INT(P691/B691)+(((P691-B691*INT(P691/B691)))/C691)/100)))),0,IF(B691=C691,P691/C691,IF((INT(P691/B691)+(((P691-B691*INT(P691/B691)))/C691)/100)&lt;0,(INT(P691/B691)+(((P691-B691*INT(P691/B691)))/C691)/100)+(1-(B691/C691/100)),(INT(P691/B691)+(((P691-B691*INT(P691/B691)))/C691)/100))))</f>
        <v>0</v>
      </c>
      <c r="BB691" s="28">
        <f>R691</f>
        <v>0</v>
      </c>
      <c r="BC691" s="28">
        <f>S691</f>
        <v>0</v>
      </c>
      <c r="BD691" s="28">
        <f>AF691</f>
        <v>0</v>
      </c>
      <c r="BE691" s="28">
        <f>T691</f>
        <v>0</v>
      </c>
      <c r="BG691" s="57">
        <f>IF(ISERROR(IF(B691=C691,V691/C691,(INT(V691/B691)+(((V691-B691*INT(V691/B691)))/C691)/100))),0,(IF(B691=C691,V691/C691,(INT(V691/B691)+(((V691-B691*INT(V691/B691)))/C691)/100))))</f>
        <v>0</v>
      </c>
      <c r="BH691" s="57">
        <f>IF(ISERROR(IF(B691=C691,W691/C691,(INT(W691/B691)+(((W691-B691*INT(W691/B691)))/C691)/100))),0,(IF(B691=C691,W691/C691,(INT(W691/B691)+(((W691-B691*INT(W691/B691)))/C691)/100))))</f>
        <v>0</v>
      </c>
      <c r="BI691" s="57">
        <f>IF(ISERROR(IF(B691=C691,X691/C691,(INT(X691/B691)+(((X691-B691*INT(X691/B691)))/C691)/100))),0,(IF(B691=C691,X691/C691,(INT(X691/B691)+(((X691-B691*INT(X691/B691)))/C691)/100))))</f>
        <v>0</v>
      </c>
      <c r="BJ691" s="57">
        <f>IF(ISERROR(IF(B691=C691,Y691/C691,(INT(Y691/B691)+(((Y691-B691*INT(Y691/B691)))/C691)/100))),0,(IF(B691=C691,Y691/C691,(INT(Y691/B691)+(((Y691-B691*INT(Y691/B691)))/C691)/100))))</f>
        <v>0</v>
      </c>
      <c r="BL691" s="57">
        <f>IF(ISERROR(IF(B691=C691,AA691/C691,(INT(AA691/B691)+(((AA691-B691*INT(AA691/B691)))/C691)/100))),0,(IF(B691=C691,AA691/C691,(INT(AA691/B691)+(((AA691-B691*INT(AA691/B691)))/C691)/100))))</f>
        <v>0</v>
      </c>
      <c r="BM691" s="57">
        <f>IF(ISERROR(IF(B691=C691,AB691/C691,(INT(AB691/B691)+(((AB691-B691*INT(AB691/B691)))/C691)/100))),0,(IF(B691=C691,AB691/C691,(INT(AB691/B691)+(((AB691-B691*INT(AB691/B691)))/C691)/100))))</f>
        <v>0</v>
      </c>
      <c r="BN691" s="57">
        <f>IF(ISERROR(IF(B691=C691,AC691/C691,(INT(AC691/B691)+(((AC691-B691*INT(AC691/B691)))/C691)/100))),0,(IF(B691=C691,AC691/C691,(INT(AC691/B691)+(((AC691-B691*INT(AC691/B691)))/C691)/100))))</f>
        <v>0</v>
      </c>
      <c r="BO691" s="57">
        <f>IF(ISERROR(IF(B691=C691,AD691/C691,(INT(AD691/B691)+(((AD691-B691*INT(AD691/B691)))/C691)/100))),0,(IF(B691=C691,AD691/C691,(INT(AD691/B691)+(((AD691-B691*INT(AD691/B691)))/C691)/100))))</f>
        <v>0</v>
      </c>
      <c r="BQ691" s="155"/>
    </row>
    <row r="692" spans="1:69" hidden="1" x14ac:dyDescent="0.35">
      <c r="A692" s="94"/>
      <c r="B692" s="113">
        <v>0</v>
      </c>
      <c r="C692" s="113">
        <v>250</v>
      </c>
      <c r="D692" s="28">
        <f>SUM(AA692:AD692)</f>
        <v>0</v>
      </c>
      <c r="E692" s="113">
        <v>0</v>
      </c>
      <c r="F692" s="113">
        <v>0</v>
      </c>
      <c r="G692" s="28">
        <f>SUM(D692:F692)</f>
        <v>0</v>
      </c>
      <c r="H692" s="125">
        <v>0</v>
      </c>
      <c r="I692" s="113">
        <v>0</v>
      </c>
      <c r="J692" s="125">
        <v>0</v>
      </c>
      <c r="K692" s="113">
        <v>0</v>
      </c>
      <c r="L692" s="113">
        <v>0</v>
      </c>
      <c r="M692" s="113">
        <v>0</v>
      </c>
      <c r="N692" s="28">
        <f>G692-SUM(H692:M692)</f>
        <v>0</v>
      </c>
      <c r="O692" s="28">
        <f>SUM(V692:Y692)</f>
        <v>0</v>
      </c>
      <c r="P692" s="28">
        <f>O692-N692</f>
        <v>0</v>
      </c>
      <c r="Q692" s="61" t="str">
        <f>IF(ISERROR(P692/SUM(H692:L692)),"",P692/SUM(H692:L692))</f>
        <v/>
      </c>
      <c r="R692" s="113">
        <v>0</v>
      </c>
      <c r="S692" s="28">
        <f>IF(ISERROR(P692/C692*R692),0,(P692/C692*R692))</f>
        <v>0</v>
      </c>
      <c r="T692" s="60">
        <f>IF(ISERROR(P692/B692*AF692),0,(P692/B692*AF692))</f>
        <v>0</v>
      </c>
      <c r="V692" s="113">
        <v>0</v>
      </c>
      <c r="W692" s="113">
        <v>0</v>
      </c>
      <c r="X692" s="113">
        <v>0</v>
      </c>
      <c r="Y692" s="113">
        <v>0</v>
      </c>
      <c r="AA692" s="113">
        <v>0</v>
      </c>
      <c r="AB692" s="113">
        <v>0</v>
      </c>
      <c r="AC692" s="113">
        <v>0</v>
      </c>
      <c r="AD692" s="113">
        <v>0</v>
      </c>
      <c r="AF692" s="113">
        <v>0</v>
      </c>
      <c r="AG692" s="28">
        <f>G692-O692</f>
        <v>0</v>
      </c>
      <c r="AH692" s="58">
        <f>IF(ISERROR(AG692/B692*AF692),0,(AG692/B692*AF692))</f>
        <v>0</v>
      </c>
      <c r="AI692" s="28">
        <f>SUM(H692:M692)</f>
        <v>0</v>
      </c>
      <c r="AJ692" s="28">
        <f>IF(ISERROR(AI692/B692*AF692),0,(AI692/B692*AF692))</f>
        <v>0</v>
      </c>
      <c r="AK692" s="58">
        <f>IF(ISERROR(O692/B692*AF692),0,(O692/B692*AF692))</f>
        <v>0</v>
      </c>
      <c r="AL692" s="28">
        <f>IF(ISERROR(H692/B692*AF692),0,(H692/B692*AF692))</f>
        <v>0</v>
      </c>
      <c r="AN692" s="51">
        <f>A692</f>
        <v>0</v>
      </c>
      <c r="AO692" s="57">
        <f>IF(ISERROR(IF(B692=C692,D692/C692,(INT(D692/B692)+(((D692-B692*INT(D692/B692)))/C692)/100))),0,(IF(B692=C692,D692/C692,(INT(D692/B692)+(((D692-B692*INT(D692/B692)))/C692)/100))))</f>
        <v>0</v>
      </c>
      <c r="AP692" s="57">
        <f>IF(ISERROR(IF(B692=C692,E692/C692,(INT(E692/B692)+(((E692-B692*INT(E692/B692)))/C692)/100))),0,(IF(B692=C692,E692/C692,(INT(E692/B692)+(((E692-B692*INT(E692/B692)))/C692)/100))))</f>
        <v>0</v>
      </c>
      <c r="AQ692" s="57">
        <f>IF(ISERROR(IF(B692=C692,F692/C692,IF((INT(F692/B692)+(((F692-B692*INT(F692/B692)))/C692)/100)&lt;0,(INT(F692/B692)+(((F692-B692*INT(F692/B692)))/C692)/100)+(1-(B692/C692/100)),(INT(F692/B692)+(((F692-B692*INT(F692/B692)))/C692)/100)))),0,IF(B692=C692,F692/C692,IF((INT(F692/B692)+(((F692-B692*INT(F692/B692)))/C692)/100)&lt;0,(INT(F692/B692)+(((F692-B692*INT(F692/B692)))/C692)/100)+(1-(B692/C692/100)),(INT(F692/B692)+(((F692-B692*INT(F692/B692)))/C692)/100))))</f>
        <v>0</v>
      </c>
      <c r="AR692" s="57">
        <f>IF(ISERROR(IF(B692=C692,G692/C692,(INT(G692/B692)+(((G692-B692*INT(G692/B692)))/C692)/100))),0,(IF(B692=C692,G692/C692,(INT(G692/B692)+(((G692-B692*INT(G692/B692)))/C692)/100))))</f>
        <v>0</v>
      </c>
      <c r="AS692" s="57">
        <f>IF(ISERROR(IF(B692=C692,H692/C692,(INT(H692/B692)+(((H692-B692*INT(H692/B692)))/C692)/100))),0,(IF(B692=C692,H692/C692,(INT(H692/B692)+(((H692-B692*INT(H692/B692)))/C692)/100))))</f>
        <v>0</v>
      </c>
      <c r="AT692" s="57">
        <f>IF(ISERROR(IF(B692=C692,I692/C692,(INT(I692/B692)+(((I692-B692*INT(I692/B692)))/C692)/100))),0,(IF(B692=C692,I692/C692,(INT(I692/B692)+(((I692-B692*INT(I692/B692)))/C692)/100))))</f>
        <v>0</v>
      </c>
      <c r="AU692" s="57">
        <f>IF(ISERROR(IF(B692=C692,J692/C692,(INT(J692/B692)+(((J692-B692*INT(J692/B692)))/C692)/100))),0,(IF(B692=C692,J692/C692,(INT(J692/B692)+(((J692-B692*INT(J692/B692)))/C692)/100))))</f>
        <v>0</v>
      </c>
      <c r="AV692" s="57">
        <f>IF(ISERROR(IF(B692=C692,K692/C692,IF((INT(K692/B692)+(((K692-B692*INT(K692/B692)))/C692)/100)&lt;0,(INT(K692/B692)+(((K692-B692*INT(K692/B692)))/C692)/100)+(1-(B692/C692/100)),(INT(K692/B692)+(((K692-B692*INT(K692/B692)))/C692)/100)))),0,IF(B692=C692,K692/C692,IF((INT(K692/B692)+(((K692-B692*INT(K692/B692)))/C692)/100)&lt;0,(INT(K692/B692)+(((K692-B692*INT(K692/B692)))/C692)/100)+(1-(B692/C692/100)),(INT(K692/B692)+(((K692-B692*INT(K692/B692)))/C692)/100))))</f>
        <v>0</v>
      </c>
      <c r="AW692" s="57">
        <f>IF(ISERROR(IF(B692=C692,L692/C692,(INT(L692/B692)+(((L692-B692*INT(L692/B692)))/C692)/100))),0,(IF(B692=C692,L692/C692,(INT(L692/B692)+(((L692-B692*INT(L692/B692)))/C692)/100))))</f>
        <v>0</v>
      </c>
      <c r="AX692" s="57">
        <f>IF(ISERROR(IF(B692=C692,M692/C692,(INT(M692/B692)+(((M692-B692*INT(M692/B692)))/C692)/100))),0,(IF(B692=C692,M692/C692,(INT(M692/B692)+(((M692-B692*INT(M692/B692)))/C692)/100))))</f>
        <v>0</v>
      </c>
      <c r="AY692" s="57">
        <f>IF(ISERROR(IF(B692=C692,N692/C692,IF((INT(N692/B692)+(((N692-B692*INT(N692/B692)))/C692)/100)&lt;0,(INT(N692/B692)+(((N692-B692*INT(N692/B692)))/C692)/100)+(1-(B692/C692/100)),(INT(N692/B692)+(((N692-B692*INT(N692/B692)))/C692)/100)))),0,IF(B692=C692,N692/C692,IF((INT(N692/B692)+(((N692-B692*INT(N692/B692)))/C692)/100)&lt;0,(INT(N692/B692)+(((N692-B692*INT(N692/B692)))/C692)/100)+(1-(B692/C692/100)),(INT(N692/B692)+(((N692-B692*INT(N692/B692)))/C692)/100))))</f>
        <v>0</v>
      </c>
      <c r="AZ692" s="57">
        <f>IF(ISERROR(IF(B692=C692,O692/C692,(INT(O692/B692)+(((O692-B692*INT(O692/B692)))/C692)/100))),0,(IF(B692=C692,O692/C692,(INT(O692/B692)+(((O692-B692*INT(O692/B692)))/C692)/100))))</f>
        <v>0</v>
      </c>
      <c r="BA692" s="57">
        <f>IF(ISERROR(IF(B692=C692,P692/C692,IF((INT(P692/B692)+(((P692-B692*INT(P692/B692)))/C692)/100)&lt;0,(INT(P692/B692)+(((P692-B692*INT(P692/B692)))/C692)/100)+(1-(B692/C692/100)),(INT(P692/B692)+(((P692-B692*INT(P692/B692)))/C692)/100)))),0,IF(B692=C692,P692/C692,IF((INT(P692/B692)+(((P692-B692*INT(P692/B692)))/C692)/100)&lt;0,(INT(P692/B692)+(((P692-B692*INT(P692/B692)))/C692)/100)+(1-(B692/C692/100)),(INT(P692/B692)+(((P692-B692*INT(P692/B692)))/C692)/100))))</f>
        <v>0</v>
      </c>
      <c r="BB692" s="28">
        <f>R692</f>
        <v>0</v>
      </c>
      <c r="BC692" s="28">
        <f>S692</f>
        <v>0</v>
      </c>
      <c r="BD692" s="28">
        <f>AF692</f>
        <v>0</v>
      </c>
      <c r="BE692" s="28">
        <f>T692</f>
        <v>0</v>
      </c>
      <c r="BG692" s="57">
        <f>IF(ISERROR(IF(B692=C692,V692/C692,(INT(V692/B692)+(((V692-B692*INT(V692/B692)))/C692)/100))),0,(IF(B692=C692,V692/C692,(INT(V692/B692)+(((V692-B692*INT(V692/B692)))/C692)/100))))</f>
        <v>0</v>
      </c>
      <c r="BH692" s="57">
        <f>IF(ISERROR(IF(B692=C692,W692/C692,(INT(W692/B692)+(((W692-B692*INT(W692/B692)))/C692)/100))),0,(IF(B692=C692,W692/C692,(INT(W692/B692)+(((W692-B692*INT(W692/B692)))/C692)/100))))</f>
        <v>0</v>
      </c>
      <c r="BI692" s="57">
        <f>IF(ISERROR(IF(B692=C692,X692/C692,(INT(X692/B692)+(((X692-B692*INT(X692/B692)))/C692)/100))),0,(IF(B692=C692,X692/C692,(INT(X692/B692)+(((X692-B692*INT(X692/B692)))/C692)/100))))</f>
        <v>0</v>
      </c>
      <c r="BJ692" s="57">
        <f>IF(ISERROR(IF(B692=C692,Y692/C692,(INT(Y692/B692)+(((Y692-B692*INT(Y692/B692)))/C692)/100))),0,(IF(B692=C692,Y692/C692,(INT(Y692/B692)+(((Y692-B692*INT(Y692/B692)))/C692)/100))))</f>
        <v>0</v>
      </c>
      <c r="BL692" s="57">
        <f>IF(ISERROR(IF(B692=C692,AA692/C692,(INT(AA692/B692)+(((AA692-B692*INT(AA692/B692)))/C692)/100))),0,(IF(B692=C692,AA692/C692,(INT(AA692/B692)+(((AA692-B692*INT(AA692/B692)))/C692)/100))))</f>
        <v>0</v>
      </c>
      <c r="BM692" s="57">
        <f>IF(ISERROR(IF(B692=C692,AB692/C692,(INT(AB692/B692)+(((AB692-B692*INT(AB692/B692)))/C692)/100))),0,(IF(B692=C692,AB692/C692,(INT(AB692/B692)+(((AB692-B692*INT(AB692/B692)))/C692)/100))))</f>
        <v>0</v>
      </c>
      <c r="BN692" s="57">
        <f>IF(ISERROR(IF(B692=C692,AC692/C692,(INT(AC692/B692)+(((AC692-B692*INT(AC692/B692)))/C692)/100))),0,(IF(B692=C692,AC692/C692,(INT(AC692/B692)+(((AC692-B692*INT(AC692/B692)))/C692)/100))))</f>
        <v>0</v>
      </c>
      <c r="BO692" s="57">
        <f>IF(ISERROR(IF(B692=C692,AD692/C692,(INT(AD692/B692)+(((AD692-B692*INT(AD692/B692)))/C692)/100))),0,(IF(B692=C692,AD692/C692,(INT(AD692/B692)+(((AD692-B692*INT(AD692/B692)))/C692)/100))))</f>
        <v>0</v>
      </c>
      <c r="BQ692" s="155"/>
    </row>
    <row r="693" spans="1:69" hidden="1" x14ac:dyDescent="0.35">
      <c r="A693" s="94"/>
      <c r="B693" s="113">
        <v>0</v>
      </c>
      <c r="C693" s="113">
        <v>250</v>
      </c>
      <c r="D693" s="28">
        <f>SUM(AA693:AD693)</f>
        <v>0</v>
      </c>
      <c r="E693" s="113">
        <v>0</v>
      </c>
      <c r="F693" s="113">
        <v>0</v>
      </c>
      <c r="G693" s="28">
        <f>SUM(D693:F693)</f>
        <v>0</v>
      </c>
      <c r="H693" s="125">
        <v>0</v>
      </c>
      <c r="I693" s="113">
        <v>0</v>
      </c>
      <c r="J693" s="125">
        <v>0</v>
      </c>
      <c r="K693" s="113">
        <v>0</v>
      </c>
      <c r="L693" s="113">
        <v>0</v>
      </c>
      <c r="M693" s="113">
        <v>0</v>
      </c>
      <c r="N693" s="28">
        <f>G693-SUM(H693:M693)</f>
        <v>0</v>
      </c>
      <c r="O693" s="28">
        <f>SUM(V693:Y693)</f>
        <v>0</v>
      </c>
      <c r="P693" s="28">
        <f>O693-N693</f>
        <v>0</v>
      </c>
      <c r="Q693" s="61" t="str">
        <f>IF(ISERROR(P693/SUM(H693:L693)),"",P693/SUM(H693:L693))</f>
        <v/>
      </c>
      <c r="R693" s="113">
        <v>0</v>
      </c>
      <c r="S693" s="28">
        <f>IF(ISERROR(P693/C693*R693),0,(P693/C693*R693))</f>
        <v>0</v>
      </c>
      <c r="T693" s="60">
        <f>IF(ISERROR(P693/B693*AF693),0,(P693/B693*AF693))</f>
        <v>0</v>
      </c>
      <c r="V693" s="113">
        <v>0</v>
      </c>
      <c r="W693" s="113">
        <v>0</v>
      </c>
      <c r="X693" s="113">
        <v>0</v>
      </c>
      <c r="Y693" s="113">
        <v>0</v>
      </c>
      <c r="AA693" s="113">
        <v>0</v>
      </c>
      <c r="AB693" s="113">
        <v>0</v>
      </c>
      <c r="AC693" s="113">
        <v>0</v>
      </c>
      <c r="AD693" s="113">
        <v>0</v>
      </c>
      <c r="AF693" s="113">
        <v>0</v>
      </c>
      <c r="AG693" s="28">
        <f>G693-O693</f>
        <v>0</v>
      </c>
      <c r="AH693" s="58">
        <f>IF(ISERROR(AG693/B693*AF693),0,(AG693/B693*AF693))</f>
        <v>0</v>
      </c>
      <c r="AI693" s="28">
        <f>SUM(H693:M693)</f>
        <v>0</v>
      </c>
      <c r="AJ693" s="28">
        <f>IF(ISERROR(AI693/B693*AF693),0,(AI693/B693*AF693))</f>
        <v>0</v>
      </c>
      <c r="AK693" s="58">
        <f>IF(ISERROR(O693/B693*AF693),0,(O693/B693*AF693))</f>
        <v>0</v>
      </c>
      <c r="AL693" s="28">
        <f>IF(ISERROR(H693/B693*AF693),0,(H693/B693*AF693))</f>
        <v>0</v>
      </c>
      <c r="AN693" s="51">
        <f>A693</f>
        <v>0</v>
      </c>
      <c r="AO693" s="57">
        <f>IF(ISERROR(IF(B693=C693,D693/C693,(INT(D693/B693)+(((D693-B693*INT(D693/B693)))/C693)/100))),0,(IF(B693=C693,D693/C693,(INT(D693/B693)+(((D693-B693*INT(D693/B693)))/C693)/100))))</f>
        <v>0</v>
      </c>
      <c r="AP693" s="57">
        <f>IF(ISERROR(IF(B693=C693,E693/C693,(INT(E693/B693)+(((E693-B693*INT(E693/B693)))/C693)/100))),0,(IF(B693=C693,E693/C693,(INT(E693/B693)+(((E693-B693*INT(E693/B693)))/C693)/100))))</f>
        <v>0</v>
      </c>
      <c r="AQ693" s="57">
        <f>IF(ISERROR(IF(B693=C693,F693/C693,IF((INT(F693/B693)+(((F693-B693*INT(F693/B693)))/C693)/100)&lt;0,(INT(F693/B693)+(((F693-B693*INT(F693/B693)))/C693)/100)+(1-(B693/C693/100)),(INT(F693/B693)+(((F693-B693*INT(F693/B693)))/C693)/100)))),0,IF(B693=C693,F693/C693,IF((INT(F693/B693)+(((F693-B693*INT(F693/B693)))/C693)/100)&lt;0,(INT(F693/B693)+(((F693-B693*INT(F693/B693)))/C693)/100)+(1-(B693/C693/100)),(INT(F693/B693)+(((F693-B693*INT(F693/B693)))/C693)/100))))</f>
        <v>0</v>
      </c>
      <c r="AR693" s="57">
        <f>IF(ISERROR(IF(B693=C693,G693/C693,(INT(G693/B693)+(((G693-B693*INT(G693/B693)))/C693)/100))),0,(IF(B693=C693,G693/C693,(INT(G693/B693)+(((G693-B693*INT(G693/B693)))/C693)/100))))</f>
        <v>0</v>
      </c>
      <c r="AS693" s="57">
        <f>IF(ISERROR(IF(B693=C693,H693/C693,(INT(H693/B693)+(((H693-B693*INT(H693/B693)))/C693)/100))),0,(IF(B693=C693,H693/C693,(INT(H693/B693)+(((H693-B693*INT(H693/B693)))/C693)/100))))</f>
        <v>0</v>
      </c>
      <c r="AT693" s="57">
        <f>IF(ISERROR(IF(B693=C693,I693/C693,(INT(I693/B693)+(((I693-B693*INT(I693/B693)))/C693)/100))),0,(IF(B693=C693,I693/C693,(INT(I693/B693)+(((I693-B693*INT(I693/B693)))/C693)/100))))</f>
        <v>0</v>
      </c>
      <c r="AU693" s="57">
        <f>IF(ISERROR(IF(B693=C693,J693/C693,(INT(J693/B693)+(((J693-B693*INT(J693/B693)))/C693)/100))),0,(IF(B693=C693,J693/C693,(INT(J693/B693)+(((J693-B693*INT(J693/B693)))/C693)/100))))</f>
        <v>0</v>
      </c>
      <c r="AV693" s="57">
        <f>IF(ISERROR(IF(B693=C693,K693/C693,IF((INT(K693/B693)+(((K693-B693*INT(K693/B693)))/C693)/100)&lt;0,(INT(K693/B693)+(((K693-B693*INT(K693/B693)))/C693)/100)+(1-(B693/C693/100)),(INT(K693/B693)+(((K693-B693*INT(K693/B693)))/C693)/100)))),0,IF(B693=C693,K693/C693,IF((INT(K693/B693)+(((K693-B693*INT(K693/B693)))/C693)/100)&lt;0,(INT(K693/B693)+(((K693-B693*INT(K693/B693)))/C693)/100)+(1-(B693/C693/100)),(INT(K693/B693)+(((K693-B693*INT(K693/B693)))/C693)/100))))</f>
        <v>0</v>
      </c>
      <c r="AW693" s="57">
        <f>IF(ISERROR(IF(B693=C693,L693/C693,(INT(L693/B693)+(((L693-B693*INT(L693/B693)))/C693)/100))),0,(IF(B693=C693,L693/C693,(INT(L693/B693)+(((L693-B693*INT(L693/B693)))/C693)/100))))</f>
        <v>0</v>
      </c>
      <c r="AX693" s="57">
        <f>IF(ISERROR(IF(B693=C693,M693/C693,(INT(M693/B693)+(((M693-B693*INT(M693/B693)))/C693)/100))),0,(IF(B693=C693,M693/C693,(INT(M693/B693)+(((M693-B693*INT(M693/B693)))/C693)/100))))</f>
        <v>0</v>
      </c>
      <c r="AY693" s="57">
        <f>IF(ISERROR(IF(B693=C693,N693/C693,IF((INT(N693/B693)+(((N693-B693*INT(N693/B693)))/C693)/100)&lt;0,(INT(N693/B693)+(((N693-B693*INT(N693/B693)))/C693)/100)+(1-(B693/C693/100)),(INT(N693/B693)+(((N693-B693*INT(N693/B693)))/C693)/100)))),0,IF(B693=C693,N693/C693,IF((INT(N693/B693)+(((N693-B693*INT(N693/B693)))/C693)/100)&lt;0,(INT(N693/B693)+(((N693-B693*INT(N693/B693)))/C693)/100)+(1-(B693/C693/100)),(INT(N693/B693)+(((N693-B693*INT(N693/B693)))/C693)/100))))</f>
        <v>0</v>
      </c>
      <c r="AZ693" s="57">
        <f>IF(ISERROR(IF(B693=C693,O693/C693,(INT(O693/B693)+(((O693-B693*INT(O693/B693)))/C693)/100))),0,(IF(B693=C693,O693/C693,(INT(O693/B693)+(((O693-B693*INT(O693/B693)))/C693)/100))))</f>
        <v>0</v>
      </c>
      <c r="BA693" s="57">
        <f>IF(ISERROR(IF(B693=C693,P693/C693,IF((INT(P693/B693)+(((P693-B693*INT(P693/B693)))/C693)/100)&lt;0,(INT(P693/B693)+(((P693-B693*INT(P693/B693)))/C693)/100)+(1-(B693/C693/100)),(INT(P693/B693)+(((P693-B693*INT(P693/B693)))/C693)/100)))),0,IF(B693=C693,P693/C693,IF((INT(P693/B693)+(((P693-B693*INT(P693/B693)))/C693)/100)&lt;0,(INT(P693/B693)+(((P693-B693*INT(P693/B693)))/C693)/100)+(1-(B693/C693/100)),(INT(P693/B693)+(((P693-B693*INT(P693/B693)))/C693)/100))))</f>
        <v>0</v>
      </c>
      <c r="BB693" s="28">
        <f>R693</f>
        <v>0</v>
      </c>
      <c r="BC693" s="28">
        <f>S693</f>
        <v>0</v>
      </c>
      <c r="BD693" s="28">
        <f>AF693</f>
        <v>0</v>
      </c>
      <c r="BE693" s="28">
        <f>T693</f>
        <v>0</v>
      </c>
      <c r="BG693" s="57">
        <f>IF(ISERROR(IF(B693=C693,V693/C693,(INT(V693/B693)+(((V693-B693*INT(V693/B693)))/C693)/100))),0,(IF(B693=C693,V693/C693,(INT(V693/B693)+(((V693-B693*INT(V693/B693)))/C693)/100))))</f>
        <v>0</v>
      </c>
      <c r="BH693" s="57">
        <f>IF(ISERROR(IF(B693=C693,W693/C693,(INT(W693/B693)+(((W693-B693*INT(W693/B693)))/C693)/100))),0,(IF(B693=C693,W693/C693,(INT(W693/B693)+(((W693-B693*INT(W693/B693)))/C693)/100))))</f>
        <v>0</v>
      </c>
      <c r="BI693" s="57">
        <f>IF(ISERROR(IF(B693=C693,X693/C693,(INT(X693/B693)+(((X693-B693*INT(X693/B693)))/C693)/100))),0,(IF(B693=C693,X693/C693,(INT(X693/B693)+(((X693-B693*INT(X693/B693)))/C693)/100))))</f>
        <v>0</v>
      </c>
      <c r="BJ693" s="57">
        <f>IF(ISERROR(IF(B693=C693,Y693/C693,(INT(Y693/B693)+(((Y693-B693*INT(Y693/B693)))/C693)/100))),0,(IF(B693=C693,Y693/C693,(INT(Y693/B693)+(((Y693-B693*INT(Y693/B693)))/C693)/100))))</f>
        <v>0</v>
      </c>
      <c r="BL693" s="57">
        <f>IF(ISERROR(IF(B693=C693,AA693/C693,(INT(AA693/B693)+(((AA693-B693*INT(AA693/B693)))/C693)/100))),0,(IF(B693=C693,AA693/C693,(INT(AA693/B693)+(((AA693-B693*INT(AA693/B693)))/C693)/100))))</f>
        <v>0</v>
      </c>
      <c r="BM693" s="57">
        <f>IF(ISERROR(IF(B693=C693,AB693/C693,(INT(AB693/B693)+(((AB693-B693*INT(AB693/B693)))/C693)/100))),0,(IF(B693=C693,AB693/C693,(INT(AB693/B693)+(((AB693-B693*INT(AB693/B693)))/C693)/100))))</f>
        <v>0</v>
      </c>
      <c r="BN693" s="57">
        <f>IF(ISERROR(IF(B693=C693,AC693/C693,(INT(AC693/B693)+(((AC693-B693*INT(AC693/B693)))/C693)/100))),0,(IF(B693=C693,AC693/C693,(INT(AC693/B693)+(((AC693-B693*INT(AC693/B693)))/C693)/100))))</f>
        <v>0</v>
      </c>
      <c r="BO693" s="57">
        <f>IF(ISERROR(IF(B693=C693,AD693/C693,(INT(AD693/B693)+(((AD693-B693*INT(AD693/B693)))/C693)/100))),0,(IF(B693=C693,AD693/C693,(INT(AD693/B693)+(((AD693-B693*INT(AD693/B693)))/C693)/100))))</f>
        <v>0</v>
      </c>
      <c r="BQ693" s="155"/>
    </row>
    <row r="694" spans="1:69" hidden="1" x14ac:dyDescent="0.35">
      <c r="A694" s="94"/>
      <c r="B694" s="113">
        <v>0</v>
      </c>
      <c r="C694" s="113">
        <v>250</v>
      </c>
      <c r="D694" s="28">
        <f>SUM(AA694:AD694)</f>
        <v>0</v>
      </c>
      <c r="E694" s="113">
        <v>0</v>
      </c>
      <c r="F694" s="113">
        <v>0</v>
      </c>
      <c r="G694" s="28">
        <f>SUM(D694:F694)</f>
        <v>0</v>
      </c>
      <c r="H694" s="125">
        <v>0</v>
      </c>
      <c r="I694" s="113">
        <v>0</v>
      </c>
      <c r="J694" s="125">
        <v>0</v>
      </c>
      <c r="K694" s="113">
        <v>0</v>
      </c>
      <c r="L694" s="113">
        <v>0</v>
      </c>
      <c r="M694" s="113">
        <v>0</v>
      </c>
      <c r="N694" s="28">
        <f>G694-SUM(H694:M694)</f>
        <v>0</v>
      </c>
      <c r="O694" s="28">
        <f>SUM(V694:Y694)</f>
        <v>0</v>
      </c>
      <c r="P694" s="28">
        <f>O694-N694</f>
        <v>0</v>
      </c>
      <c r="Q694" s="61" t="str">
        <f>IF(ISERROR(P694/SUM(H694:L694)),"",P694/SUM(H694:L694))</f>
        <v/>
      </c>
      <c r="R694" s="113">
        <v>0</v>
      </c>
      <c r="S694" s="28">
        <f>IF(ISERROR(P694/C694*R694),0,(P694/C694*R694))</f>
        <v>0</v>
      </c>
      <c r="T694" s="60">
        <f>IF(ISERROR(P694/B694*AF694),0,(P694/B694*AF694))</f>
        <v>0</v>
      </c>
      <c r="V694" s="113">
        <v>0</v>
      </c>
      <c r="W694" s="113">
        <v>0</v>
      </c>
      <c r="X694" s="113">
        <v>0</v>
      </c>
      <c r="Y694" s="113">
        <v>0</v>
      </c>
      <c r="AA694" s="113">
        <v>0</v>
      </c>
      <c r="AB694" s="113">
        <v>0</v>
      </c>
      <c r="AC694" s="113">
        <v>0</v>
      </c>
      <c r="AD694" s="113">
        <v>0</v>
      </c>
      <c r="AF694" s="113">
        <v>0</v>
      </c>
      <c r="AG694" s="28">
        <f>G694-O694</f>
        <v>0</v>
      </c>
      <c r="AH694" s="58">
        <f>IF(ISERROR(AG694/B694*AF694),0,(AG694/B694*AF694))</f>
        <v>0</v>
      </c>
      <c r="AI694" s="28">
        <f>SUM(H694:M694)</f>
        <v>0</v>
      </c>
      <c r="AJ694" s="28">
        <f>IF(ISERROR(AI694/B694*AF694),0,(AI694/B694*AF694))</f>
        <v>0</v>
      </c>
      <c r="AK694" s="58">
        <f>IF(ISERROR(O694/B694*AF694),0,(O694/B694*AF694))</f>
        <v>0</v>
      </c>
      <c r="AL694" s="28">
        <f>IF(ISERROR(H694/B694*AF694),0,(H694/B694*AF694))</f>
        <v>0</v>
      </c>
      <c r="AN694" s="51">
        <f>A694</f>
        <v>0</v>
      </c>
      <c r="AO694" s="57">
        <f>IF(ISERROR(IF(B694=C694,D694/C694,(INT(D694/B694)+(((D694-B694*INT(D694/B694)))/C694)/100))),0,(IF(B694=C694,D694/C694,(INT(D694/B694)+(((D694-B694*INT(D694/B694)))/C694)/100))))</f>
        <v>0</v>
      </c>
      <c r="AP694" s="57">
        <f>IF(ISERROR(IF(B694=C694,E694/C694,(INT(E694/B694)+(((E694-B694*INT(E694/B694)))/C694)/100))),0,(IF(B694=C694,E694/C694,(INT(E694/B694)+(((E694-B694*INT(E694/B694)))/C694)/100))))</f>
        <v>0</v>
      </c>
      <c r="AQ694" s="57">
        <f>IF(ISERROR(IF(B694=C694,F694/C694,IF((INT(F694/B694)+(((F694-B694*INT(F694/B694)))/C694)/100)&lt;0,(INT(F694/B694)+(((F694-B694*INT(F694/B694)))/C694)/100)+(1-(B694/C694/100)),(INT(F694/B694)+(((F694-B694*INT(F694/B694)))/C694)/100)))),0,IF(B694=C694,F694/C694,IF((INT(F694/B694)+(((F694-B694*INT(F694/B694)))/C694)/100)&lt;0,(INT(F694/B694)+(((F694-B694*INT(F694/B694)))/C694)/100)+(1-(B694/C694/100)),(INT(F694/B694)+(((F694-B694*INT(F694/B694)))/C694)/100))))</f>
        <v>0</v>
      </c>
      <c r="AR694" s="57">
        <f>IF(ISERROR(IF(B694=C694,G694/C694,(INT(G694/B694)+(((G694-B694*INT(G694/B694)))/C694)/100))),0,(IF(B694=C694,G694/C694,(INT(G694/B694)+(((G694-B694*INT(G694/B694)))/C694)/100))))</f>
        <v>0</v>
      </c>
      <c r="AS694" s="57">
        <f>IF(ISERROR(IF(B694=C694,H694/C694,(INT(H694/B694)+(((H694-B694*INT(H694/B694)))/C694)/100))),0,(IF(B694=C694,H694/C694,(INT(H694/B694)+(((H694-B694*INT(H694/B694)))/C694)/100))))</f>
        <v>0</v>
      </c>
      <c r="AT694" s="57">
        <f>IF(ISERROR(IF(B694=C694,I694/C694,(INT(I694/B694)+(((I694-B694*INT(I694/B694)))/C694)/100))),0,(IF(B694=C694,I694/C694,(INT(I694/B694)+(((I694-B694*INT(I694/B694)))/C694)/100))))</f>
        <v>0</v>
      </c>
      <c r="AU694" s="57">
        <f>IF(ISERROR(IF(B694=C694,J694/C694,(INT(J694/B694)+(((J694-B694*INT(J694/B694)))/C694)/100))),0,(IF(B694=C694,J694/C694,(INT(J694/B694)+(((J694-B694*INT(J694/B694)))/C694)/100))))</f>
        <v>0</v>
      </c>
      <c r="AV694" s="57">
        <f>IF(ISERROR(IF(B694=C694,K694/C694,IF((INT(K694/B694)+(((K694-B694*INT(K694/B694)))/C694)/100)&lt;0,(INT(K694/B694)+(((K694-B694*INT(K694/B694)))/C694)/100)+(1-(B694/C694/100)),(INT(K694/B694)+(((K694-B694*INT(K694/B694)))/C694)/100)))),0,IF(B694=C694,K694/C694,IF((INT(K694/B694)+(((K694-B694*INT(K694/B694)))/C694)/100)&lt;0,(INT(K694/B694)+(((K694-B694*INT(K694/B694)))/C694)/100)+(1-(B694/C694/100)),(INT(K694/B694)+(((K694-B694*INT(K694/B694)))/C694)/100))))</f>
        <v>0</v>
      </c>
      <c r="AW694" s="57">
        <f>IF(ISERROR(IF(B694=C694,L694/C694,(INT(L694/B694)+(((L694-B694*INT(L694/B694)))/C694)/100))),0,(IF(B694=C694,L694/C694,(INT(L694/B694)+(((L694-B694*INT(L694/B694)))/C694)/100))))</f>
        <v>0</v>
      </c>
      <c r="AX694" s="57">
        <f>IF(ISERROR(IF(B694=C694,M694/C694,(INT(M694/B694)+(((M694-B694*INT(M694/B694)))/C694)/100))),0,(IF(B694=C694,M694/C694,(INT(M694/B694)+(((M694-B694*INT(M694/B694)))/C694)/100))))</f>
        <v>0</v>
      </c>
      <c r="AY694" s="57">
        <f>IF(ISERROR(IF(B694=C694,N694/C694,IF((INT(N694/B694)+(((N694-B694*INT(N694/B694)))/C694)/100)&lt;0,(INT(N694/B694)+(((N694-B694*INT(N694/B694)))/C694)/100)+(1-(B694/C694/100)),(INT(N694/B694)+(((N694-B694*INT(N694/B694)))/C694)/100)))),0,IF(B694=C694,N694/C694,IF((INT(N694/B694)+(((N694-B694*INT(N694/B694)))/C694)/100)&lt;0,(INT(N694/B694)+(((N694-B694*INT(N694/B694)))/C694)/100)+(1-(B694/C694/100)),(INT(N694/B694)+(((N694-B694*INT(N694/B694)))/C694)/100))))</f>
        <v>0</v>
      </c>
      <c r="AZ694" s="57">
        <f>IF(ISERROR(IF(B694=C694,O694/C694,(INT(O694/B694)+(((O694-B694*INT(O694/B694)))/C694)/100))),0,(IF(B694=C694,O694/C694,(INT(O694/B694)+(((O694-B694*INT(O694/B694)))/C694)/100))))</f>
        <v>0</v>
      </c>
      <c r="BA694" s="57">
        <f>IF(ISERROR(IF(B694=C694,P694/C694,IF((INT(P694/B694)+(((P694-B694*INT(P694/B694)))/C694)/100)&lt;0,(INT(P694/B694)+(((P694-B694*INT(P694/B694)))/C694)/100)+(1-(B694/C694/100)),(INT(P694/B694)+(((P694-B694*INT(P694/B694)))/C694)/100)))),0,IF(B694=C694,P694/C694,IF((INT(P694/B694)+(((P694-B694*INT(P694/B694)))/C694)/100)&lt;0,(INT(P694/B694)+(((P694-B694*INT(P694/B694)))/C694)/100)+(1-(B694/C694/100)),(INT(P694/B694)+(((P694-B694*INT(P694/B694)))/C694)/100))))</f>
        <v>0</v>
      </c>
      <c r="BB694" s="28">
        <f>R694</f>
        <v>0</v>
      </c>
      <c r="BC694" s="28">
        <f>S694</f>
        <v>0</v>
      </c>
      <c r="BD694" s="28">
        <f>AF694</f>
        <v>0</v>
      </c>
      <c r="BE694" s="28">
        <f>T694</f>
        <v>0</v>
      </c>
      <c r="BG694" s="57">
        <f>IF(ISERROR(IF(B694=C694,V694/C694,(INT(V694/B694)+(((V694-B694*INT(V694/B694)))/C694)/100))),0,(IF(B694=C694,V694/C694,(INT(V694/B694)+(((V694-B694*INT(V694/B694)))/C694)/100))))</f>
        <v>0</v>
      </c>
      <c r="BH694" s="57">
        <f>IF(ISERROR(IF(B694=C694,W694/C694,(INT(W694/B694)+(((W694-B694*INT(W694/B694)))/C694)/100))),0,(IF(B694=C694,W694/C694,(INT(W694/B694)+(((W694-B694*INT(W694/B694)))/C694)/100))))</f>
        <v>0</v>
      </c>
      <c r="BI694" s="57">
        <f>IF(ISERROR(IF(B694=C694,X694/C694,(INT(X694/B694)+(((X694-B694*INT(X694/B694)))/C694)/100))),0,(IF(B694=C694,X694/C694,(INT(X694/B694)+(((X694-B694*INT(X694/B694)))/C694)/100))))</f>
        <v>0</v>
      </c>
      <c r="BJ694" s="57">
        <f>IF(ISERROR(IF(B694=C694,Y694/C694,(INT(Y694/B694)+(((Y694-B694*INT(Y694/B694)))/C694)/100))),0,(IF(B694=C694,Y694/C694,(INT(Y694/B694)+(((Y694-B694*INT(Y694/B694)))/C694)/100))))</f>
        <v>0</v>
      </c>
      <c r="BL694" s="57">
        <f>IF(ISERROR(IF(B694=C694,AA694/C694,(INT(AA694/B694)+(((AA694-B694*INT(AA694/B694)))/C694)/100))),0,(IF(B694=C694,AA694/C694,(INT(AA694/B694)+(((AA694-B694*INT(AA694/B694)))/C694)/100))))</f>
        <v>0</v>
      </c>
      <c r="BM694" s="57">
        <f>IF(ISERROR(IF(B694=C694,AB694/C694,(INT(AB694/B694)+(((AB694-B694*INT(AB694/B694)))/C694)/100))),0,(IF(B694=C694,AB694/C694,(INT(AB694/B694)+(((AB694-B694*INT(AB694/B694)))/C694)/100))))</f>
        <v>0</v>
      </c>
      <c r="BN694" s="57">
        <f>IF(ISERROR(IF(B694=C694,AC694/C694,(INT(AC694/B694)+(((AC694-B694*INT(AC694/B694)))/C694)/100))),0,(IF(B694=C694,AC694/C694,(INT(AC694/B694)+(((AC694-B694*INT(AC694/B694)))/C694)/100))))</f>
        <v>0</v>
      </c>
      <c r="BO694" s="57">
        <f>IF(ISERROR(IF(B694=C694,AD694/C694,(INT(AD694/B694)+(((AD694-B694*INT(AD694/B694)))/C694)/100))),0,(IF(B694=C694,AD694/C694,(INT(AD694/B694)+(((AD694-B694*INT(AD694/B694)))/C694)/100))))</f>
        <v>0</v>
      </c>
      <c r="BQ694" s="155"/>
    </row>
    <row r="695" spans="1:69" hidden="1" x14ac:dyDescent="0.35">
      <c r="A695" s="94"/>
      <c r="B695" s="113">
        <v>0</v>
      </c>
      <c r="C695" s="113">
        <v>250</v>
      </c>
      <c r="D695" s="28">
        <f>SUM(AA695:AD695)</f>
        <v>0</v>
      </c>
      <c r="E695" s="113">
        <v>0</v>
      </c>
      <c r="F695" s="113">
        <v>0</v>
      </c>
      <c r="G695" s="28">
        <f>SUM(D695:F695)</f>
        <v>0</v>
      </c>
      <c r="H695" s="125">
        <v>0</v>
      </c>
      <c r="I695" s="113">
        <v>0</v>
      </c>
      <c r="J695" s="125">
        <v>0</v>
      </c>
      <c r="K695" s="113">
        <v>0</v>
      </c>
      <c r="L695" s="113">
        <v>0</v>
      </c>
      <c r="M695" s="113">
        <v>0</v>
      </c>
      <c r="N695" s="28">
        <f>G695-SUM(H695:M695)</f>
        <v>0</v>
      </c>
      <c r="O695" s="28">
        <f>SUM(V695:Y695)</f>
        <v>0</v>
      </c>
      <c r="P695" s="28">
        <f>O695-N695</f>
        <v>0</v>
      </c>
      <c r="Q695" s="61" t="str">
        <f>IF(ISERROR(P695/SUM(H695:L695)),"",P695/SUM(H695:L695))</f>
        <v/>
      </c>
      <c r="R695" s="113">
        <v>0</v>
      </c>
      <c r="S695" s="28">
        <f>IF(ISERROR(P695/C695*R695),0,(P695/C695*R695))</f>
        <v>0</v>
      </c>
      <c r="T695" s="60">
        <f>IF(ISERROR(P695/B695*AF695),0,(P695/B695*AF695))</f>
        <v>0</v>
      </c>
      <c r="V695" s="113">
        <v>0</v>
      </c>
      <c r="W695" s="113">
        <v>0</v>
      </c>
      <c r="X695" s="113">
        <v>0</v>
      </c>
      <c r="Y695" s="113">
        <v>0</v>
      </c>
      <c r="AA695" s="113">
        <v>0</v>
      </c>
      <c r="AB695" s="113">
        <v>0</v>
      </c>
      <c r="AC695" s="113">
        <v>0</v>
      </c>
      <c r="AD695" s="113">
        <v>0</v>
      </c>
      <c r="AF695" s="113">
        <v>0</v>
      </c>
      <c r="AG695" s="28">
        <f>G695-O695</f>
        <v>0</v>
      </c>
      <c r="AH695" s="58">
        <f>IF(ISERROR(AG695/B695*AF695),0,(AG695/B695*AF695))</f>
        <v>0</v>
      </c>
      <c r="AI695" s="28">
        <f>SUM(H695:M695)</f>
        <v>0</v>
      </c>
      <c r="AJ695" s="28">
        <f>IF(ISERROR(AI695/B695*AF695),0,(AI695/B695*AF695))</f>
        <v>0</v>
      </c>
      <c r="AK695" s="58">
        <f>IF(ISERROR(O695/B695*AF695),0,(O695/B695*AF695))</f>
        <v>0</v>
      </c>
      <c r="AL695" s="28">
        <f>IF(ISERROR(H695/B695*AF695),0,(H695/B695*AF695))</f>
        <v>0</v>
      </c>
      <c r="AN695" s="51">
        <f>A695</f>
        <v>0</v>
      </c>
      <c r="AO695" s="57">
        <f>IF(ISERROR(IF(B695=C695,D695/C695,(INT(D695/B695)+(((D695-B695*INT(D695/B695)))/C695)/100))),0,(IF(B695=C695,D695/C695,(INT(D695/B695)+(((D695-B695*INT(D695/B695)))/C695)/100))))</f>
        <v>0</v>
      </c>
      <c r="AP695" s="57">
        <f>IF(ISERROR(IF(B695=C695,E695/C695,(INT(E695/B695)+(((E695-B695*INT(E695/B695)))/C695)/100))),0,(IF(B695=C695,E695/C695,(INT(E695/B695)+(((E695-B695*INT(E695/B695)))/C695)/100))))</f>
        <v>0</v>
      </c>
      <c r="AQ695" s="57">
        <f>IF(ISERROR(IF(B695=C695,F695/C695,IF((INT(F695/B695)+(((F695-B695*INT(F695/B695)))/C695)/100)&lt;0,(INT(F695/B695)+(((F695-B695*INT(F695/B695)))/C695)/100)+(1-(B695/C695/100)),(INT(F695/B695)+(((F695-B695*INT(F695/B695)))/C695)/100)))),0,IF(B695=C695,F695/C695,IF((INT(F695/B695)+(((F695-B695*INT(F695/B695)))/C695)/100)&lt;0,(INT(F695/B695)+(((F695-B695*INT(F695/B695)))/C695)/100)+(1-(B695/C695/100)),(INT(F695/B695)+(((F695-B695*INT(F695/B695)))/C695)/100))))</f>
        <v>0</v>
      </c>
      <c r="AR695" s="57">
        <f>IF(ISERROR(IF(B695=C695,G695/C695,(INT(G695/B695)+(((G695-B695*INT(G695/B695)))/C695)/100))),0,(IF(B695=C695,G695/C695,(INT(G695/B695)+(((G695-B695*INT(G695/B695)))/C695)/100))))</f>
        <v>0</v>
      </c>
      <c r="AS695" s="57">
        <f>IF(ISERROR(IF(B695=C695,H695/C695,(INT(H695/B695)+(((H695-B695*INT(H695/B695)))/C695)/100))),0,(IF(B695=C695,H695/C695,(INT(H695/B695)+(((H695-B695*INT(H695/B695)))/C695)/100))))</f>
        <v>0</v>
      </c>
      <c r="AT695" s="57">
        <f>IF(ISERROR(IF(B695=C695,I695/C695,(INT(I695/B695)+(((I695-B695*INT(I695/B695)))/C695)/100))),0,(IF(B695=C695,I695/C695,(INT(I695/B695)+(((I695-B695*INT(I695/B695)))/C695)/100))))</f>
        <v>0</v>
      </c>
      <c r="AU695" s="57">
        <f>IF(ISERROR(IF(B695=C695,J695/C695,(INT(J695/B695)+(((J695-B695*INT(J695/B695)))/C695)/100))),0,(IF(B695=C695,J695/C695,(INT(J695/B695)+(((J695-B695*INT(J695/B695)))/C695)/100))))</f>
        <v>0</v>
      </c>
      <c r="AV695" s="57">
        <f>IF(ISERROR(IF(B695=C695,K695/C695,IF((INT(K695/B695)+(((K695-B695*INT(K695/B695)))/C695)/100)&lt;0,(INT(K695/B695)+(((K695-B695*INT(K695/B695)))/C695)/100)+(1-(B695/C695/100)),(INT(K695/B695)+(((K695-B695*INT(K695/B695)))/C695)/100)))),0,IF(B695=C695,K695/C695,IF((INT(K695/B695)+(((K695-B695*INT(K695/B695)))/C695)/100)&lt;0,(INT(K695/B695)+(((K695-B695*INT(K695/B695)))/C695)/100)+(1-(B695/C695/100)),(INT(K695/B695)+(((K695-B695*INT(K695/B695)))/C695)/100))))</f>
        <v>0</v>
      </c>
      <c r="AW695" s="57">
        <f>IF(ISERROR(IF(B695=C695,L695/C695,(INT(L695/B695)+(((L695-B695*INT(L695/B695)))/C695)/100))),0,(IF(B695=C695,L695/C695,(INT(L695/B695)+(((L695-B695*INT(L695/B695)))/C695)/100))))</f>
        <v>0</v>
      </c>
      <c r="AX695" s="57">
        <f>IF(ISERROR(IF(B695=C695,M695/C695,(INT(M695/B695)+(((M695-B695*INT(M695/B695)))/C695)/100))),0,(IF(B695=C695,M695/C695,(INT(M695/B695)+(((M695-B695*INT(M695/B695)))/C695)/100))))</f>
        <v>0</v>
      </c>
      <c r="AY695" s="57">
        <f>IF(ISERROR(IF(B695=C695,N695/C695,IF((INT(N695/B695)+(((N695-B695*INT(N695/B695)))/C695)/100)&lt;0,(INT(N695/B695)+(((N695-B695*INT(N695/B695)))/C695)/100)+(1-(B695/C695/100)),(INT(N695/B695)+(((N695-B695*INT(N695/B695)))/C695)/100)))),0,IF(B695=C695,N695/C695,IF((INT(N695/B695)+(((N695-B695*INT(N695/B695)))/C695)/100)&lt;0,(INT(N695/B695)+(((N695-B695*INT(N695/B695)))/C695)/100)+(1-(B695/C695/100)),(INT(N695/B695)+(((N695-B695*INT(N695/B695)))/C695)/100))))</f>
        <v>0</v>
      </c>
      <c r="AZ695" s="57">
        <f>IF(ISERROR(IF(B695=C695,O695/C695,(INT(O695/B695)+(((O695-B695*INT(O695/B695)))/C695)/100))),0,(IF(B695=C695,O695/C695,(INT(O695/B695)+(((O695-B695*INT(O695/B695)))/C695)/100))))</f>
        <v>0</v>
      </c>
      <c r="BA695" s="57">
        <f>IF(ISERROR(IF(B695=C695,P695/C695,IF((INT(P695/B695)+(((P695-B695*INT(P695/B695)))/C695)/100)&lt;0,(INT(P695/B695)+(((P695-B695*INT(P695/B695)))/C695)/100)+(1-(B695/C695/100)),(INT(P695/B695)+(((P695-B695*INT(P695/B695)))/C695)/100)))),0,IF(B695=C695,P695/C695,IF((INT(P695/B695)+(((P695-B695*INT(P695/B695)))/C695)/100)&lt;0,(INT(P695/B695)+(((P695-B695*INT(P695/B695)))/C695)/100)+(1-(B695/C695/100)),(INT(P695/B695)+(((P695-B695*INT(P695/B695)))/C695)/100))))</f>
        <v>0</v>
      </c>
      <c r="BB695" s="28">
        <f>R695</f>
        <v>0</v>
      </c>
      <c r="BC695" s="28">
        <f>S695</f>
        <v>0</v>
      </c>
      <c r="BD695" s="28">
        <f>AF695</f>
        <v>0</v>
      </c>
      <c r="BE695" s="28">
        <f>T695</f>
        <v>0</v>
      </c>
      <c r="BG695" s="57">
        <f>IF(ISERROR(IF(B695=C695,V695/C695,(INT(V695/B695)+(((V695-B695*INT(V695/B695)))/C695)/100))),0,(IF(B695=C695,V695/C695,(INT(V695/B695)+(((V695-B695*INT(V695/B695)))/C695)/100))))</f>
        <v>0</v>
      </c>
      <c r="BH695" s="57">
        <f>IF(ISERROR(IF(B695=C695,W695/C695,(INT(W695/B695)+(((W695-B695*INT(W695/B695)))/C695)/100))),0,(IF(B695=C695,W695/C695,(INT(W695/B695)+(((W695-B695*INT(W695/B695)))/C695)/100))))</f>
        <v>0</v>
      </c>
      <c r="BI695" s="57">
        <f>IF(ISERROR(IF(B695=C695,X695/C695,(INT(X695/B695)+(((X695-B695*INT(X695/B695)))/C695)/100))),0,(IF(B695=C695,X695/C695,(INT(X695/B695)+(((X695-B695*INT(X695/B695)))/C695)/100))))</f>
        <v>0</v>
      </c>
      <c r="BJ695" s="57">
        <f>IF(ISERROR(IF(B695=C695,Y695/C695,(INT(Y695/B695)+(((Y695-B695*INT(Y695/B695)))/C695)/100))),0,(IF(B695=C695,Y695/C695,(INT(Y695/B695)+(((Y695-B695*INT(Y695/B695)))/C695)/100))))</f>
        <v>0</v>
      </c>
      <c r="BL695" s="57">
        <f>IF(ISERROR(IF(B695=C695,AA695/C695,(INT(AA695/B695)+(((AA695-B695*INT(AA695/B695)))/C695)/100))),0,(IF(B695=C695,AA695/C695,(INT(AA695/B695)+(((AA695-B695*INT(AA695/B695)))/C695)/100))))</f>
        <v>0</v>
      </c>
      <c r="BM695" s="57">
        <f>IF(ISERROR(IF(B695=C695,AB695/C695,(INT(AB695/B695)+(((AB695-B695*INT(AB695/B695)))/C695)/100))),0,(IF(B695=C695,AB695/C695,(INT(AB695/B695)+(((AB695-B695*INT(AB695/B695)))/C695)/100))))</f>
        <v>0</v>
      </c>
      <c r="BN695" s="57">
        <f>IF(ISERROR(IF(B695=C695,AC695/C695,(INT(AC695/B695)+(((AC695-B695*INT(AC695/B695)))/C695)/100))),0,(IF(B695=C695,AC695/C695,(INT(AC695/B695)+(((AC695-B695*INT(AC695/B695)))/C695)/100))))</f>
        <v>0</v>
      </c>
      <c r="BO695" s="57">
        <f>IF(ISERROR(IF(B695=C695,AD695/C695,(INT(AD695/B695)+(((AD695-B695*INT(AD695/B695)))/C695)/100))),0,(IF(B695=C695,AD695/C695,(INT(AD695/B695)+(((AD695-B695*INT(AD695/B695)))/C695)/100))))</f>
        <v>0</v>
      </c>
      <c r="BQ695" s="155"/>
    </row>
    <row r="696" spans="1:69" x14ac:dyDescent="0.35">
      <c r="A696" s="94"/>
      <c r="B696" s="113"/>
      <c r="C696" s="113"/>
      <c r="D696" s="28"/>
      <c r="E696" s="113"/>
      <c r="F696" s="113"/>
      <c r="G696" s="28"/>
      <c r="H696" s="125"/>
      <c r="I696" s="113"/>
      <c r="J696" s="125"/>
      <c r="K696" s="113"/>
      <c r="L696" s="113"/>
      <c r="M696" s="113"/>
      <c r="N696" s="28"/>
      <c r="O696" s="28"/>
      <c r="P696" s="28"/>
      <c r="Q696" s="61"/>
      <c r="R696" s="113"/>
      <c r="S696" s="28"/>
      <c r="T696" s="28"/>
      <c r="V696" s="113"/>
      <c r="W696" s="113"/>
      <c r="X696" s="113"/>
      <c r="Y696" s="113"/>
      <c r="AA696" s="113"/>
      <c r="AB696" s="113"/>
      <c r="AC696" s="113"/>
      <c r="AD696" s="113"/>
      <c r="AF696" s="113"/>
      <c r="AG696" s="28"/>
      <c r="AH696" s="58"/>
      <c r="AI696" s="28"/>
      <c r="AJ696" s="28"/>
      <c r="AK696" s="58"/>
      <c r="AL696" s="28"/>
      <c r="AN696" s="51"/>
      <c r="AO696" s="28"/>
      <c r="AP696" s="28"/>
      <c r="AQ696" s="28"/>
      <c r="AR696" s="28"/>
      <c r="AS696" s="28"/>
      <c r="AT696" s="28"/>
      <c r="AU696" s="28"/>
      <c r="AV696" s="28"/>
      <c r="AW696" s="28"/>
      <c r="AX696" s="28"/>
      <c r="AY696" s="28"/>
      <c r="AZ696" s="28"/>
      <c r="BA696" s="166"/>
      <c r="BB696" s="28"/>
      <c r="BC696" s="28"/>
      <c r="BD696" s="28"/>
      <c r="BE696" s="28"/>
      <c r="BG696" s="28"/>
      <c r="BH696" s="28"/>
      <c r="BI696" s="28"/>
      <c r="BJ696" s="28"/>
      <c r="BL696" s="28"/>
      <c r="BM696" s="28"/>
      <c r="BN696" s="28"/>
      <c r="BO696" s="28"/>
      <c r="BQ696" s="113"/>
    </row>
    <row r="697" spans="1:69" x14ac:dyDescent="0.35">
      <c r="A697" s="135" t="s">
        <v>188</v>
      </c>
      <c r="B697" s="113"/>
      <c r="C697" s="113"/>
      <c r="D697" s="28"/>
      <c r="E697" s="113"/>
      <c r="F697" s="113"/>
      <c r="G697" s="28"/>
      <c r="H697" s="125"/>
      <c r="I697" s="113"/>
      <c r="J697" s="125"/>
      <c r="K697" s="113"/>
      <c r="L697" s="113"/>
      <c r="M697" s="113"/>
      <c r="N697" s="28"/>
      <c r="O697" s="125"/>
      <c r="P697" s="28"/>
      <c r="Q697" s="61"/>
      <c r="R697" s="113"/>
      <c r="S697" s="28"/>
      <c r="T697" s="28"/>
      <c r="V697" s="113"/>
      <c r="W697" s="113"/>
      <c r="X697" s="113"/>
      <c r="Y697" s="113"/>
      <c r="AA697" s="113"/>
      <c r="AB697" s="113"/>
      <c r="AC697" s="113"/>
      <c r="AD697" s="113"/>
      <c r="AF697" s="113"/>
      <c r="AG697" s="28"/>
      <c r="AH697" s="58"/>
      <c r="AI697" s="28"/>
      <c r="AJ697" s="28"/>
      <c r="AK697" s="58"/>
      <c r="AL697" s="28"/>
      <c r="AN697" s="65" t="str">
        <f>A697</f>
        <v>Indian Wines-750</v>
      </c>
      <c r="AO697" s="28"/>
      <c r="AP697" s="28"/>
      <c r="AQ697" s="28"/>
      <c r="AR697" s="28"/>
      <c r="AS697" s="28"/>
      <c r="AT697" s="28"/>
      <c r="AU697" s="28"/>
      <c r="AV697" s="28"/>
      <c r="AW697" s="28"/>
      <c r="AX697" s="28"/>
      <c r="AY697" s="28"/>
      <c r="AZ697" s="28"/>
      <c r="BA697" s="166"/>
      <c r="BB697" s="28"/>
      <c r="BC697" s="28"/>
      <c r="BD697" s="28"/>
      <c r="BE697" s="28"/>
      <c r="BG697" s="28"/>
      <c r="BH697" s="28"/>
      <c r="BI697" s="28"/>
      <c r="BJ697" s="28"/>
      <c r="BL697" s="28"/>
      <c r="BM697" s="28"/>
      <c r="BN697" s="28"/>
      <c r="BO697" s="28"/>
      <c r="BQ697" s="113"/>
    </row>
    <row r="698" spans="1:69" hidden="1" x14ac:dyDescent="0.35">
      <c r="A698" s="134" t="s">
        <v>187</v>
      </c>
      <c r="B698" s="113">
        <v>750</v>
      </c>
      <c r="C698" s="113">
        <v>150</v>
      </c>
      <c r="D698" s="28">
        <f>SUM(AA698:AD698)</f>
        <v>0</v>
      </c>
      <c r="E698" s="113">
        <v>0</v>
      </c>
      <c r="F698" s="113">
        <v>0</v>
      </c>
      <c r="G698" s="28">
        <f>SUM(D698:F698)</f>
        <v>0</v>
      </c>
      <c r="H698" s="125">
        <v>0</v>
      </c>
      <c r="I698" s="113">
        <v>0</v>
      </c>
      <c r="J698" s="125">
        <v>0</v>
      </c>
      <c r="K698" s="113">
        <v>0</v>
      </c>
      <c r="L698" s="113">
        <v>0</v>
      </c>
      <c r="M698" s="113">
        <v>0</v>
      </c>
      <c r="N698" s="28">
        <f>G698-SUM(H698:M698)</f>
        <v>0</v>
      </c>
      <c r="O698" s="28">
        <f>SUM(V698:Y698)</f>
        <v>0</v>
      </c>
      <c r="P698" s="28">
        <f>O698-N698</f>
        <v>0</v>
      </c>
      <c r="Q698" s="61" t="str">
        <f>IF(ISERROR(P698/SUM(H698:L698)),"",P698/SUM(H698:L698))</f>
        <v/>
      </c>
      <c r="R698" s="113">
        <v>250</v>
      </c>
      <c r="S698" s="28">
        <f>IF(ISERROR(P698/C698*R698),0,(P698/C698*R698))</f>
        <v>0</v>
      </c>
      <c r="T698" s="60">
        <f>IF(ISERROR(P698/B698*AF698),0,(P698/B698*AF698))</f>
        <v>0</v>
      </c>
      <c r="V698" s="113">
        <v>0</v>
      </c>
      <c r="W698" s="113">
        <v>0</v>
      </c>
      <c r="X698" s="113">
        <v>0</v>
      </c>
      <c r="Y698" s="113">
        <v>0</v>
      </c>
      <c r="AA698" s="113">
        <v>0</v>
      </c>
      <c r="AB698" s="113">
        <v>0</v>
      </c>
      <c r="AC698" s="113">
        <v>0</v>
      </c>
      <c r="AD698" s="113">
        <v>0</v>
      </c>
      <c r="AF698" s="113">
        <v>586.36666666666667</v>
      </c>
      <c r="AG698" s="28">
        <f>G698-O698</f>
        <v>0</v>
      </c>
      <c r="AH698" s="58">
        <f>IF(ISERROR(AG698/B698*AF698),0,(AG698/B698*AF698))</f>
        <v>0</v>
      </c>
      <c r="AI698" s="28">
        <f>SUM(H698:M698)</f>
        <v>0</v>
      </c>
      <c r="AJ698" s="28">
        <f>IF(ISERROR(AI698/B698*AF698),0,(AI698/B698*AF698))</f>
        <v>0</v>
      </c>
      <c r="AK698" s="58">
        <f>IF(ISERROR(O698/B698*AF698),0,(O698/B698*AF698))</f>
        <v>0</v>
      </c>
      <c r="AL698" s="28">
        <f>IF(ISERROR(H698/B698*AF698),0,(H698/B698*AF698))</f>
        <v>0</v>
      </c>
      <c r="AN698" s="51" t="str">
        <f>A698</f>
        <v xml:space="preserve">Four Seasons Cabernet Sauvignon </v>
      </c>
      <c r="AO698" s="57">
        <f>IF(ISERROR(IF(B698=C698,D698/C698,(INT(D698/B698)+(((D698-B698*INT(D698/B698)))/C698)/100))),0,(IF(B698=C698,D698/C698,(INT(D698/B698)+(((D698-B698*INT(D698/B698)))/C698)/100))))</f>
        <v>0</v>
      </c>
      <c r="AP698" s="57">
        <f>IF(ISERROR(IF(B698=C698,E698/C698,(INT(E698/B698)+(((E698-B698*INT(E698/B698)))/C698)/100))),0,(IF(B698=C698,E698/C698,(INT(E698/B698)+(((E698-B698*INT(E698/B698)))/C698)/100))))</f>
        <v>0</v>
      </c>
      <c r="AQ698" s="57">
        <f>IF(ISERROR(IF(B698=C698,F698/C698,IF((INT(F698/B698)+(((F698-B698*INT(F698/B698)))/C698)/100)&lt;0,(INT(F698/B698)+(((F698-B698*INT(F698/B698)))/C698)/100)+(1-(B698/C698/100)),(INT(F698/B698)+(((F698-B698*INT(F698/B698)))/C698)/100)))),0,IF(B698=C698,F698/C698,IF((INT(F698/B698)+(((F698-B698*INT(F698/B698)))/C698)/100)&lt;0,(INT(F698/B698)+(((F698-B698*INT(F698/B698)))/C698)/100)+(1-(B698/C698/100)),(INT(F698/B698)+(((F698-B698*INT(F698/B698)))/C698)/100))))</f>
        <v>0</v>
      </c>
      <c r="AR698" s="57">
        <f>IF(ISERROR(IF(B698=C698,G698/C698,(INT(G698/B698)+(((G698-B698*INT(G698/B698)))/C698)/100))),0,(IF(B698=C698,G698/C698,(INT(G698/B698)+(((G698-B698*INT(G698/B698)))/C698)/100))))</f>
        <v>0</v>
      </c>
      <c r="AS698" s="57">
        <f>IF(ISERROR(IF(B698=C698,H698/C698,(INT(H698/B698)+(((H698-B698*INT(H698/B698)))/C698)/100))),0,(IF(B698=C698,H698/C698,(INT(H698/B698)+(((H698-B698*INT(H698/B698)))/C698)/100))))</f>
        <v>0</v>
      </c>
      <c r="AT698" s="57">
        <f>IF(ISERROR(IF(B698=C698,I698/C698,(INT(I698/B698)+(((I698-B698*INT(I698/B698)))/C698)/100))),0,(IF(B698=C698,I698/C698,(INT(I698/B698)+(((I698-B698*INT(I698/B698)))/C698)/100))))</f>
        <v>0</v>
      </c>
      <c r="AU698" s="57">
        <f>IF(ISERROR(IF(B698=C698,J698/C698,(INT(J698/B698)+(((J698-B698*INT(J698/B698)))/C698)/100))),0,(IF(B698=C698,J698/C698,(INT(J698/B698)+(((J698-B698*INT(J698/B698)))/C698)/100))))</f>
        <v>0</v>
      </c>
      <c r="AV698" s="57">
        <f>IF(ISERROR(IF(B698=C698,K698/C698,IF((INT(K698/B698)+(((K698-B698*INT(K698/B698)))/C698)/100)&lt;0,(INT(K698/B698)+(((K698-B698*INT(K698/B698)))/C698)/100)+(1-(B698/C698/100)),(INT(K698/B698)+(((K698-B698*INT(K698/B698)))/C698)/100)))),0,IF(B698=C698,K698/C698,IF((INT(K698/B698)+(((K698-B698*INT(K698/B698)))/C698)/100)&lt;0,(INT(K698/B698)+(((K698-B698*INT(K698/B698)))/C698)/100)+(1-(B698/C698/100)),(INT(K698/B698)+(((K698-B698*INT(K698/B698)))/C698)/100))))</f>
        <v>0</v>
      </c>
      <c r="AW698" s="57">
        <f>IF(ISERROR(IF(B698=C698,L698/C698,(INT(L698/B698)+(((L698-B698*INT(L698/B698)))/C698)/100))),0,(IF(B698=C698,L698/C698,(INT(L698/B698)+(((L698-B698*INT(L698/B698)))/C698)/100))))</f>
        <v>0</v>
      </c>
      <c r="AX698" s="57">
        <f>IF(ISERROR(IF(B698=C698,M698/C698,(INT(M698/B698)+(((M698-B698*INT(M698/B698)))/C698)/100))),0,(IF(B698=C698,M698/C698,(INT(M698/B698)+(((M698-B698*INT(M698/B698)))/C698)/100))))</f>
        <v>0</v>
      </c>
      <c r="AY698" s="57">
        <f>IF(ISERROR(IF(B698=C698,N698/C698,IF((INT(N698/B698)+(((N698-B698*INT(N698/B698)))/C698)/100)&lt;0,(INT(N698/B698)+(((N698-B698*INT(N698/B698)))/C698)/100)+(1-(B698/C698/100)),(INT(N698/B698)+(((N698-B698*INT(N698/B698)))/C698)/100)))),0,IF(B698=C698,N698/C698,IF((INT(N698/B698)+(((N698-B698*INT(N698/B698)))/C698)/100)&lt;0,(INT(N698/B698)+(((N698-B698*INT(N698/B698)))/C698)/100)+(1-(B698/C698/100)),(INT(N698/B698)+(((N698-B698*INT(N698/B698)))/C698)/100))))</f>
        <v>0</v>
      </c>
      <c r="AZ698" s="57">
        <f>IF(ISERROR(IF(B698=C698,O698/C698,(INT(O698/B698)+(((O698-B698*INT(O698/B698)))/C698)/100))),0,(IF(B698=C698,O698/C698,(INT(O698/B698)+(((O698-B698*INT(O698/B698)))/C698)/100))))</f>
        <v>0</v>
      </c>
      <c r="BA698" s="57">
        <f>IF(ISERROR(IF(B698=C698,P698/C698,IF((INT(P698/B698)+(((P698-B698*INT(P698/B698)))/C698)/100)&lt;0,(INT(P698/B698)+(((P698-B698*INT(P698/B698)))/C698)/100)+(1-(B698/C698/100)),(INT(P698/B698)+(((P698-B698*INT(P698/B698)))/C698)/100)))),0,IF(B698=C698,P698/C698,IF((INT(P698/B698)+(((P698-B698*INT(P698/B698)))/C698)/100)&lt;0,(INT(P698/B698)+(((P698-B698*INT(P698/B698)))/C698)/100)+(1-(B698/C698/100)),(INT(P698/B698)+(((P698-B698*INT(P698/B698)))/C698)/100))))</f>
        <v>0</v>
      </c>
      <c r="BB698" s="28">
        <f>R698</f>
        <v>250</v>
      </c>
      <c r="BC698" s="28">
        <f>S698</f>
        <v>0</v>
      </c>
      <c r="BD698" s="28">
        <f>AF698</f>
        <v>586.36666666666667</v>
      </c>
      <c r="BE698" s="28">
        <f>T698</f>
        <v>0</v>
      </c>
      <c r="BG698" s="57">
        <f>IF(ISERROR(IF(B698=C698,V698/C698,(INT(V698/B698)+(((V698-B698*INT(V698/B698)))/C698)/100))),0,(IF(B698=C698,V698/C698,(INT(V698/B698)+(((V698-B698*INT(V698/B698)))/C698)/100))))</f>
        <v>0</v>
      </c>
      <c r="BH698" s="57">
        <f>IF(ISERROR(IF(B698=C698,W698/C698,(INT(W698/B698)+(((W698-B698*INT(W698/B698)))/C698)/100))),0,(IF(B698=C698,W698/C698,(INT(W698/B698)+(((W698-B698*INT(W698/B698)))/C698)/100))))</f>
        <v>0</v>
      </c>
      <c r="BI698" s="57">
        <f>IF(ISERROR(IF(B698=C698,X698/C698,(INT(X698/B698)+(((X698-B698*INT(X698/B698)))/C698)/100))),0,(IF(B698=C698,X698/C698,(INT(X698/B698)+(((X698-B698*INT(X698/B698)))/C698)/100))))</f>
        <v>0</v>
      </c>
      <c r="BJ698" s="57">
        <f>IF(ISERROR(IF(B698=C698,Y698/C698,(INT(Y698/B698)+(((Y698-B698*INT(Y698/B698)))/C698)/100))),0,(IF(B698=C698,Y698/C698,(INT(Y698/B698)+(((Y698-B698*INT(Y698/B698)))/C698)/100))))</f>
        <v>0</v>
      </c>
      <c r="BL698" s="57">
        <f>IF(ISERROR(IF(B698=C698,AA698/C698,(INT(AA698/B698)+(((AA698-B698*INT(AA698/B698)))/C698)/100))),0,(IF(B698=C698,AA698/C698,(INT(AA698/B698)+(((AA698-B698*INT(AA698/B698)))/C698)/100))))</f>
        <v>0</v>
      </c>
      <c r="BM698" s="57">
        <f>IF(ISERROR(IF(B698=C698,AB698/C698,(INT(AB698/B698)+(((AB698-B698*INT(AB698/B698)))/C698)/100))),0,(IF(B698=C698,AB698/C698,(INT(AB698/B698)+(((AB698-B698*INT(AB698/B698)))/C698)/100))))</f>
        <v>0</v>
      </c>
      <c r="BN698" s="57">
        <f>IF(ISERROR(IF(B698=C698,AC698/C698,(INT(AC698/B698)+(((AC698-B698*INT(AC698/B698)))/C698)/100))),0,(IF(B698=C698,AC698/C698,(INT(AC698/B698)+(((AC698-B698*INT(AC698/B698)))/C698)/100))))</f>
        <v>0</v>
      </c>
      <c r="BO698" s="57">
        <f>IF(ISERROR(IF(B698=C698,AD698/C698,(INT(AD698/B698)+(((AD698-B698*INT(AD698/B698)))/C698)/100))),0,(IF(B698=C698,AD698/C698,(INT(AD698/B698)+(((AD698-B698*INT(AD698/B698)))/C698)/100))))</f>
        <v>0</v>
      </c>
      <c r="BQ698" s="155" t="s">
        <v>173</v>
      </c>
    </row>
    <row r="699" spans="1:69" hidden="1" x14ac:dyDescent="0.35">
      <c r="A699" s="134" t="s">
        <v>186</v>
      </c>
      <c r="B699" s="113">
        <v>750</v>
      </c>
      <c r="C699" s="113">
        <v>150</v>
      </c>
      <c r="D699" s="28">
        <f>SUM(AA699:AD699)</f>
        <v>0</v>
      </c>
      <c r="E699" s="113">
        <v>0</v>
      </c>
      <c r="F699" s="113">
        <v>0</v>
      </c>
      <c r="G699" s="28">
        <f>SUM(D699:F699)</f>
        <v>0</v>
      </c>
      <c r="H699" s="125">
        <v>0</v>
      </c>
      <c r="I699" s="113">
        <v>0</v>
      </c>
      <c r="J699" s="125">
        <v>0</v>
      </c>
      <c r="K699" s="113">
        <v>0</v>
      </c>
      <c r="L699" s="113">
        <v>0</v>
      </c>
      <c r="M699" s="113">
        <v>0</v>
      </c>
      <c r="N699" s="28">
        <f>G699-SUM(H699:M699)</f>
        <v>0</v>
      </c>
      <c r="O699" s="28">
        <f>SUM(V699:Y699)</f>
        <v>0</v>
      </c>
      <c r="P699" s="28">
        <f>O699-N699</f>
        <v>0</v>
      </c>
      <c r="Q699" s="61" t="str">
        <f>IF(ISERROR(P699/SUM(H699:L699)),"",P699/SUM(H699:L699))</f>
        <v/>
      </c>
      <c r="R699" s="113">
        <v>250</v>
      </c>
      <c r="S699" s="28">
        <f>IF(ISERROR(P699/C699*R699),0,(P699/C699*R699))</f>
        <v>0</v>
      </c>
      <c r="T699" s="60">
        <f>IF(ISERROR(P699/B699*AF699),0,(P699/B699*AF699))</f>
        <v>0</v>
      </c>
      <c r="V699" s="113">
        <v>0</v>
      </c>
      <c r="W699" s="113">
        <v>0</v>
      </c>
      <c r="X699" s="113">
        <v>0</v>
      </c>
      <c r="Y699" s="113">
        <v>0</v>
      </c>
      <c r="AA699" s="113">
        <v>0</v>
      </c>
      <c r="AB699" s="113">
        <v>0</v>
      </c>
      <c r="AC699" s="113">
        <v>0</v>
      </c>
      <c r="AD699" s="113">
        <v>0</v>
      </c>
      <c r="AF699" s="113">
        <v>586.36666666666667</v>
      </c>
      <c r="AG699" s="28">
        <f>G699-O699</f>
        <v>0</v>
      </c>
      <c r="AH699" s="58">
        <f>IF(ISERROR(AG699/B699*AF699),0,(AG699/B699*AF699))</f>
        <v>0</v>
      </c>
      <c r="AI699" s="28">
        <f>SUM(H699:M699)</f>
        <v>0</v>
      </c>
      <c r="AJ699" s="28">
        <f>IF(ISERROR(AI699/B699*AF699),0,(AI699/B699*AF699))</f>
        <v>0</v>
      </c>
      <c r="AK699" s="58">
        <f>IF(ISERROR(O699/B699*AF699),0,(O699/B699*AF699))</f>
        <v>0</v>
      </c>
      <c r="AL699" s="28">
        <f>IF(ISERROR(H699/B699*AF699),0,(H699/B699*AF699))</f>
        <v>0</v>
      </c>
      <c r="AN699" s="51" t="str">
        <f>A699</f>
        <v xml:space="preserve">Four Seasons Classic Sauvingnon </v>
      </c>
      <c r="AO699" s="57">
        <f>IF(ISERROR(IF(B699=C699,D699/C699,(INT(D699/B699)+(((D699-B699*INT(D699/B699)))/C699)/100))),0,(IF(B699=C699,D699/C699,(INT(D699/B699)+(((D699-B699*INT(D699/B699)))/C699)/100))))</f>
        <v>0</v>
      </c>
      <c r="AP699" s="57">
        <f>IF(ISERROR(IF(B699=C699,E699/C699,(INT(E699/B699)+(((E699-B699*INT(E699/B699)))/C699)/100))),0,(IF(B699=C699,E699/C699,(INT(E699/B699)+(((E699-B699*INT(E699/B699)))/C699)/100))))</f>
        <v>0</v>
      </c>
      <c r="AQ699" s="57">
        <f>IF(ISERROR(IF(B699=C699,F699/C699,IF((INT(F699/B699)+(((F699-B699*INT(F699/B699)))/C699)/100)&lt;0,(INT(F699/B699)+(((F699-B699*INT(F699/B699)))/C699)/100)+(1-(B699/C699/100)),(INT(F699/B699)+(((F699-B699*INT(F699/B699)))/C699)/100)))),0,IF(B699=C699,F699/C699,IF((INT(F699/B699)+(((F699-B699*INT(F699/B699)))/C699)/100)&lt;0,(INT(F699/B699)+(((F699-B699*INT(F699/B699)))/C699)/100)+(1-(B699/C699/100)),(INT(F699/B699)+(((F699-B699*INT(F699/B699)))/C699)/100))))</f>
        <v>0</v>
      </c>
      <c r="AR699" s="57">
        <f>IF(ISERROR(IF(B699=C699,G699/C699,(INT(G699/B699)+(((G699-B699*INT(G699/B699)))/C699)/100))),0,(IF(B699=C699,G699/C699,(INT(G699/B699)+(((G699-B699*INT(G699/B699)))/C699)/100))))</f>
        <v>0</v>
      </c>
      <c r="AS699" s="57">
        <f>IF(ISERROR(IF(B699=C699,H699/C699,(INT(H699/B699)+(((H699-B699*INT(H699/B699)))/C699)/100))),0,(IF(B699=C699,H699/C699,(INT(H699/B699)+(((H699-B699*INT(H699/B699)))/C699)/100))))</f>
        <v>0</v>
      </c>
      <c r="AT699" s="57">
        <f>IF(ISERROR(IF(B699=C699,I699/C699,(INT(I699/B699)+(((I699-B699*INT(I699/B699)))/C699)/100))),0,(IF(B699=C699,I699/C699,(INT(I699/B699)+(((I699-B699*INT(I699/B699)))/C699)/100))))</f>
        <v>0</v>
      </c>
      <c r="AU699" s="57">
        <f>IF(ISERROR(IF(B699=C699,J699/C699,(INT(J699/B699)+(((J699-B699*INT(J699/B699)))/C699)/100))),0,(IF(B699=C699,J699/C699,(INT(J699/B699)+(((J699-B699*INT(J699/B699)))/C699)/100))))</f>
        <v>0</v>
      </c>
      <c r="AV699" s="57">
        <f>IF(ISERROR(IF(B699=C699,K699/C699,IF((INT(K699/B699)+(((K699-B699*INT(K699/B699)))/C699)/100)&lt;0,(INT(K699/B699)+(((K699-B699*INT(K699/B699)))/C699)/100)+(1-(B699/C699/100)),(INT(K699/B699)+(((K699-B699*INT(K699/B699)))/C699)/100)))),0,IF(B699=C699,K699/C699,IF((INT(K699/B699)+(((K699-B699*INT(K699/B699)))/C699)/100)&lt;0,(INT(K699/B699)+(((K699-B699*INT(K699/B699)))/C699)/100)+(1-(B699/C699/100)),(INT(K699/B699)+(((K699-B699*INT(K699/B699)))/C699)/100))))</f>
        <v>0</v>
      </c>
      <c r="AW699" s="57">
        <f>IF(ISERROR(IF(B699=C699,L699/C699,(INT(L699/B699)+(((L699-B699*INT(L699/B699)))/C699)/100))),0,(IF(B699=C699,L699/C699,(INT(L699/B699)+(((L699-B699*INT(L699/B699)))/C699)/100))))</f>
        <v>0</v>
      </c>
      <c r="AX699" s="57">
        <f>IF(ISERROR(IF(B699=C699,M699/C699,(INT(M699/B699)+(((M699-B699*INT(M699/B699)))/C699)/100))),0,(IF(B699=C699,M699/C699,(INT(M699/B699)+(((M699-B699*INT(M699/B699)))/C699)/100))))</f>
        <v>0</v>
      </c>
      <c r="AY699" s="57">
        <f>IF(ISERROR(IF(B699=C699,N699/C699,IF((INT(N699/B699)+(((N699-B699*INT(N699/B699)))/C699)/100)&lt;0,(INT(N699/B699)+(((N699-B699*INT(N699/B699)))/C699)/100)+(1-(B699/C699/100)),(INT(N699/B699)+(((N699-B699*INT(N699/B699)))/C699)/100)))),0,IF(B699=C699,N699/C699,IF((INT(N699/B699)+(((N699-B699*INT(N699/B699)))/C699)/100)&lt;0,(INT(N699/B699)+(((N699-B699*INT(N699/B699)))/C699)/100)+(1-(B699/C699/100)),(INT(N699/B699)+(((N699-B699*INT(N699/B699)))/C699)/100))))</f>
        <v>0</v>
      </c>
      <c r="AZ699" s="57">
        <f>IF(ISERROR(IF(B699=C699,O699/C699,(INT(O699/B699)+(((O699-B699*INT(O699/B699)))/C699)/100))),0,(IF(B699=C699,O699/C699,(INT(O699/B699)+(((O699-B699*INT(O699/B699)))/C699)/100))))</f>
        <v>0</v>
      </c>
      <c r="BA699" s="57">
        <f>IF(ISERROR(IF(B699=C699,P699/C699,IF((INT(P699/B699)+(((P699-B699*INT(P699/B699)))/C699)/100)&lt;0,(INT(P699/B699)+(((P699-B699*INT(P699/B699)))/C699)/100)+(1-(B699/C699/100)),(INT(P699/B699)+(((P699-B699*INT(P699/B699)))/C699)/100)))),0,IF(B699=C699,P699/C699,IF((INT(P699/B699)+(((P699-B699*INT(P699/B699)))/C699)/100)&lt;0,(INT(P699/B699)+(((P699-B699*INT(P699/B699)))/C699)/100)+(1-(B699/C699/100)),(INT(P699/B699)+(((P699-B699*INT(P699/B699)))/C699)/100))))</f>
        <v>0</v>
      </c>
      <c r="BB699" s="28">
        <f>R699</f>
        <v>250</v>
      </c>
      <c r="BC699" s="28">
        <f>S699</f>
        <v>0</v>
      </c>
      <c r="BD699" s="28">
        <f>AF699</f>
        <v>586.36666666666667</v>
      </c>
      <c r="BE699" s="28">
        <f>T699</f>
        <v>0</v>
      </c>
      <c r="BG699" s="57">
        <f>IF(ISERROR(IF(B699=C699,V699/C699,(INT(V699/B699)+(((V699-B699*INT(V699/B699)))/C699)/100))),0,(IF(B699=C699,V699/C699,(INT(V699/B699)+(((V699-B699*INT(V699/B699)))/C699)/100))))</f>
        <v>0</v>
      </c>
      <c r="BH699" s="57">
        <f>IF(ISERROR(IF(B699=C699,W699/C699,(INT(W699/B699)+(((W699-B699*INT(W699/B699)))/C699)/100))),0,(IF(B699=C699,W699/C699,(INT(W699/B699)+(((W699-B699*INT(W699/B699)))/C699)/100))))</f>
        <v>0</v>
      </c>
      <c r="BI699" s="57">
        <f>IF(ISERROR(IF(B699=C699,X699/C699,(INT(X699/B699)+(((X699-B699*INT(X699/B699)))/C699)/100))),0,(IF(B699=C699,X699/C699,(INT(X699/B699)+(((X699-B699*INT(X699/B699)))/C699)/100))))</f>
        <v>0</v>
      </c>
      <c r="BJ699" s="57">
        <f>IF(ISERROR(IF(B699=C699,Y699/C699,(INT(Y699/B699)+(((Y699-B699*INT(Y699/B699)))/C699)/100))),0,(IF(B699=C699,Y699/C699,(INT(Y699/B699)+(((Y699-B699*INT(Y699/B699)))/C699)/100))))</f>
        <v>0</v>
      </c>
      <c r="BL699" s="57">
        <f>IF(ISERROR(IF(B699=C699,AA699/C699,(INT(AA699/B699)+(((AA699-B699*INT(AA699/B699)))/C699)/100))),0,(IF(B699=C699,AA699/C699,(INT(AA699/B699)+(((AA699-B699*INT(AA699/B699)))/C699)/100))))</f>
        <v>0</v>
      </c>
      <c r="BM699" s="57">
        <f>IF(ISERROR(IF(B699=C699,AB699/C699,(INT(AB699/B699)+(((AB699-B699*INT(AB699/B699)))/C699)/100))),0,(IF(B699=C699,AB699/C699,(INT(AB699/B699)+(((AB699-B699*INT(AB699/B699)))/C699)/100))))</f>
        <v>0</v>
      </c>
      <c r="BN699" s="57">
        <f>IF(ISERROR(IF(B699=C699,AC699/C699,(INT(AC699/B699)+(((AC699-B699*INT(AC699/B699)))/C699)/100))),0,(IF(B699=C699,AC699/C699,(INT(AC699/B699)+(((AC699-B699*INT(AC699/B699)))/C699)/100))))</f>
        <v>0</v>
      </c>
      <c r="BO699" s="57">
        <f>IF(ISERROR(IF(B699=C699,AD699/C699,(INT(AD699/B699)+(((AD699-B699*INT(AD699/B699)))/C699)/100))),0,(IF(B699=C699,AD699/C699,(INT(AD699/B699)+(((AD699-B699*INT(AD699/B699)))/C699)/100))))</f>
        <v>0</v>
      </c>
      <c r="BQ699" s="155" t="s">
        <v>173</v>
      </c>
    </row>
    <row r="700" spans="1:69" hidden="1" x14ac:dyDescent="0.35">
      <c r="A700" s="134" t="s">
        <v>185</v>
      </c>
      <c r="B700" s="113">
        <v>750</v>
      </c>
      <c r="C700" s="113">
        <v>150</v>
      </c>
      <c r="D700" s="28">
        <f>SUM(AA700:AD700)</f>
        <v>0</v>
      </c>
      <c r="E700" s="113">
        <v>0</v>
      </c>
      <c r="F700" s="113">
        <v>0</v>
      </c>
      <c r="G700" s="28">
        <f>SUM(D700:F700)</f>
        <v>0</v>
      </c>
      <c r="H700" s="125">
        <v>0</v>
      </c>
      <c r="I700" s="113">
        <v>0</v>
      </c>
      <c r="J700" s="125">
        <v>0</v>
      </c>
      <c r="K700" s="113">
        <v>0</v>
      </c>
      <c r="L700" s="113">
        <v>0</v>
      </c>
      <c r="M700" s="113">
        <v>0</v>
      </c>
      <c r="N700" s="28">
        <f>G700-SUM(H700:M700)</f>
        <v>0</v>
      </c>
      <c r="O700" s="28">
        <f>SUM(V700:Y700)</f>
        <v>0</v>
      </c>
      <c r="P700" s="28">
        <f>O700-N700</f>
        <v>0</v>
      </c>
      <c r="Q700" s="61" t="str">
        <f>IF(ISERROR(P700/SUM(H700:L700)),"",P700/SUM(H700:L700))</f>
        <v/>
      </c>
      <c r="R700" s="113">
        <v>250</v>
      </c>
      <c r="S700" s="28">
        <f>IF(ISERROR(P700/C700*R700),0,(P700/C700*R700))</f>
        <v>0</v>
      </c>
      <c r="T700" s="60">
        <f>IF(ISERROR(P700/B700*AF700),0,(P700/B700*AF700))</f>
        <v>0</v>
      </c>
      <c r="V700" s="113">
        <v>0</v>
      </c>
      <c r="W700" s="113">
        <v>0</v>
      </c>
      <c r="X700" s="113">
        <v>0</v>
      </c>
      <c r="Y700" s="113">
        <v>0</v>
      </c>
      <c r="AA700" s="113">
        <v>0</v>
      </c>
      <c r="AB700" s="113">
        <v>0</v>
      </c>
      <c r="AC700" s="113">
        <v>0</v>
      </c>
      <c r="AD700" s="113">
        <v>0</v>
      </c>
      <c r="AF700" s="113">
        <v>590.91250000000002</v>
      </c>
      <c r="AG700" s="28">
        <f>G700-O700</f>
        <v>0</v>
      </c>
      <c r="AH700" s="58">
        <f>IF(ISERROR(AG700/B700*AF700),0,(AG700/B700*AF700))</f>
        <v>0</v>
      </c>
      <c r="AI700" s="28">
        <f>SUM(H700:M700)</f>
        <v>0</v>
      </c>
      <c r="AJ700" s="28">
        <f>IF(ISERROR(AI700/B700*AF700),0,(AI700/B700*AF700))</f>
        <v>0</v>
      </c>
      <c r="AK700" s="58">
        <f>IF(ISERROR(O700/B700*AF700),0,(O700/B700*AF700))</f>
        <v>0</v>
      </c>
      <c r="AL700" s="28">
        <f>IF(ISERROR(H700/B700*AF700),0,(H700/B700*AF700))</f>
        <v>0</v>
      </c>
      <c r="AN700" s="51" t="str">
        <f>A700</f>
        <v xml:space="preserve">Four Seasons Classic Viognier </v>
      </c>
      <c r="AO700" s="57">
        <f>IF(ISERROR(IF(B700=C700,D700/C700,(INT(D700/B700)+(((D700-B700*INT(D700/B700)))/C700)/100))),0,(IF(B700=C700,D700/C700,(INT(D700/B700)+(((D700-B700*INT(D700/B700)))/C700)/100))))</f>
        <v>0</v>
      </c>
      <c r="AP700" s="57">
        <f>IF(ISERROR(IF(B700=C700,E700/C700,(INT(E700/B700)+(((E700-B700*INT(E700/B700)))/C700)/100))),0,(IF(B700=C700,E700/C700,(INT(E700/B700)+(((E700-B700*INT(E700/B700)))/C700)/100))))</f>
        <v>0</v>
      </c>
      <c r="AQ700" s="57">
        <f>IF(ISERROR(IF(B700=C700,F700/C700,IF((INT(F700/B700)+(((F700-B700*INT(F700/B700)))/C700)/100)&lt;0,(INT(F700/B700)+(((F700-B700*INT(F700/B700)))/C700)/100)+(1-(B700/C700/100)),(INT(F700/B700)+(((F700-B700*INT(F700/B700)))/C700)/100)))),0,IF(B700=C700,F700/C700,IF((INT(F700/B700)+(((F700-B700*INT(F700/B700)))/C700)/100)&lt;0,(INT(F700/B700)+(((F700-B700*INT(F700/B700)))/C700)/100)+(1-(B700/C700/100)),(INT(F700/B700)+(((F700-B700*INT(F700/B700)))/C700)/100))))</f>
        <v>0</v>
      </c>
      <c r="AR700" s="57">
        <f>IF(ISERROR(IF(B700=C700,G700/C700,(INT(G700/B700)+(((G700-B700*INT(G700/B700)))/C700)/100))),0,(IF(B700=C700,G700/C700,(INT(G700/B700)+(((G700-B700*INT(G700/B700)))/C700)/100))))</f>
        <v>0</v>
      </c>
      <c r="AS700" s="57">
        <f>IF(ISERROR(IF(B700=C700,H700/C700,(INT(H700/B700)+(((H700-B700*INT(H700/B700)))/C700)/100))),0,(IF(B700=C700,H700/C700,(INT(H700/B700)+(((H700-B700*INT(H700/B700)))/C700)/100))))</f>
        <v>0</v>
      </c>
      <c r="AT700" s="57">
        <f>IF(ISERROR(IF(B700=C700,I700/C700,(INT(I700/B700)+(((I700-B700*INT(I700/B700)))/C700)/100))),0,(IF(B700=C700,I700/C700,(INT(I700/B700)+(((I700-B700*INT(I700/B700)))/C700)/100))))</f>
        <v>0</v>
      </c>
      <c r="AU700" s="57">
        <f>IF(ISERROR(IF(B700=C700,J700/C700,(INT(J700/B700)+(((J700-B700*INT(J700/B700)))/C700)/100))),0,(IF(B700=C700,J700/C700,(INT(J700/B700)+(((J700-B700*INT(J700/B700)))/C700)/100))))</f>
        <v>0</v>
      </c>
      <c r="AV700" s="57">
        <f>IF(ISERROR(IF(B700=C700,K700/C700,IF((INT(K700/B700)+(((K700-B700*INT(K700/B700)))/C700)/100)&lt;0,(INT(K700/B700)+(((K700-B700*INT(K700/B700)))/C700)/100)+(1-(B700/C700/100)),(INT(K700/B700)+(((K700-B700*INT(K700/B700)))/C700)/100)))),0,IF(B700=C700,K700/C700,IF((INT(K700/B700)+(((K700-B700*INT(K700/B700)))/C700)/100)&lt;0,(INT(K700/B700)+(((K700-B700*INT(K700/B700)))/C700)/100)+(1-(B700/C700/100)),(INT(K700/B700)+(((K700-B700*INT(K700/B700)))/C700)/100))))</f>
        <v>0</v>
      </c>
      <c r="AW700" s="57">
        <f>IF(ISERROR(IF(B700=C700,L700/C700,(INT(L700/B700)+(((L700-B700*INT(L700/B700)))/C700)/100))),0,(IF(B700=C700,L700/C700,(INT(L700/B700)+(((L700-B700*INT(L700/B700)))/C700)/100))))</f>
        <v>0</v>
      </c>
      <c r="AX700" s="57">
        <f>IF(ISERROR(IF(B700=C700,M700/C700,(INT(M700/B700)+(((M700-B700*INT(M700/B700)))/C700)/100))),0,(IF(B700=C700,M700/C700,(INT(M700/B700)+(((M700-B700*INT(M700/B700)))/C700)/100))))</f>
        <v>0</v>
      </c>
      <c r="AY700" s="57">
        <f>IF(ISERROR(IF(B700=C700,N700/C700,IF((INT(N700/B700)+(((N700-B700*INT(N700/B700)))/C700)/100)&lt;0,(INT(N700/B700)+(((N700-B700*INT(N700/B700)))/C700)/100)+(1-(B700/C700/100)),(INT(N700/B700)+(((N700-B700*INT(N700/B700)))/C700)/100)))),0,IF(B700=C700,N700/C700,IF((INT(N700/B700)+(((N700-B700*INT(N700/B700)))/C700)/100)&lt;0,(INT(N700/B700)+(((N700-B700*INT(N700/B700)))/C700)/100)+(1-(B700/C700/100)),(INT(N700/B700)+(((N700-B700*INT(N700/B700)))/C700)/100))))</f>
        <v>0</v>
      </c>
      <c r="AZ700" s="57">
        <f>IF(ISERROR(IF(B700=C700,O700/C700,(INT(O700/B700)+(((O700-B700*INT(O700/B700)))/C700)/100))),0,(IF(B700=C700,O700/C700,(INT(O700/B700)+(((O700-B700*INT(O700/B700)))/C700)/100))))</f>
        <v>0</v>
      </c>
      <c r="BA700" s="57">
        <f>IF(ISERROR(IF(B700=C700,P700/C700,IF((INT(P700/B700)+(((P700-B700*INT(P700/B700)))/C700)/100)&lt;0,(INT(P700/B700)+(((P700-B700*INT(P700/B700)))/C700)/100)+(1-(B700/C700/100)),(INT(P700/B700)+(((P700-B700*INT(P700/B700)))/C700)/100)))),0,IF(B700=C700,P700/C700,IF((INT(P700/B700)+(((P700-B700*INT(P700/B700)))/C700)/100)&lt;0,(INT(P700/B700)+(((P700-B700*INT(P700/B700)))/C700)/100)+(1-(B700/C700/100)),(INT(P700/B700)+(((P700-B700*INT(P700/B700)))/C700)/100))))</f>
        <v>0</v>
      </c>
      <c r="BB700" s="28">
        <f>R700</f>
        <v>250</v>
      </c>
      <c r="BC700" s="28">
        <f>S700</f>
        <v>0</v>
      </c>
      <c r="BD700" s="28">
        <f>AF700</f>
        <v>590.91250000000002</v>
      </c>
      <c r="BE700" s="28">
        <f>T700</f>
        <v>0</v>
      </c>
      <c r="BG700" s="57">
        <f>IF(ISERROR(IF(B700=C700,V700/C700,(INT(V700/B700)+(((V700-B700*INT(V700/B700)))/C700)/100))),0,(IF(B700=C700,V700/C700,(INT(V700/B700)+(((V700-B700*INT(V700/B700)))/C700)/100))))</f>
        <v>0</v>
      </c>
      <c r="BH700" s="57">
        <f>IF(ISERROR(IF(B700=C700,W700/C700,(INT(W700/B700)+(((W700-B700*INT(W700/B700)))/C700)/100))),0,(IF(B700=C700,W700/C700,(INT(W700/B700)+(((W700-B700*INT(W700/B700)))/C700)/100))))</f>
        <v>0</v>
      </c>
      <c r="BI700" s="57">
        <f>IF(ISERROR(IF(B700=C700,X700/C700,(INT(X700/B700)+(((X700-B700*INT(X700/B700)))/C700)/100))),0,(IF(B700=C700,X700/C700,(INT(X700/B700)+(((X700-B700*INT(X700/B700)))/C700)/100))))</f>
        <v>0</v>
      </c>
      <c r="BJ700" s="57">
        <f>IF(ISERROR(IF(B700=C700,Y700/C700,(INT(Y700/B700)+(((Y700-B700*INT(Y700/B700)))/C700)/100))),0,(IF(B700=C700,Y700/C700,(INT(Y700/B700)+(((Y700-B700*INT(Y700/B700)))/C700)/100))))</f>
        <v>0</v>
      </c>
      <c r="BL700" s="57">
        <f>IF(ISERROR(IF(B700=C700,AA700/C700,(INT(AA700/B700)+(((AA700-B700*INT(AA700/B700)))/C700)/100))),0,(IF(B700=C700,AA700/C700,(INT(AA700/B700)+(((AA700-B700*INT(AA700/B700)))/C700)/100))))</f>
        <v>0</v>
      </c>
      <c r="BM700" s="57">
        <f>IF(ISERROR(IF(B700=C700,AB700/C700,(INT(AB700/B700)+(((AB700-B700*INT(AB700/B700)))/C700)/100))),0,(IF(B700=C700,AB700/C700,(INT(AB700/B700)+(((AB700-B700*INT(AB700/B700)))/C700)/100))))</f>
        <v>0</v>
      </c>
      <c r="BN700" s="57">
        <f>IF(ISERROR(IF(B700=C700,AC700/C700,(INT(AC700/B700)+(((AC700-B700*INT(AC700/B700)))/C700)/100))),0,(IF(B700=C700,AC700/C700,(INT(AC700/B700)+(((AC700-B700*INT(AC700/B700)))/C700)/100))))</f>
        <v>0</v>
      </c>
      <c r="BO700" s="57">
        <f>IF(ISERROR(IF(B700=C700,AD700/C700,(INT(AD700/B700)+(((AD700-B700*INT(AD700/B700)))/C700)/100))),0,(IF(B700=C700,AD700/C700,(INT(AD700/B700)+(((AD700-B700*INT(AD700/B700)))/C700)/100))))</f>
        <v>0</v>
      </c>
      <c r="BQ700" s="155" t="s">
        <v>173</v>
      </c>
    </row>
    <row r="701" spans="1:69" hidden="1" x14ac:dyDescent="0.35">
      <c r="A701" s="134" t="s">
        <v>184</v>
      </c>
      <c r="B701" s="113">
        <v>750</v>
      </c>
      <c r="C701" s="113">
        <v>150</v>
      </c>
      <c r="D701" s="28">
        <f>SUM(AA701:AD701)</f>
        <v>0</v>
      </c>
      <c r="E701" s="113">
        <v>0</v>
      </c>
      <c r="F701" s="113">
        <v>0</v>
      </c>
      <c r="G701" s="28">
        <f>SUM(D701:F701)</f>
        <v>0</v>
      </c>
      <c r="H701" s="125">
        <v>0</v>
      </c>
      <c r="I701" s="113">
        <v>0</v>
      </c>
      <c r="J701" s="125">
        <v>0</v>
      </c>
      <c r="K701" s="113">
        <v>0</v>
      </c>
      <c r="L701" s="113">
        <v>0</v>
      </c>
      <c r="M701" s="113">
        <v>0</v>
      </c>
      <c r="N701" s="28">
        <f>G701-SUM(H701:M701)</f>
        <v>0</v>
      </c>
      <c r="O701" s="28">
        <f>SUM(V701:Y701)</f>
        <v>0</v>
      </c>
      <c r="P701" s="28">
        <f>O701-N701</f>
        <v>0</v>
      </c>
      <c r="Q701" s="61" t="str">
        <f>IF(ISERROR(P701/SUM(H701:L701)),"",P701/SUM(H701:L701))</f>
        <v/>
      </c>
      <c r="R701" s="113">
        <v>250</v>
      </c>
      <c r="S701" s="28">
        <f>IF(ISERROR(P701/C701*R701),0,(P701/C701*R701))</f>
        <v>0</v>
      </c>
      <c r="T701" s="60">
        <f>IF(ISERROR(P701/B701*AF701),0,(P701/B701*AF701))</f>
        <v>0</v>
      </c>
      <c r="V701" s="113">
        <v>0</v>
      </c>
      <c r="W701" s="113">
        <v>0</v>
      </c>
      <c r="X701" s="113">
        <v>0</v>
      </c>
      <c r="Y701" s="113">
        <v>0</v>
      </c>
      <c r="AA701" s="113">
        <v>0</v>
      </c>
      <c r="AB701" s="113">
        <v>0</v>
      </c>
      <c r="AC701" s="113">
        <v>0</v>
      </c>
      <c r="AD701" s="113">
        <v>0</v>
      </c>
      <c r="AF701" s="113">
        <v>591</v>
      </c>
      <c r="AG701" s="28">
        <f>G701-O701</f>
        <v>0</v>
      </c>
      <c r="AH701" s="58">
        <f>IF(ISERROR(AG701/B701*AF701),0,(AG701/B701*AF701))</f>
        <v>0</v>
      </c>
      <c r="AI701" s="28">
        <f>SUM(H701:M701)</f>
        <v>0</v>
      </c>
      <c r="AJ701" s="28">
        <f>IF(ISERROR(AI701/B701*AF701),0,(AI701/B701*AF701))</f>
        <v>0</v>
      </c>
      <c r="AK701" s="58">
        <f>IF(ISERROR(O701/B701*AF701),0,(O701/B701*AF701))</f>
        <v>0</v>
      </c>
      <c r="AL701" s="28">
        <f>IF(ISERROR(H701/B701*AF701),0,(H701/B701*AF701))</f>
        <v>0</v>
      </c>
      <c r="AN701" s="51" t="str">
        <f>A701</f>
        <v xml:space="preserve">Four Seasons Sauvigon </v>
      </c>
      <c r="AO701" s="57">
        <f>IF(ISERROR(IF(B701=C701,D701/C701,(INT(D701/B701)+(((D701-B701*INT(D701/B701)))/C701)/100))),0,(IF(B701=C701,D701/C701,(INT(D701/B701)+(((D701-B701*INT(D701/B701)))/C701)/100))))</f>
        <v>0</v>
      </c>
      <c r="AP701" s="57">
        <f>IF(ISERROR(IF(B701=C701,E701/C701,(INT(E701/B701)+(((E701-B701*INT(E701/B701)))/C701)/100))),0,(IF(B701=C701,E701/C701,(INT(E701/B701)+(((E701-B701*INT(E701/B701)))/C701)/100))))</f>
        <v>0</v>
      </c>
      <c r="AQ701" s="57">
        <f>IF(ISERROR(IF(B701=C701,F701/C701,IF((INT(F701/B701)+(((F701-B701*INT(F701/B701)))/C701)/100)&lt;0,(INT(F701/B701)+(((F701-B701*INT(F701/B701)))/C701)/100)+(1-(B701/C701/100)),(INT(F701/B701)+(((F701-B701*INT(F701/B701)))/C701)/100)))),0,IF(B701=C701,F701/C701,IF((INT(F701/B701)+(((F701-B701*INT(F701/B701)))/C701)/100)&lt;0,(INT(F701/B701)+(((F701-B701*INT(F701/B701)))/C701)/100)+(1-(B701/C701/100)),(INT(F701/B701)+(((F701-B701*INT(F701/B701)))/C701)/100))))</f>
        <v>0</v>
      </c>
      <c r="AR701" s="57">
        <f>IF(ISERROR(IF(B701=C701,G701/C701,(INT(G701/B701)+(((G701-B701*INT(G701/B701)))/C701)/100))),0,(IF(B701=C701,G701/C701,(INT(G701/B701)+(((G701-B701*INT(G701/B701)))/C701)/100))))</f>
        <v>0</v>
      </c>
      <c r="AS701" s="57">
        <f>IF(ISERROR(IF(B701=C701,H701/C701,(INT(H701/B701)+(((H701-B701*INT(H701/B701)))/C701)/100))),0,(IF(B701=C701,H701/C701,(INT(H701/B701)+(((H701-B701*INT(H701/B701)))/C701)/100))))</f>
        <v>0</v>
      </c>
      <c r="AT701" s="57">
        <f>IF(ISERROR(IF(B701=C701,I701/C701,(INT(I701/B701)+(((I701-B701*INT(I701/B701)))/C701)/100))),0,(IF(B701=C701,I701/C701,(INT(I701/B701)+(((I701-B701*INT(I701/B701)))/C701)/100))))</f>
        <v>0</v>
      </c>
      <c r="AU701" s="57">
        <f>IF(ISERROR(IF(B701=C701,J701/C701,(INT(J701/B701)+(((J701-B701*INT(J701/B701)))/C701)/100))),0,(IF(B701=C701,J701/C701,(INT(J701/B701)+(((J701-B701*INT(J701/B701)))/C701)/100))))</f>
        <v>0</v>
      </c>
      <c r="AV701" s="57">
        <f>IF(ISERROR(IF(B701=C701,K701/C701,IF((INT(K701/B701)+(((K701-B701*INT(K701/B701)))/C701)/100)&lt;0,(INT(K701/B701)+(((K701-B701*INT(K701/B701)))/C701)/100)+(1-(B701/C701/100)),(INT(K701/B701)+(((K701-B701*INT(K701/B701)))/C701)/100)))),0,IF(B701=C701,K701/C701,IF((INT(K701/B701)+(((K701-B701*INT(K701/B701)))/C701)/100)&lt;0,(INT(K701/B701)+(((K701-B701*INT(K701/B701)))/C701)/100)+(1-(B701/C701/100)),(INT(K701/B701)+(((K701-B701*INT(K701/B701)))/C701)/100))))</f>
        <v>0</v>
      </c>
      <c r="AW701" s="57">
        <f>IF(ISERROR(IF(B701=C701,L701/C701,(INT(L701/B701)+(((L701-B701*INT(L701/B701)))/C701)/100))),0,(IF(B701=C701,L701/C701,(INT(L701/B701)+(((L701-B701*INT(L701/B701)))/C701)/100))))</f>
        <v>0</v>
      </c>
      <c r="AX701" s="57">
        <f>IF(ISERROR(IF(B701=C701,M701/C701,(INT(M701/B701)+(((M701-B701*INT(M701/B701)))/C701)/100))),0,(IF(B701=C701,M701/C701,(INT(M701/B701)+(((M701-B701*INT(M701/B701)))/C701)/100))))</f>
        <v>0</v>
      </c>
      <c r="AY701" s="57">
        <f>IF(ISERROR(IF(B701=C701,N701/C701,IF((INT(N701/B701)+(((N701-B701*INT(N701/B701)))/C701)/100)&lt;0,(INT(N701/B701)+(((N701-B701*INT(N701/B701)))/C701)/100)+(1-(B701/C701/100)),(INT(N701/B701)+(((N701-B701*INT(N701/B701)))/C701)/100)))),0,IF(B701=C701,N701/C701,IF((INT(N701/B701)+(((N701-B701*INT(N701/B701)))/C701)/100)&lt;0,(INT(N701/B701)+(((N701-B701*INT(N701/B701)))/C701)/100)+(1-(B701/C701/100)),(INT(N701/B701)+(((N701-B701*INT(N701/B701)))/C701)/100))))</f>
        <v>0</v>
      </c>
      <c r="AZ701" s="57">
        <f>IF(ISERROR(IF(B701=C701,O701/C701,(INT(O701/B701)+(((O701-B701*INT(O701/B701)))/C701)/100))),0,(IF(B701=C701,O701/C701,(INT(O701/B701)+(((O701-B701*INT(O701/B701)))/C701)/100))))</f>
        <v>0</v>
      </c>
      <c r="BA701" s="57">
        <f>IF(ISERROR(IF(B701=C701,P701/C701,IF((INT(P701/B701)+(((P701-B701*INT(P701/B701)))/C701)/100)&lt;0,(INT(P701/B701)+(((P701-B701*INT(P701/B701)))/C701)/100)+(1-(B701/C701/100)),(INT(P701/B701)+(((P701-B701*INT(P701/B701)))/C701)/100)))),0,IF(B701=C701,P701/C701,IF((INT(P701/B701)+(((P701-B701*INT(P701/B701)))/C701)/100)&lt;0,(INT(P701/B701)+(((P701-B701*INT(P701/B701)))/C701)/100)+(1-(B701/C701/100)),(INT(P701/B701)+(((P701-B701*INT(P701/B701)))/C701)/100))))</f>
        <v>0</v>
      </c>
      <c r="BB701" s="28">
        <f>R701</f>
        <v>250</v>
      </c>
      <c r="BC701" s="28">
        <f>S701</f>
        <v>0</v>
      </c>
      <c r="BD701" s="28">
        <f>AF701</f>
        <v>591</v>
      </c>
      <c r="BE701" s="28">
        <f>T701</f>
        <v>0</v>
      </c>
      <c r="BG701" s="57">
        <f>IF(ISERROR(IF(B701=C701,V701/C701,(INT(V701/B701)+(((V701-B701*INT(V701/B701)))/C701)/100))),0,(IF(B701=C701,V701/C701,(INT(V701/B701)+(((V701-B701*INT(V701/B701)))/C701)/100))))</f>
        <v>0</v>
      </c>
      <c r="BH701" s="57">
        <f>IF(ISERROR(IF(B701=C701,W701/C701,(INT(W701/B701)+(((W701-B701*INT(W701/B701)))/C701)/100))),0,(IF(B701=C701,W701/C701,(INT(W701/B701)+(((W701-B701*INT(W701/B701)))/C701)/100))))</f>
        <v>0</v>
      </c>
      <c r="BI701" s="57">
        <f>IF(ISERROR(IF(B701=C701,X701/C701,(INT(X701/B701)+(((X701-B701*INT(X701/B701)))/C701)/100))),0,(IF(B701=C701,X701/C701,(INT(X701/B701)+(((X701-B701*INT(X701/B701)))/C701)/100))))</f>
        <v>0</v>
      </c>
      <c r="BJ701" s="57">
        <f>IF(ISERROR(IF(B701=C701,Y701/C701,(INT(Y701/B701)+(((Y701-B701*INT(Y701/B701)))/C701)/100))),0,(IF(B701=C701,Y701/C701,(INT(Y701/B701)+(((Y701-B701*INT(Y701/B701)))/C701)/100))))</f>
        <v>0</v>
      </c>
      <c r="BL701" s="57">
        <f>IF(ISERROR(IF(B701=C701,AA701/C701,(INT(AA701/B701)+(((AA701-B701*INT(AA701/B701)))/C701)/100))),0,(IF(B701=C701,AA701/C701,(INT(AA701/B701)+(((AA701-B701*INT(AA701/B701)))/C701)/100))))</f>
        <v>0</v>
      </c>
      <c r="BM701" s="57">
        <f>IF(ISERROR(IF(B701=C701,AB701/C701,(INT(AB701/B701)+(((AB701-B701*INT(AB701/B701)))/C701)/100))),0,(IF(B701=C701,AB701/C701,(INT(AB701/B701)+(((AB701-B701*INT(AB701/B701)))/C701)/100))))</f>
        <v>0</v>
      </c>
      <c r="BN701" s="57">
        <f>IF(ISERROR(IF(B701=C701,AC701/C701,(INT(AC701/B701)+(((AC701-B701*INT(AC701/B701)))/C701)/100))),0,(IF(B701=C701,AC701/C701,(INT(AC701/B701)+(((AC701-B701*INT(AC701/B701)))/C701)/100))))</f>
        <v>0</v>
      </c>
      <c r="BO701" s="57">
        <f>IF(ISERROR(IF(B701=C701,AD701/C701,(INT(AD701/B701)+(((AD701-B701*INT(AD701/B701)))/C701)/100))),0,(IF(B701=C701,AD701/C701,(INT(AD701/B701)+(((AD701-B701*INT(AD701/B701)))/C701)/100))))</f>
        <v>0</v>
      </c>
      <c r="BQ701" s="155" t="s">
        <v>173</v>
      </c>
    </row>
    <row r="702" spans="1:69" hidden="1" x14ac:dyDescent="0.35">
      <c r="A702" s="94" t="s">
        <v>183</v>
      </c>
      <c r="B702" s="113">
        <v>750</v>
      </c>
      <c r="C702" s="113">
        <v>150</v>
      </c>
      <c r="D702" s="28">
        <f>SUM(AA702:AD702)</f>
        <v>0</v>
      </c>
      <c r="E702" s="113">
        <v>0</v>
      </c>
      <c r="F702" s="113">
        <v>0</v>
      </c>
      <c r="G702" s="28">
        <f>SUM(D702:F702)</f>
        <v>0</v>
      </c>
      <c r="H702" s="125">
        <v>0</v>
      </c>
      <c r="I702" s="113">
        <v>0</v>
      </c>
      <c r="J702" s="125">
        <v>0</v>
      </c>
      <c r="K702" s="113">
        <v>0</v>
      </c>
      <c r="L702" s="113">
        <v>0</v>
      </c>
      <c r="M702" s="113">
        <v>0</v>
      </c>
      <c r="N702" s="28">
        <f>G702-SUM(H702:M702)</f>
        <v>0</v>
      </c>
      <c r="O702" s="28">
        <f>SUM(V702:Y702)</f>
        <v>0</v>
      </c>
      <c r="P702" s="28">
        <f>O702-N702</f>
        <v>0</v>
      </c>
      <c r="Q702" s="61" t="str">
        <f>IF(ISERROR(P702/SUM(H702:L702)),"",P702/SUM(H702:L702))</f>
        <v/>
      </c>
      <c r="R702" s="113">
        <v>135</v>
      </c>
      <c r="S702" s="28">
        <f>IF(ISERROR(P702/C702*R702),0,(P702/C702*R702))</f>
        <v>0</v>
      </c>
      <c r="T702" s="60">
        <f>IF(ISERROR(P702/B702*AF702),0,(P702/B702*AF702))</f>
        <v>0</v>
      </c>
      <c r="V702" s="113">
        <v>0</v>
      </c>
      <c r="W702" s="113">
        <v>0</v>
      </c>
      <c r="X702" s="113">
        <v>0</v>
      </c>
      <c r="Y702" s="113">
        <v>0</v>
      </c>
      <c r="AA702" s="113">
        <v>0</v>
      </c>
      <c r="AB702" s="113">
        <v>0</v>
      </c>
      <c r="AC702" s="113">
        <v>0</v>
      </c>
      <c r="AD702" s="113">
        <v>0</v>
      </c>
      <c r="AF702" s="113">
        <v>563.63749999999993</v>
      </c>
      <c r="AG702" s="28">
        <f>G702-O702</f>
        <v>0</v>
      </c>
      <c r="AH702" s="58">
        <f>IF(ISERROR(AG702/B702*AF702),0,(AG702/B702*AF702))</f>
        <v>0</v>
      </c>
      <c r="AI702" s="28">
        <f>SUM(H702:M702)</f>
        <v>0</v>
      </c>
      <c r="AJ702" s="28">
        <f>IF(ISERROR(AI702/B702*AF702),0,(AI702/B702*AF702))</f>
        <v>0</v>
      </c>
      <c r="AK702" s="58">
        <f>IF(ISERROR(O702/B702*AF702),0,(O702/B702*AF702))</f>
        <v>0</v>
      </c>
      <c r="AL702" s="28">
        <f>IF(ISERROR(H702/B702*AF702),0,(H702/B702*AF702))</f>
        <v>0</v>
      </c>
      <c r="AN702" s="51" t="str">
        <f>A702</f>
        <v xml:space="preserve">Myra Caberrnet Sau </v>
      </c>
      <c r="AO702" s="57">
        <f>IF(ISERROR(IF(B702=C702,D702/C702,(INT(D702/B702)+(((D702-B702*INT(D702/B702)))/C702)/100))),0,(IF(B702=C702,D702/C702,(INT(D702/B702)+(((D702-B702*INT(D702/B702)))/C702)/100))))</f>
        <v>0</v>
      </c>
      <c r="AP702" s="57">
        <f>IF(ISERROR(IF(B702=C702,E702/C702,(INT(E702/B702)+(((E702-B702*INT(E702/B702)))/C702)/100))),0,(IF(B702=C702,E702/C702,(INT(E702/B702)+(((E702-B702*INT(E702/B702)))/C702)/100))))</f>
        <v>0</v>
      </c>
      <c r="AQ702" s="57">
        <f>IF(ISERROR(IF(B702=C702,F702/C702,IF((INT(F702/B702)+(((F702-B702*INT(F702/B702)))/C702)/100)&lt;0,(INT(F702/B702)+(((F702-B702*INT(F702/B702)))/C702)/100)+(1-(B702/C702/100)),(INT(F702/B702)+(((F702-B702*INT(F702/B702)))/C702)/100)))),0,IF(B702=C702,F702/C702,IF((INT(F702/B702)+(((F702-B702*INT(F702/B702)))/C702)/100)&lt;0,(INT(F702/B702)+(((F702-B702*INT(F702/B702)))/C702)/100)+(1-(B702/C702/100)),(INT(F702/B702)+(((F702-B702*INT(F702/B702)))/C702)/100))))</f>
        <v>0</v>
      </c>
      <c r="AR702" s="57">
        <f>IF(ISERROR(IF(B702=C702,G702/C702,(INT(G702/B702)+(((G702-B702*INT(G702/B702)))/C702)/100))),0,(IF(B702=C702,G702/C702,(INT(G702/B702)+(((G702-B702*INT(G702/B702)))/C702)/100))))</f>
        <v>0</v>
      </c>
      <c r="AS702" s="57">
        <f>IF(ISERROR(IF(B702=C702,H702/C702,(INT(H702/B702)+(((H702-B702*INT(H702/B702)))/C702)/100))),0,(IF(B702=C702,H702/C702,(INT(H702/B702)+(((H702-B702*INT(H702/B702)))/C702)/100))))</f>
        <v>0</v>
      </c>
      <c r="AT702" s="57">
        <f>IF(ISERROR(IF(B702=C702,I702/C702,(INT(I702/B702)+(((I702-B702*INT(I702/B702)))/C702)/100))),0,(IF(B702=C702,I702/C702,(INT(I702/B702)+(((I702-B702*INT(I702/B702)))/C702)/100))))</f>
        <v>0</v>
      </c>
      <c r="AU702" s="57">
        <f>IF(ISERROR(IF(B702=C702,J702/C702,(INT(J702/B702)+(((J702-B702*INT(J702/B702)))/C702)/100))),0,(IF(B702=C702,J702/C702,(INT(J702/B702)+(((J702-B702*INT(J702/B702)))/C702)/100))))</f>
        <v>0</v>
      </c>
      <c r="AV702" s="57">
        <f>IF(ISERROR(IF(B702=C702,K702/C702,IF((INT(K702/B702)+(((K702-B702*INT(K702/B702)))/C702)/100)&lt;0,(INT(K702/B702)+(((K702-B702*INT(K702/B702)))/C702)/100)+(1-(B702/C702/100)),(INT(K702/B702)+(((K702-B702*INT(K702/B702)))/C702)/100)))),0,IF(B702=C702,K702/C702,IF((INT(K702/B702)+(((K702-B702*INT(K702/B702)))/C702)/100)&lt;0,(INT(K702/B702)+(((K702-B702*INT(K702/B702)))/C702)/100)+(1-(B702/C702/100)),(INT(K702/B702)+(((K702-B702*INT(K702/B702)))/C702)/100))))</f>
        <v>0</v>
      </c>
      <c r="AW702" s="57">
        <f>IF(ISERROR(IF(B702=C702,L702/C702,(INT(L702/B702)+(((L702-B702*INT(L702/B702)))/C702)/100))),0,(IF(B702=C702,L702/C702,(INT(L702/B702)+(((L702-B702*INT(L702/B702)))/C702)/100))))</f>
        <v>0</v>
      </c>
      <c r="AX702" s="57">
        <f>IF(ISERROR(IF(B702=C702,M702/C702,(INT(M702/B702)+(((M702-B702*INT(M702/B702)))/C702)/100))),0,(IF(B702=C702,M702/C702,(INT(M702/B702)+(((M702-B702*INT(M702/B702)))/C702)/100))))</f>
        <v>0</v>
      </c>
      <c r="AY702" s="57">
        <f>IF(ISERROR(IF(B702=C702,N702/C702,IF((INT(N702/B702)+(((N702-B702*INT(N702/B702)))/C702)/100)&lt;0,(INT(N702/B702)+(((N702-B702*INT(N702/B702)))/C702)/100)+(1-(B702/C702/100)),(INT(N702/B702)+(((N702-B702*INT(N702/B702)))/C702)/100)))),0,IF(B702=C702,N702/C702,IF((INT(N702/B702)+(((N702-B702*INT(N702/B702)))/C702)/100)&lt;0,(INT(N702/B702)+(((N702-B702*INT(N702/B702)))/C702)/100)+(1-(B702/C702/100)),(INT(N702/B702)+(((N702-B702*INT(N702/B702)))/C702)/100))))</f>
        <v>0</v>
      </c>
      <c r="AZ702" s="57">
        <f>IF(ISERROR(IF(B702=C702,O702/C702,(INT(O702/B702)+(((O702-B702*INT(O702/B702)))/C702)/100))),0,(IF(B702=C702,O702/C702,(INT(O702/B702)+(((O702-B702*INT(O702/B702)))/C702)/100))))</f>
        <v>0</v>
      </c>
      <c r="BA702" s="57">
        <f>IF(ISERROR(IF(B702=C702,P702/C702,IF((INT(P702/B702)+(((P702-B702*INT(P702/B702)))/C702)/100)&lt;0,(INT(P702/B702)+(((P702-B702*INT(P702/B702)))/C702)/100)+(1-(B702/C702/100)),(INT(P702/B702)+(((P702-B702*INT(P702/B702)))/C702)/100)))),0,IF(B702=C702,P702/C702,IF((INT(P702/B702)+(((P702-B702*INT(P702/B702)))/C702)/100)&lt;0,(INT(P702/B702)+(((P702-B702*INT(P702/B702)))/C702)/100)+(1-(B702/C702/100)),(INT(P702/B702)+(((P702-B702*INT(P702/B702)))/C702)/100))))</f>
        <v>0</v>
      </c>
      <c r="BB702" s="28">
        <f>R702</f>
        <v>135</v>
      </c>
      <c r="BC702" s="28">
        <f>S702</f>
        <v>0</v>
      </c>
      <c r="BD702" s="28">
        <f>AF702</f>
        <v>563.63749999999993</v>
      </c>
      <c r="BE702" s="28">
        <f>T702</f>
        <v>0</v>
      </c>
      <c r="BG702" s="57">
        <f>IF(ISERROR(IF(B702=C702,V702/C702,(INT(V702/B702)+(((V702-B702*INT(V702/B702)))/C702)/100))),0,(IF(B702=C702,V702/C702,(INT(V702/B702)+(((V702-B702*INT(V702/B702)))/C702)/100))))</f>
        <v>0</v>
      </c>
      <c r="BH702" s="57">
        <f>IF(ISERROR(IF(B702=C702,W702/C702,(INT(W702/B702)+(((W702-B702*INT(W702/B702)))/C702)/100))),0,(IF(B702=C702,W702/C702,(INT(W702/B702)+(((W702-B702*INT(W702/B702)))/C702)/100))))</f>
        <v>0</v>
      </c>
      <c r="BI702" s="57">
        <f>IF(ISERROR(IF(B702=C702,X702/C702,(INT(X702/B702)+(((X702-B702*INT(X702/B702)))/C702)/100))),0,(IF(B702=C702,X702/C702,(INT(X702/B702)+(((X702-B702*INT(X702/B702)))/C702)/100))))</f>
        <v>0</v>
      </c>
      <c r="BJ702" s="57">
        <f>IF(ISERROR(IF(B702=C702,Y702/C702,(INT(Y702/B702)+(((Y702-B702*INT(Y702/B702)))/C702)/100))),0,(IF(B702=C702,Y702/C702,(INT(Y702/B702)+(((Y702-B702*INT(Y702/B702)))/C702)/100))))</f>
        <v>0</v>
      </c>
      <c r="BL702" s="57">
        <f>IF(ISERROR(IF(B702=C702,AA702/C702,(INT(AA702/B702)+(((AA702-B702*INT(AA702/B702)))/C702)/100))),0,(IF(B702=C702,AA702/C702,(INT(AA702/B702)+(((AA702-B702*INT(AA702/B702)))/C702)/100))))</f>
        <v>0</v>
      </c>
      <c r="BM702" s="57">
        <f>IF(ISERROR(IF(B702=C702,AB702/C702,(INT(AB702/B702)+(((AB702-B702*INT(AB702/B702)))/C702)/100))),0,(IF(B702=C702,AB702/C702,(INT(AB702/B702)+(((AB702-B702*INT(AB702/B702)))/C702)/100))))</f>
        <v>0</v>
      </c>
      <c r="BN702" s="57">
        <f>IF(ISERROR(IF(B702=C702,AC702/C702,(INT(AC702/B702)+(((AC702-B702*INT(AC702/B702)))/C702)/100))),0,(IF(B702=C702,AC702/C702,(INT(AC702/B702)+(((AC702-B702*INT(AC702/B702)))/C702)/100))))</f>
        <v>0</v>
      </c>
      <c r="BO702" s="57">
        <f>IF(ISERROR(IF(B702=C702,AD702/C702,(INT(AD702/B702)+(((AD702-B702*INT(AD702/B702)))/C702)/100))),0,(IF(B702=C702,AD702/C702,(INT(AD702/B702)+(((AD702-B702*INT(AD702/B702)))/C702)/100))))</f>
        <v>0</v>
      </c>
      <c r="BQ702" s="155" t="s">
        <v>173</v>
      </c>
    </row>
    <row r="703" spans="1:69" x14ac:dyDescent="0.35">
      <c r="A703" s="94" t="s">
        <v>182</v>
      </c>
      <c r="B703" s="113">
        <v>750</v>
      </c>
      <c r="C703" s="113">
        <v>150</v>
      </c>
      <c r="D703" s="28">
        <f>SUM(AA703:AD703)</f>
        <v>750</v>
      </c>
      <c r="E703" s="113">
        <v>0</v>
      </c>
      <c r="F703" s="113">
        <v>0</v>
      </c>
      <c r="G703" s="28">
        <f>SUM(D703:F703)</f>
        <v>750</v>
      </c>
      <c r="H703" s="164">
        <v>0</v>
      </c>
      <c r="I703" s="113">
        <v>0</v>
      </c>
      <c r="J703" s="125">
        <v>0</v>
      </c>
      <c r="K703" s="113">
        <v>0</v>
      </c>
      <c r="L703" s="113">
        <v>0</v>
      </c>
      <c r="M703" s="113">
        <v>0</v>
      </c>
      <c r="N703" s="28">
        <f>G703-SUM(H703:M703)</f>
        <v>750</v>
      </c>
      <c r="O703" s="28">
        <f>SUM(V703:Y703)</f>
        <v>750</v>
      </c>
      <c r="P703" s="28">
        <f>O703-N703</f>
        <v>0</v>
      </c>
      <c r="Q703" s="61" t="str">
        <f>IF(ISERROR(P703/SUM(H703:L703)),"",P703/SUM(H703:L703))</f>
        <v/>
      </c>
      <c r="R703" s="113">
        <v>250</v>
      </c>
      <c r="S703" s="28">
        <f>IF(ISERROR(P703/C703*R703),0,(P703/C703*R703))</f>
        <v>0</v>
      </c>
      <c r="T703" s="60">
        <f>IF(ISERROR(P703/B703*AF703),0,(P703/B703*AF703))</f>
        <v>0</v>
      </c>
      <c r="V703" s="113">
        <f>1*750</f>
        <v>750</v>
      </c>
      <c r="W703" s="113">
        <v>0</v>
      </c>
      <c r="X703" s="113">
        <v>0</v>
      </c>
      <c r="Y703" s="113">
        <v>0</v>
      </c>
      <c r="AA703" s="113">
        <f>750</f>
        <v>750</v>
      </c>
      <c r="AB703" s="113">
        <v>0</v>
      </c>
      <c r="AC703" s="113">
        <v>0</v>
      </c>
      <c r="AD703" s="113">
        <v>0</v>
      </c>
      <c r="AF703" s="155">
        <v>563.63749999999993</v>
      </c>
      <c r="AG703" s="28">
        <f>G703-O703</f>
        <v>0</v>
      </c>
      <c r="AH703" s="58">
        <f>IF(ISERROR(AG703/B703*AF703),0,(AG703/B703*AF703))</f>
        <v>0</v>
      </c>
      <c r="AI703" s="28">
        <f>SUM(H703:M703)</f>
        <v>0</v>
      </c>
      <c r="AJ703" s="28">
        <f>IF(ISERROR(AI703/B703*AF703),0,(AI703/B703*AF703))</f>
        <v>0</v>
      </c>
      <c r="AK703" s="58">
        <f>IF(ISERROR(O703/B703*AF703),0,(O703/B703*AF703))</f>
        <v>563.63749999999993</v>
      </c>
      <c r="AL703" s="28">
        <f>IF(ISERROR(H703/B703*AF703),0,(H703/B703*AF703))</f>
        <v>0</v>
      </c>
      <c r="AN703" s="51" t="str">
        <f>A703</f>
        <v xml:space="preserve">Myra Chenin Blance </v>
      </c>
      <c r="AO703" s="57">
        <f>IF(ISERROR(IF(B703=C703,D703/C703,(INT(D703/B703)+(((D703-B703*INT(D703/B703)))/C703)/100))),0,(IF(B703=C703,D703/C703,(INT(D703/B703)+(((D703-B703*INT(D703/B703)))/C703)/100))))</f>
        <v>1</v>
      </c>
      <c r="AP703" s="57">
        <f>IF(ISERROR(IF(B703=C703,E703/C703,(INT(E703/B703)+(((E703-B703*INT(E703/B703)))/C703)/100))),0,(IF(B703=C703,E703/C703,(INT(E703/B703)+(((E703-B703*INT(E703/B703)))/C703)/100))))</f>
        <v>0</v>
      </c>
      <c r="AQ703" s="57">
        <f>IF(ISERROR(IF(B703=C703,F703/C703,IF((INT(F703/B703)+(((F703-B703*INT(F703/B703)))/C703)/100)&lt;0,(INT(F703/B703)+(((F703-B703*INT(F703/B703)))/C703)/100)+(1-(B703/C703/100)),(INT(F703/B703)+(((F703-B703*INT(F703/B703)))/C703)/100)))),0,IF(B703=C703,F703/C703,IF((INT(F703/B703)+(((F703-B703*INT(F703/B703)))/C703)/100)&lt;0,(INT(F703/B703)+(((F703-B703*INT(F703/B703)))/C703)/100)+(1-(B703/C703/100)),(INT(F703/B703)+(((F703-B703*INT(F703/B703)))/C703)/100))))</f>
        <v>0</v>
      </c>
      <c r="AR703" s="57">
        <f>IF(ISERROR(IF(B703=C703,G703/C703,(INT(G703/B703)+(((G703-B703*INT(G703/B703)))/C703)/100))),0,(IF(B703=C703,G703/C703,(INT(G703/B703)+(((G703-B703*INT(G703/B703)))/C703)/100))))</f>
        <v>1</v>
      </c>
      <c r="AS703" s="57">
        <f>IF(ISERROR(IF(B703=C703,H703/C703,(INT(H703/B703)+(((H703-B703*INT(H703/B703)))/C703)/100))),0,(IF(B703=C703,H703/C703,(INT(H703/B703)+(((H703-B703*INT(H703/B703)))/C703)/100))))</f>
        <v>0</v>
      </c>
      <c r="AT703" s="57">
        <f>IF(ISERROR(IF(B703=C703,I703/C703,(INT(I703/B703)+(((I703-B703*INT(I703/B703)))/C703)/100))),0,(IF(B703=C703,I703/C703,(INT(I703/B703)+(((I703-B703*INT(I703/B703)))/C703)/100))))</f>
        <v>0</v>
      </c>
      <c r="AU703" s="57">
        <f>IF(ISERROR(IF(B703=C703,J703/C703,(INT(J703/B703)+(((J703-B703*INT(J703/B703)))/C703)/100))),0,(IF(B703=C703,J703/C703,(INT(J703/B703)+(((J703-B703*INT(J703/B703)))/C703)/100))))</f>
        <v>0</v>
      </c>
      <c r="AV703" s="57">
        <f>IF(ISERROR(IF(B703=C703,K703/C703,IF((INT(K703/B703)+(((K703-B703*INT(K703/B703)))/C703)/100)&lt;0,(INT(K703/B703)+(((K703-B703*INT(K703/B703)))/C703)/100)+(1-(B703/C703/100)),(INT(K703/B703)+(((K703-B703*INT(K703/B703)))/C703)/100)))),0,IF(B703=C703,K703/C703,IF((INT(K703/B703)+(((K703-B703*INT(K703/B703)))/C703)/100)&lt;0,(INT(K703/B703)+(((K703-B703*INT(K703/B703)))/C703)/100)+(1-(B703/C703/100)),(INT(K703/B703)+(((K703-B703*INT(K703/B703)))/C703)/100))))</f>
        <v>0</v>
      </c>
      <c r="AW703" s="57">
        <f>IF(ISERROR(IF(B703=C703,L703/C703,(INT(L703/B703)+(((L703-B703*INT(L703/B703)))/C703)/100))),0,(IF(B703=C703,L703/C703,(INT(L703/B703)+(((L703-B703*INT(L703/B703)))/C703)/100))))</f>
        <v>0</v>
      </c>
      <c r="AX703" s="57">
        <f>IF(ISERROR(IF(B703=C703,M703/C703,(INT(M703/B703)+(((M703-B703*INT(M703/B703)))/C703)/100))),0,(IF(B703=C703,M703/C703,(INT(M703/B703)+(((M703-B703*INT(M703/B703)))/C703)/100))))</f>
        <v>0</v>
      </c>
      <c r="AY703" s="57">
        <f>IF(ISERROR(IF(B703=C703,N703/C703,IF((INT(N703/B703)+(((N703-B703*INT(N703/B703)))/C703)/100)&lt;0,(INT(N703/B703)+(((N703-B703*INT(N703/B703)))/C703)/100)+(1-(B703/C703/100)),(INT(N703/B703)+(((N703-B703*INT(N703/B703)))/C703)/100)))),0,IF(B703=C703,N703/C703,IF((INT(N703/B703)+(((N703-B703*INT(N703/B703)))/C703)/100)&lt;0,(INT(N703/B703)+(((N703-B703*INT(N703/B703)))/C703)/100)+(1-(B703/C703/100)),(INT(N703/B703)+(((N703-B703*INT(N703/B703)))/C703)/100))))</f>
        <v>1</v>
      </c>
      <c r="AZ703" s="57">
        <f>IF(ISERROR(IF(B703=C703,O703/C703,(INT(O703/B703)+(((O703-B703*INT(O703/B703)))/C703)/100))),0,(IF(B703=C703,O703/C703,(INT(O703/B703)+(((O703-B703*INT(O703/B703)))/C703)/100))))</f>
        <v>1</v>
      </c>
      <c r="BA703" s="57">
        <f>IF(ISERROR(IF(B703=C703,P703/C703,IF((INT(P703/B703)+(((P703-B703*INT(P703/B703)))/C703)/100)&lt;0,(INT(P703/B703)+(((P703-B703*INT(P703/B703)))/C703)/100)+(1-(B703/C703/100)),(INT(P703/B703)+(((P703-B703*INT(P703/B703)))/C703)/100)))),0,IF(B703=C703,P703/C703,IF((INT(P703/B703)+(((P703-B703*INT(P703/B703)))/C703)/100)&lt;0,(INT(P703/B703)+(((P703-B703*INT(P703/B703)))/C703)/100)+(1-(B703/C703/100)),(INT(P703/B703)+(((P703-B703*INT(P703/B703)))/C703)/100))))</f>
        <v>0</v>
      </c>
      <c r="BB703" s="28">
        <f>R703</f>
        <v>250</v>
      </c>
      <c r="BC703" s="28">
        <f>S703</f>
        <v>0</v>
      </c>
      <c r="BD703" s="28">
        <f>AF703</f>
        <v>563.63749999999993</v>
      </c>
      <c r="BE703" s="28">
        <f>T703</f>
        <v>0</v>
      </c>
      <c r="BG703" s="57">
        <f>IF(ISERROR(IF(B703=C703,V703/C703,(INT(V703/B703)+(((V703-B703*INT(V703/B703)))/C703)/100))),0,(IF(B703=C703,V703/C703,(INT(V703/B703)+(((V703-B703*INT(V703/B703)))/C703)/100))))</f>
        <v>1</v>
      </c>
      <c r="BH703" s="57">
        <f>IF(ISERROR(IF(B703=C703,W703/C703,(INT(W703/B703)+(((W703-B703*INT(W703/B703)))/C703)/100))),0,(IF(B703=C703,W703/C703,(INT(W703/B703)+(((W703-B703*INT(W703/B703)))/C703)/100))))</f>
        <v>0</v>
      </c>
      <c r="BI703" s="57">
        <f>IF(ISERROR(IF(B703=C703,X703/C703,(INT(X703/B703)+(((X703-B703*INT(X703/B703)))/C703)/100))),0,(IF(B703=C703,X703/C703,(INT(X703/B703)+(((X703-B703*INT(X703/B703)))/C703)/100))))</f>
        <v>0</v>
      </c>
      <c r="BJ703" s="57">
        <f>IF(ISERROR(IF(B703=C703,Y703/C703,(INT(Y703/B703)+(((Y703-B703*INT(Y703/B703)))/C703)/100))),0,(IF(B703=C703,Y703/C703,(INT(Y703/B703)+(((Y703-B703*INT(Y703/B703)))/C703)/100))))</f>
        <v>0</v>
      </c>
      <c r="BL703" s="57">
        <f>IF(ISERROR(IF(B703=C703,AA703/C703,(INT(AA703/B703)+(((AA703-B703*INT(AA703/B703)))/C703)/100))),0,(IF(B703=C703,AA703/C703,(INT(AA703/B703)+(((AA703-B703*INT(AA703/B703)))/C703)/100))))</f>
        <v>1</v>
      </c>
      <c r="BM703" s="57">
        <f>IF(ISERROR(IF(B703=C703,AB703/C703,(INT(AB703/B703)+(((AB703-B703*INT(AB703/B703)))/C703)/100))),0,(IF(B703=C703,AB703/C703,(INT(AB703/B703)+(((AB703-B703*INT(AB703/B703)))/C703)/100))))</f>
        <v>0</v>
      </c>
      <c r="BN703" s="57">
        <f>IF(ISERROR(IF(B703=C703,AC703/C703,(INT(AC703/B703)+(((AC703-B703*INT(AC703/B703)))/C703)/100))),0,(IF(B703=C703,AC703/C703,(INT(AC703/B703)+(((AC703-B703*INT(AC703/B703)))/C703)/100))))</f>
        <v>0</v>
      </c>
      <c r="BO703" s="57">
        <f>IF(ISERROR(IF(B703=C703,AD703/C703,(INT(AD703/B703)+(((AD703-B703*INT(AD703/B703)))/C703)/100))),0,(IF(B703=C703,AD703/C703,(INT(AD703/B703)+(((AD703-B703*INT(AD703/B703)))/C703)/100))))</f>
        <v>0</v>
      </c>
      <c r="BQ703" s="155" t="s">
        <v>173</v>
      </c>
    </row>
    <row r="704" spans="1:69" x14ac:dyDescent="0.35">
      <c r="A704" s="94" t="s">
        <v>181</v>
      </c>
      <c r="B704" s="113">
        <v>750</v>
      </c>
      <c r="C704" s="113">
        <v>150</v>
      </c>
      <c r="D704" s="28">
        <f>SUM(AA704:AD704)</f>
        <v>14550</v>
      </c>
      <c r="E704" s="113">
        <v>0</v>
      </c>
      <c r="F704" s="113">
        <v>0</v>
      </c>
      <c r="G704" s="28">
        <f>SUM(D704:F704)</f>
        <v>14550</v>
      </c>
      <c r="H704" s="125">
        <v>0</v>
      </c>
      <c r="I704" s="113">
        <v>0</v>
      </c>
      <c r="J704" s="125">
        <v>0</v>
      </c>
      <c r="K704" s="113">
        <v>0</v>
      </c>
      <c r="L704" s="113">
        <v>0</v>
      </c>
      <c r="M704" s="113">
        <v>0</v>
      </c>
      <c r="N704" s="28">
        <f>G704-SUM(H704:M704)</f>
        <v>14550</v>
      </c>
      <c r="O704" s="28">
        <f>SUM(V704:Y704)</f>
        <v>14550</v>
      </c>
      <c r="P704" s="28">
        <f>O704-N704</f>
        <v>0</v>
      </c>
      <c r="Q704" s="61" t="str">
        <f>IF(ISERROR(P704/SUM(H704:L704)),"",P704/SUM(H704:L704))</f>
        <v/>
      </c>
      <c r="R704" s="113">
        <v>250</v>
      </c>
      <c r="S704" s="28">
        <f>IF(ISERROR(P704/C704*R704),0,(P704/C704*R704))</f>
        <v>0</v>
      </c>
      <c r="T704" s="60">
        <f>IF(ISERROR(P704/B704*AF704),0,(P704/B704*AF704))</f>
        <v>0</v>
      </c>
      <c r="V704" s="113">
        <f>7*750+2*150+3*750</f>
        <v>7800</v>
      </c>
      <c r="W704" s="113">
        <f>9*750</f>
        <v>6750</v>
      </c>
      <c r="X704" s="113">
        <v>0</v>
      </c>
      <c r="Y704" s="113">
        <v>0</v>
      </c>
      <c r="AA704" s="113">
        <f>7*750+2*150</f>
        <v>5550</v>
      </c>
      <c r="AB704" s="113">
        <f>9*750+3*750</f>
        <v>9000</v>
      </c>
      <c r="AC704" s="113">
        <v>0</v>
      </c>
      <c r="AD704" s="113">
        <v>0</v>
      </c>
      <c r="AF704" s="155">
        <v>563.63749999999993</v>
      </c>
      <c r="AG704" s="28">
        <f>G704-O704</f>
        <v>0</v>
      </c>
      <c r="AH704" s="58">
        <f>IF(ISERROR(AG704/B704*AF704),0,(AG704/B704*AF704))</f>
        <v>0</v>
      </c>
      <c r="AI704" s="28">
        <f>SUM(H704:M704)</f>
        <v>0</v>
      </c>
      <c r="AJ704" s="28">
        <f>IF(ISERROR(AI704/B704*AF704),0,(AI704/B704*AF704))</f>
        <v>0</v>
      </c>
      <c r="AK704" s="58">
        <f>IF(ISERROR(O704/B704*AF704),0,(O704/B704*AF704))</f>
        <v>10934.567499999997</v>
      </c>
      <c r="AL704" s="28">
        <f>IF(ISERROR(H704/B704*AF704),0,(H704/B704*AF704))</f>
        <v>0</v>
      </c>
      <c r="AN704" s="51" t="str">
        <f>A704</f>
        <v xml:space="preserve">Myra Sauvignon Blanc </v>
      </c>
      <c r="AO704" s="57">
        <f>IF(ISERROR(IF(B704=C704,D704/C704,(INT(D704/B704)+(((D704-B704*INT(D704/B704)))/C704)/100))),0,(IF(B704=C704,D704/C704,(INT(D704/B704)+(((D704-B704*INT(D704/B704)))/C704)/100))))</f>
        <v>19.02</v>
      </c>
      <c r="AP704" s="57">
        <f>IF(ISERROR(IF(B704=C704,E704/C704,(INT(E704/B704)+(((E704-B704*INT(E704/B704)))/C704)/100))),0,(IF(B704=C704,E704/C704,(INT(E704/B704)+(((E704-B704*INT(E704/B704)))/C704)/100))))</f>
        <v>0</v>
      </c>
      <c r="AQ704" s="57">
        <f>IF(ISERROR(IF(B704=C704,F704/C704,IF((INT(F704/B704)+(((F704-B704*INT(F704/B704)))/C704)/100)&lt;0,(INT(F704/B704)+(((F704-B704*INT(F704/B704)))/C704)/100)+(1-(B704/C704/100)),(INT(F704/B704)+(((F704-B704*INT(F704/B704)))/C704)/100)))),0,IF(B704=C704,F704/C704,IF((INT(F704/B704)+(((F704-B704*INT(F704/B704)))/C704)/100)&lt;0,(INT(F704/B704)+(((F704-B704*INT(F704/B704)))/C704)/100)+(1-(B704/C704/100)),(INT(F704/B704)+(((F704-B704*INT(F704/B704)))/C704)/100))))</f>
        <v>0</v>
      </c>
      <c r="AR704" s="57">
        <f>IF(ISERROR(IF(B704=C704,G704/C704,(INT(G704/B704)+(((G704-B704*INT(G704/B704)))/C704)/100))),0,(IF(B704=C704,G704/C704,(INT(G704/B704)+(((G704-B704*INT(G704/B704)))/C704)/100))))</f>
        <v>19.02</v>
      </c>
      <c r="AS704" s="57">
        <f>IF(ISERROR(IF(B704=C704,H704/C704,(INT(H704/B704)+(((H704-B704*INT(H704/B704)))/C704)/100))),0,(IF(B704=C704,H704/C704,(INT(H704/B704)+(((H704-B704*INT(H704/B704)))/C704)/100))))</f>
        <v>0</v>
      </c>
      <c r="AT704" s="57">
        <f>IF(ISERROR(IF(B704=C704,I704/C704,(INT(I704/B704)+(((I704-B704*INT(I704/B704)))/C704)/100))),0,(IF(B704=C704,I704/C704,(INT(I704/B704)+(((I704-B704*INT(I704/B704)))/C704)/100))))</f>
        <v>0</v>
      </c>
      <c r="AU704" s="57">
        <f>IF(ISERROR(IF(B704=C704,J704/C704,(INT(J704/B704)+(((J704-B704*INT(J704/B704)))/C704)/100))),0,(IF(B704=C704,J704/C704,(INT(J704/B704)+(((J704-B704*INT(J704/B704)))/C704)/100))))</f>
        <v>0</v>
      </c>
      <c r="AV704" s="57">
        <f>IF(ISERROR(IF(B704=C704,K704/C704,IF((INT(K704/B704)+(((K704-B704*INT(K704/B704)))/C704)/100)&lt;0,(INT(K704/B704)+(((K704-B704*INT(K704/B704)))/C704)/100)+(1-(B704/C704/100)),(INT(K704/B704)+(((K704-B704*INT(K704/B704)))/C704)/100)))),0,IF(B704=C704,K704/C704,IF((INT(K704/B704)+(((K704-B704*INT(K704/B704)))/C704)/100)&lt;0,(INT(K704/B704)+(((K704-B704*INT(K704/B704)))/C704)/100)+(1-(B704/C704/100)),(INT(K704/B704)+(((K704-B704*INT(K704/B704)))/C704)/100))))</f>
        <v>0</v>
      </c>
      <c r="AW704" s="57">
        <f>IF(ISERROR(IF(B704=C704,L704/C704,(INT(L704/B704)+(((L704-B704*INT(L704/B704)))/C704)/100))),0,(IF(B704=C704,L704/C704,(INT(L704/B704)+(((L704-B704*INT(L704/B704)))/C704)/100))))</f>
        <v>0</v>
      </c>
      <c r="AX704" s="57">
        <f>IF(ISERROR(IF(B704=C704,M704/C704,(INT(M704/B704)+(((M704-B704*INT(M704/B704)))/C704)/100))),0,(IF(B704=C704,M704/C704,(INT(M704/B704)+(((M704-B704*INT(M704/B704)))/C704)/100))))</f>
        <v>0</v>
      </c>
      <c r="AY704" s="57">
        <f>IF(ISERROR(IF(B704=C704,N704/C704,IF((INT(N704/B704)+(((N704-B704*INT(N704/B704)))/C704)/100)&lt;0,(INT(N704/B704)+(((N704-B704*INT(N704/B704)))/C704)/100)+(1-(B704/C704/100)),(INT(N704/B704)+(((N704-B704*INT(N704/B704)))/C704)/100)))),0,IF(B704=C704,N704/C704,IF((INT(N704/B704)+(((N704-B704*INT(N704/B704)))/C704)/100)&lt;0,(INT(N704/B704)+(((N704-B704*INT(N704/B704)))/C704)/100)+(1-(B704/C704/100)),(INT(N704/B704)+(((N704-B704*INT(N704/B704)))/C704)/100))))</f>
        <v>19.02</v>
      </c>
      <c r="AZ704" s="57">
        <f>IF(ISERROR(IF(B704=C704,O704/C704,(INT(O704/B704)+(((O704-B704*INT(O704/B704)))/C704)/100))),0,(IF(B704=C704,O704/C704,(INT(O704/B704)+(((O704-B704*INT(O704/B704)))/C704)/100))))</f>
        <v>19.02</v>
      </c>
      <c r="BA704" s="57">
        <f>IF(ISERROR(IF(B704=C704,P704/C704,IF((INT(P704/B704)+(((P704-B704*INT(P704/B704)))/C704)/100)&lt;0,(INT(P704/B704)+(((P704-B704*INT(P704/B704)))/C704)/100)+(1-(B704/C704/100)),(INT(P704/B704)+(((P704-B704*INT(P704/B704)))/C704)/100)))),0,IF(B704=C704,P704/C704,IF((INT(P704/B704)+(((P704-B704*INT(P704/B704)))/C704)/100)&lt;0,(INT(P704/B704)+(((P704-B704*INT(P704/B704)))/C704)/100)+(1-(B704/C704/100)),(INT(P704/B704)+(((P704-B704*INT(P704/B704)))/C704)/100))))</f>
        <v>0</v>
      </c>
      <c r="BB704" s="28">
        <f>R704</f>
        <v>250</v>
      </c>
      <c r="BC704" s="28">
        <f>S704</f>
        <v>0</v>
      </c>
      <c r="BD704" s="28">
        <f>AF704</f>
        <v>563.63749999999993</v>
      </c>
      <c r="BE704" s="28">
        <f>T704</f>
        <v>0</v>
      </c>
      <c r="BG704" s="57">
        <f>IF(ISERROR(IF(B704=C704,V704/C704,(INT(V704/B704)+(((V704-B704*INT(V704/B704)))/C704)/100))),0,(IF(B704=C704,V704/C704,(INT(V704/B704)+(((V704-B704*INT(V704/B704)))/C704)/100))))</f>
        <v>10.02</v>
      </c>
      <c r="BH704" s="57">
        <f>IF(ISERROR(IF(B704=C704,W704/C704,(INT(W704/B704)+(((W704-B704*INT(W704/B704)))/C704)/100))),0,(IF(B704=C704,W704/C704,(INT(W704/B704)+(((W704-B704*INT(W704/B704)))/C704)/100))))</f>
        <v>9</v>
      </c>
      <c r="BI704" s="57">
        <f>IF(ISERROR(IF(B704=C704,X704/C704,(INT(X704/B704)+(((X704-B704*INT(X704/B704)))/C704)/100))),0,(IF(B704=C704,X704/C704,(INT(X704/B704)+(((X704-B704*INT(X704/B704)))/C704)/100))))</f>
        <v>0</v>
      </c>
      <c r="BJ704" s="57">
        <f>IF(ISERROR(IF(B704=C704,Y704/C704,(INT(Y704/B704)+(((Y704-B704*INT(Y704/B704)))/C704)/100))),0,(IF(B704=C704,Y704/C704,(INT(Y704/B704)+(((Y704-B704*INT(Y704/B704)))/C704)/100))))</f>
        <v>0</v>
      </c>
      <c r="BL704" s="57">
        <f>IF(ISERROR(IF(B704=C704,AA704/C704,(INT(AA704/B704)+(((AA704-B704*INT(AA704/B704)))/C704)/100))),0,(IF(B704=C704,AA704/C704,(INT(AA704/B704)+(((AA704-B704*INT(AA704/B704)))/C704)/100))))</f>
        <v>7.02</v>
      </c>
      <c r="BM704" s="57">
        <f>IF(ISERROR(IF(B704=C704,AB704/C704,(INT(AB704/B704)+(((AB704-B704*INT(AB704/B704)))/C704)/100))),0,(IF(B704=C704,AB704/C704,(INT(AB704/B704)+(((AB704-B704*INT(AB704/B704)))/C704)/100))))</f>
        <v>12</v>
      </c>
      <c r="BN704" s="57">
        <f>IF(ISERROR(IF(B704=C704,AC704/C704,(INT(AC704/B704)+(((AC704-B704*INT(AC704/B704)))/C704)/100))),0,(IF(B704=C704,AC704/C704,(INT(AC704/B704)+(((AC704-B704*INT(AC704/B704)))/C704)/100))))</f>
        <v>0</v>
      </c>
      <c r="BO704" s="57">
        <f>IF(ISERROR(IF(B704=C704,AD704/C704,(INT(AD704/B704)+(((AD704-B704*INT(AD704/B704)))/C704)/100))),0,(IF(B704=C704,AD704/C704,(INT(AD704/B704)+(((AD704-B704*INT(AD704/B704)))/C704)/100))))</f>
        <v>0</v>
      </c>
      <c r="BQ704" s="155" t="s">
        <v>173</v>
      </c>
    </row>
    <row r="705" spans="1:69" x14ac:dyDescent="0.35">
      <c r="A705" s="94" t="s">
        <v>180</v>
      </c>
      <c r="B705" s="113">
        <v>750</v>
      </c>
      <c r="C705" s="113">
        <v>150</v>
      </c>
      <c r="D705" s="28">
        <f>SUM(AA705:AD705)</f>
        <v>5100</v>
      </c>
      <c r="E705" s="113">
        <v>0</v>
      </c>
      <c r="F705" s="113">
        <v>0</v>
      </c>
      <c r="G705" s="28">
        <f>SUM(D705:F705)</f>
        <v>5100</v>
      </c>
      <c r="H705" s="164">
        <v>0</v>
      </c>
      <c r="I705" s="113">
        <v>0</v>
      </c>
      <c r="J705" s="125">
        <v>0</v>
      </c>
      <c r="K705" s="113">
        <v>0</v>
      </c>
      <c r="L705" s="113">
        <v>0</v>
      </c>
      <c r="M705" s="113">
        <v>0</v>
      </c>
      <c r="N705" s="28">
        <f>G705-SUM(H705:M705)</f>
        <v>5100</v>
      </c>
      <c r="O705" s="28">
        <f>SUM(V705:Y705)</f>
        <v>5100</v>
      </c>
      <c r="P705" s="28">
        <f>O705-N705</f>
        <v>0</v>
      </c>
      <c r="Q705" s="61" t="str">
        <f>IF(ISERROR(P705/SUM(H705:L705)),"",P705/SUM(H705:L705))</f>
        <v/>
      </c>
      <c r="R705" s="113">
        <v>250</v>
      </c>
      <c r="S705" s="28">
        <f>IF(ISERROR(P705/C705*R705),0,(P705/C705*R705))</f>
        <v>0</v>
      </c>
      <c r="T705" s="60">
        <f>IF(ISERROR(P705/B705*AF705),0,(P705/B705*AF705))</f>
        <v>0</v>
      </c>
      <c r="V705" s="113">
        <v>2100</v>
      </c>
      <c r="W705" s="113">
        <f>4*750</f>
        <v>3000</v>
      </c>
      <c r="X705" s="113">
        <v>0</v>
      </c>
      <c r="Y705" s="113">
        <v>0</v>
      </c>
      <c r="AA705" s="113">
        <f>2*750+4*150</f>
        <v>2100</v>
      </c>
      <c r="AB705" s="113">
        <f>4*750</f>
        <v>3000</v>
      </c>
      <c r="AC705" s="113">
        <v>0</v>
      </c>
      <c r="AD705" s="113">
        <v>0</v>
      </c>
      <c r="AF705" s="162">
        <f>7090.95/12</f>
        <v>590.91250000000002</v>
      </c>
      <c r="AG705" s="28">
        <f>G705-O705</f>
        <v>0</v>
      </c>
      <c r="AH705" s="58">
        <f>IF(ISERROR(AG705/B705*AF705),0,(AG705/B705*AF705))</f>
        <v>0</v>
      </c>
      <c r="AI705" s="28">
        <f>SUM(H705:M705)</f>
        <v>0</v>
      </c>
      <c r="AJ705" s="28">
        <f>IF(ISERROR(AI705/B705*AF705),0,(AI705/B705*AF705))</f>
        <v>0</v>
      </c>
      <c r="AK705" s="58">
        <f>IF(ISERROR(O705/B705*AF705),0,(O705/B705*AF705))</f>
        <v>4018.2049999999999</v>
      </c>
      <c r="AL705" s="28">
        <f>IF(ISERROR(H705/B705*AF705),0,(H705/B705*AF705))</f>
        <v>0</v>
      </c>
      <c r="AN705" s="51" t="str">
        <f>A705</f>
        <v xml:space="preserve">Myra Shiraz </v>
      </c>
      <c r="AO705" s="57">
        <f>IF(ISERROR(IF(B705=C705,D705/C705,(INT(D705/B705)+(((D705-B705*INT(D705/B705)))/C705)/100))),0,(IF(B705=C705,D705/C705,(INT(D705/B705)+(((D705-B705*INT(D705/B705)))/C705)/100))))</f>
        <v>6.04</v>
      </c>
      <c r="AP705" s="57">
        <f>IF(ISERROR(IF(B705=C705,E705/C705,(INT(E705/B705)+(((E705-B705*INT(E705/B705)))/C705)/100))),0,(IF(B705=C705,E705/C705,(INT(E705/B705)+(((E705-B705*INT(E705/B705)))/C705)/100))))</f>
        <v>0</v>
      </c>
      <c r="AQ705" s="57">
        <f>IF(ISERROR(IF(B705=C705,F705/C705,IF((INT(F705/B705)+(((F705-B705*INT(F705/B705)))/C705)/100)&lt;0,(INT(F705/B705)+(((F705-B705*INT(F705/B705)))/C705)/100)+(1-(B705/C705/100)),(INT(F705/B705)+(((F705-B705*INT(F705/B705)))/C705)/100)))),0,IF(B705=C705,F705/C705,IF((INT(F705/B705)+(((F705-B705*INT(F705/B705)))/C705)/100)&lt;0,(INT(F705/B705)+(((F705-B705*INT(F705/B705)))/C705)/100)+(1-(B705/C705/100)),(INT(F705/B705)+(((F705-B705*INT(F705/B705)))/C705)/100))))</f>
        <v>0</v>
      </c>
      <c r="AR705" s="57">
        <f>IF(ISERROR(IF(B705=C705,G705/C705,(INT(G705/B705)+(((G705-B705*INT(G705/B705)))/C705)/100))),0,(IF(B705=C705,G705/C705,(INT(G705/B705)+(((G705-B705*INT(G705/B705)))/C705)/100))))</f>
        <v>6.04</v>
      </c>
      <c r="AS705" s="57">
        <f>IF(ISERROR(IF(B705=C705,H705/C705,(INT(H705/B705)+(((H705-B705*INT(H705/B705)))/C705)/100))),0,(IF(B705=C705,H705/C705,(INT(H705/B705)+(((H705-B705*INT(H705/B705)))/C705)/100))))</f>
        <v>0</v>
      </c>
      <c r="AT705" s="57">
        <f>IF(ISERROR(IF(B705=C705,I705/C705,(INT(I705/B705)+(((I705-B705*INT(I705/B705)))/C705)/100))),0,(IF(B705=C705,I705/C705,(INT(I705/B705)+(((I705-B705*INT(I705/B705)))/C705)/100))))</f>
        <v>0</v>
      </c>
      <c r="AU705" s="57">
        <f>IF(ISERROR(IF(B705=C705,J705/C705,(INT(J705/B705)+(((J705-B705*INT(J705/B705)))/C705)/100))),0,(IF(B705=C705,J705/C705,(INT(J705/B705)+(((J705-B705*INT(J705/B705)))/C705)/100))))</f>
        <v>0</v>
      </c>
      <c r="AV705" s="57">
        <f>IF(ISERROR(IF(B705=C705,K705/C705,IF((INT(K705/B705)+(((K705-B705*INT(K705/B705)))/C705)/100)&lt;0,(INT(K705/B705)+(((K705-B705*INT(K705/B705)))/C705)/100)+(1-(B705/C705/100)),(INT(K705/B705)+(((K705-B705*INT(K705/B705)))/C705)/100)))),0,IF(B705=C705,K705/C705,IF((INT(K705/B705)+(((K705-B705*INT(K705/B705)))/C705)/100)&lt;0,(INT(K705/B705)+(((K705-B705*INT(K705/B705)))/C705)/100)+(1-(B705/C705/100)),(INT(K705/B705)+(((K705-B705*INT(K705/B705)))/C705)/100))))</f>
        <v>0</v>
      </c>
      <c r="AW705" s="57">
        <f>IF(ISERROR(IF(B705=C705,L705/C705,(INT(L705/B705)+(((L705-B705*INT(L705/B705)))/C705)/100))),0,(IF(B705=C705,L705/C705,(INT(L705/B705)+(((L705-B705*INT(L705/B705)))/C705)/100))))</f>
        <v>0</v>
      </c>
      <c r="AX705" s="57">
        <f>IF(ISERROR(IF(B705=C705,M705/C705,(INT(M705/B705)+(((M705-B705*INT(M705/B705)))/C705)/100))),0,(IF(B705=C705,M705/C705,(INT(M705/B705)+(((M705-B705*INT(M705/B705)))/C705)/100))))</f>
        <v>0</v>
      </c>
      <c r="AY705" s="57">
        <f>IF(ISERROR(IF(B705=C705,N705/C705,IF((INT(N705/B705)+(((N705-B705*INT(N705/B705)))/C705)/100)&lt;0,(INT(N705/B705)+(((N705-B705*INT(N705/B705)))/C705)/100)+(1-(B705/C705/100)),(INT(N705/B705)+(((N705-B705*INT(N705/B705)))/C705)/100)))),0,IF(B705=C705,N705/C705,IF((INT(N705/B705)+(((N705-B705*INT(N705/B705)))/C705)/100)&lt;0,(INT(N705/B705)+(((N705-B705*INT(N705/B705)))/C705)/100)+(1-(B705/C705/100)),(INT(N705/B705)+(((N705-B705*INT(N705/B705)))/C705)/100))))</f>
        <v>6.04</v>
      </c>
      <c r="AZ705" s="57">
        <f>IF(ISERROR(IF(B705=C705,O705/C705,(INT(O705/B705)+(((O705-B705*INT(O705/B705)))/C705)/100))),0,(IF(B705=C705,O705/C705,(INT(O705/B705)+(((O705-B705*INT(O705/B705)))/C705)/100))))</f>
        <v>6.04</v>
      </c>
      <c r="BA705" s="57">
        <f>IF(ISERROR(IF(B705=C705,P705/C705,IF((INT(P705/B705)+(((P705-B705*INT(P705/B705)))/C705)/100)&lt;0,(INT(P705/B705)+(((P705-B705*INT(P705/B705)))/C705)/100)+(1-(B705/C705/100)),(INT(P705/B705)+(((P705-B705*INT(P705/B705)))/C705)/100)))),0,IF(B705=C705,P705/C705,IF((INT(P705/B705)+(((P705-B705*INT(P705/B705)))/C705)/100)&lt;0,(INT(P705/B705)+(((P705-B705*INT(P705/B705)))/C705)/100)+(1-(B705/C705/100)),(INT(P705/B705)+(((P705-B705*INT(P705/B705)))/C705)/100))))</f>
        <v>0</v>
      </c>
      <c r="BB705" s="28">
        <f>R705</f>
        <v>250</v>
      </c>
      <c r="BC705" s="28">
        <f>S705</f>
        <v>0</v>
      </c>
      <c r="BD705" s="28">
        <f>AF705</f>
        <v>590.91250000000002</v>
      </c>
      <c r="BE705" s="28">
        <f>T705</f>
        <v>0</v>
      </c>
      <c r="BG705" s="57">
        <f>IF(ISERROR(IF(B705=C705,V705/C705,(INT(V705/B705)+(((V705-B705*INT(V705/B705)))/C705)/100))),0,(IF(B705=C705,V705/C705,(INT(V705/B705)+(((V705-B705*INT(V705/B705)))/C705)/100))))</f>
        <v>2.04</v>
      </c>
      <c r="BH705" s="57">
        <f>IF(ISERROR(IF(B705=C705,W705/C705,(INT(W705/B705)+(((W705-B705*INT(W705/B705)))/C705)/100))),0,(IF(B705=C705,W705/C705,(INT(W705/B705)+(((W705-B705*INT(W705/B705)))/C705)/100))))</f>
        <v>4</v>
      </c>
      <c r="BI705" s="57">
        <f>IF(ISERROR(IF(B705=C705,X705/C705,(INT(X705/B705)+(((X705-B705*INT(X705/B705)))/C705)/100))),0,(IF(B705=C705,X705/C705,(INT(X705/B705)+(((X705-B705*INT(X705/B705)))/C705)/100))))</f>
        <v>0</v>
      </c>
      <c r="BJ705" s="57">
        <f>IF(ISERROR(IF(B705=C705,Y705/C705,(INT(Y705/B705)+(((Y705-B705*INT(Y705/B705)))/C705)/100))),0,(IF(B705=C705,Y705/C705,(INT(Y705/B705)+(((Y705-B705*INT(Y705/B705)))/C705)/100))))</f>
        <v>0</v>
      </c>
      <c r="BL705" s="57">
        <f>IF(ISERROR(IF(B705=C705,AA705/C705,(INT(AA705/B705)+(((AA705-B705*INT(AA705/B705)))/C705)/100))),0,(IF(B705=C705,AA705/C705,(INT(AA705/B705)+(((AA705-B705*INT(AA705/B705)))/C705)/100))))</f>
        <v>2.04</v>
      </c>
      <c r="BM705" s="57">
        <f>IF(ISERROR(IF(B705=C705,AB705/C705,(INT(AB705/B705)+(((AB705-B705*INT(AB705/B705)))/C705)/100))),0,(IF(B705=C705,AB705/C705,(INT(AB705/B705)+(((AB705-B705*INT(AB705/B705)))/C705)/100))))</f>
        <v>4</v>
      </c>
      <c r="BN705" s="57">
        <f>IF(ISERROR(IF(B705=C705,AC705/C705,(INT(AC705/B705)+(((AC705-B705*INT(AC705/B705)))/C705)/100))),0,(IF(B705=C705,AC705/C705,(INT(AC705/B705)+(((AC705-B705*INT(AC705/B705)))/C705)/100))))</f>
        <v>0</v>
      </c>
      <c r="BO705" s="57">
        <f>IF(ISERROR(IF(B705=C705,AD705/C705,(INT(AD705/B705)+(((AD705-B705*INT(AD705/B705)))/C705)/100))),0,(IF(B705=C705,AD705/C705,(INT(AD705/B705)+(((AD705-B705*INT(AD705/B705)))/C705)/100))))</f>
        <v>0</v>
      </c>
      <c r="BQ705" s="155" t="s">
        <v>173</v>
      </c>
    </row>
    <row r="706" spans="1:69" x14ac:dyDescent="0.35">
      <c r="A706" s="165" t="s">
        <v>179</v>
      </c>
      <c r="B706" s="113">
        <v>750</v>
      </c>
      <c r="C706" s="113">
        <v>150</v>
      </c>
      <c r="D706" s="28">
        <f>SUM(AA706:AD706)</f>
        <v>6900</v>
      </c>
      <c r="E706" s="113">
        <v>0</v>
      </c>
      <c r="F706" s="113">
        <v>0</v>
      </c>
      <c r="G706" s="28">
        <f>SUM(D706:F706)</f>
        <v>6900</v>
      </c>
      <c r="H706" s="164">
        <v>0</v>
      </c>
      <c r="I706" s="113">
        <v>0</v>
      </c>
      <c r="J706" s="125">
        <v>0</v>
      </c>
      <c r="K706" s="113">
        <v>0</v>
      </c>
      <c r="L706" s="113">
        <v>0</v>
      </c>
      <c r="M706" s="113">
        <v>0</v>
      </c>
      <c r="N706" s="28">
        <f>G706-SUM(H706:M706)</f>
        <v>6900</v>
      </c>
      <c r="O706" s="28">
        <f>SUM(V706:Y706)</f>
        <v>6900</v>
      </c>
      <c r="P706" s="28">
        <f>O706-N706</f>
        <v>0</v>
      </c>
      <c r="Q706" s="61" t="str">
        <f>IF(ISERROR(P706/SUM(H706:L706)),"",P706/SUM(H706:L706))</f>
        <v/>
      </c>
      <c r="R706" s="113">
        <v>250</v>
      </c>
      <c r="S706" s="28">
        <f>IF(ISERROR(P706/C706*R706),0,(P706/C706*R706))</f>
        <v>0</v>
      </c>
      <c r="T706" s="60">
        <f>IF(ISERROR(P706/B706*AF706),0,(P706/B706*AF706))</f>
        <v>0</v>
      </c>
      <c r="V706" s="113">
        <f>2*750+1*150</f>
        <v>1650</v>
      </c>
      <c r="W706" s="113">
        <f>7*750</f>
        <v>5250</v>
      </c>
      <c r="X706" s="113">
        <v>0</v>
      </c>
      <c r="Y706" s="113">
        <v>0</v>
      </c>
      <c r="AA706" s="113">
        <f>2*750+150</f>
        <v>1650</v>
      </c>
      <c r="AB706" s="113">
        <f>7*750</f>
        <v>5250</v>
      </c>
      <c r="AC706" s="113">
        <v>0</v>
      </c>
      <c r="AD706" s="113">
        <v>0</v>
      </c>
      <c r="AF706" s="155">
        <v>727</v>
      </c>
      <c r="AG706" s="28">
        <f>G706-O706</f>
        <v>0</v>
      </c>
      <c r="AH706" s="58">
        <f>IF(ISERROR(AG706/B706*AF706),0,(AG706/B706*AF706))</f>
        <v>0</v>
      </c>
      <c r="AI706" s="28">
        <f>SUM(H706:M706)</f>
        <v>0</v>
      </c>
      <c r="AJ706" s="28">
        <f>IF(ISERROR(AI706/B706*AF706),0,(AI706/B706*AF706))</f>
        <v>0</v>
      </c>
      <c r="AK706" s="58">
        <f>IF(ISERROR(O706/B706*AF706),0,(O706/B706*AF706))</f>
        <v>6688.4</v>
      </c>
      <c r="AL706" s="28">
        <f>IF(ISERROR(H706/B706*AF706),0,(H706/B706*AF706))</f>
        <v>0</v>
      </c>
      <c r="AN706" s="51" t="str">
        <f>A706</f>
        <v xml:space="preserve">Reserve Shiraz </v>
      </c>
      <c r="AO706" s="57">
        <f>IF(ISERROR(IF(B706=C706,D706/C706,(INT(D706/B706)+(((D706-B706*INT(D706/B706)))/C706)/100))),0,(IF(B706=C706,D706/C706,(INT(D706/B706)+(((D706-B706*INT(D706/B706)))/C706)/100))))</f>
        <v>9.01</v>
      </c>
      <c r="AP706" s="57">
        <f>IF(ISERROR(IF(B706=C706,E706/C706,(INT(E706/B706)+(((E706-B706*INT(E706/B706)))/C706)/100))),0,(IF(B706=C706,E706/C706,(INT(E706/B706)+(((E706-B706*INT(E706/B706)))/C706)/100))))</f>
        <v>0</v>
      </c>
      <c r="AQ706" s="57">
        <f>IF(ISERROR(IF(B706=C706,F706/C706,IF((INT(F706/B706)+(((F706-B706*INT(F706/B706)))/C706)/100)&lt;0,(INT(F706/B706)+(((F706-B706*INT(F706/B706)))/C706)/100)+(1-(B706/C706/100)),(INT(F706/B706)+(((F706-B706*INT(F706/B706)))/C706)/100)))),0,IF(B706=C706,F706/C706,IF((INT(F706/B706)+(((F706-B706*INT(F706/B706)))/C706)/100)&lt;0,(INT(F706/B706)+(((F706-B706*INT(F706/B706)))/C706)/100)+(1-(B706/C706/100)),(INT(F706/B706)+(((F706-B706*INT(F706/B706)))/C706)/100))))</f>
        <v>0</v>
      </c>
      <c r="AR706" s="57">
        <f>IF(ISERROR(IF(B706=C706,G706/C706,(INT(G706/B706)+(((G706-B706*INT(G706/B706)))/C706)/100))),0,(IF(B706=C706,G706/C706,(INT(G706/B706)+(((G706-B706*INT(G706/B706)))/C706)/100))))</f>
        <v>9.01</v>
      </c>
      <c r="AS706" s="57">
        <f>IF(ISERROR(IF(B706=C706,H706/C706,(INT(H706/B706)+(((H706-B706*INT(H706/B706)))/C706)/100))),0,(IF(B706=C706,H706/C706,(INT(H706/B706)+(((H706-B706*INT(H706/B706)))/C706)/100))))</f>
        <v>0</v>
      </c>
      <c r="AT706" s="57">
        <f>IF(ISERROR(IF(B706=C706,I706/C706,(INT(I706/B706)+(((I706-B706*INT(I706/B706)))/C706)/100))),0,(IF(B706=C706,I706/C706,(INT(I706/B706)+(((I706-B706*INT(I706/B706)))/C706)/100))))</f>
        <v>0</v>
      </c>
      <c r="AU706" s="57">
        <f>IF(ISERROR(IF(B706=C706,J706/C706,(INT(J706/B706)+(((J706-B706*INT(J706/B706)))/C706)/100))),0,(IF(B706=C706,J706/C706,(INT(J706/B706)+(((J706-B706*INT(J706/B706)))/C706)/100))))</f>
        <v>0</v>
      </c>
      <c r="AV706" s="57">
        <f>IF(ISERROR(IF(B706=C706,K706/C706,IF((INT(K706/B706)+(((K706-B706*INT(K706/B706)))/C706)/100)&lt;0,(INT(K706/B706)+(((K706-B706*INT(K706/B706)))/C706)/100)+(1-(B706/C706/100)),(INT(K706/B706)+(((K706-B706*INT(K706/B706)))/C706)/100)))),0,IF(B706=C706,K706/C706,IF((INT(K706/B706)+(((K706-B706*INT(K706/B706)))/C706)/100)&lt;0,(INT(K706/B706)+(((K706-B706*INT(K706/B706)))/C706)/100)+(1-(B706/C706/100)),(INT(K706/B706)+(((K706-B706*INT(K706/B706)))/C706)/100))))</f>
        <v>0</v>
      </c>
      <c r="AW706" s="57">
        <f>IF(ISERROR(IF(B706=C706,L706/C706,(INT(L706/B706)+(((L706-B706*INT(L706/B706)))/C706)/100))),0,(IF(B706=C706,L706/C706,(INT(L706/B706)+(((L706-B706*INT(L706/B706)))/C706)/100))))</f>
        <v>0</v>
      </c>
      <c r="AX706" s="57">
        <f>IF(ISERROR(IF(B706=C706,M706/C706,(INT(M706/B706)+(((M706-B706*INT(M706/B706)))/C706)/100))),0,(IF(B706=C706,M706/C706,(INT(M706/B706)+(((M706-B706*INT(M706/B706)))/C706)/100))))</f>
        <v>0</v>
      </c>
      <c r="AY706" s="57">
        <f>IF(ISERROR(IF(B706=C706,N706/C706,IF((INT(N706/B706)+(((N706-B706*INT(N706/B706)))/C706)/100)&lt;0,(INT(N706/B706)+(((N706-B706*INT(N706/B706)))/C706)/100)+(1-(B706/C706/100)),(INT(N706/B706)+(((N706-B706*INT(N706/B706)))/C706)/100)))),0,IF(B706=C706,N706/C706,IF((INT(N706/B706)+(((N706-B706*INT(N706/B706)))/C706)/100)&lt;0,(INT(N706/B706)+(((N706-B706*INT(N706/B706)))/C706)/100)+(1-(B706/C706/100)),(INT(N706/B706)+(((N706-B706*INT(N706/B706)))/C706)/100))))</f>
        <v>9.01</v>
      </c>
      <c r="AZ706" s="57">
        <f>IF(ISERROR(IF(B706=C706,O706/C706,(INT(O706/B706)+(((O706-B706*INT(O706/B706)))/C706)/100))),0,(IF(B706=C706,O706/C706,(INT(O706/B706)+(((O706-B706*INT(O706/B706)))/C706)/100))))</f>
        <v>9.01</v>
      </c>
      <c r="BA706" s="57">
        <f>IF(ISERROR(IF(B706=C706,P706/C706,IF((INT(P706/B706)+(((P706-B706*INT(P706/B706)))/C706)/100)&lt;0,(INT(P706/B706)+(((P706-B706*INT(P706/B706)))/C706)/100)+(1-(B706/C706/100)),(INT(P706/B706)+(((P706-B706*INT(P706/B706)))/C706)/100)))),0,IF(B706=C706,P706/C706,IF((INT(P706/B706)+(((P706-B706*INT(P706/B706)))/C706)/100)&lt;0,(INT(P706/B706)+(((P706-B706*INT(P706/B706)))/C706)/100)+(1-(B706/C706/100)),(INT(P706/B706)+(((P706-B706*INT(P706/B706)))/C706)/100))))</f>
        <v>0</v>
      </c>
      <c r="BB706" s="28">
        <f>R706</f>
        <v>250</v>
      </c>
      <c r="BC706" s="28">
        <f>S706</f>
        <v>0</v>
      </c>
      <c r="BD706" s="28">
        <f>AF706</f>
        <v>727</v>
      </c>
      <c r="BE706" s="28">
        <f>T706</f>
        <v>0</v>
      </c>
      <c r="BG706" s="57">
        <f>IF(ISERROR(IF(B706=C706,V706/C706,(INT(V706/B706)+(((V706-B706*INT(V706/B706)))/C706)/100))),0,(IF(B706=C706,V706/C706,(INT(V706/B706)+(((V706-B706*INT(V706/B706)))/C706)/100))))</f>
        <v>2.0099999999999998</v>
      </c>
      <c r="BH706" s="57">
        <f>IF(ISERROR(IF(B706=C706,W706/C706,(INT(W706/B706)+(((W706-B706*INT(W706/B706)))/C706)/100))),0,(IF(B706=C706,W706/C706,(INT(W706/B706)+(((W706-B706*INT(W706/B706)))/C706)/100))))</f>
        <v>7</v>
      </c>
      <c r="BI706" s="57">
        <f>IF(ISERROR(IF(B706=C706,X706/C706,(INT(X706/B706)+(((X706-B706*INT(X706/B706)))/C706)/100))),0,(IF(B706=C706,X706/C706,(INT(X706/B706)+(((X706-B706*INT(X706/B706)))/C706)/100))))</f>
        <v>0</v>
      </c>
      <c r="BJ706" s="57">
        <f>IF(ISERROR(IF(B706=C706,Y706/C706,(INT(Y706/B706)+(((Y706-B706*INT(Y706/B706)))/C706)/100))),0,(IF(B706=C706,Y706/C706,(INT(Y706/B706)+(((Y706-B706*INT(Y706/B706)))/C706)/100))))</f>
        <v>0</v>
      </c>
      <c r="BL706" s="57">
        <f>IF(ISERROR(IF(B706=C706,AA706/C706,(INT(AA706/B706)+(((AA706-B706*INT(AA706/B706)))/C706)/100))),0,(IF(B706=C706,AA706/C706,(INT(AA706/B706)+(((AA706-B706*INT(AA706/B706)))/C706)/100))))</f>
        <v>2.0099999999999998</v>
      </c>
      <c r="BM706" s="57">
        <f>IF(ISERROR(IF(B706=C706,AB706/C706,(INT(AB706/B706)+(((AB706-B706*INT(AB706/B706)))/C706)/100))),0,(IF(B706=C706,AB706/C706,(INT(AB706/B706)+(((AB706-B706*INT(AB706/B706)))/C706)/100))))</f>
        <v>7</v>
      </c>
      <c r="BN706" s="57">
        <f>IF(ISERROR(IF(B706=C706,AC706/C706,(INT(AC706/B706)+(((AC706-B706*INT(AC706/B706)))/C706)/100))),0,(IF(B706=C706,AC706/C706,(INT(AC706/B706)+(((AC706-B706*INT(AC706/B706)))/C706)/100))))</f>
        <v>0</v>
      </c>
      <c r="BO706" s="57">
        <f>IF(ISERROR(IF(B706=C706,AD706/C706,(INT(AD706/B706)+(((AD706-B706*INT(AD706/B706)))/C706)/100))),0,(IF(B706=C706,AD706/C706,(INT(AD706/B706)+(((AD706-B706*INT(AD706/B706)))/C706)/100))))</f>
        <v>0</v>
      </c>
      <c r="BQ706" s="155" t="s">
        <v>173</v>
      </c>
    </row>
    <row r="707" spans="1:69" x14ac:dyDescent="0.35">
      <c r="A707" s="134" t="s">
        <v>178</v>
      </c>
      <c r="B707" s="113">
        <v>750</v>
      </c>
      <c r="C707" s="113">
        <v>150</v>
      </c>
      <c r="D707" s="28">
        <f>SUM(AA707:AD707)</f>
        <v>0</v>
      </c>
      <c r="E707" s="113">
        <v>0</v>
      </c>
      <c r="F707" s="113">
        <v>0</v>
      </c>
      <c r="G707" s="28">
        <f>SUM(D707:F707)</f>
        <v>0</v>
      </c>
      <c r="H707" s="125">
        <v>0</v>
      </c>
      <c r="I707" s="113">
        <v>0</v>
      </c>
      <c r="J707" s="125">
        <v>0</v>
      </c>
      <c r="K707" s="113">
        <v>0</v>
      </c>
      <c r="L707" s="113">
        <v>0</v>
      </c>
      <c r="M707" s="113">
        <v>0</v>
      </c>
      <c r="N707" s="28">
        <f>G707-SUM(H707:M707)</f>
        <v>0</v>
      </c>
      <c r="O707" s="28">
        <f>SUM(V707:Y707)</f>
        <v>0</v>
      </c>
      <c r="P707" s="28">
        <f>O707-N707</f>
        <v>0</v>
      </c>
      <c r="Q707" s="61" t="str">
        <f>IF(ISERROR(P707/SUM(H707:L707)),"",P707/SUM(H707:L707))</f>
        <v/>
      </c>
      <c r="R707" s="113">
        <v>300</v>
      </c>
      <c r="S707" s="28">
        <f>IF(ISERROR(P707/C707*R707),0,(P707/C707*R707))</f>
        <v>0</v>
      </c>
      <c r="T707" s="60">
        <f>IF(ISERROR(P707/B707*AF707),0,(P707/B707*AF707))</f>
        <v>0</v>
      </c>
      <c r="V707" s="113">
        <v>0</v>
      </c>
      <c r="W707" s="113">
        <v>0</v>
      </c>
      <c r="X707" s="113">
        <v>0</v>
      </c>
      <c r="Y707" s="113">
        <v>0</v>
      </c>
      <c r="AA707" s="113">
        <v>0</v>
      </c>
      <c r="AB707" s="113">
        <v>0</v>
      </c>
      <c r="AC707" s="113">
        <v>0</v>
      </c>
      <c r="AD707" s="113">
        <v>0</v>
      </c>
      <c r="AF707" s="155">
        <v>859.0958333333333</v>
      </c>
      <c r="AG707" s="28">
        <f>G707-O707</f>
        <v>0</v>
      </c>
      <c r="AH707" s="58">
        <f>IF(ISERROR(AG707/B707*AF707),0,(AG707/B707*AF707))</f>
        <v>0</v>
      </c>
      <c r="AI707" s="28">
        <f>SUM(H707:M707)</f>
        <v>0</v>
      </c>
      <c r="AJ707" s="28">
        <f>IF(ISERROR(AI707/B707*AF707),0,(AI707/B707*AF707))</f>
        <v>0</v>
      </c>
      <c r="AK707" s="58">
        <f>IF(ISERROR(O707/B707*AF707),0,(O707/B707*AF707))</f>
        <v>0</v>
      </c>
      <c r="AL707" s="28">
        <f>IF(ISERROR(H707/B707*AF707),0,(H707/B707*AF707))</f>
        <v>0</v>
      </c>
      <c r="AN707" s="51" t="str">
        <f>A707</f>
        <v xml:space="preserve">Sula Brut </v>
      </c>
      <c r="AO707" s="57">
        <f>IF(ISERROR(IF(B707=C707,D707/C707,(INT(D707/B707)+(((D707-B707*INT(D707/B707)))/C707)/100))),0,(IF(B707=C707,D707/C707,(INT(D707/B707)+(((D707-B707*INT(D707/B707)))/C707)/100))))</f>
        <v>0</v>
      </c>
      <c r="AP707" s="57">
        <f>IF(ISERROR(IF(B707=C707,E707/C707,(INT(E707/B707)+(((E707-B707*INT(E707/B707)))/C707)/100))),0,(IF(B707=C707,E707/C707,(INT(E707/B707)+(((E707-B707*INT(E707/B707)))/C707)/100))))</f>
        <v>0</v>
      </c>
      <c r="AQ707" s="57">
        <f>IF(ISERROR(IF(B707=C707,F707/C707,IF((INT(F707/B707)+(((F707-B707*INT(F707/B707)))/C707)/100)&lt;0,(INT(F707/B707)+(((F707-B707*INT(F707/B707)))/C707)/100)+(1-(B707/C707/100)),(INT(F707/B707)+(((F707-B707*INT(F707/B707)))/C707)/100)))),0,IF(B707=C707,F707/C707,IF((INT(F707/B707)+(((F707-B707*INT(F707/B707)))/C707)/100)&lt;0,(INT(F707/B707)+(((F707-B707*INT(F707/B707)))/C707)/100)+(1-(B707/C707/100)),(INT(F707/B707)+(((F707-B707*INT(F707/B707)))/C707)/100))))</f>
        <v>0</v>
      </c>
      <c r="AR707" s="57">
        <f>IF(ISERROR(IF(B707=C707,G707/C707,(INT(G707/B707)+(((G707-B707*INT(G707/B707)))/C707)/100))),0,(IF(B707=C707,G707/C707,(INT(G707/B707)+(((G707-B707*INT(G707/B707)))/C707)/100))))</f>
        <v>0</v>
      </c>
      <c r="AS707" s="57">
        <f>IF(ISERROR(IF(B707=C707,H707/C707,(INT(H707/B707)+(((H707-B707*INT(H707/B707)))/C707)/100))),0,(IF(B707=C707,H707/C707,(INT(H707/B707)+(((H707-B707*INT(H707/B707)))/C707)/100))))</f>
        <v>0</v>
      </c>
      <c r="AT707" s="57">
        <f>IF(ISERROR(IF(B707=C707,I707/C707,(INT(I707/B707)+(((I707-B707*INT(I707/B707)))/C707)/100))),0,(IF(B707=C707,I707/C707,(INT(I707/B707)+(((I707-B707*INT(I707/B707)))/C707)/100))))</f>
        <v>0</v>
      </c>
      <c r="AU707" s="57">
        <f>IF(ISERROR(IF(B707=C707,J707/C707,(INT(J707/B707)+(((J707-B707*INT(J707/B707)))/C707)/100))),0,(IF(B707=C707,J707/C707,(INT(J707/B707)+(((J707-B707*INT(J707/B707)))/C707)/100))))</f>
        <v>0</v>
      </c>
      <c r="AV707" s="57">
        <f>IF(ISERROR(IF(B707=C707,K707/C707,IF((INT(K707/B707)+(((K707-B707*INT(K707/B707)))/C707)/100)&lt;0,(INT(K707/B707)+(((K707-B707*INT(K707/B707)))/C707)/100)+(1-(B707/C707/100)),(INT(K707/B707)+(((K707-B707*INT(K707/B707)))/C707)/100)))),0,IF(B707=C707,K707/C707,IF((INT(K707/B707)+(((K707-B707*INT(K707/B707)))/C707)/100)&lt;0,(INT(K707/B707)+(((K707-B707*INT(K707/B707)))/C707)/100)+(1-(B707/C707/100)),(INT(K707/B707)+(((K707-B707*INT(K707/B707)))/C707)/100))))</f>
        <v>0</v>
      </c>
      <c r="AW707" s="57">
        <f>IF(ISERROR(IF(B707=C707,L707/C707,(INT(L707/B707)+(((L707-B707*INT(L707/B707)))/C707)/100))),0,(IF(B707=C707,L707/C707,(INT(L707/B707)+(((L707-B707*INT(L707/B707)))/C707)/100))))</f>
        <v>0</v>
      </c>
      <c r="AX707" s="57">
        <f>IF(ISERROR(IF(B707=C707,M707/C707,(INT(M707/B707)+(((M707-B707*INT(M707/B707)))/C707)/100))),0,(IF(B707=C707,M707/C707,(INT(M707/B707)+(((M707-B707*INT(M707/B707)))/C707)/100))))</f>
        <v>0</v>
      </c>
      <c r="AY707" s="57">
        <f>IF(ISERROR(IF(B707=C707,N707/C707,IF((INT(N707/B707)+(((N707-B707*INT(N707/B707)))/C707)/100)&lt;0,(INT(N707/B707)+(((N707-B707*INT(N707/B707)))/C707)/100)+(1-(B707/C707/100)),(INT(N707/B707)+(((N707-B707*INT(N707/B707)))/C707)/100)))),0,IF(B707=C707,N707/C707,IF((INT(N707/B707)+(((N707-B707*INT(N707/B707)))/C707)/100)&lt;0,(INT(N707/B707)+(((N707-B707*INT(N707/B707)))/C707)/100)+(1-(B707/C707/100)),(INT(N707/B707)+(((N707-B707*INT(N707/B707)))/C707)/100))))</f>
        <v>0</v>
      </c>
      <c r="AZ707" s="57">
        <f>IF(ISERROR(IF(B707=C707,O707/C707,(INT(O707/B707)+(((O707-B707*INT(O707/B707)))/C707)/100))),0,(IF(B707=C707,O707/C707,(INT(O707/B707)+(((O707-B707*INT(O707/B707)))/C707)/100))))</f>
        <v>0</v>
      </c>
      <c r="BA707" s="57">
        <f>IF(ISERROR(IF(B707=C707,P707/C707,IF((INT(P707/B707)+(((P707-B707*INT(P707/B707)))/C707)/100)&lt;0,(INT(P707/B707)+(((P707-B707*INT(P707/B707)))/C707)/100)+(1-(B707/C707/100)),(INT(P707/B707)+(((P707-B707*INT(P707/B707)))/C707)/100)))),0,IF(B707=C707,P707/C707,IF((INT(P707/B707)+(((P707-B707*INT(P707/B707)))/C707)/100)&lt;0,(INT(P707/B707)+(((P707-B707*INT(P707/B707)))/C707)/100)+(1-(B707/C707/100)),(INT(P707/B707)+(((P707-B707*INT(P707/B707)))/C707)/100))))</f>
        <v>0</v>
      </c>
      <c r="BB707" s="28">
        <f>R707</f>
        <v>300</v>
      </c>
      <c r="BC707" s="28">
        <f>S707</f>
        <v>0</v>
      </c>
      <c r="BD707" s="28">
        <f>AF707</f>
        <v>859.0958333333333</v>
      </c>
      <c r="BE707" s="28">
        <f>T707</f>
        <v>0</v>
      </c>
      <c r="BG707" s="57">
        <f>IF(ISERROR(IF(B707=C707,V707/C707,(INT(V707/B707)+(((V707-B707*INT(V707/B707)))/C707)/100))),0,(IF(B707=C707,V707/C707,(INT(V707/B707)+(((V707-B707*INT(V707/B707)))/C707)/100))))</f>
        <v>0</v>
      </c>
      <c r="BH707" s="57">
        <f>IF(ISERROR(IF(B707=C707,W707/C707,(INT(W707/B707)+(((W707-B707*INT(W707/B707)))/C707)/100))),0,(IF(B707=C707,W707/C707,(INT(W707/B707)+(((W707-B707*INT(W707/B707)))/C707)/100))))</f>
        <v>0</v>
      </c>
      <c r="BI707" s="57">
        <f>IF(ISERROR(IF(B707=C707,X707/C707,(INT(X707/B707)+(((X707-B707*INT(X707/B707)))/C707)/100))),0,(IF(B707=C707,X707/C707,(INT(X707/B707)+(((X707-B707*INT(X707/B707)))/C707)/100))))</f>
        <v>0</v>
      </c>
      <c r="BJ707" s="57">
        <f>IF(ISERROR(IF(B707=C707,Y707/C707,(INT(Y707/B707)+(((Y707-B707*INT(Y707/B707)))/C707)/100))),0,(IF(B707=C707,Y707/C707,(INT(Y707/B707)+(((Y707-B707*INT(Y707/B707)))/C707)/100))))</f>
        <v>0</v>
      </c>
      <c r="BL707" s="57">
        <f>IF(ISERROR(IF(B707=C707,AA707/C707,(INT(AA707/B707)+(((AA707-B707*INT(AA707/B707)))/C707)/100))),0,(IF(B707=C707,AA707/C707,(INT(AA707/B707)+(((AA707-B707*INT(AA707/B707)))/C707)/100))))</f>
        <v>0</v>
      </c>
      <c r="BM707" s="57">
        <f>IF(ISERROR(IF(B707=C707,AB707/C707,(INT(AB707/B707)+(((AB707-B707*INT(AB707/B707)))/C707)/100))),0,(IF(B707=C707,AB707/C707,(INT(AB707/B707)+(((AB707-B707*INT(AB707/B707)))/C707)/100))))</f>
        <v>0</v>
      </c>
      <c r="BN707" s="57">
        <f>IF(ISERROR(IF(B707=C707,AC707/C707,(INT(AC707/B707)+(((AC707-B707*INT(AC707/B707)))/C707)/100))),0,(IF(B707=C707,AC707/C707,(INT(AC707/B707)+(((AC707-B707*INT(AC707/B707)))/C707)/100))))</f>
        <v>0</v>
      </c>
      <c r="BO707" s="57">
        <f>IF(ISERROR(IF(B707=C707,AD707/C707,(INT(AD707/B707)+(((AD707-B707*INT(AD707/B707)))/C707)/100))),0,(IF(B707=C707,AD707/C707,(INT(AD707/B707)+(((AD707-B707*INT(AD707/B707)))/C707)/100))))</f>
        <v>0</v>
      </c>
      <c r="BQ707" s="155" t="s">
        <v>173</v>
      </c>
    </row>
    <row r="708" spans="1:69" x14ac:dyDescent="0.35">
      <c r="A708" s="134" t="s">
        <v>177</v>
      </c>
      <c r="B708" s="113">
        <v>750</v>
      </c>
      <c r="C708" s="113">
        <v>150</v>
      </c>
      <c r="D708" s="28">
        <f>SUM(AA708:AD708)</f>
        <v>13500</v>
      </c>
      <c r="E708" s="113">
        <v>0</v>
      </c>
      <c r="F708" s="113">
        <v>0</v>
      </c>
      <c r="G708" s="28">
        <f>SUM(D708:F708)</f>
        <v>13500</v>
      </c>
      <c r="H708" s="164">
        <v>0</v>
      </c>
      <c r="I708" s="113">
        <v>0</v>
      </c>
      <c r="J708" s="125">
        <v>0</v>
      </c>
      <c r="K708" s="113">
        <v>0</v>
      </c>
      <c r="L708" s="113">
        <v>0</v>
      </c>
      <c r="M708" s="113">
        <v>0</v>
      </c>
      <c r="N708" s="28">
        <f>G708-SUM(H708:M708)</f>
        <v>13500</v>
      </c>
      <c r="O708" s="28">
        <f>SUM(V708:Y708)</f>
        <v>13500</v>
      </c>
      <c r="P708" s="28">
        <f>O708-N708</f>
        <v>0</v>
      </c>
      <c r="Q708" s="61" t="str">
        <f>IF(ISERROR(P708/SUM(H708:L708)),"",P708/SUM(H708:L708))</f>
        <v/>
      </c>
      <c r="R708" s="113">
        <v>150</v>
      </c>
      <c r="S708" s="28">
        <f>IF(ISERROR(P708/C708*R708),0,(P708/C708*R708))</f>
        <v>0</v>
      </c>
      <c r="T708" s="60">
        <f>IF(ISERROR(P708/B708*AF708),0,(P708/B708*AF708))</f>
        <v>0</v>
      </c>
      <c r="V708" s="113">
        <f>2*750+3*750</f>
        <v>3750</v>
      </c>
      <c r="W708" s="113">
        <f>13*750</f>
        <v>9750</v>
      </c>
      <c r="X708" s="113">
        <v>0</v>
      </c>
      <c r="Y708" s="113">
        <v>0</v>
      </c>
      <c r="AA708" s="113">
        <f>5*750</f>
        <v>3750</v>
      </c>
      <c r="AB708" s="113">
        <f>13*750</f>
        <v>9750</v>
      </c>
      <c r="AC708" s="113">
        <v>0</v>
      </c>
      <c r="AD708" s="113">
        <v>0</v>
      </c>
      <c r="AF708" s="155">
        <v>300.00416666666666</v>
      </c>
      <c r="AG708" s="28">
        <f>G708-O708</f>
        <v>0</v>
      </c>
      <c r="AH708" s="58">
        <f>IF(ISERROR(AG708/B708*AF708),0,(AG708/B708*AF708))</f>
        <v>0</v>
      </c>
      <c r="AI708" s="28">
        <f>SUM(H708:M708)</f>
        <v>0</v>
      </c>
      <c r="AJ708" s="28">
        <f>IF(ISERROR(AI708/B708*AF708),0,(AI708/B708*AF708))</f>
        <v>0</v>
      </c>
      <c r="AK708" s="58">
        <f>IF(ISERROR(O708/B708*AF708),0,(O708/B708*AF708))</f>
        <v>5400.0749999999998</v>
      </c>
      <c r="AL708" s="28">
        <f>IF(ISERROR(H708/B708*AF708),0,(H708/B708*AF708))</f>
        <v>0</v>
      </c>
      <c r="AN708" s="51" t="str">
        <f>A708</f>
        <v>THB Sauvignong Blanc</v>
      </c>
      <c r="AO708" s="57">
        <f>IF(ISERROR(IF(B708=C708,D708/C708,(INT(D708/B708)+(((D708-B708*INT(D708/B708)))/C708)/100))),0,(IF(B708=C708,D708/C708,(INT(D708/B708)+(((D708-B708*INT(D708/B708)))/C708)/100))))</f>
        <v>18</v>
      </c>
      <c r="AP708" s="57">
        <f>IF(ISERROR(IF(B708=C708,E708/C708,(INT(E708/B708)+(((E708-B708*INT(E708/B708)))/C708)/100))),0,(IF(B708=C708,E708/C708,(INT(E708/B708)+(((E708-B708*INT(E708/B708)))/C708)/100))))</f>
        <v>0</v>
      </c>
      <c r="AQ708" s="57">
        <f>IF(ISERROR(IF(B708=C708,F708/C708,IF((INT(F708/B708)+(((F708-B708*INT(F708/B708)))/C708)/100)&lt;0,(INT(F708/B708)+(((F708-B708*INT(F708/B708)))/C708)/100)+(1-(B708/C708/100)),(INT(F708/B708)+(((F708-B708*INT(F708/B708)))/C708)/100)))),0,IF(B708=C708,F708/C708,IF((INT(F708/B708)+(((F708-B708*INT(F708/B708)))/C708)/100)&lt;0,(INT(F708/B708)+(((F708-B708*INT(F708/B708)))/C708)/100)+(1-(B708/C708/100)),(INT(F708/B708)+(((F708-B708*INT(F708/B708)))/C708)/100))))</f>
        <v>0</v>
      </c>
      <c r="AR708" s="57">
        <f>IF(ISERROR(IF(B708=C708,G708/C708,(INT(G708/B708)+(((G708-B708*INT(G708/B708)))/C708)/100))),0,(IF(B708=C708,G708/C708,(INT(G708/B708)+(((G708-B708*INT(G708/B708)))/C708)/100))))</f>
        <v>18</v>
      </c>
      <c r="AS708" s="57">
        <f>IF(ISERROR(IF(B708=C708,H708/C708,(INT(H708/B708)+(((H708-B708*INT(H708/B708)))/C708)/100))),0,(IF(B708=C708,H708/C708,(INT(H708/B708)+(((H708-B708*INT(H708/B708)))/C708)/100))))</f>
        <v>0</v>
      </c>
      <c r="AT708" s="57">
        <f>IF(ISERROR(IF(B708=C708,I708/C708,(INT(I708/B708)+(((I708-B708*INT(I708/B708)))/C708)/100))),0,(IF(B708=C708,I708/C708,(INT(I708/B708)+(((I708-B708*INT(I708/B708)))/C708)/100))))</f>
        <v>0</v>
      </c>
      <c r="AU708" s="57">
        <f>IF(ISERROR(IF(B708=C708,J708/C708,(INT(J708/B708)+(((J708-B708*INT(J708/B708)))/C708)/100))),0,(IF(B708=C708,J708/C708,(INT(J708/B708)+(((J708-B708*INT(J708/B708)))/C708)/100))))</f>
        <v>0</v>
      </c>
      <c r="AV708" s="57">
        <f>IF(ISERROR(IF(B708=C708,K708/C708,IF((INT(K708/B708)+(((K708-B708*INT(K708/B708)))/C708)/100)&lt;0,(INT(K708/B708)+(((K708-B708*INT(K708/B708)))/C708)/100)+(1-(B708/C708/100)),(INT(K708/B708)+(((K708-B708*INT(K708/B708)))/C708)/100)))),0,IF(B708=C708,K708/C708,IF((INT(K708/B708)+(((K708-B708*INT(K708/B708)))/C708)/100)&lt;0,(INT(K708/B708)+(((K708-B708*INT(K708/B708)))/C708)/100)+(1-(B708/C708/100)),(INT(K708/B708)+(((K708-B708*INT(K708/B708)))/C708)/100))))</f>
        <v>0</v>
      </c>
      <c r="AW708" s="57">
        <f>IF(ISERROR(IF(B708=C708,L708/C708,(INT(L708/B708)+(((L708-B708*INT(L708/B708)))/C708)/100))),0,(IF(B708=C708,L708/C708,(INT(L708/B708)+(((L708-B708*INT(L708/B708)))/C708)/100))))</f>
        <v>0</v>
      </c>
      <c r="AX708" s="57">
        <f>IF(ISERROR(IF(B708=C708,M708/C708,(INT(M708/B708)+(((M708-B708*INT(M708/B708)))/C708)/100))),0,(IF(B708=C708,M708/C708,(INT(M708/B708)+(((M708-B708*INT(M708/B708)))/C708)/100))))</f>
        <v>0</v>
      </c>
      <c r="AY708" s="57">
        <f>IF(ISERROR(IF(B708=C708,N708/C708,IF((INT(N708/B708)+(((N708-B708*INT(N708/B708)))/C708)/100)&lt;0,(INT(N708/B708)+(((N708-B708*INT(N708/B708)))/C708)/100)+(1-(B708/C708/100)),(INT(N708/B708)+(((N708-B708*INT(N708/B708)))/C708)/100)))),0,IF(B708=C708,N708/C708,IF((INT(N708/B708)+(((N708-B708*INT(N708/B708)))/C708)/100)&lt;0,(INT(N708/B708)+(((N708-B708*INT(N708/B708)))/C708)/100)+(1-(B708/C708/100)),(INT(N708/B708)+(((N708-B708*INT(N708/B708)))/C708)/100))))</f>
        <v>18</v>
      </c>
      <c r="AZ708" s="57">
        <f>IF(ISERROR(IF(B708=C708,O708/C708,(INT(O708/B708)+(((O708-B708*INT(O708/B708)))/C708)/100))),0,(IF(B708=C708,O708/C708,(INT(O708/B708)+(((O708-B708*INT(O708/B708)))/C708)/100))))</f>
        <v>18</v>
      </c>
      <c r="BA708" s="57">
        <f>IF(ISERROR(IF(B708=C708,P708/C708,IF((INT(P708/B708)+(((P708-B708*INT(P708/B708)))/C708)/100)&lt;0,(INT(P708/B708)+(((P708-B708*INT(P708/B708)))/C708)/100)+(1-(B708/C708/100)),(INT(P708/B708)+(((P708-B708*INT(P708/B708)))/C708)/100)))),0,IF(B708=C708,P708/C708,IF((INT(P708/B708)+(((P708-B708*INT(P708/B708)))/C708)/100)&lt;0,(INT(P708/B708)+(((P708-B708*INT(P708/B708)))/C708)/100)+(1-(B708/C708/100)),(INT(P708/B708)+(((P708-B708*INT(P708/B708)))/C708)/100))))</f>
        <v>0</v>
      </c>
      <c r="BB708" s="28">
        <f>R708</f>
        <v>150</v>
      </c>
      <c r="BC708" s="28">
        <f>S708</f>
        <v>0</v>
      </c>
      <c r="BD708" s="28">
        <f>AF708</f>
        <v>300.00416666666666</v>
      </c>
      <c r="BE708" s="28">
        <f>T708</f>
        <v>0</v>
      </c>
      <c r="BG708" s="57">
        <f>IF(ISERROR(IF(B708=C708,V708/C708,(INT(V708/B708)+(((V708-B708*INT(V708/B708)))/C708)/100))),0,(IF(B708=C708,V708/C708,(INT(V708/B708)+(((V708-B708*INT(V708/B708)))/C708)/100))))</f>
        <v>5</v>
      </c>
      <c r="BH708" s="57">
        <f>IF(ISERROR(IF(B708=C708,W708/C708,(INT(W708/B708)+(((W708-B708*INT(W708/B708)))/C708)/100))),0,(IF(B708=C708,W708/C708,(INT(W708/B708)+(((W708-B708*INT(W708/B708)))/C708)/100))))</f>
        <v>13</v>
      </c>
      <c r="BI708" s="57">
        <f>IF(ISERROR(IF(B708=C708,X708/C708,(INT(X708/B708)+(((X708-B708*INT(X708/B708)))/C708)/100))),0,(IF(B708=C708,X708/C708,(INT(X708/B708)+(((X708-B708*INT(X708/B708)))/C708)/100))))</f>
        <v>0</v>
      </c>
      <c r="BJ708" s="57">
        <f>IF(ISERROR(IF(B708=C708,Y708/C708,(INT(Y708/B708)+(((Y708-B708*INT(Y708/B708)))/C708)/100))),0,(IF(B708=C708,Y708/C708,(INT(Y708/B708)+(((Y708-B708*INT(Y708/B708)))/C708)/100))))</f>
        <v>0</v>
      </c>
      <c r="BL708" s="57">
        <f>IF(ISERROR(IF(B708=C708,AA708/C708,(INT(AA708/B708)+(((AA708-B708*INT(AA708/B708)))/C708)/100))),0,(IF(B708=C708,AA708/C708,(INT(AA708/B708)+(((AA708-B708*INT(AA708/B708)))/C708)/100))))</f>
        <v>5</v>
      </c>
      <c r="BM708" s="57">
        <f>IF(ISERROR(IF(B708=C708,AB708/C708,(INT(AB708/B708)+(((AB708-B708*INT(AB708/B708)))/C708)/100))),0,(IF(B708=C708,AB708/C708,(INT(AB708/B708)+(((AB708-B708*INT(AB708/B708)))/C708)/100))))</f>
        <v>13</v>
      </c>
      <c r="BN708" s="57">
        <f>IF(ISERROR(IF(B708=C708,AC708/C708,(INT(AC708/B708)+(((AC708-B708*INT(AC708/B708)))/C708)/100))),0,(IF(B708=C708,AC708/C708,(INT(AC708/B708)+(((AC708-B708*INT(AC708/B708)))/C708)/100))))</f>
        <v>0</v>
      </c>
      <c r="BO708" s="57">
        <f>IF(ISERROR(IF(B708=C708,AD708/C708,(INT(AD708/B708)+(((AD708-B708*INT(AD708/B708)))/C708)/100))),0,(IF(B708=C708,AD708/C708,(INT(AD708/B708)+(((AD708-B708*INT(AD708/B708)))/C708)/100))))</f>
        <v>0</v>
      </c>
      <c r="BQ708" s="155" t="s">
        <v>173</v>
      </c>
    </row>
    <row r="709" spans="1:69" x14ac:dyDescent="0.35">
      <c r="A709" s="134" t="s">
        <v>176</v>
      </c>
      <c r="B709" s="113">
        <v>750</v>
      </c>
      <c r="C709" s="113">
        <v>150</v>
      </c>
      <c r="D709" s="28">
        <f>SUM(AA709:AD709)</f>
        <v>10650</v>
      </c>
      <c r="E709" s="113">
        <v>0</v>
      </c>
      <c r="F709" s="113">
        <v>0</v>
      </c>
      <c r="G709" s="28">
        <f>SUM(D709:F709)</f>
        <v>10650</v>
      </c>
      <c r="H709" s="164">
        <v>0</v>
      </c>
      <c r="I709" s="113">
        <v>0</v>
      </c>
      <c r="J709" s="125">
        <v>0</v>
      </c>
      <c r="K709" s="113">
        <v>0</v>
      </c>
      <c r="L709" s="113">
        <v>0</v>
      </c>
      <c r="M709" s="113">
        <v>0</v>
      </c>
      <c r="N709" s="28">
        <f>G709-SUM(H709:M709)</f>
        <v>10650</v>
      </c>
      <c r="O709" s="28">
        <f>SUM(V709:Y709)</f>
        <v>10650</v>
      </c>
      <c r="P709" s="28">
        <f>O709-N709</f>
        <v>0</v>
      </c>
      <c r="Q709" s="61" t="str">
        <f>IF(ISERROR(P709/SUM(H709:L709)),"",P709/SUM(H709:L709))</f>
        <v/>
      </c>
      <c r="R709" s="113">
        <v>150</v>
      </c>
      <c r="S709" s="28">
        <f>IF(ISERROR(P709/C709*R709),0,(P709/C709*R709))</f>
        <v>0</v>
      </c>
      <c r="T709" s="60">
        <f>IF(ISERROR(P709/B709*AF709),0,(P709/B709*AF709))</f>
        <v>0</v>
      </c>
      <c r="V709" s="113">
        <f>3*750+150</f>
        <v>2400</v>
      </c>
      <c r="W709" s="113">
        <f>11*750</f>
        <v>8250</v>
      </c>
      <c r="X709" s="113">
        <v>0</v>
      </c>
      <c r="Y709" s="113">
        <v>0</v>
      </c>
      <c r="AA709" s="113">
        <f>3*750+150</f>
        <v>2400</v>
      </c>
      <c r="AB709" s="113">
        <f>11*750</f>
        <v>8250</v>
      </c>
      <c r="AC709" s="113">
        <v>0</v>
      </c>
      <c r="AD709" s="113">
        <v>0</v>
      </c>
      <c r="AF709" s="155">
        <v>300.00416666666666</v>
      </c>
      <c r="AG709" s="28">
        <f>G709-O709</f>
        <v>0</v>
      </c>
      <c r="AH709" s="58">
        <f>IF(ISERROR(AG709/B709*AF709),0,(AG709/B709*AF709))</f>
        <v>0</v>
      </c>
      <c r="AI709" s="28">
        <f>SUM(H709:M709)</f>
        <v>0</v>
      </c>
      <c r="AJ709" s="28">
        <f>IF(ISERROR(AI709/B709*AF709),0,(AI709/B709*AF709))</f>
        <v>0</v>
      </c>
      <c r="AK709" s="58">
        <f>IF(ISERROR(O709/B709*AF709),0,(O709/B709*AF709))</f>
        <v>4260.059166666666</v>
      </c>
      <c r="AL709" s="28">
        <f>IF(ISERROR(H709/B709*AF709),0,(H709/B709*AF709))</f>
        <v>0</v>
      </c>
      <c r="AN709" s="51" t="str">
        <f>A709</f>
        <v xml:space="preserve">THB Shiraz cabernet </v>
      </c>
      <c r="AO709" s="57">
        <f>IF(ISERROR(IF(B709=C709,D709/C709,(INT(D709/B709)+(((D709-B709*INT(D709/B709)))/C709)/100))),0,(IF(B709=C709,D709/C709,(INT(D709/B709)+(((D709-B709*INT(D709/B709)))/C709)/100))))</f>
        <v>14.01</v>
      </c>
      <c r="AP709" s="57">
        <f>IF(ISERROR(IF(B709=C709,E709/C709,(INT(E709/B709)+(((E709-B709*INT(E709/B709)))/C709)/100))),0,(IF(B709=C709,E709/C709,(INT(E709/B709)+(((E709-B709*INT(E709/B709)))/C709)/100))))</f>
        <v>0</v>
      </c>
      <c r="AQ709" s="57">
        <f>IF(ISERROR(IF(B709=C709,F709/C709,IF((INT(F709/B709)+(((F709-B709*INT(F709/B709)))/C709)/100)&lt;0,(INT(F709/B709)+(((F709-B709*INT(F709/B709)))/C709)/100)+(1-(B709/C709/100)),(INT(F709/B709)+(((F709-B709*INT(F709/B709)))/C709)/100)))),0,IF(B709=C709,F709/C709,IF((INT(F709/B709)+(((F709-B709*INT(F709/B709)))/C709)/100)&lt;0,(INT(F709/B709)+(((F709-B709*INT(F709/B709)))/C709)/100)+(1-(B709/C709/100)),(INT(F709/B709)+(((F709-B709*INT(F709/B709)))/C709)/100))))</f>
        <v>0</v>
      </c>
      <c r="AR709" s="57">
        <f>IF(ISERROR(IF(B709=C709,G709/C709,(INT(G709/B709)+(((G709-B709*INT(G709/B709)))/C709)/100))),0,(IF(B709=C709,G709/C709,(INT(G709/B709)+(((G709-B709*INT(G709/B709)))/C709)/100))))</f>
        <v>14.01</v>
      </c>
      <c r="AS709" s="57">
        <f>IF(ISERROR(IF(B709=C709,H709/C709,(INT(H709/B709)+(((H709-B709*INT(H709/B709)))/C709)/100))),0,(IF(B709=C709,H709/C709,(INT(H709/B709)+(((H709-B709*INT(H709/B709)))/C709)/100))))</f>
        <v>0</v>
      </c>
      <c r="AT709" s="57">
        <f>IF(ISERROR(IF(B709=C709,I709/C709,(INT(I709/B709)+(((I709-B709*INT(I709/B709)))/C709)/100))),0,(IF(B709=C709,I709/C709,(INT(I709/B709)+(((I709-B709*INT(I709/B709)))/C709)/100))))</f>
        <v>0</v>
      </c>
      <c r="AU709" s="57">
        <f>IF(ISERROR(IF(B709=C709,J709/C709,(INT(J709/B709)+(((J709-B709*INT(J709/B709)))/C709)/100))),0,(IF(B709=C709,J709/C709,(INT(J709/B709)+(((J709-B709*INT(J709/B709)))/C709)/100))))</f>
        <v>0</v>
      </c>
      <c r="AV709" s="57">
        <f>IF(ISERROR(IF(B709=C709,K709/C709,IF((INT(K709/B709)+(((K709-B709*INT(K709/B709)))/C709)/100)&lt;0,(INT(K709/B709)+(((K709-B709*INT(K709/B709)))/C709)/100)+(1-(B709/C709/100)),(INT(K709/B709)+(((K709-B709*INT(K709/B709)))/C709)/100)))),0,IF(B709=C709,K709/C709,IF((INT(K709/B709)+(((K709-B709*INT(K709/B709)))/C709)/100)&lt;0,(INT(K709/B709)+(((K709-B709*INT(K709/B709)))/C709)/100)+(1-(B709/C709/100)),(INT(K709/B709)+(((K709-B709*INT(K709/B709)))/C709)/100))))</f>
        <v>0</v>
      </c>
      <c r="AW709" s="57">
        <f>IF(ISERROR(IF(B709=C709,L709/C709,(INT(L709/B709)+(((L709-B709*INT(L709/B709)))/C709)/100))),0,(IF(B709=C709,L709/C709,(INT(L709/B709)+(((L709-B709*INT(L709/B709)))/C709)/100))))</f>
        <v>0</v>
      </c>
      <c r="AX709" s="57">
        <f>IF(ISERROR(IF(B709=C709,M709/C709,(INT(M709/B709)+(((M709-B709*INT(M709/B709)))/C709)/100))),0,(IF(B709=C709,M709/C709,(INT(M709/B709)+(((M709-B709*INT(M709/B709)))/C709)/100))))</f>
        <v>0</v>
      </c>
      <c r="AY709" s="57">
        <f>IF(ISERROR(IF(B709=C709,N709/C709,IF((INT(N709/B709)+(((N709-B709*INT(N709/B709)))/C709)/100)&lt;0,(INT(N709/B709)+(((N709-B709*INT(N709/B709)))/C709)/100)+(1-(B709/C709/100)),(INT(N709/B709)+(((N709-B709*INT(N709/B709)))/C709)/100)))),0,IF(B709=C709,N709/C709,IF((INT(N709/B709)+(((N709-B709*INT(N709/B709)))/C709)/100)&lt;0,(INT(N709/B709)+(((N709-B709*INT(N709/B709)))/C709)/100)+(1-(B709/C709/100)),(INT(N709/B709)+(((N709-B709*INT(N709/B709)))/C709)/100))))</f>
        <v>14.01</v>
      </c>
      <c r="AZ709" s="57">
        <f>IF(ISERROR(IF(B709=C709,O709/C709,(INT(O709/B709)+(((O709-B709*INT(O709/B709)))/C709)/100))),0,(IF(B709=C709,O709/C709,(INT(O709/B709)+(((O709-B709*INT(O709/B709)))/C709)/100))))</f>
        <v>14.01</v>
      </c>
      <c r="BA709" s="57">
        <f>IF(ISERROR(IF(B709=C709,P709/C709,IF((INT(P709/B709)+(((P709-B709*INT(P709/B709)))/C709)/100)&lt;0,(INT(P709/B709)+(((P709-B709*INT(P709/B709)))/C709)/100)+(1-(B709/C709/100)),(INT(P709/B709)+(((P709-B709*INT(P709/B709)))/C709)/100)))),0,IF(B709=C709,P709/C709,IF((INT(P709/B709)+(((P709-B709*INT(P709/B709)))/C709)/100)&lt;0,(INT(P709/B709)+(((P709-B709*INT(P709/B709)))/C709)/100)+(1-(B709/C709/100)),(INT(P709/B709)+(((P709-B709*INT(P709/B709)))/C709)/100))))</f>
        <v>0</v>
      </c>
      <c r="BB709" s="28">
        <f>R709</f>
        <v>150</v>
      </c>
      <c r="BC709" s="28">
        <f>S709</f>
        <v>0</v>
      </c>
      <c r="BD709" s="28">
        <f>AF709</f>
        <v>300.00416666666666</v>
      </c>
      <c r="BE709" s="28">
        <f>T709</f>
        <v>0</v>
      </c>
      <c r="BG709" s="57">
        <f>IF(ISERROR(IF(B709=C709,V709/C709,(INT(V709/B709)+(((V709-B709*INT(V709/B709)))/C709)/100))),0,(IF(B709=C709,V709/C709,(INT(V709/B709)+(((V709-B709*INT(V709/B709)))/C709)/100))))</f>
        <v>3.01</v>
      </c>
      <c r="BH709" s="57">
        <f>IF(ISERROR(IF(B709=C709,W709/C709,(INT(W709/B709)+(((W709-B709*INT(W709/B709)))/C709)/100))),0,(IF(B709=C709,W709/C709,(INT(W709/B709)+(((W709-B709*INT(W709/B709)))/C709)/100))))</f>
        <v>11</v>
      </c>
      <c r="BI709" s="57">
        <f>IF(ISERROR(IF(B709=C709,X709/C709,(INT(X709/B709)+(((X709-B709*INT(X709/B709)))/C709)/100))),0,(IF(B709=C709,X709/C709,(INT(X709/B709)+(((X709-B709*INT(X709/B709)))/C709)/100))))</f>
        <v>0</v>
      </c>
      <c r="BJ709" s="57">
        <f>IF(ISERROR(IF(B709=C709,Y709/C709,(INT(Y709/B709)+(((Y709-B709*INT(Y709/B709)))/C709)/100))),0,(IF(B709=C709,Y709/C709,(INT(Y709/B709)+(((Y709-B709*INT(Y709/B709)))/C709)/100))))</f>
        <v>0</v>
      </c>
      <c r="BL709" s="57">
        <f>IF(ISERROR(IF(B709=C709,AA709/C709,(INT(AA709/B709)+(((AA709-B709*INT(AA709/B709)))/C709)/100))),0,(IF(B709=C709,AA709/C709,(INT(AA709/B709)+(((AA709-B709*INT(AA709/B709)))/C709)/100))))</f>
        <v>3.01</v>
      </c>
      <c r="BM709" s="57">
        <f>IF(ISERROR(IF(B709=C709,AB709/C709,(INT(AB709/B709)+(((AB709-B709*INT(AB709/B709)))/C709)/100))),0,(IF(B709=C709,AB709/C709,(INT(AB709/B709)+(((AB709-B709*INT(AB709/B709)))/C709)/100))))</f>
        <v>11</v>
      </c>
      <c r="BN709" s="57">
        <f>IF(ISERROR(IF(B709=C709,AC709/C709,(INT(AC709/B709)+(((AC709-B709*INT(AC709/B709)))/C709)/100))),0,(IF(B709=C709,AC709/C709,(INT(AC709/B709)+(((AC709-B709*INT(AC709/B709)))/C709)/100))))</f>
        <v>0</v>
      </c>
      <c r="BO709" s="57">
        <f>IF(ISERROR(IF(B709=C709,AD709/C709,(INT(AD709/B709)+(((AD709-B709*INT(AD709/B709)))/C709)/100))),0,(IF(B709=C709,AD709/C709,(INT(AD709/B709)+(((AD709-B709*INT(AD709/B709)))/C709)/100))))</f>
        <v>0</v>
      </c>
      <c r="BQ709" s="155" t="s">
        <v>173</v>
      </c>
    </row>
    <row r="710" spans="1:69" x14ac:dyDescent="0.35">
      <c r="A710" s="134" t="s">
        <v>175</v>
      </c>
      <c r="B710" s="113">
        <v>750</v>
      </c>
      <c r="C710" s="113">
        <v>150</v>
      </c>
      <c r="D710" s="28">
        <f>SUM(AA710:AD710)</f>
        <v>8250</v>
      </c>
      <c r="E710" s="113">
        <v>0</v>
      </c>
      <c r="F710" s="113">
        <v>0</v>
      </c>
      <c r="G710" s="28">
        <f>SUM(D710:F710)</f>
        <v>8250</v>
      </c>
      <c r="H710" s="164">
        <v>0</v>
      </c>
      <c r="I710" s="113">
        <v>0</v>
      </c>
      <c r="J710" s="125">
        <v>0</v>
      </c>
      <c r="K710" s="113">
        <v>0</v>
      </c>
      <c r="L710" s="113">
        <v>0</v>
      </c>
      <c r="M710" s="113">
        <v>0</v>
      </c>
      <c r="N710" s="28">
        <f>G710-SUM(H710:M710)</f>
        <v>8250</v>
      </c>
      <c r="O710" s="28">
        <f>SUM(V710:Y710)</f>
        <v>8250</v>
      </c>
      <c r="P710" s="28">
        <f>O710-N710</f>
        <v>0</v>
      </c>
      <c r="Q710" s="61" t="str">
        <f>IF(ISERROR(P710/SUM(H710:L710)),"",P710/SUM(H710:L710))</f>
        <v/>
      </c>
      <c r="R710" s="113">
        <v>250</v>
      </c>
      <c r="S710" s="28">
        <f>IF(ISERROR(P710/C710*R710),0,(P710/C710*R710))</f>
        <v>0</v>
      </c>
      <c r="T710" s="60">
        <f>IF(ISERROR(P710/B710*AF710),0,(P710/B710*AF710))</f>
        <v>0</v>
      </c>
      <c r="V710" s="113">
        <f>3*750</f>
        <v>2250</v>
      </c>
      <c r="W710" s="113">
        <f>8*750</f>
        <v>6000</v>
      </c>
      <c r="X710" s="113">
        <v>0</v>
      </c>
      <c r="Y710" s="113">
        <v>0</v>
      </c>
      <c r="AA710" s="113">
        <f>3*750</f>
        <v>2250</v>
      </c>
      <c r="AB710" s="113">
        <f>8*750</f>
        <v>6000</v>
      </c>
      <c r="AC710" s="113">
        <v>0</v>
      </c>
      <c r="AD710" s="113">
        <v>0</v>
      </c>
      <c r="AF710" s="162">
        <f>7636.4/12</f>
        <v>636.36666666666667</v>
      </c>
      <c r="AG710" s="28">
        <f>G710-O710</f>
        <v>0</v>
      </c>
      <c r="AH710" s="58">
        <f>IF(ISERROR(AG710/B710*AF710),0,(AG710/B710*AF710))</f>
        <v>0</v>
      </c>
      <c r="AI710" s="28">
        <f>SUM(H710:M710)</f>
        <v>0</v>
      </c>
      <c r="AJ710" s="28">
        <f>IF(ISERROR(AI710/B710*AF710),0,(AI710/B710*AF710))</f>
        <v>0</v>
      </c>
      <c r="AK710" s="58">
        <f>IF(ISERROR(O710/B710*AF710),0,(O710/B710*AF710))</f>
        <v>7000.0333333333338</v>
      </c>
      <c r="AL710" s="28">
        <f>IF(ISERROR(H710/B710*AF710),0,(H710/B710*AF710))</f>
        <v>0</v>
      </c>
      <c r="AN710" s="51" t="str">
        <f>A710</f>
        <v>Four Seasons -Shiraz</v>
      </c>
      <c r="AO710" s="57">
        <f>IF(ISERROR(IF(B710=C710,D710/C710,(INT(D710/B710)+(((D710-B710*INT(D710/B710)))/C710)/100))),0,(IF(B710=C710,D710/C710,(INT(D710/B710)+(((D710-B710*INT(D710/B710)))/C710)/100))))</f>
        <v>11</v>
      </c>
      <c r="AP710" s="57">
        <f>IF(ISERROR(IF(B710=C710,E710/C710,(INT(E710/B710)+(((E710-B710*INT(E710/B710)))/C710)/100))),0,(IF(B710=C710,E710/C710,(INT(E710/B710)+(((E710-B710*INT(E710/B710)))/C710)/100))))</f>
        <v>0</v>
      </c>
      <c r="AQ710" s="57">
        <f>IF(ISERROR(IF(B710=C710,F710/C710,IF((INT(F710/B710)+(((F710-B710*INT(F710/B710)))/C710)/100)&lt;0,(INT(F710/B710)+(((F710-B710*INT(F710/B710)))/C710)/100)+(1-(B710/C710/100)),(INT(F710/B710)+(((F710-B710*INT(F710/B710)))/C710)/100)))),0,IF(B710=C710,F710/C710,IF((INT(F710/B710)+(((F710-B710*INT(F710/B710)))/C710)/100)&lt;0,(INT(F710/B710)+(((F710-B710*INT(F710/B710)))/C710)/100)+(1-(B710/C710/100)),(INT(F710/B710)+(((F710-B710*INT(F710/B710)))/C710)/100))))</f>
        <v>0</v>
      </c>
      <c r="AR710" s="57">
        <f>IF(ISERROR(IF(B710=C710,G710/C710,(INT(G710/B710)+(((G710-B710*INT(G710/B710)))/C710)/100))),0,(IF(B710=C710,G710/C710,(INT(G710/B710)+(((G710-B710*INT(G710/B710)))/C710)/100))))</f>
        <v>11</v>
      </c>
      <c r="AS710" s="57">
        <f>IF(ISERROR(IF(B710=C710,H710/C710,(INT(H710/B710)+(((H710-B710*INT(H710/B710)))/C710)/100))),0,(IF(B710=C710,H710/C710,(INT(H710/B710)+(((H710-B710*INT(H710/B710)))/C710)/100))))</f>
        <v>0</v>
      </c>
      <c r="AT710" s="57">
        <f>IF(ISERROR(IF(B710=C710,I710/C710,(INT(I710/B710)+(((I710-B710*INT(I710/B710)))/C710)/100))),0,(IF(B710=C710,I710/C710,(INT(I710/B710)+(((I710-B710*INT(I710/B710)))/C710)/100))))</f>
        <v>0</v>
      </c>
      <c r="AU710" s="57">
        <f>IF(ISERROR(IF(B710=C710,J710/C710,(INT(J710/B710)+(((J710-B710*INT(J710/B710)))/C710)/100))),0,(IF(B710=C710,J710/C710,(INT(J710/B710)+(((J710-B710*INT(J710/B710)))/C710)/100))))</f>
        <v>0</v>
      </c>
      <c r="AV710" s="57">
        <f>IF(ISERROR(IF(B710=C710,K710/C710,IF((INT(K710/B710)+(((K710-B710*INT(K710/B710)))/C710)/100)&lt;0,(INT(K710/B710)+(((K710-B710*INT(K710/B710)))/C710)/100)+(1-(B710/C710/100)),(INT(K710/B710)+(((K710-B710*INT(K710/B710)))/C710)/100)))),0,IF(B710=C710,K710/C710,IF((INT(K710/B710)+(((K710-B710*INT(K710/B710)))/C710)/100)&lt;0,(INT(K710/B710)+(((K710-B710*INT(K710/B710)))/C710)/100)+(1-(B710/C710/100)),(INT(K710/B710)+(((K710-B710*INT(K710/B710)))/C710)/100))))</f>
        <v>0</v>
      </c>
      <c r="AW710" s="57">
        <f>IF(ISERROR(IF(B710=C710,L710/C710,(INT(L710/B710)+(((L710-B710*INT(L710/B710)))/C710)/100))),0,(IF(B710=C710,L710/C710,(INT(L710/B710)+(((L710-B710*INT(L710/B710)))/C710)/100))))</f>
        <v>0</v>
      </c>
      <c r="AX710" s="57">
        <f>IF(ISERROR(IF(B710=C710,M710/C710,(INT(M710/B710)+(((M710-B710*INT(M710/B710)))/C710)/100))),0,(IF(B710=C710,M710/C710,(INT(M710/B710)+(((M710-B710*INT(M710/B710)))/C710)/100))))</f>
        <v>0</v>
      </c>
      <c r="AY710" s="57">
        <f>IF(ISERROR(IF(B710=C710,N710/C710,IF((INT(N710/B710)+(((N710-B710*INT(N710/B710)))/C710)/100)&lt;0,(INT(N710/B710)+(((N710-B710*INT(N710/B710)))/C710)/100)+(1-(B710/C710/100)),(INT(N710/B710)+(((N710-B710*INT(N710/B710)))/C710)/100)))),0,IF(B710=C710,N710/C710,IF((INT(N710/B710)+(((N710-B710*INT(N710/B710)))/C710)/100)&lt;0,(INT(N710/B710)+(((N710-B710*INT(N710/B710)))/C710)/100)+(1-(B710/C710/100)),(INT(N710/B710)+(((N710-B710*INT(N710/B710)))/C710)/100))))</f>
        <v>11</v>
      </c>
      <c r="AZ710" s="57">
        <f>IF(ISERROR(IF(B710=C710,O710/C710,(INT(O710/B710)+(((O710-B710*INT(O710/B710)))/C710)/100))),0,(IF(B710=C710,O710/C710,(INT(O710/B710)+(((O710-B710*INT(O710/B710)))/C710)/100))))</f>
        <v>11</v>
      </c>
      <c r="BA710" s="57">
        <f>IF(ISERROR(IF(B710=C710,P710/C710,IF((INT(P710/B710)+(((P710-B710*INT(P710/B710)))/C710)/100)&lt;0,(INT(P710/B710)+(((P710-B710*INT(P710/B710)))/C710)/100)+(1-(B710/C710/100)),(INT(P710/B710)+(((P710-B710*INT(P710/B710)))/C710)/100)))),0,IF(B710=C710,P710/C710,IF((INT(P710/B710)+(((P710-B710*INT(P710/B710)))/C710)/100)&lt;0,(INT(P710/B710)+(((P710-B710*INT(P710/B710)))/C710)/100)+(1-(B710/C710/100)),(INT(P710/B710)+(((P710-B710*INT(P710/B710)))/C710)/100))))</f>
        <v>0</v>
      </c>
      <c r="BB710" s="28">
        <f>R710</f>
        <v>250</v>
      </c>
      <c r="BC710" s="28">
        <f>S710</f>
        <v>0</v>
      </c>
      <c r="BD710" s="28">
        <f>AF710</f>
        <v>636.36666666666667</v>
      </c>
      <c r="BE710" s="28">
        <f>T710</f>
        <v>0</v>
      </c>
      <c r="BG710" s="57">
        <f>IF(ISERROR(IF(B710=C710,V710/C710,(INT(V710/B710)+(((V710-B710*INT(V710/B710)))/C710)/100))),0,(IF(B710=C710,V710/C710,(INT(V710/B710)+(((V710-B710*INT(V710/B710)))/C710)/100))))</f>
        <v>3</v>
      </c>
      <c r="BH710" s="57">
        <f>IF(ISERROR(IF(B710=C710,W710/C710,(INT(W710/B710)+(((W710-B710*INT(W710/B710)))/C710)/100))),0,(IF(B710=C710,W710/C710,(INT(W710/B710)+(((W710-B710*INT(W710/B710)))/C710)/100))))</f>
        <v>8</v>
      </c>
      <c r="BI710" s="57">
        <f>IF(ISERROR(IF(B710=C710,X710/C710,(INT(X710/B710)+(((X710-B710*INT(X710/B710)))/C710)/100))),0,(IF(B710=C710,X710/C710,(INT(X710/B710)+(((X710-B710*INT(X710/B710)))/C710)/100))))</f>
        <v>0</v>
      </c>
      <c r="BJ710" s="57">
        <f>IF(ISERROR(IF(B710=C710,Y710/C710,(INT(Y710/B710)+(((Y710-B710*INT(Y710/B710)))/C710)/100))),0,(IF(B710=C710,Y710/C710,(INT(Y710/B710)+(((Y710-B710*INT(Y710/B710)))/C710)/100))))</f>
        <v>0</v>
      </c>
      <c r="BL710" s="57">
        <f>IF(ISERROR(IF(B710=C710,AA710/C710,(INT(AA710/B710)+(((AA710-B710*INT(AA710/B710)))/C710)/100))),0,(IF(B710=C710,AA710/C710,(INT(AA710/B710)+(((AA710-B710*INT(AA710/B710)))/C710)/100))))</f>
        <v>3</v>
      </c>
      <c r="BM710" s="57">
        <f>IF(ISERROR(IF(B710=C710,AB710/C710,(INT(AB710/B710)+(((AB710-B710*INT(AB710/B710)))/C710)/100))),0,(IF(B710=C710,AB710/C710,(INT(AB710/B710)+(((AB710-B710*INT(AB710/B710)))/C710)/100))))</f>
        <v>8</v>
      </c>
      <c r="BN710" s="57">
        <f>IF(ISERROR(IF(B710=C710,AC710/C710,(INT(AC710/B710)+(((AC710-B710*INT(AC710/B710)))/C710)/100))),0,(IF(B710=C710,AC710/C710,(INT(AC710/B710)+(((AC710-B710*INT(AC710/B710)))/C710)/100))))</f>
        <v>0</v>
      </c>
      <c r="BO710" s="57">
        <f>IF(ISERROR(IF(B710=C710,AD710/C710,(INT(AD710/B710)+(((AD710-B710*INT(AD710/B710)))/C710)/100))),0,(IF(B710=C710,AD710/C710,(INT(AD710/B710)+(((AD710-B710*INT(AD710/B710)))/C710)/100))))</f>
        <v>0</v>
      </c>
      <c r="BQ710" s="155" t="s">
        <v>173</v>
      </c>
    </row>
    <row r="711" spans="1:69" x14ac:dyDescent="0.35">
      <c r="A711" s="134" t="s">
        <v>174</v>
      </c>
      <c r="B711" s="113">
        <v>750</v>
      </c>
      <c r="C711" s="113">
        <v>150</v>
      </c>
      <c r="D711" s="28">
        <f>SUM(AA711:AD711)</f>
        <v>2100</v>
      </c>
      <c r="E711" s="113">
        <v>0</v>
      </c>
      <c r="F711" s="113">
        <v>0</v>
      </c>
      <c r="G711" s="28">
        <f>SUM(D711:F711)</f>
        <v>2100</v>
      </c>
      <c r="H711" s="164">
        <v>300</v>
      </c>
      <c r="I711" s="113">
        <v>0</v>
      </c>
      <c r="J711" s="125">
        <v>0</v>
      </c>
      <c r="K711" s="113">
        <v>0</v>
      </c>
      <c r="L711" s="113">
        <v>0</v>
      </c>
      <c r="M711" s="113">
        <v>0</v>
      </c>
      <c r="N711" s="28">
        <f>G711-SUM(H711:M711)</f>
        <v>1800</v>
      </c>
      <c r="O711" s="28">
        <f>SUM(V711:Y711)</f>
        <v>1800</v>
      </c>
      <c r="P711" s="28">
        <f>O711-N711</f>
        <v>0</v>
      </c>
      <c r="Q711" s="61">
        <f>IF(ISERROR(P711/SUM(H711:L711)),"",P711/SUM(H711:L711))</f>
        <v>0</v>
      </c>
      <c r="R711" s="113">
        <v>250</v>
      </c>
      <c r="S711" s="28">
        <f>IF(ISERROR(P711/C711*R711),0,(P711/C711*R711))</f>
        <v>0</v>
      </c>
      <c r="T711" s="60">
        <f>IF(ISERROR(P711/B711*AF711),0,(P711/B711*AF711))</f>
        <v>0</v>
      </c>
      <c r="V711" s="113">
        <f>1*750+2*150</f>
        <v>1050</v>
      </c>
      <c r="W711" s="113">
        <f>1*750</f>
        <v>750</v>
      </c>
      <c r="X711" s="113">
        <v>0</v>
      </c>
      <c r="Y711" s="113">
        <v>0</v>
      </c>
      <c r="AA711" s="113">
        <f>4*150+750</f>
        <v>1350</v>
      </c>
      <c r="AB711" s="113">
        <f>750</f>
        <v>750</v>
      </c>
      <c r="AC711" s="113">
        <v>0</v>
      </c>
      <c r="AD711" s="113">
        <v>0</v>
      </c>
      <c r="AF711" s="162">
        <f>7636.4/12</f>
        <v>636.36666666666667</v>
      </c>
      <c r="AG711" s="28">
        <f>G711-O711</f>
        <v>300</v>
      </c>
      <c r="AH711" s="58">
        <f>IF(ISERROR(AG711/B711*AF711),0,(AG711/B711*AF711))</f>
        <v>254.54666666666668</v>
      </c>
      <c r="AI711" s="28">
        <f>SUM(H711:M711)</f>
        <v>300</v>
      </c>
      <c r="AJ711" s="28">
        <f>IF(ISERROR(AI711/B711*AF711),0,(AI711/B711*AF711))</f>
        <v>254.54666666666668</v>
      </c>
      <c r="AK711" s="58">
        <f>IF(ISERROR(O711/B711*AF711),0,(O711/B711*AF711))</f>
        <v>1527.28</v>
      </c>
      <c r="AL711" s="28">
        <f>IF(ISERROR(H711/B711*AF711),0,(H711/B711*AF711))</f>
        <v>254.54666666666668</v>
      </c>
      <c r="AN711" s="51" t="str">
        <f>A711</f>
        <v>Four Seasons Chenin Blanc</v>
      </c>
      <c r="AO711" s="57">
        <f>IF(ISERROR(IF(B711=C711,D711/C711,(INT(D711/B711)+(((D711-B711*INT(D711/B711)))/C711)/100))),0,(IF(B711=C711,D711/C711,(INT(D711/B711)+(((D711-B711*INT(D711/B711)))/C711)/100))))</f>
        <v>2.04</v>
      </c>
      <c r="AP711" s="57">
        <f>IF(ISERROR(IF(B711=C711,E711/C711,(INT(E711/B711)+(((E711-B711*INT(E711/B711)))/C711)/100))),0,(IF(B711=C711,E711/C711,(INT(E711/B711)+(((E711-B711*INT(E711/B711)))/C711)/100))))</f>
        <v>0</v>
      </c>
      <c r="AQ711" s="57">
        <f>IF(ISERROR(IF(B711=C711,F711/C711,IF((INT(F711/B711)+(((F711-B711*INT(F711/B711)))/C711)/100)&lt;0,(INT(F711/B711)+(((F711-B711*INT(F711/B711)))/C711)/100)+(1-(B711/C711/100)),(INT(F711/B711)+(((F711-B711*INT(F711/B711)))/C711)/100)))),0,IF(B711=C711,F711/C711,IF((INT(F711/B711)+(((F711-B711*INT(F711/B711)))/C711)/100)&lt;0,(INT(F711/B711)+(((F711-B711*INT(F711/B711)))/C711)/100)+(1-(B711/C711/100)),(INT(F711/B711)+(((F711-B711*INT(F711/B711)))/C711)/100))))</f>
        <v>0</v>
      </c>
      <c r="AR711" s="57">
        <f>IF(ISERROR(IF(B711=C711,G711/C711,(INT(G711/B711)+(((G711-B711*INT(G711/B711)))/C711)/100))),0,(IF(B711=C711,G711/C711,(INT(G711/B711)+(((G711-B711*INT(G711/B711)))/C711)/100))))</f>
        <v>2.04</v>
      </c>
      <c r="AS711" s="57">
        <f>IF(ISERROR(IF(B711=C711,H711/C711,(INT(H711/B711)+(((H711-B711*INT(H711/B711)))/C711)/100))),0,(IF(B711=C711,H711/C711,(INT(H711/B711)+(((H711-B711*INT(H711/B711)))/C711)/100))))</f>
        <v>0.02</v>
      </c>
      <c r="AT711" s="57">
        <f>IF(ISERROR(IF(B711=C711,I711/C711,(INT(I711/B711)+(((I711-B711*INT(I711/B711)))/C711)/100))),0,(IF(B711=C711,I711/C711,(INT(I711/B711)+(((I711-B711*INT(I711/B711)))/C711)/100))))</f>
        <v>0</v>
      </c>
      <c r="AU711" s="57">
        <f>IF(ISERROR(IF(B711=C711,J711/C711,(INT(J711/B711)+(((J711-B711*INT(J711/B711)))/C711)/100))),0,(IF(B711=C711,J711/C711,(INT(J711/B711)+(((J711-B711*INT(J711/B711)))/C711)/100))))</f>
        <v>0</v>
      </c>
      <c r="AV711" s="57">
        <f>IF(ISERROR(IF(B711=C711,K711/C711,IF((INT(K711/B711)+(((K711-B711*INT(K711/B711)))/C711)/100)&lt;0,(INT(K711/B711)+(((K711-B711*INT(K711/B711)))/C711)/100)+(1-(B711/C711/100)),(INT(K711/B711)+(((K711-B711*INT(K711/B711)))/C711)/100)))),0,IF(B711=C711,K711/C711,IF((INT(K711/B711)+(((K711-B711*INT(K711/B711)))/C711)/100)&lt;0,(INT(K711/B711)+(((K711-B711*INT(K711/B711)))/C711)/100)+(1-(B711/C711/100)),(INT(K711/B711)+(((K711-B711*INT(K711/B711)))/C711)/100))))</f>
        <v>0</v>
      </c>
      <c r="AW711" s="57">
        <f>IF(ISERROR(IF(B711=C711,L711/C711,(INT(L711/B711)+(((L711-B711*INT(L711/B711)))/C711)/100))),0,(IF(B711=C711,L711/C711,(INT(L711/B711)+(((L711-B711*INT(L711/B711)))/C711)/100))))</f>
        <v>0</v>
      </c>
      <c r="AX711" s="57">
        <f>IF(ISERROR(IF(B711=C711,M711/C711,(INT(M711/B711)+(((M711-B711*INT(M711/B711)))/C711)/100))),0,(IF(B711=C711,M711/C711,(INT(M711/B711)+(((M711-B711*INT(M711/B711)))/C711)/100))))</f>
        <v>0</v>
      </c>
      <c r="AY711" s="57">
        <f>IF(ISERROR(IF(B711=C711,N711/C711,IF((INT(N711/B711)+(((N711-B711*INT(N711/B711)))/C711)/100)&lt;0,(INT(N711/B711)+(((N711-B711*INT(N711/B711)))/C711)/100)+(1-(B711/C711/100)),(INT(N711/B711)+(((N711-B711*INT(N711/B711)))/C711)/100)))),0,IF(B711=C711,N711/C711,IF((INT(N711/B711)+(((N711-B711*INT(N711/B711)))/C711)/100)&lt;0,(INT(N711/B711)+(((N711-B711*INT(N711/B711)))/C711)/100)+(1-(B711/C711/100)),(INT(N711/B711)+(((N711-B711*INT(N711/B711)))/C711)/100))))</f>
        <v>2.02</v>
      </c>
      <c r="AZ711" s="57">
        <f>IF(ISERROR(IF(B711=C711,O711/C711,(INT(O711/B711)+(((O711-B711*INT(O711/B711)))/C711)/100))),0,(IF(B711=C711,O711/C711,(INT(O711/B711)+(((O711-B711*INT(O711/B711)))/C711)/100))))</f>
        <v>2.02</v>
      </c>
      <c r="BA711" s="57">
        <f>IF(ISERROR(IF(B711=C711,P711/C711,IF((INT(P711/B711)+(((P711-B711*INT(P711/B711)))/C711)/100)&lt;0,(INT(P711/B711)+(((P711-B711*INT(P711/B711)))/C711)/100)+(1-(B711/C711/100)),(INT(P711/B711)+(((P711-B711*INT(P711/B711)))/C711)/100)))),0,IF(B711=C711,P711/C711,IF((INT(P711/B711)+(((P711-B711*INT(P711/B711)))/C711)/100)&lt;0,(INT(P711/B711)+(((P711-B711*INT(P711/B711)))/C711)/100)+(1-(B711/C711/100)),(INT(P711/B711)+(((P711-B711*INT(P711/B711)))/C711)/100))))</f>
        <v>0</v>
      </c>
      <c r="BB711" s="28">
        <f>R711</f>
        <v>250</v>
      </c>
      <c r="BC711" s="28">
        <f>S711</f>
        <v>0</v>
      </c>
      <c r="BD711" s="28">
        <f>AF711</f>
        <v>636.36666666666667</v>
      </c>
      <c r="BE711" s="28">
        <f>T711</f>
        <v>0</v>
      </c>
      <c r="BG711" s="57">
        <f>IF(ISERROR(IF(B711=C711,V711/C711,(INT(V711/B711)+(((V711-B711*INT(V711/B711)))/C711)/100))),0,(IF(B711=C711,V711/C711,(INT(V711/B711)+(((V711-B711*INT(V711/B711)))/C711)/100))))</f>
        <v>1.02</v>
      </c>
      <c r="BH711" s="57">
        <f>IF(ISERROR(IF(B711=C711,W711/C711,(INT(W711/B711)+(((W711-B711*INT(W711/B711)))/C711)/100))),0,(IF(B711=C711,W711/C711,(INT(W711/B711)+(((W711-B711*INT(W711/B711)))/C711)/100))))</f>
        <v>1</v>
      </c>
      <c r="BI711" s="57">
        <f>IF(ISERROR(IF(B711=C711,X711/C711,(INT(X711/B711)+(((X711-B711*INT(X711/B711)))/C711)/100))),0,(IF(B711=C711,X711/C711,(INT(X711/B711)+(((X711-B711*INT(X711/B711)))/C711)/100))))</f>
        <v>0</v>
      </c>
      <c r="BJ711" s="57">
        <f>IF(ISERROR(IF(B711=C711,Y711/C711,(INT(Y711/B711)+(((Y711-B711*INT(Y711/B711)))/C711)/100))),0,(IF(B711=C711,Y711/C711,(INT(Y711/B711)+(((Y711-B711*INT(Y711/B711)))/C711)/100))))</f>
        <v>0</v>
      </c>
      <c r="BL711" s="57">
        <f>IF(ISERROR(IF(B711=C711,AA711/C711,(INT(AA711/B711)+(((AA711-B711*INT(AA711/B711)))/C711)/100))),0,(IF(B711=C711,AA711/C711,(INT(AA711/B711)+(((AA711-B711*INT(AA711/B711)))/C711)/100))))</f>
        <v>1.04</v>
      </c>
      <c r="BM711" s="57">
        <f>IF(ISERROR(IF(B711=C711,AB711/C711,(INT(AB711/B711)+(((AB711-B711*INT(AB711/B711)))/C711)/100))),0,(IF(B711=C711,AB711/C711,(INT(AB711/B711)+(((AB711-B711*INT(AB711/B711)))/C711)/100))))</f>
        <v>1</v>
      </c>
      <c r="BN711" s="57">
        <f>IF(ISERROR(IF(B711=C711,AC711/C711,(INT(AC711/B711)+(((AC711-B711*INT(AC711/B711)))/C711)/100))),0,(IF(B711=C711,AC711/C711,(INT(AC711/B711)+(((AC711-B711*INT(AC711/B711)))/C711)/100))))</f>
        <v>0</v>
      </c>
      <c r="BO711" s="57">
        <f>IF(ISERROR(IF(B711=C711,AD711/C711,(INT(AD711/B711)+(((AD711-B711*INT(AD711/B711)))/C711)/100))),0,(IF(B711=C711,AD711/C711,(INT(AD711/B711)+(((AD711-B711*INT(AD711/B711)))/C711)/100))))</f>
        <v>0</v>
      </c>
      <c r="BQ711" s="155" t="s">
        <v>173</v>
      </c>
    </row>
    <row r="712" spans="1:69" x14ac:dyDescent="0.35">
      <c r="A712" s="94" t="s">
        <v>172</v>
      </c>
      <c r="B712" s="113">
        <v>750</v>
      </c>
      <c r="C712" s="113">
        <v>150</v>
      </c>
      <c r="D712" s="28">
        <f>SUM(AA712:AD712)</f>
        <v>4500</v>
      </c>
      <c r="E712" s="113">
        <v>0</v>
      </c>
      <c r="F712" s="113">
        <v>0</v>
      </c>
      <c r="G712" s="28">
        <f>SUM(D712:F712)</f>
        <v>4500</v>
      </c>
      <c r="H712" s="125">
        <v>0</v>
      </c>
      <c r="I712" s="113">
        <v>0</v>
      </c>
      <c r="J712" s="125">
        <v>0</v>
      </c>
      <c r="K712" s="113">
        <v>0</v>
      </c>
      <c r="L712" s="113">
        <v>0</v>
      </c>
      <c r="M712" s="113">
        <v>0</v>
      </c>
      <c r="N712" s="28">
        <f>G712-SUM(H712:M712)</f>
        <v>4500</v>
      </c>
      <c r="O712" s="28">
        <f>SUM(V712:Y712)</f>
        <v>4500</v>
      </c>
      <c r="P712" s="28">
        <f>O712-N712</f>
        <v>0</v>
      </c>
      <c r="Q712" s="61" t="str">
        <f>IF(ISERROR(P712/SUM(H712:L712)),"",P712/SUM(H712:L712))</f>
        <v/>
      </c>
      <c r="R712" s="113">
        <v>150</v>
      </c>
      <c r="S712" s="28">
        <f>IF(ISERROR(P712/C712*R712),0,(P712/C712*R712))</f>
        <v>0</v>
      </c>
      <c r="T712" s="60">
        <f>IF(ISERROR(P712/B712*AF712),0,(P712/B712*AF712))</f>
        <v>0</v>
      </c>
      <c r="V712" s="113">
        <v>0</v>
      </c>
      <c r="W712" s="113">
        <f>6*750</f>
        <v>4500</v>
      </c>
      <c r="X712" s="113">
        <v>0</v>
      </c>
      <c r="Y712" s="113">
        <v>0</v>
      </c>
      <c r="AA712" s="113">
        <v>0</v>
      </c>
      <c r="AB712" s="113">
        <f>6*750</f>
        <v>4500</v>
      </c>
      <c r="AC712" s="113">
        <v>0</v>
      </c>
      <c r="AD712" s="113">
        <v>0</v>
      </c>
      <c r="AF712" s="113">
        <f>3545.48/12</f>
        <v>295.45666666666665</v>
      </c>
      <c r="AG712" s="28">
        <f>G712-O712</f>
        <v>0</v>
      </c>
      <c r="AH712" s="58">
        <f>IF(ISERROR(AG712/B712*AF712),0,(AG712/B712*AF712))</f>
        <v>0</v>
      </c>
      <c r="AI712" s="28">
        <f>SUM(H712:M712)</f>
        <v>0</v>
      </c>
      <c r="AJ712" s="28">
        <f>IF(ISERROR(AI712/B712*AF712),0,(AI712/B712*AF712))</f>
        <v>0</v>
      </c>
      <c r="AK712" s="58">
        <f>IF(ISERROR(O712/B712*AF712),0,(O712/B712*AF712))</f>
        <v>1772.7399999999998</v>
      </c>
      <c r="AL712" s="28">
        <f>IF(ISERROR(H712/B712*AF712),0,(H712/B712*AF712))</f>
        <v>0</v>
      </c>
      <c r="AN712" s="51" t="str">
        <f>A712</f>
        <v>Nine Hills Cabernet Sauvignon</v>
      </c>
      <c r="AO712" s="57">
        <f>IF(ISERROR(IF(B712=C712,D712/C712,(INT(D712/B712)+(((D712-B712*INT(D712/B712)))/C712)/100))),0,(IF(B712=C712,D712/C712,(INT(D712/B712)+(((D712-B712*INT(D712/B712)))/C712)/100))))</f>
        <v>6</v>
      </c>
      <c r="AP712" s="57">
        <f>IF(ISERROR(IF(B712=C712,E712/C712,(INT(E712/B712)+(((E712-B712*INT(E712/B712)))/C712)/100))),0,(IF(B712=C712,E712/C712,(INT(E712/B712)+(((E712-B712*INT(E712/B712)))/C712)/100))))</f>
        <v>0</v>
      </c>
      <c r="AQ712" s="57">
        <f>IF(ISERROR(IF(B712=C712,F712/C712,IF((INT(F712/B712)+(((F712-B712*INT(F712/B712)))/C712)/100)&lt;0,(INT(F712/B712)+(((F712-B712*INT(F712/B712)))/C712)/100)+(1-(B712/C712/100)),(INT(F712/B712)+(((F712-B712*INT(F712/B712)))/C712)/100)))),0,IF(B712=C712,F712/C712,IF((INT(F712/B712)+(((F712-B712*INT(F712/B712)))/C712)/100)&lt;0,(INT(F712/B712)+(((F712-B712*INT(F712/B712)))/C712)/100)+(1-(B712/C712/100)),(INT(F712/B712)+(((F712-B712*INT(F712/B712)))/C712)/100))))</f>
        <v>0</v>
      </c>
      <c r="AR712" s="57">
        <f>IF(ISERROR(IF(B712=C712,G712/C712,(INT(G712/B712)+(((G712-B712*INT(G712/B712)))/C712)/100))),0,(IF(B712=C712,G712/C712,(INT(G712/B712)+(((G712-B712*INT(G712/B712)))/C712)/100))))</f>
        <v>6</v>
      </c>
      <c r="AS712" s="57">
        <f>IF(ISERROR(IF(B712=C712,H712/C712,(INT(H712/B712)+(((H712-B712*INT(H712/B712)))/C712)/100))),0,(IF(B712=C712,H712/C712,(INT(H712/B712)+(((H712-B712*INT(H712/B712)))/C712)/100))))</f>
        <v>0</v>
      </c>
      <c r="AT712" s="57">
        <f>IF(ISERROR(IF(B712=C712,I712/C712,(INT(I712/B712)+(((I712-B712*INT(I712/B712)))/C712)/100))),0,(IF(B712=C712,I712/C712,(INT(I712/B712)+(((I712-B712*INT(I712/B712)))/C712)/100))))</f>
        <v>0</v>
      </c>
      <c r="AU712" s="57">
        <f>IF(ISERROR(IF(B712=C712,J712/C712,(INT(J712/B712)+(((J712-B712*INT(J712/B712)))/C712)/100))),0,(IF(B712=C712,J712/C712,(INT(J712/B712)+(((J712-B712*INT(J712/B712)))/C712)/100))))</f>
        <v>0</v>
      </c>
      <c r="AV712" s="57">
        <f>IF(ISERROR(IF(B712=C712,K712/C712,IF((INT(K712/B712)+(((K712-B712*INT(K712/B712)))/C712)/100)&lt;0,(INT(K712/B712)+(((K712-B712*INT(K712/B712)))/C712)/100)+(1-(B712/C712/100)),(INT(K712/B712)+(((K712-B712*INT(K712/B712)))/C712)/100)))),0,IF(B712=C712,K712/C712,IF((INT(K712/B712)+(((K712-B712*INT(K712/B712)))/C712)/100)&lt;0,(INT(K712/B712)+(((K712-B712*INT(K712/B712)))/C712)/100)+(1-(B712/C712/100)),(INT(K712/B712)+(((K712-B712*INT(K712/B712)))/C712)/100))))</f>
        <v>0</v>
      </c>
      <c r="AW712" s="57">
        <f>IF(ISERROR(IF(B712=C712,L712/C712,(INT(L712/B712)+(((L712-B712*INT(L712/B712)))/C712)/100))),0,(IF(B712=C712,L712/C712,(INT(L712/B712)+(((L712-B712*INT(L712/B712)))/C712)/100))))</f>
        <v>0</v>
      </c>
      <c r="AX712" s="57">
        <f>IF(ISERROR(IF(B712=C712,M712/C712,(INT(M712/B712)+(((M712-B712*INT(M712/B712)))/C712)/100))),0,(IF(B712=C712,M712/C712,(INT(M712/B712)+(((M712-B712*INT(M712/B712)))/C712)/100))))</f>
        <v>0</v>
      </c>
      <c r="AY712" s="57">
        <f>IF(ISERROR(IF(B712=C712,N712/C712,IF((INT(N712/B712)+(((N712-B712*INT(N712/B712)))/C712)/100)&lt;0,(INT(N712/B712)+(((N712-B712*INT(N712/B712)))/C712)/100)+(1-(B712/C712/100)),(INT(N712/B712)+(((N712-B712*INT(N712/B712)))/C712)/100)))),0,IF(B712=C712,N712/C712,IF((INT(N712/B712)+(((N712-B712*INT(N712/B712)))/C712)/100)&lt;0,(INT(N712/B712)+(((N712-B712*INT(N712/B712)))/C712)/100)+(1-(B712/C712/100)),(INT(N712/B712)+(((N712-B712*INT(N712/B712)))/C712)/100))))</f>
        <v>6</v>
      </c>
      <c r="AZ712" s="57">
        <f>IF(ISERROR(IF(B712=C712,O712/C712,(INT(O712/B712)+(((O712-B712*INT(O712/B712)))/C712)/100))),0,(IF(B712=C712,O712/C712,(INT(O712/B712)+(((O712-B712*INT(O712/B712)))/C712)/100))))</f>
        <v>6</v>
      </c>
      <c r="BA712" s="57">
        <f>IF(ISERROR(IF(B712=C712,P712/C712,IF((INT(P712/B712)+(((P712-B712*INT(P712/B712)))/C712)/100)&lt;0,(INT(P712/B712)+(((P712-B712*INT(P712/B712)))/C712)/100)+(1-(B712/C712/100)),(INT(P712/B712)+(((P712-B712*INT(P712/B712)))/C712)/100)))),0,IF(B712=C712,P712/C712,IF((INT(P712/B712)+(((P712-B712*INT(P712/B712)))/C712)/100)&lt;0,(INT(P712/B712)+(((P712-B712*INT(P712/B712)))/C712)/100)+(1-(B712/C712/100)),(INT(P712/B712)+(((P712-B712*INT(P712/B712)))/C712)/100))))</f>
        <v>0</v>
      </c>
      <c r="BB712" s="28">
        <f>R712</f>
        <v>150</v>
      </c>
      <c r="BC712" s="28">
        <f>S712</f>
        <v>0</v>
      </c>
      <c r="BD712" s="28">
        <f>AF712</f>
        <v>295.45666666666665</v>
      </c>
      <c r="BE712" s="28">
        <f>T712</f>
        <v>0</v>
      </c>
      <c r="BG712" s="57">
        <f>IF(ISERROR(IF(B712=C712,V712/C712,(INT(V712/B712)+(((V712-B712*INT(V712/B712)))/C712)/100))),0,(IF(B712=C712,V712/C712,(INT(V712/B712)+(((V712-B712*INT(V712/B712)))/C712)/100))))</f>
        <v>0</v>
      </c>
      <c r="BH712" s="57">
        <f>IF(ISERROR(IF(B712=C712,W712/C712,(INT(W712/B712)+(((W712-B712*INT(W712/B712)))/C712)/100))),0,(IF(B712=C712,W712/C712,(INT(W712/B712)+(((W712-B712*INT(W712/B712)))/C712)/100))))</f>
        <v>6</v>
      </c>
      <c r="BI712" s="57">
        <f>IF(ISERROR(IF(B712=C712,X712/C712,(INT(X712/B712)+(((X712-B712*INT(X712/B712)))/C712)/100))),0,(IF(B712=C712,X712/C712,(INT(X712/B712)+(((X712-B712*INT(X712/B712)))/C712)/100))))</f>
        <v>0</v>
      </c>
      <c r="BJ712" s="57">
        <f>IF(ISERROR(IF(B712=C712,Y712/C712,(INT(Y712/B712)+(((Y712-B712*INT(Y712/B712)))/C712)/100))),0,(IF(B712=C712,Y712/C712,(INT(Y712/B712)+(((Y712-B712*INT(Y712/B712)))/C712)/100))))</f>
        <v>0</v>
      </c>
      <c r="BL712" s="57">
        <f>IF(ISERROR(IF(B712=C712,AA712/C712,(INT(AA712/B712)+(((AA712-B712*INT(AA712/B712)))/C712)/100))),0,(IF(B712=C712,AA712/C712,(INT(AA712/B712)+(((AA712-B712*INT(AA712/B712)))/C712)/100))))</f>
        <v>0</v>
      </c>
      <c r="BM712" s="57">
        <f>IF(ISERROR(IF(B712=C712,AB712/C712,(INT(AB712/B712)+(((AB712-B712*INT(AB712/B712)))/C712)/100))),0,(IF(B712=C712,AB712/C712,(INT(AB712/B712)+(((AB712-B712*INT(AB712/B712)))/C712)/100))))</f>
        <v>6</v>
      </c>
      <c r="BN712" s="57">
        <f>IF(ISERROR(IF(B712=C712,AC712/C712,(INT(AC712/B712)+(((AC712-B712*INT(AC712/B712)))/C712)/100))),0,(IF(B712=C712,AC712/C712,(INT(AC712/B712)+(((AC712-B712*INT(AC712/B712)))/C712)/100))))</f>
        <v>0</v>
      </c>
      <c r="BO712" s="57">
        <f>IF(ISERROR(IF(B712=C712,AD712/C712,(INT(AD712/B712)+(((AD712-B712*INT(AD712/B712)))/C712)/100))),0,(IF(B712=C712,AD712/C712,(INT(AD712/B712)+(((AD712-B712*INT(AD712/B712)))/C712)/100))))</f>
        <v>0</v>
      </c>
      <c r="BQ712" s="155"/>
    </row>
    <row r="713" spans="1:69" x14ac:dyDescent="0.35">
      <c r="A713" s="94" t="s">
        <v>171</v>
      </c>
      <c r="B713" s="113">
        <v>750</v>
      </c>
      <c r="C713" s="113">
        <v>150</v>
      </c>
      <c r="D713" s="28">
        <f>SUM(AA713:AD713)</f>
        <v>2250</v>
      </c>
      <c r="E713" s="113">
        <v>0</v>
      </c>
      <c r="F713" s="113">
        <v>0</v>
      </c>
      <c r="G713" s="28">
        <f>SUM(D713:F713)</f>
        <v>2250</v>
      </c>
      <c r="H713" s="125">
        <v>0</v>
      </c>
      <c r="I713" s="113">
        <v>0</v>
      </c>
      <c r="J713" s="125">
        <v>0</v>
      </c>
      <c r="K713" s="113">
        <v>0</v>
      </c>
      <c r="L713" s="113">
        <v>0</v>
      </c>
      <c r="M713" s="113">
        <v>0</v>
      </c>
      <c r="N713" s="28">
        <f>G713-SUM(H713:M713)</f>
        <v>2250</v>
      </c>
      <c r="O713" s="28">
        <f>SUM(V713:Y713)</f>
        <v>2250</v>
      </c>
      <c r="P713" s="28">
        <f>O713-N713</f>
        <v>0</v>
      </c>
      <c r="Q713" s="61" t="str">
        <f>IF(ISERROR(P713/SUM(H713:L713)),"",P713/SUM(H713:L713))</f>
        <v/>
      </c>
      <c r="R713" s="113">
        <v>150</v>
      </c>
      <c r="S713" s="28">
        <f>IF(ISERROR(P713/C713*R713),0,(P713/C713*R713))</f>
        <v>0</v>
      </c>
      <c r="T713" s="60">
        <f>IF(ISERROR(P713/B713*AF713),0,(P713/B713*AF713))</f>
        <v>0</v>
      </c>
      <c r="V713" s="113">
        <v>0</v>
      </c>
      <c r="W713" s="113">
        <f>3*750</f>
        <v>2250</v>
      </c>
      <c r="X713" s="113">
        <v>0</v>
      </c>
      <c r="Y713" s="113">
        <v>0</v>
      </c>
      <c r="AA713" s="113">
        <v>0</v>
      </c>
      <c r="AB713" s="113">
        <f>3*750</f>
        <v>2250</v>
      </c>
      <c r="AC713" s="113">
        <v>0</v>
      </c>
      <c r="AD713" s="113">
        <v>0</v>
      </c>
      <c r="AF713" s="113">
        <f>7090.95/12</f>
        <v>590.91250000000002</v>
      </c>
      <c r="AG713" s="28">
        <f>G713-O713</f>
        <v>0</v>
      </c>
      <c r="AH713" s="58">
        <f>IF(ISERROR(AG713/B713*AF713),0,(AG713/B713*AF713))</f>
        <v>0</v>
      </c>
      <c r="AI713" s="28">
        <f>SUM(H713:M713)</f>
        <v>0</v>
      </c>
      <c r="AJ713" s="28">
        <f>IF(ISERROR(AI713/B713*AF713),0,(AI713/B713*AF713))</f>
        <v>0</v>
      </c>
      <c r="AK713" s="58">
        <f>IF(ISERROR(O713/B713*AF713),0,(O713/B713*AF713))</f>
        <v>1772.7375000000002</v>
      </c>
      <c r="AL713" s="28">
        <f>IF(ISERROR(H713/B713*AF713),0,(H713/B713*AF713))</f>
        <v>0</v>
      </c>
      <c r="AN713" s="51" t="str">
        <f>A713</f>
        <v>Nine Hills  Sauvignon Balnco</v>
      </c>
      <c r="AO713" s="57">
        <f>IF(ISERROR(IF(B713=C713,D713/C713,(INT(D713/B713)+(((D713-B713*INT(D713/B713)))/C713)/100))),0,(IF(B713=C713,D713/C713,(INT(D713/B713)+(((D713-B713*INT(D713/B713)))/C713)/100))))</f>
        <v>3</v>
      </c>
      <c r="AP713" s="57">
        <f>IF(ISERROR(IF(B713=C713,E713/C713,(INT(E713/B713)+(((E713-B713*INT(E713/B713)))/C713)/100))),0,(IF(B713=C713,E713/C713,(INT(E713/B713)+(((E713-B713*INT(E713/B713)))/C713)/100))))</f>
        <v>0</v>
      </c>
      <c r="AQ713" s="57">
        <f>IF(ISERROR(IF(B713=C713,F713/C713,IF((INT(F713/B713)+(((F713-B713*INT(F713/B713)))/C713)/100)&lt;0,(INT(F713/B713)+(((F713-B713*INT(F713/B713)))/C713)/100)+(1-(B713/C713/100)),(INT(F713/B713)+(((F713-B713*INT(F713/B713)))/C713)/100)))),0,IF(B713=C713,F713/C713,IF((INT(F713/B713)+(((F713-B713*INT(F713/B713)))/C713)/100)&lt;0,(INT(F713/B713)+(((F713-B713*INT(F713/B713)))/C713)/100)+(1-(B713/C713/100)),(INT(F713/B713)+(((F713-B713*INT(F713/B713)))/C713)/100))))</f>
        <v>0</v>
      </c>
      <c r="AR713" s="57">
        <f>IF(ISERROR(IF(B713=C713,G713/C713,(INT(G713/B713)+(((G713-B713*INT(G713/B713)))/C713)/100))),0,(IF(B713=C713,G713/C713,(INT(G713/B713)+(((G713-B713*INT(G713/B713)))/C713)/100))))</f>
        <v>3</v>
      </c>
      <c r="AS713" s="57">
        <f>IF(ISERROR(IF(B713=C713,H713/C713,(INT(H713/B713)+(((H713-B713*INT(H713/B713)))/C713)/100))),0,(IF(B713=C713,H713/C713,(INT(H713/B713)+(((H713-B713*INT(H713/B713)))/C713)/100))))</f>
        <v>0</v>
      </c>
      <c r="AT713" s="57">
        <f>IF(ISERROR(IF(B713=C713,I713/C713,(INT(I713/B713)+(((I713-B713*INT(I713/B713)))/C713)/100))),0,(IF(B713=C713,I713/C713,(INT(I713/B713)+(((I713-B713*INT(I713/B713)))/C713)/100))))</f>
        <v>0</v>
      </c>
      <c r="AU713" s="57">
        <f>IF(ISERROR(IF(B713=C713,J713/C713,(INT(J713/B713)+(((J713-B713*INT(J713/B713)))/C713)/100))),0,(IF(B713=C713,J713/C713,(INT(J713/B713)+(((J713-B713*INT(J713/B713)))/C713)/100))))</f>
        <v>0</v>
      </c>
      <c r="AV713" s="57">
        <f>IF(ISERROR(IF(B713=C713,K713/C713,IF((INT(K713/B713)+(((K713-B713*INT(K713/B713)))/C713)/100)&lt;0,(INT(K713/B713)+(((K713-B713*INT(K713/B713)))/C713)/100)+(1-(B713/C713/100)),(INT(K713/B713)+(((K713-B713*INT(K713/B713)))/C713)/100)))),0,IF(B713=C713,K713/C713,IF((INT(K713/B713)+(((K713-B713*INT(K713/B713)))/C713)/100)&lt;0,(INT(K713/B713)+(((K713-B713*INT(K713/B713)))/C713)/100)+(1-(B713/C713/100)),(INT(K713/B713)+(((K713-B713*INT(K713/B713)))/C713)/100))))</f>
        <v>0</v>
      </c>
      <c r="AW713" s="57">
        <f>IF(ISERROR(IF(B713=C713,L713/C713,(INT(L713/B713)+(((L713-B713*INT(L713/B713)))/C713)/100))),0,(IF(B713=C713,L713/C713,(INT(L713/B713)+(((L713-B713*INT(L713/B713)))/C713)/100))))</f>
        <v>0</v>
      </c>
      <c r="AX713" s="57">
        <f>IF(ISERROR(IF(B713=C713,M713/C713,(INT(M713/B713)+(((M713-B713*INT(M713/B713)))/C713)/100))),0,(IF(B713=C713,M713/C713,(INT(M713/B713)+(((M713-B713*INT(M713/B713)))/C713)/100))))</f>
        <v>0</v>
      </c>
      <c r="AY713" s="57">
        <f>IF(ISERROR(IF(B713=C713,N713/C713,IF((INT(N713/B713)+(((N713-B713*INT(N713/B713)))/C713)/100)&lt;0,(INT(N713/B713)+(((N713-B713*INT(N713/B713)))/C713)/100)+(1-(B713/C713/100)),(INT(N713/B713)+(((N713-B713*INT(N713/B713)))/C713)/100)))),0,IF(B713=C713,N713/C713,IF((INT(N713/B713)+(((N713-B713*INT(N713/B713)))/C713)/100)&lt;0,(INT(N713/B713)+(((N713-B713*INT(N713/B713)))/C713)/100)+(1-(B713/C713/100)),(INT(N713/B713)+(((N713-B713*INT(N713/B713)))/C713)/100))))</f>
        <v>3</v>
      </c>
      <c r="AZ713" s="57">
        <f>IF(ISERROR(IF(B713=C713,O713/C713,(INT(O713/B713)+(((O713-B713*INT(O713/B713)))/C713)/100))),0,(IF(B713=C713,O713/C713,(INT(O713/B713)+(((O713-B713*INT(O713/B713)))/C713)/100))))</f>
        <v>3</v>
      </c>
      <c r="BA713" s="57">
        <f>IF(ISERROR(IF(B713=C713,P713/C713,IF((INT(P713/B713)+(((P713-B713*INT(P713/B713)))/C713)/100)&lt;0,(INT(P713/B713)+(((P713-B713*INT(P713/B713)))/C713)/100)+(1-(B713/C713/100)),(INT(P713/B713)+(((P713-B713*INT(P713/B713)))/C713)/100)))),0,IF(B713=C713,P713/C713,IF((INT(P713/B713)+(((P713-B713*INT(P713/B713)))/C713)/100)&lt;0,(INT(P713/B713)+(((P713-B713*INT(P713/B713)))/C713)/100)+(1-(B713/C713/100)),(INT(P713/B713)+(((P713-B713*INT(P713/B713)))/C713)/100))))</f>
        <v>0</v>
      </c>
      <c r="BB713" s="28">
        <f>R713</f>
        <v>150</v>
      </c>
      <c r="BC713" s="28">
        <f>S713</f>
        <v>0</v>
      </c>
      <c r="BD713" s="28">
        <f>AF713</f>
        <v>590.91250000000002</v>
      </c>
      <c r="BE713" s="28">
        <f>T713</f>
        <v>0</v>
      </c>
      <c r="BG713" s="57">
        <f>IF(ISERROR(IF(B713=C713,V713/C713,(INT(V713/B713)+(((V713-B713*INT(V713/B713)))/C713)/100))),0,(IF(B713=C713,V713/C713,(INT(V713/B713)+(((V713-B713*INT(V713/B713)))/C713)/100))))</f>
        <v>0</v>
      </c>
      <c r="BH713" s="57">
        <f>IF(ISERROR(IF(B713=C713,W713/C713,(INT(W713/B713)+(((W713-B713*INT(W713/B713)))/C713)/100))),0,(IF(B713=C713,W713/C713,(INT(W713/B713)+(((W713-B713*INT(W713/B713)))/C713)/100))))</f>
        <v>3</v>
      </c>
      <c r="BI713" s="57">
        <f>IF(ISERROR(IF(B713=C713,X713/C713,(INT(X713/B713)+(((X713-B713*INT(X713/B713)))/C713)/100))),0,(IF(B713=C713,X713/C713,(INT(X713/B713)+(((X713-B713*INT(X713/B713)))/C713)/100))))</f>
        <v>0</v>
      </c>
      <c r="BJ713" s="57">
        <f>IF(ISERROR(IF(B713=C713,Y713/C713,(INT(Y713/B713)+(((Y713-B713*INT(Y713/B713)))/C713)/100))),0,(IF(B713=C713,Y713/C713,(INT(Y713/B713)+(((Y713-B713*INT(Y713/B713)))/C713)/100))))</f>
        <v>0</v>
      </c>
      <c r="BL713" s="57">
        <f>IF(ISERROR(IF(B713=C713,AA713/C713,(INT(AA713/B713)+(((AA713-B713*INT(AA713/B713)))/C713)/100))),0,(IF(B713=C713,AA713/C713,(INT(AA713/B713)+(((AA713-B713*INT(AA713/B713)))/C713)/100))))</f>
        <v>0</v>
      </c>
      <c r="BM713" s="57">
        <f>IF(ISERROR(IF(B713=C713,AB713/C713,(INT(AB713/B713)+(((AB713-B713*INT(AB713/B713)))/C713)/100))),0,(IF(B713=C713,AB713/C713,(INT(AB713/B713)+(((AB713-B713*INT(AB713/B713)))/C713)/100))))</f>
        <v>3</v>
      </c>
      <c r="BN713" s="57">
        <f>IF(ISERROR(IF(B713=C713,AC713/C713,(INT(AC713/B713)+(((AC713-B713*INT(AC713/B713)))/C713)/100))),0,(IF(B713=C713,AC713/C713,(INT(AC713/B713)+(((AC713-B713*INT(AC713/B713)))/C713)/100))))</f>
        <v>0</v>
      </c>
      <c r="BO713" s="57">
        <f>IF(ISERROR(IF(B713=C713,AD713/C713,(INT(AD713/B713)+(((AD713-B713*INT(AD713/B713)))/C713)/100))),0,(IF(B713=C713,AD713/C713,(INT(AD713/B713)+(((AD713-B713*INT(AD713/B713)))/C713)/100))))</f>
        <v>0</v>
      </c>
      <c r="BQ713" s="155"/>
    </row>
    <row r="714" spans="1:69" hidden="1" x14ac:dyDescent="0.35">
      <c r="A714" s="94"/>
      <c r="B714" s="113">
        <v>750</v>
      </c>
      <c r="C714" s="113">
        <v>150</v>
      </c>
      <c r="D714" s="28">
        <f>SUM(AA714:AD714)</f>
        <v>0</v>
      </c>
      <c r="E714" s="113">
        <v>0</v>
      </c>
      <c r="F714" s="113">
        <v>0</v>
      </c>
      <c r="G714" s="28">
        <f>SUM(D714:F714)</f>
        <v>0</v>
      </c>
      <c r="H714" s="125">
        <v>0</v>
      </c>
      <c r="I714" s="113">
        <v>0</v>
      </c>
      <c r="J714" s="125">
        <v>0</v>
      </c>
      <c r="K714" s="113">
        <v>0</v>
      </c>
      <c r="L714" s="113">
        <v>0</v>
      </c>
      <c r="M714" s="113">
        <v>0</v>
      </c>
      <c r="N714" s="28">
        <f>G714-SUM(H714:M714)</f>
        <v>0</v>
      </c>
      <c r="O714" s="28">
        <f>SUM(V714:Y714)</f>
        <v>0</v>
      </c>
      <c r="P714" s="28">
        <f>O714-N714</f>
        <v>0</v>
      </c>
      <c r="Q714" s="61" t="str">
        <f>IF(ISERROR(P714/SUM(H714:L714)),"",P714/SUM(H714:L714))</f>
        <v/>
      </c>
      <c r="R714" s="113">
        <v>0</v>
      </c>
      <c r="S714" s="28">
        <f>IF(ISERROR(P714/C714*R714),0,(P714/C714*R714))</f>
        <v>0</v>
      </c>
      <c r="T714" s="60">
        <f>IF(ISERROR(P714/B714*AF714),0,(P714/B714*AF714))</f>
        <v>0</v>
      </c>
      <c r="V714" s="113">
        <v>0</v>
      </c>
      <c r="W714" s="113">
        <v>0</v>
      </c>
      <c r="X714" s="113">
        <v>0</v>
      </c>
      <c r="Y714" s="113">
        <v>0</v>
      </c>
      <c r="AA714" s="113">
        <v>0</v>
      </c>
      <c r="AB714" s="113">
        <v>0</v>
      </c>
      <c r="AC714" s="113">
        <v>0</v>
      </c>
      <c r="AD714" s="113">
        <v>0</v>
      </c>
      <c r="AF714" s="113">
        <v>0</v>
      </c>
      <c r="AG714" s="28">
        <f>G714-O714</f>
        <v>0</v>
      </c>
      <c r="AH714" s="58">
        <f>IF(ISERROR(AG714/B714*AF714),0,(AG714/B714*AF714))</f>
        <v>0</v>
      </c>
      <c r="AI714" s="28">
        <f>SUM(H714:M714)</f>
        <v>0</v>
      </c>
      <c r="AJ714" s="28">
        <f>IF(ISERROR(AI714/B714*AF714),0,(AI714/B714*AF714))</f>
        <v>0</v>
      </c>
      <c r="AK714" s="58">
        <f>IF(ISERROR(O714/B714*AF714),0,(O714/B714*AF714))</f>
        <v>0</v>
      </c>
      <c r="AL714" s="28">
        <f>IF(ISERROR(H714/B714*AF714),0,(H714/B714*AF714))</f>
        <v>0</v>
      </c>
      <c r="AN714" s="51">
        <f>A714</f>
        <v>0</v>
      </c>
      <c r="AO714" s="57">
        <f>IF(ISERROR(IF(B714=C714,D714/C714,(INT(D714/B714)+(((D714-B714*INT(D714/B714)))/C714)/100))),0,(IF(B714=C714,D714/C714,(INT(D714/B714)+(((D714-B714*INT(D714/B714)))/C714)/100))))</f>
        <v>0</v>
      </c>
      <c r="AP714" s="57">
        <f>IF(ISERROR(IF(B714=C714,E714/C714,(INT(E714/B714)+(((E714-B714*INT(E714/B714)))/C714)/100))),0,(IF(B714=C714,E714/C714,(INT(E714/B714)+(((E714-B714*INT(E714/B714)))/C714)/100))))</f>
        <v>0</v>
      </c>
      <c r="AQ714" s="57">
        <f>IF(ISERROR(IF(B714=C714,F714/C714,IF((INT(F714/B714)+(((F714-B714*INT(F714/B714)))/C714)/100)&lt;0,(INT(F714/B714)+(((F714-B714*INT(F714/B714)))/C714)/100)+(1-(B714/C714/100)),(INT(F714/B714)+(((F714-B714*INT(F714/B714)))/C714)/100)))),0,IF(B714=C714,F714/C714,IF((INT(F714/B714)+(((F714-B714*INT(F714/B714)))/C714)/100)&lt;0,(INT(F714/B714)+(((F714-B714*INT(F714/B714)))/C714)/100)+(1-(B714/C714/100)),(INT(F714/B714)+(((F714-B714*INT(F714/B714)))/C714)/100))))</f>
        <v>0</v>
      </c>
      <c r="AR714" s="57">
        <f>IF(ISERROR(IF(B714=C714,G714/C714,(INT(G714/B714)+(((G714-B714*INT(G714/B714)))/C714)/100))),0,(IF(B714=C714,G714/C714,(INT(G714/B714)+(((G714-B714*INT(G714/B714)))/C714)/100))))</f>
        <v>0</v>
      </c>
      <c r="AS714" s="57">
        <f>IF(ISERROR(IF(B714=C714,H714/C714,(INT(H714/B714)+(((H714-B714*INT(H714/B714)))/C714)/100))),0,(IF(B714=C714,H714/C714,(INT(H714/B714)+(((H714-B714*INT(H714/B714)))/C714)/100))))</f>
        <v>0</v>
      </c>
      <c r="AT714" s="57">
        <f>IF(ISERROR(IF(B714=C714,I714/C714,(INT(I714/B714)+(((I714-B714*INT(I714/B714)))/C714)/100))),0,(IF(B714=C714,I714/C714,(INT(I714/B714)+(((I714-B714*INT(I714/B714)))/C714)/100))))</f>
        <v>0</v>
      </c>
      <c r="AU714" s="57">
        <f>IF(ISERROR(IF(B714=C714,J714/C714,(INT(J714/B714)+(((J714-B714*INT(J714/B714)))/C714)/100))),0,(IF(B714=C714,J714/C714,(INT(J714/B714)+(((J714-B714*INT(J714/B714)))/C714)/100))))</f>
        <v>0</v>
      </c>
      <c r="AV714" s="57">
        <f>IF(ISERROR(IF(B714=C714,K714/C714,IF((INT(K714/B714)+(((K714-B714*INT(K714/B714)))/C714)/100)&lt;0,(INT(K714/B714)+(((K714-B714*INT(K714/B714)))/C714)/100)+(1-(B714/C714/100)),(INT(K714/B714)+(((K714-B714*INT(K714/B714)))/C714)/100)))),0,IF(B714=C714,K714/C714,IF((INT(K714/B714)+(((K714-B714*INT(K714/B714)))/C714)/100)&lt;0,(INT(K714/B714)+(((K714-B714*INT(K714/B714)))/C714)/100)+(1-(B714/C714/100)),(INT(K714/B714)+(((K714-B714*INT(K714/B714)))/C714)/100))))</f>
        <v>0</v>
      </c>
      <c r="AW714" s="57">
        <f>IF(ISERROR(IF(B714=C714,L714/C714,(INT(L714/B714)+(((L714-B714*INT(L714/B714)))/C714)/100))),0,(IF(B714=C714,L714/C714,(INT(L714/B714)+(((L714-B714*INT(L714/B714)))/C714)/100))))</f>
        <v>0</v>
      </c>
      <c r="AX714" s="57">
        <f>IF(ISERROR(IF(B714=C714,M714/C714,(INT(M714/B714)+(((M714-B714*INT(M714/B714)))/C714)/100))),0,(IF(B714=C714,M714/C714,(INT(M714/B714)+(((M714-B714*INT(M714/B714)))/C714)/100))))</f>
        <v>0</v>
      </c>
      <c r="AY714" s="57">
        <f>IF(ISERROR(IF(B714=C714,N714/C714,IF((INT(N714/B714)+(((N714-B714*INT(N714/B714)))/C714)/100)&lt;0,(INT(N714/B714)+(((N714-B714*INT(N714/B714)))/C714)/100)+(1-(B714/C714/100)),(INT(N714/B714)+(((N714-B714*INT(N714/B714)))/C714)/100)))),0,IF(B714=C714,N714/C714,IF((INT(N714/B714)+(((N714-B714*INT(N714/B714)))/C714)/100)&lt;0,(INT(N714/B714)+(((N714-B714*INT(N714/B714)))/C714)/100)+(1-(B714/C714/100)),(INT(N714/B714)+(((N714-B714*INT(N714/B714)))/C714)/100))))</f>
        <v>0</v>
      </c>
      <c r="AZ714" s="57">
        <f>IF(ISERROR(IF(B714=C714,O714/C714,(INT(O714/B714)+(((O714-B714*INT(O714/B714)))/C714)/100))),0,(IF(B714=C714,O714/C714,(INT(O714/B714)+(((O714-B714*INT(O714/B714)))/C714)/100))))</f>
        <v>0</v>
      </c>
      <c r="BA714" s="57">
        <f>IF(ISERROR(IF(B714=C714,P714/C714,IF((INT(P714/B714)+(((P714-B714*INT(P714/B714)))/C714)/100)&lt;0,(INT(P714/B714)+(((P714-B714*INT(P714/B714)))/C714)/100)+(1-(B714/C714/100)),(INT(P714/B714)+(((P714-B714*INT(P714/B714)))/C714)/100)))),0,IF(B714=C714,P714/C714,IF((INT(P714/B714)+(((P714-B714*INT(P714/B714)))/C714)/100)&lt;0,(INT(P714/B714)+(((P714-B714*INT(P714/B714)))/C714)/100)+(1-(B714/C714/100)),(INT(P714/B714)+(((P714-B714*INT(P714/B714)))/C714)/100))))</f>
        <v>0</v>
      </c>
      <c r="BB714" s="28">
        <f>R714</f>
        <v>0</v>
      </c>
      <c r="BC714" s="28">
        <f>S714</f>
        <v>0</v>
      </c>
      <c r="BD714" s="28">
        <f>AF714</f>
        <v>0</v>
      </c>
      <c r="BE714" s="28">
        <f>T714</f>
        <v>0</v>
      </c>
      <c r="BG714" s="57">
        <f>IF(ISERROR(IF(B714=C714,V714/C714,(INT(V714/B714)+(((V714-B714*INT(V714/B714)))/C714)/100))),0,(IF(B714=C714,V714/C714,(INT(V714/B714)+(((V714-B714*INT(V714/B714)))/C714)/100))))</f>
        <v>0</v>
      </c>
      <c r="BH714" s="57">
        <f>IF(ISERROR(IF(B714=C714,W714/C714,(INT(W714/B714)+(((W714-B714*INT(W714/B714)))/C714)/100))),0,(IF(B714=C714,W714/C714,(INT(W714/B714)+(((W714-B714*INT(W714/B714)))/C714)/100))))</f>
        <v>0</v>
      </c>
      <c r="BI714" s="57">
        <f>IF(ISERROR(IF(B714=C714,X714/C714,(INT(X714/B714)+(((X714-B714*INT(X714/B714)))/C714)/100))),0,(IF(B714=C714,X714/C714,(INT(X714/B714)+(((X714-B714*INT(X714/B714)))/C714)/100))))</f>
        <v>0</v>
      </c>
      <c r="BJ714" s="57">
        <f>IF(ISERROR(IF(B714=C714,Y714/C714,(INT(Y714/B714)+(((Y714-B714*INT(Y714/B714)))/C714)/100))),0,(IF(B714=C714,Y714/C714,(INT(Y714/B714)+(((Y714-B714*INT(Y714/B714)))/C714)/100))))</f>
        <v>0</v>
      </c>
      <c r="BL714" s="57">
        <f>IF(ISERROR(IF(B714=C714,AA714/C714,(INT(AA714/B714)+(((AA714-B714*INT(AA714/B714)))/C714)/100))),0,(IF(B714=C714,AA714/C714,(INT(AA714/B714)+(((AA714-B714*INT(AA714/B714)))/C714)/100))))</f>
        <v>0</v>
      </c>
      <c r="BM714" s="57">
        <f>IF(ISERROR(IF(B714=C714,AB714/C714,(INT(AB714/B714)+(((AB714-B714*INT(AB714/B714)))/C714)/100))),0,(IF(B714=C714,AB714/C714,(INT(AB714/B714)+(((AB714-B714*INT(AB714/B714)))/C714)/100))))</f>
        <v>0</v>
      </c>
      <c r="BN714" s="57">
        <f>IF(ISERROR(IF(B714=C714,AC714/C714,(INT(AC714/B714)+(((AC714-B714*INT(AC714/B714)))/C714)/100))),0,(IF(B714=C714,AC714/C714,(INT(AC714/B714)+(((AC714-B714*INT(AC714/B714)))/C714)/100))))</f>
        <v>0</v>
      </c>
      <c r="BO714" s="57">
        <f>IF(ISERROR(IF(B714=C714,AD714/C714,(INT(AD714/B714)+(((AD714-B714*INT(AD714/B714)))/C714)/100))),0,(IF(B714=C714,AD714/C714,(INT(AD714/B714)+(((AD714-B714*INT(AD714/B714)))/C714)/100))))</f>
        <v>0</v>
      </c>
      <c r="BQ714" s="155"/>
    </row>
    <row r="715" spans="1:69" hidden="1" x14ac:dyDescent="0.35">
      <c r="A715" s="94"/>
      <c r="B715" s="113">
        <v>750</v>
      </c>
      <c r="C715" s="113">
        <v>150</v>
      </c>
      <c r="D715" s="28">
        <f>SUM(AA715:AD715)</f>
        <v>0</v>
      </c>
      <c r="E715" s="113">
        <v>0</v>
      </c>
      <c r="F715" s="113">
        <v>0</v>
      </c>
      <c r="G715" s="28">
        <f>SUM(D715:F715)</f>
        <v>0</v>
      </c>
      <c r="H715" s="125">
        <v>0</v>
      </c>
      <c r="I715" s="113">
        <v>0</v>
      </c>
      <c r="J715" s="125">
        <v>0</v>
      </c>
      <c r="K715" s="113">
        <v>0</v>
      </c>
      <c r="L715" s="113">
        <v>0</v>
      </c>
      <c r="M715" s="113">
        <v>0</v>
      </c>
      <c r="N715" s="28">
        <f>G715-SUM(H715:M715)</f>
        <v>0</v>
      </c>
      <c r="O715" s="28">
        <f>SUM(V715:Y715)</f>
        <v>0</v>
      </c>
      <c r="P715" s="28">
        <f>O715-N715</f>
        <v>0</v>
      </c>
      <c r="Q715" s="61" t="str">
        <f>IF(ISERROR(P715/SUM(H715:L715)),"",P715/SUM(H715:L715))</f>
        <v/>
      </c>
      <c r="R715" s="113">
        <v>0</v>
      </c>
      <c r="S715" s="28">
        <f>IF(ISERROR(P715/C715*R715),0,(P715/C715*R715))</f>
        <v>0</v>
      </c>
      <c r="T715" s="60">
        <f>IF(ISERROR(P715/B715*AF715),0,(P715/B715*AF715))</f>
        <v>0</v>
      </c>
      <c r="V715" s="113">
        <v>0</v>
      </c>
      <c r="W715" s="113">
        <v>0</v>
      </c>
      <c r="X715" s="113">
        <v>0</v>
      </c>
      <c r="Y715" s="113">
        <v>0</v>
      </c>
      <c r="AA715" s="113">
        <v>0</v>
      </c>
      <c r="AB715" s="113">
        <v>0</v>
      </c>
      <c r="AC715" s="113">
        <v>0</v>
      </c>
      <c r="AD715" s="113">
        <v>0</v>
      </c>
      <c r="AF715" s="113">
        <v>0</v>
      </c>
      <c r="AG715" s="28">
        <f>G715-O715</f>
        <v>0</v>
      </c>
      <c r="AH715" s="58">
        <f>IF(ISERROR(AG715/B715*AF715),0,(AG715/B715*AF715))</f>
        <v>0</v>
      </c>
      <c r="AI715" s="28">
        <f>SUM(H715:M715)</f>
        <v>0</v>
      </c>
      <c r="AJ715" s="28">
        <f>IF(ISERROR(AI715/B715*AF715),0,(AI715/B715*AF715))</f>
        <v>0</v>
      </c>
      <c r="AK715" s="58">
        <f>IF(ISERROR(O715/B715*AF715),0,(O715/B715*AF715))</f>
        <v>0</v>
      </c>
      <c r="AL715" s="28">
        <f>IF(ISERROR(H715/B715*AF715),0,(H715/B715*AF715))</f>
        <v>0</v>
      </c>
      <c r="AN715" s="51">
        <f>A715</f>
        <v>0</v>
      </c>
      <c r="AO715" s="57">
        <f>IF(ISERROR(IF(B715=C715,D715/C715,(INT(D715/B715)+(((D715-B715*INT(D715/B715)))/C715)/100))),0,(IF(B715=C715,D715/C715,(INT(D715/B715)+(((D715-B715*INT(D715/B715)))/C715)/100))))</f>
        <v>0</v>
      </c>
      <c r="AP715" s="57">
        <f>IF(ISERROR(IF(B715=C715,E715/C715,(INT(E715/B715)+(((E715-B715*INT(E715/B715)))/C715)/100))),0,(IF(B715=C715,E715/C715,(INT(E715/B715)+(((E715-B715*INT(E715/B715)))/C715)/100))))</f>
        <v>0</v>
      </c>
      <c r="AQ715" s="57">
        <f>IF(ISERROR(IF(B715=C715,F715/C715,IF((INT(F715/B715)+(((F715-B715*INT(F715/B715)))/C715)/100)&lt;0,(INT(F715/B715)+(((F715-B715*INT(F715/B715)))/C715)/100)+(1-(B715/C715/100)),(INT(F715/B715)+(((F715-B715*INT(F715/B715)))/C715)/100)))),0,IF(B715=C715,F715/C715,IF((INT(F715/B715)+(((F715-B715*INT(F715/B715)))/C715)/100)&lt;0,(INT(F715/B715)+(((F715-B715*INT(F715/B715)))/C715)/100)+(1-(B715/C715/100)),(INT(F715/B715)+(((F715-B715*INT(F715/B715)))/C715)/100))))</f>
        <v>0</v>
      </c>
      <c r="AR715" s="57">
        <f>IF(ISERROR(IF(B715=C715,G715/C715,(INT(G715/B715)+(((G715-B715*INT(G715/B715)))/C715)/100))),0,(IF(B715=C715,G715/C715,(INT(G715/B715)+(((G715-B715*INT(G715/B715)))/C715)/100))))</f>
        <v>0</v>
      </c>
      <c r="AS715" s="57">
        <f>IF(ISERROR(IF(B715=C715,H715/C715,(INT(H715/B715)+(((H715-B715*INT(H715/B715)))/C715)/100))),0,(IF(B715=C715,H715/C715,(INT(H715/B715)+(((H715-B715*INT(H715/B715)))/C715)/100))))</f>
        <v>0</v>
      </c>
      <c r="AT715" s="57">
        <f>IF(ISERROR(IF(B715=C715,I715/C715,(INT(I715/B715)+(((I715-B715*INT(I715/B715)))/C715)/100))),0,(IF(B715=C715,I715/C715,(INT(I715/B715)+(((I715-B715*INT(I715/B715)))/C715)/100))))</f>
        <v>0</v>
      </c>
      <c r="AU715" s="57">
        <f>IF(ISERROR(IF(B715=C715,J715/C715,(INT(J715/B715)+(((J715-B715*INT(J715/B715)))/C715)/100))),0,(IF(B715=C715,J715/C715,(INT(J715/B715)+(((J715-B715*INT(J715/B715)))/C715)/100))))</f>
        <v>0</v>
      </c>
      <c r="AV715" s="57">
        <f>IF(ISERROR(IF(B715=C715,K715/C715,IF((INT(K715/B715)+(((K715-B715*INT(K715/B715)))/C715)/100)&lt;0,(INT(K715/B715)+(((K715-B715*INT(K715/B715)))/C715)/100)+(1-(B715/C715/100)),(INT(K715/B715)+(((K715-B715*INT(K715/B715)))/C715)/100)))),0,IF(B715=C715,K715/C715,IF((INT(K715/B715)+(((K715-B715*INT(K715/B715)))/C715)/100)&lt;0,(INT(K715/B715)+(((K715-B715*INT(K715/B715)))/C715)/100)+(1-(B715/C715/100)),(INT(K715/B715)+(((K715-B715*INT(K715/B715)))/C715)/100))))</f>
        <v>0</v>
      </c>
      <c r="AW715" s="57">
        <f>IF(ISERROR(IF(B715=C715,L715/C715,(INT(L715/B715)+(((L715-B715*INT(L715/B715)))/C715)/100))),0,(IF(B715=C715,L715/C715,(INT(L715/B715)+(((L715-B715*INT(L715/B715)))/C715)/100))))</f>
        <v>0</v>
      </c>
      <c r="AX715" s="57">
        <f>IF(ISERROR(IF(B715=C715,M715/C715,(INT(M715/B715)+(((M715-B715*INT(M715/B715)))/C715)/100))),0,(IF(B715=C715,M715/C715,(INT(M715/B715)+(((M715-B715*INT(M715/B715)))/C715)/100))))</f>
        <v>0</v>
      </c>
      <c r="AY715" s="57">
        <f>IF(ISERROR(IF(B715=C715,N715/C715,IF((INT(N715/B715)+(((N715-B715*INT(N715/B715)))/C715)/100)&lt;0,(INT(N715/B715)+(((N715-B715*INT(N715/B715)))/C715)/100)+(1-(B715/C715/100)),(INT(N715/B715)+(((N715-B715*INT(N715/B715)))/C715)/100)))),0,IF(B715=C715,N715/C715,IF((INT(N715/B715)+(((N715-B715*INT(N715/B715)))/C715)/100)&lt;0,(INT(N715/B715)+(((N715-B715*INT(N715/B715)))/C715)/100)+(1-(B715/C715/100)),(INT(N715/B715)+(((N715-B715*INT(N715/B715)))/C715)/100))))</f>
        <v>0</v>
      </c>
      <c r="AZ715" s="57">
        <f>IF(ISERROR(IF(B715=C715,O715/C715,(INT(O715/B715)+(((O715-B715*INT(O715/B715)))/C715)/100))),0,(IF(B715=C715,O715/C715,(INT(O715/B715)+(((O715-B715*INT(O715/B715)))/C715)/100))))</f>
        <v>0</v>
      </c>
      <c r="BA715" s="57">
        <f>IF(ISERROR(IF(B715=C715,P715/C715,IF((INT(P715/B715)+(((P715-B715*INT(P715/B715)))/C715)/100)&lt;0,(INT(P715/B715)+(((P715-B715*INT(P715/B715)))/C715)/100)+(1-(B715/C715/100)),(INT(P715/B715)+(((P715-B715*INT(P715/B715)))/C715)/100)))),0,IF(B715=C715,P715/C715,IF((INT(P715/B715)+(((P715-B715*INT(P715/B715)))/C715)/100)&lt;0,(INT(P715/B715)+(((P715-B715*INT(P715/B715)))/C715)/100)+(1-(B715/C715/100)),(INT(P715/B715)+(((P715-B715*INT(P715/B715)))/C715)/100))))</f>
        <v>0</v>
      </c>
      <c r="BB715" s="28">
        <f>R715</f>
        <v>0</v>
      </c>
      <c r="BC715" s="28">
        <f>S715</f>
        <v>0</v>
      </c>
      <c r="BD715" s="28">
        <f>AF715</f>
        <v>0</v>
      </c>
      <c r="BE715" s="28">
        <f>T715</f>
        <v>0</v>
      </c>
      <c r="BG715" s="57">
        <f>IF(ISERROR(IF(B715=C715,V715/C715,(INT(V715/B715)+(((V715-B715*INT(V715/B715)))/C715)/100))),0,(IF(B715=C715,V715/C715,(INT(V715/B715)+(((V715-B715*INT(V715/B715)))/C715)/100))))</f>
        <v>0</v>
      </c>
      <c r="BH715" s="57">
        <f>IF(ISERROR(IF(B715=C715,W715/C715,(INT(W715/B715)+(((W715-B715*INT(W715/B715)))/C715)/100))),0,(IF(B715=C715,W715/C715,(INT(W715/B715)+(((W715-B715*INT(W715/B715)))/C715)/100))))</f>
        <v>0</v>
      </c>
      <c r="BI715" s="57">
        <f>IF(ISERROR(IF(B715=C715,X715/C715,(INT(X715/B715)+(((X715-B715*INT(X715/B715)))/C715)/100))),0,(IF(B715=C715,X715/C715,(INT(X715/B715)+(((X715-B715*INT(X715/B715)))/C715)/100))))</f>
        <v>0</v>
      </c>
      <c r="BJ715" s="57">
        <f>IF(ISERROR(IF(B715=C715,Y715/C715,(INT(Y715/B715)+(((Y715-B715*INT(Y715/B715)))/C715)/100))),0,(IF(B715=C715,Y715/C715,(INT(Y715/B715)+(((Y715-B715*INT(Y715/B715)))/C715)/100))))</f>
        <v>0</v>
      </c>
      <c r="BL715" s="57">
        <f>IF(ISERROR(IF(B715=C715,AA715/C715,(INT(AA715/B715)+(((AA715-B715*INT(AA715/B715)))/C715)/100))),0,(IF(B715=C715,AA715/C715,(INT(AA715/B715)+(((AA715-B715*INT(AA715/B715)))/C715)/100))))</f>
        <v>0</v>
      </c>
      <c r="BM715" s="57">
        <f>IF(ISERROR(IF(B715=C715,AB715/C715,(INT(AB715/B715)+(((AB715-B715*INT(AB715/B715)))/C715)/100))),0,(IF(B715=C715,AB715/C715,(INT(AB715/B715)+(((AB715-B715*INT(AB715/B715)))/C715)/100))))</f>
        <v>0</v>
      </c>
      <c r="BN715" s="57">
        <f>IF(ISERROR(IF(B715=C715,AC715/C715,(INT(AC715/B715)+(((AC715-B715*INT(AC715/B715)))/C715)/100))),0,(IF(B715=C715,AC715/C715,(INT(AC715/B715)+(((AC715-B715*INT(AC715/B715)))/C715)/100))))</f>
        <v>0</v>
      </c>
      <c r="BO715" s="57">
        <f>IF(ISERROR(IF(B715=C715,AD715/C715,(INT(AD715/B715)+(((AD715-B715*INT(AD715/B715)))/C715)/100))),0,(IF(B715=C715,AD715/C715,(INT(AD715/B715)+(((AD715-B715*INT(AD715/B715)))/C715)/100))))</f>
        <v>0</v>
      </c>
      <c r="BQ715" s="155"/>
    </row>
    <row r="716" spans="1:69" hidden="1" x14ac:dyDescent="0.35">
      <c r="A716" s="94"/>
      <c r="B716" s="113"/>
      <c r="C716" s="113"/>
      <c r="D716" s="28">
        <f>SUM(AA716:AD716)</f>
        <v>0</v>
      </c>
      <c r="E716" s="113">
        <v>0</v>
      </c>
      <c r="F716" s="113">
        <v>0</v>
      </c>
      <c r="G716" s="28">
        <f>SUM(D716:F716)</f>
        <v>0</v>
      </c>
      <c r="H716" s="125">
        <v>0</v>
      </c>
      <c r="I716" s="113">
        <v>0</v>
      </c>
      <c r="J716" s="125">
        <v>0</v>
      </c>
      <c r="K716" s="113">
        <v>0</v>
      </c>
      <c r="L716" s="113">
        <v>0</v>
      </c>
      <c r="M716" s="113">
        <v>0</v>
      </c>
      <c r="N716" s="28">
        <f>G716-SUM(H716:M716)</f>
        <v>0</v>
      </c>
      <c r="O716" s="28">
        <f>SUM(V716:Y716)</f>
        <v>0</v>
      </c>
      <c r="P716" s="28">
        <f>O716-N716</f>
        <v>0</v>
      </c>
      <c r="Q716" s="61" t="str">
        <f>IF(ISERROR(P716/SUM(H716:L716)),"",P716/SUM(H716:L716))</f>
        <v/>
      </c>
      <c r="R716" s="113">
        <v>0</v>
      </c>
      <c r="S716" s="28">
        <f>IF(ISERROR(P716/C716*R716),0,(P716/C716*R716))</f>
        <v>0</v>
      </c>
      <c r="T716" s="60">
        <f>IF(ISERROR(P716/B716*AF716),0,(P716/B716*AF716))</f>
        <v>0</v>
      </c>
      <c r="V716" s="113">
        <v>0</v>
      </c>
      <c r="W716" s="113">
        <v>0</v>
      </c>
      <c r="X716" s="113">
        <v>0</v>
      </c>
      <c r="Y716" s="113">
        <v>0</v>
      </c>
      <c r="AA716" s="113">
        <v>0</v>
      </c>
      <c r="AB716" s="113">
        <v>0</v>
      </c>
      <c r="AC716" s="113">
        <v>0</v>
      </c>
      <c r="AD716" s="113">
        <v>0</v>
      </c>
      <c r="AF716" s="113">
        <v>0</v>
      </c>
      <c r="AG716" s="28">
        <f>G716-O716</f>
        <v>0</v>
      </c>
      <c r="AH716" s="58">
        <f>IF(ISERROR(AG716/B716*AF716),0,(AG716/B716*AF716))</f>
        <v>0</v>
      </c>
      <c r="AI716" s="28">
        <f>SUM(H716:M716)</f>
        <v>0</v>
      </c>
      <c r="AJ716" s="28">
        <f>IF(ISERROR(AI716/B716*AF716),0,(AI716/B716*AF716))</f>
        <v>0</v>
      </c>
      <c r="AK716" s="58">
        <f>IF(ISERROR(O716/B716*AF716),0,(O716/B716*AF716))</f>
        <v>0</v>
      </c>
      <c r="AL716" s="28">
        <f>IF(ISERROR(H716/B716*AF716),0,(H716/B716*AF716))</f>
        <v>0</v>
      </c>
      <c r="AN716" s="51">
        <f>A716</f>
        <v>0</v>
      </c>
      <c r="AO716" s="57">
        <f>IF(ISERROR(IF(B716=C716,D716/C716,(INT(D716/B716)+(((D716-B716*INT(D716/B716)))/C716)/100))),0,(IF(B716=C716,D716/C716,(INT(D716/B716)+(((D716-B716*INT(D716/B716)))/C716)/100))))</f>
        <v>0</v>
      </c>
      <c r="AP716" s="57">
        <f>IF(ISERROR(IF(B716=C716,E716/C716,(INT(E716/B716)+(((E716-B716*INT(E716/B716)))/C716)/100))),0,(IF(B716=C716,E716/C716,(INT(E716/B716)+(((E716-B716*INT(E716/B716)))/C716)/100))))</f>
        <v>0</v>
      </c>
      <c r="AQ716" s="57">
        <f>IF(ISERROR(IF(B716=C716,F716/C716,IF((INT(F716/B716)+(((F716-B716*INT(F716/B716)))/C716)/100)&lt;0,(INT(F716/B716)+(((F716-B716*INT(F716/B716)))/C716)/100)+(1-(B716/C716/100)),(INT(F716/B716)+(((F716-B716*INT(F716/B716)))/C716)/100)))),0,IF(B716=C716,F716/C716,IF((INT(F716/B716)+(((F716-B716*INT(F716/B716)))/C716)/100)&lt;0,(INT(F716/B716)+(((F716-B716*INT(F716/B716)))/C716)/100)+(1-(B716/C716/100)),(INT(F716/B716)+(((F716-B716*INT(F716/B716)))/C716)/100))))</f>
        <v>0</v>
      </c>
      <c r="AR716" s="57">
        <f>IF(ISERROR(IF(B716=C716,G716/C716,(INT(G716/B716)+(((G716-B716*INT(G716/B716)))/C716)/100))),0,(IF(B716=C716,G716/C716,(INT(G716/B716)+(((G716-B716*INT(G716/B716)))/C716)/100))))</f>
        <v>0</v>
      </c>
      <c r="AS716" s="57">
        <f>IF(ISERROR(IF(B716=C716,H716/C716,(INT(H716/B716)+(((H716-B716*INT(H716/B716)))/C716)/100))),0,(IF(B716=C716,H716/C716,(INT(H716/B716)+(((H716-B716*INT(H716/B716)))/C716)/100))))</f>
        <v>0</v>
      </c>
      <c r="AT716" s="57">
        <f>IF(ISERROR(IF(B716=C716,I716/C716,(INT(I716/B716)+(((I716-B716*INT(I716/B716)))/C716)/100))),0,(IF(B716=C716,I716/C716,(INT(I716/B716)+(((I716-B716*INT(I716/B716)))/C716)/100))))</f>
        <v>0</v>
      </c>
      <c r="AU716" s="57">
        <f>IF(ISERROR(IF(B716=C716,J716/C716,(INT(J716/B716)+(((J716-B716*INT(J716/B716)))/C716)/100))),0,(IF(B716=C716,J716/C716,(INT(J716/B716)+(((J716-B716*INT(J716/B716)))/C716)/100))))</f>
        <v>0</v>
      </c>
      <c r="AV716" s="57">
        <f>IF(ISERROR(IF(B716=C716,K716/C716,IF((INT(K716/B716)+(((K716-B716*INT(K716/B716)))/C716)/100)&lt;0,(INT(K716/B716)+(((K716-B716*INT(K716/B716)))/C716)/100)+(1-(B716/C716/100)),(INT(K716/B716)+(((K716-B716*INT(K716/B716)))/C716)/100)))),0,IF(B716=C716,K716/C716,IF((INT(K716/B716)+(((K716-B716*INT(K716/B716)))/C716)/100)&lt;0,(INT(K716/B716)+(((K716-B716*INT(K716/B716)))/C716)/100)+(1-(B716/C716/100)),(INT(K716/B716)+(((K716-B716*INT(K716/B716)))/C716)/100))))</f>
        <v>0</v>
      </c>
      <c r="AW716" s="57">
        <f>IF(ISERROR(IF(B716=C716,L716/C716,(INT(L716/B716)+(((L716-B716*INT(L716/B716)))/C716)/100))),0,(IF(B716=C716,L716/C716,(INT(L716/B716)+(((L716-B716*INT(L716/B716)))/C716)/100))))</f>
        <v>0</v>
      </c>
      <c r="AX716" s="57">
        <f>IF(ISERROR(IF(B716=C716,M716/C716,(INT(M716/B716)+(((M716-B716*INT(M716/B716)))/C716)/100))),0,(IF(B716=C716,M716/C716,(INT(M716/B716)+(((M716-B716*INT(M716/B716)))/C716)/100))))</f>
        <v>0</v>
      </c>
      <c r="AY716" s="57">
        <f>IF(ISERROR(IF(B716=C716,N716/C716,IF((INT(N716/B716)+(((N716-B716*INT(N716/B716)))/C716)/100)&lt;0,(INT(N716/B716)+(((N716-B716*INT(N716/B716)))/C716)/100)+(1-(B716/C716/100)),(INT(N716/B716)+(((N716-B716*INT(N716/B716)))/C716)/100)))),0,IF(B716=C716,N716/C716,IF((INT(N716/B716)+(((N716-B716*INT(N716/B716)))/C716)/100)&lt;0,(INT(N716/B716)+(((N716-B716*INT(N716/B716)))/C716)/100)+(1-(B716/C716/100)),(INT(N716/B716)+(((N716-B716*INT(N716/B716)))/C716)/100))))</f>
        <v>0</v>
      </c>
      <c r="AZ716" s="57">
        <f>IF(ISERROR(IF(B716=C716,O716/C716,(INT(O716/B716)+(((O716-B716*INT(O716/B716)))/C716)/100))),0,(IF(B716=C716,O716/C716,(INT(O716/B716)+(((O716-B716*INT(O716/B716)))/C716)/100))))</f>
        <v>0</v>
      </c>
      <c r="BA716" s="57">
        <f>IF(ISERROR(IF(B716=C716,P716/C716,IF((INT(P716/B716)+(((P716-B716*INT(P716/B716)))/C716)/100)&lt;0,(INT(P716/B716)+(((P716-B716*INT(P716/B716)))/C716)/100)+(1-(B716/C716/100)),(INT(P716/B716)+(((P716-B716*INT(P716/B716)))/C716)/100)))),0,IF(B716=C716,P716/C716,IF((INT(P716/B716)+(((P716-B716*INT(P716/B716)))/C716)/100)&lt;0,(INT(P716/B716)+(((P716-B716*INT(P716/B716)))/C716)/100)+(1-(B716/C716/100)),(INT(P716/B716)+(((P716-B716*INT(P716/B716)))/C716)/100))))</f>
        <v>0</v>
      </c>
      <c r="BB716" s="28">
        <f>R716</f>
        <v>0</v>
      </c>
      <c r="BC716" s="28">
        <f>S716</f>
        <v>0</v>
      </c>
      <c r="BD716" s="28">
        <f>AF716</f>
        <v>0</v>
      </c>
      <c r="BE716" s="28">
        <f>T716</f>
        <v>0</v>
      </c>
      <c r="BG716" s="57">
        <f>IF(ISERROR(IF(B716=C716,V716/C716,(INT(V716/B716)+(((V716-B716*INT(V716/B716)))/C716)/100))),0,(IF(B716=C716,V716/C716,(INT(V716/B716)+(((V716-B716*INT(V716/B716)))/C716)/100))))</f>
        <v>0</v>
      </c>
      <c r="BH716" s="57">
        <f>IF(ISERROR(IF(B716=C716,W716/C716,(INT(W716/B716)+(((W716-B716*INT(W716/B716)))/C716)/100))),0,(IF(B716=C716,W716/C716,(INT(W716/B716)+(((W716-B716*INT(W716/B716)))/C716)/100))))</f>
        <v>0</v>
      </c>
      <c r="BI716" s="57">
        <f>IF(ISERROR(IF(B716=C716,X716/C716,(INT(X716/B716)+(((X716-B716*INT(X716/B716)))/C716)/100))),0,(IF(B716=C716,X716/C716,(INT(X716/B716)+(((X716-B716*INT(X716/B716)))/C716)/100))))</f>
        <v>0</v>
      </c>
      <c r="BJ716" s="57">
        <f>IF(ISERROR(IF(B716=C716,Y716/C716,(INT(Y716/B716)+(((Y716-B716*INT(Y716/B716)))/C716)/100))),0,(IF(B716=C716,Y716/C716,(INT(Y716/B716)+(((Y716-B716*INT(Y716/B716)))/C716)/100))))</f>
        <v>0</v>
      </c>
      <c r="BL716" s="57">
        <f>IF(ISERROR(IF(B716=C716,AA716/C716,(INT(AA716/B716)+(((AA716-B716*INT(AA716/B716)))/C716)/100))),0,(IF(B716=C716,AA716/C716,(INT(AA716/B716)+(((AA716-B716*INT(AA716/B716)))/C716)/100))))</f>
        <v>0</v>
      </c>
      <c r="BM716" s="57">
        <f>IF(ISERROR(IF(B716=C716,AB716/C716,(INT(AB716/B716)+(((AB716-B716*INT(AB716/B716)))/C716)/100))),0,(IF(B716=C716,AB716/C716,(INT(AB716/B716)+(((AB716-B716*INT(AB716/B716)))/C716)/100))))</f>
        <v>0</v>
      </c>
      <c r="BN716" s="57">
        <f>IF(ISERROR(IF(B716=C716,AC716/C716,(INT(AC716/B716)+(((AC716-B716*INT(AC716/B716)))/C716)/100))),0,(IF(B716=C716,AC716/C716,(INT(AC716/B716)+(((AC716-B716*INT(AC716/B716)))/C716)/100))))</f>
        <v>0</v>
      </c>
      <c r="BO716" s="57">
        <f>IF(ISERROR(IF(B716=C716,AD716/C716,(INT(AD716/B716)+(((AD716-B716*INT(AD716/B716)))/C716)/100))),0,(IF(B716=C716,AD716/C716,(INT(AD716/B716)+(((AD716-B716*INT(AD716/B716)))/C716)/100))))</f>
        <v>0</v>
      </c>
      <c r="BQ716" s="155"/>
    </row>
    <row r="717" spans="1:69" hidden="1" x14ac:dyDescent="0.35">
      <c r="A717" s="94"/>
      <c r="B717" s="113">
        <v>0</v>
      </c>
      <c r="C717" s="113">
        <v>250</v>
      </c>
      <c r="D717" s="28">
        <f>SUM(AA717:AD717)</f>
        <v>0</v>
      </c>
      <c r="E717" s="113">
        <v>0</v>
      </c>
      <c r="F717" s="113">
        <v>0</v>
      </c>
      <c r="G717" s="28">
        <f>SUM(D717:F717)</f>
        <v>0</v>
      </c>
      <c r="H717" s="125">
        <v>0</v>
      </c>
      <c r="I717" s="113">
        <v>0</v>
      </c>
      <c r="J717" s="125">
        <v>0</v>
      </c>
      <c r="K717" s="113">
        <v>0</v>
      </c>
      <c r="L717" s="113">
        <v>0</v>
      </c>
      <c r="M717" s="113">
        <v>0</v>
      </c>
      <c r="N717" s="28">
        <f>G717-SUM(H717:M717)</f>
        <v>0</v>
      </c>
      <c r="O717" s="28">
        <f>SUM(V717:Y717)</f>
        <v>0</v>
      </c>
      <c r="P717" s="28">
        <f>O717-N717</f>
        <v>0</v>
      </c>
      <c r="Q717" s="61" t="str">
        <f>IF(ISERROR(P717/SUM(H717:L717)),"",P717/SUM(H717:L717))</f>
        <v/>
      </c>
      <c r="R717" s="113">
        <v>0</v>
      </c>
      <c r="S717" s="28">
        <f>IF(ISERROR(P717/C717*R717),0,(P717/C717*R717))</f>
        <v>0</v>
      </c>
      <c r="T717" s="60">
        <f>IF(ISERROR(P717/B717*AF717),0,(P717/B717*AF717))</f>
        <v>0</v>
      </c>
      <c r="V717" s="113">
        <v>0</v>
      </c>
      <c r="W717" s="113">
        <v>0</v>
      </c>
      <c r="X717" s="113">
        <v>0</v>
      </c>
      <c r="Y717" s="113">
        <v>0</v>
      </c>
      <c r="AA717" s="113">
        <v>0</v>
      </c>
      <c r="AB717" s="113">
        <v>0</v>
      </c>
      <c r="AC717" s="113">
        <v>0</v>
      </c>
      <c r="AD717" s="113">
        <v>0</v>
      </c>
      <c r="AF717" s="113">
        <v>0</v>
      </c>
      <c r="AG717" s="28">
        <f>G717-O717</f>
        <v>0</v>
      </c>
      <c r="AH717" s="58">
        <f>IF(ISERROR(AG717/B717*AF717),0,(AG717/B717*AF717))</f>
        <v>0</v>
      </c>
      <c r="AI717" s="28">
        <f>SUM(H717:M717)</f>
        <v>0</v>
      </c>
      <c r="AJ717" s="28">
        <f>IF(ISERROR(AI717/B717*AF717),0,(AI717/B717*AF717))</f>
        <v>0</v>
      </c>
      <c r="AK717" s="58">
        <f>IF(ISERROR(O717/B717*AF717),0,(O717/B717*AF717))</f>
        <v>0</v>
      </c>
      <c r="AL717" s="28">
        <f>IF(ISERROR(H717/B717*AF717),0,(H717/B717*AF717))</f>
        <v>0</v>
      </c>
      <c r="AN717" s="51">
        <f>A717</f>
        <v>0</v>
      </c>
      <c r="AO717" s="57">
        <f>IF(ISERROR(IF(B717=C717,D717/C717,(INT(D717/B717)+(((D717-B717*INT(D717/B717)))/C717)/100))),0,(IF(B717=C717,D717/C717,(INT(D717/B717)+(((D717-B717*INT(D717/B717)))/C717)/100))))</f>
        <v>0</v>
      </c>
      <c r="AP717" s="57">
        <f>IF(ISERROR(IF(B717=C717,E717/C717,(INT(E717/B717)+(((E717-B717*INT(E717/B717)))/C717)/100))),0,(IF(B717=C717,E717/C717,(INT(E717/B717)+(((E717-B717*INT(E717/B717)))/C717)/100))))</f>
        <v>0</v>
      </c>
      <c r="AQ717" s="57">
        <f>IF(ISERROR(IF(B717=C717,F717/C717,IF((INT(F717/B717)+(((F717-B717*INT(F717/B717)))/C717)/100)&lt;0,(INT(F717/B717)+(((F717-B717*INT(F717/B717)))/C717)/100)+(1-(B717/C717/100)),(INT(F717/B717)+(((F717-B717*INT(F717/B717)))/C717)/100)))),0,IF(B717=C717,F717/C717,IF((INT(F717/B717)+(((F717-B717*INT(F717/B717)))/C717)/100)&lt;0,(INT(F717/B717)+(((F717-B717*INT(F717/B717)))/C717)/100)+(1-(B717/C717/100)),(INT(F717/B717)+(((F717-B717*INT(F717/B717)))/C717)/100))))</f>
        <v>0</v>
      </c>
      <c r="AR717" s="57">
        <f>IF(ISERROR(IF(B717=C717,G717/C717,(INT(G717/B717)+(((G717-B717*INT(G717/B717)))/C717)/100))),0,(IF(B717=C717,G717/C717,(INT(G717/B717)+(((G717-B717*INT(G717/B717)))/C717)/100))))</f>
        <v>0</v>
      </c>
      <c r="AS717" s="57">
        <f>IF(ISERROR(IF(B717=C717,H717/C717,(INT(H717/B717)+(((H717-B717*INT(H717/B717)))/C717)/100))),0,(IF(B717=C717,H717/C717,(INT(H717/B717)+(((H717-B717*INT(H717/B717)))/C717)/100))))</f>
        <v>0</v>
      </c>
      <c r="AT717" s="57">
        <f>IF(ISERROR(IF(B717=C717,I717/C717,(INT(I717/B717)+(((I717-B717*INT(I717/B717)))/C717)/100))),0,(IF(B717=C717,I717/C717,(INT(I717/B717)+(((I717-B717*INT(I717/B717)))/C717)/100))))</f>
        <v>0</v>
      </c>
      <c r="AU717" s="57">
        <f>IF(ISERROR(IF(B717=C717,J717/C717,(INT(J717/B717)+(((J717-B717*INT(J717/B717)))/C717)/100))),0,(IF(B717=C717,J717/C717,(INT(J717/B717)+(((J717-B717*INT(J717/B717)))/C717)/100))))</f>
        <v>0</v>
      </c>
      <c r="AV717" s="57">
        <f>IF(ISERROR(IF(B717=C717,K717/C717,IF((INT(K717/B717)+(((K717-B717*INT(K717/B717)))/C717)/100)&lt;0,(INT(K717/B717)+(((K717-B717*INT(K717/B717)))/C717)/100)+(1-(B717/C717/100)),(INT(K717/B717)+(((K717-B717*INT(K717/B717)))/C717)/100)))),0,IF(B717=C717,K717/C717,IF((INT(K717/B717)+(((K717-B717*INT(K717/B717)))/C717)/100)&lt;0,(INT(K717/B717)+(((K717-B717*INT(K717/B717)))/C717)/100)+(1-(B717/C717/100)),(INT(K717/B717)+(((K717-B717*INT(K717/B717)))/C717)/100))))</f>
        <v>0</v>
      </c>
      <c r="AW717" s="57">
        <f>IF(ISERROR(IF(B717=C717,L717/C717,(INT(L717/B717)+(((L717-B717*INT(L717/B717)))/C717)/100))),0,(IF(B717=C717,L717/C717,(INT(L717/B717)+(((L717-B717*INT(L717/B717)))/C717)/100))))</f>
        <v>0</v>
      </c>
      <c r="AX717" s="57">
        <f>IF(ISERROR(IF(B717=C717,M717/C717,(INT(M717/B717)+(((M717-B717*INT(M717/B717)))/C717)/100))),0,(IF(B717=C717,M717/C717,(INT(M717/B717)+(((M717-B717*INT(M717/B717)))/C717)/100))))</f>
        <v>0</v>
      </c>
      <c r="AY717" s="57">
        <f>IF(ISERROR(IF(B717=C717,N717/C717,IF((INT(N717/B717)+(((N717-B717*INT(N717/B717)))/C717)/100)&lt;0,(INT(N717/B717)+(((N717-B717*INT(N717/B717)))/C717)/100)+(1-(B717/C717/100)),(INT(N717/B717)+(((N717-B717*INT(N717/B717)))/C717)/100)))),0,IF(B717=C717,N717/C717,IF((INT(N717/B717)+(((N717-B717*INT(N717/B717)))/C717)/100)&lt;0,(INT(N717/B717)+(((N717-B717*INT(N717/B717)))/C717)/100)+(1-(B717/C717/100)),(INT(N717/B717)+(((N717-B717*INT(N717/B717)))/C717)/100))))</f>
        <v>0</v>
      </c>
      <c r="AZ717" s="57">
        <f>IF(ISERROR(IF(B717=C717,O717/C717,(INT(O717/B717)+(((O717-B717*INT(O717/B717)))/C717)/100))),0,(IF(B717=C717,O717/C717,(INT(O717/B717)+(((O717-B717*INT(O717/B717)))/C717)/100))))</f>
        <v>0</v>
      </c>
      <c r="BA717" s="57">
        <f>IF(ISERROR(IF(B717=C717,P717/C717,IF((INT(P717/B717)+(((P717-B717*INT(P717/B717)))/C717)/100)&lt;0,(INT(P717/B717)+(((P717-B717*INT(P717/B717)))/C717)/100)+(1-(B717/C717/100)),(INT(P717/B717)+(((P717-B717*INT(P717/B717)))/C717)/100)))),0,IF(B717=C717,P717/C717,IF((INT(P717/B717)+(((P717-B717*INT(P717/B717)))/C717)/100)&lt;0,(INT(P717/B717)+(((P717-B717*INT(P717/B717)))/C717)/100)+(1-(B717/C717/100)),(INT(P717/B717)+(((P717-B717*INT(P717/B717)))/C717)/100))))</f>
        <v>0</v>
      </c>
      <c r="BB717" s="28">
        <f>R717</f>
        <v>0</v>
      </c>
      <c r="BC717" s="28">
        <f>S717</f>
        <v>0</v>
      </c>
      <c r="BD717" s="28">
        <f>AF717</f>
        <v>0</v>
      </c>
      <c r="BE717" s="28">
        <f>T717</f>
        <v>0</v>
      </c>
      <c r="BG717" s="57">
        <f>IF(ISERROR(IF(B717=C717,V717/C717,(INT(V717/B717)+(((V717-B717*INT(V717/B717)))/C717)/100))),0,(IF(B717=C717,V717/C717,(INT(V717/B717)+(((V717-B717*INT(V717/B717)))/C717)/100))))</f>
        <v>0</v>
      </c>
      <c r="BH717" s="57">
        <f>IF(ISERROR(IF(B717=C717,W717/C717,(INT(W717/B717)+(((W717-B717*INT(W717/B717)))/C717)/100))),0,(IF(B717=C717,W717/C717,(INT(W717/B717)+(((W717-B717*INT(W717/B717)))/C717)/100))))</f>
        <v>0</v>
      </c>
      <c r="BI717" s="57">
        <f>IF(ISERROR(IF(B717=C717,X717/C717,(INT(X717/B717)+(((X717-B717*INT(X717/B717)))/C717)/100))),0,(IF(B717=C717,X717/C717,(INT(X717/B717)+(((X717-B717*INT(X717/B717)))/C717)/100))))</f>
        <v>0</v>
      </c>
      <c r="BJ717" s="57">
        <f>IF(ISERROR(IF(B717=C717,Y717/C717,(INT(Y717/B717)+(((Y717-B717*INT(Y717/B717)))/C717)/100))),0,(IF(B717=C717,Y717/C717,(INT(Y717/B717)+(((Y717-B717*INT(Y717/B717)))/C717)/100))))</f>
        <v>0</v>
      </c>
      <c r="BL717" s="57">
        <f>IF(ISERROR(IF(B717=C717,AA717/C717,(INT(AA717/B717)+(((AA717-B717*INT(AA717/B717)))/C717)/100))),0,(IF(B717=C717,AA717/C717,(INT(AA717/B717)+(((AA717-B717*INT(AA717/B717)))/C717)/100))))</f>
        <v>0</v>
      </c>
      <c r="BM717" s="57">
        <f>IF(ISERROR(IF(B717=C717,AB717/C717,(INT(AB717/B717)+(((AB717-B717*INT(AB717/B717)))/C717)/100))),0,(IF(B717=C717,AB717/C717,(INT(AB717/B717)+(((AB717-B717*INT(AB717/B717)))/C717)/100))))</f>
        <v>0</v>
      </c>
      <c r="BN717" s="57">
        <f>IF(ISERROR(IF(B717=C717,AC717/C717,(INT(AC717/B717)+(((AC717-B717*INT(AC717/B717)))/C717)/100))),0,(IF(B717=C717,AC717/C717,(INT(AC717/B717)+(((AC717-B717*INT(AC717/B717)))/C717)/100))))</f>
        <v>0</v>
      </c>
      <c r="BO717" s="57">
        <f>IF(ISERROR(IF(B717=C717,AD717/C717,(INT(AD717/B717)+(((AD717-B717*INT(AD717/B717)))/C717)/100))),0,(IF(B717=C717,AD717/C717,(INT(AD717/B717)+(((AD717-B717*INT(AD717/B717)))/C717)/100))))</f>
        <v>0</v>
      </c>
      <c r="BQ717" s="155"/>
    </row>
    <row r="718" spans="1:69" hidden="1" x14ac:dyDescent="0.35">
      <c r="A718" s="94"/>
      <c r="B718" s="113">
        <v>0</v>
      </c>
      <c r="C718" s="113">
        <v>250</v>
      </c>
      <c r="D718" s="28">
        <f>SUM(AA718:AD718)</f>
        <v>0</v>
      </c>
      <c r="E718" s="113">
        <v>0</v>
      </c>
      <c r="F718" s="113">
        <v>0</v>
      </c>
      <c r="G718" s="28">
        <f>SUM(D718:F718)</f>
        <v>0</v>
      </c>
      <c r="H718" s="125">
        <v>0</v>
      </c>
      <c r="I718" s="113">
        <v>0</v>
      </c>
      <c r="J718" s="125">
        <v>0</v>
      </c>
      <c r="K718" s="113">
        <v>0</v>
      </c>
      <c r="L718" s="113">
        <v>0</v>
      </c>
      <c r="M718" s="113">
        <v>0</v>
      </c>
      <c r="N718" s="28">
        <f>G718-SUM(H718:M718)</f>
        <v>0</v>
      </c>
      <c r="O718" s="28">
        <f>SUM(V718:Y718)</f>
        <v>0</v>
      </c>
      <c r="P718" s="28">
        <f>O718-N718</f>
        <v>0</v>
      </c>
      <c r="Q718" s="61" t="str">
        <f>IF(ISERROR(P718/SUM(H718:L718)),"",P718/SUM(H718:L718))</f>
        <v/>
      </c>
      <c r="R718" s="113">
        <v>0</v>
      </c>
      <c r="S718" s="28">
        <f>IF(ISERROR(P718/C718*R718),0,(P718/C718*R718))</f>
        <v>0</v>
      </c>
      <c r="T718" s="60">
        <f>IF(ISERROR(P718/B718*AF718),0,(P718/B718*AF718))</f>
        <v>0</v>
      </c>
      <c r="V718" s="113">
        <v>0</v>
      </c>
      <c r="W718" s="113">
        <v>0</v>
      </c>
      <c r="X718" s="113">
        <v>0</v>
      </c>
      <c r="Y718" s="113">
        <v>0</v>
      </c>
      <c r="AA718" s="113">
        <v>0</v>
      </c>
      <c r="AB718" s="113">
        <v>0</v>
      </c>
      <c r="AC718" s="113">
        <v>0</v>
      </c>
      <c r="AD718" s="113">
        <v>0</v>
      </c>
      <c r="AF718" s="113">
        <v>0</v>
      </c>
      <c r="AG718" s="28">
        <f>G718-O718</f>
        <v>0</v>
      </c>
      <c r="AH718" s="58">
        <f>IF(ISERROR(AG718/B718*AF718),0,(AG718/B718*AF718))</f>
        <v>0</v>
      </c>
      <c r="AI718" s="28">
        <f>SUM(H718:M718)</f>
        <v>0</v>
      </c>
      <c r="AJ718" s="28">
        <f>IF(ISERROR(AI718/B718*AF718),0,(AI718/B718*AF718))</f>
        <v>0</v>
      </c>
      <c r="AK718" s="58">
        <f>IF(ISERROR(O718/B718*AF718),0,(O718/B718*AF718))</f>
        <v>0</v>
      </c>
      <c r="AL718" s="28">
        <f>IF(ISERROR(H718/B718*AF718),0,(H718/B718*AF718))</f>
        <v>0</v>
      </c>
      <c r="AN718" s="51">
        <f>A718</f>
        <v>0</v>
      </c>
      <c r="AO718" s="57">
        <f>IF(ISERROR(IF(B718=C718,D718/C718,(INT(D718/B718)+(((D718-B718*INT(D718/B718)))/C718)/100))),0,(IF(B718=C718,D718/C718,(INT(D718/B718)+(((D718-B718*INT(D718/B718)))/C718)/100))))</f>
        <v>0</v>
      </c>
      <c r="AP718" s="57">
        <f>IF(ISERROR(IF(B718=C718,E718/C718,(INT(E718/B718)+(((E718-B718*INT(E718/B718)))/C718)/100))),0,(IF(B718=C718,E718/C718,(INT(E718/B718)+(((E718-B718*INT(E718/B718)))/C718)/100))))</f>
        <v>0</v>
      </c>
      <c r="AQ718" s="57">
        <f>IF(ISERROR(IF(B718=C718,F718/C718,IF((INT(F718/B718)+(((F718-B718*INT(F718/B718)))/C718)/100)&lt;0,(INT(F718/B718)+(((F718-B718*INT(F718/B718)))/C718)/100)+(1-(B718/C718/100)),(INT(F718/B718)+(((F718-B718*INT(F718/B718)))/C718)/100)))),0,IF(B718=C718,F718/C718,IF((INT(F718/B718)+(((F718-B718*INT(F718/B718)))/C718)/100)&lt;0,(INT(F718/B718)+(((F718-B718*INT(F718/B718)))/C718)/100)+(1-(B718/C718/100)),(INT(F718/B718)+(((F718-B718*INT(F718/B718)))/C718)/100))))</f>
        <v>0</v>
      </c>
      <c r="AR718" s="57">
        <f>IF(ISERROR(IF(B718=C718,G718/C718,(INT(G718/B718)+(((G718-B718*INT(G718/B718)))/C718)/100))),0,(IF(B718=C718,G718/C718,(INT(G718/B718)+(((G718-B718*INT(G718/B718)))/C718)/100))))</f>
        <v>0</v>
      </c>
      <c r="AS718" s="57">
        <f>IF(ISERROR(IF(B718=C718,H718/C718,(INT(H718/B718)+(((H718-B718*INT(H718/B718)))/C718)/100))),0,(IF(B718=C718,H718/C718,(INT(H718/B718)+(((H718-B718*INT(H718/B718)))/C718)/100))))</f>
        <v>0</v>
      </c>
      <c r="AT718" s="57">
        <f>IF(ISERROR(IF(B718=C718,I718/C718,(INT(I718/B718)+(((I718-B718*INT(I718/B718)))/C718)/100))),0,(IF(B718=C718,I718/C718,(INT(I718/B718)+(((I718-B718*INT(I718/B718)))/C718)/100))))</f>
        <v>0</v>
      </c>
      <c r="AU718" s="57">
        <f>IF(ISERROR(IF(B718=C718,J718/C718,(INT(J718/B718)+(((J718-B718*INT(J718/B718)))/C718)/100))),0,(IF(B718=C718,J718/C718,(INT(J718/B718)+(((J718-B718*INT(J718/B718)))/C718)/100))))</f>
        <v>0</v>
      </c>
      <c r="AV718" s="57">
        <f>IF(ISERROR(IF(B718=C718,K718/C718,IF((INT(K718/B718)+(((K718-B718*INT(K718/B718)))/C718)/100)&lt;0,(INT(K718/B718)+(((K718-B718*INT(K718/B718)))/C718)/100)+(1-(B718/C718/100)),(INT(K718/B718)+(((K718-B718*INT(K718/B718)))/C718)/100)))),0,IF(B718=C718,K718/C718,IF((INT(K718/B718)+(((K718-B718*INT(K718/B718)))/C718)/100)&lt;0,(INT(K718/B718)+(((K718-B718*INT(K718/B718)))/C718)/100)+(1-(B718/C718/100)),(INT(K718/B718)+(((K718-B718*INT(K718/B718)))/C718)/100))))</f>
        <v>0</v>
      </c>
      <c r="AW718" s="57">
        <f>IF(ISERROR(IF(B718=C718,L718/C718,(INT(L718/B718)+(((L718-B718*INT(L718/B718)))/C718)/100))),0,(IF(B718=C718,L718/C718,(INT(L718/B718)+(((L718-B718*INT(L718/B718)))/C718)/100))))</f>
        <v>0</v>
      </c>
      <c r="AX718" s="57">
        <f>IF(ISERROR(IF(B718=C718,M718/C718,(INT(M718/B718)+(((M718-B718*INT(M718/B718)))/C718)/100))),0,(IF(B718=C718,M718/C718,(INT(M718/B718)+(((M718-B718*INT(M718/B718)))/C718)/100))))</f>
        <v>0</v>
      </c>
      <c r="AY718" s="57">
        <f>IF(ISERROR(IF(B718=C718,N718/C718,IF((INT(N718/B718)+(((N718-B718*INT(N718/B718)))/C718)/100)&lt;0,(INT(N718/B718)+(((N718-B718*INT(N718/B718)))/C718)/100)+(1-(B718/C718/100)),(INT(N718/B718)+(((N718-B718*INT(N718/B718)))/C718)/100)))),0,IF(B718=C718,N718/C718,IF((INT(N718/B718)+(((N718-B718*INT(N718/B718)))/C718)/100)&lt;0,(INT(N718/B718)+(((N718-B718*INT(N718/B718)))/C718)/100)+(1-(B718/C718/100)),(INT(N718/B718)+(((N718-B718*INT(N718/B718)))/C718)/100))))</f>
        <v>0</v>
      </c>
      <c r="AZ718" s="57">
        <f>IF(ISERROR(IF(B718=C718,O718/C718,(INT(O718/B718)+(((O718-B718*INT(O718/B718)))/C718)/100))),0,(IF(B718=C718,O718/C718,(INT(O718/B718)+(((O718-B718*INT(O718/B718)))/C718)/100))))</f>
        <v>0</v>
      </c>
      <c r="BA718" s="57">
        <f>IF(ISERROR(IF(B718=C718,P718/C718,IF((INT(P718/B718)+(((P718-B718*INT(P718/B718)))/C718)/100)&lt;0,(INT(P718/B718)+(((P718-B718*INT(P718/B718)))/C718)/100)+(1-(B718/C718/100)),(INT(P718/B718)+(((P718-B718*INT(P718/B718)))/C718)/100)))),0,IF(B718=C718,P718/C718,IF((INT(P718/B718)+(((P718-B718*INT(P718/B718)))/C718)/100)&lt;0,(INT(P718/B718)+(((P718-B718*INT(P718/B718)))/C718)/100)+(1-(B718/C718/100)),(INT(P718/B718)+(((P718-B718*INT(P718/B718)))/C718)/100))))</f>
        <v>0</v>
      </c>
      <c r="BB718" s="28">
        <f>R718</f>
        <v>0</v>
      </c>
      <c r="BC718" s="28">
        <f>S718</f>
        <v>0</v>
      </c>
      <c r="BD718" s="28">
        <f>AF718</f>
        <v>0</v>
      </c>
      <c r="BE718" s="28">
        <f>T718</f>
        <v>0</v>
      </c>
      <c r="BG718" s="57">
        <f>IF(ISERROR(IF(B718=C718,V718/C718,(INT(V718/B718)+(((V718-B718*INT(V718/B718)))/C718)/100))),0,(IF(B718=C718,V718/C718,(INT(V718/B718)+(((V718-B718*INT(V718/B718)))/C718)/100))))</f>
        <v>0</v>
      </c>
      <c r="BH718" s="57">
        <f>IF(ISERROR(IF(B718=C718,W718/C718,(INT(W718/B718)+(((W718-B718*INT(W718/B718)))/C718)/100))),0,(IF(B718=C718,W718/C718,(INT(W718/B718)+(((W718-B718*INT(W718/B718)))/C718)/100))))</f>
        <v>0</v>
      </c>
      <c r="BI718" s="57">
        <f>IF(ISERROR(IF(B718=C718,X718/C718,(INT(X718/B718)+(((X718-B718*INT(X718/B718)))/C718)/100))),0,(IF(B718=C718,X718/C718,(INT(X718/B718)+(((X718-B718*INT(X718/B718)))/C718)/100))))</f>
        <v>0</v>
      </c>
      <c r="BJ718" s="57">
        <f>IF(ISERROR(IF(B718=C718,Y718/C718,(INT(Y718/B718)+(((Y718-B718*INT(Y718/B718)))/C718)/100))),0,(IF(B718=C718,Y718/C718,(INT(Y718/B718)+(((Y718-B718*INT(Y718/B718)))/C718)/100))))</f>
        <v>0</v>
      </c>
      <c r="BL718" s="57">
        <f>IF(ISERROR(IF(B718=C718,AA718/C718,(INT(AA718/B718)+(((AA718-B718*INT(AA718/B718)))/C718)/100))),0,(IF(B718=C718,AA718/C718,(INT(AA718/B718)+(((AA718-B718*INT(AA718/B718)))/C718)/100))))</f>
        <v>0</v>
      </c>
      <c r="BM718" s="57">
        <f>IF(ISERROR(IF(B718=C718,AB718/C718,(INT(AB718/B718)+(((AB718-B718*INT(AB718/B718)))/C718)/100))),0,(IF(B718=C718,AB718/C718,(INT(AB718/B718)+(((AB718-B718*INT(AB718/B718)))/C718)/100))))</f>
        <v>0</v>
      </c>
      <c r="BN718" s="57">
        <f>IF(ISERROR(IF(B718=C718,AC718/C718,(INT(AC718/B718)+(((AC718-B718*INT(AC718/B718)))/C718)/100))),0,(IF(B718=C718,AC718/C718,(INT(AC718/B718)+(((AC718-B718*INT(AC718/B718)))/C718)/100))))</f>
        <v>0</v>
      </c>
      <c r="BO718" s="57">
        <f>IF(ISERROR(IF(B718=C718,AD718/C718,(INT(AD718/B718)+(((AD718-B718*INT(AD718/B718)))/C718)/100))),0,(IF(B718=C718,AD718/C718,(INT(AD718/B718)+(((AD718-B718*INT(AD718/B718)))/C718)/100))))</f>
        <v>0</v>
      </c>
      <c r="BQ718" s="155"/>
    </row>
    <row r="719" spans="1:69" hidden="1" x14ac:dyDescent="0.35">
      <c r="A719" s="94"/>
      <c r="B719" s="113">
        <v>0</v>
      </c>
      <c r="C719" s="113">
        <v>250</v>
      </c>
      <c r="D719" s="28">
        <f>SUM(AA719:AD719)</f>
        <v>0</v>
      </c>
      <c r="E719" s="113">
        <v>0</v>
      </c>
      <c r="F719" s="113">
        <v>0</v>
      </c>
      <c r="G719" s="28">
        <f>SUM(D719:F719)</f>
        <v>0</v>
      </c>
      <c r="H719" s="125">
        <v>0</v>
      </c>
      <c r="I719" s="113">
        <v>0</v>
      </c>
      <c r="J719" s="125">
        <v>0</v>
      </c>
      <c r="K719" s="113">
        <v>0</v>
      </c>
      <c r="L719" s="113">
        <v>0</v>
      </c>
      <c r="M719" s="113">
        <v>0</v>
      </c>
      <c r="N719" s="28">
        <f>G719-SUM(H719:M719)</f>
        <v>0</v>
      </c>
      <c r="O719" s="28">
        <f>SUM(V719:Y719)</f>
        <v>0</v>
      </c>
      <c r="P719" s="28">
        <f>O719-N719</f>
        <v>0</v>
      </c>
      <c r="Q719" s="61" t="str">
        <f>IF(ISERROR(P719/SUM(H719:L719)),"",P719/SUM(H719:L719))</f>
        <v/>
      </c>
      <c r="R719" s="113">
        <v>0</v>
      </c>
      <c r="S719" s="28">
        <f>IF(ISERROR(P719/C719*R719),0,(P719/C719*R719))</f>
        <v>0</v>
      </c>
      <c r="T719" s="60">
        <f>IF(ISERROR(P719/B719*AF719),0,(P719/B719*AF719))</f>
        <v>0</v>
      </c>
      <c r="V719" s="113">
        <v>0</v>
      </c>
      <c r="W719" s="113">
        <v>0</v>
      </c>
      <c r="X719" s="113">
        <v>0</v>
      </c>
      <c r="Y719" s="113">
        <v>0</v>
      </c>
      <c r="AA719" s="113">
        <v>0</v>
      </c>
      <c r="AB719" s="113">
        <v>0</v>
      </c>
      <c r="AC719" s="113">
        <v>0</v>
      </c>
      <c r="AD719" s="113">
        <v>0</v>
      </c>
      <c r="AF719" s="113">
        <v>0</v>
      </c>
      <c r="AG719" s="28">
        <f>G719-O719</f>
        <v>0</v>
      </c>
      <c r="AH719" s="58">
        <f>IF(ISERROR(AG719/B719*AF719),0,(AG719/B719*AF719))</f>
        <v>0</v>
      </c>
      <c r="AI719" s="28">
        <f>SUM(H719:M719)</f>
        <v>0</v>
      </c>
      <c r="AJ719" s="28">
        <f>IF(ISERROR(AI719/B719*AF719),0,(AI719/B719*AF719))</f>
        <v>0</v>
      </c>
      <c r="AK719" s="58">
        <f>IF(ISERROR(O719/B719*AF719),0,(O719/B719*AF719))</f>
        <v>0</v>
      </c>
      <c r="AL719" s="28">
        <f>IF(ISERROR(H719/B719*AF719),0,(H719/B719*AF719))</f>
        <v>0</v>
      </c>
      <c r="AN719" s="51">
        <f>A719</f>
        <v>0</v>
      </c>
      <c r="AO719" s="57">
        <f>IF(ISERROR(IF(B719=C719,D719/C719,(INT(D719/B719)+(((D719-B719*INT(D719/B719)))/C719)/100))),0,(IF(B719=C719,D719/C719,(INT(D719/B719)+(((D719-B719*INT(D719/B719)))/C719)/100))))</f>
        <v>0</v>
      </c>
      <c r="AP719" s="57">
        <f>IF(ISERROR(IF(B719=C719,E719/C719,(INT(E719/B719)+(((E719-B719*INT(E719/B719)))/C719)/100))),0,(IF(B719=C719,E719/C719,(INT(E719/B719)+(((E719-B719*INT(E719/B719)))/C719)/100))))</f>
        <v>0</v>
      </c>
      <c r="AQ719" s="57">
        <f>IF(ISERROR(IF(B719=C719,F719/C719,IF((INT(F719/B719)+(((F719-B719*INT(F719/B719)))/C719)/100)&lt;0,(INT(F719/B719)+(((F719-B719*INT(F719/B719)))/C719)/100)+(1-(B719/C719/100)),(INT(F719/B719)+(((F719-B719*INT(F719/B719)))/C719)/100)))),0,IF(B719=C719,F719/C719,IF((INT(F719/B719)+(((F719-B719*INT(F719/B719)))/C719)/100)&lt;0,(INT(F719/B719)+(((F719-B719*INT(F719/B719)))/C719)/100)+(1-(B719/C719/100)),(INT(F719/B719)+(((F719-B719*INT(F719/B719)))/C719)/100))))</f>
        <v>0</v>
      </c>
      <c r="AR719" s="57">
        <f>IF(ISERROR(IF(B719=C719,G719/C719,(INT(G719/B719)+(((G719-B719*INT(G719/B719)))/C719)/100))),0,(IF(B719=C719,G719/C719,(INT(G719/B719)+(((G719-B719*INT(G719/B719)))/C719)/100))))</f>
        <v>0</v>
      </c>
      <c r="AS719" s="57">
        <f>IF(ISERROR(IF(B719=C719,H719/C719,(INT(H719/B719)+(((H719-B719*INT(H719/B719)))/C719)/100))),0,(IF(B719=C719,H719/C719,(INT(H719/B719)+(((H719-B719*INT(H719/B719)))/C719)/100))))</f>
        <v>0</v>
      </c>
      <c r="AT719" s="57">
        <f>IF(ISERROR(IF(B719=C719,I719/C719,(INT(I719/B719)+(((I719-B719*INT(I719/B719)))/C719)/100))),0,(IF(B719=C719,I719/C719,(INT(I719/B719)+(((I719-B719*INT(I719/B719)))/C719)/100))))</f>
        <v>0</v>
      </c>
      <c r="AU719" s="57">
        <f>IF(ISERROR(IF(B719=C719,J719/C719,(INT(J719/B719)+(((J719-B719*INT(J719/B719)))/C719)/100))),0,(IF(B719=C719,J719/C719,(INT(J719/B719)+(((J719-B719*INT(J719/B719)))/C719)/100))))</f>
        <v>0</v>
      </c>
      <c r="AV719" s="57">
        <f>IF(ISERROR(IF(B719=C719,K719/C719,IF((INT(K719/B719)+(((K719-B719*INT(K719/B719)))/C719)/100)&lt;0,(INT(K719/B719)+(((K719-B719*INT(K719/B719)))/C719)/100)+(1-(B719/C719/100)),(INT(K719/B719)+(((K719-B719*INT(K719/B719)))/C719)/100)))),0,IF(B719=C719,K719/C719,IF((INT(K719/B719)+(((K719-B719*INT(K719/B719)))/C719)/100)&lt;0,(INT(K719/B719)+(((K719-B719*INT(K719/B719)))/C719)/100)+(1-(B719/C719/100)),(INT(K719/B719)+(((K719-B719*INT(K719/B719)))/C719)/100))))</f>
        <v>0</v>
      </c>
      <c r="AW719" s="57">
        <f>IF(ISERROR(IF(B719=C719,L719/C719,(INT(L719/B719)+(((L719-B719*INT(L719/B719)))/C719)/100))),0,(IF(B719=C719,L719/C719,(INT(L719/B719)+(((L719-B719*INT(L719/B719)))/C719)/100))))</f>
        <v>0</v>
      </c>
      <c r="AX719" s="57">
        <f>IF(ISERROR(IF(B719=C719,M719/C719,(INT(M719/B719)+(((M719-B719*INT(M719/B719)))/C719)/100))),0,(IF(B719=C719,M719/C719,(INT(M719/B719)+(((M719-B719*INT(M719/B719)))/C719)/100))))</f>
        <v>0</v>
      </c>
      <c r="AY719" s="57">
        <f>IF(ISERROR(IF(B719=C719,N719/C719,IF((INT(N719/B719)+(((N719-B719*INT(N719/B719)))/C719)/100)&lt;0,(INT(N719/B719)+(((N719-B719*INT(N719/B719)))/C719)/100)+(1-(B719/C719/100)),(INT(N719/B719)+(((N719-B719*INT(N719/B719)))/C719)/100)))),0,IF(B719=C719,N719/C719,IF((INT(N719/B719)+(((N719-B719*INT(N719/B719)))/C719)/100)&lt;0,(INT(N719/B719)+(((N719-B719*INT(N719/B719)))/C719)/100)+(1-(B719/C719/100)),(INT(N719/B719)+(((N719-B719*INT(N719/B719)))/C719)/100))))</f>
        <v>0</v>
      </c>
      <c r="AZ719" s="57">
        <f>IF(ISERROR(IF(B719=C719,O719/C719,(INT(O719/B719)+(((O719-B719*INT(O719/B719)))/C719)/100))),0,(IF(B719=C719,O719/C719,(INT(O719/B719)+(((O719-B719*INT(O719/B719)))/C719)/100))))</f>
        <v>0</v>
      </c>
      <c r="BA719" s="57">
        <f>IF(ISERROR(IF(B719=C719,P719/C719,IF((INT(P719/B719)+(((P719-B719*INT(P719/B719)))/C719)/100)&lt;0,(INT(P719/B719)+(((P719-B719*INT(P719/B719)))/C719)/100)+(1-(B719/C719/100)),(INT(P719/B719)+(((P719-B719*INT(P719/B719)))/C719)/100)))),0,IF(B719=C719,P719/C719,IF((INT(P719/B719)+(((P719-B719*INT(P719/B719)))/C719)/100)&lt;0,(INT(P719/B719)+(((P719-B719*INT(P719/B719)))/C719)/100)+(1-(B719/C719/100)),(INT(P719/B719)+(((P719-B719*INT(P719/B719)))/C719)/100))))</f>
        <v>0</v>
      </c>
      <c r="BB719" s="28">
        <f>R719</f>
        <v>0</v>
      </c>
      <c r="BC719" s="28">
        <f>S719</f>
        <v>0</v>
      </c>
      <c r="BD719" s="28">
        <f>AF719</f>
        <v>0</v>
      </c>
      <c r="BE719" s="28">
        <f>T719</f>
        <v>0</v>
      </c>
      <c r="BG719" s="57">
        <f>IF(ISERROR(IF(B719=C719,V719/C719,(INT(V719/B719)+(((V719-B719*INT(V719/B719)))/C719)/100))),0,(IF(B719=C719,V719/C719,(INT(V719/B719)+(((V719-B719*INT(V719/B719)))/C719)/100))))</f>
        <v>0</v>
      </c>
      <c r="BH719" s="57">
        <f>IF(ISERROR(IF(B719=C719,W719/C719,(INT(W719/B719)+(((W719-B719*INT(W719/B719)))/C719)/100))),0,(IF(B719=C719,W719/C719,(INT(W719/B719)+(((W719-B719*INT(W719/B719)))/C719)/100))))</f>
        <v>0</v>
      </c>
      <c r="BI719" s="57">
        <f>IF(ISERROR(IF(B719=C719,X719/C719,(INT(X719/B719)+(((X719-B719*INT(X719/B719)))/C719)/100))),0,(IF(B719=C719,X719/C719,(INT(X719/B719)+(((X719-B719*INT(X719/B719)))/C719)/100))))</f>
        <v>0</v>
      </c>
      <c r="BJ719" s="57">
        <f>IF(ISERROR(IF(B719=C719,Y719/C719,(INT(Y719/B719)+(((Y719-B719*INT(Y719/B719)))/C719)/100))),0,(IF(B719=C719,Y719/C719,(INT(Y719/B719)+(((Y719-B719*INT(Y719/B719)))/C719)/100))))</f>
        <v>0</v>
      </c>
      <c r="BL719" s="57">
        <f>IF(ISERROR(IF(B719=C719,AA719/C719,(INT(AA719/B719)+(((AA719-B719*INT(AA719/B719)))/C719)/100))),0,(IF(B719=C719,AA719/C719,(INT(AA719/B719)+(((AA719-B719*INT(AA719/B719)))/C719)/100))))</f>
        <v>0</v>
      </c>
      <c r="BM719" s="57">
        <f>IF(ISERROR(IF(B719=C719,AB719/C719,(INT(AB719/B719)+(((AB719-B719*INT(AB719/B719)))/C719)/100))),0,(IF(B719=C719,AB719/C719,(INT(AB719/B719)+(((AB719-B719*INT(AB719/B719)))/C719)/100))))</f>
        <v>0</v>
      </c>
      <c r="BN719" s="57">
        <f>IF(ISERROR(IF(B719=C719,AC719/C719,(INT(AC719/B719)+(((AC719-B719*INT(AC719/B719)))/C719)/100))),0,(IF(B719=C719,AC719/C719,(INT(AC719/B719)+(((AC719-B719*INT(AC719/B719)))/C719)/100))))</f>
        <v>0</v>
      </c>
      <c r="BO719" s="57">
        <f>IF(ISERROR(IF(B719=C719,AD719/C719,(INT(AD719/B719)+(((AD719-B719*INT(AD719/B719)))/C719)/100))),0,(IF(B719=C719,AD719/C719,(INT(AD719/B719)+(((AD719-B719*INT(AD719/B719)))/C719)/100))))</f>
        <v>0</v>
      </c>
      <c r="BQ719" s="155"/>
    </row>
    <row r="720" spans="1:69" hidden="1" x14ac:dyDescent="0.35">
      <c r="A720" s="94"/>
      <c r="B720" s="113">
        <v>0</v>
      </c>
      <c r="C720" s="113">
        <v>250</v>
      </c>
      <c r="D720" s="28">
        <f>SUM(AA720:AD720)</f>
        <v>0</v>
      </c>
      <c r="E720" s="113">
        <v>0</v>
      </c>
      <c r="F720" s="113">
        <v>0</v>
      </c>
      <c r="G720" s="28">
        <f>SUM(D720:F720)</f>
        <v>0</v>
      </c>
      <c r="H720" s="125">
        <v>0</v>
      </c>
      <c r="I720" s="113">
        <v>0</v>
      </c>
      <c r="J720" s="125">
        <v>0</v>
      </c>
      <c r="K720" s="113">
        <v>0</v>
      </c>
      <c r="L720" s="113">
        <v>0</v>
      </c>
      <c r="M720" s="113">
        <v>0</v>
      </c>
      <c r="N720" s="28">
        <f>G720-SUM(H720:M720)</f>
        <v>0</v>
      </c>
      <c r="O720" s="28">
        <f>SUM(V720:Y720)</f>
        <v>0</v>
      </c>
      <c r="P720" s="28">
        <f>O720-N720</f>
        <v>0</v>
      </c>
      <c r="Q720" s="61" t="str">
        <f>IF(ISERROR(P720/SUM(H720:L720)),"",P720/SUM(H720:L720))</f>
        <v/>
      </c>
      <c r="R720" s="113">
        <v>0</v>
      </c>
      <c r="S720" s="28">
        <f>IF(ISERROR(P720/C720*R720),0,(P720/C720*R720))</f>
        <v>0</v>
      </c>
      <c r="T720" s="60">
        <f>IF(ISERROR(P720/B720*AF720),0,(P720/B720*AF720))</f>
        <v>0</v>
      </c>
      <c r="V720" s="113">
        <v>0</v>
      </c>
      <c r="W720" s="113">
        <v>0</v>
      </c>
      <c r="X720" s="113">
        <v>0</v>
      </c>
      <c r="Y720" s="113">
        <v>0</v>
      </c>
      <c r="AA720" s="113">
        <v>0</v>
      </c>
      <c r="AB720" s="113">
        <v>0</v>
      </c>
      <c r="AC720" s="113">
        <v>0</v>
      </c>
      <c r="AD720" s="113">
        <v>0</v>
      </c>
      <c r="AF720" s="113">
        <v>0</v>
      </c>
      <c r="AG720" s="28">
        <f>G720-O720</f>
        <v>0</v>
      </c>
      <c r="AH720" s="58">
        <f>IF(ISERROR(AG720/B720*AF720),0,(AG720/B720*AF720))</f>
        <v>0</v>
      </c>
      <c r="AI720" s="28">
        <f>SUM(H720:M720)</f>
        <v>0</v>
      </c>
      <c r="AJ720" s="28">
        <f>IF(ISERROR(AI720/B720*AF720),0,(AI720/B720*AF720))</f>
        <v>0</v>
      </c>
      <c r="AK720" s="58">
        <f>IF(ISERROR(O720/B720*AF720),0,(O720/B720*AF720))</f>
        <v>0</v>
      </c>
      <c r="AL720" s="28">
        <f>IF(ISERROR(H720/B720*AF720),0,(H720/B720*AF720))</f>
        <v>0</v>
      </c>
      <c r="AN720" s="51">
        <f>A720</f>
        <v>0</v>
      </c>
      <c r="AO720" s="57">
        <f>IF(ISERROR(IF(B720=C720,D720/C720,(INT(D720/B720)+(((D720-B720*INT(D720/B720)))/C720)/100))),0,(IF(B720=C720,D720/C720,(INT(D720/B720)+(((D720-B720*INT(D720/B720)))/C720)/100))))</f>
        <v>0</v>
      </c>
      <c r="AP720" s="57">
        <f>IF(ISERROR(IF(B720=C720,E720/C720,(INT(E720/B720)+(((E720-B720*INT(E720/B720)))/C720)/100))),0,(IF(B720=C720,E720/C720,(INT(E720/B720)+(((E720-B720*INT(E720/B720)))/C720)/100))))</f>
        <v>0</v>
      </c>
      <c r="AQ720" s="57">
        <f>IF(ISERROR(IF(B720=C720,F720/C720,IF((INT(F720/B720)+(((F720-B720*INT(F720/B720)))/C720)/100)&lt;0,(INT(F720/B720)+(((F720-B720*INT(F720/B720)))/C720)/100)+(1-(B720/C720/100)),(INT(F720/B720)+(((F720-B720*INT(F720/B720)))/C720)/100)))),0,IF(B720=C720,F720/C720,IF((INT(F720/B720)+(((F720-B720*INT(F720/B720)))/C720)/100)&lt;0,(INT(F720/B720)+(((F720-B720*INT(F720/B720)))/C720)/100)+(1-(B720/C720/100)),(INT(F720/B720)+(((F720-B720*INT(F720/B720)))/C720)/100))))</f>
        <v>0</v>
      </c>
      <c r="AR720" s="57">
        <f>IF(ISERROR(IF(B720=C720,G720/C720,(INT(G720/B720)+(((G720-B720*INT(G720/B720)))/C720)/100))),0,(IF(B720=C720,G720/C720,(INT(G720/B720)+(((G720-B720*INT(G720/B720)))/C720)/100))))</f>
        <v>0</v>
      </c>
      <c r="AS720" s="57">
        <f>IF(ISERROR(IF(B720=C720,H720/C720,(INT(H720/B720)+(((H720-B720*INT(H720/B720)))/C720)/100))),0,(IF(B720=C720,H720/C720,(INT(H720/B720)+(((H720-B720*INT(H720/B720)))/C720)/100))))</f>
        <v>0</v>
      </c>
      <c r="AT720" s="57">
        <f>IF(ISERROR(IF(B720=C720,I720/C720,(INT(I720/B720)+(((I720-B720*INT(I720/B720)))/C720)/100))),0,(IF(B720=C720,I720/C720,(INT(I720/B720)+(((I720-B720*INT(I720/B720)))/C720)/100))))</f>
        <v>0</v>
      </c>
      <c r="AU720" s="57">
        <f>IF(ISERROR(IF(B720=C720,J720/C720,(INT(J720/B720)+(((J720-B720*INT(J720/B720)))/C720)/100))),0,(IF(B720=C720,J720/C720,(INT(J720/B720)+(((J720-B720*INT(J720/B720)))/C720)/100))))</f>
        <v>0</v>
      </c>
      <c r="AV720" s="57">
        <f>IF(ISERROR(IF(B720=C720,K720/C720,IF((INT(K720/B720)+(((K720-B720*INT(K720/B720)))/C720)/100)&lt;0,(INT(K720/B720)+(((K720-B720*INT(K720/B720)))/C720)/100)+(1-(B720/C720/100)),(INT(K720/B720)+(((K720-B720*INT(K720/B720)))/C720)/100)))),0,IF(B720=C720,K720/C720,IF((INT(K720/B720)+(((K720-B720*INT(K720/B720)))/C720)/100)&lt;0,(INT(K720/B720)+(((K720-B720*INT(K720/B720)))/C720)/100)+(1-(B720/C720/100)),(INT(K720/B720)+(((K720-B720*INT(K720/B720)))/C720)/100))))</f>
        <v>0</v>
      </c>
      <c r="AW720" s="57">
        <f>IF(ISERROR(IF(B720=C720,L720/C720,(INT(L720/B720)+(((L720-B720*INT(L720/B720)))/C720)/100))),0,(IF(B720=C720,L720/C720,(INT(L720/B720)+(((L720-B720*INT(L720/B720)))/C720)/100))))</f>
        <v>0</v>
      </c>
      <c r="AX720" s="57">
        <f>IF(ISERROR(IF(B720=C720,M720/C720,(INT(M720/B720)+(((M720-B720*INT(M720/B720)))/C720)/100))),0,(IF(B720=C720,M720/C720,(INT(M720/B720)+(((M720-B720*INT(M720/B720)))/C720)/100))))</f>
        <v>0</v>
      </c>
      <c r="AY720" s="57">
        <f>IF(ISERROR(IF(B720=C720,N720/C720,IF((INT(N720/B720)+(((N720-B720*INT(N720/B720)))/C720)/100)&lt;0,(INT(N720/B720)+(((N720-B720*INT(N720/B720)))/C720)/100)+(1-(B720/C720/100)),(INT(N720/B720)+(((N720-B720*INT(N720/B720)))/C720)/100)))),0,IF(B720=C720,N720/C720,IF((INT(N720/B720)+(((N720-B720*INT(N720/B720)))/C720)/100)&lt;0,(INT(N720/B720)+(((N720-B720*INT(N720/B720)))/C720)/100)+(1-(B720/C720/100)),(INT(N720/B720)+(((N720-B720*INT(N720/B720)))/C720)/100))))</f>
        <v>0</v>
      </c>
      <c r="AZ720" s="57">
        <f>IF(ISERROR(IF(B720=C720,O720/C720,(INT(O720/B720)+(((O720-B720*INT(O720/B720)))/C720)/100))),0,(IF(B720=C720,O720/C720,(INT(O720/B720)+(((O720-B720*INT(O720/B720)))/C720)/100))))</f>
        <v>0</v>
      </c>
      <c r="BA720" s="57">
        <f>IF(ISERROR(IF(B720=C720,P720/C720,IF((INT(P720/B720)+(((P720-B720*INT(P720/B720)))/C720)/100)&lt;0,(INT(P720/B720)+(((P720-B720*INT(P720/B720)))/C720)/100)+(1-(B720/C720/100)),(INT(P720/B720)+(((P720-B720*INT(P720/B720)))/C720)/100)))),0,IF(B720=C720,P720/C720,IF((INT(P720/B720)+(((P720-B720*INT(P720/B720)))/C720)/100)&lt;0,(INT(P720/B720)+(((P720-B720*INT(P720/B720)))/C720)/100)+(1-(B720/C720/100)),(INT(P720/B720)+(((P720-B720*INT(P720/B720)))/C720)/100))))</f>
        <v>0</v>
      </c>
      <c r="BB720" s="28">
        <f>R720</f>
        <v>0</v>
      </c>
      <c r="BC720" s="28">
        <f>S720</f>
        <v>0</v>
      </c>
      <c r="BD720" s="28">
        <f>AF720</f>
        <v>0</v>
      </c>
      <c r="BE720" s="28">
        <f>T720</f>
        <v>0</v>
      </c>
      <c r="BG720" s="57">
        <f>IF(ISERROR(IF(B720=C720,V720/C720,(INT(V720/B720)+(((V720-B720*INT(V720/B720)))/C720)/100))),0,(IF(B720=C720,V720/C720,(INT(V720/B720)+(((V720-B720*INT(V720/B720)))/C720)/100))))</f>
        <v>0</v>
      </c>
      <c r="BH720" s="57">
        <f>IF(ISERROR(IF(B720=C720,W720/C720,(INT(W720/B720)+(((W720-B720*INT(W720/B720)))/C720)/100))),0,(IF(B720=C720,W720/C720,(INT(W720/B720)+(((W720-B720*INT(W720/B720)))/C720)/100))))</f>
        <v>0</v>
      </c>
      <c r="BI720" s="57">
        <f>IF(ISERROR(IF(B720=C720,X720/C720,(INT(X720/B720)+(((X720-B720*INT(X720/B720)))/C720)/100))),0,(IF(B720=C720,X720/C720,(INT(X720/B720)+(((X720-B720*INT(X720/B720)))/C720)/100))))</f>
        <v>0</v>
      </c>
      <c r="BJ720" s="57">
        <f>IF(ISERROR(IF(B720=C720,Y720/C720,(INT(Y720/B720)+(((Y720-B720*INT(Y720/B720)))/C720)/100))),0,(IF(B720=C720,Y720/C720,(INT(Y720/B720)+(((Y720-B720*INT(Y720/B720)))/C720)/100))))</f>
        <v>0</v>
      </c>
      <c r="BL720" s="57">
        <f>IF(ISERROR(IF(B720=C720,AA720/C720,(INT(AA720/B720)+(((AA720-B720*INT(AA720/B720)))/C720)/100))),0,(IF(B720=C720,AA720/C720,(INT(AA720/B720)+(((AA720-B720*INT(AA720/B720)))/C720)/100))))</f>
        <v>0</v>
      </c>
      <c r="BM720" s="57">
        <f>IF(ISERROR(IF(B720=C720,AB720/C720,(INT(AB720/B720)+(((AB720-B720*INT(AB720/B720)))/C720)/100))),0,(IF(B720=C720,AB720/C720,(INT(AB720/B720)+(((AB720-B720*INT(AB720/B720)))/C720)/100))))</f>
        <v>0</v>
      </c>
      <c r="BN720" s="57">
        <f>IF(ISERROR(IF(B720=C720,AC720/C720,(INT(AC720/B720)+(((AC720-B720*INT(AC720/B720)))/C720)/100))),0,(IF(B720=C720,AC720/C720,(INT(AC720/B720)+(((AC720-B720*INT(AC720/B720)))/C720)/100))))</f>
        <v>0</v>
      </c>
      <c r="BO720" s="57">
        <f>IF(ISERROR(IF(B720=C720,AD720/C720,(INT(AD720/B720)+(((AD720-B720*INT(AD720/B720)))/C720)/100))),0,(IF(B720=C720,AD720/C720,(INT(AD720/B720)+(((AD720-B720*INT(AD720/B720)))/C720)/100))))</f>
        <v>0</v>
      </c>
      <c r="BQ720" s="155"/>
    </row>
    <row r="721" spans="1:69" hidden="1" x14ac:dyDescent="0.35">
      <c r="A721" s="94"/>
      <c r="B721" s="113">
        <v>0</v>
      </c>
      <c r="C721" s="113">
        <v>250</v>
      </c>
      <c r="D721" s="28">
        <f>SUM(AA721:AD721)</f>
        <v>0</v>
      </c>
      <c r="E721" s="113">
        <v>0</v>
      </c>
      <c r="F721" s="113">
        <v>0</v>
      </c>
      <c r="G721" s="28">
        <f>SUM(D721:F721)</f>
        <v>0</v>
      </c>
      <c r="H721" s="125">
        <v>0</v>
      </c>
      <c r="I721" s="113">
        <v>0</v>
      </c>
      <c r="J721" s="125">
        <v>0</v>
      </c>
      <c r="K721" s="113">
        <v>0</v>
      </c>
      <c r="L721" s="113">
        <v>0</v>
      </c>
      <c r="M721" s="113">
        <v>0</v>
      </c>
      <c r="N721" s="28">
        <f>G721-SUM(H721:M721)</f>
        <v>0</v>
      </c>
      <c r="O721" s="28">
        <f>SUM(V721:Y721)</f>
        <v>0</v>
      </c>
      <c r="P721" s="28">
        <f>O721-N721</f>
        <v>0</v>
      </c>
      <c r="Q721" s="61" t="str">
        <f>IF(ISERROR(P721/SUM(H721:L721)),"",P721/SUM(H721:L721))</f>
        <v/>
      </c>
      <c r="R721" s="113">
        <v>0</v>
      </c>
      <c r="S721" s="28">
        <f>IF(ISERROR(P721/C721*R721),0,(P721/C721*R721))</f>
        <v>0</v>
      </c>
      <c r="T721" s="60">
        <f>IF(ISERROR(P721/B721*AF721),0,(P721/B721*AF721))</f>
        <v>0</v>
      </c>
      <c r="V721" s="113">
        <v>0</v>
      </c>
      <c r="W721" s="113">
        <v>0</v>
      </c>
      <c r="X721" s="113">
        <v>0</v>
      </c>
      <c r="Y721" s="113">
        <v>0</v>
      </c>
      <c r="AA721" s="113">
        <v>0</v>
      </c>
      <c r="AB721" s="113">
        <v>0</v>
      </c>
      <c r="AC721" s="113">
        <v>0</v>
      </c>
      <c r="AD721" s="113">
        <v>0</v>
      </c>
      <c r="AF721" s="113">
        <v>0</v>
      </c>
      <c r="AG721" s="28">
        <f>G721-O721</f>
        <v>0</v>
      </c>
      <c r="AH721" s="58">
        <f>IF(ISERROR(AG721/B721*AF721),0,(AG721/B721*AF721))</f>
        <v>0</v>
      </c>
      <c r="AI721" s="28">
        <f>SUM(H721:M721)</f>
        <v>0</v>
      </c>
      <c r="AJ721" s="28">
        <f>IF(ISERROR(AI721/B721*AF721),0,(AI721/B721*AF721))</f>
        <v>0</v>
      </c>
      <c r="AK721" s="58">
        <f>IF(ISERROR(O721/B721*AF721),0,(O721/B721*AF721))</f>
        <v>0</v>
      </c>
      <c r="AL721" s="28">
        <f>IF(ISERROR(H721/B721*AF721),0,(H721/B721*AF721))</f>
        <v>0</v>
      </c>
      <c r="AN721" s="51">
        <f>A721</f>
        <v>0</v>
      </c>
      <c r="AO721" s="57">
        <f>IF(ISERROR(IF(B721=C721,D721/C721,(INT(D721/B721)+(((D721-B721*INT(D721/B721)))/C721)/100))),0,(IF(B721=C721,D721/C721,(INT(D721/B721)+(((D721-B721*INT(D721/B721)))/C721)/100))))</f>
        <v>0</v>
      </c>
      <c r="AP721" s="57">
        <f>IF(ISERROR(IF(B721=C721,E721/C721,(INT(E721/B721)+(((E721-B721*INT(E721/B721)))/C721)/100))),0,(IF(B721=C721,E721/C721,(INT(E721/B721)+(((E721-B721*INT(E721/B721)))/C721)/100))))</f>
        <v>0</v>
      </c>
      <c r="AQ721" s="57">
        <f>IF(ISERROR(IF(B721=C721,F721/C721,IF((INT(F721/B721)+(((F721-B721*INT(F721/B721)))/C721)/100)&lt;0,(INT(F721/B721)+(((F721-B721*INT(F721/B721)))/C721)/100)+(1-(B721/C721/100)),(INT(F721/B721)+(((F721-B721*INT(F721/B721)))/C721)/100)))),0,IF(B721=C721,F721/C721,IF((INT(F721/B721)+(((F721-B721*INT(F721/B721)))/C721)/100)&lt;0,(INT(F721/B721)+(((F721-B721*INT(F721/B721)))/C721)/100)+(1-(B721/C721/100)),(INT(F721/B721)+(((F721-B721*INT(F721/B721)))/C721)/100))))</f>
        <v>0</v>
      </c>
      <c r="AR721" s="57">
        <f>IF(ISERROR(IF(B721=C721,G721/C721,(INT(G721/B721)+(((G721-B721*INT(G721/B721)))/C721)/100))),0,(IF(B721=C721,G721/C721,(INT(G721/B721)+(((G721-B721*INT(G721/B721)))/C721)/100))))</f>
        <v>0</v>
      </c>
      <c r="AS721" s="57">
        <f>IF(ISERROR(IF(B721=C721,H721/C721,(INT(H721/B721)+(((H721-B721*INT(H721/B721)))/C721)/100))),0,(IF(B721=C721,H721/C721,(INT(H721/B721)+(((H721-B721*INT(H721/B721)))/C721)/100))))</f>
        <v>0</v>
      </c>
      <c r="AT721" s="57">
        <f>IF(ISERROR(IF(B721=C721,I721/C721,(INT(I721/B721)+(((I721-B721*INT(I721/B721)))/C721)/100))),0,(IF(B721=C721,I721/C721,(INT(I721/B721)+(((I721-B721*INT(I721/B721)))/C721)/100))))</f>
        <v>0</v>
      </c>
      <c r="AU721" s="57">
        <f>IF(ISERROR(IF(B721=C721,J721/C721,(INT(J721/B721)+(((J721-B721*INT(J721/B721)))/C721)/100))),0,(IF(B721=C721,J721/C721,(INT(J721/B721)+(((J721-B721*INT(J721/B721)))/C721)/100))))</f>
        <v>0</v>
      </c>
      <c r="AV721" s="57">
        <f>IF(ISERROR(IF(B721=C721,K721/C721,IF((INT(K721/B721)+(((K721-B721*INT(K721/B721)))/C721)/100)&lt;0,(INT(K721/B721)+(((K721-B721*INT(K721/B721)))/C721)/100)+(1-(B721/C721/100)),(INT(K721/B721)+(((K721-B721*INT(K721/B721)))/C721)/100)))),0,IF(B721=C721,K721/C721,IF((INT(K721/B721)+(((K721-B721*INT(K721/B721)))/C721)/100)&lt;0,(INT(K721/B721)+(((K721-B721*INT(K721/B721)))/C721)/100)+(1-(B721/C721/100)),(INT(K721/B721)+(((K721-B721*INT(K721/B721)))/C721)/100))))</f>
        <v>0</v>
      </c>
      <c r="AW721" s="57">
        <f>IF(ISERROR(IF(B721=C721,L721/C721,(INT(L721/B721)+(((L721-B721*INT(L721/B721)))/C721)/100))),0,(IF(B721=C721,L721/C721,(INT(L721/B721)+(((L721-B721*INT(L721/B721)))/C721)/100))))</f>
        <v>0</v>
      </c>
      <c r="AX721" s="57">
        <f>IF(ISERROR(IF(B721=C721,M721/C721,(INT(M721/B721)+(((M721-B721*INT(M721/B721)))/C721)/100))),0,(IF(B721=C721,M721/C721,(INT(M721/B721)+(((M721-B721*INT(M721/B721)))/C721)/100))))</f>
        <v>0</v>
      </c>
      <c r="AY721" s="57">
        <f>IF(ISERROR(IF(B721=C721,N721/C721,IF((INT(N721/B721)+(((N721-B721*INT(N721/B721)))/C721)/100)&lt;0,(INT(N721/B721)+(((N721-B721*INT(N721/B721)))/C721)/100)+(1-(B721/C721/100)),(INT(N721/B721)+(((N721-B721*INT(N721/B721)))/C721)/100)))),0,IF(B721=C721,N721/C721,IF((INT(N721/B721)+(((N721-B721*INT(N721/B721)))/C721)/100)&lt;0,(INT(N721/B721)+(((N721-B721*INT(N721/B721)))/C721)/100)+(1-(B721/C721/100)),(INT(N721/B721)+(((N721-B721*INT(N721/B721)))/C721)/100))))</f>
        <v>0</v>
      </c>
      <c r="AZ721" s="57">
        <f>IF(ISERROR(IF(B721=C721,O721/C721,(INT(O721/B721)+(((O721-B721*INT(O721/B721)))/C721)/100))),0,(IF(B721=C721,O721/C721,(INT(O721/B721)+(((O721-B721*INT(O721/B721)))/C721)/100))))</f>
        <v>0</v>
      </c>
      <c r="BA721" s="57">
        <f>IF(ISERROR(IF(B721=C721,P721/C721,IF((INT(P721/B721)+(((P721-B721*INT(P721/B721)))/C721)/100)&lt;0,(INT(P721/B721)+(((P721-B721*INT(P721/B721)))/C721)/100)+(1-(B721/C721/100)),(INT(P721/B721)+(((P721-B721*INT(P721/B721)))/C721)/100)))),0,IF(B721=C721,P721/C721,IF((INT(P721/B721)+(((P721-B721*INT(P721/B721)))/C721)/100)&lt;0,(INT(P721/B721)+(((P721-B721*INT(P721/B721)))/C721)/100)+(1-(B721/C721/100)),(INT(P721/B721)+(((P721-B721*INT(P721/B721)))/C721)/100))))</f>
        <v>0</v>
      </c>
      <c r="BB721" s="28">
        <f>R721</f>
        <v>0</v>
      </c>
      <c r="BC721" s="28">
        <f>S721</f>
        <v>0</v>
      </c>
      <c r="BD721" s="28">
        <f>AF721</f>
        <v>0</v>
      </c>
      <c r="BE721" s="28">
        <f>T721</f>
        <v>0</v>
      </c>
      <c r="BG721" s="57">
        <f>IF(ISERROR(IF(B721=C721,V721/C721,(INT(V721/B721)+(((V721-B721*INT(V721/B721)))/C721)/100))),0,(IF(B721=C721,V721/C721,(INT(V721/B721)+(((V721-B721*INT(V721/B721)))/C721)/100))))</f>
        <v>0</v>
      </c>
      <c r="BH721" s="57">
        <f>IF(ISERROR(IF(B721=C721,W721/C721,(INT(W721/B721)+(((W721-B721*INT(W721/B721)))/C721)/100))),0,(IF(B721=C721,W721/C721,(INT(W721/B721)+(((W721-B721*INT(W721/B721)))/C721)/100))))</f>
        <v>0</v>
      </c>
      <c r="BI721" s="57">
        <f>IF(ISERROR(IF(B721=C721,X721/C721,(INT(X721/B721)+(((X721-B721*INT(X721/B721)))/C721)/100))),0,(IF(B721=C721,X721/C721,(INT(X721/B721)+(((X721-B721*INT(X721/B721)))/C721)/100))))</f>
        <v>0</v>
      </c>
      <c r="BJ721" s="57">
        <f>IF(ISERROR(IF(B721=C721,Y721/C721,(INT(Y721/B721)+(((Y721-B721*INT(Y721/B721)))/C721)/100))),0,(IF(B721=C721,Y721/C721,(INT(Y721/B721)+(((Y721-B721*INT(Y721/B721)))/C721)/100))))</f>
        <v>0</v>
      </c>
      <c r="BL721" s="57">
        <f>IF(ISERROR(IF(B721=C721,AA721/C721,(INT(AA721/B721)+(((AA721-B721*INT(AA721/B721)))/C721)/100))),0,(IF(B721=C721,AA721/C721,(INT(AA721/B721)+(((AA721-B721*INT(AA721/B721)))/C721)/100))))</f>
        <v>0</v>
      </c>
      <c r="BM721" s="57">
        <f>IF(ISERROR(IF(B721=C721,AB721/C721,(INT(AB721/B721)+(((AB721-B721*INT(AB721/B721)))/C721)/100))),0,(IF(B721=C721,AB721/C721,(INT(AB721/B721)+(((AB721-B721*INT(AB721/B721)))/C721)/100))))</f>
        <v>0</v>
      </c>
      <c r="BN721" s="57">
        <f>IF(ISERROR(IF(B721=C721,AC721/C721,(INT(AC721/B721)+(((AC721-B721*INT(AC721/B721)))/C721)/100))),0,(IF(B721=C721,AC721/C721,(INT(AC721/B721)+(((AC721-B721*INT(AC721/B721)))/C721)/100))))</f>
        <v>0</v>
      </c>
      <c r="BO721" s="57">
        <f>IF(ISERROR(IF(B721=C721,AD721/C721,(INT(AD721/B721)+(((AD721-B721*INT(AD721/B721)))/C721)/100))),0,(IF(B721=C721,AD721/C721,(INT(AD721/B721)+(((AD721-B721*INT(AD721/B721)))/C721)/100))))</f>
        <v>0</v>
      </c>
      <c r="BQ721" s="155"/>
    </row>
    <row r="722" spans="1:69" hidden="1" x14ac:dyDescent="0.35">
      <c r="A722" s="94"/>
      <c r="B722" s="113">
        <v>0</v>
      </c>
      <c r="C722" s="113">
        <v>250</v>
      </c>
      <c r="D722" s="28">
        <f>SUM(AA722:AD722)</f>
        <v>0</v>
      </c>
      <c r="E722" s="113">
        <v>0</v>
      </c>
      <c r="F722" s="113">
        <v>0</v>
      </c>
      <c r="G722" s="28">
        <f>SUM(D722:F722)</f>
        <v>0</v>
      </c>
      <c r="H722" s="125">
        <v>0</v>
      </c>
      <c r="I722" s="113">
        <v>0</v>
      </c>
      <c r="J722" s="125">
        <v>0</v>
      </c>
      <c r="K722" s="113">
        <v>0</v>
      </c>
      <c r="L722" s="113">
        <v>0</v>
      </c>
      <c r="M722" s="113">
        <v>0</v>
      </c>
      <c r="N722" s="28">
        <f>G722-SUM(H722:M722)</f>
        <v>0</v>
      </c>
      <c r="O722" s="28">
        <f>SUM(V722:Y722)</f>
        <v>0</v>
      </c>
      <c r="P722" s="28">
        <f>O722-N722</f>
        <v>0</v>
      </c>
      <c r="Q722" s="61" t="str">
        <f>IF(ISERROR(P722/SUM(H722:L722)),"",P722/SUM(H722:L722))</f>
        <v/>
      </c>
      <c r="R722" s="113">
        <v>0</v>
      </c>
      <c r="S722" s="28">
        <f>IF(ISERROR(P722/C722*R722),0,(P722/C722*R722))</f>
        <v>0</v>
      </c>
      <c r="T722" s="60">
        <f>IF(ISERROR(P722/B722*AF722),0,(P722/B722*AF722))</f>
        <v>0</v>
      </c>
      <c r="V722" s="113">
        <v>0</v>
      </c>
      <c r="W722" s="113">
        <v>0</v>
      </c>
      <c r="X722" s="113">
        <v>0</v>
      </c>
      <c r="Y722" s="113">
        <v>0</v>
      </c>
      <c r="AA722" s="113">
        <v>0</v>
      </c>
      <c r="AB722" s="113">
        <v>0</v>
      </c>
      <c r="AC722" s="113">
        <v>0</v>
      </c>
      <c r="AD722" s="113">
        <v>0</v>
      </c>
      <c r="AF722" s="113">
        <v>0</v>
      </c>
      <c r="AG722" s="28">
        <f>G722-O722</f>
        <v>0</v>
      </c>
      <c r="AH722" s="58">
        <f>IF(ISERROR(AG722/B722*AF722),0,(AG722/B722*AF722))</f>
        <v>0</v>
      </c>
      <c r="AI722" s="28">
        <f>SUM(H722:M722)</f>
        <v>0</v>
      </c>
      <c r="AJ722" s="28">
        <f>IF(ISERROR(AI722/B722*AF722),0,(AI722/B722*AF722))</f>
        <v>0</v>
      </c>
      <c r="AK722" s="58">
        <f>IF(ISERROR(O722/B722*AF722),0,(O722/B722*AF722))</f>
        <v>0</v>
      </c>
      <c r="AL722" s="28">
        <f>IF(ISERROR(H722/B722*AF722),0,(H722/B722*AF722))</f>
        <v>0</v>
      </c>
      <c r="AN722" s="51">
        <f>A722</f>
        <v>0</v>
      </c>
      <c r="AO722" s="57">
        <f>IF(ISERROR(IF(B722=C722,D722/C722,(INT(D722/B722)+(((D722-B722*INT(D722/B722)))/C722)/100))),0,(IF(B722=C722,D722/C722,(INT(D722/B722)+(((D722-B722*INT(D722/B722)))/C722)/100))))</f>
        <v>0</v>
      </c>
      <c r="AP722" s="57">
        <f>IF(ISERROR(IF(B722=C722,E722/C722,(INT(E722/B722)+(((E722-B722*INT(E722/B722)))/C722)/100))),0,(IF(B722=C722,E722/C722,(INT(E722/B722)+(((E722-B722*INT(E722/B722)))/C722)/100))))</f>
        <v>0</v>
      </c>
      <c r="AQ722" s="57">
        <f>IF(ISERROR(IF(B722=C722,F722/C722,IF((INT(F722/B722)+(((F722-B722*INT(F722/B722)))/C722)/100)&lt;0,(INT(F722/B722)+(((F722-B722*INT(F722/B722)))/C722)/100)+(1-(B722/C722/100)),(INT(F722/B722)+(((F722-B722*INT(F722/B722)))/C722)/100)))),0,IF(B722=C722,F722/C722,IF((INT(F722/B722)+(((F722-B722*INT(F722/B722)))/C722)/100)&lt;0,(INT(F722/B722)+(((F722-B722*INT(F722/B722)))/C722)/100)+(1-(B722/C722/100)),(INT(F722/B722)+(((F722-B722*INT(F722/B722)))/C722)/100))))</f>
        <v>0</v>
      </c>
      <c r="AR722" s="57">
        <f>IF(ISERROR(IF(B722=C722,G722/C722,(INT(G722/B722)+(((G722-B722*INT(G722/B722)))/C722)/100))),0,(IF(B722=C722,G722/C722,(INT(G722/B722)+(((G722-B722*INT(G722/B722)))/C722)/100))))</f>
        <v>0</v>
      </c>
      <c r="AS722" s="57">
        <f>IF(ISERROR(IF(B722=C722,H722/C722,(INT(H722/B722)+(((H722-B722*INT(H722/B722)))/C722)/100))),0,(IF(B722=C722,H722/C722,(INT(H722/B722)+(((H722-B722*INT(H722/B722)))/C722)/100))))</f>
        <v>0</v>
      </c>
      <c r="AT722" s="57">
        <f>IF(ISERROR(IF(B722=C722,I722/C722,(INT(I722/B722)+(((I722-B722*INT(I722/B722)))/C722)/100))),0,(IF(B722=C722,I722/C722,(INT(I722/B722)+(((I722-B722*INT(I722/B722)))/C722)/100))))</f>
        <v>0</v>
      </c>
      <c r="AU722" s="57">
        <f>IF(ISERROR(IF(B722=C722,J722/C722,(INT(J722/B722)+(((J722-B722*INT(J722/B722)))/C722)/100))),0,(IF(B722=C722,J722/C722,(INT(J722/B722)+(((J722-B722*INT(J722/B722)))/C722)/100))))</f>
        <v>0</v>
      </c>
      <c r="AV722" s="57">
        <f>IF(ISERROR(IF(B722=C722,K722/C722,IF((INT(K722/B722)+(((K722-B722*INT(K722/B722)))/C722)/100)&lt;0,(INT(K722/B722)+(((K722-B722*INT(K722/B722)))/C722)/100)+(1-(B722/C722/100)),(INT(K722/B722)+(((K722-B722*INT(K722/B722)))/C722)/100)))),0,IF(B722=C722,K722/C722,IF((INT(K722/B722)+(((K722-B722*INT(K722/B722)))/C722)/100)&lt;0,(INT(K722/B722)+(((K722-B722*INT(K722/B722)))/C722)/100)+(1-(B722/C722/100)),(INT(K722/B722)+(((K722-B722*INT(K722/B722)))/C722)/100))))</f>
        <v>0</v>
      </c>
      <c r="AW722" s="57">
        <f>IF(ISERROR(IF(B722=C722,L722/C722,(INT(L722/B722)+(((L722-B722*INT(L722/B722)))/C722)/100))),0,(IF(B722=C722,L722/C722,(INT(L722/B722)+(((L722-B722*INT(L722/B722)))/C722)/100))))</f>
        <v>0</v>
      </c>
      <c r="AX722" s="57">
        <f>IF(ISERROR(IF(B722=C722,M722/C722,(INT(M722/B722)+(((M722-B722*INT(M722/B722)))/C722)/100))),0,(IF(B722=C722,M722/C722,(INT(M722/B722)+(((M722-B722*INT(M722/B722)))/C722)/100))))</f>
        <v>0</v>
      </c>
      <c r="AY722" s="57">
        <f>IF(ISERROR(IF(B722=C722,N722/C722,IF((INT(N722/B722)+(((N722-B722*INT(N722/B722)))/C722)/100)&lt;0,(INT(N722/B722)+(((N722-B722*INT(N722/B722)))/C722)/100)+(1-(B722/C722/100)),(INT(N722/B722)+(((N722-B722*INT(N722/B722)))/C722)/100)))),0,IF(B722=C722,N722/C722,IF((INT(N722/B722)+(((N722-B722*INT(N722/B722)))/C722)/100)&lt;0,(INT(N722/B722)+(((N722-B722*INT(N722/B722)))/C722)/100)+(1-(B722/C722/100)),(INT(N722/B722)+(((N722-B722*INT(N722/B722)))/C722)/100))))</f>
        <v>0</v>
      </c>
      <c r="AZ722" s="57">
        <f>IF(ISERROR(IF(B722=C722,O722/C722,(INT(O722/B722)+(((O722-B722*INT(O722/B722)))/C722)/100))),0,(IF(B722=C722,O722/C722,(INT(O722/B722)+(((O722-B722*INT(O722/B722)))/C722)/100))))</f>
        <v>0</v>
      </c>
      <c r="BA722" s="57">
        <f>IF(ISERROR(IF(B722=C722,P722/C722,IF((INT(P722/B722)+(((P722-B722*INT(P722/B722)))/C722)/100)&lt;0,(INT(P722/B722)+(((P722-B722*INT(P722/B722)))/C722)/100)+(1-(B722/C722/100)),(INT(P722/B722)+(((P722-B722*INT(P722/B722)))/C722)/100)))),0,IF(B722=C722,P722/C722,IF((INT(P722/B722)+(((P722-B722*INT(P722/B722)))/C722)/100)&lt;0,(INT(P722/B722)+(((P722-B722*INT(P722/B722)))/C722)/100)+(1-(B722/C722/100)),(INT(P722/B722)+(((P722-B722*INT(P722/B722)))/C722)/100))))</f>
        <v>0</v>
      </c>
      <c r="BB722" s="28">
        <f>R722</f>
        <v>0</v>
      </c>
      <c r="BC722" s="28">
        <f>S722</f>
        <v>0</v>
      </c>
      <c r="BD722" s="28">
        <f>AF722</f>
        <v>0</v>
      </c>
      <c r="BE722" s="28">
        <f>T722</f>
        <v>0</v>
      </c>
      <c r="BG722" s="57">
        <f>IF(ISERROR(IF(B722=C722,V722/C722,(INT(V722/B722)+(((V722-B722*INT(V722/B722)))/C722)/100))),0,(IF(B722=C722,V722/C722,(INT(V722/B722)+(((V722-B722*INT(V722/B722)))/C722)/100))))</f>
        <v>0</v>
      </c>
      <c r="BH722" s="57">
        <f>IF(ISERROR(IF(B722=C722,W722/C722,(INT(W722/B722)+(((W722-B722*INT(W722/B722)))/C722)/100))),0,(IF(B722=C722,W722/C722,(INT(W722/B722)+(((W722-B722*INT(W722/B722)))/C722)/100))))</f>
        <v>0</v>
      </c>
      <c r="BI722" s="57">
        <f>IF(ISERROR(IF(B722=C722,X722/C722,(INT(X722/B722)+(((X722-B722*INT(X722/B722)))/C722)/100))),0,(IF(B722=C722,X722/C722,(INT(X722/B722)+(((X722-B722*INT(X722/B722)))/C722)/100))))</f>
        <v>0</v>
      </c>
      <c r="BJ722" s="57">
        <f>IF(ISERROR(IF(B722=C722,Y722/C722,(INT(Y722/B722)+(((Y722-B722*INT(Y722/B722)))/C722)/100))),0,(IF(B722=C722,Y722/C722,(INT(Y722/B722)+(((Y722-B722*INT(Y722/B722)))/C722)/100))))</f>
        <v>0</v>
      </c>
      <c r="BL722" s="57">
        <f>IF(ISERROR(IF(B722=C722,AA722/C722,(INT(AA722/B722)+(((AA722-B722*INT(AA722/B722)))/C722)/100))),0,(IF(B722=C722,AA722/C722,(INT(AA722/B722)+(((AA722-B722*INT(AA722/B722)))/C722)/100))))</f>
        <v>0</v>
      </c>
      <c r="BM722" s="57">
        <f>IF(ISERROR(IF(B722=C722,AB722/C722,(INT(AB722/B722)+(((AB722-B722*INT(AB722/B722)))/C722)/100))),0,(IF(B722=C722,AB722/C722,(INT(AB722/B722)+(((AB722-B722*INT(AB722/B722)))/C722)/100))))</f>
        <v>0</v>
      </c>
      <c r="BN722" s="57">
        <f>IF(ISERROR(IF(B722=C722,AC722/C722,(INT(AC722/B722)+(((AC722-B722*INT(AC722/B722)))/C722)/100))),0,(IF(B722=C722,AC722/C722,(INT(AC722/B722)+(((AC722-B722*INT(AC722/B722)))/C722)/100))))</f>
        <v>0</v>
      </c>
      <c r="BO722" s="57">
        <f>IF(ISERROR(IF(B722=C722,AD722/C722,(INT(AD722/B722)+(((AD722-B722*INT(AD722/B722)))/C722)/100))),0,(IF(B722=C722,AD722/C722,(INT(AD722/B722)+(((AD722-B722*INT(AD722/B722)))/C722)/100))))</f>
        <v>0</v>
      </c>
      <c r="BQ722" s="155"/>
    </row>
    <row r="723" spans="1:69" hidden="1" x14ac:dyDescent="0.35">
      <c r="A723" s="94"/>
      <c r="B723" s="113">
        <v>0</v>
      </c>
      <c r="C723" s="113">
        <v>250</v>
      </c>
      <c r="D723" s="28">
        <f>SUM(AA723:AD723)</f>
        <v>0</v>
      </c>
      <c r="E723" s="113">
        <v>0</v>
      </c>
      <c r="F723" s="113">
        <v>0</v>
      </c>
      <c r="G723" s="28">
        <f>SUM(D723:F723)</f>
        <v>0</v>
      </c>
      <c r="H723" s="125">
        <v>0</v>
      </c>
      <c r="I723" s="113">
        <v>0</v>
      </c>
      <c r="J723" s="125">
        <v>0</v>
      </c>
      <c r="K723" s="113">
        <v>0</v>
      </c>
      <c r="L723" s="113">
        <v>0</v>
      </c>
      <c r="M723" s="113">
        <v>0</v>
      </c>
      <c r="N723" s="28">
        <f>G723-SUM(H723:M723)</f>
        <v>0</v>
      </c>
      <c r="O723" s="28">
        <f>SUM(V723:Y723)</f>
        <v>0</v>
      </c>
      <c r="P723" s="28">
        <f>O723-N723</f>
        <v>0</v>
      </c>
      <c r="Q723" s="61" t="str">
        <f>IF(ISERROR(P723/SUM(H723:L723)),"",P723/SUM(H723:L723))</f>
        <v/>
      </c>
      <c r="R723" s="113">
        <v>0</v>
      </c>
      <c r="S723" s="28">
        <f>IF(ISERROR(P723/C723*R723),0,(P723/C723*R723))</f>
        <v>0</v>
      </c>
      <c r="T723" s="60">
        <f>IF(ISERROR(P723/B723*AF723),0,(P723/B723*AF723))</f>
        <v>0</v>
      </c>
      <c r="V723" s="113">
        <v>0</v>
      </c>
      <c r="W723" s="113">
        <v>0</v>
      </c>
      <c r="X723" s="113">
        <v>0</v>
      </c>
      <c r="Y723" s="113">
        <v>0</v>
      </c>
      <c r="AA723" s="113">
        <v>0</v>
      </c>
      <c r="AB723" s="113">
        <v>0</v>
      </c>
      <c r="AC723" s="113">
        <v>0</v>
      </c>
      <c r="AD723" s="113">
        <v>0</v>
      </c>
      <c r="AF723" s="113">
        <v>0</v>
      </c>
      <c r="AG723" s="28">
        <f>G723-O723</f>
        <v>0</v>
      </c>
      <c r="AH723" s="58">
        <f>IF(ISERROR(AG723/B723*AF723),0,(AG723/B723*AF723))</f>
        <v>0</v>
      </c>
      <c r="AI723" s="28">
        <f>SUM(H723:M723)</f>
        <v>0</v>
      </c>
      <c r="AJ723" s="28">
        <f>IF(ISERROR(AI723/B723*AF723),0,(AI723/B723*AF723))</f>
        <v>0</v>
      </c>
      <c r="AK723" s="58">
        <f>IF(ISERROR(O723/B723*AF723),0,(O723/B723*AF723))</f>
        <v>0</v>
      </c>
      <c r="AL723" s="28">
        <f>IF(ISERROR(H723/B723*AF723),0,(H723/B723*AF723))</f>
        <v>0</v>
      </c>
      <c r="AN723" s="51">
        <f>A723</f>
        <v>0</v>
      </c>
      <c r="AO723" s="57">
        <f>IF(ISERROR(IF(B723=C723,D723/C723,(INT(D723/B723)+(((D723-B723*INT(D723/B723)))/C723)/100))),0,(IF(B723=C723,D723/C723,(INT(D723/B723)+(((D723-B723*INT(D723/B723)))/C723)/100))))</f>
        <v>0</v>
      </c>
      <c r="AP723" s="57">
        <f>IF(ISERROR(IF(B723=C723,E723/C723,(INT(E723/B723)+(((E723-B723*INT(E723/B723)))/C723)/100))),0,(IF(B723=C723,E723/C723,(INT(E723/B723)+(((E723-B723*INT(E723/B723)))/C723)/100))))</f>
        <v>0</v>
      </c>
      <c r="AQ723" s="57">
        <f>IF(ISERROR(IF(B723=C723,F723/C723,IF((INT(F723/B723)+(((F723-B723*INT(F723/B723)))/C723)/100)&lt;0,(INT(F723/B723)+(((F723-B723*INT(F723/B723)))/C723)/100)+(1-(B723/C723/100)),(INT(F723/B723)+(((F723-B723*INT(F723/B723)))/C723)/100)))),0,IF(B723=C723,F723/C723,IF((INT(F723/B723)+(((F723-B723*INT(F723/B723)))/C723)/100)&lt;0,(INT(F723/B723)+(((F723-B723*INT(F723/B723)))/C723)/100)+(1-(B723/C723/100)),(INT(F723/B723)+(((F723-B723*INT(F723/B723)))/C723)/100))))</f>
        <v>0</v>
      </c>
      <c r="AR723" s="57">
        <f>IF(ISERROR(IF(B723=C723,G723/C723,(INT(G723/B723)+(((G723-B723*INT(G723/B723)))/C723)/100))),0,(IF(B723=C723,G723/C723,(INT(G723/B723)+(((G723-B723*INT(G723/B723)))/C723)/100))))</f>
        <v>0</v>
      </c>
      <c r="AS723" s="57">
        <f>IF(ISERROR(IF(B723=C723,H723/C723,(INT(H723/B723)+(((H723-B723*INT(H723/B723)))/C723)/100))),0,(IF(B723=C723,H723/C723,(INT(H723/B723)+(((H723-B723*INT(H723/B723)))/C723)/100))))</f>
        <v>0</v>
      </c>
      <c r="AT723" s="57">
        <f>IF(ISERROR(IF(B723=C723,I723/C723,(INT(I723/B723)+(((I723-B723*INT(I723/B723)))/C723)/100))),0,(IF(B723=C723,I723/C723,(INT(I723/B723)+(((I723-B723*INT(I723/B723)))/C723)/100))))</f>
        <v>0</v>
      </c>
      <c r="AU723" s="57">
        <f>IF(ISERROR(IF(B723=C723,J723/C723,(INT(J723/B723)+(((J723-B723*INT(J723/B723)))/C723)/100))),0,(IF(B723=C723,J723/C723,(INT(J723/B723)+(((J723-B723*INT(J723/B723)))/C723)/100))))</f>
        <v>0</v>
      </c>
      <c r="AV723" s="57">
        <f>IF(ISERROR(IF(B723=C723,K723/C723,IF((INT(K723/B723)+(((K723-B723*INT(K723/B723)))/C723)/100)&lt;0,(INT(K723/B723)+(((K723-B723*INT(K723/B723)))/C723)/100)+(1-(B723/C723/100)),(INT(K723/B723)+(((K723-B723*INT(K723/B723)))/C723)/100)))),0,IF(B723=C723,K723/C723,IF((INT(K723/B723)+(((K723-B723*INT(K723/B723)))/C723)/100)&lt;0,(INT(K723/B723)+(((K723-B723*INT(K723/B723)))/C723)/100)+(1-(B723/C723/100)),(INT(K723/B723)+(((K723-B723*INT(K723/B723)))/C723)/100))))</f>
        <v>0</v>
      </c>
      <c r="AW723" s="57">
        <f>IF(ISERROR(IF(B723=C723,L723/C723,(INT(L723/B723)+(((L723-B723*INT(L723/B723)))/C723)/100))),0,(IF(B723=C723,L723/C723,(INT(L723/B723)+(((L723-B723*INT(L723/B723)))/C723)/100))))</f>
        <v>0</v>
      </c>
      <c r="AX723" s="57">
        <f>IF(ISERROR(IF(B723=C723,M723/C723,(INT(M723/B723)+(((M723-B723*INT(M723/B723)))/C723)/100))),0,(IF(B723=C723,M723/C723,(INT(M723/B723)+(((M723-B723*INT(M723/B723)))/C723)/100))))</f>
        <v>0</v>
      </c>
      <c r="AY723" s="57">
        <f>IF(ISERROR(IF(B723=C723,N723/C723,IF((INT(N723/B723)+(((N723-B723*INT(N723/B723)))/C723)/100)&lt;0,(INT(N723/B723)+(((N723-B723*INT(N723/B723)))/C723)/100)+(1-(B723/C723/100)),(INT(N723/B723)+(((N723-B723*INT(N723/B723)))/C723)/100)))),0,IF(B723=C723,N723/C723,IF((INT(N723/B723)+(((N723-B723*INT(N723/B723)))/C723)/100)&lt;0,(INT(N723/B723)+(((N723-B723*INT(N723/B723)))/C723)/100)+(1-(B723/C723/100)),(INT(N723/B723)+(((N723-B723*INT(N723/B723)))/C723)/100))))</f>
        <v>0</v>
      </c>
      <c r="AZ723" s="57">
        <f>IF(ISERROR(IF(B723=C723,O723/C723,(INT(O723/B723)+(((O723-B723*INT(O723/B723)))/C723)/100))),0,(IF(B723=C723,O723/C723,(INT(O723/B723)+(((O723-B723*INT(O723/B723)))/C723)/100))))</f>
        <v>0</v>
      </c>
      <c r="BA723" s="57">
        <f>IF(ISERROR(IF(B723=C723,P723/C723,IF((INT(P723/B723)+(((P723-B723*INT(P723/B723)))/C723)/100)&lt;0,(INT(P723/B723)+(((P723-B723*INT(P723/B723)))/C723)/100)+(1-(B723/C723/100)),(INT(P723/B723)+(((P723-B723*INT(P723/B723)))/C723)/100)))),0,IF(B723=C723,P723/C723,IF((INT(P723/B723)+(((P723-B723*INT(P723/B723)))/C723)/100)&lt;0,(INT(P723/B723)+(((P723-B723*INT(P723/B723)))/C723)/100)+(1-(B723/C723/100)),(INT(P723/B723)+(((P723-B723*INT(P723/B723)))/C723)/100))))</f>
        <v>0</v>
      </c>
      <c r="BB723" s="28">
        <f>R723</f>
        <v>0</v>
      </c>
      <c r="BC723" s="28">
        <f>S723</f>
        <v>0</v>
      </c>
      <c r="BD723" s="28">
        <f>AF723</f>
        <v>0</v>
      </c>
      <c r="BE723" s="28">
        <f>T723</f>
        <v>0</v>
      </c>
      <c r="BG723" s="57">
        <f>IF(ISERROR(IF(B723=C723,V723/C723,(INT(V723/B723)+(((V723-B723*INT(V723/B723)))/C723)/100))),0,(IF(B723=C723,V723/C723,(INT(V723/B723)+(((V723-B723*INT(V723/B723)))/C723)/100))))</f>
        <v>0</v>
      </c>
      <c r="BH723" s="57">
        <f>IF(ISERROR(IF(B723=C723,W723/C723,(INT(W723/B723)+(((W723-B723*INT(W723/B723)))/C723)/100))),0,(IF(B723=C723,W723/C723,(INT(W723/B723)+(((W723-B723*INT(W723/B723)))/C723)/100))))</f>
        <v>0</v>
      </c>
      <c r="BI723" s="57">
        <f>IF(ISERROR(IF(B723=C723,X723/C723,(INT(X723/B723)+(((X723-B723*INT(X723/B723)))/C723)/100))),0,(IF(B723=C723,X723/C723,(INT(X723/B723)+(((X723-B723*INT(X723/B723)))/C723)/100))))</f>
        <v>0</v>
      </c>
      <c r="BJ723" s="57">
        <f>IF(ISERROR(IF(B723=C723,Y723/C723,(INT(Y723/B723)+(((Y723-B723*INT(Y723/B723)))/C723)/100))),0,(IF(B723=C723,Y723/C723,(INT(Y723/B723)+(((Y723-B723*INT(Y723/B723)))/C723)/100))))</f>
        <v>0</v>
      </c>
      <c r="BL723" s="57">
        <f>IF(ISERROR(IF(B723=C723,AA723/C723,(INT(AA723/B723)+(((AA723-B723*INT(AA723/B723)))/C723)/100))),0,(IF(B723=C723,AA723/C723,(INT(AA723/B723)+(((AA723-B723*INT(AA723/B723)))/C723)/100))))</f>
        <v>0</v>
      </c>
      <c r="BM723" s="57">
        <f>IF(ISERROR(IF(B723=C723,AB723/C723,(INT(AB723/B723)+(((AB723-B723*INT(AB723/B723)))/C723)/100))),0,(IF(B723=C723,AB723/C723,(INT(AB723/B723)+(((AB723-B723*INT(AB723/B723)))/C723)/100))))</f>
        <v>0</v>
      </c>
      <c r="BN723" s="57">
        <f>IF(ISERROR(IF(B723=C723,AC723/C723,(INT(AC723/B723)+(((AC723-B723*INT(AC723/B723)))/C723)/100))),0,(IF(B723=C723,AC723/C723,(INT(AC723/B723)+(((AC723-B723*INT(AC723/B723)))/C723)/100))))</f>
        <v>0</v>
      </c>
      <c r="BO723" s="57">
        <f>IF(ISERROR(IF(B723=C723,AD723/C723,(INT(AD723/B723)+(((AD723-B723*INT(AD723/B723)))/C723)/100))),0,(IF(B723=C723,AD723/C723,(INT(AD723/B723)+(((AD723-B723*INT(AD723/B723)))/C723)/100))))</f>
        <v>0</v>
      </c>
      <c r="BQ723" s="155"/>
    </row>
    <row r="724" spans="1:69" hidden="1" x14ac:dyDescent="0.35">
      <c r="A724" s="94"/>
      <c r="B724" s="113">
        <v>0</v>
      </c>
      <c r="C724" s="113">
        <v>250</v>
      </c>
      <c r="D724" s="28">
        <f>SUM(AA724:AD724)</f>
        <v>0</v>
      </c>
      <c r="E724" s="113">
        <v>0</v>
      </c>
      <c r="F724" s="113">
        <v>0</v>
      </c>
      <c r="G724" s="28">
        <f>SUM(D724:F724)</f>
        <v>0</v>
      </c>
      <c r="H724" s="125">
        <v>0</v>
      </c>
      <c r="I724" s="113">
        <v>0</v>
      </c>
      <c r="J724" s="125">
        <v>0</v>
      </c>
      <c r="K724" s="113">
        <v>0</v>
      </c>
      <c r="L724" s="113">
        <v>0</v>
      </c>
      <c r="M724" s="113">
        <v>0</v>
      </c>
      <c r="N724" s="28">
        <f>G724-SUM(H724:M724)</f>
        <v>0</v>
      </c>
      <c r="O724" s="28">
        <f>SUM(V724:Y724)</f>
        <v>0</v>
      </c>
      <c r="P724" s="28">
        <f>O724-N724</f>
        <v>0</v>
      </c>
      <c r="Q724" s="61" t="str">
        <f>IF(ISERROR(P724/SUM(H724:L724)),"",P724/SUM(H724:L724))</f>
        <v/>
      </c>
      <c r="R724" s="113">
        <v>0</v>
      </c>
      <c r="S724" s="28">
        <f>IF(ISERROR(P724/C724*R724),0,(P724/C724*R724))</f>
        <v>0</v>
      </c>
      <c r="T724" s="60">
        <f>IF(ISERROR(P724/B724*AF724),0,(P724/B724*AF724))</f>
        <v>0</v>
      </c>
      <c r="V724" s="113">
        <v>0</v>
      </c>
      <c r="W724" s="113">
        <v>0</v>
      </c>
      <c r="X724" s="113">
        <v>0</v>
      </c>
      <c r="Y724" s="113">
        <v>0</v>
      </c>
      <c r="AA724" s="113">
        <v>0</v>
      </c>
      <c r="AB724" s="113">
        <v>0</v>
      </c>
      <c r="AC724" s="113">
        <v>0</v>
      </c>
      <c r="AD724" s="113">
        <v>0</v>
      </c>
      <c r="AF724" s="113">
        <v>0</v>
      </c>
      <c r="AG724" s="28">
        <f>G724-O724</f>
        <v>0</v>
      </c>
      <c r="AH724" s="58">
        <f>IF(ISERROR(AG724/B724*AF724),0,(AG724/B724*AF724))</f>
        <v>0</v>
      </c>
      <c r="AI724" s="28">
        <f>SUM(H724:M724)</f>
        <v>0</v>
      </c>
      <c r="AJ724" s="28">
        <f>IF(ISERROR(AI724/B724*AF724),0,(AI724/B724*AF724))</f>
        <v>0</v>
      </c>
      <c r="AK724" s="58">
        <f>IF(ISERROR(O724/B724*AF724),0,(O724/B724*AF724))</f>
        <v>0</v>
      </c>
      <c r="AL724" s="28">
        <f>IF(ISERROR(H724/B724*AF724),0,(H724/B724*AF724))</f>
        <v>0</v>
      </c>
      <c r="AN724" s="51">
        <f>A724</f>
        <v>0</v>
      </c>
      <c r="AO724" s="57">
        <f>IF(ISERROR(IF(B724=C724,D724/C724,(INT(D724/B724)+(((D724-B724*INT(D724/B724)))/C724)/100))),0,(IF(B724=C724,D724/C724,(INT(D724/B724)+(((D724-B724*INT(D724/B724)))/C724)/100))))</f>
        <v>0</v>
      </c>
      <c r="AP724" s="57">
        <f>IF(ISERROR(IF(B724=C724,E724/C724,(INT(E724/B724)+(((E724-B724*INT(E724/B724)))/C724)/100))),0,(IF(B724=C724,E724/C724,(INT(E724/B724)+(((E724-B724*INT(E724/B724)))/C724)/100))))</f>
        <v>0</v>
      </c>
      <c r="AQ724" s="57">
        <f>IF(ISERROR(IF(B724=C724,F724/C724,IF((INT(F724/B724)+(((F724-B724*INT(F724/B724)))/C724)/100)&lt;0,(INT(F724/B724)+(((F724-B724*INT(F724/B724)))/C724)/100)+(1-(B724/C724/100)),(INT(F724/B724)+(((F724-B724*INT(F724/B724)))/C724)/100)))),0,IF(B724=C724,F724/C724,IF((INT(F724/B724)+(((F724-B724*INT(F724/B724)))/C724)/100)&lt;0,(INT(F724/B724)+(((F724-B724*INT(F724/B724)))/C724)/100)+(1-(B724/C724/100)),(INT(F724/B724)+(((F724-B724*INT(F724/B724)))/C724)/100))))</f>
        <v>0</v>
      </c>
      <c r="AR724" s="57">
        <f>IF(ISERROR(IF(B724=C724,G724/C724,(INT(G724/B724)+(((G724-B724*INT(G724/B724)))/C724)/100))),0,(IF(B724=C724,G724/C724,(INT(G724/B724)+(((G724-B724*INT(G724/B724)))/C724)/100))))</f>
        <v>0</v>
      </c>
      <c r="AS724" s="57">
        <f>IF(ISERROR(IF(B724=C724,H724/C724,(INT(H724/B724)+(((H724-B724*INT(H724/B724)))/C724)/100))),0,(IF(B724=C724,H724/C724,(INT(H724/B724)+(((H724-B724*INT(H724/B724)))/C724)/100))))</f>
        <v>0</v>
      </c>
      <c r="AT724" s="57">
        <f>IF(ISERROR(IF(B724=C724,I724/C724,(INT(I724/B724)+(((I724-B724*INT(I724/B724)))/C724)/100))),0,(IF(B724=C724,I724/C724,(INT(I724/B724)+(((I724-B724*INT(I724/B724)))/C724)/100))))</f>
        <v>0</v>
      </c>
      <c r="AU724" s="57">
        <f>IF(ISERROR(IF(B724=C724,J724/C724,(INT(J724/B724)+(((J724-B724*INT(J724/B724)))/C724)/100))),0,(IF(B724=C724,J724/C724,(INT(J724/B724)+(((J724-B724*INT(J724/B724)))/C724)/100))))</f>
        <v>0</v>
      </c>
      <c r="AV724" s="57">
        <f>IF(ISERROR(IF(B724=C724,K724/C724,IF((INT(K724/B724)+(((K724-B724*INT(K724/B724)))/C724)/100)&lt;0,(INT(K724/B724)+(((K724-B724*INT(K724/B724)))/C724)/100)+(1-(B724/C724/100)),(INT(K724/B724)+(((K724-B724*INT(K724/B724)))/C724)/100)))),0,IF(B724=C724,K724/C724,IF((INT(K724/B724)+(((K724-B724*INT(K724/B724)))/C724)/100)&lt;0,(INT(K724/B724)+(((K724-B724*INT(K724/B724)))/C724)/100)+(1-(B724/C724/100)),(INT(K724/B724)+(((K724-B724*INT(K724/B724)))/C724)/100))))</f>
        <v>0</v>
      </c>
      <c r="AW724" s="57">
        <f>IF(ISERROR(IF(B724=C724,L724/C724,(INT(L724/B724)+(((L724-B724*INT(L724/B724)))/C724)/100))),0,(IF(B724=C724,L724/C724,(INT(L724/B724)+(((L724-B724*INT(L724/B724)))/C724)/100))))</f>
        <v>0</v>
      </c>
      <c r="AX724" s="57">
        <f>IF(ISERROR(IF(B724=C724,M724/C724,(INT(M724/B724)+(((M724-B724*INT(M724/B724)))/C724)/100))),0,(IF(B724=C724,M724/C724,(INT(M724/B724)+(((M724-B724*INT(M724/B724)))/C724)/100))))</f>
        <v>0</v>
      </c>
      <c r="AY724" s="57">
        <f>IF(ISERROR(IF(B724=C724,N724/C724,IF((INT(N724/B724)+(((N724-B724*INT(N724/B724)))/C724)/100)&lt;0,(INT(N724/B724)+(((N724-B724*INT(N724/B724)))/C724)/100)+(1-(B724/C724/100)),(INT(N724/B724)+(((N724-B724*INT(N724/B724)))/C724)/100)))),0,IF(B724=C724,N724/C724,IF((INT(N724/B724)+(((N724-B724*INT(N724/B724)))/C724)/100)&lt;0,(INT(N724/B724)+(((N724-B724*INT(N724/B724)))/C724)/100)+(1-(B724/C724/100)),(INT(N724/B724)+(((N724-B724*INT(N724/B724)))/C724)/100))))</f>
        <v>0</v>
      </c>
      <c r="AZ724" s="57">
        <f>IF(ISERROR(IF(B724=C724,O724/C724,(INT(O724/B724)+(((O724-B724*INT(O724/B724)))/C724)/100))),0,(IF(B724=C724,O724/C724,(INT(O724/B724)+(((O724-B724*INT(O724/B724)))/C724)/100))))</f>
        <v>0</v>
      </c>
      <c r="BA724" s="57">
        <f>IF(ISERROR(IF(B724=C724,P724/C724,IF((INT(P724/B724)+(((P724-B724*INT(P724/B724)))/C724)/100)&lt;0,(INT(P724/B724)+(((P724-B724*INT(P724/B724)))/C724)/100)+(1-(B724/C724/100)),(INT(P724/B724)+(((P724-B724*INT(P724/B724)))/C724)/100)))),0,IF(B724=C724,P724/C724,IF((INT(P724/B724)+(((P724-B724*INT(P724/B724)))/C724)/100)&lt;0,(INT(P724/B724)+(((P724-B724*INT(P724/B724)))/C724)/100)+(1-(B724/C724/100)),(INT(P724/B724)+(((P724-B724*INT(P724/B724)))/C724)/100))))</f>
        <v>0</v>
      </c>
      <c r="BB724" s="28">
        <f>R724</f>
        <v>0</v>
      </c>
      <c r="BC724" s="28">
        <f>S724</f>
        <v>0</v>
      </c>
      <c r="BD724" s="28">
        <f>AF724</f>
        <v>0</v>
      </c>
      <c r="BE724" s="28">
        <f>T724</f>
        <v>0</v>
      </c>
      <c r="BG724" s="57">
        <f>IF(ISERROR(IF(B724=C724,V724/C724,(INT(V724/B724)+(((V724-B724*INT(V724/B724)))/C724)/100))),0,(IF(B724=C724,V724/C724,(INT(V724/B724)+(((V724-B724*INT(V724/B724)))/C724)/100))))</f>
        <v>0</v>
      </c>
      <c r="BH724" s="57">
        <f>IF(ISERROR(IF(B724=C724,W724/C724,(INT(W724/B724)+(((W724-B724*INT(W724/B724)))/C724)/100))),0,(IF(B724=C724,W724/C724,(INT(W724/B724)+(((W724-B724*INT(W724/B724)))/C724)/100))))</f>
        <v>0</v>
      </c>
      <c r="BI724" s="57">
        <f>IF(ISERROR(IF(B724=C724,X724/C724,(INT(X724/B724)+(((X724-B724*INT(X724/B724)))/C724)/100))),0,(IF(B724=C724,X724/C724,(INT(X724/B724)+(((X724-B724*INT(X724/B724)))/C724)/100))))</f>
        <v>0</v>
      </c>
      <c r="BJ724" s="57">
        <f>IF(ISERROR(IF(B724=C724,Y724/C724,(INT(Y724/B724)+(((Y724-B724*INT(Y724/B724)))/C724)/100))),0,(IF(B724=C724,Y724/C724,(INT(Y724/B724)+(((Y724-B724*INT(Y724/B724)))/C724)/100))))</f>
        <v>0</v>
      </c>
      <c r="BL724" s="57">
        <f>IF(ISERROR(IF(B724=C724,AA724/C724,(INT(AA724/B724)+(((AA724-B724*INT(AA724/B724)))/C724)/100))),0,(IF(B724=C724,AA724/C724,(INT(AA724/B724)+(((AA724-B724*INT(AA724/B724)))/C724)/100))))</f>
        <v>0</v>
      </c>
      <c r="BM724" s="57">
        <f>IF(ISERROR(IF(B724=C724,AB724/C724,(INT(AB724/B724)+(((AB724-B724*INT(AB724/B724)))/C724)/100))),0,(IF(B724=C724,AB724/C724,(INT(AB724/B724)+(((AB724-B724*INT(AB724/B724)))/C724)/100))))</f>
        <v>0</v>
      </c>
      <c r="BN724" s="57">
        <f>IF(ISERROR(IF(B724=C724,AC724/C724,(INT(AC724/B724)+(((AC724-B724*INT(AC724/B724)))/C724)/100))),0,(IF(B724=C724,AC724/C724,(INT(AC724/B724)+(((AC724-B724*INT(AC724/B724)))/C724)/100))))</f>
        <v>0</v>
      </c>
      <c r="BO724" s="57">
        <f>IF(ISERROR(IF(B724=C724,AD724/C724,(INT(AD724/B724)+(((AD724-B724*INT(AD724/B724)))/C724)/100))),0,(IF(B724=C724,AD724/C724,(INT(AD724/B724)+(((AD724-B724*INT(AD724/B724)))/C724)/100))))</f>
        <v>0</v>
      </c>
      <c r="BQ724" s="155"/>
    </row>
    <row r="725" spans="1:69" hidden="1" x14ac:dyDescent="0.35">
      <c r="A725" s="94"/>
      <c r="B725" s="113">
        <v>0</v>
      </c>
      <c r="C725" s="113">
        <v>250</v>
      </c>
      <c r="D725" s="28">
        <f>SUM(AA725:AD725)</f>
        <v>0</v>
      </c>
      <c r="E725" s="113">
        <v>0</v>
      </c>
      <c r="F725" s="113">
        <v>0</v>
      </c>
      <c r="G725" s="28">
        <f>SUM(D725:F725)</f>
        <v>0</v>
      </c>
      <c r="H725" s="125">
        <v>0</v>
      </c>
      <c r="I725" s="113">
        <v>0</v>
      </c>
      <c r="J725" s="125">
        <v>0</v>
      </c>
      <c r="K725" s="113">
        <v>0</v>
      </c>
      <c r="L725" s="113">
        <v>0</v>
      </c>
      <c r="M725" s="113">
        <v>0</v>
      </c>
      <c r="N725" s="28">
        <f>G725-SUM(H725:M725)</f>
        <v>0</v>
      </c>
      <c r="O725" s="28">
        <f>SUM(V725:Y725)</f>
        <v>0</v>
      </c>
      <c r="P725" s="28">
        <f>O725-N725</f>
        <v>0</v>
      </c>
      <c r="Q725" s="61" t="str">
        <f>IF(ISERROR(P725/SUM(H725:L725)),"",P725/SUM(H725:L725))</f>
        <v/>
      </c>
      <c r="R725" s="113">
        <v>0</v>
      </c>
      <c r="S725" s="28">
        <f>IF(ISERROR(P725/C725*R725),0,(P725/C725*R725))</f>
        <v>0</v>
      </c>
      <c r="T725" s="60">
        <f>IF(ISERROR(P725/B725*AF725),0,(P725/B725*AF725))</f>
        <v>0</v>
      </c>
      <c r="V725" s="113">
        <v>0</v>
      </c>
      <c r="W725" s="113">
        <v>0</v>
      </c>
      <c r="X725" s="113">
        <v>0</v>
      </c>
      <c r="Y725" s="113">
        <v>0</v>
      </c>
      <c r="AA725" s="113">
        <v>0</v>
      </c>
      <c r="AB725" s="113">
        <v>0</v>
      </c>
      <c r="AC725" s="113">
        <v>0</v>
      </c>
      <c r="AD725" s="113">
        <v>0</v>
      </c>
      <c r="AF725" s="113">
        <v>0</v>
      </c>
      <c r="AG725" s="28">
        <f>G725-O725</f>
        <v>0</v>
      </c>
      <c r="AH725" s="58">
        <f>IF(ISERROR(AG725/B725*AF725),0,(AG725/B725*AF725))</f>
        <v>0</v>
      </c>
      <c r="AI725" s="28">
        <f>SUM(H725:M725)</f>
        <v>0</v>
      </c>
      <c r="AJ725" s="28">
        <f>IF(ISERROR(AI725/B725*AF725),0,(AI725/B725*AF725))</f>
        <v>0</v>
      </c>
      <c r="AK725" s="58">
        <f>IF(ISERROR(O725/B725*AF725),0,(O725/B725*AF725))</f>
        <v>0</v>
      </c>
      <c r="AL725" s="28">
        <f>IF(ISERROR(H725/B725*AF725),0,(H725/B725*AF725))</f>
        <v>0</v>
      </c>
      <c r="AN725" s="51">
        <f>A725</f>
        <v>0</v>
      </c>
      <c r="AO725" s="57">
        <f>IF(ISERROR(IF(B725=C725,D725/C725,(INT(D725/B725)+(((D725-B725*INT(D725/B725)))/C725)/100))),0,(IF(B725=C725,D725/C725,(INT(D725/B725)+(((D725-B725*INT(D725/B725)))/C725)/100))))</f>
        <v>0</v>
      </c>
      <c r="AP725" s="57">
        <f>IF(ISERROR(IF(B725=C725,E725/C725,(INT(E725/B725)+(((E725-B725*INT(E725/B725)))/C725)/100))),0,(IF(B725=C725,E725/C725,(INT(E725/B725)+(((E725-B725*INT(E725/B725)))/C725)/100))))</f>
        <v>0</v>
      </c>
      <c r="AQ725" s="57">
        <f>IF(ISERROR(IF(B725=C725,F725/C725,IF((INT(F725/B725)+(((F725-B725*INT(F725/B725)))/C725)/100)&lt;0,(INT(F725/B725)+(((F725-B725*INT(F725/B725)))/C725)/100)+(1-(B725/C725/100)),(INT(F725/B725)+(((F725-B725*INT(F725/B725)))/C725)/100)))),0,IF(B725=C725,F725/C725,IF((INT(F725/B725)+(((F725-B725*INT(F725/B725)))/C725)/100)&lt;0,(INT(F725/B725)+(((F725-B725*INT(F725/B725)))/C725)/100)+(1-(B725/C725/100)),(INT(F725/B725)+(((F725-B725*INT(F725/B725)))/C725)/100))))</f>
        <v>0</v>
      </c>
      <c r="AR725" s="57">
        <f>IF(ISERROR(IF(B725=C725,G725/C725,(INT(G725/B725)+(((G725-B725*INT(G725/B725)))/C725)/100))),0,(IF(B725=C725,G725/C725,(INT(G725/B725)+(((G725-B725*INT(G725/B725)))/C725)/100))))</f>
        <v>0</v>
      </c>
      <c r="AS725" s="57">
        <f>IF(ISERROR(IF(B725=C725,H725/C725,(INT(H725/B725)+(((H725-B725*INT(H725/B725)))/C725)/100))),0,(IF(B725=C725,H725/C725,(INT(H725/B725)+(((H725-B725*INT(H725/B725)))/C725)/100))))</f>
        <v>0</v>
      </c>
      <c r="AT725" s="57">
        <f>IF(ISERROR(IF(B725=C725,I725/C725,(INT(I725/B725)+(((I725-B725*INT(I725/B725)))/C725)/100))),0,(IF(B725=C725,I725/C725,(INT(I725/B725)+(((I725-B725*INT(I725/B725)))/C725)/100))))</f>
        <v>0</v>
      </c>
      <c r="AU725" s="57">
        <f>IF(ISERROR(IF(B725=C725,J725/C725,(INT(J725/B725)+(((J725-B725*INT(J725/B725)))/C725)/100))),0,(IF(B725=C725,J725/C725,(INT(J725/B725)+(((J725-B725*INT(J725/B725)))/C725)/100))))</f>
        <v>0</v>
      </c>
      <c r="AV725" s="57">
        <f>IF(ISERROR(IF(B725=C725,K725/C725,IF((INT(K725/B725)+(((K725-B725*INT(K725/B725)))/C725)/100)&lt;0,(INT(K725/B725)+(((K725-B725*INT(K725/B725)))/C725)/100)+(1-(B725/C725/100)),(INT(K725/B725)+(((K725-B725*INT(K725/B725)))/C725)/100)))),0,IF(B725=C725,K725/C725,IF((INT(K725/B725)+(((K725-B725*INT(K725/B725)))/C725)/100)&lt;0,(INT(K725/B725)+(((K725-B725*INT(K725/B725)))/C725)/100)+(1-(B725/C725/100)),(INT(K725/B725)+(((K725-B725*INT(K725/B725)))/C725)/100))))</f>
        <v>0</v>
      </c>
      <c r="AW725" s="57">
        <f>IF(ISERROR(IF(B725=C725,L725/C725,(INT(L725/B725)+(((L725-B725*INT(L725/B725)))/C725)/100))),0,(IF(B725=C725,L725/C725,(INT(L725/B725)+(((L725-B725*INT(L725/B725)))/C725)/100))))</f>
        <v>0</v>
      </c>
      <c r="AX725" s="57">
        <f>IF(ISERROR(IF(B725=C725,M725/C725,(INT(M725/B725)+(((M725-B725*INT(M725/B725)))/C725)/100))),0,(IF(B725=C725,M725/C725,(INT(M725/B725)+(((M725-B725*INT(M725/B725)))/C725)/100))))</f>
        <v>0</v>
      </c>
      <c r="AY725" s="57">
        <f>IF(ISERROR(IF(B725=C725,N725/C725,IF((INT(N725/B725)+(((N725-B725*INT(N725/B725)))/C725)/100)&lt;0,(INT(N725/B725)+(((N725-B725*INT(N725/B725)))/C725)/100)+(1-(B725/C725/100)),(INT(N725/B725)+(((N725-B725*INT(N725/B725)))/C725)/100)))),0,IF(B725=C725,N725/C725,IF((INT(N725/B725)+(((N725-B725*INT(N725/B725)))/C725)/100)&lt;0,(INT(N725/B725)+(((N725-B725*INT(N725/B725)))/C725)/100)+(1-(B725/C725/100)),(INT(N725/B725)+(((N725-B725*INT(N725/B725)))/C725)/100))))</f>
        <v>0</v>
      </c>
      <c r="AZ725" s="57">
        <f>IF(ISERROR(IF(B725=C725,O725/C725,(INT(O725/B725)+(((O725-B725*INT(O725/B725)))/C725)/100))),0,(IF(B725=C725,O725/C725,(INT(O725/B725)+(((O725-B725*INT(O725/B725)))/C725)/100))))</f>
        <v>0</v>
      </c>
      <c r="BA725" s="57">
        <f>IF(ISERROR(IF(B725=C725,P725/C725,IF((INT(P725/B725)+(((P725-B725*INT(P725/B725)))/C725)/100)&lt;0,(INT(P725/B725)+(((P725-B725*INT(P725/B725)))/C725)/100)+(1-(B725/C725/100)),(INT(P725/B725)+(((P725-B725*INT(P725/B725)))/C725)/100)))),0,IF(B725=C725,P725/C725,IF((INT(P725/B725)+(((P725-B725*INT(P725/B725)))/C725)/100)&lt;0,(INT(P725/B725)+(((P725-B725*INT(P725/B725)))/C725)/100)+(1-(B725/C725/100)),(INT(P725/B725)+(((P725-B725*INT(P725/B725)))/C725)/100))))</f>
        <v>0</v>
      </c>
      <c r="BB725" s="28">
        <f>R725</f>
        <v>0</v>
      </c>
      <c r="BC725" s="28">
        <f>S725</f>
        <v>0</v>
      </c>
      <c r="BD725" s="28">
        <f>AF725</f>
        <v>0</v>
      </c>
      <c r="BE725" s="28">
        <f>T725</f>
        <v>0</v>
      </c>
      <c r="BG725" s="57">
        <f>IF(ISERROR(IF(B725=C725,V725/C725,(INT(V725/B725)+(((V725-B725*INT(V725/B725)))/C725)/100))),0,(IF(B725=C725,V725/C725,(INT(V725/B725)+(((V725-B725*INT(V725/B725)))/C725)/100))))</f>
        <v>0</v>
      </c>
      <c r="BH725" s="57">
        <f>IF(ISERROR(IF(B725=C725,W725/C725,(INT(W725/B725)+(((W725-B725*INT(W725/B725)))/C725)/100))),0,(IF(B725=C725,W725/C725,(INT(W725/B725)+(((W725-B725*INT(W725/B725)))/C725)/100))))</f>
        <v>0</v>
      </c>
      <c r="BI725" s="57">
        <f>IF(ISERROR(IF(B725=C725,X725/C725,(INT(X725/B725)+(((X725-B725*INT(X725/B725)))/C725)/100))),0,(IF(B725=C725,X725/C725,(INT(X725/B725)+(((X725-B725*INT(X725/B725)))/C725)/100))))</f>
        <v>0</v>
      </c>
      <c r="BJ725" s="57">
        <f>IF(ISERROR(IF(B725=C725,Y725/C725,(INT(Y725/B725)+(((Y725-B725*INT(Y725/B725)))/C725)/100))),0,(IF(B725=C725,Y725/C725,(INT(Y725/B725)+(((Y725-B725*INT(Y725/B725)))/C725)/100))))</f>
        <v>0</v>
      </c>
      <c r="BL725" s="57">
        <f>IF(ISERROR(IF(B725=C725,AA725/C725,(INT(AA725/B725)+(((AA725-B725*INT(AA725/B725)))/C725)/100))),0,(IF(B725=C725,AA725/C725,(INT(AA725/B725)+(((AA725-B725*INT(AA725/B725)))/C725)/100))))</f>
        <v>0</v>
      </c>
      <c r="BM725" s="57">
        <f>IF(ISERROR(IF(B725=C725,AB725/C725,(INT(AB725/B725)+(((AB725-B725*INT(AB725/B725)))/C725)/100))),0,(IF(B725=C725,AB725/C725,(INT(AB725/B725)+(((AB725-B725*INT(AB725/B725)))/C725)/100))))</f>
        <v>0</v>
      </c>
      <c r="BN725" s="57">
        <f>IF(ISERROR(IF(B725=C725,AC725/C725,(INT(AC725/B725)+(((AC725-B725*INT(AC725/B725)))/C725)/100))),0,(IF(B725=C725,AC725/C725,(INT(AC725/B725)+(((AC725-B725*INT(AC725/B725)))/C725)/100))))</f>
        <v>0</v>
      </c>
      <c r="BO725" s="57">
        <f>IF(ISERROR(IF(B725=C725,AD725/C725,(INT(AD725/B725)+(((AD725-B725*INT(AD725/B725)))/C725)/100))),0,(IF(B725=C725,AD725/C725,(INT(AD725/B725)+(((AD725-B725*INT(AD725/B725)))/C725)/100))))</f>
        <v>0</v>
      </c>
      <c r="BQ725" s="155"/>
    </row>
    <row r="726" spans="1:69" hidden="1" x14ac:dyDescent="0.35">
      <c r="A726" s="94"/>
      <c r="B726" s="113">
        <v>0</v>
      </c>
      <c r="C726" s="113">
        <v>250</v>
      </c>
      <c r="D726" s="28">
        <f>SUM(AA726:AD726)</f>
        <v>0</v>
      </c>
      <c r="E726" s="113">
        <v>0</v>
      </c>
      <c r="F726" s="113">
        <v>0</v>
      </c>
      <c r="G726" s="28">
        <f>SUM(D726:F726)</f>
        <v>0</v>
      </c>
      <c r="H726" s="125">
        <v>0</v>
      </c>
      <c r="I726" s="113">
        <v>0</v>
      </c>
      <c r="J726" s="125">
        <v>0</v>
      </c>
      <c r="K726" s="113">
        <v>0</v>
      </c>
      <c r="L726" s="113">
        <v>0</v>
      </c>
      <c r="M726" s="113">
        <v>0</v>
      </c>
      <c r="N726" s="28">
        <f>G726-SUM(H726:M726)</f>
        <v>0</v>
      </c>
      <c r="O726" s="28">
        <f>SUM(V726:Y726)</f>
        <v>0</v>
      </c>
      <c r="P726" s="28">
        <f>O726-N726</f>
        <v>0</v>
      </c>
      <c r="Q726" s="61" t="str">
        <f>IF(ISERROR(P726/SUM(H726:L726)),"",P726/SUM(H726:L726))</f>
        <v/>
      </c>
      <c r="R726" s="113">
        <v>0</v>
      </c>
      <c r="S726" s="28">
        <f>IF(ISERROR(P726/C726*R726),0,(P726/C726*R726))</f>
        <v>0</v>
      </c>
      <c r="T726" s="60">
        <f>IF(ISERROR(P726/B726*AF726),0,(P726/B726*AF726))</f>
        <v>0</v>
      </c>
      <c r="V726" s="113">
        <v>0</v>
      </c>
      <c r="W726" s="113">
        <v>0</v>
      </c>
      <c r="X726" s="113">
        <v>0</v>
      </c>
      <c r="Y726" s="113">
        <v>0</v>
      </c>
      <c r="AA726" s="113">
        <v>0</v>
      </c>
      <c r="AB726" s="113">
        <v>0</v>
      </c>
      <c r="AC726" s="113">
        <v>0</v>
      </c>
      <c r="AD726" s="113">
        <v>0</v>
      </c>
      <c r="AF726" s="113">
        <v>0</v>
      </c>
      <c r="AG726" s="28">
        <f>G726-O726</f>
        <v>0</v>
      </c>
      <c r="AH726" s="58">
        <f>IF(ISERROR(AG726/B726*AF726),0,(AG726/B726*AF726))</f>
        <v>0</v>
      </c>
      <c r="AI726" s="28">
        <f>SUM(H726:M726)</f>
        <v>0</v>
      </c>
      <c r="AJ726" s="28">
        <f>IF(ISERROR(AI726/B726*AF726),0,(AI726/B726*AF726))</f>
        <v>0</v>
      </c>
      <c r="AK726" s="58">
        <f>IF(ISERROR(O726/B726*AF726),0,(O726/B726*AF726))</f>
        <v>0</v>
      </c>
      <c r="AL726" s="28">
        <f>IF(ISERROR(H726/B726*AF726),0,(H726/B726*AF726))</f>
        <v>0</v>
      </c>
      <c r="AN726" s="51">
        <f>A726</f>
        <v>0</v>
      </c>
      <c r="AO726" s="57">
        <f>IF(ISERROR(IF(B726=C726,D726/C726,(INT(D726/B726)+(((D726-B726*INT(D726/B726)))/C726)/100))),0,(IF(B726=C726,D726/C726,(INT(D726/B726)+(((D726-B726*INT(D726/B726)))/C726)/100))))</f>
        <v>0</v>
      </c>
      <c r="AP726" s="57">
        <f>IF(ISERROR(IF(B726=C726,E726/C726,(INT(E726/B726)+(((E726-B726*INT(E726/B726)))/C726)/100))),0,(IF(B726=C726,E726/C726,(INT(E726/B726)+(((E726-B726*INT(E726/B726)))/C726)/100))))</f>
        <v>0</v>
      </c>
      <c r="AQ726" s="57">
        <f>IF(ISERROR(IF(B726=C726,F726/C726,IF((INT(F726/B726)+(((F726-B726*INT(F726/B726)))/C726)/100)&lt;0,(INT(F726/B726)+(((F726-B726*INT(F726/B726)))/C726)/100)+(1-(B726/C726/100)),(INT(F726/B726)+(((F726-B726*INT(F726/B726)))/C726)/100)))),0,IF(B726=C726,F726/C726,IF((INT(F726/B726)+(((F726-B726*INT(F726/B726)))/C726)/100)&lt;0,(INT(F726/B726)+(((F726-B726*INT(F726/B726)))/C726)/100)+(1-(B726/C726/100)),(INT(F726/B726)+(((F726-B726*INT(F726/B726)))/C726)/100))))</f>
        <v>0</v>
      </c>
      <c r="AR726" s="57">
        <f>IF(ISERROR(IF(B726=C726,G726/C726,(INT(G726/B726)+(((G726-B726*INT(G726/B726)))/C726)/100))),0,(IF(B726=C726,G726/C726,(INT(G726/B726)+(((G726-B726*INT(G726/B726)))/C726)/100))))</f>
        <v>0</v>
      </c>
      <c r="AS726" s="57">
        <f>IF(ISERROR(IF(B726=C726,H726/C726,(INT(H726/B726)+(((H726-B726*INT(H726/B726)))/C726)/100))),0,(IF(B726=C726,H726/C726,(INT(H726/B726)+(((H726-B726*INT(H726/B726)))/C726)/100))))</f>
        <v>0</v>
      </c>
      <c r="AT726" s="57">
        <f>IF(ISERROR(IF(B726=C726,I726/C726,(INT(I726/B726)+(((I726-B726*INT(I726/B726)))/C726)/100))),0,(IF(B726=C726,I726/C726,(INT(I726/B726)+(((I726-B726*INT(I726/B726)))/C726)/100))))</f>
        <v>0</v>
      </c>
      <c r="AU726" s="57">
        <f>IF(ISERROR(IF(B726=C726,J726/C726,(INT(J726/B726)+(((J726-B726*INT(J726/B726)))/C726)/100))),0,(IF(B726=C726,J726/C726,(INT(J726/B726)+(((J726-B726*INT(J726/B726)))/C726)/100))))</f>
        <v>0</v>
      </c>
      <c r="AV726" s="57">
        <f>IF(ISERROR(IF(B726=C726,K726/C726,IF((INT(K726/B726)+(((K726-B726*INT(K726/B726)))/C726)/100)&lt;0,(INT(K726/B726)+(((K726-B726*INT(K726/B726)))/C726)/100)+(1-(B726/C726/100)),(INT(K726/B726)+(((K726-B726*INT(K726/B726)))/C726)/100)))),0,IF(B726=C726,K726/C726,IF((INT(K726/B726)+(((K726-B726*INT(K726/B726)))/C726)/100)&lt;0,(INT(K726/B726)+(((K726-B726*INT(K726/B726)))/C726)/100)+(1-(B726/C726/100)),(INT(K726/B726)+(((K726-B726*INT(K726/B726)))/C726)/100))))</f>
        <v>0</v>
      </c>
      <c r="AW726" s="57">
        <f>IF(ISERROR(IF(B726=C726,L726/C726,(INT(L726/B726)+(((L726-B726*INT(L726/B726)))/C726)/100))),0,(IF(B726=C726,L726/C726,(INT(L726/B726)+(((L726-B726*INT(L726/B726)))/C726)/100))))</f>
        <v>0</v>
      </c>
      <c r="AX726" s="57">
        <f>IF(ISERROR(IF(B726=C726,M726/C726,(INT(M726/B726)+(((M726-B726*INT(M726/B726)))/C726)/100))),0,(IF(B726=C726,M726/C726,(INT(M726/B726)+(((M726-B726*INT(M726/B726)))/C726)/100))))</f>
        <v>0</v>
      </c>
      <c r="AY726" s="57">
        <f>IF(ISERROR(IF(B726=C726,N726/C726,IF((INT(N726/B726)+(((N726-B726*INT(N726/B726)))/C726)/100)&lt;0,(INT(N726/B726)+(((N726-B726*INT(N726/B726)))/C726)/100)+(1-(B726/C726/100)),(INT(N726/B726)+(((N726-B726*INT(N726/B726)))/C726)/100)))),0,IF(B726=C726,N726/C726,IF((INT(N726/B726)+(((N726-B726*INT(N726/B726)))/C726)/100)&lt;0,(INT(N726/B726)+(((N726-B726*INT(N726/B726)))/C726)/100)+(1-(B726/C726/100)),(INT(N726/B726)+(((N726-B726*INT(N726/B726)))/C726)/100))))</f>
        <v>0</v>
      </c>
      <c r="AZ726" s="57">
        <f>IF(ISERROR(IF(B726=C726,O726/C726,(INT(O726/B726)+(((O726-B726*INT(O726/B726)))/C726)/100))),0,(IF(B726=C726,O726/C726,(INT(O726/B726)+(((O726-B726*INT(O726/B726)))/C726)/100))))</f>
        <v>0</v>
      </c>
      <c r="BA726" s="57">
        <f>IF(ISERROR(IF(B726=C726,P726/C726,IF((INT(P726/B726)+(((P726-B726*INT(P726/B726)))/C726)/100)&lt;0,(INT(P726/B726)+(((P726-B726*INT(P726/B726)))/C726)/100)+(1-(B726/C726/100)),(INT(P726/B726)+(((P726-B726*INT(P726/B726)))/C726)/100)))),0,IF(B726=C726,P726/C726,IF((INT(P726/B726)+(((P726-B726*INT(P726/B726)))/C726)/100)&lt;0,(INT(P726/B726)+(((P726-B726*INT(P726/B726)))/C726)/100)+(1-(B726/C726/100)),(INT(P726/B726)+(((P726-B726*INT(P726/B726)))/C726)/100))))</f>
        <v>0</v>
      </c>
      <c r="BB726" s="28">
        <f>R726</f>
        <v>0</v>
      </c>
      <c r="BC726" s="28">
        <f>S726</f>
        <v>0</v>
      </c>
      <c r="BD726" s="28">
        <f>AF726</f>
        <v>0</v>
      </c>
      <c r="BE726" s="28">
        <f>T726</f>
        <v>0</v>
      </c>
      <c r="BG726" s="57">
        <f>IF(ISERROR(IF(B726=C726,V726/C726,(INT(V726/B726)+(((V726-B726*INT(V726/B726)))/C726)/100))),0,(IF(B726=C726,V726/C726,(INT(V726/B726)+(((V726-B726*INT(V726/B726)))/C726)/100))))</f>
        <v>0</v>
      </c>
      <c r="BH726" s="57">
        <f>IF(ISERROR(IF(B726=C726,W726/C726,(INT(W726/B726)+(((W726-B726*INT(W726/B726)))/C726)/100))),0,(IF(B726=C726,W726/C726,(INT(W726/B726)+(((W726-B726*INT(W726/B726)))/C726)/100))))</f>
        <v>0</v>
      </c>
      <c r="BI726" s="57">
        <f>IF(ISERROR(IF(B726=C726,X726/C726,(INT(X726/B726)+(((X726-B726*INT(X726/B726)))/C726)/100))),0,(IF(B726=C726,X726/C726,(INT(X726/B726)+(((X726-B726*INT(X726/B726)))/C726)/100))))</f>
        <v>0</v>
      </c>
      <c r="BJ726" s="57">
        <f>IF(ISERROR(IF(B726=C726,Y726/C726,(INT(Y726/B726)+(((Y726-B726*INT(Y726/B726)))/C726)/100))),0,(IF(B726=C726,Y726/C726,(INT(Y726/B726)+(((Y726-B726*INT(Y726/B726)))/C726)/100))))</f>
        <v>0</v>
      </c>
      <c r="BL726" s="57">
        <f>IF(ISERROR(IF(B726=C726,AA726/C726,(INT(AA726/B726)+(((AA726-B726*INT(AA726/B726)))/C726)/100))),0,(IF(B726=C726,AA726/C726,(INT(AA726/B726)+(((AA726-B726*INT(AA726/B726)))/C726)/100))))</f>
        <v>0</v>
      </c>
      <c r="BM726" s="57">
        <f>IF(ISERROR(IF(B726=C726,AB726/C726,(INT(AB726/B726)+(((AB726-B726*INT(AB726/B726)))/C726)/100))),0,(IF(B726=C726,AB726/C726,(INT(AB726/B726)+(((AB726-B726*INT(AB726/B726)))/C726)/100))))</f>
        <v>0</v>
      </c>
      <c r="BN726" s="57">
        <f>IF(ISERROR(IF(B726=C726,AC726/C726,(INT(AC726/B726)+(((AC726-B726*INT(AC726/B726)))/C726)/100))),0,(IF(B726=C726,AC726/C726,(INT(AC726/B726)+(((AC726-B726*INT(AC726/B726)))/C726)/100))))</f>
        <v>0</v>
      </c>
      <c r="BO726" s="57">
        <f>IF(ISERROR(IF(B726=C726,AD726/C726,(INT(AD726/B726)+(((AD726-B726*INT(AD726/B726)))/C726)/100))),0,(IF(B726=C726,AD726/C726,(INT(AD726/B726)+(((AD726-B726*INT(AD726/B726)))/C726)/100))))</f>
        <v>0</v>
      </c>
      <c r="BQ726" s="155"/>
    </row>
    <row r="727" spans="1:69" hidden="1" x14ac:dyDescent="0.35">
      <c r="A727" s="94"/>
      <c r="B727" s="113">
        <v>0</v>
      </c>
      <c r="C727" s="113">
        <v>250</v>
      </c>
      <c r="D727" s="28">
        <f>SUM(AA727:AD727)</f>
        <v>0</v>
      </c>
      <c r="E727" s="113">
        <v>0</v>
      </c>
      <c r="F727" s="113">
        <v>0</v>
      </c>
      <c r="G727" s="28">
        <f>SUM(D727:F727)</f>
        <v>0</v>
      </c>
      <c r="H727" s="125">
        <v>0</v>
      </c>
      <c r="I727" s="113">
        <v>0</v>
      </c>
      <c r="J727" s="125">
        <v>0</v>
      </c>
      <c r="K727" s="113">
        <v>0</v>
      </c>
      <c r="L727" s="113">
        <v>0</v>
      </c>
      <c r="M727" s="113">
        <v>0</v>
      </c>
      <c r="N727" s="28">
        <f>G727-SUM(H727:M727)</f>
        <v>0</v>
      </c>
      <c r="O727" s="28">
        <f>SUM(V727:Y727)</f>
        <v>0</v>
      </c>
      <c r="P727" s="28">
        <f>O727-N727</f>
        <v>0</v>
      </c>
      <c r="Q727" s="61" t="str">
        <f>IF(ISERROR(P727/SUM(H727:L727)),"",P727/SUM(H727:L727))</f>
        <v/>
      </c>
      <c r="R727" s="113">
        <v>0</v>
      </c>
      <c r="S727" s="28">
        <f>IF(ISERROR(P727/C727*R727),0,(P727/C727*R727))</f>
        <v>0</v>
      </c>
      <c r="T727" s="60">
        <f>IF(ISERROR(P727/B727*AF727),0,(P727/B727*AF727))</f>
        <v>0</v>
      </c>
      <c r="V727" s="113">
        <v>0</v>
      </c>
      <c r="W727" s="113">
        <v>0</v>
      </c>
      <c r="X727" s="113">
        <v>0</v>
      </c>
      <c r="Y727" s="113">
        <v>0</v>
      </c>
      <c r="AA727" s="113">
        <v>0</v>
      </c>
      <c r="AB727" s="113">
        <v>0</v>
      </c>
      <c r="AC727" s="113">
        <v>0</v>
      </c>
      <c r="AD727" s="113">
        <v>0</v>
      </c>
      <c r="AF727" s="113">
        <v>0</v>
      </c>
      <c r="AG727" s="28">
        <f>G727-O727</f>
        <v>0</v>
      </c>
      <c r="AH727" s="58">
        <f>IF(ISERROR(AG727/B727*AF727),0,(AG727/B727*AF727))</f>
        <v>0</v>
      </c>
      <c r="AI727" s="28">
        <f>SUM(H727:M727)</f>
        <v>0</v>
      </c>
      <c r="AJ727" s="28">
        <f>IF(ISERROR(AI727/B727*AF727),0,(AI727/B727*AF727))</f>
        <v>0</v>
      </c>
      <c r="AK727" s="58">
        <f>IF(ISERROR(O727/B727*AF727),0,(O727/B727*AF727))</f>
        <v>0</v>
      </c>
      <c r="AL727" s="28">
        <f>IF(ISERROR(H727/B727*AF727),0,(H727/B727*AF727))</f>
        <v>0</v>
      </c>
      <c r="AN727" s="51">
        <f>A727</f>
        <v>0</v>
      </c>
      <c r="AO727" s="57">
        <f>IF(ISERROR(IF(B727=C727,D727/C727,(INT(D727/B727)+(((D727-B727*INT(D727/B727)))/C727)/100))),0,(IF(B727=C727,D727/C727,(INT(D727/B727)+(((D727-B727*INT(D727/B727)))/C727)/100))))</f>
        <v>0</v>
      </c>
      <c r="AP727" s="57">
        <f>IF(ISERROR(IF(B727=C727,E727/C727,(INT(E727/B727)+(((E727-B727*INT(E727/B727)))/C727)/100))),0,(IF(B727=C727,E727/C727,(INT(E727/B727)+(((E727-B727*INT(E727/B727)))/C727)/100))))</f>
        <v>0</v>
      </c>
      <c r="AQ727" s="57">
        <f>IF(ISERROR(IF(B727=C727,F727/C727,IF((INT(F727/B727)+(((F727-B727*INT(F727/B727)))/C727)/100)&lt;0,(INT(F727/B727)+(((F727-B727*INT(F727/B727)))/C727)/100)+(1-(B727/C727/100)),(INT(F727/B727)+(((F727-B727*INT(F727/B727)))/C727)/100)))),0,IF(B727=C727,F727/C727,IF((INT(F727/B727)+(((F727-B727*INT(F727/B727)))/C727)/100)&lt;0,(INT(F727/B727)+(((F727-B727*INT(F727/B727)))/C727)/100)+(1-(B727/C727/100)),(INT(F727/B727)+(((F727-B727*INT(F727/B727)))/C727)/100))))</f>
        <v>0</v>
      </c>
      <c r="AR727" s="57">
        <f>IF(ISERROR(IF(B727=C727,G727/C727,(INT(G727/B727)+(((G727-B727*INT(G727/B727)))/C727)/100))),0,(IF(B727=C727,G727/C727,(INT(G727/B727)+(((G727-B727*INT(G727/B727)))/C727)/100))))</f>
        <v>0</v>
      </c>
      <c r="AS727" s="57">
        <f>IF(ISERROR(IF(B727=C727,H727/C727,(INT(H727/B727)+(((H727-B727*INT(H727/B727)))/C727)/100))),0,(IF(B727=C727,H727/C727,(INT(H727/B727)+(((H727-B727*INT(H727/B727)))/C727)/100))))</f>
        <v>0</v>
      </c>
      <c r="AT727" s="57">
        <f>IF(ISERROR(IF(B727=C727,I727/C727,(INT(I727/B727)+(((I727-B727*INT(I727/B727)))/C727)/100))),0,(IF(B727=C727,I727/C727,(INT(I727/B727)+(((I727-B727*INT(I727/B727)))/C727)/100))))</f>
        <v>0</v>
      </c>
      <c r="AU727" s="57">
        <f>IF(ISERROR(IF(B727=C727,J727/C727,(INT(J727/B727)+(((J727-B727*INT(J727/B727)))/C727)/100))),0,(IF(B727=C727,J727/C727,(INT(J727/B727)+(((J727-B727*INT(J727/B727)))/C727)/100))))</f>
        <v>0</v>
      </c>
      <c r="AV727" s="57">
        <f>IF(ISERROR(IF(B727=C727,K727/C727,IF((INT(K727/B727)+(((K727-B727*INT(K727/B727)))/C727)/100)&lt;0,(INT(K727/B727)+(((K727-B727*INT(K727/B727)))/C727)/100)+(1-(B727/C727/100)),(INT(K727/B727)+(((K727-B727*INT(K727/B727)))/C727)/100)))),0,IF(B727=C727,K727/C727,IF((INT(K727/B727)+(((K727-B727*INT(K727/B727)))/C727)/100)&lt;0,(INT(K727/B727)+(((K727-B727*INT(K727/B727)))/C727)/100)+(1-(B727/C727/100)),(INT(K727/B727)+(((K727-B727*INT(K727/B727)))/C727)/100))))</f>
        <v>0</v>
      </c>
      <c r="AW727" s="57">
        <f>IF(ISERROR(IF(B727=C727,L727/C727,(INT(L727/B727)+(((L727-B727*INT(L727/B727)))/C727)/100))),0,(IF(B727=C727,L727/C727,(INT(L727/B727)+(((L727-B727*INT(L727/B727)))/C727)/100))))</f>
        <v>0</v>
      </c>
      <c r="AX727" s="57">
        <f>IF(ISERROR(IF(B727=C727,M727/C727,(INT(M727/B727)+(((M727-B727*INT(M727/B727)))/C727)/100))),0,(IF(B727=C727,M727/C727,(INT(M727/B727)+(((M727-B727*INT(M727/B727)))/C727)/100))))</f>
        <v>0</v>
      </c>
      <c r="AY727" s="57">
        <f>IF(ISERROR(IF(B727=C727,N727/C727,IF((INT(N727/B727)+(((N727-B727*INT(N727/B727)))/C727)/100)&lt;0,(INT(N727/B727)+(((N727-B727*INT(N727/B727)))/C727)/100)+(1-(B727/C727/100)),(INT(N727/B727)+(((N727-B727*INT(N727/B727)))/C727)/100)))),0,IF(B727=C727,N727/C727,IF((INT(N727/B727)+(((N727-B727*INT(N727/B727)))/C727)/100)&lt;0,(INT(N727/B727)+(((N727-B727*INT(N727/B727)))/C727)/100)+(1-(B727/C727/100)),(INT(N727/B727)+(((N727-B727*INT(N727/B727)))/C727)/100))))</f>
        <v>0</v>
      </c>
      <c r="AZ727" s="57">
        <f>IF(ISERROR(IF(B727=C727,O727/C727,(INT(O727/B727)+(((O727-B727*INT(O727/B727)))/C727)/100))),0,(IF(B727=C727,O727/C727,(INT(O727/B727)+(((O727-B727*INT(O727/B727)))/C727)/100))))</f>
        <v>0</v>
      </c>
      <c r="BA727" s="57">
        <f>IF(ISERROR(IF(B727=C727,P727/C727,IF((INT(P727/B727)+(((P727-B727*INT(P727/B727)))/C727)/100)&lt;0,(INT(P727/B727)+(((P727-B727*INT(P727/B727)))/C727)/100)+(1-(B727/C727/100)),(INT(P727/B727)+(((P727-B727*INT(P727/B727)))/C727)/100)))),0,IF(B727=C727,P727/C727,IF((INT(P727/B727)+(((P727-B727*INT(P727/B727)))/C727)/100)&lt;0,(INT(P727/B727)+(((P727-B727*INT(P727/B727)))/C727)/100)+(1-(B727/C727/100)),(INT(P727/B727)+(((P727-B727*INT(P727/B727)))/C727)/100))))</f>
        <v>0</v>
      </c>
      <c r="BB727" s="28">
        <f>R727</f>
        <v>0</v>
      </c>
      <c r="BC727" s="28">
        <f>S727</f>
        <v>0</v>
      </c>
      <c r="BD727" s="28">
        <f>AF727</f>
        <v>0</v>
      </c>
      <c r="BE727" s="28">
        <f>T727</f>
        <v>0</v>
      </c>
      <c r="BG727" s="57">
        <f>IF(ISERROR(IF(B727=C727,V727/C727,(INT(V727/B727)+(((V727-B727*INT(V727/B727)))/C727)/100))),0,(IF(B727=C727,V727/C727,(INT(V727/B727)+(((V727-B727*INT(V727/B727)))/C727)/100))))</f>
        <v>0</v>
      </c>
      <c r="BH727" s="57">
        <f>IF(ISERROR(IF(B727=C727,W727/C727,(INT(W727/B727)+(((W727-B727*INT(W727/B727)))/C727)/100))),0,(IF(B727=C727,W727/C727,(INT(W727/B727)+(((W727-B727*INT(W727/B727)))/C727)/100))))</f>
        <v>0</v>
      </c>
      <c r="BI727" s="57">
        <f>IF(ISERROR(IF(B727=C727,X727/C727,(INT(X727/B727)+(((X727-B727*INT(X727/B727)))/C727)/100))),0,(IF(B727=C727,X727/C727,(INT(X727/B727)+(((X727-B727*INT(X727/B727)))/C727)/100))))</f>
        <v>0</v>
      </c>
      <c r="BJ727" s="57">
        <f>IF(ISERROR(IF(B727=C727,Y727/C727,(INT(Y727/B727)+(((Y727-B727*INT(Y727/B727)))/C727)/100))),0,(IF(B727=C727,Y727/C727,(INT(Y727/B727)+(((Y727-B727*INT(Y727/B727)))/C727)/100))))</f>
        <v>0</v>
      </c>
      <c r="BL727" s="57">
        <f>IF(ISERROR(IF(B727=C727,AA727/C727,(INT(AA727/B727)+(((AA727-B727*INT(AA727/B727)))/C727)/100))),0,(IF(B727=C727,AA727/C727,(INT(AA727/B727)+(((AA727-B727*INT(AA727/B727)))/C727)/100))))</f>
        <v>0</v>
      </c>
      <c r="BM727" s="57">
        <f>IF(ISERROR(IF(B727=C727,AB727/C727,(INT(AB727/B727)+(((AB727-B727*INT(AB727/B727)))/C727)/100))),0,(IF(B727=C727,AB727/C727,(INT(AB727/B727)+(((AB727-B727*INT(AB727/B727)))/C727)/100))))</f>
        <v>0</v>
      </c>
      <c r="BN727" s="57">
        <f>IF(ISERROR(IF(B727=C727,AC727/C727,(INT(AC727/B727)+(((AC727-B727*INT(AC727/B727)))/C727)/100))),0,(IF(B727=C727,AC727/C727,(INT(AC727/B727)+(((AC727-B727*INT(AC727/B727)))/C727)/100))))</f>
        <v>0</v>
      </c>
      <c r="BO727" s="57">
        <f>IF(ISERROR(IF(B727=C727,AD727/C727,(INT(AD727/B727)+(((AD727-B727*INT(AD727/B727)))/C727)/100))),0,(IF(B727=C727,AD727/C727,(INT(AD727/B727)+(((AD727-B727*INT(AD727/B727)))/C727)/100))))</f>
        <v>0</v>
      </c>
      <c r="BQ727" s="155"/>
    </row>
    <row r="728" spans="1:69" hidden="1" x14ac:dyDescent="0.35">
      <c r="A728" s="94"/>
      <c r="B728" s="113">
        <v>0</v>
      </c>
      <c r="C728" s="113">
        <v>250</v>
      </c>
      <c r="D728" s="28">
        <f>SUM(AA728:AD728)</f>
        <v>0</v>
      </c>
      <c r="E728" s="113">
        <v>0</v>
      </c>
      <c r="F728" s="113">
        <v>0</v>
      </c>
      <c r="G728" s="28">
        <f>SUM(D728:F728)</f>
        <v>0</v>
      </c>
      <c r="H728" s="125">
        <v>0</v>
      </c>
      <c r="I728" s="113">
        <v>0</v>
      </c>
      <c r="J728" s="125">
        <v>0</v>
      </c>
      <c r="K728" s="113">
        <v>0</v>
      </c>
      <c r="L728" s="113">
        <v>0</v>
      </c>
      <c r="M728" s="113">
        <v>0</v>
      </c>
      <c r="N728" s="28">
        <f>G728-SUM(H728:M728)</f>
        <v>0</v>
      </c>
      <c r="O728" s="28">
        <f>SUM(V728:Y728)</f>
        <v>0</v>
      </c>
      <c r="P728" s="28">
        <f>O728-N728</f>
        <v>0</v>
      </c>
      <c r="Q728" s="61" t="str">
        <f>IF(ISERROR(P728/SUM(H728:L728)),"",P728/SUM(H728:L728))</f>
        <v/>
      </c>
      <c r="R728" s="113">
        <v>0</v>
      </c>
      <c r="S728" s="28">
        <f>IF(ISERROR(P728/C728*R728),0,(P728/C728*R728))</f>
        <v>0</v>
      </c>
      <c r="T728" s="60">
        <f>IF(ISERROR(P728/B728*AF728),0,(P728/B728*AF728))</f>
        <v>0</v>
      </c>
      <c r="V728" s="113">
        <v>0</v>
      </c>
      <c r="W728" s="113">
        <v>0</v>
      </c>
      <c r="X728" s="113">
        <v>0</v>
      </c>
      <c r="Y728" s="113">
        <v>0</v>
      </c>
      <c r="AA728" s="113">
        <v>0</v>
      </c>
      <c r="AB728" s="113">
        <v>0</v>
      </c>
      <c r="AC728" s="113">
        <v>0</v>
      </c>
      <c r="AD728" s="113">
        <v>0</v>
      </c>
      <c r="AF728" s="113">
        <v>0</v>
      </c>
      <c r="AG728" s="28">
        <f>G728-O728</f>
        <v>0</v>
      </c>
      <c r="AH728" s="58">
        <f>IF(ISERROR(AG728/B728*AF728),0,(AG728/B728*AF728))</f>
        <v>0</v>
      </c>
      <c r="AI728" s="28">
        <f>SUM(H728:M728)</f>
        <v>0</v>
      </c>
      <c r="AJ728" s="28">
        <f>IF(ISERROR(AI728/B728*AF728),0,(AI728/B728*AF728))</f>
        <v>0</v>
      </c>
      <c r="AK728" s="58">
        <f>IF(ISERROR(O728/B728*AF728),0,(O728/B728*AF728))</f>
        <v>0</v>
      </c>
      <c r="AL728" s="28">
        <f>IF(ISERROR(H728/B728*AF728),0,(H728/B728*AF728))</f>
        <v>0</v>
      </c>
      <c r="AN728" s="51">
        <f>A728</f>
        <v>0</v>
      </c>
      <c r="AO728" s="57">
        <f>IF(ISERROR(IF(B728=C728,D728/C728,(INT(D728/B728)+(((D728-B728*INT(D728/B728)))/C728)/100))),0,(IF(B728=C728,D728/C728,(INT(D728/B728)+(((D728-B728*INT(D728/B728)))/C728)/100))))</f>
        <v>0</v>
      </c>
      <c r="AP728" s="57">
        <f>IF(ISERROR(IF(B728=C728,E728/C728,(INT(E728/B728)+(((E728-B728*INT(E728/B728)))/C728)/100))),0,(IF(B728=C728,E728/C728,(INT(E728/B728)+(((E728-B728*INT(E728/B728)))/C728)/100))))</f>
        <v>0</v>
      </c>
      <c r="AQ728" s="57">
        <f>IF(ISERROR(IF(B728=C728,F728/C728,IF((INT(F728/B728)+(((F728-B728*INT(F728/B728)))/C728)/100)&lt;0,(INT(F728/B728)+(((F728-B728*INT(F728/B728)))/C728)/100)+(1-(B728/C728/100)),(INT(F728/B728)+(((F728-B728*INT(F728/B728)))/C728)/100)))),0,IF(B728=C728,F728/C728,IF((INT(F728/B728)+(((F728-B728*INT(F728/B728)))/C728)/100)&lt;0,(INT(F728/B728)+(((F728-B728*INT(F728/B728)))/C728)/100)+(1-(B728/C728/100)),(INT(F728/B728)+(((F728-B728*INT(F728/B728)))/C728)/100))))</f>
        <v>0</v>
      </c>
      <c r="AR728" s="57">
        <f>IF(ISERROR(IF(B728=C728,G728/C728,(INT(G728/B728)+(((G728-B728*INT(G728/B728)))/C728)/100))),0,(IF(B728=C728,G728/C728,(INT(G728/B728)+(((G728-B728*INT(G728/B728)))/C728)/100))))</f>
        <v>0</v>
      </c>
      <c r="AS728" s="57">
        <f>IF(ISERROR(IF(B728=C728,H728/C728,(INT(H728/B728)+(((H728-B728*INT(H728/B728)))/C728)/100))),0,(IF(B728=C728,H728/C728,(INT(H728/B728)+(((H728-B728*INT(H728/B728)))/C728)/100))))</f>
        <v>0</v>
      </c>
      <c r="AT728" s="57">
        <f>IF(ISERROR(IF(B728=C728,I728/C728,(INT(I728/B728)+(((I728-B728*INT(I728/B728)))/C728)/100))),0,(IF(B728=C728,I728/C728,(INT(I728/B728)+(((I728-B728*INT(I728/B728)))/C728)/100))))</f>
        <v>0</v>
      </c>
      <c r="AU728" s="57">
        <f>IF(ISERROR(IF(B728=C728,J728/C728,(INT(J728/B728)+(((J728-B728*INT(J728/B728)))/C728)/100))),0,(IF(B728=C728,J728/C728,(INT(J728/B728)+(((J728-B728*INT(J728/B728)))/C728)/100))))</f>
        <v>0</v>
      </c>
      <c r="AV728" s="57">
        <f>IF(ISERROR(IF(B728=C728,K728/C728,IF((INT(K728/B728)+(((K728-B728*INT(K728/B728)))/C728)/100)&lt;0,(INT(K728/B728)+(((K728-B728*INT(K728/B728)))/C728)/100)+(1-(B728/C728/100)),(INT(K728/B728)+(((K728-B728*INT(K728/B728)))/C728)/100)))),0,IF(B728=C728,K728/C728,IF((INT(K728/B728)+(((K728-B728*INT(K728/B728)))/C728)/100)&lt;0,(INT(K728/B728)+(((K728-B728*INT(K728/B728)))/C728)/100)+(1-(B728/C728/100)),(INT(K728/B728)+(((K728-B728*INT(K728/B728)))/C728)/100))))</f>
        <v>0</v>
      </c>
      <c r="AW728" s="57">
        <f>IF(ISERROR(IF(B728=C728,L728/C728,(INT(L728/B728)+(((L728-B728*INT(L728/B728)))/C728)/100))),0,(IF(B728=C728,L728/C728,(INT(L728/B728)+(((L728-B728*INT(L728/B728)))/C728)/100))))</f>
        <v>0</v>
      </c>
      <c r="AX728" s="57">
        <f>IF(ISERROR(IF(B728=C728,M728/C728,(INT(M728/B728)+(((M728-B728*INT(M728/B728)))/C728)/100))),0,(IF(B728=C728,M728/C728,(INT(M728/B728)+(((M728-B728*INT(M728/B728)))/C728)/100))))</f>
        <v>0</v>
      </c>
      <c r="AY728" s="57">
        <f>IF(ISERROR(IF(B728=C728,N728/C728,IF((INT(N728/B728)+(((N728-B728*INT(N728/B728)))/C728)/100)&lt;0,(INT(N728/B728)+(((N728-B728*INT(N728/B728)))/C728)/100)+(1-(B728/C728/100)),(INT(N728/B728)+(((N728-B728*INT(N728/B728)))/C728)/100)))),0,IF(B728=C728,N728/C728,IF((INT(N728/B728)+(((N728-B728*INT(N728/B728)))/C728)/100)&lt;0,(INT(N728/B728)+(((N728-B728*INT(N728/B728)))/C728)/100)+(1-(B728/C728/100)),(INT(N728/B728)+(((N728-B728*INT(N728/B728)))/C728)/100))))</f>
        <v>0</v>
      </c>
      <c r="AZ728" s="57">
        <f>IF(ISERROR(IF(B728=C728,O728/C728,(INT(O728/B728)+(((O728-B728*INT(O728/B728)))/C728)/100))),0,(IF(B728=C728,O728/C728,(INT(O728/B728)+(((O728-B728*INT(O728/B728)))/C728)/100))))</f>
        <v>0</v>
      </c>
      <c r="BA728" s="57">
        <f>IF(ISERROR(IF(B728=C728,P728/C728,IF((INT(P728/B728)+(((P728-B728*INT(P728/B728)))/C728)/100)&lt;0,(INT(P728/B728)+(((P728-B728*INT(P728/B728)))/C728)/100)+(1-(B728/C728/100)),(INT(P728/B728)+(((P728-B728*INT(P728/B728)))/C728)/100)))),0,IF(B728=C728,P728/C728,IF((INT(P728/B728)+(((P728-B728*INT(P728/B728)))/C728)/100)&lt;0,(INT(P728/B728)+(((P728-B728*INT(P728/B728)))/C728)/100)+(1-(B728/C728/100)),(INT(P728/B728)+(((P728-B728*INT(P728/B728)))/C728)/100))))</f>
        <v>0</v>
      </c>
      <c r="BB728" s="28">
        <f>R728</f>
        <v>0</v>
      </c>
      <c r="BC728" s="28">
        <f>S728</f>
        <v>0</v>
      </c>
      <c r="BD728" s="28">
        <f>AF728</f>
        <v>0</v>
      </c>
      <c r="BE728" s="28">
        <f>T728</f>
        <v>0</v>
      </c>
      <c r="BG728" s="57">
        <f>IF(ISERROR(IF(B728=C728,V728/C728,(INT(V728/B728)+(((V728-B728*INT(V728/B728)))/C728)/100))),0,(IF(B728=C728,V728/C728,(INT(V728/B728)+(((V728-B728*INT(V728/B728)))/C728)/100))))</f>
        <v>0</v>
      </c>
      <c r="BH728" s="57">
        <f>IF(ISERROR(IF(B728=C728,W728/C728,(INT(W728/B728)+(((W728-B728*INT(W728/B728)))/C728)/100))),0,(IF(B728=C728,W728/C728,(INT(W728/B728)+(((W728-B728*INT(W728/B728)))/C728)/100))))</f>
        <v>0</v>
      </c>
      <c r="BI728" s="57">
        <f>IF(ISERROR(IF(B728=C728,X728/C728,(INT(X728/B728)+(((X728-B728*INT(X728/B728)))/C728)/100))),0,(IF(B728=C728,X728/C728,(INT(X728/B728)+(((X728-B728*INT(X728/B728)))/C728)/100))))</f>
        <v>0</v>
      </c>
      <c r="BJ728" s="57">
        <f>IF(ISERROR(IF(B728=C728,Y728/C728,(INT(Y728/B728)+(((Y728-B728*INT(Y728/B728)))/C728)/100))),0,(IF(B728=C728,Y728/C728,(INT(Y728/B728)+(((Y728-B728*INT(Y728/B728)))/C728)/100))))</f>
        <v>0</v>
      </c>
      <c r="BL728" s="57">
        <f>IF(ISERROR(IF(B728=C728,AA728/C728,(INT(AA728/B728)+(((AA728-B728*INT(AA728/B728)))/C728)/100))),0,(IF(B728=C728,AA728/C728,(INT(AA728/B728)+(((AA728-B728*INT(AA728/B728)))/C728)/100))))</f>
        <v>0</v>
      </c>
      <c r="BM728" s="57">
        <f>IF(ISERROR(IF(B728=C728,AB728/C728,(INT(AB728/B728)+(((AB728-B728*INT(AB728/B728)))/C728)/100))),0,(IF(B728=C728,AB728/C728,(INT(AB728/B728)+(((AB728-B728*INT(AB728/B728)))/C728)/100))))</f>
        <v>0</v>
      </c>
      <c r="BN728" s="57">
        <f>IF(ISERROR(IF(B728=C728,AC728/C728,(INT(AC728/B728)+(((AC728-B728*INT(AC728/B728)))/C728)/100))),0,(IF(B728=C728,AC728/C728,(INT(AC728/B728)+(((AC728-B728*INT(AC728/B728)))/C728)/100))))</f>
        <v>0</v>
      </c>
      <c r="BO728" s="57">
        <f>IF(ISERROR(IF(B728=C728,AD728/C728,(INT(AD728/B728)+(((AD728-B728*INT(AD728/B728)))/C728)/100))),0,(IF(B728=C728,AD728/C728,(INT(AD728/B728)+(((AD728-B728*INT(AD728/B728)))/C728)/100))))</f>
        <v>0</v>
      </c>
      <c r="BQ728" s="155"/>
    </row>
    <row r="729" spans="1:69" hidden="1" x14ac:dyDescent="0.35">
      <c r="A729" s="94"/>
      <c r="B729" s="113">
        <v>0</v>
      </c>
      <c r="C729" s="113">
        <v>250</v>
      </c>
      <c r="D729" s="28">
        <f>SUM(AA729:AD729)</f>
        <v>0</v>
      </c>
      <c r="E729" s="113">
        <v>0</v>
      </c>
      <c r="F729" s="113">
        <v>0</v>
      </c>
      <c r="G729" s="28">
        <f>SUM(D729:F729)</f>
        <v>0</v>
      </c>
      <c r="H729" s="125">
        <v>0</v>
      </c>
      <c r="I729" s="113">
        <v>0</v>
      </c>
      <c r="J729" s="125">
        <v>0</v>
      </c>
      <c r="K729" s="113">
        <v>0</v>
      </c>
      <c r="L729" s="113">
        <v>0</v>
      </c>
      <c r="M729" s="113">
        <v>0</v>
      </c>
      <c r="N729" s="28">
        <f>G729-SUM(H729:M729)</f>
        <v>0</v>
      </c>
      <c r="O729" s="28">
        <f>SUM(V729:Y729)</f>
        <v>0</v>
      </c>
      <c r="P729" s="28">
        <f>O729-N729</f>
        <v>0</v>
      </c>
      <c r="Q729" s="61" t="str">
        <f>IF(ISERROR(P729/SUM(H729:L729)),"",P729/SUM(H729:L729))</f>
        <v/>
      </c>
      <c r="R729" s="113">
        <v>0</v>
      </c>
      <c r="S729" s="28">
        <f>IF(ISERROR(P729/C729*R729),0,(P729/C729*R729))</f>
        <v>0</v>
      </c>
      <c r="T729" s="60">
        <f>IF(ISERROR(P729/B729*AF729),0,(P729/B729*AF729))</f>
        <v>0</v>
      </c>
      <c r="V729" s="113">
        <v>0</v>
      </c>
      <c r="W729" s="113">
        <v>0</v>
      </c>
      <c r="X729" s="113">
        <v>0</v>
      </c>
      <c r="Y729" s="113">
        <v>0</v>
      </c>
      <c r="AA729" s="113">
        <v>0</v>
      </c>
      <c r="AB729" s="113">
        <v>0</v>
      </c>
      <c r="AC729" s="113">
        <v>0</v>
      </c>
      <c r="AD729" s="113">
        <v>0</v>
      </c>
      <c r="AF729" s="113">
        <v>0</v>
      </c>
      <c r="AG729" s="28">
        <f>G729-O729</f>
        <v>0</v>
      </c>
      <c r="AH729" s="58">
        <f>IF(ISERROR(AG729/B729*AF729),0,(AG729/B729*AF729))</f>
        <v>0</v>
      </c>
      <c r="AI729" s="28">
        <f>SUM(H729:M729)</f>
        <v>0</v>
      </c>
      <c r="AJ729" s="28">
        <f>IF(ISERROR(AI729/B729*AF729),0,(AI729/B729*AF729))</f>
        <v>0</v>
      </c>
      <c r="AK729" s="58">
        <f>IF(ISERROR(O729/B729*AF729),0,(O729/B729*AF729))</f>
        <v>0</v>
      </c>
      <c r="AL729" s="28">
        <f>IF(ISERROR(H729/B729*AF729),0,(H729/B729*AF729))</f>
        <v>0</v>
      </c>
      <c r="AN729" s="51">
        <f>A729</f>
        <v>0</v>
      </c>
      <c r="AO729" s="57">
        <f>IF(ISERROR(IF(B729=C729,D729/C729,(INT(D729/B729)+(((D729-B729*INT(D729/B729)))/C729)/100))),0,(IF(B729=C729,D729/C729,(INT(D729/B729)+(((D729-B729*INT(D729/B729)))/C729)/100))))</f>
        <v>0</v>
      </c>
      <c r="AP729" s="57">
        <f>IF(ISERROR(IF(B729=C729,E729/C729,(INT(E729/B729)+(((E729-B729*INT(E729/B729)))/C729)/100))),0,(IF(B729=C729,E729/C729,(INT(E729/B729)+(((E729-B729*INT(E729/B729)))/C729)/100))))</f>
        <v>0</v>
      </c>
      <c r="AQ729" s="57">
        <f>IF(ISERROR(IF(B729=C729,F729/C729,IF((INT(F729/B729)+(((F729-B729*INT(F729/B729)))/C729)/100)&lt;0,(INT(F729/B729)+(((F729-B729*INT(F729/B729)))/C729)/100)+(1-(B729/C729/100)),(INT(F729/B729)+(((F729-B729*INT(F729/B729)))/C729)/100)))),0,IF(B729=C729,F729/C729,IF((INT(F729/B729)+(((F729-B729*INT(F729/B729)))/C729)/100)&lt;0,(INT(F729/B729)+(((F729-B729*INT(F729/B729)))/C729)/100)+(1-(B729/C729/100)),(INT(F729/B729)+(((F729-B729*INT(F729/B729)))/C729)/100))))</f>
        <v>0</v>
      </c>
      <c r="AR729" s="57">
        <f>IF(ISERROR(IF(B729=C729,G729/C729,(INT(G729/B729)+(((G729-B729*INT(G729/B729)))/C729)/100))),0,(IF(B729=C729,G729/C729,(INT(G729/B729)+(((G729-B729*INT(G729/B729)))/C729)/100))))</f>
        <v>0</v>
      </c>
      <c r="AS729" s="57">
        <f>IF(ISERROR(IF(B729=C729,H729/C729,(INT(H729/B729)+(((H729-B729*INT(H729/B729)))/C729)/100))),0,(IF(B729=C729,H729/C729,(INT(H729/B729)+(((H729-B729*INT(H729/B729)))/C729)/100))))</f>
        <v>0</v>
      </c>
      <c r="AT729" s="57">
        <f>IF(ISERROR(IF(B729=C729,I729/C729,(INT(I729/B729)+(((I729-B729*INT(I729/B729)))/C729)/100))),0,(IF(B729=C729,I729/C729,(INT(I729/B729)+(((I729-B729*INT(I729/B729)))/C729)/100))))</f>
        <v>0</v>
      </c>
      <c r="AU729" s="57">
        <f>IF(ISERROR(IF(B729=C729,J729/C729,(INT(J729/B729)+(((J729-B729*INT(J729/B729)))/C729)/100))),0,(IF(B729=C729,J729/C729,(INT(J729/B729)+(((J729-B729*INT(J729/B729)))/C729)/100))))</f>
        <v>0</v>
      </c>
      <c r="AV729" s="57">
        <f>IF(ISERROR(IF(B729=C729,K729/C729,IF((INT(K729/B729)+(((K729-B729*INT(K729/B729)))/C729)/100)&lt;0,(INT(K729/B729)+(((K729-B729*INT(K729/B729)))/C729)/100)+(1-(B729/C729/100)),(INT(K729/B729)+(((K729-B729*INT(K729/B729)))/C729)/100)))),0,IF(B729=C729,K729/C729,IF((INT(K729/B729)+(((K729-B729*INT(K729/B729)))/C729)/100)&lt;0,(INT(K729/B729)+(((K729-B729*INT(K729/B729)))/C729)/100)+(1-(B729/C729/100)),(INT(K729/B729)+(((K729-B729*INT(K729/B729)))/C729)/100))))</f>
        <v>0</v>
      </c>
      <c r="AW729" s="57">
        <f>IF(ISERROR(IF(B729=C729,L729/C729,(INT(L729/B729)+(((L729-B729*INT(L729/B729)))/C729)/100))),0,(IF(B729=C729,L729/C729,(INT(L729/B729)+(((L729-B729*INT(L729/B729)))/C729)/100))))</f>
        <v>0</v>
      </c>
      <c r="AX729" s="57">
        <f>IF(ISERROR(IF(B729=C729,M729/C729,(INT(M729/B729)+(((M729-B729*INT(M729/B729)))/C729)/100))),0,(IF(B729=C729,M729/C729,(INT(M729/B729)+(((M729-B729*INT(M729/B729)))/C729)/100))))</f>
        <v>0</v>
      </c>
      <c r="AY729" s="57">
        <f>IF(ISERROR(IF(B729=C729,N729/C729,IF((INT(N729/B729)+(((N729-B729*INT(N729/B729)))/C729)/100)&lt;0,(INT(N729/B729)+(((N729-B729*INT(N729/B729)))/C729)/100)+(1-(B729/C729/100)),(INT(N729/B729)+(((N729-B729*INT(N729/B729)))/C729)/100)))),0,IF(B729=C729,N729/C729,IF((INT(N729/B729)+(((N729-B729*INT(N729/B729)))/C729)/100)&lt;0,(INT(N729/B729)+(((N729-B729*INT(N729/B729)))/C729)/100)+(1-(B729/C729/100)),(INT(N729/B729)+(((N729-B729*INT(N729/B729)))/C729)/100))))</f>
        <v>0</v>
      </c>
      <c r="AZ729" s="57">
        <f>IF(ISERROR(IF(B729=C729,O729/C729,(INT(O729/B729)+(((O729-B729*INT(O729/B729)))/C729)/100))),0,(IF(B729=C729,O729/C729,(INT(O729/B729)+(((O729-B729*INT(O729/B729)))/C729)/100))))</f>
        <v>0</v>
      </c>
      <c r="BA729" s="57">
        <f>IF(ISERROR(IF(B729=C729,P729/C729,IF((INT(P729/B729)+(((P729-B729*INT(P729/B729)))/C729)/100)&lt;0,(INT(P729/B729)+(((P729-B729*INT(P729/B729)))/C729)/100)+(1-(B729/C729/100)),(INT(P729/B729)+(((P729-B729*INT(P729/B729)))/C729)/100)))),0,IF(B729=C729,P729/C729,IF((INT(P729/B729)+(((P729-B729*INT(P729/B729)))/C729)/100)&lt;0,(INT(P729/B729)+(((P729-B729*INT(P729/B729)))/C729)/100)+(1-(B729/C729/100)),(INT(P729/B729)+(((P729-B729*INT(P729/B729)))/C729)/100))))</f>
        <v>0</v>
      </c>
      <c r="BB729" s="28">
        <f>R729</f>
        <v>0</v>
      </c>
      <c r="BC729" s="28">
        <f>S729</f>
        <v>0</v>
      </c>
      <c r="BD729" s="28">
        <f>AF729</f>
        <v>0</v>
      </c>
      <c r="BE729" s="28">
        <f>T729</f>
        <v>0</v>
      </c>
      <c r="BG729" s="57">
        <f>IF(ISERROR(IF(B729=C729,V729/C729,(INT(V729/B729)+(((V729-B729*INT(V729/B729)))/C729)/100))),0,(IF(B729=C729,V729/C729,(INT(V729/B729)+(((V729-B729*INT(V729/B729)))/C729)/100))))</f>
        <v>0</v>
      </c>
      <c r="BH729" s="57">
        <f>IF(ISERROR(IF(B729=C729,W729/C729,(INT(W729/B729)+(((W729-B729*INT(W729/B729)))/C729)/100))),0,(IF(B729=C729,W729/C729,(INT(W729/B729)+(((W729-B729*INT(W729/B729)))/C729)/100))))</f>
        <v>0</v>
      </c>
      <c r="BI729" s="57">
        <f>IF(ISERROR(IF(B729=C729,X729/C729,(INT(X729/B729)+(((X729-B729*INT(X729/B729)))/C729)/100))),0,(IF(B729=C729,X729/C729,(INT(X729/B729)+(((X729-B729*INT(X729/B729)))/C729)/100))))</f>
        <v>0</v>
      </c>
      <c r="BJ729" s="57">
        <f>IF(ISERROR(IF(B729=C729,Y729/C729,(INT(Y729/B729)+(((Y729-B729*INT(Y729/B729)))/C729)/100))),0,(IF(B729=C729,Y729/C729,(INT(Y729/B729)+(((Y729-B729*INT(Y729/B729)))/C729)/100))))</f>
        <v>0</v>
      </c>
      <c r="BL729" s="57">
        <f>IF(ISERROR(IF(B729=C729,AA729/C729,(INT(AA729/B729)+(((AA729-B729*INT(AA729/B729)))/C729)/100))),0,(IF(B729=C729,AA729/C729,(INT(AA729/B729)+(((AA729-B729*INT(AA729/B729)))/C729)/100))))</f>
        <v>0</v>
      </c>
      <c r="BM729" s="57">
        <f>IF(ISERROR(IF(B729=C729,AB729/C729,(INT(AB729/B729)+(((AB729-B729*INT(AB729/B729)))/C729)/100))),0,(IF(B729=C729,AB729/C729,(INT(AB729/B729)+(((AB729-B729*INT(AB729/B729)))/C729)/100))))</f>
        <v>0</v>
      </c>
      <c r="BN729" s="57">
        <f>IF(ISERROR(IF(B729=C729,AC729/C729,(INT(AC729/B729)+(((AC729-B729*INT(AC729/B729)))/C729)/100))),0,(IF(B729=C729,AC729/C729,(INT(AC729/B729)+(((AC729-B729*INT(AC729/B729)))/C729)/100))))</f>
        <v>0</v>
      </c>
      <c r="BO729" s="57">
        <f>IF(ISERROR(IF(B729=C729,AD729/C729,(INT(AD729/B729)+(((AD729-B729*INT(AD729/B729)))/C729)/100))),0,(IF(B729=C729,AD729/C729,(INT(AD729/B729)+(((AD729-B729*INT(AD729/B729)))/C729)/100))))</f>
        <v>0</v>
      </c>
      <c r="BQ729" s="155"/>
    </row>
    <row r="730" spans="1:69" hidden="1" x14ac:dyDescent="0.35">
      <c r="A730" s="94"/>
      <c r="B730" s="113">
        <v>0</v>
      </c>
      <c r="C730" s="113">
        <v>250</v>
      </c>
      <c r="D730" s="28">
        <f>SUM(AA730:AD730)</f>
        <v>0</v>
      </c>
      <c r="E730" s="113">
        <v>0</v>
      </c>
      <c r="F730" s="113">
        <v>0</v>
      </c>
      <c r="G730" s="28">
        <f>SUM(D730:F730)</f>
        <v>0</v>
      </c>
      <c r="H730" s="125">
        <v>0</v>
      </c>
      <c r="I730" s="113">
        <v>0</v>
      </c>
      <c r="J730" s="125">
        <v>0</v>
      </c>
      <c r="K730" s="113">
        <v>0</v>
      </c>
      <c r="L730" s="113">
        <v>0</v>
      </c>
      <c r="M730" s="113">
        <v>0</v>
      </c>
      <c r="N730" s="28">
        <f>G730-SUM(H730:M730)</f>
        <v>0</v>
      </c>
      <c r="O730" s="28">
        <f>SUM(V730:Y730)</f>
        <v>0</v>
      </c>
      <c r="P730" s="28">
        <f>O730-N730</f>
        <v>0</v>
      </c>
      <c r="Q730" s="61" t="str">
        <f>IF(ISERROR(P730/SUM(H730:L730)),"",P730/SUM(H730:L730))</f>
        <v/>
      </c>
      <c r="R730" s="113">
        <v>0</v>
      </c>
      <c r="S730" s="28">
        <f>IF(ISERROR(P730/C730*R730),0,(P730/C730*R730))</f>
        <v>0</v>
      </c>
      <c r="T730" s="60">
        <f>IF(ISERROR(P730/B730*AF730),0,(P730/B730*AF730))</f>
        <v>0</v>
      </c>
      <c r="V730" s="113">
        <v>0</v>
      </c>
      <c r="W730" s="113">
        <v>0</v>
      </c>
      <c r="X730" s="113">
        <v>0</v>
      </c>
      <c r="Y730" s="113">
        <v>0</v>
      </c>
      <c r="AA730" s="113">
        <v>0</v>
      </c>
      <c r="AB730" s="113">
        <v>0</v>
      </c>
      <c r="AC730" s="113">
        <v>0</v>
      </c>
      <c r="AD730" s="113">
        <v>0</v>
      </c>
      <c r="AF730" s="113">
        <v>0</v>
      </c>
      <c r="AG730" s="28">
        <f>G730-O730</f>
        <v>0</v>
      </c>
      <c r="AH730" s="58">
        <f>IF(ISERROR(AG730/B730*AF730),0,(AG730/B730*AF730))</f>
        <v>0</v>
      </c>
      <c r="AI730" s="28">
        <f>SUM(H730:M730)</f>
        <v>0</v>
      </c>
      <c r="AJ730" s="28">
        <f>IF(ISERROR(AI730/B730*AF730),0,(AI730/B730*AF730))</f>
        <v>0</v>
      </c>
      <c r="AK730" s="58">
        <f>IF(ISERROR(O730/B730*AF730),0,(O730/B730*AF730))</f>
        <v>0</v>
      </c>
      <c r="AL730" s="28">
        <f>IF(ISERROR(H730/B730*AF730),0,(H730/B730*AF730))</f>
        <v>0</v>
      </c>
      <c r="AN730" s="51">
        <f>A730</f>
        <v>0</v>
      </c>
      <c r="AO730" s="57">
        <f>IF(ISERROR(IF(B730=C730,D730/C730,(INT(D730/B730)+(((D730-B730*INT(D730/B730)))/C730)/100))),0,(IF(B730=C730,D730/C730,(INT(D730/B730)+(((D730-B730*INT(D730/B730)))/C730)/100))))</f>
        <v>0</v>
      </c>
      <c r="AP730" s="57">
        <f>IF(ISERROR(IF(B730=C730,E730/C730,(INT(E730/B730)+(((E730-B730*INT(E730/B730)))/C730)/100))),0,(IF(B730=C730,E730/C730,(INT(E730/B730)+(((E730-B730*INT(E730/B730)))/C730)/100))))</f>
        <v>0</v>
      </c>
      <c r="AQ730" s="57">
        <f>IF(ISERROR(IF(B730=C730,F730/C730,IF((INT(F730/B730)+(((F730-B730*INT(F730/B730)))/C730)/100)&lt;0,(INT(F730/B730)+(((F730-B730*INT(F730/B730)))/C730)/100)+(1-(B730/C730/100)),(INT(F730/B730)+(((F730-B730*INT(F730/B730)))/C730)/100)))),0,IF(B730=C730,F730/C730,IF((INT(F730/B730)+(((F730-B730*INT(F730/B730)))/C730)/100)&lt;0,(INT(F730/B730)+(((F730-B730*INT(F730/B730)))/C730)/100)+(1-(B730/C730/100)),(INT(F730/B730)+(((F730-B730*INT(F730/B730)))/C730)/100))))</f>
        <v>0</v>
      </c>
      <c r="AR730" s="57">
        <f>IF(ISERROR(IF(B730=C730,G730/C730,(INT(G730/B730)+(((G730-B730*INT(G730/B730)))/C730)/100))),0,(IF(B730=C730,G730/C730,(INT(G730/B730)+(((G730-B730*INT(G730/B730)))/C730)/100))))</f>
        <v>0</v>
      </c>
      <c r="AS730" s="57">
        <f>IF(ISERROR(IF(B730=C730,H730/C730,(INT(H730/B730)+(((H730-B730*INT(H730/B730)))/C730)/100))),0,(IF(B730=C730,H730/C730,(INT(H730/B730)+(((H730-B730*INT(H730/B730)))/C730)/100))))</f>
        <v>0</v>
      </c>
      <c r="AT730" s="57">
        <f>IF(ISERROR(IF(B730=C730,I730/C730,(INT(I730/B730)+(((I730-B730*INT(I730/B730)))/C730)/100))),0,(IF(B730=C730,I730/C730,(INT(I730/B730)+(((I730-B730*INT(I730/B730)))/C730)/100))))</f>
        <v>0</v>
      </c>
      <c r="AU730" s="57">
        <f>IF(ISERROR(IF(B730=C730,J730/C730,(INT(J730/B730)+(((J730-B730*INT(J730/B730)))/C730)/100))),0,(IF(B730=C730,J730/C730,(INT(J730/B730)+(((J730-B730*INT(J730/B730)))/C730)/100))))</f>
        <v>0</v>
      </c>
      <c r="AV730" s="57">
        <f>IF(ISERROR(IF(B730=C730,K730/C730,IF((INT(K730/B730)+(((K730-B730*INT(K730/B730)))/C730)/100)&lt;0,(INT(K730/B730)+(((K730-B730*INT(K730/B730)))/C730)/100)+(1-(B730/C730/100)),(INT(K730/B730)+(((K730-B730*INT(K730/B730)))/C730)/100)))),0,IF(B730=C730,K730/C730,IF((INT(K730/B730)+(((K730-B730*INT(K730/B730)))/C730)/100)&lt;0,(INT(K730/B730)+(((K730-B730*INT(K730/B730)))/C730)/100)+(1-(B730/C730/100)),(INT(K730/B730)+(((K730-B730*INT(K730/B730)))/C730)/100))))</f>
        <v>0</v>
      </c>
      <c r="AW730" s="57">
        <f>IF(ISERROR(IF(B730=C730,L730/C730,(INT(L730/B730)+(((L730-B730*INT(L730/B730)))/C730)/100))),0,(IF(B730=C730,L730/C730,(INT(L730/B730)+(((L730-B730*INT(L730/B730)))/C730)/100))))</f>
        <v>0</v>
      </c>
      <c r="AX730" s="57">
        <f>IF(ISERROR(IF(B730=C730,M730/C730,(INT(M730/B730)+(((M730-B730*INT(M730/B730)))/C730)/100))),0,(IF(B730=C730,M730/C730,(INT(M730/B730)+(((M730-B730*INT(M730/B730)))/C730)/100))))</f>
        <v>0</v>
      </c>
      <c r="AY730" s="57">
        <f>IF(ISERROR(IF(B730=C730,N730/C730,IF((INT(N730/B730)+(((N730-B730*INT(N730/B730)))/C730)/100)&lt;0,(INT(N730/B730)+(((N730-B730*INT(N730/B730)))/C730)/100)+(1-(B730/C730/100)),(INT(N730/B730)+(((N730-B730*INT(N730/B730)))/C730)/100)))),0,IF(B730=C730,N730/C730,IF((INT(N730/B730)+(((N730-B730*INT(N730/B730)))/C730)/100)&lt;0,(INT(N730/B730)+(((N730-B730*INT(N730/B730)))/C730)/100)+(1-(B730/C730/100)),(INT(N730/B730)+(((N730-B730*INT(N730/B730)))/C730)/100))))</f>
        <v>0</v>
      </c>
      <c r="AZ730" s="57">
        <f>IF(ISERROR(IF(B730=C730,O730/C730,(INT(O730/B730)+(((O730-B730*INT(O730/B730)))/C730)/100))),0,(IF(B730=C730,O730/C730,(INT(O730/B730)+(((O730-B730*INT(O730/B730)))/C730)/100))))</f>
        <v>0</v>
      </c>
      <c r="BA730" s="57">
        <f>IF(ISERROR(IF(B730=C730,P730/C730,IF((INT(P730/B730)+(((P730-B730*INT(P730/B730)))/C730)/100)&lt;0,(INT(P730/B730)+(((P730-B730*INT(P730/B730)))/C730)/100)+(1-(B730/C730/100)),(INT(P730/B730)+(((P730-B730*INT(P730/B730)))/C730)/100)))),0,IF(B730=C730,P730/C730,IF((INT(P730/B730)+(((P730-B730*INT(P730/B730)))/C730)/100)&lt;0,(INT(P730/B730)+(((P730-B730*INT(P730/B730)))/C730)/100)+(1-(B730/C730/100)),(INT(P730/B730)+(((P730-B730*INT(P730/B730)))/C730)/100))))</f>
        <v>0</v>
      </c>
      <c r="BB730" s="28">
        <f>R730</f>
        <v>0</v>
      </c>
      <c r="BC730" s="28">
        <f>S730</f>
        <v>0</v>
      </c>
      <c r="BD730" s="28">
        <f>AF730</f>
        <v>0</v>
      </c>
      <c r="BE730" s="28">
        <f>T730</f>
        <v>0</v>
      </c>
      <c r="BG730" s="57">
        <f>IF(ISERROR(IF(B730=C730,V730/C730,(INT(V730/B730)+(((V730-B730*INT(V730/B730)))/C730)/100))),0,(IF(B730=C730,V730/C730,(INT(V730/B730)+(((V730-B730*INT(V730/B730)))/C730)/100))))</f>
        <v>0</v>
      </c>
      <c r="BH730" s="57">
        <f>IF(ISERROR(IF(B730=C730,W730/C730,(INT(W730/B730)+(((W730-B730*INT(W730/B730)))/C730)/100))),0,(IF(B730=C730,W730/C730,(INT(W730/B730)+(((W730-B730*INT(W730/B730)))/C730)/100))))</f>
        <v>0</v>
      </c>
      <c r="BI730" s="57">
        <f>IF(ISERROR(IF(B730=C730,X730/C730,(INT(X730/B730)+(((X730-B730*INT(X730/B730)))/C730)/100))),0,(IF(B730=C730,X730/C730,(INT(X730/B730)+(((X730-B730*INT(X730/B730)))/C730)/100))))</f>
        <v>0</v>
      </c>
      <c r="BJ730" s="57">
        <f>IF(ISERROR(IF(B730=C730,Y730/C730,(INT(Y730/B730)+(((Y730-B730*INT(Y730/B730)))/C730)/100))),0,(IF(B730=C730,Y730/C730,(INT(Y730/B730)+(((Y730-B730*INT(Y730/B730)))/C730)/100))))</f>
        <v>0</v>
      </c>
      <c r="BL730" s="57">
        <f>IF(ISERROR(IF(B730=C730,AA730/C730,(INT(AA730/B730)+(((AA730-B730*INT(AA730/B730)))/C730)/100))),0,(IF(B730=C730,AA730/C730,(INT(AA730/B730)+(((AA730-B730*INT(AA730/B730)))/C730)/100))))</f>
        <v>0</v>
      </c>
      <c r="BM730" s="57">
        <f>IF(ISERROR(IF(B730=C730,AB730/C730,(INT(AB730/B730)+(((AB730-B730*INT(AB730/B730)))/C730)/100))),0,(IF(B730=C730,AB730/C730,(INT(AB730/B730)+(((AB730-B730*INT(AB730/B730)))/C730)/100))))</f>
        <v>0</v>
      </c>
      <c r="BN730" s="57">
        <f>IF(ISERROR(IF(B730=C730,AC730/C730,(INT(AC730/B730)+(((AC730-B730*INT(AC730/B730)))/C730)/100))),0,(IF(B730=C730,AC730/C730,(INT(AC730/B730)+(((AC730-B730*INT(AC730/B730)))/C730)/100))))</f>
        <v>0</v>
      </c>
      <c r="BO730" s="57">
        <f>IF(ISERROR(IF(B730=C730,AD730/C730,(INT(AD730/B730)+(((AD730-B730*INT(AD730/B730)))/C730)/100))),0,(IF(B730=C730,AD730/C730,(INT(AD730/B730)+(((AD730-B730*INT(AD730/B730)))/C730)/100))))</f>
        <v>0</v>
      </c>
      <c r="BQ730" s="155"/>
    </row>
    <row r="731" spans="1:69" hidden="1" x14ac:dyDescent="0.35">
      <c r="A731" s="94"/>
      <c r="B731" s="113">
        <v>0</v>
      </c>
      <c r="C731" s="113">
        <v>250</v>
      </c>
      <c r="D731" s="28">
        <f>SUM(AA731:AD731)</f>
        <v>0</v>
      </c>
      <c r="E731" s="113">
        <v>0</v>
      </c>
      <c r="F731" s="113">
        <v>0</v>
      </c>
      <c r="G731" s="28">
        <f>SUM(D731:F731)</f>
        <v>0</v>
      </c>
      <c r="H731" s="125">
        <v>0</v>
      </c>
      <c r="I731" s="113">
        <v>0</v>
      </c>
      <c r="J731" s="125">
        <v>0</v>
      </c>
      <c r="K731" s="113">
        <v>0</v>
      </c>
      <c r="L731" s="113">
        <v>0</v>
      </c>
      <c r="M731" s="113">
        <v>0</v>
      </c>
      <c r="N731" s="28">
        <f>G731-SUM(H731:M731)</f>
        <v>0</v>
      </c>
      <c r="O731" s="28">
        <f>SUM(V731:Y731)</f>
        <v>0</v>
      </c>
      <c r="P731" s="28">
        <f>O731-N731</f>
        <v>0</v>
      </c>
      <c r="Q731" s="61" t="str">
        <f>IF(ISERROR(P731/SUM(H731:L731)),"",P731/SUM(H731:L731))</f>
        <v/>
      </c>
      <c r="R731" s="113">
        <v>0</v>
      </c>
      <c r="S731" s="28">
        <f>IF(ISERROR(P731/C731*R731),0,(P731/C731*R731))</f>
        <v>0</v>
      </c>
      <c r="T731" s="60">
        <f>IF(ISERROR(P731/B731*AF731),0,(P731/B731*AF731))</f>
        <v>0</v>
      </c>
      <c r="V731" s="113">
        <v>0</v>
      </c>
      <c r="W731" s="113">
        <v>0</v>
      </c>
      <c r="X731" s="113">
        <v>0</v>
      </c>
      <c r="Y731" s="113">
        <v>0</v>
      </c>
      <c r="AA731" s="113">
        <v>0</v>
      </c>
      <c r="AB731" s="113">
        <v>0</v>
      </c>
      <c r="AC731" s="113">
        <v>0</v>
      </c>
      <c r="AD731" s="113">
        <v>0</v>
      </c>
      <c r="AF731" s="113">
        <v>0</v>
      </c>
      <c r="AG731" s="28">
        <f>G731-O731</f>
        <v>0</v>
      </c>
      <c r="AH731" s="58">
        <f>IF(ISERROR(AG731/B731*AF731),0,(AG731/B731*AF731))</f>
        <v>0</v>
      </c>
      <c r="AI731" s="28">
        <f>SUM(H731:M731)</f>
        <v>0</v>
      </c>
      <c r="AJ731" s="28">
        <f>IF(ISERROR(AI731/B731*AF731),0,(AI731/B731*AF731))</f>
        <v>0</v>
      </c>
      <c r="AK731" s="58">
        <f>IF(ISERROR(O731/B731*AF731),0,(O731/B731*AF731))</f>
        <v>0</v>
      </c>
      <c r="AL731" s="28">
        <f>IF(ISERROR(H731/B731*AF731),0,(H731/B731*AF731))</f>
        <v>0</v>
      </c>
      <c r="AN731" s="51">
        <f>A731</f>
        <v>0</v>
      </c>
      <c r="AO731" s="57">
        <f>IF(ISERROR(IF(B731=C731,D731/C731,(INT(D731/B731)+(((D731-B731*INT(D731/B731)))/C731)/100))),0,(IF(B731=C731,D731/C731,(INT(D731/B731)+(((D731-B731*INT(D731/B731)))/C731)/100))))</f>
        <v>0</v>
      </c>
      <c r="AP731" s="57">
        <f>IF(ISERROR(IF(B731=C731,E731/C731,(INT(E731/B731)+(((E731-B731*INT(E731/B731)))/C731)/100))),0,(IF(B731=C731,E731/C731,(INT(E731/B731)+(((E731-B731*INT(E731/B731)))/C731)/100))))</f>
        <v>0</v>
      </c>
      <c r="AQ731" s="57">
        <f>IF(ISERROR(IF(B731=C731,F731/C731,IF((INT(F731/B731)+(((F731-B731*INT(F731/B731)))/C731)/100)&lt;0,(INT(F731/B731)+(((F731-B731*INT(F731/B731)))/C731)/100)+(1-(B731/C731/100)),(INT(F731/B731)+(((F731-B731*INT(F731/B731)))/C731)/100)))),0,IF(B731=C731,F731/C731,IF((INT(F731/B731)+(((F731-B731*INT(F731/B731)))/C731)/100)&lt;0,(INT(F731/B731)+(((F731-B731*INT(F731/B731)))/C731)/100)+(1-(B731/C731/100)),(INT(F731/B731)+(((F731-B731*INT(F731/B731)))/C731)/100))))</f>
        <v>0</v>
      </c>
      <c r="AR731" s="57">
        <f>IF(ISERROR(IF(B731=C731,G731/C731,(INT(G731/B731)+(((G731-B731*INT(G731/B731)))/C731)/100))),0,(IF(B731=C731,G731/C731,(INT(G731/B731)+(((G731-B731*INT(G731/B731)))/C731)/100))))</f>
        <v>0</v>
      </c>
      <c r="AS731" s="57">
        <f>IF(ISERROR(IF(B731=C731,H731/C731,(INT(H731/B731)+(((H731-B731*INT(H731/B731)))/C731)/100))),0,(IF(B731=C731,H731/C731,(INT(H731/B731)+(((H731-B731*INT(H731/B731)))/C731)/100))))</f>
        <v>0</v>
      </c>
      <c r="AT731" s="57">
        <f>IF(ISERROR(IF(B731=C731,I731/C731,(INT(I731/B731)+(((I731-B731*INT(I731/B731)))/C731)/100))),0,(IF(B731=C731,I731/C731,(INT(I731/B731)+(((I731-B731*INT(I731/B731)))/C731)/100))))</f>
        <v>0</v>
      </c>
      <c r="AU731" s="57">
        <f>IF(ISERROR(IF(B731=C731,J731/C731,(INT(J731/B731)+(((J731-B731*INT(J731/B731)))/C731)/100))),0,(IF(B731=C731,J731/C731,(INT(J731/B731)+(((J731-B731*INT(J731/B731)))/C731)/100))))</f>
        <v>0</v>
      </c>
      <c r="AV731" s="57">
        <f>IF(ISERROR(IF(B731=C731,K731/C731,IF((INT(K731/B731)+(((K731-B731*INT(K731/B731)))/C731)/100)&lt;0,(INT(K731/B731)+(((K731-B731*INT(K731/B731)))/C731)/100)+(1-(B731/C731/100)),(INT(K731/B731)+(((K731-B731*INT(K731/B731)))/C731)/100)))),0,IF(B731=C731,K731/C731,IF((INT(K731/B731)+(((K731-B731*INT(K731/B731)))/C731)/100)&lt;0,(INT(K731/B731)+(((K731-B731*INT(K731/B731)))/C731)/100)+(1-(B731/C731/100)),(INT(K731/B731)+(((K731-B731*INT(K731/B731)))/C731)/100))))</f>
        <v>0</v>
      </c>
      <c r="AW731" s="57">
        <f>IF(ISERROR(IF(B731=C731,L731/C731,(INT(L731/B731)+(((L731-B731*INT(L731/B731)))/C731)/100))),0,(IF(B731=C731,L731/C731,(INT(L731/B731)+(((L731-B731*INT(L731/B731)))/C731)/100))))</f>
        <v>0</v>
      </c>
      <c r="AX731" s="57">
        <f>IF(ISERROR(IF(B731=C731,M731/C731,(INT(M731/B731)+(((M731-B731*INT(M731/B731)))/C731)/100))),0,(IF(B731=C731,M731/C731,(INT(M731/B731)+(((M731-B731*INT(M731/B731)))/C731)/100))))</f>
        <v>0</v>
      </c>
      <c r="AY731" s="57">
        <f>IF(ISERROR(IF(B731=C731,N731/C731,IF((INT(N731/B731)+(((N731-B731*INT(N731/B731)))/C731)/100)&lt;0,(INT(N731/B731)+(((N731-B731*INT(N731/B731)))/C731)/100)+(1-(B731/C731/100)),(INT(N731/B731)+(((N731-B731*INT(N731/B731)))/C731)/100)))),0,IF(B731=C731,N731/C731,IF((INT(N731/B731)+(((N731-B731*INT(N731/B731)))/C731)/100)&lt;0,(INT(N731/B731)+(((N731-B731*INT(N731/B731)))/C731)/100)+(1-(B731/C731/100)),(INT(N731/B731)+(((N731-B731*INT(N731/B731)))/C731)/100))))</f>
        <v>0</v>
      </c>
      <c r="AZ731" s="57">
        <f>IF(ISERROR(IF(B731=C731,O731/C731,(INT(O731/B731)+(((O731-B731*INT(O731/B731)))/C731)/100))),0,(IF(B731=C731,O731/C731,(INT(O731/B731)+(((O731-B731*INT(O731/B731)))/C731)/100))))</f>
        <v>0</v>
      </c>
      <c r="BA731" s="57">
        <f>IF(ISERROR(IF(B731=C731,P731/C731,IF((INT(P731/B731)+(((P731-B731*INT(P731/B731)))/C731)/100)&lt;0,(INT(P731/B731)+(((P731-B731*INT(P731/B731)))/C731)/100)+(1-(B731/C731/100)),(INT(P731/B731)+(((P731-B731*INT(P731/B731)))/C731)/100)))),0,IF(B731=C731,P731/C731,IF((INT(P731/B731)+(((P731-B731*INT(P731/B731)))/C731)/100)&lt;0,(INT(P731/B731)+(((P731-B731*INT(P731/B731)))/C731)/100)+(1-(B731/C731/100)),(INT(P731/B731)+(((P731-B731*INT(P731/B731)))/C731)/100))))</f>
        <v>0</v>
      </c>
      <c r="BB731" s="28">
        <f>R731</f>
        <v>0</v>
      </c>
      <c r="BC731" s="28">
        <f>S731</f>
        <v>0</v>
      </c>
      <c r="BD731" s="28">
        <f>AF731</f>
        <v>0</v>
      </c>
      <c r="BE731" s="28">
        <f>T731</f>
        <v>0</v>
      </c>
      <c r="BG731" s="57">
        <f>IF(ISERROR(IF(B731=C731,V731/C731,(INT(V731/B731)+(((V731-B731*INT(V731/B731)))/C731)/100))),0,(IF(B731=C731,V731/C731,(INT(V731/B731)+(((V731-B731*INT(V731/B731)))/C731)/100))))</f>
        <v>0</v>
      </c>
      <c r="BH731" s="57">
        <f>IF(ISERROR(IF(B731=C731,W731/C731,(INT(W731/B731)+(((W731-B731*INT(W731/B731)))/C731)/100))),0,(IF(B731=C731,W731/C731,(INT(W731/B731)+(((W731-B731*INT(W731/B731)))/C731)/100))))</f>
        <v>0</v>
      </c>
      <c r="BI731" s="57">
        <f>IF(ISERROR(IF(B731=C731,X731/C731,(INT(X731/B731)+(((X731-B731*INT(X731/B731)))/C731)/100))),0,(IF(B731=C731,X731/C731,(INT(X731/B731)+(((X731-B731*INT(X731/B731)))/C731)/100))))</f>
        <v>0</v>
      </c>
      <c r="BJ731" s="57">
        <f>IF(ISERROR(IF(B731=C731,Y731/C731,(INT(Y731/B731)+(((Y731-B731*INT(Y731/B731)))/C731)/100))),0,(IF(B731=C731,Y731/C731,(INT(Y731/B731)+(((Y731-B731*INT(Y731/B731)))/C731)/100))))</f>
        <v>0</v>
      </c>
      <c r="BL731" s="57">
        <f>IF(ISERROR(IF(B731=C731,AA731/C731,(INT(AA731/B731)+(((AA731-B731*INT(AA731/B731)))/C731)/100))),0,(IF(B731=C731,AA731/C731,(INT(AA731/B731)+(((AA731-B731*INT(AA731/B731)))/C731)/100))))</f>
        <v>0</v>
      </c>
      <c r="BM731" s="57">
        <f>IF(ISERROR(IF(B731=C731,AB731/C731,(INT(AB731/B731)+(((AB731-B731*INT(AB731/B731)))/C731)/100))),0,(IF(B731=C731,AB731/C731,(INT(AB731/B731)+(((AB731-B731*INT(AB731/B731)))/C731)/100))))</f>
        <v>0</v>
      </c>
      <c r="BN731" s="57">
        <f>IF(ISERROR(IF(B731=C731,AC731/C731,(INT(AC731/B731)+(((AC731-B731*INT(AC731/B731)))/C731)/100))),0,(IF(B731=C731,AC731/C731,(INT(AC731/B731)+(((AC731-B731*INT(AC731/B731)))/C731)/100))))</f>
        <v>0</v>
      </c>
      <c r="BO731" s="57">
        <f>IF(ISERROR(IF(B731=C731,AD731/C731,(INT(AD731/B731)+(((AD731-B731*INT(AD731/B731)))/C731)/100))),0,(IF(B731=C731,AD731/C731,(INT(AD731/B731)+(((AD731-B731*INT(AD731/B731)))/C731)/100))))</f>
        <v>0</v>
      </c>
      <c r="BQ731" s="155"/>
    </row>
    <row r="732" spans="1:69" hidden="1" x14ac:dyDescent="0.35">
      <c r="A732" s="94"/>
      <c r="B732" s="113">
        <v>0</v>
      </c>
      <c r="C732" s="113">
        <v>250</v>
      </c>
      <c r="D732" s="28">
        <f>SUM(AA732:AD732)</f>
        <v>0</v>
      </c>
      <c r="E732" s="113">
        <v>0</v>
      </c>
      <c r="F732" s="113">
        <v>0</v>
      </c>
      <c r="G732" s="28">
        <f>SUM(D732:F732)</f>
        <v>0</v>
      </c>
      <c r="H732" s="125">
        <v>0</v>
      </c>
      <c r="I732" s="113">
        <v>0</v>
      </c>
      <c r="J732" s="125">
        <v>0</v>
      </c>
      <c r="K732" s="113">
        <v>0</v>
      </c>
      <c r="L732" s="113">
        <v>0</v>
      </c>
      <c r="M732" s="113">
        <v>0</v>
      </c>
      <c r="N732" s="28">
        <f>G732-SUM(H732:M732)</f>
        <v>0</v>
      </c>
      <c r="O732" s="28">
        <f>SUM(V732:Y732)</f>
        <v>0</v>
      </c>
      <c r="P732" s="28">
        <f>O732-N732</f>
        <v>0</v>
      </c>
      <c r="Q732" s="61" t="str">
        <f>IF(ISERROR(P732/SUM(H732:L732)),"",P732/SUM(H732:L732))</f>
        <v/>
      </c>
      <c r="R732" s="113">
        <v>0</v>
      </c>
      <c r="S732" s="28">
        <f>IF(ISERROR(P732/C732*R732),0,(P732/C732*R732))</f>
        <v>0</v>
      </c>
      <c r="T732" s="60">
        <f>IF(ISERROR(P732/B732*AF732),0,(P732/B732*AF732))</f>
        <v>0</v>
      </c>
      <c r="V732" s="113">
        <v>0</v>
      </c>
      <c r="W732" s="113">
        <v>0</v>
      </c>
      <c r="X732" s="113">
        <v>0</v>
      </c>
      <c r="Y732" s="113">
        <v>0</v>
      </c>
      <c r="AA732" s="113">
        <v>0</v>
      </c>
      <c r="AB732" s="113">
        <v>0</v>
      </c>
      <c r="AC732" s="113">
        <v>0</v>
      </c>
      <c r="AD732" s="113">
        <v>0</v>
      </c>
      <c r="AF732" s="113">
        <v>0</v>
      </c>
      <c r="AG732" s="28">
        <f>G732-O732</f>
        <v>0</v>
      </c>
      <c r="AH732" s="58">
        <f>IF(ISERROR(AG732/B732*AF732),0,(AG732/B732*AF732))</f>
        <v>0</v>
      </c>
      <c r="AI732" s="28">
        <f>SUM(H732:M732)</f>
        <v>0</v>
      </c>
      <c r="AJ732" s="28">
        <f>IF(ISERROR(AI732/B732*AF732),0,(AI732/B732*AF732))</f>
        <v>0</v>
      </c>
      <c r="AK732" s="58">
        <f>IF(ISERROR(O732/B732*AF732),0,(O732/B732*AF732))</f>
        <v>0</v>
      </c>
      <c r="AL732" s="28">
        <f>IF(ISERROR(H732/B732*AF732),0,(H732/B732*AF732))</f>
        <v>0</v>
      </c>
      <c r="AN732" s="51">
        <f>A732</f>
        <v>0</v>
      </c>
      <c r="AO732" s="57">
        <f>IF(ISERROR(IF(B732=C732,D732/C732,(INT(D732/B732)+(((D732-B732*INT(D732/B732)))/C732)/100))),0,(IF(B732=C732,D732/C732,(INT(D732/B732)+(((D732-B732*INT(D732/B732)))/C732)/100))))</f>
        <v>0</v>
      </c>
      <c r="AP732" s="57">
        <f>IF(ISERROR(IF(B732=C732,E732/C732,(INT(E732/B732)+(((E732-B732*INT(E732/B732)))/C732)/100))),0,(IF(B732=C732,E732/C732,(INT(E732/B732)+(((E732-B732*INT(E732/B732)))/C732)/100))))</f>
        <v>0</v>
      </c>
      <c r="AQ732" s="57">
        <f>IF(ISERROR(IF(B732=C732,F732/C732,IF((INT(F732/B732)+(((F732-B732*INT(F732/B732)))/C732)/100)&lt;0,(INT(F732/B732)+(((F732-B732*INT(F732/B732)))/C732)/100)+(1-(B732/C732/100)),(INT(F732/B732)+(((F732-B732*INT(F732/B732)))/C732)/100)))),0,IF(B732=C732,F732/C732,IF((INT(F732/B732)+(((F732-B732*INT(F732/B732)))/C732)/100)&lt;0,(INT(F732/B732)+(((F732-B732*INT(F732/B732)))/C732)/100)+(1-(B732/C732/100)),(INT(F732/B732)+(((F732-B732*INT(F732/B732)))/C732)/100))))</f>
        <v>0</v>
      </c>
      <c r="AR732" s="57">
        <f>IF(ISERROR(IF(B732=C732,G732/C732,(INT(G732/B732)+(((G732-B732*INT(G732/B732)))/C732)/100))),0,(IF(B732=C732,G732/C732,(INT(G732/B732)+(((G732-B732*INT(G732/B732)))/C732)/100))))</f>
        <v>0</v>
      </c>
      <c r="AS732" s="57">
        <f>IF(ISERROR(IF(B732=C732,H732/C732,(INT(H732/B732)+(((H732-B732*INT(H732/B732)))/C732)/100))),0,(IF(B732=C732,H732/C732,(INT(H732/B732)+(((H732-B732*INT(H732/B732)))/C732)/100))))</f>
        <v>0</v>
      </c>
      <c r="AT732" s="57">
        <f>IF(ISERROR(IF(B732=C732,I732/C732,(INT(I732/B732)+(((I732-B732*INT(I732/B732)))/C732)/100))),0,(IF(B732=C732,I732/C732,(INT(I732/B732)+(((I732-B732*INT(I732/B732)))/C732)/100))))</f>
        <v>0</v>
      </c>
      <c r="AU732" s="57">
        <f>IF(ISERROR(IF(B732=C732,J732/C732,(INT(J732/B732)+(((J732-B732*INT(J732/B732)))/C732)/100))),0,(IF(B732=C732,J732/C732,(INT(J732/B732)+(((J732-B732*INT(J732/B732)))/C732)/100))))</f>
        <v>0</v>
      </c>
      <c r="AV732" s="57">
        <f>IF(ISERROR(IF(B732=C732,K732/C732,IF((INT(K732/B732)+(((K732-B732*INT(K732/B732)))/C732)/100)&lt;0,(INT(K732/B732)+(((K732-B732*INT(K732/B732)))/C732)/100)+(1-(B732/C732/100)),(INT(K732/B732)+(((K732-B732*INT(K732/B732)))/C732)/100)))),0,IF(B732=C732,K732/C732,IF((INT(K732/B732)+(((K732-B732*INT(K732/B732)))/C732)/100)&lt;0,(INT(K732/B732)+(((K732-B732*INT(K732/B732)))/C732)/100)+(1-(B732/C732/100)),(INT(K732/B732)+(((K732-B732*INT(K732/B732)))/C732)/100))))</f>
        <v>0</v>
      </c>
      <c r="AW732" s="57">
        <f>IF(ISERROR(IF(B732=C732,L732/C732,(INT(L732/B732)+(((L732-B732*INT(L732/B732)))/C732)/100))),0,(IF(B732=C732,L732/C732,(INT(L732/B732)+(((L732-B732*INT(L732/B732)))/C732)/100))))</f>
        <v>0</v>
      </c>
      <c r="AX732" s="57">
        <f>IF(ISERROR(IF(B732=C732,M732/C732,(INT(M732/B732)+(((M732-B732*INT(M732/B732)))/C732)/100))),0,(IF(B732=C732,M732/C732,(INT(M732/B732)+(((M732-B732*INT(M732/B732)))/C732)/100))))</f>
        <v>0</v>
      </c>
      <c r="AY732" s="57">
        <f>IF(ISERROR(IF(B732=C732,N732/C732,IF((INT(N732/B732)+(((N732-B732*INT(N732/B732)))/C732)/100)&lt;0,(INT(N732/B732)+(((N732-B732*INT(N732/B732)))/C732)/100)+(1-(B732/C732/100)),(INT(N732/B732)+(((N732-B732*INT(N732/B732)))/C732)/100)))),0,IF(B732=C732,N732/C732,IF((INT(N732/B732)+(((N732-B732*INT(N732/B732)))/C732)/100)&lt;0,(INT(N732/B732)+(((N732-B732*INT(N732/B732)))/C732)/100)+(1-(B732/C732/100)),(INT(N732/B732)+(((N732-B732*INT(N732/B732)))/C732)/100))))</f>
        <v>0</v>
      </c>
      <c r="AZ732" s="57">
        <f>IF(ISERROR(IF(B732=C732,O732/C732,(INT(O732/B732)+(((O732-B732*INT(O732/B732)))/C732)/100))),0,(IF(B732=C732,O732/C732,(INT(O732/B732)+(((O732-B732*INT(O732/B732)))/C732)/100))))</f>
        <v>0</v>
      </c>
      <c r="BA732" s="57">
        <f>IF(ISERROR(IF(B732=C732,P732/C732,IF((INT(P732/B732)+(((P732-B732*INT(P732/B732)))/C732)/100)&lt;0,(INT(P732/B732)+(((P732-B732*INT(P732/B732)))/C732)/100)+(1-(B732/C732/100)),(INT(P732/B732)+(((P732-B732*INT(P732/B732)))/C732)/100)))),0,IF(B732=C732,P732/C732,IF((INT(P732/B732)+(((P732-B732*INT(P732/B732)))/C732)/100)&lt;0,(INT(P732/B732)+(((P732-B732*INT(P732/B732)))/C732)/100)+(1-(B732/C732/100)),(INT(P732/B732)+(((P732-B732*INT(P732/B732)))/C732)/100))))</f>
        <v>0</v>
      </c>
      <c r="BB732" s="28">
        <f>R732</f>
        <v>0</v>
      </c>
      <c r="BC732" s="28">
        <f>S732</f>
        <v>0</v>
      </c>
      <c r="BD732" s="28">
        <f>AF732</f>
        <v>0</v>
      </c>
      <c r="BE732" s="28">
        <f>T732</f>
        <v>0</v>
      </c>
      <c r="BG732" s="57">
        <f>IF(ISERROR(IF(B732=C732,V732/C732,(INT(V732/B732)+(((V732-B732*INT(V732/B732)))/C732)/100))),0,(IF(B732=C732,V732/C732,(INT(V732/B732)+(((V732-B732*INT(V732/B732)))/C732)/100))))</f>
        <v>0</v>
      </c>
      <c r="BH732" s="57">
        <f>IF(ISERROR(IF(B732=C732,W732/C732,(INT(W732/B732)+(((W732-B732*INT(W732/B732)))/C732)/100))),0,(IF(B732=C732,W732/C732,(INT(W732/B732)+(((W732-B732*INT(W732/B732)))/C732)/100))))</f>
        <v>0</v>
      </c>
      <c r="BI732" s="57">
        <f>IF(ISERROR(IF(B732=C732,X732/C732,(INT(X732/B732)+(((X732-B732*INT(X732/B732)))/C732)/100))),0,(IF(B732=C732,X732/C732,(INT(X732/B732)+(((X732-B732*INT(X732/B732)))/C732)/100))))</f>
        <v>0</v>
      </c>
      <c r="BJ732" s="57">
        <f>IF(ISERROR(IF(B732=C732,Y732/C732,(INT(Y732/B732)+(((Y732-B732*INT(Y732/B732)))/C732)/100))),0,(IF(B732=C732,Y732/C732,(INT(Y732/B732)+(((Y732-B732*INT(Y732/B732)))/C732)/100))))</f>
        <v>0</v>
      </c>
      <c r="BL732" s="57">
        <f>IF(ISERROR(IF(B732=C732,AA732/C732,(INT(AA732/B732)+(((AA732-B732*INT(AA732/B732)))/C732)/100))),0,(IF(B732=C732,AA732/C732,(INT(AA732/B732)+(((AA732-B732*INT(AA732/B732)))/C732)/100))))</f>
        <v>0</v>
      </c>
      <c r="BM732" s="57">
        <f>IF(ISERROR(IF(B732=C732,AB732/C732,(INT(AB732/B732)+(((AB732-B732*INT(AB732/B732)))/C732)/100))),0,(IF(B732=C732,AB732/C732,(INT(AB732/B732)+(((AB732-B732*INT(AB732/B732)))/C732)/100))))</f>
        <v>0</v>
      </c>
      <c r="BN732" s="57">
        <f>IF(ISERROR(IF(B732=C732,AC732/C732,(INT(AC732/B732)+(((AC732-B732*INT(AC732/B732)))/C732)/100))),0,(IF(B732=C732,AC732/C732,(INT(AC732/B732)+(((AC732-B732*INT(AC732/B732)))/C732)/100))))</f>
        <v>0</v>
      </c>
      <c r="BO732" s="57">
        <f>IF(ISERROR(IF(B732=C732,AD732/C732,(INT(AD732/B732)+(((AD732-B732*INT(AD732/B732)))/C732)/100))),0,(IF(B732=C732,AD732/C732,(INT(AD732/B732)+(((AD732-B732*INT(AD732/B732)))/C732)/100))))</f>
        <v>0</v>
      </c>
      <c r="BQ732" s="155"/>
    </row>
    <row r="733" spans="1:69" hidden="1" x14ac:dyDescent="0.35">
      <c r="A733" s="94"/>
      <c r="B733" s="113">
        <v>0</v>
      </c>
      <c r="C733" s="113">
        <v>250</v>
      </c>
      <c r="D733" s="28">
        <f>SUM(AA733:AD733)</f>
        <v>0</v>
      </c>
      <c r="E733" s="113">
        <v>0</v>
      </c>
      <c r="F733" s="113">
        <v>0</v>
      </c>
      <c r="G733" s="28">
        <f>SUM(D733:F733)</f>
        <v>0</v>
      </c>
      <c r="H733" s="125">
        <v>0</v>
      </c>
      <c r="I733" s="113">
        <v>0</v>
      </c>
      <c r="J733" s="125">
        <v>0</v>
      </c>
      <c r="K733" s="113">
        <v>0</v>
      </c>
      <c r="L733" s="113">
        <v>0</v>
      </c>
      <c r="M733" s="113">
        <v>0</v>
      </c>
      <c r="N733" s="28">
        <f>G733-SUM(H733:M733)</f>
        <v>0</v>
      </c>
      <c r="O733" s="28">
        <f>SUM(V733:Y733)</f>
        <v>0</v>
      </c>
      <c r="P733" s="28">
        <f>O733-N733</f>
        <v>0</v>
      </c>
      <c r="Q733" s="61" t="str">
        <f>IF(ISERROR(P733/SUM(H733:L733)),"",P733/SUM(H733:L733))</f>
        <v/>
      </c>
      <c r="R733" s="113">
        <v>0</v>
      </c>
      <c r="S733" s="28">
        <f>IF(ISERROR(P733/C733*R733),0,(P733/C733*R733))</f>
        <v>0</v>
      </c>
      <c r="T733" s="60">
        <f>IF(ISERROR(P733/B733*AF733),0,(P733/B733*AF733))</f>
        <v>0</v>
      </c>
      <c r="V733" s="113">
        <v>0</v>
      </c>
      <c r="W733" s="113">
        <v>0</v>
      </c>
      <c r="X733" s="113">
        <v>0</v>
      </c>
      <c r="Y733" s="113">
        <v>0</v>
      </c>
      <c r="AA733" s="113">
        <v>0</v>
      </c>
      <c r="AB733" s="113">
        <v>0</v>
      </c>
      <c r="AC733" s="113">
        <v>0</v>
      </c>
      <c r="AD733" s="113">
        <v>0</v>
      </c>
      <c r="AF733" s="113">
        <v>0</v>
      </c>
      <c r="AG733" s="28">
        <f>G733-O733</f>
        <v>0</v>
      </c>
      <c r="AH733" s="58">
        <f>IF(ISERROR(AG733/B733*AF733),0,(AG733/B733*AF733))</f>
        <v>0</v>
      </c>
      <c r="AI733" s="28">
        <f>SUM(H733:M733)</f>
        <v>0</v>
      </c>
      <c r="AJ733" s="28">
        <f>IF(ISERROR(AI733/B733*AF733),0,(AI733/B733*AF733))</f>
        <v>0</v>
      </c>
      <c r="AK733" s="58">
        <f>IF(ISERROR(O733/B733*AF733),0,(O733/B733*AF733))</f>
        <v>0</v>
      </c>
      <c r="AL733" s="28">
        <f>IF(ISERROR(H733/B733*AF733),0,(H733/B733*AF733))</f>
        <v>0</v>
      </c>
      <c r="AN733" s="51">
        <f>A733</f>
        <v>0</v>
      </c>
      <c r="AO733" s="57">
        <f>IF(ISERROR(IF(B733=C733,D733/C733,(INT(D733/B733)+(((D733-B733*INT(D733/B733)))/C733)/100))),0,(IF(B733=C733,D733/C733,(INT(D733/B733)+(((D733-B733*INT(D733/B733)))/C733)/100))))</f>
        <v>0</v>
      </c>
      <c r="AP733" s="57">
        <f>IF(ISERROR(IF(B733=C733,E733/C733,(INT(E733/B733)+(((E733-B733*INT(E733/B733)))/C733)/100))),0,(IF(B733=C733,E733/C733,(INT(E733/B733)+(((E733-B733*INT(E733/B733)))/C733)/100))))</f>
        <v>0</v>
      </c>
      <c r="AQ733" s="57">
        <f>IF(ISERROR(IF(B733=C733,F733/C733,IF((INT(F733/B733)+(((F733-B733*INT(F733/B733)))/C733)/100)&lt;0,(INT(F733/B733)+(((F733-B733*INT(F733/B733)))/C733)/100)+(1-(B733/C733/100)),(INT(F733/B733)+(((F733-B733*INT(F733/B733)))/C733)/100)))),0,IF(B733=C733,F733/C733,IF((INT(F733/B733)+(((F733-B733*INT(F733/B733)))/C733)/100)&lt;0,(INT(F733/B733)+(((F733-B733*INT(F733/B733)))/C733)/100)+(1-(B733/C733/100)),(INT(F733/B733)+(((F733-B733*INT(F733/B733)))/C733)/100))))</f>
        <v>0</v>
      </c>
      <c r="AR733" s="57">
        <f>IF(ISERROR(IF(B733=C733,G733/C733,(INT(G733/B733)+(((G733-B733*INT(G733/B733)))/C733)/100))),0,(IF(B733=C733,G733/C733,(INT(G733/B733)+(((G733-B733*INT(G733/B733)))/C733)/100))))</f>
        <v>0</v>
      </c>
      <c r="AS733" s="57">
        <f>IF(ISERROR(IF(B733=C733,H733/C733,(INT(H733/B733)+(((H733-B733*INT(H733/B733)))/C733)/100))),0,(IF(B733=C733,H733/C733,(INT(H733/B733)+(((H733-B733*INT(H733/B733)))/C733)/100))))</f>
        <v>0</v>
      </c>
      <c r="AT733" s="57">
        <f>IF(ISERROR(IF(B733=C733,I733/C733,(INT(I733/B733)+(((I733-B733*INT(I733/B733)))/C733)/100))),0,(IF(B733=C733,I733/C733,(INT(I733/B733)+(((I733-B733*INT(I733/B733)))/C733)/100))))</f>
        <v>0</v>
      </c>
      <c r="AU733" s="57">
        <f>IF(ISERROR(IF(B733=C733,J733/C733,(INT(J733/B733)+(((J733-B733*INT(J733/B733)))/C733)/100))),0,(IF(B733=C733,J733/C733,(INT(J733/B733)+(((J733-B733*INT(J733/B733)))/C733)/100))))</f>
        <v>0</v>
      </c>
      <c r="AV733" s="57">
        <f>IF(ISERROR(IF(B733=C733,K733/C733,IF((INT(K733/B733)+(((K733-B733*INT(K733/B733)))/C733)/100)&lt;0,(INT(K733/B733)+(((K733-B733*INT(K733/B733)))/C733)/100)+(1-(B733/C733/100)),(INT(K733/B733)+(((K733-B733*INT(K733/B733)))/C733)/100)))),0,IF(B733=C733,K733/C733,IF((INT(K733/B733)+(((K733-B733*INT(K733/B733)))/C733)/100)&lt;0,(INT(K733/B733)+(((K733-B733*INT(K733/B733)))/C733)/100)+(1-(B733/C733/100)),(INT(K733/B733)+(((K733-B733*INT(K733/B733)))/C733)/100))))</f>
        <v>0</v>
      </c>
      <c r="AW733" s="57">
        <f>IF(ISERROR(IF(B733=C733,L733/C733,(INT(L733/B733)+(((L733-B733*INT(L733/B733)))/C733)/100))),0,(IF(B733=C733,L733/C733,(INT(L733/B733)+(((L733-B733*INT(L733/B733)))/C733)/100))))</f>
        <v>0</v>
      </c>
      <c r="AX733" s="57">
        <f>IF(ISERROR(IF(B733=C733,M733/C733,(INT(M733/B733)+(((M733-B733*INT(M733/B733)))/C733)/100))),0,(IF(B733=C733,M733/C733,(INT(M733/B733)+(((M733-B733*INT(M733/B733)))/C733)/100))))</f>
        <v>0</v>
      </c>
      <c r="AY733" s="57">
        <f>IF(ISERROR(IF(B733=C733,N733/C733,IF((INT(N733/B733)+(((N733-B733*INT(N733/B733)))/C733)/100)&lt;0,(INT(N733/B733)+(((N733-B733*INT(N733/B733)))/C733)/100)+(1-(B733/C733/100)),(INT(N733/B733)+(((N733-B733*INT(N733/B733)))/C733)/100)))),0,IF(B733=C733,N733/C733,IF((INT(N733/B733)+(((N733-B733*INT(N733/B733)))/C733)/100)&lt;0,(INT(N733/B733)+(((N733-B733*INT(N733/B733)))/C733)/100)+(1-(B733/C733/100)),(INT(N733/B733)+(((N733-B733*INT(N733/B733)))/C733)/100))))</f>
        <v>0</v>
      </c>
      <c r="AZ733" s="57">
        <f>IF(ISERROR(IF(B733=C733,O733/C733,(INT(O733/B733)+(((O733-B733*INT(O733/B733)))/C733)/100))),0,(IF(B733=C733,O733/C733,(INT(O733/B733)+(((O733-B733*INT(O733/B733)))/C733)/100))))</f>
        <v>0</v>
      </c>
      <c r="BA733" s="57">
        <f>IF(ISERROR(IF(B733=C733,P733/C733,IF((INT(P733/B733)+(((P733-B733*INT(P733/B733)))/C733)/100)&lt;0,(INT(P733/B733)+(((P733-B733*INT(P733/B733)))/C733)/100)+(1-(B733/C733/100)),(INT(P733/B733)+(((P733-B733*INT(P733/B733)))/C733)/100)))),0,IF(B733=C733,P733/C733,IF((INT(P733/B733)+(((P733-B733*INT(P733/B733)))/C733)/100)&lt;0,(INT(P733/B733)+(((P733-B733*INT(P733/B733)))/C733)/100)+(1-(B733/C733/100)),(INT(P733/B733)+(((P733-B733*INT(P733/B733)))/C733)/100))))</f>
        <v>0</v>
      </c>
      <c r="BB733" s="28">
        <f>R733</f>
        <v>0</v>
      </c>
      <c r="BC733" s="28">
        <f>S733</f>
        <v>0</v>
      </c>
      <c r="BD733" s="28">
        <f>AF733</f>
        <v>0</v>
      </c>
      <c r="BE733" s="28">
        <f>T733</f>
        <v>0</v>
      </c>
      <c r="BG733" s="57">
        <f>IF(ISERROR(IF(B733=C733,V733/C733,(INT(V733/B733)+(((V733-B733*INT(V733/B733)))/C733)/100))),0,(IF(B733=C733,V733/C733,(INT(V733/B733)+(((V733-B733*INT(V733/B733)))/C733)/100))))</f>
        <v>0</v>
      </c>
      <c r="BH733" s="57">
        <f>IF(ISERROR(IF(B733=C733,W733/C733,(INT(W733/B733)+(((W733-B733*INT(W733/B733)))/C733)/100))),0,(IF(B733=C733,W733/C733,(INT(W733/B733)+(((W733-B733*INT(W733/B733)))/C733)/100))))</f>
        <v>0</v>
      </c>
      <c r="BI733" s="57">
        <f>IF(ISERROR(IF(B733=C733,X733/C733,(INT(X733/B733)+(((X733-B733*INT(X733/B733)))/C733)/100))),0,(IF(B733=C733,X733/C733,(INT(X733/B733)+(((X733-B733*INT(X733/B733)))/C733)/100))))</f>
        <v>0</v>
      </c>
      <c r="BJ733" s="57">
        <f>IF(ISERROR(IF(B733=C733,Y733/C733,(INT(Y733/B733)+(((Y733-B733*INT(Y733/B733)))/C733)/100))),0,(IF(B733=C733,Y733/C733,(INT(Y733/B733)+(((Y733-B733*INT(Y733/B733)))/C733)/100))))</f>
        <v>0</v>
      </c>
      <c r="BL733" s="57">
        <f>IF(ISERROR(IF(B733=C733,AA733/C733,(INT(AA733/B733)+(((AA733-B733*INT(AA733/B733)))/C733)/100))),0,(IF(B733=C733,AA733/C733,(INT(AA733/B733)+(((AA733-B733*INT(AA733/B733)))/C733)/100))))</f>
        <v>0</v>
      </c>
      <c r="BM733" s="57">
        <f>IF(ISERROR(IF(B733=C733,AB733/C733,(INT(AB733/B733)+(((AB733-B733*INT(AB733/B733)))/C733)/100))),0,(IF(B733=C733,AB733/C733,(INT(AB733/B733)+(((AB733-B733*INT(AB733/B733)))/C733)/100))))</f>
        <v>0</v>
      </c>
      <c r="BN733" s="57">
        <f>IF(ISERROR(IF(B733=C733,AC733/C733,(INT(AC733/B733)+(((AC733-B733*INT(AC733/B733)))/C733)/100))),0,(IF(B733=C733,AC733/C733,(INT(AC733/B733)+(((AC733-B733*INT(AC733/B733)))/C733)/100))))</f>
        <v>0</v>
      </c>
      <c r="BO733" s="57">
        <f>IF(ISERROR(IF(B733=C733,AD733/C733,(INT(AD733/B733)+(((AD733-B733*INT(AD733/B733)))/C733)/100))),0,(IF(B733=C733,AD733/C733,(INT(AD733/B733)+(((AD733-B733*INT(AD733/B733)))/C733)/100))))</f>
        <v>0</v>
      </c>
      <c r="BQ733" s="155"/>
    </row>
    <row r="734" spans="1:69" hidden="1" x14ac:dyDescent="0.35">
      <c r="A734" s="94"/>
      <c r="B734" s="113">
        <v>0</v>
      </c>
      <c r="C734" s="113">
        <v>250</v>
      </c>
      <c r="D734" s="28">
        <f>SUM(AA734:AD734)</f>
        <v>0</v>
      </c>
      <c r="E734" s="113">
        <v>0</v>
      </c>
      <c r="F734" s="113">
        <v>0</v>
      </c>
      <c r="G734" s="28">
        <f>SUM(D734:F734)</f>
        <v>0</v>
      </c>
      <c r="H734" s="125">
        <v>0</v>
      </c>
      <c r="I734" s="113">
        <v>0</v>
      </c>
      <c r="J734" s="125">
        <v>0</v>
      </c>
      <c r="K734" s="113">
        <v>0</v>
      </c>
      <c r="L734" s="113">
        <v>0</v>
      </c>
      <c r="M734" s="113">
        <v>0</v>
      </c>
      <c r="N734" s="28">
        <f>G734-SUM(H734:M734)</f>
        <v>0</v>
      </c>
      <c r="O734" s="28">
        <f>SUM(V734:Y734)</f>
        <v>0</v>
      </c>
      <c r="P734" s="28">
        <f>O734-N734</f>
        <v>0</v>
      </c>
      <c r="Q734" s="61" t="str">
        <f>IF(ISERROR(P734/SUM(H734:L734)),"",P734/SUM(H734:L734))</f>
        <v/>
      </c>
      <c r="R734" s="113">
        <v>0</v>
      </c>
      <c r="S734" s="28">
        <f>IF(ISERROR(P734/C734*R734),0,(P734/C734*R734))</f>
        <v>0</v>
      </c>
      <c r="T734" s="60">
        <f>IF(ISERROR(P734/B734*AF734),0,(P734/B734*AF734))</f>
        <v>0</v>
      </c>
      <c r="V734" s="113">
        <v>0</v>
      </c>
      <c r="W734" s="113">
        <v>0</v>
      </c>
      <c r="X734" s="113">
        <v>0</v>
      </c>
      <c r="Y734" s="113">
        <v>0</v>
      </c>
      <c r="AA734" s="113">
        <v>0</v>
      </c>
      <c r="AB734" s="113">
        <v>0</v>
      </c>
      <c r="AC734" s="113">
        <v>0</v>
      </c>
      <c r="AD734" s="113">
        <v>0</v>
      </c>
      <c r="AF734" s="113">
        <v>0</v>
      </c>
      <c r="AG734" s="28">
        <f>G734-O734</f>
        <v>0</v>
      </c>
      <c r="AH734" s="58">
        <f>IF(ISERROR(AG734/B734*AF734),0,(AG734/B734*AF734))</f>
        <v>0</v>
      </c>
      <c r="AI734" s="28">
        <f>SUM(H734:M734)</f>
        <v>0</v>
      </c>
      <c r="AJ734" s="28">
        <f>IF(ISERROR(AI734/B734*AF734),0,(AI734/B734*AF734))</f>
        <v>0</v>
      </c>
      <c r="AK734" s="58">
        <f>IF(ISERROR(O734/B734*AF734),0,(O734/B734*AF734))</f>
        <v>0</v>
      </c>
      <c r="AL734" s="28">
        <f>IF(ISERROR(H734/B734*AF734),0,(H734/B734*AF734))</f>
        <v>0</v>
      </c>
      <c r="AN734" s="51">
        <f>A734</f>
        <v>0</v>
      </c>
      <c r="AO734" s="57">
        <f>IF(ISERROR(IF(B734=C734,D734/C734,(INT(D734/B734)+(((D734-B734*INT(D734/B734)))/C734)/100))),0,(IF(B734=C734,D734/C734,(INT(D734/B734)+(((D734-B734*INT(D734/B734)))/C734)/100))))</f>
        <v>0</v>
      </c>
      <c r="AP734" s="57">
        <f>IF(ISERROR(IF(B734=C734,E734/C734,(INT(E734/B734)+(((E734-B734*INT(E734/B734)))/C734)/100))),0,(IF(B734=C734,E734/C734,(INT(E734/B734)+(((E734-B734*INT(E734/B734)))/C734)/100))))</f>
        <v>0</v>
      </c>
      <c r="AQ734" s="57">
        <f>IF(ISERROR(IF(B734=C734,F734/C734,IF((INT(F734/B734)+(((F734-B734*INT(F734/B734)))/C734)/100)&lt;0,(INT(F734/B734)+(((F734-B734*INT(F734/B734)))/C734)/100)+(1-(B734/C734/100)),(INT(F734/B734)+(((F734-B734*INT(F734/B734)))/C734)/100)))),0,IF(B734=C734,F734/C734,IF((INT(F734/B734)+(((F734-B734*INT(F734/B734)))/C734)/100)&lt;0,(INT(F734/B734)+(((F734-B734*INT(F734/B734)))/C734)/100)+(1-(B734/C734/100)),(INT(F734/B734)+(((F734-B734*INT(F734/B734)))/C734)/100))))</f>
        <v>0</v>
      </c>
      <c r="AR734" s="57">
        <f>IF(ISERROR(IF(B734=C734,G734/C734,(INT(G734/B734)+(((G734-B734*INT(G734/B734)))/C734)/100))),0,(IF(B734=C734,G734/C734,(INT(G734/B734)+(((G734-B734*INT(G734/B734)))/C734)/100))))</f>
        <v>0</v>
      </c>
      <c r="AS734" s="57">
        <f>IF(ISERROR(IF(B734=C734,H734/C734,(INT(H734/B734)+(((H734-B734*INT(H734/B734)))/C734)/100))),0,(IF(B734=C734,H734/C734,(INT(H734/B734)+(((H734-B734*INT(H734/B734)))/C734)/100))))</f>
        <v>0</v>
      </c>
      <c r="AT734" s="57">
        <f>IF(ISERROR(IF(B734=C734,I734/C734,(INT(I734/B734)+(((I734-B734*INT(I734/B734)))/C734)/100))),0,(IF(B734=C734,I734/C734,(INT(I734/B734)+(((I734-B734*INT(I734/B734)))/C734)/100))))</f>
        <v>0</v>
      </c>
      <c r="AU734" s="57">
        <f>IF(ISERROR(IF(B734=C734,J734/C734,(INT(J734/B734)+(((J734-B734*INT(J734/B734)))/C734)/100))),0,(IF(B734=C734,J734/C734,(INT(J734/B734)+(((J734-B734*INT(J734/B734)))/C734)/100))))</f>
        <v>0</v>
      </c>
      <c r="AV734" s="57">
        <f>IF(ISERROR(IF(B734=C734,K734/C734,IF((INT(K734/B734)+(((K734-B734*INT(K734/B734)))/C734)/100)&lt;0,(INT(K734/B734)+(((K734-B734*INT(K734/B734)))/C734)/100)+(1-(B734/C734/100)),(INT(K734/B734)+(((K734-B734*INT(K734/B734)))/C734)/100)))),0,IF(B734=C734,K734/C734,IF((INT(K734/B734)+(((K734-B734*INT(K734/B734)))/C734)/100)&lt;0,(INT(K734/B734)+(((K734-B734*INT(K734/B734)))/C734)/100)+(1-(B734/C734/100)),(INT(K734/B734)+(((K734-B734*INT(K734/B734)))/C734)/100))))</f>
        <v>0</v>
      </c>
      <c r="AW734" s="57">
        <f>IF(ISERROR(IF(B734=C734,L734/C734,(INT(L734/B734)+(((L734-B734*INT(L734/B734)))/C734)/100))),0,(IF(B734=C734,L734/C734,(INT(L734/B734)+(((L734-B734*INT(L734/B734)))/C734)/100))))</f>
        <v>0</v>
      </c>
      <c r="AX734" s="57">
        <f>IF(ISERROR(IF(B734=C734,M734/C734,(INT(M734/B734)+(((M734-B734*INT(M734/B734)))/C734)/100))),0,(IF(B734=C734,M734/C734,(INT(M734/B734)+(((M734-B734*INT(M734/B734)))/C734)/100))))</f>
        <v>0</v>
      </c>
      <c r="AY734" s="57">
        <f>IF(ISERROR(IF(B734=C734,N734/C734,IF((INT(N734/B734)+(((N734-B734*INT(N734/B734)))/C734)/100)&lt;0,(INT(N734/B734)+(((N734-B734*INT(N734/B734)))/C734)/100)+(1-(B734/C734/100)),(INT(N734/B734)+(((N734-B734*INT(N734/B734)))/C734)/100)))),0,IF(B734=C734,N734/C734,IF((INT(N734/B734)+(((N734-B734*INT(N734/B734)))/C734)/100)&lt;0,(INT(N734/B734)+(((N734-B734*INT(N734/B734)))/C734)/100)+(1-(B734/C734/100)),(INT(N734/B734)+(((N734-B734*INT(N734/B734)))/C734)/100))))</f>
        <v>0</v>
      </c>
      <c r="AZ734" s="57">
        <f>IF(ISERROR(IF(B734=C734,O734/C734,(INT(O734/B734)+(((O734-B734*INT(O734/B734)))/C734)/100))),0,(IF(B734=C734,O734/C734,(INT(O734/B734)+(((O734-B734*INT(O734/B734)))/C734)/100))))</f>
        <v>0</v>
      </c>
      <c r="BA734" s="57">
        <f>IF(ISERROR(IF(B734=C734,P734/C734,IF((INT(P734/B734)+(((P734-B734*INT(P734/B734)))/C734)/100)&lt;0,(INT(P734/B734)+(((P734-B734*INT(P734/B734)))/C734)/100)+(1-(B734/C734/100)),(INT(P734/B734)+(((P734-B734*INT(P734/B734)))/C734)/100)))),0,IF(B734=C734,P734/C734,IF((INT(P734/B734)+(((P734-B734*INT(P734/B734)))/C734)/100)&lt;0,(INT(P734/B734)+(((P734-B734*INT(P734/B734)))/C734)/100)+(1-(B734/C734/100)),(INT(P734/B734)+(((P734-B734*INT(P734/B734)))/C734)/100))))</f>
        <v>0</v>
      </c>
      <c r="BB734" s="28">
        <f>R734</f>
        <v>0</v>
      </c>
      <c r="BC734" s="28">
        <f>S734</f>
        <v>0</v>
      </c>
      <c r="BD734" s="28">
        <f>AF734</f>
        <v>0</v>
      </c>
      <c r="BE734" s="28">
        <f>T734</f>
        <v>0</v>
      </c>
      <c r="BG734" s="57">
        <f>IF(ISERROR(IF(B734=C734,V734/C734,(INT(V734/B734)+(((V734-B734*INT(V734/B734)))/C734)/100))),0,(IF(B734=C734,V734/C734,(INT(V734/B734)+(((V734-B734*INT(V734/B734)))/C734)/100))))</f>
        <v>0</v>
      </c>
      <c r="BH734" s="57">
        <f>IF(ISERROR(IF(B734=C734,W734/C734,(INT(W734/B734)+(((W734-B734*INT(W734/B734)))/C734)/100))),0,(IF(B734=C734,W734/C734,(INT(W734/B734)+(((W734-B734*INT(W734/B734)))/C734)/100))))</f>
        <v>0</v>
      </c>
      <c r="BI734" s="57">
        <f>IF(ISERROR(IF(B734=C734,X734/C734,(INT(X734/B734)+(((X734-B734*INT(X734/B734)))/C734)/100))),0,(IF(B734=C734,X734/C734,(INT(X734/B734)+(((X734-B734*INT(X734/B734)))/C734)/100))))</f>
        <v>0</v>
      </c>
      <c r="BJ734" s="57">
        <f>IF(ISERROR(IF(B734=C734,Y734/C734,(INT(Y734/B734)+(((Y734-B734*INT(Y734/B734)))/C734)/100))),0,(IF(B734=C734,Y734/C734,(INT(Y734/B734)+(((Y734-B734*INT(Y734/B734)))/C734)/100))))</f>
        <v>0</v>
      </c>
      <c r="BL734" s="57">
        <f>IF(ISERROR(IF(B734=C734,AA734/C734,(INT(AA734/B734)+(((AA734-B734*INT(AA734/B734)))/C734)/100))),0,(IF(B734=C734,AA734/C734,(INT(AA734/B734)+(((AA734-B734*INT(AA734/B734)))/C734)/100))))</f>
        <v>0</v>
      </c>
      <c r="BM734" s="57">
        <f>IF(ISERROR(IF(B734=C734,AB734/C734,(INT(AB734/B734)+(((AB734-B734*INT(AB734/B734)))/C734)/100))),0,(IF(B734=C734,AB734/C734,(INT(AB734/B734)+(((AB734-B734*INT(AB734/B734)))/C734)/100))))</f>
        <v>0</v>
      </c>
      <c r="BN734" s="57">
        <f>IF(ISERROR(IF(B734=C734,AC734/C734,(INT(AC734/B734)+(((AC734-B734*INT(AC734/B734)))/C734)/100))),0,(IF(B734=C734,AC734/C734,(INT(AC734/B734)+(((AC734-B734*INT(AC734/B734)))/C734)/100))))</f>
        <v>0</v>
      </c>
      <c r="BO734" s="57">
        <f>IF(ISERROR(IF(B734=C734,AD734/C734,(INT(AD734/B734)+(((AD734-B734*INT(AD734/B734)))/C734)/100))),0,(IF(B734=C734,AD734/C734,(INT(AD734/B734)+(((AD734-B734*INT(AD734/B734)))/C734)/100))))</f>
        <v>0</v>
      </c>
      <c r="BQ734" s="155"/>
    </row>
    <row r="735" spans="1:69" hidden="1" x14ac:dyDescent="0.35">
      <c r="A735" s="94"/>
      <c r="B735" s="113">
        <v>0</v>
      </c>
      <c r="C735" s="113">
        <v>250</v>
      </c>
      <c r="D735" s="28">
        <f>SUM(AA735:AD735)</f>
        <v>0</v>
      </c>
      <c r="E735" s="113">
        <v>0</v>
      </c>
      <c r="F735" s="113">
        <v>0</v>
      </c>
      <c r="G735" s="28">
        <f>SUM(D735:F735)</f>
        <v>0</v>
      </c>
      <c r="H735" s="125">
        <v>0</v>
      </c>
      <c r="I735" s="113">
        <v>0</v>
      </c>
      <c r="J735" s="125">
        <v>0</v>
      </c>
      <c r="K735" s="113">
        <v>0</v>
      </c>
      <c r="L735" s="113">
        <v>0</v>
      </c>
      <c r="M735" s="113">
        <v>0</v>
      </c>
      <c r="N735" s="28">
        <f>G735-SUM(H735:M735)</f>
        <v>0</v>
      </c>
      <c r="O735" s="28">
        <f>SUM(V735:Y735)</f>
        <v>0</v>
      </c>
      <c r="P735" s="28">
        <f>O735-N735</f>
        <v>0</v>
      </c>
      <c r="Q735" s="61" t="str">
        <f>IF(ISERROR(P735/SUM(H735:L735)),"",P735/SUM(H735:L735))</f>
        <v/>
      </c>
      <c r="R735" s="113">
        <v>0</v>
      </c>
      <c r="S735" s="28">
        <f>IF(ISERROR(P735/C735*R735),0,(P735/C735*R735))</f>
        <v>0</v>
      </c>
      <c r="T735" s="60">
        <f>IF(ISERROR(P735/B735*AF735),0,(P735/B735*AF735))</f>
        <v>0</v>
      </c>
      <c r="V735" s="113">
        <v>0</v>
      </c>
      <c r="W735" s="113">
        <v>0</v>
      </c>
      <c r="X735" s="113">
        <v>0</v>
      </c>
      <c r="Y735" s="113">
        <v>0</v>
      </c>
      <c r="AA735" s="113">
        <v>0</v>
      </c>
      <c r="AB735" s="113">
        <v>0</v>
      </c>
      <c r="AC735" s="113">
        <v>0</v>
      </c>
      <c r="AD735" s="113">
        <v>0</v>
      </c>
      <c r="AF735" s="113">
        <v>0</v>
      </c>
      <c r="AG735" s="28">
        <f>G735-O735</f>
        <v>0</v>
      </c>
      <c r="AH735" s="58">
        <f>IF(ISERROR(AG735/B735*AF735),0,(AG735/B735*AF735))</f>
        <v>0</v>
      </c>
      <c r="AI735" s="28">
        <f>SUM(H735:M735)</f>
        <v>0</v>
      </c>
      <c r="AJ735" s="28">
        <f>IF(ISERROR(AI735/B735*AF735),0,(AI735/B735*AF735))</f>
        <v>0</v>
      </c>
      <c r="AK735" s="58">
        <f>IF(ISERROR(O735/B735*AF735),0,(O735/B735*AF735))</f>
        <v>0</v>
      </c>
      <c r="AL735" s="28">
        <f>IF(ISERROR(H735/B735*AF735),0,(H735/B735*AF735))</f>
        <v>0</v>
      </c>
      <c r="AN735" s="51">
        <f>A735</f>
        <v>0</v>
      </c>
      <c r="AO735" s="57">
        <f>IF(ISERROR(IF(B735=C735,D735/C735,(INT(D735/B735)+(((D735-B735*INT(D735/B735)))/C735)/100))),0,(IF(B735=C735,D735/C735,(INT(D735/B735)+(((D735-B735*INT(D735/B735)))/C735)/100))))</f>
        <v>0</v>
      </c>
      <c r="AP735" s="57">
        <f>IF(ISERROR(IF(B735=C735,E735/C735,(INT(E735/B735)+(((E735-B735*INT(E735/B735)))/C735)/100))),0,(IF(B735=C735,E735/C735,(INT(E735/B735)+(((E735-B735*INT(E735/B735)))/C735)/100))))</f>
        <v>0</v>
      </c>
      <c r="AQ735" s="57">
        <f>IF(ISERROR(IF(B735=C735,F735/C735,IF((INT(F735/B735)+(((F735-B735*INT(F735/B735)))/C735)/100)&lt;0,(INT(F735/B735)+(((F735-B735*INT(F735/B735)))/C735)/100)+(1-(B735/C735/100)),(INT(F735/B735)+(((F735-B735*INT(F735/B735)))/C735)/100)))),0,IF(B735=C735,F735/C735,IF((INT(F735/B735)+(((F735-B735*INT(F735/B735)))/C735)/100)&lt;0,(INT(F735/B735)+(((F735-B735*INT(F735/B735)))/C735)/100)+(1-(B735/C735/100)),(INT(F735/B735)+(((F735-B735*INT(F735/B735)))/C735)/100))))</f>
        <v>0</v>
      </c>
      <c r="AR735" s="57">
        <f>IF(ISERROR(IF(B735=C735,G735/C735,(INT(G735/B735)+(((G735-B735*INT(G735/B735)))/C735)/100))),0,(IF(B735=C735,G735/C735,(INT(G735/B735)+(((G735-B735*INT(G735/B735)))/C735)/100))))</f>
        <v>0</v>
      </c>
      <c r="AS735" s="57">
        <f>IF(ISERROR(IF(B735=C735,H735/C735,(INT(H735/B735)+(((H735-B735*INT(H735/B735)))/C735)/100))),0,(IF(B735=C735,H735/C735,(INT(H735/B735)+(((H735-B735*INT(H735/B735)))/C735)/100))))</f>
        <v>0</v>
      </c>
      <c r="AT735" s="57">
        <f>IF(ISERROR(IF(B735=C735,I735/C735,(INT(I735/B735)+(((I735-B735*INT(I735/B735)))/C735)/100))),0,(IF(B735=C735,I735/C735,(INT(I735/B735)+(((I735-B735*INT(I735/B735)))/C735)/100))))</f>
        <v>0</v>
      </c>
      <c r="AU735" s="57">
        <f>IF(ISERROR(IF(B735=C735,J735/C735,(INT(J735/B735)+(((J735-B735*INT(J735/B735)))/C735)/100))),0,(IF(B735=C735,J735/C735,(INT(J735/B735)+(((J735-B735*INT(J735/B735)))/C735)/100))))</f>
        <v>0</v>
      </c>
      <c r="AV735" s="57">
        <f>IF(ISERROR(IF(B735=C735,K735/C735,IF((INT(K735/B735)+(((K735-B735*INT(K735/B735)))/C735)/100)&lt;0,(INT(K735/B735)+(((K735-B735*INT(K735/B735)))/C735)/100)+(1-(B735/C735/100)),(INT(K735/B735)+(((K735-B735*INT(K735/B735)))/C735)/100)))),0,IF(B735=C735,K735/C735,IF((INT(K735/B735)+(((K735-B735*INT(K735/B735)))/C735)/100)&lt;0,(INT(K735/B735)+(((K735-B735*INT(K735/B735)))/C735)/100)+(1-(B735/C735/100)),(INT(K735/B735)+(((K735-B735*INT(K735/B735)))/C735)/100))))</f>
        <v>0</v>
      </c>
      <c r="AW735" s="57">
        <f>IF(ISERROR(IF(B735=C735,L735/C735,(INT(L735/B735)+(((L735-B735*INT(L735/B735)))/C735)/100))),0,(IF(B735=C735,L735/C735,(INT(L735/B735)+(((L735-B735*INT(L735/B735)))/C735)/100))))</f>
        <v>0</v>
      </c>
      <c r="AX735" s="57">
        <f>IF(ISERROR(IF(B735=C735,M735/C735,(INT(M735/B735)+(((M735-B735*INT(M735/B735)))/C735)/100))),0,(IF(B735=C735,M735/C735,(INT(M735/B735)+(((M735-B735*INT(M735/B735)))/C735)/100))))</f>
        <v>0</v>
      </c>
      <c r="AY735" s="57">
        <f>IF(ISERROR(IF(B735=C735,N735/C735,IF((INT(N735/B735)+(((N735-B735*INT(N735/B735)))/C735)/100)&lt;0,(INT(N735/B735)+(((N735-B735*INT(N735/B735)))/C735)/100)+(1-(B735/C735/100)),(INT(N735/B735)+(((N735-B735*INT(N735/B735)))/C735)/100)))),0,IF(B735=C735,N735/C735,IF((INT(N735/B735)+(((N735-B735*INT(N735/B735)))/C735)/100)&lt;0,(INT(N735/B735)+(((N735-B735*INT(N735/B735)))/C735)/100)+(1-(B735/C735/100)),(INT(N735/B735)+(((N735-B735*INT(N735/B735)))/C735)/100))))</f>
        <v>0</v>
      </c>
      <c r="AZ735" s="57">
        <f>IF(ISERROR(IF(B735=C735,O735/C735,(INT(O735/B735)+(((O735-B735*INT(O735/B735)))/C735)/100))),0,(IF(B735=C735,O735/C735,(INT(O735/B735)+(((O735-B735*INT(O735/B735)))/C735)/100))))</f>
        <v>0</v>
      </c>
      <c r="BA735" s="57">
        <f>IF(ISERROR(IF(B735=C735,P735/C735,IF((INT(P735/B735)+(((P735-B735*INT(P735/B735)))/C735)/100)&lt;0,(INT(P735/B735)+(((P735-B735*INT(P735/B735)))/C735)/100)+(1-(B735/C735/100)),(INT(P735/B735)+(((P735-B735*INT(P735/B735)))/C735)/100)))),0,IF(B735=C735,P735/C735,IF((INT(P735/B735)+(((P735-B735*INT(P735/B735)))/C735)/100)&lt;0,(INT(P735/B735)+(((P735-B735*INT(P735/B735)))/C735)/100)+(1-(B735/C735/100)),(INT(P735/B735)+(((P735-B735*INT(P735/B735)))/C735)/100))))</f>
        <v>0</v>
      </c>
      <c r="BB735" s="28">
        <f>R735</f>
        <v>0</v>
      </c>
      <c r="BC735" s="28">
        <f>S735</f>
        <v>0</v>
      </c>
      <c r="BD735" s="28">
        <f>AF735</f>
        <v>0</v>
      </c>
      <c r="BE735" s="28">
        <f>T735</f>
        <v>0</v>
      </c>
      <c r="BG735" s="57">
        <f>IF(ISERROR(IF(B735=C735,V735/C735,(INT(V735/B735)+(((V735-B735*INT(V735/B735)))/C735)/100))),0,(IF(B735=C735,V735/C735,(INT(V735/B735)+(((V735-B735*INT(V735/B735)))/C735)/100))))</f>
        <v>0</v>
      </c>
      <c r="BH735" s="57">
        <f>IF(ISERROR(IF(B735=C735,W735/C735,(INT(W735/B735)+(((W735-B735*INT(W735/B735)))/C735)/100))),0,(IF(B735=C735,W735/C735,(INT(W735/B735)+(((W735-B735*INT(W735/B735)))/C735)/100))))</f>
        <v>0</v>
      </c>
      <c r="BI735" s="57">
        <f>IF(ISERROR(IF(B735=C735,X735/C735,(INT(X735/B735)+(((X735-B735*INT(X735/B735)))/C735)/100))),0,(IF(B735=C735,X735/C735,(INT(X735/B735)+(((X735-B735*INT(X735/B735)))/C735)/100))))</f>
        <v>0</v>
      </c>
      <c r="BJ735" s="57">
        <f>IF(ISERROR(IF(B735=C735,Y735/C735,(INT(Y735/B735)+(((Y735-B735*INT(Y735/B735)))/C735)/100))),0,(IF(B735=C735,Y735/C735,(INT(Y735/B735)+(((Y735-B735*INT(Y735/B735)))/C735)/100))))</f>
        <v>0</v>
      </c>
      <c r="BL735" s="57">
        <f>IF(ISERROR(IF(B735=C735,AA735/C735,(INT(AA735/B735)+(((AA735-B735*INT(AA735/B735)))/C735)/100))),0,(IF(B735=C735,AA735/C735,(INT(AA735/B735)+(((AA735-B735*INT(AA735/B735)))/C735)/100))))</f>
        <v>0</v>
      </c>
      <c r="BM735" s="57">
        <f>IF(ISERROR(IF(B735=C735,AB735/C735,(INT(AB735/B735)+(((AB735-B735*INT(AB735/B735)))/C735)/100))),0,(IF(B735=C735,AB735/C735,(INT(AB735/B735)+(((AB735-B735*INT(AB735/B735)))/C735)/100))))</f>
        <v>0</v>
      </c>
      <c r="BN735" s="57">
        <f>IF(ISERROR(IF(B735=C735,AC735/C735,(INT(AC735/B735)+(((AC735-B735*INT(AC735/B735)))/C735)/100))),0,(IF(B735=C735,AC735/C735,(INT(AC735/B735)+(((AC735-B735*INT(AC735/B735)))/C735)/100))))</f>
        <v>0</v>
      </c>
      <c r="BO735" s="57">
        <f>IF(ISERROR(IF(B735=C735,AD735/C735,(INT(AD735/B735)+(((AD735-B735*INT(AD735/B735)))/C735)/100))),0,(IF(B735=C735,AD735/C735,(INT(AD735/B735)+(((AD735-B735*INT(AD735/B735)))/C735)/100))))</f>
        <v>0</v>
      </c>
      <c r="BQ735" s="155"/>
    </row>
    <row r="736" spans="1:69" hidden="1" x14ac:dyDescent="0.35">
      <c r="A736" s="94"/>
      <c r="B736" s="113">
        <v>0</v>
      </c>
      <c r="C736" s="113">
        <v>250</v>
      </c>
      <c r="D736" s="28">
        <f>SUM(AA736:AD736)</f>
        <v>0</v>
      </c>
      <c r="E736" s="113">
        <v>0</v>
      </c>
      <c r="F736" s="113">
        <v>0</v>
      </c>
      <c r="G736" s="28">
        <f>SUM(D736:F736)</f>
        <v>0</v>
      </c>
      <c r="H736" s="125">
        <v>0</v>
      </c>
      <c r="I736" s="113">
        <v>0</v>
      </c>
      <c r="J736" s="125">
        <v>0</v>
      </c>
      <c r="K736" s="113">
        <v>0</v>
      </c>
      <c r="L736" s="113">
        <v>0</v>
      </c>
      <c r="M736" s="113">
        <v>0</v>
      </c>
      <c r="N736" s="28">
        <f>G736-SUM(H736:M736)</f>
        <v>0</v>
      </c>
      <c r="O736" s="28">
        <f>SUM(V736:Y736)</f>
        <v>0</v>
      </c>
      <c r="P736" s="28">
        <f>O736-N736</f>
        <v>0</v>
      </c>
      <c r="Q736" s="61" t="str">
        <f>IF(ISERROR(P736/SUM(H736:L736)),"",P736/SUM(H736:L736))</f>
        <v/>
      </c>
      <c r="R736" s="113">
        <v>0</v>
      </c>
      <c r="S736" s="28">
        <f>IF(ISERROR(P736/C736*R736),0,(P736/C736*R736))</f>
        <v>0</v>
      </c>
      <c r="T736" s="60">
        <f>IF(ISERROR(P736/B736*AF736),0,(P736/B736*AF736))</f>
        <v>0</v>
      </c>
      <c r="V736" s="113">
        <v>0</v>
      </c>
      <c r="W736" s="113">
        <v>0</v>
      </c>
      <c r="X736" s="113">
        <v>0</v>
      </c>
      <c r="Y736" s="113">
        <v>0</v>
      </c>
      <c r="AA736" s="113">
        <v>0</v>
      </c>
      <c r="AB736" s="113">
        <v>0</v>
      </c>
      <c r="AC736" s="113">
        <v>0</v>
      </c>
      <c r="AD736" s="113">
        <v>0</v>
      </c>
      <c r="AF736" s="113">
        <v>0</v>
      </c>
      <c r="AG736" s="28">
        <f>G736-O736</f>
        <v>0</v>
      </c>
      <c r="AH736" s="58">
        <f>IF(ISERROR(AG736/B736*AF736),0,(AG736/B736*AF736))</f>
        <v>0</v>
      </c>
      <c r="AI736" s="28">
        <f>SUM(H736:M736)</f>
        <v>0</v>
      </c>
      <c r="AJ736" s="28">
        <f>IF(ISERROR(AI736/B736*AF736),0,(AI736/B736*AF736))</f>
        <v>0</v>
      </c>
      <c r="AK736" s="58">
        <f>IF(ISERROR(O736/B736*AF736),0,(O736/B736*AF736))</f>
        <v>0</v>
      </c>
      <c r="AL736" s="28">
        <f>IF(ISERROR(H736/B736*AF736),0,(H736/B736*AF736))</f>
        <v>0</v>
      </c>
      <c r="AN736" s="51">
        <f>A736</f>
        <v>0</v>
      </c>
      <c r="AO736" s="57">
        <f>IF(ISERROR(IF(B736=C736,D736/C736,(INT(D736/B736)+(((D736-B736*INT(D736/B736)))/C736)/100))),0,(IF(B736=C736,D736/C736,(INT(D736/B736)+(((D736-B736*INT(D736/B736)))/C736)/100))))</f>
        <v>0</v>
      </c>
      <c r="AP736" s="57">
        <f>IF(ISERROR(IF(B736=C736,E736/C736,(INT(E736/B736)+(((E736-B736*INT(E736/B736)))/C736)/100))),0,(IF(B736=C736,E736/C736,(INT(E736/B736)+(((E736-B736*INT(E736/B736)))/C736)/100))))</f>
        <v>0</v>
      </c>
      <c r="AQ736" s="57">
        <f>IF(ISERROR(IF(B736=C736,F736/C736,IF((INT(F736/B736)+(((F736-B736*INT(F736/B736)))/C736)/100)&lt;0,(INT(F736/B736)+(((F736-B736*INT(F736/B736)))/C736)/100)+(1-(B736/C736/100)),(INT(F736/B736)+(((F736-B736*INT(F736/B736)))/C736)/100)))),0,IF(B736=C736,F736/C736,IF((INT(F736/B736)+(((F736-B736*INT(F736/B736)))/C736)/100)&lt;0,(INT(F736/B736)+(((F736-B736*INT(F736/B736)))/C736)/100)+(1-(B736/C736/100)),(INT(F736/B736)+(((F736-B736*INT(F736/B736)))/C736)/100))))</f>
        <v>0</v>
      </c>
      <c r="AR736" s="57">
        <f>IF(ISERROR(IF(B736=C736,G736/C736,(INT(G736/B736)+(((G736-B736*INT(G736/B736)))/C736)/100))),0,(IF(B736=C736,G736/C736,(INT(G736/B736)+(((G736-B736*INT(G736/B736)))/C736)/100))))</f>
        <v>0</v>
      </c>
      <c r="AS736" s="57">
        <f>IF(ISERROR(IF(B736=C736,H736/C736,(INT(H736/B736)+(((H736-B736*INT(H736/B736)))/C736)/100))),0,(IF(B736=C736,H736/C736,(INT(H736/B736)+(((H736-B736*INT(H736/B736)))/C736)/100))))</f>
        <v>0</v>
      </c>
      <c r="AT736" s="57">
        <f>IF(ISERROR(IF(B736=C736,I736/C736,(INT(I736/B736)+(((I736-B736*INT(I736/B736)))/C736)/100))),0,(IF(B736=C736,I736/C736,(INT(I736/B736)+(((I736-B736*INT(I736/B736)))/C736)/100))))</f>
        <v>0</v>
      </c>
      <c r="AU736" s="57">
        <f>IF(ISERROR(IF(B736=C736,J736/C736,(INT(J736/B736)+(((J736-B736*INT(J736/B736)))/C736)/100))),0,(IF(B736=C736,J736/C736,(INT(J736/B736)+(((J736-B736*INT(J736/B736)))/C736)/100))))</f>
        <v>0</v>
      </c>
      <c r="AV736" s="57">
        <f>IF(ISERROR(IF(B736=C736,K736/C736,IF((INT(K736/B736)+(((K736-B736*INT(K736/B736)))/C736)/100)&lt;0,(INT(K736/B736)+(((K736-B736*INT(K736/B736)))/C736)/100)+(1-(B736/C736/100)),(INT(K736/B736)+(((K736-B736*INT(K736/B736)))/C736)/100)))),0,IF(B736=C736,K736/C736,IF((INT(K736/B736)+(((K736-B736*INT(K736/B736)))/C736)/100)&lt;0,(INT(K736/B736)+(((K736-B736*INT(K736/B736)))/C736)/100)+(1-(B736/C736/100)),(INT(K736/B736)+(((K736-B736*INT(K736/B736)))/C736)/100))))</f>
        <v>0</v>
      </c>
      <c r="AW736" s="57">
        <f>IF(ISERROR(IF(B736=C736,L736/C736,(INT(L736/B736)+(((L736-B736*INT(L736/B736)))/C736)/100))),0,(IF(B736=C736,L736/C736,(INT(L736/B736)+(((L736-B736*INT(L736/B736)))/C736)/100))))</f>
        <v>0</v>
      </c>
      <c r="AX736" s="57">
        <f>IF(ISERROR(IF(B736=C736,M736/C736,(INT(M736/B736)+(((M736-B736*INT(M736/B736)))/C736)/100))),0,(IF(B736=C736,M736/C736,(INT(M736/B736)+(((M736-B736*INT(M736/B736)))/C736)/100))))</f>
        <v>0</v>
      </c>
      <c r="AY736" s="57">
        <f>IF(ISERROR(IF(B736=C736,N736/C736,IF((INT(N736/B736)+(((N736-B736*INT(N736/B736)))/C736)/100)&lt;0,(INT(N736/B736)+(((N736-B736*INT(N736/B736)))/C736)/100)+(1-(B736/C736/100)),(INT(N736/B736)+(((N736-B736*INT(N736/B736)))/C736)/100)))),0,IF(B736=C736,N736/C736,IF((INT(N736/B736)+(((N736-B736*INT(N736/B736)))/C736)/100)&lt;0,(INT(N736/B736)+(((N736-B736*INT(N736/B736)))/C736)/100)+(1-(B736/C736/100)),(INT(N736/B736)+(((N736-B736*INT(N736/B736)))/C736)/100))))</f>
        <v>0</v>
      </c>
      <c r="AZ736" s="57">
        <f>IF(ISERROR(IF(B736=C736,O736/C736,(INT(O736/B736)+(((O736-B736*INT(O736/B736)))/C736)/100))),0,(IF(B736=C736,O736/C736,(INT(O736/B736)+(((O736-B736*INT(O736/B736)))/C736)/100))))</f>
        <v>0</v>
      </c>
      <c r="BA736" s="57">
        <f>IF(ISERROR(IF(B736=C736,P736/C736,IF((INT(P736/B736)+(((P736-B736*INT(P736/B736)))/C736)/100)&lt;0,(INT(P736/B736)+(((P736-B736*INT(P736/B736)))/C736)/100)+(1-(B736/C736/100)),(INT(P736/B736)+(((P736-B736*INT(P736/B736)))/C736)/100)))),0,IF(B736=C736,P736/C736,IF((INT(P736/B736)+(((P736-B736*INT(P736/B736)))/C736)/100)&lt;0,(INT(P736/B736)+(((P736-B736*INT(P736/B736)))/C736)/100)+(1-(B736/C736/100)),(INT(P736/B736)+(((P736-B736*INT(P736/B736)))/C736)/100))))</f>
        <v>0</v>
      </c>
      <c r="BB736" s="28">
        <f>R736</f>
        <v>0</v>
      </c>
      <c r="BC736" s="28">
        <f>S736</f>
        <v>0</v>
      </c>
      <c r="BD736" s="28">
        <f>AF736</f>
        <v>0</v>
      </c>
      <c r="BE736" s="28">
        <f>T736</f>
        <v>0</v>
      </c>
      <c r="BG736" s="57">
        <f>IF(ISERROR(IF(B736=C736,V736/C736,(INT(V736/B736)+(((V736-B736*INT(V736/B736)))/C736)/100))),0,(IF(B736=C736,V736/C736,(INT(V736/B736)+(((V736-B736*INT(V736/B736)))/C736)/100))))</f>
        <v>0</v>
      </c>
      <c r="BH736" s="57">
        <f>IF(ISERROR(IF(B736=C736,W736/C736,(INT(W736/B736)+(((W736-B736*INT(W736/B736)))/C736)/100))),0,(IF(B736=C736,W736/C736,(INT(W736/B736)+(((W736-B736*INT(W736/B736)))/C736)/100))))</f>
        <v>0</v>
      </c>
      <c r="BI736" s="57">
        <f>IF(ISERROR(IF(B736=C736,X736/C736,(INT(X736/B736)+(((X736-B736*INT(X736/B736)))/C736)/100))),0,(IF(B736=C736,X736/C736,(INT(X736/B736)+(((X736-B736*INT(X736/B736)))/C736)/100))))</f>
        <v>0</v>
      </c>
      <c r="BJ736" s="57">
        <f>IF(ISERROR(IF(B736=C736,Y736/C736,(INT(Y736/B736)+(((Y736-B736*INT(Y736/B736)))/C736)/100))),0,(IF(B736=C736,Y736/C736,(INT(Y736/B736)+(((Y736-B736*INT(Y736/B736)))/C736)/100))))</f>
        <v>0</v>
      </c>
      <c r="BL736" s="57">
        <f>IF(ISERROR(IF(B736=C736,AA736/C736,(INT(AA736/B736)+(((AA736-B736*INT(AA736/B736)))/C736)/100))),0,(IF(B736=C736,AA736/C736,(INT(AA736/B736)+(((AA736-B736*INT(AA736/B736)))/C736)/100))))</f>
        <v>0</v>
      </c>
      <c r="BM736" s="57">
        <f>IF(ISERROR(IF(B736=C736,AB736/C736,(INT(AB736/B736)+(((AB736-B736*INT(AB736/B736)))/C736)/100))),0,(IF(B736=C736,AB736/C736,(INT(AB736/B736)+(((AB736-B736*INT(AB736/B736)))/C736)/100))))</f>
        <v>0</v>
      </c>
      <c r="BN736" s="57">
        <f>IF(ISERROR(IF(B736=C736,AC736/C736,(INT(AC736/B736)+(((AC736-B736*INT(AC736/B736)))/C736)/100))),0,(IF(B736=C736,AC736/C736,(INT(AC736/B736)+(((AC736-B736*INT(AC736/B736)))/C736)/100))))</f>
        <v>0</v>
      </c>
      <c r="BO736" s="57">
        <f>IF(ISERROR(IF(B736=C736,AD736/C736,(INT(AD736/B736)+(((AD736-B736*INT(AD736/B736)))/C736)/100))),0,(IF(B736=C736,AD736/C736,(INT(AD736/B736)+(((AD736-B736*INT(AD736/B736)))/C736)/100))))</f>
        <v>0</v>
      </c>
      <c r="BQ736" s="155"/>
    </row>
    <row r="737" spans="1:69" hidden="1" x14ac:dyDescent="0.35">
      <c r="A737" s="94"/>
      <c r="B737" s="113">
        <v>0</v>
      </c>
      <c r="C737" s="113">
        <v>250</v>
      </c>
      <c r="D737" s="28">
        <f>SUM(AA737:AD737)</f>
        <v>0</v>
      </c>
      <c r="E737" s="113">
        <v>0</v>
      </c>
      <c r="F737" s="113">
        <v>0</v>
      </c>
      <c r="G737" s="28">
        <f>SUM(D737:F737)</f>
        <v>0</v>
      </c>
      <c r="H737" s="125">
        <v>0</v>
      </c>
      <c r="I737" s="113">
        <v>0</v>
      </c>
      <c r="J737" s="125">
        <v>0</v>
      </c>
      <c r="K737" s="113">
        <v>0</v>
      </c>
      <c r="L737" s="113">
        <v>0</v>
      </c>
      <c r="M737" s="113">
        <v>0</v>
      </c>
      <c r="N737" s="28">
        <f>G737-SUM(H737:M737)</f>
        <v>0</v>
      </c>
      <c r="O737" s="28">
        <f>SUM(V737:Y737)</f>
        <v>0</v>
      </c>
      <c r="P737" s="28">
        <f>O737-N737</f>
        <v>0</v>
      </c>
      <c r="Q737" s="61" t="str">
        <f>IF(ISERROR(P737/SUM(H737:L737)),"",P737/SUM(H737:L737))</f>
        <v/>
      </c>
      <c r="R737" s="113">
        <v>0</v>
      </c>
      <c r="S737" s="28">
        <f>IF(ISERROR(P737/C737*R737),0,(P737/C737*R737))</f>
        <v>0</v>
      </c>
      <c r="T737" s="60">
        <f>IF(ISERROR(P737/B737*AF737),0,(P737/B737*AF737))</f>
        <v>0</v>
      </c>
      <c r="V737" s="113">
        <v>0</v>
      </c>
      <c r="W737" s="113">
        <v>0</v>
      </c>
      <c r="X737" s="113">
        <v>0</v>
      </c>
      <c r="Y737" s="113">
        <v>0</v>
      </c>
      <c r="AA737" s="113">
        <v>0</v>
      </c>
      <c r="AB737" s="113">
        <v>0</v>
      </c>
      <c r="AC737" s="113">
        <v>0</v>
      </c>
      <c r="AD737" s="113">
        <v>0</v>
      </c>
      <c r="AF737" s="113">
        <v>0</v>
      </c>
      <c r="AG737" s="28">
        <f>G737-O737</f>
        <v>0</v>
      </c>
      <c r="AH737" s="58">
        <f>IF(ISERROR(AG737/B737*AF737),0,(AG737/B737*AF737))</f>
        <v>0</v>
      </c>
      <c r="AI737" s="28">
        <f>SUM(H737:M737)</f>
        <v>0</v>
      </c>
      <c r="AJ737" s="28">
        <f>IF(ISERROR(AI737/B737*AF737),0,(AI737/B737*AF737))</f>
        <v>0</v>
      </c>
      <c r="AK737" s="58">
        <f>IF(ISERROR(O737/B737*AF737),0,(O737/B737*AF737))</f>
        <v>0</v>
      </c>
      <c r="AL737" s="28">
        <f>IF(ISERROR(H737/B737*AF737),0,(H737/B737*AF737))</f>
        <v>0</v>
      </c>
      <c r="AN737" s="51">
        <f>A737</f>
        <v>0</v>
      </c>
      <c r="AO737" s="57">
        <f>IF(ISERROR(IF(B737=C737,D737/C737,(INT(D737/B737)+(((D737-B737*INT(D737/B737)))/C737)/100))),0,(IF(B737=C737,D737/C737,(INT(D737/B737)+(((D737-B737*INT(D737/B737)))/C737)/100))))</f>
        <v>0</v>
      </c>
      <c r="AP737" s="57">
        <f>IF(ISERROR(IF(B737=C737,E737/C737,(INT(E737/B737)+(((E737-B737*INT(E737/B737)))/C737)/100))),0,(IF(B737=C737,E737/C737,(INT(E737/B737)+(((E737-B737*INT(E737/B737)))/C737)/100))))</f>
        <v>0</v>
      </c>
      <c r="AQ737" s="57">
        <f>IF(ISERROR(IF(B737=C737,F737/C737,IF((INT(F737/B737)+(((F737-B737*INT(F737/B737)))/C737)/100)&lt;0,(INT(F737/B737)+(((F737-B737*INT(F737/B737)))/C737)/100)+(1-(B737/C737/100)),(INT(F737/B737)+(((F737-B737*INT(F737/B737)))/C737)/100)))),0,IF(B737=C737,F737/C737,IF((INT(F737/B737)+(((F737-B737*INT(F737/B737)))/C737)/100)&lt;0,(INT(F737/B737)+(((F737-B737*INT(F737/B737)))/C737)/100)+(1-(B737/C737/100)),(INT(F737/B737)+(((F737-B737*INT(F737/B737)))/C737)/100))))</f>
        <v>0</v>
      </c>
      <c r="AR737" s="57">
        <f>IF(ISERROR(IF(B737=C737,G737/C737,(INT(G737/B737)+(((G737-B737*INT(G737/B737)))/C737)/100))),0,(IF(B737=C737,G737/C737,(INT(G737/B737)+(((G737-B737*INT(G737/B737)))/C737)/100))))</f>
        <v>0</v>
      </c>
      <c r="AS737" s="57">
        <f>IF(ISERROR(IF(B737=C737,H737/C737,(INT(H737/B737)+(((H737-B737*INT(H737/B737)))/C737)/100))),0,(IF(B737=C737,H737/C737,(INT(H737/B737)+(((H737-B737*INT(H737/B737)))/C737)/100))))</f>
        <v>0</v>
      </c>
      <c r="AT737" s="57">
        <f>IF(ISERROR(IF(B737=C737,I737/C737,(INT(I737/B737)+(((I737-B737*INT(I737/B737)))/C737)/100))),0,(IF(B737=C737,I737/C737,(INT(I737/B737)+(((I737-B737*INT(I737/B737)))/C737)/100))))</f>
        <v>0</v>
      </c>
      <c r="AU737" s="57">
        <f>IF(ISERROR(IF(B737=C737,J737/C737,(INT(J737/B737)+(((J737-B737*INT(J737/B737)))/C737)/100))),0,(IF(B737=C737,J737/C737,(INT(J737/B737)+(((J737-B737*INT(J737/B737)))/C737)/100))))</f>
        <v>0</v>
      </c>
      <c r="AV737" s="57">
        <f>IF(ISERROR(IF(B737=C737,K737/C737,IF((INT(K737/B737)+(((K737-B737*INT(K737/B737)))/C737)/100)&lt;0,(INT(K737/B737)+(((K737-B737*INT(K737/B737)))/C737)/100)+(1-(B737/C737/100)),(INT(K737/B737)+(((K737-B737*INT(K737/B737)))/C737)/100)))),0,IF(B737=C737,K737/C737,IF((INT(K737/B737)+(((K737-B737*INT(K737/B737)))/C737)/100)&lt;0,(INT(K737/B737)+(((K737-B737*INT(K737/B737)))/C737)/100)+(1-(B737/C737/100)),(INT(K737/B737)+(((K737-B737*INT(K737/B737)))/C737)/100))))</f>
        <v>0</v>
      </c>
      <c r="AW737" s="57">
        <f>IF(ISERROR(IF(B737=C737,L737/C737,(INT(L737/B737)+(((L737-B737*INT(L737/B737)))/C737)/100))),0,(IF(B737=C737,L737/C737,(INT(L737/B737)+(((L737-B737*INT(L737/B737)))/C737)/100))))</f>
        <v>0</v>
      </c>
      <c r="AX737" s="57">
        <f>IF(ISERROR(IF(B737=C737,M737/C737,(INT(M737/B737)+(((M737-B737*INT(M737/B737)))/C737)/100))),0,(IF(B737=C737,M737/C737,(INT(M737/B737)+(((M737-B737*INT(M737/B737)))/C737)/100))))</f>
        <v>0</v>
      </c>
      <c r="AY737" s="57">
        <f>IF(ISERROR(IF(B737=C737,N737/C737,IF((INT(N737/B737)+(((N737-B737*INT(N737/B737)))/C737)/100)&lt;0,(INT(N737/B737)+(((N737-B737*INT(N737/B737)))/C737)/100)+(1-(B737/C737/100)),(INT(N737/B737)+(((N737-B737*INT(N737/B737)))/C737)/100)))),0,IF(B737=C737,N737/C737,IF((INT(N737/B737)+(((N737-B737*INT(N737/B737)))/C737)/100)&lt;0,(INT(N737/B737)+(((N737-B737*INT(N737/B737)))/C737)/100)+(1-(B737/C737/100)),(INT(N737/B737)+(((N737-B737*INT(N737/B737)))/C737)/100))))</f>
        <v>0</v>
      </c>
      <c r="AZ737" s="57">
        <f>IF(ISERROR(IF(B737=C737,O737/C737,(INT(O737/B737)+(((O737-B737*INT(O737/B737)))/C737)/100))),0,(IF(B737=C737,O737/C737,(INT(O737/B737)+(((O737-B737*INT(O737/B737)))/C737)/100))))</f>
        <v>0</v>
      </c>
      <c r="BA737" s="57">
        <f>IF(ISERROR(IF(B737=C737,P737/C737,IF((INT(P737/B737)+(((P737-B737*INT(P737/B737)))/C737)/100)&lt;0,(INT(P737/B737)+(((P737-B737*INT(P737/B737)))/C737)/100)+(1-(B737/C737/100)),(INT(P737/B737)+(((P737-B737*INT(P737/B737)))/C737)/100)))),0,IF(B737=C737,P737/C737,IF((INT(P737/B737)+(((P737-B737*INT(P737/B737)))/C737)/100)&lt;0,(INT(P737/B737)+(((P737-B737*INT(P737/B737)))/C737)/100)+(1-(B737/C737/100)),(INT(P737/B737)+(((P737-B737*INT(P737/B737)))/C737)/100))))</f>
        <v>0</v>
      </c>
      <c r="BB737" s="28">
        <f>R737</f>
        <v>0</v>
      </c>
      <c r="BC737" s="28">
        <f>S737</f>
        <v>0</v>
      </c>
      <c r="BD737" s="28">
        <f>AF737</f>
        <v>0</v>
      </c>
      <c r="BE737" s="28">
        <f>T737</f>
        <v>0</v>
      </c>
      <c r="BG737" s="57">
        <f>IF(ISERROR(IF(B737=C737,V737/C737,(INT(V737/B737)+(((V737-B737*INT(V737/B737)))/C737)/100))),0,(IF(B737=C737,V737/C737,(INT(V737/B737)+(((V737-B737*INT(V737/B737)))/C737)/100))))</f>
        <v>0</v>
      </c>
      <c r="BH737" s="57">
        <f>IF(ISERROR(IF(B737=C737,W737/C737,(INT(W737/B737)+(((W737-B737*INT(W737/B737)))/C737)/100))),0,(IF(B737=C737,W737/C737,(INT(W737/B737)+(((W737-B737*INT(W737/B737)))/C737)/100))))</f>
        <v>0</v>
      </c>
      <c r="BI737" s="57">
        <f>IF(ISERROR(IF(B737=C737,X737/C737,(INT(X737/B737)+(((X737-B737*INT(X737/B737)))/C737)/100))),0,(IF(B737=C737,X737/C737,(INT(X737/B737)+(((X737-B737*INT(X737/B737)))/C737)/100))))</f>
        <v>0</v>
      </c>
      <c r="BJ737" s="57">
        <f>IF(ISERROR(IF(B737=C737,Y737/C737,(INT(Y737/B737)+(((Y737-B737*INT(Y737/B737)))/C737)/100))),0,(IF(B737=C737,Y737/C737,(INT(Y737/B737)+(((Y737-B737*INT(Y737/B737)))/C737)/100))))</f>
        <v>0</v>
      </c>
      <c r="BL737" s="57">
        <f>IF(ISERROR(IF(B737=C737,AA737/C737,(INT(AA737/B737)+(((AA737-B737*INT(AA737/B737)))/C737)/100))),0,(IF(B737=C737,AA737/C737,(INT(AA737/B737)+(((AA737-B737*INT(AA737/B737)))/C737)/100))))</f>
        <v>0</v>
      </c>
      <c r="BM737" s="57">
        <f>IF(ISERROR(IF(B737=C737,AB737/C737,(INT(AB737/B737)+(((AB737-B737*INT(AB737/B737)))/C737)/100))),0,(IF(B737=C737,AB737/C737,(INT(AB737/B737)+(((AB737-B737*INT(AB737/B737)))/C737)/100))))</f>
        <v>0</v>
      </c>
      <c r="BN737" s="57">
        <f>IF(ISERROR(IF(B737=C737,AC737/C737,(INT(AC737/B737)+(((AC737-B737*INT(AC737/B737)))/C737)/100))),0,(IF(B737=C737,AC737/C737,(INT(AC737/B737)+(((AC737-B737*INT(AC737/B737)))/C737)/100))))</f>
        <v>0</v>
      </c>
      <c r="BO737" s="57">
        <f>IF(ISERROR(IF(B737=C737,AD737/C737,(INT(AD737/B737)+(((AD737-B737*INT(AD737/B737)))/C737)/100))),0,(IF(B737=C737,AD737/C737,(INT(AD737/B737)+(((AD737-B737*INT(AD737/B737)))/C737)/100))))</f>
        <v>0</v>
      </c>
      <c r="BQ737" s="155"/>
    </row>
    <row r="738" spans="1:69" hidden="1" x14ac:dyDescent="0.35">
      <c r="A738" s="94"/>
      <c r="B738" s="113">
        <v>0</v>
      </c>
      <c r="C738" s="113">
        <v>250</v>
      </c>
      <c r="D738" s="28">
        <f>SUM(AA738:AD738)</f>
        <v>0</v>
      </c>
      <c r="E738" s="113">
        <v>0</v>
      </c>
      <c r="F738" s="113">
        <v>0</v>
      </c>
      <c r="G738" s="28">
        <f>SUM(D738:F738)</f>
        <v>0</v>
      </c>
      <c r="H738" s="125">
        <v>0</v>
      </c>
      <c r="I738" s="113">
        <v>0</v>
      </c>
      <c r="J738" s="125">
        <v>0</v>
      </c>
      <c r="K738" s="113">
        <v>0</v>
      </c>
      <c r="L738" s="113">
        <v>0</v>
      </c>
      <c r="M738" s="113">
        <v>0</v>
      </c>
      <c r="N738" s="28">
        <f>G738-SUM(H738:M738)</f>
        <v>0</v>
      </c>
      <c r="O738" s="28">
        <f>SUM(V738:Y738)</f>
        <v>0</v>
      </c>
      <c r="P738" s="28">
        <f>O738-N738</f>
        <v>0</v>
      </c>
      <c r="Q738" s="61" t="str">
        <f>IF(ISERROR(P738/SUM(H738:L738)),"",P738/SUM(H738:L738))</f>
        <v/>
      </c>
      <c r="R738" s="113">
        <v>0</v>
      </c>
      <c r="S738" s="28">
        <f>IF(ISERROR(P738/C738*R738),0,(P738/C738*R738))</f>
        <v>0</v>
      </c>
      <c r="T738" s="60">
        <f>IF(ISERROR(P738/B738*AF738),0,(P738/B738*AF738))</f>
        <v>0</v>
      </c>
      <c r="V738" s="113">
        <v>0</v>
      </c>
      <c r="W738" s="113">
        <v>0</v>
      </c>
      <c r="X738" s="113">
        <v>0</v>
      </c>
      <c r="Y738" s="113">
        <v>0</v>
      </c>
      <c r="AA738" s="113">
        <v>0</v>
      </c>
      <c r="AB738" s="113">
        <v>0</v>
      </c>
      <c r="AC738" s="113">
        <v>0</v>
      </c>
      <c r="AD738" s="113">
        <v>0</v>
      </c>
      <c r="AF738" s="113">
        <v>0</v>
      </c>
      <c r="AG738" s="28">
        <f>G738-O738</f>
        <v>0</v>
      </c>
      <c r="AH738" s="58">
        <f>IF(ISERROR(AG738/B738*AF738),0,(AG738/B738*AF738))</f>
        <v>0</v>
      </c>
      <c r="AI738" s="28">
        <f>SUM(H738:M738)</f>
        <v>0</v>
      </c>
      <c r="AJ738" s="28">
        <f>IF(ISERROR(AI738/B738*AF738),0,(AI738/B738*AF738))</f>
        <v>0</v>
      </c>
      <c r="AK738" s="58">
        <f>IF(ISERROR(O738/B738*AF738),0,(O738/B738*AF738))</f>
        <v>0</v>
      </c>
      <c r="AL738" s="28">
        <f>IF(ISERROR(H738/B738*AF738),0,(H738/B738*AF738))</f>
        <v>0</v>
      </c>
      <c r="AN738" s="51">
        <f>A738</f>
        <v>0</v>
      </c>
      <c r="AO738" s="57">
        <f>IF(ISERROR(IF(B738=C738,D738/C738,(INT(D738/B738)+(((D738-B738*INT(D738/B738)))/C738)/100))),0,(IF(B738=C738,D738/C738,(INT(D738/B738)+(((D738-B738*INT(D738/B738)))/C738)/100))))</f>
        <v>0</v>
      </c>
      <c r="AP738" s="57">
        <f>IF(ISERROR(IF(B738=C738,E738/C738,(INT(E738/B738)+(((E738-B738*INT(E738/B738)))/C738)/100))),0,(IF(B738=C738,E738/C738,(INT(E738/B738)+(((E738-B738*INT(E738/B738)))/C738)/100))))</f>
        <v>0</v>
      </c>
      <c r="AQ738" s="57">
        <f>IF(ISERROR(IF(B738=C738,F738/C738,IF((INT(F738/B738)+(((F738-B738*INT(F738/B738)))/C738)/100)&lt;0,(INT(F738/B738)+(((F738-B738*INT(F738/B738)))/C738)/100)+(1-(B738/C738/100)),(INT(F738/B738)+(((F738-B738*INT(F738/B738)))/C738)/100)))),0,IF(B738=C738,F738/C738,IF((INT(F738/B738)+(((F738-B738*INT(F738/B738)))/C738)/100)&lt;0,(INT(F738/B738)+(((F738-B738*INT(F738/B738)))/C738)/100)+(1-(B738/C738/100)),(INT(F738/B738)+(((F738-B738*INT(F738/B738)))/C738)/100))))</f>
        <v>0</v>
      </c>
      <c r="AR738" s="57">
        <f>IF(ISERROR(IF(B738=C738,G738/C738,(INT(G738/B738)+(((G738-B738*INT(G738/B738)))/C738)/100))),0,(IF(B738=C738,G738/C738,(INT(G738/B738)+(((G738-B738*INT(G738/B738)))/C738)/100))))</f>
        <v>0</v>
      </c>
      <c r="AS738" s="57">
        <f>IF(ISERROR(IF(B738=C738,H738/C738,(INT(H738/B738)+(((H738-B738*INT(H738/B738)))/C738)/100))),0,(IF(B738=C738,H738/C738,(INT(H738/B738)+(((H738-B738*INT(H738/B738)))/C738)/100))))</f>
        <v>0</v>
      </c>
      <c r="AT738" s="57">
        <f>IF(ISERROR(IF(B738=C738,I738/C738,(INT(I738/B738)+(((I738-B738*INT(I738/B738)))/C738)/100))),0,(IF(B738=C738,I738/C738,(INT(I738/B738)+(((I738-B738*INT(I738/B738)))/C738)/100))))</f>
        <v>0</v>
      </c>
      <c r="AU738" s="57">
        <f>IF(ISERROR(IF(B738=C738,J738/C738,(INT(J738/B738)+(((J738-B738*INT(J738/B738)))/C738)/100))),0,(IF(B738=C738,J738/C738,(INT(J738/B738)+(((J738-B738*INT(J738/B738)))/C738)/100))))</f>
        <v>0</v>
      </c>
      <c r="AV738" s="57">
        <f>IF(ISERROR(IF(B738=C738,K738/C738,IF((INT(K738/B738)+(((K738-B738*INT(K738/B738)))/C738)/100)&lt;0,(INT(K738/B738)+(((K738-B738*INT(K738/B738)))/C738)/100)+(1-(B738/C738/100)),(INT(K738/B738)+(((K738-B738*INT(K738/B738)))/C738)/100)))),0,IF(B738=C738,K738/C738,IF((INT(K738/B738)+(((K738-B738*INT(K738/B738)))/C738)/100)&lt;0,(INT(K738/B738)+(((K738-B738*INT(K738/B738)))/C738)/100)+(1-(B738/C738/100)),(INT(K738/B738)+(((K738-B738*INT(K738/B738)))/C738)/100))))</f>
        <v>0</v>
      </c>
      <c r="AW738" s="57">
        <f>IF(ISERROR(IF(B738=C738,L738/C738,(INT(L738/B738)+(((L738-B738*INT(L738/B738)))/C738)/100))),0,(IF(B738=C738,L738/C738,(INT(L738/B738)+(((L738-B738*INT(L738/B738)))/C738)/100))))</f>
        <v>0</v>
      </c>
      <c r="AX738" s="57">
        <f>IF(ISERROR(IF(B738=C738,M738/C738,(INT(M738/B738)+(((M738-B738*INT(M738/B738)))/C738)/100))),0,(IF(B738=C738,M738/C738,(INT(M738/B738)+(((M738-B738*INT(M738/B738)))/C738)/100))))</f>
        <v>0</v>
      </c>
      <c r="AY738" s="57">
        <f>IF(ISERROR(IF(B738=C738,N738/C738,IF((INT(N738/B738)+(((N738-B738*INT(N738/B738)))/C738)/100)&lt;0,(INT(N738/B738)+(((N738-B738*INT(N738/B738)))/C738)/100)+(1-(B738/C738/100)),(INT(N738/B738)+(((N738-B738*INT(N738/B738)))/C738)/100)))),0,IF(B738=C738,N738/C738,IF((INT(N738/B738)+(((N738-B738*INT(N738/B738)))/C738)/100)&lt;0,(INT(N738/B738)+(((N738-B738*INT(N738/B738)))/C738)/100)+(1-(B738/C738/100)),(INT(N738/B738)+(((N738-B738*INT(N738/B738)))/C738)/100))))</f>
        <v>0</v>
      </c>
      <c r="AZ738" s="57">
        <f>IF(ISERROR(IF(B738=C738,O738/C738,(INT(O738/B738)+(((O738-B738*INT(O738/B738)))/C738)/100))),0,(IF(B738=C738,O738/C738,(INT(O738/B738)+(((O738-B738*INT(O738/B738)))/C738)/100))))</f>
        <v>0</v>
      </c>
      <c r="BA738" s="57">
        <f>IF(ISERROR(IF(B738=C738,P738/C738,IF((INT(P738/B738)+(((P738-B738*INT(P738/B738)))/C738)/100)&lt;0,(INT(P738/B738)+(((P738-B738*INT(P738/B738)))/C738)/100)+(1-(B738/C738/100)),(INT(P738/B738)+(((P738-B738*INT(P738/B738)))/C738)/100)))),0,IF(B738=C738,P738/C738,IF((INT(P738/B738)+(((P738-B738*INT(P738/B738)))/C738)/100)&lt;0,(INT(P738/B738)+(((P738-B738*INT(P738/B738)))/C738)/100)+(1-(B738/C738/100)),(INT(P738/B738)+(((P738-B738*INT(P738/B738)))/C738)/100))))</f>
        <v>0</v>
      </c>
      <c r="BB738" s="28">
        <f>R738</f>
        <v>0</v>
      </c>
      <c r="BC738" s="28">
        <f>S738</f>
        <v>0</v>
      </c>
      <c r="BD738" s="28">
        <f>AF738</f>
        <v>0</v>
      </c>
      <c r="BE738" s="28">
        <f>T738</f>
        <v>0</v>
      </c>
      <c r="BG738" s="57">
        <f>IF(ISERROR(IF(B738=C738,V738/C738,(INT(V738/B738)+(((V738-B738*INT(V738/B738)))/C738)/100))),0,(IF(B738=C738,V738/C738,(INT(V738/B738)+(((V738-B738*INT(V738/B738)))/C738)/100))))</f>
        <v>0</v>
      </c>
      <c r="BH738" s="57">
        <f>IF(ISERROR(IF(B738=C738,W738/C738,(INT(W738/B738)+(((W738-B738*INT(W738/B738)))/C738)/100))),0,(IF(B738=C738,W738/C738,(INT(W738/B738)+(((W738-B738*INT(W738/B738)))/C738)/100))))</f>
        <v>0</v>
      </c>
      <c r="BI738" s="57">
        <f>IF(ISERROR(IF(B738=C738,X738/C738,(INT(X738/B738)+(((X738-B738*INT(X738/B738)))/C738)/100))),0,(IF(B738=C738,X738/C738,(INT(X738/B738)+(((X738-B738*INT(X738/B738)))/C738)/100))))</f>
        <v>0</v>
      </c>
      <c r="BJ738" s="57">
        <f>IF(ISERROR(IF(B738=C738,Y738/C738,(INT(Y738/B738)+(((Y738-B738*INT(Y738/B738)))/C738)/100))),0,(IF(B738=C738,Y738/C738,(INT(Y738/B738)+(((Y738-B738*INT(Y738/B738)))/C738)/100))))</f>
        <v>0</v>
      </c>
      <c r="BL738" s="57">
        <f>IF(ISERROR(IF(B738=C738,AA738/C738,(INT(AA738/B738)+(((AA738-B738*INT(AA738/B738)))/C738)/100))),0,(IF(B738=C738,AA738/C738,(INT(AA738/B738)+(((AA738-B738*INT(AA738/B738)))/C738)/100))))</f>
        <v>0</v>
      </c>
      <c r="BM738" s="57">
        <f>IF(ISERROR(IF(B738=C738,AB738/C738,(INT(AB738/B738)+(((AB738-B738*INT(AB738/B738)))/C738)/100))),0,(IF(B738=C738,AB738/C738,(INT(AB738/B738)+(((AB738-B738*INT(AB738/B738)))/C738)/100))))</f>
        <v>0</v>
      </c>
      <c r="BN738" s="57">
        <f>IF(ISERROR(IF(B738=C738,AC738/C738,(INT(AC738/B738)+(((AC738-B738*INT(AC738/B738)))/C738)/100))),0,(IF(B738=C738,AC738/C738,(INT(AC738/B738)+(((AC738-B738*INT(AC738/B738)))/C738)/100))))</f>
        <v>0</v>
      </c>
      <c r="BO738" s="57">
        <f>IF(ISERROR(IF(B738=C738,AD738/C738,(INT(AD738/B738)+(((AD738-B738*INT(AD738/B738)))/C738)/100))),0,(IF(B738=C738,AD738/C738,(INT(AD738/B738)+(((AD738-B738*INT(AD738/B738)))/C738)/100))))</f>
        <v>0</v>
      </c>
      <c r="BQ738" s="155"/>
    </row>
    <row r="739" spans="1:69" hidden="1" x14ac:dyDescent="0.35">
      <c r="A739" s="94"/>
      <c r="B739" s="113">
        <v>0</v>
      </c>
      <c r="C739" s="113">
        <v>250</v>
      </c>
      <c r="D739" s="28">
        <f>SUM(AA739:AD739)</f>
        <v>0</v>
      </c>
      <c r="E739" s="113">
        <v>0</v>
      </c>
      <c r="F739" s="113">
        <v>0</v>
      </c>
      <c r="G739" s="28">
        <f>SUM(D739:F739)</f>
        <v>0</v>
      </c>
      <c r="H739" s="125">
        <v>0</v>
      </c>
      <c r="I739" s="113">
        <v>0</v>
      </c>
      <c r="J739" s="125">
        <v>0</v>
      </c>
      <c r="K739" s="113">
        <v>0</v>
      </c>
      <c r="L739" s="113">
        <v>0</v>
      </c>
      <c r="M739" s="113">
        <v>0</v>
      </c>
      <c r="N739" s="28">
        <f>G739-SUM(H739:M739)</f>
        <v>0</v>
      </c>
      <c r="O739" s="28">
        <f>SUM(V739:Y739)</f>
        <v>0</v>
      </c>
      <c r="P739" s="28">
        <f>O739-N739</f>
        <v>0</v>
      </c>
      <c r="Q739" s="61" t="str">
        <f>IF(ISERROR(P739/SUM(H739:L739)),"",P739/SUM(H739:L739))</f>
        <v/>
      </c>
      <c r="R739" s="113">
        <v>0</v>
      </c>
      <c r="S739" s="28">
        <f>IF(ISERROR(P739/C739*R739),0,(P739/C739*R739))</f>
        <v>0</v>
      </c>
      <c r="T739" s="60">
        <f>IF(ISERROR(P739/B739*AF739),0,(P739/B739*AF739))</f>
        <v>0</v>
      </c>
      <c r="V739" s="113">
        <v>0</v>
      </c>
      <c r="W739" s="113">
        <v>0</v>
      </c>
      <c r="X739" s="113">
        <v>0</v>
      </c>
      <c r="Y739" s="113">
        <v>0</v>
      </c>
      <c r="AA739" s="113">
        <v>0</v>
      </c>
      <c r="AB739" s="113">
        <v>0</v>
      </c>
      <c r="AC739" s="113">
        <v>0</v>
      </c>
      <c r="AD739" s="113">
        <v>0</v>
      </c>
      <c r="AF739" s="113">
        <v>0</v>
      </c>
      <c r="AG739" s="28">
        <f>G739-O739</f>
        <v>0</v>
      </c>
      <c r="AH739" s="58">
        <f>IF(ISERROR(AG739/B739*AF739),0,(AG739/B739*AF739))</f>
        <v>0</v>
      </c>
      <c r="AI739" s="28">
        <f>SUM(H739:M739)</f>
        <v>0</v>
      </c>
      <c r="AJ739" s="28">
        <f>IF(ISERROR(AI739/B739*AF739),0,(AI739/B739*AF739))</f>
        <v>0</v>
      </c>
      <c r="AK739" s="58">
        <f>IF(ISERROR(O739/B739*AF739),0,(O739/B739*AF739))</f>
        <v>0</v>
      </c>
      <c r="AL739" s="28">
        <f>IF(ISERROR(H739/B739*AF739),0,(H739/B739*AF739))</f>
        <v>0</v>
      </c>
      <c r="AN739" s="51">
        <f>A739</f>
        <v>0</v>
      </c>
      <c r="AO739" s="57">
        <f>IF(ISERROR(IF(B739=C739,D739/C739,(INT(D739/B739)+(((D739-B739*INT(D739/B739)))/C739)/100))),0,(IF(B739=C739,D739/C739,(INT(D739/B739)+(((D739-B739*INT(D739/B739)))/C739)/100))))</f>
        <v>0</v>
      </c>
      <c r="AP739" s="57">
        <f>IF(ISERROR(IF(B739=C739,E739/C739,(INT(E739/B739)+(((E739-B739*INT(E739/B739)))/C739)/100))),0,(IF(B739=C739,E739/C739,(INT(E739/B739)+(((E739-B739*INT(E739/B739)))/C739)/100))))</f>
        <v>0</v>
      </c>
      <c r="AQ739" s="57">
        <f>IF(ISERROR(IF(B739=C739,F739/C739,IF((INT(F739/B739)+(((F739-B739*INT(F739/B739)))/C739)/100)&lt;0,(INT(F739/B739)+(((F739-B739*INT(F739/B739)))/C739)/100)+(1-(B739/C739/100)),(INT(F739/B739)+(((F739-B739*INT(F739/B739)))/C739)/100)))),0,IF(B739=C739,F739/C739,IF((INT(F739/B739)+(((F739-B739*INT(F739/B739)))/C739)/100)&lt;0,(INT(F739/B739)+(((F739-B739*INT(F739/B739)))/C739)/100)+(1-(B739/C739/100)),(INT(F739/B739)+(((F739-B739*INT(F739/B739)))/C739)/100))))</f>
        <v>0</v>
      </c>
      <c r="AR739" s="57">
        <f>IF(ISERROR(IF(B739=C739,G739/C739,(INT(G739/B739)+(((G739-B739*INT(G739/B739)))/C739)/100))),0,(IF(B739=C739,G739/C739,(INT(G739/B739)+(((G739-B739*INT(G739/B739)))/C739)/100))))</f>
        <v>0</v>
      </c>
      <c r="AS739" s="57">
        <f>IF(ISERROR(IF(B739=C739,H739/C739,(INT(H739/B739)+(((H739-B739*INT(H739/B739)))/C739)/100))),0,(IF(B739=C739,H739/C739,(INT(H739/B739)+(((H739-B739*INT(H739/B739)))/C739)/100))))</f>
        <v>0</v>
      </c>
      <c r="AT739" s="57">
        <f>IF(ISERROR(IF(B739=C739,I739/C739,(INT(I739/B739)+(((I739-B739*INT(I739/B739)))/C739)/100))),0,(IF(B739=C739,I739/C739,(INT(I739/B739)+(((I739-B739*INT(I739/B739)))/C739)/100))))</f>
        <v>0</v>
      </c>
      <c r="AU739" s="57">
        <f>IF(ISERROR(IF(B739=C739,J739/C739,(INT(J739/B739)+(((J739-B739*INT(J739/B739)))/C739)/100))),0,(IF(B739=C739,J739/C739,(INT(J739/B739)+(((J739-B739*INT(J739/B739)))/C739)/100))))</f>
        <v>0</v>
      </c>
      <c r="AV739" s="57">
        <f>IF(ISERROR(IF(B739=C739,K739/C739,IF((INT(K739/B739)+(((K739-B739*INT(K739/B739)))/C739)/100)&lt;0,(INT(K739/B739)+(((K739-B739*INT(K739/B739)))/C739)/100)+(1-(B739/C739/100)),(INT(K739/B739)+(((K739-B739*INT(K739/B739)))/C739)/100)))),0,IF(B739=C739,K739/C739,IF((INT(K739/B739)+(((K739-B739*INT(K739/B739)))/C739)/100)&lt;0,(INT(K739/B739)+(((K739-B739*INT(K739/B739)))/C739)/100)+(1-(B739/C739/100)),(INT(K739/B739)+(((K739-B739*INT(K739/B739)))/C739)/100))))</f>
        <v>0</v>
      </c>
      <c r="AW739" s="57">
        <f>IF(ISERROR(IF(B739=C739,L739/C739,(INT(L739/B739)+(((L739-B739*INT(L739/B739)))/C739)/100))),0,(IF(B739=C739,L739/C739,(INT(L739/B739)+(((L739-B739*INT(L739/B739)))/C739)/100))))</f>
        <v>0</v>
      </c>
      <c r="AX739" s="57">
        <f>IF(ISERROR(IF(B739=C739,M739/C739,(INT(M739/B739)+(((M739-B739*INT(M739/B739)))/C739)/100))),0,(IF(B739=C739,M739/C739,(INT(M739/B739)+(((M739-B739*INT(M739/B739)))/C739)/100))))</f>
        <v>0</v>
      </c>
      <c r="AY739" s="57">
        <f>IF(ISERROR(IF(B739=C739,N739/C739,IF((INT(N739/B739)+(((N739-B739*INT(N739/B739)))/C739)/100)&lt;0,(INT(N739/B739)+(((N739-B739*INT(N739/B739)))/C739)/100)+(1-(B739/C739/100)),(INT(N739/B739)+(((N739-B739*INT(N739/B739)))/C739)/100)))),0,IF(B739=C739,N739/C739,IF((INT(N739/B739)+(((N739-B739*INT(N739/B739)))/C739)/100)&lt;0,(INT(N739/B739)+(((N739-B739*INT(N739/B739)))/C739)/100)+(1-(B739/C739/100)),(INT(N739/B739)+(((N739-B739*INT(N739/B739)))/C739)/100))))</f>
        <v>0</v>
      </c>
      <c r="AZ739" s="57">
        <f>IF(ISERROR(IF(B739=C739,O739/C739,(INT(O739/B739)+(((O739-B739*INT(O739/B739)))/C739)/100))),0,(IF(B739=C739,O739/C739,(INT(O739/B739)+(((O739-B739*INT(O739/B739)))/C739)/100))))</f>
        <v>0</v>
      </c>
      <c r="BA739" s="57">
        <f>IF(ISERROR(IF(B739=C739,P739/C739,IF((INT(P739/B739)+(((P739-B739*INT(P739/B739)))/C739)/100)&lt;0,(INT(P739/B739)+(((P739-B739*INT(P739/B739)))/C739)/100)+(1-(B739/C739/100)),(INT(P739/B739)+(((P739-B739*INT(P739/B739)))/C739)/100)))),0,IF(B739=C739,P739/C739,IF((INT(P739/B739)+(((P739-B739*INT(P739/B739)))/C739)/100)&lt;0,(INT(P739/B739)+(((P739-B739*INT(P739/B739)))/C739)/100)+(1-(B739/C739/100)),(INT(P739/B739)+(((P739-B739*INT(P739/B739)))/C739)/100))))</f>
        <v>0</v>
      </c>
      <c r="BB739" s="28">
        <f>R739</f>
        <v>0</v>
      </c>
      <c r="BC739" s="28">
        <f>S739</f>
        <v>0</v>
      </c>
      <c r="BD739" s="28">
        <f>AF739</f>
        <v>0</v>
      </c>
      <c r="BE739" s="28">
        <f>T739</f>
        <v>0</v>
      </c>
      <c r="BG739" s="57">
        <f>IF(ISERROR(IF(B739=C739,V739/C739,(INT(V739/B739)+(((V739-B739*INT(V739/B739)))/C739)/100))),0,(IF(B739=C739,V739/C739,(INT(V739/B739)+(((V739-B739*INT(V739/B739)))/C739)/100))))</f>
        <v>0</v>
      </c>
      <c r="BH739" s="57">
        <f>IF(ISERROR(IF(B739=C739,W739/C739,(INT(W739/B739)+(((W739-B739*INT(W739/B739)))/C739)/100))),0,(IF(B739=C739,W739/C739,(INT(W739/B739)+(((W739-B739*INT(W739/B739)))/C739)/100))))</f>
        <v>0</v>
      </c>
      <c r="BI739" s="57">
        <f>IF(ISERROR(IF(B739=C739,X739/C739,(INT(X739/B739)+(((X739-B739*INT(X739/B739)))/C739)/100))),0,(IF(B739=C739,X739/C739,(INT(X739/B739)+(((X739-B739*INT(X739/B739)))/C739)/100))))</f>
        <v>0</v>
      </c>
      <c r="BJ739" s="57">
        <f>IF(ISERROR(IF(B739=C739,Y739/C739,(INT(Y739/B739)+(((Y739-B739*INT(Y739/B739)))/C739)/100))),0,(IF(B739=C739,Y739/C739,(INT(Y739/B739)+(((Y739-B739*INT(Y739/B739)))/C739)/100))))</f>
        <v>0</v>
      </c>
      <c r="BL739" s="57">
        <f>IF(ISERROR(IF(B739=C739,AA739/C739,(INT(AA739/B739)+(((AA739-B739*INT(AA739/B739)))/C739)/100))),0,(IF(B739=C739,AA739/C739,(INT(AA739/B739)+(((AA739-B739*INT(AA739/B739)))/C739)/100))))</f>
        <v>0</v>
      </c>
      <c r="BM739" s="57">
        <f>IF(ISERROR(IF(B739=C739,AB739/C739,(INT(AB739/B739)+(((AB739-B739*INT(AB739/B739)))/C739)/100))),0,(IF(B739=C739,AB739/C739,(INT(AB739/B739)+(((AB739-B739*INT(AB739/B739)))/C739)/100))))</f>
        <v>0</v>
      </c>
      <c r="BN739" s="57">
        <f>IF(ISERROR(IF(B739=C739,AC739/C739,(INT(AC739/B739)+(((AC739-B739*INT(AC739/B739)))/C739)/100))),0,(IF(B739=C739,AC739/C739,(INT(AC739/B739)+(((AC739-B739*INT(AC739/B739)))/C739)/100))))</f>
        <v>0</v>
      </c>
      <c r="BO739" s="57">
        <f>IF(ISERROR(IF(B739=C739,AD739/C739,(INT(AD739/B739)+(((AD739-B739*INT(AD739/B739)))/C739)/100))),0,(IF(B739=C739,AD739/C739,(INT(AD739/B739)+(((AD739-B739*INT(AD739/B739)))/C739)/100))))</f>
        <v>0</v>
      </c>
      <c r="BQ739" s="155"/>
    </row>
    <row r="740" spans="1:69" hidden="1" x14ac:dyDescent="0.35">
      <c r="A740" s="94"/>
      <c r="B740" s="113">
        <v>0</v>
      </c>
      <c r="C740" s="113">
        <v>250</v>
      </c>
      <c r="D740" s="28">
        <f>SUM(AA740:AD740)</f>
        <v>0</v>
      </c>
      <c r="E740" s="113">
        <v>0</v>
      </c>
      <c r="F740" s="113">
        <v>0</v>
      </c>
      <c r="G740" s="28">
        <f>SUM(D740:F740)</f>
        <v>0</v>
      </c>
      <c r="H740" s="125">
        <v>0</v>
      </c>
      <c r="I740" s="113">
        <v>0</v>
      </c>
      <c r="J740" s="125">
        <v>0</v>
      </c>
      <c r="K740" s="113">
        <v>0</v>
      </c>
      <c r="L740" s="113">
        <v>0</v>
      </c>
      <c r="M740" s="113">
        <v>0</v>
      </c>
      <c r="N740" s="28">
        <f>G740-SUM(H740:M740)</f>
        <v>0</v>
      </c>
      <c r="O740" s="28">
        <f>SUM(V740:Y740)</f>
        <v>0</v>
      </c>
      <c r="P740" s="28">
        <f>O740-N740</f>
        <v>0</v>
      </c>
      <c r="Q740" s="61" t="str">
        <f>IF(ISERROR(P740/SUM(H740:L740)),"",P740/SUM(H740:L740))</f>
        <v/>
      </c>
      <c r="R740" s="113">
        <v>0</v>
      </c>
      <c r="S740" s="28">
        <f>IF(ISERROR(P740/C740*R740),0,(P740/C740*R740))</f>
        <v>0</v>
      </c>
      <c r="T740" s="60">
        <f>IF(ISERROR(P740/B740*AF740),0,(P740/B740*AF740))</f>
        <v>0</v>
      </c>
      <c r="V740" s="113">
        <v>0</v>
      </c>
      <c r="W740" s="113">
        <v>0</v>
      </c>
      <c r="X740" s="113">
        <v>0</v>
      </c>
      <c r="Y740" s="113">
        <v>0</v>
      </c>
      <c r="AA740" s="113">
        <v>0</v>
      </c>
      <c r="AB740" s="113">
        <v>0</v>
      </c>
      <c r="AC740" s="113">
        <v>0</v>
      </c>
      <c r="AD740" s="113">
        <v>0</v>
      </c>
      <c r="AF740" s="113">
        <v>0</v>
      </c>
      <c r="AG740" s="28">
        <f>G740-O740</f>
        <v>0</v>
      </c>
      <c r="AH740" s="58">
        <f>IF(ISERROR(AG740/B740*AF740),0,(AG740/B740*AF740))</f>
        <v>0</v>
      </c>
      <c r="AI740" s="28">
        <f>SUM(H740:M740)</f>
        <v>0</v>
      </c>
      <c r="AJ740" s="28">
        <f>IF(ISERROR(AI740/B740*AF740),0,(AI740/B740*AF740))</f>
        <v>0</v>
      </c>
      <c r="AK740" s="58">
        <f>IF(ISERROR(O740/B740*AF740),0,(O740/B740*AF740))</f>
        <v>0</v>
      </c>
      <c r="AL740" s="28">
        <f>IF(ISERROR(H740/B740*AF740),0,(H740/B740*AF740))</f>
        <v>0</v>
      </c>
      <c r="AN740" s="51">
        <f>A740</f>
        <v>0</v>
      </c>
      <c r="AO740" s="57">
        <f>IF(ISERROR(IF(B740=C740,D740/C740,(INT(D740/B740)+(((D740-B740*INT(D740/B740)))/C740)/100))),0,(IF(B740=C740,D740/C740,(INT(D740/B740)+(((D740-B740*INT(D740/B740)))/C740)/100))))</f>
        <v>0</v>
      </c>
      <c r="AP740" s="57">
        <f>IF(ISERROR(IF(B740=C740,E740/C740,(INT(E740/B740)+(((E740-B740*INT(E740/B740)))/C740)/100))),0,(IF(B740=C740,E740/C740,(INT(E740/B740)+(((E740-B740*INT(E740/B740)))/C740)/100))))</f>
        <v>0</v>
      </c>
      <c r="AQ740" s="57">
        <f>IF(ISERROR(IF(B740=C740,F740/C740,IF((INT(F740/B740)+(((F740-B740*INT(F740/B740)))/C740)/100)&lt;0,(INT(F740/B740)+(((F740-B740*INT(F740/B740)))/C740)/100)+(1-(B740/C740/100)),(INT(F740/B740)+(((F740-B740*INT(F740/B740)))/C740)/100)))),0,IF(B740=C740,F740/C740,IF((INT(F740/B740)+(((F740-B740*INT(F740/B740)))/C740)/100)&lt;0,(INT(F740/B740)+(((F740-B740*INT(F740/B740)))/C740)/100)+(1-(B740/C740/100)),(INT(F740/B740)+(((F740-B740*INT(F740/B740)))/C740)/100))))</f>
        <v>0</v>
      </c>
      <c r="AR740" s="57">
        <f>IF(ISERROR(IF(B740=C740,G740/C740,(INT(G740/B740)+(((G740-B740*INT(G740/B740)))/C740)/100))),0,(IF(B740=C740,G740/C740,(INT(G740/B740)+(((G740-B740*INT(G740/B740)))/C740)/100))))</f>
        <v>0</v>
      </c>
      <c r="AS740" s="57">
        <f>IF(ISERROR(IF(B740=C740,H740/C740,(INT(H740/B740)+(((H740-B740*INT(H740/B740)))/C740)/100))),0,(IF(B740=C740,H740/C740,(INT(H740/B740)+(((H740-B740*INT(H740/B740)))/C740)/100))))</f>
        <v>0</v>
      </c>
      <c r="AT740" s="57">
        <f>IF(ISERROR(IF(B740=C740,I740/C740,(INT(I740/B740)+(((I740-B740*INT(I740/B740)))/C740)/100))),0,(IF(B740=C740,I740/C740,(INT(I740/B740)+(((I740-B740*INT(I740/B740)))/C740)/100))))</f>
        <v>0</v>
      </c>
      <c r="AU740" s="57">
        <f>IF(ISERROR(IF(B740=C740,J740/C740,(INT(J740/B740)+(((J740-B740*INT(J740/B740)))/C740)/100))),0,(IF(B740=C740,J740/C740,(INT(J740/B740)+(((J740-B740*INT(J740/B740)))/C740)/100))))</f>
        <v>0</v>
      </c>
      <c r="AV740" s="57">
        <f>IF(ISERROR(IF(B740=C740,K740/C740,IF((INT(K740/B740)+(((K740-B740*INT(K740/B740)))/C740)/100)&lt;0,(INT(K740/B740)+(((K740-B740*INT(K740/B740)))/C740)/100)+(1-(B740/C740/100)),(INT(K740/B740)+(((K740-B740*INT(K740/B740)))/C740)/100)))),0,IF(B740=C740,K740/C740,IF((INT(K740/B740)+(((K740-B740*INT(K740/B740)))/C740)/100)&lt;0,(INT(K740/B740)+(((K740-B740*INT(K740/B740)))/C740)/100)+(1-(B740/C740/100)),(INT(K740/B740)+(((K740-B740*INT(K740/B740)))/C740)/100))))</f>
        <v>0</v>
      </c>
      <c r="AW740" s="57">
        <f>IF(ISERROR(IF(B740=C740,L740/C740,(INT(L740/B740)+(((L740-B740*INT(L740/B740)))/C740)/100))),0,(IF(B740=C740,L740/C740,(INT(L740/B740)+(((L740-B740*INT(L740/B740)))/C740)/100))))</f>
        <v>0</v>
      </c>
      <c r="AX740" s="57">
        <f>IF(ISERROR(IF(B740=C740,M740/C740,(INT(M740/B740)+(((M740-B740*INT(M740/B740)))/C740)/100))),0,(IF(B740=C740,M740/C740,(INT(M740/B740)+(((M740-B740*INT(M740/B740)))/C740)/100))))</f>
        <v>0</v>
      </c>
      <c r="AY740" s="57">
        <f>IF(ISERROR(IF(B740=C740,N740/C740,IF((INT(N740/B740)+(((N740-B740*INT(N740/B740)))/C740)/100)&lt;0,(INT(N740/B740)+(((N740-B740*INT(N740/B740)))/C740)/100)+(1-(B740/C740/100)),(INT(N740/B740)+(((N740-B740*INT(N740/B740)))/C740)/100)))),0,IF(B740=C740,N740/C740,IF((INT(N740/B740)+(((N740-B740*INT(N740/B740)))/C740)/100)&lt;0,(INT(N740/B740)+(((N740-B740*INT(N740/B740)))/C740)/100)+(1-(B740/C740/100)),(INT(N740/B740)+(((N740-B740*INT(N740/B740)))/C740)/100))))</f>
        <v>0</v>
      </c>
      <c r="AZ740" s="57">
        <f>IF(ISERROR(IF(B740=C740,O740/C740,(INT(O740/B740)+(((O740-B740*INT(O740/B740)))/C740)/100))),0,(IF(B740=C740,O740/C740,(INT(O740/B740)+(((O740-B740*INT(O740/B740)))/C740)/100))))</f>
        <v>0</v>
      </c>
      <c r="BA740" s="57">
        <f>IF(ISERROR(IF(B740=C740,P740/C740,IF((INT(P740/B740)+(((P740-B740*INT(P740/B740)))/C740)/100)&lt;0,(INT(P740/B740)+(((P740-B740*INT(P740/B740)))/C740)/100)+(1-(B740/C740/100)),(INT(P740/B740)+(((P740-B740*INT(P740/B740)))/C740)/100)))),0,IF(B740=C740,P740/C740,IF((INT(P740/B740)+(((P740-B740*INT(P740/B740)))/C740)/100)&lt;0,(INT(P740/B740)+(((P740-B740*INT(P740/B740)))/C740)/100)+(1-(B740/C740/100)),(INT(P740/B740)+(((P740-B740*INT(P740/B740)))/C740)/100))))</f>
        <v>0</v>
      </c>
      <c r="BB740" s="28">
        <f>R740</f>
        <v>0</v>
      </c>
      <c r="BC740" s="28">
        <f>S740</f>
        <v>0</v>
      </c>
      <c r="BD740" s="28">
        <f>AF740</f>
        <v>0</v>
      </c>
      <c r="BE740" s="28">
        <f>T740</f>
        <v>0</v>
      </c>
      <c r="BG740" s="57">
        <f>IF(ISERROR(IF(B740=C740,V740/C740,(INT(V740/B740)+(((V740-B740*INT(V740/B740)))/C740)/100))),0,(IF(B740=C740,V740/C740,(INT(V740/B740)+(((V740-B740*INT(V740/B740)))/C740)/100))))</f>
        <v>0</v>
      </c>
      <c r="BH740" s="57">
        <f>IF(ISERROR(IF(B740=C740,W740/C740,(INT(W740/B740)+(((W740-B740*INT(W740/B740)))/C740)/100))),0,(IF(B740=C740,W740/C740,(INT(W740/B740)+(((W740-B740*INT(W740/B740)))/C740)/100))))</f>
        <v>0</v>
      </c>
      <c r="BI740" s="57">
        <f>IF(ISERROR(IF(B740=C740,X740/C740,(INT(X740/B740)+(((X740-B740*INT(X740/B740)))/C740)/100))),0,(IF(B740=C740,X740/C740,(INT(X740/B740)+(((X740-B740*INT(X740/B740)))/C740)/100))))</f>
        <v>0</v>
      </c>
      <c r="BJ740" s="57">
        <f>IF(ISERROR(IF(B740=C740,Y740/C740,(INT(Y740/B740)+(((Y740-B740*INT(Y740/B740)))/C740)/100))),0,(IF(B740=C740,Y740/C740,(INT(Y740/B740)+(((Y740-B740*INT(Y740/B740)))/C740)/100))))</f>
        <v>0</v>
      </c>
      <c r="BL740" s="57">
        <f>IF(ISERROR(IF(B740=C740,AA740/C740,(INT(AA740/B740)+(((AA740-B740*INT(AA740/B740)))/C740)/100))),0,(IF(B740=C740,AA740/C740,(INT(AA740/B740)+(((AA740-B740*INT(AA740/B740)))/C740)/100))))</f>
        <v>0</v>
      </c>
      <c r="BM740" s="57">
        <f>IF(ISERROR(IF(B740=C740,AB740/C740,(INT(AB740/B740)+(((AB740-B740*INT(AB740/B740)))/C740)/100))),0,(IF(B740=C740,AB740/C740,(INT(AB740/B740)+(((AB740-B740*INT(AB740/B740)))/C740)/100))))</f>
        <v>0</v>
      </c>
      <c r="BN740" s="57">
        <f>IF(ISERROR(IF(B740=C740,AC740/C740,(INT(AC740/B740)+(((AC740-B740*INT(AC740/B740)))/C740)/100))),0,(IF(B740=C740,AC740/C740,(INT(AC740/B740)+(((AC740-B740*INT(AC740/B740)))/C740)/100))))</f>
        <v>0</v>
      </c>
      <c r="BO740" s="57">
        <f>IF(ISERROR(IF(B740=C740,AD740/C740,(INT(AD740/B740)+(((AD740-B740*INT(AD740/B740)))/C740)/100))),0,(IF(B740=C740,AD740/C740,(INT(AD740/B740)+(((AD740-B740*INT(AD740/B740)))/C740)/100))))</f>
        <v>0</v>
      </c>
      <c r="BQ740" s="155"/>
    </row>
    <row r="741" spans="1:69" hidden="1" x14ac:dyDescent="0.35">
      <c r="A741" s="94"/>
      <c r="B741" s="113">
        <v>0</v>
      </c>
      <c r="C741" s="113">
        <v>250</v>
      </c>
      <c r="D741" s="28">
        <f>SUM(AA741:AD741)</f>
        <v>0</v>
      </c>
      <c r="E741" s="113">
        <v>0</v>
      </c>
      <c r="F741" s="113">
        <v>0</v>
      </c>
      <c r="G741" s="28">
        <f>SUM(D741:F741)</f>
        <v>0</v>
      </c>
      <c r="H741" s="125">
        <v>0</v>
      </c>
      <c r="I741" s="113">
        <v>0</v>
      </c>
      <c r="J741" s="125">
        <v>0</v>
      </c>
      <c r="K741" s="113">
        <v>0</v>
      </c>
      <c r="L741" s="113">
        <v>0</v>
      </c>
      <c r="M741" s="113">
        <v>0</v>
      </c>
      <c r="N741" s="28">
        <f>G741-SUM(H741:M741)</f>
        <v>0</v>
      </c>
      <c r="O741" s="28">
        <f>SUM(V741:Y741)</f>
        <v>0</v>
      </c>
      <c r="P741" s="28">
        <f>O741-N741</f>
        <v>0</v>
      </c>
      <c r="Q741" s="61" t="str">
        <f>IF(ISERROR(P741/SUM(H741:L741)),"",P741/SUM(H741:L741))</f>
        <v/>
      </c>
      <c r="R741" s="113">
        <v>0</v>
      </c>
      <c r="S741" s="28">
        <f>IF(ISERROR(P741/C741*R741),0,(P741/C741*R741))</f>
        <v>0</v>
      </c>
      <c r="T741" s="60">
        <f>IF(ISERROR(P741/B741*AF741),0,(P741/B741*AF741))</f>
        <v>0</v>
      </c>
      <c r="V741" s="113">
        <v>0</v>
      </c>
      <c r="W741" s="113">
        <v>0</v>
      </c>
      <c r="X741" s="113">
        <v>0</v>
      </c>
      <c r="Y741" s="113">
        <v>0</v>
      </c>
      <c r="AA741" s="113">
        <v>0</v>
      </c>
      <c r="AB741" s="113">
        <v>0</v>
      </c>
      <c r="AC741" s="113">
        <v>0</v>
      </c>
      <c r="AD741" s="113">
        <v>0</v>
      </c>
      <c r="AF741" s="113">
        <v>0</v>
      </c>
      <c r="AG741" s="28">
        <f>G741-O741</f>
        <v>0</v>
      </c>
      <c r="AH741" s="58">
        <f>IF(ISERROR(AG741/B741*AF741),0,(AG741/B741*AF741))</f>
        <v>0</v>
      </c>
      <c r="AI741" s="28">
        <f>SUM(H741:M741)</f>
        <v>0</v>
      </c>
      <c r="AJ741" s="28">
        <f>IF(ISERROR(AI741/B741*AF741),0,(AI741/B741*AF741))</f>
        <v>0</v>
      </c>
      <c r="AK741" s="58">
        <f>IF(ISERROR(O741/B741*AF741),0,(O741/B741*AF741))</f>
        <v>0</v>
      </c>
      <c r="AL741" s="28">
        <f>IF(ISERROR(H741/B741*AF741),0,(H741/B741*AF741))</f>
        <v>0</v>
      </c>
      <c r="AN741" s="51">
        <f>A741</f>
        <v>0</v>
      </c>
      <c r="AO741" s="57">
        <f>IF(ISERROR(IF(B741=C741,D741/C741,(INT(D741/B741)+(((D741-B741*INT(D741/B741)))/C741)/100))),0,(IF(B741=C741,D741/C741,(INT(D741/B741)+(((D741-B741*INT(D741/B741)))/C741)/100))))</f>
        <v>0</v>
      </c>
      <c r="AP741" s="57">
        <f>IF(ISERROR(IF(B741=C741,E741/C741,(INT(E741/B741)+(((E741-B741*INT(E741/B741)))/C741)/100))),0,(IF(B741=C741,E741/C741,(INT(E741/B741)+(((E741-B741*INT(E741/B741)))/C741)/100))))</f>
        <v>0</v>
      </c>
      <c r="AQ741" s="57">
        <f>IF(ISERROR(IF(B741=C741,F741/C741,IF((INT(F741/B741)+(((F741-B741*INT(F741/B741)))/C741)/100)&lt;0,(INT(F741/B741)+(((F741-B741*INT(F741/B741)))/C741)/100)+(1-(B741/C741/100)),(INT(F741/B741)+(((F741-B741*INT(F741/B741)))/C741)/100)))),0,IF(B741=C741,F741/C741,IF((INT(F741/B741)+(((F741-B741*INT(F741/B741)))/C741)/100)&lt;0,(INT(F741/B741)+(((F741-B741*INT(F741/B741)))/C741)/100)+(1-(B741/C741/100)),(INT(F741/B741)+(((F741-B741*INT(F741/B741)))/C741)/100))))</f>
        <v>0</v>
      </c>
      <c r="AR741" s="57">
        <f>IF(ISERROR(IF(B741=C741,G741/C741,(INT(G741/B741)+(((G741-B741*INT(G741/B741)))/C741)/100))),0,(IF(B741=C741,G741/C741,(INT(G741/B741)+(((G741-B741*INT(G741/B741)))/C741)/100))))</f>
        <v>0</v>
      </c>
      <c r="AS741" s="57">
        <f>IF(ISERROR(IF(B741=C741,H741/C741,(INT(H741/B741)+(((H741-B741*INT(H741/B741)))/C741)/100))),0,(IF(B741=C741,H741/C741,(INT(H741/B741)+(((H741-B741*INT(H741/B741)))/C741)/100))))</f>
        <v>0</v>
      </c>
      <c r="AT741" s="57">
        <f>IF(ISERROR(IF(B741=C741,I741/C741,(INT(I741/B741)+(((I741-B741*INT(I741/B741)))/C741)/100))),0,(IF(B741=C741,I741/C741,(INT(I741/B741)+(((I741-B741*INT(I741/B741)))/C741)/100))))</f>
        <v>0</v>
      </c>
      <c r="AU741" s="57">
        <f>IF(ISERROR(IF(B741=C741,J741/C741,(INT(J741/B741)+(((J741-B741*INT(J741/B741)))/C741)/100))),0,(IF(B741=C741,J741/C741,(INT(J741/B741)+(((J741-B741*INT(J741/B741)))/C741)/100))))</f>
        <v>0</v>
      </c>
      <c r="AV741" s="57">
        <f>IF(ISERROR(IF(B741=C741,K741/C741,IF((INT(K741/B741)+(((K741-B741*INT(K741/B741)))/C741)/100)&lt;0,(INT(K741/B741)+(((K741-B741*INT(K741/B741)))/C741)/100)+(1-(B741/C741/100)),(INT(K741/B741)+(((K741-B741*INT(K741/B741)))/C741)/100)))),0,IF(B741=C741,K741/C741,IF((INT(K741/B741)+(((K741-B741*INT(K741/B741)))/C741)/100)&lt;0,(INT(K741/B741)+(((K741-B741*INT(K741/B741)))/C741)/100)+(1-(B741/C741/100)),(INT(K741/B741)+(((K741-B741*INT(K741/B741)))/C741)/100))))</f>
        <v>0</v>
      </c>
      <c r="AW741" s="57">
        <f>IF(ISERROR(IF(B741=C741,L741/C741,(INT(L741/B741)+(((L741-B741*INT(L741/B741)))/C741)/100))),0,(IF(B741=C741,L741/C741,(INT(L741/B741)+(((L741-B741*INT(L741/B741)))/C741)/100))))</f>
        <v>0</v>
      </c>
      <c r="AX741" s="57">
        <f>IF(ISERROR(IF(B741=C741,M741/C741,(INT(M741/B741)+(((M741-B741*INT(M741/B741)))/C741)/100))),0,(IF(B741=C741,M741/C741,(INT(M741/B741)+(((M741-B741*INT(M741/B741)))/C741)/100))))</f>
        <v>0</v>
      </c>
      <c r="AY741" s="57">
        <f>IF(ISERROR(IF(B741=C741,N741/C741,IF((INT(N741/B741)+(((N741-B741*INT(N741/B741)))/C741)/100)&lt;0,(INT(N741/B741)+(((N741-B741*INT(N741/B741)))/C741)/100)+(1-(B741/C741/100)),(INT(N741/B741)+(((N741-B741*INT(N741/B741)))/C741)/100)))),0,IF(B741=C741,N741/C741,IF((INT(N741/B741)+(((N741-B741*INT(N741/B741)))/C741)/100)&lt;0,(INT(N741/B741)+(((N741-B741*INT(N741/B741)))/C741)/100)+(1-(B741/C741/100)),(INT(N741/B741)+(((N741-B741*INT(N741/B741)))/C741)/100))))</f>
        <v>0</v>
      </c>
      <c r="AZ741" s="57">
        <f>IF(ISERROR(IF(B741=C741,O741/C741,(INT(O741/B741)+(((O741-B741*INT(O741/B741)))/C741)/100))),0,(IF(B741=C741,O741/C741,(INT(O741/B741)+(((O741-B741*INT(O741/B741)))/C741)/100))))</f>
        <v>0</v>
      </c>
      <c r="BA741" s="57">
        <f>IF(ISERROR(IF(B741=C741,P741/C741,IF((INT(P741/B741)+(((P741-B741*INT(P741/B741)))/C741)/100)&lt;0,(INT(P741/B741)+(((P741-B741*INT(P741/B741)))/C741)/100)+(1-(B741/C741/100)),(INT(P741/B741)+(((P741-B741*INT(P741/B741)))/C741)/100)))),0,IF(B741=C741,P741/C741,IF((INT(P741/B741)+(((P741-B741*INT(P741/B741)))/C741)/100)&lt;0,(INT(P741/B741)+(((P741-B741*INT(P741/B741)))/C741)/100)+(1-(B741/C741/100)),(INT(P741/B741)+(((P741-B741*INT(P741/B741)))/C741)/100))))</f>
        <v>0</v>
      </c>
      <c r="BB741" s="28">
        <f>R741</f>
        <v>0</v>
      </c>
      <c r="BC741" s="28">
        <f>S741</f>
        <v>0</v>
      </c>
      <c r="BD741" s="28">
        <f>AF741</f>
        <v>0</v>
      </c>
      <c r="BE741" s="28">
        <f>T741</f>
        <v>0</v>
      </c>
      <c r="BG741" s="57">
        <f>IF(ISERROR(IF(B741=C741,V741/C741,(INT(V741/B741)+(((V741-B741*INT(V741/B741)))/C741)/100))),0,(IF(B741=C741,V741/C741,(INT(V741/B741)+(((V741-B741*INT(V741/B741)))/C741)/100))))</f>
        <v>0</v>
      </c>
      <c r="BH741" s="57">
        <f>IF(ISERROR(IF(B741=C741,W741/C741,(INT(W741/B741)+(((W741-B741*INT(W741/B741)))/C741)/100))),0,(IF(B741=C741,W741/C741,(INT(W741/B741)+(((W741-B741*INT(W741/B741)))/C741)/100))))</f>
        <v>0</v>
      </c>
      <c r="BI741" s="57">
        <f>IF(ISERROR(IF(B741=C741,X741/C741,(INT(X741/B741)+(((X741-B741*INT(X741/B741)))/C741)/100))),0,(IF(B741=C741,X741/C741,(INT(X741/B741)+(((X741-B741*INT(X741/B741)))/C741)/100))))</f>
        <v>0</v>
      </c>
      <c r="BJ741" s="57">
        <f>IF(ISERROR(IF(B741=C741,Y741/C741,(INT(Y741/B741)+(((Y741-B741*INT(Y741/B741)))/C741)/100))),0,(IF(B741=C741,Y741/C741,(INT(Y741/B741)+(((Y741-B741*INT(Y741/B741)))/C741)/100))))</f>
        <v>0</v>
      </c>
      <c r="BL741" s="57">
        <f>IF(ISERROR(IF(B741=C741,AA741/C741,(INT(AA741/B741)+(((AA741-B741*INT(AA741/B741)))/C741)/100))),0,(IF(B741=C741,AA741/C741,(INT(AA741/B741)+(((AA741-B741*INT(AA741/B741)))/C741)/100))))</f>
        <v>0</v>
      </c>
      <c r="BM741" s="57">
        <f>IF(ISERROR(IF(B741=C741,AB741/C741,(INT(AB741/B741)+(((AB741-B741*INT(AB741/B741)))/C741)/100))),0,(IF(B741=C741,AB741/C741,(INT(AB741/B741)+(((AB741-B741*INT(AB741/B741)))/C741)/100))))</f>
        <v>0</v>
      </c>
      <c r="BN741" s="57">
        <f>IF(ISERROR(IF(B741=C741,AC741/C741,(INT(AC741/B741)+(((AC741-B741*INT(AC741/B741)))/C741)/100))),0,(IF(B741=C741,AC741/C741,(INT(AC741/B741)+(((AC741-B741*INT(AC741/B741)))/C741)/100))))</f>
        <v>0</v>
      </c>
      <c r="BO741" s="57">
        <f>IF(ISERROR(IF(B741=C741,AD741/C741,(INT(AD741/B741)+(((AD741-B741*INT(AD741/B741)))/C741)/100))),0,(IF(B741=C741,AD741/C741,(INT(AD741/B741)+(((AD741-B741*INT(AD741/B741)))/C741)/100))))</f>
        <v>0</v>
      </c>
      <c r="BQ741" s="155"/>
    </row>
    <row r="742" spans="1:69" hidden="1" x14ac:dyDescent="0.35">
      <c r="A742" s="94"/>
      <c r="B742" s="113">
        <v>0</v>
      </c>
      <c r="C742" s="113">
        <v>250</v>
      </c>
      <c r="D742" s="28">
        <f>SUM(AA742:AD742)</f>
        <v>0</v>
      </c>
      <c r="E742" s="113">
        <v>0</v>
      </c>
      <c r="F742" s="113">
        <v>0</v>
      </c>
      <c r="G742" s="28">
        <f>SUM(D742:F742)</f>
        <v>0</v>
      </c>
      <c r="H742" s="125">
        <v>0</v>
      </c>
      <c r="I742" s="113">
        <v>0</v>
      </c>
      <c r="J742" s="125">
        <v>0</v>
      </c>
      <c r="K742" s="113">
        <v>0</v>
      </c>
      <c r="L742" s="113">
        <v>0</v>
      </c>
      <c r="M742" s="113">
        <v>0</v>
      </c>
      <c r="N742" s="28">
        <f>G742-SUM(H742:M742)</f>
        <v>0</v>
      </c>
      <c r="O742" s="28">
        <f>SUM(V742:Y742)</f>
        <v>0</v>
      </c>
      <c r="P742" s="28">
        <f>O742-N742</f>
        <v>0</v>
      </c>
      <c r="Q742" s="61" t="str">
        <f>IF(ISERROR(P742/SUM(H742:L742)),"",P742/SUM(H742:L742))</f>
        <v/>
      </c>
      <c r="R742" s="113">
        <v>0</v>
      </c>
      <c r="S742" s="28">
        <f>IF(ISERROR(P742/C742*R742),0,(P742/C742*R742))</f>
        <v>0</v>
      </c>
      <c r="T742" s="60">
        <f>IF(ISERROR(P742/B742*AF742),0,(P742/B742*AF742))</f>
        <v>0</v>
      </c>
      <c r="V742" s="113">
        <v>0</v>
      </c>
      <c r="W742" s="113">
        <v>0</v>
      </c>
      <c r="X742" s="113">
        <v>0</v>
      </c>
      <c r="Y742" s="113">
        <v>0</v>
      </c>
      <c r="AA742" s="113">
        <v>0</v>
      </c>
      <c r="AB742" s="113">
        <v>0</v>
      </c>
      <c r="AC742" s="113">
        <v>0</v>
      </c>
      <c r="AD742" s="113">
        <v>0</v>
      </c>
      <c r="AF742" s="113">
        <v>0</v>
      </c>
      <c r="AG742" s="28">
        <f>G742-O742</f>
        <v>0</v>
      </c>
      <c r="AH742" s="58">
        <f>IF(ISERROR(AG742/B742*AF742),0,(AG742/B742*AF742))</f>
        <v>0</v>
      </c>
      <c r="AI742" s="28">
        <f>SUM(H742:M742)</f>
        <v>0</v>
      </c>
      <c r="AJ742" s="28">
        <f>IF(ISERROR(AI742/B742*AF742),0,(AI742/B742*AF742))</f>
        <v>0</v>
      </c>
      <c r="AK742" s="58">
        <f>IF(ISERROR(O742/B742*AF742),0,(O742/B742*AF742))</f>
        <v>0</v>
      </c>
      <c r="AL742" s="28">
        <f>IF(ISERROR(H742/B742*AF742),0,(H742/B742*AF742))</f>
        <v>0</v>
      </c>
      <c r="AN742" s="51">
        <f>A742</f>
        <v>0</v>
      </c>
      <c r="AO742" s="57">
        <f>IF(ISERROR(IF(B742=C742,D742/C742,(INT(D742/B742)+(((D742-B742*INT(D742/B742)))/C742)/100))),0,(IF(B742=C742,D742/C742,(INT(D742/B742)+(((D742-B742*INT(D742/B742)))/C742)/100))))</f>
        <v>0</v>
      </c>
      <c r="AP742" s="57">
        <f>IF(ISERROR(IF(B742=C742,E742/C742,(INT(E742/B742)+(((E742-B742*INT(E742/B742)))/C742)/100))),0,(IF(B742=C742,E742/C742,(INT(E742/B742)+(((E742-B742*INT(E742/B742)))/C742)/100))))</f>
        <v>0</v>
      </c>
      <c r="AQ742" s="57">
        <f>IF(ISERROR(IF(B742=C742,F742/C742,IF((INT(F742/B742)+(((F742-B742*INT(F742/B742)))/C742)/100)&lt;0,(INT(F742/B742)+(((F742-B742*INT(F742/B742)))/C742)/100)+(1-(B742/C742/100)),(INT(F742/B742)+(((F742-B742*INT(F742/B742)))/C742)/100)))),0,IF(B742=C742,F742/C742,IF((INT(F742/B742)+(((F742-B742*INT(F742/B742)))/C742)/100)&lt;0,(INT(F742/B742)+(((F742-B742*INT(F742/B742)))/C742)/100)+(1-(B742/C742/100)),(INT(F742/B742)+(((F742-B742*INT(F742/B742)))/C742)/100))))</f>
        <v>0</v>
      </c>
      <c r="AR742" s="57">
        <f>IF(ISERROR(IF(B742=C742,G742/C742,(INT(G742/B742)+(((G742-B742*INT(G742/B742)))/C742)/100))),0,(IF(B742=C742,G742/C742,(INT(G742/B742)+(((G742-B742*INT(G742/B742)))/C742)/100))))</f>
        <v>0</v>
      </c>
      <c r="AS742" s="57">
        <f>IF(ISERROR(IF(B742=C742,H742/C742,(INT(H742/B742)+(((H742-B742*INT(H742/B742)))/C742)/100))),0,(IF(B742=C742,H742/C742,(INT(H742/B742)+(((H742-B742*INT(H742/B742)))/C742)/100))))</f>
        <v>0</v>
      </c>
      <c r="AT742" s="57">
        <f>IF(ISERROR(IF(B742=C742,I742/C742,(INT(I742/B742)+(((I742-B742*INT(I742/B742)))/C742)/100))),0,(IF(B742=C742,I742/C742,(INT(I742/B742)+(((I742-B742*INT(I742/B742)))/C742)/100))))</f>
        <v>0</v>
      </c>
      <c r="AU742" s="57">
        <f>IF(ISERROR(IF(B742=C742,J742/C742,(INT(J742/B742)+(((J742-B742*INT(J742/B742)))/C742)/100))),0,(IF(B742=C742,J742/C742,(INT(J742/B742)+(((J742-B742*INT(J742/B742)))/C742)/100))))</f>
        <v>0</v>
      </c>
      <c r="AV742" s="57">
        <f>IF(ISERROR(IF(B742=C742,K742/C742,IF((INT(K742/B742)+(((K742-B742*INT(K742/B742)))/C742)/100)&lt;0,(INT(K742/B742)+(((K742-B742*INT(K742/B742)))/C742)/100)+(1-(B742/C742/100)),(INT(K742/B742)+(((K742-B742*INT(K742/B742)))/C742)/100)))),0,IF(B742=C742,K742/C742,IF((INT(K742/B742)+(((K742-B742*INT(K742/B742)))/C742)/100)&lt;0,(INT(K742/B742)+(((K742-B742*INT(K742/B742)))/C742)/100)+(1-(B742/C742/100)),(INT(K742/B742)+(((K742-B742*INT(K742/B742)))/C742)/100))))</f>
        <v>0</v>
      </c>
      <c r="AW742" s="57">
        <f>IF(ISERROR(IF(B742=C742,L742/C742,(INT(L742/B742)+(((L742-B742*INT(L742/B742)))/C742)/100))),0,(IF(B742=C742,L742/C742,(INT(L742/B742)+(((L742-B742*INT(L742/B742)))/C742)/100))))</f>
        <v>0</v>
      </c>
      <c r="AX742" s="57">
        <f>IF(ISERROR(IF(B742=C742,M742/C742,(INT(M742/B742)+(((M742-B742*INT(M742/B742)))/C742)/100))),0,(IF(B742=C742,M742/C742,(INT(M742/B742)+(((M742-B742*INT(M742/B742)))/C742)/100))))</f>
        <v>0</v>
      </c>
      <c r="AY742" s="57">
        <f>IF(ISERROR(IF(B742=C742,N742/C742,IF((INT(N742/B742)+(((N742-B742*INT(N742/B742)))/C742)/100)&lt;0,(INT(N742/B742)+(((N742-B742*INT(N742/B742)))/C742)/100)+(1-(B742/C742/100)),(INT(N742/B742)+(((N742-B742*INT(N742/B742)))/C742)/100)))),0,IF(B742=C742,N742/C742,IF((INT(N742/B742)+(((N742-B742*INT(N742/B742)))/C742)/100)&lt;0,(INT(N742/B742)+(((N742-B742*INT(N742/B742)))/C742)/100)+(1-(B742/C742/100)),(INT(N742/B742)+(((N742-B742*INT(N742/B742)))/C742)/100))))</f>
        <v>0</v>
      </c>
      <c r="AZ742" s="57">
        <f>IF(ISERROR(IF(B742=C742,O742/C742,(INT(O742/B742)+(((O742-B742*INT(O742/B742)))/C742)/100))),0,(IF(B742=C742,O742/C742,(INT(O742/B742)+(((O742-B742*INT(O742/B742)))/C742)/100))))</f>
        <v>0</v>
      </c>
      <c r="BA742" s="57">
        <f>IF(ISERROR(IF(B742=C742,P742/C742,IF((INT(P742/B742)+(((P742-B742*INT(P742/B742)))/C742)/100)&lt;0,(INT(P742/B742)+(((P742-B742*INT(P742/B742)))/C742)/100)+(1-(B742/C742/100)),(INT(P742/B742)+(((P742-B742*INT(P742/B742)))/C742)/100)))),0,IF(B742=C742,P742/C742,IF((INT(P742/B742)+(((P742-B742*INT(P742/B742)))/C742)/100)&lt;0,(INT(P742/B742)+(((P742-B742*INT(P742/B742)))/C742)/100)+(1-(B742/C742/100)),(INT(P742/B742)+(((P742-B742*INT(P742/B742)))/C742)/100))))</f>
        <v>0</v>
      </c>
      <c r="BB742" s="28">
        <f>R742</f>
        <v>0</v>
      </c>
      <c r="BC742" s="28">
        <f>S742</f>
        <v>0</v>
      </c>
      <c r="BD742" s="28">
        <f>AF742</f>
        <v>0</v>
      </c>
      <c r="BE742" s="28">
        <f>T742</f>
        <v>0</v>
      </c>
      <c r="BG742" s="57">
        <f>IF(ISERROR(IF(B742=C742,V742/C742,(INT(V742/B742)+(((V742-B742*INT(V742/B742)))/C742)/100))),0,(IF(B742=C742,V742/C742,(INT(V742/B742)+(((V742-B742*INT(V742/B742)))/C742)/100))))</f>
        <v>0</v>
      </c>
      <c r="BH742" s="57">
        <f>IF(ISERROR(IF(B742=C742,W742/C742,(INT(W742/B742)+(((W742-B742*INT(W742/B742)))/C742)/100))),0,(IF(B742=C742,W742/C742,(INT(W742/B742)+(((W742-B742*INT(W742/B742)))/C742)/100))))</f>
        <v>0</v>
      </c>
      <c r="BI742" s="57">
        <f>IF(ISERROR(IF(B742=C742,X742/C742,(INT(X742/B742)+(((X742-B742*INT(X742/B742)))/C742)/100))),0,(IF(B742=C742,X742/C742,(INT(X742/B742)+(((X742-B742*INT(X742/B742)))/C742)/100))))</f>
        <v>0</v>
      </c>
      <c r="BJ742" s="57">
        <f>IF(ISERROR(IF(B742=C742,Y742/C742,(INT(Y742/B742)+(((Y742-B742*INT(Y742/B742)))/C742)/100))),0,(IF(B742=C742,Y742/C742,(INT(Y742/B742)+(((Y742-B742*INT(Y742/B742)))/C742)/100))))</f>
        <v>0</v>
      </c>
      <c r="BL742" s="57">
        <f>IF(ISERROR(IF(B742=C742,AA742/C742,(INT(AA742/B742)+(((AA742-B742*INT(AA742/B742)))/C742)/100))),0,(IF(B742=C742,AA742/C742,(INT(AA742/B742)+(((AA742-B742*INT(AA742/B742)))/C742)/100))))</f>
        <v>0</v>
      </c>
      <c r="BM742" s="57">
        <f>IF(ISERROR(IF(B742=C742,AB742/C742,(INT(AB742/B742)+(((AB742-B742*INT(AB742/B742)))/C742)/100))),0,(IF(B742=C742,AB742/C742,(INT(AB742/B742)+(((AB742-B742*INT(AB742/B742)))/C742)/100))))</f>
        <v>0</v>
      </c>
      <c r="BN742" s="57">
        <f>IF(ISERROR(IF(B742=C742,AC742/C742,(INT(AC742/B742)+(((AC742-B742*INT(AC742/B742)))/C742)/100))),0,(IF(B742=C742,AC742/C742,(INT(AC742/B742)+(((AC742-B742*INT(AC742/B742)))/C742)/100))))</f>
        <v>0</v>
      </c>
      <c r="BO742" s="57">
        <f>IF(ISERROR(IF(B742=C742,AD742/C742,(INT(AD742/B742)+(((AD742-B742*INT(AD742/B742)))/C742)/100))),0,(IF(B742=C742,AD742/C742,(INT(AD742/B742)+(((AD742-B742*INT(AD742/B742)))/C742)/100))))</f>
        <v>0</v>
      </c>
      <c r="BQ742" s="155"/>
    </row>
    <row r="743" spans="1:69" hidden="1" x14ac:dyDescent="0.35">
      <c r="A743" s="94"/>
      <c r="B743" s="113">
        <v>0</v>
      </c>
      <c r="C743" s="113">
        <v>250</v>
      </c>
      <c r="D743" s="28">
        <f>SUM(AA743:AD743)</f>
        <v>0</v>
      </c>
      <c r="E743" s="113">
        <v>0</v>
      </c>
      <c r="F743" s="113">
        <v>0</v>
      </c>
      <c r="G743" s="28">
        <f>SUM(D743:F743)</f>
        <v>0</v>
      </c>
      <c r="H743" s="125">
        <v>0</v>
      </c>
      <c r="I743" s="113">
        <v>0</v>
      </c>
      <c r="J743" s="125">
        <v>0</v>
      </c>
      <c r="K743" s="113">
        <v>0</v>
      </c>
      <c r="L743" s="113">
        <v>0</v>
      </c>
      <c r="M743" s="113">
        <v>0</v>
      </c>
      <c r="N743" s="28">
        <f>G743-SUM(H743:M743)</f>
        <v>0</v>
      </c>
      <c r="O743" s="28">
        <f>SUM(V743:Y743)</f>
        <v>0</v>
      </c>
      <c r="P743" s="28">
        <f>O743-N743</f>
        <v>0</v>
      </c>
      <c r="Q743" s="61" t="str">
        <f>IF(ISERROR(P743/SUM(H743:L743)),"",P743/SUM(H743:L743))</f>
        <v/>
      </c>
      <c r="R743" s="113">
        <v>0</v>
      </c>
      <c r="S743" s="28">
        <f>IF(ISERROR(P743/C743*R743),0,(P743/C743*R743))</f>
        <v>0</v>
      </c>
      <c r="T743" s="60">
        <f>IF(ISERROR(P743/B743*AF743),0,(P743/B743*AF743))</f>
        <v>0</v>
      </c>
      <c r="V743" s="113">
        <v>0</v>
      </c>
      <c r="W743" s="113">
        <v>0</v>
      </c>
      <c r="X743" s="113">
        <v>0</v>
      </c>
      <c r="Y743" s="113">
        <v>0</v>
      </c>
      <c r="AA743" s="113">
        <v>0</v>
      </c>
      <c r="AB743" s="113">
        <v>0</v>
      </c>
      <c r="AC743" s="113">
        <v>0</v>
      </c>
      <c r="AD743" s="113">
        <v>0</v>
      </c>
      <c r="AF743" s="113">
        <v>0</v>
      </c>
      <c r="AG743" s="28">
        <f>G743-O743</f>
        <v>0</v>
      </c>
      <c r="AH743" s="58">
        <f>IF(ISERROR(AG743/B743*AF743),0,(AG743/B743*AF743))</f>
        <v>0</v>
      </c>
      <c r="AI743" s="28">
        <f>SUM(H743:M743)</f>
        <v>0</v>
      </c>
      <c r="AJ743" s="28">
        <f>IF(ISERROR(AI743/B743*AF743),0,(AI743/B743*AF743))</f>
        <v>0</v>
      </c>
      <c r="AK743" s="58">
        <f>IF(ISERROR(O743/B743*AF743),0,(O743/B743*AF743))</f>
        <v>0</v>
      </c>
      <c r="AL743" s="28">
        <f>IF(ISERROR(H743/B743*AF743),0,(H743/B743*AF743))</f>
        <v>0</v>
      </c>
      <c r="AN743" s="51">
        <f>A743</f>
        <v>0</v>
      </c>
      <c r="AO743" s="57">
        <f>IF(ISERROR(IF(B743=C743,D743/C743,(INT(D743/B743)+(((D743-B743*INT(D743/B743)))/C743)/100))),0,(IF(B743=C743,D743/C743,(INT(D743/B743)+(((D743-B743*INT(D743/B743)))/C743)/100))))</f>
        <v>0</v>
      </c>
      <c r="AP743" s="57">
        <f>IF(ISERROR(IF(B743=C743,E743/C743,(INT(E743/B743)+(((E743-B743*INT(E743/B743)))/C743)/100))),0,(IF(B743=C743,E743/C743,(INT(E743/B743)+(((E743-B743*INT(E743/B743)))/C743)/100))))</f>
        <v>0</v>
      </c>
      <c r="AQ743" s="57">
        <f>IF(ISERROR(IF(B743=C743,F743/C743,IF((INT(F743/B743)+(((F743-B743*INT(F743/B743)))/C743)/100)&lt;0,(INT(F743/B743)+(((F743-B743*INT(F743/B743)))/C743)/100)+(1-(B743/C743/100)),(INT(F743/B743)+(((F743-B743*INT(F743/B743)))/C743)/100)))),0,IF(B743=C743,F743/C743,IF((INT(F743/B743)+(((F743-B743*INT(F743/B743)))/C743)/100)&lt;0,(INT(F743/B743)+(((F743-B743*INT(F743/B743)))/C743)/100)+(1-(B743/C743/100)),(INT(F743/B743)+(((F743-B743*INT(F743/B743)))/C743)/100))))</f>
        <v>0</v>
      </c>
      <c r="AR743" s="57">
        <f>IF(ISERROR(IF(B743=C743,G743/C743,(INT(G743/B743)+(((G743-B743*INT(G743/B743)))/C743)/100))),0,(IF(B743=C743,G743/C743,(INT(G743/B743)+(((G743-B743*INT(G743/B743)))/C743)/100))))</f>
        <v>0</v>
      </c>
      <c r="AS743" s="57">
        <f>IF(ISERROR(IF(B743=C743,H743/C743,(INT(H743/B743)+(((H743-B743*INT(H743/B743)))/C743)/100))),0,(IF(B743=C743,H743/C743,(INT(H743/B743)+(((H743-B743*INT(H743/B743)))/C743)/100))))</f>
        <v>0</v>
      </c>
      <c r="AT743" s="57">
        <f>IF(ISERROR(IF(B743=C743,I743/C743,(INT(I743/B743)+(((I743-B743*INT(I743/B743)))/C743)/100))),0,(IF(B743=C743,I743/C743,(INT(I743/B743)+(((I743-B743*INT(I743/B743)))/C743)/100))))</f>
        <v>0</v>
      </c>
      <c r="AU743" s="57">
        <f>IF(ISERROR(IF(B743=C743,J743/C743,(INT(J743/B743)+(((J743-B743*INT(J743/B743)))/C743)/100))),0,(IF(B743=C743,J743/C743,(INT(J743/B743)+(((J743-B743*INT(J743/B743)))/C743)/100))))</f>
        <v>0</v>
      </c>
      <c r="AV743" s="57">
        <f>IF(ISERROR(IF(B743=C743,K743/C743,IF((INT(K743/B743)+(((K743-B743*INT(K743/B743)))/C743)/100)&lt;0,(INT(K743/B743)+(((K743-B743*INT(K743/B743)))/C743)/100)+(1-(B743/C743/100)),(INT(K743/B743)+(((K743-B743*INT(K743/B743)))/C743)/100)))),0,IF(B743=C743,K743/C743,IF((INT(K743/B743)+(((K743-B743*INT(K743/B743)))/C743)/100)&lt;0,(INT(K743/B743)+(((K743-B743*INT(K743/B743)))/C743)/100)+(1-(B743/C743/100)),(INT(K743/B743)+(((K743-B743*INT(K743/B743)))/C743)/100))))</f>
        <v>0</v>
      </c>
      <c r="AW743" s="57">
        <f>IF(ISERROR(IF(B743=C743,L743/C743,(INT(L743/B743)+(((L743-B743*INT(L743/B743)))/C743)/100))),0,(IF(B743=C743,L743/C743,(INT(L743/B743)+(((L743-B743*INT(L743/B743)))/C743)/100))))</f>
        <v>0</v>
      </c>
      <c r="AX743" s="57">
        <f>IF(ISERROR(IF(B743=C743,M743/C743,(INT(M743/B743)+(((M743-B743*INT(M743/B743)))/C743)/100))),0,(IF(B743=C743,M743/C743,(INT(M743/B743)+(((M743-B743*INT(M743/B743)))/C743)/100))))</f>
        <v>0</v>
      </c>
      <c r="AY743" s="57">
        <f>IF(ISERROR(IF(B743=C743,N743/C743,IF((INT(N743/B743)+(((N743-B743*INT(N743/B743)))/C743)/100)&lt;0,(INT(N743/B743)+(((N743-B743*INT(N743/B743)))/C743)/100)+(1-(B743/C743/100)),(INT(N743/B743)+(((N743-B743*INT(N743/B743)))/C743)/100)))),0,IF(B743=C743,N743/C743,IF((INT(N743/B743)+(((N743-B743*INT(N743/B743)))/C743)/100)&lt;0,(INT(N743/B743)+(((N743-B743*INT(N743/B743)))/C743)/100)+(1-(B743/C743/100)),(INT(N743/B743)+(((N743-B743*INT(N743/B743)))/C743)/100))))</f>
        <v>0</v>
      </c>
      <c r="AZ743" s="57">
        <f>IF(ISERROR(IF(B743=C743,O743/C743,(INT(O743/B743)+(((O743-B743*INT(O743/B743)))/C743)/100))),0,(IF(B743=C743,O743/C743,(INT(O743/B743)+(((O743-B743*INT(O743/B743)))/C743)/100))))</f>
        <v>0</v>
      </c>
      <c r="BA743" s="57">
        <f>IF(ISERROR(IF(B743=C743,P743/C743,IF((INT(P743/B743)+(((P743-B743*INT(P743/B743)))/C743)/100)&lt;0,(INT(P743/B743)+(((P743-B743*INT(P743/B743)))/C743)/100)+(1-(B743/C743/100)),(INT(P743/B743)+(((P743-B743*INT(P743/B743)))/C743)/100)))),0,IF(B743=C743,P743/C743,IF((INT(P743/B743)+(((P743-B743*INT(P743/B743)))/C743)/100)&lt;0,(INT(P743/B743)+(((P743-B743*INT(P743/B743)))/C743)/100)+(1-(B743/C743/100)),(INT(P743/B743)+(((P743-B743*INT(P743/B743)))/C743)/100))))</f>
        <v>0</v>
      </c>
      <c r="BB743" s="28">
        <f>R743</f>
        <v>0</v>
      </c>
      <c r="BC743" s="28">
        <f>S743</f>
        <v>0</v>
      </c>
      <c r="BD743" s="28">
        <f>AF743</f>
        <v>0</v>
      </c>
      <c r="BE743" s="28">
        <f>T743</f>
        <v>0</v>
      </c>
      <c r="BG743" s="57">
        <f>IF(ISERROR(IF(B743=C743,V743/C743,(INT(V743/B743)+(((V743-B743*INT(V743/B743)))/C743)/100))),0,(IF(B743=C743,V743/C743,(INT(V743/B743)+(((V743-B743*INT(V743/B743)))/C743)/100))))</f>
        <v>0</v>
      </c>
      <c r="BH743" s="57">
        <f>IF(ISERROR(IF(B743=C743,W743/C743,(INT(W743/B743)+(((W743-B743*INT(W743/B743)))/C743)/100))),0,(IF(B743=C743,W743/C743,(INT(W743/B743)+(((W743-B743*INT(W743/B743)))/C743)/100))))</f>
        <v>0</v>
      </c>
      <c r="BI743" s="57">
        <f>IF(ISERROR(IF(B743=C743,X743/C743,(INT(X743/B743)+(((X743-B743*INT(X743/B743)))/C743)/100))),0,(IF(B743=C743,X743/C743,(INT(X743/B743)+(((X743-B743*INT(X743/B743)))/C743)/100))))</f>
        <v>0</v>
      </c>
      <c r="BJ743" s="57">
        <f>IF(ISERROR(IF(B743=C743,Y743/C743,(INT(Y743/B743)+(((Y743-B743*INT(Y743/B743)))/C743)/100))),0,(IF(B743=C743,Y743/C743,(INT(Y743/B743)+(((Y743-B743*INT(Y743/B743)))/C743)/100))))</f>
        <v>0</v>
      </c>
      <c r="BL743" s="57">
        <f>IF(ISERROR(IF(B743=C743,AA743/C743,(INT(AA743/B743)+(((AA743-B743*INT(AA743/B743)))/C743)/100))),0,(IF(B743=C743,AA743/C743,(INT(AA743/B743)+(((AA743-B743*INT(AA743/B743)))/C743)/100))))</f>
        <v>0</v>
      </c>
      <c r="BM743" s="57">
        <f>IF(ISERROR(IF(B743=C743,AB743/C743,(INT(AB743/B743)+(((AB743-B743*INT(AB743/B743)))/C743)/100))),0,(IF(B743=C743,AB743/C743,(INT(AB743/B743)+(((AB743-B743*INT(AB743/B743)))/C743)/100))))</f>
        <v>0</v>
      </c>
      <c r="BN743" s="57">
        <f>IF(ISERROR(IF(B743=C743,AC743/C743,(INT(AC743/B743)+(((AC743-B743*INT(AC743/B743)))/C743)/100))),0,(IF(B743=C743,AC743/C743,(INT(AC743/B743)+(((AC743-B743*INT(AC743/B743)))/C743)/100))))</f>
        <v>0</v>
      </c>
      <c r="BO743" s="57">
        <f>IF(ISERROR(IF(B743=C743,AD743/C743,(INT(AD743/B743)+(((AD743-B743*INT(AD743/B743)))/C743)/100))),0,(IF(B743=C743,AD743/C743,(INT(AD743/B743)+(((AD743-B743*INT(AD743/B743)))/C743)/100))))</f>
        <v>0</v>
      </c>
      <c r="BQ743" s="155"/>
    </row>
    <row r="744" spans="1:69" hidden="1" x14ac:dyDescent="0.35">
      <c r="A744" s="94"/>
      <c r="B744" s="113">
        <v>0</v>
      </c>
      <c r="C744" s="113">
        <v>250</v>
      </c>
      <c r="D744" s="28">
        <f>SUM(AA744:AD744)</f>
        <v>0</v>
      </c>
      <c r="E744" s="113">
        <v>0</v>
      </c>
      <c r="F744" s="113">
        <v>0</v>
      </c>
      <c r="G744" s="28">
        <f>SUM(D744:F744)</f>
        <v>0</v>
      </c>
      <c r="H744" s="125">
        <v>0</v>
      </c>
      <c r="I744" s="113">
        <v>0</v>
      </c>
      <c r="J744" s="125">
        <v>0</v>
      </c>
      <c r="K744" s="113">
        <v>0</v>
      </c>
      <c r="L744" s="113">
        <v>0</v>
      </c>
      <c r="M744" s="113">
        <v>0</v>
      </c>
      <c r="N744" s="28">
        <f>G744-SUM(H744:M744)</f>
        <v>0</v>
      </c>
      <c r="O744" s="28">
        <f>SUM(V744:Y744)</f>
        <v>0</v>
      </c>
      <c r="P744" s="28">
        <f>O744-N744</f>
        <v>0</v>
      </c>
      <c r="Q744" s="61" t="str">
        <f>IF(ISERROR(P744/SUM(H744:L744)),"",P744/SUM(H744:L744))</f>
        <v/>
      </c>
      <c r="R744" s="113">
        <v>0</v>
      </c>
      <c r="S744" s="28">
        <f>IF(ISERROR(P744/C744*R744),0,(P744/C744*R744))</f>
        <v>0</v>
      </c>
      <c r="T744" s="60">
        <f>IF(ISERROR(P744/B744*AF744),0,(P744/B744*AF744))</f>
        <v>0</v>
      </c>
      <c r="V744" s="113">
        <v>0</v>
      </c>
      <c r="W744" s="113">
        <v>0</v>
      </c>
      <c r="X744" s="113">
        <v>0</v>
      </c>
      <c r="Y744" s="113">
        <v>0</v>
      </c>
      <c r="AA744" s="113">
        <v>0</v>
      </c>
      <c r="AB744" s="113">
        <v>0</v>
      </c>
      <c r="AC744" s="113">
        <v>0</v>
      </c>
      <c r="AD744" s="113">
        <v>0</v>
      </c>
      <c r="AF744" s="113">
        <v>0</v>
      </c>
      <c r="AG744" s="28">
        <f>G744-O744</f>
        <v>0</v>
      </c>
      <c r="AH744" s="58">
        <f>IF(ISERROR(AG744/B744*AF744),0,(AG744/B744*AF744))</f>
        <v>0</v>
      </c>
      <c r="AI744" s="28">
        <f>SUM(H744:M744)</f>
        <v>0</v>
      </c>
      <c r="AJ744" s="28">
        <f>IF(ISERROR(AI744/B744*AF744),0,(AI744/B744*AF744))</f>
        <v>0</v>
      </c>
      <c r="AK744" s="58">
        <f>IF(ISERROR(O744/B744*AF744),0,(O744/B744*AF744))</f>
        <v>0</v>
      </c>
      <c r="AL744" s="28">
        <f>IF(ISERROR(H744/B744*AF744),0,(H744/B744*AF744))</f>
        <v>0</v>
      </c>
      <c r="AN744" s="51">
        <f>A744</f>
        <v>0</v>
      </c>
      <c r="AO744" s="57">
        <f>IF(ISERROR(IF(B744=C744,D744/C744,(INT(D744/B744)+(((D744-B744*INT(D744/B744)))/C744)/100))),0,(IF(B744=C744,D744/C744,(INT(D744/B744)+(((D744-B744*INT(D744/B744)))/C744)/100))))</f>
        <v>0</v>
      </c>
      <c r="AP744" s="57">
        <f>IF(ISERROR(IF(B744=C744,E744/C744,(INT(E744/B744)+(((E744-B744*INT(E744/B744)))/C744)/100))),0,(IF(B744=C744,E744/C744,(INT(E744/B744)+(((E744-B744*INT(E744/B744)))/C744)/100))))</f>
        <v>0</v>
      </c>
      <c r="AQ744" s="57">
        <f>IF(ISERROR(IF(B744=C744,F744/C744,IF((INT(F744/B744)+(((F744-B744*INT(F744/B744)))/C744)/100)&lt;0,(INT(F744/B744)+(((F744-B744*INT(F744/B744)))/C744)/100)+(1-(B744/C744/100)),(INT(F744/B744)+(((F744-B744*INT(F744/B744)))/C744)/100)))),0,IF(B744=C744,F744/C744,IF((INT(F744/B744)+(((F744-B744*INT(F744/B744)))/C744)/100)&lt;0,(INT(F744/B744)+(((F744-B744*INT(F744/B744)))/C744)/100)+(1-(B744/C744/100)),(INT(F744/B744)+(((F744-B744*INT(F744/B744)))/C744)/100))))</f>
        <v>0</v>
      </c>
      <c r="AR744" s="57">
        <f>IF(ISERROR(IF(B744=C744,G744/C744,(INT(G744/B744)+(((G744-B744*INT(G744/B744)))/C744)/100))),0,(IF(B744=C744,G744/C744,(INT(G744/B744)+(((G744-B744*INT(G744/B744)))/C744)/100))))</f>
        <v>0</v>
      </c>
      <c r="AS744" s="57">
        <f>IF(ISERROR(IF(B744=C744,H744/C744,(INT(H744/B744)+(((H744-B744*INT(H744/B744)))/C744)/100))),0,(IF(B744=C744,H744/C744,(INT(H744/B744)+(((H744-B744*INT(H744/B744)))/C744)/100))))</f>
        <v>0</v>
      </c>
      <c r="AT744" s="57">
        <f>IF(ISERROR(IF(B744=C744,I744/C744,(INT(I744/B744)+(((I744-B744*INT(I744/B744)))/C744)/100))),0,(IF(B744=C744,I744/C744,(INT(I744/B744)+(((I744-B744*INT(I744/B744)))/C744)/100))))</f>
        <v>0</v>
      </c>
      <c r="AU744" s="57">
        <f>IF(ISERROR(IF(B744=C744,J744/C744,(INT(J744/B744)+(((J744-B744*INT(J744/B744)))/C744)/100))),0,(IF(B744=C744,J744/C744,(INT(J744/B744)+(((J744-B744*INT(J744/B744)))/C744)/100))))</f>
        <v>0</v>
      </c>
      <c r="AV744" s="57">
        <f>IF(ISERROR(IF(B744=C744,K744/C744,IF((INT(K744/B744)+(((K744-B744*INT(K744/B744)))/C744)/100)&lt;0,(INT(K744/B744)+(((K744-B744*INT(K744/B744)))/C744)/100)+(1-(B744/C744/100)),(INT(K744/B744)+(((K744-B744*INT(K744/B744)))/C744)/100)))),0,IF(B744=C744,K744/C744,IF((INT(K744/B744)+(((K744-B744*INT(K744/B744)))/C744)/100)&lt;0,(INT(K744/B744)+(((K744-B744*INT(K744/B744)))/C744)/100)+(1-(B744/C744/100)),(INT(K744/B744)+(((K744-B744*INT(K744/B744)))/C744)/100))))</f>
        <v>0</v>
      </c>
      <c r="AW744" s="57">
        <f>IF(ISERROR(IF(B744=C744,L744/C744,(INT(L744/B744)+(((L744-B744*INT(L744/B744)))/C744)/100))),0,(IF(B744=C744,L744/C744,(INT(L744/B744)+(((L744-B744*INT(L744/B744)))/C744)/100))))</f>
        <v>0</v>
      </c>
      <c r="AX744" s="57">
        <f>IF(ISERROR(IF(B744=C744,M744/C744,(INT(M744/B744)+(((M744-B744*INT(M744/B744)))/C744)/100))),0,(IF(B744=C744,M744/C744,(INT(M744/B744)+(((M744-B744*INT(M744/B744)))/C744)/100))))</f>
        <v>0</v>
      </c>
      <c r="AY744" s="57">
        <f>IF(ISERROR(IF(B744=C744,N744/C744,IF((INT(N744/B744)+(((N744-B744*INT(N744/B744)))/C744)/100)&lt;0,(INT(N744/B744)+(((N744-B744*INT(N744/B744)))/C744)/100)+(1-(B744/C744/100)),(INT(N744/B744)+(((N744-B744*INT(N744/B744)))/C744)/100)))),0,IF(B744=C744,N744/C744,IF((INT(N744/B744)+(((N744-B744*INT(N744/B744)))/C744)/100)&lt;0,(INT(N744/B744)+(((N744-B744*INT(N744/B744)))/C744)/100)+(1-(B744/C744/100)),(INT(N744/B744)+(((N744-B744*INT(N744/B744)))/C744)/100))))</f>
        <v>0</v>
      </c>
      <c r="AZ744" s="57">
        <f>IF(ISERROR(IF(B744=C744,O744/C744,(INT(O744/B744)+(((O744-B744*INT(O744/B744)))/C744)/100))),0,(IF(B744=C744,O744/C744,(INT(O744/B744)+(((O744-B744*INT(O744/B744)))/C744)/100))))</f>
        <v>0</v>
      </c>
      <c r="BA744" s="57">
        <f>IF(ISERROR(IF(B744=C744,P744/C744,IF((INT(P744/B744)+(((P744-B744*INT(P744/B744)))/C744)/100)&lt;0,(INT(P744/B744)+(((P744-B744*INT(P744/B744)))/C744)/100)+(1-(B744/C744/100)),(INT(P744/B744)+(((P744-B744*INT(P744/B744)))/C744)/100)))),0,IF(B744=C744,P744/C744,IF((INT(P744/B744)+(((P744-B744*INT(P744/B744)))/C744)/100)&lt;0,(INT(P744/B744)+(((P744-B744*INT(P744/B744)))/C744)/100)+(1-(B744/C744/100)),(INT(P744/B744)+(((P744-B744*INT(P744/B744)))/C744)/100))))</f>
        <v>0</v>
      </c>
      <c r="BB744" s="28">
        <f>R744</f>
        <v>0</v>
      </c>
      <c r="BC744" s="28">
        <f>S744</f>
        <v>0</v>
      </c>
      <c r="BD744" s="28">
        <f>AF744</f>
        <v>0</v>
      </c>
      <c r="BE744" s="28">
        <f>T744</f>
        <v>0</v>
      </c>
      <c r="BG744" s="57">
        <f>IF(ISERROR(IF(B744=C744,V744/C744,(INT(V744/B744)+(((V744-B744*INT(V744/B744)))/C744)/100))),0,(IF(B744=C744,V744/C744,(INT(V744/B744)+(((V744-B744*INT(V744/B744)))/C744)/100))))</f>
        <v>0</v>
      </c>
      <c r="BH744" s="57">
        <f>IF(ISERROR(IF(B744=C744,W744/C744,(INT(W744/B744)+(((W744-B744*INT(W744/B744)))/C744)/100))),0,(IF(B744=C744,W744/C744,(INT(W744/B744)+(((W744-B744*INT(W744/B744)))/C744)/100))))</f>
        <v>0</v>
      </c>
      <c r="BI744" s="57">
        <f>IF(ISERROR(IF(B744=C744,X744/C744,(INT(X744/B744)+(((X744-B744*INT(X744/B744)))/C744)/100))),0,(IF(B744=C744,X744/C744,(INT(X744/B744)+(((X744-B744*INT(X744/B744)))/C744)/100))))</f>
        <v>0</v>
      </c>
      <c r="BJ744" s="57">
        <f>IF(ISERROR(IF(B744=C744,Y744/C744,(INT(Y744/B744)+(((Y744-B744*INT(Y744/B744)))/C744)/100))),0,(IF(B744=C744,Y744/C744,(INT(Y744/B744)+(((Y744-B744*INT(Y744/B744)))/C744)/100))))</f>
        <v>0</v>
      </c>
      <c r="BL744" s="57">
        <f>IF(ISERROR(IF(B744=C744,AA744/C744,(INT(AA744/B744)+(((AA744-B744*INT(AA744/B744)))/C744)/100))),0,(IF(B744=C744,AA744/C744,(INT(AA744/B744)+(((AA744-B744*INT(AA744/B744)))/C744)/100))))</f>
        <v>0</v>
      </c>
      <c r="BM744" s="57">
        <f>IF(ISERROR(IF(B744=C744,AB744/C744,(INT(AB744/B744)+(((AB744-B744*INT(AB744/B744)))/C744)/100))),0,(IF(B744=C744,AB744/C744,(INT(AB744/B744)+(((AB744-B744*INT(AB744/B744)))/C744)/100))))</f>
        <v>0</v>
      </c>
      <c r="BN744" s="57">
        <f>IF(ISERROR(IF(B744=C744,AC744/C744,(INT(AC744/B744)+(((AC744-B744*INT(AC744/B744)))/C744)/100))),0,(IF(B744=C744,AC744/C744,(INT(AC744/B744)+(((AC744-B744*INT(AC744/B744)))/C744)/100))))</f>
        <v>0</v>
      </c>
      <c r="BO744" s="57">
        <f>IF(ISERROR(IF(B744=C744,AD744/C744,(INT(AD744/B744)+(((AD744-B744*INT(AD744/B744)))/C744)/100))),0,(IF(B744=C744,AD744/C744,(INT(AD744/B744)+(((AD744-B744*INT(AD744/B744)))/C744)/100))))</f>
        <v>0</v>
      </c>
      <c r="BQ744" s="155"/>
    </row>
    <row r="745" spans="1:69" hidden="1" x14ac:dyDescent="0.35">
      <c r="A745" s="94"/>
      <c r="B745" s="113">
        <v>0</v>
      </c>
      <c r="C745" s="113">
        <v>250</v>
      </c>
      <c r="D745" s="28">
        <f>SUM(AA745:AD745)</f>
        <v>0</v>
      </c>
      <c r="E745" s="113">
        <v>0</v>
      </c>
      <c r="F745" s="113">
        <v>0</v>
      </c>
      <c r="G745" s="28">
        <f>SUM(D745:F745)</f>
        <v>0</v>
      </c>
      <c r="H745" s="125">
        <v>0</v>
      </c>
      <c r="I745" s="113">
        <v>0</v>
      </c>
      <c r="J745" s="125">
        <v>0</v>
      </c>
      <c r="K745" s="113">
        <v>0</v>
      </c>
      <c r="L745" s="113">
        <v>0</v>
      </c>
      <c r="M745" s="113">
        <v>0</v>
      </c>
      <c r="N745" s="28">
        <f>G745-SUM(H745:M745)</f>
        <v>0</v>
      </c>
      <c r="O745" s="28">
        <f>SUM(V745:Y745)</f>
        <v>0</v>
      </c>
      <c r="P745" s="28">
        <f>O745-N745</f>
        <v>0</v>
      </c>
      <c r="Q745" s="61" t="str">
        <f>IF(ISERROR(P745/SUM(H745:L745)),"",P745/SUM(H745:L745))</f>
        <v/>
      </c>
      <c r="R745" s="113">
        <v>0</v>
      </c>
      <c r="S745" s="28">
        <f>IF(ISERROR(P745/C745*R745),0,(P745/C745*R745))</f>
        <v>0</v>
      </c>
      <c r="T745" s="60">
        <f>IF(ISERROR(P745/B745*AF745),0,(P745/B745*AF745))</f>
        <v>0</v>
      </c>
      <c r="V745" s="113">
        <v>0</v>
      </c>
      <c r="W745" s="113">
        <v>0</v>
      </c>
      <c r="X745" s="113">
        <v>0</v>
      </c>
      <c r="Y745" s="113">
        <v>0</v>
      </c>
      <c r="AA745" s="113">
        <v>0</v>
      </c>
      <c r="AB745" s="113">
        <v>0</v>
      </c>
      <c r="AC745" s="113">
        <v>0</v>
      </c>
      <c r="AD745" s="113">
        <v>0</v>
      </c>
      <c r="AF745" s="113">
        <v>0</v>
      </c>
      <c r="AG745" s="28">
        <f>G745-O745</f>
        <v>0</v>
      </c>
      <c r="AH745" s="58">
        <f>IF(ISERROR(AG745/B745*AF745),0,(AG745/B745*AF745))</f>
        <v>0</v>
      </c>
      <c r="AI745" s="28">
        <f>SUM(H745:M745)</f>
        <v>0</v>
      </c>
      <c r="AJ745" s="28">
        <f>IF(ISERROR(AI745/B745*AF745),0,(AI745/B745*AF745))</f>
        <v>0</v>
      </c>
      <c r="AK745" s="58">
        <f>IF(ISERROR(O745/B745*AF745),0,(O745/B745*AF745))</f>
        <v>0</v>
      </c>
      <c r="AL745" s="28">
        <f>IF(ISERROR(H745/B745*AF745),0,(H745/B745*AF745))</f>
        <v>0</v>
      </c>
      <c r="AN745" s="51">
        <f>A745</f>
        <v>0</v>
      </c>
      <c r="AO745" s="57">
        <f>IF(ISERROR(IF(B745=C745,D745/C745,(INT(D745/B745)+(((D745-B745*INT(D745/B745)))/C745)/100))),0,(IF(B745=C745,D745/C745,(INT(D745/B745)+(((D745-B745*INT(D745/B745)))/C745)/100))))</f>
        <v>0</v>
      </c>
      <c r="AP745" s="57">
        <f>IF(ISERROR(IF(B745=C745,E745/C745,(INT(E745/B745)+(((E745-B745*INT(E745/B745)))/C745)/100))),0,(IF(B745=C745,E745/C745,(INT(E745/B745)+(((E745-B745*INT(E745/B745)))/C745)/100))))</f>
        <v>0</v>
      </c>
      <c r="AQ745" s="57">
        <f>IF(ISERROR(IF(B745=C745,F745/C745,IF((INT(F745/B745)+(((F745-B745*INT(F745/B745)))/C745)/100)&lt;0,(INT(F745/B745)+(((F745-B745*INT(F745/B745)))/C745)/100)+(1-(B745/C745/100)),(INT(F745/B745)+(((F745-B745*INT(F745/B745)))/C745)/100)))),0,IF(B745=C745,F745/C745,IF((INT(F745/B745)+(((F745-B745*INT(F745/B745)))/C745)/100)&lt;0,(INT(F745/B745)+(((F745-B745*INT(F745/B745)))/C745)/100)+(1-(B745/C745/100)),(INT(F745/B745)+(((F745-B745*INT(F745/B745)))/C745)/100))))</f>
        <v>0</v>
      </c>
      <c r="AR745" s="57">
        <f>IF(ISERROR(IF(B745=C745,G745/C745,(INT(G745/B745)+(((G745-B745*INT(G745/B745)))/C745)/100))),0,(IF(B745=C745,G745/C745,(INT(G745/B745)+(((G745-B745*INT(G745/B745)))/C745)/100))))</f>
        <v>0</v>
      </c>
      <c r="AS745" s="57">
        <f>IF(ISERROR(IF(B745=C745,H745/C745,(INT(H745/B745)+(((H745-B745*INT(H745/B745)))/C745)/100))),0,(IF(B745=C745,H745/C745,(INT(H745/B745)+(((H745-B745*INT(H745/B745)))/C745)/100))))</f>
        <v>0</v>
      </c>
      <c r="AT745" s="57">
        <f>IF(ISERROR(IF(B745=C745,I745/C745,(INT(I745/B745)+(((I745-B745*INT(I745/B745)))/C745)/100))),0,(IF(B745=C745,I745/C745,(INT(I745/B745)+(((I745-B745*INT(I745/B745)))/C745)/100))))</f>
        <v>0</v>
      </c>
      <c r="AU745" s="57">
        <f>IF(ISERROR(IF(B745=C745,J745/C745,(INT(J745/B745)+(((J745-B745*INT(J745/B745)))/C745)/100))),0,(IF(B745=C745,J745/C745,(INT(J745/B745)+(((J745-B745*INT(J745/B745)))/C745)/100))))</f>
        <v>0</v>
      </c>
      <c r="AV745" s="57">
        <f>IF(ISERROR(IF(B745=C745,K745/C745,IF((INT(K745/B745)+(((K745-B745*INT(K745/B745)))/C745)/100)&lt;0,(INT(K745/B745)+(((K745-B745*INT(K745/B745)))/C745)/100)+(1-(B745/C745/100)),(INT(K745/B745)+(((K745-B745*INT(K745/B745)))/C745)/100)))),0,IF(B745=C745,K745/C745,IF((INT(K745/B745)+(((K745-B745*INT(K745/B745)))/C745)/100)&lt;0,(INT(K745/B745)+(((K745-B745*INT(K745/B745)))/C745)/100)+(1-(B745/C745/100)),(INT(K745/B745)+(((K745-B745*INT(K745/B745)))/C745)/100))))</f>
        <v>0</v>
      </c>
      <c r="AW745" s="57">
        <f>IF(ISERROR(IF(B745=C745,L745/C745,(INT(L745/B745)+(((L745-B745*INT(L745/B745)))/C745)/100))),0,(IF(B745=C745,L745/C745,(INT(L745/B745)+(((L745-B745*INT(L745/B745)))/C745)/100))))</f>
        <v>0</v>
      </c>
      <c r="AX745" s="57">
        <f>IF(ISERROR(IF(B745=C745,M745/C745,(INT(M745/B745)+(((M745-B745*INT(M745/B745)))/C745)/100))),0,(IF(B745=C745,M745/C745,(INT(M745/B745)+(((M745-B745*INT(M745/B745)))/C745)/100))))</f>
        <v>0</v>
      </c>
      <c r="AY745" s="57">
        <f>IF(ISERROR(IF(B745=C745,N745/C745,IF((INT(N745/B745)+(((N745-B745*INT(N745/B745)))/C745)/100)&lt;0,(INT(N745/B745)+(((N745-B745*INT(N745/B745)))/C745)/100)+(1-(B745/C745/100)),(INT(N745/B745)+(((N745-B745*INT(N745/B745)))/C745)/100)))),0,IF(B745=C745,N745/C745,IF((INT(N745/B745)+(((N745-B745*INT(N745/B745)))/C745)/100)&lt;0,(INT(N745/B745)+(((N745-B745*INT(N745/B745)))/C745)/100)+(1-(B745/C745/100)),(INT(N745/B745)+(((N745-B745*INT(N745/B745)))/C745)/100))))</f>
        <v>0</v>
      </c>
      <c r="AZ745" s="57">
        <f>IF(ISERROR(IF(B745=C745,O745/C745,(INT(O745/B745)+(((O745-B745*INT(O745/B745)))/C745)/100))),0,(IF(B745=C745,O745/C745,(INT(O745/B745)+(((O745-B745*INT(O745/B745)))/C745)/100))))</f>
        <v>0</v>
      </c>
      <c r="BA745" s="57">
        <f>IF(ISERROR(IF(B745=C745,P745/C745,IF((INT(P745/B745)+(((P745-B745*INT(P745/B745)))/C745)/100)&lt;0,(INT(P745/B745)+(((P745-B745*INT(P745/B745)))/C745)/100)+(1-(B745/C745/100)),(INT(P745/B745)+(((P745-B745*INT(P745/B745)))/C745)/100)))),0,IF(B745=C745,P745/C745,IF((INT(P745/B745)+(((P745-B745*INT(P745/B745)))/C745)/100)&lt;0,(INT(P745/B745)+(((P745-B745*INT(P745/B745)))/C745)/100)+(1-(B745/C745/100)),(INT(P745/B745)+(((P745-B745*INT(P745/B745)))/C745)/100))))</f>
        <v>0</v>
      </c>
      <c r="BB745" s="28">
        <f>R745</f>
        <v>0</v>
      </c>
      <c r="BC745" s="28">
        <f>S745</f>
        <v>0</v>
      </c>
      <c r="BD745" s="28">
        <f>AF745</f>
        <v>0</v>
      </c>
      <c r="BE745" s="28">
        <f>T745</f>
        <v>0</v>
      </c>
      <c r="BG745" s="57">
        <f>IF(ISERROR(IF(B745=C745,V745/C745,(INT(V745/B745)+(((V745-B745*INT(V745/B745)))/C745)/100))),0,(IF(B745=C745,V745/C745,(INT(V745/B745)+(((V745-B745*INT(V745/B745)))/C745)/100))))</f>
        <v>0</v>
      </c>
      <c r="BH745" s="57">
        <f>IF(ISERROR(IF(B745=C745,W745/C745,(INT(W745/B745)+(((W745-B745*INT(W745/B745)))/C745)/100))),0,(IF(B745=C745,W745/C745,(INT(W745/B745)+(((W745-B745*INT(W745/B745)))/C745)/100))))</f>
        <v>0</v>
      </c>
      <c r="BI745" s="57">
        <f>IF(ISERROR(IF(B745=C745,X745/C745,(INT(X745/B745)+(((X745-B745*INT(X745/B745)))/C745)/100))),0,(IF(B745=C745,X745/C745,(INT(X745/B745)+(((X745-B745*INT(X745/B745)))/C745)/100))))</f>
        <v>0</v>
      </c>
      <c r="BJ745" s="57">
        <f>IF(ISERROR(IF(B745=C745,Y745/C745,(INT(Y745/B745)+(((Y745-B745*INT(Y745/B745)))/C745)/100))),0,(IF(B745=C745,Y745/C745,(INT(Y745/B745)+(((Y745-B745*INT(Y745/B745)))/C745)/100))))</f>
        <v>0</v>
      </c>
      <c r="BL745" s="57">
        <f>IF(ISERROR(IF(B745=C745,AA745/C745,(INT(AA745/B745)+(((AA745-B745*INT(AA745/B745)))/C745)/100))),0,(IF(B745=C745,AA745/C745,(INT(AA745/B745)+(((AA745-B745*INT(AA745/B745)))/C745)/100))))</f>
        <v>0</v>
      </c>
      <c r="BM745" s="57">
        <f>IF(ISERROR(IF(B745=C745,AB745/C745,(INT(AB745/B745)+(((AB745-B745*INT(AB745/B745)))/C745)/100))),0,(IF(B745=C745,AB745/C745,(INT(AB745/B745)+(((AB745-B745*INT(AB745/B745)))/C745)/100))))</f>
        <v>0</v>
      </c>
      <c r="BN745" s="57">
        <f>IF(ISERROR(IF(B745=C745,AC745/C745,(INT(AC745/B745)+(((AC745-B745*INT(AC745/B745)))/C745)/100))),0,(IF(B745=C745,AC745/C745,(INT(AC745/B745)+(((AC745-B745*INT(AC745/B745)))/C745)/100))))</f>
        <v>0</v>
      </c>
      <c r="BO745" s="57">
        <f>IF(ISERROR(IF(B745=C745,AD745/C745,(INT(AD745/B745)+(((AD745-B745*INT(AD745/B745)))/C745)/100))),0,(IF(B745=C745,AD745/C745,(INT(AD745/B745)+(((AD745-B745*INT(AD745/B745)))/C745)/100))))</f>
        <v>0</v>
      </c>
      <c r="BQ745" s="155"/>
    </row>
    <row r="746" spans="1:69" hidden="1" x14ac:dyDescent="0.35">
      <c r="A746" s="94"/>
      <c r="B746" s="113">
        <v>0</v>
      </c>
      <c r="C746" s="113">
        <v>250</v>
      </c>
      <c r="D746" s="28">
        <f>SUM(AA746:AD746)</f>
        <v>0</v>
      </c>
      <c r="E746" s="113">
        <v>0</v>
      </c>
      <c r="F746" s="113">
        <v>0</v>
      </c>
      <c r="G746" s="28">
        <f>SUM(D746:F746)</f>
        <v>0</v>
      </c>
      <c r="H746" s="125">
        <v>0</v>
      </c>
      <c r="I746" s="113">
        <v>0</v>
      </c>
      <c r="J746" s="125">
        <v>0</v>
      </c>
      <c r="K746" s="113">
        <v>0</v>
      </c>
      <c r="L746" s="113">
        <v>0</v>
      </c>
      <c r="M746" s="113">
        <v>0</v>
      </c>
      <c r="N746" s="28">
        <f>G746-SUM(H746:M746)</f>
        <v>0</v>
      </c>
      <c r="O746" s="28">
        <f>SUM(V746:Y746)</f>
        <v>0</v>
      </c>
      <c r="P746" s="28">
        <f>O746-N746</f>
        <v>0</v>
      </c>
      <c r="Q746" s="61" t="str">
        <f>IF(ISERROR(P746/SUM(H746:L746)),"",P746/SUM(H746:L746))</f>
        <v/>
      </c>
      <c r="R746" s="113">
        <v>0</v>
      </c>
      <c r="S746" s="28">
        <f>IF(ISERROR(P746/C746*R746),0,(P746/C746*R746))</f>
        <v>0</v>
      </c>
      <c r="T746" s="60">
        <f>IF(ISERROR(P746/B746*AF746),0,(P746/B746*AF746))</f>
        <v>0</v>
      </c>
      <c r="V746" s="113">
        <v>0</v>
      </c>
      <c r="W746" s="113">
        <v>0</v>
      </c>
      <c r="X746" s="113">
        <v>0</v>
      </c>
      <c r="Y746" s="113">
        <v>0</v>
      </c>
      <c r="AA746" s="113">
        <v>0</v>
      </c>
      <c r="AB746" s="113">
        <v>0</v>
      </c>
      <c r="AC746" s="113">
        <v>0</v>
      </c>
      <c r="AD746" s="113">
        <v>0</v>
      </c>
      <c r="AF746" s="113">
        <v>0</v>
      </c>
      <c r="AG746" s="28">
        <f>G746-O746</f>
        <v>0</v>
      </c>
      <c r="AH746" s="58">
        <f>IF(ISERROR(AG746/B746*AF746),0,(AG746/B746*AF746))</f>
        <v>0</v>
      </c>
      <c r="AI746" s="28">
        <f>SUM(H746:M746)</f>
        <v>0</v>
      </c>
      <c r="AJ746" s="28">
        <f>IF(ISERROR(AI746/B746*AF746),0,(AI746/B746*AF746))</f>
        <v>0</v>
      </c>
      <c r="AK746" s="58">
        <f>IF(ISERROR(O746/B746*AF746),0,(O746/B746*AF746))</f>
        <v>0</v>
      </c>
      <c r="AL746" s="28">
        <f>IF(ISERROR(H746/B746*AF746),0,(H746/B746*AF746))</f>
        <v>0</v>
      </c>
      <c r="AN746" s="51">
        <f>A746</f>
        <v>0</v>
      </c>
      <c r="AO746" s="57">
        <f>IF(ISERROR(IF(B746=C746,D746/C746,(INT(D746/B746)+(((D746-B746*INT(D746/B746)))/C746)/100))),0,(IF(B746=C746,D746/C746,(INT(D746/B746)+(((D746-B746*INT(D746/B746)))/C746)/100))))</f>
        <v>0</v>
      </c>
      <c r="AP746" s="57">
        <f>IF(ISERROR(IF(B746=C746,E746/C746,(INT(E746/B746)+(((E746-B746*INT(E746/B746)))/C746)/100))),0,(IF(B746=C746,E746/C746,(INT(E746/B746)+(((E746-B746*INT(E746/B746)))/C746)/100))))</f>
        <v>0</v>
      </c>
      <c r="AQ746" s="57">
        <f>IF(ISERROR(IF(B746=C746,F746/C746,IF((INT(F746/B746)+(((F746-B746*INT(F746/B746)))/C746)/100)&lt;0,(INT(F746/B746)+(((F746-B746*INT(F746/B746)))/C746)/100)+(1-(B746/C746/100)),(INT(F746/B746)+(((F746-B746*INT(F746/B746)))/C746)/100)))),0,IF(B746=C746,F746/C746,IF((INT(F746/B746)+(((F746-B746*INT(F746/B746)))/C746)/100)&lt;0,(INT(F746/B746)+(((F746-B746*INT(F746/B746)))/C746)/100)+(1-(B746/C746/100)),(INT(F746/B746)+(((F746-B746*INT(F746/B746)))/C746)/100))))</f>
        <v>0</v>
      </c>
      <c r="AR746" s="57">
        <f>IF(ISERROR(IF(B746=C746,G746/C746,(INT(G746/B746)+(((G746-B746*INT(G746/B746)))/C746)/100))),0,(IF(B746=C746,G746/C746,(INT(G746/B746)+(((G746-B746*INT(G746/B746)))/C746)/100))))</f>
        <v>0</v>
      </c>
      <c r="AS746" s="57">
        <f>IF(ISERROR(IF(B746=C746,H746/C746,(INT(H746/B746)+(((H746-B746*INT(H746/B746)))/C746)/100))),0,(IF(B746=C746,H746/C746,(INT(H746/B746)+(((H746-B746*INT(H746/B746)))/C746)/100))))</f>
        <v>0</v>
      </c>
      <c r="AT746" s="57">
        <f>IF(ISERROR(IF(B746=C746,I746/C746,(INT(I746/B746)+(((I746-B746*INT(I746/B746)))/C746)/100))),0,(IF(B746=C746,I746/C746,(INT(I746/B746)+(((I746-B746*INT(I746/B746)))/C746)/100))))</f>
        <v>0</v>
      </c>
      <c r="AU746" s="57">
        <f>IF(ISERROR(IF(B746=C746,J746/C746,(INT(J746/B746)+(((J746-B746*INT(J746/B746)))/C746)/100))),0,(IF(B746=C746,J746/C746,(INT(J746/B746)+(((J746-B746*INT(J746/B746)))/C746)/100))))</f>
        <v>0</v>
      </c>
      <c r="AV746" s="57">
        <f>IF(ISERROR(IF(B746=C746,K746/C746,IF((INT(K746/B746)+(((K746-B746*INT(K746/B746)))/C746)/100)&lt;0,(INT(K746/B746)+(((K746-B746*INT(K746/B746)))/C746)/100)+(1-(B746/C746/100)),(INT(K746/B746)+(((K746-B746*INT(K746/B746)))/C746)/100)))),0,IF(B746=C746,K746/C746,IF((INT(K746/B746)+(((K746-B746*INT(K746/B746)))/C746)/100)&lt;0,(INT(K746/B746)+(((K746-B746*INT(K746/B746)))/C746)/100)+(1-(B746/C746/100)),(INT(K746/B746)+(((K746-B746*INT(K746/B746)))/C746)/100))))</f>
        <v>0</v>
      </c>
      <c r="AW746" s="57">
        <f>IF(ISERROR(IF(B746=C746,L746/C746,(INT(L746/B746)+(((L746-B746*INT(L746/B746)))/C746)/100))),0,(IF(B746=C746,L746/C746,(INT(L746/B746)+(((L746-B746*INT(L746/B746)))/C746)/100))))</f>
        <v>0</v>
      </c>
      <c r="AX746" s="57">
        <f>IF(ISERROR(IF(B746=C746,M746/C746,(INT(M746/B746)+(((M746-B746*INT(M746/B746)))/C746)/100))),0,(IF(B746=C746,M746/C746,(INT(M746/B746)+(((M746-B746*INT(M746/B746)))/C746)/100))))</f>
        <v>0</v>
      </c>
      <c r="AY746" s="57">
        <f>IF(ISERROR(IF(B746=C746,N746/C746,IF((INT(N746/B746)+(((N746-B746*INT(N746/B746)))/C746)/100)&lt;0,(INT(N746/B746)+(((N746-B746*INT(N746/B746)))/C746)/100)+(1-(B746/C746/100)),(INT(N746/B746)+(((N746-B746*INT(N746/B746)))/C746)/100)))),0,IF(B746=C746,N746/C746,IF((INT(N746/B746)+(((N746-B746*INT(N746/B746)))/C746)/100)&lt;0,(INT(N746/B746)+(((N746-B746*INT(N746/B746)))/C746)/100)+(1-(B746/C746/100)),(INT(N746/B746)+(((N746-B746*INT(N746/B746)))/C746)/100))))</f>
        <v>0</v>
      </c>
      <c r="AZ746" s="57">
        <f>IF(ISERROR(IF(B746=C746,O746/C746,(INT(O746/B746)+(((O746-B746*INT(O746/B746)))/C746)/100))),0,(IF(B746=C746,O746/C746,(INT(O746/B746)+(((O746-B746*INT(O746/B746)))/C746)/100))))</f>
        <v>0</v>
      </c>
      <c r="BA746" s="57">
        <f>IF(ISERROR(IF(B746=C746,P746/C746,IF((INT(P746/B746)+(((P746-B746*INT(P746/B746)))/C746)/100)&lt;0,(INT(P746/B746)+(((P746-B746*INT(P746/B746)))/C746)/100)+(1-(B746/C746/100)),(INT(P746/B746)+(((P746-B746*INT(P746/B746)))/C746)/100)))),0,IF(B746=C746,P746/C746,IF((INT(P746/B746)+(((P746-B746*INT(P746/B746)))/C746)/100)&lt;0,(INT(P746/B746)+(((P746-B746*INT(P746/B746)))/C746)/100)+(1-(B746/C746/100)),(INT(P746/B746)+(((P746-B746*INT(P746/B746)))/C746)/100))))</f>
        <v>0</v>
      </c>
      <c r="BB746" s="28">
        <f>R746</f>
        <v>0</v>
      </c>
      <c r="BC746" s="28">
        <f>S746</f>
        <v>0</v>
      </c>
      <c r="BD746" s="28">
        <f>AF746</f>
        <v>0</v>
      </c>
      <c r="BE746" s="28">
        <f>T746</f>
        <v>0</v>
      </c>
      <c r="BG746" s="57">
        <f>IF(ISERROR(IF(B746=C746,V746/C746,(INT(V746/B746)+(((V746-B746*INT(V746/B746)))/C746)/100))),0,(IF(B746=C746,V746/C746,(INT(V746/B746)+(((V746-B746*INT(V746/B746)))/C746)/100))))</f>
        <v>0</v>
      </c>
      <c r="BH746" s="57">
        <f>IF(ISERROR(IF(B746=C746,W746/C746,(INT(W746/B746)+(((W746-B746*INT(W746/B746)))/C746)/100))),0,(IF(B746=C746,W746/C746,(INT(W746/B746)+(((W746-B746*INT(W746/B746)))/C746)/100))))</f>
        <v>0</v>
      </c>
      <c r="BI746" s="57">
        <f>IF(ISERROR(IF(B746=C746,X746/C746,(INT(X746/B746)+(((X746-B746*INT(X746/B746)))/C746)/100))),0,(IF(B746=C746,X746/C746,(INT(X746/B746)+(((X746-B746*INT(X746/B746)))/C746)/100))))</f>
        <v>0</v>
      </c>
      <c r="BJ746" s="57">
        <f>IF(ISERROR(IF(B746=C746,Y746/C746,(INT(Y746/B746)+(((Y746-B746*INT(Y746/B746)))/C746)/100))),0,(IF(B746=C746,Y746/C746,(INT(Y746/B746)+(((Y746-B746*INT(Y746/B746)))/C746)/100))))</f>
        <v>0</v>
      </c>
      <c r="BL746" s="57">
        <f>IF(ISERROR(IF(B746=C746,AA746/C746,(INT(AA746/B746)+(((AA746-B746*INT(AA746/B746)))/C746)/100))),0,(IF(B746=C746,AA746/C746,(INT(AA746/B746)+(((AA746-B746*INT(AA746/B746)))/C746)/100))))</f>
        <v>0</v>
      </c>
      <c r="BM746" s="57">
        <f>IF(ISERROR(IF(B746=C746,AB746/C746,(INT(AB746/B746)+(((AB746-B746*INT(AB746/B746)))/C746)/100))),0,(IF(B746=C746,AB746/C746,(INT(AB746/B746)+(((AB746-B746*INT(AB746/B746)))/C746)/100))))</f>
        <v>0</v>
      </c>
      <c r="BN746" s="57">
        <f>IF(ISERROR(IF(B746=C746,AC746/C746,(INT(AC746/B746)+(((AC746-B746*INT(AC746/B746)))/C746)/100))),0,(IF(B746=C746,AC746/C746,(INT(AC746/B746)+(((AC746-B746*INT(AC746/B746)))/C746)/100))))</f>
        <v>0</v>
      </c>
      <c r="BO746" s="57">
        <f>IF(ISERROR(IF(B746=C746,AD746/C746,(INT(AD746/B746)+(((AD746-B746*INT(AD746/B746)))/C746)/100))),0,(IF(B746=C746,AD746/C746,(INT(AD746/B746)+(((AD746-B746*INT(AD746/B746)))/C746)/100))))</f>
        <v>0</v>
      </c>
      <c r="BQ746" s="155"/>
    </row>
    <row r="747" spans="1:69" hidden="1" x14ac:dyDescent="0.35">
      <c r="A747" s="94"/>
      <c r="B747" s="113">
        <v>0</v>
      </c>
      <c r="C747" s="113">
        <v>250</v>
      </c>
      <c r="D747" s="28">
        <f>SUM(AA747:AD747)</f>
        <v>0</v>
      </c>
      <c r="E747" s="113">
        <v>0</v>
      </c>
      <c r="F747" s="113">
        <v>0</v>
      </c>
      <c r="G747" s="28">
        <f>SUM(D747:F747)</f>
        <v>0</v>
      </c>
      <c r="H747" s="125">
        <v>0</v>
      </c>
      <c r="I747" s="113">
        <v>0</v>
      </c>
      <c r="J747" s="125">
        <v>0</v>
      </c>
      <c r="K747" s="113">
        <v>0</v>
      </c>
      <c r="L747" s="113">
        <v>0</v>
      </c>
      <c r="M747" s="113">
        <v>0</v>
      </c>
      <c r="N747" s="28">
        <f>G747-SUM(H747:M747)</f>
        <v>0</v>
      </c>
      <c r="O747" s="28">
        <f>SUM(V747:Y747)</f>
        <v>0</v>
      </c>
      <c r="P747" s="28">
        <f>O747-N747</f>
        <v>0</v>
      </c>
      <c r="Q747" s="61" t="str">
        <f>IF(ISERROR(P747/SUM(H747:L747)),"",P747/SUM(H747:L747))</f>
        <v/>
      </c>
      <c r="R747" s="113">
        <v>0</v>
      </c>
      <c r="S747" s="28">
        <f>IF(ISERROR(P747/C747*R747),0,(P747/C747*R747))</f>
        <v>0</v>
      </c>
      <c r="T747" s="60">
        <f>IF(ISERROR(P747/B747*AF747),0,(P747/B747*AF747))</f>
        <v>0</v>
      </c>
      <c r="V747" s="113">
        <v>0</v>
      </c>
      <c r="W747" s="113">
        <v>0</v>
      </c>
      <c r="X747" s="113">
        <v>0</v>
      </c>
      <c r="Y747" s="113">
        <v>0</v>
      </c>
      <c r="AA747" s="113">
        <v>0</v>
      </c>
      <c r="AB747" s="113">
        <v>0</v>
      </c>
      <c r="AC747" s="113">
        <v>0</v>
      </c>
      <c r="AD747" s="113">
        <v>0</v>
      </c>
      <c r="AF747" s="113">
        <v>0</v>
      </c>
      <c r="AG747" s="28">
        <f>G747-O747</f>
        <v>0</v>
      </c>
      <c r="AH747" s="58">
        <f>IF(ISERROR(AG747/B747*AF747),0,(AG747/B747*AF747))</f>
        <v>0</v>
      </c>
      <c r="AI747" s="28">
        <f>SUM(H747:M747)</f>
        <v>0</v>
      </c>
      <c r="AJ747" s="28">
        <f>IF(ISERROR(AI747/B747*AF747),0,(AI747/B747*AF747))</f>
        <v>0</v>
      </c>
      <c r="AK747" s="58">
        <f>IF(ISERROR(O747/B747*AF747),0,(O747/B747*AF747))</f>
        <v>0</v>
      </c>
      <c r="AL747" s="28">
        <f>IF(ISERROR(H747/B747*AF747),0,(H747/B747*AF747))</f>
        <v>0</v>
      </c>
      <c r="AN747" s="51">
        <f>A747</f>
        <v>0</v>
      </c>
      <c r="AO747" s="57">
        <f>IF(ISERROR(IF(B747=C747,D747/C747,(INT(D747/B747)+(((D747-B747*INT(D747/B747)))/C747)/100))),0,(IF(B747=C747,D747/C747,(INT(D747/B747)+(((D747-B747*INT(D747/B747)))/C747)/100))))</f>
        <v>0</v>
      </c>
      <c r="AP747" s="57">
        <f>IF(ISERROR(IF(B747=C747,E747/C747,(INT(E747/B747)+(((E747-B747*INT(E747/B747)))/C747)/100))),0,(IF(B747=C747,E747/C747,(INT(E747/B747)+(((E747-B747*INT(E747/B747)))/C747)/100))))</f>
        <v>0</v>
      </c>
      <c r="AQ747" s="57">
        <f>IF(ISERROR(IF(B747=C747,F747/C747,IF((INT(F747/B747)+(((F747-B747*INT(F747/B747)))/C747)/100)&lt;0,(INT(F747/B747)+(((F747-B747*INT(F747/B747)))/C747)/100)+(1-(B747/C747/100)),(INT(F747/B747)+(((F747-B747*INT(F747/B747)))/C747)/100)))),0,IF(B747=C747,F747/C747,IF((INT(F747/B747)+(((F747-B747*INT(F747/B747)))/C747)/100)&lt;0,(INT(F747/B747)+(((F747-B747*INT(F747/B747)))/C747)/100)+(1-(B747/C747/100)),(INT(F747/B747)+(((F747-B747*INT(F747/B747)))/C747)/100))))</f>
        <v>0</v>
      </c>
      <c r="AR747" s="57">
        <f>IF(ISERROR(IF(B747=C747,G747/C747,(INT(G747/B747)+(((G747-B747*INT(G747/B747)))/C747)/100))),0,(IF(B747=C747,G747/C747,(INT(G747/B747)+(((G747-B747*INT(G747/B747)))/C747)/100))))</f>
        <v>0</v>
      </c>
      <c r="AS747" s="57">
        <f>IF(ISERROR(IF(B747=C747,H747/C747,(INT(H747/B747)+(((H747-B747*INT(H747/B747)))/C747)/100))),0,(IF(B747=C747,H747/C747,(INT(H747/B747)+(((H747-B747*INT(H747/B747)))/C747)/100))))</f>
        <v>0</v>
      </c>
      <c r="AT747" s="57">
        <f>IF(ISERROR(IF(B747=C747,I747/C747,(INT(I747/B747)+(((I747-B747*INT(I747/B747)))/C747)/100))),0,(IF(B747=C747,I747/C747,(INT(I747/B747)+(((I747-B747*INT(I747/B747)))/C747)/100))))</f>
        <v>0</v>
      </c>
      <c r="AU747" s="57">
        <f>IF(ISERROR(IF(B747=C747,J747/C747,(INT(J747/B747)+(((J747-B747*INT(J747/B747)))/C747)/100))),0,(IF(B747=C747,J747/C747,(INT(J747/B747)+(((J747-B747*INT(J747/B747)))/C747)/100))))</f>
        <v>0</v>
      </c>
      <c r="AV747" s="57">
        <f>IF(ISERROR(IF(B747=C747,K747/C747,IF((INT(K747/B747)+(((K747-B747*INT(K747/B747)))/C747)/100)&lt;0,(INT(K747/B747)+(((K747-B747*INT(K747/B747)))/C747)/100)+(1-(B747/C747/100)),(INT(K747/B747)+(((K747-B747*INT(K747/B747)))/C747)/100)))),0,IF(B747=C747,K747/C747,IF((INT(K747/B747)+(((K747-B747*INT(K747/B747)))/C747)/100)&lt;0,(INT(K747/B747)+(((K747-B747*INT(K747/B747)))/C747)/100)+(1-(B747/C747/100)),(INT(K747/B747)+(((K747-B747*INT(K747/B747)))/C747)/100))))</f>
        <v>0</v>
      </c>
      <c r="AW747" s="57">
        <f>IF(ISERROR(IF(B747=C747,L747/C747,(INT(L747/B747)+(((L747-B747*INT(L747/B747)))/C747)/100))),0,(IF(B747=C747,L747/C747,(INT(L747/B747)+(((L747-B747*INT(L747/B747)))/C747)/100))))</f>
        <v>0</v>
      </c>
      <c r="AX747" s="57">
        <f>IF(ISERROR(IF(B747=C747,M747/C747,(INT(M747/B747)+(((M747-B747*INT(M747/B747)))/C747)/100))),0,(IF(B747=C747,M747/C747,(INT(M747/B747)+(((M747-B747*INT(M747/B747)))/C747)/100))))</f>
        <v>0</v>
      </c>
      <c r="AY747" s="57">
        <f>IF(ISERROR(IF(B747=C747,N747/C747,IF((INT(N747/B747)+(((N747-B747*INT(N747/B747)))/C747)/100)&lt;0,(INT(N747/B747)+(((N747-B747*INT(N747/B747)))/C747)/100)+(1-(B747/C747/100)),(INT(N747/B747)+(((N747-B747*INT(N747/B747)))/C747)/100)))),0,IF(B747=C747,N747/C747,IF((INT(N747/B747)+(((N747-B747*INT(N747/B747)))/C747)/100)&lt;0,(INT(N747/B747)+(((N747-B747*INT(N747/B747)))/C747)/100)+(1-(B747/C747/100)),(INT(N747/B747)+(((N747-B747*INT(N747/B747)))/C747)/100))))</f>
        <v>0</v>
      </c>
      <c r="AZ747" s="57">
        <f>IF(ISERROR(IF(B747=C747,O747/C747,(INT(O747/B747)+(((O747-B747*INT(O747/B747)))/C747)/100))),0,(IF(B747=C747,O747/C747,(INT(O747/B747)+(((O747-B747*INT(O747/B747)))/C747)/100))))</f>
        <v>0</v>
      </c>
      <c r="BA747" s="57">
        <f>IF(ISERROR(IF(B747=C747,P747/C747,IF((INT(P747/B747)+(((P747-B747*INT(P747/B747)))/C747)/100)&lt;0,(INT(P747/B747)+(((P747-B747*INT(P747/B747)))/C747)/100)+(1-(B747/C747/100)),(INT(P747/B747)+(((P747-B747*INT(P747/B747)))/C747)/100)))),0,IF(B747=C747,P747/C747,IF((INT(P747/B747)+(((P747-B747*INT(P747/B747)))/C747)/100)&lt;0,(INT(P747/B747)+(((P747-B747*INT(P747/B747)))/C747)/100)+(1-(B747/C747/100)),(INT(P747/B747)+(((P747-B747*INT(P747/B747)))/C747)/100))))</f>
        <v>0</v>
      </c>
      <c r="BB747" s="28">
        <f>R747</f>
        <v>0</v>
      </c>
      <c r="BC747" s="28">
        <f>S747</f>
        <v>0</v>
      </c>
      <c r="BD747" s="28">
        <f>AF747</f>
        <v>0</v>
      </c>
      <c r="BE747" s="28">
        <f>T747</f>
        <v>0</v>
      </c>
      <c r="BG747" s="57">
        <f>IF(ISERROR(IF(B747=C747,V747/C747,(INT(V747/B747)+(((V747-B747*INT(V747/B747)))/C747)/100))),0,(IF(B747=C747,V747/C747,(INT(V747/B747)+(((V747-B747*INT(V747/B747)))/C747)/100))))</f>
        <v>0</v>
      </c>
      <c r="BH747" s="57">
        <f>IF(ISERROR(IF(B747=C747,W747/C747,(INT(W747/B747)+(((W747-B747*INT(W747/B747)))/C747)/100))),0,(IF(B747=C747,W747/C747,(INT(W747/B747)+(((W747-B747*INT(W747/B747)))/C747)/100))))</f>
        <v>0</v>
      </c>
      <c r="BI747" s="57">
        <f>IF(ISERROR(IF(B747=C747,X747/C747,(INT(X747/B747)+(((X747-B747*INT(X747/B747)))/C747)/100))),0,(IF(B747=C747,X747/C747,(INT(X747/B747)+(((X747-B747*INT(X747/B747)))/C747)/100))))</f>
        <v>0</v>
      </c>
      <c r="BJ747" s="57">
        <f>IF(ISERROR(IF(B747=C747,Y747/C747,(INT(Y747/B747)+(((Y747-B747*INT(Y747/B747)))/C747)/100))),0,(IF(B747=C747,Y747/C747,(INT(Y747/B747)+(((Y747-B747*INT(Y747/B747)))/C747)/100))))</f>
        <v>0</v>
      </c>
      <c r="BL747" s="57">
        <f>IF(ISERROR(IF(B747=C747,AA747/C747,(INT(AA747/B747)+(((AA747-B747*INT(AA747/B747)))/C747)/100))),0,(IF(B747=C747,AA747/C747,(INT(AA747/B747)+(((AA747-B747*INT(AA747/B747)))/C747)/100))))</f>
        <v>0</v>
      </c>
      <c r="BM747" s="57">
        <f>IF(ISERROR(IF(B747=C747,AB747/C747,(INT(AB747/B747)+(((AB747-B747*INT(AB747/B747)))/C747)/100))),0,(IF(B747=C747,AB747/C747,(INT(AB747/B747)+(((AB747-B747*INT(AB747/B747)))/C747)/100))))</f>
        <v>0</v>
      </c>
      <c r="BN747" s="57">
        <f>IF(ISERROR(IF(B747=C747,AC747/C747,(INT(AC747/B747)+(((AC747-B747*INT(AC747/B747)))/C747)/100))),0,(IF(B747=C747,AC747/C747,(INT(AC747/B747)+(((AC747-B747*INT(AC747/B747)))/C747)/100))))</f>
        <v>0</v>
      </c>
      <c r="BO747" s="57">
        <f>IF(ISERROR(IF(B747=C747,AD747/C747,(INT(AD747/B747)+(((AD747-B747*INT(AD747/B747)))/C747)/100))),0,(IF(B747=C747,AD747/C747,(INT(AD747/B747)+(((AD747-B747*INT(AD747/B747)))/C747)/100))))</f>
        <v>0</v>
      </c>
      <c r="BQ747" s="155"/>
    </row>
    <row r="748" spans="1:69" hidden="1" x14ac:dyDescent="0.35">
      <c r="A748" s="94"/>
      <c r="B748" s="113">
        <v>0</v>
      </c>
      <c r="C748" s="113">
        <v>250</v>
      </c>
      <c r="D748" s="28">
        <f>SUM(AA748:AD748)</f>
        <v>0</v>
      </c>
      <c r="E748" s="113">
        <v>0</v>
      </c>
      <c r="F748" s="113">
        <v>0</v>
      </c>
      <c r="G748" s="28">
        <f>SUM(D748:F748)</f>
        <v>0</v>
      </c>
      <c r="H748" s="125">
        <v>0</v>
      </c>
      <c r="I748" s="113">
        <v>0</v>
      </c>
      <c r="J748" s="125">
        <v>0</v>
      </c>
      <c r="K748" s="113">
        <v>0</v>
      </c>
      <c r="L748" s="113">
        <v>0</v>
      </c>
      <c r="M748" s="113">
        <v>0</v>
      </c>
      <c r="N748" s="28">
        <f>G748-SUM(H748:M748)</f>
        <v>0</v>
      </c>
      <c r="O748" s="28">
        <f>SUM(V748:Y748)</f>
        <v>0</v>
      </c>
      <c r="P748" s="28">
        <f>O748-N748</f>
        <v>0</v>
      </c>
      <c r="Q748" s="61" t="str">
        <f>IF(ISERROR(P748/SUM(H748:L748)),"",P748/SUM(H748:L748))</f>
        <v/>
      </c>
      <c r="R748" s="113">
        <v>0</v>
      </c>
      <c r="S748" s="28">
        <f>IF(ISERROR(P748/C748*R748),0,(P748/C748*R748))</f>
        <v>0</v>
      </c>
      <c r="T748" s="60">
        <f>IF(ISERROR(P748/B748*AF748),0,(P748/B748*AF748))</f>
        <v>0</v>
      </c>
      <c r="V748" s="113">
        <v>0</v>
      </c>
      <c r="W748" s="113">
        <v>0</v>
      </c>
      <c r="X748" s="113">
        <v>0</v>
      </c>
      <c r="Y748" s="113">
        <v>0</v>
      </c>
      <c r="AA748" s="113">
        <v>0</v>
      </c>
      <c r="AB748" s="113">
        <v>0</v>
      </c>
      <c r="AC748" s="113">
        <v>0</v>
      </c>
      <c r="AD748" s="113">
        <v>0</v>
      </c>
      <c r="AF748" s="113">
        <v>0</v>
      </c>
      <c r="AG748" s="28">
        <f>G748-O748</f>
        <v>0</v>
      </c>
      <c r="AH748" s="58">
        <f>IF(ISERROR(AG748/B748*AF748),0,(AG748/B748*AF748))</f>
        <v>0</v>
      </c>
      <c r="AI748" s="28">
        <f>SUM(H748:M748)</f>
        <v>0</v>
      </c>
      <c r="AJ748" s="28">
        <f>IF(ISERROR(AI748/B748*AF748),0,(AI748/B748*AF748))</f>
        <v>0</v>
      </c>
      <c r="AK748" s="58">
        <f>IF(ISERROR(O748/B748*AF748),0,(O748/B748*AF748))</f>
        <v>0</v>
      </c>
      <c r="AL748" s="28">
        <f>IF(ISERROR(H748/B748*AF748),0,(H748/B748*AF748))</f>
        <v>0</v>
      </c>
      <c r="AN748" s="51">
        <f>A748</f>
        <v>0</v>
      </c>
      <c r="AO748" s="57">
        <f>IF(ISERROR(IF(B748=C748,D748/C748,(INT(D748/B748)+(((D748-B748*INT(D748/B748)))/C748)/100))),0,(IF(B748=C748,D748/C748,(INT(D748/B748)+(((D748-B748*INT(D748/B748)))/C748)/100))))</f>
        <v>0</v>
      </c>
      <c r="AP748" s="57">
        <f>IF(ISERROR(IF(B748=C748,E748/C748,(INT(E748/B748)+(((E748-B748*INT(E748/B748)))/C748)/100))),0,(IF(B748=C748,E748/C748,(INT(E748/B748)+(((E748-B748*INT(E748/B748)))/C748)/100))))</f>
        <v>0</v>
      </c>
      <c r="AQ748" s="57">
        <f>IF(ISERROR(IF(B748=C748,F748/C748,IF((INT(F748/B748)+(((F748-B748*INT(F748/B748)))/C748)/100)&lt;0,(INT(F748/B748)+(((F748-B748*INT(F748/B748)))/C748)/100)+(1-(B748/C748/100)),(INT(F748/B748)+(((F748-B748*INT(F748/B748)))/C748)/100)))),0,IF(B748=C748,F748/C748,IF((INT(F748/B748)+(((F748-B748*INT(F748/B748)))/C748)/100)&lt;0,(INT(F748/B748)+(((F748-B748*INT(F748/B748)))/C748)/100)+(1-(B748/C748/100)),(INT(F748/B748)+(((F748-B748*INT(F748/B748)))/C748)/100))))</f>
        <v>0</v>
      </c>
      <c r="AR748" s="57">
        <f>IF(ISERROR(IF(B748=C748,G748/C748,(INT(G748/B748)+(((G748-B748*INT(G748/B748)))/C748)/100))),0,(IF(B748=C748,G748/C748,(INT(G748/B748)+(((G748-B748*INT(G748/B748)))/C748)/100))))</f>
        <v>0</v>
      </c>
      <c r="AS748" s="57">
        <f>IF(ISERROR(IF(B748=C748,H748/C748,(INT(H748/B748)+(((H748-B748*INT(H748/B748)))/C748)/100))),0,(IF(B748=C748,H748/C748,(INT(H748/B748)+(((H748-B748*INT(H748/B748)))/C748)/100))))</f>
        <v>0</v>
      </c>
      <c r="AT748" s="57">
        <f>IF(ISERROR(IF(B748=C748,I748/C748,(INT(I748/B748)+(((I748-B748*INT(I748/B748)))/C748)/100))),0,(IF(B748=C748,I748/C748,(INT(I748/B748)+(((I748-B748*INT(I748/B748)))/C748)/100))))</f>
        <v>0</v>
      </c>
      <c r="AU748" s="57">
        <f>IF(ISERROR(IF(B748=C748,J748/C748,(INT(J748/B748)+(((J748-B748*INT(J748/B748)))/C748)/100))),0,(IF(B748=C748,J748/C748,(INT(J748/B748)+(((J748-B748*INT(J748/B748)))/C748)/100))))</f>
        <v>0</v>
      </c>
      <c r="AV748" s="57">
        <f>IF(ISERROR(IF(B748=C748,K748/C748,IF((INT(K748/B748)+(((K748-B748*INT(K748/B748)))/C748)/100)&lt;0,(INT(K748/B748)+(((K748-B748*INT(K748/B748)))/C748)/100)+(1-(B748/C748/100)),(INT(K748/B748)+(((K748-B748*INT(K748/B748)))/C748)/100)))),0,IF(B748=C748,K748/C748,IF((INT(K748/B748)+(((K748-B748*INT(K748/B748)))/C748)/100)&lt;0,(INT(K748/B748)+(((K748-B748*INT(K748/B748)))/C748)/100)+(1-(B748/C748/100)),(INT(K748/B748)+(((K748-B748*INT(K748/B748)))/C748)/100))))</f>
        <v>0</v>
      </c>
      <c r="AW748" s="57">
        <f>IF(ISERROR(IF(B748=C748,L748/C748,(INT(L748/B748)+(((L748-B748*INT(L748/B748)))/C748)/100))),0,(IF(B748=C748,L748/C748,(INT(L748/B748)+(((L748-B748*INT(L748/B748)))/C748)/100))))</f>
        <v>0</v>
      </c>
      <c r="AX748" s="57">
        <f>IF(ISERROR(IF(B748=C748,M748/C748,(INT(M748/B748)+(((M748-B748*INT(M748/B748)))/C748)/100))),0,(IF(B748=C748,M748/C748,(INT(M748/B748)+(((M748-B748*INT(M748/B748)))/C748)/100))))</f>
        <v>0</v>
      </c>
      <c r="AY748" s="57">
        <f>IF(ISERROR(IF(B748=C748,N748/C748,IF((INT(N748/B748)+(((N748-B748*INT(N748/B748)))/C748)/100)&lt;0,(INT(N748/B748)+(((N748-B748*INT(N748/B748)))/C748)/100)+(1-(B748/C748/100)),(INT(N748/B748)+(((N748-B748*INT(N748/B748)))/C748)/100)))),0,IF(B748=C748,N748/C748,IF((INT(N748/B748)+(((N748-B748*INT(N748/B748)))/C748)/100)&lt;0,(INT(N748/B748)+(((N748-B748*INT(N748/B748)))/C748)/100)+(1-(B748/C748/100)),(INT(N748/B748)+(((N748-B748*INT(N748/B748)))/C748)/100))))</f>
        <v>0</v>
      </c>
      <c r="AZ748" s="57">
        <f>IF(ISERROR(IF(B748=C748,O748/C748,(INT(O748/B748)+(((O748-B748*INT(O748/B748)))/C748)/100))),0,(IF(B748=C748,O748/C748,(INT(O748/B748)+(((O748-B748*INT(O748/B748)))/C748)/100))))</f>
        <v>0</v>
      </c>
      <c r="BA748" s="57">
        <f>IF(ISERROR(IF(B748=C748,P748/C748,IF((INT(P748/B748)+(((P748-B748*INT(P748/B748)))/C748)/100)&lt;0,(INT(P748/B748)+(((P748-B748*INT(P748/B748)))/C748)/100)+(1-(B748/C748/100)),(INT(P748/B748)+(((P748-B748*INT(P748/B748)))/C748)/100)))),0,IF(B748=C748,P748/C748,IF((INT(P748/B748)+(((P748-B748*INT(P748/B748)))/C748)/100)&lt;0,(INT(P748/B748)+(((P748-B748*INT(P748/B748)))/C748)/100)+(1-(B748/C748/100)),(INT(P748/B748)+(((P748-B748*INT(P748/B748)))/C748)/100))))</f>
        <v>0</v>
      </c>
      <c r="BB748" s="28">
        <f>R748</f>
        <v>0</v>
      </c>
      <c r="BC748" s="28">
        <f>S748</f>
        <v>0</v>
      </c>
      <c r="BD748" s="28">
        <f>AF748</f>
        <v>0</v>
      </c>
      <c r="BE748" s="28">
        <f>T748</f>
        <v>0</v>
      </c>
      <c r="BG748" s="57">
        <f>IF(ISERROR(IF(B748=C748,V748/C748,(INT(V748/B748)+(((V748-B748*INT(V748/B748)))/C748)/100))),0,(IF(B748=C748,V748/C748,(INT(V748/B748)+(((V748-B748*INT(V748/B748)))/C748)/100))))</f>
        <v>0</v>
      </c>
      <c r="BH748" s="57">
        <f>IF(ISERROR(IF(B748=C748,W748/C748,(INT(W748/B748)+(((W748-B748*INT(W748/B748)))/C748)/100))),0,(IF(B748=C748,W748/C748,(INT(W748/B748)+(((W748-B748*INT(W748/B748)))/C748)/100))))</f>
        <v>0</v>
      </c>
      <c r="BI748" s="57">
        <f>IF(ISERROR(IF(B748=C748,X748/C748,(INT(X748/B748)+(((X748-B748*INT(X748/B748)))/C748)/100))),0,(IF(B748=C748,X748/C748,(INT(X748/B748)+(((X748-B748*INT(X748/B748)))/C748)/100))))</f>
        <v>0</v>
      </c>
      <c r="BJ748" s="57">
        <f>IF(ISERROR(IF(B748=C748,Y748/C748,(INT(Y748/B748)+(((Y748-B748*INT(Y748/B748)))/C748)/100))),0,(IF(B748=C748,Y748/C748,(INT(Y748/B748)+(((Y748-B748*INT(Y748/B748)))/C748)/100))))</f>
        <v>0</v>
      </c>
      <c r="BL748" s="57">
        <f>IF(ISERROR(IF(B748=C748,AA748/C748,(INT(AA748/B748)+(((AA748-B748*INT(AA748/B748)))/C748)/100))),0,(IF(B748=C748,AA748/C748,(INT(AA748/B748)+(((AA748-B748*INT(AA748/B748)))/C748)/100))))</f>
        <v>0</v>
      </c>
      <c r="BM748" s="57">
        <f>IF(ISERROR(IF(B748=C748,AB748/C748,(INT(AB748/B748)+(((AB748-B748*INT(AB748/B748)))/C748)/100))),0,(IF(B748=C748,AB748/C748,(INT(AB748/B748)+(((AB748-B748*INT(AB748/B748)))/C748)/100))))</f>
        <v>0</v>
      </c>
      <c r="BN748" s="57">
        <f>IF(ISERROR(IF(B748=C748,AC748/C748,(INT(AC748/B748)+(((AC748-B748*INT(AC748/B748)))/C748)/100))),0,(IF(B748=C748,AC748/C748,(INT(AC748/B748)+(((AC748-B748*INT(AC748/B748)))/C748)/100))))</f>
        <v>0</v>
      </c>
      <c r="BO748" s="57">
        <f>IF(ISERROR(IF(B748=C748,AD748/C748,(INT(AD748/B748)+(((AD748-B748*INT(AD748/B748)))/C748)/100))),0,(IF(B748=C748,AD748/C748,(INT(AD748/B748)+(((AD748-B748*INT(AD748/B748)))/C748)/100))))</f>
        <v>0</v>
      </c>
      <c r="BQ748" s="155"/>
    </row>
    <row r="749" spans="1:69" hidden="1" x14ac:dyDescent="0.35">
      <c r="A749" s="94"/>
      <c r="B749" s="113">
        <v>0</v>
      </c>
      <c r="C749" s="113">
        <v>250</v>
      </c>
      <c r="D749" s="28">
        <f>SUM(AA749:AD749)</f>
        <v>0</v>
      </c>
      <c r="E749" s="113">
        <v>0</v>
      </c>
      <c r="F749" s="113">
        <v>0</v>
      </c>
      <c r="G749" s="28">
        <f>SUM(D749:F749)</f>
        <v>0</v>
      </c>
      <c r="H749" s="125">
        <v>0</v>
      </c>
      <c r="I749" s="113">
        <v>0</v>
      </c>
      <c r="J749" s="125">
        <v>0</v>
      </c>
      <c r="K749" s="113">
        <v>0</v>
      </c>
      <c r="L749" s="113">
        <v>0</v>
      </c>
      <c r="M749" s="113">
        <v>0</v>
      </c>
      <c r="N749" s="28">
        <f>G749-SUM(H749:M749)</f>
        <v>0</v>
      </c>
      <c r="O749" s="28">
        <f>SUM(V749:Y749)</f>
        <v>0</v>
      </c>
      <c r="P749" s="28">
        <f>O749-N749</f>
        <v>0</v>
      </c>
      <c r="Q749" s="61" t="str">
        <f>IF(ISERROR(P749/SUM(H749:L749)),"",P749/SUM(H749:L749))</f>
        <v/>
      </c>
      <c r="R749" s="113">
        <v>0</v>
      </c>
      <c r="S749" s="28">
        <f>IF(ISERROR(P749/C749*R749),0,(P749/C749*R749))</f>
        <v>0</v>
      </c>
      <c r="T749" s="60">
        <f>IF(ISERROR(P749/B749*AF749),0,(P749/B749*AF749))</f>
        <v>0</v>
      </c>
      <c r="V749" s="113">
        <v>0</v>
      </c>
      <c r="W749" s="113">
        <v>0</v>
      </c>
      <c r="X749" s="113">
        <v>0</v>
      </c>
      <c r="Y749" s="113">
        <v>0</v>
      </c>
      <c r="AA749" s="113">
        <v>0</v>
      </c>
      <c r="AB749" s="113">
        <v>0</v>
      </c>
      <c r="AC749" s="113">
        <v>0</v>
      </c>
      <c r="AD749" s="113">
        <v>0</v>
      </c>
      <c r="AF749" s="113">
        <v>0</v>
      </c>
      <c r="AG749" s="28">
        <f>G749-O749</f>
        <v>0</v>
      </c>
      <c r="AH749" s="58">
        <f>IF(ISERROR(AG749/B749*AF749),0,(AG749/B749*AF749))</f>
        <v>0</v>
      </c>
      <c r="AI749" s="28">
        <f>SUM(H749:M749)</f>
        <v>0</v>
      </c>
      <c r="AJ749" s="28">
        <f>IF(ISERROR(AI749/B749*AF749),0,(AI749/B749*AF749))</f>
        <v>0</v>
      </c>
      <c r="AK749" s="58">
        <f>IF(ISERROR(O749/B749*AF749),0,(O749/B749*AF749))</f>
        <v>0</v>
      </c>
      <c r="AL749" s="28">
        <f>IF(ISERROR(H749/B749*AF749),0,(H749/B749*AF749))</f>
        <v>0</v>
      </c>
      <c r="AN749" s="51">
        <f>A749</f>
        <v>0</v>
      </c>
      <c r="AO749" s="57">
        <f>IF(ISERROR(IF(B749=C749,D749/C749,(INT(D749/B749)+(((D749-B749*INT(D749/B749)))/C749)/100))),0,(IF(B749=C749,D749/C749,(INT(D749/B749)+(((D749-B749*INT(D749/B749)))/C749)/100))))</f>
        <v>0</v>
      </c>
      <c r="AP749" s="57">
        <f>IF(ISERROR(IF(B749=C749,E749/C749,(INT(E749/B749)+(((E749-B749*INT(E749/B749)))/C749)/100))),0,(IF(B749=C749,E749/C749,(INT(E749/B749)+(((E749-B749*INT(E749/B749)))/C749)/100))))</f>
        <v>0</v>
      </c>
      <c r="AQ749" s="57">
        <f>IF(ISERROR(IF(B749=C749,F749/C749,IF((INT(F749/B749)+(((F749-B749*INT(F749/B749)))/C749)/100)&lt;0,(INT(F749/B749)+(((F749-B749*INT(F749/B749)))/C749)/100)+(1-(B749/C749/100)),(INT(F749/B749)+(((F749-B749*INT(F749/B749)))/C749)/100)))),0,IF(B749=C749,F749/C749,IF((INT(F749/B749)+(((F749-B749*INT(F749/B749)))/C749)/100)&lt;0,(INT(F749/B749)+(((F749-B749*INT(F749/B749)))/C749)/100)+(1-(B749/C749/100)),(INT(F749/B749)+(((F749-B749*INT(F749/B749)))/C749)/100))))</f>
        <v>0</v>
      </c>
      <c r="AR749" s="57">
        <f>IF(ISERROR(IF(B749=C749,G749/C749,(INT(G749/B749)+(((G749-B749*INT(G749/B749)))/C749)/100))),0,(IF(B749=C749,G749/C749,(INT(G749/B749)+(((G749-B749*INT(G749/B749)))/C749)/100))))</f>
        <v>0</v>
      </c>
      <c r="AS749" s="57">
        <f>IF(ISERROR(IF(B749=C749,H749/C749,(INT(H749/B749)+(((H749-B749*INT(H749/B749)))/C749)/100))),0,(IF(B749=C749,H749/C749,(INT(H749/B749)+(((H749-B749*INT(H749/B749)))/C749)/100))))</f>
        <v>0</v>
      </c>
      <c r="AT749" s="57">
        <f>IF(ISERROR(IF(B749=C749,I749/C749,(INT(I749/B749)+(((I749-B749*INT(I749/B749)))/C749)/100))),0,(IF(B749=C749,I749/C749,(INT(I749/B749)+(((I749-B749*INT(I749/B749)))/C749)/100))))</f>
        <v>0</v>
      </c>
      <c r="AU749" s="57">
        <f>IF(ISERROR(IF(B749=C749,J749/C749,(INT(J749/B749)+(((J749-B749*INT(J749/B749)))/C749)/100))),0,(IF(B749=C749,J749/C749,(INT(J749/B749)+(((J749-B749*INT(J749/B749)))/C749)/100))))</f>
        <v>0</v>
      </c>
      <c r="AV749" s="57">
        <f>IF(ISERROR(IF(B749=C749,K749/C749,IF((INT(K749/B749)+(((K749-B749*INT(K749/B749)))/C749)/100)&lt;0,(INT(K749/B749)+(((K749-B749*INT(K749/B749)))/C749)/100)+(1-(B749/C749/100)),(INT(K749/B749)+(((K749-B749*INT(K749/B749)))/C749)/100)))),0,IF(B749=C749,K749/C749,IF((INT(K749/B749)+(((K749-B749*INT(K749/B749)))/C749)/100)&lt;0,(INT(K749/B749)+(((K749-B749*INT(K749/B749)))/C749)/100)+(1-(B749/C749/100)),(INT(K749/B749)+(((K749-B749*INT(K749/B749)))/C749)/100))))</f>
        <v>0</v>
      </c>
      <c r="AW749" s="57">
        <f>IF(ISERROR(IF(B749=C749,L749/C749,(INT(L749/B749)+(((L749-B749*INT(L749/B749)))/C749)/100))),0,(IF(B749=C749,L749/C749,(INT(L749/B749)+(((L749-B749*INT(L749/B749)))/C749)/100))))</f>
        <v>0</v>
      </c>
      <c r="AX749" s="57">
        <f>IF(ISERROR(IF(B749=C749,M749/C749,(INT(M749/B749)+(((M749-B749*INT(M749/B749)))/C749)/100))),0,(IF(B749=C749,M749/C749,(INT(M749/B749)+(((M749-B749*INT(M749/B749)))/C749)/100))))</f>
        <v>0</v>
      </c>
      <c r="AY749" s="57">
        <f>IF(ISERROR(IF(B749=C749,N749/C749,IF((INT(N749/B749)+(((N749-B749*INT(N749/B749)))/C749)/100)&lt;0,(INT(N749/B749)+(((N749-B749*INT(N749/B749)))/C749)/100)+(1-(B749/C749/100)),(INT(N749/B749)+(((N749-B749*INT(N749/B749)))/C749)/100)))),0,IF(B749=C749,N749/C749,IF((INT(N749/B749)+(((N749-B749*INT(N749/B749)))/C749)/100)&lt;0,(INT(N749/B749)+(((N749-B749*INT(N749/B749)))/C749)/100)+(1-(B749/C749/100)),(INT(N749/B749)+(((N749-B749*INT(N749/B749)))/C749)/100))))</f>
        <v>0</v>
      </c>
      <c r="AZ749" s="57">
        <f>IF(ISERROR(IF(B749=C749,O749/C749,(INT(O749/B749)+(((O749-B749*INT(O749/B749)))/C749)/100))),0,(IF(B749=C749,O749/C749,(INT(O749/B749)+(((O749-B749*INT(O749/B749)))/C749)/100))))</f>
        <v>0</v>
      </c>
      <c r="BA749" s="57">
        <f>IF(ISERROR(IF(B749=C749,P749/C749,IF((INT(P749/B749)+(((P749-B749*INT(P749/B749)))/C749)/100)&lt;0,(INT(P749/B749)+(((P749-B749*INT(P749/B749)))/C749)/100)+(1-(B749/C749/100)),(INT(P749/B749)+(((P749-B749*INT(P749/B749)))/C749)/100)))),0,IF(B749=C749,P749/C749,IF((INT(P749/B749)+(((P749-B749*INT(P749/B749)))/C749)/100)&lt;0,(INT(P749/B749)+(((P749-B749*INT(P749/B749)))/C749)/100)+(1-(B749/C749/100)),(INT(P749/B749)+(((P749-B749*INT(P749/B749)))/C749)/100))))</f>
        <v>0</v>
      </c>
      <c r="BB749" s="28">
        <f>R749</f>
        <v>0</v>
      </c>
      <c r="BC749" s="28">
        <f>S749</f>
        <v>0</v>
      </c>
      <c r="BD749" s="28">
        <f>AF749</f>
        <v>0</v>
      </c>
      <c r="BE749" s="28">
        <f>T749</f>
        <v>0</v>
      </c>
      <c r="BG749" s="57">
        <f>IF(ISERROR(IF(B749=C749,V749/C749,(INT(V749/B749)+(((V749-B749*INT(V749/B749)))/C749)/100))),0,(IF(B749=C749,V749/C749,(INT(V749/B749)+(((V749-B749*INT(V749/B749)))/C749)/100))))</f>
        <v>0</v>
      </c>
      <c r="BH749" s="57">
        <f>IF(ISERROR(IF(B749=C749,W749/C749,(INT(W749/B749)+(((W749-B749*INT(W749/B749)))/C749)/100))),0,(IF(B749=C749,W749/C749,(INT(W749/B749)+(((W749-B749*INT(W749/B749)))/C749)/100))))</f>
        <v>0</v>
      </c>
      <c r="BI749" s="57">
        <f>IF(ISERROR(IF(B749=C749,X749/C749,(INT(X749/B749)+(((X749-B749*INT(X749/B749)))/C749)/100))),0,(IF(B749=C749,X749/C749,(INT(X749/B749)+(((X749-B749*INT(X749/B749)))/C749)/100))))</f>
        <v>0</v>
      </c>
      <c r="BJ749" s="57">
        <f>IF(ISERROR(IF(B749=C749,Y749/C749,(INT(Y749/B749)+(((Y749-B749*INT(Y749/B749)))/C749)/100))),0,(IF(B749=C749,Y749/C749,(INT(Y749/B749)+(((Y749-B749*INT(Y749/B749)))/C749)/100))))</f>
        <v>0</v>
      </c>
      <c r="BL749" s="57">
        <f>IF(ISERROR(IF(B749=C749,AA749/C749,(INT(AA749/B749)+(((AA749-B749*INT(AA749/B749)))/C749)/100))),0,(IF(B749=C749,AA749/C749,(INT(AA749/B749)+(((AA749-B749*INT(AA749/B749)))/C749)/100))))</f>
        <v>0</v>
      </c>
      <c r="BM749" s="57">
        <f>IF(ISERROR(IF(B749=C749,AB749/C749,(INT(AB749/B749)+(((AB749-B749*INT(AB749/B749)))/C749)/100))),0,(IF(B749=C749,AB749/C749,(INT(AB749/B749)+(((AB749-B749*INT(AB749/B749)))/C749)/100))))</f>
        <v>0</v>
      </c>
      <c r="BN749" s="57">
        <f>IF(ISERROR(IF(B749=C749,AC749/C749,(INT(AC749/B749)+(((AC749-B749*INT(AC749/B749)))/C749)/100))),0,(IF(B749=C749,AC749/C749,(INT(AC749/B749)+(((AC749-B749*INT(AC749/B749)))/C749)/100))))</f>
        <v>0</v>
      </c>
      <c r="BO749" s="57">
        <f>IF(ISERROR(IF(B749=C749,AD749/C749,(INT(AD749/B749)+(((AD749-B749*INT(AD749/B749)))/C749)/100))),0,(IF(B749=C749,AD749/C749,(INT(AD749/B749)+(((AD749-B749*INT(AD749/B749)))/C749)/100))))</f>
        <v>0</v>
      </c>
      <c r="BQ749" s="155"/>
    </row>
    <row r="750" spans="1:69" hidden="1" x14ac:dyDescent="0.35">
      <c r="A750" s="94"/>
      <c r="B750" s="113">
        <v>0</v>
      </c>
      <c r="C750" s="113">
        <v>250</v>
      </c>
      <c r="D750" s="28">
        <f>SUM(AA750:AD750)</f>
        <v>0</v>
      </c>
      <c r="E750" s="113">
        <v>0</v>
      </c>
      <c r="F750" s="113">
        <v>0</v>
      </c>
      <c r="G750" s="28">
        <f>SUM(D750:F750)</f>
        <v>0</v>
      </c>
      <c r="H750" s="125">
        <v>0</v>
      </c>
      <c r="I750" s="113">
        <v>0</v>
      </c>
      <c r="J750" s="125">
        <v>0</v>
      </c>
      <c r="K750" s="113">
        <v>0</v>
      </c>
      <c r="L750" s="113">
        <v>0</v>
      </c>
      <c r="M750" s="113">
        <v>0</v>
      </c>
      <c r="N750" s="28">
        <f>G750-SUM(H750:M750)</f>
        <v>0</v>
      </c>
      <c r="O750" s="28">
        <f>SUM(V750:Y750)</f>
        <v>0</v>
      </c>
      <c r="P750" s="28">
        <f>O750-N750</f>
        <v>0</v>
      </c>
      <c r="Q750" s="61" t="str">
        <f>IF(ISERROR(P750/SUM(H750:L750)),"",P750/SUM(H750:L750))</f>
        <v/>
      </c>
      <c r="R750" s="113">
        <v>0</v>
      </c>
      <c r="S750" s="28">
        <f>IF(ISERROR(P750/C750*R750),0,(P750/C750*R750))</f>
        <v>0</v>
      </c>
      <c r="T750" s="60">
        <f>IF(ISERROR(P750/B750*AF750),0,(P750/B750*AF750))</f>
        <v>0</v>
      </c>
      <c r="V750" s="113">
        <v>0</v>
      </c>
      <c r="W750" s="113">
        <v>0</v>
      </c>
      <c r="X750" s="113">
        <v>0</v>
      </c>
      <c r="Y750" s="113">
        <v>0</v>
      </c>
      <c r="AA750" s="113">
        <v>0</v>
      </c>
      <c r="AB750" s="113">
        <v>0</v>
      </c>
      <c r="AC750" s="113">
        <v>0</v>
      </c>
      <c r="AD750" s="113">
        <v>0</v>
      </c>
      <c r="AF750" s="113">
        <v>0</v>
      </c>
      <c r="AG750" s="28">
        <f>G750-O750</f>
        <v>0</v>
      </c>
      <c r="AH750" s="58">
        <f>IF(ISERROR(AG750/B750*AF750),0,(AG750/B750*AF750))</f>
        <v>0</v>
      </c>
      <c r="AI750" s="28">
        <f>SUM(H750:M750)</f>
        <v>0</v>
      </c>
      <c r="AJ750" s="28">
        <f>IF(ISERROR(AI750/B750*AF750),0,(AI750/B750*AF750))</f>
        <v>0</v>
      </c>
      <c r="AK750" s="58">
        <f>IF(ISERROR(O750/B750*AF750),0,(O750/B750*AF750))</f>
        <v>0</v>
      </c>
      <c r="AL750" s="28">
        <f>IF(ISERROR(H750/B750*AF750),0,(H750/B750*AF750))</f>
        <v>0</v>
      </c>
      <c r="AN750" s="51">
        <f>A750</f>
        <v>0</v>
      </c>
      <c r="AO750" s="57">
        <f>IF(ISERROR(IF(B750=C750,D750/C750,(INT(D750/B750)+(((D750-B750*INT(D750/B750)))/C750)/100))),0,(IF(B750=C750,D750/C750,(INT(D750/B750)+(((D750-B750*INT(D750/B750)))/C750)/100))))</f>
        <v>0</v>
      </c>
      <c r="AP750" s="57">
        <f>IF(ISERROR(IF(B750=C750,E750/C750,(INT(E750/B750)+(((E750-B750*INT(E750/B750)))/C750)/100))),0,(IF(B750=C750,E750/C750,(INT(E750/B750)+(((E750-B750*INT(E750/B750)))/C750)/100))))</f>
        <v>0</v>
      </c>
      <c r="AQ750" s="57">
        <f>IF(ISERROR(IF(B750=C750,F750/C750,IF((INT(F750/B750)+(((F750-B750*INT(F750/B750)))/C750)/100)&lt;0,(INT(F750/B750)+(((F750-B750*INT(F750/B750)))/C750)/100)+(1-(B750/C750/100)),(INT(F750/B750)+(((F750-B750*INT(F750/B750)))/C750)/100)))),0,IF(B750=C750,F750/C750,IF((INT(F750/B750)+(((F750-B750*INT(F750/B750)))/C750)/100)&lt;0,(INT(F750/B750)+(((F750-B750*INT(F750/B750)))/C750)/100)+(1-(B750/C750/100)),(INT(F750/B750)+(((F750-B750*INT(F750/B750)))/C750)/100))))</f>
        <v>0</v>
      </c>
      <c r="AR750" s="57">
        <f>IF(ISERROR(IF(B750=C750,G750/C750,(INT(G750/B750)+(((G750-B750*INT(G750/B750)))/C750)/100))),0,(IF(B750=C750,G750/C750,(INT(G750/B750)+(((G750-B750*INT(G750/B750)))/C750)/100))))</f>
        <v>0</v>
      </c>
      <c r="AS750" s="57">
        <f>IF(ISERROR(IF(B750=C750,H750/C750,(INT(H750/B750)+(((H750-B750*INT(H750/B750)))/C750)/100))),0,(IF(B750=C750,H750/C750,(INT(H750/B750)+(((H750-B750*INT(H750/B750)))/C750)/100))))</f>
        <v>0</v>
      </c>
      <c r="AT750" s="57">
        <f>IF(ISERROR(IF(B750=C750,I750/C750,(INT(I750/B750)+(((I750-B750*INT(I750/B750)))/C750)/100))),0,(IF(B750=C750,I750/C750,(INT(I750/B750)+(((I750-B750*INT(I750/B750)))/C750)/100))))</f>
        <v>0</v>
      </c>
      <c r="AU750" s="57">
        <f>IF(ISERROR(IF(B750=C750,J750/C750,(INT(J750/B750)+(((J750-B750*INT(J750/B750)))/C750)/100))),0,(IF(B750=C750,J750/C750,(INT(J750/B750)+(((J750-B750*INT(J750/B750)))/C750)/100))))</f>
        <v>0</v>
      </c>
      <c r="AV750" s="57">
        <f>IF(ISERROR(IF(B750=C750,K750/C750,IF((INT(K750/B750)+(((K750-B750*INT(K750/B750)))/C750)/100)&lt;0,(INT(K750/B750)+(((K750-B750*INT(K750/B750)))/C750)/100)+(1-(B750/C750/100)),(INT(K750/B750)+(((K750-B750*INT(K750/B750)))/C750)/100)))),0,IF(B750=C750,K750/C750,IF((INT(K750/B750)+(((K750-B750*INT(K750/B750)))/C750)/100)&lt;0,(INT(K750/B750)+(((K750-B750*INT(K750/B750)))/C750)/100)+(1-(B750/C750/100)),(INT(K750/B750)+(((K750-B750*INT(K750/B750)))/C750)/100))))</f>
        <v>0</v>
      </c>
      <c r="AW750" s="57">
        <f>IF(ISERROR(IF(B750=C750,L750/C750,(INT(L750/B750)+(((L750-B750*INT(L750/B750)))/C750)/100))),0,(IF(B750=C750,L750/C750,(INT(L750/B750)+(((L750-B750*INT(L750/B750)))/C750)/100))))</f>
        <v>0</v>
      </c>
      <c r="AX750" s="57">
        <f>IF(ISERROR(IF(B750=C750,M750/C750,(INT(M750/B750)+(((M750-B750*INT(M750/B750)))/C750)/100))),0,(IF(B750=C750,M750/C750,(INT(M750/B750)+(((M750-B750*INT(M750/B750)))/C750)/100))))</f>
        <v>0</v>
      </c>
      <c r="AY750" s="57">
        <f>IF(ISERROR(IF(B750=C750,N750/C750,IF((INT(N750/B750)+(((N750-B750*INT(N750/B750)))/C750)/100)&lt;0,(INT(N750/B750)+(((N750-B750*INT(N750/B750)))/C750)/100)+(1-(B750/C750/100)),(INT(N750/B750)+(((N750-B750*INT(N750/B750)))/C750)/100)))),0,IF(B750=C750,N750/C750,IF((INT(N750/B750)+(((N750-B750*INT(N750/B750)))/C750)/100)&lt;0,(INT(N750/B750)+(((N750-B750*INT(N750/B750)))/C750)/100)+(1-(B750/C750/100)),(INT(N750/B750)+(((N750-B750*INT(N750/B750)))/C750)/100))))</f>
        <v>0</v>
      </c>
      <c r="AZ750" s="57">
        <f>IF(ISERROR(IF(B750=C750,O750/C750,(INT(O750/B750)+(((O750-B750*INT(O750/B750)))/C750)/100))),0,(IF(B750=C750,O750/C750,(INT(O750/B750)+(((O750-B750*INT(O750/B750)))/C750)/100))))</f>
        <v>0</v>
      </c>
      <c r="BA750" s="57">
        <f>IF(ISERROR(IF(B750=C750,P750/C750,IF((INT(P750/B750)+(((P750-B750*INT(P750/B750)))/C750)/100)&lt;0,(INT(P750/B750)+(((P750-B750*INT(P750/B750)))/C750)/100)+(1-(B750/C750/100)),(INT(P750/B750)+(((P750-B750*INT(P750/B750)))/C750)/100)))),0,IF(B750=C750,P750/C750,IF((INT(P750/B750)+(((P750-B750*INT(P750/B750)))/C750)/100)&lt;0,(INT(P750/B750)+(((P750-B750*INT(P750/B750)))/C750)/100)+(1-(B750/C750/100)),(INT(P750/B750)+(((P750-B750*INT(P750/B750)))/C750)/100))))</f>
        <v>0</v>
      </c>
      <c r="BB750" s="28">
        <f>R750</f>
        <v>0</v>
      </c>
      <c r="BC750" s="28">
        <f>S750</f>
        <v>0</v>
      </c>
      <c r="BD750" s="28">
        <f>AF750</f>
        <v>0</v>
      </c>
      <c r="BE750" s="28">
        <f>T750</f>
        <v>0</v>
      </c>
      <c r="BG750" s="57">
        <f>IF(ISERROR(IF(B750=C750,V750/C750,(INT(V750/B750)+(((V750-B750*INT(V750/B750)))/C750)/100))),0,(IF(B750=C750,V750/C750,(INT(V750/B750)+(((V750-B750*INT(V750/B750)))/C750)/100))))</f>
        <v>0</v>
      </c>
      <c r="BH750" s="57">
        <f>IF(ISERROR(IF(B750=C750,W750/C750,(INT(W750/B750)+(((W750-B750*INT(W750/B750)))/C750)/100))),0,(IF(B750=C750,W750/C750,(INT(W750/B750)+(((W750-B750*INT(W750/B750)))/C750)/100))))</f>
        <v>0</v>
      </c>
      <c r="BI750" s="57">
        <f>IF(ISERROR(IF(B750=C750,X750/C750,(INT(X750/B750)+(((X750-B750*INT(X750/B750)))/C750)/100))),0,(IF(B750=C750,X750/C750,(INT(X750/B750)+(((X750-B750*INT(X750/B750)))/C750)/100))))</f>
        <v>0</v>
      </c>
      <c r="BJ750" s="57">
        <f>IF(ISERROR(IF(B750=C750,Y750/C750,(INT(Y750/B750)+(((Y750-B750*INT(Y750/B750)))/C750)/100))),0,(IF(B750=C750,Y750/C750,(INT(Y750/B750)+(((Y750-B750*INT(Y750/B750)))/C750)/100))))</f>
        <v>0</v>
      </c>
      <c r="BL750" s="57">
        <f>IF(ISERROR(IF(B750=C750,AA750/C750,(INT(AA750/B750)+(((AA750-B750*INT(AA750/B750)))/C750)/100))),0,(IF(B750=C750,AA750/C750,(INT(AA750/B750)+(((AA750-B750*INT(AA750/B750)))/C750)/100))))</f>
        <v>0</v>
      </c>
      <c r="BM750" s="57">
        <f>IF(ISERROR(IF(B750=C750,AB750/C750,(INT(AB750/B750)+(((AB750-B750*INT(AB750/B750)))/C750)/100))),0,(IF(B750=C750,AB750/C750,(INT(AB750/B750)+(((AB750-B750*INT(AB750/B750)))/C750)/100))))</f>
        <v>0</v>
      </c>
      <c r="BN750" s="57">
        <f>IF(ISERROR(IF(B750=C750,AC750/C750,(INT(AC750/B750)+(((AC750-B750*INT(AC750/B750)))/C750)/100))),0,(IF(B750=C750,AC750/C750,(INT(AC750/B750)+(((AC750-B750*INT(AC750/B750)))/C750)/100))))</f>
        <v>0</v>
      </c>
      <c r="BO750" s="57">
        <f>IF(ISERROR(IF(B750=C750,AD750/C750,(INT(AD750/B750)+(((AD750-B750*INT(AD750/B750)))/C750)/100))),0,(IF(B750=C750,AD750/C750,(INT(AD750/B750)+(((AD750-B750*INT(AD750/B750)))/C750)/100))))</f>
        <v>0</v>
      </c>
      <c r="BQ750" s="155"/>
    </row>
    <row r="751" spans="1:69" hidden="1" x14ac:dyDescent="0.35">
      <c r="A751" s="94"/>
      <c r="B751" s="113">
        <v>0</v>
      </c>
      <c r="C751" s="113">
        <v>250</v>
      </c>
      <c r="D751" s="28">
        <f>SUM(AA751:AD751)</f>
        <v>0</v>
      </c>
      <c r="E751" s="113">
        <v>0</v>
      </c>
      <c r="F751" s="113">
        <v>0</v>
      </c>
      <c r="G751" s="28">
        <f>SUM(D751:F751)</f>
        <v>0</v>
      </c>
      <c r="H751" s="125">
        <v>0</v>
      </c>
      <c r="I751" s="113">
        <v>0</v>
      </c>
      <c r="J751" s="125">
        <v>0</v>
      </c>
      <c r="K751" s="113">
        <v>0</v>
      </c>
      <c r="L751" s="113">
        <v>0</v>
      </c>
      <c r="M751" s="113">
        <v>0</v>
      </c>
      <c r="N751" s="28">
        <f>G751-SUM(H751:M751)</f>
        <v>0</v>
      </c>
      <c r="O751" s="28">
        <f>SUM(V751:Y751)</f>
        <v>0</v>
      </c>
      <c r="P751" s="28">
        <f>O751-N751</f>
        <v>0</v>
      </c>
      <c r="Q751" s="61" t="str">
        <f>IF(ISERROR(P751/SUM(H751:L751)),"",P751/SUM(H751:L751))</f>
        <v/>
      </c>
      <c r="R751" s="113">
        <v>0</v>
      </c>
      <c r="S751" s="28">
        <f>IF(ISERROR(P751/C751*R751),0,(P751/C751*R751))</f>
        <v>0</v>
      </c>
      <c r="T751" s="60">
        <f>IF(ISERROR(P751/B751*AF751),0,(P751/B751*AF751))</f>
        <v>0</v>
      </c>
      <c r="V751" s="113">
        <v>0</v>
      </c>
      <c r="W751" s="113">
        <v>0</v>
      </c>
      <c r="X751" s="113">
        <v>0</v>
      </c>
      <c r="Y751" s="113">
        <v>0</v>
      </c>
      <c r="AA751" s="113">
        <v>0</v>
      </c>
      <c r="AB751" s="113">
        <v>0</v>
      </c>
      <c r="AC751" s="113">
        <v>0</v>
      </c>
      <c r="AD751" s="113">
        <v>0</v>
      </c>
      <c r="AF751" s="113">
        <v>0</v>
      </c>
      <c r="AG751" s="28">
        <f>G751-O751</f>
        <v>0</v>
      </c>
      <c r="AH751" s="58">
        <f>IF(ISERROR(AG751/B751*AF751),0,(AG751/B751*AF751))</f>
        <v>0</v>
      </c>
      <c r="AI751" s="28">
        <f>SUM(H751:M751)</f>
        <v>0</v>
      </c>
      <c r="AJ751" s="28">
        <f>IF(ISERROR(AI751/B751*AF751),0,(AI751/B751*AF751))</f>
        <v>0</v>
      </c>
      <c r="AK751" s="58">
        <f>IF(ISERROR(O751/B751*AF751),0,(O751/B751*AF751))</f>
        <v>0</v>
      </c>
      <c r="AL751" s="28">
        <f>IF(ISERROR(H751/B751*AF751),0,(H751/B751*AF751))</f>
        <v>0</v>
      </c>
      <c r="AN751" s="51">
        <f>A751</f>
        <v>0</v>
      </c>
      <c r="AO751" s="57">
        <f>IF(ISERROR(IF(B751=C751,D751/C751,(INT(D751/B751)+(((D751-B751*INT(D751/B751)))/C751)/100))),0,(IF(B751=C751,D751/C751,(INT(D751/B751)+(((D751-B751*INT(D751/B751)))/C751)/100))))</f>
        <v>0</v>
      </c>
      <c r="AP751" s="57">
        <f>IF(ISERROR(IF(B751=C751,E751/C751,(INT(E751/B751)+(((E751-B751*INT(E751/B751)))/C751)/100))),0,(IF(B751=C751,E751/C751,(INT(E751/B751)+(((E751-B751*INT(E751/B751)))/C751)/100))))</f>
        <v>0</v>
      </c>
      <c r="AQ751" s="57">
        <f>IF(ISERROR(IF(B751=C751,F751/C751,IF((INT(F751/B751)+(((F751-B751*INT(F751/B751)))/C751)/100)&lt;0,(INT(F751/B751)+(((F751-B751*INT(F751/B751)))/C751)/100)+(1-(B751/C751/100)),(INT(F751/B751)+(((F751-B751*INT(F751/B751)))/C751)/100)))),0,IF(B751=C751,F751/C751,IF((INT(F751/B751)+(((F751-B751*INT(F751/B751)))/C751)/100)&lt;0,(INT(F751/B751)+(((F751-B751*INT(F751/B751)))/C751)/100)+(1-(B751/C751/100)),(INT(F751/B751)+(((F751-B751*INT(F751/B751)))/C751)/100))))</f>
        <v>0</v>
      </c>
      <c r="AR751" s="57">
        <f>IF(ISERROR(IF(B751=C751,G751/C751,(INT(G751/B751)+(((G751-B751*INT(G751/B751)))/C751)/100))),0,(IF(B751=C751,G751/C751,(INT(G751/B751)+(((G751-B751*INT(G751/B751)))/C751)/100))))</f>
        <v>0</v>
      </c>
      <c r="AS751" s="57">
        <f>IF(ISERROR(IF(B751=C751,H751/C751,(INT(H751/B751)+(((H751-B751*INT(H751/B751)))/C751)/100))),0,(IF(B751=C751,H751/C751,(INT(H751/B751)+(((H751-B751*INT(H751/B751)))/C751)/100))))</f>
        <v>0</v>
      </c>
      <c r="AT751" s="57">
        <f>IF(ISERROR(IF(B751=C751,I751/C751,(INT(I751/B751)+(((I751-B751*INT(I751/B751)))/C751)/100))),0,(IF(B751=C751,I751/C751,(INT(I751/B751)+(((I751-B751*INT(I751/B751)))/C751)/100))))</f>
        <v>0</v>
      </c>
      <c r="AU751" s="57">
        <f>IF(ISERROR(IF(B751=C751,J751/C751,(INT(J751/B751)+(((J751-B751*INT(J751/B751)))/C751)/100))),0,(IF(B751=C751,J751/C751,(INT(J751/B751)+(((J751-B751*INT(J751/B751)))/C751)/100))))</f>
        <v>0</v>
      </c>
      <c r="AV751" s="57">
        <f>IF(ISERROR(IF(B751=C751,K751/C751,IF((INT(K751/B751)+(((K751-B751*INT(K751/B751)))/C751)/100)&lt;0,(INT(K751/B751)+(((K751-B751*INT(K751/B751)))/C751)/100)+(1-(B751/C751/100)),(INT(K751/B751)+(((K751-B751*INT(K751/B751)))/C751)/100)))),0,IF(B751=C751,K751/C751,IF((INT(K751/B751)+(((K751-B751*INT(K751/B751)))/C751)/100)&lt;0,(INT(K751/B751)+(((K751-B751*INT(K751/B751)))/C751)/100)+(1-(B751/C751/100)),(INT(K751/B751)+(((K751-B751*INT(K751/B751)))/C751)/100))))</f>
        <v>0</v>
      </c>
      <c r="AW751" s="57">
        <f>IF(ISERROR(IF(B751=C751,L751/C751,(INT(L751/B751)+(((L751-B751*INT(L751/B751)))/C751)/100))),0,(IF(B751=C751,L751/C751,(INT(L751/B751)+(((L751-B751*INT(L751/B751)))/C751)/100))))</f>
        <v>0</v>
      </c>
      <c r="AX751" s="57">
        <f>IF(ISERROR(IF(B751=C751,M751/C751,(INT(M751/B751)+(((M751-B751*INT(M751/B751)))/C751)/100))),0,(IF(B751=C751,M751/C751,(INT(M751/B751)+(((M751-B751*INT(M751/B751)))/C751)/100))))</f>
        <v>0</v>
      </c>
      <c r="AY751" s="57">
        <f>IF(ISERROR(IF(B751=C751,N751/C751,IF((INT(N751/B751)+(((N751-B751*INT(N751/B751)))/C751)/100)&lt;0,(INT(N751/B751)+(((N751-B751*INT(N751/B751)))/C751)/100)+(1-(B751/C751/100)),(INT(N751/B751)+(((N751-B751*INT(N751/B751)))/C751)/100)))),0,IF(B751=C751,N751/C751,IF((INT(N751/B751)+(((N751-B751*INT(N751/B751)))/C751)/100)&lt;0,(INT(N751/B751)+(((N751-B751*INT(N751/B751)))/C751)/100)+(1-(B751/C751/100)),(INT(N751/B751)+(((N751-B751*INT(N751/B751)))/C751)/100))))</f>
        <v>0</v>
      </c>
      <c r="AZ751" s="57">
        <f>IF(ISERROR(IF(B751=C751,O751/C751,(INT(O751/B751)+(((O751-B751*INT(O751/B751)))/C751)/100))),0,(IF(B751=C751,O751/C751,(INT(O751/B751)+(((O751-B751*INT(O751/B751)))/C751)/100))))</f>
        <v>0</v>
      </c>
      <c r="BA751" s="57">
        <f>IF(ISERROR(IF(B751=C751,P751/C751,IF((INT(P751/B751)+(((P751-B751*INT(P751/B751)))/C751)/100)&lt;0,(INT(P751/B751)+(((P751-B751*INT(P751/B751)))/C751)/100)+(1-(B751/C751/100)),(INT(P751/B751)+(((P751-B751*INT(P751/B751)))/C751)/100)))),0,IF(B751=C751,P751/C751,IF((INT(P751/B751)+(((P751-B751*INT(P751/B751)))/C751)/100)&lt;0,(INT(P751/B751)+(((P751-B751*INT(P751/B751)))/C751)/100)+(1-(B751/C751/100)),(INT(P751/B751)+(((P751-B751*INT(P751/B751)))/C751)/100))))</f>
        <v>0</v>
      </c>
      <c r="BB751" s="28">
        <f>R751</f>
        <v>0</v>
      </c>
      <c r="BC751" s="28">
        <f>S751</f>
        <v>0</v>
      </c>
      <c r="BD751" s="28">
        <f>AF751</f>
        <v>0</v>
      </c>
      <c r="BE751" s="28">
        <f>T751</f>
        <v>0</v>
      </c>
      <c r="BG751" s="57">
        <f>IF(ISERROR(IF(B751=C751,V751/C751,(INT(V751/B751)+(((V751-B751*INT(V751/B751)))/C751)/100))),0,(IF(B751=C751,V751/C751,(INT(V751/B751)+(((V751-B751*INT(V751/B751)))/C751)/100))))</f>
        <v>0</v>
      </c>
      <c r="BH751" s="57">
        <f>IF(ISERROR(IF(B751=C751,W751/C751,(INT(W751/B751)+(((W751-B751*INT(W751/B751)))/C751)/100))),0,(IF(B751=C751,W751/C751,(INT(W751/B751)+(((W751-B751*INT(W751/B751)))/C751)/100))))</f>
        <v>0</v>
      </c>
      <c r="BI751" s="57">
        <f>IF(ISERROR(IF(B751=C751,X751/C751,(INT(X751/B751)+(((X751-B751*INT(X751/B751)))/C751)/100))),0,(IF(B751=C751,X751/C751,(INT(X751/B751)+(((X751-B751*INT(X751/B751)))/C751)/100))))</f>
        <v>0</v>
      </c>
      <c r="BJ751" s="57">
        <f>IF(ISERROR(IF(B751=C751,Y751/C751,(INT(Y751/B751)+(((Y751-B751*INT(Y751/B751)))/C751)/100))),0,(IF(B751=C751,Y751/C751,(INT(Y751/B751)+(((Y751-B751*INT(Y751/B751)))/C751)/100))))</f>
        <v>0</v>
      </c>
      <c r="BL751" s="57">
        <f>IF(ISERROR(IF(B751=C751,AA751/C751,(INT(AA751/B751)+(((AA751-B751*INT(AA751/B751)))/C751)/100))),0,(IF(B751=C751,AA751/C751,(INT(AA751/B751)+(((AA751-B751*INT(AA751/B751)))/C751)/100))))</f>
        <v>0</v>
      </c>
      <c r="BM751" s="57">
        <f>IF(ISERROR(IF(B751=C751,AB751/C751,(INT(AB751/B751)+(((AB751-B751*INT(AB751/B751)))/C751)/100))),0,(IF(B751=C751,AB751/C751,(INT(AB751/B751)+(((AB751-B751*INT(AB751/B751)))/C751)/100))))</f>
        <v>0</v>
      </c>
      <c r="BN751" s="57">
        <f>IF(ISERROR(IF(B751=C751,AC751/C751,(INT(AC751/B751)+(((AC751-B751*INT(AC751/B751)))/C751)/100))),0,(IF(B751=C751,AC751/C751,(INT(AC751/B751)+(((AC751-B751*INT(AC751/B751)))/C751)/100))))</f>
        <v>0</v>
      </c>
      <c r="BO751" s="57">
        <f>IF(ISERROR(IF(B751=C751,AD751/C751,(INT(AD751/B751)+(((AD751-B751*INT(AD751/B751)))/C751)/100))),0,(IF(B751=C751,AD751/C751,(INT(AD751/B751)+(((AD751-B751*INT(AD751/B751)))/C751)/100))))</f>
        <v>0</v>
      </c>
      <c r="BQ751" s="155"/>
    </row>
    <row r="752" spans="1:69" hidden="1" x14ac:dyDescent="0.35">
      <c r="A752" s="94"/>
      <c r="B752" s="113">
        <v>0</v>
      </c>
      <c r="C752" s="113">
        <v>250</v>
      </c>
      <c r="D752" s="28">
        <f>SUM(AA752:AD752)</f>
        <v>0</v>
      </c>
      <c r="E752" s="113">
        <v>0</v>
      </c>
      <c r="F752" s="113">
        <v>0</v>
      </c>
      <c r="G752" s="28">
        <f>SUM(D752:F752)</f>
        <v>0</v>
      </c>
      <c r="H752" s="125">
        <v>0</v>
      </c>
      <c r="I752" s="113">
        <v>0</v>
      </c>
      <c r="J752" s="125">
        <v>0</v>
      </c>
      <c r="K752" s="113">
        <v>0</v>
      </c>
      <c r="L752" s="113">
        <v>0</v>
      </c>
      <c r="M752" s="113">
        <v>0</v>
      </c>
      <c r="N752" s="28">
        <f>G752-SUM(H752:M752)</f>
        <v>0</v>
      </c>
      <c r="O752" s="28">
        <f>SUM(V752:Y752)</f>
        <v>0</v>
      </c>
      <c r="P752" s="28">
        <f>O752-N752</f>
        <v>0</v>
      </c>
      <c r="Q752" s="61" t="str">
        <f>IF(ISERROR(P752/SUM(H752:L752)),"",P752/SUM(H752:L752))</f>
        <v/>
      </c>
      <c r="R752" s="113">
        <v>0</v>
      </c>
      <c r="S752" s="28">
        <f>IF(ISERROR(P752/C752*R752),0,(P752/C752*R752))</f>
        <v>0</v>
      </c>
      <c r="T752" s="60">
        <f>IF(ISERROR(P752/B752*AF752),0,(P752/B752*AF752))</f>
        <v>0</v>
      </c>
      <c r="V752" s="113">
        <v>0</v>
      </c>
      <c r="W752" s="113">
        <v>0</v>
      </c>
      <c r="X752" s="113">
        <v>0</v>
      </c>
      <c r="Y752" s="113">
        <v>0</v>
      </c>
      <c r="AA752" s="113">
        <v>0</v>
      </c>
      <c r="AB752" s="113">
        <v>0</v>
      </c>
      <c r="AC752" s="113">
        <v>0</v>
      </c>
      <c r="AD752" s="113">
        <v>0</v>
      </c>
      <c r="AF752" s="113">
        <v>0</v>
      </c>
      <c r="AG752" s="28">
        <f>G752-O752</f>
        <v>0</v>
      </c>
      <c r="AH752" s="58">
        <f>IF(ISERROR(AG752/B752*AF752),0,(AG752/B752*AF752))</f>
        <v>0</v>
      </c>
      <c r="AI752" s="28">
        <f>SUM(H752:M752)</f>
        <v>0</v>
      </c>
      <c r="AJ752" s="28">
        <f>IF(ISERROR(AI752/B752*AF752),0,(AI752/B752*AF752))</f>
        <v>0</v>
      </c>
      <c r="AK752" s="58">
        <f>IF(ISERROR(O752/B752*AF752),0,(O752/B752*AF752))</f>
        <v>0</v>
      </c>
      <c r="AL752" s="28">
        <f>IF(ISERROR(H752/B752*AF752),0,(H752/B752*AF752))</f>
        <v>0</v>
      </c>
      <c r="AN752" s="51">
        <f>A752</f>
        <v>0</v>
      </c>
      <c r="AO752" s="57">
        <f>IF(ISERROR(IF(B752=C752,D752/C752,(INT(D752/B752)+(((D752-B752*INT(D752/B752)))/C752)/100))),0,(IF(B752=C752,D752/C752,(INT(D752/B752)+(((D752-B752*INT(D752/B752)))/C752)/100))))</f>
        <v>0</v>
      </c>
      <c r="AP752" s="57">
        <f>IF(ISERROR(IF(B752=C752,E752/C752,(INT(E752/B752)+(((E752-B752*INT(E752/B752)))/C752)/100))),0,(IF(B752=C752,E752/C752,(INT(E752/B752)+(((E752-B752*INT(E752/B752)))/C752)/100))))</f>
        <v>0</v>
      </c>
      <c r="AQ752" s="57">
        <f>IF(ISERROR(IF(B752=C752,F752/C752,IF((INT(F752/B752)+(((F752-B752*INT(F752/B752)))/C752)/100)&lt;0,(INT(F752/B752)+(((F752-B752*INT(F752/B752)))/C752)/100)+(1-(B752/C752/100)),(INT(F752/B752)+(((F752-B752*INT(F752/B752)))/C752)/100)))),0,IF(B752=C752,F752/C752,IF((INT(F752/B752)+(((F752-B752*INT(F752/B752)))/C752)/100)&lt;0,(INT(F752/B752)+(((F752-B752*INT(F752/B752)))/C752)/100)+(1-(B752/C752/100)),(INT(F752/B752)+(((F752-B752*INT(F752/B752)))/C752)/100))))</f>
        <v>0</v>
      </c>
      <c r="AR752" s="57">
        <f>IF(ISERROR(IF(B752=C752,G752/C752,(INT(G752/B752)+(((G752-B752*INT(G752/B752)))/C752)/100))),0,(IF(B752=C752,G752/C752,(INT(G752/B752)+(((G752-B752*INT(G752/B752)))/C752)/100))))</f>
        <v>0</v>
      </c>
      <c r="AS752" s="57">
        <f>IF(ISERROR(IF(B752=C752,H752/C752,(INT(H752/B752)+(((H752-B752*INT(H752/B752)))/C752)/100))),0,(IF(B752=C752,H752/C752,(INT(H752/B752)+(((H752-B752*INT(H752/B752)))/C752)/100))))</f>
        <v>0</v>
      </c>
      <c r="AT752" s="57">
        <f>IF(ISERROR(IF(B752=C752,I752/C752,(INT(I752/B752)+(((I752-B752*INT(I752/B752)))/C752)/100))),0,(IF(B752=C752,I752/C752,(INT(I752/B752)+(((I752-B752*INT(I752/B752)))/C752)/100))))</f>
        <v>0</v>
      </c>
      <c r="AU752" s="57">
        <f>IF(ISERROR(IF(B752=C752,J752/C752,(INT(J752/B752)+(((J752-B752*INT(J752/B752)))/C752)/100))),0,(IF(B752=C752,J752/C752,(INT(J752/B752)+(((J752-B752*INT(J752/B752)))/C752)/100))))</f>
        <v>0</v>
      </c>
      <c r="AV752" s="57">
        <f>IF(ISERROR(IF(B752=C752,K752/C752,IF((INT(K752/B752)+(((K752-B752*INT(K752/B752)))/C752)/100)&lt;0,(INT(K752/B752)+(((K752-B752*INT(K752/B752)))/C752)/100)+(1-(B752/C752/100)),(INT(K752/B752)+(((K752-B752*INT(K752/B752)))/C752)/100)))),0,IF(B752=C752,K752/C752,IF((INT(K752/B752)+(((K752-B752*INT(K752/B752)))/C752)/100)&lt;0,(INT(K752/B752)+(((K752-B752*INT(K752/B752)))/C752)/100)+(1-(B752/C752/100)),(INT(K752/B752)+(((K752-B752*INT(K752/B752)))/C752)/100))))</f>
        <v>0</v>
      </c>
      <c r="AW752" s="57">
        <f>IF(ISERROR(IF(B752=C752,L752/C752,(INT(L752/B752)+(((L752-B752*INT(L752/B752)))/C752)/100))),0,(IF(B752=C752,L752/C752,(INT(L752/B752)+(((L752-B752*INT(L752/B752)))/C752)/100))))</f>
        <v>0</v>
      </c>
      <c r="AX752" s="57">
        <f>IF(ISERROR(IF(B752=C752,M752/C752,(INT(M752/B752)+(((M752-B752*INT(M752/B752)))/C752)/100))),0,(IF(B752=C752,M752/C752,(INT(M752/B752)+(((M752-B752*INT(M752/B752)))/C752)/100))))</f>
        <v>0</v>
      </c>
      <c r="AY752" s="57">
        <f>IF(ISERROR(IF(B752=C752,N752/C752,IF((INT(N752/B752)+(((N752-B752*INT(N752/B752)))/C752)/100)&lt;0,(INT(N752/B752)+(((N752-B752*INT(N752/B752)))/C752)/100)+(1-(B752/C752/100)),(INT(N752/B752)+(((N752-B752*INT(N752/B752)))/C752)/100)))),0,IF(B752=C752,N752/C752,IF((INT(N752/B752)+(((N752-B752*INT(N752/B752)))/C752)/100)&lt;0,(INT(N752/B752)+(((N752-B752*INT(N752/B752)))/C752)/100)+(1-(B752/C752/100)),(INT(N752/B752)+(((N752-B752*INT(N752/B752)))/C752)/100))))</f>
        <v>0</v>
      </c>
      <c r="AZ752" s="57">
        <f>IF(ISERROR(IF(B752=C752,O752/C752,(INT(O752/B752)+(((O752-B752*INT(O752/B752)))/C752)/100))),0,(IF(B752=C752,O752/C752,(INT(O752/B752)+(((O752-B752*INT(O752/B752)))/C752)/100))))</f>
        <v>0</v>
      </c>
      <c r="BA752" s="57">
        <f>IF(ISERROR(IF(B752=C752,P752/C752,IF((INT(P752/B752)+(((P752-B752*INT(P752/B752)))/C752)/100)&lt;0,(INT(P752/B752)+(((P752-B752*INT(P752/B752)))/C752)/100)+(1-(B752/C752/100)),(INT(P752/B752)+(((P752-B752*INT(P752/B752)))/C752)/100)))),0,IF(B752=C752,P752/C752,IF((INT(P752/B752)+(((P752-B752*INT(P752/B752)))/C752)/100)&lt;0,(INT(P752/B752)+(((P752-B752*INT(P752/B752)))/C752)/100)+(1-(B752/C752/100)),(INT(P752/B752)+(((P752-B752*INT(P752/B752)))/C752)/100))))</f>
        <v>0</v>
      </c>
      <c r="BB752" s="28">
        <f>R752</f>
        <v>0</v>
      </c>
      <c r="BC752" s="28">
        <f>S752</f>
        <v>0</v>
      </c>
      <c r="BD752" s="28">
        <f>AF752</f>
        <v>0</v>
      </c>
      <c r="BE752" s="28">
        <f>T752</f>
        <v>0</v>
      </c>
      <c r="BG752" s="57">
        <f>IF(ISERROR(IF(B752=C752,V752/C752,(INT(V752/B752)+(((V752-B752*INT(V752/B752)))/C752)/100))),0,(IF(B752=C752,V752/C752,(INT(V752/B752)+(((V752-B752*INT(V752/B752)))/C752)/100))))</f>
        <v>0</v>
      </c>
      <c r="BH752" s="57">
        <f>IF(ISERROR(IF(B752=C752,W752/C752,(INT(W752/B752)+(((W752-B752*INT(W752/B752)))/C752)/100))),0,(IF(B752=C752,W752/C752,(INT(W752/B752)+(((W752-B752*INT(W752/B752)))/C752)/100))))</f>
        <v>0</v>
      </c>
      <c r="BI752" s="57">
        <f>IF(ISERROR(IF(B752=C752,X752/C752,(INT(X752/B752)+(((X752-B752*INT(X752/B752)))/C752)/100))),0,(IF(B752=C752,X752/C752,(INT(X752/B752)+(((X752-B752*INT(X752/B752)))/C752)/100))))</f>
        <v>0</v>
      </c>
      <c r="BJ752" s="57">
        <f>IF(ISERROR(IF(B752=C752,Y752/C752,(INT(Y752/B752)+(((Y752-B752*INT(Y752/B752)))/C752)/100))),0,(IF(B752=C752,Y752/C752,(INT(Y752/B752)+(((Y752-B752*INT(Y752/B752)))/C752)/100))))</f>
        <v>0</v>
      </c>
      <c r="BL752" s="57">
        <f>IF(ISERROR(IF(B752=C752,AA752/C752,(INT(AA752/B752)+(((AA752-B752*INT(AA752/B752)))/C752)/100))),0,(IF(B752=C752,AA752/C752,(INT(AA752/B752)+(((AA752-B752*INT(AA752/B752)))/C752)/100))))</f>
        <v>0</v>
      </c>
      <c r="BM752" s="57">
        <f>IF(ISERROR(IF(B752=C752,AB752/C752,(INT(AB752/B752)+(((AB752-B752*INT(AB752/B752)))/C752)/100))),0,(IF(B752=C752,AB752/C752,(INT(AB752/B752)+(((AB752-B752*INT(AB752/B752)))/C752)/100))))</f>
        <v>0</v>
      </c>
      <c r="BN752" s="57">
        <f>IF(ISERROR(IF(B752=C752,AC752/C752,(INT(AC752/B752)+(((AC752-B752*INT(AC752/B752)))/C752)/100))),0,(IF(B752=C752,AC752/C752,(INT(AC752/B752)+(((AC752-B752*INT(AC752/B752)))/C752)/100))))</f>
        <v>0</v>
      </c>
      <c r="BO752" s="57">
        <f>IF(ISERROR(IF(B752=C752,AD752/C752,(INT(AD752/B752)+(((AD752-B752*INT(AD752/B752)))/C752)/100))),0,(IF(B752=C752,AD752/C752,(INT(AD752/B752)+(((AD752-B752*INT(AD752/B752)))/C752)/100))))</f>
        <v>0</v>
      </c>
      <c r="BQ752" s="155"/>
    </row>
    <row r="753" spans="1:69" hidden="1" x14ac:dyDescent="0.35">
      <c r="A753" s="94"/>
      <c r="B753" s="113">
        <v>0</v>
      </c>
      <c r="C753" s="113">
        <v>250</v>
      </c>
      <c r="D753" s="28">
        <f>SUM(AA753:AD753)</f>
        <v>0</v>
      </c>
      <c r="E753" s="113">
        <v>0</v>
      </c>
      <c r="F753" s="113">
        <v>0</v>
      </c>
      <c r="G753" s="28">
        <f>SUM(D753:F753)</f>
        <v>0</v>
      </c>
      <c r="H753" s="125">
        <v>0</v>
      </c>
      <c r="I753" s="113">
        <v>0</v>
      </c>
      <c r="J753" s="125">
        <v>0</v>
      </c>
      <c r="K753" s="113">
        <v>0</v>
      </c>
      <c r="L753" s="113">
        <v>0</v>
      </c>
      <c r="M753" s="113">
        <v>0</v>
      </c>
      <c r="N753" s="28">
        <f>G753-SUM(H753:M753)</f>
        <v>0</v>
      </c>
      <c r="O753" s="28">
        <f>SUM(V753:Y753)</f>
        <v>0</v>
      </c>
      <c r="P753" s="28">
        <f>O753-N753</f>
        <v>0</v>
      </c>
      <c r="Q753" s="61" t="str">
        <f>IF(ISERROR(P753/SUM(H753:L753)),"",P753/SUM(H753:L753))</f>
        <v/>
      </c>
      <c r="R753" s="113">
        <v>0</v>
      </c>
      <c r="S753" s="28">
        <f>IF(ISERROR(P753/C753*R753),0,(P753/C753*R753))</f>
        <v>0</v>
      </c>
      <c r="T753" s="60">
        <f>IF(ISERROR(P753/B753*AF753),0,(P753/B753*AF753))</f>
        <v>0</v>
      </c>
      <c r="V753" s="113">
        <v>0</v>
      </c>
      <c r="W753" s="113">
        <v>0</v>
      </c>
      <c r="X753" s="113">
        <v>0</v>
      </c>
      <c r="Y753" s="113">
        <v>0</v>
      </c>
      <c r="AA753" s="113">
        <v>0</v>
      </c>
      <c r="AB753" s="113">
        <v>0</v>
      </c>
      <c r="AC753" s="113">
        <v>0</v>
      </c>
      <c r="AD753" s="113">
        <v>0</v>
      </c>
      <c r="AF753" s="113">
        <v>0</v>
      </c>
      <c r="AG753" s="28">
        <f>G753-O753</f>
        <v>0</v>
      </c>
      <c r="AH753" s="58">
        <f>IF(ISERROR(AG753/B753*AF753),0,(AG753/B753*AF753))</f>
        <v>0</v>
      </c>
      <c r="AI753" s="28">
        <f>SUM(H753:M753)</f>
        <v>0</v>
      </c>
      <c r="AJ753" s="28">
        <f>IF(ISERROR(AI753/B753*AF753),0,(AI753/B753*AF753))</f>
        <v>0</v>
      </c>
      <c r="AK753" s="58">
        <f>IF(ISERROR(O753/B753*AF753),0,(O753/B753*AF753))</f>
        <v>0</v>
      </c>
      <c r="AL753" s="28">
        <f>IF(ISERROR(H753/B753*AF753),0,(H753/B753*AF753))</f>
        <v>0</v>
      </c>
      <c r="AN753" s="51">
        <f>A753</f>
        <v>0</v>
      </c>
      <c r="AO753" s="57">
        <f>IF(ISERROR(IF(B753=C753,D753/C753,(INT(D753/B753)+(((D753-B753*INT(D753/B753)))/C753)/100))),0,(IF(B753=C753,D753/C753,(INT(D753/B753)+(((D753-B753*INT(D753/B753)))/C753)/100))))</f>
        <v>0</v>
      </c>
      <c r="AP753" s="57">
        <f>IF(ISERROR(IF(B753=C753,E753/C753,(INT(E753/B753)+(((E753-B753*INT(E753/B753)))/C753)/100))),0,(IF(B753=C753,E753/C753,(INT(E753/B753)+(((E753-B753*INT(E753/B753)))/C753)/100))))</f>
        <v>0</v>
      </c>
      <c r="AQ753" s="57">
        <f>IF(ISERROR(IF(B753=C753,F753/C753,IF((INT(F753/B753)+(((F753-B753*INT(F753/B753)))/C753)/100)&lt;0,(INT(F753/B753)+(((F753-B753*INT(F753/B753)))/C753)/100)+(1-(B753/C753/100)),(INT(F753/B753)+(((F753-B753*INT(F753/B753)))/C753)/100)))),0,IF(B753=C753,F753/C753,IF((INT(F753/B753)+(((F753-B753*INT(F753/B753)))/C753)/100)&lt;0,(INT(F753/B753)+(((F753-B753*INT(F753/B753)))/C753)/100)+(1-(B753/C753/100)),(INT(F753/B753)+(((F753-B753*INT(F753/B753)))/C753)/100))))</f>
        <v>0</v>
      </c>
      <c r="AR753" s="57">
        <f>IF(ISERROR(IF(B753=C753,G753/C753,(INT(G753/B753)+(((G753-B753*INT(G753/B753)))/C753)/100))),0,(IF(B753=C753,G753/C753,(INT(G753/B753)+(((G753-B753*INT(G753/B753)))/C753)/100))))</f>
        <v>0</v>
      </c>
      <c r="AS753" s="57">
        <f>IF(ISERROR(IF(B753=C753,H753/C753,(INT(H753/B753)+(((H753-B753*INT(H753/B753)))/C753)/100))),0,(IF(B753=C753,H753/C753,(INT(H753/B753)+(((H753-B753*INT(H753/B753)))/C753)/100))))</f>
        <v>0</v>
      </c>
      <c r="AT753" s="57">
        <f>IF(ISERROR(IF(B753=C753,I753/C753,(INT(I753/B753)+(((I753-B753*INT(I753/B753)))/C753)/100))),0,(IF(B753=C753,I753/C753,(INT(I753/B753)+(((I753-B753*INT(I753/B753)))/C753)/100))))</f>
        <v>0</v>
      </c>
      <c r="AU753" s="57">
        <f>IF(ISERROR(IF(B753=C753,J753/C753,(INT(J753/B753)+(((J753-B753*INT(J753/B753)))/C753)/100))),0,(IF(B753=C753,J753/C753,(INT(J753/B753)+(((J753-B753*INT(J753/B753)))/C753)/100))))</f>
        <v>0</v>
      </c>
      <c r="AV753" s="57">
        <f>IF(ISERROR(IF(B753=C753,K753/C753,IF((INT(K753/B753)+(((K753-B753*INT(K753/B753)))/C753)/100)&lt;0,(INT(K753/B753)+(((K753-B753*INT(K753/B753)))/C753)/100)+(1-(B753/C753/100)),(INT(K753/B753)+(((K753-B753*INT(K753/B753)))/C753)/100)))),0,IF(B753=C753,K753/C753,IF((INT(K753/B753)+(((K753-B753*INT(K753/B753)))/C753)/100)&lt;0,(INT(K753/B753)+(((K753-B753*INT(K753/B753)))/C753)/100)+(1-(B753/C753/100)),(INT(K753/B753)+(((K753-B753*INT(K753/B753)))/C753)/100))))</f>
        <v>0</v>
      </c>
      <c r="AW753" s="57">
        <f>IF(ISERROR(IF(B753=C753,L753/C753,(INT(L753/B753)+(((L753-B753*INT(L753/B753)))/C753)/100))),0,(IF(B753=C753,L753/C753,(INT(L753/B753)+(((L753-B753*INT(L753/B753)))/C753)/100))))</f>
        <v>0</v>
      </c>
      <c r="AX753" s="57">
        <f>IF(ISERROR(IF(B753=C753,M753/C753,(INT(M753/B753)+(((M753-B753*INT(M753/B753)))/C753)/100))),0,(IF(B753=C753,M753/C753,(INT(M753/B753)+(((M753-B753*INT(M753/B753)))/C753)/100))))</f>
        <v>0</v>
      </c>
      <c r="AY753" s="57">
        <f>IF(ISERROR(IF(B753=C753,N753/C753,IF((INT(N753/B753)+(((N753-B753*INT(N753/B753)))/C753)/100)&lt;0,(INT(N753/B753)+(((N753-B753*INT(N753/B753)))/C753)/100)+(1-(B753/C753/100)),(INT(N753/B753)+(((N753-B753*INT(N753/B753)))/C753)/100)))),0,IF(B753=C753,N753/C753,IF((INT(N753/B753)+(((N753-B753*INT(N753/B753)))/C753)/100)&lt;0,(INT(N753/B753)+(((N753-B753*INT(N753/B753)))/C753)/100)+(1-(B753/C753/100)),(INT(N753/B753)+(((N753-B753*INT(N753/B753)))/C753)/100))))</f>
        <v>0</v>
      </c>
      <c r="AZ753" s="57">
        <f>IF(ISERROR(IF(B753=C753,O753/C753,(INT(O753/B753)+(((O753-B753*INT(O753/B753)))/C753)/100))),0,(IF(B753=C753,O753/C753,(INT(O753/B753)+(((O753-B753*INT(O753/B753)))/C753)/100))))</f>
        <v>0</v>
      </c>
      <c r="BA753" s="57">
        <f>IF(ISERROR(IF(B753=C753,P753/C753,IF((INT(P753/B753)+(((P753-B753*INT(P753/B753)))/C753)/100)&lt;0,(INT(P753/B753)+(((P753-B753*INT(P753/B753)))/C753)/100)+(1-(B753/C753/100)),(INT(P753/B753)+(((P753-B753*INT(P753/B753)))/C753)/100)))),0,IF(B753=C753,P753/C753,IF((INT(P753/B753)+(((P753-B753*INT(P753/B753)))/C753)/100)&lt;0,(INT(P753/B753)+(((P753-B753*INT(P753/B753)))/C753)/100)+(1-(B753/C753/100)),(INT(P753/B753)+(((P753-B753*INT(P753/B753)))/C753)/100))))</f>
        <v>0</v>
      </c>
      <c r="BB753" s="28">
        <f>R753</f>
        <v>0</v>
      </c>
      <c r="BC753" s="28">
        <f>S753</f>
        <v>0</v>
      </c>
      <c r="BD753" s="28">
        <f>AF753</f>
        <v>0</v>
      </c>
      <c r="BE753" s="28">
        <f>T753</f>
        <v>0</v>
      </c>
      <c r="BG753" s="57">
        <f>IF(ISERROR(IF(B753=C753,V753/C753,(INT(V753/B753)+(((V753-B753*INT(V753/B753)))/C753)/100))),0,(IF(B753=C753,V753/C753,(INT(V753/B753)+(((V753-B753*INT(V753/B753)))/C753)/100))))</f>
        <v>0</v>
      </c>
      <c r="BH753" s="57">
        <f>IF(ISERROR(IF(B753=C753,W753/C753,(INT(W753/B753)+(((W753-B753*INT(W753/B753)))/C753)/100))),0,(IF(B753=C753,W753/C753,(INT(W753/B753)+(((W753-B753*INT(W753/B753)))/C753)/100))))</f>
        <v>0</v>
      </c>
      <c r="BI753" s="57">
        <f>IF(ISERROR(IF(B753=C753,X753/C753,(INT(X753/B753)+(((X753-B753*INT(X753/B753)))/C753)/100))),0,(IF(B753=C753,X753/C753,(INT(X753/B753)+(((X753-B753*INT(X753/B753)))/C753)/100))))</f>
        <v>0</v>
      </c>
      <c r="BJ753" s="57">
        <f>IF(ISERROR(IF(B753=C753,Y753/C753,(INT(Y753/B753)+(((Y753-B753*INT(Y753/B753)))/C753)/100))),0,(IF(B753=C753,Y753/C753,(INT(Y753/B753)+(((Y753-B753*INT(Y753/B753)))/C753)/100))))</f>
        <v>0</v>
      </c>
      <c r="BL753" s="57">
        <f>IF(ISERROR(IF(B753=C753,AA753/C753,(INT(AA753/B753)+(((AA753-B753*INT(AA753/B753)))/C753)/100))),0,(IF(B753=C753,AA753/C753,(INT(AA753/B753)+(((AA753-B753*INT(AA753/B753)))/C753)/100))))</f>
        <v>0</v>
      </c>
      <c r="BM753" s="57">
        <f>IF(ISERROR(IF(B753=C753,AB753/C753,(INT(AB753/B753)+(((AB753-B753*INT(AB753/B753)))/C753)/100))),0,(IF(B753=C753,AB753/C753,(INT(AB753/B753)+(((AB753-B753*INT(AB753/B753)))/C753)/100))))</f>
        <v>0</v>
      </c>
      <c r="BN753" s="57">
        <f>IF(ISERROR(IF(B753=C753,AC753/C753,(INT(AC753/B753)+(((AC753-B753*INT(AC753/B753)))/C753)/100))),0,(IF(B753=C753,AC753/C753,(INT(AC753/B753)+(((AC753-B753*INT(AC753/B753)))/C753)/100))))</f>
        <v>0</v>
      </c>
      <c r="BO753" s="57">
        <f>IF(ISERROR(IF(B753=C753,AD753/C753,(INT(AD753/B753)+(((AD753-B753*INT(AD753/B753)))/C753)/100))),0,(IF(B753=C753,AD753/C753,(INT(AD753/B753)+(((AD753-B753*INT(AD753/B753)))/C753)/100))))</f>
        <v>0</v>
      </c>
      <c r="BQ753" s="155"/>
    </row>
    <row r="754" spans="1:69" hidden="1" x14ac:dyDescent="0.35">
      <c r="A754" s="94"/>
      <c r="B754" s="113">
        <v>0</v>
      </c>
      <c r="C754" s="113">
        <v>250</v>
      </c>
      <c r="D754" s="28">
        <f>SUM(AA754:AD754)</f>
        <v>0</v>
      </c>
      <c r="E754" s="113">
        <v>0</v>
      </c>
      <c r="F754" s="113">
        <v>0</v>
      </c>
      <c r="G754" s="28">
        <f>SUM(D754:F754)</f>
        <v>0</v>
      </c>
      <c r="H754" s="125">
        <v>0</v>
      </c>
      <c r="I754" s="113">
        <v>0</v>
      </c>
      <c r="J754" s="125">
        <v>0</v>
      </c>
      <c r="K754" s="113">
        <v>0</v>
      </c>
      <c r="L754" s="113">
        <v>0</v>
      </c>
      <c r="M754" s="113">
        <v>0</v>
      </c>
      <c r="N754" s="28">
        <f>G754-SUM(H754:M754)</f>
        <v>0</v>
      </c>
      <c r="O754" s="28">
        <f>SUM(V754:Y754)</f>
        <v>0</v>
      </c>
      <c r="P754" s="28">
        <f>O754-N754</f>
        <v>0</v>
      </c>
      <c r="Q754" s="61" t="str">
        <f>IF(ISERROR(P754/SUM(H754:L754)),"",P754/SUM(H754:L754))</f>
        <v/>
      </c>
      <c r="R754" s="113">
        <v>0</v>
      </c>
      <c r="S754" s="28">
        <f>IF(ISERROR(P754/C754*R754),0,(P754/C754*R754))</f>
        <v>0</v>
      </c>
      <c r="T754" s="60">
        <f>IF(ISERROR(P754/B754*AF754),0,(P754/B754*AF754))</f>
        <v>0</v>
      </c>
      <c r="V754" s="113">
        <v>0</v>
      </c>
      <c r="W754" s="113">
        <v>0</v>
      </c>
      <c r="X754" s="113">
        <v>0</v>
      </c>
      <c r="Y754" s="113">
        <v>0</v>
      </c>
      <c r="AA754" s="113">
        <v>0</v>
      </c>
      <c r="AB754" s="113">
        <v>0</v>
      </c>
      <c r="AC754" s="113">
        <v>0</v>
      </c>
      <c r="AD754" s="113">
        <v>0</v>
      </c>
      <c r="AF754" s="113">
        <v>0</v>
      </c>
      <c r="AG754" s="28">
        <f>G754-O754</f>
        <v>0</v>
      </c>
      <c r="AH754" s="58">
        <f>IF(ISERROR(AG754/B754*AF754),0,(AG754/B754*AF754))</f>
        <v>0</v>
      </c>
      <c r="AI754" s="28">
        <f>SUM(H754:M754)</f>
        <v>0</v>
      </c>
      <c r="AJ754" s="28">
        <f>IF(ISERROR(AI754/B754*AF754),0,(AI754/B754*AF754))</f>
        <v>0</v>
      </c>
      <c r="AK754" s="58">
        <f>IF(ISERROR(O754/B754*AF754),0,(O754/B754*AF754))</f>
        <v>0</v>
      </c>
      <c r="AL754" s="28">
        <f>IF(ISERROR(H754/B754*AF754),0,(H754/B754*AF754))</f>
        <v>0</v>
      </c>
      <c r="AN754" s="51">
        <f>A754</f>
        <v>0</v>
      </c>
      <c r="AO754" s="57">
        <f>IF(ISERROR(IF(B754=C754,D754/C754,(INT(D754/B754)+(((D754-B754*INT(D754/B754)))/C754)/100))),0,(IF(B754=C754,D754/C754,(INT(D754/B754)+(((D754-B754*INT(D754/B754)))/C754)/100))))</f>
        <v>0</v>
      </c>
      <c r="AP754" s="57">
        <f>IF(ISERROR(IF(B754=C754,E754/C754,(INT(E754/B754)+(((E754-B754*INT(E754/B754)))/C754)/100))),0,(IF(B754=C754,E754/C754,(INT(E754/B754)+(((E754-B754*INT(E754/B754)))/C754)/100))))</f>
        <v>0</v>
      </c>
      <c r="AQ754" s="57">
        <f>IF(ISERROR(IF(B754=C754,F754/C754,IF((INT(F754/B754)+(((F754-B754*INT(F754/B754)))/C754)/100)&lt;0,(INT(F754/B754)+(((F754-B754*INT(F754/B754)))/C754)/100)+(1-(B754/C754/100)),(INT(F754/B754)+(((F754-B754*INT(F754/B754)))/C754)/100)))),0,IF(B754=C754,F754/C754,IF((INT(F754/B754)+(((F754-B754*INT(F754/B754)))/C754)/100)&lt;0,(INT(F754/B754)+(((F754-B754*INT(F754/B754)))/C754)/100)+(1-(B754/C754/100)),(INT(F754/B754)+(((F754-B754*INT(F754/B754)))/C754)/100))))</f>
        <v>0</v>
      </c>
      <c r="AR754" s="57">
        <f>IF(ISERROR(IF(B754=C754,G754/C754,(INT(G754/B754)+(((G754-B754*INT(G754/B754)))/C754)/100))),0,(IF(B754=C754,G754/C754,(INT(G754/B754)+(((G754-B754*INT(G754/B754)))/C754)/100))))</f>
        <v>0</v>
      </c>
      <c r="AS754" s="57">
        <f>IF(ISERROR(IF(B754=C754,H754/C754,(INT(H754/B754)+(((H754-B754*INT(H754/B754)))/C754)/100))),0,(IF(B754=C754,H754/C754,(INT(H754/B754)+(((H754-B754*INT(H754/B754)))/C754)/100))))</f>
        <v>0</v>
      </c>
      <c r="AT754" s="57">
        <f>IF(ISERROR(IF(B754=C754,I754/C754,(INT(I754/B754)+(((I754-B754*INT(I754/B754)))/C754)/100))),0,(IF(B754=C754,I754/C754,(INT(I754/B754)+(((I754-B754*INT(I754/B754)))/C754)/100))))</f>
        <v>0</v>
      </c>
      <c r="AU754" s="57">
        <f>IF(ISERROR(IF(B754=C754,J754/C754,(INT(J754/B754)+(((J754-B754*INT(J754/B754)))/C754)/100))),0,(IF(B754=C754,J754/C754,(INT(J754/B754)+(((J754-B754*INT(J754/B754)))/C754)/100))))</f>
        <v>0</v>
      </c>
      <c r="AV754" s="57">
        <f>IF(ISERROR(IF(B754=C754,K754/C754,IF((INT(K754/B754)+(((K754-B754*INT(K754/B754)))/C754)/100)&lt;0,(INT(K754/B754)+(((K754-B754*INT(K754/B754)))/C754)/100)+(1-(B754/C754/100)),(INT(K754/B754)+(((K754-B754*INT(K754/B754)))/C754)/100)))),0,IF(B754=C754,K754/C754,IF((INT(K754/B754)+(((K754-B754*INT(K754/B754)))/C754)/100)&lt;0,(INT(K754/B754)+(((K754-B754*INT(K754/B754)))/C754)/100)+(1-(B754/C754/100)),(INT(K754/B754)+(((K754-B754*INT(K754/B754)))/C754)/100))))</f>
        <v>0</v>
      </c>
      <c r="AW754" s="57">
        <f>IF(ISERROR(IF(B754=C754,L754/C754,(INT(L754/B754)+(((L754-B754*INT(L754/B754)))/C754)/100))),0,(IF(B754=C754,L754/C754,(INT(L754/B754)+(((L754-B754*INT(L754/B754)))/C754)/100))))</f>
        <v>0</v>
      </c>
      <c r="AX754" s="57">
        <f>IF(ISERROR(IF(B754=C754,M754/C754,(INT(M754/B754)+(((M754-B754*INT(M754/B754)))/C754)/100))),0,(IF(B754=C754,M754/C754,(INT(M754/B754)+(((M754-B754*INT(M754/B754)))/C754)/100))))</f>
        <v>0</v>
      </c>
      <c r="AY754" s="57">
        <f>IF(ISERROR(IF(B754=C754,N754/C754,IF((INT(N754/B754)+(((N754-B754*INT(N754/B754)))/C754)/100)&lt;0,(INT(N754/B754)+(((N754-B754*INT(N754/B754)))/C754)/100)+(1-(B754/C754/100)),(INT(N754/B754)+(((N754-B754*INT(N754/B754)))/C754)/100)))),0,IF(B754=C754,N754/C754,IF((INT(N754/B754)+(((N754-B754*INT(N754/B754)))/C754)/100)&lt;0,(INT(N754/B754)+(((N754-B754*INT(N754/B754)))/C754)/100)+(1-(B754/C754/100)),(INT(N754/B754)+(((N754-B754*INT(N754/B754)))/C754)/100))))</f>
        <v>0</v>
      </c>
      <c r="AZ754" s="57">
        <f>IF(ISERROR(IF(B754=C754,O754/C754,(INT(O754/B754)+(((O754-B754*INT(O754/B754)))/C754)/100))),0,(IF(B754=C754,O754/C754,(INT(O754/B754)+(((O754-B754*INT(O754/B754)))/C754)/100))))</f>
        <v>0</v>
      </c>
      <c r="BA754" s="57">
        <f>IF(ISERROR(IF(B754=C754,P754/C754,IF((INT(P754/B754)+(((P754-B754*INT(P754/B754)))/C754)/100)&lt;0,(INT(P754/B754)+(((P754-B754*INT(P754/B754)))/C754)/100)+(1-(B754/C754/100)),(INT(P754/B754)+(((P754-B754*INT(P754/B754)))/C754)/100)))),0,IF(B754=C754,P754/C754,IF((INT(P754/B754)+(((P754-B754*INT(P754/B754)))/C754)/100)&lt;0,(INT(P754/B754)+(((P754-B754*INT(P754/B754)))/C754)/100)+(1-(B754/C754/100)),(INT(P754/B754)+(((P754-B754*INT(P754/B754)))/C754)/100))))</f>
        <v>0</v>
      </c>
      <c r="BB754" s="28">
        <f>R754</f>
        <v>0</v>
      </c>
      <c r="BC754" s="28">
        <f>S754</f>
        <v>0</v>
      </c>
      <c r="BD754" s="28">
        <f>AF754</f>
        <v>0</v>
      </c>
      <c r="BE754" s="28">
        <f>T754</f>
        <v>0</v>
      </c>
      <c r="BG754" s="57">
        <f>IF(ISERROR(IF(B754=C754,V754/C754,(INT(V754/B754)+(((V754-B754*INT(V754/B754)))/C754)/100))),0,(IF(B754=C754,V754/C754,(INT(V754/B754)+(((V754-B754*INT(V754/B754)))/C754)/100))))</f>
        <v>0</v>
      </c>
      <c r="BH754" s="57">
        <f>IF(ISERROR(IF(B754=C754,W754/C754,(INT(W754/B754)+(((W754-B754*INT(W754/B754)))/C754)/100))),0,(IF(B754=C754,W754/C754,(INT(W754/B754)+(((W754-B754*INT(W754/B754)))/C754)/100))))</f>
        <v>0</v>
      </c>
      <c r="BI754" s="57">
        <f>IF(ISERROR(IF(B754=C754,X754/C754,(INT(X754/B754)+(((X754-B754*INT(X754/B754)))/C754)/100))),0,(IF(B754=C754,X754/C754,(INT(X754/B754)+(((X754-B754*INT(X754/B754)))/C754)/100))))</f>
        <v>0</v>
      </c>
      <c r="BJ754" s="57">
        <f>IF(ISERROR(IF(B754=C754,Y754/C754,(INT(Y754/B754)+(((Y754-B754*INT(Y754/B754)))/C754)/100))),0,(IF(B754=C754,Y754/C754,(INT(Y754/B754)+(((Y754-B754*INT(Y754/B754)))/C754)/100))))</f>
        <v>0</v>
      </c>
      <c r="BL754" s="57">
        <f>IF(ISERROR(IF(B754=C754,AA754/C754,(INT(AA754/B754)+(((AA754-B754*INT(AA754/B754)))/C754)/100))),0,(IF(B754=C754,AA754/C754,(INT(AA754/B754)+(((AA754-B754*INT(AA754/B754)))/C754)/100))))</f>
        <v>0</v>
      </c>
      <c r="BM754" s="57">
        <f>IF(ISERROR(IF(B754=C754,AB754/C754,(INT(AB754/B754)+(((AB754-B754*INT(AB754/B754)))/C754)/100))),0,(IF(B754=C754,AB754/C754,(INT(AB754/B754)+(((AB754-B754*INT(AB754/B754)))/C754)/100))))</f>
        <v>0</v>
      </c>
      <c r="BN754" s="57">
        <f>IF(ISERROR(IF(B754=C754,AC754/C754,(INT(AC754/B754)+(((AC754-B754*INT(AC754/B754)))/C754)/100))),0,(IF(B754=C754,AC754/C754,(INT(AC754/B754)+(((AC754-B754*INT(AC754/B754)))/C754)/100))))</f>
        <v>0</v>
      </c>
      <c r="BO754" s="57">
        <f>IF(ISERROR(IF(B754=C754,AD754/C754,(INT(AD754/B754)+(((AD754-B754*INT(AD754/B754)))/C754)/100))),0,(IF(B754=C754,AD754/C754,(INT(AD754/B754)+(((AD754-B754*INT(AD754/B754)))/C754)/100))))</f>
        <v>0</v>
      </c>
      <c r="BQ754" s="155"/>
    </row>
    <row r="755" spans="1:69" hidden="1" x14ac:dyDescent="0.35">
      <c r="A755" s="94"/>
      <c r="B755" s="113">
        <v>0</v>
      </c>
      <c r="C755" s="113">
        <v>250</v>
      </c>
      <c r="D755" s="28">
        <f>SUM(AA755:AD755)</f>
        <v>0</v>
      </c>
      <c r="E755" s="113">
        <v>0</v>
      </c>
      <c r="F755" s="113">
        <v>0</v>
      </c>
      <c r="G755" s="28">
        <f>SUM(D755:F755)</f>
        <v>0</v>
      </c>
      <c r="H755" s="125">
        <v>0</v>
      </c>
      <c r="I755" s="113">
        <v>0</v>
      </c>
      <c r="J755" s="125">
        <v>0</v>
      </c>
      <c r="K755" s="113">
        <v>0</v>
      </c>
      <c r="L755" s="113">
        <v>0</v>
      </c>
      <c r="M755" s="113">
        <v>0</v>
      </c>
      <c r="N755" s="28">
        <f>G755-SUM(H755:M755)</f>
        <v>0</v>
      </c>
      <c r="O755" s="28">
        <f>SUM(V755:Y755)</f>
        <v>0</v>
      </c>
      <c r="P755" s="28">
        <f>O755-N755</f>
        <v>0</v>
      </c>
      <c r="Q755" s="61" t="str">
        <f>IF(ISERROR(P755/SUM(H755:L755)),"",P755/SUM(H755:L755))</f>
        <v/>
      </c>
      <c r="R755" s="113">
        <v>0</v>
      </c>
      <c r="S755" s="28">
        <f>IF(ISERROR(P755/C755*R755),0,(P755/C755*R755))</f>
        <v>0</v>
      </c>
      <c r="T755" s="60">
        <f>IF(ISERROR(P755/B755*AF755),0,(P755/B755*AF755))</f>
        <v>0</v>
      </c>
      <c r="V755" s="113">
        <v>0</v>
      </c>
      <c r="W755" s="113">
        <v>0</v>
      </c>
      <c r="X755" s="113">
        <v>0</v>
      </c>
      <c r="Y755" s="113">
        <v>0</v>
      </c>
      <c r="AA755" s="113">
        <v>0</v>
      </c>
      <c r="AB755" s="113">
        <v>0</v>
      </c>
      <c r="AC755" s="113">
        <v>0</v>
      </c>
      <c r="AD755" s="113">
        <v>0</v>
      </c>
      <c r="AF755" s="113">
        <v>0</v>
      </c>
      <c r="AG755" s="28">
        <f>G755-O755</f>
        <v>0</v>
      </c>
      <c r="AH755" s="58">
        <f>IF(ISERROR(AG755/B755*AF755),0,(AG755/B755*AF755))</f>
        <v>0</v>
      </c>
      <c r="AI755" s="28">
        <f>SUM(H755:M755)</f>
        <v>0</v>
      </c>
      <c r="AJ755" s="28">
        <f>IF(ISERROR(AI755/B755*AF755),0,(AI755/B755*AF755))</f>
        <v>0</v>
      </c>
      <c r="AK755" s="58">
        <f>IF(ISERROR(O755/B755*AF755),0,(O755/B755*AF755))</f>
        <v>0</v>
      </c>
      <c r="AL755" s="28">
        <f>IF(ISERROR(H755/B755*AF755),0,(H755/B755*AF755))</f>
        <v>0</v>
      </c>
      <c r="AN755" s="51">
        <f>A755</f>
        <v>0</v>
      </c>
      <c r="AO755" s="57">
        <f>IF(ISERROR(IF(B755=C755,D755/C755,(INT(D755/B755)+(((D755-B755*INT(D755/B755)))/C755)/100))),0,(IF(B755=C755,D755/C755,(INT(D755/B755)+(((D755-B755*INT(D755/B755)))/C755)/100))))</f>
        <v>0</v>
      </c>
      <c r="AP755" s="57">
        <f>IF(ISERROR(IF(B755=C755,E755/C755,(INT(E755/B755)+(((E755-B755*INT(E755/B755)))/C755)/100))),0,(IF(B755=C755,E755/C755,(INT(E755/B755)+(((E755-B755*INT(E755/B755)))/C755)/100))))</f>
        <v>0</v>
      </c>
      <c r="AQ755" s="57">
        <f>IF(ISERROR(IF(B755=C755,F755/C755,IF((INT(F755/B755)+(((F755-B755*INT(F755/B755)))/C755)/100)&lt;0,(INT(F755/B755)+(((F755-B755*INT(F755/B755)))/C755)/100)+(1-(B755/C755/100)),(INT(F755/B755)+(((F755-B755*INT(F755/B755)))/C755)/100)))),0,IF(B755=C755,F755/C755,IF((INT(F755/B755)+(((F755-B755*INT(F755/B755)))/C755)/100)&lt;0,(INT(F755/B755)+(((F755-B755*INT(F755/B755)))/C755)/100)+(1-(B755/C755/100)),(INT(F755/B755)+(((F755-B755*INT(F755/B755)))/C755)/100))))</f>
        <v>0</v>
      </c>
      <c r="AR755" s="57">
        <f>IF(ISERROR(IF(B755=C755,G755/C755,(INT(G755/B755)+(((G755-B755*INT(G755/B755)))/C755)/100))),0,(IF(B755=C755,G755/C755,(INT(G755/B755)+(((G755-B755*INT(G755/B755)))/C755)/100))))</f>
        <v>0</v>
      </c>
      <c r="AS755" s="57">
        <f>IF(ISERROR(IF(B755=C755,H755/C755,(INT(H755/B755)+(((H755-B755*INT(H755/B755)))/C755)/100))),0,(IF(B755=C755,H755/C755,(INT(H755/B755)+(((H755-B755*INT(H755/B755)))/C755)/100))))</f>
        <v>0</v>
      </c>
      <c r="AT755" s="57">
        <f>IF(ISERROR(IF(B755=C755,I755/C755,(INT(I755/B755)+(((I755-B755*INT(I755/B755)))/C755)/100))),0,(IF(B755=C755,I755/C755,(INT(I755/B755)+(((I755-B755*INT(I755/B755)))/C755)/100))))</f>
        <v>0</v>
      </c>
      <c r="AU755" s="57">
        <f>IF(ISERROR(IF(B755=C755,J755/C755,(INT(J755/B755)+(((J755-B755*INT(J755/B755)))/C755)/100))),0,(IF(B755=C755,J755/C755,(INT(J755/B755)+(((J755-B755*INT(J755/B755)))/C755)/100))))</f>
        <v>0</v>
      </c>
      <c r="AV755" s="57">
        <f>IF(ISERROR(IF(B755=C755,K755/C755,IF((INT(K755/B755)+(((K755-B755*INT(K755/B755)))/C755)/100)&lt;0,(INT(K755/B755)+(((K755-B755*INT(K755/B755)))/C755)/100)+(1-(B755/C755/100)),(INT(K755/B755)+(((K755-B755*INT(K755/B755)))/C755)/100)))),0,IF(B755=C755,K755/C755,IF((INT(K755/B755)+(((K755-B755*INT(K755/B755)))/C755)/100)&lt;0,(INT(K755/B755)+(((K755-B755*INT(K755/B755)))/C755)/100)+(1-(B755/C755/100)),(INT(K755/B755)+(((K755-B755*INT(K755/B755)))/C755)/100))))</f>
        <v>0</v>
      </c>
      <c r="AW755" s="57">
        <f>IF(ISERROR(IF(B755=C755,L755/C755,(INT(L755/B755)+(((L755-B755*INT(L755/B755)))/C755)/100))),0,(IF(B755=C755,L755/C755,(INT(L755/B755)+(((L755-B755*INT(L755/B755)))/C755)/100))))</f>
        <v>0</v>
      </c>
      <c r="AX755" s="57">
        <f>IF(ISERROR(IF(B755=C755,M755/C755,(INT(M755/B755)+(((M755-B755*INT(M755/B755)))/C755)/100))),0,(IF(B755=C755,M755/C755,(INT(M755/B755)+(((M755-B755*INT(M755/B755)))/C755)/100))))</f>
        <v>0</v>
      </c>
      <c r="AY755" s="57">
        <f>IF(ISERROR(IF(B755=C755,N755/C755,IF((INT(N755/B755)+(((N755-B755*INT(N755/B755)))/C755)/100)&lt;0,(INT(N755/B755)+(((N755-B755*INT(N755/B755)))/C755)/100)+(1-(B755/C755/100)),(INT(N755/B755)+(((N755-B755*INT(N755/B755)))/C755)/100)))),0,IF(B755=C755,N755/C755,IF((INT(N755/B755)+(((N755-B755*INT(N755/B755)))/C755)/100)&lt;0,(INT(N755/B755)+(((N755-B755*INT(N755/B755)))/C755)/100)+(1-(B755/C755/100)),(INT(N755/B755)+(((N755-B755*INT(N755/B755)))/C755)/100))))</f>
        <v>0</v>
      </c>
      <c r="AZ755" s="57">
        <f>IF(ISERROR(IF(B755=C755,O755/C755,(INT(O755/B755)+(((O755-B755*INT(O755/B755)))/C755)/100))),0,(IF(B755=C755,O755/C755,(INT(O755/B755)+(((O755-B755*INT(O755/B755)))/C755)/100))))</f>
        <v>0</v>
      </c>
      <c r="BA755" s="57">
        <f>IF(ISERROR(IF(B755=C755,P755/C755,IF((INT(P755/B755)+(((P755-B755*INT(P755/B755)))/C755)/100)&lt;0,(INT(P755/B755)+(((P755-B755*INT(P755/B755)))/C755)/100)+(1-(B755/C755/100)),(INT(P755/B755)+(((P755-B755*INT(P755/B755)))/C755)/100)))),0,IF(B755=C755,P755/C755,IF((INT(P755/B755)+(((P755-B755*INT(P755/B755)))/C755)/100)&lt;0,(INT(P755/B755)+(((P755-B755*INT(P755/B755)))/C755)/100)+(1-(B755/C755/100)),(INT(P755/B755)+(((P755-B755*INT(P755/B755)))/C755)/100))))</f>
        <v>0</v>
      </c>
      <c r="BB755" s="28">
        <f>R755</f>
        <v>0</v>
      </c>
      <c r="BC755" s="28">
        <f>S755</f>
        <v>0</v>
      </c>
      <c r="BD755" s="28">
        <f>AF755</f>
        <v>0</v>
      </c>
      <c r="BE755" s="28">
        <f>T755</f>
        <v>0</v>
      </c>
      <c r="BG755" s="57">
        <f>IF(ISERROR(IF(B755=C755,V755/C755,(INT(V755/B755)+(((V755-B755*INT(V755/B755)))/C755)/100))),0,(IF(B755=C755,V755/C755,(INT(V755/B755)+(((V755-B755*INT(V755/B755)))/C755)/100))))</f>
        <v>0</v>
      </c>
      <c r="BH755" s="57">
        <f>IF(ISERROR(IF(B755=C755,W755/C755,(INT(W755/B755)+(((W755-B755*INT(W755/B755)))/C755)/100))),0,(IF(B755=C755,W755/C755,(INT(W755/B755)+(((W755-B755*INT(W755/B755)))/C755)/100))))</f>
        <v>0</v>
      </c>
      <c r="BI755" s="57">
        <f>IF(ISERROR(IF(B755=C755,X755/C755,(INT(X755/B755)+(((X755-B755*INT(X755/B755)))/C755)/100))),0,(IF(B755=C755,X755/C755,(INT(X755/B755)+(((X755-B755*INT(X755/B755)))/C755)/100))))</f>
        <v>0</v>
      </c>
      <c r="BJ755" s="57">
        <f>IF(ISERROR(IF(B755=C755,Y755/C755,(INT(Y755/B755)+(((Y755-B755*INT(Y755/B755)))/C755)/100))),0,(IF(B755=C755,Y755/C755,(INT(Y755/B755)+(((Y755-B755*INT(Y755/B755)))/C755)/100))))</f>
        <v>0</v>
      </c>
      <c r="BL755" s="57">
        <f>IF(ISERROR(IF(B755=C755,AA755/C755,(INT(AA755/B755)+(((AA755-B755*INT(AA755/B755)))/C755)/100))),0,(IF(B755=C755,AA755/C755,(INT(AA755/B755)+(((AA755-B755*INT(AA755/B755)))/C755)/100))))</f>
        <v>0</v>
      </c>
      <c r="BM755" s="57">
        <f>IF(ISERROR(IF(B755=C755,AB755/C755,(INT(AB755/B755)+(((AB755-B755*INT(AB755/B755)))/C755)/100))),0,(IF(B755=C755,AB755/C755,(INT(AB755/B755)+(((AB755-B755*INT(AB755/B755)))/C755)/100))))</f>
        <v>0</v>
      </c>
      <c r="BN755" s="57">
        <f>IF(ISERROR(IF(B755=C755,AC755/C755,(INT(AC755/B755)+(((AC755-B755*INT(AC755/B755)))/C755)/100))),0,(IF(B755=C755,AC755/C755,(INT(AC755/B755)+(((AC755-B755*INT(AC755/B755)))/C755)/100))))</f>
        <v>0</v>
      </c>
      <c r="BO755" s="57">
        <f>IF(ISERROR(IF(B755=C755,AD755/C755,(INT(AD755/B755)+(((AD755-B755*INT(AD755/B755)))/C755)/100))),0,(IF(B755=C755,AD755/C755,(INT(AD755/B755)+(((AD755-B755*INT(AD755/B755)))/C755)/100))))</f>
        <v>0</v>
      </c>
      <c r="BQ755" s="155"/>
    </row>
    <row r="756" spans="1:69" hidden="1" x14ac:dyDescent="0.35">
      <c r="A756" s="94"/>
      <c r="B756" s="113">
        <v>0</v>
      </c>
      <c r="C756" s="113">
        <v>250</v>
      </c>
      <c r="D756" s="28">
        <f>SUM(AA756:AD756)</f>
        <v>0</v>
      </c>
      <c r="E756" s="113">
        <v>0</v>
      </c>
      <c r="F756" s="113">
        <v>0</v>
      </c>
      <c r="G756" s="28">
        <f>SUM(D756:F756)</f>
        <v>0</v>
      </c>
      <c r="H756" s="125">
        <v>0</v>
      </c>
      <c r="I756" s="113">
        <v>0</v>
      </c>
      <c r="J756" s="125">
        <v>0</v>
      </c>
      <c r="K756" s="113">
        <v>0</v>
      </c>
      <c r="L756" s="113">
        <v>0</v>
      </c>
      <c r="M756" s="113">
        <v>0</v>
      </c>
      <c r="N756" s="28">
        <f>G756-SUM(H756:M756)</f>
        <v>0</v>
      </c>
      <c r="O756" s="28">
        <f>SUM(V756:Y756)</f>
        <v>0</v>
      </c>
      <c r="P756" s="28">
        <f>O756-N756</f>
        <v>0</v>
      </c>
      <c r="Q756" s="61" t="str">
        <f>IF(ISERROR(P756/SUM(H756:L756)),"",P756/SUM(H756:L756))</f>
        <v/>
      </c>
      <c r="R756" s="113">
        <v>0</v>
      </c>
      <c r="S756" s="28">
        <f>IF(ISERROR(P756/C756*R756),0,(P756/C756*R756))</f>
        <v>0</v>
      </c>
      <c r="T756" s="60">
        <f>IF(ISERROR(P756/B756*AF756),0,(P756/B756*AF756))</f>
        <v>0</v>
      </c>
      <c r="V756" s="113">
        <v>0</v>
      </c>
      <c r="W756" s="113">
        <v>0</v>
      </c>
      <c r="X756" s="113">
        <v>0</v>
      </c>
      <c r="Y756" s="113">
        <v>0</v>
      </c>
      <c r="AA756" s="113">
        <v>0</v>
      </c>
      <c r="AB756" s="113">
        <v>0</v>
      </c>
      <c r="AC756" s="113">
        <v>0</v>
      </c>
      <c r="AD756" s="113">
        <v>0</v>
      </c>
      <c r="AF756" s="113">
        <v>0</v>
      </c>
      <c r="AG756" s="28">
        <f>G756-O756</f>
        <v>0</v>
      </c>
      <c r="AH756" s="58">
        <f>IF(ISERROR(AG756/B756*AF756),0,(AG756/B756*AF756))</f>
        <v>0</v>
      </c>
      <c r="AI756" s="28">
        <f>SUM(H756:M756)</f>
        <v>0</v>
      </c>
      <c r="AJ756" s="28">
        <f>IF(ISERROR(AI756/B756*AF756),0,(AI756/B756*AF756))</f>
        <v>0</v>
      </c>
      <c r="AK756" s="58">
        <f>IF(ISERROR(O756/B756*AF756),0,(O756/B756*AF756))</f>
        <v>0</v>
      </c>
      <c r="AL756" s="28">
        <f>IF(ISERROR(H756/B756*AF756),0,(H756/B756*AF756))</f>
        <v>0</v>
      </c>
      <c r="AN756" s="51">
        <f>A756</f>
        <v>0</v>
      </c>
      <c r="AO756" s="57">
        <f>IF(ISERROR(IF(B756=C756,D756/C756,(INT(D756/B756)+(((D756-B756*INT(D756/B756)))/C756)/100))),0,(IF(B756=C756,D756/C756,(INT(D756/B756)+(((D756-B756*INT(D756/B756)))/C756)/100))))</f>
        <v>0</v>
      </c>
      <c r="AP756" s="57">
        <f>IF(ISERROR(IF(B756=C756,E756/C756,(INT(E756/B756)+(((E756-B756*INT(E756/B756)))/C756)/100))),0,(IF(B756=C756,E756/C756,(INT(E756/B756)+(((E756-B756*INT(E756/B756)))/C756)/100))))</f>
        <v>0</v>
      </c>
      <c r="AQ756" s="57">
        <f>IF(ISERROR(IF(B756=C756,F756/C756,IF((INT(F756/B756)+(((F756-B756*INT(F756/B756)))/C756)/100)&lt;0,(INT(F756/B756)+(((F756-B756*INT(F756/B756)))/C756)/100)+(1-(B756/C756/100)),(INT(F756/B756)+(((F756-B756*INT(F756/B756)))/C756)/100)))),0,IF(B756=C756,F756/C756,IF((INT(F756/B756)+(((F756-B756*INT(F756/B756)))/C756)/100)&lt;0,(INT(F756/B756)+(((F756-B756*INT(F756/B756)))/C756)/100)+(1-(B756/C756/100)),(INT(F756/B756)+(((F756-B756*INT(F756/B756)))/C756)/100))))</f>
        <v>0</v>
      </c>
      <c r="AR756" s="57">
        <f>IF(ISERROR(IF(B756=C756,G756/C756,(INT(G756/B756)+(((G756-B756*INT(G756/B756)))/C756)/100))),0,(IF(B756=C756,G756/C756,(INT(G756/B756)+(((G756-B756*INT(G756/B756)))/C756)/100))))</f>
        <v>0</v>
      </c>
      <c r="AS756" s="57">
        <f>IF(ISERROR(IF(B756=C756,H756/C756,(INT(H756/B756)+(((H756-B756*INT(H756/B756)))/C756)/100))),0,(IF(B756=C756,H756/C756,(INT(H756/B756)+(((H756-B756*INT(H756/B756)))/C756)/100))))</f>
        <v>0</v>
      </c>
      <c r="AT756" s="57">
        <f>IF(ISERROR(IF(B756=C756,I756/C756,(INT(I756/B756)+(((I756-B756*INT(I756/B756)))/C756)/100))),0,(IF(B756=C756,I756/C756,(INT(I756/B756)+(((I756-B756*INT(I756/B756)))/C756)/100))))</f>
        <v>0</v>
      </c>
      <c r="AU756" s="57">
        <f>IF(ISERROR(IF(B756=C756,J756/C756,(INT(J756/B756)+(((J756-B756*INT(J756/B756)))/C756)/100))),0,(IF(B756=C756,J756/C756,(INT(J756/B756)+(((J756-B756*INT(J756/B756)))/C756)/100))))</f>
        <v>0</v>
      </c>
      <c r="AV756" s="57">
        <f>IF(ISERROR(IF(B756=C756,K756/C756,IF((INT(K756/B756)+(((K756-B756*INT(K756/B756)))/C756)/100)&lt;0,(INT(K756/B756)+(((K756-B756*INT(K756/B756)))/C756)/100)+(1-(B756/C756/100)),(INT(K756/B756)+(((K756-B756*INT(K756/B756)))/C756)/100)))),0,IF(B756=C756,K756/C756,IF((INT(K756/B756)+(((K756-B756*INT(K756/B756)))/C756)/100)&lt;0,(INT(K756/B756)+(((K756-B756*INT(K756/B756)))/C756)/100)+(1-(B756/C756/100)),(INT(K756/B756)+(((K756-B756*INT(K756/B756)))/C756)/100))))</f>
        <v>0</v>
      </c>
      <c r="AW756" s="57">
        <f>IF(ISERROR(IF(B756=C756,L756/C756,(INT(L756/B756)+(((L756-B756*INT(L756/B756)))/C756)/100))),0,(IF(B756=C756,L756/C756,(INT(L756/B756)+(((L756-B756*INT(L756/B756)))/C756)/100))))</f>
        <v>0</v>
      </c>
      <c r="AX756" s="57">
        <f>IF(ISERROR(IF(B756=C756,M756/C756,(INT(M756/B756)+(((M756-B756*INT(M756/B756)))/C756)/100))),0,(IF(B756=C756,M756/C756,(INT(M756/B756)+(((M756-B756*INT(M756/B756)))/C756)/100))))</f>
        <v>0</v>
      </c>
      <c r="AY756" s="57">
        <f>IF(ISERROR(IF(B756=C756,N756/C756,IF((INT(N756/B756)+(((N756-B756*INT(N756/B756)))/C756)/100)&lt;0,(INT(N756/B756)+(((N756-B756*INT(N756/B756)))/C756)/100)+(1-(B756/C756/100)),(INT(N756/B756)+(((N756-B756*INT(N756/B756)))/C756)/100)))),0,IF(B756=C756,N756/C756,IF((INT(N756/B756)+(((N756-B756*INT(N756/B756)))/C756)/100)&lt;0,(INT(N756/B756)+(((N756-B756*INT(N756/B756)))/C756)/100)+(1-(B756/C756/100)),(INT(N756/B756)+(((N756-B756*INT(N756/B756)))/C756)/100))))</f>
        <v>0</v>
      </c>
      <c r="AZ756" s="57">
        <f>IF(ISERROR(IF(B756=C756,O756/C756,(INT(O756/B756)+(((O756-B756*INT(O756/B756)))/C756)/100))),0,(IF(B756=C756,O756/C756,(INT(O756/B756)+(((O756-B756*INT(O756/B756)))/C756)/100))))</f>
        <v>0</v>
      </c>
      <c r="BA756" s="57">
        <f>IF(ISERROR(IF(B756=C756,P756/C756,IF((INT(P756/B756)+(((P756-B756*INT(P756/B756)))/C756)/100)&lt;0,(INT(P756/B756)+(((P756-B756*INT(P756/B756)))/C756)/100)+(1-(B756/C756/100)),(INT(P756/B756)+(((P756-B756*INT(P756/B756)))/C756)/100)))),0,IF(B756=C756,P756/C756,IF((INT(P756/B756)+(((P756-B756*INT(P756/B756)))/C756)/100)&lt;0,(INT(P756/B756)+(((P756-B756*INT(P756/B756)))/C756)/100)+(1-(B756/C756/100)),(INT(P756/B756)+(((P756-B756*INT(P756/B756)))/C756)/100))))</f>
        <v>0</v>
      </c>
      <c r="BB756" s="28">
        <f>R756</f>
        <v>0</v>
      </c>
      <c r="BC756" s="28">
        <f>S756</f>
        <v>0</v>
      </c>
      <c r="BD756" s="28">
        <f>AF756</f>
        <v>0</v>
      </c>
      <c r="BE756" s="28">
        <f>T756</f>
        <v>0</v>
      </c>
      <c r="BG756" s="57">
        <f>IF(ISERROR(IF(B756=C756,V756/C756,(INT(V756/B756)+(((V756-B756*INT(V756/B756)))/C756)/100))),0,(IF(B756=C756,V756/C756,(INT(V756/B756)+(((V756-B756*INT(V756/B756)))/C756)/100))))</f>
        <v>0</v>
      </c>
      <c r="BH756" s="57">
        <f>IF(ISERROR(IF(B756=C756,W756/C756,(INT(W756/B756)+(((W756-B756*INT(W756/B756)))/C756)/100))),0,(IF(B756=C756,W756/C756,(INT(W756/B756)+(((W756-B756*INT(W756/B756)))/C756)/100))))</f>
        <v>0</v>
      </c>
      <c r="BI756" s="57">
        <f>IF(ISERROR(IF(B756=C756,X756/C756,(INT(X756/B756)+(((X756-B756*INT(X756/B756)))/C756)/100))),0,(IF(B756=C756,X756/C756,(INT(X756/B756)+(((X756-B756*INT(X756/B756)))/C756)/100))))</f>
        <v>0</v>
      </c>
      <c r="BJ756" s="57">
        <f>IF(ISERROR(IF(B756=C756,Y756/C756,(INT(Y756/B756)+(((Y756-B756*INT(Y756/B756)))/C756)/100))),0,(IF(B756=C756,Y756/C756,(INT(Y756/B756)+(((Y756-B756*INT(Y756/B756)))/C756)/100))))</f>
        <v>0</v>
      </c>
      <c r="BL756" s="57">
        <f>IF(ISERROR(IF(B756=C756,AA756/C756,(INT(AA756/B756)+(((AA756-B756*INT(AA756/B756)))/C756)/100))),0,(IF(B756=C756,AA756/C756,(INT(AA756/B756)+(((AA756-B756*INT(AA756/B756)))/C756)/100))))</f>
        <v>0</v>
      </c>
      <c r="BM756" s="57">
        <f>IF(ISERROR(IF(B756=C756,AB756/C756,(INT(AB756/B756)+(((AB756-B756*INT(AB756/B756)))/C756)/100))),0,(IF(B756=C756,AB756/C756,(INT(AB756/B756)+(((AB756-B756*INT(AB756/B756)))/C756)/100))))</f>
        <v>0</v>
      </c>
      <c r="BN756" s="57">
        <f>IF(ISERROR(IF(B756=C756,AC756/C756,(INT(AC756/B756)+(((AC756-B756*INT(AC756/B756)))/C756)/100))),0,(IF(B756=C756,AC756/C756,(INT(AC756/B756)+(((AC756-B756*INT(AC756/B756)))/C756)/100))))</f>
        <v>0</v>
      </c>
      <c r="BO756" s="57">
        <f>IF(ISERROR(IF(B756=C756,AD756/C756,(INT(AD756/B756)+(((AD756-B756*INT(AD756/B756)))/C756)/100))),0,(IF(B756=C756,AD756/C756,(INT(AD756/B756)+(((AD756-B756*INT(AD756/B756)))/C756)/100))))</f>
        <v>0</v>
      </c>
      <c r="BQ756" s="155"/>
    </row>
    <row r="757" spans="1:69" hidden="1" x14ac:dyDescent="0.35">
      <c r="A757" s="94"/>
      <c r="B757" s="113">
        <v>0</v>
      </c>
      <c r="C757" s="113">
        <v>250</v>
      </c>
      <c r="D757" s="28">
        <f>SUM(AA757:AD757)</f>
        <v>0</v>
      </c>
      <c r="E757" s="113">
        <v>0</v>
      </c>
      <c r="F757" s="113">
        <v>0</v>
      </c>
      <c r="G757" s="28">
        <f>SUM(D757:F757)</f>
        <v>0</v>
      </c>
      <c r="H757" s="125">
        <v>0</v>
      </c>
      <c r="I757" s="113">
        <v>0</v>
      </c>
      <c r="J757" s="125">
        <v>0</v>
      </c>
      <c r="K757" s="113">
        <v>0</v>
      </c>
      <c r="L757" s="113">
        <v>0</v>
      </c>
      <c r="M757" s="113">
        <v>0</v>
      </c>
      <c r="N757" s="28">
        <f>G757-SUM(H757:M757)</f>
        <v>0</v>
      </c>
      <c r="O757" s="28">
        <f>SUM(V757:Y757)</f>
        <v>0</v>
      </c>
      <c r="P757" s="28">
        <f>O757-N757</f>
        <v>0</v>
      </c>
      <c r="Q757" s="61" t="str">
        <f>IF(ISERROR(P757/SUM(H757:L757)),"",P757/SUM(H757:L757))</f>
        <v/>
      </c>
      <c r="R757" s="113">
        <v>0</v>
      </c>
      <c r="S757" s="28">
        <f>IF(ISERROR(P757/C757*R757),0,(P757/C757*R757))</f>
        <v>0</v>
      </c>
      <c r="T757" s="60">
        <f>IF(ISERROR(P757/B757*AF757),0,(P757/B757*AF757))</f>
        <v>0</v>
      </c>
      <c r="V757" s="113">
        <v>0</v>
      </c>
      <c r="W757" s="113">
        <v>0</v>
      </c>
      <c r="X757" s="113">
        <v>0</v>
      </c>
      <c r="Y757" s="113">
        <v>0</v>
      </c>
      <c r="AA757" s="113">
        <v>0</v>
      </c>
      <c r="AB757" s="113">
        <v>0</v>
      </c>
      <c r="AC757" s="113">
        <v>0</v>
      </c>
      <c r="AD757" s="113">
        <v>0</v>
      </c>
      <c r="AF757" s="113">
        <v>0</v>
      </c>
      <c r="AG757" s="28">
        <f>G757-O757</f>
        <v>0</v>
      </c>
      <c r="AH757" s="58">
        <f>IF(ISERROR(AG757/B757*AF757),0,(AG757/B757*AF757))</f>
        <v>0</v>
      </c>
      <c r="AI757" s="28">
        <f>SUM(H757:M757)</f>
        <v>0</v>
      </c>
      <c r="AJ757" s="28">
        <f>IF(ISERROR(AI757/B757*AF757),0,(AI757/B757*AF757))</f>
        <v>0</v>
      </c>
      <c r="AK757" s="58">
        <f>IF(ISERROR(O757/B757*AF757),0,(O757/B757*AF757))</f>
        <v>0</v>
      </c>
      <c r="AL757" s="28">
        <f>IF(ISERROR(H757/B757*AF757),0,(H757/B757*AF757))</f>
        <v>0</v>
      </c>
      <c r="AN757" s="51">
        <f>A757</f>
        <v>0</v>
      </c>
      <c r="AO757" s="57">
        <f>IF(ISERROR(IF(B757=C757,D757/C757,(INT(D757/B757)+(((D757-B757*INT(D757/B757)))/C757)/100))),0,(IF(B757=C757,D757/C757,(INT(D757/B757)+(((D757-B757*INT(D757/B757)))/C757)/100))))</f>
        <v>0</v>
      </c>
      <c r="AP757" s="57">
        <f>IF(ISERROR(IF(B757=C757,E757/C757,(INT(E757/B757)+(((E757-B757*INT(E757/B757)))/C757)/100))),0,(IF(B757=C757,E757/C757,(INT(E757/B757)+(((E757-B757*INT(E757/B757)))/C757)/100))))</f>
        <v>0</v>
      </c>
      <c r="AQ757" s="57">
        <f>IF(ISERROR(IF(B757=C757,F757/C757,IF((INT(F757/B757)+(((F757-B757*INT(F757/B757)))/C757)/100)&lt;0,(INT(F757/B757)+(((F757-B757*INT(F757/B757)))/C757)/100)+(1-(B757/C757/100)),(INT(F757/B757)+(((F757-B757*INT(F757/B757)))/C757)/100)))),0,IF(B757=C757,F757/C757,IF((INT(F757/B757)+(((F757-B757*INT(F757/B757)))/C757)/100)&lt;0,(INT(F757/B757)+(((F757-B757*INT(F757/B757)))/C757)/100)+(1-(B757/C757/100)),(INT(F757/B757)+(((F757-B757*INT(F757/B757)))/C757)/100))))</f>
        <v>0</v>
      </c>
      <c r="AR757" s="57">
        <f>IF(ISERROR(IF(B757=C757,G757/C757,(INT(G757/B757)+(((G757-B757*INT(G757/B757)))/C757)/100))),0,(IF(B757=C757,G757/C757,(INT(G757/B757)+(((G757-B757*INT(G757/B757)))/C757)/100))))</f>
        <v>0</v>
      </c>
      <c r="AS757" s="57">
        <f>IF(ISERROR(IF(B757=C757,H757/C757,(INT(H757/B757)+(((H757-B757*INT(H757/B757)))/C757)/100))),0,(IF(B757=C757,H757/C757,(INT(H757/B757)+(((H757-B757*INT(H757/B757)))/C757)/100))))</f>
        <v>0</v>
      </c>
      <c r="AT757" s="57">
        <f>IF(ISERROR(IF(B757=C757,I757/C757,(INT(I757/B757)+(((I757-B757*INT(I757/B757)))/C757)/100))),0,(IF(B757=C757,I757/C757,(INT(I757/B757)+(((I757-B757*INT(I757/B757)))/C757)/100))))</f>
        <v>0</v>
      </c>
      <c r="AU757" s="57">
        <f>IF(ISERROR(IF(B757=C757,J757/C757,(INT(J757/B757)+(((J757-B757*INT(J757/B757)))/C757)/100))),0,(IF(B757=C757,J757/C757,(INT(J757/B757)+(((J757-B757*INT(J757/B757)))/C757)/100))))</f>
        <v>0</v>
      </c>
      <c r="AV757" s="57">
        <f>IF(ISERROR(IF(B757=C757,K757/C757,IF((INT(K757/B757)+(((K757-B757*INT(K757/B757)))/C757)/100)&lt;0,(INT(K757/B757)+(((K757-B757*INT(K757/B757)))/C757)/100)+(1-(B757/C757/100)),(INT(K757/B757)+(((K757-B757*INT(K757/B757)))/C757)/100)))),0,IF(B757=C757,K757/C757,IF((INT(K757/B757)+(((K757-B757*INT(K757/B757)))/C757)/100)&lt;0,(INT(K757/B757)+(((K757-B757*INT(K757/B757)))/C757)/100)+(1-(B757/C757/100)),(INT(K757/B757)+(((K757-B757*INT(K757/B757)))/C757)/100))))</f>
        <v>0</v>
      </c>
      <c r="AW757" s="57">
        <f>IF(ISERROR(IF(B757=C757,L757/C757,(INT(L757/B757)+(((L757-B757*INT(L757/B757)))/C757)/100))),0,(IF(B757=C757,L757/C757,(INT(L757/B757)+(((L757-B757*INT(L757/B757)))/C757)/100))))</f>
        <v>0</v>
      </c>
      <c r="AX757" s="57">
        <f>IF(ISERROR(IF(B757=C757,M757/C757,(INT(M757/B757)+(((M757-B757*INT(M757/B757)))/C757)/100))),0,(IF(B757=C757,M757/C757,(INT(M757/B757)+(((M757-B757*INT(M757/B757)))/C757)/100))))</f>
        <v>0</v>
      </c>
      <c r="AY757" s="57">
        <f>IF(ISERROR(IF(B757=C757,N757/C757,IF((INT(N757/B757)+(((N757-B757*INT(N757/B757)))/C757)/100)&lt;0,(INT(N757/B757)+(((N757-B757*INT(N757/B757)))/C757)/100)+(1-(B757/C757/100)),(INT(N757/B757)+(((N757-B757*INT(N757/B757)))/C757)/100)))),0,IF(B757=C757,N757/C757,IF((INT(N757/B757)+(((N757-B757*INT(N757/B757)))/C757)/100)&lt;0,(INT(N757/B757)+(((N757-B757*INT(N757/B757)))/C757)/100)+(1-(B757/C757/100)),(INT(N757/B757)+(((N757-B757*INT(N757/B757)))/C757)/100))))</f>
        <v>0</v>
      </c>
      <c r="AZ757" s="57">
        <f>IF(ISERROR(IF(B757=C757,O757/C757,(INT(O757/B757)+(((O757-B757*INT(O757/B757)))/C757)/100))),0,(IF(B757=C757,O757/C757,(INT(O757/B757)+(((O757-B757*INT(O757/B757)))/C757)/100))))</f>
        <v>0</v>
      </c>
      <c r="BA757" s="57">
        <f>IF(ISERROR(IF(B757=C757,P757/C757,IF((INT(P757/B757)+(((P757-B757*INT(P757/B757)))/C757)/100)&lt;0,(INT(P757/B757)+(((P757-B757*INT(P757/B757)))/C757)/100)+(1-(B757/C757/100)),(INT(P757/B757)+(((P757-B757*INT(P757/B757)))/C757)/100)))),0,IF(B757=C757,P757/C757,IF((INT(P757/B757)+(((P757-B757*INT(P757/B757)))/C757)/100)&lt;0,(INT(P757/B757)+(((P757-B757*INT(P757/B757)))/C757)/100)+(1-(B757/C757/100)),(INT(P757/B757)+(((P757-B757*INT(P757/B757)))/C757)/100))))</f>
        <v>0</v>
      </c>
      <c r="BB757" s="28">
        <f>R757</f>
        <v>0</v>
      </c>
      <c r="BC757" s="28">
        <f>S757</f>
        <v>0</v>
      </c>
      <c r="BD757" s="28">
        <f>AF757</f>
        <v>0</v>
      </c>
      <c r="BE757" s="28">
        <f>T757</f>
        <v>0</v>
      </c>
      <c r="BG757" s="57">
        <f>IF(ISERROR(IF(B757=C757,V757/C757,(INT(V757/B757)+(((V757-B757*INT(V757/B757)))/C757)/100))),0,(IF(B757=C757,V757/C757,(INT(V757/B757)+(((V757-B757*INT(V757/B757)))/C757)/100))))</f>
        <v>0</v>
      </c>
      <c r="BH757" s="57">
        <f>IF(ISERROR(IF(B757=C757,W757/C757,(INT(W757/B757)+(((W757-B757*INT(W757/B757)))/C757)/100))),0,(IF(B757=C757,W757/C757,(INT(W757/B757)+(((W757-B757*INT(W757/B757)))/C757)/100))))</f>
        <v>0</v>
      </c>
      <c r="BI757" s="57">
        <f>IF(ISERROR(IF(B757=C757,X757/C757,(INT(X757/B757)+(((X757-B757*INT(X757/B757)))/C757)/100))),0,(IF(B757=C757,X757/C757,(INT(X757/B757)+(((X757-B757*INT(X757/B757)))/C757)/100))))</f>
        <v>0</v>
      </c>
      <c r="BJ757" s="57">
        <f>IF(ISERROR(IF(B757=C757,Y757/C757,(INT(Y757/B757)+(((Y757-B757*INT(Y757/B757)))/C757)/100))),0,(IF(B757=C757,Y757/C757,(INT(Y757/B757)+(((Y757-B757*INT(Y757/B757)))/C757)/100))))</f>
        <v>0</v>
      </c>
      <c r="BL757" s="57">
        <f>IF(ISERROR(IF(B757=C757,AA757/C757,(INT(AA757/B757)+(((AA757-B757*INT(AA757/B757)))/C757)/100))),0,(IF(B757=C757,AA757/C757,(INT(AA757/B757)+(((AA757-B757*INT(AA757/B757)))/C757)/100))))</f>
        <v>0</v>
      </c>
      <c r="BM757" s="57">
        <f>IF(ISERROR(IF(B757=C757,AB757/C757,(INT(AB757/B757)+(((AB757-B757*INT(AB757/B757)))/C757)/100))),0,(IF(B757=C757,AB757/C757,(INT(AB757/B757)+(((AB757-B757*INT(AB757/B757)))/C757)/100))))</f>
        <v>0</v>
      </c>
      <c r="BN757" s="57">
        <f>IF(ISERROR(IF(B757=C757,AC757/C757,(INT(AC757/B757)+(((AC757-B757*INT(AC757/B757)))/C757)/100))),0,(IF(B757=C757,AC757/C757,(INT(AC757/B757)+(((AC757-B757*INT(AC757/B757)))/C757)/100))))</f>
        <v>0</v>
      </c>
      <c r="BO757" s="57">
        <f>IF(ISERROR(IF(B757=C757,AD757/C757,(INT(AD757/B757)+(((AD757-B757*INT(AD757/B757)))/C757)/100))),0,(IF(B757=C757,AD757/C757,(INT(AD757/B757)+(((AD757-B757*INT(AD757/B757)))/C757)/100))))</f>
        <v>0</v>
      </c>
      <c r="BQ757" s="155"/>
    </row>
    <row r="758" spans="1:69" x14ac:dyDescent="0.35">
      <c r="A758" s="94"/>
      <c r="B758" s="113"/>
      <c r="C758" s="113"/>
      <c r="D758" s="28"/>
      <c r="E758" s="113"/>
      <c r="F758" s="113"/>
      <c r="G758" s="28"/>
      <c r="H758" s="125"/>
      <c r="I758" s="113"/>
      <c r="J758" s="125"/>
      <c r="K758" s="113"/>
      <c r="L758" s="113"/>
      <c r="M758" s="113"/>
      <c r="N758" s="28"/>
      <c r="O758" s="28"/>
      <c r="P758" s="28"/>
      <c r="Q758" s="61"/>
      <c r="R758" s="113"/>
      <c r="S758" s="28"/>
      <c r="T758" s="28"/>
      <c r="V758" s="113"/>
      <c r="W758" s="113"/>
      <c r="X758" s="113"/>
      <c r="Y758" s="113"/>
      <c r="AA758" s="113"/>
      <c r="AB758" s="113"/>
      <c r="AC758" s="113"/>
      <c r="AD758" s="113"/>
      <c r="AF758" s="113"/>
      <c r="AG758" s="28"/>
      <c r="AH758" s="58"/>
      <c r="AI758" s="28"/>
      <c r="AJ758" s="28"/>
      <c r="AK758" s="58"/>
      <c r="AL758" s="28"/>
      <c r="AN758" s="51"/>
      <c r="AO758" s="28"/>
      <c r="AP758" s="28"/>
      <c r="AQ758" s="28"/>
      <c r="AR758" s="28"/>
      <c r="AS758" s="28"/>
      <c r="AT758" s="28"/>
      <c r="AU758" s="28"/>
      <c r="AV758" s="28"/>
      <c r="AW758" s="28"/>
      <c r="AX758" s="28"/>
      <c r="AY758" s="28"/>
      <c r="AZ758" s="28"/>
      <c r="BA758" s="28"/>
      <c r="BB758" s="28"/>
      <c r="BC758" s="28"/>
      <c r="BD758" s="28"/>
      <c r="BE758" s="28"/>
      <c r="BG758" s="28"/>
      <c r="BH758" s="28"/>
      <c r="BI758" s="28"/>
      <c r="BJ758" s="28"/>
      <c r="BL758" s="28"/>
      <c r="BM758" s="28"/>
      <c r="BN758" s="28"/>
      <c r="BO758" s="28"/>
      <c r="BQ758" s="113"/>
    </row>
    <row r="759" spans="1:69" x14ac:dyDescent="0.35">
      <c r="A759" s="123" t="s">
        <v>170</v>
      </c>
      <c r="B759" s="122"/>
      <c r="C759" s="122"/>
      <c r="D759" s="40"/>
      <c r="E759" s="122"/>
      <c r="F759" s="122"/>
      <c r="G759" s="40"/>
      <c r="H759" s="121"/>
      <c r="I759" s="122"/>
      <c r="J759" s="121"/>
      <c r="K759" s="122"/>
      <c r="L759" s="122"/>
      <c r="M759" s="122"/>
      <c r="N759" s="40"/>
      <c r="O759" s="40"/>
      <c r="P759" s="40"/>
      <c r="Q759" s="120"/>
      <c r="R759" s="122"/>
      <c r="S759" s="39">
        <f>SUBTOTAL(9,S466:S758)</f>
        <v>0</v>
      </c>
      <c r="T759" s="39">
        <f>SUBTOTAL(9,T466:T758)</f>
        <v>0</v>
      </c>
      <c r="V759" s="122"/>
      <c r="W759" s="122"/>
      <c r="X759" s="122"/>
      <c r="Y759" s="122"/>
      <c r="AA759" s="122"/>
      <c r="AB759" s="122"/>
      <c r="AC759" s="122"/>
      <c r="AD759" s="122"/>
      <c r="AF759" s="122"/>
      <c r="AG759" s="40"/>
      <c r="AH759" s="117">
        <f>SUBTOTAL(9,AH466:AH758)</f>
        <v>254.54666666666668</v>
      </c>
      <c r="AI759" s="39"/>
      <c r="AJ759" s="117">
        <f>SUBTOTAL(9,AJ466:AJ758)</f>
        <v>254.54666666666668</v>
      </c>
      <c r="AK759" s="117">
        <f>SUBTOTAL(9,AK466:AK758)</f>
        <v>105298.60166666667</v>
      </c>
      <c r="AL759" s="39">
        <f>SUBTOTAL(9,AL466:AL758)</f>
        <v>254.54666666666668</v>
      </c>
      <c r="AN759" s="41" t="str">
        <f>A759</f>
        <v>Total Wines</v>
      </c>
      <c r="AO759" s="40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  <c r="BB759" s="40"/>
      <c r="BC759" s="39">
        <f>S759</f>
        <v>0</v>
      </c>
      <c r="BD759" s="39"/>
      <c r="BE759" s="39">
        <f>T759</f>
        <v>0</v>
      </c>
      <c r="BG759" s="40"/>
      <c r="BH759" s="40"/>
      <c r="BI759" s="40"/>
      <c r="BJ759" s="40"/>
      <c r="BL759" s="40"/>
      <c r="BM759" s="40"/>
      <c r="BN759" s="40"/>
      <c r="BO759" s="40"/>
      <c r="BQ759" s="122"/>
    </row>
    <row r="760" spans="1:69" x14ac:dyDescent="0.35">
      <c r="A760" s="94"/>
      <c r="B760" s="113"/>
      <c r="C760" s="113"/>
      <c r="D760" s="28"/>
      <c r="E760" s="113"/>
      <c r="F760" s="113"/>
      <c r="G760" s="28"/>
      <c r="H760" s="125"/>
      <c r="I760" s="113"/>
      <c r="J760" s="125"/>
      <c r="K760" s="113"/>
      <c r="L760" s="113"/>
      <c r="M760" s="113"/>
      <c r="N760" s="28"/>
      <c r="O760" s="28"/>
      <c r="P760" s="28"/>
      <c r="Q760" s="61"/>
      <c r="R760" s="113"/>
      <c r="S760" s="28"/>
      <c r="T760" s="28"/>
      <c r="V760" s="113"/>
      <c r="W760" s="113"/>
      <c r="X760" s="113"/>
      <c r="Y760" s="113"/>
      <c r="AA760" s="113"/>
      <c r="AB760" s="113"/>
      <c r="AC760" s="113"/>
      <c r="AD760" s="113"/>
      <c r="AF760" s="113"/>
      <c r="AG760" s="28"/>
      <c r="AH760" s="58"/>
      <c r="AI760" s="28"/>
      <c r="AJ760" s="28"/>
      <c r="AK760" s="58"/>
      <c r="AL760" s="28"/>
      <c r="AN760" s="51"/>
      <c r="AO760" s="28"/>
      <c r="AP760" s="28"/>
      <c r="AQ760" s="28"/>
      <c r="AR760" s="28"/>
      <c r="AS760" s="28"/>
      <c r="AT760" s="28"/>
      <c r="AU760" s="28"/>
      <c r="AV760" s="28"/>
      <c r="AW760" s="28"/>
      <c r="AX760" s="28"/>
      <c r="AY760" s="28"/>
      <c r="AZ760" s="28"/>
      <c r="BA760" s="28"/>
      <c r="BB760" s="28"/>
      <c r="BC760" s="28"/>
      <c r="BD760" s="28"/>
      <c r="BE760" s="28"/>
      <c r="BG760" s="28"/>
      <c r="BH760" s="28"/>
      <c r="BI760" s="28"/>
      <c r="BJ760" s="28"/>
      <c r="BL760" s="28"/>
      <c r="BM760" s="28"/>
      <c r="BN760" s="28"/>
      <c r="BO760" s="28"/>
      <c r="BQ760" s="113"/>
    </row>
    <row r="761" spans="1:69" x14ac:dyDescent="0.35">
      <c r="A761" s="135" t="s">
        <v>169</v>
      </c>
      <c r="B761" s="113"/>
      <c r="C761" s="113"/>
      <c r="D761" s="28"/>
      <c r="E761" s="113"/>
      <c r="F761" s="113"/>
      <c r="G761" s="28"/>
      <c r="H761" s="125"/>
      <c r="I761" s="113"/>
      <c r="J761" s="125"/>
      <c r="K761" s="113"/>
      <c r="L761" s="113"/>
      <c r="M761" s="113"/>
      <c r="N761" s="28"/>
      <c r="O761" s="125"/>
      <c r="P761" s="28"/>
      <c r="Q761" s="61"/>
      <c r="R761" s="113"/>
      <c r="S761" s="28"/>
      <c r="T761" s="28"/>
      <c r="V761" s="113"/>
      <c r="W761" s="113"/>
      <c r="X761" s="113"/>
      <c r="Y761" s="113"/>
      <c r="AA761" s="113"/>
      <c r="AB761" s="113"/>
      <c r="AC761" s="113"/>
      <c r="AD761" s="113"/>
      <c r="AF761" s="113"/>
      <c r="AG761" s="28"/>
      <c r="AH761" s="58"/>
      <c r="AI761" s="28"/>
      <c r="AJ761" s="28"/>
      <c r="AK761" s="58"/>
      <c r="AL761" s="28"/>
      <c r="AN761" s="65" t="str">
        <f>A761</f>
        <v>Beers</v>
      </c>
      <c r="AO761" s="28"/>
      <c r="AP761" s="28"/>
      <c r="AQ761" s="28"/>
      <c r="AR761" s="28"/>
      <c r="AS761" s="28"/>
      <c r="AT761" s="28"/>
      <c r="AU761" s="28"/>
      <c r="AV761" s="28"/>
      <c r="AW761" s="28"/>
      <c r="AX761" s="28"/>
      <c r="AY761" s="28"/>
      <c r="AZ761" s="28"/>
      <c r="BA761" s="28"/>
      <c r="BB761" s="28"/>
      <c r="BC761" s="28"/>
      <c r="BD761" s="28"/>
      <c r="BE761" s="28"/>
      <c r="BG761" s="28"/>
      <c r="BH761" s="28"/>
      <c r="BI761" s="28"/>
      <c r="BJ761" s="28"/>
      <c r="BL761" s="28"/>
      <c r="BM761" s="28"/>
      <c r="BN761" s="28"/>
      <c r="BO761" s="28"/>
      <c r="BQ761" s="113"/>
    </row>
    <row r="762" spans="1:69" x14ac:dyDescent="0.35">
      <c r="A762" s="134" t="s">
        <v>168</v>
      </c>
      <c r="B762" s="113">
        <v>1</v>
      </c>
      <c r="C762" s="113">
        <v>1</v>
      </c>
      <c r="D762" s="28">
        <f>SUM(AA762:AD762)</f>
        <v>0</v>
      </c>
      <c r="E762" s="113">
        <v>0</v>
      </c>
      <c r="F762" s="113">
        <v>0</v>
      </c>
      <c r="G762" s="28">
        <f>SUM(D762:F762)</f>
        <v>0</v>
      </c>
      <c r="H762" s="125">
        <v>0</v>
      </c>
      <c r="I762" s="113">
        <v>0</v>
      </c>
      <c r="J762" s="125">
        <v>0</v>
      </c>
      <c r="K762" s="113">
        <v>0</v>
      </c>
      <c r="L762" s="113">
        <v>0</v>
      </c>
      <c r="M762" s="113">
        <v>0</v>
      </c>
      <c r="N762" s="28">
        <f>G762-SUM(H762:M762)</f>
        <v>0</v>
      </c>
      <c r="O762" s="28">
        <f>SUM(V762:Y762)</f>
        <v>0</v>
      </c>
      <c r="P762" s="28">
        <f>O762-N762</f>
        <v>0</v>
      </c>
      <c r="Q762" s="61" t="str">
        <f>IF(ISERROR(P762/SUM(H762:L762)),"",P762/SUM(H762:L762))</f>
        <v/>
      </c>
      <c r="R762" s="113">
        <v>150</v>
      </c>
      <c r="S762" s="28">
        <f>IF(ISERROR(P762/C762*R762),0,(P762/C762*R762))</f>
        <v>0</v>
      </c>
      <c r="T762" s="60">
        <f>IF(ISERROR(P762/B762*AF762),0,(P762/B762*AF762))</f>
        <v>0</v>
      </c>
      <c r="V762" s="113">
        <v>0</v>
      </c>
      <c r="W762" s="113">
        <v>0</v>
      </c>
      <c r="X762" s="113">
        <v>0</v>
      </c>
      <c r="Y762" s="113">
        <v>0</v>
      </c>
      <c r="AA762" s="113">
        <v>0</v>
      </c>
      <c r="AB762" s="113">
        <v>0</v>
      </c>
      <c r="AC762" s="113">
        <v>0</v>
      </c>
      <c r="AD762" s="113">
        <v>0</v>
      </c>
      <c r="AF762" s="155">
        <f>1527.3/24</f>
        <v>63.637499999999996</v>
      </c>
      <c r="AG762" s="28">
        <f>G762-O762</f>
        <v>0</v>
      </c>
      <c r="AH762" s="58">
        <f>IF(ISERROR(AG762/B762*AF762),0,(AG762/B762*AF762))</f>
        <v>0</v>
      </c>
      <c r="AI762" s="28">
        <f>SUM(H762:M762)</f>
        <v>0</v>
      </c>
      <c r="AJ762" s="28">
        <f>IF(ISERROR(AI762/B762*AF762),0,(AI762/B762*AF762))</f>
        <v>0</v>
      </c>
      <c r="AK762" s="58">
        <f>IF(ISERROR(O762/B762*AF762),0,(O762/B762*AF762))</f>
        <v>0</v>
      </c>
      <c r="AL762" s="28">
        <f>IF(ISERROR(H762/B762*AF762),0,(H762/B762*AF762))</f>
        <v>0</v>
      </c>
      <c r="AN762" s="51" t="str">
        <f>A762</f>
        <v>Budwiser</v>
      </c>
      <c r="AO762" s="57">
        <f>IF(ISERROR(IF(B762=C762,D762/C762,(INT(D762/B762)+(((D762-B762*INT(D762/B762)))/C762)/100))),0,(IF(B762=C762,D762/C762,(INT(D762/B762)+(((D762-B762*INT(D762/B762)))/C762)/100))))</f>
        <v>0</v>
      </c>
      <c r="AP762" s="57">
        <f>IF(ISERROR(IF(B762=C762,E762/C762,(INT(E762/B762)+(((E762-B762*INT(E762/B762)))/C762)/100))),0,(IF(B762=C762,E762/C762,(INT(E762/B762)+(((E762-B762*INT(E762/B762)))/C762)/100))))</f>
        <v>0</v>
      </c>
      <c r="AQ762" s="57">
        <f>IF(ISERROR(IF(B762=C762,F762/C762,IF((INT(F762/B762)+(((F762-B762*INT(F762/B762)))/C762)/100)&lt;0,(INT(F762/B762)+(((F762-B762*INT(F762/B762)))/C762)/100)+(1-(B762/C762/100)),(INT(F762/B762)+(((F762-B762*INT(F762/B762)))/C762)/100)))),0,IF(B762=C762,F762/C762,IF((INT(F762/B762)+(((F762-B762*INT(F762/B762)))/C762)/100)&lt;0,(INT(F762/B762)+(((F762-B762*INT(F762/B762)))/C762)/100)+(1-(B762/C762/100)),(INT(F762/B762)+(((F762-B762*INT(F762/B762)))/C762)/100))))</f>
        <v>0</v>
      </c>
      <c r="AR762" s="57">
        <f>IF(ISERROR(IF(B762=C762,G762/C762,(INT(G762/B762)+(((G762-B762*INT(G762/B762)))/C762)/100))),0,(IF(B762=C762,G762/C762,(INT(G762/B762)+(((G762-B762*INT(G762/B762)))/C762)/100))))</f>
        <v>0</v>
      </c>
      <c r="AS762" s="57">
        <f>IF(ISERROR(IF(B762=C762,H762/C762,(INT(H762/B762)+(((H762-B762*INT(H762/B762)))/C762)/100))),0,(IF(B762=C762,H762/C762,(INT(H762/B762)+(((H762-B762*INT(H762/B762)))/C762)/100))))</f>
        <v>0</v>
      </c>
      <c r="AT762" s="57">
        <f>IF(ISERROR(IF(B762=C762,I762/C762,(INT(I762/B762)+(((I762-B762*INT(I762/B762)))/C762)/100))),0,(IF(B762=C762,I762/C762,(INT(I762/B762)+(((I762-B762*INT(I762/B762)))/C762)/100))))</f>
        <v>0</v>
      </c>
      <c r="AU762" s="57">
        <f>IF(ISERROR(IF(B762=C762,J762/C762,(INT(J762/B762)+(((J762-B762*INT(J762/B762)))/C762)/100))),0,(IF(B762=C762,J762/C762,(INT(J762/B762)+(((J762-B762*INT(J762/B762)))/C762)/100))))</f>
        <v>0</v>
      </c>
      <c r="AV762" s="57">
        <f>IF(ISERROR(IF(B762=C762,K762/C762,IF((INT(K762/B762)+(((K762-B762*INT(K762/B762)))/C762)/100)&lt;0,(INT(K762/B762)+(((K762-B762*INT(K762/B762)))/C762)/100)+(1-(B762/C762/100)),(INT(K762/B762)+(((K762-B762*INT(K762/B762)))/C762)/100)))),0,IF(B762=C762,K762/C762,IF((INT(K762/B762)+(((K762-B762*INT(K762/B762)))/C762)/100)&lt;0,(INT(K762/B762)+(((K762-B762*INT(K762/B762)))/C762)/100)+(1-(B762/C762/100)),(INT(K762/B762)+(((K762-B762*INT(K762/B762)))/C762)/100))))</f>
        <v>0</v>
      </c>
      <c r="AW762" s="57">
        <f>IF(ISERROR(IF(B762=C762,L762/C762,(INT(L762/B762)+(((L762-B762*INT(L762/B762)))/C762)/100))),0,(IF(B762=C762,L762/C762,(INT(L762/B762)+(((L762-B762*INT(L762/B762)))/C762)/100))))</f>
        <v>0</v>
      </c>
      <c r="AX762" s="57">
        <f>IF(ISERROR(IF(B762=C762,M762/C762,(INT(M762/B762)+(((M762-B762*INT(M762/B762)))/C762)/100))),0,(IF(B762=C762,M762/C762,(INT(M762/B762)+(((M762-B762*INT(M762/B762)))/C762)/100))))</f>
        <v>0</v>
      </c>
      <c r="AY762" s="57">
        <f>IF(ISERROR(IF(B762=C762,N762/C762,IF((INT(N762/B762)+(((N762-B762*INT(N762/B762)))/C762)/100)&lt;0,(INT(N762/B762)+(((N762-B762*INT(N762/B762)))/C762)/100)+(1-(B762/C762/100)),(INT(N762/B762)+(((N762-B762*INT(N762/B762)))/C762)/100)))),0,IF(B762=C762,N762/C762,IF((INT(N762/B762)+(((N762-B762*INT(N762/B762)))/C762)/100)&lt;0,(INT(N762/B762)+(((N762-B762*INT(N762/B762)))/C762)/100)+(1-(B762/C762/100)),(INT(N762/B762)+(((N762-B762*INT(N762/B762)))/C762)/100))))</f>
        <v>0</v>
      </c>
      <c r="AZ762" s="57">
        <f>IF(ISERROR(IF(B762=C762,O762/C762,(INT(O762/B762)+(((O762-B762*INT(O762/B762)))/C762)/100))),0,(IF(B762=C762,O762/C762,(INT(O762/B762)+(((O762-B762*INT(O762/B762)))/C762)/100))))</f>
        <v>0</v>
      </c>
      <c r="BA762" s="57">
        <f>IF(ISERROR(IF(B762=C762,P762/C762,IF((INT(P762/B762)+(((P762-B762*INT(P762/B762)))/C762)/100)&lt;0,(INT(P762/B762)+(((P762-B762*INT(P762/B762)))/C762)/100)+(1-(B762/C762/100)),(INT(P762/B762)+(((P762-B762*INT(P762/B762)))/C762)/100)))),0,IF(B762=C762,P762/C762,IF((INT(P762/B762)+(((P762-B762*INT(P762/B762)))/C762)/100)&lt;0,(INT(P762/B762)+(((P762-B762*INT(P762/B762)))/C762)/100)+(1-(B762/C762/100)),(INT(P762/B762)+(((P762-B762*INT(P762/B762)))/C762)/100))))</f>
        <v>0</v>
      </c>
      <c r="BB762" s="28">
        <f>R762</f>
        <v>150</v>
      </c>
      <c r="BC762" s="28">
        <f>S762</f>
        <v>0</v>
      </c>
      <c r="BD762" s="28">
        <f>AF762</f>
        <v>63.637499999999996</v>
      </c>
      <c r="BE762" s="28">
        <f>T762</f>
        <v>0</v>
      </c>
      <c r="BG762" s="57">
        <f>IF(ISERROR(IF(B762=C762,V762/C762,(INT(V762/B762)+(((V762-B762*INT(V762/B762)))/C762)/100))),0,(IF(B762=C762,V762/C762,(INT(V762/B762)+(((V762-B762*INT(V762/B762)))/C762)/100))))</f>
        <v>0</v>
      </c>
      <c r="BH762" s="57">
        <f>IF(ISERROR(IF(B762=C762,W762/C762,(INT(W762/B762)+(((W762-B762*INT(W762/B762)))/C762)/100))),0,(IF(B762=C762,W762/C762,(INT(W762/B762)+(((W762-B762*INT(W762/B762)))/C762)/100))))</f>
        <v>0</v>
      </c>
      <c r="BI762" s="57">
        <f>IF(ISERROR(IF(B762=C762,X762/C762,(INT(X762/B762)+(((X762-B762*INT(X762/B762)))/C762)/100))),0,(IF(B762=C762,X762/C762,(INT(X762/B762)+(((X762-B762*INT(X762/B762)))/C762)/100))))</f>
        <v>0</v>
      </c>
      <c r="BJ762" s="57">
        <f>IF(ISERROR(IF(B762=C762,Y762/C762,(INT(Y762/B762)+(((Y762-B762*INT(Y762/B762)))/C762)/100))),0,(IF(B762=C762,Y762/C762,(INT(Y762/B762)+(((Y762-B762*INT(Y762/B762)))/C762)/100))))</f>
        <v>0</v>
      </c>
      <c r="BL762" s="57">
        <f>IF(ISERROR(IF(B762=C762,AA762/C762,(INT(AA762/B762)+(((AA762-B762*INT(AA762/B762)))/C762)/100))),0,(IF(B762=C762,AA762/C762,(INT(AA762/B762)+(((AA762-B762*INT(AA762/B762)))/C762)/100))))</f>
        <v>0</v>
      </c>
      <c r="BM762" s="57">
        <f>IF(ISERROR(IF(B762=C762,AB762/C762,(INT(AB762/B762)+(((AB762-B762*INT(AB762/B762)))/C762)/100))),0,(IF(B762=C762,AB762/C762,(INT(AB762/B762)+(((AB762-B762*INT(AB762/B762)))/C762)/100))))</f>
        <v>0</v>
      </c>
      <c r="BN762" s="57">
        <f>IF(ISERROR(IF(B762=C762,AC762/C762,(INT(AC762/B762)+(((AC762-B762*INT(AC762/B762)))/C762)/100))),0,(IF(B762=C762,AC762/C762,(INT(AC762/B762)+(((AC762-B762*INT(AC762/B762)))/C762)/100))))</f>
        <v>0</v>
      </c>
      <c r="BO762" s="57">
        <f>IF(ISERROR(IF(B762=C762,AD762/C762,(INT(AD762/B762)+(((AD762-B762*INT(AD762/B762)))/C762)/100))),0,(IF(B762=C762,AD762/C762,(INT(AD762/B762)+(((AD762-B762*INT(AD762/B762)))/C762)/100))))</f>
        <v>0</v>
      </c>
      <c r="BQ762" s="155" t="s">
        <v>158</v>
      </c>
    </row>
    <row r="763" spans="1:69" x14ac:dyDescent="0.35">
      <c r="A763" s="134" t="s">
        <v>167</v>
      </c>
      <c r="B763" s="113">
        <v>1</v>
      </c>
      <c r="C763" s="113">
        <v>1</v>
      </c>
      <c r="D763" s="28">
        <f>SUM(AA763:AD763)</f>
        <v>60</v>
      </c>
      <c r="E763" s="113">
        <v>0</v>
      </c>
      <c r="F763" s="113">
        <v>0</v>
      </c>
      <c r="G763" s="28">
        <f>SUM(D763:F763)</f>
        <v>60</v>
      </c>
      <c r="H763" s="125">
        <v>1</v>
      </c>
      <c r="I763" s="113">
        <v>0</v>
      </c>
      <c r="J763" s="125">
        <v>0</v>
      </c>
      <c r="K763" s="113">
        <v>0</v>
      </c>
      <c r="L763" s="113">
        <v>0</v>
      </c>
      <c r="M763" s="113">
        <v>0</v>
      </c>
      <c r="N763" s="28">
        <f>G763-SUM(H763:M763)</f>
        <v>59</v>
      </c>
      <c r="O763" s="28">
        <f>SUM(V763:Y763)</f>
        <v>59</v>
      </c>
      <c r="P763" s="28">
        <f>O763-N763</f>
        <v>0</v>
      </c>
      <c r="Q763" s="61">
        <f>IF(ISERROR(P763/SUM(H763:L763)),"",P763/SUM(H763:L763))</f>
        <v>0</v>
      </c>
      <c r="R763" s="113">
        <v>350</v>
      </c>
      <c r="S763" s="28">
        <f>IF(ISERROR(P763/C763*R763),0,(P763/C763*R763))</f>
        <v>0</v>
      </c>
      <c r="T763" s="60">
        <f>IF(ISERROR(P763/B763*AF763),0,(P763/B763*AF763))</f>
        <v>0</v>
      </c>
      <c r="V763" s="113">
        <f>9+1+13</f>
        <v>23</v>
      </c>
      <c r="W763" s="113">
        <f>24+12</f>
        <v>36</v>
      </c>
      <c r="X763" s="113">
        <v>0</v>
      </c>
      <c r="Y763" s="113">
        <v>0</v>
      </c>
      <c r="AA763" s="113">
        <f>13+1+10</f>
        <v>24</v>
      </c>
      <c r="AB763" s="113">
        <f>24+12</f>
        <v>36</v>
      </c>
      <c r="AC763" s="113">
        <v>0</v>
      </c>
      <c r="AD763" s="113">
        <v>0</v>
      </c>
      <c r="AF763" s="163">
        <f>5672.9/24</f>
        <v>236.37083333333331</v>
      </c>
      <c r="AG763" s="28">
        <f>G763-O763</f>
        <v>1</v>
      </c>
      <c r="AH763" s="58">
        <f>IF(ISERROR(AG763/B763*AF763),0,(AG763/B763*AF763))</f>
        <v>236.37083333333331</v>
      </c>
      <c r="AI763" s="28">
        <f>SUM(H763:M763)</f>
        <v>1</v>
      </c>
      <c r="AJ763" s="28">
        <f>IF(ISERROR(AI763/B763*AF763),0,(AI763/B763*AF763))</f>
        <v>236.37083333333331</v>
      </c>
      <c r="AK763" s="58">
        <f>IF(ISERROR(O763/B763*AF763),0,(O763/B763*AF763))</f>
        <v>13945.879166666666</v>
      </c>
      <c r="AL763" s="28">
        <f>IF(ISERROR(H763/B763*AF763),0,(H763/B763*AF763))</f>
        <v>236.37083333333331</v>
      </c>
      <c r="AN763" s="51" t="str">
        <f>A763</f>
        <v xml:space="preserve">Corona </v>
      </c>
      <c r="AO763" s="57">
        <f>IF(ISERROR(IF(B763=C763,D763/C763,(INT(D763/B763)+(((D763-B763*INT(D763/B763)))/C763)/100))),0,(IF(B763=C763,D763/C763,(INT(D763/B763)+(((D763-B763*INT(D763/B763)))/C763)/100))))</f>
        <v>60</v>
      </c>
      <c r="AP763" s="57">
        <f>IF(ISERROR(IF(B763=C763,E763/C763,(INT(E763/B763)+(((E763-B763*INT(E763/B763)))/C763)/100))),0,(IF(B763=C763,E763/C763,(INT(E763/B763)+(((E763-B763*INT(E763/B763)))/C763)/100))))</f>
        <v>0</v>
      </c>
      <c r="AQ763" s="57">
        <f>IF(ISERROR(IF(B763=C763,F763/C763,IF((INT(F763/B763)+(((F763-B763*INT(F763/B763)))/C763)/100)&lt;0,(INT(F763/B763)+(((F763-B763*INT(F763/B763)))/C763)/100)+(1-(B763/C763/100)),(INT(F763/B763)+(((F763-B763*INT(F763/B763)))/C763)/100)))),0,IF(B763=C763,F763/C763,IF((INT(F763/B763)+(((F763-B763*INT(F763/B763)))/C763)/100)&lt;0,(INT(F763/B763)+(((F763-B763*INT(F763/B763)))/C763)/100)+(1-(B763/C763/100)),(INT(F763/B763)+(((F763-B763*INT(F763/B763)))/C763)/100))))</f>
        <v>0</v>
      </c>
      <c r="AR763" s="57">
        <f>IF(ISERROR(IF(B763=C763,G763/C763,(INT(G763/B763)+(((G763-B763*INT(G763/B763)))/C763)/100))),0,(IF(B763=C763,G763/C763,(INT(G763/B763)+(((G763-B763*INT(G763/B763)))/C763)/100))))</f>
        <v>60</v>
      </c>
      <c r="AS763" s="57">
        <f>IF(ISERROR(IF(B763=C763,H763/C763,(INT(H763/B763)+(((H763-B763*INT(H763/B763)))/C763)/100))),0,(IF(B763=C763,H763/C763,(INT(H763/B763)+(((H763-B763*INT(H763/B763)))/C763)/100))))</f>
        <v>1</v>
      </c>
      <c r="AT763" s="57">
        <f>IF(ISERROR(IF(B763=C763,I763/C763,(INT(I763/B763)+(((I763-B763*INT(I763/B763)))/C763)/100))),0,(IF(B763=C763,I763/C763,(INT(I763/B763)+(((I763-B763*INT(I763/B763)))/C763)/100))))</f>
        <v>0</v>
      </c>
      <c r="AU763" s="57">
        <f>IF(ISERROR(IF(B763=C763,J763/C763,(INT(J763/B763)+(((J763-B763*INT(J763/B763)))/C763)/100))),0,(IF(B763=C763,J763/C763,(INT(J763/B763)+(((J763-B763*INT(J763/B763)))/C763)/100))))</f>
        <v>0</v>
      </c>
      <c r="AV763" s="57">
        <f>IF(ISERROR(IF(B763=C763,K763/C763,IF((INT(K763/B763)+(((K763-B763*INT(K763/B763)))/C763)/100)&lt;0,(INT(K763/B763)+(((K763-B763*INT(K763/B763)))/C763)/100)+(1-(B763/C763/100)),(INT(K763/B763)+(((K763-B763*INT(K763/B763)))/C763)/100)))),0,IF(B763=C763,K763/C763,IF((INT(K763/B763)+(((K763-B763*INT(K763/B763)))/C763)/100)&lt;0,(INT(K763/B763)+(((K763-B763*INT(K763/B763)))/C763)/100)+(1-(B763/C763/100)),(INT(K763/B763)+(((K763-B763*INT(K763/B763)))/C763)/100))))</f>
        <v>0</v>
      </c>
      <c r="AW763" s="57">
        <f>IF(ISERROR(IF(B763=C763,L763/C763,(INT(L763/B763)+(((L763-B763*INT(L763/B763)))/C763)/100))),0,(IF(B763=C763,L763/C763,(INT(L763/B763)+(((L763-B763*INT(L763/B763)))/C763)/100))))</f>
        <v>0</v>
      </c>
      <c r="AX763" s="57">
        <f>IF(ISERROR(IF(B763=C763,M763/C763,(INT(M763/B763)+(((M763-B763*INT(M763/B763)))/C763)/100))),0,(IF(B763=C763,M763/C763,(INT(M763/B763)+(((M763-B763*INT(M763/B763)))/C763)/100))))</f>
        <v>0</v>
      </c>
      <c r="AY763" s="57">
        <f>IF(ISERROR(IF(B763=C763,N763/C763,IF((INT(N763/B763)+(((N763-B763*INT(N763/B763)))/C763)/100)&lt;0,(INT(N763/B763)+(((N763-B763*INT(N763/B763)))/C763)/100)+(1-(B763/C763/100)),(INT(N763/B763)+(((N763-B763*INT(N763/B763)))/C763)/100)))),0,IF(B763=C763,N763/C763,IF((INT(N763/B763)+(((N763-B763*INT(N763/B763)))/C763)/100)&lt;0,(INT(N763/B763)+(((N763-B763*INT(N763/B763)))/C763)/100)+(1-(B763/C763/100)),(INT(N763/B763)+(((N763-B763*INT(N763/B763)))/C763)/100))))</f>
        <v>59</v>
      </c>
      <c r="AZ763" s="57">
        <f>IF(ISERROR(IF(B763=C763,O763/C763,(INT(O763/B763)+(((O763-B763*INT(O763/B763)))/C763)/100))),0,(IF(B763=C763,O763/C763,(INT(O763/B763)+(((O763-B763*INT(O763/B763)))/C763)/100))))</f>
        <v>59</v>
      </c>
      <c r="BA763" s="57">
        <f>IF(ISERROR(IF(B763=C763,P763/C763,IF((INT(P763/B763)+(((P763-B763*INT(P763/B763)))/C763)/100)&lt;0,(INT(P763/B763)+(((P763-B763*INT(P763/B763)))/C763)/100)+(1-(B763/C763/100)),(INT(P763/B763)+(((P763-B763*INT(P763/B763)))/C763)/100)))),0,IF(B763=C763,P763/C763,IF((INT(P763/B763)+(((P763-B763*INT(P763/B763)))/C763)/100)&lt;0,(INT(P763/B763)+(((P763-B763*INT(P763/B763)))/C763)/100)+(1-(B763/C763/100)),(INT(P763/B763)+(((P763-B763*INT(P763/B763)))/C763)/100))))</f>
        <v>0</v>
      </c>
      <c r="BB763" s="28">
        <f>R763</f>
        <v>350</v>
      </c>
      <c r="BC763" s="28">
        <f>S763</f>
        <v>0</v>
      </c>
      <c r="BD763" s="28">
        <f>AF763</f>
        <v>236.37083333333331</v>
      </c>
      <c r="BE763" s="28">
        <f>T763</f>
        <v>0</v>
      </c>
      <c r="BG763" s="57">
        <f>IF(ISERROR(IF(B763=C763,V763/C763,(INT(V763/B763)+(((V763-B763*INT(V763/B763)))/C763)/100))),0,(IF(B763=C763,V763/C763,(INT(V763/B763)+(((V763-B763*INT(V763/B763)))/C763)/100))))</f>
        <v>23</v>
      </c>
      <c r="BH763" s="57">
        <f>IF(ISERROR(IF(B763=C763,W763/C763,(INT(W763/B763)+(((W763-B763*INT(W763/B763)))/C763)/100))),0,(IF(B763=C763,W763/C763,(INT(W763/B763)+(((W763-B763*INT(W763/B763)))/C763)/100))))</f>
        <v>36</v>
      </c>
      <c r="BI763" s="57">
        <f>IF(ISERROR(IF(B763=C763,X763/C763,(INT(X763/B763)+(((X763-B763*INT(X763/B763)))/C763)/100))),0,(IF(B763=C763,X763/C763,(INT(X763/B763)+(((X763-B763*INT(X763/B763)))/C763)/100))))</f>
        <v>0</v>
      </c>
      <c r="BJ763" s="57">
        <f>IF(ISERROR(IF(B763=C763,Y763/C763,(INT(Y763/B763)+(((Y763-B763*INT(Y763/B763)))/C763)/100))),0,(IF(B763=C763,Y763/C763,(INT(Y763/B763)+(((Y763-B763*INT(Y763/B763)))/C763)/100))))</f>
        <v>0</v>
      </c>
      <c r="BL763" s="57">
        <f>IF(ISERROR(IF(B763=C763,AA763/C763,(INT(AA763/B763)+(((AA763-B763*INT(AA763/B763)))/C763)/100))),0,(IF(B763=C763,AA763/C763,(INT(AA763/B763)+(((AA763-B763*INT(AA763/B763)))/C763)/100))))</f>
        <v>24</v>
      </c>
      <c r="BM763" s="57">
        <f>IF(ISERROR(IF(B763=C763,AB763/C763,(INT(AB763/B763)+(((AB763-B763*INT(AB763/B763)))/C763)/100))),0,(IF(B763=C763,AB763/C763,(INT(AB763/B763)+(((AB763-B763*INT(AB763/B763)))/C763)/100))))</f>
        <v>36</v>
      </c>
      <c r="BN763" s="57">
        <f>IF(ISERROR(IF(B763=C763,AC763/C763,(INT(AC763/B763)+(((AC763-B763*INT(AC763/B763)))/C763)/100))),0,(IF(B763=C763,AC763/C763,(INT(AC763/B763)+(((AC763-B763*INT(AC763/B763)))/C763)/100))))</f>
        <v>0</v>
      </c>
      <c r="BO763" s="57">
        <f>IF(ISERROR(IF(B763=C763,AD763/C763,(INT(AD763/B763)+(((AD763-B763*INT(AD763/B763)))/C763)/100))),0,(IF(B763=C763,AD763/C763,(INT(AD763/B763)+(((AD763-B763*INT(AD763/B763)))/C763)/100))))</f>
        <v>0</v>
      </c>
      <c r="BQ763" s="155" t="s">
        <v>158</v>
      </c>
    </row>
    <row r="764" spans="1:69" x14ac:dyDescent="0.35">
      <c r="A764" s="134" t="s">
        <v>166</v>
      </c>
      <c r="B764" s="113">
        <v>1</v>
      </c>
      <c r="C764" s="113">
        <v>1</v>
      </c>
      <c r="D764" s="28">
        <f>SUM(AA764:AD764)</f>
        <v>0</v>
      </c>
      <c r="E764" s="113">
        <v>0</v>
      </c>
      <c r="F764" s="113">
        <v>0</v>
      </c>
      <c r="G764" s="28">
        <f>SUM(D764:F764)</f>
        <v>0</v>
      </c>
      <c r="H764" s="125">
        <v>0</v>
      </c>
      <c r="I764" s="113">
        <v>0</v>
      </c>
      <c r="J764" s="125">
        <v>0</v>
      </c>
      <c r="K764" s="113">
        <v>0</v>
      </c>
      <c r="L764" s="113">
        <v>0</v>
      </c>
      <c r="M764" s="113">
        <v>0</v>
      </c>
      <c r="N764" s="28">
        <f>G764-SUM(H764:M764)</f>
        <v>0</v>
      </c>
      <c r="O764" s="28">
        <f>SUM(V764:Y764)</f>
        <v>0</v>
      </c>
      <c r="P764" s="28">
        <f>O764-N764</f>
        <v>0</v>
      </c>
      <c r="Q764" s="61" t="str">
        <f>IF(ISERROR(P764/SUM(H764:L764)),"",P764/SUM(H764:L764))</f>
        <v/>
      </c>
      <c r="R764" s="113">
        <v>0</v>
      </c>
      <c r="S764" s="28">
        <f>IF(ISERROR(P764/C764*R764),0,(P764/C764*R764))</f>
        <v>0</v>
      </c>
      <c r="T764" s="60">
        <f>IF(ISERROR(P764/B764*AF764),0,(P764/B764*AF764))</f>
        <v>0</v>
      </c>
      <c r="V764" s="113">
        <v>0</v>
      </c>
      <c r="W764" s="113">
        <v>0</v>
      </c>
      <c r="X764" s="113">
        <v>0</v>
      </c>
      <c r="Y764" s="113">
        <v>0</v>
      </c>
      <c r="AA764" s="113">
        <v>0</v>
      </c>
      <c r="AB764" s="113">
        <v>0</v>
      </c>
      <c r="AC764" s="113">
        <v>0</v>
      </c>
      <c r="AD764" s="113">
        <v>0</v>
      </c>
      <c r="AF764" s="155">
        <v>55.909479166666664</v>
      </c>
      <c r="AG764" s="28">
        <f>G764-O764</f>
        <v>0</v>
      </c>
      <c r="AH764" s="58">
        <f>IF(ISERROR(AG764/B764*AF764),0,(AG764/B764*AF764))</f>
        <v>0</v>
      </c>
      <c r="AI764" s="28">
        <f>SUM(H764:M764)</f>
        <v>0</v>
      </c>
      <c r="AJ764" s="28">
        <f>IF(ISERROR(AI764/B764*AF764),0,(AI764/B764*AF764))</f>
        <v>0</v>
      </c>
      <c r="AK764" s="58">
        <f>IF(ISERROR(O764/B764*AF764),0,(O764/B764*AF764))</f>
        <v>0</v>
      </c>
      <c r="AL764" s="28">
        <f>IF(ISERROR(H764/B764*AF764),0,(H764/B764*AF764))</f>
        <v>0</v>
      </c>
      <c r="AN764" s="51" t="str">
        <f>A764</f>
        <v>Foster</v>
      </c>
      <c r="AO764" s="57">
        <f>IF(ISERROR(IF(B764=C764,D764/C764,(INT(D764/B764)+(((D764-B764*INT(D764/B764)))/C764)/100))),0,(IF(B764=C764,D764/C764,(INT(D764/B764)+(((D764-B764*INT(D764/B764)))/C764)/100))))</f>
        <v>0</v>
      </c>
      <c r="AP764" s="57">
        <f>IF(ISERROR(IF(B764=C764,E764/C764,(INT(E764/B764)+(((E764-B764*INT(E764/B764)))/C764)/100))),0,(IF(B764=C764,E764/C764,(INT(E764/B764)+(((E764-B764*INT(E764/B764)))/C764)/100))))</f>
        <v>0</v>
      </c>
      <c r="AQ764" s="57">
        <f>IF(ISERROR(IF(B764=C764,F764/C764,IF((INT(F764/B764)+(((F764-B764*INT(F764/B764)))/C764)/100)&lt;0,(INT(F764/B764)+(((F764-B764*INT(F764/B764)))/C764)/100)+(1-(B764/C764/100)),(INT(F764/B764)+(((F764-B764*INT(F764/B764)))/C764)/100)))),0,IF(B764=C764,F764/C764,IF((INT(F764/B764)+(((F764-B764*INT(F764/B764)))/C764)/100)&lt;0,(INT(F764/B764)+(((F764-B764*INT(F764/B764)))/C764)/100)+(1-(B764/C764/100)),(INT(F764/B764)+(((F764-B764*INT(F764/B764)))/C764)/100))))</f>
        <v>0</v>
      </c>
      <c r="AR764" s="57">
        <f>IF(ISERROR(IF(B764=C764,G764/C764,(INT(G764/B764)+(((G764-B764*INT(G764/B764)))/C764)/100))),0,(IF(B764=C764,G764/C764,(INT(G764/B764)+(((G764-B764*INT(G764/B764)))/C764)/100))))</f>
        <v>0</v>
      </c>
      <c r="AS764" s="57">
        <f>IF(ISERROR(IF(B764=C764,H764/C764,(INT(H764/B764)+(((H764-B764*INT(H764/B764)))/C764)/100))),0,(IF(B764=C764,H764/C764,(INT(H764/B764)+(((H764-B764*INT(H764/B764)))/C764)/100))))</f>
        <v>0</v>
      </c>
      <c r="AT764" s="57">
        <f>IF(ISERROR(IF(B764=C764,I764/C764,(INT(I764/B764)+(((I764-B764*INT(I764/B764)))/C764)/100))),0,(IF(B764=C764,I764/C764,(INT(I764/B764)+(((I764-B764*INT(I764/B764)))/C764)/100))))</f>
        <v>0</v>
      </c>
      <c r="AU764" s="57">
        <f>IF(ISERROR(IF(B764=C764,J764/C764,(INT(J764/B764)+(((J764-B764*INT(J764/B764)))/C764)/100))),0,(IF(B764=C764,J764/C764,(INT(J764/B764)+(((J764-B764*INT(J764/B764)))/C764)/100))))</f>
        <v>0</v>
      </c>
      <c r="AV764" s="57">
        <f>IF(ISERROR(IF(B764=C764,K764/C764,IF((INT(K764/B764)+(((K764-B764*INT(K764/B764)))/C764)/100)&lt;0,(INT(K764/B764)+(((K764-B764*INT(K764/B764)))/C764)/100)+(1-(B764/C764/100)),(INT(K764/B764)+(((K764-B764*INT(K764/B764)))/C764)/100)))),0,IF(B764=C764,K764/C764,IF((INT(K764/B764)+(((K764-B764*INT(K764/B764)))/C764)/100)&lt;0,(INT(K764/B764)+(((K764-B764*INT(K764/B764)))/C764)/100)+(1-(B764/C764/100)),(INT(K764/B764)+(((K764-B764*INT(K764/B764)))/C764)/100))))</f>
        <v>0</v>
      </c>
      <c r="AW764" s="57">
        <f>IF(ISERROR(IF(B764=C764,L764/C764,(INT(L764/B764)+(((L764-B764*INT(L764/B764)))/C764)/100))),0,(IF(B764=C764,L764/C764,(INT(L764/B764)+(((L764-B764*INT(L764/B764)))/C764)/100))))</f>
        <v>0</v>
      </c>
      <c r="AX764" s="57">
        <f>IF(ISERROR(IF(B764=C764,M764/C764,(INT(M764/B764)+(((M764-B764*INT(M764/B764)))/C764)/100))),0,(IF(B764=C764,M764/C764,(INT(M764/B764)+(((M764-B764*INT(M764/B764)))/C764)/100))))</f>
        <v>0</v>
      </c>
      <c r="AY764" s="57">
        <f>IF(ISERROR(IF(B764=C764,N764/C764,IF((INT(N764/B764)+(((N764-B764*INT(N764/B764)))/C764)/100)&lt;0,(INT(N764/B764)+(((N764-B764*INT(N764/B764)))/C764)/100)+(1-(B764/C764/100)),(INT(N764/B764)+(((N764-B764*INT(N764/B764)))/C764)/100)))),0,IF(B764=C764,N764/C764,IF((INT(N764/B764)+(((N764-B764*INT(N764/B764)))/C764)/100)&lt;0,(INT(N764/B764)+(((N764-B764*INT(N764/B764)))/C764)/100)+(1-(B764/C764/100)),(INT(N764/B764)+(((N764-B764*INT(N764/B764)))/C764)/100))))</f>
        <v>0</v>
      </c>
      <c r="AZ764" s="57">
        <f>IF(ISERROR(IF(B764=C764,O764/C764,(INT(O764/B764)+(((O764-B764*INT(O764/B764)))/C764)/100))),0,(IF(B764=C764,O764/C764,(INT(O764/B764)+(((O764-B764*INT(O764/B764)))/C764)/100))))</f>
        <v>0</v>
      </c>
      <c r="BA764" s="57">
        <f>IF(ISERROR(IF(B764=C764,P764/C764,IF((INT(P764/B764)+(((P764-B764*INT(P764/B764)))/C764)/100)&lt;0,(INT(P764/B764)+(((P764-B764*INT(P764/B764)))/C764)/100)+(1-(B764/C764/100)),(INT(P764/B764)+(((P764-B764*INT(P764/B764)))/C764)/100)))),0,IF(B764=C764,P764/C764,IF((INT(P764/B764)+(((P764-B764*INT(P764/B764)))/C764)/100)&lt;0,(INT(P764/B764)+(((P764-B764*INT(P764/B764)))/C764)/100)+(1-(B764/C764/100)),(INT(P764/B764)+(((P764-B764*INT(P764/B764)))/C764)/100))))</f>
        <v>0</v>
      </c>
      <c r="BB764" s="28">
        <f>R764</f>
        <v>0</v>
      </c>
      <c r="BC764" s="28">
        <f>S764</f>
        <v>0</v>
      </c>
      <c r="BD764" s="28">
        <f>AF764</f>
        <v>55.909479166666664</v>
      </c>
      <c r="BE764" s="28">
        <f>T764</f>
        <v>0</v>
      </c>
      <c r="BG764" s="57">
        <f>IF(ISERROR(IF(B764=C764,V764/C764,(INT(V764/B764)+(((V764-B764*INT(V764/B764)))/C764)/100))),0,(IF(B764=C764,V764/C764,(INT(V764/B764)+(((V764-B764*INT(V764/B764)))/C764)/100))))</f>
        <v>0</v>
      </c>
      <c r="BH764" s="57">
        <f>IF(ISERROR(IF(B764=C764,W764/C764,(INT(W764/B764)+(((W764-B764*INT(W764/B764)))/C764)/100))),0,(IF(B764=C764,W764/C764,(INT(W764/B764)+(((W764-B764*INT(W764/B764)))/C764)/100))))</f>
        <v>0</v>
      </c>
      <c r="BI764" s="57">
        <f>IF(ISERROR(IF(B764=C764,X764/C764,(INT(X764/B764)+(((X764-B764*INT(X764/B764)))/C764)/100))),0,(IF(B764=C764,X764/C764,(INT(X764/B764)+(((X764-B764*INT(X764/B764)))/C764)/100))))</f>
        <v>0</v>
      </c>
      <c r="BJ764" s="57">
        <f>IF(ISERROR(IF(B764=C764,Y764/C764,(INT(Y764/B764)+(((Y764-B764*INT(Y764/B764)))/C764)/100))),0,(IF(B764=C764,Y764/C764,(INT(Y764/B764)+(((Y764-B764*INT(Y764/B764)))/C764)/100))))</f>
        <v>0</v>
      </c>
      <c r="BL764" s="57">
        <f>IF(ISERROR(IF(B764=C764,AA764/C764,(INT(AA764/B764)+(((AA764-B764*INT(AA764/B764)))/C764)/100))),0,(IF(B764=C764,AA764/C764,(INT(AA764/B764)+(((AA764-B764*INT(AA764/B764)))/C764)/100))))</f>
        <v>0</v>
      </c>
      <c r="BM764" s="57">
        <f>IF(ISERROR(IF(B764=C764,AB764/C764,(INT(AB764/B764)+(((AB764-B764*INT(AB764/B764)))/C764)/100))),0,(IF(B764=C764,AB764/C764,(INT(AB764/B764)+(((AB764-B764*INT(AB764/B764)))/C764)/100))))</f>
        <v>0</v>
      </c>
      <c r="BN764" s="57">
        <f>IF(ISERROR(IF(B764=C764,AC764/C764,(INT(AC764/B764)+(((AC764-B764*INT(AC764/B764)))/C764)/100))),0,(IF(B764=C764,AC764/C764,(INT(AC764/B764)+(((AC764-B764*INT(AC764/B764)))/C764)/100))))</f>
        <v>0</v>
      </c>
      <c r="BO764" s="57">
        <f>IF(ISERROR(IF(B764=C764,AD764/C764,(INT(AD764/B764)+(((AD764-B764*INT(AD764/B764)))/C764)/100))),0,(IF(B764=C764,AD764/C764,(INT(AD764/B764)+(((AD764-B764*INT(AD764/B764)))/C764)/100))))</f>
        <v>0</v>
      </c>
      <c r="BQ764" s="155" t="s">
        <v>158</v>
      </c>
    </row>
    <row r="765" spans="1:69" x14ac:dyDescent="0.35">
      <c r="A765" s="134" t="s">
        <v>165</v>
      </c>
      <c r="B765" s="113">
        <v>1</v>
      </c>
      <c r="C765" s="113">
        <v>1</v>
      </c>
      <c r="D765" s="28">
        <f>SUM(AA765:AD765)</f>
        <v>83</v>
      </c>
      <c r="E765" s="113">
        <v>0</v>
      </c>
      <c r="F765" s="113">
        <v>0</v>
      </c>
      <c r="G765" s="28">
        <f>SUM(D765:F765)</f>
        <v>83</v>
      </c>
      <c r="H765" s="125">
        <v>1</v>
      </c>
      <c r="I765" s="113">
        <v>0</v>
      </c>
      <c r="J765" s="125">
        <v>0</v>
      </c>
      <c r="K765" s="113">
        <v>0</v>
      </c>
      <c r="L765" s="113">
        <v>0</v>
      </c>
      <c r="M765" s="113">
        <v>0</v>
      </c>
      <c r="N765" s="28">
        <f>G765-SUM(H765:M765)</f>
        <v>82</v>
      </c>
      <c r="O765" s="28">
        <f>SUM(V765:Y765)</f>
        <v>82</v>
      </c>
      <c r="P765" s="28">
        <f>O765-N765</f>
        <v>0</v>
      </c>
      <c r="Q765" s="61">
        <f>IF(ISERROR(P765/SUM(H765:L765)),"",P765/SUM(H765:L765))</f>
        <v>0</v>
      </c>
      <c r="R765" s="113">
        <v>225</v>
      </c>
      <c r="S765" s="28">
        <f>IF(ISERROR(P765/C765*R765),0,(P765/C765*R765))</f>
        <v>0</v>
      </c>
      <c r="T765" s="60">
        <f>IF(ISERROR(P765/B765*AF765),0,(P765/B765*AF765))</f>
        <v>0</v>
      </c>
      <c r="V765" s="113">
        <f>12+2+13+7</f>
        <v>34</v>
      </c>
      <c r="W765" s="113">
        <f>2*24</f>
        <v>48</v>
      </c>
      <c r="X765" s="113">
        <v>0</v>
      </c>
      <c r="Y765" s="113">
        <v>0</v>
      </c>
      <c r="AA765" s="113">
        <f>7+14+14</f>
        <v>35</v>
      </c>
      <c r="AB765" s="113">
        <f>2*24</f>
        <v>48</v>
      </c>
      <c r="AC765" s="113">
        <v>0</v>
      </c>
      <c r="AD765" s="113">
        <v>0</v>
      </c>
      <c r="AF765" s="162">
        <f>2181.8/24</f>
        <v>90.908333333333346</v>
      </c>
      <c r="AG765" s="28">
        <f>G765-O765</f>
        <v>1</v>
      </c>
      <c r="AH765" s="58">
        <f>IF(ISERROR(AG765/B765*AF765),0,(AG765/B765*AF765))</f>
        <v>90.908333333333346</v>
      </c>
      <c r="AI765" s="28">
        <f>SUM(H765:M765)</f>
        <v>1</v>
      </c>
      <c r="AJ765" s="28">
        <f>IF(ISERROR(AI765/B765*AF765),0,(AI765/B765*AF765))</f>
        <v>90.908333333333346</v>
      </c>
      <c r="AK765" s="58">
        <f>IF(ISERROR(O765/B765*AF765),0,(O765/B765*AF765))</f>
        <v>7454.4833333333345</v>
      </c>
      <c r="AL765" s="28">
        <f>IF(ISERROR(H765/B765*AF765),0,(H765/B765*AF765))</f>
        <v>90.908333333333346</v>
      </c>
      <c r="AN765" s="51" t="str">
        <f>A765</f>
        <v>Heineken</v>
      </c>
      <c r="AO765" s="57">
        <f>IF(ISERROR(IF(B765=C765,D765/C765,(INT(D765/B765)+(((D765-B765*INT(D765/B765)))/C765)/100))),0,(IF(B765=C765,D765/C765,(INT(D765/B765)+(((D765-B765*INT(D765/B765)))/C765)/100))))</f>
        <v>83</v>
      </c>
      <c r="AP765" s="57">
        <f>IF(ISERROR(IF(B765=C765,E765/C765,(INT(E765/B765)+(((E765-B765*INT(E765/B765)))/C765)/100))),0,(IF(B765=C765,E765/C765,(INT(E765/B765)+(((E765-B765*INT(E765/B765)))/C765)/100))))</f>
        <v>0</v>
      </c>
      <c r="AQ765" s="57">
        <f>IF(ISERROR(IF(B765=C765,F765/C765,IF((INT(F765/B765)+(((F765-B765*INT(F765/B765)))/C765)/100)&lt;0,(INT(F765/B765)+(((F765-B765*INT(F765/B765)))/C765)/100)+(1-(B765/C765/100)),(INT(F765/B765)+(((F765-B765*INT(F765/B765)))/C765)/100)))),0,IF(B765=C765,F765/C765,IF((INT(F765/B765)+(((F765-B765*INT(F765/B765)))/C765)/100)&lt;0,(INT(F765/B765)+(((F765-B765*INT(F765/B765)))/C765)/100)+(1-(B765/C765/100)),(INT(F765/B765)+(((F765-B765*INT(F765/B765)))/C765)/100))))</f>
        <v>0</v>
      </c>
      <c r="AR765" s="57">
        <f>IF(ISERROR(IF(B765=C765,G765/C765,(INT(G765/B765)+(((G765-B765*INT(G765/B765)))/C765)/100))),0,(IF(B765=C765,G765/C765,(INT(G765/B765)+(((G765-B765*INT(G765/B765)))/C765)/100))))</f>
        <v>83</v>
      </c>
      <c r="AS765" s="57">
        <f>IF(ISERROR(IF(B765=C765,H765/C765,(INT(H765/B765)+(((H765-B765*INT(H765/B765)))/C765)/100))),0,(IF(B765=C765,H765/C765,(INT(H765/B765)+(((H765-B765*INT(H765/B765)))/C765)/100))))</f>
        <v>1</v>
      </c>
      <c r="AT765" s="57">
        <f>IF(ISERROR(IF(B765=C765,I765/C765,(INT(I765/B765)+(((I765-B765*INT(I765/B765)))/C765)/100))),0,(IF(B765=C765,I765/C765,(INT(I765/B765)+(((I765-B765*INT(I765/B765)))/C765)/100))))</f>
        <v>0</v>
      </c>
      <c r="AU765" s="57">
        <f>IF(ISERROR(IF(B765=C765,J765/C765,(INT(J765/B765)+(((J765-B765*INT(J765/B765)))/C765)/100))),0,(IF(B765=C765,J765/C765,(INT(J765/B765)+(((J765-B765*INT(J765/B765)))/C765)/100))))</f>
        <v>0</v>
      </c>
      <c r="AV765" s="57">
        <f>IF(ISERROR(IF(B765=C765,K765/C765,IF((INT(K765/B765)+(((K765-B765*INT(K765/B765)))/C765)/100)&lt;0,(INT(K765/B765)+(((K765-B765*INT(K765/B765)))/C765)/100)+(1-(B765/C765/100)),(INT(K765/B765)+(((K765-B765*INT(K765/B765)))/C765)/100)))),0,IF(B765=C765,K765/C765,IF((INT(K765/B765)+(((K765-B765*INT(K765/B765)))/C765)/100)&lt;0,(INT(K765/B765)+(((K765-B765*INT(K765/B765)))/C765)/100)+(1-(B765/C765/100)),(INT(K765/B765)+(((K765-B765*INT(K765/B765)))/C765)/100))))</f>
        <v>0</v>
      </c>
      <c r="AW765" s="57">
        <f>IF(ISERROR(IF(B765=C765,L765/C765,(INT(L765/B765)+(((L765-B765*INT(L765/B765)))/C765)/100))),0,(IF(B765=C765,L765/C765,(INT(L765/B765)+(((L765-B765*INT(L765/B765)))/C765)/100))))</f>
        <v>0</v>
      </c>
      <c r="AX765" s="57">
        <f>IF(ISERROR(IF(B765=C765,M765/C765,(INT(M765/B765)+(((M765-B765*INT(M765/B765)))/C765)/100))),0,(IF(B765=C765,M765/C765,(INT(M765/B765)+(((M765-B765*INT(M765/B765)))/C765)/100))))</f>
        <v>0</v>
      </c>
      <c r="AY765" s="57">
        <f>IF(ISERROR(IF(B765=C765,N765/C765,IF((INT(N765/B765)+(((N765-B765*INT(N765/B765)))/C765)/100)&lt;0,(INT(N765/B765)+(((N765-B765*INT(N765/B765)))/C765)/100)+(1-(B765/C765/100)),(INT(N765/B765)+(((N765-B765*INT(N765/B765)))/C765)/100)))),0,IF(B765=C765,N765/C765,IF((INT(N765/B765)+(((N765-B765*INT(N765/B765)))/C765)/100)&lt;0,(INT(N765/B765)+(((N765-B765*INT(N765/B765)))/C765)/100)+(1-(B765/C765/100)),(INT(N765/B765)+(((N765-B765*INT(N765/B765)))/C765)/100))))</f>
        <v>82</v>
      </c>
      <c r="AZ765" s="57">
        <f>IF(ISERROR(IF(B765=C765,O765/C765,(INT(O765/B765)+(((O765-B765*INT(O765/B765)))/C765)/100))),0,(IF(B765=C765,O765/C765,(INT(O765/B765)+(((O765-B765*INT(O765/B765)))/C765)/100))))</f>
        <v>82</v>
      </c>
      <c r="BA765" s="57">
        <f>IF(ISERROR(IF(B765=C765,P765/C765,IF((INT(P765/B765)+(((P765-B765*INT(P765/B765)))/C765)/100)&lt;0,(INT(P765/B765)+(((P765-B765*INT(P765/B765)))/C765)/100)+(1-(B765/C765/100)),(INT(P765/B765)+(((P765-B765*INT(P765/B765)))/C765)/100)))),0,IF(B765=C765,P765/C765,IF((INT(P765/B765)+(((P765-B765*INT(P765/B765)))/C765)/100)&lt;0,(INT(P765/B765)+(((P765-B765*INT(P765/B765)))/C765)/100)+(1-(B765/C765/100)),(INT(P765/B765)+(((P765-B765*INT(P765/B765)))/C765)/100))))</f>
        <v>0</v>
      </c>
      <c r="BB765" s="28">
        <f>R765</f>
        <v>225</v>
      </c>
      <c r="BC765" s="28">
        <f>S765</f>
        <v>0</v>
      </c>
      <c r="BD765" s="28">
        <f>AF765</f>
        <v>90.908333333333346</v>
      </c>
      <c r="BE765" s="28">
        <f>T765</f>
        <v>0</v>
      </c>
      <c r="BG765" s="57">
        <f>IF(ISERROR(IF(B765=C765,V765/C765,(INT(V765/B765)+(((V765-B765*INT(V765/B765)))/C765)/100))),0,(IF(B765=C765,V765/C765,(INT(V765/B765)+(((V765-B765*INT(V765/B765)))/C765)/100))))</f>
        <v>34</v>
      </c>
      <c r="BH765" s="57">
        <f>IF(ISERROR(IF(B765=C765,W765/C765,(INT(W765/B765)+(((W765-B765*INT(W765/B765)))/C765)/100))),0,(IF(B765=C765,W765/C765,(INT(W765/B765)+(((W765-B765*INT(W765/B765)))/C765)/100))))</f>
        <v>48</v>
      </c>
      <c r="BI765" s="57">
        <f>IF(ISERROR(IF(B765=C765,X765/C765,(INT(X765/B765)+(((X765-B765*INT(X765/B765)))/C765)/100))),0,(IF(B765=C765,X765/C765,(INT(X765/B765)+(((X765-B765*INT(X765/B765)))/C765)/100))))</f>
        <v>0</v>
      </c>
      <c r="BJ765" s="57">
        <f>IF(ISERROR(IF(B765=C765,Y765/C765,(INT(Y765/B765)+(((Y765-B765*INT(Y765/B765)))/C765)/100))),0,(IF(B765=C765,Y765/C765,(INT(Y765/B765)+(((Y765-B765*INT(Y765/B765)))/C765)/100))))</f>
        <v>0</v>
      </c>
      <c r="BL765" s="57">
        <f>IF(ISERROR(IF(B765=C765,AA765/C765,(INT(AA765/B765)+(((AA765-B765*INT(AA765/B765)))/C765)/100))),0,(IF(B765=C765,AA765/C765,(INT(AA765/B765)+(((AA765-B765*INT(AA765/B765)))/C765)/100))))</f>
        <v>35</v>
      </c>
      <c r="BM765" s="57">
        <f>IF(ISERROR(IF(B765=C765,AB765/C765,(INT(AB765/B765)+(((AB765-B765*INT(AB765/B765)))/C765)/100))),0,(IF(B765=C765,AB765/C765,(INT(AB765/B765)+(((AB765-B765*INT(AB765/B765)))/C765)/100))))</f>
        <v>48</v>
      </c>
      <c r="BN765" s="57">
        <f>IF(ISERROR(IF(B765=C765,AC765/C765,(INT(AC765/B765)+(((AC765-B765*INT(AC765/B765)))/C765)/100))),0,(IF(B765=C765,AC765/C765,(INT(AC765/B765)+(((AC765-B765*INT(AC765/B765)))/C765)/100))))</f>
        <v>0</v>
      </c>
      <c r="BO765" s="57">
        <f>IF(ISERROR(IF(B765=C765,AD765/C765,(INT(AD765/B765)+(((AD765-B765*INT(AD765/B765)))/C765)/100))),0,(IF(B765=C765,AD765/C765,(INT(AD765/B765)+(((AD765-B765*INT(AD765/B765)))/C765)/100))))</f>
        <v>0</v>
      </c>
      <c r="BQ765" s="155" t="s">
        <v>158</v>
      </c>
    </row>
    <row r="766" spans="1:69" x14ac:dyDescent="0.35">
      <c r="A766" s="134" t="s">
        <v>164</v>
      </c>
      <c r="B766" s="113">
        <v>1</v>
      </c>
      <c r="C766" s="113">
        <v>1</v>
      </c>
      <c r="D766" s="28">
        <f>SUM(AA766:AD766)</f>
        <v>1</v>
      </c>
      <c r="E766" s="113">
        <v>0</v>
      </c>
      <c r="F766" s="113">
        <v>0</v>
      </c>
      <c r="G766" s="28">
        <f>SUM(D766:F766)</f>
        <v>1</v>
      </c>
      <c r="H766" s="125">
        <v>1</v>
      </c>
      <c r="I766" s="113">
        <v>0</v>
      </c>
      <c r="J766" s="125">
        <v>0</v>
      </c>
      <c r="K766" s="113">
        <v>0</v>
      </c>
      <c r="L766" s="113">
        <v>0</v>
      </c>
      <c r="M766" s="113">
        <v>0</v>
      </c>
      <c r="N766" s="28">
        <f>G766-SUM(H766:M766)</f>
        <v>0</v>
      </c>
      <c r="O766" s="28">
        <f>SUM(V766:Y766)</f>
        <v>0</v>
      </c>
      <c r="P766" s="28">
        <f>O766-N766</f>
        <v>0</v>
      </c>
      <c r="Q766" s="61">
        <f>IF(ISERROR(P766/SUM(H766:L766)),"",P766/SUM(H766:L766))</f>
        <v>0</v>
      </c>
      <c r="R766" s="113">
        <v>400</v>
      </c>
      <c r="S766" s="28">
        <f>IF(ISERROR(P766/C766*R766),0,(P766/C766*R766))</f>
        <v>0</v>
      </c>
      <c r="T766" s="60">
        <f>IF(ISERROR(P766/B766*AF766),0,(P766/B766*AF766))</f>
        <v>0</v>
      </c>
      <c r="V766" s="113">
        <v>0</v>
      </c>
      <c r="W766" s="113">
        <v>0</v>
      </c>
      <c r="X766" s="113">
        <v>0</v>
      </c>
      <c r="Y766" s="113">
        <v>0</v>
      </c>
      <c r="AA766" s="113">
        <f>1</f>
        <v>1</v>
      </c>
      <c r="AB766" s="113">
        <v>0</v>
      </c>
      <c r="AC766" s="113">
        <v>0</v>
      </c>
      <c r="AD766" s="113">
        <v>0</v>
      </c>
      <c r="AF766" s="162">
        <f>6000.1/24</f>
        <v>250.00416666666669</v>
      </c>
      <c r="AG766" s="28">
        <f>G766-O766</f>
        <v>1</v>
      </c>
      <c r="AH766" s="58">
        <f>IF(ISERROR(AG766/B766*AF766),0,(AG766/B766*AF766))</f>
        <v>250.00416666666669</v>
      </c>
      <c r="AI766" s="28">
        <f>SUM(H766:M766)</f>
        <v>1</v>
      </c>
      <c r="AJ766" s="28">
        <f>IF(ISERROR(AI766/B766*AF766),0,(AI766/B766*AF766))</f>
        <v>250.00416666666669</v>
      </c>
      <c r="AK766" s="58">
        <f>IF(ISERROR(O766/B766*AF766),0,(O766/B766*AF766))</f>
        <v>0</v>
      </c>
      <c r="AL766" s="28">
        <f>IF(ISERROR(H766/B766*AF766),0,(H766/B766*AF766))</f>
        <v>250.00416666666669</v>
      </c>
      <c r="AN766" s="51" t="str">
        <f>A766</f>
        <v>Hoegaarden</v>
      </c>
      <c r="AO766" s="57">
        <f>IF(ISERROR(IF(B766=C766,D766/C766,(INT(D766/B766)+(((D766-B766*INT(D766/B766)))/C766)/100))),0,(IF(B766=C766,D766/C766,(INT(D766/B766)+(((D766-B766*INT(D766/B766)))/C766)/100))))</f>
        <v>1</v>
      </c>
      <c r="AP766" s="57">
        <f>IF(ISERROR(IF(B766=C766,E766/C766,(INT(E766/B766)+(((E766-B766*INT(E766/B766)))/C766)/100))),0,(IF(B766=C766,E766/C766,(INT(E766/B766)+(((E766-B766*INT(E766/B766)))/C766)/100))))</f>
        <v>0</v>
      </c>
      <c r="AQ766" s="57">
        <f>IF(ISERROR(IF(B766=C766,F766/C766,IF((INT(F766/B766)+(((F766-B766*INT(F766/B766)))/C766)/100)&lt;0,(INT(F766/B766)+(((F766-B766*INT(F766/B766)))/C766)/100)+(1-(B766/C766/100)),(INT(F766/B766)+(((F766-B766*INT(F766/B766)))/C766)/100)))),0,IF(B766=C766,F766/C766,IF((INT(F766/B766)+(((F766-B766*INT(F766/B766)))/C766)/100)&lt;0,(INT(F766/B766)+(((F766-B766*INT(F766/B766)))/C766)/100)+(1-(B766/C766/100)),(INT(F766/B766)+(((F766-B766*INT(F766/B766)))/C766)/100))))</f>
        <v>0</v>
      </c>
      <c r="AR766" s="57">
        <f>IF(ISERROR(IF(B766=C766,G766/C766,(INT(G766/B766)+(((G766-B766*INT(G766/B766)))/C766)/100))),0,(IF(B766=C766,G766/C766,(INT(G766/B766)+(((G766-B766*INT(G766/B766)))/C766)/100))))</f>
        <v>1</v>
      </c>
      <c r="AS766" s="57">
        <f>IF(ISERROR(IF(B766=C766,H766/C766,(INT(H766/B766)+(((H766-B766*INT(H766/B766)))/C766)/100))),0,(IF(B766=C766,H766/C766,(INT(H766/B766)+(((H766-B766*INT(H766/B766)))/C766)/100))))</f>
        <v>1</v>
      </c>
      <c r="AT766" s="57">
        <f>IF(ISERROR(IF(B766=C766,I766/C766,(INT(I766/B766)+(((I766-B766*INT(I766/B766)))/C766)/100))),0,(IF(B766=C766,I766/C766,(INT(I766/B766)+(((I766-B766*INT(I766/B766)))/C766)/100))))</f>
        <v>0</v>
      </c>
      <c r="AU766" s="57">
        <f>IF(ISERROR(IF(B766=C766,J766/C766,(INT(J766/B766)+(((J766-B766*INT(J766/B766)))/C766)/100))),0,(IF(B766=C766,J766/C766,(INT(J766/B766)+(((J766-B766*INT(J766/B766)))/C766)/100))))</f>
        <v>0</v>
      </c>
      <c r="AV766" s="57">
        <f>IF(ISERROR(IF(B766=C766,K766/C766,IF((INT(K766/B766)+(((K766-B766*INT(K766/B766)))/C766)/100)&lt;0,(INT(K766/B766)+(((K766-B766*INT(K766/B766)))/C766)/100)+(1-(B766/C766/100)),(INT(K766/B766)+(((K766-B766*INT(K766/B766)))/C766)/100)))),0,IF(B766=C766,K766/C766,IF((INT(K766/B766)+(((K766-B766*INT(K766/B766)))/C766)/100)&lt;0,(INT(K766/B766)+(((K766-B766*INT(K766/B766)))/C766)/100)+(1-(B766/C766/100)),(INT(K766/B766)+(((K766-B766*INT(K766/B766)))/C766)/100))))</f>
        <v>0</v>
      </c>
      <c r="AW766" s="57">
        <f>IF(ISERROR(IF(B766=C766,L766/C766,(INT(L766/B766)+(((L766-B766*INT(L766/B766)))/C766)/100))),0,(IF(B766=C766,L766/C766,(INT(L766/B766)+(((L766-B766*INT(L766/B766)))/C766)/100))))</f>
        <v>0</v>
      </c>
      <c r="AX766" s="57">
        <f>IF(ISERROR(IF(B766=C766,M766/C766,(INT(M766/B766)+(((M766-B766*INT(M766/B766)))/C766)/100))),0,(IF(B766=C766,M766/C766,(INT(M766/B766)+(((M766-B766*INT(M766/B766)))/C766)/100))))</f>
        <v>0</v>
      </c>
      <c r="AY766" s="57">
        <f>IF(ISERROR(IF(B766=C766,N766/C766,IF((INT(N766/B766)+(((N766-B766*INT(N766/B766)))/C766)/100)&lt;0,(INT(N766/B766)+(((N766-B766*INT(N766/B766)))/C766)/100)+(1-(B766/C766/100)),(INT(N766/B766)+(((N766-B766*INT(N766/B766)))/C766)/100)))),0,IF(B766=C766,N766/C766,IF((INT(N766/B766)+(((N766-B766*INT(N766/B766)))/C766)/100)&lt;0,(INT(N766/B766)+(((N766-B766*INT(N766/B766)))/C766)/100)+(1-(B766/C766/100)),(INT(N766/B766)+(((N766-B766*INT(N766/B766)))/C766)/100))))</f>
        <v>0</v>
      </c>
      <c r="AZ766" s="57">
        <f>IF(ISERROR(IF(B766=C766,O766/C766,(INT(O766/B766)+(((O766-B766*INT(O766/B766)))/C766)/100))),0,(IF(B766=C766,O766/C766,(INT(O766/B766)+(((O766-B766*INT(O766/B766)))/C766)/100))))</f>
        <v>0</v>
      </c>
      <c r="BA766" s="57">
        <f>IF(ISERROR(IF(B766=C766,P766/C766,IF((INT(P766/B766)+(((P766-B766*INT(P766/B766)))/C766)/100)&lt;0,(INT(P766/B766)+(((P766-B766*INT(P766/B766)))/C766)/100)+(1-(B766/C766/100)),(INT(P766/B766)+(((P766-B766*INT(P766/B766)))/C766)/100)))),0,IF(B766=C766,P766/C766,IF((INT(P766/B766)+(((P766-B766*INT(P766/B766)))/C766)/100)&lt;0,(INT(P766/B766)+(((P766-B766*INT(P766/B766)))/C766)/100)+(1-(B766/C766/100)),(INT(P766/B766)+(((P766-B766*INT(P766/B766)))/C766)/100))))</f>
        <v>0</v>
      </c>
      <c r="BB766" s="28">
        <f>R766</f>
        <v>400</v>
      </c>
      <c r="BC766" s="28">
        <f>S766</f>
        <v>0</v>
      </c>
      <c r="BD766" s="28">
        <f>AF766</f>
        <v>250.00416666666669</v>
      </c>
      <c r="BE766" s="28">
        <f>T766</f>
        <v>0</v>
      </c>
      <c r="BG766" s="57">
        <f>IF(ISERROR(IF(B766=C766,V766/C766,(INT(V766/B766)+(((V766-B766*INT(V766/B766)))/C766)/100))),0,(IF(B766=C766,V766/C766,(INT(V766/B766)+(((V766-B766*INT(V766/B766)))/C766)/100))))</f>
        <v>0</v>
      </c>
      <c r="BH766" s="57">
        <f>IF(ISERROR(IF(B766=C766,W766/C766,(INT(W766/B766)+(((W766-B766*INT(W766/B766)))/C766)/100))),0,(IF(B766=C766,W766/C766,(INT(W766/B766)+(((W766-B766*INT(W766/B766)))/C766)/100))))</f>
        <v>0</v>
      </c>
      <c r="BI766" s="57">
        <f>IF(ISERROR(IF(B766=C766,X766/C766,(INT(X766/B766)+(((X766-B766*INT(X766/B766)))/C766)/100))),0,(IF(B766=C766,X766/C766,(INT(X766/B766)+(((X766-B766*INT(X766/B766)))/C766)/100))))</f>
        <v>0</v>
      </c>
      <c r="BJ766" s="57">
        <f>IF(ISERROR(IF(B766=C766,Y766/C766,(INT(Y766/B766)+(((Y766-B766*INT(Y766/B766)))/C766)/100))),0,(IF(B766=C766,Y766/C766,(INT(Y766/B766)+(((Y766-B766*INT(Y766/B766)))/C766)/100))))</f>
        <v>0</v>
      </c>
      <c r="BL766" s="57">
        <f>IF(ISERROR(IF(B766=C766,AA766/C766,(INT(AA766/B766)+(((AA766-B766*INT(AA766/B766)))/C766)/100))),0,(IF(B766=C766,AA766/C766,(INT(AA766/B766)+(((AA766-B766*INT(AA766/B766)))/C766)/100))))</f>
        <v>1</v>
      </c>
      <c r="BM766" s="57">
        <f>IF(ISERROR(IF(B766=C766,AB766/C766,(INT(AB766/B766)+(((AB766-B766*INT(AB766/B766)))/C766)/100))),0,(IF(B766=C766,AB766/C766,(INT(AB766/B766)+(((AB766-B766*INT(AB766/B766)))/C766)/100))))</f>
        <v>0</v>
      </c>
      <c r="BN766" s="57">
        <f>IF(ISERROR(IF(B766=C766,AC766/C766,(INT(AC766/B766)+(((AC766-B766*INT(AC766/B766)))/C766)/100))),0,(IF(B766=C766,AC766/C766,(INT(AC766/B766)+(((AC766-B766*INT(AC766/B766)))/C766)/100))))</f>
        <v>0</v>
      </c>
      <c r="BO766" s="57">
        <f>IF(ISERROR(IF(B766=C766,AD766/C766,(INT(AD766/B766)+(((AD766-B766*INT(AD766/B766)))/C766)/100))),0,(IF(B766=C766,AD766/C766,(INT(AD766/B766)+(((AD766-B766*INT(AD766/B766)))/C766)/100))))</f>
        <v>0</v>
      </c>
      <c r="BQ766" s="155" t="s">
        <v>158</v>
      </c>
    </row>
    <row r="767" spans="1:69" x14ac:dyDescent="0.35">
      <c r="A767" s="134" t="s">
        <v>163</v>
      </c>
      <c r="B767" s="113">
        <v>1</v>
      </c>
      <c r="C767" s="113">
        <v>1</v>
      </c>
      <c r="D767" s="28">
        <f>SUM(AA767:AD767)</f>
        <v>78</v>
      </c>
      <c r="E767" s="113">
        <v>0</v>
      </c>
      <c r="F767" s="113">
        <v>0</v>
      </c>
      <c r="G767" s="28">
        <f>SUM(D767:F767)</f>
        <v>78</v>
      </c>
      <c r="H767" s="125">
        <v>9</v>
      </c>
      <c r="I767" s="113">
        <v>0</v>
      </c>
      <c r="J767" s="125">
        <v>0</v>
      </c>
      <c r="K767" s="113">
        <v>0</v>
      </c>
      <c r="L767" s="113">
        <v>0</v>
      </c>
      <c r="M767" s="113">
        <v>0</v>
      </c>
      <c r="N767" s="28">
        <f>G767-SUM(H767:M767)</f>
        <v>69</v>
      </c>
      <c r="O767" s="28">
        <f>SUM(V767:Y767)</f>
        <v>69</v>
      </c>
      <c r="P767" s="28">
        <f>O767-N767</f>
        <v>0</v>
      </c>
      <c r="Q767" s="61">
        <f>IF(ISERROR(P767/SUM(H767:L767)),"",P767/SUM(H767:L767))</f>
        <v>0</v>
      </c>
      <c r="R767" s="113">
        <v>135</v>
      </c>
      <c r="S767" s="28">
        <f>IF(ISERROR(P767/C767*R767),0,(P767/C767*R767))</f>
        <v>0</v>
      </c>
      <c r="T767" s="60">
        <f>IF(ISERROR(P767/B767*AF767),0,(P767/B767*AF767))</f>
        <v>0</v>
      </c>
      <c r="V767" s="113">
        <f>5+16</f>
        <v>21</v>
      </c>
      <c r="W767" s="113">
        <f>2*24</f>
        <v>48</v>
      </c>
      <c r="X767" s="113">
        <v>0</v>
      </c>
      <c r="Y767" s="113">
        <v>0</v>
      </c>
      <c r="AA767" s="113">
        <f>21+9</f>
        <v>30</v>
      </c>
      <c r="AB767" s="113">
        <f>2*24</f>
        <v>48</v>
      </c>
      <c r="AC767" s="113">
        <v>0</v>
      </c>
      <c r="AD767" s="113">
        <v>0</v>
      </c>
      <c r="AF767" s="162">
        <f>1418.2/24</f>
        <v>59.091666666666669</v>
      </c>
      <c r="AG767" s="28">
        <f>G767-O767</f>
        <v>9</v>
      </c>
      <c r="AH767" s="58">
        <f>IF(ISERROR(AG767/B767*AF767),0,(AG767/B767*AF767))</f>
        <v>531.82500000000005</v>
      </c>
      <c r="AI767" s="28">
        <f>SUM(H767:M767)</f>
        <v>9</v>
      </c>
      <c r="AJ767" s="28">
        <f>IF(ISERROR(AI767/B767*AF767),0,(AI767/B767*AF767))</f>
        <v>531.82500000000005</v>
      </c>
      <c r="AK767" s="58">
        <f>IF(ISERROR(O767/B767*AF767),0,(O767/B767*AF767))</f>
        <v>4077.3250000000003</v>
      </c>
      <c r="AL767" s="28">
        <f>IF(ISERROR(H767/B767*AF767),0,(H767/B767*AF767))</f>
        <v>531.82500000000005</v>
      </c>
      <c r="AN767" s="51" t="str">
        <f>A767</f>
        <v>K F Premium</v>
      </c>
      <c r="AO767" s="57">
        <f>IF(ISERROR(IF(B767=C767,D767/C767,(INT(D767/B767)+(((D767-B767*INT(D767/B767)))/C767)/100))),0,(IF(B767=C767,D767/C767,(INT(D767/B767)+(((D767-B767*INT(D767/B767)))/C767)/100))))</f>
        <v>78</v>
      </c>
      <c r="AP767" s="57">
        <f>IF(ISERROR(IF(B767=C767,E767/C767,(INT(E767/B767)+(((E767-B767*INT(E767/B767)))/C767)/100))),0,(IF(B767=C767,E767/C767,(INT(E767/B767)+(((E767-B767*INT(E767/B767)))/C767)/100))))</f>
        <v>0</v>
      </c>
      <c r="AQ767" s="57">
        <f>IF(ISERROR(IF(B767=C767,F767/C767,IF((INT(F767/B767)+(((F767-B767*INT(F767/B767)))/C767)/100)&lt;0,(INT(F767/B767)+(((F767-B767*INT(F767/B767)))/C767)/100)+(1-(B767/C767/100)),(INT(F767/B767)+(((F767-B767*INT(F767/B767)))/C767)/100)))),0,IF(B767=C767,F767/C767,IF((INT(F767/B767)+(((F767-B767*INT(F767/B767)))/C767)/100)&lt;0,(INT(F767/B767)+(((F767-B767*INT(F767/B767)))/C767)/100)+(1-(B767/C767/100)),(INT(F767/B767)+(((F767-B767*INT(F767/B767)))/C767)/100))))</f>
        <v>0</v>
      </c>
      <c r="AR767" s="57">
        <f>IF(ISERROR(IF(B767=C767,G767/C767,(INT(G767/B767)+(((G767-B767*INT(G767/B767)))/C767)/100))),0,(IF(B767=C767,G767/C767,(INT(G767/B767)+(((G767-B767*INT(G767/B767)))/C767)/100))))</f>
        <v>78</v>
      </c>
      <c r="AS767" s="57">
        <f>IF(ISERROR(IF(B767=C767,H767/C767,(INT(H767/B767)+(((H767-B767*INT(H767/B767)))/C767)/100))),0,(IF(B767=C767,H767/C767,(INT(H767/B767)+(((H767-B767*INT(H767/B767)))/C767)/100))))</f>
        <v>9</v>
      </c>
      <c r="AT767" s="57">
        <f>IF(ISERROR(IF(B767=C767,I767/C767,(INT(I767/B767)+(((I767-B767*INT(I767/B767)))/C767)/100))),0,(IF(B767=C767,I767/C767,(INT(I767/B767)+(((I767-B767*INT(I767/B767)))/C767)/100))))</f>
        <v>0</v>
      </c>
      <c r="AU767" s="57">
        <f>IF(ISERROR(IF(B767=C767,J767/C767,(INT(J767/B767)+(((J767-B767*INT(J767/B767)))/C767)/100))),0,(IF(B767=C767,J767/C767,(INT(J767/B767)+(((J767-B767*INT(J767/B767)))/C767)/100))))</f>
        <v>0</v>
      </c>
      <c r="AV767" s="57">
        <f>IF(ISERROR(IF(B767=C767,K767/C767,IF((INT(K767/B767)+(((K767-B767*INT(K767/B767)))/C767)/100)&lt;0,(INT(K767/B767)+(((K767-B767*INT(K767/B767)))/C767)/100)+(1-(B767/C767/100)),(INT(K767/B767)+(((K767-B767*INT(K767/B767)))/C767)/100)))),0,IF(B767=C767,K767/C767,IF((INT(K767/B767)+(((K767-B767*INT(K767/B767)))/C767)/100)&lt;0,(INT(K767/B767)+(((K767-B767*INT(K767/B767)))/C767)/100)+(1-(B767/C767/100)),(INT(K767/B767)+(((K767-B767*INT(K767/B767)))/C767)/100))))</f>
        <v>0</v>
      </c>
      <c r="AW767" s="57">
        <f>IF(ISERROR(IF(B767=C767,L767/C767,(INT(L767/B767)+(((L767-B767*INT(L767/B767)))/C767)/100))),0,(IF(B767=C767,L767/C767,(INT(L767/B767)+(((L767-B767*INT(L767/B767)))/C767)/100))))</f>
        <v>0</v>
      </c>
      <c r="AX767" s="57">
        <f>IF(ISERROR(IF(B767=C767,M767/C767,(INT(M767/B767)+(((M767-B767*INT(M767/B767)))/C767)/100))),0,(IF(B767=C767,M767/C767,(INT(M767/B767)+(((M767-B767*INT(M767/B767)))/C767)/100))))</f>
        <v>0</v>
      </c>
      <c r="AY767" s="57">
        <f>IF(ISERROR(IF(B767=C767,N767/C767,IF((INT(N767/B767)+(((N767-B767*INT(N767/B767)))/C767)/100)&lt;0,(INT(N767/B767)+(((N767-B767*INT(N767/B767)))/C767)/100)+(1-(B767/C767/100)),(INT(N767/B767)+(((N767-B767*INT(N767/B767)))/C767)/100)))),0,IF(B767=C767,N767/C767,IF((INT(N767/B767)+(((N767-B767*INT(N767/B767)))/C767)/100)&lt;0,(INT(N767/B767)+(((N767-B767*INT(N767/B767)))/C767)/100)+(1-(B767/C767/100)),(INT(N767/B767)+(((N767-B767*INT(N767/B767)))/C767)/100))))</f>
        <v>69</v>
      </c>
      <c r="AZ767" s="57">
        <f>IF(ISERROR(IF(B767=C767,O767/C767,(INT(O767/B767)+(((O767-B767*INT(O767/B767)))/C767)/100))),0,(IF(B767=C767,O767/C767,(INT(O767/B767)+(((O767-B767*INT(O767/B767)))/C767)/100))))</f>
        <v>69</v>
      </c>
      <c r="BA767" s="57">
        <f>IF(ISERROR(IF(B767=C767,P767/C767,IF((INT(P767/B767)+(((P767-B767*INT(P767/B767)))/C767)/100)&lt;0,(INT(P767/B767)+(((P767-B767*INT(P767/B767)))/C767)/100)+(1-(B767/C767/100)),(INT(P767/B767)+(((P767-B767*INT(P767/B767)))/C767)/100)))),0,IF(B767=C767,P767/C767,IF((INT(P767/B767)+(((P767-B767*INT(P767/B767)))/C767)/100)&lt;0,(INT(P767/B767)+(((P767-B767*INT(P767/B767)))/C767)/100)+(1-(B767/C767/100)),(INT(P767/B767)+(((P767-B767*INT(P767/B767)))/C767)/100))))</f>
        <v>0</v>
      </c>
      <c r="BB767" s="28">
        <f>R767</f>
        <v>135</v>
      </c>
      <c r="BC767" s="28">
        <f>S767</f>
        <v>0</v>
      </c>
      <c r="BD767" s="28">
        <f>AF767</f>
        <v>59.091666666666669</v>
      </c>
      <c r="BE767" s="28">
        <f>T767</f>
        <v>0</v>
      </c>
      <c r="BG767" s="57">
        <f>IF(ISERROR(IF(B767=C767,V767/C767,(INT(V767/B767)+(((V767-B767*INT(V767/B767)))/C767)/100))),0,(IF(B767=C767,V767/C767,(INT(V767/B767)+(((V767-B767*INT(V767/B767)))/C767)/100))))</f>
        <v>21</v>
      </c>
      <c r="BH767" s="57">
        <f>IF(ISERROR(IF(B767=C767,W767/C767,(INT(W767/B767)+(((W767-B767*INT(W767/B767)))/C767)/100))),0,(IF(B767=C767,W767/C767,(INT(W767/B767)+(((W767-B767*INT(W767/B767)))/C767)/100))))</f>
        <v>48</v>
      </c>
      <c r="BI767" s="57">
        <f>IF(ISERROR(IF(B767=C767,X767/C767,(INT(X767/B767)+(((X767-B767*INT(X767/B767)))/C767)/100))),0,(IF(B767=C767,X767/C767,(INT(X767/B767)+(((X767-B767*INT(X767/B767)))/C767)/100))))</f>
        <v>0</v>
      </c>
      <c r="BJ767" s="57">
        <f>IF(ISERROR(IF(B767=C767,Y767/C767,(INT(Y767/B767)+(((Y767-B767*INT(Y767/B767)))/C767)/100))),0,(IF(B767=C767,Y767/C767,(INT(Y767/B767)+(((Y767-B767*INT(Y767/B767)))/C767)/100))))</f>
        <v>0</v>
      </c>
      <c r="BL767" s="57">
        <f>IF(ISERROR(IF(B767=C767,AA767/C767,(INT(AA767/B767)+(((AA767-B767*INT(AA767/B767)))/C767)/100))),0,(IF(B767=C767,AA767/C767,(INT(AA767/B767)+(((AA767-B767*INT(AA767/B767)))/C767)/100))))</f>
        <v>30</v>
      </c>
      <c r="BM767" s="57">
        <f>IF(ISERROR(IF(B767=C767,AB767/C767,(INT(AB767/B767)+(((AB767-B767*INT(AB767/B767)))/C767)/100))),0,(IF(B767=C767,AB767/C767,(INT(AB767/B767)+(((AB767-B767*INT(AB767/B767)))/C767)/100))))</f>
        <v>48</v>
      </c>
      <c r="BN767" s="57">
        <f>IF(ISERROR(IF(B767=C767,AC767/C767,(INT(AC767/B767)+(((AC767-B767*INT(AC767/B767)))/C767)/100))),0,(IF(B767=C767,AC767/C767,(INT(AC767/B767)+(((AC767-B767*INT(AC767/B767)))/C767)/100))))</f>
        <v>0</v>
      </c>
      <c r="BO767" s="57">
        <f>IF(ISERROR(IF(B767=C767,AD767/C767,(INT(AD767/B767)+(((AD767-B767*INT(AD767/B767)))/C767)/100))),0,(IF(B767=C767,AD767/C767,(INT(AD767/B767)+(((AD767-B767*INT(AD767/B767)))/C767)/100))))</f>
        <v>0</v>
      </c>
      <c r="BQ767" s="155" t="s">
        <v>158</v>
      </c>
    </row>
    <row r="768" spans="1:69" x14ac:dyDescent="0.35">
      <c r="A768" s="134" t="s">
        <v>162</v>
      </c>
      <c r="B768" s="113">
        <v>1</v>
      </c>
      <c r="C768" s="113">
        <v>1</v>
      </c>
      <c r="D768" s="28">
        <f>SUM(AA768:AD768)</f>
        <v>0</v>
      </c>
      <c r="E768" s="113">
        <v>0</v>
      </c>
      <c r="F768" s="113">
        <v>0</v>
      </c>
      <c r="G768" s="28">
        <f>SUM(D768:F768)</f>
        <v>0</v>
      </c>
      <c r="H768" s="125">
        <v>0</v>
      </c>
      <c r="I768" s="113">
        <v>0</v>
      </c>
      <c r="J768" s="125">
        <v>0</v>
      </c>
      <c r="K768" s="113">
        <v>0</v>
      </c>
      <c r="L768" s="113">
        <v>0</v>
      </c>
      <c r="M768" s="113">
        <v>0</v>
      </c>
      <c r="N768" s="28">
        <f>G768-SUM(H768:M768)</f>
        <v>0</v>
      </c>
      <c r="O768" s="28">
        <f>SUM(V768:Y768)</f>
        <v>0</v>
      </c>
      <c r="P768" s="28">
        <f>O768-N768</f>
        <v>0</v>
      </c>
      <c r="Q768" s="61" t="str">
        <f>IF(ISERROR(P768/SUM(H768:L768)),"",P768/SUM(H768:L768))</f>
        <v/>
      </c>
      <c r="R768" s="113">
        <v>150</v>
      </c>
      <c r="S768" s="28">
        <f>IF(ISERROR(P768/C768*R768),0,(P768/C768*R768))</f>
        <v>0</v>
      </c>
      <c r="T768" s="60">
        <f>IF(ISERROR(P768/B768*AF768),0,(P768/B768*AF768))</f>
        <v>0</v>
      </c>
      <c r="V768" s="113">
        <v>0</v>
      </c>
      <c r="W768" s="113">
        <v>0</v>
      </c>
      <c r="X768" s="113">
        <v>0</v>
      </c>
      <c r="Y768" s="113">
        <v>0</v>
      </c>
      <c r="AA768" s="113">
        <v>0</v>
      </c>
      <c r="AB768" s="113">
        <v>0</v>
      </c>
      <c r="AC768" s="113">
        <v>0</v>
      </c>
      <c r="AD768" s="113">
        <v>0</v>
      </c>
      <c r="AF768" s="163">
        <f>1854.55/24</f>
        <v>77.27291666666666</v>
      </c>
      <c r="AG768" s="28">
        <f>G768-O768</f>
        <v>0</v>
      </c>
      <c r="AH768" s="58">
        <f>IF(ISERROR(AG768/B768*AF768),0,(AG768/B768*AF768))</f>
        <v>0</v>
      </c>
      <c r="AI768" s="28">
        <f>SUM(H768:M768)</f>
        <v>0</v>
      </c>
      <c r="AJ768" s="28">
        <f>IF(ISERROR(AI768/B768*AF768),0,(AI768/B768*AF768))</f>
        <v>0</v>
      </c>
      <c r="AK768" s="58">
        <f>IF(ISERROR(O768/B768*AF768),0,(O768/B768*AF768))</f>
        <v>0</v>
      </c>
      <c r="AL768" s="28">
        <f>IF(ISERROR(H768/B768*AF768),0,(H768/B768*AF768))</f>
        <v>0</v>
      </c>
      <c r="AN768" s="51" t="str">
        <f>A768</f>
        <v>K F Ultra</v>
      </c>
      <c r="AO768" s="57">
        <f>IF(ISERROR(IF(B768=C768,D768/C768,(INT(D768/B768)+(((D768-B768*INT(D768/B768)))/C768)/100))),0,(IF(B768=C768,D768/C768,(INT(D768/B768)+(((D768-B768*INT(D768/B768)))/C768)/100))))</f>
        <v>0</v>
      </c>
      <c r="AP768" s="57">
        <f>IF(ISERROR(IF(B768=C768,E768/C768,(INT(E768/B768)+(((E768-B768*INT(E768/B768)))/C768)/100))),0,(IF(B768=C768,E768/C768,(INT(E768/B768)+(((E768-B768*INT(E768/B768)))/C768)/100))))</f>
        <v>0</v>
      </c>
      <c r="AQ768" s="57">
        <f>IF(ISERROR(IF(B768=C768,F768/C768,IF((INT(F768/B768)+(((F768-B768*INT(F768/B768)))/C768)/100)&lt;0,(INT(F768/B768)+(((F768-B768*INT(F768/B768)))/C768)/100)+(1-(B768/C768/100)),(INT(F768/B768)+(((F768-B768*INT(F768/B768)))/C768)/100)))),0,IF(B768=C768,F768/C768,IF((INT(F768/B768)+(((F768-B768*INT(F768/B768)))/C768)/100)&lt;0,(INT(F768/B768)+(((F768-B768*INT(F768/B768)))/C768)/100)+(1-(B768/C768/100)),(INT(F768/B768)+(((F768-B768*INT(F768/B768)))/C768)/100))))</f>
        <v>0</v>
      </c>
      <c r="AR768" s="57">
        <f>IF(ISERROR(IF(B768=C768,G768/C768,(INT(G768/B768)+(((G768-B768*INT(G768/B768)))/C768)/100))),0,(IF(B768=C768,G768/C768,(INT(G768/B768)+(((G768-B768*INT(G768/B768)))/C768)/100))))</f>
        <v>0</v>
      </c>
      <c r="AS768" s="57">
        <f>IF(ISERROR(IF(B768=C768,H768/C768,(INT(H768/B768)+(((H768-B768*INT(H768/B768)))/C768)/100))),0,(IF(B768=C768,H768/C768,(INT(H768/B768)+(((H768-B768*INT(H768/B768)))/C768)/100))))</f>
        <v>0</v>
      </c>
      <c r="AT768" s="57">
        <f>IF(ISERROR(IF(B768=C768,I768/C768,(INT(I768/B768)+(((I768-B768*INT(I768/B768)))/C768)/100))),0,(IF(B768=C768,I768/C768,(INT(I768/B768)+(((I768-B768*INT(I768/B768)))/C768)/100))))</f>
        <v>0</v>
      </c>
      <c r="AU768" s="57">
        <f>IF(ISERROR(IF(B768=C768,J768/C768,(INT(J768/B768)+(((J768-B768*INT(J768/B768)))/C768)/100))),0,(IF(B768=C768,J768/C768,(INT(J768/B768)+(((J768-B768*INT(J768/B768)))/C768)/100))))</f>
        <v>0</v>
      </c>
      <c r="AV768" s="57">
        <f>IF(ISERROR(IF(B768=C768,K768/C768,IF((INT(K768/B768)+(((K768-B768*INT(K768/B768)))/C768)/100)&lt;0,(INT(K768/B768)+(((K768-B768*INT(K768/B768)))/C768)/100)+(1-(B768/C768/100)),(INT(K768/B768)+(((K768-B768*INT(K768/B768)))/C768)/100)))),0,IF(B768=C768,K768/C768,IF((INT(K768/B768)+(((K768-B768*INT(K768/B768)))/C768)/100)&lt;0,(INT(K768/B768)+(((K768-B768*INT(K768/B768)))/C768)/100)+(1-(B768/C768/100)),(INT(K768/B768)+(((K768-B768*INT(K768/B768)))/C768)/100))))</f>
        <v>0</v>
      </c>
      <c r="AW768" s="57">
        <f>IF(ISERROR(IF(B768=C768,L768/C768,(INT(L768/B768)+(((L768-B768*INT(L768/B768)))/C768)/100))),0,(IF(B768=C768,L768/C768,(INT(L768/B768)+(((L768-B768*INT(L768/B768)))/C768)/100))))</f>
        <v>0</v>
      </c>
      <c r="AX768" s="57">
        <f>IF(ISERROR(IF(B768=C768,M768/C768,(INT(M768/B768)+(((M768-B768*INT(M768/B768)))/C768)/100))),0,(IF(B768=C768,M768/C768,(INT(M768/B768)+(((M768-B768*INT(M768/B768)))/C768)/100))))</f>
        <v>0</v>
      </c>
      <c r="AY768" s="57">
        <f>IF(ISERROR(IF(B768=C768,N768/C768,IF((INT(N768/B768)+(((N768-B768*INT(N768/B768)))/C768)/100)&lt;0,(INT(N768/B768)+(((N768-B768*INT(N768/B768)))/C768)/100)+(1-(B768/C768/100)),(INT(N768/B768)+(((N768-B768*INT(N768/B768)))/C768)/100)))),0,IF(B768=C768,N768/C768,IF((INT(N768/B768)+(((N768-B768*INT(N768/B768)))/C768)/100)&lt;0,(INT(N768/B768)+(((N768-B768*INT(N768/B768)))/C768)/100)+(1-(B768/C768/100)),(INT(N768/B768)+(((N768-B768*INT(N768/B768)))/C768)/100))))</f>
        <v>0</v>
      </c>
      <c r="AZ768" s="57">
        <f>IF(ISERROR(IF(B768=C768,O768/C768,(INT(O768/B768)+(((O768-B768*INT(O768/B768)))/C768)/100))),0,(IF(B768=C768,O768/C768,(INT(O768/B768)+(((O768-B768*INT(O768/B768)))/C768)/100))))</f>
        <v>0</v>
      </c>
      <c r="BA768" s="57">
        <f>IF(ISERROR(IF(B768=C768,P768/C768,IF((INT(P768/B768)+(((P768-B768*INT(P768/B768)))/C768)/100)&lt;0,(INT(P768/B768)+(((P768-B768*INT(P768/B768)))/C768)/100)+(1-(B768/C768/100)),(INT(P768/B768)+(((P768-B768*INT(P768/B768)))/C768)/100)))),0,IF(B768=C768,P768/C768,IF((INT(P768/B768)+(((P768-B768*INT(P768/B768)))/C768)/100)&lt;0,(INT(P768/B768)+(((P768-B768*INT(P768/B768)))/C768)/100)+(1-(B768/C768/100)),(INT(P768/B768)+(((P768-B768*INT(P768/B768)))/C768)/100))))</f>
        <v>0</v>
      </c>
      <c r="BB768" s="28">
        <f>R768</f>
        <v>150</v>
      </c>
      <c r="BC768" s="28">
        <f>S768</f>
        <v>0</v>
      </c>
      <c r="BD768" s="28">
        <f>AF768</f>
        <v>77.27291666666666</v>
      </c>
      <c r="BE768" s="28">
        <f>T768</f>
        <v>0</v>
      </c>
      <c r="BG768" s="57">
        <f>IF(ISERROR(IF(B768=C768,V768/C768,(INT(V768/B768)+(((V768-B768*INT(V768/B768)))/C768)/100))),0,(IF(B768=C768,V768/C768,(INT(V768/B768)+(((V768-B768*INT(V768/B768)))/C768)/100))))</f>
        <v>0</v>
      </c>
      <c r="BH768" s="57">
        <f>IF(ISERROR(IF(B768=C768,W768/C768,(INT(W768/B768)+(((W768-B768*INT(W768/B768)))/C768)/100))),0,(IF(B768=C768,W768/C768,(INT(W768/B768)+(((W768-B768*INT(W768/B768)))/C768)/100))))</f>
        <v>0</v>
      </c>
      <c r="BI768" s="57">
        <f>IF(ISERROR(IF(B768=C768,X768/C768,(INT(X768/B768)+(((X768-B768*INT(X768/B768)))/C768)/100))),0,(IF(B768=C768,X768/C768,(INT(X768/B768)+(((X768-B768*INT(X768/B768)))/C768)/100))))</f>
        <v>0</v>
      </c>
      <c r="BJ768" s="57">
        <f>IF(ISERROR(IF(B768=C768,Y768/C768,(INT(Y768/B768)+(((Y768-B768*INT(Y768/B768)))/C768)/100))),0,(IF(B768=C768,Y768/C768,(INT(Y768/B768)+(((Y768-B768*INT(Y768/B768)))/C768)/100))))</f>
        <v>0</v>
      </c>
      <c r="BL768" s="57">
        <f>IF(ISERROR(IF(B768=C768,AA768/C768,(INT(AA768/B768)+(((AA768-B768*INT(AA768/B768)))/C768)/100))),0,(IF(B768=C768,AA768/C768,(INT(AA768/B768)+(((AA768-B768*INT(AA768/B768)))/C768)/100))))</f>
        <v>0</v>
      </c>
      <c r="BM768" s="57">
        <f>IF(ISERROR(IF(B768=C768,AB768/C768,(INT(AB768/B768)+(((AB768-B768*INT(AB768/B768)))/C768)/100))),0,(IF(B768=C768,AB768/C768,(INT(AB768/B768)+(((AB768-B768*INT(AB768/B768)))/C768)/100))))</f>
        <v>0</v>
      </c>
      <c r="BN768" s="57">
        <f>IF(ISERROR(IF(B768=C768,AC768/C768,(INT(AC768/B768)+(((AC768-B768*INT(AC768/B768)))/C768)/100))),0,(IF(B768=C768,AC768/C768,(INT(AC768/B768)+(((AC768-B768*INT(AC768/B768)))/C768)/100))))</f>
        <v>0</v>
      </c>
      <c r="BO768" s="57">
        <f>IF(ISERROR(IF(B768=C768,AD768/C768,(INT(AD768/B768)+(((AD768-B768*INT(AD768/B768)))/C768)/100))),0,(IF(B768=C768,AD768/C768,(INT(AD768/B768)+(((AD768-B768*INT(AD768/B768)))/C768)/100))))</f>
        <v>0</v>
      </c>
      <c r="BQ768" s="155" t="s">
        <v>158</v>
      </c>
    </row>
    <row r="769" spans="1:69" x14ac:dyDescent="0.35">
      <c r="A769" s="134" t="s">
        <v>161</v>
      </c>
      <c r="B769" s="113">
        <v>1</v>
      </c>
      <c r="C769" s="113">
        <v>1</v>
      </c>
      <c r="D769" s="28">
        <f>SUM(AA769:AD769)</f>
        <v>0</v>
      </c>
      <c r="E769" s="113">
        <v>0</v>
      </c>
      <c r="F769" s="113">
        <v>0</v>
      </c>
      <c r="G769" s="28">
        <f>SUM(D769:F769)</f>
        <v>0</v>
      </c>
      <c r="H769" s="125">
        <v>0</v>
      </c>
      <c r="I769" s="113">
        <v>0</v>
      </c>
      <c r="J769" s="125">
        <v>0</v>
      </c>
      <c r="K769" s="113">
        <v>0</v>
      </c>
      <c r="L769" s="113">
        <v>0</v>
      </c>
      <c r="M769" s="113">
        <v>0</v>
      </c>
      <c r="N769" s="28">
        <f>G769-SUM(H769:M769)</f>
        <v>0</v>
      </c>
      <c r="O769" s="28">
        <f>SUM(V769:Y769)</f>
        <v>0</v>
      </c>
      <c r="P769" s="28">
        <f>O769-N769</f>
        <v>0</v>
      </c>
      <c r="Q769" s="61" t="str">
        <f>IF(ISERROR(P769/SUM(H769:L769)),"",P769/SUM(H769:L769))</f>
        <v/>
      </c>
      <c r="R769" s="113">
        <v>0</v>
      </c>
      <c r="S769" s="28">
        <f>IF(ISERROR(P769/C769*R769),0,(P769/C769*R769))</f>
        <v>0</v>
      </c>
      <c r="T769" s="60">
        <f>IF(ISERROR(P769/B769*AF769),0,(P769/B769*AF769))</f>
        <v>0</v>
      </c>
      <c r="V769" s="113">
        <v>0</v>
      </c>
      <c r="W769" s="113">
        <v>0</v>
      </c>
      <c r="X769" s="113">
        <v>0</v>
      </c>
      <c r="Y769" s="113">
        <v>0</v>
      </c>
      <c r="AA769" s="113">
        <v>0</v>
      </c>
      <c r="AB769" s="113">
        <v>0</v>
      </c>
      <c r="AC769" s="113">
        <v>0</v>
      </c>
      <c r="AD769" s="113">
        <v>0</v>
      </c>
      <c r="AF769" s="155">
        <v>209.65947916666667</v>
      </c>
      <c r="AG769" s="28">
        <f>G769-O769</f>
        <v>0</v>
      </c>
      <c r="AH769" s="58">
        <f>IF(ISERROR(AG769/B769*AF769),0,(AG769/B769*AF769))</f>
        <v>0</v>
      </c>
      <c r="AI769" s="28">
        <f>SUM(H769:M769)</f>
        <v>0</v>
      </c>
      <c r="AJ769" s="28">
        <f>IF(ISERROR(AI769/B769*AF769),0,(AI769/B769*AF769))</f>
        <v>0</v>
      </c>
      <c r="AK769" s="58">
        <f>IF(ISERROR(O769/B769*AF769),0,(O769/B769*AF769))</f>
        <v>0</v>
      </c>
      <c r="AL769" s="28">
        <f>IF(ISERROR(H769/B769*AF769),0,(H769/B769*AF769))</f>
        <v>0</v>
      </c>
      <c r="AN769" s="51" t="str">
        <f>A769</f>
        <v>Leffe</v>
      </c>
      <c r="AO769" s="57">
        <f>IF(ISERROR(IF(B769=C769,D769/C769,(INT(D769/B769)+(((D769-B769*INT(D769/B769)))/C769)/100))),0,(IF(B769=C769,D769/C769,(INT(D769/B769)+(((D769-B769*INT(D769/B769)))/C769)/100))))</f>
        <v>0</v>
      </c>
      <c r="AP769" s="57">
        <f>IF(ISERROR(IF(B769=C769,E769/C769,(INT(E769/B769)+(((E769-B769*INT(E769/B769)))/C769)/100))),0,(IF(B769=C769,E769/C769,(INT(E769/B769)+(((E769-B769*INT(E769/B769)))/C769)/100))))</f>
        <v>0</v>
      </c>
      <c r="AQ769" s="57">
        <f>IF(ISERROR(IF(B769=C769,F769/C769,IF((INT(F769/B769)+(((F769-B769*INT(F769/B769)))/C769)/100)&lt;0,(INT(F769/B769)+(((F769-B769*INT(F769/B769)))/C769)/100)+(1-(B769/C769/100)),(INT(F769/B769)+(((F769-B769*INT(F769/B769)))/C769)/100)))),0,IF(B769=C769,F769/C769,IF((INT(F769/B769)+(((F769-B769*INT(F769/B769)))/C769)/100)&lt;0,(INT(F769/B769)+(((F769-B769*INT(F769/B769)))/C769)/100)+(1-(B769/C769/100)),(INT(F769/B769)+(((F769-B769*INT(F769/B769)))/C769)/100))))</f>
        <v>0</v>
      </c>
      <c r="AR769" s="57">
        <f>IF(ISERROR(IF(B769=C769,G769/C769,(INT(G769/B769)+(((G769-B769*INT(G769/B769)))/C769)/100))),0,(IF(B769=C769,G769/C769,(INT(G769/B769)+(((G769-B769*INT(G769/B769)))/C769)/100))))</f>
        <v>0</v>
      </c>
      <c r="AS769" s="57">
        <f>IF(ISERROR(IF(B769=C769,H769/C769,(INT(H769/B769)+(((H769-B769*INT(H769/B769)))/C769)/100))),0,(IF(B769=C769,H769/C769,(INT(H769/B769)+(((H769-B769*INT(H769/B769)))/C769)/100))))</f>
        <v>0</v>
      </c>
      <c r="AT769" s="57">
        <f>IF(ISERROR(IF(B769=C769,I769/C769,(INT(I769/B769)+(((I769-B769*INT(I769/B769)))/C769)/100))),0,(IF(B769=C769,I769/C769,(INT(I769/B769)+(((I769-B769*INT(I769/B769)))/C769)/100))))</f>
        <v>0</v>
      </c>
      <c r="AU769" s="57">
        <f>IF(ISERROR(IF(B769=C769,J769/C769,(INT(J769/B769)+(((J769-B769*INT(J769/B769)))/C769)/100))),0,(IF(B769=C769,J769/C769,(INT(J769/B769)+(((J769-B769*INT(J769/B769)))/C769)/100))))</f>
        <v>0</v>
      </c>
      <c r="AV769" s="57">
        <f>IF(ISERROR(IF(B769=C769,K769/C769,IF((INT(K769/B769)+(((K769-B769*INT(K769/B769)))/C769)/100)&lt;0,(INT(K769/B769)+(((K769-B769*INT(K769/B769)))/C769)/100)+(1-(B769/C769/100)),(INT(K769/B769)+(((K769-B769*INT(K769/B769)))/C769)/100)))),0,IF(B769=C769,K769/C769,IF((INT(K769/B769)+(((K769-B769*INT(K769/B769)))/C769)/100)&lt;0,(INT(K769/B769)+(((K769-B769*INT(K769/B769)))/C769)/100)+(1-(B769/C769/100)),(INT(K769/B769)+(((K769-B769*INT(K769/B769)))/C769)/100))))</f>
        <v>0</v>
      </c>
      <c r="AW769" s="57">
        <f>IF(ISERROR(IF(B769=C769,L769/C769,(INT(L769/B769)+(((L769-B769*INT(L769/B769)))/C769)/100))),0,(IF(B769=C769,L769/C769,(INT(L769/B769)+(((L769-B769*INT(L769/B769)))/C769)/100))))</f>
        <v>0</v>
      </c>
      <c r="AX769" s="57">
        <f>IF(ISERROR(IF(B769=C769,M769/C769,(INT(M769/B769)+(((M769-B769*INT(M769/B769)))/C769)/100))),0,(IF(B769=C769,M769/C769,(INT(M769/B769)+(((M769-B769*INT(M769/B769)))/C769)/100))))</f>
        <v>0</v>
      </c>
      <c r="AY769" s="57">
        <f>IF(ISERROR(IF(B769=C769,N769/C769,IF((INT(N769/B769)+(((N769-B769*INT(N769/B769)))/C769)/100)&lt;0,(INT(N769/B769)+(((N769-B769*INT(N769/B769)))/C769)/100)+(1-(B769/C769/100)),(INT(N769/B769)+(((N769-B769*INT(N769/B769)))/C769)/100)))),0,IF(B769=C769,N769/C769,IF((INT(N769/B769)+(((N769-B769*INT(N769/B769)))/C769)/100)&lt;0,(INT(N769/B769)+(((N769-B769*INT(N769/B769)))/C769)/100)+(1-(B769/C769/100)),(INT(N769/B769)+(((N769-B769*INT(N769/B769)))/C769)/100))))</f>
        <v>0</v>
      </c>
      <c r="AZ769" s="57">
        <f>IF(ISERROR(IF(B769=C769,O769/C769,(INT(O769/B769)+(((O769-B769*INT(O769/B769)))/C769)/100))),0,(IF(B769=C769,O769/C769,(INT(O769/B769)+(((O769-B769*INT(O769/B769)))/C769)/100))))</f>
        <v>0</v>
      </c>
      <c r="BA769" s="57">
        <f>IF(ISERROR(IF(B769=C769,P769/C769,IF((INT(P769/B769)+(((P769-B769*INT(P769/B769)))/C769)/100)&lt;0,(INT(P769/B769)+(((P769-B769*INT(P769/B769)))/C769)/100)+(1-(B769/C769/100)),(INT(P769/B769)+(((P769-B769*INT(P769/B769)))/C769)/100)))),0,IF(B769=C769,P769/C769,IF((INT(P769/B769)+(((P769-B769*INT(P769/B769)))/C769)/100)&lt;0,(INT(P769/B769)+(((P769-B769*INT(P769/B769)))/C769)/100)+(1-(B769/C769/100)),(INT(P769/B769)+(((P769-B769*INT(P769/B769)))/C769)/100))))</f>
        <v>0</v>
      </c>
      <c r="BB769" s="28">
        <f>R769</f>
        <v>0</v>
      </c>
      <c r="BC769" s="28">
        <f>S769</f>
        <v>0</v>
      </c>
      <c r="BD769" s="28">
        <f>AF769</f>
        <v>209.65947916666667</v>
      </c>
      <c r="BE769" s="28">
        <f>T769</f>
        <v>0</v>
      </c>
      <c r="BG769" s="57">
        <f>IF(ISERROR(IF(B769=C769,V769/C769,(INT(V769/B769)+(((V769-B769*INT(V769/B769)))/C769)/100))),0,(IF(B769=C769,V769/C769,(INT(V769/B769)+(((V769-B769*INT(V769/B769)))/C769)/100))))</f>
        <v>0</v>
      </c>
      <c r="BH769" s="57">
        <f>IF(ISERROR(IF(B769=C769,W769/C769,(INT(W769/B769)+(((W769-B769*INT(W769/B769)))/C769)/100))),0,(IF(B769=C769,W769/C769,(INT(W769/B769)+(((W769-B769*INT(W769/B769)))/C769)/100))))</f>
        <v>0</v>
      </c>
      <c r="BI769" s="57">
        <f>IF(ISERROR(IF(B769=C769,X769/C769,(INT(X769/B769)+(((X769-B769*INT(X769/B769)))/C769)/100))),0,(IF(B769=C769,X769/C769,(INT(X769/B769)+(((X769-B769*INT(X769/B769)))/C769)/100))))</f>
        <v>0</v>
      </c>
      <c r="BJ769" s="57">
        <f>IF(ISERROR(IF(B769=C769,Y769/C769,(INT(Y769/B769)+(((Y769-B769*INT(Y769/B769)))/C769)/100))),0,(IF(B769=C769,Y769/C769,(INT(Y769/B769)+(((Y769-B769*INT(Y769/B769)))/C769)/100))))</f>
        <v>0</v>
      </c>
      <c r="BL769" s="57">
        <f>IF(ISERROR(IF(B769=C769,AA769/C769,(INT(AA769/B769)+(((AA769-B769*INT(AA769/B769)))/C769)/100))),0,(IF(B769=C769,AA769/C769,(INT(AA769/B769)+(((AA769-B769*INT(AA769/B769)))/C769)/100))))</f>
        <v>0</v>
      </c>
      <c r="BM769" s="57">
        <f>IF(ISERROR(IF(B769=C769,AB769/C769,(INT(AB769/B769)+(((AB769-B769*INT(AB769/B769)))/C769)/100))),0,(IF(B769=C769,AB769/C769,(INT(AB769/B769)+(((AB769-B769*INT(AB769/B769)))/C769)/100))))</f>
        <v>0</v>
      </c>
      <c r="BN769" s="57">
        <f>IF(ISERROR(IF(B769=C769,AC769/C769,(INT(AC769/B769)+(((AC769-B769*INT(AC769/B769)))/C769)/100))),0,(IF(B769=C769,AC769/C769,(INT(AC769/B769)+(((AC769-B769*INT(AC769/B769)))/C769)/100))))</f>
        <v>0</v>
      </c>
      <c r="BO769" s="57">
        <f>IF(ISERROR(IF(B769=C769,AD769/C769,(INT(AD769/B769)+(((AD769-B769*INT(AD769/B769)))/C769)/100))),0,(IF(B769=C769,AD769/C769,(INT(AD769/B769)+(((AD769-B769*INT(AD769/B769)))/C769)/100))))</f>
        <v>0</v>
      </c>
      <c r="BQ769" s="155" t="s">
        <v>158</v>
      </c>
    </row>
    <row r="770" spans="1:69" ht="13.5" customHeight="1" x14ac:dyDescent="0.35">
      <c r="A770" s="134" t="s">
        <v>160</v>
      </c>
      <c r="B770" s="113">
        <v>1</v>
      </c>
      <c r="C770" s="113">
        <v>1</v>
      </c>
      <c r="D770" s="28">
        <f>SUM(AA770:AD770)</f>
        <v>105</v>
      </c>
      <c r="E770" s="113">
        <v>0</v>
      </c>
      <c r="F770" s="113">
        <v>0</v>
      </c>
      <c r="G770" s="28">
        <f>SUM(D770:F770)</f>
        <v>105</v>
      </c>
      <c r="H770" s="125">
        <v>5</v>
      </c>
      <c r="I770" s="113">
        <v>0</v>
      </c>
      <c r="J770" s="125">
        <v>0</v>
      </c>
      <c r="K770" s="113">
        <v>0</v>
      </c>
      <c r="L770" s="113">
        <v>0</v>
      </c>
      <c r="M770" s="113">
        <v>0</v>
      </c>
      <c r="N770" s="28">
        <f>G770-SUM(H770:M770)</f>
        <v>100</v>
      </c>
      <c r="O770" s="28">
        <f>SUM(V770:Y770)</f>
        <v>100</v>
      </c>
      <c r="P770" s="28">
        <f>O770-N770</f>
        <v>0</v>
      </c>
      <c r="Q770" s="61">
        <f>IF(ISERROR(P770/SUM(H770:L770)),"",P770/SUM(H770:L770))</f>
        <v>0</v>
      </c>
      <c r="R770" s="113">
        <v>135</v>
      </c>
      <c r="S770" s="28">
        <f>IF(ISERROR(P770/C770*R770),0,(P770/C770*R770))</f>
        <v>0</v>
      </c>
      <c r="T770" s="60">
        <f>IF(ISERROR(P770/B770*AF770),0,(P770/B770*AF770))</f>
        <v>0</v>
      </c>
      <c r="V770" s="113">
        <f>6+21+1</f>
        <v>28</v>
      </c>
      <c r="W770" s="113">
        <f>3*24</f>
        <v>72</v>
      </c>
      <c r="X770" s="113">
        <v>0</v>
      </c>
      <c r="Y770" s="113">
        <v>0</v>
      </c>
      <c r="AA770" s="113">
        <f>2+1+24+6</f>
        <v>33</v>
      </c>
      <c r="AB770" s="113">
        <f>3*24</f>
        <v>72</v>
      </c>
      <c r="AC770" s="113">
        <v>0</v>
      </c>
      <c r="AD770" s="113">
        <v>0</v>
      </c>
      <c r="AF770" s="162">
        <f>1527.3/24</f>
        <v>63.637499999999996</v>
      </c>
      <c r="AG770" s="28">
        <f>G770-O770</f>
        <v>5</v>
      </c>
      <c r="AH770" s="58">
        <f>IF(ISERROR(AG770/B770*AF770),0,(AG770/B770*AF770))</f>
        <v>318.1875</v>
      </c>
      <c r="AI770" s="28">
        <f>SUM(H770:M770)</f>
        <v>5</v>
      </c>
      <c r="AJ770" s="28">
        <f>IF(ISERROR(AI770/B770*AF770),0,(AI770/B770*AF770))</f>
        <v>318.1875</v>
      </c>
      <c r="AK770" s="58">
        <f>IF(ISERROR(O770/B770*AF770),0,(O770/B770*AF770))</f>
        <v>6363.75</v>
      </c>
      <c r="AL770" s="28">
        <f>IF(ISERROR(H770/B770*AF770),0,(H770/B770*AF770))</f>
        <v>318.1875</v>
      </c>
      <c r="AN770" s="51" t="str">
        <f>A770</f>
        <v>Miller High Life</v>
      </c>
      <c r="AO770" s="57">
        <f>IF(ISERROR(IF(B770=C770,D770/C770,(INT(D770/B770)+(((D770-B770*INT(D770/B770)))/C770)/100))),0,(IF(B770=C770,D770/C770,(INT(D770/B770)+(((D770-B770*INT(D770/B770)))/C770)/100))))</f>
        <v>105</v>
      </c>
      <c r="AP770" s="57">
        <f>IF(ISERROR(IF(B770=C770,E770/C770,(INT(E770/B770)+(((E770-B770*INT(E770/B770)))/C770)/100))),0,(IF(B770=C770,E770/C770,(INT(E770/B770)+(((E770-B770*INT(E770/B770)))/C770)/100))))</f>
        <v>0</v>
      </c>
      <c r="AQ770" s="57">
        <f>IF(ISERROR(IF(B770=C770,F770/C770,IF((INT(F770/B770)+(((F770-B770*INT(F770/B770)))/C770)/100)&lt;0,(INT(F770/B770)+(((F770-B770*INT(F770/B770)))/C770)/100)+(1-(B770/C770/100)),(INT(F770/B770)+(((F770-B770*INT(F770/B770)))/C770)/100)))),0,IF(B770=C770,F770/C770,IF((INT(F770/B770)+(((F770-B770*INT(F770/B770)))/C770)/100)&lt;0,(INT(F770/B770)+(((F770-B770*INT(F770/B770)))/C770)/100)+(1-(B770/C770/100)),(INT(F770/B770)+(((F770-B770*INT(F770/B770)))/C770)/100))))</f>
        <v>0</v>
      </c>
      <c r="AR770" s="57">
        <f>IF(ISERROR(IF(B770=C770,G770/C770,(INT(G770/B770)+(((G770-B770*INT(G770/B770)))/C770)/100))),0,(IF(B770=C770,G770/C770,(INT(G770/B770)+(((G770-B770*INT(G770/B770)))/C770)/100))))</f>
        <v>105</v>
      </c>
      <c r="AS770" s="57">
        <f>IF(ISERROR(IF(B770=C770,H770/C770,(INT(H770/B770)+(((H770-B770*INT(H770/B770)))/C770)/100))),0,(IF(B770=C770,H770/C770,(INT(H770/B770)+(((H770-B770*INT(H770/B770)))/C770)/100))))</f>
        <v>5</v>
      </c>
      <c r="AT770" s="57">
        <f>IF(ISERROR(IF(B770=C770,I770/C770,(INT(I770/B770)+(((I770-B770*INT(I770/B770)))/C770)/100))),0,(IF(B770=C770,I770/C770,(INT(I770/B770)+(((I770-B770*INT(I770/B770)))/C770)/100))))</f>
        <v>0</v>
      </c>
      <c r="AU770" s="57">
        <f>IF(ISERROR(IF(B770=C770,J770/C770,(INT(J770/B770)+(((J770-B770*INT(J770/B770)))/C770)/100))),0,(IF(B770=C770,J770/C770,(INT(J770/B770)+(((J770-B770*INT(J770/B770)))/C770)/100))))</f>
        <v>0</v>
      </c>
      <c r="AV770" s="57">
        <f>IF(ISERROR(IF(B770=C770,K770/C770,IF((INT(K770/B770)+(((K770-B770*INT(K770/B770)))/C770)/100)&lt;0,(INT(K770/B770)+(((K770-B770*INT(K770/B770)))/C770)/100)+(1-(B770/C770/100)),(INT(K770/B770)+(((K770-B770*INT(K770/B770)))/C770)/100)))),0,IF(B770=C770,K770/C770,IF((INT(K770/B770)+(((K770-B770*INT(K770/B770)))/C770)/100)&lt;0,(INT(K770/B770)+(((K770-B770*INT(K770/B770)))/C770)/100)+(1-(B770/C770/100)),(INT(K770/B770)+(((K770-B770*INT(K770/B770)))/C770)/100))))</f>
        <v>0</v>
      </c>
      <c r="AW770" s="57">
        <f>IF(ISERROR(IF(B770=C770,L770/C770,(INT(L770/B770)+(((L770-B770*INT(L770/B770)))/C770)/100))),0,(IF(B770=C770,L770/C770,(INT(L770/B770)+(((L770-B770*INT(L770/B770)))/C770)/100))))</f>
        <v>0</v>
      </c>
      <c r="AX770" s="57">
        <f>IF(ISERROR(IF(B770=C770,M770/C770,(INT(M770/B770)+(((M770-B770*INT(M770/B770)))/C770)/100))),0,(IF(B770=C770,M770/C770,(INT(M770/B770)+(((M770-B770*INT(M770/B770)))/C770)/100))))</f>
        <v>0</v>
      </c>
      <c r="AY770" s="57">
        <f>IF(ISERROR(IF(B770=C770,N770/C770,IF((INT(N770/B770)+(((N770-B770*INT(N770/B770)))/C770)/100)&lt;0,(INT(N770/B770)+(((N770-B770*INT(N770/B770)))/C770)/100)+(1-(B770/C770/100)),(INT(N770/B770)+(((N770-B770*INT(N770/B770)))/C770)/100)))),0,IF(B770=C770,N770/C770,IF((INT(N770/B770)+(((N770-B770*INT(N770/B770)))/C770)/100)&lt;0,(INT(N770/B770)+(((N770-B770*INT(N770/B770)))/C770)/100)+(1-(B770/C770/100)),(INT(N770/B770)+(((N770-B770*INT(N770/B770)))/C770)/100))))</f>
        <v>100</v>
      </c>
      <c r="AZ770" s="57">
        <f>IF(ISERROR(IF(B770=C770,O770/C770,(INT(O770/B770)+(((O770-B770*INT(O770/B770)))/C770)/100))),0,(IF(B770=C770,O770/C770,(INT(O770/B770)+(((O770-B770*INT(O770/B770)))/C770)/100))))</f>
        <v>100</v>
      </c>
      <c r="BA770" s="57">
        <f>IF(ISERROR(IF(B770=C770,P770/C770,IF((INT(P770/B770)+(((P770-B770*INT(P770/B770)))/C770)/100)&lt;0,(INT(P770/B770)+(((P770-B770*INT(P770/B770)))/C770)/100)+(1-(B770/C770/100)),(INT(P770/B770)+(((P770-B770*INT(P770/B770)))/C770)/100)))),0,IF(B770=C770,P770/C770,IF((INT(P770/B770)+(((P770-B770*INT(P770/B770)))/C770)/100)&lt;0,(INT(P770/B770)+(((P770-B770*INT(P770/B770)))/C770)/100)+(1-(B770/C770/100)),(INT(P770/B770)+(((P770-B770*INT(P770/B770)))/C770)/100))))</f>
        <v>0</v>
      </c>
      <c r="BB770" s="28">
        <f>R770</f>
        <v>135</v>
      </c>
      <c r="BC770" s="28">
        <f>S770</f>
        <v>0</v>
      </c>
      <c r="BD770" s="28">
        <f>AF770</f>
        <v>63.637499999999996</v>
      </c>
      <c r="BE770" s="28">
        <f>T770</f>
        <v>0</v>
      </c>
      <c r="BG770" s="57">
        <f>IF(ISERROR(IF(B770=C770,V770/C770,(INT(V770/B770)+(((V770-B770*INT(V770/B770)))/C770)/100))),0,(IF(B770=C770,V770/C770,(INT(V770/B770)+(((V770-B770*INT(V770/B770)))/C770)/100))))</f>
        <v>28</v>
      </c>
      <c r="BH770" s="57">
        <f>IF(ISERROR(IF(B770=C770,W770/C770,(INT(W770/B770)+(((W770-B770*INT(W770/B770)))/C770)/100))),0,(IF(B770=C770,W770/C770,(INT(W770/B770)+(((W770-B770*INT(W770/B770)))/C770)/100))))</f>
        <v>72</v>
      </c>
      <c r="BI770" s="57">
        <f>IF(ISERROR(IF(B770=C770,X770/C770,(INT(X770/B770)+(((X770-B770*INT(X770/B770)))/C770)/100))),0,(IF(B770=C770,X770/C770,(INT(X770/B770)+(((X770-B770*INT(X770/B770)))/C770)/100))))</f>
        <v>0</v>
      </c>
      <c r="BJ770" s="57">
        <f>IF(ISERROR(IF(B770=C770,Y770/C770,(INT(Y770/B770)+(((Y770-B770*INT(Y770/B770)))/C770)/100))),0,(IF(B770=C770,Y770/C770,(INT(Y770/B770)+(((Y770-B770*INT(Y770/B770)))/C770)/100))))</f>
        <v>0</v>
      </c>
      <c r="BL770" s="57">
        <f>IF(ISERROR(IF(B770=C770,AA770/C770,(INT(AA770/B770)+(((AA770-B770*INT(AA770/B770)))/C770)/100))),0,(IF(B770=C770,AA770/C770,(INT(AA770/B770)+(((AA770-B770*INT(AA770/B770)))/C770)/100))))</f>
        <v>33</v>
      </c>
      <c r="BM770" s="57">
        <f>IF(ISERROR(IF(B770=C770,AB770/C770,(INT(AB770/B770)+(((AB770-B770*INT(AB770/B770)))/C770)/100))),0,(IF(B770=C770,AB770/C770,(INT(AB770/B770)+(((AB770-B770*INT(AB770/B770)))/C770)/100))))</f>
        <v>72</v>
      </c>
      <c r="BN770" s="57">
        <f>IF(ISERROR(IF(B770=C770,AC770/C770,(INT(AC770/B770)+(((AC770-B770*INT(AC770/B770)))/C770)/100))),0,(IF(B770=C770,AC770/C770,(INT(AC770/B770)+(((AC770-B770*INT(AC770/B770)))/C770)/100))))</f>
        <v>0</v>
      </c>
      <c r="BO770" s="57">
        <f>IF(ISERROR(IF(B770=C770,AD770/C770,(INT(AD770/B770)+(((AD770-B770*INT(AD770/B770)))/C770)/100))),0,(IF(B770=C770,AD770/C770,(INT(AD770/B770)+(((AD770-B770*INT(AD770/B770)))/C770)/100))))</f>
        <v>0</v>
      </c>
      <c r="BQ770" s="155" t="s">
        <v>158</v>
      </c>
    </row>
    <row r="771" spans="1:69" x14ac:dyDescent="0.35">
      <c r="A771" s="134" t="s">
        <v>159</v>
      </c>
      <c r="B771" s="113">
        <v>1</v>
      </c>
      <c r="C771" s="113">
        <v>1</v>
      </c>
      <c r="D771" s="28">
        <f>SUM(AA771:AD771)</f>
        <v>197</v>
      </c>
      <c r="E771" s="113">
        <v>0</v>
      </c>
      <c r="F771" s="113">
        <v>0</v>
      </c>
      <c r="G771" s="28">
        <f>SUM(D771:F771)</f>
        <v>197</v>
      </c>
      <c r="H771" s="125">
        <v>0</v>
      </c>
      <c r="I771" s="113">
        <v>0</v>
      </c>
      <c r="J771" s="125">
        <v>0</v>
      </c>
      <c r="K771" s="113">
        <v>0</v>
      </c>
      <c r="L771" s="113">
        <v>0</v>
      </c>
      <c r="M771" s="113">
        <v>0</v>
      </c>
      <c r="N771" s="28">
        <f>G771-SUM(H771:M771)</f>
        <v>197</v>
      </c>
      <c r="O771" s="28">
        <f>SUM(V771:Y771)</f>
        <v>197</v>
      </c>
      <c r="P771" s="28">
        <f>O771-N771</f>
        <v>0</v>
      </c>
      <c r="Q771" s="61" t="str">
        <f>IF(ISERROR(P771/SUM(H771:L771)),"",P771/SUM(H771:L771))</f>
        <v/>
      </c>
      <c r="R771" s="113">
        <v>135</v>
      </c>
      <c r="S771" s="28">
        <f>IF(ISERROR(P771/C771*R771),0,(P771/C771*R771))</f>
        <v>0</v>
      </c>
      <c r="T771" s="60">
        <f>IF(ISERROR(P771/B771*AF771),0,(P771/B771*AF771))</f>
        <v>0</v>
      </c>
      <c r="V771" s="113">
        <f>1+1+3</f>
        <v>5</v>
      </c>
      <c r="W771" s="113">
        <f>8*24</f>
        <v>192</v>
      </c>
      <c r="X771" s="113">
        <v>0</v>
      </c>
      <c r="Y771" s="113">
        <v>0</v>
      </c>
      <c r="AA771" s="113">
        <f>3+1+1</f>
        <v>5</v>
      </c>
      <c r="AB771" s="113">
        <f>8*24</f>
        <v>192</v>
      </c>
      <c r="AC771" s="113">
        <v>0</v>
      </c>
      <c r="AD771" s="113">
        <v>0</v>
      </c>
      <c r="AF771" s="163">
        <f>1636.4/24</f>
        <v>68.183333333333337</v>
      </c>
      <c r="AG771" s="28">
        <f>G771-O771</f>
        <v>0</v>
      </c>
      <c r="AH771" s="58">
        <f>IF(ISERROR(AG771/B771*AF771),0,(AG771/B771*AF771))</f>
        <v>0</v>
      </c>
      <c r="AI771" s="28">
        <f>SUM(H771:M771)</f>
        <v>0</v>
      </c>
      <c r="AJ771" s="28">
        <f>IF(ISERROR(AI771/B771*AF771),0,(AI771/B771*AF771))</f>
        <v>0</v>
      </c>
      <c r="AK771" s="58">
        <f>IF(ISERROR(O771/B771*AF771),0,(O771/B771*AF771))</f>
        <v>13432.116666666667</v>
      </c>
      <c r="AL771" s="28">
        <f>IF(ISERROR(H771/B771*AF771),0,(H771/B771*AF771))</f>
        <v>0</v>
      </c>
      <c r="AN771" s="51" t="str">
        <f>A771</f>
        <v>Millers Ace</v>
      </c>
      <c r="AO771" s="57">
        <f>IF(ISERROR(IF(B771=C771,D771/C771,(INT(D771/B771)+(((D771-B771*INT(D771/B771)))/C771)/100))),0,(IF(B771=C771,D771/C771,(INT(D771/B771)+(((D771-B771*INT(D771/B771)))/C771)/100))))</f>
        <v>197</v>
      </c>
      <c r="AP771" s="57">
        <f>IF(ISERROR(IF(B771=C771,E771/C771,(INT(E771/B771)+(((E771-B771*INT(E771/B771)))/C771)/100))),0,(IF(B771=C771,E771/C771,(INT(E771/B771)+(((E771-B771*INT(E771/B771)))/C771)/100))))</f>
        <v>0</v>
      </c>
      <c r="AQ771" s="57">
        <f>IF(ISERROR(IF(B771=C771,F771/C771,IF((INT(F771/B771)+(((F771-B771*INT(F771/B771)))/C771)/100)&lt;0,(INT(F771/B771)+(((F771-B771*INT(F771/B771)))/C771)/100)+(1-(B771/C771/100)),(INT(F771/B771)+(((F771-B771*INT(F771/B771)))/C771)/100)))),0,IF(B771=C771,F771/C771,IF((INT(F771/B771)+(((F771-B771*INT(F771/B771)))/C771)/100)&lt;0,(INT(F771/B771)+(((F771-B771*INT(F771/B771)))/C771)/100)+(1-(B771/C771/100)),(INT(F771/B771)+(((F771-B771*INT(F771/B771)))/C771)/100))))</f>
        <v>0</v>
      </c>
      <c r="AR771" s="57">
        <f>IF(ISERROR(IF(B771=C771,G771/C771,(INT(G771/B771)+(((G771-B771*INT(G771/B771)))/C771)/100))),0,(IF(B771=C771,G771/C771,(INT(G771/B771)+(((G771-B771*INT(G771/B771)))/C771)/100))))</f>
        <v>197</v>
      </c>
      <c r="AS771" s="57">
        <f>IF(ISERROR(IF(B771=C771,H771/C771,(INT(H771/B771)+(((H771-B771*INT(H771/B771)))/C771)/100))),0,(IF(B771=C771,H771/C771,(INT(H771/B771)+(((H771-B771*INT(H771/B771)))/C771)/100))))</f>
        <v>0</v>
      </c>
      <c r="AT771" s="57">
        <f>IF(ISERROR(IF(B771=C771,I771/C771,(INT(I771/B771)+(((I771-B771*INT(I771/B771)))/C771)/100))),0,(IF(B771=C771,I771/C771,(INT(I771/B771)+(((I771-B771*INT(I771/B771)))/C771)/100))))</f>
        <v>0</v>
      </c>
      <c r="AU771" s="57">
        <f>IF(ISERROR(IF(B771=C771,J771/C771,(INT(J771/B771)+(((J771-B771*INT(J771/B771)))/C771)/100))),0,(IF(B771=C771,J771/C771,(INT(J771/B771)+(((J771-B771*INT(J771/B771)))/C771)/100))))</f>
        <v>0</v>
      </c>
      <c r="AV771" s="57">
        <f>IF(ISERROR(IF(B771=C771,K771/C771,IF((INT(K771/B771)+(((K771-B771*INT(K771/B771)))/C771)/100)&lt;0,(INT(K771/B771)+(((K771-B771*INT(K771/B771)))/C771)/100)+(1-(B771/C771/100)),(INT(K771/B771)+(((K771-B771*INT(K771/B771)))/C771)/100)))),0,IF(B771=C771,K771/C771,IF((INT(K771/B771)+(((K771-B771*INT(K771/B771)))/C771)/100)&lt;0,(INT(K771/B771)+(((K771-B771*INT(K771/B771)))/C771)/100)+(1-(B771/C771/100)),(INT(K771/B771)+(((K771-B771*INT(K771/B771)))/C771)/100))))</f>
        <v>0</v>
      </c>
      <c r="AW771" s="57">
        <f>IF(ISERROR(IF(B771=C771,L771/C771,(INT(L771/B771)+(((L771-B771*INT(L771/B771)))/C771)/100))),0,(IF(B771=C771,L771/C771,(INT(L771/B771)+(((L771-B771*INT(L771/B771)))/C771)/100))))</f>
        <v>0</v>
      </c>
      <c r="AX771" s="57">
        <f>IF(ISERROR(IF(B771=C771,M771/C771,(INT(M771/B771)+(((M771-B771*INT(M771/B771)))/C771)/100))),0,(IF(B771=C771,M771/C771,(INT(M771/B771)+(((M771-B771*INT(M771/B771)))/C771)/100))))</f>
        <v>0</v>
      </c>
      <c r="AY771" s="57">
        <f>IF(ISERROR(IF(B771=C771,N771/C771,IF((INT(N771/B771)+(((N771-B771*INT(N771/B771)))/C771)/100)&lt;0,(INT(N771/B771)+(((N771-B771*INT(N771/B771)))/C771)/100)+(1-(B771/C771/100)),(INT(N771/B771)+(((N771-B771*INT(N771/B771)))/C771)/100)))),0,IF(B771=C771,N771/C771,IF((INT(N771/B771)+(((N771-B771*INT(N771/B771)))/C771)/100)&lt;0,(INT(N771/B771)+(((N771-B771*INT(N771/B771)))/C771)/100)+(1-(B771/C771/100)),(INT(N771/B771)+(((N771-B771*INT(N771/B771)))/C771)/100))))</f>
        <v>197</v>
      </c>
      <c r="AZ771" s="57">
        <f>IF(ISERROR(IF(B771=C771,O771/C771,(INT(O771/B771)+(((O771-B771*INT(O771/B771)))/C771)/100))),0,(IF(B771=C771,O771/C771,(INT(O771/B771)+(((O771-B771*INT(O771/B771)))/C771)/100))))</f>
        <v>197</v>
      </c>
      <c r="BA771" s="57">
        <f>IF(ISERROR(IF(B771=C771,P771/C771,IF((INT(P771/B771)+(((P771-B771*INT(P771/B771)))/C771)/100)&lt;0,(INT(P771/B771)+(((P771-B771*INT(P771/B771)))/C771)/100)+(1-(B771/C771/100)),(INT(P771/B771)+(((P771-B771*INT(P771/B771)))/C771)/100)))),0,IF(B771=C771,P771/C771,IF((INT(P771/B771)+(((P771-B771*INT(P771/B771)))/C771)/100)&lt;0,(INT(P771/B771)+(((P771-B771*INT(P771/B771)))/C771)/100)+(1-(B771/C771/100)),(INT(P771/B771)+(((P771-B771*INT(P771/B771)))/C771)/100))))</f>
        <v>0</v>
      </c>
      <c r="BB771" s="28">
        <f>R771</f>
        <v>135</v>
      </c>
      <c r="BC771" s="28">
        <f>S771</f>
        <v>0</v>
      </c>
      <c r="BD771" s="28">
        <f>AF771</f>
        <v>68.183333333333337</v>
      </c>
      <c r="BE771" s="28">
        <f>T771</f>
        <v>0</v>
      </c>
      <c r="BG771" s="57">
        <f>IF(ISERROR(IF(B771=C771,V771/C771,(INT(V771/B771)+(((V771-B771*INT(V771/B771)))/C771)/100))),0,(IF(B771=C771,V771/C771,(INT(V771/B771)+(((V771-B771*INT(V771/B771)))/C771)/100))))</f>
        <v>5</v>
      </c>
      <c r="BH771" s="57">
        <f>IF(ISERROR(IF(B771=C771,W771/C771,(INT(W771/B771)+(((W771-B771*INT(W771/B771)))/C771)/100))),0,(IF(B771=C771,W771/C771,(INT(W771/B771)+(((W771-B771*INT(W771/B771)))/C771)/100))))</f>
        <v>192</v>
      </c>
      <c r="BI771" s="57">
        <f>IF(ISERROR(IF(B771=C771,X771/C771,(INT(X771/B771)+(((X771-B771*INT(X771/B771)))/C771)/100))),0,(IF(B771=C771,X771/C771,(INT(X771/B771)+(((X771-B771*INT(X771/B771)))/C771)/100))))</f>
        <v>0</v>
      </c>
      <c r="BJ771" s="57">
        <f>IF(ISERROR(IF(B771=C771,Y771/C771,(INT(Y771/B771)+(((Y771-B771*INT(Y771/B771)))/C771)/100))),0,(IF(B771=C771,Y771/C771,(INT(Y771/B771)+(((Y771-B771*INT(Y771/B771)))/C771)/100))))</f>
        <v>0</v>
      </c>
      <c r="BL771" s="57">
        <f>IF(ISERROR(IF(B771=C771,AA771/C771,(INT(AA771/B771)+(((AA771-B771*INT(AA771/B771)))/C771)/100))),0,(IF(B771=C771,AA771/C771,(INT(AA771/B771)+(((AA771-B771*INT(AA771/B771)))/C771)/100))))</f>
        <v>5</v>
      </c>
      <c r="BM771" s="57">
        <f>IF(ISERROR(IF(B771=C771,AB771/C771,(INT(AB771/B771)+(((AB771-B771*INT(AB771/B771)))/C771)/100))),0,(IF(B771=C771,AB771/C771,(INT(AB771/B771)+(((AB771-B771*INT(AB771/B771)))/C771)/100))))</f>
        <v>192</v>
      </c>
      <c r="BN771" s="57">
        <f>IF(ISERROR(IF(B771=C771,AC771/C771,(INT(AC771/B771)+(((AC771-B771*INT(AC771/B771)))/C771)/100))),0,(IF(B771=C771,AC771/C771,(INT(AC771/B771)+(((AC771-B771*INT(AC771/B771)))/C771)/100))))</f>
        <v>0</v>
      </c>
      <c r="BO771" s="57">
        <f>IF(ISERROR(IF(B771=C771,AD771/C771,(INT(AD771/B771)+(((AD771-B771*INT(AD771/B771)))/C771)/100))),0,(IF(B771=C771,AD771/C771,(INT(AD771/B771)+(((AD771-B771*INT(AD771/B771)))/C771)/100))))</f>
        <v>0</v>
      </c>
      <c r="BQ771" s="155" t="s">
        <v>158</v>
      </c>
    </row>
    <row r="772" spans="1:69" x14ac:dyDescent="0.35">
      <c r="A772" s="94" t="s">
        <v>157</v>
      </c>
      <c r="B772" s="113">
        <v>1</v>
      </c>
      <c r="C772" s="113">
        <v>1</v>
      </c>
      <c r="D772" s="28">
        <f>SUM(AA772:AD772)</f>
        <v>189</v>
      </c>
      <c r="E772" s="113">
        <v>0</v>
      </c>
      <c r="F772" s="113">
        <v>0</v>
      </c>
      <c r="G772" s="28">
        <f>SUM(D772:F772)</f>
        <v>189</v>
      </c>
      <c r="H772" s="125">
        <v>0</v>
      </c>
      <c r="I772" s="113">
        <v>0</v>
      </c>
      <c r="J772" s="125">
        <v>0</v>
      </c>
      <c r="K772" s="113">
        <v>0</v>
      </c>
      <c r="L772" s="113">
        <v>0</v>
      </c>
      <c r="M772" s="113">
        <v>0</v>
      </c>
      <c r="N772" s="28">
        <f>G772-SUM(H772:M772)</f>
        <v>189</v>
      </c>
      <c r="O772" s="28">
        <f>SUM(V772:Y772)</f>
        <v>189</v>
      </c>
      <c r="P772" s="28">
        <f>O772-N772</f>
        <v>0</v>
      </c>
      <c r="Q772" s="61" t="str">
        <f>IF(ISERROR(P772/SUM(H772:L772)),"",P772/SUM(H772:L772))</f>
        <v/>
      </c>
      <c r="R772" s="113">
        <v>250</v>
      </c>
      <c r="S772" s="28">
        <f>IF(ISERROR(P772/C772*R772),0,(P772/C772*R772))</f>
        <v>0</v>
      </c>
      <c r="T772" s="60">
        <f>IF(ISERROR(P772/B772*AF772),0,(P772/B772*AF772))</f>
        <v>0</v>
      </c>
      <c r="V772" s="113">
        <v>21</v>
      </c>
      <c r="W772" s="113">
        <f>7*24</f>
        <v>168</v>
      </c>
      <c r="X772" s="113">
        <v>0</v>
      </c>
      <c r="Y772" s="113">
        <v>0</v>
      </c>
      <c r="AA772" s="113">
        <v>21</v>
      </c>
      <c r="AB772" s="113">
        <f>7*24</f>
        <v>168</v>
      </c>
      <c r="AC772" s="113">
        <v>0</v>
      </c>
      <c r="AD772" s="113">
        <v>0</v>
      </c>
      <c r="AF772" s="163">
        <f>2618.2/24</f>
        <v>109.09166666666665</v>
      </c>
      <c r="AG772" s="28">
        <f>G772-O772</f>
        <v>0</v>
      </c>
      <c r="AH772" s="58">
        <f>IF(ISERROR(AG772/B772*AF772),0,(AG772/B772*AF772))</f>
        <v>0</v>
      </c>
      <c r="AI772" s="28">
        <f>SUM(H772:M772)</f>
        <v>0</v>
      </c>
      <c r="AJ772" s="28">
        <f>IF(ISERROR(AI772/B772*AF772),0,(AI772/B772*AF772))</f>
        <v>0</v>
      </c>
      <c r="AK772" s="58">
        <f>IF(ISERROR(O772/B772*AF772),0,(O772/B772*AF772))</f>
        <v>20618.324999999997</v>
      </c>
      <c r="AL772" s="28">
        <f>IF(ISERROR(H772/B772*AF772),0,(H772/B772*AF772))</f>
        <v>0</v>
      </c>
      <c r="AN772" s="51" t="str">
        <f>A772</f>
        <v xml:space="preserve">Peroni Nastro Azzurro </v>
      </c>
      <c r="AO772" s="57">
        <f>IF(ISERROR(IF(B772=C772,D772/C772,(INT(D772/B772)+(((D772-B772*INT(D772/B772)))/C772)/100))),0,(IF(B772=C772,D772/C772,(INT(D772/B772)+(((D772-B772*INT(D772/B772)))/C772)/100))))</f>
        <v>189</v>
      </c>
      <c r="AP772" s="57">
        <f>IF(ISERROR(IF(B772=C772,E772/C772,(INT(E772/B772)+(((E772-B772*INT(E772/B772)))/C772)/100))),0,(IF(B772=C772,E772/C772,(INT(E772/B772)+(((E772-B772*INT(E772/B772)))/C772)/100))))</f>
        <v>0</v>
      </c>
      <c r="AQ772" s="57">
        <f>IF(ISERROR(IF(B772=C772,F772/C772,IF((INT(F772/B772)+(((F772-B772*INT(F772/B772)))/C772)/100)&lt;0,(INT(F772/B772)+(((F772-B772*INT(F772/B772)))/C772)/100)+(1-(B772/C772/100)),(INT(F772/B772)+(((F772-B772*INT(F772/B772)))/C772)/100)))),0,IF(B772=C772,F772/C772,IF((INT(F772/B772)+(((F772-B772*INT(F772/B772)))/C772)/100)&lt;0,(INT(F772/B772)+(((F772-B772*INT(F772/B772)))/C772)/100)+(1-(B772/C772/100)),(INT(F772/B772)+(((F772-B772*INT(F772/B772)))/C772)/100))))</f>
        <v>0</v>
      </c>
      <c r="AR772" s="57">
        <f>IF(ISERROR(IF(B772=C772,G772/C772,(INT(G772/B772)+(((G772-B772*INT(G772/B772)))/C772)/100))),0,(IF(B772=C772,G772/C772,(INT(G772/B772)+(((G772-B772*INT(G772/B772)))/C772)/100))))</f>
        <v>189</v>
      </c>
      <c r="AS772" s="57">
        <f>IF(ISERROR(IF(B772=C772,H772/C772,(INT(H772/B772)+(((H772-B772*INT(H772/B772)))/C772)/100))),0,(IF(B772=C772,H772/C772,(INT(H772/B772)+(((H772-B772*INT(H772/B772)))/C772)/100))))</f>
        <v>0</v>
      </c>
      <c r="AT772" s="57">
        <f>IF(ISERROR(IF(B772=C772,I772/C772,(INT(I772/B772)+(((I772-B772*INT(I772/B772)))/C772)/100))),0,(IF(B772=C772,I772/C772,(INT(I772/B772)+(((I772-B772*INT(I772/B772)))/C772)/100))))</f>
        <v>0</v>
      </c>
      <c r="AU772" s="57">
        <f>IF(ISERROR(IF(B772=C772,J772/C772,(INT(J772/B772)+(((J772-B772*INT(J772/B772)))/C772)/100))),0,(IF(B772=C772,J772/C772,(INT(J772/B772)+(((J772-B772*INT(J772/B772)))/C772)/100))))</f>
        <v>0</v>
      </c>
      <c r="AV772" s="57">
        <f>IF(ISERROR(IF(B772=C772,K772/C772,IF((INT(K772/B772)+(((K772-B772*INT(K772/B772)))/C772)/100)&lt;0,(INT(K772/B772)+(((K772-B772*INT(K772/B772)))/C772)/100)+(1-(B772/C772/100)),(INT(K772/B772)+(((K772-B772*INT(K772/B772)))/C772)/100)))),0,IF(B772=C772,K772/C772,IF((INT(K772/B772)+(((K772-B772*INT(K772/B772)))/C772)/100)&lt;0,(INT(K772/B772)+(((K772-B772*INT(K772/B772)))/C772)/100)+(1-(B772/C772/100)),(INT(K772/B772)+(((K772-B772*INT(K772/B772)))/C772)/100))))</f>
        <v>0</v>
      </c>
      <c r="AW772" s="57">
        <f>IF(ISERROR(IF(B772=C772,L772/C772,(INT(L772/B772)+(((L772-B772*INT(L772/B772)))/C772)/100))),0,(IF(B772=C772,L772/C772,(INT(L772/B772)+(((L772-B772*INT(L772/B772)))/C772)/100))))</f>
        <v>0</v>
      </c>
      <c r="AX772" s="57">
        <f>IF(ISERROR(IF(B772=C772,M772/C772,(INT(M772/B772)+(((M772-B772*INT(M772/B772)))/C772)/100))),0,(IF(B772=C772,M772/C772,(INT(M772/B772)+(((M772-B772*INT(M772/B772)))/C772)/100))))</f>
        <v>0</v>
      </c>
      <c r="AY772" s="57">
        <f>IF(ISERROR(IF(B772=C772,N772/C772,IF((INT(N772/B772)+(((N772-B772*INT(N772/B772)))/C772)/100)&lt;0,(INT(N772/B772)+(((N772-B772*INT(N772/B772)))/C772)/100)+(1-(B772/C772/100)),(INT(N772/B772)+(((N772-B772*INT(N772/B772)))/C772)/100)))),0,IF(B772=C772,N772/C772,IF((INT(N772/B772)+(((N772-B772*INT(N772/B772)))/C772)/100)&lt;0,(INT(N772/B772)+(((N772-B772*INT(N772/B772)))/C772)/100)+(1-(B772/C772/100)),(INT(N772/B772)+(((N772-B772*INT(N772/B772)))/C772)/100))))</f>
        <v>189</v>
      </c>
      <c r="AZ772" s="57">
        <f>IF(ISERROR(IF(B772=C772,O772/C772,(INT(O772/B772)+(((O772-B772*INT(O772/B772)))/C772)/100))),0,(IF(B772=C772,O772/C772,(INT(O772/B772)+(((O772-B772*INT(O772/B772)))/C772)/100))))</f>
        <v>189</v>
      </c>
      <c r="BA772" s="57">
        <f>IF(ISERROR(IF(B772=C772,P772/C772,IF((INT(P772/B772)+(((P772-B772*INT(P772/B772)))/C772)/100)&lt;0,(INT(P772/B772)+(((P772-B772*INT(P772/B772)))/C772)/100)+(1-(B772/C772/100)),(INT(P772/B772)+(((P772-B772*INT(P772/B772)))/C772)/100)))),0,IF(B772=C772,P772/C772,IF((INT(P772/B772)+(((P772-B772*INT(P772/B772)))/C772)/100)&lt;0,(INT(P772/B772)+(((P772-B772*INT(P772/B772)))/C772)/100)+(1-(B772/C772/100)),(INT(P772/B772)+(((P772-B772*INT(P772/B772)))/C772)/100))))</f>
        <v>0</v>
      </c>
      <c r="BB772" s="28">
        <f>R772</f>
        <v>250</v>
      </c>
      <c r="BC772" s="28">
        <f>S772</f>
        <v>0</v>
      </c>
      <c r="BD772" s="28">
        <f>AF772</f>
        <v>109.09166666666665</v>
      </c>
      <c r="BE772" s="28">
        <f>T772</f>
        <v>0</v>
      </c>
      <c r="BG772" s="57">
        <f>IF(ISERROR(IF(B772=C772,V772/C772,(INT(V772/B772)+(((V772-B772*INT(V772/B772)))/C772)/100))),0,(IF(B772=C772,V772/C772,(INT(V772/B772)+(((V772-B772*INT(V772/B772)))/C772)/100))))</f>
        <v>21</v>
      </c>
      <c r="BH772" s="57">
        <f>IF(ISERROR(IF(B772=C772,W772/C772,(INT(W772/B772)+(((W772-B772*INT(W772/B772)))/C772)/100))),0,(IF(B772=C772,W772/C772,(INT(W772/B772)+(((W772-B772*INT(W772/B772)))/C772)/100))))</f>
        <v>168</v>
      </c>
      <c r="BI772" s="57">
        <f>IF(ISERROR(IF(B772=C772,X772/C772,(INT(X772/B772)+(((X772-B772*INT(X772/B772)))/C772)/100))),0,(IF(B772=C772,X772/C772,(INT(X772/B772)+(((X772-B772*INT(X772/B772)))/C772)/100))))</f>
        <v>0</v>
      </c>
      <c r="BJ772" s="57">
        <f>IF(ISERROR(IF(B772=C772,Y772/C772,(INT(Y772/B772)+(((Y772-B772*INT(Y772/B772)))/C772)/100))),0,(IF(B772=C772,Y772/C772,(INT(Y772/B772)+(((Y772-B772*INT(Y772/B772)))/C772)/100))))</f>
        <v>0</v>
      </c>
      <c r="BL772" s="57">
        <f>IF(ISERROR(IF(B772=C772,AA772/C772,(INT(AA772/B772)+(((AA772-B772*INT(AA772/B772)))/C772)/100))),0,(IF(B772=C772,AA772/C772,(INT(AA772/B772)+(((AA772-B772*INT(AA772/B772)))/C772)/100))))</f>
        <v>21</v>
      </c>
      <c r="BM772" s="57">
        <f>IF(ISERROR(IF(B772=C772,AB772/C772,(INT(AB772/B772)+(((AB772-B772*INT(AB772/B772)))/C772)/100))),0,(IF(B772=C772,AB772/C772,(INT(AB772/B772)+(((AB772-B772*INT(AB772/B772)))/C772)/100))))</f>
        <v>168</v>
      </c>
      <c r="BN772" s="57">
        <f>IF(ISERROR(IF(B772=C772,AC772/C772,(INT(AC772/B772)+(((AC772-B772*INT(AC772/B772)))/C772)/100))),0,(IF(B772=C772,AC772/C772,(INT(AC772/B772)+(((AC772-B772*INT(AC772/B772)))/C772)/100))))</f>
        <v>0</v>
      </c>
      <c r="BO772" s="57">
        <f>IF(ISERROR(IF(B772=C772,AD772/C772,(INT(AD772/B772)+(((AD772-B772*INT(AD772/B772)))/C772)/100))),0,(IF(B772=C772,AD772/C772,(INT(AD772/B772)+(((AD772-B772*INT(AD772/B772)))/C772)/100))))</f>
        <v>0</v>
      </c>
      <c r="BQ772" s="155" t="s">
        <v>147</v>
      </c>
    </row>
    <row r="773" spans="1:69" x14ac:dyDescent="0.35">
      <c r="A773" s="134" t="s">
        <v>156</v>
      </c>
      <c r="B773" s="113">
        <v>1</v>
      </c>
      <c r="C773" s="113">
        <v>1</v>
      </c>
      <c r="D773" s="28">
        <f>SUM(AA773:AD773)</f>
        <v>0</v>
      </c>
      <c r="E773" s="113">
        <v>0</v>
      </c>
      <c r="F773" s="113">
        <v>0</v>
      </c>
      <c r="G773" s="28">
        <f>SUM(D773:F773)</f>
        <v>0</v>
      </c>
      <c r="H773" s="125">
        <v>0</v>
      </c>
      <c r="I773" s="113">
        <v>0</v>
      </c>
      <c r="J773" s="125">
        <v>0</v>
      </c>
      <c r="K773" s="113">
        <v>0</v>
      </c>
      <c r="L773" s="113">
        <v>0</v>
      </c>
      <c r="M773" s="113">
        <v>0</v>
      </c>
      <c r="N773" s="28">
        <f>G773-SUM(H773:M773)</f>
        <v>0</v>
      </c>
      <c r="O773" s="28">
        <f>SUM(V773:Y773)</f>
        <v>0</v>
      </c>
      <c r="P773" s="28">
        <f>O773-N773</f>
        <v>0</v>
      </c>
      <c r="Q773" s="61" t="str">
        <f>IF(ISERROR(P773/SUM(H773:L773)),"",P773/SUM(H773:L773))</f>
        <v/>
      </c>
      <c r="R773" s="113">
        <v>0</v>
      </c>
      <c r="S773" s="28">
        <f>IF(ISERROR(P773/C773*R773),0,(P773/C773*R773))</f>
        <v>0</v>
      </c>
      <c r="T773" s="60">
        <f>IF(ISERROR(P773/B773*AF773),0,(P773/B773*AF773))</f>
        <v>0</v>
      </c>
      <c r="V773" s="113">
        <v>0</v>
      </c>
      <c r="W773" s="113">
        <v>0</v>
      </c>
      <c r="X773" s="113">
        <v>0</v>
      </c>
      <c r="Y773" s="113">
        <v>0</v>
      </c>
      <c r="AA773" s="113">
        <v>0</v>
      </c>
      <c r="AB773" s="113">
        <v>0</v>
      </c>
      <c r="AC773" s="113">
        <v>0</v>
      </c>
      <c r="AD773" s="113">
        <v>0</v>
      </c>
      <c r="AF773" s="155">
        <v>209.65947916666667</v>
      </c>
      <c r="AG773" s="28">
        <f>G773-O773</f>
        <v>0</v>
      </c>
      <c r="AH773" s="58">
        <f>IF(ISERROR(AG773/B773*AF773),0,(AG773/B773*AF773))</f>
        <v>0</v>
      </c>
      <c r="AI773" s="28">
        <f>SUM(H773:M773)</f>
        <v>0</v>
      </c>
      <c r="AJ773" s="28">
        <f>IF(ISERROR(AI773/B773*AF773),0,(AI773/B773*AF773))</f>
        <v>0</v>
      </c>
      <c r="AK773" s="58">
        <f>IF(ISERROR(O773/B773*AF773),0,(O773/B773*AF773))</f>
        <v>0</v>
      </c>
      <c r="AL773" s="28">
        <f>IF(ISERROR(H773/B773*AF773),0,(H773/B773*AF773))</f>
        <v>0</v>
      </c>
      <c r="AN773" s="51" t="str">
        <f>A773</f>
        <v xml:space="preserve">Stella </v>
      </c>
      <c r="AO773" s="57">
        <f>IF(ISERROR(IF(B773=C773,D773/C773,(INT(D773/B773)+(((D773-B773*INT(D773/B773)))/C773)/100))),0,(IF(B773=C773,D773/C773,(INT(D773/B773)+(((D773-B773*INT(D773/B773)))/C773)/100))))</f>
        <v>0</v>
      </c>
      <c r="AP773" s="57">
        <f>IF(ISERROR(IF(B773=C773,E773/C773,(INT(E773/B773)+(((E773-B773*INT(E773/B773)))/C773)/100))),0,(IF(B773=C773,E773/C773,(INT(E773/B773)+(((E773-B773*INT(E773/B773)))/C773)/100))))</f>
        <v>0</v>
      </c>
      <c r="AQ773" s="57">
        <f>IF(ISERROR(IF(B773=C773,F773/C773,IF((INT(F773/B773)+(((F773-B773*INT(F773/B773)))/C773)/100)&lt;0,(INT(F773/B773)+(((F773-B773*INT(F773/B773)))/C773)/100)+(1-(B773/C773/100)),(INT(F773/B773)+(((F773-B773*INT(F773/B773)))/C773)/100)))),0,IF(B773=C773,F773/C773,IF((INT(F773/B773)+(((F773-B773*INT(F773/B773)))/C773)/100)&lt;0,(INT(F773/B773)+(((F773-B773*INT(F773/B773)))/C773)/100)+(1-(B773/C773/100)),(INT(F773/B773)+(((F773-B773*INT(F773/B773)))/C773)/100))))</f>
        <v>0</v>
      </c>
      <c r="AR773" s="57">
        <f>IF(ISERROR(IF(B773=C773,G773/C773,(INT(G773/B773)+(((G773-B773*INT(G773/B773)))/C773)/100))),0,(IF(B773=C773,G773/C773,(INT(G773/B773)+(((G773-B773*INT(G773/B773)))/C773)/100))))</f>
        <v>0</v>
      </c>
      <c r="AS773" s="57">
        <f>IF(ISERROR(IF(B773=C773,H773/C773,(INT(H773/B773)+(((H773-B773*INT(H773/B773)))/C773)/100))),0,(IF(B773=C773,H773/C773,(INT(H773/B773)+(((H773-B773*INT(H773/B773)))/C773)/100))))</f>
        <v>0</v>
      </c>
      <c r="AT773" s="57">
        <f>IF(ISERROR(IF(B773=C773,I773/C773,(INT(I773/B773)+(((I773-B773*INT(I773/B773)))/C773)/100))),0,(IF(B773=C773,I773/C773,(INT(I773/B773)+(((I773-B773*INT(I773/B773)))/C773)/100))))</f>
        <v>0</v>
      </c>
      <c r="AU773" s="57">
        <f>IF(ISERROR(IF(B773=C773,J773/C773,(INT(J773/B773)+(((J773-B773*INT(J773/B773)))/C773)/100))),0,(IF(B773=C773,J773/C773,(INT(J773/B773)+(((J773-B773*INT(J773/B773)))/C773)/100))))</f>
        <v>0</v>
      </c>
      <c r="AV773" s="57">
        <f>IF(ISERROR(IF(B773=C773,K773/C773,IF((INT(K773/B773)+(((K773-B773*INT(K773/B773)))/C773)/100)&lt;0,(INT(K773/B773)+(((K773-B773*INT(K773/B773)))/C773)/100)+(1-(B773/C773/100)),(INT(K773/B773)+(((K773-B773*INT(K773/B773)))/C773)/100)))),0,IF(B773=C773,K773/C773,IF((INT(K773/B773)+(((K773-B773*INT(K773/B773)))/C773)/100)&lt;0,(INT(K773/B773)+(((K773-B773*INT(K773/B773)))/C773)/100)+(1-(B773/C773/100)),(INT(K773/B773)+(((K773-B773*INT(K773/B773)))/C773)/100))))</f>
        <v>0</v>
      </c>
      <c r="AW773" s="57">
        <f>IF(ISERROR(IF(B773=C773,L773/C773,(INT(L773/B773)+(((L773-B773*INT(L773/B773)))/C773)/100))),0,(IF(B773=C773,L773/C773,(INT(L773/B773)+(((L773-B773*INT(L773/B773)))/C773)/100))))</f>
        <v>0</v>
      </c>
      <c r="AX773" s="57">
        <f>IF(ISERROR(IF(B773=C773,M773/C773,(INT(M773/B773)+(((M773-B773*INT(M773/B773)))/C773)/100))),0,(IF(B773=C773,M773/C773,(INT(M773/B773)+(((M773-B773*INT(M773/B773)))/C773)/100))))</f>
        <v>0</v>
      </c>
      <c r="AY773" s="57">
        <f>IF(ISERROR(IF(B773=C773,N773/C773,IF((INT(N773/B773)+(((N773-B773*INT(N773/B773)))/C773)/100)&lt;0,(INT(N773/B773)+(((N773-B773*INT(N773/B773)))/C773)/100)+(1-(B773/C773/100)),(INT(N773/B773)+(((N773-B773*INT(N773/B773)))/C773)/100)))),0,IF(B773=C773,N773/C773,IF((INT(N773/B773)+(((N773-B773*INT(N773/B773)))/C773)/100)&lt;0,(INT(N773/B773)+(((N773-B773*INT(N773/B773)))/C773)/100)+(1-(B773/C773/100)),(INT(N773/B773)+(((N773-B773*INT(N773/B773)))/C773)/100))))</f>
        <v>0</v>
      </c>
      <c r="AZ773" s="57">
        <f>IF(ISERROR(IF(B773=C773,O773/C773,(INT(O773/B773)+(((O773-B773*INT(O773/B773)))/C773)/100))),0,(IF(B773=C773,O773/C773,(INT(O773/B773)+(((O773-B773*INT(O773/B773)))/C773)/100))))</f>
        <v>0</v>
      </c>
      <c r="BA773" s="57">
        <f>IF(ISERROR(IF(B773=C773,P773/C773,IF((INT(P773/B773)+(((P773-B773*INT(P773/B773)))/C773)/100)&lt;0,(INT(P773/B773)+(((P773-B773*INT(P773/B773)))/C773)/100)+(1-(B773/C773/100)),(INT(P773/B773)+(((P773-B773*INT(P773/B773)))/C773)/100)))),0,IF(B773=C773,P773/C773,IF((INT(P773/B773)+(((P773-B773*INT(P773/B773)))/C773)/100)&lt;0,(INT(P773/B773)+(((P773-B773*INT(P773/B773)))/C773)/100)+(1-(B773/C773/100)),(INT(P773/B773)+(((P773-B773*INT(P773/B773)))/C773)/100))))</f>
        <v>0</v>
      </c>
      <c r="BB773" s="28">
        <f>R773</f>
        <v>0</v>
      </c>
      <c r="BC773" s="28">
        <f>S773</f>
        <v>0</v>
      </c>
      <c r="BD773" s="28">
        <f>AF773</f>
        <v>209.65947916666667</v>
      </c>
      <c r="BE773" s="28">
        <f>T773</f>
        <v>0</v>
      </c>
      <c r="BG773" s="57">
        <f>IF(ISERROR(IF(B773=C773,V773/C773,(INT(V773/B773)+(((V773-B773*INT(V773/B773)))/C773)/100))),0,(IF(B773=C773,V773/C773,(INT(V773/B773)+(((V773-B773*INT(V773/B773)))/C773)/100))))</f>
        <v>0</v>
      </c>
      <c r="BH773" s="57">
        <f>IF(ISERROR(IF(B773=C773,W773/C773,(INT(W773/B773)+(((W773-B773*INT(W773/B773)))/C773)/100))),0,(IF(B773=C773,W773/C773,(INT(W773/B773)+(((W773-B773*INT(W773/B773)))/C773)/100))))</f>
        <v>0</v>
      </c>
      <c r="BI773" s="57">
        <f>IF(ISERROR(IF(B773=C773,X773/C773,(INT(X773/B773)+(((X773-B773*INT(X773/B773)))/C773)/100))),0,(IF(B773=C773,X773/C773,(INT(X773/B773)+(((X773-B773*INT(X773/B773)))/C773)/100))))</f>
        <v>0</v>
      </c>
      <c r="BJ773" s="57">
        <f>IF(ISERROR(IF(B773=C773,Y773/C773,(INT(Y773/B773)+(((Y773-B773*INT(Y773/B773)))/C773)/100))),0,(IF(B773=C773,Y773/C773,(INT(Y773/B773)+(((Y773-B773*INT(Y773/B773)))/C773)/100))))</f>
        <v>0</v>
      </c>
      <c r="BL773" s="57">
        <f>IF(ISERROR(IF(B773=C773,AA773/C773,(INT(AA773/B773)+(((AA773-B773*INT(AA773/B773)))/C773)/100))),0,(IF(B773=C773,AA773/C773,(INT(AA773/B773)+(((AA773-B773*INT(AA773/B773)))/C773)/100))))</f>
        <v>0</v>
      </c>
      <c r="BM773" s="57">
        <f>IF(ISERROR(IF(B773=C773,AB773/C773,(INT(AB773/B773)+(((AB773-B773*INT(AB773/B773)))/C773)/100))),0,(IF(B773=C773,AB773/C773,(INT(AB773/B773)+(((AB773-B773*INT(AB773/B773)))/C773)/100))))</f>
        <v>0</v>
      </c>
      <c r="BN773" s="57">
        <f>IF(ISERROR(IF(B773=C773,AC773/C773,(INT(AC773/B773)+(((AC773-B773*INT(AC773/B773)))/C773)/100))),0,(IF(B773=C773,AC773/C773,(INT(AC773/B773)+(((AC773-B773*INT(AC773/B773)))/C773)/100))))</f>
        <v>0</v>
      </c>
      <c r="BO773" s="57">
        <f>IF(ISERROR(IF(B773=C773,AD773/C773,(INT(AD773/B773)+(((AD773-B773*INT(AD773/B773)))/C773)/100))),0,(IF(B773=C773,AD773/C773,(INT(AD773/B773)+(((AD773-B773*INT(AD773/B773)))/C773)/100))))</f>
        <v>0</v>
      </c>
      <c r="BQ773" s="155" t="s">
        <v>147</v>
      </c>
    </row>
    <row r="774" spans="1:69" x14ac:dyDescent="0.35">
      <c r="A774" s="134" t="s">
        <v>155</v>
      </c>
      <c r="B774" s="113">
        <v>1</v>
      </c>
      <c r="C774" s="113">
        <v>1</v>
      </c>
      <c r="D774" s="28">
        <f>SUM(AA774:AD774)</f>
        <v>0</v>
      </c>
      <c r="E774" s="113">
        <v>0</v>
      </c>
      <c r="F774" s="113">
        <v>0</v>
      </c>
      <c r="G774" s="28">
        <f>SUM(D774:F774)</f>
        <v>0</v>
      </c>
      <c r="H774" s="125">
        <v>0</v>
      </c>
      <c r="I774" s="113">
        <v>0</v>
      </c>
      <c r="J774" s="125">
        <v>0</v>
      </c>
      <c r="K774" s="113">
        <v>0</v>
      </c>
      <c r="L774" s="113">
        <v>0</v>
      </c>
      <c r="M774" s="113">
        <v>0</v>
      </c>
      <c r="N774" s="28">
        <f>G774-SUM(H774:M774)</f>
        <v>0</v>
      </c>
      <c r="O774" s="28">
        <f>SUM(V774:Y774)</f>
        <v>0</v>
      </c>
      <c r="P774" s="28">
        <f>O774-N774</f>
        <v>0</v>
      </c>
      <c r="Q774" s="61" t="str">
        <f>IF(ISERROR(P774/SUM(H774:L774)),"",P774/SUM(H774:L774))</f>
        <v/>
      </c>
      <c r="R774" s="113">
        <v>200</v>
      </c>
      <c r="S774" s="28">
        <f>IF(ISERROR(P774/C774*R774),0,(P774/C774*R774))</f>
        <v>0</v>
      </c>
      <c r="T774" s="60">
        <f>IF(ISERROR(P774/B774*AF774),0,(P774/B774*AF774))</f>
        <v>0</v>
      </c>
      <c r="V774" s="113">
        <v>0</v>
      </c>
      <c r="W774" s="113">
        <v>0</v>
      </c>
      <c r="X774" s="113">
        <v>0</v>
      </c>
      <c r="Y774" s="113">
        <v>0</v>
      </c>
      <c r="AA774" s="113">
        <v>0</v>
      </c>
      <c r="AB774" s="113">
        <v>0</v>
      </c>
      <c r="AC774" s="113">
        <v>0</v>
      </c>
      <c r="AD774" s="113">
        <v>0</v>
      </c>
      <c r="AF774" s="162">
        <f>1963.65/24</f>
        <v>81.818750000000009</v>
      </c>
      <c r="AG774" s="28">
        <f>G774-O774</f>
        <v>0</v>
      </c>
      <c r="AH774" s="58">
        <f>IF(ISERROR(AG774/B774*AF774),0,(AG774/B774*AF774))</f>
        <v>0</v>
      </c>
      <c r="AI774" s="28">
        <f>SUM(H774:M774)</f>
        <v>0</v>
      </c>
      <c r="AJ774" s="28">
        <f>IF(ISERROR(AI774/B774*AF774),0,(AI774/B774*AF774))</f>
        <v>0</v>
      </c>
      <c r="AK774" s="58">
        <f>IF(ISERROR(O774/B774*AF774),0,(O774/B774*AF774))</f>
        <v>0</v>
      </c>
      <c r="AL774" s="28">
        <f>IF(ISERROR(H774/B774*AF774),0,(H774/B774*AF774))</f>
        <v>0</v>
      </c>
      <c r="AN774" s="51" t="str">
        <f>A774</f>
        <v xml:space="preserve">K F Ultra Max </v>
      </c>
      <c r="AO774" s="57">
        <f>IF(ISERROR(IF(B774=C774,D774/C774,(INT(D774/B774)+(((D774-B774*INT(D774/B774)))/C774)/100))),0,(IF(B774=C774,D774/C774,(INT(D774/B774)+(((D774-B774*INT(D774/B774)))/C774)/100))))</f>
        <v>0</v>
      </c>
      <c r="AP774" s="57">
        <f>IF(ISERROR(IF(B774=C774,E774/C774,(INT(E774/B774)+(((E774-B774*INT(E774/B774)))/C774)/100))),0,(IF(B774=C774,E774/C774,(INT(E774/B774)+(((E774-B774*INT(E774/B774)))/C774)/100))))</f>
        <v>0</v>
      </c>
      <c r="AQ774" s="57">
        <f>IF(ISERROR(IF(B774=C774,F774/C774,IF((INT(F774/B774)+(((F774-B774*INT(F774/B774)))/C774)/100)&lt;0,(INT(F774/B774)+(((F774-B774*INT(F774/B774)))/C774)/100)+(1-(B774/C774/100)),(INT(F774/B774)+(((F774-B774*INT(F774/B774)))/C774)/100)))),0,IF(B774=C774,F774/C774,IF((INT(F774/B774)+(((F774-B774*INT(F774/B774)))/C774)/100)&lt;0,(INT(F774/B774)+(((F774-B774*INT(F774/B774)))/C774)/100)+(1-(B774/C774/100)),(INT(F774/B774)+(((F774-B774*INT(F774/B774)))/C774)/100))))</f>
        <v>0</v>
      </c>
      <c r="AR774" s="57">
        <f>IF(ISERROR(IF(B774=C774,G774/C774,(INT(G774/B774)+(((G774-B774*INT(G774/B774)))/C774)/100))),0,(IF(B774=C774,G774/C774,(INT(G774/B774)+(((G774-B774*INT(G774/B774)))/C774)/100))))</f>
        <v>0</v>
      </c>
      <c r="AS774" s="57">
        <f>IF(ISERROR(IF(B774=C774,H774/C774,(INT(H774/B774)+(((H774-B774*INT(H774/B774)))/C774)/100))),0,(IF(B774=C774,H774/C774,(INT(H774/B774)+(((H774-B774*INT(H774/B774)))/C774)/100))))</f>
        <v>0</v>
      </c>
      <c r="AT774" s="57">
        <f>IF(ISERROR(IF(B774=C774,I774/C774,(INT(I774/B774)+(((I774-B774*INT(I774/B774)))/C774)/100))),0,(IF(B774=C774,I774/C774,(INT(I774/B774)+(((I774-B774*INT(I774/B774)))/C774)/100))))</f>
        <v>0</v>
      </c>
      <c r="AU774" s="57">
        <f>IF(ISERROR(IF(B774=C774,J774/C774,(INT(J774/B774)+(((J774-B774*INT(J774/B774)))/C774)/100))),0,(IF(B774=C774,J774/C774,(INT(J774/B774)+(((J774-B774*INT(J774/B774)))/C774)/100))))</f>
        <v>0</v>
      </c>
      <c r="AV774" s="57">
        <f>IF(ISERROR(IF(B774=C774,K774/C774,IF((INT(K774/B774)+(((K774-B774*INT(K774/B774)))/C774)/100)&lt;0,(INT(K774/B774)+(((K774-B774*INT(K774/B774)))/C774)/100)+(1-(B774/C774/100)),(INT(K774/B774)+(((K774-B774*INT(K774/B774)))/C774)/100)))),0,IF(B774=C774,K774/C774,IF((INT(K774/B774)+(((K774-B774*INT(K774/B774)))/C774)/100)&lt;0,(INT(K774/B774)+(((K774-B774*INT(K774/B774)))/C774)/100)+(1-(B774/C774/100)),(INT(K774/B774)+(((K774-B774*INT(K774/B774)))/C774)/100))))</f>
        <v>0</v>
      </c>
      <c r="AW774" s="57">
        <f>IF(ISERROR(IF(B774=C774,L774/C774,(INT(L774/B774)+(((L774-B774*INT(L774/B774)))/C774)/100))),0,(IF(B774=C774,L774/C774,(INT(L774/B774)+(((L774-B774*INT(L774/B774)))/C774)/100))))</f>
        <v>0</v>
      </c>
      <c r="AX774" s="57">
        <f>IF(ISERROR(IF(B774=C774,M774/C774,(INT(M774/B774)+(((M774-B774*INT(M774/B774)))/C774)/100))),0,(IF(B774=C774,M774/C774,(INT(M774/B774)+(((M774-B774*INT(M774/B774)))/C774)/100))))</f>
        <v>0</v>
      </c>
      <c r="AY774" s="57">
        <f>IF(ISERROR(IF(B774=C774,N774/C774,IF((INT(N774/B774)+(((N774-B774*INT(N774/B774)))/C774)/100)&lt;0,(INT(N774/B774)+(((N774-B774*INT(N774/B774)))/C774)/100)+(1-(B774/C774/100)),(INT(N774/B774)+(((N774-B774*INT(N774/B774)))/C774)/100)))),0,IF(B774=C774,N774/C774,IF((INT(N774/B774)+(((N774-B774*INT(N774/B774)))/C774)/100)&lt;0,(INT(N774/B774)+(((N774-B774*INT(N774/B774)))/C774)/100)+(1-(B774/C774/100)),(INT(N774/B774)+(((N774-B774*INT(N774/B774)))/C774)/100))))</f>
        <v>0</v>
      </c>
      <c r="AZ774" s="57">
        <f>IF(ISERROR(IF(B774=C774,O774/C774,(INT(O774/B774)+(((O774-B774*INT(O774/B774)))/C774)/100))),0,(IF(B774=C774,O774/C774,(INT(O774/B774)+(((O774-B774*INT(O774/B774)))/C774)/100))))</f>
        <v>0</v>
      </c>
      <c r="BA774" s="57">
        <f>IF(ISERROR(IF(B774=C774,P774/C774,IF((INT(P774/B774)+(((P774-B774*INT(P774/B774)))/C774)/100)&lt;0,(INT(P774/B774)+(((P774-B774*INT(P774/B774)))/C774)/100)+(1-(B774/C774/100)),(INT(P774/B774)+(((P774-B774*INT(P774/B774)))/C774)/100)))),0,IF(B774=C774,P774/C774,IF((INT(P774/B774)+(((P774-B774*INT(P774/B774)))/C774)/100)&lt;0,(INT(P774/B774)+(((P774-B774*INT(P774/B774)))/C774)/100)+(1-(B774/C774/100)),(INT(P774/B774)+(((P774-B774*INT(P774/B774)))/C774)/100))))</f>
        <v>0</v>
      </c>
      <c r="BB774" s="28">
        <f>R774</f>
        <v>200</v>
      </c>
      <c r="BC774" s="28">
        <f>S774</f>
        <v>0</v>
      </c>
      <c r="BD774" s="28">
        <f>AF774</f>
        <v>81.818750000000009</v>
      </c>
      <c r="BE774" s="28">
        <f>T774</f>
        <v>0</v>
      </c>
      <c r="BG774" s="57">
        <f>IF(ISERROR(IF(B774=C774,V774/C774,(INT(V774/B774)+(((V774-B774*INT(V774/B774)))/C774)/100))),0,(IF(B774=C774,V774/C774,(INT(V774/B774)+(((V774-B774*INT(V774/B774)))/C774)/100))))</f>
        <v>0</v>
      </c>
      <c r="BH774" s="57">
        <f>IF(ISERROR(IF(B774=C774,W774/C774,(INT(W774/B774)+(((W774-B774*INT(W774/B774)))/C774)/100))),0,(IF(B774=C774,W774/C774,(INT(W774/B774)+(((W774-B774*INT(W774/B774)))/C774)/100))))</f>
        <v>0</v>
      </c>
      <c r="BI774" s="57">
        <f>IF(ISERROR(IF(B774=C774,X774/C774,(INT(X774/B774)+(((X774-B774*INT(X774/B774)))/C774)/100))),0,(IF(B774=C774,X774/C774,(INT(X774/B774)+(((X774-B774*INT(X774/B774)))/C774)/100))))</f>
        <v>0</v>
      </c>
      <c r="BJ774" s="57">
        <f>IF(ISERROR(IF(B774=C774,Y774/C774,(INT(Y774/B774)+(((Y774-B774*INT(Y774/B774)))/C774)/100))),0,(IF(B774=C774,Y774/C774,(INT(Y774/B774)+(((Y774-B774*INT(Y774/B774)))/C774)/100))))</f>
        <v>0</v>
      </c>
      <c r="BL774" s="57">
        <f>IF(ISERROR(IF(B774=C774,AA774/C774,(INT(AA774/B774)+(((AA774-B774*INT(AA774/B774)))/C774)/100))),0,(IF(B774=C774,AA774/C774,(INT(AA774/B774)+(((AA774-B774*INT(AA774/B774)))/C774)/100))))</f>
        <v>0</v>
      </c>
      <c r="BM774" s="57">
        <f>IF(ISERROR(IF(B774=C774,AB774/C774,(INT(AB774/B774)+(((AB774-B774*INT(AB774/B774)))/C774)/100))),0,(IF(B774=C774,AB774/C774,(INT(AB774/B774)+(((AB774-B774*INT(AB774/B774)))/C774)/100))))</f>
        <v>0</v>
      </c>
      <c r="BN774" s="57">
        <f>IF(ISERROR(IF(B774=C774,AC774/C774,(INT(AC774/B774)+(((AC774-B774*INT(AC774/B774)))/C774)/100))),0,(IF(B774=C774,AC774/C774,(INT(AC774/B774)+(((AC774-B774*INT(AC774/B774)))/C774)/100))))</f>
        <v>0</v>
      </c>
      <c r="BO774" s="57">
        <f>IF(ISERROR(IF(B774=C774,AD774/C774,(INT(AD774/B774)+(((AD774-B774*INT(AD774/B774)))/C774)/100))),0,(IF(B774=C774,AD774/C774,(INT(AD774/B774)+(((AD774-B774*INT(AD774/B774)))/C774)/100))))</f>
        <v>0</v>
      </c>
      <c r="BQ774" s="155" t="s">
        <v>147</v>
      </c>
    </row>
    <row r="775" spans="1:69" x14ac:dyDescent="0.35">
      <c r="A775" s="94" t="s">
        <v>154</v>
      </c>
      <c r="B775" s="113">
        <v>1</v>
      </c>
      <c r="C775" s="113">
        <v>1</v>
      </c>
      <c r="D775" s="28">
        <f>SUM(AA775:AD775)</f>
        <v>0</v>
      </c>
      <c r="E775" s="113">
        <v>0</v>
      </c>
      <c r="F775" s="113">
        <v>0</v>
      </c>
      <c r="G775" s="28">
        <f>SUM(D775:F775)</f>
        <v>0</v>
      </c>
      <c r="H775" s="125">
        <v>0</v>
      </c>
      <c r="I775" s="113">
        <v>0</v>
      </c>
      <c r="J775" s="125">
        <v>0</v>
      </c>
      <c r="K775" s="113">
        <v>0</v>
      </c>
      <c r="L775" s="113">
        <v>0</v>
      </c>
      <c r="M775" s="113">
        <v>0</v>
      </c>
      <c r="N775" s="28">
        <f>G775-SUM(H775:M775)</f>
        <v>0</v>
      </c>
      <c r="O775" s="28">
        <f>SUM(V775:Y775)</f>
        <v>0</v>
      </c>
      <c r="P775" s="28">
        <f>O775-N775</f>
        <v>0</v>
      </c>
      <c r="Q775" s="61" t="str">
        <f>IF(ISERROR(P775/SUM(H775:L775)),"",P775/SUM(H775:L775))</f>
        <v/>
      </c>
      <c r="R775" s="113">
        <v>225</v>
      </c>
      <c r="S775" s="28">
        <f>IF(ISERROR(P775/C775*R775),0,(P775/C775*R775))</f>
        <v>0</v>
      </c>
      <c r="T775" s="60">
        <f>IF(ISERROR(P775/B775*AF775),0,(P775/B775*AF775))</f>
        <v>0</v>
      </c>
      <c r="V775" s="113">
        <v>0</v>
      </c>
      <c r="W775" s="113">
        <v>0</v>
      </c>
      <c r="X775" s="113">
        <v>0</v>
      </c>
      <c r="Y775" s="113">
        <v>0</v>
      </c>
      <c r="AA775" s="113">
        <v>0</v>
      </c>
      <c r="AB775" s="113">
        <v>0</v>
      </c>
      <c r="AC775" s="113">
        <v>0</v>
      </c>
      <c r="AD775" s="113">
        <v>0</v>
      </c>
      <c r="AF775" s="162">
        <f>2836.35/24</f>
        <v>118.18124999999999</v>
      </c>
      <c r="AG775" s="28">
        <f>G775-O775</f>
        <v>0</v>
      </c>
      <c r="AH775" s="58">
        <f>IF(ISERROR(AG775/B775*AF775),0,(AG775/B775*AF775))</f>
        <v>0</v>
      </c>
      <c r="AI775" s="28">
        <f>SUM(H775:M775)</f>
        <v>0</v>
      </c>
      <c r="AJ775" s="28">
        <f>IF(ISERROR(AI775/B775*AF775),0,(AI775/B775*AF775))</f>
        <v>0</v>
      </c>
      <c r="AK775" s="58">
        <f>IF(ISERROR(O775/B775*AF775),0,(O775/B775*AF775))</f>
        <v>0</v>
      </c>
      <c r="AL775" s="28">
        <f>IF(ISERROR(H775/B775*AF775),0,(H775/B775*AF775))</f>
        <v>0</v>
      </c>
      <c r="AN775" s="51" t="str">
        <f>A775</f>
        <v>Bira White</v>
      </c>
      <c r="AO775" s="57">
        <f>IF(ISERROR(IF(B775=C775,D775/C775,(INT(D775/B775)+(((D775-B775*INT(D775/B775)))/C775)/100))),0,(IF(B775=C775,D775/C775,(INT(D775/B775)+(((D775-B775*INT(D775/B775)))/C775)/100))))</f>
        <v>0</v>
      </c>
      <c r="AP775" s="57">
        <f>IF(ISERROR(IF(B775=C775,E775/C775,(INT(E775/B775)+(((E775-B775*INT(E775/B775)))/C775)/100))),0,(IF(B775=C775,E775/C775,(INT(E775/B775)+(((E775-B775*INT(E775/B775)))/C775)/100))))</f>
        <v>0</v>
      </c>
      <c r="AQ775" s="57">
        <f>IF(ISERROR(IF(B775=C775,F775/C775,IF((INT(F775/B775)+(((F775-B775*INT(F775/B775)))/C775)/100)&lt;0,(INT(F775/B775)+(((F775-B775*INT(F775/B775)))/C775)/100)+(1-(B775/C775/100)),(INT(F775/B775)+(((F775-B775*INT(F775/B775)))/C775)/100)))),0,IF(B775=C775,F775/C775,IF((INT(F775/B775)+(((F775-B775*INT(F775/B775)))/C775)/100)&lt;0,(INT(F775/B775)+(((F775-B775*INT(F775/B775)))/C775)/100)+(1-(B775/C775/100)),(INT(F775/B775)+(((F775-B775*INT(F775/B775)))/C775)/100))))</f>
        <v>0</v>
      </c>
      <c r="AR775" s="57">
        <f>IF(ISERROR(IF(B775=C775,G775/C775,(INT(G775/B775)+(((G775-B775*INT(G775/B775)))/C775)/100))),0,(IF(B775=C775,G775/C775,(INT(G775/B775)+(((G775-B775*INT(G775/B775)))/C775)/100))))</f>
        <v>0</v>
      </c>
      <c r="AS775" s="57">
        <f>IF(ISERROR(IF(B775=C775,H775/C775,(INT(H775/B775)+(((H775-B775*INT(H775/B775)))/C775)/100))),0,(IF(B775=C775,H775/C775,(INT(H775/B775)+(((H775-B775*INT(H775/B775)))/C775)/100))))</f>
        <v>0</v>
      </c>
      <c r="AT775" s="57">
        <f>IF(ISERROR(IF(B775=C775,I775/C775,(INT(I775/B775)+(((I775-B775*INT(I775/B775)))/C775)/100))),0,(IF(B775=C775,I775/C775,(INT(I775/B775)+(((I775-B775*INT(I775/B775)))/C775)/100))))</f>
        <v>0</v>
      </c>
      <c r="AU775" s="57">
        <f>IF(ISERROR(IF(B775=C775,J775/C775,(INT(J775/B775)+(((J775-B775*INT(J775/B775)))/C775)/100))),0,(IF(B775=C775,J775/C775,(INT(J775/B775)+(((J775-B775*INT(J775/B775)))/C775)/100))))</f>
        <v>0</v>
      </c>
      <c r="AV775" s="57">
        <f>IF(ISERROR(IF(B775=C775,K775/C775,IF((INT(K775/B775)+(((K775-B775*INT(K775/B775)))/C775)/100)&lt;0,(INT(K775/B775)+(((K775-B775*INT(K775/B775)))/C775)/100)+(1-(B775/C775/100)),(INT(K775/B775)+(((K775-B775*INT(K775/B775)))/C775)/100)))),0,IF(B775=C775,K775/C775,IF((INT(K775/B775)+(((K775-B775*INT(K775/B775)))/C775)/100)&lt;0,(INT(K775/B775)+(((K775-B775*INT(K775/B775)))/C775)/100)+(1-(B775/C775/100)),(INT(K775/B775)+(((K775-B775*INT(K775/B775)))/C775)/100))))</f>
        <v>0</v>
      </c>
      <c r="AW775" s="57">
        <f>IF(ISERROR(IF(B775=C775,L775/C775,(INT(L775/B775)+(((L775-B775*INT(L775/B775)))/C775)/100))),0,(IF(B775=C775,L775/C775,(INT(L775/B775)+(((L775-B775*INT(L775/B775)))/C775)/100))))</f>
        <v>0</v>
      </c>
      <c r="AX775" s="57">
        <f>IF(ISERROR(IF(B775=C775,M775/C775,(INT(M775/B775)+(((M775-B775*INT(M775/B775)))/C775)/100))),0,(IF(B775=C775,M775/C775,(INT(M775/B775)+(((M775-B775*INT(M775/B775)))/C775)/100))))</f>
        <v>0</v>
      </c>
      <c r="AY775" s="57">
        <f>IF(ISERROR(IF(B775=C775,N775/C775,IF((INT(N775/B775)+(((N775-B775*INT(N775/B775)))/C775)/100)&lt;0,(INT(N775/B775)+(((N775-B775*INT(N775/B775)))/C775)/100)+(1-(B775/C775/100)),(INT(N775/B775)+(((N775-B775*INT(N775/B775)))/C775)/100)))),0,IF(B775=C775,N775/C775,IF((INT(N775/B775)+(((N775-B775*INT(N775/B775)))/C775)/100)&lt;0,(INT(N775/B775)+(((N775-B775*INT(N775/B775)))/C775)/100)+(1-(B775/C775/100)),(INT(N775/B775)+(((N775-B775*INT(N775/B775)))/C775)/100))))</f>
        <v>0</v>
      </c>
      <c r="AZ775" s="57">
        <f>IF(ISERROR(IF(B775=C775,O775/C775,(INT(O775/B775)+(((O775-B775*INT(O775/B775)))/C775)/100))),0,(IF(B775=C775,O775/C775,(INT(O775/B775)+(((O775-B775*INT(O775/B775)))/C775)/100))))</f>
        <v>0</v>
      </c>
      <c r="BA775" s="57">
        <f>IF(ISERROR(IF(B775=C775,P775/C775,IF((INT(P775/B775)+(((P775-B775*INT(P775/B775)))/C775)/100)&lt;0,(INT(P775/B775)+(((P775-B775*INT(P775/B775)))/C775)/100)+(1-(B775/C775/100)),(INT(P775/B775)+(((P775-B775*INT(P775/B775)))/C775)/100)))),0,IF(B775=C775,P775/C775,IF((INT(P775/B775)+(((P775-B775*INT(P775/B775)))/C775)/100)&lt;0,(INT(P775/B775)+(((P775-B775*INT(P775/B775)))/C775)/100)+(1-(B775/C775/100)),(INT(P775/B775)+(((P775-B775*INT(P775/B775)))/C775)/100))))</f>
        <v>0</v>
      </c>
      <c r="BB775" s="28">
        <f>R775</f>
        <v>225</v>
      </c>
      <c r="BC775" s="28">
        <f>S775</f>
        <v>0</v>
      </c>
      <c r="BD775" s="28">
        <f>AF775</f>
        <v>118.18124999999999</v>
      </c>
      <c r="BE775" s="28">
        <f>T775</f>
        <v>0</v>
      </c>
      <c r="BG775" s="57">
        <f>IF(ISERROR(IF(B775=C775,V775/C775,(INT(V775/B775)+(((V775-B775*INT(V775/B775)))/C775)/100))),0,(IF(B775=C775,V775/C775,(INT(V775/B775)+(((V775-B775*INT(V775/B775)))/C775)/100))))</f>
        <v>0</v>
      </c>
      <c r="BH775" s="57">
        <f>IF(ISERROR(IF(B775=C775,W775/C775,(INT(W775/B775)+(((W775-B775*INT(W775/B775)))/C775)/100))),0,(IF(B775=C775,W775/C775,(INT(W775/B775)+(((W775-B775*INT(W775/B775)))/C775)/100))))</f>
        <v>0</v>
      </c>
      <c r="BI775" s="57">
        <f>IF(ISERROR(IF(B775=C775,X775/C775,(INT(X775/B775)+(((X775-B775*INT(X775/B775)))/C775)/100))),0,(IF(B775=C775,X775/C775,(INT(X775/B775)+(((X775-B775*INT(X775/B775)))/C775)/100))))</f>
        <v>0</v>
      </c>
      <c r="BJ775" s="57">
        <f>IF(ISERROR(IF(B775=C775,Y775/C775,(INT(Y775/B775)+(((Y775-B775*INT(Y775/B775)))/C775)/100))),0,(IF(B775=C775,Y775/C775,(INT(Y775/B775)+(((Y775-B775*INT(Y775/B775)))/C775)/100))))</f>
        <v>0</v>
      </c>
      <c r="BL775" s="57">
        <f>IF(ISERROR(IF(B775=C775,AA775/C775,(INT(AA775/B775)+(((AA775-B775*INT(AA775/B775)))/C775)/100))),0,(IF(B775=C775,AA775/C775,(INT(AA775/B775)+(((AA775-B775*INT(AA775/B775)))/C775)/100))))</f>
        <v>0</v>
      </c>
      <c r="BM775" s="57">
        <f>IF(ISERROR(IF(B775=C775,AB775/C775,(INT(AB775/B775)+(((AB775-B775*INT(AB775/B775)))/C775)/100))),0,(IF(B775=C775,AB775/C775,(INT(AB775/B775)+(((AB775-B775*INT(AB775/B775)))/C775)/100))))</f>
        <v>0</v>
      </c>
      <c r="BN775" s="57">
        <f>IF(ISERROR(IF(B775=C775,AC775/C775,(INT(AC775/B775)+(((AC775-B775*INT(AC775/B775)))/C775)/100))),0,(IF(B775=C775,AC775/C775,(INT(AC775/B775)+(((AC775-B775*INT(AC775/B775)))/C775)/100))))</f>
        <v>0</v>
      </c>
      <c r="BO775" s="57">
        <f>IF(ISERROR(IF(B775=C775,AD775/C775,(INT(AD775/B775)+(((AD775-B775*INT(AD775/B775)))/C775)/100))),0,(IF(B775=C775,AD775/C775,(INT(AD775/B775)+(((AD775-B775*INT(AD775/B775)))/C775)/100))))</f>
        <v>0</v>
      </c>
      <c r="BQ775" s="155" t="s">
        <v>147</v>
      </c>
    </row>
    <row r="776" spans="1:69" x14ac:dyDescent="0.35">
      <c r="A776" s="94" t="s">
        <v>153</v>
      </c>
      <c r="B776" s="113">
        <v>1</v>
      </c>
      <c r="C776" s="113">
        <v>1</v>
      </c>
      <c r="D776" s="28">
        <f>SUM(AA776:AD776)</f>
        <v>1</v>
      </c>
      <c r="E776" s="113">
        <v>0</v>
      </c>
      <c r="F776" s="113">
        <v>0</v>
      </c>
      <c r="G776" s="28">
        <f>SUM(D776:F776)</f>
        <v>1</v>
      </c>
      <c r="H776" s="125">
        <v>0</v>
      </c>
      <c r="I776" s="113">
        <v>0</v>
      </c>
      <c r="J776" s="125">
        <v>0</v>
      </c>
      <c r="K776" s="113">
        <v>0</v>
      </c>
      <c r="L776" s="113">
        <v>0</v>
      </c>
      <c r="M776" s="113">
        <v>0</v>
      </c>
      <c r="N776" s="28">
        <f>G776-SUM(H776:M776)</f>
        <v>1</v>
      </c>
      <c r="O776" s="28">
        <f>SUM(V776:Y776)</f>
        <v>1</v>
      </c>
      <c r="P776" s="28">
        <f>O776-N776</f>
        <v>0</v>
      </c>
      <c r="Q776" s="61" t="str">
        <f>IF(ISERROR(P776/SUM(H776:L776)),"",P776/SUM(H776:L776))</f>
        <v/>
      </c>
      <c r="R776" s="113">
        <v>225</v>
      </c>
      <c r="S776" s="28">
        <f>IF(ISERROR(P776/C776*R776),0,(P776/C776*R776))</f>
        <v>0</v>
      </c>
      <c r="T776" s="60">
        <f>IF(ISERROR(P776/B776*AF776),0,(P776/B776*AF776))</f>
        <v>0</v>
      </c>
      <c r="V776" s="113">
        <v>1</v>
      </c>
      <c r="W776" s="113">
        <v>0</v>
      </c>
      <c r="X776" s="113">
        <v>0</v>
      </c>
      <c r="Y776" s="113">
        <v>0</v>
      </c>
      <c r="AA776" s="113">
        <v>1</v>
      </c>
      <c r="AB776" s="113">
        <v>0</v>
      </c>
      <c r="AC776" s="113">
        <v>0</v>
      </c>
      <c r="AD776" s="113">
        <v>0</v>
      </c>
      <c r="AF776" s="162">
        <f>100</f>
        <v>100</v>
      </c>
      <c r="AG776" s="28">
        <f>G776-O776</f>
        <v>0</v>
      </c>
      <c r="AH776" s="58">
        <f>IF(ISERROR(AG776/B776*AF776),0,(AG776/B776*AF776))</f>
        <v>0</v>
      </c>
      <c r="AI776" s="28">
        <f>SUM(H776:M776)</f>
        <v>0</v>
      </c>
      <c r="AJ776" s="28">
        <f>IF(ISERROR(AI776/B776*AF776),0,(AI776/B776*AF776))</f>
        <v>0</v>
      </c>
      <c r="AK776" s="58">
        <f>IF(ISERROR(O776/B776*AF776),0,(O776/B776*AF776))</f>
        <v>100</v>
      </c>
      <c r="AL776" s="28">
        <f>IF(ISERROR(H776/B776*AF776),0,(H776/B776*AF776))</f>
        <v>0</v>
      </c>
      <c r="AN776" s="51" t="str">
        <f>A776</f>
        <v>Bira Blond</v>
      </c>
      <c r="AO776" s="57">
        <f>IF(ISERROR(IF(B776=C776,D776/C776,(INT(D776/B776)+(((D776-B776*INT(D776/B776)))/C776)/100))),0,(IF(B776=C776,D776/C776,(INT(D776/B776)+(((D776-B776*INT(D776/B776)))/C776)/100))))</f>
        <v>1</v>
      </c>
      <c r="AP776" s="57">
        <f>IF(ISERROR(IF(B776=C776,E776/C776,(INT(E776/B776)+(((E776-B776*INT(E776/B776)))/C776)/100))),0,(IF(B776=C776,E776/C776,(INT(E776/B776)+(((E776-B776*INT(E776/B776)))/C776)/100))))</f>
        <v>0</v>
      </c>
      <c r="AQ776" s="57">
        <f>IF(ISERROR(IF(B776=C776,F776/C776,IF((INT(F776/B776)+(((F776-B776*INT(F776/B776)))/C776)/100)&lt;0,(INT(F776/B776)+(((F776-B776*INT(F776/B776)))/C776)/100)+(1-(B776/C776/100)),(INT(F776/B776)+(((F776-B776*INT(F776/B776)))/C776)/100)))),0,IF(B776=C776,F776/C776,IF((INT(F776/B776)+(((F776-B776*INT(F776/B776)))/C776)/100)&lt;0,(INT(F776/B776)+(((F776-B776*INT(F776/B776)))/C776)/100)+(1-(B776/C776/100)),(INT(F776/B776)+(((F776-B776*INT(F776/B776)))/C776)/100))))</f>
        <v>0</v>
      </c>
      <c r="AR776" s="57">
        <f>IF(ISERROR(IF(B776=C776,G776/C776,(INT(G776/B776)+(((G776-B776*INT(G776/B776)))/C776)/100))),0,(IF(B776=C776,G776/C776,(INT(G776/B776)+(((G776-B776*INT(G776/B776)))/C776)/100))))</f>
        <v>1</v>
      </c>
      <c r="AS776" s="57">
        <f>IF(ISERROR(IF(B776=C776,H776/C776,(INT(H776/B776)+(((H776-B776*INT(H776/B776)))/C776)/100))),0,(IF(B776=C776,H776/C776,(INT(H776/B776)+(((H776-B776*INT(H776/B776)))/C776)/100))))</f>
        <v>0</v>
      </c>
      <c r="AT776" s="57">
        <f>IF(ISERROR(IF(B776=C776,I776/C776,(INT(I776/B776)+(((I776-B776*INT(I776/B776)))/C776)/100))),0,(IF(B776=C776,I776/C776,(INT(I776/B776)+(((I776-B776*INT(I776/B776)))/C776)/100))))</f>
        <v>0</v>
      </c>
      <c r="AU776" s="57">
        <f>IF(ISERROR(IF(B776=C776,J776/C776,(INT(J776/B776)+(((J776-B776*INT(J776/B776)))/C776)/100))),0,(IF(B776=C776,J776/C776,(INT(J776/B776)+(((J776-B776*INT(J776/B776)))/C776)/100))))</f>
        <v>0</v>
      </c>
      <c r="AV776" s="57">
        <f>IF(ISERROR(IF(B776=C776,K776/C776,IF((INT(K776/B776)+(((K776-B776*INT(K776/B776)))/C776)/100)&lt;0,(INT(K776/B776)+(((K776-B776*INT(K776/B776)))/C776)/100)+(1-(B776/C776/100)),(INT(K776/B776)+(((K776-B776*INT(K776/B776)))/C776)/100)))),0,IF(B776=C776,K776/C776,IF((INT(K776/B776)+(((K776-B776*INT(K776/B776)))/C776)/100)&lt;0,(INT(K776/B776)+(((K776-B776*INT(K776/B776)))/C776)/100)+(1-(B776/C776/100)),(INT(K776/B776)+(((K776-B776*INT(K776/B776)))/C776)/100))))</f>
        <v>0</v>
      </c>
      <c r="AW776" s="57">
        <f>IF(ISERROR(IF(B776=C776,L776/C776,(INT(L776/B776)+(((L776-B776*INT(L776/B776)))/C776)/100))),0,(IF(B776=C776,L776/C776,(INT(L776/B776)+(((L776-B776*INT(L776/B776)))/C776)/100))))</f>
        <v>0</v>
      </c>
      <c r="AX776" s="57">
        <f>IF(ISERROR(IF(B776=C776,M776/C776,(INT(M776/B776)+(((M776-B776*INT(M776/B776)))/C776)/100))),0,(IF(B776=C776,M776/C776,(INT(M776/B776)+(((M776-B776*INT(M776/B776)))/C776)/100))))</f>
        <v>0</v>
      </c>
      <c r="AY776" s="57">
        <f>IF(ISERROR(IF(B776=C776,N776/C776,IF((INT(N776/B776)+(((N776-B776*INT(N776/B776)))/C776)/100)&lt;0,(INT(N776/B776)+(((N776-B776*INT(N776/B776)))/C776)/100)+(1-(B776/C776/100)),(INT(N776/B776)+(((N776-B776*INT(N776/B776)))/C776)/100)))),0,IF(B776=C776,N776/C776,IF((INT(N776/B776)+(((N776-B776*INT(N776/B776)))/C776)/100)&lt;0,(INT(N776/B776)+(((N776-B776*INT(N776/B776)))/C776)/100)+(1-(B776/C776/100)),(INT(N776/B776)+(((N776-B776*INT(N776/B776)))/C776)/100))))</f>
        <v>1</v>
      </c>
      <c r="AZ776" s="57">
        <f>IF(ISERROR(IF(B776=C776,O776/C776,(INT(O776/B776)+(((O776-B776*INT(O776/B776)))/C776)/100))),0,(IF(B776=C776,O776/C776,(INT(O776/B776)+(((O776-B776*INT(O776/B776)))/C776)/100))))</f>
        <v>1</v>
      </c>
      <c r="BA776" s="57">
        <f>IF(ISERROR(IF(B776=C776,P776/C776,IF((INT(P776/B776)+(((P776-B776*INT(P776/B776)))/C776)/100)&lt;0,(INT(P776/B776)+(((P776-B776*INT(P776/B776)))/C776)/100)+(1-(B776/C776/100)),(INT(P776/B776)+(((P776-B776*INT(P776/B776)))/C776)/100)))),0,IF(B776=C776,P776/C776,IF((INT(P776/B776)+(((P776-B776*INT(P776/B776)))/C776)/100)&lt;0,(INT(P776/B776)+(((P776-B776*INT(P776/B776)))/C776)/100)+(1-(B776/C776/100)),(INT(P776/B776)+(((P776-B776*INT(P776/B776)))/C776)/100))))</f>
        <v>0</v>
      </c>
      <c r="BB776" s="28">
        <f>R776</f>
        <v>225</v>
      </c>
      <c r="BC776" s="28">
        <f>S776</f>
        <v>0</v>
      </c>
      <c r="BD776" s="28">
        <f>AF776</f>
        <v>100</v>
      </c>
      <c r="BE776" s="28">
        <f>T776</f>
        <v>0</v>
      </c>
      <c r="BG776" s="57">
        <f>IF(ISERROR(IF(B776=C776,V776/C776,(INT(V776/B776)+(((V776-B776*INT(V776/B776)))/C776)/100))),0,(IF(B776=C776,V776/C776,(INT(V776/B776)+(((V776-B776*INT(V776/B776)))/C776)/100))))</f>
        <v>1</v>
      </c>
      <c r="BH776" s="57">
        <f>IF(ISERROR(IF(B776=C776,W776/C776,(INT(W776/B776)+(((W776-B776*INT(W776/B776)))/C776)/100))),0,(IF(B776=C776,W776/C776,(INT(W776/B776)+(((W776-B776*INT(W776/B776)))/C776)/100))))</f>
        <v>0</v>
      </c>
      <c r="BI776" s="57">
        <f>IF(ISERROR(IF(B776=C776,X776/C776,(INT(X776/B776)+(((X776-B776*INT(X776/B776)))/C776)/100))),0,(IF(B776=C776,X776/C776,(INT(X776/B776)+(((X776-B776*INT(X776/B776)))/C776)/100))))</f>
        <v>0</v>
      </c>
      <c r="BJ776" s="57">
        <f>IF(ISERROR(IF(B776=C776,Y776/C776,(INT(Y776/B776)+(((Y776-B776*INT(Y776/B776)))/C776)/100))),0,(IF(B776=C776,Y776/C776,(INT(Y776/B776)+(((Y776-B776*INT(Y776/B776)))/C776)/100))))</f>
        <v>0</v>
      </c>
      <c r="BL776" s="57">
        <f>IF(ISERROR(IF(B776=C776,AA776/C776,(INT(AA776/B776)+(((AA776-B776*INT(AA776/B776)))/C776)/100))),0,(IF(B776=C776,AA776/C776,(INT(AA776/B776)+(((AA776-B776*INT(AA776/B776)))/C776)/100))))</f>
        <v>1</v>
      </c>
      <c r="BM776" s="57">
        <f>IF(ISERROR(IF(B776=C776,AB776/C776,(INT(AB776/B776)+(((AB776-B776*INT(AB776/B776)))/C776)/100))),0,(IF(B776=C776,AB776/C776,(INT(AB776/B776)+(((AB776-B776*INT(AB776/B776)))/C776)/100))))</f>
        <v>0</v>
      </c>
      <c r="BN776" s="57">
        <f>IF(ISERROR(IF(B776=C776,AC776/C776,(INT(AC776/B776)+(((AC776-B776*INT(AC776/B776)))/C776)/100))),0,(IF(B776=C776,AC776/C776,(INT(AC776/B776)+(((AC776-B776*INT(AC776/B776)))/C776)/100))))</f>
        <v>0</v>
      </c>
      <c r="BO776" s="57">
        <f>IF(ISERROR(IF(B776=C776,AD776/C776,(INT(AD776/B776)+(((AD776-B776*INT(AD776/B776)))/C776)/100))),0,(IF(B776=C776,AD776/C776,(INT(AD776/B776)+(((AD776-B776*INT(AD776/B776)))/C776)/100))))</f>
        <v>0</v>
      </c>
      <c r="BQ776" s="155" t="s">
        <v>147</v>
      </c>
    </row>
    <row r="777" spans="1:69" x14ac:dyDescent="0.35">
      <c r="A777" s="94" t="s">
        <v>152</v>
      </c>
      <c r="B777" s="113">
        <v>1</v>
      </c>
      <c r="C777" s="113">
        <v>1</v>
      </c>
      <c r="D777" s="28">
        <f>SUM(AA777:AD777)</f>
        <v>5</v>
      </c>
      <c r="E777" s="113">
        <v>0</v>
      </c>
      <c r="F777" s="113">
        <v>0</v>
      </c>
      <c r="G777" s="28">
        <f>SUM(D777:F777)</f>
        <v>5</v>
      </c>
      <c r="H777" s="125">
        <v>0</v>
      </c>
      <c r="I777" s="113">
        <v>0</v>
      </c>
      <c r="J777" s="125">
        <v>0</v>
      </c>
      <c r="K777" s="113">
        <v>0</v>
      </c>
      <c r="L777" s="113">
        <v>0</v>
      </c>
      <c r="M777" s="113">
        <v>0</v>
      </c>
      <c r="N777" s="28">
        <f>G777-SUM(H777:M777)</f>
        <v>5</v>
      </c>
      <c r="O777" s="28">
        <f>SUM(V777:Y777)</f>
        <v>5</v>
      </c>
      <c r="P777" s="28">
        <f>O777-N777</f>
        <v>0</v>
      </c>
      <c r="Q777" s="61" t="str">
        <f>IF(ISERROR(P777/SUM(H777:L777)),"",P777/SUM(H777:L777))</f>
        <v/>
      </c>
      <c r="R777" s="113">
        <v>400</v>
      </c>
      <c r="S777" s="28">
        <f>IF(ISERROR(P777/C777*R777),0,(P777/C777*R777))</f>
        <v>0</v>
      </c>
      <c r="T777" s="60">
        <f>IF(ISERROR(P777/B777*AF777),0,(P777/B777*AF777))</f>
        <v>0</v>
      </c>
      <c r="V777" s="113">
        <v>5</v>
      </c>
      <c r="W777" s="113">
        <v>0</v>
      </c>
      <c r="X777" s="113">
        <v>0</v>
      </c>
      <c r="Y777" s="113">
        <v>0</v>
      </c>
      <c r="AA777" s="113">
        <v>5</v>
      </c>
      <c r="AB777" s="113">
        <v>0</v>
      </c>
      <c r="AC777" s="113">
        <v>0</v>
      </c>
      <c r="AD777" s="113">
        <v>0</v>
      </c>
      <c r="AF777" s="155">
        <v>271.80208333333331</v>
      </c>
      <c r="AG777" s="28">
        <f>G777-O777</f>
        <v>0</v>
      </c>
      <c r="AH777" s="58">
        <f>IF(ISERROR(AG777/B777*AF777),0,(AG777/B777*AF777))</f>
        <v>0</v>
      </c>
      <c r="AI777" s="28">
        <f>SUM(H777:M777)</f>
        <v>0</v>
      </c>
      <c r="AJ777" s="28">
        <f>IF(ISERROR(AI777/B777*AF777),0,(AI777/B777*AF777))</f>
        <v>0</v>
      </c>
      <c r="AK777" s="58">
        <f>IF(ISERROR(O777/B777*AF777),0,(O777/B777*AF777))</f>
        <v>1359.0104166666665</v>
      </c>
      <c r="AL777" s="28">
        <f>IF(ISERROR(H777/B777*AF777),0,(H777/B777*AF777))</f>
        <v>0</v>
      </c>
      <c r="AN777" s="51" t="str">
        <f>A777</f>
        <v>Amestel White</v>
      </c>
      <c r="AO777" s="57">
        <f>IF(ISERROR(IF(B777=C777,D777/C777,(INT(D777/B777)+(((D777-B777*INT(D777/B777)))/C777)/100))),0,(IF(B777=C777,D777/C777,(INT(D777/B777)+(((D777-B777*INT(D777/B777)))/C777)/100))))</f>
        <v>5</v>
      </c>
      <c r="AP777" s="57">
        <f>IF(ISERROR(IF(B777=C777,E777/C777,(INT(E777/B777)+(((E777-B777*INT(E777/B777)))/C777)/100))),0,(IF(B777=C777,E777/C777,(INT(E777/B777)+(((E777-B777*INT(E777/B777)))/C777)/100))))</f>
        <v>0</v>
      </c>
      <c r="AQ777" s="57">
        <f>IF(ISERROR(IF(B777=C777,F777/C777,IF((INT(F777/B777)+(((F777-B777*INT(F777/B777)))/C777)/100)&lt;0,(INT(F777/B777)+(((F777-B777*INT(F777/B777)))/C777)/100)+(1-(B777/C777/100)),(INT(F777/B777)+(((F777-B777*INT(F777/B777)))/C777)/100)))),0,IF(B777=C777,F777/C777,IF((INT(F777/B777)+(((F777-B777*INT(F777/B777)))/C777)/100)&lt;0,(INT(F777/B777)+(((F777-B777*INT(F777/B777)))/C777)/100)+(1-(B777/C777/100)),(INT(F777/B777)+(((F777-B777*INT(F777/B777)))/C777)/100))))</f>
        <v>0</v>
      </c>
      <c r="AR777" s="57">
        <f>IF(ISERROR(IF(B777=C777,G777/C777,(INT(G777/B777)+(((G777-B777*INT(G777/B777)))/C777)/100))),0,(IF(B777=C777,G777/C777,(INT(G777/B777)+(((G777-B777*INT(G777/B777)))/C777)/100))))</f>
        <v>5</v>
      </c>
      <c r="AS777" s="57">
        <f>IF(ISERROR(IF(B777=C777,H777/C777,(INT(H777/B777)+(((H777-B777*INT(H777/B777)))/C777)/100))),0,(IF(B777=C777,H777/C777,(INT(H777/B777)+(((H777-B777*INT(H777/B777)))/C777)/100))))</f>
        <v>0</v>
      </c>
      <c r="AT777" s="57">
        <f>IF(ISERROR(IF(B777=C777,I777/C777,(INT(I777/B777)+(((I777-B777*INT(I777/B777)))/C777)/100))),0,(IF(B777=C777,I777/C777,(INT(I777/B777)+(((I777-B777*INT(I777/B777)))/C777)/100))))</f>
        <v>0</v>
      </c>
      <c r="AU777" s="57">
        <f>IF(ISERROR(IF(B777=C777,J777/C777,(INT(J777/B777)+(((J777-B777*INT(J777/B777)))/C777)/100))),0,(IF(B777=C777,J777/C777,(INT(J777/B777)+(((J777-B777*INT(J777/B777)))/C777)/100))))</f>
        <v>0</v>
      </c>
      <c r="AV777" s="57">
        <f>IF(ISERROR(IF(B777=C777,K777/C777,IF((INT(K777/B777)+(((K777-B777*INT(K777/B777)))/C777)/100)&lt;0,(INT(K777/B777)+(((K777-B777*INT(K777/B777)))/C777)/100)+(1-(B777/C777/100)),(INT(K777/B777)+(((K777-B777*INT(K777/B777)))/C777)/100)))),0,IF(B777=C777,K777/C777,IF((INT(K777/B777)+(((K777-B777*INT(K777/B777)))/C777)/100)&lt;0,(INT(K777/B777)+(((K777-B777*INT(K777/B777)))/C777)/100)+(1-(B777/C777/100)),(INT(K777/B777)+(((K777-B777*INT(K777/B777)))/C777)/100))))</f>
        <v>0</v>
      </c>
      <c r="AW777" s="57">
        <f>IF(ISERROR(IF(B777=C777,L777/C777,(INT(L777/B777)+(((L777-B777*INT(L777/B777)))/C777)/100))),0,(IF(B777=C777,L777/C777,(INT(L777/B777)+(((L777-B777*INT(L777/B777)))/C777)/100))))</f>
        <v>0</v>
      </c>
      <c r="AX777" s="57">
        <f>IF(ISERROR(IF(B777=C777,M777/C777,(INT(M777/B777)+(((M777-B777*INT(M777/B777)))/C777)/100))),0,(IF(B777=C777,M777/C777,(INT(M777/B777)+(((M777-B777*INT(M777/B777)))/C777)/100))))</f>
        <v>0</v>
      </c>
      <c r="AY777" s="57">
        <f>IF(ISERROR(IF(B777=C777,N777/C777,IF((INT(N777/B777)+(((N777-B777*INT(N777/B777)))/C777)/100)&lt;0,(INT(N777/B777)+(((N777-B777*INT(N777/B777)))/C777)/100)+(1-(B777/C777/100)),(INT(N777/B777)+(((N777-B777*INT(N777/B777)))/C777)/100)))),0,IF(B777=C777,N777/C777,IF((INT(N777/B777)+(((N777-B777*INT(N777/B777)))/C777)/100)&lt;0,(INT(N777/B777)+(((N777-B777*INT(N777/B777)))/C777)/100)+(1-(B777/C777/100)),(INT(N777/B777)+(((N777-B777*INT(N777/B777)))/C777)/100))))</f>
        <v>5</v>
      </c>
      <c r="AZ777" s="57">
        <f>IF(ISERROR(IF(B777=C777,O777/C777,(INT(O777/B777)+(((O777-B777*INT(O777/B777)))/C777)/100))),0,(IF(B777=C777,O777/C777,(INT(O777/B777)+(((O777-B777*INT(O777/B777)))/C777)/100))))</f>
        <v>5</v>
      </c>
      <c r="BA777" s="57">
        <f>IF(ISERROR(IF(B777=C777,P777/C777,IF((INT(P777/B777)+(((P777-B777*INT(P777/B777)))/C777)/100)&lt;0,(INT(P777/B777)+(((P777-B777*INT(P777/B777)))/C777)/100)+(1-(B777/C777/100)),(INT(P777/B777)+(((P777-B777*INT(P777/B777)))/C777)/100)))),0,IF(B777=C777,P777/C777,IF((INT(P777/B777)+(((P777-B777*INT(P777/B777)))/C777)/100)&lt;0,(INT(P777/B777)+(((P777-B777*INT(P777/B777)))/C777)/100)+(1-(B777/C777/100)),(INT(P777/B777)+(((P777-B777*INT(P777/B777)))/C777)/100))))</f>
        <v>0</v>
      </c>
      <c r="BB777" s="28">
        <f>R777</f>
        <v>400</v>
      </c>
      <c r="BC777" s="28">
        <f>S777</f>
        <v>0</v>
      </c>
      <c r="BD777" s="28">
        <f>AF777</f>
        <v>271.80208333333331</v>
      </c>
      <c r="BE777" s="28">
        <f>T777</f>
        <v>0</v>
      </c>
      <c r="BG777" s="57">
        <f>IF(ISERROR(IF(B777=C777,V777/C777,(INT(V777/B777)+(((V777-B777*INT(V777/B777)))/C777)/100))),0,(IF(B777=C777,V777/C777,(INT(V777/B777)+(((V777-B777*INT(V777/B777)))/C777)/100))))</f>
        <v>5</v>
      </c>
      <c r="BH777" s="57">
        <f>IF(ISERROR(IF(B777=C777,W777/C777,(INT(W777/B777)+(((W777-B777*INT(W777/B777)))/C777)/100))),0,(IF(B777=C777,W777/C777,(INT(W777/B777)+(((W777-B777*INT(W777/B777)))/C777)/100))))</f>
        <v>0</v>
      </c>
      <c r="BI777" s="57">
        <f>IF(ISERROR(IF(B777=C777,X777/C777,(INT(X777/B777)+(((X777-B777*INT(X777/B777)))/C777)/100))),0,(IF(B777=C777,X777/C777,(INT(X777/B777)+(((X777-B777*INT(X777/B777)))/C777)/100))))</f>
        <v>0</v>
      </c>
      <c r="BJ777" s="57">
        <f>IF(ISERROR(IF(B777=C777,Y777/C777,(INT(Y777/B777)+(((Y777-B777*INT(Y777/B777)))/C777)/100))),0,(IF(B777=C777,Y777/C777,(INT(Y777/B777)+(((Y777-B777*INT(Y777/B777)))/C777)/100))))</f>
        <v>0</v>
      </c>
      <c r="BL777" s="57">
        <f>IF(ISERROR(IF(B777=C777,AA777/C777,(INT(AA777/B777)+(((AA777-B777*INT(AA777/B777)))/C777)/100))),0,(IF(B777=C777,AA777/C777,(INT(AA777/B777)+(((AA777-B777*INT(AA777/B777)))/C777)/100))))</f>
        <v>5</v>
      </c>
      <c r="BM777" s="57">
        <f>IF(ISERROR(IF(B777=C777,AB777/C777,(INT(AB777/B777)+(((AB777-B777*INT(AB777/B777)))/C777)/100))),0,(IF(B777=C777,AB777/C777,(INT(AB777/B777)+(((AB777-B777*INT(AB777/B777)))/C777)/100))))</f>
        <v>0</v>
      </c>
      <c r="BN777" s="57">
        <f>IF(ISERROR(IF(B777=C777,AC777/C777,(INT(AC777/B777)+(((AC777-B777*INT(AC777/B777)))/C777)/100))),0,(IF(B777=C777,AC777/C777,(INT(AC777/B777)+(((AC777-B777*INT(AC777/B777)))/C777)/100))))</f>
        <v>0</v>
      </c>
      <c r="BO777" s="57">
        <f>IF(ISERROR(IF(B777=C777,AD777/C777,(INT(AD777/B777)+(((AD777-B777*INT(AD777/B777)))/C777)/100))),0,(IF(B777=C777,AD777/C777,(INT(AD777/B777)+(((AD777-B777*INT(AD777/B777)))/C777)/100))))</f>
        <v>0</v>
      </c>
      <c r="BQ777" s="155" t="s">
        <v>147</v>
      </c>
    </row>
    <row r="778" spans="1:69" x14ac:dyDescent="0.35">
      <c r="A778" s="94" t="s">
        <v>151</v>
      </c>
      <c r="B778" s="113">
        <v>1</v>
      </c>
      <c r="C778" s="113">
        <v>1</v>
      </c>
      <c r="D778" s="28">
        <f>SUM(AA778:AD778)</f>
        <v>0</v>
      </c>
      <c r="E778" s="113">
        <v>0</v>
      </c>
      <c r="F778" s="113">
        <v>0</v>
      </c>
      <c r="G778" s="28">
        <f>SUM(D778:F778)</f>
        <v>0</v>
      </c>
      <c r="H778" s="125">
        <v>0</v>
      </c>
      <c r="I778" s="113">
        <v>0</v>
      </c>
      <c r="J778" s="125">
        <v>0</v>
      </c>
      <c r="K778" s="113">
        <v>0</v>
      </c>
      <c r="L778" s="113">
        <v>0</v>
      </c>
      <c r="M778" s="113">
        <v>0</v>
      </c>
      <c r="N778" s="28">
        <f>G778-SUM(H778:M778)</f>
        <v>0</v>
      </c>
      <c r="O778" s="28">
        <f>SUM(V778:Y778)</f>
        <v>0</v>
      </c>
      <c r="P778" s="28">
        <f>O778-N778</f>
        <v>0</v>
      </c>
      <c r="Q778" s="61" t="str">
        <f>IF(ISERROR(P778/SUM(H778:L778)),"",P778/SUM(H778:L778))</f>
        <v/>
      </c>
      <c r="R778" s="113">
        <v>400</v>
      </c>
      <c r="S778" s="28">
        <f>IF(ISERROR(P778/C778*R778),0,(P778/C778*R778))</f>
        <v>0</v>
      </c>
      <c r="T778" s="60">
        <f>IF(ISERROR(P778/B778*AF778),0,(P778/B778*AF778))</f>
        <v>0</v>
      </c>
      <c r="V778" s="113">
        <v>0</v>
      </c>
      <c r="W778" s="113">
        <v>0</v>
      </c>
      <c r="X778" s="113">
        <v>0</v>
      </c>
      <c r="Y778" s="113">
        <v>0</v>
      </c>
      <c r="AA778" s="113">
        <v>0</v>
      </c>
      <c r="AB778" s="113">
        <v>0</v>
      </c>
      <c r="AC778" s="113">
        <v>0</v>
      </c>
      <c r="AD778" s="113">
        <v>0</v>
      </c>
      <c r="AF778" s="155">
        <v>264.12291666666664</v>
      </c>
      <c r="AG778" s="28">
        <f>G778-O778</f>
        <v>0</v>
      </c>
      <c r="AH778" s="58">
        <f>IF(ISERROR(AG778/B778*AF778),0,(AG778/B778*AF778))</f>
        <v>0</v>
      </c>
      <c r="AI778" s="28">
        <f>SUM(H778:M778)</f>
        <v>0</v>
      </c>
      <c r="AJ778" s="28">
        <f>IF(ISERROR(AI778/B778*AF778),0,(AI778/B778*AF778))</f>
        <v>0</v>
      </c>
      <c r="AK778" s="58">
        <f>IF(ISERROR(O778/B778*AF778),0,(O778/B778*AF778))</f>
        <v>0</v>
      </c>
      <c r="AL778" s="28">
        <f>IF(ISERROR(H778/B778*AF778),0,(H778/B778*AF778))</f>
        <v>0</v>
      </c>
      <c r="AN778" s="51" t="str">
        <f>A778</f>
        <v xml:space="preserve">Fuller Lonndon </v>
      </c>
      <c r="AO778" s="57">
        <f>IF(ISERROR(IF(B778=C778,D778/C778,(INT(D778/B778)+(((D778-B778*INT(D778/B778)))/C778)/100))),0,(IF(B778=C778,D778/C778,(INT(D778/B778)+(((D778-B778*INT(D778/B778)))/C778)/100))))</f>
        <v>0</v>
      </c>
      <c r="AP778" s="57">
        <f>IF(ISERROR(IF(B778=C778,E778/C778,(INT(E778/B778)+(((E778-B778*INT(E778/B778)))/C778)/100))),0,(IF(B778=C778,E778/C778,(INT(E778/B778)+(((E778-B778*INT(E778/B778)))/C778)/100))))</f>
        <v>0</v>
      </c>
      <c r="AQ778" s="57">
        <f>IF(ISERROR(IF(B778=C778,F778/C778,IF((INT(F778/B778)+(((F778-B778*INT(F778/B778)))/C778)/100)&lt;0,(INT(F778/B778)+(((F778-B778*INT(F778/B778)))/C778)/100)+(1-(B778/C778/100)),(INT(F778/B778)+(((F778-B778*INT(F778/B778)))/C778)/100)))),0,IF(B778=C778,F778/C778,IF((INT(F778/B778)+(((F778-B778*INT(F778/B778)))/C778)/100)&lt;0,(INT(F778/B778)+(((F778-B778*INT(F778/B778)))/C778)/100)+(1-(B778/C778/100)),(INT(F778/B778)+(((F778-B778*INT(F778/B778)))/C778)/100))))</f>
        <v>0</v>
      </c>
      <c r="AR778" s="57">
        <f>IF(ISERROR(IF(B778=C778,G778/C778,(INT(G778/B778)+(((G778-B778*INT(G778/B778)))/C778)/100))),0,(IF(B778=C778,G778/C778,(INT(G778/B778)+(((G778-B778*INT(G778/B778)))/C778)/100))))</f>
        <v>0</v>
      </c>
      <c r="AS778" s="57">
        <f>IF(ISERROR(IF(B778=C778,H778/C778,(INT(H778/B778)+(((H778-B778*INT(H778/B778)))/C778)/100))),0,(IF(B778=C778,H778/C778,(INT(H778/B778)+(((H778-B778*INT(H778/B778)))/C778)/100))))</f>
        <v>0</v>
      </c>
      <c r="AT778" s="57">
        <f>IF(ISERROR(IF(B778=C778,I778/C778,(INT(I778/B778)+(((I778-B778*INT(I778/B778)))/C778)/100))),0,(IF(B778=C778,I778/C778,(INT(I778/B778)+(((I778-B778*INT(I778/B778)))/C778)/100))))</f>
        <v>0</v>
      </c>
      <c r="AU778" s="57">
        <f>IF(ISERROR(IF(B778=C778,J778/C778,(INT(J778/B778)+(((J778-B778*INT(J778/B778)))/C778)/100))),0,(IF(B778=C778,J778/C778,(INT(J778/B778)+(((J778-B778*INT(J778/B778)))/C778)/100))))</f>
        <v>0</v>
      </c>
      <c r="AV778" s="57">
        <f>IF(ISERROR(IF(B778=C778,K778/C778,IF((INT(K778/B778)+(((K778-B778*INT(K778/B778)))/C778)/100)&lt;0,(INT(K778/B778)+(((K778-B778*INT(K778/B778)))/C778)/100)+(1-(B778/C778/100)),(INT(K778/B778)+(((K778-B778*INT(K778/B778)))/C778)/100)))),0,IF(B778=C778,K778/C778,IF((INT(K778/B778)+(((K778-B778*INT(K778/B778)))/C778)/100)&lt;0,(INT(K778/B778)+(((K778-B778*INT(K778/B778)))/C778)/100)+(1-(B778/C778/100)),(INT(K778/B778)+(((K778-B778*INT(K778/B778)))/C778)/100))))</f>
        <v>0</v>
      </c>
      <c r="AW778" s="57">
        <f>IF(ISERROR(IF(B778=C778,L778/C778,(INT(L778/B778)+(((L778-B778*INT(L778/B778)))/C778)/100))),0,(IF(B778=C778,L778/C778,(INT(L778/B778)+(((L778-B778*INT(L778/B778)))/C778)/100))))</f>
        <v>0</v>
      </c>
      <c r="AX778" s="57">
        <f>IF(ISERROR(IF(B778=C778,M778/C778,(INT(M778/B778)+(((M778-B778*INT(M778/B778)))/C778)/100))),0,(IF(B778=C778,M778/C778,(INT(M778/B778)+(((M778-B778*INT(M778/B778)))/C778)/100))))</f>
        <v>0</v>
      </c>
      <c r="AY778" s="57">
        <f>IF(ISERROR(IF(B778=C778,N778/C778,IF((INT(N778/B778)+(((N778-B778*INT(N778/B778)))/C778)/100)&lt;0,(INT(N778/B778)+(((N778-B778*INT(N778/B778)))/C778)/100)+(1-(B778/C778/100)),(INT(N778/B778)+(((N778-B778*INT(N778/B778)))/C778)/100)))),0,IF(B778=C778,N778/C778,IF((INT(N778/B778)+(((N778-B778*INT(N778/B778)))/C778)/100)&lt;0,(INT(N778/B778)+(((N778-B778*INT(N778/B778)))/C778)/100)+(1-(B778/C778/100)),(INT(N778/B778)+(((N778-B778*INT(N778/B778)))/C778)/100))))</f>
        <v>0</v>
      </c>
      <c r="AZ778" s="57">
        <f>IF(ISERROR(IF(B778=C778,O778/C778,(INT(O778/B778)+(((O778-B778*INT(O778/B778)))/C778)/100))),0,(IF(B778=C778,O778/C778,(INT(O778/B778)+(((O778-B778*INT(O778/B778)))/C778)/100))))</f>
        <v>0</v>
      </c>
      <c r="BA778" s="57">
        <f>IF(ISERROR(IF(B778=C778,P778/C778,IF((INT(P778/B778)+(((P778-B778*INT(P778/B778)))/C778)/100)&lt;0,(INT(P778/B778)+(((P778-B778*INT(P778/B778)))/C778)/100)+(1-(B778/C778/100)),(INT(P778/B778)+(((P778-B778*INT(P778/B778)))/C778)/100)))),0,IF(B778=C778,P778/C778,IF((INT(P778/B778)+(((P778-B778*INT(P778/B778)))/C778)/100)&lt;0,(INT(P778/B778)+(((P778-B778*INT(P778/B778)))/C778)/100)+(1-(B778/C778/100)),(INT(P778/B778)+(((P778-B778*INT(P778/B778)))/C778)/100))))</f>
        <v>0</v>
      </c>
      <c r="BB778" s="28">
        <f>R778</f>
        <v>400</v>
      </c>
      <c r="BC778" s="28">
        <f>S778</f>
        <v>0</v>
      </c>
      <c r="BD778" s="28">
        <f>AF778</f>
        <v>264.12291666666664</v>
      </c>
      <c r="BE778" s="28">
        <f>T778</f>
        <v>0</v>
      </c>
      <c r="BG778" s="57">
        <f>IF(ISERROR(IF(B778=C778,V778/C778,(INT(V778/B778)+(((V778-B778*INT(V778/B778)))/C778)/100))),0,(IF(B778=C778,V778/C778,(INT(V778/B778)+(((V778-B778*INT(V778/B778)))/C778)/100))))</f>
        <v>0</v>
      </c>
      <c r="BH778" s="57">
        <f>IF(ISERROR(IF(B778=C778,W778/C778,(INT(W778/B778)+(((W778-B778*INT(W778/B778)))/C778)/100))),0,(IF(B778=C778,W778/C778,(INT(W778/B778)+(((W778-B778*INT(W778/B778)))/C778)/100))))</f>
        <v>0</v>
      </c>
      <c r="BI778" s="57">
        <f>IF(ISERROR(IF(B778=C778,X778/C778,(INT(X778/B778)+(((X778-B778*INT(X778/B778)))/C778)/100))),0,(IF(B778=C778,X778/C778,(INT(X778/B778)+(((X778-B778*INT(X778/B778)))/C778)/100))))</f>
        <v>0</v>
      </c>
      <c r="BJ778" s="57">
        <f>IF(ISERROR(IF(B778=C778,Y778/C778,(INT(Y778/B778)+(((Y778-B778*INT(Y778/B778)))/C778)/100))),0,(IF(B778=C778,Y778/C778,(INT(Y778/B778)+(((Y778-B778*INT(Y778/B778)))/C778)/100))))</f>
        <v>0</v>
      </c>
      <c r="BL778" s="57">
        <f>IF(ISERROR(IF(B778=C778,AA778/C778,(INT(AA778/B778)+(((AA778-B778*INT(AA778/B778)))/C778)/100))),0,(IF(B778=C778,AA778/C778,(INT(AA778/B778)+(((AA778-B778*INT(AA778/B778)))/C778)/100))))</f>
        <v>0</v>
      </c>
      <c r="BM778" s="57">
        <f>IF(ISERROR(IF(B778=C778,AB778/C778,(INT(AB778/B778)+(((AB778-B778*INT(AB778/B778)))/C778)/100))),0,(IF(B778=C778,AB778/C778,(INT(AB778/B778)+(((AB778-B778*INT(AB778/B778)))/C778)/100))))</f>
        <v>0</v>
      </c>
      <c r="BN778" s="57">
        <f>IF(ISERROR(IF(B778=C778,AC778/C778,(INT(AC778/B778)+(((AC778-B778*INT(AC778/B778)))/C778)/100))),0,(IF(B778=C778,AC778/C778,(INT(AC778/B778)+(((AC778-B778*INT(AC778/B778)))/C778)/100))))</f>
        <v>0</v>
      </c>
      <c r="BO778" s="57">
        <f>IF(ISERROR(IF(B778=C778,AD778/C778,(INT(AD778/B778)+(((AD778-B778*INT(AD778/B778)))/C778)/100))),0,(IF(B778=C778,AD778/C778,(INT(AD778/B778)+(((AD778-B778*INT(AD778/B778)))/C778)/100))))</f>
        <v>0</v>
      </c>
      <c r="BQ778" s="155" t="s">
        <v>147</v>
      </c>
    </row>
    <row r="779" spans="1:69" x14ac:dyDescent="0.35">
      <c r="A779" s="94" t="s">
        <v>150</v>
      </c>
      <c r="B779" s="113">
        <v>1</v>
      </c>
      <c r="C779" s="113">
        <v>1</v>
      </c>
      <c r="D779" s="28">
        <f>SUM(AA779:AD779)</f>
        <v>23</v>
      </c>
      <c r="E779" s="113">
        <v>0</v>
      </c>
      <c r="F779" s="113">
        <v>0</v>
      </c>
      <c r="G779" s="28">
        <f>SUM(D779:F779)</f>
        <v>23</v>
      </c>
      <c r="H779" s="125">
        <v>0</v>
      </c>
      <c r="I779" s="113">
        <v>0</v>
      </c>
      <c r="J779" s="125">
        <v>0</v>
      </c>
      <c r="K779" s="113">
        <v>0</v>
      </c>
      <c r="L779" s="113">
        <v>0</v>
      </c>
      <c r="M779" s="113">
        <v>0</v>
      </c>
      <c r="N779" s="28">
        <f>G779-SUM(H779:M779)</f>
        <v>23</v>
      </c>
      <c r="O779" s="28">
        <f>SUM(V779:Y779)</f>
        <v>23</v>
      </c>
      <c r="P779" s="28">
        <f>O779-N779</f>
        <v>0</v>
      </c>
      <c r="Q779" s="61" t="str">
        <f>IF(ISERROR(P779/SUM(H779:L779)),"",P779/SUM(H779:L779))</f>
        <v/>
      </c>
      <c r="R779" s="113">
        <v>400</v>
      </c>
      <c r="S779" s="28">
        <f>IF(ISERROR(P779/C779*R779),0,(P779/C779*R779))</f>
        <v>0</v>
      </c>
      <c r="T779" s="60">
        <f>IF(ISERROR(P779/B779*AF779),0,(P779/B779*AF779))</f>
        <v>0</v>
      </c>
      <c r="V779" s="113">
        <f>2+1</f>
        <v>3</v>
      </c>
      <c r="W779" s="113">
        <v>20</v>
      </c>
      <c r="X779" s="113">
        <v>0</v>
      </c>
      <c r="Y779" s="113">
        <v>0</v>
      </c>
      <c r="AA779" s="113">
        <f>3</f>
        <v>3</v>
      </c>
      <c r="AB779" s="113">
        <v>20</v>
      </c>
      <c r="AC779" s="113">
        <v>0</v>
      </c>
      <c r="AD779" s="113">
        <v>0</v>
      </c>
      <c r="AF779" s="155">
        <f>9798.45/40</f>
        <v>244.96125000000001</v>
      </c>
      <c r="AG779" s="28">
        <f>G779-O779</f>
        <v>0</v>
      </c>
      <c r="AH779" s="58">
        <f>IF(ISERROR(AG779/B779*AF779),0,(AG779/B779*AF779))</f>
        <v>0</v>
      </c>
      <c r="AI779" s="28">
        <f>SUM(H779:M779)</f>
        <v>0</v>
      </c>
      <c r="AJ779" s="28">
        <f>IF(ISERROR(AI779/B779*AF779),0,(AI779/B779*AF779))</f>
        <v>0</v>
      </c>
      <c r="AK779" s="58">
        <f>IF(ISERROR(O779/B779*AF779),0,(O779/B779*AF779))</f>
        <v>5634.1087500000003</v>
      </c>
      <c r="AL779" s="28">
        <f>IF(ISERROR(H779/B779*AF779),0,(H779/B779*AF779))</f>
        <v>0</v>
      </c>
      <c r="AN779" s="51" t="str">
        <f>A779</f>
        <v>Viru Pre Beer</v>
      </c>
      <c r="AO779" s="57">
        <f>IF(ISERROR(IF(B779=C779,D779/C779,(INT(D779/B779)+(((D779-B779*INT(D779/B779)))/C779)/100))),0,(IF(B779=C779,D779/C779,(INT(D779/B779)+(((D779-B779*INT(D779/B779)))/C779)/100))))</f>
        <v>23</v>
      </c>
      <c r="AP779" s="57">
        <f>IF(ISERROR(IF(B779=C779,E779/C779,(INT(E779/B779)+(((E779-B779*INT(E779/B779)))/C779)/100))),0,(IF(B779=C779,E779/C779,(INT(E779/B779)+(((E779-B779*INT(E779/B779)))/C779)/100))))</f>
        <v>0</v>
      </c>
      <c r="AQ779" s="57">
        <f>IF(ISERROR(IF(B779=C779,F779/C779,IF((INT(F779/B779)+(((F779-B779*INT(F779/B779)))/C779)/100)&lt;0,(INT(F779/B779)+(((F779-B779*INT(F779/B779)))/C779)/100)+(1-(B779/C779/100)),(INT(F779/B779)+(((F779-B779*INT(F779/B779)))/C779)/100)))),0,IF(B779=C779,F779/C779,IF((INT(F779/B779)+(((F779-B779*INT(F779/B779)))/C779)/100)&lt;0,(INT(F779/B779)+(((F779-B779*INT(F779/B779)))/C779)/100)+(1-(B779/C779/100)),(INT(F779/B779)+(((F779-B779*INT(F779/B779)))/C779)/100))))</f>
        <v>0</v>
      </c>
      <c r="AR779" s="57">
        <f>IF(ISERROR(IF(B779=C779,G779/C779,(INT(G779/B779)+(((G779-B779*INT(G779/B779)))/C779)/100))),0,(IF(B779=C779,G779/C779,(INT(G779/B779)+(((G779-B779*INT(G779/B779)))/C779)/100))))</f>
        <v>23</v>
      </c>
      <c r="AS779" s="57">
        <f>IF(ISERROR(IF(B779=C779,H779/C779,(INT(H779/B779)+(((H779-B779*INT(H779/B779)))/C779)/100))),0,(IF(B779=C779,H779/C779,(INT(H779/B779)+(((H779-B779*INT(H779/B779)))/C779)/100))))</f>
        <v>0</v>
      </c>
      <c r="AT779" s="57">
        <f>IF(ISERROR(IF(B779=C779,I779/C779,(INT(I779/B779)+(((I779-B779*INT(I779/B779)))/C779)/100))),0,(IF(B779=C779,I779/C779,(INT(I779/B779)+(((I779-B779*INT(I779/B779)))/C779)/100))))</f>
        <v>0</v>
      </c>
      <c r="AU779" s="57">
        <f>IF(ISERROR(IF(B779=C779,J779/C779,(INT(J779/B779)+(((J779-B779*INT(J779/B779)))/C779)/100))),0,(IF(B779=C779,J779/C779,(INT(J779/B779)+(((J779-B779*INT(J779/B779)))/C779)/100))))</f>
        <v>0</v>
      </c>
      <c r="AV779" s="57">
        <f>IF(ISERROR(IF(B779=C779,K779/C779,IF((INT(K779/B779)+(((K779-B779*INT(K779/B779)))/C779)/100)&lt;0,(INT(K779/B779)+(((K779-B779*INT(K779/B779)))/C779)/100)+(1-(B779/C779/100)),(INT(K779/B779)+(((K779-B779*INT(K779/B779)))/C779)/100)))),0,IF(B779=C779,K779/C779,IF((INT(K779/B779)+(((K779-B779*INT(K779/B779)))/C779)/100)&lt;0,(INT(K779/B779)+(((K779-B779*INT(K779/B779)))/C779)/100)+(1-(B779/C779/100)),(INT(K779/B779)+(((K779-B779*INT(K779/B779)))/C779)/100))))</f>
        <v>0</v>
      </c>
      <c r="AW779" s="57">
        <f>IF(ISERROR(IF(B779=C779,L779/C779,(INT(L779/B779)+(((L779-B779*INT(L779/B779)))/C779)/100))),0,(IF(B779=C779,L779/C779,(INT(L779/B779)+(((L779-B779*INT(L779/B779)))/C779)/100))))</f>
        <v>0</v>
      </c>
      <c r="AX779" s="57">
        <f>IF(ISERROR(IF(B779=C779,M779/C779,(INT(M779/B779)+(((M779-B779*INT(M779/B779)))/C779)/100))),0,(IF(B779=C779,M779/C779,(INT(M779/B779)+(((M779-B779*INT(M779/B779)))/C779)/100))))</f>
        <v>0</v>
      </c>
      <c r="AY779" s="57">
        <f>IF(ISERROR(IF(B779=C779,N779/C779,IF((INT(N779/B779)+(((N779-B779*INT(N779/B779)))/C779)/100)&lt;0,(INT(N779/B779)+(((N779-B779*INT(N779/B779)))/C779)/100)+(1-(B779/C779/100)),(INT(N779/B779)+(((N779-B779*INT(N779/B779)))/C779)/100)))),0,IF(B779=C779,N779/C779,IF((INT(N779/B779)+(((N779-B779*INT(N779/B779)))/C779)/100)&lt;0,(INT(N779/B779)+(((N779-B779*INT(N779/B779)))/C779)/100)+(1-(B779/C779/100)),(INT(N779/B779)+(((N779-B779*INT(N779/B779)))/C779)/100))))</f>
        <v>23</v>
      </c>
      <c r="AZ779" s="57">
        <f>IF(ISERROR(IF(B779=C779,O779/C779,(INT(O779/B779)+(((O779-B779*INT(O779/B779)))/C779)/100))),0,(IF(B779=C779,O779/C779,(INT(O779/B779)+(((O779-B779*INT(O779/B779)))/C779)/100))))</f>
        <v>23</v>
      </c>
      <c r="BA779" s="57">
        <f>IF(ISERROR(IF(B779=C779,P779/C779,IF((INT(P779/B779)+(((P779-B779*INT(P779/B779)))/C779)/100)&lt;0,(INT(P779/B779)+(((P779-B779*INT(P779/B779)))/C779)/100)+(1-(B779/C779/100)),(INT(P779/B779)+(((P779-B779*INT(P779/B779)))/C779)/100)))),0,IF(B779=C779,P779/C779,IF((INT(P779/B779)+(((P779-B779*INT(P779/B779)))/C779)/100)&lt;0,(INT(P779/B779)+(((P779-B779*INT(P779/B779)))/C779)/100)+(1-(B779/C779/100)),(INT(P779/B779)+(((P779-B779*INT(P779/B779)))/C779)/100))))</f>
        <v>0</v>
      </c>
      <c r="BB779" s="28">
        <f>R779</f>
        <v>400</v>
      </c>
      <c r="BC779" s="28">
        <f>S779</f>
        <v>0</v>
      </c>
      <c r="BD779" s="28">
        <f>AF779</f>
        <v>244.96125000000001</v>
      </c>
      <c r="BE779" s="28">
        <f>T779</f>
        <v>0</v>
      </c>
      <c r="BG779" s="57">
        <f>IF(ISERROR(IF(B779=C779,V779/C779,(INT(V779/B779)+(((V779-B779*INT(V779/B779)))/C779)/100))),0,(IF(B779=C779,V779/C779,(INT(V779/B779)+(((V779-B779*INT(V779/B779)))/C779)/100))))</f>
        <v>3</v>
      </c>
      <c r="BH779" s="57">
        <f>IF(ISERROR(IF(B779=C779,W779/C779,(INT(W779/B779)+(((W779-B779*INT(W779/B779)))/C779)/100))),0,(IF(B779=C779,W779/C779,(INT(W779/B779)+(((W779-B779*INT(W779/B779)))/C779)/100))))</f>
        <v>20</v>
      </c>
      <c r="BI779" s="57">
        <f>IF(ISERROR(IF(B779=C779,X779/C779,(INT(X779/B779)+(((X779-B779*INT(X779/B779)))/C779)/100))),0,(IF(B779=C779,X779/C779,(INT(X779/B779)+(((X779-B779*INT(X779/B779)))/C779)/100))))</f>
        <v>0</v>
      </c>
      <c r="BJ779" s="57">
        <f>IF(ISERROR(IF(B779=C779,Y779/C779,(INT(Y779/B779)+(((Y779-B779*INT(Y779/B779)))/C779)/100))),0,(IF(B779=C779,Y779/C779,(INT(Y779/B779)+(((Y779-B779*INT(Y779/B779)))/C779)/100))))</f>
        <v>0</v>
      </c>
      <c r="BL779" s="57">
        <f>IF(ISERROR(IF(B779=C779,AA779/C779,(INT(AA779/B779)+(((AA779-B779*INT(AA779/B779)))/C779)/100))),0,(IF(B779=C779,AA779/C779,(INT(AA779/B779)+(((AA779-B779*INT(AA779/B779)))/C779)/100))))</f>
        <v>3</v>
      </c>
      <c r="BM779" s="57">
        <f>IF(ISERROR(IF(B779=C779,AB779/C779,(INT(AB779/B779)+(((AB779-B779*INT(AB779/B779)))/C779)/100))),0,(IF(B779=C779,AB779/C779,(INT(AB779/B779)+(((AB779-B779*INT(AB779/B779)))/C779)/100))))</f>
        <v>20</v>
      </c>
      <c r="BN779" s="57">
        <f>IF(ISERROR(IF(B779=C779,AC779/C779,(INT(AC779/B779)+(((AC779-B779*INT(AC779/B779)))/C779)/100))),0,(IF(B779=C779,AC779/C779,(INT(AC779/B779)+(((AC779-B779*INT(AC779/B779)))/C779)/100))))</f>
        <v>0</v>
      </c>
      <c r="BO779" s="57">
        <f>IF(ISERROR(IF(B779=C779,AD779/C779,(INT(AD779/B779)+(((AD779-B779*INT(AD779/B779)))/C779)/100))),0,(IF(B779=C779,AD779/C779,(INT(AD779/B779)+(((AD779-B779*INT(AD779/B779)))/C779)/100))))</f>
        <v>0</v>
      </c>
      <c r="BQ779" s="155" t="s">
        <v>147</v>
      </c>
    </row>
    <row r="780" spans="1:69" x14ac:dyDescent="0.35">
      <c r="A780" s="94" t="s">
        <v>149</v>
      </c>
      <c r="B780" s="113">
        <v>1</v>
      </c>
      <c r="C780" s="113">
        <v>1</v>
      </c>
      <c r="D780" s="28">
        <f>SUM(AA780:AD780)</f>
        <v>93</v>
      </c>
      <c r="E780" s="113">
        <v>0</v>
      </c>
      <c r="F780" s="113">
        <v>0</v>
      </c>
      <c r="G780" s="28">
        <f>SUM(D780:F780)</f>
        <v>93</v>
      </c>
      <c r="H780" s="125">
        <v>0</v>
      </c>
      <c r="I780" s="113">
        <v>0</v>
      </c>
      <c r="J780" s="125">
        <v>0</v>
      </c>
      <c r="K780" s="113">
        <v>0</v>
      </c>
      <c r="L780" s="113">
        <v>0</v>
      </c>
      <c r="M780" s="113">
        <v>0</v>
      </c>
      <c r="N780" s="28">
        <f>G780-SUM(H780:M780)</f>
        <v>93</v>
      </c>
      <c r="O780" s="28">
        <f>SUM(V780:Y780)</f>
        <v>93</v>
      </c>
      <c r="P780" s="28">
        <f>O780-N780</f>
        <v>0</v>
      </c>
      <c r="Q780" s="61" t="str">
        <f>IF(ISERROR(P780/SUM(H780:L780)),"",P780/SUM(H780:L780))</f>
        <v/>
      </c>
      <c r="R780" s="113">
        <v>200</v>
      </c>
      <c r="S780" s="28">
        <f>IF(ISERROR(P780/C780*R780),0,(P780/C780*R780))</f>
        <v>0</v>
      </c>
      <c r="T780" s="60">
        <f>IF(ISERROR(P780/B780*AF780),0,(P780/B780*AF780))</f>
        <v>0</v>
      </c>
      <c r="V780" s="113">
        <f>20+1</f>
        <v>21</v>
      </c>
      <c r="W780" s="113">
        <f>3*24</f>
        <v>72</v>
      </c>
      <c r="X780" s="113">
        <v>0</v>
      </c>
      <c r="Y780" s="113">
        <v>0</v>
      </c>
      <c r="AA780" s="113">
        <v>21</v>
      </c>
      <c r="AB780" s="113">
        <f>3*24</f>
        <v>72</v>
      </c>
      <c r="AC780" s="113">
        <v>0</v>
      </c>
      <c r="AD780" s="113">
        <v>0</v>
      </c>
      <c r="AF780" s="54">
        <f>2181.8/24</f>
        <v>90.908333333333346</v>
      </c>
      <c r="AG780" s="28">
        <f>G780-O780</f>
        <v>0</v>
      </c>
      <c r="AH780" s="58">
        <f>IF(ISERROR(AG780/B780*AF780),0,(AG780/B780*AF780))</f>
        <v>0</v>
      </c>
      <c r="AI780" s="28">
        <f>SUM(H780:M780)</f>
        <v>0</v>
      </c>
      <c r="AJ780" s="28">
        <f>IF(ISERROR(AI780/B780*AF780),0,(AI780/B780*AF780))</f>
        <v>0</v>
      </c>
      <c r="AK780" s="58">
        <f>IF(ISERROR(O780/B780*AF780),0,(O780/B780*AF780))</f>
        <v>8454.4750000000004</v>
      </c>
      <c r="AL780" s="28">
        <f>IF(ISERROR(H780/B780*AF780),0,(H780/B780*AF780))</f>
        <v>0</v>
      </c>
      <c r="AN780" s="51" t="str">
        <f>A780</f>
        <v>K F Buzz Berry</v>
      </c>
      <c r="AO780" s="57">
        <f>IF(ISERROR(IF(B780=C780,D780/C780,(INT(D780/B780)+(((D780-B780*INT(D780/B780)))/C780)/100))),0,(IF(B780=C780,D780/C780,(INT(D780/B780)+(((D780-B780*INT(D780/B780)))/C780)/100))))</f>
        <v>93</v>
      </c>
      <c r="AP780" s="57">
        <f>IF(ISERROR(IF(B780=C780,E780/C780,(INT(E780/B780)+(((E780-B780*INT(E780/B780)))/C780)/100))),0,(IF(B780=C780,E780/C780,(INT(E780/B780)+(((E780-B780*INT(E780/B780)))/C780)/100))))</f>
        <v>0</v>
      </c>
      <c r="AQ780" s="57">
        <f>IF(ISERROR(IF(B780=C780,F780/C780,IF((INT(F780/B780)+(((F780-B780*INT(F780/B780)))/C780)/100)&lt;0,(INT(F780/B780)+(((F780-B780*INT(F780/B780)))/C780)/100)+(1-(B780/C780/100)),(INT(F780/B780)+(((F780-B780*INT(F780/B780)))/C780)/100)))),0,IF(B780=C780,F780/C780,IF((INT(F780/B780)+(((F780-B780*INT(F780/B780)))/C780)/100)&lt;0,(INT(F780/B780)+(((F780-B780*INT(F780/B780)))/C780)/100)+(1-(B780/C780/100)),(INT(F780/B780)+(((F780-B780*INT(F780/B780)))/C780)/100))))</f>
        <v>0</v>
      </c>
      <c r="AR780" s="57">
        <f>IF(ISERROR(IF(B780=C780,G780/C780,(INT(G780/B780)+(((G780-B780*INT(G780/B780)))/C780)/100))),0,(IF(B780=C780,G780/C780,(INT(G780/B780)+(((G780-B780*INT(G780/B780)))/C780)/100))))</f>
        <v>93</v>
      </c>
      <c r="AS780" s="57">
        <f>IF(ISERROR(IF(B780=C780,H780/C780,(INT(H780/B780)+(((H780-B780*INT(H780/B780)))/C780)/100))),0,(IF(B780=C780,H780/C780,(INT(H780/B780)+(((H780-B780*INT(H780/B780)))/C780)/100))))</f>
        <v>0</v>
      </c>
      <c r="AT780" s="57">
        <f>IF(ISERROR(IF(B780=C780,I780/C780,(INT(I780/B780)+(((I780-B780*INT(I780/B780)))/C780)/100))),0,(IF(B780=C780,I780/C780,(INT(I780/B780)+(((I780-B780*INT(I780/B780)))/C780)/100))))</f>
        <v>0</v>
      </c>
      <c r="AU780" s="57">
        <f>IF(ISERROR(IF(B780=C780,J780/C780,(INT(J780/B780)+(((J780-B780*INT(J780/B780)))/C780)/100))),0,(IF(B780=C780,J780/C780,(INT(J780/B780)+(((J780-B780*INT(J780/B780)))/C780)/100))))</f>
        <v>0</v>
      </c>
      <c r="AV780" s="57">
        <f>IF(ISERROR(IF(B780=C780,K780/C780,IF((INT(K780/B780)+(((K780-B780*INT(K780/B780)))/C780)/100)&lt;0,(INT(K780/B780)+(((K780-B780*INT(K780/B780)))/C780)/100)+(1-(B780/C780/100)),(INT(K780/B780)+(((K780-B780*INT(K780/B780)))/C780)/100)))),0,IF(B780=C780,K780/C780,IF((INT(K780/B780)+(((K780-B780*INT(K780/B780)))/C780)/100)&lt;0,(INT(K780/B780)+(((K780-B780*INT(K780/B780)))/C780)/100)+(1-(B780/C780/100)),(INT(K780/B780)+(((K780-B780*INT(K780/B780)))/C780)/100))))</f>
        <v>0</v>
      </c>
      <c r="AW780" s="57">
        <f>IF(ISERROR(IF(B780=C780,L780/C780,(INT(L780/B780)+(((L780-B780*INT(L780/B780)))/C780)/100))),0,(IF(B780=C780,L780/C780,(INT(L780/B780)+(((L780-B780*INT(L780/B780)))/C780)/100))))</f>
        <v>0</v>
      </c>
      <c r="AX780" s="57">
        <f>IF(ISERROR(IF(B780=C780,M780/C780,(INT(M780/B780)+(((M780-B780*INT(M780/B780)))/C780)/100))),0,(IF(B780=C780,M780/C780,(INT(M780/B780)+(((M780-B780*INT(M780/B780)))/C780)/100))))</f>
        <v>0</v>
      </c>
      <c r="AY780" s="57">
        <f>IF(ISERROR(IF(B780=C780,N780/C780,IF((INT(N780/B780)+(((N780-B780*INT(N780/B780)))/C780)/100)&lt;0,(INT(N780/B780)+(((N780-B780*INT(N780/B780)))/C780)/100)+(1-(B780/C780/100)),(INT(N780/B780)+(((N780-B780*INT(N780/B780)))/C780)/100)))),0,IF(B780=C780,N780/C780,IF((INT(N780/B780)+(((N780-B780*INT(N780/B780)))/C780)/100)&lt;0,(INT(N780/B780)+(((N780-B780*INT(N780/B780)))/C780)/100)+(1-(B780/C780/100)),(INT(N780/B780)+(((N780-B780*INT(N780/B780)))/C780)/100))))</f>
        <v>93</v>
      </c>
      <c r="AZ780" s="57">
        <f>IF(ISERROR(IF(B780=C780,O780/C780,(INT(O780/B780)+(((O780-B780*INT(O780/B780)))/C780)/100))),0,(IF(B780=C780,O780/C780,(INT(O780/B780)+(((O780-B780*INT(O780/B780)))/C780)/100))))</f>
        <v>93</v>
      </c>
      <c r="BA780" s="57">
        <f>IF(ISERROR(IF(B780=C780,P780/C780,IF((INT(P780/B780)+(((P780-B780*INT(P780/B780)))/C780)/100)&lt;0,(INT(P780/B780)+(((P780-B780*INT(P780/B780)))/C780)/100)+(1-(B780/C780/100)),(INT(P780/B780)+(((P780-B780*INT(P780/B780)))/C780)/100)))),0,IF(B780=C780,P780/C780,IF((INT(P780/B780)+(((P780-B780*INT(P780/B780)))/C780)/100)&lt;0,(INT(P780/B780)+(((P780-B780*INT(P780/B780)))/C780)/100)+(1-(B780/C780/100)),(INT(P780/B780)+(((P780-B780*INT(P780/B780)))/C780)/100))))</f>
        <v>0</v>
      </c>
      <c r="BB780" s="28">
        <f>R780</f>
        <v>200</v>
      </c>
      <c r="BC780" s="28">
        <f>S780</f>
        <v>0</v>
      </c>
      <c r="BD780" s="28">
        <f>AF780</f>
        <v>90.908333333333346</v>
      </c>
      <c r="BE780" s="28">
        <f>T780</f>
        <v>0</v>
      </c>
      <c r="BG780" s="57">
        <f>IF(ISERROR(IF(B780=C780,V780/C780,(INT(V780/B780)+(((V780-B780*INT(V780/B780)))/C780)/100))),0,(IF(B780=C780,V780/C780,(INT(V780/B780)+(((V780-B780*INT(V780/B780)))/C780)/100))))</f>
        <v>21</v>
      </c>
      <c r="BH780" s="57">
        <f>IF(ISERROR(IF(B780=C780,W780/C780,(INT(W780/B780)+(((W780-B780*INT(W780/B780)))/C780)/100))),0,(IF(B780=C780,W780/C780,(INT(W780/B780)+(((W780-B780*INT(W780/B780)))/C780)/100))))</f>
        <v>72</v>
      </c>
      <c r="BI780" s="57">
        <f>IF(ISERROR(IF(B780=C780,X780/C780,(INT(X780/B780)+(((X780-B780*INT(X780/B780)))/C780)/100))),0,(IF(B780=C780,X780/C780,(INT(X780/B780)+(((X780-B780*INT(X780/B780)))/C780)/100))))</f>
        <v>0</v>
      </c>
      <c r="BJ780" s="57">
        <f>IF(ISERROR(IF(B780=C780,Y780/C780,(INT(Y780/B780)+(((Y780-B780*INT(Y780/B780)))/C780)/100))),0,(IF(B780=C780,Y780/C780,(INT(Y780/B780)+(((Y780-B780*INT(Y780/B780)))/C780)/100))))</f>
        <v>0</v>
      </c>
      <c r="BL780" s="57">
        <f>IF(ISERROR(IF(B780=C780,AA780/C780,(INT(AA780/B780)+(((AA780-B780*INT(AA780/B780)))/C780)/100))),0,(IF(B780=C780,AA780/C780,(INT(AA780/B780)+(((AA780-B780*INT(AA780/B780)))/C780)/100))))</f>
        <v>21</v>
      </c>
      <c r="BM780" s="57">
        <f>IF(ISERROR(IF(B780=C780,AB780/C780,(INT(AB780/B780)+(((AB780-B780*INT(AB780/B780)))/C780)/100))),0,(IF(B780=C780,AB780/C780,(INT(AB780/B780)+(((AB780-B780*INT(AB780/B780)))/C780)/100))))</f>
        <v>72</v>
      </c>
      <c r="BN780" s="57">
        <f>IF(ISERROR(IF(B780=C780,AC780/C780,(INT(AC780/B780)+(((AC780-B780*INT(AC780/B780)))/C780)/100))),0,(IF(B780=C780,AC780/C780,(INT(AC780/B780)+(((AC780-B780*INT(AC780/B780)))/C780)/100))))</f>
        <v>0</v>
      </c>
      <c r="BO780" s="57">
        <f>IF(ISERROR(IF(B780=C780,AD780/C780,(INT(AD780/B780)+(((AD780-B780*INT(AD780/B780)))/C780)/100))),0,(IF(B780=C780,AD780/C780,(INT(AD780/B780)+(((AD780-B780*INT(AD780/B780)))/C780)/100))))</f>
        <v>0</v>
      </c>
      <c r="BQ780" s="155" t="s">
        <v>147</v>
      </c>
    </row>
    <row r="781" spans="1:69" x14ac:dyDescent="0.35">
      <c r="A781" s="94" t="s">
        <v>148</v>
      </c>
      <c r="B781" s="113">
        <v>1</v>
      </c>
      <c r="C781" s="113">
        <v>1</v>
      </c>
      <c r="D781" s="28">
        <f>SUM(AA781:AD781)</f>
        <v>100</v>
      </c>
      <c r="E781" s="113">
        <v>0</v>
      </c>
      <c r="F781" s="113">
        <v>0</v>
      </c>
      <c r="G781" s="28">
        <f>SUM(D781:F781)</f>
        <v>100</v>
      </c>
      <c r="H781" s="125">
        <v>0</v>
      </c>
      <c r="I781" s="113">
        <v>0</v>
      </c>
      <c r="J781" s="125">
        <v>0</v>
      </c>
      <c r="K781" s="113">
        <v>0</v>
      </c>
      <c r="L781" s="113">
        <v>0</v>
      </c>
      <c r="M781" s="113">
        <v>0</v>
      </c>
      <c r="N781" s="28">
        <f>G781-SUM(H781:M781)</f>
        <v>100</v>
      </c>
      <c r="O781" s="28">
        <f>SUM(V781:Y781)</f>
        <v>100</v>
      </c>
      <c r="P781" s="28">
        <f>O781-N781</f>
        <v>0</v>
      </c>
      <c r="Q781" s="61" t="str">
        <f>IF(ISERROR(P781/SUM(H781:L781)),"",P781/SUM(H781:L781))</f>
        <v/>
      </c>
      <c r="R781" s="113">
        <v>200</v>
      </c>
      <c r="S781" s="28">
        <f>IF(ISERROR(P781/C781*R781),0,(P781/C781*R781))</f>
        <v>0</v>
      </c>
      <c r="T781" s="60">
        <f>IF(ISERROR(P781/B781*AF781),0,(P781/B781*AF781))</f>
        <v>0</v>
      </c>
      <c r="V781" s="113">
        <f>3+1</f>
        <v>4</v>
      </c>
      <c r="W781" s="113">
        <f>4*24</f>
        <v>96</v>
      </c>
      <c r="X781" s="113">
        <v>0</v>
      </c>
      <c r="Y781" s="113">
        <v>0</v>
      </c>
      <c r="AA781" s="113">
        <f>4</f>
        <v>4</v>
      </c>
      <c r="AB781" s="113">
        <f>4*24</f>
        <v>96</v>
      </c>
      <c r="AC781" s="113">
        <v>0</v>
      </c>
      <c r="AD781" s="113">
        <v>0</v>
      </c>
      <c r="AF781" s="54">
        <f>2181.8/24</f>
        <v>90.908333333333346</v>
      </c>
      <c r="AG781" s="28">
        <f>G781-O781</f>
        <v>0</v>
      </c>
      <c r="AH781" s="58">
        <f>IF(ISERROR(AG781/B781*AF781),0,(AG781/B781*AF781))</f>
        <v>0</v>
      </c>
      <c r="AI781" s="28">
        <f>SUM(H781:M781)</f>
        <v>0</v>
      </c>
      <c r="AJ781" s="28">
        <f>IF(ISERROR(AI781/B781*AF781),0,(AI781/B781*AF781))</f>
        <v>0</v>
      </c>
      <c r="AK781" s="58">
        <f>IF(ISERROR(O781/B781*AF781),0,(O781/B781*AF781))</f>
        <v>9090.8333333333339</v>
      </c>
      <c r="AL781" s="28">
        <f>IF(ISERROR(H781/B781*AF781),0,(H781/B781*AF781))</f>
        <v>0</v>
      </c>
      <c r="AN781" s="51" t="str">
        <f>A781</f>
        <v>K F Buzz lychee</v>
      </c>
      <c r="AO781" s="57">
        <f>IF(ISERROR(IF(B781=C781,D781/C781,(INT(D781/B781)+(((D781-B781*INT(D781/B781)))/C781)/100))),0,(IF(B781=C781,D781/C781,(INT(D781/B781)+(((D781-B781*INT(D781/B781)))/C781)/100))))</f>
        <v>100</v>
      </c>
      <c r="AP781" s="57">
        <f>IF(ISERROR(IF(B781=C781,E781/C781,(INT(E781/B781)+(((E781-B781*INT(E781/B781)))/C781)/100))),0,(IF(B781=C781,E781/C781,(INT(E781/B781)+(((E781-B781*INT(E781/B781)))/C781)/100))))</f>
        <v>0</v>
      </c>
      <c r="AQ781" s="57">
        <f>IF(ISERROR(IF(B781=C781,F781/C781,IF((INT(F781/B781)+(((F781-B781*INT(F781/B781)))/C781)/100)&lt;0,(INT(F781/B781)+(((F781-B781*INT(F781/B781)))/C781)/100)+(1-(B781/C781/100)),(INT(F781/B781)+(((F781-B781*INT(F781/B781)))/C781)/100)))),0,IF(B781=C781,F781/C781,IF((INT(F781/B781)+(((F781-B781*INT(F781/B781)))/C781)/100)&lt;0,(INT(F781/B781)+(((F781-B781*INT(F781/B781)))/C781)/100)+(1-(B781/C781/100)),(INT(F781/B781)+(((F781-B781*INT(F781/B781)))/C781)/100))))</f>
        <v>0</v>
      </c>
      <c r="AR781" s="57">
        <f>IF(ISERROR(IF(B781=C781,G781/C781,(INT(G781/B781)+(((G781-B781*INT(G781/B781)))/C781)/100))),0,(IF(B781=C781,G781/C781,(INT(G781/B781)+(((G781-B781*INT(G781/B781)))/C781)/100))))</f>
        <v>100</v>
      </c>
      <c r="AS781" s="57">
        <f>IF(ISERROR(IF(B781=C781,H781/C781,(INT(H781/B781)+(((H781-B781*INT(H781/B781)))/C781)/100))),0,(IF(B781=C781,H781/C781,(INT(H781/B781)+(((H781-B781*INT(H781/B781)))/C781)/100))))</f>
        <v>0</v>
      </c>
      <c r="AT781" s="57">
        <f>IF(ISERROR(IF(B781=C781,I781/C781,(INT(I781/B781)+(((I781-B781*INT(I781/B781)))/C781)/100))),0,(IF(B781=C781,I781/C781,(INT(I781/B781)+(((I781-B781*INT(I781/B781)))/C781)/100))))</f>
        <v>0</v>
      </c>
      <c r="AU781" s="57">
        <f>IF(ISERROR(IF(B781=C781,J781/C781,(INT(J781/B781)+(((J781-B781*INT(J781/B781)))/C781)/100))),0,(IF(B781=C781,J781/C781,(INT(J781/B781)+(((J781-B781*INT(J781/B781)))/C781)/100))))</f>
        <v>0</v>
      </c>
      <c r="AV781" s="57">
        <f>IF(ISERROR(IF(B781=C781,K781/C781,IF((INT(K781/B781)+(((K781-B781*INT(K781/B781)))/C781)/100)&lt;0,(INT(K781/B781)+(((K781-B781*INT(K781/B781)))/C781)/100)+(1-(B781/C781/100)),(INT(K781/B781)+(((K781-B781*INT(K781/B781)))/C781)/100)))),0,IF(B781=C781,K781/C781,IF((INT(K781/B781)+(((K781-B781*INT(K781/B781)))/C781)/100)&lt;0,(INT(K781/B781)+(((K781-B781*INT(K781/B781)))/C781)/100)+(1-(B781/C781/100)),(INT(K781/B781)+(((K781-B781*INT(K781/B781)))/C781)/100))))</f>
        <v>0</v>
      </c>
      <c r="AW781" s="57">
        <f>IF(ISERROR(IF(B781=C781,L781/C781,(INT(L781/B781)+(((L781-B781*INT(L781/B781)))/C781)/100))),0,(IF(B781=C781,L781/C781,(INT(L781/B781)+(((L781-B781*INT(L781/B781)))/C781)/100))))</f>
        <v>0</v>
      </c>
      <c r="AX781" s="57">
        <f>IF(ISERROR(IF(B781=C781,M781/C781,(INT(M781/B781)+(((M781-B781*INT(M781/B781)))/C781)/100))),0,(IF(B781=C781,M781/C781,(INT(M781/B781)+(((M781-B781*INT(M781/B781)))/C781)/100))))</f>
        <v>0</v>
      </c>
      <c r="AY781" s="57">
        <f>IF(ISERROR(IF(B781=C781,N781/C781,IF((INT(N781/B781)+(((N781-B781*INT(N781/B781)))/C781)/100)&lt;0,(INT(N781/B781)+(((N781-B781*INT(N781/B781)))/C781)/100)+(1-(B781/C781/100)),(INT(N781/B781)+(((N781-B781*INT(N781/B781)))/C781)/100)))),0,IF(B781=C781,N781/C781,IF((INT(N781/B781)+(((N781-B781*INT(N781/B781)))/C781)/100)&lt;0,(INT(N781/B781)+(((N781-B781*INT(N781/B781)))/C781)/100)+(1-(B781/C781/100)),(INT(N781/B781)+(((N781-B781*INT(N781/B781)))/C781)/100))))</f>
        <v>100</v>
      </c>
      <c r="AZ781" s="57">
        <f>IF(ISERROR(IF(B781=C781,O781/C781,(INT(O781/B781)+(((O781-B781*INT(O781/B781)))/C781)/100))),0,(IF(B781=C781,O781/C781,(INT(O781/B781)+(((O781-B781*INT(O781/B781)))/C781)/100))))</f>
        <v>100</v>
      </c>
      <c r="BA781" s="57">
        <f>IF(ISERROR(IF(B781=C781,P781/C781,IF((INT(P781/B781)+(((P781-B781*INT(P781/B781)))/C781)/100)&lt;0,(INT(P781/B781)+(((P781-B781*INT(P781/B781)))/C781)/100)+(1-(B781/C781/100)),(INT(P781/B781)+(((P781-B781*INT(P781/B781)))/C781)/100)))),0,IF(B781=C781,P781/C781,IF((INT(P781/B781)+(((P781-B781*INT(P781/B781)))/C781)/100)&lt;0,(INT(P781/B781)+(((P781-B781*INT(P781/B781)))/C781)/100)+(1-(B781/C781/100)),(INT(P781/B781)+(((P781-B781*INT(P781/B781)))/C781)/100))))</f>
        <v>0</v>
      </c>
      <c r="BB781" s="28">
        <f>R781</f>
        <v>200</v>
      </c>
      <c r="BC781" s="28">
        <f>S781</f>
        <v>0</v>
      </c>
      <c r="BD781" s="28">
        <f>AF781</f>
        <v>90.908333333333346</v>
      </c>
      <c r="BE781" s="28">
        <f>T781</f>
        <v>0</v>
      </c>
      <c r="BG781" s="57">
        <f>IF(ISERROR(IF(B781=C781,V781/C781,(INT(V781/B781)+(((V781-B781*INT(V781/B781)))/C781)/100))),0,(IF(B781=C781,V781/C781,(INT(V781/B781)+(((V781-B781*INT(V781/B781)))/C781)/100))))</f>
        <v>4</v>
      </c>
      <c r="BH781" s="57">
        <f>IF(ISERROR(IF(B781=C781,W781/C781,(INT(W781/B781)+(((W781-B781*INT(W781/B781)))/C781)/100))),0,(IF(B781=C781,W781/C781,(INT(W781/B781)+(((W781-B781*INT(W781/B781)))/C781)/100))))</f>
        <v>96</v>
      </c>
      <c r="BI781" s="57">
        <f>IF(ISERROR(IF(B781=C781,X781/C781,(INT(X781/B781)+(((X781-B781*INT(X781/B781)))/C781)/100))),0,(IF(B781=C781,X781/C781,(INT(X781/B781)+(((X781-B781*INT(X781/B781)))/C781)/100))))</f>
        <v>0</v>
      </c>
      <c r="BJ781" s="57">
        <f>IF(ISERROR(IF(B781=C781,Y781/C781,(INT(Y781/B781)+(((Y781-B781*INT(Y781/B781)))/C781)/100))),0,(IF(B781=C781,Y781/C781,(INT(Y781/B781)+(((Y781-B781*INT(Y781/B781)))/C781)/100))))</f>
        <v>0</v>
      </c>
      <c r="BL781" s="57">
        <f>IF(ISERROR(IF(B781=C781,AA781/C781,(INT(AA781/B781)+(((AA781-B781*INT(AA781/B781)))/C781)/100))),0,(IF(B781=C781,AA781/C781,(INT(AA781/B781)+(((AA781-B781*INT(AA781/B781)))/C781)/100))))</f>
        <v>4</v>
      </c>
      <c r="BM781" s="57">
        <f>IF(ISERROR(IF(B781=C781,AB781/C781,(INT(AB781/B781)+(((AB781-B781*INT(AB781/B781)))/C781)/100))),0,(IF(B781=C781,AB781/C781,(INT(AB781/B781)+(((AB781-B781*INT(AB781/B781)))/C781)/100))))</f>
        <v>96</v>
      </c>
      <c r="BN781" s="57">
        <f>IF(ISERROR(IF(B781=C781,AC781/C781,(INT(AC781/B781)+(((AC781-B781*INT(AC781/B781)))/C781)/100))),0,(IF(B781=C781,AC781/C781,(INT(AC781/B781)+(((AC781-B781*INT(AC781/B781)))/C781)/100))))</f>
        <v>0</v>
      </c>
      <c r="BO781" s="57">
        <f>IF(ISERROR(IF(B781=C781,AD781/C781,(INT(AD781/B781)+(((AD781-B781*INT(AD781/B781)))/C781)/100))),0,(IF(B781=C781,AD781/C781,(INT(AD781/B781)+(((AD781-B781*INT(AD781/B781)))/C781)/100))))</f>
        <v>0</v>
      </c>
      <c r="BQ781" s="155" t="s">
        <v>147</v>
      </c>
    </row>
    <row r="782" spans="1:69" hidden="1" x14ac:dyDescent="0.35">
      <c r="A782" s="94"/>
      <c r="B782" s="113"/>
      <c r="C782" s="113"/>
      <c r="D782" s="28"/>
      <c r="E782" s="113"/>
      <c r="F782" s="113"/>
      <c r="G782" s="28"/>
      <c r="H782" s="125"/>
      <c r="I782" s="113"/>
      <c r="J782" s="125"/>
      <c r="K782" s="113"/>
      <c r="L782" s="113"/>
      <c r="M782" s="113"/>
      <c r="N782" s="28"/>
      <c r="O782" s="28"/>
      <c r="P782" s="28"/>
      <c r="Q782" s="61"/>
      <c r="R782" s="113"/>
      <c r="S782" s="28"/>
      <c r="T782" s="28"/>
      <c r="V782" s="113"/>
      <c r="W782" s="113"/>
      <c r="X782" s="113"/>
      <c r="Y782" s="113"/>
      <c r="AA782" s="113"/>
      <c r="AB782" s="113"/>
      <c r="AC782" s="113"/>
      <c r="AD782" s="113"/>
      <c r="AF782" s="113"/>
      <c r="AG782" s="28"/>
      <c r="AH782" s="58"/>
      <c r="AI782" s="28"/>
      <c r="AJ782" s="28"/>
      <c r="AK782" s="58"/>
      <c r="AL782" s="28"/>
      <c r="AN782" s="51"/>
      <c r="AO782" s="28"/>
      <c r="AP782" s="28"/>
      <c r="AQ782" s="28"/>
      <c r="AR782" s="28"/>
      <c r="AS782" s="28"/>
      <c r="AT782" s="28"/>
      <c r="AU782" s="28"/>
      <c r="AV782" s="28"/>
      <c r="AW782" s="28"/>
      <c r="AX782" s="28"/>
      <c r="AY782" s="28"/>
      <c r="AZ782" s="28"/>
      <c r="BA782" s="28"/>
      <c r="BB782" s="28"/>
      <c r="BC782" s="28"/>
      <c r="BD782" s="28"/>
      <c r="BE782" s="28"/>
      <c r="BG782" s="28"/>
      <c r="BH782" s="28"/>
      <c r="BI782" s="28"/>
      <c r="BJ782" s="28"/>
      <c r="BL782" s="28"/>
      <c r="BM782" s="28"/>
      <c r="BN782" s="28"/>
      <c r="BO782" s="28"/>
      <c r="BQ782" s="113"/>
    </row>
    <row r="783" spans="1:69" hidden="1" x14ac:dyDescent="0.35">
      <c r="A783" s="135"/>
      <c r="B783" s="113"/>
      <c r="C783" s="113"/>
      <c r="D783" s="28"/>
      <c r="E783" s="113"/>
      <c r="F783" s="113"/>
      <c r="G783" s="28"/>
      <c r="H783" s="125"/>
      <c r="I783" s="113"/>
      <c r="J783" s="125"/>
      <c r="K783" s="113"/>
      <c r="L783" s="113"/>
      <c r="M783" s="113"/>
      <c r="N783" s="28"/>
      <c r="O783" s="125"/>
      <c r="P783" s="28"/>
      <c r="Q783" s="61"/>
      <c r="R783" s="113"/>
      <c r="S783" s="28"/>
      <c r="T783" s="28"/>
      <c r="V783" s="113"/>
      <c r="W783" s="113"/>
      <c r="X783" s="113"/>
      <c r="Y783" s="113"/>
      <c r="AA783" s="113"/>
      <c r="AB783" s="113"/>
      <c r="AC783" s="113"/>
      <c r="AD783" s="113"/>
      <c r="AF783" s="113"/>
      <c r="AG783" s="28"/>
      <c r="AH783" s="58"/>
      <c r="AI783" s="28"/>
      <c r="AJ783" s="28"/>
      <c r="AK783" s="58"/>
      <c r="AL783" s="28"/>
      <c r="AN783" s="65">
        <f>A783</f>
        <v>0</v>
      </c>
      <c r="AO783" s="28"/>
      <c r="AP783" s="28"/>
      <c r="AQ783" s="28"/>
      <c r="AR783" s="28"/>
      <c r="AS783" s="28"/>
      <c r="AT783" s="28"/>
      <c r="AU783" s="28"/>
      <c r="AV783" s="28"/>
      <c r="AW783" s="28"/>
      <c r="AX783" s="28"/>
      <c r="AY783" s="28"/>
      <c r="AZ783" s="28"/>
      <c r="BA783" s="28"/>
      <c r="BB783" s="28"/>
      <c r="BC783" s="28"/>
      <c r="BD783" s="28"/>
      <c r="BE783" s="28"/>
      <c r="BG783" s="28"/>
      <c r="BH783" s="28"/>
      <c r="BI783" s="28"/>
      <c r="BJ783" s="28"/>
      <c r="BL783" s="28"/>
      <c r="BM783" s="28"/>
      <c r="BN783" s="28"/>
      <c r="BO783" s="28"/>
      <c r="BQ783" s="113"/>
    </row>
    <row r="784" spans="1:69" x14ac:dyDescent="0.35">
      <c r="A784" s="94" t="s">
        <v>146</v>
      </c>
      <c r="B784" s="113">
        <v>1</v>
      </c>
      <c r="C784" s="113">
        <v>1</v>
      </c>
      <c r="D784" s="28">
        <f>SUM(AA784:AD784)</f>
        <v>23</v>
      </c>
      <c r="E784" s="113">
        <v>0</v>
      </c>
      <c r="F784" s="113">
        <v>0</v>
      </c>
      <c r="G784" s="28">
        <f>SUM(D784:F784)</f>
        <v>23</v>
      </c>
      <c r="H784" s="125">
        <v>0</v>
      </c>
      <c r="I784" s="113">
        <v>0</v>
      </c>
      <c r="J784" s="125">
        <v>0</v>
      </c>
      <c r="K784" s="113">
        <v>0</v>
      </c>
      <c r="L784" s="113">
        <v>0</v>
      </c>
      <c r="M784" s="113">
        <v>0</v>
      </c>
      <c r="N784" s="28">
        <f>G784-SUM(H784:M784)</f>
        <v>23</v>
      </c>
      <c r="O784" s="28">
        <f>SUM(V784:Y784)</f>
        <v>23</v>
      </c>
      <c r="P784" s="28">
        <f>O784-N784</f>
        <v>0</v>
      </c>
      <c r="Q784" s="61" t="str">
        <f>IF(ISERROR(P784/SUM(H784:L784)),"",P784/SUM(H784:L784))</f>
        <v/>
      </c>
      <c r="R784" s="113">
        <v>400</v>
      </c>
      <c r="S784" s="28">
        <f>IF(ISERROR(P784/C784*R784),0,(P784/C784*R784))</f>
        <v>0</v>
      </c>
      <c r="T784" s="60">
        <f>IF(ISERROR(P784/B784*AF784),0,(P784/B784*AF784))</f>
        <v>0</v>
      </c>
      <c r="V784" s="113">
        <f>1+4</f>
        <v>5</v>
      </c>
      <c r="W784" s="113">
        <v>18</v>
      </c>
      <c r="X784" s="113">
        <v>0</v>
      </c>
      <c r="Y784" s="113">
        <v>0</v>
      </c>
      <c r="AA784" s="113">
        <v>5</v>
      </c>
      <c r="AB784" s="113">
        <f>18</f>
        <v>18</v>
      </c>
      <c r="AC784" s="113">
        <v>0</v>
      </c>
      <c r="AD784" s="113">
        <v>0</v>
      </c>
      <c r="AF784" s="113">
        <f>5498.8/24</f>
        <v>229.11666666666667</v>
      </c>
      <c r="AG784" s="28">
        <f>G784-O784</f>
        <v>0</v>
      </c>
      <c r="AH784" s="58">
        <f>IF(ISERROR(AG784/B784*AF784),0,(AG784/B784*AF784))</f>
        <v>0</v>
      </c>
      <c r="AI784" s="28">
        <f>SUM(H784:M784)</f>
        <v>0</v>
      </c>
      <c r="AJ784" s="28">
        <f>IF(ISERROR(AI784/B784*AF784),0,(AI784/B784*AF784))</f>
        <v>0</v>
      </c>
      <c r="AK784" s="58">
        <f>IF(ISERROR(O784/B784*AF784),0,(O784/B784*AF784))</f>
        <v>5269.6833333333334</v>
      </c>
      <c r="AL784" s="28">
        <f>IF(ISERROR(H784/B784*AF784),0,(H784/B784*AF784))</f>
        <v>0</v>
      </c>
      <c r="AN784" s="51" t="str">
        <f>A784</f>
        <v>Krombacher  Beer</v>
      </c>
      <c r="AO784" s="57">
        <f>IF(ISERROR(IF(B784=C784,D784/C784,(INT(D784/B784)+(((D784-B784*INT(D784/B784)))/C784)/100))),0,(IF(B784=C784,D784/C784,(INT(D784/B784)+(((D784-B784*INT(D784/B784)))/C784)/100))))</f>
        <v>23</v>
      </c>
      <c r="AP784" s="57">
        <f>IF(ISERROR(IF(B784=C784,E784/C784,(INT(E784/B784)+(((E784-B784*INT(E784/B784)))/C784)/100))),0,(IF(B784=C784,E784/C784,(INT(E784/B784)+(((E784-B784*INT(E784/B784)))/C784)/100))))</f>
        <v>0</v>
      </c>
      <c r="AQ784" s="57">
        <f>IF(ISERROR(IF(B784=C784,F784/C784,IF((INT(F784/B784)+(((F784-B784*INT(F784/B784)))/C784)/100)&lt;0,(INT(F784/B784)+(((F784-B784*INT(F784/B784)))/C784)/100)+(1-(B784/C784/100)),(INT(F784/B784)+(((F784-B784*INT(F784/B784)))/C784)/100)))),0,IF(B784=C784,F784/C784,IF((INT(F784/B784)+(((F784-B784*INT(F784/B784)))/C784)/100)&lt;0,(INT(F784/B784)+(((F784-B784*INT(F784/B784)))/C784)/100)+(1-(B784/C784/100)),(INT(F784/B784)+(((F784-B784*INT(F784/B784)))/C784)/100))))</f>
        <v>0</v>
      </c>
      <c r="AR784" s="57">
        <f>IF(ISERROR(IF(B784=C784,G784/C784,(INT(G784/B784)+(((G784-B784*INT(G784/B784)))/C784)/100))),0,(IF(B784=C784,G784/C784,(INT(G784/B784)+(((G784-B784*INT(G784/B784)))/C784)/100))))</f>
        <v>23</v>
      </c>
      <c r="AS784" s="57">
        <f>IF(ISERROR(IF(B784=C784,H784/C784,(INT(H784/B784)+(((H784-B784*INT(H784/B784)))/C784)/100))),0,(IF(B784=C784,H784/C784,(INT(H784/B784)+(((H784-B784*INT(H784/B784)))/C784)/100))))</f>
        <v>0</v>
      </c>
      <c r="AT784" s="57">
        <f>IF(ISERROR(IF(B784=C784,I784/C784,(INT(I784/B784)+(((I784-B784*INT(I784/B784)))/C784)/100))),0,(IF(B784=C784,I784/C784,(INT(I784/B784)+(((I784-B784*INT(I784/B784)))/C784)/100))))</f>
        <v>0</v>
      </c>
      <c r="AU784" s="57">
        <f>IF(ISERROR(IF(B784=C784,J784/C784,(INT(J784/B784)+(((J784-B784*INT(J784/B784)))/C784)/100))),0,(IF(B784=C784,J784/C784,(INT(J784/B784)+(((J784-B784*INT(J784/B784)))/C784)/100))))</f>
        <v>0</v>
      </c>
      <c r="AV784" s="57">
        <f>IF(ISERROR(IF(B784=C784,K784/C784,IF((INT(K784/B784)+(((K784-B784*INT(K784/B784)))/C784)/100)&lt;0,(INT(K784/B784)+(((K784-B784*INT(K784/B784)))/C784)/100)+(1-(B784/C784/100)),(INT(K784/B784)+(((K784-B784*INT(K784/B784)))/C784)/100)))),0,IF(B784=C784,K784/C784,IF((INT(K784/B784)+(((K784-B784*INT(K784/B784)))/C784)/100)&lt;0,(INT(K784/B784)+(((K784-B784*INT(K784/B784)))/C784)/100)+(1-(B784/C784/100)),(INT(K784/B784)+(((K784-B784*INT(K784/B784)))/C784)/100))))</f>
        <v>0</v>
      </c>
      <c r="AW784" s="57">
        <f>IF(ISERROR(IF(B784=C784,L784/C784,(INT(L784/B784)+(((L784-B784*INT(L784/B784)))/C784)/100))),0,(IF(B784=C784,L784/C784,(INT(L784/B784)+(((L784-B784*INT(L784/B784)))/C784)/100))))</f>
        <v>0</v>
      </c>
      <c r="AX784" s="57">
        <f>IF(ISERROR(IF(B784=C784,M784/C784,(INT(M784/B784)+(((M784-B784*INT(M784/B784)))/C784)/100))),0,(IF(B784=C784,M784/C784,(INT(M784/B784)+(((M784-B784*INT(M784/B784)))/C784)/100))))</f>
        <v>0</v>
      </c>
      <c r="AY784" s="57">
        <f>IF(ISERROR(IF(B784=C784,N784/C784,IF((INT(N784/B784)+(((N784-B784*INT(N784/B784)))/C784)/100)&lt;0,(INT(N784/B784)+(((N784-B784*INT(N784/B784)))/C784)/100)+(1-(B784/C784/100)),(INT(N784/B784)+(((N784-B784*INT(N784/B784)))/C784)/100)))),0,IF(B784=C784,N784/C784,IF((INT(N784/B784)+(((N784-B784*INT(N784/B784)))/C784)/100)&lt;0,(INT(N784/B784)+(((N784-B784*INT(N784/B784)))/C784)/100)+(1-(B784/C784/100)),(INT(N784/B784)+(((N784-B784*INT(N784/B784)))/C784)/100))))</f>
        <v>23</v>
      </c>
      <c r="AZ784" s="57">
        <f>IF(ISERROR(IF(B784=C784,O784/C784,(INT(O784/B784)+(((O784-B784*INT(O784/B784)))/C784)/100))),0,(IF(B784=C784,O784/C784,(INT(O784/B784)+(((O784-B784*INT(O784/B784)))/C784)/100))))</f>
        <v>23</v>
      </c>
      <c r="BA784" s="57">
        <f>IF(ISERROR(IF(B784=C784,P784/C784,IF((INT(P784/B784)+(((P784-B784*INT(P784/B784)))/C784)/100)&lt;0,(INT(P784/B784)+(((P784-B784*INT(P784/B784)))/C784)/100)+(1-(B784/C784/100)),(INT(P784/B784)+(((P784-B784*INT(P784/B784)))/C784)/100)))),0,IF(B784=C784,P784/C784,IF((INT(P784/B784)+(((P784-B784*INT(P784/B784)))/C784)/100)&lt;0,(INT(P784/B784)+(((P784-B784*INT(P784/B784)))/C784)/100)+(1-(B784/C784/100)),(INT(P784/B784)+(((P784-B784*INT(P784/B784)))/C784)/100))))</f>
        <v>0</v>
      </c>
      <c r="BB784" s="28">
        <f>R784</f>
        <v>400</v>
      </c>
      <c r="BC784" s="28">
        <f>S784</f>
        <v>0</v>
      </c>
      <c r="BD784" s="28">
        <f>AF784</f>
        <v>229.11666666666667</v>
      </c>
      <c r="BE784" s="28">
        <f>T784</f>
        <v>0</v>
      </c>
      <c r="BG784" s="57">
        <f>IF(ISERROR(IF(B784=C784,V784/C784,(INT(V784/B784)+(((V784-B784*INT(V784/B784)))/C784)/100))),0,(IF(B784=C784,V784/C784,(INT(V784/B784)+(((V784-B784*INT(V784/B784)))/C784)/100))))</f>
        <v>5</v>
      </c>
      <c r="BH784" s="57">
        <f>IF(ISERROR(IF(B784=C784,W784/C784,(INT(W784/B784)+(((W784-B784*INT(W784/B784)))/C784)/100))),0,(IF(B784=C784,W784/C784,(INT(W784/B784)+(((W784-B784*INT(W784/B784)))/C784)/100))))</f>
        <v>18</v>
      </c>
      <c r="BI784" s="57">
        <f>IF(ISERROR(IF(B784=C784,X784/C784,(INT(X784/B784)+(((X784-B784*INT(X784/B784)))/C784)/100))),0,(IF(B784=C784,X784/C784,(INT(X784/B784)+(((X784-B784*INT(X784/B784)))/C784)/100))))</f>
        <v>0</v>
      </c>
      <c r="BJ784" s="57">
        <f>IF(ISERROR(IF(B784=C784,Y784/C784,(INT(Y784/B784)+(((Y784-B784*INT(Y784/B784)))/C784)/100))),0,(IF(B784=C784,Y784/C784,(INT(Y784/B784)+(((Y784-B784*INT(Y784/B784)))/C784)/100))))</f>
        <v>0</v>
      </c>
      <c r="BL784" s="57">
        <f>IF(ISERROR(IF(B784=C784,AA784/C784,(INT(AA784/B784)+(((AA784-B784*INT(AA784/B784)))/C784)/100))),0,(IF(B784=C784,AA784/C784,(INT(AA784/B784)+(((AA784-B784*INT(AA784/B784)))/C784)/100))))</f>
        <v>5</v>
      </c>
      <c r="BM784" s="57">
        <f>IF(ISERROR(IF(B784=C784,AB784/C784,(INT(AB784/B784)+(((AB784-B784*INT(AB784/B784)))/C784)/100))),0,(IF(B784=C784,AB784/C784,(INT(AB784/B784)+(((AB784-B784*INT(AB784/B784)))/C784)/100))))</f>
        <v>18</v>
      </c>
      <c r="BN784" s="57">
        <f>IF(ISERROR(IF(B784=C784,AC784/C784,(INT(AC784/B784)+(((AC784-B784*INT(AC784/B784)))/C784)/100))),0,(IF(B784=C784,AC784/C784,(INT(AC784/B784)+(((AC784-B784*INT(AC784/B784)))/C784)/100))))</f>
        <v>0</v>
      </c>
      <c r="BO784" s="57">
        <f>IF(ISERROR(IF(B784=C784,AD784/C784,(INT(AD784/B784)+(((AD784-B784*INT(AD784/B784)))/C784)/100))),0,(IF(B784=C784,AD784/C784,(INT(AD784/B784)+(((AD784-B784*INT(AD784/B784)))/C784)/100))))</f>
        <v>0</v>
      </c>
      <c r="BQ784" s="155" t="s">
        <v>141</v>
      </c>
    </row>
    <row r="785" spans="1:69" hidden="1" x14ac:dyDescent="0.35">
      <c r="A785" s="134"/>
      <c r="B785" s="113">
        <v>1</v>
      </c>
      <c r="C785" s="113">
        <v>1</v>
      </c>
      <c r="D785" s="28">
        <f>SUM(AA785:AD785)</f>
        <v>0</v>
      </c>
      <c r="E785" s="113">
        <v>0</v>
      </c>
      <c r="F785" s="113">
        <v>0</v>
      </c>
      <c r="G785" s="28">
        <f>SUM(D785:F785)</f>
        <v>0</v>
      </c>
      <c r="H785" s="125">
        <v>0</v>
      </c>
      <c r="I785" s="113">
        <v>0</v>
      </c>
      <c r="J785" s="125">
        <v>0</v>
      </c>
      <c r="K785" s="113">
        <v>0</v>
      </c>
      <c r="L785" s="113">
        <v>0</v>
      </c>
      <c r="M785" s="113">
        <v>0</v>
      </c>
      <c r="N785" s="28">
        <f>G785-SUM(H785:M785)</f>
        <v>0</v>
      </c>
      <c r="O785" s="28">
        <f>SUM(V785:Y785)</f>
        <v>0</v>
      </c>
      <c r="P785" s="28">
        <f>O785-N785</f>
        <v>0</v>
      </c>
      <c r="Q785" s="61" t="str">
        <f>IF(ISERROR(P785/SUM(H785:L785)),"",P785/SUM(H785:L785))</f>
        <v/>
      </c>
      <c r="R785" s="113">
        <v>0</v>
      </c>
      <c r="S785" s="28">
        <f>IF(ISERROR(P785/C785*R785),0,(P785/C785*R785))</f>
        <v>0</v>
      </c>
      <c r="T785" s="60">
        <f>IF(ISERROR(P785/B785*AF785),0,(P785/B785*AF785))</f>
        <v>0</v>
      </c>
      <c r="V785" s="113">
        <v>0</v>
      </c>
      <c r="W785" s="113">
        <v>0</v>
      </c>
      <c r="X785" s="113">
        <v>0</v>
      </c>
      <c r="Y785" s="113">
        <v>0</v>
      </c>
      <c r="AA785" s="113">
        <v>0</v>
      </c>
      <c r="AB785" s="113">
        <v>0</v>
      </c>
      <c r="AC785" s="113">
        <v>0</v>
      </c>
      <c r="AD785" s="113">
        <v>0</v>
      </c>
      <c r="AF785" s="113">
        <v>0</v>
      </c>
      <c r="AG785" s="28">
        <f>G785-O785</f>
        <v>0</v>
      </c>
      <c r="AH785" s="58">
        <f>IF(ISERROR(AG785/B785*AF785),0,(AG785/B785*AF785))</f>
        <v>0</v>
      </c>
      <c r="AI785" s="28">
        <f>SUM(H785:M785)</f>
        <v>0</v>
      </c>
      <c r="AJ785" s="28">
        <f>IF(ISERROR(AI785/B785*AF785),0,(AI785/B785*AF785))</f>
        <v>0</v>
      </c>
      <c r="AK785" s="58">
        <f>IF(ISERROR(O785/B785*AF785),0,(O785/B785*AF785))</f>
        <v>0</v>
      </c>
      <c r="AL785" s="28">
        <f>IF(ISERROR(H785/B785*AF785),0,(H785/B785*AF785))</f>
        <v>0</v>
      </c>
      <c r="AN785" s="51">
        <f>A785</f>
        <v>0</v>
      </c>
      <c r="AO785" s="57">
        <f>IF(ISERROR(IF(B785=C785,D785/C785,(INT(D785/B785)+(((D785-B785*INT(D785/B785)))/C785)/100))),0,(IF(B785=C785,D785/C785,(INT(D785/B785)+(((D785-B785*INT(D785/B785)))/C785)/100))))</f>
        <v>0</v>
      </c>
      <c r="AP785" s="57">
        <f>IF(ISERROR(IF(B785=C785,E785/C785,(INT(E785/B785)+(((E785-B785*INT(E785/B785)))/C785)/100))),0,(IF(B785=C785,E785/C785,(INT(E785/B785)+(((E785-B785*INT(E785/B785)))/C785)/100))))</f>
        <v>0</v>
      </c>
      <c r="AQ785" s="57">
        <f>IF(ISERROR(IF(B785=C785,F785/C785,IF((INT(F785/B785)+(((F785-B785*INT(F785/B785)))/C785)/100)&lt;0,(INT(F785/B785)+(((F785-B785*INT(F785/B785)))/C785)/100)+(1-(B785/C785/100)),(INT(F785/B785)+(((F785-B785*INT(F785/B785)))/C785)/100)))),0,IF(B785=C785,F785/C785,IF((INT(F785/B785)+(((F785-B785*INT(F785/B785)))/C785)/100)&lt;0,(INT(F785/B785)+(((F785-B785*INT(F785/B785)))/C785)/100)+(1-(B785/C785/100)),(INT(F785/B785)+(((F785-B785*INT(F785/B785)))/C785)/100))))</f>
        <v>0</v>
      </c>
      <c r="AR785" s="57">
        <f>IF(ISERROR(IF(B785=C785,G785/C785,(INT(G785/B785)+(((G785-B785*INT(G785/B785)))/C785)/100))),0,(IF(B785=C785,G785/C785,(INT(G785/B785)+(((G785-B785*INT(G785/B785)))/C785)/100))))</f>
        <v>0</v>
      </c>
      <c r="AS785" s="57">
        <f>IF(ISERROR(IF(B785=C785,H785/C785,(INT(H785/B785)+(((H785-B785*INT(H785/B785)))/C785)/100))),0,(IF(B785=C785,H785/C785,(INT(H785/B785)+(((H785-B785*INT(H785/B785)))/C785)/100))))</f>
        <v>0</v>
      </c>
      <c r="AT785" s="57">
        <f>IF(ISERROR(IF(B785=C785,I785/C785,(INT(I785/B785)+(((I785-B785*INT(I785/B785)))/C785)/100))),0,(IF(B785=C785,I785/C785,(INT(I785/B785)+(((I785-B785*INT(I785/B785)))/C785)/100))))</f>
        <v>0</v>
      </c>
      <c r="AU785" s="57">
        <f>IF(ISERROR(IF(B785=C785,J785/C785,(INT(J785/B785)+(((J785-B785*INT(J785/B785)))/C785)/100))),0,(IF(B785=C785,J785/C785,(INT(J785/B785)+(((J785-B785*INT(J785/B785)))/C785)/100))))</f>
        <v>0</v>
      </c>
      <c r="AV785" s="57">
        <f>IF(ISERROR(IF(B785=C785,K785/C785,IF((INT(K785/B785)+(((K785-B785*INT(K785/B785)))/C785)/100)&lt;0,(INT(K785/B785)+(((K785-B785*INT(K785/B785)))/C785)/100)+(1-(B785/C785/100)),(INT(K785/B785)+(((K785-B785*INT(K785/B785)))/C785)/100)))),0,IF(B785=C785,K785/C785,IF((INT(K785/B785)+(((K785-B785*INT(K785/B785)))/C785)/100)&lt;0,(INT(K785/B785)+(((K785-B785*INT(K785/B785)))/C785)/100)+(1-(B785/C785/100)),(INT(K785/B785)+(((K785-B785*INT(K785/B785)))/C785)/100))))</f>
        <v>0</v>
      </c>
      <c r="AW785" s="57">
        <f>IF(ISERROR(IF(B785=C785,L785/C785,(INT(L785/B785)+(((L785-B785*INT(L785/B785)))/C785)/100))),0,(IF(B785=C785,L785/C785,(INT(L785/B785)+(((L785-B785*INT(L785/B785)))/C785)/100))))</f>
        <v>0</v>
      </c>
      <c r="AX785" s="57">
        <f>IF(ISERROR(IF(B785=C785,M785/C785,(INT(M785/B785)+(((M785-B785*INT(M785/B785)))/C785)/100))),0,(IF(B785=C785,M785/C785,(INT(M785/B785)+(((M785-B785*INT(M785/B785)))/C785)/100))))</f>
        <v>0</v>
      </c>
      <c r="AY785" s="57">
        <f>IF(ISERROR(IF(B785=C785,N785/C785,IF((INT(N785/B785)+(((N785-B785*INT(N785/B785)))/C785)/100)&lt;0,(INT(N785/B785)+(((N785-B785*INT(N785/B785)))/C785)/100)+(1-(B785/C785/100)),(INT(N785/B785)+(((N785-B785*INT(N785/B785)))/C785)/100)))),0,IF(B785=C785,N785/C785,IF((INT(N785/B785)+(((N785-B785*INT(N785/B785)))/C785)/100)&lt;0,(INT(N785/B785)+(((N785-B785*INT(N785/B785)))/C785)/100)+(1-(B785/C785/100)),(INT(N785/B785)+(((N785-B785*INT(N785/B785)))/C785)/100))))</f>
        <v>0</v>
      </c>
      <c r="AZ785" s="57">
        <f>IF(ISERROR(IF(B785=C785,O785/C785,(INT(O785/B785)+(((O785-B785*INT(O785/B785)))/C785)/100))),0,(IF(B785=C785,O785/C785,(INT(O785/B785)+(((O785-B785*INT(O785/B785)))/C785)/100))))</f>
        <v>0</v>
      </c>
      <c r="BA785" s="57">
        <f>IF(ISERROR(IF(B785=C785,P785/C785,IF((INT(P785/B785)+(((P785-B785*INT(P785/B785)))/C785)/100)&lt;0,(INT(P785/B785)+(((P785-B785*INT(P785/B785)))/C785)/100)+(1-(B785/C785/100)),(INT(P785/B785)+(((P785-B785*INT(P785/B785)))/C785)/100)))),0,IF(B785=C785,P785/C785,IF((INT(P785/B785)+(((P785-B785*INT(P785/B785)))/C785)/100)&lt;0,(INT(P785/B785)+(((P785-B785*INT(P785/B785)))/C785)/100)+(1-(B785/C785/100)),(INT(P785/B785)+(((P785-B785*INT(P785/B785)))/C785)/100))))</f>
        <v>0</v>
      </c>
      <c r="BB785" s="28">
        <f>R785</f>
        <v>0</v>
      </c>
      <c r="BC785" s="28">
        <f>S785</f>
        <v>0</v>
      </c>
      <c r="BD785" s="28">
        <f>AF785</f>
        <v>0</v>
      </c>
      <c r="BE785" s="28">
        <f>T785</f>
        <v>0</v>
      </c>
      <c r="BG785" s="57">
        <f>IF(ISERROR(IF(B785=C785,V785/C785,(INT(V785/B785)+(((V785-B785*INT(V785/B785)))/C785)/100))),0,(IF(B785=C785,V785/C785,(INT(V785/B785)+(((V785-B785*INT(V785/B785)))/C785)/100))))</f>
        <v>0</v>
      </c>
      <c r="BH785" s="57">
        <f>IF(ISERROR(IF(B785=C785,W785/C785,(INT(W785/B785)+(((W785-B785*INT(W785/B785)))/C785)/100))),0,(IF(B785=C785,W785/C785,(INT(W785/B785)+(((W785-B785*INT(W785/B785)))/C785)/100))))</f>
        <v>0</v>
      </c>
      <c r="BI785" s="57">
        <f>IF(ISERROR(IF(B785=C785,X785/C785,(INT(X785/B785)+(((X785-B785*INT(X785/B785)))/C785)/100))),0,(IF(B785=C785,X785/C785,(INT(X785/B785)+(((X785-B785*INT(X785/B785)))/C785)/100))))</f>
        <v>0</v>
      </c>
      <c r="BJ785" s="57">
        <f>IF(ISERROR(IF(B785=C785,Y785/C785,(INT(Y785/B785)+(((Y785-B785*INT(Y785/B785)))/C785)/100))),0,(IF(B785=C785,Y785/C785,(INT(Y785/B785)+(((Y785-B785*INT(Y785/B785)))/C785)/100))))</f>
        <v>0</v>
      </c>
      <c r="BL785" s="57">
        <f>IF(ISERROR(IF(B785=C785,AA785/C785,(INT(AA785/B785)+(((AA785-B785*INT(AA785/B785)))/C785)/100))),0,(IF(B785=C785,AA785/C785,(INT(AA785/B785)+(((AA785-B785*INT(AA785/B785)))/C785)/100))))</f>
        <v>0</v>
      </c>
      <c r="BM785" s="57">
        <f>IF(ISERROR(IF(B785=C785,AB785/C785,(INT(AB785/B785)+(((AB785-B785*INT(AB785/B785)))/C785)/100))),0,(IF(B785=C785,AB785/C785,(INT(AB785/B785)+(((AB785-B785*INT(AB785/B785)))/C785)/100))))</f>
        <v>0</v>
      </c>
      <c r="BN785" s="57">
        <f>IF(ISERROR(IF(B785=C785,AC785/C785,(INT(AC785/B785)+(((AC785-B785*INT(AC785/B785)))/C785)/100))),0,(IF(B785=C785,AC785/C785,(INT(AC785/B785)+(((AC785-B785*INT(AC785/B785)))/C785)/100))))</f>
        <v>0</v>
      </c>
      <c r="BO785" s="57">
        <f>IF(ISERROR(IF(B785=C785,AD785/C785,(INT(AD785/B785)+(((AD785-B785*INT(AD785/B785)))/C785)/100))),0,(IF(B785=C785,AD785/C785,(INT(AD785/B785)+(((AD785-B785*INT(AD785/B785)))/C785)/100))))</f>
        <v>0</v>
      </c>
      <c r="BQ785" s="155" t="s">
        <v>141</v>
      </c>
    </row>
    <row r="786" spans="1:69" hidden="1" x14ac:dyDescent="0.35">
      <c r="A786" s="94"/>
      <c r="B786" s="113">
        <v>1</v>
      </c>
      <c r="C786" s="113">
        <v>1</v>
      </c>
      <c r="D786" s="28">
        <f>SUM(AA786:AD786)</f>
        <v>0</v>
      </c>
      <c r="E786" s="113">
        <v>0</v>
      </c>
      <c r="F786" s="113">
        <v>0</v>
      </c>
      <c r="G786" s="28">
        <f>SUM(D786:F786)</f>
        <v>0</v>
      </c>
      <c r="H786" s="125">
        <v>0</v>
      </c>
      <c r="I786" s="113">
        <v>0</v>
      </c>
      <c r="J786" s="125">
        <v>0</v>
      </c>
      <c r="K786" s="113">
        <v>0</v>
      </c>
      <c r="L786" s="113">
        <v>0</v>
      </c>
      <c r="M786" s="113">
        <v>0</v>
      </c>
      <c r="N786" s="28">
        <f>G786-SUM(H786:M786)</f>
        <v>0</v>
      </c>
      <c r="O786" s="28">
        <f>SUM(V786:Y786)</f>
        <v>0</v>
      </c>
      <c r="P786" s="28">
        <f>O786-N786</f>
        <v>0</v>
      </c>
      <c r="Q786" s="61" t="str">
        <f>IF(ISERROR(P786/SUM(H786:L786)),"",P786/SUM(H786:L786))</f>
        <v/>
      </c>
      <c r="R786" s="113">
        <v>0</v>
      </c>
      <c r="S786" s="28">
        <f>IF(ISERROR(P786/C786*R786),0,(P786/C786*R786))</f>
        <v>0</v>
      </c>
      <c r="T786" s="60">
        <f>IF(ISERROR(P786/B786*AF786),0,(P786/B786*AF786))</f>
        <v>0</v>
      </c>
      <c r="V786" s="113">
        <v>0</v>
      </c>
      <c r="W786" s="113">
        <v>0</v>
      </c>
      <c r="X786" s="113">
        <v>0</v>
      </c>
      <c r="Y786" s="113">
        <v>0</v>
      </c>
      <c r="AA786" s="113">
        <v>0</v>
      </c>
      <c r="AB786" s="113">
        <v>0</v>
      </c>
      <c r="AC786" s="113">
        <v>0</v>
      </c>
      <c r="AD786" s="113">
        <v>0</v>
      </c>
      <c r="AF786" s="113">
        <v>0</v>
      </c>
      <c r="AG786" s="28">
        <f>G786-O786</f>
        <v>0</v>
      </c>
      <c r="AH786" s="58">
        <f>IF(ISERROR(AG786/B786*AF786),0,(AG786/B786*AF786))</f>
        <v>0</v>
      </c>
      <c r="AI786" s="28">
        <f>SUM(H786:M786)</f>
        <v>0</v>
      </c>
      <c r="AJ786" s="28">
        <f>IF(ISERROR(AI786/B786*AF786),0,(AI786/B786*AF786))</f>
        <v>0</v>
      </c>
      <c r="AK786" s="58">
        <f>IF(ISERROR(O786/B786*AF786),0,(O786/B786*AF786))</f>
        <v>0</v>
      </c>
      <c r="AL786" s="28">
        <f>IF(ISERROR(H786/B786*AF786),0,(H786/B786*AF786))</f>
        <v>0</v>
      </c>
      <c r="AN786" s="51">
        <f>A786</f>
        <v>0</v>
      </c>
      <c r="AO786" s="57">
        <f>IF(ISERROR(IF(B786=C786,D786/C786,(INT(D786/B786)+(((D786-B786*INT(D786/B786)))/C786)/100))),0,(IF(B786=C786,D786/C786,(INT(D786/B786)+(((D786-B786*INT(D786/B786)))/C786)/100))))</f>
        <v>0</v>
      </c>
      <c r="AP786" s="57">
        <f>IF(ISERROR(IF(B786=C786,E786/C786,(INT(E786/B786)+(((E786-B786*INT(E786/B786)))/C786)/100))),0,(IF(B786=C786,E786/C786,(INT(E786/B786)+(((E786-B786*INT(E786/B786)))/C786)/100))))</f>
        <v>0</v>
      </c>
      <c r="AQ786" s="57">
        <f>IF(ISERROR(IF(B786=C786,F786/C786,IF((INT(F786/B786)+(((F786-B786*INT(F786/B786)))/C786)/100)&lt;0,(INT(F786/B786)+(((F786-B786*INT(F786/B786)))/C786)/100)+(1-(B786/C786/100)),(INT(F786/B786)+(((F786-B786*INT(F786/B786)))/C786)/100)))),0,IF(B786=C786,F786/C786,IF((INT(F786/B786)+(((F786-B786*INT(F786/B786)))/C786)/100)&lt;0,(INT(F786/B786)+(((F786-B786*INT(F786/B786)))/C786)/100)+(1-(B786/C786/100)),(INT(F786/B786)+(((F786-B786*INT(F786/B786)))/C786)/100))))</f>
        <v>0</v>
      </c>
      <c r="AR786" s="57">
        <f>IF(ISERROR(IF(B786=C786,G786/C786,(INT(G786/B786)+(((G786-B786*INT(G786/B786)))/C786)/100))),0,(IF(B786=C786,G786/C786,(INT(G786/B786)+(((G786-B786*INT(G786/B786)))/C786)/100))))</f>
        <v>0</v>
      </c>
      <c r="AS786" s="57">
        <f>IF(ISERROR(IF(B786=C786,H786/C786,(INT(H786/B786)+(((H786-B786*INT(H786/B786)))/C786)/100))),0,(IF(B786=C786,H786/C786,(INT(H786/B786)+(((H786-B786*INT(H786/B786)))/C786)/100))))</f>
        <v>0</v>
      </c>
      <c r="AT786" s="57">
        <f>IF(ISERROR(IF(B786=C786,I786/C786,(INT(I786/B786)+(((I786-B786*INT(I786/B786)))/C786)/100))),0,(IF(B786=C786,I786/C786,(INT(I786/B786)+(((I786-B786*INT(I786/B786)))/C786)/100))))</f>
        <v>0</v>
      </c>
      <c r="AU786" s="57">
        <f>IF(ISERROR(IF(B786=C786,J786/C786,(INT(J786/B786)+(((J786-B786*INT(J786/B786)))/C786)/100))),0,(IF(B786=C786,J786/C786,(INT(J786/B786)+(((J786-B786*INT(J786/B786)))/C786)/100))))</f>
        <v>0</v>
      </c>
      <c r="AV786" s="57">
        <f>IF(ISERROR(IF(B786=C786,K786/C786,IF((INT(K786/B786)+(((K786-B786*INT(K786/B786)))/C786)/100)&lt;0,(INT(K786/B786)+(((K786-B786*INT(K786/B786)))/C786)/100)+(1-(B786/C786/100)),(INT(K786/B786)+(((K786-B786*INT(K786/B786)))/C786)/100)))),0,IF(B786=C786,K786/C786,IF((INT(K786/B786)+(((K786-B786*INT(K786/B786)))/C786)/100)&lt;0,(INT(K786/B786)+(((K786-B786*INT(K786/B786)))/C786)/100)+(1-(B786/C786/100)),(INT(K786/B786)+(((K786-B786*INT(K786/B786)))/C786)/100))))</f>
        <v>0</v>
      </c>
      <c r="AW786" s="57">
        <f>IF(ISERROR(IF(B786=C786,L786/C786,(INT(L786/B786)+(((L786-B786*INT(L786/B786)))/C786)/100))),0,(IF(B786=C786,L786/C786,(INT(L786/B786)+(((L786-B786*INT(L786/B786)))/C786)/100))))</f>
        <v>0</v>
      </c>
      <c r="AX786" s="57">
        <f>IF(ISERROR(IF(B786=C786,M786/C786,(INT(M786/B786)+(((M786-B786*INT(M786/B786)))/C786)/100))),0,(IF(B786=C786,M786/C786,(INT(M786/B786)+(((M786-B786*INT(M786/B786)))/C786)/100))))</f>
        <v>0</v>
      </c>
      <c r="AY786" s="57">
        <f>IF(ISERROR(IF(B786=C786,N786/C786,IF((INT(N786/B786)+(((N786-B786*INT(N786/B786)))/C786)/100)&lt;0,(INT(N786/B786)+(((N786-B786*INT(N786/B786)))/C786)/100)+(1-(B786/C786/100)),(INT(N786/B786)+(((N786-B786*INT(N786/B786)))/C786)/100)))),0,IF(B786=C786,N786/C786,IF((INT(N786/B786)+(((N786-B786*INT(N786/B786)))/C786)/100)&lt;0,(INT(N786/B786)+(((N786-B786*INT(N786/B786)))/C786)/100)+(1-(B786/C786/100)),(INT(N786/B786)+(((N786-B786*INT(N786/B786)))/C786)/100))))</f>
        <v>0</v>
      </c>
      <c r="AZ786" s="57">
        <f>IF(ISERROR(IF(B786=C786,O786/C786,(INT(O786/B786)+(((O786-B786*INT(O786/B786)))/C786)/100))),0,(IF(B786=C786,O786/C786,(INT(O786/B786)+(((O786-B786*INT(O786/B786)))/C786)/100))))</f>
        <v>0</v>
      </c>
      <c r="BA786" s="57">
        <f>IF(ISERROR(IF(B786=C786,P786/C786,IF((INT(P786/B786)+(((P786-B786*INT(P786/B786)))/C786)/100)&lt;0,(INT(P786/B786)+(((P786-B786*INT(P786/B786)))/C786)/100)+(1-(B786/C786/100)),(INT(P786/B786)+(((P786-B786*INT(P786/B786)))/C786)/100)))),0,IF(B786=C786,P786/C786,IF((INT(P786/B786)+(((P786-B786*INT(P786/B786)))/C786)/100)&lt;0,(INT(P786/B786)+(((P786-B786*INT(P786/B786)))/C786)/100)+(1-(B786/C786/100)),(INT(P786/B786)+(((P786-B786*INT(P786/B786)))/C786)/100))))</f>
        <v>0</v>
      </c>
      <c r="BB786" s="28">
        <f>R786</f>
        <v>0</v>
      </c>
      <c r="BC786" s="28">
        <f>S786</f>
        <v>0</v>
      </c>
      <c r="BD786" s="28">
        <f>AF786</f>
        <v>0</v>
      </c>
      <c r="BE786" s="28">
        <f>T786</f>
        <v>0</v>
      </c>
      <c r="BG786" s="57">
        <f>IF(ISERROR(IF(B786=C786,V786/C786,(INT(V786/B786)+(((V786-B786*INT(V786/B786)))/C786)/100))),0,(IF(B786=C786,V786/C786,(INT(V786/B786)+(((V786-B786*INT(V786/B786)))/C786)/100))))</f>
        <v>0</v>
      </c>
      <c r="BH786" s="57">
        <f>IF(ISERROR(IF(B786=C786,W786/C786,(INT(W786/B786)+(((W786-B786*INT(W786/B786)))/C786)/100))),0,(IF(B786=C786,W786/C786,(INT(W786/B786)+(((W786-B786*INT(W786/B786)))/C786)/100))))</f>
        <v>0</v>
      </c>
      <c r="BI786" s="57">
        <f>IF(ISERROR(IF(B786=C786,X786/C786,(INT(X786/B786)+(((X786-B786*INT(X786/B786)))/C786)/100))),0,(IF(B786=C786,X786/C786,(INT(X786/B786)+(((X786-B786*INT(X786/B786)))/C786)/100))))</f>
        <v>0</v>
      </c>
      <c r="BJ786" s="57">
        <f>IF(ISERROR(IF(B786=C786,Y786/C786,(INT(Y786/B786)+(((Y786-B786*INT(Y786/B786)))/C786)/100))),0,(IF(B786=C786,Y786/C786,(INT(Y786/B786)+(((Y786-B786*INT(Y786/B786)))/C786)/100))))</f>
        <v>0</v>
      </c>
      <c r="BL786" s="57">
        <f>IF(ISERROR(IF(B786=C786,AA786/C786,(INT(AA786/B786)+(((AA786-B786*INT(AA786/B786)))/C786)/100))),0,(IF(B786=C786,AA786/C786,(INT(AA786/B786)+(((AA786-B786*INT(AA786/B786)))/C786)/100))))</f>
        <v>0</v>
      </c>
      <c r="BM786" s="57">
        <f>IF(ISERROR(IF(B786=C786,AB786/C786,(INT(AB786/B786)+(((AB786-B786*INT(AB786/B786)))/C786)/100))),0,(IF(B786=C786,AB786/C786,(INT(AB786/B786)+(((AB786-B786*INT(AB786/B786)))/C786)/100))))</f>
        <v>0</v>
      </c>
      <c r="BN786" s="57">
        <f>IF(ISERROR(IF(B786=C786,AC786/C786,(INT(AC786/B786)+(((AC786-B786*INT(AC786/B786)))/C786)/100))),0,(IF(B786=C786,AC786/C786,(INT(AC786/B786)+(((AC786-B786*INT(AC786/B786)))/C786)/100))))</f>
        <v>0</v>
      </c>
      <c r="BO786" s="57">
        <f>IF(ISERROR(IF(B786=C786,AD786/C786,(INT(AD786/B786)+(((AD786-B786*INT(AD786/B786)))/C786)/100))),0,(IF(B786=C786,AD786/C786,(INT(AD786/B786)+(((AD786-B786*INT(AD786/B786)))/C786)/100))))</f>
        <v>0</v>
      </c>
      <c r="BQ786" s="155" t="s">
        <v>141</v>
      </c>
    </row>
    <row r="787" spans="1:69" hidden="1" x14ac:dyDescent="0.35">
      <c r="A787" s="94"/>
      <c r="B787" s="113">
        <v>1</v>
      </c>
      <c r="C787" s="113">
        <v>1</v>
      </c>
      <c r="D787" s="28">
        <f>SUM(AA787:AD787)</f>
        <v>0</v>
      </c>
      <c r="E787" s="113">
        <v>0</v>
      </c>
      <c r="F787" s="113">
        <v>0</v>
      </c>
      <c r="G787" s="28">
        <f>SUM(D787:F787)</f>
        <v>0</v>
      </c>
      <c r="H787" s="125">
        <v>0</v>
      </c>
      <c r="I787" s="113">
        <v>0</v>
      </c>
      <c r="J787" s="125">
        <v>0</v>
      </c>
      <c r="K787" s="113">
        <v>0</v>
      </c>
      <c r="L787" s="113">
        <v>0</v>
      </c>
      <c r="M787" s="113">
        <v>0</v>
      </c>
      <c r="N787" s="28">
        <f>G787-SUM(H787:M787)</f>
        <v>0</v>
      </c>
      <c r="O787" s="28">
        <f>SUM(V787:Y787)</f>
        <v>0</v>
      </c>
      <c r="P787" s="28">
        <f>O787-N787</f>
        <v>0</v>
      </c>
      <c r="Q787" s="61" t="str">
        <f>IF(ISERROR(P787/SUM(H787:L787)),"",P787/SUM(H787:L787))</f>
        <v/>
      </c>
      <c r="R787" s="113">
        <v>0</v>
      </c>
      <c r="S787" s="28">
        <f>IF(ISERROR(P787/C787*R787),0,(P787/C787*R787))</f>
        <v>0</v>
      </c>
      <c r="T787" s="60">
        <f>IF(ISERROR(P787/B787*AF787),0,(P787/B787*AF787))</f>
        <v>0</v>
      </c>
      <c r="V787" s="113">
        <v>0</v>
      </c>
      <c r="W787" s="113">
        <v>0</v>
      </c>
      <c r="X787" s="113">
        <v>0</v>
      </c>
      <c r="Y787" s="113">
        <v>0</v>
      </c>
      <c r="AA787" s="113">
        <v>0</v>
      </c>
      <c r="AB787" s="113">
        <v>0</v>
      </c>
      <c r="AC787" s="113">
        <v>0</v>
      </c>
      <c r="AD787" s="113">
        <v>0</v>
      </c>
      <c r="AF787" s="113">
        <v>0</v>
      </c>
      <c r="AG787" s="28">
        <f>G787-O787</f>
        <v>0</v>
      </c>
      <c r="AH787" s="58">
        <f>IF(ISERROR(AG787/B787*AF787),0,(AG787/B787*AF787))</f>
        <v>0</v>
      </c>
      <c r="AI787" s="28">
        <f>SUM(H787:M787)</f>
        <v>0</v>
      </c>
      <c r="AJ787" s="28">
        <f>IF(ISERROR(AI787/B787*AF787),0,(AI787/B787*AF787))</f>
        <v>0</v>
      </c>
      <c r="AK787" s="58">
        <f>IF(ISERROR(O787/B787*AF787),0,(O787/B787*AF787))</f>
        <v>0</v>
      </c>
      <c r="AL787" s="28">
        <f>IF(ISERROR(H787/B787*AF787),0,(H787/B787*AF787))</f>
        <v>0</v>
      </c>
      <c r="AN787" s="51">
        <f>A787</f>
        <v>0</v>
      </c>
      <c r="AO787" s="57">
        <f>IF(ISERROR(IF(B787=C787,D787/C787,(INT(D787/B787)+(((D787-B787*INT(D787/B787)))/C787)/100))),0,(IF(B787=C787,D787/C787,(INT(D787/B787)+(((D787-B787*INT(D787/B787)))/C787)/100))))</f>
        <v>0</v>
      </c>
      <c r="AP787" s="57">
        <f>IF(ISERROR(IF(B787=C787,E787/C787,(INT(E787/B787)+(((E787-B787*INT(E787/B787)))/C787)/100))),0,(IF(B787=C787,E787/C787,(INT(E787/B787)+(((E787-B787*INT(E787/B787)))/C787)/100))))</f>
        <v>0</v>
      </c>
      <c r="AQ787" s="57">
        <f>IF(ISERROR(IF(B787=C787,F787/C787,IF((INT(F787/B787)+(((F787-B787*INT(F787/B787)))/C787)/100)&lt;0,(INT(F787/B787)+(((F787-B787*INT(F787/B787)))/C787)/100)+(1-(B787/C787/100)),(INT(F787/B787)+(((F787-B787*INT(F787/B787)))/C787)/100)))),0,IF(B787=C787,F787/C787,IF((INT(F787/B787)+(((F787-B787*INT(F787/B787)))/C787)/100)&lt;0,(INT(F787/B787)+(((F787-B787*INT(F787/B787)))/C787)/100)+(1-(B787/C787/100)),(INT(F787/B787)+(((F787-B787*INT(F787/B787)))/C787)/100))))</f>
        <v>0</v>
      </c>
      <c r="AR787" s="57">
        <f>IF(ISERROR(IF(B787=C787,G787/C787,(INT(G787/B787)+(((G787-B787*INT(G787/B787)))/C787)/100))),0,(IF(B787=C787,G787/C787,(INT(G787/B787)+(((G787-B787*INT(G787/B787)))/C787)/100))))</f>
        <v>0</v>
      </c>
      <c r="AS787" s="57">
        <f>IF(ISERROR(IF(B787=C787,H787/C787,(INT(H787/B787)+(((H787-B787*INT(H787/B787)))/C787)/100))),0,(IF(B787=C787,H787/C787,(INT(H787/B787)+(((H787-B787*INT(H787/B787)))/C787)/100))))</f>
        <v>0</v>
      </c>
      <c r="AT787" s="57">
        <f>IF(ISERROR(IF(B787=C787,I787/C787,(INT(I787/B787)+(((I787-B787*INT(I787/B787)))/C787)/100))),0,(IF(B787=C787,I787/C787,(INT(I787/B787)+(((I787-B787*INT(I787/B787)))/C787)/100))))</f>
        <v>0</v>
      </c>
      <c r="AU787" s="57">
        <f>IF(ISERROR(IF(B787=C787,J787/C787,(INT(J787/B787)+(((J787-B787*INT(J787/B787)))/C787)/100))),0,(IF(B787=C787,J787/C787,(INT(J787/B787)+(((J787-B787*INT(J787/B787)))/C787)/100))))</f>
        <v>0</v>
      </c>
      <c r="AV787" s="57">
        <f>IF(ISERROR(IF(B787=C787,K787/C787,IF((INT(K787/B787)+(((K787-B787*INT(K787/B787)))/C787)/100)&lt;0,(INT(K787/B787)+(((K787-B787*INT(K787/B787)))/C787)/100)+(1-(B787/C787/100)),(INT(K787/B787)+(((K787-B787*INT(K787/B787)))/C787)/100)))),0,IF(B787=C787,K787/C787,IF((INT(K787/B787)+(((K787-B787*INT(K787/B787)))/C787)/100)&lt;0,(INT(K787/B787)+(((K787-B787*INT(K787/B787)))/C787)/100)+(1-(B787/C787/100)),(INT(K787/B787)+(((K787-B787*INT(K787/B787)))/C787)/100))))</f>
        <v>0</v>
      </c>
      <c r="AW787" s="57">
        <f>IF(ISERROR(IF(B787=C787,L787/C787,(INT(L787/B787)+(((L787-B787*INT(L787/B787)))/C787)/100))),0,(IF(B787=C787,L787/C787,(INT(L787/B787)+(((L787-B787*INT(L787/B787)))/C787)/100))))</f>
        <v>0</v>
      </c>
      <c r="AX787" s="57">
        <f>IF(ISERROR(IF(B787=C787,M787/C787,(INT(M787/B787)+(((M787-B787*INT(M787/B787)))/C787)/100))),0,(IF(B787=C787,M787/C787,(INT(M787/B787)+(((M787-B787*INT(M787/B787)))/C787)/100))))</f>
        <v>0</v>
      </c>
      <c r="AY787" s="57">
        <f>IF(ISERROR(IF(B787=C787,N787/C787,IF((INT(N787/B787)+(((N787-B787*INT(N787/B787)))/C787)/100)&lt;0,(INT(N787/B787)+(((N787-B787*INT(N787/B787)))/C787)/100)+(1-(B787/C787/100)),(INT(N787/B787)+(((N787-B787*INT(N787/B787)))/C787)/100)))),0,IF(B787=C787,N787/C787,IF((INT(N787/B787)+(((N787-B787*INT(N787/B787)))/C787)/100)&lt;0,(INT(N787/B787)+(((N787-B787*INT(N787/B787)))/C787)/100)+(1-(B787/C787/100)),(INT(N787/B787)+(((N787-B787*INT(N787/B787)))/C787)/100))))</f>
        <v>0</v>
      </c>
      <c r="AZ787" s="57">
        <f>IF(ISERROR(IF(B787=C787,O787/C787,(INT(O787/B787)+(((O787-B787*INT(O787/B787)))/C787)/100))),0,(IF(B787=C787,O787/C787,(INT(O787/B787)+(((O787-B787*INT(O787/B787)))/C787)/100))))</f>
        <v>0</v>
      </c>
      <c r="BA787" s="57">
        <f>IF(ISERROR(IF(B787=C787,P787/C787,IF((INT(P787/B787)+(((P787-B787*INT(P787/B787)))/C787)/100)&lt;0,(INT(P787/B787)+(((P787-B787*INT(P787/B787)))/C787)/100)+(1-(B787/C787/100)),(INT(P787/B787)+(((P787-B787*INT(P787/B787)))/C787)/100)))),0,IF(B787=C787,P787/C787,IF((INT(P787/B787)+(((P787-B787*INT(P787/B787)))/C787)/100)&lt;0,(INT(P787/B787)+(((P787-B787*INT(P787/B787)))/C787)/100)+(1-(B787/C787/100)),(INT(P787/B787)+(((P787-B787*INT(P787/B787)))/C787)/100))))</f>
        <v>0</v>
      </c>
      <c r="BB787" s="28">
        <f>R787</f>
        <v>0</v>
      </c>
      <c r="BC787" s="28">
        <f>S787</f>
        <v>0</v>
      </c>
      <c r="BD787" s="28">
        <f>AF787</f>
        <v>0</v>
      </c>
      <c r="BE787" s="28">
        <f>T787</f>
        <v>0</v>
      </c>
      <c r="BG787" s="57">
        <f>IF(ISERROR(IF(B787=C787,V787/C787,(INT(V787/B787)+(((V787-B787*INT(V787/B787)))/C787)/100))),0,(IF(B787=C787,V787/C787,(INT(V787/B787)+(((V787-B787*INT(V787/B787)))/C787)/100))))</f>
        <v>0</v>
      </c>
      <c r="BH787" s="57">
        <f>IF(ISERROR(IF(B787=C787,W787/C787,(INT(W787/B787)+(((W787-B787*INT(W787/B787)))/C787)/100))),0,(IF(B787=C787,W787/C787,(INT(W787/B787)+(((W787-B787*INT(W787/B787)))/C787)/100))))</f>
        <v>0</v>
      </c>
      <c r="BI787" s="57">
        <f>IF(ISERROR(IF(B787=C787,X787/C787,(INT(X787/B787)+(((X787-B787*INT(X787/B787)))/C787)/100))),0,(IF(B787=C787,X787/C787,(INT(X787/B787)+(((X787-B787*INT(X787/B787)))/C787)/100))))</f>
        <v>0</v>
      </c>
      <c r="BJ787" s="57">
        <f>IF(ISERROR(IF(B787=C787,Y787/C787,(INT(Y787/B787)+(((Y787-B787*INT(Y787/B787)))/C787)/100))),0,(IF(B787=C787,Y787/C787,(INT(Y787/B787)+(((Y787-B787*INT(Y787/B787)))/C787)/100))))</f>
        <v>0</v>
      </c>
      <c r="BL787" s="57">
        <f>IF(ISERROR(IF(B787=C787,AA787/C787,(INT(AA787/B787)+(((AA787-B787*INT(AA787/B787)))/C787)/100))),0,(IF(B787=C787,AA787/C787,(INT(AA787/B787)+(((AA787-B787*INT(AA787/B787)))/C787)/100))))</f>
        <v>0</v>
      </c>
      <c r="BM787" s="57">
        <f>IF(ISERROR(IF(B787=C787,AB787/C787,(INT(AB787/B787)+(((AB787-B787*INT(AB787/B787)))/C787)/100))),0,(IF(B787=C787,AB787/C787,(INT(AB787/B787)+(((AB787-B787*INT(AB787/B787)))/C787)/100))))</f>
        <v>0</v>
      </c>
      <c r="BN787" s="57">
        <f>IF(ISERROR(IF(B787=C787,AC787/C787,(INT(AC787/B787)+(((AC787-B787*INT(AC787/B787)))/C787)/100))),0,(IF(B787=C787,AC787/C787,(INT(AC787/B787)+(((AC787-B787*INT(AC787/B787)))/C787)/100))))</f>
        <v>0</v>
      </c>
      <c r="BO787" s="57">
        <f>IF(ISERROR(IF(B787=C787,AD787/C787,(INT(AD787/B787)+(((AD787-B787*INT(AD787/B787)))/C787)/100))),0,(IF(B787=C787,AD787/C787,(INT(AD787/B787)+(((AD787-B787*INT(AD787/B787)))/C787)/100))))</f>
        <v>0</v>
      </c>
      <c r="BQ787" s="155" t="s">
        <v>141</v>
      </c>
    </row>
    <row r="788" spans="1:69" hidden="1" x14ac:dyDescent="0.35">
      <c r="A788" s="94"/>
      <c r="B788" s="113">
        <v>1</v>
      </c>
      <c r="C788" s="113">
        <v>1</v>
      </c>
      <c r="D788" s="28">
        <f>SUM(AA788:AD788)</f>
        <v>0</v>
      </c>
      <c r="E788" s="113">
        <v>0</v>
      </c>
      <c r="F788" s="113">
        <v>0</v>
      </c>
      <c r="G788" s="28">
        <f>SUM(D788:F788)</f>
        <v>0</v>
      </c>
      <c r="H788" s="125">
        <v>0</v>
      </c>
      <c r="I788" s="113">
        <v>0</v>
      </c>
      <c r="J788" s="125">
        <v>0</v>
      </c>
      <c r="K788" s="113">
        <v>0</v>
      </c>
      <c r="L788" s="113">
        <v>0</v>
      </c>
      <c r="M788" s="113">
        <v>0</v>
      </c>
      <c r="N788" s="28">
        <f>G788-SUM(H788:M788)</f>
        <v>0</v>
      </c>
      <c r="O788" s="28">
        <f>SUM(V788:Y788)</f>
        <v>0</v>
      </c>
      <c r="P788" s="28">
        <f>O788-N788</f>
        <v>0</v>
      </c>
      <c r="Q788" s="61" t="str">
        <f>IF(ISERROR(P788/SUM(H788:L788)),"",P788/SUM(H788:L788))</f>
        <v/>
      </c>
      <c r="R788" s="113">
        <v>0</v>
      </c>
      <c r="S788" s="28">
        <f>IF(ISERROR(P788/C788*R788),0,(P788/C788*R788))</f>
        <v>0</v>
      </c>
      <c r="T788" s="60">
        <f>IF(ISERROR(P788/B788*AF788),0,(P788/B788*AF788))</f>
        <v>0</v>
      </c>
      <c r="V788" s="113">
        <v>0</v>
      </c>
      <c r="W788" s="113">
        <v>0</v>
      </c>
      <c r="X788" s="113">
        <v>0</v>
      </c>
      <c r="Y788" s="113">
        <v>0</v>
      </c>
      <c r="AA788" s="113">
        <v>0</v>
      </c>
      <c r="AB788" s="113">
        <v>0</v>
      </c>
      <c r="AC788" s="113">
        <v>0</v>
      </c>
      <c r="AD788" s="113">
        <v>0</v>
      </c>
      <c r="AF788" s="113">
        <v>0</v>
      </c>
      <c r="AG788" s="28">
        <f>G788-O788</f>
        <v>0</v>
      </c>
      <c r="AH788" s="58">
        <f>IF(ISERROR(AG788/B788*AF788),0,(AG788/B788*AF788))</f>
        <v>0</v>
      </c>
      <c r="AI788" s="28">
        <f>SUM(H788:M788)</f>
        <v>0</v>
      </c>
      <c r="AJ788" s="28">
        <f>IF(ISERROR(AI788/B788*AF788),0,(AI788/B788*AF788))</f>
        <v>0</v>
      </c>
      <c r="AK788" s="58">
        <f>IF(ISERROR(O788/B788*AF788),0,(O788/B788*AF788))</f>
        <v>0</v>
      </c>
      <c r="AL788" s="28">
        <f>IF(ISERROR(H788/B788*AF788),0,(H788/B788*AF788))</f>
        <v>0</v>
      </c>
      <c r="AN788" s="51">
        <f>A788</f>
        <v>0</v>
      </c>
      <c r="AO788" s="57">
        <f>IF(ISERROR(IF(B788=C788,D788/C788,(INT(D788/B788)+(((D788-B788*INT(D788/B788)))/C788)/100))),0,(IF(B788=C788,D788/C788,(INT(D788/B788)+(((D788-B788*INT(D788/B788)))/C788)/100))))</f>
        <v>0</v>
      </c>
      <c r="AP788" s="57">
        <f>IF(ISERROR(IF(B788=C788,E788/C788,(INT(E788/B788)+(((E788-B788*INT(E788/B788)))/C788)/100))),0,(IF(B788=C788,E788/C788,(INT(E788/B788)+(((E788-B788*INT(E788/B788)))/C788)/100))))</f>
        <v>0</v>
      </c>
      <c r="AQ788" s="57">
        <f>IF(ISERROR(IF(B788=C788,F788/C788,IF((INT(F788/B788)+(((F788-B788*INT(F788/B788)))/C788)/100)&lt;0,(INT(F788/B788)+(((F788-B788*INT(F788/B788)))/C788)/100)+(1-(B788/C788/100)),(INT(F788/B788)+(((F788-B788*INT(F788/B788)))/C788)/100)))),0,IF(B788=C788,F788/C788,IF((INT(F788/B788)+(((F788-B788*INT(F788/B788)))/C788)/100)&lt;0,(INT(F788/B788)+(((F788-B788*INT(F788/B788)))/C788)/100)+(1-(B788/C788/100)),(INT(F788/B788)+(((F788-B788*INT(F788/B788)))/C788)/100))))</f>
        <v>0</v>
      </c>
      <c r="AR788" s="57">
        <f>IF(ISERROR(IF(B788=C788,G788/C788,(INT(G788/B788)+(((G788-B788*INT(G788/B788)))/C788)/100))),0,(IF(B788=C788,G788/C788,(INT(G788/B788)+(((G788-B788*INT(G788/B788)))/C788)/100))))</f>
        <v>0</v>
      </c>
      <c r="AS788" s="57">
        <f>IF(ISERROR(IF(B788=C788,H788/C788,(INT(H788/B788)+(((H788-B788*INT(H788/B788)))/C788)/100))),0,(IF(B788=C788,H788/C788,(INT(H788/B788)+(((H788-B788*INT(H788/B788)))/C788)/100))))</f>
        <v>0</v>
      </c>
      <c r="AT788" s="57">
        <f>IF(ISERROR(IF(B788=C788,I788/C788,(INT(I788/B788)+(((I788-B788*INT(I788/B788)))/C788)/100))),0,(IF(B788=C788,I788/C788,(INT(I788/B788)+(((I788-B788*INT(I788/B788)))/C788)/100))))</f>
        <v>0</v>
      </c>
      <c r="AU788" s="57">
        <f>IF(ISERROR(IF(B788=C788,J788/C788,(INT(J788/B788)+(((J788-B788*INT(J788/B788)))/C788)/100))),0,(IF(B788=C788,J788/C788,(INT(J788/B788)+(((J788-B788*INT(J788/B788)))/C788)/100))))</f>
        <v>0</v>
      </c>
      <c r="AV788" s="57">
        <f>IF(ISERROR(IF(B788=C788,K788/C788,IF((INT(K788/B788)+(((K788-B788*INT(K788/B788)))/C788)/100)&lt;0,(INT(K788/B788)+(((K788-B788*INT(K788/B788)))/C788)/100)+(1-(B788/C788/100)),(INT(K788/B788)+(((K788-B788*INT(K788/B788)))/C788)/100)))),0,IF(B788=C788,K788/C788,IF((INT(K788/B788)+(((K788-B788*INT(K788/B788)))/C788)/100)&lt;0,(INT(K788/B788)+(((K788-B788*INT(K788/B788)))/C788)/100)+(1-(B788/C788/100)),(INT(K788/B788)+(((K788-B788*INT(K788/B788)))/C788)/100))))</f>
        <v>0</v>
      </c>
      <c r="AW788" s="57">
        <f>IF(ISERROR(IF(B788=C788,L788/C788,(INT(L788/B788)+(((L788-B788*INT(L788/B788)))/C788)/100))),0,(IF(B788=C788,L788/C788,(INT(L788/B788)+(((L788-B788*INT(L788/B788)))/C788)/100))))</f>
        <v>0</v>
      </c>
      <c r="AX788" s="57">
        <f>IF(ISERROR(IF(B788=C788,M788/C788,(INT(M788/B788)+(((M788-B788*INT(M788/B788)))/C788)/100))),0,(IF(B788=C788,M788/C788,(INT(M788/B788)+(((M788-B788*INT(M788/B788)))/C788)/100))))</f>
        <v>0</v>
      </c>
      <c r="AY788" s="57">
        <f>IF(ISERROR(IF(B788=C788,N788/C788,IF((INT(N788/B788)+(((N788-B788*INT(N788/B788)))/C788)/100)&lt;0,(INT(N788/B788)+(((N788-B788*INT(N788/B788)))/C788)/100)+(1-(B788/C788/100)),(INT(N788/B788)+(((N788-B788*INT(N788/B788)))/C788)/100)))),0,IF(B788=C788,N788/C788,IF((INT(N788/B788)+(((N788-B788*INT(N788/B788)))/C788)/100)&lt;0,(INT(N788/B788)+(((N788-B788*INT(N788/B788)))/C788)/100)+(1-(B788/C788/100)),(INT(N788/B788)+(((N788-B788*INT(N788/B788)))/C788)/100))))</f>
        <v>0</v>
      </c>
      <c r="AZ788" s="57">
        <f>IF(ISERROR(IF(B788=C788,O788/C788,(INT(O788/B788)+(((O788-B788*INT(O788/B788)))/C788)/100))),0,(IF(B788=C788,O788/C788,(INT(O788/B788)+(((O788-B788*INT(O788/B788)))/C788)/100))))</f>
        <v>0</v>
      </c>
      <c r="BA788" s="57">
        <f>IF(ISERROR(IF(B788=C788,P788/C788,IF((INT(P788/B788)+(((P788-B788*INT(P788/B788)))/C788)/100)&lt;0,(INT(P788/B788)+(((P788-B788*INT(P788/B788)))/C788)/100)+(1-(B788/C788/100)),(INT(P788/B788)+(((P788-B788*INT(P788/B788)))/C788)/100)))),0,IF(B788=C788,P788/C788,IF((INT(P788/B788)+(((P788-B788*INT(P788/B788)))/C788)/100)&lt;0,(INT(P788/B788)+(((P788-B788*INT(P788/B788)))/C788)/100)+(1-(B788/C788/100)),(INT(P788/B788)+(((P788-B788*INT(P788/B788)))/C788)/100))))</f>
        <v>0</v>
      </c>
      <c r="BB788" s="28">
        <f>R788</f>
        <v>0</v>
      </c>
      <c r="BC788" s="28">
        <f>S788</f>
        <v>0</v>
      </c>
      <c r="BD788" s="28">
        <f>AF788</f>
        <v>0</v>
      </c>
      <c r="BE788" s="28">
        <f>T788</f>
        <v>0</v>
      </c>
      <c r="BG788" s="57">
        <f>IF(ISERROR(IF(B788=C788,V788/C788,(INT(V788/B788)+(((V788-B788*INT(V788/B788)))/C788)/100))),0,(IF(B788=C788,V788/C788,(INT(V788/B788)+(((V788-B788*INT(V788/B788)))/C788)/100))))</f>
        <v>0</v>
      </c>
      <c r="BH788" s="57">
        <f>IF(ISERROR(IF(B788=C788,W788/C788,(INT(W788/B788)+(((W788-B788*INT(W788/B788)))/C788)/100))),0,(IF(B788=C788,W788/C788,(INT(W788/B788)+(((W788-B788*INT(W788/B788)))/C788)/100))))</f>
        <v>0</v>
      </c>
      <c r="BI788" s="57">
        <f>IF(ISERROR(IF(B788=C788,X788/C788,(INT(X788/B788)+(((X788-B788*INT(X788/B788)))/C788)/100))),0,(IF(B788=C788,X788/C788,(INT(X788/B788)+(((X788-B788*INT(X788/B788)))/C788)/100))))</f>
        <v>0</v>
      </c>
      <c r="BJ788" s="57">
        <f>IF(ISERROR(IF(B788=C788,Y788/C788,(INT(Y788/B788)+(((Y788-B788*INT(Y788/B788)))/C788)/100))),0,(IF(B788=C788,Y788/C788,(INT(Y788/B788)+(((Y788-B788*INT(Y788/B788)))/C788)/100))))</f>
        <v>0</v>
      </c>
      <c r="BL788" s="57">
        <f>IF(ISERROR(IF(B788=C788,AA788/C788,(INT(AA788/B788)+(((AA788-B788*INT(AA788/B788)))/C788)/100))),0,(IF(B788=C788,AA788/C788,(INT(AA788/B788)+(((AA788-B788*INT(AA788/B788)))/C788)/100))))</f>
        <v>0</v>
      </c>
      <c r="BM788" s="57">
        <f>IF(ISERROR(IF(B788=C788,AB788/C788,(INT(AB788/B788)+(((AB788-B788*INT(AB788/B788)))/C788)/100))),0,(IF(B788=C788,AB788/C788,(INT(AB788/B788)+(((AB788-B788*INT(AB788/B788)))/C788)/100))))</f>
        <v>0</v>
      </c>
      <c r="BN788" s="57">
        <f>IF(ISERROR(IF(B788=C788,AC788/C788,(INT(AC788/B788)+(((AC788-B788*INT(AC788/B788)))/C788)/100))),0,(IF(B788=C788,AC788/C788,(INT(AC788/B788)+(((AC788-B788*INT(AC788/B788)))/C788)/100))))</f>
        <v>0</v>
      </c>
      <c r="BO788" s="57">
        <f>IF(ISERROR(IF(B788=C788,AD788/C788,(INT(AD788/B788)+(((AD788-B788*INT(AD788/B788)))/C788)/100))),0,(IF(B788=C788,AD788/C788,(INT(AD788/B788)+(((AD788-B788*INT(AD788/B788)))/C788)/100))))</f>
        <v>0</v>
      </c>
      <c r="BQ788" s="155" t="s">
        <v>141</v>
      </c>
    </row>
    <row r="789" spans="1:69" hidden="1" x14ac:dyDescent="0.35">
      <c r="A789" s="134"/>
      <c r="B789" s="113">
        <v>1</v>
      </c>
      <c r="C789" s="113">
        <v>1</v>
      </c>
      <c r="D789" s="28">
        <f>SUM(AA789:AD789)</f>
        <v>0</v>
      </c>
      <c r="E789" s="113">
        <v>0</v>
      </c>
      <c r="F789" s="113">
        <v>0</v>
      </c>
      <c r="G789" s="28">
        <f>SUM(D789:F789)</f>
        <v>0</v>
      </c>
      <c r="H789" s="125">
        <v>0</v>
      </c>
      <c r="I789" s="113">
        <v>0</v>
      </c>
      <c r="J789" s="125">
        <v>0</v>
      </c>
      <c r="K789" s="113">
        <v>0</v>
      </c>
      <c r="L789" s="113">
        <v>0</v>
      </c>
      <c r="M789" s="113">
        <v>0</v>
      </c>
      <c r="N789" s="28">
        <f>G789-SUM(H789:M789)</f>
        <v>0</v>
      </c>
      <c r="O789" s="28">
        <f>SUM(V789:Y789)</f>
        <v>0</v>
      </c>
      <c r="P789" s="28">
        <f>O789-N789</f>
        <v>0</v>
      </c>
      <c r="Q789" s="61" t="str">
        <f>IF(ISERROR(P789/SUM(H789:L789)),"",P789/SUM(H789:L789))</f>
        <v/>
      </c>
      <c r="R789" s="113">
        <v>0</v>
      </c>
      <c r="S789" s="28">
        <f>IF(ISERROR(P789/C789*R789),0,(P789/C789*R789))</f>
        <v>0</v>
      </c>
      <c r="T789" s="60">
        <f>IF(ISERROR(P789/B789*AF789),0,(P789/B789*AF789))</f>
        <v>0</v>
      </c>
      <c r="V789" s="113">
        <v>0</v>
      </c>
      <c r="W789" s="113">
        <v>0</v>
      </c>
      <c r="X789" s="113">
        <v>0</v>
      </c>
      <c r="Y789" s="113">
        <v>0</v>
      </c>
      <c r="AA789" s="113">
        <v>0</v>
      </c>
      <c r="AB789" s="113">
        <v>0</v>
      </c>
      <c r="AC789" s="113">
        <v>0</v>
      </c>
      <c r="AD789" s="113">
        <v>0</v>
      </c>
      <c r="AF789" s="113">
        <v>0</v>
      </c>
      <c r="AG789" s="28">
        <f>G789-O789</f>
        <v>0</v>
      </c>
      <c r="AH789" s="58">
        <f>IF(ISERROR(AG789/B789*AF789),0,(AG789/B789*AF789))</f>
        <v>0</v>
      </c>
      <c r="AI789" s="28">
        <f>SUM(H789:M789)</f>
        <v>0</v>
      </c>
      <c r="AJ789" s="28">
        <f>IF(ISERROR(AI789/B789*AF789),0,(AI789/B789*AF789))</f>
        <v>0</v>
      </c>
      <c r="AK789" s="58">
        <f>IF(ISERROR(O789/B789*AF789),0,(O789/B789*AF789))</f>
        <v>0</v>
      </c>
      <c r="AL789" s="28">
        <f>IF(ISERROR(H789/B789*AF789),0,(H789/B789*AF789))</f>
        <v>0</v>
      </c>
      <c r="AN789" s="51">
        <f>A789</f>
        <v>0</v>
      </c>
      <c r="AO789" s="57">
        <f>IF(ISERROR(IF(B789=C789,D789/C789,(INT(D789/B789)+(((D789-B789*INT(D789/B789)))/C789)/100))),0,(IF(B789=C789,D789/C789,(INT(D789/B789)+(((D789-B789*INT(D789/B789)))/C789)/100))))</f>
        <v>0</v>
      </c>
      <c r="AP789" s="57">
        <f>IF(ISERROR(IF(B789=C789,E789/C789,(INT(E789/B789)+(((E789-B789*INT(E789/B789)))/C789)/100))),0,(IF(B789=C789,E789/C789,(INT(E789/B789)+(((E789-B789*INT(E789/B789)))/C789)/100))))</f>
        <v>0</v>
      </c>
      <c r="AQ789" s="57">
        <f>IF(ISERROR(IF(B789=C789,F789/C789,IF((INT(F789/B789)+(((F789-B789*INT(F789/B789)))/C789)/100)&lt;0,(INT(F789/B789)+(((F789-B789*INT(F789/B789)))/C789)/100)+(1-(B789/C789/100)),(INT(F789/B789)+(((F789-B789*INT(F789/B789)))/C789)/100)))),0,IF(B789=C789,F789/C789,IF((INT(F789/B789)+(((F789-B789*INT(F789/B789)))/C789)/100)&lt;0,(INT(F789/B789)+(((F789-B789*INT(F789/B789)))/C789)/100)+(1-(B789/C789/100)),(INT(F789/B789)+(((F789-B789*INT(F789/B789)))/C789)/100))))</f>
        <v>0</v>
      </c>
      <c r="AR789" s="57">
        <f>IF(ISERROR(IF(B789=C789,G789/C789,(INT(G789/B789)+(((G789-B789*INT(G789/B789)))/C789)/100))),0,(IF(B789=C789,G789/C789,(INT(G789/B789)+(((G789-B789*INT(G789/B789)))/C789)/100))))</f>
        <v>0</v>
      </c>
      <c r="AS789" s="57">
        <f>IF(ISERROR(IF(B789=C789,H789/C789,(INT(H789/B789)+(((H789-B789*INT(H789/B789)))/C789)/100))),0,(IF(B789=C789,H789/C789,(INT(H789/B789)+(((H789-B789*INT(H789/B789)))/C789)/100))))</f>
        <v>0</v>
      </c>
      <c r="AT789" s="57">
        <f>IF(ISERROR(IF(B789=C789,I789/C789,(INT(I789/B789)+(((I789-B789*INT(I789/B789)))/C789)/100))),0,(IF(B789=C789,I789/C789,(INT(I789/B789)+(((I789-B789*INT(I789/B789)))/C789)/100))))</f>
        <v>0</v>
      </c>
      <c r="AU789" s="57">
        <f>IF(ISERROR(IF(B789=C789,J789/C789,(INT(J789/B789)+(((J789-B789*INT(J789/B789)))/C789)/100))),0,(IF(B789=C789,J789/C789,(INT(J789/B789)+(((J789-B789*INT(J789/B789)))/C789)/100))))</f>
        <v>0</v>
      </c>
      <c r="AV789" s="57">
        <f>IF(ISERROR(IF(B789=C789,K789/C789,IF((INT(K789/B789)+(((K789-B789*INT(K789/B789)))/C789)/100)&lt;0,(INT(K789/B789)+(((K789-B789*INT(K789/B789)))/C789)/100)+(1-(B789/C789/100)),(INT(K789/B789)+(((K789-B789*INT(K789/B789)))/C789)/100)))),0,IF(B789=C789,K789/C789,IF((INT(K789/B789)+(((K789-B789*INT(K789/B789)))/C789)/100)&lt;0,(INT(K789/B789)+(((K789-B789*INT(K789/B789)))/C789)/100)+(1-(B789/C789/100)),(INT(K789/B789)+(((K789-B789*INT(K789/B789)))/C789)/100))))</f>
        <v>0</v>
      </c>
      <c r="AW789" s="57">
        <f>IF(ISERROR(IF(B789=C789,L789/C789,(INT(L789/B789)+(((L789-B789*INT(L789/B789)))/C789)/100))),0,(IF(B789=C789,L789/C789,(INT(L789/B789)+(((L789-B789*INT(L789/B789)))/C789)/100))))</f>
        <v>0</v>
      </c>
      <c r="AX789" s="57">
        <f>IF(ISERROR(IF(B789=C789,M789/C789,(INT(M789/B789)+(((M789-B789*INT(M789/B789)))/C789)/100))),0,(IF(B789=C789,M789/C789,(INT(M789/B789)+(((M789-B789*INT(M789/B789)))/C789)/100))))</f>
        <v>0</v>
      </c>
      <c r="AY789" s="57">
        <f>IF(ISERROR(IF(B789=C789,N789/C789,IF((INT(N789/B789)+(((N789-B789*INT(N789/B789)))/C789)/100)&lt;0,(INT(N789/B789)+(((N789-B789*INT(N789/B789)))/C789)/100)+(1-(B789/C789/100)),(INT(N789/B789)+(((N789-B789*INT(N789/B789)))/C789)/100)))),0,IF(B789=C789,N789/C789,IF((INT(N789/B789)+(((N789-B789*INT(N789/B789)))/C789)/100)&lt;0,(INT(N789/B789)+(((N789-B789*INT(N789/B789)))/C789)/100)+(1-(B789/C789/100)),(INT(N789/B789)+(((N789-B789*INT(N789/B789)))/C789)/100))))</f>
        <v>0</v>
      </c>
      <c r="AZ789" s="57">
        <f>IF(ISERROR(IF(B789=C789,O789/C789,(INT(O789/B789)+(((O789-B789*INT(O789/B789)))/C789)/100))),0,(IF(B789=C789,O789/C789,(INT(O789/B789)+(((O789-B789*INT(O789/B789)))/C789)/100))))</f>
        <v>0</v>
      </c>
      <c r="BA789" s="57">
        <f>IF(ISERROR(IF(B789=C789,P789/C789,IF((INT(P789/B789)+(((P789-B789*INT(P789/B789)))/C789)/100)&lt;0,(INT(P789/B789)+(((P789-B789*INT(P789/B789)))/C789)/100)+(1-(B789/C789/100)),(INT(P789/B789)+(((P789-B789*INT(P789/B789)))/C789)/100)))),0,IF(B789=C789,P789/C789,IF((INT(P789/B789)+(((P789-B789*INT(P789/B789)))/C789)/100)&lt;0,(INT(P789/B789)+(((P789-B789*INT(P789/B789)))/C789)/100)+(1-(B789/C789/100)),(INT(P789/B789)+(((P789-B789*INT(P789/B789)))/C789)/100))))</f>
        <v>0</v>
      </c>
      <c r="BB789" s="28">
        <f>R789</f>
        <v>0</v>
      </c>
      <c r="BC789" s="28">
        <f>S789</f>
        <v>0</v>
      </c>
      <c r="BD789" s="28">
        <f>AF789</f>
        <v>0</v>
      </c>
      <c r="BE789" s="28">
        <f>T789</f>
        <v>0</v>
      </c>
      <c r="BG789" s="57">
        <f>IF(ISERROR(IF(B789=C789,V789/C789,(INT(V789/B789)+(((V789-B789*INT(V789/B789)))/C789)/100))),0,(IF(B789=C789,V789/C789,(INT(V789/B789)+(((V789-B789*INT(V789/B789)))/C789)/100))))</f>
        <v>0</v>
      </c>
      <c r="BH789" s="57">
        <f>IF(ISERROR(IF(B789=C789,W789/C789,(INT(W789/B789)+(((W789-B789*INT(W789/B789)))/C789)/100))),0,(IF(B789=C789,W789/C789,(INT(W789/B789)+(((W789-B789*INT(W789/B789)))/C789)/100))))</f>
        <v>0</v>
      </c>
      <c r="BI789" s="57">
        <f>IF(ISERROR(IF(B789=C789,X789/C789,(INT(X789/B789)+(((X789-B789*INT(X789/B789)))/C789)/100))),0,(IF(B789=C789,X789/C789,(INT(X789/B789)+(((X789-B789*INT(X789/B789)))/C789)/100))))</f>
        <v>0</v>
      </c>
      <c r="BJ789" s="57">
        <f>IF(ISERROR(IF(B789=C789,Y789/C789,(INT(Y789/B789)+(((Y789-B789*INT(Y789/B789)))/C789)/100))),0,(IF(B789=C789,Y789/C789,(INT(Y789/B789)+(((Y789-B789*INT(Y789/B789)))/C789)/100))))</f>
        <v>0</v>
      </c>
      <c r="BL789" s="57">
        <f>IF(ISERROR(IF(B789=C789,AA789/C789,(INT(AA789/B789)+(((AA789-B789*INT(AA789/B789)))/C789)/100))),0,(IF(B789=C789,AA789/C789,(INT(AA789/B789)+(((AA789-B789*INT(AA789/B789)))/C789)/100))))</f>
        <v>0</v>
      </c>
      <c r="BM789" s="57">
        <f>IF(ISERROR(IF(B789=C789,AB789/C789,(INT(AB789/B789)+(((AB789-B789*INT(AB789/B789)))/C789)/100))),0,(IF(B789=C789,AB789/C789,(INT(AB789/B789)+(((AB789-B789*INT(AB789/B789)))/C789)/100))))</f>
        <v>0</v>
      </c>
      <c r="BN789" s="57">
        <f>IF(ISERROR(IF(B789=C789,AC789/C789,(INT(AC789/B789)+(((AC789-B789*INT(AC789/B789)))/C789)/100))),0,(IF(B789=C789,AC789/C789,(INT(AC789/B789)+(((AC789-B789*INT(AC789/B789)))/C789)/100))))</f>
        <v>0</v>
      </c>
      <c r="BO789" s="57">
        <f>IF(ISERROR(IF(B789=C789,AD789/C789,(INT(AD789/B789)+(((AD789-B789*INT(AD789/B789)))/C789)/100))),0,(IF(B789=C789,AD789/C789,(INT(AD789/B789)+(((AD789-B789*INT(AD789/B789)))/C789)/100))))</f>
        <v>0</v>
      </c>
      <c r="BQ789" s="155"/>
    </row>
    <row r="790" spans="1:69" hidden="1" x14ac:dyDescent="0.35">
      <c r="A790" s="94"/>
      <c r="B790" s="113">
        <v>1</v>
      </c>
      <c r="C790" s="113">
        <v>1</v>
      </c>
      <c r="D790" s="28">
        <f>SUM(AA790:AD790)</f>
        <v>0</v>
      </c>
      <c r="E790" s="113">
        <v>0</v>
      </c>
      <c r="F790" s="113">
        <v>0</v>
      </c>
      <c r="G790" s="28">
        <f>SUM(D790:F790)</f>
        <v>0</v>
      </c>
      <c r="H790" s="125">
        <v>0</v>
      </c>
      <c r="I790" s="113">
        <v>0</v>
      </c>
      <c r="J790" s="125">
        <v>0</v>
      </c>
      <c r="K790" s="113">
        <v>0</v>
      </c>
      <c r="L790" s="113">
        <v>0</v>
      </c>
      <c r="M790" s="113">
        <v>0</v>
      </c>
      <c r="N790" s="28">
        <f>G790-SUM(H790:M790)</f>
        <v>0</v>
      </c>
      <c r="O790" s="28">
        <f>SUM(V790:Y790)</f>
        <v>0</v>
      </c>
      <c r="P790" s="28">
        <f>O790-N790</f>
        <v>0</v>
      </c>
      <c r="Q790" s="61" t="str">
        <f>IF(ISERROR(P790/SUM(H790:L790)),"",P790/SUM(H790:L790))</f>
        <v/>
      </c>
      <c r="R790" s="113">
        <v>0</v>
      </c>
      <c r="S790" s="28">
        <f>IF(ISERROR(P790/C790*R790),0,(P790/C790*R790))</f>
        <v>0</v>
      </c>
      <c r="T790" s="60">
        <f>IF(ISERROR(P790/B790*AF790),0,(P790/B790*AF790))</f>
        <v>0</v>
      </c>
      <c r="V790" s="113">
        <v>0</v>
      </c>
      <c r="W790" s="113">
        <v>0</v>
      </c>
      <c r="X790" s="113">
        <v>0</v>
      </c>
      <c r="Y790" s="113">
        <v>0</v>
      </c>
      <c r="AA790" s="113">
        <v>0</v>
      </c>
      <c r="AB790" s="113">
        <v>0</v>
      </c>
      <c r="AC790" s="113">
        <v>0</v>
      </c>
      <c r="AD790" s="113">
        <v>0</v>
      </c>
      <c r="AF790" s="113">
        <v>0</v>
      </c>
      <c r="AG790" s="28">
        <f>G790-O790</f>
        <v>0</v>
      </c>
      <c r="AH790" s="58">
        <f>IF(ISERROR(AG790/B790*AF790),0,(AG790/B790*AF790))</f>
        <v>0</v>
      </c>
      <c r="AI790" s="28">
        <f>SUM(H790:M790)</f>
        <v>0</v>
      </c>
      <c r="AJ790" s="28">
        <f>IF(ISERROR(AI790/B790*AF790),0,(AI790/B790*AF790))</f>
        <v>0</v>
      </c>
      <c r="AK790" s="58">
        <f>IF(ISERROR(O790/B790*AF790),0,(O790/B790*AF790))</f>
        <v>0</v>
      </c>
      <c r="AL790" s="28">
        <f>IF(ISERROR(H790/B790*AF790),0,(H790/B790*AF790))</f>
        <v>0</v>
      </c>
      <c r="AN790" s="51">
        <f>A790</f>
        <v>0</v>
      </c>
      <c r="AO790" s="57">
        <f>IF(ISERROR(IF(B790=C790,D790/C790,(INT(D790/B790)+(((D790-B790*INT(D790/B790)))/C790)/100))),0,(IF(B790=C790,D790/C790,(INT(D790/B790)+(((D790-B790*INT(D790/B790)))/C790)/100))))</f>
        <v>0</v>
      </c>
      <c r="AP790" s="57">
        <f>IF(ISERROR(IF(B790=C790,E790/C790,(INT(E790/B790)+(((E790-B790*INT(E790/B790)))/C790)/100))),0,(IF(B790=C790,E790/C790,(INT(E790/B790)+(((E790-B790*INT(E790/B790)))/C790)/100))))</f>
        <v>0</v>
      </c>
      <c r="AQ790" s="57">
        <f>IF(ISERROR(IF(B790=C790,F790/C790,IF((INT(F790/B790)+(((F790-B790*INT(F790/B790)))/C790)/100)&lt;0,(INT(F790/B790)+(((F790-B790*INT(F790/B790)))/C790)/100)+(1-(B790/C790/100)),(INT(F790/B790)+(((F790-B790*INT(F790/B790)))/C790)/100)))),0,IF(B790=C790,F790/C790,IF((INT(F790/B790)+(((F790-B790*INT(F790/B790)))/C790)/100)&lt;0,(INT(F790/B790)+(((F790-B790*INT(F790/B790)))/C790)/100)+(1-(B790/C790/100)),(INT(F790/B790)+(((F790-B790*INT(F790/B790)))/C790)/100))))</f>
        <v>0</v>
      </c>
      <c r="AR790" s="57">
        <f>IF(ISERROR(IF(B790=C790,G790/C790,(INT(G790/B790)+(((G790-B790*INT(G790/B790)))/C790)/100))),0,(IF(B790=C790,G790/C790,(INT(G790/B790)+(((G790-B790*INT(G790/B790)))/C790)/100))))</f>
        <v>0</v>
      </c>
      <c r="AS790" s="57">
        <f>IF(ISERROR(IF(B790=C790,H790/C790,(INT(H790/B790)+(((H790-B790*INT(H790/B790)))/C790)/100))),0,(IF(B790=C790,H790/C790,(INT(H790/B790)+(((H790-B790*INT(H790/B790)))/C790)/100))))</f>
        <v>0</v>
      </c>
      <c r="AT790" s="57">
        <f>IF(ISERROR(IF(B790=C790,I790/C790,(INT(I790/B790)+(((I790-B790*INT(I790/B790)))/C790)/100))),0,(IF(B790=C790,I790/C790,(INT(I790/B790)+(((I790-B790*INT(I790/B790)))/C790)/100))))</f>
        <v>0</v>
      </c>
      <c r="AU790" s="57">
        <f>IF(ISERROR(IF(B790=C790,J790/C790,(INT(J790/B790)+(((J790-B790*INT(J790/B790)))/C790)/100))),0,(IF(B790=C790,J790/C790,(INT(J790/B790)+(((J790-B790*INT(J790/B790)))/C790)/100))))</f>
        <v>0</v>
      </c>
      <c r="AV790" s="57">
        <f>IF(ISERROR(IF(B790=C790,K790/C790,IF((INT(K790/B790)+(((K790-B790*INT(K790/B790)))/C790)/100)&lt;0,(INT(K790/B790)+(((K790-B790*INT(K790/B790)))/C790)/100)+(1-(B790/C790/100)),(INT(K790/B790)+(((K790-B790*INT(K790/B790)))/C790)/100)))),0,IF(B790=C790,K790/C790,IF((INT(K790/B790)+(((K790-B790*INT(K790/B790)))/C790)/100)&lt;0,(INT(K790/B790)+(((K790-B790*INT(K790/B790)))/C790)/100)+(1-(B790/C790/100)),(INT(K790/B790)+(((K790-B790*INT(K790/B790)))/C790)/100))))</f>
        <v>0</v>
      </c>
      <c r="AW790" s="57">
        <f>IF(ISERROR(IF(B790=C790,L790/C790,(INT(L790/B790)+(((L790-B790*INT(L790/B790)))/C790)/100))),0,(IF(B790=C790,L790/C790,(INT(L790/B790)+(((L790-B790*INT(L790/B790)))/C790)/100))))</f>
        <v>0</v>
      </c>
      <c r="AX790" s="57">
        <f>IF(ISERROR(IF(B790=C790,M790/C790,(INT(M790/B790)+(((M790-B790*INT(M790/B790)))/C790)/100))),0,(IF(B790=C790,M790/C790,(INT(M790/B790)+(((M790-B790*INT(M790/B790)))/C790)/100))))</f>
        <v>0</v>
      </c>
      <c r="AY790" s="57">
        <f>IF(ISERROR(IF(B790=C790,N790/C790,IF((INT(N790/B790)+(((N790-B790*INT(N790/B790)))/C790)/100)&lt;0,(INT(N790/B790)+(((N790-B790*INT(N790/B790)))/C790)/100)+(1-(B790/C790/100)),(INT(N790/B790)+(((N790-B790*INT(N790/B790)))/C790)/100)))),0,IF(B790=C790,N790/C790,IF((INT(N790/B790)+(((N790-B790*INT(N790/B790)))/C790)/100)&lt;0,(INT(N790/B790)+(((N790-B790*INT(N790/B790)))/C790)/100)+(1-(B790/C790/100)),(INT(N790/B790)+(((N790-B790*INT(N790/B790)))/C790)/100))))</f>
        <v>0</v>
      </c>
      <c r="AZ790" s="57">
        <f>IF(ISERROR(IF(B790=C790,O790/C790,(INT(O790/B790)+(((O790-B790*INT(O790/B790)))/C790)/100))),0,(IF(B790=C790,O790/C790,(INT(O790/B790)+(((O790-B790*INT(O790/B790)))/C790)/100))))</f>
        <v>0</v>
      </c>
      <c r="BA790" s="57">
        <f>IF(ISERROR(IF(B790=C790,P790/C790,IF((INT(P790/B790)+(((P790-B790*INT(P790/B790)))/C790)/100)&lt;0,(INT(P790/B790)+(((P790-B790*INT(P790/B790)))/C790)/100)+(1-(B790/C790/100)),(INT(P790/B790)+(((P790-B790*INT(P790/B790)))/C790)/100)))),0,IF(B790=C790,P790/C790,IF((INT(P790/B790)+(((P790-B790*INT(P790/B790)))/C790)/100)&lt;0,(INT(P790/B790)+(((P790-B790*INT(P790/B790)))/C790)/100)+(1-(B790/C790/100)),(INT(P790/B790)+(((P790-B790*INT(P790/B790)))/C790)/100))))</f>
        <v>0</v>
      </c>
      <c r="BB790" s="28">
        <f>R790</f>
        <v>0</v>
      </c>
      <c r="BC790" s="28">
        <f>S790</f>
        <v>0</v>
      </c>
      <c r="BD790" s="28">
        <f>AF790</f>
        <v>0</v>
      </c>
      <c r="BE790" s="28">
        <f>T790</f>
        <v>0</v>
      </c>
      <c r="BG790" s="57">
        <f>IF(ISERROR(IF(B790=C790,V790/C790,(INT(V790/B790)+(((V790-B790*INT(V790/B790)))/C790)/100))),0,(IF(B790=C790,V790/C790,(INT(V790/B790)+(((V790-B790*INT(V790/B790)))/C790)/100))))</f>
        <v>0</v>
      </c>
      <c r="BH790" s="57">
        <f>IF(ISERROR(IF(B790=C790,W790/C790,(INT(W790/B790)+(((W790-B790*INT(W790/B790)))/C790)/100))),0,(IF(B790=C790,W790/C790,(INT(W790/B790)+(((W790-B790*INT(W790/B790)))/C790)/100))))</f>
        <v>0</v>
      </c>
      <c r="BI790" s="57">
        <f>IF(ISERROR(IF(B790=C790,X790/C790,(INT(X790/B790)+(((X790-B790*INT(X790/B790)))/C790)/100))),0,(IF(B790=C790,X790/C790,(INT(X790/B790)+(((X790-B790*INT(X790/B790)))/C790)/100))))</f>
        <v>0</v>
      </c>
      <c r="BJ790" s="57">
        <f>IF(ISERROR(IF(B790=C790,Y790/C790,(INT(Y790/B790)+(((Y790-B790*INT(Y790/B790)))/C790)/100))),0,(IF(B790=C790,Y790/C790,(INT(Y790/B790)+(((Y790-B790*INT(Y790/B790)))/C790)/100))))</f>
        <v>0</v>
      </c>
      <c r="BL790" s="57">
        <f>IF(ISERROR(IF(B790=C790,AA790/C790,(INT(AA790/B790)+(((AA790-B790*INT(AA790/B790)))/C790)/100))),0,(IF(B790=C790,AA790/C790,(INT(AA790/B790)+(((AA790-B790*INT(AA790/B790)))/C790)/100))))</f>
        <v>0</v>
      </c>
      <c r="BM790" s="57">
        <f>IF(ISERROR(IF(B790=C790,AB790/C790,(INT(AB790/B790)+(((AB790-B790*INT(AB790/B790)))/C790)/100))),0,(IF(B790=C790,AB790/C790,(INT(AB790/B790)+(((AB790-B790*INT(AB790/B790)))/C790)/100))))</f>
        <v>0</v>
      </c>
      <c r="BN790" s="57">
        <f>IF(ISERROR(IF(B790=C790,AC790/C790,(INT(AC790/B790)+(((AC790-B790*INT(AC790/B790)))/C790)/100))),0,(IF(B790=C790,AC790/C790,(INT(AC790/B790)+(((AC790-B790*INT(AC790/B790)))/C790)/100))))</f>
        <v>0</v>
      </c>
      <c r="BO790" s="57">
        <f>IF(ISERROR(IF(B790=C790,AD790/C790,(INT(AD790/B790)+(((AD790-B790*INT(AD790/B790)))/C790)/100))),0,(IF(B790=C790,AD790/C790,(INT(AD790/B790)+(((AD790-B790*INT(AD790/B790)))/C790)/100))))</f>
        <v>0</v>
      </c>
      <c r="BQ790" s="155"/>
    </row>
    <row r="791" spans="1:69" hidden="1" x14ac:dyDescent="0.35">
      <c r="A791" s="94"/>
      <c r="B791" s="113">
        <v>1</v>
      </c>
      <c r="C791" s="113">
        <v>1</v>
      </c>
      <c r="D791" s="28">
        <f>SUM(AA791:AD791)</f>
        <v>0</v>
      </c>
      <c r="E791" s="113">
        <v>0</v>
      </c>
      <c r="F791" s="113">
        <v>0</v>
      </c>
      <c r="G791" s="28">
        <f>SUM(D791:F791)</f>
        <v>0</v>
      </c>
      <c r="H791" s="125">
        <v>0</v>
      </c>
      <c r="I791" s="113">
        <v>0</v>
      </c>
      <c r="J791" s="125">
        <v>0</v>
      </c>
      <c r="K791" s="113">
        <v>0</v>
      </c>
      <c r="L791" s="113">
        <v>0</v>
      </c>
      <c r="M791" s="113">
        <v>0</v>
      </c>
      <c r="N791" s="28">
        <f>G791-SUM(H791:M791)</f>
        <v>0</v>
      </c>
      <c r="O791" s="28">
        <f>SUM(V791:Y791)</f>
        <v>0</v>
      </c>
      <c r="P791" s="28">
        <f>O791-N791</f>
        <v>0</v>
      </c>
      <c r="Q791" s="61" t="str">
        <f>IF(ISERROR(P791/SUM(H791:L791)),"",P791/SUM(H791:L791))</f>
        <v/>
      </c>
      <c r="R791" s="113">
        <v>0</v>
      </c>
      <c r="S791" s="28">
        <f>IF(ISERROR(P791/C791*R791),0,(P791/C791*R791))</f>
        <v>0</v>
      </c>
      <c r="T791" s="60">
        <f>IF(ISERROR(P791/B791*AF791),0,(P791/B791*AF791))</f>
        <v>0</v>
      </c>
      <c r="V791" s="113">
        <v>0</v>
      </c>
      <c r="W791" s="113">
        <v>0</v>
      </c>
      <c r="X791" s="113">
        <v>0</v>
      </c>
      <c r="Y791" s="113">
        <v>0</v>
      </c>
      <c r="AA791" s="113">
        <v>0</v>
      </c>
      <c r="AB791" s="113">
        <v>0</v>
      </c>
      <c r="AC791" s="113">
        <v>0</v>
      </c>
      <c r="AD791" s="113">
        <v>0</v>
      </c>
      <c r="AF791" s="113">
        <v>0</v>
      </c>
      <c r="AG791" s="28">
        <f>G791-O791</f>
        <v>0</v>
      </c>
      <c r="AH791" s="58">
        <f>IF(ISERROR(AG791/B791*AF791),0,(AG791/B791*AF791))</f>
        <v>0</v>
      </c>
      <c r="AI791" s="28">
        <f>SUM(H791:M791)</f>
        <v>0</v>
      </c>
      <c r="AJ791" s="28">
        <f>IF(ISERROR(AI791/B791*AF791),0,(AI791/B791*AF791))</f>
        <v>0</v>
      </c>
      <c r="AK791" s="58">
        <f>IF(ISERROR(O791/B791*AF791),0,(O791/B791*AF791))</f>
        <v>0</v>
      </c>
      <c r="AL791" s="28">
        <f>IF(ISERROR(H791/B791*AF791),0,(H791/B791*AF791))</f>
        <v>0</v>
      </c>
      <c r="AN791" s="51">
        <f>A791</f>
        <v>0</v>
      </c>
      <c r="AO791" s="57">
        <f>IF(ISERROR(IF(B791=C791,D791/C791,(INT(D791/B791)+(((D791-B791*INT(D791/B791)))/C791)/100))),0,(IF(B791=C791,D791/C791,(INT(D791/B791)+(((D791-B791*INT(D791/B791)))/C791)/100))))</f>
        <v>0</v>
      </c>
      <c r="AP791" s="57">
        <f>IF(ISERROR(IF(B791=C791,E791/C791,(INT(E791/B791)+(((E791-B791*INT(E791/B791)))/C791)/100))),0,(IF(B791=C791,E791/C791,(INT(E791/B791)+(((E791-B791*INT(E791/B791)))/C791)/100))))</f>
        <v>0</v>
      </c>
      <c r="AQ791" s="57">
        <f>IF(ISERROR(IF(B791=C791,F791/C791,IF((INT(F791/B791)+(((F791-B791*INT(F791/B791)))/C791)/100)&lt;0,(INT(F791/B791)+(((F791-B791*INT(F791/B791)))/C791)/100)+(1-(B791/C791/100)),(INT(F791/B791)+(((F791-B791*INT(F791/B791)))/C791)/100)))),0,IF(B791=C791,F791/C791,IF((INT(F791/B791)+(((F791-B791*INT(F791/B791)))/C791)/100)&lt;0,(INT(F791/B791)+(((F791-B791*INT(F791/B791)))/C791)/100)+(1-(B791/C791/100)),(INT(F791/B791)+(((F791-B791*INT(F791/B791)))/C791)/100))))</f>
        <v>0</v>
      </c>
      <c r="AR791" s="57">
        <f>IF(ISERROR(IF(B791=C791,G791/C791,(INT(G791/B791)+(((G791-B791*INT(G791/B791)))/C791)/100))),0,(IF(B791=C791,G791/C791,(INT(G791/B791)+(((G791-B791*INT(G791/B791)))/C791)/100))))</f>
        <v>0</v>
      </c>
      <c r="AS791" s="57">
        <f>IF(ISERROR(IF(B791=C791,H791/C791,(INT(H791/B791)+(((H791-B791*INT(H791/B791)))/C791)/100))),0,(IF(B791=C791,H791/C791,(INT(H791/B791)+(((H791-B791*INT(H791/B791)))/C791)/100))))</f>
        <v>0</v>
      </c>
      <c r="AT791" s="57">
        <f>IF(ISERROR(IF(B791=C791,I791/C791,(INT(I791/B791)+(((I791-B791*INT(I791/B791)))/C791)/100))),0,(IF(B791=C791,I791/C791,(INT(I791/B791)+(((I791-B791*INT(I791/B791)))/C791)/100))))</f>
        <v>0</v>
      </c>
      <c r="AU791" s="57">
        <f>IF(ISERROR(IF(B791=C791,J791/C791,(INT(J791/B791)+(((J791-B791*INT(J791/B791)))/C791)/100))),0,(IF(B791=C791,J791/C791,(INT(J791/B791)+(((J791-B791*INT(J791/B791)))/C791)/100))))</f>
        <v>0</v>
      </c>
      <c r="AV791" s="57">
        <f>IF(ISERROR(IF(B791=C791,K791/C791,IF((INT(K791/B791)+(((K791-B791*INT(K791/B791)))/C791)/100)&lt;0,(INT(K791/B791)+(((K791-B791*INT(K791/B791)))/C791)/100)+(1-(B791/C791/100)),(INT(K791/B791)+(((K791-B791*INT(K791/B791)))/C791)/100)))),0,IF(B791=C791,K791/C791,IF((INT(K791/B791)+(((K791-B791*INT(K791/B791)))/C791)/100)&lt;0,(INT(K791/B791)+(((K791-B791*INT(K791/B791)))/C791)/100)+(1-(B791/C791/100)),(INT(K791/B791)+(((K791-B791*INT(K791/B791)))/C791)/100))))</f>
        <v>0</v>
      </c>
      <c r="AW791" s="57">
        <f>IF(ISERROR(IF(B791=C791,L791/C791,(INT(L791/B791)+(((L791-B791*INT(L791/B791)))/C791)/100))),0,(IF(B791=C791,L791/C791,(INT(L791/B791)+(((L791-B791*INT(L791/B791)))/C791)/100))))</f>
        <v>0</v>
      </c>
      <c r="AX791" s="57">
        <f>IF(ISERROR(IF(B791=C791,M791/C791,(INT(M791/B791)+(((M791-B791*INT(M791/B791)))/C791)/100))),0,(IF(B791=C791,M791/C791,(INT(M791/B791)+(((M791-B791*INT(M791/B791)))/C791)/100))))</f>
        <v>0</v>
      </c>
      <c r="AY791" s="57">
        <f>IF(ISERROR(IF(B791=C791,N791/C791,IF((INT(N791/B791)+(((N791-B791*INT(N791/B791)))/C791)/100)&lt;0,(INT(N791/B791)+(((N791-B791*INT(N791/B791)))/C791)/100)+(1-(B791/C791/100)),(INT(N791/B791)+(((N791-B791*INT(N791/B791)))/C791)/100)))),0,IF(B791=C791,N791/C791,IF((INT(N791/B791)+(((N791-B791*INT(N791/B791)))/C791)/100)&lt;0,(INT(N791/B791)+(((N791-B791*INT(N791/B791)))/C791)/100)+(1-(B791/C791/100)),(INT(N791/B791)+(((N791-B791*INT(N791/B791)))/C791)/100))))</f>
        <v>0</v>
      </c>
      <c r="AZ791" s="57">
        <f>IF(ISERROR(IF(B791=C791,O791/C791,(INT(O791/B791)+(((O791-B791*INT(O791/B791)))/C791)/100))),0,(IF(B791=C791,O791/C791,(INT(O791/B791)+(((O791-B791*INT(O791/B791)))/C791)/100))))</f>
        <v>0</v>
      </c>
      <c r="BA791" s="57">
        <f>IF(ISERROR(IF(B791=C791,P791/C791,IF((INT(P791/B791)+(((P791-B791*INT(P791/B791)))/C791)/100)&lt;0,(INT(P791/B791)+(((P791-B791*INT(P791/B791)))/C791)/100)+(1-(B791/C791/100)),(INT(P791/B791)+(((P791-B791*INT(P791/B791)))/C791)/100)))),0,IF(B791=C791,P791/C791,IF((INT(P791/B791)+(((P791-B791*INT(P791/B791)))/C791)/100)&lt;0,(INT(P791/B791)+(((P791-B791*INT(P791/B791)))/C791)/100)+(1-(B791/C791/100)),(INT(P791/B791)+(((P791-B791*INT(P791/B791)))/C791)/100))))</f>
        <v>0</v>
      </c>
      <c r="BB791" s="28">
        <f>R791</f>
        <v>0</v>
      </c>
      <c r="BC791" s="28">
        <f>S791</f>
        <v>0</v>
      </c>
      <c r="BD791" s="28">
        <f>AF791</f>
        <v>0</v>
      </c>
      <c r="BE791" s="28">
        <f>T791</f>
        <v>0</v>
      </c>
      <c r="BG791" s="57">
        <f>IF(ISERROR(IF(B791=C791,V791/C791,(INT(V791/B791)+(((V791-B791*INT(V791/B791)))/C791)/100))),0,(IF(B791=C791,V791/C791,(INT(V791/B791)+(((V791-B791*INT(V791/B791)))/C791)/100))))</f>
        <v>0</v>
      </c>
      <c r="BH791" s="57">
        <f>IF(ISERROR(IF(B791=C791,W791/C791,(INT(W791/B791)+(((W791-B791*INT(W791/B791)))/C791)/100))),0,(IF(B791=C791,W791/C791,(INT(W791/B791)+(((W791-B791*INT(W791/B791)))/C791)/100))))</f>
        <v>0</v>
      </c>
      <c r="BI791" s="57">
        <f>IF(ISERROR(IF(B791=C791,X791/C791,(INT(X791/B791)+(((X791-B791*INT(X791/B791)))/C791)/100))),0,(IF(B791=C791,X791/C791,(INT(X791/B791)+(((X791-B791*INT(X791/B791)))/C791)/100))))</f>
        <v>0</v>
      </c>
      <c r="BJ791" s="57">
        <f>IF(ISERROR(IF(B791=C791,Y791/C791,(INT(Y791/B791)+(((Y791-B791*INT(Y791/B791)))/C791)/100))),0,(IF(B791=C791,Y791/C791,(INT(Y791/B791)+(((Y791-B791*INT(Y791/B791)))/C791)/100))))</f>
        <v>0</v>
      </c>
      <c r="BL791" s="57">
        <f>IF(ISERROR(IF(B791=C791,AA791/C791,(INT(AA791/B791)+(((AA791-B791*INT(AA791/B791)))/C791)/100))),0,(IF(B791=C791,AA791/C791,(INT(AA791/B791)+(((AA791-B791*INT(AA791/B791)))/C791)/100))))</f>
        <v>0</v>
      </c>
      <c r="BM791" s="57">
        <f>IF(ISERROR(IF(B791=C791,AB791/C791,(INT(AB791/B791)+(((AB791-B791*INT(AB791/B791)))/C791)/100))),0,(IF(B791=C791,AB791/C791,(INT(AB791/B791)+(((AB791-B791*INT(AB791/B791)))/C791)/100))))</f>
        <v>0</v>
      </c>
      <c r="BN791" s="57">
        <f>IF(ISERROR(IF(B791=C791,AC791/C791,(INT(AC791/B791)+(((AC791-B791*INT(AC791/B791)))/C791)/100))),0,(IF(B791=C791,AC791/C791,(INT(AC791/B791)+(((AC791-B791*INT(AC791/B791)))/C791)/100))))</f>
        <v>0</v>
      </c>
      <c r="BO791" s="57">
        <f>IF(ISERROR(IF(B791=C791,AD791/C791,(INT(AD791/B791)+(((AD791-B791*INT(AD791/B791)))/C791)/100))),0,(IF(B791=C791,AD791/C791,(INT(AD791/B791)+(((AD791-B791*INT(AD791/B791)))/C791)/100))))</f>
        <v>0</v>
      </c>
      <c r="BQ791" s="155"/>
    </row>
    <row r="792" spans="1:69" hidden="1" x14ac:dyDescent="0.35">
      <c r="A792" s="134"/>
      <c r="B792" s="113"/>
      <c r="C792" s="113"/>
      <c r="D792" s="28">
        <f>SUM(AA792:AD792)</f>
        <v>0</v>
      </c>
      <c r="E792" s="113">
        <v>0</v>
      </c>
      <c r="F792" s="113">
        <v>0</v>
      </c>
      <c r="G792" s="28">
        <f>SUM(D792:F792)</f>
        <v>0</v>
      </c>
      <c r="H792" s="125">
        <v>0</v>
      </c>
      <c r="I792" s="113">
        <v>0</v>
      </c>
      <c r="J792" s="125">
        <v>0</v>
      </c>
      <c r="K792" s="113">
        <v>0</v>
      </c>
      <c r="L792" s="113">
        <v>0</v>
      </c>
      <c r="M792" s="113">
        <v>0</v>
      </c>
      <c r="N792" s="28">
        <f>G792-SUM(H792:M792)</f>
        <v>0</v>
      </c>
      <c r="O792" s="28">
        <f>SUM(V792:Y792)</f>
        <v>0</v>
      </c>
      <c r="P792" s="28">
        <f>O792-N792</f>
        <v>0</v>
      </c>
      <c r="Q792" s="61" t="str">
        <f>IF(ISERROR(P792/SUM(H792:L792)),"",P792/SUM(H792:L792))</f>
        <v/>
      </c>
      <c r="R792" s="113">
        <v>0</v>
      </c>
      <c r="S792" s="28">
        <f>IF(ISERROR(P792/C792*R792),0,(P792/C792*R792))</f>
        <v>0</v>
      </c>
      <c r="T792" s="60">
        <f>IF(ISERROR(P792/B792*AF792),0,(P792/B792*AF792))</f>
        <v>0</v>
      </c>
      <c r="V792" s="113">
        <v>0</v>
      </c>
      <c r="W792" s="113">
        <v>0</v>
      </c>
      <c r="X792" s="113">
        <v>0</v>
      </c>
      <c r="Y792" s="113">
        <v>0</v>
      </c>
      <c r="AA792" s="113">
        <v>0</v>
      </c>
      <c r="AB792" s="113">
        <v>0</v>
      </c>
      <c r="AC792" s="113">
        <v>0</v>
      </c>
      <c r="AD792" s="113">
        <v>0</v>
      </c>
      <c r="AF792" s="113">
        <v>0</v>
      </c>
      <c r="AG792" s="28">
        <f>G792-O792</f>
        <v>0</v>
      </c>
      <c r="AH792" s="58">
        <f>IF(ISERROR(AG792/B792*AF792),0,(AG792/B792*AF792))</f>
        <v>0</v>
      </c>
      <c r="AI792" s="28">
        <f>SUM(H792:M792)</f>
        <v>0</v>
      </c>
      <c r="AJ792" s="28">
        <f>IF(ISERROR(AI792/B792*AF792),0,(AI792/B792*AF792))</f>
        <v>0</v>
      </c>
      <c r="AK792" s="58">
        <f>IF(ISERROR(O792/B792*AF792),0,(O792/B792*AF792))</f>
        <v>0</v>
      </c>
      <c r="AL792" s="28">
        <f>IF(ISERROR(H792/B792*AF792),0,(H792/B792*AF792))</f>
        <v>0</v>
      </c>
      <c r="AN792" s="51">
        <f>A792</f>
        <v>0</v>
      </c>
      <c r="AO792" s="57">
        <f>IF(ISERROR(IF(B792=C792,D792/C792,(INT(D792/B792)+(((D792-B792*INT(D792/B792)))/C792)/100))),0,(IF(B792=C792,D792/C792,(INT(D792/B792)+(((D792-B792*INT(D792/B792)))/C792)/100))))</f>
        <v>0</v>
      </c>
      <c r="AP792" s="57">
        <f>IF(ISERROR(IF(B792=C792,E792/C792,(INT(E792/B792)+(((E792-B792*INT(E792/B792)))/C792)/100))),0,(IF(B792=C792,E792/C792,(INT(E792/B792)+(((E792-B792*INT(E792/B792)))/C792)/100))))</f>
        <v>0</v>
      </c>
      <c r="AQ792" s="57">
        <f>IF(ISERROR(IF(B792=C792,F792/C792,IF((INT(F792/B792)+(((F792-B792*INT(F792/B792)))/C792)/100)&lt;0,(INT(F792/B792)+(((F792-B792*INT(F792/B792)))/C792)/100)+(1-(B792/C792/100)),(INT(F792/B792)+(((F792-B792*INT(F792/B792)))/C792)/100)))),0,IF(B792=C792,F792/C792,IF((INT(F792/B792)+(((F792-B792*INT(F792/B792)))/C792)/100)&lt;0,(INT(F792/B792)+(((F792-B792*INT(F792/B792)))/C792)/100)+(1-(B792/C792/100)),(INT(F792/B792)+(((F792-B792*INT(F792/B792)))/C792)/100))))</f>
        <v>0</v>
      </c>
      <c r="AR792" s="57">
        <f>IF(ISERROR(IF(B792=C792,G792/C792,(INT(G792/B792)+(((G792-B792*INT(G792/B792)))/C792)/100))),0,(IF(B792=C792,G792/C792,(INT(G792/B792)+(((G792-B792*INT(G792/B792)))/C792)/100))))</f>
        <v>0</v>
      </c>
      <c r="AS792" s="57">
        <f>IF(ISERROR(IF(B792=C792,H792/C792,(INT(H792/B792)+(((H792-B792*INT(H792/B792)))/C792)/100))),0,(IF(B792=C792,H792/C792,(INT(H792/B792)+(((H792-B792*INT(H792/B792)))/C792)/100))))</f>
        <v>0</v>
      </c>
      <c r="AT792" s="57">
        <f>IF(ISERROR(IF(B792=C792,I792/C792,(INT(I792/B792)+(((I792-B792*INT(I792/B792)))/C792)/100))),0,(IF(B792=C792,I792/C792,(INT(I792/B792)+(((I792-B792*INT(I792/B792)))/C792)/100))))</f>
        <v>0</v>
      </c>
      <c r="AU792" s="57">
        <f>IF(ISERROR(IF(B792=C792,J792/C792,(INT(J792/B792)+(((J792-B792*INT(J792/B792)))/C792)/100))),0,(IF(B792=C792,J792/C792,(INT(J792/B792)+(((J792-B792*INT(J792/B792)))/C792)/100))))</f>
        <v>0</v>
      </c>
      <c r="AV792" s="57">
        <f>IF(ISERROR(IF(B792=C792,K792/C792,IF((INT(K792/B792)+(((K792-B792*INT(K792/B792)))/C792)/100)&lt;0,(INT(K792/B792)+(((K792-B792*INT(K792/B792)))/C792)/100)+(1-(B792/C792/100)),(INT(K792/B792)+(((K792-B792*INT(K792/B792)))/C792)/100)))),0,IF(B792=C792,K792/C792,IF((INT(K792/B792)+(((K792-B792*INT(K792/B792)))/C792)/100)&lt;0,(INT(K792/B792)+(((K792-B792*INT(K792/B792)))/C792)/100)+(1-(B792/C792/100)),(INT(K792/B792)+(((K792-B792*INT(K792/B792)))/C792)/100))))</f>
        <v>0</v>
      </c>
      <c r="AW792" s="57">
        <f>IF(ISERROR(IF(B792=C792,L792/C792,(INT(L792/B792)+(((L792-B792*INT(L792/B792)))/C792)/100))),0,(IF(B792=C792,L792/C792,(INT(L792/B792)+(((L792-B792*INT(L792/B792)))/C792)/100))))</f>
        <v>0</v>
      </c>
      <c r="AX792" s="57">
        <f>IF(ISERROR(IF(B792=C792,M792/C792,(INT(M792/B792)+(((M792-B792*INT(M792/B792)))/C792)/100))),0,(IF(B792=C792,M792/C792,(INT(M792/B792)+(((M792-B792*INT(M792/B792)))/C792)/100))))</f>
        <v>0</v>
      </c>
      <c r="AY792" s="57">
        <f>IF(ISERROR(IF(B792=C792,N792/C792,IF((INT(N792/B792)+(((N792-B792*INT(N792/B792)))/C792)/100)&lt;0,(INT(N792/B792)+(((N792-B792*INT(N792/B792)))/C792)/100)+(1-(B792/C792/100)),(INT(N792/B792)+(((N792-B792*INT(N792/B792)))/C792)/100)))),0,IF(B792=C792,N792/C792,IF((INT(N792/B792)+(((N792-B792*INT(N792/B792)))/C792)/100)&lt;0,(INT(N792/B792)+(((N792-B792*INT(N792/B792)))/C792)/100)+(1-(B792/C792/100)),(INT(N792/B792)+(((N792-B792*INT(N792/B792)))/C792)/100))))</f>
        <v>0</v>
      </c>
      <c r="AZ792" s="57">
        <f>IF(ISERROR(IF(B792=C792,O792/C792,(INT(O792/B792)+(((O792-B792*INT(O792/B792)))/C792)/100))),0,(IF(B792=C792,O792/C792,(INT(O792/B792)+(((O792-B792*INT(O792/B792)))/C792)/100))))</f>
        <v>0</v>
      </c>
      <c r="BA792" s="57">
        <f>IF(ISERROR(IF(B792=C792,P792/C792,IF((INT(P792/B792)+(((P792-B792*INT(P792/B792)))/C792)/100)&lt;0,(INT(P792/B792)+(((P792-B792*INT(P792/B792)))/C792)/100)+(1-(B792/C792/100)),(INT(P792/B792)+(((P792-B792*INT(P792/B792)))/C792)/100)))),0,IF(B792=C792,P792/C792,IF((INT(P792/B792)+(((P792-B792*INT(P792/B792)))/C792)/100)&lt;0,(INT(P792/B792)+(((P792-B792*INT(P792/B792)))/C792)/100)+(1-(B792/C792/100)),(INT(P792/B792)+(((P792-B792*INT(P792/B792)))/C792)/100))))</f>
        <v>0</v>
      </c>
      <c r="BB792" s="28">
        <f>R792</f>
        <v>0</v>
      </c>
      <c r="BC792" s="28">
        <f>S792</f>
        <v>0</v>
      </c>
      <c r="BD792" s="28">
        <f>AF792</f>
        <v>0</v>
      </c>
      <c r="BE792" s="28">
        <f>T792</f>
        <v>0</v>
      </c>
      <c r="BG792" s="57">
        <f>IF(ISERROR(IF(B792=C792,V792/C792,(INT(V792/B792)+(((V792-B792*INT(V792/B792)))/C792)/100))),0,(IF(B792=C792,V792/C792,(INT(V792/B792)+(((V792-B792*INT(V792/B792)))/C792)/100))))</f>
        <v>0</v>
      </c>
      <c r="BH792" s="57">
        <f>IF(ISERROR(IF(B792=C792,W792/C792,(INT(W792/B792)+(((W792-B792*INT(W792/B792)))/C792)/100))),0,(IF(B792=C792,W792/C792,(INT(W792/B792)+(((W792-B792*INT(W792/B792)))/C792)/100))))</f>
        <v>0</v>
      </c>
      <c r="BI792" s="57">
        <f>IF(ISERROR(IF(B792=C792,X792/C792,(INT(X792/B792)+(((X792-B792*INT(X792/B792)))/C792)/100))),0,(IF(B792=C792,X792/C792,(INT(X792/B792)+(((X792-B792*INT(X792/B792)))/C792)/100))))</f>
        <v>0</v>
      </c>
      <c r="BJ792" s="57">
        <f>IF(ISERROR(IF(B792=C792,Y792/C792,(INT(Y792/B792)+(((Y792-B792*INT(Y792/B792)))/C792)/100))),0,(IF(B792=C792,Y792/C792,(INT(Y792/B792)+(((Y792-B792*INT(Y792/B792)))/C792)/100))))</f>
        <v>0</v>
      </c>
      <c r="BL792" s="57">
        <f>IF(ISERROR(IF(B792=C792,AA792/C792,(INT(AA792/B792)+(((AA792-B792*INT(AA792/B792)))/C792)/100))),0,(IF(B792=C792,AA792/C792,(INT(AA792/B792)+(((AA792-B792*INT(AA792/B792)))/C792)/100))))</f>
        <v>0</v>
      </c>
      <c r="BM792" s="57">
        <f>IF(ISERROR(IF(B792=C792,AB792/C792,(INT(AB792/B792)+(((AB792-B792*INT(AB792/B792)))/C792)/100))),0,(IF(B792=C792,AB792/C792,(INT(AB792/B792)+(((AB792-B792*INT(AB792/B792)))/C792)/100))))</f>
        <v>0</v>
      </c>
      <c r="BN792" s="57">
        <f>IF(ISERROR(IF(B792=C792,AC792/C792,(INT(AC792/B792)+(((AC792-B792*INT(AC792/B792)))/C792)/100))),0,(IF(B792=C792,AC792/C792,(INT(AC792/B792)+(((AC792-B792*INT(AC792/B792)))/C792)/100))))</f>
        <v>0</v>
      </c>
      <c r="BO792" s="57">
        <f>IF(ISERROR(IF(B792=C792,AD792/C792,(INT(AD792/B792)+(((AD792-B792*INT(AD792/B792)))/C792)/100))),0,(IF(B792=C792,AD792/C792,(INT(AD792/B792)+(((AD792-B792*INT(AD792/B792)))/C792)/100))))</f>
        <v>0</v>
      </c>
      <c r="BQ792" s="155"/>
    </row>
    <row r="793" spans="1:69" hidden="1" x14ac:dyDescent="0.35">
      <c r="A793" s="94"/>
      <c r="B793" s="113">
        <v>1</v>
      </c>
      <c r="C793" s="113">
        <v>1</v>
      </c>
      <c r="D793" s="28">
        <f>SUM(AA793:AD793)</f>
        <v>0</v>
      </c>
      <c r="E793" s="113">
        <v>0</v>
      </c>
      <c r="F793" s="113">
        <v>0</v>
      </c>
      <c r="G793" s="28">
        <f>SUM(D793:F793)</f>
        <v>0</v>
      </c>
      <c r="H793" s="125">
        <v>0</v>
      </c>
      <c r="I793" s="113">
        <v>0</v>
      </c>
      <c r="J793" s="125">
        <v>0</v>
      </c>
      <c r="K793" s="113">
        <v>0</v>
      </c>
      <c r="L793" s="113">
        <v>0</v>
      </c>
      <c r="M793" s="113">
        <v>0</v>
      </c>
      <c r="N793" s="28">
        <f>G793-SUM(H793:M793)</f>
        <v>0</v>
      </c>
      <c r="O793" s="28">
        <f>SUM(V793:Y793)</f>
        <v>0</v>
      </c>
      <c r="P793" s="28">
        <f>O793-N793</f>
        <v>0</v>
      </c>
      <c r="Q793" s="61" t="str">
        <f>IF(ISERROR(P793/SUM(H793:L793)),"",P793/SUM(H793:L793))</f>
        <v/>
      </c>
      <c r="R793" s="113">
        <v>0</v>
      </c>
      <c r="S793" s="28">
        <f>IF(ISERROR(P793/C793*R793),0,(P793/C793*R793))</f>
        <v>0</v>
      </c>
      <c r="T793" s="60">
        <f>IF(ISERROR(P793/B793*AF793),0,(P793/B793*AF793))</f>
        <v>0</v>
      </c>
      <c r="V793" s="113">
        <v>0</v>
      </c>
      <c r="W793" s="113">
        <v>0</v>
      </c>
      <c r="X793" s="113">
        <v>0</v>
      </c>
      <c r="Y793" s="113">
        <v>0</v>
      </c>
      <c r="AA793" s="113">
        <v>0</v>
      </c>
      <c r="AB793" s="113">
        <v>0</v>
      </c>
      <c r="AC793" s="113">
        <v>0</v>
      </c>
      <c r="AD793" s="113">
        <v>0</v>
      </c>
      <c r="AF793" s="113">
        <v>0</v>
      </c>
      <c r="AG793" s="28">
        <f>G793-O793</f>
        <v>0</v>
      </c>
      <c r="AH793" s="58">
        <f>IF(ISERROR(AG793/B793*AF793),0,(AG793/B793*AF793))</f>
        <v>0</v>
      </c>
      <c r="AI793" s="28">
        <f>SUM(H793:M793)</f>
        <v>0</v>
      </c>
      <c r="AJ793" s="28">
        <f>IF(ISERROR(AI793/B793*AF793),0,(AI793/B793*AF793))</f>
        <v>0</v>
      </c>
      <c r="AK793" s="58">
        <f>IF(ISERROR(O793/B793*AF793),0,(O793/B793*AF793))</f>
        <v>0</v>
      </c>
      <c r="AL793" s="28">
        <f>IF(ISERROR(H793/B793*AF793),0,(H793/B793*AF793))</f>
        <v>0</v>
      </c>
      <c r="AN793" s="51">
        <f>A793</f>
        <v>0</v>
      </c>
      <c r="AO793" s="57">
        <f>IF(ISERROR(IF(B793=C793,D793/C793,(INT(D793/B793)+(((D793-B793*INT(D793/B793)))/C793)/100))),0,(IF(B793=C793,D793/C793,(INT(D793/B793)+(((D793-B793*INT(D793/B793)))/C793)/100))))</f>
        <v>0</v>
      </c>
      <c r="AP793" s="57">
        <f>IF(ISERROR(IF(B793=C793,E793/C793,(INT(E793/B793)+(((E793-B793*INT(E793/B793)))/C793)/100))),0,(IF(B793=C793,E793/C793,(INT(E793/B793)+(((E793-B793*INT(E793/B793)))/C793)/100))))</f>
        <v>0</v>
      </c>
      <c r="AQ793" s="57">
        <f>IF(ISERROR(IF(B793=C793,F793/C793,IF((INT(F793/B793)+(((F793-B793*INT(F793/B793)))/C793)/100)&lt;0,(INT(F793/B793)+(((F793-B793*INT(F793/B793)))/C793)/100)+(1-(B793/C793/100)),(INT(F793/B793)+(((F793-B793*INT(F793/B793)))/C793)/100)))),0,IF(B793=C793,F793/C793,IF((INT(F793/B793)+(((F793-B793*INT(F793/B793)))/C793)/100)&lt;0,(INT(F793/B793)+(((F793-B793*INT(F793/B793)))/C793)/100)+(1-(B793/C793/100)),(INT(F793/B793)+(((F793-B793*INT(F793/B793)))/C793)/100))))</f>
        <v>0</v>
      </c>
      <c r="AR793" s="57">
        <f>IF(ISERROR(IF(B793=C793,G793/C793,(INT(G793/B793)+(((G793-B793*INT(G793/B793)))/C793)/100))),0,(IF(B793=C793,G793/C793,(INT(G793/B793)+(((G793-B793*INT(G793/B793)))/C793)/100))))</f>
        <v>0</v>
      </c>
      <c r="AS793" s="57">
        <f>IF(ISERROR(IF(B793=C793,H793/C793,(INT(H793/B793)+(((H793-B793*INT(H793/B793)))/C793)/100))),0,(IF(B793=C793,H793/C793,(INT(H793/B793)+(((H793-B793*INT(H793/B793)))/C793)/100))))</f>
        <v>0</v>
      </c>
      <c r="AT793" s="57">
        <f>IF(ISERROR(IF(B793=C793,I793/C793,(INT(I793/B793)+(((I793-B793*INT(I793/B793)))/C793)/100))),0,(IF(B793=C793,I793/C793,(INT(I793/B793)+(((I793-B793*INT(I793/B793)))/C793)/100))))</f>
        <v>0</v>
      </c>
      <c r="AU793" s="57">
        <f>IF(ISERROR(IF(B793=C793,J793/C793,(INT(J793/B793)+(((J793-B793*INT(J793/B793)))/C793)/100))),0,(IF(B793=C793,J793/C793,(INT(J793/B793)+(((J793-B793*INT(J793/B793)))/C793)/100))))</f>
        <v>0</v>
      </c>
      <c r="AV793" s="57">
        <f>IF(ISERROR(IF(B793=C793,K793/C793,IF((INT(K793/B793)+(((K793-B793*INT(K793/B793)))/C793)/100)&lt;0,(INT(K793/B793)+(((K793-B793*INT(K793/B793)))/C793)/100)+(1-(B793/C793/100)),(INT(K793/B793)+(((K793-B793*INT(K793/B793)))/C793)/100)))),0,IF(B793=C793,K793/C793,IF((INT(K793/B793)+(((K793-B793*INT(K793/B793)))/C793)/100)&lt;0,(INT(K793/B793)+(((K793-B793*INT(K793/B793)))/C793)/100)+(1-(B793/C793/100)),(INT(K793/B793)+(((K793-B793*INT(K793/B793)))/C793)/100))))</f>
        <v>0</v>
      </c>
      <c r="AW793" s="57">
        <f>IF(ISERROR(IF(B793=C793,L793/C793,(INT(L793/B793)+(((L793-B793*INT(L793/B793)))/C793)/100))),0,(IF(B793=C793,L793/C793,(INT(L793/B793)+(((L793-B793*INT(L793/B793)))/C793)/100))))</f>
        <v>0</v>
      </c>
      <c r="AX793" s="57">
        <f>IF(ISERROR(IF(B793=C793,M793/C793,(INT(M793/B793)+(((M793-B793*INT(M793/B793)))/C793)/100))),0,(IF(B793=C793,M793/C793,(INT(M793/B793)+(((M793-B793*INT(M793/B793)))/C793)/100))))</f>
        <v>0</v>
      </c>
      <c r="AY793" s="57">
        <f>IF(ISERROR(IF(B793=C793,N793/C793,IF((INT(N793/B793)+(((N793-B793*INT(N793/B793)))/C793)/100)&lt;0,(INT(N793/B793)+(((N793-B793*INT(N793/B793)))/C793)/100)+(1-(B793/C793/100)),(INT(N793/B793)+(((N793-B793*INT(N793/B793)))/C793)/100)))),0,IF(B793=C793,N793/C793,IF((INT(N793/B793)+(((N793-B793*INT(N793/B793)))/C793)/100)&lt;0,(INT(N793/B793)+(((N793-B793*INT(N793/B793)))/C793)/100)+(1-(B793/C793/100)),(INT(N793/B793)+(((N793-B793*INT(N793/B793)))/C793)/100))))</f>
        <v>0</v>
      </c>
      <c r="AZ793" s="57">
        <f>IF(ISERROR(IF(B793=C793,O793/C793,(INT(O793/B793)+(((O793-B793*INT(O793/B793)))/C793)/100))),0,(IF(B793=C793,O793/C793,(INT(O793/B793)+(((O793-B793*INT(O793/B793)))/C793)/100))))</f>
        <v>0</v>
      </c>
      <c r="BA793" s="57">
        <f>IF(ISERROR(IF(B793=C793,P793/C793,IF((INT(P793/B793)+(((P793-B793*INT(P793/B793)))/C793)/100)&lt;0,(INT(P793/B793)+(((P793-B793*INT(P793/B793)))/C793)/100)+(1-(B793/C793/100)),(INT(P793/B793)+(((P793-B793*INT(P793/B793)))/C793)/100)))),0,IF(B793=C793,P793/C793,IF((INT(P793/B793)+(((P793-B793*INT(P793/B793)))/C793)/100)&lt;0,(INT(P793/B793)+(((P793-B793*INT(P793/B793)))/C793)/100)+(1-(B793/C793/100)),(INT(P793/B793)+(((P793-B793*INT(P793/B793)))/C793)/100))))</f>
        <v>0</v>
      </c>
      <c r="BB793" s="28">
        <f>R793</f>
        <v>0</v>
      </c>
      <c r="BC793" s="28">
        <f>S793</f>
        <v>0</v>
      </c>
      <c r="BD793" s="28">
        <f>AF793</f>
        <v>0</v>
      </c>
      <c r="BE793" s="28">
        <f>T793</f>
        <v>0</v>
      </c>
      <c r="BG793" s="57">
        <f>IF(ISERROR(IF(B793=C793,V793/C793,(INT(V793/B793)+(((V793-B793*INT(V793/B793)))/C793)/100))),0,(IF(B793=C793,V793/C793,(INT(V793/B793)+(((V793-B793*INT(V793/B793)))/C793)/100))))</f>
        <v>0</v>
      </c>
      <c r="BH793" s="57">
        <f>IF(ISERROR(IF(B793=C793,W793/C793,(INT(W793/B793)+(((W793-B793*INT(W793/B793)))/C793)/100))),0,(IF(B793=C793,W793/C793,(INT(W793/B793)+(((W793-B793*INT(W793/B793)))/C793)/100))))</f>
        <v>0</v>
      </c>
      <c r="BI793" s="57">
        <f>IF(ISERROR(IF(B793=C793,X793/C793,(INT(X793/B793)+(((X793-B793*INT(X793/B793)))/C793)/100))),0,(IF(B793=C793,X793/C793,(INT(X793/B793)+(((X793-B793*INT(X793/B793)))/C793)/100))))</f>
        <v>0</v>
      </c>
      <c r="BJ793" s="57">
        <f>IF(ISERROR(IF(B793=C793,Y793/C793,(INT(Y793/B793)+(((Y793-B793*INT(Y793/B793)))/C793)/100))),0,(IF(B793=C793,Y793/C793,(INT(Y793/B793)+(((Y793-B793*INT(Y793/B793)))/C793)/100))))</f>
        <v>0</v>
      </c>
      <c r="BL793" s="57">
        <f>IF(ISERROR(IF(B793=C793,AA793/C793,(INT(AA793/B793)+(((AA793-B793*INT(AA793/B793)))/C793)/100))),0,(IF(B793=C793,AA793/C793,(INT(AA793/B793)+(((AA793-B793*INT(AA793/B793)))/C793)/100))))</f>
        <v>0</v>
      </c>
      <c r="BM793" s="57">
        <f>IF(ISERROR(IF(B793=C793,AB793/C793,(INT(AB793/B793)+(((AB793-B793*INT(AB793/B793)))/C793)/100))),0,(IF(B793=C793,AB793/C793,(INT(AB793/B793)+(((AB793-B793*INT(AB793/B793)))/C793)/100))))</f>
        <v>0</v>
      </c>
      <c r="BN793" s="57">
        <f>IF(ISERROR(IF(B793=C793,AC793/C793,(INT(AC793/B793)+(((AC793-B793*INT(AC793/B793)))/C793)/100))),0,(IF(B793=C793,AC793/C793,(INT(AC793/B793)+(((AC793-B793*INT(AC793/B793)))/C793)/100))))</f>
        <v>0</v>
      </c>
      <c r="BO793" s="57">
        <f>IF(ISERROR(IF(B793=C793,AD793/C793,(INT(AD793/B793)+(((AD793-B793*INT(AD793/B793)))/C793)/100))),0,(IF(B793=C793,AD793/C793,(INT(AD793/B793)+(((AD793-B793*INT(AD793/B793)))/C793)/100))))</f>
        <v>0</v>
      </c>
      <c r="BQ793" s="155"/>
    </row>
    <row r="794" spans="1:69" hidden="1" x14ac:dyDescent="0.35">
      <c r="A794" s="94"/>
      <c r="B794" s="113">
        <v>1</v>
      </c>
      <c r="C794" s="113">
        <v>1</v>
      </c>
      <c r="D794" s="28">
        <f>SUM(AA794:AD794)</f>
        <v>0</v>
      </c>
      <c r="E794" s="113">
        <v>0</v>
      </c>
      <c r="F794" s="113">
        <v>0</v>
      </c>
      <c r="G794" s="28">
        <f>SUM(D794:F794)</f>
        <v>0</v>
      </c>
      <c r="H794" s="125">
        <v>0</v>
      </c>
      <c r="I794" s="113">
        <v>0</v>
      </c>
      <c r="J794" s="125">
        <v>0</v>
      </c>
      <c r="K794" s="113">
        <v>0</v>
      </c>
      <c r="L794" s="113">
        <v>0</v>
      </c>
      <c r="M794" s="113">
        <v>0</v>
      </c>
      <c r="N794" s="28">
        <f>G794-SUM(H794:M794)</f>
        <v>0</v>
      </c>
      <c r="O794" s="28">
        <f>SUM(V794:Y794)</f>
        <v>0</v>
      </c>
      <c r="P794" s="28">
        <f>O794-N794</f>
        <v>0</v>
      </c>
      <c r="Q794" s="61" t="str">
        <f>IF(ISERROR(P794/SUM(H794:L794)),"",P794/SUM(H794:L794))</f>
        <v/>
      </c>
      <c r="R794" s="113">
        <v>0</v>
      </c>
      <c r="S794" s="28">
        <f>IF(ISERROR(P794/C794*R794),0,(P794/C794*R794))</f>
        <v>0</v>
      </c>
      <c r="T794" s="60">
        <f>IF(ISERROR(P794/B794*AF794),0,(P794/B794*AF794))</f>
        <v>0</v>
      </c>
      <c r="V794" s="113">
        <v>0</v>
      </c>
      <c r="W794" s="113">
        <v>0</v>
      </c>
      <c r="X794" s="113">
        <v>0</v>
      </c>
      <c r="Y794" s="113">
        <v>0</v>
      </c>
      <c r="AA794" s="113">
        <v>0</v>
      </c>
      <c r="AB794" s="113">
        <v>0</v>
      </c>
      <c r="AC794" s="113">
        <v>0</v>
      </c>
      <c r="AD794" s="113">
        <v>0</v>
      </c>
      <c r="AF794" s="113">
        <v>0</v>
      </c>
      <c r="AG794" s="28">
        <f>G794-O794</f>
        <v>0</v>
      </c>
      <c r="AH794" s="58">
        <f>IF(ISERROR(AG794/B794*AF794),0,(AG794/B794*AF794))</f>
        <v>0</v>
      </c>
      <c r="AI794" s="28">
        <f>SUM(H794:M794)</f>
        <v>0</v>
      </c>
      <c r="AJ794" s="28">
        <f>IF(ISERROR(AI794/B794*AF794),0,(AI794/B794*AF794))</f>
        <v>0</v>
      </c>
      <c r="AK794" s="58">
        <f>IF(ISERROR(O794/B794*AF794),0,(O794/B794*AF794))</f>
        <v>0</v>
      </c>
      <c r="AL794" s="28">
        <f>IF(ISERROR(H794/B794*AF794),0,(H794/B794*AF794))</f>
        <v>0</v>
      </c>
      <c r="AN794" s="51">
        <f>A794</f>
        <v>0</v>
      </c>
      <c r="AO794" s="57">
        <f>IF(ISERROR(IF(B794=C794,D794/C794,(INT(D794/B794)+(((D794-B794*INT(D794/B794)))/C794)/100))),0,(IF(B794=C794,D794/C794,(INT(D794/B794)+(((D794-B794*INT(D794/B794)))/C794)/100))))</f>
        <v>0</v>
      </c>
      <c r="AP794" s="57">
        <f>IF(ISERROR(IF(B794=C794,E794/C794,(INT(E794/B794)+(((E794-B794*INT(E794/B794)))/C794)/100))),0,(IF(B794=C794,E794/C794,(INT(E794/B794)+(((E794-B794*INT(E794/B794)))/C794)/100))))</f>
        <v>0</v>
      </c>
      <c r="AQ794" s="57">
        <f>IF(ISERROR(IF(B794=C794,F794/C794,IF((INT(F794/B794)+(((F794-B794*INT(F794/B794)))/C794)/100)&lt;0,(INT(F794/B794)+(((F794-B794*INT(F794/B794)))/C794)/100)+(1-(B794/C794/100)),(INT(F794/B794)+(((F794-B794*INT(F794/B794)))/C794)/100)))),0,IF(B794=C794,F794/C794,IF((INT(F794/B794)+(((F794-B794*INT(F794/B794)))/C794)/100)&lt;0,(INT(F794/B794)+(((F794-B794*INT(F794/B794)))/C794)/100)+(1-(B794/C794/100)),(INT(F794/B794)+(((F794-B794*INT(F794/B794)))/C794)/100))))</f>
        <v>0</v>
      </c>
      <c r="AR794" s="57">
        <f>IF(ISERROR(IF(B794=C794,G794/C794,(INT(G794/B794)+(((G794-B794*INT(G794/B794)))/C794)/100))),0,(IF(B794=C794,G794/C794,(INT(G794/B794)+(((G794-B794*INT(G794/B794)))/C794)/100))))</f>
        <v>0</v>
      </c>
      <c r="AS794" s="57">
        <f>IF(ISERROR(IF(B794=C794,H794/C794,(INT(H794/B794)+(((H794-B794*INT(H794/B794)))/C794)/100))),0,(IF(B794=C794,H794/C794,(INT(H794/B794)+(((H794-B794*INT(H794/B794)))/C794)/100))))</f>
        <v>0</v>
      </c>
      <c r="AT794" s="57">
        <f>IF(ISERROR(IF(B794=C794,I794/C794,(INT(I794/B794)+(((I794-B794*INT(I794/B794)))/C794)/100))),0,(IF(B794=C794,I794/C794,(INT(I794/B794)+(((I794-B794*INT(I794/B794)))/C794)/100))))</f>
        <v>0</v>
      </c>
      <c r="AU794" s="57">
        <f>IF(ISERROR(IF(B794=C794,J794/C794,(INT(J794/B794)+(((J794-B794*INT(J794/B794)))/C794)/100))),0,(IF(B794=C794,J794/C794,(INT(J794/B794)+(((J794-B794*INT(J794/B794)))/C794)/100))))</f>
        <v>0</v>
      </c>
      <c r="AV794" s="57">
        <f>IF(ISERROR(IF(B794=C794,K794/C794,IF((INT(K794/B794)+(((K794-B794*INT(K794/B794)))/C794)/100)&lt;0,(INT(K794/B794)+(((K794-B794*INT(K794/B794)))/C794)/100)+(1-(B794/C794/100)),(INT(K794/B794)+(((K794-B794*INT(K794/B794)))/C794)/100)))),0,IF(B794=C794,K794/C794,IF((INT(K794/B794)+(((K794-B794*INT(K794/B794)))/C794)/100)&lt;0,(INT(K794/B794)+(((K794-B794*INT(K794/B794)))/C794)/100)+(1-(B794/C794/100)),(INT(K794/B794)+(((K794-B794*INT(K794/B794)))/C794)/100))))</f>
        <v>0</v>
      </c>
      <c r="AW794" s="57">
        <f>IF(ISERROR(IF(B794=C794,L794/C794,(INT(L794/B794)+(((L794-B794*INT(L794/B794)))/C794)/100))),0,(IF(B794=C794,L794/C794,(INT(L794/B794)+(((L794-B794*INT(L794/B794)))/C794)/100))))</f>
        <v>0</v>
      </c>
      <c r="AX794" s="57">
        <f>IF(ISERROR(IF(B794=C794,M794/C794,(INT(M794/B794)+(((M794-B794*INT(M794/B794)))/C794)/100))),0,(IF(B794=C794,M794/C794,(INT(M794/B794)+(((M794-B794*INT(M794/B794)))/C794)/100))))</f>
        <v>0</v>
      </c>
      <c r="AY794" s="57">
        <f>IF(ISERROR(IF(B794=C794,N794/C794,IF((INT(N794/B794)+(((N794-B794*INT(N794/B794)))/C794)/100)&lt;0,(INT(N794/B794)+(((N794-B794*INT(N794/B794)))/C794)/100)+(1-(B794/C794/100)),(INT(N794/B794)+(((N794-B794*INT(N794/B794)))/C794)/100)))),0,IF(B794=C794,N794/C794,IF((INT(N794/B794)+(((N794-B794*INT(N794/B794)))/C794)/100)&lt;0,(INT(N794/B794)+(((N794-B794*INT(N794/B794)))/C794)/100)+(1-(B794/C794/100)),(INT(N794/B794)+(((N794-B794*INT(N794/B794)))/C794)/100))))</f>
        <v>0</v>
      </c>
      <c r="AZ794" s="57">
        <f>IF(ISERROR(IF(B794=C794,O794/C794,(INT(O794/B794)+(((O794-B794*INT(O794/B794)))/C794)/100))),0,(IF(B794=C794,O794/C794,(INT(O794/B794)+(((O794-B794*INT(O794/B794)))/C794)/100))))</f>
        <v>0</v>
      </c>
      <c r="BA794" s="57">
        <f>IF(ISERROR(IF(B794=C794,P794/C794,IF((INT(P794/B794)+(((P794-B794*INT(P794/B794)))/C794)/100)&lt;0,(INT(P794/B794)+(((P794-B794*INT(P794/B794)))/C794)/100)+(1-(B794/C794/100)),(INT(P794/B794)+(((P794-B794*INT(P794/B794)))/C794)/100)))),0,IF(B794=C794,P794/C794,IF((INT(P794/B794)+(((P794-B794*INT(P794/B794)))/C794)/100)&lt;0,(INT(P794/B794)+(((P794-B794*INT(P794/B794)))/C794)/100)+(1-(B794/C794/100)),(INT(P794/B794)+(((P794-B794*INT(P794/B794)))/C794)/100))))</f>
        <v>0</v>
      </c>
      <c r="BB794" s="28">
        <f>R794</f>
        <v>0</v>
      </c>
      <c r="BC794" s="28">
        <f>S794</f>
        <v>0</v>
      </c>
      <c r="BD794" s="28">
        <f>AF794</f>
        <v>0</v>
      </c>
      <c r="BE794" s="28">
        <f>T794</f>
        <v>0</v>
      </c>
      <c r="BG794" s="57">
        <f>IF(ISERROR(IF(B794=C794,V794/C794,(INT(V794/B794)+(((V794-B794*INT(V794/B794)))/C794)/100))),0,(IF(B794=C794,V794/C794,(INT(V794/B794)+(((V794-B794*INT(V794/B794)))/C794)/100))))</f>
        <v>0</v>
      </c>
      <c r="BH794" s="57">
        <f>IF(ISERROR(IF(B794=C794,W794/C794,(INT(W794/B794)+(((W794-B794*INT(W794/B794)))/C794)/100))),0,(IF(B794=C794,W794/C794,(INT(W794/B794)+(((W794-B794*INT(W794/B794)))/C794)/100))))</f>
        <v>0</v>
      </c>
      <c r="BI794" s="57">
        <f>IF(ISERROR(IF(B794=C794,X794/C794,(INT(X794/B794)+(((X794-B794*INT(X794/B794)))/C794)/100))),0,(IF(B794=C794,X794/C794,(INT(X794/B794)+(((X794-B794*INT(X794/B794)))/C794)/100))))</f>
        <v>0</v>
      </c>
      <c r="BJ794" s="57">
        <f>IF(ISERROR(IF(B794=C794,Y794/C794,(INT(Y794/B794)+(((Y794-B794*INT(Y794/B794)))/C794)/100))),0,(IF(B794=C794,Y794/C794,(INT(Y794/B794)+(((Y794-B794*INT(Y794/B794)))/C794)/100))))</f>
        <v>0</v>
      </c>
      <c r="BL794" s="57">
        <f>IF(ISERROR(IF(B794=C794,AA794/C794,(INT(AA794/B794)+(((AA794-B794*INT(AA794/B794)))/C794)/100))),0,(IF(B794=C794,AA794/C794,(INT(AA794/B794)+(((AA794-B794*INT(AA794/B794)))/C794)/100))))</f>
        <v>0</v>
      </c>
      <c r="BM794" s="57">
        <f>IF(ISERROR(IF(B794=C794,AB794/C794,(INT(AB794/B794)+(((AB794-B794*INT(AB794/B794)))/C794)/100))),0,(IF(B794=C794,AB794/C794,(INT(AB794/B794)+(((AB794-B794*INT(AB794/B794)))/C794)/100))))</f>
        <v>0</v>
      </c>
      <c r="BN794" s="57">
        <f>IF(ISERROR(IF(B794=C794,AC794/C794,(INT(AC794/B794)+(((AC794-B794*INT(AC794/B794)))/C794)/100))),0,(IF(B794=C794,AC794/C794,(INT(AC794/B794)+(((AC794-B794*INT(AC794/B794)))/C794)/100))))</f>
        <v>0</v>
      </c>
      <c r="BO794" s="57">
        <f>IF(ISERROR(IF(B794=C794,AD794/C794,(INT(AD794/B794)+(((AD794-B794*INT(AD794/B794)))/C794)/100))),0,(IF(B794=C794,AD794/C794,(INT(AD794/B794)+(((AD794-B794*INT(AD794/B794)))/C794)/100))))</f>
        <v>0</v>
      </c>
      <c r="BQ794" s="155"/>
    </row>
    <row r="795" spans="1:69" hidden="1" x14ac:dyDescent="0.35">
      <c r="A795" s="94"/>
      <c r="B795" s="113">
        <v>0</v>
      </c>
      <c r="C795" s="113">
        <v>0</v>
      </c>
      <c r="D795" s="28">
        <f>SUM(AA795:AD795)</f>
        <v>0</v>
      </c>
      <c r="E795" s="113">
        <v>0</v>
      </c>
      <c r="F795" s="113">
        <v>0</v>
      </c>
      <c r="G795" s="28">
        <f>SUM(D795:F795)</f>
        <v>0</v>
      </c>
      <c r="H795" s="125">
        <v>0</v>
      </c>
      <c r="I795" s="113">
        <v>0</v>
      </c>
      <c r="J795" s="125">
        <v>0</v>
      </c>
      <c r="K795" s="113">
        <v>0</v>
      </c>
      <c r="L795" s="113">
        <v>0</v>
      </c>
      <c r="M795" s="113">
        <v>0</v>
      </c>
      <c r="N795" s="28">
        <f>G795-SUM(H795:M795)</f>
        <v>0</v>
      </c>
      <c r="O795" s="28">
        <f>SUM(V795:Y795)</f>
        <v>0</v>
      </c>
      <c r="P795" s="28">
        <f>O795-N795</f>
        <v>0</v>
      </c>
      <c r="Q795" s="61" t="str">
        <f>IF(ISERROR(P795/SUM(H795:L795)),"",P795/SUM(H795:L795))</f>
        <v/>
      </c>
      <c r="R795" s="113">
        <v>0</v>
      </c>
      <c r="S795" s="28">
        <f>IF(ISERROR(P795/C795*R795),0,(P795/C795*R795))</f>
        <v>0</v>
      </c>
      <c r="T795" s="60">
        <f>IF(ISERROR(P795/B795*AF795),0,(P795/B795*AF795))</f>
        <v>0</v>
      </c>
      <c r="V795" s="113">
        <v>0</v>
      </c>
      <c r="W795" s="113">
        <v>0</v>
      </c>
      <c r="X795" s="113">
        <v>0</v>
      </c>
      <c r="Y795" s="113">
        <v>0</v>
      </c>
      <c r="AA795" s="113">
        <v>0</v>
      </c>
      <c r="AB795" s="113">
        <v>0</v>
      </c>
      <c r="AC795" s="113">
        <v>0</v>
      </c>
      <c r="AD795" s="113">
        <v>0</v>
      </c>
      <c r="AF795" s="113">
        <v>0</v>
      </c>
      <c r="AG795" s="28">
        <f>G795-O795</f>
        <v>0</v>
      </c>
      <c r="AH795" s="58">
        <f>IF(ISERROR(AG795/B795*AF795),0,(AG795/B795*AF795))</f>
        <v>0</v>
      </c>
      <c r="AI795" s="28">
        <f>SUM(H795:M795)</f>
        <v>0</v>
      </c>
      <c r="AJ795" s="28">
        <f>IF(ISERROR(AI795/B795*AF795),0,(AI795/B795*AF795))</f>
        <v>0</v>
      </c>
      <c r="AK795" s="58">
        <f>IF(ISERROR(O795/B795*AF795),0,(O795/B795*AF795))</f>
        <v>0</v>
      </c>
      <c r="AL795" s="28">
        <f>IF(ISERROR(H795/B795*AF795),0,(H795/B795*AF795))</f>
        <v>0</v>
      </c>
      <c r="AN795" s="51">
        <f>A795</f>
        <v>0</v>
      </c>
      <c r="AO795" s="57">
        <f>IF(ISERROR(IF(B795=C795,D795/C795,(INT(D795/B795)+(((D795-B795*INT(D795/B795)))/C795)/100))),0,(IF(B795=C795,D795/C795,(INT(D795/B795)+(((D795-B795*INT(D795/B795)))/C795)/100))))</f>
        <v>0</v>
      </c>
      <c r="AP795" s="57">
        <f>IF(ISERROR(IF(B795=C795,E795/C795,(INT(E795/B795)+(((E795-B795*INT(E795/B795)))/C795)/100))),0,(IF(B795=C795,E795/C795,(INT(E795/B795)+(((E795-B795*INT(E795/B795)))/C795)/100))))</f>
        <v>0</v>
      </c>
      <c r="AQ795" s="57">
        <f>IF(ISERROR(IF(B795=C795,F795/C795,IF((INT(F795/B795)+(((F795-B795*INT(F795/B795)))/C795)/100)&lt;0,(INT(F795/B795)+(((F795-B795*INT(F795/B795)))/C795)/100)+(1-(B795/C795/100)),(INT(F795/B795)+(((F795-B795*INT(F795/B795)))/C795)/100)))),0,IF(B795=C795,F795/C795,IF((INT(F795/B795)+(((F795-B795*INT(F795/B795)))/C795)/100)&lt;0,(INT(F795/B795)+(((F795-B795*INT(F795/B795)))/C795)/100)+(1-(B795/C795/100)),(INT(F795/B795)+(((F795-B795*INT(F795/B795)))/C795)/100))))</f>
        <v>0</v>
      </c>
      <c r="AR795" s="57">
        <f>IF(ISERROR(IF(B795=C795,G795/C795,(INT(G795/B795)+(((G795-B795*INT(G795/B795)))/C795)/100))),0,(IF(B795=C795,G795/C795,(INT(G795/B795)+(((G795-B795*INT(G795/B795)))/C795)/100))))</f>
        <v>0</v>
      </c>
      <c r="AS795" s="57">
        <f>IF(ISERROR(IF(B795=C795,H795/C795,(INT(H795/B795)+(((H795-B795*INT(H795/B795)))/C795)/100))),0,(IF(B795=C795,H795/C795,(INT(H795/B795)+(((H795-B795*INT(H795/B795)))/C795)/100))))</f>
        <v>0</v>
      </c>
      <c r="AT795" s="57">
        <f>IF(ISERROR(IF(B795=C795,I795/C795,(INT(I795/B795)+(((I795-B795*INT(I795/B795)))/C795)/100))),0,(IF(B795=C795,I795/C795,(INT(I795/B795)+(((I795-B795*INT(I795/B795)))/C795)/100))))</f>
        <v>0</v>
      </c>
      <c r="AU795" s="57">
        <f>IF(ISERROR(IF(B795=C795,J795/C795,(INT(J795/B795)+(((J795-B795*INT(J795/B795)))/C795)/100))),0,(IF(B795=C795,J795/C795,(INT(J795/B795)+(((J795-B795*INT(J795/B795)))/C795)/100))))</f>
        <v>0</v>
      </c>
      <c r="AV795" s="57">
        <f>IF(ISERROR(IF(B795=C795,K795/C795,IF((INT(K795/B795)+(((K795-B795*INT(K795/B795)))/C795)/100)&lt;0,(INT(K795/B795)+(((K795-B795*INT(K795/B795)))/C795)/100)+(1-(B795/C795/100)),(INT(K795/B795)+(((K795-B795*INT(K795/B795)))/C795)/100)))),0,IF(B795=C795,K795/C795,IF((INT(K795/B795)+(((K795-B795*INT(K795/B795)))/C795)/100)&lt;0,(INT(K795/B795)+(((K795-B795*INT(K795/B795)))/C795)/100)+(1-(B795/C795/100)),(INT(K795/B795)+(((K795-B795*INT(K795/B795)))/C795)/100))))</f>
        <v>0</v>
      </c>
      <c r="AW795" s="57">
        <f>IF(ISERROR(IF(B795=C795,L795/C795,(INT(L795/B795)+(((L795-B795*INT(L795/B795)))/C795)/100))),0,(IF(B795=C795,L795/C795,(INT(L795/B795)+(((L795-B795*INT(L795/B795)))/C795)/100))))</f>
        <v>0</v>
      </c>
      <c r="AX795" s="57">
        <f>IF(ISERROR(IF(B795=C795,M795/C795,(INT(M795/B795)+(((M795-B795*INT(M795/B795)))/C795)/100))),0,(IF(B795=C795,M795/C795,(INT(M795/B795)+(((M795-B795*INT(M795/B795)))/C795)/100))))</f>
        <v>0</v>
      </c>
      <c r="AY795" s="57">
        <f>IF(ISERROR(IF(B795=C795,N795/C795,IF((INT(N795/B795)+(((N795-B795*INT(N795/B795)))/C795)/100)&lt;0,(INT(N795/B795)+(((N795-B795*INT(N795/B795)))/C795)/100)+(1-(B795/C795/100)),(INT(N795/B795)+(((N795-B795*INT(N795/B795)))/C795)/100)))),0,IF(B795=C795,N795/C795,IF((INT(N795/B795)+(((N795-B795*INT(N795/B795)))/C795)/100)&lt;0,(INT(N795/B795)+(((N795-B795*INT(N795/B795)))/C795)/100)+(1-(B795/C795/100)),(INT(N795/B795)+(((N795-B795*INT(N795/B795)))/C795)/100))))</f>
        <v>0</v>
      </c>
      <c r="AZ795" s="57">
        <f>IF(ISERROR(IF(B795=C795,O795/C795,(INT(O795/B795)+(((O795-B795*INT(O795/B795)))/C795)/100))),0,(IF(B795=C795,O795/C795,(INT(O795/B795)+(((O795-B795*INT(O795/B795)))/C795)/100))))</f>
        <v>0</v>
      </c>
      <c r="BA795" s="57">
        <f>IF(ISERROR(IF(B795=C795,P795/C795,IF((INT(P795/B795)+(((P795-B795*INT(P795/B795)))/C795)/100)&lt;0,(INT(P795/B795)+(((P795-B795*INT(P795/B795)))/C795)/100)+(1-(B795/C795/100)),(INT(P795/B795)+(((P795-B795*INT(P795/B795)))/C795)/100)))),0,IF(B795=C795,P795/C795,IF((INT(P795/B795)+(((P795-B795*INT(P795/B795)))/C795)/100)&lt;0,(INT(P795/B795)+(((P795-B795*INT(P795/B795)))/C795)/100)+(1-(B795/C795/100)),(INT(P795/B795)+(((P795-B795*INT(P795/B795)))/C795)/100))))</f>
        <v>0</v>
      </c>
      <c r="BB795" s="28">
        <f>R795</f>
        <v>0</v>
      </c>
      <c r="BC795" s="28">
        <f>S795</f>
        <v>0</v>
      </c>
      <c r="BD795" s="28">
        <f>AF795</f>
        <v>0</v>
      </c>
      <c r="BE795" s="28">
        <f>T795</f>
        <v>0</v>
      </c>
      <c r="BG795" s="57">
        <f>IF(ISERROR(IF(B795=C795,V795/C795,(INT(V795/B795)+(((V795-B795*INT(V795/B795)))/C795)/100))),0,(IF(B795=C795,V795/C795,(INT(V795/B795)+(((V795-B795*INT(V795/B795)))/C795)/100))))</f>
        <v>0</v>
      </c>
      <c r="BH795" s="57">
        <f>IF(ISERROR(IF(B795=C795,W795/C795,(INT(W795/B795)+(((W795-B795*INT(W795/B795)))/C795)/100))),0,(IF(B795=C795,W795/C795,(INT(W795/B795)+(((W795-B795*INT(W795/B795)))/C795)/100))))</f>
        <v>0</v>
      </c>
      <c r="BI795" s="57">
        <f>IF(ISERROR(IF(B795=C795,X795/C795,(INT(X795/B795)+(((X795-B795*INT(X795/B795)))/C795)/100))),0,(IF(B795=C795,X795/C795,(INT(X795/B795)+(((X795-B795*INT(X795/B795)))/C795)/100))))</f>
        <v>0</v>
      </c>
      <c r="BJ795" s="57">
        <f>IF(ISERROR(IF(B795=C795,Y795/C795,(INT(Y795/B795)+(((Y795-B795*INT(Y795/B795)))/C795)/100))),0,(IF(B795=C795,Y795/C795,(INT(Y795/B795)+(((Y795-B795*INT(Y795/B795)))/C795)/100))))</f>
        <v>0</v>
      </c>
      <c r="BL795" s="57">
        <f>IF(ISERROR(IF(B795=C795,AA795/C795,(INT(AA795/B795)+(((AA795-B795*INT(AA795/B795)))/C795)/100))),0,(IF(B795=C795,AA795/C795,(INT(AA795/B795)+(((AA795-B795*INT(AA795/B795)))/C795)/100))))</f>
        <v>0</v>
      </c>
      <c r="BM795" s="57">
        <f>IF(ISERROR(IF(B795=C795,AB795/C795,(INT(AB795/B795)+(((AB795-B795*INT(AB795/B795)))/C795)/100))),0,(IF(B795=C795,AB795/C795,(INT(AB795/B795)+(((AB795-B795*INT(AB795/B795)))/C795)/100))))</f>
        <v>0</v>
      </c>
      <c r="BN795" s="57">
        <f>IF(ISERROR(IF(B795=C795,AC795/C795,(INT(AC795/B795)+(((AC795-B795*INT(AC795/B795)))/C795)/100))),0,(IF(B795=C795,AC795/C795,(INT(AC795/B795)+(((AC795-B795*INT(AC795/B795)))/C795)/100))))</f>
        <v>0</v>
      </c>
      <c r="BO795" s="57">
        <f>IF(ISERROR(IF(B795=C795,AD795/C795,(INT(AD795/B795)+(((AD795-B795*INT(AD795/B795)))/C795)/100))),0,(IF(B795=C795,AD795/C795,(INT(AD795/B795)+(((AD795-B795*INT(AD795/B795)))/C795)/100))))</f>
        <v>0</v>
      </c>
      <c r="BQ795" s="155"/>
    </row>
    <row r="796" spans="1:69" hidden="1" x14ac:dyDescent="0.35">
      <c r="A796" s="94"/>
      <c r="B796" s="113">
        <v>0</v>
      </c>
      <c r="C796" s="113">
        <v>0</v>
      </c>
      <c r="D796" s="28">
        <f>SUM(AA796:AD796)</f>
        <v>0</v>
      </c>
      <c r="E796" s="113">
        <v>0</v>
      </c>
      <c r="F796" s="113">
        <v>0</v>
      </c>
      <c r="G796" s="28">
        <f>SUM(D796:F796)</f>
        <v>0</v>
      </c>
      <c r="H796" s="125">
        <v>0</v>
      </c>
      <c r="I796" s="113">
        <v>0</v>
      </c>
      <c r="J796" s="125">
        <v>0</v>
      </c>
      <c r="K796" s="113">
        <v>0</v>
      </c>
      <c r="L796" s="113">
        <v>0</v>
      </c>
      <c r="M796" s="113">
        <v>0</v>
      </c>
      <c r="N796" s="28">
        <f>G796-SUM(H796:M796)</f>
        <v>0</v>
      </c>
      <c r="O796" s="28">
        <f>SUM(V796:Y796)</f>
        <v>0</v>
      </c>
      <c r="P796" s="28">
        <f>O796-N796</f>
        <v>0</v>
      </c>
      <c r="Q796" s="61" t="str">
        <f>IF(ISERROR(P796/SUM(H796:L796)),"",P796/SUM(H796:L796))</f>
        <v/>
      </c>
      <c r="R796" s="113">
        <v>0</v>
      </c>
      <c r="S796" s="28">
        <f>IF(ISERROR(P796/C796*R796),0,(P796/C796*R796))</f>
        <v>0</v>
      </c>
      <c r="T796" s="60">
        <f>IF(ISERROR(P796/B796*AF796),0,(P796/B796*AF796))</f>
        <v>0</v>
      </c>
      <c r="V796" s="113">
        <v>0</v>
      </c>
      <c r="W796" s="113">
        <v>0</v>
      </c>
      <c r="X796" s="113">
        <v>0</v>
      </c>
      <c r="Y796" s="113">
        <v>0</v>
      </c>
      <c r="AA796" s="113">
        <v>0</v>
      </c>
      <c r="AB796" s="113">
        <v>0</v>
      </c>
      <c r="AC796" s="113">
        <v>0</v>
      </c>
      <c r="AD796" s="113">
        <v>0</v>
      </c>
      <c r="AF796" s="113">
        <v>0</v>
      </c>
      <c r="AG796" s="28">
        <f>G796-O796</f>
        <v>0</v>
      </c>
      <c r="AH796" s="58">
        <f>IF(ISERROR(AG796/B796*AF796),0,(AG796/B796*AF796))</f>
        <v>0</v>
      </c>
      <c r="AI796" s="28">
        <f>SUM(H796:M796)</f>
        <v>0</v>
      </c>
      <c r="AJ796" s="28">
        <f>IF(ISERROR(AI796/B796*AF796),0,(AI796/B796*AF796))</f>
        <v>0</v>
      </c>
      <c r="AK796" s="58">
        <f>IF(ISERROR(O796/B796*AF796),0,(O796/B796*AF796))</f>
        <v>0</v>
      </c>
      <c r="AL796" s="28">
        <f>IF(ISERROR(H796/B796*AF796),0,(H796/B796*AF796))</f>
        <v>0</v>
      </c>
      <c r="AN796" s="51">
        <f>A796</f>
        <v>0</v>
      </c>
      <c r="AO796" s="57">
        <f>IF(ISERROR(IF(B796=C796,D796/C796,(INT(D796/B796)+(((D796-B796*INT(D796/B796)))/C796)/100))),0,(IF(B796=C796,D796/C796,(INT(D796/B796)+(((D796-B796*INT(D796/B796)))/C796)/100))))</f>
        <v>0</v>
      </c>
      <c r="AP796" s="57">
        <f>IF(ISERROR(IF(B796=C796,E796/C796,(INT(E796/B796)+(((E796-B796*INT(E796/B796)))/C796)/100))),0,(IF(B796=C796,E796/C796,(INT(E796/B796)+(((E796-B796*INT(E796/B796)))/C796)/100))))</f>
        <v>0</v>
      </c>
      <c r="AQ796" s="57">
        <f>IF(ISERROR(IF(B796=C796,F796/C796,IF((INT(F796/B796)+(((F796-B796*INT(F796/B796)))/C796)/100)&lt;0,(INT(F796/B796)+(((F796-B796*INT(F796/B796)))/C796)/100)+(1-(B796/C796/100)),(INT(F796/B796)+(((F796-B796*INT(F796/B796)))/C796)/100)))),0,IF(B796=C796,F796/C796,IF((INT(F796/B796)+(((F796-B796*INT(F796/B796)))/C796)/100)&lt;0,(INT(F796/B796)+(((F796-B796*INT(F796/B796)))/C796)/100)+(1-(B796/C796/100)),(INT(F796/B796)+(((F796-B796*INT(F796/B796)))/C796)/100))))</f>
        <v>0</v>
      </c>
      <c r="AR796" s="57">
        <f>IF(ISERROR(IF(B796=C796,G796/C796,(INT(G796/B796)+(((G796-B796*INT(G796/B796)))/C796)/100))),0,(IF(B796=C796,G796/C796,(INT(G796/B796)+(((G796-B796*INT(G796/B796)))/C796)/100))))</f>
        <v>0</v>
      </c>
      <c r="AS796" s="57">
        <f>IF(ISERROR(IF(B796=C796,H796/C796,(INT(H796/B796)+(((H796-B796*INT(H796/B796)))/C796)/100))),0,(IF(B796=C796,H796/C796,(INT(H796/B796)+(((H796-B796*INT(H796/B796)))/C796)/100))))</f>
        <v>0</v>
      </c>
      <c r="AT796" s="57">
        <f>IF(ISERROR(IF(B796=C796,I796/C796,(INT(I796/B796)+(((I796-B796*INT(I796/B796)))/C796)/100))),0,(IF(B796=C796,I796/C796,(INT(I796/B796)+(((I796-B796*INT(I796/B796)))/C796)/100))))</f>
        <v>0</v>
      </c>
      <c r="AU796" s="57">
        <f>IF(ISERROR(IF(B796=C796,J796/C796,(INT(J796/B796)+(((J796-B796*INT(J796/B796)))/C796)/100))),0,(IF(B796=C796,J796/C796,(INT(J796/B796)+(((J796-B796*INT(J796/B796)))/C796)/100))))</f>
        <v>0</v>
      </c>
      <c r="AV796" s="57">
        <f>IF(ISERROR(IF(B796=C796,K796/C796,IF((INT(K796/B796)+(((K796-B796*INT(K796/B796)))/C796)/100)&lt;0,(INT(K796/B796)+(((K796-B796*INT(K796/B796)))/C796)/100)+(1-(B796/C796/100)),(INT(K796/B796)+(((K796-B796*INT(K796/B796)))/C796)/100)))),0,IF(B796=C796,K796/C796,IF((INT(K796/B796)+(((K796-B796*INT(K796/B796)))/C796)/100)&lt;0,(INT(K796/B796)+(((K796-B796*INT(K796/B796)))/C796)/100)+(1-(B796/C796/100)),(INT(K796/B796)+(((K796-B796*INT(K796/B796)))/C796)/100))))</f>
        <v>0</v>
      </c>
      <c r="AW796" s="57">
        <f>IF(ISERROR(IF(B796=C796,L796/C796,(INT(L796/B796)+(((L796-B796*INT(L796/B796)))/C796)/100))),0,(IF(B796=C796,L796/C796,(INT(L796/B796)+(((L796-B796*INT(L796/B796)))/C796)/100))))</f>
        <v>0</v>
      </c>
      <c r="AX796" s="57">
        <f>IF(ISERROR(IF(B796=C796,M796/C796,(INT(M796/B796)+(((M796-B796*INT(M796/B796)))/C796)/100))),0,(IF(B796=C796,M796/C796,(INT(M796/B796)+(((M796-B796*INT(M796/B796)))/C796)/100))))</f>
        <v>0</v>
      </c>
      <c r="AY796" s="57">
        <f>IF(ISERROR(IF(B796=C796,N796/C796,IF((INT(N796/B796)+(((N796-B796*INT(N796/B796)))/C796)/100)&lt;0,(INT(N796/B796)+(((N796-B796*INT(N796/B796)))/C796)/100)+(1-(B796/C796/100)),(INT(N796/B796)+(((N796-B796*INT(N796/B796)))/C796)/100)))),0,IF(B796=C796,N796/C796,IF((INT(N796/B796)+(((N796-B796*INT(N796/B796)))/C796)/100)&lt;0,(INT(N796/B796)+(((N796-B796*INT(N796/B796)))/C796)/100)+(1-(B796/C796/100)),(INT(N796/B796)+(((N796-B796*INT(N796/B796)))/C796)/100))))</f>
        <v>0</v>
      </c>
      <c r="AZ796" s="57">
        <f>IF(ISERROR(IF(B796=C796,O796/C796,(INT(O796/B796)+(((O796-B796*INT(O796/B796)))/C796)/100))),0,(IF(B796=C796,O796/C796,(INT(O796/B796)+(((O796-B796*INT(O796/B796)))/C796)/100))))</f>
        <v>0</v>
      </c>
      <c r="BA796" s="57">
        <f>IF(ISERROR(IF(B796=C796,P796/C796,IF((INT(P796/B796)+(((P796-B796*INT(P796/B796)))/C796)/100)&lt;0,(INT(P796/B796)+(((P796-B796*INT(P796/B796)))/C796)/100)+(1-(B796/C796/100)),(INT(P796/B796)+(((P796-B796*INT(P796/B796)))/C796)/100)))),0,IF(B796=C796,P796/C796,IF((INT(P796/B796)+(((P796-B796*INT(P796/B796)))/C796)/100)&lt;0,(INT(P796/B796)+(((P796-B796*INT(P796/B796)))/C796)/100)+(1-(B796/C796/100)),(INT(P796/B796)+(((P796-B796*INT(P796/B796)))/C796)/100))))</f>
        <v>0</v>
      </c>
      <c r="BB796" s="28">
        <f>R796</f>
        <v>0</v>
      </c>
      <c r="BC796" s="28">
        <f>S796</f>
        <v>0</v>
      </c>
      <c r="BD796" s="28">
        <f>AF796</f>
        <v>0</v>
      </c>
      <c r="BE796" s="28">
        <f>T796</f>
        <v>0</v>
      </c>
      <c r="BG796" s="57">
        <f>IF(ISERROR(IF(B796=C796,V796/C796,(INT(V796/B796)+(((V796-B796*INT(V796/B796)))/C796)/100))),0,(IF(B796=C796,V796/C796,(INT(V796/B796)+(((V796-B796*INT(V796/B796)))/C796)/100))))</f>
        <v>0</v>
      </c>
      <c r="BH796" s="57">
        <f>IF(ISERROR(IF(B796=C796,W796/C796,(INT(W796/B796)+(((W796-B796*INT(W796/B796)))/C796)/100))),0,(IF(B796=C796,W796/C796,(INT(W796/B796)+(((W796-B796*INT(W796/B796)))/C796)/100))))</f>
        <v>0</v>
      </c>
      <c r="BI796" s="57">
        <f>IF(ISERROR(IF(B796=C796,X796/C796,(INT(X796/B796)+(((X796-B796*INT(X796/B796)))/C796)/100))),0,(IF(B796=C796,X796/C796,(INT(X796/B796)+(((X796-B796*INT(X796/B796)))/C796)/100))))</f>
        <v>0</v>
      </c>
      <c r="BJ796" s="57">
        <f>IF(ISERROR(IF(B796=C796,Y796/C796,(INT(Y796/B796)+(((Y796-B796*INT(Y796/B796)))/C796)/100))),0,(IF(B796=C796,Y796/C796,(INT(Y796/B796)+(((Y796-B796*INT(Y796/B796)))/C796)/100))))</f>
        <v>0</v>
      </c>
      <c r="BL796" s="57">
        <f>IF(ISERROR(IF(B796=C796,AA796/C796,(INT(AA796/B796)+(((AA796-B796*INT(AA796/B796)))/C796)/100))),0,(IF(B796=C796,AA796/C796,(INT(AA796/B796)+(((AA796-B796*INT(AA796/B796)))/C796)/100))))</f>
        <v>0</v>
      </c>
      <c r="BM796" s="57">
        <f>IF(ISERROR(IF(B796=C796,AB796/C796,(INT(AB796/B796)+(((AB796-B796*INT(AB796/B796)))/C796)/100))),0,(IF(B796=C796,AB796/C796,(INT(AB796/B796)+(((AB796-B796*INT(AB796/B796)))/C796)/100))))</f>
        <v>0</v>
      </c>
      <c r="BN796" s="57">
        <f>IF(ISERROR(IF(B796=C796,AC796/C796,(INT(AC796/B796)+(((AC796-B796*INT(AC796/B796)))/C796)/100))),0,(IF(B796=C796,AC796/C796,(INT(AC796/B796)+(((AC796-B796*INT(AC796/B796)))/C796)/100))))</f>
        <v>0</v>
      </c>
      <c r="BO796" s="57">
        <f>IF(ISERROR(IF(B796=C796,AD796/C796,(INT(AD796/B796)+(((AD796-B796*INT(AD796/B796)))/C796)/100))),0,(IF(B796=C796,AD796/C796,(INT(AD796/B796)+(((AD796-B796*INT(AD796/B796)))/C796)/100))))</f>
        <v>0</v>
      </c>
      <c r="BQ796" s="155"/>
    </row>
    <row r="797" spans="1:69" hidden="1" x14ac:dyDescent="0.35">
      <c r="A797" s="94"/>
      <c r="B797" s="113">
        <v>0</v>
      </c>
      <c r="C797" s="113">
        <v>0</v>
      </c>
      <c r="D797" s="28">
        <f>SUM(AA797:AD797)</f>
        <v>0</v>
      </c>
      <c r="E797" s="113">
        <v>0</v>
      </c>
      <c r="F797" s="113">
        <v>0</v>
      </c>
      <c r="G797" s="28">
        <f>SUM(D797:F797)</f>
        <v>0</v>
      </c>
      <c r="H797" s="125">
        <v>0</v>
      </c>
      <c r="I797" s="113">
        <v>0</v>
      </c>
      <c r="J797" s="125">
        <v>0</v>
      </c>
      <c r="K797" s="113">
        <v>0</v>
      </c>
      <c r="L797" s="113">
        <v>0</v>
      </c>
      <c r="M797" s="113">
        <v>0</v>
      </c>
      <c r="N797" s="28">
        <f>G797-SUM(H797:M797)</f>
        <v>0</v>
      </c>
      <c r="O797" s="28">
        <f>SUM(V797:Y797)</f>
        <v>0</v>
      </c>
      <c r="P797" s="28">
        <f>O797-N797</f>
        <v>0</v>
      </c>
      <c r="Q797" s="61" t="str">
        <f>IF(ISERROR(P797/SUM(H797:L797)),"",P797/SUM(H797:L797))</f>
        <v/>
      </c>
      <c r="R797" s="113">
        <v>0</v>
      </c>
      <c r="S797" s="28">
        <f>IF(ISERROR(P797/C797*R797),0,(P797/C797*R797))</f>
        <v>0</v>
      </c>
      <c r="T797" s="60">
        <f>IF(ISERROR(P797/B797*AF797),0,(P797/B797*AF797))</f>
        <v>0</v>
      </c>
      <c r="V797" s="113">
        <v>0</v>
      </c>
      <c r="W797" s="113">
        <v>0</v>
      </c>
      <c r="X797" s="113">
        <v>0</v>
      </c>
      <c r="Y797" s="113">
        <v>0</v>
      </c>
      <c r="AA797" s="113">
        <v>0</v>
      </c>
      <c r="AB797" s="113">
        <v>0</v>
      </c>
      <c r="AC797" s="113">
        <v>0</v>
      </c>
      <c r="AD797" s="113">
        <v>0</v>
      </c>
      <c r="AF797" s="113">
        <v>0</v>
      </c>
      <c r="AG797" s="28">
        <f>G797-O797</f>
        <v>0</v>
      </c>
      <c r="AH797" s="58">
        <f>IF(ISERROR(AG797/B797*AF797),0,(AG797/B797*AF797))</f>
        <v>0</v>
      </c>
      <c r="AI797" s="28">
        <f>SUM(H797:M797)</f>
        <v>0</v>
      </c>
      <c r="AJ797" s="28">
        <f>IF(ISERROR(AI797/B797*AF797),0,(AI797/B797*AF797))</f>
        <v>0</v>
      </c>
      <c r="AK797" s="58">
        <f>IF(ISERROR(O797/B797*AF797),0,(O797/B797*AF797))</f>
        <v>0</v>
      </c>
      <c r="AL797" s="28">
        <f>IF(ISERROR(H797/B797*AF797),0,(H797/B797*AF797))</f>
        <v>0</v>
      </c>
      <c r="AN797" s="51">
        <f>A797</f>
        <v>0</v>
      </c>
      <c r="AO797" s="57">
        <f>IF(ISERROR(IF(B797=C797,D797/C797,(INT(D797/B797)+(((D797-B797*INT(D797/B797)))/C797)/100))),0,(IF(B797=C797,D797/C797,(INT(D797/B797)+(((D797-B797*INT(D797/B797)))/C797)/100))))</f>
        <v>0</v>
      </c>
      <c r="AP797" s="57">
        <f>IF(ISERROR(IF(B797=C797,E797/C797,(INT(E797/B797)+(((E797-B797*INT(E797/B797)))/C797)/100))),0,(IF(B797=C797,E797/C797,(INT(E797/B797)+(((E797-B797*INT(E797/B797)))/C797)/100))))</f>
        <v>0</v>
      </c>
      <c r="AQ797" s="57">
        <f>IF(ISERROR(IF(B797=C797,F797/C797,IF((INT(F797/B797)+(((F797-B797*INT(F797/B797)))/C797)/100)&lt;0,(INT(F797/B797)+(((F797-B797*INT(F797/B797)))/C797)/100)+(1-(B797/C797/100)),(INT(F797/B797)+(((F797-B797*INT(F797/B797)))/C797)/100)))),0,IF(B797=C797,F797/C797,IF((INT(F797/B797)+(((F797-B797*INT(F797/B797)))/C797)/100)&lt;0,(INT(F797/B797)+(((F797-B797*INT(F797/B797)))/C797)/100)+(1-(B797/C797/100)),(INT(F797/B797)+(((F797-B797*INT(F797/B797)))/C797)/100))))</f>
        <v>0</v>
      </c>
      <c r="AR797" s="57">
        <f>IF(ISERROR(IF(B797=C797,G797/C797,(INT(G797/B797)+(((G797-B797*INT(G797/B797)))/C797)/100))),0,(IF(B797=C797,G797/C797,(INT(G797/B797)+(((G797-B797*INT(G797/B797)))/C797)/100))))</f>
        <v>0</v>
      </c>
      <c r="AS797" s="57">
        <f>IF(ISERROR(IF(B797=C797,H797/C797,(INT(H797/B797)+(((H797-B797*INT(H797/B797)))/C797)/100))),0,(IF(B797=C797,H797/C797,(INT(H797/B797)+(((H797-B797*INT(H797/B797)))/C797)/100))))</f>
        <v>0</v>
      </c>
      <c r="AT797" s="57">
        <f>IF(ISERROR(IF(B797=C797,I797/C797,(INT(I797/B797)+(((I797-B797*INT(I797/B797)))/C797)/100))),0,(IF(B797=C797,I797/C797,(INT(I797/B797)+(((I797-B797*INT(I797/B797)))/C797)/100))))</f>
        <v>0</v>
      </c>
      <c r="AU797" s="57">
        <f>IF(ISERROR(IF(B797=C797,J797/C797,(INT(J797/B797)+(((J797-B797*INT(J797/B797)))/C797)/100))),0,(IF(B797=C797,J797/C797,(INT(J797/B797)+(((J797-B797*INT(J797/B797)))/C797)/100))))</f>
        <v>0</v>
      </c>
      <c r="AV797" s="57">
        <f>IF(ISERROR(IF(B797=C797,K797/C797,IF((INT(K797/B797)+(((K797-B797*INT(K797/B797)))/C797)/100)&lt;0,(INT(K797/B797)+(((K797-B797*INT(K797/B797)))/C797)/100)+(1-(B797/C797/100)),(INT(K797/B797)+(((K797-B797*INT(K797/B797)))/C797)/100)))),0,IF(B797=C797,K797/C797,IF((INT(K797/B797)+(((K797-B797*INT(K797/B797)))/C797)/100)&lt;0,(INT(K797/B797)+(((K797-B797*INT(K797/B797)))/C797)/100)+(1-(B797/C797/100)),(INT(K797/B797)+(((K797-B797*INT(K797/B797)))/C797)/100))))</f>
        <v>0</v>
      </c>
      <c r="AW797" s="57">
        <f>IF(ISERROR(IF(B797=C797,L797/C797,(INT(L797/B797)+(((L797-B797*INT(L797/B797)))/C797)/100))),0,(IF(B797=C797,L797/C797,(INT(L797/B797)+(((L797-B797*INT(L797/B797)))/C797)/100))))</f>
        <v>0</v>
      </c>
      <c r="AX797" s="57">
        <f>IF(ISERROR(IF(B797=C797,M797/C797,(INT(M797/B797)+(((M797-B797*INT(M797/B797)))/C797)/100))),0,(IF(B797=C797,M797/C797,(INT(M797/B797)+(((M797-B797*INT(M797/B797)))/C797)/100))))</f>
        <v>0</v>
      </c>
      <c r="AY797" s="57">
        <f>IF(ISERROR(IF(B797=C797,N797/C797,IF((INT(N797/B797)+(((N797-B797*INT(N797/B797)))/C797)/100)&lt;0,(INT(N797/B797)+(((N797-B797*INT(N797/B797)))/C797)/100)+(1-(B797/C797/100)),(INT(N797/B797)+(((N797-B797*INT(N797/B797)))/C797)/100)))),0,IF(B797=C797,N797/C797,IF((INT(N797/B797)+(((N797-B797*INT(N797/B797)))/C797)/100)&lt;0,(INT(N797/B797)+(((N797-B797*INT(N797/B797)))/C797)/100)+(1-(B797/C797/100)),(INT(N797/B797)+(((N797-B797*INT(N797/B797)))/C797)/100))))</f>
        <v>0</v>
      </c>
      <c r="AZ797" s="57">
        <f>IF(ISERROR(IF(B797=C797,O797/C797,(INT(O797/B797)+(((O797-B797*INT(O797/B797)))/C797)/100))),0,(IF(B797=C797,O797/C797,(INT(O797/B797)+(((O797-B797*INT(O797/B797)))/C797)/100))))</f>
        <v>0</v>
      </c>
      <c r="BA797" s="57">
        <f>IF(ISERROR(IF(B797=C797,P797/C797,IF((INT(P797/B797)+(((P797-B797*INT(P797/B797)))/C797)/100)&lt;0,(INT(P797/B797)+(((P797-B797*INT(P797/B797)))/C797)/100)+(1-(B797/C797/100)),(INT(P797/B797)+(((P797-B797*INT(P797/B797)))/C797)/100)))),0,IF(B797=C797,P797/C797,IF((INT(P797/B797)+(((P797-B797*INT(P797/B797)))/C797)/100)&lt;0,(INT(P797/B797)+(((P797-B797*INT(P797/B797)))/C797)/100)+(1-(B797/C797/100)),(INT(P797/B797)+(((P797-B797*INT(P797/B797)))/C797)/100))))</f>
        <v>0</v>
      </c>
      <c r="BB797" s="28">
        <f>R797</f>
        <v>0</v>
      </c>
      <c r="BC797" s="28">
        <f>S797</f>
        <v>0</v>
      </c>
      <c r="BD797" s="28">
        <f>AF797</f>
        <v>0</v>
      </c>
      <c r="BE797" s="28">
        <f>T797</f>
        <v>0</v>
      </c>
      <c r="BG797" s="57">
        <f>IF(ISERROR(IF(B797=C797,V797/C797,(INT(V797/B797)+(((V797-B797*INT(V797/B797)))/C797)/100))),0,(IF(B797=C797,V797/C797,(INT(V797/B797)+(((V797-B797*INT(V797/B797)))/C797)/100))))</f>
        <v>0</v>
      </c>
      <c r="BH797" s="57">
        <f>IF(ISERROR(IF(B797=C797,W797/C797,(INT(W797/B797)+(((W797-B797*INT(W797/B797)))/C797)/100))),0,(IF(B797=C797,W797/C797,(INT(W797/B797)+(((W797-B797*INT(W797/B797)))/C797)/100))))</f>
        <v>0</v>
      </c>
      <c r="BI797" s="57">
        <f>IF(ISERROR(IF(B797=C797,X797/C797,(INT(X797/B797)+(((X797-B797*INT(X797/B797)))/C797)/100))),0,(IF(B797=C797,X797/C797,(INT(X797/B797)+(((X797-B797*INT(X797/B797)))/C797)/100))))</f>
        <v>0</v>
      </c>
      <c r="BJ797" s="57">
        <f>IF(ISERROR(IF(B797=C797,Y797/C797,(INT(Y797/B797)+(((Y797-B797*INT(Y797/B797)))/C797)/100))),0,(IF(B797=C797,Y797/C797,(INT(Y797/B797)+(((Y797-B797*INT(Y797/B797)))/C797)/100))))</f>
        <v>0</v>
      </c>
      <c r="BL797" s="57">
        <f>IF(ISERROR(IF(B797=C797,AA797/C797,(INT(AA797/B797)+(((AA797-B797*INT(AA797/B797)))/C797)/100))),0,(IF(B797=C797,AA797/C797,(INT(AA797/B797)+(((AA797-B797*INT(AA797/B797)))/C797)/100))))</f>
        <v>0</v>
      </c>
      <c r="BM797" s="57">
        <f>IF(ISERROR(IF(B797=C797,AB797/C797,(INT(AB797/B797)+(((AB797-B797*INT(AB797/B797)))/C797)/100))),0,(IF(B797=C797,AB797/C797,(INT(AB797/B797)+(((AB797-B797*INT(AB797/B797)))/C797)/100))))</f>
        <v>0</v>
      </c>
      <c r="BN797" s="57">
        <f>IF(ISERROR(IF(B797=C797,AC797/C797,(INT(AC797/B797)+(((AC797-B797*INT(AC797/B797)))/C797)/100))),0,(IF(B797=C797,AC797/C797,(INT(AC797/B797)+(((AC797-B797*INT(AC797/B797)))/C797)/100))))</f>
        <v>0</v>
      </c>
      <c r="BO797" s="57">
        <f>IF(ISERROR(IF(B797=C797,AD797/C797,(INT(AD797/B797)+(((AD797-B797*INT(AD797/B797)))/C797)/100))),0,(IF(B797=C797,AD797/C797,(INT(AD797/B797)+(((AD797-B797*INT(AD797/B797)))/C797)/100))))</f>
        <v>0</v>
      </c>
      <c r="BQ797" s="155"/>
    </row>
    <row r="798" spans="1:69" hidden="1" x14ac:dyDescent="0.35">
      <c r="A798" s="94"/>
      <c r="B798" s="113">
        <v>0</v>
      </c>
      <c r="C798" s="113">
        <v>0</v>
      </c>
      <c r="D798" s="28">
        <f>SUM(AA798:AD798)</f>
        <v>0</v>
      </c>
      <c r="E798" s="113">
        <v>0</v>
      </c>
      <c r="F798" s="113">
        <v>0</v>
      </c>
      <c r="G798" s="28">
        <f>SUM(D798:F798)</f>
        <v>0</v>
      </c>
      <c r="H798" s="125">
        <v>0</v>
      </c>
      <c r="I798" s="113">
        <v>0</v>
      </c>
      <c r="J798" s="125">
        <v>0</v>
      </c>
      <c r="K798" s="113">
        <v>0</v>
      </c>
      <c r="L798" s="113">
        <v>0</v>
      </c>
      <c r="M798" s="113">
        <v>0</v>
      </c>
      <c r="N798" s="28">
        <f>G798-SUM(H798:M798)</f>
        <v>0</v>
      </c>
      <c r="O798" s="28">
        <f>SUM(V798:Y798)</f>
        <v>0</v>
      </c>
      <c r="P798" s="28">
        <f>O798-N798</f>
        <v>0</v>
      </c>
      <c r="Q798" s="61" t="str">
        <f>IF(ISERROR(P798/SUM(H798:L798)),"",P798/SUM(H798:L798))</f>
        <v/>
      </c>
      <c r="R798" s="113">
        <v>0</v>
      </c>
      <c r="S798" s="28">
        <f>IF(ISERROR(P798/C798*R798),0,(P798/C798*R798))</f>
        <v>0</v>
      </c>
      <c r="T798" s="60">
        <f>IF(ISERROR(P798/B798*AF798),0,(P798/B798*AF798))</f>
        <v>0</v>
      </c>
      <c r="V798" s="113">
        <v>0</v>
      </c>
      <c r="W798" s="113">
        <v>0</v>
      </c>
      <c r="X798" s="113">
        <v>0</v>
      </c>
      <c r="Y798" s="113">
        <v>0</v>
      </c>
      <c r="AA798" s="113">
        <v>0</v>
      </c>
      <c r="AB798" s="113">
        <v>0</v>
      </c>
      <c r="AC798" s="113">
        <v>0</v>
      </c>
      <c r="AD798" s="113">
        <v>0</v>
      </c>
      <c r="AF798" s="113">
        <v>0</v>
      </c>
      <c r="AG798" s="28">
        <f>G798-O798</f>
        <v>0</v>
      </c>
      <c r="AH798" s="58">
        <f>IF(ISERROR(AG798/B798*AF798),0,(AG798/B798*AF798))</f>
        <v>0</v>
      </c>
      <c r="AI798" s="28">
        <f>SUM(H798:M798)</f>
        <v>0</v>
      </c>
      <c r="AJ798" s="28">
        <f>IF(ISERROR(AI798/B798*AF798),0,(AI798/B798*AF798))</f>
        <v>0</v>
      </c>
      <c r="AK798" s="58">
        <f>IF(ISERROR(O798/B798*AF798),0,(O798/B798*AF798))</f>
        <v>0</v>
      </c>
      <c r="AL798" s="28">
        <f>IF(ISERROR(H798/B798*AF798),0,(H798/B798*AF798))</f>
        <v>0</v>
      </c>
      <c r="AN798" s="51">
        <f>A798</f>
        <v>0</v>
      </c>
      <c r="AO798" s="57">
        <f>IF(ISERROR(IF(B798=C798,D798/C798,(INT(D798/B798)+(((D798-B798*INT(D798/B798)))/C798)/100))),0,(IF(B798=C798,D798/C798,(INT(D798/B798)+(((D798-B798*INT(D798/B798)))/C798)/100))))</f>
        <v>0</v>
      </c>
      <c r="AP798" s="57">
        <f>IF(ISERROR(IF(B798=C798,E798/C798,(INT(E798/B798)+(((E798-B798*INT(E798/B798)))/C798)/100))),0,(IF(B798=C798,E798/C798,(INT(E798/B798)+(((E798-B798*INT(E798/B798)))/C798)/100))))</f>
        <v>0</v>
      </c>
      <c r="AQ798" s="57">
        <f>IF(ISERROR(IF(B798=C798,F798/C798,IF((INT(F798/B798)+(((F798-B798*INT(F798/B798)))/C798)/100)&lt;0,(INT(F798/B798)+(((F798-B798*INT(F798/B798)))/C798)/100)+(1-(B798/C798/100)),(INT(F798/B798)+(((F798-B798*INT(F798/B798)))/C798)/100)))),0,IF(B798=C798,F798/C798,IF((INT(F798/B798)+(((F798-B798*INT(F798/B798)))/C798)/100)&lt;0,(INT(F798/B798)+(((F798-B798*INT(F798/B798)))/C798)/100)+(1-(B798/C798/100)),(INT(F798/B798)+(((F798-B798*INT(F798/B798)))/C798)/100))))</f>
        <v>0</v>
      </c>
      <c r="AR798" s="57">
        <f>IF(ISERROR(IF(B798=C798,G798/C798,(INT(G798/B798)+(((G798-B798*INT(G798/B798)))/C798)/100))),0,(IF(B798=C798,G798/C798,(INT(G798/B798)+(((G798-B798*INT(G798/B798)))/C798)/100))))</f>
        <v>0</v>
      </c>
      <c r="AS798" s="57">
        <f>IF(ISERROR(IF(B798=C798,H798/C798,(INT(H798/B798)+(((H798-B798*INT(H798/B798)))/C798)/100))),0,(IF(B798=C798,H798/C798,(INT(H798/B798)+(((H798-B798*INT(H798/B798)))/C798)/100))))</f>
        <v>0</v>
      </c>
      <c r="AT798" s="57">
        <f>IF(ISERROR(IF(B798=C798,I798/C798,(INT(I798/B798)+(((I798-B798*INT(I798/B798)))/C798)/100))),0,(IF(B798=C798,I798/C798,(INT(I798/B798)+(((I798-B798*INT(I798/B798)))/C798)/100))))</f>
        <v>0</v>
      </c>
      <c r="AU798" s="57">
        <f>IF(ISERROR(IF(B798=C798,J798/C798,(INT(J798/B798)+(((J798-B798*INT(J798/B798)))/C798)/100))),0,(IF(B798=C798,J798/C798,(INT(J798/B798)+(((J798-B798*INT(J798/B798)))/C798)/100))))</f>
        <v>0</v>
      </c>
      <c r="AV798" s="57">
        <f>IF(ISERROR(IF(B798=C798,K798/C798,IF((INT(K798/B798)+(((K798-B798*INT(K798/B798)))/C798)/100)&lt;0,(INT(K798/B798)+(((K798-B798*INT(K798/B798)))/C798)/100)+(1-(B798/C798/100)),(INT(K798/B798)+(((K798-B798*INT(K798/B798)))/C798)/100)))),0,IF(B798=C798,K798/C798,IF((INT(K798/B798)+(((K798-B798*INT(K798/B798)))/C798)/100)&lt;0,(INT(K798/B798)+(((K798-B798*INT(K798/B798)))/C798)/100)+(1-(B798/C798/100)),(INT(K798/B798)+(((K798-B798*INT(K798/B798)))/C798)/100))))</f>
        <v>0</v>
      </c>
      <c r="AW798" s="57">
        <f>IF(ISERROR(IF(B798=C798,L798/C798,(INT(L798/B798)+(((L798-B798*INT(L798/B798)))/C798)/100))),0,(IF(B798=C798,L798/C798,(INT(L798/B798)+(((L798-B798*INT(L798/B798)))/C798)/100))))</f>
        <v>0</v>
      </c>
      <c r="AX798" s="57">
        <f>IF(ISERROR(IF(B798=C798,M798/C798,(INT(M798/B798)+(((M798-B798*INT(M798/B798)))/C798)/100))),0,(IF(B798=C798,M798/C798,(INT(M798/B798)+(((M798-B798*INT(M798/B798)))/C798)/100))))</f>
        <v>0</v>
      </c>
      <c r="AY798" s="57">
        <f>IF(ISERROR(IF(B798=C798,N798/C798,IF((INT(N798/B798)+(((N798-B798*INT(N798/B798)))/C798)/100)&lt;0,(INT(N798/B798)+(((N798-B798*INT(N798/B798)))/C798)/100)+(1-(B798/C798/100)),(INT(N798/B798)+(((N798-B798*INT(N798/B798)))/C798)/100)))),0,IF(B798=C798,N798/C798,IF((INT(N798/B798)+(((N798-B798*INT(N798/B798)))/C798)/100)&lt;0,(INT(N798/B798)+(((N798-B798*INT(N798/B798)))/C798)/100)+(1-(B798/C798/100)),(INT(N798/B798)+(((N798-B798*INT(N798/B798)))/C798)/100))))</f>
        <v>0</v>
      </c>
      <c r="AZ798" s="57">
        <f>IF(ISERROR(IF(B798=C798,O798/C798,(INT(O798/B798)+(((O798-B798*INT(O798/B798)))/C798)/100))),0,(IF(B798=C798,O798/C798,(INT(O798/B798)+(((O798-B798*INT(O798/B798)))/C798)/100))))</f>
        <v>0</v>
      </c>
      <c r="BA798" s="57">
        <f>IF(ISERROR(IF(B798=C798,P798/C798,IF((INT(P798/B798)+(((P798-B798*INT(P798/B798)))/C798)/100)&lt;0,(INT(P798/B798)+(((P798-B798*INT(P798/B798)))/C798)/100)+(1-(B798/C798/100)),(INT(P798/B798)+(((P798-B798*INT(P798/B798)))/C798)/100)))),0,IF(B798=C798,P798/C798,IF((INT(P798/B798)+(((P798-B798*INT(P798/B798)))/C798)/100)&lt;0,(INT(P798/B798)+(((P798-B798*INT(P798/B798)))/C798)/100)+(1-(B798/C798/100)),(INT(P798/B798)+(((P798-B798*INT(P798/B798)))/C798)/100))))</f>
        <v>0</v>
      </c>
      <c r="BB798" s="28">
        <f>R798</f>
        <v>0</v>
      </c>
      <c r="BC798" s="28">
        <f>S798</f>
        <v>0</v>
      </c>
      <c r="BD798" s="28">
        <f>AF798</f>
        <v>0</v>
      </c>
      <c r="BE798" s="28">
        <f>T798</f>
        <v>0</v>
      </c>
      <c r="BG798" s="57">
        <f>IF(ISERROR(IF(B798=C798,V798/C798,(INT(V798/B798)+(((V798-B798*INT(V798/B798)))/C798)/100))),0,(IF(B798=C798,V798/C798,(INT(V798/B798)+(((V798-B798*INT(V798/B798)))/C798)/100))))</f>
        <v>0</v>
      </c>
      <c r="BH798" s="57">
        <f>IF(ISERROR(IF(B798=C798,W798/C798,(INT(W798/B798)+(((W798-B798*INT(W798/B798)))/C798)/100))),0,(IF(B798=C798,W798/C798,(INT(W798/B798)+(((W798-B798*INT(W798/B798)))/C798)/100))))</f>
        <v>0</v>
      </c>
      <c r="BI798" s="57">
        <f>IF(ISERROR(IF(B798=C798,X798/C798,(INT(X798/B798)+(((X798-B798*INT(X798/B798)))/C798)/100))),0,(IF(B798=C798,X798/C798,(INT(X798/B798)+(((X798-B798*INT(X798/B798)))/C798)/100))))</f>
        <v>0</v>
      </c>
      <c r="BJ798" s="57">
        <f>IF(ISERROR(IF(B798=C798,Y798/C798,(INT(Y798/B798)+(((Y798-B798*INT(Y798/B798)))/C798)/100))),0,(IF(B798=C798,Y798/C798,(INT(Y798/B798)+(((Y798-B798*INT(Y798/B798)))/C798)/100))))</f>
        <v>0</v>
      </c>
      <c r="BL798" s="57">
        <f>IF(ISERROR(IF(B798=C798,AA798/C798,(INT(AA798/B798)+(((AA798-B798*INT(AA798/B798)))/C798)/100))),0,(IF(B798=C798,AA798/C798,(INT(AA798/B798)+(((AA798-B798*INT(AA798/B798)))/C798)/100))))</f>
        <v>0</v>
      </c>
      <c r="BM798" s="57">
        <f>IF(ISERROR(IF(B798=C798,AB798/C798,(INT(AB798/B798)+(((AB798-B798*INT(AB798/B798)))/C798)/100))),0,(IF(B798=C798,AB798/C798,(INT(AB798/B798)+(((AB798-B798*INT(AB798/B798)))/C798)/100))))</f>
        <v>0</v>
      </c>
      <c r="BN798" s="57">
        <f>IF(ISERROR(IF(B798=C798,AC798/C798,(INT(AC798/B798)+(((AC798-B798*INT(AC798/B798)))/C798)/100))),0,(IF(B798=C798,AC798/C798,(INT(AC798/B798)+(((AC798-B798*INT(AC798/B798)))/C798)/100))))</f>
        <v>0</v>
      </c>
      <c r="BO798" s="57">
        <f>IF(ISERROR(IF(B798=C798,AD798/C798,(INT(AD798/B798)+(((AD798-B798*INT(AD798/B798)))/C798)/100))),0,(IF(B798=C798,AD798/C798,(INT(AD798/B798)+(((AD798-B798*INT(AD798/B798)))/C798)/100))))</f>
        <v>0</v>
      </c>
      <c r="BQ798" s="155"/>
    </row>
    <row r="799" spans="1:69" hidden="1" x14ac:dyDescent="0.35">
      <c r="A799" s="94"/>
      <c r="B799" s="113">
        <v>0</v>
      </c>
      <c r="C799" s="113">
        <v>0</v>
      </c>
      <c r="D799" s="28">
        <f>SUM(AA799:AD799)</f>
        <v>0</v>
      </c>
      <c r="E799" s="113">
        <v>0</v>
      </c>
      <c r="F799" s="113">
        <v>0</v>
      </c>
      <c r="G799" s="28">
        <f>SUM(D799:F799)</f>
        <v>0</v>
      </c>
      <c r="H799" s="125">
        <v>0</v>
      </c>
      <c r="I799" s="113">
        <v>0</v>
      </c>
      <c r="J799" s="125">
        <v>0</v>
      </c>
      <c r="K799" s="113">
        <v>0</v>
      </c>
      <c r="L799" s="113">
        <v>0</v>
      </c>
      <c r="M799" s="113">
        <v>0</v>
      </c>
      <c r="N799" s="28">
        <f>G799-SUM(H799:M799)</f>
        <v>0</v>
      </c>
      <c r="O799" s="28">
        <f>SUM(V799:Y799)</f>
        <v>0</v>
      </c>
      <c r="P799" s="28">
        <f>O799-N799</f>
        <v>0</v>
      </c>
      <c r="Q799" s="61" t="str">
        <f>IF(ISERROR(P799/SUM(H799:L799)),"",P799/SUM(H799:L799))</f>
        <v/>
      </c>
      <c r="R799" s="113">
        <v>0</v>
      </c>
      <c r="S799" s="28">
        <f>IF(ISERROR(P799/C799*R799),0,(P799/C799*R799))</f>
        <v>0</v>
      </c>
      <c r="T799" s="60">
        <f>IF(ISERROR(P799/B799*AF799),0,(P799/B799*AF799))</f>
        <v>0</v>
      </c>
      <c r="V799" s="113">
        <v>0</v>
      </c>
      <c r="W799" s="113">
        <v>0</v>
      </c>
      <c r="X799" s="113">
        <v>0</v>
      </c>
      <c r="Y799" s="113">
        <v>0</v>
      </c>
      <c r="AA799" s="113">
        <v>0</v>
      </c>
      <c r="AB799" s="113">
        <v>0</v>
      </c>
      <c r="AC799" s="113">
        <v>0</v>
      </c>
      <c r="AD799" s="113">
        <v>0</v>
      </c>
      <c r="AF799" s="113">
        <v>0</v>
      </c>
      <c r="AG799" s="28">
        <f>G799-O799</f>
        <v>0</v>
      </c>
      <c r="AH799" s="58">
        <f>IF(ISERROR(AG799/B799*AF799),0,(AG799/B799*AF799))</f>
        <v>0</v>
      </c>
      <c r="AI799" s="28">
        <f>SUM(H799:M799)</f>
        <v>0</v>
      </c>
      <c r="AJ799" s="28">
        <f>IF(ISERROR(AI799/B799*AF799),0,(AI799/B799*AF799))</f>
        <v>0</v>
      </c>
      <c r="AK799" s="58">
        <f>IF(ISERROR(O799/B799*AF799),0,(O799/B799*AF799))</f>
        <v>0</v>
      </c>
      <c r="AL799" s="28">
        <f>IF(ISERROR(H799/B799*AF799),0,(H799/B799*AF799))</f>
        <v>0</v>
      </c>
      <c r="AN799" s="51">
        <f>A799</f>
        <v>0</v>
      </c>
      <c r="AO799" s="57">
        <f>IF(ISERROR(IF(B799=C799,D799/C799,(INT(D799/B799)+(((D799-B799*INT(D799/B799)))/C799)/100))),0,(IF(B799=C799,D799/C799,(INT(D799/B799)+(((D799-B799*INT(D799/B799)))/C799)/100))))</f>
        <v>0</v>
      </c>
      <c r="AP799" s="57">
        <f>IF(ISERROR(IF(B799=C799,E799/C799,(INT(E799/B799)+(((E799-B799*INT(E799/B799)))/C799)/100))),0,(IF(B799=C799,E799/C799,(INT(E799/B799)+(((E799-B799*INT(E799/B799)))/C799)/100))))</f>
        <v>0</v>
      </c>
      <c r="AQ799" s="57">
        <f>IF(ISERROR(IF(B799=C799,F799/C799,IF((INT(F799/B799)+(((F799-B799*INT(F799/B799)))/C799)/100)&lt;0,(INT(F799/B799)+(((F799-B799*INT(F799/B799)))/C799)/100)+(1-(B799/C799/100)),(INT(F799/B799)+(((F799-B799*INT(F799/B799)))/C799)/100)))),0,IF(B799=C799,F799/C799,IF((INT(F799/B799)+(((F799-B799*INT(F799/B799)))/C799)/100)&lt;0,(INT(F799/B799)+(((F799-B799*INT(F799/B799)))/C799)/100)+(1-(B799/C799/100)),(INT(F799/B799)+(((F799-B799*INT(F799/B799)))/C799)/100))))</f>
        <v>0</v>
      </c>
      <c r="AR799" s="57">
        <f>IF(ISERROR(IF(B799=C799,G799/C799,(INT(G799/B799)+(((G799-B799*INT(G799/B799)))/C799)/100))),0,(IF(B799=C799,G799/C799,(INT(G799/B799)+(((G799-B799*INT(G799/B799)))/C799)/100))))</f>
        <v>0</v>
      </c>
      <c r="AS799" s="57">
        <f>IF(ISERROR(IF(B799=C799,H799/C799,(INT(H799/B799)+(((H799-B799*INT(H799/B799)))/C799)/100))),0,(IF(B799=C799,H799/C799,(INT(H799/B799)+(((H799-B799*INT(H799/B799)))/C799)/100))))</f>
        <v>0</v>
      </c>
      <c r="AT799" s="57">
        <f>IF(ISERROR(IF(B799=C799,I799/C799,(INT(I799/B799)+(((I799-B799*INT(I799/B799)))/C799)/100))),0,(IF(B799=C799,I799/C799,(INT(I799/B799)+(((I799-B799*INT(I799/B799)))/C799)/100))))</f>
        <v>0</v>
      </c>
      <c r="AU799" s="57">
        <f>IF(ISERROR(IF(B799=C799,J799/C799,(INT(J799/B799)+(((J799-B799*INT(J799/B799)))/C799)/100))),0,(IF(B799=C799,J799/C799,(INT(J799/B799)+(((J799-B799*INT(J799/B799)))/C799)/100))))</f>
        <v>0</v>
      </c>
      <c r="AV799" s="57">
        <f>IF(ISERROR(IF(B799=C799,K799/C799,IF((INT(K799/B799)+(((K799-B799*INT(K799/B799)))/C799)/100)&lt;0,(INT(K799/B799)+(((K799-B799*INT(K799/B799)))/C799)/100)+(1-(B799/C799/100)),(INT(K799/B799)+(((K799-B799*INT(K799/B799)))/C799)/100)))),0,IF(B799=C799,K799/C799,IF((INT(K799/B799)+(((K799-B799*INT(K799/B799)))/C799)/100)&lt;0,(INT(K799/B799)+(((K799-B799*INT(K799/B799)))/C799)/100)+(1-(B799/C799/100)),(INT(K799/B799)+(((K799-B799*INT(K799/B799)))/C799)/100))))</f>
        <v>0</v>
      </c>
      <c r="AW799" s="57">
        <f>IF(ISERROR(IF(B799=C799,L799/C799,(INT(L799/B799)+(((L799-B799*INT(L799/B799)))/C799)/100))),0,(IF(B799=C799,L799/C799,(INT(L799/B799)+(((L799-B799*INT(L799/B799)))/C799)/100))))</f>
        <v>0</v>
      </c>
      <c r="AX799" s="57">
        <f>IF(ISERROR(IF(B799=C799,M799/C799,(INT(M799/B799)+(((M799-B799*INT(M799/B799)))/C799)/100))),0,(IF(B799=C799,M799/C799,(INT(M799/B799)+(((M799-B799*INT(M799/B799)))/C799)/100))))</f>
        <v>0</v>
      </c>
      <c r="AY799" s="57">
        <f>IF(ISERROR(IF(B799=C799,N799/C799,IF((INT(N799/B799)+(((N799-B799*INT(N799/B799)))/C799)/100)&lt;0,(INT(N799/B799)+(((N799-B799*INT(N799/B799)))/C799)/100)+(1-(B799/C799/100)),(INT(N799/B799)+(((N799-B799*INT(N799/B799)))/C799)/100)))),0,IF(B799=C799,N799/C799,IF((INT(N799/B799)+(((N799-B799*INT(N799/B799)))/C799)/100)&lt;0,(INT(N799/B799)+(((N799-B799*INT(N799/B799)))/C799)/100)+(1-(B799/C799/100)),(INT(N799/B799)+(((N799-B799*INT(N799/B799)))/C799)/100))))</f>
        <v>0</v>
      </c>
      <c r="AZ799" s="57">
        <f>IF(ISERROR(IF(B799=C799,O799/C799,(INT(O799/B799)+(((O799-B799*INT(O799/B799)))/C799)/100))),0,(IF(B799=C799,O799/C799,(INT(O799/B799)+(((O799-B799*INT(O799/B799)))/C799)/100))))</f>
        <v>0</v>
      </c>
      <c r="BA799" s="57">
        <f>IF(ISERROR(IF(B799=C799,P799/C799,IF((INT(P799/B799)+(((P799-B799*INT(P799/B799)))/C799)/100)&lt;0,(INT(P799/B799)+(((P799-B799*INT(P799/B799)))/C799)/100)+(1-(B799/C799/100)),(INT(P799/B799)+(((P799-B799*INT(P799/B799)))/C799)/100)))),0,IF(B799=C799,P799/C799,IF((INT(P799/B799)+(((P799-B799*INT(P799/B799)))/C799)/100)&lt;0,(INT(P799/B799)+(((P799-B799*INT(P799/B799)))/C799)/100)+(1-(B799/C799/100)),(INT(P799/B799)+(((P799-B799*INT(P799/B799)))/C799)/100))))</f>
        <v>0</v>
      </c>
      <c r="BB799" s="28">
        <f>R799</f>
        <v>0</v>
      </c>
      <c r="BC799" s="28">
        <f>S799</f>
        <v>0</v>
      </c>
      <c r="BD799" s="28">
        <f>AF799</f>
        <v>0</v>
      </c>
      <c r="BE799" s="28">
        <f>T799</f>
        <v>0</v>
      </c>
      <c r="BG799" s="57">
        <f>IF(ISERROR(IF(B799=C799,V799/C799,(INT(V799/B799)+(((V799-B799*INT(V799/B799)))/C799)/100))),0,(IF(B799=C799,V799/C799,(INT(V799/B799)+(((V799-B799*INT(V799/B799)))/C799)/100))))</f>
        <v>0</v>
      </c>
      <c r="BH799" s="57">
        <f>IF(ISERROR(IF(B799=C799,W799/C799,(INT(W799/B799)+(((W799-B799*INT(W799/B799)))/C799)/100))),0,(IF(B799=C799,W799/C799,(INT(W799/B799)+(((W799-B799*INT(W799/B799)))/C799)/100))))</f>
        <v>0</v>
      </c>
      <c r="BI799" s="57">
        <f>IF(ISERROR(IF(B799=C799,X799/C799,(INT(X799/B799)+(((X799-B799*INT(X799/B799)))/C799)/100))),0,(IF(B799=C799,X799/C799,(INT(X799/B799)+(((X799-B799*INT(X799/B799)))/C799)/100))))</f>
        <v>0</v>
      </c>
      <c r="BJ799" s="57">
        <f>IF(ISERROR(IF(B799=C799,Y799/C799,(INT(Y799/B799)+(((Y799-B799*INT(Y799/B799)))/C799)/100))),0,(IF(B799=C799,Y799/C799,(INT(Y799/B799)+(((Y799-B799*INT(Y799/B799)))/C799)/100))))</f>
        <v>0</v>
      </c>
      <c r="BL799" s="57">
        <f>IF(ISERROR(IF(B799=C799,AA799/C799,(INT(AA799/B799)+(((AA799-B799*INT(AA799/B799)))/C799)/100))),0,(IF(B799=C799,AA799/C799,(INT(AA799/B799)+(((AA799-B799*INT(AA799/B799)))/C799)/100))))</f>
        <v>0</v>
      </c>
      <c r="BM799" s="57">
        <f>IF(ISERROR(IF(B799=C799,AB799/C799,(INT(AB799/B799)+(((AB799-B799*INT(AB799/B799)))/C799)/100))),0,(IF(B799=C799,AB799/C799,(INT(AB799/B799)+(((AB799-B799*INT(AB799/B799)))/C799)/100))))</f>
        <v>0</v>
      </c>
      <c r="BN799" s="57">
        <f>IF(ISERROR(IF(B799=C799,AC799/C799,(INT(AC799/B799)+(((AC799-B799*INT(AC799/B799)))/C799)/100))),0,(IF(B799=C799,AC799/C799,(INT(AC799/B799)+(((AC799-B799*INT(AC799/B799)))/C799)/100))))</f>
        <v>0</v>
      </c>
      <c r="BO799" s="57">
        <f>IF(ISERROR(IF(B799=C799,AD799/C799,(INT(AD799/B799)+(((AD799-B799*INT(AD799/B799)))/C799)/100))),0,(IF(B799=C799,AD799/C799,(INT(AD799/B799)+(((AD799-B799*INT(AD799/B799)))/C799)/100))))</f>
        <v>0</v>
      </c>
      <c r="BQ799" s="155"/>
    </row>
    <row r="800" spans="1:69" hidden="1" x14ac:dyDescent="0.35">
      <c r="A800" s="94"/>
      <c r="B800" s="113">
        <v>0</v>
      </c>
      <c r="C800" s="113">
        <v>0</v>
      </c>
      <c r="D800" s="28">
        <f>SUM(AA800:AD800)</f>
        <v>0</v>
      </c>
      <c r="E800" s="113">
        <v>0</v>
      </c>
      <c r="F800" s="113">
        <v>0</v>
      </c>
      <c r="G800" s="28">
        <f>SUM(D800:F800)</f>
        <v>0</v>
      </c>
      <c r="H800" s="125">
        <v>0</v>
      </c>
      <c r="I800" s="113">
        <v>0</v>
      </c>
      <c r="J800" s="125">
        <v>0</v>
      </c>
      <c r="K800" s="113">
        <v>0</v>
      </c>
      <c r="L800" s="113">
        <v>0</v>
      </c>
      <c r="M800" s="113">
        <v>0</v>
      </c>
      <c r="N800" s="28">
        <f>G800-SUM(H800:M800)</f>
        <v>0</v>
      </c>
      <c r="O800" s="28">
        <f>SUM(V800:Y800)</f>
        <v>0</v>
      </c>
      <c r="P800" s="28">
        <f>O800-N800</f>
        <v>0</v>
      </c>
      <c r="Q800" s="61" t="str">
        <f>IF(ISERROR(P800/SUM(H800:L800)),"",P800/SUM(H800:L800))</f>
        <v/>
      </c>
      <c r="R800" s="113">
        <v>0</v>
      </c>
      <c r="S800" s="28">
        <f>IF(ISERROR(P800/C800*R800),0,(P800/C800*R800))</f>
        <v>0</v>
      </c>
      <c r="T800" s="60">
        <f>IF(ISERROR(P800/B800*AF800),0,(P800/B800*AF800))</f>
        <v>0</v>
      </c>
      <c r="V800" s="113">
        <v>0</v>
      </c>
      <c r="W800" s="113">
        <v>0</v>
      </c>
      <c r="X800" s="113">
        <v>0</v>
      </c>
      <c r="Y800" s="113">
        <v>0</v>
      </c>
      <c r="AA800" s="113">
        <v>0</v>
      </c>
      <c r="AB800" s="113">
        <v>0</v>
      </c>
      <c r="AC800" s="113">
        <v>0</v>
      </c>
      <c r="AD800" s="113">
        <v>0</v>
      </c>
      <c r="AF800" s="113">
        <v>0</v>
      </c>
      <c r="AG800" s="28">
        <f>G800-O800</f>
        <v>0</v>
      </c>
      <c r="AH800" s="58">
        <f>IF(ISERROR(AG800/B800*AF800),0,(AG800/B800*AF800))</f>
        <v>0</v>
      </c>
      <c r="AI800" s="28">
        <f>SUM(H800:M800)</f>
        <v>0</v>
      </c>
      <c r="AJ800" s="28">
        <f>IF(ISERROR(AI800/B800*AF800),0,(AI800/B800*AF800))</f>
        <v>0</v>
      </c>
      <c r="AK800" s="58">
        <f>IF(ISERROR(O800/B800*AF800),0,(O800/B800*AF800))</f>
        <v>0</v>
      </c>
      <c r="AL800" s="28">
        <f>IF(ISERROR(H800/B800*AF800),0,(H800/B800*AF800))</f>
        <v>0</v>
      </c>
      <c r="AN800" s="51">
        <f>A800</f>
        <v>0</v>
      </c>
      <c r="AO800" s="57">
        <f>IF(ISERROR(IF(B800=C800,D800/C800,(INT(D800/B800)+(((D800-B800*INT(D800/B800)))/C800)/100))),0,(IF(B800=C800,D800/C800,(INT(D800/B800)+(((D800-B800*INT(D800/B800)))/C800)/100))))</f>
        <v>0</v>
      </c>
      <c r="AP800" s="57">
        <f>IF(ISERROR(IF(B800=C800,E800/C800,(INT(E800/B800)+(((E800-B800*INT(E800/B800)))/C800)/100))),0,(IF(B800=C800,E800/C800,(INT(E800/B800)+(((E800-B800*INT(E800/B800)))/C800)/100))))</f>
        <v>0</v>
      </c>
      <c r="AQ800" s="57">
        <f>IF(ISERROR(IF(B800=C800,F800/C800,IF((INT(F800/B800)+(((F800-B800*INT(F800/B800)))/C800)/100)&lt;0,(INT(F800/B800)+(((F800-B800*INT(F800/B800)))/C800)/100)+(1-(B800/C800/100)),(INT(F800/B800)+(((F800-B800*INT(F800/B800)))/C800)/100)))),0,IF(B800=C800,F800/C800,IF((INT(F800/B800)+(((F800-B800*INT(F800/B800)))/C800)/100)&lt;0,(INT(F800/B800)+(((F800-B800*INT(F800/B800)))/C800)/100)+(1-(B800/C800/100)),(INT(F800/B800)+(((F800-B800*INT(F800/B800)))/C800)/100))))</f>
        <v>0</v>
      </c>
      <c r="AR800" s="57">
        <f>IF(ISERROR(IF(B800=C800,G800/C800,(INT(G800/B800)+(((G800-B800*INT(G800/B800)))/C800)/100))),0,(IF(B800=C800,G800/C800,(INT(G800/B800)+(((G800-B800*INT(G800/B800)))/C800)/100))))</f>
        <v>0</v>
      </c>
      <c r="AS800" s="57">
        <f>IF(ISERROR(IF(B800=C800,H800/C800,(INT(H800/B800)+(((H800-B800*INT(H800/B800)))/C800)/100))),0,(IF(B800=C800,H800/C800,(INT(H800/B800)+(((H800-B800*INT(H800/B800)))/C800)/100))))</f>
        <v>0</v>
      </c>
      <c r="AT800" s="57">
        <f>IF(ISERROR(IF(B800=C800,I800/C800,(INT(I800/B800)+(((I800-B800*INT(I800/B800)))/C800)/100))),0,(IF(B800=C800,I800/C800,(INT(I800/B800)+(((I800-B800*INT(I800/B800)))/C800)/100))))</f>
        <v>0</v>
      </c>
      <c r="AU800" s="57">
        <f>IF(ISERROR(IF(B800=C800,J800/C800,(INT(J800/B800)+(((J800-B800*INT(J800/B800)))/C800)/100))),0,(IF(B800=C800,J800/C800,(INT(J800/B800)+(((J800-B800*INT(J800/B800)))/C800)/100))))</f>
        <v>0</v>
      </c>
      <c r="AV800" s="57">
        <f>IF(ISERROR(IF(B800=C800,K800/C800,IF((INT(K800/B800)+(((K800-B800*INT(K800/B800)))/C800)/100)&lt;0,(INT(K800/B800)+(((K800-B800*INT(K800/B800)))/C800)/100)+(1-(B800/C800/100)),(INT(K800/B800)+(((K800-B800*INT(K800/B800)))/C800)/100)))),0,IF(B800=C800,K800/C800,IF((INT(K800/B800)+(((K800-B800*INT(K800/B800)))/C800)/100)&lt;0,(INT(K800/B800)+(((K800-B800*INT(K800/B800)))/C800)/100)+(1-(B800/C800/100)),(INT(K800/B800)+(((K800-B800*INT(K800/B800)))/C800)/100))))</f>
        <v>0</v>
      </c>
      <c r="AW800" s="57">
        <f>IF(ISERROR(IF(B800=C800,L800/C800,(INT(L800/B800)+(((L800-B800*INT(L800/B800)))/C800)/100))),0,(IF(B800=C800,L800/C800,(INT(L800/B800)+(((L800-B800*INT(L800/B800)))/C800)/100))))</f>
        <v>0</v>
      </c>
      <c r="AX800" s="57">
        <f>IF(ISERROR(IF(B800=C800,M800/C800,(INT(M800/B800)+(((M800-B800*INT(M800/B800)))/C800)/100))),0,(IF(B800=C800,M800/C800,(INT(M800/B800)+(((M800-B800*INT(M800/B800)))/C800)/100))))</f>
        <v>0</v>
      </c>
      <c r="AY800" s="57">
        <f>IF(ISERROR(IF(B800=C800,N800/C800,IF((INT(N800/B800)+(((N800-B800*INT(N800/B800)))/C800)/100)&lt;0,(INT(N800/B800)+(((N800-B800*INT(N800/B800)))/C800)/100)+(1-(B800/C800/100)),(INT(N800/B800)+(((N800-B800*INT(N800/B800)))/C800)/100)))),0,IF(B800=C800,N800/C800,IF((INT(N800/B800)+(((N800-B800*INT(N800/B800)))/C800)/100)&lt;0,(INT(N800/B800)+(((N800-B800*INT(N800/B800)))/C800)/100)+(1-(B800/C800/100)),(INT(N800/B800)+(((N800-B800*INT(N800/B800)))/C800)/100))))</f>
        <v>0</v>
      </c>
      <c r="AZ800" s="57">
        <f>IF(ISERROR(IF(B800=C800,O800/C800,(INT(O800/B800)+(((O800-B800*INT(O800/B800)))/C800)/100))),0,(IF(B800=C800,O800/C800,(INT(O800/B800)+(((O800-B800*INT(O800/B800)))/C800)/100))))</f>
        <v>0</v>
      </c>
      <c r="BA800" s="57">
        <f>IF(ISERROR(IF(B800=C800,P800/C800,IF((INT(P800/B800)+(((P800-B800*INT(P800/B800)))/C800)/100)&lt;0,(INT(P800/B800)+(((P800-B800*INT(P800/B800)))/C800)/100)+(1-(B800/C800/100)),(INT(P800/B800)+(((P800-B800*INT(P800/B800)))/C800)/100)))),0,IF(B800=C800,P800/C800,IF((INT(P800/B800)+(((P800-B800*INT(P800/B800)))/C800)/100)&lt;0,(INT(P800/B800)+(((P800-B800*INT(P800/B800)))/C800)/100)+(1-(B800/C800/100)),(INT(P800/B800)+(((P800-B800*INT(P800/B800)))/C800)/100))))</f>
        <v>0</v>
      </c>
      <c r="BB800" s="28">
        <f>R800</f>
        <v>0</v>
      </c>
      <c r="BC800" s="28">
        <f>S800</f>
        <v>0</v>
      </c>
      <c r="BD800" s="28">
        <f>AF800</f>
        <v>0</v>
      </c>
      <c r="BE800" s="28">
        <f>T800</f>
        <v>0</v>
      </c>
      <c r="BG800" s="57">
        <f>IF(ISERROR(IF(B800=C800,V800/C800,(INT(V800/B800)+(((V800-B800*INT(V800/B800)))/C800)/100))),0,(IF(B800=C800,V800/C800,(INT(V800/B800)+(((V800-B800*INT(V800/B800)))/C800)/100))))</f>
        <v>0</v>
      </c>
      <c r="BH800" s="57">
        <f>IF(ISERROR(IF(B800=C800,W800/C800,(INT(W800/B800)+(((W800-B800*INT(W800/B800)))/C800)/100))),0,(IF(B800=C800,W800/C800,(INT(W800/B800)+(((W800-B800*INT(W800/B800)))/C800)/100))))</f>
        <v>0</v>
      </c>
      <c r="BI800" s="57">
        <f>IF(ISERROR(IF(B800=C800,X800/C800,(INT(X800/B800)+(((X800-B800*INT(X800/B800)))/C800)/100))),0,(IF(B800=C800,X800/C800,(INT(X800/B800)+(((X800-B800*INT(X800/B800)))/C800)/100))))</f>
        <v>0</v>
      </c>
      <c r="BJ800" s="57">
        <f>IF(ISERROR(IF(B800=C800,Y800/C800,(INT(Y800/B800)+(((Y800-B800*INT(Y800/B800)))/C800)/100))),0,(IF(B800=C800,Y800/C800,(INT(Y800/B800)+(((Y800-B800*INT(Y800/B800)))/C800)/100))))</f>
        <v>0</v>
      </c>
      <c r="BL800" s="57">
        <f>IF(ISERROR(IF(B800=C800,AA800/C800,(INT(AA800/B800)+(((AA800-B800*INT(AA800/B800)))/C800)/100))),0,(IF(B800=C800,AA800/C800,(INT(AA800/B800)+(((AA800-B800*INT(AA800/B800)))/C800)/100))))</f>
        <v>0</v>
      </c>
      <c r="BM800" s="57">
        <f>IF(ISERROR(IF(B800=C800,AB800/C800,(INT(AB800/B800)+(((AB800-B800*INT(AB800/B800)))/C800)/100))),0,(IF(B800=C800,AB800/C800,(INT(AB800/B800)+(((AB800-B800*INT(AB800/B800)))/C800)/100))))</f>
        <v>0</v>
      </c>
      <c r="BN800" s="57">
        <f>IF(ISERROR(IF(B800=C800,AC800/C800,(INT(AC800/B800)+(((AC800-B800*INT(AC800/B800)))/C800)/100))),0,(IF(B800=C800,AC800/C800,(INT(AC800/B800)+(((AC800-B800*INT(AC800/B800)))/C800)/100))))</f>
        <v>0</v>
      </c>
      <c r="BO800" s="57">
        <f>IF(ISERROR(IF(B800=C800,AD800/C800,(INT(AD800/B800)+(((AD800-B800*INT(AD800/B800)))/C800)/100))),0,(IF(B800=C800,AD800/C800,(INT(AD800/B800)+(((AD800-B800*INT(AD800/B800)))/C800)/100))))</f>
        <v>0</v>
      </c>
      <c r="BQ800" s="155"/>
    </row>
    <row r="801" spans="1:69" hidden="1" x14ac:dyDescent="0.35">
      <c r="A801" s="94"/>
      <c r="B801" s="113">
        <v>0</v>
      </c>
      <c r="C801" s="113">
        <v>0</v>
      </c>
      <c r="D801" s="28">
        <f>SUM(AA801:AD801)</f>
        <v>0</v>
      </c>
      <c r="E801" s="113">
        <v>0</v>
      </c>
      <c r="F801" s="113">
        <v>0</v>
      </c>
      <c r="G801" s="28">
        <f>SUM(D801:F801)</f>
        <v>0</v>
      </c>
      <c r="H801" s="125">
        <v>0</v>
      </c>
      <c r="I801" s="113">
        <v>0</v>
      </c>
      <c r="J801" s="125">
        <v>0</v>
      </c>
      <c r="K801" s="113">
        <v>0</v>
      </c>
      <c r="L801" s="113">
        <v>0</v>
      </c>
      <c r="M801" s="113">
        <v>0</v>
      </c>
      <c r="N801" s="28">
        <f>G801-SUM(H801:M801)</f>
        <v>0</v>
      </c>
      <c r="O801" s="28">
        <f>SUM(V801:Y801)</f>
        <v>0</v>
      </c>
      <c r="P801" s="28">
        <f>O801-N801</f>
        <v>0</v>
      </c>
      <c r="Q801" s="61" t="str">
        <f>IF(ISERROR(P801/SUM(H801:L801)),"",P801/SUM(H801:L801))</f>
        <v/>
      </c>
      <c r="R801" s="113">
        <v>0</v>
      </c>
      <c r="S801" s="28">
        <f>IF(ISERROR(P801/C801*R801),0,(P801/C801*R801))</f>
        <v>0</v>
      </c>
      <c r="T801" s="60">
        <f>IF(ISERROR(P801/B801*AF801),0,(P801/B801*AF801))</f>
        <v>0</v>
      </c>
      <c r="V801" s="113">
        <v>0</v>
      </c>
      <c r="W801" s="113">
        <v>0</v>
      </c>
      <c r="X801" s="113">
        <v>0</v>
      </c>
      <c r="Y801" s="113">
        <v>0</v>
      </c>
      <c r="AA801" s="113">
        <v>0</v>
      </c>
      <c r="AB801" s="113">
        <v>0</v>
      </c>
      <c r="AC801" s="113">
        <v>0</v>
      </c>
      <c r="AD801" s="113">
        <v>0</v>
      </c>
      <c r="AF801" s="113">
        <v>0</v>
      </c>
      <c r="AG801" s="28">
        <f>G801-O801</f>
        <v>0</v>
      </c>
      <c r="AH801" s="58">
        <f>IF(ISERROR(AG801/B801*AF801),0,(AG801/B801*AF801))</f>
        <v>0</v>
      </c>
      <c r="AI801" s="28">
        <f>SUM(H801:M801)</f>
        <v>0</v>
      </c>
      <c r="AJ801" s="28">
        <f>IF(ISERROR(AI801/B801*AF801),0,(AI801/B801*AF801))</f>
        <v>0</v>
      </c>
      <c r="AK801" s="58">
        <f>IF(ISERROR(O801/B801*AF801),0,(O801/B801*AF801))</f>
        <v>0</v>
      </c>
      <c r="AL801" s="28">
        <f>IF(ISERROR(H801/B801*AF801),0,(H801/B801*AF801))</f>
        <v>0</v>
      </c>
      <c r="AN801" s="51">
        <f>A801</f>
        <v>0</v>
      </c>
      <c r="AO801" s="57">
        <f>IF(ISERROR(IF(B801=C801,D801/C801,(INT(D801/B801)+(((D801-B801*INT(D801/B801)))/C801)/100))),0,(IF(B801=C801,D801/C801,(INT(D801/B801)+(((D801-B801*INT(D801/B801)))/C801)/100))))</f>
        <v>0</v>
      </c>
      <c r="AP801" s="57">
        <f>IF(ISERROR(IF(B801=C801,E801/C801,(INT(E801/B801)+(((E801-B801*INT(E801/B801)))/C801)/100))),0,(IF(B801=C801,E801/C801,(INT(E801/B801)+(((E801-B801*INT(E801/B801)))/C801)/100))))</f>
        <v>0</v>
      </c>
      <c r="AQ801" s="57">
        <f>IF(ISERROR(IF(B801=C801,F801/C801,IF((INT(F801/B801)+(((F801-B801*INT(F801/B801)))/C801)/100)&lt;0,(INT(F801/B801)+(((F801-B801*INT(F801/B801)))/C801)/100)+(1-(B801/C801/100)),(INT(F801/B801)+(((F801-B801*INT(F801/B801)))/C801)/100)))),0,IF(B801=C801,F801/C801,IF((INT(F801/B801)+(((F801-B801*INT(F801/B801)))/C801)/100)&lt;0,(INT(F801/B801)+(((F801-B801*INT(F801/B801)))/C801)/100)+(1-(B801/C801/100)),(INT(F801/B801)+(((F801-B801*INT(F801/B801)))/C801)/100))))</f>
        <v>0</v>
      </c>
      <c r="AR801" s="57">
        <f>IF(ISERROR(IF(B801=C801,G801/C801,(INT(G801/B801)+(((G801-B801*INT(G801/B801)))/C801)/100))),0,(IF(B801=C801,G801/C801,(INT(G801/B801)+(((G801-B801*INT(G801/B801)))/C801)/100))))</f>
        <v>0</v>
      </c>
      <c r="AS801" s="57">
        <f>IF(ISERROR(IF(B801=C801,H801/C801,(INT(H801/B801)+(((H801-B801*INT(H801/B801)))/C801)/100))),0,(IF(B801=C801,H801/C801,(INT(H801/B801)+(((H801-B801*INT(H801/B801)))/C801)/100))))</f>
        <v>0</v>
      </c>
      <c r="AT801" s="57">
        <f>IF(ISERROR(IF(B801=C801,I801/C801,(INT(I801/B801)+(((I801-B801*INT(I801/B801)))/C801)/100))),0,(IF(B801=C801,I801/C801,(INT(I801/B801)+(((I801-B801*INT(I801/B801)))/C801)/100))))</f>
        <v>0</v>
      </c>
      <c r="AU801" s="57">
        <f>IF(ISERROR(IF(B801=C801,J801/C801,(INT(J801/B801)+(((J801-B801*INT(J801/B801)))/C801)/100))),0,(IF(B801=C801,J801/C801,(INT(J801/B801)+(((J801-B801*INT(J801/B801)))/C801)/100))))</f>
        <v>0</v>
      </c>
      <c r="AV801" s="57">
        <f>IF(ISERROR(IF(B801=C801,K801/C801,IF((INT(K801/B801)+(((K801-B801*INT(K801/B801)))/C801)/100)&lt;0,(INT(K801/B801)+(((K801-B801*INT(K801/B801)))/C801)/100)+(1-(B801/C801/100)),(INT(K801/B801)+(((K801-B801*INT(K801/B801)))/C801)/100)))),0,IF(B801=C801,K801/C801,IF((INT(K801/B801)+(((K801-B801*INT(K801/B801)))/C801)/100)&lt;0,(INT(K801/B801)+(((K801-B801*INT(K801/B801)))/C801)/100)+(1-(B801/C801/100)),(INT(K801/B801)+(((K801-B801*INT(K801/B801)))/C801)/100))))</f>
        <v>0</v>
      </c>
      <c r="AW801" s="57">
        <f>IF(ISERROR(IF(B801=C801,L801/C801,(INT(L801/B801)+(((L801-B801*INT(L801/B801)))/C801)/100))),0,(IF(B801=C801,L801/C801,(INT(L801/B801)+(((L801-B801*INT(L801/B801)))/C801)/100))))</f>
        <v>0</v>
      </c>
      <c r="AX801" s="57">
        <f>IF(ISERROR(IF(B801=C801,M801/C801,(INT(M801/B801)+(((M801-B801*INT(M801/B801)))/C801)/100))),0,(IF(B801=C801,M801/C801,(INT(M801/B801)+(((M801-B801*INT(M801/B801)))/C801)/100))))</f>
        <v>0</v>
      </c>
      <c r="AY801" s="57">
        <f>IF(ISERROR(IF(B801=C801,N801/C801,IF((INT(N801/B801)+(((N801-B801*INT(N801/B801)))/C801)/100)&lt;0,(INT(N801/B801)+(((N801-B801*INT(N801/B801)))/C801)/100)+(1-(B801/C801/100)),(INT(N801/B801)+(((N801-B801*INT(N801/B801)))/C801)/100)))),0,IF(B801=C801,N801/C801,IF((INT(N801/B801)+(((N801-B801*INT(N801/B801)))/C801)/100)&lt;0,(INT(N801/B801)+(((N801-B801*INT(N801/B801)))/C801)/100)+(1-(B801/C801/100)),(INT(N801/B801)+(((N801-B801*INT(N801/B801)))/C801)/100))))</f>
        <v>0</v>
      </c>
      <c r="AZ801" s="57">
        <f>IF(ISERROR(IF(B801=C801,O801/C801,(INT(O801/B801)+(((O801-B801*INT(O801/B801)))/C801)/100))),0,(IF(B801=C801,O801/C801,(INT(O801/B801)+(((O801-B801*INT(O801/B801)))/C801)/100))))</f>
        <v>0</v>
      </c>
      <c r="BA801" s="57">
        <f>IF(ISERROR(IF(B801=C801,P801/C801,IF((INT(P801/B801)+(((P801-B801*INT(P801/B801)))/C801)/100)&lt;0,(INT(P801/B801)+(((P801-B801*INT(P801/B801)))/C801)/100)+(1-(B801/C801/100)),(INT(P801/B801)+(((P801-B801*INT(P801/B801)))/C801)/100)))),0,IF(B801=C801,P801/C801,IF((INT(P801/B801)+(((P801-B801*INT(P801/B801)))/C801)/100)&lt;0,(INT(P801/B801)+(((P801-B801*INT(P801/B801)))/C801)/100)+(1-(B801/C801/100)),(INT(P801/B801)+(((P801-B801*INT(P801/B801)))/C801)/100))))</f>
        <v>0</v>
      </c>
      <c r="BB801" s="28">
        <f>R801</f>
        <v>0</v>
      </c>
      <c r="BC801" s="28">
        <f>S801</f>
        <v>0</v>
      </c>
      <c r="BD801" s="28">
        <f>AF801</f>
        <v>0</v>
      </c>
      <c r="BE801" s="28">
        <f>T801</f>
        <v>0</v>
      </c>
      <c r="BG801" s="57">
        <f>IF(ISERROR(IF(B801=C801,V801/C801,(INT(V801/B801)+(((V801-B801*INT(V801/B801)))/C801)/100))),0,(IF(B801=C801,V801/C801,(INT(V801/B801)+(((V801-B801*INT(V801/B801)))/C801)/100))))</f>
        <v>0</v>
      </c>
      <c r="BH801" s="57">
        <f>IF(ISERROR(IF(B801=C801,W801/C801,(INT(W801/B801)+(((W801-B801*INT(W801/B801)))/C801)/100))),0,(IF(B801=C801,W801/C801,(INT(W801/B801)+(((W801-B801*INT(W801/B801)))/C801)/100))))</f>
        <v>0</v>
      </c>
      <c r="BI801" s="57">
        <f>IF(ISERROR(IF(B801=C801,X801/C801,(INT(X801/B801)+(((X801-B801*INT(X801/B801)))/C801)/100))),0,(IF(B801=C801,X801/C801,(INT(X801/B801)+(((X801-B801*INT(X801/B801)))/C801)/100))))</f>
        <v>0</v>
      </c>
      <c r="BJ801" s="57">
        <f>IF(ISERROR(IF(B801=C801,Y801/C801,(INT(Y801/B801)+(((Y801-B801*INT(Y801/B801)))/C801)/100))),0,(IF(B801=C801,Y801/C801,(INT(Y801/B801)+(((Y801-B801*INT(Y801/B801)))/C801)/100))))</f>
        <v>0</v>
      </c>
      <c r="BL801" s="57">
        <f>IF(ISERROR(IF(B801=C801,AA801/C801,(INT(AA801/B801)+(((AA801-B801*INT(AA801/B801)))/C801)/100))),0,(IF(B801=C801,AA801/C801,(INT(AA801/B801)+(((AA801-B801*INT(AA801/B801)))/C801)/100))))</f>
        <v>0</v>
      </c>
      <c r="BM801" s="57">
        <f>IF(ISERROR(IF(B801=C801,AB801/C801,(INT(AB801/B801)+(((AB801-B801*INT(AB801/B801)))/C801)/100))),0,(IF(B801=C801,AB801/C801,(INT(AB801/B801)+(((AB801-B801*INT(AB801/B801)))/C801)/100))))</f>
        <v>0</v>
      </c>
      <c r="BN801" s="57">
        <f>IF(ISERROR(IF(B801=C801,AC801/C801,(INT(AC801/B801)+(((AC801-B801*INT(AC801/B801)))/C801)/100))),0,(IF(B801=C801,AC801/C801,(INT(AC801/B801)+(((AC801-B801*INT(AC801/B801)))/C801)/100))))</f>
        <v>0</v>
      </c>
      <c r="BO801" s="57">
        <f>IF(ISERROR(IF(B801=C801,AD801/C801,(INT(AD801/B801)+(((AD801-B801*INT(AD801/B801)))/C801)/100))),0,(IF(B801=C801,AD801/C801,(INT(AD801/B801)+(((AD801-B801*INT(AD801/B801)))/C801)/100))))</f>
        <v>0</v>
      </c>
      <c r="BQ801" s="155"/>
    </row>
    <row r="802" spans="1:69" hidden="1" x14ac:dyDescent="0.35">
      <c r="A802" s="94"/>
      <c r="B802" s="113">
        <v>0</v>
      </c>
      <c r="C802" s="113">
        <v>0</v>
      </c>
      <c r="D802" s="28">
        <f>SUM(AA802:AD802)</f>
        <v>0</v>
      </c>
      <c r="E802" s="113">
        <v>0</v>
      </c>
      <c r="F802" s="113">
        <v>0</v>
      </c>
      <c r="G802" s="28">
        <f>SUM(D802:F802)</f>
        <v>0</v>
      </c>
      <c r="H802" s="125">
        <v>0</v>
      </c>
      <c r="I802" s="113">
        <v>0</v>
      </c>
      <c r="J802" s="125">
        <v>0</v>
      </c>
      <c r="K802" s="113">
        <v>0</v>
      </c>
      <c r="L802" s="113">
        <v>0</v>
      </c>
      <c r="M802" s="113">
        <v>0</v>
      </c>
      <c r="N802" s="28">
        <f>G802-SUM(H802:M802)</f>
        <v>0</v>
      </c>
      <c r="O802" s="28">
        <f>SUM(V802:Y802)</f>
        <v>0</v>
      </c>
      <c r="P802" s="28">
        <f>O802-N802</f>
        <v>0</v>
      </c>
      <c r="Q802" s="61" t="str">
        <f>IF(ISERROR(P802/SUM(H802:L802)),"",P802/SUM(H802:L802))</f>
        <v/>
      </c>
      <c r="R802" s="113">
        <v>0</v>
      </c>
      <c r="S802" s="28">
        <f>IF(ISERROR(P802/C802*R802),0,(P802/C802*R802))</f>
        <v>0</v>
      </c>
      <c r="T802" s="60">
        <f>IF(ISERROR(P802/B802*AF802),0,(P802/B802*AF802))</f>
        <v>0</v>
      </c>
      <c r="V802" s="113">
        <v>0</v>
      </c>
      <c r="W802" s="113">
        <v>0</v>
      </c>
      <c r="X802" s="113">
        <v>0</v>
      </c>
      <c r="Y802" s="113">
        <v>0</v>
      </c>
      <c r="AA802" s="113">
        <v>0</v>
      </c>
      <c r="AB802" s="113">
        <v>0</v>
      </c>
      <c r="AC802" s="113">
        <v>0</v>
      </c>
      <c r="AD802" s="113">
        <v>0</v>
      </c>
      <c r="AF802" s="113">
        <v>0</v>
      </c>
      <c r="AG802" s="28">
        <f>G802-O802</f>
        <v>0</v>
      </c>
      <c r="AH802" s="58">
        <f>IF(ISERROR(AG802/B802*AF802),0,(AG802/B802*AF802))</f>
        <v>0</v>
      </c>
      <c r="AI802" s="28">
        <f>SUM(H802:M802)</f>
        <v>0</v>
      </c>
      <c r="AJ802" s="28">
        <f>IF(ISERROR(AI802/B802*AF802),0,(AI802/B802*AF802))</f>
        <v>0</v>
      </c>
      <c r="AK802" s="58">
        <f>IF(ISERROR(O802/B802*AF802),0,(O802/B802*AF802))</f>
        <v>0</v>
      </c>
      <c r="AL802" s="28">
        <f>IF(ISERROR(H802/B802*AF802),0,(H802/B802*AF802))</f>
        <v>0</v>
      </c>
      <c r="AN802" s="51">
        <f>A802</f>
        <v>0</v>
      </c>
      <c r="AO802" s="57">
        <f>IF(ISERROR(IF(B802=C802,D802/C802,(INT(D802/B802)+(((D802-B802*INT(D802/B802)))/C802)/100))),0,(IF(B802=C802,D802/C802,(INT(D802/B802)+(((D802-B802*INT(D802/B802)))/C802)/100))))</f>
        <v>0</v>
      </c>
      <c r="AP802" s="57">
        <f>IF(ISERROR(IF(B802=C802,E802/C802,(INT(E802/B802)+(((E802-B802*INT(E802/B802)))/C802)/100))),0,(IF(B802=C802,E802/C802,(INT(E802/B802)+(((E802-B802*INT(E802/B802)))/C802)/100))))</f>
        <v>0</v>
      </c>
      <c r="AQ802" s="57">
        <f>IF(ISERROR(IF(B802=C802,F802/C802,IF((INT(F802/B802)+(((F802-B802*INT(F802/B802)))/C802)/100)&lt;0,(INT(F802/B802)+(((F802-B802*INT(F802/B802)))/C802)/100)+(1-(B802/C802/100)),(INT(F802/B802)+(((F802-B802*INT(F802/B802)))/C802)/100)))),0,IF(B802=C802,F802/C802,IF((INT(F802/B802)+(((F802-B802*INT(F802/B802)))/C802)/100)&lt;0,(INT(F802/B802)+(((F802-B802*INT(F802/B802)))/C802)/100)+(1-(B802/C802/100)),(INT(F802/B802)+(((F802-B802*INT(F802/B802)))/C802)/100))))</f>
        <v>0</v>
      </c>
      <c r="AR802" s="57">
        <f>IF(ISERROR(IF(B802=C802,G802/C802,(INT(G802/B802)+(((G802-B802*INT(G802/B802)))/C802)/100))),0,(IF(B802=C802,G802/C802,(INT(G802/B802)+(((G802-B802*INT(G802/B802)))/C802)/100))))</f>
        <v>0</v>
      </c>
      <c r="AS802" s="57">
        <f>IF(ISERROR(IF(B802=C802,H802/C802,(INT(H802/B802)+(((H802-B802*INT(H802/B802)))/C802)/100))),0,(IF(B802=C802,H802/C802,(INT(H802/B802)+(((H802-B802*INT(H802/B802)))/C802)/100))))</f>
        <v>0</v>
      </c>
      <c r="AT802" s="57">
        <f>IF(ISERROR(IF(B802=C802,I802/C802,(INT(I802/B802)+(((I802-B802*INT(I802/B802)))/C802)/100))),0,(IF(B802=C802,I802/C802,(INT(I802/B802)+(((I802-B802*INT(I802/B802)))/C802)/100))))</f>
        <v>0</v>
      </c>
      <c r="AU802" s="57">
        <f>IF(ISERROR(IF(B802=C802,J802/C802,(INT(J802/B802)+(((J802-B802*INT(J802/B802)))/C802)/100))),0,(IF(B802=C802,J802/C802,(INT(J802/B802)+(((J802-B802*INT(J802/B802)))/C802)/100))))</f>
        <v>0</v>
      </c>
      <c r="AV802" s="57">
        <f>IF(ISERROR(IF(B802=C802,K802/C802,IF((INT(K802/B802)+(((K802-B802*INT(K802/B802)))/C802)/100)&lt;0,(INT(K802/B802)+(((K802-B802*INT(K802/B802)))/C802)/100)+(1-(B802/C802/100)),(INT(K802/B802)+(((K802-B802*INT(K802/B802)))/C802)/100)))),0,IF(B802=C802,K802/C802,IF((INT(K802/B802)+(((K802-B802*INT(K802/B802)))/C802)/100)&lt;0,(INT(K802/B802)+(((K802-B802*INT(K802/B802)))/C802)/100)+(1-(B802/C802/100)),(INT(K802/B802)+(((K802-B802*INT(K802/B802)))/C802)/100))))</f>
        <v>0</v>
      </c>
      <c r="AW802" s="57">
        <f>IF(ISERROR(IF(B802=C802,L802/C802,(INT(L802/B802)+(((L802-B802*INT(L802/B802)))/C802)/100))),0,(IF(B802=C802,L802/C802,(INT(L802/B802)+(((L802-B802*INT(L802/B802)))/C802)/100))))</f>
        <v>0</v>
      </c>
      <c r="AX802" s="57">
        <f>IF(ISERROR(IF(B802=C802,M802/C802,(INT(M802/B802)+(((M802-B802*INT(M802/B802)))/C802)/100))),0,(IF(B802=C802,M802/C802,(INT(M802/B802)+(((M802-B802*INT(M802/B802)))/C802)/100))))</f>
        <v>0</v>
      </c>
      <c r="AY802" s="57">
        <f>IF(ISERROR(IF(B802=C802,N802/C802,IF((INT(N802/B802)+(((N802-B802*INT(N802/B802)))/C802)/100)&lt;0,(INT(N802/B802)+(((N802-B802*INT(N802/B802)))/C802)/100)+(1-(B802/C802/100)),(INT(N802/B802)+(((N802-B802*INT(N802/B802)))/C802)/100)))),0,IF(B802=C802,N802/C802,IF((INT(N802/B802)+(((N802-B802*INT(N802/B802)))/C802)/100)&lt;0,(INT(N802/B802)+(((N802-B802*INT(N802/B802)))/C802)/100)+(1-(B802/C802/100)),(INT(N802/B802)+(((N802-B802*INT(N802/B802)))/C802)/100))))</f>
        <v>0</v>
      </c>
      <c r="AZ802" s="57">
        <f>IF(ISERROR(IF(B802=C802,O802/C802,(INT(O802/B802)+(((O802-B802*INT(O802/B802)))/C802)/100))),0,(IF(B802=C802,O802/C802,(INT(O802/B802)+(((O802-B802*INT(O802/B802)))/C802)/100))))</f>
        <v>0</v>
      </c>
      <c r="BA802" s="57">
        <f>IF(ISERROR(IF(B802=C802,P802/C802,IF((INT(P802/B802)+(((P802-B802*INT(P802/B802)))/C802)/100)&lt;0,(INT(P802/B802)+(((P802-B802*INT(P802/B802)))/C802)/100)+(1-(B802/C802/100)),(INT(P802/B802)+(((P802-B802*INT(P802/B802)))/C802)/100)))),0,IF(B802=C802,P802/C802,IF((INT(P802/B802)+(((P802-B802*INT(P802/B802)))/C802)/100)&lt;0,(INT(P802/B802)+(((P802-B802*INT(P802/B802)))/C802)/100)+(1-(B802/C802/100)),(INT(P802/B802)+(((P802-B802*INT(P802/B802)))/C802)/100))))</f>
        <v>0</v>
      </c>
      <c r="BB802" s="28">
        <f>R802</f>
        <v>0</v>
      </c>
      <c r="BC802" s="28">
        <f>S802</f>
        <v>0</v>
      </c>
      <c r="BD802" s="28">
        <f>AF802</f>
        <v>0</v>
      </c>
      <c r="BE802" s="28">
        <f>T802</f>
        <v>0</v>
      </c>
      <c r="BG802" s="57">
        <f>IF(ISERROR(IF(B802=C802,V802/C802,(INT(V802/B802)+(((V802-B802*INT(V802/B802)))/C802)/100))),0,(IF(B802=C802,V802/C802,(INT(V802/B802)+(((V802-B802*INT(V802/B802)))/C802)/100))))</f>
        <v>0</v>
      </c>
      <c r="BH802" s="57">
        <f>IF(ISERROR(IF(B802=C802,W802/C802,(INT(W802/B802)+(((W802-B802*INT(W802/B802)))/C802)/100))),0,(IF(B802=C802,W802/C802,(INT(W802/B802)+(((W802-B802*INT(W802/B802)))/C802)/100))))</f>
        <v>0</v>
      </c>
      <c r="BI802" s="57">
        <f>IF(ISERROR(IF(B802=C802,X802/C802,(INT(X802/B802)+(((X802-B802*INT(X802/B802)))/C802)/100))),0,(IF(B802=C802,X802/C802,(INT(X802/B802)+(((X802-B802*INT(X802/B802)))/C802)/100))))</f>
        <v>0</v>
      </c>
      <c r="BJ802" s="57">
        <f>IF(ISERROR(IF(B802=C802,Y802/C802,(INT(Y802/B802)+(((Y802-B802*INT(Y802/B802)))/C802)/100))),0,(IF(B802=C802,Y802/C802,(INT(Y802/B802)+(((Y802-B802*INT(Y802/B802)))/C802)/100))))</f>
        <v>0</v>
      </c>
      <c r="BL802" s="57">
        <f>IF(ISERROR(IF(B802=C802,AA802/C802,(INT(AA802/B802)+(((AA802-B802*INT(AA802/B802)))/C802)/100))),0,(IF(B802=C802,AA802/C802,(INT(AA802/B802)+(((AA802-B802*INT(AA802/B802)))/C802)/100))))</f>
        <v>0</v>
      </c>
      <c r="BM802" s="57">
        <f>IF(ISERROR(IF(B802=C802,AB802/C802,(INT(AB802/B802)+(((AB802-B802*INT(AB802/B802)))/C802)/100))),0,(IF(B802=C802,AB802/C802,(INT(AB802/B802)+(((AB802-B802*INT(AB802/B802)))/C802)/100))))</f>
        <v>0</v>
      </c>
      <c r="BN802" s="57">
        <f>IF(ISERROR(IF(B802=C802,AC802/C802,(INT(AC802/B802)+(((AC802-B802*INT(AC802/B802)))/C802)/100))),0,(IF(B802=C802,AC802/C802,(INT(AC802/B802)+(((AC802-B802*INT(AC802/B802)))/C802)/100))))</f>
        <v>0</v>
      </c>
      <c r="BO802" s="57">
        <f>IF(ISERROR(IF(B802=C802,AD802/C802,(INT(AD802/B802)+(((AD802-B802*INT(AD802/B802)))/C802)/100))),0,(IF(B802=C802,AD802/C802,(INT(AD802/B802)+(((AD802-B802*INT(AD802/B802)))/C802)/100))))</f>
        <v>0</v>
      </c>
      <c r="BQ802" s="155"/>
    </row>
    <row r="803" spans="1:69" hidden="1" x14ac:dyDescent="0.35">
      <c r="A803" s="94"/>
      <c r="B803" s="113">
        <v>0</v>
      </c>
      <c r="C803" s="113">
        <v>0</v>
      </c>
      <c r="D803" s="28">
        <f>SUM(AA803:AD803)</f>
        <v>0</v>
      </c>
      <c r="E803" s="113">
        <v>0</v>
      </c>
      <c r="F803" s="113">
        <v>0</v>
      </c>
      <c r="G803" s="28">
        <f>SUM(D803:F803)</f>
        <v>0</v>
      </c>
      <c r="H803" s="125">
        <v>0</v>
      </c>
      <c r="I803" s="113">
        <v>0</v>
      </c>
      <c r="J803" s="125">
        <v>0</v>
      </c>
      <c r="K803" s="113">
        <v>0</v>
      </c>
      <c r="L803" s="113">
        <v>0</v>
      </c>
      <c r="M803" s="113">
        <v>0</v>
      </c>
      <c r="N803" s="28">
        <f>G803-SUM(H803:M803)</f>
        <v>0</v>
      </c>
      <c r="O803" s="28">
        <f>SUM(V803:Y803)</f>
        <v>0</v>
      </c>
      <c r="P803" s="28">
        <f>O803-N803</f>
        <v>0</v>
      </c>
      <c r="Q803" s="61" t="str">
        <f>IF(ISERROR(P803/SUM(H803:L803)),"",P803/SUM(H803:L803))</f>
        <v/>
      </c>
      <c r="R803" s="113">
        <v>0</v>
      </c>
      <c r="S803" s="28">
        <f>IF(ISERROR(P803/C803*R803),0,(P803/C803*R803))</f>
        <v>0</v>
      </c>
      <c r="T803" s="60">
        <f>IF(ISERROR(P803/B803*AF803),0,(P803/B803*AF803))</f>
        <v>0</v>
      </c>
      <c r="V803" s="113">
        <v>0</v>
      </c>
      <c r="W803" s="113">
        <v>0</v>
      </c>
      <c r="X803" s="113">
        <v>0</v>
      </c>
      <c r="Y803" s="113">
        <v>0</v>
      </c>
      <c r="AA803" s="113">
        <v>0</v>
      </c>
      <c r="AB803" s="113">
        <v>0</v>
      </c>
      <c r="AC803" s="113">
        <v>0</v>
      </c>
      <c r="AD803" s="113">
        <v>0</v>
      </c>
      <c r="AF803" s="113">
        <v>0</v>
      </c>
      <c r="AG803" s="28">
        <f>G803-O803</f>
        <v>0</v>
      </c>
      <c r="AH803" s="58">
        <f>IF(ISERROR(AG803/B803*AF803),0,(AG803/B803*AF803))</f>
        <v>0</v>
      </c>
      <c r="AI803" s="28">
        <f>SUM(H803:M803)</f>
        <v>0</v>
      </c>
      <c r="AJ803" s="28">
        <f>IF(ISERROR(AI803/B803*AF803),0,(AI803/B803*AF803))</f>
        <v>0</v>
      </c>
      <c r="AK803" s="58">
        <f>IF(ISERROR(O803/B803*AF803),0,(O803/B803*AF803))</f>
        <v>0</v>
      </c>
      <c r="AL803" s="28">
        <f>IF(ISERROR(H803/B803*AF803),0,(H803/B803*AF803))</f>
        <v>0</v>
      </c>
      <c r="AN803" s="51">
        <f>A803</f>
        <v>0</v>
      </c>
      <c r="AO803" s="57">
        <f>IF(ISERROR(IF(B803=C803,D803/C803,(INT(D803/B803)+(((D803-B803*INT(D803/B803)))/C803)/100))),0,(IF(B803=C803,D803/C803,(INT(D803/B803)+(((D803-B803*INT(D803/B803)))/C803)/100))))</f>
        <v>0</v>
      </c>
      <c r="AP803" s="57">
        <f>IF(ISERROR(IF(B803=C803,E803/C803,(INT(E803/B803)+(((E803-B803*INT(E803/B803)))/C803)/100))),0,(IF(B803=C803,E803/C803,(INT(E803/B803)+(((E803-B803*INT(E803/B803)))/C803)/100))))</f>
        <v>0</v>
      </c>
      <c r="AQ803" s="57">
        <f>IF(ISERROR(IF(B803=C803,F803/C803,IF((INT(F803/B803)+(((F803-B803*INT(F803/B803)))/C803)/100)&lt;0,(INT(F803/B803)+(((F803-B803*INT(F803/B803)))/C803)/100)+(1-(B803/C803/100)),(INT(F803/B803)+(((F803-B803*INT(F803/B803)))/C803)/100)))),0,IF(B803=C803,F803/C803,IF((INT(F803/B803)+(((F803-B803*INT(F803/B803)))/C803)/100)&lt;0,(INT(F803/B803)+(((F803-B803*INT(F803/B803)))/C803)/100)+(1-(B803/C803/100)),(INT(F803/B803)+(((F803-B803*INT(F803/B803)))/C803)/100))))</f>
        <v>0</v>
      </c>
      <c r="AR803" s="57">
        <f>IF(ISERROR(IF(B803=C803,G803/C803,(INT(G803/B803)+(((G803-B803*INT(G803/B803)))/C803)/100))),0,(IF(B803=C803,G803/C803,(INT(G803/B803)+(((G803-B803*INT(G803/B803)))/C803)/100))))</f>
        <v>0</v>
      </c>
      <c r="AS803" s="57">
        <f>IF(ISERROR(IF(B803=C803,H803/C803,(INT(H803/B803)+(((H803-B803*INT(H803/B803)))/C803)/100))),0,(IF(B803=C803,H803/C803,(INT(H803/B803)+(((H803-B803*INT(H803/B803)))/C803)/100))))</f>
        <v>0</v>
      </c>
      <c r="AT803" s="57">
        <f>IF(ISERROR(IF(B803=C803,I803/C803,(INT(I803/B803)+(((I803-B803*INT(I803/B803)))/C803)/100))),0,(IF(B803=C803,I803/C803,(INT(I803/B803)+(((I803-B803*INT(I803/B803)))/C803)/100))))</f>
        <v>0</v>
      </c>
      <c r="AU803" s="57">
        <f>IF(ISERROR(IF(B803=C803,J803/C803,(INT(J803/B803)+(((J803-B803*INT(J803/B803)))/C803)/100))),0,(IF(B803=C803,J803/C803,(INT(J803/B803)+(((J803-B803*INT(J803/B803)))/C803)/100))))</f>
        <v>0</v>
      </c>
      <c r="AV803" s="57">
        <f>IF(ISERROR(IF(B803=C803,K803/C803,IF((INT(K803/B803)+(((K803-B803*INT(K803/B803)))/C803)/100)&lt;0,(INT(K803/B803)+(((K803-B803*INT(K803/B803)))/C803)/100)+(1-(B803/C803/100)),(INT(K803/B803)+(((K803-B803*INT(K803/B803)))/C803)/100)))),0,IF(B803=C803,K803/C803,IF((INT(K803/B803)+(((K803-B803*INT(K803/B803)))/C803)/100)&lt;0,(INT(K803/B803)+(((K803-B803*INT(K803/B803)))/C803)/100)+(1-(B803/C803/100)),(INT(K803/B803)+(((K803-B803*INT(K803/B803)))/C803)/100))))</f>
        <v>0</v>
      </c>
      <c r="AW803" s="57">
        <f>IF(ISERROR(IF(B803=C803,L803/C803,(INT(L803/B803)+(((L803-B803*INT(L803/B803)))/C803)/100))),0,(IF(B803=C803,L803/C803,(INT(L803/B803)+(((L803-B803*INT(L803/B803)))/C803)/100))))</f>
        <v>0</v>
      </c>
      <c r="AX803" s="57">
        <f>IF(ISERROR(IF(B803=C803,M803/C803,(INT(M803/B803)+(((M803-B803*INT(M803/B803)))/C803)/100))),0,(IF(B803=C803,M803/C803,(INT(M803/B803)+(((M803-B803*INT(M803/B803)))/C803)/100))))</f>
        <v>0</v>
      </c>
      <c r="AY803" s="57">
        <f>IF(ISERROR(IF(B803=C803,N803/C803,IF((INT(N803/B803)+(((N803-B803*INT(N803/B803)))/C803)/100)&lt;0,(INT(N803/B803)+(((N803-B803*INT(N803/B803)))/C803)/100)+(1-(B803/C803/100)),(INT(N803/B803)+(((N803-B803*INT(N803/B803)))/C803)/100)))),0,IF(B803=C803,N803/C803,IF((INT(N803/B803)+(((N803-B803*INT(N803/B803)))/C803)/100)&lt;0,(INT(N803/B803)+(((N803-B803*INT(N803/B803)))/C803)/100)+(1-(B803/C803/100)),(INT(N803/B803)+(((N803-B803*INT(N803/B803)))/C803)/100))))</f>
        <v>0</v>
      </c>
      <c r="AZ803" s="57">
        <f>IF(ISERROR(IF(B803=C803,O803/C803,(INT(O803/B803)+(((O803-B803*INT(O803/B803)))/C803)/100))),0,(IF(B803=C803,O803/C803,(INT(O803/B803)+(((O803-B803*INT(O803/B803)))/C803)/100))))</f>
        <v>0</v>
      </c>
      <c r="BA803" s="57">
        <f>IF(ISERROR(IF(B803=C803,P803/C803,IF((INT(P803/B803)+(((P803-B803*INT(P803/B803)))/C803)/100)&lt;0,(INT(P803/B803)+(((P803-B803*INT(P803/B803)))/C803)/100)+(1-(B803/C803/100)),(INT(P803/B803)+(((P803-B803*INT(P803/B803)))/C803)/100)))),0,IF(B803=C803,P803/C803,IF((INT(P803/B803)+(((P803-B803*INT(P803/B803)))/C803)/100)&lt;0,(INT(P803/B803)+(((P803-B803*INT(P803/B803)))/C803)/100)+(1-(B803/C803/100)),(INT(P803/B803)+(((P803-B803*INT(P803/B803)))/C803)/100))))</f>
        <v>0</v>
      </c>
      <c r="BB803" s="28">
        <f>R803</f>
        <v>0</v>
      </c>
      <c r="BC803" s="28">
        <f>S803</f>
        <v>0</v>
      </c>
      <c r="BD803" s="28">
        <f>AF803</f>
        <v>0</v>
      </c>
      <c r="BE803" s="28">
        <f>T803</f>
        <v>0</v>
      </c>
      <c r="BG803" s="57">
        <f>IF(ISERROR(IF(B803=C803,V803/C803,(INT(V803/B803)+(((V803-B803*INT(V803/B803)))/C803)/100))),0,(IF(B803=C803,V803/C803,(INT(V803/B803)+(((V803-B803*INT(V803/B803)))/C803)/100))))</f>
        <v>0</v>
      </c>
      <c r="BH803" s="57">
        <f>IF(ISERROR(IF(B803=C803,W803/C803,(INT(W803/B803)+(((W803-B803*INT(W803/B803)))/C803)/100))),0,(IF(B803=C803,W803/C803,(INT(W803/B803)+(((W803-B803*INT(W803/B803)))/C803)/100))))</f>
        <v>0</v>
      </c>
      <c r="BI803" s="57">
        <f>IF(ISERROR(IF(B803=C803,X803/C803,(INT(X803/B803)+(((X803-B803*INT(X803/B803)))/C803)/100))),0,(IF(B803=C803,X803/C803,(INT(X803/B803)+(((X803-B803*INT(X803/B803)))/C803)/100))))</f>
        <v>0</v>
      </c>
      <c r="BJ803" s="57">
        <f>IF(ISERROR(IF(B803=C803,Y803/C803,(INT(Y803/B803)+(((Y803-B803*INT(Y803/B803)))/C803)/100))),0,(IF(B803=C803,Y803/C803,(INT(Y803/B803)+(((Y803-B803*INT(Y803/B803)))/C803)/100))))</f>
        <v>0</v>
      </c>
      <c r="BL803" s="57">
        <f>IF(ISERROR(IF(B803=C803,AA803/C803,(INT(AA803/B803)+(((AA803-B803*INT(AA803/B803)))/C803)/100))),0,(IF(B803=C803,AA803/C803,(INT(AA803/B803)+(((AA803-B803*INT(AA803/B803)))/C803)/100))))</f>
        <v>0</v>
      </c>
      <c r="BM803" s="57">
        <f>IF(ISERROR(IF(B803=C803,AB803/C803,(INT(AB803/B803)+(((AB803-B803*INT(AB803/B803)))/C803)/100))),0,(IF(B803=C803,AB803/C803,(INT(AB803/B803)+(((AB803-B803*INT(AB803/B803)))/C803)/100))))</f>
        <v>0</v>
      </c>
      <c r="BN803" s="57">
        <f>IF(ISERROR(IF(B803=C803,AC803/C803,(INT(AC803/B803)+(((AC803-B803*INT(AC803/B803)))/C803)/100))),0,(IF(B803=C803,AC803/C803,(INT(AC803/B803)+(((AC803-B803*INT(AC803/B803)))/C803)/100))))</f>
        <v>0</v>
      </c>
      <c r="BO803" s="57">
        <f>IF(ISERROR(IF(B803=C803,AD803/C803,(INT(AD803/B803)+(((AD803-B803*INT(AD803/B803)))/C803)/100))),0,(IF(B803=C803,AD803/C803,(INT(AD803/B803)+(((AD803-B803*INT(AD803/B803)))/C803)/100))))</f>
        <v>0</v>
      </c>
      <c r="BQ803" s="155"/>
    </row>
    <row r="804" spans="1:69" x14ac:dyDescent="0.35">
      <c r="A804" s="94"/>
      <c r="B804" s="113"/>
      <c r="C804" s="113"/>
      <c r="D804" s="28"/>
      <c r="E804" s="113"/>
      <c r="F804" s="113"/>
      <c r="G804" s="28"/>
      <c r="H804" s="125"/>
      <c r="I804" s="113"/>
      <c r="J804" s="125"/>
      <c r="K804" s="113"/>
      <c r="L804" s="113"/>
      <c r="M804" s="113"/>
      <c r="N804" s="28"/>
      <c r="O804" s="28"/>
      <c r="P804" s="28"/>
      <c r="Q804" s="61"/>
      <c r="R804" s="113"/>
      <c r="S804" s="28"/>
      <c r="T804" s="28"/>
      <c r="V804" s="113"/>
      <c r="W804" s="113"/>
      <c r="X804" s="113"/>
      <c r="Y804" s="113"/>
      <c r="AA804" s="113"/>
      <c r="AB804" s="113"/>
      <c r="AC804" s="113"/>
      <c r="AD804" s="113"/>
      <c r="AF804" s="113"/>
      <c r="AG804" s="28"/>
      <c r="AH804" s="58"/>
      <c r="AI804" s="28"/>
      <c r="AJ804" s="28"/>
      <c r="AK804" s="58"/>
      <c r="AL804" s="28"/>
      <c r="AN804" s="51"/>
      <c r="AO804" s="28"/>
      <c r="AP804" s="28"/>
      <c r="AQ804" s="28"/>
      <c r="AR804" s="28"/>
      <c r="AS804" s="28"/>
      <c r="AT804" s="28"/>
      <c r="AU804" s="28"/>
      <c r="AV804" s="28"/>
      <c r="AW804" s="28"/>
      <c r="AX804" s="28"/>
      <c r="AY804" s="28"/>
      <c r="AZ804" s="28"/>
      <c r="BA804" s="28"/>
      <c r="BB804" s="28"/>
      <c r="BC804" s="28"/>
      <c r="BD804" s="28"/>
      <c r="BE804" s="28"/>
      <c r="BG804" s="28"/>
      <c r="BH804" s="28"/>
      <c r="BI804" s="28"/>
      <c r="BJ804" s="28"/>
      <c r="BL804" s="28"/>
      <c r="BM804" s="28"/>
      <c r="BN804" s="28"/>
      <c r="BO804" s="28"/>
      <c r="BQ804" s="113"/>
    </row>
    <row r="805" spans="1:69" x14ac:dyDescent="0.35">
      <c r="A805" s="135" t="s">
        <v>145</v>
      </c>
      <c r="B805" s="113"/>
      <c r="C805" s="113"/>
      <c r="D805" s="28"/>
      <c r="E805" s="113"/>
      <c r="F805" s="113"/>
      <c r="G805" s="28"/>
      <c r="H805" s="125"/>
      <c r="I805" s="113"/>
      <c r="J805" s="125"/>
      <c r="K805" s="113"/>
      <c r="L805" s="113"/>
      <c r="M805" s="113"/>
      <c r="N805" s="28"/>
      <c r="O805" s="125"/>
      <c r="P805" s="28"/>
      <c r="Q805" s="61"/>
      <c r="R805" s="113"/>
      <c r="S805" s="28"/>
      <c r="T805" s="28"/>
      <c r="V805" s="113"/>
      <c r="W805" s="113"/>
      <c r="X805" s="113"/>
      <c r="Y805" s="113"/>
      <c r="AA805" s="113"/>
      <c r="AB805" s="113"/>
      <c r="AC805" s="113"/>
      <c r="AD805" s="113"/>
      <c r="AF805" s="113"/>
      <c r="AG805" s="28"/>
      <c r="AH805" s="58"/>
      <c r="AI805" s="28"/>
      <c r="AJ805" s="28"/>
      <c r="AK805" s="58"/>
      <c r="AL805" s="28"/>
      <c r="AN805" s="65" t="str">
        <f>A805</f>
        <v>Draught Beers</v>
      </c>
      <c r="AO805" s="28"/>
      <c r="AP805" s="28"/>
      <c r="AQ805" s="28"/>
      <c r="AR805" s="28"/>
      <c r="AS805" s="28"/>
      <c r="AT805" s="28"/>
      <c r="AU805" s="28"/>
      <c r="AV805" s="28"/>
      <c r="AW805" s="28"/>
      <c r="AX805" s="28"/>
      <c r="AY805" s="28"/>
      <c r="AZ805" s="28"/>
      <c r="BA805" s="28"/>
      <c r="BB805" s="28"/>
      <c r="BC805" s="28"/>
      <c r="BD805" s="28"/>
      <c r="BE805" s="28"/>
      <c r="BG805" s="28"/>
      <c r="BH805" s="28"/>
      <c r="BI805" s="28"/>
      <c r="BJ805" s="28"/>
      <c r="BL805" s="28"/>
      <c r="BM805" s="28"/>
      <c r="BN805" s="28"/>
      <c r="BO805" s="28"/>
      <c r="BQ805" s="113"/>
    </row>
    <row r="806" spans="1:69" x14ac:dyDescent="0.35">
      <c r="A806" s="134" t="s">
        <v>144</v>
      </c>
      <c r="B806" s="113">
        <v>50000</v>
      </c>
      <c r="C806" s="113">
        <v>350</v>
      </c>
      <c r="D806" s="28">
        <f>SUM(AA806:AD806)</f>
        <v>439400</v>
      </c>
      <c r="E806" s="113">
        <v>0</v>
      </c>
      <c r="F806" s="113">
        <v>0</v>
      </c>
      <c r="G806" s="28">
        <f>SUM(D806:F806)</f>
        <v>439400</v>
      </c>
      <c r="H806" s="125">
        <v>12250</v>
      </c>
      <c r="I806" s="113">
        <v>0</v>
      </c>
      <c r="J806" s="125">
        <v>0</v>
      </c>
      <c r="K806" s="113">
        <v>-2150</v>
      </c>
      <c r="L806" s="113">
        <v>0</v>
      </c>
      <c r="M806" s="113">
        <v>0</v>
      </c>
      <c r="N806" s="28">
        <f>G806-SUM(H806:M806)</f>
        <v>429300</v>
      </c>
      <c r="O806" s="28">
        <f>SUM(V806:Y806)</f>
        <v>429300</v>
      </c>
      <c r="P806" s="28">
        <f>O806-N806</f>
        <v>0</v>
      </c>
      <c r="Q806" s="61">
        <f>IF(ISERROR(P806/SUM(H806:L806)),"",P806/SUM(H806:L806))</f>
        <v>0</v>
      </c>
      <c r="R806" s="113">
        <v>100</v>
      </c>
      <c r="S806" s="28">
        <f>IF(ISERROR(P806/C806*R806),0,(P806/C806*R806))</f>
        <v>0</v>
      </c>
      <c r="T806" s="60">
        <f>IF(ISERROR(P806/B806*AF806),0,(P806/B806*AF806))</f>
        <v>0</v>
      </c>
      <c r="V806" s="113">
        <f>50000+42800-13500</f>
        <v>79300</v>
      </c>
      <c r="W806" s="113">
        <f>7*50000</f>
        <v>350000</v>
      </c>
      <c r="X806" s="113">
        <v>0</v>
      </c>
      <c r="Y806" s="113">
        <v>0</v>
      </c>
      <c r="AA806" s="113">
        <f>52900-13500</f>
        <v>39400</v>
      </c>
      <c r="AB806" s="113">
        <f>8*50000</f>
        <v>400000</v>
      </c>
      <c r="AC806" s="113">
        <v>0</v>
      </c>
      <c r="AD806" s="113">
        <v>0</v>
      </c>
      <c r="AF806" s="113">
        <v>4545</v>
      </c>
      <c r="AG806" s="28">
        <f>G806-O806</f>
        <v>10100</v>
      </c>
      <c r="AH806" s="58">
        <f>IF(ISERROR(AG806/B806*AF806),0,(AG806/B806*AF806))</f>
        <v>918.09</v>
      </c>
      <c r="AI806" s="28">
        <f>SUM(H806:M806)</f>
        <v>10100</v>
      </c>
      <c r="AJ806" s="28">
        <f>IF(ISERROR(AI806/B806*AF806),0,(AI806/B806*AF806))</f>
        <v>918.09</v>
      </c>
      <c r="AK806" s="58">
        <f>IF(ISERROR(O806/B806*AF806),0,(O806/B806*AF806))</f>
        <v>39023.370000000003</v>
      </c>
      <c r="AL806" s="28">
        <f>IF(ISERROR(H806/B806*AF806),0,(H806/B806*AF806))</f>
        <v>1113.5250000000001</v>
      </c>
      <c r="AN806" s="51" t="str">
        <f>A806</f>
        <v>Foster (Draught)</v>
      </c>
      <c r="AO806" s="57">
        <f>IF(ISERROR(IF(B806=C806,D806/C806,(INT(D806/B806)+(((D806-B806*INT(D806/B806)))/C806)/100))),0,(IF(B806=C806,D806/C806,(INT(D806/B806)+(((D806-B806*INT(D806/B806)))/C806)/100))))</f>
        <v>9.1257142857142863</v>
      </c>
      <c r="AP806" s="57">
        <f>IF(ISERROR(IF(B806=C806,E806/C806,(INT(E806/B806)+(((E806-B806*INT(E806/B806)))/C806)/100))),0,(IF(B806=C806,E806/C806,(INT(E806/B806)+(((E806-B806*INT(E806/B806)))/C806)/100))))</f>
        <v>0</v>
      </c>
      <c r="AQ806" s="57">
        <f>IF(ISERROR(IF(B806=C806,F806/C806,IF((INT(F806/B806)+(((F806-B806*INT(F806/B806)))/C806)/100)&lt;0,(INT(F806/B806)+(((F806-B806*INT(F806/B806)))/C806)/100)+(1-(B806/C806/100)),(INT(F806/B806)+(((F806-B806*INT(F806/B806)))/C806)/100)))),0,IF(B806=C806,F806/C806,IF((INT(F806/B806)+(((F806-B806*INT(F806/B806)))/C806)/100)&lt;0,(INT(F806/B806)+(((F806-B806*INT(F806/B806)))/C806)/100)+(1-(B806/C806/100)),(INT(F806/B806)+(((F806-B806*INT(F806/B806)))/C806)/100))))</f>
        <v>0</v>
      </c>
      <c r="AR806" s="57">
        <f>IF(ISERROR(IF(B806=C806,G806/C806,(INT(G806/B806)+(((G806-B806*INT(G806/B806)))/C806)/100))),0,(IF(B806=C806,G806/C806,(INT(G806/B806)+(((G806-B806*INT(G806/B806)))/C806)/100))))</f>
        <v>9.1257142857142863</v>
      </c>
      <c r="AS806" s="57">
        <f>IF(ISERROR(IF(B806=C806,H806/C806,(INT(H806/B806)+(((H806-B806*INT(H806/B806)))/C806)/100))),0,(IF(B806=C806,H806/C806,(INT(H806/B806)+(((H806-B806*INT(H806/B806)))/C806)/100))))</f>
        <v>0.35</v>
      </c>
      <c r="AT806" s="57">
        <f>IF(ISERROR(IF(B806=C806,I806/C806,(INT(I806/B806)+(((I806-B806*INT(I806/B806)))/C806)/100))),0,(IF(B806=C806,I806/C806,(INT(I806/B806)+(((I806-B806*INT(I806/B806)))/C806)/100))))</f>
        <v>0</v>
      </c>
      <c r="AU806" s="57">
        <f>IF(ISERROR(IF(B806=C806,J806/C806,(INT(J806/B806)+(((J806-B806*INT(J806/B806)))/C806)/100))),0,(IF(B806=C806,J806/C806,(INT(J806/B806)+(((J806-B806*INT(J806/B806)))/C806)/100))))</f>
        <v>0</v>
      </c>
      <c r="AV806" s="57">
        <f>IF(ISERROR(IF(B806=C806,K806/C806,IF((INT(K806/B806)+(((K806-B806*INT(K806/B806)))/C806)/100)&lt;0,(INT(K806/B806)+(((K806-B806*INT(K806/B806)))/C806)/100)+(1-(B806/C806/100)),(INT(K806/B806)+(((K806-B806*INT(K806/B806)))/C806)/100)))),0,IF(B806=C806,K806/C806,IF((INT(K806/B806)+(((K806-B806*INT(K806/B806)))/C806)/100)&lt;0,(INT(K806/B806)+(((K806-B806*INT(K806/B806)))/C806)/100)+(1-(B806/C806/100)),(INT(K806/B806)+(((K806-B806*INT(K806/B806)))/C806)/100))))</f>
        <v>0.36714285714285722</v>
      </c>
      <c r="AW806" s="57">
        <f>IF(ISERROR(IF(B806=C806,L806/C806,(INT(L806/B806)+(((L806-B806*INT(L806/B806)))/C806)/100))),0,(IF(B806=C806,L806/C806,(INT(L806/B806)+(((L806-B806*INT(L806/B806)))/C806)/100))))</f>
        <v>0</v>
      </c>
      <c r="AX806" s="57">
        <f>IF(ISERROR(IF(B806=C806,M806/C806,(INT(M806/B806)+(((M806-B806*INT(M806/B806)))/C806)/100))),0,(IF(B806=C806,M806/C806,(INT(M806/B806)+(((M806-B806*INT(M806/B806)))/C806)/100))))</f>
        <v>0</v>
      </c>
      <c r="AY806" s="57">
        <f>IF(ISERROR(IF(B806=C806,N806/C806,IF((INT(N806/B806)+(((N806-B806*INT(N806/B806)))/C806)/100)&lt;0,(INT(N806/B806)+(((N806-B806*INT(N806/B806)))/C806)/100)+(1-(B806/C806/100)),(INT(N806/B806)+(((N806-B806*INT(N806/B806)))/C806)/100)))),0,IF(B806=C806,N806/C806,IF((INT(N806/B806)+(((N806-B806*INT(N806/B806)))/C806)/100)&lt;0,(INT(N806/B806)+(((N806-B806*INT(N806/B806)))/C806)/100)+(1-(B806/C806/100)),(INT(N806/B806)+(((N806-B806*INT(N806/B806)))/C806)/100))))</f>
        <v>8.8371428571428563</v>
      </c>
      <c r="AZ806" s="57">
        <f>IF(ISERROR(IF(B806=C806,O806/C806,(INT(O806/B806)+(((O806-B806*INT(O806/B806)))/C806)/100))),0,(IF(B806=C806,O806/C806,(INT(O806/B806)+(((O806-B806*INT(O806/B806)))/C806)/100))))</f>
        <v>8.8371428571428563</v>
      </c>
      <c r="BA806" s="57">
        <f>IF(ISERROR(IF(B806=C806,P806/C806,IF((INT(P806/B806)+(((P806-B806*INT(P806/B806)))/C806)/100)&lt;0,(INT(P806/B806)+(((P806-B806*INT(P806/B806)))/C806)/100)+(1-(B806/C806/100)),(INT(P806/B806)+(((P806-B806*INT(P806/B806)))/C806)/100)))),0,IF(B806=C806,P806/C806,IF((INT(P806/B806)+(((P806-B806*INT(P806/B806)))/C806)/100)&lt;0,(INT(P806/B806)+(((P806-B806*INT(P806/B806)))/C806)/100)+(1-(B806/C806/100)),(INT(P806/B806)+(((P806-B806*INT(P806/B806)))/C806)/100))))</f>
        <v>0</v>
      </c>
      <c r="BB806" s="28">
        <f>R806</f>
        <v>100</v>
      </c>
      <c r="BC806" s="28">
        <f>S806</f>
        <v>0</v>
      </c>
      <c r="BD806" s="28">
        <f>AF806</f>
        <v>4545</v>
      </c>
      <c r="BE806" s="28">
        <f>T806</f>
        <v>0</v>
      </c>
      <c r="BG806" s="57">
        <f>IF(ISERROR(IF(B806=C806,V806/C806,(INT(V806/B806)+(((V806-B806*INT(V806/B806)))/C806)/100))),0,(IF(B806=C806,V806/C806,(INT(V806/B806)+(((V806-B806*INT(V806/B806)))/C806)/100))))</f>
        <v>1.8371428571428572</v>
      </c>
      <c r="BH806" s="57">
        <f>IF(ISERROR(IF(B806=C806,W806/C806,(INT(W806/B806)+(((W806-B806*INT(W806/B806)))/C806)/100))),0,(IF(B806=C806,W806/C806,(INT(W806/B806)+(((W806-B806*INT(W806/B806)))/C806)/100))))</f>
        <v>7</v>
      </c>
      <c r="BI806" s="57">
        <f>IF(ISERROR(IF(B806=C806,X806/C806,(INT(X806/B806)+(((X806-B806*INT(X806/B806)))/C806)/100))),0,(IF(B806=C806,X806/C806,(INT(X806/B806)+(((X806-B806*INT(X806/B806)))/C806)/100))))</f>
        <v>0</v>
      </c>
      <c r="BJ806" s="57">
        <f>IF(ISERROR(IF(B806=C806,Y806/C806,(INT(Y806/B806)+(((Y806-B806*INT(Y806/B806)))/C806)/100))),0,(IF(B806=C806,Y806/C806,(INT(Y806/B806)+(((Y806-B806*INT(Y806/B806)))/C806)/100))))</f>
        <v>0</v>
      </c>
      <c r="BL806" s="57">
        <f>IF(ISERROR(IF(B806=C806,AA806/C806,(INT(AA806/B806)+(((AA806-B806*INT(AA806/B806)))/C806)/100))),0,(IF(B806=C806,AA806/C806,(INT(AA806/B806)+(((AA806-B806*INT(AA806/B806)))/C806)/100))))</f>
        <v>1.1257142857142857</v>
      </c>
      <c r="BM806" s="57">
        <f>IF(ISERROR(IF(B806=C806,AB806/C806,(INT(AB806/B806)+(((AB806-B806*INT(AB806/B806)))/C806)/100))),0,(IF(B806=C806,AB806/C806,(INT(AB806/B806)+(((AB806-B806*INT(AB806/B806)))/C806)/100))))</f>
        <v>8</v>
      </c>
      <c r="BN806" s="57">
        <f>IF(ISERROR(IF(B806=C806,AC806/C806,(INT(AC806/B806)+(((AC806-B806*INT(AC806/B806)))/C806)/100))),0,(IF(B806=C806,AC806/C806,(INT(AC806/B806)+(((AC806-B806*INT(AC806/B806)))/C806)/100))))</f>
        <v>0</v>
      </c>
      <c r="BO806" s="57">
        <f>IF(ISERROR(IF(B806=C806,AD806/C806,(INT(AD806/B806)+(((AD806-B806*INT(AD806/B806)))/C806)/100))),0,(IF(B806=C806,AD806/C806,(INT(AD806/B806)+(((AD806-B806*INT(AD806/B806)))/C806)/100))))</f>
        <v>0</v>
      </c>
      <c r="BQ806" s="155" t="s">
        <v>141</v>
      </c>
    </row>
    <row r="807" spans="1:69" x14ac:dyDescent="0.35">
      <c r="A807" s="94" t="s">
        <v>143</v>
      </c>
      <c r="B807" s="113">
        <v>50000</v>
      </c>
      <c r="C807" s="113">
        <v>350</v>
      </c>
      <c r="D807" s="28">
        <f>SUM(AA807:AD807)</f>
        <v>150000</v>
      </c>
      <c r="E807" s="113">
        <f>8*50000</f>
        <v>400000</v>
      </c>
      <c r="F807" s="113">
        <v>0</v>
      </c>
      <c r="G807" s="28">
        <f>SUM(D807:F807)</f>
        <v>550000</v>
      </c>
      <c r="H807" s="125">
        <v>96550</v>
      </c>
      <c r="I807" s="113">
        <f>2*350+2*350</f>
        <v>1400</v>
      </c>
      <c r="J807" s="125">
        <v>0</v>
      </c>
      <c r="K807" s="113">
        <v>2150</v>
      </c>
      <c r="L807" s="113">
        <v>0</v>
      </c>
      <c r="M807" s="113">
        <v>0</v>
      </c>
      <c r="N807" s="28">
        <f>G807-SUM(H807:M807)</f>
        <v>449900</v>
      </c>
      <c r="O807" s="28">
        <f>SUM(V807:Y807)</f>
        <v>450000</v>
      </c>
      <c r="P807" s="28">
        <f>O807-N807</f>
        <v>100</v>
      </c>
      <c r="Q807" s="61">
        <f>IF(ISERROR(P807/SUM(H807:L807)),"",P807/SUM(H807:L807))</f>
        <v>9.99000999000999E-4</v>
      </c>
      <c r="R807" s="113">
        <v>110</v>
      </c>
      <c r="S807" s="28">
        <f>IF(ISERROR(P807/C807*R807),0,(P807/C807*R807))</f>
        <v>31.428571428571427</v>
      </c>
      <c r="T807" s="60">
        <f>IF(ISERROR(P807/B807*AF807),0,(P807/B807*AF807))</f>
        <v>9.0905000000000005</v>
      </c>
      <c r="V807" s="113">
        <v>50000</v>
      </c>
      <c r="W807" s="113">
        <f>8*50000</f>
        <v>400000</v>
      </c>
      <c r="X807" s="113">
        <v>0</v>
      </c>
      <c r="Y807" s="113">
        <v>0</v>
      </c>
      <c r="AA807" s="113">
        <v>0</v>
      </c>
      <c r="AB807" s="113">
        <f>3*50000</f>
        <v>150000</v>
      </c>
      <c r="AC807" s="113">
        <v>0</v>
      </c>
      <c r="AD807" s="113">
        <v>0</v>
      </c>
      <c r="AF807" s="113">
        <v>4545.25</v>
      </c>
      <c r="AG807" s="28">
        <f>G807-O807</f>
        <v>100000</v>
      </c>
      <c r="AH807" s="58">
        <f>IF(ISERROR(AG807/B807*AF807),0,(AG807/B807*AF807))</f>
        <v>9090.5</v>
      </c>
      <c r="AI807" s="28">
        <f>SUM(H807:M807)</f>
        <v>100100</v>
      </c>
      <c r="AJ807" s="28">
        <f>IF(ISERROR(AI807/B807*AF807),0,(AI807/B807*AF807))</f>
        <v>9099.5904999999984</v>
      </c>
      <c r="AK807" s="58">
        <f>IF(ISERROR(O807/B807*AF807),0,(O807/B807*AF807))</f>
        <v>40907.25</v>
      </c>
      <c r="AL807" s="28">
        <f>IF(ISERROR(H807/B807*AF807),0,(H807/B807*AF807))</f>
        <v>8776.8777499999997</v>
      </c>
      <c r="AN807" s="51" t="str">
        <f>A807</f>
        <v>Kingfisher(Draught)</v>
      </c>
      <c r="AO807" s="57">
        <f>IF(ISERROR(IF(B807=C807,D807/C807,(INT(D807/B807)+(((D807-B807*INT(D807/B807)))/C807)/100))),0,(IF(B807=C807,D807/C807,(INT(D807/B807)+(((D807-B807*INT(D807/B807)))/C807)/100))))</f>
        <v>3</v>
      </c>
      <c r="AP807" s="57">
        <f>IF(ISERROR(IF(B807=C807,E807/C807,(INT(E807/B807)+(((E807-B807*INT(E807/B807)))/C807)/100))),0,(IF(B807=C807,E807/C807,(INT(E807/B807)+(((E807-B807*INT(E807/B807)))/C807)/100))))</f>
        <v>8</v>
      </c>
      <c r="AQ807" s="57">
        <f>IF(ISERROR(IF(B807=C807,F807/C807,IF((INT(F807/B807)+(((F807-B807*INT(F807/B807)))/C807)/100)&lt;0,(INT(F807/B807)+(((F807-B807*INT(F807/B807)))/C807)/100)+(1-(B807/C807/100)),(INT(F807/B807)+(((F807-B807*INT(F807/B807)))/C807)/100)))),0,IF(B807=C807,F807/C807,IF((INT(F807/B807)+(((F807-B807*INT(F807/B807)))/C807)/100)&lt;0,(INT(F807/B807)+(((F807-B807*INT(F807/B807)))/C807)/100)+(1-(B807/C807/100)),(INT(F807/B807)+(((F807-B807*INT(F807/B807)))/C807)/100))))</f>
        <v>0</v>
      </c>
      <c r="AR807" s="57">
        <f>IF(ISERROR(IF(B807=C807,G807/C807,(INT(G807/B807)+(((G807-B807*INT(G807/B807)))/C807)/100))),0,(IF(B807=C807,G807/C807,(INT(G807/B807)+(((G807-B807*INT(G807/B807)))/C807)/100))))</f>
        <v>11</v>
      </c>
      <c r="AS807" s="57">
        <f>IF(ISERROR(IF(B807=C807,H807/C807,(INT(H807/B807)+(((H807-B807*INT(H807/B807)))/C807)/100))),0,(IF(B807=C807,H807/C807,(INT(H807/B807)+(((H807-B807*INT(H807/B807)))/C807)/100))))</f>
        <v>2.33</v>
      </c>
      <c r="AT807" s="57">
        <f>IF(ISERROR(IF(B807=C807,I807/C807,(INT(I807/B807)+(((I807-B807*INT(I807/B807)))/C807)/100))),0,(IF(B807=C807,I807/C807,(INT(I807/B807)+(((I807-B807*INT(I807/B807)))/C807)/100))))</f>
        <v>0.04</v>
      </c>
      <c r="AU807" s="57">
        <f>IF(ISERROR(IF(B807=C807,J807/C807,(INT(J807/B807)+(((J807-B807*INT(J807/B807)))/C807)/100))),0,(IF(B807=C807,J807/C807,(INT(J807/B807)+(((J807-B807*INT(J807/B807)))/C807)/100))))</f>
        <v>0</v>
      </c>
      <c r="AV807" s="57">
        <f>IF(ISERROR(IF(B807=C807,K807/C807,IF((INT(K807/B807)+(((K807-B807*INT(K807/B807)))/C807)/100)&lt;0,(INT(K807/B807)+(((K807-B807*INT(K807/B807)))/C807)/100)+(1-(B807/C807/100)),(INT(K807/B807)+(((K807-B807*INT(K807/B807)))/C807)/100)))),0,IF(B807=C807,K807/C807,IF((INT(K807/B807)+(((K807-B807*INT(K807/B807)))/C807)/100)&lt;0,(INT(K807/B807)+(((K807-B807*INT(K807/B807)))/C807)/100)+(1-(B807/C807/100)),(INT(K807/B807)+(((K807-B807*INT(K807/B807)))/C807)/100))))</f>
        <v>6.142857142857143E-2</v>
      </c>
      <c r="AW807" s="57">
        <f>IF(ISERROR(IF(B807=C807,L807/C807,(INT(L807/B807)+(((L807-B807*INT(L807/B807)))/C807)/100))),0,(IF(B807=C807,L807/C807,(INT(L807/B807)+(((L807-B807*INT(L807/B807)))/C807)/100))))</f>
        <v>0</v>
      </c>
      <c r="AX807" s="57">
        <f>IF(ISERROR(IF(B807=C807,M807/C807,(INT(M807/B807)+(((M807-B807*INT(M807/B807)))/C807)/100))),0,(IF(B807=C807,M807/C807,(INT(M807/B807)+(((M807-B807*INT(M807/B807)))/C807)/100))))</f>
        <v>0</v>
      </c>
      <c r="AY807" s="57">
        <f>IF(ISERROR(IF(B807=C807,N807/C807,IF((INT(N807/B807)+(((N807-B807*INT(N807/B807)))/C807)/100)&lt;0,(INT(N807/B807)+(((N807-B807*INT(N807/B807)))/C807)/100)+(1-(B807/C807/100)),(INT(N807/B807)+(((N807-B807*INT(N807/B807)))/C807)/100)))),0,IF(B807=C807,N807/C807,IF((INT(N807/B807)+(((N807-B807*INT(N807/B807)))/C807)/100)&lt;0,(INT(N807/B807)+(((N807-B807*INT(N807/B807)))/C807)/100)+(1-(B807/C807/100)),(INT(N807/B807)+(((N807-B807*INT(N807/B807)))/C807)/100))))</f>
        <v>9.4257142857142853</v>
      </c>
      <c r="AZ807" s="57">
        <f>IF(ISERROR(IF(B807=C807,O807/C807,(INT(O807/B807)+(((O807-B807*INT(O807/B807)))/C807)/100))),0,(IF(B807=C807,O807/C807,(INT(O807/B807)+(((O807-B807*INT(O807/B807)))/C807)/100))))</f>
        <v>9</v>
      </c>
      <c r="BA807" s="57">
        <f>IF(ISERROR(IF(B807=C807,P807/C807,IF((INT(P807/B807)+(((P807-B807*INT(P807/B807)))/C807)/100)&lt;0,(INT(P807/B807)+(((P807-B807*INT(P807/B807)))/C807)/100)+(1-(B807/C807/100)),(INT(P807/B807)+(((P807-B807*INT(P807/B807)))/C807)/100)))),0,IF(B807=C807,P807/C807,IF((INT(P807/B807)+(((P807-B807*INT(P807/B807)))/C807)/100)&lt;0,(INT(P807/B807)+(((P807-B807*INT(P807/B807)))/C807)/100)+(1-(B807/C807/100)),(INT(P807/B807)+(((P807-B807*INT(P807/B807)))/C807)/100))))</f>
        <v>2.8571428571428571E-3</v>
      </c>
      <c r="BB807" s="28">
        <f>R807</f>
        <v>110</v>
      </c>
      <c r="BC807" s="28">
        <f>S807</f>
        <v>31.428571428571427</v>
      </c>
      <c r="BD807" s="28">
        <f>AF807</f>
        <v>4545.25</v>
      </c>
      <c r="BE807" s="28">
        <f>T807</f>
        <v>9.0905000000000005</v>
      </c>
      <c r="BG807" s="57">
        <f>IF(ISERROR(IF(B807=C807,V807/C807,(INT(V807/B807)+(((V807-B807*INT(V807/B807)))/C807)/100))),0,(IF(B807=C807,V807/C807,(INT(V807/B807)+(((V807-B807*INT(V807/B807)))/C807)/100))))</f>
        <v>1</v>
      </c>
      <c r="BH807" s="57">
        <f>IF(ISERROR(IF(B807=C807,W807/C807,(INT(W807/B807)+(((W807-B807*INT(W807/B807)))/C807)/100))),0,(IF(B807=C807,W807/C807,(INT(W807/B807)+(((W807-B807*INT(W807/B807)))/C807)/100))))</f>
        <v>8</v>
      </c>
      <c r="BI807" s="57">
        <f>IF(ISERROR(IF(B807=C807,X807/C807,(INT(X807/B807)+(((X807-B807*INT(X807/B807)))/C807)/100))),0,(IF(B807=C807,X807/C807,(INT(X807/B807)+(((X807-B807*INT(X807/B807)))/C807)/100))))</f>
        <v>0</v>
      </c>
      <c r="BJ807" s="57">
        <f>IF(ISERROR(IF(B807=C807,Y807/C807,(INT(Y807/B807)+(((Y807-B807*INT(Y807/B807)))/C807)/100))),0,(IF(B807=C807,Y807/C807,(INT(Y807/B807)+(((Y807-B807*INT(Y807/B807)))/C807)/100))))</f>
        <v>0</v>
      </c>
      <c r="BL807" s="57">
        <f>IF(ISERROR(IF(B807=C807,AA807/C807,(INT(AA807/B807)+(((AA807-B807*INT(AA807/B807)))/C807)/100))),0,(IF(B807=C807,AA807/C807,(INT(AA807/B807)+(((AA807-B807*INT(AA807/B807)))/C807)/100))))</f>
        <v>0</v>
      </c>
      <c r="BM807" s="57">
        <f>IF(ISERROR(IF(B807=C807,AB807/C807,(INT(AB807/B807)+(((AB807-B807*INT(AB807/B807)))/C807)/100))),0,(IF(B807=C807,AB807/C807,(INT(AB807/B807)+(((AB807-B807*INT(AB807/B807)))/C807)/100))))</f>
        <v>3</v>
      </c>
      <c r="BN807" s="57">
        <f>IF(ISERROR(IF(B807=C807,AC807/C807,(INT(AC807/B807)+(((AC807-B807*INT(AC807/B807)))/C807)/100))),0,(IF(B807=C807,AC807/C807,(INT(AC807/B807)+(((AC807-B807*INT(AC807/B807)))/C807)/100))))</f>
        <v>0</v>
      </c>
      <c r="BO807" s="57">
        <f>IF(ISERROR(IF(B807=C807,AD807/C807,(INT(AD807/B807)+(((AD807-B807*INT(AD807/B807)))/C807)/100))),0,(IF(B807=C807,AD807/C807,(INT(AD807/B807)+(((AD807-B807*INT(AD807/B807)))/C807)/100))))</f>
        <v>0</v>
      </c>
      <c r="BQ807" s="155" t="s">
        <v>141</v>
      </c>
    </row>
    <row r="808" spans="1:69" x14ac:dyDescent="0.35">
      <c r="A808" s="134" t="s">
        <v>142</v>
      </c>
      <c r="B808" s="113">
        <v>50000</v>
      </c>
      <c r="C808" s="113">
        <v>350</v>
      </c>
      <c r="D808" s="28">
        <f>SUM(AA808:AD808)</f>
        <v>270000</v>
      </c>
      <c r="E808" s="113">
        <v>0</v>
      </c>
      <c r="F808" s="113">
        <v>0</v>
      </c>
      <c r="G808" s="28">
        <f>SUM(D808:F808)</f>
        <v>270000</v>
      </c>
      <c r="H808" s="125">
        <v>0</v>
      </c>
      <c r="I808" s="113">
        <v>0</v>
      </c>
      <c r="J808" s="125">
        <v>0</v>
      </c>
      <c r="K808" s="113">
        <v>0</v>
      </c>
      <c r="L808" s="113">
        <v>0</v>
      </c>
      <c r="M808" s="113">
        <v>0</v>
      </c>
      <c r="N808" s="28">
        <f>G808-SUM(H808:M808)</f>
        <v>270000</v>
      </c>
      <c r="O808" s="28">
        <f>SUM(V808:Y808)</f>
        <v>270000</v>
      </c>
      <c r="P808" s="28">
        <f>O808-N808</f>
        <v>0</v>
      </c>
      <c r="Q808" s="61" t="str">
        <f>IF(ISERROR(P808/SUM(H808:L808)),"",P808/SUM(H808:L808))</f>
        <v/>
      </c>
      <c r="R808" s="113">
        <v>110</v>
      </c>
      <c r="S808" s="28">
        <f>IF(ISERROR(P808/C808*R808),0,(P808/C808*R808))</f>
        <v>0</v>
      </c>
      <c r="T808" s="60">
        <f>IF(ISERROR(P808/B808*AF808),0,(P808/B808*AF808))</f>
        <v>0</v>
      </c>
      <c r="V808" s="113">
        <v>0</v>
      </c>
      <c r="W808" s="113">
        <v>270000</v>
      </c>
      <c r="X808" s="113">
        <v>0</v>
      </c>
      <c r="Y808" s="113">
        <v>0</v>
      </c>
      <c r="AA808" s="113">
        <v>0</v>
      </c>
      <c r="AB808" s="113">
        <v>270000</v>
      </c>
      <c r="AC808" s="113">
        <v>0</v>
      </c>
      <c r="AD808" s="113">
        <v>0</v>
      </c>
      <c r="AF808" s="113">
        <v>4545.25</v>
      </c>
      <c r="AG808" s="28">
        <f>G808-O808</f>
        <v>0</v>
      </c>
      <c r="AH808" s="58">
        <f>IF(ISERROR(AG808/B808*AF808),0,(AG808/B808*AF808))</f>
        <v>0</v>
      </c>
      <c r="AI808" s="28">
        <f>SUM(H808:M808)</f>
        <v>0</v>
      </c>
      <c r="AJ808" s="28">
        <f>IF(ISERROR(AI808/B808*AF808),0,(AI808/B808*AF808))</f>
        <v>0</v>
      </c>
      <c r="AK808" s="58">
        <f>IF(ISERROR(O808/B808*AF808),0,(O808/B808*AF808))</f>
        <v>24544.350000000002</v>
      </c>
      <c r="AL808" s="28">
        <f>IF(ISERROR(H808/B808*AF808),0,(H808/B808*AF808))</f>
        <v>0</v>
      </c>
      <c r="AN808" s="51" t="str">
        <f>A808</f>
        <v>Foster (Draught) Spoilage</v>
      </c>
      <c r="AO808" s="57">
        <f>IF(ISERROR(IF(B808=C808,D808/C808,(INT(D808/B808)+(((D808-B808*INT(D808/B808)))/C808)/100))),0,(IF(B808=C808,D808/C808,(INT(D808/B808)+(((D808-B808*INT(D808/B808)))/C808)/100))))</f>
        <v>5.5714285714285712</v>
      </c>
      <c r="AP808" s="57">
        <f>IF(ISERROR(IF(B808=C808,E808/C808,(INT(E808/B808)+(((E808-B808*INT(E808/B808)))/C808)/100))),0,(IF(B808=C808,E808/C808,(INT(E808/B808)+(((E808-B808*INT(E808/B808)))/C808)/100))))</f>
        <v>0</v>
      </c>
      <c r="AQ808" s="57">
        <f>IF(ISERROR(IF(B808=C808,F808/C808,IF((INT(F808/B808)+(((F808-B808*INT(F808/B808)))/C808)/100)&lt;0,(INT(F808/B808)+(((F808-B808*INT(F808/B808)))/C808)/100)+(1-(B808/C808/100)),(INT(F808/B808)+(((F808-B808*INT(F808/B808)))/C808)/100)))),0,IF(B808=C808,F808/C808,IF((INT(F808/B808)+(((F808-B808*INT(F808/B808)))/C808)/100)&lt;0,(INT(F808/B808)+(((F808-B808*INT(F808/B808)))/C808)/100)+(1-(B808/C808/100)),(INT(F808/B808)+(((F808-B808*INT(F808/B808)))/C808)/100))))</f>
        <v>0</v>
      </c>
      <c r="AR808" s="57">
        <f>IF(ISERROR(IF(B808=C808,G808/C808,(INT(G808/B808)+(((G808-B808*INT(G808/B808)))/C808)/100))),0,(IF(B808=C808,G808/C808,(INT(G808/B808)+(((G808-B808*INT(G808/B808)))/C808)/100))))</f>
        <v>5.5714285714285712</v>
      </c>
      <c r="AS808" s="57">
        <f>IF(ISERROR(IF(B808=C808,H808/C808,(INT(H808/B808)+(((H808-B808*INT(H808/B808)))/C808)/100))),0,(IF(B808=C808,H808/C808,(INT(H808/B808)+(((H808-B808*INT(H808/B808)))/C808)/100))))</f>
        <v>0</v>
      </c>
      <c r="AT808" s="57">
        <f>IF(ISERROR(IF(B808=C808,I808/C808,(INT(I808/B808)+(((I808-B808*INT(I808/B808)))/C808)/100))),0,(IF(B808=C808,I808/C808,(INT(I808/B808)+(((I808-B808*INT(I808/B808)))/C808)/100))))</f>
        <v>0</v>
      </c>
      <c r="AU808" s="57">
        <f>IF(ISERROR(IF(B808=C808,J808/C808,(INT(J808/B808)+(((J808-B808*INT(J808/B808)))/C808)/100))),0,(IF(B808=C808,J808/C808,(INT(J808/B808)+(((J808-B808*INT(J808/B808)))/C808)/100))))</f>
        <v>0</v>
      </c>
      <c r="AV808" s="57">
        <f>IF(ISERROR(IF(B808=C808,K808/C808,IF((INT(K808/B808)+(((K808-B808*INT(K808/B808)))/C808)/100)&lt;0,(INT(K808/B808)+(((K808-B808*INT(K808/B808)))/C808)/100)+(1-(B808/C808/100)),(INT(K808/B808)+(((K808-B808*INT(K808/B808)))/C808)/100)))),0,IF(B808=C808,K808/C808,IF((INT(K808/B808)+(((K808-B808*INT(K808/B808)))/C808)/100)&lt;0,(INT(K808/B808)+(((K808-B808*INT(K808/B808)))/C808)/100)+(1-(B808/C808/100)),(INT(K808/B808)+(((K808-B808*INT(K808/B808)))/C808)/100))))</f>
        <v>0</v>
      </c>
      <c r="AW808" s="57">
        <f>IF(ISERROR(IF(B808=C808,L808/C808,(INT(L808/B808)+(((L808-B808*INT(L808/B808)))/C808)/100))),0,(IF(B808=C808,L808/C808,(INT(L808/B808)+(((L808-B808*INT(L808/B808)))/C808)/100))))</f>
        <v>0</v>
      </c>
      <c r="AX808" s="57">
        <f>IF(ISERROR(IF(B808=C808,M808/C808,(INT(M808/B808)+(((M808-B808*INT(M808/B808)))/C808)/100))),0,(IF(B808=C808,M808/C808,(INT(M808/B808)+(((M808-B808*INT(M808/B808)))/C808)/100))))</f>
        <v>0</v>
      </c>
      <c r="AY808" s="57">
        <f>IF(ISERROR(IF(B808=C808,N808/C808,IF((INT(N808/B808)+(((N808-B808*INT(N808/B808)))/C808)/100)&lt;0,(INT(N808/B808)+(((N808-B808*INT(N808/B808)))/C808)/100)+(1-(B808/C808/100)),(INT(N808/B808)+(((N808-B808*INT(N808/B808)))/C808)/100)))),0,IF(B808=C808,N808/C808,IF((INT(N808/B808)+(((N808-B808*INT(N808/B808)))/C808)/100)&lt;0,(INT(N808/B808)+(((N808-B808*INT(N808/B808)))/C808)/100)+(1-(B808/C808/100)),(INT(N808/B808)+(((N808-B808*INT(N808/B808)))/C808)/100))))</f>
        <v>5.5714285714285712</v>
      </c>
      <c r="AZ808" s="57">
        <f>IF(ISERROR(IF(B808=C808,O808/C808,(INT(O808/B808)+(((O808-B808*INT(O808/B808)))/C808)/100))),0,(IF(B808=C808,O808/C808,(INT(O808/B808)+(((O808-B808*INT(O808/B808)))/C808)/100))))</f>
        <v>5.5714285714285712</v>
      </c>
      <c r="BA808" s="57">
        <f>IF(ISERROR(IF(B808=C808,P808/C808,IF((INT(P808/B808)+(((P808-B808*INT(P808/B808)))/C808)/100)&lt;0,(INT(P808/B808)+(((P808-B808*INT(P808/B808)))/C808)/100)+(1-(B808/C808/100)),(INT(P808/B808)+(((P808-B808*INT(P808/B808)))/C808)/100)))),0,IF(B808=C808,P808/C808,IF((INT(P808/B808)+(((P808-B808*INT(P808/B808)))/C808)/100)&lt;0,(INT(P808/B808)+(((P808-B808*INT(P808/B808)))/C808)/100)+(1-(B808/C808/100)),(INT(P808/B808)+(((P808-B808*INT(P808/B808)))/C808)/100))))</f>
        <v>0</v>
      </c>
      <c r="BB808" s="28">
        <f>R808</f>
        <v>110</v>
      </c>
      <c r="BC808" s="28">
        <f>S808</f>
        <v>0</v>
      </c>
      <c r="BD808" s="28">
        <f>AF808</f>
        <v>4545.25</v>
      </c>
      <c r="BE808" s="28">
        <f>T808</f>
        <v>0</v>
      </c>
      <c r="BG808" s="57">
        <f>IF(ISERROR(IF(B808=C808,V808/C808,(INT(V808/B808)+(((V808-B808*INT(V808/B808)))/C808)/100))),0,(IF(B808=C808,V808/C808,(INT(V808/B808)+(((V808-B808*INT(V808/B808)))/C808)/100))))</f>
        <v>0</v>
      </c>
      <c r="BH808" s="57">
        <f>IF(ISERROR(IF(B808=C808,W808/C808,(INT(W808/B808)+(((W808-B808*INT(W808/B808)))/C808)/100))),0,(IF(B808=C808,W808/C808,(INT(W808/B808)+(((W808-B808*INT(W808/B808)))/C808)/100))))</f>
        <v>5.5714285714285712</v>
      </c>
      <c r="BI808" s="57">
        <f>IF(ISERROR(IF(B808=C808,X808/C808,(INT(X808/B808)+(((X808-B808*INT(X808/B808)))/C808)/100))),0,(IF(B808=C808,X808/C808,(INT(X808/B808)+(((X808-B808*INT(X808/B808)))/C808)/100))))</f>
        <v>0</v>
      </c>
      <c r="BJ808" s="57">
        <f>IF(ISERROR(IF(B808=C808,Y808/C808,(INT(Y808/B808)+(((Y808-B808*INT(Y808/B808)))/C808)/100))),0,(IF(B808=C808,Y808/C808,(INT(Y808/B808)+(((Y808-B808*INT(Y808/B808)))/C808)/100))))</f>
        <v>0</v>
      </c>
      <c r="BL808" s="57">
        <f>IF(ISERROR(IF(B808=C808,AA808/C808,(INT(AA808/B808)+(((AA808-B808*INT(AA808/B808)))/C808)/100))),0,(IF(B808=C808,AA808/C808,(INT(AA808/B808)+(((AA808-B808*INT(AA808/B808)))/C808)/100))))</f>
        <v>0</v>
      </c>
      <c r="BM808" s="57">
        <f>IF(ISERROR(IF(B808=C808,AB808/C808,(INT(AB808/B808)+(((AB808-B808*INT(AB808/B808)))/C808)/100))),0,(IF(B808=C808,AB808/C808,(INT(AB808/B808)+(((AB808-B808*INT(AB808/B808)))/C808)/100))))</f>
        <v>5.5714285714285712</v>
      </c>
      <c r="BN808" s="57">
        <f>IF(ISERROR(IF(B808=C808,AC808/C808,(INT(AC808/B808)+(((AC808-B808*INT(AC808/B808)))/C808)/100))),0,(IF(B808=C808,AC808/C808,(INT(AC808/B808)+(((AC808-B808*INT(AC808/B808)))/C808)/100))))</f>
        <v>0</v>
      </c>
      <c r="BO808" s="57">
        <f>IF(ISERROR(IF(B808=C808,AD808/C808,(INT(AD808/B808)+(((AD808-B808*INT(AD808/B808)))/C808)/100))),0,(IF(B808=C808,AD808/C808,(INT(AD808/B808)+(((AD808-B808*INT(AD808/B808)))/C808)/100))))</f>
        <v>0</v>
      </c>
      <c r="BQ808" s="155" t="s">
        <v>141</v>
      </c>
    </row>
    <row r="809" spans="1:69" hidden="1" x14ac:dyDescent="0.35">
      <c r="A809" s="94"/>
      <c r="B809" s="113">
        <v>0</v>
      </c>
      <c r="C809" s="113">
        <v>0</v>
      </c>
      <c r="D809" s="28">
        <f>SUM(AA809:AD809)</f>
        <v>0</v>
      </c>
      <c r="E809" s="113">
        <v>0</v>
      </c>
      <c r="F809" s="113">
        <v>0</v>
      </c>
      <c r="G809" s="28">
        <f>SUM(D809:F809)</f>
        <v>0</v>
      </c>
      <c r="H809" s="125">
        <v>0</v>
      </c>
      <c r="I809" s="113">
        <v>0</v>
      </c>
      <c r="J809" s="125">
        <v>0</v>
      </c>
      <c r="K809" s="113">
        <v>0</v>
      </c>
      <c r="L809" s="113">
        <v>0</v>
      </c>
      <c r="M809" s="113">
        <v>0</v>
      </c>
      <c r="N809" s="28">
        <f>G809-SUM(H809:M809)</f>
        <v>0</v>
      </c>
      <c r="O809" s="28">
        <f>SUM(V809:Y809)</f>
        <v>0</v>
      </c>
      <c r="P809" s="28">
        <f>O809-N809</f>
        <v>0</v>
      </c>
      <c r="Q809" s="61" t="str">
        <f>IF(ISERROR(P809/SUM(H809:L809)),"",P809/SUM(H809:L809))</f>
        <v/>
      </c>
      <c r="R809" s="113">
        <v>0</v>
      </c>
      <c r="S809" s="28">
        <f>IF(ISERROR(P809/C809*R809),0,(P809/C809*R809))</f>
        <v>0</v>
      </c>
      <c r="T809" s="60">
        <f>IF(ISERROR(P809/B809*AF809),0,(P809/B809*AF809))</f>
        <v>0</v>
      </c>
      <c r="V809" s="113">
        <v>0</v>
      </c>
      <c r="W809" s="113">
        <v>0</v>
      </c>
      <c r="X809" s="113">
        <v>0</v>
      </c>
      <c r="Y809" s="113">
        <v>0</v>
      </c>
      <c r="AA809" s="113">
        <v>0</v>
      </c>
      <c r="AB809" s="113">
        <v>0</v>
      </c>
      <c r="AC809" s="113">
        <v>0</v>
      </c>
      <c r="AD809" s="113">
        <v>0</v>
      </c>
      <c r="AF809" s="113">
        <v>0</v>
      </c>
      <c r="AG809" s="28">
        <f>G809-O809</f>
        <v>0</v>
      </c>
      <c r="AH809" s="58">
        <f>IF(ISERROR(AG809/B809*AF809),0,(AG809/B809*AF809))</f>
        <v>0</v>
      </c>
      <c r="AI809" s="28">
        <f>SUM(H809:M809)</f>
        <v>0</v>
      </c>
      <c r="AJ809" s="28">
        <f>IF(ISERROR(AI809/B809*AF809),0,(AI809/B809*AF809))</f>
        <v>0</v>
      </c>
      <c r="AK809" s="58">
        <f>IF(ISERROR(O809/B809*AF809),0,(O809/B809*AF809))</f>
        <v>0</v>
      </c>
      <c r="AL809" s="28">
        <f>IF(ISERROR(H809/B809*AF809),0,(H809/B809*AF809))</f>
        <v>0</v>
      </c>
      <c r="AN809" s="51">
        <f>A809</f>
        <v>0</v>
      </c>
      <c r="AO809" s="57">
        <f>IF(ISERROR(IF(B809=C809,D809/C809,(INT(D809/B809)+(((D809-B809*INT(D809/B809)))/C809)/100))),0,(IF(B809=C809,D809/C809,(INT(D809/B809)+(((D809-B809*INT(D809/B809)))/C809)/100))))</f>
        <v>0</v>
      </c>
      <c r="AP809" s="57">
        <f>IF(ISERROR(IF(B809=C809,E809/C809,(INT(E809/B809)+(((E809-B809*INT(E809/B809)))/C809)/100))),0,(IF(B809=C809,E809/C809,(INT(E809/B809)+(((E809-B809*INT(E809/B809)))/C809)/100))))</f>
        <v>0</v>
      </c>
      <c r="AQ809" s="57">
        <f>IF(ISERROR(IF(B809=C809,F809/C809,IF((INT(F809/B809)+(((F809-B809*INT(F809/B809)))/C809)/100)&lt;0,(INT(F809/B809)+(((F809-B809*INT(F809/B809)))/C809)/100)+(1-(B809/C809/100)),(INT(F809/B809)+(((F809-B809*INT(F809/B809)))/C809)/100)))),0,IF(B809=C809,F809/C809,IF((INT(F809/B809)+(((F809-B809*INT(F809/B809)))/C809)/100)&lt;0,(INT(F809/B809)+(((F809-B809*INT(F809/B809)))/C809)/100)+(1-(B809/C809/100)),(INT(F809/B809)+(((F809-B809*INT(F809/B809)))/C809)/100))))</f>
        <v>0</v>
      </c>
      <c r="AR809" s="57">
        <f>IF(ISERROR(IF(B809=C809,G809/C809,(INT(G809/B809)+(((G809-B809*INT(G809/B809)))/C809)/100))),0,(IF(B809=C809,G809/C809,(INT(G809/B809)+(((G809-B809*INT(G809/B809)))/C809)/100))))</f>
        <v>0</v>
      </c>
      <c r="AS809" s="57">
        <f>IF(ISERROR(IF(B809=C809,H809/C809,(INT(H809/B809)+(((H809-B809*INT(H809/B809)))/C809)/100))),0,(IF(B809=C809,H809/C809,(INT(H809/B809)+(((H809-B809*INT(H809/B809)))/C809)/100))))</f>
        <v>0</v>
      </c>
      <c r="AT809" s="57">
        <f>IF(ISERROR(IF(B809=C809,I809/C809,(INT(I809/B809)+(((I809-B809*INT(I809/B809)))/C809)/100))),0,(IF(B809=C809,I809/C809,(INT(I809/B809)+(((I809-B809*INT(I809/B809)))/C809)/100))))</f>
        <v>0</v>
      </c>
      <c r="AU809" s="57">
        <f>IF(ISERROR(IF(B809=C809,J809/C809,(INT(J809/B809)+(((J809-B809*INT(J809/B809)))/C809)/100))),0,(IF(B809=C809,J809/C809,(INT(J809/B809)+(((J809-B809*INT(J809/B809)))/C809)/100))))</f>
        <v>0</v>
      </c>
      <c r="AV809" s="57">
        <f>IF(ISERROR(IF(B809=C809,K809/C809,IF((INT(K809/B809)+(((K809-B809*INT(K809/B809)))/C809)/100)&lt;0,(INT(K809/B809)+(((K809-B809*INT(K809/B809)))/C809)/100)+(1-(B809/C809/100)),(INT(K809/B809)+(((K809-B809*INT(K809/B809)))/C809)/100)))),0,IF(B809=C809,K809/C809,IF((INT(K809/B809)+(((K809-B809*INT(K809/B809)))/C809)/100)&lt;0,(INT(K809/B809)+(((K809-B809*INT(K809/B809)))/C809)/100)+(1-(B809/C809/100)),(INT(K809/B809)+(((K809-B809*INT(K809/B809)))/C809)/100))))</f>
        <v>0</v>
      </c>
      <c r="AW809" s="57">
        <f>IF(ISERROR(IF(B809=C809,L809/C809,(INT(L809/B809)+(((L809-B809*INT(L809/B809)))/C809)/100))),0,(IF(B809=C809,L809/C809,(INT(L809/B809)+(((L809-B809*INT(L809/B809)))/C809)/100))))</f>
        <v>0</v>
      </c>
      <c r="AX809" s="57">
        <f>IF(ISERROR(IF(B809=C809,M809/C809,(INT(M809/B809)+(((M809-B809*INT(M809/B809)))/C809)/100))),0,(IF(B809=C809,M809/C809,(INT(M809/B809)+(((M809-B809*INT(M809/B809)))/C809)/100))))</f>
        <v>0</v>
      </c>
      <c r="AY809" s="57">
        <f>IF(ISERROR(IF(B809=C809,N809/C809,IF((INT(N809/B809)+(((N809-B809*INT(N809/B809)))/C809)/100)&lt;0,(INT(N809/B809)+(((N809-B809*INT(N809/B809)))/C809)/100)+(1-(B809/C809/100)),(INT(N809/B809)+(((N809-B809*INT(N809/B809)))/C809)/100)))),0,IF(B809=C809,N809/C809,IF((INT(N809/B809)+(((N809-B809*INT(N809/B809)))/C809)/100)&lt;0,(INT(N809/B809)+(((N809-B809*INT(N809/B809)))/C809)/100)+(1-(B809/C809/100)),(INT(N809/B809)+(((N809-B809*INT(N809/B809)))/C809)/100))))</f>
        <v>0</v>
      </c>
      <c r="AZ809" s="57">
        <f>IF(ISERROR(IF(B809=C809,O809/C809,(INT(O809/B809)+(((O809-B809*INT(O809/B809)))/C809)/100))),0,(IF(B809=C809,O809/C809,(INT(O809/B809)+(((O809-B809*INT(O809/B809)))/C809)/100))))</f>
        <v>0</v>
      </c>
      <c r="BA809" s="57">
        <f>IF(ISERROR(IF(B809=C809,P809/C809,IF((INT(P809/B809)+(((P809-B809*INT(P809/B809)))/C809)/100)&lt;0,(INT(P809/B809)+(((P809-B809*INT(P809/B809)))/C809)/100)+(1-(B809/C809/100)),(INT(P809/B809)+(((P809-B809*INT(P809/B809)))/C809)/100)))),0,IF(B809=C809,P809/C809,IF((INT(P809/B809)+(((P809-B809*INT(P809/B809)))/C809)/100)&lt;0,(INT(P809/B809)+(((P809-B809*INT(P809/B809)))/C809)/100)+(1-(B809/C809/100)),(INT(P809/B809)+(((P809-B809*INT(P809/B809)))/C809)/100))))</f>
        <v>0</v>
      </c>
      <c r="BB809" s="28">
        <f>R809</f>
        <v>0</v>
      </c>
      <c r="BC809" s="28">
        <f>S809</f>
        <v>0</v>
      </c>
      <c r="BD809" s="28">
        <f>AF809</f>
        <v>0</v>
      </c>
      <c r="BE809" s="28">
        <f>T809</f>
        <v>0</v>
      </c>
      <c r="BG809" s="57">
        <f>IF(ISERROR(IF(B809=C809,V809/C809,(INT(V809/B809)+(((V809-B809*INT(V809/B809)))/C809)/100))),0,(IF(B809=C809,V809/C809,(INT(V809/B809)+(((V809-B809*INT(V809/B809)))/C809)/100))))</f>
        <v>0</v>
      </c>
      <c r="BH809" s="57">
        <f>IF(ISERROR(IF(B809=C809,W809/C809,(INT(W809/B809)+(((W809-B809*INT(W809/B809)))/C809)/100))),0,(IF(B809=C809,W809/C809,(INT(W809/B809)+(((W809-B809*INT(W809/B809)))/C809)/100))))</f>
        <v>0</v>
      </c>
      <c r="BI809" s="57">
        <f>IF(ISERROR(IF(B809=C809,X809/C809,(INT(X809/B809)+(((X809-B809*INT(X809/B809)))/C809)/100))),0,(IF(B809=C809,X809/C809,(INT(X809/B809)+(((X809-B809*INT(X809/B809)))/C809)/100))))</f>
        <v>0</v>
      </c>
      <c r="BJ809" s="57">
        <f>IF(ISERROR(IF(B809=C809,Y809/C809,(INT(Y809/B809)+(((Y809-B809*INT(Y809/B809)))/C809)/100))),0,(IF(B809=C809,Y809/C809,(INT(Y809/B809)+(((Y809-B809*INT(Y809/B809)))/C809)/100))))</f>
        <v>0</v>
      </c>
      <c r="BL809" s="57">
        <f>IF(ISERROR(IF(B809=C809,AA809/C809,(INT(AA809/B809)+(((AA809-B809*INT(AA809/B809)))/C809)/100))),0,(IF(B809=C809,AA809/C809,(INT(AA809/B809)+(((AA809-B809*INT(AA809/B809)))/C809)/100))))</f>
        <v>0</v>
      </c>
      <c r="BM809" s="57">
        <f>IF(ISERROR(IF(B809=C809,AB809/C809,(INT(AB809/B809)+(((AB809-B809*INT(AB809/B809)))/C809)/100))),0,(IF(B809=C809,AB809/C809,(INT(AB809/B809)+(((AB809-B809*INT(AB809/B809)))/C809)/100))))</f>
        <v>0</v>
      </c>
      <c r="BN809" s="57">
        <f>IF(ISERROR(IF(B809=C809,AC809/C809,(INT(AC809/B809)+(((AC809-B809*INT(AC809/B809)))/C809)/100))),0,(IF(B809=C809,AC809/C809,(INT(AC809/B809)+(((AC809-B809*INT(AC809/B809)))/C809)/100))))</f>
        <v>0</v>
      </c>
      <c r="BO809" s="57">
        <f>IF(ISERROR(IF(B809=C809,AD809/C809,(INT(AD809/B809)+(((AD809-B809*INT(AD809/B809)))/C809)/100))),0,(IF(B809=C809,AD809/C809,(INT(AD809/B809)+(((AD809-B809*INT(AD809/B809)))/C809)/100))))</f>
        <v>0</v>
      </c>
      <c r="BQ809" s="155"/>
    </row>
    <row r="810" spans="1:69" hidden="1" x14ac:dyDescent="0.35">
      <c r="A810" s="94"/>
      <c r="B810" s="113">
        <v>0</v>
      </c>
      <c r="C810" s="113">
        <v>0</v>
      </c>
      <c r="D810" s="28">
        <f>SUM(AA810:AD810)</f>
        <v>0</v>
      </c>
      <c r="E810" s="113">
        <v>0</v>
      </c>
      <c r="F810" s="113">
        <v>0</v>
      </c>
      <c r="G810" s="28">
        <f>SUM(D810:F810)</f>
        <v>0</v>
      </c>
      <c r="H810" s="125">
        <v>0</v>
      </c>
      <c r="I810" s="113">
        <v>0</v>
      </c>
      <c r="J810" s="125">
        <v>0</v>
      </c>
      <c r="K810" s="113">
        <v>0</v>
      </c>
      <c r="L810" s="113">
        <v>0</v>
      </c>
      <c r="M810" s="113">
        <v>0</v>
      </c>
      <c r="N810" s="28">
        <f>G810-SUM(H810:M810)</f>
        <v>0</v>
      </c>
      <c r="O810" s="28">
        <f>SUM(V810:Y810)</f>
        <v>0</v>
      </c>
      <c r="P810" s="28">
        <f>O810-N810</f>
        <v>0</v>
      </c>
      <c r="Q810" s="61" t="str">
        <f>IF(ISERROR(P810/SUM(H810:L810)),"",P810/SUM(H810:L810))</f>
        <v/>
      </c>
      <c r="R810" s="113">
        <v>0</v>
      </c>
      <c r="S810" s="28">
        <f>IF(ISERROR(P810/C810*R810),0,(P810/C810*R810))</f>
        <v>0</v>
      </c>
      <c r="T810" s="60">
        <f>IF(ISERROR(P810/B810*AF810),0,(P810/B810*AF810))</f>
        <v>0</v>
      </c>
      <c r="V810" s="113">
        <v>0</v>
      </c>
      <c r="W810" s="113">
        <v>0</v>
      </c>
      <c r="X810" s="113">
        <v>0</v>
      </c>
      <c r="Y810" s="113">
        <v>0</v>
      </c>
      <c r="AA810" s="113">
        <v>0</v>
      </c>
      <c r="AB810" s="113">
        <v>0</v>
      </c>
      <c r="AC810" s="113">
        <v>0</v>
      </c>
      <c r="AD810" s="113">
        <v>0</v>
      </c>
      <c r="AF810" s="113">
        <v>0</v>
      </c>
      <c r="AG810" s="28">
        <f>G810-O810</f>
        <v>0</v>
      </c>
      <c r="AH810" s="58">
        <f>IF(ISERROR(AG810/B810*AF810),0,(AG810/B810*AF810))</f>
        <v>0</v>
      </c>
      <c r="AI810" s="28">
        <f>SUM(H810:M810)</f>
        <v>0</v>
      </c>
      <c r="AJ810" s="28">
        <f>IF(ISERROR(AI810/B810*AF810),0,(AI810/B810*AF810))</f>
        <v>0</v>
      </c>
      <c r="AK810" s="58">
        <f>IF(ISERROR(O810/B810*AF810),0,(O810/B810*AF810))</f>
        <v>0</v>
      </c>
      <c r="AL810" s="28">
        <f>IF(ISERROR(H810/B810*AF810),0,(H810/B810*AF810))</f>
        <v>0</v>
      </c>
      <c r="AN810" s="51">
        <f>A810</f>
        <v>0</v>
      </c>
      <c r="AO810" s="57">
        <f>IF(ISERROR(IF(B810=C810,D810/C810,(INT(D810/B810)+(((D810-B810*INT(D810/B810)))/C810)/100))),0,(IF(B810=C810,D810/C810,(INT(D810/B810)+(((D810-B810*INT(D810/B810)))/C810)/100))))</f>
        <v>0</v>
      </c>
      <c r="AP810" s="57">
        <f>IF(ISERROR(IF(B810=C810,E810/C810,(INT(E810/B810)+(((E810-B810*INT(E810/B810)))/C810)/100))),0,(IF(B810=C810,E810/C810,(INT(E810/B810)+(((E810-B810*INT(E810/B810)))/C810)/100))))</f>
        <v>0</v>
      </c>
      <c r="AQ810" s="57">
        <f>IF(ISERROR(IF(B810=C810,F810/C810,IF((INT(F810/B810)+(((F810-B810*INT(F810/B810)))/C810)/100)&lt;0,(INT(F810/B810)+(((F810-B810*INT(F810/B810)))/C810)/100)+(1-(B810/C810/100)),(INT(F810/B810)+(((F810-B810*INT(F810/B810)))/C810)/100)))),0,IF(B810=C810,F810/C810,IF((INT(F810/B810)+(((F810-B810*INT(F810/B810)))/C810)/100)&lt;0,(INT(F810/B810)+(((F810-B810*INT(F810/B810)))/C810)/100)+(1-(B810/C810/100)),(INT(F810/B810)+(((F810-B810*INT(F810/B810)))/C810)/100))))</f>
        <v>0</v>
      </c>
      <c r="AR810" s="57">
        <f>IF(ISERROR(IF(B810=C810,G810/C810,(INT(G810/B810)+(((G810-B810*INT(G810/B810)))/C810)/100))),0,(IF(B810=C810,G810/C810,(INT(G810/B810)+(((G810-B810*INT(G810/B810)))/C810)/100))))</f>
        <v>0</v>
      </c>
      <c r="AS810" s="57">
        <f>IF(ISERROR(IF(B810=C810,H810/C810,(INT(H810/B810)+(((H810-B810*INT(H810/B810)))/C810)/100))),0,(IF(B810=C810,H810/C810,(INT(H810/B810)+(((H810-B810*INT(H810/B810)))/C810)/100))))</f>
        <v>0</v>
      </c>
      <c r="AT810" s="57">
        <f>IF(ISERROR(IF(B810=C810,I810/C810,(INT(I810/B810)+(((I810-B810*INT(I810/B810)))/C810)/100))),0,(IF(B810=C810,I810/C810,(INT(I810/B810)+(((I810-B810*INT(I810/B810)))/C810)/100))))</f>
        <v>0</v>
      </c>
      <c r="AU810" s="57">
        <f>IF(ISERROR(IF(B810=C810,J810/C810,(INT(J810/B810)+(((J810-B810*INT(J810/B810)))/C810)/100))),0,(IF(B810=C810,J810/C810,(INT(J810/B810)+(((J810-B810*INT(J810/B810)))/C810)/100))))</f>
        <v>0</v>
      </c>
      <c r="AV810" s="57">
        <f>IF(ISERROR(IF(B810=C810,K810/C810,IF((INT(K810/B810)+(((K810-B810*INT(K810/B810)))/C810)/100)&lt;0,(INT(K810/B810)+(((K810-B810*INT(K810/B810)))/C810)/100)+(1-(B810/C810/100)),(INT(K810/B810)+(((K810-B810*INT(K810/B810)))/C810)/100)))),0,IF(B810=C810,K810/C810,IF((INT(K810/B810)+(((K810-B810*INT(K810/B810)))/C810)/100)&lt;0,(INT(K810/B810)+(((K810-B810*INT(K810/B810)))/C810)/100)+(1-(B810/C810/100)),(INT(K810/B810)+(((K810-B810*INT(K810/B810)))/C810)/100))))</f>
        <v>0</v>
      </c>
      <c r="AW810" s="57">
        <f>IF(ISERROR(IF(B810=C810,L810/C810,(INT(L810/B810)+(((L810-B810*INT(L810/B810)))/C810)/100))),0,(IF(B810=C810,L810/C810,(INT(L810/B810)+(((L810-B810*INT(L810/B810)))/C810)/100))))</f>
        <v>0</v>
      </c>
      <c r="AX810" s="57">
        <f>IF(ISERROR(IF(B810=C810,M810/C810,(INT(M810/B810)+(((M810-B810*INT(M810/B810)))/C810)/100))),0,(IF(B810=C810,M810/C810,(INT(M810/B810)+(((M810-B810*INT(M810/B810)))/C810)/100))))</f>
        <v>0</v>
      </c>
      <c r="AY810" s="57">
        <f>IF(ISERROR(IF(B810=C810,N810/C810,IF((INT(N810/B810)+(((N810-B810*INT(N810/B810)))/C810)/100)&lt;0,(INT(N810/B810)+(((N810-B810*INT(N810/B810)))/C810)/100)+(1-(B810/C810/100)),(INT(N810/B810)+(((N810-B810*INT(N810/B810)))/C810)/100)))),0,IF(B810=C810,N810/C810,IF((INT(N810/B810)+(((N810-B810*INT(N810/B810)))/C810)/100)&lt;0,(INT(N810/B810)+(((N810-B810*INT(N810/B810)))/C810)/100)+(1-(B810/C810/100)),(INT(N810/B810)+(((N810-B810*INT(N810/B810)))/C810)/100))))</f>
        <v>0</v>
      </c>
      <c r="AZ810" s="57">
        <f>IF(ISERROR(IF(B810=C810,O810/C810,(INT(O810/B810)+(((O810-B810*INT(O810/B810)))/C810)/100))),0,(IF(B810=C810,O810/C810,(INT(O810/B810)+(((O810-B810*INT(O810/B810)))/C810)/100))))</f>
        <v>0</v>
      </c>
      <c r="BA810" s="57">
        <f>IF(ISERROR(IF(B810=C810,P810/C810,IF((INT(P810/B810)+(((P810-B810*INT(P810/B810)))/C810)/100)&lt;0,(INT(P810/B810)+(((P810-B810*INT(P810/B810)))/C810)/100)+(1-(B810/C810/100)),(INT(P810/B810)+(((P810-B810*INT(P810/B810)))/C810)/100)))),0,IF(B810=C810,P810/C810,IF((INT(P810/B810)+(((P810-B810*INT(P810/B810)))/C810)/100)&lt;0,(INT(P810/B810)+(((P810-B810*INT(P810/B810)))/C810)/100)+(1-(B810/C810/100)),(INT(P810/B810)+(((P810-B810*INT(P810/B810)))/C810)/100))))</f>
        <v>0</v>
      </c>
      <c r="BB810" s="28">
        <f>R810</f>
        <v>0</v>
      </c>
      <c r="BC810" s="28">
        <f>S810</f>
        <v>0</v>
      </c>
      <c r="BD810" s="28">
        <f>AF810</f>
        <v>0</v>
      </c>
      <c r="BE810" s="28">
        <f>T810</f>
        <v>0</v>
      </c>
      <c r="BG810" s="57">
        <f>IF(ISERROR(IF(B810=C810,V810/C810,(INT(V810/B810)+(((V810-B810*INT(V810/B810)))/C810)/100))),0,(IF(B810=C810,V810/C810,(INT(V810/B810)+(((V810-B810*INT(V810/B810)))/C810)/100))))</f>
        <v>0</v>
      </c>
      <c r="BH810" s="57">
        <f>IF(ISERROR(IF(B810=C810,W810/C810,(INT(W810/B810)+(((W810-B810*INT(W810/B810)))/C810)/100))),0,(IF(B810=C810,W810/C810,(INT(W810/B810)+(((W810-B810*INT(W810/B810)))/C810)/100))))</f>
        <v>0</v>
      </c>
      <c r="BI810" s="57">
        <f>IF(ISERROR(IF(B810=C810,X810/C810,(INT(X810/B810)+(((X810-B810*INT(X810/B810)))/C810)/100))),0,(IF(B810=C810,X810/C810,(INT(X810/B810)+(((X810-B810*INT(X810/B810)))/C810)/100))))</f>
        <v>0</v>
      </c>
      <c r="BJ810" s="57">
        <f>IF(ISERROR(IF(B810=C810,Y810/C810,(INT(Y810/B810)+(((Y810-B810*INT(Y810/B810)))/C810)/100))),0,(IF(B810=C810,Y810/C810,(INT(Y810/B810)+(((Y810-B810*INT(Y810/B810)))/C810)/100))))</f>
        <v>0</v>
      </c>
      <c r="BL810" s="57">
        <f>IF(ISERROR(IF(B810=C810,AA810/C810,(INT(AA810/B810)+(((AA810-B810*INT(AA810/B810)))/C810)/100))),0,(IF(B810=C810,AA810/C810,(INT(AA810/B810)+(((AA810-B810*INT(AA810/B810)))/C810)/100))))</f>
        <v>0</v>
      </c>
      <c r="BM810" s="57">
        <f>IF(ISERROR(IF(B810=C810,AB810/C810,(INT(AB810/B810)+(((AB810-B810*INT(AB810/B810)))/C810)/100))),0,(IF(B810=C810,AB810/C810,(INT(AB810/B810)+(((AB810-B810*INT(AB810/B810)))/C810)/100))))</f>
        <v>0</v>
      </c>
      <c r="BN810" s="57">
        <f>IF(ISERROR(IF(B810=C810,AC810/C810,(INT(AC810/B810)+(((AC810-B810*INT(AC810/B810)))/C810)/100))),0,(IF(B810=C810,AC810/C810,(INT(AC810/B810)+(((AC810-B810*INT(AC810/B810)))/C810)/100))))</f>
        <v>0</v>
      </c>
      <c r="BO810" s="57">
        <f>IF(ISERROR(IF(B810=C810,AD810/C810,(INT(AD810/B810)+(((AD810-B810*INT(AD810/B810)))/C810)/100))),0,(IF(B810=C810,AD810/C810,(INT(AD810/B810)+(((AD810-B810*INT(AD810/B810)))/C810)/100))))</f>
        <v>0</v>
      </c>
      <c r="BQ810" s="155"/>
    </row>
    <row r="811" spans="1:69" hidden="1" x14ac:dyDescent="0.35">
      <c r="A811" s="94"/>
      <c r="B811" s="113">
        <v>0</v>
      </c>
      <c r="C811" s="113">
        <v>0</v>
      </c>
      <c r="D811" s="28">
        <f>SUM(AA811:AD811)</f>
        <v>0</v>
      </c>
      <c r="E811" s="113">
        <v>0</v>
      </c>
      <c r="F811" s="113">
        <v>0</v>
      </c>
      <c r="G811" s="28">
        <f>SUM(D811:F811)</f>
        <v>0</v>
      </c>
      <c r="H811" s="125">
        <v>0</v>
      </c>
      <c r="I811" s="113">
        <v>0</v>
      </c>
      <c r="J811" s="125">
        <v>0</v>
      </c>
      <c r="K811" s="113">
        <v>0</v>
      </c>
      <c r="L811" s="113">
        <v>0</v>
      </c>
      <c r="M811" s="113">
        <v>0</v>
      </c>
      <c r="N811" s="28">
        <f>G811-SUM(H811:M811)</f>
        <v>0</v>
      </c>
      <c r="O811" s="28">
        <f>SUM(V811:Y811)</f>
        <v>0</v>
      </c>
      <c r="P811" s="28">
        <f>O811-N811</f>
        <v>0</v>
      </c>
      <c r="Q811" s="61" t="str">
        <f>IF(ISERROR(P811/SUM(H811:L811)),"",P811/SUM(H811:L811))</f>
        <v/>
      </c>
      <c r="R811" s="113">
        <v>0</v>
      </c>
      <c r="S811" s="28">
        <f>IF(ISERROR(P811/C811*R811),0,(P811/C811*R811))</f>
        <v>0</v>
      </c>
      <c r="T811" s="60">
        <f>IF(ISERROR(P811/B811*AF811),0,(P811/B811*AF811))</f>
        <v>0</v>
      </c>
      <c r="V811" s="113">
        <v>0</v>
      </c>
      <c r="W811" s="113">
        <v>0</v>
      </c>
      <c r="X811" s="113">
        <v>0</v>
      </c>
      <c r="Y811" s="113">
        <v>0</v>
      </c>
      <c r="AA811" s="113">
        <v>0</v>
      </c>
      <c r="AB811" s="113">
        <v>0</v>
      </c>
      <c r="AC811" s="113">
        <v>0</v>
      </c>
      <c r="AD811" s="113">
        <v>0</v>
      </c>
      <c r="AF811" s="113">
        <v>0</v>
      </c>
      <c r="AG811" s="28">
        <f>G811-O811</f>
        <v>0</v>
      </c>
      <c r="AH811" s="58">
        <f>IF(ISERROR(AG811/B811*AF811),0,(AG811/B811*AF811))</f>
        <v>0</v>
      </c>
      <c r="AI811" s="28">
        <f>SUM(H811:M811)</f>
        <v>0</v>
      </c>
      <c r="AJ811" s="28">
        <f>IF(ISERROR(AI811/B811*AF811),0,(AI811/B811*AF811))</f>
        <v>0</v>
      </c>
      <c r="AK811" s="58">
        <f>IF(ISERROR(O811/B811*AF811),0,(O811/B811*AF811))</f>
        <v>0</v>
      </c>
      <c r="AL811" s="28">
        <f>IF(ISERROR(H811/B811*AF811),0,(H811/B811*AF811))</f>
        <v>0</v>
      </c>
      <c r="AN811" s="51">
        <f>A811</f>
        <v>0</v>
      </c>
      <c r="AO811" s="57">
        <f>IF(ISERROR(IF(B811=C811,D811/C811,(INT(D811/B811)+(((D811-B811*INT(D811/B811)))/C811)/100))),0,(IF(B811=C811,D811/C811,(INT(D811/B811)+(((D811-B811*INT(D811/B811)))/C811)/100))))</f>
        <v>0</v>
      </c>
      <c r="AP811" s="57">
        <f>IF(ISERROR(IF(B811=C811,E811/C811,(INT(E811/B811)+(((E811-B811*INT(E811/B811)))/C811)/100))),0,(IF(B811=C811,E811/C811,(INT(E811/B811)+(((E811-B811*INT(E811/B811)))/C811)/100))))</f>
        <v>0</v>
      </c>
      <c r="AQ811" s="57">
        <f>IF(ISERROR(IF(B811=C811,F811/C811,IF((INT(F811/B811)+(((F811-B811*INT(F811/B811)))/C811)/100)&lt;0,(INT(F811/B811)+(((F811-B811*INT(F811/B811)))/C811)/100)+(1-(B811/C811/100)),(INT(F811/B811)+(((F811-B811*INT(F811/B811)))/C811)/100)))),0,IF(B811=C811,F811/C811,IF((INT(F811/B811)+(((F811-B811*INT(F811/B811)))/C811)/100)&lt;0,(INT(F811/B811)+(((F811-B811*INT(F811/B811)))/C811)/100)+(1-(B811/C811/100)),(INT(F811/B811)+(((F811-B811*INT(F811/B811)))/C811)/100))))</f>
        <v>0</v>
      </c>
      <c r="AR811" s="57">
        <f>IF(ISERROR(IF(B811=C811,G811/C811,(INT(G811/B811)+(((G811-B811*INT(G811/B811)))/C811)/100))),0,(IF(B811=C811,G811/C811,(INT(G811/B811)+(((G811-B811*INT(G811/B811)))/C811)/100))))</f>
        <v>0</v>
      </c>
      <c r="AS811" s="57">
        <f>IF(ISERROR(IF(B811=C811,H811/C811,(INT(H811/B811)+(((H811-B811*INT(H811/B811)))/C811)/100))),0,(IF(B811=C811,H811/C811,(INT(H811/B811)+(((H811-B811*INT(H811/B811)))/C811)/100))))</f>
        <v>0</v>
      </c>
      <c r="AT811" s="57">
        <f>IF(ISERROR(IF(B811=C811,I811/C811,(INT(I811/B811)+(((I811-B811*INT(I811/B811)))/C811)/100))),0,(IF(B811=C811,I811/C811,(INT(I811/B811)+(((I811-B811*INT(I811/B811)))/C811)/100))))</f>
        <v>0</v>
      </c>
      <c r="AU811" s="57">
        <f>IF(ISERROR(IF(B811=C811,J811/C811,(INT(J811/B811)+(((J811-B811*INT(J811/B811)))/C811)/100))),0,(IF(B811=C811,J811/C811,(INT(J811/B811)+(((J811-B811*INT(J811/B811)))/C811)/100))))</f>
        <v>0</v>
      </c>
      <c r="AV811" s="57">
        <f>IF(ISERROR(IF(B811=C811,K811/C811,IF((INT(K811/B811)+(((K811-B811*INT(K811/B811)))/C811)/100)&lt;0,(INT(K811/B811)+(((K811-B811*INT(K811/B811)))/C811)/100)+(1-(B811/C811/100)),(INT(K811/B811)+(((K811-B811*INT(K811/B811)))/C811)/100)))),0,IF(B811=C811,K811/C811,IF((INT(K811/B811)+(((K811-B811*INT(K811/B811)))/C811)/100)&lt;0,(INT(K811/B811)+(((K811-B811*INT(K811/B811)))/C811)/100)+(1-(B811/C811/100)),(INT(K811/B811)+(((K811-B811*INT(K811/B811)))/C811)/100))))</f>
        <v>0</v>
      </c>
      <c r="AW811" s="57">
        <f>IF(ISERROR(IF(B811=C811,L811/C811,(INT(L811/B811)+(((L811-B811*INT(L811/B811)))/C811)/100))),0,(IF(B811=C811,L811/C811,(INT(L811/B811)+(((L811-B811*INT(L811/B811)))/C811)/100))))</f>
        <v>0</v>
      </c>
      <c r="AX811" s="57">
        <f>IF(ISERROR(IF(B811=C811,M811/C811,(INT(M811/B811)+(((M811-B811*INT(M811/B811)))/C811)/100))),0,(IF(B811=C811,M811/C811,(INT(M811/B811)+(((M811-B811*INT(M811/B811)))/C811)/100))))</f>
        <v>0</v>
      </c>
      <c r="AY811" s="57">
        <f>IF(ISERROR(IF(B811=C811,N811/C811,IF((INT(N811/B811)+(((N811-B811*INT(N811/B811)))/C811)/100)&lt;0,(INT(N811/B811)+(((N811-B811*INT(N811/B811)))/C811)/100)+(1-(B811/C811/100)),(INT(N811/B811)+(((N811-B811*INT(N811/B811)))/C811)/100)))),0,IF(B811=C811,N811/C811,IF((INT(N811/B811)+(((N811-B811*INT(N811/B811)))/C811)/100)&lt;0,(INT(N811/B811)+(((N811-B811*INT(N811/B811)))/C811)/100)+(1-(B811/C811/100)),(INT(N811/B811)+(((N811-B811*INT(N811/B811)))/C811)/100))))</f>
        <v>0</v>
      </c>
      <c r="AZ811" s="57">
        <f>IF(ISERROR(IF(B811=C811,O811/C811,(INT(O811/B811)+(((O811-B811*INT(O811/B811)))/C811)/100))),0,(IF(B811=C811,O811/C811,(INT(O811/B811)+(((O811-B811*INT(O811/B811)))/C811)/100))))</f>
        <v>0</v>
      </c>
      <c r="BA811" s="57">
        <f>IF(ISERROR(IF(B811=C811,P811/C811,IF((INT(P811/B811)+(((P811-B811*INT(P811/B811)))/C811)/100)&lt;0,(INT(P811/B811)+(((P811-B811*INT(P811/B811)))/C811)/100)+(1-(B811/C811/100)),(INT(P811/B811)+(((P811-B811*INT(P811/B811)))/C811)/100)))),0,IF(B811=C811,P811/C811,IF((INT(P811/B811)+(((P811-B811*INT(P811/B811)))/C811)/100)&lt;0,(INT(P811/B811)+(((P811-B811*INT(P811/B811)))/C811)/100)+(1-(B811/C811/100)),(INT(P811/B811)+(((P811-B811*INT(P811/B811)))/C811)/100))))</f>
        <v>0</v>
      </c>
      <c r="BB811" s="28">
        <f>R811</f>
        <v>0</v>
      </c>
      <c r="BC811" s="28">
        <f>S811</f>
        <v>0</v>
      </c>
      <c r="BD811" s="28">
        <f>AF811</f>
        <v>0</v>
      </c>
      <c r="BE811" s="28">
        <f>T811</f>
        <v>0</v>
      </c>
      <c r="BG811" s="57">
        <f>IF(ISERROR(IF(B811=C811,V811/C811,(INT(V811/B811)+(((V811-B811*INT(V811/B811)))/C811)/100))),0,(IF(B811=C811,V811/C811,(INT(V811/B811)+(((V811-B811*INT(V811/B811)))/C811)/100))))</f>
        <v>0</v>
      </c>
      <c r="BH811" s="57">
        <f>IF(ISERROR(IF(B811=C811,W811/C811,(INT(W811/B811)+(((W811-B811*INT(W811/B811)))/C811)/100))),0,(IF(B811=C811,W811/C811,(INT(W811/B811)+(((W811-B811*INT(W811/B811)))/C811)/100))))</f>
        <v>0</v>
      </c>
      <c r="BI811" s="57">
        <f>IF(ISERROR(IF(B811=C811,X811/C811,(INT(X811/B811)+(((X811-B811*INT(X811/B811)))/C811)/100))),0,(IF(B811=C811,X811/C811,(INT(X811/B811)+(((X811-B811*INT(X811/B811)))/C811)/100))))</f>
        <v>0</v>
      </c>
      <c r="BJ811" s="57">
        <f>IF(ISERROR(IF(B811=C811,Y811/C811,(INT(Y811/B811)+(((Y811-B811*INT(Y811/B811)))/C811)/100))),0,(IF(B811=C811,Y811/C811,(INT(Y811/B811)+(((Y811-B811*INT(Y811/B811)))/C811)/100))))</f>
        <v>0</v>
      </c>
      <c r="BL811" s="57">
        <f>IF(ISERROR(IF(B811=C811,AA811/C811,(INT(AA811/B811)+(((AA811-B811*INT(AA811/B811)))/C811)/100))),0,(IF(B811=C811,AA811/C811,(INT(AA811/B811)+(((AA811-B811*INT(AA811/B811)))/C811)/100))))</f>
        <v>0</v>
      </c>
      <c r="BM811" s="57">
        <f>IF(ISERROR(IF(B811=C811,AB811/C811,(INT(AB811/B811)+(((AB811-B811*INT(AB811/B811)))/C811)/100))),0,(IF(B811=C811,AB811/C811,(INT(AB811/B811)+(((AB811-B811*INT(AB811/B811)))/C811)/100))))</f>
        <v>0</v>
      </c>
      <c r="BN811" s="57">
        <f>IF(ISERROR(IF(B811=C811,AC811/C811,(INT(AC811/B811)+(((AC811-B811*INT(AC811/B811)))/C811)/100))),0,(IF(B811=C811,AC811/C811,(INT(AC811/B811)+(((AC811-B811*INT(AC811/B811)))/C811)/100))))</f>
        <v>0</v>
      </c>
      <c r="BO811" s="57">
        <f>IF(ISERROR(IF(B811=C811,AD811/C811,(INT(AD811/B811)+(((AD811-B811*INT(AD811/B811)))/C811)/100))),0,(IF(B811=C811,AD811/C811,(INT(AD811/B811)+(((AD811-B811*INT(AD811/B811)))/C811)/100))))</f>
        <v>0</v>
      </c>
      <c r="BQ811" s="155"/>
    </row>
    <row r="812" spans="1:69" hidden="1" x14ac:dyDescent="0.35">
      <c r="A812" s="94"/>
      <c r="B812" s="113">
        <v>0</v>
      </c>
      <c r="C812" s="113">
        <v>0</v>
      </c>
      <c r="D812" s="28">
        <f>SUM(AA812:AD812)</f>
        <v>0</v>
      </c>
      <c r="E812" s="113">
        <v>0</v>
      </c>
      <c r="F812" s="113">
        <v>0</v>
      </c>
      <c r="G812" s="28">
        <f>SUM(D812:F812)</f>
        <v>0</v>
      </c>
      <c r="H812" s="125">
        <v>0</v>
      </c>
      <c r="I812" s="113">
        <v>0</v>
      </c>
      <c r="J812" s="125">
        <v>0</v>
      </c>
      <c r="K812" s="113">
        <v>0</v>
      </c>
      <c r="L812" s="113">
        <v>0</v>
      </c>
      <c r="M812" s="113">
        <v>0</v>
      </c>
      <c r="N812" s="28">
        <f>G812-SUM(H812:M812)</f>
        <v>0</v>
      </c>
      <c r="O812" s="28">
        <f>SUM(V812:Y812)</f>
        <v>0</v>
      </c>
      <c r="P812" s="28">
        <f>O812-N812</f>
        <v>0</v>
      </c>
      <c r="Q812" s="61" t="str">
        <f>IF(ISERROR(P812/SUM(H812:L812)),"",P812/SUM(H812:L812))</f>
        <v/>
      </c>
      <c r="R812" s="113">
        <v>0</v>
      </c>
      <c r="S812" s="28">
        <f>IF(ISERROR(P812/C812*R812),0,(P812/C812*R812))</f>
        <v>0</v>
      </c>
      <c r="T812" s="60">
        <f>IF(ISERROR(P812/B812*AF812),0,(P812/B812*AF812))</f>
        <v>0</v>
      </c>
      <c r="V812" s="113">
        <v>0</v>
      </c>
      <c r="W812" s="113">
        <v>0</v>
      </c>
      <c r="X812" s="113">
        <v>0</v>
      </c>
      <c r="Y812" s="113">
        <v>0</v>
      </c>
      <c r="AA812" s="113">
        <v>0</v>
      </c>
      <c r="AB812" s="113">
        <v>0</v>
      </c>
      <c r="AC812" s="113">
        <v>0</v>
      </c>
      <c r="AD812" s="113">
        <v>0</v>
      </c>
      <c r="AF812" s="113">
        <v>0</v>
      </c>
      <c r="AG812" s="28">
        <f>G812-O812</f>
        <v>0</v>
      </c>
      <c r="AH812" s="58">
        <f>IF(ISERROR(AG812/B812*AF812),0,(AG812/B812*AF812))</f>
        <v>0</v>
      </c>
      <c r="AI812" s="28">
        <f>SUM(H812:M812)</f>
        <v>0</v>
      </c>
      <c r="AJ812" s="28">
        <f>IF(ISERROR(AI812/B812*AF812),0,(AI812/B812*AF812))</f>
        <v>0</v>
      </c>
      <c r="AK812" s="58">
        <f>IF(ISERROR(O812/B812*AF812),0,(O812/B812*AF812))</f>
        <v>0</v>
      </c>
      <c r="AL812" s="28">
        <f>IF(ISERROR(H812/B812*AF812),0,(H812/B812*AF812))</f>
        <v>0</v>
      </c>
      <c r="AN812" s="51">
        <f>A812</f>
        <v>0</v>
      </c>
      <c r="AO812" s="57">
        <f>IF(ISERROR(IF(B812=C812,D812/C812,(INT(D812/B812)+(((D812-B812*INT(D812/B812)))/C812)/100))),0,(IF(B812=C812,D812/C812,(INT(D812/B812)+(((D812-B812*INT(D812/B812)))/C812)/100))))</f>
        <v>0</v>
      </c>
      <c r="AP812" s="57">
        <f>IF(ISERROR(IF(B812=C812,E812/C812,(INT(E812/B812)+(((E812-B812*INT(E812/B812)))/C812)/100))),0,(IF(B812=C812,E812/C812,(INT(E812/B812)+(((E812-B812*INT(E812/B812)))/C812)/100))))</f>
        <v>0</v>
      </c>
      <c r="AQ812" s="57">
        <f>IF(ISERROR(IF(B812=C812,F812/C812,IF((INT(F812/B812)+(((F812-B812*INT(F812/B812)))/C812)/100)&lt;0,(INT(F812/B812)+(((F812-B812*INT(F812/B812)))/C812)/100)+(1-(B812/C812/100)),(INT(F812/B812)+(((F812-B812*INT(F812/B812)))/C812)/100)))),0,IF(B812=C812,F812/C812,IF((INT(F812/B812)+(((F812-B812*INT(F812/B812)))/C812)/100)&lt;0,(INT(F812/B812)+(((F812-B812*INT(F812/B812)))/C812)/100)+(1-(B812/C812/100)),(INT(F812/B812)+(((F812-B812*INT(F812/B812)))/C812)/100))))</f>
        <v>0</v>
      </c>
      <c r="AR812" s="57">
        <f>IF(ISERROR(IF(B812=C812,G812/C812,(INT(G812/B812)+(((G812-B812*INT(G812/B812)))/C812)/100))),0,(IF(B812=C812,G812/C812,(INT(G812/B812)+(((G812-B812*INT(G812/B812)))/C812)/100))))</f>
        <v>0</v>
      </c>
      <c r="AS812" s="57">
        <f>IF(ISERROR(IF(B812=C812,H812/C812,(INT(H812/B812)+(((H812-B812*INT(H812/B812)))/C812)/100))),0,(IF(B812=C812,H812/C812,(INT(H812/B812)+(((H812-B812*INT(H812/B812)))/C812)/100))))</f>
        <v>0</v>
      </c>
      <c r="AT812" s="57">
        <f>IF(ISERROR(IF(B812=C812,I812/C812,(INT(I812/B812)+(((I812-B812*INT(I812/B812)))/C812)/100))),0,(IF(B812=C812,I812/C812,(INT(I812/B812)+(((I812-B812*INT(I812/B812)))/C812)/100))))</f>
        <v>0</v>
      </c>
      <c r="AU812" s="57">
        <f>IF(ISERROR(IF(B812=C812,J812/C812,(INT(J812/B812)+(((J812-B812*INT(J812/B812)))/C812)/100))),0,(IF(B812=C812,J812/C812,(INT(J812/B812)+(((J812-B812*INT(J812/B812)))/C812)/100))))</f>
        <v>0</v>
      </c>
      <c r="AV812" s="57">
        <f>IF(ISERROR(IF(B812=C812,K812/C812,IF((INT(K812/B812)+(((K812-B812*INT(K812/B812)))/C812)/100)&lt;0,(INT(K812/B812)+(((K812-B812*INT(K812/B812)))/C812)/100)+(1-(B812/C812/100)),(INT(K812/B812)+(((K812-B812*INT(K812/B812)))/C812)/100)))),0,IF(B812=C812,K812/C812,IF((INT(K812/B812)+(((K812-B812*INT(K812/B812)))/C812)/100)&lt;0,(INT(K812/B812)+(((K812-B812*INT(K812/B812)))/C812)/100)+(1-(B812/C812/100)),(INT(K812/B812)+(((K812-B812*INT(K812/B812)))/C812)/100))))</f>
        <v>0</v>
      </c>
      <c r="AW812" s="57">
        <f>IF(ISERROR(IF(B812=C812,L812/C812,(INT(L812/B812)+(((L812-B812*INT(L812/B812)))/C812)/100))),0,(IF(B812=C812,L812/C812,(INT(L812/B812)+(((L812-B812*INT(L812/B812)))/C812)/100))))</f>
        <v>0</v>
      </c>
      <c r="AX812" s="57">
        <f>IF(ISERROR(IF(B812=C812,M812/C812,(INT(M812/B812)+(((M812-B812*INT(M812/B812)))/C812)/100))),0,(IF(B812=C812,M812/C812,(INT(M812/B812)+(((M812-B812*INT(M812/B812)))/C812)/100))))</f>
        <v>0</v>
      </c>
      <c r="AY812" s="57">
        <f>IF(ISERROR(IF(B812=C812,N812/C812,IF((INT(N812/B812)+(((N812-B812*INT(N812/B812)))/C812)/100)&lt;0,(INT(N812/B812)+(((N812-B812*INT(N812/B812)))/C812)/100)+(1-(B812/C812/100)),(INT(N812/B812)+(((N812-B812*INT(N812/B812)))/C812)/100)))),0,IF(B812=C812,N812/C812,IF((INT(N812/B812)+(((N812-B812*INT(N812/B812)))/C812)/100)&lt;0,(INT(N812/B812)+(((N812-B812*INT(N812/B812)))/C812)/100)+(1-(B812/C812/100)),(INT(N812/B812)+(((N812-B812*INT(N812/B812)))/C812)/100))))</f>
        <v>0</v>
      </c>
      <c r="AZ812" s="57">
        <f>IF(ISERROR(IF(B812=C812,O812/C812,(INT(O812/B812)+(((O812-B812*INT(O812/B812)))/C812)/100))),0,(IF(B812=C812,O812/C812,(INT(O812/B812)+(((O812-B812*INT(O812/B812)))/C812)/100))))</f>
        <v>0</v>
      </c>
      <c r="BA812" s="57">
        <f>IF(ISERROR(IF(B812=C812,P812/C812,IF((INT(P812/B812)+(((P812-B812*INT(P812/B812)))/C812)/100)&lt;0,(INT(P812/B812)+(((P812-B812*INT(P812/B812)))/C812)/100)+(1-(B812/C812/100)),(INT(P812/B812)+(((P812-B812*INT(P812/B812)))/C812)/100)))),0,IF(B812=C812,P812/C812,IF((INT(P812/B812)+(((P812-B812*INT(P812/B812)))/C812)/100)&lt;0,(INT(P812/B812)+(((P812-B812*INT(P812/B812)))/C812)/100)+(1-(B812/C812/100)),(INT(P812/B812)+(((P812-B812*INT(P812/B812)))/C812)/100))))</f>
        <v>0</v>
      </c>
      <c r="BB812" s="28">
        <f>R812</f>
        <v>0</v>
      </c>
      <c r="BC812" s="28">
        <f>S812</f>
        <v>0</v>
      </c>
      <c r="BD812" s="28">
        <f>AF812</f>
        <v>0</v>
      </c>
      <c r="BE812" s="28">
        <f>T812</f>
        <v>0</v>
      </c>
      <c r="BG812" s="57">
        <f>IF(ISERROR(IF(B812=C812,V812/C812,(INT(V812/B812)+(((V812-B812*INT(V812/B812)))/C812)/100))),0,(IF(B812=C812,V812/C812,(INT(V812/B812)+(((V812-B812*INT(V812/B812)))/C812)/100))))</f>
        <v>0</v>
      </c>
      <c r="BH812" s="57">
        <f>IF(ISERROR(IF(B812=C812,W812/C812,(INT(W812/B812)+(((W812-B812*INT(W812/B812)))/C812)/100))),0,(IF(B812=C812,W812/C812,(INT(W812/B812)+(((W812-B812*INT(W812/B812)))/C812)/100))))</f>
        <v>0</v>
      </c>
      <c r="BI812" s="57">
        <f>IF(ISERROR(IF(B812=C812,X812/C812,(INT(X812/B812)+(((X812-B812*INT(X812/B812)))/C812)/100))),0,(IF(B812=C812,X812/C812,(INT(X812/B812)+(((X812-B812*INT(X812/B812)))/C812)/100))))</f>
        <v>0</v>
      </c>
      <c r="BJ812" s="57">
        <f>IF(ISERROR(IF(B812=C812,Y812/C812,(INT(Y812/B812)+(((Y812-B812*INT(Y812/B812)))/C812)/100))),0,(IF(B812=C812,Y812/C812,(INT(Y812/B812)+(((Y812-B812*INT(Y812/B812)))/C812)/100))))</f>
        <v>0</v>
      </c>
      <c r="BL812" s="57">
        <f>IF(ISERROR(IF(B812=C812,AA812/C812,(INT(AA812/B812)+(((AA812-B812*INT(AA812/B812)))/C812)/100))),0,(IF(B812=C812,AA812/C812,(INT(AA812/B812)+(((AA812-B812*INT(AA812/B812)))/C812)/100))))</f>
        <v>0</v>
      </c>
      <c r="BM812" s="57">
        <f>IF(ISERROR(IF(B812=C812,AB812/C812,(INT(AB812/B812)+(((AB812-B812*INT(AB812/B812)))/C812)/100))),0,(IF(B812=C812,AB812/C812,(INT(AB812/B812)+(((AB812-B812*INT(AB812/B812)))/C812)/100))))</f>
        <v>0</v>
      </c>
      <c r="BN812" s="57">
        <f>IF(ISERROR(IF(B812=C812,AC812/C812,(INT(AC812/B812)+(((AC812-B812*INT(AC812/B812)))/C812)/100))),0,(IF(B812=C812,AC812/C812,(INT(AC812/B812)+(((AC812-B812*INT(AC812/B812)))/C812)/100))))</f>
        <v>0</v>
      </c>
      <c r="BO812" s="57">
        <f>IF(ISERROR(IF(B812=C812,AD812/C812,(INT(AD812/B812)+(((AD812-B812*INT(AD812/B812)))/C812)/100))),0,(IF(B812=C812,AD812/C812,(INT(AD812/B812)+(((AD812-B812*INT(AD812/B812)))/C812)/100))))</f>
        <v>0</v>
      </c>
      <c r="BQ812" s="155"/>
    </row>
    <row r="813" spans="1:69" hidden="1" x14ac:dyDescent="0.35">
      <c r="A813" s="94"/>
      <c r="B813" s="113">
        <v>0</v>
      </c>
      <c r="C813" s="113">
        <v>0</v>
      </c>
      <c r="D813" s="28">
        <f>SUM(AA813:AD813)</f>
        <v>0</v>
      </c>
      <c r="E813" s="113">
        <v>0</v>
      </c>
      <c r="F813" s="113">
        <v>0</v>
      </c>
      <c r="G813" s="28">
        <f>SUM(D813:F813)</f>
        <v>0</v>
      </c>
      <c r="H813" s="125">
        <v>0</v>
      </c>
      <c r="I813" s="113">
        <v>0</v>
      </c>
      <c r="J813" s="125">
        <v>0</v>
      </c>
      <c r="K813" s="113">
        <v>0</v>
      </c>
      <c r="L813" s="113">
        <v>0</v>
      </c>
      <c r="M813" s="113">
        <v>0</v>
      </c>
      <c r="N813" s="28">
        <f>G813-SUM(H813:M813)</f>
        <v>0</v>
      </c>
      <c r="O813" s="28">
        <f>SUM(V813:Y813)</f>
        <v>0</v>
      </c>
      <c r="P813" s="28">
        <f>O813-N813</f>
        <v>0</v>
      </c>
      <c r="Q813" s="61" t="str">
        <f>IF(ISERROR(P813/SUM(H813:L813)),"",P813/SUM(H813:L813))</f>
        <v/>
      </c>
      <c r="R813" s="113">
        <v>0</v>
      </c>
      <c r="S813" s="28">
        <f>IF(ISERROR(P813/C813*R813),0,(P813/C813*R813))</f>
        <v>0</v>
      </c>
      <c r="T813" s="60">
        <f>IF(ISERROR(P813/B813*AF813),0,(P813/B813*AF813))</f>
        <v>0</v>
      </c>
      <c r="V813" s="113">
        <v>0</v>
      </c>
      <c r="W813" s="113">
        <v>0</v>
      </c>
      <c r="X813" s="113">
        <v>0</v>
      </c>
      <c r="Y813" s="113">
        <v>0</v>
      </c>
      <c r="AA813" s="113">
        <v>0</v>
      </c>
      <c r="AB813" s="113">
        <v>0</v>
      </c>
      <c r="AC813" s="113">
        <v>0</v>
      </c>
      <c r="AD813" s="113">
        <v>0</v>
      </c>
      <c r="AF813" s="113">
        <v>0</v>
      </c>
      <c r="AG813" s="28">
        <f>G813-O813</f>
        <v>0</v>
      </c>
      <c r="AH813" s="58">
        <f>IF(ISERROR(AG813/B813*AF813),0,(AG813/B813*AF813))</f>
        <v>0</v>
      </c>
      <c r="AI813" s="28">
        <f>SUM(H813:M813)</f>
        <v>0</v>
      </c>
      <c r="AJ813" s="28">
        <f>IF(ISERROR(AI813/B813*AF813),0,(AI813/B813*AF813))</f>
        <v>0</v>
      </c>
      <c r="AK813" s="58">
        <f>IF(ISERROR(O813/B813*AF813),0,(O813/B813*AF813))</f>
        <v>0</v>
      </c>
      <c r="AL813" s="28">
        <f>IF(ISERROR(H813/B813*AF813),0,(H813/B813*AF813))</f>
        <v>0</v>
      </c>
      <c r="AN813" s="51">
        <f>A813</f>
        <v>0</v>
      </c>
      <c r="AO813" s="57">
        <f>IF(ISERROR(IF(B813=C813,D813/C813,(INT(D813/B813)+(((D813-B813*INT(D813/B813)))/C813)/100))),0,(IF(B813=C813,D813/C813,(INT(D813/B813)+(((D813-B813*INT(D813/B813)))/C813)/100))))</f>
        <v>0</v>
      </c>
      <c r="AP813" s="57">
        <f>IF(ISERROR(IF(B813=C813,E813/C813,(INT(E813/B813)+(((E813-B813*INT(E813/B813)))/C813)/100))),0,(IF(B813=C813,E813/C813,(INT(E813/B813)+(((E813-B813*INT(E813/B813)))/C813)/100))))</f>
        <v>0</v>
      </c>
      <c r="AQ813" s="57">
        <f>IF(ISERROR(IF(B813=C813,F813/C813,IF((INT(F813/B813)+(((F813-B813*INT(F813/B813)))/C813)/100)&lt;0,(INT(F813/B813)+(((F813-B813*INT(F813/B813)))/C813)/100)+(1-(B813/C813/100)),(INT(F813/B813)+(((F813-B813*INT(F813/B813)))/C813)/100)))),0,IF(B813=C813,F813/C813,IF((INT(F813/B813)+(((F813-B813*INT(F813/B813)))/C813)/100)&lt;0,(INT(F813/B813)+(((F813-B813*INT(F813/B813)))/C813)/100)+(1-(B813/C813/100)),(INT(F813/B813)+(((F813-B813*INT(F813/B813)))/C813)/100))))</f>
        <v>0</v>
      </c>
      <c r="AR813" s="57">
        <f>IF(ISERROR(IF(B813=C813,G813/C813,(INT(G813/B813)+(((G813-B813*INT(G813/B813)))/C813)/100))),0,(IF(B813=C813,G813/C813,(INT(G813/B813)+(((G813-B813*INT(G813/B813)))/C813)/100))))</f>
        <v>0</v>
      </c>
      <c r="AS813" s="57">
        <f>IF(ISERROR(IF(B813=C813,H813/C813,(INT(H813/B813)+(((H813-B813*INT(H813/B813)))/C813)/100))),0,(IF(B813=C813,H813/C813,(INT(H813/B813)+(((H813-B813*INT(H813/B813)))/C813)/100))))</f>
        <v>0</v>
      </c>
      <c r="AT813" s="57">
        <f>IF(ISERROR(IF(B813=C813,I813/C813,(INT(I813/B813)+(((I813-B813*INT(I813/B813)))/C813)/100))),0,(IF(B813=C813,I813/C813,(INT(I813/B813)+(((I813-B813*INT(I813/B813)))/C813)/100))))</f>
        <v>0</v>
      </c>
      <c r="AU813" s="57">
        <f>IF(ISERROR(IF(B813=C813,J813/C813,(INT(J813/B813)+(((J813-B813*INT(J813/B813)))/C813)/100))),0,(IF(B813=C813,J813/C813,(INT(J813/B813)+(((J813-B813*INT(J813/B813)))/C813)/100))))</f>
        <v>0</v>
      </c>
      <c r="AV813" s="57">
        <f>IF(ISERROR(IF(B813=C813,K813/C813,IF((INT(K813/B813)+(((K813-B813*INT(K813/B813)))/C813)/100)&lt;0,(INT(K813/B813)+(((K813-B813*INT(K813/B813)))/C813)/100)+(1-(B813/C813/100)),(INT(K813/B813)+(((K813-B813*INT(K813/B813)))/C813)/100)))),0,IF(B813=C813,K813/C813,IF((INT(K813/B813)+(((K813-B813*INT(K813/B813)))/C813)/100)&lt;0,(INT(K813/B813)+(((K813-B813*INT(K813/B813)))/C813)/100)+(1-(B813/C813/100)),(INT(K813/B813)+(((K813-B813*INT(K813/B813)))/C813)/100))))</f>
        <v>0</v>
      </c>
      <c r="AW813" s="57">
        <f>IF(ISERROR(IF(B813=C813,L813/C813,(INT(L813/B813)+(((L813-B813*INT(L813/B813)))/C813)/100))),0,(IF(B813=C813,L813/C813,(INT(L813/B813)+(((L813-B813*INT(L813/B813)))/C813)/100))))</f>
        <v>0</v>
      </c>
      <c r="AX813" s="57">
        <f>IF(ISERROR(IF(B813=C813,M813/C813,(INT(M813/B813)+(((M813-B813*INT(M813/B813)))/C813)/100))),0,(IF(B813=C813,M813/C813,(INT(M813/B813)+(((M813-B813*INT(M813/B813)))/C813)/100))))</f>
        <v>0</v>
      </c>
      <c r="AY813" s="57">
        <f>IF(ISERROR(IF(B813=C813,N813/C813,IF((INT(N813/B813)+(((N813-B813*INT(N813/B813)))/C813)/100)&lt;0,(INT(N813/B813)+(((N813-B813*INT(N813/B813)))/C813)/100)+(1-(B813/C813/100)),(INT(N813/B813)+(((N813-B813*INT(N813/B813)))/C813)/100)))),0,IF(B813=C813,N813/C813,IF((INT(N813/B813)+(((N813-B813*INT(N813/B813)))/C813)/100)&lt;0,(INT(N813/B813)+(((N813-B813*INT(N813/B813)))/C813)/100)+(1-(B813/C813/100)),(INT(N813/B813)+(((N813-B813*INT(N813/B813)))/C813)/100))))</f>
        <v>0</v>
      </c>
      <c r="AZ813" s="57">
        <f>IF(ISERROR(IF(B813=C813,O813/C813,(INT(O813/B813)+(((O813-B813*INT(O813/B813)))/C813)/100))),0,(IF(B813=C813,O813/C813,(INT(O813/B813)+(((O813-B813*INT(O813/B813)))/C813)/100))))</f>
        <v>0</v>
      </c>
      <c r="BA813" s="57">
        <f>IF(ISERROR(IF(B813=C813,P813/C813,IF((INT(P813/B813)+(((P813-B813*INT(P813/B813)))/C813)/100)&lt;0,(INT(P813/B813)+(((P813-B813*INT(P813/B813)))/C813)/100)+(1-(B813/C813/100)),(INT(P813/B813)+(((P813-B813*INT(P813/B813)))/C813)/100)))),0,IF(B813=C813,P813/C813,IF((INT(P813/B813)+(((P813-B813*INT(P813/B813)))/C813)/100)&lt;0,(INT(P813/B813)+(((P813-B813*INT(P813/B813)))/C813)/100)+(1-(B813/C813/100)),(INT(P813/B813)+(((P813-B813*INT(P813/B813)))/C813)/100))))</f>
        <v>0</v>
      </c>
      <c r="BB813" s="28">
        <f>R813</f>
        <v>0</v>
      </c>
      <c r="BC813" s="28">
        <f>S813</f>
        <v>0</v>
      </c>
      <c r="BD813" s="28">
        <f>AF813</f>
        <v>0</v>
      </c>
      <c r="BE813" s="28">
        <f>T813</f>
        <v>0</v>
      </c>
      <c r="BG813" s="57">
        <f>IF(ISERROR(IF(B813=C813,V813/C813,(INT(V813/B813)+(((V813-B813*INT(V813/B813)))/C813)/100))),0,(IF(B813=C813,V813/C813,(INT(V813/B813)+(((V813-B813*INT(V813/B813)))/C813)/100))))</f>
        <v>0</v>
      </c>
      <c r="BH813" s="57">
        <f>IF(ISERROR(IF(B813=C813,W813/C813,(INT(W813/B813)+(((W813-B813*INT(W813/B813)))/C813)/100))),0,(IF(B813=C813,W813/C813,(INT(W813/B813)+(((W813-B813*INT(W813/B813)))/C813)/100))))</f>
        <v>0</v>
      </c>
      <c r="BI813" s="57">
        <f>IF(ISERROR(IF(B813=C813,X813/C813,(INT(X813/B813)+(((X813-B813*INT(X813/B813)))/C813)/100))),0,(IF(B813=C813,X813/C813,(INT(X813/B813)+(((X813-B813*INT(X813/B813)))/C813)/100))))</f>
        <v>0</v>
      </c>
      <c r="BJ813" s="57">
        <f>IF(ISERROR(IF(B813=C813,Y813/C813,(INT(Y813/B813)+(((Y813-B813*INT(Y813/B813)))/C813)/100))),0,(IF(B813=C813,Y813/C813,(INT(Y813/B813)+(((Y813-B813*INT(Y813/B813)))/C813)/100))))</f>
        <v>0</v>
      </c>
      <c r="BL813" s="57">
        <f>IF(ISERROR(IF(B813=C813,AA813/C813,(INT(AA813/B813)+(((AA813-B813*INT(AA813/B813)))/C813)/100))),0,(IF(B813=C813,AA813/C813,(INT(AA813/B813)+(((AA813-B813*INT(AA813/B813)))/C813)/100))))</f>
        <v>0</v>
      </c>
      <c r="BM813" s="57">
        <f>IF(ISERROR(IF(B813=C813,AB813/C813,(INT(AB813/B813)+(((AB813-B813*INT(AB813/B813)))/C813)/100))),0,(IF(B813=C813,AB813/C813,(INT(AB813/B813)+(((AB813-B813*INT(AB813/B813)))/C813)/100))))</f>
        <v>0</v>
      </c>
      <c r="BN813" s="57">
        <f>IF(ISERROR(IF(B813=C813,AC813/C813,(INT(AC813/B813)+(((AC813-B813*INT(AC813/B813)))/C813)/100))),0,(IF(B813=C813,AC813/C813,(INT(AC813/B813)+(((AC813-B813*INT(AC813/B813)))/C813)/100))))</f>
        <v>0</v>
      </c>
      <c r="BO813" s="57">
        <f>IF(ISERROR(IF(B813=C813,AD813/C813,(INT(AD813/B813)+(((AD813-B813*INT(AD813/B813)))/C813)/100))),0,(IF(B813=C813,AD813/C813,(INT(AD813/B813)+(((AD813-B813*INT(AD813/B813)))/C813)/100))))</f>
        <v>0</v>
      </c>
      <c r="BQ813" s="155"/>
    </row>
    <row r="814" spans="1:69" hidden="1" x14ac:dyDescent="0.35">
      <c r="A814" s="94"/>
      <c r="B814" s="113">
        <v>0</v>
      </c>
      <c r="C814" s="113">
        <v>0</v>
      </c>
      <c r="D814" s="28">
        <f>SUM(AA814:AD814)</f>
        <v>0</v>
      </c>
      <c r="E814" s="113">
        <v>0</v>
      </c>
      <c r="F814" s="113">
        <v>0</v>
      </c>
      <c r="G814" s="28">
        <f>SUM(D814:F814)</f>
        <v>0</v>
      </c>
      <c r="H814" s="125">
        <v>0</v>
      </c>
      <c r="I814" s="113">
        <v>0</v>
      </c>
      <c r="J814" s="125">
        <v>0</v>
      </c>
      <c r="K814" s="113">
        <v>0</v>
      </c>
      <c r="L814" s="113">
        <v>0</v>
      </c>
      <c r="M814" s="113">
        <v>0</v>
      </c>
      <c r="N814" s="28">
        <f>G814-SUM(H814:M814)</f>
        <v>0</v>
      </c>
      <c r="O814" s="28">
        <f>SUM(V814:Y814)</f>
        <v>0</v>
      </c>
      <c r="P814" s="28">
        <f>O814-N814</f>
        <v>0</v>
      </c>
      <c r="Q814" s="61" t="str">
        <f>IF(ISERROR(P814/SUM(H814:L814)),"",P814/SUM(H814:L814))</f>
        <v/>
      </c>
      <c r="R814" s="113">
        <v>0</v>
      </c>
      <c r="S814" s="28">
        <f>IF(ISERROR(P814/C814*R814),0,(P814/C814*R814))</f>
        <v>0</v>
      </c>
      <c r="T814" s="60">
        <f>IF(ISERROR(P814/B814*AF814),0,(P814/B814*AF814))</f>
        <v>0</v>
      </c>
      <c r="V814" s="113">
        <v>0</v>
      </c>
      <c r="W814" s="113">
        <v>0</v>
      </c>
      <c r="X814" s="113">
        <v>0</v>
      </c>
      <c r="Y814" s="113">
        <v>0</v>
      </c>
      <c r="AA814" s="113">
        <v>0</v>
      </c>
      <c r="AB814" s="113">
        <v>0</v>
      </c>
      <c r="AC814" s="113">
        <v>0</v>
      </c>
      <c r="AD814" s="113">
        <v>0</v>
      </c>
      <c r="AF814" s="113">
        <v>0</v>
      </c>
      <c r="AG814" s="28">
        <f>G814-O814</f>
        <v>0</v>
      </c>
      <c r="AH814" s="58">
        <f>IF(ISERROR(AG814/B814*AF814),0,(AG814/B814*AF814))</f>
        <v>0</v>
      </c>
      <c r="AI814" s="28">
        <f>SUM(H814:M814)</f>
        <v>0</v>
      </c>
      <c r="AJ814" s="28">
        <f>IF(ISERROR(AI814/B814*AF814),0,(AI814/B814*AF814))</f>
        <v>0</v>
      </c>
      <c r="AK814" s="58">
        <f>IF(ISERROR(O814/B814*AF814),0,(O814/B814*AF814))</f>
        <v>0</v>
      </c>
      <c r="AL814" s="28">
        <f>IF(ISERROR(H814/B814*AF814),0,(H814/B814*AF814))</f>
        <v>0</v>
      </c>
      <c r="AN814" s="51">
        <f>A814</f>
        <v>0</v>
      </c>
      <c r="AO814" s="57">
        <f>IF(ISERROR(IF(B814=C814,D814/C814,(INT(D814/B814)+(((D814-B814*INT(D814/B814)))/C814)/100))),0,(IF(B814=C814,D814/C814,(INT(D814/B814)+(((D814-B814*INT(D814/B814)))/C814)/100))))</f>
        <v>0</v>
      </c>
      <c r="AP814" s="57">
        <f>IF(ISERROR(IF(B814=C814,E814/C814,(INT(E814/B814)+(((E814-B814*INT(E814/B814)))/C814)/100))),0,(IF(B814=C814,E814/C814,(INT(E814/B814)+(((E814-B814*INT(E814/B814)))/C814)/100))))</f>
        <v>0</v>
      </c>
      <c r="AQ814" s="57">
        <f>IF(ISERROR(IF(B814=C814,F814/C814,IF((INT(F814/B814)+(((F814-B814*INT(F814/B814)))/C814)/100)&lt;0,(INT(F814/B814)+(((F814-B814*INT(F814/B814)))/C814)/100)+(1-(B814/C814/100)),(INT(F814/B814)+(((F814-B814*INT(F814/B814)))/C814)/100)))),0,IF(B814=C814,F814/C814,IF((INT(F814/B814)+(((F814-B814*INT(F814/B814)))/C814)/100)&lt;0,(INT(F814/B814)+(((F814-B814*INT(F814/B814)))/C814)/100)+(1-(B814/C814/100)),(INT(F814/B814)+(((F814-B814*INT(F814/B814)))/C814)/100))))</f>
        <v>0</v>
      </c>
      <c r="AR814" s="57">
        <f>IF(ISERROR(IF(B814=C814,G814/C814,(INT(G814/B814)+(((G814-B814*INT(G814/B814)))/C814)/100))),0,(IF(B814=C814,G814/C814,(INT(G814/B814)+(((G814-B814*INT(G814/B814)))/C814)/100))))</f>
        <v>0</v>
      </c>
      <c r="AS814" s="57">
        <f>IF(ISERROR(IF(B814=C814,H814/C814,(INT(H814/B814)+(((H814-B814*INT(H814/B814)))/C814)/100))),0,(IF(B814=C814,H814/C814,(INT(H814/B814)+(((H814-B814*INT(H814/B814)))/C814)/100))))</f>
        <v>0</v>
      </c>
      <c r="AT814" s="57">
        <f>IF(ISERROR(IF(B814=C814,I814/C814,(INT(I814/B814)+(((I814-B814*INT(I814/B814)))/C814)/100))),0,(IF(B814=C814,I814/C814,(INT(I814/B814)+(((I814-B814*INT(I814/B814)))/C814)/100))))</f>
        <v>0</v>
      </c>
      <c r="AU814" s="57">
        <f>IF(ISERROR(IF(B814=C814,J814/C814,(INT(J814/B814)+(((J814-B814*INT(J814/B814)))/C814)/100))),0,(IF(B814=C814,J814/C814,(INT(J814/B814)+(((J814-B814*INT(J814/B814)))/C814)/100))))</f>
        <v>0</v>
      </c>
      <c r="AV814" s="57">
        <f>IF(ISERROR(IF(B814=C814,K814/C814,IF((INT(K814/B814)+(((K814-B814*INT(K814/B814)))/C814)/100)&lt;0,(INT(K814/B814)+(((K814-B814*INT(K814/B814)))/C814)/100)+(1-(B814/C814/100)),(INT(K814/B814)+(((K814-B814*INT(K814/B814)))/C814)/100)))),0,IF(B814=C814,K814/C814,IF((INT(K814/B814)+(((K814-B814*INT(K814/B814)))/C814)/100)&lt;0,(INT(K814/B814)+(((K814-B814*INT(K814/B814)))/C814)/100)+(1-(B814/C814/100)),(INT(K814/B814)+(((K814-B814*INT(K814/B814)))/C814)/100))))</f>
        <v>0</v>
      </c>
      <c r="AW814" s="57">
        <f>IF(ISERROR(IF(B814=C814,L814/C814,(INT(L814/B814)+(((L814-B814*INT(L814/B814)))/C814)/100))),0,(IF(B814=C814,L814/C814,(INT(L814/B814)+(((L814-B814*INT(L814/B814)))/C814)/100))))</f>
        <v>0</v>
      </c>
      <c r="AX814" s="57">
        <f>IF(ISERROR(IF(B814=C814,M814/C814,(INT(M814/B814)+(((M814-B814*INT(M814/B814)))/C814)/100))),0,(IF(B814=C814,M814/C814,(INT(M814/B814)+(((M814-B814*INT(M814/B814)))/C814)/100))))</f>
        <v>0</v>
      </c>
      <c r="AY814" s="57">
        <f>IF(ISERROR(IF(B814=C814,N814/C814,IF((INT(N814/B814)+(((N814-B814*INT(N814/B814)))/C814)/100)&lt;0,(INT(N814/B814)+(((N814-B814*INT(N814/B814)))/C814)/100)+(1-(B814/C814/100)),(INT(N814/B814)+(((N814-B814*INT(N814/B814)))/C814)/100)))),0,IF(B814=C814,N814/C814,IF((INT(N814/B814)+(((N814-B814*INT(N814/B814)))/C814)/100)&lt;0,(INT(N814/B814)+(((N814-B814*INT(N814/B814)))/C814)/100)+(1-(B814/C814/100)),(INT(N814/B814)+(((N814-B814*INT(N814/B814)))/C814)/100))))</f>
        <v>0</v>
      </c>
      <c r="AZ814" s="57">
        <f>IF(ISERROR(IF(B814=C814,O814/C814,(INT(O814/B814)+(((O814-B814*INT(O814/B814)))/C814)/100))),0,(IF(B814=C814,O814/C814,(INT(O814/B814)+(((O814-B814*INT(O814/B814)))/C814)/100))))</f>
        <v>0</v>
      </c>
      <c r="BA814" s="57">
        <f>IF(ISERROR(IF(B814=C814,P814/C814,IF((INT(P814/B814)+(((P814-B814*INT(P814/B814)))/C814)/100)&lt;0,(INT(P814/B814)+(((P814-B814*INT(P814/B814)))/C814)/100)+(1-(B814/C814/100)),(INT(P814/B814)+(((P814-B814*INT(P814/B814)))/C814)/100)))),0,IF(B814=C814,P814/C814,IF((INT(P814/B814)+(((P814-B814*INT(P814/B814)))/C814)/100)&lt;0,(INT(P814/B814)+(((P814-B814*INT(P814/B814)))/C814)/100)+(1-(B814/C814/100)),(INT(P814/B814)+(((P814-B814*INT(P814/B814)))/C814)/100))))</f>
        <v>0</v>
      </c>
      <c r="BB814" s="28">
        <f>R814</f>
        <v>0</v>
      </c>
      <c r="BC814" s="28">
        <f>S814</f>
        <v>0</v>
      </c>
      <c r="BD814" s="28">
        <f>AF814</f>
        <v>0</v>
      </c>
      <c r="BE814" s="28">
        <f>T814</f>
        <v>0</v>
      </c>
      <c r="BG814" s="57">
        <f>IF(ISERROR(IF(B814=C814,V814/C814,(INT(V814/B814)+(((V814-B814*INT(V814/B814)))/C814)/100))),0,(IF(B814=C814,V814/C814,(INT(V814/B814)+(((V814-B814*INT(V814/B814)))/C814)/100))))</f>
        <v>0</v>
      </c>
      <c r="BH814" s="57">
        <f>IF(ISERROR(IF(B814=C814,W814/C814,(INT(W814/B814)+(((W814-B814*INT(W814/B814)))/C814)/100))),0,(IF(B814=C814,W814/C814,(INT(W814/B814)+(((W814-B814*INT(W814/B814)))/C814)/100))))</f>
        <v>0</v>
      </c>
      <c r="BI814" s="57">
        <f>IF(ISERROR(IF(B814=C814,X814/C814,(INT(X814/B814)+(((X814-B814*INT(X814/B814)))/C814)/100))),0,(IF(B814=C814,X814/C814,(INT(X814/B814)+(((X814-B814*INT(X814/B814)))/C814)/100))))</f>
        <v>0</v>
      </c>
      <c r="BJ814" s="57">
        <f>IF(ISERROR(IF(B814=C814,Y814/C814,(INT(Y814/B814)+(((Y814-B814*INT(Y814/B814)))/C814)/100))),0,(IF(B814=C814,Y814/C814,(INT(Y814/B814)+(((Y814-B814*INT(Y814/B814)))/C814)/100))))</f>
        <v>0</v>
      </c>
      <c r="BL814" s="57">
        <f>IF(ISERROR(IF(B814=C814,AA814/C814,(INT(AA814/B814)+(((AA814-B814*INT(AA814/B814)))/C814)/100))),0,(IF(B814=C814,AA814/C814,(INT(AA814/B814)+(((AA814-B814*INT(AA814/B814)))/C814)/100))))</f>
        <v>0</v>
      </c>
      <c r="BM814" s="57">
        <f>IF(ISERROR(IF(B814=C814,AB814/C814,(INT(AB814/B814)+(((AB814-B814*INT(AB814/B814)))/C814)/100))),0,(IF(B814=C814,AB814/C814,(INT(AB814/B814)+(((AB814-B814*INT(AB814/B814)))/C814)/100))))</f>
        <v>0</v>
      </c>
      <c r="BN814" s="57">
        <f>IF(ISERROR(IF(B814=C814,AC814/C814,(INT(AC814/B814)+(((AC814-B814*INT(AC814/B814)))/C814)/100))),0,(IF(B814=C814,AC814/C814,(INT(AC814/B814)+(((AC814-B814*INT(AC814/B814)))/C814)/100))))</f>
        <v>0</v>
      </c>
      <c r="BO814" s="57">
        <f>IF(ISERROR(IF(B814=C814,AD814/C814,(INT(AD814/B814)+(((AD814-B814*INT(AD814/B814)))/C814)/100))),0,(IF(B814=C814,AD814/C814,(INT(AD814/B814)+(((AD814-B814*INT(AD814/B814)))/C814)/100))))</f>
        <v>0</v>
      </c>
      <c r="BQ814" s="155"/>
    </row>
    <row r="815" spans="1:69" hidden="1" x14ac:dyDescent="0.35">
      <c r="A815" s="94"/>
      <c r="B815" s="113">
        <v>0</v>
      </c>
      <c r="C815" s="113">
        <v>0</v>
      </c>
      <c r="D815" s="28">
        <f>SUM(AA815:AD815)</f>
        <v>0</v>
      </c>
      <c r="E815" s="113">
        <v>0</v>
      </c>
      <c r="F815" s="113">
        <v>0</v>
      </c>
      <c r="G815" s="28">
        <f>SUM(D815:F815)</f>
        <v>0</v>
      </c>
      <c r="H815" s="125">
        <v>0</v>
      </c>
      <c r="I815" s="113">
        <v>0</v>
      </c>
      <c r="J815" s="125">
        <v>0</v>
      </c>
      <c r="K815" s="113">
        <v>0</v>
      </c>
      <c r="L815" s="113">
        <v>0</v>
      </c>
      <c r="M815" s="113">
        <v>0</v>
      </c>
      <c r="N815" s="28">
        <f>G815-SUM(H815:M815)</f>
        <v>0</v>
      </c>
      <c r="O815" s="28">
        <f>SUM(V815:Y815)</f>
        <v>0</v>
      </c>
      <c r="P815" s="28">
        <f>O815-N815</f>
        <v>0</v>
      </c>
      <c r="Q815" s="61" t="str">
        <f>IF(ISERROR(P815/SUM(H815:L815)),"",P815/SUM(H815:L815))</f>
        <v/>
      </c>
      <c r="R815" s="113">
        <v>0</v>
      </c>
      <c r="S815" s="28">
        <f>IF(ISERROR(P815/C815*R815),0,(P815/C815*R815))</f>
        <v>0</v>
      </c>
      <c r="T815" s="60">
        <f>IF(ISERROR(P815/B815*AF815),0,(P815/B815*AF815))</f>
        <v>0</v>
      </c>
      <c r="V815" s="113">
        <v>0</v>
      </c>
      <c r="W815" s="113">
        <v>0</v>
      </c>
      <c r="X815" s="113">
        <v>0</v>
      </c>
      <c r="Y815" s="113">
        <v>0</v>
      </c>
      <c r="AA815" s="113">
        <v>0</v>
      </c>
      <c r="AB815" s="113">
        <v>0</v>
      </c>
      <c r="AC815" s="113">
        <v>0</v>
      </c>
      <c r="AD815" s="113">
        <v>0</v>
      </c>
      <c r="AF815" s="113">
        <v>0</v>
      </c>
      <c r="AG815" s="28">
        <f>G815-O815</f>
        <v>0</v>
      </c>
      <c r="AH815" s="58">
        <f>IF(ISERROR(AG815/B815*AF815),0,(AG815/B815*AF815))</f>
        <v>0</v>
      </c>
      <c r="AI815" s="28">
        <f>SUM(H815:M815)</f>
        <v>0</v>
      </c>
      <c r="AJ815" s="28">
        <f>IF(ISERROR(AI815/B815*AF815),0,(AI815/B815*AF815))</f>
        <v>0</v>
      </c>
      <c r="AK815" s="58">
        <f>IF(ISERROR(O815/B815*AF815),0,(O815/B815*AF815))</f>
        <v>0</v>
      </c>
      <c r="AL815" s="28">
        <f>IF(ISERROR(H815/B815*AF815),0,(H815/B815*AF815))</f>
        <v>0</v>
      </c>
      <c r="AN815" s="51">
        <f>A815</f>
        <v>0</v>
      </c>
      <c r="AO815" s="57">
        <f>IF(ISERROR(IF(B815=C815,D815/C815,(INT(D815/B815)+(((D815-B815*INT(D815/B815)))/C815)/100))),0,(IF(B815=C815,D815/C815,(INT(D815/B815)+(((D815-B815*INT(D815/B815)))/C815)/100))))</f>
        <v>0</v>
      </c>
      <c r="AP815" s="57">
        <f>IF(ISERROR(IF(B815=C815,E815/C815,(INT(E815/B815)+(((E815-B815*INT(E815/B815)))/C815)/100))),0,(IF(B815=C815,E815/C815,(INT(E815/B815)+(((E815-B815*INT(E815/B815)))/C815)/100))))</f>
        <v>0</v>
      </c>
      <c r="AQ815" s="57">
        <f>IF(ISERROR(IF(B815=C815,F815/C815,IF((INT(F815/B815)+(((F815-B815*INT(F815/B815)))/C815)/100)&lt;0,(INT(F815/B815)+(((F815-B815*INT(F815/B815)))/C815)/100)+(1-(B815/C815/100)),(INT(F815/B815)+(((F815-B815*INT(F815/B815)))/C815)/100)))),0,IF(B815=C815,F815/C815,IF((INT(F815/B815)+(((F815-B815*INT(F815/B815)))/C815)/100)&lt;0,(INT(F815/B815)+(((F815-B815*INT(F815/B815)))/C815)/100)+(1-(B815/C815/100)),(INT(F815/B815)+(((F815-B815*INT(F815/B815)))/C815)/100))))</f>
        <v>0</v>
      </c>
      <c r="AR815" s="57">
        <f>IF(ISERROR(IF(B815=C815,G815/C815,(INT(G815/B815)+(((G815-B815*INT(G815/B815)))/C815)/100))),0,(IF(B815=C815,G815/C815,(INT(G815/B815)+(((G815-B815*INT(G815/B815)))/C815)/100))))</f>
        <v>0</v>
      </c>
      <c r="AS815" s="57">
        <f>IF(ISERROR(IF(B815=C815,H815/C815,(INT(H815/B815)+(((H815-B815*INT(H815/B815)))/C815)/100))),0,(IF(B815=C815,H815/C815,(INT(H815/B815)+(((H815-B815*INT(H815/B815)))/C815)/100))))</f>
        <v>0</v>
      </c>
      <c r="AT815" s="57">
        <f>IF(ISERROR(IF(B815=C815,I815/C815,(INT(I815/B815)+(((I815-B815*INT(I815/B815)))/C815)/100))),0,(IF(B815=C815,I815/C815,(INT(I815/B815)+(((I815-B815*INT(I815/B815)))/C815)/100))))</f>
        <v>0</v>
      </c>
      <c r="AU815" s="57">
        <f>IF(ISERROR(IF(B815=C815,J815/C815,(INT(J815/B815)+(((J815-B815*INT(J815/B815)))/C815)/100))),0,(IF(B815=C815,J815/C815,(INT(J815/B815)+(((J815-B815*INT(J815/B815)))/C815)/100))))</f>
        <v>0</v>
      </c>
      <c r="AV815" s="57">
        <f>IF(ISERROR(IF(B815=C815,K815/C815,IF((INT(K815/B815)+(((K815-B815*INT(K815/B815)))/C815)/100)&lt;0,(INT(K815/B815)+(((K815-B815*INT(K815/B815)))/C815)/100)+(1-(B815/C815/100)),(INT(K815/B815)+(((K815-B815*INT(K815/B815)))/C815)/100)))),0,IF(B815=C815,K815/C815,IF((INT(K815/B815)+(((K815-B815*INT(K815/B815)))/C815)/100)&lt;0,(INT(K815/B815)+(((K815-B815*INT(K815/B815)))/C815)/100)+(1-(B815/C815/100)),(INT(K815/B815)+(((K815-B815*INT(K815/B815)))/C815)/100))))</f>
        <v>0</v>
      </c>
      <c r="AW815" s="57">
        <f>IF(ISERROR(IF(B815=C815,L815/C815,(INT(L815/B815)+(((L815-B815*INT(L815/B815)))/C815)/100))),0,(IF(B815=C815,L815/C815,(INT(L815/B815)+(((L815-B815*INT(L815/B815)))/C815)/100))))</f>
        <v>0</v>
      </c>
      <c r="AX815" s="57">
        <f>IF(ISERROR(IF(B815=C815,M815/C815,(INT(M815/B815)+(((M815-B815*INT(M815/B815)))/C815)/100))),0,(IF(B815=C815,M815/C815,(INT(M815/B815)+(((M815-B815*INT(M815/B815)))/C815)/100))))</f>
        <v>0</v>
      </c>
      <c r="AY815" s="57">
        <f>IF(ISERROR(IF(B815=C815,N815/C815,IF((INT(N815/B815)+(((N815-B815*INT(N815/B815)))/C815)/100)&lt;0,(INT(N815/B815)+(((N815-B815*INT(N815/B815)))/C815)/100)+(1-(B815/C815/100)),(INT(N815/B815)+(((N815-B815*INT(N815/B815)))/C815)/100)))),0,IF(B815=C815,N815/C815,IF((INT(N815/B815)+(((N815-B815*INT(N815/B815)))/C815)/100)&lt;0,(INT(N815/B815)+(((N815-B815*INT(N815/B815)))/C815)/100)+(1-(B815/C815/100)),(INT(N815/B815)+(((N815-B815*INT(N815/B815)))/C815)/100))))</f>
        <v>0</v>
      </c>
      <c r="AZ815" s="57">
        <f>IF(ISERROR(IF(B815=C815,O815/C815,(INT(O815/B815)+(((O815-B815*INT(O815/B815)))/C815)/100))),0,(IF(B815=C815,O815/C815,(INT(O815/B815)+(((O815-B815*INT(O815/B815)))/C815)/100))))</f>
        <v>0</v>
      </c>
      <c r="BA815" s="57">
        <f>IF(ISERROR(IF(B815=C815,P815/C815,IF((INT(P815/B815)+(((P815-B815*INT(P815/B815)))/C815)/100)&lt;0,(INT(P815/B815)+(((P815-B815*INT(P815/B815)))/C815)/100)+(1-(B815/C815/100)),(INT(P815/B815)+(((P815-B815*INT(P815/B815)))/C815)/100)))),0,IF(B815=C815,P815/C815,IF((INT(P815/B815)+(((P815-B815*INT(P815/B815)))/C815)/100)&lt;0,(INT(P815/B815)+(((P815-B815*INT(P815/B815)))/C815)/100)+(1-(B815/C815/100)),(INT(P815/B815)+(((P815-B815*INT(P815/B815)))/C815)/100))))</f>
        <v>0</v>
      </c>
      <c r="BB815" s="28">
        <f>R815</f>
        <v>0</v>
      </c>
      <c r="BC815" s="28">
        <f>S815</f>
        <v>0</v>
      </c>
      <c r="BD815" s="28">
        <f>AF815</f>
        <v>0</v>
      </c>
      <c r="BE815" s="28">
        <f>T815</f>
        <v>0</v>
      </c>
      <c r="BG815" s="57">
        <f>IF(ISERROR(IF(B815=C815,V815/C815,(INT(V815/B815)+(((V815-B815*INT(V815/B815)))/C815)/100))),0,(IF(B815=C815,V815/C815,(INT(V815/B815)+(((V815-B815*INT(V815/B815)))/C815)/100))))</f>
        <v>0</v>
      </c>
      <c r="BH815" s="57">
        <f>IF(ISERROR(IF(B815=C815,W815/C815,(INT(W815/B815)+(((W815-B815*INT(W815/B815)))/C815)/100))),0,(IF(B815=C815,W815/C815,(INT(W815/B815)+(((W815-B815*INT(W815/B815)))/C815)/100))))</f>
        <v>0</v>
      </c>
      <c r="BI815" s="57">
        <f>IF(ISERROR(IF(B815=C815,X815/C815,(INT(X815/B815)+(((X815-B815*INT(X815/B815)))/C815)/100))),0,(IF(B815=C815,X815/C815,(INT(X815/B815)+(((X815-B815*INT(X815/B815)))/C815)/100))))</f>
        <v>0</v>
      </c>
      <c r="BJ815" s="57">
        <f>IF(ISERROR(IF(B815=C815,Y815/C815,(INT(Y815/B815)+(((Y815-B815*INT(Y815/B815)))/C815)/100))),0,(IF(B815=C815,Y815/C815,(INT(Y815/B815)+(((Y815-B815*INT(Y815/B815)))/C815)/100))))</f>
        <v>0</v>
      </c>
      <c r="BL815" s="57">
        <f>IF(ISERROR(IF(B815=C815,AA815/C815,(INT(AA815/B815)+(((AA815-B815*INT(AA815/B815)))/C815)/100))),0,(IF(B815=C815,AA815/C815,(INT(AA815/B815)+(((AA815-B815*INT(AA815/B815)))/C815)/100))))</f>
        <v>0</v>
      </c>
      <c r="BM815" s="57">
        <f>IF(ISERROR(IF(B815=C815,AB815/C815,(INT(AB815/B815)+(((AB815-B815*INT(AB815/B815)))/C815)/100))),0,(IF(B815=C815,AB815/C815,(INT(AB815/B815)+(((AB815-B815*INT(AB815/B815)))/C815)/100))))</f>
        <v>0</v>
      </c>
      <c r="BN815" s="57">
        <f>IF(ISERROR(IF(B815=C815,AC815/C815,(INT(AC815/B815)+(((AC815-B815*INT(AC815/B815)))/C815)/100))),0,(IF(B815=C815,AC815/C815,(INT(AC815/B815)+(((AC815-B815*INT(AC815/B815)))/C815)/100))))</f>
        <v>0</v>
      </c>
      <c r="BO815" s="57">
        <f>IF(ISERROR(IF(B815=C815,AD815/C815,(INT(AD815/B815)+(((AD815-B815*INT(AD815/B815)))/C815)/100))),0,(IF(B815=C815,AD815/C815,(INT(AD815/B815)+(((AD815-B815*INT(AD815/B815)))/C815)/100))))</f>
        <v>0</v>
      </c>
      <c r="BQ815" s="155"/>
    </row>
    <row r="816" spans="1:69" x14ac:dyDescent="0.35">
      <c r="A816" s="94"/>
      <c r="B816" s="113"/>
      <c r="C816" s="113"/>
      <c r="D816" s="28"/>
      <c r="E816" s="113"/>
      <c r="F816" s="113"/>
      <c r="G816" s="28"/>
      <c r="H816" s="125"/>
      <c r="I816" s="113"/>
      <c r="J816" s="125"/>
      <c r="K816" s="113"/>
      <c r="L816" s="113"/>
      <c r="M816" s="113"/>
      <c r="N816" s="28"/>
      <c r="O816" s="28"/>
      <c r="P816" s="28"/>
      <c r="Q816" s="61"/>
      <c r="R816" s="113"/>
      <c r="S816" s="28"/>
      <c r="T816" s="28"/>
      <c r="V816" s="113"/>
      <c r="W816" s="113"/>
      <c r="X816" s="113"/>
      <c r="Y816" s="113"/>
      <c r="AA816" s="113"/>
      <c r="AB816" s="113"/>
      <c r="AC816" s="113"/>
      <c r="AD816" s="113"/>
      <c r="AF816" s="113"/>
      <c r="AG816" s="28"/>
      <c r="AH816" s="58"/>
      <c r="AI816" s="28"/>
      <c r="AJ816" s="28"/>
      <c r="AK816" s="58"/>
      <c r="AL816" s="28"/>
      <c r="AN816" s="51"/>
      <c r="AO816" s="28"/>
      <c r="AP816" s="28"/>
      <c r="AQ816" s="28"/>
      <c r="AR816" s="28"/>
      <c r="AS816" s="28"/>
      <c r="AT816" s="28"/>
      <c r="AU816" s="28"/>
      <c r="AV816" s="28"/>
      <c r="AW816" s="28"/>
      <c r="AX816" s="28"/>
      <c r="AY816" s="28"/>
      <c r="AZ816" s="28"/>
      <c r="BA816" s="28"/>
      <c r="BB816" s="28"/>
      <c r="BC816" s="28"/>
      <c r="BD816" s="28"/>
      <c r="BE816" s="28"/>
      <c r="BG816" s="28"/>
      <c r="BH816" s="28"/>
      <c r="BI816" s="28"/>
      <c r="BJ816" s="28"/>
      <c r="BL816" s="28"/>
      <c r="BM816" s="28"/>
      <c r="BN816" s="28"/>
      <c r="BO816" s="28"/>
      <c r="BQ816" s="113"/>
    </row>
    <row r="817" spans="1:69" x14ac:dyDescent="0.35">
      <c r="A817" s="135" t="s">
        <v>131</v>
      </c>
      <c r="B817" s="113"/>
      <c r="C817" s="113"/>
      <c r="D817" s="28"/>
      <c r="E817" s="113"/>
      <c r="F817" s="113"/>
      <c r="G817" s="28"/>
      <c r="H817" s="125"/>
      <c r="I817" s="113"/>
      <c r="J817" s="125"/>
      <c r="K817" s="113"/>
      <c r="L817" s="113"/>
      <c r="M817" s="113"/>
      <c r="N817" s="28"/>
      <c r="O817" s="125"/>
      <c r="P817" s="28"/>
      <c r="Q817" s="61"/>
      <c r="R817" s="113"/>
      <c r="S817" s="28"/>
      <c r="T817" s="28"/>
      <c r="V817" s="113"/>
      <c r="W817" s="113"/>
      <c r="X817" s="113"/>
      <c r="Y817" s="113"/>
      <c r="AA817" s="113"/>
      <c r="AB817" s="113"/>
      <c r="AC817" s="113"/>
      <c r="AD817" s="113"/>
      <c r="AF817" s="113"/>
      <c r="AG817" s="28"/>
      <c r="AH817" s="58"/>
      <c r="AI817" s="28"/>
      <c r="AJ817" s="28"/>
      <c r="AK817" s="58"/>
      <c r="AL817" s="28"/>
      <c r="AN817" s="65" t="str">
        <f>A817</f>
        <v>Breezers</v>
      </c>
      <c r="AO817" s="28"/>
      <c r="AP817" s="28"/>
      <c r="AQ817" s="28"/>
      <c r="AR817" s="28"/>
      <c r="AS817" s="28"/>
      <c r="AT817" s="28"/>
      <c r="AU817" s="28"/>
      <c r="AV817" s="28"/>
      <c r="AW817" s="28"/>
      <c r="AX817" s="28"/>
      <c r="AY817" s="28"/>
      <c r="AZ817" s="28"/>
      <c r="BA817" s="28"/>
      <c r="BB817" s="28"/>
      <c r="BC817" s="28"/>
      <c r="BD817" s="28"/>
      <c r="BE817" s="28"/>
      <c r="BG817" s="28"/>
      <c r="BH817" s="28"/>
      <c r="BI817" s="28"/>
      <c r="BJ817" s="28"/>
      <c r="BL817" s="28"/>
      <c r="BM817" s="28"/>
      <c r="BN817" s="28"/>
      <c r="BO817" s="28"/>
      <c r="BQ817" s="113"/>
    </row>
    <row r="818" spans="1:69" x14ac:dyDescent="0.35">
      <c r="A818" s="160" t="s">
        <v>140</v>
      </c>
      <c r="B818" s="113">
        <v>1</v>
      </c>
      <c r="C818" s="113">
        <v>1</v>
      </c>
      <c r="D818" s="28">
        <f>SUM(AA818:AD818)</f>
        <v>12</v>
      </c>
      <c r="E818" s="113">
        <v>0</v>
      </c>
      <c r="F818" s="113">
        <v>0</v>
      </c>
      <c r="G818" s="28">
        <f>SUM(D818:F818)</f>
        <v>12</v>
      </c>
      <c r="H818" s="125">
        <v>10</v>
      </c>
      <c r="I818" s="113">
        <v>0</v>
      </c>
      <c r="J818" s="125">
        <v>0</v>
      </c>
      <c r="K818" s="113">
        <v>0</v>
      </c>
      <c r="L818" s="113">
        <v>0</v>
      </c>
      <c r="M818" s="113">
        <v>0</v>
      </c>
      <c r="N818" s="28">
        <f>G818-SUM(H818:M818)</f>
        <v>2</v>
      </c>
      <c r="O818" s="28">
        <f>SUM(V818:Y818)</f>
        <v>2</v>
      </c>
      <c r="P818" s="28">
        <f>O818-N818</f>
        <v>0</v>
      </c>
      <c r="Q818" s="61">
        <f>IF(ISERROR(P818/SUM(H818:L818)),"",P818/SUM(H818:L818))</f>
        <v>0</v>
      </c>
      <c r="R818" s="113">
        <v>175</v>
      </c>
      <c r="S818" s="28">
        <f>IF(ISERROR(P818/C818*R818),0,(P818/C818*R818))</f>
        <v>0</v>
      </c>
      <c r="T818" s="60">
        <f>IF(ISERROR(P818/B818*AF818),0,(P818/B818*AF818))</f>
        <v>0</v>
      </c>
      <c r="V818" s="113">
        <v>2</v>
      </c>
      <c r="W818" s="113">
        <v>0</v>
      </c>
      <c r="X818" s="113">
        <v>0</v>
      </c>
      <c r="Y818" s="113">
        <v>0</v>
      </c>
      <c r="AA818" s="113">
        <f>11+1</f>
        <v>12</v>
      </c>
      <c r="AB818" s="113">
        <v>0</v>
      </c>
      <c r="AC818" s="113">
        <v>0</v>
      </c>
      <c r="AD818" s="113">
        <v>0</v>
      </c>
      <c r="AF818" s="113">
        <f>2181.85/24</f>
        <v>90.910416666666663</v>
      </c>
      <c r="AG818" s="28">
        <f>G818-O818</f>
        <v>10</v>
      </c>
      <c r="AH818" s="58">
        <f>IF(ISERROR(AG818/B818*AF818),0,(AG818/B818*AF818))</f>
        <v>909.10416666666663</v>
      </c>
      <c r="AI818" s="28">
        <f>SUM(H818:M818)</f>
        <v>10</v>
      </c>
      <c r="AJ818" s="28">
        <f>IF(ISERROR(AI818/B818*AF818),0,(AI818/B818*AF818))</f>
        <v>909.10416666666663</v>
      </c>
      <c r="AK818" s="58">
        <f>IF(ISERROR(O818/B818*AF818),0,(O818/B818*AF818))</f>
        <v>181.82083333333333</v>
      </c>
      <c r="AL818" s="28">
        <f>IF(ISERROR(H818/B818*AF818),0,(H818/B818*AF818))</f>
        <v>909.10416666666663</v>
      </c>
      <c r="AN818" s="51" t="str">
        <f>A818</f>
        <v xml:space="preserve">Bacardi Breezer Jambacan </v>
      </c>
      <c r="AO818" s="57">
        <f>IF(ISERROR(IF(B818=C818,D818/C818,(INT(D818/B818)+(((D818-B818*INT(D818/B818)))/C818)/100))),0,(IF(B818=C818,D818/C818,(INT(D818/B818)+(((D818-B818*INT(D818/B818)))/C818)/100))))</f>
        <v>12</v>
      </c>
      <c r="AP818" s="57">
        <f>IF(ISERROR(IF(B818=C818,E818/C818,(INT(E818/B818)+(((E818-B818*INT(E818/B818)))/C818)/100))),0,(IF(B818=C818,E818/C818,(INT(E818/B818)+(((E818-B818*INT(E818/B818)))/C818)/100))))</f>
        <v>0</v>
      </c>
      <c r="AQ818" s="57">
        <f>IF(ISERROR(IF(B818=C818,F818/C818,IF((INT(F818/B818)+(((F818-B818*INT(F818/B818)))/C818)/100)&lt;0,(INT(F818/B818)+(((F818-B818*INT(F818/B818)))/C818)/100)+(1-(B818/C818/100)),(INT(F818/B818)+(((F818-B818*INT(F818/B818)))/C818)/100)))),0,IF(B818=C818,F818/C818,IF((INT(F818/B818)+(((F818-B818*INT(F818/B818)))/C818)/100)&lt;0,(INT(F818/B818)+(((F818-B818*INT(F818/B818)))/C818)/100)+(1-(B818/C818/100)),(INT(F818/B818)+(((F818-B818*INT(F818/B818)))/C818)/100))))</f>
        <v>0</v>
      </c>
      <c r="AR818" s="57">
        <f>IF(ISERROR(IF(B818=C818,G818/C818,(INT(G818/B818)+(((G818-B818*INT(G818/B818)))/C818)/100))),0,(IF(B818=C818,G818/C818,(INT(G818/B818)+(((G818-B818*INT(G818/B818)))/C818)/100))))</f>
        <v>12</v>
      </c>
      <c r="AS818" s="57">
        <f>IF(ISERROR(IF(B818=C818,H818/C818,(INT(H818/B818)+(((H818-B818*INT(H818/B818)))/C818)/100))),0,(IF(B818=C818,H818/C818,(INT(H818/B818)+(((H818-B818*INT(H818/B818)))/C818)/100))))</f>
        <v>10</v>
      </c>
      <c r="AT818" s="57">
        <f>IF(ISERROR(IF(B818=C818,I818/C818,(INT(I818/B818)+(((I818-B818*INT(I818/B818)))/C818)/100))),0,(IF(B818=C818,I818/C818,(INT(I818/B818)+(((I818-B818*INT(I818/B818)))/C818)/100))))</f>
        <v>0</v>
      </c>
      <c r="AU818" s="57">
        <f>IF(ISERROR(IF(B818=C818,J818/C818,(INT(J818/B818)+(((J818-B818*INT(J818/B818)))/C818)/100))),0,(IF(B818=C818,J818/C818,(INT(J818/B818)+(((J818-B818*INT(J818/B818)))/C818)/100))))</f>
        <v>0</v>
      </c>
      <c r="AV818" s="57">
        <f>IF(ISERROR(IF(B818=C818,K818/C818,IF((INT(K818/B818)+(((K818-B818*INT(K818/B818)))/C818)/100)&lt;0,(INT(K818/B818)+(((K818-B818*INT(K818/B818)))/C818)/100)+(1-(B818/C818/100)),(INT(K818/B818)+(((K818-B818*INT(K818/B818)))/C818)/100)))),0,IF(B818=C818,K818/C818,IF((INT(K818/B818)+(((K818-B818*INT(K818/B818)))/C818)/100)&lt;0,(INT(K818/B818)+(((K818-B818*INT(K818/B818)))/C818)/100)+(1-(B818/C818/100)),(INT(K818/B818)+(((K818-B818*INT(K818/B818)))/C818)/100))))</f>
        <v>0</v>
      </c>
      <c r="AW818" s="57">
        <f>IF(ISERROR(IF(B818=C818,L818/C818,(INT(L818/B818)+(((L818-B818*INT(L818/B818)))/C818)/100))),0,(IF(B818=C818,L818/C818,(INT(L818/B818)+(((L818-B818*INT(L818/B818)))/C818)/100))))</f>
        <v>0</v>
      </c>
      <c r="AX818" s="57">
        <f>IF(ISERROR(IF(B818=C818,M818/C818,(INT(M818/B818)+(((M818-B818*INT(M818/B818)))/C818)/100))),0,(IF(B818=C818,M818/C818,(INT(M818/B818)+(((M818-B818*INT(M818/B818)))/C818)/100))))</f>
        <v>0</v>
      </c>
      <c r="AY818" s="57">
        <f>IF(ISERROR(IF(B818=C818,N818/C818,IF((INT(N818/B818)+(((N818-B818*INT(N818/B818)))/C818)/100)&lt;0,(INT(N818/B818)+(((N818-B818*INT(N818/B818)))/C818)/100)+(1-(B818/C818/100)),(INT(N818/B818)+(((N818-B818*INT(N818/B818)))/C818)/100)))),0,IF(B818=C818,N818/C818,IF((INT(N818/B818)+(((N818-B818*INT(N818/B818)))/C818)/100)&lt;0,(INT(N818/B818)+(((N818-B818*INT(N818/B818)))/C818)/100)+(1-(B818/C818/100)),(INT(N818/B818)+(((N818-B818*INT(N818/B818)))/C818)/100))))</f>
        <v>2</v>
      </c>
      <c r="AZ818" s="57">
        <f>IF(ISERROR(IF(B818=C818,O818/C818,(INT(O818/B818)+(((O818-B818*INT(O818/B818)))/C818)/100))),0,(IF(B818=C818,O818/C818,(INT(O818/B818)+(((O818-B818*INT(O818/B818)))/C818)/100))))</f>
        <v>2</v>
      </c>
      <c r="BA818" s="57">
        <f>IF(ISERROR(IF(B818=C818,P818/C818,IF((INT(P818/B818)+(((P818-B818*INT(P818/B818)))/C818)/100)&lt;0,(INT(P818/B818)+(((P818-B818*INT(P818/B818)))/C818)/100)+(1-(B818/C818/100)),(INT(P818/B818)+(((P818-B818*INT(P818/B818)))/C818)/100)))),0,IF(B818=C818,P818/C818,IF((INT(P818/B818)+(((P818-B818*INT(P818/B818)))/C818)/100)&lt;0,(INT(P818/B818)+(((P818-B818*INT(P818/B818)))/C818)/100)+(1-(B818/C818/100)),(INT(P818/B818)+(((P818-B818*INT(P818/B818)))/C818)/100))))</f>
        <v>0</v>
      </c>
      <c r="BB818" s="28">
        <f>R818</f>
        <v>175</v>
      </c>
      <c r="BC818" s="28">
        <f>S818</f>
        <v>0</v>
      </c>
      <c r="BD818" s="28">
        <f>AF818</f>
        <v>90.910416666666663</v>
      </c>
      <c r="BE818" s="28">
        <f>T818</f>
        <v>0</v>
      </c>
      <c r="BG818" s="57">
        <f>IF(ISERROR(IF(B818=C818,V818/C818,(INT(V818/B818)+(((V818-B818*INT(V818/B818)))/C818)/100))),0,(IF(B818=C818,V818/C818,(INT(V818/B818)+(((V818-B818*INT(V818/B818)))/C818)/100))))</f>
        <v>2</v>
      </c>
      <c r="BH818" s="57">
        <f>IF(ISERROR(IF(B818=C818,W818/C818,(INT(W818/B818)+(((W818-B818*INT(W818/B818)))/C818)/100))),0,(IF(B818=C818,W818/C818,(INT(W818/B818)+(((W818-B818*INT(W818/B818)))/C818)/100))))</f>
        <v>0</v>
      </c>
      <c r="BI818" s="57">
        <f>IF(ISERROR(IF(B818=C818,X818/C818,(INT(X818/B818)+(((X818-B818*INT(X818/B818)))/C818)/100))),0,(IF(B818=C818,X818/C818,(INT(X818/B818)+(((X818-B818*INT(X818/B818)))/C818)/100))))</f>
        <v>0</v>
      </c>
      <c r="BJ818" s="57">
        <f>IF(ISERROR(IF(B818=C818,Y818/C818,(INT(Y818/B818)+(((Y818-B818*INT(Y818/B818)))/C818)/100))),0,(IF(B818=C818,Y818/C818,(INT(Y818/B818)+(((Y818-B818*INT(Y818/B818)))/C818)/100))))</f>
        <v>0</v>
      </c>
      <c r="BL818" s="57">
        <f>IF(ISERROR(IF(B818=C818,AA818/C818,(INT(AA818/B818)+(((AA818-B818*INT(AA818/B818)))/C818)/100))),0,(IF(B818=C818,AA818/C818,(INT(AA818/B818)+(((AA818-B818*INT(AA818/B818)))/C818)/100))))</f>
        <v>12</v>
      </c>
      <c r="BM818" s="57">
        <f>IF(ISERROR(IF(B818=C818,AB818/C818,(INT(AB818/B818)+(((AB818-B818*INT(AB818/B818)))/C818)/100))),0,(IF(B818=C818,AB818/C818,(INT(AB818/B818)+(((AB818-B818*INT(AB818/B818)))/C818)/100))))</f>
        <v>0</v>
      </c>
      <c r="BN818" s="57">
        <f>IF(ISERROR(IF(B818=C818,AC818/C818,(INT(AC818/B818)+(((AC818-B818*INT(AC818/B818)))/C818)/100))),0,(IF(B818=C818,AC818/C818,(INT(AC818/B818)+(((AC818-B818*INT(AC818/B818)))/C818)/100))))</f>
        <v>0</v>
      </c>
      <c r="BO818" s="57">
        <f>IF(ISERROR(IF(B818=C818,AD818/C818,(INT(AD818/B818)+(((AD818-B818*INT(AD818/B818)))/C818)/100))),0,(IF(B818=C818,AD818/C818,(INT(AD818/B818)+(((AD818-B818*INT(AD818/B818)))/C818)/100))))</f>
        <v>0</v>
      </c>
      <c r="BQ818" s="155" t="s">
        <v>131</v>
      </c>
    </row>
    <row r="819" spans="1:69" x14ac:dyDescent="0.35">
      <c r="A819" s="160" t="s">
        <v>139</v>
      </c>
      <c r="B819" s="113">
        <v>1</v>
      </c>
      <c r="C819" s="113">
        <v>1</v>
      </c>
      <c r="D819" s="28">
        <f>SUM(AA819:AD819)</f>
        <v>24</v>
      </c>
      <c r="E819" s="113">
        <v>0</v>
      </c>
      <c r="F819" s="113">
        <v>0</v>
      </c>
      <c r="G819" s="28">
        <f>SUM(D819:F819)</f>
        <v>24</v>
      </c>
      <c r="H819" s="125">
        <v>0</v>
      </c>
      <c r="I819" s="113">
        <v>0</v>
      </c>
      <c r="J819" s="125">
        <v>0</v>
      </c>
      <c r="K819" s="113">
        <v>0</v>
      </c>
      <c r="L819" s="113">
        <v>0</v>
      </c>
      <c r="M819" s="113">
        <v>0</v>
      </c>
      <c r="N819" s="28">
        <f>G819-SUM(H819:M819)</f>
        <v>24</v>
      </c>
      <c r="O819" s="28">
        <f>SUM(V819:Y819)</f>
        <v>24</v>
      </c>
      <c r="P819" s="28">
        <f>O819-N819</f>
        <v>0</v>
      </c>
      <c r="Q819" s="61" t="str">
        <f>IF(ISERROR(P819/SUM(H819:L819)),"",P819/SUM(H819:L819))</f>
        <v/>
      </c>
      <c r="R819" s="113">
        <v>175</v>
      </c>
      <c r="S819" s="28">
        <f>IF(ISERROR(P819/C819*R819),0,(P819/C819*R819))</f>
        <v>0</v>
      </c>
      <c r="T819" s="60">
        <f>IF(ISERROR(P819/B819*AF819),0,(P819/B819*AF819))</f>
        <v>0</v>
      </c>
      <c r="V819" s="113">
        <v>0</v>
      </c>
      <c r="W819" s="113">
        <v>24</v>
      </c>
      <c r="X819" s="113">
        <v>0</v>
      </c>
      <c r="Y819" s="113">
        <v>0</v>
      </c>
      <c r="AA819" s="113">
        <v>0</v>
      </c>
      <c r="AB819" s="113">
        <v>24</v>
      </c>
      <c r="AC819" s="113">
        <v>0</v>
      </c>
      <c r="AD819" s="113">
        <v>0</v>
      </c>
      <c r="AF819" s="113">
        <f>2181.85/24</f>
        <v>90.910416666666663</v>
      </c>
      <c r="AG819" s="28">
        <f>G819-O819</f>
        <v>0</v>
      </c>
      <c r="AH819" s="58">
        <f>IF(ISERROR(AG819/B819*AF819),0,(AG819/B819*AF819))</f>
        <v>0</v>
      </c>
      <c r="AI819" s="28">
        <f>SUM(H819:M819)</f>
        <v>0</v>
      </c>
      <c r="AJ819" s="28">
        <f>IF(ISERROR(AI819/B819*AF819),0,(AI819/B819*AF819))</f>
        <v>0</v>
      </c>
      <c r="AK819" s="58">
        <f>IF(ISERROR(O819/B819*AF819),0,(O819/B819*AF819))</f>
        <v>2181.85</v>
      </c>
      <c r="AL819" s="28">
        <f>IF(ISERROR(H819/B819*AF819),0,(H819/B819*AF819))</f>
        <v>0</v>
      </c>
      <c r="AN819" s="51" t="str">
        <f>A819</f>
        <v>Bacardi Breezer Blueberry</v>
      </c>
      <c r="AO819" s="57">
        <f>IF(ISERROR(IF(B819=C819,D819/C819,(INT(D819/B819)+(((D819-B819*INT(D819/B819)))/C819)/100))),0,(IF(B819=C819,D819/C819,(INT(D819/B819)+(((D819-B819*INT(D819/B819)))/C819)/100))))</f>
        <v>24</v>
      </c>
      <c r="AP819" s="57">
        <f>IF(ISERROR(IF(B819=C819,E819/C819,(INT(E819/B819)+(((E819-B819*INT(E819/B819)))/C819)/100))),0,(IF(B819=C819,E819/C819,(INT(E819/B819)+(((E819-B819*INT(E819/B819)))/C819)/100))))</f>
        <v>0</v>
      </c>
      <c r="AQ819" s="57">
        <f>IF(ISERROR(IF(B819=C819,F819/C819,IF((INT(F819/B819)+(((F819-B819*INT(F819/B819)))/C819)/100)&lt;0,(INT(F819/B819)+(((F819-B819*INT(F819/B819)))/C819)/100)+(1-(B819/C819/100)),(INT(F819/B819)+(((F819-B819*INT(F819/B819)))/C819)/100)))),0,IF(B819=C819,F819/C819,IF((INT(F819/B819)+(((F819-B819*INT(F819/B819)))/C819)/100)&lt;0,(INT(F819/B819)+(((F819-B819*INT(F819/B819)))/C819)/100)+(1-(B819/C819/100)),(INT(F819/B819)+(((F819-B819*INT(F819/B819)))/C819)/100))))</f>
        <v>0</v>
      </c>
      <c r="AR819" s="57">
        <f>IF(ISERROR(IF(B819=C819,G819/C819,(INT(G819/B819)+(((G819-B819*INT(G819/B819)))/C819)/100))),0,(IF(B819=C819,G819/C819,(INT(G819/B819)+(((G819-B819*INT(G819/B819)))/C819)/100))))</f>
        <v>24</v>
      </c>
      <c r="AS819" s="57">
        <f>IF(ISERROR(IF(B819=C819,H819/C819,(INT(H819/B819)+(((H819-B819*INT(H819/B819)))/C819)/100))),0,(IF(B819=C819,H819/C819,(INT(H819/B819)+(((H819-B819*INT(H819/B819)))/C819)/100))))</f>
        <v>0</v>
      </c>
      <c r="AT819" s="57">
        <f>IF(ISERROR(IF(B819=C819,I819/C819,(INT(I819/B819)+(((I819-B819*INT(I819/B819)))/C819)/100))),0,(IF(B819=C819,I819/C819,(INT(I819/B819)+(((I819-B819*INT(I819/B819)))/C819)/100))))</f>
        <v>0</v>
      </c>
      <c r="AU819" s="57">
        <f>IF(ISERROR(IF(B819=C819,J819/C819,(INT(J819/B819)+(((J819-B819*INT(J819/B819)))/C819)/100))),0,(IF(B819=C819,J819/C819,(INT(J819/B819)+(((J819-B819*INT(J819/B819)))/C819)/100))))</f>
        <v>0</v>
      </c>
      <c r="AV819" s="57">
        <f>IF(ISERROR(IF(B819=C819,K819/C819,IF((INT(K819/B819)+(((K819-B819*INT(K819/B819)))/C819)/100)&lt;0,(INT(K819/B819)+(((K819-B819*INT(K819/B819)))/C819)/100)+(1-(B819/C819/100)),(INT(K819/B819)+(((K819-B819*INT(K819/B819)))/C819)/100)))),0,IF(B819=C819,K819/C819,IF((INT(K819/B819)+(((K819-B819*INT(K819/B819)))/C819)/100)&lt;0,(INT(K819/B819)+(((K819-B819*INT(K819/B819)))/C819)/100)+(1-(B819/C819/100)),(INT(K819/B819)+(((K819-B819*INT(K819/B819)))/C819)/100))))</f>
        <v>0</v>
      </c>
      <c r="AW819" s="57">
        <f>IF(ISERROR(IF(B819=C819,L819/C819,(INT(L819/B819)+(((L819-B819*INT(L819/B819)))/C819)/100))),0,(IF(B819=C819,L819/C819,(INT(L819/B819)+(((L819-B819*INT(L819/B819)))/C819)/100))))</f>
        <v>0</v>
      </c>
      <c r="AX819" s="57">
        <f>IF(ISERROR(IF(B819=C819,M819/C819,(INT(M819/B819)+(((M819-B819*INT(M819/B819)))/C819)/100))),0,(IF(B819=C819,M819/C819,(INT(M819/B819)+(((M819-B819*INT(M819/B819)))/C819)/100))))</f>
        <v>0</v>
      </c>
      <c r="AY819" s="57">
        <f>IF(ISERROR(IF(B819=C819,N819/C819,IF((INT(N819/B819)+(((N819-B819*INT(N819/B819)))/C819)/100)&lt;0,(INT(N819/B819)+(((N819-B819*INT(N819/B819)))/C819)/100)+(1-(B819/C819/100)),(INT(N819/B819)+(((N819-B819*INT(N819/B819)))/C819)/100)))),0,IF(B819=C819,N819/C819,IF((INT(N819/B819)+(((N819-B819*INT(N819/B819)))/C819)/100)&lt;0,(INT(N819/B819)+(((N819-B819*INT(N819/B819)))/C819)/100)+(1-(B819/C819/100)),(INT(N819/B819)+(((N819-B819*INT(N819/B819)))/C819)/100))))</f>
        <v>24</v>
      </c>
      <c r="AZ819" s="57">
        <f>IF(ISERROR(IF(B819=C819,O819/C819,(INT(O819/B819)+(((O819-B819*INT(O819/B819)))/C819)/100))),0,(IF(B819=C819,O819/C819,(INT(O819/B819)+(((O819-B819*INT(O819/B819)))/C819)/100))))</f>
        <v>24</v>
      </c>
      <c r="BA819" s="57">
        <f>IF(ISERROR(IF(B819=C819,P819/C819,IF((INT(P819/B819)+(((P819-B819*INT(P819/B819)))/C819)/100)&lt;0,(INT(P819/B819)+(((P819-B819*INT(P819/B819)))/C819)/100)+(1-(B819/C819/100)),(INT(P819/B819)+(((P819-B819*INT(P819/B819)))/C819)/100)))),0,IF(B819=C819,P819/C819,IF((INT(P819/B819)+(((P819-B819*INT(P819/B819)))/C819)/100)&lt;0,(INT(P819/B819)+(((P819-B819*INT(P819/B819)))/C819)/100)+(1-(B819/C819/100)),(INT(P819/B819)+(((P819-B819*INT(P819/B819)))/C819)/100))))</f>
        <v>0</v>
      </c>
      <c r="BB819" s="28">
        <f>R819</f>
        <v>175</v>
      </c>
      <c r="BC819" s="28">
        <f>S819</f>
        <v>0</v>
      </c>
      <c r="BD819" s="28">
        <f>AF819</f>
        <v>90.910416666666663</v>
      </c>
      <c r="BE819" s="28">
        <f>T819</f>
        <v>0</v>
      </c>
      <c r="BG819" s="57">
        <f>IF(ISERROR(IF(B819=C819,V819/C819,(INT(V819/B819)+(((V819-B819*INT(V819/B819)))/C819)/100))),0,(IF(B819=C819,V819/C819,(INT(V819/B819)+(((V819-B819*INT(V819/B819)))/C819)/100))))</f>
        <v>0</v>
      </c>
      <c r="BH819" s="57">
        <f>IF(ISERROR(IF(B819=C819,W819/C819,(INT(W819/B819)+(((W819-B819*INT(W819/B819)))/C819)/100))),0,(IF(B819=C819,W819/C819,(INT(W819/B819)+(((W819-B819*INT(W819/B819)))/C819)/100))))</f>
        <v>24</v>
      </c>
      <c r="BI819" s="57">
        <f>IF(ISERROR(IF(B819=C819,X819/C819,(INT(X819/B819)+(((X819-B819*INT(X819/B819)))/C819)/100))),0,(IF(B819=C819,X819/C819,(INT(X819/B819)+(((X819-B819*INT(X819/B819)))/C819)/100))))</f>
        <v>0</v>
      </c>
      <c r="BJ819" s="57">
        <f>IF(ISERROR(IF(B819=C819,Y819/C819,(INT(Y819/B819)+(((Y819-B819*INT(Y819/B819)))/C819)/100))),0,(IF(B819=C819,Y819/C819,(INT(Y819/B819)+(((Y819-B819*INT(Y819/B819)))/C819)/100))))</f>
        <v>0</v>
      </c>
      <c r="BL819" s="57">
        <f>IF(ISERROR(IF(B819=C819,AA819/C819,(INT(AA819/B819)+(((AA819-B819*INT(AA819/B819)))/C819)/100))),0,(IF(B819=C819,AA819/C819,(INT(AA819/B819)+(((AA819-B819*INT(AA819/B819)))/C819)/100))))</f>
        <v>0</v>
      </c>
      <c r="BM819" s="57">
        <f>IF(ISERROR(IF(B819=C819,AB819/C819,(INT(AB819/B819)+(((AB819-B819*INT(AB819/B819)))/C819)/100))),0,(IF(B819=C819,AB819/C819,(INT(AB819/B819)+(((AB819-B819*INT(AB819/B819)))/C819)/100))))</f>
        <v>24</v>
      </c>
      <c r="BN819" s="57">
        <f>IF(ISERROR(IF(B819=C819,AC819/C819,(INT(AC819/B819)+(((AC819-B819*INT(AC819/B819)))/C819)/100))),0,(IF(B819=C819,AC819/C819,(INT(AC819/B819)+(((AC819-B819*INT(AC819/B819)))/C819)/100))))</f>
        <v>0</v>
      </c>
      <c r="BO819" s="57">
        <f>IF(ISERROR(IF(B819=C819,AD819/C819,(INT(AD819/B819)+(((AD819-B819*INT(AD819/B819)))/C819)/100))),0,(IF(B819=C819,AD819/C819,(INT(AD819/B819)+(((AD819-B819*INT(AD819/B819)))/C819)/100))))</f>
        <v>0</v>
      </c>
      <c r="BQ819" s="155" t="s">
        <v>131</v>
      </c>
    </row>
    <row r="820" spans="1:69" x14ac:dyDescent="0.35">
      <c r="A820" s="160" t="s">
        <v>138</v>
      </c>
      <c r="B820" s="113">
        <v>1</v>
      </c>
      <c r="C820" s="113">
        <v>1</v>
      </c>
      <c r="D820" s="28">
        <f>SUM(AA820:AD820)</f>
        <v>29</v>
      </c>
      <c r="E820" s="113">
        <v>0</v>
      </c>
      <c r="F820" s="113">
        <v>0</v>
      </c>
      <c r="G820" s="28">
        <f>SUM(D820:F820)</f>
        <v>29</v>
      </c>
      <c r="H820" s="125">
        <v>1</v>
      </c>
      <c r="I820" s="113">
        <v>0</v>
      </c>
      <c r="J820" s="125">
        <v>0</v>
      </c>
      <c r="K820" s="113">
        <v>0</v>
      </c>
      <c r="L820" s="113">
        <v>0</v>
      </c>
      <c r="M820" s="113">
        <v>0</v>
      </c>
      <c r="N820" s="28">
        <f>G820-SUM(H820:M820)</f>
        <v>28</v>
      </c>
      <c r="O820" s="28">
        <f>SUM(V820:Y820)</f>
        <v>28</v>
      </c>
      <c r="P820" s="28">
        <f>O820-N820</f>
        <v>0</v>
      </c>
      <c r="Q820" s="61">
        <f>IF(ISERROR(P820/SUM(H820:L820)),"",P820/SUM(H820:L820))</f>
        <v>0</v>
      </c>
      <c r="R820" s="113">
        <v>175</v>
      </c>
      <c r="S820" s="28">
        <f>IF(ISERROR(P820/C820*R820),0,(P820/C820*R820))</f>
        <v>0</v>
      </c>
      <c r="T820" s="60">
        <f>IF(ISERROR(P820/B820*AF820),0,(P820/B820*AF820))</f>
        <v>0</v>
      </c>
      <c r="V820" s="113">
        <v>4</v>
      </c>
      <c r="W820" s="113">
        <v>24</v>
      </c>
      <c r="X820" s="113">
        <v>0</v>
      </c>
      <c r="Y820" s="113">
        <v>0</v>
      </c>
      <c r="AA820" s="113">
        <f>5</f>
        <v>5</v>
      </c>
      <c r="AB820" s="113">
        <v>24</v>
      </c>
      <c r="AC820" s="113">
        <v>0</v>
      </c>
      <c r="AD820" s="113">
        <v>0</v>
      </c>
      <c r="AF820" s="113">
        <f>2181.85/24</f>
        <v>90.910416666666663</v>
      </c>
      <c r="AG820" s="28">
        <f>G820-O820</f>
        <v>1</v>
      </c>
      <c r="AH820" s="58">
        <f>IF(ISERROR(AG820/B820*AF820),0,(AG820/B820*AF820))</f>
        <v>90.910416666666663</v>
      </c>
      <c r="AI820" s="28">
        <f>SUM(H820:M820)</f>
        <v>1</v>
      </c>
      <c r="AJ820" s="28">
        <f>IF(ISERROR(AI820/B820*AF820),0,(AI820/B820*AF820))</f>
        <v>90.910416666666663</v>
      </c>
      <c r="AK820" s="58">
        <f>IF(ISERROR(O820/B820*AF820),0,(O820/B820*AF820))</f>
        <v>2545.4916666666668</v>
      </c>
      <c r="AL820" s="28">
        <f>IF(ISERROR(H820/B820*AF820),0,(H820/B820*AF820))</f>
        <v>90.910416666666663</v>
      </c>
      <c r="AN820" s="51" t="str">
        <f>A820</f>
        <v xml:space="preserve">Bacardi Breezer Orange </v>
      </c>
      <c r="AO820" s="57">
        <f>IF(ISERROR(IF(B820=C820,D820/C820,(INT(D820/B820)+(((D820-B820*INT(D820/B820)))/C820)/100))),0,(IF(B820=C820,D820/C820,(INT(D820/B820)+(((D820-B820*INT(D820/B820)))/C820)/100))))</f>
        <v>29</v>
      </c>
      <c r="AP820" s="57">
        <f>IF(ISERROR(IF(B820=C820,E820/C820,(INT(E820/B820)+(((E820-B820*INT(E820/B820)))/C820)/100))),0,(IF(B820=C820,E820/C820,(INT(E820/B820)+(((E820-B820*INT(E820/B820)))/C820)/100))))</f>
        <v>0</v>
      </c>
      <c r="AQ820" s="57">
        <f>IF(ISERROR(IF(B820=C820,F820/C820,IF((INT(F820/B820)+(((F820-B820*INT(F820/B820)))/C820)/100)&lt;0,(INT(F820/B820)+(((F820-B820*INT(F820/B820)))/C820)/100)+(1-(B820/C820/100)),(INT(F820/B820)+(((F820-B820*INT(F820/B820)))/C820)/100)))),0,IF(B820=C820,F820/C820,IF((INT(F820/B820)+(((F820-B820*INT(F820/B820)))/C820)/100)&lt;0,(INT(F820/B820)+(((F820-B820*INT(F820/B820)))/C820)/100)+(1-(B820/C820/100)),(INT(F820/B820)+(((F820-B820*INT(F820/B820)))/C820)/100))))</f>
        <v>0</v>
      </c>
      <c r="AR820" s="57">
        <f>IF(ISERROR(IF(B820=C820,G820/C820,(INT(G820/B820)+(((G820-B820*INT(G820/B820)))/C820)/100))),0,(IF(B820=C820,G820/C820,(INT(G820/B820)+(((G820-B820*INT(G820/B820)))/C820)/100))))</f>
        <v>29</v>
      </c>
      <c r="AS820" s="57">
        <f>IF(ISERROR(IF(B820=C820,H820/C820,(INT(H820/B820)+(((H820-B820*INT(H820/B820)))/C820)/100))),0,(IF(B820=C820,H820/C820,(INT(H820/B820)+(((H820-B820*INT(H820/B820)))/C820)/100))))</f>
        <v>1</v>
      </c>
      <c r="AT820" s="57">
        <f>IF(ISERROR(IF(B820=C820,I820/C820,(INT(I820/B820)+(((I820-B820*INT(I820/B820)))/C820)/100))),0,(IF(B820=C820,I820/C820,(INT(I820/B820)+(((I820-B820*INT(I820/B820)))/C820)/100))))</f>
        <v>0</v>
      </c>
      <c r="AU820" s="57">
        <f>IF(ISERROR(IF(B820=C820,J820/C820,(INT(J820/B820)+(((J820-B820*INT(J820/B820)))/C820)/100))),0,(IF(B820=C820,J820/C820,(INT(J820/B820)+(((J820-B820*INT(J820/B820)))/C820)/100))))</f>
        <v>0</v>
      </c>
      <c r="AV820" s="57">
        <f>IF(ISERROR(IF(B820=C820,K820/C820,IF((INT(K820/B820)+(((K820-B820*INT(K820/B820)))/C820)/100)&lt;0,(INT(K820/B820)+(((K820-B820*INT(K820/B820)))/C820)/100)+(1-(B820/C820/100)),(INT(K820/B820)+(((K820-B820*INT(K820/B820)))/C820)/100)))),0,IF(B820=C820,K820/C820,IF((INT(K820/B820)+(((K820-B820*INT(K820/B820)))/C820)/100)&lt;0,(INT(K820/B820)+(((K820-B820*INT(K820/B820)))/C820)/100)+(1-(B820/C820/100)),(INT(K820/B820)+(((K820-B820*INT(K820/B820)))/C820)/100))))</f>
        <v>0</v>
      </c>
      <c r="AW820" s="57">
        <f>IF(ISERROR(IF(B820=C820,L820/C820,(INT(L820/B820)+(((L820-B820*INT(L820/B820)))/C820)/100))),0,(IF(B820=C820,L820/C820,(INT(L820/B820)+(((L820-B820*INT(L820/B820)))/C820)/100))))</f>
        <v>0</v>
      </c>
      <c r="AX820" s="57">
        <f>IF(ISERROR(IF(B820=C820,M820/C820,(INT(M820/B820)+(((M820-B820*INT(M820/B820)))/C820)/100))),0,(IF(B820=C820,M820/C820,(INT(M820/B820)+(((M820-B820*INT(M820/B820)))/C820)/100))))</f>
        <v>0</v>
      </c>
      <c r="AY820" s="57">
        <f>IF(ISERROR(IF(B820=C820,N820/C820,IF((INT(N820/B820)+(((N820-B820*INT(N820/B820)))/C820)/100)&lt;0,(INT(N820/B820)+(((N820-B820*INT(N820/B820)))/C820)/100)+(1-(B820/C820/100)),(INT(N820/B820)+(((N820-B820*INT(N820/B820)))/C820)/100)))),0,IF(B820=C820,N820/C820,IF((INT(N820/B820)+(((N820-B820*INT(N820/B820)))/C820)/100)&lt;0,(INT(N820/B820)+(((N820-B820*INT(N820/B820)))/C820)/100)+(1-(B820/C820/100)),(INT(N820/B820)+(((N820-B820*INT(N820/B820)))/C820)/100))))</f>
        <v>28</v>
      </c>
      <c r="AZ820" s="57">
        <f>IF(ISERROR(IF(B820=C820,O820/C820,(INT(O820/B820)+(((O820-B820*INT(O820/B820)))/C820)/100))),0,(IF(B820=C820,O820/C820,(INT(O820/B820)+(((O820-B820*INT(O820/B820)))/C820)/100))))</f>
        <v>28</v>
      </c>
      <c r="BA820" s="57">
        <f>IF(ISERROR(IF(B820=C820,P820/C820,IF((INT(P820/B820)+(((P820-B820*INT(P820/B820)))/C820)/100)&lt;0,(INT(P820/B820)+(((P820-B820*INT(P820/B820)))/C820)/100)+(1-(B820/C820/100)),(INT(P820/B820)+(((P820-B820*INT(P820/B820)))/C820)/100)))),0,IF(B820=C820,P820/C820,IF((INT(P820/B820)+(((P820-B820*INT(P820/B820)))/C820)/100)&lt;0,(INT(P820/B820)+(((P820-B820*INT(P820/B820)))/C820)/100)+(1-(B820/C820/100)),(INT(P820/B820)+(((P820-B820*INT(P820/B820)))/C820)/100))))</f>
        <v>0</v>
      </c>
      <c r="BB820" s="28">
        <f>R820</f>
        <v>175</v>
      </c>
      <c r="BC820" s="28">
        <f>S820</f>
        <v>0</v>
      </c>
      <c r="BD820" s="28">
        <f>AF820</f>
        <v>90.910416666666663</v>
      </c>
      <c r="BE820" s="28">
        <f>T820</f>
        <v>0</v>
      </c>
      <c r="BG820" s="57">
        <f>IF(ISERROR(IF(B820=C820,V820/C820,(INT(V820/B820)+(((V820-B820*INT(V820/B820)))/C820)/100))),0,(IF(B820=C820,V820/C820,(INT(V820/B820)+(((V820-B820*INT(V820/B820)))/C820)/100))))</f>
        <v>4</v>
      </c>
      <c r="BH820" s="57">
        <f>IF(ISERROR(IF(B820=C820,W820/C820,(INT(W820/B820)+(((W820-B820*INT(W820/B820)))/C820)/100))),0,(IF(B820=C820,W820/C820,(INT(W820/B820)+(((W820-B820*INT(W820/B820)))/C820)/100))))</f>
        <v>24</v>
      </c>
      <c r="BI820" s="57">
        <f>IF(ISERROR(IF(B820=C820,X820/C820,(INT(X820/B820)+(((X820-B820*INT(X820/B820)))/C820)/100))),0,(IF(B820=C820,X820/C820,(INT(X820/B820)+(((X820-B820*INT(X820/B820)))/C820)/100))))</f>
        <v>0</v>
      </c>
      <c r="BJ820" s="57">
        <f>IF(ISERROR(IF(B820=C820,Y820/C820,(INT(Y820/B820)+(((Y820-B820*INT(Y820/B820)))/C820)/100))),0,(IF(B820=C820,Y820/C820,(INT(Y820/B820)+(((Y820-B820*INT(Y820/B820)))/C820)/100))))</f>
        <v>0</v>
      </c>
      <c r="BL820" s="57">
        <f>IF(ISERROR(IF(B820=C820,AA820/C820,(INT(AA820/B820)+(((AA820-B820*INT(AA820/B820)))/C820)/100))),0,(IF(B820=C820,AA820/C820,(INT(AA820/B820)+(((AA820-B820*INT(AA820/B820)))/C820)/100))))</f>
        <v>5</v>
      </c>
      <c r="BM820" s="57">
        <f>IF(ISERROR(IF(B820=C820,AB820/C820,(INT(AB820/B820)+(((AB820-B820*INT(AB820/B820)))/C820)/100))),0,(IF(B820=C820,AB820/C820,(INT(AB820/B820)+(((AB820-B820*INT(AB820/B820)))/C820)/100))))</f>
        <v>24</v>
      </c>
      <c r="BN820" s="57">
        <f>IF(ISERROR(IF(B820=C820,AC820/C820,(INT(AC820/B820)+(((AC820-B820*INT(AC820/B820)))/C820)/100))),0,(IF(B820=C820,AC820/C820,(INT(AC820/B820)+(((AC820-B820*INT(AC820/B820)))/C820)/100))))</f>
        <v>0</v>
      </c>
      <c r="BO820" s="57">
        <f>IF(ISERROR(IF(B820=C820,AD820/C820,(INT(AD820/B820)+(((AD820-B820*INT(AD820/B820)))/C820)/100))),0,(IF(B820=C820,AD820/C820,(INT(AD820/B820)+(((AD820-B820*INT(AD820/B820)))/C820)/100))))</f>
        <v>0</v>
      </c>
      <c r="BQ820" s="155" t="s">
        <v>131</v>
      </c>
    </row>
    <row r="821" spans="1:69" x14ac:dyDescent="0.35">
      <c r="A821" s="160" t="s">
        <v>137</v>
      </c>
      <c r="B821" s="113">
        <v>1</v>
      </c>
      <c r="C821" s="113">
        <v>1</v>
      </c>
      <c r="D821" s="28">
        <f>SUM(AA821:AD821)</f>
        <v>0</v>
      </c>
      <c r="E821" s="113">
        <v>0</v>
      </c>
      <c r="F821" s="113">
        <v>0</v>
      </c>
      <c r="G821" s="28">
        <f>SUM(D821:F821)</f>
        <v>0</v>
      </c>
      <c r="H821" s="125">
        <v>0</v>
      </c>
      <c r="I821" s="113">
        <v>0</v>
      </c>
      <c r="J821" s="125">
        <v>0</v>
      </c>
      <c r="K821" s="113">
        <v>0</v>
      </c>
      <c r="L821" s="113">
        <v>0</v>
      </c>
      <c r="M821" s="113">
        <v>0</v>
      </c>
      <c r="N821" s="28">
        <f>G821-SUM(H821:M821)</f>
        <v>0</v>
      </c>
      <c r="O821" s="28">
        <f>SUM(V821:Y821)</f>
        <v>0</v>
      </c>
      <c r="P821" s="28">
        <f>O821-N821</f>
        <v>0</v>
      </c>
      <c r="Q821" s="61" t="str">
        <f>IF(ISERROR(P821/SUM(H821:L821)),"",P821/SUM(H821:L821))</f>
        <v/>
      </c>
      <c r="R821" s="113">
        <v>175</v>
      </c>
      <c r="S821" s="28">
        <f>IF(ISERROR(P821/C821*R821),0,(P821/C821*R821))</f>
        <v>0</v>
      </c>
      <c r="T821" s="60">
        <f>IF(ISERROR(P821/B821*AF821),0,(P821/B821*AF821))</f>
        <v>0</v>
      </c>
      <c r="V821" s="113">
        <v>0</v>
      </c>
      <c r="W821" s="113">
        <v>0</v>
      </c>
      <c r="X821" s="113">
        <v>0</v>
      </c>
      <c r="Y821" s="113">
        <v>0</v>
      </c>
      <c r="AA821" s="113">
        <v>0</v>
      </c>
      <c r="AB821" s="113">
        <v>0</v>
      </c>
      <c r="AC821" s="113">
        <v>0</v>
      </c>
      <c r="AD821" s="113">
        <v>0</v>
      </c>
      <c r="AF821" s="113">
        <f>2181.85/24</f>
        <v>90.910416666666663</v>
      </c>
      <c r="AG821" s="28">
        <f>G821-O821</f>
        <v>0</v>
      </c>
      <c r="AH821" s="58">
        <f>IF(ISERROR(AG821/B821*AF821),0,(AG821/B821*AF821))</f>
        <v>0</v>
      </c>
      <c r="AI821" s="28">
        <f>SUM(H821:M821)</f>
        <v>0</v>
      </c>
      <c r="AJ821" s="28">
        <f>IF(ISERROR(AI821/B821*AF821),0,(AI821/B821*AF821))</f>
        <v>0</v>
      </c>
      <c r="AK821" s="58">
        <f>IF(ISERROR(O821/B821*AF821),0,(O821/B821*AF821))</f>
        <v>0</v>
      </c>
      <c r="AL821" s="28">
        <f>IF(ISERROR(H821/B821*AF821),0,(H821/B821*AF821))</f>
        <v>0</v>
      </c>
      <c r="AN821" s="51" t="str">
        <f>A821</f>
        <v xml:space="preserve">Bacardi Breezers Cranberry </v>
      </c>
      <c r="AO821" s="57">
        <f>IF(ISERROR(IF(B821=C821,D821/C821,(INT(D821/B821)+(((D821-B821*INT(D821/B821)))/C821)/100))),0,(IF(B821=C821,D821/C821,(INT(D821/B821)+(((D821-B821*INT(D821/B821)))/C821)/100))))</f>
        <v>0</v>
      </c>
      <c r="AP821" s="57">
        <f>IF(ISERROR(IF(B821=C821,E821/C821,(INT(E821/B821)+(((E821-B821*INT(E821/B821)))/C821)/100))),0,(IF(B821=C821,E821/C821,(INT(E821/B821)+(((E821-B821*INT(E821/B821)))/C821)/100))))</f>
        <v>0</v>
      </c>
      <c r="AQ821" s="57">
        <f>IF(ISERROR(IF(B821=C821,F821/C821,IF((INT(F821/B821)+(((F821-B821*INT(F821/B821)))/C821)/100)&lt;0,(INT(F821/B821)+(((F821-B821*INT(F821/B821)))/C821)/100)+(1-(B821/C821/100)),(INT(F821/B821)+(((F821-B821*INT(F821/B821)))/C821)/100)))),0,IF(B821=C821,F821/C821,IF((INT(F821/B821)+(((F821-B821*INT(F821/B821)))/C821)/100)&lt;0,(INT(F821/B821)+(((F821-B821*INT(F821/B821)))/C821)/100)+(1-(B821/C821/100)),(INT(F821/B821)+(((F821-B821*INT(F821/B821)))/C821)/100))))</f>
        <v>0</v>
      </c>
      <c r="AR821" s="57">
        <f>IF(ISERROR(IF(B821=C821,G821/C821,(INT(G821/B821)+(((G821-B821*INT(G821/B821)))/C821)/100))),0,(IF(B821=C821,G821/C821,(INT(G821/B821)+(((G821-B821*INT(G821/B821)))/C821)/100))))</f>
        <v>0</v>
      </c>
      <c r="AS821" s="57">
        <f>IF(ISERROR(IF(B821=C821,H821/C821,(INT(H821/B821)+(((H821-B821*INT(H821/B821)))/C821)/100))),0,(IF(B821=C821,H821/C821,(INT(H821/B821)+(((H821-B821*INT(H821/B821)))/C821)/100))))</f>
        <v>0</v>
      </c>
      <c r="AT821" s="57">
        <f>IF(ISERROR(IF(B821=C821,I821/C821,(INT(I821/B821)+(((I821-B821*INT(I821/B821)))/C821)/100))),0,(IF(B821=C821,I821/C821,(INT(I821/B821)+(((I821-B821*INT(I821/B821)))/C821)/100))))</f>
        <v>0</v>
      </c>
      <c r="AU821" s="57">
        <f>IF(ISERROR(IF(B821=C821,J821/C821,(INT(J821/B821)+(((J821-B821*INT(J821/B821)))/C821)/100))),0,(IF(B821=C821,J821/C821,(INT(J821/B821)+(((J821-B821*INT(J821/B821)))/C821)/100))))</f>
        <v>0</v>
      </c>
      <c r="AV821" s="57">
        <f>IF(ISERROR(IF(B821=C821,K821/C821,IF((INT(K821/B821)+(((K821-B821*INT(K821/B821)))/C821)/100)&lt;0,(INT(K821/B821)+(((K821-B821*INT(K821/B821)))/C821)/100)+(1-(B821/C821/100)),(INT(K821/B821)+(((K821-B821*INT(K821/B821)))/C821)/100)))),0,IF(B821=C821,K821/C821,IF((INT(K821/B821)+(((K821-B821*INT(K821/B821)))/C821)/100)&lt;0,(INT(K821/B821)+(((K821-B821*INT(K821/B821)))/C821)/100)+(1-(B821/C821/100)),(INT(K821/B821)+(((K821-B821*INT(K821/B821)))/C821)/100))))</f>
        <v>0</v>
      </c>
      <c r="AW821" s="57">
        <f>IF(ISERROR(IF(B821=C821,L821/C821,(INT(L821/B821)+(((L821-B821*INT(L821/B821)))/C821)/100))),0,(IF(B821=C821,L821/C821,(INT(L821/B821)+(((L821-B821*INT(L821/B821)))/C821)/100))))</f>
        <v>0</v>
      </c>
      <c r="AX821" s="57">
        <f>IF(ISERROR(IF(B821=C821,M821/C821,(INT(M821/B821)+(((M821-B821*INT(M821/B821)))/C821)/100))),0,(IF(B821=C821,M821/C821,(INT(M821/B821)+(((M821-B821*INT(M821/B821)))/C821)/100))))</f>
        <v>0</v>
      </c>
      <c r="AY821" s="57">
        <f>IF(ISERROR(IF(B821=C821,N821/C821,IF((INT(N821/B821)+(((N821-B821*INT(N821/B821)))/C821)/100)&lt;0,(INT(N821/B821)+(((N821-B821*INT(N821/B821)))/C821)/100)+(1-(B821/C821/100)),(INT(N821/B821)+(((N821-B821*INT(N821/B821)))/C821)/100)))),0,IF(B821=C821,N821/C821,IF((INT(N821/B821)+(((N821-B821*INT(N821/B821)))/C821)/100)&lt;0,(INT(N821/B821)+(((N821-B821*INT(N821/B821)))/C821)/100)+(1-(B821/C821/100)),(INT(N821/B821)+(((N821-B821*INT(N821/B821)))/C821)/100))))</f>
        <v>0</v>
      </c>
      <c r="AZ821" s="57">
        <f>IF(ISERROR(IF(B821=C821,O821/C821,(INT(O821/B821)+(((O821-B821*INT(O821/B821)))/C821)/100))),0,(IF(B821=C821,O821/C821,(INT(O821/B821)+(((O821-B821*INT(O821/B821)))/C821)/100))))</f>
        <v>0</v>
      </c>
      <c r="BA821" s="57">
        <f>IF(ISERROR(IF(B821=C821,P821/C821,IF((INT(P821/B821)+(((P821-B821*INT(P821/B821)))/C821)/100)&lt;0,(INT(P821/B821)+(((P821-B821*INT(P821/B821)))/C821)/100)+(1-(B821/C821/100)),(INT(P821/B821)+(((P821-B821*INT(P821/B821)))/C821)/100)))),0,IF(B821=C821,P821/C821,IF((INT(P821/B821)+(((P821-B821*INT(P821/B821)))/C821)/100)&lt;0,(INT(P821/B821)+(((P821-B821*INT(P821/B821)))/C821)/100)+(1-(B821/C821/100)),(INT(P821/B821)+(((P821-B821*INT(P821/B821)))/C821)/100))))</f>
        <v>0</v>
      </c>
      <c r="BB821" s="28">
        <f>R821</f>
        <v>175</v>
      </c>
      <c r="BC821" s="28">
        <f>S821</f>
        <v>0</v>
      </c>
      <c r="BD821" s="28">
        <f>AF821</f>
        <v>90.910416666666663</v>
      </c>
      <c r="BE821" s="28">
        <f>T821</f>
        <v>0</v>
      </c>
      <c r="BG821" s="57">
        <f>IF(ISERROR(IF(B821=C821,V821/C821,(INT(V821/B821)+(((V821-B821*INT(V821/B821)))/C821)/100))),0,(IF(B821=C821,V821/C821,(INT(V821/B821)+(((V821-B821*INT(V821/B821)))/C821)/100))))</f>
        <v>0</v>
      </c>
      <c r="BH821" s="57">
        <f>IF(ISERROR(IF(B821=C821,W821/C821,(INT(W821/B821)+(((W821-B821*INT(W821/B821)))/C821)/100))),0,(IF(B821=C821,W821/C821,(INT(W821/B821)+(((W821-B821*INT(W821/B821)))/C821)/100))))</f>
        <v>0</v>
      </c>
      <c r="BI821" s="57">
        <f>IF(ISERROR(IF(B821=C821,X821/C821,(INT(X821/B821)+(((X821-B821*INT(X821/B821)))/C821)/100))),0,(IF(B821=C821,X821/C821,(INT(X821/B821)+(((X821-B821*INT(X821/B821)))/C821)/100))))</f>
        <v>0</v>
      </c>
      <c r="BJ821" s="57">
        <f>IF(ISERROR(IF(B821=C821,Y821/C821,(INT(Y821/B821)+(((Y821-B821*INT(Y821/B821)))/C821)/100))),0,(IF(B821=C821,Y821/C821,(INT(Y821/B821)+(((Y821-B821*INT(Y821/B821)))/C821)/100))))</f>
        <v>0</v>
      </c>
      <c r="BL821" s="57">
        <f>IF(ISERROR(IF(B821=C821,AA821/C821,(INT(AA821/B821)+(((AA821-B821*INT(AA821/B821)))/C821)/100))),0,(IF(B821=C821,AA821/C821,(INT(AA821/B821)+(((AA821-B821*INT(AA821/B821)))/C821)/100))))</f>
        <v>0</v>
      </c>
      <c r="BM821" s="57">
        <f>IF(ISERROR(IF(B821=C821,AB821/C821,(INT(AB821/B821)+(((AB821-B821*INT(AB821/B821)))/C821)/100))),0,(IF(B821=C821,AB821/C821,(INT(AB821/B821)+(((AB821-B821*INT(AB821/B821)))/C821)/100))))</f>
        <v>0</v>
      </c>
      <c r="BN821" s="57">
        <f>IF(ISERROR(IF(B821=C821,AC821/C821,(INT(AC821/B821)+(((AC821-B821*INT(AC821/B821)))/C821)/100))),0,(IF(B821=C821,AC821/C821,(INT(AC821/B821)+(((AC821-B821*INT(AC821/B821)))/C821)/100))))</f>
        <v>0</v>
      </c>
      <c r="BO821" s="57">
        <f>IF(ISERROR(IF(B821=C821,AD821/C821,(INT(AD821/B821)+(((AD821-B821*INT(AD821/B821)))/C821)/100))),0,(IF(B821=C821,AD821/C821,(INT(AD821/B821)+(((AD821-B821*INT(AD821/B821)))/C821)/100))))</f>
        <v>0</v>
      </c>
      <c r="BQ821" s="155" t="s">
        <v>131</v>
      </c>
    </row>
    <row r="822" spans="1:69" x14ac:dyDescent="0.35">
      <c r="A822" s="160" t="s">
        <v>136</v>
      </c>
      <c r="B822" s="113">
        <v>1</v>
      </c>
      <c r="C822" s="113">
        <v>1</v>
      </c>
      <c r="D822" s="28">
        <f>SUM(AA822:AD822)</f>
        <v>9</v>
      </c>
      <c r="E822" s="113">
        <v>0</v>
      </c>
      <c r="F822" s="113">
        <v>0</v>
      </c>
      <c r="G822" s="28">
        <f>SUM(D822:F822)</f>
        <v>9</v>
      </c>
      <c r="H822" s="125">
        <v>2</v>
      </c>
      <c r="I822" s="113">
        <v>0</v>
      </c>
      <c r="J822" s="125">
        <v>0</v>
      </c>
      <c r="K822" s="113">
        <v>0</v>
      </c>
      <c r="L822" s="113">
        <v>0</v>
      </c>
      <c r="M822" s="113">
        <v>0</v>
      </c>
      <c r="N822" s="28">
        <f>G822-SUM(H822:M822)</f>
        <v>7</v>
      </c>
      <c r="O822" s="28">
        <f>SUM(V822:Y822)</f>
        <v>7</v>
      </c>
      <c r="P822" s="28">
        <f>O822-N822</f>
        <v>0</v>
      </c>
      <c r="Q822" s="61">
        <f>IF(ISERROR(P822/SUM(H822:L822)),"",P822/SUM(H822:L822))</f>
        <v>0</v>
      </c>
      <c r="R822" s="113">
        <v>175</v>
      </c>
      <c r="S822" s="28">
        <f>IF(ISERROR(P822/C822*R822),0,(P822/C822*R822))</f>
        <v>0</v>
      </c>
      <c r="T822" s="60">
        <f>IF(ISERROR(P822/B822*AF822),0,(P822/B822*AF822))</f>
        <v>0</v>
      </c>
      <c r="V822" s="113">
        <v>7</v>
      </c>
      <c r="W822" s="113">
        <v>0</v>
      </c>
      <c r="X822" s="113">
        <v>0</v>
      </c>
      <c r="Y822" s="113">
        <v>0</v>
      </c>
      <c r="AA822" s="113">
        <f>9</f>
        <v>9</v>
      </c>
      <c r="AB822" s="113">
        <v>0</v>
      </c>
      <c r="AC822" s="113">
        <v>0</v>
      </c>
      <c r="AD822" s="113">
        <v>0</v>
      </c>
      <c r="AF822" s="113">
        <f>2181.85/24</f>
        <v>90.910416666666663</v>
      </c>
      <c r="AG822" s="28">
        <f>G822-O822</f>
        <v>2</v>
      </c>
      <c r="AH822" s="58">
        <f>IF(ISERROR(AG822/B822*AF822),0,(AG822/B822*AF822))</f>
        <v>181.82083333333333</v>
      </c>
      <c r="AI822" s="28">
        <f>SUM(H822:M822)</f>
        <v>2</v>
      </c>
      <c r="AJ822" s="28">
        <f>IF(ISERROR(AI822/B822*AF822),0,(AI822/B822*AF822))</f>
        <v>181.82083333333333</v>
      </c>
      <c r="AK822" s="58">
        <f>IF(ISERROR(O822/B822*AF822),0,(O822/B822*AF822))</f>
        <v>636.3729166666667</v>
      </c>
      <c r="AL822" s="28">
        <f>IF(ISERROR(H822/B822*AF822),0,(H822/B822*AF822))</f>
        <v>181.82083333333333</v>
      </c>
      <c r="AN822" s="51" t="str">
        <f>A822</f>
        <v xml:space="preserve">Bacardi Breezers Blackberry </v>
      </c>
      <c r="AO822" s="57">
        <f>IF(ISERROR(IF(B822=C822,D822/C822,(INT(D822/B822)+(((D822-B822*INT(D822/B822)))/C822)/100))),0,(IF(B822=C822,D822/C822,(INT(D822/B822)+(((D822-B822*INT(D822/B822)))/C822)/100))))</f>
        <v>9</v>
      </c>
      <c r="AP822" s="57">
        <f>IF(ISERROR(IF(B822=C822,E822/C822,(INT(E822/B822)+(((E822-B822*INT(E822/B822)))/C822)/100))),0,(IF(B822=C822,E822/C822,(INT(E822/B822)+(((E822-B822*INT(E822/B822)))/C822)/100))))</f>
        <v>0</v>
      </c>
      <c r="AQ822" s="57">
        <f>IF(ISERROR(IF(B822=C822,F822/C822,IF((INT(F822/B822)+(((F822-B822*INT(F822/B822)))/C822)/100)&lt;0,(INT(F822/B822)+(((F822-B822*INT(F822/B822)))/C822)/100)+(1-(B822/C822/100)),(INT(F822/B822)+(((F822-B822*INT(F822/B822)))/C822)/100)))),0,IF(B822=C822,F822/C822,IF((INT(F822/B822)+(((F822-B822*INT(F822/B822)))/C822)/100)&lt;0,(INT(F822/B822)+(((F822-B822*INT(F822/B822)))/C822)/100)+(1-(B822/C822/100)),(INT(F822/B822)+(((F822-B822*INT(F822/B822)))/C822)/100))))</f>
        <v>0</v>
      </c>
      <c r="AR822" s="57">
        <f>IF(ISERROR(IF(B822=C822,G822/C822,(INT(G822/B822)+(((G822-B822*INT(G822/B822)))/C822)/100))),0,(IF(B822=C822,G822/C822,(INT(G822/B822)+(((G822-B822*INT(G822/B822)))/C822)/100))))</f>
        <v>9</v>
      </c>
      <c r="AS822" s="57">
        <f>IF(ISERROR(IF(B822=C822,H822/C822,(INT(H822/B822)+(((H822-B822*INT(H822/B822)))/C822)/100))),0,(IF(B822=C822,H822/C822,(INT(H822/B822)+(((H822-B822*INT(H822/B822)))/C822)/100))))</f>
        <v>2</v>
      </c>
      <c r="AT822" s="57">
        <f>IF(ISERROR(IF(B822=C822,I822/C822,(INT(I822/B822)+(((I822-B822*INT(I822/B822)))/C822)/100))),0,(IF(B822=C822,I822/C822,(INT(I822/B822)+(((I822-B822*INT(I822/B822)))/C822)/100))))</f>
        <v>0</v>
      </c>
      <c r="AU822" s="57">
        <f>IF(ISERROR(IF(B822=C822,J822/C822,(INT(J822/B822)+(((J822-B822*INT(J822/B822)))/C822)/100))),0,(IF(B822=C822,J822/C822,(INT(J822/B822)+(((J822-B822*INT(J822/B822)))/C822)/100))))</f>
        <v>0</v>
      </c>
      <c r="AV822" s="57">
        <f>IF(ISERROR(IF(B822=C822,K822/C822,IF((INT(K822/B822)+(((K822-B822*INT(K822/B822)))/C822)/100)&lt;0,(INT(K822/B822)+(((K822-B822*INT(K822/B822)))/C822)/100)+(1-(B822/C822/100)),(INT(K822/B822)+(((K822-B822*INT(K822/B822)))/C822)/100)))),0,IF(B822=C822,K822/C822,IF((INT(K822/B822)+(((K822-B822*INT(K822/B822)))/C822)/100)&lt;0,(INT(K822/B822)+(((K822-B822*INT(K822/B822)))/C822)/100)+(1-(B822/C822/100)),(INT(K822/B822)+(((K822-B822*INT(K822/B822)))/C822)/100))))</f>
        <v>0</v>
      </c>
      <c r="AW822" s="57">
        <f>IF(ISERROR(IF(B822=C822,L822/C822,(INT(L822/B822)+(((L822-B822*INT(L822/B822)))/C822)/100))),0,(IF(B822=C822,L822/C822,(INT(L822/B822)+(((L822-B822*INT(L822/B822)))/C822)/100))))</f>
        <v>0</v>
      </c>
      <c r="AX822" s="57">
        <f>IF(ISERROR(IF(B822=C822,M822/C822,(INT(M822/B822)+(((M822-B822*INT(M822/B822)))/C822)/100))),0,(IF(B822=C822,M822/C822,(INT(M822/B822)+(((M822-B822*INT(M822/B822)))/C822)/100))))</f>
        <v>0</v>
      </c>
      <c r="AY822" s="57">
        <f>IF(ISERROR(IF(B822=C822,N822/C822,IF((INT(N822/B822)+(((N822-B822*INT(N822/B822)))/C822)/100)&lt;0,(INT(N822/B822)+(((N822-B822*INT(N822/B822)))/C822)/100)+(1-(B822/C822/100)),(INT(N822/B822)+(((N822-B822*INT(N822/B822)))/C822)/100)))),0,IF(B822=C822,N822/C822,IF((INT(N822/B822)+(((N822-B822*INT(N822/B822)))/C822)/100)&lt;0,(INT(N822/B822)+(((N822-B822*INT(N822/B822)))/C822)/100)+(1-(B822/C822/100)),(INT(N822/B822)+(((N822-B822*INT(N822/B822)))/C822)/100))))</f>
        <v>7</v>
      </c>
      <c r="AZ822" s="57">
        <f>IF(ISERROR(IF(B822=C822,O822/C822,(INT(O822/B822)+(((O822-B822*INT(O822/B822)))/C822)/100))),0,(IF(B822=C822,O822/C822,(INT(O822/B822)+(((O822-B822*INT(O822/B822)))/C822)/100))))</f>
        <v>7</v>
      </c>
      <c r="BA822" s="57">
        <f>IF(ISERROR(IF(B822=C822,P822/C822,IF((INT(P822/B822)+(((P822-B822*INT(P822/B822)))/C822)/100)&lt;0,(INT(P822/B822)+(((P822-B822*INT(P822/B822)))/C822)/100)+(1-(B822/C822/100)),(INT(P822/B822)+(((P822-B822*INT(P822/B822)))/C822)/100)))),0,IF(B822=C822,P822/C822,IF((INT(P822/B822)+(((P822-B822*INT(P822/B822)))/C822)/100)&lt;0,(INT(P822/B822)+(((P822-B822*INT(P822/B822)))/C822)/100)+(1-(B822/C822/100)),(INT(P822/B822)+(((P822-B822*INT(P822/B822)))/C822)/100))))</f>
        <v>0</v>
      </c>
      <c r="BB822" s="28">
        <f>R822</f>
        <v>175</v>
      </c>
      <c r="BC822" s="28">
        <f>S822</f>
        <v>0</v>
      </c>
      <c r="BD822" s="28">
        <f>AF822</f>
        <v>90.910416666666663</v>
      </c>
      <c r="BE822" s="28">
        <f>T822</f>
        <v>0</v>
      </c>
      <c r="BG822" s="57">
        <f>IF(ISERROR(IF(B822=C822,V822/C822,(INT(V822/B822)+(((V822-B822*INT(V822/B822)))/C822)/100))),0,(IF(B822=C822,V822/C822,(INT(V822/B822)+(((V822-B822*INT(V822/B822)))/C822)/100))))</f>
        <v>7</v>
      </c>
      <c r="BH822" s="57">
        <f>IF(ISERROR(IF(B822=C822,W822/C822,(INT(W822/B822)+(((W822-B822*INT(W822/B822)))/C822)/100))),0,(IF(B822=C822,W822/C822,(INT(W822/B822)+(((W822-B822*INT(W822/B822)))/C822)/100))))</f>
        <v>0</v>
      </c>
      <c r="BI822" s="57">
        <f>IF(ISERROR(IF(B822=C822,X822/C822,(INT(X822/B822)+(((X822-B822*INT(X822/B822)))/C822)/100))),0,(IF(B822=C822,X822/C822,(INT(X822/B822)+(((X822-B822*INT(X822/B822)))/C822)/100))))</f>
        <v>0</v>
      </c>
      <c r="BJ822" s="57">
        <f>IF(ISERROR(IF(B822=C822,Y822/C822,(INT(Y822/B822)+(((Y822-B822*INT(Y822/B822)))/C822)/100))),0,(IF(B822=C822,Y822/C822,(INT(Y822/B822)+(((Y822-B822*INT(Y822/B822)))/C822)/100))))</f>
        <v>0</v>
      </c>
      <c r="BL822" s="57">
        <f>IF(ISERROR(IF(B822=C822,AA822/C822,(INT(AA822/B822)+(((AA822-B822*INT(AA822/B822)))/C822)/100))),0,(IF(B822=C822,AA822/C822,(INT(AA822/B822)+(((AA822-B822*INT(AA822/B822)))/C822)/100))))</f>
        <v>9</v>
      </c>
      <c r="BM822" s="57">
        <f>IF(ISERROR(IF(B822=C822,AB822/C822,(INT(AB822/B822)+(((AB822-B822*INT(AB822/B822)))/C822)/100))),0,(IF(B822=C822,AB822/C822,(INT(AB822/B822)+(((AB822-B822*INT(AB822/B822)))/C822)/100))))</f>
        <v>0</v>
      </c>
      <c r="BN822" s="57">
        <f>IF(ISERROR(IF(B822=C822,AC822/C822,(INT(AC822/B822)+(((AC822-B822*INT(AC822/B822)))/C822)/100))),0,(IF(B822=C822,AC822/C822,(INT(AC822/B822)+(((AC822-B822*INT(AC822/B822)))/C822)/100))))</f>
        <v>0</v>
      </c>
      <c r="BO822" s="57">
        <f>IF(ISERROR(IF(B822=C822,AD822/C822,(INT(AD822/B822)+(((AD822-B822*INT(AD822/B822)))/C822)/100))),0,(IF(B822=C822,AD822/C822,(INT(AD822/B822)+(((AD822-B822*INT(AD822/B822)))/C822)/100))))</f>
        <v>0</v>
      </c>
      <c r="BQ822" s="155" t="s">
        <v>131</v>
      </c>
    </row>
    <row r="823" spans="1:69" x14ac:dyDescent="0.35">
      <c r="A823" s="160" t="s">
        <v>135</v>
      </c>
      <c r="B823" s="113">
        <v>1</v>
      </c>
      <c r="C823" s="113">
        <v>1</v>
      </c>
      <c r="D823" s="28">
        <f>SUM(AA823:AD823)</f>
        <v>24</v>
      </c>
      <c r="E823" s="113">
        <v>0</v>
      </c>
      <c r="F823" s="113">
        <v>0</v>
      </c>
      <c r="G823" s="28">
        <f>SUM(D823:F823)</f>
        <v>24</v>
      </c>
      <c r="H823" s="125">
        <v>0</v>
      </c>
      <c r="I823" s="113">
        <v>0</v>
      </c>
      <c r="J823" s="125">
        <v>0</v>
      </c>
      <c r="K823" s="113">
        <v>0</v>
      </c>
      <c r="L823" s="113">
        <v>0</v>
      </c>
      <c r="M823" s="113">
        <v>0</v>
      </c>
      <c r="N823" s="28">
        <f>G823-SUM(H823:M823)</f>
        <v>24</v>
      </c>
      <c r="O823" s="28">
        <f>SUM(V823:Y823)</f>
        <v>24</v>
      </c>
      <c r="P823" s="28">
        <f>O823-N823</f>
        <v>0</v>
      </c>
      <c r="Q823" s="61" t="str">
        <f>IF(ISERROR(P823/SUM(H823:L823)),"",P823/SUM(H823:L823))</f>
        <v/>
      </c>
      <c r="R823" s="113">
        <v>175</v>
      </c>
      <c r="S823" s="28">
        <f>IF(ISERROR(P823/C823*R823),0,(P823/C823*R823))</f>
        <v>0</v>
      </c>
      <c r="T823" s="60">
        <f>IF(ISERROR(P823/B823*AF823),0,(P823/B823*AF823))</f>
        <v>0</v>
      </c>
      <c r="V823" s="113">
        <v>0</v>
      </c>
      <c r="W823" s="113">
        <v>24</v>
      </c>
      <c r="X823" s="113">
        <v>0</v>
      </c>
      <c r="Y823" s="113">
        <v>0</v>
      </c>
      <c r="AA823" s="113">
        <v>0</v>
      </c>
      <c r="AB823" s="113">
        <v>24</v>
      </c>
      <c r="AC823" s="113">
        <v>0</v>
      </c>
      <c r="AD823" s="113">
        <v>0</v>
      </c>
      <c r="AF823" s="113">
        <f>2181.85/24</f>
        <v>90.910416666666663</v>
      </c>
      <c r="AG823" s="28">
        <f>G823-O823</f>
        <v>0</v>
      </c>
      <c r="AH823" s="58">
        <f>IF(ISERROR(AG823/B823*AF823),0,(AG823/B823*AF823))</f>
        <v>0</v>
      </c>
      <c r="AI823" s="28">
        <f>SUM(H823:M823)</f>
        <v>0</v>
      </c>
      <c r="AJ823" s="28">
        <f>IF(ISERROR(AI823/B823*AF823),0,(AI823/B823*AF823))</f>
        <v>0</v>
      </c>
      <c r="AK823" s="58">
        <f>IF(ISERROR(O823/B823*AF823),0,(O823/B823*AF823))</f>
        <v>2181.85</v>
      </c>
      <c r="AL823" s="28">
        <f>IF(ISERROR(H823/B823*AF823),0,(H823/B823*AF823))</f>
        <v>0</v>
      </c>
      <c r="AN823" s="51" t="str">
        <f>A823</f>
        <v>Bacardi Breezers Lime</v>
      </c>
      <c r="AO823" s="57">
        <f>IF(ISERROR(IF(B823=C823,D823/C823,(INT(D823/B823)+(((D823-B823*INT(D823/B823)))/C823)/100))),0,(IF(B823=C823,D823/C823,(INT(D823/B823)+(((D823-B823*INT(D823/B823)))/C823)/100))))</f>
        <v>24</v>
      </c>
      <c r="AP823" s="57">
        <f>IF(ISERROR(IF(B823=C823,E823/C823,(INT(E823/B823)+(((E823-B823*INT(E823/B823)))/C823)/100))),0,(IF(B823=C823,E823/C823,(INT(E823/B823)+(((E823-B823*INT(E823/B823)))/C823)/100))))</f>
        <v>0</v>
      </c>
      <c r="AQ823" s="57">
        <f>IF(ISERROR(IF(B823=C823,F823/C823,IF((INT(F823/B823)+(((F823-B823*INT(F823/B823)))/C823)/100)&lt;0,(INT(F823/B823)+(((F823-B823*INT(F823/B823)))/C823)/100)+(1-(B823/C823/100)),(INT(F823/B823)+(((F823-B823*INT(F823/B823)))/C823)/100)))),0,IF(B823=C823,F823/C823,IF((INT(F823/B823)+(((F823-B823*INT(F823/B823)))/C823)/100)&lt;0,(INT(F823/B823)+(((F823-B823*INT(F823/B823)))/C823)/100)+(1-(B823/C823/100)),(INT(F823/B823)+(((F823-B823*INT(F823/B823)))/C823)/100))))</f>
        <v>0</v>
      </c>
      <c r="AR823" s="57">
        <f>IF(ISERROR(IF(B823=C823,G823/C823,(INT(G823/B823)+(((G823-B823*INT(G823/B823)))/C823)/100))),0,(IF(B823=C823,G823/C823,(INT(G823/B823)+(((G823-B823*INT(G823/B823)))/C823)/100))))</f>
        <v>24</v>
      </c>
      <c r="AS823" s="57">
        <f>IF(ISERROR(IF(B823=C823,H823/C823,(INT(H823/B823)+(((H823-B823*INT(H823/B823)))/C823)/100))),0,(IF(B823=C823,H823/C823,(INT(H823/B823)+(((H823-B823*INT(H823/B823)))/C823)/100))))</f>
        <v>0</v>
      </c>
      <c r="AT823" s="57">
        <f>IF(ISERROR(IF(B823=C823,I823/C823,(INT(I823/B823)+(((I823-B823*INT(I823/B823)))/C823)/100))),0,(IF(B823=C823,I823/C823,(INT(I823/B823)+(((I823-B823*INT(I823/B823)))/C823)/100))))</f>
        <v>0</v>
      </c>
      <c r="AU823" s="57">
        <f>IF(ISERROR(IF(B823=C823,J823/C823,(INT(J823/B823)+(((J823-B823*INT(J823/B823)))/C823)/100))),0,(IF(B823=C823,J823/C823,(INT(J823/B823)+(((J823-B823*INT(J823/B823)))/C823)/100))))</f>
        <v>0</v>
      </c>
      <c r="AV823" s="57">
        <f>IF(ISERROR(IF(B823=C823,K823/C823,IF((INT(K823/B823)+(((K823-B823*INT(K823/B823)))/C823)/100)&lt;0,(INT(K823/B823)+(((K823-B823*INT(K823/B823)))/C823)/100)+(1-(B823/C823/100)),(INT(K823/B823)+(((K823-B823*INT(K823/B823)))/C823)/100)))),0,IF(B823=C823,K823/C823,IF((INT(K823/B823)+(((K823-B823*INT(K823/B823)))/C823)/100)&lt;0,(INT(K823/B823)+(((K823-B823*INT(K823/B823)))/C823)/100)+(1-(B823/C823/100)),(INT(K823/B823)+(((K823-B823*INT(K823/B823)))/C823)/100))))</f>
        <v>0</v>
      </c>
      <c r="AW823" s="57">
        <f>IF(ISERROR(IF(B823=C823,L823/C823,(INT(L823/B823)+(((L823-B823*INT(L823/B823)))/C823)/100))),0,(IF(B823=C823,L823/C823,(INT(L823/B823)+(((L823-B823*INT(L823/B823)))/C823)/100))))</f>
        <v>0</v>
      </c>
      <c r="AX823" s="57">
        <f>IF(ISERROR(IF(B823=C823,M823/C823,(INT(M823/B823)+(((M823-B823*INT(M823/B823)))/C823)/100))),0,(IF(B823=C823,M823/C823,(INT(M823/B823)+(((M823-B823*INT(M823/B823)))/C823)/100))))</f>
        <v>0</v>
      </c>
      <c r="AY823" s="57">
        <f>IF(ISERROR(IF(B823=C823,N823/C823,IF((INT(N823/B823)+(((N823-B823*INT(N823/B823)))/C823)/100)&lt;0,(INT(N823/B823)+(((N823-B823*INT(N823/B823)))/C823)/100)+(1-(B823/C823/100)),(INT(N823/B823)+(((N823-B823*INT(N823/B823)))/C823)/100)))),0,IF(B823=C823,N823/C823,IF((INT(N823/B823)+(((N823-B823*INT(N823/B823)))/C823)/100)&lt;0,(INT(N823/B823)+(((N823-B823*INT(N823/B823)))/C823)/100)+(1-(B823/C823/100)),(INT(N823/B823)+(((N823-B823*INT(N823/B823)))/C823)/100))))</f>
        <v>24</v>
      </c>
      <c r="AZ823" s="57">
        <f>IF(ISERROR(IF(B823=C823,O823/C823,(INT(O823/B823)+(((O823-B823*INT(O823/B823)))/C823)/100))),0,(IF(B823=C823,O823/C823,(INT(O823/B823)+(((O823-B823*INT(O823/B823)))/C823)/100))))</f>
        <v>24</v>
      </c>
      <c r="BA823" s="57">
        <f>IF(ISERROR(IF(B823=C823,P823/C823,IF((INT(P823/B823)+(((P823-B823*INT(P823/B823)))/C823)/100)&lt;0,(INT(P823/B823)+(((P823-B823*INT(P823/B823)))/C823)/100)+(1-(B823/C823/100)),(INT(P823/B823)+(((P823-B823*INT(P823/B823)))/C823)/100)))),0,IF(B823=C823,P823/C823,IF((INT(P823/B823)+(((P823-B823*INT(P823/B823)))/C823)/100)&lt;0,(INT(P823/B823)+(((P823-B823*INT(P823/B823)))/C823)/100)+(1-(B823/C823/100)),(INT(P823/B823)+(((P823-B823*INT(P823/B823)))/C823)/100))))</f>
        <v>0</v>
      </c>
      <c r="BB823" s="28">
        <f>R823</f>
        <v>175</v>
      </c>
      <c r="BC823" s="28">
        <f>S823</f>
        <v>0</v>
      </c>
      <c r="BD823" s="28">
        <f>AF823</f>
        <v>90.910416666666663</v>
      </c>
      <c r="BE823" s="28">
        <f>T823</f>
        <v>0</v>
      </c>
      <c r="BG823" s="57">
        <f>IF(ISERROR(IF(B823=C823,V823/C823,(INT(V823/B823)+(((V823-B823*INT(V823/B823)))/C823)/100))),0,(IF(B823=C823,V823/C823,(INT(V823/B823)+(((V823-B823*INT(V823/B823)))/C823)/100))))</f>
        <v>0</v>
      </c>
      <c r="BH823" s="57">
        <f>IF(ISERROR(IF(B823=C823,W823/C823,(INT(W823/B823)+(((W823-B823*INT(W823/B823)))/C823)/100))),0,(IF(B823=C823,W823/C823,(INT(W823/B823)+(((W823-B823*INT(W823/B823)))/C823)/100))))</f>
        <v>24</v>
      </c>
      <c r="BI823" s="57">
        <f>IF(ISERROR(IF(B823=C823,X823/C823,(INT(X823/B823)+(((X823-B823*INT(X823/B823)))/C823)/100))),0,(IF(B823=C823,X823/C823,(INT(X823/B823)+(((X823-B823*INT(X823/B823)))/C823)/100))))</f>
        <v>0</v>
      </c>
      <c r="BJ823" s="57">
        <f>IF(ISERROR(IF(B823=C823,Y823/C823,(INT(Y823/B823)+(((Y823-B823*INT(Y823/B823)))/C823)/100))),0,(IF(B823=C823,Y823/C823,(INT(Y823/B823)+(((Y823-B823*INT(Y823/B823)))/C823)/100))))</f>
        <v>0</v>
      </c>
      <c r="BL823" s="57">
        <f>IF(ISERROR(IF(B823=C823,AA823/C823,(INT(AA823/B823)+(((AA823-B823*INT(AA823/B823)))/C823)/100))),0,(IF(B823=C823,AA823/C823,(INT(AA823/B823)+(((AA823-B823*INT(AA823/B823)))/C823)/100))))</f>
        <v>0</v>
      </c>
      <c r="BM823" s="57">
        <f>IF(ISERROR(IF(B823=C823,AB823/C823,(INT(AB823/B823)+(((AB823-B823*INT(AB823/B823)))/C823)/100))),0,(IF(B823=C823,AB823/C823,(INT(AB823/B823)+(((AB823-B823*INT(AB823/B823)))/C823)/100))))</f>
        <v>24</v>
      </c>
      <c r="BN823" s="57">
        <f>IF(ISERROR(IF(B823=C823,AC823/C823,(INT(AC823/B823)+(((AC823-B823*INT(AC823/B823)))/C823)/100))),0,(IF(B823=C823,AC823/C823,(INT(AC823/B823)+(((AC823-B823*INT(AC823/B823)))/C823)/100))))</f>
        <v>0</v>
      </c>
      <c r="BO823" s="57">
        <f>IF(ISERROR(IF(B823=C823,AD823/C823,(INT(AD823/B823)+(((AD823-B823*INT(AD823/B823)))/C823)/100))),0,(IF(B823=C823,AD823/C823,(INT(AD823/B823)+(((AD823-B823*INT(AD823/B823)))/C823)/100))))</f>
        <v>0</v>
      </c>
      <c r="BQ823" s="155" t="s">
        <v>131</v>
      </c>
    </row>
    <row r="824" spans="1:69" x14ac:dyDescent="0.35">
      <c r="A824" s="135" t="s">
        <v>134</v>
      </c>
      <c r="B824" s="113">
        <v>1</v>
      </c>
      <c r="C824" s="113">
        <v>1</v>
      </c>
      <c r="D824" s="28">
        <f>SUM(AA824:AD824)</f>
        <v>0</v>
      </c>
      <c r="E824" s="113">
        <v>0</v>
      </c>
      <c r="F824" s="113">
        <v>0</v>
      </c>
      <c r="G824" s="28">
        <f>SUM(D824:F824)</f>
        <v>0</v>
      </c>
      <c r="H824" s="125">
        <v>0</v>
      </c>
      <c r="I824" s="113">
        <v>0</v>
      </c>
      <c r="J824" s="125">
        <v>0</v>
      </c>
      <c r="K824" s="113">
        <v>0</v>
      </c>
      <c r="L824" s="113">
        <v>0</v>
      </c>
      <c r="M824" s="113">
        <v>0</v>
      </c>
      <c r="N824" s="28">
        <f>G824-SUM(H824:M824)</f>
        <v>0</v>
      </c>
      <c r="O824" s="28">
        <f>SUM(V824:Y824)</f>
        <v>0</v>
      </c>
      <c r="P824" s="28">
        <f>O824-N824</f>
        <v>0</v>
      </c>
      <c r="Q824" s="61" t="str">
        <f>IF(ISERROR(P824/SUM(H824:L824)),"",P824/SUM(H824:L824))</f>
        <v/>
      </c>
      <c r="R824" s="113">
        <v>200</v>
      </c>
      <c r="S824" s="28">
        <f>IF(ISERROR(P824/C824*R824),0,(P824/C824*R824))</f>
        <v>0</v>
      </c>
      <c r="T824" s="60">
        <f>IF(ISERROR(P824/B824*AF824),0,(P824/B824*AF824))</f>
        <v>0</v>
      </c>
      <c r="V824" s="113">
        <v>0</v>
      </c>
      <c r="W824" s="113">
        <v>0</v>
      </c>
      <c r="X824" s="113">
        <v>0</v>
      </c>
      <c r="Y824" s="113">
        <v>0</v>
      </c>
      <c r="AA824" s="113">
        <v>0</v>
      </c>
      <c r="AB824" s="113">
        <v>0</v>
      </c>
      <c r="AC824" s="113">
        <v>0</v>
      </c>
      <c r="AD824" s="113">
        <v>0</v>
      </c>
      <c r="AF824" s="113"/>
      <c r="AG824" s="28">
        <f>G824-O824</f>
        <v>0</v>
      </c>
      <c r="AH824" s="58">
        <f>IF(ISERROR(AG824/B824*AF824),0,(AG824/B824*AF824))</f>
        <v>0</v>
      </c>
      <c r="AI824" s="28">
        <f>SUM(H824:M824)</f>
        <v>0</v>
      </c>
      <c r="AJ824" s="28">
        <f>IF(ISERROR(AI824/B824*AF824),0,(AI824/B824*AF824))</f>
        <v>0</v>
      </c>
      <c r="AK824" s="58">
        <f>IF(ISERROR(O824/B824*AF824),0,(O824/B824*AF824))</f>
        <v>0</v>
      </c>
      <c r="AL824" s="28">
        <f>IF(ISERROR(H824/B824*AF824),0,(H824/B824*AF824))</f>
        <v>0</v>
      </c>
      <c r="AN824" s="51" t="str">
        <f>A824</f>
        <v>Smirnoff Ice</v>
      </c>
      <c r="AO824" s="57">
        <f>IF(ISERROR(IF(B824=C824,D824/C824,(INT(D824/B824)+(((D824-B824*INT(D824/B824)))/C824)/100))),0,(IF(B824=C824,D824/C824,(INT(D824/B824)+(((D824-B824*INT(D824/B824)))/C824)/100))))</f>
        <v>0</v>
      </c>
      <c r="AP824" s="57">
        <f>IF(ISERROR(IF(B824=C824,E824/C824,(INT(E824/B824)+(((E824-B824*INT(E824/B824)))/C824)/100))),0,(IF(B824=C824,E824/C824,(INT(E824/B824)+(((E824-B824*INT(E824/B824)))/C824)/100))))</f>
        <v>0</v>
      </c>
      <c r="AQ824" s="57">
        <f>IF(ISERROR(IF(B824=C824,F824/C824,IF((INT(F824/B824)+(((F824-B824*INT(F824/B824)))/C824)/100)&lt;0,(INT(F824/B824)+(((F824-B824*INT(F824/B824)))/C824)/100)+(1-(B824/C824/100)),(INT(F824/B824)+(((F824-B824*INT(F824/B824)))/C824)/100)))),0,IF(B824=C824,F824/C824,IF((INT(F824/B824)+(((F824-B824*INT(F824/B824)))/C824)/100)&lt;0,(INT(F824/B824)+(((F824-B824*INT(F824/B824)))/C824)/100)+(1-(B824/C824/100)),(INT(F824/B824)+(((F824-B824*INT(F824/B824)))/C824)/100))))</f>
        <v>0</v>
      </c>
      <c r="AR824" s="57">
        <f>IF(ISERROR(IF(B824=C824,G824/C824,(INT(G824/B824)+(((G824-B824*INT(G824/B824)))/C824)/100))),0,(IF(B824=C824,G824/C824,(INT(G824/B824)+(((G824-B824*INT(G824/B824)))/C824)/100))))</f>
        <v>0</v>
      </c>
      <c r="AS824" s="57">
        <f>IF(ISERROR(IF(B824=C824,H824/C824,(INT(H824/B824)+(((H824-B824*INT(H824/B824)))/C824)/100))),0,(IF(B824=C824,H824/C824,(INT(H824/B824)+(((H824-B824*INT(H824/B824)))/C824)/100))))</f>
        <v>0</v>
      </c>
      <c r="AT824" s="57">
        <f>IF(ISERROR(IF(B824=C824,I824/C824,(INT(I824/B824)+(((I824-B824*INT(I824/B824)))/C824)/100))),0,(IF(B824=C824,I824/C824,(INT(I824/B824)+(((I824-B824*INT(I824/B824)))/C824)/100))))</f>
        <v>0</v>
      </c>
      <c r="AU824" s="57">
        <f>IF(ISERROR(IF(B824=C824,J824/C824,(INT(J824/B824)+(((J824-B824*INT(J824/B824)))/C824)/100))),0,(IF(B824=C824,J824/C824,(INT(J824/B824)+(((J824-B824*INT(J824/B824)))/C824)/100))))</f>
        <v>0</v>
      </c>
      <c r="AV824" s="57">
        <f>IF(ISERROR(IF(B824=C824,K824/C824,IF((INT(K824/B824)+(((K824-B824*INT(K824/B824)))/C824)/100)&lt;0,(INT(K824/B824)+(((K824-B824*INT(K824/B824)))/C824)/100)+(1-(B824/C824/100)),(INT(K824/B824)+(((K824-B824*INT(K824/B824)))/C824)/100)))),0,IF(B824=C824,K824/C824,IF((INT(K824/B824)+(((K824-B824*INT(K824/B824)))/C824)/100)&lt;0,(INT(K824/B824)+(((K824-B824*INT(K824/B824)))/C824)/100)+(1-(B824/C824/100)),(INT(K824/B824)+(((K824-B824*INT(K824/B824)))/C824)/100))))</f>
        <v>0</v>
      </c>
      <c r="AW824" s="57">
        <f>IF(ISERROR(IF(B824=C824,L824/C824,(INT(L824/B824)+(((L824-B824*INT(L824/B824)))/C824)/100))),0,(IF(B824=C824,L824/C824,(INT(L824/B824)+(((L824-B824*INT(L824/B824)))/C824)/100))))</f>
        <v>0</v>
      </c>
      <c r="AX824" s="57">
        <f>IF(ISERROR(IF(B824=C824,M824/C824,(INT(M824/B824)+(((M824-B824*INT(M824/B824)))/C824)/100))),0,(IF(B824=C824,M824/C824,(INT(M824/B824)+(((M824-B824*INT(M824/B824)))/C824)/100))))</f>
        <v>0</v>
      </c>
      <c r="AY824" s="57">
        <f>IF(ISERROR(IF(B824=C824,N824/C824,IF((INT(N824/B824)+(((N824-B824*INT(N824/B824)))/C824)/100)&lt;0,(INT(N824/B824)+(((N824-B824*INT(N824/B824)))/C824)/100)+(1-(B824/C824/100)),(INT(N824/B824)+(((N824-B824*INT(N824/B824)))/C824)/100)))),0,IF(B824=C824,N824/C824,IF((INT(N824/B824)+(((N824-B824*INT(N824/B824)))/C824)/100)&lt;0,(INT(N824/B824)+(((N824-B824*INT(N824/B824)))/C824)/100)+(1-(B824/C824/100)),(INT(N824/B824)+(((N824-B824*INT(N824/B824)))/C824)/100))))</f>
        <v>0</v>
      </c>
      <c r="AZ824" s="57">
        <f>IF(ISERROR(IF(B824=C824,O824/C824,(INT(O824/B824)+(((O824-B824*INT(O824/B824)))/C824)/100))),0,(IF(B824=C824,O824/C824,(INT(O824/B824)+(((O824-B824*INT(O824/B824)))/C824)/100))))</f>
        <v>0</v>
      </c>
      <c r="BA824" s="57">
        <f>IF(ISERROR(IF(B824=C824,P824/C824,IF((INT(P824/B824)+(((P824-B824*INT(P824/B824)))/C824)/100)&lt;0,(INT(P824/B824)+(((P824-B824*INT(P824/B824)))/C824)/100)+(1-(B824/C824/100)),(INT(P824/B824)+(((P824-B824*INT(P824/B824)))/C824)/100)))),0,IF(B824=C824,P824/C824,IF((INT(P824/B824)+(((P824-B824*INT(P824/B824)))/C824)/100)&lt;0,(INT(P824/B824)+(((P824-B824*INT(P824/B824)))/C824)/100)+(1-(B824/C824/100)),(INT(P824/B824)+(((P824-B824*INT(P824/B824)))/C824)/100))))</f>
        <v>0</v>
      </c>
      <c r="BB824" s="28">
        <f>R824</f>
        <v>200</v>
      </c>
      <c r="BC824" s="28">
        <f>S824</f>
        <v>0</v>
      </c>
      <c r="BD824" s="28">
        <f>AF824</f>
        <v>0</v>
      </c>
      <c r="BE824" s="28">
        <f>T824</f>
        <v>0</v>
      </c>
      <c r="BG824" s="57">
        <f>IF(ISERROR(IF(B824=C824,V824/C824,(INT(V824/B824)+(((V824-B824*INT(V824/B824)))/C824)/100))),0,(IF(B824=C824,V824/C824,(INT(V824/B824)+(((V824-B824*INT(V824/B824)))/C824)/100))))</f>
        <v>0</v>
      </c>
      <c r="BH824" s="57">
        <f>IF(ISERROR(IF(B824=C824,W824/C824,(INT(W824/B824)+(((W824-B824*INT(W824/B824)))/C824)/100))),0,(IF(B824=C824,W824/C824,(INT(W824/B824)+(((W824-B824*INT(W824/B824)))/C824)/100))))</f>
        <v>0</v>
      </c>
      <c r="BI824" s="57">
        <f>IF(ISERROR(IF(B824=C824,X824/C824,(INT(X824/B824)+(((X824-B824*INT(X824/B824)))/C824)/100))),0,(IF(B824=C824,X824/C824,(INT(X824/B824)+(((X824-B824*INT(X824/B824)))/C824)/100))))</f>
        <v>0</v>
      </c>
      <c r="BJ824" s="57">
        <f>IF(ISERROR(IF(B824=C824,Y824/C824,(INT(Y824/B824)+(((Y824-B824*INT(Y824/B824)))/C824)/100))),0,(IF(B824=C824,Y824/C824,(INT(Y824/B824)+(((Y824-B824*INT(Y824/B824)))/C824)/100))))</f>
        <v>0</v>
      </c>
      <c r="BL824" s="57">
        <f>IF(ISERROR(IF(B824=C824,AA824/C824,(INT(AA824/B824)+(((AA824-B824*INT(AA824/B824)))/C824)/100))),0,(IF(B824=C824,AA824/C824,(INT(AA824/B824)+(((AA824-B824*INT(AA824/B824)))/C824)/100))))</f>
        <v>0</v>
      </c>
      <c r="BM824" s="57">
        <f>IF(ISERROR(IF(B824=C824,AB824/C824,(INT(AB824/B824)+(((AB824-B824*INT(AB824/B824)))/C824)/100))),0,(IF(B824=C824,AB824/C824,(INT(AB824/B824)+(((AB824-B824*INT(AB824/B824)))/C824)/100))))</f>
        <v>0</v>
      </c>
      <c r="BN824" s="57">
        <f>IF(ISERROR(IF(B824=C824,AC824/C824,(INT(AC824/B824)+(((AC824-B824*INT(AC824/B824)))/C824)/100))),0,(IF(B824=C824,AC824/C824,(INT(AC824/B824)+(((AC824-B824*INT(AC824/B824)))/C824)/100))))</f>
        <v>0</v>
      </c>
      <c r="BO824" s="57">
        <f>IF(ISERROR(IF(B824=C824,AD824/C824,(INT(AD824/B824)+(((AD824-B824*INT(AD824/B824)))/C824)/100))),0,(IF(B824=C824,AD824/C824,(INT(AD824/B824)+(((AD824-B824*INT(AD824/B824)))/C824)/100))))</f>
        <v>0</v>
      </c>
      <c r="BQ824" s="155"/>
    </row>
    <row r="825" spans="1:69" x14ac:dyDescent="0.35">
      <c r="A825" s="161" t="s">
        <v>133</v>
      </c>
      <c r="B825" s="113">
        <v>1</v>
      </c>
      <c r="C825" s="113">
        <v>1</v>
      </c>
      <c r="D825" s="28">
        <f>SUM(AA825:AD825)</f>
        <v>0</v>
      </c>
      <c r="E825" s="113">
        <v>0</v>
      </c>
      <c r="F825" s="113">
        <v>0</v>
      </c>
      <c r="G825" s="28">
        <f>SUM(D825:F825)</f>
        <v>0</v>
      </c>
      <c r="H825" s="125">
        <v>0</v>
      </c>
      <c r="I825" s="113">
        <v>0</v>
      </c>
      <c r="J825" s="125">
        <v>0</v>
      </c>
      <c r="K825" s="113">
        <v>0</v>
      </c>
      <c r="L825" s="113">
        <v>0</v>
      </c>
      <c r="M825" s="113">
        <v>0</v>
      </c>
      <c r="N825" s="28">
        <f>G825-SUM(H825:M825)</f>
        <v>0</v>
      </c>
      <c r="O825" s="28">
        <f>SUM(V825:Y825)</f>
        <v>0</v>
      </c>
      <c r="P825" s="28">
        <f>O825-N825</f>
        <v>0</v>
      </c>
      <c r="Q825" s="61" t="str">
        <f>IF(ISERROR(P825/SUM(H825:L825)),"",P825/SUM(H825:L825))</f>
        <v/>
      </c>
      <c r="R825" s="113">
        <v>200</v>
      </c>
      <c r="S825" s="28">
        <f>IF(ISERROR(P825/C825*R825),0,(P825/C825*R825))</f>
        <v>0</v>
      </c>
      <c r="T825" s="60">
        <f>IF(ISERROR(P825/B825*AF825),0,(P825/B825*AF825))</f>
        <v>0</v>
      </c>
      <c r="V825" s="113">
        <v>0</v>
      </c>
      <c r="W825" s="113">
        <v>0</v>
      </c>
      <c r="X825" s="113">
        <v>0</v>
      </c>
      <c r="Y825" s="113">
        <v>0</v>
      </c>
      <c r="AA825" s="113">
        <v>0</v>
      </c>
      <c r="AB825" s="113">
        <v>0</v>
      </c>
      <c r="AC825" s="113">
        <v>0</v>
      </c>
      <c r="AD825" s="113">
        <v>0</v>
      </c>
      <c r="AF825" s="113">
        <v>99.981250000000003</v>
      </c>
      <c r="AG825" s="28">
        <f>G825-O825</f>
        <v>0</v>
      </c>
      <c r="AH825" s="58">
        <f>IF(ISERROR(AG825/B825*AF825),0,(AG825/B825*AF825))</f>
        <v>0</v>
      </c>
      <c r="AI825" s="28">
        <f>SUM(H825:M825)</f>
        <v>0</v>
      </c>
      <c r="AJ825" s="28">
        <f>IF(ISERROR(AI825/B825*AF825),0,(AI825/B825*AF825))</f>
        <v>0</v>
      </c>
      <c r="AK825" s="58">
        <f>IF(ISERROR(O825/B825*AF825),0,(O825/B825*AF825))</f>
        <v>0</v>
      </c>
      <c r="AL825" s="28">
        <f>IF(ISERROR(H825/B825*AF825),0,(H825/B825*AF825))</f>
        <v>0</v>
      </c>
      <c r="AN825" s="51" t="str">
        <f>A825</f>
        <v xml:space="preserve">Smirnoff Ice Black </v>
      </c>
      <c r="AO825" s="57">
        <f>IF(ISERROR(IF(B825=C825,D825/C825,(INT(D825/B825)+(((D825-B825*INT(D825/B825)))/C825)/100))),0,(IF(B825=C825,D825/C825,(INT(D825/B825)+(((D825-B825*INT(D825/B825)))/C825)/100))))</f>
        <v>0</v>
      </c>
      <c r="AP825" s="57">
        <f>IF(ISERROR(IF(B825=C825,E825/C825,(INT(E825/B825)+(((E825-B825*INT(E825/B825)))/C825)/100))),0,(IF(B825=C825,E825/C825,(INT(E825/B825)+(((E825-B825*INT(E825/B825)))/C825)/100))))</f>
        <v>0</v>
      </c>
      <c r="AQ825" s="57">
        <f>IF(ISERROR(IF(B825=C825,F825/C825,IF((INT(F825/B825)+(((F825-B825*INT(F825/B825)))/C825)/100)&lt;0,(INT(F825/B825)+(((F825-B825*INT(F825/B825)))/C825)/100)+(1-(B825/C825/100)),(INT(F825/B825)+(((F825-B825*INT(F825/B825)))/C825)/100)))),0,IF(B825=C825,F825/C825,IF((INT(F825/B825)+(((F825-B825*INT(F825/B825)))/C825)/100)&lt;0,(INT(F825/B825)+(((F825-B825*INT(F825/B825)))/C825)/100)+(1-(B825/C825/100)),(INT(F825/B825)+(((F825-B825*INT(F825/B825)))/C825)/100))))</f>
        <v>0</v>
      </c>
      <c r="AR825" s="57">
        <f>IF(ISERROR(IF(B825=C825,G825/C825,(INT(G825/B825)+(((G825-B825*INT(G825/B825)))/C825)/100))),0,(IF(B825=C825,G825/C825,(INT(G825/B825)+(((G825-B825*INT(G825/B825)))/C825)/100))))</f>
        <v>0</v>
      </c>
      <c r="AS825" s="57">
        <f>IF(ISERROR(IF(B825=C825,H825/C825,(INT(H825/B825)+(((H825-B825*INT(H825/B825)))/C825)/100))),0,(IF(B825=C825,H825/C825,(INT(H825/B825)+(((H825-B825*INT(H825/B825)))/C825)/100))))</f>
        <v>0</v>
      </c>
      <c r="AT825" s="57">
        <f>IF(ISERROR(IF(B825=C825,I825/C825,(INT(I825/B825)+(((I825-B825*INT(I825/B825)))/C825)/100))),0,(IF(B825=C825,I825/C825,(INT(I825/B825)+(((I825-B825*INT(I825/B825)))/C825)/100))))</f>
        <v>0</v>
      </c>
      <c r="AU825" s="57">
        <f>IF(ISERROR(IF(B825=C825,J825/C825,(INT(J825/B825)+(((J825-B825*INT(J825/B825)))/C825)/100))),0,(IF(B825=C825,J825/C825,(INT(J825/B825)+(((J825-B825*INT(J825/B825)))/C825)/100))))</f>
        <v>0</v>
      </c>
      <c r="AV825" s="57">
        <f>IF(ISERROR(IF(B825=C825,K825/C825,IF((INT(K825/B825)+(((K825-B825*INT(K825/B825)))/C825)/100)&lt;0,(INT(K825/B825)+(((K825-B825*INT(K825/B825)))/C825)/100)+(1-(B825/C825/100)),(INT(K825/B825)+(((K825-B825*INT(K825/B825)))/C825)/100)))),0,IF(B825=C825,K825/C825,IF((INT(K825/B825)+(((K825-B825*INT(K825/B825)))/C825)/100)&lt;0,(INT(K825/B825)+(((K825-B825*INT(K825/B825)))/C825)/100)+(1-(B825/C825/100)),(INT(K825/B825)+(((K825-B825*INT(K825/B825)))/C825)/100))))</f>
        <v>0</v>
      </c>
      <c r="AW825" s="57">
        <f>IF(ISERROR(IF(B825=C825,L825/C825,(INT(L825/B825)+(((L825-B825*INT(L825/B825)))/C825)/100))),0,(IF(B825=C825,L825/C825,(INT(L825/B825)+(((L825-B825*INT(L825/B825)))/C825)/100))))</f>
        <v>0</v>
      </c>
      <c r="AX825" s="57">
        <f>IF(ISERROR(IF(B825=C825,M825/C825,(INT(M825/B825)+(((M825-B825*INT(M825/B825)))/C825)/100))),0,(IF(B825=C825,M825/C825,(INT(M825/B825)+(((M825-B825*INT(M825/B825)))/C825)/100))))</f>
        <v>0</v>
      </c>
      <c r="AY825" s="57">
        <f>IF(ISERROR(IF(B825=C825,N825/C825,IF((INT(N825/B825)+(((N825-B825*INT(N825/B825)))/C825)/100)&lt;0,(INT(N825/B825)+(((N825-B825*INT(N825/B825)))/C825)/100)+(1-(B825/C825/100)),(INT(N825/B825)+(((N825-B825*INT(N825/B825)))/C825)/100)))),0,IF(B825=C825,N825/C825,IF((INT(N825/B825)+(((N825-B825*INT(N825/B825)))/C825)/100)&lt;0,(INT(N825/B825)+(((N825-B825*INT(N825/B825)))/C825)/100)+(1-(B825/C825/100)),(INT(N825/B825)+(((N825-B825*INT(N825/B825)))/C825)/100))))</f>
        <v>0</v>
      </c>
      <c r="AZ825" s="57">
        <f>IF(ISERROR(IF(B825=C825,O825/C825,(INT(O825/B825)+(((O825-B825*INT(O825/B825)))/C825)/100))),0,(IF(B825=C825,O825/C825,(INT(O825/B825)+(((O825-B825*INT(O825/B825)))/C825)/100))))</f>
        <v>0</v>
      </c>
      <c r="BA825" s="57">
        <f>IF(ISERROR(IF(B825=C825,P825/C825,IF((INT(P825/B825)+(((P825-B825*INT(P825/B825)))/C825)/100)&lt;0,(INT(P825/B825)+(((P825-B825*INT(P825/B825)))/C825)/100)+(1-(B825/C825/100)),(INT(P825/B825)+(((P825-B825*INT(P825/B825)))/C825)/100)))),0,IF(B825=C825,P825/C825,IF((INT(P825/B825)+(((P825-B825*INT(P825/B825)))/C825)/100)&lt;0,(INT(P825/B825)+(((P825-B825*INT(P825/B825)))/C825)/100)+(1-(B825/C825/100)),(INT(P825/B825)+(((P825-B825*INT(P825/B825)))/C825)/100))))</f>
        <v>0</v>
      </c>
      <c r="BB825" s="28">
        <f>R825</f>
        <v>200</v>
      </c>
      <c r="BC825" s="28">
        <f>S825</f>
        <v>0</v>
      </c>
      <c r="BD825" s="28">
        <f>AF825</f>
        <v>99.981250000000003</v>
      </c>
      <c r="BE825" s="28">
        <f>T825</f>
        <v>0</v>
      </c>
      <c r="BG825" s="57">
        <f>IF(ISERROR(IF(B825=C825,V825/C825,(INT(V825/B825)+(((V825-B825*INT(V825/B825)))/C825)/100))),0,(IF(B825=C825,V825/C825,(INT(V825/B825)+(((V825-B825*INT(V825/B825)))/C825)/100))))</f>
        <v>0</v>
      </c>
      <c r="BH825" s="57">
        <f>IF(ISERROR(IF(B825=C825,W825/C825,(INT(W825/B825)+(((W825-B825*INT(W825/B825)))/C825)/100))),0,(IF(B825=C825,W825/C825,(INT(W825/B825)+(((W825-B825*INT(W825/B825)))/C825)/100))))</f>
        <v>0</v>
      </c>
      <c r="BI825" s="57">
        <f>IF(ISERROR(IF(B825=C825,X825/C825,(INT(X825/B825)+(((X825-B825*INT(X825/B825)))/C825)/100))),0,(IF(B825=C825,X825/C825,(INT(X825/B825)+(((X825-B825*INT(X825/B825)))/C825)/100))))</f>
        <v>0</v>
      </c>
      <c r="BJ825" s="57">
        <f>IF(ISERROR(IF(B825=C825,Y825/C825,(INT(Y825/B825)+(((Y825-B825*INT(Y825/B825)))/C825)/100))),0,(IF(B825=C825,Y825/C825,(INT(Y825/B825)+(((Y825-B825*INT(Y825/B825)))/C825)/100))))</f>
        <v>0</v>
      </c>
      <c r="BL825" s="57">
        <f>IF(ISERROR(IF(B825=C825,AA825/C825,(INT(AA825/B825)+(((AA825-B825*INT(AA825/B825)))/C825)/100))),0,(IF(B825=C825,AA825/C825,(INT(AA825/B825)+(((AA825-B825*INT(AA825/B825)))/C825)/100))))</f>
        <v>0</v>
      </c>
      <c r="BM825" s="57">
        <f>IF(ISERROR(IF(B825=C825,AB825/C825,(INT(AB825/B825)+(((AB825-B825*INT(AB825/B825)))/C825)/100))),0,(IF(B825=C825,AB825/C825,(INT(AB825/B825)+(((AB825-B825*INT(AB825/B825)))/C825)/100))))</f>
        <v>0</v>
      </c>
      <c r="BN825" s="57">
        <f>IF(ISERROR(IF(B825=C825,AC825/C825,(INT(AC825/B825)+(((AC825-B825*INT(AC825/B825)))/C825)/100))),0,(IF(B825=C825,AC825/C825,(INT(AC825/B825)+(((AC825-B825*INT(AC825/B825)))/C825)/100))))</f>
        <v>0</v>
      </c>
      <c r="BO825" s="57">
        <f>IF(ISERROR(IF(B825=C825,AD825/C825,(INT(AD825/B825)+(((AD825-B825*INT(AD825/B825)))/C825)/100))),0,(IF(B825=C825,AD825/C825,(INT(AD825/B825)+(((AD825-B825*INT(AD825/B825)))/C825)/100))))</f>
        <v>0</v>
      </c>
      <c r="BQ825" s="155" t="s">
        <v>131</v>
      </c>
    </row>
    <row r="826" spans="1:69" x14ac:dyDescent="0.35">
      <c r="A826" s="161" t="s">
        <v>132</v>
      </c>
      <c r="B826" s="113">
        <v>1</v>
      </c>
      <c r="C826" s="113">
        <v>1</v>
      </c>
      <c r="D826" s="28">
        <f>SUM(AA826:AD826)</f>
        <v>0</v>
      </c>
      <c r="E826" s="113">
        <v>0</v>
      </c>
      <c r="F826" s="113">
        <v>0</v>
      </c>
      <c r="G826" s="28">
        <f>SUM(D826:F826)</f>
        <v>0</v>
      </c>
      <c r="H826" s="125">
        <v>0</v>
      </c>
      <c r="I826" s="113">
        <v>0</v>
      </c>
      <c r="J826" s="125">
        <v>0</v>
      </c>
      <c r="K826" s="113">
        <v>0</v>
      </c>
      <c r="L826" s="113">
        <v>0</v>
      </c>
      <c r="M826" s="113">
        <v>0</v>
      </c>
      <c r="N826" s="28">
        <f>G826-SUM(H826:M826)</f>
        <v>0</v>
      </c>
      <c r="O826" s="28">
        <f>SUM(V826:Y826)</f>
        <v>0</v>
      </c>
      <c r="P826" s="28">
        <f>O826-N826</f>
        <v>0</v>
      </c>
      <c r="Q826" s="61" t="str">
        <f>IF(ISERROR(P826/SUM(H826:L826)),"",P826/SUM(H826:L826))</f>
        <v/>
      </c>
      <c r="R826" s="113">
        <v>0</v>
      </c>
      <c r="S826" s="28">
        <f>IF(ISERROR(P826/C826*R826),0,(P826/C826*R826))</f>
        <v>0</v>
      </c>
      <c r="T826" s="60">
        <f>IF(ISERROR(P826/B826*AF826),0,(P826/B826*AF826))</f>
        <v>0</v>
      </c>
      <c r="V826" s="113">
        <v>0</v>
      </c>
      <c r="W826" s="113">
        <v>0</v>
      </c>
      <c r="X826" s="113">
        <v>0</v>
      </c>
      <c r="Y826" s="113">
        <v>0</v>
      </c>
      <c r="AA826" s="113">
        <v>0</v>
      </c>
      <c r="AB826" s="113">
        <v>0</v>
      </c>
      <c r="AC826" s="113">
        <v>0</v>
      </c>
      <c r="AD826" s="113">
        <v>0</v>
      </c>
      <c r="AF826" s="113">
        <v>99.981250000000003</v>
      </c>
      <c r="AG826" s="28">
        <f>G826-O826</f>
        <v>0</v>
      </c>
      <c r="AH826" s="58">
        <f>IF(ISERROR(AG826/B826*AF826),0,(AG826/B826*AF826))</f>
        <v>0</v>
      </c>
      <c r="AI826" s="28">
        <f>SUM(H826:M826)</f>
        <v>0</v>
      </c>
      <c r="AJ826" s="28">
        <f>IF(ISERROR(AI826/B826*AF826),0,(AI826/B826*AF826))</f>
        <v>0</v>
      </c>
      <c r="AK826" s="58">
        <f>IF(ISERROR(O826/B826*AF826),0,(O826/B826*AF826))</f>
        <v>0</v>
      </c>
      <c r="AL826" s="28">
        <f>IF(ISERROR(H826/B826*AF826),0,(H826/B826*AF826))</f>
        <v>0</v>
      </c>
      <c r="AN826" s="51" t="str">
        <f>A826</f>
        <v>Smirnoff Ice original</v>
      </c>
      <c r="AO826" s="57">
        <f>IF(ISERROR(IF(B826=C826,D826/C826,(INT(D826/B826)+(((D826-B826*INT(D826/B826)))/C826)/100))),0,(IF(B826=C826,D826/C826,(INT(D826/B826)+(((D826-B826*INT(D826/B826)))/C826)/100))))</f>
        <v>0</v>
      </c>
      <c r="AP826" s="57">
        <f>IF(ISERROR(IF(B826=C826,E826/C826,(INT(E826/B826)+(((E826-B826*INT(E826/B826)))/C826)/100))),0,(IF(B826=C826,E826/C826,(INT(E826/B826)+(((E826-B826*INT(E826/B826)))/C826)/100))))</f>
        <v>0</v>
      </c>
      <c r="AQ826" s="57">
        <f>IF(ISERROR(IF(B826=C826,F826/C826,IF((INT(F826/B826)+(((F826-B826*INT(F826/B826)))/C826)/100)&lt;0,(INT(F826/B826)+(((F826-B826*INT(F826/B826)))/C826)/100)+(1-(B826/C826/100)),(INT(F826/B826)+(((F826-B826*INT(F826/B826)))/C826)/100)))),0,IF(B826=C826,F826/C826,IF((INT(F826/B826)+(((F826-B826*INT(F826/B826)))/C826)/100)&lt;0,(INT(F826/B826)+(((F826-B826*INT(F826/B826)))/C826)/100)+(1-(B826/C826/100)),(INT(F826/B826)+(((F826-B826*INT(F826/B826)))/C826)/100))))</f>
        <v>0</v>
      </c>
      <c r="AR826" s="57">
        <f>IF(ISERROR(IF(B826=C826,G826/C826,(INT(G826/B826)+(((G826-B826*INT(G826/B826)))/C826)/100))),0,(IF(B826=C826,G826/C826,(INT(G826/B826)+(((G826-B826*INT(G826/B826)))/C826)/100))))</f>
        <v>0</v>
      </c>
      <c r="AS826" s="57">
        <f>IF(ISERROR(IF(B826=C826,H826/C826,(INT(H826/B826)+(((H826-B826*INT(H826/B826)))/C826)/100))),0,(IF(B826=C826,H826/C826,(INT(H826/B826)+(((H826-B826*INT(H826/B826)))/C826)/100))))</f>
        <v>0</v>
      </c>
      <c r="AT826" s="57">
        <f>IF(ISERROR(IF(B826=C826,I826/C826,(INT(I826/B826)+(((I826-B826*INT(I826/B826)))/C826)/100))),0,(IF(B826=C826,I826/C826,(INT(I826/B826)+(((I826-B826*INT(I826/B826)))/C826)/100))))</f>
        <v>0</v>
      </c>
      <c r="AU826" s="57">
        <f>IF(ISERROR(IF(B826=C826,J826/C826,(INT(J826/B826)+(((J826-B826*INT(J826/B826)))/C826)/100))),0,(IF(B826=C826,J826/C826,(INT(J826/B826)+(((J826-B826*INT(J826/B826)))/C826)/100))))</f>
        <v>0</v>
      </c>
      <c r="AV826" s="57">
        <f>IF(ISERROR(IF(B826=C826,K826/C826,IF((INT(K826/B826)+(((K826-B826*INT(K826/B826)))/C826)/100)&lt;0,(INT(K826/B826)+(((K826-B826*INT(K826/B826)))/C826)/100)+(1-(B826/C826/100)),(INT(K826/B826)+(((K826-B826*INT(K826/B826)))/C826)/100)))),0,IF(B826=C826,K826/C826,IF((INT(K826/B826)+(((K826-B826*INT(K826/B826)))/C826)/100)&lt;0,(INT(K826/B826)+(((K826-B826*INT(K826/B826)))/C826)/100)+(1-(B826/C826/100)),(INT(K826/B826)+(((K826-B826*INT(K826/B826)))/C826)/100))))</f>
        <v>0</v>
      </c>
      <c r="AW826" s="57">
        <f>IF(ISERROR(IF(B826=C826,L826/C826,(INT(L826/B826)+(((L826-B826*INT(L826/B826)))/C826)/100))),0,(IF(B826=C826,L826/C826,(INT(L826/B826)+(((L826-B826*INT(L826/B826)))/C826)/100))))</f>
        <v>0</v>
      </c>
      <c r="AX826" s="57">
        <f>IF(ISERROR(IF(B826=C826,M826/C826,(INT(M826/B826)+(((M826-B826*INT(M826/B826)))/C826)/100))),0,(IF(B826=C826,M826/C826,(INT(M826/B826)+(((M826-B826*INT(M826/B826)))/C826)/100))))</f>
        <v>0</v>
      </c>
      <c r="AY826" s="57">
        <f>IF(ISERROR(IF(B826=C826,N826/C826,IF((INT(N826/B826)+(((N826-B826*INT(N826/B826)))/C826)/100)&lt;0,(INT(N826/B826)+(((N826-B826*INT(N826/B826)))/C826)/100)+(1-(B826/C826/100)),(INT(N826/B826)+(((N826-B826*INT(N826/B826)))/C826)/100)))),0,IF(B826=C826,N826/C826,IF((INT(N826/B826)+(((N826-B826*INT(N826/B826)))/C826)/100)&lt;0,(INT(N826/B826)+(((N826-B826*INT(N826/B826)))/C826)/100)+(1-(B826/C826/100)),(INT(N826/B826)+(((N826-B826*INT(N826/B826)))/C826)/100))))</f>
        <v>0</v>
      </c>
      <c r="AZ826" s="57">
        <f>IF(ISERROR(IF(B826=C826,O826/C826,(INT(O826/B826)+(((O826-B826*INT(O826/B826)))/C826)/100))),0,(IF(B826=C826,O826/C826,(INT(O826/B826)+(((O826-B826*INT(O826/B826)))/C826)/100))))</f>
        <v>0</v>
      </c>
      <c r="BA826" s="57">
        <f>IF(ISERROR(IF(B826=C826,P826/C826,IF((INT(P826/B826)+(((P826-B826*INT(P826/B826)))/C826)/100)&lt;0,(INT(P826/B826)+(((P826-B826*INT(P826/B826)))/C826)/100)+(1-(B826/C826/100)),(INT(P826/B826)+(((P826-B826*INT(P826/B826)))/C826)/100)))),0,IF(B826=C826,P826/C826,IF((INT(P826/B826)+(((P826-B826*INT(P826/B826)))/C826)/100)&lt;0,(INT(P826/B826)+(((P826-B826*INT(P826/B826)))/C826)/100)+(1-(B826/C826/100)),(INT(P826/B826)+(((P826-B826*INT(P826/B826)))/C826)/100))))</f>
        <v>0</v>
      </c>
      <c r="BB826" s="28">
        <f>R826</f>
        <v>0</v>
      </c>
      <c r="BC826" s="28">
        <f>S826</f>
        <v>0</v>
      </c>
      <c r="BD826" s="28">
        <f>AF826</f>
        <v>99.981250000000003</v>
      </c>
      <c r="BE826" s="28">
        <f>T826</f>
        <v>0</v>
      </c>
      <c r="BG826" s="57">
        <f>IF(ISERROR(IF(B826=C826,V826/C826,(INT(V826/B826)+(((V826-B826*INT(V826/B826)))/C826)/100))),0,(IF(B826=C826,V826/C826,(INT(V826/B826)+(((V826-B826*INT(V826/B826)))/C826)/100))))</f>
        <v>0</v>
      </c>
      <c r="BH826" s="57">
        <f>IF(ISERROR(IF(B826=C826,W826/C826,(INT(W826/B826)+(((W826-B826*INT(W826/B826)))/C826)/100))),0,(IF(B826=C826,W826/C826,(INT(W826/B826)+(((W826-B826*INT(W826/B826)))/C826)/100))))</f>
        <v>0</v>
      </c>
      <c r="BI826" s="57">
        <f>IF(ISERROR(IF(B826=C826,X826/C826,(INT(X826/B826)+(((X826-B826*INT(X826/B826)))/C826)/100))),0,(IF(B826=C826,X826/C826,(INT(X826/B826)+(((X826-B826*INT(X826/B826)))/C826)/100))))</f>
        <v>0</v>
      </c>
      <c r="BJ826" s="57">
        <f>IF(ISERROR(IF(B826=C826,Y826/C826,(INT(Y826/B826)+(((Y826-B826*INT(Y826/B826)))/C826)/100))),0,(IF(B826=C826,Y826/C826,(INT(Y826/B826)+(((Y826-B826*INT(Y826/B826)))/C826)/100))))</f>
        <v>0</v>
      </c>
      <c r="BL826" s="57">
        <f>IF(ISERROR(IF(B826=C826,AA826/C826,(INT(AA826/B826)+(((AA826-B826*INT(AA826/B826)))/C826)/100))),0,(IF(B826=C826,AA826/C826,(INT(AA826/B826)+(((AA826-B826*INT(AA826/B826)))/C826)/100))))</f>
        <v>0</v>
      </c>
      <c r="BM826" s="57">
        <f>IF(ISERROR(IF(B826=C826,AB826/C826,(INT(AB826/B826)+(((AB826-B826*INT(AB826/B826)))/C826)/100))),0,(IF(B826=C826,AB826/C826,(INT(AB826/B826)+(((AB826-B826*INT(AB826/B826)))/C826)/100))))</f>
        <v>0</v>
      </c>
      <c r="BN826" s="57">
        <f>IF(ISERROR(IF(B826=C826,AC826/C826,(INT(AC826/B826)+(((AC826-B826*INT(AC826/B826)))/C826)/100))),0,(IF(B826=C826,AC826/C826,(INT(AC826/B826)+(((AC826-B826*INT(AC826/B826)))/C826)/100))))</f>
        <v>0</v>
      </c>
      <c r="BO826" s="57">
        <f>IF(ISERROR(IF(B826=C826,AD826/C826,(INT(AD826/B826)+(((AD826-B826*INT(AD826/B826)))/C826)/100))),0,(IF(B826=C826,AD826/C826,(INT(AD826/B826)+(((AD826-B826*INT(AD826/B826)))/C826)/100))))</f>
        <v>0</v>
      </c>
      <c r="BQ826" s="155" t="s">
        <v>131</v>
      </c>
    </row>
    <row r="827" spans="1:69" x14ac:dyDescent="0.35">
      <c r="A827" s="160"/>
      <c r="B827" s="113">
        <v>1</v>
      </c>
      <c r="C827" s="113">
        <v>1</v>
      </c>
      <c r="D827" s="28">
        <f>SUM(AA827:AD827)</f>
        <v>0</v>
      </c>
      <c r="E827" s="113">
        <v>0</v>
      </c>
      <c r="F827" s="113">
        <v>0</v>
      </c>
      <c r="G827" s="28">
        <f>SUM(D827:F827)</f>
        <v>0</v>
      </c>
      <c r="H827" s="125">
        <v>0</v>
      </c>
      <c r="I827" s="113">
        <v>0</v>
      </c>
      <c r="J827" s="125">
        <v>0</v>
      </c>
      <c r="K827" s="113">
        <v>0</v>
      </c>
      <c r="L827" s="113">
        <v>0</v>
      </c>
      <c r="M827" s="113">
        <v>0</v>
      </c>
      <c r="N827" s="28">
        <f>G827-SUM(H827:M827)</f>
        <v>0</v>
      </c>
      <c r="O827" s="28">
        <f>SUM(V827:Y827)</f>
        <v>0</v>
      </c>
      <c r="P827" s="28">
        <f>O827-N827</f>
        <v>0</v>
      </c>
      <c r="Q827" s="61" t="str">
        <f>IF(ISERROR(P827/SUM(H827:L827)),"",P827/SUM(H827:L827))</f>
        <v/>
      </c>
      <c r="R827" s="113">
        <v>0</v>
      </c>
      <c r="S827" s="28">
        <f>IF(ISERROR(P827/C827*R827),0,(P827/C827*R827))</f>
        <v>0</v>
      </c>
      <c r="T827" s="60">
        <f>IF(ISERROR(P827/B827*AF827),0,(P827/B827*AF827))</f>
        <v>0</v>
      </c>
      <c r="V827" s="113">
        <v>0</v>
      </c>
      <c r="W827" s="113">
        <v>0</v>
      </c>
      <c r="X827" s="113">
        <v>0</v>
      </c>
      <c r="Y827" s="113">
        <v>0</v>
      </c>
      <c r="AA827" s="113">
        <v>0</v>
      </c>
      <c r="AB827" s="113">
        <v>0</v>
      </c>
      <c r="AC827" s="113">
        <v>0</v>
      </c>
      <c r="AD827" s="113">
        <v>0</v>
      </c>
      <c r="AF827" s="113">
        <v>0</v>
      </c>
      <c r="AG827" s="28">
        <f>G827-O827</f>
        <v>0</v>
      </c>
      <c r="AH827" s="58">
        <f>IF(ISERROR(AG827/B827*AF827),0,(AG827/B827*AF827))</f>
        <v>0</v>
      </c>
      <c r="AI827" s="28">
        <f>SUM(H827:M827)</f>
        <v>0</v>
      </c>
      <c r="AJ827" s="28">
        <f>IF(ISERROR(AI827/B827*AF827),0,(AI827/B827*AF827))</f>
        <v>0</v>
      </c>
      <c r="AK827" s="58">
        <f>IF(ISERROR(O827/B827*AF827),0,(O827/B827*AF827))</f>
        <v>0</v>
      </c>
      <c r="AL827" s="28">
        <f>IF(ISERROR(H827/B827*AF827),0,(H827/B827*AF827))</f>
        <v>0</v>
      </c>
      <c r="AN827" s="51">
        <f>A827</f>
        <v>0</v>
      </c>
      <c r="AO827" s="57">
        <f>IF(ISERROR(IF(B827=C827,D827/C827,(INT(D827/B827)+(((D827-B827*INT(D827/B827)))/C827)/100))),0,(IF(B827=C827,D827/C827,(INT(D827/B827)+(((D827-B827*INT(D827/B827)))/C827)/100))))</f>
        <v>0</v>
      </c>
      <c r="AP827" s="57">
        <f>IF(ISERROR(IF(B827=C827,E827/C827,(INT(E827/B827)+(((E827-B827*INT(E827/B827)))/C827)/100))),0,(IF(B827=C827,E827/C827,(INT(E827/B827)+(((E827-B827*INT(E827/B827)))/C827)/100))))</f>
        <v>0</v>
      </c>
      <c r="AQ827" s="57">
        <f>IF(ISERROR(IF(B827=C827,F827/C827,IF((INT(F827/B827)+(((F827-B827*INT(F827/B827)))/C827)/100)&lt;0,(INT(F827/B827)+(((F827-B827*INT(F827/B827)))/C827)/100)+(1-(B827/C827/100)),(INT(F827/B827)+(((F827-B827*INT(F827/B827)))/C827)/100)))),0,IF(B827=C827,F827/C827,IF((INT(F827/B827)+(((F827-B827*INT(F827/B827)))/C827)/100)&lt;0,(INT(F827/B827)+(((F827-B827*INT(F827/B827)))/C827)/100)+(1-(B827/C827/100)),(INT(F827/B827)+(((F827-B827*INT(F827/B827)))/C827)/100))))</f>
        <v>0</v>
      </c>
      <c r="AR827" s="57">
        <f>IF(ISERROR(IF(B827=C827,G827/C827,(INT(G827/B827)+(((G827-B827*INT(G827/B827)))/C827)/100))),0,(IF(B827=C827,G827/C827,(INT(G827/B827)+(((G827-B827*INT(G827/B827)))/C827)/100))))</f>
        <v>0</v>
      </c>
      <c r="AS827" s="57">
        <f>IF(ISERROR(IF(B827=C827,H827/C827,(INT(H827/B827)+(((H827-B827*INT(H827/B827)))/C827)/100))),0,(IF(B827=C827,H827/C827,(INT(H827/B827)+(((H827-B827*INT(H827/B827)))/C827)/100))))</f>
        <v>0</v>
      </c>
      <c r="AT827" s="57">
        <f>IF(ISERROR(IF(B827=C827,I827/C827,(INT(I827/B827)+(((I827-B827*INT(I827/B827)))/C827)/100))),0,(IF(B827=C827,I827/C827,(INT(I827/B827)+(((I827-B827*INT(I827/B827)))/C827)/100))))</f>
        <v>0</v>
      </c>
      <c r="AU827" s="57">
        <f>IF(ISERROR(IF(B827=C827,J827/C827,(INT(J827/B827)+(((J827-B827*INT(J827/B827)))/C827)/100))),0,(IF(B827=C827,J827/C827,(INT(J827/B827)+(((J827-B827*INT(J827/B827)))/C827)/100))))</f>
        <v>0</v>
      </c>
      <c r="AV827" s="57">
        <f>IF(ISERROR(IF(B827=C827,K827/C827,IF((INT(K827/B827)+(((K827-B827*INT(K827/B827)))/C827)/100)&lt;0,(INT(K827/B827)+(((K827-B827*INT(K827/B827)))/C827)/100)+(1-(B827/C827/100)),(INT(K827/B827)+(((K827-B827*INT(K827/B827)))/C827)/100)))),0,IF(B827=C827,K827/C827,IF((INT(K827/B827)+(((K827-B827*INT(K827/B827)))/C827)/100)&lt;0,(INT(K827/B827)+(((K827-B827*INT(K827/B827)))/C827)/100)+(1-(B827/C827/100)),(INT(K827/B827)+(((K827-B827*INT(K827/B827)))/C827)/100))))</f>
        <v>0</v>
      </c>
      <c r="AW827" s="57">
        <f>IF(ISERROR(IF(B827=C827,L827/C827,(INT(L827/B827)+(((L827-B827*INT(L827/B827)))/C827)/100))),0,(IF(B827=C827,L827/C827,(INT(L827/B827)+(((L827-B827*INT(L827/B827)))/C827)/100))))</f>
        <v>0</v>
      </c>
      <c r="AX827" s="57">
        <f>IF(ISERROR(IF(B827=C827,M827/C827,(INT(M827/B827)+(((M827-B827*INT(M827/B827)))/C827)/100))),0,(IF(B827=C827,M827/C827,(INT(M827/B827)+(((M827-B827*INT(M827/B827)))/C827)/100))))</f>
        <v>0</v>
      </c>
      <c r="AY827" s="57">
        <f>IF(ISERROR(IF(B827=C827,N827/C827,IF((INT(N827/B827)+(((N827-B827*INT(N827/B827)))/C827)/100)&lt;0,(INT(N827/B827)+(((N827-B827*INT(N827/B827)))/C827)/100)+(1-(B827/C827/100)),(INT(N827/B827)+(((N827-B827*INT(N827/B827)))/C827)/100)))),0,IF(B827=C827,N827/C827,IF((INT(N827/B827)+(((N827-B827*INT(N827/B827)))/C827)/100)&lt;0,(INT(N827/B827)+(((N827-B827*INT(N827/B827)))/C827)/100)+(1-(B827/C827/100)),(INT(N827/B827)+(((N827-B827*INT(N827/B827)))/C827)/100))))</f>
        <v>0</v>
      </c>
      <c r="AZ827" s="57">
        <f>IF(ISERROR(IF(B827=C827,O827/C827,(INT(O827/B827)+(((O827-B827*INT(O827/B827)))/C827)/100))),0,(IF(B827=C827,O827/C827,(INT(O827/B827)+(((O827-B827*INT(O827/B827)))/C827)/100))))</f>
        <v>0</v>
      </c>
      <c r="BA827" s="57">
        <f>IF(ISERROR(IF(B827=C827,P827/C827,IF((INT(P827/B827)+(((P827-B827*INT(P827/B827)))/C827)/100)&lt;0,(INT(P827/B827)+(((P827-B827*INT(P827/B827)))/C827)/100)+(1-(B827/C827/100)),(INT(P827/B827)+(((P827-B827*INT(P827/B827)))/C827)/100)))),0,IF(B827=C827,P827/C827,IF((INT(P827/B827)+(((P827-B827*INT(P827/B827)))/C827)/100)&lt;0,(INT(P827/B827)+(((P827-B827*INT(P827/B827)))/C827)/100)+(1-(B827/C827/100)),(INT(P827/B827)+(((P827-B827*INT(P827/B827)))/C827)/100))))</f>
        <v>0</v>
      </c>
      <c r="BB827" s="28">
        <f>R827</f>
        <v>0</v>
      </c>
      <c r="BC827" s="28">
        <f>S827</f>
        <v>0</v>
      </c>
      <c r="BD827" s="28">
        <f>AF827</f>
        <v>0</v>
      </c>
      <c r="BE827" s="28">
        <f>T827</f>
        <v>0</v>
      </c>
      <c r="BG827" s="57">
        <f>IF(ISERROR(IF(B827=C827,V827/C827,(INT(V827/B827)+(((V827-B827*INT(V827/B827)))/C827)/100))),0,(IF(B827=C827,V827/C827,(INT(V827/B827)+(((V827-B827*INT(V827/B827)))/C827)/100))))</f>
        <v>0</v>
      </c>
      <c r="BH827" s="57">
        <f>IF(ISERROR(IF(B827=C827,W827/C827,(INT(W827/B827)+(((W827-B827*INT(W827/B827)))/C827)/100))),0,(IF(B827=C827,W827/C827,(INT(W827/B827)+(((W827-B827*INT(W827/B827)))/C827)/100))))</f>
        <v>0</v>
      </c>
      <c r="BI827" s="57">
        <f>IF(ISERROR(IF(B827=C827,X827/C827,(INT(X827/B827)+(((X827-B827*INT(X827/B827)))/C827)/100))),0,(IF(B827=C827,X827/C827,(INT(X827/B827)+(((X827-B827*INT(X827/B827)))/C827)/100))))</f>
        <v>0</v>
      </c>
      <c r="BJ827" s="57">
        <f>IF(ISERROR(IF(B827=C827,Y827/C827,(INT(Y827/B827)+(((Y827-B827*INT(Y827/B827)))/C827)/100))),0,(IF(B827=C827,Y827/C827,(INT(Y827/B827)+(((Y827-B827*INT(Y827/B827)))/C827)/100))))</f>
        <v>0</v>
      </c>
      <c r="BL827" s="57">
        <f>IF(ISERROR(IF(B827=C827,AA827/C827,(INT(AA827/B827)+(((AA827-B827*INT(AA827/B827)))/C827)/100))),0,(IF(B827=C827,AA827/C827,(INT(AA827/B827)+(((AA827-B827*INT(AA827/B827)))/C827)/100))))</f>
        <v>0</v>
      </c>
      <c r="BM827" s="57">
        <f>IF(ISERROR(IF(B827=C827,AB827/C827,(INT(AB827/B827)+(((AB827-B827*INT(AB827/B827)))/C827)/100))),0,(IF(B827=C827,AB827/C827,(INT(AB827/B827)+(((AB827-B827*INT(AB827/B827)))/C827)/100))))</f>
        <v>0</v>
      </c>
      <c r="BN827" s="57">
        <f>IF(ISERROR(IF(B827=C827,AC827/C827,(INT(AC827/B827)+(((AC827-B827*INT(AC827/B827)))/C827)/100))),0,(IF(B827=C827,AC827/C827,(INT(AC827/B827)+(((AC827-B827*INT(AC827/B827)))/C827)/100))))</f>
        <v>0</v>
      </c>
      <c r="BO827" s="57">
        <f>IF(ISERROR(IF(B827=C827,AD827/C827,(INT(AD827/B827)+(((AD827-B827*INT(AD827/B827)))/C827)/100))),0,(IF(B827=C827,AD827/C827,(INT(AD827/B827)+(((AD827-B827*INT(AD827/B827)))/C827)/100))))</f>
        <v>0</v>
      </c>
      <c r="BQ827" s="155"/>
    </row>
    <row r="828" spans="1:69" x14ac:dyDescent="0.35">
      <c r="A828" s="160"/>
      <c r="B828" s="113"/>
      <c r="C828" s="113"/>
      <c r="D828" s="28"/>
      <c r="E828" s="113"/>
      <c r="F828" s="113"/>
      <c r="G828" s="28"/>
      <c r="H828" s="125"/>
      <c r="I828" s="113"/>
      <c r="J828" s="125"/>
      <c r="K828" s="113"/>
      <c r="L828" s="113"/>
      <c r="M828" s="113"/>
      <c r="N828" s="28"/>
      <c r="O828" s="28"/>
      <c r="P828" s="28"/>
      <c r="Q828" s="61"/>
      <c r="R828" s="113"/>
      <c r="S828" s="28"/>
      <c r="T828" s="28"/>
      <c r="V828" s="113"/>
      <c r="W828" s="113"/>
      <c r="X828" s="113"/>
      <c r="Y828" s="113"/>
      <c r="AA828" s="113"/>
      <c r="AB828" s="113"/>
      <c r="AC828" s="113"/>
      <c r="AD828" s="113"/>
      <c r="AF828" s="113"/>
      <c r="AG828" s="28"/>
      <c r="AH828" s="58"/>
      <c r="AI828" s="28"/>
      <c r="AJ828" s="28"/>
      <c r="AK828" s="58"/>
      <c r="AL828" s="28"/>
      <c r="AN828" s="51"/>
      <c r="AO828" s="28"/>
      <c r="AP828" s="28"/>
      <c r="AQ828" s="28"/>
      <c r="AR828" s="28"/>
      <c r="AS828" s="28"/>
      <c r="AT828" s="28"/>
      <c r="AU828" s="28"/>
      <c r="AV828" s="28"/>
      <c r="AW828" s="28"/>
      <c r="AX828" s="28"/>
      <c r="AY828" s="28"/>
      <c r="AZ828" s="28"/>
      <c r="BA828" s="28"/>
      <c r="BB828" s="28"/>
      <c r="BC828" s="28"/>
      <c r="BD828" s="28"/>
      <c r="BE828" s="28"/>
      <c r="BG828" s="28"/>
      <c r="BH828" s="28"/>
      <c r="BI828" s="28"/>
      <c r="BJ828" s="28"/>
      <c r="BL828" s="28"/>
      <c r="BM828" s="28"/>
      <c r="BN828" s="28"/>
      <c r="BO828" s="28"/>
      <c r="BQ828" s="113"/>
    </row>
    <row r="829" spans="1:69" x14ac:dyDescent="0.35">
      <c r="A829" s="123" t="s">
        <v>130</v>
      </c>
      <c r="B829" s="122"/>
      <c r="C829" s="122"/>
      <c r="D829" s="40"/>
      <c r="E829" s="122"/>
      <c r="F829" s="122"/>
      <c r="G829" s="40"/>
      <c r="H829" s="121"/>
      <c r="I829" s="122"/>
      <c r="J829" s="121"/>
      <c r="K829" s="122"/>
      <c r="L829" s="122"/>
      <c r="M829" s="122"/>
      <c r="N829" s="40"/>
      <c r="O829" s="40"/>
      <c r="P829" s="40"/>
      <c r="Q829" s="120"/>
      <c r="R829" s="122"/>
      <c r="S829" s="39">
        <f>SUBTOTAL(9,S761:S828)</f>
        <v>31.428571428571427</v>
      </c>
      <c r="T829" s="39">
        <f>SUBTOTAL(9,T761:T828)</f>
        <v>9.0905000000000005</v>
      </c>
      <c r="V829" s="122"/>
      <c r="W829" s="122"/>
      <c r="X829" s="122"/>
      <c r="Y829" s="122"/>
      <c r="AA829" s="122"/>
      <c r="AB829" s="122"/>
      <c r="AC829" s="122"/>
      <c r="AD829" s="122"/>
      <c r="AF829" s="122"/>
      <c r="AG829" s="40"/>
      <c r="AH829" s="117">
        <f>SUBTOTAL(9,AH761:AH828)</f>
        <v>12617.721250000001</v>
      </c>
      <c r="AI829" s="39"/>
      <c r="AJ829" s="117">
        <f>SUBTOTAL(9,AJ761:AJ828)</f>
        <v>12626.811749999999</v>
      </c>
      <c r="AK829" s="117">
        <f>SUBTOTAL(9,AK761:AK828)</f>
        <v>208002.34541666671</v>
      </c>
      <c r="AL829" s="39">
        <f>SUBTOTAL(9,AL761:AL828)</f>
        <v>12499.534</v>
      </c>
      <c r="AN829" s="41" t="str">
        <f>A829</f>
        <v>Total Beers</v>
      </c>
      <c r="AO829" s="40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  <c r="BB829" s="40"/>
      <c r="BC829" s="39">
        <f>S829</f>
        <v>31.428571428571427</v>
      </c>
      <c r="BD829" s="39"/>
      <c r="BE829" s="39">
        <f>T829</f>
        <v>9.0905000000000005</v>
      </c>
      <c r="BG829" s="40"/>
      <c r="BH829" s="40"/>
      <c r="BI829" s="40"/>
      <c r="BJ829" s="40"/>
      <c r="BL829" s="40"/>
      <c r="BM829" s="40"/>
      <c r="BN829" s="40"/>
      <c r="BO829" s="40"/>
      <c r="BQ829" s="122"/>
    </row>
    <row r="830" spans="1:69" x14ac:dyDescent="0.35">
      <c r="A830" s="2"/>
      <c r="B830" s="113"/>
      <c r="C830" s="113"/>
      <c r="D830" s="28"/>
      <c r="E830" s="113"/>
      <c r="F830" s="113"/>
      <c r="G830" s="28"/>
      <c r="H830" s="125"/>
      <c r="I830" s="113"/>
      <c r="J830" s="125"/>
      <c r="K830" s="113"/>
      <c r="L830" s="113"/>
      <c r="M830" s="113"/>
      <c r="N830" s="28"/>
      <c r="O830" s="28"/>
      <c r="P830" s="28"/>
      <c r="Q830" s="61"/>
      <c r="R830" s="113"/>
      <c r="S830" s="28"/>
      <c r="T830" s="28"/>
      <c r="V830" s="113"/>
      <c r="W830" s="113"/>
      <c r="X830" s="113"/>
      <c r="Y830" s="113"/>
      <c r="AA830" s="113"/>
      <c r="AB830" s="113"/>
      <c r="AC830" s="113"/>
      <c r="AD830" s="113"/>
      <c r="AF830" s="113"/>
      <c r="AG830" s="28"/>
      <c r="AH830" s="58"/>
      <c r="AI830" s="28"/>
      <c r="AJ830" s="28"/>
      <c r="AK830" s="58"/>
      <c r="AL830" s="28"/>
      <c r="AN830" s="159"/>
      <c r="AO830" s="28"/>
      <c r="AP830" s="28"/>
      <c r="AQ830" s="28"/>
      <c r="AR830" s="28"/>
      <c r="AS830" s="28"/>
      <c r="AT830" s="28"/>
      <c r="AU830" s="28"/>
      <c r="AV830" s="28"/>
      <c r="AW830" s="28"/>
      <c r="AX830" s="28"/>
      <c r="AY830" s="28"/>
      <c r="AZ830" s="28"/>
      <c r="BA830" s="28"/>
      <c r="BB830" s="28"/>
      <c r="BC830" s="28"/>
      <c r="BD830" s="28"/>
      <c r="BE830" s="28"/>
      <c r="BG830" s="28"/>
      <c r="BH830" s="28"/>
      <c r="BI830" s="28"/>
      <c r="BJ830" s="28"/>
      <c r="BL830" s="28"/>
      <c r="BM830" s="28"/>
      <c r="BN830" s="28"/>
      <c r="BO830" s="28"/>
      <c r="BQ830" s="113"/>
    </row>
    <row r="831" spans="1:69" x14ac:dyDescent="0.35">
      <c r="A831" s="123" t="s">
        <v>129</v>
      </c>
      <c r="B831" s="122"/>
      <c r="C831" s="122"/>
      <c r="D831" s="40"/>
      <c r="E831" s="122"/>
      <c r="F831" s="122"/>
      <c r="G831" s="40"/>
      <c r="H831" s="121"/>
      <c r="I831" s="122"/>
      <c r="J831" s="121"/>
      <c r="K831" s="122"/>
      <c r="L831" s="122"/>
      <c r="M831" s="122"/>
      <c r="N831" s="40"/>
      <c r="O831" s="40"/>
      <c r="P831" s="40"/>
      <c r="Q831" s="120"/>
      <c r="R831" s="122"/>
      <c r="S831" s="39">
        <f>SUBTOTAL(9,S6:S830)</f>
        <v>2021.4285714285713</v>
      </c>
      <c r="T831" s="39">
        <f>SUBTOTAL(9,T6:T830)</f>
        <v>499.92894444444437</v>
      </c>
      <c r="V831" s="122"/>
      <c r="W831" s="122"/>
      <c r="X831" s="122"/>
      <c r="Y831" s="122"/>
      <c r="AA831" s="122"/>
      <c r="AB831" s="122"/>
      <c r="AC831" s="122"/>
      <c r="AD831" s="122"/>
      <c r="AF831" s="122"/>
      <c r="AG831" s="40"/>
      <c r="AH831" s="117">
        <f>SUBTOTAL(9,AH6:AH830)</f>
        <v>17465.742083333334</v>
      </c>
      <c r="AI831" s="39"/>
      <c r="AJ831" s="117">
        <f>SUBTOTAL(9,AJ6:AJ830)</f>
        <v>17965.671027777782</v>
      </c>
      <c r="AK831" s="117">
        <f>SUBTOTAL(9,AK6:AK830)</f>
        <v>1157690.3390632935</v>
      </c>
      <c r="AL831" s="39">
        <f>SUBTOTAL(9,AL6:AL830)</f>
        <v>16114.060166666666</v>
      </c>
      <c r="AN831" s="41" t="str">
        <f>A831</f>
        <v>Grand Total Liquor</v>
      </c>
      <c r="AO831" s="40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  <c r="BB831" s="40"/>
      <c r="BC831" s="39">
        <f>S831</f>
        <v>2021.4285714285713</v>
      </c>
      <c r="BD831" s="39"/>
      <c r="BE831" s="39">
        <f>T831</f>
        <v>499.92894444444437</v>
      </c>
      <c r="BG831" s="40"/>
      <c r="BH831" s="40"/>
      <c r="BI831" s="40"/>
      <c r="BJ831" s="40"/>
      <c r="BL831" s="40"/>
      <c r="BM831" s="40"/>
      <c r="BN831" s="40"/>
      <c r="BO831" s="40"/>
      <c r="BQ831" s="122"/>
    </row>
    <row r="832" spans="1:69" x14ac:dyDescent="0.35">
      <c r="B832" s="8"/>
      <c r="C832" s="8"/>
      <c r="H832" s="145"/>
      <c r="J832" s="145"/>
      <c r="Q832" s="144"/>
      <c r="R832" s="8"/>
      <c r="V832" s="8"/>
      <c r="W832" s="8"/>
      <c r="X832" s="8"/>
      <c r="Y832" s="8"/>
      <c r="AA832" s="8"/>
      <c r="AB832" s="8"/>
      <c r="AC832" s="8"/>
      <c r="AD832" s="8"/>
      <c r="AF832" s="8"/>
      <c r="BB832" s="3"/>
      <c r="BG832" s="3"/>
      <c r="BH832" s="3"/>
      <c r="BI832" s="3"/>
      <c r="BJ832" s="3"/>
      <c r="BL832" s="3"/>
      <c r="BM832" s="3"/>
      <c r="BN832" s="3"/>
      <c r="BO832" s="3"/>
      <c r="BQ832" s="8"/>
    </row>
    <row r="833" spans="1:69" x14ac:dyDescent="0.35">
      <c r="A833" s="135" t="s">
        <v>111</v>
      </c>
      <c r="B833" s="113"/>
      <c r="C833" s="113"/>
      <c r="D833" s="28"/>
      <c r="E833" s="113"/>
      <c r="F833" s="113"/>
      <c r="G833" s="28"/>
      <c r="H833" s="125"/>
      <c r="I833" s="113"/>
      <c r="J833" s="125"/>
      <c r="K833" s="113"/>
      <c r="L833" s="113"/>
      <c r="M833" s="113"/>
      <c r="N833" s="28"/>
      <c r="O833" s="125"/>
      <c r="P833" s="28"/>
      <c r="Q833" s="61"/>
      <c r="R833" s="113"/>
      <c r="S833" s="28"/>
      <c r="T833" s="28"/>
      <c r="V833" s="113"/>
      <c r="W833" s="113"/>
      <c r="X833" s="113"/>
      <c r="Y833" s="113"/>
      <c r="AA833" s="113"/>
      <c r="AB833" s="113"/>
      <c r="AC833" s="113"/>
      <c r="AD833" s="113"/>
      <c r="AF833" s="113"/>
      <c r="AG833" s="28"/>
      <c r="AH833" s="58"/>
      <c r="AI833" s="28"/>
      <c r="AJ833" s="28"/>
      <c r="AK833" s="58"/>
      <c r="AL833" s="28"/>
      <c r="AN833" s="65" t="str">
        <f>A833</f>
        <v>Beverages</v>
      </c>
      <c r="AO833" s="28"/>
      <c r="AP833" s="28"/>
      <c r="AQ833" s="28"/>
      <c r="AR833" s="28"/>
      <c r="AS833" s="28"/>
      <c r="AT833" s="28"/>
      <c r="AU833" s="28"/>
      <c r="AV833" s="28"/>
      <c r="AW833" s="28"/>
      <c r="AX833" s="28"/>
      <c r="AY833" s="28"/>
      <c r="AZ833" s="28"/>
      <c r="BA833" s="28"/>
      <c r="BB833" s="28"/>
      <c r="BC833" s="28"/>
      <c r="BD833" s="28"/>
      <c r="BE833" s="28"/>
      <c r="BG833" s="28"/>
      <c r="BH833" s="28"/>
      <c r="BI833" s="28"/>
      <c r="BJ833" s="28"/>
      <c r="BL833" s="28"/>
      <c r="BM833" s="28"/>
      <c r="BN833" s="28"/>
      <c r="BO833" s="28"/>
      <c r="BQ833" s="113"/>
    </row>
    <row r="834" spans="1:69" x14ac:dyDescent="0.35">
      <c r="A834" s="134" t="s">
        <v>128</v>
      </c>
      <c r="B834" s="113">
        <v>1</v>
      </c>
      <c r="C834" s="113">
        <v>1</v>
      </c>
      <c r="D834" s="28">
        <f>SUM(AA834:AD834)</f>
        <v>98</v>
      </c>
      <c r="E834" s="113">
        <v>0</v>
      </c>
      <c r="F834" s="113">
        <v>0</v>
      </c>
      <c r="G834" s="28">
        <f>SUM(D834:F834)</f>
        <v>98</v>
      </c>
      <c r="H834" s="125">
        <v>4</v>
      </c>
      <c r="I834" s="113">
        <v>0</v>
      </c>
      <c r="J834" s="125">
        <v>0</v>
      </c>
      <c r="K834" s="113">
        <v>0</v>
      </c>
      <c r="L834" s="113">
        <v>0</v>
      </c>
      <c r="M834" s="113">
        <v>0</v>
      </c>
      <c r="N834" s="28">
        <f>G834-SUM(H834:M834)</f>
        <v>94</v>
      </c>
      <c r="O834" s="28">
        <f>SUM(V834:Y834)</f>
        <v>94</v>
      </c>
      <c r="P834" s="28">
        <f>O834-N834</f>
        <v>0</v>
      </c>
      <c r="Q834" s="61">
        <f>IF(ISERROR(P834/SUM(H834:L834)),"",P834/SUM(H834:L834))</f>
        <v>0</v>
      </c>
      <c r="R834" s="113">
        <v>100</v>
      </c>
      <c r="S834" s="28">
        <f>IF(ISERROR(P834/C834*R834),0,(P834/C834*R834))</f>
        <v>0</v>
      </c>
      <c r="T834" s="60">
        <f>IF(ISERROR(P834/B834*AF834),0,(P834/B834*AF834))</f>
        <v>0</v>
      </c>
      <c r="V834" s="113">
        <f>8+13+1</f>
        <v>22</v>
      </c>
      <c r="W834" s="113">
        <f>3*24</f>
        <v>72</v>
      </c>
      <c r="X834" s="113">
        <v>0</v>
      </c>
      <c r="Y834" s="113">
        <v>0</v>
      </c>
      <c r="AA834" s="113">
        <f>2+13+11</f>
        <v>26</v>
      </c>
      <c r="AB834" s="113">
        <f>3*24</f>
        <v>72</v>
      </c>
      <c r="AC834" s="113">
        <v>0</v>
      </c>
      <c r="AD834" s="113">
        <v>0</v>
      </c>
      <c r="AF834" s="113">
        <v>27.788749999999997</v>
      </c>
      <c r="AG834" s="28">
        <f>G834-O834</f>
        <v>4</v>
      </c>
      <c r="AH834" s="58">
        <f>IF(ISERROR(AG834/B834*AF834),0,(AG834/B834*AF834))</f>
        <v>111.15499999999999</v>
      </c>
      <c r="AI834" s="28">
        <f>SUM(H834:M834)</f>
        <v>4</v>
      </c>
      <c r="AJ834" s="28">
        <f>IF(ISERROR(AI834/B834*AF834),0,(AI834/B834*AF834))</f>
        <v>111.15499999999999</v>
      </c>
      <c r="AK834" s="58">
        <f>IF(ISERROR(O834/B834*AF834),0,(O834/B834*AF834))</f>
        <v>2612.1424999999995</v>
      </c>
      <c r="AL834" s="28">
        <f>IF(ISERROR(H834/B834*AF834),0,(H834/B834*AF834))</f>
        <v>111.15499999999999</v>
      </c>
      <c r="AN834" s="51" t="str">
        <f>A834</f>
        <v>Diet Coke</v>
      </c>
      <c r="AO834" s="57">
        <f>IF(ISERROR(IF(B834=C834,D834/C834,(INT(D834/B834)+(((D834-B834*INT(D834/B834)))/C834)/100))),0,(IF(B834=C834,D834/C834,(INT(D834/B834)+(((D834-B834*INT(D834/B834)))/C834)/100))))</f>
        <v>98</v>
      </c>
      <c r="AP834" s="57">
        <f>IF(ISERROR(IF(B834=C834,E834/C834,(INT(E834/B834)+(((E834-B834*INT(E834/B834)))/C834)/100))),0,(IF(B834=C834,E834/C834,(INT(E834/B834)+(((E834-B834*INT(E834/B834)))/C834)/100))))</f>
        <v>0</v>
      </c>
      <c r="AQ834" s="57">
        <f>IF(ISERROR(IF(B834=C834,F834/C834,IF((INT(F834/B834)+(((F834-B834*INT(F834/B834)))/C834)/100)&lt;0,(INT(F834/B834)+(((F834-B834*INT(F834/B834)))/C834)/100)+(1-(B834/C834/100)),(INT(F834/B834)+(((F834-B834*INT(F834/B834)))/C834)/100)))),0,IF(B834=C834,F834/C834,IF((INT(F834/B834)+(((F834-B834*INT(F834/B834)))/C834)/100)&lt;0,(INT(F834/B834)+(((F834-B834*INT(F834/B834)))/C834)/100)+(1-(B834/C834/100)),(INT(F834/B834)+(((F834-B834*INT(F834/B834)))/C834)/100))))</f>
        <v>0</v>
      </c>
      <c r="AR834" s="57">
        <f>IF(ISERROR(IF(B834=C834,G834/C834,(INT(G834/B834)+(((G834-B834*INT(G834/B834)))/C834)/100))),0,(IF(B834=C834,G834/C834,(INT(G834/B834)+(((G834-B834*INT(G834/B834)))/C834)/100))))</f>
        <v>98</v>
      </c>
      <c r="AS834" s="57">
        <f>IF(ISERROR(IF(B834=C834,H834/C834,(INT(H834/B834)+(((H834-B834*INT(H834/B834)))/C834)/100))),0,(IF(B834=C834,H834/C834,(INT(H834/B834)+(((H834-B834*INT(H834/B834)))/C834)/100))))</f>
        <v>4</v>
      </c>
      <c r="AT834" s="57">
        <f>IF(ISERROR(IF(B834=C834,I834/C834,(INT(I834/B834)+(((I834-B834*INT(I834/B834)))/C834)/100))),0,(IF(B834=C834,I834/C834,(INT(I834/B834)+(((I834-B834*INT(I834/B834)))/C834)/100))))</f>
        <v>0</v>
      </c>
      <c r="AU834" s="57">
        <f>IF(ISERROR(IF(B834=C834,J834/C834,(INT(J834/B834)+(((J834-B834*INT(J834/B834)))/C834)/100))),0,(IF(B834=C834,J834/C834,(INT(J834/B834)+(((J834-B834*INT(J834/B834)))/C834)/100))))</f>
        <v>0</v>
      </c>
      <c r="AV834" s="57">
        <f>IF(ISERROR(IF(B834=C834,K834/C834,IF((INT(K834/B834)+(((K834-B834*INT(K834/B834)))/C834)/100)&lt;0,(INT(K834/B834)+(((K834-B834*INT(K834/B834)))/C834)/100)+(1-(B834/C834/100)),(INT(K834/B834)+(((K834-B834*INT(K834/B834)))/C834)/100)))),0,IF(B834=C834,K834/C834,IF((INT(K834/B834)+(((K834-B834*INT(K834/B834)))/C834)/100)&lt;0,(INT(K834/B834)+(((K834-B834*INT(K834/B834)))/C834)/100)+(1-(B834/C834/100)),(INT(K834/B834)+(((K834-B834*INT(K834/B834)))/C834)/100))))</f>
        <v>0</v>
      </c>
      <c r="AW834" s="57">
        <f>IF(ISERROR(IF(B834=C834,L834/C834,(INT(L834/B834)+(((L834-B834*INT(L834/B834)))/C834)/100))),0,(IF(B834=C834,L834/C834,(INT(L834/B834)+(((L834-B834*INT(L834/B834)))/C834)/100))))</f>
        <v>0</v>
      </c>
      <c r="AX834" s="57">
        <f>IF(ISERROR(IF(B834=C834,M834/C834,(INT(M834/B834)+(((M834-B834*INT(M834/B834)))/C834)/100))),0,(IF(B834=C834,M834/C834,(INT(M834/B834)+(((M834-B834*INT(M834/B834)))/C834)/100))))</f>
        <v>0</v>
      </c>
      <c r="AY834" s="57">
        <f>IF(ISERROR(IF(B834=C834,N834/C834,IF((INT(N834/B834)+(((N834-B834*INT(N834/B834)))/C834)/100)&lt;0,(INT(N834/B834)+(((N834-B834*INT(N834/B834)))/C834)/100)+(1-(B834/C834/100)),(INT(N834/B834)+(((N834-B834*INT(N834/B834)))/C834)/100)))),0,IF(B834=C834,N834/C834,IF((INT(N834/B834)+(((N834-B834*INT(N834/B834)))/C834)/100)&lt;0,(INT(N834/B834)+(((N834-B834*INT(N834/B834)))/C834)/100)+(1-(B834/C834/100)),(INT(N834/B834)+(((N834-B834*INT(N834/B834)))/C834)/100))))</f>
        <v>94</v>
      </c>
      <c r="AZ834" s="57">
        <f>IF(ISERROR(IF(B834=C834,O834/C834,(INT(O834/B834)+(((O834-B834*INT(O834/B834)))/C834)/100))),0,(IF(B834=C834,O834/C834,(INT(O834/B834)+(((O834-B834*INT(O834/B834)))/C834)/100))))</f>
        <v>94</v>
      </c>
      <c r="BA834" s="57">
        <f>IF(ISERROR(IF(B834=C834,P834/C834,IF((INT(P834/B834)+(((P834-B834*INT(P834/B834)))/C834)/100)&lt;0,(INT(P834/B834)+(((P834-B834*INT(P834/B834)))/C834)/100)+(1-(B834/C834/100)),(INT(P834/B834)+(((P834-B834*INT(P834/B834)))/C834)/100)))),0,IF(B834=C834,P834/C834,IF((INT(P834/B834)+(((P834-B834*INT(P834/B834)))/C834)/100)&lt;0,(INT(P834/B834)+(((P834-B834*INT(P834/B834)))/C834)/100)+(1-(B834/C834/100)),(INT(P834/B834)+(((P834-B834*INT(P834/B834)))/C834)/100))))</f>
        <v>0</v>
      </c>
      <c r="BB834" s="28">
        <f>R834</f>
        <v>100</v>
      </c>
      <c r="BC834" s="28">
        <f>S834</f>
        <v>0</v>
      </c>
      <c r="BD834" s="28">
        <f>AF834</f>
        <v>27.788749999999997</v>
      </c>
      <c r="BE834" s="28">
        <f>T834</f>
        <v>0</v>
      </c>
      <c r="BG834" s="57">
        <f>IF(ISERROR(IF(B834=C834,V834/C834,(INT(V834/B834)+(((V834-B834*INT(V834/B834)))/C834)/100))),0,(IF(B834=C834,V834/C834,(INT(V834/B834)+(((V834-B834*INT(V834/B834)))/C834)/100))))</f>
        <v>22</v>
      </c>
      <c r="BH834" s="57">
        <f>IF(ISERROR(IF(B834=C834,W834/C834,(INT(W834/B834)+(((W834-B834*INT(W834/B834)))/C834)/100))),0,(IF(B834=C834,W834/C834,(INT(W834/B834)+(((W834-B834*INT(W834/B834)))/C834)/100))))</f>
        <v>72</v>
      </c>
      <c r="BI834" s="57">
        <f>IF(ISERROR(IF(B834=C834,X834/C834,(INT(X834/B834)+(((X834-B834*INT(X834/B834)))/C834)/100))),0,(IF(B834=C834,X834/C834,(INT(X834/B834)+(((X834-B834*INT(X834/B834)))/C834)/100))))</f>
        <v>0</v>
      </c>
      <c r="BJ834" s="57">
        <f>IF(ISERROR(IF(B834=C834,Y834/C834,(INT(Y834/B834)+(((Y834-B834*INT(Y834/B834)))/C834)/100))),0,(IF(B834=C834,Y834/C834,(INT(Y834/B834)+(((Y834-B834*INT(Y834/B834)))/C834)/100))))</f>
        <v>0</v>
      </c>
      <c r="BL834" s="57">
        <f>IF(ISERROR(IF(B834=C834,AA834/C834,(INT(AA834/B834)+(((AA834-B834*INT(AA834/B834)))/C834)/100))),0,(IF(B834=C834,AA834/C834,(INT(AA834/B834)+(((AA834-B834*INT(AA834/B834)))/C834)/100))))</f>
        <v>26</v>
      </c>
      <c r="BM834" s="57">
        <f>IF(ISERROR(IF(B834=C834,AB834/C834,(INT(AB834/B834)+(((AB834-B834*INT(AB834/B834)))/C834)/100))),0,(IF(B834=C834,AB834/C834,(INT(AB834/B834)+(((AB834-B834*INT(AB834/B834)))/C834)/100))))</f>
        <v>72</v>
      </c>
      <c r="BN834" s="57">
        <f>IF(ISERROR(IF(B834=C834,AC834/C834,(INT(AC834/B834)+(((AC834-B834*INT(AC834/B834)))/C834)/100))),0,(IF(B834=C834,AC834/C834,(INT(AC834/B834)+(((AC834-B834*INT(AC834/B834)))/C834)/100))))</f>
        <v>0</v>
      </c>
      <c r="BO834" s="57">
        <f>IF(ISERROR(IF(B834=C834,AD834/C834,(INT(AD834/B834)+(((AD834-B834*INT(AD834/B834)))/C834)/100))),0,(IF(B834=C834,AD834/C834,(INT(AD834/B834)+(((AD834-B834*INT(AD834/B834)))/C834)/100))))</f>
        <v>0</v>
      </c>
      <c r="BQ834" s="155" t="s">
        <v>81</v>
      </c>
    </row>
    <row r="835" spans="1:69" x14ac:dyDescent="0.35">
      <c r="A835" s="94" t="s">
        <v>127</v>
      </c>
      <c r="B835" s="113">
        <v>1</v>
      </c>
      <c r="C835" s="113">
        <v>1</v>
      </c>
      <c r="D835" s="28">
        <f>SUM(AA835:AD835)</f>
        <v>102</v>
      </c>
      <c r="E835" s="113">
        <v>0</v>
      </c>
      <c r="F835" s="113">
        <v>0</v>
      </c>
      <c r="G835" s="28">
        <f>SUM(D835:F835)</f>
        <v>102</v>
      </c>
      <c r="H835" s="125">
        <v>1</v>
      </c>
      <c r="I835" s="113">
        <v>0</v>
      </c>
      <c r="J835" s="125">
        <v>0</v>
      </c>
      <c r="K835" s="113">
        <v>0</v>
      </c>
      <c r="L835" s="113">
        <v>0</v>
      </c>
      <c r="M835" s="113">
        <v>0</v>
      </c>
      <c r="N835" s="28">
        <f>G835-SUM(H835:M835)</f>
        <v>101</v>
      </c>
      <c r="O835" s="28">
        <f>SUM(V835:Y835)</f>
        <v>101</v>
      </c>
      <c r="P835" s="28">
        <f>O835-N835</f>
        <v>0</v>
      </c>
      <c r="Q835" s="61">
        <f>IF(ISERROR(P835/SUM(H835:L835)),"",P835/SUM(H835:L835))</f>
        <v>0</v>
      </c>
      <c r="R835" s="113">
        <v>80</v>
      </c>
      <c r="S835" s="28">
        <f>IF(ISERROR(P835/C835*R835),0,(P835/C835*R835))</f>
        <v>0</v>
      </c>
      <c r="T835" s="60">
        <f>IF(ISERROR(P835/B835*AF835),0,(P835/B835*AF835))</f>
        <v>0</v>
      </c>
      <c r="V835" s="113">
        <f>20+9</f>
        <v>29</v>
      </c>
      <c r="W835" s="113">
        <f>3*24</f>
        <v>72</v>
      </c>
      <c r="X835" s="113">
        <v>0</v>
      </c>
      <c r="Y835" s="113">
        <v>0</v>
      </c>
      <c r="AA835" s="113">
        <f>10+5+15</f>
        <v>30</v>
      </c>
      <c r="AB835" s="113">
        <f>3*24</f>
        <v>72</v>
      </c>
      <c r="AC835" s="113">
        <v>0</v>
      </c>
      <c r="AD835" s="113">
        <v>0</v>
      </c>
      <c r="AF835" s="113">
        <v>37.972083333333337</v>
      </c>
      <c r="AG835" s="28">
        <f>G835-O835</f>
        <v>1</v>
      </c>
      <c r="AH835" s="58">
        <f>IF(ISERROR(AG835/B835*AF835),0,(AG835/B835*AF835))</f>
        <v>37.972083333333337</v>
      </c>
      <c r="AI835" s="28">
        <f>SUM(H835:M835)</f>
        <v>1</v>
      </c>
      <c r="AJ835" s="28">
        <f>IF(ISERROR(AI835/B835*AF835),0,(AI835/B835*AF835))</f>
        <v>37.972083333333337</v>
      </c>
      <c r="AK835" s="58">
        <f>IF(ISERROR(O835/B835*AF835),0,(O835/B835*AF835))</f>
        <v>3835.180416666667</v>
      </c>
      <c r="AL835" s="28">
        <f>IF(ISERROR(H835/B835*AF835),0,(H835/B835*AF835))</f>
        <v>37.972083333333337</v>
      </c>
      <c r="AN835" s="51" t="str">
        <f>A835</f>
        <v>Ginger Ale</v>
      </c>
      <c r="AO835" s="57">
        <f>IF(ISERROR(IF(B835=C835,D835/C835,(INT(D835/B835)+(((D835-B835*INT(D835/B835)))/C835)/100))),0,(IF(B835=C835,D835/C835,(INT(D835/B835)+(((D835-B835*INT(D835/B835)))/C835)/100))))</f>
        <v>102</v>
      </c>
      <c r="AP835" s="57">
        <f>IF(ISERROR(IF(B835=C835,E835/C835,(INT(E835/B835)+(((E835-B835*INT(E835/B835)))/C835)/100))),0,(IF(B835=C835,E835/C835,(INT(E835/B835)+(((E835-B835*INT(E835/B835)))/C835)/100))))</f>
        <v>0</v>
      </c>
      <c r="AQ835" s="57">
        <f>IF(ISERROR(IF(B835=C835,F835/C835,IF((INT(F835/B835)+(((F835-B835*INT(F835/B835)))/C835)/100)&lt;0,(INT(F835/B835)+(((F835-B835*INT(F835/B835)))/C835)/100)+(1-(B835/C835/100)),(INT(F835/B835)+(((F835-B835*INT(F835/B835)))/C835)/100)))),0,IF(B835=C835,F835/C835,IF((INT(F835/B835)+(((F835-B835*INT(F835/B835)))/C835)/100)&lt;0,(INT(F835/B835)+(((F835-B835*INT(F835/B835)))/C835)/100)+(1-(B835/C835/100)),(INT(F835/B835)+(((F835-B835*INT(F835/B835)))/C835)/100))))</f>
        <v>0</v>
      </c>
      <c r="AR835" s="57">
        <f>IF(ISERROR(IF(B835=C835,G835/C835,(INT(G835/B835)+(((G835-B835*INT(G835/B835)))/C835)/100))),0,(IF(B835=C835,G835/C835,(INT(G835/B835)+(((G835-B835*INT(G835/B835)))/C835)/100))))</f>
        <v>102</v>
      </c>
      <c r="AS835" s="57">
        <f>IF(ISERROR(IF(B835=C835,H835/C835,(INT(H835/B835)+(((H835-B835*INT(H835/B835)))/C835)/100))),0,(IF(B835=C835,H835/C835,(INT(H835/B835)+(((H835-B835*INT(H835/B835)))/C835)/100))))</f>
        <v>1</v>
      </c>
      <c r="AT835" s="57">
        <f>IF(ISERROR(IF(B835=C835,I835/C835,(INT(I835/B835)+(((I835-B835*INT(I835/B835)))/C835)/100))),0,(IF(B835=C835,I835/C835,(INT(I835/B835)+(((I835-B835*INT(I835/B835)))/C835)/100))))</f>
        <v>0</v>
      </c>
      <c r="AU835" s="57">
        <f>IF(ISERROR(IF(B835=C835,J835/C835,(INT(J835/B835)+(((J835-B835*INT(J835/B835)))/C835)/100))),0,(IF(B835=C835,J835/C835,(INT(J835/B835)+(((J835-B835*INT(J835/B835)))/C835)/100))))</f>
        <v>0</v>
      </c>
      <c r="AV835" s="57">
        <f>IF(ISERROR(IF(B835=C835,K835/C835,IF((INT(K835/B835)+(((K835-B835*INT(K835/B835)))/C835)/100)&lt;0,(INT(K835/B835)+(((K835-B835*INT(K835/B835)))/C835)/100)+(1-(B835/C835/100)),(INT(K835/B835)+(((K835-B835*INT(K835/B835)))/C835)/100)))),0,IF(B835=C835,K835/C835,IF((INT(K835/B835)+(((K835-B835*INT(K835/B835)))/C835)/100)&lt;0,(INT(K835/B835)+(((K835-B835*INT(K835/B835)))/C835)/100)+(1-(B835/C835/100)),(INT(K835/B835)+(((K835-B835*INT(K835/B835)))/C835)/100))))</f>
        <v>0</v>
      </c>
      <c r="AW835" s="57">
        <f>IF(ISERROR(IF(B835=C835,L835/C835,(INT(L835/B835)+(((L835-B835*INT(L835/B835)))/C835)/100))),0,(IF(B835=C835,L835/C835,(INT(L835/B835)+(((L835-B835*INT(L835/B835)))/C835)/100))))</f>
        <v>0</v>
      </c>
      <c r="AX835" s="57">
        <f>IF(ISERROR(IF(B835=C835,M835/C835,(INT(M835/B835)+(((M835-B835*INT(M835/B835)))/C835)/100))),0,(IF(B835=C835,M835/C835,(INT(M835/B835)+(((M835-B835*INT(M835/B835)))/C835)/100))))</f>
        <v>0</v>
      </c>
      <c r="AY835" s="57">
        <f>IF(ISERROR(IF(B835=C835,N835/C835,IF((INT(N835/B835)+(((N835-B835*INT(N835/B835)))/C835)/100)&lt;0,(INT(N835/B835)+(((N835-B835*INT(N835/B835)))/C835)/100)+(1-(B835/C835/100)),(INT(N835/B835)+(((N835-B835*INT(N835/B835)))/C835)/100)))),0,IF(B835=C835,N835/C835,IF((INT(N835/B835)+(((N835-B835*INT(N835/B835)))/C835)/100)&lt;0,(INT(N835/B835)+(((N835-B835*INT(N835/B835)))/C835)/100)+(1-(B835/C835/100)),(INT(N835/B835)+(((N835-B835*INT(N835/B835)))/C835)/100))))</f>
        <v>101</v>
      </c>
      <c r="AZ835" s="57">
        <f>IF(ISERROR(IF(B835=C835,O835/C835,(INT(O835/B835)+(((O835-B835*INT(O835/B835)))/C835)/100))),0,(IF(B835=C835,O835/C835,(INT(O835/B835)+(((O835-B835*INT(O835/B835)))/C835)/100))))</f>
        <v>101</v>
      </c>
      <c r="BA835" s="57">
        <f>IF(ISERROR(IF(B835=C835,P835/C835,IF((INT(P835/B835)+(((P835-B835*INT(P835/B835)))/C835)/100)&lt;0,(INT(P835/B835)+(((P835-B835*INT(P835/B835)))/C835)/100)+(1-(B835/C835/100)),(INT(P835/B835)+(((P835-B835*INT(P835/B835)))/C835)/100)))),0,IF(B835=C835,P835/C835,IF((INT(P835/B835)+(((P835-B835*INT(P835/B835)))/C835)/100)&lt;0,(INT(P835/B835)+(((P835-B835*INT(P835/B835)))/C835)/100)+(1-(B835/C835/100)),(INT(P835/B835)+(((P835-B835*INT(P835/B835)))/C835)/100))))</f>
        <v>0</v>
      </c>
      <c r="BB835" s="28">
        <f>R835</f>
        <v>80</v>
      </c>
      <c r="BC835" s="28">
        <f>S835</f>
        <v>0</v>
      </c>
      <c r="BD835" s="28">
        <f>AF835</f>
        <v>37.972083333333337</v>
      </c>
      <c r="BE835" s="28">
        <f>T835</f>
        <v>0</v>
      </c>
      <c r="BG835" s="57">
        <f>IF(ISERROR(IF(B835=C835,V835/C835,(INT(V835/B835)+(((V835-B835*INT(V835/B835)))/C835)/100))),0,(IF(B835=C835,V835/C835,(INT(V835/B835)+(((V835-B835*INT(V835/B835)))/C835)/100))))</f>
        <v>29</v>
      </c>
      <c r="BH835" s="57">
        <f>IF(ISERROR(IF(B835=C835,W835/C835,(INT(W835/B835)+(((W835-B835*INT(W835/B835)))/C835)/100))),0,(IF(B835=C835,W835/C835,(INT(W835/B835)+(((W835-B835*INT(W835/B835)))/C835)/100))))</f>
        <v>72</v>
      </c>
      <c r="BI835" s="57">
        <f>IF(ISERROR(IF(B835=C835,X835/C835,(INT(X835/B835)+(((X835-B835*INT(X835/B835)))/C835)/100))),0,(IF(B835=C835,X835/C835,(INT(X835/B835)+(((X835-B835*INT(X835/B835)))/C835)/100))))</f>
        <v>0</v>
      </c>
      <c r="BJ835" s="57">
        <f>IF(ISERROR(IF(B835=C835,Y835/C835,(INT(Y835/B835)+(((Y835-B835*INT(Y835/B835)))/C835)/100))),0,(IF(B835=C835,Y835/C835,(INT(Y835/B835)+(((Y835-B835*INT(Y835/B835)))/C835)/100))))</f>
        <v>0</v>
      </c>
      <c r="BL835" s="57">
        <f>IF(ISERROR(IF(B835=C835,AA835/C835,(INT(AA835/B835)+(((AA835-B835*INT(AA835/B835)))/C835)/100))),0,(IF(B835=C835,AA835/C835,(INT(AA835/B835)+(((AA835-B835*INT(AA835/B835)))/C835)/100))))</f>
        <v>30</v>
      </c>
      <c r="BM835" s="57">
        <f>IF(ISERROR(IF(B835=C835,AB835/C835,(INT(AB835/B835)+(((AB835-B835*INT(AB835/B835)))/C835)/100))),0,(IF(B835=C835,AB835/C835,(INT(AB835/B835)+(((AB835-B835*INT(AB835/B835)))/C835)/100))))</f>
        <v>72</v>
      </c>
      <c r="BN835" s="57">
        <f>IF(ISERROR(IF(B835=C835,AC835/C835,(INT(AC835/B835)+(((AC835-B835*INT(AC835/B835)))/C835)/100))),0,(IF(B835=C835,AC835/C835,(INT(AC835/B835)+(((AC835-B835*INT(AC835/B835)))/C835)/100))))</f>
        <v>0</v>
      </c>
      <c r="BO835" s="57">
        <f>IF(ISERROR(IF(B835=C835,AD835/C835,(INT(AD835/B835)+(((AD835-B835*INT(AD835/B835)))/C835)/100))),0,(IF(B835=C835,AD835/C835,(INT(AD835/B835)+(((AD835-B835*INT(AD835/B835)))/C835)/100))))</f>
        <v>0</v>
      </c>
      <c r="BQ835" s="155" t="s">
        <v>81</v>
      </c>
    </row>
    <row r="836" spans="1:69" x14ac:dyDescent="0.35">
      <c r="A836" s="94" t="s">
        <v>126</v>
      </c>
      <c r="B836" s="113">
        <v>250</v>
      </c>
      <c r="C836" s="113">
        <v>250</v>
      </c>
      <c r="D836" s="28">
        <f>SUM(AA836:AD836)</f>
        <v>53000</v>
      </c>
      <c r="E836" s="113">
        <v>0</v>
      </c>
      <c r="F836" s="113">
        <v>0</v>
      </c>
      <c r="G836" s="28">
        <f>SUM(D836:F836)</f>
        <v>53000</v>
      </c>
      <c r="H836" s="125">
        <v>0</v>
      </c>
      <c r="I836" s="113">
        <v>0</v>
      </c>
      <c r="J836" s="125">
        <v>0</v>
      </c>
      <c r="K836" s="113">
        <v>0</v>
      </c>
      <c r="L836" s="113">
        <v>0</v>
      </c>
      <c r="M836" s="113">
        <v>0</v>
      </c>
      <c r="N836" s="28">
        <f>G836-SUM(H836:M836)</f>
        <v>53000</v>
      </c>
      <c r="O836" s="28">
        <f>SUM(V836:Y836)</f>
        <v>53000</v>
      </c>
      <c r="P836" s="28">
        <f>O836-N836</f>
        <v>0</v>
      </c>
      <c r="Q836" s="61" t="str">
        <f>IF(ISERROR(P836/SUM(H836:L836)),"",P836/SUM(H836:L836))</f>
        <v/>
      </c>
      <c r="R836" s="113">
        <v>150</v>
      </c>
      <c r="S836" s="28">
        <f>IF(ISERROR(P836/C836*R836),0,(P836/C836*R836))</f>
        <v>0</v>
      </c>
      <c r="T836" s="60">
        <f>IF(ISERROR(P836/B836*AF836),0,(P836/B836*AF836))</f>
        <v>0</v>
      </c>
      <c r="V836" s="113">
        <f>44*250</f>
        <v>11000</v>
      </c>
      <c r="W836" s="113">
        <f>7*24*250</f>
        <v>42000</v>
      </c>
      <c r="X836" s="113">
        <v>0</v>
      </c>
      <c r="Y836" s="113">
        <v>0</v>
      </c>
      <c r="AA836" s="113">
        <f>44*250</f>
        <v>11000</v>
      </c>
      <c r="AB836" s="113">
        <f>168*250</f>
        <v>42000</v>
      </c>
      <c r="AC836" s="113">
        <v>0</v>
      </c>
      <c r="AD836" s="113">
        <v>0</v>
      </c>
      <c r="AF836" s="113">
        <v>76</v>
      </c>
      <c r="AG836" s="28">
        <f>G836-O836</f>
        <v>0</v>
      </c>
      <c r="AH836" s="58">
        <f>IF(ISERROR(AG836/B836*AF836),0,(AG836/B836*AF836))</f>
        <v>0</v>
      </c>
      <c r="AI836" s="28">
        <f>SUM(H836:M836)</f>
        <v>0</v>
      </c>
      <c r="AJ836" s="28">
        <f>IF(ISERROR(AI836/B836*AF836),0,(AI836/B836*AF836))</f>
        <v>0</v>
      </c>
      <c r="AK836" s="58">
        <f>IF(ISERROR(O836/B836*AF836),0,(O836/B836*AF836))</f>
        <v>16112</v>
      </c>
      <c r="AL836" s="28">
        <f>IF(ISERROR(H836/B836*AF836),0,(H836/B836*AF836))</f>
        <v>0</v>
      </c>
      <c r="AN836" s="51" t="str">
        <f>A836</f>
        <v>Red Bull</v>
      </c>
      <c r="AO836" s="57">
        <f>IF(ISERROR(IF(B836=C836,D836/C836,(INT(D836/B836)+(((D836-B836*INT(D836/B836)))/C836)/100))),0,(IF(B836=C836,D836/C836,(INT(D836/B836)+(((D836-B836*INT(D836/B836)))/C836)/100))))</f>
        <v>212</v>
      </c>
      <c r="AP836" s="57">
        <f>IF(ISERROR(IF(B836=C836,E836/C836,(INT(E836/B836)+(((E836-B836*INT(E836/B836)))/C836)/100))),0,(IF(B836=C836,E836/C836,(INT(E836/B836)+(((E836-B836*INT(E836/B836)))/C836)/100))))</f>
        <v>0</v>
      </c>
      <c r="AQ836" s="57">
        <f>IF(ISERROR(IF(B836=C836,F836/C836,IF((INT(F836/B836)+(((F836-B836*INT(F836/B836)))/C836)/100)&lt;0,(INT(F836/B836)+(((F836-B836*INT(F836/B836)))/C836)/100)+(1-(B836/C836/100)),(INT(F836/B836)+(((F836-B836*INT(F836/B836)))/C836)/100)))),0,IF(B836=C836,F836/C836,IF((INT(F836/B836)+(((F836-B836*INT(F836/B836)))/C836)/100)&lt;0,(INT(F836/B836)+(((F836-B836*INT(F836/B836)))/C836)/100)+(1-(B836/C836/100)),(INT(F836/B836)+(((F836-B836*INT(F836/B836)))/C836)/100))))</f>
        <v>0</v>
      </c>
      <c r="AR836" s="57">
        <f>IF(ISERROR(IF(B836=C836,G836/C836,(INT(G836/B836)+(((G836-B836*INT(G836/B836)))/C836)/100))),0,(IF(B836=C836,G836/C836,(INT(G836/B836)+(((G836-B836*INT(G836/B836)))/C836)/100))))</f>
        <v>212</v>
      </c>
      <c r="AS836" s="57">
        <f>IF(ISERROR(IF(B836=C836,H836/C836,(INT(H836/B836)+(((H836-B836*INT(H836/B836)))/C836)/100))),0,(IF(B836=C836,H836/C836,(INT(H836/B836)+(((H836-B836*INT(H836/B836)))/C836)/100))))</f>
        <v>0</v>
      </c>
      <c r="AT836" s="57">
        <f>IF(ISERROR(IF(B836=C836,I836/C836,(INT(I836/B836)+(((I836-B836*INT(I836/B836)))/C836)/100))),0,(IF(B836=C836,I836/C836,(INT(I836/B836)+(((I836-B836*INT(I836/B836)))/C836)/100))))</f>
        <v>0</v>
      </c>
      <c r="AU836" s="57">
        <f>IF(ISERROR(IF(B836=C836,J836/C836,(INT(J836/B836)+(((J836-B836*INT(J836/B836)))/C836)/100))),0,(IF(B836=C836,J836/C836,(INT(J836/B836)+(((J836-B836*INT(J836/B836)))/C836)/100))))</f>
        <v>0</v>
      </c>
      <c r="AV836" s="57">
        <f>IF(ISERROR(IF(B836=C836,K836/C836,IF((INT(K836/B836)+(((K836-B836*INT(K836/B836)))/C836)/100)&lt;0,(INT(K836/B836)+(((K836-B836*INT(K836/B836)))/C836)/100)+(1-(B836/C836/100)),(INT(K836/B836)+(((K836-B836*INT(K836/B836)))/C836)/100)))),0,IF(B836=C836,K836/C836,IF((INT(K836/B836)+(((K836-B836*INT(K836/B836)))/C836)/100)&lt;0,(INT(K836/B836)+(((K836-B836*INT(K836/B836)))/C836)/100)+(1-(B836/C836/100)),(INT(K836/B836)+(((K836-B836*INT(K836/B836)))/C836)/100))))</f>
        <v>0</v>
      </c>
      <c r="AW836" s="57">
        <f>IF(ISERROR(IF(B836=C836,L836/C836,(INT(L836/B836)+(((L836-B836*INT(L836/B836)))/C836)/100))),0,(IF(B836=C836,L836/C836,(INT(L836/B836)+(((L836-B836*INT(L836/B836)))/C836)/100))))</f>
        <v>0</v>
      </c>
      <c r="AX836" s="57">
        <f>IF(ISERROR(IF(B836=C836,M836/C836,(INT(M836/B836)+(((M836-B836*INT(M836/B836)))/C836)/100))),0,(IF(B836=C836,M836/C836,(INT(M836/B836)+(((M836-B836*INT(M836/B836)))/C836)/100))))</f>
        <v>0</v>
      </c>
      <c r="AY836" s="57">
        <f>IF(ISERROR(IF(B836=C836,N836/C836,IF((INT(N836/B836)+(((N836-B836*INT(N836/B836)))/C836)/100)&lt;0,(INT(N836/B836)+(((N836-B836*INT(N836/B836)))/C836)/100)+(1-(B836/C836/100)),(INT(N836/B836)+(((N836-B836*INT(N836/B836)))/C836)/100)))),0,IF(B836=C836,N836/C836,IF((INT(N836/B836)+(((N836-B836*INT(N836/B836)))/C836)/100)&lt;0,(INT(N836/B836)+(((N836-B836*INT(N836/B836)))/C836)/100)+(1-(B836/C836/100)),(INT(N836/B836)+(((N836-B836*INT(N836/B836)))/C836)/100))))</f>
        <v>212</v>
      </c>
      <c r="AZ836" s="57">
        <f>IF(ISERROR(IF(B836=C836,O836/C836,(INT(O836/B836)+(((O836-B836*INT(O836/B836)))/C836)/100))),0,(IF(B836=C836,O836/C836,(INT(O836/B836)+(((O836-B836*INT(O836/B836)))/C836)/100))))</f>
        <v>212</v>
      </c>
      <c r="BA836" s="57">
        <f>IF(ISERROR(IF(B836=C836,P836/C836,IF((INT(P836/B836)+(((P836-B836*INT(P836/B836)))/C836)/100)&lt;0,(INT(P836/B836)+(((P836-B836*INT(P836/B836)))/C836)/100)+(1-(B836/C836/100)),(INT(P836/B836)+(((P836-B836*INT(P836/B836)))/C836)/100)))),0,IF(B836=C836,P836/C836,IF((INT(P836/B836)+(((P836-B836*INT(P836/B836)))/C836)/100)&lt;0,(INT(P836/B836)+(((P836-B836*INT(P836/B836)))/C836)/100)+(1-(B836/C836/100)),(INT(P836/B836)+(((P836-B836*INT(P836/B836)))/C836)/100))))</f>
        <v>0</v>
      </c>
      <c r="BB836" s="28">
        <f>R836</f>
        <v>150</v>
      </c>
      <c r="BC836" s="28">
        <f>S836</f>
        <v>0</v>
      </c>
      <c r="BD836" s="28">
        <f>AF836</f>
        <v>76</v>
      </c>
      <c r="BE836" s="28">
        <f>T836</f>
        <v>0</v>
      </c>
      <c r="BG836" s="57">
        <f>IF(ISERROR(IF(B836=C836,V836/C836,(INT(V836/B836)+(((V836-B836*INT(V836/B836)))/C836)/100))),0,(IF(B836=C836,V836/C836,(INT(V836/B836)+(((V836-B836*INT(V836/B836)))/C836)/100))))</f>
        <v>44</v>
      </c>
      <c r="BH836" s="57">
        <f>IF(ISERROR(IF(B836=C836,W836/C836,(INT(W836/B836)+(((W836-B836*INT(W836/B836)))/C836)/100))),0,(IF(B836=C836,W836/C836,(INT(W836/B836)+(((W836-B836*INT(W836/B836)))/C836)/100))))</f>
        <v>168</v>
      </c>
      <c r="BI836" s="57">
        <f>IF(ISERROR(IF(B836=C836,X836/C836,(INT(X836/B836)+(((X836-B836*INT(X836/B836)))/C836)/100))),0,(IF(B836=C836,X836/C836,(INT(X836/B836)+(((X836-B836*INT(X836/B836)))/C836)/100))))</f>
        <v>0</v>
      </c>
      <c r="BJ836" s="57">
        <f>IF(ISERROR(IF(B836=C836,Y836/C836,(INT(Y836/B836)+(((Y836-B836*INT(Y836/B836)))/C836)/100))),0,(IF(B836=C836,Y836/C836,(INT(Y836/B836)+(((Y836-B836*INT(Y836/B836)))/C836)/100))))</f>
        <v>0</v>
      </c>
      <c r="BL836" s="57">
        <f>IF(ISERROR(IF(B836=C836,AA836/C836,(INT(AA836/B836)+(((AA836-B836*INT(AA836/B836)))/C836)/100))),0,(IF(B836=C836,AA836/C836,(INT(AA836/B836)+(((AA836-B836*INT(AA836/B836)))/C836)/100))))</f>
        <v>44</v>
      </c>
      <c r="BM836" s="57">
        <f>IF(ISERROR(IF(B836=C836,AB836/C836,(INT(AB836/B836)+(((AB836-B836*INT(AB836/B836)))/C836)/100))),0,(IF(B836=C836,AB836/C836,(INT(AB836/B836)+(((AB836-B836*INT(AB836/B836)))/C836)/100))))</f>
        <v>168</v>
      </c>
      <c r="BN836" s="57">
        <f>IF(ISERROR(IF(B836=C836,AC836/C836,(INT(AC836/B836)+(((AC836-B836*INT(AC836/B836)))/C836)/100))),0,(IF(B836=C836,AC836/C836,(INT(AC836/B836)+(((AC836-B836*INT(AC836/B836)))/C836)/100))))</f>
        <v>0</v>
      </c>
      <c r="BO836" s="57">
        <f>IF(ISERROR(IF(B836=C836,AD836/C836,(INT(AD836/B836)+(((AD836-B836*INT(AD836/B836)))/C836)/100))),0,(IF(B836=C836,AD836/C836,(INT(AD836/B836)+(((AD836-B836*INT(AD836/B836)))/C836)/100))))</f>
        <v>0</v>
      </c>
      <c r="BQ836" s="155" t="s">
        <v>81</v>
      </c>
    </row>
    <row r="837" spans="1:69" x14ac:dyDescent="0.35">
      <c r="A837" s="134" t="s">
        <v>125</v>
      </c>
      <c r="B837" s="113">
        <v>1</v>
      </c>
      <c r="C837" s="113">
        <v>1</v>
      </c>
      <c r="D837" s="28">
        <f>SUM(AA837:AD837)</f>
        <v>98</v>
      </c>
      <c r="E837" s="113">
        <f>6*12</f>
        <v>72</v>
      </c>
      <c r="F837" s="113">
        <v>0</v>
      </c>
      <c r="G837" s="28">
        <f>SUM(D837:F837)</f>
        <v>170</v>
      </c>
      <c r="H837" s="125">
        <v>3</v>
      </c>
      <c r="I837" s="113">
        <v>0</v>
      </c>
      <c r="J837" s="125">
        <v>0</v>
      </c>
      <c r="K837" s="113">
        <v>0</v>
      </c>
      <c r="L837" s="113">
        <v>0</v>
      </c>
      <c r="M837" s="113">
        <v>0</v>
      </c>
      <c r="N837" s="28">
        <f>G837-SUM(H837:M837)</f>
        <v>167</v>
      </c>
      <c r="O837" s="28">
        <f>SUM(V837:Y837)</f>
        <v>167</v>
      </c>
      <c r="P837" s="28">
        <f>O837-N837</f>
        <v>0</v>
      </c>
      <c r="Q837" s="61">
        <f>IF(ISERROR(P837/SUM(H837:L837)),"",P837/SUM(H837:L837))</f>
        <v>0</v>
      </c>
      <c r="R837" s="113">
        <v>100</v>
      </c>
      <c r="S837" s="28">
        <f>IF(ISERROR(P837/C837*R837),0,(P837/C837*R837))</f>
        <v>0</v>
      </c>
      <c r="T837" s="60">
        <f>IF(ISERROR(P837/B837*AF837),0,(P837/B837*AF837))</f>
        <v>0</v>
      </c>
      <c r="V837" s="113">
        <v>23</v>
      </c>
      <c r="W837" s="113">
        <f>6*24</f>
        <v>144</v>
      </c>
      <c r="X837" s="113">
        <v>0</v>
      </c>
      <c r="Y837" s="113">
        <v>0</v>
      </c>
      <c r="AA837" s="113">
        <v>26</v>
      </c>
      <c r="AB837" s="113">
        <f>6*12</f>
        <v>72</v>
      </c>
      <c r="AC837" s="113">
        <v>0</v>
      </c>
      <c r="AD837" s="113">
        <v>0</v>
      </c>
      <c r="AF837" s="113">
        <v>34.175000000000004</v>
      </c>
      <c r="AG837" s="28">
        <f>G837-O837</f>
        <v>3</v>
      </c>
      <c r="AH837" s="58">
        <f>IF(ISERROR(AG837/B837*AF837),0,(AG837/B837*AF837))</f>
        <v>102.52500000000001</v>
      </c>
      <c r="AI837" s="28">
        <f>SUM(H837:M837)</f>
        <v>3</v>
      </c>
      <c r="AJ837" s="28">
        <f>IF(ISERROR(AI837/B837*AF837),0,(AI837/B837*AF837))</f>
        <v>102.52500000000001</v>
      </c>
      <c r="AK837" s="58">
        <f>IF(ISERROR(O837/B837*AF837),0,(O837/B837*AF837))</f>
        <v>5707.2250000000004</v>
      </c>
      <c r="AL837" s="28">
        <f>IF(ISERROR(H837/B837*AF837),0,(H837/B837*AF837))</f>
        <v>102.52500000000001</v>
      </c>
      <c r="AN837" s="51" t="str">
        <f>A837</f>
        <v>Tonic Water 250</v>
      </c>
      <c r="AO837" s="57">
        <f>IF(ISERROR(IF(B837=C837,D837/C837,(INT(D837/B837)+(((D837-B837*INT(D837/B837)))/C837)/100))),0,(IF(B837=C837,D837/C837,(INT(D837/B837)+(((D837-B837*INT(D837/B837)))/C837)/100))))</f>
        <v>98</v>
      </c>
      <c r="AP837" s="57">
        <f>IF(ISERROR(IF(B837=C837,E837/C837,(INT(E837/B837)+(((E837-B837*INT(E837/B837)))/C837)/100))),0,(IF(B837=C837,E837/C837,(INT(E837/B837)+(((E837-B837*INT(E837/B837)))/C837)/100))))</f>
        <v>72</v>
      </c>
      <c r="AQ837" s="57">
        <f>IF(ISERROR(IF(B837=C837,F837/C837,IF((INT(F837/B837)+(((F837-B837*INT(F837/B837)))/C837)/100)&lt;0,(INT(F837/B837)+(((F837-B837*INT(F837/B837)))/C837)/100)+(1-(B837/C837/100)),(INT(F837/B837)+(((F837-B837*INT(F837/B837)))/C837)/100)))),0,IF(B837=C837,F837/C837,IF((INT(F837/B837)+(((F837-B837*INT(F837/B837)))/C837)/100)&lt;0,(INT(F837/B837)+(((F837-B837*INT(F837/B837)))/C837)/100)+(1-(B837/C837/100)),(INT(F837/B837)+(((F837-B837*INT(F837/B837)))/C837)/100))))</f>
        <v>0</v>
      </c>
      <c r="AR837" s="57">
        <f>IF(ISERROR(IF(B837=C837,G837/C837,(INT(G837/B837)+(((G837-B837*INT(G837/B837)))/C837)/100))),0,(IF(B837=C837,G837/C837,(INT(G837/B837)+(((G837-B837*INT(G837/B837)))/C837)/100))))</f>
        <v>170</v>
      </c>
      <c r="AS837" s="57">
        <f>IF(ISERROR(IF(B837=C837,H837/C837,(INT(H837/B837)+(((H837-B837*INT(H837/B837)))/C837)/100))),0,(IF(B837=C837,H837/C837,(INT(H837/B837)+(((H837-B837*INT(H837/B837)))/C837)/100))))</f>
        <v>3</v>
      </c>
      <c r="AT837" s="57">
        <f>IF(ISERROR(IF(B837=C837,I837/C837,(INT(I837/B837)+(((I837-B837*INT(I837/B837)))/C837)/100))),0,(IF(B837=C837,I837/C837,(INT(I837/B837)+(((I837-B837*INT(I837/B837)))/C837)/100))))</f>
        <v>0</v>
      </c>
      <c r="AU837" s="57">
        <f>IF(ISERROR(IF(B837=C837,J837/C837,(INT(J837/B837)+(((J837-B837*INT(J837/B837)))/C837)/100))),0,(IF(B837=C837,J837/C837,(INT(J837/B837)+(((J837-B837*INT(J837/B837)))/C837)/100))))</f>
        <v>0</v>
      </c>
      <c r="AV837" s="57">
        <f>IF(ISERROR(IF(B837=C837,K837/C837,IF((INT(K837/B837)+(((K837-B837*INT(K837/B837)))/C837)/100)&lt;0,(INT(K837/B837)+(((K837-B837*INT(K837/B837)))/C837)/100)+(1-(B837/C837/100)),(INT(K837/B837)+(((K837-B837*INT(K837/B837)))/C837)/100)))),0,IF(B837=C837,K837/C837,IF((INT(K837/B837)+(((K837-B837*INT(K837/B837)))/C837)/100)&lt;0,(INT(K837/B837)+(((K837-B837*INT(K837/B837)))/C837)/100)+(1-(B837/C837/100)),(INT(K837/B837)+(((K837-B837*INT(K837/B837)))/C837)/100))))</f>
        <v>0</v>
      </c>
      <c r="AW837" s="57">
        <f>IF(ISERROR(IF(B837=C837,L837/C837,(INT(L837/B837)+(((L837-B837*INT(L837/B837)))/C837)/100))),0,(IF(B837=C837,L837/C837,(INT(L837/B837)+(((L837-B837*INT(L837/B837)))/C837)/100))))</f>
        <v>0</v>
      </c>
      <c r="AX837" s="57">
        <f>IF(ISERROR(IF(B837=C837,M837/C837,(INT(M837/B837)+(((M837-B837*INT(M837/B837)))/C837)/100))),0,(IF(B837=C837,M837/C837,(INT(M837/B837)+(((M837-B837*INT(M837/B837)))/C837)/100))))</f>
        <v>0</v>
      </c>
      <c r="AY837" s="57">
        <f>IF(ISERROR(IF(B837=C837,N837/C837,IF((INT(N837/B837)+(((N837-B837*INT(N837/B837)))/C837)/100)&lt;0,(INT(N837/B837)+(((N837-B837*INT(N837/B837)))/C837)/100)+(1-(B837/C837/100)),(INT(N837/B837)+(((N837-B837*INT(N837/B837)))/C837)/100)))),0,IF(B837=C837,N837/C837,IF((INT(N837/B837)+(((N837-B837*INT(N837/B837)))/C837)/100)&lt;0,(INT(N837/B837)+(((N837-B837*INT(N837/B837)))/C837)/100)+(1-(B837/C837/100)),(INT(N837/B837)+(((N837-B837*INT(N837/B837)))/C837)/100))))</f>
        <v>167</v>
      </c>
      <c r="AZ837" s="57">
        <f>IF(ISERROR(IF(B837=C837,O837/C837,(INT(O837/B837)+(((O837-B837*INT(O837/B837)))/C837)/100))),0,(IF(B837=C837,O837/C837,(INT(O837/B837)+(((O837-B837*INT(O837/B837)))/C837)/100))))</f>
        <v>167</v>
      </c>
      <c r="BA837" s="57">
        <f>IF(ISERROR(IF(B837=C837,P837/C837,IF((INT(P837/B837)+(((P837-B837*INT(P837/B837)))/C837)/100)&lt;0,(INT(P837/B837)+(((P837-B837*INT(P837/B837)))/C837)/100)+(1-(B837/C837/100)),(INT(P837/B837)+(((P837-B837*INT(P837/B837)))/C837)/100)))),0,IF(B837=C837,P837/C837,IF((INT(P837/B837)+(((P837-B837*INT(P837/B837)))/C837)/100)&lt;0,(INT(P837/B837)+(((P837-B837*INT(P837/B837)))/C837)/100)+(1-(B837/C837/100)),(INT(P837/B837)+(((P837-B837*INT(P837/B837)))/C837)/100))))</f>
        <v>0</v>
      </c>
      <c r="BB837" s="28">
        <f>R837</f>
        <v>100</v>
      </c>
      <c r="BC837" s="28">
        <f>S837</f>
        <v>0</v>
      </c>
      <c r="BD837" s="28">
        <f>AF837</f>
        <v>34.175000000000004</v>
      </c>
      <c r="BE837" s="28">
        <f>T837</f>
        <v>0</v>
      </c>
      <c r="BG837" s="57">
        <f>IF(ISERROR(IF(B837=C837,V837/C837,(INT(V837/B837)+(((V837-B837*INT(V837/B837)))/C837)/100))),0,(IF(B837=C837,V837/C837,(INT(V837/B837)+(((V837-B837*INT(V837/B837)))/C837)/100))))</f>
        <v>23</v>
      </c>
      <c r="BH837" s="57">
        <f>IF(ISERROR(IF(B837=C837,W837/C837,(INT(W837/B837)+(((W837-B837*INT(W837/B837)))/C837)/100))),0,(IF(B837=C837,W837/C837,(INT(W837/B837)+(((W837-B837*INT(W837/B837)))/C837)/100))))</f>
        <v>144</v>
      </c>
      <c r="BI837" s="57">
        <f>IF(ISERROR(IF(B837=C837,X837/C837,(INT(X837/B837)+(((X837-B837*INT(X837/B837)))/C837)/100))),0,(IF(B837=C837,X837/C837,(INT(X837/B837)+(((X837-B837*INT(X837/B837)))/C837)/100))))</f>
        <v>0</v>
      </c>
      <c r="BJ837" s="57">
        <f>IF(ISERROR(IF(B837=C837,Y837/C837,(INT(Y837/B837)+(((Y837-B837*INT(Y837/B837)))/C837)/100))),0,(IF(B837=C837,Y837/C837,(INT(Y837/B837)+(((Y837-B837*INT(Y837/B837)))/C837)/100))))</f>
        <v>0</v>
      </c>
      <c r="BL837" s="57">
        <f>IF(ISERROR(IF(B837=C837,AA837/C837,(INT(AA837/B837)+(((AA837-B837*INT(AA837/B837)))/C837)/100))),0,(IF(B837=C837,AA837/C837,(INT(AA837/B837)+(((AA837-B837*INT(AA837/B837)))/C837)/100))))</f>
        <v>26</v>
      </c>
      <c r="BM837" s="57">
        <f>IF(ISERROR(IF(B837=C837,AB837/C837,(INT(AB837/B837)+(((AB837-B837*INT(AB837/B837)))/C837)/100))),0,(IF(B837=C837,AB837/C837,(INT(AB837/B837)+(((AB837-B837*INT(AB837/B837)))/C837)/100))))</f>
        <v>72</v>
      </c>
      <c r="BN837" s="57">
        <f>IF(ISERROR(IF(B837=C837,AC837/C837,(INT(AC837/B837)+(((AC837-B837*INT(AC837/B837)))/C837)/100))),0,(IF(B837=C837,AC837/C837,(INT(AC837/B837)+(((AC837-B837*INT(AC837/B837)))/C837)/100))))</f>
        <v>0</v>
      </c>
      <c r="BO837" s="57">
        <f>IF(ISERROR(IF(B837=C837,AD837/C837,(INT(AD837/B837)+(((AD837-B837*INT(AD837/B837)))/C837)/100))),0,(IF(B837=C837,AD837/C837,(INT(AD837/B837)+(((AD837-B837*INT(AD837/B837)))/C837)/100))))</f>
        <v>0</v>
      </c>
      <c r="BQ837" s="155" t="s">
        <v>123</v>
      </c>
    </row>
    <row r="838" spans="1:69" x14ac:dyDescent="0.35">
      <c r="A838" s="158" t="s">
        <v>124</v>
      </c>
      <c r="B838" s="113">
        <v>1</v>
      </c>
      <c r="C838" s="113">
        <v>1</v>
      </c>
      <c r="D838" s="28">
        <f>SUM(AA838:AD838)</f>
        <v>406</v>
      </c>
      <c r="E838" s="113">
        <v>0</v>
      </c>
      <c r="F838" s="113">
        <v>0</v>
      </c>
      <c r="G838" s="28">
        <f>SUM(D838:F838)</f>
        <v>406</v>
      </c>
      <c r="H838" s="125">
        <v>4</v>
      </c>
      <c r="I838" s="113">
        <v>2</v>
      </c>
      <c r="J838" s="125">
        <v>0</v>
      </c>
      <c r="K838" s="113">
        <v>0</v>
      </c>
      <c r="L838" s="113">
        <v>0</v>
      </c>
      <c r="M838" s="113">
        <v>0</v>
      </c>
      <c r="N838" s="28">
        <f>G838-SUM(H838:M838)</f>
        <v>400</v>
      </c>
      <c r="O838" s="28">
        <f>SUM(V838:Y838)</f>
        <v>400</v>
      </c>
      <c r="P838" s="28">
        <f>O838-N838</f>
        <v>0</v>
      </c>
      <c r="Q838" s="61">
        <f>IF(ISERROR(P838/SUM(H838:L838)),"",P838/SUM(H838:L838))</f>
        <v>0</v>
      </c>
      <c r="R838" s="113">
        <v>60</v>
      </c>
      <c r="S838" s="28">
        <f>IF(ISERROR(P838/C838*R838),0,(P838/C838*R838))</f>
        <v>0</v>
      </c>
      <c r="T838" s="60">
        <f>IF(ISERROR(P838/B838*AF838),0,(P838/B838*AF838))</f>
        <v>0</v>
      </c>
      <c r="V838" s="113">
        <f>11+6+4+7</f>
        <v>28</v>
      </c>
      <c r="W838" s="113">
        <f>28*12+36</f>
        <v>372</v>
      </c>
      <c r="X838" s="113">
        <v>0</v>
      </c>
      <c r="Y838" s="113">
        <v>0</v>
      </c>
      <c r="AA838" s="113">
        <f>7+5+10+12</f>
        <v>34</v>
      </c>
      <c r="AB838" s="113">
        <f>28*12+3*12</f>
        <v>372</v>
      </c>
      <c r="AC838" s="113">
        <v>0</v>
      </c>
      <c r="AD838" s="113">
        <v>0</v>
      </c>
      <c r="AF838" s="113">
        <v>7.06</v>
      </c>
      <c r="AG838" s="28">
        <f>G838-O838</f>
        <v>6</v>
      </c>
      <c r="AH838" s="58">
        <f>IF(ISERROR(AG838/B838*AF838),0,(AG838/B838*AF838))</f>
        <v>42.36</v>
      </c>
      <c r="AI838" s="28">
        <f>SUM(H838:M838)</f>
        <v>6</v>
      </c>
      <c r="AJ838" s="28">
        <f>IF(ISERROR(AI838/B838*AF838),0,(AI838/B838*AF838))</f>
        <v>42.36</v>
      </c>
      <c r="AK838" s="58">
        <f>IF(ISERROR(O838/B838*AF838),0,(O838/B838*AF838))</f>
        <v>2824</v>
      </c>
      <c r="AL838" s="28">
        <f>IF(ISERROR(H838/B838*AF838),0,(H838/B838*AF838))</f>
        <v>28.24</v>
      </c>
      <c r="AN838" s="51" t="str">
        <f>A838</f>
        <v xml:space="preserve">Water Bottle </v>
      </c>
      <c r="AO838" s="57">
        <f>IF(ISERROR(IF(B838=C838,D838/C838,(INT(D838/B838)+(((D838-B838*INT(D838/B838)))/C838)/100))),0,(IF(B838=C838,D838/C838,(INT(D838/B838)+(((D838-B838*INT(D838/B838)))/C838)/100))))</f>
        <v>406</v>
      </c>
      <c r="AP838" s="57">
        <f>IF(ISERROR(IF(B838=C838,E838/C838,(INT(E838/B838)+(((E838-B838*INT(E838/B838)))/C838)/100))),0,(IF(B838=C838,E838/C838,(INT(E838/B838)+(((E838-B838*INT(E838/B838)))/C838)/100))))</f>
        <v>0</v>
      </c>
      <c r="AQ838" s="57">
        <f>IF(ISERROR(IF(B838=C838,F838/C838,IF((INT(F838/B838)+(((F838-B838*INT(F838/B838)))/C838)/100)&lt;0,(INT(F838/B838)+(((F838-B838*INT(F838/B838)))/C838)/100)+(1-(B838/C838/100)),(INT(F838/B838)+(((F838-B838*INT(F838/B838)))/C838)/100)))),0,IF(B838=C838,F838/C838,IF((INT(F838/B838)+(((F838-B838*INT(F838/B838)))/C838)/100)&lt;0,(INT(F838/B838)+(((F838-B838*INT(F838/B838)))/C838)/100)+(1-(B838/C838/100)),(INT(F838/B838)+(((F838-B838*INT(F838/B838)))/C838)/100))))</f>
        <v>0</v>
      </c>
      <c r="AR838" s="57">
        <f>IF(ISERROR(IF(B838=C838,G838/C838,(INT(G838/B838)+(((G838-B838*INT(G838/B838)))/C838)/100))),0,(IF(B838=C838,G838/C838,(INT(G838/B838)+(((G838-B838*INT(G838/B838)))/C838)/100))))</f>
        <v>406</v>
      </c>
      <c r="AS838" s="57">
        <f>IF(ISERROR(IF(B838=C838,H838/C838,(INT(H838/B838)+(((H838-B838*INT(H838/B838)))/C838)/100))),0,(IF(B838=C838,H838/C838,(INT(H838/B838)+(((H838-B838*INT(H838/B838)))/C838)/100))))</f>
        <v>4</v>
      </c>
      <c r="AT838" s="57">
        <f>IF(ISERROR(IF(B838=C838,I838/C838,(INT(I838/B838)+(((I838-B838*INT(I838/B838)))/C838)/100))),0,(IF(B838=C838,I838/C838,(INT(I838/B838)+(((I838-B838*INT(I838/B838)))/C838)/100))))</f>
        <v>2</v>
      </c>
      <c r="AU838" s="57">
        <f>IF(ISERROR(IF(B838=C838,J838/C838,(INT(J838/B838)+(((J838-B838*INT(J838/B838)))/C838)/100))),0,(IF(B838=C838,J838/C838,(INT(J838/B838)+(((J838-B838*INT(J838/B838)))/C838)/100))))</f>
        <v>0</v>
      </c>
      <c r="AV838" s="57">
        <f>IF(ISERROR(IF(B838=C838,K838/C838,IF((INT(K838/B838)+(((K838-B838*INT(K838/B838)))/C838)/100)&lt;0,(INT(K838/B838)+(((K838-B838*INT(K838/B838)))/C838)/100)+(1-(B838/C838/100)),(INT(K838/B838)+(((K838-B838*INT(K838/B838)))/C838)/100)))),0,IF(B838=C838,K838/C838,IF((INT(K838/B838)+(((K838-B838*INT(K838/B838)))/C838)/100)&lt;0,(INT(K838/B838)+(((K838-B838*INT(K838/B838)))/C838)/100)+(1-(B838/C838/100)),(INT(K838/B838)+(((K838-B838*INT(K838/B838)))/C838)/100))))</f>
        <v>0</v>
      </c>
      <c r="AW838" s="57">
        <f>IF(ISERROR(IF(B838=C838,L838/C838,(INT(L838/B838)+(((L838-B838*INT(L838/B838)))/C838)/100))),0,(IF(B838=C838,L838/C838,(INT(L838/B838)+(((L838-B838*INT(L838/B838)))/C838)/100))))</f>
        <v>0</v>
      </c>
      <c r="AX838" s="57">
        <f>IF(ISERROR(IF(B838=C838,M838/C838,(INT(M838/B838)+(((M838-B838*INT(M838/B838)))/C838)/100))),0,(IF(B838=C838,M838/C838,(INT(M838/B838)+(((M838-B838*INT(M838/B838)))/C838)/100))))</f>
        <v>0</v>
      </c>
      <c r="AY838" s="57">
        <f>IF(ISERROR(IF(B838=C838,N838/C838,IF((INT(N838/B838)+(((N838-B838*INT(N838/B838)))/C838)/100)&lt;0,(INT(N838/B838)+(((N838-B838*INT(N838/B838)))/C838)/100)+(1-(B838/C838/100)),(INT(N838/B838)+(((N838-B838*INT(N838/B838)))/C838)/100)))),0,IF(B838=C838,N838/C838,IF((INT(N838/B838)+(((N838-B838*INT(N838/B838)))/C838)/100)&lt;0,(INT(N838/B838)+(((N838-B838*INT(N838/B838)))/C838)/100)+(1-(B838/C838/100)),(INT(N838/B838)+(((N838-B838*INT(N838/B838)))/C838)/100))))</f>
        <v>400</v>
      </c>
      <c r="AZ838" s="57">
        <f>IF(ISERROR(IF(B838=C838,O838/C838,(INT(O838/B838)+(((O838-B838*INT(O838/B838)))/C838)/100))),0,(IF(B838=C838,O838/C838,(INT(O838/B838)+(((O838-B838*INT(O838/B838)))/C838)/100))))</f>
        <v>400</v>
      </c>
      <c r="BA838" s="57">
        <f>IF(ISERROR(IF(B838=C838,P838/C838,IF((INT(P838/B838)+(((P838-B838*INT(P838/B838)))/C838)/100)&lt;0,(INT(P838/B838)+(((P838-B838*INT(P838/B838)))/C838)/100)+(1-(B838/C838/100)),(INT(P838/B838)+(((P838-B838*INT(P838/B838)))/C838)/100)))),0,IF(B838=C838,P838/C838,IF((INT(P838/B838)+(((P838-B838*INT(P838/B838)))/C838)/100)&lt;0,(INT(P838/B838)+(((P838-B838*INT(P838/B838)))/C838)/100)+(1-(B838/C838/100)),(INT(P838/B838)+(((P838-B838*INT(P838/B838)))/C838)/100))))</f>
        <v>0</v>
      </c>
      <c r="BB838" s="28">
        <f>R838</f>
        <v>60</v>
      </c>
      <c r="BC838" s="28">
        <f>S838</f>
        <v>0</v>
      </c>
      <c r="BD838" s="28">
        <f>AF838</f>
        <v>7.06</v>
      </c>
      <c r="BE838" s="28">
        <f>T838</f>
        <v>0</v>
      </c>
      <c r="BG838" s="57">
        <f>IF(ISERROR(IF(B838=C838,V838/C838,(INT(V838/B838)+(((V838-B838*INT(V838/B838)))/C838)/100))),0,(IF(B838=C838,V838/C838,(INT(V838/B838)+(((V838-B838*INT(V838/B838)))/C838)/100))))</f>
        <v>28</v>
      </c>
      <c r="BH838" s="57">
        <f>IF(ISERROR(IF(B838=C838,W838/C838,(INT(W838/B838)+(((W838-B838*INT(W838/B838)))/C838)/100))),0,(IF(B838=C838,W838/C838,(INT(W838/B838)+(((W838-B838*INT(W838/B838)))/C838)/100))))</f>
        <v>372</v>
      </c>
      <c r="BI838" s="57">
        <f>IF(ISERROR(IF(B838=C838,X838/C838,(INT(X838/B838)+(((X838-B838*INT(X838/B838)))/C838)/100))),0,(IF(B838=C838,X838/C838,(INT(X838/B838)+(((X838-B838*INT(X838/B838)))/C838)/100))))</f>
        <v>0</v>
      </c>
      <c r="BJ838" s="57">
        <f>IF(ISERROR(IF(B838=C838,Y838/C838,(INT(Y838/B838)+(((Y838-B838*INT(Y838/B838)))/C838)/100))),0,(IF(B838=C838,Y838/C838,(INT(Y838/B838)+(((Y838-B838*INT(Y838/B838)))/C838)/100))))</f>
        <v>0</v>
      </c>
      <c r="BL838" s="57">
        <f>IF(ISERROR(IF(B838=C838,AA838/C838,(INT(AA838/B838)+(((AA838-B838*INT(AA838/B838)))/C838)/100))),0,(IF(B838=C838,AA838/C838,(INT(AA838/B838)+(((AA838-B838*INT(AA838/B838)))/C838)/100))))</f>
        <v>34</v>
      </c>
      <c r="BM838" s="57">
        <f>IF(ISERROR(IF(B838=C838,AB838/C838,(INT(AB838/B838)+(((AB838-B838*INT(AB838/B838)))/C838)/100))),0,(IF(B838=C838,AB838/C838,(INT(AB838/B838)+(((AB838-B838*INT(AB838/B838)))/C838)/100))))</f>
        <v>372</v>
      </c>
      <c r="BN838" s="57">
        <f>IF(ISERROR(IF(B838=C838,AC838/C838,(INT(AC838/B838)+(((AC838-B838*INT(AC838/B838)))/C838)/100))),0,(IF(B838=C838,AC838/C838,(INT(AC838/B838)+(((AC838-B838*INT(AC838/B838)))/C838)/100))))</f>
        <v>0</v>
      </c>
      <c r="BO838" s="57">
        <f>IF(ISERROR(IF(B838=C838,AD838/C838,(INT(AD838/B838)+(((AD838-B838*INT(AD838/B838)))/C838)/100))),0,(IF(B838=C838,AD838/C838,(INT(AD838/B838)+(((AD838-B838*INT(AD838/B838)))/C838)/100))))</f>
        <v>0</v>
      </c>
      <c r="BQ838" s="155" t="s">
        <v>123</v>
      </c>
    </row>
    <row r="839" spans="1:69" hidden="1" x14ac:dyDescent="0.35">
      <c r="A839" s="158"/>
      <c r="B839" s="113">
        <v>1</v>
      </c>
      <c r="C839" s="113">
        <v>1</v>
      </c>
      <c r="D839" s="28">
        <f>SUM(AA839:AD839)</f>
        <v>0</v>
      </c>
      <c r="E839" s="113">
        <v>0</v>
      </c>
      <c r="F839" s="113">
        <v>0</v>
      </c>
      <c r="G839" s="28">
        <f>SUM(D839:F839)</f>
        <v>0</v>
      </c>
      <c r="H839" s="125">
        <v>0</v>
      </c>
      <c r="I839" s="113">
        <v>0</v>
      </c>
      <c r="J839" s="125">
        <v>0</v>
      </c>
      <c r="K839" s="113">
        <v>0</v>
      </c>
      <c r="L839" s="113">
        <v>0</v>
      </c>
      <c r="M839" s="113">
        <v>0</v>
      </c>
      <c r="N839" s="28">
        <f>G839-SUM(H839:M839)</f>
        <v>0</v>
      </c>
      <c r="O839" s="28">
        <f>SUM(V839:Y839)</f>
        <v>0</v>
      </c>
      <c r="P839" s="28">
        <f>O839-N839</f>
        <v>0</v>
      </c>
      <c r="Q839" s="61" t="str">
        <f>IF(ISERROR(P839/SUM(H839:L839)),"",P839/SUM(H839:L839))</f>
        <v/>
      </c>
      <c r="R839" s="113">
        <v>0</v>
      </c>
      <c r="S839" s="28">
        <f>IF(ISERROR(P839/C839*R839),0,(P839/C839*R839))</f>
        <v>0</v>
      </c>
      <c r="T839" s="60">
        <f>IF(ISERROR(P839/B839*AF839),0,(P839/B839*AF839))</f>
        <v>0</v>
      </c>
      <c r="V839" s="113">
        <v>0</v>
      </c>
      <c r="W839" s="113">
        <v>0</v>
      </c>
      <c r="X839" s="113">
        <v>0</v>
      </c>
      <c r="Y839" s="113">
        <v>0</v>
      </c>
      <c r="AA839" s="113">
        <v>0</v>
      </c>
      <c r="AB839" s="113">
        <v>0</v>
      </c>
      <c r="AC839" s="113">
        <v>0</v>
      </c>
      <c r="AD839" s="113">
        <v>0</v>
      </c>
      <c r="AF839" s="113">
        <v>0</v>
      </c>
      <c r="AG839" s="28">
        <f>G839-O839</f>
        <v>0</v>
      </c>
      <c r="AH839" s="58">
        <f>IF(ISERROR(AG839/B839*AF839),0,(AG839/B839*AF839))</f>
        <v>0</v>
      </c>
      <c r="AI839" s="28">
        <f>SUM(H839:M839)</f>
        <v>0</v>
      </c>
      <c r="AJ839" s="28">
        <f>IF(ISERROR(AI839/B839*AF839),0,(AI839/B839*AF839))</f>
        <v>0</v>
      </c>
      <c r="AK839" s="58">
        <f>IF(ISERROR(O839/B839*AF839),0,(O839/B839*AF839))</f>
        <v>0</v>
      </c>
      <c r="AL839" s="28">
        <f>IF(ISERROR(H839/B839*AF839),0,(H839/B839*AF839))</f>
        <v>0</v>
      </c>
      <c r="AN839" s="51">
        <f>A839</f>
        <v>0</v>
      </c>
      <c r="AO839" s="57">
        <f>IF(ISERROR(IF(B839=C839,D839/C839,(INT(D839/B839)+(((D839-B839*INT(D839/B839)))/C839)/100))),0,(IF(B839=C839,D839/C839,(INT(D839/B839)+(((D839-B839*INT(D839/B839)))/C839)/100))))</f>
        <v>0</v>
      </c>
      <c r="AP839" s="57">
        <f>IF(ISERROR(IF(B839=C839,E839/C839,(INT(E839/B839)+(((E839-B839*INT(E839/B839)))/C839)/100))),0,(IF(B839=C839,E839/C839,(INT(E839/B839)+(((E839-B839*INT(E839/B839)))/C839)/100))))</f>
        <v>0</v>
      </c>
      <c r="AQ839" s="57">
        <f>IF(ISERROR(IF(B839=C839,F839/C839,IF((INT(F839/B839)+(((F839-B839*INT(F839/B839)))/C839)/100)&lt;0,(INT(F839/B839)+(((F839-B839*INT(F839/B839)))/C839)/100)+(1-(B839/C839/100)),(INT(F839/B839)+(((F839-B839*INT(F839/B839)))/C839)/100)))),0,IF(B839=C839,F839/C839,IF((INT(F839/B839)+(((F839-B839*INT(F839/B839)))/C839)/100)&lt;0,(INT(F839/B839)+(((F839-B839*INT(F839/B839)))/C839)/100)+(1-(B839/C839/100)),(INT(F839/B839)+(((F839-B839*INT(F839/B839)))/C839)/100))))</f>
        <v>0</v>
      </c>
      <c r="AR839" s="57">
        <f>IF(ISERROR(IF(B839=C839,G839/C839,(INT(G839/B839)+(((G839-B839*INT(G839/B839)))/C839)/100))),0,(IF(B839=C839,G839/C839,(INT(G839/B839)+(((G839-B839*INT(G839/B839)))/C839)/100))))</f>
        <v>0</v>
      </c>
      <c r="AS839" s="57">
        <f>IF(ISERROR(IF(B839=C839,H839/C839,(INT(H839/B839)+(((H839-B839*INT(H839/B839)))/C839)/100))),0,(IF(B839=C839,H839/C839,(INT(H839/B839)+(((H839-B839*INT(H839/B839)))/C839)/100))))</f>
        <v>0</v>
      </c>
      <c r="AT839" s="57">
        <f>IF(ISERROR(IF(B839=C839,I839/C839,(INT(I839/B839)+(((I839-B839*INT(I839/B839)))/C839)/100))),0,(IF(B839=C839,I839/C839,(INT(I839/B839)+(((I839-B839*INT(I839/B839)))/C839)/100))))</f>
        <v>0</v>
      </c>
      <c r="AU839" s="57">
        <f>IF(ISERROR(IF(B839=C839,J839/C839,(INT(J839/B839)+(((J839-B839*INT(J839/B839)))/C839)/100))),0,(IF(B839=C839,J839/C839,(INT(J839/B839)+(((J839-B839*INT(J839/B839)))/C839)/100))))</f>
        <v>0</v>
      </c>
      <c r="AV839" s="57">
        <f>IF(ISERROR(IF(B839=C839,K839/C839,IF((INT(K839/B839)+(((K839-B839*INT(K839/B839)))/C839)/100)&lt;0,(INT(K839/B839)+(((K839-B839*INT(K839/B839)))/C839)/100)+(1-(B839/C839/100)),(INT(K839/B839)+(((K839-B839*INT(K839/B839)))/C839)/100)))),0,IF(B839=C839,K839/C839,IF((INT(K839/B839)+(((K839-B839*INT(K839/B839)))/C839)/100)&lt;0,(INT(K839/B839)+(((K839-B839*INT(K839/B839)))/C839)/100)+(1-(B839/C839/100)),(INT(K839/B839)+(((K839-B839*INT(K839/B839)))/C839)/100))))</f>
        <v>0</v>
      </c>
      <c r="AW839" s="57">
        <f>IF(ISERROR(IF(B839=C839,L839/C839,(INT(L839/B839)+(((L839-B839*INT(L839/B839)))/C839)/100))),0,(IF(B839=C839,L839/C839,(INT(L839/B839)+(((L839-B839*INT(L839/B839)))/C839)/100))))</f>
        <v>0</v>
      </c>
      <c r="AX839" s="57">
        <f>IF(ISERROR(IF(B839=C839,M839/C839,(INT(M839/B839)+(((M839-B839*INT(M839/B839)))/C839)/100))),0,(IF(B839=C839,M839/C839,(INT(M839/B839)+(((M839-B839*INT(M839/B839)))/C839)/100))))</f>
        <v>0</v>
      </c>
      <c r="AY839" s="57">
        <f>IF(ISERROR(IF(B839=C839,N839/C839,IF((INT(N839/B839)+(((N839-B839*INT(N839/B839)))/C839)/100)&lt;0,(INT(N839/B839)+(((N839-B839*INT(N839/B839)))/C839)/100)+(1-(B839/C839/100)),(INT(N839/B839)+(((N839-B839*INT(N839/B839)))/C839)/100)))),0,IF(B839=C839,N839/C839,IF((INT(N839/B839)+(((N839-B839*INT(N839/B839)))/C839)/100)&lt;0,(INT(N839/B839)+(((N839-B839*INT(N839/B839)))/C839)/100)+(1-(B839/C839/100)),(INT(N839/B839)+(((N839-B839*INT(N839/B839)))/C839)/100))))</f>
        <v>0</v>
      </c>
      <c r="AZ839" s="57">
        <f>IF(ISERROR(IF(B839=C839,O839/C839,(INT(O839/B839)+(((O839-B839*INT(O839/B839)))/C839)/100))),0,(IF(B839=C839,O839/C839,(INT(O839/B839)+(((O839-B839*INT(O839/B839)))/C839)/100))))</f>
        <v>0</v>
      </c>
      <c r="BA839" s="57">
        <f>IF(ISERROR(IF(B839=C839,P839/C839,IF((INT(P839/B839)+(((P839-B839*INT(P839/B839)))/C839)/100)&lt;0,(INT(P839/B839)+(((P839-B839*INT(P839/B839)))/C839)/100)+(1-(B839/C839/100)),(INT(P839/B839)+(((P839-B839*INT(P839/B839)))/C839)/100)))),0,IF(B839=C839,P839/C839,IF((INT(P839/B839)+(((P839-B839*INT(P839/B839)))/C839)/100)&lt;0,(INT(P839/B839)+(((P839-B839*INT(P839/B839)))/C839)/100)+(1-(B839/C839/100)),(INT(P839/B839)+(((P839-B839*INT(P839/B839)))/C839)/100))))</f>
        <v>0</v>
      </c>
      <c r="BB839" s="28">
        <f>R839</f>
        <v>0</v>
      </c>
      <c r="BC839" s="28">
        <f>S839</f>
        <v>0</v>
      </c>
      <c r="BD839" s="28">
        <f>AF839</f>
        <v>0</v>
      </c>
      <c r="BE839" s="28">
        <f>T839</f>
        <v>0</v>
      </c>
      <c r="BG839" s="57">
        <f>IF(ISERROR(IF(B839=C839,V839/C839,(INT(V839/B839)+(((V839-B839*INT(V839/B839)))/C839)/100))),0,(IF(B839=C839,V839/C839,(INT(V839/B839)+(((V839-B839*INT(V839/B839)))/C839)/100))))</f>
        <v>0</v>
      </c>
      <c r="BH839" s="57">
        <f>IF(ISERROR(IF(B839=C839,W839/C839,(INT(W839/B839)+(((W839-B839*INT(W839/B839)))/C839)/100))),0,(IF(B839=C839,W839/C839,(INT(W839/B839)+(((W839-B839*INT(W839/B839)))/C839)/100))))</f>
        <v>0</v>
      </c>
      <c r="BI839" s="57">
        <f>IF(ISERROR(IF(B839=C839,X839/C839,(INT(X839/B839)+(((X839-B839*INT(X839/B839)))/C839)/100))),0,(IF(B839=C839,X839/C839,(INT(X839/B839)+(((X839-B839*INT(X839/B839)))/C839)/100))))</f>
        <v>0</v>
      </c>
      <c r="BJ839" s="57">
        <f>IF(ISERROR(IF(B839=C839,Y839/C839,(INT(Y839/B839)+(((Y839-B839*INT(Y839/B839)))/C839)/100))),0,(IF(B839=C839,Y839/C839,(INT(Y839/B839)+(((Y839-B839*INT(Y839/B839)))/C839)/100))))</f>
        <v>0</v>
      </c>
      <c r="BL839" s="57">
        <f>IF(ISERROR(IF(B839=C839,AA839/C839,(INT(AA839/B839)+(((AA839-B839*INT(AA839/B839)))/C839)/100))),0,(IF(B839=C839,AA839/C839,(INT(AA839/B839)+(((AA839-B839*INT(AA839/B839)))/C839)/100))))</f>
        <v>0</v>
      </c>
      <c r="BM839" s="57">
        <f>IF(ISERROR(IF(B839=C839,AB839/C839,(INT(AB839/B839)+(((AB839-B839*INT(AB839/B839)))/C839)/100))),0,(IF(B839=C839,AB839/C839,(INT(AB839/B839)+(((AB839-B839*INT(AB839/B839)))/C839)/100))))</f>
        <v>0</v>
      </c>
      <c r="BN839" s="57">
        <f>IF(ISERROR(IF(B839=C839,AC839/C839,(INT(AC839/B839)+(((AC839-B839*INT(AC839/B839)))/C839)/100))),0,(IF(B839=C839,AC839/C839,(INT(AC839/B839)+(((AC839-B839*INT(AC839/B839)))/C839)/100))))</f>
        <v>0</v>
      </c>
      <c r="BO839" s="57">
        <f>IF(ISERROR(IF(B839=C839,AD839/C839,(INT(AD839/B839)+(((AD839-B839*INT(AD839/B839)))/C839)/100))),0,(IF(B839=C839,AD839/C839,(INT(AD839/B839)+(((AD839-B839*INT(AD839/B839)))/C839)/100))))</f>
        <v>0</v>
      </c>
      <c r="BQ839" s="155" t="s">
        <v>123</v>
      </c>
    </row>
    <row r="840" spans="1:69" hidden="1" x14ac:dyDescent="0.35">
      <c r="A840" s="134"/>
      <c r="B840" s="113">
        <v>1</v>
      </c>
      <c r="C840" s="113">
        <v>1</v>
      </c>
      <c r="D840" s="28">
        <f>SUM(AA840:AD840)</f>
        <v>0</v>
      </c>
      <c r="E840" s="113">
        <v>0</v>
      </c>
      <c r="F840" s="113">
        <v>0</v>
      </c>
      <c r="G840" s="28">
        <f>SUM(D840:F840)</f>
        <v>0</v>
      </c>
      <c r="H840" s="125">
        <v>0</v>
      </c>
      <c r="I840" s="113">
        <v>0</v>
      </c>
      <c r="J840" s="125">
        <v>0</v>
      </c>
      <c r="K840" s="113">
        <v>0</v>
      </c>
      <c r="L840" s="113">
        <v>0</v>
      </c>
      <c r="M840" s="113">
        <v>0</v>
      </c>
      <c r="N840" s="28">
        <f>G840-SUM(H840:M840)</f>
        <v>0</v>
      </c>
      <c r="O840" s="28">
        <f>SUM(V840:Y840)</f>
        <v>0</v>
      </c>
      <c r="P840" s="28">
        <f>O840-N840</f>
        <v>0</v>
      </c>
      <c r="Q840" s="61" t="str">
        <f>IF(ISERROR(P840/SUM(H840:L840)),"",P840/SUM(H840:L840))</f>
        <v/>
      </c>
      <c r="R840" s="113">
        <v>0</v>
      </c>
      <c r="S840" s="28">
        <f>IF(ISERROR(P840/C840*R840),0,(P840/C840*R840))</f>
        <v>0</v>
      </c>
      <c r="T840" s="60">
        <f>IF(ISERROR(P840/B840*AF840),0,(P840/B840*AF840))</f>
        <v>0</v>
      </c>
      <c r="V840" s="113">
        <v>0</v>
      </c>
      <c r="W840" s="113">
        <v>0</v>
      </c>
      <c r="X840" s="113">
        <v>0</v>
      </c>
      <c r="Y840" s="113">
        <v>0</v>
      </c>
      <c r="AA840" s="113">
        <v>0</v>
      </c>
      <c r="AB840" s="113">
        <v>0</v>
      </c>
      <c r="AC840" s="113">
        <v>0</v>
      </c>
      <c r="AD840" s="113">
        <v>0</v>
      </c>
      <c r="AF840" s="113">
        <v>0</v>
      </c>
      <c r="AG840" s="28">
        <f>G840-O840</f>
        <v>0</v>
      </c>
      <c r="AH840" s="58">
        <f>IF(ISERROR(AG840/B840*AF840),0,(AG840/B840*AF840))</f>
        <v>0</v>
      </c>
      <c r="AI840" s="28">
        <f>SUM(H840:M840)</f>
        <v>0</v>
      </c>
      <c r="AJ840" s="28">
        <f>IF(ISERROR(AI840/B840*AF840),0,(AI840/B840*AF840))</f>
        <v>0</v>
      </c>
      <c r="AK840" s="58">
        <f>IF(ISERROR(O840/B840*AF840),0,(O840/B840*AF840))</f>
        <v>0</v>
      </c>
      <c r="AL840" s="28">
        <f>IF(ISERROR(H840/B840*AF840),0,(H840/B840*AF840))</f>
        <v>0</v>
      </c>
      <c r="AN840" s="51">
        <f>A840</f>
        <v>0</v>
      </c>
      <c r="AO840" s="57">
        <f>IF(ISERROR(IF(B840=C840,D840/C840,(INT(D840/B840)+(((D840-B840*INT(D840/B840)))/C840)/100))),0,(IF(B840=C840,D840/C840,(INT(D840/B840)+(((D840-B840*INT(D840/B840)))/C840)/100))))</f>
        <v>0</v>
      </c>
      <c r="AP840" s="57">
        <f>IF(ISERROR(IF(B840=C840,E840/C840,(INT(E840/B840)+(((E840-B840*INT(E840/B840)))/C840)/100))),0,(IF(B840=C840,E840/C840,(INT(E840/B840)+(((E840-B840*INT(E840/B840)))/C840)/100))))</f>
        <v>0</v>
      </c>
      <c r="AQ840" s="57">
        <f>IF(ISERROR(IF(B840=C840,F840/C840,IF((INT(F840/B840)+(((F840-B840*INT(F840/B840)))/C840)/100)&lt;0,(INT(F840/B840)+(((F840-B840*INT(F840/B840)))/C840)/100)+(1-(B840/C840/100)),(INT(F840/B840)+(((F840-B840*INT(F840/B840)))/C840)/100)))),0,IF(B840=C840,F840/C840,IF((INT(F840/B840)+(((F840-B840*INT(F840/B840)))/C840)/100)&lt;0,(INT(F840/B840)+(((F840-B840*INT(F840/B840)))/C840)/100)+(1-(B840/C840/100)),(INT(F840/B840)+(((F840-B840*INT(F840/B840)))/C840)/100))))</f>
        <v>0</v>
      </c>
      <c r="AR840" s="57">
        <f>IF(ISERROR(IF(B840=C840,G840/C840,(INT(G840/B840)+(((G840-B840*INT(G840/B840)))/C840)/100))),0,(IF(B840=C840,G840/C840,(INT(G840/B840)+(((G840-B840*INT(G840/B840)))/C840)/100))))</f>
        <v>0</v>
      </c>
      <c r="AS840" s="57">
        <f>IF(ISERROR(IF(B840=C840,H840/C840,(INT(H840/B840)+(((H840-B840*INT(H840/B840)))/C840)/100))),0,(IF(B840=C840,H840/C840,(INT(H840/B840)+(((H840-B840*INT(H840/B840)))/C840)/100))))</f>
        <v>0</v>
      </c>
      <c r="AT840" s="57">
        <f>IF(ISERROR(IF(B840=C840,I840/C840,(INT(I840/B840)+(((I840-B840*INT(I840/B840)))/C840)/100))),0,(IF(B840=C840,I840/C840,(INT(I840/B840)+(((I840-B840*INT(I840/B840)))/C840)/100))))</f>
        <v>0</v>
      </c>
      <c r="AU840" s="57">
        <f>IF(ISERROR(IF(B840=C840,J840/C840,(INT(J840/B840)+(((J840-B840*INT(J840/B840)))/C840)/100))),0,(IF(B840=C840,J840/C840,(INT(J840/B840)+(((J840-B840*INT(J840/B840)))/C840)/100))))</f>
        <v>0</v>
      </c>
      <c r="AV840" s="57">
        <f>IF(ISERROR(IF(B840=C840,K840/C840,IF((INT(K840/B840)+(((K840-B840*INT(K840/B840)))/C840)/100)&lt;0,(INT(K840/B840)+(((K840-B840*INT(K840/B840)))/C840)/100)+(1-(B840/C840/100)),(INT(K840/B840)+(((K840-B840*INT(K840/B840)))/C840)/100)))),0,IF(B840=C840,K840/C840,IF((INT(K840/B840)+(((K840-B840*INT(K840/B840)))/C840)/100)&lt;0,(INT(K840/B840)+(((K840-B840*INT(K840/B840)))/C840)/100)+(1-(B840/C840/100)),(INT(K840/B840)+(((K840-B840*INT(K840/B840)))/C840)/100))))</f>
        <v>0</v>
      </c>
      <c r="AW840" s="57">
        <f>IF(ISERROR(IF(B840=C840,L840/C840,(INT(L840/B840)+(((L840-B840*INT(L840/B840)))/C840)/100))),0,(IF(B840=C840,L840/C840,(INT(L840/B840)+(((L840-B840*INT(L840/B840)))/C840)/100))))</f>
        <v>0</v>
      </c>
      <c r="AX840" s="57">
        <f>IF(ISERROR(IF(B840=C840,M840/C840,(INT(M840/B840)+(((M840-B840*INT(M840/B840)))/C840)/100))),0,(IF(B840=C840,M840/C840,(INT(M840/B840)+(((M840-B840*INT(M840/B840)))/C840)/100))))</f>
        <v>0</v>
      </c>
      <c r="AY840" s="57">
        <f>IF(ISERROR(IF(B840=C840,N840/C840,IF((INT(N840/B840)+(((N840-B840*INT(N840/B840)))/C840)/100)&lt;0,(INT(N840/B840)+(((N840-B840*INT(N840/B840)))/C840)/100)+(1-(B840/C840/100)),(INT(N840/B840)+(((N840-B840*INT(N840/B840)))/C840)/100)))),0,IF(B840=C840,N840/C840,IF((INT(N840/B840)+(((N840-B840*INT(N840/B840)))/C840)/100)&lt;0,(INT(N840/B840)+(((N840-B840*INT(N840/B840)))/C840)/100)+(1-(B840/C840/100)),(INT(N840/B840)+(((N840-B840*INT(N840/B840)))/C840)/100))))</f>
        <v>0</v>
      </c>
      <c r="AZ840" s="57">
        <f>IF(ISERROR(IF(B840=C840,O840/C840,(INT(O840/B840)+(((O840-B840*INT(O840/B840)))/C840)/100))),0,(IF(B840=C840,O840/C840,(INT(O840/B840)+(((O840-B840*INT(O840/B840)))/C840)/100))))</f>
        <v>0</v>
      </c>
      <c r="BA840" s="57">
        <f>IF(ISERROR(IF(B840=C840,P840/C840,IF((INT(P840/B840)+(((P840-B840*INT(P840/B840)))/C840)/100)&lt;0,(INT(P840/B840)+(((P840-B840*INT(P840/B840)))/C840)/100)+(1-(B840/C840/100)),(INT(P840/B840)+(((P840-B840*INT(P840/B840)))/C840)/100)))),0,IF(B840=C840,P840/C840,IF((INT(P840/B840)+(((P840-B840*INT(P840/B840)))/C840)/100)&lt;0,(INT(P840/B840)+(((P840-B840*INT(P840/B840)))/C840)/100)+(1-(B840/C840/100)),(INT(P840/B840)+(((P840-B840*INT(P840/B840)))/C840)/100))))</f>
        <v>0</v>
      </c>
      <c r="BB840" s="28">
        <f>R840</f>
        <v>0</v>
      </c>
      <c r="BC840" s="28">
        <f>S840</f>
        <v>0</v>
      </c>
      <c r="BD840" s="28">
        <f>AF840</f>
        <v>0</v>
      </c>
      <c r="BE840" s="28">
        <f>T840</f>
        <v>0</v>
      </c>
      <c r="BG840" s="57">
        <f>IF(ISERROR(IF(B840=C840,V840/C840,(INT(V840/B840)+(((V840-B840*INT(V840/B840)))/C840)/100))),0,(IF(B840=C840,V840/C840,(INT(V840/B840)+(((V840-B840*INT(V840/B840)))/C840)/100))))</f>
        <v>0</v>
      </c>
      <c r="BH840" s="57">
        <f>IF(ISERROR(IF(B840=C840,W840/C840,(INT(W840/B840)+(((W840-B840*INT(W840/B840)))/C840)/100))),0,(IF(B840=C840,W840/C840,(INT(W840/B840)+(((W840-B840*INT(W840/B840)))/C840)/100))))</f>
        <v>0</v>
      </c>
      <c r="BI840" s="57">
        <f>IF(ISERROR(IF(B840=C840,X840/C840,(INT(X840/B840)+(((X840-B840*INT(X840/B840)))/C840)/100))),0,(IF(B840=C840,X840/C840,(INT(X840/B840)+(((X840-B840*INT(X840/B840)))/C840)/100))))</f>
        <v>0</v>
      </c>
      <c r="BJ840" s="57">
        <f>IF(ISERROR(IF(B840=C840,Y840/C840,(INT(Y840/B840)+(((Y840-B840*INT(Y840/B840)))/C840)/100))),0,(IF(B840=C840,Y840/C840,(INT(Y840/B840)+(((Y840-B840*INT(Y840/B840)))/C840)/100))))</f>
        <v>0</v>
      </c>
      <c r="BL840" s="57">
        <f>IF(ISERROR(IF(B840=C840,AA840/C840,(INT(AA840/B840)+(((AA840-B840*INT(AA840/B840)))/C840)/100))),0,(IF(B840=C840,AA840/C840,(INT(AA840/B840)+(((AA840-B840*INT(AA840/B840)))/C840)/100))))</f>
        <v>0</v>
      </c>
      <c r="BM840" s="57">
        <f>IF(ISERROR(IF(B840=C840,AB840/C840,(INT(AB840/B840)+(((AB840-B840*INT(AB840/B840)))/C840)/100))),0,(IF(B840=C840,AB840/C840,(INT(AB840/B840)+(((AB840-B840*INT(AB840/B840)))/C840)/100))))</f>
        <v>0</v>
      </c>
      <c r="BN840" s="57">
        <f>IF(ISERROR(IF(B840=C840,AC840/C840,(INT(AC840/B840)+(((AC840-B840*INT(AC840/B840)))/C840)/100))),0,(IF(B840=C840,AC840/C840,(INT(AC840/B840)+(((AC840-B840*INT(AC840/B840)))/C840)/100))))</f>
        <v>0</v>
      </c>
      <c r="BO840" s="57">
        <f>IF(ISERROR(IF(B840=C840,AD840/C840,(INT(AD840/B840)+(((AD840-B840*INT(AD840/B840)))/C840)/100))),0,(IF(B840=C840,AD840/C840,(INT(AD840/B840)+(((AD840-B840*INT(AD840/B840)))/C840)/100))))</f>
        <v>0</v>
      </c>
      <c r="BQ840" s="155" t="s">
        <v>123</v>
      </c>
    </row>
    <row r="841" spans="1:69" hidden="1" x14ac:dyDescent="0.35">
      <c r="A841" s="158"/>
      <c r="B841" s="113">
        <v>1</v>
      </c>
      <c r="C841" s="113">
        <v>1</v>
      </c>
      <c r="D841" s="28">
        <f>SUM(AA841:AD841)</f>
        <v>0</v>
      </c>
      <c r="E841" s="113">
        <v>0</v>
      </c>
      <c r="F841" s="113">
        <v>0</v>
      </c>
      <c r="G841" s="28">
        <f>SUM(D841:F841)</f>
        <v>0</v>
      </c>
      <c r="H841" s="125">
        <v>0</v>
      </c>
      <c r="I841" s="113">
        <v>0</v>
      </c>
      <c r="J841" s="125">
        <v>0</v>
      </c>
      <c r="K841" s="113">
        <v>0</v>
      </c>
      <c r="L841" s="113">
        <v>0</v>
      </c>
      <c r="M841" s="113">
        <v>0</v>
      </c>
      <c r="N841" s="28">
        <f>G841-SUM(H841:M841)</f>
        <v>0</v>
      </c>
      <c r="O841" s="28">
        <f>SUM(V841:Y841)</f>
        <v>0</v>
      </c>
      <c r="P841" s="28">
        <f>O841-N841</f>
        <v>0</v>
      </c>
      <c r="Q841" s="61" t="str">
        <f>IF(ISERROR(P841/SUM(H841:L841)),"",P841/SUM(H841:L841))</f>
        <v/>
      </c>
      <c r="R841" s="113">
        <v>0</v>
      </c>
      <c r="S841" s="28">
        <f>IF(ISERROR(P841/C841*R841),0,(P841/C841*R841))</f>
        <v>0</v>
      </c>
      <c r="T841" s="60">
        <f>IF(ISERROR(P841/B841*AF841),0,(P841/B841*AF841))</f>
        <v>0</v>
      </c>
      <c r="V841" s="113">
        <v>0</v>
      </c>
      <c r="W841" s="113">
        <v>0</v>
      </c>
      <c r="X841" s="113">
        <v>0</v>
      </c>
      <c r="Y841" s="113">
        <v>0</v>
      </c>
      <c r="AA841" s="113">
        <v>0</v>
      </c>
      <c r="AB841" s="113">
        <v>0</v>
      </c>
      <c r="AC841" s="113">
        <v>0</v>
      </c>
      <c r="AD841" s="113">
        <v>0</v>
      </c>
      <c r="AF841" s="113">
        <v>0</v>
      </c>
      <c r="AG841" s="28">
        <f>G841-O841</f>
        <v>0</v>
      </c>
      <c r="AH841" s="58">
        <f>IF(ISERROR(AG841/B841*AF841),0,(AG841/B841*AF841))</f>
        <v>0</v>
      </c>
      <c r="AI841" s="28">
        <f>SUM(H841:M841)</f>
        <v>0</v>
      </c>
      <c r="AJ841" s="28">
        <f>IF(ISERROR(AI841/B841*AF841),0,(AI841/B841*AF841))</f>
        <v>0</v>
      </c>
      <c r="AK841" s="58">
        <f>IF(ISERROR(O841/B841*AF841),0,(O841/B841*AF841))</f>
        <v>0</v>
      </c>
      <c r="AL841" s="28">
        <f>IF(ISERROR(H841/B841*AF841),0,(H841/B841*AF841))</f>
        <v>0</v>
      </c>
      <c r="AN841" s="51">
        <f>A841</f>
        <v>0</v>
      </c>
      <c r="AO841" s="57">
        <f>IF(ISERROR(IF(B841=C841,D841/C841,(INT(D841/B841)+(((D841-B841*INT(D841/B841)))/C841)/100))),0,(IF(B841=C841,D841/C841,(INT(D841/B841)+(((D841-B841*INT(D841/B841)))/C841)/100))))</f>
        <v>0</v>
      </c>
      <c r="AP841" s="57">
        <f>IF(ISERROR(IF(B841=C841,E841/C841,(INT(E841/B841)+(((E841-B841*INT(E841/B841)))/C841)/100))),0,(IF(B841=C841,E841/C841,(INT(E841/B841)+(((E841-B841*INT(E841/B841)))/C841)/100))))</f>
        <v>0</v>
      </c>
      <c r="AQ841" s="57">
        <f>IF(ISERROR(IF(B841=C841,F841/C841,IF((INT(F841/B841)+(((F841-B841*INT(F841/B841)))/C841)/100)&lt;0,(INT(F841/B841)+(((F841-B841*INT(F841/B841)))/C841)/100)+(1-(B841/C841/100)),(INT(F841/B841)+(((F841-B841*INT(F841/B841)))/C841)/100)))),0,IF(B841=C841,F841/C841,IF((INT(F841/B841)+(((F841-B841*INT(F841/B841)))/C841)/100)&lt;0,(INT(F841/B841)+(((F841-B841*INT(F841/B841)))/C841)/100)+(1-(B841/C841/100)),(INT(F841/B841)+(((F841-B841*INT(F841/B841)))/C841)/100))))</f>
        <v>0</v>
      </c>
      <c r="AR841" s="57">
        <f>IF(ISERROR(IF(B841=C841,G841/C841,(INT(G841/B841)+(((G841-B841*INT(G841/B841)))/C841)/100))),0,(IF(B841=C841,G841/C841,(INT(G841/B841)+(((G841-B841*INT(G841/B841)))/C841)/100))))</f>
        <v>0</v>
      </c>
      <c r="AS841" s="57">
        <f>IF(ISERROR(IF(B841=C841,H841/C841,(INT(H841/B841)+(((H841-B841*INT(H841/B841)))/C841)/100))),0,(IF(B841=C841,H841/C841,(INT(H841/B841)+(((H841-B841*INT(H841/B841)))/C841)/100))))</f>
        <v>0</v>
      </c>
      <c r="AT841" s="57">
        <f>IF(ISERROR(IF(B841=C841,I841/C841,(INT(I841/B841)+(((I841-B841*INT(I841/B841)))/C841)/100))),0,(IF(B841=C841,I841/C841,(INT(I841/B841)+(((I841-B841*INT(I841/B841)))/C841)/100))))</f>
        <v>0</v>
      </c>
      <c r="AU841" s="57">
        <f>IF(ISERROR(IF(B841=C841,J841/C841,(INT(J841/B841)+(((J841-B841*INT(J841/B841)))/C841)/100))),0,(IF(B841=C841,J841/C841,(INT(J841/B841)+(((J841-B841*INT(J841/B841)))/C841)/100))))</f>
        <v>0</v>
      </c>
      <c r="AV841" s="57">
        <f>IF(ISERROR(IF(B841=C841,K841/C841,IF((INT(K841/B841)+(((K841-B841*INT(K841/B841)))/C841)/100)&lt;0,(INT(K841/B841)+(((K841-B841*INT(K841/B841)))/C841)/100)+(1-(B841/C841/100)),(INT(K841/B841)+(((K841-B841*INT(K841/B841)))/C841)/100)))),0,IF(B841=C841,K841/C841,IF((INT(K841/B841)+(((K841-B841*INT(K841/B841)))/C841)/100)&lt;0,(INT(K841/B841)+(((K841-B841*INT(K841/B841)))/C841)/100)+(1-(B841/C841/100)),(INT(K841/B841)+(((K841-B841*INT(K841/B841)))/C841)/100))))</f>
        <v>0</v>
      </c>
      <c r="AW841" s="57">
        <f>IF(ISERROR(IF(B841=C841,L841/C841,(INT(L841/B841)+(((L841-B841*INT(L841/B841)))/C841)/100))),0,(IF(B841=C841,L841/C841,(INT(L841/B841)+(((L841-B841*INT(L841/B841)))/C841)/100))))</f>
        <v>0</v>
      </c>
      <c r="AX841" s="57">
        <f>IF(ISERROR(IF(B841=C841,M841/C841,(INT(M841/B841)+(((M841-B841*INT(M841/B841)))/C841)/100))),0,(IF(B841=C841,M841/C841,(INT(M841/B841)+(((M841-B841*INT(M841/B841)))/C841)/100))))</f>
        <v>0</v>
      </c>
      <c r="AY841" s="57">
        <f>IF(ISERROR(IF(B841=C841,N841/C841,IF((INT(N841/B841)+(((N841-B841*INT(N841/B841)))/C841)/100)&lt;0,(INT(N841/B841)+(((N841-B841*INT(N841/B841)))/C841)/100)+(1-(B841/C841/100)),(INT(N841/B841)+(((N841-B841*INT(N841/B841)))/C841)/100)))),0,IF(B841=C841,N841/C841,IF((INT(N841/B841)+(((N841-B841*INT(N841/B841)))/C841)/100)&lt;0,(INT(N841/B841)+(((N841-B841*INT(N841/B841)))/C841)/100)+(1-(B841/C841/100)),(INT(N841/B841)+(((N841-B841*INT(N841/B841)))/C841)/100))))</f>
        <v>0</v>
      </c>
      <c r="AZ841" s="57">
        <f>IF(ISERROR(IF(B841=C841,O841/C841,(INT(O841/B841)+(((O841-B841*INT(O841/B841)))/C841)/100))),0,(IF(B841=C841,O841/C841,(INT(O841/B841)+(((O841-B841*INT(O841/B841)))/C841)/100))))</f>
        <v>0</v>
      </c>
      <c r="BA841" s="57">
        <f>IF(ISERROR(IF(B841=C841,P841/C841,IF((INT(P841/B841)+(((P841-B841*INT(P841/B841)))/C841)/100)&lt;0,(INT(P841/B841)+(((P841-B841*INT(P841/B841)))/C841)/100)+(1-(B841/C841/100)),(INT(P841/B841)+(((P841-B841*INT(P841/B841)))/C841)/100)))),0,IF(B841=C841,P841/C841,IF((INT(P841/B841)+(((P841-B841*INT(P841/B841)))/C841)/100)&lt;0,(INT(P841/B841)+(((P841-B841*INT(P841/B841)))/C841)/100)+(1-(B841/C841/100)),(INT(P841/B841)+(((P841-B841*INT(P841/B841)))/C841)/100))))</f>
        <v>0</v>
      </c>
      <c r="BB841" s="28">
        <f>R841</f>
        <v>0</v>
      </c>
      <c r="BC841" s="28">
        <f>S841</f>
        <v>0</v>
      </c>
      <c r="BD841" s="28">
        <f>AF841</f>
        <v>0</v>
      </c>
      <c r="BE841" s="28">
        <f>T841</f>
        <v>0</v>
      </c>
      <c r="BG841" s="57">
        <f>IF(ISERROR(IF(B841=C841,V841/C841,(INT(V841/B841)+(((V841-B841*INT(V841/B841)))/C841)/100))),0,(IF(B841=C841,V841/C841,(INT(V841/B841)+(((V841-B841*INT(V841/B841)))/C841)/100))))</f>
        <v>0</v>
      </c>
      <c r="BH841" s="57">
        <f>IF(ISERROR(IF(B841=C841,W841/C841,(INT(W841/B841)+(((W841-B841*INT(W841/B841)))/C841)/100))),0,(IF(B841=C841,W841/C841,(INT(W841/B841)+(((W841-B841*INT(W841/B841)))/C841)/100))))</f>
        <v>0</v>
      </c>
      <c r="BI841" s="57">
        <f>IF(ISERROR(IF(B841=C841,X841/C841,(INT(X841/B841)+(((X841-B841*INT(X841/B841)))/C841)/100))),0,(IF(B841=C841,X841/C841,(INT(X841/B841)+(((X841-B841*INT(X841/B841)))/C841)/100))))</f>
        <v>0</v>
      </c>
      <c r="BJ841" s="57">
        <f>IF(ISERROR(IF(B841=C841,Y841/C841,(INT(Y841/B841)+(((Y841-B841*INT(Y841/B841)))/C841)/100))),0,(IF(B841=C841,Y841/C841,(INT(Y841/B841)+(((Y841-B841*INT(Y841/B841)))/C841)/100))))</f>
        <v>0</v>
      </c>
      <c r="BL841" s="57">
        <f>IF(ISERROR(IF(B841=C841,AA841/C841,(INT(AA841/B841)+(((AA841-B841*INT(AA841/B841)))/C841)/100))),0,(IF(B841=C841,AA841/C841,(INT(AA841/B841)+(((AA841-B841*INT(AA841/B841)))/C841)/100))))</f>
        <v>0</v>
      </c>
      <c r="BM841" s="57">
        <f>IF(ISERROR(IF(B841=C841,AB841/C841,(INT(AB841/B841)+(((AB841-B841*INT(AB841/B841)))/C841)/100))),0,(IF(B841=C841,AB841/C841,(INT(AB841/B841)+(((AB841-B841*INT(AB841/B841)))/C841)/100))))</f>
        <v>0</v>
      </c>
      <c r="BN841" s="57">
        <f>IF(ISERROR(IF(B841=C841,AC841/C841,(INT(AC841/B841)+(((AC841-B841*INT(AC841/B841)))/C841)/100))),0,(IF(B841=C841,AC841/C841,(INT(AC841/B841)+(((AC841-B841*INT(AC841/B841)))/C841)/100))))</f>
        <v>0</v>
      </c>
      <c r="BO841" s="57">
        <f>IF(ISERROR(IF(B841=C841,AD841/C841,(INT(AD841/B841)+(((AD841-B841*INT(AD841/B841)))/C841)/100))),0,(IF(B841=C841,AD841/C841,(INT(AD841/B841)+(((AD841-B841*INT(AD841/B841)))/C841)/100))))</f>
        <v>0</v>
      </c>
      <c r="BQ841" s="155" t="s">
        <v>81</v>
      </c>
    </row>
    <row r="842" spans="1:69" hidden="1" x14ac:dyDescent="0.35">
      <c r="A842" s="134"/>
      <c r="B842" s="113"/>
      <c r="C842" s="113"/>
      <c r="D842" s="28">
        <f>SUM(AA842:AD842)</f>
        <v>0</v>
      </c>
      <c r="E842" s="113"/>
      <c r="F842" s="113"/>
      <c r="G842" s="28">
        <f>SUM(D842:F842)</f>
        <v>0</v>
      </c>
      <c r="H842" s="125"/>
      <c r="I842" s="113"/>
      <c r="J842" s="125"/>
      <c r="K842" s="113"/>
      <c r="L842" s="113"/>
      <c r="M842" s="113"/>
      <c r="N842" s="28">
        <f>G842-SUM(H842:M842)</f>
        <v>0</v>
      </c>
      <c r="O842" s="28">
        <f>SUM(V842:Y842)</f>
        <v>0</v>
      </c>
      <c r="P842" s="28">
        <f>O842-N842</f>
        <v>0</v>
      </c>
      <c r="Q842" s="61" t="str">
        <f>IF(ISERROR(P842/SUM(H842:L842)),"",P842/SUM(H842:L842))</f>
        <v/>
      </c>
      <c r="R842" s="113"/>
      <c r="S842" s="28">
        <f>IF(ISERROR(P842/C842*R842),0,(P842/C842*R842))</f>
        <v>0</v>
      </c>
      <c r="T842" s="60">
        <f>IF(ISERROR(P842/B842*AF842),0,(P842/B842*AF842))</f>
        <v>0</v>
      </c>
      <c r="V842" s="113"/>
      <c r="W842" s="113"/>
      <c r="X842" s="113"/>
      <c r="Y842" s="113"/>
      <c r="AA842" s="113"/>
      <c r="AB842" s="113"/>
      <c r="AC842" s="113"/>
      <c r="AD842" s="113"/>
      <c r="AF842" s="113">
        <v>0</v>
      </c>
      <c r="AG842" s="28">
        <f>G842-O842</f>
        <v>0</v>
      </c>
      <c r="AH842" s="58">
        <f>IF(ISERROR(AG842/B842*AF842),0,(AG842/B842*AF842))</f>
        <v>0</v>
      </c>
      <c r="AI842" s="28">
        <f>SUM(H842:M842)</f>
        <v>0</v>
      </c>
      <c r="AJ842" s="28">
        <f>IF(ISERROR(AI842/B842*AF842),0,(AI842/B842*AF842))</f>
        <v>0</v>
      </c>
      <c r="AK842" s="58">
        <f>IF(ISERROR(O842/B842*AF842),0,(O842/B842*AF842))</f>
        <v>0</v>
      </c>
      <c r="AL842" s="28">
        <f>IF(ISERROR(H842/B842*AF842),0,(H842/B842*AF842))</f>
        <v>0</v>
      </c>
      <c r="AN842" s="51">
        <f>A842</f>
        <v>0</v>
      </c>
      <c r="AO842" s="57">
        <f>IF(ISERROR(IF(B842=C842,D842/C842,(INT(D842/B842)+(((D842-B842*INT(D842/B842)))/C842)/100))),0,(IF(B842=C842,D842/C842,(INT(D842/B842)+(((D842-B842*INT(D842/B842)))/C842)/100))))</f>
        <v>0</v>
      </c>
      <c r="AP842" s="57">
        <f>IF(ISERROR(IF(B842=C842,E842/C842,(INT(E842/B842)+(((E842-B842*INT(E842/B842)))/C842)/100))),0,(IF(B842=C842,E842/C842,(INT(E842/B842)+(((E842-B842*INT(E842/B842)))/C842)/100))))</f>
        <v>0</v>
      </c>
      <c r="AQ842" s="57">
        <f>IF(ISERROR(IF(B842=C842,F842/C842,IF((INT(F842/B842)+(((F842-B842*INT(F842/B842)))/C842)/100)&lt;0,(INT(F842/B842)+(((F842-B842*INT(F842/B842)))/C842)/100)+(1-(B842/C842/100)),(INT(F842/B842)+(((F842-B842*INT(F842/B842)))/C842)/100)))),0,IF(B842=C842,F842/C842,IF((INT(F842/B842)+(((F842-B842*INT(F842/B842)))/C842)/100)&lt;0,(INT(F842/B842)+(((F842-B842*INT(F842/B842)))/C842)/100)+(1-(B842/C842/100)),(INT(F842/B842)+(((F842-B842*INT(F842/B842)))/C842)/100))))</f>
        <v>0</v>
      </c>
      <c r="AR842" s="57">
        <f>IF(ISERROR(IF(B842=C842,G842/C842,(INT(G842/B842)+(((G842-B842*INT(G842/B842)))/C842)/100))),0,(IF(B842=C842,G842/C842,(INT(G842/B842)+(((G842-B842*INT(G842/B842)))/C842)/100))))</f>
        <v>0</v>
      </c>
      <c r="AS842" s="57">
        <f>IF(ISERROR(IF(B842=C842,H842/C842,(INT(H842/B842)+(((H842-B842*INT(H842/B842)))/C842)/100))),0,(IF(B842=C842,H842/C842,(INT(H842/B842)+(((H842-B842*INT(H842/B842)))/C842)/100))))</f>
        <v>0</v>
      </c>
      <c r="AT842" s="57">
        <f>IF(ISERROR(IF(B842=C842,I842/C842,(INT(I842/B842)+(((I842-B842*INT(I842/B842)))/C842)/100))),0,(IF(B842=C842,I842/C842,(INT(I842/B842)+(((I842-B842*INT(I842/B842)))/C842)/100))))</f>
        <v>0</v>
      </c>
      <c r="AU842" s="57">
        <f>IF(ISERROR(IF(B842=C842,J842/C842,(INT(J842/B842)+(((J842-B842*INT(J842/B842)))/C842)/100))),0,(IF(B842=C842,J842/C842,(INT(J842/B842)+(((J842-B842*INT(J842/B842)))/C842)/100))))</f>
        <v>0</v>
      </c>
      <c r="AV842" s="57">
        <f>IF(ISERROR(IF(B842=C842,K842/C842,IF((INT(K842/B842)+(((K842-B842*INT(K842/B842)))/C842)/100)&lt;0,(INT(K842/B842)+(((K842-B842*INT(K842/B842)))/C842)/100)+(1-(B842/C842/100)),(INT(K842/B842)+(((K842-B842*INT(K842/B842)))/C842)/100)))),0,IF(B842=C842,K842/C842,IF((INT(K842/B842)+(((K842-B842*INT(K842/B842)))/C842)/100)&lt;0,(INT(K842/B842)+(((K842-B842*INT(K842/B842)))/C842)/100)+(1-(B842/C842/100)),(INT(K842/B842)+(((K842-B842*INT(K842/B842)))/C842)/100))))</f>
        <v>0</v>
      </c>
      <c r="AW842" s="57">
        <f>IF(ISERROR(IF(B842=C842,L842/C842,(INT(L842/B842)+(((L842-B842*INT(L842/B842)))/C842)/100))),0,(IF(B842=C842,L842/C842,(INT(L842/B842)+(((L842-B842*INT(L842/B842)))/C842)/100))))</f>
        <v>0</v>
      </c>
      <c r="AX842" s="57">
        <f>IF(ISERROR(IF(B842=C842,M842/C842,(INT(M842/B842)+(((M842-B842*INT(M842/B842)))/C842)/100))),0,(IF(B842=C842,M842/C842,(INT(M842/B842)+(((M842-B842*INT(M842/B842)))/C842)/100))))</f>
        <v>0</v>
      </c>
      <c r="AY842" s="57">
        <f>IF(ISERROR(IF(B842=C842,N842/C842,IF((INT(N842/B842)+(((N842-B842*INT(N842/B842)))/C842)/100)&lt;0,(INT(N842/B842)+(((N842-B842*INT(N842/B842)))/C842)/100)+(1-(B842/C842/100)),(INT(N842/B842)+(((N842-B842*INT(N842/B842)))/C842)/100)))),0,IF(B842=C842,N842/C842,IF((INT(N842/B842)+(((N842-B842*INT(N842/B842)))/C842)/100)&lt;0,(INT(N842/B842)+(((N842-B842*INT(N842/B842)))/C842)/100)+(1-(B842/C842/100)),(INT(N842/B842)+(((N842-B842*INT(N842/B842)))/C842)/100))))</f>
        <v>0</v>
      </c>
      <c r="AZ842" s="57">
        <f>IF(ISERROR(IF(B842=C842,O842/C842,(INT(O842/B842)+(((O842-B842*INT(O842/B842)))/C842)/100))),0,(IF(B842=C842,O842/C842,(INT(O842/B842)+(((O842-B842*INT(O842/B842)))/C842)/100))))</f>
        <v>0</v>
      </c>
      <c r="BA842" s="57">
        <f>IF(ISERROR(IF(B842=C842,P842/C842,IF((INT(P842/B842)+(((P842-B842*INT(P842/B842)))/C842)/100)&lt;0,(INT(P842/B842)+(((P842-B842*INT(P842/B842)))/C842)/100)+(1-(B842/C842/100)),(INT(P842/B842)+(((P842-B842*INT(P842/B842)))/C842)/100)))),0,IF(B842=C842,P842/C842,IF((INT(P842/B842)+(((P842-B842*INT(P842/B842)))/C842)/100)&lt;0,(INT(P842/B842)+(((P842-B842*INT(P842/B842)))/C842)/100)+(1-(B842/C842/100)),(INT(P842/B842)+(((P842-B842*INT(P842/B842)))/C842)/100))))</f>
        <v>0</v>
      </c>
      <c r="BB842" s="28">
        <f>R842</f>
        <v>0</v>
      </c>
      <c r="BC842" s="28">
        <f>S842</f>
        <v>0</v>
      </c>
      <c r="BD842" s="28">
        <f>AF842</f>
        <v>0</v>
      </c>
      <c r="BE842" s="28">
        <f>T842</f>
        <v>0</v>
      </c>
      <c r="BG842" s="57">
        <f>IF(ISERROR(IF(B842=C842,V842/C842,(INT(V842/B842)+(((V842-B842*INT(V842/B842)))/C842)/100))),0,(IF(B842=C842,V842/C842,(INT(V842/B842)+(((V842-B842*INT(V842/B842)))/C842)/100))))</f>
        <v>0</v>
      </c>
      <c r="BH842" s="57">
        <f>IF(ISERROR(IF(B842=C842,W842/C842,(INT(W842/B842)+(((W842-B842*INT(W842/B842)))/C842)/100))),0,(IF(B842=C842,W842/C842,(INT(W842/B842)+(((W842-B842*INT(W842/B842)))/C842)/100))))</f>
        <v>0</v>
      </c>
      <c r="BI842" s="57">
        <f>IF(ISERROR(IF(B842=C842,X842/C842,(INT(X842/B842)+(((X842-B842*INT(X842/B842)))/C842)/100))),0,(IF(B842=C842,X842/C842,(INT(X842/B842)+(((X842-B842*INT(X842/B842)))/C842)/100))))</f>
        <v>0</v>
      </c>
      <c r="BJ842" s="57">
        <f>IF(ISERROR(IF(B842=C842,Y842/C842,(INT(Y842/B842)+(((Y842-B842*INT(Y842/B842)))/C842)/100))),0,(IF(B842=C842,Y842/C842,(INT(Y842/B842)+(((Y842-B842*INT(Y842/B842)))/C842)/100))))</f>
        <v>0</v>
      </c>
      <c r="BL842" s="57">
        <f>IF(ISERROR(IF(B842=C842,AA842/C842,(INT(AA842/B842)+(((AA842-B842*INT(AA842/B842)))/C842)/100))),0,(IF(B842=C842,AA842/C842,(INT(AA842/B842)+(((AA842-B842*INT(AA842/B842)))/C842)/100))))</f>
        <v>0</v>
      </c>
      <c r="BM842" s="57">
        <f>IF(ISERROR(IF(B842=C842,AB842/C842,(INT(AB842/B842)+(((AB842-B842*INT(AB842/B842)))/C842)/100))),0,(IF(B842=C842,AB842/C842,(INT(AB842/B842)+(((AB842-B842*INT(AB842/B842)))/C842)/100))))</f>
        <v>0</v>
      </c>
      <c r="BN842" s="57">
        <f>IF(ISERROR(IF(B842=C842,AC842/C842,(INT(AC842/B842)+(((AC842-B842*INT(AC842/B842)))/C842)/100))),0,(IF(B842=C842,AC842/C842,(INT(AC842/B842)+(((AC842-B842*INT(AC842/B842)))/C842)/100))))</f>
        <v>0</v>
      </c>
      <c r="BO842" s="57">
        <f>IF(ISERROR(IF(B842=C842,AD842/C842,(INT(AD842/B842)+(((AD842-B842*INT(AD842/B842)))/C842)/100))),0,(IF(B842=C842,AD842/C842,(INT(AD842/B842)+(((AD842-B842*INT(AD842/B842)))/C842)/100))))</f>
        <v>0</v>
      </c>
      <c r="BQ842" s="155"/>
    </row>
    <row r="843" spans="1:69" hidden="1" x14ac:dyDescent="0.35">
      <c r="A843" s="158"/>
      <c r="B843" s="113">
        <v>1</v>
      </c>
      <c r="C843" s="113">
        <v>1</v>
      </c>
      <c r="D843" s="28">
        <f>SUM(AA843:AD843)</f>
        <v>0</v>
      </c>
      <c r="E843" s="113">
        <v>0</v>
      </c>
      <c r="F843" s="113">
        <v>0</v>
      </c>
      <c r="G843" s="28">
        <f>SUM(D843:F843)</f>
        <v>0</v>
      </c>
      <c r="H843" s="125">
        <v>0</v>
      </c>
      <c r="I843" s="113">
        <v>0</v>
      </c>
      <c r="J843" s="125">
        <v>0</v>
      </c>
      <c r="K843" s="113">
        <v>0</v>
      </c>
      <c r="L843" s="113">
        <v>0</v>
      </c>
      <c r="M843" s="113">
        <v>0</v>
      </c>
      <c r="N843" s="28">
        <f>G843-SUM(H843:M843)</f>
        <v>0</v>
      </c>
      <c r="O843" s="28">
        <f>SUM(V843:Y843)</f>
        <v>0</v>
      </c>
      <c r="P843" s="28">
        <f>O843-N843</f>
        <v>0</v>
      </c>
      <c r="Q843" s="61" t="str">
        <f>IF(ISERROR(P843/SUM(H843:L843)),"",P843/SUM(H843:L843))</f>
        <v/>
      </c>
      <c r="R843" s="113">
        <v>0</v>
      </c>
      <c r="S843" s="28">
        <f>IF(ISERROR(P843/C843*R843),0,(P843/C843*R843))</f>
        <v>0</v>
      </c>
      <c r="T843" s="60">
        <f>IF(ISERROR(P843/B843*AF843),0,(P843/B843*AF843))</f>
        <v>0</v>
      </c>
      <c r="V843" s="113">
        <v>0</v>
      </c>
      <c r="W843" s="113">
        <v>0</v>
      </c>
      <c r="X843" s="113">
        <v>0</v>
      </c>
      <c r="Y843" s="113">
        <v>0</v>
      </c>
      <c r="AA843" s="113">
        <v>0</v>
      </c>
      <c r="AB843" s="113">
        <v>0</v>
      </c>
      <c r="AC843" s="113">
        <v>0</v>
      </c>
      <c r="AD843" s="113">
        <v>0</v>
      </c>
      <c r="AF843" s="113">
        <v>0</v>
      </c>
      <c r="AG843" s="28">
        <f>G843-O843</f>
        <v>0</v>
      </c>
      <c r="AH843" s="58">
        <f>IF(ISERROR(AG843/B843*AF843),0,(AG843/B843*AF843))</f>
        <v>0</v>
      </c>
      <c r="AI843" s="28">
        <f>SUM(H843:M843)</f>
        <v>0</v>
      </c>
      <c r="AJ843" s="28">
        <f>IF(ISERROR(AI843/B843*AF843),0,(AI843/B843*AF843))</f>
        <v>0</v>
      </c>
      <c r="AK843" s="58">
        <f>IF(ISERROR(O843/B843*AF843),0,(O843/B843*AF843))</f>
        <v>0</v>
      </c>
      <c r="AL843" s="28">
        <f>IF(ISERROR(H843/B843*AF843),0,(H843/B843*AF843))</f>
        <v>0</v>
      </c>
      <c r="AN843" s="51">
        <f>A843</f>
        <v>0</v>
      </c>
      <c r="AO843" s="57">
        <f>IF(ISERROR(IF(B843=C843,D843/C843,(INT(D843/B843)+(((D843-B843*INT(D843/B843)))/C843)/100))),0,(IF(B843=C843,D843/C843,(INT(D843/B843)+(((D843-B843*INT(D843/B843)))/C843)/100))))</f>
        <v>0</v>
      </c>
      <c r="AP843" s="57">
        <f>IF(ISERROR(IF(B843=C843,E843/C843,(INT(E843/B843)+(((E843-B843*INT(E843/B843)))/C843)/100))),0,(IF(B843=C843,E843/C843,(INT(E843/B843)+(((E843-B843*INT(E843/B843)))/C843)/100))))</f>
        <v>0</v>
      </c>
      <c r="AQ843" s="57">
        <f>IF(ISERROR(IF(B843=C843,F843/C843,IF((INT(F843/B843)+(((F843-B843*INT(F843/B843)))/C843)/100)&lt;0,(INT(F843/B843)+(((F843-B843*INT(F843/B843)))/C843)/100)+(1-(B843/C843/100)),(INT(F843/B843)+(((F843-B843*INT(F843/B843)))/C843)/100)))),0,IF(B843=C843,F843/C843,IF((INT(F843/B843)+(((F843-B843*INT(F843/B843)))/C843)/100)&lt;0,(INT(F843/B843)+(((F843-B843*INT(F843/B843)))/C843)/100)+(1-(B843/C843/100)),(INT(F843/B843)+(((F843-B843*INT(F843/B843)))/C843)/100))))</f>
        <v>0</v>
      </c>
      <c r="AR843" s="57">
        <f>IF(ISERROR(IF(B843=C843,G843/C843,(INT(G843/B843)+(((G843-B843*INT(G843/B843)))/C843)/100))),0,(IF(B843=C843,G843/C843,(INT(G843/B843)+(((G843-B843*INT(G843/B843)))/C843)/100))))</f>
        <v>0</v>
      </c>
      <c r="AS843" s="57">
        <f>IF(ISERROR(IF(B843=C843,H843/C843,(INT(H843/B843)+(((H843-B843*INT(H843/B843)))/C843)/100))),0,(IF(B843=C843,H843/C843,(INT(H843/B843)+(((H843-B843*INT(H843/B843)))/C843)/100))))</f>
        <v>0</v>
      </c>
      <c r="AT843" s="57">
        <f>IF(ISERROR(IF(B843=C843,I843/C843,(INT(I843/B843)+(((I843-B843*INT(I843/B843)))/C843)/100))),0,(IF(B843=C843,I843/C843,(INT(I843/B843)+(((I843-B843*INT(I843/B843)))/C843)/100))))</f>
        <v>0</v>
      </c>
      <c r="AU843" s="57">
        <f>IF(ISERROR(IF(B843=C843,J843/C843,(INT(J843/B843)+(((J843-B843*INT(J843/B843)))/C843)/100))),0,(IF(B843=C843,J843/C843,(INT(J843/B843)+(((J843-B843*INT(J843/B843)))/C843)/100))))</f>
        <v>0</v>
      </c>
      <c r="AV843" s="57">
        <f>IF(ISERROR(IF(B843=C843,K843/C843,IF((INT(K843/B843)+(((K843-B843*INT(K843/B843)))/C843)/100)&lt;0,(INT(K843/B843)+(((K843-B843*INT(K843/B843)))/C843)/100)+(1-(B843/C843/100)),(INT(K843/B843)+(((K843-B843*INT(K843/B843)))/C843)/100)))),0,IF(B843=C843,K843/C843,IF((INT(K843/B843)+(((K843-B843*INT(K843/B843)))/C843)/100)&lt;0,(INT(K843/B843)+(((K843-B843*INT(K843/B843)))/C843)/100)+(1-(B843/C843/100)),(INT(K843/B843)+(((K843-B843*INT(K843/B843)))/C843)/100))))</f>
        <v>0</v>
      </c>
      <c r="AW843" s="57">
        <f>IF(ISERROR(IF(B843=C843,L843/C843,(INT(L843/B843)+(((L843-B843*INT(L843/B843)))/C843)/100))),0,(IF(B843=C843,L843/C843,(INT(L843/B843)+(((L843-B843*INT(L843/B843)))/C843)/100))))</f>
        <v>0</v>
      </c>
      <c r="AX843" s="57">
        <f>IF(ISERROR(IF(B843=C843,M843/C843,(INT(M843/B843)+(((M843-B843*INT(M843/B843)))/C843)/100))),0,(IF(B843=C843,M843/C843,(INT(M843/B843)+(((M843-B843*INT(M843/B843)))/C843)/100))))</f>
        <v>0</v>
      </c>
      <c r="AY843" s="57">
        <f>IF(ISERROR(IF(B843=C843,N843/C843,IF((INT(N843/B843)+(((N843-B843*INT(N843/B843)))/C843)/100)&lt;0,(INT(N843/B843)+(((N843-B843*INT(N843/B843)))/C843)/100)+(1-(B843/C843/100)),(INT(N843/B843)+(((N843-B843*INT(N843/B843)))/C843)/100)))),0,IF(B843=C843,N843/C843,IF((INT(N843/B843)+(((N843-B843*INT(N843/B843)))/C843)/100)&lt;0,(INT(N843/B843)+(((N843-B843*INT(N843/B843)))/C843)/100)+(1-(B843/C843/100)),(INT(N843/B843)+(((N843-B843*INT(N843/B843)))/C843)/100))))</f>
        <v>0</v>
      </c>
      <c r="AZ843" s="57">
        <f>IF(ISERROR(IF(B843=C843,O843/C843,(INT(O843/B843)+(((O843-B843*INT(O843/B843)))/C843)/100))),0,(IF(B843=C843,O843/C843,(INT(O843/B843)+(((O843-B843*INT(O843/B843)))/C843)/100))))</f>
        <v>0</v>
      </c>
      <c r="BA843" s="57">
        <f>IF(ISERROR(IF(B843=C843,P843/C843,IF((INT(P843/B843)+(((P843-B843*INT(P843/B843)))/C843)/100)&lt;0,(INT(P843/B843)+(((P843-B843*INT(P843/B843)))/C843)/100)+(1-(B843/C843/100)),(INT(P843/B843)+(((P843-B843*INT(P843/B843)))/C843)/100)))),0,IF(B843=C843,P843/C843,IF((INT(P843/B843)+(((P843-B843*INT(P843/B843)))/C843)/100)&lt;0,(INT(P843/B843)+(((P843-B843*INT(P843/B843)))/C843)/100)+(1-(B843/C843/100)),(INT(P843/B843)+(((P843-B843*INT(P843/B843)))/C843)/100))))</f>
        <v>0</v>
      </c>
      <c r="BB843" s="28">
        <f>R843</f>
        <v>0</v>
      </c>
      <c r="BC843" s="28">
        <f>S843</f>
        <v>0</v>
      </c>
      <c r="BD843" s="28">
        <f>AF843</f>
        <v>0</v>
      </c>
      <c r="BE843" s="28">
        <f>T843</f>
        <v>0</v>
      </c>
      <c r="BG843" s="57">
        <f>IF(ISERROR(IF(B843=C843,V843/C843,(INT(V843/B843)+(((V843-B843*INT(V843/B843)))/C843)/100))),0,(IF(B843=C843,V843/C843,(INT(V843/B843)+(((V843-B843*INT(V843/B843)))/C843)/100))))</f>
        <v>0</v>
      </c>
      <c r="BH843" s="57">
        <f>IF(ISERROR(IF(B843=C843,W843/C843,(INT(W843/B843)+(((W843-B843*INT(W843/B843)))/C843)/100))),0,(IF(B843=C843,W843/C843,(INT(W843/B843)+(((W843-B843*INT(W843/B843)))/C843)/100))))</f>
        <v>0</v>
      </c>
      <c r="BI843" s="57">
        <f>IF(ISERROR(IF(B843=C843,X843/C843,(INT(X843/B843)+(((X843-B843*INT(X843/B843)))/C843)/100))),0,(IF(B843=C843,X843/C843,(INT(X843/B843)+(((X843-B843*INT(X843/B843)))/C843)/100))))</f>
        <v>0</v>
      </c>
      <c r="BJ843" s="57">
        <f>IF(ISERROR(IF(B843=C843,Y843/C843,(INT(Y843/B843)+(((Y843-B843*INT(Y843/B843)))/C843)/100))),0,(IF(B843=C843,Y843/C843,(INT(Y843/B843)+(((Y843-B843*INT(Y843/B843)))/C843)/100))))</f>
        <v>0</v>
      </c>
      <c r="BL843" s="57">
        <f>IF(ISERROR(IF(B843=C843,AA843/C843,(INT(AA843/B843)+(((AA843-B843*INT(AA843/B843)))/C843)/100))),0,(IF(B843=C843,AA843/C843,(INT(AA843/B843)+(((AA843-B843*INT(AA843/B843)))/C843)/100))))</f>
        <v>0</v>
      </c>
      <c r="BM843" s="57">
        <f>IF(ISERROR(IF(B843=C843,AB843/C843,(INT(AB843/B843)+(((AB843-B843*INT(AB843/B843)))/C843)/100))),0,(IF(B843=C843,AB843/C843,(INT(AB843/B843)+(((AB843-B843*INT(AB843/B843)))/C843)/100))))</f>
        <v>0</v>
      </c>
      <c r="BN843" s="57">
        <f>IF(ISERROR(IF(B843=C843,AC843/C843,(INT(AC843/B843)+(((AC843-B843*INT(AC843/B843)))/C843)/100))),0,(IF(B843=C843,AC843/C843,(INT(AC843/B843)+(((AC843-B843*INT(AC843/B843)))/C843)/100))))</f>
        <v>0</v>
      </c>
      <c r="BO843" s="57">
        <f>IF(ISERROR(IF(B843=C843,AD843/C843,(INT(AD843/B843)+(((AD843-B843*INT(AD843/B843)))/C843)/100))),0,(IF(B843=C843,AD843/C843,(INT(AD843/B843)+(((AD843-B843*INT(AD843/B843)))/C843)/100))))</f>
        <v>0</v>
      </c>
      <c r="BQ843" s="155" t="s">
        <v>81</v>
      </c>
    </row>
    <row r="844" spans="1:69" hidden="1" x14ac:dyDescent="0.35">
      <c r="A844" s="157"/>
      <c r="B844" s="113">
        <v>0</v>
      </c>
      <c r="C844" s="113">
        <v>0</v>
      </c>
      <c r="D844" s="28">
        <f>SUM(AA844:AD844)</f>
        <v>0</v>
      </c>
      <c r="E844" s="113">
        <v>0</v>
      </c>
      <c r="F844" s="113">
        <v>0</v>
      </c>
      <c r="G844" s="28">
        <f>SUM(D844:F844)</f>
        <v>0</v>
      </c>
      <c r="H844" s="125">
        <v>0</v>
      </c>
      <c r="I844" s="113">
        <v>0</v>
      </c>
      <c r="J844" s="125">
        <v>0</v>
      </c>
      <c r="K844" s="113">
        <v>0</v>
      </c>
      <c r="L844" s="113">
        <v>0</v>
      </c>
      <c r="M844" s="113">
        <v>0</v>
      </c>
      <c r="N844" s="28">
        <f>G844-SUM(H844:M844)</f>
        <v>0</v>
      </c>
      <c r="O844" s="28">
        <f>SUM(V844:Y844)</f>
        <v>0</v>
      </c>
      <c r="P844" s="28">
        <f>O844-N844</f>
        <v>0</v>
      </c>
      <c r="Q844" s="61" t="str">
        <f>IF(ISERROR(P844/SUM(H844:L844)),"",P844/SUM(H844:L844))</f>
        <v/>
      </c>
      <c r="R844" s="113">
        <v>0</v>
      </c>
      <c r="S844" s="28">
        <f>IF(ISERROR(P844/C844*R844),0,(P844/C844*R844))</f>
        <v>0</v>
      </c>
      <c r="T844" s="60">
        <f>IF(ISERROR(P844/B844*AF844),0,(P844/B844*AF844))</f>
        <v>0</v>
      </c>
      <c r="V844" s="113">
        <v>0</v>
      </c>
      <c r="W844" s="113">
        <v>0</v>
      </c>
      <c r="X844" s="113">
        <v>0</v>
      </c>
      <c r="Y844" s="113">
        <v>0</v>
      </c>
      <c r="AA844" s="113">
        <v>0</v>
      </c>
      <c r="AB844" s="113">
        <v>0</v>
      </c>
      <c r="AC844" s="113">
        <v>0</v>
      </c>
      <c r="AD844" s="113">
        <v>0</v>
      </c>
      <c r="AF844" s="113">
        <v>0</v>
      </c>
      <c r="AG844" s="28">
        <f>G844-O844</f>
        <v>0</v>
      </c>
      <c r="AH844" s="58">
        <f>IF(ISERROR(AG844/B844*AF844),0,(AG844/B844*AF844))</f>
        <v>0</v>
      </c>
      <c r="AI844" s="28">
        <f>SUM(H844:M844)</f>
        <v>0</v>
      </c>
      <c r="AJ844" s="28">
        <f>IF(ISERROR(AI844/B844*AF844),0,(AI844/B844*AF844))</f>
        <v>0</v>
      </c>
      <c r="AK844" s="58">
        <f>IF(ISERROR(O844/B844*AF844),0,(O844/B844*AF844))</f>
        <v>0</v>
      </c>
      <c r="AL844" s="28">
        <f>IF(ISERROR(H844/B844*AF844),0,(H844/B844*AF844))</f>
        <v>0</v>
      </c>
      <c r="AN844" s="51">
        <f>A844</f>
        <v>0</v>
      </c>
      <c r="AO844" s="57">
        <f>IF(ISERROR(IF(B844=C844,D844/C844,(INT(D844/B844)+(((D844-B844*INT(D844/B844)))/C844)/100))),0,(IF(B844=C844,D844/C844,(INT(D844/B844)+(((D844-B844*INT(D844/B844)))/C844)/100))))</f>
        <v>0</v>
      </c>
      <c r="AP844" s="57">
        <f>IF(ISERROR(IF(B844=C844,E844/C844,(INT(E844/B844)+(((E844-B844*INT(E844/B844)))/C844)/100))),0,(IF(B844=C844,E844/C844,(INT(E844/B844)+(((E844-B844*INT(E844/B844)))/C844)/100))))</f>
        <v>0</v>
      </c>
      <c r="AQ844" s="57">
        <f>IF(ISERROR(IF(B844=C844,F844/C844,IF((INT(F844/B844)+(((F844-B844*INT(F844/B844)))/C844)/100)&lt;0,(INT(F844/B844)+(((F844-B844*INT(F844/B844)))/C844)/100)+(1-(B844/C844/100)),(INT(F844/B844)+(((F844-B844*INT(F844/B844)))/C844)/100)))),0,IF(B844=C844,F844/C844,IF((INT(F844/B844)+(((F844-B844*INT(F844/B844)))/C844)/100)&lt;0,(INT(F844/B844)+(((F844-B844*INT(F844/B844)))/C844)/100)+(1-(B844/C844/100)),(INT(F844/B844)+(((F844-B844*INT(F844/B844)))/C844)/100))))</f>
        <v>0</v>
      </c>
      <c r="AR844" s="57">
        <f>IF(ISERROR(IF(B844=C844,G844/C844,(INT(G844/B844)+(((G844-B844*INT(G844/B844)))/C844)/100))),0,(IF(B844=C844,G844/C844,(INT(G844/B844)+(((G844-B844*INT(G844/B844)))/C844)/100))))</f>
        <v>0</v>
      </c>
      <c r="AS844" s="57">
        <f>IF(ISERROR(IF(B844=C844,H844/C844,(INT(H844/B844)+(((H844-B844*INT(H844/B844)))/C844)/100))),0,(IF(B844=C844,H844/C844,(INT(H844/B844)+(((H844-B844*INT(H844/B844)))/C844)/100))))</f>
        <v>0</v>
      </c>
      <c r="AT844" s="57">
        <f>IF(ISERROR(IF(B844=C844,I844/C844,(INT(I844/B844)+(((I844-B844*INT(I844/B844)))/C844)/100))),0,(IF(B844=C844,I844/C844,(INT(I844/B844)+(((I844-B844*INT(I844/B844)))/C844)/100))))</f>
        <v>0</v>
      </c>
      <c r="AU844" s="57">
        <f>IF(ISERROR(IF(B844=C844,J844/C844,(INT(J844/B844)+(((J844-B844*INT(J844/B844)))/C844)/100))),0,(IF(B844=C844,J844/C844,(INT(J844/B844)+(((J844-B844*INT(J844/B844)))/C844)/100))))</f>
        <v>0</v>
      </c>
      <c r="AV844" s="57">
        <f>IF(ISERROR(IF(B844=C844,K844/C844,IF((INT(K844/B844)+(((K844-B844*INT(K844/B844)))/C844)/100)&lt;0,(INT(K844/B844)+(((K844-B844*INT(K844/B844)))/C844)/100)+(1-(B844/C844/100)),(INT(K844/B844)+(((K844-B844*INT(K844/B844)))/C844)/100)))),0,IF(B844=C844,K844/C844,IF((INT(K844/B844)+(((K844-B844*INT(K844/B844)))/C844)/100)&lt;0,(INT(K844/B844)+(((K844-B844*INT(K844/B844)))/C844)/100)+(1-(B844/C844/100)),(INT(K844/B844)+(((K844-B844*INT(K844/B844)))/C844)/100))))</f>
        <v>0</v>
      </c>
      <c r="AW844" s="57">
        <f>IF(ISERROR(IF(B844=C844,L844/C844,(INT(L844/B844)+(((L844-B844*INT(L844/B844)))/C844)/100))),0,(IF(B844=C844,L844/C844,(INT(L844/B844)+(((L844-B844*INT(L844/B844)))/C844)/100))))</f>
        <v>0</v>
      </c>
      <c r="AX844" s="57">
        <f>IF(ISERROR(IF(B844=C844,M844/C844,(INT(M844/B844)+(((M844-B844*INT(M844/B844)))/C844)/100))),0,(IF(B844=C844,M844/C844,(INT(M844/B844)+(((M844-B844*INT(M844/B844)))/C844)/100))))</f>
        <v>0</v>
      </c>
      <c r="AY844" s="57">
        <f>IF(ISERROR(IF(B844=C844,N844/C844,IF((INT(N844/B844)+(((N844-B844*INT(N844/B844)))/C844)/100)&lt;0,(INT(N844/B844)+(((N844-B844*INT(N844/B844)))/C844)/100)+(1-(B844/C844/100)),(INT(N844/B844)+(((N844-B844*INT(N844/B844)))/C844)/100)))),0,IF(B844=C844,N844/C844,IF((INT(N844/B844)+(((N844-B844*INT(N844/B844)))/C844)/100)&lt;0,(INT(N844/B844)+(((N844-B844*INT(N844/B844)))/C844)/100)+(1-(B844/C844/100)),(INT(N844/B844)+(((N844-B844*INT(N844/B844)))/C844)/100))))</f>
        <v>0</v>
      </c>
      <c r="AZ844" s="57">
        <f>IF(ISERROR(IF(B844=C844,O844/C844,(INT(O844/B844)+(((O844-B844*INT(O844/B844)))/C844)/100))),0,(IF(B844=C844,O844/C844,(INT(O844/B844)+(((O844-B844*INT(O844/B844)))/C844)/100))))</f>
        <v>0</v>
      </c>
      <c r="BA844" s="57">
        <f>IF(ISERROR(IF(B844=C844,P844/C844,IF((INT(P844/B844)+(((P844-B844*INT(P844/B844)))/C844)/100)&lt;0,(INT(P844/B844)+(((P844-B844*INT(P844/B844)))/C844)/100)+(1-(B844/C844/100)),(INT(P844/B844)+(((P844-B844*INT(P844/B844)))/C844)/100)))),0,IF(B844=C844,P844/C844,IF((INT(P844/B844)+(((P844-B844*INT(P844/B844)))/C844)/100)&lt;0,(INT(P844/B844)+(((P844-B844*INT(P844/B844)))/C844)/100)+(1-(B844/C844/100)),(INT(P844/B844)+(((P844-B844*INT(P844/B844)))/C844)/100))))</f>
        <v>0</v>
      </c>
      <c r="BB844" s="28">
        <f>R844</f>
        <v>0</v>
      </c>
      <c r="BC844" s="28">
        <f>S844</f>
        <v>0</v>
      </c>
      <c r="BD844" s="28">
        <f>AF844</f>
        <v>0</v>
      </c>
      <c r="BE844" s="28">
        <f>T844</f>
        <v>0</v>
      </c>
      <c r="BG844" s="57">
        <f>IF(ISERROR(IF(B844=C844,V844/C844,(INT(V844/B844)+(((V844-B844*INT(V844/B844)))/C844)/100))),0,(IF(B844=C844,V844/C844,(INT(V844/B844)+(((V844-B844*INT(V844/B844)))/C844)/100))))</f>
        <v>0</v>
      </c>
      <c r="BH844" s="57">
        <f>IF(ISERROR(IF(B844=C844,W844/C844,(INT(W844/B844)+(((W844-B844*INT(W844/B844)))/C844)/100))),0,(IF(B844=C844,W844/C844,(INT(W844/B844)+(((W844-B844*INT(W844/B844)))/C844)/100))))</f>
        <v>0</v>
      </c>
      <c r="BI844" s="57">
        <f>IF(ISERROR(IF(B844=C844,X844/C844,(INT(X844/B844)+(((X844-B844*INT(X844/B844)))/C844)/100))),0,(IF(B844=C844,X844/C844,(INT(X844/B844)+(((X844-B844*INT(X844/B844)))/C844)/100))))</f>
        <v>0</v>
      </c>
      <c r="BJ844" s="57">
        <f>IF(ISERROR(IF(B844=C844,Y844/C844,(INT(Y844/B844)+(((Y844-B844*INT(Y844/B844)))/C844)/100))),0,(IF(B844=C844,Y844/C844,(INT(Y844/B844)+(((Y844-B844*INT(Y844/B844)))/C844)/100))))</f>
        <v>0</v>
      </c>
      <c r="BL844" s="57">
        <f>IF(ISERROR(IF(B844=C844,AA844/C844,(INT(AA844/B844)+(((AA844-B844*INT(AA844/B844)))/C844)/100))),0,(IF(B844=C844,AA844/C844,(INT(AA844/B844)+(((AA844-B844*INT(AA844/B844)))/C844)/100))))</f>
        <v>0</v>
      </c>
      <c r="BM844" s="57">
        <f>IF(ISERROR(IF(B844=C844,AB844/C844,(INT(AB844/B844)+(((AB844-B844*INT(AB844/B844)))/C844)/100))),0,(IF(B844=C844,AB844/C844,(INT(AB844/B844)+(((AB844-B844*INT(AB844/B844)))/C844)/100))))</f>
        <v>0</v>
      </c>
      <c r="BN844" s="57">
        <f>IF(ISERROR(IF(B844=C844,AC844/C844,(INT(AC844/B844)+(((AC844-B844*INT(AC844/B844)))/C844)/100))),0,(IF(B844=C844,AC844/C844,(INT(AC844/B844)+(((AC844-B844*INT(AC844/B844)))/C844)/100))))</f>
        <v>0</v>
      </c>
      <c r="BO844" s="57">
        <f>IF(ISERROR(IF(B844=C844,AD844/C844,(INT(AD844/B844)+(((AD844-B844*INT(AD844/B844)))/C844)/100))),0,(IF(B844=C844,AD844/C844,(INT(AD844/B844)+(((AD844-B844*INT(AD844/B844)))/C844)/100))))</f>
        <v>0</v>
      </c>
      <c r="BQ844" s="155"/>
    </row>
    <row r="845" spans="1:69" hidden="1" x14ac:dyDescent="0.35">
      <c r="A845" s="157"/>
      <c r="B845" s="113">
        <v>0</v>
      </c>
      <c r="C845" s="113">
        <v>0</v>
      </c>
      <c r="D845" s="28">
        <f>SUM(AA845:AD845)</f>
        <v>0</v>
      </c>
      <c r="E845" s="113">
        <v>0</v>
      </c>
      <c r="F845" s="113">
        <v>0</v>
      </c>
      <c r="G845" s="28">
        <f>SUM(D845:F845)</f>
        <v>0</v>
      </c>
      <c r="H845" s="125">
        <v>0</v>
      </c>
      <c r="I845" s="113">
        <v>0</v>
      </c>
      <c r="J845" s="125">
        <v>0</v>
      </c>
      <c r="K845" s="113">
        <v>0</v>
      </c>
      <c r="L845" s="113">
        <v>0</v>
      </c>
      <c r="M845" s="113">
        <v>0</v>
      </c>
      <c r="N845" s="28">
        <f>G845-SUM(H845:M845)</f>
        <v>0</v>
      </c>
      <c r="O845" s="28">
        <f>SUM(V845:Y845)</f>
        <v>0</v>
      </c>
      <c r="P845" s="28">
        <f>O845-N845</f>
        <v>0</v>
      </c>
      <c r="Q845" s="61" t="str">
        <f>IF(ISERROR(P845/SUM(H845:L845)),"",P845/SUM(H845:L845))</f>
        <v/>
      </c>
      <c r="R845" s="113">
        <v>0</v>
      </c>
      <c r="S845" s="28">
        <f>IF(ISERROR(P845/C845*R845),0,(P845/C845*R845))</f>
        <v>0</v>
      </c>
      <c r="T845" s="60">
        <f>IF(ISERROR(P845/B845*AF845),0,(P845/B845*AF845))</f>
        <v>0</v>
      </c>
      <c r="V845" s="113">
        <v>0</v>
      </c>
      <c r="W845" s="113">
        <v>0</v>
      </c>
      <c r="X845" s="113">
        <v>0</v>
      </c>
      <c r="Y845" s="113">
        <v>0</v>
      </c>
      <c r="AA845" s="113">
        <v>0</v>
      </c>
      <c r="AB845" s="113">
        <v>0</v>
      </c>
      <c r="AC845" s="113">
        <v>0</v>
      </c>
      <c r="AD845" s="113">
        <v>0</v>
      </c>
      <c r="AF845" s="113">
        <v>0</v>
      </c>
      <c r="AG845" s="28">
        <f>G845-O845</f>
        <v>0</v>
      </c>
      <c r="AH845" s="58">
        <f>IF(ISERROR(AG845/B845*AF845),0,(AG845/B845*AF845))</f>
        <v>0</v>
      </c>
      <c r="AI845" s="28">
        <f>SUM(H845:M845)</f>
        <v>0</v>
      </c>
      <c r="AJ845" s="28">
        <f>IF(ISERROR(AI845/B845*AF845),0,(AI845/B845*AF845))</f>
        <v>0</v>
      </c>
      <c r="AK845" s="58">
        <f>IF(ISERROR(O845/B845*AF845),0,(O845/B845*AF845))</f>
        <v>0</v>
      </c>
      <c r="AL845" s="28">
        <f>IF(ISERROR(H845/B845*AF845),0,(H845/B845*AF845))</f>
        <v>0</v>
      </c>
      <c r="AN845" s="51">
        <f>A845</f>
        <v>0</v>
      </c>
      <c r="AO845" s="57">
        <f>IF(ISERROR(IF(B845=C845,D845/C845,(INT(D845/B845)+(((D845-B845*INT(D845/B845)))/C845)/100))),0,(IF(B845=C845,D845/C845,(INT(D845/B845)+(((D845-B845*INT(D845/B845)))/C845)/100))))</f>
        <v>0</v>
      </c>
      <c r="AP845" s="57">
        <f>IF(ISERROR(IF(B845=C845,E845/C845,(INT(E845/B845)+(((E845-B845*INT(E845/B845)))/C845)/100))),0,(IF(B845=C845,E845/C845,(INT(E845/B845)+(((E845-B845*INT(E845/B845)))/C845)/100))))</f>
        <v>0</v>
      </c>
      <c r="AQ845" s="57">
        <f>IF(ISERROR(IF(B845=C845,F845/C845,IF((INT(F845/B845)+(((F845-B845*INT(F845/B845)))/C845)/100)&lt;0,(INT(F845/B845)+(((F845-B845*INT(F845/B845)))/C845)/100)+(1-(B845/C845/100)),(INT(F845/B845)+(((F845-B845*INT(F845/B845)))/C845)/100)))),0,IF(B845=C845,F845/C845,IF((INT(F845/B845)+(((F845-B845*INT(F845/B845)))/C845)/100)&lt;0,(INT(F845/B845)+(((F845-B845*INT(F845/B845)))/C845)/100)+(1-(B845/C845/100)),(INT(F845/B845)+(((F845-B845*INT(F845/B845)))/C845)/100))))</f>
        <v>0</v>
      </c>
      <c r="AR845" s="57">
        <f>IF(ISERROR(IF(B845=C845,G845/C845,(INT(G845/B845)+(((G845-B845*INT(G845/B845)))/C845)/100))),0,(IF(B845=C845,G845/C845,(INT(G845/B845)+(((G845-B845*INT(G845/B845)))/C845)/100))))</f>
        <v>0</v>
      </c>
      <c r="AS845" s="57">
        <f>IF(ISERROR(IF(B845=C845,H845/C845,(INT(H845/B845)+(((H845-B845*INT(H845/B845)))/C845)/100))),0,(IF(B845=C845,H845/C845,(INT(H845/B845)+(((H845-B845*INT(H845/B845)))/C845)/100))))</f>
        <v>0</v>
      </c>
      <c r="AT845" s="57">
        <f>IF(ISERROR(IF(B845=C845,I845/C845,(INT(I845/B845)+(((I845-B845*INT(I845/B845)))/C845)/100))),0,(IF(B845=C845,I845/C845,(INT(I845/B845)+(((I845-B845*INT(I845/B845)))/C845)/100))))</f>
        <v>0</v>
      </c>
      <c r="AU845" s="57">
        <f>IF(ISERROR(IF(B845=C845,J845/C845,(INT(J845/B845)+(((J845-B845*INT(J845/B845)))/C845)/100))),0,(IF(B845=C845,J845/C845,(INT(J845/B845)+(((J845-B845*INT(J845/B845)))/C845)/100))))</f>
        <v>0</v>
      </c>
      <c r="AV845" s="57">
        <f>IF(ISERROR(IF(B845=C845,K845/C845,IF((INT(K845/B845)+(((K845-B845*INT(K845/B845)))/C845)/100)&lt;0,(INT(K845/B845)+(((K845-B845*INT(K845/B845)))/C845)/100)+(1-(B845/C845/100)),(INT(K845/B845)+(((K845-B845*INT(K845/B845)))/C845)/100)))),0,IF(B845=C845,K845/C845,IF((INT(K845/B845)+(((K845-B845*INT(K845/B845)))/C845)/100)&lt;0,(INT(K845/B845)+(((K845-B845*INT(K845/B845)))/C845)/100)+(1-(B845/C845/100)),(INT(K845/B845)+(((K845-B845*INT(K845/B845)))/C845)/100))))</f>
        <v>0</v>
      </c>
      <c r="AW845" s="57">
        <f>IF(ISERROR(IF(B845=C845,L845/C845,(INT(L845/B845)+(((L845-B845*INT(L845/B845)))/C845)/100))),0,(IF(B845=C845,L845/C845,(INT(L845/B845)+(((L845-B845*INT(L845/B845)))/C845)/100))))</f>
        <v>0</v>
      </c>
      <c r="AX845" s="57">
        <f>IF(ISERROR(IF(B845=C845,M845/C845,(INT(M845/B845)+(((M845-B845*INT(M845/B845)))/C845)/100))),0,(IF(B845=C845,M845/C845,(INT(M845/B845)+(((M845-B845*INT(M845/B845)))/C845)/100))))</f>
        <v>0</v>
      </c>
      <c r="AY845" s="57">
        <f>IF(ISERROR(IF(B845=C845,N845/C845,IF((INT(N845/B845)+(((N845-B845*INT(N845/B845)))/C845)/100)&lt;0,(INT(N845/B845)+(((N845-B845*INT(N845/B845)))/C845)/100)+(1-(B845/C845/100)),(INT(N845/B845)+(((N845-B845*INT(N845/B845)))/C845)/100)))),0,IF(B845=C845,N845/C845,IF((INT(N845/B845)+(((N845-B845*INT(N845/B845)))/C845)/100)&lt;0,(INT(N845/B845)+(((N845-B845*INT(N845/B845)))/C845)/100)+(1-(B845/C845/100)),(INT(N845/B845)+(((N845-B845*INT(N845/B845)))/C845)/100))))</f>
        <v>0</v>
      </c>
      <c r="AZ845" s="57">
        <f>IF(ISERROR(IF(B845=C845,O845/C845,(INT(O845/B845)+(((O845-B845*INT(O845/B845)))/C845)/100))),0,(IF(B845=C845,O845/C845,(INT(O845/B845)+(((O845-B845*INT(O845/B845)))/C845)/100))))</f>
        <v>0</v>
      </c>
      <c r="BA845" s="57">
        <f>IF(ISERROR(IF(B845=C845,P845/C845,IF((INT(P845/B845)+(((P845-B845*INT(P845/B845)))/C845)/100)&lt;0,(INT(P845/B845)+(((P845-B845*INT(P845/B845)))/C845)/100)+(1-(B845/C845/100)),(INT(P845/B845)+(((P845-B845*INT(P845/B845)))/C845)/100)))),0,IF(B845=C845,P845/C845,IF((INT(P845/B845)+(((P845-B845*INT(P845/B845)))/C845)/100)&lt;0,(INT(P845/B845)+(((P845-B845*INT(P845/B845)))/C845)/100)+(1-(B845/C845/100)),(INT(P845/B845)+(((P845-B845*INT(P845/B845)))/C845)/100))))</f>
        <v>0</v>
      </c>
      <c r="BB845" s="28">
        <f>R845</f>
        <v>0</v>
      </c>
      <c r="BC845" s="28">
        <f>S845</f>
        <v>0</v>
      </c>
      <c r="BD845" s="28">
        <f>AF845</f>
        <v>0</v>
      </c>
      <c r="BE845" s="28">
        <f>T845</f>
        <v>0</v>
      </c>
      <c r="BG845" s="57">
        <f>IF(ISERROR(IF(B845=C845,V845/C845,(INT(V845/B845)+(((V845-B845*INT(V845/B845)))/C845)/100))),0,(IF(B845=C845,V845/C845,(INT(V845/B845)+(((V845-B845*INT(V845/B845)))/C845)/100))))</f>
        <v>0</v>
      </c>
      <c r="BH845" s="57">
        <f>IF(ISERROR(IF(B845=C845,W845/C845,(INT(W845/B845)+(((W845-B845*INT(W845/B845)))/C845)/100))),0,(IF(B845=C845,W845/C845,(INT(W845/B845)+(((W845-B845*INT(W845/B845)))/C845)/100))))</f>
        <v>0</v>
      </c>
      <c r="BI845" s="57">
        <f>IF(ISERROR(IF(B845=C845,X845/C845,(INT(X845/B845)+(((X845-B845*INT(X845/B845)))/C845)/100))),0,(IF(B845=C845,X845/C845,(INT(X845/B845)+(((X845-B845*INT(X845/B845)))/C845)/100))))</f>
        <v>0</v>
      </c>
      <c r="BJ845" s="57">
        <f>IF(ISERROR(IF(B845=C845,Y845/C845,(INT(Y845/B845)+(((Y845-B845*INT(Y845/B845)))/C845)/100))),0,(IF(B845=C845,Y845/C845,(INT(Y845/B845)+(((Y845-B845*INT(Y845/B845)))/C845)/100))))</f>
        <v>0</v>
      </c>
      <c r="BL845" s="57">
        <f>IF(ISERROR(IF(B845=C845,AA845/C845,(INT(AA845/B845)+(((AA845-B845*INT(AA845/B845)))/C845)/100))),0,(IF(B845=C845,AA845/C845,(INT(AA845/B845)+(((AA845-B845*INT(AA845/B845)))/C845)/100))))</f>
        <v>0</v>
      </c>
      <c r="BM845" s="57">
        <f>IF(ISERROR(IF(B845=C845,AB845/C845,(INT(AB845/B845)+(((AB845-B845*INT(AB845/B845)))/C845)/100))),0,(IF(B845=C845,AB845/C845,(INT(AB845/B845)+(((AB845-B845*INT(AB845/B845)))/C845)/100))))</f>
        <v>0</v>
      </c>
      <c r="BN845" s="57">
        <f>IF(ISERROR(IF(B845=C845,AC845/C845,(INT(AC845/B845)+(((AC845-B845*INT(AC845/B845)))/C845)/100))),0,(IF(B845=C845,AC845/C845,(INT(AC845/B845)+(((AC845-B845*INT(AC845/B845)))/C845)/100))))</f>
        <v>0</v>
      </c>
      <c r="BO845" s="57">
        <f>IF(ISERROR(IF(B845=C845,AD845/C845,(INT(AD845/B845)+(((AD845-B845*INT(AD845/B845)))/C845)/100))),0,(IF(B845=C845,AD845/C845,(INT(AD845/B845)+(((AD845-B845*INT(AD845/B845)))/C845)/100))))</f>
        <v>0</v>
      </c>
      <c r="BQ845" s="155"/>
    </row>
    <row r="846" spans="1:69" hidden="1" x14ac:dyDescent="0.35">
      <c r="A846" s="157"/>
      <c r="B846" s="113">
        <v>0</v>
      </c>
      <c r="C846" s="113">
        <v>0</v>
      </c>
      <c r="D846" s="28">
        <f>SUM(AA846:AD846)</f>
        <v>0</v>
      </c>
      <c r="E846" s="113">
        <v>0</v>
      </c>
      <c r="F846" s="113">
        <v>0</v>
      </c>
      <c r="G846" s="28">
        <f>SUM(D846:F846)</f>
        <v>0</v>
      </c>
      <c r="H846" s="125">
        <v>0</v>
      </c>
      <c r="I846" s="113">
        <v>0</v>
      </c>
      <c r="J846" s="125">
        <v>0</v>
      </c>
      <c r="K846" s="113">
        <v>0</v>
      </c>
      <c r="L846" s="113">
        <v>0</v>
      </c>
      <c r="M846" s="113">
        <v>0</v>
      </c>
      <c r="N846" s="28">
        <f>G846-SUM(H846:M846)</f>
        <v>0</v>
      </c>
      <c r="O846" s="28">
        <f>SUM(V846:Y846)</f>
        <v>0</v>
      </c>
      <c r="P846" s="28">
        <f>O846-N846</f>
        <v>0</v>
      </c>
      <c r="Q846" s="61" t="str">
        <f>IF(ISERROR(P846/SUM(H846:L846)),"",P846/SUM(H846:L846))</f>
        <v/>
      </c>
      <c r="R846" s="113">
        <v>0</v>
      </c>
      <c r="S846" s="28">
        <f>IF(ISERROR(P846/C846*R846),0,(P846/C846*R846))</f>
        <v>0</v>
      </c>
      <c r="T846" s="60">
        <f>IF(ISERROR(P846/B846*AF846),0,(P846/B846*AF846))</f>
        <v>0</v>
      </c>
      <c r="V846" s="113">
        <v>0</v>
      </c>
      <c r="W846" s="113">
        <v>0</v>
      </c>
      <c r="X846" s="113">
        <v>0</v>
      </c>
      <c r="Y846" s="113">
        <v>0</v>
      </c>
      <c r="AA846" s="113">
        <v>0</v>
      </c>
      <c r="AB846" s="113">
        <v>0</v>
      </c>
      <c r="AC846" s="113">
        <v>0</v>
      </c>
      <c r="AD846" s="113">
        <v>0</v>
      </c>
      <c r="AF846" s="113">
        <v>0</v>
      </c>
      <c r="AG846" s="28">
        <f>G846-O846</f>
        <v>0</v>
      </c>
      <c r="AH846" s="58">
        <f>IF(ISERROR(AG846/B846*AF846),0,(AG846/B846*AF846))</f>
        <v>0</v>
      </c>
      <c r="AI846" s="28">
        <f>SUM(H846:M846)</f>
        <v>0</v>
      </c>
      <c r="AJ846" s="28">
        <f>IF(ISERROR(AI846/B846*AF846),0,(AI846/B846*AF846))</f>
        <v>0</v>
      </c>
      <c r="AK846" s="58">
        <f>IF(ISERROR(O846/B846*AF846),0,(O846/B846*AF846))</f>
        <v>0</v>
      </c>
      <c r="AL846" s="28">
        <f>IF(ISERROR(H846/B846*AF846),0,(H846/B846*AF846))</f>
        <v>0</v>
      </c>
      <c r="AN846" s="51">
        <f>A846</f>
        <v>0</v>
      </c>
      <c r="AO846" s="57">
        <f>IF(ISERROR(IF(B846=C846,D846/C846,(INT(D846/B846)+(((D846-B846*INT(D846/B846)))/C846)/100))),0,(IF(B846=C846,D846/C846,(INT(D846/B846)+(((D846-B846*INT(D846/B846)))/C846)/100))))</f>
        <v>0</v>
      </c>
      <c r="AP846" s="57">
        <f>IF(ISERROR(IF(B846=C846,E846/C846,(INT(E846/B846)+(((E846-B846*INT(E846/B846)))/C846)/100))),0,(IF(B846=C846,E846/C846,(INT(E846/B846)+(((E846-B846*INT(E846/B846)))/C846)/100))))</f>
        <v>0</v>
      </c>
      <c r="AQ846" s="57">
        <f>IF(ISERROR(IF(B846=C846,F846/C846,IF((INT(F846/B846)+(((F846-B846*INT(F846/B846)))/C846)/100)&lt;0,(INT(F846/B846)+(((F846-B846*INT(F846/B846)))/C846)/100)+(1-(B846/C846/100)),(INT(F846/B846)+(((F846-B846*INT(F846/B846)))/C846)/100)))),0,IF(B846=C846,F846/C846,IF((INT(F846/B846)+(((F846-B846*INT(F846/B846)))/C846)/100)&lt;0,(INT(F846/B846)+(((F846-B846*INT(F846/B846)))/C846)/100)+(1-(B846/C846/100)),(INT(F846/B846)+(((F846-B846*INT(F846/B846)))/C846)/100))))</f>
        <v>0</v>
      </c>
      <c r="AR846" s="57">
        <f>IF(ISERROR(IF(B846=C846,G846/C846,(INT(G846/B846)+(((G846-B846*INT(G846/B846)))/C846)/100))),0,(IF(B846=C846,G846/C846,(INT(G846/B846)+(((G846-B846*INT(G846/B846)))/C846)/100))))</f>
        <v>0</v>
      </c>
      <c r="AS846" s="57">
        <f>IF(ISERROR(IF(B846=C846,H846/C846,(INT(H846/B846)+(((H846-B846*INT(H846/B846)))/C846)/100))),0,(IF(B846=C846,H846/C846,(INT(H846/B846)+(((H846-B846*INT(H846/B846)))/C846)/100))))</f>
        <v>0</v>
      </c>
      <c r="AT846" s="57">
        <f>IF(ISERROR(IF(B846=C846,I846/C846,(INT(I846/B846)+(((I846-B846*INT(I846/B846)))/C846)/100))),0,(IF(B846=C846,I846/C846,(INT(I846/B846)+(((I846-B846*INT(I846/B846)))/C846)/100))))</f>
        <v>0</v>
      </c>
      <c r="AU846" s="57">
        <f>IF(ISERROR(IF(B846=C846,J846/C846,(INT(J846/B846)+(((J846-B846*INT(J846/B846)))/C846)/100))),0,(IF(B846=C846,J846/C846,(INT(J846/B846)+(((J846-B846*INT(J846/B846)))/C846)/100))))</f>
        <v>0</v>
      </c>
      <c r="AV846" s="57">
        <f>IF(ISERROR(IF(B846=C846,K846/C846,IF((INT(K846/B846)+(((K846-B846*INT(K846/B846)))/C846)/100)&lt;0,(INT(K846/B846)+(((K846-B846*INT(K846/B846)))/C846)/100)+(1-(B846/C846/100)),(INT(K846/B846)+(((K846-B846*INT(K846/B846)))/C846)/100)))),0,IF(B846=C846,K846/C846,IF((INT(K846/B846)+(((K846-B846*INT(K846/B846)))/C846)/100)&lt;0,(INT(K846/B846)+(((K846-B846*INT(K846/B846)))/C846)/100)+(1-(B846/C846/100)),(INT(K846/B846)+(((K846-B846*INT(K846/B846)))/C846)/100))))</f>
        <v>0</v>
      </c>
      <c r="AW846" s="57">
        <f>IF(ISERROR(IF(B846=C846,L846/C846,(INT(L846/B846)+(((L846-B846*INT(L846/B846)))/C846)/100))),0,(IF(B846=C846,L846/C846,(INT(L846/B846)+(((L846-B846*INT(L846/B846)))/C846)/100))))</f>
        <v>0</v>
      </c>
      <c r="AX846" s="57">
        <f>IF(ISERROR(IF(B846=C846,M846/C846,(INT(M846/B846)+(((M846-B846*INT(M846/B846)))/C846)/100))),0,(IF(B846=C846,M846/C846,(INT(M846/B846)+(((M846-B846*INT(M846/B846)))/C846)/100))))</f>
        <v>0</v>
      </c>
      <c r="AY846" s="57">
        <f>IF(ISERROR(IF(B846=C846,N846/C846,IF((INT(N846/B846)+(((N846-B846*INT(N846/B846)))/C846)/100)&lt;0,(INT(N846/B846)+(((N846-B846*INT(N846/B846)))/C846)/100)+(1-(B846/C846/100)),(INT(N846/B846)+(((N846-B846*INT(N846/B846)))/C846)/100)))),0,IF(B846=C846,N846/C846,IF((INT(N846/B846)+(((N846-B846*INT(N846/B846)))/C846)/100)&lt;0,(INT(N846/B846)+(((N846-B846*INT(N846/B846)))/C846)/100)+(1-(B846/C846/100)),(INT(N846/B846)+(((N846-B846*INT(N846/B846)))/C846)/100))))</f>
        <v>0</v>
      </c>
      <c r="AZ846" s="57">
        <f>IF(ISERROR(IF(B846=C846,O846/C846,(INT(O846/B846)+(((O846-B846*INT(O846/B846)))/C846)/100))),0,(IF(B846=C846,O846/C846,(INT(O846/B846)+(((O846-B846*INT(O846/B846)))/C846)/100))))</f>
        <v>0</v>
      </c>
      <c r="BA846" s="57">
        <f>IF(ISERROR(IF(B846=C846,P846/C846,IF((INT(P846/B846)+(((P846-B846*INT(P846/B846)))/C846)/100)&lt;0,(INT(P846/B846)+(((P846-B846*INT(P846/B846)))/C846)/100)+(1-(B846/C846/100)),(INT(P846/B846)+(((P846-B846*INT(P846/B846)))/C846)/100)))),0,IF(B846=C846,P846/C846,IF((INT(P846/B846)+(((P846-B846*INT(P846/B846)))/C846)/100)&lt;0,(INT(P846/B846)+(((P846-B846*INT(P846/B846)))/C846)/100)+(1-(B846/C846/100)),(INT(P846/B846)+(((P846-B846*INT(P846/B846)))/C846)/100))))</f>
        <v>0</v>
      </c>
      <c r="BB846" s="28">
        <f>R846</f>
        <v>0</v>
      </c>
      <c r="BC846" s="28">
        <f>S846</f>
        <v>0</v>
      </c>
      <c r="BD846" s="28">
        <f>AF846</f>
        <v>0</v>
      </c>
      <c r="BE846" s="28">
        <f>T846</f>
        <v>0</v>
      </c>
      <c r="BG846" s="57">
        <f>IF(ISERROR(IF(B846=C846,V846/C846,(INT(V846/B846)+(((V846-B846*INT(V846/B846)))/C846)/100))),0,(IF(B846=C846,V846/C846,(INT(V846/B846)+(((V846-B846*INT(V846/B846)))/C846)/100))))</f>
        <v>0</v>
      </c>
      <c r="BH846" s="57">
        <f>IF(ISERROR(IF(B846=C846,W846/C846,(INT(W846/B846)+(((W846-B846*INT(W846/B846)))/C846)/100))),0,(IF(B846=C846,W846/C846,(INT(W846/B846)+(((W846-B846*INT(W846/B846)))/C846)/100))))</f>
        <v>0</v>
      </c>
      <c r="BI846" s="57">
        <f>IF(ISERROR(IF(B846=C846,X846/C846,(INT(X846/B846)+(((X846-B846*INT(X846/B846)))/C846)/100))),0,(IF(B846=C846,X846/C846,(INT(X846/B846)+(((X846-B846*INT(X846/B846)))/C846)/100))))</f>
        <v>0</v>
      </c>
      <c r="BJ846" s="57">
        <f>IF(ISERROR(IF(B846=C846,Y846/C846,(INT(Y846/B846)+(((Y846-B846*INT(Y846/B846)))/C846)/100))),0,(IF(B846=C846,Y846/C846,(INT(Y846/B846)+(((Y846-B846*INT(Y846/B846)))/C846)/100))))</f>
        <v>0</v>
      </c>
      <c r="BL846" s="57">
        <f>IF(ISERROR(IF(B846=C846,AA846/C846,(INT(AA846/B846)+(((AA846-B846*INT(AA846/B846)))/C846)/100))),0,(IF(B846=C846,AA846/C846,(INT(AA846/B846)+(((AA846-B846*INT(AA846/B846)))/C846)/100))))</f>
        <v>0</v>
      </c>
      <c r="BM846" s="57">
        <f>IF(ISERROR(IF(B846=C846,AB846/C846,(INT(AB846/B846)+(((AB846-B846*INT(AB846/B846)))/C846)/100))),0,(IF(B846=C846,AB846/C846,(INT(AB846/B846)+(((AB846-B846*INT(AB846/B846)))/C846)/100))))</f>
        <v>0</v>
      </c>
      <c r="BN846" s="57">
        <f>IF(ISERROR(IF(B846=C846,AC846/C846,(INT(AC846/B846)+(((AC846-B846*INT(AC846/B846)))/C846)/100))),0,(IF(B846=C846,AC846/C846,(INT(AC846/B846)+(((AC846-B846*INT(AC846/B846)))/C846)/100))))</f>
        <v>0</v>
      </c>
      <c r="BO846" s="57">
        <f>IF(ISERROR(IF(B846=C846,AD846/C846,(INT(AD846/B846)+(((AD846-B846*INT(AD846/B846)))/C846)/100))),0,(IF(B846=C846,AD846/C846,(INT(AD846/B846)+(((AD846-B846*INT(AD846/B846)))/C846)/100))))</f>
        <v>0</v>
      </c>
      <c r="BQ846" s="155"/>
    </row>
    <row r="847" spans="1:69" hidden="1" x14ac:dyDescent="0.35">
      <c r="A847" s="157"/>
      <c r="B847" s="113">
        <v>0</v>
      </c>
      <c r="C847" s="113">
        <v>0</v>
      </c>
      <c r="D847" s="28">
        <f>SUM(AA847:AD847)</f>
        <v>0</v>
      </c>
      <c r="E847" s="113">
        <v>0</v>
      </c>
      <c r="F847" s="113">
        <v>0</v>
      </c>
      <c r="G847" s="28">
        <f>SUM(D847:F847)</f>
        <v>0</v>
      </c>
      <c r="H847" s="125">
        <v>0</v>
      </c>
      <c r="I847" s="113">
        <v>0</v>
      </c>
      <c r="J847" s="125">
        <v>0</v>
      </c>
      <c r="K847" s="113">
        <v>0</v>
      </c>
      <c r="L847" s="113">
        <v>0</v>
      </c>
      <c r="M847" s="113">
        <v>0</v>
      </c>
      <c r="N847" s="28">
        <f>G847-SUM(H847:M847)</f>
        <v>0</v>
      </c>
      <c r="O847" s="28">
        <f>SUM(V847:Y847)</f>
        <v>0</v>
      </c>
      <c r="P847" s="28">
        <f>O847-N847</f>
        <v>0</v>
      </c>
      <c r="Q847" s="61" t="str">
        <f>IF(ISERROR(P847/SUM(H847:L847)),"",P847/SUM(H847:L847))</f>
        <v/>
      </c>
      <c r="R847" s="113">
        <v>0</v>
      </c>
      <c r="S847" s="28">
        <f>IF(ISERROR(P847/C847*R847),0,(P847/C847*R847))</f>
        <v>0</v>
      </c>
      <c r="T847" s="60">
        <f>IF(ISERROR(P847/B847*AF847),0,(P847/B847*AF847))</f>
        <v>0</v>
      </c>
      <c r="V847" s="113">
        <v>0</v>
      </c>
      <c r="W847" s="113">
        <v>0</v>
      </c>
      <c r="X847" s="113">
        <v>0</v>
      </c>
      <c r="Y847" s="113">
        <v>0</v>
      </c>
      <c r="AA847" s="113">
        <v>0</v>
      </c>
      <c r="AB847" s="113">
        <v>0</v>
      </c>
      <c r="AC847" s="113">
        <v>0</v>
      </c>
      <c r="AD847" s="113">
        <v>0</v>
      </c>
      <c r="AF847" s="113">
        <v>0</v>
      </c>
      <c r="AG847" s="28">
        <f>G847-O847</f>
        <v>0</v>
      </c>
      <c r="AH847" s="58">
        <f>IF(ISERROR(AG847/B847*AF847),0,(AG847/B847*AF847))</f>
        <v>0</v>
      </c>
      <c r="AI847" s="28">
        <f>SUM(H847:M847)</f>
        <v>0</v>
      </c>
      <c r="AJ847" s="28">
        <f>IF(ISERROR(AI847/B847*AF847),0,(AI847/B847*AF847))</f>
        <v>0</v>
      </c>
      <c r="AK847" s="58">
        <f>IF(ISERROR(O847/B847*AF847),0,(O847/B847*AF847))</f>
        <v>0</v>
      </c>
      <c r="AL847" s="28">
        <f>IF(ISERROR(H847/B847*AF847),0,(H847/B847*AF847))</f>
        <v>0</v>
      </c>
      <c r="AN847" s="51">
        <f>A847</f>
        <v>0</v>
      </c>
      <c r="AO847" s="57">
        <f>IF(ISERROR(IF(B847=C847,D847/C847,(INT(D847/B847)+(((D847-B847*INT(D847/B847)))/C847)/100))),0,(IF(B847=C847,D847/C847,(INT(D847/B847)+(((D847-B847*INT(D847/B847)))/C847)/100))))</f>
        <v>0</v>
      </c>
      <c r="AP847" s="57">
        <f>IF(ISERROR(IF(B847=C847,E847/C847,(INT(E847/B847)+(((E847-B847*INT(E847/B847)))/C847)/100))),0,(IF(B847=C847,E847/C847,(INT(E847/B847)+(((E847-B847*INT(E847/B847)))/C847)/100))))</f>
        <v>0</v>
      </c>
      <c r="AQ847" s="57">
        <f>IF(ISERROR(IF(B847=C847,F847/C847,IF((INT(F847/B847)+(((F847-B847*INT(F847/B847)))/C847)/100)&lt;0,(INT(F847/B847)+(((F847-B847*INT(F847/B847)))/C847)/100)+(1-(B847/C847/100)),(INT(F847/B847)+(((F847-B847*INT(F847/B847)))/C847)/100)))),0,IF(B847=C847,F847/C847,IF((INT(F847/B847)+(((F847-B847*INT(F847/B847)))/C847)/100)&lt;0,(INT(F847/B847)+(((F847-B847*INT(F847/B847)))/C847)/100)+(1-(B847/C847/100)),(INT(F847/B847)+(((F847-B847*INT(F847/B847)))/C847)/100))))</f>
        <v>0</v>
      </c>
      <c r="AR847" s="57">
        <f>IF(ISERROR(IF(B847=C847,G847/C847,(INT(G847/B847)+(((G847-B847*INT(G847/B847)))/C847)/100))),0,(IF(B847=C847,G847/C847,(INT(G847/B847)+(((G847-B847*INT(G847/B847)))/C847)/100))))</f>
        <v>0</v>
      </c>
      <c r="AS847" s="57">
        <f>IF(ISERROR(IF(B847=C847,H847/C847,(INT(H847/B847)+(((H847-B847*INT(H847/B847)))/C847)/100))),0,(IF(B847=C847,H847/C847,(INT(H847/B847)+(((H847-B847*INT(H847/B847)))/C847)/100))))</f>
        <v>0</v>
      </c>
      <c r="AT847" s="57">
        <f>IF(ISERROR(IF(B847=C847,I847/C847,(INT(I847/B847)+(((I847-B847*INT(I847/B847)))/C847)/100))),0,(IF(B847=C847,I847/C847,(INT(I847/B847)+(((I847-B847*INT(I847/B847)))/C847)/100))))</f>
        <v>0</v>
      </c>
      <c r="AU847" s="57">
        <f>IF(ISERROR(IF(B847=C847,J847/C847,(INT(J847/B847)+(((J847-B847*INT(J847/B847)))/C847)/100))),0,(IF(B847=C847,J847/C847,(INT(J847/B847)+(((J847-B847*INT(J847/B847)))/C847)/100))))</f>
        <v>0</v>
      </c>
      <c r="AV847" s="57">
        <f>IF(ISERROR(IF(B847=C847,K847/C847,IF((INT(K847/B847)+(((K847-B847*INT(K847/B847)))/C847)/100)&lt;0,(INT(K847/B847)+(((K847-B847*INT(K847/B847)))/C847)/100)+(1-(B847/C847/100)),(INT(K847/B847)+(((K847-B847*INT(K847/B847)))/C847)/100)))),0,IF(B847=C847,K847/C847,IF((INT(K847/B847)+(((K847-B847*INT(K847/B847)))/C847)/100)&lt;0,(INT(K847/B847)+(((K847-B847*INT(K847/B847)))/C847)/100)+(1-(B847/C847/100)),(INT(K847/B847)+(((K847-B847*INT(K847/B847)))/C847)/100))))</f>
        <v>0</v>
      </c>
      <c r="AW847" s="57">
        <f>IF(ISERROR(IF(B847=C847,L847/C847,(INT(L847/B847)+(((L847-B847*INT(L847/B847)))/C847)/100))),0,(IF(B847=C847,L847/C847,(INT(L847/B847)+(((L847-B847*INT(L847/B847)))/C847)/100))))</f>
        <v>0</v>
      </c>
      <c r="AX847" s="57">
        <f>IF(ISERROR(IF(B847=C847,M847/C847,(INT(M847/B847)+(((M847-B847*INT(M847/B847)))/C847)/100))),0,(IF(B847=C847,M847/C847,(INT(M847/B847)+(((M847-B847*INT(M847/B847)))/C847)/100))))</f>
        <v>0</v>
      </c>
      <c r="AY847" s="57">
        <f>IF(ISERROR(IF(B847=C847,N847/C847,IF((INT(N847/B847)+(((N847-B847*INT(N847/B847)))/C847)/100)&lt;0,(INT(N847/B847)+(((N847-B847*INT(N847/B847)))/C847)/100)+(1-(B847/C847/100)),(INT(N847/B847)+(((N847-B847*INT(N847/B847)))/C847)/100)))),0,IF(B847=C847,N847/C847,IF((INT(N847/B847)+(((N847-B847*INT(N847/B847)))/C847)/100)&lt;0,(INT(N847/B847)+(((N847-B847*INT(N847/B847)))/C847)/100)+(1-(B847/C847/100)),(INT(N847/B847)+(((N847-B847*INT(N847/B847)))/C847)/100))))</f>
        <v>0</v>
      </c>
      <c r="AZ847" s="57">
        <f>IF(ISERROR(IF(B847=C847,O847/C847,(INT(O847/B847)+(((O847-B847*INT(O847/B847)))/C847)/100))),0,(IF(B847=C847,O847/C847,(INT(O847/B847)+(((O847-B847*INT(O847/B847)))/C847)/100))))</f>
        <v>0</v>
      </c>
      <c r="BA847" s="57">
        <f>IF(ISERROR(IF(B847=C847,P847/C847,IF((INT(P847/B847)+(((P847-B847*INT(P847/B847)))/C847)/100)&lt;0,(INT(P847/B847)+(((P847-B847*INT(P847/B847)))/C847)/100)+(1-(B847/C847/100)),(INT(P847/B847)+(((P847-B847*INT(P847/B847)))/C847)/100)))),0,IF(B847=C847,P847/C847,IF((INT(P847/B847)+(((P847-B847*INT(P847/B847)))/C847)/100)&lt;0,(INT(P847/B847)+(((P847-B847*INT(P847/B847)))/C847)/100)+(1-(B847/C847/100)),(INT(P847/B847)+(((P847-B847*INT(P847/B847)))/C847)/100))))</f>
        <v>0</v>
      </c>
      <c r="BB847" s="28">
        <f>R847</f>
        <v>0</v>
      </c>
      <c r="BC847" s="28">
        <f>S847</f>
        <v>0</v>
      </c>
      <c r="BD847" s="28">
        <f>AF847</f>
        <v>0</v>
      </c>
      <c r="BE847" s="28">
        <f>T847</f>
        <v>0</v>
      </c>
      <c r="BG847" s="57">
        <f>IF(ISERROR(IF(B847=C847,V847/C847,(INT(V847/B847)+(((V847-B847*INT(V847/B847)))/C847)/100))),0,(IF(B847=C847,V847/C847,(INT(V847/B847)+(((V847-B847*INT(V847/B847)))/C847)/100))))</f>
        <v>0</v>
      </c>
      <c r="BH847" s="57">
        <f>IF(ISERROR(IF(B847=C847,W847/C847,(INT(W847/B847)+(((W847-B847*INT(W847/B847)))/C847)/100))),0,(IF(B847=C847,W847/C847,(INT(W847/B847)+(((W847-B847*INT(W847/B847)))/C847)/100))))</f>
        <v>0</v>
      </c>
      <c r="BI847" s="57">
        <f>IF(ISERROR(IF(B847=C847,X847/C847,(INT(X847/B847)+(((X847-B847*INT(X847/B847)))/C847)/100))),0,(IF(B847=C847,X847/C847,(INT(X847/B847)+(((X847-B847*INT(X847/B847)))/C847)/100))))</f>
        <v>0</v>
      </c>
      <c r="BJ847" s="57">
        <f>IF(ISERROR(IF(B847=C847,Y847/C847,(INT(Y847/B847)+(((Y847-B847*INT(Y847/B847)))/C847)/100))),0,(IF(B847=C847,Y847/C847,(INT(Y847/B847)+(((Y847-B847*INT(Y847/B847)))/C847)/100))))</f>
        <v>0</v>
      </c>
      <c r="BL847" s="57">
        <f>IF(ISERROR(IF(B847=C847,AA847/C847,(INT(AA847/B847)+(((AA847-B847*INT(AA847/B847)))/C847)/100))),0,(IF(B847=C847,AA847/C847,(INT(AA847/B847)+(((AA847-B847*INT(AA847/B847)))/C847)/100))))</f>
        <v>0</v>
      </c>
      <c r="BM847" s="57">
        <f>IF(ISERROR(IF(B847=C847,AB847/C847,(INT(AB847/B847)+(((AB847-B847*INT(AB847/B847)))/C847)/100))),0,(IF(B847=C847,AB847/C847,(INT(AB847/B847)+(((AB847-B847*INT(AB847/B847)))/C847)/100))))</f>
        <v>0</v>
      </c>
      <c r="BN847" s="57">
        <f>IF(ISERROR(IF(B847=C847,AC847/C847,(INT(AC847/B847)+(((AC847-B847*INT(AC847/B847)))/C847)/100))),0,(IF(B847=C847,AC847/C847,(INT(AC847/B847)+(((AC847-B847*INT(AC847/B847)))/C847)/100))))</f>
        <v>0</v>
      </c>
      <c r="BO847" s="57">
        <f>IF(ISERROR(IF(B847=C847,AD847/C847,(INT(AD847/B847)+(((AD847-B847*INT(AD847/B847)))/C847)/100))),0,(IF(B847=C847,AD847/C847,(INT(AD847/B847)+(((AD847-B847*INT(AD847/B847)))/C847)/100))))</f>
        <v>0</v>
      </c>
      <c r="BQ847" s="155"/>
    </row>
    <row r="848" spans="1:69" hidden="1" x14ac:dyDescent="0.35">
      <c r="A848" s="157"/>
      <c r="B848" s="113">
        <v>0</v>
      </c>
      <c r="C848" s="113">
        <v>0</v>
      </c>
      <c r="D848" s="28">
        <f>SUM(AA848:AD848)</f>
        <v>0</v>
      </c>
      <c r="E848" s="113">
        <v>0</v>
      </c>
      <c r="F848" s="113">
        <v>0</v>
      </c>
      <c r="G848" s="28">
        <f>SUM(D848:F848)</f>
        <v>0</v>
      </c>
      <c r="H848" s="125">
        <v>0</v>
      </c>
      <c r="I848" s="113">
        <v>0</v>
      </c>
      <c r="J848" s="125">
        <v>0</v>
      </c>
      <c r="K848" s="113">
        <v>0</v>
      </c>
      <c r="L848" s="113">
        <v>0</v>
      </c>
      <c r="M848" s="113">
        <v>0</v>
      </c>
      <c r="N848" s="28">
        <f>G848-SUM(H848:M848)</f>
        <v>0</v>
      </c>
      <c r="O848" s="28">
        <f>SUM(V848:Y848)</f>
        <v>0</v>
      </c>
      <c r="P848" s="28">
        <f>O848-N848</f>
        <v>0</v>
      </c>
      <c r="Q848" s="61" t="str">
        <f>IF(ISERROR(P848/SUM(H848:L848)),"",P848/SUM(H848:L848))</f>
        <v/>
      </c>
      <c r="R848" s="113">
        <v>0</v>
      </c>
      <c r="S848" s="28">
        <f>IF(ISERROR(P848/C848*R848),0,(P848/C848*R848))</f>
        <v>0</v>
      </c>
      <c r="T848" s="60">
        <f>IF(ISERROR(P848/B848*AF848),0,(P848/B848*AF848))</f>
        <v>0</v>
      </c>
      <c r="V848" s="113">
        <v>0</v>
      </c>
      <c r="W848" s="113">
        <v>0</v>
      </c>
      <c r="X848" s="113">
        <v>0</v>
      </c>
      <c r="Y848" s="113">
        <v>0</v>
      </c>
      <c r="AA848" s="113">
        <v>0</v>
      </c>
      <c r="AB848" s="113">
        <v>0</v>
      </c>
      <c r="AC848" s="113">
        <v>0</v>
      </c>
      <c r="AD848" s="113">
        <v>0</v>
      </c>
      <c r="AF848" s="113">
        <v>0</v>
      </c>
      <c r="AG848" s="28">
        <f>G848-O848</f>
        <v>0</v>
      </c>
      <c r="AH848" s="58">
        <f>IF(ISERROR(AG848/B848*AF848),0,(AG848/B848*AF848))</f>
        <v>0</v>
      </c>
      <c r="AI848" s="28">
        <f>SUM(H848:M848)</f>
        <v>0</v>
      </c>
      <c r="AJ848" s="28">
        <f>IF(ISERROR(AI848/B848*AF848),0,(AI848/B848*AF848))</f>
        <v>0</v>
      </c>
      <c r="AK848" s="58">
        <f>IF(ISERROR(O848/B848*AF848),0,(O848/B848*AF848))</f>
        <v>0</v>
      </c>
      <c r="AL848" s="28">
        <f>IF(ISERROR(H848/B848*AF848),0,(H848/B848*AF848))</f>
        <v>0</v>
      </c>
      <c r="AN848" s="51">
        <f>A848</f>
        <v>0</v>
      </c>
      <c r="AO848" s="57">
        <f>IF(ISERROR(IF(B848=C848,D848/C848,(INT(D848/B848)+(((D848-B848*INT(D848/B848)))/C848)/100))),0,(IF(B848=C848,D848/C848,(INT(D848/B848)+(((D848-B848*INT(D848/B848)))/C848)/100))))</f>
        <v>0</v>
      </c>
      <c r="AP848" s="57">
        <f>IF(ISERROR(IF(B848=C848,E848/C848,(INT(E848/B848)+(((E848-B848*INT(E848/B848)))/C848)/100))),0,(IF(B848=C848,E848/C848,(INT(E848/B848)+(((E848-B848*INT(E848/B848)))/C848)/100))))</f>
        <v>0</v>
      </c>
      <c r="AQ848" s="57">
        <f>IF(ISERROR(IF(B848=C848,F848/C848,IF((INT(F848/B848)+(((F848-B848*INT(F848/B848)))/C848)/100)&lt;0,(INT(F848/B848)+(((F848-B848*INT(F848/B848)))/C848)/100)+(1-(B848/C848/100)),(INT(F848/B848)+(((F848-B848*INT(F848/B848)))/C848)/100)))),0,IF(B848=C848,F848/C848,IF((INT(F848/B848)+(((F848-B848*INT(F848/B848)))/C848)/100)&lt;0,(INT(F848/B848)+(((F848-B848*INT(F848/B848)))/C848)/100)+(1-(B848/C848/100)),(INT(F848/B848)+(((F848-B848*INT(F848/B848)))/C848)/100))))</f>
        <v>0</v>
      </c>
      <c r="AR848" s="57">
        <f>IF(ISERROR(IF(B848=C848,G848/C848,(INT(G848/B848)+(((G848-B848*INT(G848/B848)))/C848)/100))),0,(IF(B848=C848,G848/C848,(INT(G848/B848)+(((G848-B848*INT(G848/B848)))/C848)/100))))</f>
        <v>0</v>
      </c>
      <c r="AS848" s="57">
        <f>IF(ISERROR(IF(B848=C848,H848/C848,(INT(H848/B848)+(((H848-B848*INT(H848/B848)))/C848)/100))),0,(IF(B848=C848,H848/C848,(INT(H848/B848)+(((H848-B848*INT(H848/B848)))/C848)/100))))</f>
        <v>0</v>
      </c>
      <c r="AT848" s="57">
        <f>IF(ISERROR(IF(B848=C848,I848/C848,(INT(I848/B848)+(((I848-B848*INT(I848/B848)))/C848)/100))),0,(IF(B848=C848,I848/C848,(INT(I848/B848)+(((I848-B848*INT(I848/B848)))/C848)/100))))</f>
        <v>0</v>
      </c>
      <c r="AU848" s="57">
        <f>IF(ISERROR(IF(B848=C848,J848/C848,(INT(J848/B848)+(((J848-B848*INT(J848/B848)))/C848)/100))),0,(IF(B848=C848,J848/C848,(INT(J848/B848)+(((J848-B848*INT(J848/B848)))/C848)/100))))</f>
        <v>0</v>
      </c>
      <c r="AV848" s="57">
        <f>IF(ISERROR(IF(B848=C848,K848/C848,IF((INT(K848/B848)+(((K848-B848*INT(K848/B848)))/C848)/100)&lt;0,(INT(K848/B848)+(((K848-B848*INT(K848/B848)))/C848)/100)+(1-(B848/C848/100)),(INT(K848/B848)+(((K848-B848*INT(K848/B848)))/C848)/100)))),0,IF(B848=C848,K848/C848,IF((INT(K848/B848)+(((K848-B848*INT(K848/B848)))/C848)/100)&lt;0,(INT(K848/B848)+(((K848-B848*INT(K848/B848)))/C848)/100)+(1-(B848/C848/100)),(INT(K848/B848)+(((K848-B848*INT(K848/B848)))/C848)/100))))</f>
        <v>0</v>
      </c>
      <c r="AW848" s="57">
        <f>IF(ISERROR(IF(B848=C848,L848/C848,(INT(L848/B848)+(((L848-B848*INT(L848/B848)))/C848)/100))),0,(IF(B848=C848,L848/C848,(INT(L848/B848)+(((L848-B848*INT(L848/B848)))/C848)/100))))</f>
        <v>0</v>
      </c>
      <c r="AX848" s="57">
        <f>IF(ISERROR(IF(B848=C848,M848/C848,(INT(M848/B848)+(((M848-B848*INT(M848/B848)))/C848)/100))),0,(IF(B848=C848,M848/C848,(INT(M848/B848)+(((M848-B848*INT(M848/B848)))/C848)/100))))</f>
        <v>0</v>
      </c>
      <c r="AY848" s="57">
        <f>IF(ISERROR(IF(B848=C848,N848/C848,IF((INT(N848/B848)+(((N848-B848*INT(N848/B848)))/C848)/100)&lt;0,(INT(N848/B848)+(((N848-B848*INT(N848/B848)))/C848)/100)+(1-(B848/C848/100)),(INT(N848/B848)+(((N848-B848*INT(N848/B848)))/C848)/100)))),0,IF(B848=C848,N848/C848,IF((INT(N848/B848)+(((N848-B848*INT(N848/B848)))/C848)/100)&lt;0,(INT(N848/B848)+(((N848-B848*INT(N848/B848)))/C848)/100)+(1-(B848/C848/100)),(INT(N848/B848)+(((N848-B848*INT(N848/B848)))/C848)/100))))</f>
        <v>0</v>
      </c>
      <c r="AZ848" s="57">
        <f>IF(ISERROR(IF(B848=C848,O848/C848,(INT(O848/B848)+(((O848-B848*INT(O848/B848)))/C848)/100))),0,(IF(B848=C848,O848/C848,(INT(O848/B848)+(((O848-B848*INT(O848/B848)))/C848)/100))))</f>
        <v>0</v>
      </c>
      <c r="BA848" s="57">
        <f>IF(ISERROR(IF(B848=C848,P848/C848,IF((INT(P848/B848)+(((P848-B848*INT(P848/B848)))/C848)/100)&lt;0,(INT(P848/B848)+(((P848-B848*INT(P848/B848)))/C848)/100)+(1-(B848/C848/100)),(INT(P848/B848)+(((P848-B848*INT(P848/B848)))/C848)/100)))),0,IF(B848=C848,P848/C848,IF((INT(P848/B848)+(((P848-B848*INT(P848/B848)))/C848)/100)&lt;0,(INT(P848/B848)+(((P848-B848*INT(P848/B848)))/C848)/100)+(1-(B848/C848/100)),(INT(P848/B848)+(((P848-B848*INT(P848/B848)))/C848)/100))))</f>
        <v>0</v>
      </c>
      <c r="BB848" s="28">
        <f>R848</f>
        <v>0</v>
      </c>
      <c r="BC848" s="28">
        <f>S848</f>
        <v>0</v>
      </c>
      <c r="BD848" s="28">
        <f>AF848</f>
        <v>0</v>
      </c>
      <c r="BE848" s="28">
        <f>T848</f>
        <v>0</v>
      </c>
      <c r="BG848" s="57">
        <f>IF(ISERROR(IF(B848=C848,V848/C848,(INT(V848/B848)+(((V848-B848*INT(V848/B848)))/C848)/100))),0,(IF(B848=C848,V848/C848,(INT(V848/B848)+(((V848-B848*INT(V848/B848)))/C848)/100))))</f>
        <v>0</v>
      </c>
      <c r="BH848" s="57">
        <f>IF(ISERROR(IF(B848=C848,W848/C848,(INT(W848/B848)+(((W848-B848*INT(W848/B848)))/C848)/100))),0,(IF(B848=C848,W848/C848,(INT(W848/B848)+(((W848-B848*INT(W848/B848)))/C848)/100))))</f>
        <v>0</v>
      </c>
      <c r="BI848" s="57">
        <f>IF(ISERROR(IF(B848=C848,X848/C848,(INT(X848/B848)+(((X848-B848*INT(X848/B848)))/C848)/100))),0,(IF(B848=C848,X848/C848,(INT(X848/B848)+(((X848-B848*INT(X848/B848)))/C848)/100))))</f>
        <v>0</v>
      </c>
      <c r="BJ848" s="57">
        <f>IF(ISERROR(IF(B848=C848,Y848/C848,(INT(Y848/B848)+(((Y848-B848*INT(Y848/B848)))/C848)/100))),0,(IF(B848=C848,Y848/C848,(INT(Y848/B848)+(((Y848-B848*INT(Y848/B848)))/C848)/100))))</f>
        <v>0</v>
      </c>
      <c r="BL848" s="57">
        <f>IF(ISERROR(IF(B848=C848,AA848/C848,(INT(AA848/B848)+(((AA848-B848*INT(AA848/B848)))/C848)/100))),0,(IF(B848=C848,AA848/C848,(INT(AA848/B848)+(((AA848-B848*INT(AA848/B848)))/C848)/100))))</f>
        <v>0</v>
      </c>
      <c r="BM848" s="57">
        <f>IF(ISERROR(IF(B848=C848,AB848/C848,(INT(AB848/B848)+(((AB848-B848*INT(AB848/B848)))/C848)/100))),0,(IF(B848=C848,AB848/C848,(INT(AB848/B848)+(((AB848-B848*INT(AB848/B848)))/C848)/100))))</f>
        <v>0</v>
      </c>
      <c r="BN848" s="57">
        <f>IF(ISERROR(IF(B848=C848,AC848/C848,(INT(AC848/B848)+(((AC848-B848*INT(AC848/B848)))/C848)/100))),0,(IF(B848=C848,AC848/C848,(INT(AC848/B848)+(((AC848-B848*INT(AC848/B848)))/C848)/100))))</f>
        <v>0</v>
      </c>
      <c r="BO848" s="57">
        <f>IF(ISERROR(IF(B848=C848,AD848/C848,(INT(AD848/B848)+(((AD848-B848*INT(AD848/B848)))/C848)/100))),0,(IF(B848=C848,AD848/C848,(INT(AD848/B848)+(((AD848-B848*INT(AD848/B848)))/C848)/100))))</f>
        <v>0</v>
      </c>
      <c r="BQ848" s="155"/>
    </row>
    <row r="849" spans="1:69" hidden="1" x14ac:dyDescent="0.35">
      <c r="A849" s="157"/>
      <c r="B849" s="113">
        <v>0</v>
      </c>
      <c r="C849" s="113">
        <v>0</v>
      </c>
      <c r="D849" s="28">
        <f>SUM(AA849:AD849)</f>
        <v>0</v>
      </c>
      <c r="E849" s="113">
        <v>0</v>
      </c>
      <c r="F849" s="113">
        <v>0</v>
      </c>
      <c r="G849" s="28">
        <f>SUM(D849:F849)</f>
        <v>0</v>
      </c>
      <c r="H849" s="125">
        <v>0</v>
      </c>
      <c r="I849" s="113">
        <v>0</v>
      </c>
      <c r="J849" s="125">
        <v>0</v>
      </c>
      <c r="K849" s="113">
        <v>0</v>
      </c>
      <c r="L849" s="113">
        <v>0</v>
      </c>
      <c r="M849" s="113">
        <v>0</v>
      </c>
      <c r="N849" s="28">
        <f>G849-SUM(H849:M849)</f>
        <v>0</v>
      </c>
      <c r="O849" s="28">
        <f>SUM(V849:Y849)</f>
        <v>0</v>
      </c>
      <c r="P849" s="28">
        <f>O849-N849</f>
        <v>0</v>
      </c>
      <c r="Q849" s="61" t="str">
        <f>IF(ISERROR(P849/SUM(H849:L849)),"",P849/SUM(H849:L849))</f>
        <v/>
      </c>
      <c r="R849" s="113">
        <v>0</v>
      </c>
      <c r="S849" s="28">
        <f>IF(ISERROR(P849/C849*R849),0,(P849/C849*R849))</f>
        <v>0</v>
      </c>
      <c r="T849" s="60">
        <f>IF(ISERROR(P849/B849*AF849),0,(P849/B849*AF849))</f>
        <v>0</v>
      </c>
      <c r="V849" s="113">
        <v>0</v>
      </c>
      <c r="W849" s="113">
        <v>0</v>
      </c>
      <c r="X849" s="113">
        <v>0</v>
      </c>
      <c r="Y849" s="113">
        <v>0</v>
      </c>
      <c r="AA849" s="113">
        <v>0</v>
      </c>
      <c r="AB849" s="113">
        <v>0</v>
      </c>
      <c r="AC849" s="113">
        <v>0</v>
      </c>
      <c r="AD849" s="113">
        <v>0</v>
      </c>
      <c r="AF849" s="113">
        <v>0</v>
      </c>
      <c r="AG849" s="28">
        <f>G849-O849</f>
        <v>0</v>
      </c>
      <c r="AH849" s="58">
        <f>IF(ISERROR(AG849/B849*AF849),0,(AG849/B849*AF849))</f>
        <v>0</v>
      </c>
      <c r="AI849" s="28">
        <f>SUM(H849:M849)</f>
        <v>0</v>
      </c>
      <c r="AJ849" s="28">
        <f>IF(ISERROR(AI849/B849*AF849),0,(AI849/B849*AF849))</f>
        <v>0</v>
      </c>
      <c r="AK849" s="58">
        <f>IF(ISERROR(O849/B849*AF849),0,(O849/B849*AF849))</f>
        <v>0</v>
      </c>
      <c r="AL849" s="28">
        <f>IF(ISERROR(H849/B849*AF849),0,(H849/B849*AF849))</f>
        <v>0</v>
      </c>
      <c r="AN849" s="51">
        <f>A849</f>
        <v>0</v>
      </c>
      <c r="AO849" s="57">
        <f>IF(ISERROR(IF(B849=C849,D849/C849,(INT(D849/B849)+(((D849-B849*INT(D849/B849)))/C849)/100))),0,(IF(B849=C849,D849/C849,(INT(D849/B849)+(((D849-B849*INT(D849/B849)))/C849)/100))))</f>
        <v>0</v>
      </c>
      <c r="AP849" s="57">
        <f>IF(ISERROR(IF(B849=C849,E849/C849,(INT(E849/B849)+(((E849-B849*INT(E849/B849)))/C849)/100))),0,(IF(B849=C849,E849/C849,(INT(E849/B849)+(((E849-B849*INT(E849/B849)))/C849)/100))))</f>
        <v>0</v>
      </c>
      <c r="AQ849" s="57">
        <f>IF(ISERROR(IF(B849=C849,F849/C849,IF((INT(F849/B849)+(((F849-B849*INT(F849/B849)))/C849)/100)&lt;0,(INT(F849/B849)+(((F849-B849*INT(F849/B849)))/C849)/100)+(1-(B849/C849/100)),(INT(F849/B849)+(((F849-B849*INT(F849/B849)))/C849)/100)))),0,IF(B849=C849,F849/C849,IF((INT(F849/B849)+(((F849-B849*INT(F849/B849)))/C849)/100)&lt;0,(INT(F849/B849)+(((F849-B849*INT(F849/B849)))/C849)/100)+(1-(B849/C849/100)),(INT(F849/B849)+(((F849-B849*INT(F849/B849)))/C849)/100))))</f>
        <v>0</v>
      </c>
      <c r="AR849" s="57">
        <f>IF(ISERROR(IF(B849=C849,G849/C849,(INT(G849/B849)+(((G849-B849*INT(G849/B849)))/C849)/100))),0,(IF(B849=C849,G849/C849,(INT(G849/B849)+(((G849-B849*INT(G849/B849)))/C849)/100))))</f>
        <v>0</v>
      </c>
      <c r="AS849" s="57">
        <f>IF(ISERROR(IF(B849=C849,H849/C849,(INT(H849/B849)+(((H849-B849*INT(H849/B849)))/C849)/100))),0,(IF(B849=C849,H849/C849,(INT(H849/B849)+(((H849-B849*INT(H849/B849)))/C849)/100))))</f>
        <v>0</v>
      </c>
      <c r="AT849" s="57">
        <f>IF(ISERROR(IF(B849=C849,I849/C849,(INT(I849/B849)+(((I849-B849*INT(I849/B849)))/C849)/100))),0,(IF(B849=C849,I849/C849,(INT(I849/B849)+(((I849-B849*INT(I849/B849)))/C849)/100))))</f>
        <v>0</v>
      </c>
      <c r="AU849" s="57">
        <f>IF(ISERROR(IF(B849=C849,J849/C849,(INT(J849/B849)+(((J849-B849*INT(J849/B849)))/C849)/100))),0,(IF(B849=C849,J849/C849,(INT(J849/B849)+(((J849-B849*INT(J849/B849)))/C849)/100))))</f>
        <v>0</v>
      </c>
      <c r="AV849" s="57">
        <f>IF(ISERROR(IF(B849=C849,K849/C849,IF((INT(K849/B849)+(((K849-B849*INT(K849/B849)))/C849)/100)&lt;0,(INT(K849/B849)+(((K849-B849*INT(K849/B849)))/C849)/100)+(1-(B849/C849/100)),(INT(K849/B849)+(((K849-B849*INT(K849/B849)))/C849)/100)))),0,IF(B849=C849,K849/C849,IF((INT(K849/B849)+(((K849-B849*INT(K849/B849)))/C849)/100)&lt;0,(INT(K849/B849)+(((K849-B849*INT(K849/B849)))/C849)/100)+(1-(B849/C849/100)),(INT(K849/B849)+(((K849-B849*INT(K849/B849)))/C849)/100))))</f>
        <v>0</v>
      </c>
      <c r="AW849" s="57">
        <f>IF(ISERROR(IF(B849=C849,L849/C849,(INT(L849/B849)+(((L849-B849*INT(L849/B849)))/C849)/100))),0,(IF(B849=C849,L849/C849,(INT(L849/B849)+(((L849-B849*INT(L849/B849)))/C849)/100))))</f>
        <v>0</v>
      </c>
      <c r="AX849" s="57">
        <f>IF(ISERROR(IF(B849=C849,M849/C849,(INT(M849/B849)+(((M849-B849*INT(M849/B849)))/C849)/100))),0,(IF(B849=C849,M849/C849,(INT(M849/B849)+(((M849-B849*INT(M849/B849)))/C849)/100))))</f>
        <v>0</v>
      </c>
      <c r="AY849" s="57">
        <f>IF(ISERROR(IF(B849=C849,N849/C849,IF((INT(N849/B849)+(((N849-B849*INT(N849/B849)))/C849)/100)&lt;0,(INT(N849/B849)+(((N849-B849*INT(N849/B849)))/C849)/100)+(1-(B849/C849/100)),(INT(N849/B849)+(((N849-B849*INT(N849/B849)))/C849)/100)))),0,IF(B849=C849,N849/C849,IF((INT(N849/B849)+(((N849-B849*INT(N849/B849)))/C849)/100)&lt;0,(INT(N849/B849)+(((N849-B849*INT(N849/B849)))/C849)/100)+(1-(B849/C849/100)),(INT(N849/B849)+(((N849-B849*INT(N849/B849)))/C849)/100))))</f>
        <v>0</v>
      </c>
      <c r="AZ849" s="57">
        <f>IF(ISERROR(IF(B849=C849,O849/C849,(INT(O849/B849)+(((O849-B849*INT(O849/B849)))/C849)/100))),0,(IF(B849=C849,O849/C849,(INT(O849/B849)+(((O849-B849*INT(O849/B849)))/C849)/100))))</f>
        <v>0</v>
      </c>
      <c r="BA849" s="57">
        <f>IF(ISERROR(IF(B849=C849,P849/C849,IF((INT(P849/B849)+(((P849-B849*INT(P849/B849)))/C849)/100)&lt;0,(INT(P849/B849)+(((P849-B849*INT(P849/B849)))/C849)/100)+(1-(B849/C849/100)),(INT(P849/B849)+(((P849-B849*INT(P849/B849)))/C849)/100)))),0,IF(B849=C849,P849/C849,IF((INT(P849/B849)+(((P849-B849*INT(P849/B849)))/C849)/100)&lt;0,(INT(P849/B849)+(((P849-B849*INT(P849/B849)))/C849)/100)+(1-(B849/C849/100)),(INT(P849/B849)+(((P849-B849*INT(P849/B849)))/C849)/100))))</f>
        <v>0</v>
      </c>
      <c r="BB849" s="28">
        <f>R849</f>
        <v>0</v>
      </c>
      <c r="BC849" s="28">
        <f>S849</f>
        <v>0</v>
      </c>
      <c r="BD849" s="28">
        <f>AF849</f>
        <v>0</v>
      </c>
      <c r="BE849" s="28">
        <f>T849</f>
        <v>0</v>
      </c>
      <c r="BG849" s="57">
        <f>IF(ISERROR(IF(B849=C849,V849/C849,(INT(V849/B849)+(((V849-B849*INT(V849/B849)))/C849)/100))),0,(IF(B849=C849,V849/C849,(INT(V849/B849)+(((V849-B849*INT(V849/B849)))/C849)/100))))</f>
        <v>0</v>
      </c>
      <c r="BH849" s="57">
        <f>IF(ISERROR(IF(B849=C849,W849/C849,(INT(W849/B849)+(((W849-B849*INT(W849/B849)))/C849)/100))),0,(IF(B849=C849,W849/C849,(INT(W849/B849)+(((W849-B849*INT(W849/B849)))/C849)/100))))</f>
        <v>0</v>
      </c>
      <c r="BI849" s="57">
        <f>IF(ISERROR(IF(B849=C849,X849/C849,(INT(X849/B849)+(((X849-B849*INT(X849/B849)))/C849)/100))),0,(IF(B849=C849,X849/C849,(INT(X849/B849)+(((X849-B849*INT(X849/B849)))/C849)/100))))</f>
        <v>0</v>
      </c>
      <c r="BJ849" s="57">
        <f>IF(ISERROR(IF(B849=C849,Y849/C849,(INT(Y849/B849)+(((Y849-B849*INT(Y849/B849)))/C849)/100))),0,(IF(B849=C849,Y849/C849,(INT(Y849/B849)+(((Y849-B849*INT(Y849/B849)))/C849)/100))))</f>
        <v>0</v>
      </c>
      <c r="BL849" s="57">
        <f>IF(ISERROR(IF(B849=C849,AA849/C849,(INT(AA849/B849)+(((AA849-B849*INT(AA849/B849)))/C849)/100))),0,(IF(B849=C849,AA849/C849,(INT(AA849/B849)+(((AA849-B849*INT(AA849/B849)))/C849)/100))))</f>
        <v>0</v>
      </c>
      <c r="BM849" s="57">
        <f>IF(ISERROR(IF(B849=C849,AB849/C849,(INT(AB849/B849)+(((AB849-B849*INT(AB849/B849)))/C849)/100))),0,(IF(B849=C849,AB849/C849,(INT(AB849/B849)+(((AB849-B849*INT(AB849/B849)))/C849)/100))))</f>
        <v>0</v>
      </c>
      <c r="BN849" s="57">
        <f>IF(ISERROR(IF(B849=C849,AC849/C849,(INT(AC849/B849)+(((AC849-B849*INT(AC849/B849)))/C849)/100))),0,(IF(B849=C849,AC849/C849,(INT(AC849/B849)+(((AC849-B849*INT(AC849/B849)))/C849)/100))))</f>
        <v>0</v>
      </c>
      <c r="BO849" s="57">
        <f>IF(ISERROR(IF(B849=C849,AD849/C849,(INT(AD849/B849)+(((AD849-B849*INT(AD849/B849)))/C849)/100))),0,(IF(B849=C849,AD849/C849,(INT(AD849/B849)+(((AD849-B849*INT(AD849/B849)))/C849)/100))))</f>
        <v>0</v>
      </c>
      <c r="BQ849" s="155"/>
    </row>
    <row r="850" spans="1:69" hidden="1" x14ac:dyDescent="0.35">
      <c r="A850" s="157"/>
      <c r="B850" s="113">
        <v>0</v>
      </c>
      <c r="C850" s="113">
        <v>0</v>
      </c>
      <c r="D850" s="28">
        <f>SUM(AA850:AD850)</f>
        <v>0</v>
      </c>
      <c r="E850" s="113">
        <v>0</v>
      </c>
      <c r="F850" s="113">
        <v>0</v>
      </c>
      <c r="G850" s="28">
        <f>SUM(D850:F850)</f>
        <v>0</v>
      </c>
      <c r="H850" s="125">
        <v>0</v>
      </c>
      <c r="I850" s="113">
        <v>0</v>
      </c>
      <c r="J850" s="125">
        <v>0</v>
      </c>
      <c r="K850" s="113">
        <v>0</v>
      </c>
      <c r="L850" s="113">
        <v>0</v>
      </c>
      <c r="M850" s="113">
        <v>0</v>
      </c>
      <c r="N850" s="28">
        <f>G850-SUM(H850:M850)</f>
        <v>0</v>
      </c>
      <c r="O850" s="28">
        <f>SUM(V850:Y850)</f>
        <v>0</v>
      </c>
      <c r="P850" s="28">
        <f>O850-N850</f>
        <v>0</v>
      </c>
      <c r="Q850" s="61" t="str">
        <f>IF(ISERROR(P850/SUM(H850:L850)),"",P850/SUM(H850:L850))</f>
        <v/>
      </c>
      <c r="R850" s="113">
        <v>0</v>
      </c>
      <c r="S850" s="28">
        <f>IF(ISERROR(P850/C850*R850),0,(P850/C850*R850))</f>
        <v>0</v>
      </c>
      <c r="T850" s="60">
        <f>IF(ISERROR(P850/B850*AF850),0,(P850/B850*AF850))</f>
        <v>0</v>
      </c>
      <c r="V850" s="113">
        <v>0</v>
      </c>
      <c r="W850" s="113">
        <v>0</v>
      </c>
      <c r="X850" s="113">
        <v>0</v>
      </c>
      <c r="Y850" s="113">
        <v>0</v>
      </c>
      <c r="AA850" s="113">
        <v>0</v>
      </c>
      <c r="AB850" s="113">
        <v>0</v>
      </c>
      <c r="AC850" s="113">
        <v>0</v>
      </c>
      <c r="AD850" s="113">
        <v>0</v>
      </c>
      <c r="AF850" s="113">
        <v>0</v>
      </c>
      <c r="AG850" s="28">
        <f>G850-O850</f>
        <v>0</v>
      </c>
      <c r="AH850" s="58">
        <f>IF(ISERROR(AG850/B850*AF850),0,(AG850/B850*AF850))</f>
        <v>0</v>
      </c>
      <c r="AI850" s="28">
        <f>SUM(H850:M850)</f>
        <v>0</v>
      </c>
      <c r="AJ850" s="28">
        <f>IF(ISERROR(AI850/B850*AF850),0,(AI850/B850*AF850))</f>
        <v>0</v>
      </c>
      <c r="AK850" s="58">
        <f>IF(ISERROR(O850/B850*AF850),0,(O850/B850*AF850))</f>
        <v>0</v>
      </c>
      <c r="AL850" s="28">
        <f>IF(ISERROR(H850/B850*AF850),0,(H850/B850*AF850))</f>
        <v>0</v>
      </c>
      <c r="AN850" s="51">
        <f>A850</f>
        <v>0</v>
      </c>
      <c r="AO850" s="57">
        <f>IF(ISERROR(IF(B850=C850,D850/C850,(INT(D850/B850)+(((D850-B850*INT(D850/B850)))/C850)/100))),0,(IF(B850=C850,D850/C850,(INT(D850/B850)+(((D850-B850*INT(D850/B850)))/C850)/100))))</f>
        <v>0</v>
      </c>
      <c r="AP850" s="57">
        <f>IF(ISERROR(IF(B850=C850,E850/C850,(INT(E850/B850)+(((E850-B850*INT(E850/B850)))/C850)/100))),0,(IF(B850=C850,E850/C850,(INT(E850/B850)+(((E850-B850*INT(E850/B850)))/C850)/100))))</f>
        <v>0</v>
      </c>
      <c r="AQ850" s="57">
        <f>IF(ISERROR(IF(B850=C850,F850/C850,IF((INT(F850/B850)+(((F850-B850*INT(F850/B850)))/C850)/100)&lt;0,(INT(F850/B850)+(((F850-B850*INT(F850/B850)))/C850)/100)+(1-(B850/C850/100)),(INT(F850/B850)+(((F850-B850*INT(F850/B850)))/C850)/100)))),0,IF(B850=C850,F850/C850,IF((INT(F850/B850)+(((F850-B850*INT(F850/B850)))/C850)/100)&lt;0,(INT(F850/B850)+(((F850-B850*INT(F850/B850)))/C850)/100)+(1-(B850/C850/100)),(INT(F850/B850)+(((F850-B850*INT(F850/B850)))/C850)/100))))</f>
        <v>0</v>
      </c>
      <c r="AR850" s="57">
        <f>IF(ISERROR(IF(B850=C850,G850/C850,(INT(G850/B850)+(((G850-B850*INT(G850/B850)))/C850)/100))),0,(IF(B850=C850,G850/C850,(INT(G850/B850)+(((G850-B850*INT(G850/B850)))/C850)/100))))</f>
        <v>0</v>
      </c>
      <c r="AS850" s="57">
        <f>IF(ISERROR(IF(B850=C850,H850/C850,(INT(H850/B850)+(((H850-B850*INT(H850/B850)))/C850)/100))),0,(IF(B850=C850,H850/C850,(INT(H850/B850)+(((H850-B850*INT(H850/B850)))/C850)/100))))</f>
        <v>0</v>
      </c>
      <c r="AT850" s="57">
        <f>IF(ISERROR(IF(B850=C850,I850/C850,(INT(I850/B850)+(((I850-B850*INT(I850/B850)))/C850)/100))),0,(IF(B850=C850,I850/C850,(INT(I850/B850)+(((I850-B850*INT(I850/B850)))/C850)/100))))</f>
        <v>0</v>
      </c>
      <c r="AU850" s="57">
        <f>IF(ISERROR(IF(B850=C850,J850/C850,(INT(J850/B850)+(((J850-B850*INT(J850/B850)))/C850)/100))),0,(IF(B850=C850,J850/C850,(INT(J850/B850)+(((J850-B850*INT(J850/B850)))/C850)/100))))</f>
        <v>0</v>
      </c>
      <c r="AV850" s="57">
        <f>IF(ISERROR(IF(B850=C850,K850/C850,IF((INT(K850/B850)+(((K850-B850*INT(K850/B850)))/C850)/100)&lt;0,(INT(K850/B850)+(((K850-B850*INT(K850/B850)))/C850)/100)+(1-(B850/C850/100)),(INT(K850/B850)+(((K850-B850*INT(K850/B850)))/C850)/100)))),0,IF(B850=C850,K850/C850,IF((INT(K850/B850)+(((K850-B850*INT(K850/B850)))/C850)/100)&lt;0,(INT(K850/B850)+(((K850-B850*INT(K850/B850)))/C850)/100)+(1-(B850/C850/100)),(INT(K850/B850)+(((K850-B850*INT(K850/B850)))/C850)/100))))</f>
        <v>0</v>
      </c>
      <c r="AW850" s="57">
        <f>IF(ISERROR(IF(B850=C850,L850/C850,(INT(L850/B850)+(((L850-B850*INT(L850/B850)))/C850)/100))),0,(IF(B850=C850,L850/C850,(INT(L850/B850)+(((L850-B850*INT(L850/B850)))/C850)/100))))</f>
        <v>0</v>
      </c>
      <c r="AX850" s="57">
        <f>IF(ISERROR(IF(B850=C850,M850/C850,(INT(M850/B850)+(((M850-B850*INT(M850/B850)))/C850)/100))),0,(IF(B850=C850,M850/C850,(INT(M850/B850)+(((M850-B850*INT(M850/B850)))/C850)/100))))</f>
        <v>0</v>
      </c>
      <c r="AY850" s="57">
        <f>IF(ISERROR(IF(B850=C850,N850/C850,IF((INT(N850/B850)+(((N850-B850*INT(N850/B850)))/C850)/100)&lt;0,(INT(N850/B850)+(((N850-B850*INT(N850/B850)))/C850)/100)+(1-(B850/C850/100)),(INT(N850/B850)+(((N850-B850*INT(N850/B850)))/C850)/100)))),0,IF(B850=C850,N850/C850,IF((INT(N850/B850)+(((N850-B850*INT(N850/B850)))/C850)/100)&lt;0,(INT(N850/B850)+(((N850-B850*INT(N850/B850)))/C850)/100)+(1-(B850/C850/100)),(INT(N850/B850)+(((N850-B850*INT(N850/B850)))/C850)/100))))</f>
        <v>0</v>
      </c>
      <c r="AZ850" s="57">
        <f>IF(ISERROR(IF(B850=C850,O850/C850,(INT(O850/B850)+(((O850-B850*INT(O850/B850)))/C850)/100))),0,(IF(B850=C850,O850/C850,(INT(O850/B850)+(((O850-B850*INT(O850/B850)))/C850)/100))))</f>
        <v>0</v>
      </c>
      <c r="BA850" s="57">
        <f>IF(ISERROR(IF(B850=C850,P850/C850,IF((INT(P850/B850)+(((P850-B850*INT(P850/B850)))/C850)/100)&lt;0,(INT(P850/B850)+(((P850-B850*INT(P850/B850)))/C850)/100)+(1-(B850/C850/100)),(INT(P850/B850)+(((P850-B850*INT(P850/B850)))/C850)/100)))),0,IF(B850=C850,P850/C850,IF((INT(P850/B850)+(((P850-B850*INT(P850/B850)))/C850)/100)&lt;0,(INT(P850/B850)+(((P850-B850*INT(P850/B850)))/C850)/100)+(1-(B850/C850/100)),(INT(P850/B850)+(((P850-B850*INT(P850/B850)))/C850)/100))))</f>
        <v>0</v>
      </c>
      <c r="BB850" s="28">
        <f>R850</f>
        <v>0</v>
      </c>
      <c r="BC850" s="28">
        <f>S850</f>
        <v>0</v>
      </c>
      <c r="BD850" s="28">
        <f>AF850</f>
        <v>0</v>
      </c>
      <c r="BE850" s="28">
        <f>T850</f>
        <v>0</v>
      </c>
      <c r="BG850" s="57">
        <f>IF(ISERROR(IF(B850=C850,V850/C850,(INT(V850/B850)+(((V850-B850*INT(V850/B850)))/C850)/100))),0,(IF(B850=C850,V850/C850,(INT(V850/B850)+(((V850-B850*INT(V850/B850)))/C850)/100))))</f>
        <v>0</v>
      </c>
      <c r="BH850" s="57">
        <f>IF(ISERROR(IF(B850=C850,W850/C850,(INT(W850/B850)+(((W850-B850*INT(W850/B850)))/C850)/100))),0,(IF(B850=C850,W850/C850,(INT(W850/B850)+(((W850-B850*INT(W850/B850)))/C850)/100))))</f>
        <v>0</v>
      </c>
      <c r="BI850" s="57">
        <f>IF(ISERROR(IF(B850=C850,X850/C850,(INT(X850/B850)+(((X850-B850*INT(X850/B850)))/C850)/100))),0,(IF(B850=C850,X850/C850,(INT(X850/B850)+(((X850-B850*INT(X850/B850)))/C850)/100))))</f>
        <v>0</v>
      </c>
      <c r="BJ850" s="57">
        <f>IF(ISERROR(IF(B850=C850,Y850/C850,(INT(Y850/B850)+(((Y850-B850*INT(Y850/B850)))/C850)/100))),0,(IF(B850=C850,Y850/C850,(INT(Y850/B850)+(((Y850-B850*INT(Y850/B850)))/C850)/100))))</f>
        <v>0</v>
      </c>
      <c r="BL850" s="57">
        <f>IF(ISERROR(IF(B850=C850,AA850/C850,(INT(AA850/B850)+(((AA850-B850*INT(AA850/B850)))/C850)/100))),0,(IF(B850=C850,AA850/C850,(INT(AA850/B850)+(((AA850-B850*INT(AA850/B850)))/C850)/100))))</f>
        <v>0</v>
      </c>
      <c r="BM850" s="57">
        <f>IF(ISERROR(IF(B850=C850,AB850/C850,(INT(AB850/B850)+(((AB850-B850*INT(AB850/B850)))/C850)/100))),0,(IF(B850=C850,AB850/C850,(INT(AB850/B850)+(((AB850-B850*INT(AB850/B850)))/C850)/100))))</f>
        <v>0</v>
      </c>
      <c r="BN850" s="57">
        <f>IF(ISERROR(IF(B850=C850,AC850/C850,(INT(AC850/B850)+(((AC850-B850*INT(AC850/B850)))/C850)/100))),0,(IF(B850=C850,AC850/C850,(INT(AC850/B850)+(((AC850-B850*INT(AC850/B850)))/C850)/100))))</f>
        <v>0</v>
      </c>
      <c r="BO850" s="57">
        <f>IF(ISERROR(IF(B850=C850,AD850/C850,(INT(AD850/B850)+(((AD850-B850*INT(AD850/B850)))/C850)/100))),0,(IF(B850=C850,AD850/C850,(INT(AD850/B850)+(((AD850-B850*INT(AD850/B850)))/C850)/100))))</f>
        <v>0</v>
      </c>
      <c r="BQ850" s="155"/>
    </row>
    <row r="851" spans="1:69" hidden="1" x14ac:dyDescent="0.35">
      <c r="A851" s="157"/>
      <c r="B851" s="113">
        <v>0</v>
      </c>
      <c r="C851" s="113">
        <v>0</v>
      </c>
      <c r="D851" s="28">
        <f>SUM(AA851:AD851)</f>
        <v>0</v>
      </c>
      <c r="E851" s="113">
        <v>0</v>
      </c>
      <c r="F851" s="113">
        <v>0</v>
      </c>
      <c r="G851" s="28">
        <f>SUM(D851:F851)</f>
        <v>0</v>
      </c>
      <c r="H851" s="125">
        <v>0</v>
      </c>
      <c r="I851" s="113">
        <v>0</v>
      </c>
      <c r="J851" s="125">
        <v>0</v>
      </c>
      <c r="K851" s="113">
        <v>0</v>
      </c>
      <c r="L851" s="113">
        <v>0</v>
      </c>
      <c r="M851" s="113">
        <v>0</v>
      </c>
      <c r="N851" s="28">
        <f>G851-SUM(H851:M851)</f>
        <v>0</v>
      </c>
      <c r="O851" s="28">
        <f>SUM(V851:Y851)</f>
        <v>0</v>
      </c>
      <c r="P851" s="28">
        <f>O851-N851</f>
        <v>0</v>
      </c>
      <c r="Q851" s="61" t="str">
        <f>IF(ISERROR(P851/SUM(H851:L851)),"",P851/SUM(H851:L851))</f>
        <v/>
      </c>
      <c r="R851" s="113">
        <v>0</v>
      </c>
      <c r="S851" s="28">
        <f>IF(ISERROR(P851/C851*R851),0,(P851/C851*R851))</f>
        <v>0</v>
      </c>
      <c r="T851" s="60">
        <f>IF(ISERROR(P851/B851*AF851),0,(P851/B851*AF851))</f>
        <v>0</v>
      </c>
      <c r="V851" s="113">
        <v>0</v>
      </c>
      <c r="W851" s="113">
        <v>0</v>
      </c>
      <c r="X851" s="113">
        <v>0</v>
      </c>
      <c r="Y851" s="113">
        <v>0</v>
      </c>
      <c r="AA851" s="113">
        <v>0</v>
      </c>
      <c r="AB851" s="113">
        <v>0</v>
      </c>
      <c r="AC851" s="113">
        <v>0</v>
      </c>
      <c r="AD851" s="113">
        <v>0</v>
      </c>
      <c r="AF851" s="113">
        <v>0</v>
      </c>
      <c r="AG851" s="28">
        <f>G851-O851</f>
        <v>0</v>
      </c>
      <c r="AH851" s="58">
        <f>IF(ISERROR(AG851/B851*AF851),0,(AG851/B851*AF851))</f>
        <v>0</v>
      </c>
      <c r="AI851" s="28">
        <f>SUM(H851:M851)</f>
        <v>0</v>
      </c>
      <c r="AJ851" s="28">
        <f>IF(ISERROR(AI851/B851*AF851),0,(AI851/B851*AF851))</f>
        <v>0</v>
      </c>
      <c r="AK851" s="58">
        <f>IF(ISERROR(O851/B851*AF851),0,(O851/B851*AF851))</f>
        <v>0</v>
      </c>
      <c r="AL851" s="28">
        <f>IF(ISERROR(H851/B851*AF851),0,(H851/B851*AF851))</f>
        <v>0</v>
      </c>
      <c r="AN851" s="51">
        <f>A851</f>
        <v>0</v>
      </c>
      <c r="AO851" s="57">
        <f>IF(ISERROR(IF(B851=C851,D851/C851,(INT(D851/B851)+(((D851-B851*INT(D851/B851)))/C851)/100))),0,(IF(B851=C851,D851/C851,(INT(D851/B851)+(((D851-B851*INT(D851/B851)))/C851)/100))))</f>
        <v>0</v>
      </c>
      <c r="AP851" s="57">
        <f>IF(ISERROR(IF(B851=C851,E851/C851,(INT(E851/B851)+(((E851-B851*INT(E851/B851)))/C851)/100))),0,(IF(B851=C851,E851/C851,(INT(E851/B851)+(((E851-B851*INT(E851/B851)))/C851)/100))))</f>
        <v>0</v>
      </c>
      <c r="AQ851" s="57">
        <f>IF(ISERROR(IF(B851=C851,F851/C851,IF((INT(F851/B851)+(((F851-B851*INT(F851/B851)))/C851)/100)&lt;0,(INT(F851/B851)+(((F851-B851*INT(F851/B851)))/C851)/100)+(1-(B851/C851/100)),(INT(F851/B851)+(((F851-B851*INT(F851/B851)))/C851)/100)))),0,IF(B851=C851,F851/C851,IF((INT(F851/B851)+(((F851-B851*INT(F851/B851)))/C851)/100)&lt;0,(INT(F851/B851)+(((F851-B851*INT(F851/B851)))/C851)/100)+(1-(B851/C851/100)),(INT(F851/B851)+(((F851-B851*INT(F851/B851)))/C851)/100))))</f>
        <v>0</v>
      </c>
      <c r="AR851" s="57">
        <f>IF(ISERROR(IF(B851=C851,G851/C851,(INT(G851/B851)+(((G851-B851*INT(G851/B851)))/C851)/100))),0,(IF(B851=C851,G851/C851,(INT(G851/B851)+(((G851-B851*INT(G851/B851)))/C851)/100))))</f>
        <v>0</v>
      </c>
      <c r="AS851" s="57">
        <f>IF(ISERROR(IF(B851=C851,H851/C851,(INT(H851/B851)+(((H851-B851*INT(H851/B851)))/C851)/100))),0,(IF(B851=C851,H851/C851,(INT(H851/B851)+(((H851-B851*INT(H851/B851)))/C851)/100))))</f>
        <v>0</v>
      </c>
      <c r="AT851" s="57">
        <f>IF(ISERROR(IF(B851=C851,I851/C851,(INT(I851/B851)+(((I851-B851*INT(I851/B851)))/C851)/100))),0,(IF(B851=C851,I851/C851,(INT(I851/B851)+(((I851-B851*INT(I851/B851)))/C851)/100))))</f>
        <v>0</v>
      </c>
      <c r="AU851" s="57">
        <f>IF(ISERROR(IF(B851=C851,J851/C851,(INT(J851/B851)+(((J851-B851*INT(J851/B851)))/C851)/100))),0,(IF(B851=C851,J851/C851,(INT(J851/B851)+(((J851-B851*INT(J851/B851)))/C851)/100))))</f>
        <v>0</v>
      </c>
      <c r="AV851" s="57">
        <f>IF(ISERROR(IF(B851=C851,K851/C851,IF((INT(K851/B851)+(((K851-B851*INT(K851/B851)))/C851)/100)&lt;0,(INT(K851/B851)+(((K851-B851*INT(K851/B851)))/C851)/100)+(1-(B851/C851/100)),(INT(K851/B851)+(((K851-B851*INT(K851/B851)))/C851)/100)))),0,IF(B851=C851,K851/C851,IF((INT(K851/B851)+(((K851-B851*INT(K851/B851)))/C851)/100)&lt;0,(INT(K851/B851)+(((K851-B851*INT(K851/B851)))/C851)/100)+(1-(B851/C851/100)),(INT(K851/B851)+(((K851-B851*INT(K851/B851)))/C851)/100))))</f>
        <v>0</v>
      </c>
      <c r="AW851" s="57">
        <f>IF(ISERROR(IF(B851=C851,L851/C851,(INT(L851/B851)+(((L851-B851*INT(L851/B851)))/C851)/100))),0,(IF(B851=C851,L851/C851,(INT(L851/B851)+(((L851-B851*INT(L851/B851)))/C851)/100))))</f>
        <v>0</v>
      </c>
      <c r="AX851" s="57">
        <f>IF(ISERROR(IF(B851=C851,M851/C851,(INT(M851/B851)+(((M851-B851*INT(M851/B851)))/C851)/100))),0,(IF(B851=C851,M851/C851,(INT(M851/B851)+(((M851-B851*INT(M851/B851)))/C851)/100))))</f>
        <v>0</v>
      </c>
      <c r="AY851" s="57">
        <f>IF(ISERROR(IF(B851=C851,N851/C851,IF((INT(N851/B851)+(((N851-B851*INT(N851/B851)))/C851)/100)&lt;0,(INT(N851/B851)+(((N851-B851*INT(N851/B851)))/C851)/100)+(1-(B851/C851/100)),(INT(N851/B851)+(((N851-B851*INT(N851/B851)))/C851)/100)))),0,IF(B851=C851,N851/C851,IF((INT(N851/B851)+(((N851-B851*INT(N851/B851)))/C851)/100)&lt;0,(INT(N851/B851)+(((N851-B851*INT(N851/B851)))/C851)/100)+(1-(B851/C851/100)),(INT(N851/B851)+(((N851-B851*INT(N851/B851)))/C851)/100))))</f>
        <v>0</v>
      </c>
      <c r="AZ851" s="57">
        <f>IF(ISERROR(IF(B851=C851,O851/C851,(INT(O851/B851)+(((O851-B851*INT(O851/B851)))/C851)/100))),0,(IF(B851=C851,O851/C851,(INT(O851/B851)+(((O851-B851*INT(O851/B851)))/C851)/100))))</f>
        <v>0</v>
      </c>
      <c r="BA851" s="57">
        <f>IF(ISERROR(IF(B851=C851,P851/C851,IF((INT(P851/B851)+(((P851-B851*INT(P851/B851)))/C851)/100)&lt;0,(INT(P851/B851)+(((P851-B851*INT(P851/B851)))/C851)/100)+(1-(B851/C851/100)),(INT(P851/B851)+(((P851-B851*INT(P851/B851)))/C851)/100)))),0,IF(B851=C851,P851/C851,IF((INT(P851/B851)+(((P851-B851*INT(P851/B851)))/C851)/100)&lt;0,(INT(P851/B851)+(((P851-B851*INT(P851/B851)))/C851)/100)+(1-(B851/C851/100)),(INT(P851/B851)+(((P851-B851*INT(P851/B851)))/C851)/100))))</f>
        <v>0</v>
      </c>
      <c r="BB851" s="28">
        <f>R851</f>
        <v>0</v>
      </c>
      <c r="BC851" s="28">
        <f>S851</f>
        <v>0</v>
      </c>
      <c r="BD851" s="28">
        <f>AF851</f>
        <v>0</v>
      </c>
      <c r="BE851" s="28">
        <f>T851</f>
        <v>0</v>
      </c>
      <c r="BG851" s="57">
        <f>IF(ISERROR(IF(B851=C851,V851/C851,(INT(V851/B851)+(((V851-B851*INT(V851/B851)))/C851)/100))),0,(IF(B851=C851,V851/C851,(INT(V851/B851)+(((V851-B851*INT(V851/B851)))/C851)/100))))</f>
        <v>0</v>
      </c>
      <c r="BH851" s="57">
        <f>IF(ISERROR(IF(B851=C851,W851/C851,(INT(W851/B851)+(((W851-B851*INT(W851/B851)))/C851)/100))),0,(IF(B851=C851,W851/C851,(INT(W851/B851)+(((W851-B851*INT(W851/B851)))/C851)/100))))</f>
        <v>0</v>
      </c>
      <c r="BI851" s="57">
        <f>IF(ISERROR(IF(B851=C851,X851/C851,(INT(X851/B851)+(((X851-B851*INT(X851/B851)))/C851)/100))),0,(IF(B851=C851,X851/C851,(INT(X851/B851)+(((X851-B851*INT(X851/B851)))/C851)/100))))</f>
        <v>0</v>
      </c>
      <c r="BJ851" s="57">
        <f>IF(ISERROR(IF(B851=C851,Y851/C851,(INT(Y851/B851)+(((Y851-B851*INT(Y851/B851)))/C851)/100))),0,(IF(B851=C851,Y851/C851,(INT(Y851/B851)+(((Y851-B851*INT(Y851/B851)))/C851)/100))))</f>
        <v>0</v>
      </c>
      <c r="BL851" s="57">
        <f>IF(ISERROR(IF(B851=C851,AA851/C851,(INT(AA851/B851)+(((AA851-B851*INT(AA851/B851)))/C851)/100))),0,(IF(B851=C851,AA851/C851,(INT(AA851/B851)+(((AA851-B851*INT(AA851/B851)))/C851)/100))))</f>
        <v>0</v>
      </c>
      <c r="BM851" s="57">
        <f>IF(ISERROR(IF(B851=C851,AB851/C851,(INT(AB851/B851)+(((AB851-B851*INT(AB851/B851)))/C851)/100))),0,(IF(B851=C851,AB851/C851,(INT(AB851/B851)+(((AB851-B851*INT(AB851/B851)))/C851)/100))))</f>
        <v>0</v>
      </c>
      <c r="BN851" s="57">
        <f>IF(ISERROR(IF(B851=C851,AC851/C851,(INT(AC851/B851)+(((AC851-B851*INT(AC851/B851)))/C851)/100))),0,(IF(B851=C851,AC851/C851,(INT(AC851/B851)+(((AC851-B851*INT(AC851/B851)))/C851)/100))))</f>
        <v>0</v>
      </c>
      <c r="BO851" s="57">
        <f>IF(ISERROR(IF(B851=C851,AD851/C851,(INT(AD851/B851)+(((AD851-B851*INT(AD851/B851)))/C851)/100))),0,(IF(B851=C851,AD851/C851,(INT(AD851/B851)+(((AD851-B851*INT(AD851/B851)))/C851)/100))))</f>
        <v>0</v>
      </c>
      <c r="BQ851" s="155"/>
    </row>
    <row r="852" spans="1:69" hidden="1" x14ac:dyDescent="0.35">
      <c r="A852" s="157"/>
      <c r="B852" s="113">
        <v>0</v>
      </c>
      <c r="C852" s="113">
        <v>0</v>
      </c>
      <c r="D852" s="28">
        <f>SUM(AA852:AD852)</f>
        <v>0</v>
      </c>
      <c r="E852" s="113">
        <v>0</v>
      </c>
      <c r="F852" s="113">
        <v>0</v>
      </c>
      <c r="G852" s="28">
        <f>SUM(D852:F852)</f>
        <v>0</v>
      </c>
      <c r="H852" s="125">
        <v>0</v>
      </c>
      <c r="I852" s="113">
        <v>0</v>
      </c>
      <c r="J852" s="125">
        <v>0</v>
      </c>
      <c r="K852" s="113">
        <v>0</v>
      </c>
      <c r="L852" s="113">
        <v>0</v>
      </c>
      <c r="M852" s="113">
        <v>0</v>
      </c>
      <c r="N852" s="28">
        <f>G852-SUM(H852:M852)</f>
        <v>0</v>
      </c>
      <c r="O852" s="28">
        <f>SUM(V852:Y852)</f>
        <v>0</v>
      </c>
      <c r="P852" s="28">
        <f>O852-N852</f>
        <v>0</v>
      </c>
      <c r="Q852" s="61" t="str">
        <f>IF(ISERROR(P852/SUM(H852:L852)),"",P852/SUM(H852:L852))</f>
        <v/>
      </c>
      <c r="R852" s="113">
        <v>0</v>
      </c>
      <c r="S852" s="28">
        <f>IF(ISERROR(P852/C852*R852),0,(P852/C852*R852))</f>
        <v>0</v>
      </c>
      <c r="T852" s="60">
        <f>IF(ISERROR(P852/B852*AF852),0,(P852/B852*AF852))</f>
        <v>0</v>
      </c>
      <c r="V852" s="113">
        <v>0</v>
      </c>
      <c r="W852" s="113">
        <v>0</v>
      </c>
      <c r="X852" s="113">
        <v>0</v>
      </c>
      <c r="Y852" s="113">
        <v>0</v>
      </c>
      <c r="AA852" s="113">
        <v>0</v>
      </c>
      <c r="AB852" s="113">
        <v>0</v>
      </c>
      <c r="AC852" s="113">
        <v>0</v>
      </c>
      <c r="AD852" s="113">
        <v>0</v>
      </c>
      <c r="AF852" s="113">
        <v>0</v>
      </c>
      <c r="AG852" s="28">
        <f>G852-O852</f>
        <v>0</v>
      </c>
      <c r="AH852" s="58">
        <f>IF(ISERROR(AG852/B852*AF852),0,(AG852/B852*AF852))</f>
        <v>0</v>
      </c>
      <c r="AI852" s="28">
        <f>SUM(H852:M852)</f>
        <v>0</v>
      </c>
      <c r="AJ852" s="28">
        <f>IF(ISERROR(AI852/B852*AF852),0,(AI852/B852*AF852))</f>
        <v>0</v>
      </c>
      <c r="AK852" s="58">
        <f>IF(ISERROR(O852/B852*AF852),0,(O852/B852*AF852))</f>
        <v>0</v>
      </c>
      <c r="AL852" s="28">
        <f>IF(ISERROR(H852/B852*AF852),0,(H852/B852*AF852))</f>
        <v>0</v>
      </c>
      <c r="AN852" s="51">
        <f>A852</f>
        <v>0</v>
      </c>
      <c r="AO852" s="57">
        <f>IF(ISERROR(IF(B852=C852,D852/C852,(INT(D852/B852)+(((D852-B852*INT(D852/B852)))/C852)/100))),0,(IF(B852=C852,D852/C852,(INT(D852/B852)+(((D852-B852*INT(D852/B852)))/C852)/100))))</f>
        <v>0</v>
      </c>
      <c r="AP852" s="57">
        <f>IF(ISERROR(IF(B852=C852,E852/C852,(INT(E852/B852)+(((E852-B852*INT(E852/B852)))/C852)/100))),0,(IF(B852=C852,E852/C852,(INT(E852/B852)+(((E852-B852*INT(E852/B852)))/C852)/100))))</f>
        <v>0</v>
      </c>
      <c r="AQ852" s="57">
        <f>IF(ISERROR(IF(B852=C852,F852/C852,IF((INT(F852/B852)+(((F852-B852*INT(F852/B852)))/C852)/100)&lt;0,(INT(F852/B852)+(((F852-B852*INT(F852/B852)))/C852)/100)+(1-(B852/C852/100)),(INT(F852/B852)+(((F852-B852*INT(F852/B852)))/C852)/100)))),0,IF(B852=C852,F852/C852,IF((INT(F852/B852)+(((F852-B852*INT(F852/B852)))/C852)/100)&lt;0,(INT(F852/B852)+(((F852-B852*INT(F852/B852)))/C852)/100)+(1-(B852/C852/100)),(INT(F852/B852)+(((F852-B852*INT(F852/B852)))/C852)/100))))</f>
        <v>0</v>
      </c>
      <c r="AR852" s="57">
        <f>IF(ISERROR(IF(B852=C852,G852/C852,(INT(G852/B852)+(((G852-B852*INT(G852/B852)))/C852)/100))),0,(IF(B852=C852,G852/C852,(INT(G852/B852)+(((G852-B852*INT(G852/B852)))/C852)/100))))</f>
        <v>0</v>
      </c>
      <c r="AS852" s="57">
        <f>IF(ISERROR(IF(B852=C852,H852/C852,(INT(H852/B852)+(((H852-B852*INT(H852/B852)))/C852)/100))),0,(IF(B852=C852,H852/C852,(INT(H852/B852)+(((H852-B852*INT(H852/B852)))/C852)/100))))</f>
        <v>0</v>
      </c>
      <c r="AT852" s="57">
        <f>IF(ISERROR(IF(B852=C852,I852/C852,(INT(I852/B852)+(((I852-B852*INT(I852/B852)))/C852)/100))),0,(IF(B852=C852,I852/C852,(INT(I852/B852)+(((I852-B852*INT(I852/B852)))/C852)/100))))</f>
        <v>0</v>
      </c>
      <c r="AU852" s="57">
        <f>IF(ISERROR(IF(B852=C852,J852/C852,(INT(J852/B852)+(((J852-B852*INT(J852/B852)))/C852)/100))),0,(IF(B852=C852,J852/C852,(INT(J852/B852)+(((J852-B852*INT(J852/B852)))/C852)/100))))</f>
        <v>0</v>
      </c>
      <c r="AV852" s="57">
        <f>IF(ISERROR(IF(B852=C852,K852/C852,IF((INT(K852/B852)+(((K852-B852*INT(K852/B852)))/C852)/100)&lt;0,(INT(K852/B852)+(((K852-B852*INT(K852/B852)))/C852)/100)+(1-(B852/C852/100)),(INT(K852/B852)+(((K852-B852*INT(K852/B852)))/C852)/100)))),0,IF(B852=C852,K852/C852,IF((INT(K852/B852)+(((K852-B852*INT(K852/B852)))/C852)/100)&lt;0,(INT(K852/B852)+(((K852-B852*INT(K852/B852)))/C852)/100)+(1-(B852/C852/100)),(INT(K852/B852)+(((K852-B852*INT(K852/B852)))/C852)/100))))</f>
        <v>0</v>
      </c>
      <c r="AW852" s="57">
        <f>IF(ISERROR(IF(B852=C852,L852/C852,(INT(L852/B852)+(((L852-B852*INT(L852/B852)))/C852)/100))),0,(IF(B852=C852,L852/C852,(INT(L852/B852)+(((L852-B852*INT(L852/B852)))/C852)/100))))</f>
        <v>0</v>
      </c>
      <c r="AX852" s="57">
        <f>IF(ISERROR(IF(B852=C852,M852/C852,(INT(M852/B852)+(((M852-B852*INT(M852/B852)))/C852)/100))),0,(IF(B852=C852,M852/C852,(INT(M852/B852)+(((M852-B852*INT(M852/B852)))/C852)/100))))</f>
        <v>0</v>
      </c>
      <c r="AY852" s="57">
        <f>IF(ISERROR(IF(B852=C852,N852/C852,IF((INT(N852/B852)+(((N852-B852*INT(N852/B852)))/C852)/100)&lt;0,(INT(N852/B852)+(((N852-B852*INT(N852/B852)))/C852)/100)+(1-(B852/C852/100)),(INT(N852/B852)+(((N852-B852*INT(N852/B852)))/C852)/100)))),0,IF(B852=C852,N852/C852,IF((INT(N852/B852)+(((N852-B852*INT(N852/B852)))/C852)/100)&lt;0,(INT(N852/B852)+(((N852-B852*INT(N852/B852)))/C852)/100)+(1-(B852/C852/100)),(INT(N852/B852)+(((N852-B852*INT(N852/B852)))/C852)/100))))</f>
        <v>0</v>
      </c>
      <c r="AZ852" s="57">
        <f>IF(ISERROR(IF(B852=C852,O852/C852,(INT(O852/B852)+(((O852-B852*INT(O852/B852)))/C852)/100))),0,(IF(B852=C852,O852/C852,(INT(O852/B852)+(((O852-B852*INT(O852/B852)))/C852)/100))))</f>
        <v>0</v>
      </c>
      <c r="BA852" s="57">
        <f>IF(ISERROR(IF(B852=C852,P852/C852,IF((INT(P852/B852)+(((P852-B852*INT(P852/B852)))/C852)/100)&lt;0,(INT(P852/B852)+(((P852-B852*INT(P852/B852)))/C852)/100)+(1-(B852/C852/100)),(INT(P852/B852)+(((P852-B852*INT(P852/B852)))/C852)/100)))),0,IF(B852=C852,P852/C852,IF((INT(P852/B852)+(((P852-B852*INT(P852/B852)))/C852)/100)&lt;0,(INT(P852/B852)+(((P852-B852*INT(P852/B852)))/C852)/100)+(1-(B852/C852/100)),(INT(P852/B852)+(((P852-B852*INT(P852/B852)))/C852)/100))))</f>
        <v>0</v>
      </c>
      <c r="BB852" s="28">
        <f>R852</f>
        <v>0</v>
      </c>
      <c r="BC852" s="28">
        <f>S852</f>
        <v>0</v>
      </c>
      <c r="BD852" s="28">
        <f>AF852</f>
        <v>0</v>
      </c>
      <c r="BE852" s="28">
        <f>T852</f>
        <v>0</v>
      </c>
      <c r="BG852" s="57">
        <f>IF(ISERROR(IF(B852=C852,V852/C852,(INT(V852/B852)+(((V852-B852*INT(V852/B852)))/C852)/100))),0,(IF(B852=C852,V852/C852,(INT(V852/B852)+(((V852-B852*INT(V852/B852)))/C852)/100))))</f>
        <v>0</v>
      </c>
      <c r="BH852" s="57">
        <f>IF(ISERROR(IF(B852=C852,W852/C852,(INT(W852/B852)+(((W852-B852*INT(W852/B852)))/C852)/100))),0,(IF(B852=C852,W852/C852,(INT(W852/B852)+(((W852-B852*INT(W852/B852)))/C852)/100))))</f>
        <v>0</v>
      </c>
      <c r="BI852" s="57">
        <f>IF(ISERROR(IF(B852=C852,X852/C852,(INT(X852/B852)+(((X852-B852*INT(X852/B852)))/C852)/100))),0,(IF(B852=C852,X852/C852,(INT(X852/B852)+(((X852-B852*INT(X852/B852)))/C852)/100))))</f>
        <v>0</v>
      </c>
      <c r="BJ852" s="57">
        <f>IF(ISERROR(IF(B852=C852,Y852/C852,(INT(Y852/B852)+(((Y852-B852*INT(Y852/B852)))/C852)/100))),0,(IF(B852=C852,Y852/C852,(INT(Y852/B852)+(((Y852-B852*INT(Y852/B852)))/C852)/100))))</f>
        <v>0</v>
      </c>
      <c r="BL852" s="57">
        <f>IF(ISERROR(IF(B852=C852,AA852/C852,(INT(AA852/B852)+(((AA852-B852*INT(AA852/B852)))/C852)/100))),0,(IF(B852=C852,AA852/C852,(INT(AA852/B852)+(((AA852-B852*INT(AA852/B852)))/C852)/100))))</f>
        <v>0</v>
      </c>
      <c r="BM852" s="57">
        <f>IF(ISERROR(IF(B852=C852,AB852/C852,(INT(AB852/B852)+(((AB852-B852*INT(AB852/B852)))/C852)/100))),0,(IF(B852=C852,AB852/C852,(INT(AB852/B852)+(((AB852-B852*INT(AB852/B852)))/C852)/100))))</f>
        <v>0</v>
      </c>
      <c r="BN852" s="57">
        <f>IF(ISERROR(IF(B852=C852,AC852/C852,(INT(AC852/B852)+(((AC852-B852*INT(AC852/B852)))/C852)/100))),0,(IF(B852=C852,AC852/C852,(INT(AC852/B852)+(((AC852-B852*INT(AC852/B852)))/C852)/100))))</f>
        <v>0</v>
      </c>
      <c r="BO852" s="57">
        <f>IF(ISERROR(IF(B852=C852,AD852/C852,(INT(AD852/B852)+(((AD852-B852*INT(AD852/B852)))/C852)/100))),0,(IF(B852=C852,AD852/C852,(INT(AD852/B852)+(((AD852-B852*INT(AD852/B852)))/C852)/100))))</f>
        <v>0</v>
      </c>
      <c r="BQ852" s="155"/>
    </row>
    <row r="853" spans="1:69" hidden="1" x14ac:dyDescent="0.35">
      <c r="A853" s="157"/>
      <c r="B853" s="113">
        <v>0</v>
      </c>
      <c r="C853" s="113">
        <v>0</v>
      </c>
      <c r="D853" s="28">
        <f>SUM(AA853:AD853)</f>
        <v>0</v>
      </c>
      <c r="E853" s="113">
        <v>0</v>
      </c>
      <c r="F853" s="113">
        <v>0</v>
      </c>
      <c r="G853" s="28">
        <f>SUM(D853:F853)</f>
        <v>0</v>
      </c>
      <c r="H853" s="125">
        <v>0</v>
      </c>
      <c r="I853" s="113">
        <v>0</v>
      </c>
      <c r="J853" s="125">
        <v>0</v>
      </c>
      <c r="K853" s="113">
        <v>0</v>
      </c>
      <c r="L853" s="113">
        <v>0</v>
      </c>
      <c r="M853" s="113">
        <v>0</v>
      </c>
      <c r="N853" s="28">
        <f>G853-SUM(H853:M853)</f>
        <v>0</v>
      </c>
      <c r="O853" s="28">
        <f>SUM(V853:Y853)</f>
        <v>0</v>
      </c>
      <c r="P853" s="28">
        <f>O853-N853</f>
        <v>0</v>
      </c>
      <c r="Q853" s="61" t="str">
        <f>IF(ISERROR(P853/SUM(H853:L853)),"",P853/SUM(H853:L853))</f>
        <v/>
      </c>
      <c r="R853" s="113">
        <v>0</v>
      </c>
      <c r="S853" s="28">
        <f>IF(ISERROR(P853/C853*R853),0,(P853/C853*R853))</f>
        <v>0</v>
      </c>
      <c r="T853" s="60">
        <f>IF(ISERROR(P853/B853*AF853),0,(P853/B853*AF853))</f>
        <v>0</v>
      </c>
      <c r="V853" s="113">
        <v>0</v>
      </c>
      <c r="W853" s="113">
        <v>0</v>
      </c>
      <c r="X853" s="113">
        <v>0</v>
      </c>
      <c r="Y853" s="113">
        <v>0</v>
      </c>
      <c r="AA853" s="113">
        <v>0</v>
      </c>
      <c r="AB853" s="113">
        <v>0</v>
      </c>
      <c r="AC853" s="113">
        <v>0</v>
      </c>
      <c r="AD853" s="113">
        <v>0</v>
      </c>
      <c r="AF853" s="113">
        <v>0</v>
      </c>
      <c r="AG853" s="28">
        <f>G853-O853</f>
        <v>0</v>
      </c>
      <c r="AH853" s="58">
        <f>IF(ISERROR(AG853/B853*AF853),0,(AG853/B853*AF853))</f>
        <v>0</v>
      </c>
      <c r="AI853" s="28">
        <f>SUM(H853:M853)</f>
        <v>0</v>
      </c>
      <c r="AJ853" s="28">
        <f>IF(ISERROR(AI853/B853*AF853),0,(AI853/B853*AF853))</f>
        <v>0</v>
      </c>
      <c r="AK853" s="58">
        <f>IF(ISERROR(O853/B853*AF853),0,(O853/B853*AF853))</f>
        <v>0</v>
      </c>
      <c r="AL853" s="28">
        <f>IF(ISERROR(H853/B853*AF853),0,(H853/B853*AF853))</f>
        <v>0</v>
      </c>
      <c r="AN853" s="51">
        <f>A853</f>
        <v>0</v>
      </c>
      <c r="AO853" s="57">
        <f>IF(ISERROR(IF(B853=C853,D853/C853,(INT(D853/B853)+(((D853-B853*INT(D853/B853)))/C853)/100))),0,(IF(B853=C853,D853/C853,(INT(D853/B853)+(((D853-B853*INT(D853/B853)))/C853)/100))))</f>
        <v>0</v>
      </c>
      <c r="AP853" s="57">
        <f>IF(ISERROR(IF(B853=C853,E853/C853,(INT(E853/B853)+(((E853-B853*INT(E853/B853)))/C853)/100))),0,(IF(B853=C853,E853/C853,(INT(E853/B853)+(((E853-B853*INT(E853/B853)))/C853)/100))))</f>
        <v>0</v>
      </c>
      <c r="AQ853" s="57">
        <f>IF(ISERROR(IF(B853=C853,F853/C853,IF((INT(F853/B853)+(((F853-B853*INT(F853/B853)))/C853)/100)&lt;0,(INT(F853/B853)+(((F853-B853*INT(F853/B853)))/C853)/100)+(1-(B853/C853/100)),(INT(F853/B853)+(((F853-B853*INT(F853/B853)))/C853)/100)))),0,IF(B853=C853,F853/C853,IF((INT(F853/B853)+(((F853-B853*INT(F853/B853)))/C853)/100)&lt;0,(INT(F853/B853)+(((F853-B853*INT(F853/B853)))/C853)/100)+(1-(B853/C853/100)),(INT(F853/B853)+(((F853-B853*INT(F853/B853)))/C853)/100))))</f>
        <v>0</v>
      </c>
      <c r="AR853" s="57">
        <f>IF(ISERROR(IF(B853=C853,G853/C853,(INT(G853/B853)+(((G853-B853*INT(G853/B853)))/C853)/100))),0,(IF(B853=C853,G853/C853,(INT(G853/B853)+(((G853-B853*INT(G853/B853)))/C853)/100))))</f>
        <v>0</v>
      </c>
      <c r="AS853" s="57">
        <f>IF(ISERROR(IF(B853=C853,H853/C853,(INT(H853/B853)+(((H853-B853*INT(H853/B853)))/C853)/100))),0,(IF(B853=C853,H853/C853,(INT(H853/B853)+(((H853-B853*INT(H853/B853)))/C853)/100))))</f>
        <v>0</v>
      </c>
      <c r="AT853" s="57">
        <f>IF(ISERROR(IF(B853=C853,I853/C853,(INT(I853/B853)+(((I853-B853*INT(I853/B853)))/C853)/100))),0,(IF(B853=C853,I853/C853,(INT(I853/B853)+(((I853-B853*INT(I853/B853)))/C853)/100))))</f>
        <v>0</v>
      </c>
      <c r="AU853" s="57">
        <f>IF(ISERROR(IF(B853=C853,J853/C853,(INT(J853/B853)+(((J853-B853*INT(J853/B853)))/C853)/100))),0,(IF(B853=C853,J853/C853,(INT(J853/B853)+(((J853-B853*INT(J853/B853)))/C853)/100))))</f>
        <v>0</v>
      </c>
      <c r="AV853" s="57">
        <f>IF(ISERROR(IF(B853=C853,K853/C853,IF((INT(K853/B853)+(((K853-B853*INT(K853/B853)))/C853)/100)&lt;0,(INT(K853/B853)+(((K853-B853*INT(K853/B853)))/C853)/100)+(1-(B853/C853/100)),(INT(K853/B853)+(((K853-B853*INT(K853/B853)))/C853)/100)))),0,IF(B853=C853,K853/C853,IF((INT(K853/B853)+(((K853-B853*INT(K853/B853)))/C853)/100)&lt;0,(INT(K853/B853)+(((K853-B853*INT(K853/B853)))/C853)/100)+(1-(B853/C853/100)),(INT(K853/B853)+(((K853-B853*INT(K853/B853)))/C853)/100))))</f>
        <v>0</v>
      </c>
      <c r="AW853" s="57">
        <f>IF(ISERROR(IF(B853=C853,L853/C853,(INT(L853/B853)+(((L853-B853*INT(L853/B853)))/C853)/100))),0,(IF(B853=C853,L853/C853,(INT(L853/B853)+(((L853-B853*INT(L853/B853)))/C853)/100))))</f>
        <v>0</v>
      </c>
      <c r="AX853" s="57">
        <f>IF(ISERROR(IF(B853=C853,M853/C853,(INT(M853/B853)+(((M853-B853*INT(M853/B853)))/C853)/100))),0,(IF(B853=C853,M853/C853,(INT(M853/B853)+(((M853-B853*INT(M853/B853)))/C853)/100))))</f>
        <v>0</v>
      </c>
      <c r="AY853" s="57">
        <f>IF(ISERROR(IF(B853=C853,N853/C853,IF((INT(N853/B853)+(((N853-B853*INT(N853/B853)))/C853)/100)&lt;0,(INT(N853/B853)+(((N853-B853*INT(N853/B853)))/C853)/100)+(1-(B853/C853/100)),(INT(N853/B853)+(((N853-B853*INT(N853/B853)))/C853)/100)))),0,IF(B853=C853,N853/C853,IF((INT(N853/B853)+(((N853-B853*INT(N853/B853)))/C853)/100)&lt;0,(INT(N853/B853)+(((N853-B853*INT(N853/B853)))/C853)/100)+(1-(B853/C853/100)),(INT(N853/B853)+(((N853-B853*INT(N853/B853)))/C853)/100))))</f>
        <v>0</v>
      </c>
      <c r="AZ853" s="57">
        <f>IF(ISERROR(IF(B853=C853,O853/C853,(INT(O853/B853)+(((O853-B853*INT(O853/B853)))/C853)/100))),0,(IF(B853=C853,O853/C853,(INT(O853/B853)+(((O853-B853*INT(O853/B853)))/C853)/100))))</f>
        <v>0</v>
      </c>
      <c r="BA853" s="57">
        <f>IF(ISERROR(IF(B853=C853,P853/C853,IF((INT(P853/B853)+(((P853-B853*INT(P853/B853)))/C853)/100)&lt;0,(INT(P853/B853)+(((P853-B853*INT(P853/B853)))/C853)/100)+(1-(B853/C853/100)),(INT(P853/B853)+(((P853-B853*INT(P853/B853)))/C853)/100)))),0,IF(B853=C853,P853/C853,IF((INT(P853/B853)+(((P853-B853*INT(P853/B853)))/C853)/100)&lt;0,(INT(P853/B853)+(((P853-B853*INT(P853/B853)))/C853)/100)+(1-(B853/C853/100)),(INT(P853/B853)+(((P853-B853*INT(P853/B853)))/C853)/100))))</f>
        <v>0</v>
      </c>
      <c r="BB853" s="28">
        <f>R853</f>
        <v>0</v>
      </c>
      <c r="BC853" s="28">
        <f>S853</f>
        <v>0</v>
      </c>
      <c r="BD853" s="28">
        <f>AF853</f>
        <v>0</v>
      </c>
      <c r="BE853" s="28">
        <f>T853</f>
        <v>0</v>
      </c>
      <c r="BG853" s="57">
        <f>IF(ISERROR(IF(B853=C853,V853/C853,(INT(V853/B853)+(((V853-B853*INT(V853/B853)))/C853)/100))),0,(IF(B853=C853,V853/C853,(INT(V853/B853)+(((V853-B853*INT(V853/B853)))/C853)/100))))</f>
        <v>0</v>
      </c>
      <c r="BH853" s="57">
        <f>IF(ISERROR(IF(B853=C853,W853/C853,(INT(W853/B853)+(((W853-B853*INT(W853/B853)))/C853)/100))),0,(IF(B853=C853,W853/C853,(INT(W853/B853)+(((W853-B853*INT(W853/B853)))/C853)/100))))</f>
        <v>0</v>
      </c>
      <c r="BI853" s="57">
        <f>IF(ISERROR(IF(B853=C853,X853/C853,(INT(X853/B853)+(((X853-B853*INT(X853/B853)))/C853)/100))),0,(IF(B853=C853,X853/C853,(INT(X853/B853)+(((X853-B853*INT(X853/B853)))/C853)/100))))</f>
        <v>0</v>
      </c>
      <c r="BJ853" s="57">
        <f>IF(ISERROR(IF(B853=C853,Y853/C853,(INT(Y853/B853)+(((Y853-B853*INT(Y853/B853)))/C853)/100))),0,(IF(B853=C853,Y853/C853,(INT(Y853/B853)+(((Y853-B853*INT(Y853/B853)))/C853)/100))))</f>
        <v>0</v>
      </c>
      <c r="BL853" s="57">
        <f>IF(ISERROR(IF(B853=C853,AA853/C853,(INT(AA853/B853)+(((AA853-B853*INT(AA853/B853)))/C853)/100))),0,(IF(B853=C853,AA853/C853,(INT(AA853/B853)+(((AA853-B853*INT(AA853/B853)))/C853)/100))))</f>
        <v>0</v>
      </c>
      <c r="BM853" s="57">
        <f>IF(ISERROR(IF(B853=C853,AB853/C853,(INT(AB853/B853)+(((AB853-B853*INT(AB853/B853)))/C853)/100))),0,(IF(B853=C853,AB853/C853,(INT(AB853/B853)+(((AB853-B853*INT(AB853/B853)))/C853)/100))))</f>
        <v>0</v>
      </c>
      <c r="BN853" s="57">
        <f>IF(ISERROR(IF(B853=C853,AC853/C853,(INT(AC853/B853)+(((AC853-B853*INT(AC853/B853)))/C853)/100))),0,(IF(B853=C853,AC853/C853,(INT(AC853/B853)+(((AC853-B853*INT(AC853/B853)))/C853)/100))))</f>
        <v>0</v>
      </c>
      <c r="BO853" s="57">
        <f>IF(ISERROR(IF(B853=C853,AD853/C853,(INT(AD853/B853)+(((AD853-B853*INT(AD853/B853)))/C853)/100))),0,(IF(B853=C853,AD853/C853,(INT(AD853/B853)+(((AD853-B853*INT(AD853/B853)))/C853)/100))))</f>
        <v>0</v>
      </c>
      <c r="BQ853" s="155"/>
    </row>
    <row r="854" spans="1:69" x14ac:dyDescent="0.35">
      <c r="A854" s="94"/>
      <c r="B854" s="113"/>
      <c r="C854" s="113"/>
      <c r="D854" s="28"/>
      <c r="E854" s="113"/>
      <c r="F854" s="113"/>
      <c r="G854" s="28"/>
      <c r="H854" s="125"/>
      <c r="I854" s="113"/>
      <c r="J854" s="125"/>
      <c r="K854" s="113"/>
      <c r="L854" s="113"/>
      <c r="M854" s="113"/>
      <c r="N854" s="28"/>
      <c r="O854" s="28"/>
      <c r="P854" s="28"/>
      <c r="Q854" s="61"/>
      <c r="R854" s="113"/>
      <c r="S854" s="28"/>
      <c r="T854" s="28"/>
      <c r="V854" s="113"/>
      <c r="W854" s="113"/>
      <c r="X854" s="113"/>
      <c r="Y854" s="113"/>
      <c r="AA854" s="113"/>
      <c r="AB854" s="113"/>
      <c r="AC854" s="113"/>
      <c r="AD854" s="113"/>
      <c r="AF854" s="113"/>
      <c r="AG854" s="28"/>
      <c r="AH854" s="58"/>
      <c r="AI854" s="28"/>
      <c r="AJ854" s="28"/>
      <c r="AK854" s="58"/>
      <c r="AL854" s="28"/>
      <c r="AN854" s="51"/>
      <c r="AO854" s="28"/>
      <c r="AP854" s="28"/>
      <c r="AQ854" s="28"/>
      <c r="AR854" s="28"/>
      <c r="AS854" s="28"/>
      <c r="AT854" s="28"/>
      <c r="AU854" s="28"/>
      <c r="AV854" s="28"/>
      <c r="AW854" s="28"/>
      <c r="AX854" s="28"/>
      <c r="AY854" s="28"/>
      <c r="AZ854" s="28"/>
      <c r="BA854" s="28"/>
      <c r="BB854" s="28"/>
      <c r="BC854" s="28"/>
      <c r="BD854" s="28"/>
      <c r="BE854" s="28"/>
      <c r="BG854" s="28"/>
      <c r="BH854" s="28"/>
      <c r="BI854" s="28"/>
      <c r="BJ854" s="28"/>
      <c r="BL854" s="28"/>
      <c r="BM854" s="28"/>
      <c r="BN854" s="28"/>
      <c r="BO854" s="28"/>
      <c r="BQ854" s="113"/>
    </row>
    <row r="855" spans="1:69" x14ac:dyDescent="0.35">
      <c r="A855" s="135" t="s">
        <v>122</v>
      </c>
      <c r="B855" s="113"/>
      <c r="C855" s="113"/>
      <c r="D855" s="28"/>
      <c r="E855" s="113"/>
      <c r="F855" s="113"/>
      <c r="G855" s="28"/>
      <c r="H855" s="125"/>
      <c r="I855" s="113"/>
      <c r="J855" s="125"/>
      <c r="K855" s="113"/>
      <c r="L855" s="113"/>
      <c r="M855" s="113"/>
      <c r="N855" s="28"/>
      <c r="O855" s="125"/>
      <c r="P855" s="28"/>
      <c r="Q855" s="61"/>
      <c r="R855" s="113"/>
      <c r="S855" s="28"/>
      <c r="T855" s="28"/>
      <c r="V855" s="113"/>
      <c r="W855" s="113"/>
      <c r="X855" s="113"/>
      <c r="Y855" s="113"/>
      <c r="AA855" s="113"/>
      <c r="AB855" s="113"/>
      <c r="AC855" s="113"/>
      <c r="AD855" s="113"/>
      <c r="AF855" s="113"/>
      <c r="AG855" s="28"/>
      <c r="AH855" s="58"/>
      <c r="AI855" s="28"/>
      <c r="AJ855" s="28"/>
      <c r="AK855" s="58"/>
      <c r="AL855" s="28"/>
      <c r="AN855" s="65" t="str">
        <f>A855</f>
        <v>Juices &amp; Syrups</v>
      </c>
      <c r="AO855" s="28"/>
      <c r="AP855" s="28"/>
      <c r="AQ855" s="28"/>
      <c r="AR855" s="28"/>
      <c r="AS855" s="28"/>
      <c r="AT855" s="28"/>
      <c r="AU855" s="28"/>
      <c r="AV855" s="28"/>
      <c r="AW855" s="28"/>
      <c r="AX855" s="28"/>
      <c r="AY855" s="28"/>
      <c r="AZ855" s="28"/>
      <c r="BA855" s="28"/>
      <c r="BB855" s="28"/>
      <c r="BC855" s="28"/>
      <c r="BD855" s="28"/>
      <c r="BE855" s="28"/>
      <c r="BG855" s="28"/>
      <c r="BH855" s="28"/>
      <c r="BI855" s="28"/>
      <c r="BJ855" s="28"/>
      <c r="BL855" s="28"/>
      <c r="BM855" s="28"/>
      <c r="BN855" s="28"/>
      <c r="BO855" s="28"/>
      <c r="BQ855" s="113"/>
    </row>
    <row r="856" spans="1:69" x14ac:dyDescent="0.35">
      <c r="A856" s="64" t="s">
        <v>121</v>
      </c>
      <c r="B856" s="113">
        <v>1000</v>
      </c>
      <c r="C856" s="113">
        <v>333</v>
      </c>
      <c r="D856" s="28">
        <f>SUM(AA856:AD856)</f>
        <v>4000</v>
      </c>
      <c r="E856" s="113">
        <v>12000</v>
      </c>
      <c r="F856" s="113">
        <v>0</v>
      </c>
      <c r="G856" s="28">
        <f>SUM(D856:F856)</f>
        <v>16000</v>
      </c>
      <c r="H856" s="125">
        <v>0</v>
      </c>
      <c r="I856" s="113">
        <v>0</v>
      </c>
      <c r="J856" s="125">
        <v>0</v>
      </c>
      <c r="K856" s="113">
        <v>0</v>
      </c>
      <c r="L856" s="113">
        <v>0</v>
      </c>
      <c r="M856" s="113">
        <v>0</v>
      </c>
      <c r="N856" s="28">
        <f>G856-SUM(H856:M856)</f>
        <v>16000</v>
      </c>
      <c r="O856" s="28">
        <f>SUM(V856:Y856)</f>
        <v>16000</v>
      </c>
      <c r="P856" s="28">
        <f>O856-N856</f>
        <v>0</v>
      </c>
      <c r="Q856" s="61" t="str">
        <f>IF(ISERROR(P856/SUM(H856:L856)),"",P856/SUM(H856:L856))</f>
        <v/>
      </c>
      <c r="R856" s="113">
        <v>90</v>
      </c>
      <c r="S856" s="28">
        <f>IF(ISERROR(P856/C856*R856),0,(P856/C856*R856))</f>
        <v>0</v>
      </c>
      <c r="T856" s="60">
        <f>IF(ISERROR(P856/B856*AF856),0,(P856/B856*AF856))</f>
        <v>0</v>
      </c>
      <c r="V856" s="113">
        <v>3000</v>
      </c>
      <c r="W856" s="113">
        <v>13000</v>
      </c>
      <c r="X856" s="113">
        <v>0</v>
      </c>
      <c r="Y856" s="113">
        <v>0</v>
      </c>
      <c r="AA856" s="113">
        <v>3000</v>
      </c>
      <c r="AB856" s="113">
        <v>1000</v>
      </c>
      <c r="AC856" s="113">
        <v>0</v>
      </c>
      <c r="AD856" s="113">
        <v>0</v>
      </c>
      <c r="AF856" s="155">
        <v>84.58</v>
      </c>
      <c r="AG856" s="28">
        <f>G856-O856</f>
        <v>0</v>
      </c>
      <c r="AH856" s="58">
        <f>IF(ISERROR(AG856/B856*AF856),0,(AG856/B856*AF856))</f>
        <v>0</v>
      </c>
      <c r="AI856" s="28">
        <f>SUM(H856:M856)</f>
        <v>0</v>
      </c>
      <c r="AJ856" s="28">
        <f>IF(ISERROR(AI856/B856*AF856),0,(AI856/B856*AF856))</f>
        <v>0</v>
      </c>
      <c r="AK856" s="58">
        <f>IF(ISERROR(O856/B856*AF856),0,(O856/B856*AF856))</f>
        <v>1353.28</v>
      </c>
      <c r="AL856" s="28">
        <f>IF(ISERROR(H856/B856*AF856),0,(H856/B856*AF856))</f>
        <v>0</v>
      </c>
      <c r="AN856" s="51" t="str">
        <f>A856</f>
        <v>Apple Juice</v>
      </c>
      <c r="AO856" s="57">
        <f>IF(ISERROR(IF(B856=C856,D856/C856,(INT(D856/B856)+(((D856-B856*INT(D856/B856)))/C856)/100))),0,(IF(B856=C856,D856/C856,(INT(D856/B856)+(((D856-B856*INT(D856/B856)))/C856)/100))))</f>
        <v>4</v>
      </c>
      <c r="AP856" s="57">
        <f>IF(ISERROR(IF(B856=C856,E856/C856,(INT(E856/B856)+(((E856-B856*INT(E856/B856)))/C856)/100))),0,(IF(B856=C856,E856/C856,(INT(E856/B856)+(((E856-B856*INT(E856/B856)))/C856)/100))))</f>
        <v>12</v>
      </c>
      <c r="AQ856" s="57">
        <f>IF(ISERROR(IF(B856=C856,F856/C856,IF((INT(F856/B856)+(((F856-B856*INT(F856/B856)))/C856)/100)&lt;0,(INT(F856/B856)+(((F856-B856*INT(F856/B856)))/C856)/100)+(1-(B856/C856/100)),(INT(F856/B856)+(((F856-B856*INT(F856/B856)))/C856)/100)))),0,IF(B856=C856,F856/C856,IF((INT(F856/B856)+(((F856-B856*INT(F856/B856)))/C856)/100)&lt;0,(INT(F856/B856)+(((F856-B856*INT(F856/B856)))/C856)/100)+(1-(B856/C856/100)),(INT(F856/B856)+(((F856-B856*INT(F856/B856)))/C856)/100))))</f>
        <v>0</v>
      </c>
      <c r="AR856" s="57">
        <f>IF(ISERROR(IF(B856=C856,G856/C856,(INT(G856/B856)+(((G856-B856*INT(G856/B856)))/C856)/100))),0,(IF(B856=C856,G856/C856,(INT(G856/B856)+(((G856-B856*INT(G856/B856)))/C856)/100))))</f>
        <v>16</v>
      </c>
      <c r="AS856" s="57">
        <f>IF(ISERROR(IF(B856=C856,H856/C856,(INT(H856/B856)+(((H856-B856*INT(H856/B856)))/C856)/100))),0,(IF(B856=C856,H856/C856,(INT(H856/B856)+(((H856-B856*INT(H856/B856)))/C856)/100))))</f>
        <v>0</v>
      </c>
      <c r="AT856" s="57">
        <f>IF(ISERROR(IF(B856=C856,I856/C856,(INT(I856/B856)+(((I856-B856*INT(I856/B856)))/C856)/100))),0,(IF(B856=C856,I856/C856,(INT(I856/B856)+(((I856-B856*INT(I856/B856)))/C856)/100))))</f>
        <v>0</v>
      </c>
      <c r="AU856" s="57">
        <f>IF(ISERROR(IF(B856=C856,J856/C856,(INT(J856/B856)+(((J856-B856*INT(J856/B856)))/C856)/100))),0,(IF(B856=C856,J856/C856,(INT(J856/B856)+(((J856-B856*INT(J856/B856)))/C856)/100))))</f>
        <v>0</v>
      </c>
      <c r="AV856" s="57">
        <f>IF(ISERROR(IF(B856=C856,K856/C856,IF((INT(K856/B856)+(((K856-B856*INT(K856/B856)))/C856)/100)&lt;0,(INT(K856/B856)+(((K856-B856*INT(K856/B856)))/C856)/100)+(1-(B856/C856/100)),(INT(K856/B856)+(((K856-B856*INT(K856/B856)))/C856)/100)))),0,IF(B856=C856,K856/C856,IF((INT(K856/B856)+(((K856-B856*INT(K856/B856)))/C856)/100)&lt;0,(INT(K856/B856)+(((K856-B856*INT(K856/B856)))/C856)/100)+(1-(B856/C856/100)),(INT(K856/B856)+(((K856-B856*INT(K856/B856)))/C856)/100))))</f>
        <v>0</v>
      </c>
      <c r="AW856" s="57">
        <f>IF(ISERROR(IF(B856=C856,L856/C856,(INT(L856/B856)+(((L856-B856*INT(L856/B856)))/C856)/100))),0,(IF(B856=C856,L856/C856,(INT(L856/B856)+(((L856-B856*INT(L856/B856)))/C856)/100))))</f>
        <v>0</v>
      </c>
      <c r="AX856" s="57">
        <f>IF(ISERROR(IF(B856=C856,M856/C856,(INT(M856/B856)+(((M856-B856*INT(M856/B856)))/C856)/100))),0,(IF(B856=C856,M856/C856,(INT(M856/B856)+(((M856-B856*INT(M856/B856)))/C856)/100))))</f>
        <v>0</v>
      </c>
      <c r="AY856" s="57">
        <f>IF(ISERROR(IF(B856=C856,N856/C856,IF((INT(N856/B856)+(((N856-B856*INT(N856/B856)))/C856)/100)&lt;0,(INT(N856/B856)+(((N856-B856*INT(N856/B856)))/C856)/100)+(1-(B856/C856/100)),(INT(N856/B856)+(((N856-B856*INT(N856/B856)))/C856)/100)))),0,IF(B856=C856,N856/C856,IF((INT(N856/B856)+(((N856-B856*INT(N856/B856)))/C856)/100)&lt;0,(INT(N856/B856)+(((N856-B856*INT(N856/B856)))/C856)/100)+(1-(B856/C856/100)),(INT(N856/B856)+(((N856-B856*INT(N856/B856)))/C856)/100))))</f>
        <v>16</v>
      </c>
      <c r="AZ856" s="57">
        <f>IF(ISERROR(IF(B856=C856,O856/C856,(INT(O856/B856)+(((O856-B856*INT(O856/B856)))/C856)/100))),0,(IF(B856=C856,O856/C856,(INT(O856/B856)+(((O856-B856*INT(O856/B856)))/C856)/100))))</f>
        <v>16</v>
      </c>
      <c r="BA856" s="57">
        <f>IF(ISERROR(IF(B856=C856,P856/C856,IF((INT(P856/B856)+(((P856-B856*INT(P856/B856)))/C856)/100)&lt;0,(INT(P856/B856)+(((P856-B856*INT(P856/B856)))/C856)/100)+(1-(B856/C856/100)),(INT(P856/B856)+(((P856-B856*INT(P856/B856)))/C856)/100)))),0,IF(B856=C856,P856/C856,IF((INT(P856/B856)+(((P856-B856*INT(P856/B856)))/C856)/100)&lt;0,(INT(P856/B856)+(((P856-B856*INT(P856/B856)))/C856)/100)+(1-(B856/C856/100)),(INT(P856/B856)+(((P856-B856*INT(P856/B856)))/C856)/100))))</f>
        <v>0</v>
      </c>
      <c r="BB856" s="28">
        <f>R856</f>
        <v>90</v>
      </c>
      <c r="BC856" s="28">
        <f>S856</f>
        <v>0</v>
      </c>
      <c r="BD856" s="28">
        <f>AF856</f>
        <v>84.58</v>
      </c>
      <c r="BE856" s="28">
        <f>T856</f>
        <v>0</v>
      </c>
      <c r="BG856" s="57">
        <f>IF(ISERROR(IF(B856=C856,V856/C856,(INT(V856/B856)+(((V856-B856*INT(V856/B856)))/C856)/100))),0,(IF(B856=C856,V856/C856,(INT(V856/B856)+(((V856-B856*INT(V856/B856)))/C856)/100))))</f>
        <v>3</v>
      </c>
      <c r="BH856" s="57">
        <f>IF(ISERROR(IF(B856=C856,W856/C856,(INT(W856/B856)+(((W856-B856*INT(W856/B856)))/C856)/100))),0,(IF(B856=C856,W856/C856,(INT(W856/B856)+(((W856-B856*INT(W856/B856)))/C856)/100))))</f>
        <v>13</v>
      </c>
      <c r="BI856" s="57">
        <f>IF(ISERROR(IF(B856=C856,X856/C856,(INT(X856/B856)+(((X856-B856*INT(X856/B856)))/C856)/100))),0,(IF(B856=C856,X856/C856,(INT(X856/B856)+(((X856-B856*INT(X856/B856)))/C856)/100))))</f>
        <v>0</v>
      </c>
      <c r="BJ856" s="57">
        <f>IF(ISERROR(IF(B856=C856,Y856/C856,(INT(Y856/B856)+(((Y856-B856*INT(Y856/B856)))/C856)/100))),0,(IF(B856=C856,Y856/C856,(INT(Y856/B856)+(((Y856-B856*INT(Y856/B856)))/C856)/100))))</f>
        <v>0</v>
      </c>
      <c r="BL856" s="57">
        <f>IF(ISERROR(IF(B856=C856,AA856/C856,(INT(AA856/B856)+(((AA856-B856*INT(AA856/B856)))/C856)/100))),0,(IF(B856=C856,AA856/C856,(INT(AA856/B856)+(((AA856-B856*INT(AA856/B856)))/C856)/100))))</f>
        <v>3</v>
      </c>
      <c r="BM856" s="57">
        <f>IF(ISERROR(IF(B856=C856,AB856/C856,(INT(AB856/B856)+(((AB856-B856*INT(AB856/B856)))/C856)/100))),0,(IF(B856=C856,AB856/C856,(INT(AB856/B856)+(((AB856-B856*INT(AB856/B856)))/C856)/100))))</f>
        <v>1</v>
      </c>
      <c r="BN856" s="57">
        <f>IF(ISERROR(IF(B856=C856,AC856/C856,(INT(AC856/B856)+(((AC856-B856*INT(AC856/B856)))/C856)/100))),0,(IF(B856=C856,AC856/C856,(INT(AC856/B856)+(((AC856-B856*INT(AC856/B856)))/C856)/100))))</f>
        <v>0</v>
      </c>
      <c r="BO856" s="57">
        <f>IF(ISERROR(IF(B856=C856,AD856/C856,(INT(AD856/B856)+(((AD856-B856*INT(AD856/B856)))/C856)/100))),0,(IF(B856=C856,AD856/C856,(INT(AD856/B856)+(((AD856-B856*INT(AD856/B856)))/C856)/100))))</f>
        <v>0</v>
      </c>
      <c r="BQ856" s="155" t="s">
        <v>113</v>
      </c>
    </row>
    <row r="857" spans="1:69" x14ac:dyDescent="0.35">
      <c r="A857" s="64" t="s">
        <v>120</v>
      </c>
      <c r="B857" s="113">
        <v>1000</v>
      </c>
      <c r="C857" s="113">
        <v>333</v>
      </c>
      <c r="D857" s="28">
        <f>SUM(AA857:AD857)</f>
        <v>3000</v>
      </c>
      <c r="E857" s="125">
        <v>12000</v>
      </c>
      <c r="F857" s="113">
        <v>0</v>
      </c>
      <c r="G857" s="28">
        <f>SUM(D857:F857)</f>
        <v>15000</v>
      </c>
      <c r="H857" s="125">
        <v>0</v>
      </c>
      <c r="I857" s="113">
        <v>0</v>
      </c>
      <c r="J857" s="125">
        <v>0</v>
      </c>
      <c r="K857" s="113">
        <v>0</v>
      </c>
      <c r="L857" s="113">
        <v>0</v>
      </c>
      <c r="M857" s="113">
        <v>0</v>
      </c>
      <c r="N857" s="28">
        <f>G857-SUM(H857:M857)</f>
        <v>15000</v>
      </c>
      <c r="O857" s="28">
        <f>SUM(V857:Y857)</f>
        <v>15000</v>
      </c>
      <c r="P857" s="28">
        <f>O857-N857</f>
        <v>0</v>
      </c>
      <c r="Q857" s="61" t="str">
        <f>IF(ISERROR(P857/SUM(H857:L857)),"",P857/SUM(H857:L857))</f>
        <v/>
      </c>
      <c r="R857" s="113">
        <v>90</v>
      </c>
      <c r="S857" s="28">
        <f>IF(ISERROR(P857/C857*R857),0,(P857/C857*R857))</f>
        <v>0</v>
      </c>
      <c r="T857" s="60">
        <f>IF(ISERROR(P857/B857*AF857),0,(P857/B857*AF857))</f>
        <v>0</v>
      </c>
      <c r="V857" s="113">
        <v>3000</v>
      </c>
      <c r="W857" s="113">
        <v>12000</v>
      </c>
      <c r="X857" s="113">
        <v>0</v>
      </c>
      <c r="Y857" s="113">
        <v>0</v>
      </c>
      <c r="AA857" s="113">
        <v>3000</v>
      </c>
      <c r="AB857" s="113">
        <v>0</v>
      </c>
      <c r="AC857" s="113">
        <v>0</v>
      </c>
      <c r="AD857" s="113">
        <v>0</v>
      </c>
      <c r="AF857" s="155">
        <v>92.92</v>
      </c>
      <c r="AG857" s="28">
        <f>G857-O857</f>
        <v>0</v>
      </c>
      <c r="AH857" s="58">
        <f>IF(ISERROR(AG857/B857*AF857),0,(AG857/B857*AF857))</f>
        <v>0</v>
      </c>
      <c r="AI857" s="28">
        <f>SUM(H857:M857)</f>
        <v>0</v>
      </c>
      <c r="AJ857" s="28">
        <f>IF(ISERROR(AI857/B857*AF857),0,(AI857/B857*AF857))</f>
        <v>0</v>
      </c>
      <c r="AK857" s="58">
        <f>IF(ISERROR(O857/B857*AF857),0,(O857/B857*AF857))</f>
        <v>1393.8</v>
      </c>
      <c r="AL857" s="28">
        <f>IF(ISERROR(H857/B857*AF857),0,(H857/B857*AF857))</f>
        <v>0</v>
      </c>
      <c r="AN857" s="51" t="str">
        <f>A857</f>
        <v>Cranberry Juice</v>
      </c>
      <c r="AO857" s="57">
        <f>IF(ISERROR(IF(B857=C857,D857/C857,(INT(D857/B857)+(((D857-B857*INT(D857/B857)))/C857)/100))),0,(IF(B857=C857,D857/C857,(INT(D857/B857)+(((D857-B857*INT(D857/B857)))/C857)/100))))</f>
        <v>3</v>
      </c>
      <c r="AP857" s="57">
        <f>IF(ISERROR(IF(B857=C857,E857/C857,(INT(E857/B857)+(((E857-B857*INT(E857/B857)))/C857)/100))),0,(IF(B857=C857,E857/C857,(INT(E857/B857)+(((E857-B857*INT(E857/B857)))/C857)/100))))</f>
        <v>12</v>
      </c>
      <c r="AQ857" s="57">
        <f>IF(ISERROR(IF(B857=C857,F857/C857,IF((INT(F857/B857)+(((F857-B857*INT(F857/B857)))/C857)/100)&lt;0,(INT(F857/B857)+(((F857-B857*INT(F857/B857)))/C857)/100)+(1-(B857/C857/100)),(INT(F857/B857)+(((F857-B857*INT(F857/B857)))/C857)/100)))),0,IF(B857=C857,F857/C857,IF((INT(F857/B857)+(((F857-B857*INT(F857/B857)))/C857)/100)&lt;0,(INT(F857/B857)+(((F857-B857*INT(F857/B857)))/C857)/100)+(1-(B857/C857/100)),(INT(F857/B857)+(((F857-B857*INT(F857/B857)))/C857)/100))))</f>
        <v>0</v>
      </c>
      <c r="AR857" s="57">
        <f>IF(ISERROR(IF(B857=C857,G857/C857,(INT(G857/B857)+(((G857-B857*INT(G857/B857)))/C857)/100))),0,(IF(B857=C857,G857/C857,(INT(G857/B857)+(((G857-B857*INT(G857/B857)))/C857)/100))))</f>
        <v>15</v>
      </c>
      <c r="AS857" s="57">
        <f>IF(ISERROR(IF(B857=C857,H857/C857,(INT(H857/B857)+(((H857-B857*INT(H857/B857)))/C857)/100))),0,(IF(B857=C857,H857/C857,(INT(H857/B857)+(((H857-B857*INT(H857/B857)))/C857)/100))))</f>
        <v>0</v>
      </c>
      <c r="AT857" s="57">
        <f>IF(ISERROR(IF(B857=C857,I857/C857,(INT(I857/B857)+(((I857-B857*INT(I857/B857)))/C857)/100))),0,(IF(B857=C857,I857/C857,(INT(I857/B857)+(((I857-B857*INT(I857/B857)))/C857)/100))))</f>
        <v>0</v>
      </c>
      <c r="AU857" s="57">
        <f>IF(ISERROR(IF(B857=C857,J857/C857,(INT(J857/B857)+(((J857-B857*INT(J857/B857)))/C857)/100))),0,(IF(B857=C857,J857/C857,(INT(J857/B857)+(((J857-B857*INT(J857/B857)))/C857)/100))))</f>
        <v>0</v>
      </c>
      <c r="AV857" s="57">
        <f>IF(ISERROR(IF(B857=C857,K857/C857,IF((INT(K857/B857)+(((K857-B857*INT(K857/B857)))/C857)/100)&lt;0,(INT(K857/B857)+(((K857-B857*INT(K857/B857)))/C857)/100)+(1-(B857/C857/100)),(INT(K857/B857)+(((K857-B857*INT(K857/B857)))/C857)/100)))),0,IF(B857=C857,K857/C857,IF((INT(K857/B857)+(((K857-B857*INT(K857/B857)))/C857)/100)&lt;0,(INT(K857/B857)+(((K857-B857*INT(K857/B857)))/C857)/100)+(1-(B857/C857/100)),(INT(K857/B857)+(((K857-B857*INT(K857/B857)))/C857)/100))))</f>
        <v>0</v>
      </c>
      <c r="AW857" s="57">
        <f>IF(ISERROR(IF(B857=C857,L857/C857,(INT(L857/B857)+(((L857-B857*INT(L857/B857)))/C857)/100))),0,(IF(B857=C857,L857/C857,(INT(L857/B857)+(((L857-B857*INT(L857/B857)))/C857)/100))))</f>
        <v>0</v>
      </c>
      <c r="AX857" s="57">
        <f>IF(ISERROR(IF(B857=C857,M857/C857,(INT(M857/B857)+(((M857-B857*INT(M857/B857)))/C857)/100))),0,(IF(B857=C857,M857/C857,(INT(M857/B857)+(((M857-B857*INT(M857/B857)))/C857)/100))))</f>
        <v>0</v>
      </c>
      <c r="AY857" s="57">
        <f>IF(ISERROR(IF(B857=C857,N857/C857,IF((INT(N857/B857)+(((N857-B857*INT(N857/B857)))/C857)/100)&lt;0,(INT(N857/B857)+(((N857-B857*INT(N857/B857)))/C857)/100)+(1-(B857/C857/100)),(INT(N857/B857)+(((N857-B857*INT(N857/B857)))/C857)/100)))),0,IF(B857=C857,N857/C857,IF((INT(N857/B857)+(((N857-B857*INT(N857/B857)))/C857)/100)&lt;0,(INT(N857/B857)+(((N857-B857*INT(N857/B857)))/C857)/100)+(1-(B857/C857/100)),(INT(N857/B857)+(((N857-B857*INT(N857/B857)))/C857)/100))))</f>
        <v>15</v>
      </c>
      <c r="AZ857" s="57">
        <f>IF(ISERROR(IF(B857=C857,O857/C857,(INT(O857/B857)+(((O857-B857*INT(O857/B857)))/C857)/100))),0,(IF(B857=C857,O857/C857,(INT(O857/B857)+(((O857-B857*INT(O857/B857)))/C857)/100))))</f>
        <v>15</v>
      </c>
      <c r="BA857" s="57">
        <f>IF(ISERROR(IF(B857=C857,P857/C857,IF((INT(P857/B857)+(((P857-B857*INT(P857/B857)))/C857)/100)&lt;0,(INT(P857/B857)+(((P857-B857*INT(P857/B857)))/C857)/100)+(1-(B857/C857/100)),(INT(P857/B857)+(((P857-B857*INT(P857/B857)))/C857)/100)))),0,IF(B857=C857,P857/C857,IF((INT(P857/B857)+(((P857-B857*INT(P857/B857)))/C857)/100)&lt;0,(INT(P857/B857)+(((P857-B857*INT(P857/B857)))/C857)/100)+(1-(B857/C857/100)),(INT(P857/B857)+(((P857-B857*INT(P857/B857)))/C857)/100))))</f>
        <v>0</v>
      </c>
      <c r="BB857" s="28">
        <f>R857</f>
        <v>90</v>
      </c>
      <c r="BC857" s="28">
        <f>S857</f>
        <v>0</v>
      </c>
      <c r="BD857" s="28">
        <f>AF857</f>
        <v>92.92</v>
      </c>
      <c r="BE857" s="28">
        <f>T857</f>
        <v>0</v>
      </c>
      <c r="BG857" s="57">
        <f>IF(ISERROR(IF(B857=C857,V857/C857,(INT(V857/B857)+(((V857-B857*INT(V857/B857)))/C857)/100))),0,(IF(B857=C857,V857/C857,(INT(V857/B857)+(((V857-B857*INT(V857/B857)))/C857)/100))))</f>
        <v>3</v>
      </c>
      <c r="BH857" s="57">
        <f>IF(ISERROR(IF(B857=C857,W857/C857,(INT(W857/B857)+(((W857-B857*INT(W857/B857)))/C857)/100))),0,(IF(B857=C857,W857/C857,(INT(W857/B857)+(((W857-B857*INT(W857/B857)))/C857)/100))))</f>
        <v>12</v>
      </c>
      <c r="BI857" s="57">
        <f>IF(ISERROR(IF(B857=C857,X857/C857,(INT(X857/B857)+(((X857-B857*INT(X857/B857)))/C857)/100))),0,(IF(B857=C857,X857/C857,(INT(X857/B857)+(((X857-B857*INT(X857/B857)))/C857)/100))))</f>
        <v>0</v>
      </c>
      <c r="BJ857" s="57">
        <f>IF(ISERROR(IF(B857=C857,Y857/C857,(INT(Y857/B857)+(((Y857-B857*INT(Y857/B857)))/C857)/100))),0,(IF(B857=C857,Y857/C857,(INT(Y857/B857)+(((Y857-B857*INT(Y857/B857)))/C857)/100))))</f>
        <v>0</v>
      </c>
      <c r="BL857" s="57">
        <f>IF(ISERROR(IF(B857=C857,AA857/C857,(INT(AA857/B857)+(((AA857-B857*INT(AA857/B857)))/C857)/100))),0,(IF(B857=C857,AA857/C857,(INT(AA857/B857)+(((AA857-B857*INT(AA857/B857)))/C857)/100))))</f>
        <v>3</v>
      </c>
      <c r="BM857" s="57">
        <f>IF(ISERROR(IF(B857=C857,AB857/C857,(INT(AB857/B857)+(((AB857-B857*INT(AB857/B857)))/C857)/100))),0,(IF(B857=C857,AB857/C857,(INT(AB857/B857)+(((AB857-B857*INT(AB857/B857)))/C857)/100))))</f>
        <v>0</v>
      </c>
      <c r="BN857" s="57">
        <f>IF(ISERROR(IF(B857=C857,AC857/C857,(INT(AC857/B857)+(((AC857-B857*INT(AC857/B857)))/C857)/100))),0,(IF(B857=C857,AC857/C857,(INT(AC857/B857)+(((AC857-B857*INT(AC857/B857)))/C857)/100))))</f>
        <v>0</v>
      </c>
      <c r="BO857" s="57">
        <f>IF(ISERROR(IF(B857=C857,AD857/C857,(INT(AD857/B857)+(((AD857-B857*INT(AD857/B857)))/C857)/100))),0,(IF(B857=C857,AD857/C857,(INT(AD857/B857)+(((AD857-B857*INT(AD857/B857)))/C857)/100))))</f>
        <v>0</v>
      </c>
      <c r="BQ857" s="155" t="s">
        <v>113</v>
      </c>
    </row>
    <row r="858" spans="1:69" x14ac:dyDescent="0.35">
      <c r="A858" s="64" t="s">
        <v>119</v>
      </c>
      <c r="B858" s="113">
        <v>1000</v>
      </c>
      <c r="C858" s="113">
        <v>333</v>
      </c>
      <c r="D858" s="28">
        <f>SUM(AA858:AD858)</f>
        <v>0</v>
      </c>
      <c r="E858" s="125">
        <v>0</v>
      </c>
      <c r="F858" s="113">
        <v>0</v>
      </c>
      <c r="G858" s="28">
        <f>SUM(D858:F858)</f>
        <v>0</v>
      </c>
      <c r="H858" s="125">
        <v>0</v>
      </c>
      <c r="I858" s="113">
        <v>0</v>
      </c>
      <c r="J858" s="125">
        <v>0</v>
      </c>
      <c r="K858" s="113">
        <v>0</v>
      </c>
      <c r="L858" s="113">
        <v>0</v>
      </c>
      <c r="M858" s="113">
        <v>0</v>
      </c>
      <c r="N858" s="28">
        <f>G858-SUM(H858:M858)</f>
        <v>0</v>
      </c>
      <c r="O858" s="28">
        <f>SUM(V858:Y858)</f>
        <v>0</v>
      </c>
      <c r="P858" s="28">
        <f>O858-N858</f>
        <v>0</v>
      </c>
      <c r="Q858" s="61" t="str">
        <f>IF(ISERROR(P858/SUM(H858:L858)),"",P858/SUM(H858:L858))</f>
        <v/>
      </c>
      <c r="R858" s="113">
        <v>90</v>
      </c>
      <c r="S858" s="28">
        <f>IF(ISERROR(P858/C858*R858),0,(P858/C858*R858))</f>
        <v>0</v>
      </c>
      <c r="T858" s="60">
        <f>IF(ISERROR(P858/B858*AF858),0,(P858/B858*AF858))</f>
        <v>0</v>
      </c>
      <c r="V858" s="113">
        <v>0</v>
      </c>
      <c r="W858" s="113">
        <v>0</v>
      </c>
      <c r="X858" s="113">
        <v>0</v>
      </c>
      <c r="Y858" s="113">
        <v>0</v>
      </c>
      <c r="AA858" s="113">
        <v>0</v>
      </c>
      <c r="AB858" s="113">
        <v>0</v>
      </c>
      <c r="AC858" s="113">
        <v>0</v>
      </c>
      <c r="AD858" s="113">
        <v>0</v>
      </c>
      <c r="AF858" s="155">
        <v>0</v>
      </c>
      <c r="AG858" s="28">
        <f>G858-O858</f>
        <v>0</v>
      </c>
      <c r="AH858" s="58">
        <f>IF(ISERROR(AG858/B858*AF858),0,(AG858/B858*AF858))</f>
        <v>0</v>
      </c>
      <c r="AI858" s="28">
        <f>SUM(H858:M858)</f>
        <v>0</v>
      </c>
      <c r="AJ858" s="28">
        <f>IF(ISERROR(AI858/B858*AF858),0,(AI858/B858*AF858))</f>
        <v>0</v>
      </c>
      <c r="AK858" s="58">
        <f>IF(ISERROR(O858/B858*AF858),0,(O858/B858*AF858))</f>
        <v>0</v>
      </c>
      <c r="AL858" s="28">
        <f>IF(ISERROR(H858/B858*AF858),0,(H858/B858*AF858))</f>
        <v>0</v>
      </c>
      <c r="AN858" s="51" t="str">
        <f>A858</f>
        <v>Guava Juice</v>
      </c>
      <c r="AO858" s="57">
        <f>IF(ISERROR(IF(B858=C858,D858/C858,(INT(D858/B858)+(((D858-B858*INT(D858/B858)))/C858)/100))),0,(IF(B858=C858,D858/C858,(INT(D858/B858)+(((D858-B858*INT(D858/B858)))/C858)/100))))</f>
        <v>0</v>
      </c>
      <c r="AP858" s="57">
        <f>IF(ISERROR(IF(B858=C858,E858/C858,(INT(E858/B858)+(((E858-B858*INT(E858/B858)))/C858)/100))),0,(IF(B858=C858,E858/C858,(INT(E858/B858)+(((E858-B858*INT(E858/B858)))/C858)/100))))</f>
        <v>0</v>
      </c>
      <c r="AQ858" s="57">
        <f>IF(ISERROR(IF(B858=C858,F858/C858,IF((INT(F858/B858)+(((F858-B858*INT(F858/B858)))/C858)/100)&lt;0,(INT(F858/B858)+(((F858-B858*INT(F858/B858)))/C858)/100)+(1-(B858/C858/100)),(INT(F858/B858)+(((F858-B858*INT(F858/B858)))/C858)/100)))),0,IF(B858=C858,F858/C858,IF((INT(F858/B858)+(((F858-B858*INT(F858/B858)))/C858)/100)&lt;0,(INT(F858/B858)+(((F858-B858*INT(F858/B858)))/C858)/100)+(1-(B858/C858/100)),(INT(F858/B858)+(((F858-B858*INT(F858/B858)))/C858)/100))))</f>
        <v>0</v>
      </c>
      <c r="AR858" s="57">
        <f>IF(ISERROR(IF(B858=C858,G858/C858,(INT(G858/B858)+(((G858-B858*INT(G858/B858)))/C858)/100))),0,(IF(B858=C858,G858/C858,(INT(G858/B858)+(((G858-B858*INT(G858/B858)))/C858)/100))))</f>
        <v>0</v>
      </c>
      <c r="AS858" s="57">
        <f>IF(ISERROR(IF(B858=C858,H858/C858,(INT(H858/B858)+(((H858-B858*INT(H858/B858)))/C858)/100))),0,(IF(B858=C858,H858/C858,(INT(H858/B858)+(((H858-B858*INT(H858/B858)))/C858)/100))))</f>
        <v>0</v>
      </c>
      <c r="AT858" s="57">
        <f>IF(ISERROR(IF(B858=C858,I858/C858,(INT(I858/B858)+(((I858-B858*INT(I858/B858)))/C858)/100))),0,(IF(B858=C858,I858/C858,(INT(I858/B858)+(((I858-B858*INT(I858/B858)))/C858)/100))))</f>
        <v>0</v>
      </c>
      <c r="AU858" s="57">
        <f>IF(ISERROR(IF(B858=C858,J858/C858,(INT(J858/B858)+(((J858-B858*INT(J858/B858)))/C858)/100))),0,(IF(B858=C858,J858/C858,(INT(J858/B858)+(((J858-B858*INT(J858/B858)))/C858)/100))))</f>
        <v>0</v>
      </c>
      <c r="AV858" s="57">
        <f>IF(ISERROR(IF(B858=C858,K858/C858,IF((INT(K858/B858)+(((K858-B858*INT(K858/B858)))/C858)/100)&lt;0,(INT(K858/B858)+(((K858-B858*INT(K858/B858)))/C858)/100)+(1-(B858/C858/100)),(INT(K858/B858)+(((K858-B858*INT(K858/B858)))/C858)/100)))),0,IF(B858=C858,K858/C858,IF((INT(K858/B858)+(((K858-B858*INT(K858/B858)))/C858)/100)&lt;0,(INT(K858/B858)+(((K858-B858*INT(K858/B858)))/C858)/100)+(1-(B858/C858/100)),(INT(K858/B858)+(((K858-B858*INT(K858/B858)))/C858)/100))))</f>
        <v>0</v>
      </c>
      <c r="AW858" s="57">
        <f>IF(ISERROR(IF(B858=C858,L858/C858,(INT(L858/B858)+(((L858-B858*INT(L858/B858)))/C858)/100))),0,(IF(B858=C858,L858/C858,(INT(L858/B858)+(((L858-B858*INT(L858/B858)))/C858)/100))))</f>
        <v>0</v>
      </c>
      <c r="AX858" s="57">
        <f>IF(ISERROR(IF(B858=C858,M858/C858,(INT(M858/B858)+(((M858-B858*INT(M858/B858)))/C858)/100))),0,(IF(B858=C858,M858/C858,(INT(M858/B858)+(((M858-B858*INT(M858/B858)))/C858)/100))))</f>
        <v>0</v>
      </c>
      <c r="AY858" s="57">
        <f>IF(ISERROR(IF(B858=C858,N858/C858,IF((INT(N858/B858)+(((N858-B858*INT(N858/B858)))/C858)/100)&lt;0,(INT(N858/B858)+(((N858-B858*INT(N858/B858)))/C858)/100)+(1-(B858/C858/100)),(INT(N858/B858)+(((N858-B858*INT(N858/B858)))/C858)/100)))),0,IF(B858=C858,N858/C858,IF((INT(N858/B858)+(((N858-B858*INT(N858/B858)))/C858)/100)&lt;0,(INT(N858/B858)+(((N858-B858*INT(N858/B858)))/C858)/100)+(1-(B858/C858/100)),(INT(N858/B858)+(((N858-B858*INT(N858/B858)))/C858)/100))))</f>
        <v>0</v>
      </c>
      <c r="AZ858" s="57">
        <f>IF(ISERROR(IF(B858=C858,O858/C858,(INT(O858/B858)+(((O858-B858*INT(O858/B858)))/C858)/100))),0,(IF(B858=C858,O858/C858,(INT(O858/B858)+(((O858-B858*INT(O858/B858)))/C858)/100))))</f>
        <v>0</v>
      </c>
      <c r="BA858" s="57">
        <f>IF(ISERROR(IF(B858=C858,P858/C858,IF((INT(P858/B858)+(((P858-B858*INT(P858/B858)))/C858)/100)&lt;0,(INT(P858/B858)+(((P858-B858*INT(P858/B858)))/C858)/100)+(1-(B858/C858/100)),(INT(P858/B858)+(((P858-B858*INT(P858/B858)))/C858)/100)))),0,IF(B858=C858,P858/C858,IF((INT(P858/B858)+(((P858-B858*INT(P858/B858)))/C858)/100)&lt;0,(INT(P858/B858)+(((P858-B858*INT(P858/B858)))/C858)/100)+(1-(B858/C858/100)),(INT(P858/B858)+(((P858-B858*INT(P858/B858)))/C858)/100))))</f>
        <v>0</v>
      </c>
      <c r="BB858" s="28">
        <f>R858</f>
        <v>90</v>
      </c>
      <c r="BC858" s="28">
        <f>S858</f>
        <v>0</v>
      </c>
      <c r="BD858" s="28">
        <f>AF858</f>
        <v>0</v>
      </c>
      <c r="BE858" s="28">
        <f>T858</f>
        <v>0</v>
      </c>
      <c r="BG858" s="57">
        <f>IF(ISERROR(IF(B858=C858,V858/C858,(INT(V858/B858)+(((V858-B858*INT(V858/B858)))/C858)/100))),0,(IF(B858=C858,V858/C858,(INT(V858/B858)+(((V858-B858*INT(V858/B858)))/C858)/100))))</f>
        <v>0</v>
      </c>
      <c r="BH858" s="57">
        <f>IF(ISERROR(IF(B858=C858,W858/C858,(INT(W858/B858)+(((W858-B858*INT(W858/B858)))/C858)/100))),0,(IF(B858=C858,W858/C858,(INT(W858/B858)+(((W858-B858*INT(W858/B858)))/C858)/100))))</f>
        <v>0</v>
      </c>
      <c r="BI858" s="57">
        <f>IF(ISERROR(IF(B858=C858,X858/C858,(INT(X858/B858)+(((X858-B858*INT(X858/B858)))/C858)/100))),0,(IF(B858=C858,X858/C858,(INT(X858/B858)+(((X858-B858*INT(X858/B858)))/C858)/100))))</f>
        <v>0</v>
      </c>
      <c r="BJ858" s="57">
        <f>IF(ISERROR(IF(B858=C858,Y858/C858,(INT(Y858/B858)+(((Y858-B858*INT(Y858/B858)))/C858)/100))),0,(IF(B858=C858,Y858/C858,(INT(Y858/B858)+(((Y858-B858*INT(Y858/B858)))/C858)/100))))</f>
        <v>0</v>
      </c>
      <c r="BL858" s="57">
        <f>IF(ISERROR(IF(B858=C858,AA858/C858,(INT(AA858/B858)+(((AA858-B858*INT(AA858/B858)))/C858)/100))),0,(IF(B858=C858,AA858/C858,(INT(AA858/B858)+(((AA858-B858*INT(AA858/B858)))/C858)/100))))</f>
        <v>0</v>
      </c>
      <c r="BM858" s="57">
        <f>IF(ISERROR(IF(B858=C858,AB858/C858,(INT(AB858/B858)+(((AB858-B858*INT(AB858/B858)))/C858)/100))),0,(IF(B858=C858,AB858/C858,(INT(AB858/B858)+(((AB858-B858*INT(AB858/B858)))/C858)/100))))</f>
        <v>0</v>
      </c>
      <c r="BN858" s="57">
        <f>IF(ISERROR(IF(B858=C858,AC858/C858,(INT(AC858/B858)+(((AC858-B858*INT(AC858/B858)))/C858)/100))),0,(IF(B858=C858,AC858/C858,(INT(AC858/B858)+(((AC858-B858*INT(AC858/B858)))/C858)/100))))</f>
        <v>0</v>
      </c>
      <c r="BO858" s="57">
        <f>IF(ISERROR(IF(B858=C858,AD858/C858,(INT(AD858/B858)+(((AD858-B858*INT(AD858/B858)))/C858)/100))),0,(IF(B858=C858,AD858/C858,(INT(AD858/B858)+(((AD858-B858*INT(AD858/B858)))/C858)/100))))</f>
        <v>0</v>
      </c>
      <c r="BQ858" s="155" t="s">
        <v>113</v>
      </c>
    </row>
    <row r="859" spans="1:69" x14ac:dyDescent="0.35">
      <c r="A859" s="64" t="s">
        <v>118</v>
      </c>
      <c r="B859" s="113">
        <v>1000</v>
      </c>
      <c r="C859" s="113">
        <v>333</v>
      </c>
      <c r="D859" s="28">
        <f>SUM(AA859:AD859)</f>
        <v>4000</v>
      </c>
      <c r="E859" s="125">
        <v>0</v>
      </c>
      <c r="F859" s="113">
        <v>0</v>
      </c>
      <c r="G859" s="28">
        <f>SUM(D859:F859)</f>
        <v>4000</v>
      </c>
      <c r="H859" s="125">
        <v>0</v>
      </c>
      <c r="I859" s="113">
        <v>0</v>
      </c>
      <c r="J859" s="125">
        <v>0</v>
      </c>
      <c r="K859" s="113">
        <v>0</v>
      </c>
      <c r="L859" s="113">
        <v>0</v>
      </c>
      <c r="M859" s="113">
        <v>0</v>
      </c>
      <c r="N859" s="28">
        <f>G859-SUM(H859:M859)</f>
        <v>4000</v>
      </c>
      <c r="O859" s="28">
        <f>SUM(V859:Y859)</f>
        <v>3000</v>
      </c>
      <c r="P859" s="28">
        <f>O859-N859</f>
        <v>-1000</v>
      </c>
      <c r="Q859" s="61" t="str">
        <f>IF(ISERROR(P859/SUM(H859:L859)),"",P859/SUM(H859:L859))</f>
        <v/>
      </c>
      <c r="R859" s="113">
        <v>90</v>
      </c>
      <c r="S859" s="28">
        <f>IF(ISERROR(P859/C859*R859),0,(P859/C859*R859))</f>
        <v>-270.27027027027026</v>
      </c>
      <c r="T859" s="60">
        <f>IF(ISERROR(P859/B859*AF859),0,(P859/B859*AF859))</f>
        <v>-74.583333333333329</v>
      </c>
      <c r="V859" s="113">
        <v>0</v>
      </c>
      <c r="W859" s="113">
        <v>3000</v>
      </c>
      <c r="X859" s="113">
        <v>0</v>
      </c>
      <c r="Y859" s="113">
        <v>0</v>
      </c>
      <c r="AA859" s="113">
        <f>1000</f>
        <v>1000</v>
      </c>
      <c r="AB859" s="113">
        <v>3000</v>
      </c>
      <c r="AC859" s="113">
        <v>0</v>
      </c>
      <c r="AD859" s="113">
        <v>0</v>
      </c>
      <c r="AF859" s="155">
        <v>74.583333333333329</v>
      </c>
      <c r="AG859" s="28">
        <f>G859-O859</f>
        <v>1000</v>
      </c>
      <c r="AH859" s="58">
        <f>IF(ISERROR(AG859/B859*AF859),0,(AG859/B859*AF859))</f>
        <v>74.583333333333329</v>
      </c>
      <c r="AI859" s="28">
        <f>SUM(H859:M859)</f>
        <v>0</v>
      </c>
      <c r="AJ859" s="28">
        <f>IF(ISERROR(AI859/B859*AF859),0,(AI859/B859*AF859))</f>
        <v>0</v>
      </c>
      <c r="AK859" s="58">
        <f>IF(ISERROR(O859/B859*AF859),0,(O859/B859*AF859))</f>
        <v>223.75</v>
      </c>
      <c r="AL859" s="28">
        <f>IF(ISERROR(H859/B859*AF859),0,(H859/B859*AF859))</f>
        <v>0</v>
      </c>
      <c r="AN859" s="51" t="str">
        <f>A859</f>
        <v>Mango Juice</v>
      </c>
      <c r="AO859" s="57">
        <f>IF(ISERROR(IF(B859=C859,D859/C859,(INT(D859/B859)+(((D859-B859*INT(D859/B859)))/C859)/100))),0,(IF(B859=C859,D859/C859,(INT(D859/B859)+(((D859-B859*INT(D859/B859)))/C859)/100))))</f>
        <v>4</v>
      </c>
      <c r="AP859" s="57">
        <f>IF(ISERROR(IF(B859=C859,E859/C859,(INT(E859/B859)+(((E859-B859*INT(E859/B859)))/C859)/100))),0,(IF(B859=C859,E859/C859,(INT(E859/B859)+(((E859-B859*INT(E859/B859)))/C859)/100))))</f>
        <v>0</v>
      </c>
      <c r="AQ859" s="57">
        <f>IF(ISERROR(IF(B859=C859,F859/C859,IF((INT(F859/B859)+(((F859-B859*INT(F859/B859)))/C859)/100)&lt;0,(INT(F859/B859)+(((F859-B859*INT(F859/B859)))/C859)/100)+(1-(B859/C859/100)),(INT(F859/B859)+(((F859-B859*INT(F859/B859)))/C859)/100)))),0,IF(B859=C859,F859/C859,IF((INT(F859/B859)+(((F859-B859*INT(F859/B859)))/C859)/100)&lt;0,(INT(F859/B859)+(((F859-B859*INT(F859/B859)))/C859)/100)+(1-(B859/C859/100)),(INT(F859/B859)+(((F859-B859*INT(F859/B859)))/C859)/100))))</f>
        <v>0</v>
      </c>
      <c r="AR859" s="57">
        <f>IF(ISERROR(IF(B859=C859,G859/C859,(INT(G859/B859)+(((G859-B859*INT(G859/B859)))/C859)/100))),0,(IF(B859=C859,G859/C859,(INT(G859/B859)+(((G859-B859*INT(G859/B859)))/C859)/100))))</f>
        <v>4</v>
      </c>
      <c r="AS859" s="57">
        <f>IF(ISERROR(IF(B859=C859,H859/C859,(INT(H859/B859)+(((H859-B859*INT(H859/B859)))/C859)/100))),0,(IF(B859=C859,H859/C859,(INT(H859/B859)+(((H859-B859*INT(H859/B859)))/C859)/100))))</f>
        <v>0</v>
      </c>
      <c r="AT859" s="57">
        <f>IF(ISERROR(IF(B859=C859,I859/C859,(INT(I859/B859)+(((I859-B859*INT(I859/B859)))/C859)/100))),0,(IF(B859=C859,I859/C859,(INT(I859/B859)+(((I859-B859*INT(I859/B859)))/C859)/100))))</f>
        <v>0</v>
      </c>
      <c r="AU859" s="57">
        <f>IF(ISERROR(IF(B859=C859,J859/C859,(INT(J859/B859)+(((J859-B859*INT(J859/B859)))/C859)/100))),0,(IF(B859=C859,J859/C859,(INT(J859/B859)+(((J859-B859*INT(J859/B859)))/C859)/100))))</f>
        <v>0</v>
      </c>
      <c r="AV859" s="57">
        <f>IF(ISERROR(IF(B859=C859,K859/C859,IF((INT(K859/B859)+(((K859-B859*INT(K859/B859)))/C859)/100)&lt;0,(INT(K859/B859)+(((K859-B859*INT(K859/B859)))/C859)/100)+(1-(B859/C859/100)),(INT(K859/B859)+(((K859-B859*INT(K859/B859)))/C859)/100)))),0,IF(B859=C859,K859/C859,IF((INT(K859/B859)+(((K859-B859*INT(K859/B859)))/C859)/100)&lt;0,(INT(K859/B859)+(((K859-B859*INT(K859/B859)))/C859)/100)+(1-(B859/C859/100)),(INT(K859/B859)+(((K859-B859*INT(K859/B859)))/C859)/100))))</f>
        <v>0</v>
      </c>
      <c r="AW859" s="57">
        <f>IF(ISERROR(IF(B859=C859,L859/C859,(INT(L859/B859)+(((L859-B859*INT(L859/B859)))/C859)/100))),0,(IF(B859=C859,L859/C859,(INT(L859/B859)+(((L859-B859*INT(L859/B859)))/C859)/100))))</f>
        <v>0</v>
      </c>
      <c r="AX859" s="57">
        <f>IF(ISERROR(IF(B859=C859,M859/C859,(INT(M859/B859)+(((M859-B859*INT(M859/B859)))/C859)/100))),0,(IF(B859=C859,M859/C859,(INT(M859/B859)+(((M859-B859*INT(M859/B859)))/C859)/100))))</f>
        <v>0</v>
      </c>
      <c r="AY859" s="57">
        <f>IF(ISERROR(IF(B859=C859,N859/C859,IF((INT(N859/B859)+(((N859-B859*INT(N859/B859)))/C859)/100)&lt;0,(INT(N859/B859)+(((N859-B859*INT(N859/B859)))/C859)/100)+(1-(B859/C859/100)),(INT(N859/B859)+(((N859-B859*INT(N859/B859)))/C859)/100)))),0,IF(B859=C859,N859/C859,IF((INT(N859/B859)+(((N859-B859*INT(N859/B859)))/C859)/100)&lt;0,(INT(N859/B859)+(((N859-B859*INT(N859/B859)))/C859)/100)+(1-(B859/C859/100)),(INT(N859/B859)+(((N859-B859*INT(N859/B859)))/C859)/100))))</f>
        <v>4</v>
      </c>
      <c r="AZ859" s="57">
        <f>IF(ISERROR(IF(B859=C859,O859/C859,(INT(O859/B859)+(((O859-B859*INT(O859/B859)))/C859)/100))),0,(IF(B859=C859,O859/C859,(INT(O859/B859)+(((O859-B859*INT(O859/B859)))/C859)/100))))</f>
        <v>3</v>
      </c>
      <c r="BA859" s="57">
        <f>IF(ISERROR(IF(B859=C859,P859/C859,IF((INT(P859/B859)+(((P859-B859*INT(P859/B859)))/C859)/100)&lt;0,(INT(P859/B859)+(((P859-B859*INT(P859/B859)))/C859)/100)+(1-(B859/C859/100)),(INT(P859/B859)+(((P859-B859*INT(P859/B859)))/C859)/100)))),0,IF(B859=C859,P859/C859,IF((INT(P859/B859)+(((P859-B859*INT(P859/B859)))/C859)/100)&lt;0,(INT(P859/B859)+(((P859-B859*INT(P859/B859)))/C859)/100)+(1-(B859/C859/100)),(INT(P859/B859)+(((P859-B859*INT(P859/B859)))/C859)/100))))</f>
        <v>-3.0030030030030019E-2</v>
      </c>
      <c r="BB859" s="28">
        <f>R859</f>
        <v>90</v>
      </c>
      <c r="BC859" s="28">
        <f>S859</f>
        <v>-270.27027027027026</v>
      </c>
      <c r="BD859" s="28">
        <f>AF859</f>
        <v>74.583333333333329</v>
      </c>
      <c r="BE859" s="28">
        <f>T859</f>
        <v>-74.583333333333329</v>
      </c>
      <c r="BG859" s="57">
        <f>IF(ISERROR(IF(B859=C859,V859/C859,(INT(V859/B859)+(((V859-B859*INT(V859/B859)))/C859)/100))),0,(IF(B859=C859,V859/C859,(INT(V859/B859)+(((V859-B859*INT(V859/B859)))/C859)/100))))</f>
        <v>0</v>
      </c>
      <c r="BH859" s="57">
        <f>IF(ISERROR(IF(B859=C859,W859/C859,(INT(W859/B859)+(((W859-B859*INT(W859/B859)))/C859)/100))),0,(IF(B859=C859,W859/C859,(INT(W859/B859)+(((W859-B859*INT(W859/B859)))/C859)/100))))</f>
        <v>3</v>
      </c>
      <c r="BI859" s="57">
        <f>IF(ISERROR(IF(B859=C859,X859/C859,(INT(X859/B859)+(((X859-B859*INT(X859/B859)))/C859)/100))),0,(IF(B859=C859,X859/C859,(INT(X859/B859)+(((X859-B859*INT(X859/B859)))/C859)/100))))</f>
        <v>0</v>
      </c>
      <c r="BJ859" s="57">
        <f>IF(ISERROR(IF(B859=C859,Y859/C859,(INT(Y859/B859)+(((Y859-B859*INT(Y859/B859)))/C859)/100))),0,(IF(B859=C859,Y859/C859,(INT(Y859/B859)+(((Y859-B859*INT(Y859/B859)))/C859)/100))))</f>
        <v>0</v>
      </c>
      <c r="BL859" s="57">
        <f>IF(ISERROR(IF(B859=C859,AA859/C859,(INT(AA859/B859)+(((AA859-B859*INT(AA859/B859)))/C859)/100))),0,(IF(B859=C859,AA859/C859,(INT(AA859/B859)+(((AA859-B859*INT(AA859/B859)))/C859)/100))))</f>
        <v>1</v>
      </c>
      <c r="BM859" s="57">
        <f>IF(ISERROR(IF(B859=C859,AB859/C859,(INT(AB859/B859)+(((AB859-B859*INT(AB859/B859)))/C859)/100))),0,(IF(B859=C859,AB859/C859,(INT(AB859/B859)+(((AB859-B859*INT(AB859/B859)))/C859)/100))))</f>
        <v>3</v>
      </c>
      <c r="BN859" s="57">
        <f>IF(ISERROR(IF(B859=C859,AC859/C859,(INT(AC859/B859)+(((AC859-B859*INT(AC859/B859)))/C859)/100))),0,(IF(B859=C859,AC859/C859,(INT(AC859/B859)+(((AC859-B859*INT(AC859/B859)))/C859)/100))))</f>
        <v>0</v>
      </c>
      <c r="BO859" s="57">
        <f>IF(ISERROR(IF(B859=C859,AD859/C859,(INT(AD859/B859)+(((AD859-B859*INT(AD859/B859)))/C859)/100))),0,(IF(B859=C859,AD859/C859,(INT(AD859/B859)+(((AD859-B859*INT(AD859/B859)))/C859)/100))))</f>
        <v>0</v>
      </c>
      <c r="BQ859" s="155" t="s">
        <v>113</v>
      </c>
    </row>
    <row r="860" spans="1:69" ht="15" x14ac:dyDescent="0.35">
      <c r="A860" s="156" t="s">
        <v>117</v>
      </c>
      <c r="B860" s="113">
        <v>1000</v>
      </c>
      <c r="C860" s="113">
        <v>333</v>
      </c>
      <c r="D860" s="28">
        <f>SUM(AA860:AD860)</f>
        <v>14000</v>
      </c>
      <c r="E860" s="125">
        <v>0</v>
      </c>
      <c r="F860" s="113">
        <v>0</v>
      </c>
      <c r="G860" s="28">
        <f>SUM(D860:F860)</f>
        <v>14000</v>
      </c>
      <c r="H860" s="125">
        <v>0</v>
      </c>
      <c r="I860" s="113">
        <v>0</v>
      </c>
      <c r="J860" s="125">
        <v>0</v>
      </c>
      <c r="K860" s="113">
        <v>0</v>
      </c>
      <c r="L860" s="113">
        <v>0</v>
      </c>
      <c r="M860" s="113">
        <v>0</v>
      </c>
      <c r="N860" s="28">
        <f>G860-SUM(H860:M860)</f>
        <v>14000</v>
      </c>
      <c r="O860" s="28">
        <f>SUM(V860:Y860)</f>
        <v>14000</v>
      </c>
      <c r="P860" s="28">
        <f>O860-N860</f>
        <v>0</v>
      </c>
      <c r="Q860" s="61" t="str">
        <f>IF(ISERROR(P860/SUM(H860:L860)),"",P860/SUM(H860:L860))</f>
        <v/>
      </c>
      <c r="R860" s="113">
        <v>90</v>
      </c>
      <c r="S860" s="28">
        <f>IF(ISERROR(P860/C860*R860),0,(P860/C860*R860))</f>
        <v>0</v>
      </c>
      <c r="T860" s="60">
        <f>IF(ISERROR(P860/B860*AF860),0,(P860/B860*AF860))</f>
        <v>0</v>
      </c>
      <c r="V860" s="113">
        <v>3000</v>
      </c>
      <c r="W860" s="113">
        <v>11000</v>
      </c>
      <c r="X860" s="113">
        <v>0</v>
      </c>
      <c r="Y860" s="113">
        <v>0</v>
      </c>
      <c r="AA860" s="113">
        <f>3000</f>
        <v>3000</v>
      </c>
      <c r="AB860" s="113">
        <v>11000</v>
      </c>
      <c r="AC860" s="113">
        <v>0</v>
      </c>
      <c r="AD860" s="113">
        <v>0</v>
      </c>
      <c r="AF860" s="155">
        <v>76.58</v>
      </c>
      <c r="AG860" s="28">
        <f>G860-O860</f>
        <v>0</v>
      </c>
      <c r="AH860" s="58">
        <f>IF(ISERROR(AG860/B860*AF860),0,(AG860/B860*AF860))</f>
        <v>0</v>
      </c>
      <c r="AI860" s="28">
        <f>SUM(H860:M860)</f>
        <v>0</v>
      </c>
      <c r="AJ860" s="28">
        <f>IF(ISERROR(AI860/B860*AF860),0,(AI860/B860*AF860))</f>
        <v>0</v>
      </c>
      <c r="AK860" s="58">
        <f>IF(ISERROR(O860/B860*AF860),0,(O860/B860*AF860))</f>
        <v>1072.1199999999999</v>
      </c>
      <c r="AL860" s="28">
        <f>IF(ISERROR(H860/B860*AF860),0,(H860/B860*AF860))</f>
        <v>0</v>
      </c>
      <c r="AN860" s="51" t="str">
        <f>A860</f>
        <v>Litche Juice</v>
      </c>
      <c r="AO860" s="57">
        <f>IF(ISERROR(IF(B860=C860,D860/C860,(INT(D860/B860)+(((D860-B860*INT(D860/B860)))/C860)/100))),0,(IF(B860=C860,D860/C860,(INT(D860/B860)+(((D860-B860*INT(D860/B860)))/C860)/100))))</f>
        <v>14</v>
      </c>
      <c r="AP860" s="57">
        <f>IF(ISERROR(IF(B860=C860,E860/C860,(INT(E860/B860)+(((E860-B860*INT(E860/B860)))/C860)/100))),0,(IF(B860=C860,E860/C860,(INT(E860/B860)+(((E860-B860*INT(E860/B860)))/C860)/100))))</f>
        <v>0</v>
      </c>
      <c r="AQ860" s="57">
        <f>IF(ISERROR(IF(B860=C860,F860/C860,IF((INT(F860/B860)+(((F860-B860*INT(F860/B860)))/C860)/100)&lt;0,(INT(F860/B860)+(((F860-B860*INT(F860/B860)))/C860)/100)+(1-(B860/C860/100)),(INT(F860/B860)+(((F860-B860*INT(F860/B860)))/C860)/100)))),0,IF(B860=C860,F860/C860,IF((INT(F860/B860)+(((F860-B860*INT(F860/B860)))/C860)/100)&lt;0,(INT(F860/B860)+(((F860-B860*INT(F860/B860)))/C860)/100)+(1-(B860/C860/100)),(INT(F860/B860)+(((F860-B860*INT(F860/B860)))/C860)/100))))</f>
        <v>0</v>
      </c>
      <c r="AR860" s="57">
        <f>IF(ISERROR(IF(B860=C860,G860/C860,(INT(G860/B860)+(((G860-B860*INT(G860/B860)))/C860)/100))),0,(IF(B860=C860,G860/C860,(INT(G860/B860)+(((G860-B860*INT(G860/B860)))/C860)/100))))</f>
        <v>14</v>
      </c>
      <c r="AS860" s="57">
        <f>IF(ISERROR(IF(B860=C860,H860/C860,(INT(H860/B860)+(((H860-B860*INT(H860/B860)))/C860)/100))),0,(IF(B860=C860,H860/C860,(INT(H860/B860)+(((H860-B860*INT(H860/B860)))/C860)/100))))</f>
        <v>0</v>
      </c>
      <c r="AT860" s="57">
        <f>IF(ISERROR(IF(B860=C860,I860/C860,(INT(I860/B860)+(((I860-B860*INT(I860/B860)))/C860)/100))),0,(IF(B860=C860,I860/C860,(INT(I860/B860)+(((I860-B860*INT(I860/B860)))/C860)/100))))</f>
        <v>0</v>
      </c>
      <c r="AU860" s="57">
        <f>IF(ISERROR(IF(B860=C860,J860/C860,(INT(J860/B860)+(((J860-B860*INT(J860/B860)))/C860)/100))),0,(IF(B860=C860,J860/C860,(INT(J860/B860)+(((J860-B860*INT(J860/B860)))/C860)/100))))</f>
        <v>0</v>
      </c>
      <c r="AV860" s="57">
        <f>IF(ISERROR(IF(B860=C860,K860/C860,IF((INT(K860/B860)+(((K860-B860*INT(K860/B860)))/C860)/100)&lt;0,(INT(K860/B860)+(((K860-B860*INT(K860/B860)))/C860)/100)+(1-(B860/C860/100)),(INT(K860/B860)+(((K860-B860*INT(K860/B860)))/C860)/100)))),0,IF(B860=C860,K860/C860,IF((INT(K860/B860)+(((K860-B860*INT(K860/B860)))/C860)/100)&lt;0,(INT(K860/B860)+(((K860-B860*INT(K860/B860)))/C860)/100)+(1-(B860/C860/100)),(INT(K860/B860)+(((K860-B860*INT(K860/B860)))/C860)/100))))</f>
        <v>0</v>
      </c>
      <c r="AW860" s="57">
        <f>IF(ISERROR(IF(B860=C860,L860/C860,(INT(L860/B860)+(((L860-B860*INT(L860/B860)))/C860)/100))),0,(IF(B860=C860,L860/C860,(INT(L860/B860)+(((L860-B860*INT(L860/B860)))/C860)/100))))</f>
        <v>0</v>
      </c>
      <c r="AX860" s="57">
        <f>IF(ISERROR(IF(B860=C860,M860/C860,(INT(M860/B860)+(((M860-B860*INT(M860/B860)))/C860)/100))),0,(IF(B860=C860,M860/C860,(INT(M860/B860)+(((M860-B860*INT(M860/B860)))/C860)/100))))</f>
        <v>0</v>
      </c>
      <c r="AY860" s="57">
        <f>IF(ISERROR(IF(B860=C860,N860/C860,IF((INT(N860/B860)+(((N860-B860*INT(N860/B860)))/C860)/100)&lt;0,(INT(N860/B860)+(((N860-B860*INT(N860/B860)))/C860)/100)+(1-(B860/C860/100)),(INT(N860/B860)+(((N860-B860*INT(N860/B860)))/C860)/100)))),0,IF(B860=C860,N860/C860,IF((INT(N860/B860)+(((N860-B860*INT(N860/B860)))/C860)/100)&lt;0,(INT(N860/B860)+(((N860-B860*INT(N860/B860)))/C860)/100)+(1-(B860/C860/100)),(INT(N860/B860)+(((N860-B860*INT(N860/B860)))/C860)/100))))</f>
        <v>14</v>
      </c>
      <c r="AZ860" s="57">
        <f>IF(ISERROR(IF(B860=C860,O860/C860,(INT(O860/B860)+(((O860-B860*INT(O860/B860)))/C860)/100))),0,(IF(B860=C860,O860/C860,(INT(O860/B860)+(((O860-B860*INT(O860/B860)))/C860)/100))))</f>
        <v>14</v>
      </c>
      <c r="BA860" s="57">
        <f>IF(ISERROR(IF(B860=C860,P860/C860,IF((INT(P860/B860)+(((P860-B860*INT(P860/B860)))/C860)/100)&lt;0,(INT(P860/B860)+(((P860-B860*INT(P860/B860)))/C860)/100)+(1-(B860/C860/100)),(INT(P860/B860)+(((P860-B860*INT(P860/B860)))/C860)/100)))),0,IF(B860=C860,P860/C860,IF((INT(P860/B860)+(((P860-B860*INT(P860/B860)))/C860)/100)&lt;0,(INT(P860/B860)+(((P860-B860*INT(P860/B860)))/C860)/100)+(1-(B860/C860/100)),(INT(P860/B860)+(((P860-B860*INT(P860/B860)))/C860)/100))))</f>
        <v>0</v>
      </c>
      <c r="BB860" s="28">
        <f>R860</f>
        <v>90</v>
      </c>
      <c r="BC860" s="28">
        <f>S860</f>
        <v>0</v>
      </c>
      <c r="BD860" s="28">
        <f>AF860</f>
        <v>76.58</v>
      </c>
      <c r="BE860" s="28">
        <f>T860</f>
        <v>0</v>
      </c>
      <c r="BG860" s="57">
        <f>IF(ISERROR(IF(B860=C860,V860/C860,(INT(V860/B860)+(((V860-B860*INT(V860/B860)))/C860)/100))),0,(IF(B860=C860,V860/C860,(INT(V860/B860)+(((V860-B860*INT(V860/B860)))/C860)/100))))</f>
        <v>3</v>
      </c>
      <c r="BH860" s="57">
        <f>IF(ISERROR(IF(B860=C860,W860/C860,(INT(W860/B860)+(((W860-B860*INT(W860/B860)))/C860)/100))),0,(IF(B860=C860,W860/C860,(INT(W860/B860)+(((W860-B860*INT(W860/B860)))/C860)/100))))</f>
        <v>11</v>
      </c>
      <c r="BI860" s="57">
        <f>IF(ISERROR(IF(B860=C860,X860/C860,(INT(X860/B860)+(((X860-B860*INT(X860/B860)))/C860)/100))),0,(IF(B860=C860,X860/C860,(INT(X860/B860)+(((X860-B860*INT(X860/B860)))/C860)/100))))</f>
        <v>0</v>
      </c>
      <c r="BJ860" s="57">
        <f>IF(ISERROR(IF(B860=C860,Y860/C860,(INT(Y860/B860)+(((Y860-B860*INT(Y860/B860)))/C860)/100))),0,(IF(B860=C860,Y860/C860,(INT(Y860/B860)+(((Y860-B860*INT(Y860/B860)))/C860)/100))))</f>
        <v>0</v>
      </c>
      <c r="BL860" s="57">
        <f>IF(ISERROR(IF(B860=C860,AA860/C860,(INT(AA860/B860)+(((AA860-B860*INT(AA860/B860)))/C860)/100))),0,(IF(B860=C860,AA860/C860,(INT(AA860/B860)+(((AA860-B860*INT(AA860/B860)))/C860)/100))))</f>
        <v>3</v>
      </c>
      <c r="BM860" s="57">
        <f>IF(ISERROR(IF(B860=C860,AB860/C860,(INT(AB860/B860)+(((AB860-B860*INT(AB860/B860)))/C860)/100))),0,(IF(B860=C860,AB860/C860,(INT(AB860/B860)+(((AB860-B860*INT(AB860/B860)))/C860)/100))))</f>
        <v>11</v>
      </c>
      <c r="BN860" s="57">
        <f>IF(ISERROR(IF(B860=C860,AC860/C860,(INT(AC860/B860)+(((AC860-B860*INT(AC860/B860)))/C860)/100))),0,(IF(B860=C860,AC860/C860,(INT(AC860/B860)+(((AC860-B860*INT(AC860/B860)))/C860)/100))))</f>
        <v>0</v>
      </c>
      <c r="BO860" s="57">
        <f>IF(ISERROR(IF(B860=C860,AD860/C860,(INT(AD860/B860)+(((AD860-B860*INT(AD860/B860)))/C860)/100))),0,(IF(B860=C860,AD860/C860,(INT(AD860/B860)+(((AD860-B860*INT(AD860/B860)))/C860)/100))))</f>
        <v>0</v>
      </c>
      <c r="BQ860" s="155" t="s">
        <v>113</v>
      </c>
    </row>
    <row r="861" spans="1:69" x14ac:dyDescent="0.35">
      <c r="A861" s="64" t="s">
        <v>116</v>
      </c>
      <c r="B861" s="113">
        <v>1000</v>
      </c>
      <c r="C861" s="113">
        <v>333</v>
      </c>
      <c r="D861" s="28">
        <f>SUM(AA861:AD861)</f>
        <v>3000</v>
      </c>
      <c r="E861" s="125">
        <v>24000</v>
      </c>
      <c r="F861" s="113">
        <v>0</v>
      </c>
      <c r="G861" s="28">
        <f>SUM(D861:F861)</f>
        <v>27000</v>
      </c>
      <c r="H861" s="125">
        <v>0</v>
      </c>
      <c r="I861" s="113">
        <v>0</v>
      </c>
      <c r="J861" s="125">
        <v>0</v>
      </c>
      <c r="K861" s="113">
        <v>0</v>
      </c>
      <c r="L861" s="113">
        <v>0</v>
      </c>
      <c r="M861" s="113">
        <v>0</v>
      </c>
      <c r="N861" s="28">
        <f>G861-SUM(H861:M861)</f>
        <v>27000</v>
      </c>
      <c r="O861" s="28">
        <f>SUM(V861:Y861)</f>
        <v>26000</v>
      </c>
      <c r="P861" s="28">
        <f>O861-N861</f>
        <v>-1000</v>
      </c>
      <c r="Q861" s="61" t="str">
        <f>IF(ISERROR(P861/SUM(H861:L861)),"",P861/SUM(H861:L861))</f>
        <v/>
      </c>
      <c r="R861" s="113">
        <v>90</v>
      </c>
      <c r="S861" s="28">
        <f>IF(ISERROR(P861/C861*R861),0,(P861/C861*R861))</f>
        <v>-270.27027027027026</v>
      </c>
      <c r="T861" s="60">
        <f>IF(ISERROR(P861/B861*AF861),0,(P861/B861*AF861))</f>
        <v>-74.583333333333329</v>
      </c>
      <c r="V861" s="113">
        <v>2000</v>
      </c>
      <c r="W861" s="113">
        <v>24000</v>
      </c>
      <c r="X861" s="113">
        <v>0</v>
      </c>
      <c r="Y861" s="113">
        <v>0</v>
      </c>
      <c r="AA861" s="113">
        <v>3000</v>
      </c>
      <c r="AB861" s="113">
        <v>0</v>
      </c>
      <c r="AC861" s="113">
        <v>0</v>
      </c>
      <c r="AD861" s="113">
        <v>0</v>
      </c>
      <c r="AF861" s="155">
        <v>74.583333333333329</v>
      </c>
      <c r="AG861" s="28">
        <f>G861-O861</f>
        <v>1000</v>
      </c>
      <c r="AH861" s="58">
        <f>IF(ISERROR(AG861/B861*AF861),0,(AG861/B861*AF861))</f>
        <v>74.583333333333329</v>
      </c>
      <c r="AI861" s="28">
        <f>SUM(H861:M861)</f>
        <v>0</v>
      </c>
      <c r="AJ861" s="28">
        <f>IF(ISERROR(AI861/B861*AF861),0,(AI861/B861*AF861))</f>
        <v>0</v>
      </c>
      <c r="AK861" s="58">
        <f>IF(ISERROR(O861/B861*AF861),0,(O861/B861*AF861))</f>
        <v>1939.1666666666665</v>
      </c>
      <c r="AL861" s="28">
        <f>IF(ISERROR(H861/B861*AF861),0,(H861/B861*AF861))</f>
        <v>0</v>
      </c>
      <c r="AN861" s="51" t="str">
        <f>A861</f>
        <v>Orange Juice</v>
      </c>
      <c r="AO861" s="57">
        <f>IF(ISERROR(IF(B861=C861,D861/C861,(INT(D861/B861)+(((D861-B861*INT(D861/B861)))/C861)/100))),0,(IF(B861=C861,D861/C861,(INT(D861/B861)+(((D861-B861*INT(D861/B861)))/C861)/100))))</f>
        <v>3</v>
      </c>
      <c r="AP861" s="57">
        <f>IF(ISERROR(IF(B861=C861,E861/C861,(INT(E861/B861)+(((E861-B861*INT(E861/B861)))/C861)/100))),0,(IF(B861=C861,E861/C861,(INT(E861/B861)+(((E861-B861*INT(E861/B861)))/C861)/100))))</f>
        <v>24</v>
      </c>
      <c r="AQ861" s="57">
        <f>IF(ISERROR(IF(B861=C861,F861/C861,IF((INT(F861/B861)+(((F861-B861*INT(F861/B861)))/C861)/100)&lt;0,(INT(F861/B861)+(((F861-B861*INT(F861/B861)))/C861)/100)+(1-(B861/C861/100)),(INT(F861/B861)+(((F861-B861*INT(F861/B861)))/C861)/100)))),0,IF(B861=C861,F861/C861,IF((INT(F861/B861)+(((F861-B861*INT(F861/B861)))/C861)/100)&lt;0,(INT(F861/B861)+(((F861-B861*INT(F861/B861)))/C861)/100)+(1-(B861/C861/100)),(INT(F861/B861)+(((F861-B861*INT(F861/B861)))/C861)/100))))</f>
        <v>0</v>
      </c>
      <c r="AR861" s="57">
        <f>IF(ISERROR(IF(B861=C861,G861/C861,(INT(G861/B861)+(((G861-B861*INT(G861/B861)))/C861)/100))),0,(IF(B861=C861,G861/C861,(INT(G861/B861)+(((G861-B861*INT(G861/B861)))/C861)/100))))</f>
        <v>27</v>
      </c>
      <c r="AS861" s="57">
        <f>IF(ISERROR(IF(B861=C861,H861/C861,(INT(H861/B861)+(((H861-B861*INT(H861/B861)))/C861)/100))),0,(IF(B861=C861,H861/C861,(INT(H861/B861)+(((H861-B861*INT(H861/B861)))/C861)/100))))</f>
        <v>0</v>
      </c>
      <c r="AT861" s="57">
        <f>IF(ISERROR(IF(B861=C861,I861/C861,(INT(I861/B861)+(((I861-B861*INT(I861/B861)))/C861)/100))),0,(IF(B861=C861,I861/C861,(INT(I861/B861)+(((I861-B861*INT(I861/B861)))/C861)/100))))</f>
        <v>0</v>
      </c>
      <c r="AU861" s="57">
        <f>IF(ISERROR(IF(B861=C861,J861/C861,(INT(J861/B861)+(((J861-B861*INT(J861/B861)))/C861)/100))),0,(IF(B861=C861,J861/C861,(INT(J861/B861)+(((J861-B861*INT(J861/B861)))/C861)/100))))</f>
        <v>0</v>
      </c>
      <c r="AV861" s="57">
        <f>IF(ISERROR(IF(B861=C861,K861/C861,IF((INT(K861/B861)+(((K861-B861*INT(K861/B861)))/C861)/100)&lt;0,(INT(K861/B861)+(((K861-B861*INT(K861/B861)))/C861)/100)+(1-(B861/C861/100)),(INT(K861/B861)+(((K861-B861*INT(K861/B861)))/C861)/100)))),0,IF(B861=C861,K861/C861,IF((INT(K861/B861)+(((K861-B861*INT(K861/B861)))/C861)/100)&lt;0,(INT(K861/B861)+(((K861-B861*INT(K861/B861)))/C861)/100)+(1-(B861/C861/100)),(INT(K861/B861)+(((K861-B861*INT(K861/B861)))/C861)/100))))</f>
        <v>0</v>
      </c>
      <c r="AW861" s="57">
        <f>IF(ISERROR(IF(B861=C861,L861/C861,(INT(L861/B861)+(((L861-B861*INT(L861/B861)))/C861)/100))),0,(IF(B861=C861,L861/C861,(INT(L861/B861)+(((L861-B861*INT(L861/B861)))/C861)/100))))</f>
        <v>0</v>
      </c>
      <c r="AX861" s="57">
        <f>IF(ISERROR(IF(B861=C861,M861/C861,(INT(M861/B861)+(((M861-B861*INT(M861/B861)))/C861)/100))),0,(IF(B861=C861,M861/C861,(INT(M861/B861)+(((M861-B861*INT(M861/B861)))/C861)/100))))</f>
        <v>0</v>
      </c>
      <c r="AY861" s="57">
        <f>IF(ISERROR(IF(B861=C861,N861/C861,IF((INT(N861/B861)+(((N861-B861*INT(N861/B861)))/C861)/100)&lt;0,(INT(N861/B861)+(((N861-B861*INT(N861/B861)))/C861)/100)+(1-(B861/C861/100)),(INT(N861/B861)+(((N861-B861*INT(N861/B861)))/C861)/100)))),0,IF(B861=C861,N861/C861,IF((INT(N861/B861)+(((N861-B861*INT(N861/B861)))/C861)/100)&lt;0,(INT(N861/B861)+(((N861-B861*INT(N861/B861)))/C861)/100)+(1-(B861/C861/100)),(INT(N861/B861)+(((N861-B861*INT(N861/B861)))/C861)/100))))</f>
        <v>27</v>
      </c>
      <c r="AZ861" s="57">
        <f>IF(ISERROR(IF(B861=C861,O861/C861,(INT(O861/B861)+(((O861-B861*INT(O861/B861)))/C861)/100))),0,(IF(B861=C861,O861/C861,(INT(O861/B861)+(((O861-B861*INT(O861/B861)))/C861)/100))))</f>
        <v>26</v>
      </c>
      <c r="BA861" s="57">
        <f>IF(ISERROR(IF(B861=C861,P861/C861,IF((INT(P861/B861)+(((P861-B861*INT(P861/B861)))/C861)/100)&lt;0,(INT(P861/B861)+(((P861-B861*INT(P861/B861)))/C861)/100)+(1-(B861/C861/100)),(INT(P861/B861)+(((P861-B861*INT(P861/B861)))/C861)/100)))),0,IF(B861=C861,P861/C861,IF((INT(P861/B861)+(((P861-B861*INT(P861/B861)))/C861)/100)&lt;0,(INT(P861/B861)+(((P861-B861*INT(P861/B861)))/C861)/100)+(1-(B861/C861/100)),(INT(P861/B861)+(((P861-B861*INT(P861/B861)))/C861)/100))))</f>
        <v>-3.0030030030030019E-2</v>
      </c>
      <c r="BB861" s="28">
        <f>R861</f>
        <v>90</v>
      </c>
      <c r="BC861" s="28">
        <f>S861</f>
        <v>-270.27027027027026</v>
      </c>
      <c r="BD861" s="28">
        <f>AF861</f>
        <v>74.583333333333329</v>
      </c>
      <c r="BE861" s="28">
        <f>T861</f>
        <v>-74.583333333333329</v>
      </c>
      <c r="BG861" s="57">
        <f>IF(ISERROR(IF(B861=C861,V861/C861,(INT(V861/B861)+(((V861-B861*INT(V861/B861)))/C861)/100))),0,(IF(B861=C861,V861/C861,(INT(V861/B861)+(((V861-B861*INT(V861/B861)))/C861)/100))))</f>
        <v>2</v>
      </c>
      <c r="BH861" s="57">
        <f>IF(ISERROR(IF(B861=C861,W861/C861,(INT(W861/B861)+(((W861-B861*INT(W861/B861)))/C861)/100))),0,(IF(B861=C861,W861/C861,(INT(W861/B861)+(((W861-B861*INT(W861/B861)))/C861)/100))))</f>
        <v>24</v>
      </c>
      <c r="BI861" s="57">
        <f>IF(ISERROR(IF(B861=C861,X861/C861,(INT(X861/B861)+(((X861-B861*INT(X861/B861)))/C861)/100))),0,(IF(B861=C861,X861/C861,(INT(X861/B861)+(((X861-B861*INT(X861/B861)))/C861)/100))))</f>
        <v>0</v>
      </c>
      <c r="BJ861" s="57">
        <f>IF(ISERROR(IF(B861=C861,Y861/C861,(INT(Y861/B861)+(((Y861-B861*INT(Y861/B861)))/C861)/100))),0,(IF(B861=C861,Y861/C861,(INT(Y861/B861)+(((Y861-B861*INT(Y861/B861)))/C861)/100))))</f>
        <v>0</v>
      </c>
      <c r="BL861" s="57">
        <f>IF(ISERROR(IF(B861=C861,AA861/C861,(INT(AA861/B861)+(((AA861-B861*INT(AA861/B861)))/C861)/100))),0,(IF(B861=C861,AA861/C861,(INT(AA861/B861)+(((AA861-B861*INT(AA861/B861)))/C861)/100))))</f>
        <v>3</v>
      </c>
      <c r="BM861" s="57">
        <f>IF(ISERROR(IF(B861=C861,AB861/C861,(INT(AB861/B861)+(((AB861-B861*INT(AB861/B861)))/C861)/100))),0,(IF(B861=C861,AB861/C861,(INT(AB861/B861)+(((AB861-B861*INT(AB861/B861)))/C861)/100))))</f>
        <v>0</v>
      </c>
      <c r="BN861" s="57">
        <f>IF(ISERROR(IF(B861=C861,AC861/C861,(INT(AC861/B861)+(((AC861-B861*INT(AC861/B861)))/C861)/100))),0,(IF(B861=C861,AC861/C861,(INT(AC861/B861)+(((AC861-B861*INT(AC861/B861)))/C861)/100))))</f>
        <v>0</v>
      </c>
      <c r="BO861" s="57">
        <f>IF(ISERROR(IF(B861=C861,AD861/C861,(INT(AD861/B861)+(((AD861-B861*INT(AD861/B861)))/C861)/100))),0,(IF(B861=C861,AD861/C861,(INT(AD861/B861)+(((AD861-B861*INT(AD861/B861)))/C861)/100))))</f>
        <v>0</v>
      </c>
      <c r="BQ861" s="155" t="s">
        <v>113</v>
      </c>
    </row>
    <row r="862" spans="1:69" x14ac:dyDescent="0.35">
      <c r="A862" s="64" t="s">
        <v>115</v>
      </c>
      <c r="B862" s="113">
        <v>1000</v>
      </c>
      <c r="C862" s="113">
        <v>333</v>
      </c>
      <c r="D862" s="28">
        <f>SUM(AA862:AD862)</f>
        <v>11000</v>
      </c>
      <c r="E862" s="125">
        <v>0</v>
      </c>
      <c r="F862" s="113">
        <v>0</v>
      </c>
      <c r="G862" s="28">
        <f>SUM(D862:F862)</f>
        <v>11000</v>
      </c>
      <c r="H862" s="125">
        <v>0</v>
      </c>
      <c r="I862" s="113">
        <v>0</v>
      </c>
      <c r="J862" s="125">
        <v>0</v>
      </c>
      <c r="K862" s="113">
        <v>0</v>
      </c>
      <c r="L862" s="113">
        <v>0</v>
      </c>
      <c r="M862" s="113">
        <v>0</v>
      </c>
      <c r="N862" s="28">
        <f>G862-SUM(H862:M862)</f>
        <v>11000</v>
      </c>
      <c r="O862" s="28">
        <f>SUM(V862:Y862)</f>
        <v>11000</v>
      </c>
      <c r="P862" s="28">
        <f>O862-N862</f>
        <v>0</v>
      </c>
      <c r="Q862" s="61" t="str">
        <f>IF(ISERROR(P862/SUM(H862:L862)),"",P862/SUM(H862:L862))</f>
        <v/>
      </c>
      <c r="R862" s="113">
        <v>90</v>
      </c>
      <c r="S862" s="28">
        <f>IF(ISERROR(P862/C862*R862),0,(P862/C862*R862))</f>
        <v>0</v>
      </c>
      <c r="T862" s="60">
        <f>IF(ISERROR(P862/B862*AF862),0,(P862/B862*AF862))</f>
        <v>0</v>
      </c>
      <c r="V862" s="113">
        <v>3000</v>
      </c>
      <c r="W862" s="113">
        <v>8000</v>
      </c>
      <c r="X862" s="113">
        <v>0</v>
      </c>
      <c r="Y862" s="113">
        <v>0</v>
      </c>
      <c r="AA862" s="113">
        <v>3000</v>
      </c>
      <c r="AB862" s="113">
        <v>8000</v>
      </c>
      <c r="AC862" s="113">
        <v>0</v>
      </c>
      <c r="AD862" s="113">
        <v>0</v>
      </c>
      <c r="AF862" s="155">
        <v>74.583333333333329</v>
      </c>
      <c r="AG862" s="28">
        <f>G862-O862</f>
        <v>0</v>
      </c>
      <c r="AH862" s="58">
        <f>IF(ISERROR(AG862/B862*AF862),0,(AG862/B862*AF862))</f>
        <v>0</v>
      </c>
      <c r="AI862" s="28">
        <f>SUM(H862:M862)</f>
        <v>0</v>
      </c>
      <c r="AJ862" s="28">
        <f>IF(ISERROR(AI862/B862*AF862),0,(AI862/B862*AF862))</f>
        <v>0</v>
      </c>
      <c r="AK862" s="58">
        <f>IF(ISERROR(O862/B862*AF862),0,(O862/B862*AF862))</f>
        <v>820.41666666666663</v>
      </c>
      <c r="AL862" s="28">
        <f>IF(ISERROR(H862/B862*AF862),0,(H862/B862*AF862))</f>
        <v>0</v>
      </c>
      <c r="AN862" s="51" t="str">
        <f>A862</f>
        <v>Pineapple Juice</v>
      </c>
      <c r="AO862" s="57">
        <f>IF(ISERROR(IF(B862=C862,D862/C862,(INT(D862/B862)+(((D862-B862*INT(D862/B862)))/C862)/100))),0,(IF(B862=C862,D862/C862,(INT(D862/B862)+(((D862-B862*INT(D862/B862)))/C862)/100))))</f>
        <v>11</v>
      </c>
      <c r="AP862" s="57">
        <f>IF(ISERROR(IF(B862=C862,E862/C862,(INT(E862/B862)+(((E862-B862*INT(E862/B862)))/C862)/100))),0,(IF(B862=C862,E862/C862,(INT(E862/B862)+(((E862-B862*INT(E862/B862)))/C862)/100))))</f>
        <v>0</v>
      </c>
      <c r="AQ862" s="57">
        <f>IF(ISERROR(IF(B862=C862,F862/C862,IF((INT(F862/B862)+(((F862-B862*INT(F862/B862)))/C862)/100)&lt;0,(INT(F862/B862)+(((F862-B862*INT(F862/B862)))/C862)/100)+(1-(B862/C862/100)),(INT(F862/B862)+(((F862-B862*INT(F862/B862)))/C862)/100)))),0,IF(B862=C862,F862/C862,IF((INT(F862/B862)+(((F862-B862*INT(F862/B862)))/C862)/100)&lt;0,(INT(F862/B862)+(((F862-B862*INT(F862/B862)))/C862)/100)+(1-(B862/C862/100)),(INT(F862/B862)+(((F862-B862*INT(F862/B862)))/C862)/100))))</f>
        <v>0</v>
      </c>
      <c r="AR862" s="57">
        <f>IF(ISERROR(IF(B862=C862,G862/C862,(INT(G862/B862)+(((G862-B862*INT(G862/B862)))/C862)/100))),0,(IF(B862=C862,G862/C862,(INT(G862/B862)+(((G862-B862*INT(G862/B862)))/C862)/100))))</f>
        <v>11</v>
      </c>
      <c r="AS862" s="57">
        <f>IF(ISERROR(IF(B862=C862,H862/C862,(INT(H862/B862)+(((H862-B862*INT(H862/B862)))/C862)/100))),0,(IF(B862=C862,H862/C862,(INT(H862/B862)+(((H862-B862*INT(H862/B862)))/C862)/100))))</f>
        <v>0</v>
      </c>
      <c r="AT862" s="57">
        <f>IF(ISERROR(IF(B862=C862,I862/C862,(INT(I862/B862)+(((I862-B862*INT(I862/B862)))/C862)/100))),0,(IF(B862=C862,I862/C862,(INT(I862/B862)+(((I862-B862*INT(I862/B862)))/C862)/100))))</f>
        <v>0</v>
      </c>
      <c r="AU862" s="57">
        <f>IF(ISERROR(IF(B862=C862,J862/C862,(INT(J862/B862)+(((J862-B862*INT(J862/B862)))/C862)/100))),0,(IF(B862=C862,J862/C862,(INT(J862/B862)+(((J862-B862*INT(J862/B862)))/C862)/100))))</f>
        <v>0</v>
      </c>
      <c r="AV862" s="57">
        <f>IF(ISERROR(IF(B862=C862,K862/C862,IF((INT(K862/B862)+(((K862-B862*INT(K862/B862)))/C862)/100)&lt;0,(INT(K862/B862)+(((K862-B862*INT(K862/B862)))/C862)/100)+(1-(B862/C862/100)),(INT(K862/B862)+(((K862-B862*INT(K862/B862)))/C862)/100)))),0,IF(B862=C862,K862/C862,IF((INT(K862/B862)+(((K862-B862*INT(K862/B862)))/C862)/100)&lt;0,(INT(K862/B862)+(((K862-B862*INT(K862/B862)))/C862)/100)+(1-(B862/C862/100)),(INT(K862/B862)+(((K862-B862*INT(K862/B862)))/C862)/100))))</f>
        <v>0</v>
      </c>
      <c r="AW862" s="57">
        <f>IF(ISERROR(IF(B862=C862,L862/C862,(INT(L862/B862)+(((L862-B862*INT(L862/B862)))/C862)/100))),0,(IF(B862=C862,L862/C862,(INT(L862/B862)+(((L862-B862*INT(L862/B862)))/C862)/100))))</f>
        <v>0</v>
      </c>
      <c r="AX862" s="57">
        <f>IF(ISERROR(IF(B862=C862,M862/C862,(INT(M862/B862)+(((M862-B862*INT(M862/B862)))/C862)/100))),0,(IF(B862=C862,M862/C862,(INT(M862/B862)+(((M862-B862*INT(M862/B862)))/C862)/100))))</f>
        <v>0</v>
      </c>
      <c r="AY862" s="57">
        <f>IF(ISERROR(IF(B862=C862,N862/C862,IF((INT(N862/B862)+(((N862-B862*INT(N862/B862)))/C862)/100)&lt;0,(INT(N862/B862)+(((N862-B862*INT(N862/B862)))/C862)/100)+(1-(B862/C862/100)),(INT(N862/B862)+(((N862-B862*INT(N862/B862)))/C862)/100)))),0,IF(B862=C862,N862/C862,IF((INT(N862/B862)+(((N862-B862*INT(N862/B862)))/C862)/100)&lt;0,(INT(N862/B862)+(((N862-B862*INT(N862/B862)))/C862)/100)+(1-(B862/C862/100)),(INT(N862/B862)+(((N862-B862*INT(N862/B862)))/C862)/100))))</f>
        <v>11</v>
      </c>
      <c r="AZ862" s="57">
        <f>IF(ISERROR(IF(B862=C862,O862/C862,(INT(O862/B862)+(((O862-B862*INT(O862/B862)))/C862)/100))),0,(IF(B862=C862,O862/C862,(INT(O862/B862)+(((O862-B862*INT(O862/B862)))/C862)/100))))</f>
        <v>11</v>
      </c>
      <c r="BA862" s="57">
        <f>IF(ISERROR(IF(B862=C862,P862/C862,IF((INT(P862/B862)+(((P862-B862*INT(P862/B862)))/C862)/100)&lt;0,(INT(P862/B862)+(((P862-B862*INT(P862/B862)))/C862)/100)+(1-(B862/C862/100)),(INT(P862/B862)+(((P862-B862*INT(P862/B862)))/C862)/100)))),0,IF(B862=C862,P862/C862,IF((INT(P862/B862)+(((P862-B862*INT(P862/B862)))/C862)/100)&lt;0,(INT(P862/B862)+(((P862-B862*INT(P862/B862)))/C862)/100)+(1-(B862/C862/100)),(INT(P862/B862)+(((P862-B862*INT(P862/B862)))/C862)/100))))</f>
        <v>0</v>
      </c>
      <c r="BB862" s="28">
        <f>R862</f>
        <v>90</v>
      </c>
      <c r="BC862" s="28">
        <f>S862</f>
        <v>0</v>
      </c>
      <c r="BD862" s="28">
        <f>AF862</f>
        <v>74.583333333333329</v>
      </c>
      <c r="BE862" s="28">
        <f>T862</f>
        <v>0</v>
      </c>
      <c r="BG862" s="57">
        <f>IF(ISERROR(IF(B862=C862,V862/C862,(INT(V862/B862)+(((V862-B862*INT(V862/B862)))/C862)/100))),0,(IF(B862=C862,V862/C862,(INT(V862/B862)+(((V862-B862*INT(V862/B862)))/C862)/100))))</f>
        <v>3</v>
      </c>
      <c r="BH862" s="57">
        <f>IF(ISERROR(IF(B862=C862,W862/C862,(INT(W862/B862)+(((W862-B862*INT(W862/B862)))/C862)/100))),0,(IF(B862=C862,W862/C862,(INT(W862/B862)+(((W862-B862*INT(W862/B862)))/C862)/100))))</f>
        <v>8</v>
      </c>
      <c r="BI862" s="57">
        <f>IF(ISERROR(IF(B862=C862,X862/C862,(INT(X862/B862)+(((X862-B862*INT(X862/B862)))/C862)/100))),0,(IF(B862=C862,X862/C862,(INT(X862/B862)+(((X862-B862*INT(X862/B862)))/C862)/100))))</f>
        <v>0</v>
      </c>
      <c r="BJ862" s="57">
        <f>IF(ISERROR(IF(B862=C862,Y862/C862,(INT(Y862/B862)+(((Y862-B862*INT(Y862/B862)))/C862)/100))),0,(IF(B862=C862,Y862/C862,(INT(Y862/B862)+(((Y862-B862*INT(Y862/B862)))/C862)/100))))</f>
        <v>0</v>
      </c>
      <c r="BL862" s="57">
        <f>IF(ISERROR(IF(B862=C862,AA862/C862,(INT(AA862/B862)+(((AA862-B862*INT(AA862/B862)))/C862)/100))),0,(IF(B862=C862,AA862/C862,(INT(AA862/B862)+(((AA862-B862*INT(AA862/B862)))/C862)/100))))</f>
        <v>3</v>
      </c>
      <c r="BM862" s="57">
        <f>IF(ISERROR(IF(B862=C862,AB862/C862,(INT(AB862/B862)+(((AB862-B862*INT(AB862/B862)))/C862)/100))),0,(IF(B862=C862,AB862/C862,(INT(AB862/B862)+(((AB862-B862*INT(AB862/B862)))/C862)/100))))</f>
        <v>8</v>
      </c>
      <c r="BN862" s="57">
        <f>IF(ISERROR(IF(B862=C862,AC862/C862,(INT(AC862/B862)+(((AC862-B862*INT(AC862/B862)))/C862)/100))),0,(IF(B862=C862,AC862/C862,(INT(AC862/B862)+(((AC862-B862*INT(AC862/B862)))/C862)/100))))</f>
        <v>0</v>
      </c>
      <c r="BO862" s="57">
        <f>IF(ISERROR(IF(B862=C862,AD862/C862,(INT(AD862/B862)+(((AD862-B862*INT(AD862/B862)))/C862)/100))),0,(IF(B862=C862,AD862/C862,(INT(AD862/B862)+(((AD862-B862*INT(AD862/B862)))/C862)/100))))</f>
        <v>0</v>
      </c>
      <c r="BQ862" s="155" t="s">
        <v>113</v>
      </c>
    </row>
    <row r="863" spans="1:69" x14ac:dyDescent="0.35">
      <c r="A863" s="64" t="s">
        <v>114</v>
      </c>
      <c r="B863" s="113">
        <v>1000</v>
      </c>
      <c r="C863" s="113">
        <v>333</v>
      </c>
      <c r="D863" s="28">
        <f>SUM(AA863:AD863)</f>
        <v>10000</v>
      </c>
      <c r="E863" s="125">
        <v>0</v>
      </c>
      <c r="F863" s="113">
        <v>0</v>
      </c>
      <c r="G863" s="28">
        <f>SUM(D863:F863)</f>
        <v>10000</v>
      </c>
      <c r="H863" s="125">
        <v>0</v>
      </c>
      <c r="I863" s="113">
        <v>0</v>
      </c>
      <c r="J863" s="125">
        <v>0</v>
      </c>
      <c r="K863" s="113">
        <v>0</v>
      </c>
      <c r="L863" s="113">
        <v>0</v>
      </c>
      <c r="M863" s="113">
        <v>0</v>
      </c>
      <c r="N863" s="28">
        <f>G863-SUM(H863:M863)</f>
        <v>10000</v>
      </c>
      <c r="O863" s="28">
        <f>SUM(V863:Y863)</f>
        <v>8000</v>
      </c>
      <c r="P863" s="28">
        <f>O863-N863</f>
        <v>-2000</v>
      </c>
      <c r="Q863" s="61" t="str">
        <f>IF(ISERROR(P863/SUM(H863:L863)),"",P863/SUM(H863:L863))</f>
        <v/>
      </c>
      <c r="R863" s="113">
        <v>90</v>
      </c>
      <c r="S863" s="28">
        <f>IF(ISERROR(P863/C863*R863),0,(P863/C863*R863))</f>
        <v>-540.54054054054052</v>
      </c>
      <c r="T863" s="60">
        <f>IF(ISERROR(P863/B863*AF863),0,(P863/B863*AF863))</f>
        <v>-153.16666666666666</v>
      </c>
      <c r="V863" s="113">
        <v>2000</v>
      </c>
      <c r="W863" s="113">
        <v>6000</v>
      </c>
      <c r="X863" s="113">
        <v>0</v>
      </c>
      <c r="Y863" s="113">
        <v>0</v>
      </c>
      <c r="AA863" s="113">
        <v>4000</v>
      </c>
      <c r="AB863" s="113">
        <v>6000</v>
      </c>
      <c r="AC863" s="113">
        <v>0</v>
      </c>
      <c r="AD863" s="113">
        <v>0</v>
      </c>
      <c r="AF863" s="155">
        <v>76.583333333333329</v>
      </c>
      <c r="AG863" s="28">
        <f>G863-O863</f>
        <v>2000</v>
      </c>
      <c r="AH863" s="58">
        <f>IF(ISERROR(AG863/B863*AF863),0,(AG863/B863*AF863))</f>
        <v>153.16666666666666</v>
      </c>
      <c r="AI863" s="28">
        <f>SUM(H863:M863)</f>
        <v>0</v>
      </c>
      <c r="AJ863" s="28">
        <f>IF(ISERROR(AI863/B863*AF863),0,(AI863/B863*AF863))</f>
        <v>0</v>
      </c>
      <c r="AK863" s="58">
        <f>IF(ISERROR(O863/B863*AF863),0,(O863/B863*AF863))</f>
        <v>612.66666666666663</v>
      </c>
      <c r="AL863" s="28">
        <f>IF(ISERROR(H863/B863*AF863),0,(H863/B863*AF863))</f>
        <v>0</v>
      </c>
      <c r="AN863" s="51" t="str">
        <f>A863</f>
        <v>Tomato Juice</v>
      </c>
      <c r="AO863" s="57">
        <f>IF(ISERROR(IF(B863=C863,D863/C863,(INT(D863/B863)+(((D863-B863*INT(D863/B863)))/C863)/100))),0,(IF(B863=C863,D863/C863,(INT(D863/B863)+(((D863-B863*INT(D863/B863)))/C863)/100))))</f>
        <v>10</v>
      </c>
      <c r="AP863" s="57">
        <f>IF(ISERROR(IF(B863=C863,E863/C863,(INT(E863/B863)+(((E863-B863*INT(E863/B863)))/C863)/100))),0,(IF(B863=C863,E863/C863,(INT(E863/B863)+(((E863-B863*INT(E863/B863)))/C863)/100))))</f>
        <v>0</v>
      </c>
      <c r="AQ863" s="57">
        <f>IF(ISERROR(IF(B863=C863,F863/C863,IF((INT(F863/B863)+(((F863-B863*INT(F863/B863)))/C863)/100)&lt;0,(INT(F863/B863)+(((F863-B863*INT(F863/B863)))/C863)/100)+(1-(B863/C863/100)),(INT(F863/B863)+(((F863-B863*INT(F863/B863)))/C863)/100)))),0,IF(B863=C863,F863/C863,IF((INT(F863/B863)+(((F863-B863*INT(F863/B863)))/C863)/100)&lt;0,(INT(F863/B863)+(((F863-B863*INT(F863/B863)))/C863)/100)+(1-(B863/C863/100)),(INT(F863/B863)+(((F863-B863*INT(F863/B863)))/C863)/100))))</f>
        <v>0</v>
      </c>
      <c r="AR863" s="57">
        <f>IF(ISERROR(IF(B863=C863,G863/C863,(INT(G863/B863)+(((G863-B863*INT(G863/B863)))/C863)/100))),0,(IF(B863=C863,G863/C863,(INT(G863/B863)+(((G863-B863*INT(G863/B863)))/C863)/100))))</f>
        <v>10</v>
      </c>
      <c r="AS863" s="57">
        <f>IF(ISERROR(IF(B863=C863,H863/C863,(INT(H863/B863)+(((H863-B863*INT(H863/B863)))/C863)/100))),0,(IF(B863=C863,H863/C863,(INT(H863/B863)+(((H863-B863*INT(H863/B863)))/C863)/100))))</f>
        <v>0</v>
      </c>
      <c r="AT863" s="57">
        <f>IF(ISERROR(IF(B863=C863,I863/C863,(INT(I863/B863)+(((I863-B863*INT(I863/B863)))/C863)/100))),0,(IF(B863=C863,I863/C863,(INT(I863/B863)+(((I863-B863*INT(I863/B863)))/C863)/100))))</f>
        <v>0</v>
      </c>
      <c r="AU863" s="57">
        <f>IF(ISERROR(IF(B863=C863,J863/C863,(INT(J863/B863)+(((J863-B863*INT(J863/B863)))/C863)/100))),0,(IF(B863=C863,J863/C863,(INT(J863/B863)+(((J863-B863*INT(J863/B863)))/C863)/100))))</f>
        <v>0</v>
      </c>
      <c r="AV863" s="57">
        <f>IF(ISERROR(IF(B863=C863,K863/C863,IF((INT(K863/B863)+(((K863-B863*INT(K863/B863)))/C863)/100)&lt;0,(INT(K863/B863)+(((K863-B863*INT(K863/B863)))/C863)/100)+(1-(B863/C863/100)),(INT(K863/B863)+(((K863-B863*INT(K863/B863)))/C863)/100)))),0,IF(B863=C863,K863/C863,IF((INT(K863/B863)+(((K863-B863*INT(K863/B863)))/C863)/100)&lt;0,(INT(K863/B863)+(((K863-B863*INT(K863/B863)))/C863)/100)+(1-(B863/C863/100)),(INT(K863/B863)+(((K863-B863*INT(K863/B863)))/C863)/100))))</f>
        <v>0</v>
      </c>
      <c r="AW863" s="57">
        <f>IF(ISERROR(IF(B863=C863,L863/C863,(INT(L863/B863)+(((L863-B863*INT(L863/B863)))/C863)/100))),0,(IF(B863=C863,L863/C863,(INT(L863/B863)+(((L863-B863*INT(L863/B863)))/C863)/100))))</f>
        <v>0</v>
      </c>
      <c r="AX863" s="57">
        <f>IF(ISERROR(IF(B863=C863,M863/C863,(INT(M863/B863)+(((M863-B863*INT(M863/B863)))/C863)/100))),0,(IF(B863=C863,M863/C863,(INT(M863/B863)+(((M863-B863*INT(M863/B863)))/C863)/100))))</f>
        <v>0</v>
      </c>
      <c r="AY863" s="57">
        <f>IF(ISERROR(IF(B863=C863,N863/C863,IF((INT(N863/B863)+(((N863-B863*INT(N863/B863)))/C863)/100)&lt;0,(INT(N863/B863)+(((N863-B863*INT(N863/B863)))/C863)/100)+(1-(B863/C863/100)),(INT(N863/B863)+(((N863-B863*INT(N863/B863)))/C863)/100)))),0,IF(B863=C863,N863/C863,IF((INT(N863/B863)+(((N863-B863*INT(N863/B863)))/C863)/100)&lt;0,(INT(N863/B863)+(((N863-B863*INT(N863/B863)))/C863)/100)+(1-(B863/C863/100)),(INT(N863/B863)+(((N863-B863*INT(N863/B863)))/C863)/100))))</f>
        <v>10</v>
      </c>
      <c r="AZ863" s="57">
        <f>IF(ISERROR(IF(B863=C863,O863/C863,(INT(O863/B863)+(((O863-B863*INT(O863/B863)))/C863)/100))),0,(IF(B863=C863,O863/C863,(INT(O863/B863)+(((O863-B863*INT(O863/B863)))/C863)/100))))</f>
        <v>8</v>
      </c>
      <c r="BA863" s="57">
        <f>IF(ISERROR(IF(B863=C863,P863/C863,IF((INT(P863/B863)+(((P863-B863*INT(P863/B863)))/C863)/100)&lt;0,(INT(P863/B863)+(((P863-B863*INT(P863/B863)))/C863)/100)+(1-(B863/C863/100)),(INT(P863/B863)+(((P863-B863*INT(P863/B863)))/C863)/100)))),0,IF(B863=C863,P863/C863,IF((INT(P863/B863)+(((P863-B863*INT(P863/B863)))/C863)/100)&lt;0,(INT(P863/B863)+(((P863-B863*INT(P863/B863)))/C863)/100)+(1-(B863/C863/100)),(INT(P863/B863)+(((P863-B863*INT(P863/B863)))/C863)/100))))</f>
        <v>-1.03003003003003</v>
      </c>
      <c r="BB863" s="28">
        <f>R863</f>
        <v>90</v>
      </c>
      <c r="BC863" s="28">
        <f>S863</f>
        <v>-540.54054054054052</v>
      </c>
      <c r="BD863" s="28">
        <f>AF863</f>
        <v>76.583333333333329</v>
      </c>
      <c r="BE863" s="28">
        <f>T863</f>
        <v>-153.16666666666666</v>
      </c>
      <c r="BG863" s="57">
        <f>IF(ISERROR(IF(B863=C863,V863/C863,(INT(V863/B863)+(((V863-B863*INT(V863/B863)))/C863)/100))),0,(IF(B863=C863,V863/C863,(INT(V863/B863)+(((V863-B863*INT(V863/B863)))/C863)/100))))</f>
        <v>2</v>
      </c>
      <c r="BH863" s="57">
        <f>IF(ISERROR(IF(B863=C863,W863/C863,(INT(W863/B863)+(((W863-B863*INT(W863/B863)))/C863)/100))),0,(IF(B863=C863,W863/C863,(INT(W863/B863)+(((W863-B863*INT(W863/B863)))/C863)/100))))</f>
        <v>6</v>
      </c>
      <c r="BI863" s="57">
        <f>IF(ISERROR(IF(B863=C863,X863/C863,(INT(X863/B863)+(((X863-B863*INT(X863/B863)))/C863)/100))),0,(IF(B863=C863,X863/C863,(INT(X863/B863)+(((X863-B863*INT(X863/B863)))/C863)/100))))</f>
        <v>0</v>
      </c>
      <c r="BJ863" s="57">
        <f>IF(ISERROR(IF(B863=C863,Y863/C863,(INT(Y863/B863)+(((Y863-B863*INT(Y863/B863)))/C863)/100))),0,(IF(B863=C863,Y863/C863,(INT(Y863/B863)+(((Y863-B863*INT(Y863/B863)))/C863)/100))))</f>
        <v>0</v>
      </c>
      <c r="BL863" s="57">
        <f>IF(ISERROR(IF(B863=C863,AA863/C863,(INT(AA863/B863)+(((AA863-B863*INT(AA863/B863)))/C863)/100))),0,(IF(B863=C863,AA863/C863,(INT(AA863/B863)+(((AA863-B863*INT(AA863/B863)))/C863)/100))))</f>
        <v>4</v>
      </c>
      <c r="BM863" s="57">
        <f>IF(ISERROR(IF(B863=C863,AB863/C863,(INT(AB863/B863)+(((AB863-B863*INT(AB863/B863)))/C863)/100))),0,(IF(B863=C863,AB863/C863,(INT(AB863/B863)+(((AB863-B863*INT(AB863/B863)))/C863)/100))))</f>
        <v>6</v>
      </c>
      <c r="BN863" s="57">
        <f>IF(ISERROR(IF(B863=C863,AC863/C863,(INT(AC863/B863)+(((AC863-B863*INT(AC863/B863)))/C863)/100))),0,(IF(B863=C863,AC863/C863,(INT(AC863/B863)+(((AC863-B863*INT(AC863/B863)))/C863)/100))))</f>
        <v>0</v>
      </c>
      <c r="BO863" s="57">
        <f>IF(ISERROR(IF(B863=C863,AD863/C863,(INT(AD863/B863)+(((AD863-B863*INT(AD863/B863)))/C863)/100))),0,(IF(B863=C863,AD863/C863,(INT(AD863/B863)+(((AD863-B863*INT(AD863/B863)))/C863)/100))))</f>
        <v>0</v>
      </c>
      <c r="BQ863" s="155" t="s">
        <v>113</v>
      </c>
    </row>
    <row r="864" spans="1:69" hidden="1" x14ac:dyDescent="0.35">
      <c r="A864" s="134"/>
      <c r="B864" s="113">
        <v>1000</v>
      </c>
      <c r="C864" s="113">
        <v>333</v>
      </c>
      <c r="D864" s="28">
        <f>SUM(AA864:AD864)</f>
        <v>0</v>
      </c>
      <c r="E864" s="125">
        <v>0</v>
      </c>
      <c r="F864" s="113">
        <v>0</v>
      </c>
      <c r="G864" s="28">
        <f>SUM(D864:F864)</f>
        <v>0</v>
      </c>
      <c r="H864" s="125">
        <v>0</v>
      </c>
      <c r="I864" s="125">
        <v>0</v>
      </c>
      <c r="J864" s="125">
        <v>0</v>
      </c>
      <c r="K864" s="125">
        <v>0</v>
      </c>
      <c r="L864" s="113">
        <v>0</v>
      </c>
      <c r="M864" s="113">
        <v>0</v>
      </c>
      <c r="N864" s="28">
        <f>G864-SUM(H864:M864)</f>
        <v>0</v>
      </c>
      <c r="O864" s="28">
        <f>SUM(V864:Y864)</f>
        <v>0</v>
      </c>
      <c r="P864" s="28">
        <f>O864-N864</f>
        <v>0</v>
      </c>
      <c r="Q864" s="61" t="str">
        <f>IF(ISERROR(P864/SUM(H864:L864)),"",P864/SUM(H864:L864))</f>
        <v/>
      </c>
      <c r="R864" s="113">
        <v>0</v>
      </c>
      <c r="S864" s="28">
        <f>IF(ISERROR(P864/C864*R864),0,(P864/C864*R864))</f>
        <v>0</v>
      </c>
      <c r="T864" s="60">
        <f>IF(ISERROR(P864/B864*AF864),0,(P864/B864*AF864))</f>
        <v>0</v>
      </c>
      <c r="V864" s="113">
        <v>0</v>
      </c>
      <c r="W864" s="113">
        <v>0</v>
      </c>
      <c r="X864" s="113">
        <v>0</v>
      </c>
      <c r="Y864" s="113">
        <v>0</v>
      </c>
      <c r="AA864" s="113">
        <v>0</v>
      </c>
      <c r="AB864" s="113">
        <v>0</v>
      </c>
      <c r="AC864" s="113">
        <v>0</v>
      </c>
      <c r="AD864" s="113">
        <v>0</v>
      </c>
      <c r="AF864" s="113">
        <v>0</v>
      </c>
      <c r="AG864" s="28">
        <f>G864-O864</f>
        <v>0</v>
      </c>
      <c r="AH864" s="58">
        <f>IF(ISERROR(AG864/B864*AF864),0,(AG864/B864*AF864))</f>
        <v>0</v>
      </c>
      <c r="AI864" s="28">
        <f>SUM(H864:M864)</f>
        <v>0</v>
      </c>
      <c r="AJ864" s="28">
        <f>IF(ISERROR(AI864/B864*AF864),0,(AI864/B864*AF864))</f>
        <v>0</v>
      </c>
      <c r="AK864" s="58">
        <f>IF(ISERROR(O864/B864*AF864),0,(O864/B864*AF864))</f>
        <v>0</v>
      </c>
      <c r="AL864" s="28">
        <f>IF(ISERROR(H864/B864*AF864),0,(H864/B864*AF864))</f>
        <v>0</v>
      </c>
      <c r="AN864" s="51">
        <f>A864</f>
        <v>0</v>
      </c>
      <c r="AO864" s="57">
        <f>IF(ISERROR(IF(B864=C864,D864/C864,(INT(D864/B864)+(((D864-B864*INT(D864/B864)))/C864)/100))),0,(IF(B864=C864,D864/C864,(INT(D864/B864)+(((D864-B864*INT(D864/B864)))/C864)/100))))</f>
        <v>0</v>
      </c>
      <c r="AP864" s="57">
        <f>IF(ISERROR(IF(B864=C864,E864/C864,(INT(E864/B864)+(((E864-B864*INT(E864/B864)))/C864)/100))),0,(IF(B864=C864,E864/C864,(INT(E864/B864)+(((E864-B864*INT(E864/B864)))/C864)/100))))</f>
        <v>0</v>
      </c>
      <c r="AQ864" s="57">
        <f>IF(ISERROR(IF(B864=C864,F864/C864,IF((INT(F864/B864)+(((F864-B864*INT(F864/B864)))/C864)/100)&lt;0,(INT(F864/B864)+(((F864-B864*INT(F864/B864)))/C864)/100)+(1-(B864/C864/100)),(INT(F864/B864)+(((F864-B864*INT(F864/B864)))/C864)/100)))),0,IF(B864=C864,F864/C864,IF((INT(F864/B864)+(((F864-B864*INT(F864/B864)))/C864)/100)&lt;0,(INT(F864/B864)+(((F864-B864*INT(F864/B864)))/C864)/100)+(1-(B864/C864/100)),(INT(F864/B864)+(((F864-B864*INT(F864/B864)))/C864)/100))))</f>
        <v>0</v>
      </c>
      <c r="AR864" s="57">
        <f>IF(ISERROR(IF(B864=C864,G864/C864,(INT(G864/B864)+(((G864-B864*INT(G864/B864)))/C864)/100))),0,(IF(B864=C864,G864/C864,(INT(G864/B864)+(((G864-B864*INT(G864/B864)))/C864)/100))))</f>
        <v>0</v>
      </c>
      <c r="AS864" s="57">
        <f>IF(ISERROR(IF(B864=C864,H864/C864,(INT(H864/B864)+(((H864-B864*INT(H864/B864)))/C864)/100))),0,(IF(B864=C864,H864/C864,(INT(H864/B864)+(((H864-B864*INT(H864/B864)))/C864)/100))))</f>
        <v>0</v>
      </c>
      <c r="AT864" s="57">
        <f>IF(ISERROR(IF(B864=C864,I864/C864,(INT(I864/B864)+(((I864-B864*INT(I864/B864)))/C864)/100))),0,(IF(B864=C864,I864/C864,(INT(I864/B864)+(((I864-B864*INT(I864/B864)))/C864)/100))))</f>
        <v>0</v>
      </c>
      <c r="AU864" s="57">
        <f>IF(ISERROR(IF(B864=C864,J864/C864,(INT(J864/B864)+(((J864-B864*INT(J864/B864)))/C864)/100))),0,(IF(B864=C864,J864/C864,(INT(J864/B864)+(((J864-B864*INT(J864/B864)))/C864)/100))))</f>
        <v>0</v>
      </c>
      <c r="AV864" s="57">
        <f>IF(ISERROR(IF(B864=C864,K864/C864,IF((INT(K864/B864)+(((K864-B864*INT(K864/B864)))/C864)/100)&lt;0,(INT(K864/B864)+(((K864-B864*INT(K864/B864)))/C864)/100)+(1-(B864/C864/100)),(INT(K864/B864)+(((K864-B864*INT(K864/B864)))/C864)/100)))),0,IF(B864=C864,K864/C864,IF((INT(K864/B864)+(((K864-B864*INT(K864/B864)))/C864)/100)&lt;0,(INT(K864/B864)+(((K864-B864*INT(K864/B864)))/C864)/100)+(1-(B864/C864/100)),(INT(K864/B864)+(((K864-B864*INT(K864/B864)))/C864)/100))))</f>
        <v>0</v>
      </c>
      <c r="AW864" s="57">
        <f>IF(ISERROR(IF(B864=C864,L864/C864,(INT(L864/B864)+(((L864-B864*INT(L864/B864)))/C864)/100))),0,(IF(B864=C864,L864/C864,(INT(L864/B864)+(((L864-B864*INT(L864/B864)))/C864)/100))))</f>
        <v>0</v>
      </c>
      <c r="AX864" s="57">
        <f>IF(ISERROR(IF(B864=C864,M864/C864,(INT(M864/B864)+(((M864-B864*INT(M864/B864)))/C864)/100))),0,(IF(B864=C864,M864/C864,(INT(M864/B864)+(((M864-B864*INT(M864/B864)))/C864)/100))))</f>
        <v>0</v>
      </c>
      <c r="AY864" s="57">
        <f>IF(ISERROR(IF(B864=C864,N864/C864,IF((INT(N864/B864)+(((N864-B864*INT(N864/B864)))/C864)/100)&lt;0,(INT(N864/B864)+(((N864-B864*INT(N864/B864)))/C864)/100)+(1-(B864/C864/100)),(INT(N864/B864)+(((N864-B864*INT(N864/B864)))/C864)/100)))),0,IF(B864=C864,N864/C864,IF((INT(N864/B864)+(((N864-B864*INT(N864/B864)))/C864)/100)&lt;0,(INT(N864/B864)+(((N864-B864*INT(N864/B864)))/C864)/100)+(1-(B864/C864/100)),(INT(N864/B864)+(((N864-B864*INT(N864/B864)))/C864)/100))))</f>
        <v>0</v>
      </c>
      <c r="AZ864" s="57">
        <f>IF(ISERROR(IF(B864=C864,O864/C864,(INT(O864/B864)+(((O864-B864*INT(O864/B864)))/C864)/100))),0,(IF(B864=C864,O864/C864,(INT(O864/B864)+(((O864-B864*INT(O864/B864)))/C864)/100))))</f>
        <v>0</v>
      </c>
      <c r="BA864" s="57">
        <f>IF(ISERROR(IF(B864=C864,P864/C864,IF((INT(P864/B864)+(((P864-B864*INT(P864/B864)))/C864)/100)&lt;0,(INT(P864/B864)+(((P864-B864*INT(P864/B864)))/C864)/100)+(1-(B864/C864/100)),(INT(P864/B864)+(((P864-B864*INT(P864/B864)))/C864)/100)))),0,IF(B864=C864,P864/C864,IF((INT(P864/B864)+(((P864-B864*INT(P864/B864)))/C864)/100)&lt;0,(INT(P864/B864)+(((P864-B864*INT(P864/B864)))/C864)/100)+(1-(B864/C864/100)),(INT(P864/B864)+(((P864-B864*INT(P864/B864)))/C864)/100))))</f>
        <v>0</v>
      </c>
      <c r="BB864" s="28">
        <f>R864</f>
        <v>0</v>
      </c>
      <c r="BC864" s="28">
        <f>S864</f>
        <v>0</v>
      </c>
      <c r="BD864" s="28">
        <f>AF864</f>
        <v>0</v>
      </c>
      <c r="BE864" s="28">
        <f>T864</f>
        <v>0</v>
      </c>
      <c r="BG864" s="57">
        <f>IF(ISERROR(IF(B864=C864,V864/C864,(INT(V864/B864)+(((V864-B864*INT(V864/B864)))/C864)/100))),0,(IF(B864=C864,V864/C864,(INT(V864/B864)+(((V864-B864*INT(V864/B864)))/C864)/100))))</f>
        <v>0</v>
      </c>
      <c r="BH864" s="57">
        <f>IF(ISERROR(IF(B864=C864,W864/C864,(INT(W864/B864)+(((W864-B864*INT(W864/B864)))/C864)/100))),0,(IF(B864=C864,W864/C864,(INT(W864/B864)+(((W864-B864*INT(W864/B864)))/C864)/100))))</f>
        <v>0</v>
      </c>
      <c r="BI864" s="57">
        <f>IF(ISERROR(IF(B864=C864,X864/C864,(INT(X864/B864)+(((X864-B864*INT(X864/B864)))/C864)/100))),0,(IF(B864=C864,X864/C864,(INT(X864/B864)+(((X864-B864*INT(X864/B864)))/C864)/100))))</f>
        <v>0</v>
      </c>
      <c r="BJ864" s="57">
        <f>IF(ISERROR(IF(B864=C864,Y864/C864,(INT(Y864/B864)+(((Y864-B864*INT(Y864/B864)))/C864)/100))),0,(IF(B864=C864,Y864/C864,(INT(Y864/B864)+(((Y864-B864*INT(Y864/B864)))/C864)/100))))</f>
        <v>0</v>
      </c>
      <c r="BL864" s="57">
        <f>IF(ISERROR(IF(B864=C864,AA864/C864,(INT(AA864/B864)+(((AA864-B864*INT(AA864/B864)))/C864)/100))),0,(IF(B864=C864,AA864/C864,(INT(AA864/B864)+(((AA864-B864*INT(AA864/B864)))/C864)/100))))</f>
        <v>0</v>
      </c>
      <c r="BM864" s="57">
        <f>IF(ISERROR(IF(B864=C864,AB864/C864,(INT(AB864/B864)+(((AB864-B864*INT(AB864/B864)))/C864)/100))),0,(IF(B864=C864,AB864/C864,(INT(AB864/B864)+(((AB864-B864*INT(AB864/B864)))/C864)/100))))</f>
        <v>0</v>
      </c>
      <c r="BN864" s="57">
        <f>IF(ISERROR(IF(B864=C864,AC864/C864,(INT(AC864/B864)+(((AC864-B864*INT(AC864/B864)))/C864)/100))),0,(IF(B864=C864,AC864/C864,(INT(AC864/B864)+(((AC864-B864*INT(AC864/B864)))/C864)/100))))</f>
        <v>0</v>
      </c>
      <c r="BO864" s="57">
        <f>IF(ISERROR(IF(B864=C864,AD864/C864,(INT(AD864/B864)+(((AD864-B864*INT(AD864/B864)))/C864)/100))),0,(IF(B864=C864,AD864/C864,(INT(AD864/B864)+(((AD864-B864*INT(AD864/B864)))/C864)/100))))</f>
        <v>0</v>
      </c>
      <c r="BQ864" s="155" t="s">
        <v>113</v>
      </c>
    </row>
    <row r="865" spans="1:69" hidden="1" x14ac:dyDescent="0.35">
      <c r="A865" s="94"/>
      <c r="B865" s="113"/>
      <c r="C865" s="113"/>
      <c r="D865" s="28">
        <f>SUM(AA865:AD865)</f>
        <v>0</v>
      </c>
      <c r="E865" s="125">
        <v>0</v>
      </c>
      <c r="F865" s="113"/>
      <c r="G865" s="28">
        <f>SUM(D865:F865)</f>
        <v>0</v>
      </c>
      <c r="H865" s="125">
        <v>0</v>
      </c>
      <c r="I865" s="125">
        <v>0</v>
      </c>
      <c r="J865" s="125">
        <v>0</v>
      </c>
      <c r="K865" s="125">
        <v>0</v>
      </c>
      <c r="L865" s="113"/>
      <c r="M865" s="113"/>
      <c r="N865" s="28">
        <f>G865-SUM(H865:M865)</f>
        <v>0</v>
      </c>
      <c r="O865" s="28">
        <f>SUM(V865:Y865)</f>
        <v>0</v>
      </c>
      <c r="P865" s="28">
        <f>O865-N865</f>
        <v>0</v>
      </c>
      <c r="Q865" s="61" t="str">
        <f>IF(ISERROR(P865/SUM(H865:L865)),"",P865/SUM(H865:L865))</f>
        <v/>
      </c>
      <c r="R865" s="113"/>
      <c r="S865" s="28">
        <f>IF(ISERROR(P865/C865*R865),0,(P865/C865*R865))</f>
        <v>0</v>
      </c>
      <c r="T865" s="60">
        <f>IF(ISERROR(P865/B865*AF865),0,(P865/B865*AF865))</f>
        <v>0</v>
      </c>
      <c r="V865" s="113"/>
      <c r="W865" s="113"/>
      <c r="X865" s="113"/>
      <c r="Y865" s="113"/>
      <c r="AA865" s="113"/>
      <c r="AB865" s="113"/>
      <c r="AC865" s="113"/>
      <c r="AD865" s="113"/>
      <c r="AF865" s="113"/>
      <c r="AG865" s="28">
        <f>G865-O865</f>
        <v>0</v>
      </c>
      <c r="AH865" s="58">
        <f>IF(ISERROR(AG865/B865*AF865),0,(AG865/B865*AF865))</f>
        <v>0</v>
      </c>
      <c r="AI865" s="28">
        <f>SUM(H865:M865)</f>
        <v>0</v>
      </c>
      <c r="AJ865" s="28">
        <f>IF(ISERROR(AI865/B865*AF865),0,(AI865/B865*AF865))</f>
        <v>0</v>
      </c>
      <c r="AK865" s="58">
        <f>IF(ISERROR(O865/B865*AF865),0,(O865/B865*AF865))</f>
        <v>0</v>
      </c>
      <c r="AL865" s="28">
        <f>IF(ISERROR(H865/B865*AF865),0,(H865/B865*AF865))</f>
        <v>0</v>
      </c>
      <c r="AN865" s="51">
        <f>A865</f>
        <v>0</v>
      </c>
      <c r="AO865" s="57">
        <f>IF(ISERROR(IF(B865=C865,D865/C865,(INT(D865/B865)+(((D865-B865*INT(D865/B865)))/C865)/100))),0,(IF(B865=C865,D865/C865,(INT(D865/B865)+(((D865-B865*INT(D865/B865)))/C865)/100))))</f>
        <v>0</v>
      </c>
      <c r="AP865" s="57">
        <f>IF(ISERROR(IF(B865=C865,E865/C865,(INT(E865/B865)+(((E865-B865*INT(E865/B865)))/C865)/100))),0,(IF(B865=C865,E865/C865,(INT(E865/B865)+(((E865-B865*INT(E865/B865)))/C865)/100))))</f>
        <v>0</v>
      </c>
      <c r="AQ865" s="57">
        <f>IF(ISERROR(IF(B865=C865,F865/C865,IF((INT(F865/B865)+(((F865-B865*INT(F865/B865)))/C865)/100)&lt;0,(INT(F865/B865)+(((F865-B865*INT(F865/B865)))/C865)/100)+(1-(B865/C865/100)),(INT(F865/B865)+(((F865-B865*INT(F865/B865)))/C865)/100)))),0,IF(B865=C865,F865/C865,IF((INT(F865/B865)+(((F865-B865*INT(F865/B865)))/C865)/100)&lt;0,(INT(F865/B865)+(((F865-B865*INT(F865/B865)))/C865)/100)+(1-(B865/C865/100)),(INT(F865/B865)+(((F865-B865*INT(F865/B865)))/C865)/100))))</f>
        <v>0</v>
      </c>
      <c r="AR865" s="57">
        <f>IF(ISERROR(IF(B865=C865,G865/C865,(INT(G865/B865)+(((G865-B865*INT(G865/B865)))/C865)/100))),0,(IF(B865=C865,G865/C865,(INT(G865/B865)+(((G865-B865*INT(G865/B865)))/C865)/100))))</f>
        <v>0</v>
      </c>
      <c r="AS865" s="57">
        <f>IF(ISERROR(IF(B865=C865,H865/C865,(INT(H865/B865)+(((H865-B865*INT(H865/B865)))/C865)/100))),0,(IF(B865=C865,H865/C865,(INT(H865/B865)+(((H865-B865*INT(H865/B865)))/C865)/100))))</f>
        <v>0</v>
      </c>
      <c r="AT865" s="57">
        <f>IF(ISERROR(IF(B865=C865,I865/C865,(INT(I865/B865)+(((I865-B865*INT(I865/B865)))/C865)/100))),0,(IF(B865=C865,I865/C865,(INT(I865/B865)+(((I865-B865*INT(I865/B865)))/C865)/100))))</f>
        <v>0</v>
      </c>
      <c r="AU865" s="57">
        <f>IF(ISERROR(IF(B865=C865,J865/C865,(INT(J865/B865)+(((J865-B865*INT(J865/B865)))/C865)/100))),0,(IF(B865=C865,J865/C865,(INT(J865/B865)+(((J865-B865*INT(J865/B865)))/C865)/100))))</f>
        <v>0</v>
      </c>
      <c r="AV865" s="57">
        <f>IF(ISERROR(IF(B865=C865,K865/C865,IF((INT(K865/B865)+(((K865-B865*INT(K865/B865)))/C865)/100)&lt;0,(INT(K865/B865)+(((K865-B865*INT(K865/B865)))/C865)/100)+(1-(B865/C865/100)),(INT(K865/B865)+(((K865-B865*INT(K865/B865)))/C865)/100)))),0,IF(B865=C865,K865/C865,IF((INT(K865/B865)+(((K865-B865*INT(K865/B865)))/C865)/100)&lt;0,(INT(K865/B865)+(((K865-B865*INT(K865/B865)))/C865)/100)+(1-(B865/C865/100)),(INT(K865/B865)+(((K865-B865*INT(K865/B865)))/C865)/100))))</f>
        <v>0</v>
      </c>
      <c r="AW865" s="57">
        <f>IF(ISERROR(IF(B865=C865,L865/C865,(INT(L865/B865)+(((L865-B865*INT(L865/B865)))/C865)/100))),0,(IF(B865=C865,L865/C865,(INT(L865/B865)+(((L865-B865*INT(L865/B865)))/C865)/100))))</f>
        <v>0</v>
      </c>
      <c r="AX865" s="57">
        <f>IF(ISERROR(IF(B865=C865,M865/C865,(INT(M865/B865)+(((M865-B865*INT(M865/B865)))/C865)/100))),0,(IF(B865=C865,M865/C865,(INT(M865/B865)+(((M865-B865*INT(M865/B865)))/C865)/100))))</f>
        <v>0</v>
      </c>
      <c r="AY865" s="57">
        <f>IF(ISERROR(IF(B865=C865,N865/C865,IF((INT(N865/B865)+(((N865-B865*INT(N865/B865)))/C865)/100)&lt;0,(INT(N865/B865)+(((N865-B865*INT(N865/B865)))/C865)/100)+(1-(B865/C865/100)),(INT(N865/B865)+(((N865-B865*INT(N865/B865)))/C865)/100)))),0,IF(B865=C865,N865/C865,IF((INT(N865/B865)+(((N865-B865*INT(N865/B865)))/C865)/100)&lt;0,(INT(N865/B865)+(((N865-B865*INT(N865/B865)))/C865)/100)+(1-(B865/C865/100)),(INT(N865/B865)+(((N865-B865*INT(N865/B865)))/C865)/100))))</f>
        <v>0</v>
      </c>
      <c r="AZ865" s="57">
        <f>IF(ISERROR(IF(B865=C865,O865/C865,(INT(O865/B865)+(((O865-B865*INT(O865/B865)))/C865)/100))),0,(IF(B865=C865,O865/C865,(INT(O865/B865)+(((O865-B865*INT(O865/B865)))/C865)/100))))</f>
        <v>0</v>
      </c>
      <c r="BA865" s="57">
        <f>IF(ISERROR(IF(B865=C865,P865/C865,IF((INT(P865/B865)+(((P865-B865*INT(P865/B865)))/C865)/100)&lt;0,(INT(P865/B865)+(((P865-B865*INT(P865/B865)))/C865)/100)+(1-(B865/C865/100)),(INT(P865/B865)+(((P865-B865*INT(P865/B865)))/C865)/100)))),0,IF(B865=C865,P865/C865,IF((INT(P865/B865)+(((P865-B865*INT(P865/B865)))/C865)/100)&lt;0,(INT(P865/B865)+(((P865-B865*INT(P865/B865)))/C865)/100)+(1-(B865/C865/100)),(INT(P865/B865)+(((P865-B865*INT(P865/B865)))/C865)/100))))</f>
        <v>0</v>
      </c>
      <c r="BB865" s="28">
        <f>R865</f>
        <v>0</v>
      </c>
      <c r="BC865" s="28">
        <f>S865</f>
        <v>0</v>
      </c>
      <c r="BD865" s="28">
        <f>AF865</f>
        <v>0</v>
      </c>
      <c r="BE865" s="28">
        <f>T865</f>
        <v>0</v>
      </c>
      <c r="BG865" s="57">
        <f>IF(ISERROR(IF(B865=C865,V865/C865,(INT(V865/B865)+(((V865-B865*INT(V865/B865)))/C865)/100))),0,(IF(B865=C865,V865/C865,(INT(V865/B865)+(((V865-B865*INT(V865/B865)))/C865)/100))))</f>
        <v>0</v>
      </c>
      <c r="BH865" s="57">
        <f>IF(ISERROR(IF(B865=C865,W865/C865,(INT(W865/B865)+(((W865-B865*INT(W865/B865)))/C865)/100))),0,(IF(B865=C865,W865/C865,(INT(W865/B865)+(((W865-B865*INT(W865/B865)))/C865)/100))))</f>
        <v>0</v>
      </c>
      <c r="BI865" s="57">
        <f>IF(ISERROR(IF(B865=C865,X865/C865,(INT(X865/B865)+(((X865-B865*INT(X865/B865)))/C865)/100))),0,(IF(B865=C865,X865/C865,(INT(X865/B865)+(((X865-B865*INT(X865/B865)))/C865)/100))))</f>
        <v>0</v>
      </c>
      <c r="BJ865" s="57">
        <f>IF(ISERROR(IF(B865=C865,Y865/C865,(INT(Y865/B865)+(((Y865-B865*INT(Y865/B865)))/C865)/100))),0,(IF(B865=C865,Y865/C865,(INT(Y865/B865)+(((Y865-B865*INT(Y865/B865)))/C865)/100))))</f>
        <v>0</v>
      </c>
      <c r="BL865" s="57">
        <f>IF(ISERROR(IF(B865=C865,AA865/C865,(INT(AA865/B865)+(((AA865-B865*INT(AA865/B865)))/C865)/100))),0,(IF(B865=C865,AA865/C865,(INT(AA865/B865)+(((AA865-B865*INT(AA865/B865)))/C865)/100))))</f>
        <v>0</v>
      </c>
      <c r="BM865" s="57">
        <f>IF(ISERROR(IF(B865=C865,AB865/C865,(INT(AB865/B865)+(((AB865-B865*INT(AB865/B865)))/C865)/100))),0,(IF(B865=C865,AB865/C865,(INT(AB865/B865)+(((AB865-B865*INT(AB865/B865)))/C865)/100))))</f>
        <v>0</v>
      </c>
      <c r="BN865" s="57">
        <f>IF(ISERROR(IF(B865=C865,AC865/C865,(INT(AC865/B865)+(((AC865-B865*INT(AC865/B865)))/C865)/100))),0,(IF(B865=C865,AC865/C865,(INT(AC865/B865)+(((AC865-B865*INT(AC865/B865)))/C865)/100))))</f>
        <v>0</v>
      </c>
      <c r="BO865" s="57">
        <f>IF(ISERROR(IF(B865=C865,AD865/C865,(INT(AD865/B865)+(((AD865-B865*INT(AD865/B865)))/C865)/100))),0,(IF(B865=C865,AD865/C865,(INT(AD865/B865)+(((AD865-B865*INT(AD865/B865)))/C865)/100))))</f>
        <v>0</v>
      </c>
      <c r="BQ865" s="155"/>
    </row>
    <row r="866" spans="1:69" hidden="1" x14ac:dyDescent="0.35">
      <c r="A866" s="94"/>
      <c r="B866" s="113">
        <v>0</v>
      </c>
      <c r="C866" s="113">
        <v>0</v>
      </c>
      <c r="D866" s="28">
        <f>SUM(AA866:AD866)</f>
        <v>0</v>
      </c>
      <c r="E866" s="125">
        <v>0</v>
      </c>
      <c r="F866" s="113">
        <v>0</v>
      </c>
      <c r="G866" s="28">
        <f>SUM(D866:F866)</f>
        <v>0</v>
      </c>
      <c r="H866" s="125">
        <v>0</v>
      </c>
      <c r="I866" s="125">
        <v>0</v>
      </c>
      <c r="J866" s="125">
        <v>0</v>
      </c>
      <c r="K866" s="125">
        <v>0</v>
      </c>
      <c r="L866" s="113">
        <v>0</v>
      </c>
      <c r="M866" s="113">
        <v>0</v>
      </c>
      <c r="N866" s="28">
        <f>G866-SUM(H866:M866)</f>
        <v>0</v>
      </c>
      <c r="O866" s="28">
        <f>SUM(V866:Y866)</f>
        <v>0</v>
      </c>
      <c r="P866" s="28">
        <f>O866-N866</f>
        <v>0</v>
      </c>
      <c r="Q866" s="61" t="str">
        <f>IF(ISERROR(P866/SUM(H866:L866)),"",P866/SUM(H866:L866))</f>
        <v/>
      </c>
      <c r="R866" s="113">
        <v>0</v>
      </c>
      <c r="S866" s="28">
        <f>IF(ISERROR(P866/C866*R866),0,(P866/C866*R866))</f>
        <v>0</v>
      </c>
      <c r="T866" s="60">
        <f>IF(ISERROR(P866/B866*AF866),0,(P866/B866*AF866))</f>
        <v>0</v>
      </c>
      <c r="V866" s="113">
        <v>0</v>
      </c>
      <c r="W866" s="113">
        <v>0</v>
      </c>
      <c r="X866" s="113">
        <v>0</v>
      </c>
      <c r="Y866" s="113">
        <v>0</v>
      </c>
      <c r="AA866" s="113">
        <v>0</v>
      </c>
      <c r="AB866" s="113">
        <v>0</v>
      </c>
      <c r="AC866" s="113">
        <v>0</v>
      </c>
      <c r="AD866" s="113">
        <v>0</v>
      </c>
      <c r="AF866" s="113">
        <v>0</v>
      </c>
      <c r="AG866" s="28">
        <f>G866-O866</f>
        <v>0</v>
      </c>
      <c r="AH866" s="58">
        <f>IF(ISERROR(AG866/B866*AF866),0,(AG866/B866*AF866))</f>
        <v>0</v>
      </c>
      <c r="AI866" s="28">
        <f>SUM(H866:M866)</f>
        <v>0</v>
      </c>
      <c r="AJ866" s="28">
        <f>IF(ISERROR(AI866/B866*AF866),0,(AI866/B866*AF866))</f>
        <v>0</v>
      </c>
      <c r="AK866" s="58">
        <f>IF(ISERROR(O866/B866*AF866),0,(O866/B866*AF866))</f>
        <v>0</v>
      </c>
      <c r="AL866" s="28">
        <f>IF(ISERROR(H866/B866*AF866),0,(H866/B866*AF866))</f>
        <v>0</v>
      </c>
      <c r="AN866" s="51">
        <f>A866</f>
        <v>0</v>
      </c>
      <c r="AO866" s="57">
        <f>IF(ISERROR(IF(B866=C866,D866/C866,(INT(D866/B866)+(((D866-B866*INT(D866/B866)))/C866)/100))),0,(IF(B866=C866,D866/C866,(INT(D866/B866)+(((D866-B866*INT(D866/B866)))/C866)/100))))</f>
        <v>0</v>
      </c>
      <c r="AP866" s="57">
        <f>IF(ISERROR(IF(B866=C866,E866/C866,(INT(E866/B866)+(((E866-B866*INT(E866/B866)))/C866)/100))),0,(IF(B866=C866,E866/C866,(INT(E866/B866)+(((E866-B866*INT(E866/B866)))/C866)/100))))</f>
        <v>0</v>
      </c>
      <c r="AQ866" s="57">
        <f>IF(ISERROR(IF(B866=C866,F866/C866,IF((INT(F866/B866)+(((F866-B866*INT(F866/B866)))/C866)/100)&lt;0,(INT(F866/B866)+(((F866-B866*INT(F866/B866)))/C866)/100)+(1-(B866/C866/100)),(INT(F866/B866)+(((F866-B866*INT(F866/B866)))/C866)/100)))),0,IF(B866=C866,F866/C866,IF((INT(F866/B866)+(((F866-B866*INT(F866/B866)))/C866)/100)&lt;0,(INT(F866/B866)+(((F866-B866*INT(F866/B866)))/C866)/100)+(1-(B866/C866/100)),(INT(F866/B866)+(((F866-B866*INT(F866/B866)))/C866)/100))))</f>
        <v>0</v>
      </c>
      <c r="AR866" s="57">
        <f>IF(ISERROR(IF(B866=C866,G866/C866,(INT(G866/B866)+(((G866-B866*INT(G866/B866)))/C866)/100))),0,(IF(B866=C866,G866/C866,(INT(G866/B866)+(((G866-B866*INT(G866/B866)))/C866)/100))))</f>
        <v>0</v>
      </c>
      <c r="AS866" s="57">
        <f>IF(ISERROR(IF(B866=C866,H866/C866,(INT(H866/B866)+(((H866-B866*INT(H866/B866)))/C866)/100))),0,(IF(B866=C866,H866/C866,(INT(H866/B866)+(((H866-B866*INT(H866/B866)))/C866)/100))))</f>
        <v>0</v>
      </c>
      <c r="AT866" s="57">
        <f>IF(ISERROR(IF(B866=C866,I866/C866,(INT(I866/B866)+(((I866-B866*INT(I866/B866)))/C866)/100))),0,(IF(B866=C866,I866/C866,(INT(I866/B866)+(((I866-B866*INT(I866/B866)))/C866)/100))))</f>
        <v>0</v>
      </c>
      <c r="AU866" s="57">
        <f>IF(ISERROR(IF(B866=C866,J866/C866,(INT(J866/B866)+(((J866-B866*INT(J866/B866)))/C866)/100))),0,(IF(B866=C866,J866/C866,(INT(J866/B866)+(((J866-B866*INT(J866/B866)))/C866)/100))))</f>
        <v>0</v>
      </c>
      <c r="AV866" s="57">
        <f>IF(ISERROR(IF(B866=C866,K866/C866,IF((INT(K866/B866)+(((K866-B866*INT(K866/B866)))/C866)/100)&lt;0,(INT(K866/B866)+(((K866-B866*INT(K866/B866)))/C866)/100)+(1-(B866/C866/100)),(INT(K866/B866)+(((K866-B866*INT(K866/B866)))/C866)/100)))),0,IF(B866=C866,K866/C866,IF((INT(K866/B866)+(((K866-B866*INT(K866/B866)))/C866)/100)&lt;0,(INT(K866/B866)+(((K866-B866*INT(K866/B866)))/C866)/100)+(1-(B866/C866/100)),(INT(K866/B866)+(((K866-B866*INT(K866/B866)))/C866)/100))))</f>
        <v>0</v>
      </c>
      <c r="AW866" s="57">
        <f>IF(ISERROR(IF(B866=C866,L866/C866,(INT(L866/B866)+(((L866-B866*INT(L866/B866)))/C866)/100))),0,(IF(B866=C866,L866/C866,(INT(L866/B866)+(((L866-B866*INT(L866/B866)))/C866)/100))))</f>
        <v>0</v>
      </c>
      <c r="AX866" s="57">
        <f>IF(ISERROR(IF(B866=C866,M866/C866,(INT(M866/B866)+(((M866-B866*INT(M866/B866)))/C866)/100))),0,(IF(B866=C866,M866/C866,(INT(M866/B866)+(((M866-B866*INT(M866/B866)))/C866)/100))))</f>
        <v>0</v>
      </c>
      <c r="AY866" s="57">
        <f>IF(ISERROR(IF(B866=C866,N866/C866,IF((INT(N866/B866)+(((N866-B866*INT(N866/B866)))/C866)/100)&lt;0,(INT(N866/B866)+(((N866-B866*INT(N866/B866)))/C866)/100)+(1-(B866/C866/100)),(INT(N866/B866)+(((N866-B866*INT(N866/B866)))/C866)/100)))),0,IF(B866=C866,N866/C866,IF((INT(N866/B866)+(((N866-B866*INT(N866/B866)))/C866)/100)&lt;0,(INT(N866/B866)+(((N866-B866*INT(N866/B866)))/C866)/100)+(1-(B866/C866/100)),(INT(N866/B866)+(((N866-B866*INT(N866/B866)))/C866)/100))))</f>
        <v>0</v>
      </c>
      <c r="AZ866" s="57">
        <f>IF(ISERROR(IF(B866=C866,O866/C866,(INT(O866/B866)+(((O866-B866*INT(O866/B866)))/C866)/100))),0,(IF(B866=C866,O866/C866,(INT(O866/B866)+(((O866-B866*INT(O866/B866)))/C866)/100))))</f>
        <v>0</v>
      </c>
      <c r="BA866" s="57">
        <f>IF(ISERROR(IF(B866=C866,P866/C866,IF((INT(P866/B866)+(((P866-B866*INT(P866/B866)))/C866)/100)&lt;0,(INT(P866/B866)+(((P866-B866*INT(P866/B866)))/C866)/100)+(1-(B866/C866/100)),(INT(P866/B866)+(((P866-B866*INT(P866/B866)))/C866)/100)))),0,IF(B866=C866,P866/C866,IF((INT(P866/B866)+(((P866-B866*INT(P866/B866)))/C866)/100)&lt;0,(INT(P866/B866)+(((P866-B866*INT(P866/B866)))/C866)/100)+(1-(B866/C866/100)),(INT(P866/B866)+(((P866-B866*INT(P866/B866)))/C866)/100))))</f>
        <v>0</v>
      </c>
      <c r="BB866" s="28">
        <f>R866</f>
        <v>0</v>
      </c>
      <c r="BC866" s="28">
        <f>S866</f>
        <v>0</v>
      </c>
      <c r="BD866" s="28">
        <f>AF866</f>
        <v>0</v>
      </c>
      <c r="BE866" s="28">
        <f>T866</f>
        <v>0</v>
      </c>
      <c r="BG866" s="57">
        <f>IF(ISERROR(IF(B866=C866,V866/C866,(INT(V866/B866)+(((V866-B866*INT(V866/B866)))/C866)/100))),0,(IF(B866=C866,V866/C866,(INT(V866/B866)+(((V866-B866*INT(V866/B866)))/C866)/100))))</f>
        <v>0</v>
      </c>
      <c r="BH866" s="57">
        <f>IF(ISERROR(IF(B866=C866,W866/C866,(INT(W866/B866)+(((W866-B866*INT(W866/B866)))/C866)/100))),0,(IF(B866=C866,W866/C866,(INT(W866/B866)+(((W866-B866*INT(W866/B866)))/C866)/100))))</f>
        <v>0</v>
      </c>
      <c r="BI866" s="57">
        <f>IF(ISERROR(IF(B866=C866,X866/C866,(INT(X866/B866)+(((X866-B866*INT(X866/B866)))/C866)/100))),0,(IF(B866=C866,X866/C866,(INT(X866/B866)+(((X866-B866*INT(X866/B866)))/C866)/100))))</f>
        <v>0</v>
      </c>
      <c r="BJ866" s="57">
        <f>IF(ISERROR(IF(B866=C866,Y866/C866,(INT(Y866/B866)+(((Y866-B866*INT(Y866/B866)))/C866)/100))),0,(IF(B866=C866,Y866/C866,(INT(Y866/B866)+(((Y866-B866*INT(Y866/B866)))/C866)/100))))</f>
        <v>0</v>
      </c>
      <c r="BL866" s="57">
        <f>IF(ISERROR(IF(B866=C866,AA866/C866,(INT(AA866/B866)+(((AA866-B866*INT(AA866/B866)))/C866)/100))),0,(IF(B866=C866,AA866/C866,(INT(AA866/B866)+(((AA866-B866*INT(AA866/B866)))/C866)/100))))</f>
        <v>0</v>
      </c>
      <c r="BM866" s="57">
        <f>IF(ISERROR(IF(B866=C866,AB866/C866,(INT(AB866/B866)+(((AB866-B866*INT(AB866/B866)))/C866)/100))),0,(IF(B866=C866,AB866/C866,(INT(AB866/B866)+(((AB866-B866*INT(AB866/B866)))/C866)/100))))</f>
        <v>0</v>
      </c>
      <c r="BN866" s="57">
        <f>IF(ISERROR(IF(B866=C866,AC866/C866,(INT(AC866/B866)+(((AC866-B866*INT(AC866/B866)))/C866)/100))),0,(IF(B866=C866,AC866/C866,(INT(AC866/B866)+(((AC866-B866*INT(AC866/B866)))/C866)/100))))</f>
        <v>0</v>
      </c>
      <c r="BO866" s="57">
        <f>IF(ISERROR(IF(B866=C866,AD866/C866,(INT(AD866/B866)+(((AD866-B866*INT(AD866/B866)))/C866)/100))),0,(IF(B866=C866,AD866/C866,(INT(AD866/B866)+(((AD866-B866*INT(AD866/B866)))/C866)/100))))</f>
        <v>0</v>
      </c>
      <c r="BQ866" s="155"/>
    </row>
    <row r="867" spans="1:69" hidden="1" x14ac:dyDescent="0.35">
      <c r="A867" s="94"/>
      <c r="B867" s="113">
        <v>0</v>
      </c>
      <c r="C867" s="113">
        <v>0</v>
      </c>
      <c r="D867" s="28">
        <f>SUM(AA867:AD867)</f>
        <v>0</v>
      </c>
      <c r="E867" s="125">
        <v>0</v>
      </c>
      <c r="F867" s="113">
        <v>0</v>
      </c>
      <c r="G867" s="28">
        <f>SUM(D867:F867)</f>
        <v>0</v>
      </c>
      <c r="H867" s="125">
        <v>0</v>
      </c>
      <c r="I867" s="125">
        <v>0</v>
      </c>
      <c r="J867" s="125">
        <v>0</v>
      </c>
      <c r="K867" s="125">
        <v>0</v>
      </c>
      <c r="L867" s="113">
        <v>0</v>
      </c>
      <c r="M867" s="113">
        <v>0</v>
      </c>
      <c r="N867" s="28">
        <f>G867-SUM(H867:M867)</f>
        <v>0</v>
      </c>
      <c r="O867" s="28">
        <f>SUM(V867:Y867)</f>
        <v>0</v>
      </c>
      <c r="P867" s="28">
        <f>O867-N867</f>
        <v>0</v>
      </c>
      <c r="Q867" s="61" t="str">
        <f>IF(ISERROR(P867/SUM(H867:L867)),"",P867/SUM(H867:L867))</f>
        <v/>
      </c>
      <c r="R867" s="113">
        <v>0</v>
      </c>
      <c r="S867" s="28">
        <f>IF(ISERROR(P867/C867*R867),0,(P867/C867*R867))</f>
        <v>0</v>
      </c>
      <c r="T867" s="60">
        <f>IF(ISERROR(P867/B867*AF867),0,(P867/B867*AF867))</f>
        <v>0</v>
      </c>
      <c r="V867" s="113">
        <v>0</v>
      </c>
      <c r="W867" s="113">
        <v>0</v>
      </c>
      <c r="X867" s="113">
        <v>0</v>
      </c>
      <c r="Y867" s="113">
        <v>0</v>
      </c>
      <c r="AA867" s="113">
        <v>0</v>
      </c>
      <c r="AB867" s="113">
        <v>0</v>
      </c>
      <c r="AC867" s="113">
        <v>0</v>
      </c>
      <c r="AD867" s="113">
        <v>0</v>
      </c>
      <c r="AF867" s="113">
        <v>0</v>
      </c>
      <c r="AG867" s="28">
        <f>G867-O867</f>
        <v>0</v>
      </c>
      <c r="AH867" s="58">
        <f>IF(ISERROR(AG867/B867*AF867),0,(AG867/B867*AF867))</f>
        <v>0</v>
      </c>
      <c r="AI867" s="28">
        <f>SUM(H867:M867)</f>
        <v>0</v>
      </c>
      <c r="AJ867" s="28">
        <f>IF(ISERROR(AI867/B867*AF867),0,(AI867/B867*AF867))</f>
        <v>0</v>
      </c>
      <c r="AK867" s="58">
        <f>IF(ISERROR(O867/B867*AF867),0,(O867/B867*AF867))</f>
        <v>0</v>
      </c>
      <c r="AL867" s="28">
        <f>IF(ISERROR(H867/B867*AF867),0,(H867/B867*AF867))</f>
        <v>0</v>
      </c>
      <c r="AN867" s="51">
        <f>A867</f>
        <v>0</v>
      </c>
      <c r="AO867" s="57">
        <f>IF(ISERROR(IF(B867=C867,D867/C867,(INT(D867/B867)+(((D867-B867*INT(D867/B867)))/C867)/100))),0,(IF(B867=C867,D867/C867,(INT(D867/B867)+(((D867-B867*INT(D867/B867)))/C867)/100))))</f>
        <v>0</v>
      </c>
      <c r="AP867" s="57">
        <f>IF(ISERROR(IF(B867=C867,E867/C867,(INT(E867/B867)+(((E867-B867*INT(E867/B867)))/C867)/100))),0,(IF(B867=C867,E867/C867,(INT(E867/B867)+(((E867-B867*INT(E867/B867)))/C867)/100))))</f>
        <v>0</v>
      </c>
      <c r="AQ867" s="57">
        <f>IF(ISERROR(IF(B867=C867,F867/C867,IF((INT(F867/B867)+(((F867-B867*INT(F867/B867)))/C867)/100)&lt;0,(INT(F867/B867)+(((F867-B867*INT(F867/B867)))/C867)/100)+(1-(B867/C867/100)),(INT(F867/B867)+(((F867-B867*INT(F867/B867)))/C867)/100)))),0,IF(B867=C867,F867/C867,IF((INT(F867/B867)+(((F867-B867*INT(F867/B867)))/C867)/100)&lt;0,(INT(F867/B867)+(((F867-B867*INT(F867/B867)))/C867)/100)+(1-(B867/C867/100)),(INT(F867/B867)+(((F867-B867*INT(F867/B867)))/C867)/100))))</f>
        <v>0</v>
      </c>
      <c r="AR867" s="57">
        <f>IF(ISERROR(IF(B867=C867,G867/C867,(INT(G867/B867)+(((G867-B867*INT(G867/B867)))/C867)/100))),0,(IF(B867=C867,G867/C867,(INT(G867/B867)+(((G867-B867*INT(G867/B867)))/C867)/100))))</f>
        <v>0</v>
      </c>
      <c r="AS867" s="57">
        <f>IF(ISERROR(IF(B867=C867,H867/C867,(INT(H867/B867)+(((H867-B867*INT(H867/B867)))/C867)/100))),0,(IF(B867=C867,H867/C867,(INT(H867/B867)+(((H867-B867*INT(H867/B867)))/C867)/100))))</f>
        <v>0</v>
      </c>
      <c r="AT867" s="57">
        <f>IF(ISERROR(IF(B867=C867,I867/C867,(INT(I867/B867)+(((I867-B867*INT(I867/B867)))/C867)/100))),0,(IF(B867=C867,I867/C867,(INT(I867/B867)+(((I867-B867*INT(I867/B867)))/C867)/100))))</f>
        <v>0</v>
      </c>
      <c r="AU867" s="57">
        <f>IF(ISERROR(IF(B867=C867,J867/C867,(INT(J867/B867)+(((J867-B867*INT(J867/B867)))/C867)/100))),0,(IF(B867=C867,J867/C867,(INT(J867/B867)+(((J867-B867*INT(J867/B867)))/C867)/100))))</f>
        <v>0</v>
      </c>
      <c r="AV867" s="57">
        <f>IF(ISERROR(IF(B867=C867,K867/C867,IF((INT(K867/B867)+(((K867-B867*INT(K867/B867)))/C867)/100)&lt;0,(INT(K867/B867)+(((K867-B867*INT(K867/B867)))/C867)/100)+(1-(B867/C867/100)),(INT(K867/B867)+(((K867-B867*INT(K867/B867)))/C867)/100)))),0,IF(B867=C867,K867/C867,IF((INT(K867/B867)+(((K867-B867*INT(K867/B867)))/C867)/100)&lt;0,(INT(K867/B867)+(((K867-B867*INT(K867/B867)))/C867)/100)+(1-(B867/C867/100)),(INT(K867/B867)+(((K867-B867*INT(K867/B867)))/C867)/100))))</f>
        <v>0</v>
      </c>
      <c r="AW867" s="57">
        <f>IF(ISERROR(IF(B867=C867,L867/C867,(INT(L867/B867)+(((L867-B867*INT(L867/B867)))/C867)/100))),0,(IF(B867=C867,L867/C867,(INT(L867/B867)+(((L867-B867*INT(L867/B867)))/C867)/100))))</f>
        <v>0</v>
      </c>
      <c r="AX867" s="57">
        <f>IF(ISERROR(IF(B867=C867,M867/C867,(INT(M867/B867)+(((M867-B867*INT(M867/B867)))/C867)/100))),0,(IF(B867=C867,M867/C867,(INT(M867/B867)+(((M867-B867*INT(M867/B867)))/C867)/100))))</f>
        <v>0</v>
      </c>
      <c r="AY867" s="57">
        <f>IF(ISERROR(IF(B867=C867,N867/C867,IF((INT(N867/B867)+(((N867-B867*INT(N867/B867)))/C867)/100)&lt;0,(INT(N867/B867)+(((N867-B867*INT(N867/B867)))/C867)/100)+(1-(B867/C867/100)),(INT(N867/B867)+(((N867-B867*INT(N867/B867)))/C867)/100)))),0,IF(B867=C867,N867/C867,IF((INT(N867/B867)+(((N867-B867*INT(N867/B867)))/C867)/100)&lt;0,(INT(N867/B867)+(((N867-B867*INT(N867/B867)))/C867)/100)+(1-(B867/C867/100)),(INT(N867/B867)+(((N867-B867*INT(N867/B867)))/C867)/100))))</f>
        <v>0</v>
      </c>
      <c r="AZ867" s="57">
        <f>IF(ISERROR(IF(B867=C867,O867/C867,(INT(O867/B867)+(((O867-B867*INT(O867/B867)))/C867)/100))),0,(IF(B867=C867,O867/C867,(INT(O867/B867)+(((O867-B867*INT(O867/B867)))/C867)/100))))</f>
        <v>0</v>
      </c>
      <c r="BA867" s="57">
        <f>IF(ISERROR(IF(B867=C867,P867/C867,IF((INT(P867/B867)+(((P867-B867*INT(P867/B867)))/C867)/100)&lt;0,(INT(P867/B867)+(((P867-B867*INT(P867/B867)))/C867)/100)+(1-(B867/C867/100)),(INT(P867/B867)+(((P867-B867*INT(P867/B867)))/C867)/100)))),0,IF(B867=C867,P867/C867,IF((INT(P867/B867)+(((P867-B867*INT(P867/B867)))/C867)/100)&lt;0,(INT(P867/B867)+(((P867-B867*INT(P867/B867)))/C867)/100)+(1-(B867/C867/100)),(INT(P867/B867)+(((P867-B867*INT(P867/B867)))/C867)/100))))</f>
        <v>0</v>
      </c>
      <c r="BB867" s="28">
        <f>R867</f>
        <v>0</v>
      </c>
      <c r="BC867" s="28">
        <f>S867</f>
        <v>0</v>
      </c>
      <c r="BD867" s="28">
        <f>AF867</f>
        <v>0</v>
      </c>
      <c r="BE867" s="28">
        <f>T867</f>
        <v>0</v>
      </c>
      <c r="BG867" s="57">
        <f>IF(ISERROR(IF(B867=C867,V867/C867,(INT(V867/B867)+(((V867-B867*INT(V867/B867)))/C867)/100))),0,(IF(B867=C867,V867/C867,(INT(V867/B867)+(((V867-B867*INT(V867/B867)))/C867)/100))))</f>
        <v>0</v>
      </c>
      <c r="BH867" s="57">
        <f>IF(ISERROR(IF(B867=C867,W867/C867,(INT(W867/B867)+(((W867-B867*INT(W867/B867)))/C867)/100))),0,(IF(B867=C867,W867/C867,(INT(W867/B867)+(((W867-B867*INT(W867/B867)))/C867)/100))))</f>
        <v>0</v>
      </c>
      <c r="BI867" s="57">
        <f>IF(ISERROR(IF(B867=C867,X867/C867,(INT(X867/B867)+(((X867-B867*INT(X867/B867)))/C867)/100))),0,(IF(B867=C867,X867/C867,(INT(X867/B867)+(((X867-B867*INT(X867/B867)))/C867)/100))))</f>
        <v>0</v>
      </c>
      <c r="BJ867" s="57">
        <f>IF(ISERROR(IF(B867=C867,Y867/C867,(INT(Y867/B867)+(((Y867-B867*INT(Y867/B867)))/C867)/100))),0,(IF(B867=C867,Y867/C867,(INT(Y867/B867)+(((Y867-B867*INT(Y867/B867)))/C867)/100))))</f>
        <v>0</v>
      </c>
      <c r="BL867" s="57">
        <f>IF(ISERROR(IF(B867=C867,AA867/C867,(INT(AA867/B867)+(((AA867-B867*INT(AA867/B867)))/C867)/100))),0,(IF(B867=C867,AA867/C867,(INT(AA867/B867)+(((AA867-B867*INT(AA867/B867)))/C867)/100))))</f>
        <v>0</v>
      </c>
      <c r="BM867" s="57">
        <f>IF(ISERROR(IF(B867=C867,AB867/C867,(INT(AB867/B867)+(((AB867-B867*INT(AB867/B867)))/C867)/100))),0,(IF(B867=C867,AB867/C867,(INT(AB867/B867)+(((AB867-B867*INT(AB867/B867)))/C867)/100))))</f>
        <v>0</v>
      </c>
      <c r="BN867" s="57">
        <f>IF(ISERROR(IF(B867=C867,AC867/C867,(INT(AC867/B867)+(((AC867-B867*INT(AC867/B867)))/C867)/100))),0,(IF(B867=C867,AC867/C867,(INT(AC867/B867)+(((AC867-B867*INT(AC867/B867)))/C867)/100))))</f>
        <v>0</v>
      </c>
      <c r="BO867" s="57">
        <f>IF(ISERROR(IF(B867=C867,AD867/C867,(INT(AD867/B867)+(((AD867-B867*INT(AD867/B867)))/C867)/100))),0,(IF(B867=C867,AD867/C867,(INT(AD867/B867)+(((AD867-B867*INT(AD867/B867)))/C867)/100))))</f>
        <v>0</v>
      </c>
      <c r="BQ867" s="155"/>
    </row>
    <row r="868" spans="1:69" hidden="1" x14ac:dyDescent="0.35">
      <c r="A868" s="94"/>
      <c r="B868" s="113">
        <v>0</v>
      </c>
      <c r="C868" s="113">
        <v>0</v>
      </c>
      <c r="D868" s="28">
        <f>SUM(AA868:AD868)</f>
        <v>0</v>
      </c>
      <c r="E868" s="125">
        <v>0</v>
      </c>
      <c r="F868" s="113">
        <v>0</v>
      </c>
      <c r="G868" s="28">
        <f>SUM(D868:F868)</f>
        <v>0</v>
      </c>
      <c r="H868" s="125">
        <v>0</v>
      </c>
      <c r="I868" s="125">
        <v>0</v>
      </c>
      <c r="J868" s="125">
        <v>0</v>
      </c>
      <c r="K868" s="125">
        <v>0</v>
      </c>
      <c r="L868" s="113">
        <v>0</v>
      </c>
      <c r="M868" s="113">
        <v>0</v>
      </c>
      <c r="N868" s="28">
        <f>G868-SUM(H868:M868)</f>
        <v>0</v>
      </c>
      <c r="O868" s="28">
        <f>SUM(V868:Y868)</f>
        <v>0</v>
      </c>
      <c r="P868" s="28">
        <f>O868-N868</f>
        <v>0</v>
      </c>
      <c r="Q868" s="61" t="str">
        <f>IF(ISERROR(P868/SUM(H868:L868)),"",P868/SUM(H868:L868))</f>
        <v/>
      </c>
      <c r="R868" s="113">
        <v>0</v>
      </c>
      <c r="S868" s="28">
        <f>IF(ISERROR(P868/C868*R868),0,(P868/C868*R868))</f>
        <v>0</v>
      </c>
      <c r="T868" s="60">
        <f>IF(ISERROR(P868/B868*AF868),0,(P868/B868*AF868))</f>
        <v>0</v>
      </c>
      <c r="V868" s="113">
        <v>0</v>
      </c>
      <c r="W868" s="113">
        <v>0</v>
      </c>
      <c r="X868" s="113">
        <v>0</v>
      </c>
      <c r="Y868" s="113">
        <v>0</v>
      </c>
      <c r="AA868" s="113">
        <v>0</v>
      </c>
      <c r="AB868" s="113">
        <v>0</v>
      </c>
      <c r="AC868" s="113">
        <v>0</v>
      </c>
      <c r="AD868" s="113">
        <v>0</v>
      </c>
      <c r="AF868" s="113">
        <v>0</v>
      </c>
      <c r="AG868" s="28">
        <f>G868-O868</f>
        <v>0</v>
      </c>
      <c r="AH868" s="58">
        <f>IF(ISERROR(AG868/B868*AF868),0,(AG868/B868*AF868))</f>
        <v>0</v>
      </c>
      <c r="AI868" s="28">
        <f>SUM(H868:M868)</f>
        <v>0</v>
      </c>
      <c r="AJ868" s="28">
        <f>IF(ISERROR(AI868/B868*AF868),0,(AI868/B868*AF868))</f>
        <v>0</v>
      </c>
      <c r="AK868" s="58">
        <f>IF(ISERROR(O868/B868*AF868),0,(O868/B868*AF868))</f>
        <v>0</v>
      </c>
      <c r="AL868" s="28">
        <f>IF(ISERROR(H868/B868*AF868),0,(H868/B868*AF868))</f>
        <v>0</v>
      </c>
      <c r="AN868" s="51">
        <f>A868</f>
        <v>0</v>
      </c>
      <c r="AO868" s="57">
        <f>IF(ISERROR(IF(B868=C868,D868/C868,(INT(D868/B868)+(((D868-B868*INT(D868/B868)))/C868)/100))),0,(IF(B868=C868,D868/C868,(INT(D868/B868)+(((D868-B868*INT(D868/B868)))/C868)/100))))</f>
        <v>0</v>
      </c>
      <c r="AP868" s="57">
        <f>IF(ISERROR(IF(B868=C868,E868/C868,(INT(E868/B868)+(((E868-B868*INT(E868/B868)))/C868)/100))),0,(IF(B868=C868,E868/C868,(INT(E868/B868)+(((E868-B868*INT(E868/B868)))/C868)/100))))</f>
        <v>0</v>
      </c>
      <c r="AQ868" s="57">
        <f>IF(ISERROR(IF(B868=C868,F868/C868,IF((INT(F868/B868)+(((F868-B868*INT(F868/B868)))/C868)/100)&lt;0,(INT(F868/B868)+(((F868-B868*INT(F868/B868)))/C868)/100)+(1-(B868/C868/100)),(INT(F868/B868)+(((F868-B868*INT(F868/B868)))/C868)/100)))),0,IF(B868=C868,F868/C868,IF((INT(F868/B868)+(((F868-B868*INT(F868/B868)))/C868)/100)&lt;0,(INT(F868/B868)+(((F868-B868*INT(F868/B868)))/C868)/100)+(1-(B868/C868/100)),(INT(F868/B868)+(((F868-B868*INT(F868/B868)))/C868)/100))))</f>
        <v>0</v>
      </c>
      <c r="AR868" s="57">
        <f>IF(ISERROR(IF(B868=C868,G868/C868,(INT(G868/B868)+(((G868-B868*INT(G868/B868)))/C868)/100))),0,(IF(B868=C868,G868/C868,(INT(G868/B868)+(((G868-B868*INT(G868/B868)))/C868)/100))))</f>
        <v>0</v>
      </c>
      <c r="AS868" s="57">
        <f>IF(ISERROR(IF(B868=C868,H868/C868,(INT(H868/B868)+(((H868-B868*INT(H868/B868)))/C868)/100))),0,(IF(B868=C868,H868/C868,(INT(H868/B868)+(((H868-B868*INT(H868/B868)))/C868)/100))))</f>
        <v>0</v>
      </c>
      <c r="AT868" s="57">
        <f>IF(ISERROR(IF(B868=C868,I868/C868,(INT(I868/B868)+(((I868-B868*INT(I868/B868)))/C868)/100))),0,(IF(B868=C868,I868/C868,(INT(I868/B868)+(((I868-B868*INT(I868/B868)))/C868)/100))))</f>
        <v>0</v>
      </c>
      <c r="AU868" s="57">
        <f>IF(ISERROR(IF(B868=C868,J868/C868,(INT(J868/B868)+(((J868-B868*INT(J868/B868)))/C868)/100))),0,(IF(B868=C868,J868/C868,(INT(J868/B868)+(((J868-B868*INT(J868/B868)))/C868)/100))))</f>
        <v>0</v>
      </c>
      <c r="AV868" s="57">
        <f>IF(ISERROR(IF(B868=C868,K868/C868,IF((INT(K868/B868)+(((K868-B868*INT(K868/B868)))/C868)/100)&lt;0,(INT(K868/B868)+(((K868-B868*INT(K868/B868)))/C868)/100)+(1-(B868/C868/100)),(INT(K868/B868)+(((K868-B868*INT(K868/B868)))/C868)/100)))),0,IF(B868=C868,K868/C868,IF((INT(K868/B868)+(((K868-B868*INT(K868/B868)))/C868)/100)&lt;0,(INT(K868/B868)+(((K868-B868*INT(K868/B868)))/C868)/100)+(1-(B868/C868/100)),(INT(K868/B868)+(((K868-B868*INT(K868/B868)))/C868)/100))))</f>
        <v>0</v>
      </c>
      <c r="AW868" s="57">
        <f>IF(ISERROR(IF(B868=C868,L868/C868,(INT(L868/B868)+(((L868-B868*INT(L868/B868)))/C868)/100))),0,(IF(B868=C868,L868/C868,(INT(L868/B868)+(((L868-B868*INT(L868/B868)))/C868)/100))))</f>
        <v>0</v>
      </c>
      <c r="AX868" s="57">
        <f>IF(ISERROR(IF(B868=C868,M868/C868,(INT(M868/B868)+(((M868-B868*INT(M868/B868)))/C868)/100))),0,(IF(B868=C868,M868/C868,(INT(M868/B868)+(((M868-B868*INT(M868/B868)))/C868)/100))))</f>
        <v>0</v>
      </c>
      <c r="AY868" s="57">
        <f>IF(ISERROR(IF(B868=C868,N868/C868,IF((INT(N868/B868)+(((N868-B868*INT(N868/B868)))/C868)/100)&lt;0,(INT(N868/B868)+(((N868-B868*INT(N868/B868)))/C868)/100)+(1-(B868/C868/100)),(INT(N868/B868)+(((N868-B868*INT(N868/B868)))/C868)/100)))),0,IF(B868=C868,N868/C868,IF((INT(N868/B868)+(((N868-B868*INT(N868/B868)))/C868)/100)&lt;0,(INT(N868/B868)+(((N868-B868*INT(N868/B868)))/C868)/100)+(1-(B868/C868/100)),(INT(N868/B868)+(((N868-B868*INT(N868/B868)))/C868)/100))))</f>
        <v>0</v>
      </c>
      <c r="AZ868" s="57">
        <f>IF(ISERROR(IF(B868=C868,O868/C868,(INT(O868/B868)+(((O868-B868*INT(O868/B868)))/C868)/100))),0,(IF(B868=C868,O868/C868,(INT(O868/B868)+(((O868-B868*INT(O868/B868)))/C868)/100))))</f>
        <v>0</v>
      </c>
      <c r="BA868" s="57">
        <f>IF(ISERROR(IF(B868=C868,P868/C868,IF((INT(P868/B868)+(((P868-B868*INT(P868/B868)))/C868)/100)&lt;0,(INT(P868/B868)+(((P868-B868*INT(P868/B868)))/C868)/100)+(1-(B868/C868/100)),(INT(P868/B868)+(((P868-B868*INT(P868/B868)))/C868)/100)))),0,IF(B868=C868,P868/C868,IF((INT(P868/B868)+(((P868-B868*INT(P868/B868)))/C868)/100)&lt;0,(INT(P868/B868)+(((P868-B868*INT(P868/B868)))/C868)/100)+(1-(B868/C868/100)),(INT(P868/B868)+(((P868-B868*INT(P868/B868)))/C868)/100))))</f>
        <v>0</v>
      </c>
      <c r="BB868" s="28">
        <f>R868</f>
        <v>0</v>
      </c>
      <c r="BC868" s="28">
        <f>S868</f>
        <v>0</v>
      </c>
      <c r="BD868" s="28">
        <f>AF868</f>
        <v>0</v>
      </c>
      <c r="BE868" s="28">
        <f>T868</f>
        <v>0</v>
      </c>
      <c r="BG868" s="57">
        <f>IF(ISERROR(IF(B868=C868,V868/C868,(INT(V868/B868)+(((V868-B868*INT(V868/B868)))/C868)/100))),0,(IF(B868=C868,V868/C868,(INT(V868/B868)+(((V868-B868*INT(V868/B868)))/C868)/100))))</f>
        <v>0</v>
      </c>
      <c r="BH868" s="57">
        <f>IF(ISERROR(IF(B868=C868,W868/C868,(INT(W868/B868)+(((W868-B868*INT(W868/B868)))/C868)/100))),0,(IF(B868=C868,W868/C868,(INT(W868/B868)+(((W868-B868*INT(W868/B868)))/C868)/100))))</f>
        <v>0</v>
      </c>
      <c r="BI868" s="57">
        <f>IF(ISERROR(IF(B868=C868,X868/C868,(INT(X868/B868)+(((X868-B868*INT(X868/B868)))/C868)/100))),0,(IF(B868=C868,X868/C868,(INT(X868/B868)+(((X868-B868*INT(X868/B868)))/C868)/100))))</f>
        <v>0</v>
      </c>
      <c r="BJ868" s="57">
        <f>IF(ISERROR(IF(B868=C868,Y868/C868,(INT(Y868/B868)+(((Y868-B868*INT(Y868/B868)))/C868)/100))),0,(IF(B868=C868,Y868/C868,(INT(Y868/B868)+(((Y868-B868*INT(Y868/B868)))/C868)/100))))</f>
        <v>0</v>
      </c>
      <c r="BL868" s="57">
        <f>IF(ISERROR(IF(B868=C868,AA868/C868,(INT(AA868/B868)+(((AA868-B868*INT(AA868/B868)))/C868)/100))),0,(IF(B868=C868,AA868/C868,(INT(AA868/B868)+(((AA868-B868*INT(AA868/B868)))/C868)/100))))</f>
        <v>0</v>
      </c>
      <c r="BM868" s="57">
        <f>IF(ISERROR(IF(B868=C868,AB868/C868,(INT(AB868/B868)+(((AB868-B868*INT(AB868/B868)))/C868)/100))),0,(IF(B868=C868,AB868/C868,(INT(AB868/B868)+(((AB868-B868*INT(AB868/B868)))/C868)/100))))</f>
        <v>0</v>
      </c>
      <c r="BN868" s="57">
        <f>IF(ISERROR(IF(B868=C868,AC868/C868,(INT(AC868/B868)+(((AC868-B868*INT(AC868/B868)))/C868)/100))),0,(IF(B868=C868,AC868/C868,(INT(AC868/B868)+(((AC868-B868*INT(AC868/B868)))/C868)/100))))</f>
        <v>0</v>
      </c>
      <c r="BO868" s="57">
        <f>IF(ISERROR(IF(B868=C868,AD868/C868,(INT(AD868/B868)+(((AD868-B868*INT(AD868/B868)))/C868)/100))),0,(IF(B868=C868,AD868/C868,(INT(AD868/B868)+(((AD868-B868*INT(AD868/B868)))/C868)/100))))</f>
        <v>0</v>
      </c>
      <c r="BQ868" s="155"/>
    </row>
    <row r="869" spans="1:69" hidden="1" x14ac:dyDescent="0.35">
      <c r="A869" s="94"/>
      <c r="B869" s="113">
        <v>0</v>
      </c>
      <c r="C869" s="113">
        <v>0</v>
      </c>
      <c r="D869" s="28">
        <f>SUM(AA869:AD869)</f>
        <v>0</v>
      </c>
      <c r="E869" s="125">
        <v>0</v>
      </c>
      <c r="F869" s="113">
        <v>0</v>
      </c>
      <c r="G869" s="28">
        <f>SUM(D869:F869)</f>
        <v>0</v>
      </c>
      <c r="H869" s="125">
        <v>0</v>
      </c>
      <c r="I869" s="125">
        <v>0</v>
      </c>
      <c r="J869" s="125">
        <v>0</v>
      </c>
      <c r="K869" s="125">
        <v>0</v>
      </c>
      <c r="L869" s="113">
        <v>0</v>
      </c>
      <c r="M869" s="113">
        <v>0</v>
      </c>
      <c r="N869" s="28">
        <f>G869-SUM(H869:M869)</f>
        <v>0</v>
      </c>
      <c r="O869" s="28">
        <f>SUM(V869:Y869)</f>
        <v>0</v>
      </c>
      <c r="P869" s="28">
        <f>O869-N869</f>
        <v>0</v>
      </c>
      <c r="Q869" s="61" t="str">
        <f>IF(ISERROR(P869/SUM(H869:L869)),"",P869/SUM(H869:L869))</f>
        <v/>
      </c>
      <c r="R869" s="113">
        <v>0</v>
      </c>
      <c r="S869" s="28">
        <f>IF(ISERROR(P869/C869*R869),0,(P869/C869*R869))</f>
        <v>0</v>
      </c>
      <c r="T869" s="60">
        <f>IF(ISERROR(P869/B869*AF869),0,(P869/B869*AF869))</f>
        <v>0</v>
      </c>
      <c r="V869" s="113">
        <v>0</v>
      </c>
      <c r="W869" s="113">
        <v>0</v>
      </c>
      <c r="X869" s="113">
        <v>0</v>
      </c>
      <c r="Y869" s="113">
        <v>0</v>
      </c>
      <c r="AA869" s="113">
        <v>0</v>
      </c>
      <c r="AB869" s="113">
        <v>0</v>
      </c>
      <c r="AC869" s="113">
        <v>0</v>
      </c>
      <c r="AD869" s="113">
        <v>0</v>
      </c>
      <c r="AF869" s="113">
        <v>0</v>
      </c>
      <c r="AG869" s="28">
        <f>G869-O869</f>
        <v>0</v>
      </c>
      <c r="AH869" s="58">
        <f>IF(ISERROR(AG869/B869*AF869),0,(AG869/B869*AF869))</f>
        <v>0</v>
      </c>
      <c r="AI869" s="28">
        <f>SUM(H869:M869)</f>
        <v>0</v>
      </c>
      <c r="AJ869" s="28">
        <f>IF(ISERROR(AI869/B869*AF869),0,(AI869/B869*AF869))</f>
        <v>0</v>
      </c>
      <c r="AK869" s="58">
        <f>IF(ISERROR(O869/B869*AF869),0,(O869/B869*AF869))</f>
        <v>0</v>
      </c>
      <c r="AL869" s="28">
        <f>IF(ISERROR(H869/B869*AF869),0,(H869/B869*AF869))</f>
        <v>0</v>
      </c>
      <c r="AN869" s="51">
        <f>A869</f>
        <v>0</v>
      </c>
      <c r="AO869" s="57">
        <f>IF(ISERROR(IF(B869=C869,D869/C869,(INT(D869/B869)+(((D869-B869*INT(D869/B869)))/C869)/100))),0,(IF(B869=C869,D869/C869,(INT(D869/B869)+(((D869-B869*INT(D869/B869)))/C869)/100))))</f>
        <v>0</v>
      </c>
      <c r="AP869" s="57">
        <f>IF(ISERROR(IF(B869=C869,E869/C869,(INT(E869/B869)+(((E869-B869*INT(E869/B869)))/C869)/100))),0,(IF(B869=C869,E869/C869,(INT(E869/B869)+(((E869-B869*INT(E869/B869)))/C869)/100))))</f>
        <v>0</v>
      </c>
      <c r="AQ869" s="57">
        <f>IF(ISERROR(IF(B869=C869,F869/C869,IF((INT(F869/B869)+(((F869-B869*INT(F869/B869)))/C869)/100)&lt;0,(INT(F869/B869)+(((F869-B869*INT(F869/B869)))/C869)/100)+(1-(B869/C869/100)),(INT(F869/B869)+(((F869-B869*INT(F869/B869)))/C869)/100)))),0,IF(B869=C869,F869/C869,IF((INT(F869/B869)+(((F869-B869*INT(F869/B869)))/C869)/100)&lt;0,(INT(F869/B869)+(((F869-B869*INT(F869/B869)))/C869)/100)+(1-(B869/C869/100)),(INT(F869/B869)+(((F869-B869*INT(F869/B869)))/C869)/100))))</f>
        <v>0</v>
      </c>
      <c r="AR869" s="57">
        <f>IF(ISERROR(IF(B869=C869,G869/C869,(INT(G869/B869)+(((G869-B869*INT(G869/B869)))/C869)/100))),0,(IF(B869=C869,G869/C869,(INT(G869/B869)+(((G869-B869*INT(G869/B869)))/C869)/100))))</f>
        <v>0</v>
      </c>
      <c r="AS869" s="57">
        <f>IF(ISERROR(IF(B869=C869,H869/C869,(INT(H869/B869)+(((H869-B869*INT(H869/B869)))/C869)/100))),0,(IF(B869=C869,H869/C869,(INT(H869/B869)+(((H869-B869*INT(H869/B869)))/C869)/100))))</f>
        <v>0</v>
      </c>
      <c r="AT869" s="57">
        <f>IF(ISERROR(IF(B869=C869,I869/C869,(INT(I869/B869)+(((I869-B869*INT(I869/B869)))/C869)/100))),0,(IF(B869=C869,I869/C869,(INT(I869/B869)+(((I869-B869*INT(I869/B869)))/C869)/100))))</f>
        <v>0</v>
      </c>
      <c r="AU869" s="57">
        <f>IF(ISERROR(IF(B869=C869,J869/C869,(INT(J869/B869)+(((J869-B869*INT(J869/B869)))/C869)/100))),0,(IF(B869=C869,J869/C869,(INT(J869/B869)+(((J869-B869*INT(J869/B869)))/C869)/100))))</f>
        <v>0</v>
      </c>
      <c r="AV869" s="57">
        <f>IF(ISERROR(IF(B869=C869,K869/C869,IF((INT(K869/B869)+(((K869-B869*INT(K869/B869)))/C869)/100)&lt;0,(INT(K869/B869)+(((K869-B869*INT(K869/B869)))/C869)/100)+(1-(B869/C869/100)),(INT(K869/B869)+(((K869-B869*INT(K869/B869)))/C869)/100)))),0,IF(B869=C869,K869/C869,IF((INT(K869/B869)+(((K869-B869*INT(K869/B869)))/C869)/100)&lt;0,(INT(K869/B869)+(((K869-B869*INT(K869/B869)))/C869)/100)+(1-(B869/C869/100)),(INT(K869/B869)+(((K869-B869*INT(K869/B869)))/C869)/100))))</f>
        <v>0</v>
      </c>
      <c r="AW869" s="57">
        <f>IF(ISERROR(IF(B869=C869,L869/C869,(INT(L869/B869)+(((L869-B869*INT(L869/B869)))/C869)/100))),0,(IF(B869=C869,L869/C869,(INT(L869/B869)+(((L869-B869*INT(L869/B869)))/C869)/100))))</f>
        <v>0</v>
      </c>
      <c r="AX869" s="57">
        <f>IF(ISERROR(IF(B869=C869,M869/C869,(INT(M869/B869)+(((M869-B869*INT(M869/B869)))/C869)/100))),0,(IF(B869=C869,M869/C869,(INT(M869/B869)+(((M869-B869*INT(M869/B869)))/C869)/100))))</f>
        <v>0</v>
      </c>
      <c r="AY869" s="57">
        <f>IF(ISERROR(IF(B869=C869,N869/C869,IF((INT(N869/B869)+(((N869-B869*INT(N869/B869)))/C869)/100)&lt;0,(INT(N869/B869)+(((N869-B869*INT(N869/B869)))/C869)/100)+(1-(B869/C869/100)),(INT(N869/B869)+(((N869-B869*INT(N869/B869)))/C869)/100)))),0,IF(B869=C869,N869/C869,IF((INT(N869/B869)+(((N869-B869*INT(N869/B869)))/C869)/100)&lt;0,(INT(N869/B869)+(((N869-B869*INT(N869/B869)))/C869)/100)+(1-(B869/C869/100)),(INT(N869/B869)+(((N869-B869*INT(N869/B869)))/C869)/100))))</f>
        <v>0</v>
      </c>
      <c r="AZ869" s="57">
        <f>IF(ISERROR(IF(B869=C869,O869/C869,(INT(O869/B869)+(((O869-B869*INT(O869/B869)))/C869)/100))),0,(IF(B869=C869,O869/C869,(INT(O869/B869)+(((O869-B869*INT(O869/B869)))/C869)/100))))</f>
        <v>0</v>
      </c>
      <c r="BA869" s="57">
        <f>IF(ISERROR(IF(B869=C869,P869/C869,IF((INT(P869/B869)+(((P869-B869*INT(P869/B869)))/C869)/100)&lt;0,(INT(P869/B869)+(((P869-B869*INT(P869/B869)))/C869)/100)+(1-(B869/C869/100)),(INT(P869/B869)+(((P869-B869*INT(P869/B869)))/C869)/100)))),0,IF(B869=C869,P869/C869,IF((INT(P869/B869)+(((P869-B869*INT(P869/B869)))/C869)/100)&lt;0,(INT(P869/B869)+(((P869-B869*INT(P869/B869)))/C869)/100)+(1-(B869/C869/100)),(INT(P869/B869)+(((P869-B869*INT(P869/B869)))/C869)/100))))</f>
        <v>0</v>
      </c>
      <c r="BB869" s="28">
        <f>R869</f>
        <v>0</v>
      </c>
      <c r="BC869" s="28">
        <f>S869</f>
        <v>0</v>
      </c>
      <c r="BD869" s="28">
        <f>AF869</f>
        <v>0</v>
      </c>
      <c r="BE869" s="28">
        <f>T869</f>
        <v>0</v>
      </c>
      <c r="BG869" s="57">
        <f>IF(ISERROR(IF(B869=C869,V869/C869,(INT(V869/B869)+(((V869-B869*INT(V869/B869)))/C869)/100))),0,(IF(B869=C869,V869/C869,(INT(V869/B869)+(((V869-B869*INT(V869/B869)))/C869)/100))))</f>
        <v>0</v>
      </c>
      <c r="BH869" s="57">
        <f>IF(ISERROR(IF(B869=C869,W869/C869,(INT(W869/B869)+(((W869-B869*INT(W869/B869)))/C869)/100))),0,(IF(B869=C869,W869/C869,(INT(W869/B869)+(((W869-B869*INT(W869/B869)))/C869)/100))))</f>
        <v>0</v>
      </c>
      <c r="BI869" s="57">
        <f>IF(ISERROR(IF(B869=C869,X869/C869,(INT(X869/B869)+(((X869-B869*INT(X869/B869)))/C869)/100))),0,(IF(B869=C869,X869/C869,(INT(X869/B869)+(((X869-B869*INT(X869/B869)))/C869)/100))))</f>
        <v>0</v>
      </c>
      <c r="BJ869" s="57">
        <f>IF(ISERROR(IF(B869=C869,Y869/C869,(INT(Y869/B869)+(((Y869-B869*INT(Y869/B869)))/C869)/100))),0,(IF(B869=C869,Y869/C869,(INT(Y869/B869)+(((Y869-B869*INT(Y869/B869)))/C869)/100))))</f>
        <v>0</v>
      </c>
      <c r="BL869" s="57">
        <f>IF(ISERROR(IF(B869=C869,AA869/C869,(INT(AA869/B869)+(((AA869-B869*INT(AA869/B869)))/C869)/100))),0,(IF(B869=C869,AA869/C869,(INT(AA869/B869)+(((AA869-B869*INT(AA869/B869)))/C869)/100))))</f>
        <v>0</v>
      </c>
      <c r="BM869" s="57">
        <f>IF(ISERROR(IF(B869=C869,AB869/C869,(INT(AB869/B869)+(((AB869-B869*INT(AB869/B869)))/C869)/100))),0,(IF(B869=C869,AB869/C869,(INT(AB869/B869)+(((AB869-B869*INT(AB869/B869)))/C869)/100))))</f>
        <v>0</v>
      </c>
      <c r="BN869" s="57">
        <f>IF(ISERROR(IF(B869=C869,AC869/C869,(INT(AC869/B869)+(((AC869-B869*INT(AC869/B869)))/C869)/100))),0,(IF(B869=C869,AC869/C869,(INT(AC869/B869)+(((AC869-B869*INT(AC869/B869)))/C869)/100))))</f>
        <v>0</v>
      </c>
      <c r="BO869" s="57">
        <f>IF(ISERROR(IF(B869=C869,AD869/C869,(INT(AD869/B869)+(((AD869-B869*INT(AD869/B869)))/C869)/100))),0,(IF(B869=C869,AD869/C869,(INT(AD869/B869)+(((AD869-B869*INT(AD869/B869)))/C869)/100))))</f>
        <v>0</v>
      </c>
      <c r="BQ869" s="155"/>
    </row>
    <row r="870" spans="1:69" hidden="1" x14ac:dyDescent="0.35">
      <c r="A870" s="94"/>
      <c r="B870" s="113">
        <v>0</v>
      </c>
      <c r="C870" s="113">
        <v>0</v>
      </c>
      <c r="D870" s="28">
        <f>SUM(AA870:AD870)</f>
        <v>0</v>
      </c>
      <c r="E870" s="125">
        <v>0</v>
      </c>
      <c r="F870" s="113">
        <v>0</v>
      </c>
      <c r="G870" s="28">
        <f>SUM(D870:F870)</f>
        <v>0</v>
      </c>
      <c r="H870" s="125">
        <v>0</v>
      </c>
      <c r="I870" s="125">
        <v>0</v>
      </c>
      <c r="J870" s="125">
        <v>0</v>
      </c>
      <c r="K870" s="125">
        <v>0</v>
      </c>
      <c r="L870" s="113">
        <v>0</v>
      </c>
      <c r="M870" s="113">
        <v>0</v>
      </c>
      <c r="N870" s="28">
        <f>G870-SUM(H870:M870)</f>
        <v>0</v>
      </c>
      <c r="O870" s="28">
        <f>SUM(V870:Y870)</f>
        <v>0</v>
      </c>
      <c r="P870" s="28">
        <f>O870-N870</f>
        <v>0</v>
      </c>
      <c r="Q870" s="61" t="str">
        <f>IF(ISERROR(P870/SUM(H870:L870)),"",P870/SUM(H870:L870))</f>
        <v/>
      </c>
      <c r="R870" s="113">
        <v>0</v>
      </c>
      <c r="S870" s="28">
        <f>IF(ISERROR(P870/C870*R870),0,(P870/C870*R870))</f>
        <v>0</v>
      </c>
      <c r="T870" s="60">
        <f>IF(ISERROR(P870/B870*AF870),0,(P870/B870*AF870))</f>
        <v>0</v>
      </c>
      <c r="V870" s="113">
        <v>0</v>
      </c>
      <c r="W870" s="113">
        <v>0</v>
      </c>
      <c r="X870" s="113">
        <v>0</v>
      </c>
      <c r="Y870" s="113">
        <v>0</v>
      </c>
      <c r="AA870" s="113">
        <v>0</v>
      </c>
      <c r="AB870" s="113">
        <v>0</v>
      </c>
      <c r="AC870" s="113">
        <v>0</v>
      </c>
      <c r="AD870" s="113">
        <v>0</v>
      </c>
      <c r="AF870" s="113">
        <v>0</v>
      </c>
      <c r="AG870" s="28">
        <f>G870-O870</f>
        <v>0</v>
      </c>
      <c r="AH870" s="58">
        <f>IF(ISERROR(AG870/B870*AF870),0,(AG870/B870*AF870))</f>
        <v>0</v>
      </c>
      <c r="AI870" s="28">
        <f>SUM(H870:M870)</f>
        <v>0</v>
      </c>
      <c r="AJ870" s="28">
        <f>IF(ISERROR(AI870/B870*AF870),0,(AI870/B870*AF870))</f>
        <v>0</v>
      </c>
      <c r="AK870" s="58">
        <f>IF(ISERROR(O870/B870*AF870),0,(O870/B870*AF870))</f>
        <v>0</v>
      </c>
      <c r="AL870" s="28">
        <f>IF(ISERROR(H870/B870*AF870),0,(H870/B870*AF870))</f>
        <v>0</v>
      </c>
      <c r="AN870" s="51">
        <f>A870</f>
        <v>0</v>
      </c>
      <c r="AO870" s="57">
        <f>IF(ISERROR(IF(B870=C870,D870/C870,(INT(D870/B870)+(((D870-B870*INT(D870/B870)))/C870)/100))),0,(IF(B870=C870,D870/C870,(INT(D870/B870)+(((D870-B870*INT(D870/B870)))/C870)/100))))</f>
        <v>0</v>
      </c>
      <c r="AP870" s="57">
        <f>IF(ISERROR(IF(B870=C870,E870/C870,(INT(E870/B870)+(((E870-B870*INT(E870/B870)))/C870)/100))),0,(IF(B870=C870,E870/C870,(INT(E870/B870)+(((E870-B870*INT(E870/B870)))/C870)/100))))</f>
        <v>0</v>
      </c>
      <c r="AQ870" s="57">
        <f>IF(ISERROR(IF(B870=C870,F870/C870,IF((INT(F870/B870)+(((F870-B870*INT(F870/B870)))/C870)/100)&lt;0,(INT(F870/B870)+(((F870-B870*INT(F870/B870)))/C870)/100)+(1-(B870/C870/100)),(INT(F870/B870)+(((F870-B870*INT(F870/B870)))/C870)/100)))),0,IF(B870=C870,F870/C870,IF((INT(F870/B870)+(((F870-B870*INT(F870/B870)))/C870)/100)&lt;0,(INT(F870/B870)+(((F870-B870*INT(F870/B870)))/C870)/100)+(1-(B870/C870/100)),(INT(F870/B870)+(((F870-B870*INT(F870/B870)))/C870)/100))))</f>
        <v>0</v>
      </c>
      <c r="AR870" s="57">
        <f>IF(ISERROR(IF(B870=C870,G870/C870,(INT(G870/B870)+(((G870-B870*INT(G870/B870)))/C870)/100))),0,(IF(B870=C870,G870/C870,(INT(G870/B870)+(((G870-B870*INT(G870/B870)))/C870)/100))))</f>
        <v>0</v>
      </c>
      <c r="AS870" s="57">
        <f>IF(ISERROR(IF(B870=C870,H870/C870,(INT(H870/B870)+(((H870-B870*INT(H870/B870)))/C870)/100))),0,(IF(B870=C870,H870/C870,(INT(H870/B870)+(((H870-B870*INT(H870/B870)))/C870)/100))))</f>
        <v>0</v>
      </c>
      <c r="AT870" s="57">
        <f>IF(ISERROR(IF(B870=C870,I870/C870,(INT(I870/B870)+(((I870-B870*INT(I870/B870)))/C870)/100))),0,(IF(B870=C870,I870/C870,(INT(I870/B870)+(((I870-B870*INT(I870/B870)))/C870)/100))))</f>
        <v>0</v>
      </c>
      <c r="AU870" s="57">
        <f>IF(ISERROR(IF(B870=C870,J870/C870,(INT(J870/B870)+(((J870-B870*INT(J870/B870)))/C870)/100))),0,(IF(B870=C870,J870/C870,(INT(J870/B870)+(((J870-B870*INT(J870/B870)))/C870)/100))))</f>
        <v>0</v>
      </c>
      <c r="AV870" s="57">
        <f>IF(ISERROR(IF(B870=C870,K870/C870,IF((INT(K870/B870)+(((K870-B870*INT(K870/B870)))/C870)/100)&lt;0,(INT(K870/B870)+(((K870-B870*INT(K870/B870)))/C870)/100)+(1-(B870/C870/100)),(INT(K870/B870)+(((K870-B870*INT(K870/B870)))/C870)/100)))),0,IF(B870=C870,K870/C870,IF((INT(K870/B870)+(((K870-B870*INT(K870/B870)))/C870)/100)&lt;0,(INT(K870/B870)+(((K870-B870*INT(K870/B870)))/C870)/100)+(1-(B870/C870/100)),(INT(K870/B870)+(((K870-B870*INT(K870/B870)))/C870)/100))))</f>
        <v>0</v>
      </c>
      <c r="AW870" s="57">
        <f>IF(ISERROR(IF(B870=C870,L870/C870,(INT(L870/B870)+(((L870-B870*INT(L870/B870)))/C870)/100))),0,(IF(B870=C870,L870/C870,(INT(L870/B870)+(((L870-B870*INT(L870/B870)))/C870)/100))))</f>
        <v>0</v>
      </c>
      <c r="AX870" s="57">
        <f>IF(ISERROR(IF(B870=C870,M870/C870,(INT(M870/B870)+(((M870-B870*INT(M870/B870)))/C870)/100))),0,(IF(B870=C870,M870/C870,(INT(M870/B870)+(((M870-B870*INT(M870/B870)))/C870)/100))))</f>
        <v>0</v>
      </c>
      <c r="AY870" s="57">
        <f>IF(ISERROR(IF(B870=C870,N870/C870,IF((INT(N870/B870)+(((N870-B870*INT(N870/B870)))/C870)/100)&lt;0,(INT(N870/B870)+(((N870-B870*INT(N870/B870)))/C870)/100)+(1-(B870/C870/100)),(INT(N870/B870)+(((N870-B870*INT(N870/B870)))/C870)/100)))),0,IF(B870=C870,N870/C870,IF((INT(N870/B870)+(((N870-B870*INT(N870/B870)))/C870)/100)&lt;0,(INT(N870/B870)+(((N870-B870*INT(N870/B870)))/C870)/100)+(1-(B870/C870/100)),(INT(N870/B870)+(((N870-B870*INT(N870/B870)))/C870)/100))))</f>
        <v>0</v>
      </c>
      <c r="AZ870" s="57">
        <f>IF(ISERROR(IF(B870=C870,O870/C870,(INT(O870/B870)+(((O870-B870*INT(O870/B870)))/C870)/100))),0,(IF(B870=C870,O870/C870,(INT(O870/B870)+(((O870-B870*INT(O870/B870)))/C870)/100))))</f>
        <v>0</v>
      </c>
      <c r="BA870" s="57">
        <f>IF(ISERROR(IF(B870=C870,P870/C870,IF((INT(P870/B870)+(((P870-B870*INT(P870/B870)))/C870)/100)&lt;0,(INT(P870/B870)+(((P870-B870*INT(P870/B870)))/C870)/100)+(1-(B870/C870/100)),(INT(P870/B870)+(((P870-B870*INT(P870/B870)))/C870)/100)))),0,IF(B870=C870,P870/C870,IF((INT(P870/B870)+(((P870-B870*INT(P870/B870)))/C870)/100)&lt;0,(INT(P870/B870)+(((P870-B870*INT(P870/B870)))/C870)/100)+(1-(B870/C870/100)),(INT(P870/B870)+(((P870-B870*INT(P870/B870)))/C870)/100))))</f>
        <v>0</v>
      </c>
      <c r="BB870" s="28">
        <f>R870</f>
        <v>0</v>
      </c>
      <c r="BC870" s="28">
        <f>S870</f>
        <v>0</v>
      </c>
      <c r="BD870" s="28">
        <f>AF870</f>
        <v>0</v>
      </c>
      <c r="BE870" s="28">
        <f>T870</f>
        <v>0</v>
      </c>
      <c r="BG870" s="57">
        <f>IF(ISERROR(IF(B870=C870,V870/C870,(INT(V870/B870)+(((V870-B870*INT(V870/B870)))/C870)/100))),0,(IF(B870=C870,V870/C870,(INT(V870/B870)+(((V870-B870*INT(V870/B870)))/C870)/100))))</f>
        <v>0</v>
      </c>
      <c r="BH870" s="57">
        <f>IF(ISERROR(IF(B870=C870,W870/C870,(INT(W870/B870)+(((W870-B870*INT(W870/B870)))/C870)/100))),0,(IF(B870=C870,W870/C870,(INT(W870/B870)+(((W870-B870*INT(W870/B870)))/C870)/100))))</f>
        <v>0</v>
      </c>
      <c r="BI870" s="57">
        <f>IF(ISERROR(IF(B870=C870,X870/C870,(INT(X870/B870)+(((X870-B870*INT(X870/B870)))/C870)/100))),0,(IF(B870=C870,X870/C870,(INT(X870/B870)+(((X870-B870*INT(X870/B870)))/C870)/100))))</f>
        <v>0</v>
      </c>
      <c r="BJ870" s="57">
        <f>IF(ISERROR(IF(B870=C870,Y870/C870,(INT(Y870/B870)+(((Y870-B870*INT(Y870/B870)))/C870)/100))),0,(IF(B870=C870,Y870/C870,(INT(Y870/B870)+(((Y870-B870*INT(Y870/B870)))/C870)/100))))</f>
        <v>0</v>
      </c>
      <c r="BL870" s="57">
        <f>IF(ISERROR(IF(B870=C870,AA870/C870,(INT(AA870/B870)+(((AA870-B870*INT(AA870/B870)))/C870)/100))),0,(IF(B870=C870,AA870/C870,(INT(AA870/B870)+(((AA870-B870*INT(AA870/B870)))/C870)/100))))</f>
        <v>0</v>
      </c>
      <c r="BM870" s="57">
        <f>IF(ISERROR(IF(B870=C870,AB870/C870,(INT(AB870/B870)+(((AB870-B870*INT(AB870/B870)))/C870)/100))),0,(IF(B870=C870,AB870/C870,(INT(AB870/B870)+(((AB870-B870*INT(AB870/B870)))/C870)/100))))</f>
        <v>0</v>
      </c>
      <c r="BN870" s="57">
        <f>IF(ISERROR(IF(B870=C870,AC870/C870,(INT(AC870/B870)+(((AC870-B870*INT(AC870/B870)))/C870)/100))),0,(IF(B870=C870,AC870/C870,(INT(AC870/B870)+(((AC870-B870*INT(AC870/B870)))/C870)/100))))</f>
        <v>0</v>
      </c>
      <c r="BO870" s="57">
        <f>IF(ISERROR(IF(B870=C870,AD870/C870,(INT(AD870/B870)+(((AD870-B870*INT(AD870/B870)))/C870)/100))),0,(IF(B870=C870,AD870/C870,(INT(AD870/B870)+(((AD870-B870*INT(AD870/B870)))/C870)/100))))</f>
        <v>0</v>
      </c>
      <c r="BQ870" s="155"/>
    </row>
    <row r="871" spans="1:69" hidden="1" x14ac:dyDescent="0.35">
      <c r="A871" s="94"/>
      <c r="B871" s="113">
        <v>0</v>
      </c>
      <c r="C871" s="113">
        <v>0</v>
      </c>
      <c r="D871" s="28">
        <f>SUM(AA871:AD871)</f>
        <v>0</v>
      </c>
      <c r="E871" s="125">
        <v>0</v>
      </c>
      <c r="F871" s="113">
        <v>0</v>
      </c>
      <c r="G871" s="28">
        <f>SUM(D871:F871)</f>
        <v>0</v>
      </c>
      <c r="H871" s="125">
        <v>0</v>
      </c>
      <c r="I871" s="125">
        <v>0</v>
      </c>
      <c r="J871" s="125">
        <v>0</v>
      </c>
      <c r="K871" s="125">
        <v>0</v>
      </c>
      <c r="L871" s="113">
        <v>0</v>
      </c>
      <c r="M871" s="113">
        <v>0</v>
      </c>
      <c r="N871" s="28">
        <f>G871-SUM(H871:M871)</f>
        <v>0</v>
      </c>
      <c r="O871" s="28">
        <f>SUM(V871:Y871)</f>
        <v>0</v>
      </c>
      <c r="P871" s="28">
        <f>O871-N871</f>
        <v>0</v>
      </c>
      <c r="Q871" s="61" t="str">
        <f>IF(ISERROR(P871/SUM(H871:L871)),"",P871/SUM(H871:L871))</f>
        <v/>
      </c>
      <c r="R871" s="113">
        <v>0</v>
      </c>
      <c r="S871" s="28">
        <f>IF(ISERROR(P871/C871*R871),0,(P871/C871*R871))</f>
        <v>0</v>
      </c>
      <c r="T871" s="60">
        <f>IF(ISERROR(P871/B871*AF871),0,(P871/B871*AF871))</f>
        <v>0</v>
      </c>
      <c r="V871" s="113">
        <v>0</v>
      </c>
      <c r="W871" s="113">
        <v>0</v>
      </c>
      <c r="X871" s="113">
        <v>0</v>
      </c>
      <c r="Y871" s="113">
        <v>0</v>
      </c>
      <c r="AA871" s="113">
        <v>0</v>
      </c>
      <c r="AB871" s="113">
        <v>0</v>
      </c>
      <c r="AC871" s="113">
        <v>0</v>
      </c>
      <c r="AD871" s="113">
        <v>0</v>
      </c>
      <c r="AF871" s="113">
        <v>0</v>
      </c>
      <c r="AG871" s="28">
        <f>G871-O871</f>
        <v>0</v>
      </c>
      <c r="AH871" s="58">
        <f>IF(ISERROR(AG871/B871*AF871),0,(AG871/B871*AF871))</f>
        <v>0</v>
      </c>
      <c r="AI871" s="28">
        <f>SUM(H871:M871)</f>
        <v>0</v>
      </c>
      <c r="AJ871" s="28">
        <f>IF(ISERROR(AI871/B871*AF871),0,(AI871/B871*AF871))</f>
        <v>0</v>
      </c>
      <c r="AK871" s="58">
        <f>IF(ISERROR(O871/B871*AF871),0,(O871/B871*AF871))</f>
        <v>0</v>
      </c>
      <c r="AL871" s="28">
        <f>IF(ISERROR(H871/B871*AF871),0,(H871/B871*AF871))</f>
        <v>0</v>
      </c>
      <c r="AN871" s="51">
        <f>A871</f>
        <v>0</v>
      </c>
      <c r="AO871" s="57">
        <f>IF(ISERROR(IF(B871=C871,D871/C871,(INT(D871/B871)+(((D871-B871*INT(D871/B871)))/C871)/100))),0,(IF(B871=C871,D871/C871,(INT(D871/B871)+(((D871-B871*INT(D871/B871)))/C871)/100))))</f>
        <v>0</v>
      </c>
      <c r="AP871" s="57">
        <f>IF(ISERROR(IF(B871=C871,E871/C871,(INT(E871/B871)+(((E871-B871*INT(E871/B871)))/C871)/100))),0,(IF(B871=C871,E871/C871,(INT(E871/B871)+(((E871-B871*INT(E871/B871)))/C871)/100))))</f>
        <v>0</v>
      </c>
      <c r="AQ871" s="57">
        <f>IF(ISERROR(IF(B871=C871,F871/C871,IF((INT(F871/B871)+(((F871-B871*INT(F871/B871)))/C871)/100)&lt;0,(INT(F871/B871)+(((F871-B871*INT(F871/B871)))/C871)/100)+(1-(B871/C871/100)),(INT(F871/B871)+(((F871-B871*INT(F871/B871)))/C871)/100)))),0,IF(B871=C871,F871/C871,IF((INT(F871/B871)+(((F871-B871*INT(F871/B871)))/C871)/100)&lt;0,(INT(F871/B871)+(((F871-B871*INT(F871/B871)))/C871)/100)+(1-(B871/C871/100)),(INT(F871/B871)+(((F871-B871*INT(F871/B871)))/C871)/100))))</f>
        <v>0</v>
      </c>
      <c r="AR871" s="57">
        <f>IF(ISERROR(IF(B871=C871,G871/C871,(INT(G871/B871)+(((G871-B871*INT(G871/B871)))/C871)/100))),0,(IF(B871=C871,G871/C871,(INT(G871/B871)+(((G871-B871*INT(G871/B871)))/C871)/100))))</f>
        <v>0</v>
      </c>
      <c r="AS871" s="57">
        <f>IF(ISERROR(IF(B871=C871,H871/C871,(INT(H871/B871)+(((H871-B871*INT(H871/B871)))/C871)/100))),0,(IF(B871=C871,H871/C871,(INT(H871/B871)+(((H871-B871*INT(H871/B871)))/C871)/100))))</f>
        <v>0</v>
      </c>
      <c r="AT871" s="57">
        <f>IF(ISERROR(IF(B871=C871,I871/C871,(INT(I871/B871)+(((I871-B871*INT(I871/B871)))/C871)/100))),0,(IF(B871=C871,I871/C871,(INT(I871/B871)+(((I871-B871*INT(I871/B871)))/C871)/100))))</f>
        <v>0</v>
      </c>
      <c r="AU871" s="57">
        <f>IF(ISERROR(IF(B871=C871,J871/C871,(INT(J871/B871)+(((J871-B871*INT(J871/B871)))/C871)/100))),0,(IF(B871=C871,J871/C871,(INT(J871/B871)+(((J871-B871*INT(J871/B871)))/C871)/100))))</f>
        <v>0</v>
      </c>
      <c r="AV871" s="57">
        <f>IF(ISERROR(IF(B871=C871,K871/C871,IF((INT(K871/B871)+(((K871-B871*INT(K871/B871)))/C871)/100)&lt;0,(INT(K871/B871)+(((K871-B871*INT(K871/B871)))/C871)/100)+(1-(B871/C871/100)),(INT(K871/B871)+(((K871-B871*INT(K871/B871)))/C871)/100)))),0,IF(B871=C871,K871/C871,IF((INT(K871/B871)+(((K871-B871*INT(K871/B871)))/C871)/100)&lt;0,(INT(K871/B871)+(((K871-B871*INT(K871/B871)))/C871)/100)+(1-(B871/C871/100)),(INT(K871/B871)+(((K871-B871*INT(K871/B871)))/C871)/100))))</f>
        <v>0</v>
      </c>
      <c r="AW871" s="57">
        <f>IF(ISERROR(IF(B871=C871,L871/C871,(INT(L871/B871)+(((L871-B871*INT(L871/B871)))/C871)/100))),0,(IF(B871=C871,L871/C871,(INT(L871/B871)+(((L871-B871*INT(L871/B871)))/C871)/100))))</f>
        <v>0</v>
      </c>
      <c r="AX871" s="57">
        <f>IF(ISERROR(IF(B871=C871,M871/C871,(INT(M871/B871)+(((M871-B871*INT(M871/B871)))/C871)/100))),0,(IF(B871=C871,M871/C871,(INT(M871/B871)+(((M871-B871*INT(M871/B871)))/C871)/100))))</f>
        <v>0</v>
      </c>
      <c r="AY871" s="57">
        <f>IF(ISERROR(IF(B871=C871,N871/C871,IF((INT(N871/B871)+(((N871-B871*INT(N871/B871)))/C871)/100)&lt;0,(INT(N871/B871)+(((N871-B871*INT(N871/B871)))/C871)/100)+(1-(B871/C871/100)),(INT(N871/B871)+(((N871-B871*INT(N871/B871)))/C871)/100)))),0,IF(B871=C871,N871/C871,IF((INT(N871/B871)+(((N871-B871*INT(N871/B871)))/C871)/100)&lt;0,(INT(N871/B871)+(((N871-B871*INT(N871/B871)))/C871)/100)+(1-(B871/C871/100)),(INT(N871/B871)+(((N871-B871*INT(N871/B871)))/C871)/100))))</f>
        <v>0</v>
      </c>
      <c r="AZ871" s="57">
        <f>IF(ISERROR(IF(B871=C871,O871/C871,(INT(O871/B871)+(((O871-B871*INT(O871/B871)))/C871)/100))),0,(IF(B871=C871,O871/C871,(INT(O871/B871)+(((O871-B871*INT(O871/B871)))/C871)/100))))</f>
        <v>0</v>
      </c>
      <c r="BA871" s="57">
        <f>IF(ISERROR(IF(B871=C871,P871/C871,IF((INT(P871/B871)+(((P871-B871*INT(P871/B871)))/C871)/100)&lt;0,(INT(P871/B871)+(((P871-B871*INT(P871/B871)))/C871)/100)+(1-(B871/C871/100)),(INT(P871/B871)+(((P871-B871*INT(P871/B871)))/C871)/100)))),0,IF(B871=C871,P871/C871,IF((INT(P871/B871)+(((P871-B871*INT(P871/B871)))/C871)/100)&lt;0,(INT(P871/B871)+(((P871-B871*INT(P871/B871)))/C871)/100)+(1-(B871/C871/100)),(INT(P871/B871)+(((P871-B871*INT(P871/B871)))/C871)/100))))</f>
        <v>0</v>
      </c>
      <c r="BB871" s="28">
        <f>R871</f>
        <v>0</v>
      </c>
      <c r="BC871" s="28">
        <f>S871</f>
        <v>0</v>
      </c>
      <c r="BD871" s="28">
        <f>AF871</f>
        <v>0</v>
      </c>
      <c r="BE871" s="28">
        <f>T871</f>
        <v>0</v>
      </c>
      <c r="BG871" s="57">
        <f>IF(ISERROR(IF(B871=C871,V871/C871,(INT(V871/B871)+(((V871-B871*INT(V871/B871)))/C871)/100))),0,(IF(B871=C871,V871/C871,(INT(V871/B871)+(((V871-B871*INT(V871/B871)))/C871)/100))))</f>
        <v>0</v>
      </c>
      <c r="BH871" s="57">
        <f>IF(ISERROR(IF(B871=C871,W871/C871,(INT(W871/B871)+(((W871-B871*INT(W871/B871)))/C871)/100))),0,(IF(B871=C871,W871/C871,(INT(W871/B871)+(((W871-B871*INT(W871/B871)))/C871)/100))))</f>
        <v>0</v>
      </c>
      <c r="BI871" s="57">
        <f>IF(ISERROR(IF(B871=C871,X871/C871,(INT(X871/B871)+(((X871-B871*INT(X871/B871)))/C871)/100))),0,(IF(B871=C871,X871/C871,(INT(X871/B871)+(((X871-B871*INT(X871/B871)))/C871)/100))))</f>
        <v>0</v>
      </c>
      <c r="BJ871" s="57">
        <f>IF(ISERROR(IF(B871=C871,Y871/C871,(INT(Y871/B871)+(((Y871-B871*INT(Y871/B871)))/C871)/100))),0,(IF(B871=C871,Y871/C871,(INT(Y871/B871)+(((Y871-B871*INT(Y871/B871)))/C871)/100))))</f>
        <v>0</v>
      </c>
      <c r="BL871" s="57">
        <f>IF(ISERROR(IF(B871=C871,AA871/C871,(INT(AA871/B871)+(((AA871-B871*INT(AA871/B871)))/C871)/100))),0,(IF(B871=C871,AA871/C871,(INT(AA871/B871)+(((AA871-B871*INT(AA871/B871)))/C871)/100))))</f>
        <v>0</v>
      </c>
      <c r="BM871" s="57">
        <f>IF(ISERROR(IF(B871=C871,AB871/C871,(INT(AB871/B871)+(((AB871-B871*INT(AB871/B871)))/C871)/100))),0,(IF(B871=C871,AB871/C871,(INT(AB871/B871)+(((AB871-B871*INT(AB871/B871)))/C871)/100))))</f>
        <v>0</v>
      </c>
      <c r="BN871" s="57">
        <f>IF(ISERROR(IF(B871=C871,AC871/C871,(INT(AC871/B871)+(((AC871-B871*INT(AC871/B871)))/C871)/100))),0,(IF(B871=C871,AC871/C871,(INT(AC871/B871)+(((AC871-B871*INT(AC871/B871)))/C871)/100))))</f>
        <v>0</v>
      </c>
      <c r="BO871" s="57">
        <f>IF(ISERROR(IF(B871=C871,AD871/C871,(INT(AD871/B871)+(((AD871-B871*INT(AD871/B871)))/C871)/100))),0,(IF(B871=C871,AD871/C871,(INT(AD871/B871)+(((AD871-B871*INT(AD871/B871)))/C871)/100))))</f>
        <v>0</v>
      </c>
      <c r="BQ871" s="155"/>
    </row>
    <row r="872" spans="1:69" hidden="1" x14ac:dyDescent="0.35">
      <c r="A872" s="94"/>
      <c r="B872" s="113">
        <v>0</v>
      </c>
      <c r="C872" s="113">
        <v>0</v>
      </c>
      <c r="D872" s="28">
        <f>SUM(AA872:AD872)</f>
        <v>0</v>
      </c>
      <c r="E872" s="125">
        <v>0</v>
      </c>
      <c r="F872" s="113">
        <v>0</v>
      </c>
      <c r="G872" s="28">
        <f>SUM(D872:F872)</f>
        <v>0</v>
      </c>
      <c r="H872" s="125">
        <v>0</v>
      </c>
      <c r="I872" s="125">
        <v>0</v>
      </c>
      <c r="J872" s="125">
        <v>0</v>
      </c>
      <c r="K872" s="125">
        <v>0</v>
      </c>
      <c r="L872" s="113">
        <v>0</v>
      </c>
      <c r="M872" s="113">
        <v>0</v>
      </c>
      <c r="N872" s="28">
        <f>G872-SUM(H872:M872)</f>
        <v>0</v>
      </c>
      <c r="O872" s="28">
        <f>SUM(V872:Y872)</f>
        <v>0</v>
      </c>
      <c r="P872" s="28">
        <f>O872-N872</f>
        <v>0</v>
      </c>
      <c r="Q872" s="61" t="str">
        <f>IF(ISERROR(P872/SUM(H872:L872)),"",P872/SUM(H872:L872))</f>
        <v/>
      </c>
      <c r="R872" s="113">
        <v>0</v>
      </c>
      <c r="S872" s="28">
        <f>IF(ISERROR(P872/C872*R872),0,(P872/C872*R872))</f>
        <v>0</v>
      </c>
      <c r="T872" s="60">
        <f>IF(ISERROR(P872/B872*AF872),0,(P872/B872*AF872))</f>
        <v>0</v>
      </c>
      <c r="V872" s="113">
        <v>0</v>
      </c>
      <c r="W872" s="113">
        <v>0</v>
      </c>
      <c r="X872" s="113">
        <v>0</v>
      </c>
      <c r="Y872" s="113">
        <v>0</v>
      </c>
      <c r="AA872" s="113">
        <v>0</v>
      </c>
      <c r="AB872" s="113">
        <v>0</v>
      </c>
      <c r="AC872" s="113">
        <v>0</v>
      </c>
      <c r="AD872" s="113">
        <v>0</v>
      </c>
      <c r="AF872" s="113">
        <v>0</v>
      </c>
      <c r="AG872" s="28">
        <f>G872-O872</f>
        <v>0</v>
      </c>
      <c r="AH872" s="58">
        <f>IF(ISERROR(AG872/B872*AF872),0,(AG872/B872*AF872))</f>
        <v>0</v>
      </c>
      <c r="AI872" s="28">
        <f>SUM(H872:M872)</f>
        <v>0</v>
      </c>
      <c r="AJ872" s="28">
        <f>IF(ISERROR(AI872/B872*AF872),0,(AI872/B872*AF872))</f>
        <v>0</v>
      </c>
      <c r="AK872" s="58">
        <f>IF(ISERROR(O872/B872*AF872),0,(O872/B872*AF872))</f>
        <v>0</v>
      </c>
      <c r="AL872" s="28">
        <f>IF(ISERROR(H872/B872*AF872),0,(H872/B872*AF872))</f>
        <v>0</v>
      </c>
      <c r="AN872" s="51">
        <f>A872</f>
        <v>0</v>
      </c>
      <c r="AO872" s="57">
        <f>IF(ISERROR(IF(B872=C872,D872/C872,(INT(D872/B872)+(((D872-B872*INT(D872/B872)))/C872)/100))),0,(IF(B872=C872,D872/C872,(INT(D872/B872)+(((D872-B872*INT(D872/B872)))/C872)/100))))</f>
        <v>0</v>
      </c>
      <c r="AP872" s="57">
        <f>IF(ISERROR(IF(B872=C872,E872/C872,(INT(E872/B872)+(((E872-B872*INT(E872/B872)))/C872)/100))),0,(IF(B872=C872,E872/C872,(INT(E872/B872)+(((E872-B872*INT(E872/B872)))/C872)/100))))</f>
        <v>0</v>
      </c>
      <c r="AQ872" s="57">
        <f>IF(ISERROR(IF(B872=C872,F872/C872,IF((INT(F872/B872)+(((F872-B872*INT(F872/B872)))/C872)/100)&lt;0,(INT(F872/B872)+(((F872-B872*INT(F872/B872)))/C872)/100)+(1-(B872/C872/100)),(INT(F872/B872)+(((F872-B872*INT(F872/B872)))/C872)/100)))),0,IF(B872=C872,F872/C872,IF((INT(F872/B872)+(((F872-B872*INT(F872/B872)))/C872)/100)&lt;0,(INT(F872/B872)+(((F872-B872*INT(F872/B872)))/C872)/100)+(1-(B872/C872/100)),(INT(F872/B872)+(((F872-B872*INT(F872/B872)))/C872)/100))))</f>
        <v>0</v>
      </c>
      <c r="AR872" s="57">
        <f>IF(ISERROR(IF(B872=C872,G872/C872,(INT(G872/B872)+(((G872-B872*INT(G872/B872)))/C872)/100))),0,(IF(B872=C872,G872/C872,(INT(G872/B872)+(((G872-B872*INT(G872/B872)))/C872)/100))))</f>
        <v>0</v>
      </c>
      <c r="AS872" s="57">
        <f>IF(ISERROR(IF(B872=C872,H872/C872,(INT(H872/B872)+(((H872-B872*INT(H872/B872)))/C872)/100))),0,(IF(B872=C872,H872/C872,(INT(H872/B872)+(((H872-B872*INT(H872/B872)))/C872)/100))))</f>
        <v>0</v>
      </c>
      <c r="AT872" s="57">
        <f>IF(ISERROR(IF(B872=C872,I872/C872,(INT(I872/B872)+(((I872-B872*INT(I872/B872)))/C872)/100))),0,(IF(B872=C872,I872/C872,(INT(I872/B872)+(((I872-B872*INT(I872/B872)))/C872)/100))))</f>
        <v>0</v>
      </c>
      <c r="AU872" s="57">
        <f>IF(ISERROR(IF(B872=C872,J872/C872,(INT(J872/B872)+(((J872-B872*INT(J872/B872)))/C872)/100))),0,(IF(B872=C872,J872/C872,(INT(J872/B872)+(((J872-B872*INT(J872/B872)))/C872)/100))))</f>
        <v>0</v>
      </c>
      <c r="AV872" s="57">
        <f>IF(ISERROR(IF(B872=C872,K872/C872,IF((INT(K872/B872)+(((K872-B872*INT(K872/B872)))/C872)/100)&lt;0,(INT(K872/B872)+(((K872-B872*INT(K872/B872)))/C872)/100)+(1-(B872/C872/100)),(INT(K872/B872)+(((K872-B872*INT(K872/B872)))/C872)/100)))),0,IF(B872=C872,K872/C872,IF((INT(K872/B872)+(((K872-B872*INT(K872/B872)))/C872)/100)&lt;0,(INT(K872/B872)+(((K872-B872*INT(K872/B872)))/C872)/100)+(1-(B872/C872/100)),(INT(K872/B872)+(((K872-B872*INT(K872/B872)))/C872)/100))))</f>
        <v>0</v>
      </c>
      <c r="AW872" s="57">
        <f>IF(ISERROR(IF(B872=C872,L872/C872,(INT(L872/B872)+(((L872-B872*INT(L872/B872)))/C872)/100))),0,(IF(B872=C872,L872/C872,(INT(L872/B872)+(((L872-B872*INT(L872/B872)))/C872)/100))))</f>
        <v>0</v>
      </c>
      <c r="AX872" s="57">
        <f>IF(ISERROR(IF(B872=C872,M872/C872,(INT(M872/B872)+(((M872-B872*INT(M872/B872)))/C872)/100))),0,(IF(B872=C872,M872/C872,(INT(M872/B872)+(((M872-B872*INT(M872/B872)))/C872)/100))))</f>
        <v>0</v>
      </c>
      <c r="AY872" s="57">
        <f>IF(ISERROR(IF(B872=C872,N872/C872,IF((INT(N872/B872)+(((N872-B872*INT(N872/B872)))/C872)/100)&lt;0,(INT(N872/B872)+(((N872-B872*INT(N872/B872)))/C872)/100)+(1-(B872/C872/100)),(INT(N872/B872)+(((N872-B872*INT(N872/B872)))/C872)/100)))),0,IF(B872=C872,N872/C872,IF((INT(N872/B872)+(((N872-B872*INT(N872/B872)))/C872)/100)&lt;0,(INT(N872/B872)+(((N872-B872*INT(N872/B872)))/C872)/100)+(1-(B872/C872/100)),(INT(N872/B872)+(((N872-B872*INT(N872/B872)))/C872)/100))))</f>
        <v>0</v>
      </c>
      <c r="AZ872" s="57">
        <f>IF(ISERROR(IF(B872=C872,O872/C872,(INT(O872/B872)+(((O872-B872*INT(O872/B872)))/C872)/100))),0,(IF(B872=C872,O872/C872,(INT(O872/B872)+(((O872-B872*INT(O872/B872)))/C872)/100))))</f>
        <v>0</v>
      </c>
      <c r="BA872" s="57">
        <f>IF(ISERROR(IF(B872=C872,P872/C872,IF((INT(P872/B872)+(((P872-B872*INT(P872/B872)))/C872)/100)&lt;0,(INT(P872/B872)+(((P872-B872*INT(P872/B872)))/C872)/100)+(1-(B872/C872/100)),(INT(P872/B872)+(((P872-B872*INT(P872/B872)))/C872)/100)))),0,IF(B872=C872,P872/C872,IF((INT(P872/B872)+(((P872-B872*INT(P872/B872)))/C872)/100)&lt;0,(INT(P872/B872)+(((P872-B872*INT(P872/B872)))/C872)/100)+(1-(B872/C872/100)),(INT(P872/B872)+(((P872-B872*INT(P872/B872)))/C872)/100))))</f>
        <v>0</v>
      </c>
      <c r="BB872" s="28">
        <f>R872</f>
        <v>0</v>
      </c>
      <c r="BC872" s="28">
        <f>S872</f>
        <v>0</v>
      </c>
      <c r="BD872" s="28">
        <f>AF872</f>
        <v>0</v>
      </c>
      <c r="BE872" s="28">
        <f>T872</f>
        <v>0</v>
      </c>
      <c r="BG872" s="57">
        <f>IF(ISERROR(IF(B872=C872,V872/C872,(INT(V872/B872)+(((V872-B872*INT(V872/B872)))/C872)/100))),0,(IF(B872=C872,V872/C872,(INT(V872/B872)+(((V872-B872*INT(V872/B872)))/C872)/100))))</f>
        <v>0</v>
      </c>
      <c r="BH872" s="57">
        <f>IF(ISERROR(IF(B872=C872,W872/C872,(INT(W872/B872)+(((W872-B872*INT(W872/B872)))/C872)/100))),0,(IF(B872=C872,W872/C872,(INT(W872/B872)+(((W872-B872*INT(W872/B872)))/C872)/100))))</f>
        <v>0</v>
      </c>
      <c r="BI872" s="57">
        <f>IF(ISERROR(IF(B872=C872,X872/C872,(INT(X872/B872)+(((X872-B872*INT(X872/B872)))/C872)/100))),0,(IF(B872=C872,X872/C872,(INT(X872/B872)+(((X872-B872*INT(X872/B872)))/C872)/100))))</f>
        <v>0</v>
      </c>
      <c r="BJ872" s="57">
        <f>IF(ISERROR(IF(B872=C872,Y872/C872,(INT(Y872/B872)+(((Y872-B872*INT(Y872/B872)))/C872)/100))),0,(IF(B872=C872,Y872/C872,(INT(Y872/B872)+(((Y872-B872*INT(Y872/B872)))/C872)/100))))</f>
        <v>0</v>
      </c>
      <c r="BL872" s="57">
        <f>IF(ISERROR(IF(B872=C872,AA872/C872,(INT(AA872/B872)+(((AA872-B872*INT(AA872/B872)))/C872)/100))),0,(IF(B872=C872,AA872/C872,(INT(AA872/B872)+(((AA872-B872*INT(AA872/B872)))/C872)/100))))</f>
        <v>0</v>
      </c>
      <c r="BM872" s="57">
        <f>IF(ISERROR(IF(B872=C872,AB872/C872,(INT(AB872/B872)+(((AB872-B872*INT(AB872/B872)))/C872)/100))),0,(IF(B872=C872,AB872/C872,(INT(AB872/B872)+(((AB872-B872*INT(AB872/B872)))/C872)/100))))</f>
        <v>0</v>
      </c>
      <c r="BN872" s="57">
        <f>IF(ISERROR(IF(B872=C872,AC872/C872,(INT(AC872/B872)+(((AC872-B872*INT(AC872/B872)))/C872)/100))),0,(IF(B872=C872,AC872/C872,(INT(AC872/B872)+(((AC872-B872*INT(AC872/B872)))/C872)/100))))</f>
        <v>0</v>
      </c>
      <c r="BO872" s="57">
        <f>IF(ISERROR(IF(B872=C872,AD872/C872,(INT(AD872/B872)+(((AD872-B872*INT(AD872/B872)))/C872)/100))),0,(IF(B872=C872,AD872/C872,(INT(AD872/B872)+(((AD872-B872*INT(AD872/B872)))/C872)/100))))</f>
        <v>0</v>
      </c>
      <c r="BQ872" s="155"/>
    </row>
    <row r="873" spans="1:69" hidden="1" x14ac:dyDescent="0.35">
      <c r="A873" s="94"/>
      <c r="B873" s="113">
        <v>0</v>
      </c>
      <c r="C873" s="113">
        <v>0</v>
      </c>
      <c r="D873" s="28">
        <f>SUM(AA873:AD873)</f>
        <v>0</v>
      </c>
      <c r="E873" s="125">
        <v>0</v>
      </c>
      <c r="F873" s="113">
        <v>0</v>
      </c>
      <c r="G873" s="28">
        <f>SUM(D873:F873)</f>
        <v>0</v>
      </c>
      <c r="H873" s="125">
        <v>0</v>
      </c>
      <c r="I873" s="125">
        <v>0</v>
      </c>
      <c r="J873" s="125">
        <v>0</v>
      </c>
      <c r="K873" s="125">
        <v>0</v>
      </c>
      <c r="L873" s="113">
        <v>0</v>
      </c>
      <c r="M873" s="113">
        <v>0</v>
      </c>
      <c r="N873" s="28">
        <f>G873-SUM(H873:M873)</f>
        <v>0</v>
      </c>
      <c r="O873" s="28">
        <f>SUM(V873:Y873)</f>
        <v>0</v>
      </c>
      <c r="P873" s="28">
        <f>O873-N873</f>
        <v>0</v>
      </c>
      <c r="Q873" s="61" t="str">
        <f>IF(ISERROR(P873/SUM(H873:L873)),"",P873/SUM(H873:L873))</f>
        <v/>
      </c>
      <c r="R873" s="113">
        <v>0</v>
      </c>
      <c r="S873" s="28">
        <f>IF(ISERROR(P873/C873*R873),0,(P873/C873*R873))</f>
        <v>0</v>
      </c>
      <c r="T873" s="60">
        <f>IF(ISERROR(P873/B873*AF873),0,(P873/B873*AF873))</f>
        <v>0</v>
      </c>
      <c r="V873" s="113">
        <v>0</v>
      </c>
      <c r="W873" s="113">
        <v>0</v>
      </c>
      <c r="X873" s="113">
        <v>0</v>
      </c>
      <c r="Y873" s="113">
        <v>0</v>
      </c>
      <c r="AA873" s="113">
        <v>0</v>
      </c>
      <c r="AB873" s="113">
        <v>0</v>
      </c>
      <c r="AC873" s="113">
        <v>0</v>
      </c>
      <c r="AD873" s="113">
        <v>0</v>
      </c>
      <c r="AF873" s="113">
        <v>0</v>
      </c>
      <c r="AG873" s="28">
        <f>G873-O873</f>
        <v>0</v>
      </c>
      <c r="AH873" s="58">
        <f>IF(ISERROR(AG873/B873*AF873),0,(AG873/B873*AF873))</f>
        <v>0</v>
      </c>
      <c r="AI873" s="28">
        <f>SUM(H873:M873)</f>
        <v>0</v>
      </c>
      <c r="AJ873" s="28">
        <f>IF(ISERROR(AI873/B873*AF873),0,(AI873/B873*AF873))</f>
        <v>0</v>
      </c>
      <c r="AK873" s="58">
        <f>IF(ISERROR(O873/B873*AF873),0,(O873/B873*AF873))</f>
        <v>0</v>
      </c>
      <c r="AL873" s="28">
        <f>IF(ISERROR(H873/B873*AF873),0,(H873/B873*AF873))</f>
        <v>0</v>
      </c>
      <c r="AN873" s="51">
        <f>A873</f>
        <v>0</v>
      </c>
      <c r="AO873" s="57">
        <f>IF(ISERROR(IF(B873=C873,D873/C873,(INT(D873/B873)+(((D873-B873*INT(D873/B873)))/C873)/100))),0,(IF(B873=C873,D873/C873,(INT(D873/B873)+(((D873-B873*INT(D873/B873)))/C873)/100))))</f>
        <v>0</v>
      </c>
      <c r="AP873" s="57">
        <f>IF(ISERROR(IF(B873=C873,E873/C873,(INT(E873/B873)+(((E873-B873*INT(E873/B873)))/C873)/100))),0,(IF(B873=C873,E873/C873,(INT(E873/B873)+(((E873-B873*INT(E873/B873)))/C873)/100))))</f>
        <v>0</v>
      </c>
      <c r="AQ873" s="57">
        <f>IF(ISERROR(IF(B873=C873,F873/C873,IF((INT(F873/B873)+(((F873-B873*INT(F873/B873)))/C873)/100)&lt;0,(INT(F873/B873)+(((F873-B873*INT(F873/B873)))/C873)/100)+(1-(B873/C873/100)),(INT(F873/B873)+(((F873-B873*INT(F873/B873)))/C873)/100)))),0,IF(B873=C873,F873/C873,IF((INT(F873/B873)+(((F873-B873*INT(F873/B873)))/C873)/100)&lt;0,(INT(F873/B873)+(((F873-B873*INT(F873/B873)))/C873)/100)+(1-(B873/C873/100)),(INT(F873/B873)+(((F873-B873*INT(F873/B873)))/C873)/100))))</f>
        <v>0</v>
      </c>
      <c r="AR873" s="57">
        <f>IF(ISERROR(IF(B873=C873,G873/C873,(INT(G873/B873)+(((G873-B873*INT(G873/B873)))/C873)/100))),0,(IF(B873=C873,G873/C873,(INT(G873/B873)+(((G873-B873*INT(G873/B873)))/C873)/100))))</f>
        <v>0</v>
      </c>
      <c r="AS873" s="57">
        <f>IF(ISERROR(IF(B873=C873,H873/C873,(INT(H873/B873)+(((H873-B873*INT(H873/B873)))/C873)/100))),0,(IF(B873=C873,H873/C873,(INT(H873/B873)+(((H873-B873*INT(H873/B873)))/C873)/100))))</f>
        <v>0</v>
      </c>
      <c r="AT873" s="57">
        <f>IF(ISERROR(IF(B873=C873,I873/C873,(INT(I873/B873)+(((I873-B873*INT(I873/B873)))/C873)/100))),0,(IF(B873=C873,I873/C873,(INT(I873/B873)+(((I873-B873*INT(I873/B873)))/C873)/100))))</f>
        <v>0</v>
      </c>
      <c r="AU873" s="57">
        <f>IF(ISERROR(IF(B873=C873,J873/C873,(INT(J873/B873)+(((J873-B873*INT(J873/B873)))/C873)/100))),0,(IF(B873=C873,J873/C873,(INT(J873/B873)+(((J873-B873*INT(J873/B873)))/C873)/100))))</f>
        <v>0</v>
      </c>
      <c r="AV873" s="57">
        <f>IF(ISERROR(IF(B873=C873,K873/C873,IF((INT(K873/B873)+(((K873-B873*INT(K873/B873)))/C873)/100)&lt;0,(INT(K873/B873)+(((K873-B873*INT(K873/B873)))/C873)/100)+(1-(B873/C873/100)),(INT(K873/B873)+(((K873-B873*INT(K873/B873)))/C873)/100)))),0,IF(B873=C873,K873/C873,IF((INT(K873/B873)+(((K873-B873*INT(K873/B873)))/C873)/100)&lt;0,(INT(K873/B873)+(((K873-B873*INT(K873/B873)))/C873)/100)+(1-(B873/C873/100)),(INT(K873/B873)+(((K873-B873*INT(K873/B873)))/C873)/100))))</f>
        <v>0</v>
      </c>
      <c r="AW873" s="57">
        <f>IF(ISERROR(IF(B873=C873,L873/C873,(INT(L873/B873)+(((L873-B873*INT(L873/B873)))/C873)/100))),0,(IF(B873=C873,L873/C873,(INT(L873/B873)+(((L873-B873*INT(L873/B873)))/C873)/100))))</f>
        <v>0</v>
      </c>
      <c r="AX873" s="57">
        <f>IF(ISERROR(IF(B873=C873,M873/C873,(INT(M873/B873)+(((M873-B873*INT(M873/B873)))/C873)/100))),0,(IF(B873=C873,M873/C873,(INT(M873/B873)+(((M873-B873*INT(M873/B873)))/C873)/100))))</f>
        <v>0</v>
      </c>
      <c r="AY873" s="57">
        <f>IF(ISERROR(IF(B873=C873,N873/C873,IF((INT(N873/B873)+(((N873-B873*INT(N873/B873)))/C873)/100)&lt;0,(INT(N873/B873)+(((N873-B873*INT(N873/B873)))/C873)/100)+(1-(B873/C873/100)),(INT(N873/B873)+(((N873-B873*INT(N873/B873)))/C873)/100)))),0,IF(B873=C873,N873/C873,IF((INT(N873/B873)+(((N873-B873*INT(N873/B873)))/C873)/100)&lt;0,(INT(N873/B873)+(((N873-B873*INT(N873/B873)))/C873)/100)+(1-(B873/C873/100)),(INT(N873/B873)+(((N873-B873*INT(N873/B873)))/C873)/100))))</f>
        <v>0</v>
      </c>
      <c r="AZ873" s="57">
        <f>IF(ISERROR(IF(B873=C873,O873/C873,(INT(O873/B873)+(((O873-B873*INT(O873/B873)))/C873)/100))),0,(IF(B873=C873,O873/C873,(INT(O873/B873)+(((O873-B873*INT(O873/B873)))/C873)/100))))</f>
        <v>0</v>
      </c>
      <c r="BA873" s="57">
        <f>IF(ISERROR(IF(B873=C873,P873/C873,IF((INT(P873/B873)+(((P873-B873*INT(P873/B873)))/C873)/100)&lt;0,(INT(P873/B873)+(((P873-B873*INT(P873/B873)))/C873)/100)+(1-(B873/C873/100)),(INT(P873/B873)+(((P873-B873*INT(P873/B873)))/C873)/100)))),0,IF(B873=C873,P873/C873,IF((INT(P873/B873)+(((P873-B873*INT(P873/B873)))/C873)/100)&lt;0,(INT(P873/B873)+(((P873-B873*INT(P873/B873)))/C873)/100)+(1-(B873/C873/100)),(INT(P873/B873)+(((P873-B873*INT(P873/B873)))/C873)/100))))</f>
        <v>0</v>
      </c>
      <c r="BB873" s="28">
        <f>R873</f>
        <v>0</v>
      </c>
      <c r="BC873" s="28">
        <f>S873</f>
        <v>0</v>
      </c>
      <c r="BD873" s="28">
        <f>AF873</f>
        <v>0</v>
      </c>
      <c r="BE873" s="28">
        <f>T873</f>
        <v>0</v>
      </c>
      <c r="BG873" s="57">
        <f>IF(ISERROR(IF(B873=C873,V873/C873,(INT(V873/B873)+(((V873-B873*INT(V873/B873)))/C873)/100))),0,(IF(B873=C873,V873/C873,(INT(V873/B873)+(((V873-B873*INT(V873/B873)))/C873)/100))))</f>
        <v>0</v>
      </c>
      <c r="BH873" s="57">
        <f>IF(ISERROR(IF(B873=C873,W873/C873,(INT(W873/B873)+(((W873-B873*INT(W873/B873)))/C873)/100))),0,(IF(B873=C873,W873/C873,(INT(W873/B873)+(((W873-B873*INT(W873/B873)))/C873)/100))))</f>
        <v>0</v>
      </c>
      <c r="BI873" s="57">
        <f>IF(ISERROR(IF(B873=C873,X873/C873,(INT(X873/B873)+(((X873-B873*INT(X873/B873)))/C873)/100))),0,(IF(B873=C873,X873/C873,(INT(X873/B873)+(((X873-B873*INT(X873/B873)))/C873)/100))))</f>
        <v>0</v>
      </c>
      <c r="BJ873" s="57">
        <f>IF(ISERROR(IF(B873=C873,Y873/C873,(INT(Y873/B873)+(((Y873-B873*INT(Y873/B873)))/C873)/100))),0,(IF(B873=C873,Y873/C873,(INT(Y873/B873)+(((Y873-B873*INT(Y873/B873)))/C873)/100))))</f>
        <v>0</v>
      </c>
      <c r="BL873" s="57">
        <f>IF(ISERROR(IF(B873=C873,AA873/C873,(INT(AA873/B873)+(((AA873-B873*INT(AA873/B873)))/C873)/100))),0,(IF(B873=C873,AA873/C873,(INT(AA873/B873)+(((AA873-B873*INT(AA873/B873)))/C873)/100))))</f>
        <v>0</v>
      </c>
      <c r="BM873" s="57">
        <f>IF(ISERROR(IF(B873=C873,AB873/C873,(INT(AB873/B873)+(((AB873-B873*INT(AB873/B873)))/C873)/100))),0,(IF(B873=C873,AB873/C873,(INT(AB873/B873)+(((AB873-B873*INT(AB873/B873)))/C873)/100))))</f>
        <v>0</v>
      </c>
      <c r="BN873" s="57">
        <f>IF(ISERROR(IF(B873=C873,AC873/C873,(INT(AC873/B873)+(((AC873-B873*INT(AC873/B873)))/C873)/100))),0,(IF(B873=C873,AC873/C873,(INT(AC873/B873)+(((AC873-B873*INT(AC873/B873)))/C873)/100))))</f>
        <v>0</v>
      </c>
      <c r="BO873" s="57">
        <f>IF(ISERROR(IF(B873=C873,AD873/C873,(INT(AD873/B873)+(((AD873-B873*INT(AD873/B873)))/C873)/100))),0,(IF(B873=C873,AD873/C873,(INT(AD873/B873)+(((AD873-B873*INT(AD873/B873)))/C873)/100))))</f>
        <v>0</v>
      </c>
      <c r="BQ873" s="155"/>
    </row>
    <row r="874" spans="1:69" hidden="1" x14ac:dyDescent="0.35">
      <c r="A874" s="94"/>
      <c r="B874" s="113">
        <v>0</v>
      </c>
      <c r="C874" s="113">
        <v>0</v>
      </c>
      <c r="D874" s="28">
        <f>SUM(AA874:AD874)</f>
        <v>0</v>
      </c>
      <c r="E874" s="125">
        <v>0</v>
      </c>
      <c r="F874" s="113">
        <v>0</v>
      </c>
      <c r="G874" s="28">
        <f>SUM(D874:F874)</f>
        <v>0</v>
      </c>
      <c r="H874" s="125">
        <v>0</v>
      </c>
      <c r="I874" s="125">
        <v>0</v>
      </c>
      <c r="J874" s="125">
        <v>0</v>
      </c>
      <c r="K874" s="125">
        <v>0</v>
      </c>
      <c r="L874" s="113">
        <v>0</v>
      </c>
      <c r="M874" s="113">
        <v>0</v>
      </c>
      <c r="N874" s="28">
        <f>G874-SUM(H874:M874)</f>
        <v>0</v>
      </c>
      <c r="O874" s="28">
        <f>SUM(V874:Y874)</f>
        <v>0</v>
      </c>
      <c r="P874" s="28">
        <f>O874-N874</f>
        <v>0</v>
      </c>
      <c r="Q874" s="61" t="str">
        <f>IF(ISERROR(P874/SUM(H874:L874)),"",P874/SUM(H874:L874))</f>
        <v/>
      </c>
      <c r="R874" s="113">
        <v>0</v>
      </c>
      <c r="S874" s="28">
        <f>IF(ISERROR(P874/C874*R874),0,(P874/C874*R874))</f>
        <v>0</v>
      </c>
      <c r="T874" s="60">
        <f>IF(ISERROR(P874/B874*AF874),0,(P874/B874*AF874))</f>
        <v>0</v>
      </c>
      <c r="V874" s="113">
        <v>0</v>
      </c>
      <c r="W874" s="113">
        <v>0</v>
      </c>
      <c r="X874" s="113">
        <v>0</v>
      </c>
      <c r="Y874" s="113">
        <v>0</v>
      </c>
      <c r="AA874" s="113">
        <v>0</v>
      </c>
      <c r="AB874" s="113">
        <v>0</v>
      </c>
      <c r="AC874" s="113">
        <v>0</v>
      </c>
      <c r="AD874" s="113">
        <v>0</v>
      </c>
      <c r="AF874" s="113">
        <v>0</v>
      </c>
      <c r="AG874" s="28">
        <f>G874-O874</f>
        <v>0</v>
      </c>
      <c r="AH874" s="58">
        <f>IF(ISERROR(AG874/B874*AF874),0,(AG874/B874*AF874))</f>
        <v>0</v>
      </c>
      <c r="AI874" s="28">
        <f>SUM(H874:M874)</f>
        <v>0</v>
      </c>
      <c r="AJ874" s="28">
        <f>IF(ISERROR(AI874/B874*AF874),0,(AI874/B874*AF874))</f>
        <v>0</v>
      </c>
      <c r="AK874" s="58">
        <f>IF(ISERROR(O874/B874*AF874),0,(O874/B874*AF874))</f>
        <v>0</v>
      </c>
      <c r="AL874" s="28">
        <f>IF(ISERROR(H874/B874*AF874),0,(H874/B874*AF874))</f>
        <v>0</v>
      </c>
      <c r="AN874" s="51">
        <f>A874</f>
        <v>0</v>
      </c>
      <c r="AO874" s="57">
        <f>IF(ISERROR(IF(B874=C874,D874/C874,(INT(D874/B874)+(((D874-B874*INT(D874/B874)))/C874)/100))),0,(IF(B874=C874,D874/C874,(INT(D874/B874)+(((D874-B874*INT(D874/B874)))/C874)/100))))</f>
        <v>0</v>
      </c>
      <c r="AP874" s="57">
        <f>IF(ISERROR(IF(B874=C874,E874/C874,(INT(E874/B874)+(((E874-B874*INT(E874/B874)))/C874)/100))),0,(IF(B874=C874,E874/C874,(INT(E874/B874)+(((E874-B874*INT(E874/B874)))/C874)/100))))</f>
        <v>0</v>
      </c>
      <c r="AQ874" s="57">
        <f>IF(ISERROR(IF(B874=C874,F874/C874,IF((INT(F874/B874)+(((F874-B874*INT(F874/B874)))/C874)/100)&lt;0,(INT(F874/B874)+(((F874-B874*INT(F874/B874)))/C874)/100)+(1-(B874/C874/100)),(INT(F874/B874)+(((F874-B874*INT(F874/B874)))/C874)/100)))),0,IF(B874=C874,F874/C874,IF((INT(F874/B874)+(((F874-B874*INT(F874/B874)))/C874)/100)&lt;0,(INT(F874/B874)+(((F874-B874*INT(F874/B874)))/C874)/100)+(1-(B874/C874/100)),(INT(F874/B874)+(((F874-B874*INT(F874/B874)))/C874)/100))))</f>
        <v>0</v>
      </c>
      <c r="AR874" s="57">
        <f>IF(ISERROR(IF(B874=C874,G874/C874,(INT(G874/B874)+(((G874-B874*INT(G874/B874)))/C874)/100))),0,(IF(B874=C874,G874/C874,(INT(G874/B874)+(((G874-B874*INT(G874/B874)))/C874)/100))))</f>
        <v>0</v>
      </c>
      <c r="AS874" s="57">
        <f>IF(ISERROR(IF(B874=C874,H874/C874,(INT(H874/B874)+(((H874-B874*INT(H874/B874)))/C874)/100))),0,(IF(B874=C874,H874/C874,(INT(H874/B874)+(((H874-B874*INT(H874/B874)))/C874)/100))))</f>
        <v>0</v>
      </c>
      <c r="AT874" s="57">
        <f>IF(ISERROR(IF(B874=C874,I874/C874,(INT(I874/B874)+(((I874-B874*INT(I874/B874)))/C874)/100))),0,(IF(B874=C874,I874/C874,(INT(I874/B874)+(((I874-B874*INT(I874/B874)))/C874)/100))))</f>
        <v>0</v>
      </c>
      <c r="AU874" s="57">
        <f>IF(ISERROR(IF(B874=C874,J874/C874,(INT(J874/B874)+(((J874-B874*INT(J874/B874)))/C874)/100))),0,(IF(B874=C874,J874/C874,(INT(J874/B874)+(((J874-B874*INT(J874/B874)))/C874)/100))))</f>
        <v>0</v>
      </c>
      <c r="AV874" s="57">
        <f>IF(ISERROR(IF(B874=C874,K874/C874,IF((INT(K874/B874)+(((K874-B874*INT(K874/B874)))/C874)/100)&lt;0,(INT(K874/B874)+(((K874-B874*INT(K874/B874)))/C874)/100)+(1-(B874/C874/100)),(INT(K874/B874)+(((K874-B874*INT(K874/B874)))/C874)/100)))),0,IF(B874=C874,K874/C874,IF((INT(K874/B874)+(((K874-B874*INT(K874/B874)))/C874)/100)&lt;0,(INT(K874/B874)+(((K874-B874*INT(K874/B874)))/C874)/100)+(1-(B874/C874/100)),(INT(K874/B874)+(((K874-B874*INT(K874/B874)))/C874)/100))))</f>
        <v>0</v>
      </c>
      <c r="AW874" s="57">
        <f>IF(ISERROR(IF(B874=C874,L874/C874,(INT(L874/B874)+(((L874-B874*INT(L874/B874)))/C874)/100))),0,(IF(B874=C874,L874/C874,(INT(L874/B874)+(((L874-B874*INT(L874/B874)))/C874)/100))))</f>
        <v>0</v>
      </c>
      <c r="AX874" s="57">
        <f>IF(ISERROR(IF(B874=C874,M874/C874,(INT(M874/B874)+(((M874-B874*INT(M874/B874)))/C874)/100))),0,(IF(B874=C874,M874/C874,(INT(M874/B874)+(((M874-B874*INT(M874/B874)))/C874)/100))))</f>
        <v>0</v>
      </c>
      <c r="AY874" s="57">
        <f>IF(ISERROR(IF(B874=C874,N874/C874,IF((INT(N874/B874)+(((N874-B874*INT(N874/B874)))/C874)/100)&lt;0,(INT(N874/B874)+(((N874-B874*INT(N874/B874)))/C874)/100)+(1-(B874/C874/100)),(INT(N874/B874)+(((N874-B874*INT(N874/B874)))/C874)/100)))),0,IF(B874=C874,N874/C874,IF((INT(N874/B874)+(((N874-B874*INT(N874/B874)))/C874)/100)&lt;0,(INT(N874/B874)+(((N874-B874*INT(N874/B874)))/C874)/100)+(1-(B874/C874/100)),(INT(N874/B874)+(((N874-B874*INT(N874/B874)))/C874)/100))))</f>
        <v>0</v>
      </c>
      <c r="AZ874" s="57">
        <f>IF(ISERROR(IF(B874=C874,O874/C874,(INT(O874/B874)+(((O874-B874*INT(O874/B874)))/C874)/100))),0,(IF(B874=C874,O874/C874,(INT(O874/B874)+(((O874-B874*INT(O874/B874)))/C874)/100))))</f>
        <v>0</v>
      </c>
      <c r="BA874" s="57">
        <f>IF(ISERROR(IF(B874=C874,P874/C874,IF((INT(P874/B874)+(((P874-B874*INT(P874/B874)))/C874)/100)&lt;0,(INT(P874/B874)+(((P874-B874*INT(P874/B874)))/C874)/100)+(1-(B874/C874/100)),(INT(P874/B874)+(((P874-B874*INT(P874/B874)))/C874)/100)))),0,IF(B874=C874,P874/C874,IF((INT(P874/B874)+(((P874-B874*INT(P874/B874)))/C874)/100)&lt;0,(INT(P874/B874)+(((P874-B874*INT(P874/B874)))/C874)/100)+(1-(B874/C874/100)),(INT(P874/B874)+(((P874-B874*INT(P874/B874)))/C874)/100))))</f>
        <v>0</v>
      </c>
      <c r="BB874" s="28">
        <f>R874</f>
        <v>0</v>
      </c>
      <c r="BC874" s="28">
        <f>S874</f>
        <v>0</v>
      </c>
      <c r="BD874" s="28">
        <f>AF874</f>
        <v>0</v>
      </c>
      <c r="BE874" s="28">
        <f>T874</f>
        <v>0</v>
      </c>
      <c r="BG874" s="57">
        <f>IF(ISERROR(IF(B874=C874,V874/C874,(INT(V874/B874)+(((V874-B874*INT(V874/B874)))/C874)/100))),0,(IF(B874=C874,V874/C874,(INT(V874/B874)+(((V874-B874*INT(V874/B874)))/C874)/100))))</f>
        <v>0</v>
      </c>
      <c r="BH874" s="57">
        <f>IF(ISERROR(IF(B874=C874,W874/C874,(INT(W874/B874)+(((W874-B874*INT(W874/B874)))/C874)/100))),0,(IF(B874=C874,W874/C874,(INT(W874/B874)+(((W874-B874*INT(W874/B874)))/C874)/100))))</f>
        <v>0</v>
      </c>
      <c r="BI874" s="57">
        <f>IF(ISERROR(IF(B874=C874,X874/C874,(INT(X874/B874)+(((X874-B874*INT(X874/B874)))/C874)/100))),0,(IF(B874=C874,X874/C874,(INT(X874/B874)+(((X874-B874*INT(X874/B874)))/C874)/100))))</f>
        <v>0</v>
      </c>
      <c r="BJ874" s="57">
        <f>IF(ISERROR(IF(B874=C874,Y874/C874,(INT(Y874/B874)+(((Y874-B874*INT(Y874/B874)))/C874)/100))),0,(IF(B874=C874,Y874/C874,(INT(Y874/B874)+(((Y874-B874*INT(Y874/B874)))/C874)/100))))</f>
        <v>0</v>
      </c>
      <c r="BL874" s="57">
        <f>IF(ISERROR(IF(B874=C874,AA874/C874,(INT(AA874/B874)+(((AA874-B874*INT(AA874/B874)))/C874)/100))),0,(IF(B874=C874,AA874/C874,(INT(AA874/B874)+(((AA874-B874*INT(AA874/B874)))/C874)/100))))</f>
        <v>0</v>
      </c>
      <c r="BM874" s="57">
        <f>IF(ISERROR(IF(B874=C874,AB874/C874,(INT(AB874/B874)+(((AB874-B874*INT(AB874/B874)))/C874)/100))),0,(IF(B874=C874,AB874/C874,(INT(AB874/B874)+(((AB874-B874*INT(AB874/B874)))/C874)/100))))</f>
        <v>0</v>
      </c>
      <c r="BN874" s="57">
        <f>IF(ISERROR(IF(B874=C874,AC874/C874,(INT(AC874/B874)+(((AC874-B874*INT(AC874/B874)))/C874)/100))),0,(IF(B874=C874,AC874/C874,(INT(AC874/B874)+(((AC874-B874*INT(AC874/B874)))/C874)/100))))</f>
        <v>0</v>
      </c>
      <c r="BO874" s="57">
        <f>IF(ISERROR(IF(B874=C874,AD874/C874,(INT(AD874/B874)+(((AD874-B874*INT(AD874/B874)))/C874)/100))),0,(IF(B874=C874,AD874/C874,(INT(AD874/B874)+(((AD874-B874*INT(AD874/B874)))/C874)/100))))</f>
        <v>0</v>
      </c>
      <c r="BQ874" s="155"/>
    </row>
    <row r="875" spans="1:69" hidden="1" x14ac:dyDescent="0.35">
      <c r="A875" s="94"/>
      <c r="B875" s="113">
        <v>0</v>
      </c>
      <c r="C875" s="113">
        <v>0</v>
      </c>
      <c r="D875" s="28">
        <f>SUM(AA875:AD875)</f>
        <v>0</v>
      </c>
      <c r="E875" s="125">
        <v>0</v>
      </c>
      <c r="F875" s="113">
        <v>0</v>
      </c>
      <c r="G875" s="28">
        <f>SUM(D875:F875)</f>
        <v>0</v>
      </c>
      <c r="H875" s="125">
        <v>0</v>
      </c>
      <c r="I875" s="125">
        <v>0</v>
      </c>
      <c r="J875" s="125">
        <v>0</v>
      </c>
      <c r="K875" s="125">
        <v>0</v>
      </c>
      <c r="L875" s="113">
        <v>0</v>
      </c>
      <c r="M875" s="113">
        <v>0</v>
      </c>
      <c r="N875" s="28">
        <f>G875-SUM(H875:M875)</f>
        <v>0</v>
      </c>
      <c r="O875" s="28">
        <f>SUM(V875:Y875)</f>
        <v>0</v>
      </c>
      <c r="P875" s="28">
        <f>O875-N875</f>
        <v>0</v>
      </c>
      <c r="Q875" s="61" t="str">
        <f>IF(ISERROR(P875/SUM(H875:L875)),"",P875/SUM(H875:L875))</f>
        <v/>
      </c>
      <c r="R875" s="113">
        <v>0</v>
      </c>
      <c r="S875" s="28">
        <f>IF(ISERROR(P875/C875*R875),0,(P875/C875*R875))</f>
        <v>0</v>
      </c>
      <c r="T875" s="60">
        <f>IF(ISERROR(P875/B875*AF875),0,(P875/B875*AF875))</f>
        <v>0</v>
      </c>
      <c r="V875" s="113">
        <v>0</v>
      </c>
      <c r="W875" s="113">
        <v>0</v>
      </c>
      <c r="X875" s="113">
        <v>0</v>
      </c>
      <c r="Y875" s="113">
        <v>0</v>
      </c>
      <c r="AA875" s="113">
        <v>0</v>
      </c>
      <c r="AB875" s="113">
        <v>0</v>
      </c>
      <c r="AC875" s="113">
        <v>0</v>
      </c>
      <c r="AD875" s="113">
        <v>0</v>
      </c>
      <c r="AF875" s="113">
        <v>0</v>
      </c>
      <c r="AG875" s="28">
        <f>G875-O875</f>
        <v>0</v>
      </c>
      <c r="AH875" s="58">
        <f>IF(ISERROR(AG875/B875*AF875),0,(AG875/B875*AF875))</f>
        <v>0</v>
      </c>
      <c r="AI875" s="28">
        <f>SUM(H875:M875)</f>
        <v>0</v>
      </c>
      <c r="AJ875" s="28">
        <f>IF(ISERROR(AI875/B875*AF875),0,(AI875/B875*AF875))</f>
        <v>0</v>
      </c>
      <c r="AK875" s="58">
        <f>IF(ISERROR(O875/B875*AF875),0,(O875/B875*AF875))</f>
        <v>0</v>
      </c>
      <c r="AL875" s="28">
        <f>IF(ISERROR(H875/B875*AF875),0,(H875/B875*AF875))</f>
        <v>0</v>
      </c>
      <c r="AN875" s="51">
        <f>A875</f>
        <v>0</v>
      </c>
      <c r="AO875" s="57">
        <f>IF(ISERROR(IF(B875=C875,D875/C875,(INT(D875/B875)+(((D875-B875*INT(D875/B875)))/C875)/100))),0,(IF(B875=C875,D875/C875,(INT(D875/B875)+(((D875-B875*INT(D875/B875)))/C875)/100))))</f>
        <v>0</v>
      </c>
      <c r="AP875" s="57">
        <f>IF(ISERROR(IF(B875=C875,E875/C875,(INT(E875/B875)+(((E875-B875*INT(E875/B875)))/C875)/100))),0,(IF(B875=C875,E875/C875,(INT(E875/B875)+(((E875-B875*INT(E875/B875)))/C875)/100))))</f>
        <v>0</v>
      </c>
      <c r="AQ875" s="57">
        <f>IF(ISERROR(IF(B875=C875,F875/C875,IF((INT(F875/B875)+(((F875-B875*INT(F875/B875)))/C875)/100)&lt;0,(INT(F875/B875)+(((F875-B875*INT(F875/B875)))/C875)/100)+(1-(B875/C875/100)),(INT(F875/B875)+(((F875-B875*INT(F875/B875)))/C875)/100)))),0,IF(B875=C875,F875/C875,IF((INT(F875/B875)+(((F875-B875*INT(F875/B875)))/C875)/100)&lt;0,(INT(F875/B875)+(((F875-B875*INT(F875/B875)))/C875)/100)+(1-(B875/C875/100)),(INT(F875/B875)+(((F875-B875*INT(F875/B875)))/C875)/100))))</f>
        <v>0</v>
      </c>
      <c r="AR875" s="57">
        <f>IF(ISERROR(IF(B875=C875,G875/C875,(INT(G875/B875)+(((G875-B875*INT(G875/B875)))/C875)/100))),0,(IF(B875=C875,G875/C875,(INT(G875/B875)+(((G875-B875*INT(G875/B875)))/C875)/100))))</f>
        <v>0</v>
      </c>
      <c r="AS875" s="57">
        <f>IF(ISERROR(IF(B875=C875,H875/C875,(INT(H875/B875)+(((H875-B875*INT(H875/B875)))/C875)/100))),0,(IF(B875=C875,H875/C875,(INT(H875/B875)+(((H875-B875*INT(H875/B875)))/C875)/100))))</f>
        <v>0</v>
      </c>
      <c r="AT875" s="57">
        <f>IF(ISERROR(IF(B875=C875,I875/C875,(INT(I875/B875)+(((I875-B875*INT(I875/B875)))/C875)/100))),0,(IF(B875=C875,I875/C875,(INT(I875/B875)+(((I875-B875*INT(I875/B875)))/C875)/100))))</f>
        <v>0</v>
      </c>
      <c r="AU875" s="57">
        <f>IF(ISERROR(IF(B875=C875,J875/C875,(INT(J875/B875)+(((J875-B875*INT(J875/B875)))/C875)/100))),0,(IF(B875=C875,J875/C875,(INT(J875/B875)+(((J875-B875*INT(J875/B875)))/C875)/100))))</f>
        <v>0</v>
      </c>
      <c r="AV875" s="57">
        <f>IF(ISERROR(IF(B875=C875,K875/C875,IF((INT(K875/B875)+(((K875-B875*INT(K875/B875)))/C875)/100)&lt;0,(INT(K875/B875)+(((K875-B875*INT(K875/B875)))/C875)/100)+(1-(B875/C875/100)),(INT(K875/B875)+(((K875-B875*INT(K875/B875)))/C875)/100)))),0,IF(B875=C875,K875/C875,IF((INT(K875/B875)+(((K875-B875*INT(K875/B875)))/C875)/100)&lt;0,(INT(K875/B875)+(((K875-B875*INT(K875/B875)))/C875)/100)+(1-(B875/C875/100)),(INT(K875/B875)+(((K875-B875*INT(K875/B875)))/C875)/100))))</f>
        <v>0</v>
      </c>
      <c r="AW875" s="57">
        <f>IF(ISERROR(IF(B875=C875,L875/C875,(INT(L875/B875)+(((L875-B875*INT(L875/B875)))/C875)/100))),0,(IF(B875=C875,L875/C875,(INT(L875/B875)+(((L875-B875*INT(L875/B875)))/C875)/100))))</f>
        <v>0</v>
      </c>
      <c r="AX875" s="57">
        <f>IF(ISERROR(IF(B875=C875,M875/C875,(INT(M875/B875)+(((M875-B875*INT(M875/B875)))/C875)/100))),0,(IF(B875=C875,M875/C875,(INT(M875/B875)+(((M875-B875*INT(M875/B875)))/C875)/100))))</f>
        <v>0</v>
      </c>
      <c r="AY875" s="57">
        <f>IF(ISERROR(IF(B875=C875,N875/C875,IF((INT(N875/B875)+(((N875-B875*INT(N875/B875)))/C875)/100)&lt;0,(INT(N875/B875)+(((N875-B875*INT(N875/B875)))/C875)/100)+(1-(B875/C875/100)),(INT(N875/B875)+(((N875-B875*INT(N875/B875)))/C875)/100)))),0,IF(B875=C875,N875/C875,IF((INT(N875/B875)+(((N875-B875*INT(N875/B875)))/C875)/100)&lt;0,(INT(N875/B875)+(((N875-B875*INT(N875/B875)))/C875)/100)+(1-(B875/C875/100)),(INT(N875/B875)+(((N875-B875*INT(N875/B875)))/C875)/100))))</f>
        <v>0</v>
      </c>
      <c r="AZ875" s="57">
        <f>IF(ISERROR(IF(B875=C875,O875/C875,(INT(O875/B875)+(((O875-B875*INT(O875/B875)))/C875)/100))),0,(IF(B875=C875,O875/C875,(INT(O875/B875)+(((O875-B875*INT(O875/B875)))/C875)/100))))</f>
        <v>0</v>
      </c>
      <c r="BA875" s="57">
        <f>IF(ISERROR(IF(B875=C875,P875/C875,IF((INT(P875/B875)+(((P875-B875*INT(P875/B875)))/C875)/100)&lt;0,(INT(P875/B875)+(((P875-B875*INT(P875/B875)))/C875)/100)+(1-(B875/C875/100)),(INT(P875/B875)+(((P875-B875*INT(P875/B875)))/C875)/100)))),0,IF(B875=C875,P875/C875,IF((INT(P875/B875)+(((P875-B875*INT(P875/B875)))/C875)/100)&lt;0,(INT(P875/B875)+(((P875-B875*INT(P875/B875)))/C875)/100)+(1-(B875/C875/100)),(INT(P875/B875)+(((P875-B875*INT(P875/B875)))/C875)/100))))</f>
        <v>0</v>
      </c>
      <c r="BB875" s="28">
        <f>R875</f>
        <v>0</v>
      </c>
      <c r="BC875" s="28">
        <f>S875</f>
        <v>0</v>
      </c>
      <c r="BD875" s="28">
        <f>AF875</f>
        <v>0</v>
      </c>
      <c r="BE875" s="28">
        <f>T875</f>
        <v>0</v>
      </c>
      <c r="BG875" s="57">
        <f>IF(ISERROR(IF(B875=C875,V875/C875,(INT(V875/B875)+(((V875-B875*INT(V875/B875)))/C875)/100))),0,(IF(B875=C875,V875/C875,(INT(V875/B875)+(((V875-B875*INT(V875/B875)))/C875)/100))))</f>
        <v>0</v>
      </c>
      <c r="BH875" s="57">
        <f>IF(ISERROR(IF(B875=C875,W875/C875,(INT(W875/B875)+(((W875-B875*INT(W875/B875)))/C875)/100))),0,(IF(B875=C875,W875/C875,(INT(W875/B875)+(((W875-B875*INT(W875/B875)))/C875)/100))))</f>
        <v>0</v>
      </c>
      <c r="BI875" s="57">
        <f>IF(ISERROR(IF(B875=C875,X875/C875,(INT(X875/B875)+(((X875-B875*INT(X875/B875)))/C875)/100))),0,(IF(B875=C875,X875/C875,(INT(X875/B875)+(((X875-B875*INT(X875/B875)))/C875)/100))))</f>
        <v>0</v>
      </c>
      <c r="BJ875" s="57">
        <f>IF(ISERROR(IF(B875=C875,Y875/C875,(INT(Y875/B875)+(((Y875-B875*INT(Y875/B875)))/C875)/100))),0,(IF(B875=C875,Y875/C875,(INT(Y875/B875)+(((Y875-B875*INT(Y875/B875)))/C875)/100))))</f>
        <v>0</v>
      </c>
      <c r="BL875" s="57">
        <f>IF(ISERROR(IF(B875=C875,AA875/C875,(INT(AA875/B875)+(((AA875-B875*INT(AA875/B875)))/C875)/100))),0,(IF(B875=C875,AA875/C875,(INT(AA875/B875)+(((AA875-B875*INT(AA875/B875)))/C875)/100))))</f>
        <v>0</v>
      </c>
      <c r="BM875" s="57">
        <f>IF(ISERROR(IF(B875=C875,AB875/C875,(INT(AB875/B875)+(((AB875-B875*INT(AB875/B875)))/C875)/100))),0,(IF(B875=C875,AB875/C875,(INT(AB875/B875)+(((AB875-B875*INT(AB875/B875)))/C875)/100))))</f>
        <v>0</v>
      </c>
      <c r="BN875" s="57">
        <f>IF(ISERROR(IF(B875=C875,AC875/C875,(INT(AC875/B875)+(((AC875-B875*INT(AC875/B875)))/C875)/100))),0,(IF(B875=C875,AC875/C875,(INT(AC875/B875)+(((AC875-B875*INT(AC875/B875)))/C875)/100))))</f>
        <v>0</v>
      </c>
      <c r="BO875" s="57">
        <f>IF(ISERROR(IF(B875=C875,AD875/C875,(INT(AD875/B875)+(((AD875-B875*INT(AD875/B875)))/C875)/100))),0,(IF(B875=C875,AD875/C875,(INT(AD875/B875)+(((AD875-B875*INT(AD875/B875)))/C875)/100))))</f>
        <v>0</v>
      </c>
      <c r="BQ875" s="155"/>
    </row>
    <row r="876" spans="1:69" x14ac:dyDescent="0.35">
      <c r="A876" s="154"/>
      <c r="B876" s="148"/>
      <c r="C876" s="148"/>
      <c r="D876" s="149"/>
      <c r="E876" s="153"/>
      <c r="F876" s="148"/>
      <c r="G876" s="149"/>
      <c r="H876" s="153"/>
      <c r="I876" s="153"/>
      <c r="J876" s="153"/>
      <c r="K876" s="153"/>
      <c r="L876" s="148"/>
      <c r="M876" s="148"/>
      <c r="N876" s="149"/>
      <c r="O876" s="149"/>
      <c r="P876" s="149"/>
      <c r="Q876" s="152"/>
      <c r="R876" s="148"/>
      <c r="S876" s="149"/>
      <c r="T876" s="149"/>
      <c r="V876" s="148"/>
      <c r="W876" s="148"/>
      <c r="X876" s="148"/>
      <c r="Y876" s="148"/>
      <c r="AA876" s="148"/>
      <c r="AB876" s="148"/>
      <c r="AC876" s="148"/>
      <c r="AD876" s="148"/>
      <c r="AF876" s="54"/>
      <c r="AG876" s="149"/>
      <c r="AH876" s="151"/>
      <c r="AI876" s="28"/>
      <c r="AJ876" s="28"/>
      <c r="AK876" s="58"/>
      <c r="AL876" s="28"/>
      <c r="AN876" s="150"/>
      <c r="AO876" s="149"/>
      <c r="AP876" s="149"/>
      <c r="AQ876" s="149"/>
      <c r="AR876" s="149"/>
      <c r="AS876" s="149"/>
      <c r="AT876" s="149"/>
      <c r="AU876" s="149"/>
      <c r="AV876" s="149"/>
      <c r="AW876" s="149"/>
      <c r="AX876" s="149"/>
      <c r="AY876" s="149"/>
      <c r="AZ876" s="149"/>
      <c r="BA876" s="149"/>
      <c r="BB876" s="149"/>
      <c r="BC876" s="149"/>
      <c r="BD876" s="149"/>
      <c r="BE876" s="149"/>
      <c r="BG876" s="149"/>
      <c r="BH876" s="149"/>
      <c r="BI876" s="149"/>
      <c r="BJ876" s="149"/>
      <c r="BL876" s="149"/>
      <c r="BM876" s="149"/>
      <c r="BN876" s="149"/>
      <c r="BO876" s="149"/>
      <c r="BQ876" s="148"/>
    </row>
    <row r="877" spans="1:69" x14ac:dyDescent="0.35">
      <c r="A877" s="123" t="s">
        <v>107</v>
      </c>
      <c r="B877" s="122"/>
      <c r="C877" s="122"/>
      <c r="D877" s="40"/>
      <c r="E877" s="121"/>
      <c r="F877" s="122"/>
      <c r="G877" s="40"/>
      <c r="H877" s="121"/>
      <c r="I877" s="121"/>
      <c r="J877" s="121"/>
      <c r="K877" s="121"/>
      <c r="L877" s="122"/>
      <c r="M877" s="122"/>
      <c r="N877" s="40"/>
      <c r="O877" s="40"/>
      <c r="P877" s="40"/>
      <c r="Q877" s="120"/>
      <c r="R877" s="122"/>
      <c r="S877" s="39">
        <f>SUBTOTAL(9,S834:S876)</f>
        <v>-1081.081081081081</v>
      </c>
      <c r="T877" s="39">
        <f>SUBTOTAL(9,T834:T876)</f>
        <v>-302.33333333333331</v>
      </c>
      <c r="V877" s="122"/>
      <c r="W877" s="122"/>
      <c r="X877" s="122"/>
      <c r="Y877" s="122"/>
      <c r="AA877" s="122"/>
      <c r="AB877" s="122"/>
      <c r="AC877" s="122"/>
      <c r="AD877" s="122"/>
      <c r="AF877" s="147"/>
      <c r="AG877" s="40"/>
      <c r="AH877" s="117">
        <f>SUBTOTAL(9,AH834:AH876)</f>
        <v>596.34541666666667</v>
      </c>
      <c r="AI877" s="39"/>
      <c r="AJ877" s="117">
        <f>SUBTOTAL(9,AJ834:AJ876)</f>
        <v>294.01208333333335</v>
      </c>
      <c r="AK877" s="117">
        <f>SUBTOTAL(9,AK834:AK876)</f>
        <v>38505.74791666666</v>
      </c>
      <c r="AL877" s="39">
        <f>SUBTOTAL(9,AL834:AL876)</f>
        <v>279.89208333333335</v>
      </c>
      <c r="AN877" s="41" t="str">
        <f>A877</f>
        <v>Total Beverages</v>
      </c>
      <c r="AO877" s="40"/>
      <c r="AP877" s="40"/>
      <c r="AQ877" s="40"/>
      <c r="AR877" s="40"/>
      <c r="AS877" s="40"/>
      <c r="AT877" s="40"/>
      <c r="AU877" s="40"/>
      <c r="AV877" s="40"/>
      <c r="AW877" s="40"/>
      <c r="AX877" s="40"/>
      <c r="AY877" s="40"/>
      <c r="AZ877" s="40"/>
      <c r="BA877" s="40"/>
      <c r="BB877" s="40"/>
      <c r="BC877" s="39">
        <f>S877</f>
        <v>-1081.081081081081</v>
      </c>
      <c r="BD877" s="39"/>
      <c r="BE877" s="39">
        <f>T877</f>
        <v>-302.33333333333331</v>
      </c>
      <c r="BG877" s="40"/>
      <c r="BH877" s="40"/>
      <c r="BI877" s="40"/>
      <c r="BJ877" s="40"/>
      <c r="BL877" s="40"/>
      <c r="BM877" s="40"/>
      <c r="BN877" s="40"/>
      <c r="BO877" s="40"/>
      <c r="BQ877" s="122"/>
    </row>
    <row r="878" spans="1:69" x14ac:dyDescent="0.35">
      <c r="A878" s="123" t="s">
        <v>112</v>
      </c>
      <c r="B878" s="122"/>
      <c r="C878" s="122"/>
      <c r="D878" s="40"/>
      <c r="E878" s="121"/>
      <c r="F878" s="122"/>
      <c r="G878" s="40"/>
      <c r="H878" s="121"/>
      <c r="I878" s="121"/>
      <c r="J878" s="121"/>
      <c r="K878" s="121"/>
      <c r="L878" s="122"/>
      <c r="M878" s="122"/>
      <c r="N878" s="40"/>
      <c r="O878" s="40"/>
      <c r="P878" s="40"/>
      <c r="Q878" s="120"/>
      <c r="R878" s="122"/>
      <c r="S878" s="39">
        <f>SUBTOTAL(9,S6:S877)</f>
        <v>940.34749034749041</v>
      </c>
      <c r="T878" s="39">
        <f>SUBTOTAL(9,T6:T877)</f>
        <v>197.59561111111108</v>
      </c>
      <c r="V878" s="122"/>
      <c r="W878" s="122"/>
      <c r="X878" s="122"/>
      <c r="Y878" s="122"/>
      <c r="AA878" s="122"/>
      <c r="AB878" s="122"/>
      <c r="AC878" s="122"/>
      <c r="AD878" s="122"/>
      <c r="AF878" s="147"/>
      <c r="AG878" s="40"/>
      <c r="AH878" s="117">
        <f>SUBTOTAL(9,AH6:AH877)</f>
        <v>18062.087500000001</v>
      </c>
      <c r="AI878" s="39"/>
      <c r="AJ878" s="117">
        <f>SUBTOTAL(9,AJ6:AJ877)</f>
        <v>18259.683111111117</v>
      </c>
      <c r="AK878" s="117">
        <f>SUBTOTAL(9,AK6:AK877)</f>
        <v>1196196.0869799608</v>
      </c>
      <c r="AL878" s="39">
        <f>SUBTOTAL(9,AL6:AL877)</f>
        <v>16393.952250000002</v>
      </c>
      <c r="AN878" s="41" t="str">
        <f>A878</f>
        <v>Grand Total Liquor &amp; Beverages</v>
      </c>
      <c r="AO878" s="40"/>
      <c r="AP878" s="40"/>
      <c r="AQ878" s="40"/>
      <c r="AR878" s="40"/>
      <c r="AS878" s="40"/>
      <c r="AT878" s="40"/>
      <c r="AU878" s="40"/>
      <c r="AV878" s="40"/>
      <c r="AW878" s="40"/>
      <c r="AX878" s="40"/>
      <c r="AY878" s="40"/>
      <c r="AZ878" s="40"/>
      <c r="BA878" s="40"/>
      <c r="BB878" s="40"/>
      <c r="BC878" s="39">
        <f>S878</f>
        <v>940.34749034749041</v>
      </c>
      <c r="BD878" s="39"/>
      <c r="BE878" s="39">
        <f>T878</f>
        <v>197.59561111111108</v>
      </c>
      <c r="BG878" s="40"/>
      <c r="BH878" s="40"/>
      <c r="BI878" s="40"/>
      <c r="BJ878" s="40"/>
      <c r="BL878" s="40"/>
      <c r="BM878" s="40"/>
      <c r="BN878" s="40"/>
      <c r="BO878" s="40"/>
      <c r="BQ878" s="146"/>
    </row>
    <row r="879" spans="1:69" x14ac:dyDescent="0.35">
      <c r="B879" s="8"/>
      <c r="C879" s="8"/>
      <c r="E879" s="145"/>
      <c r="H879" s="145"/>
      <c r="I879" s="145"/>
      <c r="J879" s="145"/>
      <c r="K879" s="145"/>
      <c r="Q879" s="144"/>
      <c r="R879" s="8"/>
      <c r="V879" s="8"/>
      <c r="W879" s="8"/>
      <c r="X879" s="8"/>
      <c r="Y879" s="8"/>
      <c r="AA879" s="8"/>
      <c r="AB879" s="8"/>
      <c r="AC879" s="8"/>
      <c r="AD879" s="8"/>
      <c r="AF879" s="54"/>
      <c r="BB879" s="3"/>
      <c r="BG879" s="3"/>
      <c r="BH879" s="3"/>
      <c r="BI879" s="3"/>
      <c r="BJ879" s="3"/>
      <c r="BL879" s="3"/>
      <c r="BM879" s="3"/>
      <c r="BN879" s="3"/>
      <c r="BO879" s="3"/>
      <c r="BQ879" s="8"/>
    </row>
    <row r="880" spans="1:69" x14ac:dyDescent="0.35">
      <c r="A880" s="135" t="s">
        <v>111</v>
      </c>
      <c r="B880" s="113"/>
      <c r="C880" s="113"/>
      <c r="D880" s="28"/>
      <c r="E880" s="125"/>
      <c r="F880" s="113"/>
      <c r="G880" s="28"/>
      <c r="H880" s="125"/>
      <c r="I880" s="125"/>
      <c r="J880" s="125"/>
      <c r="K880" s="125"/>
      <c r="L880" s="113"/>
      <c r="M880" s="113"/>
      <c r="N880" s="28"/>
      <c r="O880" s="125"/>
      <c r="P880" s="28"/>
      <c r="Q880" s="61"/>
      <c r="R880" s="113"/>
      <c r="S880" s="28"/>
      <c r="T880" s="28"/>
      <c r="V880" s="113"/>
      <c r="W880" s="113"/>
      <c r="X880" s="113"/>
      <c r="Y880" s="113"/>
      <c r="AA880" s="113"/>
      <c r="AB880" s="113"/>
      <c r="AC880" s="113"/>
      <c r="AD880" s="113"/>
      <c r="AF880" s="54"/>
      <c r="AG880" s="28"/>
      <c r="AH880" s="58"/>
      <c r="AI880" s="28"/>
      <c r="AJ880" s="28"/>
      <c r="AK880" s="58"/>
      <c r="AL880" s="28"/>
      <c r="AN880" s="65" t="str">
        <f>A880</f>
        <v>Beverages</v>
      </c>
      <c r="AO880" s="28"/>
      <c r="AP880" s="28"/>
      <c r="AQ880" s="28"/>
      <c r="AR880" s="28"/>
      <c r="AS880" s="28"/>
      <c r="AT880" s="28"/>
      <c r="AU880" s="28"/>
      <c r="AV880" s="28"/>
      <c r="AW880" s="28"/>
      <c r="AX880" s="28"/>
      <c r="AY880" s="28"/>
      <c r="AZ880" s="28"/>
      <c r="BA880" s="28"/>
      <c r="BB880" s="28"/>
      <c r="BC880" s="28"/>
      <c r="BD880" s="28"/>
      <c r="BE880" s="28"/>
      <c r="BG880" s="28"/>
      <c r="BH880" s="28"/>
      <c r="BI880" s="28"/>
      <c r="BJ880" s="28"/>
      <c r="BL880" s="28"/>
      <c r="BM880" s="28"/>
      <c r="BN880" s="28"/>
      <c r="BO880" s="28"/>
      <c r="BQ880" s="124" t="s">
        <v>81</v>
      </c>
    </row>
    <row r="881" spans="1:69" x14ac:dyDescent="0.35">
      <c r="A881" s="134" t="s">
        <v>110</v>
      </c>
      <c r="B881" s="113">
        <v>1</v>
      </c>
      <c r="C881" s="113">
        <v>1</v>
      </c>
      <c r="D881" s="28">
        <f>SUM(AA881:AD881)</f>
        <v>112</v>
      </c>
      <c r="E881" s="125">
        <v>0</v>
      </c>
      <c r="F881" s="113">
        <v>0</v>
      </c>
      <c r="G881" s="28">
        <f>SUM(D881:F881)</f>
        <v>112</v>
      </c>
      <c r="H881" s="125">
        <v>4.5</v>
      </c>
      <c r="I881" s="113">
        <v>0</v>
      </c>
      <c r="J881" s="113">
        <v>0</v>
      </c>
      <c r="K881" s="113">
        <v>0</v>
      </c>
      <c r="L881" s="113">
        <v>0</v>
      </c>
      <c r="M881" s="113">
        <v>0</v>
      </c>
      <c r="N881" s="28">
        <f>G881-SUM(H881:M881)</f>
        <v>107.5</v>
      </c>
      <c r="O881" s="28">
        <f>SUM(V881:Y881)</f>
        <v>105</v>
      </c>
      <c r="P881" s="28">
        <f>O881-N881</f>
        <v>-2.5</v>
      </c>
      <c r="Q881" s="61">
        <f>IF(ISERROR(P881/SUM(H881:L881)),"",P881/SUM(H881:L881))</f>
        <v>-0.55555555555555558</v>
      </c>
      <c r="R881" s="113">
        <v>60</v>
      </c>
      <c r="S881" s="28">
        <f>IF(ISERROR(P881/C881*R881),0,(P881/C881*R881))</f>
        <v>-150</v>
      </c>
      <c r="T881" s="60">
        <f>IF(ISERROR(P881/B881*AF881),0,(P881/B881*AF881))</f>
        <v>-75.331249999999997</v>
      </c>
      <c r="V881" s="113">
        <f>4+5</f>
        <v>9</v>
      </c>
      <c r="W881" s="113">
        <f>4*24</f>
        <v>96</v>
      </c>
      <c r="X881" s="113">
        <v>0</v>
      </c>
      <c r="Y881" s="113">
        <v>0</v>
      </c>
      <c r="AA881" s="113">
        <v>16</v>
      </c>
      <c r="AB881" s="113">
        <f>4*24</f>
        <v>96</v>
      </c>
      <c r="AC881" s="113">
        <v>0</v>
      </c>
      <c r="AD881" s="113">
        <v>0</v>
      </c>
      <c r="AF881" s="54">
        <v>30.132499999999997</v>
      </c>
      <c r="AG881" s="28">
        <f>G881-O881</f>
        <v>7</v>
      </c>
      <c r="AH881" s="58">
        <f>IF(ISERROR(AG881/B881*AF881),0,(AG881/B881*AF881))</f>
        <v>210.92749999999998</v>
      </c>
      <c r="AI881" s="28">
        <f>SUM(H881:M881)</f>
        <v>4.5</v>
      </c>
      <c r="AJ881" s="28">
        <f>IF(ISERROR(AI881/B881*AF881),0,(AI881/B881*AF881))</f>
        <v>135.59625</v>
      </c>
      <c r="AK881" s="58">
        <f>IF(ISERROR(O881/B881*AF881),0,(O881/B881*AF881))</f>
        <v>3163.9124999999995</v>
      </c>
      <c r="AL881" s="28">
        <f>IF(ISERROR(H881/B881*AF881),0,(H881/B881*AF881))</f>
        <v>135.59625</v>
      </c>
      <c r="AN881" s="51" t="str">
        <f>A881</f>
        <v xml:space="preserve">Coke </v>
      </c>
      <c r="AO881" s="57">
        <f>IF(ISERROR(IF(B881=C881,D881/C881,(INT(D881/B881)+(((D881-B881*INT(D881/B881)))/C881)/100))),0,(IF(B881=C881,D881/C881,(INT(D881/B881)+(((D881-B881*INT(D881/B881)))/C881)/100))))</f>
        <v>112</v>
      </c>
      <c r="AP881" s="57">
        <f>IF(ISERROR(IF(B881=C881,E881/C881,(INT(E881/B881)+(((E881-B881*INT(E881/B881)))/C881)/100))),0,(IF(B881=C881,E881/C881,(INT(E881/B881)+(((E881-B881*INT(E881/B881)))/C881)/100))))</f>
        <v>0</v>
      </c>
      <c r="AQ881" s="57">
        <f>IF(ISERROR(IF(B881=C881,F881/C881,IF((INT(F881/B881)+(((F881-B881*INT(F881/B881)))/C881)/100)&lt;0,(INT(F881/B881)+(((F881-B881*INT(F881/B881)))/C881)/100)+(1-(B881/C881/100)),(INT(F881/B881)+(((F881-B881*INT(F881/B881)))/C881)/100)))),0,IF(B881=C881,F881/C881,IF((INT(F881/B881)+(((F881-B881*INT(F881/B881)))/C881)/100)&lt;0,(INT(F881/B881)+(((F881-B881*INT(F881/B881)))/C881)/100)+(1-(B881/C881/100)),(INT(F881/B881)+(((F881-B881*INT(F881/B881)))/C881)/100))))</f>
        <v>0</v>
      </c>
      <c r="AR881" s="57">
        <f>IF(ISERROR(IF(B881=C881,G881/C881,(INT(G881/B881)+(((G881-B881*INT(G881/B881)))/C881)/100))),0,(IF(B881=C881,G881/C881,(INT(G881/B881)+(((G881-B881*INT(G881/B881)))/C881)/100))))</f>
        <v>112</v>
      </c>
      <c r="AS881" s="57">
        <f>IF(ISERROR(IF(B881=C881,H881/C881,(INT(H881/B881)+(((H881-B881*INT(H881/B881)))/C881)/100))),0,(IF(B881=C881,H881/C881,(INT(H881/B881)+(((H881-B881*INT(H881/B881)))/C881)/100))))</f>
        <v>4.5</v>
      </c>
      <c r="AT881" s="57">
        <f>IF(ISERROR(IF(B881=C881,I881/C881,(INT(I881/B881)+(((I881-B881*INT(I881/B881)))/C881)/100))),0,(IF(B881=C881,I881/C881,(INT(I881/B881)+(((I881-B881*INT(I881/B881)))/C881)/100))))</f>
        <v>0</v>
      </c>
      <c r="AU881" s="57">
        <f>IF(ISERROR(IF(B881=C881,J881/C881,(INT(J881/B881)+(((J881-B881*INT(J881/B881)))/C881)/100))),0,(IF(B881=C881,J881/C881,(INT(J881/B881)+(((J881-B881*INT(J881/B881)))/C881)/100))))</f>
        <v>0</v>
      </c>
      <c r="AV881" s="57">
        <f>IF(ISERROR(IF(B881=C881,K881/C881,IF((INT(K881/B881)+(((K881-B881*INT(K881/B881)))/C881)/100)&lt;0,(INT(K881/B881)+(((K881-B881*INT(K881/B881)))/C881)/100)+(1-(B881/C881/100)),(INT(K881/B881)+(((K881-B881*INT(K881/B881)))/C881)/100)))),0,IF(B881=C881,K881/C881,IF((INT(K881/B881)+(((K881-B881*INT(K881/B881)))/C881)/100)&lt;0,(INT(K881/B881)+(((K881-B881*INT(K881/B881)))/C881)/100)+(1-(B881/C881/100)),(INT(K881/B881)+(((K881-B881*INT(K881/B881)))/C881)/100))))</f>
        <v>0</v>
      </c>
      <c r="AW881" s="57">
        <f>IF(ISERROR(IF(B881=C881,L881/C881,(INT(L881/B881)+(((L881-B881*INT(L881/B881)))/C881)/100))),0,(IF(B881=C881,L881/C881,(INT(L881/B881)+(((L881-B881*INT(L881/B881)))/C881)/100))))</f>
        <v>0</v>
      </c>
      <c r="AX881" s="57">
        <f>IF(ISERROR(IF(B881=C881,M881/C881,(INT(M881/B881)+(((M881-B881*INT(M881/B881)))/C881)/100))),0,(IF(B881=C881,M881/C881,(INT(M881/B881)+(((M881-B881*INT(M881/B881)))/C881)/100))))</f>
        <v>0</v>
      </c>
      <c r="AY881" s="57">
        <f>IF(ISERROR(IF(B881=C881,N881/C881,IF((INT(N881/B881)+(((N881-B881*INT(N881/B881)))/C881)/100)&lt;0,(INT(N881/B881)+(((N881-B881*INT(N881/B881)))/C881)/100)+(1-(B881/C881/100)),(INT(N881/B881)+(((N881-B881*INT(N881/B881)))/C881)/100)))),0,IF(B881=C881,N881/C881,IF((INT(N881/B881)+(((N881-B881*INT(N881/B881)))/C881)/100)&lt;0,(INT(N881/B881)+(((N881-B881*INT(N881/B881)))/C881)/100)+(1-(B881/C881/100)),(INT(N881/B881)+(((N881-B881*INT(N881/B881)))/C881)/100))))</f>
        <v>107.5</v>
      </c>
      <c r="AZ881" s="57">
        <f>IF(ISERROR(IF(B881=C881,O881/C881,(INT(O881/B881)+(((O881-B881*INT(O881/B881)))/C881)/100))),0,(IF(B881=C881,O881/C881,(INT(O881/B881)+(((O881-B881*INT(O881/B881)))/C881)/100))))</f>
        <v>105</v>
      </c>
      <c r="BA881" s="57">
        <f>IF(ISERROR(IF(B881=C881,P881/C881,IF((INT(P881/B881)+(((P881-B881*INT(P881/B881)))/C881)/100)&lt;0,(INT(P881/B881)+(((P881-B881*INT(P881/B881)))/C881)/100)+(1-(B881/C881/100)),(INT(P881/B881)+(((P881-B881*INT(P881/B881)))/C881)/100)))),0,IF(B881=C881,P881/C881,IF((INT(P881/B881)+(((P881-B881*INT(P881/B881)))/C881)/100)&lt;0,(INT(P881/B881)+(((P881-B881*INT(P881/B881)))/C881)/100)+(1-(B881/C881/100)),(INT(P881/B881)+(((P881-B881*INT(P881/B881)))/C881)/100))))</f>
        <v>-2.5</v>
      </c>
      <c r="BB881" s="28">
        <f>R881</f>
        <v>60</v>
      </c>
      <c r="BC881" s="28">
        <f>S881</f>
        <v>-150</v>
      </c>
      <c r="BD881" s="28">
        <f>AF881</f>
        <v>30.132499999999997</v>
      </c>
      <c r="BE881" s="28">
        <f>T881</f>
        <v>-75.331249999999997</v>
      </c>
      <c r="BG881" s="57">
        <f>IF(ISERROR(IF(B881=C881,V881/C881,(INT(V881/B881)+(((V881-B881*INT(V881/B881)))/C881)/100))),0,(IF(B881=C881,V881/C881,(INT(V881/B881)+(((V881-B881*INT(V881/B881)))/C881)/100))))</f>
        <v>9</v>
      </c>
      <c r="BH881" s="57">
        <f>IF(ISERROR(IF(B881=C881,W881/C881,(INT(W881/B881)+(((W881-B881*INT(W881/B881)))/C881)/100))),0,(IF(B881=C881,W881/C881,(INT(W881/B881)+(((W881-B881*INT(W881/B881)))/C881)/100))))</f>
        <v>96</v>
      </c>
      <c r="BI881" s="57">
        <f>IF(ISERROR(IF(B881=C881,X881/C881,(INT(X881/B881)+(((X881-B881*INT(X881/B881)))/C881)/100))),0,(IF(B881=C881,X881/C881,(INT(X881/B881)+(((X881-B881*INT(X881/B881)))/C881)/100))))</f>
        <v>0</v>
      </c>
      <c r="BJ881" s="57">
        <f>IF(ISERROR(IF(B881=C881,Y881/C881,(INT(Y881/B881)+(((Y881-B881*INT(Y881/B881)))/C881)/100))),0,(IF(B881=C881,Y881/C881,(INT(Y881/B881)+(((Y881-B881*INT(Y881/B881)))/C881)/100))))</f>
        <v>0</v>
      </c>
      <c r="BL881" s="57">
        <f>IF(ISERROR(IF(B881=C881,AA881/C881,(INT(AA881/B881)+(((AA881-B881*INT(AA881/B881)))/C881)/100))),0,(IF(B881=C881,AA881/C881,(INT(AA881/B881)+(((AA881-B881*INT(AA881/B881)))/C881)/100))))</f>
        <v>16</v>
      </c>
      <c r="BM881" s="57">
        <f>IF(ISERROR(IF(B881=C881,AB881/C881,(INT(AB881/B881)+(((AB881-B881*INT(AB881/B881)))/C881)/100))),0,(IF(B881=C881,AB881/C881,(INT(AB881/B881)+(((AB881-B881*INT(AB881/B881)))/C881)/100))))</f>
        <v>96</v>
      </c>
      <c r="BN881" s="57">
        <f>IF(ISERROR(IF(B881=C881,AC881/C881,(INT(AC881/B881)+(((AC881-B881*INT(AC881/B881)))/C881)/100))),0,(IF(B881=C881,AC881/C881,(INT(AC881/B881)+(((AC881-B881*INT(AC881/B881)))/C881)/100))))</f>
        <v>0</v>
      </c>
      <c r="BO881" s="57">
        <f>IF(ISERROR(IF(B881=C881,AD881/C881,(INT(AD881/B881)+(((AD881-B881*INT(AD881/B881)))/C881)/100))),0,(IF(B881=C881,AD881/C881,(INT(AD881/B881)+(((AD881-B881*INT(AD881/B881)))/C881)/100))))</f>
        <v>0</v>
      </c>
      <c r="BQ881" s="124" t="s">
        <v>81</v>
      </c>
    </row>
    <row r="882" spans="1:69" x14ac:dyDescent="0.35">
      <c r="A882" s="134" t="s">
        <v>109</v>
      </c>
      <c r="B882" s="113">
        <v>1</v>
      </c>
      <c r="C882" s="113">
        <v>1</v>
      </c>
      <c r="D882" s="28">
        <f>SUM(AA882:AD882)</f>
        <v>131</v>
      </c>
      <c r="E882" s="125">
        <v>0</v>
      </c>
      <c r="F882" s="113">
        <v>0</v>
      </c>
      <c r="G882" s="28">
        <f>SUM(D882:F882)</f>
        <v>131</v>
      </c>
      <c r="H882" s="125">
        <v>1</v>
      </c>
      <c r="I882" s="113">
        <v>2</v>
      </c>
      <c r="J882" s="113">
        <v>0</v>
      </c>
      <c r="K882" s="113">
        <v>0</v>
      </c>
      <c r="L882" s="113">
        <v>0</v>
      </c>
      <c r="M882" s="113">
        <v>0</v>
      </c>
      <c r="N882" s="28">
        <f>G882-SUM(H882:M882)</f>
        <v>128</v>
      </c>
      <c r="O882" s="28">
        <f>SUM(V882:Y882)</f>
        <v>127</v>
      </c>
      <c r="P882" s="28">
        <f>O882-N882</f>
        <v>-1</v>
      </c>
      <c r="Q882" s="61">
        <f>IF(ISERROR(P882/SUM(H882:L882)),"",P882/SUM(H882:L882))</f>
        <v>-0.33333333333333331</v>
      </c>
      <c r="R882" s="113">
        <v>60</v>
      </c>
      <c r="S882" s="28">
        <f>IF(ISERROR(P882/C882*R882),0,(P882/C882*R882))</f>
        <v>-60</v>
      </c>
      <c r="T882" s="60">
        <f>IF(ISERROR(P882/B882*AF882),0,(P882/B882*AF882))</f>
        <v>-30.132499999999997</v>
      </c>
      <c r="V882" s="113">
        <f>5+2</f>
        <v>7</v>
      </c>
      <c r="W882" s="113">
        <f>5*24</f>
        <v>120</v>
      </c>
      <c r="X882" s="113">
        <v>0</v>
      </c>
      <c r="Y882" s="113">
        <v>0</v>
      </c>
      <c r="AA882" s="113">
        <f>1+1+9</f>
        <v>11</v>
      </c>
      <c r="AB882" s="113">
        <f>5*24</f>
        <v>120</v>
      </c>
      <c r="AC882" s="113">
        <v>0</v>
      </c>
      <c r="AD882" s="113">
        <v>0</v>
      </c>
      <c r="AF882" s="54">
        <v>30.132499999999997</v>
      </c>
      <c r="AG882" s="28">
        <f>G882-O882</f>
        <v>4</v>
      </c>
      <c r="AH882" s="58">
        <f>IF(ISERROR(AG882/B882*AF882),0,(AG882/B882*AF882))</f>
        <v>120.52999999999999</v>
      </c>
      <c r="AI882" s="28">
        <f>SUM(H882:M882)</f>
        <v>3</v>
      </c>
      <c r="AJ882" s="28">
        <f>IF(ISERROR(AI882/B882*AF882),0,(AI882/B882*AF882))</f>
        <v>90.397499999999994</v>
      </c>
      <c r="AK882" s="58">
        <f>IF(ISERROR(O882/B882*AF882),0,(O882/B882*AF882))</f>
        <v>3826.8274999999994</v>
      </c>
      <c r="AL882" s="28">
        <f>IF(ISERROR(H882/B882*AF882),0,(H882/B882*AF882))</f>
        <v>30.132499999999997</v>
      </c>
      <c r="AN882" s="51" t="str">
        <f>A882</f>
        <v>Sprite</v>
      </c>
      <c r="AO882" s="57">
        <f>IF(ISERROR(IF(B882=C882,D882/C882,(INT(D882/B882)+(((D882-B882*INT(D882/B882)))/C882)/100))),0,(IF(B882=C882,D882/C882,(INT(D882/B882)+(((D882-B882*INT(D882/B882)))/C882)/100))))</f>
        <v>131</v>
      </c>
      <c r="AP882" s="57">
        <f>IF(ISERROR(IF(B882=C882,E882/C882,(INT(E882/B882)+(((E882-B882*INT(E882/B882)))/C882)/100))),0,(IF(B882=C882,E882/C882,(INT(E882/B882)+(((E882-B882*INT(E882/B882)))/C882)/100))))</f>
        <v>0</v>
      </c>
      <c r="AQ882" s="57">
        <f>IF(ISERROR(IF(B882=C882,F882/C882,IF((INT(F882/B882)+(((F882-B882*INT(F882/B882)))/C882)/100)&lt;0,(INT(F882/B882)+(((F882-B882*INT(F882/B882)))/C882)/100)+(1-(B882/C882/100)),(INT(F882/B882)+(((F882-B882*INT(F882/B882)))/C882)/100)))),0,IF(B882=C882,F882/C882,IF((INT(F882/B882)+(((F882-B882*INT(F882/B882)))/C882)/100)&lt;0,(INT(F882/B882)+(((F882-B882*INT(F882/B882)))/C882)/100)+(1-(B882/C882/100)),(INT(F882/B882)+(((F882-B882*INT(F882/B882)))/C882)/100))))</f>
        <v>0</v>
      </c>
      <c r="AR882" s="57">
        <f>IF(ISERROR(IF(B882=C882,G882/C882,(INT(G882/B882)+(((G882-B882*INT(G882/B882)))/C882)/100))),0,(IF(B882=C882,G882/C882,(INT(G882/B882)+(((G882-B882*INT(G882/B882)))/C882)/100))))</f>
        <v>131</v>
      </c>
      <c r="AS882" s="57">
        <f>IF(ISERROR(IF(B882=C882,H882/C882,(INT(H882/B882)+(((H882-B882*INT(H882/B882)))/C882)/100))),0,(IF(B882=C882,H882/C882,(INT(H882/B882)+(((H882-B882*INT(H882/B882)))/C882)/100))))</f>
        <v>1</v>
      </c>
      <c r="AT882" s="57">
        <f>IF(ISERROR(IF(B882=C882,I882/C882,(INT(I882/B882)+(((I882-B882*INT(I882/B882)))/C882)/100))),0,(IF(B882=C882,I882/C882,(INT(I882/B882)+(((I882-B882*INT(I882/B882)))/C882)/100))))</f>
        <v>2</v>
      </c>
      <c r="AU882" s="57">
        <f>IF(ISERROR(IF(B882=C882,J882/C882,(INT(J882/B882)+(((J882-B882*INT(J882/B882)))/C882)/100))),0,(IF(B882=C882,J882/C882,(INT(J882/B882)+(((J882-B882*INT(J882/B882)))/C882)/100))))</f>
        <v>0</v>
      </c>
      <c r="AV882" s="57">
        <f>IF(ISERROR(IF(B882=C882,K882/C882,IF((INT(K882/B882)+(((K882-B882*INT(K882/B882)))/C882)/100)&lt;0,(INT(K882/B882)+(((K882-B882*INT(K882/B882)))/C882)/100)+(1-(B882/C882/100)),(INT(K882/B882)+(((K882-B882*INT(K882/B882)))/C882)/100)))),0,IF(B882=C882,K882/C882,IF((INT(K882/B882)+(((K882-B882*INT(K882/B882)))/C882)/100)&lt;0,(INT(K882/B882)+(((K882-B882*INT(K882/B882)))/C882)/100)+(1-(B882/C882/100)),(INT(K882/B882)+(((K882-B882*INT(K882/B882)))/C882)/100))))</f>
        <v>0</v>
      </c>
      <c r="AW882" s="57">
        <f>IF(ISERROR(IF(B882=C882,L882/C882,(INT(L882/B882)+(((L882-B882*INT(L882/B882)))/C882)/100))),0,(IF(B882=C882,L882/C882,(INT(L882/B882)+(((L882-B882*INT(L882/B882)))/C882)/100))))</f>
        <v>0</v>
      </c>
      <c r="AX882" s="57">
        <f>IF(ISERROR(IF(B882=C882,M882/C882,(INT(M882/B882)+(((M882-B882*INT(M882/B882)))/C882)/100))),0,(IF(B882=C882,M882/C882,(INT(M882/B882)+(((M882-B882*INT(M882/B882)))/C882)/100))))</f>
        <v>0</v>
      </c>
      <c r="AY882" s="57">
        <f>IF(ISERROR(IF(B882=C882,N882/C882,IF((INT(N882/B882)+(((N882-B882*INT(N882/B882)))/C882)/100)&lt;0,(INT(N882/B882)+(((N882-B882*INT(N882/B882)))/C882)/100)+(1-(B882/C882/100)),(INT(N882/B882)+(((N882-B882*INT(N882/B882)))/C882)/100)))),0,IF(B882=C882,N882/C882,IF((INT(N882/B882)+(((N882-B882*INT(N882/B882)))/C882)/100)&lt;0,(INT(N882/B882)+(((N882-B882*INT(N882/B882)))/C882)/100)+(1-(B882/C882/100)),(INT(N882/B882)+(((N882-B882*INT(N882/B882)))/C882)/100))))</f>
        <v>128</v>
      </c>
      <c r="AZ882" s="57">
        <f>IF(ISERROR(IF(B882=C882,O882/C882,(INT(O882/B882)+(((O882-B882*INT(O882/B882)))/C882)/100))),0,(IF(B882=C882,O882/C882,(INT(O882/B882)+(((O882-B882*INT(O882/B882)))/C882)/100))))</f>
        <v>127</v>
      </c>
      <c r="BA882" s="57">
        <f>IF(ISERROR(IF(B882=C882,P882/C882,IF((INT(P882/B882)+(((P882-B882*INT(P882/B882)))/C882)/100)&lt;0,(INT(P882/B882)+(((P882-B882*INT(P882/B882)))/C882)/100)+(1-(B882/C882/100)),(INT(P882/B882)+(((P882-B882*INT(P882/B882)))/C882)/100)))),0,IF(B882=C882,P882/C882,IF((INT(P882/B882)+(((P882-B882*INT(P882/B882)))/C882)/100)&lt;0,(INT(P882/B882)+(((P882-B882*INT(P882/B882)))/C882)/100)+(1-(B882/C882/100)),(INT(P882/B882)+(((P882-B882*INT(P882/B882)))/C882)/100))))</f>
        <v>-1</v>
      </c>
      <c r="BB882" s="28">
        <f>R882</f>
        <v>60</v>
      </c>
      <c r="BC882" s="28">
        <f>S882</f>
        <v>-60</v>
      </c>
      <c r="BD882" s="28">
        <f>AF882</f>
        <v>30.132499999999997</v>
      </c>
      <c r="BE882" s="28">
        <f>T882</f>
        <v>-30.132499999999997</v>
      </c>
      <c r="BG882" s="57">
        <f>IF(ISERROR(IF(B882=C882,V882/C882,(INT(V882/B882)+(((V882-B882*INT(V882/B882)))/C882)/100))),0,(IF(B882=C882,V882/C882,(INT(V882/B882)+(((V882-B882*INT(V882/B882)))/C882)/100))))</f>
        <v>7</v>
      </c>
      <c r="BH882" s="57">
        <f>IF(ISERROR(IF(B882=C882,W882/C882,(INT(W882/B882)+(((W882-B882*INT(W882/B882)))/C882)/100))),0,(IF(B882=C882,W882/C882,(INT(W882/B882)+(((W882-B882*INT(W882/B882)))/C882)/100))))</f>
        <v>120</v>
      </c>
      <c r="BI882" s="57">
        <f>IF(ISERROR(IF(B882=C882,X882/C882,(INT(X882/B882)+(((X882-B882*INT(X882/B882)))/C882)/100))),0,(IF(B882=C882,X882/C882,(INT(X882/B882)+(((X882-B882*INT(X882/B882)))/C882)/100))))</f>
        <v>0</v>
      </c>
      <c r="BJ882" s="57">
        <f>IF(ISERROR(IF(B882=C882,Y882/C882,(INT(Y882/B882)+(((Y882-B882*INT(Y882/B882)))/C882)/100))),0,(IF(B882=C882,Y882/C882,(INT(Y882/B882)+(((Y882-B882*INT(Y882/B882)))/C882)/100))))</f>
        <v>0</v>
      </c>
      <c r="BL882" s="57">
        <f>IF(ISERROR(IF(B882=C882,AA882/C882,(INT(AA882/B882)+(((AA882-B882*INT(AA882/B882)))/C882)/100))),0,(IF(B882=C882,AA882/C882,(INT(AA882/B882)+(((AA882-B882*INT(AA882/B882)))/C882)/100))))</f>
        <v>11</v>
      </c>
      <c r="BM882" s="57">
        <f>IF(ISERROR(IF(B882=C882,AB882/C882,(INT(AB882/B882)+(((AB882-B882*INT(AB882/B882)))/C882)/100))),0,(IF(B882=C882,AB882/C882,(INT(AB882/B882)+(((AB882-B882*INT(AB882/B882)))/C882)/100))))</f>
        <v>120</v>
      </c>
      <c r="BN882" s="57">
        <f>IF(ISERROR(IF(B882=C882,AC882/C882,(INT(AC882/B882)+(((AC882-B882*INT(AC882/B882)))/C882)/100))),0,(IF(B882=C882,AC882/C882,(INT(AC882/B882)+(((AC882-B882*INT(AC882/B882)))/C882)/100))))</f>
        <v>0</v>
      </c>
      <c r="BO882" s="57">
        <f>IF(ISERROR(IF(B882=C882,AD882/C882,(INT(AD882/B882)+(((AD882-B882*INT(AD882/B882)))/C882)/100))),0,(IF(B882=C882,AD882/C882,(INT(AD882/B882)+(((AD882-B882*INT(AD882/B882)))/C882)/100))))</f>
        <v>0</v>
      </c>
      <c r="BQ882" s="124" t="s">
        <v>81</v>
      </c>
    </row>
    <row r="883" spans="1:69" x14ac:dyDescent="0.35">
      <c r="A883" s="134" t="s">
        <v>108</v>
      </c>
      <c r="B883" s="113">
        <v>1</v>
      </c>
      <c r="C883" s="113">
        <v>1</v>
      </c>
      <c r="D883" s="28">
        <f>SUM(AA883:AD883)</f>
        <v>300</v>
      </c>
      <c r="E883" s="125">
        <v>0</v>
      </c>
      <c r="F883" s="113">
        <v>0</v>
      </c>
      <c r="G883" s="28">
        <f>SUM(D883:F883)</f>
        <v>300</v>
      </c>
      <c r="H883" s="125">
        <v>5</v>
      </c>
      <c r="I883" s="113">
        <v>3</v>
      </c>
      <c r="J883" s="113">
        <v>0</v>
      </c>
      <c r="K883" s="113">
        <v>0</v>
      </c>
      <c r="L883" s="113">
        <v>0</v>
      </c>
      <c r="M883" s="113">
        <v>0</v>
      </c>
      <c r="N883" s="28">
        <f>G883-SUM(H883:M883)</f>
        <v>292</v>
      </c>
      <c r="O883" s="28">
        <f>SUM(V883:Y883)</f>
        <v>291</v>
      </c>
      <c r="P883" s="28">
        <f>O883-N883</f>
        <v>-1</v>
      </c>
      <c r="Q883" s="61">
        <f>IF(ISERROR(P883/SUM(H883:L883)),"",P883/SUM(H883:L883))</f>
        <v>-0.125</v>
      </c>
      <c r="R883" s="113">
        <v>60</v>
      </c>
      <c r="S883" s="28">
        <f>IF(ISERROR(P883/C883*R883),0,(P883/C883*R883))</f>
        <v>-60</v>
      </c>
      <c r="T883" s="60">
        <f>IF(ISERROR(P883/B883*AF883),0,(P883/B883*AF883))</f>
        <v>-8.0058333333333334</v>
      </c>
      <c r="V883" s="113">
        <v>3</v>
      </c>
      <c r="W883" s="113">
        <f>12*24</f>
        <v>288</v>
      </c>
      <c r="X883" s="113">
        <v>0</v>
      </c>
      <c r="Y883" s="113">
        <v>0</v>
      </c>
      <c r="AA883" s="113">
        <f>3+6+3</f>
        <v>12</v>
      </c>
      <c r="AB883" s="113">
        <f>12*24</f>
        <v>288</v>
      </c>
      <c r="AC883" s="113">
        <v>0</v>
      </c>
      <c r="AD883" s="113">
        <v>0</v>
      </c>
      <c r="AF883" s="54">
        <v>8.0058333333333334</v>
      </c>
      <c r="AG883" s="28">
        <f>G883-O883</f>
        <v>9</v>
      </c>
      <c r="AH883" s="58">
        <f>IF(ISERROR(AG883/B883*AF883),0,(AG883/B883*AF883))</f>
        <v>72.052499999999995</v>
      </c>
      <c r="AI883" s="28">
        <f>SUM(H883:M883)</f>
        <v>8</v>
      </c>
      <c r="AJ883" s="28">
        <f>IF(ISERROR(AI883/B883*AF883),0,(AI883/B883*AF883))</f>
        <v>64.046666666666667</v>
      </c>
      <c r="AK883" s="58">
        <f>IF(ISERROR(O883/B883*AF883),0,(O883/B883*AF883))</f>
        <v>2329.6975000000002</v>
      </c>
      <c r="AL883" s="28">
        <f>IF(ISERROR(H883/B883*AF883),0,(H883/B883*AF883))</f>
        <v>40.029166666666669</v>
      </c>
      <c r="AN883" s="51" t="str">
        <f>A883</f>
        <v>Soda</v>
      </c>
      <c r="AO883" s="57">
        <f>IF(ISERROR(IF(B883=C883,D883/C883,(INT(D883/B883)+(((D883-B883*INT(D883/B883)))/C883)/100))),0,(IF(B883=C883,D883/C883,(INT(D883/B883)+(((D883-B883*INT(D883/B883)))/C883)/100))))</f>
        <v>300</v>
      </c>
      <c r="AP883" s="57">
        <f>IF(ISERROR(IF(B883=C883,E883/C883,(INT(E883/B883)+(((E883-B883*INT(E883/B883)))/C883)/100))),0,(IF(B883=C883,E883/C883,(INT(E883/B883)+(((E883-B883*INT(E883/B883)))/C883)/100))))</f>
        <v>0</v>
      </c>
      <c r="AQ883" s="57">
        <f>IF(ISERROR(IF(B883=C883,F883/C883,IF((INT(F883/B883)+(((F883-B883*INT(F883/B883)))/C883)/100)&lt;0,(INT(F883/B883)+(((F883-B883*INT(F883/B883)))/C883)/100)+(1-(B883/C883/100)),(INT(F883/B883)+(((F883-B883*INT(F883/B883)))/C883)/100)))),0,IF(B883=C883,F883/C883,IF((INT(F883/B883)+(((F883-B883*INT(F883/B883)))/C883)/100)&lt;0,(INT(F883/B883)+(((F883-B883*INT(F883/B883)))/C883)/100)+(1-(B883/C883/100)),(INT(F883/B883)+(((F883-B883*INT(F883/B883)))/C883)/100))))</f>
        <v>0</v>
      </c>
      <c r="AR883" s="57">
        <f>IF(ISERROR(IF(B883=C883,G883/C883,(INT(G883/B883)+(((G883-B883*INT(G883/B883)))/C883)/100))),0,(IF(B883=C883,G883/C883,(INT(G883/B883)+(((G883-B883*INT(G883/B883)))/C883)/100))))</f>
        <v>300</v>
      </c>
      <c r="AS883" s="57">
        <f>IF(ISERROR(IF(B883=C883,H883/C883,(INT(H883/B883)+(((H883-B883*INT(H883/B883)))/C883)/100))),0,(IF(B883=C883,H883/C883,(INT(H883/B883)+(((H883-B883*INT(H883/B883)))/C883)/100))))</f>
        <v>5</v>
      </c>
      <c r="AT883" s="57">
        <f>IF(ISERROR(IF(B883=C883,I883/C883,(INT(I883/B883)+(((I883-B883*INT(I883/B883)))/C883)/100))),0,(IF(B883=C883,I883/C883,(INT(I883/B883)+(((I883-B883*INT(I883/B883)))/C883)/100))))</f>
        <v>3</v>
      </c>
      <c r="AU883" s="57">
        <f>IF(ISERROR(IF(B883=C883,J883/C883,(INT(J883/B883)+(((J883-B883*INT(J883/B883)))/C883)/100))),0,(IF(B883=C883,J883/C883,(INT(J883/B883)+(((J883-B883*INT(J883/B883)))/C883)/100))))</f>
        <v>0</v>
      </c>
      <c r="AV883" s="57">
        <f>IF(ISERROR(IF(B883=C883,K883/C883,IF((INT(K883/B883)+(((K883-B883*INT(K883/B883)))/C883)/100)&lt;0,(INT(K883/B883)+(((K883-B883*INT(K883/B883)))/C883)/100)+(1-(B883/C883/100)),(INT(K883/B883)+(((K883-B883*INT(K883/B883)))/C883)/100)))),0,IF(B883=C883,K883/C883,IF((INT(K883/B883)+(((K883-B883*INT(K883/B883)))/C883)/100)&lt;0,(INT(K883/B883)+(((K883-B883*INT(K883/B883)))/C883)/100)+(1-(B883/C883/100)),(INT(K883/B883)+(((K883-B883*INT(K883/B883)))/C883)/100))))</f>
        <v>0</v>
      </c>
      <c r="AW883" s="57">
        <f>IF(ISERROR(IF(B883=C883,L883/C883,(INT(L883/B883)+(((L883-B883*INT(L883/B883)))/C883)/100))),0,(IF(B883=C883,L883/C883,(INT(L883/B883)+(((L883-B883*INT(L883/B883)))/C883)/100))))</f>
        <v>0</v>
      </c>
      <c r="AX883" s="57">
        <f>IF(ISERROR(IF(B883=C883,M883/C883,(INT(M883/B883)+(((M883-B883*INT(M883/B883)))/C883)/100))),0,(IF(B883=C883,M883/C883,(INT(M883/B883)+(((M883-B883*INT(M883/B883)))/C883)/100))))</f>
        <v>0</v>
      </c>
      <c r="AY883" s="57">
        <f>IF(ISERROR(IF(B883=C883,N883/C883,IF((INT(N883/B883)+(((N883-B883*INT(N883/B883)))/C883)/100)&lt;0,(INT(N883/B883)+(((N883-B883*INT(N883/B883)))/C883)/100)+(1-(B883/C883/100)),(INT(N883/B883)+(((N883-B883*INT(N883/B883)))/C883)/100)))),0,IF(B883=C883,N883/C883,IF((INT(N883/B883)+(((N883-B883*INT(N883/B883)))/C883)/100)&lt;0,(INT(N883/B883)+(((N883-B883*INT(N883/B883)))/C883)/100)+(1-(B883/C883/100)),(INT(N883/B883)+(((N883-B883*INT(N883/B883)))/C883)/100))))</f>
        <v>292</v>
      </c>
      <c r="AZ883" s="57">
        <f>IF(ISERROR(IF(B883=C883,O883/C883,(INT(O883/B883)+(((O883-B883*INT(O883/B883)))/C883)/100))),0,(IF(B883=C883,O883/C883,(INT(O883/B883)+(((O883-B883*INT(O883/B883)))/C883)/100))))</f>
        <v>291</v>
      </c>
      <c r="BA883" s="57">
        <f>IF(ISERROR(IF(B883=C883,P883/C883,IF((INT(P883/B883)+(((P883-B883*INT(P883/B883)))/C883)/100)&lt;0,(INT(P883/B883)+(((P883-B883*INT(P883/B883)))/C883)/100)+(1-(B883/C883/100)),(INT(P883/B883)+(((P883-B883*INT(P883/B883)))/C883)/100)))),0,IF(B883=C883,P883/C883,IF((INT(P883/B883)+(((P883-B883*INT(P883/B883)))/C883)/100)&lt;0,(INT(P883/B883)+(((P883-B883*INT(P883/B883)))/C883)/100)+(1-(B883/C883/100)),(INT(P883/B883)+(((P883-B883*INT(P883/B883)))/C883)/100))))</f>
        <v>-1</v>
      </c>
      <c r="BB883" s="28">
        <f>R883</f>
        <v>60</v>
      </c>
      <c r="BC883" s="28">
        <f>S883</f>
        <v>-60</v>
      </c>
      <c r="BD883" s="28">
        <f>AF883</f>
        <v>8.0058333333333334</v>
      </c>
      <c r="BE883" s="28">
        <f>T883</f>
        <v>-8.0058333333333334</v>
      </c>
      <c r="BG883" s="57">
        <f>IF(ISERROR(IF(B883=C883,V883/C883,(INT(V883/B883)+(((V883-B883*INT(V883/B883)))/C883)/100))),0,(IF(B883=C883,V883/C883,(INT(V883/B883)+(((V883-B883*INT(V883/B883)))/C883)/100))))</f>
        <v>3</v>
      </c>
      <c r="BH883" s="57">
        <f>IF(ISERROR(IF(B883=C883,W883/C883,(INT(W883/B883)+(((W883-B883*INT(W883/B883)))/C883)/100))),0,(IF(B883=C883,W883/C883,(INT(W883/B883)+(((W883-B883*INT(W883/B883)))/C883)/100))))</f>
        <v>288</v>
      </c>
      <c r="BI883" s="57">
        <f>IF(ISERROR(IF(B883=C883,X883/C883,(INT(X883/B883)+(((X883-B883*INT(X883/B883)))/C883)/100))),0,(IF(B883=C883,X883/C883,(INT(X883/B883)+(((X883-B883*INT(X883/B883)))/C883)/100))))</f>
        <v>0</v>
      </c>
      <c r="BJ883" s="57">
        <f>IF(ISERROR(IF(B883=C883,Y883/C883,(INT(Y883/B883)+(((Y883-B883*INT(Y883/B883)))/C883)/100))),0,(IF(B883=C883,Y883/C883,(INT(Y883/B883)+(((Y883-B883*INT(Y883/B883)))/C883)/100))))</f>
        <v>0</v>
      </c>
      <c r="BL883" s="57">
        <f>IF(ISERROR(IF(B883=C883,AA883/C883,(INT(AA883/B883)+(((AA883-B883*INT(AA883/B883)))/C883)/100))),0,(IF(B883=C883,AA883/C883,(INT(AA883/B883)+(((AA883-B883*INT(AA883/B883)))/C883)/100))))</f>
        <v>12</v>
      </c>
      <c r="BM883" s="57">
        <f>IF(ISERROR(IF(B883=C883,AB883/C883,(INT(AB883/B883)+(((AB883-B883*INT(AB883/B883)))/C883)/100))),0,(IF(B883=C883,AB883/C883,(INT(AB883/B883)+(((AB883-B883*INT(AB883/B883)))/C883)/100))))</f>
        <v>288</v>
      </c>
      <c r="BN883" s="57">
        <f>IF(ISERROR(IF(B883=C883,AC883/C883,(INT(AC883/B883)+(((AC883-B883*INT(AC883/B883)))/C883)/100))),0,(IF(B883=C883,AC883/C883,(INT(AC883/B883)+(((AC883-B883*INT(AC883/B883)))/C883)/100))))</f>
        <v>0</v>
      </c>
      <c r="BO883" s="57">
        <f>IF(ISERROR(IF(B883=C883,AD883/C883,(INT(AD883/B883)+(((AD883-B883*INT(AD883/B883)))/C883)/100))),0,(IF(B883=C883,AD883/C883,(INT(AD883/B883)+(((AD883-B883*INT(AD883/B883)))/C883)/100))))</f>
        <v>0</v>
      </c>
      <c r="BQ883" s="124" t="s">
        <v>81</v>
      </c>
    </row>
    <row r="884" spans="1:69" hidden="1" x14ac:dyDescent="0.35">
      <c r="A884" s="134"/>
      <c r="B884" s="113">
        <v>1</v>
      </c>
      <c r="C884" s="113">
        <v>1</v>
      </c>
      <c r="D884" s="28">
        <f>SUM(AA884:AD884)</f>
        <v>0</v>
      </c>
      <c r="E884" s="125">
        <v>0</v>
      </c>
      <c r="F884" s="113">
        <v>0</v>
      </c>
      <c r="G884" s="28">
        <f>SUM(D884:F884)</f>
        <v>0</v>
      </c>
      <c r="H884" s="125">
        <v>0</v>
      </c>
      <c r="I884" s="125">
        <v>0</v>
      </c>
      <c r="J884" s="125">
        <v>0</v>
      </c>
      <c r="K884" s="125">
        <v>0</v>
      </c>
      <c r="L884" s="113">
        <v>0</v>
      </c>
      <c r="M884" s="113">
        <v>0</v>
      </c>
      <c r="N884" s="28">
        <f>G884-SUM(H884:M884)</f>
        <v>0</v>
      </c>
      <c r="O884" s="28">
        <f>SUM(V884:Y884)</f>
        <v>0</v>
      </c>
      <c r="P884" s="28">
        <f>O884-N884</f>
        <v>0</v>
      </c>
      <c r="Q884" s="61" t="str">
        <f>IF(ISERROR(P884/SUM(H884:L884)),"",P884/SUM(H884:L884))</f>
        <v/>
      </c>
      <c r="R884" s="113">
        <v>0</v>
      </c>
      <c r="S884" s="28">
        <f>IF(ISERROR(P884/C884*R884),0,(P884/C884*R884))</f>
        <v>0</v>
      </c>
      <c r="T884" s="60">
        <f>IF(ISERROR(P884/B884*AF884),0,(P884/B884*AF884))</f>
        <v>0</v>
      </c>
      <c r="V884" s="113">
        <v>0</v>
      </c>
      <c r="W884" s="113">
        <v>0</v>
      </c>
      <c r="X884" s="113">
        <v>0</v>
      </c>
      <c r="Y884" s="113">
        <v>0</v>
      </c>
      <c r="AA884" s="113">
        <v>0</v>
      </c>
      <c r="AB884" s="113">
        <v>0</v>
      </c>
      <c r="AC884" s="113">
        <v>0</v>
      </c>
      <c r="AD884" s="113">
        <v>0</v>
      </c>
      <c r="AF884" s="54">
        <v>8</v>
      </c>
      <c r="AG884" s="28">
        <f>G884-O884</f>
        <v>0</v>
      </c>
      <c r="AH884" s="58">
        <f>IF(ISERROR(AG884/B884*AF884),0,(AG884/B884*AF884))</f>
        <v>0</v>
      </c>
      <c r="AI884" s="28">
        <f>SUM(H884:M884)</f>
        <v>0</v>
      </c>
      <c r="AJ884" s="28">
        <f>IF(ISERROR(AI884/B884*AF884),0,(AI884/B884*AF884))</f>
        <v>0</v>
      </c>
      <c r="AK884" s="58">
        <f>IF(ISERROR(O884/B884*AF884),0,(O884/B884*AF884))</f>
        <v>0</v>
      </c>
      <c r="AL884" s="28">
        <f>IF(ISERROR(H884/B884*AF884),0,(H884/B884*AF884))</f>
        <v>0</v>
      </c>
      <c r="AN884" s="51">
        <f>A884</f>
        <v>0</v>
      </c>
      <c r="AO884" s="57">
        <f>IF(ISERROR(IF(B884=C884,D884/C884,(INT(D884/B884)+(((D884-B884*INT(D884/B884)))/C884)/100))),0,(IF(B884=C884,D884/C884,(INT(D884/B884)+(((D884-B884*INT(D884/B884)))/C884)/100))))</f>
        <v>0</v>
      </c>
      <c r="AP884" s="57">
        <f>IF(ISERROR(IF(B884=C884,E884/C884,(INT(E884/B884)+(((E884-B884*INT(E884/B884)))/C884)/100))),0,(IF(B884=C884,E884/C884,(INT(E884/B884)+(((E884-B884*INT(E884/B884)))/C884)/100))))</f>
        <v>0</v>
      </c>
      <c r="AQ884" s="57">
        <f>IF(ISERROR(IF(B884=C884,F884/C884,IF((INT(F884/B884)+(((F884-B884*INT(F884/B884)))/C884)/100)&lt;0,(INT(F884/B884)+(((F884-B884*INT(F884/B884)))/C884)/100)+(1-(B884/C884/100)),(INT(F884/B884)+(((F884-B884*INT(F884/B884)))/C884)/100)))),0,IF(B884=C884,F884/C884,IF((INT(F884/B884)+(((F884-B884*INT(F884/B884)))/C884)/100)&lt;0,(INT(F884/B884)+(((F884-B884*INT(F884/B884)))/C884)/100)+(1-(B884/C884/100)),(INT(F884/B884)+(((F884-B884*INT(F884/B884)))/C884)/100))))</f>
        <v>0</v>
      </c>
      <c r="AR884" s="57">
        <f>IF(ISERROR(IF(B884=C884,G884/C884,(INT(G884/B884)+(((G884-B884*INT(G884/B884)))/C884)/100))),0,(IF(B884=C884,G884/C884,(INT(G884/B884)+(((G884-B884*INT(G884/B884)))/C884)/100))))</f>
        <v>0</v>
      </c>
      <c r="AS884" s="57">
        <f>IF(ISERROR(IF(B884=C884,H884/C884,(INT(H884/B884)+(((H884-B884*INT(H884/B884)))/C884)/100))),0,(IF(B884=C884,H884/C884,(INT(H884/B884)+(((H884-B884*INT(H884/B884)))/C884)/100))))</f>
        <v>0</v>
      </c>
      <c r="AT884" s="57">
        <f>IF(ISERROR(IF(B884=C884,I884/C884,(INT(I884/B884)+(((I884-B884*INT(I884/B884)))/C884)/100))),0,(IF(B884=C884,I884/C884,(INT(I884/B884)+(((I884-B884*INT(I884/B884)))/C884)/100))))</f>
        <v>0</v>
      </c>
      <c r="AU884" s="57">
        <f>IF(ISERROR(IF(B884=C884,J884/C884,(INT(J884/B884)+(((J884-B884*INT(J884/B884)))/C884)/100))),0,(IF(B884=C884,J884/C884,(INT(J884/B884)+(((J884-B884*INT(J884/B884)))/C884)/100))))</f>
        <v>0</v>
      </c>
      <c r="AV884" s="57">
        <f>IF(ISERROR(IF(B884=C884,K884/C884,IF((INT(K884/B884)+(((K884-B884*INT(K884/B884)))/C884)/100)&lt;0,(INT(K884/B884)+(((K884-B884*INT(K884/B884)))/C884)/100)+(1-(B884/C884/100)),(INT(K884/B884)+(((K884-B884*INT(K884/B884)))/C884)/100)))),0,IF(B884=C884,K884/C884,IF((INT(K884/B884)+(((K884-B884*INT(K884/B884)))/C884)/100)&lt;0,(INT(K884/B884)+(((K884-B884*INT(K884/B884)))/C884)/100)+(1-(B884/C884/100)),(INT(K884/B884)+(((K884-B884*INT(K884/B884)))/C884)/100))))</f>
        <v>0</v>
      </c>
      <c r="AW884" s="57">
        <f>IF(ISERROR(IF(B884=C884,L884/C884,(INT(L884/B884)+(((L884-B884*INT(L884/B884)))/C884)/100))),0,(IF(B884=C884,L884/C884,(INT(L884/B884)+(((L884-B884*INT(L884/B884)))/C884)/100))))</f>
        <v>0</v>
      </c>
      <c r="AX884" s="57">
        <f>IF(ISERROR(IF(B884=C884,M884/C884,(INT(M884/B884)+(((M884-B884*INT(M884/B884)))/C884)/100))),0,(IF(B884=C884,M884/C884,(INT(M884/B884)+(((M884-B884*INT(M884/B884)))/C884)/100))))</f>
        <v>0</v>
      </c>
      <c r="AY884" s="57">
        <f>IF(ISERROR(IF(B884=C884,N884/C884,IF((INT(N884/B884)+(((N884-B884*INT(N884/B884)))/C884)/100)&lt;0,(INT(N884/B884)+(((N884-B884*INT(N884/B884)))/C884)/100)+(1-(B884/C884/100)),(INT(N884/B884)+(((N884-B884*INT(N884/B884)))/C884)/100)))),0,IF(B884=C884,N884/C884,IF((INT(N884/B884)+(((N884-B884*INT(N884/B884)))/C884)/100)&lt;0,(INT(N884/B884)+(((N884-B884*INT(N884/B884)))/C884)/100)+(1-(B884/C884/100)),(INT(N884/B884)+(((N884-B884*INT(N884/B884)))/C884)/100))))</f>
        <v>0</v>
      </c>
      <c r="AZ884" s="57">
        <f>IF(ISERROR(IF(B884=C884,O884/C884,(INT(O884/B884)+(((O884-B884*INT(O884/B884)))/C884)/100))),0,(IF(B884=C884,O884/C884,(INT(O884/B884)+(((O884-B884*INT(O884/B884)))/C884)/100))))</f>
        <v>0</v>
      </c>
      <c r="BA884" s="57">
        <f>IF(ISERROR(IF(B884=C884,P884/C884,IF((INT(P884/B884)+(((P884-B884*INT(P884/B884)))/C884)/100)&lt;0,(INT(P884/B884)+(((P884-B884*INT(P884/B884)))/C884)/100)+(1-(B884/C884/100)),(INT(P884/B884)+(((P884-B884*INT(P884/B884)))/C884)/100)))),0,IF(B884=C884,P884/C884,IF((INT(P884/B884)+(((P884-B884*INT(P884/B884)))/C884)/100)&lt;0,(INT(P884/B884)+(((P884-B884*INT(P884/B884)))/C884)/100)+(1-(B884/C884/100)),(INT(P884/B884)+(((P884-B884*INT(P884/B884)))/C884)/100))))</f>
        <v>0</v>
      </c>
      <c r="BB884" s="28">
        <f>R884</f>
        <v>0</v>
      </c>
      <c r="BC884" s="28">
        <f>S884</f>
        <v>0</v>
      </c>
      <c r="BD884" s="28">
        <f>AF884</f>
        <v>8</v>
      </c>
      <c r="BE884" s="28">
        <f>T884</f>
        <v>0</v>
      </c>
      <c r="BG884" s="57">
        <f>IF(ISERROR(IF(B884=C884,V884/C884,(INT(V884/B884)+(((V884-B884*INT(V884/B884)))/C884)/100))),0,(IF(B884=C884,V884/C884,(INT(V884/B884)+(((V884-B884*INT(V884/B884)))/C884)/100))))</f>
        <v>0</v>
      </c>
      <c r="BH884" s="57">
        <f>IF(ISERROR(IF(B884=C884,W884/C884,(INT(W884/B884)+(((W884-B884*INT(W884/B884)))/C884)/100))),0,(IF(B884=C884,W884/C884,(INT(W884/B884)+(((W884-B884*INT(W884/B884)))/C884)/100))))</f>
        <v>0</v>
      </c>
      <c r="BI884" s="57">
        <f>IF(ISERROR(IF(B884=C884,X884/C884,(INT(X884/B884)+(((X884-B884*INT(X884/B884)))/C884)/100))),0,(IF(B884=C884,X884/C884,(INT(X884/B884)+(((X884-B884*INT(X884/B884)))/C884)/100))))</f>
        <v>0</v>
      </c>
      <c r="BJ884" s="57">
        <f>IF(ISERROR(IF(B884=C884,Y884/C884,(INT(Y884/B884)+(((Y884-B884*INT(Y884/B884)))/C884)/100))),0,(IF(B884=C884,Y884/C884,(INT(Y884/B884)+(((Y884-B884*INT(Y884/B884)))/C884)/100))))</f>
        <v>0</v>
      </c>
      <c r="BL884" s="57">
        <f>IF(ISERROR(IF(B884=C884,AA884/C884,(INT(AA884/B884)+(((AA884-B884*INT(AA884/B884)))/C884)/100))),0,(IF(B884=C884,AA884/C884,(INT(AA884/B884)+(((AA884-B884*INT(AA884/B884)))/C884)/100))))</f>
        <v>0</v>
      </c>
      <c r="BM884" s="57">
        <f>IF(ISERROR(IF(B884=C884,AB884/C884,(INT(AB884/B884)+(((AB884-B884*INT(AB884/B884)))/C884)/100))),0,(IF(B884=C884,AB884/C884,(INT(AB884/B884)+(((AB884-B884*INT(AB884/B884)))/C884)/100))))</f>
        <v>0</v>
      </c>
      <c r="BN884" s="57">
        <f>IF(ISERROR(IF(B884=C884,AC884/C884,(INT(AC884/B884)+(((AC884-B884*INT(AC884/B884)))/C884)/100))),0,(IF(B884=C884,AC884/C884,(INT(AC884/B884)+(((AC884-B884*INT(AC884/B884)))/C884)/100))))</f>
        <v>0</v>
      </c>
      <c r="BO884" s="57">
        <f>IF(ISERROR(IF(B884=C884,AD884/C884,(INT(AD884/B884)+(((AD884-B884*INT(AD884/B884)))/C884)/100))),0,(IF(B884=C884,AD884/C884,(INT(AD884/B884)+(((AD884-B884*INT(AD884/B884)))/C884)/100))))</f>
        <v>0</v>
      </c>
      <c r="BQ884" s="124" t="s">
        <v>81</v>
      </c>
    </row>
    <row r="885" spans="1:69" hidden="1" x14ac:dyDescent="0.35">
      <c r="A885" s="134"/>
      <c r="B885" s="113"/>
      <c r="C885" s="113"/>
      <c r="D885" s="28">
        <f>SUM(AA885:AD885)</f>
        <v>0</v>
      </c>
      <c r="E885" s="125">
        <v>0</v>
      </c>
      <c r="F885" s="113"/>
      <c r="G885" s="28">
        <f>SUM(D885:F885)</f>
        <v>0</v>
      </c>
      <c r="H885" s="125">
        <v>0</v>
      </c>
      <c r="I885" s="125">
        <v>0</v>
      </c>
      <c r="J885" s="125">
        <v>0</v>
      </c>
      <c r="K885" s="125">
        <v>0</v>
      </c>
      <c r="L885" s="113"/>
      <c r="M885" s="113"/>
      <c r="N885" s="28">
        <f>G885-SUM(H885:M885)</f>
        <v>0</v>
      </c>
      <c r="O885" s="28">
        <f>SUM(V885:Y885)</f>
        <v>0</v>
      </c>
      <c r="P885" s="28">
        <f>O885-N885</f>
        <v>0</v>
      </c>
      <c r="Q885" s="61" t="str">
        <f>IF(ISERROR(P885/SUM(H885:L885)),"",P885/SUM(H885:L885))</f>
        <v/>
      </c>
      <c r="R885" s="113"/>
      <c r="S885" s="28">
        <f>IF(ISERROR(P885/C885*R885),0,(P885/C885*R885))</f>
        <v>0</v>
      </c>
      <c r="T885" s="60">
        <f>IF(ISERROR(P885/B885*AF885),0,(P885/B885*AF885))</f>
        <v>0</v>
      </c>
      <c r="V885" s="113"/>
      <c r="W885" s="113"/>
      <c r="X885" s="113"/>
      <c r="Y885" s="113"/>
      <c r="AA885" s="113"/>
      <c r="AB885" s="113"/>
      <c r="AC885" s="113"/>
      <c r="AD885" s="113"/>
      <c r="AF885" s="54"/>
      <c r="AG885" s="28">
        <f>G885-O885</f>
        <v>0</v>
      </c>
      <c r="AH885" s="58">
        <f>IF(ISERROR(AG885/B885*AF885),0,(AG885/B885*AF885))</f>
        <v>0</v>
      </c>
      <c r="AI885" s="28">
        <f>SUM(H885:M885)</f>
        <v>0</v>
      </c>
      <c r="AJ885" s="28">
        <f>IF(ISERROR(AI885/B885*AF885),0,(AI885/B885*AF885))</f>
        <v>0</v>
      </c>
      <c r="AK885" s="58">
        <f>IF(ISERROR(O885/B885*AF885),0,(O885/B885*AF885))</f>
        <v>0</v>
      </c>
      <c r="AL885" s="28">
        <f>IF(ISERROR(H885/B885*AF885),0,(H885/B885*AF885))</f>
        <v>0</v>
      </c>
      <c r="AN885" s="51">
        <f>A885</f>
        <v>0</v>
      </c>
      <c r="AO885" s="57">
        <f>IF(ISERROR(IF(B885=C885,D885/C885,(INT(D885/B885)+(((D885-B885*INT(D885/B885)))/C885)/100))),0,(IF(B885=C885,D885/C885,(INT(D885/B885)+(((D885-B885*INT(D885/B885)))/C885)/100))))</f>
        <v>0</v>
      </c>
      <c r="AP885" s="57">
        <f>IF(ISERROR(IF(B885=C885,E885/C885,(INT(E885/B885)+(((E885-B885*INT(E885/B885)))/C885)/100))),0,(IF(B885=C885,E885/C885,(INT(E885/B885)+(((E885-B885*INT(E885/B885)))/C885)/100))))</f>
        <v>0</v>
      </c>
      <c r="AQ885" s="57">
        <f>IF(ISERROR(IF(B885=C885,F885/C885,IF((INT(F885/B885)+(((F885-B885*INT(F885/B885)))/C885)/100)&lt;0,(INT(F885/B885)+(((F885-B885*INT(F885/B885)))/C885)/100)+(1-(B885/C885/100)),(INT(F885/B885)+(((F885-B885*INT(F885/B885)))/C885)/100)))),0,IF(B885=C885,F885/C885,IF((INT(F885/B885)+(((F885-B885*INT(F885/B885)))/C885)/100)&lt;0,(INT(F885/B885)+(((F885-B885*INT(F885/B885)))/C885)/100)+(1-(B885/C885/100)),(INT(F885/B885)+(((F885-B885*INT(F885/B885)))/C885)/100))))</f>
        <v>0</v>
      </c>
      <c r="AR885" s="57">
        <f>IF(ISERROR(IF(B885=C885,G885/C885,(INT(G885/B885)+(((G885-B885*INT(G885/B885)))/C885)/100))),0,(IF(B885=C885,G885/C885,(INT(G885/B885)+(((G885-B885*INT(G885/B885)))/C885)/100))))</f>
        <v>0</v>
      </c>
      <c r="AS885" s="57">
        <f>IF(ISERROR(IF(B885=C885,H885/C885,(INT(H885/B885)+(((H885-B885*INT(H885/B885)))/C885)/100))),0,(IF(B885=C885,H885/C885,(INT(H885/B885)+(((H885-B885*INT(H885/B885)))/C885)/100))))</f>
        <v>0</v>
      </c>
      <c r="AT885" s="57">
        <f>IF(ISERROR(IF(B885=C885,I885/C885,(INT(I885/B885)+(((I885-B885*INT(I885/B885)))/C885)/100))),0,(IF(B885=C885,I885/C885,(INT(I885/B885)+(((I885-B885*INT(I885/B885)))/C885)/100))))</f>
        <v>0</v>
      </c>
      <c r="AU885" s="57">
        <f>IF(ISERROR(IF(B885=C885,J885/C885,(INT(J885/B885)+(((J885-B885*INT(J885/B885)))/C885)/100))),0,(IF(B885=C885,J885/C885,(INT(J885/B885)+(((J885-B885*INT(J885/B885)))/C885)/100))))</f>
        <v>0</v>
      </c>
      <c r="AV885" s="57">
        <f>IF(ISERROR(IF(B885=C885,K885/C885,IF((INT(K885/B885)+(((K885-B885*INT(K885/B885)))/C885)/100)&lt;0,(INT(K885/B885)+(((K885-B885*INT(K885/B885)))/C885)/100)+(1-(B885/C885/100)),(INT(K885/B885)+(((K885-B885*INT(K885/B885)))/C885)/100)))),0,IF(B885=C885,K885/C885,IF((INT(K885/B885)+(((K885-B885*INT(K885/B885)))/C885)/100)&lt;0,(INT(K885/B885)+(((K885-B885*INT(K885/B885)))/C885)/100)+(1-(B885/C885/100)),(INT(K885/B885)+(((K885-B885*INT(K885/B885)))/C885)/100))))</f>
        <v>0</v>
      </c>
      <c r="AW885" s="57">
        <f>IF(ISERROR(IF(B885=C885,L885/C885,(INT(L885/B885)+(((L885-B885*INT(L885/B885)))/C885)/100))),0,(IF(B885=C885,L885/C885,(INT(L885/B885)+(((L885-B885*INT(L885/B885)))/C885)/100))))</f>
        <v>0</v>
      </c>
      <c r="AX885" s="57">
        <f>IF(ISERROR(IF(B885=C885,M885/C885,(INT(M885/B885)+(((M885-B885*INT(M885/B885)))/C885)/100))),0,(IF(B885=C885,M885/C885,(INT(M885/B885)+(((M885-B885*INT(M885/B885)))/C885)/100))))</f>
        <v>0</v>
      </c>
      <c r="AY885" s="57">
        <f>IF(ISERROR(IF(B885=C885,N885/C885,IF((INT(N885/B885)+(((N885-B885*INT(N885/B885)))/C885)/100)&lt;0,(INT(N885/B885)+(((N885-B885*INT(N885/B885)))/C885)/100)+(1-(B885/C885/100)),(INT(N885/B885)+(((N885-B885*INT(N885/B885)))/C885)/100)))),0,IF(B885=C885,N885/C885,IF((INT(N885/B885)+(((N885-B885*INT(N885/B885)))/C885)/100)&lt;0,(INT(N885/B885)+(((N885-B885*INT(N885/B885)))/C885)/100)+(1-(B885/C885/100)),(INT(N885/B885)+(((N885-B885*INT(N885/B885)))/C885)/100))))</f>
        <v>0</v>
      </c>
      <c r="AZ885" s="57">
        <f>IF(ISERROR(IF(B885=C885,O885/C885,(INT(O885/B885)+(((O885-B885*INT(O885/B885)))/C885)/100))),0,(IF(B885=C885,O885/C885,(INT(O885/B885)+(((O885-B885*INT(O885/B885)))/C885)/100))))</f>
        <v>0</v>
      </c>
      <c r="BA885" s="57">
        <f>IF(ISERROR(IF(B885=C885,P885/C885,IF((INT(P885/B885)+(((P885-B885*INT(P885/B885)))/C885)/100)&lt;0,(INT(P885/B885)+(((P885-B885*INT(P885/B885)))/C885)/100)+(1-(B885/C885/100)),(INT(P885/B885)+(((P885-B885*INT(P885/B885)))/C885)/100)))),0,IF(B885=C885,P885/C885,IF((INT(P885/B885)+(((P885-B885*INT(P885/B885)))/C885)/100)&lt;0,(INT(P885/B885)+(((P885-B885*INT(P885/B885)))/C885)/100)+(1-(B885/C885/100)),(INT(P885/B885)+(((P885-B885*INT(P885/B885)))/C885)/100))))</f>
        <v>0</v>
      </c>
      <c r="BB885" s="28">
        <f>R885</f>
        <v>0</v>
      </c>
      <c r="BC885" s="28">
        <f>S885</f>
        <v>0</v>
      </c>
      <c r="BD885" s="28">
        <f>AF885</f>
        <v>0</v>
      </c>
      <c r="BE885" s="28">
        <f>T885</f>
        <v>0</v>
      </c>
      <c r="BG885" s="57">
        <f>IF(ISERROR(IF(B885=C885,V885/C885,(INT(V885/B885)+(((V885-B885*INT(V885/B885)))/C885)/100))),0,(IF(B885=C885,V885/C885,(INT(V885/B885)+(((V885-B885*INT(V885/B885)))/C885)/100))))</f>
        <v>0</v>
      </c>
      <c r="BH885" s="57">
        <f>IF(ISERROR(IF(B885=C885,W885/C885,(INT(W885/B885)+(((W885-B885*INT(W885/B885)))/C885)/100))),0,(IF(B885=C885,W885/C885,(INT(W885/B885)+(((W885-B885*INT(W885/B885)))/C885)/100))))</f>
        <v>0</v>
      </c>
      <c r="BI885" s="57">
        <f>IF(ISERROR(IF(B885=C885,X885/C885,(INT(X885/B885)+(((X885-B885*INT(X885/B885)))/C885)/100))),0,(IF(B885=C885,X885/C885,(INT(X885/B885)+(((X885-B885*INT(X885/B885)))/C885)/100))))</f>
        <v>0</v>
      </c>
      <c r="BJ885" s="57">
        <f>IF(ISERROR(IF(B885=C885,Y885/C885,(INT(Y885/B885)+(((Y885-B885*INT(Y885/B885)))/C885)/100))),0,(IF(B885=C885,Y885/C885,(INT(Y885/B885)+(((Y885-B885*INT(Y885/B885)))/C885)/100))))</f>
        <v>0</v>
      </c>
      <c r="BL885" s="57">
        <f>IF(ISERROR(IF(B885=C885,AA885/C885,(INT(AA885/B885)+(((AA885-B885*INT(AA885/B885)))/C885)/100))),0,(IF(B885=C885,AA885/C885,(INT(AA885/B885)+(((AA885-B885*INT(AA885/B885)))/C885)/100))))</f>
        <v>0</v>
      </c>
      <c r="BM885" s="57">
        <f>IF(ISERROR(IF(B885=C885,AB885/C885,(INT(AB885/B885)+(((AB885-B885*INT(AB885/B885)))/C885)/100))),0,(IF(B885=C885,AB885/C885,(INT(AB885/B885)+(((AB885-B885*INT(AB885/B885)))/C885)/100))))</f>
        <v>0</v>
      </c>
      <c r="BN885" s="57">
        <f>IF(ISERROR(IF(B885=C885,AC885/C885,(INT(AC885/B885)+(((AC885-B885*INT(AC885/B885)))/C885)/100))),0,(IF(B885=C885,AC885/C885,(INT(AC885/B885)+(((AC885-B885*INT(AC885/B885)))/C885)/100))))</f>
        <v>0</v>
      </c>
      <c r="BO885" s="57">
        <f>IF(ISERROR(IF(B885=C885,AD885/C885,(INT(AD885/B885)+(((AD885-B885*INT(AD885/B885)))/C885)/100))),0,(IF(B885=C885,AD885/C885,(INT(AD885/B885)+(((AD885-B885*INT(AD885/B885)))/C885)/100))))</f>
        <v>0</v>
      </c>
      <c r="BQ885" s="124" t="s">
        <v>81</v>
      </c>
    </row>
    <row r="886" spans="1:69" hidden="1" x14ac:dyDescent="0.35">
      <c r="A886" s="134"/>
      <c r="B886" s="113">
        <v>1</v>
      </c>
      <c r="C886" s="113">
        <v>1</v>
      </c>
      <c r="D886" s="28">
        <f>SUM(AA886:AD886)</f>
        <v>0</v>
      </c>
      <c r="E886" s="125">
        <v>0</v>
      </c>
      <c r="F886" s="113">
        <v>0</v>
      </c>
      <c r="G886" s="28">
        <f>SUM(D886:F886)</f>
        <v>0</v>
      </c>
      <c r="H886" s="125">
        <v>0</v>
      </c>
      <c r="I886" s="125">
        <v>0</v>
      </c>
      <c r="J886" s="125">
        <v>0</v>
      </c>
      <c r="K886" s="125">
        <v>0</v>
      </c>
      <c r="L886" s="113">
        <v>0</v>
      </c>
      <c r="M886" s="113">
        <v>0</v>
      </c>
      <c r="N886" s="28">
        <f>G886-SUM(H886:M886)</f>
        <v>0</v>
      </c>
      <c r="O886" s="28">
        <f>SUM(V886:Y886)</f>
        <v>0</v>
      </c>
      <c r="P886" s="28">
        <f>O886-N886</f>
        <v>0</v>
      </c>
      <c r="Q886" s="61" t="str">
        <f>IF(ISERROR(P886/SUM(H886:L886)),"",P886/SUM(H886:L886))</f>
        <v/>
      </c>
      <c r="R886" s="113">
        <v>0</v>
      </c>
      <c r="S886" s="28">
        <f>IF(ISERROR(P886/C886*R886),0,(P886/C886*R886))</f>
        <v>0</v>
      </c>
      <c r="T886" s="60">
        <f>IF(ISERROR(P886/B886*AF886),0,(P886/B886*AF886))</f>
        <v>0</v>
      </c>
      <c r="V886" s="113">
        <v>0</v>
      </c>
      <c r="W886" s="113">
        <v>0</v>
      </c>
      <c r="X886" s="113">
        <v>0</v>
      </c>
      <c r="Y886" s="113">
        <v>0</v>
      </c>
      <c r="AA886" s="113">
        <v>0</v>
      </c>
      <c r="AB886" s="113">
        <v>0</v>
      </c>
      <c r="AC886" s="113">
        <v>0</v>
      </c>
      <c r="AD886" s="113">
        <v>0</v>
      </c>
      <c r="AF886" s="54">
        <v>0</v>
      </c>
      <c r="AG886" s="28">
        <f>G886-O886</f>
        <v>0</v>
      </c>
      <c r="AH886" s="58">
        <f>IF(ISERROR(AG886/B886*AF886),0,(AG886/B886*AF886))</f>
        <v>0</v>
      </c>
      <c r="AI886" s="28">
        <f>SUM(H886:M886)</f>
        <v>0</v>
      </c>
      <c r="AJ886" s="28">
        <f>IF(ISERROR(AI886/B886*AF886),0,(AI886/B886*AF886))</f>
        <v>0</v>
      </c>
      <c r="AK886" s="58">
        <f>IF(ISERROR(O886/B886*AF886),0,(O886/B886*AF886))</f>
        <v>0</v>
      </c>
      <c r="AL886" s="28">
        <f>IF(ISERROR(H886/B886*AF886),0,(H886/B886*AF886))</f>
        <v>0</v>
      </c>
      <c r="AN886" s="51">
        <f>A886</f>
        <v>0</v>
      </c>
      <c r="AO886" s="57">
        <f>IF(ISERROR(IF(B886=C886,D886/C886,(INT(D886/B886)+(((D886-B886*INT(D886/B886)))/C886)/100))),0,(IF(B886=C886,D886/C886,(INT(D886/B886)+(((D886-B886*INT(D886/B886)))/C886)/100))))</f>
        <v>0</v>
      </c>
      <c r="AP886" s="57">
        <f>IF(ISERROR(IF(B886=C886,E886/C886,(INT(E886/B886)+(((E886-B886*INT(E886/B886)))/C886)/100))),0,(IF(B886=C886,E886/C886,(INT(E886/B886)+(((E886-B886*INT(E886/B886)))/C886)/100))))</f>
        <v>0</v>
      </c>
      <c r="AQ886" s="57">
        <f>IF(ISERROR(IF(B886=C886,F886/C886,IF((INT(F886/B886)+(((F886-B886*INT(F886/B886)))/C886)/100)&lt;0,(INT(F886/B886)+(((F886-B886*INT(F886/B886)))/C886)/100)+(1-(B886/C886/100)),(INT(F886/B886)+(((F886-B886*INT(F886/B886)))/C886)/100)))),0,IF(B886=C886,F886/C886,IF((INT(F886/B886)+(((F886-B886*INT(F886/B886)))/C886)/100)&lt;0,(INT(F886/B886)+(((F886-B886*INT(F886/B886)))/C886)/100)+(1-(B886/C886/100)),(INT(F886/B886)+(((F886-B886*INT(F886/B886)))/C886)/100))))</f>
        <v>0</v>
      </c>
      <c r="AR886" s="57">
        <f>IF(ISERROR(IF(B886=C886,G886/C886,(INT(G886/B886)+(((G886-B886*INT(G886/B886)))/C886)/100))),0,(IF(B886=C886,G886/C886,(INT(G886/B886)+(((G886-B886*INT(G886/B886)))/C886)/100))))</f>
        <v>0</v>
      </c>
      <c r="AS886" s="57">
        <f>IF(ISERROR(IF(B886=C886,H886/C886,(INT(H886/B886)+(((H886-B886*INT(H886/B886)))/C886)/100))),0,(IF(B886=C886,H886/C886,(INT(H886/B886)+(((H886-B886*INT(H886/B886)))/C886)/100))))</f>
        <v>0</v>
      </c>
      <c r="AT886" s="57">
        <f>IF(ISERROR(IF(B886=C886,I886/C886,(INT(I886/B886)+(((I886-B886*INT(I886/B886)))/C886)/100))),0,(IF(B886=C886,I886/C886,(INT(I886/B886)+(((I886-B886*INT(I886/B886)))/C886)/100))))</f>
        <v>0</v>
      </c>
      <c r="AU886" s="57">
        <f>IF(ISERROR(IF(B886=C886,J886/C886,(INT(J886/B886)+(((J886-B886*INT(J886/B886)))/C886)/100))),0,(IF(B886=C886,J886/C886,(INT(J886/B886)+(((J886-B886*INT(J886/B886)))/C886)/100))))</f>
        <v>0</v>
      </c>
      <c r="AV886" s="57">
        <f>IF(ISERROR(IF(B886=C886,K886/C886,IF((INT(K886/B886)+(((K886-B886*INT(K886/B886)))/C886)/100)&lt;0,(INT(K886/B886)+(((K886-B886*INT(K886/B886)))/C886)/100)+(1-(B886/C886/100)),(INT(K886/B886)+(((K886-B886*INT(K886/B886)))/C886)/100)))),0,IF(B886=C886,K886/C886,IF((INT(K886/B886)+(((K886-B886*INT(K886/B886)))/C886)/100)&lt;0,(INT(K886/B886)+(((K886-B886*INT(K886/B886)))/C886)/100)+(1-(B886/C886/100)),(INT(K886/B886)+(((K886-B886*INT(K886/B886)))/C886)/100))))</f>
        <v>0</v>
      </c>
      <c r="AW886" s="57">
        <f>IF(ISERROR(IF(B886=C886,L886/C886,(INT(L886/B886)+(((L886-B886*INT(L886/B886)))/C886)/100))),0,(IF(B886=C886,L886/C886,(INT(L886/B886)+(((L886-B886*INT(L886/B886)))/C886)/100))))</f>
        <v>0</v>
      </c>
      <c r="AX886" s="57">
        <f>IF(ISERROR(IF(B886=C886,M886/C886,(INT(M886/B886)+(((M886-B886*INT(M886/B886)))/C886)/100))),0,(IF(B886=C886,M886/C886,(INT(M886/B886)+(((M886-B886*INT(M886/B886)))/C886)/100))))</f>
        <v>0</v>
      </c>
      <c r="AY886" s="57">
        <f>IF(ISERROR(IF(B886=C886,N886/C886,IF((INT(N886/B886)+(((N886-B886*INT(N886/B886)))/C886)/100)&lt;0,(INT(N886/B886)+(((N886-B886*INT(N886/B886)))/C886)/100)+(1-(B886/C886/100)),(INT(N886/B886)+(((N886-B886*INT(N886/B886)))/C886)/100)))),0,IF(B886=C886,N886/C886,IF((INT(N886/B886)+(((N886-B886*INT(N886/B886)))/C886)/100)&lt;0,(INT(N886/B886)+(((N886-B886*INT(N886/B886)))/C886)/100)+(1-(B886/C886/100)),(INT(N886/B886)+(((N886-B886*INT(N886/B886)))/C886)/100))))</f>
        <v>0</v>
      </c>
      <c r="AZ886" s="57">
        <f>IF(ISERROR(IF(B886=C886,O886/C886,(INT(O886/B886)+(((O886-B886*INT(O886/B886)))/C886)/100))),0,(IF(B886=C886,O886/C886,(INT(O886/B886)+(((O886-B886*INT(O886/B886)))/C886)/100))))</f>
        <v>0</v>
      </c>
      <c r="BA886" s="57">
        <f>IF(ISERROR(IF(B886=C886,P886/C886,IF((INT(P886/B886)+(((P886-B886*INT(P886/B886)))/C886)/100)&lt;0,(INT(P886/B886)+(((P886-B886*INT(P886/B886)))/C886)/100)+(1-(B886/C886/100)),(INT(P886/B886)+(((P886-B886*INT(P886/B886)))/C886)/100)))),0,IF(B886=C886,P886/C886,IF((INT(P886/B886)+(((P886-B886*INT(P886/B886)))/C886)/100)&lt;0,(INT(P886/B886)+(((P886-B886*INT(P886/B886)))/C886)/100)+(1-(B886/C886/100)),(INT(P886/B886)+(((P886-B886*INT(P886/B886)))/C886)/100))))</f>
        <v>0</v>
      </c>
      <c r="BB886" s="28">
        <f>R886</f>
        <v>0</v>
      </c>
      <c r="BC886" s="28">
        <f>S886</f>
        <v>0</v>
      </c>
      <c r="BD886" s="28">
        <f>AF886</f>
        <v>0</v>
      </c>
      <c r="BE886" s="28">
        <f>T886</f>
        <v>0</v>
      </c>
      <c r="BG886" s="57">
        <f>IF(ISERROR(IF(B886=C886,V886/C886,(INT(V886/B886)+(((V886-B886*INT(V886/B886)))/C886)/100))),0,(IF(B886=C886,V886/C886,(INT(V886/B886)+(((V886-B886*INT(V886/B886)))/C886)/100))))</f>
        <v>0</v>
      </c>
      <c r="BH886" s="57">
        <f>IF(ISERROR(IF(B886=C886,W886/C886,(INT(W886/B886)+(((W886-B886*INT(W886/B886)))/C886)/100))),0,(IF(B886=C886,W886/C886,(INT(W886/B886)+(((W886-B886*INT(W886/B886)))/C886)/100))))</f>
        <v>0</v>
      </c>
      <c r="BI886" s="57">
        <f>IF(ISERROR(IF(B886=C886,X886/C886,(INT(X886/B886)+(((X886-B886*INT(X886/B886)))/C886)/100))),0,(IF(B886=C886,X886/C886,(INT(X886/B886)+(((X886-B886*INT(X886/B886)))/C886)/100))))</f>
        <v>0</v>
      </c>
      <c r="BJ886" s="57">
        <f>IF(ISERROR(IF(B886=C886,Y886/C886,(INT(Y886/B886)+(((Y886-B886*INT(Y886/B886)))/C886)/100))),0,(IF(B886=C886,Y886/C886,(INT(Y886/B886)+(((Y886-B886*INT(Y886/B886)))/C886)/100))))</f>
        <v>0</v>
      </c>
      <c r="BL886" s="57">
        <f>IF(ISERROR(IF(B886=C886,AA886/C886,(INT(AA886/B886)+(((AA886-B886*INT(AA886/B886)))/C886)/100))),0,(IF(B886=C886,AA886/C886,(INT(AA886/B886)+(((AA886-B886*INT(AA886/B886)))/C886)/100))))</f>
        <v>0</v>
      </c>
      <c r="BM886" s="57">
        <f>IF(ISERROR(IF(B886=C886,AB886/C886,(INT(AB886/B886)+(((AB886-B886*INT(AB886/B886)))/C886)/100))),0,(IF(B886=C886,AB886/C886,(INT(AB886/B886)+(((AB886-B886*INT(AB886/B886)))/C886)/100))))</f>
        <v>0</v>
      </c>
      <c r="BN886" s="57">
        <f>IF(ISERROR(IF(B886=C886,AC886/C886,(INT(AC886/B886)+(((AC886-B886*INT(AC886/B886)))/C886)/100))),0,(IF(B886=C886,AC886/C886,(INT(AC886/B886)+(((AC886-B886*INT(AC886/B886)))/C886)/100))))</f>
        <v>0</v>
      </c>
      <c r="BO886" s="57">
        <f>IF(ISERROR(IF(B886=C886,AD886/C886,(INT(AD886/B886)+(((AD886-B886*INT(AD886/B886)))/C886)/100))),0,(IF(B886=C886,AD886/C886,(INT(AD886/B886)+(((AD886-B886*INT(AD886/B886)))/C886)/100))))</f>
        <v>0</v>
      </c>
      <c r="BQ886" s="124" t="s">
        <v>81</v>
      </c>
    </row>
    <row r="887" spans="1:69" hidden="1" x14ac:dyDescent="0.35">
      <c r="A887" s="94"/>
      <c r="B887" s="113">
        <v>0</v>
      </c>
      <c r="C887" s="113">
        <v>0</v>
      </c>
      <c r="D887" s="28">
        <f>SUM(AA887:AD887)</f>
        <v>0</v>
      </c>
      <c r="E887" s="125">
        <v>0</v>
      </c>
      <c r="F887" s="113">
        <v>0</v>
      </c>
      <c r="G887" s="28">
        <f>SUM(D887:F887)</f>
        <v>0</v>
      </c>
      <c r="H887" s="125">
        <v>0</v>
      </c>
      <c r="I887" s="125">
        <v>0</v>
      </c>
      <c r="J887" s="125">
        <v>0</v>
      </c>
      <c r="K887" s="125">
        <v>0</v>
      </c>
      <c r="L887" s="113">
        <v>0</v>
      </c>
      <c r="M887" s="113">
        <v>0</v>
      </c>
      <c r="N887" s="28">
        <f>G887-SUM(H887:M887)</f>
        <v>0</v>
      </c>
      <c r="O887" s="28">
        <f>SUM(V887:Y887)</f>
        <v>0</v>
      </c>
      <c r="P887" s="28">
        <f>O887-N887</f>
        <v>0</v>
      </c>
      <c r="Q887" s="61" t="str">
        <f>IF(ISERROR(P887/SUM(H887:L887)),"",P887/SUM(H887:L887))</f>
        <v/>
      </c>
      <c r="R887" s="113">
        <v>0</v>
      </c>
      <c r="S887" s="28">
        <f>IF(ISERROR(P887/C887*R887),0,(P887/C887*R887))</f>
        <v>0</v>
      </c>
      <c r="T887" s="60">
        <f>IF(ISERROR(P887/B887*AF887),0,(P887/B887*AF887))</f>
        <v>0</v>
      </c>
      <c r="V887" s="113">
        <v>0</v>
      </c>
      <c r="W887" s="113">
        <v>0</v>
      </c>
      <c r="X887" s="113">
        <v>0</v>
      </c>
      <c r="Y887" s="113">
        <v>0</v>
      </c>
      <c r="AA887" s="113">
        <v>0</v>
      </c>
      <c r="AB887" s="113">
        <v>0</v>
      </c>
      <c r="AC887" s="113">
        <v>0</v>
      </c>
      <c r="AD887" s="113">
        <v>0</v>
      </c>
      <c r="AF887" s="54">
        <v>0</v>
      </c>
      <c r="AG887" s="28">
        <f>G887-O887</f>
        <v>0</v>
      </c>
      <c r="AH887" s="58">
        <f>IF(ISERROR(AG887/B887*AF887),0,(AG887/B887*AF887))</f>
        <v>0</v>
      </c>
      <c r="AI887" s="28">
        <f>SUM(H887:M887)</f>
        <v>0</v>
      </c>
      <c r="AJ887" s="28">
        <f>IF(ISERROR(AI887/B887*AF887),0,(AI887/B887*AF887))</f>
        <v>0</v>
      </c>
      <c r="AK887" s="58">
        <f>IF(ISERROR(O887/B887*AF887),0,(O887/B887*AF887))</f>
        <v>0</v>
      </c>
      <c r="AL887" s="28">
        <f>IF(ISERROR(H887/B887*AF887),0,(H887/B887*AF887))</f>
        <v>0</v>
      </c>
      <c r="AN887" s="51">
        <f>A887</f>
        <v>0</v>
      </c>
      <c r="AO887" s="57">
        <f>IF(ISERROR(IF(B887=C887,D887/C887,(INT(D887/B887)+(((D887-B887*INT(D887/B887)))/C887)/100))),0,(IF(B887=C887,D887/C887,(INT(D887/B887)+(((D887-B887*INT(D887/B887)))/C887)/100))))</f>
        <v>0</v>
      </c>
      <c r="AP887" s="57">
        <f>IF(ISERROR(IF(B887=C887,E887/C887,(INT(E887/B887)+(((E887-B887*INT(E887/B887)))/C887)/100))),0,(IF(B887=C887,E887/C887,(INT(E887/B887)+(((E887-B887*INT(E887/B887)))/C887)/100))))</f>
        <v>0</v>
      </c>
      <c r="AQ887" s="57">
        <f>IF(ISERROR(IF(B887=C887,F887/C887,IF((INT(F887/B887)+(((F887-B887*INT(F887/B887)))/C887)/100)&lt;0,(INT(F887/B887)+(((F887-B887*INT(F887/B887)))/C887)/100)+(1-(B887/C887/100)),(INT(F887/B887)+(((F887-B887*INT(F887/B887)))/C887)/100)))),0,IF(B887=C887,F887/C887,IF((INT(F887/B887)+(((F887-B887*INT(F887/B887)))/C887)/100)&lt;0,(INT(F887/B887)+(((F887-B887*INT(F887/B887)))/C887)/100)+(1-(B887/C887/100)),(INT(F887/B887)+(((F887-B887*INT(F887/B887)))/C887)/100))))</f>
        <v>0</v>
      </c>
      <c r="AR887" s="57">
        <f>IF(ISERROR(IF(B887=C887,G887/C887,(INT(G887/B887)+(((G887-B887*INT(G887/B887)))/C887)/100))),0,(IF(B887=C887,G887/C887,(INT(G887/B887)+(((G887-B887*INT(G887/B887)))/C887)/100))))</f>
        <v>0</v>
      </c>
      <c r="AS887" s="57">
        <f>IF(ISERROR(IF(B887=C887,H887/C887,(INT(H887/B887)+(((H887-B887*INT(H887/B887)))/C887)/100))),0,(IF(B887=C887,H887/C887,(INT(H887/B887)+(((H887-B887*INT(H887/B887)))/C887)/100))))</f>
        <v>0</v>
      </c>
      <c r="AT887" s="57">
        <f>IF(ISERROR(IF(B887=C887,I887/C887,(INT(I887/B887)+(((I887-B887*INT(I887/B887)))/C887)/100))),0,(IF(B887=C887,I887/C887,(INT(I887/B887)+(((I887-B887*INT(I887/B887)))/C887)/100))))</f>
        <v>0</v>
      </c>
      <c r="AU887" s="57">
        <f>IF(ISERROR(IF(B887=C887,J887/C887,(INT(J887/B887)+(((J887-B887*INT(J887/B887)))/C887)/100))),0,(IF(B887=C887,J887/C887,(INT(J887/B887)+(((J887-B887*INT(J887/B887)))/C887)/100))))</f>
        <v>0</v>
      </c>
      <c r="AV887" s="57">
        <f>IF(ISERROR(IF(B887=C887,K887/C887,IF((INT(K887/B887)+(((K887-B887*INT(K887/B887)))/C887)/100)&lt;0,(INT(K887/B887)+(((K887-B887*INT(K887/B887)))/C887)/100)+(1-(B887/C887/100)),(INT(K887/B887)+(((K887-B887*INT(K887/B887)))/C887)/100)))),0,IF(B887=C887,K887/C887,IF((INT(K887/B887)+(((K887-B887*INT(K887/B887)))/C887)/100)&lt;0,(INT(K887/B887)+(((K887-B887*INT(K887/B887)))/C887)/100)+(1-(B887/C887/100)),(INT(K887/B887)+(((K887-B887*INT(K887/B887)))/C887)/100))))</f>
        <v>0</v>
      </c>
      <c r="AW887" s="57">
        <f>IF(ISERROR(IF(B887=C887,L887/C887,(INT(L887/B887)+(((L887-B887*INT(L887/B887)))/C887)/100))),0,(IF(B887=C887,L887/C887,(INT(L887/B887)+(((L887-B887*INT(L887/B887)))/C887)/100))))</f>
        <v>0</v>
      </c>
      <c r="AX887" s="57">
        <f>IF(ISERROR(IF(B887=C887,M887/C887,(INT(M887/B887)+(((M887-B887*INT(M887/B887)))/C887)/100))),0,(IF(B887=C887,M887/C887,(INT(M887/B887)+(((M887-B887*INT(M887/B887)))/C887)/100))))</f>
        <v>0</v>
      </c>
      <c r="AY887" s="57">
        <f>IF(ISERROR(IF(B887=C887,N887/C887,IF((INT(N887/B887)+(((N887-B887*INT(N887/B887)))/C887)/100)&lt;0,(INT(N887/B887)+(((N887-B887*INT(N887/B887)))/C887)/100)+(1-(B887/C887/100)),(INT(N887/B887)+(((N887-B887*INT(N887/B887)))/C887)/100)))),0,IF(B887=C887,N887/C887,IF((INT(N887/B887)+(((N887-B887*INT(N887/B887)))/C887)/100)&lt;0,(INT(N887/B887)+(((N887-B887*INT(N887/B887)))/C887)/100)+(1-(B887/C887/100)),(INT(N887/B887)+(((N887-B887*INT(N887/B887)))/C887)/100))))</f>
        <v>0</v>
      </c>
      <c r="AZ887" s="57">
        <f>IF(ISERROR(IF(B887=C887,O887/C887,(INT(O887/B887)+(((O887-B887*INT(O887/B887)))/C887)/100))),0,(IF(B887=C887,O887/C887,(INT(O887/B887)+(((O887-B887*INT(O887/B887)))/C887)/100))))</f>
        <v>0</v>
      </c>
      <c r="BA887" s="57">
        <f>IF(ISERROR(IF(B887=C887,P887/C887,IF((INT(P887/B887)+(((P887-B887*INT(P887/B887)))/C887)/100)&lt;0,(INT(P887/B887)+(((P887-B887*INT(P887/B887)))/C887)/100)+(1-(B887/C887/100)),(INT(P887/B887)+(((P887-B887*INT(P887/B887)))/C887)/100)))),0,IF(B887=C887,P887/C887,IF((INT(P887/B887)+(((P887-B887*INT(P887/B887)))/C887)/100)&lt;0,(INT(P887/B887)+(((P887-B887*INT(P887/B887)))/C887)/100)+(1-(B887/C887/100)),(INT(P887/B887)+(((P887-B887*INT(P887/B887)))/C887)/100))))</f>
        <v>0</v>
      </c>
      <c r="BB887" s="28">
        <f>R887</f>
        <v>0</v>
      </c>
      <c r="BC887" s="28">
        <f>S887</f>
        <v>0</v>
      </c>
      <c r="BD887" s="28">
        <f>AF887</f>
        <v>0</v>
      </c>
      <c r="BE887" s="28">
        <f>T887</f>
        <v>0</v>
      </c>
      <c r="BG887" s="57">
        <f>IF(ISERROR(IF(B887=C887,V887/C887,(INT(V887/B887)+(((V887-B887*INT(V887/B887)))/C887)/100))),0,(IF(B887=C887,V887/C887,(INT(V887/B887)+(((V887-B887*INT(V887/B887)))/C887)/100))))</f>
        <v>0</v>
      </c>
      <c r="BH887" s="57">
        <f>IF(ISERROR(IF(B887=C887,W887/C887,(INT(W887/B887)+(((W887-B887*INT(W887/B887)))/C887)/100))),0,(IF(B887=C887,W887/C887,(INT(W887/B887)+(((W887-B887*INT(W887/B887)))/C887)/100))))</f>
        <v>0</v>
      </c>
      <c r="BI887" s="57">
        <f>IF(ISERROR(IF(B887=C887,X887/C887,(INT(X887/B887)+(((X887-B887*INT(X887/B887)))/C887)/100))),0,(IF(B887=C887,X887/C887,(INT(X887/B887)+(((X887-B887*INT(X887/B887)))/C887)/100))))</f>
        <v>0</v>
      </c>
      <c r="BJ887" s="57">
        <f>IF(ISERROR(IF(B887=C887,Y887/C887,(INT(Y887/B887)+(((Y887-B887*INT(Y887/B887)))/C887)/100))),0,(IF(B887=C887,Y887/C887,(INT(Y887/B887)+(((Y887-B887*INT(Y887/B887)))/C887)/100))))</f>
        <v>0</v>
      </c>
      <c r="BL887" s="57">
        <f>IF(ISERROR(IF(B887=C887,AA887/C887,(INT(AA887/B887)+(((AA887-B887*INT(AA887/B887)))/C887)/100))),0,(IF(B887=C887,AA887/C887,(INT(AA887/B887)+(((AA887-B887*INT(AA887/B887)))/C887)/100))))</f>
        <v>0</v>
      </c>
      <c r="BM887" s="57">
        <f>IF(ISERROR(IF(B887=C887,AB887/C887,(INT(AB887/B887)+(((AB887-B887*INT(AB887/B887)))/C887)/100))),0,(IF(B887=C887,AB887/C887,(INT(AB887/B887)+(((AB887-B887*INT(AB887/B887)))/C887)/100))))</f>
        <v>0</v>
      </c>
      <c r="BN887" s="57">
        <f>IF(ISERROR(IF(B887=C887,AC887/C887,(INT(AC887/B887)+(((AC887-B887*INT(AC887/B887)))/C887)/100))),0,(IF(B887=C887,AC887/C887,(INT(AC887/B887)+(((AC887-B887*INT(AC887/B887)))/C887)/100))))</f>
        <v>0</v>
      </c>
      <c r="BO887" s="57">
        <f>IF(ISERROR(IF(B887=C887,AD887/C887,(INT(AD887/B887)+(((AD887-B887*INT(AD887/B887)))/C887)/100))),0,(IF(B887=C887,AD887/C887,(INT(AD887/B887)+(((AD887-B887*INT(AD887/B887)))/C887)/100))))</f>
        <v>0</v>
      </c>
      <c r="BQ887" s="124" t="s">
        <v>81</v>
      </c>
    </row>
    <row r="888" spans="1:69" hidden="1" x14ac:dyDescent="0.35">
      <c r="A888" s="94"/>
      <c r="B888" s="113">
        <v>0</v>
      </c>
      <c r="C888" s="113">
        <v>0</v>
      </c>
      <c r="D888" s="28">
        <f>SUM(AA888:AD888)</f>
        <v>0</v>
      </c>
      <c r="E888" s="125">
        <v>0</v>
      </c>
      <c r="F888" s="113">
        <v>0</v>
      </c>
      <c r="G888" s="28">
        <f>SUM(D888:F888)</f>
        <v>0</v>
      </c>
      <c r="H888" s="125">
        <v>0</v>
      </c>
      <c r="I888" s="125">
        <v>0</v>
      </c>
      <c r="J888" s="125">
        <v>0</v>
      </c>
      <c r="K888" s="125">
        <v>0</v>
      </c>
      <c r="L888" s="113">
        <v>0</v>
      </c>
      <c r="M888" s="113">
        <v>0</v>
      </c>
      <c r="N888" s="28">
        <f>G888-SUM(H888:M888)</f>
        <v>0</v>
      </c>
      <c r="O888" s="28">
        <f>SUM(V888:Y888)</f>
        <v>0</v>
      </c>
      <c r="P888" s="28">
        <f>O888-N888</f>
        <v>0</v>
      </c>
      <c r="Q888" s="61" t="str">
        <f>IF(ISERROR(P888/SUM(H888:L888)),"",P888/SUM(H888:L888))</f>
        <v/>
      </c>
      <c r="R888" s="113">
        <v>0</v>
      </c>
      <c r="S888" s="28">
        <f>IF(ISERROR(P888/C888*R888),0,(P888/C888*R888))</f>
        <v>0</v>
      </c>
      <c r="T888" s="60">
        <f>IF(ISERROR(P888/B888*AF888),0,(P888/B888*AF888))</f>
        <v>0</v>
      </c>
      <c r="V888" s="113">
        <v>0</v>
      </c>
      <c r="W888" s="113">
        <v>0</v>
      </c>
      <c r="X888" s="113">
        <v>0</v>
      </c>
      <c r="Y888" s="113">
        <v>0</v>
      </c>
      <c r="AA888" s="113">
        <v>0</v>
      </c>
      <c r="AB888" s="113">
        <v>0</v>
      </c>
      <c r="AC888" s="113">
        <v>0</v>
      </c>
      <c r="AD888" s="113">
        <v>0</v>
      </c>
      <c r="AF888" s="54">
        <v>0</v>
      </c>
      <c r="AG888" s="28">
        <f>G888-O888</f>
        <v>0</v>
      </c>
      <c r="AH888" s="58">
        <f>IF(ISERROR(AG888/B888*AF888),0,(AG888/B888*AF888))</f>
        <v>0</v>
      </c>
      <c r="AI888" s="28">
        <f>SUM(H888:M888)</f>
        <v>0</v>
      </c>
      <c r="AJ888" s="28">
        <f>IF(ISERROR(AI888/B888*AF888),0,(AI888/B888*AF888))</f>
        <v>0</v>
      </c>
      <c r="AK888" s="58">
        <f>IF(ISERROR(O888/B888*AF888),0,(O888/B888*AF888))</f>
        <v>0</v>
      </c>
      <c r="AL888" s="28">
        <f>IF(ISERROR(H888/B888*AF888),0,(H888/B888*AF888))</f>
        <v>0</v>
      </c>
      <c r="AN888" s="51">
        <f>A888</f>
        <v>0</v>
      </c>
      <c r="AO888" s="57">
        <f>IF(ISERROR(IF(B888=C888,D888/C888,(INT(D888/B888)+(((D888-B888*INT(D888/B888)))/C888)/100))),0,(IF(B888=C888,D888/C888,(INT(D888/B888)+(((D888-B888*INT(D888/B888)))/C888)/100))))</f>
        <v>0</v>
      </c>
      <c r="AP888" s="57">
        <f>IF(ISERROR(IF(B888=C888,E888/C888,(INT(E888/B888)+(((E888-B888*INT(E888/B888)))/C888)/100))),0,(IF(B888=C888,E888/C888,(INT(E888/B888)+(((E888-B888*INT(E888/B888)))/C888)/100))))</f>
        <v>0</v>
      </c>
      <c r="AQ888" s="57">
        <f>IF(ISERROR(IF(B888=C888,F888/C888,IF((INT(F888/B888)+(((F888-B888*INT(F888/B888)))/C888)/100)&lt;0,(INT(F888/B888)+(((F888-B888*INT(F888/B888)))/C888)/100)+(1-(B888/C888/100)),(INT(F888/B888)+(((F888-B888*INT(F888/B888)))/C888)/100)))),0,IF(B888=C888,F888/C888,IF((INT(F888/B888)+(((F888-B888*INT(F888/B888)))/C888)/100)&lt;0,(INT(F888/B888)+(((F888-B888*INT(F888/B888)))/C888)/100)+(1-(B888/C888/100)),(INT(F888/B888)+(((F888-B888*INT(F888/B888)))/C888)/100))))</f>
        <v>0</v>
      </c>
      <c r="AR888" s="57">
        <f>IF(ISERROR(IF(B888=C888,G888/C888,(INT(G888/B888)+(((G888-B888*INT(G888/B888)))/C888)/100))),0,(IF(B888=C888,G888/C888,(INT(G888/B888)+(((G888-B888*INT(G888/B888)))/C888)/100))))</f>
        <v>0</v>
      </c>
      <c r="AS888" s="57">
        <f>IF(ISERROR(IF(B888=C888,H888/C888,(INT(H888/B888)+(((H888-B888*INT(H888/B888)))/C888)/100))),0,(IF(B888=C888,H888/C888,(INT(H888/B888)+(((H888-B888*INT(H888/B888)))/C888)/100))))</f>
        <v>0</v>
      </c>
      <c r="AT888" s="57">
        <f>IF(ISERROR(IF(B888=C888,I888/C888,(INT(I888/B888)+(((I888-B888*INT(I888/B888)))/C888)/100))),0,(IF(B888=C888,I888/C888,(INT(I888/B888)+(((I888-B888*INT(I888/B888)))/C888)/100))))</f>
        <v>0</v>
      </c>
      <c r="AU888" s="57">
        <f>IF(ISERROR(IF(B888=C888,J888/C888,(INT(J888/B888)+(((J888-B888*INT(J888/B888)))/C888)/100))),0,(IF(B888=C888,J888/C888,(INT(J888/B888)+(((J888-B888*INT(J888/B888)))/C888)/100))))</f>
        <v>0</v>
      </c>
      <c r="AV888" s="57">
        <f>IF(ISERROR(IF(B888=C888,K888/C888,IF((INT(K888/B888)+(((K888-B888*INT(K888/B888)))/C888)/100)&lt;0,(INT(K888/B888)+(((K888-B888*INT(K888/B888)))/C888)/100)+(1-(B888/C888/100)),(INT(K888/B888)+(((K888-B888*INT(K888/B888)))/C888)/100)))),0,IF(B888=C888,K888/C888,IF((INT(K888/B888)+(((K888-B888*INT(K888/B888)))/C888)/100)&lt;0,(INT(K888/B888)+(((K888-B888*INT(K888/B888)))/C888)/100)+(1-(B888/C888/100)),(INT(K888/B888)+(((K888-B888*INT(K888/B888)))/C888)/100))))</f>
        <v>0</v>
      </c>
      <c r="AW888" s="57">
        <f>IF(ISERROR(IF(B888=C888,L888/C888,(INT(L888/B888)+(((L888-B888*INT(L888/B888)))/C888)/100))),0,(IF(B888=C888,L888/C888,(INT(L888/B888)+(((L888-B888*INT(L888/B888)))/C888)/100))))</f>
        <v>0</v>
      </c>
      <c r="AX888" s="57">
        <f>IF(ISERROR(IF(B888=C888,M888/C888,(INT(M888/B888)+(((M888-B888*INT(M888/B888)))/C888)/100))),0,(IF(B888=C888,M888/C888,(INT(M888/B888)+(((M888-B888*INT(M888/B888)))/C888)/100))))</f>
        <v>0</v>
      </c>
      <c r="AY888" s="57">
        <f>IF(ISERROR(IF(B888=C888,N888/C888,IF((INT(N888/B888)+(((N888-B888*INT(N888/B888)))/C888)/100)&lt;0,(INT(N888/B888)+(((N888-B888*INT(N888/B888)))/C888)/100)+(1-(B888/C888/100)),(INT(N888/B888)+(((N888-B888*INT(N888/B888)))/C888)/100)))),0,IF(B888=C888,N888/C888,IF((INT(N888/B888)+(((N888-B888*INT(N888/B888)))/C888)/100)&lt;0,(INT(N888/B888)+(((N888-B888*INT(N888/B888)))/C888)/100)+(1-(B888/C888/100)),(INT(N888/B888)+(((N888-B888*INT(N888/B888)))/C888)/100))))</f>
        <v>0</v>
      </c>
      <c r="AZ888" s="57">
        <f>IF(ISERROR(IF(B888=C888,O888/C888,(INT(O888/B888)+(((O888-B888*INT(O888/B888)))/C888)/100))),0,(IF(B888=C888,O888/C888,(INT(O888/B888)+(((O888-B888*INT(O888/B888)))/C888)/100))))</f>
        <v>0</v>
      </c>
      <c r="BA888" s="57">
        <f>IF(ISERROR(IF(B888=C888,P888/C888,IF((INT(P888/B888)+(((P888-B888*INT(P888/B888)))/C888)/100)&lt;0,(INT(P888/B888)+(((P888-B888*INT(P888/B888)))/C888)/100)+(1-(B888/C888/100)),(INT(P888/B888)+(((P888-B888*INT(P888/B888)))/C888)/100)))),0,IF(B888=C888,P888/C888,IF((INT(P888/B888)+(((P888-B888*INT(P888/B888)))/C888)/100)&lt;0,(INT(P888/B888)+(((P888-B888*INT(P888/B888)))/C888)/100)+(1-(B888/C888/100)),(INT(P888/B888)+(((P888-B888*INT(P888/B888)))/C888)/100))))</f>
        <v>0</v>
      </c>
      <c r="BB888" s="28">
        <f>R888</f>
        <v>0</v>
      </c>
      <c r="BC888" s="28">
        <f>S888</f>
        <v>0</v>
      </c>
      <c r="BD888" s="28">
        <f>AF888</f>
        <v>0</v>
      </c>
      <c r="BE888" s="28">
        <f>T888</f>
        <v>0</v>
      </c>
      <c r="BG888" s="57">
        <f>IF(ISERROR(IF(B888=C888,V888/C888,(INT(V888/B888)+(((V888-B888*INT(V888/B888)))/C888)/100))),0,(IF(B888=C888,V888/C888,(INT(V888/B888)+(((V888-B888*INT(V888/B888)))/C888)/100))))</f>
        <v>0</v>
      </c>
      <c r="BH888" s="57">
        <f>IF(ISERROR(IF(B888=C888,W888/C888,(INT(W888/B888)+(((W888-B888*INT(W888/B888)))/C888)/100))),0,(IF(B888=C888,W888/C888,(INT(W888/B888)+(((W888-B888*INT(W888/B888)))/C888)/100))))</f>
        <v>0</v>
      </c>
      <c r="BI888" s="57">
        <f>IF(ISERROR(IF(B888=C888,X888/C888,(INT(X888/B888)+(((X888-B888*INT(X888/B888)))/C888)/100))),0,(IF(B888=C888,X888/C888,(INT(X888/B888)+(((X888-B888*INT(X888/B888)))/C888)/100))))</f>
        <v>0</v>
      </c>
      <c r="BJ888" s="57">
        <f>IF(ISERROR(IF(B888=C888,Y888/C888,(INT(Y888/B888)+(((Y888-B888*INT(Y888/B888)))/C888)/100))),0,(IF(B888=C888,Y888/C888,(INT(Y888/B888)+(((Y888-B888*INT(Y888/B888)))/C888)/100))))</f>
        <v>0</v>
      </c>
      <c r="BL888" s="57">
        <f>IF(ISERROR(IF(B888=C888,AA888/C888,(INT(AA888/B888)+(((AA888-B888*INT(AA888/B888)))/C888)/100))),0,(IF(B888=C888,AA888/C888,(INT(AA888/B888)+(((AA888-B888*INT(AA888/B888)))/C888)/100))))</f>
        <v>0</v>
      </c>
      <c r="BM888" s="57">
        <f>IF(ISERROR(IF(B888=C888,AB888/C888,(INT(AB888/B888)+(((AB888-B888*INT(AB888/B888)))/C888)/100))),0,(IF(B888=C888,AB888/C888,(INT(AB888/B888)+(((AB888-B888*INT(AB888/B888)))/C888)/100))))</f>
        <v>0</v>
      </c>
      <c r="BN888" s="57">
        <f>IF(ISERROR(IF(B888=C888,AC888/C888,(INT(AC888/B888)+(((AC888-B888*INT(AC888/B888)))/C888)/100))),0,(IF(B888=C888,AC888/C888,(INT(AC888/B888)+(((AC888-B888*INT(AC888/B888)))/C888)/100))))</f>
        <v>0</v>
      </c>
      <c r="BO888" s="57">
        <f>IF(ISERROR(IF(B888=C888,AD888/C888,(INT(AD888/B888)+(((AD888-B888*INT(AD888/B888)))/C888)/100))),0,(IF(B888=C888,AD888/C888,(INT(AD888/B888)+(((AD888-B888*INT(AD888/B888)))/C888)/100))))</f>
        <v>0</v>
      </c>
      <c r="BQ888" s="124" t="s">
        <v>81</v>
      </c>
    </row>
    <row r="889" spans="1:69" hidden="1" x14ac:dyDescent="0.35">
      <c r="A889" s="94"/>
      <c r="B889" s="113">
        <v>0</v>
      </c>
      <c r="C889" s="113">
        <v>0</v>
      </c>
      <c r="D889" s="28">
        <f>SUM(AA889:AD889)</f>
        <v>0</v>
      </c>
      <c r="E889" s="125">
        <v>0</v>
      </c>
      <c r="F889" s="113">
        <v>0</v>
      </c>
      <c r="G889" s="28">
        <f>SUM(D889:F889)</f>
        <v>0</v>
      </c>
      <c r="H889" s="125">
        <v>0</v>
      </c>
      <c r="I889" s="125">
        <v>0</v>
      </c>
      <c r="J889" s="125">
        <v>0</v>
      </c>
      <c r="K889" s="125">
        <v>0</v>
      </c>
      <c r="L889" s="113">
        <v>0</v>
      </c>
      <c r="M889" s="113">
        <v>0</v>
      </c>
      <c r="N889" s="28">
        <f>G889-SUM(H889:M889)</f>
        <v>0</v>
      </c>
      <c r="O889" s="28">
        <f>SUM(V889:Y889)</f>
        <v>0</v>
      </c>
      <c r="P889" s="28">
        <f>O889-N889</f>
        <v>0</v>
      </c>
      <c r="Q889" s="61" t="str">
        <f>IF(ISERROR(P889/SUM(H889:L889)),"",P889/SUM(H889:L889))</f>
        <v/>
      </c>
      <c r="R889" s="113">
        <v>0</v>
      </c>
      <c r="S889" s="28">
        <f>IF(ISERROR(P889/C889*R889),0,(P889/C889*R889))</f>
        <v>0</v>
      </c>
      <c r="T889" s="60">
        <f>IF(ISERROR(P889/B889*AF889),0,(P889/B889*AF889))</f>
        <v>0</v>
      </c>
      <c r="V889" s="113">
        <v>0</v>
      </c>
      <c r="W889" s="113">
        <v>0</v>
      </c>
      <c r="X889" s="113">
        <v>0</v>
      </c>
      <c r="Y889" s="113">
        <v>0</v>
      </c>
      <c r="AA889" s="113">
        <v>0</v>
      </c>
      <c r="AB889" s="113">
        <v>0</v>
      </c>
      <c r="AC889" s="113">
        <v>0</v>
      </c>
      <c r="AD889" s="113">
        <v>0</v>
      </c>
      <c r="AF889" s="54">
        <v>0</v>
      </c>
      <c r="AG889" s="28">
        <f>G889-O889</f>
        <v>0</v>
      </c>
      <c r="AH889" s="58">
        <f>IF(ISERROR(AG889/B889*AF889),0,(AG889/B889*AF889))</f>
        <v>0</v>
      </c>
      <c r="AI889" s="28">
        <f>SUM(H889:M889)</f>
        <v>0</v>
      </c>
      <c r="AJ889" s="28">
        <f>IF(ISERROR(AI889/B889*AF889),0,(AI889/B889*AF889))</f>
        <v>0</v>
      </c>
      <c r="AK889" s="58">
        <f>IF(ISERROR(O889/B889*AF889),0,(O889/B889*AF889))</f>
        <v>0</v>
      </c>
      <c r="AL889" s="28">
        <f>IF(ISERROR(H889/B889*AF889),0,(H889/B889*AF889))</f>
        <v>0</v>
      </c>
      <c r="AN889" s="51">
        <f>A889</f>
        <v>0</v>
      </c>
      <c r="AO889" s="57">
        <f>IF(ISERROR(IF(B889=C889,D889/C889,(INT(D889/B889)+(((D889-B889*INT(D889/B889)))/C889)/100))),0,(IF(B889=C889,D889/C889,(INT(D889/B889)+(((D889-B889*INT(D889/B889)))/C889)/100))))</f>
        <v>0</v>
      </c>
      <c r="AP889" s="57">
        <f>IF(ISERROR(IF(B889=C889,E889/C889,(INT(E889/B889)+(((E889-B889*INT(E889/B889)))/C889)/100))),0,(IF(B889=C889,E889/C889,(INT(E889/B889)+(((E889-B889*INT(E889/B889)))/C889)/100))))</f>
        <v>0</v>
      </c>
      <c r="AQ889" s="57">
        <f>IF(ISERROR(IF(B889=C889,F889/C889,IF((INT(F889/B889)+(((F889-B889*INT(F889/B889)))/C889)/100)&lt;0,(INT(F889/B889)+(((F889-B889*INT(F889/B889)))/C889)/100)+(1-(B889/C889/100)),(INT(F889/B889)+(((F889-B889*INT(F889/B889)))/C889)/100)))),0,IF(B889=C889,F889/C889,IF((INT(F889/B889)+(((F889-B889*INT(F889/B889)))/C889)/100)&lt;0,(INT(F889/B889)+(((F889-B889*INT(F889/B889)))/C889)/100)+(1-(B889/C889/100)),(INT(F889/B889)+(((F889-B889*INT(F889/B889)))/C889)/100))))</f>
        <v>0</v>
      </c>
      <c r="AR889" s="57">
        <f>IF(ISERROR(IF(B889=C889,G889/C889,(INT(G889/B889)+(((G889-B889*INT(G889/B889)))/C889)/100))),0,(IF(B889=C889,G889/C889,(INT(G889/B889)+(((G889-B889*INT(G889/B889)))/C889)/100))))</f>
        <v>0</v>
      </c>
      <c r="AS889" s="57">
        <f>IF(ISERROR(IF(B889=C889,H889/C889,(INT(H889/B889)+(((H889-B889*INT(H889/B889)))/C889)/100))),0,(IF(B889=C889,H889/C889,(INT(H889/B889)+(((H889-B889*INT(H889/B889)))/C889)/100))))</f>
        <v>0</v>
      </c>
      <c r="AT889" s="57">
        <f>IF(ISERROR(IF(B889=C889,I889/C889,(INT(I889/B889)+(((I889-B889*INT(I889/B889)))/C889)/100))),0,(IF(B889=C889,I889/C889,(INT(I889/B889)+(((I889-B889*INT(I889/B889)))/C889)/100))))</f>
        <v>0</v>
      </c>
      <c r="AU889" s="57">
        <f>IF(ISERROR(IF(B889=C889,J889/C889,(INT(J889/B889)+(((J889-B889*INT(J889/B889)))/C889)/100))),0,(IF(B889=C889,J889/C889,(INT(J889/B889)+(((J889-B889*INT(J889/B889)))/C889)/100))))</f>
        <v>0</v>
      </c>
      <c r="AV889" s="57">
        <f>IF(ISERROR(IF(B889=C889,K889/C889,IF((INT(K889/B889)+(((K889-B889*INT(K889/B889)))/C889)/100)&lt;0,(INT(K889/B889)+(((K889-B889*INT(K889/B889)))/C889)/100)+(1-(B889/C889/100)),(INT(K889/B889)+(((K889-B889*INT(K889/B889)))/C889)/100)))),0,IF(B889=C889,K889/C889,IF((INT(K889/B889)+(((K889-B889*INT(K889/B889)))/C889)/100)&lt;0,(INT(K889/B889)+(((K889-B889*INT(K889/B889)))/C889)/100)+(1-(B889/C889/100)),(INT(K889/B889)+(((K889-B889*INT(K889/B889)))/C889)/100))))</f>
        <v>0</v>
      </c>
      <c r="AW889" s="57">
        <f>IF(ISERROR(IF(B889=C889,L889/C889,(INT(L889/B889)+(((L889-B889*INT(L889/B889)))/C889)/100))),0,(IF(B889=C889,L889/C889,(INT(L889/B889)+(((L889-B889*INT(L889/B889)))/C889)/100))))</f>
        <v>0</v>
      </c>
      <c r="AX889" s="57">
        <f>IF(ISERROR(IF(B889=C889,M889/C889,(INT(M889/B889)+(((M889-B889*INT(M889/B889)))/C889)/100))),0,(IF(B889=C889,M889/C889,(INT(M889/B889)+(((M889-B889*INT(M889/B889)))/C889)/100))))</f>
        <v>0</v>
      </c>
      <c r="AY889" s="57">
        <f>IF(ISERROR(IF(B889=C889,N889/C889,IF((INT(N889/B889)+(((N889-B889*INT(N889/B889)))/C889)/100)&lt;0,(INT(N889/B889)+(((N889-B889*INT(N889/B889)))/C889)/100)+(1-(B889/C889/100)),(INT(N889/B889)+(((N889-B889*INT(N889/B889)))/C889)/100)))),0,IF(B889=C889,N889/C889,IF((INT(N889/B889)+(((N889-B889*INT(N889/B889)))/C889)/100)&lt;0,(INT(N889/B889)+(((N889-B889*INT(N889/B889)))/C889)/100)+(1-(B889/C889/100)),(INT(N889/B889)+(((N889-B889*INT(N889/B889)))/C889)/100))))</f>
        <v>0</v>
      </c>
      <c r="AZ889" s="57">
        <f>IF(ISERROR(IF(B889=C889,O889/C889,(INT(O889/B889)+(((O889-B889*INT(O889/B889)))/C889)/100))),0,(IF(B889=C889,O889/C889,(INT(O889/B889)+(((O889-B889*INT(O889/B889)))/C889)/100))))</f>
        <v>0</v>
      </c>
      <c r="BA889" s="57">
        <f>IF(ISERROR(IF(B889=C889,P889/C889,IF((INT(P889/B889)+(((P889-B889*INT(P889/B889)))/C889)/100)&lt;0,(INT(P889/B889)+(((P889-B889*INT(P889/B889)))/C889)/100)+(1-(B889/C889/100)),(INT(P889/B889)+(((P889-B889*INT(P889/B889)))/C889)/100)))),0,IF(B889=C889,P889/C889,IF((INT(P889/B889)+(((P889-B889*INT(P889/B889)))/C889)/100)&lt;0,(INT(P889/B889)+(((P889-B889*INT(P889/B889)))/C889)/100)+(1-(B889/C889/100)),(INT(P889/B889)+(((P889-B889*INT(P889/B889)))/C889)/100))))</f>
        <v>0</v>
      </c>
      <c r="BB889" s="28">
        <f>R889</f>
        <v>0</v>
      </c>
      <c r="BC889" s="28">
        <f>S889</f>
        <v>0</v>
      </c>
      <c r="BD889" s="28">
        <f>AF889</f>
        <v>0</v>
      </c>
      <c r="BE889" s="28">
        <f>T889</f>
        <v>0</v>
      </c>
      <c r="BG889" s="57">
        <f>IF(ISERROR(IF(B889=C889,V889/C889,(INT(V889/B889)+(((V889-B889*INT(V889/B889)))/C889)/100))),0,(IF(B889=C889,V889/C889,(INT(V889/B889)+(((V889-B889*INT(V889/B889)))/C889)/100))))</f>
        <v>0</v>
      </c>
      <c r="BH889" s="57">
        <f>IF(ISERROR(IF(B889=C889,W889/C889,(INT(W889/B889)+(((W889-B889*INT(W889/B889)))/C889)/100))),0,(IF(B889=C889,W889/C889,(INT(W889/B889)+(((W889-B889*INT(W889/B889)))/C889)/100))))</f>
        <v>0</v>
      </c>
      <c r="BI889" s="57">
        <f>IF(ISERROR(IF(B889=C889,X889/C889,(INT(X889/B889)+(((X889-B889*INT(X889/B889)))/C889)/100))),0,(IF(B889=C889,X889/C889,(INT(X889/B889)+(((X889-B889*INT(X889/B889)))/C889)/100))))</f>
        <v>0</v>
      </c>
      <c r="BJ889" s="57">
        <f>IF(ISERROR(IF(B889=C889,Y889/C889,(INT(Y889/B889)+(((Y889-B889*INT(Y889/B889)))/C889)/100))),0,(IF(B889=C889,Y889/C889,(INT(Y889/B889)+(((Y889-B889*INT(Y889/B889)))/C889)/100))))</f>
        <v>0</v>
      </c>
      <c r="BL889" s="57">
        <f>IF(ISERROR(IF(B889=C889,AA889/C889,(INT(AA889/B889)+(((AA889-B889*INT(AA889/B889)))/C889)/100))),0,(IF(B889=C889,AA889/C889,(INT(AA889/B889)+(((AA889-B889*INT(AA889/B889)))/C889)/100))))</f>
        <v>0</v>
      </c>
      <c r="BM889" s="57">
        <f>IF(ISERROR(IF(B889=C889,AB889/C889,(INT(AB889/B889)+(((AB889-B889*INT(AB889/B889)))/C889)/100))),0,(IF(B889=C889,AB889/C889,(INT(AB889/B889)+(((AB889-B889*INT(AB889/B889)))/C889)/100))))</f>
        <v>0</v>
      </c>
      <c r="BN889" s="57">
        <f>IF(ISERROR(IF(B889=C889,AC889/C889,(INT(AC889/B889)+(((AC889-B889*INT(AC889/B889)))/C889)/100))),0,(IF(B889=C889,AC889/C889,(INT(AC889/B889)+(((AC889-B889*INT(AC889/B889)))/C889)/100))))</f>
        <v>0</v>
      </c>
      <c r="BO889" s="57">
        <f>IF(ISERROR(IF(B889=C889,AD889/C889,(INT(AD889/B889)+(((AD889-B889*INT(AD889/B889)))/C889)/100))),0,(IF(B889=C889,AD889/C889,(INT(AD889/B889)+(((AD889-B889*INT(AD889/B889)))/C889)/100))))</f>
        <v>0</v>
      </c>
      <c r="BQ889" s="124" t="s">
        <v>81</v>
      </c>
    </row>
    <row r="890" spans="1:69" hidden="1" x14ac:dyDescent="0.35">
      <c r="A890" s="94"/>
      <c r="B890" s="113">
        <v>0</v>
      </c>
      <c r="C890" s="113">
        <v>0</v>
      </c>
      <c r="D890" s="28">
        <f>SUM(AA890:AD890)</f>
        <v>0</v>
      </c>
      <c r="E890" s="125">
        <v>0</v>
      </c>
      <c r="F890" s="113">
        <v>0</v>
      </c>
      <c r="G890" s="28">
        <f>SUM(D890:F890)</f>
        <v>0</v>
      </c>
      <c r="H890" s="125">
        <v>0</v>
      </c>
      <c r="I890" s="125">
        <v>0</v>
      </c>
      <c r="J890" s="125">
        <v>0</v>
      </c>
      <c r="K890" s="125">
        <v>0</v>
      </c>
      <c r="L890" s="113">
        <v>0</v>
      </c>
      <c r="M890" s="113">
        <v>0</v>
      </c>
      <c r="N890" s="28">
        <f>G890-SUM(H890:M890)</f>
        <v>0</v>
      </c>
      <c r="O890" s="28">
        <f>SUM(V890:Y890)</f>
        <v>0</v>
      </c>
      <c r="P890" s="28">
        <f>O890-N890</f>
        <v>0</v>
      </c>
      <c r="Q890" s="61" t="str">
        <f>IF(ISERROR(P890/SUM(H890:L890)),"",P890/SUM(H890:L890))</f>
        <v/>
      </c>
      <c r="R890" s="113">
        <v>0</v>
      </c>
      <c r="S890" s="28">
        <f>IF(ISERROR(P890/C890*R890),0,(P890/C890*R890))</f>
        <v>0</v>
      </c>
      <c r="T890" s="60">
        <f>IF(ISERROR(P890/B890*AF890),0,(P890/B890*AF890))</f>
        <v>0</v>
      </c>
      <c r="V890" s="113">
        <v>0</v>
      </c>
      <c r="W890" s="113">
        <v>0</v>
      </c>
      <c r="X890" s="113">
        <v>0</v>
      </c>
      <c r="Y890" s="113">
        <v>0</v>
      </c>
      <c r="AA890" s="113">
        <v>0</v>
      </c>
      <c r="AB890" s="113">
        <v>0</v>
      </c>
      <c r="AC890" s="113">
        <v>0</v>
      </c>
      <c r="AD890" s="113">
        <v>0</v>
      </c>
      <c r="AF890" s="54">
        <v>0</v>
      </c>
      <c r="AG890" s="28">
        <f>G890-O890</f>
        <v>0</v>
      </c>
      <c r="AH890" s="58">
        <f>IF(ISERROR(AG890/B890*AF890),0,(AG890/B890*AF890))</f>
        <v>0</v>
      </c>
      <c r="AI890" s="28">
        <f>SUM(H890:M890)</f>
        <v>0</v>
      </c>
      <c r="AJ890" s="28">
        <f>IF(ISERROR(AI890/B890*AF890),0,(AI890/B890*AF890))</f>
        <v>0</v>
      </c>
      <c r="AK890" s="58">
        <f>IF(ISERROR(O890/B890*AF890),0,(O890/B890*AF890))</f>
        <v>0</v>
      </c>
      <c r="AL890" s="28">
        <f>IF(ISERROR(H890/B890*AF890),0,(H890/B890*AF890))</f>
        <v>0</v>
      </c>
      <c r="AN890" s="51">
        <f>A890</f>
        <v>0</v>
      </c>
      <c r="AO890" s="57">
        <f>IF(ISERROR(IF(B890=C890,D890/C890,(INT(D890/B890)+(((D890-B890*INT(D890/B890)))/C890)/100))),0,(IF(B890=C890,D890/C890,(INT(D890/B890)+(((D890-B890*INT(D890/B890)))/C890)/100))))</f>
        <v>0</v>
      </c>
      <c r="AP890" s="57">
        <f>IF(ISERROR(IF(B890=C890,E890/C890,(INT(E890/B890)+(((E890-B890*INT(E890/B890)))/C890)/100))),0,(IF(B890=C890,E890/C890,(INT(E890/B890)+(((E890-B890*INT(E890/B890)))/C890)/100))))</f>
        <v>0</v>
      </c>
      <c r="AQ890" s="57">
        <f>IF(ISERROR(IF(B890=C890,F890/C890,IF((INT(F890/B890)+(((F890-B890*INT(F890/B890)))/C890)/100)&lt;0,(INT(F890/B890)+(((F890-B890*INT(F890/B890)))/C890)/100)+(1-(B890/C890/100)),(INT(F890/B890)+(((F890-B890*INT(F890/B890)))/C890)/100)))),0,IF(B890=C890,F890/C890,IF((INT(F890/B890)+(((F890-B890*INT(F890/B890)))/C890)/100)&lt;0,(INT(F890/B890)+(((F890-B890*INT(F890/B890)))/C890)/100)+(1-(B890/C890/100)),(INT(F890/B890)+(((F890-B890*INT(F890/B890)))/C890)/100))))</f>
        <v>0</v>
      </c>
      <c r="AR890" s="57">
        <f>IF(ISERROR(IF(B890=C890,G890/C890,(INT(G890/B890)+(((G890-B890*INT(G890/B890)))/C890)/100))),0,(IF(B890=C890,G890/C890,(INT(G890/B890)+(((G890-B890*INT(G890/B890)))/C890)/100))))</f>
        <v>0</v>
      </c>
      <c r="AS890" s="57">
        <f>IF(ISERROR(IF(B890=C890,H890/C890,(INT(H890/B890)+(((H890-B890*INT(H890/B890)))/C890)/100))),0,(IF(B890=C890,H890/C890,(INT(H890/B890)+(((H890-B890*INT(H890/B890)))/C890)/100))))</f>
        <v>0</v>
      </c>
      <c r="AT890" s="57">
        <f>IF(ISERROR(IF(B890=C890,I890/C890,(INT(I890/B890)+(((I890-B890*INT(I890/B890)))/C890)/100))),0,(IF(B890=C890,I890/C890,(INT(I890/B890)+(((I890-B890*INT(I890/B890)))/C890)/100))))</f>
        <v>0</v>
      </c>
      <c r="AU890" s="57">
        <f>IF(ISERROR(IF(B890=C890,J890/C890,(INT(J890/B890)+(((J890-B890*INT(J890/B890)))/C890)/100))),0,(IF(B890=C890,J890/C890,(INT(J890/B890)+(((J890-B890*INT(J890/B890)))/C890)/100))))</f>
        <v>0</v>
      </c>
      <c r="AV890" s="57">
        <f>IF(ISERROR(IF(B890=C890,K890/C890,IF((INT(K890/B890)+(((K890-B890*INT(K890/B890)))/C890)/100)&lt;0,(INT(K890/B890)+(((K890-B890*INT(K890/B890)))/C890)/100)+(1-(B890/C890/100)),(INT(K890/B890)+(((K890-B890*INT(K890/B890)))/C890)/100)))),0,IF(B890=C890,K890/C890,IF((INT(K890/B890)+(((K890-B890*INT(K890/B890)))/C890)/100)&lt;0,(INT(K890/B890)+(((K890-B890*INT(K890/B890)))/C890)/100)+(1-(B890/C890/100)),(INT(K890/B890)+(((K890-B890*INT(K890/B890)))/C890)/100))))</f>
        <v>0</v>
      </c>
      <c r="AW890" s="57">
        <f>IF(ISERROR(IF(B890=C890,L890/C890,(INT(L890/B890)+(((L890-B890*INT(L890/B890)))/C890)/100))),0,(IF(B890=C890,L890/C890,(INT(L890/B890)+(((L890-B890*INT(L890/B890)))/C890)/100))))</f>
        <v>0</v>
      </c>
      <c r="AX890" s="57">
        <f>IF(ISERROR(IF(B890=C890,M890/C890,(INT(M890/B890)+(((M890-B890*INT(M890/B890)))/C890)/100))),0,(IF(B890=C890,M890/C890,(INT(M890/B890)+(((M890-B890*INT(M890/B890)))/C890)/100))))</f>
        <v>0</v>
      </c>
      <c r="AY890" s="57">
        <f>IF(ISERROR(IF(B890=C890,N890/C890,IF((INT(N890/B890)+(((N890-B890*INT(N890/B890)))/C890)/100)&lt;0,(INT(N890/B890)+(((N890-B890*INT(N890/B890)))/C890)/100)+(1-(B890/C890/100)),(INT(N890/B890)+(((N890-B890*INT(N890/B890)))/C890)/100)))),0,IF(B890=C890,N890/C890,IF((INT(N890/B890)+(((N890-B890*INT(N890/B890)))/C890)/100)&lt;0,(INT(N890/B890)+(((N890-B890*INT(N890/B890)))/C890)/100)+(1-(B890/C890/100)),(INT(N890/B890)+(((N890-B890*INT(N890/B890)))/C890)/100))))</f>
        <v>0</v>
      </c>
      <c r="AZ890" s="57">
        <f>IF(ISERROR(IF(B890=C890,O890/C890,(INT(O890/B890)+(((O890-B890*INT(O890/B890)))/C890)/100))),0,(IF(B890=C890,O890/C890,(INT(O890/B890)+(((O890-B890*INT(O890/B890)))/C890)/100))))</f>
        <v>0</v>
      </c>
      <c r="BA890" s="57">
        <f>IF(ISERROR(IF(B890=C890,P890/C890,IF((INT(P890/B890)+(((P890-B890*INT(P890/B890)))/C890)/100)&lt;0,(INT(P890/B890)+(((P890-B890*INT(P890/B890)))/C890)/100)+(1-(B890/C890/100)),(INT(P890/B890)+(((P890-B890*INT(P890/B890)))/C890)/100)))),0,IF(B890=C890,P890/C890,IF((INT(P890/B890)+(((P890-B890*INT(P890/B890)))/C890)/100)&lt;0,(INT(P890/B890)+(((P890-B890*INT(P890/B890)))/C890)/100)+(1-(B890/C890/100)),(INT(P890/B890)+(((P890-B890*INT(P890/B890)))/C890)/100))))</f>
        <v>0</v>
      </c>
      <c r="BB890" s="28">
        <f>R890</f>
        <v>0</v>
      </c>
      <c r="BC890" s="28">
        <f>S890</f>
        <v>0</v>
      </c>
      <c r="BD890" s="28">
        <f>AF890</f>
        <v>0</v>
      </c>
      <c r="BE890" s="28">
        <f>T890</f>
        <v>0</v>
      </c>
      <c r="BG890" s="57">
        <f>IF(ISERROR(IF(B890=C890,V890/C890,(INT(V890/B890)+(((V890-B890*INT(V890/B890)))/C890)/100))),0,(IF(B890=C890,V890/C890,(INT(V890/B890)+(((V890-B890*INT(V890/B890)))/C890)/100))))</f>
        <v>0</v>
      </c>
      <c r="BH890" s="57">
        <f>IF(ISERROR(IF(B890=C890,W890/C890,(INT(W890/B890)+(((W890-B890*INT(W890/B890)))/C890)/100))),0,(IF(B890=C890,W890/C890,(INT(W890/B890)+(((W890-B890*INT(W890/B890)))/C890)/100))))</f>
        <v>0</v>
      </c>
      <c r="BI890" s="57">
        <f>IF(ISERROR(IF(B890=C890,X890/C890,(INT(X890/B890)+(((X890-B890*INT(X890/B890)))/C890)/100))),0,(IF(B890=C890,X890/C890,(INT(X890/B890)+(((X890-B890*INT(X890/B890)))/C890)/100))))</f>
        <v>0</v>
      </c>
      <c r="BJ890" s="57">
        <f>IF(ISERROR(IF(B890=C890,Y890/C890,(INT(Y890/B890)+(((Y890-B890*INT(Y890/B890)))/C890)/100))),0,(IF(B890=C890,Y890/C890,(INT(Y890/B890)+(((Y890-B890*INT(Y890/B890)))/C890)/100))))</f>
        <v>0</v>
      </c>
      <c r="BL890" s="57">
        <f>IF(ISERROR(IF(B890=C890,AA890/C890,(INT(AA890/B890)+(((AA890-B890*INT(AA890/B890)))/C890)/100))),0,(IF(B890=C890,AA890/C890,(INT(AA890/B890)+(((AA890-B890*INT(AA890/B890)))/C890)/100))))</f>
        <v>0</v>
      </c>
      <c r="BM890" s="57">
        <f>IF(ISERROR(IF(B890=C890,AB890/C890,(INT(AB890/B890)+(((AB890-B890*INT(AB890/B890)))/C890)/100))),0,(IF(B890=C890,AB890/C890,(INT(AB890/B890)+(((AB890-B890*INT(AB890/B890)))/C890)/100))))</f>
        <v>0</v>
      </c>
      <c r="BN890" s="57">
        <f>IF(ISERROR(IF(B890=C890,AC890/C890,(INT(AC890/B890)+(((AC890-B890*INT(AC890/B890)))/C890)/100))),0,(IF(B890=C890,AC890/C890,(INT(AC890/B890)+(((AC890-B890*INT(AC890/B890)))/C890)/100))))</f>
        <v>0</v>
      </c>
      <c r="BO890" s="57">
        <f>IF(ISERROR(IF(B890=C890,AD890/C890,(INT(AD890/B890)+(((AD890-B890*INT(AD890/B890)))/C890)/100))),0,(IF(B890=C890,AD890/C890,(INT(AD890/B890)+(((AD890-B890*INT(AD890/B890)))/C890)/100))))</f>
        <v>0</v>
      </c>
      <c r="BQ890" s="124" t="s">
        <v>81</v>
      </c>
    </row>
    <row r="891" spans="1:69" hidden="1" x14ac:dyDescent="0.35">
      <c r="A891" s="94"/>
      <c r="B891" s="113">
        <v>0</v>
      </c>
      <c r="C891" s="113">
        <v>0</v>
      </c>
      <c r="D891" s="28">
        <f>SUM(AA891:AD891)</f>
        <v>0</v>
      </c>
      <c r="E891" s="125">
        <v>0</v>
      </c>
      <c r="F891" s="113">
        <v>0</v>
      </c>
      <c r="G891" s="28">
        <f>SUM(D891:F891)</f>
        <v>0</v>
      </c>
      <c r="H891" s="125">
        <v>0</v>
      </c>
      <c r="I891" s="125">
        <v>0</v>
      </c>
      <c r="J891" s="125">
        <v>0</v>
      </c>
      <c r="K891" s="125">
        <v>0</v>
      </c>
      <c r="L891" s="113">
        <v>0</v>
      </c>
      <c r="M891" s="113">
        <v>0</v>
      </c>
      <c r="N891" s="28">
        <f>G891-SUM(H891:M891)</f>
        <v>0</v>
      </c>
      <c r="O891" s="28">
        <f>SUM(V891:Y891)</f>
        <v>0</v>
      </c>
      <c r="P891" s="28">
        <f>O891-N891</f>
        <v>0</v>
      </c>
      <c r="Q891" s="61" t="str">
        <f>IF(ISERROR(P891/SUM(H891:L891)),"",P891/SUM(H891:L891))</f>
        <v/>
      </c>
      <c r="R891" s="113">
        <v>0</v>
      </c>
      <c r="S891" s="28">
        <f>IF(ISERROR(P891/C891*R891),0,(P891/C891*R891))</f>
        <v>0</v>
      </c>
      <c r="T891" s="60">
        <f>IF(ISERROR(P891/B891*AF891),0,(P891/B891*AF891))</f>
        <v>0</v>
      </c>
      <c r="V891" s="113">
        <v>0</v>
      </c>
      <c r="W891" s="113">
        <v>0</v>
      </c>
      <c r="X891" s="113">
        <v>0</v>
      </c>
      <c r="Y891" s="113">
        <v>0</v>
      </c>
      <c r="AA891" s="113">
        <v>0</v>
      </c>
      <c r="AB891" s="113">
        <v>0</v>
      </c>
      <c r="AC891" s="113">
        <v>0</v>
      </c>
      <c r="AD891" s="113">
        <v>0</v>
      </c>
      <c r="AF891" s="54">
        <v>0</v>
      </c>
      <c r="AG891" s="28">
        <f>G891-O891</f>
        <v>0</v>
      </c>
      <c r="AH891" s="58">
        <f>IF(ISERROR(AG891/B891*AF891),0,(AG891/B891*AF891))</f>
        <v>0</v>
      </c>
      <c r="AI891" s="28">
        <f>SUM(H891:M891)</f>
        <v>0</v>
      </c>
      <c r="AJ891" s="28">
        <f>IF(ISERROR(AI891/B891*AF891),0,(AI891/B891*AF891))</f>
        <v>0</v>
      </c>
      <c r="AK891" s="58">
        <f>IF(ISERROR(O891/B891*AF891),0,(O891/B891*AF891))</f>
        <v>0</v>
      </c>
      <c r="AL891" s="28">
        <f>IF(ISERROR(H891/B891*AF891),0,(H891/B891*AF891))</f>
        <v>0</v>
      </c>
      <c r="AN891" s="51">
        <f>A891</f>
        <v>0</v>
      </c>
      <c r="AO891" s="57">
        <f>IF(ISERROR(IF(B891=C891,D891/C891,(INT(D891/B891)+(((D891-B891*INT(D891/B891)))/C891)/100))),0,(IF(B891=C891,D891/C891,(INT(D891/B891)+(((D891-B891*INT(D891/B891)))/C891)/100))))</f>
        <v>0</v>
      </c>
      <c r="AP891" s="57">
        <f>IF(ISERROR(IF(B891=C891,E891/C891,(INT(E891/B891)+(((E891-B891*INT(E891/B891)))/C891)/100))),0,(IF(B891=C891,E891/C891,(INT(E891/B891)+(((E891-B891*INT(E891/B891)))/C891)/100))))</f>
        <v>0</v>
      </c>
      <c r="AQ891" s="57">
        <f>IF(ISERROR(IF(B891=C891,F891/C891,IF((INT(F891/B891)+(((F891-B891*INT(F891/B891)))/C891)/100)&lt;0,(INT(F891/B891)+(((F891-B891*INT(F891/B891)))/C891)/100)+(1-(B891/C891/100)),(INT(F891/B891)+(((F891-B891*INT(F891/B891)))/C891)/100)))),0,IF(B891=C891,F891/C891,IF((INT(F891/B891)+(((F891-B891*INT(F891/B891)))/C891)/100)&lt;0,(INT(F891/B891)+(((F891-B891*INT(F891/B891)))/C891)/100)+(1-(B891/C891/100)),(INT(F891/B891)+(((F891-B891*INT(F891/B891)))/C891)/100))))</f>
        <v>0</v>
      </c>
      <c r="AR891" s="57">
        <f>IF(ISERROR(IF(B891=C891,G891/C891,(INT(G891/B891)+(((G891-B891*INT(G891/B891)))/C891)/100))),0,(IF(B891=C891,G891/C891,(INT(G891/B891)+(((G891-B891*INT(G891/B891)))/C891)/100))))</f>
        <v>0</v>
      </c>
      <c r="AS891" s="57">
        <f>IF(ISERROR(IF(B891=C891,H891/C891,(INT(H891/B891)+(((H891-B891*INT(H891/B891)))/C891)/100))),0,(IF(B891=C891,H891/C891,(INT(H891/B891)+(((H891-B891*INT(H891/B891)))/C891)/100))))</f>
        <v>0</v>
      </c>
      <c r="AT891" s="57">
        <f>IF(ISERROR(IF(B891=C891,I891/C891,(INT(I891/B891)+(((I891-B891*INT(I891/B891)))/C891)/100))),0,(IF(B891=C891,I891/C891,(INT(I891/B891)+(((I891-B891*INT(I891/B891)))/C891)/100))))</f>
        <v>0</v>
      </c>
      <c r="AU891" s="57">
        <f>IF(ISERROR(IF(B891=C891,J891/C891,(INT(J891/B891)+(((J891-B891*INT(J891/B891)))/C891)/100))),0,(IF(B891=C891,J891/C891,(INT(J891/B891)+(((J891-B891*INT(J891/B891)))/C891)/100))))</f>
        <v>0</v>
      </c>
      <c r="AV891" s="57">
        <f>IF(ISERROR(IF(B891=C891,K891/C891,IF((INT(K891/B891)+(((K891-B891*INT(K891/B891)))/C891)/100)&lt;0,(INT(K891/B891)+(((K891-B891*INT(K891/B891)))/C891)/100)+(1-(B891/C891/100)),(INT(K891/B891)+(((K891-B891*INT(K891/B891)))/C891)/100)))),0,IF(B891=C891,K891/C891,IF((INT(K891/B891)+(((K891-B891*INT(K891/B891)))/C891)/100)&lt;0,(INT(K891/B891)+(((K891-B891*INT(K891/B891)))/C891)/100)+(1-(B891/C891/100)),(INT(K891/B891)+(((K891-B891*INT(K891/B891)))/C891)/100))))</f>
        <v>0</v>
      </c>
      <c r="AW891" s="57">
        <f>IF(ISERROR(IF(B891=C891,L891/C891,(INT(L891/B891)+(((L891-B891*INT(L891/B891)))/C891)/100))),0,(IF(B891=C891,L891/C891,(INT(L891/B891)+(((L891-B891*INT(L891/B891)))/C891)/100))))</f>
        <v>0</v>
      </c>
      <c r="AX891" s="57">
        <f>IF(ISERROR(IF(B891=C891,M891/C891,(INT(M891/B891)+(((M891-B891*INT(M891/B891)))/C891)/100))),0,(IF(B891=C891,M891/C891,(INT(M891/B891)+(((M891-B891*INT(M891/B891)))/C891)/100))))</f>
        <v>0</v>
      </c>
      <c r="AY891" s="57">
        <f>IF(ISERROR(IF(B891=C891,N891/C891,IF((INT(N891/B891)+(((N891-B891*INT(N891/B891)))/C891)/100)&lt;0,(INT(N891/B891)+(((N891-B891*INT(N891/B891)))/C891)/100)+(1-(B891/C891/100)),(INT(N891/B891)+(((N891-B891*INT(N891/B891)))/C891)/100)))),0,IF(B891=C891,N891/C891,IF((INT(N891/B891)+(((N891-B891*INT(N891/B891)))/C891)/100)&lt;0,(INT(N891/B891)+(((N891-B891*INT(N891/B891)))/C891)/100)+(1-(B891/C891/100)),(INT(N891/B891)+(((N891-B891*INT(N891/B891)))/C891)/100))))</f>
        <v>0</v>
      </c>
      <c r="AZ891" s="57">
        <f>IF(ISERROR(IF(B891=C891,O891/C891,(INT(O891/B891)+(((O891-B891*INT(O891/B891)))/C891)/100))),0,(IF(B891=C891,O891/C891,(INT(O891/B891)+(((O891-B891*INT(O891/B891)))/C891)/100))))</f>
        <v>0</v>
      </c>
      <c r="BA891" s="57">
        <f>IF(ISERROR(IF(B891=C891,P891/C891,IF((INT(P891/B891)+(((P891-B891*INT(P891/B891)))/C891)/100)&lt;0,(INT(P891/B891)+(((P891-B891*INT(P891/B891)))/C891)/100)+(1-(B891/C891/100)),(INT(P891/B891)+(((P891-B891*INT(P891/B891)))/C891)/100)))),0,IF(B891=C891,P891/C891,IF((INT(P891/B891)+(((P891-B891*INT(P891/B891)))/C891)/100)&lt;0,(INT(P891/B891)+(((P891-B891*INT(P891/B891)))/C891)/100)+(1-(B891/C891/100)),(INT(P891/B891)+(((P891-B891*INT(P891/B891)))/C891)/100))))</f>
        <v>0</v>
      </c>
      <c r="BB891" s="28">
        <f>R891</f>
        <v>0</v>
      </c>
      <c r="BC891" s="28">
        <f>S891</f>
        <v>0</v>
      </c>
      <c r="BD891" s="28">
        <f>AF891</f>
        <v>0</v>
      </c>
      <c r="BE891" s="28">
        <f>T891</f>
        <v>0</v>
      </c>
      <c r="BG891" s="57">
        <f>IF(ISERROR(IF(B891=C891,V891/C891,(INT(V891/B891)+(((V891-B891*INT(V891/B891)))/C891)/100))),0,(IF(B891=C891,V891/C891,(INT(V891/B891)+(((V891-B891*INT(V891/B891)))/C891)/100))))</f>
        <v>0</v>
      </c>
      <c r="BH891" s="57">
        <f>IF(ISERROR(IF(B891=C891,W891/C891,(INT(W891/B891)+(((W891-B891*INT(W891/B891)))/C891)/100))),0,(IF(B891=C891,W891/C891,(INT(W891/B891)+(((W891-B891*INT(W891/B891)))/C891)/100))))</f>
        <v>0</v>
      </c>
      <c r="BI891" s="57">
        <f>IF(ISERROR(IF(B891=C891,X891/C891,(INT(X891/B891)+(((X891-B891*INT(X891/B891)))/C891)/100))),0,(IF(B891=C891,X891/C891,(INT(X891/B891)+(((X891-B891*INT(X891/B891)))/C891)/100))))</f>
        <v>0</v>
      </c>
      <c r="BJ891" s="57">
        <f>IF(ISERROR(IF(B891=C891,Y891/C891,(INT(Y891/B891)+(((Y891-B891*INT(Y891/B891)))/C891)/100))),0,(IF(B891=C891,Y891/C891,(INT(Y891/B891)+(((Y891-B891*INT(Y891/B891)))/C891)/100))))</f>
        <v>0</v>
      </c>
      <c r="BL891" s="57">
        <f>IF(ISERROR(IF(B891=C891,AA891/C891,(INT(AA891/B891)+(((AA891-B891*INT(AA891/B891)))/C891)/100))),0,(IF(B891=C891,AA891/C891,(INT(AA891/B891)+(((AA891-B891*INT(AA891/B891)))/C891)/100))))</f>
        <v>0</v>
      </c>
      <c r="BM891" s="57">
        <f>IF(ISERROR(IF(B891=C891,AB891/C891,(INT(AB891/B891)+(((AB891-B891*INT(AB891/B891)))/C891)/100))),0,(IF(B891=C891,AB891/C891,(INT(AB891/B891)+(((AB891-B891*INT(AB891/B891)))/C891)/100))))</f>
        <v>0</v>
      </c>
      <c r="BN891" s="57">
        <f>IF(ISERROR(IF(B891=C891,AC891/C891,(INT(AC891/B891)+(((AC891-B891*INT(AC891/B891)))/C891)/100))),0,(IF(B891=C891,AC891/C891,(INT(AC891/B891)+(((AC891-B891*INT(AC891/B891)))/C891)/100))))</f>
        <v>0</v>
      </c>
      <c r="BO891" s="57">
        <f>IF(ISERROR(IF(B891=C891,AD891/C891,(INT(AD891/B891)+(((AD891-B891*INT(AD891/B891)))/C891)/100))),0,(IF(B891=C891,AD891/C891,(INT(AD891/B891)+(((AD891-B891*INT(AD891/B891)))/C891)/100))))</f>
        <v>0</v>
      </c>
      <c r="BQ891" s="124" t="s">
        <v>81</v>
      </c>
    </row>
    <row r="892" spans="1:69" hidden="1" x14ac:dyDescent="0.35">
      <c r="A892" s="94"/>
      <c r="B892" s="113">
        <v>0</v>
      </c>
      <c r="C892" s="113">
        <v>0</v>
      </c>
      <c r="D892" s="28">
        <f>SUM(AA892:AD892)</f>
        <v>0</v>
      </c>
      <c r="E892" s="125">
        <v>0</v>
      </c>
      <c r="F892" s="113">
        <v>0</v>
      </c>
      <c r="G892" s="28">
        <f>SUM(D892:F892)</f>
        <v>0</v>
      </c>
      <c r="H892" s="125">
        <v>0</v>
      </c>
      <c r="I892" s="125">
        <v>0</v>
      </c>
      <c r="J892" s="125">
        <v>0</v>
      </c>
      <c r="K892" s="125">
        <v>0</v>
      </c>
      <c r="L892" s="113">
        <v>0</v>
      </c>
      <c r="M892" s="113">
        <v>0</v>
      </c>
      <c r="N892" s="28">
        <f>G892-SUM(H892:M892)</f>
        <v>0</v>
      </c>
      <c r="O892" s="28">
        <f>SUM(V892:Y892)</f>
        <v>0</v>
      </c>
      <c r="P892" s="28">
        <f>O892-N892</f>
        <v>0</v>
      </c>
      <c r="Q892" s="61" t="str">
        <f>IF(ISERROR(P892/SUM(H892:L892)),"",P892/SUM(H892:L892))</f>
        <v/>
      </c>
      <c r="R892" s="113">
        <v>0</v>
      </c>
      <c r="S892" s="28">
        <f>IF(ISERROR(P892/C892*R892),0,(P892/C892*R892))</f>
        <v>0</v>
      </c>
      <c r="T892" s="60">
        <f>IF(ISERROR(P892/B892*AF892),0,(P892/B892*AF892))</f>
        <v>0</v>
      </c>
      <c r="V892" s="113">
        <v>0</v>
      </c>
      <c r="W892" s="113">
        <v>0</v>
      </c>
      <c r="X892" s="113">
        <v>0</v>
      </c>
      <c r="Y892" s="113">
        <v>0</v>
      </c>
      <c r="AA892" s="113">
        <v>0</v>
      </c>
      <c r="AB892" s="113">
        <v>0</v>
      </c>
      <c r="AC892" s="113">
        <v>0</v>
      </c>
      <c r="AD892" s="113">
        <v>0</v>
      </c>
      <c r="AF892" s="54">
        <v>0</v>
      </c>
      <c r="AG892" s="28">
        <f>G892-O892</f>
        <v>0</v>
      </c>
      <c r="AH892" s="58">
        <f>IF(ISERROR(AG892/B892*AF892),0,(AG892/B892*AF892))</f>
        <v>0</v>
      </c>
      <c r="AI892" s="28">
        <f>SUM(H892:M892)</f>
        <v>0</v>
      </c>
      <c r="AJ892" s="28">
        <f>IF(ISERROR(AI892/B892*AF892),0,(AI892/B892*AF892))</f>
        <v>0</v>
      </c>
      <c r="AK892" s="58">
        <f>IF(ISERROR(O892/B892*AF892),0,(O892/B892*AF892))</f>
        <v>0</v>
      </c>
      <c r="AL892" s="28">
        <f>IF(ISERROR(H892/B892*AF892),0,(H892/B892*AF892))</f>
        <v>0</v>
      </c>
      <c r="AN892" s="51">
        <f>A892</f>
        <v>0</v>
      </c>
      <c r="AO892" s="57">
        <f>IF(ISERROR(IF(B892=C892,D892/C892,(INT(D892/B892)+(((D892-B892*INT(D892/B892)))/C892)/100))),0,(IF(B892=C892,D892/C892,(INT(D892/B892)+(((D892-B892*INT(D892/B892)))/C892)/100))))</f>
        <v>0</v>
      </c>
      <c r="AP892" s="57">
        <f>IF(ISERROR(IF(B892=C892,E892/C892,(INT(E892/B892)+(((E892-B892*INT(E892/B892)))/C892)/100))),0,(IF(B892=C892,E892/C892,(INT(E892/B892)+(((E892-B892*INT(E892/B892)))/C892)/100))))</f>
        <v>0</v>
      </c>
      <c r="AQ892" s="57">
        <f>IF(ISERROR(IF(B892=C892,F892/C892,IF((INT(F892/B892)+(((F892-B892*INT(F892/B892)))/C892)/100)&lt;0,(INT(F892/B892)+(((F892-B892*INT(F892/B892)))/C892)/100)+(1-(B892/C892/100)),(INT(F892/B892)+(((F892-B892*INT(F892/B892)))/C892)/100)))),0,IF(B892=C892,F892/C892,IF((INT(F892/B892)+(((F892-B892*INT(F892/B892)))/C892)/100)&lt;0,(INT(F892/B892)+(((F892-B892*INT(F892/B892)))/C892)/100)+(1-(B892/C892/100)),(INT(F892/B892)+(((F892-B892*INT(F892/B892)))/C892)/100))))</f>
        <v>0</v>
      </c>
      <c r="AR892" s="57">
        <f>IF(ISERROR(IF(B892=C892,G892/C892,(INT(G892/B892)+(((G892-B892*INT(G892/B892)))/C892)/100))),0,(IF(B892=C892,G892/C892,(INT(G892/B892)+(((G892-B892*INT(G892/B892)))/C892)/100))))</f>
        <v>0</v>
      </c>
      <c r="AS892" s="57">
        <f>IF(ISERROR(IF(B892=C892,H892/C892,(INT(H892/B892)+(((H892-B892*INT(H892/B892)))/C892)/100))),0,(IF(B892=C892,H892/C892,(INT(H892/B892)+(((H892-B892*INT(H892/B892)))/C892)/100))))</f>
        <v>0</v>
      </c>
      <c r="AT892" s="57">
        <f>IF(ISERROR(IF(B892=C892,I892/C892,(INT(I892/B892)+(((I892-B892*INT(I892/B892)))/C892)/100))),0,(IF(B892=C892,I892/C892,(INT(I892/B892)+(((I892-B892*INT(I892/B892)))/C892)/100))))</f>
        <v>0</v>
      </c>
      <c r="AU892" s="57">
        <f>IF(ISERROR(IF(B892=C892,J892/C892,(INT(J892/B892)+(((J892-B892*INT(J892/B892)))/C892)/100))),0,(IF(B892=C892,J892/C892,(INT(J892/B892)+(((J892-B892*INT(J892/B892)))/C892)/100))))</f>
        <v>0</v>
      </c>
      <c r="AV892" s="57">
        <f>IF(ISERROR(IF(B892=C892,K892/C892,IF((INT(K892/B892)+(((K892-B892*INT(K892/B892)))/C892)/100)&lt;0,(INT(K892/B892)+(((K892-B892*INT(K892/B892)))/C892)/100)+(1-(B892/C892/100)),(INT(K892/B892)+(((K892-B892*INT(K892/B892)))/C892)/100)))),0,IF(B892=C892,K892/C892,IF((INT(K892/B892)+(((K892-B892*INT(K892/B892)))/C892)/100)&lt;0,(INT(K892/B892)+(((K892-B892*INT(K892/B892)))/C892)/100)+(1-(B892/C892/100)),(INT(K892/B892)+(((K892-B892*INT(K892/B892)))/C892)/100))))</f>
        <v>0</v>
      </c>
      <c r="AW892" s="57">
        <f>IF(ISERROR(IF(B892=C892,L892/C892,(INT(L892/B892)+(((L892-B892*INT(L892/B892)))/C892)/100))),0,(IF(B892=C892,L892/C892,(INT(L892/B892)+(((L892-B892*INT(L892/B892)))/C892)/100))))</f>
        <v>0</v>
      </c>
      <c r="AX892" s="57">
        <f>IF(ISERROR(IF(B892=C892,M892/C892,(INT(M892/B892)+(((M892-B892*INT(M892/B892)))/C892)/100))),0,(IF(B892=C892,M892/C892,(INT(M892/B892)+(((M892-B892*INT(M892/B892)))/C892)/100))))</f>
        <v>0</v>
      </c>
      <c r="AY892" s="57">
        <f>IF(ISERROR(IF(B892=C892,N892/C892,IF((INT(N892/B892)+(((N892-B892*INT(N892/B892)))/C892)/100)&lt;0,(INT(N892/B892)+(((N892-B892*INT(N892/B892)))/C892)/100)+(1-(B892/C892/100)),(INT(N892/B892)+(((N892-B892*INT(N892/B892)))/C892)/100)))),0,IF(B892=C892,N892/C892,IF((INT(N892/B892)+(((N892-B892*INT(N892/B892)))/C892)/100)&lt;0,(INT(N892/B892)+(((N892-B892*INT(N892/B892)))/C892)/100)+(1-(B892/C892/100)),(INT(N892/B892)+(((N892-B892*INT(N892/B892)))/C892)/100))))</f>
        <v>0</v>
      </c>
      <c r="AZ892" s="57">
        <f>IF(ISERROR(IF(B892=C892,O892/C892,(INT(O892/B892)+(((O892-B892*INT(O892/B892)))/C892)/100))),0,(IF(B892=C892,O892/C892,(INT(O892/B892)+(((O892-B892*INT(O892/B892)))/C892)/100))))</f>
        <v>0</v>
      </c>
      <c r="BA892" s="57">
        <f>IF(ISERROR(IF(B892=C892,P892/C892,IF((INT(P892/B892)+(((P892-B892*INT(P892/B892)))/C892)/100)&lt;0,(INT(P892/B892)+(((P892-B892*INT(P892/B892)))/C892)/100)+(1-(B892/C892/100)),(INT(P892/B892)+(((P892-B892*INT(P892/B892)))/C892)/100)))),0,IF(B892=C892,P892/C892,IF((INT(P892/B892)+(((P892-B892*INT(P892/B892)))/C892)/100)&lt;0,(INT(P892/B892)+(((P892-B892*INT(P892/B892)))/C892)/100)+(1-(B892/C892/100)),(INT(P892/B892)+(((P892-B892*INT(P892/B892)))/C892)/100))))</f>
        <v>0</v>
      </c>
      <c r="BB892" s="28">
        <f>R892</f>
        <v>0</v>
      </c>
      <c r="BC892" s="28">
        <f>S892</f>
        <v>0</v>
      </c>
      <c r="BD892" s="28">
        <f>AF892</f>
        <v>0</v>
      </c>
      <c r="BE892" s="28">
        <f>T892</f>
        <v>0</v>
      </c>
      <c r="BG892" s="57">
        <f>IF(ISERROR(IF(B892=C892,V892/C892,(INT(V892/B892)+(((V892-B892*INT(V892/B892)))/C892)/100))),0,(IF(B892=C892,V892/C892,(INT(V892/B892)+(((V892-B892*INT(V892/B892)))/C892)/100))))</f>
        <v>0</v>
      </c>
      <c r="BH892" s="57">
        <f>IF(ISERROR(IF(B892=C892,W892/C892,(INT(W892/B892)+(((W892-B892*INT(W892/B892)))/C892)/100))),0,(IF(B892=C892,W892/C892,(INT(W892/B892)+(((W892-B892*INT(W892/B892)))/C892)/100))))</f>
        <v>0</v>
      </c>
      <c r="BI892" s="57">
        <f>IF(ISERROR(IF(B892=C892,X892/C892,(INT(X892/B892)+(((X892-B892*INT(X892/B892)))/C892)/100))),0,(IF(B892=C892,X892/C892,(INT(X892/B892)+(((X892-B892*INT(X892/B892)))/C892)/100))))</f>
        <v>0</v>
      </c>
      <c r="BJ892" s="57">
        <f>IF(ISERROR(IF(B892=C892,Y892/C892,(INT(Y892/B892)+(((Y892-B892*INT(Y892/B892)))/C892)/100))),0,(IF(B892=C892,Y892/C892,(INT(Y892/B892)+(((Y892-B892*INT(Y892/B892)))/C892)/100))))</f>
        <v>0</v>
      </c>
      <c r="BL892" s="57">
        <f>IF(ISERROR(IF(B892=C892,AA892/C892,(INT(AA892/B892)+(((AA892-B892*INT(AA892/B892)))/C892)/100))),0,(IF(B892=C892,AA892/C892,(INT(AA892/B892)+(((AA892-B892*INT(AA892/B892)))/C892)/100))))</f>
        <v>0</v>
      </c>
      <c r="BM892" s="57">
        <f>IF(ISERROR(IF(B892=C892,AB892/C892,(INT(AB892/B892)+(((AB892-B892*INT(AB892/B892)))/C892)/100))),0,(IF(B892=C892,AB892/C892,(INT(AB892/B892)+(((AB892-B892*INT(AB892/B892)))/C892)/100))))</f>
        <v>0</v>
      </c>
      <c r="BN892" s="57">
        <f>IF(ISERROR(IF(B892=C892,AC892/C892,(INT(AC892/B892)+(((AC892-B892*INT(AC892/B892)))/C892)/100))),0,(IF(B892=C892,AC892/C892,(INT(AC892/B892)+(((AC892-B892*INT(AC892/B892)))/C892)/100))))</f>
        <v>0</v>
      </c>
      <c r="BO892" s="57">
        <f>IF(ISERROR(IF(B892=C892,AD892/C892,(INT(AD892/B892)+(((AD892-B892*INT(AD892/B892)))/C892)/100))),0,(IF(B892=C892,AD892/C892,(INT(AD892/B892)+(((AD892-B892*INT(AD892/B892)))/C892)/100))))</f>
        <v>0</v>
      </c>
      <c r="BQ892" s="124" t="s">
        <v>81</v>
      </c>
    </row>
    <row r="893" spans="1:69" hidden="1" x14ac:dyDescent="0.35">
      <c r="A893" s="94"/>
      <c r="B893" s="113">
        <v>0</v>
      </c>
      <c r="C893" s="113">
        <v>0</v>
      </c>
      <c r="D893" s="28">
        <f>SUM(AA893:AD893)</f>
        <v>0</v>
      </c>
      <c r="E893" s="125">
        <v>0</v>
      </c>
      <c r="F893" s="113">
        <v>0</v>
      </c>
      <c r="G893" s="28">
        <f>SUM(D893:F893)</f>
        <v>0</v>
      </c>
      <c r="H893" s="125">
        <v>0</v>
      </c>
      <c r="I893" s="125">
        <v>0</v>
      </c>
      <c r="J893" s="125">
        <v>0</v>
      </c>
      <c r="K893" s="125">
        <v>0</v>
      </c>
      <c r="L893" s="113">
        <v>0</v>
      </c>
      <c r="M893" s="113">
        <v>0</v>
      </c>
      <c r="N893" s="28">
        <f>G893-SUM(H893:M893)</f>
        <v>0</v>
      </c>
      <c r="O893" s="28">
        <f>SUM(V893:Y893)</f>
        <v>0</v>
      </c>
      <c r="P893" s="28">
        <f>O893-N893</f>
        <v>0</v>
      </c>
      <c r="Q893" s="61" t="str">
        <f>IF(ISERROR(P893/SUM(H893:L893)),"",P893/SUM(H893:L893))</f>
        <v/>
      </c>
      <c r="R893" s="113">
        <v>0</v>
      </c>
      <c r="S893" s="28">
        <f>IF(ISERROR(P893/C893*R893),0,(P893/C893*R893))</f>
        <v>0</v>
      </c>
      <c r="T893" s="60">
        <f>IF(ISERROR(P893/B893*AF893),0,(P893/B893*AF893))</f>
        <v>0</v>
      </c>
      <c r="V893" s="113">
        <v>0</v>
      </c>
      <c r="W893" s="113">
        <v>0</v>
      </c>
      <c r="X893" s="113">
        <v>0</v>
      </c>
      <c r="Y893" s="113">
        <v>0</v>
      </c>
      <c r="AA893" s="113">
        <v>0</v>
      </c>
      <c r="AB893" s="113">
        <v>0</v>
      </c>
      <c r="AC893" s="113">
        <v>0</v>
      </c>
      <c r="AD893" s="113">
        <v>0</v>
      </c>
      <c r="AF893" s="54">
        <v>0</v>
      </c>
      <c r="AG893" s="28">
        <f>G893-O893</f>
        <v>0</v>
      </c>
      <c r="AH893" s="58">
        <f>IF(ISERROR(AG893/B893*AF893),0,(AG893/B893*AF893))</f>
        <v>0</v>
      </c>
      <c r="AI893" s="28">
        <f>SUM(H893:M893)</f>
        <v>0</v>
      </c>
      <c r="AJ893" s="28">
        <f>IF(ISERROR(AI893/B893*AF893),0,(AI893/B893*AF893))</f>
        <v>0</v>
      </c>
      <c r="AK893" s="58">
        <f>IF(ISERROR(O893/B893*AF893),0,(O893/B893*AF893))</f>
        <v>0</v>
      </c>
      <c r="AL893" s="28">
        <f>IF(ISERROR(H893/B893*AF893),0,(H893/B893*AF893))</f>
        <v>0</v>
      </c>
      <c r="AN893" s="51">
        <f>A893</f>
        <v>0</v>
      </c>
      <c r="AO893" s="57">
        <f>IF(ISERROR(IF(B893=C893,D893/C893,(INT(D893/B893)+(((D893-B893*INT(D893/B893)))/C893)/100))),0,(IF(B893=C893,D893/C893,(INT(D893/B893)+(((D893-B893*INT(D893/B893)))/C893)/100))))</f>
        <v>0</v>
      </c>
      <c r="AP893" s="57">
        <f>IF(ISERROR(IF(B893=C893,E893/C893,(INT(E893/B893)+(((E893-B893*INT(E893/B893)))/C893)/100))),0,(IF(B893=C893,E893/C893,(INT(E893/B893)+(((E893-B893*INT(E893/B893)))/C893)/100))))</f>
        <v>0</v>
      </c>
      <c r="AQ893" s="57">
        <f>IF(ISERROR(IF(B893=C893,F893/C893,IF((INT(F893/B893)+(((F893-B893*INT(F893/B893)))/C893)/100)&lt;0,(INT(F893/B893)+(((F893-B893*INT(F893/B893)))/C893)/100)+(1-(B893/C893/100)),(INT(F893/B893)+(((F893-B893*INT(F893/B893)))/C893)/100)))),0,IF(B893=C893,F893/C893,IF((INT(F893/B893)+(((F893-B893*INT(F893/B893)))/C893)/100)&lt;0,(INT(F893/B893)+(((F893-B893*INT(F893/B893)))/C893)/100)+(1-(B893/C893/100)),(INT(F893/B893)+(((F893-B893*INT(F893/B893)))/C893)/100))))</f>
        <v>0</v>
      </c>
      <c r="AR893" s="57">
        <f>IF(ISERROR(IF(B893=C893,G893/C893,(INT(G893/B893)+(((G893-B893*INT(G893/B893)))/C893)/100))),0,(IF(B893=C893,G893/C893,(INT(G893/B893)+(((G893-B893*INT(G893/B893)))/C893)/100))))</f>
        <v>0</v>
      </c>
      <c r="AS893" s="57">
        <f>IF(ISERROR(IF(B893=C893,H893/C893,(INT(H893/B893)+(((H893-B893*INT(H893/B893)))/C893)/100))),0,(IF(B893=C893,H893/C893,(INT(H893/B893)+(((H893-B893*INT(H893/B893)))/C893)/100))))</f>
        <v>0</v>
      </c>
      <c r="AT893" s="57">
        <f>IF(ISERROR(IF(B893=C893,I893/C893,(INT(I893/B893)+(((I893-B893*INT(I893/B893)))/C893)/100))),0,(IF(B893=C893,I893/C893,(INT(I893/B893)+(((I893-B893*INT(I893/B893)))/C893)/100))))</f>
        <v>0</v>
      </c>
      <c r="AU893" s="57">
        <f>IF(ISERROR(IF(B893=C893,J893/C893,(INT(J893/B893)+(((J893-B893*INT(J893/B893)))/C893)/100))),0,(IF(B893=C893,J893/C893,(INT(J893/B893)+(((J893-B893*INT(J893/B893)))/C893)/100))))</f>
        <v>0</v>
      </c>
      <c r="AV893" s="57">
        <f>IF(ISERROR(IF(B893=C893,K893/C893,IF((INT(K893/B893)+(((K893-B893*INT(K893/B893)))/C893)/100)&lt;0,(INT(K893/B893)+(((K893-B893*INT(K893/B893)))/C893)/100)+(1-(B893/C893/100)),(INT(K893/B893)+(((K893-B893*INT(K893/B893)))/C893)/100)))),0,IF(B893=C893,K893/C893,IF((INT(K893/B893)+(((K893-B893*INT(K893/B893)))/C893)/100)&lt;0,(INT(K893/B893)+(((K893-B893*INT(K893/B893)))/C893)/100)+(1-(B893/C893/100)),(INT(K893/B893)+(((K893-B893*INT(K893/B893)))/C893)/100))))</f>
        <v>0</v>
      </c>
      <c r="AW893" s="57">
        <f>IF(ISERROR(IF(B893=C893,L893/C893,(INT(L893/B893)+(((L893-B893*INT(L893/B893)))/C893)/100))),0,(IF(B893=C893,L893/C893,(INT(L893/B893)+(((L893-B893*INT(L893/B893)))/C893)/100))))</f>
        <v>0</v>
      </c>
      <c r="AX893" s="57">
        <f>IF(ISERROR(IF(B893=C893,M893/C893,(INT(M893/B893)+(((M893-B893*INT(M893/B893)))/C893)/100))),0,(IF(B893=C893,M893/C893,(INT(M893/B893)+(((M893-B893*INT(M893/B893)))/C893)/100))))</f>
        <v>0</v>
      </c>
      <c r="AY893" s="57">
        <f>IF(ISERROR(IF(B893=C893,N893/C893,IF((INT(N893/B893)+(((N893-B893*INT(N893/B893)))/C893)/100)&lt;0,(INT(N893/B893)+(((N893-B893*INT(N893/B893)))/C893)/100)+(1-(B893/C893/100)),(INT(N893/B893)+(((N893-B893*INT(N893/B893)))/C893)/100)))),0,IF(B893=C893,N893/C893,IF((INT(N893/B893)+(((N893-B893*INT(N893/B893)))/C893)/100)&lt;0,(INT(N893/B893)+(((N893-B893*INT(N893/B893)))/C893)/100)+(1-(B893/C893/100)),(INT(N893/B893)+(((N893-B893*INT(N893/B893)))/C893)/100))))</f>
        <v>0</v>
      </c>
      <c r="AZ893" s="57">
        <f>IF(ISERROR(IF(B893=C893,O893/C893,(INT(O893/B893)+(((O893-B893*INT(O893/B893)))/C893)/100))),0,(IF(B893=C893,O893/C893,(INT(O893/B893)+(((O893-B893*INT(O893/B893)))/C893)/100))))</f>
        <v>0</v>
      </c>
      <c r="BA893" s="57">
        <f>IF(ISERROR(IF(B893=C893,P893/C893,IF((INT(P893/B893)+(((P893-B893*INT(P893/B893)))/C893)/100)&lt;0,(INT(P893/B893)+(((P893-B893*INT(P893/B893)))/C893)/100)+(1-(B893/C893/100)),(INT(P893/B893)+(((P893-B893*INT(P893/B893)))/C893)/100)))),0,IF(B893=C893,P893/C893,IF((INT(P893/B893)+(((P893-B893*INT(P893/B893)))/C893)/100)&lt;0,(INT(P893/B893)+(((P893-B893*INT(P893/B893)))/C893)/100)+(1-(B893/C893/100)),(INT(P893/B893)+(((P893-B893*INT(P893/B893)))/C893)/100))))</f>
        <v>0</v>
      </c>
      <c r="BB893" s="28">
        <f>R893</f>
        <v>0</v>
      </c>
      <c r="BC893" s="28">
        <f>S893</f>
        <v>0</v>
      </c>
      <c r="BD893" s="28">
        <f>AF893</f>
        <v>0</v>
      </c>
      <c r="BE893" s="28">
        <f>T893</f>
        <v>0</v>
      </c>
      <c r="BG893" s="57">
        <f>IF(ISERROR(IF(B893=C893,V893/C893,(INT(V893/B893)+(((V893-B893*INT(V893/B893)))/C893)/100))),0,(IF(B893=C893,V893/C893,(INT(V893/B893)+(((V893-B893*INT(V893/B893)))/C893)/100))))</f>
        <v>0</v>
      </c>
      <c r="BH893" s="57">
        <f>IF(ISERROR(IF(B893=C893,W893/C893,(INT(W893/B893)+(((W893-B893*INT(W893/B893)))/C893)/100))),0,(IF(B893=C893,W893/C893,(INT(W893/B893)+(((W893-B893*INT(W893/B893)))/C893)/100))))</f>
        <v>0</v>
      </c>
      <c r="BI893" s="57">
        <f>IF(ISERROR(IF(B893=C893,X893/C893,(INT(X893/B893)+(((X893-B893*INT(X893/B893)))/C893)/100))),0,(IF(B893=C893,X893/C893,(INT(X893/B893)+(((X893-B893*INT(X893/B893)))/C893)/100))))</f>
        <v>0</v>
      </c>
      <c r="BJ893" s="57">
        <f>IF(ISERROR(IF(B893=C893,Y893/C893,(INT(Y893/B893)+(((Y893-B893*INT(Y893/B893)))/C893)/100))),0,(IF(B893=C893,Y893/C893,(INT(Y893/B893)+(((Y893-B893*INT(Y893/B893)))/C893)/100))))</f>
        <v>0</v>
      </c>
      <c r="BL893" s="57">
        <f>IF(ISERROR(IF(B893=C893,AA893/C893,(INT(AA893/B893)+(((AA893-B893*INT(AA893/B893)))/C893)/100))),0,(IF(B893=C893,AA893/C893,(INT(AA893/B893)+(((AA893-B893*INT(AA893/B893)))/C893)/100))))</f>
        <v>0</v>
      </c>
      <c r="BM893" s="57">
        <f>IF(ISERROR(IF(B893=C893,AB893/C893,(INT(AB893/B893)+(((AB893-B893*INT(AB893/B893)))/C893)/100))),0,(IF(B893=C893,AB893/C893,(INT(AB893/B893)+(((AB893-B893*INT(AB893/B893)))/C893)/100))))</f>
        <v>0</v>
      </c>
      <c r="BN893" s="57">
        <f>IF(ISERROR(IF(B893=C893,AC893/C893,(INT(AC893/B893)+(((AC893-B893*INT(AC893/B893)))/C893)/100))),0,(IF(B893=C893,AC893/C893,(INT(AC893/B893)+(((AC893-B893*INT(AC893/B893)))/C893)/100))))</f>
        <v>0</v>
      </c>
      <c r="BO893" s="57">
        <f>IF(ISERROR(IF(B893=C893,AD893/C893,(INT(AD893/B893)+(((AD893-B893*INT(AD893/B893)))/C893)/100))),0,(IF(B893=C893,AD893/C893,(INT(AD893/B893)+(((AD893-B893*INT(AD893/B893)))/C893)/100))))</f>
        <v>0</v>
      </c>
      <c r="BQ893" s="124" t="s">
        <v>81</v>
      </c>
    </row>
    <row r="894" spans="1:69" hidden="1" x14ac:dyDescent="0.35">
      <c r="A894" s="94"/>
      <c r="B894" s="113">
        <v>0</v>
      </c>
      <c r="C894" s="113">
        <v>0</v>
      </c>
      <c r="D894" s="28">
        <f>SUM(AA894:AD894)</f>
        <v>0</v>
      </c>
      <c r="E894" s="125">
        <v>0</v>
      </c>
      <c r="F894" s="113">
        <v>0</v>
      </c>
      <c r="G894" s="28">
        <f>SUM(D894:F894)</f>
        <v>0</v>
      </c>
      <c r="H894" s="125">
        <v>0</v>
      </c>
      <c r="I894" s="125">
        <v>0</v>
      </c>
      <c r="J894" s="125">
        <v>0</v>
      </c>
      <c r="K894" s="125">
        <v>0</v>
      </c>
      <c r="L894" s="113">
        <v>0</v>
      </c>
      <c r="M894" s="113">
        <v>0</v>
      </c>
      <c r="N894" s="28">
        <f>G894-SUM(H894:M894)</f>
        <v>0</v>
      </c>
      <c r="O894" s="28">
        <f>SUM(V894:Y894)</f>
        <v>0</v>
      </c>
      <c r="P894" s="28">
        <f>O894-N894</f>
        <v>0</v>
      </c>
      <c r="Q894" s="61" t="str">
        <f>IF(ISERROR(P894/SUM(H894:L894)),"",P894/SUM(H894:L894))</f>
        <v/>
      </c>
      <c r="R894" s="113">
        <v>0</v>
      </c>
      <c r="S894" s="28">
        <f>IF(ISERROR(P894/C894*R894),0,(P894/C894*R894))</f>
        <v>0</v>
      </c>
      <c r="T894" s="60">
        <f>IF(ISERROR(P894/B894*AF894),0,(P894/B894*AF894))</f>
        <v>0</v>
      </c>
      <c r="V894" s="113">
        <v>0</v>
      </c>
      <c r="W894" s="113">
        <v>0</v>
      </c>
      <c r="X894" s="113">
        <v>0</v>
      </c>
      <c r="Y894" s="113">
        <v>0</v>
      </c>
      <c r="AA894" s="113">
        <v>0</v>
      </c>
      <c r="AB894" s="113">
        <v>0</v>
      </c>
      <c r="AC894" s="113">
        <v>0</v>
      </c>
      <c r="AD894" s="113">
        <v>0</v>
      </c>
      <c r="AF894" s="54">
        <v>0</v>
      </c>
      <c r="AG894" s="28">
        <f>G894-O894</f>
        <v>0</v>
      </c>
      <c r="AH894" s="58">
        <f>IF(ISERROR(AG894/B894*AF894),0,(AG894/B894*AF894))</f>
        <v>0</v>
      </c>
      <c r="AI894" s="28">
        <f>SUM(H894:M894)</f>
        <v>0</v>
      </c>
      <c r="AJ894" s="28">
        <f>IF(ISERROR(AI894/B894*AF894),0,(AI894/B894*AF894))</f>
        <v>0</v>
      </c>
      <c r="AK894" s="58">
        <f>IF(ISERROR(O894/B894*AF894),0,(O894/B894*AF894))</f>
        <v>0</v>
      </c>
      <c r="AL894" s="28">
        <f>IF(ISERROR(H894/B894*AF894),0,(H894/B894*AF894))</f>
        <v>0</v>
      </c>
      <c r="AN894" s="51">
        <f>A894</f>
        <v>0</v>
      </c>
      <c r="AO894" s="57">
        <f>IF(ISERROR(IF(B894=C894,D894/C894,(INT(D894/B894)+(((D894-B894*INT(D894/B894)))/C894)/100))),0,(IF(B894=C894,D894/C894,(INT(D894/B894)+(((D894-B894*INT(D894/B894)))/C894)/100))))</f>
        <v>0</v>
      </c>
      <c r="AP894" s="57">
        <f>IF(ISERROR(IF(B894=C894,E894/C894,(INT(E894/B894)+(((E894-B894*INT(E894/B894)))/C894)/100))),0,(IF(B894=C894,E894/C894,(INT(E894/B894)+(((E894-B894*INT(E894/B894)))/C894)/100))))</f>
        <v>0</v>
      </c>
      <c r="AQ894" s="57">
        <f>IF(ISERROR(IF(B894=C894,F894/C894,IF((INT(F894/B894)+(((F894-B894*INT(F894/B894)))/C894)/100)&lt;0,(INT(F894/B894)+(((F894-B894*INT(F894/B894)))/C894)/100)+(1-(B894/C894/100)),(INT(F894/B894)+(((F894-B894*INT(F894/B894)))/C894)/100)))),0,IF(B894=C894,F894/C894,IF((INT(F894/B894)+(((F894-B894*INT(F894/B894)))/C894)/100)&lt;0,(INT(F894/B894)+(((F894-B894*INT(F894/B894)))/C894)/100)+(1-(B894/C894/100)),(INT(F894/B894)+(((F894-B894*INT(F894/B894)))/C894)/100))))</f>
        <v>0</v>
      </c>
      <c r="AR894" s="57">
        <f>IF(ISERROR(IF(B894=C894,G894/C894,(INT(G894/B894)+(((G894-B894*INT(G894/B894)))/C894)/100))),0,(IF(B894=C894,G894/C894,(INT(G894/B894)+(((G894-B894*INT(G894/B894)))/C894)/100))))</f>
        <v>0</v>
      </c>
      <c r="AS894" s="57">
        <f>IF(ISERROR(IF(B894=C894,H894/C894,(INT(H894/B894)+(((H894-B894*INT(H894/B894)))/C894)/100))),0,(IF(B894=C894,H894/C894,(INT(H894/B894)+(((H894-B894*INT(H894/B894)))/C894)/100))))</f>
        <v>0</v>
      </c>
      <c r="AT894" s="57">
        <f>IF(ISERROR(IF(B894=C894,I894/C894,(INT(I894/B894)+(((I894-B894*INT(I894/B894)))/C894)/100))),0,(IF(B894=C894,I894/C894,(INT(I894/B894)+(((I894-B894*INT(I894/B894)))/C894)/100))))</f>
        <v>0</v>
      </c>
      <c r="AU894" s="57">
        <f>IF(ISERROR(IF(B894=C894,J894/C894,(INT(J894/B894)+(((J894-B894*INT(J894/B894)))/C894)/100))),0,(IF(B894=C894,J894/C894,(INT(J894/B894)+(((J894-B894*INT(J894/B894)))/C894)/100))))</f>
        <v>0</v>
      </c>
      <c r="AV894" s="57">
        <f>IF(ISERROR(IF(B894=C894,K894/C894,IF((INT(K894/B894)+(((K894-B894*INT(K894/B894)))/C894)/100)&lt;0,(INT(K894/B894)+(((K894-B894*INT(K894/B894)))/C894)/100)+(1-(B894/C894/100)),(INT(K894/B894)+(((K894-B894*INT(K894/B894)))/C894)/100)))),0,IF(B894=C894,K894/C894,IF((INT(K894/B894)+(((K894-B894*INT(K894/B894)))/C894)/100)&lt;0,(INT(K894/B894)+(((K894-B894*INT(K894/B894)))/C894)/100)+(1-(B894/C894/100)),(INT(K894/B894)+(((K894-B894*INT(K894/B894)))/C894)/100))))</f>
        <v>0</v>
      </c>
      <c r="AW894" s="57">
        <f>IF(ISERROR(IF(B894=C894,L894/C894,(INT(L894/B894)+(((L894-B894*INT(L894/B894)))/C894)/100))),0,(IF(B894=C894,L894/C894,(INT(L894/B894)+(((L894-B894*INT(L894/B894)))/C894)/100))))</f>
        <v>0</v>
      </c>
      <c r="AX894" s="57">
        <f>IF(ISERROR(IF(B894=C894,M894/C894,(INT(M894/B894)+(((M894-B894*INT(M894/B894)))/C894)/100))),0,(IF(B894=C894,M894/C894,(INT(M894/B894)+(((M894-B894*INT(M894/B894)))/C894)/100))))</f>
        <v>0</v>
      </c>
      <c r="AY894" s="57">
        <f>IF(ISERROR(IF(B894=C894,N894/C894,IF((INT(N894/B894)+(((N894-B894*INT(N894/B894)))/C894)/100)&lt;0,(INT(N894/B894)+(((N894-B894*INT(N894/B894)))/C894)/100)+(1-(B894/C894/100)),(INT(N894/B894)+(((N894-B894*INT(N894/B894)))/C894)/100)))),0,IF(B894=C894,N894/C894,IF((INT(N894/B894)+(((N894-B894*INT(N894/B894)))/C894)/100)&lt;0,(INT(N894/B894)+(((N894-B894*INT(N894/B894)))/C894)/100)+(1-(B894/C894/100)),(INT(N894/B894)+(((N894-B894*INT(N894/B894)))/C894)/100))))</f>
        <v>0</v>
      </c>
      <c r="AZ894" s="57">
        <f>IF(ISERROR(IF(B894=C894,O894/C894,(INT(O894/B894)+(((O894-B894*INT(O894/B894)))/C894)/100))),0,(IF(B894=C894,O894/C894,(INT(O894/B894)+(((O894-B894*INT(O894/B894)))/C894)/100))))</f>
        <v>0</v>
      </c>
      <c r="BA894" s="57">
        <f>IF(ISERROR(IF(B894=C894,P894/C894,IF((INT(P894/B894)+(((P894-B894*INT(P894/B894)))/C894)/100)&lt;0,(INT(P894/B894)+(((P894-B894*INT(P894/B894)))/C894)/100)+(1-(B894/C894/100)),(INT(P894/B894)+(((P894-B894*INT(P894/B894)))/C894)/100)))),0,IF(B894=C894,P894/C894,IF((INT(P894/B894)+(((P894-B894*INT(P894/B894)))/C894)/100)&lt;0,(INT(P894/B894)+(((P894-B894*INT(P894/B894)))/C894)/100)+(1-(B894/C894/100)),(INT(P894/B894)+(((P894-B894*INT(P894/B894)))/C894)/100))))</f>
        <v>0</v>
      </c>
      <c r="BB894" s="28">
        <f>R894</f>
        <v>0</v>
      </c>
      <c r="BC894" s="28">
        <f>S894</f>
        <v>0</v>
      </c>
      <c r="BD894" s="28">
        <f>AF894</f>
        <v>0</v>
      </c>
      <c r="BE894" s="28">
        <f>T894</f>
        <v>0</v>
      </c>
      <c r="BG894" s="57">
        <f>IF(ISERROR(IF(B894=C894,V894/C894,(INT(V894/B894)+(((V894-B894*INT(V894/B894)))/C894)/100))),0,(IF(B894=C894,V894/C894,(INT(V894/B894)+(((V894-B894*INT(V894/B894)))/C894)/100))))</f>
        <v>0</v>
      </c>
      <c r="BH894" s="57">
        <f>IF(ISERROR(IF(B894=C894,W894/C894,(INT(W894/B894)+(((W894-B894*INT(W894/B894)))/C894)/100))),0,(IF(B894=C894,W894/C894,(INT(W894/B894)+(((W894-B894*INT(W894/B894)))/C894)/100))))</f>
        <v>0</v>
      </c>
      <c r="BI894" s="57">
        <f>IF(ISERROR(IF(B894=C894,X894/C894,(INT(X894/B894)+(((X894-B894*INT(X894/B894)))/C894)/100))),0,(IF(B894=C894,X894/C894,(INT(X894/B894)+(((X894-B894*INT(X894/B894)))/C894)/100))))</f>
        <v>0</v>
      </c>
      <c r="BJ894" s="57">
        <f>IF(ISERROR(IF(B894=C894,Y894/C894,(INT(Y894/B894)+(((Y894-B894*INT(Y894/B894)))/C894)/100))),0,(IF(B894=C894,Y894/C894,(INT(Y894/B894)+(((Y894-B894*INT(Y894/B894)))/C894)/100))))</f>
        <v>0</v>
      </c>
      <c r="BL894" s="57">
        <f>IF(ISERROR(IF(B894=C894,AA894/C894,(INT(AA894/B894)+(((AA894-B894*INT(AA894/B894)))/C894)/100))),0,(IF(B894=C894,AA894/C894,(INT(AA894/B894)+(((AA894-B894*INT(AA894/B894)))/C894)/100))))</f>
        <v>0</v>
      </c>
      <c r="BM894" s="57">
        <f>IF(ISERROR(IF(B894=C894,AB894/C894,(INT(AB894/B894)+(((AB894-B894*INT(AB894/B894)))/C894)/100))),0,(IF(B894=C894,AB894/C894,(INT(AB894/B894)+(((AB894-B894*INT(AB894/B894)))/C894)/100))))</f>
        <v>0</v>
      </c>
      <c r="BN894" s="57">
        <f>IF(ISERROR(IF(B894=C894,AC894/C894,(INT(AC894/B894)+(((AC894-B894*INT(AC894/B894)))/C894)/100))),0,(IF(B894=C894,AC894/C894,(INT(AC894/B894)+(((AC894-B894*INT(AC894/B894)))/C894)/100))))</f>
        <v>0</v>
      </c>
      <c r="BO894" s="57">
        <f>IF(ISERROR(IF(B894=C894,AD894/C894,(INT(AD894/B894)+(((AD894-B894*INT(AD894/B894)))/C894)/100))),0,(IF(B894=C894,AD894/C894,(INT(AD894/B894)+(((AD894-B894*INT(AD894/B894)))/C894)/100))))</f>
        <v>0</v>
      </c>
      <c r="BQ894" s="124" t="s">
        <v>81</v>
      </c>
    </row>
    <row r="895" spans="1:69" hidden="1" x14ac:dyDescent="0.35">
      <c r="A895" s="94"/>
      <c r="B895" s="113">
        <v>0</v>
      </c>
      <c r="C895" s="113">
        <v>0</v>
      </c>
      <c r="D895" s="28">
        <f>SUM(AA895:AD895)</f>
        <v>0</v>
      </c>
      <c r="E895" s="125">
        <v>0</v>
      </c>
      <c r="F895" s="113">
        <v>0</v>
      </c>
      <c r="G895" s="28">
        <f>SUM(D895:F895)</f>
        <v>0</v>
      </c>
      <c r="H895" s="125">
        <v>0</v>
      </c>
      <c r="I895" s="125">
        <v>0</v>
      </c>
      <c r="J895" s="125">
        <v>0</v>
      </c>
      <c r="K895" s="125">
        <v>0</v>
      </c>
      <c r="L895" s="113">
        <v>0</v>
      </c>
      <c r="M895" s="113">
        <v>0</v>
      </c>
      <c r="N895" s="28">
        <f>G895-SUM(H895:M895)</f>
        <v>0</v>
      </c>
      <c r="O895" s="28">
        <f>SUM(V895:Y895)</f>
        <v>0</v>
      </c>
      <c r="P895" s="28">
        <f>O895-N895</f>
        <v>0</v>
      </c>
      <c r="Q895" s="61" t="str">
        <f>IF(ISERROR(P895/SUM(H895:L895)),"",P895/SUM(H895:L895))</f>
        <v/>
      </c>
      <c r="R895" s="113">
        <v>0</v>
      </c>
      <c r="S895" s="28">
        <f>IF(ISERROR(P895/C895*R895),0,(P895/C895*R895))</f>
        <v>0</v>
      </c>
      <c r="T895" s="60">
        <f>IF(ISERROR(P895/B895*AF895),0,(P895/B895*AF895))</f>
        <v>0</v>
      </c>
      <c r="V895" s="113">
        <v>0</v>
      </c>
      <c r="W895" s="113">
        <v>0</v>
      </c>
      <c r="X895" s="113">
        <v>0</v>
      </c>
      <c r="Y895" s="113">
        <v>0</v>
      </c>
      <c r="AA895" s="113">
        <v>0</v>
      </c>
      <c r="AB895" s="113">
        <v>0</v>
      </c>
      <c r="AC895" s="113">
        <v>0</v>
      </c>
      <c r="AD895" s="113">
        <v>0</v>
      </c>
      <c r="AF895" s="54">
        <v>0</v>
      </c>
      <c r="AG895" s="28">
        <f>G895-O895</f>
        <v>0</v>
      </c>
      <c r="AH895" s="58">
        <f>IF(ISERROR(AG895/B895*AF895),0,(AG895/B895*AF895))</f>
        <v>0</v>
      </c>
      <c r="AI895" s="28">
        <f>SUM(H895:M895)</f>
        <v>0</v>
      </c>
      <c r="AJ895" s="28">
        <f>IF(ISERROR(AI895/B895*AF895),0,(AI895/B895*AF895))</f>
        <v>0</v>
      </c>
      <c r="AK895" s="58">
        <f>IF(ISERROR(O895/B895*AF895),0,(O895/B895*AF895))</f>
        <v>0</v>
      </c>
      <c r="AL895" s="28">
        <f>IF(ISERROR(H895/B895*AF895),0,(H895/B895*AF895))</f>
        <v>0</v>
      </c>
      <c r="AN895" s="51">
        <f>A895</f>
        <v>0</v>
      </c>
      <c r="AO895" s="57">
        <f>IF(ISERROR(IF(B895=C895,D895/C895,(INT(D895/B895)+(((D895-B895*INT(D895/B895)))/C895)/100))),0,(IF(B895=C895,D895/C895,(INT(D895/B895)+(((D895-B895*INT(D895/B895)))/C895)/100))))</f>
        <v>0</v>
      </c>
      <c r="AP895" s="57">
        <f>IF(ISERROR(IF(B895=C895,E895/C895,(INT(E895/B895)+(((E895-B895*INT(E895/B895)))/C895)/100))),0,(IF(B895=C895,E895/C895,(INT(E895/B895)+(((E895-B895*INT(E895/B895)))/C895)/100))))</f>
        <v>0</v>
      </c>
      <c r="AQ895" s="57">
        <f>IF(ISERROR(IF(B895=C895,F895/C895,IF((INT(F895/B895)+(((F895-B895*INT(F895/B895)))/C895)/100)&lt;0,(INT(F895/B895)+(((F895-B895*INT(F895/B895)))/C895)/100)+(1-(B895/C895/100)),(INT(F895/B895)+(((F895-B895*INT(F895/B895)))/C895)/100)))),0,IF(B895=C895,F895/C895,IF((INT(F895/B895)+(((F895-B895*INT(F895/B895)))/C895)/100)&lt;0,(INT(F895/B895)+(((F895-B895*INT(F895/B895)))/C895)/100)+(1-(B895/C895/100)),(INT(F895/B895)+(((F895-B895*INT(F895/B895)))/C895)/100))))</f>
        <v>0</v>
      </c>
      <c r="AR895" s="57">
        <f>IF(ISERROR(IF(B895=C895,G895/C895,(INT(G895/B895)+(((G895-B895*INT(G895/B895)))/C895)/100))),0,(IF(B895=C895,G895/C895,(INT(G895/B895)+(((G895-B895*INT(G895/B895)))/C895)/100))))</f>
        <v>0</v>
      </c>
      <c r="AS895" s="57">
        <f>IF(ISERROR(IF(B895=C895,H895/C895,(INT(H895/B895)+(((H895-B895*INT(H895/B895)))/C895)/100))),0,(IF(B895=C895,H895/C895,(INT(H895/B895)+(((H895-B895*INT(H895/B895)))/C895)/100))))</f>
        <v>0</v>
      </c>
      <c r="AT895" s="57">
        <f>IF(ISERROR(IF(B895=C895,I895/C895,(INT(I895/B895)+(((I895-B895*INT(I895/B895)))/C895)/100))),0,(IF(B895=C895,I895/C895,(INT(I895/B895)+(((I895-B895*INT(I895/B895)))/C895)/100))))</f>
        <v>0</v>
      </c>
      <c r="AU895" s="57">
        <f>IF(ISERROR(IF(B895=C895,J895/C895,(INT(J895/B895)+(((J895-B895*INT(J895/B895)))/C895)/100))),0,(IF(B895=C895,J895/C895,(INT(J895/B895)+(((J895-B895*INT(J895/B895)))/C895)/100))))</f>
        <v>0</v>
      </c>
      <c r="AV895" s="57">
        <f>IF(ISERROR(IF(B895=C895,K895/C895,IF((INT(K895/B895)+(((K895-B895*INT(K895/B895)))/C895)/100)&lt;0,(INT(K895/B895)+(((K895-B895*INT(K895/B895)))/C895)/100)+(1-(B895/C895/100)),(INT(K895/B895)+(((K895-B895*INT(K895/B895)))/C895)/100)))),0,IF(B895=C895,K895/C895,IF((INT(K895/B895)+(((K895-B895*INT(K895/B895)))/C895)/100)&lt;0,(INT(K895/B895)+(((K895-B895*INT(K895/B895)))/C895)/100)+(1-(B895/C895/100)),(INT(K895/B895)+(((K895-B895*INT(K895/B895)))/C895)/100))))</f>
        <v>0</v>
      </c>
      <c r="AW895" s="57">
        <f>IF(ISERROR(IF(B895=C895,L895/C895,(INT(L895/B895)+(((L895-B895*INT(L895/B895)))/C895)/100))),0,(IF(B895=C895,L895/C895,(INT(L895/B895)+(((L895-B895*INT(L895/B895)))/C895)/100))))</f>
        <v>0</v>
      </c>
      <c r="AX895" s="57">
        <f>IF(ISERROR(IF(B895=C895,M895/C895,(INT(M895/B895)+(((M895-B895*INT(M895/B895)))/C895)/100))),0,(IF(B895=C895,M895/C895,(INT(M895/B895)+(((M895-B895*INT(M895/B895)))/C895)/100))))</f>
        <v>0</v>
      </c>
      <c r="AY895" s="57">
        <f>IF(ISERROR(IF(B895=C895,N895/C895,IF((INT(N895/B895)+(((N895-B895*INT(N895/B895)))/C895)/100)&lt;0,(INT(N895/B895)+(((N895-B895*INT(N895/B895)))/C895)/100)+(1-(B895/C895/100)),(INT(N895/B895)+(((N895-B895*INT(N895/B895)))/C895)/100)))),0,IF(B895=C895,N895/C895,IF((INT(N895/B895)+(((N895-B895*INT(N895/B895)))/C895)/100)&lt;0,(INT(N895/B895)+(((N895-B895*INT(N895/B895)))/C895)/100)+(1-(B895/C895/100)),(INT(N895/B895)+(((N895-B895*INT(N895/B895)))/C895)/100))))</f>
        <v>0</v>
      </c>
      <c r="AZ895" s="57">
        <f>IF(ISERROR(IF(B895=C895,O895/C895,(INT(O895/B895)+(((O895-B895*INT(O895/B895)))/C895)/100))),0,(IF(B895=C895,O895/C895,(INT(O895/B895)+(((O895-B895*INT(O895/B895)))/C895)/100))))</f>
        <v>0</v>
      </c>
      <c r="BA895" s="57">
        <f>IF(ISERROR(IF(B895=C895,P895/C895,IF((INT(P895/B895)+(((P895-B895*INT(P895/B895)))/C895)/100)&lt;0,(INT(P895/B895)+(((P895-B895*INT(P895/B895)))/C895)/100)+(1-(B895/C895/100)),(INT(P895/B895)+(((P895-B895*INT(P895/B895)))/C895)/100)))),0,IF(B895=C895,P895/C895,IF((INT(P895/B895)+(((P895-B895*INT(P895/B895)))/C895)/100)&lt;0,(INT(P895/B895)+(((P895-B895*INT(P895/B895)))/C895)/100)+(1-(B895/C895/100)),(INT(P895/B895)+(((P895-B895*INT(P895/B895)))/C895)/100))))</f>
        <v>0</v>
      </c>
      <c r="BB895" s="28">
        <f>R895</f>
        <v>0</v>
      </c>
      <c r="BC895" s="28">
        <f>S895</f>
        <v>0</v>
      </c>
      <c r="BD895" s="28">
        <f>AF895</f>
        <v>0</v>
      </c>
      <c r="BE895" s="28">
        <f>T895</f>
        <v>0</v>
      </c>
      <c r="BG895" s="57">
        <f>IF(ISERROR(IF(B895=C895,V895/C895,(INT(V895/B895)+(((V895-B895*INT(V895/B895)))/C895)/100))),0,(IF(B895=C895,V895/C895,(INT(V895/B895)+(((V895-B895*INT(V895/B895)))/C895)/100))))</f>
        <v>0</v>
      </c>
      <c r="BH895" s="57">
        <f>IF(ISERROR(IF(B895=C895,W895/C895,(INT(W895/B895)+(((W895-B895*INT(W895/B895)))/C895)/100))),0,(IF(B895=C895,W895/C895,(INT(W895/B895)+(((W895-B895*INT(W895/B895)))/C895)/100))))</f>
        <v>0</v>
      </c>
      <c r="BI895" s="57">
        <f>IF(ISERROR(IF(B895=C895,X895/C895,(INT(X895/B895)+(((X895-B895*INT(X895/B895)))/C895)/100))),0,(IF(B895=C895,X895/C895,(INT(X895/B895)+(((X895-B895*INT(X895/B895)))/C895)/100))))</f>
        <v>0</v>
      </c>
      <c r="BJ895" s="57">
        <f>IF(ISERROR(IF(B895=C895,Y895/C895,(INT(Y895/B895)+(((Y895-B895*INT(Y895/B895)))/C895)/100))),0,(IF(B895=C895,Y895/C895,(INT(Y895/B895)+(((Y895-B895*INT(Y895/B895)))/C895)/100))))</f>
        <v>0</v>
      </c>
      <c r="BL895" s="57">
        <f>IF(ISERROR(IF(B895=C895,AA895/C895,(INT(AA895/B895)+(((AA895-B895*INT(AA895/B895)))/C895)/100))),0,(IF(B895=C895,AA895/C895,(INT(AA895/B895)+(((AA895-B895*INT(AA895/B895)))/C895)/100))))</f>
        <v>0</v>
      </c>
      <c r="BM895" s="57">
        <f>IF(ISERROR(IF(B895=C895,AB895/C895,(INT(AB895/B895)+(((AB895-B895*INT(AB895/B895)))/C895)/100))),0,(IF(B895=C895,AB895/C895,(INT(AB895/B895)+(((AB895-B895*INT(AB895/B895)))/C895)/100))))</f>
        <v>0</v>
      </c>
      <c r="BN895" s="57">
        <f>IF(ISERROR(IF(B895=C895,AC895/C895,(INT(AC895/B895)+(((AC895-B895*INT(AC895/B895)))/C895)/100))),0,(IF(B895=C895,AC895/C895,(INT(AC895/B895)+(((AC895-B895*INT(AC895/B895)))/C895)/100))))</f>
        <v>0</v>
      </c>
      <c r="BO895" s="57">
        <f>IF(ISERROR(IF(B895=C895,AD895/C895,(INT(AD895/B895)+(((AD895-B895*INT(AD895/B895)))/C895)/100))),0,(IF(B895=C895,AD895/C895,(INT(AD895/B895)+(((AD895-B895*INT(AD895/B895)))/C895)/100))))</f>
        <v>0</v>
      </c>
      <c r="BQ895" s="124" t="s">
        <v>81</v>
      </c>
    </row>
    <row r="896" spans="1:69" hidden="1" x14ac:dyDescent="0.35">
      <c r="A896" s="94"/>
      <c r="B896" s="113"/>
      <c r="C896" s="113"/>
      <c r="D896" s="28"/>
      <c r="E896" s="125"/>
      <c r="F896" s="113"/>
      <c r="G896" s="28"/>
      <c r="H896" s="125"/>
      <c r="I896" s="125"/>
      <c r="J896" s="125"/>
      <c r="K896" s="125"/>
      <c r="L896" s="113"/>
      <c r="M896" s="113"/>
      <c r="N896" s="28"/>
      <c r="O896" s="28"/>
      <c r="P896" s="28"/>
      <c r="Q896" s="61"/>
      <c r="R896" s="113"/>
      <c r="S896" s="28"/>
      <c r="T896" s="28"/>
      <c r="V896" s="113"/>
      <c r="W896" s="113"/>
      <c r="X896" s="113"/>
      <c r="Y896" s="113"/>
      <c r="AA896" s="113"/>
      <c r="AB896" s="113"/>
      <c r="AC896" s="113"/>
      <c r="AD896" s="113"/>
      <c r="AF896" s="54">
        <v>0</v>
      </c>
      <c r="AG896" s="28"/>
      <c r="AH896" s="58"/>
      <c r="AI896" s="28"/>
      <c r="AJ896" s="28"/>
      <c r="AK896" s="58"/>
      <c r="AL896" s="28"/>
      <c r="AN896" s="51"/>
      <c r="AO896" s="28"/>
      <c r="AP896" s="28"/>
      <c r="AQ896" s="28"/>
      <c r="AR896" s="28"/>
      <c r="AS896" s="28"/>
      <c r="AT896" s="28"/>
      <c r="AU896" s="28"/>
      <c r="AV896" s="28"/>
      <c r="AW896" s="28"/>
      <c r="AX896" s="28"/>
      <c r="AY896" s="28"/>
      <c r="AZ896" s="28"/>
      <c r="BA896" s="28"/>
      <c r="BB896" s="28"/>
      <c r="BC896" s="28"/>
      <c r="BD896" s="28"/>
      <c r="BE896" s="28"/>
      <c r="BG896" s="28"/>
      <c r="BH896" s="28"/>
      <c r="BI896" s="28"/>
      <c r="BJ896" s="28"/>
      <c r="BL896" s="28"/>
      <c r="BM896" s="28"/>
      <c r="BN896" s="28"/>
      <c r="BO896" s="28"/>
      <c r="BQ896" s="124" t="s">
        <v>81</v>
      </c>
    </row>
    <row r="897" spans="1:69" hidden="1" x14ac:dyDescent="0.35">
      <c r="A897" s="143" t="s">
        <v>107</v>
      </c>
      <c r="B897" s="141"/>
      <c r="C897" s="141"/>
      <c r="D897" s="136"/>
      <c r="E897" s="140"/>
      <c r="F897" s="141"/>
      <c r="G897" s="136"/>
      <c r="H897" s="140"/>
      <c r="I897" s="140"/>
      <c r="J897" s="140"/>
      <c r="K897" s="140"/>
      <c r="L897" s="141"/>
      <c r="M897" s="141"/>
      <c r="N897" s="136"/>
      <c r="O897" s="136"/>
      <c r="P897" s="136"/>
      <c r="Q897" s="142"/>
      <c r="R897" s="141"/>
      <c r="S897" s="139">
        <f>SUBTOTAL(9,S881:S896)</f>
        <v>-270</v>
      </c>
      <c r="T897" s="137">
        <f>SUBTOTAL(9,T881:T896)</f>
        <v>-113.46958333333332</v>
      </c>
      <c r="V897" s="141"/>
      <c r="W897" s="141"/>
      <c r="X897" s="141"/>
      <c r="Y897" s="141"/>
      <c r="AA897" s="141"/>
      <c r="AB897" s="141"/>
      <c r="AC897" s="141"/>
      <c r="AD897" s="141"/>
      <c r="AF897" s="140"/>
      <c r="AG897" s="136"/>
      <c r="AH897" s="139">
        <f>SUBTOTAL(9,AH881:AH896)</f>
        <v>403.51</v>
      </c>
      <c r="AI897" s="137"/>
      <c r="AJ897" s="139">
        <f>SUBTOTAL(9,AJ881:AJ896)</f>
        <v>290.04041666666666</v>
      </c>
      <c r="AK897" s="139">
        <f>SUBTOTAL(9,AK881:AK896)</f>
        <v>9320.4375</v>
      </c>
      <c r="AL897" s="137">
        <f>SUBTOTAL(9,AL881:AL896)</f>
        <v>205.75791666666666</v>
      </c>
      <c r="AN897" s="138" t="str">
        <f>A897</f>
        <v>Total Beverages</v>
      </c>
      <c r="AO897" s="136"/>
      <c r="AP897" s="136"/>
      <c r="AQ897" s="136"/>
      <c r="AR897" s="136"/>
      <c r="AS897" s="136"/>
      <c r="AT897" s="136"/>
      <c r="AU897" s="136"/>
      <c r="AV897" s="136"/>
      <c r="AW897" s="136"/>
      <c r="AX897" s="136"/>
      <c r="AY897" s="136"/>
      <c r="AZ897" s="136"/>
      <c r="BA897" s="136"/>
      <c r="BB897" s="136"/>
      <c r="BC897" s="137">
        <f>S897</f>
        <v>-270</v>
      </c>
      <c r="BD897" s="137"/>
      <c r="BE897" s="137">
        <f>T897</f>
        <v>-113.46958333333332</v>
      </c>
      <c r="BG897" s="136"/>
      <c r="BH897" s="136"/>
      <c r="BI897" s="136"/>
      <c r="BJ897" s="136"/>
      <c r="BL897" s="136"/>
      <c r="BM897" s="136"/>
      <c r="BN897" s="136"/>
      <c r="BO897" s="136"/>
      <c r="BQ897" s="124" t="s">
        <v>81</v>
      </c>
    </row>
    <row r="898" spans="1:69" hidden="1" x14ac:dyDescent="0.35">
      <c r="A898" s="94"/>
      <c r="B898" s="113"/>
      <c r="C898" s="113"/>
      <c r="D898" s="28"/>
      <c r="E898" s="125"/>
      <c r="F898" s="113"/>
      <c r="G898" s="28"/>
      <c r="H898" s="125"/>
      <c r="I898" s="125"/>
      <c r="J898" s="125"/>
      <c r="K898" s="125"/>
      <c r="L898" s="113"/>
      <c r="M898" s="113"/>
      <c r="N898" s="28"/>
      <c r="O898" s="28"/>
      <c r="P898" s="28"/>
      <c r="Q898" s="61"/>
      <c r="R898" s="113"/>
      <c r="S898" s="28"/>
      <c r="T898" s="28"/>
      <c r="V898" s="113"/>
      <c r="W898" s="113"/>
      <c r="X898" s="113"/>
      <c r="Y898" s="113"/>
      <c r="AA898" s="113"/>
      <c r="AB898" s="113"/>
      <c r="AC898" s="113"/>
      <c r="AD898" s="113"/>
      <c r="AF898" s="54">
        <v>0</v>
      </c>
      <c r="AG898" s="28"/>
      <c r="AH898" s="58"/>
      <c r="AI898" s="28"/>
      <c r="AJ898" s="28"/>
      <c r="AK898" s="58"/>
      <c r="AL898" s="28"/>
      <c r="AN898" s="51"/>
      <c r="AO898" s="28"/>
      <c r="AP898" s="28"/>
      <c r="AQ898" s="28"/>
      <c r="AR898" s="28"/>
      <c r="AS898" s="28"/>
      <c r="AT898" s="28"/>
      <c r="AU898" s="28"/>
      <c r="AV898" s="28"/>
      <c r="AW898" s="28"/>
      <c r="AX898" s="28"/>
      <c r="AY898" s="28"/>
      <c r="AZ898" s="28"/>
      <c r="BA898" s="28"/>
      <c r="BB898" s="28"/>
      <c r="BC898" s="28"/>
      <c r="BD898" s="28"/>
      <c r="BE898" s="28"/>
      <c r="BG898" s="28"/>
      <c r="BH898" s="28"/>
      <c r="BI898" s="28"/>
      <c r="BJ898" s="28"/>
      <c r="BL898" s="28"/>
      <c r="BM898" s="28"/>
      <c r="BN898" s="28"/>
      <c r="BO898" s="28"/>
      <c r="BQ898" s="124" t="s">
        <v>81</v>
      </c>
    </row>
    <row r="899" spans="1:69" hidden="1" x14ac:dyDescent="0.35">
      <c r="A899" s="135"/>
      <c r="B899" s="113"/>
      <c r="C899" s="113"/>
      <c r="D899" s="28"/>
      <c r="E899" s="125"/>
      <c r="F899" s="113"/>
      <c r="G899" s="28"/>
      <c r="H899" s="125"/>
      <c r="I899" s="125"/>
      <c r="J899" s="125"/>
      <c r="K899" s="125"/>
      <c r="L899" s="113"/>
      <c r="M899" s="113"/>
      <c r="N899" s="28"/>
      <c r="O899" s="125"/>
      <c r="P899" s="28"/>
      <c r="Q899" s="61"/>
      <c r="R899" s="113"/>
      <c r="S899" s="28"/>
      <c r="T899" s="28"/>
      <c r="V899" s="113"/>
      <c r="W899" s="113"/>
      <c r="X899" s="113"/>
      <c r="Y899" s="113"/>
      <c r="AA899" s="113"/>
      <c r="AB899" s="113"/>
      <c r="AC899" s="113"/>
      <c r="AD899" s="113"/>
      <c r="AF899" s="54">
        <v>0</v>
      </c>
      <c r="AG899" s="28"/>
      <c r="AH899" s="58"/>
      <c r="AI899" s="28"/>
      <c r="AJ899" s="28"/>
      <c r="AK899" s="58"/>
      <c r="AL899" s="28"/>
      <c r="AN899" s="65">
        <f>A899</f>
        <v>0</v>
      </c>
      <c r="AO899" s="28"/>
      <c r="AP899" s="28"/>
      <c r="AQ899" s="28"/>
      <c r="AR899" s="28"/>
      <c r="AS899" s="28"/>
      <c r="AT899" s="28"/>
      <c r="AU899" s="28"/>
      <c r="AV899" s="28"/>
      <c r="AW899" s="28"/>
      <c r="AX899" s="28"/>
      <c r="AY899" s="28"/>
      <c r="AZ899" s="28"/>
      <c r="BA899" s="28"/>
      <c r="BB899" s="28"/>
      <c r="BC899" s="28"/>
      <c r="BD899" s="28"/>
      <c r="BE899" s="28"/>
      <c r="BG899" s="28"/>
      <c r="BH899" s="28"/>
      <c r="BI899" s="28"/>
      <c r="BJ899" s="28"/>
      <c r="BL899" s="28"/>
      <c r="BM899" s="28"/>
      <c r="BN899" s="28"/>
      <c r="BO899" s="28"/>
      <c r="BQ899" s="124" t="s">
        <v>81</v>
      </c>
    </row>
    <row r="900" spans="1:69" hidden="1" x14ac:dyDescent="0.35">
      <c r="A900" s="134" t="s">
        <v>106</v>
      </c>
      <c r="B900" s="113">
        <v>700</v>
      </c>
      <c r="C900" s="113">
        <v>30</v>
      </c>
      <c r="D900" s="28">
        <f>SUM(AA900:AD900)</f>
        <v>0</v>
      </c>
      <c r="E900" s="125">
        <v>0</v>
      </c>
      <c r="F900" s="113">
        <v>0</v>
      </c>
      <c r="G900" s="28">
        <f>SUM(D900:F900)</f>
        <v>0</v>
      </c>
      <c r="H900" s="125">
        <v>0</v>
      </c>
      <c r="I900" s="125">
        <v>0</v>
      </c>
      <c r="J900" s="125">
        <v>0</v>
      </c>
      <c r="K900" s="125">
        <v>0</v>
      </c>
      <c r="L900" s="113">
        <v>0</v>
      </c>
      <c r="M900" s="113">
        <v>0</v>
      </c>
      <c r="N900" s="28">
        <f>G900-SUM(H900:M900)</f>
        <v>0</v>
      </c>
      <c r="O900" s="28">
        <f>SUM(V900:Y900)</f>
        <v>0</v>
      </c>
      <c r="P900" s="28">
        <f>O900-N900</f>
        <v>0</v>
      </c>
      <c r="Q900" s="61" t="str">
        <f>IF(ISERROR(P900/SUM(H900:L900)),"",P900/SUM(H900:L900))</f>
        <v/>
      </c>
      <c r="R900" s="113">
        <v>0</v>
      </c>
      <c r="S900" s="28">
        <f>IF(ISERROR(P900/C900*R900),0,(P900/C900*R900))</f>
        <v>0</v>
      </c>
      <c r="T900" s="60">
        <f>IF(ISERROR(P900/B900*AF900),0,(P900/B900*AF900))</f>
        <v>0</v>
      </c>
      <c r="V900" s="113">
        <v>0</v>
      </c>
      <c r="W900" s="113">
        <v>0</v>
      </c>
      <c r="X900" s="113">
        <v>0</v>
      </c>
      <c r="Y900" s="113">
        <v>0</v>
      </c>
      <c r="AA900" s="113">
        <v>0</v>
      </c>
      <c r="AB900" s="113">
        <v>0</v>
      </c>
      <c r="AC900" s="113">
        <v>0</v>
      </c>
      <c r="AD900" s="113">
        <v>0</v>
      </c>
      <c r="AF900" s="54">
        <v>0</v>
      </c>
      <c r="AG900" s="28">
        <f>G900-O900</f>
        <v>0</v>
      </c>
      <c r="AH900" s="58">
        <f>IF(ISERROR(AG900/B900*AF900),0,(AG900/B900*AF900))</f>
        <v>0</v>
      </c>
      <c r="AI900" s="28">
        <f>SUM(H900:M900)</f>
        <v>0</v>
      </c>
      <c r="AJ900" s="28">
        <f>IF(ISERROR(AI900/B900*AF900),0,(AI900/B900*AF900))</f>
        <v>0</v>
      </c>
      <c r="AK900" s="58">
        <f>IF(ISERROR(O900/B900*AF900),0,(O900/B900*AF900))</f>
        <v>0</v>
      </c>
      <c r="AL900" s="28">
        <f>IF(ISERROR(H900/B900*AF900),0,(H900/B900*AF900))</f>
        <v>0</v>
      </c>
      <c r="AN900" s="51" t="str">
        <f>A900</f>
        <v>Syrups</v>
      </c>
      <c r="AO900" s="57">
        <f>IF(ISERROR(IF(B900=C900,D900/C900,(INT(D900/B900)+(((D900-B900*INT(D900/B900)))/C900)/100))),0,(IF(B900=C900,D900/C900,(INT(D900/B900)+(((D900-B900*INT(D900/B900)))/C900)/100))))</f>
        <v>0</v>
      </c>
      <c r="AP900" s="57">
        <f>IF(ISERROR(IF(B900=C900,E900/C900,(INT(E900/B900)+(((E900-B900*INT(E900/B900)))/C900)/100))),0,(IF(B900=C900,E900/C900,(INT(E900/B900)+(((E900-B900*INT(E900/B900)))/C900)/100))))</f>
        <v>0</v>
      </c>
      <c r="AQ900" s="57">
        <f>IF(ISERROR(IF(B900=C900,F900/C900,IF((INT(F900/B900)+(((F900-B900*INT(F900/B900)))/C900)/100)&lt;0,(INT(F900/B900)+(((F900-B900*INT(F900/B900)))/C900)/100)+(1-(B900/C900/100)),(INT(F900/B900)+(((F900-B900*INT(F900/B900)))/C900)/100)))),0,IF(B900=C900,F900/C900,IF((INT(F900/B900)+(((F900-B900*INT(F900/B900)))/C900)/100)&lt;0,(INT(F900/B900)+(((F900-B900*INT(F900/B900)))/C900)/100)+(1-(B900/C900/100)),(INT(F900/B900)+(((F900-B900*INT(F900/B900)))/C900)/100))))</f>
        <v>0</v>
      </c>
      <c r="AR900" s="57">
        <f>IF(ISERROR(IF(B900=C900,G900/C900,(INT(G900/B900)+(((G900-B900*INT(G900/B900)))/C900)/100))),0,(IF(B900=C900,G900/C900,(INT(G900/B900)+(((G900-B900*INT(G900/B900)))/C900)/100))))</f>
        <v>0</v>
      </c>
      <c r="AS900" s="57">
        <f>IF(ISERROR(IF(B900=C900,H900/C900,(INT(H900/B900)+(((H900-B900*INT(H900/B900)))/C900)/100))),0,(IF(B900=C900,H900/C900,(INT(H900/B900)+(((H900-B900*INT(H900/B900)))/C900)/100))))</f>
        <v>0</v>
      </c>
      <c r="AT900" s="57">
        <f>IF(ISERROR(IF(B900=C900,I900/C900,(INT(I900/B900)+(((I900-B900*INT(I900/B900)))/C900)/100))),0,(IF(B900=C900,I900/C900,(INT(I900/B900)+(((I900-B900*INT(I900/B900)))/C900)/100))))</f>
        <v>0</v>
      </c>
      <c r="AU900" s="57">
        <f>IF(ISERROR(IF(B900=C900,J900/C900,(INT(J900/B900)+(((J900-B900*INT(J900/B900)))/C900)/100))),0,(IF(B900=C900,J900/C900,(INT(J900/B900)+(((J900-B900*INT(J900/B900)))/C900)/100))))</f>
        <v>0</v>
      </c>
      <c r="AV900" s="57">
        <f>IF(ISERROR(IF(B900=C900,K900/C900,IF((INT(K900/B900)+(((K900-B900*INT(K900/B900)))/C900)/100)&lt;0,(INT(K900/B900)+(((K900-B900*INT(K900/B900)))/C900)/100)+(1-(B900/C900/100)),(INT(K900/B900)+(((K900-B900*INT(K900/B900)))/C900)/100)))),0,IF(B900=C900,K900/C900,IF((INT(K900/B900)+(((K900-B900*INT(K900/B900)))/C900)/100)&lt;0,(INT(K900/B900)+(((K900-B900*INT(K900/B900)))/C900)/100)+(1-(B900/C900/100)),(INT(K900/B900)+(((K900-B900*INT(K900/B900)))/C900)/100))))</f>
        <v>0</v>
      </c>
      <c r="AW900" s="57">
        <f>IF(ISERROR(IF(B900=C900,L900/C900,(INT(L900/B900)+(((L900-B900*INT(L900/B900)))/C900)/100))),0,(IF(B900=C900,L900/C900,(INT(L900/B900)+(((L900-B900*INT(L900/B900)))/C900)/100))))</f>
        <v>0</v>
      </c>
      <c r="AX900" s="57">
        <f>IF(ISERROR(IF(B900=C900,M900/C900,(INT(M900/B900)+(((M900-B900*INT(M900/B900)))/C900)/100))),0,(IF(B900=C900,M900/C900,(INT(M900/B900)+(((M900-B900*INT(M900/B900)))/C900)/100))))</f>
        <v>0</v>
      </c>
      <c r="AY900" s="57">
        <f>IF(ISERROR(IF(B900=C900,N900/C900,IF((INT(N900/B900)+(((N900-B900*INT(N900/B900)))/C900)/100)&lt;0,(INT(N900/B900)+(((N900-B900*INT(N900/B900)))/C900)/100)+(1-(B900/C900/100)),(INT(N900/B900)+(((N900-B900*INT(N900/B900)))/C900)/100)))),0,IF(B900=C900,N900/C900,IF((INT(N900/B900)+(((N900-B900*INT(N900/B900)))/C900)/100)&lt;0,(INT(N900/B900)+(((N900-B900*INT(N900/B900)))/C900)/100)+(1-(B900/C900/100)),(INT(N900/B900)+(((N900-B900*INT(N900/B900)))/C900)/100))))</f>
        <v>0</v>
      </c>
      <c r="AZ900" s="57">
        <f>IF(ISERROR(IF(B900=C900,O900/C900,(INT(O900/B900)+(((O900-B900*INT(O900/B900)))/C900)/100))),0,(IF(B900=C900,O900/C900,(INT(O900/B900)+(((O900-B900*INT(O900/B900)))/C900)/100))))</f>
        <v>0</v>
      </c>
      <c r="BA900" s="57">
        <f>IF(ISERROR(IF(B900=C900,P900/C900,IF((INT(P900/B900)+(((P900-B900*INT(P900/B900)))/C900)/100)&lt;0,(INT(P900/B900)+(((P900-B900*INT(P900/B900)))/C900)/100)+(1-(B900/C900/100)),(INT(P900/B900)+(((P900-B900*INT(P900/B900)))/C900)/100)))),0,IF(B900=C900,P900/C900,IF((INT(P900/B900)+(((P900-B900*INT(P900/B900)))/C900)/100)&lt;0,(INT(P900/B900)+(((P900-B900*INT(P900/B900)))/C900)/100)+(1-(B900/C900/100)),(INT(P900/B900)+(((P900-B900*INT(P900/B900)))/C900)/100))))</f>
        <v>0</v>
      </c>
      <c r="BB900" s="28">
        <f>R900</f>
        <v>0</v>
      </c>
      <c r="BC900" s="28">
        <f>S900</f>
        <v>0</v>
      </c>
      <c r="BD900" s="28">
        <f>AF900</f>
        <v>0</v>
      </c>
      <c r="BE900" s="28">
        <f>T900</f>
        <v>0</v>
      </c>
      <c r="BG900" s="57">
        <f>IF(ISERROR(IF(B900=C900,V900/C900,(INT(V900/B900)+(((V900-B900*INT(V900/B900)))/C900)/100))),0,(IF(B900=C900,V900/C900,(INT(V900/B900)+(((V900-B900*INT(V900/B900)))/C900)/100))))</f>
        <v>0</v>
      </c>
      <c r="BH900" s="57">
        <f>IF(ISERROR(IF(B900=C900,W900/C900,(INT(W900/B900)+(((W900-B900*INT(W900/B900)))/C900)/100))),0,(IF(B900=C900,W900/C900,(INT(W900/B900)+(((W900-B900*INT(W900/B900)))/C900)/100))))</f>
        <v>0</v>
      </c>
      <c r="BI900" s="57">
        <f>IF(ISERROR(IF(B900=C900,X900/C900,(INT(X900/B900)+(((X900-B900*INT(X900/B900)))/C900)/100))),0,(IF(B900=C900,X900/C900,(INT(X900/B900)+(((X900-B900*INT(X900/B900)))/C900)/100))))</f>
        <v>0</v>
      </c>
      <c r="BJ900" s="57">
        <f>IF(ISERROR(IF(B900=C900,Y900/C900,(INT(Y900/B900)+(((Y900-B900*INT(Y900/B900)))/C900)/100))),0,(IF(B900=C900,Y900/C900,(INT(Y900/B900)+(((Y900-B900*INT(Y900/B900)))/C900)/100))))</f>
        <v>0</v>
      </c>
      <c r="BL900" s="57">
        <f>IF(ISERROR(IF(B900=C900,AA900/C900,(INT(AA900/B900)+(((AA900-B900*INT(AA900/B900)))/C900)/100))),0,(IF(B900=C900,AA900/C900,(INT(AA900/B900)+(((AA900-B900*INT(AA900/B900)))/C900)/100))))</f>
        <v>0</v>
      </c>
      <c r="BM900" s="57">
        <f>IF(ISERROR(IF(B900=C900,AB900/C900,(INT(AB900/B900)+(((AB900-B900*INT(AB900/B900)))/C900)/100))),0,(IF(B900=C900,AB900/C900,(INT(AB900/B900)+(((AB900-B900*INT(AB900/B900)))/C900)/100))))</f>
        <v>0</v>
      </c>
      <c r="BN900" s="57">
        <f>IF(ISERROR(IF(B900=C900,AC900/C900,(INT(AC900/B900)+(((AC900-B900*INT(AC900/B900)))/C900)/100))),0,(IF(B900=C900,AC900/C900,(INT(AC900/B900)+(((AC900-B900*INT(AC900/B900)))/C900)/100))))</f>
        <v>0</v>
      </c>
      <c r="BO900" s="57">
        <f>IF(ISERROR(IF(B900=C900,AD900/C900,(INT(AD900/B900)+(((AD900-B900*INT(AD900/B900)))/C900)/100))),0,(IF(B900=C900,AD900/C900,(INT(AD900/B900)+(((AD900-B900*INT(AD900/B900)))/C900)/100))))</f>
        <v>0</v>
      </c>
      <c r="BQ900" s="124" t="s">
        <v>81</v>
      </c>
    </row>
    <row r="901" spans="1:69" hidden="1" x14ac:dyDescent="0.35">
      <c r="A901" s="134" t="s">
        <v>105</v>
      </c>
      <c r="B901" s="113">
        <v>700</v>
      </c>
      <c r="C901" s="113">
        <v>30</v>
      </c>
      <c r="D901" s="28">
        <f>SUM(AA901:AD901)</f>
        <v>0</v>
      </c>
      <c r="E901" s="125">
        <v>0</v>
      </c>
      <c r="F901" s="113">
        <v>0</v>
      </c>
      <c r="G901" s="28">
        <f>SUM(D901:F901)</f>
        <v>0</v>
      </c>
      <c r="H901" s="125">
        <v>0</v>
      </c>
      <c r="I901" s="125">
        <v>0</v>
      </c>
      <c r="J901" s="125">
        <v>0</v>
      </c>
      <c r="K901" s="125">
        <v>0</v>
      </c>
      <c r="L901" s="113">
        <v>0</v>
      </c>
      <c r="M901" s="113">
        <v>0</v>
      </c>
      <c r="N901" s="28">
        <f>G901-SUM(H901:M901)</f>
        <v>0</v>
      </c>
      <c r="O901" s="28">
        <f>SUM(V901:Y901)</f>
        <v>0</v>
      </c>
      <c r="P901" s="28">
        <f>O901-N901</f>
        <v>0</v>
      </c>
      <c r="Q901" s="61" t="str">
        <f>IF(ISERROR(P901/SUM(H901:L901)),"",P901/SUM(H901:L901))</f>
        <v/>
      </c>
      <c r="R901" s="113">
        <v>0</v>
      </c>
      <c r="S901" s="28">
        <f>IF(ISERROR(P901/C901*R901),0,(P901/C901*R901))</f>
        <v>0</v>
      </c>
      <c r="T901" s="60">
        <f>IF(ISERROR(P901/B901*AF901),0,(P901/B901*AF901))</f>
        <v>0</v>
      </c>
      <c r="V901" s="113">
        <v>0</v>
      </c>
      <c r="W901" s="113">
        <v>0</v>
      </c>
      <c r="X901" s="113">
        <v>0</v>
      </c>
      <c r="Y901" s="113">
        <v>0</v>
      </c>
      <c r="AA901" s="113">
        <v>0</v>
      </c>
      <c r="AB901" s="113">
        <v>0</v>
      </c>
      <c r="AC901" s="113">
        <v>0</v>
      </c>
      <c r="AD901" s="113">
        <v>0</v>
      </c>
      <c r="AF901" s="54">
        <v>525</v>
      </c>
      <c r="AG901" s="28">
        <f>G901-O901</f>
        <v>0</v>
      </c>
      <c r="AH901" s="58">
        <f>IF(ISERROR(AG901/B901*AF901),0,(AG901/B901*AF901))</f>
        <v>0</v>
      </c>
      <c r="AI901" s="28">
        <f>SUM(H901:M901)</f>
        <v>0</v>
      </c>
      <c r="AJ901" s="28">
        <f>IF(ISERROR(AI901/B901*AF901),0,(AI901/B901*AF901))</f>
        <v>0</v>
      </c>
      <c r="AK901" s="58">
        <f>IF(ISERROR(O901/B901*AF901),0,(O901/B901*AF901))</f>
        <v>0</v>
      </c>
      <c r="AL901" s="28">
        <f>IF(ISERROR(H901/B901*AF901),0,(H901/B901*AF901))</f>
        <v>0</v>
      </c>
      <c r="AN901" s="51" t="str">
        <f>A901</f>
        <v xml:space="preserve">Monin Almond Syrup </v>
      </c>
      <c r="AO901" s="57">
        <f>IF(ISERROR(IF(B901=C901,D901/C901,(INT(D901/B901)+(((D901-B901*INT(D901/B901)))/C901)/100))),0,(IF(B901=C901,D901/C901,(INT(D901/B901)+(((D901-B901*INT(D901/B901)))/C901)/100))))</f>
        <v>0</v>
      </c>
      <c r="AP901" s="57">
        <f>IF(ISERROR(IF(B901=C901,E901/C901,(INT(E901/B901)+(((E901-B901*INT(E901/B901)))/C901)/100))),0,(IF(B901=C901,E901/C901,(INT(E901/B901)+(((E901-B901*INT(E901/B901)))/C901)/100))))</f>
        <v>0</v>
      </c>
      <c r="AQ901" s="57">
        <f>IF(ISERROR(IF(B901=C901,F901/C901,IF((INT(F901/B901)+(((F901-B901*INT(F901/B901)))/C901)/100)&lt;0,(INT(F901/B901)+(((F901-B901*INT(F901/B901)))/C901)/100)+(1-(B901/C901/100)),(INT(F901/B901)+(((F901-B901*INT(F901/B901)))/C901)/100)))),0,IF(B901=C901,F901/C901,IF((INT(F901/B901)+(((F901-B901*INT(F901/B901)))/C901)/100)&lt;0,(INT(F901/B901)+(((F901-B901*INT(F901/B901)))/C901)/100)+(1-(B901/C901/100)),(INT(F901/B901)+(((F901-B901*INT(F901/B901)))/C901)/100))))</f>
        <v>0</v>
      </c>
      <c r="AR901" s="57">
        <f>IF(ISERROR(IF(B901=C901,G901/C901,(INT(G901/B901)+(((G901-B901*INT(G901/B901)))/C901)/100))),0,(IF(B901=C901,G901/C901,(INT(G901/B901)+(((G901-B901*INT(G901/B901)))/C901)/100))))</f>
        <v>0</v>
      </c>
      <c r="AS901" s="57">
        <f>IF(ISERROR(IF(B901=C901,H901/C901,(INT(H901/B901)+(((H901-B901*INT(H901/B901)))/C901)/100))),0,(IF(B901=C901,H901/C901,(INT(H901/B901)+(((H901-B901*INT(H901/B901)))/C901)/100))))</f>
        <v>0</v>
      </c>
      <c r="AT901" s="57">
        <f>IF(ISERROR(IF(B901=C901,I901/C901,(INT(I901/B901)+(((I901-B901*INT(I901/B901)))/C901)/100))),0,(IF(B901=C901,I901/C901,(INT(I901/B901)+(((I901-B901*INT(I901/B901)))/C901)/100))))</f>
        <v>0</v>
      </c>
      <c r="AU901" s="57">
        <f>IF(ISERROR(IF(B901=C901,J901/C901,(INT(J901/B901)+(((J901-B901*INT(J901/B901)))/C901)/100))),0,(IF(B901=C901,J901/C901,(INT(J901/B901)+(((J901-B901*INT(J901/B901)))/C901)/100))))</f>
        <v>0</v>
      </c>
      <c r="AV901" s="57">
        <f>IF(ISERROR(IF(B901=C901,K901/C901,IF((INT(K901/B901)+(((K901-B901*INT(K901/B901)))/C901)/100)&lt;0,(INT(K901/B901)+(((K901-B901*INT(K901/B901)))/C901)/100)+(1-(B901/C901/100)),(INT(K901/B901)+(((K901-B901*INT(K901/B901)))/C901)/100)))),0,IF(B901=C901,K901/C901,IF((INT(K901/B901)+(((K901-B901*INT(K901/B901)))/C901)/100)&lt;0,(INT(K901/B901)+(((K901-B901*INT(K901/B901)))/C901)/100)+(1-(B901/C901/100)),(INT(K901/B901)+(((K901-B901*INT(K901/B901)))/C901)/100))))</f>
        <v>0</v>
      </c>
      <c r="AW901" s="57">
        <f>IF(ISERROR(IF(B901=C901,L901/C901,(INT(L901/B901)+(((L901-B901*INT(L901/B901)))/C901)/100))),0,(IF(B901=C901,L901/C901,(INT(L901/B901)+(((L901-B901*INT(L901/B901)))/C901)/100))))</f>
        <v>0</v>
      </c>
      <c r="AX901" s="57">
        <f>IF(ISERROR(IF(B901=C901,M901/C901,(INT(M901/B901)+(((M901-B901*INT(M901/B901)))/C901)/100))),0,(IF(B901=C901,M901/C901,(INT(M901/B901)+(((M901-B901*INT(M901/B901)))/C901)/100))))</f>
        <v>0</v>
      </c>
      <c r="AY901" s="57">
        <f>IF(ISERROR(IF(B901=C901,N901/C901,IF((INT(N901/B901)+(((N901-B901*INT(N901/B901)))/C901)/100)&lt;0,(INT(N901/B901)+(((N901-B901*INT(N901/B901)))/C901)/100)+(1-(B901/C901/100)),(INT(N901/B901)+(((N901-B901*INT(N901/B901)))/C901)/100)))),0,IF(B901=C901,N901/C901,IF((INT(N901/B901)+(((N901-B901*INT(N901/B901)))/C901)/100)&lt;0,(INT(N901/B901)+(((N901-B901*INT(N901/B901)))/C901)/100)+(1-(B901/C901/100)),(INT(N901/B901)+(((N901-B901*INT(N901/B901)))/C901)/100))))</f>
        <v>0</v>
      </c>
      <c r="AZ901" s="57">
        <f>IF(ISERROR(IF(B901=C901,O901/C901,(INT(O901/B901)+(((O901-B901*INT(O901/B901)))/C901)/100))),0,(IF(B901=C901,O901/C901,(INT(O901/B901)+(((O901-B901*INT(O901/B901)))/C901)/100))))</f>
        <v>0</v>
      </c>
      <c r="BA901" s="57">
        <f>IF(ISERROR(IF(B901=C901,P901/C901,IF((INT(P901/B901)+(((P901-B901*INT(P901/B901)))/C901)/100)&lt;0,(INT(P901/B901)+(((P901-B901*INT(P901/B901)))/C901)/100)+(1-(B901/C901/100)),(INT(P901/B901)+(((P901-B901*INT(P901/B901)))/C901)/100)))),0,IF(B901=C901,P901/C901,IF((INT(P901/B901)+(((P901-B901*INT(P901/B901)))/C901)/100)&lt;0,(INT(P901/B901)+(((P901-B901*INT(P901/B901)))/C901)/100)+(1-(B901/C901/100)),(INT(P901/B901)+(((P901-B901*INT(P901/B901)))/C901)/100))))</f>
        <v>0</v>
      </c>
      <c r="BB901" s="28">
        <f>R901</f>
        <v>0</v>
      </c>
      <c r="BC901" s="28">
        <f>S901</f>
        <v>0</v>
      </c>
      <c r="BD901" s="28">
        <f>AF901</f>
        <v>525</v>
      </c>
      <c r="BE901" s="28">
        <f>T901</f>
        <v>0</v>
      </c>
      <c r="BG901" s="57">
        <f>IF(ISERROR(IF(B901=C901,V901/C901,(INT(V901/B901)+(((V901-B901*INT(V901/B901)))/C901)/100))),0,(IF(B901=C901,V901/C901,(INT(V901/B901)+(((V901-B901*INT(V901/B901)))/C901)/100))))</f>
        <v>0</v>
      </c>
      <c r="BH901" s="57">
        <f>IF(ISERROR(IF(B901=C901,W901/C901,(INT(W901/B901)+(((W901-B901*INT(W901/B901)))/C901)/100))),0,(IF(B901=C901,W901/C901,(INT(W901/B901)+(((W901-B901*INT(W901/B901)))/C901)/100))))</f>
        <v>0</v>
      </c>
      <c r="BI901" s="57">
        <f>IF(ISERROR(IF(B901=C901,X901/C901,(INT(X901/B901)+(((X901-B901*INT(X901/B901)))/C901)/100))),0,(IF(B901=C901,X901/C901,(INT(X901/B901)+(((X901-B901*INT(X901/B901)))/C901)/100))))</f>
        <v>0</v>
      </c>
      <c r="BJ901" s="57">
        <f>IF(ISERROR(IF(B901=C901,Y901/C901,(INT(Y901/B901)+(((Y901-B901*INT(Y901/B901)))/C901)/100))),0,(IF(B901=C901,Y901/C901,(INT(Y901/B901)+(((Y901-B901*INT(Y901/B901)))/C901)/100))))</f>
        <v>0</v>
      </c>
      <c r="BL901" s="57">
        <f>IF(ISERROR(IF(B901=C901,AA901/C901,(INT(AA901/B901)+(((AA901-B901*INT(AA901/B901)))/C901)/100))),0,(IF(B901=C901,AA901/C901,(INT(AA901/B901)+(((AA901-B901*INT(AA901/B901)))/C901)/100))))</f>
        <v>0</v>
      </c>
      <c r="BM901" s="57">
        <f>IF(ISERROR(IF(B901=C901,AB901/C901,(INT(AB901/B901)+(((AB901-B901*INT(AB901/B901)))/C901)/100))),0,(IF(B901=C901,AB901/C901,(INT(AB901/B901)+(((AB901-B901*INT(AB901/B901)))/C901)/100))))</f>
        <v>0</v>
      </c>
      <c r="BN901" s="57">
        <f>IF(ISERROR(IF(B901=C901,AC901/C901,(INT(AC901/B901)+(((AC901-B901*INT(AC901/B901)))/C901)/100))),0,(IF(B901=C901,AC901/C901,(INT(AC901/B901)+(((AC901-B901*INT(AC901/B901)))/C901)/100))))</f>
        <v>0</v>
      </c>
      <c r="BO901" s="57">
        <f>IF(ISERROR(IF(B901=C901,AD901/C901,(INT(AD901/B901)+(((AD901-B901*INT(AD901/B901)))/C901)/100))),0,(IF(B901=C901,AD901/C901,(INT(AD901/B901)+(((AD901-B901*INT(AD901/B901)))/C901)/100))))</f>
        <v>0</v>
      </c>
      <c r="BQ901" s="124" t="s">
        <v>81</v>
      </c>
    </row>
    <row r="902" spans="1:69" hidden="1" x14ac:dyDescent="0.35">
      <c r="A902" s="134" t="s">
        <v>104</v>
      </c>
      <c r="B902" s="113">
        <v>700</v>
      </c>
      <c r="C902" s="113">
        <v>30</v>
      </c>
      <c r="D902" s="28">
        <f>SUM(AA902:AD902)</f>
        <v>0</v>
      </c>
      <c r="E902" s="125">
        <v>0</v>
      </c>
      <c r="F902" s="113">
        <v>0</v>
      </c>
      <c r="G902" s="28">
        <f>SUM(D902:F902)</f>
        <v>0</v>
      </c>
      <c r="H902" s="125">
        <v>0</v>
      </c>
      <c r="I902" s="125">
        <v>0</v>
      </c>
      <c r="J902" s="125">
        <v>0</v>
      </c>
      <c r="K902" s="125">
        <v>0</v>
      </c>
      <c r="L902" s="113">
        <v>0</v>
      </c>
      <c r="M902" s="113">
        <v>0</v>
      </c>
      <c r="N902" s="28">
        <f>G902-SUM(H902:M902)</f>
        <v>0</v>
      </c>
      <c r="O902" s="28">
        <f>SUM(V902:Y902)</f>
        <v>0</v>
      </c>
      <c r="P902" s="28">
        <f>O902-N902</f>
        <v>0</v>
      </c>
      <c r="Q902" s="61" t="str">
        <f>IF(ISERROR(P902/SUM(H902:L902)),"",P902/SUM(H902:L902))</f>
        <v/>
      </c>
      <c r="R902" s="113">
        <v>0</v>
      </c>
      <c r="S902" s="28">
        <f>IF(ISERROR(P902/C902*R902),0,(P902/C902*R902))</f>
        <v>0</v>
      </c>
      <c r="T902" s="60">
        <f>IF(ISERROR(P902/B902*AF902),0,(P902/B902*AF902))</f>
        <v>0</v>
      </c>
      <c r="V902" s="113">
        <v>0</v>
      </c>
      <c r="W902" s="113">
        <v>0</v>
      </c>
      <c r="X902" s="113">
        <v>0</v>
      </c>
      <c r="Y902" s="113">
        <v>0</v>
      </c>
      <c r="AA902" s="113">
        <v>0</v>
      </c>
      <c r="AB902" s="113">
        <v>0</v>
      </c>
      <c r="AC902" s="113">
        <v>0</v>
      </c>
      <c r="AD902" s="113">
        <v>0</v>
      </c>
      <c r="AF902" s="54">
        <v>525</v>
      </c>
      <c r="AG902" s="28">
        <f>G902-O902</f>
        <v>0</v>
      </c>
      <c r="AH902" s="58">
        <f>IF(ISERROR(AG902/B902*AF902),0,(AG902/B902*AF902))</f>
        <v>0</v>
      </c>
      <c r="AI902" s="28">
        <f>SUM(H902:M902)</f>
        <v>0</v>
      </c>
      <c r="AJ902" s="28">
        <f>IF(ISERROR(AI902/B902*AF902),0,(AI902/B902*AF902))</f>
        <v>0</v>
      </c>
      <c r="AK902" s="58">
        <f>IF(ISERROR(O902/B902*AF902),0,(O902/B902*AF902))</f>
        <v>0</v>
      </c>
      <c r="AL902" s="28">
        <f>IF(ISERROR(H902/B902*AF902),0,(H902/B902*AF902))</f>
        <v>0</v>
      </c>
      <c r="AN902" s="51" t="str">
        <f>A902</f>
        <v xml:space="preserve">Monin Anise </v>
      </c>
      <c r="AO902" s="57">
        <f>IF(ISERROR(IF(B902=C902,D902/C902,(INT(D902/B902)+(((D902-B902*INT(D902/B902)))/C902)/100))),0,(IF(B902=C902,D902/C902,(INT(D902/B902)+(((D902-B902*INT(D902/B902)))/C902)/100))))</f>
        <v>0</v>
      </c>
      <c r="AP902" s="57">
        <f>IF(ISERROR(IF(B902=C902,E902/C902,(INT(E902/B902)+(((E902-B902*INT(E902/B902)))/C902)/100))),0,(IF(B902=C902,E902/C902,(INT(E902/B902)+(((E902-B902*INT(E902/B902)))/C902)/100))))</f>
        <v>0</v>
      </c>
      <c r="AQ902" s="57">
        <f>IF(ISERROR(IF(B902=C902,F902/C902,IF((INT(F902/B902)+(((F902-B902*INT(F902/B902)))/C902)/100)&lt;0,(INT(F902/B902)+(((F902-B902*INT(F902/B902)))/C902)/100)+(1-(B902/C902/100)),(INT(F902/B902)+(((F902-B902*INT(F902/B902)))/C902)/100)))),0,IF(B902=C902,F902/C902,IF((INT(F902/B902)+(((F902-B902*INT(F902/B902)))/C902)/100)&lt;0,(INT(F902/B902)+(((F902-B902*INT(F902/B902)))/C902)/100)+(1-(B902/C902/100)),(INT(F902/B902)+(((F902-B902*INT(F902/B902)))/C902)/100))))</f>
        <v>0</v>
      </c>
      <c r="AR902" s="57">
        <f>IF(ISERROR(IF(B902=C902,G902/C902,(INT(G902/B902)+(((G902-B902*INT(G902/B902)))/C902)/100))),0,(IF(B902=C902,G902/C902,(INT(G902/B902)+(((G902-B902*INT(G902/B902)))/C902)/100))))</f>
        <v>0</v>
      </c>
      <c r="AS902" s="57">
        <f>IF(ISERROR(IF(B902=C902,H902/C902,(INT(H902/B902)+(((H902-B902*INT(H902/B902)))/C902)/100))),0,(IF(B902=C902,H902/C902,(INT(H902/B902)+(((H902-B902*INT(H902/B902)))/C902)/100))))</f>
        <v>0</v>
      </c>
      <c r="AT902" s="57">
        <f>IF(ISERROR(IF(B902=C902,I902/C902,(INT(I902/B902)+(((I902-B902*INT(I902/B902)))/C902)/100))),0,(IF(B902=C902,I902/C902,(INT(I902/B902)+(((I902-B902*INT(I902/B902)))/C902)/100))))</f>
        <v>0</v>
      </c>
      <c r="AU902" s="57">
        <f>IF(ISERROR(IF(B902=C902,J902/C902,(INT(J902/B902)+(((J902-B902*INT(J902/B902)))/C902)/100))),0,(IF(B902=C902,J902/C902,(INT(J902/B902)+(((J902-B902*INT(J902/B902)))/C902)/100))))</f>
        <v>0</v>
      </c>
      <c r="AV902" s="57">
        <f>IF(ISERROR(IF(B902=C902,K902/C902,IF((INT(K902/B902)+(((K902-B902*INT(K902/B902)))/C902)/100)&lt;0,(INT(K902/B902)+(((K902-B902*INT(K902/B902)))/C902)/100)+(1-(B902/C902/100)),(INT(K902/B902)+(((K902-B902*INT(K902/B902)))/C902)/100)))),0,IF(B902=C902,K902/C902,IF((INT(K902/B902)+(((K902-B902*INT(K902/B902)))/C902)/100)&lt;0,(INT(K902/B902)+(((K902-B902*INT(K902/B902)))/C902)/100)+(1-(B902/C902/100)),(INT(K902/B902)+(((K902-B902*INT(K902/B902)))/C902)/100))))</f>
        <v>0</v>
      </c>
      <c r="AW902" s="57">
        <f>IF(ISERROR(IF(B902=C902,L902/C902,(INT(L902/B902)+(((L902-B902*INT(L902/B902)))/C902)/100))),0,(IF(B902=C902,L902/C902,(INT(L902/B902)+(((L902-B902*INT(L902/B902)))/C902)/100))))</f>
        <v>0</v>
      </c>
      <c r="AX902" s="57">
        <f>IF(ISERROR(IF(B902=C902,M902/C902,(INT(M902/B902)+(((M902-B902*INT(M902/B902)))/C902)/100))),0,(IF(B902=C902,M902/C902,(INT(M902/B902)+(((M902-B902*INT(M902/B902)))/C902)/100))))</f>
        <v>0</v>
      </c>
      <c r="AY902" s="57">
        <f>IF(ISERROR(IF(B902=C902,N902/C902,IF((INT(N902/B902)+(((N902-B902*INT(N902/B902)))/C902)/100)&lt;0,(INT(N902/B902)+(((N902-B902*INT(N902/B902)))/C902)/100)+(1-(B902/C902/100)),(INT(N902/B902)+(((N902-B902*INT(N902/B902)))/C902)/100)))),0,IF(B902=C902,N902/C902,IF((INT(N902/B902)+(((N902-B902*INT(N902/B902)))/C902)/100)&lt;0,(INT(N902/B902)+(((N902-B902*INT(N902/B902)))/C902)/100)+(1-(B902/C902/100)),(INT(N902/B902)+(((N902-B902*INT(N902/B902)))/C902)/100))))</f>
        <v>0</v>
      </c>
      <c r="AZ902" s="57">
        <f>IF(ISERROR(IF(B902=C902,O902/C902,(INT(O902/B902)+(((O902-B902*INT(O902/B902)))/C902)/100))),0,(IF(B902=C902,O902/C902,(INT(O902/B902)+(((O902-B902*INT(O902/B902)))/C902)/100))))</f>
        <v>0</v>
      </c>
      <c r="BA902" s="57">
        <f>IF(ISERROR(IF(B902=C902,P902/C902,IF((INT(P902/B902)+(((P902-B902*INT(P902/B902)))/C902)/100)&lt;0,(INT(P902/B902)+(((P902-B902*INT(P902/B902)))/C902)/100)+(1-(B902/C902/100)),(INT(P902/B902)+(((P902-B902*INT(P902/B902)))/C902)/100)))),0,IF(B902=C902,P902/C902,IF((INT(P902/B902)+(((P902-B902*INT(P902/B902)))/C902)/100)&lt;0,(INT(P902/B902)+(((P902-B902*INT(P902/B902)))/C902)/100)+(1-(B902/C902/100)),(INT(P902/B902)+(((P902-B902*INT(P902/B902)))/C902)/100))))</f>
        <v>0</v>
      </c>
      <c r="BB902" s="28">
        <f>R902</f>
        <v>0</v>
      </c>
      <c r="BC902" s="28">
        <f>S902</f>
        <v>0</v>
      </c>
      <c r="BD902" s="28">
        <f>AF902</f>
        <v>525</v>
      </c>
      <c r="BE902" s="28">
        <f>T902</f>
        <v>0</v>
      </c>
      <c r="BG902" s="57">
        <f>IF(ISERROR(IF(B902=C902,V902/C902,(INT(V902/B902)+(((V902-B902*INT(V902/B902)))/C902)/100))),0,(IF(B902=C902,V902/C902,(INT(V902/B902)+(((V902-B902*INT(V902/B902)))/C902)/100))))</f>
        <v>0</v>
      </c>
      <c r="BH902" s="57">
        <f>IF(ISERROR(IF(B902=C902,W902/C902,(INT(W902/B902)+(((W902-B902*INT(W902/B902)))/C902)/100))),0,(IF(B902=C902,W902/C902,(INT(W902/B902)+(((W902-B902*INT(W902/B902)))/C902)/100))))</f>
        <v>0</v>
      </c>
      <c r="BI902" s="57">
        <f>IF(ISERROR(IF(B902=C902,X902/C902,(INT(X902/B902)+(((X902-B902*INT(X902/B902)))/C902)/100))),0,(IF(B902=C902,X902/C902,(INT(X902/B902)+(((X902-B902*INT(X902/B902)))/C902)/100))))</f>
        <v>0</v>
      </c>
      <c r="BJ902" s="57">
        <f>IF(ISERROR(IF(B902=C902,Y902/C902,(INT(Y902/B902)+(((Y902-B902*INT(Y902/B902)))/C902)/100))),0,(IF(B902=C902,Y902/C902,(INT(Y902/B902)+(((Y902-B902*INT(Y902/B902)))/C902)/100))))</f>
        <v>0</v>
      </c>
      <c r="BL902" s="57">
        <f>IF(ISERROR(IF(B902=C902,AA902/C902,(INT(AA902/B902)+(((AA902-B902*INT(AA902/B902)))/C902)/100))),0,(IF(B902=C902,AA902/C902,(INT(AA902/B902)+(((AA902-B902*INT(AA902/B902)))/C902)/100))))</f>
        <v>0</v>
      </c>
      <c r="BM902" s="57">
        <f>IF(ISERROR(IF(B902=C902,AB902/C902,(INT(AB902/B902)+(((AB902-B902*INT(AB902/B902)))/C902)/100))),0,(IF(B902=C902,AB902/C902,(INT(AB902/B902)+(((AB902-B902*INT(AB902/B902)))/C902)/100))))</f>
        <v>0</v>
      </c>
      <c r="BN902" s="57">
        <f>IF(ISERROR(IF(B902=C902,AC902/C902,(INT(AC902/B902)+(((AC902-B902*INT(AC902/B902)))/C902)/100))),0,(IF(B902=C902,AC902/C902,(INT(AC902/B902)+(((AC902-B902*INT(AC902/B902)))/C902)/100))))</f>
        <v>0</v>
      </c>
      <c r="BO902" s="57">
        <f>IF(ISERROR(IF(B902=C902,AD902/C902,(INT(AD902/B902)+(((AD902-B902*INT(AD902/B902)))/C902)/100))),0,(IF(B902=C902,AD902/C902,(INT(AD902/B902)+(((AD902-B902*INT(AD902/B902)))/C902)/100))))</f>
        <v>0</v>
      </c>
      <c r="BQ902" s="124" t="s">
        <v>81</v>
      </c>
    </row>
    <row r="903" spans="1:69" hidden="1" x14ac:dyDescent="0.35">
      <c r="A903" s="134" t="s">
        <v>103</v>
      </c>
      <c r="B903" s="113">
        <v>700</v>
      </c>
      <c r="C903" s="113">
        <v>30</v>
      </c>
      <c r="D903" s="28">
        <f>SUM(AA903:AD903)</f>
        <v>0</v>
      </c>
      <c r="E903" s="125">
        <v>0</v>
      </c>
      <c r="F903" s="113">
        <v>0</v>
      </c>
      <c r="G903" s="28">
        <f>SUM(D903:F903)</f>
        <v>0</v>
      </c>
      <c r="H903" s="125">
        <v>0</v>
      </c>
      <c r="I903" s="125">
        <v>0</v>
      </c>
      <c r="J903" s="125">
        <v>0</v>
      </c>
      <c r="K903" s="125">
        <v>0</v>
      </c>
      <c r="L903" s="113">
        <v>0</v>
      </c>
      <c r="M903" s="113">
        <v>0</v>
      </c>
      <c r="N903" s="28">
        <f>G903-SUM(H903:M903)</f>
        <v>0</v>
      </c>
      <c r="O903" s="28">
        <f>SUM(V903:Y903)</f>
        <v>0</v>
      </c>
      <c r="P903" s="28">
        <f>O903-N903</f>
        <v>0</v>
      </c>
      <c r="Q903" s="61" t="str">
        <f>IF(ISERROR(P903/SUM(H903:L903)),"",P903/SUM(H903:L903))</f>
        <v/>
      </c>
      <c r="R903" s="113">
        <v>0</v>
      </c>
      <c r="S903" s="28">
        <f>IF(ISERROR(P903/C903*R903),0,(P903/C903*R903))</f>
        <v>0</v>
      </c>
      <c r="T903" s="60">
        <f>IF(ISERROR(P903/B903*AF903),0,(P903/B903*AF903))</f>
        <v>0</v>
      </c>
      <c r="V903" s="113">
        <v>0</v>
      </c>
      <c r="W903" s="113">
        <v>0</v>
      </c>
      <c r="X903" s="113">
        <v>0</v>
      </c>
      <c r="Y903" s="113">
        <v>0</v>
      </c>
      <c r="AA903" s="113">
        <v>0</v>
      </c>
      <c r="AB903" s="113">
        <v>0</v>
      </c>
      <c r="AC903" s="113">
        <v>0</v>
      </c>
      <c r="AD903" s="113">
        <v>0</v>
      </c>
      <c r="AF903" s="54">
        <v>525</v>
      </c>
      <c r="AG903" s="28">
        <f>G903-O903</f>
        <v>0</v>
      </c>
      <c r="AH903" s="58">
        <f>IF(ISERROR(AG903/B903*AF903),0,(AG903/B903*AF903))</f>
        <v>0</v>
      </c>
      <c r="AI903" s="28">
        <f>SUM(H903:M903)</f>
        <v>0</v>
      </c>
      <c r="AJ903" s="28">
        <f>IF(ISERROR(AI903/B903*AF903),0,(AI903/B903*AF903))</f>
        <v>0</v>
      </c>
      <c r="AK903" s="58">
        <f>IF(ISERROR(O903/B903*AF903),0,(O903/B903*AF903))</f>
        <v>0</v>
      </c>
      <c r="AL903" s="28">
        <f>IF(ISERROR(H903/B903*AF903),0,(H903/B903*AF903))</f>
        <v>0</v>
      </c>
      <c r="AN903" s="51" t="str">
        <f>A903</f>
        <v>Monin Black Currant</v>
      </c>
      <c r="AO903" s="57">
        <f>IF(ISERROR(IF(B903=C903,D903/C903,(INT(D903/B903)+(((D903-B903*INT(D903/B903)))/C903)/100))),0,(IF(B903=C903,D903/C903,(INT(D903/B903)+(((D903-B903*INT(D903/B903)))/C903)/100))))</f>
        <v>0</v>
      </c>
      <c r="AP903" s="57">
        <f>IF(ISERROR(IF(B903=C903,E903/C903,(INT(E903/B903)+(((E903-B903*INT(E903/B903)))/C903)/100))),0,(IF(B903=C903,E903/C903,(INT(E903/B903)+(((E903-B903*INT(E903/B903)))/C903)/100))))</f>
        <v>0</v>
      </c>
      <c r="AQ903" s="57">
        <f>IF(ISERROR(IF(B903=C903,F903/C903,IF((INT(F903/B903)+(((F903-B903*INT(F903/B903)))/C903)/100)&lt;0,(INT(F903/B903)+(((F903-B903*INT(F903/B903)))/C903)/100)+(1-(B903/C903/100)),(INT(F903/B903)+(((F903-B903*INT(F903/B903)))/C903)/100)))),0,IF(B903=C903,F903/C903,IF((INT(F903/B903)+(((F903-B903*INT(F903/B903)))/C903)/100)&lt;0,(INT(F903/B903)+(((F903-B903*INT(F903/B903)))/C903)/100)+(1-(B903/C903/100)),(INT(F903/B903)+(((F903-B903*INT(F903/B903)))/C903)/100))))</f>
        <v>0</v>
      </c>
      <c r="AR903" s="57">
        <f>IF(ISERROR(IF(B903=C903,G903/C903,(INT(G903/B903)+(((G903-B903*INT(G903/B903)))/C903)/100))),0,(IF(B903=C903,G903/C903,(INT(G903/B903)+(((G903-B903*INT(G903/B903)))/C903)/100))))</f>
        <v>0</v>
      </c>
      <c r="AS903" s="57">
        <f>IF(ISERROR(IF(B903=C903,H903/C903,(INT(H903/B903)+(((H903-B903*INT(H903/B903)))/C903)/100))),0,(IF(B903=C903,H903/C903,(INT(H903/B903)+(((H903-B903*INT(H903/B903)))/C903)/100))))</f>
        <v>0</v>
      </c>
      <c r="AT903" s="57">
        <f>IF(ISERROR(IF(B903=C903,I903/C903,(INT(I903/B903)+(((I903-B903*INT(I903/B903)))/C903)/100))),0,(IF(B903=C903,I903/C903,(INT(I903/B903)+(((I903-B903*INT(I903/B903)))/C903)/100))))</f>
        <v>0</v>
      </c>
      <c r="AU903" s="57">
        <f>IF(ISERROR(IF(B903=C903,J903/C903,(INT(J903/B903)+(((J903-B903*INT(J903/B903)))/C903)/100))),0,(IF(B903=C903,J903/C903,(INT(J903/B903)+(((J903-B903*INT(J903/B903)))/C903)/100))))</f>
        <v>0</v>
      </c>
      <c r="AV903" s="57">
        <f>IF(ISERROR(IF(B903=C903,K903/C903,IF((INT(K903/B903)+(((K903-B903*INT(K903/B903)))/C903)/100)&lt;0,(INT(K903/B903)+(((K903-B903*INT(K903/B903)))/C903)/100)+(1-(B903/C903/100)),(INT(K903/B903)+(((K903-B903*INT(K903/B903)))/C903)/100)))),0,IF(B903=C903,K903/C903,IF((INT(K903/B903)+(((K903-B903*INT(K903/B903)))/C903)/100)&lt;0,(INT(K903/B903)+(((K903-B903*INT(K903/B903)))/C903)/100)+(1-(B903/C903/100)),(INT(K903/B903)+(((K903-B903*INT(K903/B903)))/C903)/100))))</f>
        <v>0</v>
      </c>
      <c r="AW903" s="57">
        <f>IF(ISERROR(IF(B903=C903,L903/C903,(INT(L903/B903)+(((L903-B903*INT(L903/B903)))/C903)/100))),0,(IF(B903=C903,L903/C903,(INT(L903/B903)+(((L903-B903*INT(L903/B903)))/C903)/100))))</f>
        <v>0</v>
      </c>
      <c r="AX903" s="57">
        <f>IF(ISERROR(IF(B903=C903,M903/C903,(INT(M903/B903)+(((M903-B903*INT(M903/B903)))/C903)/100))),0,(IF(B903=C903,M903/C903,(INT(M903/B903)+(((M903-B903*INT(M903/B903)))/C903)/100))))</f>
        <v>0</v>
      </c>
      <c r="AY903" s="57">
        <f>IF(ISERROR(IF(B903=C903,N903/C903,IF((INT(N903/B903)+(((N903-B903*INT(N903/B903)))/C903)/100)&lt;0,(INT(N903/B903)+(((N903-B903*INT(N903/B903)))/C903)/100)+(1-(B903/C903/100)),(INT(N903/B903)+(((N903-B903*INT(N903/B903)))/C903)/100)))),0,IF(B903=C903,N903/C903,IF((INT(N903/B903)+(((N903-B903*INT(N903/B903)))/C903)/100)&lt;0,(INT(N903/B903)+(((N903-B903*INT(N903/B903)))/C903)/100)+(1-(B903/C903/100)),(INT(N903/B903)+(((N903-B903*INT(N903/B903)))/C903)/100))))</f>
        <v>0</v>
      </c>
      <c r="AZ903" s="57">
        <f>IF(ISERROR(IF(B903=C903,O903/C903,(INT(O903/B903)+(((O903-B903*INT(O903/B903)))/C903)/100))),0,(IF(B903=C903,O903/C903,(INT(O903/B903)+(((O903-B903*INT(O903/B903)))/C903)/100))))</f>
        <v>0</v>
      </c>
      <c r="BA903" s="57">
        <f>IF(ISERROR(IF(B903=C903,P903/C903,IF((INT(P903/B903)+(((P903-B903*INT(P903/B903)))/C903)/100)&lt;0,(INT(P903/B903)+(((P903-B903*INT(P903/B903)))/C903)/100)+(1-(B903/C903/100)),(INT(P903/B903)+(((P903-B903*INT(P903/B903)))/C903)/100)))),0,IF(B903=C903,P903/C903,IF((INT(P903/B903)+(((P903-B903*INT(P903/B903)))/C903)/100)&lt;0,(INT(P903/B903)+(((P903-B903*INT(P903/B903)))/C903)/100)+(1-(B903/C903/100)),(INT(P903/B903)+(((P903-B903*INT(P903/B903)))/C903)/100))))</f>
        <v>0</v>
      </c>
      <c r="BB903" s="28">
        <f>R903</f>
        <v>0</v>
      </c>
      <c r="BC903" s="28">
        <f>S903</f>
        <v>0</v>
      </c>
      <c r="BD903" s="28">
        <f>AF903</f>
        <v>525</v>
      </c>
      <c r="BE903" s="28">
        <f>T903</f>
        <v>0</v>
      </c>
      <c r="BG903" s="57">
        <f>IF(ISERROR(IF(B903=C903,V903/C903,(INT(V903/B903)+(((V903-B903*INT(V903/B903)))/C903)/100))),0,(IF(B903=C903,V903/C903,(INT(V903/B903)+(((V903-B903*INT(V903/B903)))/C903)/100))))</f>
        <v>0</v>
      </c>
      <c r="BH903" s="57">
        <f>IF(ISERROR(IF(B903=C903,W903/C903,(INT(W903/B903)+(((W903-B903*INT(W903/B903)))/C903)/100))),0,(IF(B903=C903,W903/C903,(INT(W903/B903)+(((W903-B903*INT(W903/B903)))/C903)/100))))</f>
        <v>0</v>
      </c>
      <c r="BI903" s="57">
        <f>IF(ISERROR(IF(B903=C903,X903/C903,(INT(X903/B903)+(((X903-B903*INT(X903/B903)))/C903)/100))),0,(IF(B903=C903,X903/C903,(INT(X903/B903)+(((X903-B903*INT(X903/B903)))/C903)/100))))</f>
        <v>0</v>
      </c>
      <c r="BJ903" s="57">
        <f>IF(ISERROR(IF(B903=C903,Y903/C903,(INT(Y903/B903)+(((Y903-B903*INT(Y903/B903)))/C903)/100))),0,(IF(B903=C903,Y903/C903,(INT(Y903/B903)+(((Y903-B903*INT(Y903/B903)))/C903)/100))))</f>
        <v>0</v>
      </c>
      <c r="BL903" s="57">
        <f>IF(ISERROR(IF(B903=C903,AA903/C903,(INT(AA903/B903)+(((AA903-B903*INT(AA903/B903)))/C903)/100))),0,(IF(B903=C903,AA903/C903,(INT(AA903/B903)+(((AA903-B903*INT(AA903/B903)))/C903)/100))))</f>
        <v>0</v>
      </c>
      <c r="BM903" s="57">
        <f>IF(ISERROR(IF(B903=C903,AB903/C903,(INT(AB903/B903)+(((AB903-B903*INT(AB903/B903)))/C903)/100))),0,(IF(B903=C903,AB903/C903,(INT(AB903/B903)+(((AB903-B903*INT(AB903/B903)))/C903)/100))))</f>
        <v>0</v>
      </c>
      <c r="BN903" s="57">
        <f>IF(ISERROR(IF(B903=C903,AC903/C903,(INT(AC903/B903)+(((AC903-B903*INT(AC903/B903)))/C903)/100))),0,(IF(B903=C903,AC903/C903,(INT(AC903/B903)+(((AC903-B903*INT(AC903/B903)))/C903)/100))))</f>
        <v>0</v>
      </c>
      <c r="BO903" s="57">
        <f>IF(ISERROR(IF(B903=C903,AD903/C903,(INT(AD903/B903)+(((AD903-B903*INT(AD903/B903)))/C903)/100))),0,(IF(B903=C903,AD903/C903,(INT(AD903/B903)+(((AD903-B903*INT(AD903/B903)))/C903)/100))))</f>
        <v>0</v>
      </c>
      <c r="BQ903" s="124" t="s">
        <v>81</v>
      </c>
    </row>
    <row r="904" spans="1:69" hidden="1" x14ac:dyDescent="0.35">
      <c r="A904" s="134" t="s">
        <v>102</v>
      </c>
      <c r="B904" s="113">
        <v>700</v>
      </c>
      <c r="C904" s="113">
        <v>30</v>
      </c>
      <c r="D904" s="28">
        <f>SUM(AA904:AD904)</f>
        <v>0</v>
      </c>
      <c r="E904" s="125">
        <v>0</v>
      </c>
      <c r="F904" s="113">
        <v>0</v>
      </c>
      <c r="G904" s="28">
        <f>SUM(D904:F904)</f>
        <v>0</v>
      </c>
      <c r="H904" s="125">
        <v>0</v>
      </c>
      <c r="I904" s="125">
        <v>0</v>
      </c>
      <c r="J904" s="125">
        <v>0</v>
      </c>
      <c r="K904" s="125">
        <v>0</v>
      </c>
      <c r="L904" s="113">
        <v>0</v>
      </c>
      <c r="M904" s="113">
        <v>0</v>
      </c>
      <c r="N904" s="28">
        <f>G904-SUM(H904:M904)</f>
        <v>0</v>
      </c>
      <c r="O904" s="28">
        <f>SUM(V904:Y904)</f>
        <v>0</v>
      </c>
      <c r="P904" s="28">
        <f>O904-N904</f>
        <v>0</v>
      </c>
      <c r="Q904" s="61" t="str">
        <f>IF(ISERROR(P904/SUM(H904:L904)),"",P904/SUM(H904:L904))</f>
        <v/>
      </c>
      <c r="R904" s="113">
        <v>0</v>
      </c>
      <c r="S904" s="28">
        <f>IF(ISERROR(P904/C904*R904),0,(P904/C904*R904))</f>
        <v>0</v>
      </c>
      <c r="T904" s="60">
        <f>IF(ISERROR(P904/B904*AF904),0,(P904/B904*AF904))</f>
        <v>0</v>
      </c>
      <c r="V904" s="113">
        <v>0</v>
      </c>
      <c r="W904" s="113">
        <v>0</v>
      </c>
      <c r="X904" s="113">
        <v>0</v>
      </c>
      <c r="Y904" s="113">
        <v>0</v>
      </c>
      <c r="AA904" s="113">
        <v>0</v>
      </c>
      <c r="AB904" s="113">
        <v>0</v>
      </c>
      <c r="AC904" s="113">
        <v>0</v>
      </c>
      <c r="AD904" s="113">
        <v>0</v>
      </c>
      <c r="AF904" s="54">
        <v>525</v>
      </c>
      <c r="AG904" s="28">
        <f>G904-O904</f>
        <v>0</v>
      </c>
      <c r="AH904" s="58">
        <f>IF(ISERROR(AG904/B904*AF904),0,(AG904/B904*AF904))</f>
        <v>0</v>
      </c>
      <c r="AI904" s="28">
        <f>SUM(H904:M904)</f>
        <v>0</v>
      </c>
      <c r="AJ904" s="28">
        <f>IF(ISERROR(AI904/B904*AF904),0,(AI904/B904*AF904))</f>
        <v>0</v>
      </c>
      <c r="AK904" s="58">
        <f>IF(ISERROR(O904/B904*AF904),0,(O904/B904*AF904))</f>
        <v>0</v>
      </c>
      <c r="AL904" s="28">
        <f>IF(ISERROR(H904/B904*AF904),0,(H904/B904*AF904))</f>
        <v>0</v>
      </c>
      <c r="AN904" s="51" t="str">
        <f>A904</f>
        <v xml:space="preserve">Monin Blue berry </v>
      </c>
      <c r="AO904" s="57">
        <f>IF(ISERROR(IF(B904=C904,D904/C904,(INT(D904/B904)+(((D904-B904*INT(D904/B904)))/C904)/100))),0,(IF(B904=C904,D904/C904,(INT(D904/B904)+(((D904-B904*INT(D904/B904)))/C904)/100))))</f>
        <v>0</v>
      </c>
      <c r="AP904" s="57">
        <f>IF(ISERROR(IF(B904=C904,E904/C904,(INT(E904/B904)+(((E904-B904*INT(E904/B904)))/C904)/100))),0,(IF(B904=C904,E904/C904,(INT(E904/B904)+(((E904-B904*INT(E904/B904)))/C904)/100))))</f>
        <v>0</v>
      </c>
      <c r="AQ904" s="57">
        <f>IF(ISERROR(IF(B904=C904,F904/C904,IF((INT(F904/B904)+(((F904-B904*INT(F904/B904)))/C904)/100)&lt;0,(INT(F904/B904)+(((F904-B904*INT(F904/B904)))/C904)/100)+(1-(B904/C904/100)),(INT(F904/B904)+(((F904-B904*INT(F904/B904)))/C904)/100)))),0,IF(B904=C904,F904/C904,IF((INT(F904/B904)+(((F904-B904*INT(F904/B904)))/C904)/100)&lt;0,(INT(F904/B904)+(((F904-B904*INT(F904/B904)))/C904)/100)+(1-(B904/C904/100)),(INT(F904/B904)+(((F904-B904*INT(F904/B904)))/C904)/100))))</f>
        <v>0</v>
      </c>
      <c r="AR904" s="57">
        <f>IF(ISERROR(IF(B904=C904,G904/C904,(INT(G904/B904)+(((G904-B904*INT(G904/B904)))/C904)/100))),0,(IF(B904=C904,G904/C904,(INT(G904/B904)+(((G904-B904*INT(G904/B904)))/C904)/100))))</f>
        <v>0</v>
      </c>
      <c r="AS904" s="57">
        <f>IF(ISERROR(IF(B904=C904,H904/C904,(INT(H904/B904)+(((H904-B904*INT(H904/B904)))/C904)/100))),0,(IF(B904=C904,H904/C904,(INT(H904/B904)+(((H904-B904*INT(H904/B904)))/C904)/100))))</f>
        <v>0</v>
      </c>
      <c r="AT904" s="57">
        <f>IF(ISERROR(IF(B904=C904,I904/C904,(INT(I904/B904)+(((I904-B904*INT(I904/B904)))/C904)/100))),0,(IF(B904=C904,I904/C904,(INT(I904/B904)+(((I904-B904*INT(I904/B904)))/C904)/100))))</f>
        <v>0</v>
      </c>
      <c r="AU904" s="57">
        <f>IF(ISERROR(IF(B904=C904,J904/C904,(INT(J904/B904)+(((J904-B904*INT(J904/B904)))/C904)/100))),0,(IF(B904=C904,J904/C904,(INT(J904/B904)+(((J904-B904*INT(J904/B904)))/C904)/100))))</f>
        <v>0</v>
      </c>
      <c r="AV904" s="57">
        <f>IF(ISERROR(IF(B904=C904,K904/C904,IF((INT(K904/B904)+(((K904-B904*INT(K904/B904)))/C904)/100)&lt;0,(INT(K904/B904)+(((K904-B904*INT(K904/B904)))/C904)/100)+(1-(B904/C904/100)),(INT(K904/B904)+(((K904-B904*INT(K904/B904)))/C904)/100)))),0,IF(B904=C904,K904/C904,IF((INT(K904/B904)+(((K904-B904*INT(K904/B904)))/C904)/100)&lt;0,(INT(K904/B904)+(((K904-B904*INT(K904/B904)))/C904)/100)+(1-(B904/C904/100)),(INT(K904/B904)+(((K904-B904*INT(K904/B904)))/C904)/100))))</f>
        <v>0</v>
      </c>
      <c r="AW904" s="57">
        <f>IF(ISERROR(IF(B904=C904,L904/C904,(INT(L904/B904)+(((L904-B904*INT(L904/B904)))/C904)/100))),0,(IF(B904=C904,L904/C904,(INT(L904/B904)+(((L904-B904*INT(L904/B904)))/C904)/100))))</f>
        <v>0</v>
      </c>
      <c r="AX904" s="57">
        <f>IF(ISERROR(IF(B904=C904,M904/C904,(INT(M904/B904)+(((M904-B904*INT(M904/B904)))/C904)/100))),0,(IF(B904=C904,M904/C904,(INT(M904/B904)+(((M904-B904*INT(M904/B904)))/C904)/100))))</f>
        <v>0</v>
      </c>
      <c r="AY904" s="57">
        <f>IF(ISERROR(IF(B904=C904,N904/C904,IF((INT(N904/B904)+(((N904-B904*INT(N904/B904)))/C904)/100)&lt;0,(INT(N904/B904)+(((N904-B904*INT(N904/B904)))/C904)/100)+(1-(B904/C904/100)),(INT(N904/B904)+(((N904-B904*INT(N904/B904)))/C904)/100)))),0,IF(B904=C904,N904/C904,IF((INT(N904/B904)+(((N904-B904*INT(N904/B904)))/C904)/100)&lt;0,(INT(N904/B904)+(((N904-B904*INT(N904/B904)))/C904)/100)+(1-(B904/C904/100)),(INT(N904/B904)+(((N904-B904*INT(N904/B904)))/C904)/100))))</f>
        <v>0</v>
      </c>
      <c r="AZ904" s="57">
        <f>IF(ISERROR(IF(B904=C904,O904/C904,(INT(O904/B904)+(((O904-B904*INT(O904/B904)))/C904)/100))),0,(IF(B904=C904,O904/C904,(INT(O904/B904)+(((O904-B904*INT(O904/B904)))/C904)/100))))</f>
        <v>0</v>
      </c>
      <c r="BA904" s="57">
        <f>IF(ISERROR(IF(B904=C904,P904/C904,IF((INT(P904/B904)+(((P904-B904*INT(P904/B904)))/C904)/100)&lt;0,(INT(P904/B904)+(((P904-B904*INT(P904/B904)))/C904)/100)+(1-(B904/C904/100)),(INT(P904/B904)+(((P904-B904*INT(P904/B904)))/C904)/100)))),0,IF(B904=C904,P904/C904,IF((INT(P904/B904)+(((P904-B904*INT(P904/B904)))/C904)/100)&lt;0,(INT(P904/B904)+(((P904-B904*INT(P904/B904)))/C904)/100)+(1-(B904/C904/100)),(INT(P904/B904)+(((P904-B904*INT(P904/B904)))/C904)/100))))</f>
        <v>0</v>
      </c>
      <c r="BB904" s="28">
        <f>R904</f>
        <v>0</v>
      </c>
      <c r="BC904" s="28">
        <f>S904</f>
        <v>0</v>
      </c>
      <c r="BD904" s="28">
        <f>AF904</f>
        <v>525</v>
      </c>
      <c r="BE904" s="28">
        <f>T904</f>
        <v>0</v>
      </c>
      <c r="BG904" s="57">
        <f>IF(ISERROR(IF(B904=C904,V904/C904,(INT(V904/B904)+(((V904-B904*INT(V904/B904)))/C904)/100))),0,(IF(B904=C904,V904/C904,(INT(V904/B904)+(((V904-B904*INT(V904/B904)))/C904)/100))))</f>
        <v>0</v>
      </c>
      <c r="BH904" s="57">
        <f>IF(ISERROR(IF(B904=C904,W904/C904,(INT(W904/B904)+(((W904-B904*INT(W904/B904)))/C904)/100))),0,(IF(B904=C904,W904/C904,(INT(W904/B904)+(((W904-B904*INT(W904/B904)))/C904)/100))))</f>
        <v>0</v>
      </c>
      <c r="BI904" s="57">
        <f>IF(ISERROR(IF(B904=C904,X904/C904,(INT(X904/B904)+(((X904-B904*INT(X904/B904)))/C904)/100))),0,(IF(B904=C904,X904/C904,(INT(X904/B904)+(((X904-B904*INT(X904/B904)))/C904)/100))))</f>
        <v>0</v>
      </c>
      <c r="BJ904" s="57">
        <f>IF(ISERROR(IF(B904=C904,Y904/C904,(INT(Y904/B904)+(((Y904-B904*INT(Y904/B904)))/C904)/100))),0,(IF(B904=C904,Y904/C904,(INT(Y904/B904)+(((Y904-B904*INT(Y904/B904)))/C904)/100))))</f>
        <v>0</v>
      </c>
      <c r="BL904" s="57">
        <f>IF(ISERROR(IF(B904=C904,AA904/C904,(INT(AA904/B904)+(((AA904-B904*INT(AA904/B904)))/C904)/100))),0,(IF(B904=C904,AA904/C904,(INT(AA904/B904)+(((AA904-B904*INT(AA904/B904)))/C904)/100))))</f>
        <v>0</v>
      </c>
      <c r="BM904" s="57">
        <f>IF(ISERROR(IF(B904=C904,AB904/C904,(INT(AB904/B904)+(((AB904-B904*INT(AB904/B904)))/C904)/100))),0,(IF(B904=C904,AB904/C904,(INT(AB904/B904)+(((AB904-B904*INT(AB904/B904)))/C904)/100))))</f>
        <v>0</v>
      </c>
      <c r="BN904" s="57">
        <f>IF(ISERROR(IF(B904=C904,AC904/C904,(INT(AC904/B904)+(((AC904-B904*INT(AC904/B904)))/C904)/100))),0,(IF(B904=C904,AC904/C904,(INT(AC904/B904)+(((AC904-B904*INT(AC904/B904)))/C904)/100))))</f>
        <v>0</v>
      </c>
      <c r="BO904" s="57">
        <f>IF(ISERROR(IF(B904=C904,AD904/C904,(INT(AD904/B904)+(((AD904-B904*INT(AD904/B904)))/C904)/100))),0,(IF(B904=C904,AD904/C904,(INT(AD904/B904)+(((AD904-B904*INT(AD904/B904)))/C904)/100))))</f>
        <v>0</v>
      </c>
      <c r="BQ904" s="124" t="s">
        <v>81</v>
      </c>
    </row>
    <row r="905" spans="1:69" hidden="1" x14ac:dyDescent="0.35">
      <c r="A905" s="134" t="s">
        <v>101</v>
      </c>
      <c r="B905" s="113">
        <v>700</v>
      </c>
      <c r="C905" s="113">
        <v>30</v>
      </c>
      <c r="D905" s="28">
        <f>SUM(AA905:AD905)</f>
        <v>0</v>
      </c>
      <c r="E905" s="125">
        <v>0</v>
      </c>
      <c r="F905" s="113">
        <v>0</v>
      </c>
      <c r="G905" s="28">
        <f>SUM(D905:F905)</f>
        <v>0</v>
      </c>
      <c r="H905" s="125">
        <v>0</v>
      </c>
      <c r="I905" s="125">
        <v>0</v>
      </c>
      <c r="J905" s="125">
        <v>0</v>
      </c>
      <c r="K905" s="125">
        <v>0</v>
      </c>
      <c r="L905" s="113">
        <v>0</v>
      </c>
      <c r="M905" s="113">
        <v>0</v>
      </c>
      <c r="N905" s="28">
        <f>G905-SUM(H905:M905)</f>
        <v>0</v>
      </c>
      <c r="O905" s="28">
        <f>SUM(V905:Y905)</f>
        <v>0</v>
      </c>
      <c r="P905" s="28">
        <f>O905-N905</f>
        <v>0</v>
      </c>
      <c r="Q905" s="61" t="str">
        <f>IF(ISERROR(P905/SUM(H905:L905)),"",P905/SUM(H905:L905))</f>
        <v/>
      </c>
      <c r="R905" s="113">
        <v>0</v>
      </c>
      <c r="S905" s="28">
        <f>IF(ISERROR(P905/C905*R905),0,(P905/C905*R905))</f>
        <v>0</v>
      </c>
      <c r="T905" s="60">
        <f>IF(ISERROR(P905/B905*AF905),0,(P905/B905*AF905))</f>
        <v>0</v>
      </c>
      <c r="V905" s="113">
        <v>0</v>
      </c>
      <c r="W905" s="113">
        <v>0</v>
      </c>
      <c r="X905" s="113">
        <v>0</v>
      </c>
      <c r="Y905" s="113">
        <v>0</v>
      </c>
      <c r="AA905" s="113">
        <v>0</v>
      </c>
      <c r="AB905" s="113">
        <v>0</v>
      </c>
      <c r="AC905" s="113">
        <v>0</v>
      </c>
      <c r="AD905" s="113">
        <v>0</v>
      </c>
      <c r="AF905" s="54">
        <v>525</v>
      </c>
      <c r="AG905" s="28">
        <f>G905-O905</f>
        <v>0</v>
      </c>
      <c r="AH905" s="58">
        <f>IF(ISERROR(AG905/B905*AF905),0,(AG905/B905*AF905))</f>
        <v>0</v>
      </c>
      <c r="AI905" s="28">
        <f>SUM(H905:M905)</f>
        <v>0</v>
      </c>
      <c r="AJ905" s="28">
        <f>IF(ISERROR(AI905/B905*AF905),0,(AI905/B905*AF905))</f>
        <v>0</v>
      </c>
      <c r="AK905" s="58">
        <f>IF(ISERROR(O905/B905*AF905),0,(O905/B905*AF905))</f>
        <v>0</v>
      </c>
      <c r="AL905" s="28">
        <f>IF(ISERROR(H905/B905*AF905),0,(H905/B905*AF905))</f>
        <v>0</v>
      </c>
      <c r="AN905" s="51" t="str">
        <f>A905</f>
        <v xml:space="preserve">Monin Blue Curacao </v>
      </c>
      <c r="AO905" s="57">
        <f>IF(ISERROR(IF(B905=C905,D905/C905,(INT(D905/B905)+(((D905-B905*INT(D905/B905)))/C905)/100))),0,(IF(B905=C905,D905/C905,(INT(D905/B905)+(((D905-B905*INT(D905/B905)))/C905)/100))))</f>
        <v>0</v>
      </c>
      <c r="AP905" s="57">
        <f>IF(ISERROR(IF(B905=C905,E905/C905,(INT(E905/B905)+(((E905-B905*INT(E905/B905)))/C905)/100))),0,(IF(B905=C905,E905/C905,(INT(E905/B905)+(((E905-B905*INT(E905/B905)))/C905)/100))))</f>
        <v>0</v>
      </c>
      <c r="AQ905" s="57">
        <f>IF(ISERROR(IF(B905=C905,F905/C905,IF((INT(F905/B905)+(((F905-B905*INT(F905/B905)))/C905)/100)&lt;0,(INT(F905/B905)+(((F905-B905*INT(F905/B905)))/C905)/100)+(1-(B905/C905/100)),(INT(F905/B905)+(((F905-B905*INT(F905/B905)))/C905)/100)))),0,IF(B905=C905,F905/C905,IF((INT(F905/B905)+(((F905-B905*INT(F905/B905)))/C905)/100)&lt;0,(INT(F905/B905)+(((F905-B905*INT(F905/B905)))/C905)/100)+(1-(B905/C905/100)),(INT(F905/B905)+(((F905-B905*INT(F905/B905)))/C905)/100))))</f>
        <v>0</v>
      </c>
      <c r="AR905" s="57">
        <f>IF(ISERROR(IF(B905=C905,G905/C905,(INT(G905/B905)+(((G905-B905*INT(G905/B905)))/C905)/100))),0,(IF(B905=C905,G905/C905,(INT(G905/B905)+(((G905-B905*INT(G905/B905)))/C905)/100))))</f>
        <v>0</v>
      </c>
      <c r="AS905" s="57">
        <f>IF(ISERROR(IF(B905=C905,H905/C905,(INT(H905/B905)+(((H905-B905*INT(H905/B905)))/C905)/100))),0,(IF(B905=C905,H905/C905,(INT(H905/B905)+(((H905-B905*INT(H905/B905)))/C905)/100))))</f>
        <v>0</v>
      </c>
      <c r="AT905" s="57">
        <f>IF(ISERROR(IF(B905=C905,I905/C905,(INT(I905/B905)+(((I905-B905*INT(I905/B905)))/C905)/100))),0,(IF(B905=C905,I905/C905,(INT(I905/B905)+(((I905-B905*INT(I905/B905)))/C905)/100))))</f>
        <v>0</v>
      </c>
      <c r="AU905" s="57">
        <f>IF(ISERROR(IF(B905=C905,J905/C905,(INT(J905/B905)+(((J905-B905*INT(J905/B905)))/C905)/100))),0,(IF(B905=C905,J905/C905,(INT(J905/B905)+(((J905-B905*INT(J905/B905)))/C905)/100))))</f>
        <v>0</v>
      </c>
      <c r="AV905" s="57">
        <f>IF(ISERROR(IF(B905=C905,K905/C905,IF((INT(K905/B905)+(((K905-B905*INT(K905/B905)))/C905)/100)&lt;0,(INT(K905/B905)+(((K905-B905*INT(K905/B905)))/C905)/100)+(1-(B905/C905/100)),(INT(K905/B905)+(((K905-B905*INT(K905/B905)))/C905)/100)))),0,IF(B905=C905,K905/C905,IF((INT(K905/B905)+(((K905-B905*INT(K905/B905)))/C905)/100)&lt;0,(INT(K905/B905)+(((K905-B905*INT(K905/B905)))/C905)/100)+(1-(B905/C905/100)),(INT(K905/B905)+(((K905-B905*INT(K905/B905)))/C905)/100))))</f>
        <v>0</v>
      </c>
      <c r="AW905" s="57">
        <f>IF(ISERROR(IF(B905=C905,L905/C905,(INT(L905/B905)+(((L905-B905*INT(L905/B905)))/C905)/100))),0,(IF(B905=C905,L905/C905,(INT(L905/B905)+(((L905-B905*INT(L905/B905)))/C905)/100))))</f>
        <v>0</v>
      </c>
      <c r="AX905" s="57">
        <f>IF(ISERROR(IF(B905=C905,M905/C905,(INT(M905/B905)+(((M905-B905*INT(M905/B905)))/C905)/100))),0,(IF(B905=C905,M905/C905,(INT(M905/B905)+(((M905-B905*INT(M905/B905)))/C905)/100))))</f>
        <v>0</v>
      </c>
      <c r="AY905" s="57">
        <f>IF(ISERROR(IF(B905=C905,N905/C905,IF((INT(N905/B905)+(((N905-B905*INT(N905/B905)))/C905)/100)&lt;0,(INT(N905/B905)+(((N905-B905*INT(N905/B905)))/C905)/100)+(1-(B905/C905/100)),(INT(N905/B905)+(((N905-B905*INT(N905/B905)))/C905)/100)))),0,IF(B905=C905,N905/C905,IF((INT(N905/B905)+(((N905-B905*INT(N905/B905)))/C905)/100)&lt;0,(INT(N905/B905)+(((N905-B905*INT(N905/B905)))/C905)/100)+(1-(B905/C905/100)),(INT(N905/B905)+(((N905-B905*INT(N905/B905)))/C905)/100))))</f>
        <v>0</v>
      </c>
      <c r="AZ905" s="57">
        <f>IF(ISERROR(IF(B905=C905,O905/C905,(INT(O905/B905)+(((O905-B905*INT(O905/B905)))/C905)/100))),0,(IF(B905=C905,O905/C905,(INT(O905/B905)+(((O905-B905*INT(O905/B905)))/C905)/100))))</f>
        <v>0</v>
      </c>
      <c r="BA905" s="57">
        <f>IF(ISERROR(IF(B905=C905,P905/C905,IF((INT(P905/B905)+(((P905-B905*INT(P905/B905)))/C905)/100)&lt;0,(INT(P905/B905)+(((P905-B905*INT(P905/B905)))/C905)/100)+(1-(B905/C905/100)),(INT(P905/B905)+(((P905-B905*INT(P905/B905)))/C905)/100)))),0,IF(B905=C905,P905/C905,IF((INT(P905/B905)+(((P905-B905*INT(P905/B905)))/C905)/100)&lt;0,(INT(P905/B905)+(((P905-B905*INT(P905/B905)))/C905)/100)+(1-(B905/C905/100)),(INT(P905/B905)+(((P905-B905*INT(P905/B905)))/C905)/100))))</f>
        <v>0</v>
      </c>
      <c r="BB905" s="28">
        <f>R905</f>
        <v>0</v>
      </c>
      <c r="BC905" s="28">
        <f>S905</f>
        <v>0</v>
      </c>
      <c r="BD905" s="28">
        <f>AF905</f>
        <v>525</v>
      </c>
      <c r="BE905" s="28">
        <f>T905</f>
        <v>0</v>
      </c>
      <c r="BG905" s="57">
        <f>IF(ISERROR(IF(B905=C905,V905/C905,(INT(V905/B905)+(((V905-B905*INT(V905/B905)))/C905)/100))),0,(IF(B905=C905,V905/C905,(INT(V905/B905)+(((V905-B905*INT(V905/B905)))/C905)/100))))</f>
        <v>0</v>
      </c>
      <c r="BH905" s="57">
        <f>IF(ISERROR(IF(B905=C905,W905/C905,(INT(W905/B905)+(((W905-B905*INT(W905/B905)))/C905)/100))),0,(IF(B905=C905,W905/C905,(INT(W905/B905)+(((W905-B905*INT(W905/B905)))/C905)/100))))</f>
        <v>0</v>
      </c>
      <c r="BI905" s="57">
        <f>IF(ISERROR(IF(B905=C905,X905/C905,(INT(X905/B905)+(((X905-B905*INT(X905/B905)))/C905)/100))),0,(IF(B905=C905,X905/C905,(INT(X905/B905)+(((X905-B905*INT(X905/B905)))/C905)/100))))</f>
        <v>0</v>
      </c>
      <c r="BJ905" s="57">
        <f>IF(ISERROR(IF(B905=C905,Y905/C905,(INT(Y905/B905)+(((Y905-B905*INT(Y905/B905)))/C905)/100))),0,(IF(B905=C905,Y905/C905,(INT(Y905/B905)+(((Y905-B905*INT(Y905/B905)))/C905)/100))))</f>
        <v>0</v>
      </c>
      <c r="BL905" s="57">
        <f>IF(ISERROR(IF(B905=C905,AA905/C905,(INT(AA905/B905)+(((AA905-B905*INT(AA905/B905)))/C905)/100))),0,(IF(B905=C905,AA905/C905,(INT(AA905/B905)+(((AA905-B905*INT(AA905/B905)))/C905)/100))))</f>
        <v>0</v>
      </c>
      <c r="BM905" s="57">
        <f>IF(ISERROR(IF(B905=C905,AB905/C905,(INT(AB905/B905)+(((AB905-B905*INT(AB905/B905)))/C905)/100))),0,(IF(B905=C905,AB905/C905,(INT(AB905/B905)+(((AB905-B905*INT(AB905/B905)))/C905)/100))))</f>
        <v>0</v>
      </c>
      <c r="BN905" s="57">
        <f>IF(ISERROR(IF(B905=C905,AC905/C905,(INT(AC905/B905)+(((AC905-B905*INT(AC905/B905)))/C905)/100))),0,(IF(B905=C905,AC905/C905,(INT(AC905/B905)+(((AC905-B905*INT(AC905/B905)))/C905)/100))))</f>
        <v>0</v>
      </c>
      <c r="BO905" s="57">
        <f>IF(ISERROR(IF(B905=C905,AD905/C905,(INT(AD905/B905)+(((AD905-B905*INT(AD905/B905)))/C905)/100))),0,(IF(B905=C905,AD905/C905,(INT(AD905/B905)+(((AD905-B905*INT(AD905/B905)))/C905)/100))))</f>
        <v>0</v>
      </c>
      <c r="BQ905" s="124" t="s">
        <v>81</v>
      </c>
    </row>
    <row r="906" spans="1:69" hidden="1" x14ac:dyDescent="0.35">
      <c r="A906" s="134" t="s">
        <v>100</v>
      </c>
      <c r="B906" s="113">
        <v>700</v>
      </c>
      <c r="C906" s="113">
        <v>30</v>
      </c>
      <c r="D906" s="28">
        <f>SUM(AA906:AD906)</f>
        <v>0</v>
      </c>
      <c r="E906" s="125">
        <v>0</v>
      </c>
      <c r="F906" s="113">
        <v>0</v>
      </c>
      <c r="G906" s="28">
        <f>SUM(D906:F906)</f>
        <v>0</v>
      </c>
      <c r="H906" s="125">
        <v>0</v>
      </c>
      <c r="I906" s="125">
        <v>0</v>
      </c>
      <c r="J906" s="125">
        <v>0</v>
      </c>
      <c r="K906" s="125">
        <v>0</v>
      </c>
      <c r="L906" s="113">
        <v>0</v>
      </c>
      <c r="M906" s="113">
        <v>0</v>
      </c>
      <c r="N906" s="28">
        <f>G906-SUM(H906:M906)</f>
        <v>0</v>
      </c>
      <c r="O906" s="28">
        <f>SUM(V906:Y906)</f>
        <v>0</v>
      </c>
      <c r="P906" s="28">
        <f>O906-N906</f>
        <v>0</v>
      </c>
      <c r="Q906" s="61" t="str">
        <f>IF(ISERROR(P906/SUM(H906:L906)),"",P906/SUM(H906:L906))</f>
        <v/>
      </c>
      <c r="R906" s="113">
        <v>0</v>
      </c>
      <c r="S906" s="28">
        <f>IF(ISERROR(P906/C906*R906),0,(P906/C906*R906))</f>
        <v>0</v>
      </c>
      <c r="T906" s="60">
        <f>IF(ISERROR(P906/B906*AF906),0,(P906/B906*AF906))</f>
        <v>0</v>
      </c>
      <c r="V906" s="113">
        <v>0</v>
      </c>
      <c r="W906" s="113">
        <v>0</v>
      </c>
      <c r="X906" s="113">
        <v>0</v>
      </c>
      <c r="Y906" s="113">
        <v>0</v>
      </c>
      <c r="AA906" s="113">
        <v>0</v>
      </c>
      <c r="AB906" s="113">
        <v>0</v>
      </c>
      <c r="AC906" s="113">
        <v>0</v>
      </c>
      <c r="AD906" s="113">
        <v>0</v>
      </c>
      <c r="AF906" s="54">
        <v>525</v>
      </c>
      <c r="AG906" s="28">
        <f>G906-O906</f>
        <v>0</v>
      </c>
      <c r="AH906" s="58">
        <f>IF(ISERROR(AG906/B906*AF906),0,(AG906/B906*AF906))</f>
        <v>0</v>
      </c>
      <c r="AI906" s="28">
        <f>SUM(H906:M906)</f>
        <v>0</v>
      </c>
      <c r="AJ906" s="28">
        <f>IF(ISERROR(AI906/B906*AF906),0,(AI906/B906*AF906))</f>
        <v>0</v>
      </c>
      <c r="AK906" s="58">
        <f>IF(ISERROR(O906/B906*AF906),0,(O906/B906*AF906))</f>
        <v>0</v>
      </c>
      <c r="AL906" s="28">
        <f>IF(ISERROR(H906/B906*AF906),0,(H906/B906*AF906))</f>
        <v>0</v>
      </c>
      <c r="AN906" s="51" t="str">
        <f>A906</f>
        <v xml:space="preserve">Monin Caramel </v>
      </c>
      <c r="AO906" s="57">
        <f>IF(ISERROR(IF(B906=C906,D906/C906,(INT(D906/B906)+(((D906-B906*INT(D906/B906)))/C906)/100))),0,(IF(B906=C906,D906/C906,(INT(D906/B906)+(((D906-B906*INT(D906/B906)))/C906)/100))))</f>
        <v>0</v>
      </c>
      <c r="AP906" s="57">
        <f>IF(ISERROR(IF(B906=C906,E906/C906,(INT(E906/B906)+(((E906-B906*INT(E906/B906)))/C906)/100))),0,(IF(B906=C906,E906/C906,(INT(E906/B906)+(((E906-B906*INT(E906/B906)))/C906)/100))))</f>
        <v>0</v>
      </c>
      <c r="AQ906" s="57">
        <f>IF(ISERROR(IF(B906=C906,F906/C906,IF((INT(F906/B906)+(((F906-B906*INT(F906/B906)))/C906)/100)&lt;0,(INT(F906/B906)+(((F906-B906*INT(F906/B906)))/C906)/100)+(1-(B906/C906/100)),(INT(F906/B906)+(((F906-B906*INT(F906/B906)))/C906)/100)))),0,IF(B906=C906,F906/C906,IF((INT(F906/B906)+(((F906-B906*INT(F906/B906)))/C906)/100)&lt;0,(INT(F906/B906)+(((F906-B906*INT(F906/B906)))/C906)/100)+(1-(B906/C906/100)),(INT(F906/B906)+(((F906-B906*INT(F906/B906)))/C906)/100))))</f>
        <v>0</v>
      </c>
      <c r="AR906" s="57">
        <f>IF(ISERROR(IF(B906=C906,G906/C906,(INT(G906/B906)+(((G906-B906*INT(G906/B906)))/C906)/100))),0,(IF(B906=C906,G906/C906,(INT(G906/B906)+(((G906-B906*INT(G906/B906)))/C906)/100))))</f>
        <v>0</v>
      </c>
      <c r="AS906" s="57">
        <f>IF(ISERROR(IF(B906=C906,H906/C906,(INT(H906/B906)+(((H906-B906*INT(H906/B906)))/C906)/100))),0,(IF(B906=C906,H906/C906,(INT(H906/B906)+(((H906-B906*INT(H906/B906)))/C906)/100))))</f>
        <v>0</v>
      </c>
      <c r="AT906" s="57">
        <f>IF(ISERROR(IF(B906=C906,I906/C906,(INT(I906/B906)+(((I906-B906*INT(I906/B906)))/C906)/100))),0,(IF(B906=C906,I906/C906,(INT(I906/B906)+(((I906-B906*INT(I906/B906)))/C906)/100))))</f>
        <v>0</v>
      </c>
      <c r="AU906" s="57">
        <f>IF(ISERROR(IF(B906=C906,J906/C906,(INT(J906/B906)+(((J906-B906*INT(J906/B906)))/C906)/100))),0,(IF(B906=C906,J906/C906,(INT(J906/B906)+(((J906-B906*INT(J906/B906)))/C906)/100))))</f>
        <v>0</v>
      </c>
      <c r="AV906" s="57">
        <f>IF(ISERROR(IF(B906=C906,K906/C906,IF((INT(K906/B906)+(((K906-B906*INT(K906/B906)))/C906)/100)&lt;0,(INT(K906/B906)+(((K906-B906*INT(K906/B906)))/C906)/100)+(1-(B906/C906/100)),(INT(K906/B906)+(((K906-B906*INT(K906/B906)))/C906)/100)))),0,IF(B906=C906,K906/C906,IF((INT(K906/B906)+(((K906-B906*INT(K906/B906)))/C906)/100)&lt;0,(INT(K906/B906)+(((K906-B906*INT(K906/B906)))/C906)/100)+(1-(B906/C906/100)),(INT(K906/B906)+(((K906-B906*INT(K906/B906)))/C906)/100))))</f>
        <v>0</v>
      </c>
      <c r="AW906" s="57">
        <f>IF(ISERROR(IF(B906=C906,L906/C906,(INT(L906/B906)+(((L906-B906*INT(L906/B906)))/C906)/100))),0,(IF(B906=C906,L906/C906,(INT(L906/B906)+(((L906-B906*INT(L906/B906)))/C906)/100))))</f>
        <v>0</v>
      </c>
      <c r="AX906" s="57">
        <f>IF(ISERROR(IF(B906=C906,M906/C906,(INT(M906/B906)+(((M906-B906*INT(M906/B906)))/C906)/100))),0,(IF(B906=C906,M906/C906,(INT(M906/B906)+(((M906-B906*INT(M906/B906)))/C906)/100))))</f>
        <v>0</v>
      </c>
      <c r="AY906" s="57">
        <f>IF(ISERROR(IF(B906=C906,N906/C906,IF((INT(N906/B906)+(((N906-B906*INT(N906/B906)))/C906)/100)&lt;0,(INT(N906/B906)+(((N906-B906*INT(N906/B906)))/C906)/100)+(1-(B906/C906/100)),(INT(N906/B906)+(((N906-B906*INT(N906/B906)))/C906)/100)))),0,IF(B906=C906,N906/C906,IF((INT(N906/B906)+(((N906-B906*INT(N906/B906)))/C906)/100)&lt;0,(INT(N906/B906)+(((N906-B906*INT(N906/B906)))/C906)/100)+(1-(B906/C906/100)),(INT(N906/B906)+(((N906-B906*INT(N906/B906)))/C906)/100))))</f>
        <v>0</v>
      </c>
      <c r="AZ906" s="57">
        <f>IF(ISERROR(IF(B906=C906,O906/C906,(INT(O906/B906)+(((O906-B906*INT(O906/B906)))/C906)/100))),0,(IF(B906=C906,O906/C906,(INT(O906/B906)+(((O906-B906*INT(O906/B906)))/C906)/100))))</f>
        <v>0</v>
      </c>
      <c r="BA906" s="57">
        <f>IF(ISERROR(IF(B906=C906,P906/C906,IF((INT(P906/B906)+(((P906-B906*INT(P906/B906)))/C906)/100)&lt;0,(INT(P906/B906)+(((P906-B906*INT(P906/B906)))/C906)/100)+(1-(B906/C906/100)),(INT(P906/B906)+(((P906-B906*INT(P906/B906)))/C906)/100)))),0,IF(B906=C906,P906/C906,IF((INT(P906/B906)+(((P906-B906*INT(P906/B906)))/C906)/100)&lt;0,(INT(P906/B906)+(((P906-B906*INT(P906/B906)))/C906)/100)+(1-(B906/C906/100)),(INT(P906/B906)+(((P906-B906*INT(P906/B906)))/C906)/100))))</f>
        <v>0</v>
      </c>
      <c r="BB906" s="28">
        <f>R906</f>
        <v>0</v>
      </c>
      <c r="BC906" s="28">
        <f>S906</f>
        <v>0</v>
      </c>
      <c r="BD906" s="28">
        <f>AF906</f>
        <v>525</v>
      </c>
      <c r="BE906" s="28">
        <f>T906</f>
        <v>0</v>
      </c>
      <c r="BG906" s="57">
        <f>IF(ISERROR(IF(B906=C906,V906/C906,(INT(V906/B906)+(((V906-B906*INT(V906/B906)))/C906)/100))),0,(IF(B906=C906,V906/C906,(INT(V906/B906)+(((V906-B906*INT(V906/B906)))/C906)/100))))</f>
        <v>0</v>
      </c>
      <c r="BH906" s="57">
        <f>IF(ISERROR(IF(B906=C906,W906/C906,(INT(W906/B906)+(((W906-B906*INT(W906/B906)))/C906)/100))),0,(IF(B906=C906,W906/C906,(INT(W906/B906)+(((W906-B906*INT(W906/B906)))/C906)/100))))</f>
        <v>0</v>
      </c>
      <c r="BI906" s="57">
        <f>IF(ISERROR(IF(B906=C906,X906/C906,(INT(X906/B906)+(((X906-B906*INT(X906/B906)))/C906)/100))),0,(IF(B906=C906,X906/C906,(INT(X906/B906)+(((X906-B906*INT(X906/B906)))/C906)/100))))</f>
        <v>0</v>
      </c>
      <c r="BJ906" s="57">
        <f>IF(ISERROR(IF(B906=C906,Y906/C906,(INT(Y906/B906)+(((Y906-B906*INT(Y906/B906)))/C906)/100))),0,(IF(B906=C906,Y906/C906,(INT(Y906/B906)+(((Y906-B906*INT(Y906/B906)))/C906)/100))))</f>
        <v>0</v>
      </c>
      <c r="BL906" s="57">
        <f>IF(ISERROR(IF(B906=C906,AA906/C906,(INT(AA906/B906)+(((AA906-B906*INT(AA906/B906)))/C906)/100))),0,(IF(B906=C906,AA906/C906,(INT(AA906/B906)+(((AA906-B906*INT(AA906/B906)))/C906)/100))))</f>
        <v>0</v>
      </c>
      <c r="BM906" s="57">
        <f>IF(ISERROR(IF(B906=C906,AB906/C906,(INT(AB906/B906)+(((AB906-B906*INT(AB906/B906)))/C906)/100))),0,(IF(B906=C906,AB906/C906,(INT(AB906/B906)+(((AB906-B906*INT(AB906/B906)))/C906)/100))))</f>
        <v>0</v>
      </c>
      <c r="BN906" s="57">
        <f>IF(ISERROR(IF(B906=C906,AC906/C906,(INT(AC906/B906)+(((AC906-B906*INT(AC906/B906)))/C906)/100))),0,(IF(B906=C906,AC906/C906,(INT(AC906/B906)+(((AC906-B906*INT(AC906/B906)))/C906)/100))))</f>
        <v>0</v>
      </c>
      <c r="BO906" s="57">
        <f>IF(ISERROR(IF(B906=C906,AD906/C906,(INT(AD906/B906)+(((AD906-B906*INT(AD906/B906)))/C906)/100))),0,(IF(B906=C906,AD906/C906,(INT(AD906/B906)+(((AD906-B906*INT(AD906/B906)))/C906)/100))))</f>
        <v>0</v>
      </c>
      <c r="BQ906" s="124" t="s">
        <v>81</v>
      </c>
    </row>
    <row r="907" spans="1:69" hidden="1" x14ac:dyDescent="0.35">
      <c r="A907" s="134" t="s">
        <v>99</v>
      </c>
      <c r="B907" s="113">
        <v>700</v>
      </c>
      <c r="C907" s="113">
        <v>30</v>
      </c>
      <c r="D907" s="28">
        <f>SUM(AA907:AD907)</f>
        <v>0</v>
      </c>
      <c r="E907" s="125">
        <v>0</v>
      </c>
      <c r="F907" s="113">
        <v>0</v>
      </c>
      <c r="G907" s="28">
        <f>SUM(D907:F907)</f>
        <v>0</v>
      </c>
      <c r="H907" s="125">
        <v>0</v>
      </c>
      <c r="I907" s="125">
        <v>0</v>
      </c>
      <c r="J907" s="125">
        <v>0</v>
      </c>
      <c r="K907" s="125">
        <v>0</v>
      </c>
      <c r="L907" s="113">
        <v>0</v>
      </c>
      <c r="M907" s="113">
        <v>0</v>
      </c>
      <c r="N907" s="28">
        <f>G907-SUM(H907:M907)</f>
        <v>0</v>
      </c>
      <c r="O907" s="28">
        <f>SUM(V907:Y907)</f>
        <v>0</v>
      </c>
      <c r="P907" s="28">
        <f>O907-N907</f>
        <v>0</v>
      </c>
      <c r="Q907" s="61" t="str">
        <f>IF(ISERROR(P907/SUM(H907:L907)),"",P907/SUM(H907:L907))</f>
        <v/>
      </c>
      <c r="R907" s="113">
        <v>0</v>
      </c>
      <c r="S907" s="28">
        <f>IF(ISERROR(P907/C907*R907),0,(P907/C907*R907))</f>
        <v>0</v>
      </c>
      <c r="T907" s="60">
        <f>IF(ISERROR(P907/B907*AF907),0,(P907/B907*AF907))</f>
        <v>0</v>
      </c>
      <c r="V907" s="113">
        <v>0</v>
      </c>
      <c r="W907" s="113">
        <v>0</v>
      </c>
      <c r="X907" s="113">
        <v>0</v>
      </c>
      <c r="Y907" s="113">
        <v>0</v>
      </c>
      <c r="AA907" s="113">
        <v>0</v>
      </c>
      <c r="AB907" s="113">
        <v>0</v>
      </c>
      <c r="AC907" s="113">
        <v>0</v>
      </c>
      <c r="AD907" s="113">
        <v>0</v>
      </c>
      <c r="AF907" s="54">
        <v>525</v>
      </c>
      <c r="AG907" s="28">
        <f>G907-O907</f>
        <v>0</v>
      </c>
      <c r="AH907" s="58">
        <f>IF(ISERROR(AG907/B907*AF907),0,(AG907/B907*AF907))</f>
        <v>0</v>
      </c>
      <c r="AI907" s="28">
        <f>SUM(H907:M907)</f>
        <v>0</v>
      </c>
      <c r="AJ907" s="28">
        <f>IF(ISERROR(AI907/B907*AF907),0,(AI907/B907*AF907))</f>
        <v>0</v>
      </c>
      <c r="AK907" s="58">
        <f>IF(ISERROR(O907/B907*AF907),0,(O907/B907*AF907))</f>
        <v>0</v>
      </c>
      <c r="AL907" s="28">
        <f>IF(ISERROR(H907/B907*AF907),0,(H907/B907*AF907))</f>
        <v>0</v>
      </c>
      <c r="AN907" s="51" t="str">
        <f>A907</f>
        <v>Monin Coconut</v>
      </c>
      <c r="AO907" s="57">
        <f>IF(ISERROR(IF(B907=C907,D907/C907,(INT(D907/B907)+(((D907-B907*INT(D907/B907)))/C907)/100))),0,(IF(B907=C907,D907/C907,(INT(D907/B907)+(((D907-B907*INT(D907/B907)))/C907)/100))))</f>
        <v>0</v>
      </c>
      <c r="AP907" s="57">
        <f>IF(ISERROR(IF(B907=C907,E907/C907,(INT(E907/B907)+(((E907-B907*INT(E907/B907)))/C907)/100))),0,(IF(B907=C907,E907/C907,(INT(E907/B907)+(((E907-B907*INT(E907/B907)))/C907)/100))))</f>
        <v>0</v>
      </c>
      <c r="AQ907" s="57">
        <f>IF(ISERROR(IF(B907=C907,F907/C907,IF((INT(F907/B907)+(((F907-B907*INT(F907/B907)))/C907)/100)&lt;0,(INT(F907/B907)+(((F907-B907*INT(F907/B907)))/C907)/100)+(1-(B907/C907/100)),(INT(F907/B907)+(((F907-B907*INT(F907/B907)))/C907)/100)))),0,IF(B907=C907,F907/C907,IF((INT(F907/B907)+(((F907-B907*INT(F907/B907)))/C907)/100)&lt;0,(INT(F907/B907)+(((F907-B907*INT(F907/B907)))/C907)/100)+(1-(B907/C907/100)),(INT(F907/B907)+(((F907-B907*INT(F907/B907)))/C907)/100))))</f>
        <v>0</v>
      </c>
      <c r="AR907" s="57">
        <f>IF(ISERROR(IF(B907=C907,G907/C907,(INT(G907/B907)+(((G907-B907*INT(G907/B907)))/C907)/100))),0,(IF(B907=C907,G907/C907,(INT(G907/B907)+(((G907-B907*INT(G907/B907)))/C907)/100))))</f>
        <v>0</v>
      </c>
      <c r="AS907" s="57">
        <f>IF(ISERROR(IF(B907=C907,H907/C907,(INT(H907/B907)+(((H907-B907*INT(H907/B907)))/C907)/100))),0,(IF(B907=C907,H907/C907,(INT(H907/B907)+(((H907-B907*INT(H907/B907)))/C907)/100))))</f>
        <v>0</v>
      </c>
      <c r="AT907" s="57">
        <f>IF(ISERROR(IF(B907=C907,I907/C907,(INT(I907/B907)+(((I907-B907*INT(I907/B907)))/C907)/100))),0,(IF(B907=C907,I907/C907,(INT(I907/B907)+(((I907-B907*INT(I907/B907)))/C907)/100))))</f>
        <v>0</v>
      </c>
      <c r="AU907" s="57">
        <f>IF(ISERROR(IF(B907=C907,J907/C907,(INT(J907/B907)+(((J907-B907*INT(J907/B907)))/C907)/100))),0,(IF(B907=C907,J907/C907,(INT(J907/B907)+(((J907-B907*INT(J907/B907)))/C907)/100))))</f>
        <v>0</v>
      </c>
      <c r="AV907" s="57">
        <f>IF(ISERROR(IF(B907=C907,K907/C907,IF((INT(K907/B907)+(((K907-B907*INT(K907/B907)))/C907)/100)&lt;0,(INT(K907/B907)+(((K907-B907*INT(K907/B907)))/C907)/100)+(1-(B907/C907/100)),(INT(K907/B907)+(((K907-B907*INT(K907/B907)))/C907)/100)))),0,IF(B907=C907,K907/C907,IF((INT(K907/B907)+(((K907-B907*INT(K907/B907)))/C907)/100)&lt;0,(INT(K907/B907)+(((K907-B907*INT(K907/B907)))/C907)/100)+(1-(B907/C907/100)),(INT(K907/B907)+(((K907-B907*INT(K907/B907)))/C907)/100))))</f>
        <v>0</v>
      </c>
      <c r="AW907" s="57">
        <f>IF(ISERROR(IF(B907=C907,L907/C907,(INT(L907/B907)+(((L907-B907*INT(L907/B907)))/C907)/100))),0,(IF(B907=C907,L907/C907,(INT(L907/B907)+(((L907-B907*INT(L907/B907)))/C907)/100))))</f>
        <v>0</v>
      </c>
      <c r="AX907" s="57">
        <f>IF(ISERROR(IF(B907=C907,M907/C907,(INT(M907/B907)+(((M907-B907*INT(M907/B907)))/C907)/100))),0,(IF(B907=C907,M907/C907,(INT(M907/B907)+(((M907-B907*INT(M907/B907)))/C907)/100))))</f>
        <v>0</v>
      </c>
      <c r="AY907" s="57">
        <f>IF(ISERROR(IF(B907=C907,N907/C907,IF((INT(N907/B907)+(((N907-B907*INT(N907/B907)))/C907)/100)&lt;0,(INT(N907/B907)+(((N907-B907*INT(N907/B907)))/C907)/100)+(1-(B907/C907/100)),(INT(N907/B907)+(((N907-B907*INT(N907/B907)))/C907)/100)))),0,IF(B907=C907,N907/C907,IF((INT(N907/B907)+(((N907-B907*INT(N907/B907)))/C907)/100)&lt;0,(INT(N907/B907)+(((N907-B907*INT(N907/B907)))/C907)/100)+(1-(B907/C907/100)),(INT(N907/B907)+(((N907-B907*INT(N907/B907)))/C907)/100))))</f>
        <v>0</v>
      </c>
      <c r="AZ907" s="57">
        <f>IF(ISERROR(IF(B907=C907,O907/C907,(INT(O907/B907)+(((O907-B907*INT(O907/B907)))/C907)/100))),0,(IF(B907=C907,O907/C907,(INT(O907/B907)+(((O907-B907*INT(O907/B907)))/C907)/100))))</f>
        <v>0</v>
      </c>
      <c r="BA907" s="57">
        <f>IF(ISERROR(IF(B907=C907,P907/C907,IF((INT(P907/B907)+(((P907-B907*INT(P907/B907)))/C907)/100)&lt;0,(INT(P907/B907)+(((P907-B907*INT(P907/B907)))/C907)/100)+(1-(B907/C907/100)),(INT(P907/B907)+(((P907-B907*INT(P907/B907)))/C907)/100)))),0,IF(B907=C907,P907/C907,IF((INT(P907/B907)+(((P907-B907*INT(P907/B907)))/C907)/100)&lt;0,(INT(P907/B907)+(((P907-B907*INT(P907/B907)))/C907)/100)+(1-(B907/C907/100)),(INT(P907/B907)+(((P907-B907*INT(P907/B907)))/C907)/100))))</f>
        <v>0</v>
      </c>
      <c r="BB907" s="28">
        <f>R907</f>
        <v>0</v>
      </c>
      <c r="BC907" s="28">
        <f>S907</f>
        <v>0</v>
      </c>
      <c r="BD907" s="28">
        <f>AF907</f>
        <v>525</v>
      </c>
      <c r="BE907" s="28">
        <f>T907</f>
        <v>0</v>
      </c>
      <c r="BG907" s="57">
        <f>IF(ISERROR(IF(B907=C907,V907/C907,(INT(V907/B907)+(((V907-B907*INT(V907/B907)))/C907)/100))),0,(IF(B907=C907,V907/C907,(INT(V907/B907)+(((V907-B907*INT(V907/B907)))/C907)/100))))</f>
        <v>0</v>
      </c>
      <c r="BH907" s="57">
        <f>IF(ISERROR(IF(B907=C907,W907/C907,(INT(W907/B907)+(((W907-B907*INT(W907/B907)))/C907)/100))),0,(IF(B907=C907,W907/C907,(INT(W907/B907)+(((W907-B907*INT(W907/B907)))/C907)/100))))</f>
        <v>0</v>
      </c>
      <c r="BI907" s="57">
        <f>IF(ISERROR(IF(B907=C907,X907/C907,(INT(X907/B907)+(((X907-B907*INT(X907/B907)))/C907)/100))),0,(IF(B907=C907,X907/C907,(INT(X907/B907)+(((X907-B907*INT(X907/B907)))/C907)/100))))</f>
        <v>0</v>
      </c>
      <c r="BJ907" s="57">
        <f>IF(ISERROR(IF(B907=C907,Y907/C907,(INT(Y907/B907)+(((Y907-B907*INT(Y907/B907)))/C907)/100))),0,(IF(B907=C907,Y907/C907,(INT(Y907/B907)+(((Y907-B907*INT(Y907/B907)))/C907)/100))))</f>
        <v>0</v>
      </c>
      <c r="BL907" s="57">
        <f>IF(ISERROR(IF(B907=C907,AA907/C907,(INT(AA907/B907)+(((AA907-B907*INT(AA907/B907)))/C907)/100))),0,(IF(B907=C907,AA907/C907,(INT(AA907/B907)+(((AA907-B907*INT(AA907/B907)))/C907)/100))))</f>
        <v>0</v>
      </c>
      <c r="BM907" s="57">
        <f>IF(ISERROR(IF(B907=C907,AB907/C907,(INT(AB907/B907)+(((AB907-B907*INT(AB907/B907)))/C907)/100))),0,(IF(B907=C907,AB907/C907,(INT(AB907/B907)+(((AB907-B907*INT(AB907/B907)))/C907)/100))))</f>
        <v>0</v>
      </c>
      <c r="BN907" s="57">
        <f>IF(ISERROR(IF(B907=C907,AC907/C907,(INT(AC907/B907)+(((AC907-B907*INT(AC907/B907)))/C907)/100))),0,(IF(B907=C907,AC907/C907,(INT(AC907/B907)+(((AC907-B907*INT(AC907/B907)))/C907)/100))))</f>
        <v>0</v>
      </c>
      <c r="BO907" s="57">
        <f>IF(ISERROR(IF(B907=C907,AD907/C907,(INT(AD907/B907)+(((AD907-B907*INT(AD907/B907)))/C907)/100))),0,(IF(B907=C907,AD907/C907,(INT(AD907/B907)+(((AD907-B907*INT(AD907/B907)))/C907)/100))))</f>
        <v>0</v>
      </c>
      <c r="BQ907" s="124" t="s">
        <v>81</v>
      </c>
    </row>
    <row r="908" spans="1:69" hidden="1" x14ac:dyDescent="0.35">
      <c r="A908" s="134" t="s">
        <v>98</v>
      </c>
      <c r="B908" s="113">
        <v>700</v>
      </c>
      <c r="C908" s="113">
        <v>30</v>
      </c>
      <c r="D908" s="28">
        <f>SUM(AA908:AD908)</f>
        <v>0</v>
      </c>
      <c r="E908" s="125">
        <v>0</v>
      </c>
      <c r="F908" s="113">
        <v>0</v>
      </c>
      <c r="G908" s="28">
        <f>SUM(D908:F908)</f>
        <v>0</v>
      </c>
      <c r="H908" s="125">
        <v>0</v>
      </c>
      <c r="I908" s="125">
        <v>0</v>
      </c>
      <c r="J908" s="125">
        <v>0</v>
      </c>
      <c r="K908" s="125">
        <v>0</v>
      </c>
      <c r="L908" s="113">
        <v>0</v>
      </c>
      <c r="M908" s="113">
        <v>0</v>
      </c>
      <c r="N908" s="28">
        <f>G908-SUM(H908:M908)</f>
        <v>0</v>
      </c>
      <c r="O908" s="28">
        <f>SUM(V908:Y908)</f>
        <v>0</v>
      </c>
      <c r="P908" s="28">
        <f>O908-N908</f>
        <v>0</v>
      </c>
      <c r="Q908" s="61" t="str">
        <f>IF(ISERROR(P908/SUM(H908:L908)),"",P908/SUM(H908:L908))</f>
        <v/>
      </c>
      <c r="R908" s="113">
        <v>0</v>
      </c>
      <c r="S908" s="28">
        <f>IF(ISERROR(P908/C908*R908),0,(P908/C908*R908))</f>
        <v>0</v>
      </c>
      <c r="T908" s="60">
        <f>IF(ISERROR(P908/B908*AF908),0,(P908/B908*AF908))</f>
        <v>0</v>
      </c>
      <c r="V908" s="113">
        <v>0</v>
      </c>
      <c r="W908" s="113">
        <v>0</v>
      </c>
      <c r="X908" s="113">
        <v>0</v>
      </c>
      <c r="Y908" s="113">
        <v>0</v>
      </c>
      <c r="AA908" s="113">
        <v>0</v>
      </c>
      <c r="AB908" s="113">
        <v>0</v>
      </c>
      <c r="AC908" s="113">
        <v>0</v>
      </c>
      <c r="AD908" s="113">
        <v>0</v>
      </c>
      <c r="AF908" s="54">
        <v>525</v>
      </c>
      <c r="AG908" s="28">
        <f>G908-O908</f>
        <v>0</v>
      </c>
      <c r="AH908" s="58">
        <f>IF(ISERROR(AG908/B908*AF908),0,(AG908/B908*AF908))</f>
        <v>0</v>
      </c>
      <c r="AI908" s="28">
        <f>SUM(H908:M908)</f>
        <v>0</v>
      </c>
      <c r="AJ908" s="28">
        <f>IF(ISERROR(AI908/B908*AF908),0,(AI908/B908*AF908))</f>
        <v>0</v>
      </c>
      <c r="AK908" s="58">
        <f>IF(ISERROR(O908/B908*AF908),0,(O908/B908*AF908))</f>
        <v>0</v>
      </c>
      <c r="AL908" s="28">
        <f>IF(ISERROR(H908/B908*AF908),0,(H908/B908*AF908))</f>
        <v>0</v>
      </c>
      <c r="AN908" s="51" t="str">
        <f>A908</f>
        <v>Monin Coffee</v>
      </c>
      <c r="AO908" s="57">
        <f>IF(ISERROR(IF(B908=C908,D908/C908,(INT(D908/B908)+(((D908-B908*INT(D908/B908)))/C908)/100))),0,(IF(B908=C908,D908/C908,(INT(D908/B908)+(((D908-B908*INT(D908/B908)))/C908)/100))))</f>
        <v>0</v>
      </c>
      <c r="AP908" s="57">
        <f>IF(ISERROR(IF(B908=C908,E908/C908,(INT(E908/B908)+(((E908-B908*INT(E908/B908)))/C908)/100))),0,(IF(B908=C908,E908/C908,(INT(E908/B908)+(((E908-B908*INT(E908/B908)))/C908)/100))))</f>
        <v>0</v>
      </c>
      <c r="AQ908" s="57">
        <f>IF(ISERROR(IF(B908=C908,F908/C908,IF((INT(F908/B908)+(((F908-B908*INT(F908/B908)))/C908)/100)&lt;0,(INT(F908/B908)+(((F908-B908*INT(F908/B908)))/C908)/100)+(1-(B908/C908/100)),(INT(F908/B908)+(((F908-B908*INT(F908/B908)))/C908)/100)))),0,IF(B908=C908,F908/C908,IF((INT(F908/B908)+(((F908-B908*INT(F908/B908)))/C908)/100)&lt;0,(INT(F908/B908)+(((F908-B908*INT(F908/B908)))/C908)/100)+(1-(B908/C908/100)),(INT(F908/B908)+(((F908-B908*INT(F908/B908)))/C908)/100))))</f>
        <v>0</v>
      </c>
      <c r="AR908" s="57">
        <f>IF(ISERROR(IF(B908=C908,G908/C908,(INT(G908/B908)+(((G908-B908*INT(G908/B908)))/C908)/100))),0,(IF(B908=C908,G908/C908,(INT(G908/B908)+(((G908-B908*INT(G908/B908)))/C908)/100))))</f>
        <v>0</v>
      </c>
      <c r="AS908" s="57">
        <f>IF(ISERROR(IF(B908=C908,H908/C908,(INT(H908/B908)+(((H908-B908*INT(H908/B908)))/C908)/100))),0,(IF(B908=C908,H908/C908,(INT(H908/B908)+(((H908-B908*INT(H908/B908)))/C908)/100))))</f>
        <v>0</v>
      </c>
      <c r="AT908" s="57">
        <f>IF(ISERROR(IF(B908=C908,I908/C908,(INT(I908/B908)+(((I908-B908*INT(I908/B908)))/C908)/100))),0,(IF(B908=C908,I908/C908,(INT(I908/B908)+(((I908-B908*INT(I908/B908)))/C908)/100))))</f>
        <v>0</v>
      </c>
      <c r="AU908" s="57">
        <f>IF(ISERROR(IF(B908=C908,J908/C908,(INT(J908/B908)+(((J908-B908*INT(J908/B908)))/C908)/100))),0,(IF(B908=C908,J908/C908,(INT(J908/B908)+(((J908-B908*INT(J908/B908)))/C908)/100))))</f>
        <v>0</v>
      </c>
      <c r="AV908" s="57">
        <f>IF(ISERROR(IF(B908=C908,K908/C908,IF((INT(K908/B908)+(((K908-B908*INT(K908/B908)))/C908)/100)&lt;0,(INT(K908/B908)+(((K908-B908*INT(K908/B908)))/C908)/100)+(1-(B908/C908/100)),(INT(K908/B908)+(((K908-B908*INT(K908/B908)))/C908)/100)))),0,IF(B908=C908,K908/C908,IF((INT(K908/B908)+(((K908-B908*INT(K908/B908)))/C908)/100)&lt;0,(INT(K908/B908)+(((K908-B908*INT(K908/B908)))/C908)/100)+(1-(B908/C908/100)),(INT(K908/B908)+(((K908-B908*INT(K908/B908)))/C908)/100))))</f>
        <v>0</v>
      </c>
      <c r="AW908" s="57">
        <f>IF(ISERROR(IF(B908=C908,L908/C908,(INT(L908/B908)+(((L908-B908*INT(L908/B908)))/C908)/100))),0,(IF(B908=C908,L908/C908,(INT(L908/B908)+(((L908-B908*INT(L908/B908)))/C908)/100))))</f>
        <v>0</v>
      </c>
      <c r="AX908" s="57">
        <f>IF(ISERROR(IF(B908=C908,M908/C908,(INT(M908/B908)+(((M908-B908*INT(M908/B908)))/C908)/100))),0,(IF(B908=C908,M908/C908,(INT(M908/B908)+(((M908-B908*INT(M908/B908)))/C908)/100))))</f>
        <v>0</v>
      </c>
      <c r="AY908" s="57">
        <f>IF(ISERROR(IF(B908=C908,N908/C908,IF((INT(N908/B908)+(((N908-B908*INT(N908/B908)))/C908)/100)&lt;0,(INT(N908/B908)+(((N908-B908*INT(N908/B908)))/C908)/100)+(1-(B908/C908/100)),(INT(N908/B908)+(((N908-B908*INT(N908/B908)))/C908)/100)))),0,IF(B908=C908,N908/C908,IF((INT(N908/B908)+(((N908-B908*INT(N908/B908)))/C908)/100)&lt;0,(INT(N908/B908)+(((N908-B908*INT(N908/B908)))/C908)/100)+(1-(B908/C908/100)),(INT(N908/B908)+(((N908-B908*INT(N908/B908)))/C908)/100))))</f>
        <v>0</v>
      </c>
      <c r="AZ908" s="57">
        <f>IF(ISERROR(IF(B908=C908,O908/C908,(INT(O908/B908)+(((O908-B908*INT(O908/B908)))/C908)/100))),0,(IF(B908=C908,O908/C908,(INT(O908/B908)+(((O908-B908*INT(O908/B908)))/C908)/100))))</f>
        <v>0</v>
      </c>
      <c r="BA908" s="57">
        <f>IF(ISERROR(IF(B908=C908,P908/C908,IF((INT(P908/B908)+(((P908-B908*INT(P908/B908)))/C908)/100)&lt;0,(INT(P908/B908)+(((P908-B908*INT(P908/B908)))/C908)/100)+(1-(B908/C908/100)),(INT(P908/B908)+(((P908-B908*INT(P908/B908)))/C908)/100)))),0,IF(B908=C908,P908/C908,IF((INT(P908/B908)+(((P908-B908*INT(P908/B908)))/C908)/100)&lt;0,(INT(P908/B908)+(((P908-B908*INT(P908/B908)))/C908)/100)+(1-(B908/C908/100)),(INT(P908/B908)+(((P908-B908*INT(P908/B908)))/C908)/100))))</f>
        <v>0</v>
      </c>
      <c r="BB908" s="28">
        <f>R908</f>
        <v>0</v>
      </c>
      <c r="BC908" s="28">
        <f>S908</f>
        <v>0</v>
      </c>
      <c r="BD908" s="28">
        <f>AF908</f>
        <v>525</v>
      </c>
      <c r="BE908" s="28">
        <f>T908</f>
        <v>0</v>
      </c>
      <c r="BG908" s="57">
        <f>IF(ISERROR(IF(B908=C908,V908/C908,(INT(V908/B908)+(((V908-B908*INT(V908/B908)))/C908)/100))),0,(IF(B908=C908,V908/C908,(INT(V908/B908)+(((V908-B908*INT(V908/B908)))/C908)/100))))</f>
        <v>0</v>
      </c>
      <c r="BH908" s="57">
        <f>IF(ISERROR(IF(B908=C908,W908/C908,(INT(W908/B908)+(((W908-B908*INT(W908/B908)))/C908)/100))),0,(IF(B908=C908,W908/C908,(INT(W908/B908)+(((W908-B908*INT(W908/B908)))/C908)/100))))</f>
        <v>0</v>
      </c>
      <c r="BI908" s="57">
        <f>IF(ISERROR(IF(B908=C908,X908/C908,(INT(X908/B908)+(((X908-B908*INT(X908/B908)))/C908)/100))),0,(IF(B908=C908,X908/C908,(INT(X908/B908)+(((X908-B908*INT(X908/B908)))/C908)/100))))</f>
        <v>0</v>
      </c>
      <c r="BJ908" s="57">
        <f>IF(ISERROR(IF(B908=C908,Y908/C908,(INT(Y908/B908)+(((Y908-B908*INT(Y908/B908)))/C908)/100))),0,(IF(B908=C908,Y908/C908,(INT(Y908/B908)+(((Y908-B908*INT(Y908/B908)))/C908)/100))))</f>
        <v>0</v>
      </c>
      <c r="BL908" s="57">
        <f>IF(ISERROR(IF(B908=C908,AA908/C908,(INT(AA908/B908)+(((AA908-B908*INT(AA908/B908)))/C908)/100))),0,(IF(B908=C908,AA908/C908,(INT(AA908/B908)+(((AA908-B908*INT(AA908/B908)))/C908)/100))))</f>
        <v>0</v>
      </c>
      <c r="BM908" s="57">
        <f>IF(ISERROR(IF(B908=C908,AB908/C908,(INT(AB908/B908)+(((AB908-B908*INT(AB908/B908)))/C908)/100))),0,(IF(B908=C908,AB908/C908,(INT(AB908/B908)+(((AB908-B908*INT(AB908/B908)))/C908)/100))))</f>
        <v>0</v>
      </c>
      <c r="BN908" s="57">
        <f>IF(ISERROR(IF(B908=C908,AC908/C908,(INT(AC908/B908)+(((AC908-B908*INT(AC908/B908)))/C908)/100))),0,(IF(B908=C908,AC908/C908,(INT(AC908/B908)+(((AC908-B908*INT(AC908/B908)))/C908)/100))))</f>
        <v>0</v>
      </c>
      <c r="BO908" s="57">
        <f>IF(ISERROR(IF(B908=C908,AD908/C908,(INT(AD908/B908)+(((AD908-B908*INT(AD908/B908)))/C908)/100))),0,(IF(B908=C908,AD908/C908,(INT(AD908/B908)+(((AD908-B908*INT(AD908/B908)))/C908)/100))))</f>
        <v>0</v>
      </c>
      <c r="BQ908" s="124" t="s">
        <v>81</v>
      </c>
    </row>
    <row r="909" spans="1:69" hidden="1" x14ac:dyDescent="0.35">
      <c r="A909" s="134" t="s">
        <v>97</v>
      </c>
      <c r="B909" s="113">
        <v>1000</v>
      </c>
      <c r="C909" s="113">
        <v>30</v>
      </c>
      <c r="D909" s="28">
        <f>SUM(AA909:AD909)</f>
        <v>0</v>
      </c>
      <c r="E909" s="125">
        <v>0</v>
      </c>
      <c r="F909" s="113">
        <v>0</v>
      </c>
      <c r="G909" s="28">
        <f>SUM(D909:F909)</f>
        <v>0</v>
      </c>
      <c r="H909" s="125">
        <v>0</v>
      </c>
      <c r="I909" s="125">
        <v>0</v>
      </c>
      <c r="J909" s="125">
        <v>0</v>
      </c>
      <c r="K909" s="125">
        <v>0</v>
      </c>
      <c r="L909" s="113">
        <v>0</v>
      </c>
      <c r="M909" s="113">
        <v>0</v>
      </c>
      <c r="N909" s="28">
        <f>G909-SUM(H909:M909)</f>
        <v>0</v>
      </c>
      <c r="O909" s="28">
        <f>SUM(V909:Y909)</f>
        <v>0</v>
      </c>
      <c r="P909" s="28">
        <f>O909-N909</f>
        <v>0</v>
      </c>
      <c r="Q909" s="61" t="str">
        <f>IF(ISERROR(P909/SUM(H909:L909)),"",P909/SUM(H909:L909))</f>
        <v/>
      </c>
      <c r="R909" s="113">
        <v>0</v>
      </c>
      <c r="S909" s="28">
        <f>IF(ISERROR(P909/C909*R909),0,(P909/C909*R909))</f>
        <v>0</v>
      </c>
      <c r="T909" s="60">
        <f>IF(ISERROR(P909/B909*AF909),0,(P909/B909*AF909))</f>
        <v>0</v>
      </c>
      <c r="V909" s="113">
        <v>0</v>
      </c>
      <c r="W909" s="113">
        <v>0</v>
      </c>
      <c r="X909" s="113">
        <v>0</v>
      </c>
      <c r="Y909" s="113">
        <v>0</v>
      </c>
      <c r="AA909" s="113">
        <v>0</v>
      </c>
      <c r="AB909" s="113">
        <v>0</v>
      </c>
      <c r="AC909" s="113">
        <v>0</v>
      </c>
      <c r="AD909" s="113">
        <v>0</v>
      </c>
      <c r="AF909" s="54">
        <v>575</v>
      </c>
      <c r="AG909" s="28">
        <f>G909-O909</f>
        <v>0</v>
      </c>
      <c r="AH909" s="58">
        <f>IF(ISERROR(AG909/B909*AF909),0,(AG909/B909*AF909))</f>
        <v>0</v>
      </c>
      <c r="AI909" s="28">
        <f>SUM(H909:M909)</f>
        <v>0</v>
      </c>
      <c r="AJ909" s="28">
        <f>IF(ISERROR(AI909/B909*AF909),0,(AI909/B909*AF909))</f>
        <v>0</v>
      </c>
      <c r="AK909" s="58">
        <f>IF(ISERROR(O909/B909*AF909),0,(O909/B909*AF909))</f>
        <v>0</v>
      </c>
      <c r="AL909" s="28">
        <f>IF(ISERROR(H909/B909*AF909),0,(H909/B909*AF909))</f>
        <v>0</v>
      </c>
      <c r="AN909" s="51" t="str">
        <f>A909</f>
        <v xml:space="preserve">Monin Cucumber </v>
      </c>
      <c r="AO909" s="57">
        <f>IF(ISERROR(IF(B909=C909,D909/C909,(INT(D909/B909)+(((D909-B909*INT(D909/B909)))/C909)/100))),0,(IF(B909=C909,D909/C909,(INT(D909/B909)+(((D909-B909*INT(D909/B909)))/C909)/100))))</f>
        <v>0</v>
      </c>
      <c r="AP909" s="57">
        <f>IF(ISERROR(IF(B909=C909,E909/C909,(INT(E909/B909)+(((E909-B909*INT(E909/B909)))/C909)/100))),0,(IF(B909=C909,E909/C909,(INT(E909/B909)+(((E909-B909*INT(E909/B909)))/C909)/100))))</f>
        <v>0</v>
      </c>
      <c r="AQ909" s="57">
        <f>IF(ISERROR(IF(B909=C909,F909/C909,IF((INT(F909/B909)+(((F909-B909*INT(F909/B909)))/C909)/100)&lt;0,(INT(F909/B909)+(((F909-B909*INT(F909/B909)))/C909)/100)+(1-(B909/C909/100)),(INT(F909/B909)+(((F909-B909*INT(F909/B909)))/C909)/100)))),0,IF(B909=C909,F909/C909,IF((INT(F909/B909)+(((F909-B909*INT(F909/B909)))/C909)/100)&lt;0,(INT(F909/B909)+(((F909-B909*INT(F909/B909)))/C909)/100)+(1-(B909/C909/100)),(INT(F909/B909)+(((F909-B909*INT(F909/B909)))/C909)/100))))</f>
        <v>0</v>
      </c>
      <c r="AR909" s="57">
        <f>IF(ISERROR(IF(B909=C909,G909/C909,(INT(G909/B909)+(((G909-B909*INT(G909/B909)))/C909)/100))),0,(IF(B909=C909,G909/C909,(INT(G909/B909)+(((G909-B909*INT(G909/B909)))/C909)/100))))</f>
        <v>0</v>
      </c>
      <c r="AS909" s="57">
        <f>IF(ISERROR(IF(B909=C909,H909/C909,(INT(H909/B909)+(((H909-B909*INT(H909/B909)))/C909)/100))),0,(IF(B909=C909,H909/C909,(INT(H909/B909)+(((H909-B909*INT(H909/B909)))/C909)/100))))</f>
        <v>0</v>
      </c>
      <c r="AT909" s="57">
        <f>IF(ISERROR(IF(B909=C909,I909/C909,(INT(I909/B909)+(((I909-B909*INT(I909/B909)))/C909)/100))),0,(IF(B909=C909,I909/C909,(INT(I909/B909)+(((I909-B909*INT(I909/B909)))/C909)/100))))</f>
        <v>0</v>
      </c>
      <c r="AU909" s="57">
        <f>IF(ISERROR(IF(B909=C909,J909/C909,(INT(J909/B909)+(((J909-B909*INT(J909/B909)))/C909)/100))),0,(IF(B909=C909,J909/C909,(INT(J909/B909)+(((J909-B909*INT(J909/B909)))/C909)/100))))</f>
        <v>0</v>
      </c>
      <c r="AV909" s="57">
        <f>IF(ISERROR(IF(B909=C909,K909/C909,IF((INT(K909/B909)+(((K909-B909*INT(K909/B909)))/C909)/100)&lt;0,(INT(K909/B909)+(((K909-B909*INT(K909/B909)))/C909)/100)+(1-(B909/C909/100)),(INT(K909/B909)+(((K909-B909*INT(K909/B909)))/C909)/100)))),0,IF(B909=C909,K909/C909,IF((INT(K909/B909)+(((K909-B909*INT(K909/B909)))/C909)/100)&lt;0,(INT(K909/B909)+(((K909-B909*INT(K909/B909)))/C909)/100)+(1-(B909/C909/100)),(INT(K909/B909)+(((K909-B909*INT(K909/B909)))/C909)/100))))</f>
        <v>0</v>
      </c>
      <c r="AW909" s="57">
        <f>IF(ISERROR(IF(B909=C909,L909/C909,(INT(L909/B909)+(((L909-B909*INT(L909/B909)))/C909)/100))),0,(IF(B909=C909,L909/C909,(INT(L909/B909)+(((L909-B909*INT(L909/B909)))/C909)/100))))</f>
        <v>0</v>
      </c>
      <c r="AX909" s="57">
        <f>IF(ISERROR(IF(B909=C909,M909/C909,(INT(M909/B909)+(((M909-B909*INT(M909/B909)))/C909)/100))),0,(IF(B909=C909,M909/C909,(INT(M909/B909)+(((M909-B909*INT(M909/B909)))/C909)/100))))</f>
        <v>0</v>
      </c>
      <c r="AY909" s="57">
        <f>IF(ISERROR(IF(B909=C909,N909/C909,IF((INT(N909/B909)+(((N909-B909*INT(N909/B909)))/C909)/100)&lt;0,(INT(N909/B909)+(((N909-B909*INT(N909/B909)))/C909)/100)+(1-(B909/C909/100)),(INT(N909/B909)+(((N909-B909*INT(N909/B909)))/C909)/100)))),0,IF(B909=C909,N909/C909,IF((INT(N909/B909)+(((N909-B909*INT(N909/B909)))/C909)/100)&lt;0,(INT(N909/B909)+(((N909-B909*INT(N909/B909)))/C909)/100)+(1-(B909/C909/100)),(INT(N909/B909)+(((N909-B909*INT(N909/B909)))/C909)/100))))</f>
        <v>0</v>
      </c>
      <c r="AZ909" s="57">
        <f>IF(ISERROR(IF(B909=C909,O909/C909,(INT(O909/B909)+(((O909-B909*INT(O909/B909)))/C909)/100))),0,(IF(B909=C909,O909/C909,(INT(O909/B909)+(((O909-B909*INT(O909/B909)))/C909)/100))))</f>
        <v>0</v>
      </c>
      <c r="BA909" s="57">
        <f>IF(ISERROR(IF(B909=C909,P909/C909,IF((INT(P909/B909)+(((P909-B909*INT(P909/B909)))/C909)/100)&lt;0,(INT(P909/B909)+(((P909-B909*INT(P909/B909)))/C909)/100)+(1-(B909/C909/100)),(INT(P909/B909)+(((P909-B909*INT(P909/B909)))/C909)/100)))),0,IF(B909=C909,P909/C909,IF((INT(P909/B909)+(((P909-B909*INT(P909/B909)))/C909)/100)&lt;0,(INT(P909/B909)+(((P909-B909*INT(P909/B909)))/C909)/100)+(1-(B909/C909/100)),(INT(P909/B909)+(((P909-B909*INT(P909/B909)))/C909)/100))))</f>
        <v>0</v>
      </c>
      <c r="BB909" s="28">
        <f>R909</f>
        <v>0</v>
      </c>
      <c r="BC909" s="28">
        <f>S909</f>
        <v>0</v>
      </c>
      <c r="BD909" s="28">
        <f>AF909</f>
        <v>575</v>
      </c>
      <c r="BE909" s="28">
        <f>T909</f>
        <v>0</v>
      </c>
      <c r="BG909" s="57">
        <f>IF(ISERROR(IF(B909=C909,V909/C909,(INT(V909/B909)+(((V909-B909*INT(V909/B909)))/C909)/100))),0,(IF(B909=C909,V909/C909,(INT(V909/B909)+(((V909-B909*INT(V909/B909)))/C909)/100))))</f>
        <v>0</v>
      </c>
      <c r="BH909" s="57">
        <f>IF(ISERROR(IF(B909=C909,W909/C909,(INT(W909/B909)+(((W909-B909*INT(W909/B909)))/C909)/100))),0,(IF(B909=C909,W909/C909,(INT(W909/B909)+(((W909-B909*INT(W909/B909)))/C909)/100))))</f>
        <v>0</v>
      </c>
      <c r="BI909" s="57">
        <f>IF(ISERROR(IF(B909=C909,X909/C909,(INT(X909/B909)+(((X909-B909*INT(X909/B909)))/C909)/100))),0,(IF(B909=C909,X909/C909,(INT(X909/B909)+(((X909-B909*INT(X909/B909)))/C909)/100))))</f>
        <v>0</v>
      </c>
      <c r="BJ909" s="57">
        <f>IF(ISERROR(IF(B909=C909,Y909/C909,(INT(Y909/B909)+(((Y909-B909*INT(Y909/B909)))/C909)/100))),0,(IF(B909=C909,Y909/C909,(INT(Y909/B909)+(((Y909-B909*INT(Y909/B909)))/C909)/100))))</f>
        <v>0</v>
      </c>
      <c r="BL909" s="57">
        <f>IF(ISERROR(IF(B909=C909,AA909/C909,(INT(AA909/B909)+(((AA909-B909*INT(AA909/B909)))/C909)/100))),0,(IF(B909=C909,AA909/C909,(INT(AA909/B909)+(((AA909-B909*INT(AA909/B909)))/C909)/100))))</f>
        <v>0</v>
      </c>
      <c r="BM909" s="57">
        <f>IF(ISERROR(IF(B909=C909,AB909/C909,(INT(AB909/B909)+(((AB909-B909*INT(AB909/B909)))/C909)/100))),0,(IF(B909=C909,AB909/C909,(INT(AB909/B909)+(((AB909-B909*INT(AB909/B909)))/C909)/100))))</f>
        <v>0</v>
      </c>
      <c r="BN909" s="57">
        <f>IF(ISERROR(IF(B909=C909,AC909/C909,(INT(AC909/B909)+(((AC909-B909*INT(AC909/B909)))/C909)/100))),0,(IF(B909=C909,AC909/C909,(INT(AC909/B909)+(((AC909-B909*INT(AC909/B909)))/C909)/100))))</f>
        <v>0</v>
      </c>
      <c r="BO909" s="57">
        <f>IF(ISERROR(IF(B909=C909,AD909/C909,(INT(AD909/B909)+(((AD909-B909*INT(AD909/B909)))/C909)/100))),0,(IF(B909=C909,AD909/C909,(INT(AD909/B909)+(((AD909-B909*INT(AD909/B909)))/C909)/100))))</f>
        <v>0</v>
      </c>
      <c r="BQ909" s="124" t="s">
        <v>81</v>
      </c>
    </row>
    <row r="910" spans="1:69" hidden="1" x14ac:dyDescent="0.35">
      <c r="A910" s="134" t="s">
        <v>96</v>
      </c>
      <c r="B910" s="113">
        <v>1000</v>
      </c>
      <c r="C910" s="113">
        <v>30</v>
      </c>
      <c r="D910" s="28">
        <f>SUM(AA910:AD910)</f>
        <v>0</v>
      </c>
      <c r="E910" s="125">
        <v>0</v>
      </c>
      <c r="F910" s="113">
        <v>0</v>
      </c>
      <c r="G910" s="28">
        <f>SUM(D910:F910)</f>
        <v>0</v>
      </c>
      <c r="H910" s="125">
        <v>0</v>
      </c>
      <c r="I910" s="125">
        <v>0</v>
      </c>
      <c r="J910" s="125">
        <v>0</v>
      </c>
      <c r="K910" s="125">
        <v>0</v>
      </c>
      <c r="L910" s="113">
        <v>0</v>
      </c>
      <c r="M910" s="113">
        <v>0</v>
      </c>
      <c r="N910" s="28">
        <f>G910-SUM(H910:M910)</f>
        <v>0</v>
      </c>
      <c r="O910" s="28">
        <f>SUM(V910:Y910)</f>
        <v>0</v>
      </c>
      <c r="P910" s="28">
        <f>O910-N910</f>
        <v>0</v>
      </c>
      <c r="Q910" s="61" t="str">
        <f>IF(ISERROR(P910/SUM(H910:L910)),"",P910/SUM(H910:L910))</f>
        <v/>
      </c>
      <c r="R910" s="113">
        <v>0</v>
      </c>
      <c r="S910" s="28">
        <f>IF(ISERROR(P910/C910*R910),0,(P910/C910*R910))</f>
        <v>0</v>
      </c>
      <c r="T910" s="60">
        <f>IF(ISERROR(P910/B910*AF910),0,(P910/B910*AF910))</f>
        <v>0</v>
      </c>
      <c r="V910" s="113">
        <v>0</v>
      </c>
      <c r="W910" s="113">
        <v>0</v>
      </c>
      <c r="X910" s="113">
        <v>0</v>
      </c>
      <c r="Y910" s="113">
        <v>0</v>
      </c>
      <c r="AA910" s="113">
        <v>0</v>
      </c>
      <c r="AB910" s="113">
        <v>0</v>
      </c>
      <c r="AC910" s="113">
        <v>0</v>
      </c>
      <c r="AD910" s="113">
        <v>0</v>
      </c>
      <c r="AF910" s="54">
        <v>575</v>
      </c>
      <c r="AG910" s="28">
        <f>G910-O910</f>
        <v>0</v>
      </c>
      <c r="AH910" s="58">
        <f>IF(ISERROR(AG910/B910*AF910),0,(AG910/B910*AF910))</f>
        <v>0</v>
      </c>
      <c r="AI910" s="28">
        <f>SUM(H910:M910)</f>
        <v>0</v>
      </c>
      <c r="AJ910" s="28">
        <f>IF(ISERROR(AI910/B910*AF910),0,(AI910/B910*AF910))</f>
        <v>0</v>
      </c>
      <c r="AK910" s="58">
        <f>IF(ISERROR(O910/B910*AF910),0,(O910/B910*AF910))</f>
        <v>0</v>
      </c>
      <c r="AL910" s="28">
        <f>IF(ISERROR(H910/B910*AF910),0,(H910/B910*AF910))</f>
        <v>0</v>
      </c>
      <c r="AN910" s="51" t="str">
        <f>A910</f>
        <v>Monin Fraise Starwberry</v>
      </c>
      <c r="AO910" s="57">
        <f>IF(ISERROR(IF(B910=C910,D910/C910,(INT(D910/B910)+(((D910-B910*INT(D910/B910)))/C910)/100))),0,(IF(B910=C910,D910/C910,(INT(D910/B910)+(((D910-B910*INT(D910/B910)))/C910)/100))))</f>
        <v>0</v>
      </c>
      <c r="AP910" s="57">
        <f>IF(ISERROR(IF(B910=C910,E910/C910,(INT(E910/B910)+(((E910-B910*INT(E910/B910)))/C910)/100))),0,(IF(B910=C910,E910/C910,(INT(E910/B910)+(((E910-B910*INT(E910/B910)))/C910)/100))))</f>
        <v>0</v>
      </c>
      <c r="AQ910" s="57">
        <f>IF(ISERROR(IF(B910=C910,F910/C910,IF((INT(F910/B910)+(((F910-B910*INT(F910/B910)))/C910)/100)&lt;0,(INT(F910/B910)+(((F910-B910*INT(F910/B910)))/C910)/100)+(1-(B910/C910/100)),(INT(F910/B910)+(((F910-B910*INT(F910/B910)))/C910)/100)))),0,IF(B910=C910,F910/C910,IF((INT(F910/B910)+(((F910-B910*INT(F910/B910)))/C910)/100)&lt;0,(INT(F910/B910)+(((F910-B910*INT(F910/B910)))/C910)/100)+(1-(B910/C910/100)),(INT(F910/B910)+(((F910-B910*INT(F910/B910)))/C910)/100))))</f>
        <v>0</v>
      </c>
      <c r="AR910" s="57">
        <f>IF(ISERROR(IF(B910=C910,G910/C910,(INT(G910/B910)+(((G910-B910*INT(G910/B910)))/C910)/100))),0,(IF(B910=C910,G910/C910,(INT(G910/B910)+(((G910-B910*INT(G910/B910)))/C910)/100))))</f>
        <v>0</v>
      </c>
      <c r="AS910" s="57">
        <f>IF(ISERROR(IF(B910=C910,H910/C910,(INT(H910/B910)+(((H910-B910*INT(H910/B910)))/C910)/100))),0,(IF(B910=C910,H910/C910,(INT(H910/B910)+(((H910-B910*INT(H910/B910)))/C910)/100))))</f>
        <v>0</v>
      </c>
      <c r="AT910" s="57">
        <f>IF(ISERROR(IF(B910=C910,I910/C910,(INT(I910/B910)+(((I910-B910*INT(I910/B910)))/C910)/100))),0,(IF(B910=C910,I910/C910,(INT(I910/B910)+(((I910-B910*INT(I910/B910)))/C910)/100))))</f>
        <v>0</v>
      </c>
      <c r="AU910" s="57">
        <f>IF(ISERROR(IF(B910=C910,J910/C910,(INT(J910/B910)+(((J910-B910*INT(J910/B910)))/C910)/100))),0,(IF(B910=C910,J910/C910,(INT(J910/B910)+(((J910-B910*INT(J910/B910)))/C910)/100))))</f>
        <v>0</v>
      </c>
      <c r="AV910" s="57">
        <f>IF(ISERROR(IF(B910=C910,K910/C910,IF((INT(K910/B910)+(((K910-B910*INT(K910/B910)))/C910)/100)&lt;0,(INT(K910/B910)+(((K910-B910*INT(K910/B910)))/C910)/100)+(1-(B910/C910/100)),(INT(K910/B910)+(((K910-B910*INT(K910/B910)))/C910)/100)))),0,IF(B910=C910,K910/C910,IF((INT(K910/B910)+(((K910-B910*INT(K910/B910)))/C910)/100)&lt;0,(INT(K910/B910)+(((K910-B910*INT(K910/B910)))/C910)/100)+(1-(B910/C910/100)),(INT(K910/B910)+(((K910-B910*INT(K910/B910)))/C910)/100))))</f>
        <v>0</v>
      </c>
      <c r="AW910" s="57">
        <f>IF(ISERROR(IF(B910=C910,L910/C910,(INT(L910/B910)+(((L910-B910*INT(L910/B910)))/C910)/100))),0,(IF(B910=C910,L910/C910,(INT(L910/B910)+(((L910-B910*INT(L910/B910)))/C910)/100))))</f>
        <v>0</v>
      </c>
      <c r="AX910" s="57">
        <f>IF(ISERROR(IF(B910=C910,M910/C910,(INT(M910/B910)+(((M910-B910*INT(M910/B910)))/C910)/100))),0,(IF(B910=C910,M910/C910,(INT(M910/B910)+(((M910-B910*INT(M910/B910)))/C910)/100))))</f>
        <v>0</v>
      </c>
      <c r="AY910" s="57">
        <f>IF(ISERROR(IF(B910=C910,N910/C910,IF((INT(N910/B910)+(((N910-B910*INT(N910/B910)))/C910)/100)&lt;0,(INT(N910/B910)+(((N910-B910*INT(N910/B910)))/C910)/100)+(1-(B910/C910/100)),(INT(N910/B910)+(((N910-B910*INT(N910/B910)))/C910)/100)))),0,IF(B910=C910,N910/C910,IF((INT(N910/B910)+(((N910-B910*INT(N910/B910)))/C910)/100)&lt;0,(INT(N910/B910)+(((N910-B910*INT(N910/B910)))/C910)/100)+(1-(B910/C910/100)),(INT(N910/B910)+(((N910-B910*INT(N910/B910)))/C910)/100))))</f>
        <v>0</v>
      </c>
      <c r="AZ910" s="57">
        <f>IF(ISERROR(IF(B910=C910,O910/C910,(INT(O910/B910)+(((O910-B910*INT(O910/B910)))/C910)/100))),0,(IF(B910=C910,O910/C910,(INT(O910/B910)+(((O910-B910*INT(O910/B910)))/C910)/100))))</f>
        <v>0</v>
      </c>
      <c r="BA910" s="57">
        <f>IF(ISERROR(IF(B910=C910,P910/C910,IF((INT(P910/B910)+(((P910-B910*INT(P910/B910)))/C910)/100)&lt;0,(INT(P910/B910)+(((P910-B910*INT(P910/B910)))/C910)/100)+(1-(B910/C910/100)),(INT(P910/B910)+(((P910-B910*INT(P910/B910)))/C910)/100)))),0,IF(B910=C910,P910/C910,IF((INT(P910/B910)+(((P910-B910*INT(P910/B910)))/C910)/100)&lt;0,(INT(P910/B910)+(((P910-B910*INT(P910/B910)))/C910)/100)+(1-(B910/C910/100)),(INT(P910/B910)+(((P910-B910*INT(P910/B910)))/C910)/100))))</f>
        <v>0</v>
      </c>
      <c r="BB910" s="28">
        <f>R910</f>
        <v>0</v>
      </c>
      <c r="BC910" s="28">
        <f>S910</f>
        <v>0</v>
      </c>
      <c r="BD910" s="28">
        <f>AF910</f>
        <v>575</v>
      </c>
      <c r="BE910" s="28">
        <f>T910</f>
        <v>0</v>
      </c>
      <c r="BG910" s="57">
        <f>IF(ISERROR(IF(B910=C910,V910/C910,(INT(V910/B910)+(((V910-B910*INT(V910/B910)))/C910)/100))),0,(IF(B910=C910,V910/C910,(INT(V910/B910)+(((V910-B910*INT(V910/B910)))/C910)/100))))</f>
        <v>0</v>
      </c>
      <c r="BH910" s="57">
        <f>IF(ISERROR(IF(B910=C910,W910/C910,(INT(W910/B910)+(((W910-B910*INT(W910/B910)))/C910)/100))),0,(IF(B910=C910,W910/C910,(INT(W910/B910)+(((W910-B910*INT(W910/B910)))/C910)/100))))</f>
        <v>0</v>
      </c>
      <c r="BI910" s="57">
        <f>IF(ISERROR(IF(B910=C910,X910/C910,(INT(X910/B910)+(((X910-B910*INT(X910/B910)))/C910)/100))),0,(IF(B910=C910,X910/C910,(INT(X910/B910)+(((X910-B910*INT(X910/B910)))/C910)/100))))</f>
        <v>0</v>
      </c>
      <c r="BJ910" s="57">
        <f>IF(ISERROR(IF(B910=C910,Y910/C910,(INT(Y910/B910)+(((Y910-B910*INT(Y910/B910)))/C910)/100))),0,(IF(B910=C910,Y910/C910,(INT(Y910/B910)+(((Y910-B910*INT(Y910/B910)))/C910)/100))))</f>
        <v>0</v>
      </c>
      <c r="BL910" s="57">
        <f>IF(ISERROR(IF(B910=C910,AA910/C910,(INT(AA910/B910)+(((AA910-B910*INT(AA910/B910)))/C910)/100))),0,(IF(B910=C910,AA910/C910,(INT(AA910/B910)+(((AA910-B910*INT(AA910/B910)))/C910)/100))))</f>
        <v>0</v>
      </c>
      <c r="BM910" s="57">
        <f>IF(ISERROR(IF(B910=C910,AB910/C910,(INT(AB910/B910)+(((AB910-B910*INT(AB910/B910)))/C910)/100))),0,(IF(B910=C910,AB910/C910,(INT(AB910/B910)+(((AB910-B910*INT(AB910/B910)))/C910)/100))))</f>
        <v>0</v>
      </c>
      <c r="BN910" s="57">
        <f>IF(ISERROR(IF(B910=C910,AC910/C910,(INT(AC910/B910)+(((AC910-B910*INT(AC910/B910)))/C910)/100))),0,(IF(B910=C910,AC910/C910,(INT(AC910/B910)+(((AC910-B910*INT(AC910/B910)))/C910)/100))))</f>
        <v>0</v>
      </c>
      <c r="BO910" s="57">
        <f>IF(ISERROR(IF(B910=C910,AD910/C910,(INT(AD910/B910)+(((AD910-B910*INT(AD910/B910)))/C910)/100))),0,(IF(B910=C910,AD910/C910,(INT(AD910/B910)+(((AD910-B910*INT(AD910/B910)))/C910)/100))))</f>
        <v>0</v>
      </c>
      <c r="BQ910" s="124" t="s">
        <v>81</v>
      </c>
    </row>
    <row r="911" spans="1:69" hidden="1" x14ac:dyDescent="0.35">
      <c r="A911" s="134" t="s">
        <v>95</v>
      </c>
      <c r="B911" s="113">
        <v>1000</v>
      </c>
      <c r="C911" s="113">
        <v>30</v>
      </c>
      <c r="D911" s="28">
        <f>SUM(AA911:AD911)</f>
        <v>0</v>
      </c>
      <c r="E911" s="125">
        <v>0</v>
      </c>
      <c r="F911" s="113">
        <v>0</v>
      </c>
      <c r="G911" s="28">
        <f>SUM(D911:F911)</f>
        <v>0</v>
      </c>
      <c r="H911" s="125">
        <v>0</v>
      </c>
      <c r="I911" s="125">
        <v>0</v>
      </c>
      <c r="J911" s="125">
        <v>0</v>
      </c>
      <c r="K911" s="125">
        <v>0</v>
      </c>
      <c r="L911" s="113">
        <v>0</v>
      </c>
      <c r="M911" s="113">
        <v>0</v>
      </c>
      <c r="N911" s="28">
        <f>G911-SUM(H911:M911)</f>
        <v>0</v>
      </c>
      <c r="O911" s="28">
        <f>SUM(V911:Y911)</f>
        <v>0</v>
      </c>
      <c r="P911" s="28">
        <f>O911-N911</f>
        <v>0</v>
      </c>
      <c r="Q911" s="61" t="str">
        <f>IF(ISERROR(P911/SUM(H911:L911)),"",P911/SUM(H911:L911))</f>
        <v/>
      </c>
      <c r="R911" s="113">
        <v>0</v>
      </c>
      <c r="S911" s="28">
        <f>IF(ISERROR(P911/C911*R911),0,(P911/C911*R911))</f>
        <v>0</v>
      </c>
      <c r="T911" s="60">
        <f>IF(ISERROR(P911/B911*AF911),0,(P911/B911*AF911))</f>
        <v>0</v>
      </c>
      <c r="V911" s="113">
        <v>0</v>
      </c>
      <c r="W911" s="113">
        <v>0</v>
      </c>
      <c r="X911" s="113">
        <v>0</v>
      </c>
      <c r="Y911" s="113">
        <v>0</v>
      </c>
      <c r="AA911" s="113">
        <v>0</v>
      </c>
      <c r="AB911" s="113">
        <v>0</v>
      </c>
      <c r="AC911" s="113">
        <v>0</v>
      </c>
      <c r="AD911" s="113">
        <v>0</v>
      </c>
      <c r="AF911" s="54">
        <v>575</v>
      </c>
      <c r="AG911" s="28">
        <f>G911-O911</f>
        <v>0</v>
      </c>
      <c r="AH911" s="58">
        <f>IF(ISERROR(AG911/B911*AF911),0,(AG911/B911*AF911))</f>
        <v>0</v>
      </c>
      <c r="AI911" s="28">
        <f>SUM(H911:M911)</f>
        <v>0</v>
      </c>
      <c r="AJ911" s="28">
        <f>IF(ISERROR(AI911/B911*AF911),0,(AI911/B911*AF911))</f>
        <v>0</v>
      </c>
      <c r="AK911" s="58">
        <f>IF(ISERROR(O911/B911*AF911),0,(O911/B911*AF911))</f>
        <v>0</v>
      </c>
      <c r="AL911" s="28">
        <f>IF(ISERROR(H911/B911*AF911),0,(H911/B911*AF911))</f>
        <v>0</v>
      </c>
      <c r="AN911" s="51" t="str">
        <f>A911</f>
        <v xml:space="preserve">Monin Green Apple </v>
      </c>
      <c r="AO911" s="57">
        <f>IF(ISERROR(IF(B911=C911,D911/C911,(INT(D911/B911)+(((D911-B911*INT(D911/B911)))/C911)/100))),0,(IF(B911=C911,D911/C911,(INT(D911/B911)+(((D911-B911*INT(D911/B911)))/C911)/100))))</f>
        <v>0</v>
      </c>
      <c r="AP911" s="57">
        <f>IF(ISERROR(IF(B911=C911,E911/C911,(INT(E911/B911)+(((E911-B911*INT(E911/B911)))/C911)/100))),0,(IF(B911=C911,E911/C911,(INT(E911/B911)+(((E911-B911*INT(E911/B911)))/C911)/100))))</f>
        <v>0</v>
      </c>
      <c r="AQ911" s="57">
        <f>IF(ISERROR(IF(B911=C911,F911/C911,IF((INT(F911/B911)+(((F911-B911*INT(F911/B911)))/C911)/100)&lt;0,(INT(F911/B911)+(((F911-B911*INT(F911/B911)))/C911)/100)+(1-(B911/C911/100)),(INT(F911/B911)+(((F911-B911*INT(F911/B911)))/C911)/100)))),0,IF(B911=C911,F911/C911,IF((INT(F911/B911)+(((F911-B911*INT(F911/B911)))/C911)/100)&lt;0,(INT(F911/B911)+(((F911-B911*INT(F911/B911)))/C911)/100)+(1-(B911/C911/100)),(INT(F911/B911)+(((F911-B911*INT(F911/B911)))/C911)/100))))</f>
        <v>0</v>
      </c>
      <c r="AR911" s="57">
        <f>IF(ISERROR(IF(B911=C911,G911/C911,(INT(G911/B911)+(((G911-B911*INT(G911/B911)))/C911)/100))),0,(IF(B911=C911,G911/C911,(INT(G911/B911)+(((G911-B911*INT(G911/B911)))/C911)/100))))</f>
        <v>0</v>
      </c>
      <c r="AS911" s="57">
        <f>IF(ISERROR(IF(B911=C911,H911/C911,(INT(H911/B911)+(((H911-B911*INT(H911/B911)))/C911)/100))),0,(IF(B911=C911,H911/C911,(INT(H911/B911)+(((H911-B911*INT(H911/B911)))/C911)/100))))</f>
        <v>0</v>
      </c>
      <c r="AT911" s="57">
        <f>IF(ISERROR(IF(B911=C911,I911/C911,(INT(I911/B911)+(((I911-B911*INT(I911/B911)))/C911)/100))),0,(IF(B911=C911,I911/C911,(INT(I911/B911)+(((I911-B911*INT(I911/B911)))/C911)/100))))</f>
        <v>0</v>
      </c>
      <c r="AU911" s="57">
        <f>IF(ISERROR(IF(B911=C911,J911/C911,(INT(J911/B911)+(((J911-B911*INT(J911/B911)))/C911)/100))),0,(IF(B911=C911,J911/C911,(INT(J911/B911)+(((J911-B911*INT(J911/B911)))/C911)/100))))</f>
        <v>0</v>
      </c>
      <c r="AV911" s="57">
        <f>IF(ISERROR(IF(B911=C911,K911/C911,IF((INT(K911/B911)+(((K911-B911*INT(K911/B911)))/C911)/100)&lt;0,(INT(K911/B911)+(((K911-B911*INT(K911/B911)))/C911)/100)+(1-(B911/C911/100)),(INT(K911/B911)+(((K911-B911*INT(K911/B911)))/C911)/100)))),0,IF(B911=C911,K911/C911,IF((INT(K911/B911)+(((K911-B911*INT(K911/B911)))/C911)/100)&lt;0,(INT(K911/B911)+(((K911-B911*INT(K911/B911)))/C911)/100)+(1-(B911/C911/100)),(INT(K911/B911)+(((K911-B911*INT(K911/B911)))/C911)/100))))</f>
        <v>0</v>
      </c>
      <c r="AW911" s="57">
        <f>IF(ISERROR(IF(B911=C911,L911/C911,(INT(L911/B911)+(((L911-B911*INT(L911/B911)))/C911)/100))),0,(IF(B911=C911,L911/C911,(INT(L911/B911)+(((L911-B911*INT(L911/B911)))/C911)/100))))</f>
        <v>0</v>
      </c>
      <c r="AX911" s="57">
        <f>IF(ISERROR(IF(B911=C911,M911/C911,(INT(M911/B911)+(((M911-B911*INT(M911/B911)))/C911)/100))),0,(IF(B911=C911,M911/C911,(INT(M911/B911)+(((M911-B911*INT(M911/B911)))/C911)/100))))</f>
        <v>0</v>
      </c>
      <c r="AY911" s="57">
        <f>IF(ISERROR(IF(B911=C911,N911/C911,IF((INT(N911/B911)+(((N911-B911*INT(N911/B911)))/C911)/100)&lt;0,(INT(N911/B911)+(((N911-B911*INT(N911/B911)))/C911)/100)+(1-(B911/C911/100)),(INT(N911/B911)+(((N911-B911*INT(N911/B911)))/C911)/100)))),0,IF(B911=C911,N911/C911,IF((INT(N911/B911)+(((N911-B911*INT(N911/B911)))/C911)/100)&lt;0,(INT(N911/B911)+(((N911-B911*INT(N911/B911)))/C911)/100)+(1-(B911/C911/100)),(INT(N911/B911)+(((N911-B911*INT(N911/B911)))/C911)/100))))</f>
        <v>0</v>
      </c>
      <c r="AZ911" s="57">
        <f>IF(ISERROR(IF(B911=C911,O911/C911,(INT(O911/B911)+(((O911-B911*INT(O911/B911)))/C911)/100))),0,(IF(B911=C911,O911/C911,(INT(O911/B911)+(((O911-B911*INT(O911/B911)))/C911)/100))))</f>
        <v>0</v>
      </c>
      <c r="BA911" s="57">
        <f>IF(ISERROR(IF(B911=C911,P911/C911,IF((INT(P911/B911)+(((P911-B911*INT(P911/B911)))/C911)/100)&lt;0,(INT(P911/B911)+(((P911-B911*INT(P911/B911)))/C911)/100)+(1-(B911/C911/100)),(INT(P911/B911)+(((P911-B911*INT(P911/B911)))/C911)/100)))),0,IF(B911=C911,P911/C911,IF((INT(P911/B911)+(((P911-B911*INT(P911/B911)))/C911)/100)&lt;0,(INT(P911/B911)+(((P911-B911*INT(P911/B911)))/C911)/100)+(1-(B911/C911/100)),(INT(P911/B911)+(((P911-B911*INT(P911/B911)))/C911)/100))))</f>
        <v>0</v>
      </c>
      <c r="BB911" s="28">
        <f>R911</f>
        <v>0</v>
      </c>
      <c r="BC911" s="28">
        <f>S911</f>
        <v>0</v>
      </c>
      <c r="BD911" s="28">
        <f>AF911</f>
        <v>575</v>
      </c>
      <c r="BE911" s="28">
        <f>T911</f>
        <v>0</v>
      </c>
      <c r="BG911" s="57">
        <f>IF(ISERROR(IF(B911=C911,V911/C911,(INT(V911/B911)+(((V911-B911*INT(V911/B911)))/C911)/100))),0,(IF(B911=C911,V911/C911,(INT(V911/B911)+(((V911-B911*INT(V911/B911)))/C911)/100))))</f>
        <v>0</v>
      </c>
      <c r="BH911" s="57">
        <f>IF(ISERROR(IF(B911=C911,W911/C911,(INT(W911/B911)+(((W911-B911*INT(W911/B911)))/C911)/100))),0,(IF(B911=C911,W911/C911,(INT(W911/B911)+(((W911-B911*INT(W911/B911)))/C911)/100))))</f>
        <v>0</v>
      </c>
      <c r="BI911" s="57">
        <f>IF(ISERROR(IF(B911=C911,X911/C911,(INT(X911/B911)+(((X911-B911*INT(X911/B911)))/C911)/100))),0,(IF(B911=C911,X911/C911,(INT(X911/B911)+(((X911-B911*INT(X911/B911)))/C911)/100))))</f>
        <v>0</v>
      </c>
      <c r="BJ911" s="57">
        <f>IF(ISERROR(IF(B911=C911,Y911/C911,(INT(Y911/B911)+(((Y911-B911*INT(Y911/B911)))/C911)/100))),0,(IF(B911=C911,Y911/C911,(INT(Y911/B911)+(((Y911-B911*INT(Y911/B911)))/C911)/100))))</f>
        <v>0</v>
      </c>
      <c r="BL911" s="57">
        <f>IF(ISERROR(IF(B911=C911,AA911/C911,(INT(AA911/B911)+(((AA911-B911*INT(AA911/B911)))/C911)/100))),0,(IF(B911=C911,AA911/C911,(INT(AA911/B911)+(((AA911-B911*INT(AA911/B911)))/C911)/100))))</f>
        <v>0</v>
      </c>
      <c r="BM911" s="57">
        <f>IF(ISERROR(IF(B911=C911,AB911/C911,(INT(AB911/B911)+(((AB911-B911*INT(AB911/B911)))/C911)/100))),0,(IF(B911=C911,AB911/C911,(INT(AB911/B911)+(((AB911-B911*INT(AB911/B911)))/C911)/100))))</f>
        <v>0</v>
      </c>
      <c r="BN911" s="57">
        <f>IF(ISERROR(IF(B911=C911,AC911/C911,(INT(AC911/B911)+(((AC911-B911*INT(AC911/B911)))/C911)/100))),0,(IF(B911=C911,AC911/C911,(INT(AC911/B911)+(((AC911-B911*INT(AC911/B911)))/C911)/100))))</f>
        <v>0</v>
      </c>
      <c r="BO911" s="57">
        <f>IF(ISERROR(IF(B911=C911,AD911/C911,(INT(AD911/B911)+(((AD911-B911*INT(AD911/B911)))/C911)/100))),0,(IF(B911=C911,AD911/C911,(INT(AD911/B911)+(((AD911-B911*INT(AD911/B911)))/C911)/100))))</f>
        <v>0</v>
      </c>
      <c r="BQ911" s="124" t="s">
        <v>81</v>
      </c>
    </row>
    <row r="912" spans="1:69" hidden="1" x14ac:dyDescent="0.35">
      <c r="A912" s="134" t="s">
        <v>94</v>
      </c>
      <c r="B912" s="113">
        <v>1000</v>
      </c>
      <c r="C912" s="113">
        <v>30</v>
      </c>
      <c r="D912" s="28">
        <f>SUM(AA912:AD912)</f>
        <v>0</v>
      </c>
      <c r="E912" s="125">
        <v>0</v>
      </c>
      <c r="F912" s="113">
        <v>0</v>
      </c>
      <c r="G912" s="28">
        <f>SUM(D912:F912)</f>
        <v>0</v>
      </c>
      <c r="H912" s="125">
        <v>0</v>
      </c>
      <c r="I912" s="125">
        <v>0</v>
      </c>
      <c r="J912" s="125">
        <v>0</v>
      </c>
      <c r="K912" s="125">
        <v>0</v>
      </c>
      <c r="L912" s="113">
        <v>0</v>
      </c>
      <c r="M912" s="113">
        <v>0</v>
      </c>
      <c r="N912" s="28">
        <f>G912-SUM(H912:M912)</f>
        <v>0</v>
      </c>
      <c r="O912" s="28">
        <f>SUM(V912:Y912)</f>
        <v>0</v>
      </c>
      <c r="P912" s="28">
        <f>O912-N912</f>
        <v>0</v>
      </c>
      <c r="Q912" s="61" t="str">
        <f>IF(ISERROR(P912/SUM(H912:L912)),"",P912/SUM(H912:L912))</f>
        <v/>
      </c>
      <c r="R912" s="113">
        <v>0</v>
      </c>
      <c r="S912" s="28">
        <f>IF(ISERROR(P912/C912*R912),0,(P912/C912*R912))</f>
        <v>0</v>
      </c>
      <c r="T912" s="60">
        <f>IF(ISERROR(P912/B912*AF912),0,(P912/B912*AF912))</f>
        <v>0</v>
      </c>
      <c r="V912" s="113">
        <v>0</v>
      </c>
      <c r="W912" s="113">
        <v>0</v>
      </c>
      <c r="X912" s="113">
        <v>0</v>
      </c>
      <c r="Y912" s="113">
        <v>0</v>
      </c>
      <c r="AA912" s="113">
        <v>0</v>
      </c>
      <c r="AB912" s="113">
        <v>0</v>
      </c>
      <c r="AC912" s="113">
        <v>0</v>
      </c>
      <c r="AD912" s="113">
        <v>0</v>
      </c>
      <c r="AF912" s="54">
        <v>575</v>
      </c>
      <c r="AG912" s="28">
        <f>G912-O912</f>
        <v>0</v>
      </c>
      <c r="AH912" s="58">
        <f>IF(ISERROR(AG912/B912*AF912),0,(AG912/B912*AF912))</f>
        <v>0</v>
      </c>
      <c r="AI912" s="28">
        <f>SUM(H912:M912)</f>
        <v>0</v>
      </c>
      <c r="AJ912" s="28">
        <f>IF(ISERROR(AI912/B912*AF912),0,(AI912/B912*AF912))</f>
        <v>0</v>
      </c>
      <c r="AK912" s="58">
        <f>IF(ISERROR(O912/B912*AF912),0,(O912/B912*AF912))</f>
        <v>0</v>
      </c>
      <c r="AL912" s="28">
        <f>IF(ISERROR(H912/B912*AF912),0,(H912/B912*AF912))</f>
        <v>0</v>
      </c>
      <c r="AN912" s="51" t="str">
        <f>A912</f>
        <v>Monin Grenadine</v>
      </c>
      <c r="AO912" s="57">
        <f>IF(ISERROR(IF(B912=C912,D912/C912,(INT(D912/B912)+(((D912-B912*INT(D912/B912)))/C912)/100))),0,(IF(B912=C912,D912/C912,(INT(D912/B912)+(((D912-B912*INT(D912/B912)))/C912)/100))))</f>
        <v>0</v>
      </c>
      <c r="AP912" s="57">
        <f>IF(ISERROR(IF(B912=C912,E912/C912,(INT(E912/B912)+(((E912-B912*INT(E912/B912)))/C912)/100))),0,(IF(B912=C912,E912/C912,(INT(E912/B912)+(((E912-B912*INT(E912/B912)))/C912)/100))))</f>
        <v>0</v>
      </c>
      <c r="AQ912" s="57">
        <f>IF(ISERROR(IF(B912=C912,F912/C912,IF((INT(F912/B912)+(((F912-B912*INT(F912/B912)))/C912)/100)&lt;0,(INT(F912/B912)+(((F912-B912*INT(F912/B912)))/C912)/100)+(1-(B912/C912/100)),(INT(F912/B912)+(((F912-B912*INT(F912/B912)))/C912)/100)))),0,IF(B912=C912,F912/C912,IF((INT(F912/B912)+(((F912-B912*INT(F912/B912)))/C912)/100)&lt;0,(INT(F912/B912)+(((F912-B912*INT(F912/B912)))/C912)/100)+(1-(B912/C912/100)),(INT(F912/B912)+(((F912-B912*INT(F912/B912)))/C912)/100))))</f>
        <v>0</v>
      </c>
      <c r="AR912" s="57">
        <f>IF(ISERROR(IF(B912=C912,G912/C912,(INT(G912/B912)+(((G912-B912*INT(G912/B912)))/C912)/100))),0,(IF(B912=C912,G912/C912,(INT(G912/B912)+(((G912-B912*INT(G912/B912)))/C912)/100))))</f>
        <v>0</v>
      </c>
      <c r="AS912" s="57">
        <f>IF(ISERROR(IF(B912=C912,H912/C912,(INT(H912/B912)+(((H912-B912*INT(H912/B912)))/C912)/100))),0,(IF(B912=C912,H912/C912,(INT(H912/B912)+(((H912-B912*INT(H912/B912)))/C912)/100))))</f>
        <v>0</v>
      </c>
      <c r="AT912" s="57">
        <f>IF(ISERROR(IF(B912=C912,I912/C912,(INT(I912/B912)+(((I912-B912*INT(I912/B912)))/C912)/100))),0,(IF(B912=C912,I912/C912,(INT(I912/B912)+(((I912-B912*INT(I912/B912)))/C912)/100))))</f>
        <v>0</v>
      </c>
      <c r="AU912" s="57">
        <f>IF(ISERROR(IF(B912=C912,J912/C912,(INT(J912/B912)+(((J912-B912*INT(J912/B912)))/C912)/100))),0,(IF(B912=C912,J912/C912,(INT(J912/B912)+(((J912-B912*INT(J912/B912)))/C912)/100))))</f>
        <v>0</v>
      </c>
      <c r="AV912" s="57">
        <f>IF(ISERROR(IF(B912=C912,K912/C912,IF((INT(K912/B912)+(((K912-B912*INT(K912/B912)))/C912)/100)&lt;0,(INT(K912/B912)+(((K912-B912*INT(K912/B912)))/C912)/100)+(1-(B912/C912/100)),(INT(K912/B912)+(((K912-B912*INT(K912/B912)))/C912)/100)))),0,IF(B912=C912,K912/C912,IF((INT(K912/B912)+(((K912-B912*INT(K912/B912)))/C912)/100)&lt;0,(INT(K912/B912)+(((K912-B912*INT(K912/B912)))/C912)/100)+(1-(B912/C912/100)),(INT(K912/B912)+(((K912-B912*INT(K912/B912)))/C912)/100))))</f>
        <v>0</v>
      </c>
      <c r="AW912" s="57">
        <f>IF(ISERROR(IF(B912=C912,L912/C912,(INT(L912/B912)+(((L912-B912*INT(L912/B912)))/C912)/100))),0,(IF(B912=C912,L912/C912,(INT(L912/B912)+(((L912-B912*INT(L912/B912)))/C912)/100))))</f>
        <v>0</v>
      </c>
      <c r="AX912" s="57">
        <f>IF(ISERROR(IF(B912=C912,M912/C912,(INT(M912/B912)+(((M912-B912*INT(M912/B912)))/C912)/100))),0,(IF(B912=C912,M912/C912,(INT(M912/B912)+(((M912-B912*INT(M912/B912)))/C912)/100))))</f>
        <v>0</v>
      </c>
      <c r="AY912" s="57">
        <f>IF(ISERROR(IF(B912=C912,N912/C912,IF((INT(N912/B912)+(((N912-B912*INT(N912/B912)))/C912)/100)&lt;0,(INT(N912/B912)+(((N912-B912*INT(N912/B912)))/C912)/100)+(1-(B912/C912/100)),(INT(N912/B912)+(((N912-B912*INT(N912/B912)))/C912)/100)))),0,IF(B912=C912,N912/C912,IF((INT(N912/B912)+(((N912-B912*INT(N912/B912)))/C912)/100)&lt;0,(INT(N912/B912)+(((N912-B912*INT(N912/B912)))/C912)/100)+(1-(B912/C912/100)),(INT(N912/B912)+(((N912-B912*INT(N912/B912)))/C912)/100))))</f>
        <v>0</v>
      </c>
      <c r="AZ912" s="57">
        <f>IF(ISERROR(IF(B912=C912,O912/C912,(INT(O912/B912)+(((O912-B912*INT(O912/B912)))/C912)/100))),0,(IF(B912=C912,O912/C912,(INT(O912/B912)+(((O912-B912*INT(O912/B912)))/C912)/100))))</f>
        <v>0</v>
      </c>
      <c r="BA912" s="57">
        <f>IF(ISERROR(IF(B912=C912,P912/C912,IF((INT(P912/B912)+(((P912-B912*INT(P912/B912)))/C912)/100)&lt;0,(INT(P912/B912)+(((P912-B912*INT(P912/B912)))/C912)/100)+(1-(B912/C912/100)),(INT(P912/B912)+(((P912-B912*INT(P912/B912)))/C912)/100)))),0,IF(B912=C912,P912/C912,IF((INT(P912/B912)+(((P912-B912*INT(P912/B912)))/C912)/100)&lt;0,(INT(P912/B912)+(((P912-B912*INT(P912/B912)))/C912)/100)+(1-(B912/C912/100)),(INT(P912/B912)+(((P912-B912*INT(P912/B912)))/C912)/100))))</f>
        <v>0</v>
      </c>
      <c r="BB912" s="28">
        <f>R912</f>
        <v>0</v>
      </c>
      <c r="BC912" s="28">
        <f>S912</f>
        <v>0</v>
      </c>
      <c r="BD912" s="28">
        <f>AF912</f>
        <v>575</v>
      </c>
      <c r="BE912" s="28">
        <f>T912</f>
        <v>0</v>
      </c>
      <c r="BG912" s="57">
        <f>IF(ISERROR(IF(B912=C912,V912/C912,(INT(V912/B912)+(((V912-B912*INT(V912/B912)))/C912)/100))),0,(IF(B912=C912,V912/C912,(INT(V912/B912)+(((V912-B912*INT(V912/B912)))/C912)/100))))</f>
        <v>0</v>
      </c>
      <c r="BH912" s="57">
        <f>IF(ISERROR(IF(B912=C912,W912/C912,(INT(W912/B912)+(((W912-B912*INT(W912/B912)))/C912)/100))),0,(IF(B912=C912,W912/C912,(INT(W912/B912)+(((W912-B912*INT(W912/B912)))/C912)/100))))</f>
        <v>0</v>
      </c>
      <c r="BI912" s="57">
        <f>IF(ISERROR(IF(B912=C912,X912/C912,(INT(X912/B912)+(((X912-B912*INT(X912/B912)))/C912)/100))),0,(IF(B912=C912,X912/C912,(INT(X912/B912)+(((X912-B912*INT(X912/B912)))/C912)/100))))</f>
        <v>0</v>
      </c>
      <c r="BJ912" s="57">
        <f>IF(ISERROR(IF(B912=C912,Y912/C912,(INT(Y912/B912)+(((Y912-B912*INT(Y912/B912)))/C912)/100))),0,(IF(B912=C912,Y912/C912,(INT(Y912/B912)+(((Y912-B912*INT(Y912/B912)))/C912)/100))))</f>
        <v>0</v>
      </c>
      <c r="BL912" s="57">
        <f>IF(ISERROR(IF(B912=C912,AA912/C912,(INT(AA912/B912)+(((AA912-B912*INT(AA912/B912)))/C912)/100))),0,(IF(B912=C912,AA912/C912,(INT(AA912/B912)+(((AA912-B912*INT(AA912/B912)))/C912)/100))))</f>
        <v>0</v>
      </c>
      <c r="BM912" s="57">
        <f>IF(ISERROR(IF(B912=C912,AB912/C912,(INT(AB912/B912)+(((AB912-B912*INT(AB912/B912)))/C912)/100))),0,(IF(B912=C912,AB912/C912,(INT(AB912/B912)+(((AB912-B912*INT(AB912/B912)))/C912)/100))))</f>
        <v>0</v>
      </c>
      <c r="BN912" s="57">
        <f>IF(ISERROR(IF(B912=C912,AC912/C912,(INT(AC912/B912)+(((AC912-B912*INT(AC912/B912)))/C912)/100))),0,(IF(B912=C912,AC912/C912,(INT(AC912/B912)+(((AC912-B912*INT(AC912/B912)))/C912)/100))))</f>
        <v>0</v>
      </c>
      <c r="BO912" s="57">
        <f>IF(ISERROR(IF(B912=C912,AD912/C912,(INT(AD912/B912)+(((AD912-B912*INT(AD912/B912)))/C912)/100))),0,(IF(B912=C912,AD912/C912,(INT(AD912/B912)+(((AD912-B912*INT(AD912/B912)))/C912)/100))))</f>
        <v>0</v>
      </c>
      <c r="BQ912" s="124" t="s">
        <v>81</v>
      </c>
    </row>
    <row r="913" spans="1:69" hidden="1" x14ac:dyDescent="0.35">
      <c r="A913" s="134" t="s">
        <v>93</v>
      </c>
      <c r="B913" s="113">
        <v>700</v>
      </c>
      <c r="C913" s="113">
        <v>30</v>
      </c>
      <c r="D913" s="28">
        <f>SUM(AA913:AD913)</f>
        <v>0</v>
      </c>
      <c r="E913" s="125">
        <v>0</v>
      </c>
      <c r="F913" s="113">
        <v>0</v>
      </c>
      <c r="G913" s="28">
        <f>SUM(D913:F913)</f>
        <v>0</v>
      </c>
      <c r="H913" s="125">
        <v>0</v>
      </c>
      <c r="I913" s="125">
        <v>0</v>
      </c>
      <c r="J913" s="125">
        <v>0</v>
      </c>
      <c r="K913" s="125">
        <v>0</v>
      </c>
      <c r="L913" s="113">
        <v>0</v>
      </c>
      <c r="M913" s="113">
        <v>0</v>
      </c>
      <c r="N913" s="28">
        <f>G913-SUM(H913:M913)</f>
        <v>0</v>
      </c>
      <c r="O913" s="28">
        <f>SUM(V913:Y913)</f>
        <v>0</v>
      </c>
      <c r="P913" s="28">
        <f>O913-N913</f>
        <v>0</v>
      </c>
      <c r="Q913" s="61" t="str">
        <f>IF(ISERROR(P913/SUM(H913:L913)),"",P913/SUM(H913:L913))</f>
        <v/>
      </c>
      <c r="R913" s="113">
        <v>0</v>
      </c>
      <c r="S913" s="28">
        <f>IF(ISERROR(P913/C913*R913),0,(P913/C913*R913))</f>
        <v>0</v>
      </c>
      <c r="T913" s="60">
        <f>IF(ISERROR(P913/B913*AF913),0,(P913/B913*AF913))</f>
        <v>0</v>
      </c>
      <c r="V913" s="113">
        <v>0</v>
      </c>
      <c r="W913" s="113">
        <v>0</v>
      </c>
      <c r="X913" s="113">
        <v>0</v>
      </c>
      <c r="Y913" s="113">
        <v>0</v>
      </c>
      <c r="AA913" s="113">
        <v>0</v>
      </c>
      <c r="AB913" s="113">
        <v>0</v>
      </c>
      <c r="AC913" s="113">
        <v>0</v>
      </c>
      <c r="AD913" s="113">
        <v>0</v>
      </c>
      <c r="AF913" s="54">
        <v>525</v>
      </c>
      <c r="AG913" s="28">
        <f>G913-O913</f>
        <v>0</v>
      </c>
      <c r="AH913" s="58">
        <f>IF(ISERROR(AG913/B913*AF913),0,(AG913/B913*AF913))</f>
        <v>0</v>
      </c>
      <c r="AI913" s="28">
        <f>SUM(H913:M913)</f>
        <v>0</v>
      </c>
      <c r="AJ913" s="28">
        <f>IF(ISERROR(AI913/B913*AF913),0,(AI913/B913*AF913))</f>
        <v>0</v>
      </c>
      <c r="AK913" s="58">
        <f>IF(ISERROR(O913/B913*AF913),0,(O913/B913*AF913))</f>
        <v>0</v>
      </c>
      <c r="AL913" s="28">
        <f>IF(ISERROR(H913/B913*AF913),0,(H913/B913*AF913))</f>
        <v>0</v>
      </c>
      <c r="AN913" s="51" t="str">
        <f>A913</f>
        <v>Monin Kiwi</v>
      </c>
      <c r="AO913" s="57">
        <f>IF(ISERROR(IF(B913=C913,D913/C913,(INT(D913/B913)+(((D913-B913*INT(D913/B913)))/C913)/100))),0,(IF(B913=C913,D913/C913,(INT(D913/B913)+(((D913-B913*INT(D913/B913)))/C913)/100))))</f>
        <v>0</v>
      </c>
      <c r="AP913" s="57">
        <f>IF(ISERROR(IF(B913=C913,E913/C913,(INT(E913/B913)+(((E913-B913*INT(E913/B913)))/C913)/100))),0,(IF(B913=C913,E913/C913,(INT(E913/B913)+(((E913-B913*INT(E913/B913)))/C913)/100))))</f>
        <v>0</v>
      </c>
      <c r="AQ913" s="57">
        <f>IF(ISERROR(IF(B913=C913,F913/C913,IF((INT(F913/B913)+(((F913-B913*INT(F913/B913)))/C913)/100)&lt;0,(INT(F913/B913)+(((F913-B913*INT(F913/B913)))/C913)/100)+(1-(B913/C913/100)),(INT(F913/B913)+(((F913-B913*INT(F913/B913)))/C913)/100)))),0,IF(B913=C913,F913/C913,IF((INT(F913/B913)+(((F913-B913*INT(F913/B913)))/C913)/100)&lt;0,(INT(F913/B913)+(((F913-B913*INT(F913/B913)))/C913)/100)+(1-(B913/C913/100)),(INT(F913/B913)+(((F913-B913*INT(F913/B913)))/C913)/100))))</f>
        <v>0</v>
      </c>
      <c r="AR913" s="57">
        <f>IF(ISERROR(IF(B913=C913,G913/C913,(INT(G913/B913)+(((G913-B913*INT(G913/B913)))/C913)/100))),0,(IF(B913=C913,G913/C913,(INT(G913/B913)+(((G913-B913*INT(G913/B913)))/C913)/100))))</f>
        <v>0</v>
      </c>
      <c r="AS913" s="57">
        <f>IF(ISERROR(IF(B913=C913,H913/C913,(INT(H913/B913)+(((H913-B913*INT(H913/B913)))/C913)/100))),0,(IF(B913=C913,H913/C913,(INT(H913/B913)+(((H913-B913*INT(H913/B913)))/C913)/100))))</f>
        <v>0</v>
      </c>
      <c r="AT913" s="57">
        <f>IF(ISERROR(IF(B913=C913,I913/C913,(INT(I913/B913)+(((I913-B913*INT(I913/B913)))/C913)/100))),0,(IF(B913=C913,I913/C913,(INT(I913/B913)+(((I913-B913*INT(I913/B913)))/C913)/100))))</f>
        <v>0</v>
      </c>
      <c r="AU913" s="57">
        <f>IF(ISERROR(IF(B913=C913,J913/C913,(INT(J913/B913)+(((J913-B913*INT(J913/B913)))/C913)/100))),0,(IF(B913=C913,J913/C913,(INT(J913/B913)+(((J913-B913*INT(J913/B913)))/C913)/100))))</f>
        <v>0</v>
      </c>
      <c r="AV913" s="57">
        <f>IF(ISERROR(IF(B913=C913,K913/C913,IF((INT(K913/B913)+(((K913-B913*INT(K913/B913)))/C913)/100)&lt;0,(INT(K913/B913)+(((K913-B913*INT(K913/B913)))/C913)/100)+(1-(B913/C913/100)),(INT(K913/B913)+(((K913-B913*INT(K913/B913)))/C913)/100)))),0,IF(B913=C913,K913/C913,IF((INT(K913/B913)+(((K913-B913*INT(K913/B913)))/C913)/100)&lt;0,(INT(K913/B913)+(((K913-B913*INT(K913/B913)))/C913)/100)+(1-(B913/C913/100)),(INT(K913/B913)+(((K913-B913*INT(K913/B913)))/C913)/100))))</f>
        <v>0</v>
      </c>
      <c r="AW913" s="57">
        <f>IF(ISERROR(IF(B913=C913,L913/C913,(INT(L913/B913)+(((L913-B913*INT(L913/B913)))/C913)/100))),0,(IF(B913=C913,L913/C913,(INT(L913/B913)+(((L913-B913*INT(L913/B913)))/C913)/100))))</f>
        <v>0</v>
      </c>
      <c r="AX913" s="57">
        <f>IF(ISERROR(IF(B913=C913,M913/C913,(INT(M913/B913)+(((M913-B913*INT(M913/B913)))/C913)/100))),0,(IF(B913=C913,M913/C913,(INT(M913/B913)+(((M913-B913*INT(M913/B913)))/C913)/100))))</f>
        <v>0</v>
      </c>
      <c r="AY913" s="57">
        <f>IF(ISERROR(IF(B913=C913,N913/C913,IF((INT(N913/B913)+(((N913-B913*INT(N913/B913)))/C913)/100)&lt;0,(INT(N913/B913)+(((N913-B913*INT(N913/B913)))/C913)/100)+(1-(B913/C913/100)),(INT(N913/B913)+(((N913-B913*INT(N913/B913)))/C913)/100)))),0,IF(B913=C913,N913/C913,IF((INT(N913/B913)+(((N913-B913*INT(N913/B913)))/C913)/100)&lt;0,(INT(N913/B913)+(((N913-B913*INT(N913/B913)))/C913)/100)+(1-(B913/C913/100)),(INT(N913/B913)+(((N913-B913*INT(N913/B913)))/C913)/100))))</f>
        <v>0</v>
      </c>
      <c r="AZ913" s="57">
        <f>IF(ISERROR(IF(B913=C913,O913/C913,(INT(O913/B913)+(((O913-B913*INT(O913/B913)))/C913)/100))),0,(IF(B913=C913,O913/C913,(INT(O913/B913)+(((O913-B913*INT(O913/B913)))/C913)/100))))</f>
        <v>0</v>
      </c>
      <c r="BA913" s="57">
        <f>IF(ISERROR(IF(B913=C913,P913/C913,IF((INT(P913/B913)+(((P913-B913*INT(P913/B913)))/C913)/100)&lt;0,(INT(P913/B913)+(((P913-B913*INT(P913/B913)))/C913)/100)+(1-(B913/C913/100)),(INT(P913/B913)+(((P913-B913*INT(P913/B913)))/C913)/100)))),0,IF(B913=C913,P913/C913,IF((INT(P913/B913)+(((P913-B913*INT(P913/B913)))/C913)/100)&lt;0,(INT(P913/B913)+(((P913-B913*INT(P913/B913)))/C913)/100)+(1-(B913/C913/100)),(INT(P913/B913)+(((P913-B913*INT(P913/B913)))/C913)/100))))</f>
        <v>0</v>
      </c>
      <c r="BB913" s="28">
        <f>R913</f>
        <v>0</v>
      </c>
      <c r="BC913" s="28">
        <f>S913</f>
        <v>0</v>
      </c>
      <c r="BD913" s="28">
        <f>AF913</f>
        <v>525</v>
      </c>
      <c r="BE913" s="28">
        <f>T913</f>
        <v>0</v>
      </c>
      <c r="BG913" s="57">
        <f>IF(ISERROR(IF(B913=C913,V913/C913,(INT(V913/B913)+(((V913-B913*INT(V913/B913)))/C913)/100))),0,(IF(B913=C913,V913/C913,(INT(V913/B913)+(((V913-B913*INT(V913/B913)))/C913)/100))))</f>
        <v>0</v>
      </c>
      <c r="BH913" s="57">
        <f>IF(ISERROR(IF(B913=C913,W913/C913,(INT(W913/B913)+(((W913-B913*INT(W913/B913)))/C913)/100))),0,(IF(B913=C913,W913/C913,(INT(W913/B913)+(((W913-B913*INT(W913/B913)))/C913)/100))))</f>
        <v>0</v>
      </c>
      <c r="BI913" s="57">
        <f>IF(ISERROR(IF(B913=C913,X913/C913,(INT(X913/B913)+(((X913-B913*INT(X913/B913)))/C913)/100))),0,(IF(B913=C913,X913/C913,(INT(X913/B913)+(((X913-B913*INT(X913/B913)))/C913)/100))))</f>
        <v>0</v>
      </c>
      <c r="BJ913" s="57">
        <f>IF(ISERROR(IF(B913=C913,Y913/C913,(INT(Y913/B913)+(((Y913-B913*INT(Y913/B913)))/C913)/100))),0,(IF(B913=C913,Y913/C913,(INT(Y913/B913)+(((Y913-B913*INT(Y913/B913)))/C913)/100))))</f>
        <v>0</v>
      </c>
      <c r="BL913" s="57">
        <f>IF(ISERROR(IF(B913=C913,AA913/C913,(INT(AA913/B913)+(((AA913-B913*INT(AA913/B913)))/C913)/100))),0,(IF(B913=C913,AA913/C913,(INT(AA913/B913)+(((AA913-B913*INT(AA913/B913)))/C913)/100))))</f>
        <v>0</v>
      </c>
      <c r="BM913" s="57">
        <f>IF(ISERROR(IF(B913=C913,AB913/C913,(INT(AB913/B913)+(((AB913-B913*INT(AB913/B913)))/C913)/100))),0,(IF(B913=C913,AB913/C913,(INT(AB913/B913)+(((AB913-B913*INT(AB913/B913)))/C913)/100))))</f>
        <v>0</v>
      </c>
      <c r="BN913" s="57">
        <f>IF(ISERROR(IF(B913=C913,AC913/C913,(INT(AC913/B913)+(((AC913-B913*INT(AC913/B913)))/C913)/100))),0,(IF(B913=C913,AC913/C913,(INT(AC913/B913)+(((AC913-B913*INT(AC913/B913)))/C913)/100))))</f>
        <v>0</v>
      </c>
      <c r="BO913" s="57">
        <f>IF(ISERROR(IF(B913=C913,AD913/C913,(INT(AD913/B913)+(((AD913-B913*INT(AD913/B913)))/C913)/100))),0,(IF(B913=C913,AD913/C913,(INT(AD913/B913)+(((AD913-B913*INT(AD913/B913)))/C913)/100))))</f>
        <v>0</v>
      </c>
      <c r="BQ913" s="124" t="s">
        <v>81</v>
      </c>
    </row>
    <row r="914" spans="1:69" hidden="1" x14ac:dyDescent="0.35">
      <c r="A914" s="134" t="s">
        <v>92</v>
      </c>
      <c r="B914" s="113">
        <v>700</v>
      </c>
      <c r="C914" s="113">
        <v>30</v>
      </c>
      <c r="D914" s="28">
        <f>SUM(AA914:AD914)</f>
        <v>0</v>
      </c>
      <c r="E914" s="125">
        <v>0</v>
      </c>
      <c r="F914" s="113">
        <v>0</v>
      </c>
      <c r="G914" s="28">
        <f>SUM(D914:F914)</f>
        <v>0</v>
      </c>
      <c r="H914" s="125">
        <v>0</v>
      </c>
      <c r="I914" s="125">
        <v>0</v>
      </c>
      <c r="J914" s="125">
        <v>0</v>
      </c>
      <c r="K914" s="125">
        <v>0</v>
      </c>
      <c r="L914" s="113">
        <v>0</v>
      </c>
      <c r="M914" s="113">
        <v>0</v>
      </c>
      <c r="N914" s="28">
        <f>G914-SUM(H914:M914)</f>
        <v>0</v>
      </c>
      <c r="O914" s="28">
        <f>SUM(V914:Y914)</f>
        <v>0</v>
      </c>
      <c r="P914" s="28">
        <f>O914-N914</f>
        <v>0</v>
      </c>
      <c r="Q914" s="61" t="str">
        <f>IF(ISERROR(P914/SUM(H914:L914)),"",P914/SUM(H914:L914))</f>
        <v/>
      </c>
      <c r="R914" s="113">
        <v>0</v>
      </c>
      <c r="S914" s="28">
        <f>IF(ISERROR(P914/C914*R914),0,(P914/C914*R914))</f>
        <v>0</v>
      </c>
      <c r="T914" s="60">
        <f>IF(ISERROR(P914/B914*AF914),0,(P914/B914*AF914))</f>
        <v>0</v>
      </c>
      <c r="V914" s="113">
        <v>0</v>
      </c>
      <c r="W914" s="113">
        <v>0</v>
      </c>
      <c r="X914" s="113">
        <v>0</v>
      </c>
      <c r="Y914" s="113">
        <v>0</v>
      </c>
      <c r="AA914" s="113">
        <v>0</v>
      </c>
      <c r="AB914" s="113">
        <v>0</v>
      </c>
      <c r="AC914" s="113">
        <v>0</v>
      </c>
      <c r="AD914" s="113">
        <v>0</v>
      </c>
      <c r="AF914" s="54">
        <v>525</v>
      </c>
      <c r="AG914" s="28">
        <f>G914-O914</f>
        <v>0</v>
      </c>
      <c r="AH914" s="58">
        <f>IF(ISERROR(AG914/B914*AF914),0,(AG914/B914*AF914))</f>
        <v>0</v>
      </c>
      <c r="AI914" s="28">
        <f>SUM(H914:M914)</f>
        <v>0</v>
      </c>
      <c r="AJ914" s="28">
        <f>IF(ISERROR(AI914/B914*AF914),0,(AI914/B914*AF914))</f>
        <v>0</v>
      </c>
      <c r="AK914" s="58">
        <f>IF(ISERROR(O914/B914*AF914),0,(O914/B914*AF914))</f>
        <v>0</v>
      </c>
      <c r="AL914" s="28">
        <f>IF(ISERROR(H914/B914*AF914),0,(H914/B914*AF914))</f>
        <v>0</v>
      </c>
      <c r="AN914" s="51" t="str">
        <f>A914</f>
        <v>Monin Litchi</v>
      </c>
      <c r="AO914" s="57">
        <f>IF(ISERROR(IF(B914=C914,D914/C914,(INT(D914/B914)+(((D914-B914*INT(D914/B914)))/C914)/100))),0,(IF(B914=C914,D914/C914,(INT(D914/B914)+(((D914-B914*INT(D914/B914)))/C914)/100))))</f>
        <v>0</v>
      </c>
      <c r="AP914" s="57">
        <f>IF(ISERROR(IF(B914=C914,E914/C914,(INT(E914/B914)+(((E914-B914*INT(E914/B914)))/C914)/100))),0,(IF(B914=C914,E914/C914,(INT(E914/B914)+(((E914-B914*INT(E914/B914)))/C914)/100))))</f>
        <v>0</v>
      </c>
      <c r="AQ914" s="57">
        <f>IF(ISERROR(IF(B914=C914,F914/C914,IF((INT(F914/B914)+(((F914-B914*INT(F914/B914)))/C914)/100)&lt;0,(INT(F914/B914)+(((F914-B914*INT(F914/B914)))/C914)/100)+(1-(B914/C914/100)),(INT(F914/B914)+(((F914-B914*INT(F914/B914)))/C914)/100)))),0,IF(B914=C914,F914/C914,IF((INT(F914/B914)+(((F914-B914*INT(F914/B914)))/C914)/100)&lt;0,(INT(F914/B914)+(((F914-B914*INT(F914/B914)))/C914)/100)+(1-(B914/C914/100)),(INT(F914/B914)+(((F914-B914*INT(F914/B914)))/C914)/100))))</f>
        <v>0</v>
      </c>
      <c r="AR914" s="57">
        <f>IF(ISERROR(IF(B914=C914,G914/C914,(INT(G914/B914)+(((G914-B914*INT(G914/B914)))/C914)/100))),0,(IF(B914=C914,G914/C914,(INT(G914/B914)+(((G914-B914*INT(G914/B914)))/C914)/100))))</f>
        <v>0</v>
      </c>
      <c r="AS914" s="57">
        <f>IF(ISERROR(IF(B914=C914,H914/C914,(INT(H914/B914)+(((H914-B914*INT(H914/B914)))/C914)/100))),0,(IF(B914=C914,H914/C914,(INT(H914/B914)+(((H914-B914*INT(H914/B914)))/C914)/100))))</f>
        <v>0</v>
      </c>
      <c r="AT914" s="57">
        <f>IF(ISERROR(IF(B914=C914,I914/C914,(INT(I914/B914)+(((I914-B914*INT(I914/B914)))/C914)/100))),0,(IF(B914=C914,I914/C914,(INT(I914/B914)+(((I914-B914*INT(I914/B914)))/C914)/100))))</f>
        <v>0</v>
      </c>
      <c r="AU914" s="57">
        <f>IF(ISERROR(IF(B914=C914,J914/C914,(INT(J914/B914)+(((J914-B914*INT(J914/B914)))/C914)/100))),0,(IF(B914=C914,J914/C914,(INT(J914/B914)+(((J914-B914*INT(J914/B914)))/C914)/100))))</f>
        <v>0</v>
      </c>
      <c r="AV914" s="57">
        <f>IF(ISERROR(IF(B914=C914,K914/C914,IF((INT(K914/B914)+(((K914-B914*INT(K914/B914)))/C914)/100)&lt;0,(INT(K914/B914)+(((K914-B914*INT(K914/B914)))/C914)/100)+(1-(B914/C914/100)),(INT(K914/B914)+(((K914-B914*INT(K914/B914)))/C914)/100)))),0,IF(B914=C914,K914/C914,IF((INT(K914/B914)+(((K914-B914*INT(K914/B914)))/C914)/100)&lt;0,(INT(K914/B914)+(((K914-B914*INT(K914/B914)))/C914)/100)+(1-(B914/C914/100)),(INT(K914/B914)+(((K914-B914*INT(K914/B914)))/C914)/100))))</f>
        <v>0</v>
      </c>
      <c r="AW914" s="57">
        <f>IF(ISERROR(IF(B914=C914,L914/C914,(INT(L914/B914)+(((L914-B914*INT(L914/B914)))/C914)/100))),0,(IF(B914=C914,L914/C914,(INT(L914/B914)+(((L914-B914*INT(L914/B914)))/C914)/100))))</f>
        <v>0</v>
      </c>
      <c r="AX914" s="57">
        <f>IF(ISERROR(IF(B914=C914,M914/C914,(INT(M914/B914)+(((M914-B914*INT(M914/B914)))/C914)/100))),0,(IF(B914=C914,M914/C914,(INT(M914/B914)+(((M914-B914*INT(M914/B914)))/C914)/100))))</f>
        <v>0</v>
      </c>
      <c r="AY914" s="57">
        <f>IF(ISERROR(IF(B914=C914,N914/C914,IF((INT(N914/B914)+(((N914-B914*INT(N914/B914)))/C914)/100)&lt;0,(INT(N914/B914)+(((N914-B914*INT(N914/B914)))/C914)/100)+(1-(B914/C914/100)),(INT(N914/B914)+(((N914-B914*INT(N914/B914)))/C914)/100)))),0,IF(B914=C914,N914/C914,IF((INT(N914/B914)+(((N914-B914*INT(N914/B914)))/C914)/100)&lt;0,(INT(N914/B914)+(((N914-B914*INT(N914/B914)))/C914)/100)+(1-(B914/C914/100)),(INT(N914/B914)+(((N914-B914*INT(N914/B914)))/C914)/100))))</f>
        <v>0</v>
      </c>
      <c r="AZ914" s="57">
        <f>IF(ISERROR(IF(B914=C914,O914/C914,(INT(O914/B914)+(((O914-B914*INT(O914/B914)))/C914)/100))),0,(IF(B914=C914,O914/C914,(INT(O914/B914)+(((O914-B914*INT(O914/B914)))/C914)/100))))</f>
        <v>0</v>
      </c>
      <c r="BA914" s="57">
        <f>IF(ISERROR(IF(B914=C914,P914/C914,IF((INT(P914/B914)+(((P914-B914*INT(P914/B914)))/C914)/100)&lt;0,(INT(P914/B914)+(((P914-B914*INT(P914/B914)))/C914)/100)+(1-(B914/C914/100)),(INT(P914/B914)+(((P914-B914*INT(P914/B914)))/C914)/100)))),0,IF(B914=C914,P914/C914,IF((INT(P914/B914)+(((P914-B914*INT(P914/B914)))/C914)/100)&lt;0,(INT(P914/B914)+(((P914-B914*INT(P914/B914)))/C914)/100)+(1-(B914/C914/100)),(INT(P914/B914)+(((P914-B914*INT(P914/B914)))/C914)/100))))</f>
        <v>0</v>
      </c>
      <c r="BB914" s="28">
        <f>R914</f>
        <v>0</v>
      </c>
      <c r="BC914" s="28">
        <f>S914</f>
        <v>0</v>
      </c>
      <c r="BD914" s="28">
        <f>AF914</f>
        <v>525</v>
      </c>
      <c r="BE914" s="28">
        <f>T914</f>
        <v>0</v>
      </c>
      <c r="BG914" s="57">
        <f>IF(ISERROR(IF(B914=C914,V914/C914,(INT(V914/B914)+(((V914-B914*INT(V914/B914)))/C914)/100))),0,(IF(B914=C914,V914/C914,(INT(V914/B914)+(((V914-B914*INT(V914/B914)))/C914)/100))))</f>
        <v>0</v>
      </c>
      <c r="BH914" s="57">
        <f>IF(ISERROR(IF(B914=C914,W914/C914,(INT(W914/B914)+(((W914-B914*INT(W914/B914)))/C914)/100))),0,(IF(B914=C914,W914/C914,(INT(W914/B914)+(((W914-B914*INT(W914/B914)))/C914)/100))))</f>
        <v>0</v>
      </c>
      <c r="BI914" s="57">
        <f>IF(ISERROR(IF(B914=C914,X914/C914,(INT(X914/B914)+(((X914-B914*INT(X914/B914)))/C914)/100))),0,(IF(B914=C914,X914/C914,(INT(X914/B914)+(((X914-B914*INT(X914/B914)))/C914)/100))))</f>
        <v>0</v>
      </c>
      <c r="BJ914" s="57">
        <f>IF(ISERROR(IF(B914=C914,Y914/C914,(INT(Y914/B914)+(((Y914-B914*INT(Y914/B914)))/C914)/100))),0,(IF(B914=C914,Y914/C914,(INT(Y914/B914)+(((Y914-B914*INT(Y914/B914)))/C914)/100))))</f>
        <v>0</v>
      </c>
      <c r="BL914" s="57">
        <f>IF(ISERROR(IF(B914=C914,AA914/C914,(INT(AA914/B914)+(((AA914-B914*INT(AA914/B914)))/C914)/100))),0,(IF(B914=C914,AA914/C914,(INT(AA914/B914)+(((AA914-B914*INT(AA914/B914)))/C914)/100))))</f>
        <v>0</v>
      </c>
      <c r="BM914" s="57">
        <f>IF(ISERROR(IF(B914=C914,AB914/C914,(INT(AB914/B914)+(((AB914-B914*INT(AB914/B914)))/C914)/100))),0,(IF(B914=C914,AB914/C914,(INT(AB914/B914)+(((AB914-B914*INT(AB914/B914)))/C914)/100))))</f>
        <v>0</v>
      </c>
      <c r="BN914" s="57">
        <f>IF(ISERROR(IF(B914=C914,AC914/C914,(INT(AC914/B914)+(((AC914-B914*INT(AC914/B914)))/C914)/100))),0,(IF(B914=C914,AC914/C914,(INT(AC914/B914)+(((AC914-B914*INT(AC914/B914)))/C914)/100))))</f>
        <v>0</v>
      </c>
      <c r="BO914" s="57">
        <f>IF(ISERROR(IF(B914=C914,AD914/C914,(INT(AD914/B914)+(((AD914-B914*INT(AD914/B914)))/C914)/100))),0,(IF(B914=C914,AD914/C914,(INT(AD914/B914)+(((AD914-B914*INT(AD914/B914)))/C914)/100))))</f>
        <v>0</v>
      </c>
      <c r="BQ914" s="124" t="s">
        <v>81</v>
      </c>
    </row>
    <row r="915" spans="1:69" hidden="1" x14ac:dyDescent="0.35">
      <c r="A915" s="134" t="s">
        <v>91</v>
      </c>
      <c r="B915" s="113">
        <v>700</v>
      </c>
      <c r="C915" s="113">
        <v>30</v>
      </c>
      <c r="D915" s="28">
        <f>SUM(AA915:AD915)</f>
        <v>0</v>
      </c>
      <c r="E915" s="125">
        <v>0</v>
      </c>
      <c r="F915" s="113">
        <v>0</v>
      </c>
      <c r="G915" s="28">
        <f>SUM(D915:F915)</f>
        <v>0</v>
      </c>
      <c r="H915" s="125">
        <v>0</v>
      </c>
      <c r="I915" s="125">
        <v>0</v>
      </c>
      <c r="J915" s="125">
        <v>0</v>
      </c>
      <c r="K915" s="125">
        <v>0</v>
      </c>
      <c r="L915" s="113">
        <v>0</v>
      </c>
      <c r="M915" s="113">
        <v>0</v>
      </c>
      <c r="N915" s="28">
        <f>G915-SUM(H915:M915)</f>
        <v>0</v>
      </c>
      <c r="O915" s="28">
        <f>SUM(V915:Y915)</f>
        <v>0</v>
      </c>
      <c r="P915" s="28">
        <f>O915-N915</f>
        <v>0</v>
      </c>
      <c r="Q915" s="61" t="str">
        <f>IF(ISERROR(P915/SUM(H915:L915)),"",P915/SUM(H915:L915))</f>
        <v/>
      </c>
      <c r="R915" s="113">
        <v>0</v>
      </c>
      <c r="S915" s="28">
        <f>IF(ISERROR(P915/C915*R915),0,(P915/C915*R915))</f>
        <v>0</v>
      </c>
      <c r="T915" s="60">
        <f>IF(ISERROR(P915/B915*AF915),0,(P915/B915*AF915))</f>
        <v>0</v>
      </c>
      <c r="V915" s="113">
        <v>0</v>
      </c>
      <c r="W915" s="113">
        <v>0</v>
      </c>
      <c r="X915" s="113">
        <v>0</v>
      </c>
      <c r="Y915" s="113">
        <v>0</v>
      </c>
      <c r="AA915" s="113">
        <v>0</v>
      </c>
      <c r="AB915" s="113">
        <v>0</v>
      </c>
      <c r="AC915" s="113">
        <v>0</v>
      </c>
      <c r="AD915" s="113">
        <v>0</v>
      </c>
      <c r="AF915" s="54">
        <v>525</v>
      </c>
      <c r="AG915" s="28">
        <f>G915-O915</f>
        <v>0</v>
      </c>
      <c r="AH915" s="58">
        <f>IF(ISERROR(AG915/B915*AF915),0,(AG915/B915*AF915))</f>
        <v>0</v>
      </c>
      <c r="AI915" s="28">
        <f>SUM(H915:M915)</f>
        <v>0</v>
      </c>
      <c r="AJ915" s="28">
        <f>IF(ISERROR(AI915/B915*AF915),0,(AI915/B915*AF915))</f>
        <v>0</v>
      </c>
      <c r="AK915" s="58">
        <f>IF(ISERROR(O915/B915*AF915),0,(O915/B915*AF915))</f>
        <v>0</v>
      </c>
      <c r="AL915" s="28">
        <f>IF(ISERROR(H915/B915*AF915),0,(H915/B915*AF915))</f>
        <v>0</v>
      </c>
      <c r="AN915" s="51" t="str">
        <f>A915</f>
        <v xml:space="preserve">Monin Melon </v>
      </c>
      <c r="AO915" s="57">
        <f>IF(ISERROR(IF(B915=C915,D915/C915,(INT(D915/B915)+(((D915-B915*INT(D915/B915)))/C915)/100))),0,(IF(B915=C915,D915/C915,(INT(D915/B915)+(((D915-B915*INT(D915/B915)))/C915)/100))))</f>
        <v>0</v>
      </c>
      <c r="AP915" s="57">
        <f>IF(ISERROR(IF(B915=C915,E915/C915,(INT(E915/B915)+(((E915-B915*INT(E915/B915)))/C915)/100))),0,(IF(B915=C915,E915/C915,(INT(E915/B915)+(((E915-B915*INT(E915/B915)))/C915)/100))))</f>
        <v>0</v>
      </c>
      <c r="AQ915" s="57">
        <f>IF(ISERROR(IF(B915=C915,F915/C915,IF((INT(F915/B915)+(((F915-B915*INT(F915/B915)))/C915)/100)&lt;0,(INT(F915/B915)+(((F915-B915*INT(F915/B915)))/C915)/100)+(1-(B915/C915/100)),(INT(F915/B915)+(((F915-B915*INT(F915/B915)))/C915)/100)))),0,IF(B915=C915,F915/C915,IF((INT(F915/B915)+(((F915-B915*INT(F915/B915)))/C915)/100)&lt;0,(INT(F915/B915)+(((F915-B915*INT(F915/B915)))/C915)/100)+(1-(B915/C915/100)),(INT(F915/B915)+(((F915-B915*INT(F915/B915)))/C915)/100))))</f>
        <v>0</v>
      </c>
      <c r="AR915" s="57">
        <f>IF(ISERROR(IF(B915=C915,G915/C915,(INT(G915/B915)+(((G915-B915*INT(G915/B915)))/C915)/100))),0,(IF(B915=C915,G915/C915,(INT(G915/B915)+(((G915-B915*INT(G915/B915)))/C915)/100))))</f>
        <v>0</v>
      </c>
      <c r="AS915" s="57">
        <f>IF(ISERROR(IF(B915=C915,H915/C915,(INT(H915/B915)+(((H915-B915*INT(H915/B915)))/C915)/100))),0,(IF(B915=C915,H915/C915,(INT(H915/B915)+(((H915-B915*INT(H915/B915)))/C915)/100))))</f>
        <v>0</v>
      </c>
      <c r="AT915" s="57">
        <f>IF(ISERROR(IF(B915=C915,I915/C915,(INT(I915/B915)+(((I915-B915*INT(I915/B915)))/C915)/100))),0,(IF(B915=C915,I915/C915,(INT(I915/B915)+(((I915-B915*INT(I915/B915)))/C915)/100))))</f>
        <v>0</v>
      </c>
      <c r="AU915" s="57">
        <f>IF(ISERROR(IF(B915=C915,J915/C915,(INT(J915/B915)+(((J915-B915*INT(J915/B915)))/C915)/100))),0,(IF(B915=C915,J915/C915,(INT(J915/B915)+(((J915-B915*INT(J915/B915)))/C915)/100))))</f>
        <v>0</v>
      </c>
      <c r="AV915" s="57">
        <f>IF(ISERROR(IF(B915=C915,K915/C915,IF((INT(K915/B915)+(((K915-B915*INT(K915/B915)))/C915)/100)&lt;0,(INT(K915/B915)+(((K915-B915*INT(K915/B915)))/C915)/100)+(1-(B915/C915/100)),(INT(K915/B915)+(((K915-B915*INT(K915/B915)))/C915)/100)))),0,IF(B915=C915,K915/C915,IF((INT(K915/B915)+(((K915-B915*INT(K915/B915)))/C915)/100)&lt;0,(INT(K915/B915)+(((K915-B915*INT(K915/B915)))/C915)/100)+(1-(B915/C915/100)),(INT(K915/B915)+(((K915-B915*INT(K915/B915)))/C915)/100))))</f>
        <v>0</v>
      </c>
      <c r="AW915" s="57">
        <f>IF(ISERROR(IF(B915=C915,L915/C915,(INT(L915/B915)+(((L915-B915*INT(L915/B915)))/C915)/100))),0,(IF(B915=C915,L915/C915,(INT(L915/B915)+(((L915-B915*INT(L915/B915)))/C915)/100))))</f>
        <v>0</v>
      </c>
      <c r="AX915" s="57">
        <f>IF(ISERROR(IF(B915=C915,M915/C915,(INT(M915/B915)+(((M915-B915*INT(M915/B915)))/C915)/100))),0,(IF(B915=C915,M915/C915,(INT(M915/B915)+(((M915-B915*INT(M915/B915)))/C915)/100))))</f>
        <v>0</v>
      </c>
      <c r="AY915" s="57">
        <f>IF(ISERROR(IF(B915=C915,N915/C915,IF((INT(N915/B915)+(((N915-B915*INT(N915/B915)))/C915)/100)&lt;0,(INT(N915/B915)+(((N915-B915*INT(N915/B915)))/C915)/100)+(1-(B915/C915/100)),(INT(N915/B915)+(((N915-B915*INT(N915/B915)))/C915)/100)))),0,IF(B915=C915,N915/C915,IF((INT(N915/B915)+(((N915-B915*INT(N915/B915)))/C915)/100)&lt;0,(INT(N915/B915)+(((N915-B915*INT(N915/B915)))/C915)/100)+(1-(B915/C915/100)),(INT(N915/B915)+(((N915-B915*INT(N915/B915)))/C915)/100))))</f>
        <v>0</v>
      </c>
      <c r="AZ915" s="57">
        <f>IF(ISERROR(IF(B915=C915,O915/C915,(INT(O915/B915)+(((O915-B915*INT(O915/B915)))/C915)/100))),0,(IF(B915=C915,O915/C915,(INT(O915/B915)+(((O915-B915*INT(O915/B915)))/C915)/100))))</f>
        <v>0</v>
      </c>
      <c r="BA915" s="57">
        <f>IF(ISERROR(IF(B915=C915,P915/C915,IF((INT(P915/B915)+(((P915-B915*INT(P915/B915)))/C915)/100)&lt;0,(INT(P915/B915)+(((P915-B915*INT(P915/B915)))/C915)/100)+(1-(B915/C915/100)),(INT(P915/B915)+(((P915-B915*INT(P915/B915)))/C915)/100)))),0,IF(B915=C915,P915/C915,IF((INT(P915/B915)+(((P915-B915*INT(P915/B915)))/C915)/100)&lt;0,(INT(P915/B915)+(((P915-B915*INT(P915/B915)))/C915)/100)+(1-(B915/C915/100)),(INT(P915/B915)+(((P915-B915*INT(P915/B915)))/C915)/100))))</f>
        <v>0</v>
      </c>
      <c r="BB915" s="28">
        <f>R915</f>
        <v>0</v>
      </c>
      <c r="BC915" s="28">
        <f>S915</f>
        <v>0</v>
      </c>
      <c r="BD915" s="28">
        <f>AF915</f>
        <v>525</v>
      </c>
      <c r="BE915" s="28">
        <f>T915</f>
        <v>0</v>
      </c>
      <c r="BG915" s="57">
        <f>IF(ISERROR(IF(B915=C915,V915/C915,(INT(V915/B915)+(((V915-B915*INT(V915/B915)))/C915)/100))),0,(IF(B915=C915,V915/C915,(INT(V915/B915)+(((V915-B915*INT(V915/B915)))/C915)/100))))</f>
        <v>0</v>
      </c>
      <c r="BH915" s="57">
        <f>IF(ISERROR(IF(B915=C915,W915/C915,(INT(W915/B915)+(((W915-B915*INT(W915/B915)))/C915)/100))),0,(IF(B915=C915,W915/C915,(INT(W915/B915)+(((W915-B915*INT(W915/B915)))/C915)/100))))</f>
        <v>0</v>
      </c>
      <c r="BI915" s="57">
        <f>IF(ISERROR(IF(B915=C915,X915/C915,(INT(X915/B915)+(((X915-B915*INT(X915/B915)))/C915)/100))),0,(IF(B915=C915,X915/C915,(INT(X915/B915)+(((X915-B915*INT(X915/B915)))/C915)/100))))</f>
        <v>0</v>
      </c>
      <c r="BJ915" s="57">
        <f>IF(ISERROR(IF(B915=C915,Y915/C915,(INT(Y915/B915)+(((Y915-B915*INT(Y915/B915)))/C915)/100))),0,(IF(B915=C915,Y915/C915,(INT(Y915/B915)+(((Y915-B915*INT(Y915/B915)))/C915)/100))))</f>
        <v>0</v>
      </c>
      <c r="BL915" s="57">
        <f>IF(ISERROR(IF(B915=C915,AA915/C915,(INT(AA915/B915)+(((AA915-B915*INT(AA915/B915)))/C915)/100))),0,(IF(B915=C915,AA915/C915,(INT(AA915/B915)+(((AA915-B915*INT(AA915/B915)))/C915)/100))))</f>
        <v>0</v>
      </c>
      <c r="BM915" s="57">
        <f>IF(ISERROR(IF(B915=C915,AB915/C915,(INT(AB915/B915)+(((AB915-B915*INT(AB915/B915)))/C915)/100))),0,(IF(B915=C915,AB915/C915,(INT(AB915/B915)+(((AB915-B915*INT(AB915/B915)))/C915)/100))))</f>
        <v>0</v>
      </c>
      <c r="BN915" s="57">
        <f>IF(ISERROR(IF(B915=C915,AC915/C915,(INT(AC915/B915)+(((AC915-B915*INT(AC915/B915)))/C915)/100))),0,(IF(B915=C915,AC915/C915,(INT(AC915/B915)+(((AC915-B915*INT(AC915/B915)))/C915)/100))))</f>
        <v>0</v>
      </c>
      <c r="BO915" s="57">
        <f>IF(ISERROR(IF(B915=C915,AD915/C915,(INT(AD915/B915)+(((AD915-B915*INT(AD915/B915)))/C915)/100))),0,(IF(B915=C915,AD915/C915,(INT(AD915/B915)+(((AD915-B915*INT(AD915/B915)))/C915)/100))))</f>
        <v>0</v>
      </c>
      <c r="BQ915" s="124" t="s">
        <v>81</v>
      </c>
    </row>
    <row r="916" spans="1:69" hidden="1" x14ac:dyDescent="0.35">
      <c r="A916" s="134" t="s">
        <v>90</v>
      </c>
      <c r="B916" s="113">
        <v>700</v>
      </c>
      <c r="C916" s="113">
        <v>30</v>
      </c>
      <c r="D916" s="28">
        <f>SUM(AA916:AD916)</f>
        <v>0</v>
      </c>
      <c r="E916" s="125">
        <v>0</v>
      </c>
      <c r="F916" s="113">
        <v>0</v>
      </c>
      <c r="G916" s="28">
        <f>SUM(D916:F916)</f>
        <v>0</v>
      </c>
      <c r="H916" s="125">
        <v>0</v>
      </c>
      <c r="I916" s="125">
        <v>0</v>
      </c>
      <c r="J916" s="125">
        <v>0</v>
      </c>
      <c r="K916" s="125">
        <v>0</v>
      </c>
      <c r="L916" s="113">
        <v>0</v>
      </c>
      <c r="M916" s="113">
        <v>0</v>
      </c>
      <c r="N916" s="28">
        <f>G916-SUM(H916:M916)</f>
        <v>0</v>
      </c>
      <c r="O916" s="28">
        <f>SUM(V916:Y916)</f>
        <v>0</v>
      </c>
      <c r="P916" s="28">
        <f>O916-N916</f>
        <v>0</v>
      </c>
      <c r="Q916" s="61" t="str">
        <f>IF(ISERROR(P916/SUM(H916:L916)),"",P916/SUM(H916:L916))</f>
        <v/>
      </c>
      <c r="R916" s="113">
        <v>0</v>
      </c>
      <c r="S916" s="28">
        <f>IF(ISERROR(P916/C916*R916),0,(P916/C916*R916))</f>
        <v>0</v>
      </c>
      <c r="T916" s="60">
        <f>IF(ISERROR(P916/B916*AF916),0,(P916/B916*AF916))</f>
        <v>0</v>
      </c>
      <c r="V916" s="113">
        <v>0</v>
      </c>
      <c r="W916" s="113">
        <v>0</v>
      </c>
      <c r="X916" s="113">
        <v>0</v>
      </c>
      <c r="Y916" s="113">
        <v>0</v>
      </c>
      <c r="AA916" s="113">
        <v>0</v>
      </c>
      <c r="AB916" s="113">
        <v>0</v>
      </c>
      <c r="AC916" s="113">
        <v>0</v>
      </c>
      <c r="AD916" s="113">
        <v>0</v>
      </c>
      <c r="AF916" s="54">
        <v>525</v>
      </c>
      <c r="AG916" s="28">
        <f>G916-O916</f>
        <v>0</v>
      </c>
      <c r="AH916" s="58">
        <f>IF(ISERROR(AG916/B916*AF916),0,(AG916/B916*AF916))</f>
        <v>0</v>
      </c>
      <c r="AI916" s="28">
        <f>SUM(H916:M916)</f>
        <v>0</v>
      </c>
      <c r="AJ916" s="28">
        <f>IF(ISERROR(AI916/B916*AF916),0,(AI916/B916*AF916))</f>
        <v>0</v>
      </c>
      <c r="AK916" s="58">
        <f>IF(ISERROR(O916/B916*AF916),0,(O916/B916*AF916))</f>
        <v>0</v>
      </c>
      <c r="AL916" s="28">
        <f>IF(ISERROR(H916/B916*AF916),0,(H916/B916*AF916))</f>
        <v>0</v>
      </c>
      <c r="AN916" s="51" t="str">
        <f>A916</f>
        <v xml:space="preserve">Monin Mint </v>
      </c>
      <c r="AO916" s="57">
        <f>IF(ISERROR(IF(B916=C916,D916/C916,(INT(D916/B916)+(((D916-B916*INT(D916/B916)))/C916)/100))),0,(IF(B916=C916,D916/C916,(INT(D916/B916)+(((D916-B916*INT(D916/B916)))/C916)/100))))</f>
        <v>0</v>
      </c>
      <c r="AP916" s="57">
        <f>IF(ISERROR(IF(B916=C916,E916/C916,(INT(E916/B916)+(((E916-B916*INT(E916/B916)))/C916)/100))),0,(IF(B916=C916,E916/C916,(INT(E916/B916)+(((E916-B916*INT(E916/B916)))/C916)/100))))</f>
        <v>0</v>
      </c>
      <c r="AQ916" s="57">
        <f>IF(ISERROR(IF(B916=C916,F916/C916,IF((INT(F916/B916)+(((F916-B916*INT(F916/B916)))/C916)/100)&lt;0,(INT(F916/B916)+(((F916-B916*INT(F916/B916)))/C916)/100)+(1-(B916/C916/100)),(INT(F916/B916)+(((F916-B916*INT(F916/B916)))/C916)/100)))),0,IF(B916=C916,F916/C916,IF((INT(F916/B916)+(((F916-B916*INT(F916/B916)))/C916)/100)&lt;0,(INT(F916/B916)+(((F916-B916*INT(F916/B916)))/C916)/100)+(1-(B916/C916/100)),(INT(F916/B916)+(((F916-B916*INT(F916/B916)))/C916)/100))))</f>
        <v>0</v>
      </c>
      <c r="AR916" s="57">
        <f>IF(ISERROR(IF(B916=C916,G916/C916,(INT(G916/B916)+(((G916-B916*INT(G916/B916)))/C916)/100))),0,(IF(B916=C916,G916/C916,(INT(G916/B916)+(((G916-B916*INT(G916/B916)))/C916)/100))))</f>
        <v>0</v>
      </c>
      <c r="AS916" s="57">
        <f>IF(ISERROR(IF(B916=C916,H916/C916,(INT(H916/B916)+(((H916-B916*INT(H916/B916)))/C916)/100))),0,(IF(B916=C916,H916/C916,(INT(H916/B916)+(((H916-B916*INT(H916/B916)))/C916)/100))))</f>
        <v>0</v>
      </c>
      <c r="AT916" s="57">
        <f>IF(ISERROR(IF(B916=C916,I916/C916,(INT(I916/B916)+(((I916-B916*INT(I916/B916)))/C916)/100))),0,(IF(B916=C916,I916/C916,(INT(I916/B916)+(((I916-B916*INT(I916/B916)))/C916)/100))))</f>
        <v>0</v>
      </c>
      <c r="AU916" s="57">
        <f>IF(ISERROR(IF(B916=C916,J916/C916,(INT(J916/B916)+(((J916-B916*INT(J916/B916)))/C916)/100))),0,(IF(B916=C916,J916/C916,(INT(J916/B916)+(((J916-B916*INT(J916/B916)))/C916)/100))))</f>
        <v>0</v>
      </c>
      <c r="AV916" s="57">
        <f>IF(ISERROR(IF(B916=C916,K916/C916,IF((INT(K916/B916)+(((K916-B916*INT(K916/B916)))/C916)/100)&lt;0,(INT(K916/B916)+(((K916-B916*INT(K916/B916)))/C916)/100)+(1-(B916/C916/100)),(INT(K916/B916)+(((K916-B916*INT(K916/B916)))/C916)/100)))),0,IF(B916=C916,K916/C916,IF((INT(K916/B916)+(((K916-B916*INT(K916/B916)))/C916)/100)&lt;0,(INT(K916/B916)+(((K916-B916*INT(K916/B916)))/C916)/100)+(1-(B916/C916/100)),(INT(K916/B916)+(((K916-B916*INT(K916/B916)))/C916)/100))))</f>
        <v>0</v>
      </c>
      <c r="AW916" s="57">
        <f>IF(ISERROR(IF(B916=C916,L916/C916,(INT(L916/B916)+(((L916-B916*INT(L916/B916)))/C916)/100))),0,(IF(B916=C916,L916/C916,(INT(L916/B916)+(((L916-B916*INT(L916/B916)))/C916)/100))))</f>
        <v>0</v>
      </c>
      <c r="AX916" s="57">
        <f>IF(ISERROR(IF(B916=C916,M916/C916,(INT(M916/B916)+(((M916-B916*INT(M916/B916)))/C916)/100))),0,(IF(B916=C916,M916/C916,(INT(M916/B916)+(((M916-B916*INT(M916/B916)))/C916)/100))))</f>
        <v>0</v>
      </c>
      <c r="AY916" s="57">
        <f>IF(ISERROR(IF(B916=C916,N916/C916,IF((INT(N916/B916)+(((N916-B916*INT(N916/B916)))/C916)/100)&lt;0,(INT(N916/B916)+(((N916-B916*INT(N916/B916)))/C916)/100)+(1-(B916/C916/100)),(INT(N916/B916)+(((N916-B916*INT(N916/B916)))/C916)/100)))),0,IF(B916=C916,N916/C916,IF((INT(N916/B916)+(((N916-B916*INT(N916/B916)))/C916)/100)&lt;0,(INT(N916/B916)+(((N916-B916*INT(N916/B916)))/C916)/100)+(1-(B916/C916/100)),(INT(N916/B916)+(((N916-B916*INT(N916/B916)))/C916)/100))))</f>
        <v>0</v>
      </c>
      <c r="AZ916" s="57">
        <f>IF(ISERROR(IF(B916=C916,O916/C916,(INT(O916/B916)+(((O916-B916*INT(O916/B916)))/C916)/100))),0,(IF(B916=C916,O916/C916,(INT(O916/B916)+(((O916-B916*INT(O916/B916)))/C916)/100))))</f>
        <v>0</v>
      </c>
      <c r="BA916" s="57">
        <f>IF(ISERROR(IF(B916=C916,P916/C916,IF((INT(P916/B916)+(((P916-B916*INT(P916/B916)))/C916)/100)&lt;0,(INT(P916/B916)+(((P916-B916*INT(P916/B916)))/C916)/100)+(1-(B916/C916/100)),(INT(P916/B916)+(((P916-B916*INT(P916/B916)))/C916)/100)))),0,IF(B916=C916,P916/C916,IF((INT(P916/B916)+(((P916-B916*INT(P916/B916)))/C916)/100)&lt;0,(INT(P916/B916)+(((P916-B916*INT(P916/B916)))/C916)/100)+(1-(B916/C916/100)),(INT(P916/B916)+(((P916-B916*INT(P916/B916)))/C916)/100))))</f>
        <v>0</v>
      </c>
      <c r="BB916" s="28">
        <f>R916</f>
        <v>0</v>
      </c>
      <c r="BC916" s="28">
        <f>S916</f>
        <v>0</v>
      </c>
      <c r="BD916" s="28">
        <f>AF916</f>
        <v>525</v>
      </c>
      <c r="BE916" s="28">
        <f>T916</f>
        <v>0</v>
      </c>
      <c r="BG916" s="57">
        <f>IF(ISERROR(IF(B916=C916,V916/C916,(INT(V916/B916)+(((V916-B916*INT(V916/B916)))/C916)/100))),0,(IF(B916=C916,V916/C916,(INT(V916/B916)+(((V916-B916*INT(V916/B916)))/C916)/100))))</f>
        <v>0</v>
      </c>
      <c r="BH916" s="57">
        <f>IF(ISERROR(IF(B916=C916,W916/C916,(INT(W916/B916)+(((W916-B916*INT(W916/B916)))/C916)/100))),0,(IF(B916=C916,W916/C916,(INT(W916/B916)+(((W916-B916*INT(W916/B916)))/C916)/100))))</f>
        <v>0</v>
      </c>
      <c r="BI916" s="57">
        <f>IF(ISERROR(IF(B916=C916,X916/C916,(INT(X916/B916)+(((X916-B916*INT(X916/B916)))/C916)/100))),0,(IF(B916=C916,X916/C916,(INT(X916/B916)+(((X916-B916*INT(X916/B916)))/C916)/100))))</f>
        <v>0</v>
      </c>
      <c r="BJ916" s="57">
        <f>IF(ISERROR(IF(B916=C916,Y916/C916,(INT(Y916/B916)+(((Y916-B916*INT(Y916/B916)))/C916)/100))),0,(IF(B916=C916,Y916/C916,(INT(Y916/B916)+(((Y916-B916*INT(Y916/B916)))/C916)/100))))</f>
        <v>0</v>
      </c>
      <c r="BL916" s="57">
        <f>IF(ISERROR(IF(B916=C916,AA916/C916,(INT(AA916/B916)+(((AA916-B916*INT(AA916/B916)))/C916)/100))),0,(IF(B916=C916,AA916/C916,(INT(AA916/B916)+(((AA916-B916*INT(AA916/B916)))/C916)/100))))</f>
        <v>0</v>
      </c>
      <c r="BM916" s="57">
        <f>IF(ISERROR(IF(B916=C916,AB916/C916,(INT(AB916/B916)+(((AB916-B916*INT(AB916/B916)))/C916)/100))),0,(IF(B916=C916,AB916/C916,(INT(AB916/B916)+(((AB916-B916*INT(AB916/B916)))/C916)/100))))</f>
        <v>0</v>
      </c>
      <c r="BN916" s="57">
        <f>IF(ISERROR(IF(B916=C916,AC916/C916,(INT(AC916/B916)+(((AC916-B916*INT(AC916/B916)))/C916)/100))),0,(IF(B916=C916,AC916/C916,(INT(AC916/B916)+(((AC916-B916*INT(AC916/B916)))/C916)/100))))</f>
        <v>0</v>
      </c>
      <c r="BO916" s="57">
        <f>IF(ISERROR(IF(B916=C916,AD916/C916,(INT(AD916/B916)+(((AD916-B916*INT(AD916/B916)))/C916)/100))),0,(IF(B916=C916,AD916/C916,(INT(AD916/B916)+(((AD916-B916*INT(AD916/B916)))/C916)/100))))</f>
        <v>0</v>
      </c>
      <c r="BQ916" s="124" t="s">
        <v>81</v>
      </c>
    </row>
    <row r="917" spans="1:69" hidden="1" x14ac:dyDescent="0.35">
      <c r="A917" s="134" t="s">
        <v>89</v>
      </c>
      <c r="B917" s="113">
        <v>700</v>
      </c>
      <c r="C917" s="113">
        <v>30</v>
      </c>
      <c r="D917" s="28">
        <f>SUM(AA917:AD917)</f>
        <v>0</v>
      </c>
      <c r="E917" s="125">
        <v>0</v>
      </c>
      <c r="F917" s="113">
        <v>0</v>
      </c>
      <c r="G917" s="28">
        <f>SUM(D917:F917)</f>
        <v>0</v>
      </c>
      <c r="H917" s="125">
        <v>0</v>
      </c>
      <c r="I917" s="125">
        <v>0</v>
      </c>
      <c r="J917" s="125">
        <v>0</v>
      </c>
      <c r="K917" s="125">
        <v>0</v>
      </c>
      <c r="L917" s="113">
        <v>0</v>
      </c>
      <c r="M917" s="113">
        <v>0</v>
      </c>
      <c r="N917" s="28">
        <f>G917-SUM(H917:M917)</f>
        <v>0</v>
      </c>
      <c r="O917" s="28">
        <f>SUM(V917:Y917)</f>
        <v>0</v>
      </c>
      <c r="P917" s="28">
        <f>O917-N917</f>
        <v>0</v>
      </c>
      <c r="Q917" s="61" t="str">
        <f>IF(ISERROR(P917/SUM(H917:L917)),"",P917/SUM(H917:L917))</f>
        <v/>
      </c>
      <c r="R917" s="113">
        <v>0</v>
      </c>
      <c r="S917" s="28">
        <f>IF(ISERROR(P917/C917*R917),0,(P917/C917*R917))</f>
        <v>0</v>
      </c>
      <c r="T917" s="60">
        <f>IF(ISERROR(P917/B917*AF917),0,(P917/B917*AF917))</f>
        <v>0</v>
      </c>
      <c r="V917" s="113">
        <v>0</v>
      </c>
      <c r="W917" s="113">
        <v>0</v>
      </c>
      <c r="X917" s="113">
        <v>0</v>
      </c>
      <c r="Y917" s="113">
        <v>0</v>
      </c>
      <c r="AA917" s="113">
        <v>0</v>
      </c>
      <c r="AB917" s="113">
        <v>0</v>
      </c>
      <c r="AC917" s="113">
        <v>0</v>
      </c>
      <c r="AD917" s="113">
        <v>0</v>
      </c>
      <c r="AF917" s="54">
        <v>525</v>
      </c>
      <c r="AG917" s="28">
        <f>G917-O917</f>
        <v>0</v>
      </c>
      <c r="AH917" s="58">
        <f>IF(ISERROR(AG917/B917*AF917),0,(AG917/B917*AF917))</f>
        <v>0</v>
      </c>
      <c r="AI917" s="28">
        <f>SUM(H917:M917)</f>
        <v>0</v>
      </c>
      <c r="AJ917" s="28">
        <f>IF(ISERROR(AI917/B917*AF917),0,(AI917/B917*AF917))</f>
        <v>0</v>
      </c>
      <c r="AK917" s="58">
        <f>IF(ISERROR(O917/B917*AF917),0,(O917/B917*AF917))</f>
        <v>0</v>
      </c>
      <c r="AL917" s="28">
        <f>IF(ISERROR(H917/B917*AF917),0,(H917/B917*AF917))</f>
        <v>0</v>
      </c>
      <c r="AN917" s="51" t="str">
        <f>A917</f>
        <v xml:space="preserve">Monin Naisettle Hazelnut </v>
      </c>
      <c r="AO917" s="57">
        <f>IF(ISERROR(IF(B917=C917,D917/C917,(INT(D917/B917)+(((D917-B917*INT(D917/B917)))/C917)/100))),0,(IF(B917=C917,D917/C917,(INT(D917/B917)+(((D917-B917*INT(D917/B917)))/C917)/100))))</f>
        <v>0</v>
      </c>
      <c r="AP917" s="57">
        <f>IF(ISERROR(IF(B917=C917,E917/C917,(INT(E917/B917)+(((E917-B917*INT(E917/B917)))/C917)/100))),0,(IF(B917=C917,E917/C917,(INT(E917/B917)+(((E917-B917*INT(E917/B917)))/C917)/100))))</f>
        <v>0</v>
      </c>
      <c r="AQ917" s="57">
        <f>IF(ISERROR(IF(B917=C917,F917/C917,IF((INT(F917/B917)+(((F917-B917*INT(F917/B917)))/C917)/100)&lt;0,(INT(F917/B917)+(((F917-B917*INT(F917/B917)))/C917)/100)+(1-(B917/C917/100)),(INT(F917/B917)+(((F917-B917*INT(F917/B917)))/C917)/100)))),0,IF(B917=C917,F917/C917,IF((INT(F917/B917)+(((F917-B917*INT(F917/B917)))/C917)/100)&lt;0,(INT(F917/B917)+(((F917-B917*INT(F917/B917)))/C917)/100)+(1-(B917/C917/100)),(INT(F917/B917)+(((F917-B917*INT(F917/B917)))/C917)/100))))</f>
        <v>0</v>
      </c>
      <c r="AR917" s="57">
        <f>IF(ISERROR(IF(B917=C917,G917/C917,(INT(G917/B917)+(((G917-B917*INT(G917/B917)))/C917)/100))),0,(IF(B917=C917,G917/C917,(INT(G917/B917)+(((G917-B917*INT(G917/B917)))/C917)/100))))</f>
        <v>0</v>
      </c>
      <c r="AS917" s="57">
        <f>IF(ISERROR(IF(B917=C917,H917/C917,(INT(H917/B917)+(((H917-B917*INT(H917/B917)))/C917)/100))),0,(IF(B917=C917,H917/C917,(INT(H917/B917)+(((H917-B917*INT(H917/B917)))/C917)/100))))</f>
        <v>0</v>
      </c>
      <c r="AT917" s="57">
        <f>IF(ISERROR(IF(B917=C917,I917/C917,(INT(I917/B917)+(((I917-B917*INT(I917/B917)))/C917)/100))),0,(IF(B917=C917,I917/C917,(INT(I917/B917)+(((I917-B917*INT(I917/B917)))/C917)/100))))</f>
        <v>0</v>
      </c>
      <c r="AU917" s="57">
        <f>IF(ISERROR(IF(B917=C917,J917/C917,(INT(J917/B917)+(((J917-B917*INT(J917/B917)))/C917)/100))),0,(IF(B917=C917,J917/C917,(INT(J917/B917)+(((J917-B917*INT(J917/B917)))/C917)/100))))</f>
        <v>0</v>
      </c>
      <c r="AV917" s="57">
        <f>IF(ISERROR(IF(B917=C917,K917/C917,IF((INT(K917/B917)+(((K917-B917*INT(K917/B917)))/C917)/100)&lt;0,(INT(K917/B917)+(((K917-B917*INT(K917/B917)))/C917)/100)+(1-(B917/C917/100)),(INT(K917/B917)+(((K917-B917*INT(K917/B917)))/C917)/100)))),0,IF(B917=C917,K917/C917,IF((INT(K917/B917)+(((K917-B917*INT(K917/B917)))/C917)/100)&lt;0,(INT(K917/B917)+(((K917-B917*INT(K917/B917)))/C917)/100)+(1-(B917/C917/100)),(INT(K917/B917)+(((K917-B917*INT(K917/B917)))/C917)/100))))</f>
        <v>0</v>
      </c>
      <c r="AW917" s="57">
        <f>IF(ISERROR(IF(B917=C917,L917/C917,(INT(L917/B917)+(((L917-B917*INT(L917/B917)))/C917)/100))),0,(IF(B917=C917,L917/C917,(INT(L917/B917)+(((L917-B917*INT(L917/B917)))/C917)/100))))</f>
        <v>0</v>
      </c>
      <c r="AX917" s="57">
        <f>IF(ISERROR(IF(B917=C917,M917/C917,(INT(M917/B917)+(((M917-B917*INT(M917/B917)))/C917)/100))),0,(IF(B917=C917,M917/C917,(INT(M917/B917)+(((M917-B917*INT(M917/B917)))/C917)/100))))</f>
        <v>0</v>
      </c>
      <c r="AY917" s="57">
        <f>IF(ISERROR(IF(B917=C917,N917/C917,IF((INT(N917/B917)+(((N917-B917*INT(N917/B917)))/C917)/100)&lt;0,(INT(N917/B917)+(((N917-B917*INT(N917/B917)))/C917)/100)+(1-(B917/C917/100)),(INT(N917/B917)+(((N917-B917*INT(N917/B917)))/C917)/100)))),0,IF(B917=C917,N917/C917,IF((INT(N917/B917)+(((N917-B917*INT(N917/B917)))/C917)/100)&lt;0,(INT(N917/B917)+(((N917-B917*INT(N917/B917)))/C917)/100)+(1-(B917/C917/100)),(INT(N917/B917)+(((N917-B917*INT(N917/B917)))/C917)/100))))</f>
        <v>0</v>
      </c>
      <c r="AZ917" s="57">
        <f>IF(ISERROR(IF(B917=C917,O917/C917,(INT(O917/B917)+(((O917-B917*INT(O917/B917)))/C917)/100))),0,(IF(B917=C917,O917/C917,(INT(O917/B917)+(((O917-B917*INT(O917/B917)))/C917)/100))))</f>
        <v>0</v>
      </c>
      <c r="BA917" s="57">
        <f>IF(ISERROR(IF(B917=C917,P917/C917,IF((INT(P917/B917)+(((P917-B917*INT(P917/B917)))/C917)/100)&lt;0,(INT(P917/B917)+(((P917-B917*INT(P917/B917)))/C917)/100)+(1-(B917/C917/100)),(INT(P917/B917)+(((P917-B917*INT(P917/B917)))/C917)/100)))),0,IF(B917=C917,P917/C917,IF((INT(P917/B917)+(((P917-B917*INT(P917/B917)))/C917)/100)&lt;0,(INT(P917/B917)+(((P917-B917*INT(P917/B917)))/C917)/100)+(1-(B917/C917/100)),(INT(P917/B917)+(((P917-B917*INT(P917/B917)))/C917)/100))))</f>
        <v>0</v>
      </c>
      <c r="BB917" s="28">
        <f>R917</f>
        <v>0</v>
      </c>
      <c r="BC917" s="28">
        <f>S917</f>
        <v>0</v>
      </c>
      <c r="BD917" s="28">
        <f>AF917</f>
        <v>525</v>
      </c>
      <c r="BE917" s="28">
        <f>T917</f>
        <v>0</v>
      </c>
      <c r="BG917" s="57">
        <f>IF(ISERROR(IF(B917=C917,V917/C917,(INT(V917/B917)+(((V917-B917*INT(V917/B917)))/C917)/100))),0,(IF(B917=C917,V917/C917,(INT(V917/B917)+(((V917-B917*INT(V917/B917)))/C917)/100))))</f>
        <v>0</v>
      </c>
      <c r="BH917" s="57">
        <f>IF(ISERROR(IF(B917=C917,W917/C917,(INT(W917/B917)+(((W917-B917*INT(W917/B917)))/C917)/100))),0,(IF(B917=C917,W917/C917,(INT(W917/B917)+(((W917-B917*INT(W917/B917)))/C917)/100))))</f>
        <v>0</v>
      </c>
      <c r="BI917" s="57">
        <f>IF(ISERROR(IF(B917=C917,X917/C917,(INT(X917/B917)+(((X917-B917*INT(X917/B917)))/C917)/100))),0,(IF(B917=C917,X917/C917,(INT(X917/B917)+(((X917-B917*INT(X917/B917)))/C917)/100))))</f>
        <v>0</v>
      </c>
      <c r="BJ917" s="57">
        <f>IF(ISERROR(IF(B917=C917,Y917/C917,(INT(Y917/B917)+(((Y917-B917*INT(Y917/B917)))/C917)/100))),0,(IF(B917=C917,Y917/C917,(INT(Y917/B917)+(((Y917-B917*INT(Y917/B917)))/C917)/100))))</f>
        <v>0</v>
      </c>
      <c r="BL917" s="57">
        <f>IF(ISERROR(IF(B917=C917,AA917/C917,(INT(AA917/B917)+(((AA917-B917*INT(AA917/B917)))/C917)/100))),0,(IF(B917=C917,AA917/C917,(INT(AA917/B917)+(((AA917-B917*INT(AA917/B917)))/C917)/100))))</f>
        <v>0</v>
      </c>
      <c r="BM917" s="57">
        <f>IF(ISERROR(IF(B917=C917,AB917/C917,(INT(AB917/B917)+(((AB917-B917*INT(AB917/B917)))/C917)/100))),0,(IF(B917=C917,AB917/C917,(INT(AB917/B917)+(((AB917-B917*INT(AB917/B917)))/C917)/100))))</f>
        <v>0</v>
      </c>
      <c r="BN917" s="57">
        <f>IF(ISERROR(IF(B917=C917,AC917/C917,(INT(AC917/B917)+(((AC917-B917*INT(AC917/B917)))/C917)/100))),0,(IF(B917=C917,AC917/C917,(INT(AC917/B917)+(((AC917-B917*INT(AC917/B917)))/C917)/100))))</f>
        <v>0</v>
      </c>
      <c r="BO917" s="57">
        <f>IF(ISERROR(IF(B917=C917,AD917/C917,(INT(AD917/B917)+(((AD917-B917*INT(AD917/B917)))/C917)/100))),0,(IF(B917=C917,AD917/C917,(INT(AD917/B917)+(((AD917-B917*INT(AD917/B917)))/C917)/100))))</f>
        <v>0</v>
      </c>
      <c r="BQ917" s="124" t="s">
        <v>81</v>
      </c>
    </row>
    <row r="918" spans="1:69" hidden="1" x14ac:dyDescent="0.35">
      <c r="A918" s="134" t="s">
        <v>88</v>
      </c>
      <c r="B918" s="113">
        <v>700</v>
      </c>
      <c r="C918" s="113">
        <v>30</v>
      </c>
      <c r="D918" s="28">
        <f>SUM(AA918:AD918)</f>
        <v>0</v>
      </c>
      <c r="E918" s="125">
        <v>0</v>
      </c>
      <c r="F918" s="113">
        <v>0</v>
      </c>
      <c r="G918" s="28">
        <f>SUM(D918:F918)</f>
        <v>0</v>
      </c>
      <c r="H918" s="125">
        <v>0</v>
      </c>
      <c r="I918" s="125">
        <v>0</v>
      </c>
      <c r="J918" s="125">
        <v>0</v>
      </c>
      <c r="K918" s="125">
        <v>0</v>
      </c>
      <c r="L918" s="113">
        <v>0</v>
      </c>
      <c r="M918" s="113">
        <v>0</v>
      </c>
      <c r="N918" s="28">
        <f>G918-SUM(H918:M918)</f>
        <v>0</v>
      </c>
      <c r="O918" s="28">
        <f>SUM(V918:Y918)</f>
        <v>0</v>
      </c>
      <c r="P918" s="28">
        <f>O918-N918</f>
        <v>0</v>
      </c>
      <c r="Q918" s="61" t="str">
        <f>IF(ISERROR(P918/SUM(H918:L918)),"",P918/SUM(H918:L918))</f>
        <v/>
      </c>
      <c r="R918" s="113">
        <v>0</v>
      </c>
      <c r="S918" s="28">
        <f>IF(ISERROR(P918/C918*R918),0,(P918/C918*R918))</f>
        <v>0</v>
      </c>
      <c r="T918" s="60">
        <f>IF(ISERROR(P918/B918*AF918),0,(P918/B918*AF918))</f>
        <v>0</v>
      </c>
      <c r="V918" s="113">
        <v>0</v>
      </c>
      <c r="W918" s="113">
        <v>0</v>
      </c>
      <c r="X918" s="113">
        <v>0</v>
      </c>
      <c r="Y918" s="113">
        <v>0</v>
      </c>
      <c r="AA918" s="113">
        <v>0</v>
      </c>
      <c r="AB918" s="113">
        <v>0</v>
      </c>
      <c r="AC918" s="113">
        <v>0</v>
      </c>
      <c r="AD918" s="113">
        <v>0</v>
      </c>
      <c r="AF918" s="54">
        <v>525</v>
      </c>
      <c r="AG918" s="28">
        <f>G918-O918</f>
        <v>0</v>
      </c>
      <c r="AH918" s="58">
        <f>IF(ISERROR(AG918/B918*AF918),0,(AG918/B918*AF918))</f>
        <v>0</v>
      </c>
      <c r="AI918" s="28">
        <f>SUM(H918:M918)</f>
        <v>0</v>
      </c>
      <c r="AJ918" s="28">
        <f>IF(ISERROR(AI918/B918*AF918),0,(AI918/B918*AF918))</f>
        <v>0</v>
      </c>
      <c r="AK918" s="58">
        <f>IF(ISERROR(O918/B918*AF918),0,(O918/B918*AF918))</f>
        <v>0</v>
      </c>
      <c r="AL918" s="28">
        <f>IF(ISERROR(H918/B918*AF918),0,(H918/B918*AF918))</f>
        <v>0</v>
      </c>
      <c r="AN918" s="51" t="str">
        <f>A918</f>
        <v xml:space="preserve">Monin Passion Fruit </v>
      </c>
      <c r="AO918" s="57">
        <f>IF(ISERROR(IF(B918=C918,D918/C918,(INT(D918/B918)+(((D918-B918*INT(D918/B918)))/C918)/100))),0,(IF(B918=C918,D918/C918,(INT(D918/B918)+(((D918-B918*INT(D918/B918)))/C918)/100))))</f>
        <v>0</v>
      </c>
      <c r="AP918" s="57">
        <f>IF(ISERROR(IF(B918=C918,E918/C918,(INT(E918/B918)+(((E918-B918*INT(E918/B918)))/C918)/100))),0,(IF(B918=C918,E918/C918,(INT(E918/B918)+(((E918-B918*INT(E918/B918)))/C918)/100))))</f>
        <v>0</v>
      </c>
      <c r="AQ918" s="57">
        <f>IF(ISERROR(IF(B918=C918,F918/C918,IF((INT(F918/B918)+(((F918-B918*INT(F918/B918)))/C918)/100)&lt;0,(INT(F918/B918)+(((F918-B918*INT(F918/B918)))/C918)/100)+(1-(B918/C918/100)),(INT(F918/B918)+(((F918-B918*INT(F918/B918)))/C918)/100)))),0,IF(B918=C918,F918/C918,IF((INT(F918/B918)+(((F918-B918*INT(F918/B918)))/C918)/100)&lt;0,(INT(F918/B918)+(((F918-B918*INT(F918/B918)))/C918)/100)+(1-(B918/C918/100)),(INT(F918/B918)+(((F918-B918*INT(F918/B918)))/C918)/100))))</f>
        <v>0</v>
      </c>
      <c r="AR918" s="57">
        <f>IF(ISERROR(IF(B918=C918,G918/C918,(INT(G918/B918)+(((G918-B918*INT(G918/B918)))/C918)/100))),0,(IF(B918=C918,G918/C918,(INT(G918/B918)+(((G918-B918*INT(G918/B918)))/C918)/100))))</f>
        <v>0</v>
      </c>
      <c r="AS918" s="57">
        <f>IF(ISERROR(IF(B918=C918,H918/C918,(INT(H918/B918)+(((H918-B918*INT(H918/B918)))/C918)/100))),0,(IF(B918=C918,H918/C918,(INT(H918/B918)+(((H918-B918*INT(H918/B918)))/C918)/100))))</f>
        <v>0</v>
      </c>
      <c r="AT918" s="57">
        <f>IF(ISERROR(IF(B918=C918,I918/C918,(INT(I918/B918)+(((I918-B918*INT(I918/B918)))/C918)/100))),0,(IF(B918=C918,I918/C918,(INT(I918/B918)+(((I918-B918*INT(I918/B918)))/C918)/100))))</f>
        <v>0</v>
      </c>
      <c r="AU918" s="57">
        <f>IF(ISERROR(IF(B918=C918,J918/C918,(INT(J918/B918)+(((J918-B918*INT(J918/B918)))/C918)/100))),0,(IF(B918=C918,J918/C918,(INT(J918/B918)+(((J918-B918*INT(J918/B918)))/C918)/100))))</f>
        <v>0</v>
      </c>
      <c r="AV918" s="57">
        <f>IF(ISERROR(IF(B918=C918,K918/C918,IF((INT(K918/B918)+(((K918-B918*INT(K918/B918)))/C918)/100)&lt;0,(INT(K918/B918)+(((K918-B918*INT(K918/B918)))/C918)/100)+(1-(B918/C918/100)),(INT(K918/B918)+(((K918-B918*INT(K918/B918)))/C918)/100)))),0,IF(B918=C918,K918/C918,IF((INT(K918/B918)+(((K918-B918*INT(K918/B918)))/C918)/100)&lt;0,(INT(K918/B918)+(((K918-B918*INT(K918/B918)))/C918)/100)+(1-(B918/C918/100)),(INT(K918/B918)+(((K918-B918*INT(K918/B918)))/C918)/100))))</f>
        <v>0</v>
      </c>
      <c r="AW918" s="57">
        <f>IF(ISERROR(IF(B918=C918,L918/C918,(INT(L918/B918)+(((L918-B918*INT(L918/B918)))/C918)/100))),0,(IF(B918=C918,L918/C918,(INT(L918/B918)+(((L918-B918*INT(L918/B918)))/C918)/100))))</f>
        <v>0</v>
      </c>
      <c r="AX918" s="57">
        <f>IF(ISERROR(IF(B918=C918,M918/C918,(INT(M918/B918)+(((M918-B918*INT(M918/B918)))/C918)/100))),0,(IF(B918=C918,M918/C918,(INT(M918/B918)+(((M918-B918*INT(M918/B918)))/C918)/100))))</f>
        <v>0</v>
      </c>
      <c r="AY918" s="57">
        <f>IF(ISERROR(IF(B918=C918,N918/C918,IF((INT(N918/B918)+(((N918-B918*INT(N918/B918)))/C918)/100)&lt;0,(INT(N918/B918)+(((N918-B918*INT(N918/B918)))/C918)/100)+(1-(B918/C918/100)),(INT(N918/B918)+(((N918-B918*INT(N918/B918)))/C918)/100)))),0,IF(B918=C918,N918/C918,IF((INT(N918/B918)+(((N918-B918*INT(N918/B918)))/C918)/100)&lt;0,(INT(N918/B918)+(((N918-B918*INT(N918/B918)))/C918)/100)+(1-(B918/C918/100)),(INT(N918/B918)+(((N918-B918*INT(N918/B918)))/C918)/100))))</f>
        <v>0</v>
      </c>
      <c r="AZ918" s="57">
        <f>IF(ISERROR(IF(B918=C918,O918/C918,(INT(O918/B918)+(((O918-B918*INT(O918/B918)))/C918)/100))),0,(IF(B918=C918,O918/C918,(INT(O918/B918)+(((O918-B918*INT(O918/B918)))/C918)/100))))</f>
        <v>0</v>
      </c>
      <c r="BA918" s="57">
        <f>IF(ISERROR(IF(B918=C918,P918/C918,IF((INT(P918/B918)+(((P918-B918*INT(P918/B918)))/C918)/100)&lt;0,(INT(P918/B918)+(((P918-B918*INT(P918/B918)))/C918)/100)+(1-(B918/C918/100)),(INT(P918/B918)+(((P918-B918*INT(P918/B918)))/C918)/100)))),0,IF(B918=C918,P918/C918,IF((INT(P918/B918)+(((P918-B918*INT(P918/B918)))/C918)/100)&lt;0,(INT(P918/B918)+(((P918-B918*INT(P918/B918)))/C918)/100)+(1-(B918/C918/100)),(INT(P918/B918)+(((P918-B918*INT(P918/B918)))/C918)/100))))</f>
        <v>0</v>
      </c>
      <c r="BB918" s="28">
        <f>R918</f>
        <v>0</v>
      </c>
      <c r="BC918" s="28">
        <f>S918</f>
        <v>0</v>
      </c>
      <c r="BD918" s="28">
        <f>AF918</f>
        <v>525</v>
      </c>
      <c r="BE918" s="28">
        <f>T918</f>
        <v>0</v>
      </c>
      <c r="BG918" s="57">
        <f>IF(ISERROR(IF(B918=C918,V918/C918,(INT(V918/B918)+(((V918-B918*INT(V918/B918)))/C918)/100))),0,(IF(B918=C918,V918/C918,(INT(V918/B918)+(((V918-B918*INT(V918/B918)))/C918)/100))))</f>
        <v>0</v>
      </c>
      <c r="BH918" s="57">
        <f>IF(ISERROR(IF(B918=C918,W918/C918,(INT(W918/B918)+(((W918-B918*INT(W918/B918)))/C918)/100))),0,(IF(B918=C918,W918/C918,(INT(W918/B918)+(((W918-B918*INT(W918/B918)))/C918)/100))))</f>
        <v>0</v>
      </c>
      <c r="BI918" s="57">
        <f>IF(ISERROR(IF(B918=C918,X918/C918,(INT(X918/B918)+(((X918-B918*INT(X918/B918)))/C918)/100))),0,(IF(B918=C918,X918/C918,(INT(X918/B918)+(((X918-B918*INT(X918/B918)))/C918)/100))))</f>
        <v>0</v>
      </c>
      <c r="BJ918" s="57">
        <f>IF(ISERROR(IF(B918=C918,Y918/C918,(INT(Y918/B918)+(((Y918-B918*INT(Y918/B918)))/C918)/100))),0,(IF(B918=C918,Y918/C918,(INT(Y918/B918)+(((Y918-B918*INT(Y918/B918)))/C918)/100))))</f>
        <v>0</v>
      </c>
      <c r="BL918" s="57">
        <f>IF(ISERROR(IF(B918=C918,AA918/C918,(INT(AA918/B918)+(((AA918-B918*INT(AA918/B918)))/C918)/100))),0,(IF(B918=C918,AA918/C918,(INT(AA918/B918)+(((AA918-B918*INT(AA918/B918)))/C918)/100))))</f>
        <v>0</v>
      </c>
      <c r="BM918" s="57">
        <f>IF(ISERROR(IF(B918=C918,AB918/C918,(INT(AB918/B918)+(((AB918-B918*INT(AB918/B918)))/C918)/100))),0,(IF(B918=C918,AB918/C918,(INT(AB918/B918)+(((AB918-B918*INT(AB918/B918)))/C918)/100))))</f>
        <v>0</v>
      </c>
      <c r="BN918" s="57">
        <f>IF(ISERROR(IF(B918=C918,AC918/C918,(INT(AC918/B918)+(((AC918-B918*INT(AC918/B918)))/C918)/100))),0,(IF(B918=C918,AC918/C918,(INT(AC918/B918)+(((AC918-B918*INT(AC918/B918)))/C918)/100))))</f>
        <v>0</v>
      </c>
      <c r="BO918" s="57">
        <f>IF(ISERROR(IF(B918=C918,AD918/C918,(INT(AD918/B918)+(((AD918-B918*INT(AD918/B918)))/C918)/100))),0,(IF(B918=C918,AD918/C918,(INT(AD918/B918)+(((AD918-B918*INT(AD918/B918)))/C918)/100))))</f>
        <v>0</v>
      </c>
      <c r="BQ918" s="124" t="s">
        <v>81</v>
      </c>
    </row>
    <row r="919" spans="1:69" hidden="1" x14ac:dyDescent="0.35">
      <c r="A919" s="134" t="s">
        <v>87</v>
      </c>
      <c r="B919" s="113">
        <v>700</v>
      </c>
      <c r="C919" s="113">
        <v>30</v>
      </c>
      <c r="D919" s="28">
        <f>SUM(AA919:AD919)</f>
        <v>0</v>
      </c>
      <c r="E919" s="125">
        <v>0</v>
      </c>
      <c r="F919" s="113">
        <v>0</v>
      </c>
      <c r="G919" s="28">
        <f>SUM(D919:F919)</f>
        <v>0</v>
      </c>
      <c r="H919" s="125">
        <v>0</v>
      </c>
      <c r="I919" s="125">
        <v>0</v>
      </c>
      <c r="J919" s="125">
        <v>0</v>
      </c>
      <c r="K919" s="125">
        <v>0</v>
      </c>
      <c r="L919" s="113">
        <v>0</v>
      </c>
      <c r="M919" s="113">
        <v>0</v>
      </c>
      <c r="N919" s="28">
        <f>G919-SUM(H919:M919)</f>
        <v>0</v>
      </c>
      <c r="O919" s="28">
        <f>SUM(V919:Y919)</f>
        <v>0</v>
      </c>
      <c r="P919" s="28">
        <f>O919-N919</f>
        <v>0</v>
      </c>
      <c r="Q919" s="61" t="str">
        <f>IF(ISERROR(P919/SUM(H919:L919)),"",P919/SUM(H919:L919))</f>
        <v/>
      </c>
      <c r="R919" s="113">
        <v>0</v>
      </c>
      <c r="S919" s="28">
        <f>IF(ISERROR(P919/C919*R919),0,(P919/C919*R919))</f>
        <v>0</v>
      </c>
      <c r="T919" s="60">
        <f>IF(ISERROR(P919/B919*AF919),0,(P919/B919*AF919))</f>
        <v>0</v>
      </c>
      <c r="V919" s="113">
        <v>0</v>
      </c>
      <c r="W919" s="113">
        <v>0</v>
      </c>
      <c r="X919" s="113">
        <v>0</v>
      </c>
      <c r="Y919" s="113">
        <v>0</v>
      </c>
      <c r="AA919" s="113">
        <v>0</v>
      </c>
      <c r="AB919" s="113">
        <v>0</v>
      </c>
      <c r="AC919" s="113">
        <v>0</v>
      </c>
      <c r="AD919" s="113">
        <v>0</v>
      </c>
      <c r="AF919" s="54">
        <v>525</v>
      </c>
      <c r="AG919" s="28">
        <f>G919-O919</f>
        <v>0</v>
      </c>
      <c r="AH919" s="58">
        <f>IF(ISERROR(AG919/B919*AF919),0,(AG919/B919*AF919))</f>
        <v>0</v>
      </c>
      <c r="AI919" s="28">
        <f>SUM(H919:M919)</f>
        <v>0</v>
      </c>
      <c r="AJ919" s="28">
        <f>IF(ISERROR(AI919/B919*AF919),0,(AI919/B919*AF919))</f>
        <v>0</v>
      </c>
      <c r="AK919" s="58">
        <f>IF(ISERROR(O919/B919*AF919),0,(O919/B919*AF919))</f>
        <v>0</v>
      </c>
      <c r="AL919" s="28">
        <f>IF(ISERROR(H919/B919*AF919),0,(H919/B919*AF919))</f>
        <v>0</v>
      </c>
      <c r="AN919" s="51" t="str">
        <f>A919</f>
        <v>Monin Peach</v>
      </c>
      <c r="AO919" s="57">
        <f>IF(ISERROR(IF(B919=C919,D919/C919,(INT(D919/B919)+(((D919-B919*INT(D919/B919)))/C919)/100))),0,(IF(B919=C919,D919/C919,(INT(D919/B919)+(((D919-B919*INT(D919/B919)))/C919)/100))))</f>
        <v>0</v>
      </c>
      <c r="AP919" s="57">
        <f>IF(ISERROR(IF(B919=C919,E919/C919,(INT(E919/B919)+(((E919-B919*INT(E919/B919)))/C919)/100))),0,(IF(B919=C919,E919/C919,(INT(E919/B919)+(((E919-B919*INT(E919/B919)))/C919)/100))))</f>
        <v>0</v>
      </c>
      <c r="AQ919" s="57">
        <f>IF(ISERROR(IF(B919=C919,F919/C919,IF((INT(F919/B919)+(((F919-B919*INT(F919/B919)))/C919)/100)&lt;0,(INT(F919/B919)+(((F919-B919*INT(F919/B919)))/C919)/100)+(1-(B919/C919/100)),(INT(F919/B919)+(((F919-B919*INT(F919/B919)))/C919)/100)))),0,IF(B919=C919,F919/C919,IF((INT(F919/B919)+(((F919-B919*INT(F919/B919)))/C919)/100)&lt;0,(INT(F919/B919)+(((F919-B919*INT(F919/B919)))/C919)/100)+(1-(B919/C919/100)),(INT(F919/B919)+(((F919-B919*INT(F919/B919)))/C919)/100))))</f>
        <v>0</v>
      </c>
      <c r="AR919" s="57">
        <f>IF(ISERROR(IF(B919=C919,G919/C919,(INT(G919/B919)+(((G919-B919*INT(G919/B919)))/C919)/100))),0,(IF(B919=C919,G919/C919,(INT(G919/B919)+(((G919-B919*INT(G919/B919)))/C919)/100))))</f>
        <v>0</v>
      </c>
      <c r="AS919" s="57">
        <f>IF(ISERROR(IF(B919=C919,H919/C919,(INT(H919/B919)+(((H919-B919*INT(H919/B919)))/C919)/100))),0,(IF(B919=C919,H919/C919,(INT(H919/B919)+(((H919-B919*INT(H919/B919)))/C919)/100))))</f>
        <v>0</v>
      </c>
      <c r="AT919" s="57">
        <f>IF(ISERROR(IF(B919=C919,I919/C919,(INT(I919/B919)+(((I919-B919*INT(I919/B919)))/C919)/100))),0,(IF(B919=C919,I919/C919,(INT(I919/B919)+(((I919-B919*INT(I919/B919)))/C919)/100))))</f>
        <v>0</v>
      </c>
      <c r="AU919" s="57">
        <f>IF(ISERROR(IF(B919=C919,J919/C919,(INT(J919/B919)+(((J919-B919*INT(J919/B919)))/C919)/100))),0,(IF(B919=C919,J919/C919,(INT(J919/B919)+(((J919-B919*INT(J919/B919)))/C919)/100))))</f>
        <v>0</v>
      </c>
      <c r="AV919" s="57">
        <f>IF(ISERROR(IF(B919=C919,K919/C919,IF((INT(K919/B919)+(((K919-B919*INT(K919/B919)))/C919)/100)&lt;0,(INT(K919/B919)+(((K919-B919*INT(K919/B919)))/C919)/100)+(1-(B919/C919/100)),(INT(K919/B919)+(((K919-B919*INT(K919/B919)))/C919)/100)))),0,IF(B919=C919,K919/C919,IF((INT(K919/B919)+(((K919-B919*INT(K919/B919)))/C919)/100)&lt;0,(INT(K919/B919)+(((K919-B919*INT(K919/B919)))/C919)/100)+(1-(B919/C919/100)),(INT(K919/B919)+(((K919-B919*INT(K919/B919)))/C919)/100))))</f>
        <v>0</v>
      </c>
      <c r="AW919" s="57">
        <f>IF(ISERROR(IF(B919=C919,L919/C919,(INT(L919/B919)+(((L919-B919*INT(L919/B919)))/C919)/100))),0,(IF(B919=C919,L919/C919,(INT(L919/B919)+(((L919-B919*INT(L919/B919)))/C919)/100))))</f>
        <v>0</v>
      </c>
      <c r="AX919" s="57">
        <f>IF(ISERROR(IF(B919=C919,M919/C919,(INT(M919/B919)+(((M919-B919*INT(M919/B919)))/C919)/100))),0,(IF(B919=C919,M919/C919,(INT(M919/B919)+(((M919-B919*INT(M919/B919)))/C919)/100))))</f>
        <v>0</v>
      </c>
      <c r="AY919" s="57">
        <f>IF(ISERROR(IF(B919=C919,N919/C919,IF((INT(N919/B919)+(((N919-B919*INT(N919/B919)))/C919)/100)&lt;0,(INT(N919/B919)+(((N919-B919*INT(N919/B919)))/C919)/100)+(1-(B919/C919/100)),(INT(N919/B919)+(((N919-B919*INT(N919/B919)))/C919)/100)))),0,IF(B919=C919,N919/C919,IF((INT(N919/B919)+(((N919-B919*INT(N919/B919)))/C919)/100)&lt;0,(INT(N919/B919)+(((N919-B919*INT(N919/B919)))/C919)/100)+(1-(B919/C919/100)),(INT(N919/B919)+(((N919-B919*INT(N919/B919)))/C919)/100))))</f>
        <v>0</v>
      </c>
      <c r="AZ919" s="57">
        <f>IF(ISERROR(IF(B919=C919,O919/C919,(INT(O919/B919)+(((O919-B919*INT(O919/B919)))/C919)/100))),0,(IF(B919=C919,O919/C919,(INT(O919/B919)+(((O919-B919*INT(O919/B919)))/C919)/100))))</f>
        <v>0</v>
      </c>
      <c r="BA919" s="57">
        <f>IF(ISERROR(IF(B919=C919,P919/C919,IF((INT(P919/B919)+(((P919-B919*INT(P919/B919)))/C919)/100)&lt;0,(INT(P919/B919)+(((P919-B919*INT(P919/B919)))/C919)/100)+(1-(B919/C919/100)),(INT(P919/B919)+(((P919-B919*INT(P919/B919)))/C919)/100)))),0,IF(B919=C919,P919/C919,IF((INT(P919/B919)+(((P919-B919*INT(P919/B919)))/C919)/100)&lt;0,(INT(P919/B919)+(((P919-B919*INT(P919/B919)))/C919)/100)+(1-(B919/C919/100)),(INT(P919/B919)+(((P919-B919*INT(P919/B919)))/C919)/100))))</f>
        <v>0</v>
      </c>
      <c r="BB919" s="28">
        <f>R919</f>
        <v>0</v>
      </c>
      <c r="BC919" s="28">
        <f>S919</f>
        <v>0</v>
      </c>
      <c r="BD919" s="28">
        <f>AF919</f>
        <v>525</v>
      </c>
      <c r="BE919" s="28">
        <f>T919</f>
        <v>0</v>
      </c>
      <c r="BG919" s="57">
        <f>IF(ISERROR(IF(B919=C919,V919/C919,(INT(V919/B919)+(((V919-B919*INT(V919/B919)))/C919)/100))),0,(IF(B919=C919,V919/C919,(INT(V919/B919)+(((V919-B919*INT(V919/B919)))/C919)/100))))</f>
        <v>0</v>
      </c>
      <c r="BH919" s="57">
        <f>IF(ISERROR(IF(B919=C919,W919/C919,(INT(W919/B919)+(((W919-B919*INT(W919/B919)))/C919)/100))),0,(IF(B919=C919,W919/C919,(INT(W919/B919)+(((W919-B919*INT(W919/B919)))/C919)/100))))</f>
        <v>0</v>
      </c>
      <c r="BI919" s="57">
        <f>IF(ISERROR(IF(B919=C919,X919/C919,(INT(X919/B919)+(((X919-B919*INT(X919/B919)))/C919)/100))),0,(IF(B919=C919,X919/C919,(INT(X919/B919)+(((X919-B919*INT(X919/B919)))/C919)/100))))</f>
        <v>0</v>
      </c>
      <c r="BJ919" s="57">
        <f>IF(ISERROR(IF(B919=C919,Y919/C919,(INT(Y919/B919)+(((Y919-B919*INT(Y919/B919)))/C919)/100))),0,(IF(B919=C919,Y919/C919,(INT(Y919/B919)+(((Y919-B919*INT(Y919/B919)))/C919)/100))))</f>
        <v>0</v>
      </c>
      <c r="BL919" s="57">
        <f>IF(ISERROR(IF(B919=C919,AA919/C919,(INT(AA919/B919)+(((AA919-B919*INT(AA919/B919)))/C919)/100))),0,(IF(B919=C919,AA919/C919,(INT(AA919/B919)+(((AA919-B919*INT(AA919/B919)))/C919)/100))))</f>
        <v>0</v>
      </c>
      <c r="BM919" s="57">
        <f>IF(ISERROR(IF(B919=C919,AB919/C919,(INT(AB919/B919)+(((AB919-B919*INT(AB919/B919)))/C919)/100))),0,(IF(B919=C919,AB919/C919,(INT(AB919/B919)+(((AB919-B919*INT(AB919/B919)))/C919)/100))))</f>
        <v>0</v>
      </c>
      <c r="BN919" s="57">
        <f>IF(ISERROR(IF(B919=C919,AC919/C919,(INT(AC919/B919)+(((AC919-B919*INT(AC919/B919)))/C919)/100))),0,(IF(B919=C919,AC919/C919,(INT(AC919/B919)+(((AC919-B919*INT(AC919/B919)))/C919)/100))))</f>
        <v>0</v>
      </c>
      <c r="BO919" s="57">
        <f>IF(ISERROR(IF(B919=C919,AD919/C919,(INT(AD919/B919)+(((AD919-B919*INT(AD919/B919)))/C919)/100))),0,(IF(B919=C919,AD919/C919,(INT(AD919/B919)+(((AD919-B919*INT(AD919/B919)))/C919)/100))))</f>
        <v>0</v>
      </c>
      <c r="BQ919" s="124" t="s">
        <v>81</v>
      </c>
    </row>
    <row r="920" spans="1:69" hidden="1" x14ac:dyDescent="0.35">
      <c r="A920" s="134" t="s">
        <v>86</v>
      </c>
      <c r="B920" s="113">
        <v>700</v>
      </c>
      <c r="C920" s="113">
        <v>30</v>
      </c>
      <c r="D920" s="28">
        <f>SUM(AA920:AD920)</f>
        <v>0</v>
      </c>
      <c r="E920" s="125">
        <v>0</v>
      </c>
      <c r="F920" s="113">
        <v>0</v>
      </c>
      <c r="G920" s="28">
        <f>SUM(D920:F920)</f>
        <v>0</v>
      </c>
      <c r="H920" s="125">
        <v>0</v>
      </c>
      <c r="I920" s="125">
        <v>0</v>
      </c>
      <c r="J920" s="125">
        <v>0</v>
      </c>
      <c r="K920" s="125">
        <v>0</v>
      </c>
      <c r="L920" s="113">
        <v>0</v>
      </c>
      <c r="M920" s="113">
        <v>0</v>
      </c>
      <c r="N920" s="28">
        <f>G920-SUM(H920:M920)</f>
        <v>0</v>
      </c>
      <c r="O920" s="28">
        <f>SUM(V920:Y920)</f>
        <v>0</v>
      </c>
      <c r="P920" s="28">
        <f>O920-N920</f>
        <v>0</v>
      </c>
      <c r="Q920" s="61" t="str">
        <f>IF(ISERROR(P920/SUM(H920:L920)),"",P920/SUM(H920:L920))</f>
        <v/>
      </c>
      <c r="R920" s="113">
        <v>0</v>
      </c>
      <c r="S920" s="28">
        <f>IF(ISERROR(P920/C920*R920),0,(P920/C920*R920))</f>
        <v>0</v>
      </c>
      <c r="T920" s="60">
        <f>IF(ISERROR(P920/B920*AF920),0,(P920/B920*AF920))</f>
        <v>0</v>
      </c>
      <c r="V920" s="113">
        <v>0</v>
      </c>
      <c r="W920" s="113">
        <v>0</v>
      </c>
      <c r="X920" s="113">
        <v>0</v>
      </c>
      <c r="Y920" s="113">
        <v>0</v>
      </c>
      <c r="AA920" s="113">
        <v>0</v>
      </c>
      <c r="AB920" s="113">
        <v>0</v>
      </c>
      <c r="AC920" s="113">
        <v>0</v>
      </c>
      <c r="AD920" s="113">
        <v>0</v>
      </c>
      <c r="AF920" s="54">
        <v>525</v>
      </c>
      <c r="AG920" s="28">
        <f>G920-O920</f>
        <v>0</v>
      </c>
      <c r="AH920" s="58">
        <f>IF(ISERROR(AG920/B920*AF920),0,(AG920/B920*AF920))</f>
        <v>0</v>
      </c>
      <c r="AI920" s="28">
        <f>SUM(H920:M920)</f>
        <v>0</v>
      </c>
      <c r="AJ920" s="28">
        <f>IF(ISERROR(AI920/B920*AF920),0,(AI920/B920*AF920))</f>
        <v>0</v>
      </c>
      <c r="AK920" s="58">
        <f>IF(ISERROR(O920/B920*AF920),0,(O920/B920*AF920))</f>
        <v>0</v>
      </c>
      <c r="AL920" s="28">
        <f>IF(ISERROR(H920/B920*AF920),0,(H920/B920*AF920))</f>
        <v>0</v>
      </c>
      <c r="AN920" s="51" t="str">
        <f>A920</f>
        <v xml:space="preserve">Monin Rose </v>
      </c>
      <c r="AO920" s="57">
        <f>IF(ISERROR(IF(B920=C920,D920/C920,(INT(D920/B920)+(((D920-B920*INT(D920/B920)))/C920)/100))),0,(IF(B920=C920,D920/C920,(INT(D920/B920)+(((D920-B920*INT(D920/B920)))/C920)/100))))</f>
        <v>0</v>
      </c>
      <c r="AP920" s="57">
        <f>IF(ISERROR(IF(B920=C920,E920/C920,(INT(E920/B920)+(((E920-B920*INT(E920/B920)))/C920)/100))),0,(IF(B920=C920,E920/C920,(INT(E920/B920)+(((E920-B920*INT(E920/B920)))/C920)/100))))</f>
        <v>0</v>
      </c>
      <c r="AQ920" s="57">
        <f>IF(ISERROR(IF(B920=C920,F920/C920,IF((INT(F920/B920)+(((F920-B920*INT(F920/B920)))/C920)/100)&lt;0,(INT(F920/B920)+(((F920-B920*INT(F920/B920)))/C920)/100)+(1-(B920/C920/100)),(INT(F920/B920)+(((F920-B920*INT(F920/B920)))/C920)/100)))),0,IF(B920=C920,F920/C920,IF((INT(F920/B920)+(((F920-B920*INT(F920/B920)))/C920)/100)&lt;0,(INT(F920/B920)+(((F920-B920*INT(F920/B920)))/C920)/100)+(1-(B920/C920/100)),(INT(F920/B920)+(((F920-B920*INT(F920/B920)))/C920)/100))))</f>
        <v>0</v>
      </c>
      <c r="AR920" s="57">
        <f>IF(ISERROR(IF(B920=C920,G920/C920,(INT(G920/B920)+(((G920-B920*INT(G920/B920)))/C920)/100))),0,(IF(B920=C920,G920/C920,(INT(G920/B920)+(((G920-B920*INT(G920/B920)))/C920)/100))))</f>
        <v>0</v>
      </c>
      <c r="AS920" s="57">
        <f>IF(ISERROR(IF(B920=C920,H920/C920,(INT(H920/B920)+(((H920-B920*INT(H920/B920)))/C920)/100))),0,(IF(B920=C920,H920/C920,(INT(H920/B920)+(((H920-B920*INT(H920/B920)))/C920)/100))))</f>
        <v>0</v>
      </c>
      <c r="AT920" s="57">
        <f>IF(ISERROR(IF(B920=C920,I920/C920,(INT(I920/B920)+(((I920-B920*INT(I920/B920)))/C920)/100))),0,(IF(B920=C920,I920/C920,(INT(I920/B920)+(((I920-B920*INT(I920/B920)))/C920)/100))))</f>
        <v>0</v>
      </c>
      <c r="AU920" s="57">
        <f>IF(ISERROR(IF(B920=C920,J920/C920,(INT(J920/B920)+(((J920-B920*INT(J920/B920)))/C920)/100))),0,(IF(B920=C920,J920/C920,(INT(J920/B920)+(((J920-B920*INT(J920/B920)))/C920)/100))))</f>
        <v>0</v>
      </c>
      <c r="AV920" s="57">
        <f>IF(ISERROR(IF(B920=C920,K920/C920,IF((INT(K920/B920)+(((K920-B920*INT(K920/B920)))/C920)/100)&lt;0,(INT(K920/B920)+(((K920-B920*INT(K920/B920)))/C920)/100)+(1-(B920/C920/100)),(INT(K920/B920)+(((K920-B920*INT(K920/B920)))/C920)/100)))),0,IF(B920=C920,K920/C920,IF((INT(K920/B920)+(((K920-B920*INT(K920/B920)))/C920)/100)&lt;0,(INT(K920/B920)+(((K920-B920*INT(K920/B920)))/C920)/100)+(1-(B920/C920/100)),(INT(K920/B920)+(((K920-B920*INT(K920/B920)))/C920)/100))))</f>
        <v>0</v>
      </c>
      <c r="AW920" s="57">
        <f>IF(ISERROR(IF(B920=C920,L920/C920,(INT(L920/B920)+(((L920-B920*INT(L920/B920)))/C920)/100))),0,(IF(B920=C920,L920/C920,(INT(L920/B920)+(((L920-B920*INT(L920/B920)))/C920)/100))))</f>
        <v>0</v>
      </c>
      <c r="AX920" s="57">
        <f>IF(ISERROR(IF(B920=C920,M920/C920,(INT(M920/B920)+(((M920-B920*INT(M920/B920)))/C920)/100))),0,(IF(B920=C920,M920/C920,(INT(M920/B920)+(((M920-B920*INT(M920/B920)))/C920)/100))))</f>
        <v>0</v>
      </c>
      <c r="AY920" s="57">
        <f>IF(ISERROR(IF(B920=C920,N920/C920,IF((INT(N920/B920)+(((N920-B920*INT(N920/B920)))/C920)/100)&lt;0,(INT(N920/B920)+(((N920-B920*INT(N920/B920)))/C920)/100)+(1-(B920/C920/100)),(INT(N920/B920)+(((N920-B920*INT(N920/B920)))/C920)/100)))),0,IF(B920=C920,N920/C920,IF((INT(N920/B920)+(((N920-B920*INT(N920/B920)))/C920)/100)&lt;0,(INT(N920/B920)+(((N920-B920*INT(N920/B920)))/C920)/100)+(1-(B920/C920/100)),(INT(N920/B920)+(((N920-B920*INT(N920/B920)))/C920)/100))))</f>
        <v>0</v>
      </c>
      <c r="AZ920" s="57">
        <f>IF(ISERROR(IF(B920=C920,O920/C920,(INT(O920/B920)+(((O920-B920*INT(O920/B920)))/C920)/100))),0,(IF(B920=C920,O920/C920,(INT(O920/B920)+(((O920-B920*INT(O920/B920)))/C920)/100))))</f>
        <v>0</v>
      </c>
      <c r="BA920" s="57">
        <f>IF(ISERROR(IF(B920=C920,P920/C920,IF((INT(P920/B920)+(((P920-B920*INT(P920/B920)))/C920)/100)&lt;0,(INT(P920/B920)+(((P920-B920*INT(P920/B920)))/C920)/100)+(1-(B920/C920/100)),(INT(P920/B920)+(((P920-B920*INT(P920/B920)))/C920)/100)))),0,IF(B920=C920,P920/C920,IF((INT(P920/B920)+(((P920-B920*INT(P920/B920)))/C920)/100)&lt;0,(INT(P920/B920)+(((P920-B920*INT(P920/B920)))/C920)/100)+(1-(B920/C920/100)),(INT(P920/B920)+(((P920-B920*INT(P920/B920)))/C920)/100))))</f>
        <v>0</v>
      </c>
      <c r="BB920" s="28">
        <f>R920</f>
        <v>0</v>
      </c>
      <c r="BC920" s="28">
        <f>S920</f>
        <v>0</v>
      </c>
      <c r="BD920" s="28">
        <f>AF920</f>
        <v>525</v>
      </c>
      <c r="BE920" s="28">
        <f>T920</f>
        <v>0</v>
      </c>
      <c r="BG920" s="57">
        <f>IF(ISERROR(IF(B920=C920,V920/C920,(INT(V920/B920)+(((V920-B920*INT(V920/B920)))/C920)/100))),0,(IF(B920=C920,V920/C920,(INT(V920/B920)+(((V920-B920*INT(V920/B920)))/C920)/100))))</f>
        <v>0</v>
      </c>
      <c r="BH920" s="57">
        <f>IF(ISERROR(IF(B920=C920,W920/C920,(INT(W920/B920)+(((W920-B920*INT(W920/B920)))/C920)/100))),0,(IF(B920=C920,W920/C920,(INT(W920/B920)+(((W920-B920*INT(W920/B920)))/C920)/100))))</f>
        <v>0</v>
      </c>
      <c r="BI920" s="57">
        <f>IF(ISERROR(IF(B920=C920,X920/C920,(INT(X920/B920)+(((X920-B920*INT(X920/B920)))/C920)/100))),0,(IF(B920=C920,X920/C920,(INT(X920/B920)+(((X920-B920*INT(X920/B920)))/C920)/100))))</f>
        <v>0</v>
      </c>
      <c r="BJ920" s="57">
        <f>IF(ISERROR(IF(B920=C920,Y920/C920,(INT(Y920/B920)+(((Y920-B920*INT(Y920/B920)))/C920)/100))),0,(IF(B920=C920,Y920/C920,(INT(Y920/B920)+(((Y920-B920*INT(Y920/B920)))/C920)/100))))</f>
        <v>0</v>
      </c>
      <c r="BL920" s="57">
        <f>IF(ISERROR(IF(B920=C920,AA920/C920,(INT(AA920/B920)+(((AA920-B920*INT(AA920/B920)))/C920)/100))),0,(IF(B920=C920,AA920/C920,(INT(AA920/B920)+(((AA920-B920*INT(AA920/B920)))/C920)/100))))</f>
        <v>0</v>
      </c>
      <c r="BM920" s="57">
        <f>IF(ISERROR(IF(B920=C920,AB920/C920,(INT(AB920/B920)+(((AB920-B920*INT(AB920/B920)))/C920)/100))),0,(IF(B920=C920,AB920/C920,(INT(AB920/B920)+(((AB920-B920*INT(AB920/B920)))/C920)/100))))</f>
        <v>0</v>
      </c>
      <c r="BN920" s="57">
        <f>IF(ISERROR(IF(B920=C920,AC920/C920,(INT(AC920/B920)+(((AC920-B920*INT(AC920/B920)))/C920)/100))),0,(IF(B920=C920,AC920/C920,(INT(AC920/B920)+(((AC920-B920*INT(AC920/B920)))/C920)/100))))</f>
        <v>0</v>
      </c>
      <c r="BO920" s="57">
        <f>IF(ISERROR(IF(B920=C920,AD920/C920,(INT(AD920/B920)+(((AD920-B920*INT(AD920/B920)))/C920)/100))),0,(IF(B920=C920,AD920/C920,(INT(AD920/B920)+(((AD920-B920*INT(AD920/B920)))/C920)/100))))</f>
        <v>0</v>
      </c>
      <c r="BQ920" s="124" t="s">
        <v>81</v>
      </c>
    </row>
    <row r="921" spans="1:69" hidden="1" x14ac:dyDescent="0.35">
      <c r="A921" s="134" t="s">
        <v>85</v>
      </c>
      <c r="B921" s="113">
        <v>700</v>
      </c>
      <c r="C921" s="113">
        <v>30</v>
      </c>
      <c r="D921" s="28">
        <f>SUM(AA921:AD921)</f>
        <v>0</v>
      </c>
      <c r="E921" s="125">
        <v>0</v>
      </c>
      <c r="F921" s="113">
        <v>0</v>
      </c>
      <c r="G921" s="28">
        <f>SUM(D921:F921)</f>
        <v>0</v>
      </c>
      <c r="H921" s="125">
        <v>0</v>
      </c>
      <c r="I921" s="125">
        <v>0</v>
      </c>
      <c r="J921" s="125">
        <v>0</v>
      </c>
      <c r="K921" s="125">
        <v>0</v>
      </c>
      <c r="L921" s="113">
        <v>0</v>
      </c>
      <c r="M921" s="113">
        <v>0</v>
      </c>
      <c r="N921" s="28">
        <f>G921-SUM(H921:M921)</f>
        <v>0</v>
      </c>
      <c r="O921" s="28">
        <f>SUM(V921:Y921)</f>
        <v>0</v>
      </c>
      <c r="P921" s="28">
        <f>O921-N921</f>
        <v>0</v>
      </c>
      <c r="Q921" s="61" t="str">
        <f>IF(ISERROR(P921/SUM(H921:L921)),"",P921/SUM(H921:L921))</f>
        <v/>
      </c>
      <c r="R921" s="113">
        <v>0</v>
      </c>
      <c r="S921" s="28">
        <f>IF(ISERROR(P921/C921*R921),0,(P921/C921*R921))</f>
        <v>0</v>
      </c>
      <c r="T921" s="60">
        <f>IF(ISERROR(P921/B921*AF921),0,(P921/B921*AF921))</f>
        <v>0</v>
      </c>
      <c r="V921" s="113">
        <v>0</v>
      </c>
      <c r="W921" s="113">
        <v>0</v>
      </c>
      <c r="X921" s="113">
        <v>0</v>
      </c>
      <c r="Y921" s="113">
        <v>0</v>
      </c>
      <c r="AA921" s="113">
        <v>0</v>
      </c>
      <c r="AB921" s="113">
        <v>0</v>
      </c>
      <c r="AC921" s="113">
        <v>0</v>
      </c>
      <c r="AD921" s="113">
        <v>0</v>
      </c>
      <c r="AF921" s="54">
        <v>525</v>
      </c>
      <c r="AG921" s="28">
        <f>G921-O921</f>
        <v>0</v>
      </c>
      <c r="AH921" s="58">
        <f>IF(ISERROR(AG921/B921*AF921),0,(AG921/B921*AF921))</f>
        <v>0</v>
      </c>
      <c r="AI921" s="28">
        <f>SUM(H921:M921)</f>
        <v>0</v>
      </c>
      <c r="AJ921" s="28">
        <f>IF(ISERROR(AI921/B921*AF921),0,(AI921/B921*AF921))</f>
        <v>0</v>
      </c>
      <c r="AK921" s="58">
        <f>IF(ISERROR(O921/B921*AF921),0,(O921/B921*AF921))</f>
        <v>0</v>
      </c>
      <c r="AL921" s="28">
        <f>IF(ISERROR(H921/B921*AF921),0,(H921/B921*AF921))</f>
        <v>0</v>
      </c>
      <c r="AN921" s="51" t="str">
        <f>A921</f>
        <v>Monin Triple Sec</v>
      </c>
      <c r="AO921" s="57">
        <f>IF(ISERROR(IF(B921=C921,D921/C921,(INT(D921/B921)+(((D921-B921*INT(D921/B921)))/C921)/100))),0,(IF(B921=C921,D921/C921,(INT(D921/B921)+(((D921-B921*INT(D921/B921)))/C921)/100))))</f>
        <v>0</v>
      </c>
      <c r="AP921" s="57">
        <f>IF(ISERROR(IF(B921=C921,E921/C921,(INT(E921/B921)+(((E921-B921*INT(E921/B921)))/C921)/100))),0,(IF(B921=C921,E921/C921,(INT(E921/B921)+(((E921-B921*INT(E921/B921)))/C921)/100))))</f>
        <v>0</v>
      </c>
      <c r="AQ921" s="57">
        <f>IF(ISERROR(IF(B921=C921,F921/C921,IF((INT(F921/B921)+(((F921-B921*INT(F921/B921)))/C921)/100)&lt;0,(INT(F921/B921)+(((F921-B921*INT(F921/B921)))/C921)/100)+(1-(B921/C921/100)),(INT(F921/B921)+(((F921-B921*INT(F921/B921)))/C921)/100)))),0,IF(B921=C921,F921/C921,IF((INT(F921/B921)+(((F921-B921*INT(F921/B921)))/C921)/100)&lt;0,(INT(F921/B921)+(((F921-B921*INT(F921/B921)))/C921)/100)+(1-(B921/C921/100)),(INT(F921/B921)+(((F921-B921*INT(F921/B921)))/C921)/100))))</f>
        <v>0</v>
      </c>
      <c r="AR921" s="57">
        <f>IF(ISERROR(IF(B921=C921,G921/C921,(INT(G921/B921)+(((G921-B921*INT(G921/B921)))/C921)/100))),0,(IF(B921=C921,G921/C921,(INT(G921/B921)+(((G921-B921*INT(G921/B921)))/C921)/100))))</f>
        <v>0</v>
      </c>
      <c r="AS921" s="57">
        <f>IF(ISERROR(IF(B921=C921,H921/C921,(INT(H921/B921)+(((H921-B921*INT(H921/B921)))/C921)/100))),0,(IF(B921=C921,H921/C921,(INT(H921/B921)+(((H921-B921*INT(H921/B921)))/C921)/100))))</f>
        <v>0</v>
      </c>
      <c r="AT921" s="57">
        <f>IF(ISERROR(IF(B921=C921,I921/C921,(INT(I921/B921)+(((I921-B921*INT(I921/B921)))/C921)/100))),0,(IF(B921=C921,I921/C921,(INT(I921/B921)+(((I921-B921*INT(I921/B921)))/C921)/100))))</f>
        <v>0</v>
      </c>
      <c r="AU921" s="57">
        <f>IF(ISERROR(IF(B921=C921,J921/C921,(INT(J921/B921)+(((J921-B921*INT(J921/B921)))/C921)/100))),0,(IF(B921=C921,J921/C921,(INT(J921/B921)+(((J921-B921*INT(J921/B921)))/C921)/100))))</f>
        <v>0</v>
      </c>
      <c r="AV921" s="57">
        <f>IF(ISERROR(IF(B921=C921,K921/C921,IF((INT(K921/B921)+(((K921-B921*INT(K921/B921)))/C921)/100)&lt;0,(INT(K921/B921)+(((K921-B921*INT(K921/B921)))/C921)/100)+(1-(B921/C921/100)),(INT(K921/B921)+(((K921-B921*INT(K921/B921)))/C921)/100)))),0,IF(B921=C921,K921/C921,IF((INT(K921/B921)+(((K921-B921*INT(K921/B921)))/C921)/100)&lt;0,(INT(K921/B921)+(((K921-B921*INT(K921/B921)))/C921)/100)+(1-(B921/C921/100)),(INT(K921/B921)+(((K921-B921*INT(K921/B921)))/C921)/100))))</f>
        <v>0</v>
      </c>
      <c r="AW921" s="57">
        <f>IF(ISERROR(IF(B921=C921,L921/C921,(INT(L921/B921)+(((L921-B921*INT(L921/B921)))/C921)/100))),0,(IF(B921=C921,L921/C921,(INT(L921/B921)+(((L921-B921*INT(L921/B921)))/C921)/100))))</f>
        <v>0</v>
      </c>
      <c r="AX921" s="57">
        <f>IF(ISERROR(IF(B921=C921,M921/C921,(INT(M921/B921)+(((M921-B921*INT(M921/B921)))/C921)/100))),0,(IF(B921=C921,M921/C921,(INT(M921/B921)+(((M921-B921*INT(M921/B921)))/C921)/100))))</f>
        <v>0</v>
      </c>
      <c r="AY921" s="57">
        <f>IF(ISERROR(IF(B921=C921,N921/C921,IF((INT(N921/B921)+(((N921-B921*INT(N921/B921)))/C921)/100)&lt;0,(INT(N921/B921)+(((N921-B921*INT(N921/B921)))/C921)/100)+(1-(B921/C921/100)),(INT(N921/B921)+(((N921-B921*INT(N921/B921)))/C921)/100)))),0,IF(B921=C921,N921/C921,IF((INT(N921/B921)+(((N921-B921*INT(N921/B921)))/C921)/100)&lt;0,(INT(N921/B921)+(((N921-B921*INT(N921/B921)))/C921)/100)+(1-(B921/C921/100)),(INT(N921/B921)+(((N921-B921*INT(N921/B921)))/C921)/100))))</f>
        <v>0</v>
      </c>
      <c r="AZ921" s="57">
        <f>IF(ISERROR(IF(B921=C921,O921/C921,(INT(O921/B921)+(((O921-B921*INT(O921/B921)))/C921)/100))),0,(IF(B921=C921,O921/C921,(INT(O921/B921)+(((O921-B921*INT(O921/B921)))/C921)/100))))</f>
        <v>0</v>
      </c>
      <c r="BA921" s="57">
        <f>IF(ISERROR(IF(B921=C921,P921/C921,IF((INT(P921/B921)+(((P921-B921*INT(P921/B921)))/C921)/100)&lt;0,(INT(P921/B921)+(((P921-B921*INT(P921/B921)))/C921)/100)+(1-(B921/C921/100)),(INT(P921/B921)+(((P921-B921*INT(P921/B921)))/C921)/100)))),0,IF(B921=C921,P921/C921,IF((INT(P921/B921)+(((P921-B921*INT(P921/B921)))/C921)/100)&lt;0,(INT(P921/B921)+(((P921-B921*INT(P921/B921)))/C921)/100)+(1-(B921/C921/100)),(INT(P921/B921)+(((P921-B921*INT(P921/B921)))/C921)/100))))</f>
        <v>0</v>
      </c>
      <c r="BB921" s="28">
        <f>R921</f>
        <v>0</v>
      </c>
      <c r="BC921" s="28">
        <f>S921</f>
        <v>0</v>
      </c>
      <c r="BD921" s="28">
        <f>AF921</f>
        <v>525</v>
      </c>
      <c r="BE921" s="28">
        <f>T921</f>
        <v>0</v>
      </c>
      <c r="BG921" s="57">
        <f>IF(ISERROR(IF(B921=C921,V921/C921,(INT(V921/B921)+(((V921-B921*INT(V921/B921)))/C921)/100))),0,(IF(B921=C921,V921/C921,(INT(V921/B921)+(((V921-B921*INT(V921/B921)))/C921)/100))))</f>
        <v>0</v>
      </c>
      <c r="BH921" s="57">
        <f>IF(ISERROR(IF(B921=C921,W921/C921,(INT(W921/B921)+(((W921-B921*INT(W921/B921)))/C921)/100))),0,(IF(B921=C921,W921/C921,(INT(W921/B921)+(((W921-B921*INT(W921/B921)))/C921)/100))))</f>
        <v>0</v>
      </c>
      <c r="BI921" s="57">
        <f>IF(ISERROR(IF(B921=C921,X921/C921,(INT(X921/B921)+(((X921-B921*INT(X921/B921)))/C921)/100))),0,(IF(B921=C921,X921/C921,(INT(X921/B921)+(((X921-B921*INT(X921/B921)))/C921)/100))))</f>
        <v>0</v>
      </c>
      <c r="BJ921" s="57">
        <f>IF(ISERROR(IF(B921=C921,Y921/C921,(INT(Y921/B921)+(((Y921-B921*INT(Y921/B921)))/C921)/100))),0,(IF(B921=C921,Y921/C921,(INT(Y921/B921)+(((Y921-B921*INT(Y921/B921)))/C921)/100))))</f>
        <v>0</v>
      </c>
      <c r="BL921" s="57">
        <f>IF(ISERROR(IF(B921=C921,AA921/C921,(INT(AA921/B921)+(((AA921-B921*INT(AA921/B921)))/C921)/100))),0,(IF(B921=C921,AA921/C921,(INT(AA921/B921)+(((AA921-B921*INT(AA921/B921)))/C921)/100))))</f>
        <v>0</v>
      </c>
      <c r="BM921" s="57">
        <f>IF(ISERROR(IF(B921=C921,AB921/C921,(INT(AB921/B921)+(((AB921-B921*INT(AB921/B921)))/C921)/100))),0,(IF(B921=C921,AB921/C921,(INT(AB921/B921)+(((AB921-B921*INT(AB921/B921)))/C921)/100))))</f>
        <v>0</v>
      </c>
      <c r="BN921" s="57">
        <f>IF(ISERROR(IF(B921=C921,AC921/C921,(INT(AC921/B921)+(((AC921-B921*INT(AC921/B921)))/C921)/100))),0,(IF(B921=C921,AC921/C921,(INT(AC921/B921)+(((AC921-B921*INT(AC921/B921)))/C921)/100))))</f>
        <v>0</v>
      </c>
      <c r="BO921" s="57">
        <f>IF(ISERROR(IF(B921=C921,AD921/C921,(INT(AD921/B921)+(((AD921-B921*INT(AD921/B921)))/C921)/100))),0,(IF(B921=C921,AD921/C921,(INT(AD921/B921)+(((AD921-B921*INT(AD921/B921)))/C921)/100))))</f>
        <v>0</v>
      </c>
      <c r="BQ921" s="124" t="s">
        <v>81</v>
      </c>
    </row>
    <row r="922" spans="1:69" hidden="1" x14ac:dyDescent="0.35">
      <c r="A922" s="134" t="s">
        <v>84</v>
      </c>
      <c r="B922" s="113">
        <v>700</v>
      </c>
      <c r="C922" s="113">
        <v>30</v>
      </c>
      <c r="D922" s="28">
        <f>SUM(AA922:AD922)</f>
        <v>0</v>
      </c>
      <c r="E922" s="125">
        <v>0</v>
      </c>
      <c r="F922" s="113">
        <v>0</v>
      </c>
      <c r="G922" s="28">
        <f>SUM(D922:F922)</f>
        <v>0</v>
      </c>
      <c r="H922" s="125">
        <v>0</v>
      </c>
      <c r="I922" s="125">
        <v>0</v>
      </c>
      <c r="J922" s="125">
        <v>0</v>
      </c>
      <c r="K922" s="125">
        <v>0</v>
      </c>
      <c r="L922" s="113">
        <v>0</v>
      </c>
      <c r="M922" s="113">
        <v>0</v>
      </c>
      <c r="N922" s="28">
        <f>G922-SUM(H922:M922)</f>
        <v>0</v>
      </c>
      <c r="O922" s="28">
        <f>SUM(V922:Y922)</f>
        <v>0</v>
      </c>
      <c r="P922" s="28">
        <f>O922-N922</f>
        <v>0</v>
      </c>
      <c r="Q922" s="61" t="str">
        <f>IF(ISERROR(P922/SUM(H922:L922)),"",P922/SUM(H922:L922))</f>
        <v/>
      </c>
      <c r="R922" s="113">
        <v>0</v>
      </c>
      <c r="S922" s="28">
        <f>IF(ISERROR(P922/C922*R922),0,(P922/C922*R922))</f>
        <v>0</v>
      </c>
      <c r="T922" s="60">
        <f>IF(ISERROR(P922/B922*AF922),0,(P922/B922*AF922))</f>
        <v>0</v>
      </c>
      <c r="V922" s="113">
        <v>0</v>
      </c>
      <c r="W922" s="113">
        <v>0</v>
      </c>
      <c r="X922" s="113">
        <v>0</v>
      </c>
      <c r="Y922" s="113">
        <v>0</v>
      </c>
      <c r="AA922" s="113">
        <v>0</v>
      </c>
      <c r="AB922" s="113">
        <v>0</v>
      </c>
      <c r="AC922" s="113">
        <v>0</v>
      </c>
      <c r="AD922" s="113">
        <v>0</v>
      </c>
      <c r="AF922" s="54">
        <v>525</v>
      </c>
      <c r="AG922" s="28">
        <f>G922-O922</f>
        <v>0</v>
      </c>
      <c r="AH922" s="58">
        <f>IF(ISERROR(AG922/B922*AF922),0,(AG922/B922*AF922))</f>
        <v>0</v>
      </c>
      <c r="AI922" s="28">
        <f>SUM(H922:M922)</f>
        <v>0</v>
      </c>
      <c r="AJ922" s="28">
        <f>IF(ISERROR(AI922/B922*AF922),0,(AI922/B922*AF922))</f>
        <v>0</v>
      </c>
      <c r="AK922" s="58">
        <f>IF(ISERROR(O922/B922*AF922),0,(O922/B922*AF922))</f>
        <v>0</v>
      </c>
      <c r="AL922" s="28">
        <f>IF(ISERROR(H922/B922*AF922),0,(H922/B922*AF922))</f>
        <v>0</v>
      </c>
      <c r="AN922" s="51" t="str">
        <f>A922</f>
        <v>Monin Vanilla</v>
      </c>
      <c r="AO922" s="57">
        <f>IF(ISERROR(IF(B922=C922,D922/C922,(INT(D922/B922)+(((D922-B922*INT(D922/B922)))/C922)/100))),0,(IF(B922=C922,D922/C922,(INT(D922/B922)+(((D922-B922*INT(D922/B922)))/C922)/100))))</f>
        <v>0</v>
      </c>
      <c r="AP922" s="57">
        <f>IF(ISERROR(IF(B922=C922,E922/C922,(INT(E922/B922)+(((E922-B922*INT(E922/B922)))/C922)/100))),0,(IF(B922=C922,E922/C922,(INT(E922/B922)+(((E922-B922*INT(E922/B922)))/C922)/100))))</f>
        <v>0</v>
      </c>
      <c r="AQ922" s="57">
        <f>IF(ISERROR(IF(B922=C922,F922/C922,IF((INT(F922/B922)+(((F922-B922*INT(F922/B922)))/C922)/100)&lt;0,(INT(F922/B922)+(((F922-B922*INT(F922/B922)))/C922)/100)+(1-(B922/C922/100)),(INT(F922/B922)+(((F922-B922*INT(F922/B922)))/C922)/100)))),0,IF(B922=C922,F922/C922,IF((INT(F922/B922)+(((F922-B922*INT(F922/B922)))/C922)/100)&lt;0,(INT(F922/B922)+(((F922-B922*INT(F922/B922)))/C922)/100)+(1-(B922/C922/100)),(INT(F922/B922)+(((F922-B922*INT(F922/B922)))/C922)/100))))</f>
        <v>0</v>
      </c>
      <c r="AR922" s="57">
        <f>IF(ISERROR(IF(B922=C922,G922/C922,(INT(G922/B922)+(((G922-B922*INT(G922/B922)))/C922)/100))),0,(IF(B922=C922,G922/C922,(INT(G922/B922)+(((G922-B922*INT(G922/B922)))/C922)/100))))</f>
        <v>0</v>
      </c>
      <c r="AS922" s="57">
        <f>IF(ISERROR(IF(B922=C922,H922/C922,(INT(H922/B922)+(((H922-B922*INT(H922/B922)))/C922)/100))),0,(IF(B922=C922,H922/C922,(INT(H922/B922)+(((H922-B922*INT(H922/B922)))/C922)/100))))</f>
        <v>0</v>
      </c>
      <c r="AT922" s="57">
        <f>IF(ISERROR(IF(B922=C922,I922/C922,(INT(I922/B922)+(((I922-B922*INT(I922/B922)))/C922)/100))),0,(IF(B922=C922,I922/C922,(INT(I922/B922)+(((I922-B922*INT(I922/B922)))/C922)/100))))</f>
        <v>0</v>
      </c>
      <c r="AU922" s="57">
        <f>IF(ISERROR(IF(B922=C922,J922/C922,(INT(J922/B922)+(((J922-B922*INT(J922/B922)))/C922)/100))),0,(IF(B922=C922,J922/C922,(INT(J922/B922)+(((J922-B922*INT(J922/B922)))/C922)/100))))</f>
        <v>0</v>
      </c>
      <c r="AV922" s="57">
        <f>IF(ISERROR(IF(B922=C922,K922/C922,IF((INT(K922/B922)+(((K922-B922*INT(K922/B922)))/C922)/100)&lt;0,(INT(K922/B922)+(((K922-B922*INT(K922/B922)))/C922)/100)+(1-(B922/C922/100)),(INT(K922/B922)+(((K922-B922*INT(K922/B922)))/C922)/100)))),0,IF(B922=C922,K922/C922,IF((INT(K922/B922)+(((K922-B922*INT(K922/B922)))/C922)/100)&lt;0,(INT(K922/B922)+(((K922-B922*INT(K922/B922)))/C922)/100)+(1-(B922/C922/100)),(INT(K922/B922)+(((K922-B922*INT(K922/B922)))/C922)/100))))</f>
        <v>0</v>
      </c>
      <c r="AW922" s="57">
        <f>IF(ISERROR(IF(B922=C922,L922/C922,(INT(L922/B922)+(((L922-B922*INT(L922/B922)))/C922)/100))),0,(IF(B922=C922,L922/C922,(INT(L922/B922)+(((L922-B922*INT(L922/B922)))/C922)/100))))</f>
        <v>0</v>
      </c>
      <c r="AX922" s="57">
        <f>IF(ISERROR(IF(B922=C922,M922/C922,(INT(M922/B922)+(((M922-B922*INT(M922/B922)))/C922)/100))),0,(IF(B922=C922,M922/C922,(INT(M922/B922)+(((M922-B922*INT(M922/B922)))/C922)/100))))</f>
        <v>0</v>
      </c>
      <c r="AY922" s="57">
        <f>IF(ISERROR(IF(B922=C922,N922/C922,IF((INT(N922/B922)+(((N922-B922*INT(N922/B922)))/C922)/100)&lt;0,(INT(N922/B922)+(((N922-B922*INT(N922/B922)))/C922)/100)+(1-(B922/C922/100)),(INT(N922/B922)+(((N922-B922*INT(N922/B922)))/C922)/100)))),0,IF(B922=C922,N922/C922,IF((INT(N922/B922)+(((N922-B922*INT(N922/B922)))/C922)/100)&lt;0,(INT(N922/B922)+(((N922-B922*INT(N922/B922)))/C922)/100)+(1-(B922/C922/100)),(INT(N922/B922)+(((N922-B922*INT(N922/B922)))/C922)/100))))</f>
        <v>0</v>
      </c>
      <c r="AZ922" s="57">
        <f>IF(ISERROR(IF(B922=C922,O922/C922,(INT(O922/B922)+(((O922-B922*INT(O922/B922)))/C922)/100))),0,(IF(B922=C922,O922/C922,(INT(O922/B922)+(((O922-B922*INT(O922/B922)))/C922)/100))))</f>
        <v>0</v>
      </c>
      <c r="BA922" s="57">
        <f>IF(ISERROR(IF(B922=C922,P922/C922,IF((INT(P922/B922)+(((P922-B922*INT(P922/B922)))/C922)/100)&lt;0,(INT(P922/B922)+(((P922-B922*INT(P922/B922)))/C922)/100)+(1-(B922/C922/100)),(INT(P922/B922)+(((P922-B922*INT(P922/B922)))/C922)/100)))),0,IF(B922=C922,P922/C922,IF((INT(P922/B922)+(((P922-B922*INT(P922/B922)))/C922)/100)&lt;0,(INT(P922/B922)+(((P922-B922*INT(P922/B922)))/C922)/100)+(1-(B922/C922/100)),(INT(P922/B922)+(((P922-B922*INT(P922/B922)))/C922)/100))))</f>
        <v>0</v>
      </c>
      <c r="BB922" s="28">
        <f>R922</f>
        <v>0</v>
      </c>
      <c r="BC922" s="28">
        <f>S922</f>
        <v>0</v>
      </c>
      <c r="BD922" s="28">
        <f>AF922</f>
        <v>525</v>
      </c>
      <c r="BE922" s="28">
        <f>T922</f>
        <v>0</v>
      </c>
      <c r="BG922" s="57">
        <f>IF(ISERROR(IF(B922=C922,V922/C922,(INT(V922/B922)+(((V922-B922*INT(V922/B922)))/C922)/100))),0,(IF(B922=C922,V922/C922,(INT(V922/B922)+(((V922-B922*INT(V922/B922)))/C922)/100))))</f>
        <v>0</v>
      </c>
      <c r="BH922" s="57">
        <f>IF(ISERROR(IF(B922=C922,W922/C922,(INT(W922/B922)+(((W922-B922*INT(W922/B922)))/C922)/100))),0,(IF(B922=C922,W922/C922,(INT(W922/B922)+(((W922-B922*INT(W922/B922)))/C922)/100))))</f>
        <v>0</v>
      </c>
      <c r="BI922" s="57">
        <f>IF(ISERROR(IF(B922=C922,X922/C922,(INT(X922/B922)+(((X922-B922*INT(X922/B922)))/C922)/100))),0,(IF(B922=C922,X922/C922,(INT(X922/B922)+(((X922-B922*INT(X922/B922)))/C922)/100))))</f>
        <v>0</v>
      </c>
      <c r="BJ922" s="57">
        <f>IF(ISERROR(IF(B922=C922,Y922/C922,(INT(Y922/B922)+(((Y922-B922*INT(Y922/B922)))/C922)/100))),0,(IF(B922=C922,Y922/C922,(INT(Y922/B922)+(((Y922-B922*INT(Y922/B922)))/C922)/100))))</f>
        <v>0</v>
      </c>
      <c r="BL922" s="57">
        <f>IF(ISERROR(IF(B922=C922,AA922/C922,(INT(AA922/B922)+(((AA922-B922*INT(AA922/B922)))/C922)/100))),0,(IF(B922=C922,AA922/C922,(INT(AA922/B922)+(((AA922-B922*INT(AA922/B922)))/C922)/100))))</f>
        <v>0</v>
      </c>
      <c r="BM922" s="57">
        <f>IF(ISERROR(IF(B922=C922,AB922/C922,(INT(AB922/B922)+(((AB922-B922*INT(AB922/B922)))/C922)/100))),0,(IF(B922=C922,AB922/C922,(INT(AB922/B922)+(((AB922-B922*INT(AB922/B922)))/C922)/100))))</f>
        <v>0</v>
      </c>
      <c r="BN922" s="57">
        <f>IF(ISERROR(IF(B922=C922,AC922/C922,(INT(AC922/B922)+(((AC922-B922*INT(AC922/B922)))/C922)/100))),0,(IF(B922=C922,AC922/C922,(INT(AC922/B922)+(((AC922-B922*INT(AC922/B922)))/C922)/100))))</f>
        <v>0</v>
      </c>
      <c r="BO922" s="57">
        <f>IF(ISERROR(IF(B922=C922,AD922/C922,(INT(AD922/B922)+(((AD922-B922*INT(AD922/B922)))/C922)/100))),0,(IF(B922=C922,AD922/C922,(INT(AD922/B922)+(((AD922-B922*INT(AD922/B922)))/C922)/100))))</f>
        <v>0</v>
      </c>
      <c r="BQ922" s="124" t="s">
        <v>81</v>
      </c>
    </row>
    <row r="923" spans="1:69" hidden="1" x14ac:dyDescent="0.35">
      <c r="A923" s="94" t="s">
        <v>83</v>
      </c>
      <c r="B923" s="113">
        <v>1000</v>
      </c>
      <c r="C923" s="113">
        <v>30</v>
      </c>
      <c r="D923" s="28">
        <f>SUM(AA923:AD923)</f>
        <v>0</v>
      </c>
      <c r="E923" s="125">
        <v>0</v>
      </c>
      <c r="F923" s="113">
        <v>0</v>
      </c>
      <c r="G923" s="28">
        <f>SUM(D923:F923)</f>
        <v>0</v>
      </c>
      <c r="H923" s="125">
        <v>0</v>
      </c>
      <c r="I923" s="125">
        <v>0</v>
      </c>
      <c r="J923" s="125">
        <v>0</v>
      </c>
      <c r="K923" s="125">
        <v>0</v>
      </c>
      <c r="L923" s="113">
        <v>0</v>
      </c>
      <c r="M923" s="113">
        <v>0</v>
      </c>
      <c r="N923" s="28">
        <f>G923-SUM(H923:M923)</f>
        <v>0</v>
      </c>
      <c r="O923" s="28">
        <f>SUM(V923:Y923)</f>
        <v>0</v>
      </c>
      <c r="P923" s="28">
        <f>O923-N923</f>
        <v>0</v>
      </c>
      <c r="Q923" s="61" t="str">
        <f>IF(ISERROR(P923/SUM(H923:L923)),"",P923/SUM(H923:L923))</f>
        <v/>
      </c>
      <c r="R923" s="113">
        <v>0</v>
      </c>
      <c r="S923" s="28">
        <f>IF(ISERROR(P923/C923*R923),0,(P923/C923*R923))</f>
        <v>0</v>
      </c>
      <c r="T923" s="60">
        <f>IF(ISERROR(P923/B923*AF923),0,(P923/B923*AF923))</f>
        <v>0</v>
      </c>
      <c r="V923" s="113">
        <v>0</v>
      </c>
      <c r="W923" s="113">
        <v>0</v>
      </c>
      <c r="X923" s="113">
        <v>0</v>
      </c>
      <c r="Y923" s="113">
        <v>0</v>
      </c>
      <c r="AA923" s="113">
        <v>0</v>
      </c>
      <c r="AB923" s="113">
        <v>0</v>
      </c>
      <c r="AC923" s="113">
        <v>0</v>
      </c>
      <c r="AD923" s="113">
        <v>0</v>
      </c>
      <c r="AF923" s="54">
        <v>525</v>
      </c>
      <c r="AG923" s="28">
        <f>G923-O923</f>
        <v>0</v>
      </c>
      <c r="AH923" s="58">
        <f>IF(ISERROR(AG923/B923*AF923),0,(AG923/B923*AF923))</f>
        <v>0</v>
      </c>
      <c r="AI923" s="28">
        <f>SUM(H923:M923)</f>
        <v>0</v>
      </c>
      <c r="AJ923" s="28">
        <f>IF(ISERROR(AI923/B923*AF923),0,(AI923/B923*AF923))</f>
        <v>0</v>
      </c>
      <c r="AK923" s="58">
        <f>IF(ISERROR(O923/B923*AF923),0,(O923/B923*AF923))</f>
        <v>0</v>
      </c>
      <c r="AL923" s="28">
        <f>IF(ISERROR(H923/B923*AF923),0,(H923/B923*AF923))</f>
        <v>0</v>
      </c>
      <c r="AN923" s="51" t="str">
        <f>A923</f>
        <v>Monin Watermelon Syrup</v>
      </c>
      <c r="AO923" s="57">
        <f>IF(ISERROR(IF(B923=C923,D923/C923,(INT(D923/B923)+(((D923-B923*INT(D923/B923)))/C923)/100))),0,(IF(B923=C923,D923/C923,(INT(D923/B923)+(((D923-B923*INT(D923/B923)))/C923)/100))))</f>
        <v>0</v>
      </c>
      <c r="AP923" s="57">
        <f>IF(ISERROR(IF(B923=C923,E923/C923,(INT(E923/B923)+(((E923-B923*INT(E923/B923)))/C923)/100))),0,(IF(B923=C923,E923/C923,(INT(E923/B923)+(((E923-B923*INT(E923/B923)))/C923)/100))))</f>
        <v>0</v>
      </c>
      <c r="AQ923" s="57">
        <f>IF(ISERROR(IF(B923=C923,F923/C923,IF((INT(F923/B923)+(((F923-B923*INT(F923/B923)))/C923)/100)&lt;0,(INT(F923/B923)+(((F923-B923*INT(F923/B923)))/C923)/100)+(1-(B923/C923/100)),(INT(F923/B923)+(((F923-B923*INT(F923/B923)))/C923)/100)))),0,IF(B923=C923,F923/C923,IF((INT(F923/B923)+(((F923-B923*INT(F923/B923)))/C923)/100)&lt;0,(INT(F923/B923)+(((F923-B923*INT(F923/B923)))/C923)/100)+(1-(B923/C923/100)),(INT(F923/B923)+(((F923-B923*INT(F923/B923)))/C923)/100))))</f>
        <v>0</v>
      </c>
      <c r="AR923" s="57">
        <f>IF(ISERROR(IF(B923=C923,G923/C923,(INT(G923/B923)+(((G923-B923*INT(G923/B923)))/C923)/100))),0,(IF(B923=C923,G923/C923,(INT(G923/B923)+(((G923-B923*INT(G923/B923)))/C923)/100))))</f>
        <v>0</v>
      </c>
      <c r="AS923" s="57">
        <f>IF(ISERROR(IF(B923=C923,H923/C923,(INT(H923/B923)+(((H923-B923*INT(H923/B923)))/C923)/100))),0,(IF(B923=C923,H923/C923,(INT(H923/B923)+(((H923-B923*INT(H923/B923)))/C923)/100))))</f>
        <v>0</v>
      </c>
      <c r="AT923" s="57">
        <f>IF(ISERROR(IF(B923=C923,I923/C923,(INT(I923/B923)+(((I923-B923*INT(I923/B923)))/C923)/100))),0,(IF(B923=C923,I923/C923,(INT(I923/B923)+(((I923-B923*INT(I923/B923)))/C923)/100))))</f>
        <v>0</v>
      </c>
      <c r="AU923" s="57">
        <f>IF(ISERROR(IF(B923=C923,J923/C923,(INT(J923/B923)+(((J923-B923*INT(J923/B923)))/C923)/100))),0,(IF(B923=C923,J923/C923,(INT(J923/B923)+(((J923-B923*INT(J923/B923)))/C923)/100))))</f>
        <v>0</v>
      </c>
      <c r="AV923" s="57">
        <f>IF(ISERROR(IF(B923=C923,K923/C923,IF((INT(K923/B923)+(((K923-B923*INT(K923/B923)))/C923)/100)&lt;0,(INT(K923/B923)+(((K923-B923*INT(K923/B923)))/C923)/100)+(1-(B923/C923/100)),(INT(K923/B923)+(((K923-B923*INT(K923/B923)))/C923)/100)))),0,IF(B923=C923,K923/C923,IF((INT(K923/B923)+(((K923-B923*INT(K923/B923)))/C923)/100)&lt;0,(INT(K923/B923)+(((K923-B923*INT(K923/B923)))/C923)/100)+(1-(B923/C923/100)),(INT(K923/B923)+(((K923-B923*INT(K923/B923)))/C923)/100))))</f>
        <v>0</v>
      </c>
      <c r="AW923" s="57">
        <f>IF(ISERROR(IF(B923=C923,L923/C923,(INT(L923/B923)+(((L923-B923*INT(L923/B923)))/C923)/100))),0,(IF(B923=C923,L923/C923,(INT(L923/B923)+(((L923-B923*INT(L923/B923)))/C923)/100))))</f>
        <v>0</v>
      </c>
      <c r="AX923" s="57">
        <f>IF(ISERROR(IF(B923=C923,M923/C923,(INT(M923/B923)+(((M923-B923*INT(M923/B923)))/C923)/100))),0,(IF(B923=C923,M923/C923,(INT(M923/B923)+(((M923-B923*INT(M923/B923)))/C923)/100))))</f>
        <v>0</v>
      </c>
      <c r="AY923" s="57">
        <f>IF(ISERROR(IF(B923=C923,N923/C923,IF((INT(N923/B923)+(((N923-B923*INT(N923/B923)))/C923)/100)&lt;0,(INT(N923/B923)+(((N923-B923*INT(N923/B923)))/C923)/100)+(1-(B923/C923/100)),(INT(N923/B923)+(((N923-B923*INT(N923/B923)))/C923)/100)))),0,IF(B923=C923,N923/C923,IF((INT(N923/B923)+(((N923-B923*INT(N923/B923)))/C923)/100)&lt;0,(INT(N923/B923)+(((N923-B923*INT(N923/B923)))/C923)/100)+(1-(B923/C923/100)),(INT(N923/B923)+(((N923-B923*INT(N923/B923)))/C923)/100))))</f>
        <v>0</v>
      </c>
      <c r="AZ923" s="57">
        <f>IF(ISERROR(IF(B923=C923,O923/C923,(INT(O923/B923)+(((O923-B923*INT(O923/B923)))/C923)/100))),0,(IF(B923=C923,O923/C923,(INT(O923/B923)+(((O923-B923*INT(O923/B923)))/C923)/100))))</f>
        <v>0</v>
      </c>
      <c r="BA923" s="57">
        <f>IF(ISERROR(IF(B923=C923,P923/C923,IF((INT(P923/B923)+(((P923-B923*INT(P923/B923)))/C923)/100)&lt;0,(INT(P923/B923)+(((P923-B923*INT(P923/B923)))/C923)/100)+(1-(B923/C923/100)),(INT(P923/B923)+(((P923-B923*INT(P923/B923)))/C923)/100)))),0,IF(B923=C923,P923/C923,IF((INT(P923/B923)+(((P923-B923*INT(P923/B923)))/C923)/100)&lt;0,(INT(P923/B923)+(((P923-B923*INT(P923/B923)))/C923)/100)+(1-(B923/C923/100)),(INT(P923/B923)+(((P923-B923*INT(P923/B923)))/C923)/100))))</f>
        <v>0</v>
      </c>
      <c r="BB923" s="28">
        <f>R923</f>
        <v>0</v>
      </c>
      <c r="BC923" s="28">
        <f>S923</f>
        <v>0</v>
      </c>
      <c r="BD923" s="28">
        <f>AF923</f>
        <v>525</v>
      </c>
      <c r="BE923" s="28">
        <f>T923</f>
        <v>0</v>
      </c>
      <c r="BG923" s="57">
        <f>IF(ISERROR(IF(B923=C923,V923/C923,(INT(V923/B923)+(((V923-B923*INT(V923/B923)))/C923)/100))),0,(IF(B923=C923,V923/C923,(INT(V923/B923)+(((V923-B923*INT(V923/B923)))/C923)/100))))</f>
        <v>0</v>
      </c>
      <c r="BH923" s="57">
        <f>IF(ISERROR(IF(B923=C923,W923/C923,(INT(W923/B923)+(((W923-B923*INT(W923/B923)))/C923)/100))),0,(IF(B923=C923,W923/C923,(INT(W923/B923)+(((W923-B923*INT(W923/B923)))/C923)/100))))</f>
        <v>0</v>
      </c>
      <c r="BI923" s="57">
        <f>IF(ISERROR(IF(B923=C923,X923/C923,(INT(X923/B923)+(((X923-B923*INT(X923/B923)))/C923)/100))),0,(IF(B923=C923,X923/C923,(INT(X923/B923)+(((X923-B923*INT(X923/B923)))/C923)/100))))</f>
        <v>0</v>
      </c>
      <c r="BJ923" s="57">
        <f>IF(ISERROR(IF(B923=C923,Y923/C923,(INT(Y923/B923)+(((Y923-B923*INT(Y923/B923)))/C923)/100))),0,(IF(B923=C923,Y923/C923,(INT(Y923/B923)+(((Y923-B923*INT(Y923/B923)))/C923)/100))))</f>
        <v>0</v>
      </c>
      <c r="BL923" s="57">
        <f>IF(ISERROR(IF(B923=C923,AA923/C923,(INT(AA923/B923)+(((AA923-B923*INT(AA923/B923)))/C923)/100))),0,(IF(B923=C923,AA923/C923,(INT(AA923/B923)+(((AA923-B923*INT(AA923/B923)))/C923)/100))))</f>
        <v>0</v>
      </c>
      <c r="BM923" s="57">
        <f>IF(ISERROR(IF(B923=C923,AB923/C923,(INT(AB923/B923)+(((AB923-B923*INT(AB923/B923)))/C923)/100))),0,(IF(B923=C923,AB923/C923,(INT(AB923/B923)+(((AB923-B923*INT(AB923/B923)))/C923)/100))))</f>
        <v>0</v>
      </c>
      <c r="BN923" s="57">
        <f>IF(ISERROR(IF(B923=C923,AC923/C923,(INT(AC923/B923)+(((AC923-B923*INT(AC923/B923)))/C923)/100))),0,(IF(B923=C923,AC923/C923,(INT(AC923/B923)+(((AC923-B923*INT(AC923/B923)))/C923)/100))))</f>
        <v>0</v>
      </c>
      <c r="BO923" s="57">
        <f>IF(ISERROR(IF(B923=C923,AD923/C923,(INT(AD923/B923)+(((AD923-B923*INT(AD923/B923)))/C923)/100))),0,(IF(B923=C923,AD923/C923,(INT(AD923/B923)+(((AD923-B923*INT(AD923/B923)))/C923)/100))))</f>
        <v>0</v>
      </c>
      <c r="BQ923" s="124" t="s">
        <v>81</v>
      </c>
    </row>
    <row r="924" spans="1:69" hidden="1" x14ac:dyDescent="0.35">
      <c r="A924" s="94"/>
      <c r="B924" s="113">
        <v>0</v>
      </c>
      <c r="C924" s="113">
        <v>0</v>
      </c>
      <c r="D924" s="28">
        <f>SUM(AA924:AD924)</f>
        <v>0</v>
      </c>
      <c r="E924" s="125">
        <v>0</v>
      </c>
      <c r="F924" s="113">
        <v>0</v>
      </c>
      <c r="G924" s="28">
        <f>SUM(D924:F924)</f>
        <v>0</v>
      </c>
      <c r="H924" s="125">
        <v>0</v>
      </c>
      <c r="I924" s="125">
        <v>0</v>
      </c>
      <c r="J924" s="125">
        <v>0</v>
      </c>
      <c r="K924" s="125">
        <v>0</v>
      </c>
      <c r="L924" s="113">
        <v>0</v>
      </c>
      <c r="M924" s="113">
        <v>0</v>
      </c>
      <c r="N924" s="28">
        <f>G924-SUM(H924:M924)</f>
        <v>0</v>
      </c>
      <c r="O924" s="28">
        <f>SUM(V924:Y924)</f>
        <v>0</v>
      </c>
      <c r="P924" s="28">
        <f>O924-N924</f>
        <v>0</v>
      </c>
      <c r="Q924" s="61" t="str">
        <f>IF(ISERROR(P924/SUM(H924:L924)),"",P924/SUM(H924:L924))</f>
        <v/>
      </c>
      <c r="R924" s="113">
        <v>0</v>
      </c>
      <c r="S924" s="28">
        <f>IF(ISERROR(P924/C924*R924),0,(P924/C924*R924))</f>
        <v>0</v>
      </c>
      <c r="T924" s="60">
        <f>IF(ISERROR(P924/B924*AF924),0,(P924/B924*AF924))</f>
        <v>0</v>
      </c>
      <c r="V924" s="113">
        <v>0</v>
      </c>
      <c r="W924" s="113">
        <v>0</v>
      </c>
      <c r="X924" s="113">
        <v>0</v>
      </c>
      <c r="Y924" s="113">
        <v>0</v>
      </c>
      <c r="AA924" s="113">
        <v>0</v>
      </c>
      <c r="AB924" s="113">
        <v>0</v>
      </c>
      <c r="AC924" s="113">
        <v>0</v>
      </c>
      <c r="AD924" s="113">
        <v>0</v>
      </c>
      <c r="AF924" s="54">
        <v>0</v>
      </c>
      <c r="AG924" s="28">
        <f>G924-O924</f>
        <v>0</v>
      </c>
      <c r="AH924" s="58">
        <f>IF(ISERROR(AG924/B924*AF924),0,(AG924/B924*AF924))</f>
        <v>0</v>
      </c>
      <c r="AI924" s="28">
        <f>SUM(H924:M924)</f>
        <v>0</v>
      </c>
      <c r="AJ924" s="28">
        <f>IF(ISERROR(AI924/B924*AF924),0,(AI924/B924*AF924))</f>
        <v>0</v>
      </c>
      <c r="AK924" s="58">
        <f>IF(ISERROR(O924/B924*AF924),0,(O924/B924*AF924))</f>
        <v>0</v>
      </c>
      <c r="AL924" s="28">
        <f>IF(ISERROR(H924/B924*AF924),0,(H924/B924*AF924))</f>
        <v>0</v>
      </c>
      <c r="AN924" s="51">
        <f>A924</f>
        <v>0</v>
      </c>
      <c r="AO924" s="57">
        <f>IF(ISERROR(IF(B924=C924,D924/C924,(INT(D924/B924)+(((D924-B924*INT(D924/B924)))/C924)/100))),0,(IF(B924=C924,D924/C924,(INT(D924/B924)+(((D924-B924*INT(D924/B924)))/C924)/100))))</f>
        <v>0</v>
      </c>
      <c r="AP924" s="57">
        <f>IF(ISERROR(IF(B924=C924,E924/C924,(INT(E924/B924)+(((E924-B924*INT(E924/B924)))/C924)/100))),0,(IF(B924=C924,E924/C924,(INT(E924/B924)+(((E924-B924*INT(E924/B924)))/C924)/100))))</f>
        <v>0</v>
      </c>
      <c r="AQ924" s="57">
        <f>IF(ISERROR(IF(B924=C924,F924/C924,IF((INT(F924/B924)+(((F924-B924*INT(F924/B924)))/C924)/100)&lt;0,(INT(F924/B924)+(((F924-B924*INT(F924/B924)))/C924)/100)+(1-(B924/C924/100)),(INT(F924/B924)+(((F924-B924*INT(F924/B924)))/C924)/100)))),0,IF(B924=C924,F924/C924,IF((INT(F924/B924)+(((F924-B924*INT(F924/B924)))/C924)/100)&lt;0,(INT(F924/B924)+(((F924-B924*INT(F924/B924)))/C924)/100)+(1-(B924/C924/100)),(INT(F924/B924)+(((F924-B924*INT(F924/B924)))/C924)/100))))</f>
        <v>0</v>
      </c>
      <c r="AR924" s="57">
        <f>IF(ISERROR(IF(B924=C924,G924/C924,(INT(G924/B924)+(((G924-B924*INT(G924/B924)))/C924)/100))),0,(IF(B924=C924,G924/C924,(INT(G924/B924)+(((G924-B924*INT(G924/B924)))/C924)/100))))</f>
        <v>0</v>
      </c>
      <c r="AS924" s="57">
        <f>IF(ISERROR(IF(B924=C924,H924/C924,(INT(H924/B924)+(((H924-B924*INT(H924/B924)))/C924)/100))),0,(IF(B924=C924,H924/C924,(INT(H924/B924)+(((H924-B924*INT(H924/B924)))/C924)/100))))</f>
        <v>0</v>
      </c>
      <c r="AT924" s="57">
        <f>IF(ISERROR(IF(B924=C924,I924/C924,(INT(I924/B924)+(((I924-B924*INT(I924/B924)))/C924)/100))),0,(IF(B924=C924,I924/C924,(INT(I924/B924)+(((I924-B924*INT(I924/B924)))/C924)/100))))</f>
        <v>0</v>
      </c>
      <c r="AU924" s="57">
        <f>IF(ISERROR(IF(B924=C924,J924/C924,(INT(J924/B924)+(((J924-B924*INT(J924/B924)))/C924)/100))),0,(IF(B924=C924,J924/C924,(INT(J924/B924)+(((J924-B924*INT(J924/B924)))/C924)/100))))</f>
        <v>0</v>
      </c>
      <c r="AV924" s="57">
        <f>IF(ISERROR(IF(B924=C924,K924/C924,IF((INT(K924/B924)+(((K924-B924*INT(K924/B924)))/C924)/100)&lt;0,(INT(K924/B924)+(((K924-B924*INT(K924/B924)))/C924)/100)+(1-(B924/C924/100)),(INT(K924/B924)+(((K924-B924*INT(K924/B924)))/C924)/100)))),0,IF(B924=C924,K924/C924,IF((INT(K924/B924)+(((K924-B924*INT(K924/B924)))/C924)/100)&lt;0,(INT(K924/B924)+(((K924-B924*INT(K924/B924)))/C924)/100)+(1-(B924/C924/100)),(INT(K924/B924)+(((K924-B924*INT(K924/B924)))/C924)/100))))</f>
        <v>0</v>
      </c>
      <c r="AW924" s="57">
        <f>IF(ISERROR(IF(B924=C924,L924/C924,(INT(L924/B924)+(((L924-B924*INT(L924/B924)))/C924)/100))),0,(IF(B924=C924,L924/C924,(INT(L924/B924)+(((L924-B924*INT(L924/B924)))/C924)/100))))</f>
        <v>0</v>
      </c>
      <c r="AX924" s="57">
        <f>IF(ISERROR(IF(B924=C924,M924/C924,(INT(M924/B924)+(((M924-B924*INT(M924/B924)))/C924)/100))),0,(IF(B924=C924,M924/C924,(INT(M924/B924)+(((M924-B924*INT(M924/B924)))/C924)/100))))</f>
        <v>0</v>
      </c>
      <c r="AY924" s="57">
        <f>IF(ISERROR(IF(B924=C924,N924/C924,IF((INT(N924/B924)+(((N924-B924*INT(N924/B924)))/C924)/100)&lt;0,(INT(N924/B924)+(((N924-B924*INT(N924/B924)))/C924)/100)+(1-(B924/C924/100)),(INT(N924/B924)+(((N924-B924*INT(N924/B924)))/C924)/100)))),0,IF(B924=C924,N924/C924,IF((INT(N924/B924)+(((N924-B924*INT(N924/B924)))/C924)/100)&lt;0,(INT(N924/B924)+(((N924-B924*INT(N924/B924)))/C924)/100)+(1-(B924/C924/100)),(INT(N924/B924)+(((N924-B924*INT(N924/B924)))/C924)/100))))</f>
        <v>0</v>
      </c>
      <c r="AZ924" s="57">
        <f>IF(ISERROR(IF(B924=C924,O924/C924,(INT(O924/B924)+(((O924-B924*INT(O924/B924)))/C924)/100))),0,(IF(B924=C924,O924/C924,(INT(O924/B924)+(((O924-B924*INT(O924/B924)))/C924)/100))))</f>
        <v>0</v>
      </c>
      <c r="BA924" s="57">
        <f>IF(ISERROR(IF(B924=C924,P924/C924,IF((INT(P924/B924)+(((P924-B924*INT(P924/B924)))/C924)/100)&lt;0,(INT(P924/B924)+(((P924-B924*INT(P924/B924)))/C924)/100)+(1-(B924/C924/100)),(INT(P924/B924)+(((P924-B924*INT(P924/B924)))/C924)/100)))),0,IF(B924=C924,P924/C924,IF((INT(P924/B924)+(((P924-B924*INT(P924/B924)))/C924)/100)&lt;0,(INT(P924/B924)+(((P924-B924*INT(P924/B924)))/C924)/100)+(1-(B924/C924/100)),(INT(P924/B924)+(((P924-B924*INT(P924/B924)))/C924)/100))))</f>
        <v>0</v>
      </c>
      <c r="BB924" s="28">
        <f>R924</f>
        <v>0</v>
      </c>
      <c r="BC924" s="28">
        <f>S924</f>
        <v>0</v>
      </c>
      <c r="BD924" s="28">
        <f>AF924</f>
        <v>0</v>
      </c>
      <c r="BE924" s="28">
        <f>T924</f>
        <v>0</v>
      </c>
      <c r="BG924" s="57">
        <f>IF(ISERROR(IF(B924=C924,V924/C924,(INT(V924/B924)+(((V924-B924*INT(V924/B924)))/C924)/100))),0,(IF(B924=C924,V924/C924,(INT(V924/B924)+(((V924-B924*INT(V924/B924)))/C924)/100))))</f>
        <v>0</v>
      </c>
      <c r="BH924" s="57">
        <f>IF(ISERROR(IF(B924=C924,W924/C924,(INT(W924/B924)+(((W924-B924*INT(W924/B924)))/C924)/100))),0,(IF(B924=C924,W924/C924,(INT(W924/B924)+(((W924-B924*INT(W924/B924)))/C924)/100))))</f>
        <v>0</v>
      </c>
      <c r="BI924" s="57">
        <f>IF(ISERROR(IF(B924=C924,X924/C924,(INT(X924/B924)+(((X924-B924*INT(X924/B924)))/C924)/100))),0,(IF(B924=C924,X924/C924,(INT(X924/B924)+(((X924-B924*INT(X924/B924)))/C924)/100))))</f>
        <v>0</v>
      </c>
      <c r="BJ924" s="57">
        <f>IF(ISERROR(IF(B924=C924,Y924/C924,(INT(Y924/B924)+(((Y924-B924*INT(Y924/B924)))/C924)/100))),0,(IF(B924=C924,Y924/C924,(INT(Y924/B924)+(((Y924-B924*INT(Y924/B924)))/C924)/100))))</f>
        <v>0</v>
      </c>
      <c r="BL924" s="57">
        <f>IF(ISERROR(IF(B924=C924,AA924/C924,(INT(AA924/B924)+(((AA924-B924*INT(AA924/B924)))/C924)/100))),0,(IF(B924=C924,AA924/C924,(INT(AA924/B924)+(((AA924-B924*INT(AA924/B924)))/C924)/100))))</f>
        <v>0</v>
      </c>
      <c r="BM924" s="57">
        <f>IF(ISERROR(IF(B924=C924,AB924/C924,(INT(AB924/B924)+(((AB924-B924*INT(AB924/B924)))/C924)/100))),0,(IF(B924=C924,AB924/C924,(INT(AB924/B924)+(((AB924-B924*INT(AB924/B924)))/C924)/100))))</f>
        <v>0</v>
      </c>
      <c r="BN924" s="57">
        <f>IF(ISERROR(IF(B924=C924,AC924/C924,(INT(AC924/B924)+(((AC924-B924*INT(AC924/B924)))/C924)/100))),0,(IF(B924=C924,AC924/C924,(INT(AC924/B924)+(((AC924-B924*INT(AC924/B924)))/C924)/100))))</f>
        <v>0</v>
      </c>
      <c r="BO924" s="57">
        <f>IF(ISERROR(IF(B924=C924,AD924/C924,(INT(AD924/B924)+(((AD924-B924*INT(AD924/B924)))/C924)/100))),0,(IF(B924=C924,AD924/C924,(INT(AD924/B924)+(((AD924-B924*INT(AD924/B924)))/C924)/100))))</f>
        <v>0</v>
      </c>
      <c r="BQ924" s="124" t="s">
        <v>81</v>
      </c>
    </row>
    <row r="925" spans="1:69" hidden="1" x14ac:dyDescent="0.35">
      <c r="A925" s="94"/>
      <c r="B925" s="113">
        <v>0</v>
      </c>
      <c r="C925" s="113">
        <v>0</v>
      </c>
      <c r="D925" s="28">
        <f>SUM(AA925:AD925)</f>
        <v>0</v>
      </c>
      <c r="E925" s="125">
        <v>0</v>
      </c>
      <c r="F925" s="113">
        <v>0</v>
      </c>
      <c r="G925" s="28">
        <f>SUM(D925:F925)</f>
        <v>0</v>
      </c>
      <c r="H925" s="125">
        <v>0</v>
      </c>
      <c r="I925" s="125">
        <v>0</v>
      </c>
      <c r="J925" s="125">
        <v>0</v>
      </c>
      <c r="K925" s="125">
        <v>0</v>
      </c>
      <c r="L925" s="113">
        <v>0</v>
      </c>
      <c r="M925" s="113">
        <v>0</v>
      </c>
      <c r="N925" s="28">
        <f>G925-SUM(H925:M925)</f>
        <v>0</v>
      </c>
      <c r="O925" s="28">
        <f>SUM(V925:Y925)</f>
        <v>0</v>
      </c>
      <c r="P925" s="28">
        <f>O925-N925</f>
        <v>0</v>
      </c>
      <c r="Q925" s="61" t="str">
        <f>IF(ISERROR(P925/SUM(H925:L925)),"",P925/SUM(H925:L925))</f>
        <v/>
      </c>
      <c r="R925" s="113">
        <v>0</v>
      </c>
      <c r="S925" s="28">
        <f>IF(ISERROR(P925/C925*R925),0,(P925/C925*R925))</f>
        <v>0</v>
      </c>
      <c r="T925" s="60">
        <f>IF(ISERROR(P925/B925*AF925),0,(P925/B925*AF925))</f>
        <v>0</v>
      </c>
      <c r="V925" s="113">
        <v>0</v>
      </c>
      <c r="W925" s="113">
        <v>0</v>
      </c>
      <c r="X925" s="113">
        <v>0</v>
      </c>
      <c r="Y925" s="113">
        <v>0</v>
      </c>
      <c r="AA925" s="113">
        <v>0</v>
      </c>
      <c r="AB925" s="113">
        <v>0</v>
      </c>
      <c r="AC925" s="113">
        <v>0</v>
      </c>
      <c r="AD925" s="113">
        <v>0</v>
      </c>
      <c r="AF925" s="54">
        <v>0</v>
      </c>
      <c r="AG925" s="28">
        <f>G925-O925</f>
        <v>0</v>
      </c>
      <c r="AH925" s="58">
        <f>IF(ISERROR(AG925/B925*AF925),0,(AG925/B925*AF925))</f>
        <v>0</v>
      </c>
      <c r="AI925" s="28">
        <f>SUM(H925:M925)</f>
        <v>0</v>
      </c>
      <c r="AJ925" s="28">
        <f>IF(ISERROR(AI925/B925*AF925),0,(AI925/B925*AF925))</f>
        <v>0</v>
      </c>
      <c r="AK925" s="58">
        <f>IF(ISERROR(O925/B925*AF925),0,(O925/B925*AF925))</f>
        <v>0</v>
      </c>
      <c r="AL925" s="28">
        <f>IF(ISERROR(H925/B925*AF925),0,(H925/B925*AF925))</f>
        <v>0</v>
      </c>
      <c r="AN925" s="51">
        <f>A925</f>
        <v>0</v>
      </c>
      <c r="AO925" s="57">
        <f>IF(ISERROR(IF(B925=C925,D925/C925,(INT(D925/B925)+(((D925-B925*INT(D925/B925)))/C925)/100))),0,(IF(B925=C925,D925/C925,(INT(D925/B925)+(((D925-B925*INT(D925/B925)))/C925)/100))))</f>
        <v>0</v>
      </c>
      <c r="AP925" s="57">
        <f>IF(ISERROR(IF(B925=C925,E925/C925,(INT(E925/B925)+(((E925-B925*INT(E925/B925)))/C925)/100))),0,(IF(B925=C925,E925/C925,(INT(E925/B925)+(((E925-B925*INT(E925/B925)))/C925)/100))))</f>
        <v>0</v>
      </c>
      <c r="AQ925" s="57">
        <f>IF(ISERROR(IF(B925=C925,F925/C925,IF((INT(F925/B925)+(((F925-B925*INT(F925/B925)))/C925)/100)&lt;0,(INT(F925/B925)+(((F925-B925*INT(F925/B925)))/C925)/100)+(1-(B925/C925/100)),(INT(F925/B925)+(((F925-B925*INT(F925/B925)))/C925)/100)))),0,IF(B925=C925,F925/C925,IF((INT(F925/B925)+(((F925-B925*INT(F925/B925)))/C925)/100)&lt;0,(INT(F925/B925)+(((F925-B925*INT(F925/B925)))/C925)/100)+(1-(B925/C925/100)),(INT(F925/B925)+(((F925-B925*INT(F925/B925)))/C925)/100))))</f>
        <v>0</v>
      </c>
      <c r="AR925" s="57">
        <f>IF(ISERROR(IF(B925=C925,G925/C925,(INT(G925/B925)+(((G925-B925*INT(G925/B925)))/C925)/100))),0,(IF(B925=C925,G925/C925,(INT(G925/B925)+(((G925-B925*INT(G925/B925)))/C925)/100))))</f>
        <v>0</v>
      </c>
      <c r="AS925" s="57">
        <f>IF(ISERROR(IF(B925=C925,H925/C925,(INT(H925/B925)+(((H925-B925*INT(H925/B925)))/C925)/100))),0,(IF(B925=C925,H925/C925,(INT(H925/B925)+(((H925-B925*INT(H925/B925)))/C925)/100))))</f>
        <v>0</v>
      </c>
      <c r="AT925" s="57">
        <f>IF(ISERROR(IF(B925=C925,I925/C925,(INT(I925/B925)+(((I925-B925*INT(I925/B925)))/C925)/100))),0,(IF(B925=C925,I925/C925,(INT(I925/B925)+(((I925-B925*INT(I925/B925)))/C925)/100))))</f>
        <v>0</v>
      </c>
      <c r="AU925" s="57">
        <f>IF(ISERROR(IF(B925=C925,J925/C925,(INT(J925/B925)+(((J925-B925*INT(J925/B925)))/C925)/100))),0,(IF(B925=C925,J925/C925,(INT(J925/B925)+(((J925-B925*INT(J925/B925)))/C925)/100))))</f>
        <v>0</v>
      </c>
      <c r="AV925" s="57">
        <f>IF(ISERROR(IF(B925=C925,K925/C925,IF((INT(K925/B925)+(((K925-B925*INT(K925/B925)))/C925)/100)&lt;0,(INT(K925/B925)+(((K925-B925*INT(K925/B925)))/C925)/100)+(1-(B925/C925/100)),(INT(K925/B925)+(((K925-B925*INT(K925/B925)))/C925)/100)))),0,IF(B925=C925,K925/C925,IF((INT(K925/B925)+(((K925-B925*INT(K925/B925)))/C925)/100)&lt;0,(INT(K925/B925)+(((K925-B925*INT(K925/B925)))/C925)/100)+(1-(B925/C925/100)),(INT(K925/B925)+(((K925-B925*INT(K925/B925)))/C925)/100))))</f>
        <v>0</v>
      </c>
      <c r="AW925" s="57">
        <f>IF(ISERROR(IF(B925=C925,L925/C925,(INT(L925/B925)+(((L925-B925*INT(L925/B925)))/C925)/100))),0,(IF(B925=C925,L925/C925,(INT(L925/B925)+(((L925-B925*INT(L925/B925)))/C925)/100))))</f>
        <v>0</v>
      </c>
      <c r="AX925" s="57">
        <f>IF(ISERROR(IF(B925=C925,M925/C925,(INT(M925/B925)+(((M925-B925*INT(M925/B925)))/C925)/100))),0,(IF(B925=C925,M925/C925,(INT(M925/B925)+(((M925-B925*INT(M925/B925)))/C925)/100))))</f>
        <v>0</v>
      </c>
      <c r="AY925" s="57">
        <f>IF(ISERROR(IF(B925=C925,N925/C925,IF((INT(N925/B925)+(((N925-B925*INT(N925/B925)))/C925)/100)&lt;0,(INT(N925/B925)+(((N925-B925*INT(N925/B925)))/C925)/100)+(1-(B925/C925/100)),(INT(N925/B925)+(((N925-B925*INT(N925/B925)))/C925)/100)))),0,IF(B925=C925,N925/C925,IF((INT(N925/B925)+(((N925-B925*INT(N925/B925)))/C925)/100)&lt;0,(INT(N925/B925)+(((N925-B925*INT(N925/B925)))/C925)/100)+(1-(B925/C925/100)),(INT(N925/B925)+(((N925-B925*INT(N925/B925)))/C925)/100))))</f>
        <v>0</v>
      </c>
      <c r="AZ925" s="57">
        <f>IF(ISERROR(IF(B925=C925,O925/C925,(INT(O925/B925)+(((O925-B925*INT(O925/B925)))/C925)/100))),0,(IF(B925=C925,O925/C925,(INT(O925/B925)+(((O925-B925*INT(O925/B925)))/C925)/100))))</f>
        <v>0</v>
      </c>
      <c r="BA925" s="57">
        <f>IF(ISERROR(IF(B925=C925,P925/C925,IF((INT(P925/B925)+(((P925-B925*INT(P925/B925)))/C925)/100)&lt;0,(INT(P925/B925)+(((P925-B925*INT(P925/B925)))/C925)/100)+(1-(B925/C925/100)),(INT(P925/B925)+(((P925-B925*INT(P925/B925)))/C925)/100)))),0,IF(B925=C925,P925/C925,IF((INT(P925/B925)+(((P925-B925*INT(P925/B925)))/C925)/100)&lt;0,(INT(P925/B925)+(((P925-B925*INT(P925/B925)))/C925)/100)+(1-(B925/C925/100)),(INT(P925/B925)+(((P925-B925*INT(P925/B925)))/C925)/100))))</f>
        <v>0</v>
      </c>
      <c r="BB925" s="28">
        <f>R925</f>
        <v>0</v>
      </c>
      <c r="BC925" s="28">
        <f>S925</f>
        <v>0</v>
      </c>
      <c r="BD925" s="28">
        <f>AF925</f>
        <v>0</v>
      </c>
      <c r="BE925" s="28">
        <f>T925</f>
        <v>0</v>
      </c>
      <c r="BG925" s="57">
        <f>IF(ISERROR(IF(B925=C925,V925/C925,(INT(V925/B925)+(((V925-B925*INT(V925/B925)))/C925)/100))),0,(IF(B925=C925,V925/C925,(INT(V925/B925)+(((V925-B925*INT(V925/B925)))/C925)/100))))</f>
        <v>0</v>
      </c>
      <c r="BH925" s="57">
        <f>IF(ISERROR(IF(B925=C925,W925/C925,(INT(W925/B925)+(((W925-B925*INT(W925/B925)))/C925)/100))),0,(IF(B925=C925,W925/C925,(INT(W925/B925)+(((W925-B925*INT(W925/B925)))/C925)/100))))</f>
        <v>0</v>
      </c>
      <c r="BI925" s="57">
        <f>IF(ISERROR(IF(B925=C925,X925/C925,(INT(X925/B925)+(((X925-B925*INT(X925/B925)))/C925)/100))),0,(IF(B925=C925,X925/C925,(INT(X925/B925)+(((X925-B925*INT(X925/B925)))/C925)/100))))</f>
        <v>0</v>
      </c>
      <c r="BJ925" s="57">
        <f>IF(ISERROR(IF(B925=C925,Y925/C925,(INT(Y925/B925)+(((Y925-B925*INT(Y925/B925)))/C925)/100))),0,(IF(B925=C925,Y925/C925,(INT(Y925/B925)+(((Y925-B925*INT(Y925/B925)))/C925)/100))))</f>
        <v>0</v>
      </c>
      <c r="BL925" s="57">
        <f>IF(ISERROR(IF(B925=C925,AA925/C925,(INT(AA925/B925)+(((AA925-B925*INT(AA925/B925)))/C925)/100))),0,(IF(B925=C925,AA925/C925,(INT(AA925/B925)+(((AA925-B925*INT(AA925/B925)))/C925)/100))))</f>
        <v>0</v>
      </c>
      <c r="BM925" s="57">
        <f>IF(ISERROR(IF(B925=C925,AB925/C925,(INT(AB925/B925)+(((AB925-B925*INT(AB925/B925)))/C925)/100))),0,(IF(B925=C925,AB925/C925,(INT(AB925/B925)+(((AB925-B925*INT(AB925/B925)))/C925)/100))))</f>
        <v>0</v>
      </c>
      <c r="BN925" s="57">
        <f>IF(ISERROR(IF(B925=C925,AC925/C925,(INT(AC925/B925)+(((AC925-B925*INT(AC925/B925)))/C925)/100))),0,(IF(B925=C925,AC925/C925,(INT(AC925/B925)+(((AC925-B925*INT(AC925/B925)))/C925)/100))))</f>
        <v>0</v>
      </c>
      <c r="BO925" s="57">
        <f>IF(ISERROR(IF(B925=C925,AD925/C925,(INT(AD925/B925)+(((AD925-B925*INT(AD925/B925)))/C925)/100))),0,(IF(B925=C925,AD925/C925,(INT(AD925/B925)+(((AD925-B925*INT(AD925/B925)))/C925)/100))))</f>
        <v>0</v>
      </c>
      <c r="BQ925" s="124" t="s">
        <v>81</v>
      </c>
    </row>
    <row r="926" spans="1:69" hidden="1" x14ac:dyDescent="0.35">
      <c r="A926" s="94"/>
      <c r="B926" s="113">
        <v>0</v>
      </c>
      <c r="C926" s="113">
        <v>0</v>
      </c>
      <c r="D926" s="28">
        <f>SUM(AA926:AD926)</f>
        <v>0</v>
      </c>
      <c r="E926" s="125">
        <v>0</v>
      </c>
      <c r="F926" s="113">
        <v>0</v>
      </c>
      <c r="G926" s="28">
        <f>SUM(D926:F926)</f>
        <v>0</v>
      </c>
      <c r="H926" s="125">
        <v>0</v>
      </c>
      <c r="I926" s="125">
        <v>0</v>
      </c>
      <c r="J926" s="125">
        <v>0</v>
      </c>
      <c r="K926" s="125">
        <v>0</v>
      </c>
      <c r="L926" s="113">
        <v>0</v>
      </c>
      <c r="M926" s="113">
        <v>0</v>
      </c>
      <c r="N926" s="28">
        <f>G926-SUM(H926:M926)</f>
        <v>0</v>
      </c>
      <c r="O926" s="28">
        <f>SUM(V926:Y926)</f>
        <v>0</v>
      </c>
      <c r="P926" s="28">
        <f>O926-N926</f>
        <v>0</v>
      </c>
      <c r="Q926" s="61" t="str">
        <f>IF(ISERROR(P926/SUM(H926:L926)),"",P926/SUM(H926:L926))</f>
        <v/>
      </c>
      <c r="R926" s="113">
        <v>0</v>
      </c>
      <c r="S926" s="28">
        <f>IF(ISERROR(P926/C926*R926),0,(P926/C926*R926))</f>
        <v>0</v>
      </c>
      <c r="T926" s="60">
        <f>IF(ISERROR(P926/B926*AF926),0,(P926/B926*AF926))</f>
        <v>0</v>
      </c>
      <c r="V926" s="113">
        <v>0</v>
      </c>
      <c r="W926" s="113">
        <v>0</v>
      </c>
      <c r="X926" s="113">
        <v>0</v>
      </c>
      <c r="Y926" s="113">
        <v>0</v>
      </c>
      <c r="AA926" s="113">
        <v>0</v>
      </c>
      <c r="AB926" s="113">
        <v>0</v>
      </c>
      <c r="AC926" s="113">
        <v>0</v>
      </c>
      <c r="AD926" s="113">
        <v>0</v>
      </c>
      <c r="AF926" s="54">
        <v>0</v>
      </c>
      <c r="AG926" s="28">
        <f>G926-O926</f>
        <v>0</v>
      </c>
      <c r="AH926" s="58">
        <f>IF(ISERROR(AG926/B926*AF926),0,(AG926/B926*AF926))</f>
        <v>0</v>
      </c>
      <c r="AI926" s="28">
        <f>SUM(H926:M926)</f>
        <v>0</v>
      </c>
      <c r="AJ926" s="28">
        <f>IF(ISERROR(AI926/B926*AF926),0,(AI926/B926*AF926))</f>
        <v>0</v>
      </c>
      <c r="AK926" s="58">
        <f>IF(ISERROR(O926/B926*AF926),0,(O926/B926*AF926))</f>
        <v>0</v>
      </c>
      <c r="AL926" s="28">
        <f>IF(ISERROR(H926/B926*AF926),0,(H926/B926*AF926))</f>
        <v>0</v>
      </c>
      <c r="AN926" s="51">
        <f>A926</f>
        <v>0</v>
      </c>
      <c r="AO926" s="57">
        <f>IF(ISERROR(IF(B926=C926,D926/C926,(INT(D926/B926)+(((D926-B926*INT(D926/B926)))/C926)/100))),0,(IF(B926=C926,D926/C926,(INT(D926/B926)+(((D926-B926*INT(D926/B926)))/C926)/100))))</f>
        <v>0</v>
      </c>
      <c r="AP926" s="57">
        <f>IF(ISERROR(IF(B926=C926,E926/C926,(INT(E926/B926)+(((E926-B926*INT(E926/B926)))/C926)/100))),0,(IF(B926=C926,E926/C926,(INT(E926/B926)+(((E926-B926*INT(E926/B926)))/C926)/100))))</f>
        <v>0</v>
      </c>
      <c r="AQ926" s="57">
        <f>IF(ISERROR(IF(B926=C926,F926/C926,IF((INT(F926/B926)+(((F926-B926*INT(F926/B926)))/C926)/100)&lt;0,(INT(F926/B926)+(((F926-B926*INT(F926/B926)))/C926)/100)+(1-(B926/C926/100)),(INT(F926/B926)+(((F926-B926*INT(F926/B926)))/C926)/100)))),0,IF(B926=C926,F926/C926,IF((INT(F926/B926)+(((F926-B926*INT(F926/B926)))/C926)/100)&lt;0,(INT(F926/B926)+(((F926-B926*INT(F926/B926)))/C926)/100)+(1-(B926/C926/100)),(INT(F926/B926)+(((F926-B926*INT(F926/B926)))/C926)/100))))</f>
        <v>0</v>
      </c>
      <c r="AR926" s="57">
        <f>IF(ISERROR(IF(B926=C926,G926/C926,(INT(G926/B926)+(((G926-B926*INT(G926/B926)))/C926)/100))),0,(IF(B926=C926,G926/C926,(INT(G926/B926)+(((G926-B926*INT(G926/B926)))/C926)/100))))</f>
        <v>0</v>
      </c>
      <c r="AS926" s="57">
        <f>IF(ISERROR(IF(B926=C926,H926/C926,(INT(H926/B926)+(((H926-B926*INT(H926/B926)))/C926)/100))),0,(IF(B926=C926,H926/C926,(INT(H926/B926)+(((H926-B926*INT(H926/B926)))/C926)/100))))</f>
        <v>0</v>
      </c>
      <c r="AT926" s="57">
        <f>IF(ISERROR(IF(B926=C926,I926/C926,(INT(I926/B926)+(((I926-B926*INT(I926/B926)))/C926)/100))),0,(IF(B926=C926,I926/C926,(INT(I926/B926)+(((I926-B926*INT(I926/B926)))/C926)/100))))</f>
        <v>0</v>
      </c>
      <c r="AU926" s="57">
        <f>IF(ISERROR(IF(B926=C926,J926/C926,(INT(J926/B926)+(((J926-B926*INT(J926/B926)))/C926)/100))),0,(IF(B926=C926,J926/C926,(INT(J926/B926)+(((J926-B926*INT(J926/B926)))/C926)/100))))</f>
        <v>0</v>
      </c>
      <c r="AV926" s="57">
        <f>IF(ISERROR(IF(B926=C926,K926/C926,IF((INT(K926/B926)+(((K926-B926*INT(K926/B926)))/C926)/100)&lt;0,(INT(K926/B926)+(((K926-B926*INT(K926/B926)))/C926)/100)+(1-(B926/C926/100)),(INT(K926/B926)+(((K926-B926*INT(K926/B926)))/C926)/100)))),0,IF(B926=C926,K926/C926,IF((INT(K926/B926)+(((K926-B926*INT(K926/B926)))/C926)/100)&lt;0,(INT(K926/B926)+(((K926-B926*INT(K926/B926)))/C926)/100)+(1-(B926/C926/100)),(INT(K926/B926)+(((K926-B926*INT(K926/B926)))/C926)/100))))</f>
        <v>0</v>
      </c>
      <c r="AW926" s="57">
        <f>IF(ISERROR(IF(B926=C926,L926/C926,(INT(L926/B926)+(((L926-B926*INT(L926/B926)))/C926)/100))),0,(IF(B926=C926,L926/C926,(INT(L926/B926)+(((L926-B926*INT(L926/B926)))/C926)/100))))</f>
        <v>0</v>
      </c>
      <c r="AX926" s="57">
        <f>IF(ISERROR(IF(B926=C926,M926/C926,(INT(M926/B926)+(((M926-B926*INT(M926/B926)))/C926)/100))),0,(IF(B926=C926,M926/C926,(INT(M926/B926)+(((M926-B926*INT(M926/B926)))/C926)/100))))</f>
        <v>0</v>
      </c>
      <c r="AY926" s="57">
        <f>IF(ISERROR(IF(B926=C926,N926/C926,IF((INT(N926/B926)+(((N926-B926*INT(N926/B926)))/C926)/100)&lt;0,(INT(N926/B926)+(((N926-B926*INT(N926/B926)))/C926)/100)+(1-(B926/C926/100)),(INT(N926/B926)+(((N926-B926*INT(N926/B926)))/C926)/100)))),0,IF(B926=C926,N926/C926,IF((INT(N926/B926)+(((N926-B926*INT(N926/B926)))/C926)/100)&lt;0,(INT(N926/B926)+(((N926-B926*INT(N926/B926)))/C926)/100)+(1-(B926/C926/100)),(INT(N926/B926)+(((N926-B926*INT(N926/B926)))/C926)/100))))</f>
        <v>0</v>
      </c>
      <c r="AZ926" s="57">
        <f>IF(ISERROR(IF(B926=C926,O926/C926,(INT(O926/B926)+(((O926-B926*INT(O926/B926)))/C926)/100))),0,(IF(B926=C926,O926/C926,(INT(O926/B926)+(((O926-B926*INT(O926/B926)))/C926)/100))))</f>
        <v>0</v>
      </c>
      <c r="BA926" s="57">
        <f>IF(ISERROR(IF(B926=C926,P926/C926,IF((INT(P926/B926)+(((P926-B926*INT(P926/B926)))/C926)/100)&lt;0,(INT(P926/B926)+(((P926-B926*INT(P926/B926)))/C926)/100)+(1-(B926/C926/100)),(INT(P926/B926)+(((P926-B926*INT(P926/B926)))/C926)/100)))),0,IF(B926=C926,P926/C926,IF((INT(P926/B926)+(((P926-B926*INT(P926/B926)))/C926)/100)&lt;0,(INT(P926/B926)+(((P926-B926*INT(P926/B926)))/C926)/100)+(1-(B926/C926/100)),(INT(P926/B926)+(((P926-B926*INT(P926/B926)))/C926)/100))))</f>
        <v>0</v>
      </c>
      <c r="BB926" s="28">
        <f>R926</f>
        <v>0</v>
      </c>
      <c r="BC926" s="28">
        <f>S926</f>
        <v>0</v>
      </c>
      <c r="BD926" s="28">
        <f>AF926</f>
        <v>0</v>
      </c>
      <c r="BE926" s="28">
        <f>T926</f>
        <v>0</v>
      </c>
      <c r="BG926" s="57">
        <f>IF(ISERROR(IF(B926=C926,V926/C926,(INT(V926/B926)+(((V926-B926*INT(V926/B926)))/C926)/100))),0,(IF(B926=C926,V926/C926,(INT(V926/B926)+(((V926-B926*INT(V926/B926)))/C926)/100))))</f>
        <v>0</v>
      </c>
      <c r="BH926" s="57">
        <f>IF(ISERROR(IF(B926=C926,W926/C926,(INT(W926/B926)+(((W926-B926*INT(W926/B926)))/C926)/100))),0,(IF(B926=C926,W926/C926,(INT(W926/B926)+(((W926-B926*INT(W926/B926)))/C926)/100))))</f>
        <v>0</v>
      </c>
      <c r="BI926" s="57">
        <f>IF(ISERROR(IF(B926=C926,X926/C926,(INT(X926/B926)+(((X926-B926*INT(X926/B926)))/C926)/100))),0,(IF(B926=C926,X926/C926,(INT(X926/B926)+(((X926-B926*INT(X926/B926)))/C926)/100))))</f>
        <v>0</v>
      </c>
      <c r="BJ926" s="57">
        <f>IF(ISERROR(IF(B926=C926,Y926/C926,(INT(Y926/B926)+(((Y926-B926*INT(Y926/B926)))/C926)/100))),0,(IF(B926=C926,Y926/C926,(INT(Y926/B926)+(((Y926-B926*INT(Y926/B926)))/C926)/100))))</f>
        <v>0</v>
      </c>
      <c r="BL926" s="57">
        <f>IF(ISERROR(IF(B926=C926,AA926/C926,(INT(AA926/B926)+(((AA926-B926*INT(AA926/B926)))/C926)/100))),0,(IF(B926=C926,AA926/C926,(INT(AA926/B926)+(((AA926-B926*INT(AA926/B926)))/C926)/100))))</f>
        <v>0</v>
      </c>
      <c r="BM926" s="57">
        <f>IF(ISERROR(IF(B926=C926,AB926/C926,(INT(AB926/B926)+(((AB926-B926*INT(AB926/B926)))/C926)/100))),0,(IF(B926=C926,AB926/C926,(INT(AB926/B926)+(((AB926-B926*INT(AB926/B926)))/C926)/100))))</f>
        <v>0</v>
      </c>
      <c r="BN926" s="57">
        <f>IF(ISERROR(IF(B926=C926,AC926/C926,(INT(AC926/B926)+(((AC926-B926*INT(AC926/B926)))/C926)/100))),0,(IF(B926=C926,AC926/C926,(INT(AC926/B926)+(((AC926-B926*INT(AC926/B926)))/C926)/100))))</f>
        <v>0</v>
      </c>
      <c r="BO926" s="57">
        <f>IF(ISERROR(IF(B926=C926,AD926/C926,(INT(AD926/B926)+(((AD926-B926*INT(AD926/B926)))/C926)/100))),0,(IF(B926=C926,AD926/C926,(INT(AD926/B926)+(((AD926-B926*INT(AD926/B926)))/C926)/100))))</f>
        <v>0</v>
      </c>
      <c r="BQ926" s="124" t="s">
        <v>81</v>
      </c>
    </row>
    <row r="927" spans="1:69" hidden="1" x14ac:dyDescent="0.35">
      <c r="A927" s="94"/>
      <c r="B927" s="113">
        <v>0</v>
      </c>
      <c r="C927" s="113">
        <v>0</v>
      </c>
      <c r="D927" s="28">
        <f>SUM(AA927:AD927)</f>
        <v>0</v>
      </c>
      <c r="E927" s="125">
        <v>0</v>
      </c>
      <c r="F927" s="113">
        <v>0</v>
      </c>
      <c r="G927" s="28">
        <f>SUM(D927:F927)</f>
        <v>0</v>
      </c>
      <c r="H927" s="125">
        <v>0</v>
      </c>
      <c r="I927" s="125">
        <v>0</v>
      </c>
      <c r="J927" s="125">
        <v>0</v>
      </c>
      <c r="K927" s="125">
        <v>0</v>
      </c>
      <c r="L927" s="113">
        <v>0</v>
      </c>
      <c r="M927" s="113">
        <v>0</v>
      </c>
      <c r="N927" s="28">
        <f>G927-SUM(H927:M927)</f>
        <v>0</v>
      </c>
      <c r="O927" s="28">
        <f>SUM(V927:Y927)</f>
        <v>0</v>
      </c>
      <c r="P927" s="28">
        <f>O927-N927</f>
        <v>0</v>
      </c>
      <c r="Q927" s="61" t="str">
        <f>IF(ISERROR(P927/SUM(H927:L927)),"",P927/SUM(H927:L927))</f>
        <v/>
      </c>
      <c r="R927" s="113">
        <v>0</v>
      </c>
      <c r="S927" s="28">
        <f>IF(ISERROR(P927/C927*R927),0,(P927/C927*R927))</f>
        <v>0</v>
      </c>
      <c r="T927" s="60">
        <f>IF(ISERROR(P927/B927*AF927),0,(P927/B927*AF927))</f>
        <v>0</v>
      </c>
      <c r="V927" s="113">
        <v>0</v>
      </c>
      <c r="W927" s="113">
        <v>0</v>
      </c>
      <c r="X927" s="113">
        <v>0</v>
      </c>
      <c r="Y927" s="113">
        <v>0</v>
      </c>
      <c r="AA927" s="113">
        <v>0</v>
      </c>
      <c r="AB927" s="113">
        <v>0</v>
      </c>
      <c r="AC927" s="113">
        <v>0</v>
      </c>
      <c r="AD927" s="113">
        <v>0</v>
      </c>
      <c r="AF927" s="54">
        <v>0</v>
      </c>
      <c r="AG927" s="28">
        <f>G927-O927</f>
        <v>0</v>
      </c>
      <c r="AH927" s="58">
        <f>IF(ISERROR(AG927/B927*AF927),0,(AG927/B927*AF927))</f>
        <v>0</v>
      </c>
      <c r="AI927" s="28">
        <f>SUM(H927:M927)</f>
        <v>0</v>
      </c>
      <c r="AJ927" s="28">
        <f>IF(ISERROR(AI927/B927*AF927),0,(AI927/B927*AF927))</f>
        <v>0</v>
      </c>
      <c r="AK927" s="58">
        <f>IF(ISERROR(O927/B927*AF927),0,(O927/B927*AF927))</f>
        <v>0</v>
      </c>
      <c r="AL927" s="28">
        <f>IF(ISERROR(H927/B927*AF927),0,(H927/B927*AF927))</f>
        <v>0</v>
      </c>
      <c r="AN927" s="51">
        <f>A927</f>
        <v>0</v>
      </c>
      <c r="AO927" s="57">
        <f>IF(ISERROR(IF(B927=C927,D927/C927,(INT(D927/B927)+(((D927-B927*INT(D927/B927)))/C927)/100))),0,(IF(B927=C927,D927/C927,(INT(D927/B927)+(((D927-B927*INT(D927/B927)))/C927)/100))))</f>
        <v>0</v>
      </c>
      <c r="AP927" s="57">
        <f>IF(ISERROR(IF(B927=C927,E927/C927,(INT(E927/B927)+(((E927-B927*INT(E927/B927)))/C927)/100))),0,(IF(B927=C927,E927/C927,(INT(E927/B927)+(((E927-B927*INT(E927/B927)))/C927)/100))))</f>
        <v>0</v>
      </c>
      <c r="AQ927" s="57">
        <f>IF(ISERROR(IF(B927=C927,F927/C927,IF((INT(F927/B927)+(((F927-B927*INT(F927/B927)))/C927)/100)&lt;0,(INT(F927/B927)+(((F927-B927*INT(F927/B927)))/C927)/100)+(1-(B927/C927/100)),(INT(F927/B927)+(((F927-B927*INT(F927/B927)))/C927)/100)))),0,IF(B927=C927,F927/C927,IF((INT(F927/B927)+(((F927-B927*INT(F927/B927)))/C927)/100)&lt;0,(INT(F927/B927)+(((F927-B927*INT(F927/B927)))/C927)/100)+(1-(B927/C927/100)),(INT(F927/B927)+(((F927-B927*INT(F927/B927)))/C927)/100))))</f>
        <v>0</v>
      </c>
      <c r="AR927" s="57">
        <f>IF(ISERROR(IF(B927=C927,G927/C927,(INT(G927/B927)+(((G927-B927*INT(G927/B927)))/C927)/100))),0,(IF(B927=C927,G927/C927,(INT(G927/B927)+(((G927-B927*INT(G927/B927)))/C927)/100))))</f>
        <v>0</v>
      </c>
      <c r="AS927" s="57">
        <f>IF(ISERROR(IF(B927=C927,H927/C927,(INT(H927/B927)+(((H927-B927*INT(H927/B927)))/C927)/100))),0,(IF(B927=C927,H927/C927,(INT(H927/B927)+(((H927-B927*INT(H927/B927)))/C927)/100))))</f>
        <v>0</v>
      </c>
      <c r="AT927" s="57">
        <f>IF(ISERROR(IF(B927=C927,I927/C927,(INT(I927/B927)+(((I927-B927*INT(I927/B927)))/C927)/100))),0,(IF(B927=C927,I927/C927,(INT(I927/B927)+(((I927-B927*INT(I927/B927)))/C927)/100))))</f>
        <v>0</v>
      </c>
      <c r="AU927" s="57">
        <f>IF(ISERROR(IF(B927=C927,J927/C927,(INT(J927/B927)+(((J927-B927*INT(J927/B927)))/C927)/100))),0,(IF(B927=C927,J927/C927,(INT(J927/B927)+(((J927-B927*INT(J927/B927)))/C927)/100))))</f>
        <v>0</v>
      </c>
      <c r="AV927" s="57">
        <f>IF(ISERROR(IF(B927=C927,K927/C927,IF((INT(K927/B927)+(((K927-B927*INT(K927/B927)))/C927)/100)&lt;0,(INT(K927/B927)+(((K927-B927*INT(K927/B927)))/C927)/100)+(1-(B927/C927/100)),(INT(K927/B927)+(((K927-B927*INT(K927/B927)))/C927)/100)))),0,IF(B927=C927,K927/C927,IF((INT(K927/B927)+(((K927-B927*INT(K927/B927)))/C927)/100)&lt;0,(INT(K927/B927)+(((K927-B927*INT(K927/B927)))/C927)/100)+(1-(B927/C927/100)),(INT(K927/B927)+(((K927-B927*INT(K927/B927)))/C927)/100))))</f>
        <v>0</v>
      </c>
      <c r="AW927" s="57">
        <f>IF(ISERROR(IF(B927=C927,L927/C927,(INT(L927/B927)+(((L927-B927*INT(L927/B927)))/C927)/100))),0,(IF(B927=C927,L927/C927,(INT(L927/B927)+(((L927-B927*INT(L927/B927)))/C927)/100))))</f>
        <v>0</v>
      </c>
      <c r="AX927" s="57">
        <f>IF(ISERROR(IF(B927=C927,M927/C927,(INT(M927/B927)+(((M927-B927*INT(M927/B927)))/C927)/100))),0,(IF(B927=C927,M927/C927,(INT(M927/B927)+(((M927-B927*INT(M927/B927)))/C927)/100))))</f>
        <v>0</v>
      </c>
      <c r="AY927" s="57">
        <f>IF(ISERROR(IF(B927=C927,N927/C927,IF((INT(N927/B927)+(((N927-B927*INT(N927/B927)))/C927)/100)&lt;0,(INT(N927/B927)+(((N927-B927*INT(N927/B927)))/C927)/100)+(1-(B927/C927/100)),(INT(N927/B927)+(((N927-B927*INT(N927/B927)))/C927)/100)))),0,IF(B927=C927,N927/C927,IF((INT(N927/B927)+(((N927-B927*INT(N927/B927)))/C927)/100)&lt;0,(INT(N927/B927)+(((N927-B927*INT(N927/B927)))/C927)/100)+(1-(B927/C927/100)),(INT(N927/B927)+(((N927-B927*INT(N927/B927)))/C927)/100))))</f>
        <v>0</v>
      </c>
      <c r="AZ927" s="57">
        <f>IF(ISERROR(IF(B927=C927,O927/C927,(INT(O927/B927)+(((O927-B927*INT(O927/B927)))/C927)/100))),0,(IF(B927=C927,O927/C927,(INT(O927/B927)+(((O927-B927*INT(O927/B927)))/C927)/100))))</f>
        <v>0</v>
      </c>
      <c r="BA927" s="57">
        <f>IF(ISERROR(IF(B927=C927,P927/C927,IF((INT(P927/B927)+(((P927-B927*INT(P927/B927)))/C927)/100)&lt;0,(INT(P927/B927)+(((P927-B927*INT(P927/B927)))/C927)/100)+(1-(B927/C927/100)),(INT(P927/B927)+(((P927-B927*INT(P927/B927)))/C927)/100)))),0,IF(B927=C927,P927/C927,IF((INT(P927/B927)+(((P927-B927*INT(P927/B927)))/C927)/100)&lt;0,(INT(P927/B927)+(((P927-B927*INT(P927/B927)))/C927)/100)+(1-(B927/C927/100)),(INT(P927/B927)+(((P927-B927*INT(P927/B927)))/C927)/100))))</f>
        <v>0</v>
      </c>
      <c r="BB927" s="28">
        <f>R927</f>
        <v>0</v>
      </c>
      <c r="BC927" s="28">
        <f>S927</f>
        <v>0</v>
      </c>
      <c r="BD927" s="28">
        <f>AF927</f>
        <v>0</v>
      </c>
      <c r="BE927" s="28">
        <f>T927</f>
        <v>0</v>
      </c>
      <c r="BG927" s="57">
        <f>IF(ISERROR(IF(B927=C927,V927/C927,(INT(V927/B927)+(((V927-B927*INT(V927/B927)))/C927)/100))),0,(IF(B927=C927,V927/C927,(INT(V927/B927)+(((V927-B927*INT(V927/B927)))/C927)/100))))</f>
        <v>0</v>
      </c>
      <c r="BH927" s="57">
        <f>IF(ISERROR(IF(B927=C927,W927/C927,(INT(W927/B927)+(((W927-B927*INT(W927/B927)))/C927)/100))),0,(IF(B927=C927,W927/C927,(INT(W927/B927)+(((W927-B927*INT(W927/B927)))/C927)/100))))</f>
        <v>0</v>
      </c>
      <c r="BI927" s="57">
        <f>IF(ISERROR(IF(B927=C927,X927/C927,(INT(X927/B927)+(((X927-B927*INT(X927/B927)))/C927)/100))),0,(IF(B927=C927,X927/C927,(INT(X927/B927)+(((X927-B927*INT(X927/B927)))/C927)/100))))</f>
        <v>0</v>
      </c>
      <c r="BJ927" s="57">
        <f>IF(ISERROR(IF(B927=C927,Y927/C927,(INT(Y927/B927)+(((Y927-B927*INT(Y927/B927)))/C927)/100))),0,(IF(B927=C927,Y927/C927,(INT(Y927/B927)+(((Y927-B927*INT(Y927/B927)))/C927)/100))))</f>
        <v>0</v>
      </c>
      <c r="BL927" s="57">
        <f>IF(ISERROR(IF(B927=C927,AA927/C927,(INT(AA927/B927)+(((AA927-B927*INT(AA927/B927)))/C927)/100))),0,(IF(B927=C927,AA927/C927,(INT(AA927/B927)+(((AA927-B927*INT(AA927/B927)))/C927)/100))))</f>
        <v>0</v>
      </c>
      <c r="BM927" s="57">
        <f>IF(ISERROR(IF(B927=C927,AB927/C927,(INT(AB927/B927)+(((AB927-B927*INT(AB927/B927)))/C927)/100))),0,(IF(B927=C927,AB927/C927,(INT(AB927/B927)+(((AB927-B927*INT(AB927/B927)))/C927)/100))))</f>
        <v>0</v>
      </c>
      <c r="BN927" s="57">
        <f>IF(ISERROR(IF(B927=C927,AC927/C927,(INT(AC927/B927)+(((AC927-B927*INT(AC927/B927)))/C927)/100))),0,(IF(B927=C927,AC927/C927,(INT(AC927/B927)+(((AC927-B927*INT(AC927/B927)))/C927)/100))))</f>
        <v>0</v>
      </c>
      <c r="BO927" s="57">
        <f>IF(ISERROR(IF(B927=C927,AD927/C927,(INT(AD927/B927)+(((AD927-B927*INT(AD927/B927)))/C927)/100))),0,(IF(B927=C927,AD927/C927,(INT(AD927/B927)+(((AD927-B927*INT(AD927/B927)))/C927)/100))))</f>
        <v>0</v>
      </c>
      <c r="BQ927" s="124" t="s">
        <v>81</v>
      </c>
    </row>
    <row r="928" spans="1:69" hidden="1" x14ac:dyDescent="0.35">
      <c r="A928" s="94"/>
      <c r="B928" s="113">
        <v>0</v>
      </c>
      <c r="C928" s="113">
        <v>0</v>
      </c>
      <c r="D928" s="28">
        <f>SUM(AA928:AD928)</f>
        <v>0</v>
      </c>
      <c r="E928" s="125">
        <v>0</v>
      </c>
      <c r="F928" s="113">
        <v>0</v>
      </c>
      <c r="G928" s="28">
        <f>SUM(D928:F928)</f>
        <v>0</v>
      </c>
      <c r="H928" s="125">
        <v>0</v>
      </c>
      <c r="I928" s="125">
        <v>0</v>
      </c>
      <c r="J928" s="125">
        <v>0</v>
      </c>
      <c r="K928" s="125">
        <v>0</v>
      </c>
      <c r="L928" s="113">
        <v>0</v>
      </c>
      <c r="M928" s="113">
        <v>0</v>
      </c>
      <c r="N928" s="28">
        <f>G928-SUM(H928:M928)</f>
        <v>0</v>
      </c>
      <c r="O928" s="28">
        <f>SUM(V928:Y928)</f>
        <v>0</v>
      </c>
      <c r="P928" s="28">
        <f>O928-N928</f>
        <v>0</v>
      </c>
      <c r="Q928" s="61" t="str">
        <f>IF(ISERROR(P928/SUM(H928:L928)),"",P928/SUM(H928:L928))</f>
        <v/>
      </c>
      <c r="R928" s="113">
        <v>0</v>
      </c>
      <c r="S928" s="28">
        <f>IF(ISERROR(P928/C928*R928),0,(P928/C928*R928))</f>
        <v>0</v>
      </c>
      <c r="T928" s="60">
        <f>IF(ISERROR(P928/B928*AF928),0,(P928/B928*AF928))</f>
        <v>0</v>
      </c>
      <c r="V928" s="113">
        <v>0</v>
      </c>
      <c r="W928" s="113">
        <v>0</v>
      </c>
      <c r="X928" s="113">
        <v>0</v>
      </c>
      <c r="Y928" s="113">
        <v>0</v>
      </c>
      <c r="AA928" s="113">
        <v>0</v>
      </c>
      <c r="AB928" s="113">
        <v>0</v>
      </c>
      <c r="AC928" s="113">
        <v>0</v>
      </c>
      <c r="AD928" s="113">
        <v>0</v>
      </c>
      <c r="AF928" s="54">
        <v>0</v>
      </c>
      <c r="AG928" s="28">
        <f>G928-O928</f>
        <v>0</v>
      </c>
      <c r="AH928" s="58">
        <f>IF(ISERROR(AG928/B928*AF928),0,(AG928/B928*AF928))</f>
        <v>0</v>
      </c>
      <c r="AI928" s="28">
        <f>SUM(H928:M928)</f>
        <v>0</v>
      </c>
      <c r="AJ928" s="28">
        <f>IF(ISERROR(AI928/B928*AF928),0,(AI928/B928*AF928))</f>
        <v>0</v>
      </c>
      <c r="AK928" s="58">
        <f>IF(ISERROR(O928/B928*AF928),0,(O928/B928*AF928))</f>
        <v>0</v>
      </c>
      <c r="AL928" s="28">
        <f>IF(ISERROR(H928/B928*AF928),0,(H928/B928*AF928))</f>
        <v>0</v>
      </c>
      <c r="AN928" s="51">
        <f>A928</f>
        <v>0</v>
      </c>
      <c r="AO928" s="57">
        <f>IF(ISERROR(IF(B928=C928,D928/C928,(INT(D928/B928)+(((D928-B928*INT(D928/B928)))/C928)/100))),0,(IF(B928=C928,D928/C928,(INT(D928/B928)+(((D928-B928*INT(D928/B928)))/C928)/100))))</f>
        <v>0</v>
      </c>
      <c r="AP928" s="57">
        <f>IF(ISERROR(IF(B928=C928,E928/C928,(INT(E928/B928)+(((E928-B928*INT(E928/B928)))/C928)/100))),0,(IF(B928=C928,E928/C928,(INT(E928/B928)+(((E928-B928*INT(E928/B928)))/C928)/100))))</f>
        <v>0</v>
      </c>
      <c r="AQ928" s="57">
        <f>IF(ISERROR(IF(B928=C928,F928/C928,IF((INT(F928/B928)+(((F928-B928*INT(F928/B928)))/C928)/100)&lt;0,(INT(F928/B928)+(((F928-B928*INT(F928/B928)))/C928)/100)+(1-(B928/C928/100)),(INT(F928/B928)+(((F928-B928*INT(F928/B928)))/C928)/100)))),0,IF(B928=C928,F928/C928,IF((INT(F928/B928)+(((F928-B928*INT(F928/B928)))/C928)/100)&lt;0,(INT(F928/B928)+(((F928-B928*INT(F928/B928)))/C928)/100)+(1-(B928/C928/100)),(INT(F928/B928)+(((F928-B928*INT(F928/B928)))/C928)/100))))</f>
        <v>0</v>
      </c>
      <c r="AR928" s="57">
        <f>IF(ISERROR(IF(B928=C928,G928/C928,(INT(G928/B928)+(((G928-B928*INT(G928/B928)))/C928)/100))),0,(IF(B928=C928,G928/C928,(INT(G928/B928)+(((G928-B928*INT(G928/B928)))/C928)/100))))</f>
        <v>0</v>
      </c>
      <c r="AS928" s="57">
        <f>IF(ISERROR(IF(B928=C928,H928/C928,(INT(H928/B928)+(((H928-B928*INT(H928/B928)))/C928)/100))),0,(IF(B928=C928,H928/C928,(INT(H928/B928)+(((H928-B928*INT(H928/B928)))/C928)/100))))</f>
        <v>0</v>
      </c>
      <c r="AT928" s="57">
        <f>IF(ISERROR(IF(B928=C928,I928/C928,(INT(I928/B928)+(((I928-B928*INT(I928/B928)))/C928)/100))),0,(IF(B928=C928,I928/C928,(INT(I928/B928)+(((I928-B928*INT(I928/B928)))/C928)/100))))</f>
        <v>0</v>
      </c>
      <c r="AU928" s="57">
        <f>IF(ISERROR(IF(B928=C928,J928/C928,(INT(J928/B928)+(((J928-B928*INT(J928/B928)))/C928)/100))),0,(IF(B928=C928,J928/C928,(INT(J928/B928)+(((J928-B928*INT(J928/B928)))/C928)/100))))</f>
        <v>0</v>
      </c>
      <c r="AV928" s="57">
        <f>IF(ISERROR(IF(B928=C928,K928/C928,IF((INT(K928/B928)+(((K928-B928*INT(K928/B928)))/C928)/100)&lt;0,(INT(K928/B928)+(((K928-B928*INT(K928/B928)))/C928)/100)+(1-(B928/C928/100)),(INT(K928/B928)+(((K928-B928*INT(K928/B928)))/C928)/100)))),0,IF(B928=C928,K928/C928,IF((INT(K928/B928)+(((K928-B928*INT(K928/B928)))/C928)/100)&lt;0,(INT(K928/B928)+(((K928-B928*INT(K928/B928)))/C928)/100)+(1-(B928/C928/100)),(INT(K928/B928)+(((K928-B928*INT(K928/B928)))/C928)/100))))</f>
        <v>0</v>
      </c>
      <c r="AW928" s="57">
        <f>IF(ISERROR(IF(B928=C928,L928/C928,(INT(L928/B928)+(((L928-B928*INT(L928/B928)))/C928)/100))),0,(IF(B928=C928,L928/C928,(INT(L928/B928)+(((L928-B928*INT(L928/B928)))/C928)/100))))</f>
        <v>0</v>
      </c>
      <c r="AX928" s="57">
        <f>IF(ISERROR(IF(B928=C928,M928/C928,(INT(M928/B928)+(((M928-B928*INT(M928/B928)))/C928)/100))),0,(IF(B928=C928,M928/C928,(INT(M928/B928)+(((M928-B928*INT(M928/B928)))/C928)/100))))</f>
        <v>0</v>
      </c>
      <c r="AY928" s="57">
        <f>IF(ISERROR(IF(B928=C928,N928/C928,IF((INT(N928/B928)+(((N928-B928*INT(N928/B928)))/C928)/100)&lt;0,(INT(N928/B928)+(((N928-B928*INT(N928/B928)))/C928)/100)+(1-(B928/C928/100)),(INT(N928/B928)+(((N928-B928*INT(N928/B928)))/C928)/100)))),0,IF(B928=C928,N928/C928,IF((INT(N928/B928)+(((N928-B928*INT(N928/B928)))/C928)/100)&lt;0,(INT(N928/B928)+(((N928-B928*INT(N928/B928)))/C928)/100)+(1-(B928/C928/100)),(INT(N928/B928)+(((N928-B928*INT(N928/B928)))/C928)/100))))</f>
        <v>0</v>
      </c>
      <c r="AZ928" s="57">
        <f>IF(ISERROR(IF(B928=C928,O928/C928,(INT(O928/B928)+(((O928-B928*INT(O928/B928)))/C928)/100))),0,(IF(B928=C928,O928/C928,(INT(O928/B928)+(((O928-B928*INT(O928/B928)))/C928)/100))))</f>
        <v>0</v>
      </c>
      <c r="BA928" s="57">
        <f>IF(ISERROR(IF(B928=C928,P928/C928,IF((INT(P928/B928)+(((P928-B928*INT(P928/B928)))/C928)/100)&lt;0,(INT(P928/B928)+(((P928-B928*INT(P928/B928)))/C928)/100)+(1-(B928/C928/100)),(INT(P928/B928)+(((P928-B928*INT(P928/B928)))/C928)/100)))),0,IF(B928=C928,P928/C928,IF((INT(P928/B928)+(((P928-B928*INT(P928/B928)))/C928)/100)&lt;0,(INT(P928/B928)+(((P928-B928*INT(P928/B928)))/C928)/100)+(1-(B928/C928/100)),(INT(P928/B928)+(((P928-B928*INT(P928/B928)))/C928)/100))))</f>
        <v>0</v>
      </c>
      <c r="BB928" s="28">
        <f>R928</f>
        <v>0</v>
      </c>
      <c r="BC928" s="28">
        <f>S928</f>
        <v>0</v>
      </c>
      <c r="BD928" s="28">
        <f>AF928</f>
        <v>0</v>
      </c>
      <c r="BE928" s="28">
        <f>T928</f>
        <v>0</v>
      </c>
      <c r="BG928" s="57">
        <f>IF(ISERROR(IF(B928=C928,V928/C928,(INT(V928/B928)+(((V928-B928*INT(V928/B928)))/C928)/100))),0,(IF(B928=C928,V928/C928,(INT(V928/B928)+(((V928-B928*INT(V928/B928)))/C928)/100))))</f>
        <v>0</v>
      </c>
      <c r="BH928" s="57">
        <f>IF(ISERROR(IF(B928=C928,W928/C928,(INT(W928/B928)+(((W928-B928*INT(W928/B928)))/C928)/100))),0,(IF(B928=C928,W928/C928,(INT(W928/B928)+(((W928-B928*INT(W928/B928)))/C928)/100))))</f>
        <v>0</v>
      </c>
      <c r="BI928" s="57">
        <f>IF(ISERROR(IF(B928=C928,X928/C928,(INT(X928/B928)+(((X928-B928*INT(X928/B928)))/C928)/100))),0,(IF(B928=C928,X928/C928,(INT(X928/B928)+(((X928-B928*INT(X928/B928)))/C928)/100))))</f>
        <v>0</v>
      </c>
      <c r="BJ928" s="57">
        <f>IF(ISERROR(IF(B928=C928,Y928/C928,(INT(Y928/B928)+(((Y928-B928*INT(Y928/B928)))/C928)/100))),0,(IF(B928=C928,Y928/C928,(INT(Y928/B928)+(((Y928-B928*INT(Y928/B928)))/C928)/100))))</f>
        <v>0</v>
      </c>
      <c r="BL928" s="57">
        <f>IF(ISERROR(IF(B928=C928,AA928/C928,(INT(AA928/B928)+(((AA928-B928*INT(AA928/B928)))/C928)/100))),0,(IF(B928=C928,AA928/C928,(INT(AA928/B928)+(((AA928-B928*INT(AA928/B928)))/C928)/100))))</f>
        <v>0</v>
      </c>
      <c r="BM928" s="57">
        <f>IF(ISERROR(IF(B928=C928,AB928/C928,(INT(AB928/B928)+(((AB928-B928*INT(AB928/B928)))/C928)/100))),0,(IF(B928=C928,AB928/C928,(INT(AB928/B928)+(((AB928-B928*INT(AB928/B928)))/C928)/100))))</f>
        <v>0</v>
      </c>
      <c r="BN928" s="57">
        <f>IF(ISERROR(IF(B928=C928,AC928/C928,(INT(AC928/B928)+(((AC928-B928*INT(AC928/B928)))/C928)/100))),0,(IF(B928=C928,AC928/C928,(INT(AC928/B928)+(((AC928-B928*INT(AC928/B928)))/C928)/100))))</f>
        <v>0</v>
      </c>
      <c r="BO928" s="57">
        <f>IF(ISERROR(IF(B928=C928,AD928/C928,(INT(AD928/B928)+(((AD928-B928*INT(AD928/B928)))/C928)/100))),0,(IF(B928=C928,AD928/C928,(INT(AD928/B928)+(((AD928-B928*INT(AD928/B928)))/C928)/100))))</f>
        <v>0</v>
      </c>
      <c r="BQ928" s="124" t="s">
        <v>81</v>
      </c>
    </row>
    <row r="929" spans="1:69" hidden="1" x14ac:dyDescent="0.35">
      <c r="A929" s="94"/>
      <c r="B929" s="113">
        <v>0</v>
      </c>
      <c r="C929" s="113">
        <v>0</v>
      </c>
      <c r="D929" s="28">
        <f>SUM(AA929:AD929)</f>
        <v>0</v>
      </c>
      <c r="E929" s="125">
        <v>0</v>
      </c>
      <c r="F929" s="113">
        <v>0</v>
      </c>
      <c r="G929" s="28">
        <f>SUM(D929:F929)</f>
        <v>0</v>
      </c>
      <c r="H929" s="125">
        <v>0</v>
      </c>
      <c r="I929" s="125">
        <v>0</v>
      </c>
      <c r="J929" s="125">
        <v>0</v>
      </c>
      <c r="K929" s="125">
        <v>0</v>
      </c>
      <c r="L929" s="113">
        <v>0</v>
      </c>
      <c r="M929" s="113">
        <v>0</v>
      </c>
      <c r="N929" s="28">
        <f>G929-SUM(H929:M929)</f>
        <v>0</v>
      </c>
      <c r="O929" s="28">
        <f>SUM(V929:Y929)</f>
        <v>0</v>
      </c>
      <c r="P929" s="28">
        <f>O929-N929</f>
        <v>0</v>
      </c>
      <c r="Q929" s="61" t="str">
        <f>IF(ISERROR(P929/SUM(H929:L929)),"",P929/SUM(H929:L929))</f>
        <v/>
      </c>
      <c r="R929" s="113">
        <v>0</v>
      </c>
      <c r="S929" s="28">
        <f>IF(ISERROR(P929/C929*R929),0,(P929/C929*R929))</f>
        <v>0</v>
      </c>
      <c r="T929" s="60">
        <f>IF(ISERROR(P929/B929*AF929),0,(P929/B929*AF929))</f>
        <v>0</v>
      </c>
      <c r="V929" s="113">
        <v>0</v>
      </c>
      <c r="W929" s="113">
        <v>0</v>
      </c>
      <c r="X929" s="113">
        <v>0</v>
      </c>
      <c r="Y929" s="113">
        <v>0</v>
      </c>
      <c r="AA929" s="113">
        <v>0</v>
      </c>
      <c r="AB929" s="113">
        <v>0</v>
      </c>
      <c r="AC929" s="113">
        <v>0</v>
      </c>
      <c r="AD929" s="113">
        <v>0</v>
      </c>
      <c r="AF929" s="54">
        <v>0</v>
      </c>
      <c r="AG929" s="28">
        <f>G929-O929</f>
        <v>0</v>
      </c>
      <c r="AH929" s="58">
        <f>IF(ISERROR(AG929/B929*AF929),0,(AG929/B929*AF929))</f>
        <v>0</v>
      </c>
      <c r="AI929" s="28">
        <f>SUM(H929:M929)</f>
        <v>0</v>
      </c>
      <c r="AJ929" s="28">
        <f>IF(ISERROR(AI929/B929*AF929),0,(AI929/B929*AF929))</f>
        <v>0</v>
      </c>
      <c r="AK929" s="58">
        <f>IF(ISERROR(O929/B929*AF929),0,(O929/B929*AF929))</f>
        <v>0</v>
      </c>
      <c r="AL929" s="28">
        <f>IF(ISERROR(H929/B929*AF929),0,(H929/B929*AF929))</f>
        <v>0</v>
      </c>
      <c r="AN929" s="51">
        <f>A929</f>
        <v>0</v>
      </c>
      <c r="AO929" s="57">
        <f>IF(ISERROR(IF(B929=C929,D929/C929,(INT(D929/B929)+(((D929-B929*INT(D929/B929)))/C929)/100))),0,(IF(B929=C929,D929/C929,(INT(D929/B929)+(((D929-B929*INT(D929/B929)))/C929)/100))))</f>
        <v>0</v>
      </c>
      <c r="AP929" s="57">
        <f>IF(ISERROR(IF(B929=C929,E929/C929,(INT(E929/B929)+(((E929-B929*INT(E929/B929)))/C929)/100))),0,(IF(B929=C929,E929/C929,(INT(E929/B929)+(((E929-B929*INT(E929/B929)))/C929)/100))))</f>
        <v>0</v>
      </c>
      <c r="AQ929" s="57">
        <f>IF(ISERROR(IF(B929=C929,F929/C929,IF((INT(F929/B929)+(((F929-B929*INT(F929/B929)))/C929)/100)&lt;0,(INT(F929/B929)+(((F929-B929*INT(F929/B929)))/C929)/100)+(1-(B929/C929/100)),(INT(F929/B929)+(((F929-B929*INT(F929/B929)))/C929)/100)))),0,IF(B929=C929,F929/C929,IF((INT(F929/B929)+(((F929-B929*INT(F929/B929)))/C929)/100)&lt;0,(INT(F929/B929)+(((F929-B929*INT(F929/B929)))/C929)/100)+(1-(B929/C929/100)),(INT(F929/B929)+(((F929-B929*INT(F929/B929)))/C929)/100))))</f>
        <v>0</v>
      </c>
      <c r="AR929" s="57">
        <f>IF(ISERROR(IF(B929=C929,G929/C929,(INT(G929/B929)+(((G929-B929*INT(G929/B929)))/C929)/100))),0,(IF(B929=C929,G929/C929,(INT(G929/B929)+(((G929-B929*INT(G929/B929)))/C929)/100))))</f>
        <v>0</v>
      </c>
      <c r="AS929" s="57">
        <f>IF(ISERROR(IF(B929=C929,H929/C929,(INT(H929/B929)+(((H929-B929*INT(H929/B929)))/C929)/100))),0,(IF(B929=C929,H929/C929,(INT(H929/B929)+(((H929-B929*INT(H929/B929)))/C929)/100))))</f>
        <v>0</v>
      </c>
      <c r="AT929" s="57">
        <f>IF(ISERROR(IF(B929=C929,I929/C929,(INT(I929/B929)+(((I929-B929*INT(I929/B929)))/C929)/100))),0,(IF(B929=C929,I929/C929,(INT(I929/B929)+(((I929-B929*INT(I929/B929)))/C929)/100))))</f>
        <v>0</v>
      </c>
      <c r="AU929" s="57">
        <f>IF(ISERROR(IF(B929=C929,J929/C929,(INT(J929/B929)+(((J929-B929*INT(J929/B929)))/C929)/100))),0,(IF(B929=C929,J929/C929,(INT(J929/B929)+(((J929-B929*INT(J929/B929)))/C929)/100))))</f>
        <v>0</v>
      </c>
      <c r="AV929" s="57">
        <f>IF(ISERROR(IF(B929=C929,K929/C929,IF((INT(K929/B929)+(((K929-B929*INT(K929/B929)))/C929)/100)&lt;0,(INT(K929/B929)+(((K929-B929*INT(K929/B929)))/C929)/100)+(1-(B929/C929/100)),(INT(K929/B929)+(((K929-B929*INT(K929/B929)))/C929)/100)))),0,IF(B929=C929,K929/C929,IF((INT(K929/B929)+(((K929-B929*INT(K929/B929)))/C929)/100)&lt;0,(INT(K929/B929)+(((K929-B929*INT(K929/B929)))/C929)/100)+(1-(B929/C929/100)),(INT(K929/B929)+(((K929-B929*INT(K929/B929)))/C929)/100))))</f>
        <v>0</v>
      </c>
      <c r="AW929" s="57">
        <f>IF(ISERROR(IF(B929=C929,L929/C929,(INT(L929/B929)+(((L929-B929*INT(L929/B929)))/C929)/100))),0,(IF(B929=C929,L929/C929,(INT(L929/B929)+(((L929-B929*INT(L929/B929)))/C929)/100))))</f>
        <v>0</v>
      </c>
      <c r="AX929" s="57">
        <f>IF(ISERROR(IF(B929=C929,M929/C929,(INT(M929/B929)+(((M929-B929*INT(M929/B929)))/C929)/100))),0,(IF(B929=C929,M929/C929,(INT(M929/B929)+(((M929-B929*INT(M929/B929)))/C929)/100))))</f>
        <v>0</v>
      </c>
      <c r="AY929" s="57">
        <f>IF(ISERROR(IF(B929=C929,N929/C929,IF((INT(N929/B929)+(((N929-B929*INT(N929/B929)))/C929)/100)&lt;0,(INT(N929/B929)+(((N929-B929*INT(N929/B929)))/C929)/100)+(1-(B929/C929/100)),(INT(N929/B929)+(((N929-B929*INT(N929/B929)))/C929)/100)))),0,IF(B929=C929,N929/C929,IF((INT(N929/B929)+(((N929-B929*INT(N929/B929)))/C929)/100)&lt;0,(INT(N929/B929)+(((N929-B929*INT(N929/B929)))/C929)/100)+(1-(B929/C929/100)),(INT(N929/B929)+(((N929-B929*INT(N929/B929)))/C929)/100))))</f>
        <v>0</v>
      </c>
      <c r="AZ929" s="57">
        <f>IF(ISERROR(IF(B929=C929,O929/C929,(INT(O929/B929)+(((O929-B929*INT(O929/B929)))/C929)/100))),0,(IF(B929=C929,O929/C929,(INT(O929/B929)+(((O929-B929*INT(O929/B929)))/C929)/100))))</f>
        <v>0</v>
      </c>
      <c r="BA929" s="57">
        <f>IF(ISERROR(IF(B929=C929,P929/C929,IF((INT(P929/B929)+(((P929-B929*INT(P929/B929)))/C929)/100)&lt;0,(INT(P929/B929)+(((P929-B929*INT(P929/B929)))/C929)/100)+(1-(B929/C929/100)),(INT(P929/B929)+(((P929-B929*INT(P929/B929)))/C929)/100)))),0,IF(B929=C929,P929/C929,IF((INT(P929/B929)+(((P929-B929*INT(P929/B929)))/C929)/100)&lt;0,(INT(P929/B929)+(((P929-B929*INT(P929/B929)))/C929)/100)+(1-(B929/C929/100)),(INT(P929/B929)+(((P929-B929*INT(P929/B929)))/C929)/100))))</f>
        <v>0</v>
      </c>
      <c r="BB929" s="28">
        <f>R929</f>
        <v>0</v>
      </c>
      <c r="BC929" s="28">
        <f>S929</f>
        <v>0</v>
      </c>
      <c r="BD929" s="28">
        <f>AF929</f>
        <v>0</v>
      </c>
      <c r="BE929" s="28">
        <f>T929</f>
        <v>0</v>
      </c>
      <c r="BG929" s="57">
        <f>IF(ISERROR(IF(B929=C929,V929/C929,(INT(V929/B929)+(((V929-B929*INT(V929/B929)))/C929)/100))),0,(IF(B929=C929,V929/C929,(INT(V929/B929)+(((V929-B929*INT(V929/B929)))/C929)/100))))</f>
        <v>0</v>
      </c>
      <c r="BH929" s="57">
        <f>IF(ISERROR(IF(B929=C929,W929/C929,(INT(W929/B929)+(((W929-B929*INT(W929/B929)))/C929)/100))),0,(IF(B929=C929,W929/C929,(INT(W929/B929)+(((W929-B929*INT(W929/B929)))/C929)/100))))</f>
        <v>0</v>
      </c>
      <c r="BI929" s="57">
        <f>IF(ISERROR(IF(B929=C929,X929/C929,(INT(X929/B929)+(((X929-B929*INT(X929/B929)))/C929)/100))),0,(IF(B929=C929,X929/C929,(INT(X929/B929)+(((X929-B929*INT(X929/B929)))/C929)/100))))</f>
        <v>0</v>
      </c>
      <c r="BJ929" s="57">
        <f>IF(ISERROR(IF(B929=C929,Y929/C929,(INT(Y929/B929)+(((Y929-B929*INT(Y929/B929)))/C929)/100))),0,(IF(B929=C929,Y929/C929,(INT(Y929/B929)+(((Y929-B929*INT(Y929/B929)))/C929)/100))))</f>
        <v>0</v>
      </c>
      <c r="BL929" s="57">
        <f>IF(ISERROR(IF(B929=C929,AA929/C929,(INT(AA929/B929)+(((AA929-B929*INT(AA929/B929)))/C929)/100))),0,(IF(B929=C929,AA929/C929,(INT(AA929/B929)+(((AA929-B929*INT(AA929/B929)))/C929)/100))))</f>
        <v>0</v>
      </c>
      <c r="BM929" s="57">
        <f>IF(ISERROR(IF(B929=C929,AB929/C929,(INT(AB929/B929)+(((AB929-B929*INT(AB929/B929)))/C929)/100))),0,(IF(B929=C929,AB929/C929,(INT(AB929/B929)+(((AB929-B929*INT(AB929/B929)))/C929)/100))))</f>
        <v>0</v>
      </c>
      <c r="BN929" s="57">
        <f>IF(ISERROR(IF(B929=C929,AC929/C929,(INT(AC929/B929)+(((AC929-B929*INT(AC929/B929)))/C929)/100))),0,(IF(B929=C929,AC929/C929,(INT(AC929/B929)+(((AC929-B929*INT(AC929/B929)))/C929)/100))))</f>
        <v>0</v>
      </c>
      <c r="BO929" s="57">
        <f>IF(ISERROR(IF(B929=C929,AD929/C929,(INT(AD929/B929)+(((AD929-B929*INT(AD929/B929)))/C929)/100))),0,(IF(B929=C929,AD929/C929,(INT(AD929/B929)+(((AD929-B929*INT(AD929/B929)))/C929)/100))))</f>
        <v>0</v>
      </c>
      <c r="BQ929" s="124" t="s">
        <v>81</v>
      </c>
    </row>
    <row r="930" spans="1:69" hidden="1" x14ac:dyDescent="0.35">
      <c r="A930" s="94"/>
      <c r="B930" s="113">
        <v>0</v>
      </c>
      <c r="C930" s="113">
        <v>0</v>
      </c>
      <c r="D930" s="28">
        <f>SUM(AA930:AD930)</f>
        <v>0</v>
      </c>
      <c r="E930" s="125">
        <v>0</v>
      </c>
      <c r="F930" s="113">
        <v>0</v>
      </c>
      <c r="G930" s="28">
        <f>SUM(D930:F930)</f>
        <v>0</v>
      </c>
      <c r="H930" s="125">
        <v>0</v>
      </c>
      <c r="I930" s="125">
        <v>0</v>
      </c>
      <c r="J930" s="125">
        <v>0</v>
      </c>
      <c r="K930" s="125">
        <v>0</v>
      </c>
      <c r="L930" s="113">
        <v>0</v>
      </c>
      <c r="M930" s="113">
        <v>0</v>
      </c>
      <c r="N930" s="28">
        <f>G930-SUM(H930:M930)</f>
        <v>0</v>
      </c>
      <c r="O930" s="28">
        <f>SUM(V930:Y930)</f>
        <v>0</v>
      </c>
      <c r="P930" s="28">
        <f>O930-N930</f>
        <v>0</v>
      </c>
      <c r="Q930" s="61" t="str">
        <f>IF(ISERROR(P930/SUM(H930:L930)),"",P930/SUM(H930:L930))</f>
        <v/>
      </c>
      <c r="R930" s="113">
        <v>0</v>
      </c>
      <c r="S930" s="28">
        <f>IF(ISERROR(P930/C930*R930),0,(P930/C930*R930))</f>
        <v>0</v>
      </c>
      <c r="T930" s="60">
        <f>IF(ISERROR(P930/B930*AF930),0,(P930/B930*AF930))</f>
        <v>0</v>
      </c>
      <c r="V930" s="113">
        <v>0</v>
      </c>
      <c r="W930" s="113">
        <v>0</v>
      </c>
      <c r="X930" s="113">
        <v>0</v>
      </c>
      <c r="Y930" s="113">
        <v>0</v>
      </c>
      <c r="AA930" s="113">
        <v>0</v>
      </c>
      <c r="AB930" s="113">
        <v>0</v>
      </c>
      <c r="AC930" s="113">
        <v>0</v>
      </c>
      <c r="AD930" s="113">
        <v>0</v>
      </c>
      <c r="AF930" s="54">
        <v>0</v>
      </c>
      <c r="AG930" s="28">
        <f>G930-O930</f>
        <v>0</v>
      </c>
      <c r="AH930" s="58">
        <f>IF(ISERROR(AG930/B930*AF930),0,(AG930/B930*AF930))</f>
        <v>0</v>
      </c>
      <c r="AI930" s="28">
        <f>SUM(H930:M930)</f>
        <v>0</v>
      </c>
      <c r="AJ930" s="28">
        <f>IF(ISERROR(AI930/B930*AF930),0,(AI930/B930*AF930))</f>
        <v>0</v>
      </c>
      <c r="AK930" s="58">
        <f>IF(ISERROR(O930/B930*AF930),0,(O930/B930*AF930))</f>
        <v>0</v>
      </c>
      <c r="AL930" s="28">
        <f>IF(ISERROR(H930/B930*AF930),0,(H930/B930*AF930))</f>
        <v>0</v>
      </c>
      <c r="AN930" s="51">
        <f>A930</f>
        <v>0</v>
      </c>
      <c r="AO930" s="57">
        <f>IF(ISERROR(IF(B930=C930,D930/C930,(INT(D930/B930)+(((D930-B930*INT(D930/B930)))/C930)/100))),0,(IF(B930=C930,D930/C930,(INT(D930/B930)+(((D930-B930*INT(D930/B930)))/C930)/100))))</f>
        <v>0</v>
      </c>
      <c r="AP930" s="57">
        <f>IF(ISERROR(IF(B930=C930,E930/C930,(INT(E930/B930)+(((E930-B930*INT(E930/B930)))/C930)/100))),0,(IF(B930=C930,E930/C930,(INT(E930/B930)+(((E930-B930*INT(E930/B930)))/C930)/100))))</f>
        <v>0</v>
      </c>
      <c r="AQ930" s="57">
        <f>IF(ISERROR(IF(B930=C930,F930/C930,IF((INT(F930/B930)+(((F930-B930*INT(F930/B930)))/C930)/100)&lt;0,(INT(F930/B930)+(((F930-B930*INT(F930/B930)))/C930)/100)+(1-(B930/C930/100)),(INT(F930/B930)+(((F930-B930*INT(F930/B930)))/C930)/100)))),0,IF(B930=C930,F930/C930,IF((INT(F930/B930)+(((F930-B930*INT(F930/B930)))/C930)/100)&lt;0,(INT(F930/B930)+(((F930-B930*INT(F930/B930)))/C930)/100)+(1-(B930/C930/100)),(INT(F930/B930)+(((F930-B930*INT(F930/B930)))/C930)/100))))</f>
        <v>0</v>
      </c>
      <c r="AR930" s="57">
        <f>IF(ISERROR(IF(B930=C930,G930/C930,(INT(G930/B930)+(((G930-B930*INT(G930/B930)))/C930)/100))),0,(IF(B930=C930,G930/C930,(INT(G930/B930)+(((G930-B930*INT(G930/B930)))/C930)/100))))</f>
        <v>0</v>
      </c>
      <c r="AS930" s="57">
        <f>IF(ISERROR(IF(B930=C930,H930/C930,(INT(H930/B930)+(((H930-B930*INT(H930/B930)))/C930)/100))),0,(IF(B930=C930,H930/C930,(INT(H930/B930)+(((H930-B930*INT(H930/B930)))/C930)/100))))</f>
        <v>0</v>
      </c>
      <c r="AT930" s="57">
        <f>IF(ISERROR(IF(B930=C930,I930/C930,(INT(I930/B930)+(((I930-B930*INT(I930/B930)))/C930)/100))),0,(IF(B930=C930,I930/C930,(INT(I930/B930)+(((I930-B930*INT(I930/B930)))/C930)/100))))</f>
        <v>0</v>
      </c>
      <c r="AU930" s="57">
        <f>IF(ISERROR(IF(B930=C930,J930/C930,(INT(J930/B930)+(((J930-B930*INT(J930/B930)))/C930)/100))),0,(IF(B930=C930,J930/C930,(INT(J930/B930)+(((J930-B930*INT(J930/B930)))/C930)/100))))</f>
        <v>0</v>
      </c>
      <c r="AV930" s="57">
        <f>IF(ISERROR(IF(B930=C930,K930/C930,IF((INT(K930/B930)+(((K930-B930*INT(K930/B930)))/C930)/100)&lt;0,(INT(K930/B930)+(((K930-B930*INT(K930/B930)))/C930)/100)+(1-(B930/C930/100)),(INT(K930/B930)+(((K930-B930*INT(K930/B930)))/C930)/100)))),0,IF(B930=C930,K930/C930,IF((INT(K930/B930)+(((K930-B930*INT(K930/B930)))/C930)/100)&lt;0,(INT(K930/B930)+(((K930-B930*INT(K930/B930)))/C930)/100)+(1-(B930/C930/100)),(INT(K930/B930)+(((K930-B930*INT(K930/B930)))/C930)/100))))</f>
        <v>0</v>
      </c>
      <c r="AW930" s="57">
        <f>IF(ISERROR(IF(B930=C930,L930/C930,(INT(L930/B930)+(((L930-B930*INT(L930/B930)))/C930)/100))),0,(IF(B930=C930,L930/C930,(INT(L930/B930)+(((L930-B930*INT(L930/B930)))/C930)/100))))</f>
        <v>0</v>
      </c>
      <c r="AX930" s="57">
        <f>IF(ISERROR(IF(B930=C930,M930/C930,(INT(M930/B930)+(((M930-B930*INT(M930/B930)))/C930)/100))),0,(IF(B930=C930,M930/C930,(INT(M930/B930)+(((M930-B930*INT(M930/B930)))/C930)/100))))</f>
        <v>0</v>
      </c>
      <c r="AY930" s="57">
        <f>IF(ISERROR(IF(B930=C930,N930/C930,IF((INT(N930/B930)+(((N930-B930*INT(N930/B930)))/C930)/100)&lt;0,(INT(N930/B930)+(((N930-B930*INT(N930/B930)))/C930)/100)+(1-(B930/C930/100)),(INT(N930/B930)+(((N930-B930*INT(N930/B930)))/C930)/100)))),0,IF(B930=C930,N930/C930,IF((INT(N930/B930)+(((N930-B930*INT(N930/B930)))/C930)/100)&lt;0,(INT(N930/B930)+(((N930-B930*INT(N930/B930)))/C930)/100)+(1-(B930/C930/100)),(INT(N930/B930)+(((N930-B930*INT(N930/B930)))/C930)/100))))</f>
        <v>0</v>
      </c>
      <c r="AZ930" s="57">
        <f>IF(ISERROR(IF(B930=C930,O930/C930,(INT(O930/B930)+(((O930-B930*INT(O930/B930)))/C930)/100))),0,(IF(B930=C930,O930/C930,(INT(O930/B930)+(((O930-B930*INT(O930/B930)))/C930)/100))))</f>
        <v>0</v>
      </c>
      <c r="BA930" s="57">
        <f>IF(ISERROR(IF(B930=C930,P930/C930,IF((INT(P930/B930)+(((P930-B930*INT(P930/B930)))/C930)/100)&lt;0,(INT(P930/B930)+(((P930-B930*INT(P930/B930)))/C930)/100)+(1-(B930/C930/100)),(INT(P930/B930)+(((P930-B930*INT(P930/B930)))/C930)/100)))),0,IF(B930=C930,P930/C930,IF((INT(P930/B930)+(((P930-B930*INT(P930/B930)))/C930)/100)&lt;0,(INT(P930/B930)+(((P930-B930*INT(P930/B930)))/C930)/100)+(1-(B930/C930/100)),(INT(P930/B930)+(((P930-B930*INT(P930/B930)))/C930)/100))))</f>
        <v>0</v>
      </c>
      <c r="BB930" s="28">
        <f>R930</f>
        <v>0</v>
      </c>
      <c r="BC930" s="28">
        <f>S930</f>
        <v>0</v>
      </c>
      <c r="BD930" s="28">
        <f>AF930</f>
        <v>0</v>
      </c>
      <c r="BE930" s="28">
        <f>T930</f>
        <v>0</v>
      </c>
      <c r="BG930" s="57">
        <f>IF(ISERROR(IF(B930=C930,V930/C930,(INT(V930/B930)+(((V930-B930*INT(V930/B930)))/C930)/100))),0,(IF(B930=C930,V930/C930,(INT(V930/B930)+(((V930-B930*INT(V930/B930)))/C930)/100))))</f>
        <v>0</v>
      </c>
      <c r="BH930" s="57">
        <f>IF(ISERROR(IF(B930=C930,W930/C930,(INT(W930/B930)+(((W930-B930*INT(W930/B930)))/C930)/100))),0,(IF(B930=C930,W930/C930,(INT(W930/B930)+(((W930-B930*INT(W930/B930)))/C930)/100))))</f>
        <v>0</v>
      </c>
      <c r="BI930" s="57">
        <f>IF(ISERROR(IF(B930=C930,X930/C930,(INT(X930/B930)+(((X930-B930*INT(X930/B930)))/C930)/100))),0,(IF(B930=C930,X930/C930,(INT(X930/B930)+(((X930-B930*INT(X930/B930)))/C930)/100))))</f>
        <v>0</v>
      </c>
      <c r="BJ930" s="57">
        <f>IF(ISERROR(IF(B930=C930,Y930/C930,(INT(Y930/B930)+(((Y930-B930*INT(Y930/B930)))/C930)/100))),0,(IF(B930=C930,Y930/C930,(INT(Y930/B930)+(((Y930-B930*INT(Y930/B930)))/C930)/100))))</f>
        <v>0</v>
      </c>
      <c r="BL930" s="57">
        <f>IF(ISERROR(IF(B930=C930,AA930/C930,(INT(AA930/B930)+(((AA930-B930*INT(AA930/B930)))/C930)/100))),0,(IF(B930=C930,AA930/C930,(INT(AA930/B930)+(((AA930-B930*INT(AA930/B930)))/C930)/100))))</f>
        <v>0</v>
      </c>
      <c r="BM930" s="57">
        <f>IF(ISERROR(IF(B930=C930,AB930/C930,(INT(AB930/B930)+(((AB930-B930*INT(AB930/B930)))/C930)/100))),0,(IF(B930=C930,AB930/C930,(INT(AB930/B930)+(((AB930-B930*INT(AB930/B930)))/C930)/100))))</f>
        <v>0</v>
      </c>
      <c r="BN930" s="57">
        <f>IF(ISERROR(IF(B930=C930,AC930/C930,(INT(AC930/B930)+(((AC930-B930*INT(AC930/B930)))/C930)/100))),0,(IF(B930=C930,AC930/C930,(INT(AC930/B930)+(((AC930-B930*INT(AC930/B930)))/C930)/100))))</f>
        <v>0</v>
      </c>
      <c r="BO930" s="57">
        <f>IF(ISERROR(IF(B930=C930,AD930/C930,(INT(AD930/B930)+(((AD930-B930*INT(AD930/B930)))/C930)/100))),0,(IF(B930=C930,AD930/C930,(INT(AD930/B930)+(((AD930-B930*INT(AD930/B930)))/C930)/100))))</f>
        <v>0</v>
      </c>
      <c r="BQ930" s="124" t="s">
        <v>81</v>
      </c>
    </row>
    <row r="931" spans="1:69" hidden="1" x14ac:dyDescent="0.35">
      <c r="A931" s="94"/>
      <c r="B931" s="113">
        <v>0</v>
      </c>
      <c r="C931" s="113">
        <v>0</v>
      </c>
      <c r="D931" s="28">
        <f>SUM(AA931:AD931)</f>
        <v>0</v>
      </c>
      <c r="E931" s="125">
        <v>0</v>
      </c>
      <c r="F931" s="113">
        <v>0</v>
      </c>
      <c r="G931" s="28">
        <f>SUM(D931:F931)</f>
        <v>0</v>
      </c>
      <c r="H931" s="125">
        <v>0</v>
      </c>
      <c r="I931" s="125">
        <v>0</v>
      </c>
      <c r="J931" s="125">
        <v>0</v>
      </c>
      <c r="K931" s="125">
        <v>0</v>
      </c>
      <c r="L931" s="113">
        <v>0</v>
      </c>
      <c r="M931" s="113">
        <v>0</v>
      </c>
      <c r="N931" s="28">
        <f>G931-SUM(H931:M931)</f>
        <v>0</v>
      </c>
      <c r="O931" s="28">
        <f>SUM(V931:Y931)</f>
        <v>0</v>
      </c>
      <c r="P931" s="28">
        <f>O931-N931</f>
        <v>0</v>
      </c>
      <c r="Q931" s="61" t="str">
        <f>IF(ISERROR(P931/SUM(H931:L931)),"",P931/SUM(H931:L931))</f>
        <v/>
      </c>
      <c r="R931" s="113">
        <v>0</v>
      </c>
      <c r="S931" s="28">
        <f>IF(ISERROR(P931/C931*R931),0,(P931/C931*R931))</f>
        <v>0</v>
      </c>
      <c r="T931" s="60">
        <f>IF(ISERROR(P931/B931*AF931),0,(P931/B931*AF931))</f>
        <v>0</v>
      </c>
      <c r="V931" s="113">
        <v>0</v>
      </c>
      <c r="W931" s="113">
        <v>0</v>
      </c>
      <c r="X931" s="113">
        <v>0</v>
      </c>
      <c r="Y931" s="113">
        <v>0</v>
      </c>
      <c r="AA931" s="113">
        <v>0</v>
      </c>
      <c r="AB931" s="113">
        <v>0</v>
      </c>
      <c r="AC931" s="113">
        <v>0</v>
      </c>
      <c r="AD931" s="113">
        <v>0</v>
      </c>
      <c r="AF931" s="54">
        <v>0</v>
      </c>
      <c r="AG931" s="28">
        <f>G931-O931</f>
        <v>0</v>
      </c>
      <c r="AH931" s="58">
        <f>IF(ISERROR(AG931/B931*AF931),0,(AG931/B931*AF931))</f>
        <v>0</v>
      </c>
      <c r="AI931" s="28">
        <f>SUM(H931:M931)</f>
        <v>0</v>
      </c>
      <c r="AJ931" s="28">
        <f>IF(ISERROR(AI931/B931*AF931),0,(AI931/B931*AF931))</f>
        <v>0</v>
      </c>
      <c r="AK931" s="58">
        <f>IF(ISERROR(O931/B931*AF931),0,(O931/B931*AF931))</f>
        <v>0</v>
      </c>
      <c r="AL931" s="28">
        <f>IF(ISERROR(H931/B931*AF931),0,(H931/B931*AF931))</f>
        <v>0</v>
      </c>
      <c r="AN931" s="51">
        <f>A931</f>
        <v>0</v>
      </c>
      <c r="AO931" s="57">
        <f>IF(ISERROR(IF(B931=C931,D931/C931,(INT(D931/B931)+(((D931-B931*INT(D931/B931)))/C931)/100))),0,(IF(B931=C931,D931/C931,(INT(D931/B931)+(((D931-B931*INT(D931/B931)))/C931)/100))))</f>
        <v>0</v>
      </c>
      <c r="AP931" s="57">
        <f>IF(ISERROR(IF(B931=C931,E931/C931,(INT(E931/B931)+(((E931-B931*INT(E931/B931)))/C931)/100))),0,(IF(B931=C931,E931/C931,(INT(E931/B931)+(((E931-B931*INT(E931/B931)))/C931)/100))))</f>
        <v>0</v>
      </c>
      <c r="AQ931" s="57">
        <f>IF(ISERROR(IF(B931=C931,F931/C931,IF((INT(F931/B931)+(((F931-B931*INT(F931/B931)))/C931)/100)&lt;0,(INT(F931/B931)+(((F931-B931*INT(F931/B931)))/C931)/100)+(1-(B931/C931/100)),(INT(F931/B931)+(((F931-B931*INT(F931/B931)))/C931)/100)))),0,IF(B931=C931,F931/C931,IF((INT(F931/B931)+(((F931-B931*INT(F931/B931)))/C931)/100)&lt;0,(INT(F931/B931)+(((F931-B931*INT(F931/B931)))/C931)/100)+(1-(B931/C931/100)),(INT(F931/B931)+(((F931-B931*INT(F931/B931)))/C931)/100))))</f>
        <v>0</v>
      </c>
      <c r="AR931" s="57">
        <f>IF(ISERROR(IF(B931=C931,G931/C931,(INT(G931/B931)+(((G931-B931*INT(G931/B931)))/C931)/100))),0,(IF(B931=C931,G931/C931,(INT(G931/B931)+(((G931-B931*INT(G931/B931)))/C931)/100))))</f>
        <v>0</v>
      </c>
      <c r="AS931" s="57">
        <f>IF(ISERROR(IF(B931=C931,H931/C931,(INT(H931/B931)+(((H931-B931*INT(H931/B931)))/C931)/100))),0,(IF(B931=C931,H931/C931,(INT(H931/B931)+(((H931-B931*INT(H931/B931)))/C931)/100))))</f>
        <v>0</v>
      </c>
      <c r="AT931" s="57">
        <f>IF(ISERROR(IF(B931=C931,I931/C931,(INT(I931/B931)+(((I931-B931*INT(I931/B931)))/C931)/100))),0,(IF(B931=C931,I931/C931,(INT(I931/B931)+(((I931-B931*INT(I931/B931)))/C931)/100))))</f>
        <v>0</v>
      </c>
      <c r="AU931" s="57">
        <f>IF(ISERROR(IF(B931=C931,J931/C931,(INT(J931/B931)+(((J931-B931*INT(J931/B931)))/C931)/100))),0,(IF(B931=C931,J931/C931,(INT(J931/B931)+(((J931-B931*INT(J931/B931)))/C931)/100))))</f>
        <v>0</v>
      </c>
      <c r="AV931" s="57">
        <f>IF(ISERROR(IF(B931=C931,K931/C931,IF((INT(K931/B931)+(((K931-B931*INT(K931/B931)))/C931)/100)&lt;0,(INT(K931/B931)+(((K931-B931*INT(K931/B931)))/C931)/100)+(1-(B931/C931/100)),(INT(K931/B931)+(((K931-B931*INT(K931/B931)))/C931)/100)))),0,IF(B931=C931,K931/C931,IF((INT(K931/B931)+(((K931-B931*INT(K931/B931)))/C931)/100)&lt;0,(INT(K931/B931)+(((K931-B931*INT(K931/B931)))/C931)/100)+(1-(B931/C931/100)),(INT(K931/B931)+(((K931-B931*INT(K931/B931)))/C931)/100))))</f>
        <v>0</v>
      </c>
      <c r="AW931" s="57">
        <f>IF(ISERROR(IF(B931=C931,L931/C931,(INT(L931/B931)+(((L931-B931*INT(L931/B931)))/C931)/100))),0,(IF(B931=C931,L931/C931,(INT(L931/B931)+(((L931-B931*INT(L931/B931)))/C931)/100))))</f>
        <v>0</v>
      </c>
      <c r="AX931" s="57">
        <f>IF(ISERROR(IF(B931=C931,M931/C931,(INT(M931/B931)+(((M931-B931*INT(M931/B931)))/C931)/100))),0,(IF(B931=C931,M931/C931,(INT(M931/B931)+(((M931-B931*INT(M931/B931)))/C931)/100))))</f>
        <v>0</v>
      </c>
      <c r="AY931" s="57">
        <f>IF(ISERROR(IF(B931=C931,N931/C931,IF((INT(N931/B931)+(((N931-B931*INT(N931/B931)))/C931)/100)&lt;0,(INT(N931/B931)+(((N931-B931*INT(N931/B931)))/C931)/100)+(1-(B931/C931/100)),(INT(N931/B931)+(((N931-B931*INT(N931/B931)))/C931)/100)))),0,IF(B931=C931,N931/C931,IF((INT(N931/B931)+(((N931-B931*INT(N931/B931)))/C931)/100)&lt;0,(INT(N931/B931)+(((N931-B931*INT(N931/B931)))/C931)/100)+(1-(B931/C931/100)),(INT(N931/B931)+(((N931-B931*INT(N931/B931)))/C931)/100))))</f>
        <v>0</v>
      </c>
      <c r="AZ931" s="57">
        <f>IF(ISERROR(IF(B931=C931,O931/C931,(INT(O931/B931)+(((O931-B931*INT(O931/B931)))/C931)/100))),0,(IF(B931=C931,O931/C931,(INT(O931/B931)+(((O931-B931*INT(O931/B931)))/C931)/100))))</f>
        <v>0</v>
      </c>
      <c r="BA931" s="57">
        <f>IF(ISERROR(IF(B931=C931,P931/C931,IF((INT(P931/B931)+(((P931-B931*INT(P931/B931)))/C931)/100)&lt;0,(INT(P931/B931)+(((P931-B931*INT(P931/B931)))/C931)/100)+(1-(B931/C931/100)),(INT(P931/B931)+(((P931-B931*INT(P931/B931)))/C931)/100)))),0,IF(B931=C931,P931/C931,IF((INT(P931/B931)+(((P931-B931*INT(P931/B931)))/C931)/100)&lt;0,(INT(P931/B931)+(((P931-B931*INT(P931/B931)))/C931)/100)+(1-(B931/C931/100)),(INT(P931/B931)+(((P931-B931*INT(P931/B931)))/C931)/100))))</f>
        <v>0</v>
      </c>
      <c r="BB931" s="28">
        <f>R931</f>
        <v>0</v>
      </c>
      <c r="BC931" s="28">
        <f>S931</f>
        <v>0</v>
      </c>
      <c r="BD931" s="28">
        <f>AF931</f>
        <v>0</v>
      </c>
      <c r="BE931" s="28">
        <f>T931</f>
        <v>0</v>
      </c>
      <c r="BG931" s="57">
        <f>IF(ISERROR(IF(B931=C931,V931/C931,(INT(V931/B931)+(((V931-B931*INT(V931/B931)))/C931)/100))),0,(IF(B931=C931,V931/C931,(INT(V931/B931)+(((V931-B931*INT(V931/B931)))/C931)/100))))</f>
        <v>0</v>
      </c>
      <c r="BH931" s="57">
        <f>IF(ISERROR(IF(B931=C931,W931/C931,(INT(W931/B931)+(((W931-B931*INT(W931/B931)))/C931)/100))),0,(IF(B931=C931,W931/C931,(INT(W931/B931)+(((W931-B931*INT(W931/B931)))/C931)/100))))</f>
        <v>0</v>
      </c>
      <c r="BI931" s="57">
        <f>IF(ISERROR(IF(B931=C931,X931/C931,(INT(X931/B931)+(((X931-B931*INT(X931/B931)))/C931)/100))),0,(IF(B931=C931,X931/C931,(INT(X931/B931)+(((X931-B931*INT(X931/B931)))/C931)/100))))</f>
        <v>0</v>
      </c>
      <c r="BJ931" s="57">
        <f>IF(ISERROR(IF(B931=C931,Y931/C931,(INT(Y931/B931)+(((Y931-B931*INT(Y931/B931)))/C931)/100))),0,(IF(B931=C931,Y931/C931,(INT(Y931/B931)+(((Y931-B931*INT(Y931/B931)))/C931)/100))))</f>
        <v>0</v>
      </c>
      <c r="BL931" s="57">
        <f>IF(ISERROR(IF(B931=C931,AA931/C931,(INT(AA931/B931)+(((AA931-B931*INT(AA931/B931)))/C931)/100))),0,(IF(B931=C931,AA931/C931,(INT(AA931/B931)+(((AA931-B931*INT(AA931/B931)))/C931)/100))))</f>
        <v>0</v>
      </c>
      <c r="BM931" s="57">
        <f>IF(ISERROR(IF(B931=C931,AB931/C931,(INT(AB931/B931)+(((AB931-B931*INT(AB931/B931)))/C931)/100))),0,(IF(B931=C931,AB931/C931,(INT(AB931/B931)+(((AB931-B931*INT(AB931/B931)))/C931)/100))))</f>
        <v>0</v>
      </c>
      <c r="BN931" s="57">
        <f>IF(ISERROR(IF(B931=C931,AC931/C931,(INT(AC931/B931)+(((AC931-B931*INT(AC931/B931)))/C931)/100))),0,(IF(B931=C931,AC931/C931,(INT(AC931/B931)+(((AC931-B931*INT(AC931/B931)))/C931)/100))))</f>
        <v>0</v>
      </c>
      <c r="BO931" s="57">
        <f>IF(ISERROR(IF(B931=C931,AD931/C931,(INT(AD931/B931)+(((AD931-B931*INT(AD931/B931)))/C931)/100))),0,(IF(B931=C931,AD931/C931,(INT(AD931/B931)+(((AD931-B931*INT(AD931/B931)))/C931)/100))))</f>
        <v>0</v>
      </c>
      <c r="BQ931" s="124" t="s">
        <v>81</v>
      </c>
    </row>
    <row r="932" spans="1:69" hidden="1" x14ac:dyDescent="0.35">
      <c r="A932" s="94"/>
      <c r="B932" s="113">
        <v>0</v>
      </c>
      <c r="C932" s="113">
        <v>0</v>
      </c>
      <c r="D932" s="28">
        <f>SUM(AA932:AD932)</f>
        <v>0</v>
      </c>
      <c r="E932" s="125">
        <v>0</v>
      </c>
      <c r="F932" s="113">
        <v>0</v>
      </c>
      <c r="G932" s="28">
        <f>SUM(D932:F932)</f>
        <v>0</v>
      </c>
      <c r="H932" s="125">
        <v>0</v>
      </c>
      <c r="I932" s="125">
        <v>0</v>
      </c>
      <c r="J932" s="125">
        <v>0</v>
      </c>
      <c r="K932" s="125">
        <v>0</v>
      </c>
      <c r="L932" s="113">
        <v>0</v>
      </c>
      <c r="M932" s="113">
        <v>0</v>
      </c>
      <c r="N932" s="28">
        <f>G932-SUM(H932:M932)</f>
        <v>0</v>
      </c>
      <c r="O932" s="28">
        <f>SUM(V932:Y932)</f>
        <v>0</v>
      </c>
      <c r="P932" s="28">
        <f>O932-N932</f>
        <v>0</v>
      </c>
      <c r="Q932" s="61" t="str">
        <f>IF(ISERROR(P932/SUM(H932:L932)),"",P932/SUM(H932:L932))</f>
        <v/>
      </c>
      <c r="R932" s="113">
        <v>0</v>
      </c>
      <c r="S932" s="28">
        <f>IF(ISERROR(P932/C932*R932),0,(P932/C932*R932))</f>
        <v>0</v>
      </c>
      <c r="T932" s="60">
        <f>IF(ISERROR(P932/B932*AF932),0,(P932/B932*AF932))</f>
        <v>0</v>
      </c>
      <c r="V932" s="113">
        <v>0</v>
      </c>
      <c r="W932" s="113">
        <v>0</v>
      </c>
      <c r="X932" s="113">
        <v>0</v>
      </c>
      <c r="Y932" s="113">
        <v>0</v>
      </c>
      <c r="AA932" s="113">
        <v>0</v>
      </c>
      <c r="AB932" s="113">
        <v>0</v>
      </c>
      <c r="AC932" s="113">
        <v>0</v>
      </c>
      <c r="AD932" s="113">
        <v>0</v>
      </c>
      <c r="AF932" s="54">
        <v>0</v>
      </c>
      <c r="AG932" s="28">
        <f>G932-O932</f>
        <v>0</v>
      </c>
      <c r="AH932" s="58">
        <f>IF(ISERROR(AG932/B932*AF932),0,(AG932/B932*AF932))</f>
        <v>0</v>
      </c>
      <c r="AI932" s="28">
        <f>SUM(H932:M932)</f>
        <v>0</v>
      </c>
      <c r="AJ932" s="28">
        <f>IF(ISERROR(AI932/B932*AF932),0,(AI932/B932*AF932))</f>
        <v>0</v>
      </c>
      <c r="AK932" s="58">
        <f>IF(ISERROR(O932/B932*AF932),0,(O932/B932*AF932))</f>
        <v>0</v>
      </c>
      <c r="AL932" s="28">
        <f>IF(ISERROR(H932/B932*AF932),0,(H932/B932*AF932))</f>
        <v>0</v>
      </c>
      <c r="AN932" s="51">
        <f>A932</f>
        <v>0</v>
      </c>
      <c r="AO932" s="57">
        <f>IF(ISERROR(IF(B932=C932,D932/C932,(INT(D932/B932)+(((D932-B932*INT(D932/B932)))/C932)/100))),0,(IF(B932=C932,D932/C932,(INT(D932/B932)+(((D932-B932*INT(D932/B932)))/C932)/100))))</f>
        <v>0</v>
      </c>
      <c r="AP932" s="57">
        <f>IF(ISERROR(IF(B932=C932,E932/C932,(INT(E932/B932)+(((E932-B932*INT(E932/B932)))/C932)/100))),0,(IF(B932=C932,E932/C932,(INT(E932/B932)+(((E932-B932*INT(E932/B932)))/C932)/100))))</f>
        <v>0</v>
      </c>
      <c r="AQ932" s="57">
        <f>IF(ISERROR(IF(B932=C932,F932/C932,IF((INT(F932/B932)+(((F932-B932*INT(F932/B932)))/C932)/100)&lt;0,(INT(F932/B932)+(((F932-B932*INT(F932/B932)))/C932)/100)+(1-(B932/C932/100)),(INT(F932/B932)+(((F932-B932*INT(F932/B932)))/C932)/100)))),0,IF(B932=C932,F932/C932,IF((INT(F932/B932)+(((F932-B932*INT(F932/B932)))/C932)/100)&lt;0,(INT(F932/B932)+(((F932-B932*INT(F932/B932)))/C932)/100)+(1-(B932/C932/100)),(INT(F932/B932)+(((F932-B932*INT(F932/B932)))/C932)/100))))</f>
        <v>0</v>
      </c>
      <c r="AR932" s="57">
        <f>IF(ISERROR(IF(B932=C932,G932/C932,(INT(G932/B932)+(((G932-B932*INT(G932/B932)))/C932)/100))),0,(IF(B932=C932,G932/C932,(INT(G932/B932)+(((G932-B932*INT(G932/B932)))/C932)/100))))</f>
        <v>0</v>
      </c>
      <c r="AS932" s="57">
        <f>IF(ISERROR(IF(B932=C932,H932/C932,(INT(H932/B932)+(((H932-B932*INT(H932/B932)))/C932)/100))),0,(IF(B932=C932,H932/C932,(INT(H932/B932)+(((H932-B932*INT(H932/B932)))/C932)/100))))</f>
        <v>0</v>
      </c>
      <c r="AT932" s="57">
        <f>IF(ISERROR(IF(B932=C932,I932/C932,(INT(I932/B932)+(((I932-B932*INT(I932/B932)))/C932)/100))),0,(IF(B932=C932,I932/C932,(INT(I932/B932)+(((I932-B932*INT(I932/B932)))/C932)/100))))</f>
        <v>0</v>
      </c>
      <c r="AU932" s="57">
        <f>IF(ISERROR(IF(B932=C932,J932/C932,(INT(J932/B932)+(((J932-B932*INT(J932/B932)))/C932)/100))),0,(IF(B932=C932,J932/C932,(INT(J932/B932)+(((J932-B932*INT(J932/B932)))/C932)/100))))</f>
        <v>0</v>
      </c>
      <c r="AV932" s="57">
        <f>IF(ISERROR(IF(B932=C932,K932/C932,IF((INT(K932/B932)+(((K932-B932*INT(K932/B932)))/C932)/100)&lt;0,(INT(K932/B932)+(((K932-B932*INT(K932/B932)))/C932)/100)+(1-(B932/C932/100)),(INT(K932/B932)+(((K932-B932*INT(K932/B932)))/C932)/100)))),0,IF(B932=C932,K932/C932,IF((INT(K932/B932)+(((K932-B932*INT(K932/B932)))/C932)/100)&lt;0,(INT(K932/B932)+(((K932-B932*INT(K932/B932)))/C932)/100)+(1-(B932/C932/100)),(INT(K932/B932)+(((K932-B932*INT(K932/B932)))/C932)/100))))</f>
        <v>0</v>
      </c>
      <c r="AW932" s="57">
        <f>IF(ISERROR(IF(B932=C932,L932/C932,(INT(L932/B932)+(((L932-B932*INT(L932/B932)))/C932)/100))),0,(IF(B932=C932,L932/C932,(INT(L932/B932)+(((L932-B932*INT(L932/B932)))/C932)/100))))</f>
        <v>0</v>
      </c>
      <c r="AX932" s="57">
        <f>IF(ISERROR(IF(B932=C932,M932/C932,(INT(M932/B932)+(((M932-B932*INT(M932/B932)))/C932)/100))),0,(IF(B932=C932,M932/C932,(INT(M932/B932)+(((M932-B932*INT(M932/B932)))/C932)/100))))</f>
        <v>0</v>
      </c>
      <c r="AY932" s="57">
        <f>IF(ISERROR(IF(B932=C932,N932/C932,IF((INT(N932/B932)+(((N932-B932*INT(N932/B932)))/C932)/100)&lt;0,(INT(N932/B932)+(((N932-B932*INT(N932/B932)))/C932)/100)+(1-(B932/C932/100)),(INT(N932/B932)+(((N932-B932*INT(N932/B932)))/C932)/100)))),0,IF(B932=C932,N932/C932,IF((INT(N932/B932)+(((N932-B932*INT(N932/B932)))/C932)/100)&lt;0,(INT(N932/B932)+(((N932-B932*INT(N932/B932)))/C932)/100)+(1-(B932/C932/100)),(INT(N932/B932)+(((N932-B932*INT(N932/B932)))/C932)/100))))</f>
        <v>0</v>
      </c>
      <c r="AZ932" s="57">
        <f>IF(ISERROR(IF(B932=C932,O932/C932,(INT(O932/B932)+(((O932-B932*INT(O932/B932)))/C932)/100))),0,(IF(B932=C932,O932/C932,(INT(O932/B932)+(((O932-B932*INT(O932/B932)))/C932)/100))))</f>
        <v>0</v>
      </c>
      <c r="BA932" s="57">
        <f>IF(ISERROR(IF(B932=C932,P932/C932,IF((INT(P932/B932)+(((P932-B932*INT(P932/B932)))/C932)/100)&lt;0,(INT(P932/B932)+(((P932-B932*INT(P932/B932)))/C932)/100)+(1-(B932/C932/100)),(INT(P932/B932)+(((P932-B932*INT(P932/B932)))/C932)/100)))),0,IF(B932=C932,P932/C932,IF((INT(P932/B932)+(((P932-B932*INT(P932/B932)))/C932)/100)&lt;0,(INT(P932/B932)+(((P932-B932*INT(P932/B932)))/C932)/100)+(1-(B932/C932/100)),(INT(P932/B932)+(((P932-B932*INT(P932/B932)))/C932)/100))))</f>
        <v>0</v>
      </c>
      <c r="BB932" s="28">
        <f>R932</f>
        <v>0</v>
      </c>
      <c r="BC932" s="28">
        <f>S932</f>
        <v>0</v>
      </c>
      <c r="BD932" s="28">
        <f>AF932</f>
        <v>0</v>
      </c>
      <c r="BE932" s="28">
        <f>T932</f>
        <v>0</v>
      </c>
      <c r="BG932" s="57">
        <f>IF(ISERROR(IF(B932=C932,V932/C932,(INT(V932/B932)+(((V932-B932*INT(V932/B932)))/C932)/100))),0,(IF(B932=C932,V932/C932,(INT(V932/B932)+(((V932-B932*INT(V932/B932)))/C932)/100))))</f>
        <v>0</v>
      </c>
      <c r="BH932" s="57">
        <f>IF(ISERROR(IF(B932=C932,W932/C932,(INT(W932/B932)+(((W932-B932*INT(W932/B932)))/C932)/100))),0,(IF(B932=C932,W932/C932,(INT(W932/B932)+(((W932-B932*INT(W932/B932)))/C932)/100))))</f>
        <v>0</v>
      </c>
      <c r="BI932" s="57">
        <f>IF(ISERROR(IF(B932=C932,X932/C932,(INT(X932/B932)+(((X932-B932*INT(X932/B932)))/C932)/100))),0,(IF(B932=C932,X932/C932,(INT(X932/B932)+(((X932-B932*INT(X932/B932)))/C932)/100))))</f>
        <v>0</v>
      </c>
      <c r="BJ932" s="57">
        <f>IF(ISERROR(IF(B932=C932,Y932/C932,(INT(Y932/B932)+(((Y932-B932*INT(Y932/B932)))/C932)/100))),0,(IF(B932=C932,Y932/C932,(INT(Y932/B932)+(((Y932-B932*INT(Y932/B932)))/C932)/100))))</f>
        <v>0</v>
      </c>
      <c r="BL932" s="57">
        <f>IF(ISERROR(IF(B932=C932,AA932/C932,(INT(AA932/B932)+(((AA932-B932*INT(AA932/B932)))/C932)/100))),0,(IF(B932=C932,AA932/C932,(INT(AA932/B932)+(((AA932-B932*INT(AA932/B932)))/C932)/100))))</f>
        <v>0</v>
      </c>
      <c r="BM932" s="57">
        <f>IF(ISERROR(IF(B932=C932,AB932/C932,(INT(AB932/B932)+(((AB932-B932*INT(AB932/B932)))/C932)/100))),0,(IF(B932=C932,AB932/C932,(INT(AB932/B932)+(((AB932-B932*INT(AB932/B932)))/C932)/100))))</f>
        <v>0</v>
      </c>
      <c r="BN932" s="57">
        <f>IF(ISERROR(IF(B932=C932,AC932/C932,(INT(AC932/B932)+(((AC932-B932*INT(AC932/B932)))/C932)/100))),0,(IF(B932=C932,AC932/C932,(INT(AC932/B932)+(((AC932-B932*INT(AC932/B932)))/C932)/100))))</f>
        <v>0</v>
      </c>
      <c r="BO932" s="57">
        <f>IF(ISERROR(IF(B932=C932,AD932/C932,(INT(AD932/B932)+(((AD932-B932*INT(AD932/B932)))/C932)/100))),0,(IF(B932=C932,AD932/C932,(INT(AD932/B932)+(((AD932-B932*INT(AD932/B932)))/C932)/100))))</f>
        <v>0</v>
      </c>
      <c r="BQ932" s="124" t="s">
        <v>81</v>
      </c>
    </row>
    <row r="933" spans="1:69" hidden="1" x14ac:dyDescent="0.35">
      <c r="A933" s="94"/>
      <c r="B933" s="113">
        <v>0</v>
      </c>
      <c r="C933" s="113">
        <v>0</v>
      </c>
      <c r="D933" s="28">
        <f>SUM(AA933:AD933)</f>
        <v>0</v>
      </c>
      <c r="E933" s="125">
        <v>0</v>
      </c>
      <c r="F933" s="113">
        <v>0</v>
      </c>
      <c r="G933" s="28">
        <f>SUM(D933:F933)</f>
        <v>0</v>
      </c>
      <c r="H933" s="125">
        <v>0</v>
      </c>
      <c r="I933" s="125">
        <v>0</v>
      </c>
      <c r="J933" s="125">
        <v>0</v>
      </c>
      <c r="K933" s="125">
        <v>0</v>
      </c>
      <c r="L933" s="113">
        <v>0</v>
      </c>
      <c r="M933" s="113">
        <v>0</v>
      </c>
      <c r="N933" s="28">
        <f>G933-SUM(H933:M933)</f>
        <v>0</v>
      </c>
      <c r="O933" s="28">
        <f>SUM(V933:Y933)</f>
        <v>0</v>
      </c>
      <c r="P933" s="28">
        <f>O933-N933</f>
        <v>0</v>
      </c>
      <c r="Q933" s="61" t="str">
        <f>IF(ISERROR(P933/SUM(H933:L933)),"",P933/SUM(H933:L933))</f>
        <v/>
      </c>
      <c r="R933" s="113">
        <v>0</v>
      </c>
      <c r="S933" s="28">
        <f>IF(ISERROR(P933/C933*R933),0,(P933/C933*R933))</f>
        <v>0</v>
      </c>
      <c r="T933" s="60">
        <f>IF(ISERROR(P933/B933*AF933),0,(P933/B933*AF933))</f>
        <v>0</v>
      </c>
      <c r="V933" s="113">
        <v>0</v>
      </c>
      <c r="W933" s="113">
        <v>0</v>
      </c>
      <c r="X933" s="113">
        <v>0</v>
      </c>
      <c r="Y933" s="113">
        <v>0</v>
      </c>
      <c r="AA933" s="113">
        <v>0</v>
      </c>
      <c r="AB933" s="113">
        <v>0</v>
      </c>
      <c r="AC933" s="113">
        <v>0</v>
      </c>
      <c r="AD933" s="113">
        <v>0</v>
      </c>
      <c r="AF933" s="54">
        <v>0</v>
      </c>
      <c r="AG933" s="28">
        <f>G933-O933</f>
        <v>0</v>
      </c>
      <c r="AH933" s="58">
        <f>IF(ISERROR(AG933/B933*AF933),0,(AG933/B933*AF933))</f>
        <v>0</v>
      </c>
      <c r="AI933" s="28">
        <f>SUM(H933:M933)</f>
        <v>0</v>
      </c>
      <c r="AJ933" s="28">
        <f>IF(ISERROR(AI933/B933*AF933),0,(AI933/B933*AF933))</f>
        <v>0</v>
      </c>
      <c r="AK933" s="58">
        <f>IF(ISERROR(O933/B933*AF933),0,(O933/B933*AF933))</f>
        <v>0</v>
      </c>
      <c r="AL933" s="28">
        <f>IF(ISERROR(H933/B933*AF933),0,(H933/B933*AF933))</f>
        <v>0</v>
      </c>
      <c r="AN933" s="51">
        <f>A933</f>
        <v>0</v>
      </c>
      <c r="AO933" s="57">
        <f>IF(ISERROR(IF(B933=C933,D933/C933,(INT(D933/B933)+(((D933-B933*INT(D933/B933)))/C933)/100))),0,(IF(B933=C933,D933/C933,(INT(D933/B933)+(((D933-B933*INT(D933/B933)))/C933)/100))))</f>
        <v>0</v>
      </c>
      <c r="AP933" s="57">
        <f>IF(ISERROR(IF(B933=C933,E933/C933,(INT(E933/B933)+(((E933-B933*INT(E933/B933)))/C933)/100))),0,(IF(B933=C933,E933/C933,(INT(E933/B933)+(((E933-B933*INT(E933/B933)))/C933)/100))))</f>
        <v>0</v>
      </c>
      <c r="AQ933" s="57">
        <f>IF(ISERROR(IF(B933=C933,F933/C933,IF((INT(F933/B933)+(((F933-B933*INT(F933/B933)))/C933)/100)&lt;0,(INT(F933/B933)+(((F933-B933*INT(F933/B933)))/C933)/100)+(1-(B933/C933/100)),(INT(F933/B933)+(((F933-B933*INT(F933/B933)))/C933)/100)))),0,IF(B933=C933,F933/C933,IF((INT(F933/B933)+(((F933-B933*INT(F933/B933)))/C933)/100)&lt;0,(INT(F933/B933)+(((F933-B933*INT(F933/B933)))/C933)/100)+(1-(B933/C933/100)),(INT(F933/B933)+(((F933-B933*INT(F933/B933)))/C933)/100))))</f>
        <v>0</v>
      </c>
      <c r="AR933" s="57">
        <f>IF(ISERROR(IF(B933=C933,G933/C933,(INT(G933/B933)+(((G933-B933*INT(G933/B933)))/C933)/100))),0,(IF(B933=C933,G933/C933,(INT(G933/B933)+(((G933-B933*INT(G933/B933)))/C933)/100))))</f>
        <v>0</v>
      </c>
      <c r="AS933" s="57">
        <f>IF(ISERROR(IF(B933=C933,H933/C933,(INT(H933/B933)+(((H933-B933*INT(H933/B933)))/C933)/100))),0,(IF(B933=C933,H933/C933,(INT(H933/B933)+(((H933-B933*INT(H933/B933)))/C933)/100))))</f>
        <v>0</v>
      </c>
      <c r="AT933" s="57">
        <f>IF(ISERROR(IF(B933=C933,I933/C933,(INT(I933/B933)+(((I933-B933*INT(I933/B933)))/C933)/100))),0,(IF(B933=C933,I933/C933,(INT(I933/B933)+(((I933-B933*INT(I933/B933)))/C933)/100))))</f>
        <v>0</v>
      </c>
      <c r="AU933" s="57">
        <f>IF(ISERROR(IF(B933=C933,J933/C933,(INT(J933/B933)+(((J933-B933*INT(J933/B933)))/C933)/100))),0,(IF(B933=C933,J933/C933,(INT(J933/B933)+(((J933-B933*INT(J933/B933)))/C933)/100))))</f>
        <v>0</v>
      </c>
      <c r="AV933" s="57">
        <f>IF(ISERROR(IF(B933=C933,K933/C933,IF((INT(K933/B933)+(((K933-B933*INT(K933/B933)))/C933)/100)&lt;0,(INT(K933/B933)+(((K933-B933*INT(K933/B933)))/C933)/100)+(1-(B933/C933/100)),(INT(K933/B933)+(((K933-B933*INT(K933/B933)))/C933)/100)))),0,IF(B933=C933,K933/C933,IF((INT(K933/B933)+(((K933-B933*INT(K933/B933)))/C933)/100)&lt;0,(INT(K933/B933)+(((K933-B933*INT(K933/B933)))/C933)/100)+(1-(B933/C933/100)),(INT(K933/B933)+(((K933-B933*INT(K933/B933)))/C933)/100))))</f>
        <v>0</v>
      </c>
      <c r="AW933" s="57">
        <f>IF(ISERROR(IF(B933=C933,L933/C933,(INT(L933/B933)+(((L933-B933*INT(L933/B933)))/C933)/100))),0,(IF(B933=C933,L933/C933,(INT(L933/B933)+(((L933-B933*INT(L933/B933)))/C933)/100))))</f>
        <v>0</v>
      </c>
      <c r="AX933" s="57">
        <f>IF(ISERROR(IF(B933=C933,M933/C933,(INT(M933/B933)+(((M933-B933*INT(M933/B933)))/C933)/100))),0,(IF(B933=C933,M933/C933,(INT(M933/B933)+(((M933-B933*INT(M933/B933)))/C933)/100))))</f>
        <v>0</v>
      </c>
      <c r="AY933" s="57">
        <f>IF(ISERROR(IF(B933=C933,N933/C933,IF((INT(N933/B933)+(((N933-B933*INT(N933/B933)))/C933)/100)&lt;0,(INT(N933/B933)+(((N933-B933*INT(N933/B933)))/C933)/100)+(1-(B933/C933/100)),(INT(N933/B933)+(((N933-B933*INT(N933/B933)))/C933)/100)))),0,IF(B933=C933,N933/C933,IF((INT(N933/B933)+(((N933-B933*INT(N933/B933)))/C933)/100)&lt;0,(INT(N933/B933)+(((N933-B933*INT(N933/B933)))/C933)/100)+(1-(B933/C933/100)),(INT(N933/B933)+(((N933-B933*INT(N933/B933)))/C933)/100))))</f>
        <v>0</v>
      </c>
      <c r="AZ933" s="57">
        <f>IF(ISERROR(IF(B933=C933,O933/C933,(INT(O933/B933)+(((O933-B933*INT(O933/B933)))/C933)/100))),0,(IF(B933=C933,O933/C933,(INT(O933/B933)+(((O933-B933*INT(O933/B933)))/C933)/100))))</f>
        <v>0</v>
      </c>
      <c r="BA933" s="57">
        <f>IF(ISERROR(IF(B933=C933,P933/C933,IF((INT(P933/B933)+(((P933-B933*INT(P933/B933)))/C933)/100)&lt;0,(INT(P933/B933)+(((P933-B933*INT(P933/B933)))/C933)/100)+(1-(B933/C933/100)),(INT(P933/B933)+(((P933-B933*INT(P933/B933)))/C933)/100)))),0,IF(B933=C933,P933/C933,IF((INT(P933/B933)+(((P933-B933*INT(P933/B933)))/C933)/100)&lt;0,(INT(P933/B933)+(((P933-B933*INT(P933/B933)))/C933)/100)+(1-(B933/C933/100)),(INT(P933/B933)+(((P933-B933*INT(P933/B933)))/C933)/100))))</f>
        <v>0</v>
      </c>
      <c r="BB933" s="28">
        <f>R933</f>
        <v>0</v>
      </c>
      <c r="BC933" s="28">
        <f>S933</f>
        <v>0</v>
      </c>
      <c r="BD933" s="28">
        <f>AF933</f>
        <v>0</v>
      </c>
      <c r="BE933" s="28">
        <f>T933</f>
        <v>0</v>
      </c>
      <c r="BG933" s="57">
        <f>IF(ISERROR(IF(B933=C933,V933/C933,(INT(V933/B933)+(((V933-B933*INT(V933/B933)))/C933)/100))),0,(IF(B933=C933,V933/C933,(INT(V933/B933)+(((V933-B933*INT(V933/B933)))/C933)/100))))</f>
        <v>0</v>
      </c>
      <c r="BH933" s="57">
        <f>IF(ISERROR(IF(B933=C933,W933/C933,(INT(W933/B933)+(((W933-B933*INT(W933/B933)))/C933)/100))),0,(IF(B933=C933,W933/C933,(INT(W933/B933)+(((W933-B933*INT(W933/B933)))/C933)/100))))</f>
        <v>0</v>
      </c>
      <c r="BI933" s="57">
        <f>IF(ISERROR(IF(B933=C933,X933/C933,(INT(X933/B933)+(((X933-B933*INT(X933/B933)))/C933)/100))),0,(IF(B933=C933,X933/C933,(INT(X933/B933)+(((X933-B933*INT(X933/B933)))/C933)/100))))</f>
        <v>0</v>
      </c>
      <c r="BJ933" s="57">
        <f>IF(ISERROR(IF(B933=C933,Y933/C933,(INT(Y933/B933)+(((Y933-B933*INT(Y933/B933)))/C933)/100))),0,(IF(B933=C933,Y933/C933,(INT(Y933/B933)+(((Y933-B933*INT(Y933/B933)))/C933)/100))))</f>
        <v>0</v>
      </c>
      <c r="BL933" s="57">
        <f>IF(ISERROR(IF(B933=C933,AA933/C933,(INT(AA933/B933)+(((AA933-B933*INT(AA933/B933)))/C933)/100))),0,(IF(B933=C933,AA933/C933,(INT(AA933/B933)+(((AA933-B933*INT(AA933/B933)))/C933)/100))))</f>
        <v>0</v>
      </c>
      <c r="BM933" s="57">
        <f>IF(ISERROR(IF(B933=C933,AB933/C933,(INT(AB933/B933)+(((AB933-B933*INT(AB933/B933)))/C933)/100))),0,(IF(B933=C933,AB933/C933,(INT(AB933/B933)+(((AB933-B933*INT(AB933/B933)))/C933)/100))))</f>
        <v>0</v>
      </c>
      <c r="BN933" s="57">
        <f>IF(ISERROR(IF(B933=C933,AC933/C933,(INT(AC933/B933)+(((AC933-B933*INT(AC933/B933)))/C933)/100))),0,(IF(B933=C933,AC933/C933,(INT(AC933/B933)+(((AC933-B933*INT(AC933/B933)))/C933)/100))))</f>
        <v>0</v>
      </c>
      <c r="BO933" s="57">
        <f>IF(ISERROR(IF(B933=C933,AD933/C933,(INT(AD933/B933)+(((AD933-B933*INT(AD933/B933)))/C933)/100))),0,(IF(B933=C933,AD933/C933,(INT(AD933/B933)+(((AD933-B933*INT(AD933/B933)))/C933)/100))))</f>
        <v>0</v>
      </c>
      <c r="BQ933" s="124" t="s">
        <v>81</v>
      </c>
    </row>
    <row r="934" spans="1:69" hidden="1" x14ac:dyDescent="0.35">
      <c r="A934" s="94"/>
      <c r="B934" s="113">
        <v>0</v>
      </c>
      <c r="C934" s="113">
        <v>0</v>
      </c>
      <c r="D934" s="28">
        <f>SUM(AA934:AD934)</f>
        <v>0</v>
      </c>
      <c r="E934" s="125">
        <v>0</v>
      </c>
      <c r="F934" s="113">
        <v>0</v>
      </c>
      <c r="G934" s="28">
        <f>SUM(D934:F934)</f>
        <v>0</v>
      </c>
      <c r="H934" s="125">
        <v>0</v>
      </c>
      <c r="I934" s="125">
        <v>0</v>
      </c>
      <c r="J934" s="125">
        <v>0</v>
      </c>
      <c r="K934" s="125">
        <v>0</v>
      </c>
      <c r="L934" s="113">
        <v>0</v>
      </c>
      <c r="M934" s="113">
        <v>0</v>
      </c>
      <c r="N934" s="28">
        <f>G934-SUM(H934:M934)</f>
        <v>0</v>
      </c>
      <c r="O934" s="28">
        <f>SUM(V934:Y934)</f>
        <v>0</v>
      </c>
      <c r="P934" s="28">
        <f>O934-N934</f>
        <v>0</v>
      </c>
      <c r="Q934" s="61" t="str">
        <f>IF(ISERROR(P934/SUM(H934:L934)),"",P934/SUM(H934:L934))</f>
        <v/>
      </c>
      <c r="R934" s="113">
        <v>0</v>
      </c>
      <c r="S934" s="28">
        <f>IF(ISERROR(P934/C934*R934),0,(P934/C934*R934))</f>
        <v>0</v>
      </c>
      <c r="T934" s="60">
        <f>IF(ISERROR(P934/B934*AF934),0,(P934/B934*AF934))</f>
        <v>0</v>
      </c>
      <c r="V934" s="113">
        <v>0</v>
      </c>
      <c r="W934" s="113">
        <v>0</v>
      </c>
      <c r="X934" s="113">
        <v>0</v>
      </c>
      <c r="Y934" s="113">
        <v>0</v>
      </c>
      <c r="AA934" s="113">
        <v>0</v>
      </c>
      <c r="AB934" s="113">
        <v>0</v>
      </c>
      <c r="AC934" s="113">
        <v>0</v>
      </c>
      <c r="AD934" s="113">
        <v>0</v>
      </c>
      <c r="AF934" s="54">
        <v>0</v>
      </c>
      <c r="AG934" s="28">
        <f>G934-O934</f>
        <v>0</v>
      </c>
      <c r="AH934" s="58">
        <f>IF(ISERROR(AG934/B934*AF934),0,(AG934/B934*AF934))</f>
        <v>0</v>
      </c>
      <c r="AI934" s="28">
        <f>SUM(H934:M934)</f>
        <v>0</v>
      </c>
      <c r="AJ934" s="28">
        <f>IF(ISERROR(AI934/B934*AF934),0,(AI934/B934*AF934))</f>
        <v>0</v>
      </c>
      <c r="AK934" s="58">
        <f>IF(ISERROR(O934/B934*AF934),0,(O934/B934*AF934))</f>
        <v>0</v>
      </c>
      <c r="AL934" s="28">
        <f>IF(ISERROR(H934/B934*AF934),0,(H934/B934*AF934))</f>
        <v>0</v>
      </c>
      <c r="AN934" s="51">
        <f>A934</f>
        <v>0</v>
      </c>
      <c r="AO934" s="57">
        <f>IF(ISERROR(IF(B934=C934,D934/C934,(INT(D934/B934)+(((D934-B934*INT(D934/B934)))/C934)/100))),0,(IF(B934=C934,D934/C934,(INT(D934/B934)+(((D934-B934*INT(D934/B934)))/C934)/100))))</f>
        <v>0</v>
      </c>
      <c r="AP934" s="57">
        <f>IF(ISERROR(IF(B934=C934,E934/C934,(INT(E934/B934)+(((E934-B934*INT(E934/B934)))/C934)/100))),0,(IF(B934=C934,E934/C934,(INT(E934/B934)+(((E934-B934*INT(E934/B934)))/C934)/100))))</f>
        <v>0</v>
      </c>
      <c r="AQ934" s="57">
        <f>IF(ISERROR(IF(B934=C934,F934/C934,IF((INT(F934/B934)+(((F934-B934*INT(F934/B934)))/C934)/100)&lt;0,(INT(F934/B934)+(((F934-B934*INT(F934/B934)))/C934)/100)+(1-(B934/C934/100)),(INT(F934/B934)+(((F934-B934*INT(F934/B934)))/C934)/100)))),0,IF(B934=C934,F934/C934,IF((INT(F934/B934)+(((F934-B934*INT(F934/B934)))/C934)/100)&lt;0,(INT(F934/B934)+(((F934-B934*INT(F934/B934)))/C934)/100)+(1-(B934/C934/100)),(INT(F934/B934)+(((F934-B934*INT(F934/B934)))/C934)/100))))</f>
        <v>0</v>
      </c>
      <c r="AR934" s="57">
        <f>IF(ISERROR(IF(B934=C934,G934/C934,(INT(G934/B934)+(((G934-B934*INT(G934/B934)))/C934)/100))),0,(IF(B934=C934,G934/C934,(INT(G934/B934)+(((G934-B934*INT(G934/B934)))/C934)/100))))</f>
        <v>0</v>
      </c>
      <c r="AS934" s="57">
        <f>IF(ISERROR(IF(B934=C934,H934/C934,(INT(H934/B934)+(((H934-B934*INT(H934/B934)))/C934)/100))),0,(IF(B934=C934,H934/C934,(INT(H934/B934)+(((H934-B934*INT(H934/B934)))/C934)/100))))</f>
        <v>0</v>
      </c>
      <c r="AT934" s="57">
        <f>IF(ISERROR(IF(B934=C934,I934/C934,(INT(I934/B934)+(((I934-B934*INT(I934/B934)))/C934)/100))),0,(IF(B934=C934,I934/C934,(INT(I934/B934)+(((I934-B934*INT(I934/B934)))/C934)/100))))</f>
        <v>0</v>
      </c>
      <c r="AU934" s="57">
        <f>IF(ISERROR(IF(B934=C934,J934/C934,(INT(J934/B934)+(((J934-B934*INT(J934/B934)))/C934)/100))),0,(IF(B934=C934,J934/C934,(INT(J934/B934)+(((J934-B934*INT(J934/B934)))/C934)/100))))</f>
        <v>0</v>
      </c>
      <c r="AV934" s="57">
        <f>IF(ISERROR(IF(B934=C934,K934/C934,IF((INT(K934/B934)+(((K934-B934*INT(K934/B934)))/C934)/100)&lt;0,(INT(K934/B934)+(((K934-B934*INT(K934/B934)))/C934)/100)+(1-(B934/C934/100)),(INT(K934/B934)+(((K934-B934*INT(K934/B934)))/C934)/100)))),0,IF(B934=C934,K934/C934,IF((INT(K934/B934)+(((K934-B934*INT(K934/B934)))/C934)/100)&lt;0,(INT(K934/B934)+(((K934-B934*INT(K934/B934)))/C934)/100)+(1-(B934/C934/100)),(INT(K934/B934)+(((K934-B934*INT(K934/B934)))/C934)/100))))</f>
        <v>0</v>
      </c>
      <c r="AW934" s="57">
        <f>IF(ISERROR(IF(B934=C934,L934/C934,(INT(L934/B934)+(((L934-B934*INT(L934/B934)))/C934)/100))),0,(IF(B934=C934,L934/C934,(INT(L934/B934)+(((L934-B934*INT(L934/B934)))/C934)/100))))</f>
        <v>0</v>
      </c>
      <c r="AX934" s="57">
        <f>IF(ISERROR(IF(B934=C934,M934/C934,(INT(M934/B934)+(((M934-B934*INT(M934/B934)))/C934)/100))),0,(IF(B934=C934,M934/C934,(INT(M934/B934)+(((M934-B934*INT(M934/B934)))/C934)/100))))</f>
        <v>0</v>
      </c>
      <c r="AY934" s="57">
        <f>IF(ISERROR(IF(B934=C934,N934/C934,IF((INT(N934/B934)+(((N934-B934*INT(N934/B934)))/C934)/100)&lt;0,(INT(N934/B934)+(((N934-B934*INT(N934/B934)))/C934)/100)+(1-(B934/C934/100)),(INT(N934/B934)+(((N934-B934*INT(N934/B934)))/C934)/100)))),0,IF(B934=C934,N934/C934,IF((INT(N934/B934)+(((N934-B934*INT(N934/B934)))/C934)/100)&lt;0,(INT(N934/B934)+(((N934-B934*INT(N934/B934)))/C934)/100)+(1-(B934/C934/100)),(INT(N934/B934)+(((N934-B934*INT(N934/B934)))/C934)/100))))</f>
        <v>0</v>
      </c>
      <c r="AZ934" s="57">
        <f>IF(ISERROR(IF(B934=C934,O934/C934,(INT(O934/B934)+(((O934-B934*INT(O934/B934)))/C934)/100))),0,(IF(B934=C934,O934/C934,(INT(O934/B934)+(((O934-B934*INT(O934/B934)))/C934)/100))))</f>
        <v>0</v>
      </c>
      <c r="BA934" s="57">
        <f>IF(ISERROR(IF(B934=C934,P934/C934,IF((INT(P934/B934)+(((P934-B934*INT(P934/B934)))/C934)/100)&lt;0,(INT(P934/B934)+(((P934-B934*INT(P934/B934)))/C934)/100)+(1-(B934/C934/100)),(INT(P934/B934)+(((P934-B934*INT(P934/B934)))/C934)/100)))),0,IF(B934=C934,P934/C934,IF((INT(P934/B934)+(((P934-B934*INT(P934/B934)))/C934)/100)&lt;0,(INT(P934/B934)+(((P934-B934*INT(P934/B934)))/C934)/100)+(1-(B934/C934/100)),(INT(P934/B934)+(((P934-B934*INT(P934/B934)))/C934)/100))))</f>
        <v>0</v>
      </c>
      <c r="BB934" s="28">
        <f>R934</f>
        <v>0</v>
      </c>
      <c r="BC934" s="28">
        <f>S934</f>
        <v>0</v>
      </c>
      <c r="BD934" s="28">
        <f>AF934</f>
        <v>0</v>
      </c>
      <c r="BE934" s="28">
        <f>T934</f>
        <v>0</v>
      </c>
      <c r="BG934" s="57">
        <f>IF(ISERROR(IF(B934=C934,V934/C934,(INT(V934/B934)+(((V934-B934*INT(V934/B934)))/C934)/100))),0,(IF(B934=C934,V934/C934,(INT(V934/B934)+(((V934-B934*INT(V934/B934)))/C934)/100))))</f>
        <v>0</v>
      </c>
      <c r="BH934" s="57">
        <f>IF(ISERROR(IF(B934=C934,W934/C934,(INT(W934/B934)+(((W934-B934*INT(W934/B934)))/C934)/100))),0,(IF(B934=C934,W934/C934,(INT(W934/B934)+(((W934-B934*INT(W934/B934)))/C934)/100))))</f>
        <v>0</v>
      </c>
      <c r="BI934" s="57">
        <f>IF(ISERROR(IF(B934=C934,X934/C934,(INT(X934/B934)+(((X934-B934*INT(X934/B934)))/C934)/100))),0,(IF(B934=C934,X934/C934,(INT(X934/B934)+(((X934-B934*INT(X934/B934)))/C934)/100))))</f>
        <v>0</v>
      </c>
      <c r="BJ934" s="57">
        <f>IF(ISERROR(IF(B934=C934,Y934/C934,(INT(Y934/B934)+(((Y934-B934*INT(Y934/B934)))/C934)/100))),0,(IF(B934=C934,Y934/C934,(INT(Y934/B934)+(((Y934-B934*INT(Y934/B934)))/C934)/100))))</f>
        <v>0</v>
      </c>
      <c r="BL934" s="57">
        <f>IF(ISERROR(IF(B934=C934,AA934/C934,(INT(AA934/B934)+(((AA934-B934*INT(AA934/B934)))/C934)/100))),0,(IF(B934=C934,AA934/C934,(INT(AA934/B934)+(((AA934-B934*INT(AA934/B934)))/C934)/100))))</f>
        <v>0</v>
      </c>
      <c r="BM934" s="57">
        <f>IF(ISERROR(IF(B934=C934,AB934/C934,(INT(AB934/B934)+(((AB934-B934*INT(AB934/B934)))/C934)/100))),0,(IF(B934=C934,AB934/C934,(INT(AB934/B934)+(((AB934-B934*INT(AB934/B934)))/C934)/100))))</f>
        <v>0</v>
      </c>
      <c r="BN934" s="57">
        <f>IF(ISERROR(IF(B934=C934,AC934/C934,(INT(AC934/B934)+(((AC934-B934*INT(AC934/B934)))/C934)/100))),0,(IF(B934=C934,AC934/C934,(INT(AC934/B934)+(((AC934-B934*INT(AC934/B934)))/C934)/100))))</f>
        <v>0</v>
      </c>
      <c r="BO934" s="57">
        <f>IF(ISERROR(IF(B934=C934,AD934/C934,(INT(AD934/B934)+(((AD934-B934*INT(AD934/B934)))/C934)/100))),0,(IF(B934=C934,AD934/C934,(INT(AD934/B934)+(((AD934-B934*INT(AD934/B934)))/C934)/100))))</f>
        <v>0</v>
      </c>
      <c r="BQ934" s="124" t="s">
        <v>81</v>
      </c>
    </row>
    <row r="935" spans="1:69" hidden="1" x14ac:dyDescent="0.35">
      <c r="A935" s="94"/>
      <c r="B935" s="113">
        <v>0</v>
      </c>
      <c r="C935" s="113">
        <v>0</v>
      </c>
      <c r="D935" s="28">
        <f>SUM(AA935:AD935)</f>
        <v>0</v>
      </c>
      <c r="E935" s="125">
        <v>0</v>
      </c>
      <c r="F935" s="113">
        <v>0</v>
      </c>
      <c r="G935" s="28">
        <f>SUM(D935:F935)</f>
        <v>0</v>
      </c>
      <c r="H935" s="125">
        <v>0</v>
      </c>
      <c r="I935" s="125">
        <v>0</v>
      </c>
      <c r="J935" s="125">
        <v>0</v>
      </c>
      <c r="K935" s="125">
        <v>0</v>
      </c>
      <c r="L935" s="113">
        <v>0</v>
      </c>
      <c r="M935" s="113">
        <v>0</v>
      </c>
      <c r="N935" s="28">
        <f>G935-SUM(H935:M935)</f>
        <v>0</v>
      </c>
      <c r="O935" s="28">
        <f>SUM(V935:Y935)</f>
        <v>0</v>
      </c>
      <c r="P935" s="28">
        <f>O935-N935</f>
        <v>0</v>
      </c>
      <c r="Q935" s="61" t="str">
        <f>IF(ISERROR(P935/SUM(H935:L935)),"",P935/SUM(H935:L935))</f>
        <v/>
      </c>
      <c r="R935" s="113">
        <v>0</v>
      </c>
      <c r="S935" s="28">
        <f>IF(ISERROR(P935/C935*R935),0,(P935/C935*R935))</f>
        <v>0</v>
      </c>
      <c r="T935" s="60">
        <f>IF(ISERROR(P935/B935*AF935),0,(P935/B935*AF935))</f>
        <v>0</v>
      </c>
      <c r="V935" s="113">
        <v>0</v>
      </c>
      <c r="W935" s="113">
        <v>0</v>
      </c>
      <c r="X935" s="113">
        <v>0</v>
      </c>
      <c r="Y935" s="113">
        <v>0</v>
      </c>
      <c r="AA935" s="113">
        <v>0</v>
      </c>
      <c r="AB935" s="113">
        <v>0</v>
      </c>
      <c r="AC935" s="113">
        <v>0</v>
      </c>
      <c r="AD935" s="113">
        <v>0</v>
      </c>
      <c r="AF935" s="54">
        <v>0</v>
      </c>
      <c r="AG935" s="28">
        <f>G935-O935</f>
        <v>0</v>
      </c>
      <c r="AH935" s="58">
        <f>IF(ISERROR(AG935/B935*AF935),0,(AG935/B935*AF935))</f>
        <v>0</v>
      </c>
      <c r="AI935" s="28">
        <f>SUM(H935:M935)</f>
        <v>0</v>
      </c>
      <c r="AJ935" s="28">
        <f>IF(ISERROR(AI935/B935*AF935),0,(AI935/B935*AF935))</f>
        <v>0</v>
      </c>
      <c r="AK935" s="58">
        <f>IF(ISERROR(O935/B935*AF935),0,(O935/B935*AF935))</f>
        <v>0</v>
      </c>
      <c r="AL935" s="28">
        <f>IF(ISERROR(H935/B935*AF935),0,(H935/B935*AF935))</f>
        <v>0</v>
      </c>
      <c r="AN935" s="51">
        <f>A935</f>
        <v>0</v>
      </c>
      <c r="AO935" s="57">
        <f>IF(ISERROR(IF(B935=C935,D935/C935,(INT(D935/B935)+(((D935-B935*INT(D935/B935)))/C935)/100))),0,(IF(B935=C935,D935/C935,(INT(D935/B935)+(((D935-B935*INT(D935/B935)))/C935)/100))))</f>
        <v>0</v>
      </c>
      <c r="AP935" s="57">
        <f>IF(ISERROR(IF(B935=C935,E935/C935,(INT(E935/B935)+(((E935-B935*INT(E935/B935)))/C935)/100))),0,(IF(B935=C935,E935/C935,(INT(E935/B935)+(((E935-B935*INT(E935/B935)))/C935)/100))))</f>
        <v>0</v>
      </c>
      <c r="AQ935" s="57">
        <f>IF(ISERROR(IF(B935=C935,F935/C935,IF((INT(F935/B935)+(((F935-B935*INT(F935/B935)))/C935)/100)&lt;0,(INT(F935/B935)+(((F935-B935*INT(F935/B935)))/C935)/100)+(1-(B935/C935/100)),(INT(F935/B935)+(((F935-B935*INT(F935/B935)))/C935)/100)))),0,IF(B935=C935,F935/C935,IF((INT(F935/B935)+(((F935-B935*INT(F935/B935)))/C935)/100)&lt;0,(INT(F935/B935)+(((F935-B935*INT(F935/B935)))/C935)/100)+(1-(B935/C935/100)),(INT(F935/B935)+(((F935-B935*INT(F935/B935)))/C935)/100))))</f>
        <v>0</v>
      </c>
      <c r="AR935" s="57">
        <f>IF(ISERROR(IF(B935=C935,G935/C935,(INT(G935/B935)+(((G935-B935*INT(G935/B935)))/C935)/100))),0,(IF(B935=C935,G935/C935,(INT(G935/B935)+(((G935-B935*INT(G935/B935)))/C935)/100))))</f>
        <v>0</v>
      </c>
      <c r="AS935" s="57">
        <f>IF(ISERROR(IF(B935=C935,H935/C935,(INT(H935/B935)+(((H935-B935*INT(H935/B935)))/C935)/100))),0,(IF(B935=C935,H935/C935,(INT(H935/B935)+(((H935-B935*INT(H935/B935)))/C935)/100))))</f>
        <v>0</v>
      </c>
      <c r="AT935" s="57">
        <f>IF(ISERROR(IF(B935=C935,I935/C935,(INT(I935/B935)+(((I935-B935*INT(I935/B935)))/C935)/100))),0,(IF(B935=C935,I935/C935,(INT(I935/B935)+(((I935-B935*INT(I935/B935)))/C935)/100))))</f>
        <v>0</v>
      </c>
      <c r="AU935" s="57">
        <f>IF(ISERROR(IF(B935=C935,J935/C935,(INT(J935/B935)+(((J935-B935*INT(J935/B935)))/C935)/100))),0,(IF(B935=C935,J935/C935,(INT(J935/B935)+(((J935-B935*INT(J935/B935)))/C935)/100))))</f>
        <v>0</v>
      </c>
      <c r="AV935" s="57">
        <f>IF(ISERROR(IF(B935=C935,K935/C935,IF((INT(K935/B935)+(((K935-B935*INT(K935/B935)))/C935)/100)&lt;0,(INT(K935/B935)+(((K935-B935*INT(K935/B935)))/C935)/100)+(1-(B935/C935/100)),(INT(K935/B935)+(((K935-B935*INT(K935/B935)))/C935)/100)))),0,IF(B935=C935,K935/C935,IF((INT(K935/B935)+(((K935-B935*INT(K935/B935)))/C935)/100)&lt;0,(INT(K935/B935)+(((K935-B935*INT(K935/B935)))/C935)/100)+(1-(B935/C935/100)),(INT(K935/B935)+(((K935-B935*INT(K935/B935)))/C935)/100))))</f>
        <v>0</v>
      </c>
      <c r="AW935" s="57">
        <f>IF(ISERROR(IF(B935=C935,L935/C935,(INT(L935/B935)+(((L935-B935*INT(L935/B935)))/C935)/100))),0,(IF(B935=C935,L935/C935,(INT(L935/B935)+(((L935-B935*INT(L935/B935)))/C935)/100))))</f>
        <v>0</v>
      </c>
      <c r="AX935" s="57">
        <f>IF(ISERROR(IF(B935=C935,M935/C935,(INT(M935/B935)+(((M935-B935*INT(M935/B935)))/C935)/100))),0,(IF(B935=C935,M935/C935,(INT(M935/B935)+(((M935-B935*INT(M935/B935)))/C935)/100))))</f>
        <v>0</v>
      </c>
      <c r="AY935" s="57">
        <f>IF(ISERROR(IF(B935=C935,N935/C935,IF((INT(N935/B935)+(((N935-B935*INT(N935/B935)))/C935)/100)&lt;0,(INT(N935/B935)+(((N935-B935*INT(N935/B935)))/C935)/100)+(1-(B935/C935/100)),(INT(N935/B935)+(((N935-B935*INT(N935/B935)))/C935)/100)))),0,IF(B935=C935,N935/C935,IF((INT(N935/B935)+(((N935-B935*INT(N935/B935)))/C935)/100)&lt;0,(INT(N935/B935)+(((N935-B935*INT(N935/B935)))/C935)/100)+(1-(B935/C935/100)),(INT(N935/B935)+(((N935-B935*INT(N935/B935)))/C935)/100))))</f>
        <v>0</v>
      </c>
      <c r="AZ935" s="57">
        <f>IF(ISERROR(IF(B935=C935,O935/C935,(INT(O935/B935)+(((O935-B935*INT(O935/B935)))/C935)/100))),0,(IF(B935=C935,O935/C935,(INT(O935/B935)+(((O935-B935*INT(O935/B935)))/C935)/100))))</f>
        <v>0</v>
      </c>
      <c r="BA935" s="57">
        <f>IF(ISERROR(IF(B935=C935,P935/C935,IF((INT(P935/B935)+(((P935-B935*INT(P935/B935)))/C935)/100)&lt;0,(INT(P935/B935)+(((P935-B935*INT(P935/B935)))/C935)/100)+(1-(B935/C935/100)),(INT(P935/B935)+(((P935-B935*INT(P935/B935)))/C935)/100)))),0,IF(B935=C935,P935/C935,IF((INT(P935/B935)+(((P935-B935*INT(P935/B935)))/C935)/100)&lt;0,(INT(P935/B935)+(((P935-B935*INT(P935/B935)))/C935)/100)+(1-(B935/C935/100)),(INT(P935/B935)+(((P935-B935*INT(P935/B935)))/C935)/100))))</f>
        <v>0</v>
      </c>
      <c r="BB935" s="28">
        <f>R935</f>
        <v>0</v>
      </c>
      <c r="BC935" s="28">
        <f>S935</f>
        <v>0</v>
      </c>
      <c r="BD935" s="28">
        <f>AF935</f>
        <v>0</v>
      </c>
      <c r="BE935" s="28">
        <f>T935</f>
        <v>0</v>
      </c>
      <c r="BG935" s="57">
        <f>IF(ISERROR(IF(B935=C935,V935/C935,(INT(V935/B935)+(((V935-B935*INT(V935/B935)))/C935)/100))),0,(IF(B935=C935,V935/C935,(INT(V935/B935)+(((V935-B935*INT(V935/B935)))/C935)/100))))</f>
        <v>0</v>
      </c>
      <c r="BH935" s="57">
        <f>IF(ISERROR(IF(B935=C935,W935/C935,(INT(W935/B935)+(((W935-B935*INT(W935/B935)))/C935)/100))),0,(IF(B935=C935,W935/C935,(INT(W935/B935)+(((W935-B935*INT(W935/B935)))/C935)/100))))</f>
        <v>0</v>
      </c>
      <c r="BI935" s="57">
        <f>IF(ISERROR(IF(B935=C935,X935/C935,(INT(X935/B935)+(((X935-B935*INT(X935/B935)))/C935)/100))),0,(IF(B935=C935,X935/C935,(INT(X935/B935)+(((X935-B935*INT(X935/B935)))/C935)/100))))</f>
        <v>0</v>
      </c>
      <c r="BJ935" s="57">
        <f>IF(ISERROR(IF(B935=C935,Y935/C935,(INT(Y935/B935)+(((Y935-B935*INT(Y935/B935)))/C935)/100))),0,(IF(B935=C935,Y935/C935,(INT(Y935/B935)+(((Y935-B935*INT(Y935/B935)))/C935)/100))))</f>
        <v>0</v>
      </c>
      <c r="BL935" s="57">
        <f>IF(ISERROR(IF(B935=C935,AA935/C935,(INT(AA935/B935)+(((AA935-B935*INT(AA935/B935)))/C935)/100))),0,(IF(B935=C935,AA935/C935,(INT(AA935/B935)+(((AA935-B935*INT(AA935/B935)))/C935)/100))))</f>
        <v>0</v>
      </c>
      <c r="BM935" s="57">
        <f>IF(ISERROR(IF(B935=C935,AB935/C935,(INT(AB935/B935)+(((AB935-B935*INT(AB935/B935)))/C935)/100))),0,(IF(B935=C935,AB935/C935,(INT(AB935/B935)+(((AB935-B935*INT(AB935/B935)))/C935)/100))))</f>
        <v>0</v>
      </c>
      <c r="BN935" s="57">
        <f>IF(ISERROR(IF(B935=C935,AC935/C935,(INT(AC935/B935)+(((AC935-B935*INT(AC935/B935)))/C935)/100))),0,(IF(B935=C935,AC935/C935,(INT(AC935/B935)+(((AC935-B935*INT(AC935/B935)))/C935)/100))))</f>
        <v>0</v>
      </c>
      <c r="BO935" s="57">
        <f>IF(ISERROR(IF(B935=C935,AD935/C935,(INT(AD935/B935)+(((AD935-B935*INT(AD935/B935)))/C935)/100))),0,(IF(B935=C935,AD935/C935,(INT(AD935/B935)+(((AD935-B935*INT(AD935/B935)))/C935)/100))))</f>
        <v>0</v>
      </c>
      <c r="BQ935" s="124" t="s">
        <v>81</v>
      </c>
    </row>
    <row r="936" spans="1:69" hidden="1" x14ac:dyDescent="0.35">
      <c r="A936" s="94"/>
      <c r="B936" s="113">
        <v>0</v>
      </c>
      <c r="C936" s="113">
        <v>0</v>
      </c>
      <c r="D936" s="28">
        <f>SUM(AA936:AD936)</f>
        <v>0</v>
      </c>
      <c r="E936" s="125">
        <v>0</v>
      </c>
      <c r="F936" s="113">
        <v>0</v>
      </c>
      <c r="G936" s="28">
        <f>SUM(D936:F936)</f>
        <v>0</v>
      </c>
      <c r="H936" s="125">
        <v>0</v>
      </c>
      <c r="I936" s="125">
        <v>0</v>
      </c>
      <c r="J936" s="125">
        <v>0</v>
      </c>
      <c r="K936" s="125">
        <v>0</v>
      </c>
      <c r="L936" s="113">
        <v>0</v>
      </c>
      <c r="M936" s="113">
        <v>0</v>
      </c>
      <c r="N936" s="28">
        <f>G936-SUM(H936:M936)</f>
        <v>0</v>
      </c>
      <c r="O936" s="28">
        <f>SUM(V936:Y936)</f>
        <v>0</v>
      </c>
      <c r="P936" s="28">
        <f>O936-N936</f>
        <v>0</v>
      </c>
      <c r="Q936" s="61" t="str">
        <f>IF(ISERROR(P936/SUM(H936:L936)),"",P936/SUM(H936:L936))</f>
        <v/>
      </c>
      <c r="R936" s="113">
        <v>0</v>
      </c>
      <c r="S936" s="28">
        <f>IF(ISERROR(P936/C936*R936),0,(P936/C936*R936))</f>
        <v>0</v>
      </c>
      <c r="T936" s="60">
        <f>IF(ISERROR(P936/B936*AF936),0,(P936/B936*AF936))</f>
        <v>0</v>
      </c>
      <c r="V936" s="113">
        <v>0</v>
      </c>
      <c r="W936" s="113">
        <v>0</v>
      </c>
      <c r="X936" s="113">
        <v>0</v>
      </c>
      <c r="Y936" s="113">
        <v>0</v>
      </c>
      <c r="AA936" s="113">
        <v>0</v>
      </c>
      <c r="AB936" s="113">
        <v>0</v>
      </c>
      <c r="AC936" s="113">
        <v>0</v>
      </c>
      <c r="AD936" s="113">
        <v>0</v>
      </c>
      <c r="AF936" s="54">
        <v>0</v>
      </c>
      <c r="AG936" s="28">
        <f>G936-O936</f>
        <v>0</v>
      </c>
      <c r="AH936" s="58">
        <f>IF(ISERROR(AG936/B936*AF936),0,(AG936/B936*AF936))</f>
        <v>0</v>
      </c>
      <c r="AI936" s="28">
        <f>SUM(H936:M936)</f>
        <v>0</v>
      </c>
      <c r="AJ936" s="28">
        <f>IF(ISERROR(AI936/B936*AF936),0,(AI936/B936*AF936))</f>
        <v>0</v>
      </c>
      <c r="AK936" s="58">
        <f>IF(ISERROR(O936/B936*AF936),0,(O936/B936*AF936))</f>
        <v>0</v>
      </c>
      <c r="AL936" s="28">
        <f>IF(ISERROR(H936/B936*AF936),0,(H936/B936*AF936))</f>
        <v>0</v>
      </c>
      <c r="AN936" s="51">
        <f>A936</f>
        <v>0</v>
      </c>
      <c r="AO936" s="57">
        <f>IF(ISERROR(IF(B936=C936,D936/C936,(INT(D936/B936)+(((D936-B936*INT(D936/B936)))/C936)/100))),0,(IF(B936=C936,D936/C936,(INT(D936/B936)+(((D936-B936*INT(D936/B936)))/C936)/100))))</f>
        <v>0</v>
      </c>
      <c r="AP936" s="57">
        <f>IF(ISERROR(IF(B936=C936,E936/C936,(INT(E936/B936)+(((E936-B936*INT(E936/B936)))/C936)/100))),0,(IF(B936=C936,E936/C936,(INT(E936/B936)+(((E936-B936*INT(E936/B936)))/C936)/100))))</f>
        <v>0</v>
      </c>
      <c r="AQ936" s="57">
        <f>IF(ISERROR(IF(B936=C936,F936/C936,IF((INT(F936/B936)+(((F936-B936*INT(F936/B936)))/C936)/100)&lt;0,(INT(F936/B936)+(((F936-B936*INT(F936/B936)))/C936)/100)+(1-(B936/C936/100)),(INT(F936/B936)+(((F936-B936*INT(F936/B936)))/C936)/100)))),0,IF(B936=C936,F936/C936,IF((INT(F936/B936)+(((F936-B936*INT(F936/B936)))/C936)/100)&lt;0,(INT(F936/B936)+(((F936-B936*INT(F936/B936)))/C936)/100)+(1-(B936/C936/100)),(INT(F936/B936)+(((F936-B936*INT(F936/B936)))/C936)/100))))</f>
        <v>0</v>
      </c>
      <c r="AR936" s="57">
        <f>IF(ISERROR(IF(B936=C936,G936/C936,(INT(G936/B936)+(((G936-B936*INT(G936/B936)))/C936)/100))),0,(IF(B936=C936,G936/C936,(INT(G936/B936)+(((G936-B936*INT(G936/B936)))/C936)/100))))</f>
        <v>0</v>
      </c>
      <c r="AS936" s="57">
        <f>IF(ISERROR(IF(B936=C936,H936/C936,(INT(H936/B936)+(((H936-B936*INT(H936/B936)))/C936)/100))),0,(IF(B936=C936,H936/C936,(INT(H936/B936)+(((H936-B936*INT(H936/B936)))/C936)/100))))</f>
        <v>0</v>
      </c>
      <c r="AT936" s="57">
        <f>IF(ISERROR(IF(B936=C936,I936/C936,(INT(I936/B936)+(((I936-B936*INT(I936/B936)))/C936)/100))),0,(IF(B936=C936,I936/C936,(INT(I936/B936)+(((I936-B936*INT(I936/B936)))/C936)/100))))</f>
        <v>0</v>
      </c>
      <c r="AU936" s="57">
        <f>IF(ISERROR(IF(B936=C936,J936/C936,(INT(J936/B936)+(((J936-B936*INT(J936/B936)))/C936)/100))),0,(IF(B936=C936,J936/C936,(INT(J936/B936)+(((J936-B936*INT(J936/B936)))/C936)/100))))</f>
        <v>0</v>
      </c>
      <c r="AV936" s="57">
        <f>IF(ISERROR(IF(B936=C936,K936/C936,IF((INT(K936/B936)+(((K936-B936*INT(K936/B936)))/C936)/100)&lt;0,(INT(K936/B936)+(((K936-B936*INT(K936/B936)))/C936)/100)+(1-(B936/C936/100)),(INT(K936/B936)+(((K936-B936*INT(K936/B936)))/C936)/100)))),0,IF(B936=C936,K936/C936,IF((INT(K936/B936)+(((K936-B936*INT(K936/B936)))/C936)/100)&lt;0,(INT(K936/B936)+(((K936-B936*INT(K936/B936)))/C936)/100)+(1-(B936/C936/100)),(INT(K936/B936)+(((K936-B936*INT(K936/B936)))/C936)/100))))</f>
        <v>0</v>
      </c>
      <c r="AW936" s="57">
        <f>IF(ISERROR(IF(B936=C936,L936/C936,(INT(L936/B936)+(((L936-B936*INT(L936/B936)))/C936)/100))),0,(IF(B936=C936,L936/C936,(INT(L936/B936)+(((L936-B936*INT(L936/B936)))/C936)/100))))</f>
        <v>0</v>
      </c>
      <c r="AX936" s="57">
        <f>IF(ISERROR(IF(B936=C936,M936/C936,(INT(M936/B936)+(((M936-B936*INT(M936/B936)))/C936)/100))),0,(IF(B936=C936,M936/C936,(INT(M936/B936)+(((M936-B936*INT(M936/B936)))/C936)/100))))</f>
        <v>0</v>
      </c>
      <c r="AY936" s="57">
        <f>IF(ISERROR(IF(B936=C936,N936/C936,IF((INT(N936/B936)+(((N936-B936*INT(N936/B936)))/C936)/100)&lt;0,(INT(N936/B936)+(((N936-B936*INT(N936/B936)))/C936)/100)+(1-(B936/C936/100)),(INT(N936/B936)+(((N936-B936*INT(N936/B936)))/C936)/100)))),0,IF(B936=C936,N936/C936,IF((INT(N936/B936)+(((N936-B936*INT(N936/B936)))/C936)/100)&lt;0,(INT(N936/B936)+(((N936-B936*INT(N936/B936)))/C936)/100)+(1-(B936/C936/100)),(INT(N936/B936)+(((N936-B936*INT(N936/B936)))/C936)/100))))</f>
        <v>0</v>
      </c>
      <c r="AZ936" s="57">
        <f>IF(ISERROR(IF(B936=C936,O936/C936,(INT(O936/B936)+(((O936-B936*INT(O936/B936)))/C936)/100))),0,(IF(B936=C936,O936/C936,(INT(O936/B936)+(((O936-B936*INT(O936/B936)))/C936)/100))))</f>
        <v>0</v>
      </c>
      <c r="BA936" s="57">
        <f>IF(ISERROR(IF(B936=C936,P936/C936,IF((INT(P936/B936)+(((P936-B936*INT(P936/B936)))/C936)/100)&lt;0,(INT(P936/B936)+(((P936-B936*INT(P936/B936)))/C936)/100)+(1-(B936/C936/100)),(INT(P936/B936)+(((P936-B936*INT(P936/B936)))/C936)/100)))),0,IF(B936=C936,P936/C936,IF((INT(P936/B936)+(((P936-B936*INT(P936/B936)))/C936)/100)&lt;0,(INT(P936/B936)+(((P936-B936*INT(P936/B936)))/C936)/100)+(1-(B936/C936/100)),(INT(P936/B936)+(((P936-B936*INT(P936/B936)))/C936)/100))))</f>
        <v>0</v>
      </c>
      <c r="BB936" s="28">
        <f>R936</f>
        <v>0</v>
      </c>
      <c r="BC936" s="28">
        <f>S936</f>
        <v>0</v>
      </c>
      <c r="BD936" s="28">
        <f>AF936</f>
        <v>0</v>
      </c>
      <c r="BE936" s="28">
        <f>T936</f>
        <v>0</v>
      </c>
      <c r="BG936" s="57">
        <f>IF(ISERROR(IF(B936=C936,V936/C936,(INT(V936/B936)+(((V936-B936*INT(V936/B936)))/C936)/100))),0,(IF(B936=C936,V936/C936,(INT(V936/B936)+(((V936-B936*INT(V936/B936)))/C936)/100))))</f>
        <v>0</v>
      </c>
      <c r="BH936" s="57">
        <f>IF(ISERROR(IF(B936=C936,W936/C936,(INT(W936/B936)+(((W936-B936*INT(W936/B936)))/C936)/100))),0,(IF(B936=C936,W936/C936,(INT(W936/B936)+(((W936-B936*INT(W936/B936)))/C936)/100))))</f>
        <v>0</v>
      </c>
      <c r="BI936" s="57">
        <f>IF(ISERROR(IF(B936=C936,X936/C936,(INT(X936/B936)+(((X936-B936*INT(X936/B936)))/C936)/100))),0,(IF(B936=C936,X936/C936,(INT(X936/B936)+(((X936-B936*INT(X936/B936)))/C936)/100))))</f>
        <v>0</v>
      </c>
      <c r="BJ936" s="57">
        <f>IF(ISERROR(IF(B936=C936,Y936/C936,(INT(Y936/B936)+(((Y936-B936*INT(Y936/B936)))/C936)/100))),0,(IF(B936=C936,Y936/C936,(INT(Y936/B936)+(((Y936-B936*INT(Y936/B936)))/C936)/100))))</f>
        <v>0</v>
      </c>
      <c r="BL936" s="57">
        <f>IF(ISERROR(IF(B936=C936,AA936/C936,(INT(AA936/B936)+(((AA936-B936*INT(AA936/B936)))/C936)/100))),0,(IF(B936=C936,AA936/C936,(INT(AA936/B936)+(((AA936-B936*INT(AA936/B936)))/C936)/100))))</f>
        <v>0</v>
      </c>
      <c r="BM936" s="57">
        <f>IF(ISERROR(IF(B936=C936,AB936/C936,(INT(AB936/B936)+(((AB936-B936*INT(AB936/B936)))/C936)/100))),0,(IF(B936=C936,AB936/C936,(INT(AB936/B936)+(((AB936-B936*INT(AB936/B936)))/C936)/100))))</f>
        <v>0</v>
      </c>
      <c r="BN936" s="57">
        <f>IF(ISERROR(IF(B936=C936,AC936/C936,(INT(AC936/B936)+(((AC936-B936*INT(AC936/B936)))/C936)/100))),0,(IF(B936=C936,AC936/C936,(INT(AC936/B936)+(((AC936-B936*INT(AC936/B936)))/C936)/100))))</f>
        <v>0</v>
      </c>
      <c r="BO936" s="57">
        <f>IF(ISERROR(IF(B936=C936,AD936/C936,(INT(AD936/B936)+(((AD936-B936*INT(AD936/B936)))/C936)/100))),0,(IF(B936=C936,AD936/C936,(INT(AD936/B936)+(((AD936-B936*INT(AD936/B936)))/C936)/100))))</f>
        <v>0</v>
      </c>
      <c r="BQ936" s="124" t="s">
        <v>81</v>
      </c>
    </row>
    <row r="937" spans="1:69" hidden="1" x14ac:dyDescent="0.35">
      <c r="A937" s="94"/>
      <c r="B937" s="113">
        <v>0</v>
      </c>
      <c r="C937" s="113">
        <v>0</v>
      </c>
      <c r="D937" s="28">
        <f>SUM(AA937:AD937)</f>
        <v>0</v>
      </c>
      <c r="E937" s="125">
        <v>0</v>
      </c>
      <c r="F937" s="113">
        <v>0</v>
      </c>
      <c r="G937" s="28">
        <f>SUM(D937:F937)</f>
        <v>0</v>
      </c>
      <c r="H937" s="125">
        <v>0</v>
      </c>
      <c r="I937" s="125">
        <v>0</v>
      </c>
      <c r="J937" s="125">
        <v>0</v>
      </c>
      <c r="K937" s="125">
        <v>0</v>
      </c>
      <c r="L937" s="113">
        <v>0</v>
      </c>
      <c r="M937" s="113">
        <v>0</v>
      </c>
      <c r="N937" s="28">
        <f>G937-SUM(H937:M937)</f>
        <v>0</v>
      </c>
      <c r="O937" s="28">
        <f>SUM(V937:Y937)</f>
        <v>0</v>
      </c>
      <c r="P937" s="28">
        <f>O937-N937</f>
        <v>0</v>
      </c>
      <c r="Q937" s="61" t="str">
        <f>IF(ISERROR(P937/SUM(H937:L937)),"",P937/SUM(H937:L937))</f>
        <v/>
      </c>
      <c r="R937" s="113">
        <v>0</v>
      </c>
      <c r="S937" s="28">
        <f>IF(ISERROR(P937/C937*R937),0,(P937/C937*R937))</f>
        <v>0</v>
      </c>
      <c r="T937" s="60">
        <f>IF(ISERROR(P937/B937*AF937),0,(P937/B937*AF937))</f>
        <v>0</v>
      </c>
      <c r="V937" s="113">
        <v>0</v>
      </c>
      <c r="W937" s="113">
        <v>0</v>
      </c>
      <c r="X937" s="113">
        <v>0</v>
      </c>
      <c r="Y937" s="113">
        <v>0</v>
      </c>
      <c r="AA937" s="113">
        <v>0</v>
      </c>
      <c r="AB937" s="113">
        <v>0</v>
      </c>
      <c r="AC937" s="113">
        <v>0</v>
      </c>
      <c r="AD937" s="113">
        <v>0</v>
      </c>
      <c r="AF937" s="54">
        <v>0</v>
      </c>
      <c r="AG937" s="28">
        <f>G937-O937</f>
        <v>0</v>
      </c>
      <c r="AH937" s="58">
        <f>IF(ISERROR(AG937/B937*AF937),0,(AG937/B937*AF937))</f>
        <v>0</v>
      </c>
      <c r="AI937" s="28">
        <f>SUM(H937:M937)</f>
        <v>0</v>
      </c>
      <c r="AJ937" s="28">
        <f>IF(ISERROR(AI937/B937*AF937),0,(AI937/B937*AF937))</f>
        <v>0</v>
      </c>
      <c r="AK937" s="58">
        <f>IF(ISERROR(O937/B937*AF937),0,(O937/B937*AF937))</f>
        <v>0</v>
      </c>
      <c r="AL937" s="28">
        <f>IF(ISERROR(H937/B937*AF937),0,(H937/B937*AF937))</f>
        <v>0</v>
      </c>
      <c r="AN937" s="51">
        <f>A937</f>
        <v>0</v>
      </c>
      <c r="AO937" s="57">
        <f>IF(ISERROR(IF(B937=C937,D937/C937,(INT(D937/B937)+(((D937-B937*INT(D937/B937)))/C937)/100))),0,(IF(B937=C937,D937/C937,(INT(D937/B937)+(((D937-B937*INT(D937/B937)))/C937)/100))))</f>
        <v>0</v>
      </c>
      <c r="AP937" s="57">
        <f>IF(ISERROR(IF(B937=C937,E937/C937,(INT(E937/B937)+(((E937-B937*INT(E937/B937)))/C937)/100))),0,(IF(B937=C937,E937/C937,(INT(E937/B937)+(((E937-B937*INT(E937/B937)))/C937)/100))))</f>
        <v>0</v>
      </c>
      <c r="AQ937" s="57">
        <f>IF(ISERROR(IF(B937=C937,F937/C937,IF((INT(F937/B937)+(((F937-B937*INT(F937/B937)))/C937)/100)&lt;0,(INT(F937/B937)+(((F937-B937*INT(F937/B937)))/C937)/100)+(1-(B937/C937/100)),(INT(F937/B937)+(((F937-B937*INT(F937/B937)))/C937)/100)))),0,IF(B937=C937,F937/C937,IF((INT(F937/B937)+(((F937-B937*INT(F937/B937)))/C937)/100)&lt;0,(INT(F937/B937)+(((F937-B937*INT(F937/B937)))/C937)/100)+(1-(B937/C937/100)),(INT(F937/B937)+(((F937-B937*INT(F937/B937)))/C937)/100))))</f>
        <v>0</v>
      </c>
      <c r="AR937" s="57">
        <f>IF(ISERROR(IF(B937=C937,G937/C937,(INT(G937/B937)+(((G937-B937*INT(G937/B937)))/C937)/100))),0,(IF(B937=C937,G937/C937,(INT(G937/B937)+(((G937-B937*INT(G937/B937)))/C937)/100))))</f>
        <v>0</v>
      </c>
      <c r="AS937" s="57">
        <f>IF(ISERROR(IF(B937=C937,H937/C937,(INT(H937/B937)+(((H937-B937*INT(H937/B937)))/C937)/100))),0,(IF(B937=C937,H937/C937,(INT(H937/B937)+(((H937-B937*INT(H937/B937)))/C937)/100))))</f>
        <v>0</v>
      </c>
      <c r="AT937" s="57">
        <f>IF(ISERROR(IF(B937=C937,I937/C937,(INT(I937/B937)+(((I937-B937*INT(I937/B937)))/C937)/100))),0,(IF(B937=C937,I937/C937,(INT(I937/B937)+(((I937-B937*INT(I937/B937)))/C937)/100))))</f>
        <v>0</v>
      </c>
      <c r="AU937" s="57">
        <f>IF(ISERROR(IF(B937=C937,J937/C937,(INT(J937/B937)+(((J937-B937*INT(J937/B937)))/C937)/100))),0,(IF(B937=C937,J937/C937,(INT(J937/B937)+(((J937-B937*INT(J937/B937)))/C937)/100))))</f>
        <v>0</v>
      </c>
      <c r="AV937" s="57">
        <f>IF(ISERROR(IF(B937=C937,K937/C937,IF((INT(K937/B937)+(((K937-B937*INT(K937/B937)))/C937)/100)&lt;0,(INT(K937/B937)+(((K937-B937*INT(K937/B937)))/C937)/100)+(1-(B937/C937/100)),(INT(K937/B937)+(((K937-B937*INT(K937/B937)))/C937)/100)))),0,IF(B937=C937,K937/C937,IF((INT(K937/B937)+(((K937-B937*INT(K937/B937)))/C937)/100)&lt;0,(INT(K937/B937)+(((K937-B937*INT(K937/B937)))/C937)/100)+(1-(B937/C937/100)),(INT(K937/B937)+(((K937-B937*INT(K937/B937)))/C937)/100))))</f>
        <v>0</v>
      </c>
      <c r="AW937" s="57">
        <f>IF(ISERROR(IF(B937=C937,L937/C937,(INT(L937/B937)+(((L937-B937*INT(L937/B937)))/C937)/100))),0,(IF(B937=C937,L937/C937,(INT(L937/B937)+(((L937-B937*INT(L937/B937)))/C937)/100))))</f>
        <v>0</v>
      </c>
      <c r="AX937" s="57">
        <f>IF(ISERROR(IF(B937=C937,M937/C937,(INT(M937/B937)+(((M937-B937*INT(M937/B937)))/C937)/100))),0,(IF(B937=C937,M937/C937,(INT(M937/B937)+(((M937-B937*INT(M937/B937)))/C937)/100))))</f>
        <v>0</v>
      </c>
      <c r="AY937" s="57">
        <f>IF(ISERROR(IF(B937=C937,N937/C937,IF((INT(N937/B937)+(((N937-B937*INT(N937/B937)))/C937)/100)&lt;0,(INT(N937/B937)+(((N937-B937*INT(N937/B937)))/C937)/100)+(1-(B937/C937/100)),(INT(N937/B937)+(((N937-B937*INT(N937/B937)))/C937)/100)))),0,IF(B937=C937,N937/C937,IF((INT(N937/B937)+(((N937-B937*INT(N937/B937)))/C937)/100)&lt;0,(INT(N937/B937)+(((N937-B937*INT(N937/B937)))/C937)/100)+(1-(B937/C937/100)),(INT(N937/B937)+(((N937-B937*INT(N937/B937)))/C937)/100))))</f>
        <v>0</v>
      </c>
      <c r="AZ937" s="57">
        <f>IF(ISERROR(IF(B937=C937,O937/C937,(INT(O937/B937)+(((O937-B937*INT(O937/B937)))/C937)/100))),0,(IF(B937=C937,O937/C937,(INT(O937/B937)+(((O937-B937*INT(O937/B937)))/C937)/100))))</f>
        <v>0</v>
      </c>
      <c r="BA937" s="57">
        <f>IF(ISERROR(IF(B937=C937,P937/C937,IF((INT(P937/B937)+(((P937-B937*INT(P937/B937)))/C937)/100)&lt;0,(INT(P937/B937)+(((P937-B937*INT(P937/B937)))/C937)/100)+(1-(B937/C937/100)),(INT(P937/B937)+(((P937-B937*INT(P937/B937)))/C937)/100)))),0,IF(B937=C937,P937/C937,IF((INT(P937/B937)+(((P937-B937*INT(P937/B937)))/C937)/100)&lt;0,(INT(P937/B937)+(((P937-B937*INT(P937/B937)))/C937)/100)+(1-(B937/C937/100)),(INT(P937/B937)+(((P937-B937*INT(P937/B937)))/C937)/100))))</f>
        <v>0</v>
      </c>
      <c r="BB937" s="28">
        <f>R937</f>
        <v>0</v>
      </c>
      <c r="BC937" s="28">
        <f>S937</f>
        <v>0</v>
      </c>
      <c r="BD937" s="28">
        <f>AF937</f>
        <v>0</v>
      </c>
      <c r="BE937" s="28">
        <f>T937</f>
        <v>0</v>
      </c>
      <c r="BG937" s="57">
        <f>IF(ISERROR(IF(B937=C937,V937/C937,(INT(V937/B937)+(((V937-B937*INT(V937/B937)))/C937)/100))),0,(IF(B937=C937,V937/C937,(INT(V937/B937)+(((V937-B937*INT(V937/B937)))/C937)/100))))</f>
        <v>0</v>
      </c>
      <c r="BH937" s="57">
        <f>IF(ISERROR(IF(B937=C937,W937/C937,(INT(W937/B937)+(((W937-B937*INT(W937/B937)))/C937)/100))),0,(IF(B937=C937,W937/C937,(INT(W937/B937)+(((W937-B937*INT(W937/B937)))/C937)/100))))</f>
        <v>0</v>
      </c>
      <c r="BI937" s="57">
        <f>IF(ISERROR(IF(B937=C937,X937/C937,(INT(X937/B937)+(((X937-B937*INT(X937/B937)))/C937)/100))),0,(IF(B937=C937,X937/C937,(INT(X937/B937)+(((X937-B937*INT(X937/B937)))/C937)/100))))</f>
        <v>0</v>
      </c>
      <c r="BJ937" s="57">
        <f>IF(ISERROR(IF(B937=C937,Y937/C937,(INT(Y937/B937)+(((Y937-B937*INT(Y937/B937)))/C937)/100))),0,(IF(B937=C937,Y937/C937,(INT(Y937/B937)+(((Y937-B937*INT(Y937/B937)))/C937)/100))))</f>
        <v>0</v>
      </c>
      <c r="BL937" s="57">
        <f>IF(ISERROR(IF(B937=C937,AA937/C937,(INT(AA937/B937)+(((AA937-B937*INT(AA937/B937)))/C937)/100))),0,(IF(B937=C937,AA937/C937,(INT(AA937/B937)+(((AA937-B937*INT(AA937/B937)))/C937)/100))))</f>
        <v>0</v>
      </c>
      <c r="BM937" s="57">
        <f>IF(ISERROR(IF(B937=C937,AB937/C937,(INT(AB937/B937)+(((AB937-B937*INT(AB937/B937)))/C937)/100))),0,(IF(B937=C937,AB937/C937,(INT(AB937/B937)+(((AB937-B937*INT(AB937/B937)))/C937)/100))))</f>
        <v>0</v>
      </c>
      <c r="BN937" s="57">
        <f>IF(ISERROR(IF(B937=C937,AC937/C937,(INT(AC937/B937)+(((AC937-B937*INT(AC937/B937)))/C937)/100))),0,(IF(B937=C937,AC937/C937,(INT(AC937/B937)+(((AC937-B937*INT(AC937/B937)))/C937)/100))))</f>
        <v>0</v>
      </c>
      <c r="BO937" s="57">
        <f>IF(ISERROR(IF(B937=C937,AD937/C937,(INT(AD937/B937)+(((AD937-B937*INT(AD937/B937)))/C937)/100))),0,(IF(B937=C937,AD937/C937,(INT(AD937/B937)+(((AD937-B937*INT(AD937/B937)))/C937)/100))))</f>
        <v>0</v>
      </c>
      <c r="BQ937" s="124" t="s">
        <v>81</v>
      </c>
    </row>
    <row r="938" spans="1:69" hidden="1" x14ac:dyDescent="0.35">
      <c r="A938" s="94"/>
      <c r="B938" s="113">
        <v>0</v>
      </c>
      <c r="C938" s="113">
        <v>0</v>
      </c>
      <c r="D938" s="28">
        <f>SUM(AA938:AD938)</f>
        <v>0</v>
      </c>
      <c r="E938" s="125">
        <v>0</v>
      </c>
      <c r="F938" s="113">
        <v>0</v>
      </c>
      <c r="G938" s="28">
        <f>SUM(D938:F938)</f>
        <v>0</v>
      </c>
      <c r="H938" s="125">
        <v>0</v>
      </c>
      <c r="I938" s="125">
        <v>0</v>
      </c>
      <c r="J938" s="125">
        <v>0</v>
      </c>
      <c r="K938" s="125">
        <v>0</v>
      </c>
      <c r="L938" s="113">
        <v>0</v>
      </c>
      <c r="M938" s="113">
        <v>0</v>
      </c>
      <c r="N938" s="28">
        <f>G938-SUM(H938:M938)</f>
        <v>0</v>
      </c>
      <c r="O938" s="28">
        <f>SUM(V938:Y938)</f>
        <v>0</v>
      </c>
      <c r="P938" s="28">
        <f>O938-N938</f>
        <v>0</v>
      </c>
      <c r="Q938" s="61" t="str">
        <f>IF(ISERROR(P938/SUM(H938:L938)),"",P938/SUM(H938:L938))</f>
        <v/>
      </c>
      <c r="R938" s="113">
        <v>0</v>
      </c>
      <c r="S938" s="28">
        <f>IF(ISERROR(P938/C938*R938),0,(P938/C938*R938))</f>
        <v>0</v>
      </c>
      <c r="T938" s="60">
        <f>IF(ISERROR(P938/B938*AF938),0,(P938/B938*AF938))</f>
        <v>0</v>
      </c>
      <c r="V938" s="113">
        <v>0</v>
      </c>
      <c r="W938" s="113">
        <v>0</v>
      </c>
      <c r="X938" s="113">
        <v>0</v>
      </c>
      <c r="Y938" s="113">
        <v>0</v>
      </c>
      <c r="AA938" s="113">
        <v>0</v>
      </c>
      <c r="AB938" s="113">
        <v>0</v>
      </c>
      <c r="AC938" s="113">
        <v>0</v>
      </c>
      <c r="AD938" s="113">
        <v>0</v>
      </c>
      <c r="AF938" s="54">
        <v>0</v>
      </c>
      <c r="AG938" s="28">
        <f>G938-O938</f>
        <v>0</v>
      </c>
      <c r="AH938" s="58">
        <f>IF(ISERROR(AG938/B938*AF938),0,(AG938/B938*AF938))</f>
        <v>0</v>
      </c>
      <c r="AI938" s="28">
        <f>SUM(H938:M938)</f>
        <v>0</v>
      </c>
      <c r="AJ938" s="28">
        <f>IF(ISERROR(AI938/B938*AF938),0,(AI938/B938*AF938))</f>
        <v>0</v>
      </c>
      <c r="AK938" s="58">
        <f>IF(ISERROR(O938/B938*AF938),0,(O938/B938*AF938))</f>
        <v>0</v>
      </c>
      <c r="AL938" s="28">
        <f>IF(ISERROR(H938/B938*AF938),0,(H938/B938*AF938))</f>
        <v>0</v>
      </c>
      <c r="AN938" s="51">
        <f>A938</f>
        <v>0</v>
      </c>
      <c r="AO938" s="57">
        <f>IF(ISERROR(IF(B938=C938,D938/C938,(INT(D938/B938)+(((D938-B938*INT(D938/B938)))/C938)/100))),0,(IF(B938=C938,D938/C938,(INT(D938/B938)+(((D938-B938*INT(D938/B938)))/C938)/100))))</f>
        <v>0</v>
      </c>
      <c r="AP938" s="57">
        <f>IF(ISERROR(IF(B938=C938,E938/C938,(INT(E938/B938)+(((E938-B938*INT(E938/B938)))/C938)/100))),0,(IF(B938=C938,E938/C938,(INT(E938/B938)+(((E938-B938*INT(E938/B938)))/C938)/100))))</f>
        <v>0</v>
      </c>
      <c r="AQ938" s="57">
        <f>IF(ISERROR(IF(B938=C938,F938/C938,IF((INT(F938/B938)+(((F938-B938*INT(F938/B938)))/C938)/100)&lt;0,(INT(F938/B938)+(((F938-B938*INT(F938/B938)))/C938)/100)+(1-(B938/C938/100)),(INT(F938/B938)+(((F938-B938*INT(F938/B938)))/C938)/100)))),0,IF(B938=C938,F938/C938,IF((INT(F938/B938)+(((F938-B938*INT(F938/B938)))/C938)/100)&lt;0,(INT(F938/B938)+(((F938-B938*INT(F938/B938)))/C938)/100)+(1-(B938/C938/100)),(INT(F938/B938)+(((F938-B938*INT(F938/B938)))/C938)/100))))</f>
        <v>0</v>
      </c>
      <c r="AR938" s="57">
        <f>IF(ISERROR(IF(B938=C938,G938/C938,(INT(G938/B938)+(((G938-B938*INT(G938/B938)))/C938)/100))),0,(IF(B938=C938,G938/C938,(INT(G938/B938)+(((G938-B938*INT(G938/B938)))/C938)/100))))</f>
        <v>0</v>
      </c>
      <c r="AS938" s="57">
        <f>IF(ISERROR(IF(B938=C938,H938/C938,(INT(H938/B938)+(((H938-B938*INT(H938/B938)))/C938)/100))),0,(IF(B938=C938,H938/C938,(INT(H938/B938)+(((H938-B938*INT(H938/B938)))/C938)/100))))</f>
        <v>0</v>
      </c>
      <c r="AT938" s="57">
        <f>IF(ISERROR(IF(B938=C938,I938/C938,(INT(I938/B938)+(((I938-B938*INT(I938/B938)))/C938)/100))),0,(IF(B938=C938,I938/C938,(INT(I938/B938)+(((I938-B938*INT(I938/B938)))/C938)/100))))</f>
        <v>0</v>
      </c>
      <c r="AU938" s="57">
        <f>IF(ISERROR(IF(B938=C938,J938/C938,(INT(J938/B938)+(((J938-B938*INT(J938/B938)))/C938)/100))),0,(IF(B938=C938,J938/C938,(INT(J938/B938)+(((J938-B938*INT(J938/B938)))/C938)/100))))</f>
        <v>0</v>
      </c>
      <c r="AV938" s="57">
        <f>IF(ISERROR(IF(B938=C938,K938/C938,IF((INT(K938/B938)+(((K938-B938*INT(K938/B938)))/C938)/100)&lt;0,(INT(K938/B938)+(((K938-B938*INT(K938/B938)))/C938)/100)+(1-(B938/C938/100)),(INT(K938/B938)+(((K938-B938*INT(K938/B938)))/C938)/100)))),0,IF(B938=C938,K938/C938,IF((INT(K938/B938)+(((K938-B938*INT(K938/B938)))/C938)/100)&lt;0,(INT(K938/B938)+(((K938-B938*INT(K938/B938)))/C938)/100)+(1-(B938/C938/100)),(INT(K938/B938)+(((K938-B938*INT(K938/B938)))/C938)/100))))</f>
        <v>0</v>
      </c>
      <c r="AW938" s="57">
        <f>IF(ISERROR(IF(B938=C938,L938/C938,(INT(L938/B938)+(((L938-B938*INT(L938/B938)))/C938)/100))),0,(IF(B938=C938,L938/C938,(INT(L938/B938)+(((L938-B938*INT(L938/B938)))/C938)/100))))</f>
        <v>0</v>
      </c>
      <c r="AX938" s="57">
        <f>IF(ISERROR(IF(B938=C938,M938/C938,(INT(M938/B938)+(((M938-B938*INT(M938/B938)))/C938)/100))),0,(IF(B938=C938,M938/C938,(INT(M938/B938)+(((M938-B938*INT(M938/B938)))/C938)/100))))</f>
        <v>0</v>
      </c>
      <c r="AY938" s="57">
        <f>IF(ISERROR(IF(B938=C938,N938/C938,IF((INT(N938/B938)+(((N938-B938*INT(N938/B938)))/C938)/100)&lt;0,(INT(N938/B938)+(((N938-B938*INT(N938/B938)))/C938)/100)+(1-(B938/C938/100)),(INT(N938/B938)+(((N938-B938*INT(N938/B938)))/C938)/100)))),0,IF(B938=C938,N938/C938,IF((INT(N938/B938)+(((N938-B938*INT(N938/B938)))/C938)/100)&lt;0,(INT(N938/B938)+(((N938-B938*INT(N938/B938)))/C938)/100)+(1-(B938/C938/100)),(INT(N938/B938)+(((N938-B938*INT(N938/B938)))/C938)/100))))</f>
        <v>0</v>
      </c>
      <c r="AZ938" s="57">
        <f>IF(ISERROR(IF(B938=C938,O938/C938,(INT(O938/B938)+(((O938-B938*INT(O938/B938)))/C938)/100))),0,(IF(B938=C938,O938/C938,(INT(O938/B938)+(((O938-B938*INT(O938/B938)))/C938)/100))))</f>
        <v>0</v>
      </c>
      <c r="BA938" s="57">
        <f>IF(ISERROR(IF(B938=C938,P938/C938,IF((INT(P938/B938)+(((P938-B938*INT(P938/B938)))/C938)/100)&lt;0,(INT(P938/B938)+(((P938-B938*INT(P938/B938)))/C938)/100)+(1-(B938/C938/100)),(INT(P938/B938)+(((P938-B938*INT(P938/B938)))/C938)/100)))),0,IF(B938=C938,P938/C938,IF((INT(P938/B938)+(((P938-B938*INT(P938/B938)))/C938)/100)&lt;0,(INT(P938/B938)+(((P938-B938*INT(P938/B938)))/C938)/100)+(1-(B938/C938/100)),(INT(P938/B938)+(((P938-B938*INT(P938/B938)))/C938)/100))))</f>
        <v>0</v>
      </c>
      <c r="BB938" s="28">
        <f>R938</f>
        <v>0</v>
      </c>
      <c r="BC938" s="28">
        <f>S938</f>
        <v>0</v>
      </c>
      <c r="BD938" s="28">
        <f>AF938</f>
        <v>0</v>
      </c>
      <c r="BE938" s="28">
        <f>T938</f>
        <v>0</v>
      </c>
      <c r="BG938" s="57">
        <f>IF(ISERROR(IF(B938=C938,V938/C938,(INT(V938/B938)+(((V938-B938*INT(V938/B938)))/C938)/100))),0,(IF(B938=C938,V938/C938,(INT(V938/B938)+(((V938-B938*INT(V938/B938)))/C938)/100))))</f>
        <v>0</v>
      </c>
      <c r="BH938" s="57">
        <f>IF(ISERROR(IF(B938=C938,W938/C938,(INT(W938/B938)+(((W938-B938*INT(W938/B938)))/C938)/100))),0,(IF(B938=C938,W938/C938,(INT(W938/B938)+(((W938-B938*INT(W938/B938)))/C938)/100))))</f>
        <v>0</v>
      </c>
      <c r="BI938" s="57">
        <f>IF(ISERROR(IF(B938=C938,X938/C938,(INT(X938/B938)+(((X938-B938*INT(X938/B938)))/C938)/100))),0,(IF(B938=C938,X938/C938,(INT(X938/B938)+(((X938-B938*INT(X938/B938)))/C938)/100))))</f>
        <v>0</v>
      </c>
      <c r="BJ938" s="57">
        <f>IF(ISERROR(IF(B938=C938,Y938/C938,(INT(Y938/B938)+(((Y938-B938*INT(Y938/B938)))/C938)/100))),0,(IF(B938=C938,Y938/C938,(INT(Y938/B938)+(((Y938-B938*INT(Y938/B938)))/C938)/100))))</f>
        <v>0</v>
      </c>
      <c r="BL938" s="57">
        <f>IF(ISERROR(IF(B938=C938,AA938/C938,(INT(AA938/B938)+(((AA938-B938*INT(AA938/B938)))/C938)/100))),0,(IF(B938=C938,AA938/C938,(INT(AA938/B938)+(((AA938-B938*INT(AA938/B938)))/C938)/100))))</f>
        <v>0</v>
      </c>
      <c r="BM938" s="57">
        <f>IF(ISERROR(IF(B938=C938,AB938/C938,(INT(AB938/B938)+(((AB938-B938*INT(AB938/B938)))/C938)/100))),0,(IF(B938=C938,AB938/C938,(INT(AB938/B938)+(((AB938-B938*INT(AB938/B938)))/C938)/100))))</f>
        <v>0</v>
      </c>
      <c r="BN938" s="57">
        <f>IF(ISERROR(IF(B938=C938,AC938/C938,(INT(AC938/B938)+(((AC938-B938*INT(AC938/B938)))/C938)/100))),0,(IF(B938=C938,AC938/C938,(INT(AC938/B938)+(((AC938-B938*INT(AC938/B938)))/C938)/100))))</f>
        <v>0</v>
      </c>
      <c r="BO938" s="57">
        <f>IF(ISERROR(IF(B938=C938,AD938/C938,(INT(AD938/B938)+(((AD938-B938*INT(AD938/B938)))/C938)/100))),0,(IF(B938=C938,AD938/C938,(INT(AD938/B938)+(((AD938-B938*INT(AD938/B938)))/C938)/100))))</f>
        <v>0</v>
      </c>
      <c r="BQ938" s="124" t="s">
        <v>81</v>
      </c>
    </row>
    <row r="939" spans="1:69" hidden="1" x14ac:dyDescent="0.35">
      <c r="A939" s="94"/>
      <c r="B939" s="113">
        <v>0</v>
      </c>
      <c r="C939" s="113">
        <v>0</v>
      </c>
      <c r="D939" s="28">
        <f>SUM(AA939:AD939)</f>
        <v>0</v>
      </c>
      <c r="E939" s="125">
        <v>0</v>
      </c>
      <c r="F939" s="113">
        <v>0</v>
      </c>
      <c r="G939" s="28">
        <f>SUM(D939:F939)</f>
        <v>0</v>
      </c>
      <c r="H939" s="125">
        <v>0</v>
      </c>
      <c r="I939" s="125">
        <v>0</v>
      </c>
      <c r="J939" s="125">
        <v>0</v>
      </c>
      <c r="K939" s="125">
        <v>0</v>
      </c>
      <c r="L939" s="113">
        <v>0</v>
      </c>
      <c r="M939" s="113">
        <v>0</v>
      </c>
      <c r="N939" s="28">
        <f>G939-SUM(H939:M939)</f>
        <v>0</v>
      </c>
      <c r="O939" s="28">
        <f>SUM(V939:Y939)</f>
        <v>0</v>
      </c>
      <c r="P939" s="28">
        <f>O939-N939</f>
        <v>0</v>
      </c>
      <c r="Q939" s="61" t="str">
        <f>IF(ISERROR(P939/SUM(H939:L939)),"",P939/SUM(H939:L939))</f>
        <v/>
      </c>
      <c r="R939" s="113">
        <v>0</v>
      </c>
      <c r="S939" s="28">
        <f>IF(ISERROR(P939/C939*R939),0,(P939/C939*R939))</f>
        <v>0</v>
      </c>
      <c r="T939" s="60">
        <f>IF(ISERROR(P939/B939*AF939),0,(P939/B939*AF939))</f>
        <v>0</v>
      </c>
      <c r="V939" s="113">
        <v>0</v>
      </c>
      <c r="W939" s="113">
        <v>0</v>
      </c>
      <c r="X939" s="113">
        <v>0</v>
      </c>
      <c r="Y939" s="113">
        <v>0</v>
      </c>
      <c r="AA939" s="113">
        <v>0</v>
      </c>
      <c r="AB939" s="113">
        <v>0</v>
      </c>
      <c r="AC939" s="113">
        <v>0</v>
      </c>
      <c r="AD939" s="113">
        <v>0</v>
      </c>
      <c r="AF939" s="54">
        <v>0</v>
      </c>
      <c r="AG939" s="28">
        <f>G939-O939</f>
        <v>0</v>
      </c>
      <c r="AH939" s="58">
        <f>IF(ISERROR(AG939/B939*AF939),0,(AG939/B939*AF939))</f>
        <v>0</v>
      </c>
      <c r="AI939" s="28">
        <f>SUM(H939:M939)</f>
        <v>0</v>
      </c>
      <c r="AJ939" s="28">
        <f>IF(ISERROR(AI939/B939*AF939),0,(AI939/B939*AF939))</f>
        <v>0</v>
      </c>
      <c r="AK939" s="58">
        <f>IF(ISERROR(O939/B939*AF939),0,(O939/B939*AF939))</f>
        <v>0</v>
      </c>
      <c r="AL939" s="28">
        <f>IF(ISERROR(H939/B939*AF939),0,(H939/B939*AF939))</f>
        <v>0</v>
      </c>
      <c r="AN939" s="51">
        <f>A939</f>
        <v>0</v>
      </c>
      <c r="AO939" s="57">
        <f>IF(ISERROR(IF(B939=C939,D939/C939,(INT(D939/B939)+(((D939-B939*INT(D939/B939)))/C939)/100))),0,(IF(B939=C939,D939/C939,(INT(D939/B939)+(((D939-B939*INT(D939/B939)))/C939)/100))))</f>
        <v>0</v>
      </c>
      <c r="AP939" s="57">
        <f>IF(ISERROR(IF(B939=C939,E939/C939,(INT(E939/B939)+(((E939-B939*INT(E939/B939)))/C939)/100))),0,(IF(B939=C939,E939/C939,(INT(E939/B939)+(((E939-B939*INT(E939/B939)))/C939)/100))))</f>
        <v>0</v>
      </c>
      <c r="AQ939" s="57">
        <f>IF(ISERROR(IF(B939=C939,F939/C939,IF((INT(F939/B939)+(((F939-B939*INT(F939/B939)))/C939)/100)&lt;0,(INT(F939/B939)+(((F939-B939*INT(F939/B939)))/C939)/100)+(1-(B939/C939/100)),(INT(F939/B939)+(((F939-B939*INT(F939/B939)))/C939)/100)))),0,IF(B939=C939,F939/C939,IF((INT(F939/B939)+(((F939-B939*INT(F939/B939)))/C939)/100)&lt;0,(INT(F939/B939)+(((F939-B939*INT(F939/B939)))/C939)/100)+(1-(B939/C939/100)),(INT(F939/B939)+(((F939-B939*INT(F939/B939)))/C939)/100))))</f>
        <v>0</v>
      </c>
      <c r="AR939" s="57">
        <f>IF(ISERROR(IF(B939=C939,G939/C939,(INT(G939/B939)+(((G939-B939*INT(G939/B939)))/C939)/100))),0,(IF(B939=C939,G939/C939,(INT(G939/B939)+(((G939-B939*INT(G939/B939)))/C939)/100))))</f>
        <v>0</v>
      </c>
      <c r="AS939" s="57">
        <f>IF(ISERROR(IF(B939=C939,H939/C939,(INT(H939/B939)+(((H939-B939*INT(H939/B939)))/C939)/100))),0,(IF(B939=C939,H939/C939,(INT(H939/B939)+(((H939-B939*INT(H939/B939)))/C939)/100))))</f>
        <v>0</v>
      </c>
      <c r="AT939" s="57">
        <f>IF(ISERROR(IF(B939=C939,I939/C939,(INT(I939/B939)+(((I939-B939*INT(I939/B939)))/C939)/100))),0,(IF(B939=C939,I939/C939,(INT(I939/B939)+(((I939-B939*INT(I939/B939)))/C939)/100))))</f>
        <v>0</v>
      </c>
      <c r="AU939" s="57">
        <f>IF(ISERROR(IF(B939=C939,J939/C939,(INT(J939/B939)+(((J939-B939*INT(J939/B939)))/C939)/100))),0,(IF(B939=C939,J939/C939,(INT(J939/B939)+(((J939-B939*INT(J939/B939)))/C939)/100))))</f>
        <v>0</v>
      </c>
      <c r="AV939" s="57">
        <f>IF(ISERROR(IF(B939=C939,K939/C939,IF((INT(K939/B939)+(((K939-B939*INT(K939/B939)))/C939)/100)&lt;0,(INT(K939/B939)+(((K939-B939*INT(K939/B939)))/C939)/100)+(1-(B939/C939/100)),(INT(K939/B939)+(((K939-B939*INT(K939/B939)))/C939)/100)))),0,IF(B939=C939,K939/C939,IF((INT(K939/B939)+(((K939-B939*INT(K939/B939)))/C939)/100)&lt;0,(INT(K939/B939)+(((K939-B939*INT(K939/B939)))/C939)/100)+(1-(B939/C939/100)),(INT(K939/B939)+(((K939-B939*INT(K939/B939)))/C939)/100))))</f>
        <v>0</v>
      </c>
      <c r="AW939" s="57">
        <f>IF(ISERROR(IF(B939=C939,L939/C939,(INT(L939/B939)+(((L939-B939*INT(L939/B939)))/C939)/100))),0,(IF(B939=C939,L939/C939,(INT(L939/B939)+(((L939-B939*INT(L939/B939)))/C939)/100))))</f>
        <v>0</v>
      </c>
      <c r="AX939" s="57">
        <f>IF(ISERROR(IF(B939=C939,M939/C939,(INT(M939/B939)+(((M939-B939*INT(M939/B939)))/C939)/100))),0,(IF(B939=C939,M939/C939,(INT(M939/B939)+(((M939-B939*INT(M939/B939)))/C939)/100))))</f>
        <v>0</v>
      </c>
      <c r="AY939" s="57">
        <f>IF(ISERROR(IF(B939=C939,N939/C939,IF((INT(N939/B939)+(((N939-B939*INT(N939/B939)))/C939)/100)&lt;0,(INT(N939/B939)+(((N939-B939*INT(N939/B939)))/C939)/100)+(1-(B939/C939/100)),(INT(N939/B939)+(((N939-B939*INT(N939/B939)))/C939)/100)))),0,IF(B939=C939,N939/C939,IF((INT(N939/B939)+(((N939-B939*INT(N939/B939)))/C939)/100)&lt;0,(INT(N939/B939)+(((N939-B939*INT(N939/B939)))/C939)/100)+(1-(B939/C939/100)),(INT(N939/B939)+(((N939-B939*INT(N939/B939)))/C939)/100))))</f>
        <v>0</v>
      </c>
      <c r="AZ939" s="57">
        <f>IF(ISERROR(IF(B939=C939,O939/C939,(INT(O939/B939)+(((O939-B939*INT(O939/B939)))/C939)/100))),0,(IF(B939=C939,O939/C939,(INT(O939/B939)+(((O939-B939*INT(O939/B939)))/C939)/100))))</f>
        <v>0</v>
      </c>
      <c r="BA939" s="57">
        <f>IF(ISERROR(IF(B939=C939,P939/C939,IF((INT(P939/B939)+(((P939-B939*INT(P939/B939)))/C939)/100)&lt;0,(INT(P939/B939)+(((P939-B939*INT(P939/B939)))/C939)/100)+(1-(B939/C939/100)),(INT(P939/B939)+(((P939-B939*INT(P939/B939)))/C939)/100)))),0,IF(B939=C939,P939/C939,IF((INT(P939/B939)+(((P939-B939*INT(P939/B939)))/C939)/100)&lt;0,(INT(P939/B939)+(((P939-B939*INT(P939/B939)))/C939)/100)+(1-(B939/C939/100)),(INT(P939/B939)+(((P939-B939*INT(P939/B939)))/C939)/100))))</f>
        <v>0</v>
      </c>
      <c r="BB939" s="28">
        <f>R939</f>
        <v>0</v>
      </c>
      <c r="BC939" s="28">
        <f>S939</f>
        <v>0</v>
      </c>
      <c r="BD939" s="28">
        <f>AF939</f>
        <v>0</v>
      </c>
      <c r="BE939" s="28">
        <f>T939</f>
        <v>0</v>
      </c>
      <c r="BG939" s="57">
        <f>IF(ISERROR(IF(B939=C939,V939/C939,(INT(V939/B939)+(((V939-B939*INT(V939/B939)))/C939)/100))),0,(IF(B939=C939,V939/C939,(INT(V939/B939)+(((V939-B939*INT(V939/B939)))/C939)/100))))</f>
        <v>0</v>
      </c>
      <c r="BH939" s="57">
        <f>IF(ISERROR(IF(B939=C939,W939/C939,(INT(W939/B939)+(((W939-B939*INT(W939/B939)))/C939)/100))),0,(IF(B939=C939,W939/C939,(INT(W939/B939)+(((W939-B939*INT(W939/B939)))/C939)/100))))</f>
        <v>0</v>
      </c>
      <c r="BI939" s="57">
        <f>IF(ISERROR(IF(B939=C939,X939/C939,(INT(X939/B939)+(((X939-B939*INT(X939/B939)))/C939)/100))),0,(IF(B939=C939,X939/C939,(INT(X939/B939)+(((X939-B939*INT(X939/B939)))/C939)/100))))</f>
        <v>0</v>
      </c>
      <c r="BJ939" s="57">
        <f>IF(ISERROR(IF(B939=C939,Y939/C939,(INT(Y939/B939)+(((Y939-B939*INT(Y939/B939)))/C939)/100))),0,(IF(B939=C939,Y939/C939,(INT(Y939/B939)+(((Y939-B939*INT(Y939/B939)))/C939)/100))))</f>
        <v>0</v>
      </c>
      <c r="BL939" s="57">
        <f>IF(ISERROR(IF(B939=C939,AA939/C939,(INT(AA939/B939)+(((AA939-B939*INT(AA939/B939)))/C939)/100))),0,(IF(B939=C939,AA939/C939,(INT(AA939/B939)+(((AA939-B939*INT(AA939/B939)))/C939)/100))))</f>
        <v>0</v>
      </c>
      <c r="BM939" s="57">
        <f>IF(ISERROR(IF(B939=C939,AB939/C939,(INT(AB939/B939)+(((AB939-B939*INT(AB939/B939)))/C939)/100))),0,(IF(B939=C939,AB939/C939,(INT(AB939/B939)+(((AB939-B939*INT(AB939/B939)))/C939)/100))))</f>
        <v>0</v>
      </c>
      <c r="BN939" s="57">
        <f>IF(ISERROR(IF(B939=C939,AC939/C939,(INT(AC939/B939)+(((AC939-B939*INT(AC939/B939)))/C939)/100))),0,(IF(B939=C939,AC939/C939,(INT(AC939/B939)+(((AC939-B939*INT(AC939/B939)))/C939)/100))))</f>
        <v>0</v>
      </c>
      <c r="BO939" s="57">
        <f>IF(ISERROR(IF(B939=C939,AD939/C939,(INT(AD939/B939)+(((AD939-B939*INT(AD939/B939)))/C939)/100))),0,(IF(B939=C939,AD939/C939,(INT(AD939/B939)+(((AD939-B939*INT(AD939/B939)))/C939)/100))))</f>
        <v>0</v>
      </c>
      <c r="BQ939" s="124" t="s">
        <v>81</v>
      </c>
    </row>
    <row r="940" spans="1:69" hidden="1" x14ac:dyDescent="0.35">
      <c r="A940" s="94"/>
      <c r="B940" s="113">
        <v>0</v>
      </c>
      <c r="C940" s="113">
        <v>0</v>
      </c>
      <c r="D940" s="28">
        <f>SUM(AA940:AD940)</f>
        <v>0</v>
      </c>
      <c r="E940" s="125">
        <v>0</v>
      </c>
      <c r="F940" s="113">
        <v>0</v>
      </c>
      <c r="G940" s="28">
        <f>SUM(D940:F940)</f>
        <v>0</v>
      </c>
      <c r="H940" s="125">
        <v>0</v>
      </c>
      <c r="I940" s="125">
        <v>0</v>
      </c>
      <c r="J940" s="125">
        <v>0</v>
      </c>
      <c r="K940" s="125">
        <v>0</v>
      </c>
      <c r="L940" s="113">
        <v>0</v>
      </c>
      <c r="M940" s="113">
        <v>0</v>
      </c>
      <c r="N940" s="28">
        <f>G940-SUM(H940:M940)</f>
        <v>0</v>
      </c>
      <c r="O940" s="28">
        <f>SUM(V940:Y940)</f>
        <v>0</v>
      </c>
      <c r="P940" s="28">
        <f>O940-N940</f>
        <v>0</v>
      </c>
      <c r="Q940" s="61" t="str">
        <f>IF(ISERROR(P940/SUM(H940:L940)),"",P940/SUM(H940:L940))</f>
        <v/>
      </c>
      <c r="R940" s="113">
        <v>0</v>
      </c>
      <c r="S940" s="28">
        <f>IF(ISERROR(P940/C940*R940),0,(P940/C940*R940))</f>
        <v>0</v>
      </c>
      <c r="T940" s="60">
        <f>IF(ISERROR(P940/B940*AF940),0,(P940/B940*AF940))</f>
        <v>0</v>
      </c>
      <c r="V940" s="113">
        <v>0</v>
      </c>
      <c r="W940" s="113">
        <v>0</v>
      </c>
      <c r="X940" s="113">
        <v>0</v>
      </c>
      <c r="Y940" s="113">
        <v>0</v>
      </c>
      <c r="AA940" s="113">
        <v>0</v>
      </c>
      <c r="AB940" s="113">
        <v>0</v>
      </c>
      <c r="AC940" s="113">
        <v>0</v>
      </c>
      <c r="AD940" s="113">
        <v>0</v>
      </c>
      <c r="AF940" s="54">
        <v>0</v>
      </c>
      <c r="AG940" s="28">
        <f>G940-O940</f>
        <v>0</v>
      </c>
      <c r="AH940" s="58">
        <f>IF(ISERROR(AG940/B940*AF940),0,(AG940/B940*AF940))</f>
        <v>0</v>
      </c>
      <c r="AI940" s="28">
        <f>SUM(H940:M940)</f>
        <v>0</v>
      </c>
      <c r="AJ940" s="28">
        <f>IF(ISERROR(AI940/B940*AF940),0,(AI940/B940*AF940))</f>
        <v>0</v>
      </c>
      <c r="AK940" s="58">
        <f>IF(ISERROR(O940/B940*AF940),0,(O940/B940*AF940))</f>
        <v>0</v>
      </c>
      <c r="AL940" s="28">
        <f>IF(ISERROR(H940/B940*AF940),0,(H940/B940*AF940))</f>
        <v>0</v>
      </c>
      <c r="AN940" s="51">
        <f>A940</f>
        <v>0</v>
      </c>
      <c r="AO940" s="57">
        <f>IF(ISERROR(IF(B940=C940,D940/C940,(INT(D940/B940)+(((D940-B940*INT(D940/B940)))/C940)/100))),0,(IF(B940=C940,D940/C940,(INT(D940/B940)+(((D940-B940*INT(D940/B940)))/C940)/100))))</f>
        <v>0</v>
      </c>
      <c r="AP940" s="57">
        <f>IF(ISERROR(IF(B940=C940,E940/C940,(INT(E940/B940)+(((E940-B940*INT(E940/B940)))/C940)/100))),0,(IF(B940=C940,E940/C940,(INT(E940/B940)+(((E940-B940*INT(E940/B940)))/C940)/100))))</f>
        <v>0</v>
      </c>
      <c r="AQ940" s="57">
        <f>IF(ISERROR(IF(B940=C940,F940/C940,IF((INT(F940/B940)+(((F940-B940*INT(F940/B940)))/C940)/100)&lt;0,(INT(F940/B940)+(((F940-B940*INT(F940/B940)))/C940)/100)+(1-(B940/C940/100)),(INT(F940/B940)+(((F940-B940*INT(F940/B940)))/C940)/100)))),0,IF(B940=C940,F940/C940,IF((INT(F940/B940)+(((F940-B940*INT(F940/B940)))/C940)/100)&lt;0,(INT(F940/B940)+(((F940-B940*INT(F940/B940)))/C940)/100)+(1-(B940/C940/100)),(INT(F940/B940)+(((F940-B940*INT(F940/B940)))/C940)/100))))</f>
        <v>0</v>
      </c>
      <c r="AR940" s="57">
        <f>IF(ISERROR(IF(B940=C940,G940/C940,(INT(G940/B940)+(((G940-B940*INT(G940/B940)))/C940)/100))),0,(IF(B940=C940,G940/C940,(INT(G940/B940)+(((G940-B940*INT(G940/B940)))/C940)/100))))</f>
        <v>0</v>
      </c>
      <c r="AS940" s="57">
        <f>IF(ISERROR(IF(B940=C940,H940/C940,(INT(H940/B940)+(((H940-B940*INT(H940/B940)))/C940)/100))),0,(IF(B940=C940,H940/C940,(INT(H940/B940)+(((H940-B940*INT(H940/B940)))/C940)/100))))</f>
        <v>0</v>
      </c>
      <c r="AT940" s="57">
        <f>IF(ISERROR(IF(B940=C940,I940/C940,(INT(I940/B940)+(((I940-B940*INT(I940/B940)))/C940)/100))),0,(IF(B940=C940,I940/C940,(INT(I940/B940)+(((I940-B940*INT(I940/B940)))/C940)/100))))</f>
        <v>0</v>
      </c>
      <c r="AU940" s="57">
        <f>IF(ISERROR(IF(B940=C940,J940/C940,(INT(J940/B940)+(((J940-B940*INT(J940/B940)))/C940)/100))),0,(IF(B940=C940,J940/C940,(INT(J940/B940)+(((J940-B940*INT(J940/B940)))/C940)/100))))</f>
        <v>0</v>
      </c>
      <c r="AV940" s="57">
        <f>IF(ISERROR(IF(B940=C940,K940/C940,IF((INT(K940/B940)+(((K940-B940*INT(K940/B940)))/C940)/100)&lt;0,(INT(K940/B940)+(((K940-B940*INT(K940/B940)))/C940)/100)+(1-(B940/C940/100)),(INT(K940/B940)+(((K940-B940*INT(K940/B940)))/C940)/100)))),0,IF(B940=C940,K940/C940,IF((INT(K940/B940)+(((K940-B940*INT(K940/B940)))/C940)/100)&lt;0,(INT(K940/B940)+(((K940-B940*INT(K940/B940)))/C940)/100)+(1-(B940/C940/100)),(INT(K940/B940)+(((K940-B940*INT(K940/B940)))/C940)/100))))</f>
        <v>0</v>
      </c>
      <c r="AW940" s="57">
        <f>IF(ISERROR(IF(B940=C940,L940/C940,(INT(L940/B940)+(((L940-B940*INT(L940/B940)))/C940)/100))),0,(IF(B940=C940,L940/C940,(INT(L940/B940)+(((L940-B940*INT(L940/B940)))/C940)/100))))</f>
        <v>0</v>
      </c>
      <c r="AX940" s="57">
        <f>IF(ISERROR(IF(B940=C940,M940/C940,(INT(M940/B940)+(((M940-B940*INT(M940/B940)))/C940)/100))),0,(IF(B940=C940,M940/C940,(INT(M940/B940)+(((M940-B940*INT(M940/B940)))/C940)/100))))</f>
        <v>0</v>
      </c>
      <c r="AY940" s="57">
        <f>IF(ISERROR(IF(B940=C940,N940/C940,IF((INT(N940/B940)+(((N940-B940*INT(N940/B940)))/C940)/100)&lt;0,(INT(N940/B940)+(((N940-B940*INT(N940/B940)))/C940)/100)+(1-(B940/C940/100)),(INT(N940/B940)+(((N940-B940*INT(N940/B940)))/C940)/100)))),0,IF(B940=C940,N940/C940,IF((INT(N940/B940)+(((N940-B940*INT(N940/B940)))/C940)/100)&lt;0,(INT(N940/B940)+(((N940-B940*INT(N940/B940)))/C940)/100)+(1-(B940/C940/100)),(INT(N940/B940)+(((N940-B940*INT(N940/B940)))/C940)/100))))</f>
        <v>0</v>
      </c>
      <c r="AZ940" s="57">
        <f>IF(ISERROR(IF(B940=C940,O940/C940,(INT(O940/B940)+(((O940-B940*INT(O940/B940)))/C940)/100))),0,(IF(B940=C940,O940/C940,(INT(O940/B940)+(((O940-B940*INT(O940/B940)))/C940)/100))))</f>
        <v>0</v>
      </c>
      <c r="BA940" s="57">
        <f>IF(ISERROR(IF(B940=C940,P940/C940,IF((INT(P940/B940)+(((P940-B940*INT(P940/B940)))/C940)/100)&lt;0,(INT(P940/B940)+(((P940-B940*INT(P940/B940)))/C940)/100)+(1-(B940/C940/100)),(INT(P940/B940)+(((P940-B940*INT(P940/B940)))/C940)/100)))),0,IF(B940=C940,P940/C940,IF((INT(P940/B940)+(((P940-B940*INT(P940/B940)))/C940)/100)&lt;0,(INT(P940/B940)+(((P940-B940*INT(P940/B940)))/C940)/100)+(1-(B940/C940/100)),(INT(P940/B940)+(((P940-B940*INT(P940/B940)))/C940)/100))))</f>
        <v>0</v>
      </c>
      <c r="BB940" s="28">
        <f>R940</f>
        <v>0</v>
      </c>
      <c r="BC940" s="28">
        <f>S940</f>
        <v>0</v>
      </c>
      <c r="BD940" s="28">
        <f>AF940</f>
        <v>0</v>
      </c>
      <c r="BE940" s="28">
        <f>T940</f>
        <v>0</v>
      </c>
      <c r="BG940" s="57">
        <f>IF(ISERROR(IF(B940=C940,V940/C940,(INT(V940/B940)+(((V940-B940*INT(V940/B940)))/C940)/100))),0,(IF(B940=C940,V940/C940,(INT(V940/B940)+(((V940-B940*INT(V940/B940)))/C940)/100))))</f>
        <v>0</v>
      </c>
      <c r="BH940" s="57">
        <f>IF(ISERROR(IF(B940=C940,W940/C940,(INT(W940/B940)+(((W940-B940*INT(W940/B940)))/C940)/100))),0,(IF(B940=C940,W940/C940,(INT(W940/B940)+(((W940-B940*INT(W940/B940)))/C940)/100))))</f>
        <v>0</v>
      </c>
      <c r="BI940" s="57">
        <f>IF(ISERROR(IF(B940=C940,X940/C940,(INT(X940/B940)+(((X940-B940*INT(X940/B940)))/C940)/100))),0,(IF(B940=C940,X940/C940,(INT(X940/B940)+(((X940-B940*INT(X940/B940)))/C940)/100))))</f>
        <v>0</v>
      </c>
      <c r="BJ940" s="57">
        <f>IF(ISERROR(IF(B940=C940,Y940/C940,(INT(Y940/B940)+(((Y940-B940*INT(Y940/B940)))/C940)/100))),0,(IF(B940=C940,Y940/C940,(INT(Y940/B940)+(((Y940-B940*INT(Y940/B940)))/C940)/100))))</f>
        <v>0</v>
      </c>
      <c r="BL940" s="57">
        <f>IF(ISERROR(IF(B940=C940,AA940/C940,(INT(AA940/B940)+(((AA940-B940*INT(AA940/B940)))/C940)/100))),0,(IF(B940=C940,AA940/C940,(INT(AA940/B940)+(((AA940-B940*INT(AA940/B940)))/C940)/100))))</f>
        <v>0</v>
      </c>
      <c r="BM940" s="57">
        <f>IF(ISERROR(IF(B940=C940,AB940/C940,(INT(AB940/B940)+(((AB940-B940*INT(AB940/B940)))/C940)/100))),0,(IF(B940=C940,AB940/C940,(INT(AB940/B940)+(((AB940-B940*INT(AB940/B940)))/C940)/100))))</f>
        <v>0</v>
      </c>
      <c r="BN940" s="57">
        <f>IF(ISERROR(IF(B940=C940,AC940/C940,(INT(AC940/B940)+(((AC940-B940*INT(AC940/B940)))/C940)/100))),0,(IF(B940=C940,AC940/C940,(INT(AC940/B940)+(((AC940-B940*INT(AC940/B940)))/C940)/100))))</f>
        <v>0</v>
      </c>
      <c r="BO940" s="57">
        <f>IF(ISERROR(IF(B940=C940,AD940/C940,(INT(AD940/B940)+(((AD940-B940*INT(AD940/B940)))/C940)/100))),0,(IF(B940=C940,AD940/C940,(INT(AD940/B940)+(((AD940-B940*INT(AD940/B940)))/C940)/100))))</f>
        <v>0</v>
      </c>
      <c r="BQ940" s="124" t="s">
        <v>81</v>
      </c>
    </row>
    <row r="941" spans="1:69" hidden="1" x14ac:dyDescent="0.35">
      <c r="A941" s="94"/>
      <c r="B941" s="113">
        <v>0</v>
      </c>
      <c r="C941" s="113">
        <v>0</v>
      </c>
      <c r="D941" s="28">
        <f>SUM(AA941:AD941)</f>
        <v>0</v>
      </c>
      <c r="E941" s="125">
        <v>0</v>
      </c>
      <c r="F941" s="113">
        <v>0</v>
      </c>
      <c r="G941" s="28">
        <f>SUM(D941:F941)</f>
        <v>0</v>
      </c>
      <c r="H941" s="125">
        <v>0</v>
      </c>
      <c r="I941" s="125">
        <v>0</v>
      </c>
      <c r="J941" s="125">
        <v>0</v>
      </c>
      <c r="K941" s="125">
        <v>0</v>
      </c>
      <c r="L941" s="113">
        <v>0</v>
      </c>
      <c r="M941" s="113">
        <v>0</v>
      </c>
      <c r="N941" s="28">
        <f>G941-SUM(H941:M941)</f>
        <v>0</v>
      </c>
      <c r="O941" s="28">
        <f>SUM(V941:Y941)</f>
        <v>0</v>
      </c>
      <c r="P941" s="28">
        <f>O941-N941</f>
        <v>0</v>
      </c>
      <c r="Q941" s="61" t="str">
        <f>IF(ISERROR(P941/SUM(H941:L941)),"",P941/SUM(H941:L941))</f>
        <v/>
      </c>
      <c r="R941" s="113">
        <v>0</v>
      </c>
      <c r="S941" s="28">
        <f>IF(ISERROR(P941/C941*R941),0,(P941/C941*R941))</f>
        <v>0</v>
      </c>
      <c r="T941" s="60">
        <f>IF(ISERROR(P941/B941*AF941),0,(P941/B941*AF941))</f>
        <v>0</v>
      </c>
      <c r="V941" s="113">
        <v>0</v>
      </c>
      <c r="W941" s="113">
        <v>0</v>
      </c>
      <c r="X941" s="113">
        <v>0</v>
      </c>
      <c r="Y941" s="113">
        <v>0</v>
      </c>
      <c r="AA941" s="113">
        <v>0</v>
      </c>
      <c r="AB941" s="113">
        <v>0</v>
      </c>
      <c r="AC941" s="113">
        <v>0</v>
      </c>
      <c r="AD941" s="113">
        <v>0</v>
      </c>
      <c r="AF941" s="54">
        <v>0</v>
      </c>
      <c r="AG941" s="28">
        <f>G941-O941</f>
        <v>0</v>
      </c>
      <c r="AH941" s="58">
        <f>IF(ISERROR(AG941/B941*AF941),0,(AG941/B941*AF941))</f>
        <v>0</v>
      </c>
      <c r="AI941" s="28">
        <f>SUM(H941:M941)</f>
        <v>0</v>
      </c>
      <c r="AJ941" s="28">
        <f>IF(ISERROR(AI941/B941*AF941),0,(AI941/B941*AF941))</f>
        <v>0</v>
      </c>
      <c r="AK941" s="58">
        <f>IF(ISERROR(O941/B941*AF941),0,(O941/B941*AF941))</f>
        <v>0</v>
      </c>
      <c r="AL941" s="28">
        <f>IF(ISERROR(H941/B941*AF941),0,(H941/B941*AF941))</f>
        <v>0</v>
      </c>
      <c r="AN941" s="51">
        <f>A941</f>
        <v>0</v>
      </c>
      <c r="AO941" s="57">
        <f>IF(ISERROR(IF(B941=C941,D941/C941,(INT(D941/B941)+(((D941-B941*INT(D941/B941)))/C941)/100))),0,(IF(B941=C941,D941/C941,(INT(D941/B941)+(((D941-B941*INT(D941/B941)))/C941)/100))))</f>
        <v>0</v>
      </c>
      <c r="AP941" s="57">
        <f>IF(ISERROR(IF(B941=C941,E941/C941,(INT(E941/B941)+(((E941-B941*INT(E941/B941)))/C941)/100))),0,(IF(B941=C941,E941/C941,(INT(E941/B941)+(((E941-B941*INT(E941/B941)))/C941)/100))))</f>
        <v>0</v>
      </c>
      <c r="AQ941" s="57">
        <f>IF(ISERROR(IF(B941=C941,F941/C941,IF((INT(F941/B941)+(((F941-B941*INT(F941/B941)))/C941)/100)&lt;0,(INT(F941/B941)+(((F941-B941*INT(F941/B941)))/C941)/100)+(1-(B941/C941/100)),(INT(F941/B941)+(((F941-B941*INT(F941/B941)))/C941)/100)))),0,IF(B941=C941,F941/C941,IF((INT(F941/B941)+(((F941-B941*INT(F941/B941)))/C941)/100)&lt;0,(INT(F941/B941)+(((F941-B941*INT(F941/B941)))/C941)/100)+(1-(B941/C941/100)),(INT(F941/B941)+(((F941-B941*INT(F941/B941)))/C941)/100))))</f>
        <v>0</v>
      </c>
      <c r="AR941" s="57">
        <f>IF(ISERROR(IF(B941=C941,G941/C941,(INT(G941/B941)+(((G941-B941*INT(G941/B941)))/C941)/100))),0,(IF(B941=C941,G941/C941,(INT(G941/B941)+(((G941-B941*INT(G941/B941)))/C941)/100))))</f>
        <v>0</v>
      </c>
      <c r="AS941" s="57">
        <f>IF(ISERROR(IF(B941=C941,H941/C941,(INT(H941/B941)+(((H941-B941*INT(H941/B941)))/C941)/100))),0,(IF(B941=C941,H941/C941,(INT(H941/B941)+(((H941-B941*INT(H941/B941)))/C941)/100))))</f>
        <v>0</v>
      </c>
      <c r="AT941" s="57">
        <f>IF(ISERROR(IF(B941=C941,I941/C941,(INT(I941/B941)+(((I941-B941*INT(I941/B941)))/C941)/100))),0,(IF(B941=C941,I941/C941,(INT(I941/B941)+(((I941-B941*INT(I941/B941)))/C941)/100))))</f>
        <v>0</v>
      </c>
      <c r="AU941" s="57">
        <f>IF(ISERROR(IF(B941=C941,J941/C941,(INT(J941/B941)+(((J941-B941*INT(J941/B941)))/C941)/100))),0,(IF(B941=C941,J941/C941,(INT(J941/B941)+(((J941-B941*INT(J941/B941)))/C941)/100))))</f>
        <v>0</v>
      </c>
      <c r="AV941" s="57">
        <f>IF(ISERROR(IF(B941=C941,K941/C941,IF((INT(K941/B941)+(((K941-B941*INT(K941/B941)))/C941)/100)&lt;0,(INT(K941/B941)+(((K941-B941*INT(K941/B941)))/C941)/100)+(1-(B941/C941/100)),(INT(K941/B941)+(((K941-B941*INT(K941/B941)))/C941)/100)))),0,IF(B941=C941,K941/C941,IF((INT(K941/B941)+(((K941-B941*INT(K941/B941)))/C941)/100)&lt;0,(INT(K941/B941)+(((K941-B941*INT(K941/B941)))/C941)/100)+(1-(B941/C941/100)),(INT(K941/B941)+(((K941-B941*INT(K941/B941)))/C941)/100))))</f>
        <v>0</v>
      </c>
      <c r="AW941" s="57">
        <f>IF(ISERROR(IF(B941=C941,L941/C941,(INT(L941/B941)+(((L941-B941*INT(L941/B941)))/C941)/100))),0,(IF(B941=C941,L941/C941,(INT(L941/B941)+(((L941-B941*INT(L941/B941)))/C941)/100))))</f>
        <v>0</v>
      </c>
      <c r="AX941" s="57">
        <f>IF(ISERROR(IF(B941=C941,M941/C941,(INT(M941/B941)+(((M941-B941*INT(M941/B941)))/C941)/100))),0,(IF(B941=C941,M941/C941,(INT(M941/B941)+(((M941-B941*INT(M941/B941)))/C941)/100))))</f>
        <v>0</v>
      </c>
      <c r="AY941" s="57">
        <f>IF(ISERROR(IF(B941=C941,N941/C941,IF((INT(N941/B941)+(((N941-B941*INT(N941/B941)))/C941)/100)&lt;0,(INT(N941/B941)+(((N941-B941*INT(N941/B941)))/C941)/100)+(1-(B941/C941/100)),(INT(N941/B941)+(((N941-B941*INT(N941/B941)))/C941)/100)))),0,IF(B941=C941,N941/C941,IF((INT(N941/B941)+(((N941-B941*INT(N941/B941)))/C941)/100)&lt;0,(INT(N941/B941)+(((N941-B941*INT(N941/B941)))/C941)/100)+(1-(B941/C941/100)),(INT(N941/B941)+(((N941-B941*INT(N941/B941)))/C941)/100))))</f>
        <v>0</v>
      </c>
      <c r="AZ941" s="57">
        <f>IF(ISERROR(IF(B941=C941,O941/C941,(INT(O941/B941)+(((O941-B941*INT(O941/B941)))/C941)/100))),0,(IF(B941=C941,O941/C941,(INT(O941/B941)+(((O941-B941*INT(O941/B941)))/C941)/100))))</f>
        <v>0</v>
      </c>
      <c r="BA941" s="57">
        <f>IF(ISERROR(IF(B941=C941,P941/C941,IF((INT(P941/B941)+(((P941-B941*INT(P941/B941)))/C941)/100)&lt;0,(INT(P941/B941)+(((P941-B941*INT(P941/B941)))/C941)/100)+(1-(B941/C941/100)),(INT(P941/B941)+(((P941-B941*INT(P941/B941)))/C941)/100)))),0,IF(B941=C941,P941/C941,IF((INT(P941/B941)+(((P941-B941*INT(P941/B941)))/C941)/100)&lt;0,(INT(P941/B941)+(((P941-B941*INT(P941/B941)))/C941)/100)+(1-(B941/C941/100)),(INT(P941/B941)+(((P941-B941*INT(P941/B941)))/C941)/100))))</f>
        <v>0</v>
      </c>
      <c r="BB941" s="28">
        <f>R941</f>
        <v>0</v>
      </c>
      <c r="BC941" s="28">
        <f>S941</f>
        <v>0</v>
      </c>
      <c r="BD941" s="28">
        <f>AF941</f>
        <v>0</v>
      </c>
      <c r="BE941" s="28">
        <f>T941</f>
        <v>0</v>
      </c>
      <c r="BG941" s="57">
        <f>IF(ISERROR(IF(B941=C941,V941/C941,(INT(V941/B941)+(((V941-B941*INT(V941/B941)))/C941)/100))),0,(IF(B941=C941,V941/C941,(INT(V941/B941)+(((V941-B941*INT(V941/B941)))/C941)/100))))</f>
        <v>0</v>
      </c>
      <c r="BH941" s="57">
        <f>IF(ISERROR(IF(B941=C941,W941/C941,(INT(W941/B941)+(((W941-B941*INT(W941/B941)))/C941)/100))),0,(IF(B941=C941,W941/C941,(INT(W941/B941)+(((W941-B941*INT(W941/B941)))/C941)/100))))</f>
        <v>0</v>
      </c>
      <c r="BI941" s="57">
        <f>IF(ISERROR(IF(B941=C941,X941/C941,(INT(X941/B941)+(((X941-B941*INT(X941/B941)))/C941)/100))),0,(IF(B941=C941,X941/C941,(INT(X941/B941)+(((X941-B941*INT(X941/B941)))/C941)/100))))</f>
        <v>0</v>
      </c>
      <c r="BJ941" s="57">
        <f>IF(ISERROR(IF(B941=C941,Y941/C941,(INT(Y941/B941)+(((Y941-B941*INT(Y941/B941)))/C941)/100))),0,(IF(B941=C941,Y941/C941,(INT(Y941/B941)+(((Y941-B941*INT(Y941/B941)))/C941)/100))))</f>
        <v>0</v>
      </c>
      <c r="BL941" s="57">
        <f>IF(ISERROR(IF(B941=C941,AA941/C941,(INT(AA941/B941)+(((AA941-B941*INT(AA941/B941)))/C941)/100))),0,(IF(B941=C941,AA941/C941,(INT(AA941/B941)+(((AA941-B941*INT(AA941/B941)))/C941)/100))))</f>
        <v>0</v>
      </c>
      <c r="BM941" s="57">
        <f>IF(ISERROR(IF(B941=C941,AB941/C941,(INT(AB941/B941)+(((AB941-B941*INT(AB941/B941)))/C941)/100))),0,(IF(B941=C941,AB941/C941,(INT(AB941/B941)+(((AB941-B941*INT(AB941/B941)))/C941)/100))))</f>
        <v>0</v>
      </c>
      <c r="BN941" s="57">
        <f>IF(ISERROR(IF(B941=C941,AC941/C941,(INT(AC941/B941)+(((AC941-B941*INT(AC941/B941)))/C941)/100))),0,(IF(B941=C941,AC941/C941,(INT(AC941/B941)+(((AC941-B941*INT(AC941/B941)))/C941)/100))))</f>
        <v>0</v>
      </c>
      <c r="BO941" s="57">
        <f>IF(ISERROR(IF(B941=C941,AD941/C941,(INT(AD941/B941)+(((AD941-B941*INT(AD941/B941)))/C941)/100))),0,(IF(B941=C941,AD941/C941,(INT(AD941/B941)+(((AD941-B941*INT(AD941/B941)))/C941)/100))))</f>
        <v>0</v>
      </c>
      <c r="BQ941" s="124" t="s">
        <v>81</v>
      </c>
    </row>
    <row r="942" spans="1:69" hidden="1" x14ac:dyDescent="0.35">
      <c r="A942" s="94"/>
      <c r="B942" s="113">
        <v>0</v>
      </c>
      <c r="C942" s="113">
        <v>0</v>
      </c>
      <c r="D942" s="28">
        <f>SUM(AA942:AD942)</f>
        <v>0</v>
      </c>
      <c r="E942" s="125">
        <v>0</v>
      </c>
      <c r="F942" s="113">
        <v>0</v>
      </c>
      <c r="G942" s="28">
        <f>SUM(D942:F942)</f>
        <v>0</v>
      </c>
      <c r="H942" s="125">
        <v>0</v>
      </c>
      <c r="I942" s="125">
        <v>0</v>
      </c>
      <c r="J942" s="125">
        <v>0</v>
      </c>
      <c r="K942" s="125">
        <v>0</v>
      </c>
      <c r="L942" s="113">
        <v>0</v>
      </c>
      <c r="M942" s="113">
        <v>0</v>
      </c>
      <c r="N942" s="28">
        <f>G942-SUM(H942:M942)</f>
        <v>0</v>
      </c>
      <c r="O942" s="28">
        <f>SUM(V942:Y942)</f>
        <v>0</v>
      </c>
      <c r="P942" s="28">
        <f>O942-N942</f>
        <v>0</v>
      </c>
      <c r="Q942" s="61" t="str">
        <f>IF(ISERROR(P942/SUM(H942:L942)),"",P942/SUM(H942:L942))</f>
        <v/>
      </c>
      <c r="R942" s="113">
        <v>0</v>
      </c>
      <c r="S942" s="28">
        <f>IF(ISERROR(P942/C942*R942),0,(P942/C942*R942))</f>
        <v>0</v>
      </c>
      <c r="T942" s="60">
        <f>IF(ISERROR(P942/B942*AF942),0,(P942/B942*AF942))</f>
        <v>0</v>
      </c>
      <c r="V942" s="113">
        <v>0</v>
      </c>
      <c r="W942" s="113">
        <v>0</v>
      </c>
      <c r="X942" s="113">
        <v>0</v>
      </c>
      <c r="Y942" s="113">
        <v>0</v>
      </c>
      <c r="AA942" s="113">
        <v>0</v>
      </c>
      <c r="AB942" s="113">
        <v>0</v>
      </c>
      <c r="AC942" s="113">
        <v>0</v>
      </c>
      <c r="AD942" s="113">
        <v>0</v>
      </c>
      <c r="AF942" s="54">
        <v>0</v>
      </c>
      <c r="AG942" s="28">
        <f>G942-O942</f>
        <v>0</v>
      </c>
      <c r="AH942" s="58">
        <f>IF(ISERROR(AG942/B942*AF942),0,(AG942/B942*AF942))</f>
        <v>0</v>
      </c>
      <c r="AI942" s="28">
        <f>SUM(H942:M942)</f>
        <v>0</v>
      </c>
      <c r="AJ942" s="28">
        <f>IF(ISERROR(AI942/B942*AF942),0,(AI942/B942*AF942))</f>
        <v>0</v>
      </c>
      <c r="AK942" s="58">
        <f>IF(ISERROR(O942/B942*AF942),0,(O942/B942*AF942))</f>
        <v>0</v>
      </c>
      <c r="AL942" s="28">
        <f>IF(ISERROR(H942/B942*AF942),0,(H942/B942*AF942))</f>
        <v>0</v>
      </c>
      <c r="AN942" s="51">
        <f>A942</f>
        <v>0</v>
      </c>
      <c r="AO942" s="57">
        <f>IF(ISERROR(IF(B942=C942,D942/C942,(INT(D942/B942)+(((D942-B942*INT(D942/B942)))/C942)/100))),0,(IF(B942=C942,D942/C942,(INT(D942/B942)+(((D942-B942*INT(D942/B942)))/C942)/100))))</f>
        <v>0</v>
      </c>
      <c r="AP942" s="57">
        <f>IF(ISERROR(IF(B942=C942,E942/C942,(INT(E942/B942)+(((E942-B942*INT(E942/B942)))/C942)/100))),0,(IF(B942=C942,E942/C942,(INT(E942/B942)+(((E942-B942*INT(E942/B942)))/C942)/100))))</f>
        <v>0</v>
      </c>
      <c r="AQ942" s="57">
        <f>IF(ISERROR(IF(B942=C942,F942/C942,IF((INT(F942/B942)+(((F942-B942*INT(F942/B942)))/C942)/100)&lt;0,(INT(F942/B942)+(((F942-B942*INT(F942/B942)))/C942)/100)+(1-(B942/C942/100)),(INT(F942/B942)+(((F942-B942*INT(F942/B942)))/C942)/100)))),0,IF(B942=C942,F942/C942,IF((INT(F942/B942)+(((F942-B942*INT(F942/B942)))/C942)/100)&lt;0,(INT(F942/B942)+(((F942-B942*INT(F942/B942)))/C942)/100)+(1-(B942/C942/100)),(INT(F942/B942)+(((F942-B942*INT(F942/B942)))/C942)/100))))</f>
        <v>0</v>
      </c>
      <c r="AR942" s="57">
        <f>IF(ISERROR(IF(B942=C942,G942/C942,(INT(G942/B942)+(((G942-B942*INT(G942/B942)))/C942)/100))),0,(IF(B942=C942,G942/C942,(INT(G942/B942)+(((G942-B942*INT(G942/B942)))/C942)/100))))</f>
        <v>0</v>
      </c>
      <c r="AS942" s="57">
        <f>IF(ISERROR(IF(B942=C942,H942/C942,(INT(H942/B942)+(((H942-B942*INT(H942/B942)))/C942)/100))),0,(IF(B942=C942,H942/C942,(INT(H942/B942)+(((H942-B942*INT(H942/B942)))/C942)/100))))</f>
        <v>0</v>
      </c>
      <c r="AT942" s="57">
        <f>IF(ISERROR(IF(B942=C942,I942/C942,(INT(I942/B942)+(((I942-B942*INT(I942/B942)))/C942)/100))),0,(IF(B942=C942,I942/C942,(INT(I942/B942)+(((I942-B942*INT(I942/B942)))/C942)/100))))</f>
        <v>0</v>
      </c>
      <c r="AU942" s="57">
        <f>IF(ISERROR(IF(B942=C942,J942/C942,(INT(J942/B942)+(((J942-B942*INT(J942/B942)))/C942)/100))),0,(IF(B942=C942,J942/C942,(INT(J942/B942)+(((J942-B942*INT(J942/B942)))/C942)/100))))</f>
        <v>0</v>
      </c>
      <c r="AV942" s="57">
        <f>IF(ISERROR(IF(B942=C942,K942/C942,IF((INT(K942/B942)+(((K942-B942*INT(K942/B942)))/C942)/100)&lt;0,(INT(K942/B942)+(((K942-B942*INT(K942/B942)))/C942)/100)+(1-(B942/C942/100)),(INT(K942/B942)+(((K942-B942*INT(K942/B942)))/C942)/100)))),0,IF(B942=C942,K942/C942,IF((INT(K942/B942)+(((K942-B942*INT(K942/B942)))/C942)/100)&lt;0,(INT(K942/B942)+(((K942-B942*INT(K942/B942)))/C942)/100)+(1-(B942/C942/100)),(INT(K942/B942)+(((K942-B942*INT(K942/B942)))/C942)/100))))</f>
        <v>0</v>
      </c>
      <c r="AW942" s="57">
        <f>IF(ISERROR(IF(B942=C942,L942/C942,(INT(L942/B942)+(((L942-B942*INT(L942/B942)))/C942)/100))),0,(IF(B942=C942,L942/C942,(INT(L942/B942)+(((L942-B942*INT(L942/B942)))/C942)/100))))</f>
        <v>0</v>
      </c>
      <c r="AX942" s="57">
        <f>IF(ISERROR(IF(B942=C942,M942/C942,(INT(M942/B942)+(((M942-B942*INT(M942/B942)))/C942)/100))),0,(IF(B942=C942,M942/C942,(INT(M942/B942)+(((M942-B942*INT(M942/B942)))/C942)/100))))</f>
        <v>0</v>
      </c>
      <c r="AY942" s="57">
        <f>IF(ISERROR(IF(B942=C942,N942/C942,IF((INT(N942/B942)+(((N942-B942*INT(N942/B942)))/C942)/100)&lt;0,(INT(N942/B942)+(((N942-B942*INT(N942/B942)))/C942)/100)+(1-(B942/C942/100)),(INT(N942/B942)+(((N942-B942*INT(N942/B942)))/C942)/100)))),0,IF(B942=C942,N942/C942,IF((INT(N942/B942)+(((N942-B942*INT(N942/B942)))/C942)/100)&lt;0,(INT(N942/B942)+(((N942-B942*INT(N942/B942)))/C942)/100)+(1-(B942/C942/100)),(INT(N942/B942)+(((N942-B942*INT(N942/B942)))/C942)/100))))</f>
        <v>0</v>
      </c>
      <c r="AZ942" s="57">
        <f>IF(ISERROR(IF(B942=C942,O942/C942,(INT(O942/B942)+(((O942-B942*INT(O942/B942)))/C942)/100))),0,(IF(B942=C942,O942/C942,(INT(O942/B942)+(((O942-B942*INT(O942/B942)))/C942)/100))))</f>
        <v>0</v>
      </c>
      <c r="BA942" s="57">
        <f>IF(ISERROR(IF(B942=C942,P942/C942,IF((INT(P942/B942)+(((P942-B942*INT(P942/B942)))/C942)/100)&lt;0,(INT(P942/B942)+(((P942-B942*INT(P942/B942)))/C942)/100)+(1-(B942/C942/100)),(INT(P942/B942)+(((P942-B942*INT(P942/B942)))/C942)/100)))),0,IF(B942=C942,P942/C942,IF((INT(P942/B942)+(((P942-B942*INT(P942/B942)))/C942)/100)&lt;0,(INT(P942/B942)+(((P942-B942*INT(P942/B942)))/C942)/100)+(1-(B942/C942/100)),(INT(P942/B942)+(((P942-B942*INT(P942/B942)))/C942)/100))))</f>
        <v>0</v>
      </c>
      <c r="BB942" s="28">
        <f>R942</f>
        <v>0</v>
      </c>
      <c r="BC942" s="28">
        <f>S942</f>
        <v>0</v>
      </c>
      <c r="BD942" s="28">
        <f>AF942</f>
        <v>0</v>
      </c>
      <c r="BE942" s="28">
        <f>T942</f>
        <v>0</v>
      </c>
      <c r="BG942" s="57">
        <f>IF(ISERROR(IF(B942=C942,V942/C942,(INT(V942/B942)+(((V942-B942*INT(V942/B942)))/C942)/100))),0,(IF(B942=C942,V942/C942,(INT(V942/B942)+(((V942-B942*INT(V942/B942)))/C942)/100))))</f>
        <v>0</v>
      </c>
      <c r="BH942" s="57">
        <f>IF(ISERROR(IF(B942=C942,W942/C942,(INT(W942/B942)+(((W942-B942*INT(W942/B942)))/C942)/100))),0,(IF(B942=C942,W942/C942,(INT(W942/B942)+(((W942-B942*INT(W942/B942)))/C942)/100))))</f>
        <v>0</v>
      </c>
      <c r="BI942" s="57">
        <f>IF(ISERROR(IF(B942=C942,X942/C942,(INT(X942/B942)+(((X942-B942*INT(X942/B942)))/C942)/100))),0,(IF(B942=C942,X942/C942,(INT(X942/B942)+(((X942-B942*INT(X942/B942)))/C942)/100))))</f>
        <v>0</v>
      </c>
      <c r="BJ942" s="57">
        <f>IF(ISERROR(IF(B942=C942,Y942/C942,(INT(Y942/B942)+(((Y942-B942*INT(Y942/B942)))/C942)/100))),0,(IF(B942=C942,Y942/C942,(INT(Y942/B942)+(((Y942-B942*INT(Y942/B942)))/C942)/100))))</f>
        <v>0</v>
      </c>
      <c r="BL942" s="57">
        <f>IF(ISERROR(IF(B942=C942,AA942/C942,(INT(AA942/B942)+(((AA942-B942*INT(AA942/B942)))/C942)/100))),0,(IF(B942=C942,AA942/C942,(INT(AA942/B942)+(((AA942-B942*INT(AA942/B942)))/C942)/100))))</f>
        <v>0</v>
      </c>
      <c r="BM942" s="57">
        <f>IF(ISERROR(IF(B942=C942,AB942/C942,(INT(AB942/B942)+(((AB942-B942*INT(AB942/B942)))/C942)/100))),0,(IF(B942=C942,AB942/C942,(INT(AB942/B942)+(((AB942-B942*INT(AB942/B942)))/C942)/100))))</f>
        <v>0</v>
      </c>
      <c r="BN942" s="57">
        <f>IF(ISERROR(IF(B942=C942,AC942/C942,(INT(AC942/B942)+(((AC942-B942*INT(AC942/B942)))/C942)/100))),0,(IF(B942=C942,AC942/C942,(INT(AC942/B942)+(((AC942-B942*INT(AC942/B942)))/C942)/100))))</f>
        <v>0</v>
      </c>
      <c r="BO942" s="57">
        <f>IF(ISERROR(IF(B942=C942,AD942/C942,(INT(AD942/B942)+(((AD942-B942*INT(AD942/B942)))/C942)/100))),0,(IF(B942=C942,AD942/C942,(INT(AD942/B942)+(((AD942-B942*INT(AD942/B942)))/C942)/100))))</f>
        <v>0</v>
      </c>
      <c r="BQ942" s="124" t="s">
        <v>81</v>
      </c>
    </row>
    <row r="943" spans="1:69" hidden="1" x14ac:dyDescent="0.35">
      <c r="A943" s="94"/>
      <c r="B943" s="113">
        <v>0</v>
      </c>
      <c r="C943" s="113">
        <v>0</v>
      </c>
      <c r="D943" s="28">
        <f>SUM(AA943:AD943)</f>
        <v>0</v>
      </c>
      <c r="E943" s="125">
        <v>0</v>
      </c>
      <c r="F943" s="113">
        <v>0</v>
      </c>
      <c r="G943" s="28">
        <f>SUM(D943:F943)</f>
        <v>0</v>
      </c>
      <c r="H943" s="125">
        <v>0</v>
      </c>
      <c r="I943" s="125">
        <v>0</v>
      </c>
      <c r="J943" s="125">
        <v>0</v>
      </c>
      <c r="K943" s="125">
        <v>0</v>
      </c>
      <c r="L943" s="113">
        <v>0</v>
      </c>
      <c r="M943" s="113">
        <v>0</v>
      </c>
      <c r="N943" s="28">
        <f>G943-SUM(H943:M943)</f>
        <v>0</v>
      </c>
      <c r="O943" s="28">
        <f>SUM(V943:Y943)</f>
        <v>0</v>
      </c>
      <c r="P943" s="28">
        <f>O943-N943</f>
        <v>0</v>
      </c>
      <c r="Q943" s="61" t="str">
        <f>IF(ISERROR(P943/SUM(H943:L943)),"",P943/SUM(H943:L943))</f>
        <v/>
      </c>
      <c r="R943" s="113">
        <v>0</v>
      </c>
      <c r="S943" s="28">
        <f>IF(ISERROR(P943/C943*R943),0,(P943/C943*R943))</f>
        <v>0</v>
      </c>
      <c r="T943" s="60">
        <f>IF(ISERROR(P943/B943*AF943),0,(P943/B943*AF943))</f>
        <v>0</v>
      </c>
      <c r="V943" s="113">
        <v>0</v>
      </c>
      <c r="W943" s="113">
        <v>0</v>
      </c>
      <c r="X943" s="113">
        <v>0</v>
      </c>
      <c r="Y943" s="113">
        <v>0</v>
      </c>
      <c r="AA943" s="113">
        <v>0</v>
      </c>
      <c r="AB943" s="113">
        <v>0</v>
      </c>
      <c r="AC943" s="113">
        <v>0</v>
      </c>
      <c r="AD943" s="113">
        <v>0</v>
      </c>
      <c r="AF943" s="54">
        <v>0</v>
      </c>
      <c r="AG943" s="28">
        <f>G943-O943</f>
        <v>0</v>
      </c>
      <c r="AH943" s="58">
        <f>IF(ISERROR(AG943/B943*AF943),0,(AG943/B943*AF943))</f>
        <v>0</v>
      </c>
      <c r="AI943" s="28">
        <f>SUM(H943:M943)</f>
        <v>0</v>
      </c>
      <c r="AJ943" s="28">
        <f>IF(ISERROR(AI943/B943*AF943),0,(AI943/B943*AF943))</f>
        <v>0</v>
      </c>
      <c r="AK943" s="58">
        <f>IF(ISERROR(O943/B943*AF943),0,(O943/B943*AF943))</f>
        <v>0</v>
      </c>
      <c r="AL943" s="28">
        <f>IF(ISERROR(H943/B943*AF943),0,(H943/B943*AF943))</f>
        <v>0</v>
      </c>
      <c r="AN943" s="51">
        <f>A943</f>
        <v>0</v>
      </c>
      <c r="AO943" s="57">
        <f>IF(ISERROR(IF(B943=C943,D943/C943,(INT(D943/B943)+(((D943-B943*INT(D943/B943)))/C943)/100))),0,(IF(B943=C943,D943/C943,(INT(D943/B943)+(((D943-B943*INT(D943/B943)))/C943)/100))))</f>
        <v>0</v>
      </c>
      <c r="AP943" s="57">
        <f>IF(ISERROR(IF(B943=C943,E943/C943,(INT(E943/B943)+(((E943-B943*INT(E943/B943)))/C943)/100))),0,(IF(B943=C943,E943/C943,(INT(E943/B943)+(((E943-B943*INT(E943/B943)))/C943)/100))))</f>
        <v>0</v>
      </c>
      <c r="AQ943" s="57">
        <f>IF(ISERROR(IF(B943=C943,F943/C943,IF((INT(F943/B943)+(((F943-B943*INT(F943/B943)))/C943)/100)&lt;0,(INT(F943/B943)+(((F943-B943*INT(F943/B943)))/C943)/100)+(1-(B943/C943/100)),(INT(F943/B943)+(((F943-B943*INT(F943/B943)))/C943)/100)))),0,IF(B943=C943,F943/C943,IF((INT(F943/B943)+(((F943-B943*INT(F943/B943)))/C943)/100)&lt;0,(INT(F943/B943)+(((F943-B943*INT(F943/B943)))/C943)/100)+(1-(B943/C943/100)),(INT(F943/B943)+(((F943-B943*INT(F943/B943)))/C943)/100))))</f>
        <v>0</v>
      </c>
      <c r="AR943" s="57">
        <f>IF(ISERROR(IF(B943=C943,G943/C943,(INT(G943/B943)+(((G943-B943*INT(G943/B943)))/C943)/100))),0,(IF(B943=C943,G943/C943,(INT(G943/B943)+(((G943-B943*INT(G943/B943)))/C943)/100))))</f>
        <v>0</v>
      </c>
      <c r="AS943" s="57">
        <f>IF(ISERROR(IF(B943=C943,H943/C943,(INT(H943/B943)+(((H943-B943*INT(H943/B943)))/C943)/100))),0,(IF(B943=C943,H943/C943,(INT(H943/B943)+(((H943-B943*INT(H943/B943)))/C943)/100))))</f>
        <v>0</v>
      </c>
      <c r="AT943" s="57">
        <f>IF(ISERROR(IF(B943=C943,I943/C943,(INT(I943/B943)+(((I943-B943*INT(I943/B943)))/C943)/100))),0,(IF(B943=C943,I943/C943,(INT(I943/B943)+(((I943-B943*INT(I943/B943)))/C943)/100))))</f>
        <v>0</v>
      </c>
      <c r="AU943" s="57">
        <f>IF(ISERROR(IF(B943=C943,J943/C943,(INT(J943/B943)+(((J943-B943*INT(J943/B943)))/C943)/100))),0,(IF(B943=C943,J943/C943,(INT(J943/B943)+(((J943-B943*INT(J943/B943)))/C943)/100))))</f>
        <v>0</v>
      </c>
      <c r="AV943" s="57">
        <f>IF(ISERROR(IF(B943=C943,K943/C943,IF((INT(K943/B943)+(((K943-B943*INT(K943/B943)))/C943)/100)&lt;0,(INT(K943/B943)+(((K943-B943*INT(K943/B943)))/C943)/100)+(1-(B943/C943/100)),(INT(K943/B943)+(((K943-B943*INT(K943/B943)))/C943)/100)))),0,IF(B943=C943,K943/C943,IF((INT(K943/B943)+(((K943-B943*INT(K943/B943)))/C943)/100)&lt;0,(INT(K943/B943)+(((K943-B943*INT(K943/B943)))/C943)/100)+(1-(B943/C943/100)),(INT(K943/B943)+(((K943-B943*INT(K943/B943)))/C943)/100))))</f>
        <v>0</v>
      </c>
      <c r="AW943" s="57">
        <f>IF(ISERROR(IF(B943=C943,L943/C943,(INT(L943/B943)+(((L943-B943*INT(L943/B943)))/C943)/100))),0,(IF(B943=C943,L943/C943,(INT(L943/B943)+(((L943-B943*INT(L943/B943)))/C943)/100))))</f>
        <v>0</v>
      </c>
      <c r="AX943" s="57">
        <f>IF(ISERROR(IF(B943=C943,M943/C943,(INT(M943/B943)+(((M943-B943*INT(M943/B943)))/C943)/100))),0,(IF(B943=C943,M943/C943,(INT(M943/B943)+(((M943-B943*INT(M943/B943)))/C943)/100))))</f>
        <v>0</v>
      </c>
      <c r="AY943" s="57">
        <f>IF(ISERROR(IF(B943=C943,N943/C943,IF((INT(N943/B943)+(((N943-B943*INT(N943/B943)))/C943)/100)&lt;0,(INT(N943/B943)+(((N943-B943*INT(N943/B943)))/C943)/100)+(1-(B943/C943/100)),(INT(N943/B943)+(((N943-B943*INT(N943/B943)))/C943)/100)))),0,IF(B943=C943,N943/C943,IF((INT(N943/B943)+(((N943-B943*INT(N943/B943)))/C943)/100)&lt;0,(INT(N943/B943)+(((N943-B943*INT(N943/B943)))/C943)/100)+(1-(B943/C943/100)),(INT(N943/B943)+(((N943-B943*INT(N943/B943)))/C943)/100))))</f>
        <v>0</v>
      </c>
      <c r="AZ943" s="57">
        <f>IF(ISERROR(IF(B943=C943,O943/C943,(INT(O943/B943)+(((O943-B943*INT(O943/B943)))/C943)/100))),0,(IF(B943=C943,O943/C943,(INT(O943/B943)+(((O943-B943*INT(O943/B943)))/C943)/100))))</f>
        <v>0</v>
      </c>
      <c r="BA943" s="57">
        <f>IF(ISERROR(IF(B943=C943,P943/C943,IF((INT(P943/B943)+(((P943-B943*INT(P943/B943)))/C943)/100)&lt;0,(INT(P943/B943)+(((P943-B943*INT(P943/B943)))/C943)/100)+(1-(B943/C943/100)),(INT(P943/B943)+(((P943-B943*INT(P943/B943)))/C943)/100)))),0,IF(B943=C943,P943/C943,IF((INT(P943/B943)+(((P943-B943*INT(P943/B943)))/C943)/100)&lt;0,(INT(P943/B943)+(((P943-B943*INT(P943/B943)))/C943)/100)+(1-(B943/C943/100)),(INT(P943/B943)+(((P943-B943*INT(P943/B943)))/C943)/100))))</f>
        <v>0</v>
      </c>
      <c r="BB943" s="28">
        <f>R943</f>
        <v>0</v>
      </c>
      <c r="BC943" s="28">
        <f>S943</f>
        <v>0</v>
      </c>
      <c r="BD943" s="28">
        <f>AF943</f>
        <v>0</v>
      </c>
      <c r="BE943" s="28">
        <f>T943</f>
        <v>0</v>
      </c>
      <c r="BG943" s="57">
        <f>IF(ISERROR(IF(B943=C943,V943/C943,(INT(V943/B943)+(((V943-B943*INT(V943/B943)))/C943)/100))),0,(IF(B943=C943,V943/C943,(INT(V943/B943)+(((V943-B943*INT(V943/B943)))/C943)/100))))</f>
        <v>0</v>
      </c>
      <c r="BH943" s="57">
        <f>IF(ISERROR(IF(B943=C943,W943/C943,(INT(W943/B943)+(((W943-B943*INT(W943/B943)))/C943)/100))),0,(IF(B943=C943,W943/C943,(INT(W943/B943)+(((W943-B943*INT(W943/B943)))/C943)/100))))</f>
        <v>0</v>
      </c>
      <c r="BI943" s="57">
        <f>IF(ISERROR(IF(B943=C943,X943/C943,(INT(X943/B943)+(((X943-B943*INT(X943/B943)))/C943)/100))),0,(IF(B943=C943,X943/C943,(INT(X943/B943)+(((X943-B943*INT(X943/B943)))/C943)/100))))</f>
        <v>0</v>
      </c>
      <c r="BJ943" s="57">
        <f>IF(ISERROR(IF(B943=C943,Y943/C943,(INT(Y943/B943)+(((Y943-B943*INT(Y943/B943)))/C943)/100))),0,(IF(B943=C943,Y943/C943,(INT(Y943/B943)+(((Y943-B943*INT(Y943/B943)))/C943)/100))))</f>
        <v>0</v>
      </c>
      <c r="BL943" s="57">
        <f>IF(ISERROR(IF(B943=C943,AA943/C943,(INT(AA943/B943)+(((AA943-B943*INT(AA943/B943)))/C943)/100))),0,(IF(B943=C943,AA943/C943,(INT(AA943/B943)+(((AA943-B943*INT(AA943/B943)))/C943)/100))))</f>
        <v>0</v>
      </c>
      <c r="BM943" s="57">
        <f>IF(ISERROR(IF(B943=C943,AB943/C943,(INT(AB943/B943)+(((AB943-B943*INT(AB943/B943)))/C943)/100))),0,(IF(B943=C943,AB943/C943,(INT(AB943/B943)+(((AB943-B943*INT(AB943/B943)))/C943)/100))))</f>
        <v>0</v>
      </c>
      <c r="BN943" s="57">
        <f>IF(ISERROR(IF(B943=C943,AC943/C943,(INT(AC943/B943)+(((AC943-B943*INT(AC943/B943)))/C943)/100))),0,(IF(B943=C943,AC943/C943,(INT(AC943/B943)+(((AC943-B943*INT(AC943/B943)))/C943)/100))))</f>
        <v>0</v>
      </c>
      <c r="BO943" s="57">
        <f>IF(ISERROR(IF(B943=C943,AD943/C943,(INT(AD943/B943)+(((AD943-B943*INT(AD943/B943)))/C943)/100))),0,(IF(B943=C943,AD943/C943,(INT(AD943/B943)+(((AD943-B943*INT(AD943/B943)))/C943)/100))))</f>
        <v>0</v>
      </c>
      <c r="BQ943" s="124" t="s">
        <v>81</v>
      </c>
    </row>
    <row r="944" spans="1:69" hidden="1" x14ac:dyDescent="0.35">
      <c r="A944" s="94"/>
      <c r="B944" s="113">
        <v>0</v>
      </c>
      <c r="C944" s="113">
        <v>0</v>
      </c>
      <c r="D944" s="28">
        <f>SUM(AA944:AD944)</f>
        <v>0</v>
      </c>
      <c r="E944" s="125">
        <v>0</v>
      </c>
      <c r="F944" s="113">
        <v>0</v>
      </c>
      <c r="G944" s="28">
        <f>SUM(D944:F944)</f>
        <v>0</v>
      </c>
      <c r="H944" s="125">
        <v>0</v>
      </c>
      <c r="I944" s="125">
        <v>0</v>
      </c>
      <c r="J944" s="125">
        <v>0</v>
      </c>
      <c r="K944" s="125">
        <v>0</v>
      </c>
      <c r="L944" s="113">
        <v>0</v>
      </c>
      <c r="M944" s="113">
        <v>0</v>
      </c>
      <c r="N944" s="28">
        <f>G944-SUM(H944:M944)</f>
        <v>0</v>
      </c>
      <c r="O944" s="28">
        <f>SUM(V944:Y944)</f>
        <v>0</v>
      </c>
      <c r="P944" s="28">
        <f>O944-N944</f>
        <v>0</v>
      </c>
      <c r="Q944" s="61" t="str">
        <f>IF(ISERROR(P944/SUM(H944:L944)),"",P944/SUM(H944:L944))</f>
        <v/>
      </c>
      <c r="R944" s="113">
        <v>0</v>
      </c>
      <c r="S944" s="28">
        <f>IF(ISERROR(P944/C944*R944),0,(P944/C944*R944))</f>
        <v>0</v>
      </c>
      <c r="T944" s="60">
        <f>IF(ISERROR(P944/B944*AF944),0,(P944/B944*AF944))</f>
        <v>0</v>
      </c>
      <c r="V944" s="113">
        <v>0</v>
      </c>
      <c r="W944" s="113">
        <v>0</v>
      </c>
      <c r="X944" s="113">
        <v>0</v>
      </c>
      <c r="Y944" s="113">
        <v>0</v>
      </c>
      <c r="AA944" s="113">
        <v>0</v>
      </c>
      <c r="AB944" s="113">
        <v>0</v>
      </c>
      <c r="AC944" s="113">
        <v>0</v>
      </c>
      <c r="AD944" s="113">
        <v>0</v>
      </c>
      <c r="AF944" s="54">
        <v>0</v>
      </c>
      <c r="AG944" s="28">
        <f>G944-O944</f>
        <v>0</v>
      </c>
      <c r="AH944" s="58">
        <f>IF(ISERROR(AG944/B944*AF944),0,(AG944/B944*AF944))</f>
        <v>0</v>
      </c>
      <c r="AI944" s="28">
        <f>SUM(H944:M944)</f>
        <v>0</v>
      </c>
      <c r="AJ944" s="28">
        <f>IF(ISERROR(AI944/B944*AF944),0,(AI944/B944*AF944))</f>
        <v>0</v>
      </c>
      <c r="AK944" s="58">
        <f>IF(ISERROR(O944/B944*AF944),0,(O944/B944*AF944))</f>
        <v>0</v>
      </c>
      <c r="AL944" s="28">
        <f>IF(ISERROR(H944/B944*AF944),0,(H944/B944*AF944))</f>
        <v>0</v>
      </c>
      <c r="AN944" s="51">
        <f>A944</f>
        <v>0</v>
      </c>
      <c r="AO944" s="57">
        <f>IF(ISERROR(IF(B944=C944,D944/C944,(INT(D944/B944)+(((D944-B944*INT(D944/B944)))/C944)/100))),0,(IF(B944=C944,D944/C944,(INT(D944/B944)+(((D944-B944*INT(D944/B944)))/C944)/100))))</f>
        <v>0</v>
      </c>
      <c r="AP944" s="57">
        <f>IF(ISERROR(IF(B944=C944,E944/C944,(INT(E944/B944)+(((E944-B944*INT(E944/B944)))/C944)/100))),0,(IF(B944=C944,E944/C944,(INT(E944/B944)+(((E944-B944*INT(E944/B944)))/C944)/100))))</f>
        <v>0</v>
      </c>
      <c r="AQ944" s="57">
        <f>IF(ISERROR(IF(B944=C944,F944/C944,IF((INT(F944/B944)+(((F944-B944*INT(F944/B944)))/C944)/100)&lt;0,(INT(F944/B944)+(((F944-B944*INT(F944/B944)))/C944)/100)+(1-(B944/C944/100)),(INT(F944/B944)+(((F944-B944*INT(F944/B944)))/C944)/100)))),0,IF(B944=C944,F944/C944,IF((INT(F944/B944)+(((F944-B944*INT(F944/B944)))/C944)/100)&lt;0,(INT(F944/B944)+(((F944-B944*INT(F944/B944)))/C944)/100)+(1-(B944/C944/100)),(INT(F944/B944)+(((F944-B944*INT(F944/B944)))/C944)/100))))</f>
        <v>0</v>
      </c>
      <c r="AR944" s="57">
        <f>IF(ISERROR(IF(B944=C944,G944/C944,(INT(G944/B944)+(((G944-B944*INT(G944/B944)))/C944)/100))),0,(IF(B944=C944,G944/C944,(INT(G944/B944)+(((G944-B944*INT(G944/B944)))/C944)/100))))</f>
        <v>0</v>
      </c>
      <c r="AS944" s="57">
        <f>IF(ISERROR(IF(B944=C944,H944/C944,(INT(H944/B944)+(((H944-B944*INT(H944/B944)))/C944)/100))),0,(IF(B944=C944,H944/C944,(INT(H944/B944)+(((H944-B944*INT(H944/B944)))/C944)/100))))</f>
        <v>0</v>
      </c>
      <c r="AT944" s="57">
        <f>IF(ISERROR(IF(B944=C944,I944/C944,(INT(I944/B944)+(((I944-B944*INT(I944/B944)))/C944)/100))),0,(IF(B944=C944,I944/C944,(INT(I944/B944)+(((I944-B944*INT(I944/B944)))/C944)/100))))</f>
        <v>0</v>
      </c>
      <c r="AU944" s="57">
        <f>IF(ISERROR(IF(B944=C944,J944/C944,(INT(J944/B944)+(((J944-B944*INT(J944/B944)))/C944)/100))),0,(IF(B944=C944,J944/C944,(INT(J944/B944)+(((J944-B944*INT(J944/B944)))/C944)/100))))</f>
        <v>0</v>
      </c>
      <c r="AV944" s="57">
        <f>IF(ISERROR(IF(B944=C944,K944/C944,IF((INT(K944/B944)+(((K944-B944*INT(K944/B944)))/C944)/100)&lt;0,(INT(K944/B944)+(((K944-B944*INT(K944/B944)))/C944)/100)+(1-(B944/C944/100)),(INT(K944/B944)+(((K944-B944*INT(K944/B944)))/C944)/100)))),0,IF(B944=C944,K944/C944,IF((INT(K944/B944)+(((K944-B944*INT(K944/B944)))/C944)/100)&lt;0,(INT(K944/B944)+(((K944-B944*INT(K944/B944)))/C944)/100)+(1-(B944/C944/100)),(INT(K944/B944)+(((K944-B944*INT(K944/B944)))/C944)/100))))</f>
        <v>0</v>
      </c>
      <c r="AW944" s="57">
        <f>IF(ISERROR(IF(B944=C944,L944/C944,(INT(L944/B944)+(((L944-B944*INT(L944/B944)))/C944)/100))),0,(IF(B944=C944,L944/C944,(INT(L944/B944)+(((L944-B944*INT(L944/B944)))/C944)/100))))</f>
        <v>0</v>
      </c>
      <c r="AX944" s="57">
        <f>IF(ISERROR(IF(B944=C944,M944/C944,(INT(M944/B944)+(((M944-B944*INT(M944/B944)))/C944)/100))),0,(IF(B944=C944,M944/C944,(INT(M944/B944)+(((M944-B944*INT(M944/B944)))/C944)/100))))</f>
        <v>0</v>
      </c>
      <c r="AY944" s="57">
        <f>IF(ISERROR(IF(B944=C944,N944/C944,IF((INT(N944/B944)+(((N944-B944*INT(N944/B944)))/C944)/100)&lt;0,(INT(N944/B944)+(((N944-B944*INT(N944/B944)))/C944)/100)+(1-(B944/C944/100)),(INT(N944/B944)+(((N944-B944*INT(N944/B944)))/C944)/100)))),0,IF(B944=C944,N944/C944,IF((INT(N944/B944)+(((N944-B944*INT(N944/B944)))/C944)/100)&lt;0,(INT(N944/B944)+(((N944-B944*INT(N944/B944)))/C944)/100)+(1-(B944/C944/100)),(INT(N944/B944)+(((N944-B944*INT(N944/B944)))/C944)/100))))</f>
        <v>0</v>
      </c>
      <c r="AZ944" s="57">
        <f>IF(ISERROR(IF(B944=C944,O944/C944,(INT(O944/B944)+(((O944-B944*INT(O944/B944)))/C944)/100))),0,(IF(B944=C944,O944/C944,(INT(O944/B944)+(((O944-B944*INT(O944/B944)))/C944)/100))))</f>
        <v>0</v>
      </c>
      <c r="BA944" s="57">
        <f>IF(ISERROR(IF(B944=C944,P944/C944,IF((INT(P944/B944)+(((P944-B944*INT(P944/B944)))/C944)/100)&lt;0,(INT(P944/B944)+(((P944-B944*INT(P944/B944)))/C944)/100)+(1-(B944/C944/100)),(INT(P944/B944)+(((P944-B944*INT(P944/B944)))/C944)/100)))),0,IF(B944=C944,P944/C944,IF((INT(P944/B944)+(((P944-B944*INT(P944/B944)))/C944)/100)&lt;0,(INT(P944/B944)+(((P944-B944*INT(P944/B944)))/C944)/100)+(1-(B944/C944/100)),(INT(P944/B944)+(((P944-B944*INT(P944/B944)))/C944)/100))))</f>
        <v>0</v>
      </c>
      <c r="BB944" s="28">
        <f>R944</f>
        <v>0</v>
      </c>
      <c r="BC944" s="28">
        <f>S944</f>
        <v>0</v>
      </c>
      <c r="BD944" s="28">
        <f>AF944</f>
        <v>0</v>
      </c>
      <c r="BE944" s="28">
        <f>T944</f>
        <v>0</v>
      </c>
      <c r="BG944" s="57">
        <f>IF(ISERROR(IF(B944=C944,V944/C944,(INT(V944/B944)+(((V944-B944*INT(V944/B944)))/C944)/100))),0,(IF(B944=C944,V944/C944,(INT(V944/B944)+(((V944-B944*INT(V944/B944)))/C944)/100))))</f>
        <v>0</v>
      </c>
      <c r="BH944" s="57">
        <f>IF(ISERROR(IF(B944=C944,W944/C944,(INT(W944/B944)+(((W944-B944*INT(W944/B944)))/C944)/100))),0,(IF(B944=C944,W944/C944,(INT(W944/B944)+(((W944-B944*INT(W944/B944)))/C944)/100))))</f>
        <v>0</v>
      </c>
      <c r="BI944" s="57">
        <f>IF(ISERROR(IF(B944=C944,X944/C944,(INT(X944/B944)+(((X944-B944*INT(X944/B944)))/C944)/100))),0,(IF(B944=C944,X944/C944,(INT(X944/B944)+(((X944-B944*INT(X944/B944)))/C944)/100))))</f>
        <v>0</v>
      </c>
      <c r="BJ944" s="57">
        <f>IF(ISERROR(IF(B944=C944,Y944/C944,(INT(Y944/B944)+(((Y944-B944*INT(Y944/B944)))/C944)/100))),0,(IF(B944=C944,Y944/C944,(INT(Y944/B944)+(((Y944-B944*INT(Y944/B944)))/C944)/100))))</f>
        <v>0</v>
      </c>
      <c r="BL944" s="57">
        <f>IF(ISERROR(IF(B944=C944,AA944/C944,(INT(AA944/B944)+(((AA944-B944*INT(AA944/B944)))/C944)/100))),0,(IF(B944=C944,AA944/C944,(INT(AA944/B944)+(((AA944-B944*INT(AA944/B944)))/C944)/100))))</f>
        <v>0</v>
      </c>
      <c r="BM944" s="57">
        <f>IF(ISERROR(IF(B944=C944,AB944/C944,(INT(AB944/B944)+(((AB944-B944*INT(AB944/B944)))/C944)/100))),0,(IF(B944=C944,AB944/C944,(INT(AB944/B944)+(((AB944-B944*INT(AB944/B944)))/C944)/100))))</f>
        <v>0</v>
      </c>
      <c r="BN944" s="57">
        <f>IF(ISERROR(IF(B944=C944,AC944/C944,(INT(AC944/B944)+(((AC944-B944*INT(AC944/B944)))/C944)/100))),0,(IF(B944=C944,AC944/C944,(INT(AC944/B944)+(((AC944-B944*INT(AC944/B944)))/C944)/100))))</f>
        <v>0</v>
      </c>
      <c r="BO944" s="57">
        <f>IF(ISERROR(IF(B944=C944,AD944/C944,(INT(AD944/B944)+(((AD944-B944*INT(AD944/B944)))/C944)/100))),0,(IF(B944=C944,AD944/C944,(INT(AD944/B944)+(((AD944-B944*INT(AD944/B944)))/C944)/100))))</f>
        <v>0</v>
      </c>
      <c r="BQ944" s="124" t="s">
        <v>81</v>
      </c>
    </row>
    <row r="945" spans="1:69" hidden="1" x14ac:dyDescent="0.35">
      <c r="A945" s="94"/>
      <c r="B945" s="113">
        <v>0</v>
      </c>
      <c r="C945" s="113">
        <v>0</v>
      </c>
      <c r="D945" s="28">
        <f>SUM(AA945:AD945)</f>
        <v>0</v>
      </c>
      <c r="E945" s="125">
        <v>0</v>
      </c>
      <c r="F945" s="113">
        <v>0</v>
      </c>
      <c r="G945" s="28">
        <f>SUM(D945:F945)</f>
        <v>0</v>
      </c>
      <c r="H945" s="125">
        <v>0</v>
      </c>
      <c r="I945" s="125">
        <v>0</v>
      </c>
      <c r="J945" s="125">
        <v>0</v>
      </c>
      <c r="K945" s="125">
        <v>0</v>
      </c>
      <c r="L945" s="113">
        <v>0</v>
      </c>
      <c r="M945" s="113">
        <v>0</v>
      </c>
      <c r="N945" s="28">
        <f>G945-SUM(H945:M945)</f>
        <v>0</v>
      </c>
      <c r="O945" s="28">
        <f>SUM(V945:Y945)</f>
        <v>0</v>
      </c>
      <c r="P945" s="28">
        <f>O945-N945</f>
        <v>0</v>
      </c>
      <c r="Q945" s="61" t="str">
        <f>IF(ISERROR(P945/SUM(H945:L945)),"",P945/SUM(H945:L945))</f>
        <v/>
      </c>
      <c r="R945" s="113">
        <v>0</v>
      </c>
      <c r="S945" s="28">
        <f>IF(ISERROR(P945/C945*R945),0,(P945/C945*R945))</f>
        <v>0</v>
      </c>
      <c r="T945" s="60">
        <f>IF(ISERROR(P945/B945*AF945),0,(P945/B945*AF945))</f>
        <v>0</v>
      </c>
      <c r="V945" s="113">
        <v>0</v>
      </c>
      <c r="W945" s="113">
        <v>0</v>
      </c>
      <c r="X945" s="113">
        <v>0</v>
      </c>
      <c r="Y945" s="113">
        <v>0</v>
      </c>
      <c r="AA945" s="113">
        <v>0</v>
      </c>
      <c r="AB945" s="113">
        <v>0</v>
      </c>
      <c r="AC945" s="113">
        <v>0</v>
      </c>
      <c r="AD945" s="113">
        <v>0</v>
      </c>
      <c r="AF945" s="54">
        <v>0</v>
      </c>
      <c r="AG945" s="28">
        <f>G945-O945</f>
        <v>0</v>
      </c>
      <c r="AH945" s="58">
        <f>IF(ISERROR(AG945/B945*AF945),0,(AG945/B945*AF945))</f>
        <v>0</v>
      </c>
      <c r="AI945" s="28">
        <f>SUM(H945:M945)</f>
        <v>0</v>
      </c>
      <c r="AJ945" s="28">
        <f>IF(ISERROR(AI945/B945*AF945),0,(AI945/B945*AF945))</f>
        <v>0</v>
      </c>
      <c r="AK945" s="58">
        <f>IF(ISERROR(O945/B945*AF945),0,(O945/B945*AF945))</f>
        <v>0</v>
      </c>
      <c r="AL945" s="28">
        <f>IF(ISERROR(H945/B945*AF945),0,(H945/B945*AF945))</f>
        <v>0</v>
      </c>
      <c r="AN945" s="51">
        <f>A945</f>
        <v>0</v>
      </c>
      <c r="AO945" s="57">
        <f>IF(ISERROR(IF(B945=C945,D945/C945,(INT(D945/B945)+(((D945-B945*INT(D945/B945)))/C945)/100))),0,(IF(B945=C945,D945/C945,(INT(D945/B945)+(((D945-B945*INT(D945/B945)))/C945)/100))))</f>
        <v>0</v>
      </c>
      <c r="AP945" s="57">
        <f>IF(ISERROR(IF(B945=C945,E945/C945,(INT(E945/B945)+(((E945-B945*INT(E945/B945)))/C945)/100))),0,(IF(B945=C945,E945/C945,(INT(E945/B945)+(((E945-B945*INT(E945/B945)))/C945)/100))))</f>
        <v>0</v>
      </c>
      <c r="AQ945" s="57">
        <f>IF(ISERROR(IF(B945=C945,F945/C945,IF((INT(F945/B945)+(((F945-B945*INT(F945/B945)))/C945)/100)&lt;0,(INT(F945/B945)+(((F945-B945*INT(F945/B945)))/C945)/100)+(1-(B945/C945/100)),(INT(F945/B945)+(((F945-B945*INT(F945/B945)))/C945)/100)))),0,IF(B945=C945,F945/C945,IF((INT(F945/B945)+(((F945-B945*INT(F945/B945)))/C945)/100)&lt;0,(INT(F945/B945)+(((F945-B945*INT(F945/B945)))/C945)/100)+(1-(B945/C945/100)),(INT(F945/B945)+(((F945-B945*INT(F945/B945)))/C945)/100))))</f>
        <v>0</v>
      </c>
      <c r="AR945" s="57">
        <f>IF(ISERROR(IF(B945=C945,G945/C945,(INT(G945/B945)+(((G945-B945*INT(G945/B945)))/C945)/100))),0,(IF(B945=C945,G945/C945,(INT(G945/B945)+(((G945-B945*INT(G945/B945)))/C945)/100))))</f>
        <v>0</v>
      </c>
      <c r="AS945" s="57">
        <f>IF(ISERROR(IF(B945=C945,H945/C945,(INT(H945/B945)+(((H945-B945*INT(H945/B945)))/C945)/100))),0,(IF(B945=C945,H945/C945,(INT(H945/B945)+(((H945-B945*INT(H945/B945)))/C945)/100))))</f>
        <v>0</v>
      </c>
      <c r="AT945" s="57">
        <f>IF(ISERROR(IF(B945=C945,I945/C945,(INT(I945/B945)+(((I945-B945*INT(I945/B945)))/C945)/100))),0,(IF(B945=C945,I945/C945,(INT(I945/B945)+(((I945-B945*INT(I945/B945)))/C945)/100))))</f>
        <v>0</v>
      </c>
      <c r="AU945" s="57">
        <f>IF(ISERROR(IF(B945=C945,J945/C945,(INT(J945/B945)+(((J945-B945*INT(J945/B945)))/C945)/100))),0,(IF(B945=C945,J945/C945,(INT(J945/B945)+(((J945-B945*INT(J945/B945)))/C945)/100))))</f>
        <v>0</v>
      </c>
      <c r="AV945" s="57">
        <f>IF(ISERROR(IF(B945=C945,K945/C945,IF((INT(K945/B945)+(((K945-B945*INT(K945/B945)))/C945)/100)&lt;0,(INT(K945/B945)+(((K945-B945*INT(K945/B945)))/C945)/100)+(1-(B945/C945/100)),(INT(K945/B945)+(((K945-B945*INT(K945/B945)))/C945)/100)))),0,IF(B945=C945,K945/C945,IF((INT(K945/B945)+(((K945-B945*INT(K945/B945)))/C945)/100)&lt;0,(INT(K945/B945)+(((K945-B945*INT(K945/B945)))/C945)/100)+(1-(B945/C945/100)),(INT(K945/B945)+(((K945-B945*INT(K945/B945)))/C945)/100))))</f>
        <v>0</v>
      </c>
      <c r="AW945" s="57">
        <f>IF(ISERROR(IF(B945=C945,L945/C945,(INT(L945/B945)+(((L945-B945*INT(L945/B945)))/C945)/100))),0,(IF(B945=C945,L945/C945,(INT(L945/B945)+(((L945-B945*INT(L945/B945)))/C945)/100))))</f>
        <v>0</v>
      </c>
      <c r="AX945" s="57">
        <f>IF(ISERROR(IF(B945=C945,M945/C945,(INT(M945/B945)+(((M945-B945*INT(M945/B945)))/C945)/100))),0,(IF(B945=C945,M945/C945,(INT(M945/B945)+(((M945-B945*INT(M945/B945)))/C945)/100))))</f>
        <v>0</v>
      </c>
      <c r="AY945" s="57">
        <f>IF(ISERROR(IF(B945=C945,N945/C945,IF((INT(N945/B945)+(((N945-B945*INT(N945/B945)))/C945)/100)&lt;0,(INT(N945/B945)+(((N945-B945*INT(N945/B945)))/C945)/100)+(1-(B945/C945/100)),(INT(N945/B945)+(((N945-B945*INT(N945/B945)))/C945)/100)))),0,IF(B945=C945,N945/C945,IF((INT(N945/B945)+(((N945-B945*INT(N945/B945)))/C945)/100)&lt;0,(INT(N945/B945)+(((N945-B945*INT(N945/B945)))/C945)/100)+(1-(B945/C945/100)),(INT(N945/B945)+(((N945-B945*INT(N945/B945)))/C945)/100))))</f>
        <v>0</v>
      </c>
      <c r="AZ945" s="57">
        <f>IF(ISERROR(IF(B945=C945,O945/C945,(INT(O945/B945)+(((O945-B945*INT(O945/B945)))/C945)/100))),0,(IF(B945=C945,O945/C945,(INT(O945/B945)+(((O945-B945*INT(O945/B945)))/C945)/100))))</f>
        <v>0</v>
      </c>
      <c r="BA945" s="57">
        <f>IF(ISERROR(IF(B945=C945,P945/C945,IF((INT(P945/B945)+(((P945-B945*INT(P945/B945)))/C945)/100)&lt;0,(INT(P945/B945)+(((P945-B945*INT(P945/B945)))/C945)/100)+(1-(B945/C945/100)),(INT(P945/B945)+(((P945-B945*INT(P945/B945)))/C945)/100)))),0,IF(B945=C945,P945/C945,IF((INT(P945/B945)+(((P945-B945*INT(P945/B945)))/C945)/100)&lt;0,(INT(P945/B945)+(((P945-B945*INT(P945/B945)))/C945)/100)+(1-(B945/C945/100)),(INT(P945/B945)+(((P945-B945*INT(P945/B945)))/C945)/100))))</f>
        <v>0</v>
      </c>
      <c r="BB945" s="28">
        <f>R945</f>
        <v>0</v>
      </c>
      <c r="BC945" s="28">
        <f>S945</f>
        <v>0</v>
      </c>
      <c r="BD945" s="28">
        <f>AF945</f>
        <v>0</v>
      </c>
      <c r="BE945" s="28">
        <f>T945</f>
        <v>0</v>
      </c>
      <c r="BG945" s="57">
        <f>IF(ISERROR(IF(B945=C945,V945/C945,(INT(V945/B945)+(((V945-B945*INT(V945/B945)))/C945)/100))),0,(IF(B945=C945,V945/C945,(INT(V945/B945)+(((V945-B945*INT(V945/B945)))/C945)/100))))</f>
        <v>0</v>
      </c>
      <c r="BH945" s="57">
        <f>IF(ISERROR(IF(B945=C945,W945/C945,(INT(W945/B945)+(((W945-B945*INT(W945/B945)))/C945)/100))),0,(IF(B945=C945,W945/C945,(INT(W945/B945)+(((W945-B945*INT(W945/B945)))/C945)/100))))</f>
        <v>0</v>
      </c>
      <c r="BI945" s="57">
        <f>IF(ISERROR(IF(B945=C945,X945/C945,(INT(X945/B945)+(((X945-B945*INT(X945/B945)))/C945)/100))),0,(IF(B945=C945,X945/C945,(INT(X945/B945)+(((X945-B945*INT(X945/B945)))/C945)/100))))</f>
        <v>0</v>
      </c>
      <c r="BJ945" s="57">
        <f>IF(ISERROR(IF(B945=C945,Y945/C945,(INT(Y945/B945)+(((Y945-B945*INT(Y945/B945)))/C945)/100))),0,(IF(B945=C945,Y945/C945,(INT(Y945/B945)+(((Y945-B945*INT(Y945/B945)))/C945)/100))))</f>
        <v>0</v>
      </c>
      <c r="BL945" s="57">
        <f>IF(ISERROR(IF(B945=C945,AA945/C945,(INT(AA945/B945)+(((AA945-B945*INT(AA945/B945)))/C945)/100))),0,(IF(B945=C945,AA945/C945,(INT(AA945/B945)+(((AA945-B945*INT(AA945/B945)))/C945)/100))))</f>
        <v>0</v>
      </c>
      <c r="BM945" s="57">
        <f>IF(ISERROR(IF(B945=C945,AB945/C945,(INT(AB945/B945)+(((AB945-B945*INT(AB945/B945)))/C945)/100))),0,(IF(B945=C945,AB945/C945,(INT(AB945/B945)+(((AB945-B945*INT(AB945/B945)))/C945)/100))))</f>
        <v>0</v>
      </c>
      <c r="BN945" s="57">
        <f>IF(ISERROR(IF(B945=C945,AC945/C945,(INT(AC945/B945)+(((AC945-B945*INT(AC945/B945)))/C945)/100))),0,(IF(B945=C945,AC945/C945,(INT(AC945/B945)+(((AC945-B945*INT(AC945/B945)))/C945)/100))))</f>
        <v>0</v>
      </c>
      <c r="BO945" s="57">
        <f>IF(ISERROR(IF(B945=C945,AD945/C945,(INT(AD945/B945)+(((AD945-B945*INT(AD945/B945)))/C945)/100))),0,(IF(B945=C945,AD945/C945,(INT(AD945/B945)+(((AD945-B945*INT(AD945/B945)))/C945)/100))))</f>
        <v>0</v>
      </c>
      <c r="BQ945" s="124" t="s">
        <v>81</v>
      </c>
    </row>
    <row r="946" spans="1:69" hidden="1" x14ac:dyDescent="0.35">
      <c r="A946" s="94"/>
      <c r="B946" s="113">
        <v>0</v>
      </c>
      <c r="C946" s="113">
        <v>0</v>
      </c>
      <c r="D946" s="28">
        <f>SUM(AA946:AD946)</f>
        <v>0</v>
      </c>
      <c r="E946" s="125">
        <v>0</v>
      </c>
      <c r="F946" s="113">
        <v>0</v>
      </c>
      <c r="G946" s="28">
        <f>SUM(D946:F946)</f>
        <v>0</v>
      </c>
      <c r="H946" s="125">
        <v>0</v>
      </c>
      <c r="I946" s="125">
        <v>0</v>
      </c>
      <c r="J946" s="125">
        <v>0</v>
      </c>
      <c r="K946" s="125">
        <v>0</v>
      </c>
      <c r="L946" s="113">
        <v>0</v>
      </c>
      <c r="M946" s="113">
        <v>0</v>
      </c>
      <c r="N946" s="28">
        <f>G946-SUM(H946:M946)</f>
        <v>0</v>
      </c>
      <c r="O946" s="28">
        <f>SUM(V946:Y946)</f>
        <v>0</v>
      </c>
      <c r="P946" s="28">
        <f>O946-N946</f>
        <v>0</v>
      </c>
      <c r="Q946" s="61" t="str">
        <f>IF(ISERROR(P946/SUM(H946:L946)),"",P946/SUM(H946:L946))</f>
        <v/>
      </c>
      <c r="R946" s="113">
        <v>0</v>
      </c>
      <c r="S946" s="28">
        <f>IF(ISERROR(P946/C946*R946),0,(P946/C946*R946))</f>
        <v>0</v>
      </c>
      <c r="T946" s="60">
        <f>IF(ISERROR(P946/B946*AF946),0,(P946/B946*AF946))</f>
        <v>0</v>
      </c>
      <c r="V946" s="113">
        <v>0</v>
      </c>
      <c r="W946" s="113">
        <v>0</v>
      </c>
      <c r="X946" s="113">
        <v>0</v>
      </c>
      <c r="Y946" s="113">
        <v>0</v>
      </c>
      <c r="AA946" s="113">
        <v>0</v>
      </c>
      <c r="AB946" s="113">
        <v>0</v>
      </c>
      <c r="AC946" s="113">
        <v>0</v>
      </c>
      <c r="AD946" s="113">
        <v>0</v>
      </c>
      <c r="AF946" s="54">
        <v>0</v>
      </c>
      <c r="AG946" s="28">
        <f>G946-O946</f>
        <v>0</v>
      </c>
      <c r="AH946" s="58">
        <f>IF(ISERROR(AG946/B946*AF946),0,(AG946/B946*AF946))</f>
        <v>0</v>
      </c>
      <c r="AI946" s="28">
        <f>SUM(H946:M946)</f>
        <v>0</v>
      </c>
      <c r="AJ946" s="28">
        <f>IF(ISERROR(AI946/B946*AF946),0,(AI946/B946*AF946))</f>
        <v>0</v>
      </c>
      <c r="AK946" s="58">
        <f>IF(ISERROR(O946/B946*AF946),0,(O946/B946*AF946))</f>
        <v>0</v>
      </c>
      <c r="AL946" s="28">
        <f>IF(ISERROR(H946/B946*AF946),0,(H946/B946*AF946))</f>
        <v>0</v>
      </c>
      <c r="AN946" s="51">
        <f>A946</f>
        <v>0</v>
      </c>
      <c r="AO946" s="57">
        <f>IF(ISERROR(IF(B946=C946,D946/C946,(INT(D946/B946)+(((D946-B946*INT(D946/B946)))/C946)/100))),0,(IF(B946=C946,D946/C946,(INT(D946/B946)+(((D946-B946*INT(D946/B946)))/C946)/100))))</f>
        <v>0</v>
      </c>
      <c r="AP946" s="57">
        <f>IF(ISERROR(IF(B946=C946,E946/C946,(INT(E946/B946)+(((E946-B946*INT(E946/B946)))/C946)/100))),0,(IF(B946=C946,E946/C946,(INT(E946/B946)+(((E946-B946*INT(E946/B946)))/C946)/100))))</f>
        <v>0</v>
      </c>
      <c r="AQ946" s="57">
        <f>IF(ISERROR(IF(B946=C946,F946/C946,IF((INT(F946/B946)+(((F946-B946*INT(F946/B946)))/C946)/100)&lt;0,(INT(F946/B946)+(((F946-B946*INT(F946/B946)))/C946)/100)+(1-(B946/C946/100)),(INT(F946/B946)+(((F946-B946*INT(F946/B946)))/C946)/100)))),0,IF(B946=C946,F946/C946,IF((INT(F946/B946)+(((F946-B946*INT(F946/B946)))/C946)/100)&lt;0,(INT(F946/B946)+(((F946-B946*INT(F946/B946)))/C946)/100)+(1-(B946/C946/100)),(INT(F946/B946)+(((F946-B946*INT(F946/B946)))/C946)/100))))</f>
        <v>0</v>
      </c>
      <c r="AR946" s="57">
        <f>IF(ISERROR(IF(B946=C946,G946/C946,(INT(G946/B946)+(((G946-B946*INT(G946/B946)))/C946)/100))),0,(IF(B946=C946,G946/C946,(INT(G946/B946)+(((G946-B946*INT(G946/B946)))/C946)/100))))</f>
        <v>0</v>
      </c>
      <c r="AS946" s="57">
        <f>IF(ISERROR(IF(B946=C946,H946/C946,(INT(H946/B946)+(((H946-B946*INT(H946/B946)))/C946)/100))),0,(IF(B946=C946,H946/C946,(INT(H946/B946)+(((H946-B946*INT(H946/B946)))/C946)/100))))</f>
        <v>0</v>
      </c>
      <c r="AT946" s="57">
        <f>IF(ISERROR(IF(B946=C946,I946/C946,(INT(I946/B946)+(((I946-B946*INT(I946/B946)))/C946)/100))),0,(IF(B946=C946,I946/C946,(INT(I946/B946)+(((I946-B946*INT(I946/B946)))/C946)/100))))</f>
        <v>0</v>
      </c>
      <c r="AU946" s="57">
        <f>IF(ISERROR(IF(B946=C946,J946/C946,(INT(J946/B946)+(((J946-B946*INT(J946/B946)))/C946)/100))),0,(IF(B946=C946,J946/C946,(INT(J946/B946)+(((J946-B946*INT(J946/B946)))/C946)/100))))</f>
        <v>0</v>
      </c>
      <c r="AV946" s="57">
        <f>IF(ISERROR(IF(B946=C946,K946/C946,IF((INT(K946/B946)+(((K946-B946*INT(K946/B946)))/C946)/100)&lt;0,(INT(K946/B946)+(((K946-B946*INT(K946/B946)))/C946)/100)+(1-(B946/C946/100)),(INT(K946/B946)+(((K946-B946*INT(K946/B946)))/C946)/100)))),0,IF(B946=C946,K946/C946,IF((INT(K946/B946)+(((K946-B946*INT(K946/B946)))/C946)/100)&lt;0,(INT(K946/B946)+(((K946-B946*INT(K946/B946)))/C946)/100)+(1-(B946/C946/100)),(INT(K946/B946)+(((K946-B946*INT(K946/B946)))/C946)/100))))</f>
        <v>0</v>
      </c>
      <c r="AW946" s="57">
        <f>IF(ISERROR(IF(B946=C946,L946/C946,(INT(L946/B946)+(((L946-B946*INT(L946/B946)))/C946)/100))),0,(IF(B946=C946,L946/C946,(INT(L946/B946)+(((L946-B946*INT(L946/B946)))/C946)/100))))</f>
        <v>0</v>
      </c>
      <c r="AX946" s="57">
        <f>IF(ISERROR(IF(B946=C946,M946/C946,(INT(M946/B946)+(((M946-B946*INT(M946/B946)))/C946)/100))),0,(IF(B946=C946,M946/C946,(INT(M946/B946)+(((M946-B946*INT(M946/B946)))/C946)/100))))</f>
        <v>0</v>
      </c>
      <c r="AY946" s="57">
        <f>IF(ISERROR(IF(B946=C946,N946/C946,IF((INT(N946/B946)+(((N946-B946*INT(N946/B946)))/C946)/100)&lt;0,(INT(N946/B946)+(((N946-B946*INT(N946/B946)))/C946)/100)+(1-(B946/C946/100)),(INT(N946/B946)+(((N946-B946*INT(N946/B946)))/C946)/100)))),0,IF(B946=C946,N946/C946,IF((INT(N946/B946)+(((N946-B946*INT(N946/B946)))/C946)/100)&lt;0,(INT(N946/B946)+(((N946-B946*INT(N946/B946)))/C946)/100)+(1-(B946/C946/100)),(INT(N946/B946)+(((N946-B946*INT(N946/B946)))/C946)/100))))</f>
        <v>0</v>
      </c>
      <c r="AZ946" s="57">
        <f>IF(ISERROR(IF(B946=C946,O946/C946,(INT(O946/B946)+(((O946-B946*INT(O946/B946)))/C946)/100))),0,(IF(B946=C946,O946/C946,(INT(O946/B946)+(((O946-B946*INT(O946/B946)))/C946)/100))))</f>
        <v>0</v>
      </c>
      <c r="BA946" s="57">
        <f>IF(ISERROR(IF(B946=C946,P946/C946,IF((INT(P946/B946)+(((P946-B946*INT(P946/B946)))/C946)/100)&lt;0,(INT(P946/B946)+(((P946-B946*INT(P946/B946)))/C946)/100)+(1-(B946/C946/100)),(INT(P946/B946)+(((P946-B946*INT(P946/B946)))/C946)/100)))),0,IF(B946=C946,P946/C946,IF((INT(P946/B946)+(((P946-B946*INT(P946/B946)))/C946)/100)&lt;0,(INT(P946/B946)+(((P946-B946*INT(P946/B946)))/C946)/100)+(1-(B946/C946/100)),(INT(P946/B946)+(((P946-B946*INT(P946/B946)))/C946)/100))))</f>
        <v>0</v>
      </c>
      <c r="BB946" s="28">
        <f>R946</f>
        <v>0</v>
      </c>
      <c r="BC946" s="28">
        <f>S946</f>
        <v>0</v>
      </c>
      <c r="BD946" s="28">
        <f>AF946</f>
        <v>0</v>
      </c>
      <c r="BE946" s="28">
        <f>T946</f>
        <v>0</v>
      </c>
      <c r="BG946" s="57">
        <f>IF(ISERROR(IF(B946=C946,V946/C946,(INT(V946/B946)+(((V946-B946*INT(V946/B946)))/C946)/100))),0,(IF(B946=C946,V946/C946,(INT(V946/B946)+(((V946-B946*INT(V946/B946)))/C946)/100))))</f>
        <v>0</v>
      </c>
      <c r="BH946" s="57">
        <f>IF(ISERROR(IF(B946=C946,W946/C946,(INT(W946/B946)+(((W946-B946*INT(W946/B946)))/C946)/100))),0,(IF(B946=C946,W946/C946,(INT(W946/B946)+(((W946-B946*INT(W946/B946)))/C946)/100))))</f>
        <v>0</v>
      </c>
      <c r="BI946" s="57">
        <f>IF(ISERROR(IF(B946=C946,X946/C946,(INT(X946/B946)+(((X946-B946*INT(X946/B946)))/C946)/100))),0,(IF(B946=C946,X946/C946,(INT(X946/B946)+(((X946-B946*INT(X946/B946)))/C946)/100))))</f>
        <v>0</v>
      </c>
      <c r="BJ946" s="57">
        <f>IF(ISERROR(IF(B946=C946,Y946/C946,(INT(Y946/B946)+(((Y946-B946*INT(Y946/B946)))/C946)/100))),0,(IF(B946=C946,Y946/C946,(INT(Y946/B946)+(((Y946-B946*INT(Y946/B946)))/C946)/100))))</f>
        <v>0</v>
      </c>
      <c r="BL946" s="57">
        <f>IF(ISERROR(IF(B946=C946,AA946/C946,(INT(AA946/B946)+(((AA946-B946*INT(AA946/B946)))/C946)/100))),0,(IF(B946=C946,AA946/C946,(INT(AA946/B946)+(((AA946-B946*INT(AA946/B946)))/C946)/100))))</f>
        <v>0</v>
      </c>
      <c r="BM946" s="57">
        <f>IF(ISERROR(IF(B946=C946,AB946/C946,(INT(AB946/B946)+(((AB946-B946*INT(AB946/B946)))/C946)/100))),0,(IF(B946=C946,AB946/C946,(INT(AB946/B946)+(((AB946-B946*INT(AB946/B946)))/C946)/100))))</f>
        <v>0</v>
      </c>
      <c r="BN946" s="57">
        <f>IF(ISERROR(IF(B946=C946,AC946/C946,(INT(AC946/B946)+(((AC946-B946*INT(AC946/B946)))/C946)/100))),0,(IF(B946=C946,AC946/C946,(INT(AC946/B946)+(((AC946-B946*INT(AC946/B946)))/C946)/100))))</f>
        <v>0</v>
      </c>
      <c r="BO946" s="57">
        <f>IF(ISERROR(IF(B946=C946,AD946/C946,(INT(AD946/B946)+(((AD946-B946*INT(AD946/B946)))/C946)/100))),0,(IF(B946=C946,AD946/C946,(INT(AD946/B946)+(((AD946-B946*INT(AD946/B946)))/C946)/100))))</f>
        <v>0</v>
      </c>
      <c r="BQ946" s="124" t="s">
        <v>81</v>
      </c>
    </row>
    <row r="947" spans="1:69" hidden="1" x14ac:dyDescent="0.35">
      <c r="A947" s="94"/>
      <c r="B947" s="113">
        <v>0</v>
      </c>
      <c r="C947" s="113">
        <v>0</v>
      </c>
      <c r="D947" s="28">
        <f>SUM(AA947:AD947)</f>
        <v>0</v>
      </c>
      <c r="E947" s="125">
        <v>0</v>
      </c>
      <c r="F947" s="113">
        <v>0</v>
      </c>
      <c r="G947" s="28">
        <f>SUM(D947:F947)</f>
        <v>0</v>
      </c>
      <c r="H947" s="125">
        <v>0</v>
      </c>
      <c r="I947" s="125">
        <v>0</v>
      </c>
      <c r="J947" s="125">
        <v>0</v>
      </c>
      <c r="K947" s="125">
        <v>0</v>
      </c>
      <c r="L947" s="113">
        <v>0</v>
      </c>
      <c r="M947" s="113">
        <v>0</v>
      </c>
      <c r="N947" s="28">
        <f>G947-SUM(H947:M947)</f>
        <v>0</v>
      </c>
      <c r="O947" s="28">
        <f>SUM(V947:Y947)</f>
        <v>0</v>
      </c>
      <c r="P947" s="28">
        <f>O947-N947</f>
        <v>0</v>
      </c>
      <c r="Q947" s="61" t="str">
        <f>IF(ISERROR(P947/SUM(H947:L947)),"",P947/SUM(H947:L947))</f>
        <v/>
      </c>
      <c r="R947" s="113">
        <v>0</v>
      </c>
      <c r="S947" s="28">
        <f>IF(ISERROR(P947/C947*R947),0,(P947/C947*R947))</f>
        <v>0</v>
      </c>
      <c r="T947" s="60">
        <f>IF(ISERROR(P947/B947*AF947),0,(P947/B947*AF947))</f>
        <v>0</v>
      </c>
      <c r="V947" s="113">
        <v>0</v>
      </c>
      <c r="W947" s="113">
        <v>0</v>
      </c>
      <c r="X947" s="113">
        <v>0</v>
      </c>
      <c r="Y947" s="113">
        <v>0</v>
      </c>
      <c r="AA947" s="113">
        <v>0</v>
      </c>
      <c r="AB947" s="113">
        <v>0</v>
      </c>
      <c r="AC947" s="113">
        <v>0</v>
      </c>
      <c r="AD947" s="113">
        <v>0</v>
      </c>
      <c r="AF947" s="54">
        <v>0</v>
      </c>
      <c r="AG947" s="28">
        <f>G947-O947</f>
        <v>0</v>
      </c>
      <c r="AH947" s="58">
        <f>IF(ISERROR(AG947/B947*AF947),0,(AG947/B947*AF947))</f>
        <v>0</v>
      </c>
      <c r="AI947" s="28">
        <f>SUM(H947:M947)</f>
        <v>0</v>
      </c>
      <c r="AJ947" s="28">
        <f>IF(ISERROR(AI947/B947*AF947),0,(AI947/B947*AF947))</f>
        <v>0</v>
      </c>
      <c r="AK947" s="58">
        <f>IF(ISERROR(O947/B947*AF947),0,(O947/B947*AF947))</f>
        <v>0</v>
      </c>
      <c r="AL947" s="28">
        <f>IF(ISERROR(H947/B947*AF947),0,(H947/B947*AF947))</f>
        <v>0</v>
      </c>
      <c r="AN947" s="51">
        <f>A947</f>
        <v>0</v>
      </c>
      <c r="AO947" s="57">
        <f>IF(ISERROR(IF(B947=C947,D947/C947,(INT(D947/B947)+(((D947-B947*INT(D947/B947)))/C947)/100))),0,(IF(B947=C947,D947/C947,(INT(D947/B947)+(((D947-B947*INT(D947/B947)))/C947)/100))))</f>
        <v>0</v>
      </c>
      <c r="AP947" s="57">
        <f>IF(ISERROR(IF(B947=C947,E947/C947,(INT(E947/B947)+(((E947-B947*INT(E947/B947)))/C947)/100))),0,(IF(B947=C947,E947/C947,(INT(E947/B947)+(((E947-B947*INT(E947/B947)))/C947)/100))))</f>
        <v>0</v>
      </c>
      <c r="AQ947" s="57">
        <f>IF(ISERROR(IF(B947=C947,F947/C947,IF((INT(F947/B947)+(((F947-B947*INT(F947/B947)))/C947)/100)&lt;0,(INT(F947/B947)+(((F947-B947*INT(F947/B947)))/C947)/100)+(1-(B947/C947/100)),(INT(F947/B947)+(((F947-B947*INT(F947/B947)))/C947)/100)))),0,IF(B947=C947,F947/C947,IF((INT(F947/B947)+(((F947-B947*INT(F947/B947)))/C947)/100)&lt;0,(INT(F947/B947)+(((F947-B947*INT(F947/B947)))/C947)/100)+(1-(B947/C947/100)),(INT(F947/B947)+(((F947-B947*INT(F947/B947)))/C947)/100))))</f>
        <v>0</v>
      </c>
      <c r="AR947" s="57">
        <f>IF(ISERROR(IF(B947=C947,G947/C947,(INT(G947/B947)+(((G947-B947*INT(G947/B947)))/C947)/100))),0,(IF(B947=C947,G947/C947,(INT(G947/B947)+(((G947-B947*INT(G947/B947)))/C947)/100))))</f>
        <v>0</v>
      </c>
      <c r="AS947" s="57">
        <f>IF(ISERROR(IF(B947=C947,H947/C947,(INT(H947/B947)+(((H947-B947*INT(H947/B947)))/C947)/100))),0,(IF(B947=C947,H947/C947,(INT(H947/B947)+(((H947-B947*INT(H947/B947)))/C947)/100))))</f>
        <v>0</v>
      </c>
      <c r="AT947" s="57">
        <f>IF(ISERROR(IF(B947=C947,I947/C947,(INT(I947/B947)+(((I947-B947*INT(I947/B947)))/C947)/100))),0,(IF(B947=C947,I947/C947,(INT(I947/B947)+(((I947-B947*INT(I947/B947)))/C947)/100))))</f>
        <v>0</v>
      </c>
      <c r="AU947" s="57">
        <f>IF(ISERROR(IF(B947=C947,J947/C947,(INT(J947/B947)+(((J947-B947*INT(J947/B947)))/C947)/100))),0,(IF(B947=C947,J947/C947,(INT(J947/B947)+(((J947-B947*INT(J947/B947)))/C947)/100))))</f>
        <v>0</v>
      </c>
      <c r="AV947" s="57">
        <f>IF(ISERROR(IF(B947=C947,K947/C947,IF((INT(K947/B947)+(((K947-B947*INT(K947/B947)))/C947)/100)&lt;0,(INT(K947/B947)+(((K947-B947*INT(K947/B947)))/C947)/100)+(1-(B947/C947/100)),(INT(K947/B947)+(((K947-B947*INT(K947/B947)))/C947)/100)))),0,IF(B947=C947,K947/C947,IF((INT(K947/B947)+(((K947-B947*INT(K947/B947)))/C947)/100)&lt;0,(INT(K947/B947)+(((K947-B947*INT(K947/B947)))/C947)/100)+(1-(B947/C947/100)),(INT(K947/B947)+(((K947-B947*INT(K947/B947)))/C947)/100))))</f>
        <v>0</v>
      </c>
      <c r="AW947" s="57">
        <f>IF(ISERROR(IF(B947=C947,L947/C947,(INT(L947/B947)+(((L947-B947*INT(L947/B947)))/C947)/100))),0,(IF(B947=C947,L947/C947,(INT(L947/B947)+(((L947-B947*INT(L947/B947)))/C947)/100))))</f>
        <v>0</v>
      </c>
      <c r="AX947" s="57">
        <f>IF(ISERROR(IF(B947=C947,M947/C947,(INT(M947/B947)+(((M947-B947*INT(M947/B947)))/C947)/100))),0,(IF(B947=C947,M947/C947,(INT(M947/B947)+(((M947-B947*INT(M947/B947)))/C947)/100))))</f>
        <v>0</v>
      </c>
      <c r="AY947" s="57">
        <f>IF(ISERROR(IF(B947=C947,N947/C947,IF((INT(N947/B947)+(((N947-B947*INT(N947/B947)))/C947)/100)&lt;0,(INT(N947/B947)+(((N947-B947*INT(N947/B947)))/C947)/100)+(1-(B947/C947/100)),(INT(N947/B947)+(((N947-B947*INT(N947/B947)))/C947)/100)))),0,IF(B947=C947,N947/C947,IF((INT(N947/B947)+(((N947-B947*INT(N947/B947)))/C947)/100)&lt;0,(INT(N947/B947)+(((N947-B947*INT(N947/B947)))/C947)/100)+(1-(B947/C947/100)),(INT(N947/B947)+(((N947-B947*INT(N947/B947)))/C947)/100))))</f>
        <v>0</v>
      </c>
      <c r="AZ947" s="57">
        <f>IF(ISERROR(IF(B947=C947,O947/C947,(INT(O947/B947)+(((O947-B947*INT(O947/B947)))/C947)/100))),0,(IF(B947=C947,O947/C947,(INT(O947/B947)+(((O947-B947*INT(O947/B947)))/C947)/100))))</f>
        <v>0</v>
      </c>
      <c r="BA947" s="57">
        <f>IF(ISERROR(IF(B947=C947,P947/C947,IF((INT(P947/B947)+(((P947-B947*INT(P947/B947)))/C947)/100)&lt;0,(INT(P947/B947)+(((P947-B947*INT(P947/B947)))/C947)/100)+(1-(B947/C947/100)),(INT(P947/B947)+(((P947-B947*INT(P947/B947)))/C947)/100)))),0,IF(B947=C947,P947/C947,IF((INT(P947/B947)+(((P947-B947*INT(P947/B947)))/C947)/100)&lt;0,(INT(P947/B947)+(((P947-B947*INT(P947/B947)))/C947)/100)+(1-(B947/C947/100)),(INT(P947/B947)+(((P947-B947*INT(P947/B947)))/C947)/100))))</f>
        <v>0</v>
      </c>
      <c r="BB947" s="28">
        <f>R947</f>
        <v>0</v>
      </c>
      <c r="BC947" s="28">
        <f>S947</f>
        <v>0</v>
      </c>
      <c r="BD947" s="28">
        <f>AF947</f>
        <v>0</v>
      </c>
      <c r="BE947" s="28">
        <f>T947</f>
        <v>0</v>
      </c>
      <c r="BG947" s="57">
        <f>IF(ISERROR(IF(B947=C947,V947/C947,(INT(V947/B947)+(((V947-B947*INT(V947/B947)))/C947)/100))),0,(IF(B947=C947,V947/C947,(INT(V947/B947)+(((V947-B947*INT(V947/B947)))/C947)/100))))</f>
        <v>0</v>
      </c>
      <c r="BH947" s="57">
        <f>IF(ISERROR(IF(B947=C947,W947/C947,(INT(W947/B947)+(((W947-B947*INT(W947/B947)))/C947)/100))),0,(IF(B947=C947,W947/C947,(INT(W947/B947)+(((W947-B947*INT(W947/B947)))/C947)/100))))</f>
        <v>0</v>
      </c>
      <c r="BI947" s="57">
        <f>IF(ISERROR(IF(B947=C947,X947/C947,(INT(X947/B947)+(((X947-B947*INT(X947/B947)))/C947)/100))),0,(IF(B947=C947,X947/C947,(INT(X947/B947)+(((X947-B947*INT(X947/B947)))/C947)/100))))</f>
        <v>0</v>
      </c>
      <c r="BJ947" s="57">
        <f>IF(ISERROR(IF(B947=C947,Y947/C947,(INT(Y947/B947)+(((Y947-B947*INT(Y947/B947)))/C947)/100))),0,(IF(B947=C947,Y947/C947,(INT(Y947/B947)+(((Y947-B947*INT(Y947/B947)))/C947)/100))))</f>
        <v>0</v>
      </c>
      <c r="BL947" s="57">
        <f>IF(ISERROR(IF(B947=C947,AA947/C947,(INT(AA947/B947)+(((AA947-B947*INT(AA947/B947)))/C947)/100))),0,(IF(B947=C947,AA947/C947,(INT(AA947/B947)+(((AA947-B947*INT(AA947/B947)))/C947)/100))))</f>
        <v>0</v>
      </c>
      <c r="BM947" s="57">
        <f>IF(ISERROR(IF(B947=C947,AB947/C947,(INT(AB947/B947)+(((AB947-B947*INT(AB947/B947)))/C947)/100))),0,(IF(B947=C947,AB947/C947,(INT(AB947/B947)+(((AB947-B947*INT(AB947/B947)))/C947)/100))))</f>
        <v>0</v>
      </c>
      <c r="BN947" s="57">
        <f>IF(ISERROR(IF(B947=C947,AC947/C947,(INT(AC947/B947)+(((AC947-B947*INT(AC947/B947)))/C947)/100))),0,(IF(B947=C947,AC947/C947,(INT(AC947/B947)+(((AC947-B947*INT(AC947/B947)))/C947)/100))))</f>
        <v>0</v>
      </c>
      <c r="BO947" s="57">
        <f>IF(ISERROR(IF(B947=C947,AD947/C947,(INT(AD947/B947)+(((AD947-B947*INT(AD947/B947)))/C947)/100))),0,(IF(B947=C947,AD947/C947,(INT(AD947/B947)+(((AD947-B947*INT(AD947/B947)))/C947)/100))))</f>
        <v>0</v>
      </c>
      <c r="BQ947" s="124" t="s">
        <v>81</v>
      </c>
    </row>
    <row r="948" spans="1:69" hidden="1" x14ac:dyDescent="0.35">
      <c r="A948" s="94"/>
      <c r="B948" s="113">
        <v>0</v>
      </c>
      <c r="C948" s="113">
        <v>0</v>
      </c>
      <c r="D948" s="28">
        <f>SUM(AA948:AD948)</f>
        <v>0</v>
      </c>
      <c r="E948" s="125">
        <v>0</v>
      </c>
      <c r="F948" s="113">
        <v>0</v>
      </c>
      <c r="G948" s="28">
        <f>SUM(D948:F948)</f>
        <v>0</v>
      </c>
      <c r="H948" s="125">
        <v>0</v>
      </c>
      <c r="I948" s="125">
        <v>0</v>
      </c>
      <c r="J948" s="125">
        <v>0</v>
      </c>
      <c r="K948" s="125">
        <v>0</v>
      </c>
      <c r="L948" s="113">
        <v>0</v>
      </c>
      <c r="M948" s="113">
        <v>0</v>
      </c>
      <c r="N948" s="28">
        <f>G948-SUM(H948:M948)</f>
        <v>0</v>
      </c>
      <c r="O948" s="28">
        <f>SUM(V948:Y948)</f>
        <v>0</v>
      </c>
      <c r="P948" s="28">
        <f>O948-N948</f>
        <v>0</v>
      </c>
      <c r="Q948" s="61" t="str">
        <f>IF(ISERROR(P948/SUM(H948:L948)),"",P948/SUM(H948:L948))</f>
        <v/>
      </c>
      <c r="R948" s="113">
        <v>0</v>
      </c>
      <c r="S948" s="28">
        <f>IF(ISERROR(P948/C948*R948),0,(P948/C948*R948))</f>
        <v>0</v>
      </c>
      <c r="T948" s="60">
        <f>IF(ISERROR(P948/B948*AF948),0,(P948/B948*AF948))</f>
        <v>0</v>
      </c>
      <c r="V948" s="113">
        <v>0</v>
      </c>
      <c r="W948" s="113">
        <v>0</v>
      </c>
      <c r="X948" s="113">
        <v>0</v>
      </c>
      <c r="Y948" s="113">
        <v>0</v>
      </c>
      <c r="AA948" s="113">
        <v>0</v>
      </c>
      <c r="AB948" s="113">
        <v>0</v>
      </c>
      <c r="AC948" s="113">
        <v>0</v>
      </c>
      <c r="AD948" s="113">
        <v>0</v>
      </c>
      <c r="AF948" s="54">
        <v>0</v>
      </c>
      <c r="AG948" s="28">
        <f>G948-O948</f>
        <v>0</v>
      </c>
      <c r="AH948" s="58">
        <f>IF(ISERROR(AG948/B948*AF948),0,(AG948/B948*AF948))</f>
        <v>0</v>
      </c>
      <c r="AI948" s="28">
        <f>SUM(H948:M948)</f>
        <v>0</v>
      </c>
      <c r="AJ948" s="28">
        <f>IF(ISERROR(AI948/B948*AF948),0,(AI948/B948*AF948))</f>
        <v>0</v>
      </c>
      <c r="AK948" s="58">
        <f>IF(ISERROR(O948/B948*AF948),0,(O948/B948*AF948))</f>
        <v>0</v>
      </c>
      <c r="AL948" s="28">
        <f>IF(ISERROR(H948/B948*AF948),0,(H948/B948*AF948))</f>
        <v>0</v>
      </c>
      <c r="AN948" s="51">
        <f>A948</f>
        <v>0</v>
      </c>
      <c r="AO948" s="57">
        <f>IF(ISERROR(IF(B948=C948,D948/C948,(INT(D948/B948)+(((D948-B948*INT(D948/B948)))/C948)/100))),0,(IF(B948=C948,D948/C948,(INT(D948/B948)+(((D948-B948*INT(D948/B948)))/C948)/100))))</f>
        <v>0</v>
      </c>
      <c r="AP948" s="57">
        <f>IF(ISERROR(IF(B948=C948,E948/C948,(INT(E948/B948)+(((E948-B948*INT(E948/B948)))/C948)/100))),0,(IF(B948=C948,E948/C948,(INT(E948/B948)+(((E948-B948*INT(E948/B948)))/C948)/100))))</f>
        <v>0</v>
      </c>
      <c r="AQ948" s="57">
        <f>IF(ISERROR(IF(B948=C948,F948/C948,IF((INT(F948/B948)+(((F948-B948*INT(F948/B948)))/C948)/100)&lt;0,(INT(F948/B948)+(((F948-B948*INT(F948/B948)))/C948)/100)+(1-(B948/C948/100)),(INT(F948/B948)+(((F948-B948*INT(F948/B948)))/C948)/100)))),0,IF(B948=C948,F948/C948,IF((INT(F948/B948)+(((F948-B948*INT(F948/B948)))/C948)/100)&lt;0,(INT(F948/B948)+(((F948-B948*INT(F948/B948)))/C948)/100)+(1-(B948/C948/100)),(INT(F948/B948)+(((F948-B948*INT(F948/B948)))/C948)/100))))</f>
        <v>0</v>
      </c>
      <c r="AR948" s="57">
        <f>IF(ISERROR(IF(B948=C948,G948/C948,(INT(G948/B948)+(((G948-B948*INT(G948/B948)))/C948)/100))),0,(IF(B948=C948,G948/C948,(INT(G948/B948)+(((G948-B948*INT(G948/B948)))/C948)/100))))</f>
        <v>0</v>
      </c>
      <c r="AS948" s="57">
        <f>IF(ISERROR(IF(B948=C948,H948/C948,(INT(H948/B948)+(((H948-B948*INT(H948/B948)))/C948)/100))),0,(IF(B948=C948,H948/C948,(INT(H948/B948)+(((H948-B948*INT(H948/B948)))/C948)/100))))</f>
        <v>0</v>
      </c>
      <c r="AT948" s="57">
        <f>IF(ISERROR(IF(B948=C948,I948/C948,(INT(I948/B948)+(((I948-B948*INT(I948/B948)))/C948)/100))),0,(IF(B948=C948,I948/C948,(INT(I948/B948)+(((I948-B948*INT(I948/B948)))/C948)/100))))</f>
        <v>0</v>
      </c>
      <c r="AU948" s="57">
        <f>IF(ISERROR(IF(B948=C948,J948/C948,(INT(J948/B948)+(((J948-B948*INT(J948/B948)))/C948)/100))),0,(IF(B948=C948,J948/C948,(INT(J948/B948)+(((J948-B948*INT(J948/B948)))/C948)/100))))</f>
        <v>0</v>
      </c>
      <c r="AV948" s="57">
        <f>IF(ISERROR(IF(B948=C948,K948/C948,IF((INT(K948/B948)+(((K948-B948*INT(K948/B948)))/C948)/100)&lt;0,(INT(K948/B948)+(((K948-B948*INT(K948/B948)))/C948)/100)+(1-(B948/C948/100)),(INT(K948/B948)+(((K948-B948*INT(K948/B948)))/C948)/100)))),0,IF(B948=C948,K948/C948,IF((INT(K948/B948)+(((K948-B948*INT(K948/B948)))/C948)/100)&lt;0,(INT(K948/B948)+(((K948-B948*INT(K948/B948)))/C948)/100)+(1-(B948/C948/100)),(INT(K948/B948)+(((K948-B948*INT(K948/B948)))/C948)/100))))</f>
        <v>0</v>
      </c>
      <c r="AW948" s="57">
        <f>IF(ISERROR(IF(B948=C948,L948/C948,(INT(L948/B948)+(((L948-B948*INT(L948/B948)))/C948)/100))),0,(IF(B948=C948,L948/C948,(INT(L948/B948)+(((L948-B948*INT(L948/B948)))/C948)/100))))</f>
        <v>0</v>
      </c>
      <c r="AX948" s="57">
        <f>IF(ISERROR(IF(B948=C948,M948/C948,(INT(M948/B948)+(((M948-B948*INT(M948/B948)))/C948)/100))),0,(IF(B948=C948,M948/C948,(INT(M948/B948)+(((M948-B948*INT(M948/B948)))/C948)/100))))</f>
        <v>0</v>
      </c>
      <c r="AY948" s="57">
        <f>IF(ISERROR(IF(B948=C948,N948/C948,IF((INT(N948/B948)+(((N948-B948*INT(N948/B948)))/C948)/100)&lt;0,(INT(N948/B948)+(((N948-B948*INT(N948/B948)))/C948)/100)+(1-(B948/C948/100)),(INT(N948/B948)+(((N948-B948*INT(N948/B948)))/C948)/100)))),0,IF(B948=C948,N948/C948,IF((INT(N948/B948)+(((N948-B948*INT(N948/B948)))/C948)/100)&lt;0,(INT(N948/B948)+(((N948-B948*INT(N948/B948)))/C948)/100)+(1-(B948/C948/100)),(INT(N948/B948)+(((N948-B948*INT(N948/B948)))/C948)/100))))</f>
        <v>0</v>
      </c>
      <c r="AZ948" s="57">
        <f>IF(ISERROR(IF(B948=C948,O948/C948,(INT(O948/B948)+(((O948-B948*INT(O948/B948)))/C948)/100))),0,(IF(B948=C948,O948/C948,(INT(O948/B948)+(((O948-B948*INT(O948/B948)))/C948)/100))))</f>
        <v>0</v>
      </c>
      <c r="BA948" s="57">
        <f>IF(ISERROR(IF(B948=C948,P948/C948,IF((INT(P948/B948)+(((P948-B948*INT(P948/B948)))/C948)/100)&lt;0,(INT(P948/B948)+(((P948-B948*INT(P948/B948)))/C948)/100)+(1-(B948/C948/100)),(INT(P948/B948)+(((P948-B948*INT(P948/B948)))/C948)/100)))),0,IF(B948=C948,P948/C948,IF((INT(P948/B948)+(((P948-B948*INT(P948/B948)))/C948)/100)&lt;0,(INT(P948/B948)+(((P948-B948*INT(P948/B948)))/C948)/100)+(1-(B948/C948/100)),(INT(P948/B948)+(((P948-B948*INT(P948/B948)))/C948)/100))))</f>
        <v>0</v>
      </c>
      <c r="BB948" s="28">
        <f>R948</f>
        <v>0</v>
      </c>
      <c r="BC948" s="28">
        <f>S948</f>
        <v>0</v>
      </c>
      <c r="BD948" s="28">
        <f>AF948</f>
        <v>0</v>
      </c>
      <c r="BE948" s="28">
        <f>T948</f>
        <v>0</v>
      </c>
      <c r="BG948" s="57">
        <f>IF(ISERROR(IF(B948=C948,V948/C948,(INT(V948/B948)+(((V948-B948*INT(V948/B948)))/C948)/100))),0,(IF(B948=C948,V948/C948,(INT(V948/B948)+(((V948-B948*INT(V948/B948)))/C948)/100))))</f>
        <v>0</v>
      </c>
      <c r="BH948" s="57">
        <f>IF(ISERROR(IF(B948=C948,W948/C948,(INT(W948/B948)+(((W948-B948*INT(W948/B948)))/C948)/100))),0,(IF(B948=C948,W948/C948,(INT(W948/B948)+(((W948-B948*INT(W948/B948)))/C948)/100))))</f>
        <v>0</v>
      </c>
      <c r="BI948" s="57">
        <f>IF(ISERROR(IF(B948=C948,X948/C948,(INT(X948/B948)+(((X948-B948*INT(X948/B948)))/C948)/100))),0,(IF(B948=C948,X948/C948,(INT(X948/B948)+(((X948-B948*INT(X948/B948)))/C948)/100))))</f>
        <v>0</v>
      </c>
      <c r="BJ948" s="57">
        <f>IF(ISERROR(IF(B948=C948,Y948/C948,(INT(Y948/B948)+(((Y948-B948*INT(Y948/B948)))/C948)/100))),0,(IF(B948=C948,Y948/C948,(INT(Y948/B948)+(((Y948-B948*INT(Y948/B948)))/C948)/100))))</f>
        <v>0</v>
      </c>
      <c r="BL948" s="57">
        <f>IF(ISERROR(IF(B948=C948,AA948/C948,(INT(AA948/B948)+(((AA948-B948*INT(AA948/B948)))/C948)/100))),0,(IF(B948=C948,AA948/C948,(INT(AA948/B948)+(((AA948-B948*INT(AA948/B948)))/C948)/100))))</f>
        <v>0</v>
      </c>
      <c r="BM948" s="57">
        <f>IF(ISERROR(IF(B948=C948,AB948/C948,(INT(AB948/B948)+(((AB948-B948*INT(AB948/B948)))/C948)/100))),0,(IF(B948=C948,AB948/C948,(INT(AB948/B948)+(((AB948-B948*INT(AB948/B948)))/C948)/100))))</f>
        <v>0</v>
      </c>
      <c r="BN948" s="57">
        <f>IF(ISERROR(IF(B948=C948,AC948/C948,(INT(AC948/B948)+(((AC948-B948*INT(AC948/B948)))/C948)/100))),0,(IF(B948=C948,AC948/C948,(INT(AC948/B948)+(((AC948-B948*INT(AC948/B948)))/C948)/100))))</f>
        <v>0</v>
      </c>
      <c r="BO948" s="57">
        <f>IF(ISERROR(IF(B948=C948,AD948/C948,(INT(AD948/B948)+(((AD948-B948*INT(AD948/B948)))/C948)/100))),0,(IF(B948=C948,AD948/C948,(INT(AD948/B948)+(((AD948-B948*INT(AD948/B948)))/C948)/100))))</f>
        <v>0</v>
      </c>
      <c r="BQ948" s="124" t="s">
        <v>81</v>
      </c>
    </row>
    <row r="949" spans="1:69" hidden="1" x14ac:dyDescent="0.35">
      <c r="A949" s="94"/>
      <c r="B949" s="113">
        <v>0</v>
      </c>
      <c r="C949" s="113">
        <v>0</v>
      </c>
      <c r="D949" s="28">
        <f>SUM(AA949:AD949)</f>
        <v>0</v>
      </c>
      <c r="E949" s="125">
        <v>0</v>
      </c>
      <c r="F949" s="113">
        <v>0</v>
      </c>
      <c r="G949" s="28">
        <f>SUM(D949:F949)</f>
        <v>0</v>
      </c>
      <c r="H949" s="125">
        <v>0</v>
      </c>
      <c r="I949" s="125">
        <v>0</v>
      </c>
      <c r="J949" s="125">
        <v>0</v>
      </c>
      <c r="K949" s="125">
        <v>0</v>
      </c>
      <c r="L949" s="113">
        <v>0</v>
      </c>
      <c r="M949" s="113">
        <v>0</v>
      </c>
      <c r="N949" s="28">
        <f>G949-SUM(H949:M949)</f>
        <v>0</v>
      </c>
      <c r="O949" s="28">
        <f>SUM(V949:Y949)</f>
        <v>0</v>
      </c>
      <c r="P949" s="28">
        <f>O949-N949</f>
        <v>0</v>
      </c>
      <c r="Q949" s="61" t="str">
        <f>IF(ISERROR(P949/SUM(H949:L949)),"",P949/SUM(H949:L949))</f>
        <v/>
      </c>
      <c r="R949" s="113">
        <v>0</v>
      </c>
      <c r="S949" s="28">
        <f>IF(ISERROR(P949/C949*R949),0,(P949/C949*R949))</f>
        <v>0</v>
      </c>
      <c r="T949" s="60">
        <f>IF(ISERROR(P949/B949*AF949),0,(P949/B949*AF949))</f>
        <v>0</v>
      </c>
      <c r="V949" s="113">
        <v>0</v>
      </c>
      <c r="W949" s="113">
        <v>0</v>
      </c>
      <c r="X949" s="113">
        <v>0</v>
      </c>
      <c r="Y949" s="113">
        <v>0</v>
      </c>
      <c r="AA949" s="113">
        <v>0</v>
      </c>
      <c r="AB949" s="113">
        <v>0</v>
      </c>
      <c r="AC949" s="113">
        <v>0</v>
      </c>
      <c r="AD949" s="113">
        <v>0</v>
      </c>
      <c r="AF949" s="54">
        <v>0</v>
      </c>
      <c r="AG949" s="28">
        <f>G949-O949</f>
        <v>0</v>
      </c>
      <c r="AH949" s="58">
        <f>IF(ISERROR(AG949/B949*AF949),0,(AG949/B949*AF949))</f>
        <v>0</v>
      </c>
      <c r="AI949" s="28">
        <f>SUM(H949:M949)</f>
        <v>0</v>
      </c>
      <c r="AJ949" s="28">
        <f>IF(ISERROR(AI949/B949*AF949),0,(AI949/B949*AF949))</f>
        <v>0</v>
      </c>
      <c r="AK949" s="58">
        <f>IF(ISERROR(O949/B949*AF949),0,(O949/B949*AF949))</f>
        <v>0</v>
      </c>
      <c r="AL949" s="28">
        <f>IF(ISERROR(H949/B949*AF949),0,(H949/B949*AF949))</f>
        <v>0</v>
      </c>
      <c r="AN949" s="51">
        <f>A949</f>
        <v>0</v>
      </c>
      <c r="AO949" s="57">
        <f>IF(ISERROR(IF(B949=C949,D949/C949,(INT(D949/B949)+(((D949-B949*INT(D949/B949)))/C949)/100))),0,(IF(B949=C949,D949/C949,(INT(D949/B949)+(((D949-B949*INT(D949/B949)))/C949)/100))))</f>
        <v>0</v>
      </c>
      <c r="AP949" s="57">
        <f>IF(ISERROR(IF(B949=C949,E949/C949,(INT(E949/B949)+(((E949-B949*INT(E949/B949)))/C949)/100))),0,(IF(B949=C949,E949/C949,(INT(E949/B949)+(((E949-B949*INT(E949/B949)))/C949)/100))))</f>
        <v>0</v>
      </c>
      <c r="AQ949" s="57">
        <f>IF(ISERROR(IF(B949=C949,F949/C949,IF((INT(F949/B949)+(((F949-B949*INT(F949/B949)))/C949)/100)&lt;0,(INT(F949/B949)+(((F949-B949*INT(F949/B949)))/C949)/100)+(1-(B949/C949/100)),(INT(F949/B949)+(((F949-B949*INT(F949/B949)))/C949)/100)))),0,IF(B949=C949,F949/C949,IF((INT(F949/B949)+(((F949-B949*INT(F949/B949)))/C949)/100)&lt;0,(INT(F949/B949)+(((F949-B949*INT(F949/B949)))/C949)/100)+(1-(B949/C949/100)),(INT(F949/B949)+(((F949-B949*INT(F949/B949)))/C949)/100))))</f>
        <v>0</v>
      </c>
      <c r="AR949" s="57">
        <f>IF(ISERROR(IF(B949=C949,G949/C949,(INT(G949/B949)+(((G949-B949*INT(G949/B949)))/C949)/100))),0,(IF(B949=C949,G949/C949,(INT(G949/B949)+(((G949-B949*INT(G949/B949)))/C949)/100))))</f>
        <v>0</v>
      </c>
      <c r="AS949" s="57">
        <f>IF(ISERROR(IF(B949=C949,H949/C949,(INT(H949/B949)+(((H949-B949*INT(H949/B949)))/C949)/100))),0,(IF(B949=C949,H949/C949,(INT(H949/B949)+(((H949-B949*INT(H949/B949)))/C949)/100))))</f>
        <v>0</v>
      </c>
      <c r="AT949" s="57">
        <f>IF(ISERROR(IF(B949=C949,I949/C949,(INT(I949/B949)+(((I949-B949*INT(I949/B949)))/C949)/100))),0,(IF(B949=C949,I949/C949,(INT(I949/B949)+(((I949-B949*INT(I949/B949)))/C949)/100))))</f>
        <v>0</v>
      </c>
      <c r="AU949" s="57">
        <f>IF(ISERROR(IF(B949=C949,J949/C949,(INT(J949/B949)+(((J949-B949*INT(J949/B949)))/C949)/100))),0,(IF(B949=C949,J949/C949,(INT(J949/B949)+(((J949-B949*INT(J949/B949)))/C949)/100))))</f>
        <v>0</v>
      </c>
      <c r="AV949" s="57">
        <f>IF(ISERROR(IF(B949=C949,K949/C949,IF((INT(K949/B949)+(((K949-B949*INT(K949/B949)))/C949)/100)&lt;0,(INT(K949/B949)+(((K949-B949*INT(K949/B949)))/C949)/100)+(1-(B949/C949/100)),(INT(K949/B949)+(((K949-B949*INT(K949/B949)))/C949)/100)))),0,IF(B949=C949,K949/C949,IF((INT(K949/B949)+(((K949-B949*INT(K949/B949)))/C949)/100)&lt;0,(INT(K949/B949)+(((K949-B949*INT(K949/B949)))/C949)/100)+(1-(B949/C949/100)),(INT(K949/B949)+(((K949-B949*INT(K949/B949)))/C949)/100))))</f>
        <v>0</v>
      </c>
      <c r="AW949" s="57">
        <f>IF(ISERROR(IF(B949=C949,L949/C949,(INT(L949/B949)+(((L949-B949*INT(L949/B949)))/C949)/100))),0,(IF(B949=C949,L949/C949,(INT(L949/B949)+(((L949-B949*INT(L949/B949)))/C949)/100))))</f>
        <v>0</v>
      </c>
      <c r="AX949" s="57">
        <f>IF(ISERROR(IF(B949=C949,M949/C949,(INT(M949/B949)+(((M949-B949*INT(M949/B949)))/C949)/100))),0,(IF(B949=C949,M949/C949,(INT(M949/B949)+(((M949-B949*INT(M949/B949)))/C949)/100))))</f>
        <v>0</v>
      </c>
      <c r="AY949" s="57">
        <f>IF(ISERROR(IF(B949=C949,N949/C949,IF((INT(N949/B949)+(((N949-B949*INT(N949/B949)))/C949)/100)&lt;0,(INT(N949/B949)+(((N949-B949*INT(N949/B949)))/C949)/100)+(1-(B949/C949/100)),(INT(N949/B949)+(((N949-B949*INT(N949/B949)))/C949)/100)))),0,IF(B949=C949,N949/C949,IF((INT(N949/B949)+(((N949-B949*INT(N949/B949)))/C949)/100)&lt;0,(INT(N949/B949)+(((N949-B949*INT(N949/B949)))/C949)/100)+(1-(B949/C949/100)),(INT(N949/B949)+(((N949-B949*INT(N949/B949)))/C949)/100))))</f>
        <v>0</v>
      </c>
      <c r="AZ949" s="57">
        <f>IF(ISERROR(IF(B949=C949,O949/C949,(INT(O949/B949)+(((O949-B949*INT(O949/B949)))/C949)/100))),0,(IF(B949=C949,O949/C949,(INT(O949/B949)+(((O949-B949*INT(O949/B949)))/C949)/100))))</f>
        <v>0</v>
      </c>
      <c r="BA949" s="57">
        <f>IF(ISERROR(IF(B949=C949,P949/C949,IF((INT(P949/B949)+(((P949-B949*INT(P949/B949)))/C949)/100)&lt;0,(INT(P949/B949)+(((P949-B949*INT(P949/B949)))/C949)/100)+(1-(B949/C949/100)),(INT(P949/B949)+(((P949-B949*INT(P949/B949)))/C949)/100)))),0,IF(B949=C949,P949/C949,IF((INT(P949/B949)+(((P949-B949*INT(P949/B949)))/C949)/100)&lt;0,(INT(P949/B949)+(((P949-B949*INT(P949/B949)))/C949)/100)+(1-(B949/C949/100)),(INT(P949/B949)+(((P949-B949*INT(P949/B949)))/C949)/100))))</f>
        <v>0</v>
      </c>
      <c r="BB949" s="28">
        <f>R949</f>
        <v>0</v>
      </c>
      <c r="BC949" s="28">
        <f>S949</f>
        <v>0</v>
      </c>
      <c r="BD949" s="28">
        <f>AF949</f>
        <v>0</v>
      </c>
      <c r="BE949" s="28">
        <f>T949</f>
        <v>0</v>
      </c>
      <c r="BG949" s="57">
        <f>IF(ISERROR(IF(B949=C949,V949/C949,(INT(V949/B949)+(((V949-B949*INT(V949/B949)))/C949)/100))),0,(IF(B949=C949,V949/C949,(INT(V949/B949)+(((V949-B949*INT(V949/B949)))/C949)/100))))</f>
        <v>0</v>
      </c>
      <c r="BH949" s="57">
        <f>IF(ISERROR(IF(B949=C949,W949/C949,(INT(W949/B949)+(((W949-B949*INT(W949/B949)))/C949)/100))),0,(IF(B949=C949,W949/C949,(INT(W949/B949)+(((W949-B949*INT(W949/B949)))/C949)/100))))</f>
        <v>0</v>
      </c>
      <c r="BI949" s="57">
        <f>IF(ISERROR(IF(B949=C949,X949/C949,(INT(X949/B949)+(((X949-B949*INT(X949/B949)))/C949)/100))),0,(IF(B949=C949,X949/C949,(INT(X949/B949)+(((X949-B949*INT(X949/B949)))/C949)/100))))</f>
        <v>0</v>
      </c>
      <c r="BJ949" s="57">
        <f>IF(ISERROR(IF(B949=C949,Y949/C949,(INT(Y949/B949)+(((Y949-B949*INT(Y949/B949)))/C949)/100))),0,(IF(B949=C949,Y949/C949,(INT(Y949/B949)+(((Y949-B949*INT(Y949/B949)))/C949)/100))))</f>
        <v>0</v>
      </c>
      <c r="BL949" s="57">
        <f>IF(ISERROR(IF(B949=C949,AA949/C949,(INT(AA949/B949)+(((AA949-B949*INT(AA949/B949)))/C949)/100))),0,(IF(B949=C949,AA949/C949,(INT(AA949/B949)+(((AA949-B949*INT(AA949/B949)))/C949)/100))))</f>
        <v>0</v>
      </c>
      <c r="BM949" s="57">
        <f>IF(ISERROR(IF(B949=C949,AB949/C949,(INT(AB949/B949)+(((AB949-B949*INT(AB949/B949)))/C949)/100))),0,(IF(B949=C949,AB949/C949,(INT(AB949/B949)+(((AB949-B949*INT(AB949/B949)))/C949)/100))))</f>
        <v>0</v>
      </c>
      <c r="BN949" s="57">
        <f>IF(ISERROR(IF(B949=C949,AC949/C949,(INT(AC949/B949)+(((AC949-B949*INT(AC949/B949)))/C949)/100))),0,(IF(B949=C949,AC949/C949,(INT(AC949/B949)+(((AC949-B949*INT(AC949/B949)))/C949)/100))))</f>
        <v>0</v>
      </c>
      <c r="BO949" s="57">
        <f>IF(ISERROR(IF(B949=C949,AD949/C949,(INT(AD949/B949)+(((AD949-B949*INT(AD949/B949)))/C949)/100))),0,(IF(B949=C949,AD949/C949,(INT(AD949/B949)+(((AD949-B949*INT(AD949/B949)))/C949)/100))))</f>
        <v>0</v>
      </c>
      <c r="BQ949" s="124" t="s">
        <v>81</v>
      </c>
    </row>
    <row r="950" spans="1:69" hidden="1" x14ac:dyDescent="0.35">
      <c r="A950" s="94"/>
      <c r="B950" s="113"/>
      <c r="C950" s="113"/>
      <c r="D950" s="28"/>
      <c r="E950" s="125"/>
      <c r="F950" s="93"/>
      <c r="G950" s="28"/>
      <c r="H950" s="125"/>
      <c r="I950" s="125"/>
      <c r="J950" s="125"/>
      <c r="K950" s="125"/>
      <c r="L950" s="93"/>
      <c r="M950" s="93"/>
      <c r="N950" s="28"/>
      <c r="O950" s="28"/>
      <c r="P950" s="28"/>
      <c r="Q950" s="61"/>
      <c r="R950" s="54"/>
      <c r="S950" s="28"/>
      <c r="T950" s="28"/>
      <c r="V950" s="93"/>
      <c r="W950" s="93"/>
      <c r="X950" s="93"/>
      <c r="Y950" s="93"/>
      <c r="AA950" s="93"/>
      <c r="AB950" s="93"/>
      <c r="AC950" s="93"/>
      <c r="AD950" s="93"/>
      <c r="AF950" s="67"/>
      <c r="AG950" s="28"/>
      <c r="AH950" s="58"/>
      <c r="AI950" s="28"/>
      <c r="AJ950" s="28"/>
      <c r="AK950" s="58"/>
      <c r="AL950" s="28"/>
      <c r="AN950" s="51"/>
      <c r="AO950" s="28"/>
      <c r="AP950" s="28"/>
      <c r="AQ950" s="28"/>
      <c r="AR950" s="28"/>
      <c r="AS950" s="28"/>
      <c r="AT950" s="28"/>
      <c r="AU950" s="28"/>
      <c r="AV950" s="28"/>
      <c r="AW950" s="28"/>
      <c r="AX950" s="28"/>
      <c r="AY950" s="28"/>
      <c r="AZ950" s="28"/>
      <c r="BA950" s="28"/>
      <c r="BB950" s="33"/>
      <c r="BC950" s="28"/>
      <c r="BD950" s="28"/>
      <c r="BE950" s="28"/>
      <c r="BG950" s="33"/>
      <c r="BH950" s="33"/>
      <c r="BI950" s="33"/>
      <c r="BJ950" s="33"/>
      <c r="BL950" s="33"/>
      <c r="BM950" s="33"/>
      <c r="BN950" s="33"/>
      <c r="BO950" s="33"/>
      <c r="BQ950" s="124" t="s">
        <v>81</v>
      </c>
    </row>
    <row r="951" spans="1:69" hidden="1" x14ac:dyDescent="0.35">
      <c r="A951" s="133" t="s">
        <v>82</v>
      </c>
      <c r="B951" s="132"/>
      <c r="C951" s="132"/>
      <c r="D951" s="83"/>
      <c r="E951" s="131"/>
      <c r="F951" s="129"/>
      <c r="G951" s="83"/>
      <c r="H951" s="131"/>
      <c r="I951" s="131"/>
      <c r="J951" s="131"/>
      <c r="K951" s="131"/>
      <c r="L951" s="129"/>
      <c r="M951" s="129"/>
      <c r="N951" s="83"/>
      <c r="O951" s="83"/>
      <c r="P951" s="83"/>
      <c r="Q951" s="130"/>
      <c r="R951" s="89"/>
      <c r="S951" s="34">
        <f>SUBTOTAL(9,S899:S950)</f>
        <v>0</v>
      </c>
      <c r="T951" s="34">
        <f>SUBTOTAL(9,T899:T950)</f>
        <v>0</v>
      </c>
      <c r="V951" s="129"/>
      <c r="W951" s="129"/>
      <c r="X951" s="129"/>
      <c r="Y951" s="129"/>
      <c r="AA951" s="129"/>
      <c r="AB951" s="129"/>
      <c r="AC951" s="129"/>
      <c r="AD951" s="129"/>
      <c r="AF951" s="128"/>
      <c r="AG951" s="83"/>
      <c r="AH951" s="127">
        <f>SUBTOTAL(9,AH899:AH950)</f>
        <v>0</v>
      </c>
      <c r="AI951" s="34"/>
      <c r="AJ951" s="127">
        <f>SUBTOTAL(9,AJ899:AJ950)</f>
        <v>0</v>
      </c>
      <c r="AK951" s="127">
        <f>SUBTOTAL(9,AK899:AK950)</f>
        <v>0</v>
      </c>
      <c r="AL951" s="34">
        <f>SUBTOTAL(9,AL899:AL950)</f>
        <v>0</v>
      </c>
      <c r="AN951" s="84" t="str">
        <f>A951</f>
        <v>Total Syrups</v>
      </c>
      <c r="AO951" s="83"/>
      <c r="AP951" s="83"/>
      <c r="AQ951" s="83"/>
      <c r="AR951" s="83"/>
      <c r="AS951" s="83"/>
      <c r="AT951" s="83"/>
      <c r="AU951" s="83"/>
      <c r="AV951" s="83"/>
      <c r="AW951" s="83"/>
      <c r="AX951" s="83"/>
      <c r="AY951" s="83"/>
      <c r="AZ951" s="83"/>
      <c r="BA951" s="83"/>
      <c r="BB951" s="82"/>
      <c r="BC951" s="34">
        <f>S951</f>
        <v>0</v>
      </c>
      <c r="BD951" s="34"/>
      <c r="BE951" s="34">
        <f>T951</f>
        <v>0</v>
      </c>
      <c r="BG951" s="82"/>
      <c r="BH951" s="82"/>
      <c r="BI951" s="82"/>
      <c r="BJ951" s="82"/>
      <c r="BL951" s="82"/>
      <c r="BM951" s="82"/>
      <c r="BN951" s="82"/>
      <c r="BO951" s="82"/>
      <c r="BQ951" s="124" t="s">
        <v>81</v>
      </c>
    </row>
    <row r="952" spans="1:69" x14ac:dyDescent="0.35">
      <c r="A952" s="94"/>
      <c r="B952" s="113"/>
      <c r="C952" s="113"/>
      <c r="D952" s="28"/>
      <c r="E952" s="125"/>
      <c r="F952" s="93"/>
      <c r="G952" s="28"/>
      <c r="H952" s="125"/>
      <c r="I952" s="125"/>
      <c r="J952" s="125"/>
      <c r="K952" s="125"/>
      <c r="L952" s="93"/>
      <c r="M952" s="93"/>
      <c r="N952" s="28"/>
      <c r="O952" s="28"/>
      <c r="P952" s="28"/>
      <c r="Q952" s="61"/>
      <c r="R952" s="54"/>
      <c r="S952" s="28"/>
      <c r="T952" s="28"/>
      <c r="V952" s="93"/>
      <c r="W952" s="93"/>
      <c r="X952" s="93"/>
      <c r="Y952" s="93"/>
      <c r="AA952" s="93"/>
      <c r="AB952" s="93"/>
      <c r="AC952" s="93"/>
      <c r="AD952" s="93"/>
      <c r="AF952" s="67"/>
      <c r="AG952" s="28"/>
      <c r="AH952" s="58"/>
      <c r="AI952" s="28"/>
      <c r="AJ952" s="28"/>
      <c r="AK952" s="58"/>
      <c r="AL952" s="28"/>
      <c r="AN952" s="51"/>
      <c r="AO952" s="28"/>
      <c r="AP952" s="28"/>
      <c r="AQ952" s="28"/>
      <c r="AR952" s="28"/>
      <c r="AS952" s="28"/>
      <c r="AT952" s="28"/>
      <c r="AU952" s="28"/>
      <c r="AV952" s="28"/>
      <c r="AW952" s="28"/>
      <c r="AX952" s="28"/>
      <c r="AY952" s="28"/>
      <c r="AZ952" s="28"/>
      <c r="BA952" s="28"/>
      <c r="BB952" s="33"/>
      <c r="BC952" s="28"/>
      <c r="BD952" s="28"/>
      <c r="BE952" s="28"/>
      <c r="BG952" s="33"/>
      <c r="BH952" s="33"/>
      <c r="BI952" s="33"/>
      <c r="BJ952" s="33"/>
      <c r="BL952" s="33"/>
      <c r="BM952" s="33"/>
      <c r="BN952" s="33"/>
      <c r="BO952" s="33"/>
      <c r="BQ952" s="124"/>
    </row>
    <row r="953" spans="1:69" x14ac:dyDescent="0.35">
      <c r="A953" s="123" t="s">
        <v>80</v>
      </c>
      <c r="B953" s="122"/>
      <c r="C953" s="122"/>
      <c r="D953" s="40"/>
      <c r="E953" s="121"/>
      <c r="F953" s="119"/>
      <c r="G953" s="40"/>
      <c r="H953" s="121"/>
      <c r="I953" s="121"/>
      <c r="J953" s="121"/>
      <c r="K953" s="121"/>
      <c r="L953" s="119"/>
      <c r="M953" s="119"/>
      <c r="N953" s="40"/>
      <c r="O953" s="40"/>
      <c r="P953" s="40"/>
      <c r="Q953" s="120"/>
      <c r="R953" s="47"/>
      <c r="S953" s="117">
        <f>SUBTOTAL(9,S833:S952)</f>
        <v>-1351.081081081081</v>
      </c>
      <c r="T953" s="39">
        <f>SUBTOTAL(9,T833:T952)</f>
        <v>-415.80291666666665</v>
      </c>
      <c r="V953" s="119"/>
      <c r="W953" s="119"/>
      <c r="X953" s="119"/>
      <c r="Y953" s="119"/>
      <c r="AA953" s="119"/>
      <c r="AB953" s="119"/>
      <c r="AC953" s="119"/>
      <c r="AD953" s="119"/>
      <c r="AF953" s="118"/>
      <c r="AG953" s="40"/>
      <c r="AH953" s="117">
        <f>SUBTOTAL(9,AH833:AH952)</f>
        <v>999.85541666666666</v>
      </c>
      <c r="AI953" s="39"/>
      <c r="AJ953" s="117">
        <f>SUBTOTAL(9,AJ833:AJ952)</f>
        <v>584.05250000000001</v>
      </c>
      <c r="AK953" s="117">
        <f>SUBTOTAL(9,AK833:AK952)</f>
        <v>47826.18541666666</v>
      </c>
      <c r="AL953" s="39">
        <f>SUBTOTAL(9,AL833:AL952)</f>
        <v>485.65</v>
      </c>
      <c r="AN953" s="41" t="str">
        <f>A953</f>
        <v>Total Bev, Juices &amp; Syrups</v>
      </c>
      <c r="AO953" s="40"/>
      <c r="AP953" s="40"/>
      <c r="AQ953" s="40"/>
      <c r="AR953" s="40"/>
      <c r="AS953" s="40"/>
      <c r="AT953" s="40"/>
      <c r="AU953" s="40"/>
      <c r="AV953" s="40"/>
      <c r="AW953" s="40"/>
      <c r="AX953" s="40"/>
      <c r="AY953" s="40"/>
      <c r="AZ953" s="40"/>
      <c r="BA953" s="40"/>
      <c r="BB953" s="38"/>
      <c r="BC953" s="39">
        <f>S953</f>
        <v>-1351.081081081081</v>
      </c>
      <c r="BD953" s="39"/>
      <c r="BE953" s="39">
        <f>T953</f>
        <v>-415.80291666666665</v>
      </c>
      <c r="BG953" s="38"/>
      <c r="BH953" s="38"/>
      <c r="BI953" s="38"/>
      <c r="BJ953" s="38"/>
      <c r="BL953" s="38"/>
      <c r="BM953" s="38"/>
      <c r="BN953" s="38"/>
      <c r="BO953" s="38"/>
      <c r="BQ953" s="126"/>
    </row>
    <row r="954" spans="1:69" x14ac:dyDescent="0.35">
      <c r="A954" s="94"/>
      <c r="B954" s="113"/>
      <c r="C954" s="113"/>
      <c r="D954" s="28"/>
      <c r="E954" s="125"/>
      <c r="F954" s="93"/>
      <c r="G954" s="28"/>
      <c r="H954" s="125"/>
      <c r="I954" s="125"/>
      <c r="J954" s="125"/>
      <c r="K954" s="125"/>
      <c r="L954" s="93"/>
      <c r="M954" s="93"/>
      <c r="N954" s="28"/>
      <c r="O954" s="28"/>
      <c r="P954" s="28"/>
      <c r="Q954" s="61"/>
      <c r="R954" s="54"/>
      <c r="S954" s="28"/>
      <c r="T954" s="28"/>
      <c r="V954" s="93"/>
      <c r="W954" s="93"/>
      <c r="X954" s="93"/>
      <c r="Y954" s="93"/>
      <c r="AA954" s="93"/>
      <c r="AB954" s="93"/>
      <c r="AC954" s="93"/>
      <c r="AD954" s="93"/>
      <c r="AF954" s="67"/>
      <c r="AG954" s="28"/>
      <c r="AH954" s="58"/>
      <c r="AI954" s="28"/>
      <c r="AJ954" s="28"/>
      <c r="AK954" s="58"/>
      <c r="AL954" s="28"/>
      <c r="AN954" s="51"/>
      <c r="AO954" s="28"/>
      <c r="AP954" s="28"/>
      <c r="AQ954" s="28"/>
      <c r="AR954" s="28"/>
      <c r="AS954" s="28"/>
      <c r="AT954" s="28"/>
      <c r="AU954" s="28"/>
      <c r="AV954" s="28"/>
      <c r="AW954" s="28"/>
      <c r="AX954" s="28"/>
      <c r="AY954" s="28"/>
      <c r="AZ954" s="28"/>
      <c r="BA954" s="28"/>
      <c r="BB954" s="33"/>
      <c r="BC954" s="28"/>
      <c r="BD954" s="28"/>
      <c r="BE954" s="28"/>
      <c r="BG954" s="33"/>
      <c r="BH954" s="33"/>
      <c r="BI954" s="33"/>
      <c r="BJ954" s="33"/>
      <c r="BL954" s="33"/>
      <c r="BM954" s="33"/>
      <c r="BN954" s="33"/>
      <c r="BO954" s="33"/>
      <c r="BQ954" s="124"/>
    </row>
    <row r="955" spans="1:69" x14ac:dyDescent="0.35">
      <c r="A955" s="123" t="s">
        <v>79</v>
      </c>
      <c r="B955" s="122"/>
      <c r="C955" s="122"/>
      <c r="D955" s="40"/>
      <c r="E955" s="121"/>
      <c r="F955" s="119"/>
      <c r="G955" s="40"/>
      <c r="H955" s="121"/>
      <c r="I955" s="121"/>
      <c r="J955" s="121"/>
      <c r="K955" s="121"/>
      <c r="L955" s="119"/>
      <c r="M955" s="119"/>
      <c r="N955" s="40"/>
      <c r="O955" s="40"/>
      <c r="P955" s="40"/>
      <c r="Q955" s="120"/>
      <c r="R955" s="47"/>
      <c r="S955" s="117">
        <f>SUBTOTAL(9,S6:S954)</f>
        <v>670.34749034749041</v>
      </c>
      <c r="T955" s="39">
        <f>SUBTOTAL(9,T6:T954)</f>
        <v>84.126027777777765</v>
      </c>
      <c r="V955" s="119"/>
      <c r="W955" s="119"/>
      <c r="X955" s="119"/>
      <c r="Y955" s="119"/>
      <c r="AA955" s="119"/>
      <c r="AB955" s="119"/>
      <c r="AC955" s="119"/>
      <c r="AD955" s="119"/>
      <c r="AF955" s="118"/>
      <c r="AG955" s="40"/>
      <c r="AH955" s="117">
        <f>SUBTOTAL(9,AH6:AH954)</f>
        <v>18465.597500000003</v>
      </c>
      <c r="AI955" s="39"/>
      <c r="AJ955" s="117">
        <f>SUBTOTAL(9,AJ6:AJ954)</f>
        <v>18549.72352777778</v>
      </c>
      <c r="AK955" s="117">
        <f>SUBTOTAL(9,AK6:AK954)</f>
        <v>1205516.5244799608</v>
      </c>
      <c r="AL955" s="39">
        <f>SUBTOTAL(9,AL6:AL954)</f>
        <v>16599.710166666668</v>
      </c>
      <c r="AN955" s="41" t="str">
        <f>A955</f>
        <v>Grand Total Liq &amp; Bev</v>
      </c>
      <c r="AO955" s="40"/>
      <c r="AP955" s="40"/>
      <c r="AQ955" s="40"/>
      <c r="AR955" s="40"/>
      <c r="AS955" s="40"/>
      <c r="AT955" s="40"/>
      <c r="AU955" s="40"/>
      <c r="AV955" s="40"/>
      <c r="AW955" s="40"/>
      <c r="AX955" s="40"/>
      <c r="AY955" s="40"/>
      <c r="AZ955" s="40"/>
      <c r="BA955" s="40"/>
      <c r="BB955" s="38"/>
      <c r="BC955" s="39">
        <f>S955</f>
        <v>670.34749034749041</v>
      </c>
      <c r="BD955" s="39"/>
      <c r="BE955" s="39">
        <f>T955</f>
        <v>84.126027777777765</v>
      </c>
      <c r="BG955" s="38"/>
      <c r="BH955" s="38"/>
      <c r="BI955" s="38"/>
      <c r="BJ955" s="38"/>
      <c r="BL955" s="38"/>
      <c r="BM955" s="38"/>
      <c r="BN955" s="38"/>
      <c r="BO955" s="38"/>
      <c r="BQ955" s="116"/>
    </row>
    <row r="956" spans="1:69" x14ac:dyDescent="0.35">
      <c r="B956" s="8"/>
      <c r="C956" s="8"/>
      <c r="BQ956" s="8"/>
    </row>
    <row r="957" spans="1:69" x14ac:dyDescent="0.35">
      <c r="B957" s="8"/>
      <c r="C957" s="8"/>
      <c r="O957" s="115" t="s">
        <v>11</v>
      </c>
      <c r="P957" s="115" t="s">
        <v>10</v>
      </c>
      <c r="BA957" s="34" t="str">
        <f>O957</f>
        <v>Actual</v>
      </c>
      <c r="BB957" s="34" t="str">
        <f>P957</f>
        <v>Potential</v>
      </c>
      <c r="BQ957" s="8"/>
    </row>
    <row r="958" spans="1:69" x14ac:dyDescent="0.35">
      <c r="B958" s="8"/>
      <c r="C958" s="8"/>
      <c r="E958" s="108"/>
      <c r="F958" s="108"/>
      <c r="L958" s="108" t="s">
        <v>78</v>
      </c>
      <c r="O958" s="28">
        <f>AH831</f>
        <v>17465.742083333334</v>
      </c>
      <c r="P958" s="28">
        <f>AJ831</f>
        <v>17965.671027777782</v>
      </c>
      <c r="U958" s="1"/>
      <c r="AV958" s="23" t="str">
        <f>L958</f>
        <v>Liquor Consumption Cost</v>
      </c>
      <c r="BA958" s="28">
        <f>O958</f>
        <v>17465.742083333334</v>
      </c>
      <c r="BB958" s="28">
        <f>P958</f>
        <v>17965.671027777782</v>
      </c>
      <c r="BQ958" s="8"/>
    </row>
    <row r="959" spans="1:69" x14ac:dyDescent="0.35">
      <c r="B959" s="8"/>
      <c r="C959" s="8"/>
      <c r="E959" s="108"/>
      <c r="F959" s="108"/>
      <c r="L959" s="108" t="s">
        <v>77</v>
      </c>
      <c r="O959" s="113">
        <v>50085</v>
      </c>
      <c r="P959" s="28">
        <f>O959</f>
        <v>50085</v>
      </c>
      <c r="X959" s="112"/>
      <c r="Y959" s="112"/>
      <c r="AC959" s="112"/>
      <c r="AD959" s="112"/>
      <c r="AV959" s="23" t="str">
        <f>L959</f>
        <v>Liquor Sale</v>
      </c>
      <c r="BA959" s="28">
        <f>O959</f>
        <v>50085</v>
      </c>
      <c r="BB959" s="28">
        <f>P959</f>
        <v>50085</v>
      </c>
      <c r="BQ959" s="8"/>
    </row>
    <row r="960" spans="1:69" x14ac:dyDescent="0.35">
      <c r="B960" s="8"/>
      <c r="C960" s="8"/>
      <c r="E960" s="108"/>
      <c r="F960" s="108"/>
      <c r="L960" s="108" t="s">
        <v>76</v>
      </c>
      <c r="O960" s="113">
        <v>0</v>
      </c>
      <c r="P960" s="28">
        <f>O960</f>
        <v>0</v>
      </c>
      <c r="X960" s="112"/>
      <c r="Y960" s="112"/>
      <c r="AC960" s="112"/>
      <c r="AD960" s="112"/>
      <c r="AV960" s="23" t="str">
        <f>L960</f>
        <v>Liquor Sale (Banquet)</v>
      </c>
      <c r="BA960" s="28">
        <f>O960</f>
        <v>0</v>
      </c>
      <c r="BB960" s="28">
        <f>P960</f>
        <v>0</v>
      </c>
      <c r="BQ960" s="8"/>
    </row>
    <row r="961" spans="1:69" x14ac:dyDescent="0.35">
      <c r="A961" s="1"/>
      <c r="B961" s="8"/>
      <c r="C961" s="8"/>
      <c r="E961" s="108"/>
      <c r="F961" s="108"/>
      <c r="L961" s="108" t="s">
        <v>75</v>
      </c>
      <c r="O961" s="28">
        <f>SUM(O959:O960)</f>
        <v>50085</v>
      </c>
      <c r="P961" s="28">
        <f>SUM(P959:P960)</f>
        <v>50085</v>
      </c>
      <c r="W961" s="112"/>
      <c r="AB961" s="112"/>
      <c r="AV961" s="23" t="str">
        <f>L961</f>
        <v>Total Liquor Sale</v>
      </c>
      <c r="BA961" s="28">
        <f>O961</f>
        <v>50085</v>
      </c>
      <c r="BB961" s="28">
        <f>P961</f>
        <v>50085</v>
      </c>
      <c r="BQ961" s="8"/>
    </row>
    <row r="962" spans="1:69" x14ac:dyDescent="0.35">
      <c r="A962" s="1"/>
      <c r="B962" s="8"/>
      <c r="C962" s="8"/>
      <c r="E962" s="108"/>
      <c r="F962" s="108"/>
      <c r="L962" s="108" t="s">
        <v>74</v>
      </c>
      <c r="O962" s="22">
        <f>O958/O961</f>
        <v>0.34872201424245453</v>
      </c>
      <c r="P962" s="22">
        <f>P958/P961</f>
        <v>0.35870362439408571</v>
      </c>
      <c r="U962" s="27"/>
      <c r="V962" s="114"/>
      <c r="AA962" s="114"/>
      <c r="AV962" s="23" t="str">
        <f>L962</f>
        <v>Liquor Cost %age</v>
      </c>
      <c r="BA962" s="22">
        <f>O962</f>
        <v>0.34872201424245453</v>
      </c>
      <c r="BB962" s="22">
        <f>P962</f>
        <v>0.35870362439408571</v>
      </c>
      <c r="BQ962" s="8"/>
    </row>
    <row r="963" spans="1:69" x14ac:dyDescent="0.35">
      <c r="A963" s="1"/>
      <c r="B963" s="8"/>
      <c r="C963" s="8"/>
      <c r="E963" s="108"/>
      <c r="F963" s="108"/>
      <c r="L963" s="108" t="s">
        <v>5</v>
      </c>
      <c r="O963" s="113">
        <v>0</v>
      </c>
      <c r="P963" s="28">
        <f>O963</f>
        <v>0</v>
      </c>
      <c r="X963" s="112"/>
      <c r="Y963" s="112"/>
      <c r="AC963" s="112"/>
      <c r="AD963" s="112"/>
      <c r="AV963" s="23" t="str">
        <f>L963</f>
        <v>Discount Sales</v>
      </c>
      <c r="BA963" s="28">
        <f>O963</f>
        <v>0</v>
      </c>
      <c r="BB963" s="28">
        <f>P963</f>
        <v>0</v>
      </c>
      <c r="BQ963" s="8"/>
    </row>
    <row r="964" spans="1:69" x14ac:dyDescent="0.35">
      <c r="A964" s="1"/>
      <c r="B964" s="8"/>
      <c r="C964" s="8"/>
      <c r="E964" s="108"/>
      <c r="F964" s="108"/>
      <c r="L964" s="108" t="s">
        <v>73</v>
      </c>
      <c r="O964" s="22">
        <f>O958/(O961+O963)</f>
        <v>0.34872201424245453</v>
      </c>
      <c r="P964" s="22">
        <f>P958/(P961+P963)</f>
        <v>0.35870362439408571</v>
      </c>
      <c r="R964" s="111"/>
      <c r="V964" s="110"/>
      <c r="AA964" s="110"/>
      <c r="AV964" s="23" t="str">
        <f>L964</f>
        <v>Liquor Cost %age with Discounts</v>
      </c>
      <c r="BA964" s="22">
        <f>O964</f>
        <v>0.34872201424245453</v>
      </c>
      <c r="BB964" s="22">
        <f>P964</f>
        <v>0.35870362439408571</v>
      </c>
      <c r="BQ964" s="8"/>
    </row>
    <row r="965" spans="1:69" x14ac:dyDescent="0.35">
      <c r="A965" s="1"/>
      <c r="B965" s="8"/>
      <c r="C965" s="8"/>
      <c r="AV965" s="23"/>
      <c r="BA965" s="1"/>
      <c r="BQ965" s="8"/>
    </row>
    <row r="966" spans="1:69" x14ac:dyDescent="0.35">
      <c r="A966" s="1"/>
      <c r="B966" s="8"/>
      <c r="C966" s="8"/>
      <c r="E966" s="108"/>
      <c r="F966" s="108"/>
      <c r="L966" s="108" t="s">
        <v>72</v>
      </c>
      <c r="O966" s="28">
        <f>AH877</f>
        <v>596.34541666666667</v>
      </c>
      <c r="P966" s="28">
        <f>AJ877</f>
        <v>294.01208333333335</v>
      </c>
      <c r="AV966" s="23" t="str">
        <f>L966</f>
        <v>Beverage Consumption Cost</v>
      </c>
      <c r="BA966" s="28">
        <f>O966</f>
        <v>596.34541666666667</v>
      </c>
      <c r="BB966" s="28">
        <f>P966</f>
        <v>294.01208333333335</v>
      </c>
      <c r="BQ966" s="8"/>
    </row>
    <row r="967" spans="1:69" x14ac:dyDescent="0.35">
      <c r="A967" s="1"/>
      <c r="B967" s="8"/>
      <c r="C967" s="8"/>
      <c r="E967" s="108"/>
      <c r="F967" s="108"/>
      <c r="L967" s="108" t="s">
        <v>71</v>
      </c>
      <c r="O967" s="113">
        <v>4030</v>
      </c>
      <c r="P967" s="28">
        <f>O967</f>
        <v>4030</v>
      </c>
      <c r="X967" s="112"/>
      <c r="Y967" s="112"/>
      <c r="AC967" s="112"/>
      <c r="AD967" s="112"/>
      <c r="AV967" s="23" t="str">
        <f>L967</f>
        <v>Beverage Sale</v>
      </c>
      <c r="BA967" s="28">
        <f>O967</f>
        <v>4030</v>
      </c>
      <c r="BB967" s="28">
        <f>P967</f>
        <v>4030</v>
      </c>
      <c r="BQ967" s="8"/>
    </row>
    <row r="968" spans="1:69" x14ac:dyDescent="0.35">
      <c r="A968" s="1"/>
      <c r="B968" s="8"/>
      <c r="C968" s="8"/>
      <c r="E968" s="108"/>
      <c r="F968" s="108"/>
      <c r="L968" s="108" t="s">
        <v>70</v>
      </c>
      <c r="O968" s="22">
        <f>O966/O967</f>
        <v>0.14797653019023987</v>
      </c>
      <c r="P968" s="22">
        <f>P966/P967</f>
        <v>7.2955851943755173E-2</v>
      </c>
      <c r="U968" s="27"/>
      <c r="AV968" s="23" t="str">
        <f>L968</f>
        <v>Beverage Cost %age</v>
      </c>
      <c r="BA968" s="22">
        <f>O968</f>
        <v>0.14797653019023987</v>
      </c>
      <c r="BB968" s="22">
        <f>P968</f>
        <v>7.2955851943755173E-2</v>
      </c>
      <c r="BQ968" s="8"/>
    </row>
    <row r="969" spans="1:69" x14ac:dyDescent="0.35">
      <c r="A969" s="1"/>
      <c r="B969" s="8"/>
      <c r="C969" s="8"/>
      <c r="E969" s="108"/>
      <c r="F969" s="108"/>
      <c r="L969" s="108" t="s">
        <v>5</v>
      </c>
      <c r="O969" s="113">
        <v>0</v>
      </c>
      <c r="P969" s="28">
        <f>O969</f>
        <v>0</v>
      </c>
      <c r="X969" s="112"/>
      <c r="Y969" s="112"/>
      <c r="AC969" s="112"/>
      <c r="AD969" s="112"/>
      <c r="AV969" s="23" t="str">
        <f>L969</f>
        <v>Discount Sales</v>
      </c>
      <c r="BA969" s="28">
        <f>O969</f>
        <v>0</v>
      </c>
      <c r="BB969" s="28">
        <f>P969</f>
        <v>0</v>
      </c>
      <c r="BQ969" s="8"/>
    </row>
    <row r="970" spans="1:69" x14ac:dyDescent="0.35">
      <c r="A970" s="1"/>
      <c r="B970" s="8"/>
      <c r="C970" s="8"/>
      <c r="E970" s="108"/>
      <c r="F970" s="108"/>
      <c r="L970" s="108" t="s">
        <v>69</v>
      </c>
      <c r="O970" s="22">
        <f>O966/(O967+O969)</f>
        <v>0.14797653019023987</v>
      </c>
      <c r="P970" s="22">
        <f>P966/(P967+P969)</f>
        <v>7.2955851943755173E-2</v>
      </c>
      <c r="R970" s="111"/>
      <c r="V970" s="110"/>
      <c r="AA970" s="110"/>
      <c r="AV970" s="23" t="str">
        <f>L970</f>
        <v>Beverage Cost %age with Discounts</v>
      </c>
      <c r="BA970" s="61">
        <f>O970</f>
        <v>0.14797653019023987</v>
      </c>
      <c r="BB970" s="61">
        <f>P970</f>
        <v>7.2955851943755173E-2</v>
      </c>
      <c r="BQ970" s="8"/>
    </row>
    <row r="971" spans="1:69" x14ac:dyDescent="0.35">
      <c r="A971" s="1"/>
      <c r="B971" s="8"/>
      <c r="C971" s="8"/>
      <c r="E971" s="108"/>
      <c r="F971" s="108"/>
      <c r="L971" s="108"/>
      <c r="O971" s="109"/>
      <c r="P971" s="109"/>
      <c r="AV971" s="23"/>
      <c r="BA971" s="1"/>
      <c r="BQ971" s="8"/>
    </row>
    <row r="972" spans="1:69" x14ac:dyDescent="0.35">
      <c r="A972" s="1"/>
      <c r="B972" s="8"/>
      <c r="C972" s="8"/>
      <c r="E972" s="108"/>
      <c r="F972" s="108"/>
      <c r="L972" s="108" t="s">
        <v>68</v>
      </c>
      <c r="O972" s="28">
        <f>O958+O966</f>
        <v>18062.087500000001</v>
      </c>
      <c r="P972" s="28">
        <f>P958+P966</f>
        <v>18259.683111111117</v>
      </c>
      <c r="AV972" s="23" t="str">
        <f>L972</f>
        <v>Total Bar Liquor &amp; Beverages Cost</v>
      </c>
      <c r="BA972" s="28">
        <f>O972</f>
        <v>18062.087500000001</v>
      </c>
      <c r="BB972" s="28">
        <f>P972</f>
        <v>18259.683111111117</v>
      </c>
      <c r="BQ972" s="8"/>
    </row>
    <row r="973" spans="1:69" x14ac:dyDescent="0.35">
      <c r="A973" s="1"/>
      <c r="B973" s="8"/>
      <c r="C973" s="8"/>
      <c r="E973" s="108"/>
      <c r="F973" s="108"/>
      <c r="L973" s="108" t="s">
        <v>67</v>
      </c>
      <c r="O973" s="28">
        <f>O961+O967</f>
        <v>54115</v>
      </c>
      <c r="P973" s="28">
        <f>P961+P967</f>
        <v>54115</v>
      </c>
      <c r="AV973" s="23" t="str">
        <f>L973</f>
        <v>Total Bar Liquor &amp; Beverages Sale</v>
      </c>
      <c r="BA973" s="28">
        <f>O973</f>
        <v>54115</v>
      </c>
      <c r="BB973" s="28">
        <f>P973</f>
        <v>54115</v>
      </c>
      <c r="BQ973" s="8"/>
    </row>
    <row r="974" spans="1:69" x14ac:dyDescent="0.35">
      <c r="A974" s="1"/>
      <c r="B974" s="8"/>
      <c r="C974" s="8"/>
      <c r="E974" s="108"/>
      <c r="F974" s="108"/>
      <c r="L974" s="108" t="s">
        <v>66</v>
      </c>
      <c r="O974" s="22">
        <f>O972/O973</f>
        <v>0.33377229049246976</v>
      </c>
      <c r="P974" s="22">
        <f>P972/P973</f>
        <v>0.33742369234243957</v>
      </c>
      <c r="AV974" s="23" t="str">
        <f>L974</f>
        <v>Total Bar Liquor &amp; Beverages Cost %age</v>
      </c>
      <c r="BA974" s="22">
        <f>O974</f>
        <v>0.33377229049246976</v>
      </c>
      <c r="BB974" s="22">
        <f>P974</f>
        <v>0.33742369234243957</v>
      </c>
      <c r="BQ974" s="8"/>
    </row>
    <row r="975" spans="1:69" x14ac:dyDescent="0.35">
      <c r="A975" s="1"/>
      <c r="B975" s="8"/>
      <c r="C975" s="8"/>
      <c r="AW975" s="23"/>
      <c r="AX975" s="23"/>
      <c r="BB975" s="3"/>
      <c r="BQ975" s="8"/>
    </row>
    <row r="976" spans="1:69" ht="18" x14ac:dyDescent="0.65">
      <c r="A976" s="1"/>
      <c r="B976" s="8"/>
      <c r="C976" s="8"/>
      <c r="S976" s="18" t="s">
        <v>3</v>
      </c>
      <c r="T976" s="18" t="s">
        <v>2</v>
      </c>
      <c r="AY976" s="7"/>
      <c r="BA976" s="18" t="s">
        <v>3</v>
      </c>
      <c r="BB976" s="18" t="s">
        <v>2</v>
      </c>
      <c r="BQ976" s="8"/>
    </row>
    <row r="977" spans="1:69" x14ac:dyDescent="0.35">
      <c r="B977" s="8"/>
      <c r="C977" s="8"/>
      <c r="P977" s="12" t="s">
        <v>65</v>
      </c>
      <c r="S977" s="3">
        <f>SUMIF(S6:S463,"&gt;0",S6:S463)+SUMIF(S466:S758,"&gt;0",S466:S758)+SUMIF(S761:S828,"&gt;0",S761:S828)</f>
        <v>2021.4285714285713</v>
      </c>
      <c r="T977" s="3">
        <f>SUMIF(T6:T463,"&gt;0",T6:T463)+SUMIF(T466:T758,"&gt;0",T466:T758)+SUMIF(T761:T828,"&gt;0",T761:T828)</f>
        <v>499.92894444444437</v>
      </c>
      <c r="AW977" s="12"/>
      <c r="AX977" s="12" t="str">
        <f>P977</f>
        <v>Total Liquor Excess</v>
      </c>
      <c r="AY977" s="7"/>
      <c r="AZ977" s="7"/>
      <c r="BA977" s="3">
        <f>S977</f>
        <v>2021.4285714285713</v>
      </c>
      <c r="BB977" s="3">
        <f>T977</f>
        <v>499.92894444444437</v>
      </c>
      <c r="BQ977" s="8"/>
    </row>
    <row r="978" spans="1:69" x14ac:dyDescent="0.35">
      <c r="B978" s="8"/>
      <c r="C978" s="8"/>
      <c r="P978" s="12" t="s">
        <v>64</v>
      </c>
      <c r="S978" s="3">
        <f>SUMIF(S6:S463,"&lt;0",S6:S463)+SUMIF(S466:S758,"&lt;0",S466:S758)+SUMIF(S761:S828,"&lt;0",S761:S828)</f>
        <v>0</v>
      </c>
      <c r="T978" s="3">
        <f>SUMIF(T6:T463,"&lt;0",T6:T463)+SUMIF(T466:T758,"&lt;0",T466:T758)+SUMIF(T761:T828,"&lt;0",T761:T828)</f>
        <v>0</v>
      </c>
      <c r="V978" s="8"/>
      <c r="AA978" s="8"/>
      <c r="AW978" s="12"/>
      <c r="AX978" s="12" t="str">
        <f>P978</f>
        <v>Total Liquor Shortage</v>
      </c>
      <c r="AY978" s="7"/>
      <c r="AZ978" s="7"/>
      <c r="BA978" s="3">
        <f>S978</f>
        <v>0</v>
      </c>
      <c r="BB978" s="3">
        <f>T978</f>
        <v>0</v>
      </c>
      <c r="BQ978" s="8"/>
    </row>
    <row r="979" spans="1:69" x14ac:dyDescent="0.35">
      <c r="B979" s="8"/>
      <c r="C979" s="8"/>
      <c r="P979" s="12"/>
      <c r="AW979" s="12"/>
      <c r="AX979" s="12"/>
      <c r="AY979" s="7"/>
      <c r="AZ979" s="7"/>
      <c r="BB979" s="3"/>
      <c r="BQ979" s="8"/>
    </row>
    <row r="980" spans="1:69" x14ac:dyDescent="0.35">
      <c r="B980" s="8"/>
      <c r="C980" s="8"/>
      <c r="P980" s="12" t="s">
        <v>63</v>
      </c>
      <c r="S980" s="3">
        <f>SUMIF(S833:S876,"&gt;0",S833:S876)</f>
        <v>0</v>
      </c>
      <c r="T980" s="3">
        <f>SUMIF(T833:T876,"&gt;0",T833:T876)</f>
        <v>0</v>
      </c>
      <c r="AW980" s="12"/>
      <c r="AX980" s="12" t="str">
        <f>P980</f>
        <v>Total Beverages Excess</v>
      </c>
      <c r="AY980" s="7"/>
      <c r="AZ980" s="7"/>
      <c r="BA980" s="3">
        <f>S980</f>
        <v>0</v>
      </c>
      <c r="BB980" s="3">
        <f>T980</f>
        <v>0</v>
      </c>
      <c r="BQ980" s="8"/>
    </row>
    <row r="981" spans="1:69" x14ac:dyDescent="0.35">
      <c r="B981" s="8"/>
      <c r="C981" s="8"/>
      <c r="P981" s="12" t="s">
        <v>62</v>
      </c>
      <c r="S981" s="3">
        <f>SUMIF(S833:S876,"&lt;0",S833:S876)</f>
        <v>-1081.081081081081</v>
      </c>
      <c r="T981" s="3">
        <f>SUMIF(T833:T876,"&lt;0",T833:T876)</f>
        <v>-302.33333333333331</v>
      </c>
      <c r="AW981" s="12"/>
      <c r="AX981" s="12" t="str">
        <f>P981</f>
        <v>Total Beverages Shortage</v>
      </c>
      <c r="AY981" s="7"/>
      <c r="AZ981" s="7"/>
      <c r="BA981" s="3">
        <f>S981</f>
        <v>-1081.081081081081</v>
      </c>
      <c r="BB981" s="3">
        <f>T981</f>
        <v>-302.33333333333331</v>
      </c>
      <c r="BQ981" s="8"/>
    </row>
    <row r="982" spans="1:69" x14ac:dyDescent="0.35">
      <c r="B982" s="8"/>
      <c r="C982" s="8"/>
      <c r="AY982" s="7"/>
      <c r="AZ982" s="7"/>
      <c r="BB982" s="3"/>
      <c r="BQ982" s="8"/>
    </row>
    <row r="983" spans="1:69" x14ac:dyDescent="0.35">
      <c r="B983" s="8"/>
      <c r="C983" s="8"/>
      <c r="P983" s="12" t="s">
        <v>61</v>
      </c>
      <c r="S983" s="3">
        <f>S977+S980</f>
        <v>2021.4285714285713</v>
      </c>
      <c r="T983" s="3">
        <f>T977+T980</f>
        <v>499.92894444444437</v>
      </c>
      <c r="AW983" s="12"/>
      <c r="AX983" s="12" t="str">
        <f>P983</f>
        <v>Total Liq. &amp; Bev. Excess</v>
      </c>
      <c r="AY983" s="7"/>
      <c r="AZ983" s="7"/>
      <c r="BA983" s="3">
        <f>S983</f>
        <v>2021.4285714285713</v>
      </c>
      <c r="BB983" s="3">
        <f>T983</f>
        <v>499.92894444444437</v>
      </c>
      <c r="BQ983" s="8"/>
    </row>
    <row r="984" spans="1:69" x14ac:dyDescent="0.35">
      <c r="B984" s="8"/>
      <c r="C984" s="8"/>
      <c r="P984" s="12" t="s">
        <v>60</v>
      </c>
      <c r="S984" s="3">
        <f>S978+S981</f>
        <v>-1081.081081081081</v>
      </c>
      <c r="T984" s="3">
        <f>T978+T981</f>
        <v>-302.33333333333331</v>
      </c>
      <c r="AW984" s="12"/>
      <c r="AX984" s="12" t="str">
        <f>P984</f>
        <v>Total Liq. &amp; Bev. Shortage</v>
      </c>
      <c r="AY984" s="7"/>
      <c r="AZ984" s="7"/>
      <c r="BA984" s="3">
        <f>S984</f>
        <v>-1081.081081081081</v>
      </c>
      <c r="BB984" s="3">
        <f>T984</f>
        <v>-302.33333333333331</v>
      </c>
      <c r="BQ984" s="8"/>
    </row>
    <row r="985" spans="1:69" x14ac:dyDescent="0.35">
      <c r="B985" s="8"/>
      <c r="C985" s="8"/>
      <c r="BQ985" s="8"/>
    </row>
    <row r="986" spans="1:69" s="10" customFormat="1" ht="15" hidden="1" customHeight="1" x14ac:dyDescent="0.35">
      <c r="B986" s="107"/>
      <c r="C986" s="107"/>
      <c r="D986" s="104"/>
      <c r="E986" s="103"/>
      <c r="F986" s="103"/>
      <c r="G986" s="104"/>
      <c r="H986" s="104"/>
      <c r="I986" s="104"/>
      <c r="J986" s="104"/>
      <c r="K986" s="14"/>
      <c r="L986" s="14"/>
      <c r="M986" s="14"/>
      <c r="N986" s="14"/>
      <c r="O986" s="14"/>
      <c r="P986" s="104"/>
      <c r="Q986" s="106"/>
      <c r="R986" s="105"/>
      <c r="S986" s="104"/>
      <c r="T986" s="104"/>
      <c r="U986" s="104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3"/>
      <c r="AG986" s="11"/>
      <c r="AH986" s="11"/>
      <c r="AI986" s="11"/>
      <c r="AJ986" s="11"/>
      <c r="AK986" s="11"/>
      <c r="AL986" s="1"/>
      <c r="AM986" s="1"/>
      <c r="BB986" s="11"/>
      <c r="BG986" s="11"/>
      <c r="BH986" s="11"/>
      <c r="BI986" s="11"/>
      <c r="BJ986" s="11"/>
      <c r="BK986" s="11"/>
      <c r="BL986" s="11"/>
      <c r="BM986" s="11"/>
      <c r="BN986" s="11"/>
      <c r="BO986" s="11"/>
      <c r="BQ986" s="8"/>
    </row>
    <row r="987" spans="1:69" s="10" customFormat="1" hidden="1" x14ac:dyDescent="0.35">
      <c r="A987" s="81" t="s">
        <v>59</v>
      </c>
      <c r="B987" s="16"/>
      <c r="C987" s="16"/>
      <c r="D987" s="14"/>
      <c r="E987" s="103"/>
      <c r="F987" s="103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20"/>
      <c r="R987" s="15"/>
      <c r="S987" s="14"/>
      <c r="T987" s="14"/>
      <c r="U987" s="14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3"/>
      <c r="AG987" s="11"/>
      <c r="AH987" s="11"/>
      <c r="AI987" s="11"/>
      <c r="AJ987" s="11"/>
      <c r="AK987" s="11"/>
      <c r="AL987" s="1"/>
      <c r="AM987" s="1"/>
      <c r="AN987" s="80" t="str">
        <f>A987</f>
        <v xml:space="preserve">Coffee Variance Report for Mar - </v>
      </c>
      <c r="BB987" s="11"/>
      <c r="BG987" s="11"/>
      <c r="BH987" s="11"/>
      <c r="BI987" s="11"/>
      <c r="BJ987" s="11"/>
      <c r="BK987" s="11"/>
      <c r="BL987" s="11"/>
      <c r="BM987" s="11"/>
      <c r="BN987" s="11"/>
      <c r="BO987" s="11"/>
      <c r="BQ987" s="8"/>
    </row>
    <row r="988" spans="1:69" s="68" customFormat="1" ht="43.2" hidden="1" x14ac:dyDescent="0.35">
      <c r="A988" s="102" t="s">
        <v>48</v>
      </c>
      <c r="B988" s="101" t="s">
        <v>47</v>
      </c>
      <c r="C988" s="101" t="s">
        <v>46</v>
      </c>
      <c r="D988" s="96" t="s">
        <v>45</v>
      </c>
      <c r="E988" s="101" t="s">
        <v>44</v>
      </c>
      <c r="F988" s="101" t="s">
        <v>43</v>
      </c>
      <c r="G988" s="96" t="s">
        <v>42</v>
      </c>
      <c r="H988" s="101" t="s">
        <v>41</v>
      </c>
      <c r="I988" s="101" t="s">
        <v>40</v>
      </c>
      <c r="J988" s="101" t="s">
        <v>39</v>
      </c>
      <c r="K988" s="101" t="s">
        <v>38</v>
      </c>
      <c r="L988" s="101" t="s">
        <v>37</v>
      </c>
      <c r="M988" s="101" t="s">
        <v>36</v>
      </c>
      <c r="N988" s="96" t="s">
        <v>35</v>
      </c>
      <c r="O988" s="100" t="s">
        <v>34</v>
      </c>
      <c r="P988" s="96" t="s">
        <v>33</v>
      </c>
      <c r="Q988" s="99" t="s">
        <v>32</v>
      </c>
      <c r="R988" s="97" t="s">
        <v>31</v>
      </c>
      <c r="S988" s="96" t="s">
        <v>30</v>
      </c>
      <c r="T988" s="96" t="s">
        <v>29</v>
      </c>
      <c r="U988" s="76"/>
      <c r="V988" s="98" t="s">
        <v>28</v>
      </c>
      <c r="W988" s="98"/>
      <c r="X988" s="98"/>
      <c r="Y988" s="98"/>
      <c r="Z988" s="74"/>
      <c r="AA988" s="98" t="s">
        <v>27</v>
      </c>
      <c r="AB988" s="98"/>
      <c r="AC988" s="98"/>
      <c r="AD988" s="98"/>
      <c r="AE988" s="74"/>
      <c r="AF988" s="97" t="s">
        <v>26</v>
      </c>
      <c r="AG988" s="96" t="s">
        <v>25</v>
      </c>
      <c r="AH988" s="96" t="s">
        <v>24</v>
      </c>
      <c r="AI988" s="96" t="s">
        <v>23</v>
      </c>
      <c r="AJ988" s="96" t="s">
        <v>22</v>
      </c>
      <c r="AK988" s="96" t="s">
        <v>21</v>
      </c>
      <c r="AL988" s="71"/>
      <c r="AM988" s="71"/>
      <c r="AN988" s="95" t="str">
        <f>A988</f>
        <v>Particulars</v>
      </c>
      <c r="AO988" s="95" t="str">
        <f>D988</f>
        <v>Opening Balance</v>
      </c>
      <c r="AP988" s="95" t="str">
        <f>E988</f>
        <v>Receipt</v>
      </c>
      <c r="AQ988" s="95" t="str">
        <f>F988</f>
        <v>Transfer
In / Out</v>
      </c>
      <c r="AR988" s="95" t="str">
        <f>G988</f>
        <v>Total</v>
      </c>
      <c r="AS988" s="95" t="str">
        <f>H988</f>
        <v xml:space="preserve"> Sale
Ala Carte</v>
      </c>
      <c r="AT988" s="95" t="str">
        <f>I988</f>
        <v>NC
Ala Carte</v>
      </c>
      <c r="AU988" s="95" t="str">
        <f>J988</f>
        <v>Cocktail
Sale / NC</v>
      </c>
      <c r="AV988" s="95" t="str">
        <f>L988</f>
        <v>Banquet
Sale</v>
      </c>
      <c r="AW988" s="95" t="str">
        <f>J988</f>
        <v>Cocktail
Sale / NC</v>
      </c>
      <c r="AX988" s="95" t="str">
        <f>K988</f>
        <v>Adjustments
(+ / -)</v>
      </c>
      <c r="AY988" s="95" t="str">
        <f>N988</f>
        <v>Closing Balance</v>
      </c>
      <c r="AZ988" s="95" t="str">
        <f>O988</f>
        <v xml:space="preserve"> Physical Closing</v>
      </c>
      <c r="BA988" s="95" t="str">
        <f>P988</f>
        <v>Variance
Qty</v>
      </c>
      <c r="BB988" s="95" t="str">
        <f>R988</f>
        <v>Selling
Price</v>
      </c>
      <c r="BC988" s="95" t="str">
        <f>S988</f>
        <v>Variance
in Sales</v>
      </c>
      <c r="BD988" s="95" t="str">
        <f>AF988</f>
        <v>Cost Price</v>
      </c>
      <c r="BE988" s="95" t="str">
        <f>T988</f>
        <v>Variance
in Cost</v>
      </c>
      <c r="BF988" s="71"/>
      <c r="BG988" s="95" t="str">
        <f>V988</f>
        <v>Closing
Balance</v>
      </c>
      <c r="BH988" s="95">
        <f>W988</f>
        <v>0</v>
      </c>
      <c r="BI988" s="95">
        <f>X988</f>
        <v>0</v>
      </c>
      <c r="BJ988" s="95">
        <f>Y988</f>
        <v>0</v>
      </c>
      <c r="BK988" s="71"/>
      <c r="BL988" s="95" t="str">
        <f>AA988</f>
        <v>Opening
Balance</v>
      </c>
      <c r="BM988" s="95">
        <f>AB988</f>
        <v>0</v>
      </c>
      <c r="BN988" s="95">
        <f>AC988</f>
        <v>0</v>
      </c>
      <c r="BO988" s="95">
        <f>AD988</f>
        <v>0</v>
      </c>
      <c r="BQ988" s="8"/>
    </row>
    <row r="989" spans="1:69" s="10" customFormat="1" hidden="1" x14ac:dyDescent="0.35">
      <c r="A989" s="56"/>
      <c r="B989" s="30"/>
      <c r="C989" s="30"/>
      <c r="D989" s="29"/>
      <c r="E989" s="30"/>
      <c r="F989" s="30"/>
      <c r="G989" s="29"/>
      <c r="H989" s="30"/>
      <c r="I989" s="30"/>
      <c r="J989" s="30"/>
      <c r="K989" s="30"/>
      <c r="L989" s="30"/>
      <c r="M989" s="30"/>
      <c r="N989" s="29"/>
      <c r="O989" s="29"/>
      <c r="P989" s="29"/>
      <c r="Q989" s="55"/>
      <c r="R989" s="54"/>
      <c r="S989" s="29"/>
      <c r="T989" s="29"/>
      <c r="U989" s="14"/>
      <c r="V989" s="53"/>
      <c r="W989" s="53"/>
      <c r="X989" s="53"/>
      <c r="Y989" s="53"/>
      <c r="Z989" s="11"/>
      <c r="AA989" s="53"/>
      <c r="AB989" s="53"/>
      <c r="AC989" s="53"/>
      <c r="AD989" s="53"/>
      <c r="AE989" s="11"/>
      <c r="AF989" s="67"/>
      <c r="AG989" s="29"/>
      <c r="AH989" s="29"/>
      <c r="AI989" s="29"/>
      <c r="AJ989" s="29"/>
      <c r="AK989" s="29"/>
      <c r="AL989" s="1"/>
      <c r="AM989" s="1"/>
      <c r="AN989" s="51"/>
      <c r="AO989" s="28"/>
      <c r="AP989" s="28"/>
      <c r="AQ989" s="28"/>
      <c r="AR989" s="28"/>
      <c r="AS989" s="28"/>
      <c r="AT989" s="28"/>
      <c r="AU989" s="28"/>
      <c r="AV989" s="28"/>
      <c r="AW989" s="28"/>
      <c r="AX989" s="28"/>
      <c r="AY989" s="28"/>
      <c r="AZ989" s="28"/>
      <c r="BA989" s="28"/>
      <c r="BB989" s="33"/>
      <c r="BC989" s="28"/>
      <c r="BD989" s="28"/>
      <c r="BE989" s="28"/>
      <c r="BF989" s="1"/>
      <c r="BG989" s="33"/>
      <c r="BH989" s="33"/>
      <c r="BI989" s="33"/>
      <c r="BJ989" s="33"/>
      <c r="BK989" s="1"/>
      <c r="BL989" s="33"/>
      <c r="BM989" s="33"/>
      <c r="BN989" s="33"/>
      <c r="BO989" s="33"/>
      <c r="BQ989" s="8"/>
    </row>
    <row r="990" spans="1:69" s="10" customFormat="1" hidden="1" x14ac:dyDescent="0.35">
      <c r="A990" s="65" t="s">
        <v>58</v>
      </c>
      <c r="B990" s="30"/>
      <c r="C990" s="30"/>
      <c r="D990" s="29"/>
      <c r="E990" s="30"/>
      <c r="F990" s="30"/>
      <c r="G990" s="29"/>
      <c r="H990" s="30"/>
      <c r="I990" s="30"/>
      <c r="J990" s="30"/>
      <c r="K990" s="30"/>
      <c r="L990" s="30"/>
      <c r="M990" s="30"/>
      <c r="N990" s="29"/>
      <c r="O990" s="29"/>
      <c r="P990" s="29"/>
      <c r="Q990" s="55"/>
      <c r="R990" s="54"/>
      <c r="S990" s="29"/>
      <c r="T990" s="29"/>
      <c r="U990" s="14"/>
      <c r="V990" s="53"/>
      <c r="W990" s="53"/>
      <c r="X990" s="53"/>
      <c r="Y990" s="53"/>
      <c r="Z990" s="11"/>
      <c r="AA990" s="53"/>
      <c r="AB990" s="53"/>
      <c r="AC990" s="53"/>
      <c r="AD990" s="53"/>
      <c r="AE990" s="11"/>
      <c r="AF990" s="66"/>
      <c r="AG990" s="29"/>
      <c r="AH990" s="29"/>
      <c r="AI990" s="29"/>
      <c r="AJ990" s="29"/>
      <c r="AK990" s="29"/>
      <c r="AL990" s="1"/>
      <c r="AM990" s="1"/>
      <c r="AN990" s="65" t="str">
        <f>A990</f>
        <v>Coffee</v>
      </c>
      <c r="AO990" s="57"/>
      <c r="AP990" s="57"/>
      <c r="AQ990" s="57"/>
      <c r="AR990" s="57"/>
      <c r="AS990" s="57"/>
      <c r="AT990" s="57"/>
      <c r="AU990" s="57"/>
      <c r="AV990" s="57"/>
      <c r="AW990" s="57"/>
      <c r="AX990" s="57"/>
      <c r="AY990" s="57"/>
      <c r="AZ990" s="57"/>
      <c r="BA990" s="57"/>
      <c r="BB990" s="57"/>
      <c r="BC990" s="28"/>
      <c r="BD990" s="28"/>
      <c r="BE990" s="28"/>
      <c r="BF990" s="1"/>
      <c r="BG990" s="57"/>
      <c r="BH990" s="57"/>
      <c r="BI990" s="57"/>
      <c r="BJ990" s="57"/>
      <c r="BK990" s="1"/>
      <c r="BL990" s="57"/>
      <c r="BM990" s="57"/>
      <c r="BN990" s="57"/>
      <c r="BO990" s="57"/>
      <c r="BQ990" s="8"/>
    </row>
    <row r="991" spans="1:69" s="10" customFormat="1" ht="15.75" hidden="1" customHeight="1" x14ac:dyDescent="0.35">
      <c r="A991" s="94" t="s">
        <v>57</v>
      </c>
      <c r="B991" s="30">
        <v>1</v>
      </c>
      <c r="C991" s="30">
        <v>1</v>
      </c>
      <c r="D991" s="28">
        <f>SUM(AA991:AD991)</f>
        <v>0</v>
      </c>
      <c r="E991" s="30">
        <v>0</v>
      </c>
      <c r="F991" s="30">
        <v>0</v>
      </c>
      <c r="G991" s="28">
        <f>SUM(D991:F991)</f>
        <v>0</v>
      </c>
      <c r="H991" s="30">
        <v>0</v>
      </c>
      <c r="I991" s="30">
        <v>0</v>
      </c>
      <c r="J991" s="30">
        <v>0</v>
      </c>
      <c r="K991" s="30">
        <v>0</v>
      </c>
      <c r="L991" s="30">
        <v>0</v>
      </c>
      <c r="M991" s="30">
        <v>0</v>
      </c>
      <c r="N991" s="29">
        <f>G991-SUM(H991:M991)</f>
        <v>0</v>
      </c>
      <c r="O991" s="28">
        <f>SUM(V991:Y991)</f>
        <v>0</v>
      </c>
      <c r="P991" s="29">
        <f>O991-N991</f>
        <v>0</v>
      </c>
      <c r="Q991" s="61" t="str">
        <f>IF(ISERROR(P991/SUM(H991:L991)),"",P991/SUM(H991:L991))</f>
        <v/>
      </c>
      <c r="R991" s="54">
        <v>90</v>
      </c>
      <c r="S991" s="28">
        <f>IF(ISERROR(P991/C991*R991),0,(P991/C991*R991))</f>
        <v>0</v>
      </c>
      <c r="T991" s="60">
        <f>IF(ISERROR(P991/B991*AF991),0,(P991/B991*AF991))</f>
        <v>0</v>
      </c>
      <c r="U991" s="14"/>
      <c r="V991" s="93">
        <v>0</v>
      </c>
      <c r="W991" s="30">
        <v>0</v>
      </c>
      <c r="X991" s="30"/>
      <c r="Y991" s="30"/>
      <c r="Z991" s="59"/>
      <c r="AA991" s="93">
        <v>0</v>
      </c>
      <c r="AB991" s="30">
        <v>0</v>
      </c>
      <c r="AC991" s="30"/>
      <c r="AD991" s="30"/>
      <c r="AE991" s="59"/>
      <c r="AF991" s="54">
        <v>20</v>
      </c>
      <c r="AG991" s="28">
        <f>G991-O991</f>
        <v>0</v>
      </c>
      <c r="AH991" s="58">
        <f>IF(ISERROR(AG991/B991*AF991),0,(AG991/B991*AF991))</f>
        <v>0</v>
      </c>
      <c r="AI991" s="28">
        <f>SUM(H991:M991)</f>
        <v>0</v>
      </c>
      <c r="AJ991" s="28">
        <f>IF(ISERROR(AI991/B991*AF991),0,(AI991/B991*AF991))</f>
        <v>0</v>
      </c>
      <c r="AK991" s="28">
        <f>IF(ISERROR(O991/B991*AF991),0,(O991/B991*AF991))</f>
        <v>0</v>
      </c>
      <c r="AL991" s="1"/>
      <c r="AM991" s="1"/>
      <c r="AN991" s="51" t="str">
        <f>A991</f>
        <v>Coffee Lavazza</v>
      </c>
      <c r="AO991" s="57">
        <f>IF(ISERROR(IF(B991=C991,D991/C991,(INT(D991/B991)+(((D991-B991*INT(D991/B991)))/C991)/100))),0,(IF(B991=C991,D991/C991,(INT(D991/B991)+(((D991-B991*INT(D991/B991)))/C991)/100))))</f>
        <v>0</v>
      </c>
      <c r="AP991" s="57">
        <f>IF(ISERROR(IF(B991=C991,E991/C991,(INT(E991/B991)+(((E991-B991*INT(E991/B991)))/C991)/100))),0,(IF(B991=C991,E991/C991,(INT(E991/B991)+(((E991-B991*INT(E991/B991)))/C991)/100))))</f>
        <v>0</v>
      </c>
      <c r="AQ991" s="57">
        <f>IF(ISERROR(IF(B991=C991,F991/C991,IF((INT(F991/B991)+(((F991-B991*INT(F991/B991)))/C991)/100)&lt;0,(INT(F991/B991)+(((F991-B991*INT(F991/B991)))/C991)/100)+(1-(B991/C991/100)),(INT(F991/B991)+(((F991-B991*INT(F991/B991)))/C991)/100)))),0,IF(B991=C991,F991/C991,IF((INT(F991/B991)+(((F991-B991*INT(F991/B991)))/C991)/100)&lt;0,(INT(F991/B991)+(((F991-B991*INT(F991/B991)))/C991)/100)+(1-(B991/C991/100)),(INT(F991/B991)+(((F991-B991*INT(F991/B991)))/C991)/100))))</f>
        <v>0</v>
      </c>
      <c r="AR991" s="57">
        <f>IF(ISERROR(IF(B991=C991,G991/C991,(INT(G991/B991)+(((G991-B991*INT(G991/B991)))/C991)/100))),0,(IF(B991=C991,G991/C991,(INT(G991/B991)+(((G991-B991*INT(G991/B991)))/C991)/100))))</f>
        <v>0</v>
      </c>
      <c r="AS991" s="57">
        <f>IF(ISERROR(IF(B991=C991,H991/C991,(INT(H991/B991)+(((H991-B991*INT(H991/B991)))/C991)/100))),0,(IF(B991=C991,H991/C991,(INT(H991/B991)+(((H991-B991*INT(H991/B991)))/C991)/100))))</f>
        <v>0</v>
      </c>
      <c r="AT991" s="57">
        <f>IF(ISERROR(IF(B991=C991,I991/C991,(INT(I991/B991)+(((I991-B991*INT(I991/B991)))/C991)/100))),0,(IF(B991=C991,I991/C991,(INT(I991/B991)+(((I991-B991*INT(I991/B991)))/C991)/100))))</f>
        <v>0</v>
      </c>
      <c r="AU991" s="57">
        <f>IF(ISERROR(IF(B991=C991,J991/C991,(INT(J991/B991)+(((J991-B991*INT(J991/B991)))/C991)/100))),0,(IF(B991=C991,J991/C991,(INT(J991/B991)+(((J991-B991*INT(J991/B991)))/C991)/100))))</f>
        <v>0</v>
      </c>
      <c r="AV991" s="57">
        <f>IF(ISERROR(IF(B991=C991,K991/C991,IF((INT(K991/B991)+(((K991-B991*INT(K991/B991)))/C991)/100)&lt;0,(INT(K991/B991)+(((K991-B991*INT(K991/B991)))/C991)/100)+(1-(B991/C991/100)),(INT(K991/B991)+(((K991-B991*INT(K991/B991)))/C991)/100)))),0,IF(B991=C991,K991/C991,IF((INT(K991/B991)+(((K991-B991*INT(K991/B991)))/C991)/100)&lt;0,(INT(K991/B991)+(((K991-B991*INT(K991/B991)))/C991)/100)+(1-(B991/C991/100)),(INT(K991/B991)+(((K991-B991*INT(K991/B991)))/C991)/100))))</f>
        <v>0</v>
      </c>
      <c r="AW991" s="57">
        <f>IF(ISERROR(IF(B991=C991,L991/C991,(INT(L991/B991)+(((L991-B991*INT(L991/B991)))/C991)/100))),0,(IF(B991=C991,L991/C991,(INT(L991/B991)+(((L991-B991*INT(L991/B991)))/C991)/100))))</f>
        <v>0</v>
      </c>
      <c r="AX991" s="57">
        <f>IF(ISERROR(IF(B991=C991,M991/C991,(INT(M991/B991)+(((M991-B991*INT(M991/B991)))/C991)/100))),0,(IF(B991=C991,M991/C991,(INT(M991/B991)+(((M991-B991*INT(M991/B991)))/C991)/100))))</f>
        <v>0</v>
      </c>
      <c r="AY991" s="57">
        <f>IF(ISERROR(IF(B991=C991,N991/C991,IF((INT(N991/B991)+(((N991-B991*INT(N991/B991)))/C991)/100)&lt;0,(INT(N991/B991)+(((N991-B991*INT(N991/B991)))/C991)/100)+(1-(B991/C991/100)),(INT(N991/B991)+(((N991-B991*INT(N991/B991)))/C991)/100)))),0,IF(B991=C991,N991/C991,IF((INT(N991/B991)+(((N991-B991*INT(N991/B991)))/C991)/100)&lt;0,(INT(N991/B991)+(((N991-B991*INT(N991/B991)))/C991)/100)+(1-(B991/C991/100)),(INT(N991/B991)+(((N991-B991*INT(N991/B991)))/C991)/100))))</f>
        <v>0</v>
      </c>
      <c r="AZ991" s="57">
        <f>IF(ISERROR(IF(B991=C991,O991/C991,(INT(O991/B991)+(((O991-B991*INT(O991/B991)))/C991)/100))),0,(IF(B991=C991,O991/C991,(INT(O991/B991)+(((O991-B991*INT(O991/B991)))/C991)/100))))</f>
        <v>0</v>
      </c>
      <c r="BA991" s="57">
        <f>IF(ISERROR(IF(B991=C991,P991/C991,IF((INT(P991/B991)+(((P991-B991*INT(P991/B991)))/C991)/100)&lt;0,(INT(P991/B991)+(((P991-B991*INT(P991/B991)))/C991)/100)+(1-(B991/C991/100)),(INT(P991/B991)+(((P991-B991*INT(P991/B991)))/C991)/100)))),0,IF(B991=C991,P991/C991,IF((INT(P991/B991)+(((P991-B991*INT(P991/B991)))/C991)/100)&lt;0,(INT(P991/B991)+(((P991-B991*INT(P991/B991)))/C991)/100)+(1-(B991/C991/100)),(INT(P991/B991)+(((P991-B991*INT(P991/B991)))/C991)/100))))</f>
        <v>0</v>
      </c>
      <c r="BB991" s="28">
        <f>R991</f>
        <v>90</v>
      </c>
      <c r="BC991" s="28">
        <f>S991</f>
        <v>0</v>
      </c>
      <c r="BD991" s="28">
        <f>AF991</f>
        <v>20</v>
      </c>
      <c r="BE991" s="28">
        <f>T991</f>
        <v>0</v>
      </c>
      <c r="BF991" s="1"/>
      <c r="BG991" s="57">
        <f>IF(ISERROR(IF(B991=C991,V991/C991,(INT(V991/B991)+(((V991-B991*INT(V991/B991)))/C991)/100))),0,(IF(B991=C991,V991/C991,(INT(V991/B991)+(((V991-B991*INT(V991/B991)))/C991)/100))))</f>
        <v>0</v>
      </c>
      <c r="BH991" s="57">
        <f>IF(ISERROR(IF(B991=C991,W991/C991,(INT(W991/B991)+(((W991-B991*INT(W991/B991)))/C991)/100))),0,(IF(B991=C991,W991/C991,(INT(W991/B991)+(((W991-B991*INT(W991/B991)))/C991)/100))))</f>
        <v>0</v>
      </c>
      <c r="BI991" s="57">
        <f>IF(ISERROR(IF(B991=C991,X991/C991,(INT(X991/B991)+(((X991-B991*INT(X991/B991)))/C991)/100))),0,(IF(B991=C991,X991/C991,(INT(X991/B991)+(((X991-B991*INT(X991/B991)))/C991)/100))))</f>
        <v>0</v>
      </c>
      <c r="BJ991" s="57">
        <f>IF(ISERROR(IF(B991=C991,Y991/C991,(INT(Y991/B991)+(((Y991-B991*INT(Y991/B991)))/C991)/100))),0,(IF(B991=C991,Y991/C991,(INT(Y991/B991)+(((Y991-B991*INT(Y991/B991)))/C991)/100))))</f>
        <v>0</v>
      </c>
      <c r="BK991" s="1"/>
      <c r="BL991" s="57">
        <f>IF(ISERROR(IF(B991=C991,AA991/C991,(INT(AA991/B991)+(((AA991-B991*INT(AA991/B991)))/C991)/100))),0,(IF(B991=C991,AA991/C991,(INT(AA991/B991)+(((AA991-B991*INT(AA991/B991)))/C991)/100))))</f>
        <v>0</v>
      </c>
      <c r="BM991" s="57">
        <f>IF(ISERROR(IF(B991=C991,AB991/C991,(INT(AB991/B991)+(((AB991-B991*INT(AB991/B991)))/C991)/100))),0,(IF(B991=C991,AB991/C991,(INT(AB991/B991)+(((AB991-B991*INT(AB991/B991)))/C991)/100))))</f>
        <v>0</v>
      </c>
      <c r="BN991" s="57">
        <f>IF(ISERROR(IF(B991=C991,AC991/C991,(INT(AC991/B991)+(((AC991-B991*INT(AC991/B991)))/C991)/100))),0,(IF(B991=C991,AC991/C991,(INT(AC991/B991)+(((AC991-B991*INT(AC991/B991)))/C991)/100))))</f>
        <v>0</v>
      </c>
      <c r="BO991" s="57">
        <f>IF(ISERROR(IF(B991=C991,AD991/C991,(INT(AD991/B991)+(((AD991-B991*INT(AD991/B991)))/C991)/100))),0,(IF(B991=C991,AD991/C991,(INT(AD991/B991)+(((AD991-B991*INT(AD991/B991)))/C991)/100))))</f>
        <v>0</v>
      </c>
      <c r="BQ991" s="8"/>
    </row>
    <row r="992" spans="1:69" s="10" customFormat="1" hidden="1" x14ac:dyDescent="0.35">
      <c r="A992" s="56"/>
      <c r="B992" s="30">
        <v>0</v>
      </c>
      <c r="C992" s="30">
        <v>0</v>
      </c>
      <c r="D992" s="28">
        <f>SUM(AA992:AD992)</f>
        <v>0</v>
      </c>
      <c r="E992" s="30">
        <v>0</v>
      </c>
      <c r="F992" s="30">
        <v>0</v>
      </c>
      <c r="G992" s="28">
        <f>SUM(D992:F992)</f>
        <v>0</v>
      </c>
      <c r="H992" s="30">
        <v>0</v>
      </c>
      <c r="I992" s="30">
        <v>0</v>
      </c>
      <c r="J992" s="30">
        <v>0</v>
      </c>
      <c r="K992" s="30">
        <v>0</v>
      </c>
      <c r="L992" s="30">
        <v>0</v>
      </c>
      <c r="M992" s="30">
        <v>0</v>
      </c>
      <c r="N992" s="29">
        <f>G992-SUM(H992:M992)</f>
        <v>0</v>
      </c>
      <c r="O992" s="28">
        <f>SUM(V992:Y992)</f>
        <v>0</v>
      </c>
      <c r="P992" s="29">
        <f>O992-N992</f>
        <v>0</v>
      </c>
      <c r="Q992" s="61" t="str">
        <f>IF(ISERROR(P992/SUM(H992:L992)),"",P992/SUM(H992:L992))</f>
        <v/>
      </c>
      <c r="R992" s="54">
        <v>0</v>
      </c>
      <c r="S992" s="28">
        <f>IF(ISERROR(P992/C992*R992),0,(P992/C992*R992))</f>
        <v>0</v>
      </c>
      <c r="T992" s="60">
        <f>IF(ISERROR(P992/B992*AF992),0,(P992/B992*AF992))</f>
        <v>0</v>
      </c>
      <c r="U992" s="14"/>
      <c r="V992" s="93">
        <v>0</v>
      </c>
      <c r="W992" s="30"/>
      <c r="X992" s="30"/>
      <c r="Y992" s="30"/>
      <c r="Z992" s="59"/>
      <c r="AA992" s="30">
        <v>0</v>
      </c>
      <c r="AB992" s="30"/>
      <c r="AC992" s="30"/>
      <c r="AD992" s="30"/>
      <c r="AE992" s="59"/>
      <c r="AF992" s="54">
        <v>0</v>
      </c>
      <c r="AG992" s="28">
        <f>G992-O992</f>
        <v>0</v>
      </c>
      <c r="AH992" s="58">
        <f>IF(ISERROR(AG992/B992*AF992),0,(AG992/B992*AF992))</f>
        <v>0</v>
      </c>
      <c r="AI992" s="28">
        <f>SUM(H992:M992)</f>
        <v>0</v>
      </c>
      <c r="AJ992" s="28">
        <f>IF(ISERROR(AI992/B992*AF992),0,(AI992/B992*AF992))</f>
        <v>0</v>
      </c>
      <c r="AK992" s="28">
        <f>IF(ISERROR(O992/B992*AF992),0,(O992/B992*AF992))</f>
        <v>0</v>
      </c>
      <c r="AL992" s="1"/>
      <c r="AM992" s="1"/>
      <c r="AN992" s="51">
        <f>A992</f>
        <v>0</v>
      </c>
      <c r="AO992" s="57">
        <f>IF(ISERROR(IF(B992=C992,D992/C992,(INT(D992/B992)+(((D992-B992*INT(D992/B992)))/C992)/100))),0,(IF(B992=C992,D992/C992,(INT(D992/B992)+(((D992-B992*INT(D992/B992)))/C992)/100))))</f>
        <v>0</v>
      </c>
      <c r="AP992" s="57">
        <f>IF(ISERROR(IF(B992=C992,E992/C992,(INT(E992/B992)+(((E992-B992*INT(E992/B992)))/C992)/100))),0,(IF(B992=C992,E992/C992,(INT(E992/B992)+(((E992-B992*INT(E992/B992)))/C992)/100))))</f>
        <v>0</v>
      </c>
      <c r="AQ992" s="57">
        <f>IF(ISERROR(IF(B992=C992,F992/C992,IF((INT(F992/B992)+(((F992-B992*INT(F992/B992)))/C992)/100)&lt;0,(INT(F992/B992)+(((F992-B992*INT(F992/B992)))/C992)/100)+(1-(B992/C992/100)),(INT(F992/B992)+(((F992-B992*INT(F992/B992)))/C992)/100)))),0,IF(B992=C992,F992/C992,IF((INT(F992/B992)+(((F992-B992*INT(F992/B992)))/C992)/100)&lt;0,(INT(F992/B992)+(((F992-B992*INT(F992/B992)))/C992)/100)+(1-(B992/C992/100)),(INT(F992/B992)+(((F992-B992*INT(F992/B992)))/C992)/100))))</f>
        <v>0</v>
      </c>
      <c r="AR992" s="57">
        <f>IF(ISERROR(IF(B992=C992,G992/C992,(INT(G992/B992)+(((G992-B992*INT(G992/B992)))/C992)/100))),0,(IF(B992=C992,G992/C992,(INT(G992/B992)+(((G992-B992*INT(G992/B992)))/C992)/100))))</f>
        <v>0</v>
      </c>
      <c r="AS992" s="57">
        <f>IF(ISERROR(IF(B992=C992,H992/C992,(INT(H992/B992)+(((H992-B992*INT(H992/B992)))/C992)/100))),0,(IF(B992=C992,H992/C992,(INT(H992/B992)+(((H992-B992*INT(H992/B992)))/C992)/100))))</f>
        <v>0</v>
      </c>
      <c r="AT992" s="57">
        <f>IF(ISERROR(IF(B992=C992,I992/C992,(INT(I992/B992)+(((I992-B992*INT(I992/B992)))/C992)/100))),0,(IF(B992=C992,I992/C992,(INT(I992/B992)+(((I992-B992*INT(I992/B992)))/C992)/100))))</f>
        <v>0</v>
      </c>
      <c r="AU992" s="57">
        <f>IF(ISERROR(IF(B992=C992,J992/C992,(INT(J992/B992)+(((J992-B992*INT(J992/B992)))/C992)/100))),0,(IF(B992=C992,J992/C992,(INT(J992/B992)+(((J992-B992*INT(J992/B992)))/C992)/100))))</f>
        <v>0</v>
      </c>
      <c r="AV992" s="57">
        <f>IF(ISERROR(IF(B992=C992,K992/C992,IF((INT(K992/B992)+(((K992-B992*INT(K992/B992)))/C992)/100)&lt;0,(INT(K992/B992)+(((K992-B992*INT(K992/B992)))/C992)/100)+(1-(B992/C992/100)),(INT(K992/B992)+(((K992-B992*INT(K992/B992)))/C992)/100)))),0,IF(B992=C992,K992/C992,IF((INT(K992/B992)+(((K992-B992*INT(K992/B992)))/C992)/100)&lt;0,(INT(K992/B992)+(((K992-B992*INT(K992/B992)))/C992)/100)+(1-(B992/C992/100)),(INT(K992/B992)+(((K992-B992*INT(K992/B992)))/C992)/100))))</f>
        <v>0</v>
      </c>
      <c r="AW992" s="57">
        <f>IF(ISERROR(IF(B992=C992,L992/C992,(INT(L992/B992)+(((L992-B992*INT(L992/B992)))/C992)/100))),0,(IF(B992=C992,L992/C992,(INT(L992/B992)+(((L992-B992*INT(L992/B992)))/C992)/100))))</f>
        <v>0</v>
      </c>
      <c r="AX992" s="57">
        <f>IF(ISERROR(IF(B992=C992,M992/C992,(INT(M992/B992)+(((M992-B992*INT(M992/B992)))/C992)/100))),0,(IF(B992=C992,M992/C992,(INT(M992/B992)+(((M992-B992*INT(M992/B992)))/C992)/100))))</f>
        <v>0</v>
      </c>
      <c r="AY992" s="57">
        <f>IF(ISERROR(IF(B992=C992,N992/C992,IF((INT(N992/B992)+(((N992-B992*INT(N992/B992)))/C992)/100)&lt;0,(INT(N992/B992)+(((N992-B992*INT(N992/B992)))/C992)/100)+(1-(B992/C992/100)),(INT(N992/B992)+(((N992-B992*INT(N992/B992)))/C992)/100)))),0,IF(B992=C992,N992/C992,IF((INT(N992/B992)+(((N992-B992*INT(N992/B992)))/C992)/100)&lt;0,(INT(N992/B992)+(((N992-B992*INT(N992/B992)))/C992)/100)+(1-(B992/C992/100)),(INT(N992/B992)+(((N992-B992*INT(N992/B992)))/C992)/100))))</f>
        <v>0</v>
      </c>
      <c r="AZ992" s="57">
        <f>IF(ISERROR(IF(B992=C992,O992/C992,(INT(O992/B992)+(((O992-B992*INT(O992/B992)))/C992)/100))),0,(IF(B992=C992,O992/C992,(INT(O992/B992)+(((O992-B992*INT(O992/B992)))/C992)/100))))</f>
        <v>0</v>
      </c>
      <c r="BA992" s="57">
        <f>IF(ISERROR(IF(B992=C992,P992/C992,IF((INT(P992/B992)+(((P992-B992*INT(P992/B992)))/C992)/100)&lt;0,(INT(P992/B992)+(((P992-B992*INT(P992/B992)))/C992)/100)+(1-(B992/C992/100)),(INT(P992/B992)+(((P992-B992*INT(P992/B992)))/C992)/100)))),0,IF(B992=C992,P992/C992,IF((INT(P992/B992)+(((P992-B992*INT(P992/B992)))/C992)/100)&lt;0,(INT(P992/B992)+(((P992-B992*INT(P992/B992)))/C992)/100)+(1-(B992/C992/100)),(INT(P992/B992)+(((P992-B992*INT(P992/B992)))/C992)/100))))</f>
        <v>0</v>
      </c>
      <c r="BB992" s="28">
        <f>R992</f>
        <v>0</v>
      </c>
      <c r="BC992" s="28">
        <f>S992</f>
        <v>0</v>
      </c>
      <c r="BD992" s="28">
        <f>AF992</f>
        <v>0</v>
      </c>
      <c r="BE992" s="28">
        <f>T992</f>
        <v>0</v>
      </c>
      <c r="BF992" s="1"/>
      <c r="BG992" s="57">
        <f>IF(ISERROR(IF(B992=C992,V992/C992,(INT(V992/B992)+(((V992-B992*INT(V992/B992)))/C992)/100))),0,(IF(B992=C992,V992/C992,(INT(V992/B992)+(((V992-B992*INT(V992/B992)))/C992)/100))))</f>
        <v>0</v>
      </c>
      <c r="BH992" s="57">
        <f>IF(ISERROR(IF(B992=C992,W992/C992,(INT(W992/B992)+(((W992-B992*INT(W992/B992)))/C992)/100))),0,(IF(B992=C992,W992/C992,(INT(W992/B992)+(((W992-B992*INT(W992/B992)))/C992)/100))))</f>
        <v>0</v>
      </c>
      <c r="BI992" s="57">
        <f>IF(ISERROR(IF(B992=C992,X992/C992,(INT(X992/B992)+(((X992-B992*INT(X992/B992)))/C992)/100))),0,(IF(B992=C992,X992/C992,(INT(X992/B992)+(((X992-B992*INT(X992/B992)))/C992)/100))))</f>
        <v>0</v>
      </c>
      <c r="BJ992" s="57">
        <f>IF(ISERROR(IF(B992=C992,Y992/C992,(INT(Y992/B992)+(((Y992-B992*INT(Y992/B992)))/C992)/100))),0,(IF(B992=C992,Y992/C992,(INT(Y992/B992)+(((Y992-B992*INT(Y992/B992)))/C992)/100))))</f>
        <v>0</v>
      </c>
      <c r="BK992" s="1"/>
      <c r="BL992" s="57">
        <f>IF(ISERROR(IF(B992=C992,AA992/C992,(INT(AA992/B992)+(((AA992-B992*INT(AA992/B992)))/C992)/100))),0,(IF(B992=C992,AA992/C992,(INT(AA992/B992)+(((AA992-B992*INT(AA992/B992)))/C992)/100))))</f>
        <v>0</v>
      </c>
      <c r="BM992" s="57">
        <f>IF(ISERROR(IF(B992=C992,AB992/C992,(INT(AB992/B992)+(((AB992-B992*INT(AB992/B992)))/C992)/100))),0,(IF(B992=C992,AB992/C992,(INT(AB992/B992)+(((AB992-B992*INT(AB992/B992)))/C992)/100))))</f>
        <v>0</v>
      </c>
      <c r="BN992" s="57">
        <f>IF(ISERROR(IF(B992=C992,AC992/C992,(INT(AC992/B992)+(((AC992-B992*INT(AC992/B992)))/C992)/100))),0,(IF(B992=C992,AC992/C992,(INT(AC992/B992)+(((AC992-B992*INT(AC992/B992)))/C992)/100))))</f>
        <v>0</v>
      </c>
      <c r="BO992" s="57">
        <f>IF(ISERROR(IF(B992=C992,AD992/C992,(INT(AD992/B992)+(((AD992-B992*INT(AD992/B992)))/C992)/100))),0,(IF(B992=C992,AD992/C992,(INT(AD992/B992)+(((AD992-B992*INT(AD992/B992)))/C992)/100))))</f>
        <v>0</v>
      </c>
      <c r="BQ992" s="8"/>
    </row>
    <row r="993" spans="1:69" s="10" customFormat="1" hidden="1" x14ac:dyDescent="0.35">
      <c r="A993" s="56"/>
      <c r="B993" s="30">
        <v>0</v>
      </c>
      <c r="C993" s="30">
        <v>0</v>
      </c>
      <c r="D993" s="28">
        <f>SUM(AA993:AD993)</f>
        <v>0</v>
      </c>
      <c r="E993" s="30">
        <v>0</v>
      </c>
      <c r="F993" s="30">
        <v>0</v>
      </c>
      <c r="G993" s="28">
        <f>SUM(D993:F993)</f>
        <v>0</v>
      </c>
      <c r="H993" s="30">
        <v>0</v>
      </c>
      <c r="I993" s="30">
        <v>0</v>
      </c>
      <c r="J993" s="30">
        <v>0</v>
      </c>
      <c r="K993" s="30">
        <v>0</v>
      </c>
      <c r="L993" s="30">
        <v>0</v>
      </c>
      <c r="M993" s="30">
        <v>0</v>
      </c>
      <c r="N993" s="29">
        <f>G993-SUM(H993:M993)</f>
        <v>0</v>
      </c>
      <c r="O993" s="28">
        <f>SUM(V993:Y993)</f>
        <v>0</v>
      </c>
      <c r="P993" s="29">
        <f>O993-N993</f>
        <v>0</v>
      </c>
      <c r="Q993" s="61" t="str">
        <f>IF(ISERROR(P993/SUM(H993:L993)),"",P993/SUM(H993:L993))</f>
        <v/>
      </c>
      <c r="R993" s="54">
        <v>0</v>
      </c>
      <c r="S993" s="28">
        <f>IF(ISERROR(P993/C993*R993),0,(P993/C993*R993))</f>
        <v>0</v>
      </c>
      <c r="T993" s="60">
        <f>IF(ISERROR(P993/B993*AF993),0,(P993/B993*AF993))</f>
        <v>0</v>
      </c>
      <c r="U993" s="14"/>
      <c r="V993" s="93">
        <v>0</v>
      </c>
      <c r="W993" s="30"/>
      <c r="X993" s="30"/>
      <c r="Y993" s="30"/>
      <c r="Z993" s="59"/>
      <c r="AA993" s="30">
        <v>0</v>
      </c>
      <c r="AB993" s="30"/>
      <c r="AC993" s="30"/>
      <c r="AD993" s="30"/>
      <c r="AE993" s="59"/>
      <c r="AF993" s="54">
        <v>0</v>
      </c>
      <c r="AG993" s="28">
        <f>G993-O993</f>
        <v>0</v>
      </c>
      <c r="AH993" s="58">
        <f>IF(ISERROR(AG993/B993*AF993),0,(AG993/B993*AF993))</f>
        <v>0</v>
      </c>
      <c r="AI993" s="28">
        <f>SUM(H993:M993)</f>
        <v>0</v>
      </c>
      <c r="AJ993" s="28">
        <f>IF(ISERROR(AI993/B993*AF993),0,(AI993/B993*AF993))</f>
        <v>0</v>
      </c>
      <c r="AK993" s="28">
        <f>IF(ISERROR(O993/B993*AF993),0,(O993/B993*AF993))</f>
        <v>0</v>
      </c>
      <c r="AL993" s="1"/>
      <c r="AM993" s="1"/>
      <c r="AN993" s="51">
        <f>A993</f>
        <v>0</v>
      </c>
      <c r="AO993" s="57">
        <f>IF(ISERROR(IF(B993=C993,D993/C993,(INT(D993/B993)+(((D993-B993*INT(D993/B993)))/C993)/100))),0,(IF(B993=C993,D993/C993,(INT(D993/B993)+(((D993-B993*INT(D993/B993)))/C993)/100))))</f>
        <v>0</v>
      </c>
      <c r="AP993" s="57">
        <f>IF(ISERROR(IF(B993=C993,E993/C993,(INT(E993/B993)+(((E993-B993*INT(E993/B993)))/C993)/100))),0,(IF(B993=C993,E993/C993,(INT(E993/B993)+(((E993-B993*INT(E993/B993)))/C993)/100))))</f>
        <v>0</v>
      </c>
      <c r="AQ993" s="57">
        <f>IF(ISERROR(IF(B993=C993,F993/C993,IF((INT(F993/B993)+(((F993-B993*INT(F993/B993)))/C993)/100)&lt;0,(INT(F993/B993)+(((F993-B993*INT(F993/B993)))/C993)/100)+(1-(B993/C993/100)),(INT(F993/B993)+(((F993-B993*INT(F993/B993)))/C993)/100)))),0,IF(B993=C993,F993/C993,IF((INT(F993/B993)+(((F993-B993*INT(F993/B993)))/C993)/100)&lt;0,(INT(F993/B993)+(((F993-B993*INT(F993/B993)))/C993)/100)+(1-(B993/C993/100)),(INT(F993/B993)+(((F993-B993*INT(F993/B993)))/C993)/100))))</f>
        <v>0</v>
      </c>
      <c r="AR993" s="57">
        <f>IF(ISERROR(IF(B993=C993,G993/C993,(INT(G993/B993)+(((G993-B993*INT(G993/B993)))/C993)/100))),0,(IF(B993=C993,G993/C993,(INT(G993/B993)+(((G993-B993*INT(G993/B993)))/C993)/100))))</f>
        <v>0</v>
      </c>
      <c r="AS993" s="57">
        <f>IF(ISERROR(IF(B993=C993,H993/C993,(INT(H993/B993)+(((H993-B993*INT(H993/B993)))/C993)/100))),0,(IF(B993=C993,H993/C993,(INT(H993/B993)+(((H993-B993*INT(H993/B993)))/C993)/100))))</f>
        <v>0</v>
      </c>
      <c r="AT993" s="57">
        <f>IF(ISERROR(IF(B993=C993,I993/C993,(INT(I993/B993)+(((I993-B993*INT(I993/B993)))/C993)/100))),0,(IF(B993=C993,I993/C993,(INT(I993/B993)+(((I993-B993*INT(I993/B993)))/C993)/100))))</f>
        <v>0</v>
      </c>
      <c r="AU993" s="57">
        <f>IF(ISERROR(IF(B993=C993,J993/C993,(INT(J993/B993)+(((J993-B993*INT(J993/B993)))/C993)/100))),0,(IF(B993=C993,J993/C993,(INT(J993/B993)+(((J993-B993*INT(J993/B993)))/C993)/100))))</f>
        <v>0</v>
      </c>
      <c r="AV993" s="57">
        <f>IF(ISERROR(IF(B993=C993,K993/C993,IF((INT(K993/B993)+(((K993-B993*INT(K993/B993)))/C993)/100)&lt;0,(INT(K993/B993)+(((K993-B993*INT(K993/B993)))/C993)/100)+(1-(B993/C993/100)),(INT(K993/B993)+(((K993-B993*INT(K993/B993)))/C993)/100)))),0,IF(B993=C993,K993/C993,IF((INT(K993/B993)+(((K993-B993*INT(K993/B993)))/C993)/100)&lt;0,(INT(K993/B993)+(((K993-B993*INT(K993/B993)))/C993)/100)+(1-(B993/C993/100)),(INT(K993/B993)+(((K993-B993*INT(K993/B993)))/C993)/100))))</f>
        <v>0</v>
      </c>
      <c r="AW993" s="57">
        <f>IF(ISERROR(IF(B993=C993,L993/C993,(INT(L993/B993)+(((L993-B993*INT(L993/B993)))/C993)/100))),0,(IF(B993=C993,L993/C993,(INT(L993/B993)+(((L993-B993*INT(L993/B993)))/C993)/100))))</f>
        <v>0</v>
      </c>
      <c r="AX993" s="57">
        <f>IF(ISERROR(IF(B993=C993,M993/C993,(INT(M993/B993)+(((M993-B993*INT(M993/B993)))/C993)/100))),0,(IF(B993=C993,M993/C993,(INT(M993/B993)+(((M993-B993*INT(M993/B993)))/C993)/100))))</f>
        <v>0</v>
      </c>
      <c r="AY993" s="57">
        <f>IF(ISERROR(IF(B993=C993,N993/C993,IF((INT(N993/B993)+(((N993-B993*INT(N993/B993)))/C993)/100)&lt;0,(INT(N993/B993)+(((N993-B993*INT(N993/B993)))/C993)/100)+(1-(B993/C993/100)),(INT(N993/B993)+(((N993-B993*INT(N993/B993)))/C993)/100)))),0,IF(B993=C993,N993/C993,IF((INT(N993/B993)+(((N993-B993*INT(N993/B993)))/C993)/100)&lt;0,(INT(N993/B993)+(((N993-B993*INT(N993/B993)))/C993)/100)+(1-(B993/C993/100)),(INT(N993/B993)+(((N993-B993*INT(N993/B993)))/C993)/100))))</f>
        <v>0</v>
      </c>
      <c r="AZ993" s="57">
        <f>IF(ISERROR(IF(B993=C993,O993/C993,(INT(O993/B993)+(((O993-B993*INT(O993/B993)))/C993)/100))),0,(IF(B993=C993,O993/C993,(INT(O993/B993)+(((O993-B993*INT(O993/B993)))/C993)/100))))</f>
        <v>0</v>
      </c>
      <c r="BA993" s="57">
        <f>IF(ISERROR(IF(B993=C993,P993/C993,IF((INT(P993/B993)+(((P993-B993*INT(P993/B993)))/C993)/100)&lt;0,(INT(P993/B993)+(((P993-B993*INT(P993/B993)))/C993)/100)+(1-(B993/C993/100)),(INT(P993/B993)+(((P993-B993*INT(P993/B993)))/C993)/100)))),0,IF(B993=C993,P993/C993,IF((INT(P993/B993)+(((P993-B993*INT(P993/B993)))/C993)/100)&lt;0,(INT(P993/B993)+(((P993-B993*INT(P993/B993)))/C993)/100)+(1-(B993/C993/100)),(INT(P993/B993)+(((P993-B993*INT(P993/B993)))/C993)/100))))</f>
        <v>0</v>
      </c>
      <c r="BB993" s="28">
        <f>R993</f>
        <v>0</v>
      </c>
      <c r="BC993" s="28">
        <f>S993</f>
        <v>0</v>
      </c>
      <c r="BD993" s="28">
        <f>AF993</f>
        <v>0</v>
      </c>
      <c r="BE993" s="28">
        <f>T993</f>
        <v>0</v>
      </c>
      <c r="BF993" s="1"/>
      <c r="BG993" s="57">
        <f>IF(ISERROR(IF(B993=C993,V993/C993,(INT(V993/B993)+(((V993-B993*INT(V993/B993)))/C993)/100))),0,(IF(B993=C993,V993/C993,(INT(V993/B993)+(((V993-B993*INT(V993/B993)))/C993)/100))))</f>
        <v>0</v>
      </c>
      <c r="BH993" s="57">
        <f>IF(ISERROR(IF(B993=C993,W993/C993,(INT(W993/B993)+(((W993-B993*INT(W993/B993)))/C993)/100))),0,(IF(B993=C993,W993/C993,(INT(W993/B993)+(((W993-B993*INT(W993/B993)))/C993)/100))))</f>
        <v>0</v>
      </c>
      <c r="BI993" s="57">
        <f>IF(ISERROR(IF(B993=C993,X993/C993,(INT(X993/B993)+(((X993-B993*INT(X993/B993)))/C993)/100))),0,(IF(B993=C993,X993/C993,(INT(X993/B993)+(((X993-B993*INT(X993/B993)))/C993)/100))))</f>
        <v>0</v>
      </c>
      <c r="BJ993" s="57">
        <f>IF(ISERROR(IF(B993=C993,Y993/C993,(INT(Y993/B993)+(((Y993-B993*INT(Y993/B993)))/C993)/100))),0,(IF(B993=C993,Y993/C993,(INT(Y993/B993)+(((Y993-B993*INT(Y993/B993)))/C993)/100))))</f>
        <v>0</v>
      </c>
      <c r="BK993" s="1"/>
      <c r="BL993" s="57">
        <f>IF(ISERROR(IF(B993=C993,AA993/C993,(INT(AA993/B993)+(((AA993-B993*INT(AA993/B993)))/C993)/100))),0,(IF(B993=C993,AA993/C993,(INT(AA993/B993)+(((AA993-B993*INT(AA993/B993)))/C993)/100))))</f>
        <v>0</v>
      </c>
      <c r="BM993" s="57">
        <f>IF(ISERROR(IF(B993=C993,AB993/C993,(INT(AB993/B993)+(((AB993-B993*INT(AB993/B993)))/C993)/100))),0,(IF(B993=C993,AB993/C993,(INT(AB993/B993)+(((AB993-B993*INT(AB993/B993)))/C993)/100))))</f>
        <v>0</v>
      </c>
      <c r="BN993" s="57">
        <f>IF(ISERROR(IF(B993=C993,AC993/C993,(INT(AC993/B993)+(((AC993-B993*INT(AC993/B993)))/C993)/100))),0,(IF(B993=C993,AC993/C993,(INT(AC993/B993)+(((AC993-B993*INT(AC993/B993)))/C993)/100))))</f>
        <v>0</v>
      </c>
      <c r="BO993" s="57">
        <f>IF(ISERROR(IF(B993=C993,AD993/C993,(INT(AD993/B993)+(((AD993-B993*INT(AD993/B993)))/C993)/100))),0,(IF(B993=C993,AD993/C993,(INT(AD993/B993)+(((AD993-B993*INT(AD993/B993)))/C993)/100))))</f>
        <v>0</v>
      </c>
      <c r="BQ993" s="8"/>
    </row>
    <row r="994" spans="1:69" s="10" customFormat="1" hidden="1" x14ac:dyDescent="0.35">
      <c r="A994" s="56"/>
      <c r="B994" s="30">
        <v>0</v>
      </c>
      <c r="C994" s="30">
        <v>0</v>
      </c>
      <c r="D994" s="28">
        <f>SUM(AA994:AD994)</f>
        <v>0</v>
      </c>
      <c r="E994" s="30">
        <v>0</v>
      </c>
      <c r="F994" s="30">
        <v>0</v>
      </c>
      <c r="G994" s="28">
        <f>SUM(D994:F994)</f>
        <v>0</v>
      </c>
      <c r="H994" s="30">
        <v>0</v>
      </c>
      <c r="I994" s="30">
        <v>0</v>
      </c>
      <c r="J994" s="30">
        <v>0</v>
      </c>
      <c r="K994" s="30">
        <v>0</v>
      </c>
      <c r="L994" s="30">
        <v>0</v>
      </c>
      <c r="M994" s="30">
        <v>0</v>
      </c>
      <c r="N994" s="29">
        <f>G994-SUM(H994:M994)</f>
        <v>0</v>
      </c>
      <c r="O994" s="28">
        <f>SUM(V994:Y994)</f>
        <v>0</v>
      </c>
      <c r="P994" s="29">
        <f>O994-N994</f>
        <v>0</v>
      </c>
      <c r="Q994" s="61" t="str">
        <f>IF(ISERROR(P994/SUM(H994:L994)),"",P994/SUM(H994:L994))</f>
        <v/>
      </c>
      <c r="R994" s="54">
        <v>0</v>
      </c>
      <c r="S994" s="28">
        <f>IF(ISERROR(P994/C994*R994),0,(P994/C994*R994))</f>
        <v>0</v>
      </c>
      <c r="T994" s="60">
        <f>IF(ISERROR(P994/B994*AF994),0,(P994/B994*AF994))</f>
        <v>0</v>
      </c>
      <c r="U994" s="14"/>
      <c r="V994" s="93">
        <v>0</v>
      </c>
      <c r="W994" s="30"/>
      <c r="X994" s="30"/>
      <c r="Y994" s="30"/>
      <c r="Z994" s="59"/>
      <c r="AA994" s="30">
        <v>0</v>
      </c>
      <c r="AB994" s="30"/>
      <c r="AC994" s="30"/>
      <c r="AD994" s="30"/>
      <c r="AE994" s="59"/>
      <c r="AF994" s="54">
        <v>0</v>
      </c>
      <c r="AG994" s="28">
        <f>G994-O994</f>
        <v>0</v>
      </c>
      <c r="AH994" s="58">
        <f>IF(ISERROR(AG994/B994*AF994),0,(AG994/B994*AF994))</f>
        <v>0</v>
      </c>
      <c r="AI994" s="28">
        <f>SUM(H994:M994)</f>
        <v>0</v>
      </c>
      <c r="AJ994" s="28">
        <f>IF(ISERROR(AI994/B994*AF994),0,(AI994/B994*AF994))</f>
        <v>0</v>
      </c>
      <c r="AK994" s="28">
        <f>IF(ISERROR(O994/B994*AF994),0,(O994/B994*AF994))</f>
        <v>0</v>
      </c>
      <c r="AL994" s="1"/>
      <c r="AM994" s="1"/>
      <c r="AN994" s="51">
        <f>A994</f>
        <v>0</v>
      </c>
      <c r="AO994" s="57">
        <f>IF(ISERROR(IF(B994=C994,D994/C994,(INT(D994/B994)+(((D994-B994*INT(D994/B994)))/C994)/100))),0,(IF(B994=C994,D994/C994,(INT(D994/B994)+(((D994-B994*INT(D994/B994)))/C994)/100))))</f>
        <v>0</v>
      </c>
      <c r="AP994" s="57">
        <f>IF(ISERROR(IF(B994=C994,E994/C994,(INT(E994/B994)+(((E994-B994*INT(E994/B994)))/C994)/100))),0,(IF(B994=C994,E994/C994,(INT(E994/B994)+(((E994-B994*INT(E994/B994)))/C994)/100))))</f>
        <v>0</v>
      </c>
      <c r="AQ994" s="57">
        <f>IF(ISERROR(IF(B994=C994,F994/C994,IF((INT(F994/B994)+(((F994-B994*INT(F994/B994)))/C994)/100)&lt;0,(INT(F994/B994)+(((F994-B994*INT(F994/B994)))/C994)/100)+(1-(B994/C994/100)),(INT(F994/B994)+(((F994-B994*INT(F994/B994)))/C994)/100)))),0,IF(B994=C994,F994/C994,IF((INT(F994/B994)+(((F994-B994*INT(F994/B994)))/C994)/100)&lt;0,(INT(F994/B994)+(((F994-B994*INT(F994/B994)))/C994)/100)+(1-(B994/C994/100)),(INT(F994/B994)+(((F994-B994*INT(F994/B994)))/C994)/100))))</f>
        <v>0</v>
      </c>
      <c r="AR994" s="57">
        <f>IF(ISERROR(IF(B994=C994,G994/C994,(INT(G994/B994)+(((G994-B994*INT(G994/B994)))/C994)/100))),0,(IF(B994=C994,G994/C994,(INT(G994/B994)+(((G994-B994*INT(G994/B994)))/C994)/100))))</f>
        <v>0</v>
      </c>
      <c r="AS994" s="57">
        <f>IF(ISERROR(IF(B994=C994,H994/C994,(INT(H994/B994)+(((H994-B994*INT(H994/B994)))/C994)/100))),0,(IF(B994=C994,H994/C994,(INT(H994/B994)+(((H994-B994*INT(H994/B994)))/C994)/100))))</f>
        <v>0</v>
      </c>
      <c r="AT994" s="57">
        <f>IF(ISERROR(IF(B994=C994,I994/C994,(INT(I994/B994)+(((I994-B994*INT(I994/B994)))/C994)/100))),0,(IF(B994=C994,I994/C994,(INT(I994/B994)+(((I994-B994*INT(I994/B994)))/C994)/100))))</f>
        <v>0</v>
      </c>
      <c r="AU994" s="57">
        <f>IF(ISERROR(IF(B994=C994,J994/C994,(INT(J994/B994)+(((J994-B994*INT(J994/B994)))/C994)/100))),0,(IF(B994=C994,J994/C994,(INT(J994/B994)+(((J994-B994*INT(J994/B994)))/C994)/100))))</f>
        <v>0</v>
      </c>
      <c r="AV994" s="57">
        <f>IF(ISERROR(IF(B994=C994,K994/C994,IF((INT(K994/B994)+(((K994-B994*INT(K994/B994)))/C994)/100)&lt;0,(INT(K994/B994)+(((K994-B994*INT(K994/B994)))/C994)/100)+(1-(B994/C994/100)),(INT(K994/B994)+(((K994-B994*INT(K994/B994)))/C994)/100)))),0,IF(B994=C994,K994/C994,IF((INT(K994/B994)+(((K994-B994*INT(K994/B994)))/C994)/100)&lt;0,(INT(K994/B994)+(((K994-B994*INT(K994/B994)))/C994)/100)+(1-(B994/C994/100)),(INT(K994/B994)+(((K994-B994*INT(K994/B994)))/C994)/100))))</f>
        <v>0</v>
      </c>
      <c r="AW994" s="57">
        <f>IF(ISERROR(IF(B994=C994,L994/C994,(INT(L994/B994)+(((L994-B994*INT(L994/B994)))/C994)/100))),0,(IF(B994=C994,L994/C994,(INT(L994/B994)+(((L994-B994*INT(L994/B994)))/C994)/100))))</f>
        <v>0</v>
      </c>
      <c r="AX994" s="57">
        <f>IF(ISERROR(IF(B994=C994,M994/C994,(INT(M994/B994)+(((M994-B994*INT(M994/B994)))/C994)/100))),0,(IF(B994=C994,M994/C994,(INT(M994/B994)+(((M994-B994*INT(M994/B994)))/C994)/100))))</f>
        <v>0</v>
      </c>
      <c r="AY994" s="57">
        <f>IF(ISERROR(IF(B994=C994,N994/C994,IF((INT(N994/B994)+(((N994-B994*INT(N994/B994)))/C994)/100)&lt;0,(INT(N994/B994)+(((N994-B994*INT(N994/B994)))/C994)/100)+(1-(B994/C994/100)),(INT(N994/B994)+(((N994-B994*INT(N994/B994)))/C994)/100)))),0,IF(B994=C994,N994/C994,IF((INT(N994/B994)+(((N994-B994*INT(N994/B994)))/C994)/100)&lt;0,(INT(N994/B994)+(((N994-B994*INT(N994/B994)))/C994)/100)+(1-(B994/C994/100)),(INT(N994/B994)+(((N994-B994*INT(N994/B994)))/C994)/100))))</f>
        <v>0</v>
      </c>
      <c r="AZ994" s="57">
        <f>IF(ISERROR(IF(B994=C994,O994/C994,(INT(O994/B994)+(((O994-B994*INT(O994/B994)))/C994)/100))),0,(IF(B994=C994,O994/C994,(INT(O994/B994)+(((O994-B994*INT(O994/B994)))/C994)/100))))</f>
        <v>0</v>
      </c>
      <c r="BA994" s="57">
        <f>IF(ISERROR(IF(B994=C994,P994/C994,IF((INT(P994/B994)+(((P994-B994*INT(P994/B994)))/C994)/100)&lt;0,(INT(P994/B994)+(((P994-B994*INT(P994/B994)))/C994)/100)+(1-(B994/C994/100)),(INT(P994/B994)+(((P994-B994*INT(P994/B994)))/C994)/100)))),0,IF(B994=C994,P994/C994,IF((INT(P994/B994)+(((P994-B994*INT(P994/B994)))/C994)/100)&lt;0,(INT(P994/B994)+(((P994-B994*INT(P994/B994)))/C994)/100)+(1-(B994/C994/100)),(INT(P994/B994)+(((P994-B994*INT(P994/B994)))/C994)/100))))</f>
        <v>0</v>
      </c>
      <c r="BB994" s="28">
        <f>R994</f>
        <v>0</v>
      </c>
      <c r="BC994" s="28">
        <f>S994</f>
        <v>0</v>
      </c>
      <c r="BD994" s="28">
        <f>AF994</f>
        <v>0</v>
      </c>
      <c r="BE994" s="28">
        <f>T994</f>
        <v>0</v>
      </c>
      <c r="BF994" s="1"/>
      <c r="BG994" s="57">
        <f>IF(ISERROR(IF(B994=C994,V994/C994,(INT(V994/B994)+(((V994-B994*INT(V994/B994)))/C994)/100))),0,(IF(B994=C994,V994/C994,(INT(V994/B994)+(((V994-B994*INT(V994/B994)))/C994)/100))))</f>
        <v>0</v>
      </c>
      <c r="BH994" s="57">
        <f>IF(ISERROR(IF(B994=C994,W994/C994,(INT(W994/B994)+(((W994-B994*INT(W994/B994)))/C994)/100))),0,(IF(B994=C994,W994/C994,(INT(W994/B994)+(((W994-B994*INT(W994/B994)))/C994)/100))))</f>
        <v>0</v>
      </c>
      <c r="BI994" s="57">
        <f>IF(ISERROR(IF(B994=C994,X994/C994,(INT(X994/B994)+(((X994-B994*INT(X994/B994)))/C994)/100))),0,(IF(B994=C994,X994/C994,(INT(X994/B994)+(((X994-B994*INT(X994/B994)))/C994)/100))))</f>
        <v>0</v>
      </c>
      <c r="BJ994" s="57">
        <f>IF(ISERROR(IF(B994=C994,Y994/C994,(INT(Y994/B994)+(((Y994-B994*INT(Y994/B994)))/C994)/100))),0,(IF(B994=C994,Y994/C994,(INT(Y994/B994)+(((Y994-B994*INT(Y994/B994)))/C994)/100))))</f>
        <v>0</v>
      </c>
      <c r="BK994" s="1"/>
      <c r="BL994" s="57">
        <f>IF(ISERROR(IF(B994=C994,AA994/C994,(INT(AA994/B994)+(((AA994-B994*INT(AA994/B994)))/C994)/100))),0,(IF(B994=C994,AA994/C994,(INT(AA994/B994)+(((AA994-B994*INT(AA994/B994)))/C994)/100))))</f>
        <v>0</v>
      </c>
      <c r="BM994" s="57">
        <f>IF(ISERROR(IF(B994=C994,AB994/C994,(INT(AB994/B994)+(((AB994-B994*INT(AB994/B994)))/C994)/100))),0,(IF(B994=C994,AB994/C994,(INT(AB994/B994)+(((AB994-B994*INT(AB994/B994)))/C994)/100))))</f>
        <v>0</v>
      </c>
      <c r="BN994" s="57">
        <f>IF(ISERROR(IF(B994=C994,AC994/C994,(INT(AC994/B994)+(((AC994-B994*INT(AC994/B994)))/C994)/100))),0,(IF(B994=C994,AC994/C994,(INT(AC994/B994)+(((AC994-B994*INT(AC994/B994)))/C994)/100))))</f>
        <v>0</v>
      </c>
      <c r="BO994" s="57">
        <f>IF(ISERROR(IF(B994=C994,AD994/C994,(INT(AD994/B994)+(((AD994-B994*INT(AD994/B994)))/C994)/100))),0,(IF(B994=C994,AD994/C994,(INT(AD994/B994)+(((AD994-B994*INT(AD994/B994)))/C994)/100))))</f>
        <v>0</v>
      </c>
      <c r="BQ994" s="8"/>
    </row>
    <row r="995" spans="1:69" s="10" customFormat="1" hidden="1" x14ac:dyDescent="0.35">
      <c r="A995" s="56"/>
      <c r="B995" s="30">
        <v>0</v>
      </c>
      <c r="C995" s="30">
        <v>0</v>
      </c>
      <c r="D995" s="28">
        <f>SUM(AA995:AD995)</f>
        <v>0</v>
      </c>
      <c r="E995" s="30">
        <v>0</v>
      </c>
      <c r="F995" s="30">
        <v>0</v>
      </c>
      <c r="G995" s="28">
        <f>SUM(D995:F995)</f>
        <v>0</v>
      </c>
      <c r="H995" s="30">
        <v>0</v>
      </c>
      <c r="I995" s="30">
        <v>0</v>
      </c>
      <c r="J995" s="30">
        <v>0</v>
      </c>
      <c r="K995" s="30">
        <v>0</v>
      </c>
      <c r="L995" s="30">
        <v>0</v>
      </c>
      <c r="M995" s="30">
        <v>0</v>
      </c>
      <c r="N995" s="29">
        <f>G995-SUM(H995:M995)</f>
        <v>0</v>
      </c>
      <c r="O995" s="28">
        <f>SUM(V995:Y995)</f>
        <v>0</v>
      </c>
      <c r="P995" s="29">
        <f>O995-N995</f>
        <v>0</v>
      </c>
      <c r="Q995" s="61" t="str">
        <f>IF(ISERROR(P995/SUM(H995:L995)),"",P995/SUM(H995:L995))</f>
        <v/>
      </c>
      <c r="R995" s="54">
        <v>0</v>
      </c>
      <c r="S995" s="28">
        <f>IF(ISERROR(P995/C995*R995),0,(P995/C995*R995))</f>
        <v>0</v>
      </c>
      <c r="T995" s="60">
        <f>IF(ISERROR(P995/B995*AF995),0,(P995/B995*AF995))</f>
        <v>0</v>
      </c>
      <c r="U995" s="14"/>
      <c r="V995" s="93">
        <v>0</v>
      </c>
      <c r="W995" s="30"/>
      <c r="X995" s="30"/>
      <c r="Y995" s="30"/>
      <c r="Z995" s="59"/>
      <c r="AA995" s="30">
        <v>0</v>
      </c>
      <c r="AB995" s="30"/>
      <c r="AC995" s="30"/>
      <c r="AD995" s="30"/>
      <c r="AE995" s="59"/>
      <c r="AF995" s="54">
        <v>0</v>
      </c>
      <c r="AG995" s="28">
        <f>G995-O995</f>
        <v>0</v>
      </c>
      <c r="AH995" s="58">
        <f>IF(ISERROR(AG995/B995*AF995),0,(AG995/B995*AF995))</f>
        <v>0</v>
      </c>
      <c r="AI995" s="28">
        <f>SUM(H995:M995)</f>
        <v>0</v>
      </c>
      <c r="AJ995" s="28">
        <f>IF(ISERROR(AI995/B995*AF995),0,(AI995/B995*AF995))</f>
        <v>0</v>
      </c>
      <c r="AK995" s="28">
        <f>IF(ISERROR(O995/B995*AF995),0,(O995/B995*AF995))</f>
        <v>0</v>
      </c>
      <c r="AL995" s="1"/>
      <c r="AM995" s="1"/>
      <c r="AN995" s="51">
        <f>A995</f>
        <v>0</v>
      </c>
      <c r="AO995" s="57">
        <f>IF(ISERROR(IF(B995=C995,D995/C995,(INT(D995/B995)+(((D995-B995*INT(D995/B995)))/C995)/100))),0,(IF(B995=C995,D995/C995,(INT(D995/B995)+(((D995-B995*INT(D995/B995)))/C995)/100))))</f>
        <v>0</v>
      </c>
      <c r="AP995" s="57">
        <f>IF(ISERROR(IF(B995=C995,E995/C995,(INT(E995/B995)+(((E995-B995*INT(E995/B995)))/C995)/100))),0,(IF(B995=C995,E995/C995,(INT(E995/B995)+(((E995-B995*INT(E995/B995)))/C995)/100))))</f>
        <v>0</v>
      </c>
      <c r="AQ995" s="57">
        <f>IF(ISERROR(IF(B995=C995,F995/C995,IF((INT(F995/B995)+(((F995-B995*INT(F995/B995)))/C995)/100)&lt;0,(INT(F995/B995)+(((F995-B995*INT(F995/B995)))/C995)/100)+(1-(B995/C995/100)),(INT(F995/B995)+(((F995-B995*INT(F995/B995)))/C995)/100)))),0,IF(B995=C995,F995/C995,IF((INT(F995/B995)+(((F995-B995*INT(F995/B995)))/C995)/100)&lt;0,(INT(F995/B995)+(((F995-B995*INT(F995/B995)))/C995)/100)+(1-(B995/C995/100)),(INT(F995/B995)+(((F995-B995*INT(F995/B995)))/C995)/100))))</f>
        <v>0</v>
      </c>
      <c r="AR995" s="57">
        <f>IF(ISERROR(IF(B995=C995,G995/C995,(INT(G995/B995)+(((G995-B995*INT(G995/B995)))/C995)/100))),0,(IF(B995=C995,G995/C995,(INT(G995/B995)+(((G995-B995*INT(G995/B995)))/C995)/100))))</f>
        <v>0</v>
      </c>
      <c r="AS995" s="57">
        <f>IF(ISERROR(IF(B995=C995,H995/C995,(INT(H995/B995)+(((H995-B995*INT(H995/B995)))/C995)/100))),0,(IF(B995=C995,H995/C995,(INT(H995/B995)+(((H995-B995*INT(H995/B995)))/C995)/100))))</f>
        <v>0</v>
      </c>
      <c r="AT995" s="57">
        <f>IF(ISERROR(IF(B995=C995,I995/C995,(INT(I995/B995)+(((I995-B995*INT(I995/B995)))/C995)/100))),0,(IF(B995=C995,I995/C995,(INT(I995/B995)+(((I995-B995*INT(I995/B995)))/C995)/100))))</f>
        <v>0</v>
      </c>
      <c r="AU995" s="57">
        <f>IF(ISERROR(IF(B995=C995,J995/C995,(INT(J995/B995)+(((J995-B995*INT(J995/B995)))/C995)/100))),0,(IF(B995=C995,J995/C995,(INT(J995/B995)+(((J995-B995*INT(J995/B995)))/C995)/100))))</f>
        <v>0</v>
      </c>
      <c r="AV995" s="57">
        <f>IF(ISERROR(IF(B995=C995,K995/C995,IF((INT(K995/B995)+(((K995-B995*INT(K995/B995)))/C995)/100)&lt;0,(INT(K995/B995)+(((K995-B995*INT(K995/B995)))/C995)/100)+(1-(B995/C995/100)),(INT(K995/B995)+(((K995-B995*INT(K995/B995)))/C995)/100)))),0,IF(B995=C995,K995/C995,IF((INT(K995/B995)+(((K995-B995*INT(K995/B995)))/C995)/100)&lt;0,(INT(K995/B995)+(((K995-B995*INT(K995/B995)))/C995)/100)+(1-(B995/C995/100)),(INT(K995/B995)+(((K995-B995*INT(K995/B995)))/C995)/100))))</f>
        <v>0</v>
      </c>
      <c r="AW995" s="57">
        <f>IF(ISERROR(IF(B995=C995,L995/C995,(INT(L995/B995)+(((L995-B995*INT(L995/B995)))/C995)/100))),0,(IF(B995=C995,L995/C995,(INT(L995/B995)+(((L995-B995*INT(L995/B995)))/C995)/100))))</f>
        <v>0</v>
      </c>
      <c r="AX995" s="57">
        <f>IF(ISERROR(IF(B995=C995,M995/C995,(INT(M995/B995)+(((M995-B995*INT(M995/B995)))/C995)/100))),0,(IF(B995=C995,M995/C995,(INT(M995/B995)+(((M995-B995*INT(M995/B995)))/C995)/100))))</f>
        <v>0</v>
      </c>
      <c r="AY995" s="57">
        <f>IF(ISERROR(IF(B995=C995,N995/C995,IF((INT(N995/B995)+(((N995-B995*INT(N995/B995)))/C995)/100)&lt;0,(INT(N995/B995)+(((N995-B995*INT(N995/B995)))/C995)/100)+(1-(B995/C995/100)),(INT(N995/B995)+(((N995-B995*INT(N995/B995)))/C995)/100)))),0,IF(B995=C995,N995/C995,IF((INT(N995/B995)+(((N995-B995*INT(N995/B995)))/C995)/100)&lt;0,(INT(N995/B995)+(((N995-B995*INT(N995/B995)))/C995)/100)+(1-(B995/C995/100)),(INT(N995/B995)+(((N995-B995*INT(N995/B995)))/C995)/100))))</f>
        <v>0</v>
      </c>
      <c r="AZ995" s="57">
        <f>IF(ISERROR(IF(B995=C995,O995/C995,(INT(O995/B995)+(((O995-B995*INT(O995/B995)))/C995)/100))),0,(IF(B995=C995,O995/C995,(INT(O995/B995)+(((O995-B995*INT(O995/B995)))/C995)/100))))</f>
        <v>0</v>
      </c>
      <c r="BA995" s="57">
        <f>IF(ISERROR(IF(B995=C995,P995/C995,IF((INT(P995/B995)+(((P995-B995*INT(P995/B995)))/C995)/100)&lt;0,(INT(P995/B995)+(((P995-B995*INT(P995/B995)))/C995)/100)+(1-(B995/C995/100)),(INT(P995/B995)+(((P995-B995*INT(P995/B995)))/C995)/100)))),0,IF(B995=C995,P995/C995,IF((INT(P995/B995)+(((P995-B995*INT(P995/B995)))/C995)/100)&lt;0,(INT(P995/B995)+(((P995-B995*INT(P995/B995)))/C995)/100)+(1-(B995/C995/100)),(INT(P995/B995)+(((P995-B995*INT(P995/B995)))/C995)/100))))</f>
        <v>0</v>
      </c>
      <c r="BB995" s="28">
        <f>R995</f>
        <v>0</v>
      </c>
      <c r="BC995" s="28">
        <f>S995</f>
        <v>0</v>
      </c>
      <c r="BD995" s="28">
        <f>AF995</f>
        <v>0</v>
      </c>
      <c r="BE995" s="28">
        <f>T995</f>
        <v>0</v>
      </c>
      <c r="BF995" s="1"/>
      <c r="BG995" s="57">
        <f>IF(ISERROR(IF(B995=C995,V995/C995,(INT(V995/B995)+(((V995-B995*INT(V995/B995)))/C995)/100))),0,(IF(B995=C995,V995/C995,(INT(V995/B995)+(((V995-B995*INT(V995/B995)))/C995)/100))))</f>
        <v>0</v>
      </c>
      <c r="BH995" s="57">
        <f>IF(ISERROR(IF(B995=C995,W995/C995,(INT(W995/B995)+(((W995-B995*INT(W995/B995)))/C995)/100))),0,(IF(B995=C995,W995/C995,(INT(W995/B995)+(((W995-B995*INT(W995/B995)))/C995)/100))))</f>
        <v>0</v>
      </c>
      <c r="BI995" s="57">
        <f>IF(ISERROR(IF(B995=C995,X995/C995,(INT(X995/B995)+(((X995-B995*INT(X995/B995)))/C995)/100))),0,(IF(B995=C995,X995/C995,(INT(X995/B995)+(((X995-B995*INT(X995/B995)))/C995)/100))))</f>
        <v>0</v>
      </c>
      <c r="BJ995" s="57">
        <f>IF(ISERROR(IF(B995=C995,Y995/C995,(INT(Y995/B995)+(((Y995-B995*INT(Y995/B995)))/C995)/100))),0,(IF(B995=C995,Y995/C995,(INT(Y995/B995)+(((Y995-B995*INT(Y995/B995)))/C995)/100))))</f>
        <v>0</v>
      </c>
      <c r="BK995" s="1"/>
      <c r="BL995" s="57">
        <f>IF(ISERROR(IF(B995=C995,AA995/C995,(INT(AA995/B995)+(((AA995-B995*INT(AA995/B995)))/C995)/100))),0,(IF(B995=C995,AA995/C995,(INT(AA995/B995)+(((AA995-B995*INT(AA995/B995)))/C995)/100))))</f>
        <v>0</v>
      </c>
      <c r="BM995" s="57">
        <f>IF(ISERROR(IF(B995=C995,AB995/C995,(INT(AB995/B995)+(((AB995-B995*INT(AB995/B995)))/C995)/100))),0,(IF(B995=C995,AB995/C995,(INT(AB995/B995)+(((AB995-B995*INT(AB995/B995)))/C995)/100))))</f>
        <v>0</v>
      </c>
      <c r="BN995" s="57">
        <f>IF(ISERROR(IF(B995=C995,AC995/C995,(INT(AC995/B995)+(((AC995-B995*INT(AC995/B995)))/C995)/100))),0,(IF(B995=C995,AC995/C995,(INT(AC995/B995)+(((AC995-B995*INT(AC995/B995)))/C995)/100))))</f>
        <v>0</v>
      </c>
      <c r="BO995" s="57">
        <f>IF(ISERROR(IF(B995=C995,AD995/C995,(INT(AD995/B995)+(((AD995-B995*INT(AD995/B995)))/C995)/100))),0,(IF(B995=C995,AD995/C995,(INT(AD995/B995)+(((AD995-B995*INT(AD995/B995)))/C995)/100))))</f>
        <v>0</v>
      </c>
      <c r="BQ995" s="8"/>
    </row>
    <row r="996" spans="1:69" s="10" customFormat="1" hidden="1" x14ac:dyDescent="0.35">
      <c r="A996" s="56"/>
      <c r="B996" s="30">
        <v>0</v>
      </c>
      <c r="C996" s="30">
        <v>0</v>
      </c>
      <c r="D996" s="28">
        <f>SUM(AA996:AD996)</f>
        <v>0</v>
      </c>
      <c r="E996" s="30">
        <v>0</v>
      </c>
      <c r="F996" s="30">
        <v>0</v>
      </c>
      <c r="G996" s="28">
        <f>SUM(D996:F996)</f>
        <v>0</v>
      </c>
      <c r="H996" s="30">
        <v>0</v>
      </c>
      <c r="I996" s="30">
        <v>0</v>
      </c>
      <c r="J996" s="30">
        <v>0</v>
      </c>
      <c r="K996" s="30">
        <v>0</v>
      </c>
      <c r="L996" s="30">
        <v>0</v>
      </c>
      <c r="M996" s="30">
        <v>0</v>
      </c>
      <c r="N996" s="29">
        <f>G996-SUM(H996:M996)</f>
        <v>0</v>
      </c>
      <c r="O996" s="28">
        <f>SUM(V996:Y996)</f>
        <v>0</v>
      </c>
      <c r="P996" s="29">
        <f>O996-N996</f>
        <v>0</v>
      </c>
      <c r="Q996" s="61" t="str">
        <f>IF(ISERROR(P996/SUM(H996:L996)),"",P996/SUM(H996:L996))</f>
        <v/>
      </c>
      <c r="R996" s="54">
        <v>0</v>
      </c>
      <c r="S996" s="28">
        <f>IF(ISERROR(P996/C996*R996),0,(P996/C996*R996))</f>
        <v>0</v>
      </c>
      <c r="T996" s="60">
        <f>IF(ISERROR(P996/B996*AF996),0,(P996/B996*AF996))</f>
        <v>0</v>
      </c>
      <c r="U996" s="14"/>
      <c r="V996" s="93">
        <v>0</v>
      </c>
      <c r="W996" s="30"/>
      <c r="X996" s="30"/>
      <c r="Y996" s="30"/>
      <c r="Z996" s="59"/>
      <c r="AA996" s="30">
        <v>0</v>
      </c>
      <c r="AB996" s="30"/>
      <c r="AC996" s="30"/>
      <c r="AD996" s="30"/>
      <c r="AE996" s="59"/>
      <c r="AF996" s="54">
        <v>0</v>
      </c>
      <c r="AG996" s="28">
        <f>G996-O996</f>
        <v>0</v>
      </c>
      <c r="AH996" s="58">
        <f>IF(ISERROR(AG996/B996*AF996),0,(AG996/B996*AF996))</f>
        <v>0</v>
      </c>
      <c r="AI996" s="28">
        <f>SUM(H996:M996)</f>
        <v>0</v>
      </c>
      <c r="AJ996" s="28">
        <f>IF(ISERROR(AI996/B996*AF996),0,(AI996/B996*AF996))</f>
        <v>0</v>
      </c>
      <c r="AK996" s="28">
        <f>IF(ISERROR(O996/B996*AF996),0,(O996/B996*AF996))</f>
        <v>0</v>
      </c>
      <c r="AL996" s="1"/>
      <c r="AM996" s="1"/>
      <c r="AN996" s="51">
        <f>A996</f>
        <v>0</v>
      </c>
      <c r="AO996" s="57">
        <f>IF(ISERROR(IF(B996=C996,D996/C996,(INT(D996/B996)+(((D996-B996*INT(D996/B996)))/C996)/100))),0,(IF(B996=C996,D996/C996,(INT(D996/B996)+(((D996-B996*INT(D996/B996)))/C996)/100))))</f>
        <v>0</v>
      </c>
      <c r="AP996" s="57">
        <f>IF(ISERROR(IF(B996=C996,E996/C996,(INT(E996/B996)+(((E996-B996*INT(E996/B996)))/C996)/100))),0,(IF(B996=C996,E996/C996,(INT(E996/B996)+(((E996-B996*INT(E996/B996)))/C996)/100))))</f>
        <v>0</v>
      </c>
      <c r="AQ996" s="57">
        <f>IF(ISERROR(IF(B996=C996,F996/C996,IF((INT(F996/B996)+(((F996-B996*INT(F996/B996)))/C996)/100)&lt;0,(INT(F996/B996)+(((F996-B996*INT(F996/B996)))/C996)/100)+(1-(B996/C996/100)),(INT(F996/B996)+(((F996-B996*INT(F996/B996)))/C996)/100)))),0,IF(B996=C996,F996/C996,IF((INT(F996/B996)+(((F996-B996*INT(F996/B996)))/C996)/100)&lt;0,(INT(F996/B996)+(((F996-B996*INT(F996/B996)))/C996)/100)+(1-(B996/C996/100)),(INT(F996/B996)+(((F996-B996*INT(F996/B996)))/C996)/100))))</f>
        <v>0</v>
      </c>
      <c r="AR996" s="57">
        <f>IF(ISERROR(IF(B996=C996,G996/C996,(INT(G996/B996)+(((G996-B996*INT(G996/B996)))/C996)/100))),0,(IF(B996=C996,G996/C996,(INT(G996/B996)+(((G996-B996*INT(G996/B996)))/C996)/100))))</f>
        <v>0</v>
      </c>
      <c r="AS996" s="57">
        <f>IF(ISERROR(IF(B996=C996,H996/C996,(INT(H996/B996)+(((H996-B996*INT(H996/B996)))/C996)/100))),0,(IF(B996=C996,H996/C996,(INT(H996/B996)+(((H996-B996*INT(H996/B996)))/C996)/100))))</f>
        <v>0</v>
      </c>
      <c r="AT996" s="57">
        <f>IF(ISERROR(IF(B996=C996,I996/C996,(INT(I996/B996)+(((I996-B996*INT(I996/B996)))/C996)/100))),0,(IF(B996=C996,I996/C996,(INT(I996/B996)+(((I996-B996*INT(I996/B996)))/C996)/100))))</f>
        <v>0</v>
      </c>
      <c r="AU996" s="57">
        <f>IF(ISERROR(IF(B996=C996,J996/C996,(INT(J996/B996)+(((J996-B996*INT(J996/B996)))/C996)/100))),0,(IF(B996=C996,J996/C996,(INT(J996/B996)+(((J996-B996*INT(J996/B996)))/C996)/100))))</f>
        <v>0</v>
      </c>
      <c r="AV996" s="57">
        <f>IF(ISERROR(IF(B996=C996,K996/C996,IF((INT(K996/B996)+(((K996-B996*INT(K996/B996)))/C996)/100)&lt;0,(INT(K996/B996)+(((K996-B996*INT(K996/B996)))/C996)/100)+(1-(B996/C996/100)),(INT(K996/B996)+(((K996-B996*INT(K996/B996)))/C996)/100)))),0,IF(B996=C996,K996/C996,IF((INT(K996/B996)+(((K996-B996*INT(K996/B996)))/C996)/100)&lt;0,(INT(K996/B996)+(((K996-B996*INT(K996/B996)))/C996)/100)+(1-(B996/C996/100)),(INT(K996/B996)+(((K996-B996*INT(K996/B996)))/C996)/100))))</f>
        <v>0</v>
      </c>
      <c r="AW996" s="57">
        <f>IF(ISERROR(IF(B996=C996,L996/C996,(INT(L996/B996)+(((L996-B996*INT(L996/B996)))/C996)/100))),0,(IF(B996=C996,L996/C996,(INT(L996/B996)+(((L996-B996*INT(L996/B996)))/C996)/100))))</f>
        <v>0</v>
      </c>
      <c r="AX996" s="57">
        <f>IF(ISERROR(IF(B996=C996,M996/C996,(INT(M996/B996)+(((M996-B996*INT(M996/B996)))/C996)/100))),0,(IF(B996=C996,M996/C996,(INT(M996/B996)+(((M996-B996*INT(M996/B996)))/C996)/100))))</f>
        <v>0</v>
      </c>
      <c r="AY996" s="57">
        <f>IF(ISERROR(IF(B996=C996,N996/C996,IF((INT(N996/B996)+(((N996-B996*INT(N996/B996)))/C996)/100)&lt;0,(INT(N996/B996)+(((N996-B996*INT(N996/B996)))/C996)/100)+(1-(B996/C996/100)),(INT(N996/B996)+(((N996-B996*INT(N996/B996)))/C996)/100)))),0,IF(B996=C996,N996/C996,IF((INT(N996/B996)+(((N996-B996*INT(N996/B996)))/C996)/100)&lt;0,(INT(N996/B996)+(((N996-B996*INT(N996/B996)))/C996)/100)+(1-(B996/C996/100)),(INT(N996/B996)+(((N996-B996*INT(N996/B996)))/C996)/100))))</f>
        <v>0</v>
      </c>
      <c r="AZ996" s="57">
        <f>IF(ISERROR(IF(B996=C996,O996/C996,(INT(O996/B996)+(((O996-B996*INT(O996/B996)))/C996)/100))),0,(IF(B996=C996,O996/C996,(INT(O996/B996)+(((O996-B996*INT(O996/B996)))/C996)/100))))</f>
        <v>0</v>
      </c>
      <c r="BA996" s="57">
        <f>IF(ISERROR(IF(B996=C996,P996/C996,IF((INT(P996/B996)+(((P996-B996*INT(P996/B996)))/C996)/100)&lt;0,(INT(P996/B996)+(((P996-B996*INT(P996/B996)))/C996)/100)+(1-(B996/C996/100)),(INT(P996/B996)+(((P996-B996*INT(P996/B996)))/C996)/100)))),0,IF(B996=C996,P996/C996,IF((INT(P996/B996)+(((P996-B996*INT(P996/B996)))/C996)/100)&lt;0,(INT(P996/B996)+(((P996-B996*INT(P996/B996)))/C996)/100)+(1-(B996/C996/100)),(INT(P996/B996)+(((P996-B996*INT(P996/B996)))/C996)/100))))</f>
        <v>0</v>
      </c>
      <c r="BB996" s="28">
        <f>R996</f>
        <v>0</v>
      </c>
      <c r="BC996" s="28">
        <f>S996</f>
        <v>0</v>
      </c>
      <c r="BD996" s="28">
        <f>AF996</f>
        <v>0</v>
      </c>
      <c r="BE996" s="28">
        <f>T996</f>
        <v>0</v>
      </c>
      <c r="BF996" s="1"/>
      <c r="BG996" s="57">
        <f>IF(ISERROR(IF(B996=C996,V996/C996,(INT(V996/B996)+(((V996-B996*INT(V996/B996)))/C996)/100))),0,(IF(B996=C996,V996/C996,(INT(V996/B996)+(((V996-B996*INT(V996/B996)))/C996)/100))))</f>
        <v>0</v>
      </c>
      <c r="BH996" s="57">
        <f>IF(ISERROR(IF(B996=C996,W996/C996,(INT(W996/B996)+(((W996-B996*INT(W996/B996)))/C996)/100))),0,(IF(B996=C996,W996/C996,(INT(W996/B996)+(((W996-B996*INT(W996/B996)))/C996)/100))))</f>
        <v>0</v>
      </c>
      <c r="BI996" s="57">
        <f>IF(ISERROR(IF(B996=C996,X996/C996,(INT(X996/B996)+(((X996-B996*INT(X996/B996)))/C996)/100))),0,(IF(B996=C996,X996/C996,(INT(X996/B996)+(((X996-B996*INT(X996/B996)))/C996)/100))))</f>
        <v>0</v>
      </c>
      <c r="BJ996" s="57">
        <f>IF(ISERROR(IF(B996=C996,Y996/C996,(INT(Y996/B996)+(((Y996-B996*INT(Y996/B996)))/C996)/100))),0,(IF(B996=C996,Y996/C996,(INT(Y996/B996)+(((Y996-B996*INT(Y996/B996)))/C996)/100))))</f>
        <v>0</v>
      </c>
      <c r="BK996" s="1"/>
      <c r="BL996" s="57">
        <f>IF(ISERROR(IF(B996=C996,AA996/C996,(INT(AA996/B996)+(((AA996-B996*INT(AA996/B996)))/C996)/100))),0,(IF(B996=C996,AA996/C996,(INT(AA996/B996)+(((AA996-B996*INT(AA996/B996)))/C996)/100))))</f>
        <v>0</v>
      </c>
      <c r="BM996" s="57">
        <f>IF(ISERROR(IF(B996=C996,AB996/C996,(INT(AB996/B996)+(((AB996-B996*INT(AB996/B996)))/C996)/100))),0,(IF(B996=C996,AB996/C996,(INT(AB996/B996)+(((AB996-B996*INT(AB996/B996)))/C996)/100))))</f>
        <v>0</v>
      </c>
      <c r="BN996" s="57">
        <f>IF(ISERROR(IF(B996=C996,AC996/C996,(INT(AC996/B996)+(((AC996-B996*INT(AC996/B996)))/C996)/100))),0,(IF(B996=C996,AC996/C996,(INT(AC996/B996)+(((AC996-B996*INT(AC996/B996)))/C996)/100))))</f>
        <v>0</v>
      </c>
      <c r="BO996" s="57">
        <f>IF(ISERROR(IF(B996=C996,AD996/C996,(INT(AD996/B996)+(((AD996-B996*INT(AD996/B996)))/C996)/100))),0,(IF(B996=C996,AD996/C996,(INT(AD996/B996)+(((AD996-B996*INT(AD996/B996)))/C996)/100))))</f>
        <v>0</v>
      </c>
      <c r="BQ996" s="8"/>
    </row>
    <row r="997" spans="1:69" s="10" customFormat="1" hidden="1" x14ac:dyDescent="0.35">
      <c r="A997" s="56"/>
      <c r="B997" s="30">
        <v>0</v>
      </c>
      <c r="C997" s="30">
        <v>0</v>
      </c>
      <c r="D997" s="28">
        <f>SUM(AA997:AD997)</f>
        <v>0</v>
      </c>
      <c r="E997" s="30">
        <v>0</v>
      </c>
      <c r="F997" s="30">
        <v>0</v>
      </c>
      <c r="G997" s="28">
        <f>SUM(D997:F997)</f>
        <v>0</v>
      </c>
      <c r="H997" s="30">
        <v>0</v>
      </c>
      <c r="I997" s="30">
        <v>0</v>
      </c>
      <c r="J997" s="30">
        <v>0</v>
      </c>
      <c r="K997" s="30">
        <v>0</v>
      </c>
      <c r="L997" s="30">
        <v>0</v>
      </c>
      <c r="M997" s="30">
        <v>0</v>
      </c>
      <c r="N997" s="29">
        <f>G997-SUM(H997:M997)</f>
        <v>0</v>
      </c>
      <c r="O997" s="28">
        <f>SUM(V997:Y997)</f>
        <v>0</v>
      </c>
      <c r="P997" s="29">
        <f>O997-N997</f>
        <v>0</v>
      </c>
      <c r="Q997" s="61" t="str">
        <f>IF(ISERROR(P997/SUM(H997:L997)),"",P997/SUM(H997:L997))</f>
        <v/>
      </c>
      <c r="R997" s="54">
        <v>0</v>
      </c>
      <c r="S997" s="28">
        <f>IF(ISERROR(P997/C997*R997),0,(P997/C997*R997))</f>
        <v>0</v>
      </c>
      <c r="T997" s="60">
        <f>IF(ISERROR(P997/B997*AF997),0,(P997/B997*AF997))</f>
        <v>0</v>
      </c>
      <c r="U997" s="14"/>
      <c r="V997" s="93">
        <v>0</v>
      </c>
      <c r="W997" s="30"/>
      <c r="X997" s="30"/>
      <c r="Y997" s="30"/>
      <c r="Z997" s="59"/>
      <c r="AA997" s="30">
        <v>0</v>
      </c>
      <c r="AB997" s="30"/>
      <c r="AC997" s="30"/>
      <c r="AD997" s="30"/>
      <c r="AE997" s="59"/>
      <c r="AF997" s="54">
        <v>0</v>
      </c>
      <c r="AG997" s="28">
        <f>G997-O997</f>
        <v>0</v>
      </c>
      <c r="AH997" s="58">
        <f>IF(ISERROR(AG997/B997*AF997),0,(AG997/B997*AF997))</f>
        <v>0</v>
      </c>
      <c r="AI997" s="28">
        <f>SUM(H997:M997)</f>
        <v>0</v>
      </c>
      <c r="AJ997" s="28">
        <f>IF(ISERROR(AI997/B997*AF997),0,(AI997/B997*AF997))</f>
        <v>0</v>
      </c>
      <c r="AK997" s="28">
        <f>IF(ISERROR(O997/B997*AF997),0,(O997/B997*AF997))</f>
        <v>0</v>
      </c>
      <c r="AL997" s="1"/>
      <c r="AM997" s="1"/>
      <c r="AN997" s="51">
        <f>A997</f>
        <v>0</v>
      </c>
      <c r="AO997" s="57">
        <f>IF(ISERROR(IF(B997=C997,D997/C997,(INT(D997/B997)+(((D997-B997*INT(D997/B997)))/C997)/100))),0,(IF(B997=C997,D997/C997,(INT(D997/B997)+(((D997-B997*INT(D997/B997)))/C997)/100))))</f>
        <v>0</v>
      </c>
      <c r="AP997" s="57">
        <f>IF(ISERROR(IF(B997=C997,E997/C997,(INT(E997/B997)+(((E997-B997*INT(E997/B997)))/C997)/100))),0,(IF(B997=C997,E997/C997,(INT(E997/B997)+(((E997-B997*INT(E997/B997)))/C997)/100))))</f>
        <v>0</v>
      </c>
      <c r="AQ997" s="57">
        <f>IF(ISERROR(IF(B997=C997,F997/C997,IF((INT(F997/B997)+(((F997-B997*INT(F997/B997)))/C997)/100)&lt;0,(INT(F997/B997)+(((F997-B997*INT(F997/B997)))/C997)/100)+(1-(B997/C997/100)),(INT(F997/B997)+(((F997-B997*INT(F997/B997)))/C997)/100)))),0,IF(B997=C997,F997/C997,IF((INT(F997/B997)+(((F997-B997*INT(F997/B997)))/C997)/100)&lt;0,(INT(F997/B997)+(((F997-B997*INT(F997/B997)))/C997)/100)+(1-(B997/C997/100)),(INT(F997/B997)+(((F997-B997*INT(F997/B997)))/C997)/100))))</f>
        <v>0</v>
      </c>
      <c r="AR997" s="57">
        <f>IF(ISERROR(IF(B997=C997,G997/C997,(INT(G997/B997)+(((G997-B997*INT(G997/B997)))/C997)/100))),0,(IF(B997=C997,G997/C997,(INT(G997/B997)+(((G997-B997*INT(G997/B997)))/C997)/100))))</f>
        <v>0</v>
      </c>
      <c r="AS997" s="57">
        <f>IF(ISERROR(IF(B997=C997,H997/C997,(INT(H997/B997)+(((H997-B997*INT(H997/B997)))/C997)/100))),0,(IF(B997=C997,H997/C997,(INT(H997/B997)+(((H997-B997*INT(H997/B997)))/C997)/100))))</f>
        <v>0</v>
      </c>
      <c r="AT997" s="57">
        <f>IF(ISERROR(IF(B997=C997,I997/C997,(INT(I997/B997)+(((I997-B997*INT(I997/B997)))/C997)/100))),0,(IF(B997=C997,I997/C997,(INT(I997/B997)+(((I997-B997*INT(I997/B997)))/C997)/100))))</f>
        <v>0</v>
      </c>
      <c r="AU997" s="57">
        <f>IF(ISERROR(IF(B997=C997,J997/C997,(INT(J997/B997)+(((J997-B997*INT(J997/B997)))/C997)/100))),0,(IF(B997=C997,J997/C997,(INT(J997/B997)+(((J997-B997*INT(J997/B997)))/C997)/100))))</f>
        <v>0</v>
      </c>
      <c r="AV997" s="57">
        <f>IF(ISERROR(IF(B997=C997,K997/C997,IF((INT(K997/B997)+(((K997-B997*INT(K997/B997)))/C997)/100)&lt;0,(INT(K997/B997)+(((K997-B997*INT(K997/B997)))/C997)/100)+(1-(B997/C997/100)),(INT(K997/B997)+(((K997-B997*INT(K997/B997)))/C997)/100)))),0,IF(B997=C997,K997/C997,IF((INT(K997/B997)+(((K997-B997*INT(K997/B997)))/C997)/100)&lt;0,(INT(K997/B997)+(((K997-B997*INT(K997/B997)))/C997)/100)+(1-(B997/C997/100)),(INT(K997/B997)+(((K997-B997*INT(K997/B997)))/C997)/100))))</f>
        <v>0</v>
      </c>
      <c r="AW997" s="57">
        <f>IF(ISERROR(IF(B997=C997,L997/C997,(INT(L997/B997)+(((L997-B997*INT(L997/B997)))/C997)/100))),0,(IF(B997=C997,L997/C997,(INT(L997/B997)+(((L997-B997*INT(L997/B997)))/C997)/100))))</f>
        <v>0</v>
      </c>
      <c r="AX997" s="57">
        <f>IF(ISERROR(IF(B997=C997,M997/C997,(INT(M997/B997)+(((M997-B997*INT(M997/B997)))/C997)/100))),0,(IF(B997=C997,M997/C997,(INT(M997/B997)+(((M997-B997*INT(M997/B997)))/C997)/100))))</f>
        <v>0</v>
      </c>
      <c r="AY997" s="57">
        <f>IF(ISERROR(IF(B997=C997,N997/C997,IF((INT(N997/B997)+(((N997-B997*INT(N997/B997)))/C997)/100)&lt;0,(INT(N997/B997)+(((N997-B997*INT(N997/B997)))/C997)/100)+(1-(B997/C997/100)),(INT(N997/B997)+(((N997-B997*INT(N997/B997)))/C997)/100)))),0,IF(B997=C997,N997/C997,IF((INT(N997/B997)+(((N997-B997*INT(N997/B997)))/C997)/100)&lt;0,(INT(N997/B997)+(((N997-B997*INT(N997/B997)))/C997)/100)+(1-(B997/C997/100)),(INT(N997/B997)+(((N997-B997*INT(N997/B997)))/C997)/100))))</f>
        <v>0</v>
      </c>
      <c r="AZ997" s="57">
        <f>IF(ISERROR(IF(B997=C997,O997/C997,(INT(O997/B997)+(((O997-B997*INT(O997/B997)))/C997)/100))),0,(IF(B997=C997,O997/C997,(INT(O997/B997)+(((O997-B997*INT(O997/B997)))/C997)/100))))</f>
        <v>0</v>
      </c>
      <c r="BA997" s="57">
        <f>IF(ISERROR(IF(B997=C997,P997/C997,IF((INT(P997/B997)+(((P997-B997*INT(P997/B997)))/C997)/100)&lt;0,(INT(P997/B997)+(((P997-B997*INT(P997/B997)))/C997)/100)+(1-(B997/C997/100)),(INT(P997/B997)+(((P997-B997*INT(P997/B997)))/C997)/100)))),0,IF(B997=C997,P997/C997,IF((INT(P997/B997)+(((P997-B997*INT(P997/B997)))/C997)/100)&lt;0,(INT(P997/B997)+(((P997-B997*INT(P997/B997)))/C997)/100)+(1-(B997/C997/100)),(INT(P997/B997)+(((P997-B997*INT(P997/B997)))/C997)/100))))</f>
        <v>0</v>
      </c>
      <c r="BB997" s="28">
        <f>R997</f>
        <v>0</v>
      </c>
      <c r="BC997" s="28">
        <f>S997</f>
        <v>0</v>
      </c>
      <c r="BD997" s="28">
        <f>AF997</f>
        <v>0</v>
      </c>
      <c r="BE997" s="28">
        <f>T997</f>
        <v>0</v>
      </c>
      <c r="BF997" s="1"/>
      <c r="BG997" s="57">
        <f>IF(ISERROR(IF(B997=C997,V997/C997,(INT(V997/B997)+(((V997-B997*INT(V997/B997)))/C997)/100))),0,(IF(B997=C997,V997/C997,(INT(V997/B997)+(((V997-B997*INT(V997/B997)))/C997)/100))))</f>
        <v>0</v>
      </c>
      <c r="BH997" s="57">
        <f>IF(ISERROR(IF(B997=C997,W997/C997,(INT(W997/B997)+(((W997-B997*INT(W997/B997)))/C997)/100))),0,(IF(B997=C997,W997/C997,(INT(W997/B997)+(((W997-B997*INT(W997/B997)))/C997)/100))))</f>
        <v>0</v>
      </c>
      <c r="BI997" s="57">
        <f>IF(ISERROR(IF(B997=C997,X997/C997,(INT(X997/B997)+(((X997-B997*INT(X997/B997)))/C997)/100))),0,(IF(B997=C997,X997/C997,(INT(X997/B997)+(((X997-B997*INT(X997/B997)))/C997)/100))))</f>
        <v>0</v>
      </c>
      <c r="BJ997" s="57">
        <f>IF(ISERROR(IF(B997=C997,Y997/C997,(INT(Y997/B997)+(((Y997-B997*INT(Y997/B997)))/C997)/100))),0,(IF(B997=C997,Y997/C997,(INT(Y997/B997)+(((Y997-B997*INT(Y997/B997)))/C997)/100))))</f>
        <v>0</v>
      </c>
      <c r="BK997" s="1"/>
      <c r="BL997" s="57">
        <f>IF(ISERROR(IF(B997=C997,AA997/C997,(INT(AA997/B997)+(((AA997-B997*INT(AA997/B997)))/C997)/100))),0,(IF(B997=C997,AA997/C997,(INT(AA997/B997)+(((AA997-B997*INT(AA997/B997)))/C997)/100))))</f>
        <v>0</v>
      </c>
      <c r="BM997" s="57">
        <f>IF(ISERROR(IF(B997=C997,AB997/C997,(INT(AB997/B997)+(((AB997-B997*INT(AB997/B997)))/C997)/100))),0,(IF(B997=C997,AB997/C997,(INT(AB997/B997)+(((AB997-B997*INT(AB997/B997)))/C997)/100))))</f>
        <v>0</v>
      </c>
      <c r="BN997" s="57">
        <f>IF(ISERROR(IF(B997=C997,AC997/C997,(INT(AC997/B997)+(((AC997-B997*INT(AC997/B997)))/C997)/100))),0,(IF(B997=C997,AC997/C997,(INT(AC997/B997)+(((AC997-B997*INT(AC997/B997)))/C997)/100))))</f>
        <v>0</v>
      </c>
      <c r="BO997" s="57">
        <f>IF(ISERROR(IF(B997=C997,AD997/C997,(INT(AD997/B997)+(((AD997-B997*INT(AD997/B997)))/C997)/100))),0,(IF(B997=C997,AD997/C997,(INT(AD997/B997)+(((AD997-B997*INT(AD997/B997)))/C997)/100))))</f>
        <v>0</v>
      </c>
      <c r="BQ997" s="8"/>
    </row>
    <row r="998" spans="1:69" s="10" customFormat="1" hidden="1" x14ac:dyDescent="0.35">
      <c r="A998" s="56"/>
      <c r="B998" s="30">
        <v>0</v>
      </c>
      <c r="C998" s="30">
        <v>0</v>
      </c>
      <c r="D998" s="28">
        <f>SUM(AA998:AD998)</f>
        <v>0</v>
      </c>
      <c r="E998" s="30">
        <v>0</v>
      </c>
      <c r="F998" s="30">
        <v>0</v>
      </c>
      <c r="G998" s="28">
        <f>SUM(D998:F998)</f>
        <v>0</v>
      </c>
      <c r="H998" s="30">
        <v>0</v>
      </c>
      <c r="I998" s="30">
        <v>0</v>
      </c>
      <c r="J998" s="30">
        <v>0</v>
      </c>
      <c r="K998" s="30">
        <v>0</v>
      </c>
      <c r="L998" s="30">
        <v>0</v>
      </c>
      <c r="M998" s="30">
        <v>0</v>
      </c>
      <c r="N998" s="29">
        <f>G998-SUM(H998:M998)</f>
        <v>0</v>
      </c>
      <c r="O998" s="28">
        <f>SUM(V998:Y998)</f>
        <v>0</v>
      </c>
      <c r="P998" s="29">
        <f>O998-N998</f>
        <v>0</v>
      </c>
      <c r="Q998" s="61" t="str">
        <f>IF(ISERROR(P998/SUM(H998:L998)),"",P998/SUM(H998:L998))</f>
        <v/>
      </c>
      <c r="R998" s="54">
        <v>0</v>
      </c>
      <c r="S998" s="28">
        <f>IF(ISERROR(P998/C998*R998),0,(P998/C998*R998))</f>
        <v>0</v>
      </c>
      <c r="T998" s="60">
        <f>IF(ISERROR(P998/B998*AF998),0,(P998/B998*AF998))</f>
        <v>0</v>
      </c>
      <c r="U998" s="14"/>
      <c r="V998" s="93">
        <v>0</v>
      </c>
      <c r="W998" s="30"/>
      <c r="X998" s="30"/>
      <c r="Y998" s="30"/>
      <c r="Z998" s="59"/>
      <c r="AA998" s="30">
        <v>0</v>
      </c>
      <c r="AB998" s="30"/>
      <c r="AC998" s="30"/>
      <c r="AD998" s="30"/>
      <c r="AE998" s="59"/>
      <c r="AF998" s="54">
        <v>0</v>
      </c>
      <c r="AG998" s="28">
        <f>G998-O998</f>
        <v>0</v>
      </c>
      <c r="AH998" s="58">
        <f>IF(ISERROR(AG998/B998*AF998),0,(AG998/B998*AF998))</f>
        <v>0</v>
      </c>
      <c r="AI998" s="28">
        <f>SUM(H998:M998)</f>
        <v>0</v>
      </c>
      <c r="AJ998" s="28">
        <f>IF(ISERROR(AI998/B998*AF998),0,(AI998/B998*AF998))</f>
        <v>0</v>
      </c>
      <c r="AK998" s="28">
        <f>IF(ISERROR(O998/B998*AF998),0,(O998/B998*AF998))</f>
        <v>0</v>
      </c>
      <c r="AL998" s="1"/>
      <c r="AM998" s="1"/>
      <c r="AN998" s="51">
        <f>A998</f>
        <v>0</v>
      </c>
      <c r="AO998" s="57">
        <f>IF(ISERROR(IF(B998=C998,D998/C998,(INT(D998/B998)+(((D998-B998*INT(D998/B998)))/C998)/100))),0,(IF(B998=C998,D998/C998,(INT(D998/B998)+(((D998-B998*INT(D998/B998)))/C998)/100))))</f>
        <v>0</v>
      </c>
      <c r="AP998" s="57">
        <f>IF(ISERROR(IF(B998=C998,E998/C998,(INT(E998/B998)+(((E998-B998*INT(E998/B998)))/C998)/100))),0,(IF(B998=C998,E998/C998,(INT(E998/B998)+(((E998-B998*INT(E998/B998)))/C998)/100))))</f>
        <v>0</v>
      </c>
      <c r="AQ998" s="57">
        <f>IF(ISERROR(IF(B998=C998,F998/C998,IF((INT(F998/B998)+(((F998-B998*INT(F998/B998)))/C998)/100)&lt;0,(INT(F998/B998)+(((F998-B998*INT(F998/B998)))/C998)/100)+(1-(B998/C998/100)),(INT(F998/B998)+(((F998-B998*INT(F998/B998)))/C998)/100)))),0,IF(B998=C998,F998/C998,IF((INT(F998/B998)+(((F998-B998*INT(F998/B998)))/C998)/100)&lt;0,(INT(F998/B998)+(((F998-B998*INT(F998/B998)))/C998)/100)+(1-(B998/C998/100)),(INT(F998/B998)+(((F998-B998*INT(F998/B998)))/C998)/100))))</f>
        <v>0</v>
      </c>
      <c r="AR998" s="57">
        <f>IF(ISERROR(IF(B998=C998,G998/C998,(INT(G998/B998)+(((G998-B998*INT(G998/B998)))/C998)/100))),0,(IF(B998=C998,G998/C998,(INT(G998/B998)+(((G998-B998*INT(G998/B998)))/C998)/100))))</f>
        <v>0</v>
      </c>
      <c r="AS998" s="57">
        <f>IF(ISERROR(IF(B998=C998,H998/C998,(INT(H998/B998)+(((H998-B998*INT(H998/B998)))/C998)/100))),0,(IF(B998=C998,H998/C998,(INT(H998/B998)+(((H998-B998*INT(H998/B998)))/C998)/100))))</f>
        <v>0</v>
      </c>
      <c r="AT998" s="57">
        <f>IF(ISERROR(IF(B998=C998,I998/C998,(INT(I998/B998)+(((I998-B998*INT(I998/B998)))/C998)/100))),0,(IF(B998=C998,I998/C998,(INT(I998/B998)+(((I998-B998*INT(I998/B998)))/C998)/100))))</f>
        <v>0</v>
      </c>
      <c r="AU998" s="57">
        <f>IF(ISERROR(IF(B998=C998,J998/C998,(INT(J998/B998)+(((J998-B998*INT(J998/B998)))/C998)/100))),0,(IF(B998=C998,J998/C998,(INT(J998/B998)+(((J998-B998*INT(J998/B998)))/C998)/100))))</f>
        <v>0</v>
      </c>
      <c r="AV998" s="57">
        <f>IF(ISERROR(IF(B998=C998,K998/C998,IF((INT(K998/B998)+(((K998-B998*INT(K998/B998)))/C998)/100)&lt;0,(INT(K998/B998)+(((K998-B998*INT(K998/B998)))/C998)/100)+(1-(B998/C998/100)),(INT(K998/B998)+(((K998-B998*INT(K998/B998)))/C998)/100)))),0,IF(B998=C998,K998/C998,IF((INT(K998/B998)+(((K998-B998*INT(K998/B998)))/C998)/100)&lt;0,(INT(K998/B998)+(((K998-B998*INT(K998/B998)))/C998)/100)+(1-(B998/C998/100)),(INT(K998/B998)+(((K998-B998*INT(K998/B998)))/C998)/100))))</f>
        <v>0</v>
      </c>
      <c r="AW998" s="57">
        <f>IF(ISERROR(IF(B998=C998,L998/C998,(INT(L998/B998)+(((L998-B998*INT(L998/B998)))/C998)/100))),0,(IF(B998=C998,L998/C998,(INT(L998/B998)+(((L998-B998*INT(L998/B998)))/C998)/100))))</f>
        <v>0</v>
      </c>
      <c r="AX998" s="57">
        <f>IF(ISERROR(IF(B998=C998,M998/C998,(INT(M998/B998)+(((M998-B998*INT(M998/B998)))/C998)/100))),0,(IF(B998=C998,M998/C998,(INT(M998/B998)+(((M998-B998*INT(M998/B998)))/C998)/100))))</f>
        <v>0</v>
      </c>
      <c r="AY998" s="57">
        <f>IF(ISERROR(IF(B998=C998,N998/C998,IF((INT(N998/B998)+(((N998-B998*INT(N998/B998)))/C998)/100)&lt;0,(INT(N998/B998)+(((N998-B998*INT(N998/B998)))/C998)/100)+(1-(B998/C998/100)),(INT(N998/B998)+(((N998-B998*INT(N998/B998)))/C998)/100)))),0,IF(B998=C998,N998/C998,IF((INT(N998/B998)+(((N998-B998*INT(N998/B998)))/C998)/100)&lt;0,(INT(N998/B998)+(((N998-B998*INT(N998/B998)))/C998)/100)+(1-(B998/C998/100)),(INT(N998/B998)+(((N998-B998*INT(N998/B998)))/C998)/100))))</f>
        <v>0</v>
      </c>
      <c r="AZ998" s="57">
        <f>IF(ISERROR(IF(B998=C998,O998/C998,(INT(O998/B998)+(((O998-B998*INT(O998/B998)))/C998)/100))),0,(IF(B998=C998,O998/C998,(INT(O998/B998)+(((O998-B998*INT(O998/B998)))/C998)/100))))</f>
        <v>0</v>
      </c>
      <c r="BA998" s="57">
        <f>IF(ISERROR(IF(B998=C998,P998/C998,IF((INT(P998/B998)+(((P998-B998*INT(P998/B998)))/C998)/100)&lt;0,(INT(P998/B998)+(((P998-B998*INT(P998/B998)))/C998)/100)+(1-(B998/C998/100)),(INT(P998/B998)+(((P998-B998*INT(P998/B998)))/C998)/100)))),0,IF(B998=C998,P998/C998,IF((INT(P998/B998)+(((P998-B998*INT(P998/B998)))/C998)/100)&lt;0,(INT(P998/B998)+(((P998-B998*INT(P998/B998)))/C998)/100)+(1-(B998/C998/100)),(INT(P998/B998)+(((P998-B998*INT(P998/B998)))/C998)/100))))</f>
        <v>0</v>
      </c>
      <c r="BB998" s="28">
        <f>R998</f>
        <v>0</v>
      </c>
      <c r="BC998" s="28">
        <f>S998</f>
        <v>0</v>
      </c>
      <c r="BD998" s="28">
        <f>AF998</f>
        <v>0</v>
      </c>
      <c r="BE998" s="28">
        <f>T998</f>
        <v>0</v>
      </c>
      <c r="BF998" s="1"/>
      <c r="BG998" s="57">
        <f>IF(ISERROR(IF(B998=C998,V998/C998,(INT(V998/B998)+(((V998-B998*INT(V998/B998)))/C998)/100))),0,(IF(B998=C998,V998/C998,(INT(V998/B998)+(((V998-B998*INT(V998/B998)))/C998)/100))))</f>
        <v>0</v>
      </c>
      <c r="BH998" s="57">
        <f>IF(ISERROR(IF(B998=C998,W998/C998,(INT(W998/B998)+(((W998-B998*INT(W998/B998)))/C998)/100))),0,(IF(B998=C998,W998/C998,(INT(W998/B998)+(((W998-B998*INT(W998/B998)))/C998)/100))))</f>
        <v>0</v>
      </c>
      <c r="BI998" s="57">
        <f>IF(ISERROR(IF(B998=C998,X998/C998,(INT(X998/B998)+(((X998-B998*INT(X998/B998)))/C998)/100))),0,(IF(B998=C998,X998/C998,(INT(X998/B998)+(((X998-B998*INT(X998/B998)))/C998)/100))))</f>
        <v>0</v>
      </c>
      <c r="BJ998" s="57">
        <f>IF(ISERROR(IF(B998=C998,Y998/C998,(INT(Y998/B998)+(((Y998-B998*INT(Y998/B998)))/C998)/100))),0,(IF(B998=C998,Y998/C998,(INT(Y998/B998)+(((Y998-B998*INT(Y998/B998)))/C998)/100))))</f>
        <v>0</v>
      </c>
      <c r="BK998" s="1"/>
      <c r="BL998" s="57">
        <f>IF(ISERROR(IF(B998=C998,AA998/C998,(INT(AA998/B998)+(((AA998-B998*INT(AA998/B998)))/C998)/100))),0,(IF(B998=C998,AA998/C998,(INT(AA998/B998)+(((AA998-B998*INT(AA998/B998)))/C998)/100))))</f>
        <v>0</v>
      </c>
      <c r="BM998" s="57">
        <f>IF(ISERROR(IF(B998=C998,AB998/C998,(INT(AB998/B998)+(((AB998-B998*INT(AB998/B998)))/C998)/100))),0,(IF(B998=C998,AB998/C998,(INT(AB998/B998)+(((AB998-B998*INT(AB998/B998)))/C998)/100))))</f>
        <v>0</v>
      </c>
      <c r="BN998" s="57">
        <f>IF(ISERROR(IF(B998=C998,AC998/C998,(INT(AC998/B998)+(((AC998-B998*INT(AC998/B998)))/C998)/100))),0,(IF(B998=C998,AC998/C998,(INT(AC998/B998)+(((AC998-B998*INT(AC998/B998)))/C998)/100))))</f>
        <v>0</v>
      </c>
      <c r="BO998" s="57">
        <f>IF(ISERROR(IF(B998=C998,AD998/C998,(INT(AD998/B998)+(((AD998-B998*INT(AD998/B998)))/C998)/100))),0,(IF(B998=C998,AD998/C998,(INT(AD998/B998)+(((AD998-B998*INT(AD998/B998)))/C998)/100))))</f>
        <v>0</v>
      </c>
      <c r="BQ998" s="8"/>
    </row>
    <row r="999" spans="1:69" s="10" customFormat="1" hidden="1" x14ac:dyDescent="0.35">
      <c r="A999" s="56"/>
      <c r="B999" s="30">
        <v>0</v>
      </c>
      <c r="C999" s="30">
        <v>0</v>
      </c>
      <c r="D999" s="28">
        <f>SUM(AA999:AD999)</f>
        <v>0</v>
      </c>
      <c r="E999" s="30">
        <v>0</v>
      </c>
      <c r="F999" s="30">
        <v>0</v>
      </c>
      <c r="G999" s="28">
        <f>SUM(D999:F999)</f>
        <v>0</v>
      </c>
      <c r="H999" s="30">
        <v>0</v>
      </c>
      <c r="I999" s="30">
        <v>0</v>
      </c>
      <c r="J999" s="30">
        <v>0</v>
      </c>
      <c r="K999" s="30">
        <v>0</v>
      </c>
      <c r="L999" s="30">
        <v>0</v>
      </c>
      <c r="M999" s="30">
        <v>0</v>
      </c>
      <c r="N999" s="29">
        <f>G999-SUM(H999:M999)</f>
        <v>0</v>
      </c>
      <c r="O999" s="28">
        <f>SUM(V999:Y999)</f>
        <v>0</v>
      </c>
      <c r="P999" s="29">
        <f>O999-N999</f>
        <v>0</v>
      </c>
      <c r="Q999" s="61" t="str">
        <f>IF(ISERROR(P999/SUM(H999:L999)),"",P999/SUM(H999:L999))</f>
        <v/>
      </c>
      <c r="R999" s="54">
        <v>0</v>
      </c>
      <c r="S999" s="28">
        <f>IF(ISERROR(P999/C999*R999),0,(P999/C999*R999))</f>
        <v>0</v>
      </c>
      <c r="T999" s="60">
        <f>IF(ISERROR(P999/B999*AF999),0,(P999/B999*AF999))</f>
        <v>0</v>
      </c>
      <c r="U999" s="14"/>
      <c r="V999" s="93">
        <v>0</v>
      </c>
      <c r="W999" s="30"/>
      <c r="X999" s="30"/>
      <c r="Y999" s="30"/>
      <c r="Z999" s="59"/>
      <c r="AA999" s="30">
        <v>0</v>
      </c>
      <c r="AB999" s="30"/>
      <c r="AC999" s="30"/>
      <c r="AD999" s="30"/>
      <c r="AE999" s="59"/>
      <c r="AF999" s="54">
        <v>0</v>
      </c>
      <c r="AG999" s="28">
        <f>G999-O999</f>
        <v>0</v>
      </c>
      <c r="AH999" s="58">
        <f>IF(ISERROR(AG999/B999*AF999),0,(AG999/B999*AF999))</f>
        <v>0</v>
      </c>
      <c r="AI999" s="28">
        <f>SUM(H999:M999)</f>
        <v>0</v>
      </c>
      <c r="AJ999" s="28">
        <f>IF(ISERROR(AI999/B999*AF999),0,(AI999/B999*AF999))</f>
        <v>0</v>
      </c>
      <c r="AK999" s="28">
        <f>IF(ISERROR(O999/B999*AF999),0,(O999/B999*AF999))</f>
        <v>0</v>
      </c>
      <c r="AL999" s="1"/>
      <c r="AM999" s="1"/>
      <c r="AN999" s="51">
        <f>A999</f>
        <v>0</v>
      </c>
      <c r="AO999" s="57">
        <f>IF(ISERROR(IF(B999=C999,D999/C999,(INT(D999/B999)+(((D999-B999*INT(D999/B999)))/C999)/100))),0,(IF(B999=C999,D999/C999,(INT(D999/B999)+(((D999-B999*INT(D999/B999)))/C999)/100))))</f>
        <v>0</v>
      </c>
      <c r="AP999" s="57">
        <f>IF(ISERROR(IF(B999=C999,E999/C999,(INT(E999/B999)+(((E999-B999*INT(E999/B999)))/C999)/100))),0,(IF(B999=C999,E999/C999,(INT(E999/B999)+(((E999-B999*INT(E999/B999)))/C999)/100))))</f>
        <v>0</v>
      </c>
      <c r="AQ999" s="57">
        <f>IF(ISERROR(IF(B999=C999,F999/C999,IF((INT(F999/B999)+(((F999-B999*INT(F999/B999)))/C999)/100)&lt;0,(INT(F999/B999)+(((F999-B999*INT(F999/B999)))/C999)/100)+(1-(B999/C999/100)),(INT(F999/B999)+(((F999-B999*INT(F999/B999)))/C999)/100)))),0,IF(B999=C999,F999/C999,IF((INT(F999/B999)+(((F999-B999*INT(F999/B999)))/C999)/100)&lt;0,(INT(F999/B999)+(((F999-B999*INT(F999/B999)))/C999)/100)+(1-(B999/C999/100)),(INT(F999/B999)+(((F999-B999*INT(F999/B999)))/C999)/100))))</f>
        <v>0</v>
      </c>
      <c r="AR999" s="57">
        <f>IF(ISERROR(IF(B999=C999,G999/C999,(INT(G999/B999)+(((G999-B999*INT(G999/B999)))/C999)/100))),0,(IF(B999=C999,G999/C999,(INT(G999/B999)+(((G999-B999*INT(G999/B999)))/C999)/100))))</f>
        <v>0</v>
      </c>
      <c r="AS999" s="57">
        <f>IF(ISERROR(IF(B999=C999,H999/C999,(INT(H999/B999)+(((H999-B999*INT(H999/B999)))/C999)/100))),0,(IF(B999=C999,H999/C999,(INT(H999/B999)+(((H999-B999*INT(H999/B999)))/C999)/100))))</f>
        <v>0</v>
      </c>
      <c r="AT999" s="57">
        <f>IF(ISERROR(IF(B999=C999,I999/C999,(INT(I999/B999)+(((I999-B999*INT(I999/B999)))/C999)/100))),0,(IF(B999=C999,I999/C999,(INT(I999/B999)+(((I999-B999*INT(I999/B999)))/C999)/100))))</f>
        <v>0</v>
      </c>
      <c r="AU999" s="57">
        <f>IF(ISERROR(IF(B999=C999,J999/C999,(INT(J999/B999)+(((J999-B999*INT(J999/B999)))/C999)/100))),0,(IF(B999=C999,J999/C999,(INT(J999/B999)+(((J999-B999*INT(J999/B999)))/C999)/100))))</f>
        <v>0</v>
      </c>
      <c r="AV999" s="57">
        <f>IF(ISERROR(IF(B999=C999,K999/C999,IF((INT(K999/B999)+(((K999-B999*INT(K999/B999)))/C999)/100)&lt;0,(INT(K999/B999)+(((K999-B999*INT(K999/B999)))/C999)/100)+(1-(B999/C999/100)),(INT(K999/B999)+(((K999-B999*INT(K999/B999)))/C999)/100)))),0,IF(B999=C999,K999/C999,IF((INT(K999/B999)+(((K999-B999*INT(K999/B999)))/C999)/100)&lt;0,(INT(K999/B999)+(((K999-B999*INT(K999/B999)))/C999)/100)+(1-(B999/C999/100)),(INT(K999/B999)+(((K999-B999*INT(K999/B999)))/C999)/100))))</f>
        <v>0</v>
      </c>
      <c r="AW999" s="57">
        <f>IF(ISERROR(IF(B999=C999,L999/C999,(INT(L999/B999)+(((L999-B999*INT(L999/B999)))/C999)/100))),0,(IF(B999=C999,L999/C999,(INT(L999/B999)+(((L999-B999*INT(L999/B999)))/C999)/100))))</f>
        <v>0</v>
      </c>
      <c r="AX999" s="57">
        <f>IF(ISERROR(IF(B999=C999,M999/C999,(INT(M999/B999)+(((M999-B999*INT(M999/B999)))/C999)/100))),0,(IF(B999=C999,M999/C999,(INT(M999/B999)+(((M999-B999*INT(M999/B999)))/C999)/100))))</f>
        <v>0</v>
      </c>
      <c r="AY999" s="57">
        <f>IF(ISERROR(IF(B999=C999,N999/C999,IF((INT(N999/B999)+(((N999-B999*INT(N999/B999)))/C999)/100)&lt;0,(INT(N999/B999)+(((N999-B999*INT(N999/B999)))/C999)/100)+(1-(B999/C999/100)),(INT(N999/B999)+(((N999-B999*INT(N999/B999)))/C999)/100)))),0,IF(B999=C999,N999/C999,IF((INT(N999/B999)+(((N999-B999*INT(N999/B999)))/C999)/100)&lt;0,(INT(N999/B999)+(((N999-B999*INT(N999/B999)))/C999)/100)+(1-(B999/C999/100)),(INT(N999/B999)+(((N999-B999*INT(N999/B999)))/C999)/100))))</f>
        <v>0</v>
      </c>
      <c r="AZ999" s="57">
        <f>IF(ISERROR(IF(B999=C999,O999/C999,(INT(O999/B999)+(((O999-B999*INT(O999/B999)))/C999)/100))),0,(IF(B999=C999,O999/C999,(INT(O999/B999)+(((O999-B999*INT(O999/B999)))/C999)/100))))</f>
        <v>0</v>
      </c>
      <c r="BA999" s="57">
        <f>IF(ISERROR(IF(B999=C999,P999/C999,IF((INT(P999/B999)+(((P999-B999*INT(P999/B999)))/C999)/100)&lt;0,(INT(P999/B999)+(((P999-B999*INT(P999/B999)))/C999)/100)+(1-(B999/C999/100)),(INT(P999/B999)+(((P999-B999*INT(P999/B999)))/C999)/100)))),0,IF(B999=C999,P999/C999,IF((INT(P999/B999)+(((P999-B999*INT(P999/B999)))/C999)/100)&lt;0,(INT(P999/B999)+(((P999-B999*INT(P999/B999)))/C999)/100)+(1-(B999/C999/100)),(INT(P999/B999)+(((P999-B999*INT(P999/B999)))/C999)/100))))</f>
        <v>0</v>
      </c>
      <c r="BB999" s="28">
        <f>R999</f>
        <v>0</v>
      </c>
      <c r="BC999" s="28">
        <f>S999</f>
        <v>0</v>
      </c>
      <c r="BD999" s="28">
        <f>AF999</f>
        <v>0</v>
      </c>
      <c r="BE999" s="28">
        <f>T999</f>
        <v>0</v>
      </c>
      <c r="BF999" s="1"/>
      <c r="BG999" s="57">
        <f>IF(ISERROR(IF(B999=C999,V999/C999,(INT(V999/B999)+(((V999-B999*INT(V999/B999)))/C999)/100))),0,(IF(B999=C999,V999/C999,(INT(V999/B999)+(((V999-B999*INT(V999/B999)))/C999)/100))))</f>
        <v>0</v>
      </c>
      <c r="BH999" s="57">
        <f>IF(ISERROR(IF(B999=C999,W999/C999,(INT(W999/B999)+(((W999-B999*INT(W999/B999)))/C999)/100))),0,(IF(B999=C999,W999/C999,(INT(W999/B999)+(((W999-B999*INT(W999/B999)))/C999)/100))))</f>
        <v>0</v>
      </c>
      <c r="BI999" s="57">
        <f>IF(ISERROR(IF(B999=C999,X999/C999,(INT(X999/B999)+(((X999-B999*INT(X999/B999)))/C999)/100))),0,(IF(B999=C999,X999/C999,(INT(X999/B999)+(((X999-B999*INT(X999/B999)))/C999)/100))))</f>
        <v>0</v>
      </c>
      <c r="BJ999" s="57">
        <f>IF(ISERROR(IF(B999=C999,Y999/C999,(INT(Y999/B999)+(((Y999-B999*INT(Y999/B999)))/C999)/100))),0,(IF(B999=C999,Y999/C999,(INT(Y999/B999)+(((Y999-B999*INT(Y999/B999)))/C999)/100))))</f>
        <v>0</v>
      </c>
      <c r="BK999" s="1"/>
      <c r="BL999" s="57">
        <f>IF(ISERROR(IF(B999=C999,AA999/C999,(INT(AA999/B999)+(((AA999-B999*INT(AA999/B999)))/C999)/100))),0,(IF(B999=C999,AA999/C999,(INT(AA999/B999)+(((AA999-B999*INT(AA999/B999)))/C999)/100))))</f>
        <v>0</v>
      </c>
      <c r="BM999" s="57">
        <f>IF(ISERROR(IF(B999=C999,AB999/C999,(INT(AB999/B999)+(((AB999-B999*INT(AB999/B999)))/C999)/100))),0,(IF(B999=C999,AB999/C999,(INT(AB999/B999)+(((AB999-B999*INT(AB999/B999)))/C999)/100))))</f>
        <v>0</v>
      </c>
      <c r="BN999" s="57">
        <f>IF(ISERROR(IF(B999=C999,AC999/C999,(INT(AC999/B999)+(((AC999-B999*INT(AC999/B999)))/C999)/100))),0,(IF(B999=C999,AC999/C999,(INT(AC999/B999)+(((AC999-B999*INT(AC999/B999)))/C999)/100))))</f>
        <v>0</v>
      </c>
      <c r="BO999" s="57">
        <f>IF(ISERROR(IF(B999=C999,AD999/C999,(INT(AD999/B999)+(((AD999-B999*INT(AD999/B999)))/C999)/100))),0,(IF(B999=C999,AD999/C999,(INT(AD999/B999)+(((AD999-B999*INT(AD999/B999)))/C999)/100))))</f>
        <v>0</v>
      </c>
      <c r="BQ999" s="8"/>
    </row>
    <row r="1000" spans="1:69" s="10" customFormat="1" hidden="1" x14ac:dyDescent="0.35">
      <c r="A1000" s="56"/>
      <c r="B1000" s="30">
        <v>0</v>
      </c>
      <c r="C1000" s="30">
        <v>0</v>
      </c>
      <c r="D1000" s="28">
        <f>SUM(AA1000:AD1000)</f>
        <v>0</v>
      </c>
      <c r="E1000" s="30">
        <v>0</v>
      </c>
      <c r="F1000" s="30">
        <v>0</v>
      </c>
      <c r="G1000" s="28">
        <f>SUM(D1000:F1000)</f>
        <v>0</v>
      </c>
      <c r="H1000" s="30">
        <v>0</v>
      </c>
      <c r="I1000" s="30">
        <v>0</v>
      </c>
      <c r="J1000" s="30">
        <v>0</v>
      </c>
      <c r="K1000" s="30">
        <v>0</v>
      </c>
      <c r="L1000" s="30">
        <v>0</v>
      </c>
      <c r="M1000" s="30">
        <v>0</v>
      </c>
      <c r="N1000" s="29">
        <f>G1000-SUM(H1000:M1000)</f>
        <v>0</v>
      </c>
      <c r="O1000" s="28">
        <f>SUM(V1000:Y1000)</f>
        <v>0</v>
      </c>
      <c r="P1000" s="29">
        <f>O1000-N1000</f>
        <v>0</v>
      </c>
      <c r="Q1000" s="61" t="str">
        <f>IF(ISERROR(P1000/SUM(H1000:L1000)),"",P1000/SUM(H1000:L1000))</f>
        <v/>
      </c>
      <c r="R1000" s="54">
        <v>0</v>
      </c>
      <c r="S1000" s="28">
        <f>IF(ISERROR(P1000/C1000*R1000),0,(P1000/C1000*R1000))</f>
        <v>0</v>
      </c>
      <c r="T1000" s="60">
        <f>IF(ISERROR(P1000/B1000*AF1000),0,(P1000/B1000*AF1000))</f>
        <v>0</v>
      </c>
      <c r="U1000" s="14"/>
      <c r="V1000" s="93">
        <v>0</v>
      </c>
      <c r="W1000" s="30"/>
      <c r="X1000" s="30"/>
      <c r="Y1000" s="30"/>
      <c r="Z1000" s="59"/>
      <c r="AA1000" s="30">
        <v>0</v>
      </c>
      <c r="AB1000" s="30"/>
      <c r="AC1000" s="30"/>
      <c r="AD1000" s="30"/>
      <c r="AE1000" s="59"/>
      <c r="AF1000" s="54">
        <v>0</v>
      </c>
      <c r="AG1000" s="28">
        <f>G1000-O1000</f>
        <v>0</v>
      </c>
      <c r="AH1000" s="58">
        <f>IF(ISERROR(AG1000/B1000*AF1000),0,(AG1000/B1000*AF1000))</f>
        <v>0</v>
      </c>
      <c r="AI1000" s="28">
        <f>SUM(H1000:M1000)</f>
        <v>0</v>
      </c>
      <c r="AJ1000" s="28">
        <f>IF(ISERROR(AI1000/B1000*AF1000),0,(AI1000/B1000*AF1000))</f>
        <v>0</v>
      </c>
      <c r="AK1000" s="28">
        <f>IF(ISERROR(O1000/B1000*AF1000),0,(O1000/B1000*AF1000))</f>
        <v>0</v>
      </c>
      <c r="AL1000" s="1"/>
      <c r="AM1000" s="1"/>
      <c r="AN1000" s="51">
        <f>A1000</f>
        <v>0</v>
      </c>
      <c r="AO1000" s="57">
        <f>IF(ISERROR(IF(B1000=C1000,D1000/C1000,(INT(D1000/B1000)+(((D1000-B1000*INT(D1000/B1000)))/C1000)/100))),0,(IF(B1000=C1000,D1000/C1000,(INT(D1000/B1000)+(((D1000-B1000*INT(D1000/B1000)))/C1000)/100))))</f>
        <v>0</v>
      </c>
      <c r="AP1000" s="57">
        <f>IF(ISERROR(IF(B1000=C1000,E1000/C1000,(INT(E1000/B1000)+(((E1000-B1000*INT(E1000/B1000)))/C1000)/100))),0,(IF(B1000=C1000,E1000/C1000,(INT(E1000/B1000)+(((E1000-B1000*INT(E1000/B1000)))/C1000)/100))))</f>
        <v>0</v>
      </c>
      <c r="AQ1000" s="57">
        <f>IF(ISERROR(IF(B1000=C1000,F1000/C1000,IF((INT(F1000/B1000)+(((F1000-B1000*INT(F1000/B1000)))/C1000)/100)&lt;0,(INT(F1000/B1000)+(((F1000-B1000*INT(F1000/B1000)))/C1000)/100)+(1-(B1000/C1000/100)),(INT(F1000/B1000)+(((F1000-B1000*INT(F1000/B1000)))/C1000)/100)))),0,IF(B1000=C1000,F1000/C1000,IF((INT(F1000/B1000)+(((F1000-B1000*INT(F1000/B1000)))/C1000)/100)&lt;0,(INT(F1000/B1000)+(((F1000-B1000*INT(F1000/B1000)))/C1000)/100)+(1-(B1000/C1000/100)),(INT(F1000/B1000)+(((F1000-B1000*INT(F1000/B1000)))/C1000)/100))))</f>
        <v>0</v>
      </c>
      <c r="AR1000" s="57">
        <f>IF(ISERROR(IF(B1000=C1000,G1000/C1000,(INT(G1000/B1000)+(((G1000-B1000*INT(G1000/B1000)))/C1000)/100))),0,(IF(B1000=C1000,G1000/C1000,(INT(G1000/B1000)+(((G1000-B1000*INT(G1000/B1000)))/C1000)/100))))</f>
        <v>0</v>
      </c>
      <c r="AS1000" s="57">
        <f>IF(ISERROR(IF(B1000=C1000,H1000/C1000,(INT(H1000/B1000)+(((H1000-B1000*INT(H1000/B1000)))/C1000)/100))),0,(IF(B1000=C1000,H1000/C1000,(INT(H1000/B1000)+(((H1000-B1000*INT(H1000/B1000)))/C1000)/100))))</f>
        <v>0</v>
      </c>
      <c r="AT1000" s="57">
        <f>IF(ISERROR(IF(B1000=C1000,I1000/C1000,(INT(I1000/B1000)+(((I1000-B1000*INT(I1000/B1000)))/C1000)/100))),0,(IF(B1000=C1000,I1000/C1000,(INT(I1000/B1000)+(((I1000-B1000*INT(I1000/B1000)))/C1000)/100))))</f>
        <v>0</v>
      </c>
      <c r="AU1000" s="57">
        <f>IF(ISERROR(IF(B1000=C1000,J1000/C1000,(INT(J1000/B1000)+(((J1000-B1000*INT(J1000/B1000)))/C1000)/100))),0,(IF(B1000=C1000,J1000/C1000,(INT(J1000/B1000)+(((J1000-B1000*INT(J1000/B1000)))/C1000)/100))))</f>
        <v>0</v>
      </c>
      <c r="AV1000" s="57">
        <f>IF(ISERROR(IF(B1000=C1000,K1000/C1000,IF((INT(K1000/B1000)+(((K1000-B1000*INT(K1000/B1000)))/C1000)/100)&lt;0,(INT(K1000/B1000)+(((K1000-B1000*INT(K1000/B1000)))/C1000)/100)+(1-(B1000/C1000/100)),(INT(K1000/B1000)+(((K1000-B1000*INT(K1000/B1000)))/C1000)/100)))),0,IF(B1000=C1000,K1000/C1000,IF((INT(K1000/B1000)+(((K1000-B1000*INT(K1000/B1000)))/C1000)/100)&lt;0,(INT(K1000/B1000)+(((K1000-B1000*INT(K1000/B1000)))/C1000)/100)+(1-(B1000/C1000/100)),(INT(K1000/B1000)+(((K1000-B1000*INT(K1000/B1000)))/C1000)/100))))</f>
        <v>0</v>
      </c>
      <c r="AW1000" s="57">
        <f>IF(ISERROR(IF(B1000=C1000,L1000/C1000,(INT(L1000/B1000)+(((L1000-B1000*INT(L1000/B1000)))/C1000)/100))),0,(IF(B1000=C1000,L1000/C1000,(INT(L1000/B1000)+(((L1000-B1000*INT(L1000/B1000)))/C1000)/100))))</f>
        <v>0</v>
      </c>
      <c r="AX1000" s="57">
        <f>IF(ISERROR(IF(B1000=C1000,M1000/C1000,(INT(M1000/B1000)+(((M1000-B1000*INT(M1000/B1000)))/C1000)/100))),0,(IF(B1000=C1000,M1000/C1000,(INT(M1000/B1000)+(((M1000-B1000*INT(M1000/B1000)))/C1000)/100))))</f>
        <v>0</v>
      </c>
      <c r="AY1000" s="57">
        <f>IF(ISERROR(IF(B1000=C1000,N1000/C1000,IF((INT(N1000/B1000)+(((N1000-B1000*INT(N1000/B1000)))/C1000)/100)&lt;0,(INT(N1000/B1000)+(((N1000-B1000*INT(N1000/B1000)))/C1000)/100)+(1-(B1000/C1000/100)),(INT(N1000/B1000)+(((N1000-B1000*INT(N1000/B1000)))/C1000)/100)))),0,IF(B1000=C1000,N1000/C1000,IF((INT(N1000/B1000)+(((N1000-B1000*INT(N1000/B1000)))/C1000)/100)&lt;0,(INT(N1000/B1000)+(((N1000-B1000*INT(N1000/B1000)))/C1000)/100)+(1-(B1000/C1000/100)),(INT(N1000/B1000)+(((N1000-B1000*INT(N1000/B1000)))/C1000)/100))))</f>
        <v>0</v>
      </c>
      <c r="AZ1000" s="57">
        <f>IF(ISERROR(IF(B1000=C1000,O1000/C1000,(INT(O1000/B1000)+(((O1000-B1000*INT(O1000/B1000)))/C1000)/100))),0,(IF(B1000=C1000,O1000/C1000,(INT(O1000/B1000)+(((O1000-B1000*INT(O1000/B1000)))/C1000)/100))))</f>
        <v>0</v>
      </c>
      <c r="BA1000" s="57">
        <f>IF(ISERROR(IF(B1000=C1000,P1000/C1000,IF((INT(P1000/B1000)+(((P1000-B1000*INT(P1000/B1000)))/C1000)/100)&lt;0,(INT(P1000/B1000)+(((P1000-B1000*INT(P1000/B1000)))/C1000)/100)+(1-(B1000/C1000/100)),(INT(P1000/B1000)+(((P1000-B1000*INT(P1000/B1000)))/C1000)/100)))),0,IF(B1000=C1000,P1000/C1000,IF((INT(P1000/B1000)+(((P1000-B1000*INT(P1000/B1000)))/C1000)/100)&lt;0,(INT(P1000/B1000)+(((P1000-B1000*INT(P1000/B1000)))/C1000)/100)+(1-(B1000/C1000/100)),(INT(P1000/B1000)+(((P1000-B1000*INT(P1000/B1000)))/C1000)/100))))</f>
        <v>0</v>
      </c>
      <c r="BB1000" s="28">
        <f>R1000</f>
        <v>0</v>
      </c>
      <c r="BC1000" s="28">
        <f>S1000</f>
        <v>0</v>
      </c>
      <c r="BD1000" s="28">
        <f>AF1000</f>
        <v>0</v>
      </c>
      <c r="BE1000" s="28">
        <f>T1000</f>
        <v>0</v>
      </c>
      <c r="BF1000" s="1"/>
      <c r="BG1000" s="57">
        <f>IF(ISERROR(IF(B1000=C1000,V1000/C1000,(INT(V1000/B1000)+(((V1000-B1000*INT(V1000/B1000)))/C1000)/100))),0,(IF(B1000=C1000,V1000/C1000,(INT(V1000/B1000)+(((V1000-B1000*INT(V1000/B1000)))/C1000)/100))))</f>
        <v>0</v>
      </c>
      <c r="BH1000" s="57">
        <f>IF(ISERROR(IF(B1000=C1000,W1000/C1000,(INT(W1000/B1000)+(((W1000-B1000*INT(W1000/B1000)))/C1000)/100))),0,(IF(B1000=C1000,W1000/C1000,(INT(W1000/B1000)+(((W1000-B1000*INT(W1000/B1000)))/C1000)/100))))</f>
        <v>0</v>
      </c>
      <c r="BI1000" s="57">
        <f>IF(ISERROR(IF(B1000=C1000,X1000/C1000,(INT(X1000/B1000)+(((X1000-B1000*INT(X1000/B1000)))/C1000)/100))),0,(IF(B1000=C1000,X1000/C1000,(INT(X1000/B1000)+(((X1000-B1000*INT(X1000/B1000)))/C1000)/100))))</f>
        <v>0</v>
      </c>
      <c r="BJ1000" s="57">
        <f>IF(ISERROR(IF(B1000=C1000,Y1000/C1000,(INT(Y1000/B1000)+(((Y1000-B1000*INT(Y1000/B1000)))/C1000)/100))),0,(IF(B1000=C1000,Y1000/C1000,(INT(Y1000/B1000)+(((Y1000-B1000*INT(Y1000/B1000)))/C1000)/100))))</f>
        <v>0</v>
      </c>
      <c r="BK1000" s="1"/>
      <c r="BL1000" s="57">
        <f>IF(ISERROR(IF(B1000=C1000,AA1000/C1000,(INT(AA1000/B1000)+(((AA1000-B1000*INT(AA1000/B1000)))/C1000)/100))),0,(IF(B1000=C1000,AA1000/C1000,(INT(AA1000/B1000)+(((AA1000-B1000*INT(AA1000/B1000)))/C1000)/100))))</f>
        <v>0</v>
      </c>
      <c r="BM1000" s="57">
        <f>IF(ISERROR(IF(B1000=C1000,AB1000/C1000,(INT(AB1000/B1000)+(((AB1000-B1000*INT(AB1000/B1000)))/C1000)/100))),0,(IF(B1000=C1000,AB1000/C1000,(INT(AB1000/B1000)+(((AB1000-B1000*INT(AB1000/B1000)))/C1000)/100))))</f>
        <v>0</v>
      </c>
      <c r="BN1000" s="57">
        <f>IF(ISERROR(IF(B1000=C1000,AC1000/C1000,(INT(AC1000/B1000)+(((AC1000-B1000*INT(AC1000/B1000)))/C1000)/100))),0,(IF(B1000=C1000,AC1000/C1000,(INT(AC1000/B1000)+(((AC1000-B1000*INT(AC1000/B1000)))/C1000)/100))))</f>
        <v>0</v>
      </c>
      <c r="BO1000" s="57">
        <f>IF(ISERROR(IF(B1000=C1000,AD1000/C1000,(INT(AD1000/B1000)+(((AD1000-B1000*INT(AD1000/B1000)))/C1000)/100))),0,(IF(B1000=C1000,AD1000/C1000,(INT(AD1000/B1000)+(((AD1000-B1000*INT(AD1000/B1000)))/C1000)/100))))</f>
        <v>0</v>
      </c>
      <c r="BQ1000" s="8"/>
    </row>
    <row r="1001" spans="1:69" s="10" customFormat="1" hidden="1" x14ac:dyDescent="0.35">
      <c r="A1001" s="56"/>
      <c r="B1001" s="30"/>
      <c r="C1001" s="30"/>
      <c r="D1001" s="29"/>
      <c r="E1001" s="30"/>
      <c r="F1001" s="30"/>
      <c r="G1001" s="29"/>
      <c r="H1001" s="30"/>
      <c r="I1001" s="30"/>
      <c r="J1001" s="30"/>
      <c r="K1001" s="30"/>
      <c r="L1001" s="30"/>
      <c r="M1001" s="30"/>
      <c r="N1001" s="29"/>
      <c r="O1001" s="29"/>
      <c r="P1001" s="29"/>
      <c r="Q1001" s="55"/>
      <c r="R1001" s="54"/>
      <c r="S1001" s="29"/>
      <c r="T1001" s="29"/>
      <c r="U1001" s="14"/>
      <c r="V1001" s="53"/>
      <c r="W1001" s="53"/>
      <c r="X1001" s="53"/>
      <c r="Y1001" s="53"/>
      <c r="Z1001" s="11"/>
      <c r="AA1001" s="53"/>
      <c r="AB1001" s="53"/>
      <c r="AC1001" s="53"/>
      <c r="AD1001" s="53"/>
      <c r="AE1001" s="11"/>
      <c r="AF1001" s="52"/>
      <c r="AG1001" s="29"/>
      <c r="AH1001" s="29"/>
      <c r="AI1001" s="29"/>
      <c r="AJ1001" s="29"/>
      <c r="AK1001" s="29"/>
      <c r="AL1001" s="1"/>
      <c r="AM1001" s="1"/>
      <c r="AN1001" s="51"/>
      <c r="AO1001" s="28"/>
      <c r="AP1001" s="28"/>
      <c r="AQ1001" s="28"/>
      <c r="AR1001" s="28"/>
      <c r="AS1001" s="28"/>
      <c r="AT1001" s="28"/>
      <c r="AU1001" s="28"/>
      <c r="AV1001" s="28"/>
      <c r="AW1001" s="28"/>
      <c r="AX1001" s="28"/>
      <c r="AY1001" s="28"/>
      <c r="AZ1001" s="28"/>
      <c r="BA1001" s="28"/>
      <c r="BB1001" s="33"/>
      <c r="BC1001" s="28"/>
      <c r="BD1001" s="28"/>
      <c r="BE1001" s="28"/>
      <c r="BF1001" s="1"/>
      <c r="BG1001" s="33"/>
      <c r="BH1001" s="33"/>
      <c r="BI1001" s="33"/>
      <c r="BJ1001" s="33"/>
      <c r="BK1001" s="1"/>
      <c r="BL1001" s="33"/>
      <c r="BM1001" s="33"/>
      <c r="BN1001" s="33"/>
      <c r="BO1001" s="33"/>
      <c r="BQ1001" s="8"/>
    </row>
    <row r="1002" spans="1:69" s="10" customFormat="1" hidden="1" x14ac:dyDescent="0.35">
      <c r="A1002" s="92" t="s">
        <v>56</v>
      </c>
      <c r="B1002" s="91"/>
      <c r="C1002" s="91"/>
      <c r="D1002" s="86"/>
      <c r="E1002" s="91"/>
      <c r="F1002" s="91"/>
      <c r="G1002" s="86"/>
      <c r="H1002" s="91"/>
      <c r="I1002" s="91"/>
      <c r="J1002" s="91"/>
      <c r="K1002" s="91"/>
      <c r="L1002" s="91"/>
      <c r="M1002" s="91"/>
      <c r="N1002" s="86"/>
      <c r="O1002" s="86"/>
      <c r="P1002" s="86"/>
      <c r="Q1002" s="90"/>
      <c r="R1002" s="89"/>
      <c r="S1002" s="85">
        <f>SUM(S990:S1001)</f>
        <v>0</v>
      </c>
      <c r="T1002" s="85">
        <f>SUM(T990:T1001)</f>
        <v>0</v>
      </c>
      <c r="U1002" s="14"/>
      <c r="V1002" s="88"/>
      <c r="W1002" s="88"/>
      <c r="X1002" s="88"/>
      <c r="Y1002" s="88"/>
      <c r="Z1002" s="11"/>
      <c r="AA1002" s="88"/>
      <c r="AB1002" s="88"/>
      <c r="AC1002" s="88"/>
      <c r="AD1002" s="88"/>
      <c r="AE1002" s="11"/>
      <c r="AF1002" s="87"/>
      <c r="AG1002" s="86"/>
      <c r="AH1002" s="85">
        <f>SUM(AH990:AH1001)</f>
        <v>0</v>
      </c>
      <c r="AI1002" s="86"/>
      <c r="AJ1002" s="85">
        <f>SUM(AJ990:AJ1001)</f>
        <v>0</v>
      </c>
      <c r="AK1002" s="85">
        <f>SUM(AK990:AK1001)</f>
        <v>0</v>
      </c>
      <c r="AL1002" s="1"/>
      <c r="AM1002" s="1"/>
      <c r="AN1002" s="84" t="str">
        <f>A1002</f>
        <v>Total Coffee</v>
      </c>
      <c r="AO1002" s="83"/>
      <c r="AP1002" s="83"/>
      <c r="AQ1002" s="83"/>
      <c r="AR1002" s="83"/>
      <c r="AS1002" s="83"/>
      <c r="AT1002" s="83"/>
      <c r="AU1002" s="83"/>
      <c r="AV1002" s="83"/>
      <c r="AW1002" s="83"/>
      <c r="AX1002" s="83"/>
      <c r="AY1002" s="83"/>
      <c r="AZ1002" s="83"/>
      <c r="BA1002" s="83"/>
      <c r="BB1002" s="82"/>
      <c r="BC1002" s="34">
        <f>S1002</f>
        <v>0</v>
      </c>
      <c r="BD1002" s="34"/>
      <c r="BE1002" s="34">
        <f>T1002</f>
        <v>0</v>
      </c>
      <c r="BF1002" s="1"/>
      <c r="BG1002" s="82"/>
      <c r="BH1002" s="82"/>
      <c r="BI1002" s="82"/>
      <c r="BJ1002" s="82"/>
      <c r="BK1002" s="1"/>
      <c r="BL1002" s="82"/>
      <c r="BM1002" s="82"/>
      <c r="BN1002" s="82"/>
      <c r="BO1002" s="82"/>
      <c r="BQ1002" s="8"/>
    </row>
    <row r="1003" spans="1:69" s="10" customFormat="1" hidden="1" x14ac:dyDescent="0.35">
      <c r="A1003" s="17"/>
      <c r="B1003" s="14"/>
      <c r="C1003" s="14"/>
      <c r="D1003" s="14"/>
      <c r="E1003" s="16"/>
      <c r="F1003" s="16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20"/>
      <c r="R1003" s="15"/>
      <c r="S1003" s="14"/>
      <c r="T1003" s="14"/>
      <c r="U1003" s="14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3"/>
      <c r="AG1003" s="11"/>
      <c r="AH1003" s="11"/>
      <c r="AI1003" s="11"/>
      <c r="AJ1003" s="11"/>
      <c r="AK1003" s="11"/>
      <c r="AL1003" s="1"/>
      <c r="AM1003" s="1"/>
      <c r="BB1003" s="11"/>
      <c r="BG1003" s="11"/>
      <c r="BH1003" s="11"/>
      <c r="BI1003" s="11"/>
      <c r="BJ1003" s="11"/>
      <c r="BK1003" s="11"/>
      <c r="BL1003" s="11"/>
      <c r="BM1003" s="11"/>
      <c r="BN1003" s="11"/>
      <c r="BO1003" s="11"/>
      <c r="BQ1003" s="8"/>
    </row>
    <row r="1004" spans="1:69" s="10" customFormat="1" hidden="1" x14ac:dyDescent="0.35">
      <c r="A1004" s="17"/>
      <c r="B1004" s="14"/>
      <c r="C1004" s="14"/>
      <c r="D1004" s="14"/>
      <c r="E1004" s="16"/>
      <c r="F1004" s="16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20"/>
      <c r="R1004" s="15"/>
      <c r="S1004" s="14"/>
      <c r="T1004" s="14"/>
      <c r="U1004" s="14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3"/>
      <c r="AG1004" s="11"/>
      <c r="AH1004" s="11"/>
      <c r="AI1004" s="11"/>
      <c r="AJ1004" s="11"/>
      <c r="AK1004" s="11"/>
      <c r="AL1004" s="1"/>
      <c r="AM1004" s="1"/>
      <c r="BB1004" s="11"/>
      <c r="BG1004" s="11"/>
      <c r="BH1004" s="11"/>
      <c r="BI1004" s="11"/>
      <c r="BJ1004" s="11"/>
      <c r="BK1004" s="11"/>
      <c r="BL1004" s="11"/>
      <c r="BM1004" s="11"/>
      <c r="BN1004" s="11"/>
      <c r="BO1004" s="11"/>
      <c r="BQ1004" s="8"/>
    </row>
    <row r="1005" spans="1:69" s="10" customFormat="1" hidden="1" x14ac:dyDescent="0.35">
      <c r="A1005" s="17"/>
      <c r="B1005" s="14"/>
      <c r="C1005" s="14"/>
      <c r="D1005" s="14"/>
      <c r="E1005" s="16"/>
      <c r="F1005" s="16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20"/>
      <c r="R1005" s="15"/>
      <c r="S1005" s="14"/>
      <c r="T1005" s="14"/>
      <c r="U1005" s="14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3"/>
      <c r="AG1005" s="11"/>
      <c r="AH1005" s="11"/>
      <c r="AI1005" s="11"/>
      <c r="AJ1005" s="11"/>
      <c r="AK1005" s="11"/>
      <c r="AL1005" s="1"/>
      <c r="AM1005" s="1"/>
      <c r="BB1005" s="11"/>
      <c r="BG1005" s="11"/>
      <c r="BH1005" s="11"/>
      <c r="BI1005" s="11"/>
      <c r="BJ1005" s="11"/>
      <c r="BK1005" s="11"/>
      <c r="BL1005" s="11"/>
      <c r="BM1005" s="11"/>
      <c r="BN1005" s="11"/>
      <c r="BO1005" s="11"/>
      <c r="BQ1005" s="8"/>
    </row>
    <row r="1006" spans="1:69" s="10" customFormat="1" hidden="1" x14ac:dyDescent="0.35">
      <c r="A1006" s="17"/>
      <c r="B1006" s="14"/>
      <c r="C1006" s="14"/>
      <c r="D1006" s="14"/>
      <c r="E1006" s="16"/>
      <c r="F1006" s="16"/>
      <c r="G1006" s="14"/>
      <c r="H1006" s="14"/>
      <c r="I1006" s="14"/>
      <c r="J1006" s="14"/>
      <c r="K1006" s="14"/>
      <c r="L1006" s="14"/>
      <c r="M1006" s="14"/>
      <c r="N1006" s="14"/>
      <c r="O1006" s="36" t="s">
        <v>11</v>
      </c>
      <c r="P1006" s="35" t="s">
        <v>10</v>
      </c>
      <c r="Q1006" s="11"/>
      <c r="R1006" s="13"/>
      <c r="S1006" s="14"/>
      <c r="T1006" s="14"/>
      <c r="U1006" s="14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3"/>
      <c r="AG1006" s="11"/>
      <c r="AH1006" s="11"/>
      <c r="AI1006" s="11"/>
      <c r="AJ1006" s="11"/>
      <c r="AK1006" s="11"/>
      <c r="AL1006" s="1"/>
      <c r="AM1006" s="1"/>
      <c r="AV1006" s="3"/>
      <c r="AW1006" s="3"/>
      <c r="AX1006" s="3"/>
      <c r="AY1006" s="3"/>
      <c r="AZ1006" s="3"/>
      <c r="BA1006" s="34" t="str">
        <f>O1006</f>
        <v>Actual</v>
      </c>
      <c r="BB1006" s="34" t="str">
        <f>P1006</f>
        <v>Potential</v>
      </c>
      <c r="BF1006" s="1"/>
      <c r="BG1006" s="34" t="s">
        <v>9</v>
      </c>
      <c r="BH1006" s="11"/>
      <c r="BI1006" s="11"/>
      <c r="BJ1006" s="11"/>
      <c r="BK1006" s="11"/>
      <c r="BL1006" s="11"/>
      <c r="BM1006" s="11"/>
      <c r="BN1006" s="11"/>
      <c r="BO1006" s="11"/>
      <c r="BQ1006" s="8"/>
    </row>
    <row r="1007" spans="1:69" s="10" customFormat="1" hidden="1" x14ac:dyDescent="0.35">
      <c r="A1007" s="17"/>
      <c r="B1007" s="14"/>
      <c r="C1007" s="14"/>
      <c r="D1007" s="14"/>
      <c r="E1007" s="16"/>
      <c r="F1007" s="16"/>
      <c r="G1007" s="14"/>
      <c r="H1007" s="14"/>
      <c r="I1007" s="14"/>
      <c r="K1007" s="14"/>
      <c r="L1007" s="14"/>
      <c r="M1007" s="25" t="s">
        <v>55</v>
      </c>
      <c r="N1007" s="14"/>
      <c r="O1007" s="29">
        <f>AH1002</f>
        <v>0</v>
      </c>
      <c r="P1007" s="29">
        <f>AJ1002</f>
        <v>0</v>
      </c>
      <c r="Q1007" s="11"/>
      <c r="R1007" s="13"/>
      <c r="S1007" s="14"/>
      <c r="T1007" s="14"/>
      <c r="U1007" s="14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3"/>
      <c r="AG1007" s="11"/>
      <c r="AH1007" s="11"/>
      <c r="AI1007" s="11"/>
      <c r="AJ1007" s="11"/>
      <c r="AK1007" s="11"/>
      <c r="AL1007" s="1"/>
      <c r="AM1007" s="1"/>
      <c r="AV1007" s="23" t="str">
        <f>M1007</f>
        <v>Coffee Consumption Cost</v>
      </c>
      <c r="AW1007" s="3"/>
      <c r="AX1007" s="3"/>
      <c r="AY1007" s="3"/>
      <c r="AZ1007" s="3"/>
      <c r="BA1007" s="28">
        <f>O1007</f>
        <v>0</v>
      </c>
      <c r="BB1007" s="28">
        <f>P1007</f>
        <v>0</v>
      </c>
      <c r="BF1007" s="1"/>
      <c r="BG1007" s="33">
        <f>BC1002</f>
        <v>0</v>
      </c>
      <c r="BH1007" s="11"/>
      <c r="BI1007" s="11"/>
      <c r="BJ1007" s="11"/>
      <c r="BK1007" s="11"/>
      <c r="BL1007" s="11"/>
      <c r="BM1007" s="11"/>
      <c r="BN1007" s="11"/>
      <c r="BO1007" s="11"/>
      <c r="BQ1007" s="8"/>
    </row>
    <row r="1008" spans="1:69" s="10" customFormat="1" hidden="1" x14ac:dyDescent="0.35">
      <c r="A1008" s="17"/>
      <c r="B1008" s="14"/>
      <c r="C1008" s="14"/>
      <c r="D1008" s="14"/>
      <c r="E1008" s="16"/>
      <c r="F1008" s="16"/>
      <c r="G1008" s="14"/>
      <c r="H1008" s="14"/>
      <c r="I1008" s="14"/>
      <c r="K1008" s="14"/>
      <c r="L1008" s="14"/>
      <c r="M1008" s="25" t="s">
        <v>54</v>
      </c>
      <c r="N1008" s="14"/>
      <c r="O1008" s="30">
        <v>0</v>
      </c>
      <c r="P1008" s="29">
        <f>O1008</f>
        <v>0</v>
      </c>
      <c r="Q1008" s="11"/>
      <c r="R1008" s="13"/>
      <c r="S1008" s="14"/>
      <c r="T1008" s="14"/>
      <c r="U1008" s="14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3"/>
      <c r="AG1008" s="11"/>
      <c r="AH1008" s="11"/>
      <c r="AI1008" s="11"/>
      <c r="AJ1008" s="11"/>
      <c r="AK1008" s="11"/>
      <c r="AL1008" s="1"/>
      <c r="AM1008" s="1"/>
      <c r="AV1008" s="23" t="str">
        <f>M1008</f>
        <v>Coffee Sale</v>
      </c>
      <c r="AW1008" s="3"/>
      <c r="AX1008" s="3"/>
      <c r="AY1008" s="3"/>
      <c r="AZ1008" s="3"/>
      <c r="BA1008" s="28">
        <f>O1008</f>
        <v>0</v>
      </c>
      <c r="BB1008" s="28">
        <f>P1008</f>
        <v>0</v>
      </c>
      <c r="BF1008" s="1"/>
      <c r="BG1008" s="33">
        <f>BB1008</f>
        <v>0</v>
      </c>
      <c r="BH1008" s="11"/>
      <c r="BI1008" s="11"/>
      <c r="BJ1008" s="11"/>
      <c r="BK1008" s="11"/>
      <c r="BL1008" s="11"/>
      <c r="BM1008" s="11"/>
      <c r="BN1008" s="11"/>
      <c r="BO1008" s="11"/>
      <c r="BQ1008" s="8"/>
    </row>
    <row r="1009" spans="1:69" s="10" customFormat="1" hidden="1" x14ac:dyDescent="0.35">
      <c r="A1009" s="17"/>
      <c r="B1009" s="14"/>
      <c r="C1009" s="14"/>
      <c r="D1009" s="14"/>
      <c r="E1009" s="16"/>
      <c r="F1009" s="16"/>
      <c r="G1009" s="14"/>
      <c r="H1009" s="14"/>
      <c r="I1009" s="14"/>
      <c r="K1009" s="14"/>
      <c r="L1009" s="14"/>
      <c r="M1009" s="25" t="s">
        <v>53</v>
      </c>
      <c r="N1009" s="14"/>
      <c r="O1009" s="32" t="e">
        <f>O1007/O1008</f>
        <v>#DIV/0!</v>
      </c>
      <c r="P1009" s="32" t="e">
        <f>P1007/P1008</f>
        <v>#DIV/0!</v>
      </c>
      <c r="Q1009" s="11"/>
      <c r="R1009" s="13"/>
      <c r="S1009" s="14"/>
      <c r="T1009" s="14"/>
      <c r="U1009" s="14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3"/>
      <c r="AG1009" s="11"/>
      <c r="AH1009" s="11"/>
      <c r="AI1009" s="11"/>
      <c r="AJ1009" s="11"/>
      <c r="AK1009" s="11"/>
      <c r="AL1009" s="1"/>
      <c r="AM1009" s="1"/>
      <c r="AV1009" s="23" t="str">
        <f>M1009</f>
        <v>Coffee Cost %age</v>
      </c>
      <c r="AW1009" s="3"/>
      <c r="AX1009" s="3"/>
      <c r="AY1009" s="3"/>
      <c r="AZ1009" s="3"/>
      <c r="BA1009" s="22" t="e">
        <f>O1009</f>
        <v>#DIV/0!</v>
      </c>
      <c r="BB1009" s="22" t="e">
        <f>P1009</f>
        <v>#DIV/0!</v>
      </c>
      <c r="BF1009" s="1"/>
      <c r="BG1009" s="21" t="e">
        <f>BG1007/BG1008</f>
        <v>#DIV/0!</v>
      </c>
      <c r="BH1009" s="11"/>
      <c r="BI1009" s="11"/>
      <c r="BJ1009" s="11"/>
      <c r="BK1009" s="11"/>
      <c r="BL1009" s="11"/>
      <c r="BM1009" s="11"/>
      <c r="BN1009" s="11"/>
      <c r="BO1009" s="11"/>
      <c r="BQ1009" s="8"/>
    </row>
    <row r="1010" spans="1:69" s="10" customFormat="1" hidden="1" x14ac:dyDescent="0.35">
      <c r="A1010" s="17"/>
      <c r="B1010" s="14"/>
      <c r="C1010" s="14"/>
      <c r="D1010" s="14"/>
      <c r="E1010" s="16"/>
      <c r="F1010" s="16"/>
      <c r="G1010" s="14"/>
      <c r="H1010" s="14"/>
      <c r="I1010" s="14"/>
      <c r="K1010" s="14"/>
      <c r="L1010" s="14"/>
      <c r="M1010" s="25" t="s">
        <v>5</v>
      </c>
      <c r="N1010" s="14"/>
      <c r="O1010" s="30">
        <v>0</v>
      </c>
      <c r="P1010" s="29">
        <f>O1010</f>
        <v>0</v>
      </c>
      <c r="Q1010" s="11"/>
      <c r="R1010" s="13"/>
      <c r="S1010" s="14"/>
      <c r="T1010" s="14"/>
      <c r="U1010" s="14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3"/>
      <c r="AG1010" s="11"/>
      <c r="AH1010" s="11"/>
      <c r="AI1010" s="11"/>
      <c r="AJ1010" s="11"/>
      <c r="AK1010" s="11"/>
      <c r="AL1010" s="1"/>
      <c r="AM1010" s="1"/>
      <c r="AV1010" s="23" t="str">
        <f>M1010</f>
        <v>Discount Sales</v>
      </c>
      <c r="AW1010" s="3"/>
      <c r="AX1010" s="3"/>
      <c r="AY1010" s="3"/>
      <c r="AZ1010" s="3"/>
      <c r="BA1010" s="28">
        <f>O1010</f>
        <v>0</v>
      </c>
      <c r="BB1010" s="28">
        <f>P1010</f>
        <v>0</v>
      </c>
      <c r="BF1010" s="27"/>
      <c r="BG1010" s="26">
        <f>BB1010</f>
        <v>0</v>
      </c>
      <c r="BH1010" s="11"/>
      <c r="BI1010" s="11"/>
      <c r="BJ1010" s="11"/>
      <c r="BK1010" s="11"/>
      <c r="BL1010" s="11"/>
      <c r="BM1010" s="11"/>
      <c r="BN1010" s="11"/>
      <c r="BO1010" s="11"/>
      <c r="BQ1010" s="8"/>
    </row>
    <row r="1011" spans="1:69" s="10" customFormat="1" hidden="1" x14ac:dyDescent="0.35">
      <c r="A1011" s="17"/>
      <c r="B1011" s="14"/>
      <c r="C1011" s="14"/>
      <c r="D1011" s="14"/>
      <c r="E1011" s="16"/>
      <c r="F1011" s="16"/>
      <c r="G1011" s="14"/>
      <c r="H1011" s="14"/>
      <c r="I1011" s="14"/>
      <c r="K1011" s="14"/>
      <c r="L1011" s="14"/>
      <c r="M1011" s="25" t="s">
        <v>52</v>
      </c>
      <c r="N1011" s="14"/>
      <c r="O1011" s="24" t="e">
        <f>O1007/(O1008+O1010)</f>
        <v>#DIV/0!</v>
      </c>
      <c r="P1011" s="24" t="e">
        <f>P1007/(P1008+P1010)</f>
        <v>#DIV/0!</v>
      </c>
      <c r="Q1011" s="11"/>
      <c r="R1011" s="13"/>
      <c r="S1011" s="14"/>
      <c r="T1011" s="14"/>
      <c r="U1011" s="14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3"/>
      <c r="AG1011" s="11"/>
      <c r="AH1011" s="11"/>
      <c r="AI1011" s="11"/>
      <c r="AJ1011" s="11"/>
      <c r="AK1011" s="11"/>
      <c r="AL1011" s="1"/>
      <c r="AM1011" s="1"/>
      <c r="AV1011" s="23" t="str">
        <f>M1011</f>
        <v>Coffee Cost %age with Discounts</v>
      </c>
      <c r="AW1011" s="3"/>
      <c r="AX1011" s="3"/>
      <c r="AY1011" s="3"/>
      <c r="AZ1011" s="3"/>
      <c r="BA1011" s="22" t="e">
        <f>O1011</f>
        <v>#DIV/0!</v>
      </c>
      <c r="BB1011" s="22" t="e">
        <f>P1011</f>
        <v>#DIV/0!</v>
      </c>
      <c r="BF1011" s="1"/>
      <c r="BG1011" s="21" t="e">
        <f>BG1007/(BG1008+BG1010)</f>
        <v>#DIV/0!</v>
      </c>
      <c r="BH1011" s="11"/>
      <c r="BI1011" s="11"/>
      <c r="BJ1011" s="11"/>
      <c r="BK1011" s="11"/>
      <c r="BL1011" s="11"/>
      <c r="BM1011" s="11"/>
      <c r="BN1011" s="11"/>
      <c r="BO1011" s="11"/>
      <c r="BQ1011" s="8"/>
    </row>
    <row r="1012" spans="1:69" s="10" customFormat="1" hidden="1" x14ac:dyDescent="0.35">
      <c r="A1012" s="17"/>
      <c r="B1012" s="14"/>
      <c r="C1012" s="14"/>
      <c r="D1012" s="14"/>
      <c r="E1012" s="16"/>
      <c r="F1012" s="16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20"/>
      <c r="R1012" s="15"/>
      <c r="S1012" s="14"/>
      <c r="T1012" s="14"/>
      <c r="U1012" s="14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3"/>
      <c r="AG1012" s="11"/>
      <c r="AH1012" s="11"/>
      <c r="AI1012" s="11"/>
      <c r="AJ1012" s="11"/>
      <c r="AK1012" s="11"/>
      <c r="AL1012" s="1"/>
      <c r="AM1012" s="1"/>
      <c r="BG1012" s="11"/>
      <c r="BH1012" s="11"/>
      <c r="BI1012" s="11"/>
      <c r="BJ1012" s="11"/>
      <c r="BK1012" s="11"/>
      <c r="BL1012" s="11"/>
      <c r="BM1012" s="11"/>
      <c r="BN1012" s="11"/>
      <c r="BO1012" s="11"/>
      <c r="BQ1012" s="8"/>
    </row>
    <row r="1013" spans="1:69" s="10" customFormat="1" hidden="1" x14ac:dyDescent="0.35">
      <c r="A1013" s="17"/>
      <c r="B1013" s="14"/>
      <c r="C1013" s="14"/>
      <c r="D1013" s="14"/>
      <c r="E1013" s="16"/>
      <c r="F1013" s="16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20"/>
      <c r="R1013" s="15"/>
      <c r="S1013" s="14"/>
      <c r="T1013" s="14"/>
      <c r="U1013" s="14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3"/>
      <c r="AG1013" s="11"/>
      <c r="AH1013" s="11"/>
      <c r="AI1013" s="11"/>
      <c r="AJ1013" s="11"/>
      <c r="AK1013" s="11"/>
      <c r="AL1013" s="1"/>
      <c r="AM1013" s="1"/>
      <c r="BG1013" s="11"/>
      <c r="BH1013" s="11"/>
      <c r="BI1013" s="11"/>
      <c r="BJ1013" s="11"/>
      <c r="BK1013" s="11"/>
      <c r="BL1013" s="11"/>
      <c r="BM1013" s="11"/>
      <c r="BN1013" s="11"/>
      <c r="BO1013" s="11"/>
      <c r="BQ1013" s="8"/>
    </row>
    <row r="1014" spans="1:69" s="10" customFormat="1" ht="18" hidden="1" x14ac:dyDescent="0.65">
      <c r="A1014" s="17"/>
      <c r="B1014" s="14"/>
      <c r="C1014" s="14"/>
      <c r="D1014" s="14"/>
      <c r="E1014" s="16"/>
      <c r="F1014" s="16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20"/>
      <c r="R1014" s="15"/>
      <c r="S1014" s="19" t="s">
        <v>3</v>
      </c>
      <c r="T1014" s="19" t="s">
        <v>2</v>
      </c>
      <c r="U1014" s="14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3"/>
      <c r="AG1014" s="11"/>
      <c r="AH1014" s="11"/>
      <c r="AI1014" s="11"/>
      <c r="AJ1014" s="11"/>
      <c r="AK1014" s="11"/>
      <c r="AL1014" s="1"/>
      <c r="AM1014" s="1"/>
      <c r="AW1014" s="3"/>
      <c r="AX1014" s="3"/>
      <c r="AY1014" s="7"/>
      <c r="AZ1014" s="3"/>
      <c r="BA1014" s="18" t="s">
        <v>3</v>
      </c>
      <c r="BB1014" s="18" t="s">
        <v>2</v>
      </c>
      <c r="BG1014" s="11"/>
      <c r="BH1014" s="11"/>
      <c r="BI1014" s="11"/>
      <c r="BJ1014" s="11"/>
      <c r="BK1014" s="11"/>
      <c r="BL1014" s="11"/>
      <c r="BM1014" s="11"/>
      <c r="BN1014" s="11"/>
      <c r="BO1014" s="11"/>
      <c r="BQ1014" s="8"/>
    </row>
    <row r="1015" spans="1:69" s="10" customFormat="1" hidden="1" x14ac:dyDescent="0.35">
      <c r="A1015" s="17"/>
      <c r="B1015" s="14"/>
      <c r="C1015" s="14"/>
      <c r="D1015" s="14"/>
      <c r="E1015" s="16"/>
      <c r="F1015" s="16"/>
      <c r="G1015" s="14"/>
      <c r="H1015" s="14"/>
      <c r="I1015" s="14"/>
      <c r="J1015" s="14"/>
      <c r="K1015" s="14"/>
      <c r="L1015" s="14"/>
      <c r="M1015" s="14"/>
      <c r="N1015" s="14"/>
      <c r="O1015" s="14"/>
      <c r="P1015" s="12" t="s">
        <v>51</v>
      </c>
      <c r="Q1015" s="12"/>
      <c r="R1015" s="15"/>
      <c r="S1015" s="3">
        <f>SUMIF(S990:S1000,"&gt;0",S990:S1000)</f>
        <v>0</v>
      </c>
      <c r="T1015" s="3">
        <f>SUMIF(T990:T1000,"&gt;0",T990:T1000)</f>
        <v>0</v>
      </c>
      <c r="U1015" s="14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3"/>
      <c r="AG1015" s="11"/>
      <c r="AH1015" s="11"/>
      <c r="AI1015" s="11"/>
      <c r="AJ1015" s="11"/>
      <c r="AK1015" s="11"/>
      <c r="AL1015" s="1"/>
      <c r="AM1015" s="1"/>
      <c r="AW1015" s="12"/>
      <c r="AX1015" s="12" t="str">
        <f>P1015</f>
        <v>Total Coffee Excess</v>
      </c>
      <c r="AY1015" s="7"/>
      <c r="AZ1015" s="7"/>
      <c r="BA1015" s="3">
        <f>S1015</f>
        <v>0</v>
      </c>
      <c r="BB1015" s="3">
        <f>T1015</f>
        <v>0</v>
      </c>
      <c r="BG1015" s="11"/>
      <c r="BH1015" s="11"/>
      <c r="BI1015" s="11"/>
      <c r="BJ1015" s="11"/>
      <c r="BK1015" s="11"/>
      <c r="BL1015" s="11"/>
      <c r="BM1015" s="11"/>
      <c r="BN1015" s="11"/>
      <c r="BO1015" s="11"/>
      <c r="BQ1015" s="8"/>
    </row>
    <row r="1016" spans="1:69" s="10" customFormat="1" hidden="1" x14ac:dyDescent="0.35">
      <c r="A1016" s="17"/>
      <c r="B1016" s="14"/>
      <c r="C1016" s="14"/>
      <c r="D1016" s="14"/>
      <c r="E1016" s="16"/>
      <c r="F1016" s="16"/>
      <c r="G1016" s="14"/>
      <c r="H1016" s="14"/>
      <c r="I1016" s="14"/>
      <c r="J1016" s="14"/>
      <c r="K1016" s="14"/>
      <c r="L1016" s="14"/>
      <c r="M1016" s="14"/>
      <c r="N1016" s="14"/>
      <c r="O1016" s="14"/>
      <c r="P1016" s="12" t="s">
        <v>50</v>
      </c>
      <c r="Q1016" s="12"/>
      <c r="R1016" s="15"/>
      <c r="S1016" s="3">
        <f>SUMIF(S990:S1000,"&lt;0",S990:S1000)</f>
        <v>0</v>
      </c>
      <c r="T1016" s="3">
        <f>SUMIF(T990:T1000,"&lt;0",T990:T1000)</f>
        <v>0</v>
      </c>
      <c r="U1016" s="14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3"/>
      <c r="AG1016" s="11"/>
      <c r="AH1016" s="11"/>
      <c r="AI1016" s="11"/>
      <c r="AJ1016" s="11"/>
      <c r="AK1016" s="11"/>
      <c r="AL1016" s="1"/>
      <c r="AM1016" s="1"/>
      <c r="AW1016" s="12"/>
      <c r="AX1016" s="12" t="str">
        <f>P1016</f>
        <v>Total Coffee Shortage</v>
      </c>
      <c r="AY1016" s="7"/>
      <c r="AZ1016" s="7"/>
      <c r="BA1016" s="3">
        <f>S1016</f>
        <v>0</v>
      </c>
      <c r="BB1016" s="3">
        <f>T1016</f>
        <v>0</v>
      </c>
      <c r="BG1016" s="11"/>
      <c r="BH1016" s="11"/>
      <c r="BI1016" s="11"/>
      <c r="BJ1016" s="11"/>
      <c r="BK1016" s="11"/>
      <c r="BL1016" s="11"/>
      <c r="BM1016" s="11"/>
      <c r="BN1016" s="11"/>
      <c r="BO1016" s="11"/>
      <c r="BQ1016" s="8"/>
    </row>
    <row r="1017" spans="1:69" hidden="1" x14ac:dyDescent="0.35">
      <c r="BE1017" s="10"/>
      <c r="BQ1017" s="8"/>
    </row>
    <row r="1018" spans="1:69" x14ac:dyDescent="0.35">
      <c r="BE1018" s="10"/>
      <c r="BQ1018" s="8"/>
    </row>
    <row r="1019" spans="1:69" s="10" customFormat="1" x14ac:dyDescent="0.35">
      <c r="A1019" s="81" t="s">
        <v>49</v>
      </c>
      <c r="B1019" s="16"/>
      <c r="C1019" s="16"/>
      <c r="D1019" s="14"/>
      <c r="E1019" s="16"/>
      <c r="F1019" s="16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20"/>
      <c r="R1019" s="15"/>
      <c r="S1019" s="14"/>
      <c r="T1019" s="14"/>
      <c r="U1019" s="14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3"/>
      <c r="AG1019" s="11"/>
      <c r="AH1019" s="11"/>
      <c r="AI1019" s="11"/>
      <c r="AJ1019" s="11"/>
      <c r="AK1019" s="11"/>
      <c r="AL1019" s="1"/>
      <c r="AM1019" s="1"/>
      <c r="AN1019" s="80" t="str">
        <f>A1019</f>
        <v>Tobacco Variance Report for Feb'16</v>
      </c>
      <c r="BB1019" s="11"/>
      <c r="BG1019" s="11"/>
      <c r="BH1019" s="11"/>
      <c r="BI1019" s="11"/>
      <c r="BJ1019" s="11"/>
      <c r="BK1019" s="11"/>
      <c r="BL1019" s="11"/>
      <c r="BM1019" s="11"/>
      <c r="BN1019" s="11"/>
      <c r="BO1019" s="11"/>
      <c r="BQ1019" s="8"/>
    </row>
    <row r="1020" spans="1:69" s="68" customFormat="1" ht="43.2" x14ac:dyDescent="0.3">
      <c r="A1020" s="79" t="s">
        <v>48</v>
      </c>
      <c r="B1020" s="78" t="s">
        <v>47</v>
      </c>
      <c r="C1020" s="78" t="s">
        <v>46</v>
      </c>
      <c r="D1020" s="70" t="s">
        <v>45</v>
      </c>
      <c r="E1020" s="78" t="s">
        <v>44</v>
      </c>
      <c r="F1020" s="78" t="s">
        <v>43</v>
      </c>
      <c r="G1020" s="70" t="s">
        <v>42</v>
      </c>
      <c r="H1020" s="78" t="s">
        <v>41</v>
      </c>
      <c r="I1020" s="78" t="s">
        <v>40</v>
      </c>
      <c r="J1020" s="78" t="s">
        <v>39</v>
      </c>
      <c r="K1020" s="78" t="s">
        <v>38</v>
      </c>
      <c r="L1020" s="78" t="s">
        <v>37</v>
      </c>
      <c r="M1020" s="78" t="s">
        <v>36</v>
      </c>
      <c r="N1020" s="70" t="s">
        <v>35</v>
      </c>
      <c r="O1020" s="69" t="s">
        <v>34</v>
      </c>
      <c r="P1020" s="70" t="s">
        <v>33</v>
      </c>
      <c r="Q1020" s="77" t="s">
        <v>32</v>
      </c>
      <c r="R1020" s="73" t="s">
        <v>31</v>
      </c>
      <c r="S1020" s="70" t="s">
        <v>30</v>
      </c>
      <c r="T1020" s="70" t="s">
        <v>29</v>
      </c>
      <c r="U1020" s="76"/>
      <c r="V1020" s="75" t="s">
        <v>28</v>
      </c>
      <c r="W1020" s="75"/>
      <c r="X1020" s="75"/>
      <c r="Y1020" s="75"/>
      <c r="Z1020" s="74"/>
      <c r="AA1020" s="75" t="s">
        <v>27</v>
      </c>
      <c r="AB1020" s="75"/>
      <c r="AC1020" s="75"/>
      <c r="AD1020" s="75"/>
      <c r="AE1020" s="74"/>
      <c r="AF1020" s="73" t="s">
        <v>26</v>
      </c>
      <c r="AG1020" s="70" t="s">
        <v>25</v>
      </c>
      <c r="AH1020" s="70" t="s">
        <v>24</v>
      </c>
      <c r="AI1020" s="70" t="s">
        <v>23</v>
      </c>
      <c r="AJ1020" s="70" t="s">
        <v>22</v>
      </c>
      <c r="AK1020" s="70" t="s">
        <v>21</v>
      </c>
      <c r="AL1020" s="72"/>
      <c r="AM1020" s="71"/>
      <c r="AN1020" s="70" t="str">
        <f>A1020</f>
        <v>Particulars</v>
      </c>
      <c r="AO1020" s="70" t="str">
        <f>D1020</f>
        <v>Opening Balance</v>
      </c>
      <c r="AP1020" s="70" t="str">
        <f>E1020</f>
        <v>Receipt</v>
      </c>
      <c r="AQ1020" s="70" t="str">
        <f>F1020</f>
        <v>Transfer
In / Out</v>
      </c>
      <c r="AR1020" s="70" t="str">
        <f>G1020</f>
        <v>Total</v>
      </c>
      <c r="AS1020" s="70" t="str">
        <f>H1020</f>
        <v xml:space="preserve"> Sale
Ala Carte</v>
      </c>
      <c r="AT1020" s="70" t="str">
        <f>I1020</f>
        <v>NC
Ala Carte</v>
      </c>
      <c r="AU1020" s="70" t="str">
        <f>J1020</f>
        <v>Cocktail
Sale / NC</v>
      </c>
      <c r="AV1020" s="70" t="str">
        <f>L1020</f>
        <v>Banquet
Sale</v>
      </c>
      <c r="AW1020" s="70" t="str">
        <f>J1020</f>
        <v>Cocktail
Sale / NC</v>
      </c>
      <c r="AX1020" s="70" t="str">
        <f>K1020</f>
        <v>Adjustments
(+ / -)</v>
      </c>
      <c r="AY1020" s="70" t="str">
        <f>N1020</f>
        <v>Closing Balance</v>
      </c>
      <c r="AZ1020" s="70" t="str">
        <f>O1020</f>
        <v xml:space="preserve"> Physical Closing</v>
      </c>
      <c r="BA1020" s="70" t="str">
        <f>P1020</f>
        <v>Variance
Qty</v>
      </c>
      <c r="BB1020" s="70" t="str">
        <f>R1020</f>
        <v>Selling
Price</v>
      </c>
      <c r="BC1020" s="70" t="str">
        <f>S1020</f>
        <v>Variance
in Sales</v>
      </c>
      <c r="BD1020" s="70" t="str">
        <f>AF1020</f>
        <v>Cost Price</v>
      </c>
      <c r="BE1020" s="70" t="str">
        <f>T1020</f>
        <v>Variance
in Cost</v>
      </c>
      <c r="BF1020" s="71"/>
      <c r="BG1020" s="70" t="str">
        <f>V1020</f>
        <v>Closing
Balance</v>
      </c>
      <c r="BH1020" s="70">
        <f>W1020</f>
        <v>0</v>
      </c>
      <c r="BI1020" s="70">
        <f>X1020</f>
        <v>0</v>
      </c>
      <c r="BJ1020" s="70">
        <f>Y1020</f>
        <v>0</v>
      </c>
      <c r="BK1020" s="71"/>
      <c r="BL1020" s="70" t="str">
        <f>AA1020</f>
        <v>Opening
Balance</v>
      </c>
      <c r="BM1020" s="70">
        <f>AB1020</f>
        <v>0</v>
      </c>
      <c r="BN1020" s="70">
        <f>AC1020</f>
        <v>0</v>
      </c>
      <c r="BO1020" s="70">
        <f>AD1020</f>
        <v>0</v>
      </c>
      <c r="BQ1020" s="69"/>
    </row>
    <row r="1021" spans="1:69" s="10" customFormat="1" x14ac:dyDescent="0.35">
      <c r="A1021" s="56"/>
      <c r="B1021" s="30"/>
      <c r="C1021" s="30"/>
      <c r="D1021" s="29"/>
      <c r="E1021" s="30"/>
      <c r="F1021" s="30"/>
      <c r="G1021" s="29"/>
      <c r="H1021" s="30"/>
      <c r="I1021" s="30"/>
      <c r="J1021" s="30"/>
      <c r="K1021" s="30"/>
      <c r="L1021" s="30"/>
      <c r="M1021" s="30"/>
      <c r="N1021" s="29"/>
      <c r="O1021" s="29"/>
      <c r="P1021" s="29"/>
      <c r="Q1021" s="55"/>
      <c r="R1021" s="54"/>
      <c r="S1021" s="29"/>
      <c r="T1021" s="29"/>
      <c r="U1021" s="14"/>
      <c r="V1021" s="53"/>
      <c r="W1021" s="53"/>
      <c r="X1021" s="53"/>
      <c r="Y1021" s="53"/>
      <c r="Z1021" s="11"/>
      <c r="AA1021" s="53"/>
      <c r="AB1021" s="53"/>
      <c r="AC1021" s="53"/>
      <c r="AD1021" s="53"/>
      <c r="AE1021" s="11"/>
      <c r="AF1021" s="67"/>
      <c r="AG1021" s="29"/>
      <c r="AH1021" s="29"/>
      <c r="AI1021" s="29"/>
      <c r="AJ1021" s="29"/>
      <c r="AK1021" s="29"/>
      <c r="AL1021" s="1"/>
      <c r="AM1021" s="1"/>
      <c r="AN1021" s="51"/>
      <c r="AO1021" s="28"/>
      <c r="AP1021" s="28"/>
      <c r="AQ1021" s="28"/>
      <c r="AR1021" s="28"/>
      <c r="AS1021" s="28"/>
      <c r="AT1021" s="28"/>
      <c r="AU1021" s="28"/>
      <c r="AV1021" s="28"/>
      <c r="AW1021" s="28"/>
      <c r="AX1021" s="28"/>
      <c r="AY1021" s="28"/>
      <c r="AZ1021" s="28"/>
      <c r="BA1021" s="28"/>
      <c r="BB1021" s="33"/>
      <c r="BC1021" s="28"/>
      <c r="BD1021" s="28"/>
      <c r="BE1021" s="28"/>
      <c r="BF1021" s="1"/>
      <c r="BG1021" s="33"/>
      <c r="BH1021" s="33"/>
      <c r="BI1021" s="33"/>
      <c r="BJ1021" s="33"/>
      <c r="BK1021" s="1"/>
      <c r="BL1021" s="33"/>
      <c r="BM1021" s="33"/>
      <c r="BN1021" s="33"/>
      <c r="BO1021" s="33"/>
      <c r="BQ1021" s="37"/>
    </row>
    <row r="1022" spans="1:69" s="10" customFormat="1" x14ac:dyDescent="0.35">
      <c r="A1022" s="65" t="s">
        <v>20</v>
      </c>
      <c r="B1022" s="30"/>
      <c r="C1022" s="30"/>
      <c r="D1022" s="29"/>
      <c r="E1022" s="30"/>
      <c r="F1022" s="30"/>
      <c r="G1022" s="29"/>
      <c r="H1022" s="30"/>
      <c r="I1022" s="30"/>
      <c r="J1022" s="30"/>
      <c r="K1022" s="30"/>
      <c r="L1022" s="30"/>
      <c r="M1022" s="30"/>
      <c r="N1022" s="29"/>
      <c r="O1022" s="29"/>
      <c r="P1022" s="29"/>
      <c r="Q1022" s="55"/>
      <c r="R1022" s="54"/>
      <c r="S1022" s="29"/>
      <c r="T1022" s="29"/>
      <c r="U1022" s="14"/>
      <c r="V1022" s="53"/>
      <c r="W1022" s="53"/>
      <c r="X1022" s="53"/>
      <c r="Y1022" s="53"/>
      <c r="Z1022" s="11"/>
      <c r="AA1022" s="53"/>
      <c r="AB1022" s="53"/>
      <c r="AC1022" s="53"/>
      <c r="AD1022" s="53"/>
      <c r="AE1022" s="11"/>
      <c r="AF1022" s="66"/>
      <c r="AG1022" s="29"/>
      <c r="AH1022" s="29"/>
      <c r="AI1022" s="29"/>
      <c r="AJ1022" s="29"/>
      <c r="AK1022" s="29"/>
      <c r="AL1022" s="1"/>
      <c r="AM1022" s="1"/>
      <c r="AN1022" s="65" t="str">
        <f>A1022</f>
        <v>Tobacco</v>
      </c>
      <c r="AO1022" s="57"/>
      <c r="AP1022" s="57"/>
      <c r="AQ1022" s="57"/>
      <c r="AR1022" s="57"/>
      <c r="AS1022" s="57"/>
      <c r="AT1022" s="57"/>
      <c r="AU1022" s="57"/>
      <c r="AV1022" s="57"/>
      <c r="AW1022" s="57"/>
      <c r="AX1022" s="57"/>
      <c r="AY1022" s="57"/>
      <c r="AZ1022" s="57"/>
      <c r="BA1022" s="57"/>
      <c r="BB1022" s="57"/>
      <c r="BC1022" s="28"/>
      <c r="BD1022" s="28"/>
      <c r="BE1022" s="28"/>
      <c r="BF1022" s="1"/>
      <c r="BG1022" s="57"/>
      <c r="BH1022" s="57"/>
      <c r="BI1022" s="57"/>
      <c r="BJ1022" s="57"/>
      <c r="BK1022" s="1"/>
      <c r="BL1022" s="57"/>
      <c r="BM1022" s="57"/>
      <c r="BN1022" s="57"/>
      <c r="BO1022" s="57"/>
      <c r="BQ1022" s="37"/>
    </row>
    <row r="1023" spans="1:69" s="10" customFormat="1" x14ac:dyDescent="0.35">
      <c r="A1023" s="64" t="s">
        <v>19</v>
      </c>
      <c r="B1023" s="30">
        <v>1</v>
      </c>
      <c r="C1023" s="30">
        <v>1</v>
      </c>
      <c r="D1023" s="28">
        <f>SUM(AA1023:AD1023)</f>
        <v>58</v>
      </c>
      <c r="E1023" s="30">
        <f>10*20</f>
        <v>200</v>
      </c>
      <c r="F1023" s="30">
        <v>0</v>
      </c>
      <c r="G1023" s="28">
        <f>SUM(D1023:F1023)</f>
        <v>258</v>
      </c>
      <c r="H1023" s="30">
        <v>4</v>
      </c>
      <c r="I1023" s="30">
        <v>0</v>
      </c>
      <c r="J1023" s="30">
        <v>0</v>
      </c>
      <c r="K1023" s="30">
        <v>0</v>
      </c>
      <c r="L1023" s="30">
        <v>0</v>
      </c>
      <c r="M1023" s="30">
        <v>0</v>
      </c>
      <c r="N1023" s="29">
        <f>G1023-SUM(H1023:M1023)</f>
        <v>254</v>
      </c>
      <c r="O1023" s="28">
        <f>SUM(V1023:Y1023)</f>
        <v>254</v>
      </c>
      <c r="P1023" s="29">
        <f>O1023-N1023</f>
        <v>0</v>
      </c>
      <c r="Q1023" s="61">
        <f>IF(ISERROR(P1023/SUM(H1023:L1023)),"",P1023/SUM(H1023:L1023))</f>
        <v>0</v>
      </c>
      <c r="R1023" s="30">
        <v>150</v>
      </c>
      <c r="S1023" s="28">
        <f>IF(ISERROR(P1023/C1023*R1023),0,(P1023/C1023*R1023))</f>
        <v>0</v>
      </c>
      <c r="T1023" s="60">
        <f>IF(ISERROR(P1023/B1023*AF1023),0,(P1023/B1023*AF1023))</f>
        <v>0</v>
      </c>
      <c r="U1023" s="14"/>
      <c r="V1023" s="30">
        <v>14</v>
      </c>
      <c r="W1023" s="30">
        <f>12*20</f>
        <v>240</v>
      </c>
      <c r="X1023" s="30">
        <v>0</v>
      </c>
      <c r="Y1023" s="30">
        <v>0</v>
      </c>
      <c r="Z1023" s="59"/>
      <c r="AA1023" s="30">
        <v>18</v>
      </c>
      <c r="AB1023" s="30">
        <v>40</v>
      </c>
      <c r="AC1023" s="30">
        <v>0</v>
      </c>
      <c r="AD1023" s="30">
        <v>0</v>
      </c>
      <c r="AE1023" s="59"/>
      <c r="AF1023" s="54">
        <v>82.63</v>
      </c>
      <c r="AG1023" s="28">
        <f>G1023-O1023</f>
        <v>4</v>
      </c>
      <c r="AH1023" s="58">
        <f>IF(ISERROR(AG1023/B1023*AF1023),0,(AG1023/B1023*AF1023))</f>
        <v>330.52</v>
      </c>
      <c r="AI1023" s="28">
        <f>SUM(H1023:M1023)</f>
        <v>4</v>
      </c>
      <c r="AJ1023" s="28">
        <f>IF(ISERROR(AI1023/B1023*AF1023),0,(AI1023/B1023*AF1023))</f>
        <v>330.52</v>
      </c>
      <c r="AK1023" s="28">
        <f>IF(ISERROR(O1023/B1023*AF1023),0,(O1023/B1023*AF1023))</f>
        <v>20988.02</v>
      </c>
      <c r="AL1023" s="1"/>
      <c r="AM1023" s="1"/>
      <c r="AN1023" s="51" t="str">
        <f>A1023</f>
        <v>Gold Flaks 10nos</v>
      </c>
      <c r="AO1023" s="57">
        <f>IF(ISERROR(IF(B1023=C1023,D1023/C1023,(INT(D1023/B1023)+(((D1023-B1023*INT(D1023/B1023)))/C1023)/100))),0,(IF(B1023=C1023,D1023/C1023,(INT(D1023/B1023)+(((D1023-B1023*INT(D1023/B1023)))/C1023)/100))))</f>
        <v>58</v>
      </c>
      <c r="AP1023" s="57">
        <f>IF(ISERROR(IF(B1023=C1023,E1023/C1023,(INT(E1023/B1023)+(((E1023-B1023*INT(E1023/B1023)))/C1023)/100))),0,(IF(B1023=C1023,E1023/C1023,(INT(E1023/B1023)+(((E1023-B1023*INT(E1023/B1023)))/C1023)/100))))</f>
        <v>200</v>
      </c>
      <c r="AQ1023" s="57">
        <f>IF(ISERROR(IF(B1023=C1023,F1023/C1023,IF((INT(F1023/B1023)+(((F1023-B1023*INT(F1023/B1023)))/C1023)/100)&lt;0,(INT(F1023/B1023)+(((F1023-B1023*INT(F1023/B1023)))/C1023)/100)+(1-(B1023/C1023/100)),(INT(F1023/B1023)+(((F1023-B1023*INT(F1023/B1023)))/C1023)/100)))),0,IF(B1023=C1023,F1023/C1023,IF((INT(F1023/B1023)+(((F1023-B1023*INT(F1023/B1023)))/C1023)/100)&lt;0,(INT(F1023/B1023)+(((F1023-B1023*INT(F1023/B1023)))/C1023)/100)+(1-(B1023/C1023/100)),(INT(F1023/B1023)+(((F1023-B1023*INT(F1023/B1023)))/C1023)/100))))</f>
        <v>0</v>
      </c>
      <c r="AR1023" s="57">
        <f>IF(ISERROR(IF(B1023=C1023,G1023/C1023,(INT(G1023/B1023)+(((G1023-B1023*INT(G1023/B1023)))/C1023)/100))),0,(IF(B1023=C1023,G1023/C1023,(INT(G1023/B1023)+(((G1023-B1023*INT(G1023/B1023)))/C1023)/100))))</f>
        <v>258</v>
      </c>
      <c r="AS1023" s="57">
        <f>IF(ISERROR(IF(B1023=C1023,H1023/C1023,(INT(H1023/B1023)+(((H1023-B1023*INT(H1023/B1023)))/C1023)/100))),0,(IF(B1023=C1023,H1023/C1023,(INT(H1023/B1023)+(((H1023-B1023*INT(H1023/B1023)))/C1023)/100))))</f>
        <v>4</v>
      </c>
      <c r="AT1023" s="57">
        <f>IF(ISERROR(IF(B1023=C1023,I1023/C1023,(INT(I1023/B1023)+(((I1023-B1023*INT(I1023/B1023)))/C1023)/100))),0,(IF(B1023=C1023,I1023/C1023,(INT(I1023/B1023)+(((I1023-B1023*INT(I1023/B1023)))/C1023)/100))))</f>
        <v>0</v>
      </c>
      <c r="AU1023" s="57">
        <f>IF(ISERROR(IF(B1023=C1023,J1023/C1023,(INT(J1023/B1023)+(((J1023-B1023*INT(J1023/B1023)))/C1023)/100))),0,(IF(B1023=C1023,J1023/C1023,(INT(J1023/B1023)+(((J1023-B1023*INT(J1023/B1023)))/C1023)/100))))</f>
        <v>0</v>
      </c>
      <c r="AV1023" s="57">
        <f>IF(ISERROR(IF(B1023=C1023,K1023/C1023,IF((INT(K1023/B1023)+(((K1023-B1023*INT(K1023/B1023)))/C1023)/100)&lt;0,(INT(K1023/B1023)+(((K1023-B1023*INT(K1023/B1023)))/C1023)/100)+(1-(B1023/C1023/100)),(INT(K1023/B1023)+(((K1023-B1023*INT(K1023/B1023)))/C1023)/100)))),0,IF(B1023=C1023,K1023/C1023,IF((INT(K1023/B1023)+(((K1023-B1023*INT(K1023/B1023)))/C1023)/100)&lt;0,(INT(K1023/B1023)+(((K1023-B1023*INT(K1023/B1023)))/C1023)/100)+(1-(B1023/C1023/100)),(INT(K1023/B1023)+(((K1023-B1023*INT(K1023/B1023)))/C1023)/100))))</f>
        <v>0</v>
      </c>
      <c r="AW1023" s="57">
        <f>IF(ISERROR(IF(B1023=C1023,L1023/C1023,(INT(L1023/B1023)+(((L1023-B1023*INT(L1023/B1023)))/C1023)/100))),0,(IF(B1023=C1023,L1023/C1023,(INT(L1023/B1023)+(((L1023-B1023*INT(L1023/B1023)))/C1023)/100))))</f>
        <v>0</v>
      </c>
      <c r="AX1023" s="57">
        <f>IF(ISERROR(IF(B1023=C1023,M1023/C1023,(INT(M1023/B1023)+(((M1023-B1023*INT(M1023/B1023)))/C1023)/100))),0,(IF(B1023=C1023,M1023/C1023,(INT(M1023/B1023)+(((M1023-B1023*INT(M1023/B1023)))/C1023)/100))))</f>
        <v>0</v>
      </c>
      <c r="AY1023" s="57">
        <f>IF(ISERROR(IF(B1023=C1023,N1023/C1023,IF((INT(N1023/B1023)+(((N1023-B1023*INT(N1023/B1023)))/C1023)/100)&lt;0,(INT(N1023/B1023)+(((N1023-B1023*INT(N1023/B1023)))/C1023)/100)+(1-(B1023/C1023/100)),(INT(N1023/B1023)+(((N1023-B1023*INT(N1023/B1023)))/C1023)/100)))),0,IF(B1023=C1023,N1023/C1023,IF((INT(N1023/B1023)+(((N1023-B1023*INT(N1023/B1023)))/C1023)/100)&lt;0,(INT(N1023/B1023)+(((N1023-B1023*INT(N1023/B1023)))/C1023)/100)+(1-(B1023/C1023/100)),(INT(N1023/B1023)+(((N1023-B1023*INT(N1023/B1023)))/C1023)/100))))</f>
        <v>254</v>
      </c>
      <c r="AZ1023" s="57">
        <f>IF(ISERROR(IF(B1023=C1023,O1023/C1023,(INT(O1023/B1023)+(((O1023-B1023*INT(O1023/B1023)))/C1023)/100))),0,(IF(B1023=C1023,O1023/C1023,(INT(O1023/B1023)+(((O1023-B1023*INT(O1023/B1023)))/C1023)/100))))</f>
        <v>254</v>
      </c>
      <c r="BA1023" s="57">
        <f>IF(ISERROR(IF(B1023=C1023,P1023/C1023,IF((INT(P1023/B1023)+(((P1023-B1023*INT(P1023/B1023)))/C1023)/100)&lt;0,(INT(P1023/B1023)+(((P1023-B1023*INT(P1023/B1023)))/C1023)/100)+(1-(B1023/C1023/100)),(INT(P1023/B1023)+(((P1023-B1023*INT(P1023/B1023)))/C1023)/100)))),0,IF(B1023=C1023,P1023/C1023,IF((INT(P1023/B1023)+(((P1023-B1023*INT(P1023/B1023)))/C1023)/100)&lt;0,(INT(P1023/B1023)+(((P1023-B1023*INT(P1023/B1023)))/C1023)/100)+(1-(B1023/C1023/100)),(INT(P1023/B1023)+(((P1023-B1023*INT(P1023/B1023)))/C1023)/100))))</f>
        <v>0</v>
      </c>
      <c r="BB1023" s="28">
        <f>R1023</f>
        <v>150</v>
      </c>
      <c r="BC1023" s="28">
        <f>S1023</f>
        <v>0</v>
      </c>
      <c r="BD1023" s="28">
        <f>AF1023</f>
        <v>82.63</v>
      </c>
      <c r="BE1023" s="28">
        <f>T1023</f>
        <v>0</v>
      </c>
      <c r="BF1023" s="1"/>
      <c r="BG1023" s="57">
        <f>IF(ISERROR(IF(B1023=C1023,V1023/C1023,(INT(V1023/B1023)+(((V1023-B1023*INT(V1023/B1023)))/C1023)/100))),0,(IF(B1023=C1023,V1023/C1023,(INT(V1023/B1023)+(((V1023-B1023*INT(V1023/B1023)))/C1023)/100))))</f>
        <v>14</v>
      </c>
      <c r="BH1023" s="57">
        <f>IF(ISERROR(IF(B1023=C1023,W1023/C1023,(INT(W1023/B1023)+(((W1023-B1023*INT(W1023/B1023)))/C1023)/100))),0,(IF(B1023=C1023,W1023/C1023,(INT(W1023/B1023)+(((W1023-B1023*INT(W1023/B1023)))/C1023)/100))))</f>
        <v>240</v>
      </c>
      <c r="BI1023" s="57">
        <f>IF(ISERROR(IF(B1023=C1023,X1023/C1023,(INT(X1023/B1023)+(((X1023-B1023*INT(X1023/B1023)))/C1023)/100))),0,(IF(B1023=C1023,X1023/C1023,(INT(X1023/B1023)+(((X1023-B1023*INT(X1023/B1023)))/C1023)/100))))</f>
        <v>0</v>
      </c>
      <c r="BJ1023" s="57">
        <f>IF(ISERROR(IF(B1023=C1023,Y1023/C1023,(INT(Y1023/B1023)+(((Y1023-B1023*INT(Y1023/B1023)))/C1023)/100))),0,(IF(B1023=C1023,Y1023/C1023,(INT(Y1023/B1023)+(((Y1023-B1023*INT(Y1023/B1023)))/C1023)/100))))</f>
        <v>0</v>
      </c>
      <c r="BK1023" s="1"/>
      <c r="BL1023" s="57">
        <f>IF(ISERROR(IF(B1023=C1023,AA1023/C1023,(INT(AA1023/B1023)+(((AA1023-B1023*INT(AA1023/B1023)))/C1023)/100))),0,(IF(B1023=C1023,AA1023/C1023,(INT(AA1023/B1023)+(((AA1023-B1023*INT(AA1023/B1023)))/C1023)/100))))</f>
        <v>18</v>
      </c>
      <c r="BM1023" s="57">
        <f>IF(ISERROR(IF(B1023=C1023,AB1023/C1023,(INT(AB1023/B1023)+(((AB1023-B1023*INT(AB1023/B1023)))/C1023)/100))),0,(IF(B1023=C1023,AB1023/C1023,(INT(AB1023/B1023)+(((AB1023-B1023*INT(AB1023/B1023)))/C1023)/100))))</f>
        <v>40</v>
      </c>
      <c r="BN1023" s="57">
        <f>IF(ISERROR(IF(B1023=C1023,AC1023/C1023,(INT(AC1023/B1023)+(((AC1023-B1023*INT(AC1023/B1023)))/C1023)/100))),0,(IF(B1023=C1023,AC1023/C1023,(INT(AC1023/B1023)+(((AC1023-B1023*INT(AC1023/B1023)))/C1023)/100))))</f>
        <v>0</v>
      </c>
      <c r="BO1023" s="57">
        <f>IF(ISERROR(IF(B1023=C1023,AD1023/C1023,(INT(AD1023/B1023)+(((AD1023-B1023*INT(AD1023/B1023)))/C1023)/100))),0,(IF(B1023=C1023,AD1023/C1023,(INT(AD1023/B1023)+(((AD1023-B1023*INT(AD1023/B1023)))/C1023)/100))))</f>
        <v>0</v>
      </c>
      <c r="BQ1023" s="37"/>
    </row>
    <row r="1024" spans="1:69" s="10" customFormat="1" x14ac:dyDescent="0.35">
      <c r="A1024" s="64" t="s">
        <v>18</v>
      </c>
      <c r="B1024" s="30">
        <v>1</v>
      </c>
      <c r="C1024" s="30">
        <v>1</v>
      </c>
      <c r="D1024" s="28">
        <f>SUM(AA1024:AD1024)</f>
        <v>0</v>
      </c>
      <c r="E1024" s="30">
        <v>0</v>
      </c>
      <c r="F1024" s="30">
        <v>0</v>
      </c>
      <c r="G1024" s="28">
        <f>SUM(D1024:F1024)</f>
        <v>0</v>
      </c>
      <c r="H1024" s="30">
        <v>0</v>
      </c>
      <c r="I1024" s="30">
        <v>0</v>
      </c>
      <c r="J1024" s="30">
        <v>0</v>
      </c>
      <c r="K1024" s="30">
        <v>0</v>
      </c>
      <c r="L1024" s="30">
        <v>0</v>
      </c>
      <c r="M1024" s="30">
        <v>0</v>
      </c>
      <c r="N1024" s="29">
        <f>G1024-SUM(H1024:M1024)</f>
        <v>0</v>
      </c>
      <c r="O1024" s="28">
        <f>SUM(V1024:Y1024)</f>
        <v>0</v>
      </c>
      <c r="P1024" s="29">
        <f>O1024-N1024</f>
        <v>0</v>
      </c>
      <c r="Q1024" s="61" t="str">
        <f>IF(ISERROR(P1024/SUM(H1024:L1024)),"",P1024/SUM(H1024:L1024))</f>
        <v/>
      </c>
      <c r="R1024" s="30">
        <v>250</v>
      </c>
      <c r="S1024" s="28">
        <f>IF(ISERROR(P1024/C1024*R1024),0,(P1024/C1024*R1024))</f>
        <v>0</v>
      </c>
      <c r="T1024" s="60">
        <f>IF(ISERROR(P1024/B1024*AF1024),0,(P1024/B1024*AF1024))</f>
        <v>0</v>
      </c>
      <c r="U1024" s="14"/>
      <c r="V1024" s="30">
        <v>0</v>
      </c>
      <c r="W1024" s="30">
        <v>0</v>
      </c>
      <c r="X1024" s="30">
        <v>0</v>
      </c>
      <c r="Y1024" s="30">
        <v>0</v>
      </c>
      <c r="Z1024" s="59"/>
      <c r="AA1024" s="30">
        <v>0</v>
      </c>
      <c r="AB1024" s="30">
        <v>0</v>
      </c>
      <c r="AC1024" s="30">
        <v>0</v>
      </c>
      <c r="AD1024" s="30">
        <v>0</v>
      </c>
      <c r="AE1024" s="59"/>
      <c r="AF1024" s="54">
        <v>148.59</v>
      </c>
      <c r="AG1024" s="28">
        <f>G1024-O1024</f>
        <v>0</v>
      </c>
      <c r="AH1024" s="58">
        <f>IF(ISERROR(AG1024/B1024*AF1024),0,(AG1024/B1024*AF1024))</f>
        <v>0</v>
      </c>
      <c r="AI1024" s="28">
        <f>SUM(H1024:M1024)</f>
        <v>0</v>
      </c>
      <c r="AJ1024" s="28">
        <f>IF(ISERROR(AI1024/B1024*AF1024),0,(AI1024/B1024*AF1024))</f>
        <v>0</v>
      </c>
      <c r="AK1024" s="28">
        <f>IF(ISERROR(O1024/B1024*AF1024),0,(O1024/B1024*AF1024))</f>
        <v>0</v>
      </c>
      <c r="AL1024" s="1"/>
      <c r="AM1024" s="1"/>
      <c r="AN1024" s="51" t="str">
        <f>A1024</f>
        <v>Gold Flaks 20nos</v>
      </c>
      <c r="AO1024" s="57">
        <f>IF(ISERROR(IF(B1024=C1024,D1024/C1024,(INT(D1024/B1024)+(((D1024-B1024*INT(D1024/B1024)))/C1024)/100))),0,(IF(B1024=C1024,D1024/C1024,(INT(D1024/B1024)+(((D1024-B1024*INT(D1024/B1024)))/C1024)/100))))</f>
        <v>0</v>
      </c>
      <c r="AP1024" s="57">
        <f>IF(ISERROR(IF(B1024=C1024,E1024/C1024,(INT(E1024/B1024)+(((E1024-B1024*INT(E1024/B1024)))/C1024)/100))),0,(IF(B1024=C1024,E1024/C1024,(INT(E1024/B1024)+(((E1024-B1024*INT(E1024/B1024)))/C1024)/100))))</f>
        <v>0</v>
      </c>
      <c r="AQ1024" s="57">
        <f>IF(ISERROR(IF(B1024=C1024,F1024/C1024,IF((INT(F1024/B1024)+(((F1024-B1024*INT(F1024/B1024)))/C1024)/100)&lt;0,(INT(F1024/B1024)+(((F1024-B1024*INT(F1024/B1024)))/C1024)/100)+(1-(B1024/C1024/100)),(INT(F1024/B1024)+(((F1024-B1024*INT(F1024/B1024)))/C1024)/100)))),0,IF(B1024=C1024,F1024/C1024,IF((INT(F1024/B1024)+(((F1024-B1024*INT(F1024/B1024)))/C1024)/100)&lt;0,(INT(F1024/B1024)+(((F1024-B1024*INT(F1024/B1024)))/C1024)/100)+(1-(B1024/C1024/100)),(INT(F1024/B1024)+(((F1024-B1024*INT(F1024/B1024)))/C1024)/100))))</f>
        <v>0</v>
      </c>
      <c r="AR1024" s="57">
        <f>IF(ISERROR(IF(B1024=C1024,G1024/C1024,(INT(G1024/B1024)+(((G1024-B1024*INT(G1024/B1024)))/C1024)/100))),0,(IF(B1024=C1024,G1024/C1024,(INT(G1024/B1024)+(((G1024-B1024*INT(G1024/B1024)))/C1024)/100))))</f>
        <v>0</v>
      </c>
      <c r="AS1024" s="57">
        <f>IF(ISERROR(IF(B1024=C1024,H1024/C1024,(INT(H1024/B1024)+(((H1024-B1024*INT(H1024/B1024)))/C1024)/100))),0,(IF(B1024=C1024,H1024/C1024,(INT(H1024/B1024)+(((H1024-B1024*INT(H1024/B1024)))/C1024)/100))))</f>
        <v>0</v>
      </c>
      <c r="AT1024" s="57">
        <f>IF(ISERROR(IF(B1024=C1024,I1024/C1024,(INT(I1024/B1024)+(((I1024-B1024*INT(I1024/B1024)))/C1024)/100))),0,(IF(B1024=C1024,I1024/C1024,(INT(I1024/B1024)+(((I1024-B1024*INT(I1024/B1024)))/C1024)/100))))</f>
        <v>0</v>
      </c>
      <c r="AU1024" s="57">
        <f>IF(ISERROR(IF(B1024=C1024,J1024/C1024,(INT(J1024/B1024)+(((J1024-B1024*INT(J1024/B1024)))/C1024)/100))),0,(IF(B1024=C1024,J1024/C1024,(INT(J1024/B1024)+(((J1024-B1024*INT(J1024/B1024)))/C1024)/100))))</f>
        <v>0</v>
      </c>
      <c r="AV1024" s="57">
        <f>IF(ISERROR(IF(B1024=C1024,K1024/C1024,IF((INT(K1024/B1024)+(((K1024-B1024*INT(K1024/B1024)))/C1024)/100)&lt;0,(INT(K1024/B1024)+(((K1024-B1024*INT(K1024/B1024)))/C1024)/100)+(1-(B1024/C1024/100)),(INT(K1024/B1024)+(((K1024-B1024*INT(K1024/B1024)))/C1024)/100)))),0,IF(B1024=C1024,K1024/C1024,IF((INT(K1024/B1024)+(((K1024-B1024*INT(K1024/B1024)))/C1024)/100)&lt;0,(INT(K1024/B1024)+(((K1024-B1024*INT(K1024/B1024)))/C1024)/100)+(1-(B1024/C1024/100)),(INT(K1024/B1024)+(((K1024-B1024*INT(K1024/B1024)))/C1024)/100))))</f>
        <v>0</v>
      </c>
      <c r="AW1024" s="57">
        <f>IF(ISERROR(IF(B1024=C1024,L1024/C1024,(INT(L1024/B1024)+(((L1024-B1024*INT(L1024/B1024)))/C1024)/100))),0,(IF(B1024=C1024,L1024/C1024,(INT(L1024/B1024)+(((L1024-B1024*INT(L1024/B1024)))/C1024)/100))))</f>
        <v>0</v>
      </c>
      <c r="AX1024" s="57">
        <f>IF(ISERROR(IF(B1024=C1024,M1024/C1024,(INT(M1024/B1024)+(((M1024-B1024*INT(M1024/B1024)))/C1024)/100))),0,(IF(B1024=C1024,M1024/C1024,(INT(M1024/B1024)+(((M1024-B1024*INT(M1024/B1024)))/C1024)/100))))</f>
        <v>0</v>
      </c>
      <c r="AY1024" s="57">
        <f>IF(ISERROR(IF(B1024=C1024,N1024/C1024,IF((INT(N1024/B1024)+(((N1024-B1024*INT(N1024/B1024)))/C1024)/100)&lt;0,(INT(N1024/B1024)+(((N1024-B1024*INT(N1024/B1024)))/C1024)/100)+(1-(B1024/C1024/100)),(INT(N1024/B1024)+(((N1024-B1024*INT(N1024/B1024)))/C1024)/100)))),0,IF(B1024=C1024,N1024/C1024,IF((INT(N1024/B1024)+(((N1024-B1024*INT(N1024/B1024)))/C1024)/100)&lt;0,(INT(N1024/B1024)+(((N1024-B1024*INT(N1024/B1024)))/C1024)/100)+(1-(B1024/C1024/100)),(INT(N1024/B1024)+(((N1024-B1024*INT(N1024/B1024)))/C1024)/100))))</f>
        <v>0</v>
      </c>
      <c r="AZ1024" s="57">
        <f>IF(ISERROR(IF(B1024=C1024,O1024/C1024,(INT(O1024/B1024)+(((O1024-B1024*INT(O1024/B1024)))/C1024)/100))),0,(IF(B1024=C1024,O1024/C1024,(INT(O1024/B1024)+(((O1024-B1024*INT(O1024/B1024)))/C1024)/100))))</f>
        <v>0</v>
      </c>
      <c r="BA1024" s="57">
        <f>IF(ISERROR(IF(B1024=C1024,P1024/C1024,IF((INT(P1024/B1024)+(((P1024-B1024*INT(P1024/B1024)))/C1024)/100)&lt;0,(INT(P1024/B1024)+(((P1024-B1024*INT(P1024/B1024)))/C1024)/100)+(1-(B1024/C1024/100)),(INT(P1024/B1024)+(((P1024-B1024*INT(P1024/B1024)))/C1024)/100)))),0,IF(B1024=C1024,P1024/C1024,IF((INT(P1024/B1024)+(((P1024-B1024*INT(P1024/B1024)))/C1024)/100)&lt;0,(INT(P1024/B1024)+(((P1024-B1024*INT(P1024/B1024)))/C1024)/100)+(1-(B1024/C1024/100)),(INT(P1024/B1024)+(((P1024-B1024*INT(P1024/B1024)))/C1024)/100))))</f>
        <v>0</v>
      </c>
      <c r="BB1024" s="28">
        <f>R1024</f>
        <v>250</v>
      </c>
      <c r="BC1024" s="28">
        <f>S1024</f>
        <v>0</v>
      </c>
      <c r="BD1024" s="28">
        <f>AF1024</f>
        <v>148.59</v>
      </c>
      <c r="BE1024" s="28">
        <f>T1024</f>
        <v>0</v>
      </c>
      <c r="BF1024" s="1"/>
      <c r="BG1024" s="57">
        <f>IF(ISERROR(IF(B1024=C1024,V1024/C1024,(INT(V1024/B1024)+(((V1024-B1024*INT(V1024/B1024)))/C1024)/100))),0,(IF(B1024=C1024,V1024/C1024,(INT(V1024/B1024)+(((V1024-B1024*INT(V1024/B1024)))/C1024)/100))))</f>
        <v>0</v>
      </c>
      <c r="BH1024" s="57">
        <f>IF(ISERROR(IF(B1024=C1024,W1024/C1024,(INT(W1024/B1024)+(((W1024-B1024*INT(W1024/B1024)))/C1024)/100))),0,(IF(B1024=C1024,W1024/C1024,(INT(W1024/B1024)+(((W1024-B1024*INT(W1024/B1024)))/C1024)/100))))</f>
        <v>0</v>
      </c>
      <c r="BI1024" s="57">
        <f>IF(ISERROR(IF(B1024=C1024,X1024/C1024,(INT(X1024/B1024)+(((X1024-B1024*INT(X1024/B1024)))/C1024)/100))),0,(IF(B1024=C1024,X1024/C1024,(INT(X1024/B1024)+(((X1024-B1024*INT(X1024/B1024)))/C1024)/100))))</f>
        <v>0</v>
      </c>
      <c r="BJ1024" s="57">
        <f>IF(ISERROR(IF(B1024=C1024,Y1024/C1024,(INT(Y1024/B1024)+(((Y1024-B1024*INT(Y1024/B1024)))/C1024)/100))),0,(IF(B1024=C1024,Y1024/C1024,(INT(Y1024/B1024)+(((Y1024-B1024*INT(Y1024/B1024)))/C1024)/100))))</f>
        <v>0</v>
      </c>
      <c r="BK1024" s="1"/>
      <c r="BL1024" s="57">
        <f>IF(ISERROR(IF(B1024=C1024,AA1024/C1024,(INT(AA1024/B1024)+(((AA1024-B1024*INT(AA1024/B1024)))/C1024)/100))),0,(IF(B1024=C1024,AA1024/C1024,(INT(AA1024/B1024)+(((AA1024-B1024*INT(AA1024/B1024)))/C1024)/100))))</f>
        <v>0</v>
      </c>
      <c r="BM1024" s="57">
        <f>IF(ISERROR(IF(B1024=C1024,AB1024/C1024,(INT(AB1024/B1024)+(((AB1024-B1024*INT(AB1024/B1024)))/C1024)/100))),0,(IF(B1024=C1024,AB1024/C1024,(INT(AB1024/B1024)+(((AB1024-B1024*INT(AB1024/B1024)))/C1024)/100))))</f>
        <v>0</v>
      </c>
      <c r="BN1024" s="57">
        <f>IF(ISERROR(IF(B1024=C1024,AC1024/C1024,(INT(AC1024/B1024)+(((AC1024-B1024*INT(AC1024/B1024)))/C1024)/100))),0,(IF(B1024=C1024,AC1024/C1024,(INT(AC1024/B1024)+(((AC1024-B1024*INT(AC1024/B1024)))/C1024)/100))))</f>
        <v>0</v>
      </c>
      <c r="BO1024" s="57">
        <f>IF(ISERROR(IF(B1024=C1024,AD1024/C1024,(INT(AD1024/B1024)+(((AD1024-B1024*INT(AD1024/B1024)))/C1024)/100))),0,(IF(B1024=C1024,AD1024/C1024,(INT(AD1024/B1024)+(((AD1024-B1024*INT(AD1024/B1024)))/C1024)/100))))</f>
        <v>0</v>
      </c>
      <c r="BQ1024" s="37"/>
    </row>
    <row r="1025" spans="1:69" s="10" customFormat="1" x14ac:dyDescent="0.35">
      <c r="A1025" s="64" t="s">
        <v>17</v>
      </c>
      <c r="B1025" s="30">
        <v>1</v>
      </c>
      <c r="C1025" s="30">
        <v>1</v>
      </c>
      <c r="D1025" s="28">
        <f>SUM(AA1025:AD1025)</f>
        <v>57</v>
      </c>
      <c r="E1025" s="30">
        <f>10*20</f>
        <v>200</v>
      </c>
      <c r="F1025" s="30">
        <v>0</v>
      </c>
      <c r="G1025" s="28">
        <f>SUM(D1025:F1025)</f>
        <v>257</v>
      </c>
      <c r="H1025" s="30">
        <v>9</v>
      </c>
      <c r="I1025" s="30">
        <v>0</v>
      </c>
      <c r="J1025" s="30">
        <v>0</v>
      </c>
      <c r="K1025" s="30">
        <v>0</v>
      </c>
      <c r="L1025" s="30">
        <v>0</v>
      </c>
      <c r="M1025" s="30">
        <v>0</v>
      </c>
      <c r="N1025" s="29">
        <f>G1025-SUM(H1025:M1025)</f>
        <v>248</v>
      </c>
      <c r="O1025" s="28">
        <f>SUM(V1025:Y1025)</f>
        <v>248</v>
      </c>
      <c r="P1025" s="29">
        <f>O1025-N1025</f>
        <v>0</v>
      </c>
      <c r="Q1025" s="61">
        <f>IF(ISERROR(P1025/SUM(H1025:L1025)),"",P1025/SUM(H1025:L1025))</f>
        <v>0</v>
      </c>
      <c r="R1025" s="30">
        <v>150</v>
      </c>
      <c r="S1025" s="28">
        <f>IF(ISERROR(P1025/C1025*R1025),0,(P1025/C1025*R1025))</f>
        <v>0</v>
      </c>
      <c r="T1025" s="60">
        <f>IF(ISERROR(P1025/B1025*AF1025),0,(P1025/B1025*AF1025))</f>
        <v>0</v>
      </c>
      <c r="U1025" s="14"/>
      <c r="V1025" s="30">
        <v>8</v>
      </c>
      <c r="W1025" s="30">
        <f>12*20</f>
        <v>240</v>
      </c>
      <c r="X1025" s="30">
        <v>0</v>
      </c>
      <c r="Y1025" s="30">
        <v>0</v>
      </c>
      <c r="Z1025" s="59"/>
      <c r="AA1025" s="30">
        <v>17</v>
      </c>
      <c r="AB1025" s="30">
        <v>40</v>
      </c>
      <c r="AC1025" s="30">
        <v>0</v>
      </c>
      <c r="AD1025" s="30">
        <v>0</v>
      </c>
      <c r="AE1025" s="59"/>
      <c r="AF1025" s="54">
        <v>82.63</v>
      </c>
      <c r="AG1025" s="28">
        <f>G1025-O1025</f>
        <v>9</v>
      </c>
      <c r="AH1025" s="58">
        <f>IF(ISERROR(AG1025/B1025*AF1025),0,(AG1025/B1025*AF1025))</f>
        <v>743.67</v>
      </c>
      <c r="AI1025" s="28">
        <f>SUM(H1025:M1025)</f>
        <v>9</v>
      </c>
      <c r="AJ1025" s="28">
        <f>IF(ISERROR(AI1025/B1025*AF1025),0,(AI1025/B1025*AF1025))</f>
        <v>743.67</v>
      </c>
      <c r="AK1025" s="28">
        <f>IF(ISERROR(O1025/B1025*AF1025),0,(O1025/B1025*AF1025))</f>
        <v>20492.239999999998</v>
      </c>
      <c r="AL1025" s="1"/>
      <c r="AM1025" s="1"/>
      <c r="AN1025" s="51" t="str">
        <f>A1025</f>
        <v>Classic Mild 10nos</v>
      </c>
      <c r="AO1025" s="57">
        <f>IF(ISERROR(IF(B1025=C1025,D1025/C1025,(INT(D1025/B1025)+(((D1025-B1025*INT(D1025/B1025)))/C1025)/100))),0,(IF(B1025=C1025,D1025/C1025,(INT(D1025/B1025)+(((D1025-B1025*INT(D1025/B1025)))/C1025)/100))))</f>
        <v>57</v>
      </c>
      <c r="AP1025" s="57">
        <f>IF(ISERROR(IF(B1025=C1025,E1025/C1025,(INT(E1025/B1025)+(((E1025-B1025*INT(E1025/B1025)))/C1025)/100))),0,(IF(B1025=C1025,E1025/C1025,(INT(E1025/B1025)+(((E1025-B1025*INT(E1025/B1025)))/C1025)/100))))</f>
        <v>200</v>
      </c>
      <c r="AQ1025" s="57">
        <f>IF(ISERROR(IF(B1025=C1025,F1025/C1025,IF((INT(F1025/B1025)+(((F1025-B1025*INT(F1025/B1025)))/C1025)/100)&lt;0,(INT(F1025/B1025)+(((F1025-B1025*INT(F1025/B1025)))/C1025)/100)+(1-(B1025/C1025/100)),(INT(F1025/B1025)+(((F1025-B1025*INT(F1025/B1025)))/C1025)/100)))),0,IF(B1025=C1025,F1025/C1025,IF((INT(F1025/B1025)+(((F1025-B1025*INT(F1025/B1025)))/C1025)/100)&lt;0,(INT(F1025/B1025)+(((F1025-B1025*INT(F1025/B1025)))/C1025)/100)+(1-(B1025/C1025/100)),(INT(F1025/B1025)+(((F1025-B1025*INT(F1025/B1025)))/C1025)/100))))</f>
        <v>0</v>
      </c>
      <c r="AR1025" s="57">
        <f>IF(ISERROR(IF(B1025=C1025,G1025/C1025,(INT(G1025/B1025)+(((G1025-B1025*INT(G1025/B1025)))/C1025)/100))),0,(IF(B1025=C1025,G1025/C1025,(INT(G1025/B1025)+(((G1025-B1025*INT(G1025/B1025)))/C1025)/100))))</f>
        <v>257</v>
      </c>
      <c r="AS1025" s="57">
        <f>IF(ISERROR(IF(B1025=C1025,H1025/C1025,(INT(H1025/B1025)+(((H1025-B1025*INT(H1025/B1025)))/C1025)/100))),0,(IF(B1025=C1025,H1025/C1025,(INT(H1025/B1025)+(((H1025-B1025*INT(H1025/B1025)))/C1025)/100))))</f>
        <v>9</v>
      </c>
      <c r="AT1025" s="57">
        <f>IF(ISERROR(IF(B1025=C1025,I1025/C1025,(INT(I1025/B1025)+(((I1025-B1025*INT(I1025/B1025)))/C1025)/100))),0,(IF(B1025=C1025,I1025/C1025,(INT(I1025/B1025)+(((I1025-B1025*INT(I1025/B1025)))/C1025)/100))))</f>
        <v>0</v>
      </c>
      <c r="AU1025" s="57">
        <f>IF(ISERROR(IF(B1025=C1025,J1025/C1025,(INT(J1025/B1025)+(((J1025-B1025*INT(J1025/B1025)))/C1025)/100))),0,(IF(B1025=C1025,J1025/C1025,(INT(J1025/B1025)+(((J1025-B1025*INT(J1025/B1025)))/C1025)/100))))</f>
        <v>0</v>
      </c>
      <c r="AV1025" s="57">
        <f>IF(ISERROR(IF(B1025=C1025,K1025/C1025,IF((INT(K1025/B1025)+(((K1025-B1025*INT(K1025/B1025)))/C1025)/100)&lt;0,(INT(K1025/B1025)+(((K1025-B1025*INT(K1025/B1025)))/C1025)/100)+(1-(B1025/C1025/100)),(INT(K1025/B1025)+(((K1025-B1025*INT(K1025/B1025)))/C1025)/100)))),0,IF(B1025=C1025,K1025/C1025,IF((INT(K1025/B1025)+(((K1025-B1025*INT(K1025/B1025)))/C1025)/100)&lt;0,(INT(K1025/B1025)+(((K1025-B1025*INT(K1025/B1025)))/C1025)/100)+(1-(B1025/C1025/100)),(INT(K1025/B1025)+(((K1025-B1025*INT(K1025/B1025)))/C1025)/100))))</f>
        <v>0</v>
      </c>
      <c r="AW1025" s="57">
        <f>IF(ISERROR(IF(B1025=C1025,L1025/C1025,(INT(L1025/B1025)+(((L1025-B1025*INT(L1025/B1025)))/C1025)/100))),0,(IF(B1025=C1025,L1025/C1025,(INT(L1025/B1025)+(((L1025-B1025*INT(L1025/B1025)))/C1025)/100))))</f>
        <v>0</v>
      </c>
      <c r="AX1025" s="57">
        <f>IF(ISERROR(IF(B1025=C1025,M1025/C1025,(INT(M1025/B1025)+(((M1025-B1025*INT(M1025/B1025)))/C1025)/100))),0,(IF(B1025=C1025,M1025/C1025,(INT(M1025/B1025)+(((M1025-B1025*INT(M1025/B1025)))/C1025)/100))))</f>
        <v>0</v>
      </c>
      <c r="AY1025" s="57">
        <f>IF(ISERROR(IF(B1025=C1025,N1025/C1025,IF((INT(N1025/B1025)+(((N1025-B1025*INT(N1025/B1025)))/C1025)/100)&lt;0,(INT(N1025/B1025)+(((N1025-B1025*INT(N1025/B1025)))/C1025)/100)+(1-(B1025/C1025/100)),(INT(N1025/B1025)+(((N1025-B1025*INT(N1025/B1025)))/C1025)/100)))),0,IF(B1025=C1025,N1025/C1025,IF((INT(N1025/B1025)+(((N1025-B1025*INT(N1025/B1025)))/C1025)/100)&lt;0,(INT(N1025/B1025)+(((N1025-B1025*INT(N1025/B1025)))/C1025)/100)+(1-(B1025/C1025/100)),(INT(N1025/B1025)+(((N1025-B1025*INT(N1025/B1025)))/C1025)/100))))</f>
        <v>248</v>
      </c>
      <c r="AZ1025" s="57">
        <f>IF(ISERROR(IF(B1025=C1025,O1025/C1025,(INT(O1025/B1025)+(((O1025-B1025*INT(O1025/B1025)))/C1025)/100))),0,(IF(B1025=C1025,O1025/C1025,(INT(O1025/B1025)+(((O1025-B1025*INT(O1025/B1025)))/C1025)/100))))</f>
        <v>248</v>
      </c>
      <c r="BA1025" s="57">
        <f>IF(ISERROR(IF(B1025=C1025,P1025/C1025,IF((INT(P1025/B1025)+(((P1025-B1025*INT(P1025/B1025)))/C1025)/100)&lt;0,(INT(P1025/B1025)+(((P1025-B1025*INT(P1025/B1025)))/C1025)/100)+(1-(B1025/C1025/100)),(INT(P1025/B1025)+(((P1025-B1025*INT(P1025/B1025)))/C1025)/100)))),0,IF(B1025=C1025,P1025/C1025,IF((INT(P1025/B1025)+(((P1025-B1025*INT(P1025/B1025)))/C1025)/100)&lt;0,(INT(P1025/B1025)+(((P1025-B1025*INT(P1025/B1025)))/C1025)/100)+(1-(B1025/C1025/100)),(INT(P1025/B1025)+(((P1025-B1025*INT(P1025/B1025)))/C1025)/100))))</f>
        <v>0</v>
      </c>
      <c r="BB1025" s="28">
        <f>R1025</f>
        <v>150</v>
      </c>
      <c r="BC1025" s="28">
        <f>S1025</f>
        <v>0</v>
      </c>
      <c r="BD1025" s="28">
        <f>AF1025</f>
        <v>82.63</v>
      </c>
      <c r="BE1025" s="28">
        <f>T1025</f>
        <v>0</v>
      </c>
      <c r="BF1025" s="1"/>
      <c r="BG1025" s="57">
        <f>IF(ISERROR(IF(B1025=C1025,V1025/C1025,(INT(V1025/B1025)+(((V1025-B1025*INT(V1025/B1025)))/C1025)/100))),0,(IF(B1025=C1025,V1025/C1025,(INT(V1025/B1025)+(((V1025-B1025*INT(V1025/B1025)))/C1025)/100))))</f>
        <v>8</v>
      </c>
      <c r="BH1025" s="57">
        <f>IF(ISERROR(IF(B1025=C1025,W1025/C1025,(INT(W1025/B1025)+(((W1025-B1025*INT(W1025/B1025)))/C1025)/100))),0,(IF(B1025=C1025,W1025/C1025,(INT(W1025/B1025)+(((W1025-B1025*INT(W1025/B1025)))/C1025)/100))))</f>
        <v>240</v>
      </c>
      <c r="BI1025" s="57">
        <f>IF(ISERROR(IF(B1025=C1025,X1025/C1025,(INT(X1025/B1025)+(((X1025-B1025*INT(X1025/B1025)))/C1025)/100))),0,(IF(B1025=C1025,X1025/C1025,(INT(X1025/B1025)+(((X1025-B1025*INT(X1025/B1025)))/C1025)/100))))</f>
        <v>0</v>
      </c>
      <c r="BJ1025" s="57">
        <f>IF(ISERROR(IF(B1025=C1025,Y1025/C1025,(INT(Y1025/B1025)+(((Y1025-B1025*INT(Y1025/B1025)))/C1025)/100))),0,(IF(B1025=C1025,Y1025/C1025,(INT(Y1025/B1025)+(((Y1025-B1025*INT(Y1025/B1025)))/C1025)/100))))</f>
        <v>0</v>
      </c>
      <c r="BK1025" s="1"/>
      <c r="BL1025" s="57">
        <f>IF(ISERROR(IF(B1025=C1025,AA1025/C1025,(INT(AA1025/B1025)+(((AA1025-B1025*INT(AA1025/B1025)))/C1025)/100))),0,(IF(B1025=C1025,AA1025/C1025,(INT(AA1025/B1025)+(((AA1025-B1025*INT(AA1025/B1025)))/C1025)/100))))</f>
        <v>17</v>
      </c>
      <c r="BM1025" s="57">
        <f>IF(ISERROR(IF(B1025=C1025,AB1025/C1025,(INT(AB1025/B1025)+(((AB1025-B1025*INT(AB1025/B1025)))/C1025)/100))),0,(IF(B1025=C1025,AB1025/C1025,(INT(AB1025/B1025)+(((AB1025-B1025*INT(AB1025/B1025)))/C1025)/100))))</f>
        <v>40</v>
      </c>
      <c r="BN1025" s="57">
        <f>IF(ISERROR(IF(B1025=C1025,AC1025/C1025,(INT(AC1025/B1025)+(((AC1025-B1025*INT(AC1025/B1025)))/C1025)/100))),0,(IF(B1025=C1025,AC1025/C1025,(INT(AC1025/B1025)+(((AC1025-B1025*INT(AC1025/B1025)))/C1025)/100))))</f>
        <v>0</v>
      </c>
      <c r="BO1025" s="57">
        <f>IF(ISERROR(IF(B1025=C1025,AD1025/C1025,(INT(AD1025/B1025)+(((AD1025-B1025*INT(AD1025/B1025)))/C1025)/100))),0,(IF(B1025=C1025,AD1025/C1025,(INT(AD1025/B1025)+(((AD1025-B1025*INT(AD1025/B1025)))/C1025)/100))))</f>
        <v>0</v>
      </c>
      <c r="BQ1025" s="37"/>
    </row>
    <row r="1026" spans="1:69" s="10" customFormat="1" x14ac:dyDescent="0.35">
      <c r="A1026" s="56" t="s">
        <v>16</v>
      </c>
      <c r="B1026" s="30">
        <v>1</v>
      </c>
      <c r="C1026" s="30">
        <v>1</v>
      </c>
      <c r="D1026" s="28">
        <f>SUM(AA1026:AD1026)</f>
        <v>0</v>
      </c>
      <c r="E1026" s="30">
        <v>0</v>
      </c>
      <c r="F1026" s="30">
        <v>0</v>
      </c>
      <c r="G1026" s="28">
        <f>SUM(D1026:F1026)</f>
        <v>0</v>
      </c>
      <c r="H1026" s="30">
        <v>0</v>
      </c>
      <c r="I1026" s="30">
        <v>0</v>
      </c>
      <c r="J1026" s="30">
        <v>0</v>
      </c>
      <c r="K1026" s="30">
        <v>0</v>
      </c>
      <c r="L1026" s="30">
        <v>0</v>
      </c>
      <c r="M1026" s="30">
        <v>0</v>
      </c>
      <c r="N1026" s="29">
        <f>G1026-SUM(H1026:M1026)</f>
        <v>0</v>
      </c>
      <c r="O1026" s="28">
        <f>SUM(V1026:Y1026)</f>
        <v>0</v>
      </c>
      <c r="P1026" s="29">
        <f>O1026-N1026</f>
        <v>0</v>
      </c>
      <c r="Q1026" s="61" t="str">
        <f>IF(ISERROR(P1026/SUM(H1026:L1026)),"",P1026/SUM(H1026:L1026))</f>
        <v/>
      </c>
      <c r="R1026" s="30">
        <v>250</v>
      </c>
      <c r="S1026" s="28">
        <f>IF(ISERROR(P1026/C1026*R1026),0,(P1026/C1026*R1026))</f>
        <v>0</v>
      </c>
      <c r="T1026" s="60">
        <f>IF(ISERROR(P1026/B1026*AF1026),0,(P1026/B1026*AF1026))</f>
        <v>0</v>
      </c>
      <c r="U1026" s="14"/>
      <c r="V1026" s="30">
        <v>0</v>
      </c>
      <c r="W1026" s="30">
        <v>0</v>
      </c>
      <c r="X1026" s="30">
        <v>0</v>
      </c>
      <c r="Y1026" s="30">
        <v>0</v>
      </c>
      <c r="Z1026" s="59"/>
      <c r="AA1026" s="30">
        <v>0</v>
      </c>
      <c r="AB1026" s="30">
        <v>0</v>
      </c>
      <c r="AC1026" s="30">
        <v>0</v>
      </c>
      <c r="AD1026" s="30">
        <v>0</v>
      </c>
      <c r="AE1026" s="59"/>
      <c r="AF1026" s="54">
        <v>165.25</v>
      </c>
      <c r="AG1026" s="28">
        <f>G1026-O1026</f>
        <v>0</v>
      </c>
      <c r="AH1026" s="58">
        <f>IF(ISERROR(AG1026/B1026*AF1026),0,(AG1026/B1026*AF1026))</f>
        <v>0</v>
      </c>
      <c r="AI1026" s="28">
        <f>SUM(H1026:M1026)</f>
        <v>0</v>
      </c>
      <c r="AJ1026" s="28">
        <f>IF(ISERROR(AI1026/B1026*AF1026),0,(AI1026/B1026*AF1026))</f>
        <v>0</v>
      </c>
      <c r="AK1026" s="28">
        <f>IF(ISERROR(O1026/B1026*AF1026),0,(O1026/B1026*AF1026))</f>
        <v>0</v>
      </c>
      <c r="AL1026" s="1"/>
      <c r="AM1026" s="1"/>
      <c r="AN1026" s="51" t="str">
        <f>A1026</f>
        <v>Classic  20nos</v>
      </c>
      <c r="AO1026" s="57">
        <f>IF(ISERROR(IF(B1026=C1026,D1026/C1026,(INT(D1026/B1026)+(((D1026-B1026*INT(D1026/B1026)))/C1026)/100))),0,(IF(B1026=C1026,D1026/C1026,(INT(D1026/B1026)+(((D1026-B1026*INT(D1026/B1026)))/C1026)/100))))</f>
        <v>0</v>
      </c>
      <c r="AP1026" s="57">
        <f>IF(ISERROR(IF(B1026=C1026,E1026/C1026,(INT(E1026/B1026)+(((E1026-B1026*INT(E1026/B1026)))/C1026)/100))),0,(IF(B1026=C1026,E1026/C1026,(INT(E1026/B1026)+(((E1026-B1026*INT(E1026/B1026)))/C1026)/100))))</f>
        <v>0</v>
      </c>
      <c r="AQ1026" s="57">
        <f>IF(ISERROR(IF(B1026=C1026,F1026/C1026,IF((INT(F1026/B1026)+(((F1026-B1026*INT(F1026/B1026)))/C1026)/100)&lt;0,(INT(F1026/B1026)+(((F1026-B1026*INT(F1026/B1026)))/C1026)/100)+(1-(B1026/C1026/100)),(INT(F1026/B1026)+(((F1026-B1026*INT(F1026/B1026)))/C1026)/100)))),0,IF(B1026=C1026,F1026/C1026,IF((INT(F1026/B1026)+(((F1026-B1026*INT(F1026/B1026)))/C1026)/100)&lt;0,(INT(F1026/B1026)+(((F1026-B1026*INT(F1026/B1026)))/C1026)/100)+(1-(B1026/C1026/100)),(INT(F1026/B1026)+(((F1026-B1026*INT(F1026/B1026)))/C1026)/100))))</f>
        <v>0</v>
      </c>
      <c r="AR1026" s="57">
        <f>IF(ISERROR(IF(B1026=C1026,G1026/C1026,(INT(G1026/B1026)+(((G1026-B1026*INT(G1026/B1026)))/C1026)/100))),0,(IF(B1026=C1026,G1026/C1026,(INT(G1026/B1026)+(((G1026-B1026*INT(G1026/B1026)))/C1026)/100))))</f>
        <v>0</v>
      </c>
      <c r="AS1026" s="57">
        <f>IF(ISERROR(IF(B1026=C1026,H1026/C1026,(INT(H1026/B1026)+(((H1026-B1026*INT(H1026/B1026)))/C1026)/100))),0,(IF(B1026=C1026,H1026/C1026,(INT(H1026/B1026)+(((H1026-B1026*INT(H1026/B1026)))/C1026)/100))))</f>
        <v>0</v>
      </c>
      <c r="AT1026" s="57">
        <f>IF(ISERROR(IF(B1026=C1026,I1026/C1026,(INT(I1026/B1026)+(((I1026-B1026*INT(I1026/B1026)))/C1026)/100))),0,(IF(B1026=C1026,I1026/C1026,(INT(I1026/B1026)+(((I1026-B1026*INT(I1026/B1026)))/C1026)/100))))</f>
        <v>0</v>
      </c>
      <c r="AU1026" s="57">
        <f>IF(ISERROR(IF(B1026=C1026,J1026/C1026,(INT(J1026/B1026)+(((J1026-B1026*INT(J1026/B1026)))/C1026)/100))),0,(IF(B1026=C1026,J1026/C1026,(INT(J1026/B1026)+(((J1026-B1026*INT(J1026/B1026)))/C1026)/100))))</f>
        <v>0</v>
      </c>
      <c r="AV1026" s="57">
        <f>IF(ISERROR(IF(B1026=C1026,K1026/C1026,IF((INT(K1026/B1026)+(((K1026-B1026*INT(K1026/B1026)))/C1026)/100)&lt;0,(INT(K1026/B1026)+(((K1026-B1026*INT(K1026/B1026)))/C1026)/100)+(1-(B1026/C1026/100)),(INT(K1026/B1026)+(((K1026-B1026*INT(K1026/B1026)))/C1026)/100)))),0,IF(B1026=C1026,K1026/C1026,IF((INT(K1026/B1026)+(((K1026-B1026*INT(K1026/B1026)))/C1026)/100)&lt;0,(INT(K1026/B1026)+(((K1026-B1026*INT(K1026/B1026)))/C1026)/100)+(1-(B1026/C1026/100)),(INT(K1026/B1026)+(((K1026-B1026*INT(K1026/B1026)))/C1026)/100))))</f>
        <v>0</v>
      </c>
      <c r="AW1026" s="57">
        <f>IF(ISERROR(IF(B1026=C1026,L1026/C1026,(INT(L1026/B1026)+(((L1026-B1026*INT(L1026/B1026)))/C1026)/100))),0,(IF(B1026=C1026,L1026/C1026,(INT(L1026/B1026)+(((L1026-B1026*INT(L1026/B1026)))/C1026)/100))))</f>
        <v>0</v>
      </c>
      <c r="AX1026" s="57">
        <f>IF(ISERROR(IF(B1026=C1026,M1026/C1026,(INT(M1026/B1026)+(((M1026-B1026*INT(M1026/B1026)))/C1026)/100))),0,(IF(B1026=C1026,M1026/C1026,(INT(M1026/B1026)+(((M1026-B1026*INT(M1026/B1026)))/C1026)/100))))</f>
        <v>0</v>
      </c>
      <c r="AY1026" s="57">
        <f>IF(ISERROR(IF(B1026=C1026,N1026/C1026,IF((INT(N1026/B1026)+(((N1026-B1026*INT(N1026/B1026)))/C1026)/100)&lt;0,(INT(N1026/B1026)+(((N1026-B1026*INT(N1026/B1026)))/C1026)/100)+(1-(B1026/C1026/100)),(INT(N1026/B1026)+(((N1026-B1026*INT(N1026/B1026)))/C1026)/100)))),0,IF(B1026=C1026,N1026/C1026,IF((INT(N1026/B1026)+(((N1026-B1026*INT(N1026/B1026)))/C1026)/100)&lt;0,(INT(N1026/B1026)+(((N1026-B1026*INT(N1026/B1026)))/C1026)/100)+(1-(B1026/C1026/100)),(INT(N1026/B1026)+(((N1026-B1026*INT(N1026/B1026)))/C1026)/100))))</f>
        <v>0</v>
      </c>
      <c r="AZ1026" s="57">
        <f>IF(ISERROR(IF(B1026=C1026,O1026/C1026,(INT(O1026/B1026)+(((O1026-B1026*INT(O1026/B1026)))/C1026)/100))),0,(IF(B1026=C1026,O1026/C1026,(INT(O1026/B1026)+(((O1026-B1026*INT(O1026/B1026)))/C1026)/100))))</f>
        <v>0</v>
      </c>
      <c r="BA1026" s="57">
        <f>IF(ISERROR(IF(B1026=C1026,P1026/C1026,IF((INT(P1026/B1026)+(((P1026-B1026*INT(P1026/B1026)))/C1026)/100)&lt;0,(INT(P1026/B1026)+(((P1026-B1026*INT(P1026/B1026)))/C1026)/100)+(1-(B1026/C1026/100)),(INT(P1026/B1026)+(((P1026-B1026*INT(P1026/B1026)))/C1026)/100)))),0,IF(B1026=C1026,P1026/C1026,IF((INT(P1026/B1026)+(((P1026-B1026*INT(P1026/B1026)))/C1026)/100)&lt;0,(INT(P1026/B1026)+(((P1026-B1026*INT(P1026/B1026)))/C1026)/100)+(1-(B1026/C1026/100)),(INT(P1026/B1026)+(((P1026-B1026*INT(P1026/B1026)))/C1026)/100))))</f>
        <v>0</v>
      </c>
      <c r="BB1026" s="28">
        <f>R1026</f>
        <v>250</v>
      </c>
      <c r="BC1026" s="28">
        <f>S1026</f>
        <v>0</v>
      </c>
      <c r="BD1026" s="28">
        <f>AF1026</f>
        <v>165.25</v>
      </c>
      <c r="BE1026" s="28">
        <f>T1026</f>
        <v>0</v>
      </c>
      <c r="BF1026" s="1"/>
      <c r="BG1026" s="57">
        <f>IF(ISERROR(IF(B1026=C1026,V1026/C1026,(INT(V1026/B1026)+(((V1026-B1026*INT(V1026/B1026)))/C1026)/100))),0,(IF(B1026=C1026,V1026/C1026,(INT(V1026/B1026)+(((V1026-B1026*INT(V1026/B1026)))/C1026)/100))))</f>
        <v>0</v>
      </c>
      <c r="BH1026" s="57">
        <f>IF(ISERROR(IF(B1026=C1026,W1026/C1026,(INT(W1026/B1026)+(((W1026-B1026*INT(W1026/B1026)))/C1026)/100))),0,(IF(B1026=C1026,W1026/C1026,(INT(W1026/B1026)+(((W1026-B1026*INT(W1026/B1026)))/C1026)/100))))</f>
        <v>0</v>
      </c>
      <c r="BI1026" s="57">
        <f>IF(ISERROR(IF(B1026=C1026,X1026/C1026,(INT(X1026/B1026)+(((X1026-B1026*INT(X1026/B1026)))/C1026)/100))),0,(IF(B1026=C1026,X1026/C1026,(INT(X1026/B1026)+(((X1026-B1026*INT(X1026/B1026)))/C1026)/100))))</f>
        <v>0</v>
      </c>
      <c r="BJ1026" s="57">
        <f>IF(ISERROR(IF(B1026=C1026,Y1026/C1026,(INT(Y1026/B1026)+(((Y1026-B1026*INT(Y1026/B1026)))/C1026)/100))),0,(IF(B1026=C1026,Y1026/C1026,(INT(Y1026/B1026)+(((Y1026-B1026*INT(Y1026/B1026)))/C1026)/100))))</f>
        <v>0</v>
      </c>
      <c r="BK1026" s="1"/>
      <c r="BL1026" s="57">
        <f>IF(ISERROR(IF(B1026=C1026,AA1026/C1026,(INT(AA1026/B1026)+(((AA1026-B1026*INT(AA1026/B1026)))/C1026)/100))),0,(IF(B1026=C1026,AA1026/C1026,(INT(AA1026/B1026)+(((AA1026-B1026*INT(AA1026/B1026)))/C1026)/100))))</f>
        <v>0</v>
      </c>
      <c r="BM1026" s="57">
        <f>IF(ISERROR(IF(B1026=C1026,AB1026/C1026,(INT(AB1026/B1026)+(((AB1026-B1026*INT(AB1026/B1026)))/C1026)/100))),0,(IF(B1026=C1026,AB1026/C1026,(INT(AB1026/B1026)+(((AB1026-B1026*INT(AB1026/B1026)))/C1026)/100))))</f>
        <v>0</v>
      </c>
      <c r="BN1026" s="57">
        <f>IF(ISERROR(IF(B1026=C1026,AC1026/C1026,(INT(AC1026/B1026)+(((AC1026-B1026*INT(AC1026/B1026)))/C1026)/100))),0,(IF(B1026=C1026,AC1026/C1026,(INT(AC1026/B1026)+(((AC1026-B1026*INT(AC1026/B1026)))/C1026)/100))))</f>
        <v>0</v>
      </c>
      <c r="BO1026" s="57">
        <f>IF(ISERROR(IF(B1026=C1026,AD1026/C1026,(INT(AD1026/B1026)+(((AD1026-B1026*INT(AD1026/B1026)))/C1026)/100))),0,(IF(B1026=C1026,AD1026/C1026,(INT(AD1026/B1026)+(((AD1026-B1026*INT(AD1026/B1026)))/C1026)/100))))</f>
        <v>0</v>
      </c>
      <c r="BQ1026" s="37"/>
    </row>
    <row r="1027" spans="1:69" s="10" customFormat="1" x14ac:dyDescent="0.35">
      <c r="A1027" s="62" t="s">
        <v>15</v>
      </c>
      <c r="B1027" s="30">
        <v>1</v>
      </c>
      <c r="C1027" s="30">
        <v>1</v>
      </c>
      <c r="D1027" s="28">
        <f>SUM(AA1027:AD1027)</f>
        <v>0</v>
      </c>
      <c r="E1027" s="30">
        <v>0</v>
      </c>
      <c r="F1027" s="30">
        <v>0</v>
      </c>
      <c r="G1027" s="28">
        <f>SUM(D1027:F1027)</f>
        <v>0</v>
      </c>
      <c r="H1027" s="30">
        <v>0</v>
      </c>
      <c r="I1027" s="30">
        <v>0</v>
      </c>
      <c r="J1027" s="30">
        <v>0</v>
      </c>
      <c r="K1027" s="30">
        <v>0</v>
      </c>
      <c r="L1027" s="30">
        <v>0</v>
      </c>
      <c r="M1027" s="30">
        <v>0</v>
      </c>
      <c r="N1027" s="29">
        <f>G1027-SUM(H1027:M1027)</f>
        <v>0</v>
      </c>
      <c r="O1027" s="28">
        <f>SUM(V1027:Y1027)</f>
        <v>0</v>
      </c>
      <c r="P1027" s="29">
        <f>O1027-N1027</f>
        <v>0</v>
      </c>
      <c r="Q1027" s="61" t="str">
        <f>IF(ISERROR(P1027/SUM(H1027:L1027)),"",P1027/SUM(H1027:L1027))</f>
        <v/>
      </c>
      <c r="R1027" s="30">
        <v>150</v>
      </c>
      <c r="S1027" s="28">
        <f>IF(ISERROR(P1027/C1027*R1027),0,(P1027/C1027*R1027))</f>
        <v>0</v>
      </c>
      <c r="T1027" s="60">
        <f>IF(ISERROR(P1027/B1027*AF1027),0,(P1027/B1027*AF1027))</f>
        <v>0</v>
      </c>
      <c r="U1027" s="14"/>
      <c r="V1027" s="30">
        <v>0</v>
      </c>
      <c r="W1027" s="30">
        <v>0</v>
      </c>
      <c r="X1027" s="30">
        <v>0</v>
      </c>
      <c r="Y1027" s="30">
        <v>0</v>
      </c>
      <c r="Z1027" s="59"/>
      <c r="AA1027" s="30">
        <v>0</v>
      </c>
      <c r="AB1027" s="30">
        <v>0</v>
      </c>
      <c r="AC1027" s="30">
        <v>0</v>
      </c>
      <c r="AD1027" s="30">
        <v>0</v>
      </c>
      <c r="AE1027" s="59"/>
      <c r="AF1027" s="54">
        <f>+AF1026/2</f>
        <v>82.625</v>
      </c>
      <c r="AG1027" s="28">
        <f>G1027-O1027</f>
        <v>0</v>
      </c>
      <c r="AH1027" s="58">
        <f>IF(ISERROR(AG1027/B1027*AF1027),0,(AG1027/B1027*AF1027))</f>
        <v>0</v>
      </c>
      <c r="AI1027" s="28">
        <f>SUM(H1027:M1027)</f>
        <v>0</v>
      </c>
      <c r="AJ1027" s="28">
        <f>IF(ISERROR(AI1027/B1027*AF1027),0,(AI1027/B1027*AF1027))</f>
        <v>0</v>
      </c>
      <c r="AK1027" s="28">
        <f>IF(ISERROR(O1027/B1027*AF1027),0,(O1027/B1027*AF1027))</f>
        <v>0</v>
      </c>
      <c r="AL1027" s="1"/>
      <c r="AM1027" s="1"/>
      <c r="AN1027" s="51" t="str">
        <f>A1027</f>
        <v>B &amp; H Blue 10nos</v>
      </c>
      <c r="AO1027" s="57">
        <f>IF(ISERROR(IF(B1027=C1027,D1027/C1027,(INT(D1027/B1027)+(((D1027-B1027*INT(D1027/B1027)))/C1027)/100))),0,(IF(B1027=C1027,D1027/C1027,(INT(D1027/B1027)+(((D1027-B1027*INT(D1027/B1027)))/C1027)/100))))</f>
        <v>0</v>
      </c>
      <c r="AP1027" s="57">
        <f>IF(ISERROR(IF(B1027=C1027,E1027/C1027,(INT(E1027/B1027)+(((E1027-B1027*INT(E1027/B1027)))/C1027)/100))),0,(IF(B1027=C1027,E1027/C1027,(INT(E1027/B1027)+(((E1027-B1027*INT(E1027/B1027)))/C1027)/100))))</f>
        <v>0</v>
      </c>
      <c r="AQ1027" s="57">
        <f>IF(ISERROR(IF(B1027=C1027,F1027/C1027,IF((INT(F1027/B1027)+(((F1027-B1027*INT(F1027/B1027)))/C1027)/100)&lt;0,(INT(F1027/B1027)+(((F1027-B1027*INT(F1027/B1027)))/C1027)/100)+(1-(B1027/C1027/100)),(INT(F1027/B1027)+(((F1027-B1027*INT(F1027/B1027)))/C1027)/100)))),0,IF(B1027=C1027,F1027/C1027,IF((INT(F1027/B1027)+(((F1027-B1027*INT(F1027/B1027)))/C1027)/100)&lt;0,(INT(F1027/B1027)+(((F1027-B1027*INT(F1027/B1027)))/C1027)/100)+(1-(B1027/C1027/100)),(INT(F1027/B1027)+(((F1027-B1027*INT(F1027/B1027)))/C1027)/100))))</f>
        <v>0</v>
      </c>
      <c r="AR1027" s="57">
        <f>IF(ISERROR(IF(B1027=C1027,G1027/C1027,(INT(G1027/B1027)+(((G1027-B1027*INT(G1027/B1027)))/C1027)/100))),0,(IF(B1027=C1027,G1027/C1027,(INT(G1027/B1027)+(((G1027-B1027*INT(G1027/B1027)))/C1027)/100))))</f>
        <v>0</v>
      </c>
      <c r="AS1027" s="57">
        <f>IF(ISERROR(IF(B1027=C1027,H1027/C1027,(INT(H1027/B1027)+(((H1027-B1027*INT(H1027/B1027)))/C1027)/100))),0,(IF(B1027=C1027,H1027/C1027,(INT(H1027/B1027)+(((H1027-B1027*INT(H1027/B1027)))/C1027)/100))))</f>
        <v>0</v>
      </c>
      <c r="AT1027" s="57">
        <f>IF(ISERROR(IF(B1027=C1027,I1027/C1027,(INT(I1027/B1027)+(((I1027-B1027*INT(I1027/B1027)))/C1027)/100))),0,(IF(B1027=C1027,I1027/C1027,(INT(I1027/B1027)+(((I1027-B1027*INT(I1027/B1027)))/C1027)/100))))</f>
        <v>0</v>
      </c>
      <c r="AU1027" s="57">
        <f>IF(ISERROR(IF(B1027=C1027,J1027/C1027,(INT(J1027/B1027)+(((J1027-B1027*INT(J1027/B1027)))/C1027)/100))),0,(IF(B1027=C1027,J1027/C1027,(INT(J1027/B1027)+(((J1027-B1027*INT(J1027/B1027)))/C1027)/100))))</f>
        <v>0</v>
      </c>
      <c r="AV1027" s="57">
        <f>IF(ISERROR(IF(B1027=C1027,K1027/C1027,IF((INT(K1027/B1027)+(((K1027-B1027*INT(K1027/B1027)))/C1027)/100)&lt;0,(INT(K1027/B1027)+(((K1027-B1027*INT(K1027/B1027)))/C1027)/100)+(1-(B1027/C1027/100)),(INT(K1027/B1027)+(((K1027-B1027*INT(K1027/B1027)))/C1027)/100)))),0,IF(B1027=C1027,K1027/C1027,IF((INT(K1027/B1027)+(((K1027-B1027*INT(K1027/B1027)))/C1027)/100)&lt;0,(INT(K1027/B1027)+(((K1027-B1027*INT(K1027/B1027)))/C1027)/100)+(1-(B1027/C1027/100)),(INT(K1027/B1027)+(((K1027-B1027*INT(K1027/B1027)))/C1027)/100))))</f>
        <v>0</v>
      </c>
      <c r="AW1027" s="57">
        <f>IF(ISERROR(IF(B1027=C1027,L1027/C1027,(INT(L1027/B1027)+(((L1027-B1027*INT(L1027/B1027)))/C1027)/100))),0,(IF(B1027=C1027,L1027/C1027,(INT(L1027/B1027)+(((L1027-B1027*INT(L1027/B1027)))/C1027)/100))))</f>
        <v>0</v>
      </c>
      <c r="AX1027" s="57">
        <f>IF(ISERROR(IF(B1027=C1027,M1027/C1027,(INT(M1027/B1027)+(((M1027-B1027*INT(M1027/B1027)))/C1027)/100))),0,(IF(B1027=C1027,M1027/C1027,(INT(M1027/B1027)+(((M1027-B1027*INT(M1027/B1027)))/C1027)/100))))</f>
        <v>0</v>
      </c>
      <c r="AY1027" s="57">
        <f>IF(ISERROR(IF(B1027=C1027,N1027/C1027,IF((INT(N1027/B1027)+(((N1027-B1027*INT(N1027/B1027)))/C1027)/100)&lt;0,(INT(N1027/B1027)+(((N1027-B1027*INT(N1027/B1027)))/C1027)/100)+(1-(B1027/C1027/100)),(INT(N1027/B1027)+(((N1027-B1027*INT(N1027/B1027)))/C1027)/100)))),0,IF(B1027=C1027,N1027/C1027,IF((INT(N1027/B1027)+(((N1027-B1027*INT(N1027/B1027)))/C1027)/100)&lt;0,(INT(N1027/B1027)+(((N1027-B1027*INT(N1027/B1027)))/C1027)/100)+(1-(B1027/C1027/100)),(INT(N1027/B1027)+(((N1027-B1027*INT(N1027/B1027)))/C1027)/100))))</f>
        <v>0</v>
      </c>
      <c r="AZ1027" s="57">
        <f>IF(ISERROR(IF(B1027=C1027,O1027/C1027,(INT(O1027/B1027)+(((O1027-B1027*INT(O1027/B1027)))/C1027)/100))),0,(IF(B1027=C1027,O1027/C1027,(INT(O1027/B1027)+(((O1027-B1027*INT(O1027/B1027)))/C1027)/100))))</f>
        <v>0</v>
      </c>
      <c r="BA1027" s="57">
        <f>IF(ISERROR(IF(B1027=C1027,P1027/C1027,IF((INT(P1027/B1027)+(((P1027-B1027*INT(P1027/B1027)))/C1027)/100)&lt;0,(INT(P1027/B1027)+(((P1027-B1027*INT(P1027/B1027)))/C1027)/100)+(1-(B1027/C1027/100)),(INT(P1027/B1027)+(((P1027-B1027*INT(P1027/B1027)))/C1027)/100)))),0,IF(B1027=C1027,P1027/C1027,IF((INT(P1027/B1027)+(((P1027-B1027*INT(P1027/B1027)))/C1027)/100)&lt;0,(INT(P1027/B1027)+(((P1027-B1027*INT(P1027/B1027)))/C1027)/100)+(1-(B1027/C1027/100)),(INT(P1027/B1027)+(((P1027-B1027*INT(P1027/B1027)))/C1027)/100))))</f>
        <v>0</v>
      </c>
      <c r="BB1027" s="28">
        <f>R1027</f>
        <v>150</v>
      </c>
      <c r="BC1027" s="28">
        <f>S1027</f>
        <v>0</v>
      </c>
      <c r="BD1027" s="28">
        <f>AF1027</f>
        <v>82.625</v>
      </c>
      <c r="BE1027" s="28">
        <f>T1027</f>
        <v>0</v>
      </c>
      <c r="BF1027" s="1"/>
      <c r="BG1027" s="57">
        <f>IF(ISERROR(IF(B1027=C1027,V1027/C1027,(INT(V1027/B1027)+(((V1027-B1027*INT(V1027/B1027)))/C1027)/100))),0,(IF(B1027=C1027,V1027/C1027,(INT(V1027/B1027)+(((V1027-B1027*INT(V1027/B1027)))/C1027)/100))))</f>
        <v>0</v>
      </c>
      <c r="BH1027" s="57">
        <f>IF(ISERROR(IF(B1027=C1027,W1027/C1027,(INT(W1027/B1027)+(((W1027-B1027*INT(W1027/B1027)))/C1027)/100))),0,(IF(B1027=C1027,W1027/C1027,(INT(W1027/B1027)+(((W1027-B1027*INT(W1027/B1027)))/C1027)/100))))</f>
        <v>0</v>
      </c>
      <c r="BI1027" s="57">
        <f>IF(ISERROR(IF(B1027=C1027,X1027/C1027,(INT(X1027/B1027)+(((X1027-B1027*INT(X1027/B1027)))/C1027)/100))),0,(IF(B1027=C1027,X1027/C1027,(INT(X1027/B1027)+(((X1027-B1027*INT(X1027/B1027)))/C1027)/100))))</f>
        <v>0</v>
      </c>
      <c r="BJ1027" s="57">
        <f>IF(ISERROR(IF(B1027=C1027,Y1027/C1027,(INT(Y1027/B1027)+(((Y1027-B1027*INT(Y1027/B1027)))/C1027)/100))),0,(IF(B1027=C1027,Y1027/C1027,(INT(Y1027/B1027)+(((Y1027-B1027*INT(Y1027/B1027)))/C1027)/100))))</f>
        <v>0</v>
      </c>
      <c r="BK1027" s="1"/>
      <c r="BL1027" s="57">
        <f>IF(ISERROR(IF(B1027=C1027,AA1027/C1027,(INT(AA1027/B1027)+(((AA1027-B1027*INT(AA1027/B1027)))/C1027)/100))),0,(IF(B1027=C1027,AA1027/C1027,(INT(AA1027/B1027)+(((AA1027-B1027*INT(AA1027/B1027)))/C1027)/100))))</f>
        <v>0</v>
      </c>
      <c r="BM1027" s="57">
        <f>IF(ISERROR(IF(B1027=C1027,AB1027/C1027,(INT(AB1027/B1027)+(((AB1027-B1027*INT(AB1027/B1027)))/C1027)/100))),0,(IF(B1027=C1027,AB1027/C1027,(INT(AB1027/B1027)+(((AB1027-B1027*INT(AB1027/B1027)))/C1027)/100))))</f>
        <v>0</v>
      </c>
      <c r="BN1027" s="57">
        <f>IF(ISERROR(IF(B1027=C1027,AC1027/C1027,(INT(AC1027/B1027)+(((AC1027-B1027*INT(AC1027/B1027)))/C1027)/100))),0,(IF(B1027=C1027,AC1027/C1027,(INT(AC1027/B1027)+(((AC1027-B1027*INT(AC1027/B1027)))/C1027)/100))))</f>
        <v>0</v>
      </c>
      <c r="BO1027" s="57">
        <f>IF(ISERROR(IF(B1027=C1027,AD1027/C1027,(INT(AD1027/B1027)+(((AD1027-B1027*INT(AD1027/B1027)))/C1027)/100))),0,(IF(B1027=C1027,AD1027/C1027,(INT(AD1027/B1027)+(((AD1027-B1027*INT(AD1027/B1027)))/C1027)/100))))</f>
        <v>0</v>
      </c>
      <c r="BQ1027" s="37"/>
    </row>
    <row r="1028" spans="1:69" s="10" customFormat="1" x14ac:dyDescent="0.35">
      <c r="A1028" s="62" t="s">
        <v>14</v>
      </c>
      <c r="B1028" s="30">
        <v>1</v>
      </c>
      <c r="C1028" s="30">
        <v>1</v>
      </c>
      <c r="D1028" s="28">
        <f>SUM(AA1028:AD1028)</f>
        <v>60</v>
      </c>
      <c r="E1028" s="30">
        <v>0</v>
      </c>
      <c r="F1028" s="30">
        <v>0</v>
      </c>
      <c r="G1028" s="28">
        <f>SUM(D1028:F1028)</f>
        <v>60</v>
      </c>
      <c r="H1028" s="30">
        <v>0</v>
      </c>
      <c r="I1028" s="30">
        <v>0</v>
      </c>
      <c r="J1028" s="30">
        <v>0</v>
      </c>
      <c r="K1028" s="30">
        <v>0</v>
      </c>
      <c r="L1028" s="30">
        <v>0</v>
      </c>
      <c r="M1028" s="30">
        <v>0</v>
      </c>
      <c r="N1028" s="29">
        <f>G1028-SUM(H1028:M1028)</f>
        <v>60</v>
      </c>
      <c r="O1028" s="28">
        <f>SUM(V1028:Y1028)</f>
        <v>60</v>
      </c>
      <c r="P1028" s="29">
        <f>O1028-N1028</f>
        <v>0</v>
      </c>
      <c r="Q1028" s="61" t="str">
        <f>IF(ISERROR(P1028/SUM(H1028:L1028)),"",P1028/SUM(H1028:L1028))</f>
        <v/>
      </c>
      <c r="R1028" s="30">
        <v>250</v>
      </c>
      <c r="S1028" s="28">
        <f>IF(ISERROR(P1028/C1028*R1028),0,(P1028/C1028*R1028))</f>
        <v>0</v>
      </c>
      <c r="T1028" s="60">
        <f>IF(ISERROR(P1028/B1028*AF1028),0,(P1028/B1028*AF1028))</f>
        <v>0</v>
      </c>
      <c r="U1028" s="14"/>
      <c r="V1028" s="30">
        <v>0</v>
      </c>
      <c r="W1028" s="30">
        <v>60</v>
      </c>
      <c r="X1028" s="30">
        <v>0</v>
      </c>
      <c r="Y1028" s="30">
        <v>0</v>
      </c>
      <c r="Z1028" s="59"/>
      <c r="AA1028" s="30">
        <v>0</v>
      </c>
      <c r="AB1028" s="30">
        <v>60</v>
      </c>
      <c r="AC1028" s="30">
        <v>0</v>
      </c>
      <c r="AD1028" s="30">
        <v>0</v>
      </c>
      <c r="AE1028" s="59"/>
      <c r="AF1028" s="54">
        <v>144.83000000000001</v>
      </c>
      <c r="AG1028" s="28">
        <f>G1028-O1028</f>
        <v>0</v>
      </c>
      <c r="AH1028" s="58">
        <f>IF(ISERROR(AG1028/B1028*AF1028),0,(AG1028/B1028*AF1028))</f>
        <v>0</v>
      </c>
      <c r="AI1028" s="28">
        <f>SUM(H1028:M1028)</f>
        <v>0</v>
      </c>
      <c r="AJ1028" s="28">
        <f>IF(ISERROR(AI1028/B1028*AF1028),0,(AI1028/B1028*AF1028))</f>
        <v>0</v>
      </c>
      <c r="AK1028" s="28">
        <f>IF(ISERROR(O1028/B1028*AF1028),0,(O1028/B1028*AF1028))</f>
        <v>8689.8000000000011</v>
      </c>
      <c r="AL1028" s="1"/>
      <c r="AM1028" s="1"/>
      <c r="AN1028" s="51" t="str">
        <f>A1028</f>
        <v>B &amp; H Blue 20nos</v>
      </c>
      <c r="AO1028" s="57">
        <f>IF(ISERROR(IF(B1028=C1028,D1028/C1028,(INT(D1028/B1028)+(((D1028-B1028*INT(D1028/B1028)))/C1028)/100))),0,(IF(B1028=C1028,D1028/C1028,(INT(D1028/B1028)+(((D1028-B1028*INT(D1028/B1028)))/C1028)/100))))</f>
        <v>60</v>
      </c>
      <c r="AP1028" s="57">
        <f>IF(ISERROR(IF(B1028=C1028,E1028/C1028,(INT(E1028/B1028)+(((E1028-B1028*INT(E1028/B1028)))/C1028)/100))),0,(IF(B1028=C1028,E1028/C1028,(INT(E1028/B1028)+(((E1028-B1028*INT(E1028/B1028)))/C1028)/100))))</f>
        <v>0</v>
      </c>
      <c r="AQ1028" s="57">
        <f>IF(ISERROR(IF(B1028=C1028,F1028/C1028,IF((INT(F1028/B1028)+(((F1028-B1028*INT(F1028/B1028)))/C1028)/100)&lt;0,(INT(F1028/B1028)+(((F1028-B1028*INT(F1028/B1028)))/C1028)/100)+(1-(B1028/C1028/100)),(INT(F1028/B1028)+(((F1028-B1028*INT(F1028/B1028)))/C1028)/100)))),0,IF(B1028=C1028,F1028/C1028,IF((INT(F1028/B1028)+(((F1028-B1028*INT(F1028/B1028)))/C1028)/100)&lt;0,(INT(F1028/B1028)+(((F1028-B1028*INT(F1028/B1028)))/C1028)/100)+(1-(B1028/C1028/100)),(INT(F1028/B1028)+(((F1028-B1028*INT(F1028/B1028)))/C1028)/100))))</f>
        <v>0</v>
      </c>
      <c r="AR1028" s="57">
        <f>IF(ISERROR(IF(B1028=C1028,G1028/C1028,(INT(G1028/B1028)+(((G1028-B1028*INT(G1028/B1028)))/C1028)/100))),0,(IF(B1028=C1028,G1028/C1028,(INT(G1028/B1028)+(((G1028-B1028*INT(G1028/B1028)))/C1028)/100))))</f>
        <v>60</v>
      </c>
      <c r="AS1028" s="57">
        <f>IF(ISERROR(IF(B1028=C1028,H1028/C1028,(INT(H1028/B1028)+(((H1028-B1028*INT(H1028/B1028)))/C1028)/100))),0,(IF(B1028=C1028,H1028/C1028,(INT(H1028/B1028)+(((H1028-B1028*INT(H1028/B1028)))/C1028)/100))))</f>
        <v>0</v>
      </c>
      <c r="AT1028" s="57">
        <f>IF(ISERROR(IF(B1028=C1028,I1028/C1028,(INT(I1028/B1028)+(((I1028-B1028*INT(I1028/B1028)))/C1028)/100))),0,(IF(B1028=C1028,I1028/C1028,(INT(I1028/B1028)+(((I1028-B1028*INT(I1028/B1028)))/C1028)/100))))</f>
        <v>0</v>
      </c>
      <c r="AU1028" s="57">
        <f>IF(ISERROR(IF(B1028=C1028,J1028/C1028,(INT(J1028/B1028)+(((J1028-B1028*INT(J1028/B1028)))/C1028)/100))),0,(IF(B1028=C1028,J1028/C1028,(INT(J1028/B1028)+(((J1028-B1028*INT(J1028/B1028)))/C1028)/100))))</f>
        <v>0</v>
      </c>
      <c r="AV1028" s="57">
        <f>IF(ISERROR(IF(B1028=C1028,K1028/C1028,IF((INT(K1028/B1028)+(((K1028-B1028*INT(K1028/B1028)))/C1028)/100)&lt;0,(INT(K1028/B1028)+(((K1028-B1028*INT(K1028/B1028)))/C1028)/100)+(1-(B1028/C1028/100)),(INT(K1028/B1028)+(((K1028-B1028*INT(K1028/B1028)))/C1028)/100)))),0,IF(B1028=C1028,K1028/C1028,IF((INT(K1028/B1028)+(((K1028-B1028*INT(K1028/B1028)))/C1028)/100)&lt;0,(INT(K1028/B1028)+(((K1028-B1028*INT(K1028/B1028)))/C1028)/100)+(1-(B1028/C1028/100)),(INT(K1028/B1028)+(((K1028-B1028*INT(K1028/B1028)))/C1028)/100))))</f>
        <v>0</v>
      </c>
      <c r="AW1028" s="57">
        <f>IF(ISERROR(IF(B1028=C1028,L1028/C1028,(INT(L1028/B1028)+(((L1028-B1028*INT(L1028/B1028)))/C1028)/100))),0,(IF(B1028=C1028,L1028/C1028,(INT(L1028/B1028)+(((L1028-B1028*INT(L1028/B1028)))/C1028)/100))))</f>
        <v>0</v>
      </c>
      <c r="AX1028" s="57">
        <f>IF(ISERROR(IF(B1028=C1028,M1028/C1028,(INT(M1028/B1028)+(((M1028-B1028*INT(M1028/B1028)))/C1028)/100))),0,(IF(B1028=C1028,M1028/C1028,(INT(M1028/B1028)+(((M1028-B1028*INT(M1028/B1028)))/C1028)/100))))</f>
        <v>0</v>
      </c>
      <c r="AY1028" s="57">
        <f>IF(ISERROR(IF(B1028=C1028,N1028/C1028,IF((INT(N1028/B1028)+(((N1028-B1028*INT(N1028/B1028)))/C1028)/100)&lt;0,(INT(N1028/B1028)+(((N1028-B1028*INT(N1028/B1028)))/C1028)/100)+(1-(B1028/C1028/100)),(INT(N1028/B1028)+(((N1028-B1028*INT(N1028/B1028)))/C1028)/100)))),0,IF(B1028=C1028,N1028/C1028,IF((INT(N1028/B1028)+(((N1028-B1028*INT(N1028/B1028)))/C1028)/100)&lt;0,(INT(N1028/B1028)+(((N1028-B1028*INT(N1028/B1028)))/C1028)/100)+(1-(B1028/C1028/100)),(INT(N1028/B1028)+(((N1028-B1028*INT(N1028/B1028)))/C1028)/100))))</f>
        <v>60</v>
      </c>
      <c r="AZ1028" s="57">
        <f>IF(ISERROR(IF(B1028=C1028,O1028/C1028,(INT(O1028/B1028)+(((O1028-B1028*INT(O1028/B1028)))/C1028)/100))),0,(IF(B1028=C1028,O1028/C1028,(INT(O1028/B1028)+(((O1028-B1028*INT(O1028/B1028)))/C1028)/100))))</f>
        <v>60</v>
      </c>
      <c r="BA1028" s="57">
        <f>IF(ISERROR(IF(B1028=C1028,P1028/C1028,IF((INT(P1028/B1028)+(((P1028-B1028*INT(P1028/B1028)))/C1028)/100)&lt;0,(INT(P1028/B1028)+(((P1028-B1028*INT(P1028/B1028)))/C1028)/100)+(1-(B1028/C1028/100)),(INT(P1028/B1028)+(((P1028-B1028*INT(P1028/B1028)))/C1028)/100)))),0,IF(B1028=C1028,P1028/C1028,IF((INT(P1028/B1028)+(((P1028-B1028*INT(P1028/B1028)))/C1028)/100)&lt;0,(INT(P1028/B1028)+(((P1028-B1028*INT(P1028/B1028)))/C1028)/100)+(1-(B1028/C1028/100)),(INT(P1028/B1028)+(((P1028-B1028*INT(P1028/B1028)))/C1028)/100))))</f>
        <v>0</v>
      </c>
      <c r="BB1028" s="28">
        <f>R1028</f>
        <v>250</v>
      </c>
      <c r="BC1028" s="28">
        <f>S1028</f>
        <v>0</v>
      </c>
      <c r="BD1028" s="28">
        <f>AF1028</f>
        <v>144.83000000000001</v>
      </c>
      <c r="BE1028" s="28">
        <f>T1028</f>
        <v>0</v>
      </c>
      <c r="BF1028" s="1"/>
      <c r="BG1028" s="57">
        <f>IF(ISERROR(IF(B1028=C1028,V1028/C1028,(INT(V1028/B1028)+(((V1028-B1028*INT(V1028/B1028)))/C1028)/100))),0,(IF(B1028=C1028,V1028/C1028,(INT(V1028/B1028)+(((V1028-B1028*INT(V1028/B1028)))/C1028)/100))))</f>
        <v>0</v>
      </c>
      <c r="BH1028" s="57">
        <f>IF(ISERROR(IF(B1028=C1028,W1028/C1028,(INT(W1028/B1028)+(((W1028-B1028*INT(W1028/B1028)))/C1028)/100))),0,(IF(B1028=C1028,W1028/C1028,(INT(W1028/B1028)+(((W1028-B1028*INT(W1028/B1028)))/C1028)/100))))</f>
        <v>60</v>
      </c>
      <c r="BI1028" s="57">
        <f>IF(ISERROR(IF(B1028=C1028,X1028/C1028,(INT(X1028/B1028)+(((X1028-B1028*INT(X1028/B1028)))/C1028)/100))),0,(IF(B1028=C1028,X1028/C1028,(INT(X1028/B1028)+(((X1028-B1028*INT(X1028/B1028)))/C1028)/100))))</f>
        <v>0</v>
      </c>
      <c r="BJ1028" s="57">
        <f>IF(ISERROR(IF(B1028=C1028,Y1028/C1028,(INT(Y1028/B1028)+(((Y1028-B1028*INT(Y1028/B1028)))/C1028)/100))),0,(IF(B1028=C1028,Y1028/C1028,(INT(Y1028/B1028)+(((Y1028-B1028*INT(Y1028/B1028)))/C1028)/100))))</f>
        <v>0</v>
      </c>
      <c r="BK1028" s="1"/>
      <c r="BL1028" s="57">
        <f>IF(ISERROR(IF(B1028=C1028,AA1028/C1028,(INT(AA1028/B1028)+(((AA1028-B1028*INT(AA1028/B1028)))/C1028)/100))),0,(IF(B1028=C1028,AA1028/C1028,(INT(AA1028/B1028)+(((AA1028-B1028*INT(AA1028/B1028)))/C1028)/100))))</f>
        <v>0</v>
      </c>
      <c r="BM1028" s="57">
        <f>IF(ISERROR(IF(B1028=C1028,AB1028/C1028,(INT(AB1028/B1028)+(((AB1028-B1028*INT(AB1028/B1028)))/C1028)/100))),0,(IF(B1028=C1028,AB1028/C1028,(INT(AB1028/B1028)+(((AB1028-B1028*INT(AB1028/B1028)))/C1028)/100))))</f>
        <v>60</v>
      </c>
      <c r="BN1028" s="57">
        <f>IF(ISERROR(IF(B1028=C1028,AC1028/C1028,(INT(AC1028/B1028)+(((AC1028-B1028*INT(AC1028/B1028)))/C1028)/100))),0,(IF(B1028=C1028,AC1028/C1028,(INT(AC1028/B1028)+(((AC1028-B1028*INT(AC1028/B1028)))/C1028)/100))))</f>
        <v>0</v>
      </c>
      <c r="BO1028" s="57">
        <f>IF(ISERROR(IF(B1028=C1028,AD1028/C1028,(INT(AD1028/B1028)+(((AD1028-B1028*INT(AD1028/B1028)))/C1028)/100))),0,(IF(B1028=C1028,AD1028/C1028,(INT(AD1028/B1028)+(((AD1028-B1028*INT(AD1028/B1028)))/C1028)/100))))</f>
        <v>0</v>
      </c>
      <c r="BQ1028" s="37"/>
    </row>
    <row r="1029" spans="1:69" s="10" customFormat="1" hidden="1" x14ac:dyDescent="0.35">
      <c r="A1029" s="56"/>
      <c r="B1029" s="30">
        <v>1</v>
      </c>
      <c r="C1029" s="30">
        <v>1</v>
      </c>
      <c r="D1029" s="28">
        <f>SUM(AA1029:AD1029)</f>
        <v>0</v>
      </c>
      <c r="E1029" s="30">
        <v>0</v>
      </c>
      <c r="F1029" s="30">
        <v>0</v>
      </c>
      <c r="G1029" s="28">
        <f>SUM(D1029:F1029)</f>
        <v>0</v>
      </c>
      <c r="H1029" s="30">
        <v>0</v>
      </c>
      <c r="I1029" s="30">
        <v>0</v>
      </c>
      <c r="J1029" s="30">
        <v>0</v>
      </c>
      <c r="K1029" s="30">
        <v>0</v>
      </c>
      <c r="L1029" s="30">
        <v>0</v>
      </c>
      <c r="M1029" s="30">
        <v>0</v>
      </c>
      <c r="N1029" s="29">
        <f>G1029-SUM(H1029:M1029)</f>
        <v>0</v>
      </c>
      <c r="O1029" s="28">
        <f>SUM(V1029:Y1029)</f>
        <v>0</v>
      </c>
      <c r="P1029" s="29">
        <f>O1029-N1029</f>
        <v>0</v>
      </c>
      <c r="Q1029" s="61" t="str">
        <f>IF(ISERROR(P1029/SUM(H1029:L1029)),"",P1029/SUM(H1029:L1029))</f>
        <v/>
      </c>
      <c r="R1029" s="30">
        <v>0</v>
      </c>
      <c r="S1029" s="28">
        <f>IF(ISERROR(P1029/C1029*R1029),0,(P1029/C1029*R1029))</f>
        <v>0</v>
      </c>
      <c r="T1029" s="60">
        <f>IF(ISERROR(P1029/B1029*AF1029),0,(P1029/B1029*AF1029))</f>
        <v>0</v>
      </c>
      <c r="U1029" s="14"/>
      <c r="V1029" s="30">
        <v>0</v>
      </c>
      <c r="W1029" s="30">
        <v>0</v>
      </c>
      <c r="X1029" s="30">
        <v>0</v>
      </c>
      <c r="Y1029" s="30">
        <v>0</v>
      </c>
      <c r="Z1029" s="59"/>
      <c r="AA1029" s="30">
        <v>0</v>
      </c>
      <c r="AB1029" s="30">
        <v>0</v>
      </c>
      <c r="AC1029" s="30">
        <v>0</v>
      </c>
      <c r="AD1029" s="30">
        <v>0</v>
      </c>
      <c r="AE1029" s="59"/>
      <c r="AF1029" s="54">
        <f>3593.56/40</f>
        <v>89.838999999999999</v>
      </c>
      <c r="AG1029" s="28">
        <f>G1029-O1029</f>
        <v>0</v>
      </c>
      <c r="AH1029" s="58">
        <f>IF(ISERROR(AG1029/B1029*AF1029),0,(AG1029/B1029*AF1029))</f>
        <v>0</v>
      </c>
      <c r="AI1029" s="28">
        <f>SUM(H1029:M1029)</f>
        <v>0</v>
      </c>
      <c r="AJ1029" s="28">
        <f>IF(ISERROR(AI1029/B1029*AF1029),0,(AI1029/B1029*AF1029))</f>
        <v>0</v>
      </c>
      <c r="AK1029" s="28">
        <f>IF(ISERROR(O1029/B1029*AF1029),0,(O1029/B1029*AF1029))</f>
        <v>0</v>
      </c>
      <c r="AL1029" s="1"/>
      <c r="AM1029" s="1"/>
      <c r="AN1029" s="51">
        <f>A1029</f>
        <v>0</v>
      </c>
      <c r="AO1029" s="57">
        <f>IF(ISERROR(IF(B1029=C1029,D1029/C1029,(INT(D1029/B1029)+(((D1029-B1029*INT(D1029/B1029)))/C1029)/100))),0,(IF(B1029=C1029,D1029/C1029,(INT(D1029/B1029)+(((D1029-B1029*INT(D1029/B1029)))/C1029)/100))))</f>
        <v>0</v>
      </c>
      <c r="AP1029" s="57">
        <f>IF(ISERROR(IF(B1029=C1029,E1029/C1029,(INT(E1029/B1029)+(((E1029-B1029*INT(E1029/B1029)))/C1029)/100))),0,(IF(B1029=C1029,E1029/C1029,(INT(E1029/B1029)+(((E1029-B1029*INT(E1029/B1029)))/C1029)/100))))</f>
        <v>0</v>
      </c>
      <c r="AQ1029" s="57">
        <f>IF(ISERROR(IF(B1029=C1029,F1029/C1029,IF((INT(F1029/B1029)+(((F1029-B1029*INT(F1029/B1029)))/C1029)/100)&lt;0,(INT(F1029/B1029)+(((F1029-B1029*INT(F1029/B1029)))/C1029)/100)+(1-(B1029/C1029/100)),(INT(F1029/B1029)+(((F1029-B1029*INT(F1029/B1029)))/C1029)/100)))),0,IF(B1029=C1029,F1029/C1029,IF((INT(F1029/B1029)+(((F1029-B1029*INT(F1029/B1029)))/C1029)/100)&lt;0,(INT(F1029/B1029)+(((F1029-B1029*INT(F1029/B1029)))/C1029)/100)+(1-(B1029/C1029/100)),(INT(F1029/B1029)+(((F1029-B1029*INT(F1029/B1029)))/C1029)/100))))</f>
        <v>0</v>
      </c>
      <c r="AR1029" s="57">
        <f>IF(ISERROR(IF(B1029=C1029,G1029/C1029,(INT(G1029/B1029)+(((G1029-B1029*INT(G1029/B1029)))/C1029)/100))),0,(IF(B1029=C1029,G1029/C1029,(INT(G1029/B1029)+(((G1029-B1029*INT(G1029/B1029)))/C1029)/100))))</f>
        <v>0</v>
      </c>
      <c r="AS1029" s="57">
        <f>IF(ISERROR(IF(B1029=C1029,H1029/C1029,(INT(H1029/B1029)+(((H1029-B1029*INT(H1029/B1029)))/C1029)/100))),0,(IF(B1029=C1029,H1029/C1029,(INT(H1029/B1029)+(((H1029-B1029*INT(H1029/B1029)))/C1029)/100))))</f>
        <v>0</v>
      </c>
      <c r="AT1029" s="57">
        <f>IF(ISERROR(IF(B1029=C1029,I1029/C1029,(INT(I1029/B1029)+(((I1029-B1029*INT(I1029/B1029)))/C1029)/100))),0,(IF(B1029=C1029,I1029/C1029,(INT(I1029/B1029)+(((I1029-B1029*INT(I1029/B1029)))/C1029)/100))))</f>
        <v>0</v>
      </c>
      <c r="AU1029" s="57">
        <f>IF(ISERROR(IF(B1029=C1029,J1029/C1029,(INT(J1029/B1029)+(((J1029-B1029*INT(J1029/B1029)))/C1029)/100))),0,(IF(B1029=C1029,J1029/C1029,(INT(J1029/B1029)+(((J1029-B1029*INT(J1029/B1029)))/C1029)/100))))</f>
        <v>0</v>
      </c>
      <c r="AV1029" s="57">
        <f>IF(ISERROR(IF(B1029=C1029,K1029/C1029,IF((INT(K1029/B1029)+(((K1029-B1029*INT(K1029/B1029)))/C1029)/100)&lt;0,(INT(K1029/B1029)+(((K1029-B1029*INT(K1029/B1029)))/C1029)/100)+(1-(B1029/C1029/100)),(INT(K1029/B1029)+(((K1029-B1029*INT(K1029/B1029)))/C1029)/100)))),0,IF(B1029=C1029,K1029/C1029,IF((INT(K1029/B1029)+(((K1029-B1029*INT(K1029/B1029)))/C1029)/100)&lt;0,(INT(K1029/B1029)+(((K1029-B1029*INT(K1029/B1029)))/C1029)/100)+(1-(B1029/C1029/100)),(INT(K1029/B1029)+(((K1029-B1029*INT(K1029/B1029)))/C1029)/100))))</f>
        <v>0</v>
      </c>
      <c r="AW1029" s="57">
        <f>IF(ISERROR(IF(B1029=C1029,L1029/C1029,(INT(L1029/B1029)+(((L1029-B1029*INT(L1029/B1029)))/C1029)/100))),0,(IF(B1029=C1029,L1029/C1029,(INT(L1029/B1029)+(((L1029-B1029*INT(L1029/B1029)))/C1029)/100))))</f>
        <v>0</v>
      </c>
      <c r="AX1029" s="57">
        <f>IF(ISERROR(IF(B1029=C1029,M1029/C1029,(INT(M1029/B1029)+(((M1029-B1029*INT(M1029/B1029)))/C1029)/100))),0,(IF(B1029=C1029,M1029/C1029,(INT(M1029/B1029)+(((M1029-B1029*INT(M1029/B1029)))/C1029)/100))))</f>
        <v>0</v>
      </c>
      <c r="AY1029" s="57">
        <f>IF(ISERROR(IF(B1029=C1029,N1029/C1029,IF((INT(N1029/B1029)+(((N1029-B1029*INT(N1029/B1029)))/C1029)/100)&lt;0,(INT(N1029/B1029)+(((N1029-B1029*INT(N1029/B1029)))/C1029)/100)+(1-(B1029/C1029/100)),(INT(N1029/B1029)+(((N1029-B1029*INT(N1029/B1029)))/C1029)/100)))),0,IF(B1029=C1029,N1029/C1029,IF((INT(N1029/B1029)+(((N1029-B1029*INT(N1029/B1029)))/C1029)/100)&lt;0,(INT(N1029/B1029)+(((N1029-B1029*INT(N1029/B1029)))/C1029)/100)+(1-(B1029/C1029/100)),(INT(N1029/B1029)+(((N1029-B1029*INT(N1029/B1029)))/C1029)/100))))</f>
        <v>0</v>
      </c>
      <c r="AZ1029" s="57">
        <f>IF(ISERROR(IF(B1029=C1029,O1029/C1029,(INT(O1029/B1029)+(((O1029-B1029*INT(O1029/B1029)))/C1029)/100))),0,(IF(B1029=C1029,O1029/C1029,(INT(O1029/B1029)+(((O1029-B1029*INT(O1029/B1029)))/C1029)/100))))</f>
        <v>0</v>
      </c>
      <c r="BA1029" s="57">
        <f>IF(ISERROR(IF(B1029=C1029,P1029/C1029,IF((INT(P1029/B1029)+(((P1029-B1029*INT(P1029/B1029)))/C1029)/100)&lt;0,(INT(P1029/B1029)+(((P1029-B1029*INT(P1029/B1029)))/C1029)/100)+(1-(B1029/C1029/100)),(INT(P1029/B1029)+(((P1029-B1029*INT(P1029/B1029)))/C1029)/100)))),0,IF(B1029=C1029,P1029/C1029,IF((INT(P1029/B1029)+(((P1029-B1029*INT(P1029/B1029)))/C1029)/100)&lt;0,(INT(P1029/B1029)+(((P1029-B1029*INT(P1029/B1029)))/C1029)/100)+(1-(B1029/C1029/100)),(INT(P1029/B1029)+(((P1029-B1029*INT(P1029/B1029)))/C1029)/100))))</f>
        <v>0</v>
      </c>
      <c r="BB1029" s="28">
        <f>R1029</f>
        <v>0</v>
      </c>
      <c r="BC1029" s="28">
        <f>S1029</f>
        <v>0</v>
      </c>
      <c r="BD1029" s="28">
        <f>AF1029</f>
        <v>89.838999999999999</v>
      </c>
      <c r="BE1029" s="28">
        <f>T1029</f>
        <v>0</v>
      </c>
      <c r="BF1029" s="1"/>
      <c r="BG1029" s="57">
        <f>IF(ISERROR(IF(B1029=C1029,V1029/C1029,(INT(V1029/B1029)+(((V1029-B1029*INT(V1029/B1029)))/C1029)/100))),0,(IF(B1029=C1029,V1029/C1029,(INT(V1029/B1029)+(((V1029-B1029*INT(V1029/B1029)))/C1029)/100))))</f>
        <v>0</v>
      </c>
      <c r="BH1029" s="57">
        <f>IF(ISERROR(IF(B1029=C1029,W1029/C1029,(INT(W1029/B1029)+(((W1029-B1029*INT(W1029/B1029)))/C1029)/100))),0,(IF(B1029=C1029,W1029/C1029,(INT(W1029/B1029)+(((W1029-B1029*INT(W1029/B1029)))/C1029)/100))))</f>
        <v>0</v>
      </c>
      <c r="BI1029" s="57">
        <f>IF(ISERROR(IF(B1029=C1029,X1029/C1029,(INT(X1029/B1029)+(((X1029-B1029*INT(X1029/B1029)))/C1029)/100))),0,(IF(B1029=C1029,X1029/C1029,(INT(X1029/B1029)+(((X1029-B1029*INT(X1029/B1029)))/C1029)/100))))</f>
        <v>0</v>
      </c>
      <c r="BJ1029" s="57">
        <f>IF(ISERROR(IF(B1029=C1029,Y1029/C1029,(INT(Y1029/B1029)+(((Y1029-B1029*INT(Y1029/B1029)))/C1029)/100))),0,(IF(B1029=C1029,Y1029/C1029,(INT(Y1029/B1029)+(((Y1029-B1029*INT(Y1029/B1029)))/C1029)/100))))</f>
        <v>0</v>
      </c>
      <c r="BK1029" s="1"/>
      <c r="BL1029" s="57">
        <f>IF(ISERROR(IF(B1029=C1029,AA1029/C1029,(INT(AA1029/B1029)+(((AA1029-B1029*INT(AA1029/B1029)))/C1029)/100))),0,(IF(B1029=C1029,AA1029/C1029,(INT(AA1029/B1029)+(((AA1029-B1029*INT(AA1029/B1029)))/C1029)/100))))</f>
        <v>0</v>
      </c>
      <c r="BM1029" s="57">
        <f>IF(ISERROR(IF(B1029=C1029,AB1029/C1029,(INT(AB1029/B1029)+(((AB1029-B1029*INT(AB1029/B1029)))/C1029)/100))),0,(IF(B1029=C1029,AB1029/C1029,(INT(AB1029/B1029)+(((AB1029-B1029*INT(AB1029/B1029)))/C1029)/100))))</f>
        <v>0</v>
      </c>
      <c r="BN1029" s="57">
        <f>IF(ISERROR(IF(B1029=C1029,AC1029/C1029,(INT(AC1029/B1029)+(((AC1029-B1029*INT(AC1029/B1029)))/C1029)/100))),0,(IF(B1029=C1029,AC1029/C1029,(INT(AC1029/B1029)+(((AC1029-B1029*INT(AC1029/B1029)))/C1029)/100))))</f>
        <v>0</v>
      </c>
      <c r="BO1029" s="57">
        <f>IF(ISERROR(IF(B1029=C1029,AD1029/C1029,(INT(AD1029/B1029)+(((AD1029-B1029*INT(AD1029/B1029)))/C1029)/100))),0,(IF(B1029=C1029,AD1029/C1029,(INT(AD1029/B1029)+(((AD1029-B1029*INT(AD1029/B1029)))/C1029)/100))))</f>
        <v>0</v>
      </c>
      <c r="BQ1029" s="37"/>
    </row>
    <row r="1030" spans="1:69" s="10" customFormat="1" hidden="1" x14ac:dyDescent="0.35">
      <c r="A1030" s="62"/>
      <c r="B1030" s="30">
        <v>1</v>
      </c>
      <c r="C1030" s="30">
        <v>1</v>
      </c>
      <c r="D1030" s="28">
        <f>SUM(AA1030:AD1030)</f>
        <v>0</v>
      </c>
      <c r="E1030" s="30">
        <v>0</v>
      </c>
      <c r="F1030" s="30">
        <v>0</v>
      </c>
      <c r="G1030" s="28">
        <f>SUM(D1030:F1030)</f>
        <v>0</v>
      </c>
      <c r="H1030" s="30">
        <v>0</v>
      </c>
      <c r="I1030" s="30">
        <v>0</v>
      </c>
      <c r="J1030" s="30">
        <v>0</v>
      </c>
      <c r="K1030" s="30">
        <v>0</v>
      </c>
      <c r="L1030" s="30">
        <v>0</v>
      </c>
      <c r="M1030" s="30">
        <v>0</v>
      </c>
      <c r="N1030" s="29">
        <f>G1030-SUM(H1030:M1030)</f>
        <v>0</v>
      </c>
      <c r="O1030" s="28">
        <f>SUM(V1030:Y1030)</f>
        <v>0</v>
      </c>
      <c r="P1030" s="29">
        <f>O1030-N1030</f>
        <v>0</v>
      </c>
      <c r="Q1030" s="61" t="str">
        <f>IF(ISERROR(P1030/SUM(H1030:L1030)),"",P1030/SUM(H1030:L1030))</f>
        <v/>
      </c>
      <c r="R1030" s="30">
        <v>0</v>
      </c>
      <c r="S1030" s="28">
        <f>IF(ISERROR(P1030/C1030*R1030),0,(P1030/C1030*R1030))</f>
        <v>0</v>
      </c>
      <c r="T1030" s="60">
        <f>IF(ISERROR(P1030/B1030*AF1030),0,(P1030/B1030*AF1030))</f>
        <v>0</v>
      </c>
      <c r="U1030" s="14"/>
      <c r="V1030" s="30">
        <v>0</v>
      </c>
      <c r="W1030" s="30">
        <v>0</v>
      </c>
      <c r="X1030" s="30">
        <v>0</v>
      </c>
      <c r="Y1030" s="30">
        <v>0</v>
      </c>
      <c r="Z1030" s="59"/>
      <c r="AA1030" s="30">
        <v>0</v>
      </c>
      <c r="AB1030" s="30">
        <v>0</v>
      </c>
      <c r="AC1030" s="30">
        <v>0</v>
      </c>
      <c r="AD1030" s="30">
        <v>0</v>
      </c>
      <c r="AE1030" s="59"/>
      <c r="AF1030" s="54">
        <f>3593.56/40</f>
        <v>89.838999999999999</v>
      </c>
      <c r="AG1030" s="28">
        <f>G1030-O1030</f>
        <v>0</v>
      </c>
      <c r="AH1030" s="58">
        <f>IF(ISERROR(AG1030/B1030*AF1030),0,(AG1030/B1030*AF1030))</f>
        <v>0</v>
      </c>
      <c r="AI1030" s="28">
        <f>SUM(H1030:M1030)</f>
        <v>0</v>
      </c>
      <c r="AJ1030" s="28">
        <f>IF(ISERROR(AI1030/B1030*AF1030),0,(AI1030/B1030*AF1030))</f>
        <v>0</v>
      </c>
      <c r="AK1030" s="28">
        <f>IF(ISERROR(O1030/B1030*AF1030),0,(O1030/B1030*AF1030))</f>
        <v>0</v>
      </c>
      <c r="AL1030" s="1"/>
      <c r="AM1030" s="1"/>
      <c r="AN1030" s="51">
        <f>A1030</f>
        <v>0</v>
      </c>
      <c r="AO1030" s="57">
        <f>IF(ISERROR(IF(B1030=C1030,D1030/C1030,(INT(D1030/B1030)+(((D1030-B1030*INT(D1030/B1030)))/C1030)/100))),0,(IF(B1030=C1030,D1030/C1030,(INT(D1030/B1030)+(((D1030-B1030*INT(D1030/B1030)))/C1030)/100))))</f>
        <v>0</v>
      </c>
      <c r="AP1030" s="57">
        <f>IF(ISERROR(IF(B1030=C1030,E1030/C1030,(INT(E1030/B1030)+(((E1030-B1030*INT(E1030/B1030)))/C1030)/100))),0,(IF(B1030=C1030,E1030/C1030,(INT(E1030/B1030)+(((E1030-B1030*INT(E1030/B1030)))/C1030)/100))))</f>
        <v>0</v>
      </c>
      <c r="AQ1030" s="57">
        <f>IF(ISERROR(IF(B1030=C1030,F1030/C1030,IF((INT(F1030/B1030)+(((F1030-B1030*INT(F1030/B1030)))/C1030)/100)&lt;0,(INT(F1030/B1030)+(((F1030-B1030*INT(F1030/B1030)))/C1030)/100)+(1-(B1030/C1030/100)),(INT(F1030/B1030)+(((F1030-B1030*INT(F1030/B1030)))/C1030)/100)))),0,IF(B1030=C1030,F1030/C1030,IF((INT(F1030/B1030)+(((F1030-B1030*INT(F1030/B1030)))/C1030)/100)&lt;0,(INT(F1030/B1030)+(((F1030-B1030*INT(F1030/B1030)))/C1030)/100)+(1-(B1030/C1030/100)),(INT(F1030/B1030)+(((F1030-B1030*INT(F1030/B1030)))/C1030)/100))))</f>
        <v>0</v>
      </c>
      <c r="AR1030" s="57">
        <f>IF(ISERROR(IF(B1030=C1030,G1030/C1030,(INT(G1030/B1030)+(((G1030-B1030*INT(G1030/B1030)))/C1030)/100))),0,(IF(B1030=C1030,G1030/C1030,(INT(G1030/B1030)+(((G1030-B1030*INT(G1030/B1030)))/C1030)/100))))</f>
        <v>0</v>
      </c>
      <c r="AS1030" s="57">
        <f>IF(ISERROR(IF(B1030=C1030,H1030/C1030,(INT(H1030/B1030)+(((H1030-B1030*INT(H1030/B1030)))/C1030)/100))),0,(IF(B1030=C1030,H1030/C1030,(INT(H1030/B1030)+(((H1030-B1030*INT(H1030/B1030)))/C1030)/100))))</f>
        <v>0</v>
      </c>
      <c r="AT1030" s="57">
        <f>IF(ISERROR(IF(B1030=C1030,I1030/C1030,(INT(I1030/B1030)+(((I1030-B1030*INT(I1030/B1030)))/C1030)/100))),0,(IF(B1030=C1030,I1030/C1030,(INT(I1030/B1030)+(((I1030-B1030*INT(I1030/B1030)))/C1030)/100))))</f>
        <v>0</v>
      </c>
      <c r="AU1030" s="57">
        <f>IF(ISERROR(IF(B1030=C1030,J1030/C1030,(INT(J1030/B1030)+(((J1030-B1030*INT(J1030/B1030)))/C1030)/100))),0,(IF(B1030=C1030,J1030/C1030,(INT(J1030/B1030)+(((J1030-B1030*INT(J1030/B1030)))/C1030)/100))))</f>
        <v>0</v>
      </c>
      <c r="AV1030" s="57">
        <f>IF(ISERROR(IF(B1030=C1030,K1030/C1030,IF((INT(K1030/B1030)+(((K1030-B1030*INT(K1030/B1030)))/C1030)/100)&lt;0,(INT(K1030/B1030)+(((K1030-B1030*INT(K1030/B1030)))/C1030)/100)+(1-(B1030/C1030/100)),(INT(K1030/B1030)+(((K1030-B1030*INT(K1030/B1030)))/C1030)/100)))),0,IF(B1030=C1030,K1030/C1030,IF((INT(K1030/B1030)+(((K1030-B1030*INT(K1030/B1030)))/C1030)/100)&lt;0,(INT(K1030/B1030)+(((K1030-B1030*INT(K1030/B1030)))/C1030)/100)+(1-(B1030/C1030/100)),(INT(K1030/B1030)+(((K1030-B1030*INT(K1030/B1030)))/C1030)/100))))</f>
        <v>0</v>
      </c>
      <c r="AW1030" s="57">
        <f>IF(ISERROR(IF(B1030=C1030,L1030/C1030,(INT(L1030/B1030)+(((L1030-B1030*INT(L1030/B1030)))/C1030)/100))),0,(IF(B1030=C1030,L1030/C1030,(INT(L1030/B1030)+(((L1030-B1030*INT(L1030/B1030)))/C1030)/100))))</f>
        <v>0</v>
      </c>
      <c r="AX1030" s="57">
        <f>IF(ISERROR(IF(B1030=C1030,M1030/C1030,(INT(M1030/B1030)+(((M1030-B1030*INT(M1030/B1030)))/C1030)/100))),0,(IF(B1030=C1030,M1030/C1030,(INT(M1030/B1030)+(((M1030-B1030*INT(M1030/B1030)))/C1030)/100))))</f>
        <v>0</v>
      </c>
      <c r="AY1030" s="57">
        <f>IF(ISERROR(IF(B1030=C1030,N1030/C1030,IF((INT(N1030/B1030)+(((N1030-B1030*INT(N1030/B1030)))/C1030)/100)&lt;0,(INT(N1030/B1030)+(((N1030-B1030*INT(N1030/B1030)))/C1030)/100)+(1-(B1030/C1030/100)),(INT(N1030/B1030)+(((N1030-B1030*INT(N1030/B1030)))/C1030)/100)))),0,IF(B1030=C1030,N1030/C1030,IF((INT(N1030/B1030)+(((N1030-B1030*INT(N1030/B1030)))/C1030)/100)&lt;0,(INT(N1030/B1030)+(((N1030-B1030*INT(N1030/B1030)))/C1030)/100)+(1-(B1030/C1030/100)),(INT(N1030/B1030)+(((N1030-B1030*INT(N1030/B1030)))/C1030)/100))))</f>
        <v>0</v>
      </c>
      <c r="AZ1030" s="57">
        <f>IF(ISERROR(IF(B1030=C1030,O1030/C1030,(INT(O1030/B1030)+(((O1030-B1030*INT(O1030/B1030)))/C1030)/100))),0,(IF(B1030=C1030,O1030/C1030,(INT(O1030/B1030)+(((O1030-B1030*INT(O1030/B1030)))/C1030)/100))))</f>
        <v>0</v>
      </c>
      <c r="BA1030" s="57">
        <f>IF(ISERROR(IF(B1030=C1030,P1030/C1030,IF((INT(P1030/B1030)+(((P1030-B1030*INT(P1030/B1030)))/C1030)/100)&lt;0,(INT(P1030/B1030)+(((P1030-B1030*INT(P1030/B1030)))/C1030)/100)+(1-(B1030/C1030/100)),(INT(P1030/B1030)+(((P1030-B1030*INT(P1030/B1030)))/C1030)/100)))),0,IF(B1030=C1030,P1030/C1030,IF((INT(P1030/B1030)+(((P1030-B1030*INT(P1030/B1030)))/C1030)/100)&lt;0,(INT(P1030/B1030)+(((P1030-B1030*INT(P1030/B1030)))/C1030)/100)+(1-(B1030/C1030/100)),(INT(P1030/B1030)+(((P1030-B1030*INT(P1030/B1030)))/C1030)/100))))</f>
        <v>0</v>
      </c>
      <c r="BB1030" s="28">
        <f>R1030</f>
        <v>0</v>
      </c>
      <c r="BC1030" s="28">
        <f>S1030</f>
        <v>0</v>
      </c>
      <c r="BD1030" s="28">
        <f>AF1030</f>
        <v>89.838999999999999</v>
      </c>
      <c r="BE1030" s="28">
        <f>T1030</f>
        <v>0</v>
      </c>
      <c r="BF1030" s="1"/>
      <c r="BG1030" s="57">
        <f>IF(ISERROR(IF(B1030=C1030,V1030/C1030,(INT(V1030/B1030)+(((V1030-B1030*INT(V1030/B1030)))/C1030)/100))),0,(IF(B1030=C1030,V1030/C1030,(INT(V1030/B1030)+(((V1030-B1030*INT(V1030/B1030)))/C1030)/100))))</f>
        <v>0</v>
      </c>
      <c r="BH1030" s="57">
        <f>IF(ISERROR(IF(B1030=C1030,W1030/C1030,(INT(W1030/B1030)+(((W1030-B1030*INT(W1030/B1030)))/C1030)/100))),0,(IF(B1030=C1030,W1030/C1030,(INT(W1030/B1030)+(((W1030-B1030*INT(W1030/B1030)))/C1030)/100))))</f>
        <v>0</v>
      </c>
      <c r="BI1030" s="57">
        <f>IF(ISERROR(IF(B1030=C1030,X1030/C1030,(INT(X1030/B1030)+(((X1030-B1030*INT(X1030/B1030)))/C1030)/100))),0,(IF(B1030=C1030,X1030/C1030,(INT(X1030/B1030)+(((X1030-B1030*INT(X1030/B1030)))/C1030)/100))))</f>
        <v>0</v>
      </c>
      <c r="BJ1030" s="57">
        <f>IF(ISERROR(IF(B1030=C1030,Y1030/C1030,(INT(Y1030/B1030)+(((Y1030-B1030*INT(Y1030/B1030)))/C1030)/100))),0,(IF(B1030=C1030,Y1030/C1030,(INT(Y1030/B1030)+(((Y1030-B1030*INT(Y1030/B1030)))/C1030)/100))))</f>
        <v>0</v>
      </c>
      <c r="BK1030" s="1"/>
      <c r="BL1030" s="57">
        <f>IF(ISERROR(IF(B1030=C1030,AA1030/C1030,(INT(AA1030/B1030)+(((AA1030-B1030*INT(AA1030/B1030)))/C1030)/100))),0,(IF(B1030=C1030,AA1030/C1030,(INT(AA1030/B1030)+(((AA1030-B1030*INT(AA1030/B1030)))/C1030)/100))))</f>
        <v>0</v>
      </c>
      <c r="BM1030" s="57">
        <f>IF(ISERROR(IF(B1030=C1030,AB1030/C1030,(INT(AB1030/B1030)+(((AB1030-B1030*INT(AB1030/B1030)))/C1030)/100))),0,(IF(B1030=C1030,AB1030/C1030,(INT(AB1030/B1030)+(((AB1030-B1030*INT(AB1030/B1030)))/C1030)/100))))</f>
        <v>0</v>
      </c>
      <c r="BN1030" s="57">
        <f>IF(ISERROR(IF(B1030=C1030,AC1030/C1030,(INT(AC1030/B1030)+(((AC1030-B1030*INT(AC1030/B1030)))/C1030)/100))),0,(IF(B1030=C1030,AC1030/C1030,(INT(AC1030/B1030)+(((AC1030-B1030*INT(AC1030/B1030)))/C1030)/100))))</f>
        <v>0</v>
      </c>
      <c r="BO1030" s="57">
        <f>IF(ISERROR(IF(B1030=C1030,AD1030/C1030,(INT(AD1030/B1030)+(((AD1030-B1030*INT(AD1030/B1030)))/C1030)/100))),0,(IF(B1030=C1030,AD1030/C1030,(INT(AD1030/B1030)+(((AD1030-B1030*INT(AD1030/B1030)))/C1030)/100))))</f>
        <v>0</v>
      </c>
      <c r="BQ1030" s="37"/>
    </row>
    <row r="1031" spans="1:69" s="10" customFormat="1" hidden="1" x14ac:dyDescent="0.35">
      <c r="A1031" s="56"/>
      <c r="B1031" s="30">
        <v>1</v>
      </c>
      <c r="C1031" s="30">
        <v>1</v>
      </c>
      <c r="D1031" s="28">
        <f>SUM(AA1031:AD1031)</f>
        <v>0</v>
      </c>
      <c r="E1031" s="30">
        <v>0</v>
      </c>
      <c r="F1031" s="30">
        <v>0</v>
      </c>
      <c r="G1031" s="28">
        <f>SUM(D1031:F1031)</f>
        <v>0</v>
      </c>
      <c r="H1031" s="30">
        <v>0</v>
      </c>
      <c r="I1031" s="30">
        <v>0</v>
      </c>
      <c r="J1031" s="30">
        <v>0</v>
      </c>
      <c r="K1031" s="30">
        <v>0</v>
      </c>
      <c r="L1031" s="30">
        <v>0</v>
      </c>
      <c r="M1031" s="30">
        <v>0</v>
      </c>
      <c r="N1031" s="29">
        <f>G1031-SUM(H1031:M1031)</f>
        <v>0</v>
      </c>
      <c r="O1031" s="28">
        <f>SUM(V1031:Y1031)</f>
        <v>0</v>
      </c>
      <c r="P1031" s="29">
        <f>O1031-N1031</f>
        <v>0</v>
      </c>
      <c r="Q1031" s="61" t="str">
        <f>IF(ISERROR(P1031/SUM(H1031:L1031)),"",P1031/SUM(H1031:L1031))</f>
        <v/>
      </c>
      <c r="R1031" s="30">
        <v>0</v>
      </c>
      <c r="S1031" s="28">
        <f>IF(ISERROR(P1031/C1031*R1031),0,(P1031/C1031*R1031))</f>
        <v>0</v>
      </c>
      <c r="T1031" s="60">
        <f>IF(ISERROR(P1031/B1031*AF1031),0,(P1031/B1031*AF1031))</f>
        <v>0</v>
      </c>
      <c r="U1031" s="14"/>
      <c r="V1031" s="30">
        <v>0</v>
      </c>
      <c r="W1031" s="30">
        <v>0</v>
      </c>
      <c r="X1031" s="30">
        <v>0</v>
      </c>
      <c r="Y1031" s="30">
        <v>0</v>
      </c>
      <c r="Z1031" s="59"/>
      <c r="AA1031" s="30">
        <v>0</v>
      </c>
      <c r="AB1031" s="30">
        <v>0</v>
      </c>
      <c r="AC1031" s="30">
        <v>0</v>
      </c>
      <c r="AD1031" s="30">
        <v>0</v>
      </c>
      <c r="AE1031" s="59"/>
      <c r="AF1031" s="54">
        <f>3593.56/40</f>
        <v>89.838999999999999</v>
      </c>
      <c r="AG1031" s="28">
        <f>G1031-O1031</f>
        <v>0</v>
      </c>
      <c r="AH1031" s="58">
        <f>IF(ISERROR(AG1031/B1031*AF1031),0,(AG1031/B1031*AF1031))</f>
        <v>0</v>
      </c>
      <c r="AI1031" s="28">
        <f>SUM(H1031:M1031)</f>
        <v>0</v>
      </c>
      <c r="AJ1031" s="28">
        <f>IF(ISERROR(AI1031/B1031*AF1031),0,(AI1031/B1031*AF1031))</f>
        <v>0</v>
      </c>
      <c r="AK1031" s="28">
        <f>IF(ISERROR(O1031/B1031*AF1031),0,(O1031/B1031*AF1031))</f>
        <v>0</v>
      </c>
      <c r="AL1031" s="1"/>
      <c r="AM1031" s="1"/>
      <c r="AN1031" s="51">
        <f>A1031</f>
        <v>0</v>
      </c>
      <c r="AO1031" s="57">
        <f>IF(ISERROR(IF(B1031=C1031,D1031/C1031,(INT(D1031/B1031)+(((D1031-B1031*INT(D1031/B1031)))/C1031)/100))),0,(IF(B1031=C1031,D1031/C1031,(INT(D1031/B1031)+(((D1031-B1031*INT(D1031/B1031)))/C1031)/100))))</f>
        <v>0</v>
      </c>
      <c r="AP1031" s="57">
        <f>IF(ISERROR(IF(B1031=C1031,E1031/C1031,(INT(E1031/B1031)+(((E1031-B1031*INT(E1031/B1031)))/C1031)/100))),0,(IF(B1031=C1031,E1031/C1031,(INT(E1031/B1031)+(((E1031-B1031*INT(E1031/B1031)))/C1031)/100))))</f>
        <v>0</v>
      </c>
      <c r="AQ1031" s="57">
        <f>IF(ISERROR(IF(B1031=C1031,F1031/C1031,IF((INT(F1031/B1031)+(((F1031-B1031*INT(F1031/B1031)))/C1031)/100)&lt;0,(INT(F1031/B1031)+(((F1031-B1031*INT(F1031/B1031)))/C1031)/100)+(1-(B1031/C1031/100)),(INT(F1031/B1031)+(((F1031-B1031*INT(F1031/B1031)))/C1031)/100)))),0,IF(B1031=C1031,F1031/C1031,IF((INT(F1031/B1031)+(((F1031-B1031*INT(F1031/B1031)))/C1031)/100)&lt;0,(INT(F1031/B1031)+(((F1031-B1031*INT(F1031/B1031)))/C1031)/100)+(1-(B1031/C1031/100)),(INT(F1031/B1031)+(((F1031-B1031*INT(F1031/B1031)))/C1031)/100))))</f>
        <v>0</v>
      </c>
      <c r="AR1031" s="57">
        <f>IF(ISERROR(IF(B1031=C1031,G1031/C1031,(INT(G1031/B1031)+(((G1031-B1031*INT(G1031/B1031)))/C1031)/100))),0,(IF(B1031=C1031,G1031/C1031,(INT(G1031/B1031)+(((G1031-B1031*INT(G1031/B1031)))/C1031)/100))))</f>
        <v>0</v>
      </c>
      <c r="AS1031" s="57">
        <f>IF(ISERROR(IF(B1031=C1031,H1031/C1031,(INT(H1031/B1031)+(((H1031-B1031*INT(H1031/B1031)))/C1031)/100))),0,(IF(B1031=C1031,H1031/C1031,(INT(H1031/B1031)+(((H1031-B1031*INT(H1031/B1031)))/C1031)/100))))</f>
        <v>0</v>
      </c>
      <c r="AT1031" s="57">
        <f>IF(ISERROR(IF(B1031=C1031,I1031/C1031,(INT(I1031/B1031)+(((I1031-B1031*INT(I1031/B1031)))/C1031)/100))),0,(IF(B1031=C1031,I1031/C1031,(INT(I1031/B1031)+(((I1031-B1031*INT(I1031/B1031)))/C1031)/100))))</f>
        <v>0</v>
      </c>
      <c r="AU1031" s="57">
        <f>IF(ISERROR(IF(B1031=C1031,J1031/C1031,(INT(J1031/B1031)+(((J1031-B1031*INT(J1031/B1031)))/C1031)/100))),0,(IF(B1031=C1031,J1031/C1031,(INT(J1031/B1031)+(((J1031-B1031*INT(J1031/B1031)))/C1031)/100))))</f>
        <v>0</v>
      </c>
      <c r="AV1031" s="57">
        <f>IF(ISERROR(IF(B1031=C1031,K1031/C1031,IF((INT(K1031/B1031)+(((K1031-B1031*INT(K1031/B1031)))/C1031)/100)&lt;0,(INT(K1031/B1031)+(((K1031-B1031*INT(K1031/B1031)))/C1031)/100)+(1-(B1031/C1031/100)),(INT(K1031/B1031)+(((K1031-B1031*INT(K1031/B1031)))/C1031)/100)))),0,IF(B1031=C1031,K1031/C1031,IF((INT(K1031/B1031)+(((K1031-B1031*INT(K1031/B1031)))/C1031)/100)&lt;0,(INT(K1031/B1031)+(((K1031-B1031*INT(K1031/B1031)))/C1031)/100)+(1-(B1031/C1031/100)),(INT(K1031/B1031)+(((K1031-B1031*INT(K1031/B1031)))/C1031)/100))))</f>
        <v>0</v>
      </c>
      <c r="AW1031" s="57">
        <f>IF(ISERROR(IF(B1031=C1031,L1031/C1031,(INT(L1031/B1031)+(((L1031-B1031*INT(L1031/B1031)))/C1031)/100))),0,(IF(B1031=C1031,L1031/C1031,(INT(L1031/B1031)+(((L1031-B1031*INT(L1031/B1031)))/C1031)/100))))</f>
        <v>0</v>
      </c>
      <c r="AX1031" s="57">
        <f>IF(ISERROR(IF(B1031=C1031,M1031/C1031,(INT(M1031/B1031)+(((M1031-B1031*INT(M1031/B1031)))/C1031)/100))),0,(IF(B1031=C1031,M1031/C1031,(INT(M1031/B1031)+(((M1031-B1031*INT(M1031/B1031)))/C1031)/100))))</f>
        <v>0</v>
      </c>
      <c r="AY1031" s="57">
        <f>IF(ISERROR(IF(B1031=C1031,N1031/C1031,IF((INT(N1031/B1031)+(((N1031-B1031*INT(N1031/B1031)))/C1031)/100)&lt;0,(INT(N1031/B1031)+(((N1031-B1031*INT(N1031/B1031)))/C1031)/100)+(1-(B1031/C1031/100)),(INT(N1031/B1031)+(((N1031-B1031*INT(N1031/B1031)))/C1031)/100)))),0,IF(B1031=C1031,N1031/C1031,IF((INT(N1031/B1031)+(((N1031-B1031*INT(N1031/B1031)))/C1031)/100)&lt;0,(INT(N1031/B1031)+(((N1031-B1031*INT(N1031/B1031)))/C1031)/100)+(1-(B1031/C1031/100)),(INT(N1031/B1031)+(((N1031-B1031*INT(N1031/B1031)))/C1031)/100))))</f>
        <v>0</v>
      </c>
      <c r="AZ1031" s="57">
        <f>IF(ISERROR(IF(B1031=C1031,O1031/C1031,(INT(O1031/B1031)+(((O1031-B1031*INT(O1031/B1031)))/C1031)/100))),0,(IF(B1031=C1031,O1031/C1031,(INT(O1031/B1031)+(((O1031-B1031*INT(O1031/B1031)))/C1031)/100))))</f>
        <v>0</v>
      </c>
      <c r="BA1031" s="57">
        <f>IF(ISERROR(IF(B1031=C1031,P1031/C1031,IF((INT(P1031/B1031)+(((P1031-B1031*INT(P1031/B1031)))/C1031)/100)&lt;0,(INT(P1031/B1031)+(((P1031-B1031*INT(P1031/B1031)))/C1031)/100)+(1-(B1031/C1031/100)),(INT(P1031/B1031)+(((P1031-B1031*INT(P1031/B1031)))/C1031)/100)))),0,IF(B1031=C1031,P1031/C1031,IF((INT(P1031/B1031)+(((P1031-B1031*INT(P1031/B1031)))/C1031)/100)&lt;0,(INT(P1031/B1031)+(((P1031-B1031*INT(P1031/B1031)))/C1031)/100)+(1-(B1031/C1031/100)),(INT(P1031/B1031)+(((P1031-B1031*INT(P1031/B1031)))/C1031)/100))))</f>
        <v>0</v>
      </c>
      <c r="BB1031" s="28">
        <f>R1031</f>
        <v>0</v>
      </c>
      <c r="BC1031" s="28">
        <f>S1031</f>
        <v>0</v>
      </c>
      <c r="BD1031" s="28">
        <f>AF1031</f>
        <v>89.838999999999999</v>
      </c>
      <c r="BE1031" s="28">
        <f>T1031</f>
        <v>0</v>
      </c>
      <c r="BF1031" s="1"/>
      <c r="BG1031" s="57">
        <f>IF(ISERROR(IF(B1031=C1031,V1031/C1031,(INT(V1031/B1031)+(((V1031-B1031*INT(V1031/B1031)))/C1031)/100))),0,(IF(B1031=C1031,V1031/C1031,(INT(V1031/B1031)+(((V1031-B1031*INT(V1031/B1031)))/C1031)/100))))</f>
        <v>0</v>
      </c>
      <c r="BH1031" s="57">
        <f>IF(ISERROR(IF(B1031=C1031,W1031/C1031,(INT(W1031/B1031)+(((W1031-B1031*INT(W1031/B1031)))/C1031)/100))),0,(IF(B1031=C1031,W1031/C1031,(INT(W1031/B1031)+(((W1031-B1031*INT(W1031/B1031)))/C1031)/100))))</f>
        <v>0</v>
      </c>
      <c r="BI1031" s="57">
        <f>IF(ISERROR(IF(B1031=C1031,X1031/C1031,(INT(X1031/B1031)+(((X1031-B1031*INT(X1031/B1031)))/C1031)/100))),0,(IF(B1031=C1031,X1031/C1031,(INT(X1031/B1031)+(((X1031-B1031*INT(X1031/B1031)))/C1031)/100))))</f>
        <v>0</v>
      </c>
      <c r="BJ1031" s="57">
        <f>IF(ISERROR(IF(B1031=C1031,Y1031/C1031,(INT(Y1031/B1031)+(((Y1031-B1031*INT(Y1031/B1031)))/C1031)/100))),0,(IF(B1031=C1031,Y1031/C1031,(INT(Y1031/B1031)+(((Y1031-B1031*INT(Y1031/B1031)))/C1031)/100))))</f>
        <v>0</v>
      </c>
      <c r="BK1031" s="1"/>
      <c r="BL1031" s="57">
        <f>IF(ISERROR(IF(B1031=C1031,AA1031/C1031,(INT(AA1031/B1031)+(((AA1031-B1031*INT(AA1031/B1031)))/C1031)/100))),0,(IF(B1031=C1031,AA1031/C1031,(INT(AA1031/B1031)+(((AA1031-B1031*INT(AA1031/B1031)))/C1031)/100))))</f>
        <v>0</v>
      </c>
      <c r="BM1031" s="57">
        <f>IF(ISERROR(IF(B1031=C1031,AB1031/C1031,(INT(AB1031/B1031)+(((AB1031-B1031*INT(AB1031/B1031)))/C1031)/100))),0,(IF(B1031=C1031,AB1031/C1031,(INT(AB1031/B1031)+(((AB1031-B1031*INT(AB1031/B1031)))/C1031)/100))))</f>
        <v>0</v>
      </c>
      <c r="BN1031" s="57">
        <f>IF(ISERROR(IF(B1031=C1031,AC1031/C1031,(INT(AC1031/B1031)+(((AC1031-B1031*INT(AC1031/B1031)))/C1031)/100))),0,(IF(B1031=C1031,AC1031/C1031,(INT(AC1031/B1031)+(((AC1031-B1031*INT(AC1031/B1031)))/C1031)/100))))</f>
        <v>0</v>
      </c>
      <c r="BO1031" s="57">
        <f>IF(ISERROR(IF(B1031=C1031,AD1031/C1031,(INT(AD1031/B1031)+(((AD1031-B1031*INT(AD1031/B1031)))/C1031)/100))),0,(IF(B1031=C1031,AD1031/C1031,(INT(AD1031/B1031)+(((AD1031-B1031*INT(AD1031/B1031)))/C1031)/100))))</f>
        <v>0</v>
      </c>
      <c r="BQ1031" s="37"/>
    </row>
    <row r="1032" spans="1:69" s="10" customFormat="1" hidden="1" x14ac:dyDescent="0.35">
      <c r="A1032" s="63"/>
      <c r="B1032" s="30">
        <v>1</v>
      </c>
      <c r="C1032" s="30">
        <v>1</v>
      </c>
      <c r="D1032" s="28">
        <f>SUM(AA1032:AD1032)</f>
        <v>0</v>
      </c>
      <c r="E1032" s="30">
        <v>0</v>
      </c>
      <c r="F1032" s="30">
        <v>0</v>
      </c>
      <c r="G1032" s="28">
        <f>SUM(D1032:F1032)</f>
        <v>0</v>
      </c>
      <c r="H1032" s="30">
        <v>0</v>
      </c>
      <c r="I1032" s="30">
        <v>0</v>
      </c>
      <c r="J1032" s="30">
        <v>0</v>
      </c>
      <c r="K1032" s="30">
        <v>0</v>
      </c>
      <c r="L1032" s="30">
        <v>0</v>
      </c>
      <c r="M1032" s="30">
        <v>0</v>
      </c>
      <c r="N1032" s="29">
        <f>G1032-SUM(H1032:M1032)</f>
        <v>0</v>
      </c>
      <c r="O1032" s="28">
        <f>SUM(V1032:Y1032)</f>
        <v>0</v>
      </c>
      <c r="P1032" s="29">
        <f>O1032-N1032</f>
        <v>0</v>
      </c>
      <c r="Q1032" s="61" t="str">
        <f>IF(ISERROR(P1032/SUM(H1032:L1032)),"",P1032/SUM(H1032:L1032))</f>
        <v/>
      </c>
      <c r="R1032" s="30">
        <v>0</v>
      </c>
      <c r="S1032" s="28">
        <f>IF(ISERROR(P1032/C1032*R1032),0,(P1032/C1032*R1032))</f>
        <v>0</v>
      </c>
      <c r="T1032" s="60">
        <f>IF(ISERROR(P1032/B1032*AF1032),0,(P1032/B1032*AF1032))</f>
        <v>0</v>
      </c>
      <c r="U1032" s="14"/>
      <c r="V1032" s="30">
        <v>0</v>
      </c>
      <c r="W1032" s="30">
        <v>0</v>
      </c>
      <c r="X1032" s="30">
        <v>0</v>
      </c>
      <c r="Y1032" s="30">
        <v>0</v>
      </c>
      <c r="Z1032" s="59"/>
      <c r="AA1032" s="30">
        <v>0</v>
      </c>
      <c r="AB1032" s="30">
        <v>0</v>
      </c>
      <c r="AC1032" s="30">
        <v>0</v>
      </c>
      <c r="AD1032" s="30">
        <v>0</v>
      </c>
      <c r="AE1032" s="59"/>
      <c r="AF1032" s="54">
        <f>3593.56/40</f>
        <v>89.838999999999999</v>
      </c>
      <c r="AG1032" s="28">
        <f>G1032-O1032</f>
        <v>0</v>
      </c>
      <c r="AH1032" s="58">
        <f>IF(ISERROR(AG1032/B1032*AF1032),0,(AG1032/B1032*AF1032))</f>
        <v>0</v>
      </c>
      <c r="AI1032" s="28">
        <f>SUM(H1032:M1032)</f>
        <v>0</v>
      </c>
      <c r="AJ1032" s="28">
        <f>IF(ISERROR(AI1032/B1032*AF1032),0,(AI1032/B1032*AF1032))</f>
        <v>0</v>
      </c>
      <c r="AK1032" s="28">
        <f>IF(ISERROR(O1032/B1032*AF1032),0,(O1032/B1032*AF1032))</f>
        <v>0</v>
      </c>
      <c r="AL1032" s="1"/>
      <c r="AM1032" s="1"/>
      <c r="AN1032" s="51">
        <f>A1032</f>
        <v>0</v>
      </c>
      <c r="AO1032" s="57">
        <f>IF(ISERROR(IF(B1032=C1032,D1032/C1032,(INT(D1032/B1032)+(((D1032-B1032*INT(D1032/B1032)))/C1032)/100))),0,(IF(B1032=C1032,D1032/C1032,(INT(D1032/B1032)+(((D1032-B1032*INT(D1032/B1032)))/C1032)/100))))</f>
        <v>0</v>
      </c>
      <c r="AP1032" s="57">
        <f>IF(ISERROR(IF(B1032=C1032,E1032/C1032,(INT(E1032/B1032)+(((E1032-B1032*INT(E1032/B1032)))/C1032)/100))),0,(IF(B1032=C1032,E1032/C1032,(INT(E1032/B1032)+(((E1032-B1032*INT(E1032/B1032)))/C1032)/100))))</f>
        <v>0</v>
      </c>
      <c r="AQ1032" s="57">
        <f>IF(ISERROR(IF(B1032=C1032,F1032/C1032,IF((INT(F1032/B1032)+(((F1032-B1032*INT(F1032/B1032)))/C1032)/100)&lt;0,(INT(F1032/B1032)+(((F1032-B1032*INT(F1032/B1032)))/C1032)/100)+(1-(B1032/C1032/100)),(INT(F1032/B1032)+(((F1032-B1032*INT(F1032/B1032)))/C1032)/100)))),0,IF(B1032=C1032,F1032/C1032,IF((INT(F1032/B1032)+(((F1032-B1032*INT(F1032/B1032)))/C1032)/100)&lt;0,(INT(F1032/B1032)+(((F1032-B1032*INT(F1032/B1032)))/C1032)/100)+(1-(B1032/C1032/100)),(INT(F1032/B1032)+(((F1032-B1032*INT(F1032/B1032)))/C1032)/100))))</f>
        <v>0</v>
      </c>
      <c r="AR1032" s="57">
        <f>IF(ISERROR(IF(B1032=C1032,G1032/C1032,(INT(G1032/B1032)+(((G1032-B1032*INT(G1032/B1032)))/C1032)/100))),0,(IF(B1032=C1032,G1032/C1032,(INT(G1032/B1032)+(((G1032-B1032*INT(G1032/B1032)))/C1032)/100))))</f>
        <v>0</v>
      </c>
      <c r="AS1032" s="57">
        <f>IF(ISERROR(IF(B1032=C1032,H1032/C1032,(INT(H1032/B1032)+(((H1032-B1032*INT(H1032/B1032)))/C1032)/100))),0,(IF(B1032=C1032,H1032/C1032,(INT(H1032/B1032)+(((H1032-B1032*INT(H1032/B1032)))/C1032)/100))))</f>
        <v>0</v>
      </c>
      <c r="AT1032" s="57">
        <f>IF(ISERROR(IF(B1032=C1032,I1032/C1032,(INT(I1032/B1032)+(((I1032-B1032*INT(I1032/B1032)))/C1032)/100))),0,(IF(B1032=C1032,I1032/C1032,(INT(I1032/B1032)+(((I1032-B1032*INT(I1032/B1032)))/C1032)/100))))</f>
        <v>0</v>
      </c>
      <c r="AU1032" s="57">
        <f>IF(ISERROR(IF(B1032=C1032,J1032/C1032,(INT(J1032/B1032)+(((J1032-B1032*INT(J1032/B1032)))/C1032)/100))),0,(IF(B1032=C1032,J1032/C1032,(INT(J1032/B1032)+(((J1032-B1032*INT(J1032/B1032)))/C1032)/100))))</f>
        <v>0</v>
      </c>
      <c r="AV1032" s="57">
        <f>IF(ISERROR(IF(B1032=C1032,K1032/C1032,IF((INT(K1032/B1032)+(((K1032-B1032*INT(K1032/B1032)))/C1032)/100)&lt;0,(INT(K1032/B1032)+(((K1032-B1032*INT(K1032/B1032)))/C1032)/100)+(1-(B1032/C1032/100)),(INT(K1032/B1032)+(((K1032-B1032*INT(K1032/B1032)))/C1032)/100)))),0,IF(B1032=C1032,K1032/C1032,IF((INT(K1032/B1032)+(((K1032-B1032*INT(K1032/B1032)))/C1032)/100)&lt;0,(INT(K1032/B1032)+(((K1032-B1032*INT(K1032/B1032)))/C1032)/100)+(1-(B1032/C1032/100)),(INT(K1032/B1032)+(((K1032-B1032*INT(K1032/B1032)))/C1032)/100))))</f>
        <v>0</v>
      </c>
      <c r="AW1032" s="57">
        <f>IF(ISERROR(IF(B1032=C1032,L1032/C1032,(INT(L1032/B1032)+(((L1032-B1032*INT(L1032/B1032)))/C1032)/100))),0,(IF(B1032=C1032,L1032/C1032,(INT(L1032/B1032)+(((L1032-B1032*INT(L1032/B1032)))/C1032)/100))))</f>
        <v>0</v>
      </c>
      <c r="AX1032" s="57">
        <f>IF(ISERROR(IF(B1032=C1032,M1032/C1032,(INT(M1032/B1032)+(((M1032-B1032*INT(M1032/B1032)))/C1032)/100))),0,(IF(B1032=C1032,M1032/C1032,(INT(M1032/B1032)+(((M1032-B1032*INT(M1032/B1032)))/C1032)/100))))</f>
        <v>0</v>
      </c>
      <c r="AY1032" s="57">
        <f>IF(ISERROR(IF(B1032=C1032,N1032/C1032,IF((INT(N1032/B1032)+(((N1032-B1032*INT(N1032/B1032)))/C1032)/100)&lt;0,(INT(N1032/B1032)+(((N1032-B1032*INT(N1032/B1032)))/C1032)/100)+(1-(B1032/C1032/100)),(INT(N1032/B1032)+(((N1032-B1032*INT(N1032/B1032)))/C1032)/100)))),0,IF(B1032=C1032,N1032/C1032,IF((INT(N1032/B1032)+(((N1032-B1032*INT(N1032/B1032)))/C1032)/100)&lt;0,(INT(N1032/B1032)+(((N1032-B1032*INT(N1032/B1032)))/C1032)/100)+(1-(B1032/C1032/100)),(INT(N1032/B1032)+(((N1032-B1032*INT(N1032/B1032)))/C1032)/100))))</f>
        <v>0</v>
      </c>
      <c r="AZ1032" s="57">
        <f>IF(ISERROR(IF(B1032=C1032,O1032/C1032,(INT(O1032/B1032)+(((O1032-B1032*INT(O1032/B1032)))/C1032)/100))),0,(IF(B1032=C1032,O1032/C1032,(INT(O1032/B1032)+(((O1032-B1032*INT(O1032/B1032)))/C1032)/100))))</f>
        <v>0</v>
      </c>
      <c r="BA1032" s="57">
        <f>IF(ISERROR(IF(B1032=C1032,P1032/C1032,IF((INT(P1032/B1032)+(((P1032-B1032*INT(P1032/B1032)))/C1032)/100)&lt;0,(INT(P1032/B1032)+(((P1032-B1032*INT(P1032/B1032)))/C1032)/100)+(1-(B1032/C1032/100)),(INT(P1032/B1032)+(((P1032-B1032*INT(P1032/B1032)))/C1032)/100)))),0,IF(B1032=C1032,P1032/C1032,IF((INT(P1032/B1032)+(((P1032-B1032*INT(P1032/B1032)))/C1032)/100)&lt;0,(INT(P1032/B1032)+(((P1032-B1032*INT(P1032/B1032)))/C1032)/100)+(1-(B1032/C1032/100)),(INT(P1032/B1032)+(((P1032-B1032*INT(P1032/B1032)))/C1032)/100))))</f>
        <v>0</v>
      </c>
      <c r="BB1032" s="28">
        <f>R1032</f>
        <v>0</v>
      </c>
      <c r="BC1032" s="28">
        <f>S1032</f>
        <v>0</v>
      </c>
      <c r="BD1032" s="28">
        <f>AF1032</f>
        <v>89.838999999999999</v>
      </c>
      <c r="BE1032" s="28">
        <f>T1032</f>
        <v>0</v>
      </c>
      <c r="BF1032" s="1"/>
      <c r="BG1032" s="57">
        <f>IF(ISERROR(IF(B1032=C1032,V1032/C1032,(INT(V1032/B1032)+(((V1032-B1032*INT(V1032/B1032)))/C1032)/100))),0,(IF(B1032=C1032,V1032/C1032,(INT(V1032/B1032)+(((V1032-B1032*INT(V1032/B1032)))/C1032)/100))))</f>
        <v>0</v>
      </c>
      <c r="BH1032" s="57">
        <f>IF(ISERROR(IF(B1032=C1032,W1032/C1032,(INT(W1032/B1032)+(((W1032-B1032*INT(W1032/B1032)))/C1032)/100))),0,(IF(B1032=C1032,W1032/C1032,(INT(W1032/B1032)+(((W1032-B1032*INT(W1032/B1032)))/C1032)/100))))</f>
        <v>0</v>
      </c>
      <c r="BI1032" s="57">
        <f>IF(ISERROR(IF(B1032=C1032,X1032/C1032,(INT(X1032/B1032)+(((X1032-B1032*INT(X1032/B1032)))/C1032)/100))),0,(IF(B1032=C1032,X1032/C1032,(INT(X1032/B1032)+(((X1032-B1032*INT(X1032/B1032)))/C1032)/100))))</f>
        <v>0</v>
      </c>
      <c r="BJ1032" s="57">
        <f>IF(ISERROR(IF(B1032=C1032,Y1032/C1032,(INT(Y1032/B1032)+(((Y1032-B1032*INT(Y1032/B1032)))/C1032)/100))),0,(IF(B1032=C1032,Y1032/C1032,(INT(Y1032/B1032)+(((Y1032-B1032*INT(Y1032/B1032)))/C1032)/100))))</f>
        <v>0</v>
      </c>
      <c r="BK1032" s="1"/>
      <c r="BL1032" s="57">
        <f>IF(ISERROR(IF(B1032=C1032,AA1032/C1032,(INT(AA1032/B1032)+(((AA1032-B1032*INT(AA1032/B1032)))/C1032)/100))),0,(IF(B1032=C1032,AA1032/C1032,(INT(AA1032/B1032)+(((AA1032-B1032*INT(AA1032/B1032)))/C1032)/100))))</f>
        <v>0</v>
      </c>
      <c r="BM1032" s="57">
        <f>IF(ISERROR(IF(B1032=C1032,AB1032/C1032,(INT(AB1032/B1032)+(((AB1032-B1032*INT(AB1032/B1032)))/C1032)/100))),0,(IF(B1032=C1032,AB1032/C1032,(INT(AB1032/B1032)+(((AB1032-B1032*INT(AB1032/B1032)))/C1032)/100))))</f>
        <v>0</v>
      </c>
      <c r="BN1032" s="57">
        <f>IF(ISERROR(IF(B1032=C1032,AC1032/C1032,(INT(AC1032/B1032)+(((AC1032-B1032*INT(AC1032/B1032)))/C1032)/100))),0,(IF(B1032=C1032,AC1032/C1032,(INT(AC1032/B1032)+(((AC1032-B1032*INT(AC1032/B1032)))/C1032)/100))))</f>
        <v>0</v>
      </c>
      <c r="BO1032" s="57">
        <f>IF(ISERROR(IF(B1032=C1032,AD1032/C1032,(INT(AD1032/B1032)+(((AD1032-B1032*INT(AD1032/B1032)))/C1032)/100))),0,(IF(B1032=C1032,AD1032/C1032,(INT(AD1032/B1032)+(((AD1032-B1032*INT(AD1032/B1032)))/C1032)/100))))</f>
        <v>0</v>
      </c>
      <c r="BQ1032" s="37"/>
    </row>
    <row r="1033" spans="1:69" s="10" customFormat="1" hidden="1" x14ac:dyDescent="0.35">
      <c r="A1033" s="62"/>
      <c r="B1033" s="30">
        <v>1</v>
      </c>
      <c r="C1033" s="30">
        <v>1</v>
      </c>
      <c r="D1033" s="28">
        <f>SUM(AA1033:AD1033)</f>
        <v>0</v>
      </c>
      <c r="E1033" s="30">
        <v>0</v>
      </c>
      <c r="F1033" s="30">
        <v>0</v>
      </c>
      <c r="G1033" s="28">
        <f>SUM(D1033:F1033)</f>
        <v>0</v>
      </c>
      <c r="H1033" s="30">
        <v>0</v>
      </c>
      <c r="I1033" s="30">
        <v>0</v>
      </c>
      <c r="J1033" s="30">
        <v>0</v>
      </c>
      <c r="K1033" s="30">
        <v>0</v>
      </c>
      <c r="L1033" s="30">
        <v>0</v>
      </c>
      <c r="M1033" s="30">
        <v>0</v>
      </c>
      <c r="N1033" s="29">
        <f>G1033-SUM(H1033:M1033)</f>
        <v>0</v>
      </c>
      <c r="O1033" s="28">
        <f>SUM(V1033:Y1033)</f>
        <v>0</v>
      </c>
      <c r="P1033" s="29">
        <f>O1033-N1033</f>
        <v>0</v>
      </c>
      <c r="Q1033" s="61" t="str">
        <f>IF(ISERROR(P1033/SUM(H1033:L1033)),"",P1033/SUM(H1033:L1033))</f>
        <v/>
      </c>
      <c r="R1033" s="30">
        <v>0</v>
      </c>
      <c r="S1033" s="28">
        <f>IF(ISERROR(P1033/C1033*R1033),0,(P1033/C1033*R1033))</f>
        <v>0</v>
      </c>
      <c r="T1033" s="60">
        <f>IF(ISERROR(P1033/B1033*AF1033),0,(P1033/B1033*AF1033))</f>
        <v>0</v>
      </c>
      <c r="U1033" s="14"/>
      <c r="V1033" s="30">
        <v>0</v>
      </c>
      <c r="W1033" s="30">
        <v>0</v>
      </c>
      <c r="X1033" s="30">
        <v>0</v>
      </c>
      <c r="Y1033" s="30">
        <v>0</v>
      </c>
      <c r="Z1033" s="59"/>
      <c r="AA1033" s="30">
        <v>0</v>
      </c>
      <c r="AB1033" s="30">
        <v>0</v>
      </c>
      <c r="AC1033" s="30">
        <v>0</v>
      </c>
      <c r="AD1033" s="30">
        <v>0</v>
      </c>
      <c r="AE1033" s="59"/>
      <c r="AF1033" s="54">
        <f>3593.56/40</f>
        <v>89.838999999999999</v>
      </c>
      <c r="AG1033" s="28">
        <f>G1033-O1033</f>
        <v>0</v>
      </c>
      <c r="AH1033" s="58">
        <f>IF(ISERROR(AG1033/B1033*AF1033),0,(AG1033/B1033*AF1033))</f>
        <v>0</v>
      </c>
      <c r="AI1033" s="28">
        <f>SUM(H1033:M1033)</f>
        <v>0</v>
      </c>
      <c r="AJ1033" s="28">
        <f>IF(ISERROR(AI1033/B1033*AF1033),0,(AI1033/B1033*AF1033))</f>
        <v>0</v>
      </c>
      <c r="AK1033" s="28">
        <f>IF(ISERROR(O1033/B1033*AF1033),0,(O1033/B1033*AF1033))</f>
        <v>0</v>
      </c>
      <c r="AL1033" s="1"/>
      <c r="AM1033" s="1"/>
      <c r="AN1033" s="51">
        <f>A1033</f>
        <v>0</v>
      </c>
      <c r="AO1033" s="57">
        <f>IF(ISERROR(IF(B1033=C1033,D1033/C1033,(INT(D1033/B1033)+(((D1033-B1033*INT(D1033/B1033)))/C1033)/100))),0,(IF(B1033=C1033,D1033/C1033,(INT(D1033/B1033)+(((D1033-B1033*INT(D1033/B1033)))/C1033)/100))))</f>
        <v>0</v>
      </c>
      <c r="AP1033" s="57">
        <f>IF(ISERROR(IF(B1033=C1033,E1033/C1033,(INT(E1033/B1033)+(((E1033-B1033*INT(E1033/B1033)))/C1033)/100))),0,(IF(B1033=C1033,E1033/C1033,(INT(E1033/B1033)+(((E1033-B1033*INT(E1033/B1033)))/C1033)/100))))</f>
        <v>0</v>
      </c>
      <c r="AQ1033" s="57">
        <f>IF(ISERROR(IF(B1033=C1033,F1033/C1033,IF((INT(F1033/B1033)+(((F1033-B1033*INT(F1033/B1033)))/C1033)/100)&lt;0,(INT(F1033/B1033)+(((F1033-B1033*INT(F1033/B1033)))/C1033)/100)+(1-(B1033/C1033/100)),(INT(F1033/B1033)+(((F1033-B1033*INT(F1033/B1033)))/C1033)/100)))),0,IF(B1033=C1033,F1033/C1033,IF((INT(F1033/B1033)+(((F1033-B1033*INT(F1033/B1033)))/C1033)/100)&lt;0,(INT(F1033/B1033)+(((F1033-B1033*INT(F1033/B1033)))/C1033)/100)+(1-(B1033/C1033/100)),(INT(F1033/B1033)+(((F1033-B1033*INT(F1033/B1033)))/C1033)/100))))</f>
        <v>0</v>
      </c>
      <c r="AR1033" s="57">
        <f>IF(ISERROR(IF(B1033=C1033,G1033/C1033,(INT(G1033/B1033)+(((G1033-B1033*INT(G1033/B1033)))/C1033)/100))),0,(IF(B1033=C1033,G1033/C1033,(INT(G1033/B1033)+(((G1033-B1033*INT(G1033/B1033)))/C1033)/100))))</f>
        <v>0</v>
      </c>
      <c r="AS1033" s="57">
        <f>IF(ISERROR(IF(B1033=C1033,H1033/C1033,(INT(H1033/B1033)+(((H1033-B1033*INT(H1033/B1033)))/C1033)/100))),0,(IF(B1033=C1033,H1033/C1033,(INT(H1033/B1033)+(((H1033-B1033*INT(H1033/B1033)))/C1033)/100))))</f>
        <v>0</v>
      </c>
      <c r="AT1033" s="57">
        <f>IF(ISERROR(IF(B1033=C1033,I1033/C1033,(INT(I1033/B1033)+(((I1033-B1033*INT(I1033/B1033)))/C1033)/100))),0,(IF(B1033=C1033,I1033/C1033,(INT(I1033/B1033)+(((I1033-B1033*INT(I1033/B1033)))/C1033)/100))))</f>
        <v>0</v>
      </c>
      <c r="AU1033" s="57">
        <f>IF(ISERROR(IF(B1033=C1033,J1033/C1033,(INT(J1033/B1033)+(((J1033-B1033*INT(J1033/B1033)))/C1033)/100))),0,(IF(B1033=C1033,J1033/C1033,(INT(J1033/B1033)+(((J1033-B1033*INT(J1033/B1033)))/C1033)/100))))</f>
        <v>0</v>
      </c>
      <c r="AV1033" s="57">
        <f>IF(ISERROR(IF(B1033=C1033,K1033/C1033,IF((INT(K1033/B1033)+(((K1033-B1033*INT(K1033/B1033)))/C1033)/100)&lt;0,(INT(K1033/B1033)+(((K1033-B1033*INT(K1033/B1033)))/C1033)/100)+(1-(B1033/C1033/100)),(INT(K1033/B1033)+(((K1033-B1033*INT(K1033/B1033)))/C1033)/100)))),0,IF(B1033=C1033,K1033/C1033,IF((INT(K1033/B1033)+(((K1033-B1033*INT(K1033/B1033)))/C1033)/100)&lt;0,(INT(K1033/B1033)+(((K1033-B1033*INT(K1033/B1033)))/C1033)/100)+(1-(B1033/C1033/100)),(INT(K1033/B1033)+(((K1033-B1033*INT(K1033/B1033)))/C1033)/100))))</f>
        <v>0</v>
      </c>
      <c r="AW1033" s="57">
        <f>IF(ISERROR(IF(B1033=C1033,L1033/C1033,(INT(L1033/B1033)+(((L1033-B1033*INT(L1033/B1033)))/C1033)/100))),0,(IF(B1033=C1033,L1033/C1033,(INT(L1033/B1033)+(((L1033-B1033*INT(L1033/B1033)))/C1033)/100))))</f>
        <v>0</v>
      </c>
      <c r="AX1033" s="57">
        <f>IF(ISERROR(IF(B1033=C1033,M1033/C1033,(INT(M1033/B1033)+(((M1033-B1033*INT(M1033/B1033)))/C1033)/100))),0,(IF(B1033=C1033,M1033/C1033,(INT(M1033/B1033)+(((M1033-B1033*INT(M1033/B1033)))/C1033)/100))))</f>
        <v>0</v>
      </c>
      <c r="AY1033" s="57">
        <f>IF(ISERROR(IF(B1033=C1033,N1033/C1033,IF((INT(N1033/B1033)+(((N1033-B1033*INT(N1033/B1033)))/C1033)/100)&lt;0,(INT(N1033/B1033)+(((N1033-B1033*INT(N1033/B1033)))/C1033)/100)+(1-(B1033/C1033/100)),(INT(N1033/B1033)+(((N1033-B1033*INT(N1033/B1033)))/C1033)/100)))),0,IF(B1033=C1033,N1033/C1033,IF((INT(N1033/B1033)+(((N1033-B1033*INT(N1033/B1033)))/C1033)/100)&lt;0,(INT(N1033/B1033)+(((N1033-B1033*INT(N1033/B1033)))/C1033)/100)+(1-(B1033/C1033/100)),(INT(N1033/B1033)+(((N1033-B1033*INT(N1033/B1033)))/C1033)/100))))</f>
        <v>0</v>
      </c>
      <c r="AZ1033" s="57">
        <f>IF(ISERROR(IF(B1033=C1033,O1033/C1033,(INT(O1033/B1033)+(((O1033-B1033*INT(O1033/B1033)))/C1033)/100))),0,(IF(B1033=C1033,O1033/C1033,(INT(O1033/B1033)+(((O1033-B1033*INT(O1033/B1033)))/C1033)/100))))</f>
        <v>0</v>
      </c>
      <c r="BA1033" s="57">
        <f>IF(ISERROR(IF(B1033=C1033,P1033/C1033,IF((INT(P1033/B1033)+(((P1033-B1033*INT(P1033/B1033)))/C1033)/100)&lt;0,(INT(P1033/B1033)+(((P1033-B1033*INT(P1033/B1033)))/C1033)/100)+(1-(B1033/C1033/100)),(INT(P1033/B1033)+(((P1033-B1033*INT(P1033/B1033)))/C1033)/100)))),0,IF(B1033=C1033,P1033/C1033,IF((INT(P1033/B1033)+(((P1033-B1033*INT(P1033/B1033)))/C1033)/100)&lt;0,(INT(P1033/B1033)+(((P1033-B1033*INT(P1033/B1033)))/C1033)/100)+(1-(B1033/C1033/100)),(INT(P1033/B1033)+(((P1033-B1033*INT(P1033/B1033)))/C1033)/100))))</f>
        <v>0</v>
      </c>
      <c r="BB1033" s="28">
        <f>R1033</f>
        <v>0</v>
      </c>
      <c r="BC1033" s="28">
        <f>S1033</f>
        <v>0</v>
      </c>
      <c r="BD1033" s="28">
        <f>AF1033</f>
        <v>89.838999999999999</v>
      </c>
      <c r="BE1033" s="28">
        <f>T1033</f>
        <v>0</v>
      </c>
      <c r="BF1033" s="1"/>
      <c r="BG1033" s="57">
        <f>IF(ISERROR(IF(B1033=C1033,V1033/C1033,(INT(V1033/B1033)+(((V1033-B1033*INT(V1033/B1033)))/C1033)/100))),0,(IF(B1033=C1033,V1033/C1033,(INT(V1033/B1033)+(((V1033-B1033*INT(V1033/B1033)))/C1033)/100))))</f>
        <v>0</v>
      </c>
      <c r="BH1033" s="57">
        <f>IF(ISERROR(IF(B1033=C1033,W1033/C1033,(INT(W1033/B1033)+(((W1033-B1033*INT(W1033/B1033)))/C1033)/100))),0,(IF(B1033=C1033,W1033/C1033,(INT(W1033/B1033)+(((W1033-B1033*INT(W1033/B1033)))/C1033)/100))))</f>
        <v>0</v>
      </c>
      <c r="BI1033" s="57">
        <f>IF(ISERROR(IF(B1033=C1033,X1033/C1033,(INT(X1033/B1033)+(((X1033-B1033*INT(X1033/B1033)))/C1033)/100))),0,(IF(B1033=C1033,X1033/C1033,(INT(X1033/B1033)+(((X1033-B1033*INT(X1033/B1033)))/C1033)/100))))</f>
        <v>0</v>
      </c>
      <c r="BJ1033" s="57">
        <f>IF(ISERROR(IF(B1033=C1033,Y1033/C1033,(INT(Y1033/B1033)+(((Y1033-B1033*INT(Y1033/B1033)))/C1033)/100))),0,(IF(B1033=C1033,Y1033/C1033,(INT(Y1033/B1033)+(((Y1033-B1033*INT(Y1033/B1033)))/C1033)/100))))</f>
        <v>0</v>
      </c>
      <c r="BK1033" s="1"/>
      <c r="BL1033" s="57">
        <f>IF(ISERROR(IF(B1033=C1033,AA1033/C1033,(INT(AA1033/B1033)+(((AA1033-B1033*INT(AA1033/B1033)))/C1033)/100))),0,(IF(B1033=C1033,AA1033/C1033,(INT(AA1033/B1033)+(((AA1033-B1033*INT(AA1033/B1033)))/C1033)/100))))</f>
        <v>0</v>
      </c>
      <c r="BM1033" s="57">
        <f>IF(ISERROR(IF(B1033=C1033,AB1033/C1033,(INT(AB1033/B1033)+(((AB1033-B1033*INT(AB1033/B1033)))/C1033)/100))),0,(IF(B1033=C1033,AB1033/C1033,(INT(AB1033/B1033)+(((AB1033-B1033*INT(AB1033/B1033)))/C1033)/100))))</f>
        <v>0</v>
      </c>
      <c r="BN1033" s="57">
        <f>IF(ISERROR(IF(B1033=C1033,AC1033/C1033,(INT(AC1033/B1033)+(((AC1033-B1033*INT(AC1033/B1033)))/C1033)/100))),0,(IF(B1033=C1033,AC1033/C1033,(INT(AC1033/B1033)+(((AC1033-B1033*INT(AC1033/B1033)))/C1033)/100))))</f>
        <v>0</v>
      </c>
      <c r="BO1033" s="57">
        <f>IF(ISERROR(IF(B1033=C1033,AD1033/C1033,(INT(AD1033/B1033)+(((AD1033-B1033*INT(AD1033/B1033)))/C1033)/100))),0,(IF(B1033=C1033,AD1033/C1033,(INT(AD1033/B1033)+(((AD1033-B1033*INT(AD1033/B1033)))/C1033)/100))))</f>
        <v>0</v>
      </c>
      <c r="BQ1033" s="37"/>
    </row>
    <row r="1034" spans="1:69" s="10" customFormat="1" hidden="1" x14ac:dyDescent="0.35">
      <c r="A1034" s="62"/>
      <c r="B1034" s="30">
        <v>1</v>
      </c>
      <c r="C1034" s="30">
        <v>1</v>
      </c>
      <c r="D1034" s="28">
        <f>SUM(AA1034:AD1034)</f>
        <v>0</v>
      </c>
      <c r="E1034" s="30">
        <v>0</v>
      </c>
      <c r="F1034" s="30">
        <v>0</v>
      </c>
      <c r="G1034" s="28">
        <f>SUM(D1034:F1034)</f>
        <v>0</v>
      </c>
      <c r="H1034" s="30">
        <v>0</v>
      </c>
      <c r="I1034" s="30">
        <v>0</v>
      </c>
      <c r="J1034" s="30">
        <v>0</v>
      </c>
      <c r="K1034" s="30">
        <v>0</v>
      </c>
      <c r="L1034" s="30">
        <v>0</v>
      </c>
      <c r="M1034" s="30">
        <v>0</v>
      </c>
      <c r="N1034" s="29">
        <f>G1034-SUM(H1034:M1034)</f>
        <v>0</v>
      </c>
      <c r="O1034" s="28">
        <f>SUM(V1034:Y1034)</f>
        <v>0</v>
      </c>
      <c r="P1034" s="29">
        <f>O1034-N1034</f>
        <v>0</v>
      </c>
      <c r="Q1034" s="61" t="str">
        <f>IF(ISERROR(P1034/SUM(H1034:L1034)),"",P1034/SUM(H1034:L1034))</f>
        <v/>
      </c>
      <c r="R1034" s="30">
        <v>0</v>
      </c>
      <c r="S1034" s="28">
        <f>IF(ISERROR(P1034/C1034*R1034),0,(P1034/C1034*R1034))</f>
        <v>0</v>
      </c>
      <c r="T1034" s="60">
        <f>IF(ISERROR(P1034/B1034*AF1034),0,(P1034/B1034*AF1034))</f>
        <v>0</v>
      </c>
      <c r="U1034" s="14"/>
      <c r="V1034" s="30">
        <v>0</v>
      </c>
      <c r="W1034" s="30">
        <v>0</v>
      </c>
      <c r="X1034" s="30">
        <v>0</v>
      </c>
      <c r="Y1034" s="30">
        <v>0</v>
      </c>
      <c r="Z1034" s="59"/>
      <c r="AA1034" s="30">
        <v>0</v>
      </c>
      <c r="AB1034" s="30">
        <v>0</v>
      </c>
      <c r="AC1034" s="30">
        <v>0</v>
      </c>
      <c r="AD1034" s="30">
        <v>0</v>
      </c>
      <c r="AE1034" s="59"/>
      <c r="AF1034" s="54">
        <f>3593.56/40</f>
        <v>89.838999999999999</v>
      </c>
      <c r="AG1034" s="28">
        <f>G1034-O1034</f>
        <v>0</v>
      </c>
      <c r="AH1034" s="58">
        <f>IF(ISERROR(AG1034/B1034*AF1034),0,(AG1034/B1034*AF1034))</f>
        <v>0</v>
      </c>
      <c r="AI1034" s="28">
        <f>SUM(H1034:M1034)</f>
        <v>0</v>
      </c>
      <c r="AJ1034" s="28">
        <f>IF(ISERROR(AI1034/B1034*AF1034),0,(AI1034/B1034*AF1034))</f>
        <v>0</v>
      </c>
      <c r="AK1034" s="28">
        <f>IF(ISERROR(O1034/B1034*AF1034),0,(O1034/B1034*AF1034))</f>
        <v>0</v>
      </c>
      <c r="AL1034" s="1"/>
      <c r="AM1034" s="1"/>
      <c r="AN1034" s="51">
        <f>A1034</f>
        <v>0</v>
      </c>
      <c r="AO1034" s="57">
        <f>IF(ISERROR(IF(B1034=C1034,D1034/C1034,(INT(D1034/B1034)+(((D1034-B1034*INT(D1034/B1034)))/C1034)/100))),0,(IF(B1034=C1034,D1034/C1034,(INT(D1034/B1034)+(((D1034-B1034*INT(D1034/B1034)))/C1034)/100))))</f>
        <v>0</v>
      </c>
      <c r="AP1034" s="57">
        <f>IF(ISERROR(IF(B1034=C1034,E1034/C1034,(INT(E1034/B1034)+(((E1034-B1034*INT(E1034/B1034)))/C1034)/100))),0,(IF(B1034=C1034,E1034/C1034,(INT(E1034/B1034)+(((E1034-B1034*INT(E1034/B1034)))/C1034)/100))))</f>
        <v>0</v>
      </c>
      <c r="AQ1034" s="57">
        <f>IF(ISERROR(IF(B1034=C1034,F1034/C1034,IF((INT(F1034/B1034)+(((F1034-B1034*INT(F1034/B1034)))/C1034)/100)&lt;0,(INT(F1034/B1034)+(((F1034-B1034*INT(F1034/B1034)))/C1034)/100)+(1-(B1034/C1034/100)),(INT(F1034/B1034)+(((F1034-B1034*INT(F1034/B1034)))/C1034)/100)))),0,IF(B1034=C1034,F1034/C1034,IF((INT(F1034/B1034)+(((F1034-B1034*INT(F1034/B1034)))/C1034)/100)&lt;0,(INT(F1034/B1034)+(((F1034-B1034*INT(F1034/B1034)))/C1034)/100)+(1-(B1034/C1034/100)),(INT(F1034/B1034)+(((F1034-B1034*INT(F1034/B1034)))/C1034)/100))))</f>
        <v>0</v>
      </c>
      <c r="AR1034" s="57">
        <f>IF(ISERROR(IF(B1034=C1034,G1034/C1034,(INT(G1034/B1034)+(((G1034-B1034*INT(G1034/B1034)))/C1034)/100))),0,(IF(B1034=C1034,G1034/C1034,(INT(G1034/B1034)+(((G1034-B1034*INT(G1034/B1034)))/C1034)/100))))</f>
        <v>0</v>
      </c>
      <c r="AS1034" s="57">
        <f>IF(ISERROR(IF(B1034=C1034,H1034/C1034,(INT(H1034/B1034)+(((H1034-B1034*INT(H1034/B1034)))/C1034)/100))),0,(IF(B1034=C1034,H1034/C1034,(INT(H1034/B1034)+(((H1034-B1034*INT(H1034/B1034)))/C1034)/100))))</f>
        <v>0</v>
      </c>
      <c r="AT1034" s="57">
        <f>IF(ISERROR(IF(B1034=C1034,I1034/C1034,(INT(I1034/B1034)+(((I1034-B1034*INT(I1034/B1034)))/C1034)/100))),0,(IF(B1034=C1034,I1034/C1034,(INT(I1034/B1034)+(((I1034-B1034*INT(I1034/B1034)))/C1034)/100))))</f>
        <v>0</v>
      </c>
      <c r="AU1034" s="57">
        <f>IF(ISERROR(IF(B1034=C1034,J1034/C1034,(INT(J1034/B1034)+(((J1034-B1034*INT(J1034/B1034)))/C1034)/100))),0,(IF(B1034=C1034,J1034/C1034,(INT(J1034/B1034)+(((J1034-B1034*INT(J1034/B1034)))/C1034)/100))))</f>
        <v>0</v>
      </c>
      <c r="AV1034" s="57">
        <f>IF(ISERROR(IF(B1034=C1034,K1034/C1034,IF((INT(K1034/B1034)+(((K1034-B1034*INT(K1034/B1034)))/C1034)/100)&lt;0,(INT(K1034/B1034)+(((K1034-B1034*INT(K1034/B1034)))/C1034)/100)+(1-(B1034/C1034/100)),(INT(K1034/B1034)+(((K1034-B1034*INT(K1034/B1034)))/C1034)/100)))),0,IF(B1034=C1034,K1034/C1034,IF((INT(K1034/B1034)+(((K1034-B1034*INT(K1034/B1034)))/C1034)/100)&lt;0,(INT(K1034/B1034)+(((K1034-B1034*INT(K1034/B1034)))/C1034)/100)+(1-(B1034/C1034/100)),(INT(K1034/B1034)+(((K1034-B1034*INT(K1034/B1034)))/C1034)/100))))</f>
        <v>0</v>
      </c>
      <c r="AW1034" s="57">
        <f>IF(ISERROR(IF(B1034=C1034,L1034/C1034,(INT(L1034/B1034)+(((L1034-B1034*INT(L1034/B1034)))/C1034)/100))),0,(IF(B1034=C1034,L1034/C1034,(INT(L1034/B1034)+(((L1034-B1034*INT(L1034/B1034)))/C1034)/100))))</f>
        <v>0</v>
      </c>
      <c r="AX1034" s="57">
        <f>IF(ISERROR(IF(B1034=C1034,M1034/C1034,(INT(M1034/B1034)+(((M1034-B1034*INT(M1034/B1034)))/C1034)/100))),0,(IF(B1034=C1034,M1034/C1034,(INT(M1034/B1034)+(((M1034-B1034*INT(M1034/B1034)))/C1034)/100))))</f>
        <v>0</v>
      </c>
      <c r="AY1034" s="57">
        <f>IF(ISERROR(IF(B1034=C1034,N1034/C1034,IF((INT(N1034/B1034)+(((N1034-B1034*INT(N1034/B1034)))/C1034)/100)&lt;0,(INT(N1034/B1034)+(((N1034-B1034*INT(N1034/B1034)))/C1034)/100)+(1-(B1034/C1034/100)),(INT(N1034/B1034)+(((N1034-B1034*INT(N1034/B1034)))/C1034)/100)))),0,IF(B1034=C1034,N1034/C1034,IF((INT(N1034/B1034)+(((N1034-B1034*INT(N1034/B1034)))/C1034)/100)&lt;0,(INT(N1034/B1034)+(((N1034-B1034*INT(N1034/B1034)))/C1034)/100)+(1-(B1034/C1034/100)),(INT(N1034/B1034)+(((N1034-B1034*INT(N1034/B1034)))/C1034)/100))))</f>
        <v>0</v>
      </c>
      <c r="AZ1034" s="57">
        <f>IF(ISERROR(IF(B1034=C1034,O1034/C1034,(INT(O1034/B1034)+(((O1034-B1034*INT(O1034/B1034)))/C1034)/100))),0,(IF(B1034=C1034,O1034/C1034,(INT(O1034/B1034)+(((O1034-B1034*INT(O1034/B1034)))/C1034)/100))))</f>
        <v>0</v>
      </c>
      <c r="BA1034" s="57">
        <f>IF(ISERROR(IF(B1034=C1034,P1034/C1034,IF((INT(P1034/B1034)+(((P1034-B1034*INT(P1034/B1034)))/C1034)/100)&lt;0,(INT(P1034/B1034)+(((P1034-B1034*INT(P1034/B1034)))/C1034)/100)+(1-(B1034/C1034/100)),(INT(P1034/B1034)+(((P1034-B1034*INT(P1034/B1034)))/C1034)/100)))),0,IF(B1034=C1034,P1034/C1034,IF((INT(P1034/B1034)+(((P1034-B1034*INT(P1034/B1034)))/C1034)/100)&lt;0,(INT(P1034/B1034)+(((P1034-B1034*INT(P1034/B1034)))/C1034)/100)+(1-(B1034/C1034/100)),(INT(P1034/B1034)+(((P1034-B1034*INT(P1034/B1034)))/C1034)/100))))</f>
        <v>0</v>
      </c>
      <c r="BB1034" s="28">
        <f>R1034</f>
        <v>0</v>
      </c>
      <c r="BC1034" s="28">
        <f>S1034</f>
        <v>0</v>
      </c>
      <c r="BD1034" s="28">
        <f>AF1034</f>
        <v>89.838999999999999</v>
      </c>
      <c r="BE1034" s="28">
        <f>T1034</f>
        <v>0</v>
      </c>
      <c r="BF1034" s="1"/>
      <c r="BG1034" s="57">
        <f>IF(ISERROR(IF(B1034=C1034,V1034/C1034,(INT(V1034/B1034)+(((V1034-B1034*INT(V1034/B1034)))/C1034)/100))),0,(IF(B1034=C1034,V1034/C1034,(INT(V1034/B1034)+(((V1034-B1034*INT(V1034/B1034)))/C1034)/100))))</f>
        <v>0</v>
      </c>
      <c r="BH1034" s="57">
        <f>IF(ISERROR(IF(B1034=C1034,W1034/C1034,(INT(W1034/B1034)+(((W1034-B1034*INT(W1034/B1034)))/C1034)/100))),0,(IF(B1034=C1034,W1034/C1034,(INT(W1034/B1034)+(((W1034-B1034*INT(W1034/B1034)))/C1034)/100))))</f>
        <v>0</v>
      </c>
      <c r="BI1034" s="57">
        <f>IF(ISERROR(IF(B1034=C1034,X1034/C1034,(INT(X1034/B1034)+(((X1034-B1034*INT(X1034/B1034)))/C1034)/100))),0,(IF(B1034=C1034,X1034/C1034,(INT(X1034/B1034)+(((X1034-B1034*INT(X1034/B1034)))/C1034)/100))))</f>
        <v>0</v>
      </c>
      <c r="BJ1034" s="57">
        <f>IF(ISERROR(IF(B1034=C1034,Y1034/C1034,(INT(Y1034/B1034)+(((Y1034-B1034*INT(Y1034/B1034)))/C1034)/100))),0,(IF(B1034=C1034,Y1034/C1034,(INT(Y1034/B1034)+(((Y1034-B1034*INT(Y1034/B1034)))/C1034)/100))))</f>
        <v>0</v>
      </c>
      <c r="BK1034" s="1"/>
      <c r="BL1034" s="57">
        <f>IF(ISERROR(IF(B1034=C1034,AA1034/C1034,(INT(AA1034/B1034)+(((AA1034-B1034*INT(AA1034/B1034)))/C1034)/100))),0,(IF(B1034=C1034,AA1034/C1034,(INT(AA1034/B1034)+(((AA1034-B1034*INT(AA1034/B1034)))/C1034)/100))))</f>
        <v>0</v>
      </c>
      <c r="BM1034" s="57">
        <f>IF(ISERROR(IF(B1034=C1034,AB1034/C1034,(INT(AB1034/B1034)+(((AB1034-B1034*INT(AB1034/B1034)))/C1034)/100))),0,(IF(B1034=C1034,AB1034/C1034,(INT(AB1034/B1034)+(((AB1034-B1034*INT(AB1034/B1034)))/C1034)/100))))</f>
        <v>0</v>
      </c>
      <c r="BN1034" s="57">
        <f>IF(ISERROR(IF(B1034=C1034,AC1034/C1034,(INT(AC1034/B1034)+(((AC1034-B1034*INT(AC1034/B1034)))/C1034)/100))),0,(IF(B1034=C1034,AC1034/C1034,(INT(AC1034/B1034)+(((AC1034-B1034*INT(AC1034/B1034)))/C1034)/100))))</f>
        <v>0</v>
      </c>
      <c r="BO1034" s="57">
        <f>IF(ISERROR(IF(B1034=C1034,AD1034/C1034,(INT(AD1034/B1034)+(((AD1034-B1034*INT(AD1034/B1034)))/C1034)/100))),0,(IF(B1034=C1034,AD1034/C1034,(INT(AD1034/B1034)+(((AD1034-B1034*INT(AD1034/B1034)))/C1034)/100))))</f>
        <v>0</v>
      </c>
      <c r="BQ1034" s="37"/>
    </row>
    <row r="1035" spans="1:69" s="10" customFormat="1" hidden="1" x14ac:dyDescent="0.35">
      <c r="A1035" s="63"/>
      <c r="B1035" s="30">
        <v>1</v>
      </c>
      <c r="C1035" s="30">
        <v>1</v>
      </c>
      <c r="D1035" s="28">
        <f>SUM(AA1035:AD1035)</f>
        <v>0</v>
      </c>
      <c r="E1035" s="30">
        <v>0</v>
      </c>
      <c r="F1035" s="30">
        <v>0</v>
      </c>
      <c r="G1035" s="28">
        <f>SUM(D1035:F1035)</f>
        <v>0</v>
      </c>
      <c r="H1035" s="30">
        <v>0</v>
      </c>
      <c r="I1035" s="30">
        <v>0</v>
      </c>
      <c r="J1035" s="30">
        <v>0</v>
      </c>
      <c r="K1035" s="30">
        <v>0</v>
      </c>
      <c r="L1035" s="30">
        <v>0</v>
      </c>
      <c r="M1035" s="30">
        <v>0</v>
      </c>
      <c r="N1035" s="29">
        <f>G1035-SUM(H1035:M1035)</f>
        <v>0</v>
      </c>
      <c r="O1035" s="28">
        <f>SUM(V1035:Y1035)</f>
        <v>0</v>
      </c>
      <c r="P1035" s="29">
        <f>O1035-N1035</f>
        <v>0</v>
      </c>
      <c r="Q1035" s="61" t="str">
        <f>IF(ISERROR(P1035/SUM(H1035:L1035)),"",P1035/SUM(H1035:L1035))</f>
        <v/>
      </c>
      <c r="R1035" s="30">
        <v>0</v>
      </c>
      <c r="S1035" s="28">
        <f>IF(ISERROR(P1035/C1035*R1035),0,(P1035/C1035*R1035))</f>
        <v>0</v>
      </c>
      <c r="T1035" s="60">
        <f>IF(ISERROR(P1035/B1035*AF1035),0,(P1035/B1035*AF1035))</f>
        <v>0</v>
      </c>
      <c r="U1035" s="14"/>
      <c r="V1035" s="30">
        <v>0</v>
      </c>
      <c r="W1035" s="30">
        <v>0</v>
      </c>
      <c r="X1035" s="30">
        <v>0</v>
      </c>
      <c r="Y1035" s="30">
        <v>0</v>
      </c>
      <c r="Z1035" s="59"/>
      <c r="AA1035" s="30">
        <v>0</v>
      </c>
      <c r="AB1035" s="30">
        <v>0</v>
      </c>
      <c r="AC1035" s="30">
        <v>0</v>
      </c>
      <c r="AD1035" s="30">
        <v>0</v>
      </c>
      <c r="AE1035" s="59"/>
      <c r="AF1035" s="54">
        <f>3593.56/40</f>
        <v>89.838999999999999</v>
      </c>
      <c r="AG1035" s="28">
        <f>G1035-O1035</f>
        <v>0</v>
      </c>
      <c r="AH1035" s="58">
        <f>IF(ISERROR(AG1035/B1035*AF1035),0,(AG1035/B1035*AF1035))</f>
        <v>0</v>
      </c>
      <c r="AI1035" s="28">
        <f>SUM(H1035:M1035)</f>
        <v>0</v>
      </c>
      <c r="AJ1035" s="28">
        <f>IF(ISERROR(AI1035/B1035*AF1035),0,(AI1035/B1035*AF1035))</f>
        <v>0</v>
      </c>
      <c r="AK1035" s="28">
        <f>IF(ISERROR(O1035/B1035*AF1035),0,(O1035/B1035*AF1035))</f>
        <v>0</v>
      </c>
      <c r="AL1035" s="1"/>
      <c r="AM1035" s="1"/>
      <c r="AN1035" s="51">
        <f>A1035</f>
        <v>0</v>
      </c>
      <c r="AO1035" s="57">
        <f>IF(ISERROR(IF(B1035=C1035,D1035/C1035,(INT(D1035/B1035)+(((D1035-B1035*INT(D1035/B1035)))/C1035)/100))),0,(IF(B1035=C1035,D1035/C1035,(INT(D1035/B1035)+(((D1035-B1035*INT(D1035/B1035)))/C1035)/100))))</f>
        <v>0</v>
      </c>
      <c r="AP1035" s="57">
        <f>IF(ISERROR(IF(B1035=C1035,E1035/C1035,(INT(E1035/B1035)+(((E1035-B1035*INT(E1035/B1035)))/C1035)/100))),0,(IF(B1035=C1035,E1035/C1035,(INT(E1035/B1035)+(((E1035-B1035*INT(E1035/B1035)))/C1035)/100))))</f>
        <v>0</v>
      </c>
      <c r="AQ1035" s="57">
        <f>IF(ISERROR(IF(B1035=C1035,F1035/C1035,IF((INT(F1035/B1035)+(((F1035-B1035*INT(F1035/B1035)))/C1035)/100)&lt;0,(INT(F1035/B1035)+(((F1035-B1035*INT(F1035/B1035)))/C1035)/100)+(1-(B1035/C1035/100)),(INT(F1035/B1035)+(((F1035-B1035*INT(F1035/B1035)))/C1035)/100)))),0,IF(B1035=C1035,F1035/C1035,IF((INT(F1035/B1035)+(((F1035-B1035*INT(F1035/B1035)))/C1035)/100)&lt;0,(INT(F1035/B1035)+(((F1035-B1035*INT(F1035/B1035)))/C1035)/100)+(1-(B1035/C1035/100)),(INT(F1035/B1035)+(((F1035-B1035*INT(F1035/B1035)))/C1035)/100))))</f>
        <v>0</v>
      </c>
      <c r="AR1035" s="57">
        <f>IF(ISERROR(IF(B1035=C1035,G1035/C1035,(INT(G1035/B1035)+(((G1035-B1035*INT(G1035/B1035)))/C1035)/100))),0,(IF(B1035=C1035,G1035/C1035,(INT(G1035/B1035)+(((G1035-B1035*INT(G1035/B1035)))/C1035)/100))))</f>
        <v>0</v>
      </c>
      <c r="AS1035" s="57">
        <f>IF(ISERROR(IF(B1035=C1035,H1035/C1035,(INT(H1035/B1035)+(((H1035-B1035*INT(H1035/B1035)))/C1035)/100))),0,(IF(B1035=C1035,H1035/C1035,(INT(H1035/B1035)+(((H1035-B1035*INT(H1035/B1035)))/C1035)/100))))</f>
        <v>0</v>
      </c>
      <c r="AT1035" s="57">
        <f>IF(ISERROR(IF(B1035=C1035,I1035/C1035,(INT(I1035/B1035)+(((I1035-B1035*INT(I1035/B1035)))/C1035)/100))),0,(IF(B1035=C1035,I1035/C1035,(INT(I1035/B1035)+(((I1035-B1035*INT(I1035/B1035)))/C1035)/100))))</f>
        <v>0</v>
      </c>
      <c r="AU1035" s="57">
        <f>IF(ISERROR(IF(B1035=C1035,J1035/C1035,(INT(J1035/B1035)+(((J1035-B1035*INT(J1035/B1035)))/C1035)/100))),0,(IF(B1035=C1035,J1035/C1035,(INT(J1035/B1035)+(((J1035-B1035*INT(J1035/B1035)))/C1035)/100))))</f>
        <v>0</v>
      </c>
      <c r="AV1035" s="57">
        <f>IF(ISERROR(IF(B1035=C1035,K1035/C1035,IF((INT(K1035/B1035)+(((K1035-B1035*INT(K1035/B1035)))/C1035)/100)&lt;0,(INT(K1035/B1035)+(((K1035-B1035*INT(K1035/B1035)))/C1035)/100)+(1-(B1035/C1035/100)),(INT(K1035/B1035)+(((K1035-B1035*INT(K1035/B1035)))/C1035)/100)))),0,IF(B1035=C1035,K1035/C1035,IF((INT(K1035/B1035)+(((K1035-B1035*INT(K1035/B1035)))/C1035)/100)&lt;0,(INT(K1035/B1035)+(((K1035-B1035*INT(K1035/B1035)))/C1035)/100)+(1-(B1035/C1035/100)),(INT(K1035/B1035)+(((K1035-B1035*INT(K1035/B1035)))/C1035)/100))))</f>
        <v>0</v>
      </c>
      <c r="AW1035" s="57">
        <f>IF(ISERROR(IF(B1035=C1035,L1035/C1035,(INT(L1035/B1035)+(((L1035-B1035*INT(L1035/B1035)))/C1035)/100))),0,(IF(B1035=C1035,L1035/C1035,(INT(L1035/B1035)+(((L1035-B1035*INT(L1035/B1035)))/C1035)/100))))</f>
        <v>0</v>
      </c>
      <c r="AX1035" s="57">
        <f>IF(ISERROR(IF(B1035=C1035,M1035/C1035,(INT(M1035/B1035)+(((M1035-B1035*INT(M1035/B1035)))/C1035)/100))),0,(IF(B1035=C1035,M1035/C1035,(INT(M1035/B1035)+(((M1035-B1035*INT(M1035/B1035)))/C1035)/100))))</f>
        <v>0</v>
      </c>
      <c r="AY1035" s="57">
        <f>IF(ISERROR(IF(B1035=C1035,N1035/C1035,IF((INT(N1035/B1035)+(((N1035-B1035*INT(N1035/B1035)))/C1035)/100)&lt;0,(INT(N1035/B1035)+(((N1035-B1035*INT(N1035/B1035)))/C1035)/100)+(1-(B1035/C1035/100)),(INT(N1035/B1035)+(((N1035-B1035*INT(N1035/B1035)))/C1035)/100)))),0,IF(B1035=C1035,N1035/C1035,IF((INT(N1035/B1035)+(((N1035-B1035*INT(N1035/B1035)))/C1035)/100)&lt;0,(INT(N1035/B1035)+(((N1035-B1035*INT(N1035/B1035)))/C1035)/100)+(1-(B1035/C1035/100)),(INT(N1035/B1035)+(((N1035-B1035*INT(N1035/B1035)))/C1035)/100))))</f>
        <v>0</v>
      </c>
      <c r="AZ1035" s="57">
        <f>IF(ISERROR(IF(B1035=C1035,O1035/C1035,(INT(O1035/B1035)+(((O1035-B1035*INT(O1035/B1035)))/C1035)/100))),0,(IF(B1035=C1035,O1035/C1035,(INT(O1035/B1035)+(((O1035-B1035*INT(O1035/B1035)))/C1035)/100))))</f>
        <v>0</v>
      </c>
      <c r="BA1035" s="57">
        <f>IF(ISERROR(IF(B1035=C1035,P1035/C1035,IF((INT(P1035/B1035)+(((P1035-B1035*INT(P1035/B1035)))/C1035)/100)&lt;0,(INT(P1035/B1035)+(((P1035-B1035*INT(P1035/B1035)))/C1035)/100)+(1-(B1035/C1035/100)),(INT(P1035/B1035)+(((P1035-B1035*INT(P1035/B1035)))/C1035)/100)))),0,IF(B1035=C1035,P1035/C1035,IF((INT(P1035/B1035)+(((P1035-B1035*INT(P1035/B1035)))/C1035)/100)&lt;0,(INT(P1035/B1035)+(((P1035-B1035*INT(P1035/B1035)))/C1035)/100)+(1-(B1035/C1035/100)),(INT(P1035/B1035)+(((P1035-B1035*INT(P1035/B1035)))/C1035)/100))))</f>
        <v>0</v>
      </c>
      <c r="BB1035" s="28">
        <f>R1035</f>
        <v>0</v>
      </c>
      <c r="BC1035" s="28">
        <f>S1035</f>
        <v>0</v>
      </c>
      <c r="BD1035" s="28">
        <f>AF1035</f>
        <v>89.838999999999999</v>
      </c>
      <c r="BE1035" s="28">
        <f>T1035</f>
        <v>0</v>
      </c>
      <c r="BF1035" s="1"/>
      <c r="BG1035" s="57">
        <f>IF(ISERROR(IF(B1035=C1035,V1035/C1035,(INT(V1035/B1035)+(((V1035-B1035*INT(V1035/B1035)))/C1035)/100))),0,(IF(B1035=C1035,V1035/C1035,(INT(V1035/B1035)+(((V1035-B1035*INT(V1035/B1035)))/C1035)/100))))</f>
        <v>0</v>
      </c>
      <c r="BH1035" s="57">
        <f>IF(ISERROR(IF(B1035=C1035,W1035/C1035,(INT(W1035/B1035)+(((W1035-B1035*INT(W1035/B1035)))/C1035)/100))),0,(IF(B1035=C1035,W1035/C1035,(INT(W1035/B1035)+(((W1035-B1035*INT(W1035/B1035)))/C1035)/100))))</f>
        <v>0</v>
      </c>
      <c r="BI1035" s="57">
        <f>IF(ISERROR(IF(B1035=C1035,X1035/C1035,(INT(X1035/B1035)+(((X1035-B1035*INT(X1035/B1035)))/C1035)/100))),0,(IF(B1035=C1035,X1035/C1035,(INT(X1035/B1035)+(((X1035-B1035*INT(X1035/B1035)))/C1035)/100))))</f>
        <v>0</v>
      </c>
      <c r="BJ1035" s="57">
        <f>IF(ISERROR(IF(B1035=C1035,Y1035/C1035,(INT(Y1035/B1035)+(((Y1035-B1035*INT(Y1035/B1035)))/C1035)/100))),0,(IF(B1035=C1035,Y1035/C1035,(INT(Y1035/B1035)+(((Y1035-B1035*INT(Y1035/B1035)))/C1035)/100))))</f>
        <v>0</v>
      </c>
      <c r="BK1035" s="1"/>
      <c r="BL1035" s="57">
        <f>IF(ISERROR(IF(B1035=C1035,AA1035/C1035,(INT(AA1035/B1035)+(((AA1035-B1035*INT(AA1035/B1035)))/C1035)/100))),0,(IF(B1035=C1035,AA1035/C1035,(INT(AA1035/B1035)+(((AA1035-B1035*INT(AA1035/B1035)))/C1035)/100))))</f>
        <v>0</v>
      </c>
      <c r="BM1035" s="57">
        <f>IF(ISERROR(IF(B1035=C1035,AB1035/C1035,(INT(AB1035/B1035)+(((AB1035-B1035*INT(AB1035/B1035)))/C1035)/100))),0,(IF(B1035=C1035,AB1035/C1035,(INT(AB1035/B1035)+(((AB1035-B1035*INT(AB1035/B1035)))/C1035)/100))))</f>
        <v>0</v>
      </c>
      <c r="BN1035" s="57">
        <f>IF(ISERROR(IF(B1035=C1035,AC1035/C1035,(INT(AC1035/B1035)+(((AC1035-B1035*INT(AC1035/B1035)))/C1035)/100))),0,(IF(B1035=C1035,AC1035/C1035,(INT(AC1035/B1035)+(((AC1035-B1035*INT(AC1035/B1035)))/C1035)/100))))</f>
        <v>0</v>
      </c>
      <c r="BO1035" s="57">
        <f>IF(ISERROR(IF(B1035=C1035,AD1035/C1035,(INT(AD1035/B1035)+(((AD1035-B1035*INT(AD1035/B1035)))/C1035)/100))),0,(IF(B1035=C1035,AD1035/C1035,(INT(AD1035/B1035)+(((AD1035-B1035*INT(AD1035/B1035)))/C1035)/100))))</f>
        <v>0</v>
      </c>
      <c r="BQ1035" s="37"/>
    </row>
    <row r="1036" spans="1:69" s="10" customFormat="1" hidden="1" x14ac:dyDescent="0.35">
      <c r="A1036" s="56"/>
      <c r="B1036" s="30">
        <v>1</v>
      </c>
      <c r="C1036" s="30">
        <v>1</v>
      </c>
      <c r="D1036" s="28">
        <f>SUM(AA1036:AD1036)</f>
        <v>0</v>
      </c>
      <c r="E1036" s="30">
        <v>0</v>
      </c>
      <c r="F1036" s="30">
        <v>0</v>
      </c>
      <c r="G1036" s="28">
        <f>SUM(D1036:F1036)</f>
        <v>0</v>
      </c>
      <c r="H1036" s="30">
        <v>0</v>
      </c>
      <c r="I1036" s="30">
        <v>0</v>
      </c>
      <c r="J1036" s="30">
        <v>0</v>
      </c>
      <c r="K1036" s="30">
        <v>0</v>
      </c>
      <c r="L1036" s="30">
        <v>0</v>
      </c>
      <c r="M1036" s="30">
        <v>0</v>
      </c>
      <c r="N1036" s="29">
        <f>G1036-SUM(H1036:M1036)</f>
        <v>0</v>
      </c>
      <c r="O1036" s="28">
        <f>SUM(V1036:Y1036)</f>
        <v>0</v>
      </c>
      <c r="P1036" s="29">
        <f>O1036-N1036</f>
        <v>0</v>
      </c>
      <c r="Q1036" s="61" t="str">
        <f>IF(ISERROR(P1036/SUM(H1036:L1036)),"",P1036/SUM(H1036:L1036))</f>
        <v/>
      </c>
      <c r="R1036" s="30">
        <v>0</v>
      </c>
      <c r="S1036" s="28">
        <f>IF(ISERROR(P1036/C1036*R1036),0,(P1036/C1036*R1036))</f>
        <v>0</v>
      </c>
      <c r="T1036" s="60">
        <f>IF(ISERROR(P1036/B1036*AF1036),0,(P1036/B1036*AF1036))</f>
        <v>0</v>
      </c>
      <c r="U1036" s="14"/>
      <c r="V1036" s="30">
        <v>0</v>
      </c>
      <c r="W1036" s="30">
        <v>0</v>
      </c>
      <c r="X1036" s="30">
        <v>0</v>
      </c>
      <c r="Y1036" s="30">
        <v>0</v>
      </c>
      <c r="Z1036" s="59"/>
      <c r="AA1036" s="30">
        <v>0</v>
      </c>
      <c r="AB1036" s="30">
        <v>0</v>
      </c>
      <c r="AC1036" s="30">
        <v>0</v>
      </c>
      <c r="AD1036" s="30">
        <v>0</v>
      </c>
      <c r="AE1036" s="59"/>
      <c r="AF1036" s="54">
        <f>3593.56/40</f>
        <v>89.838999999999999</v>
      </c>
      <c r="AG1036" s="28">
        <f>G1036-O1036</f>
        <v>0</v>
      </c>
      <c r="AH1036" s="58">
        <f>IF(ISERROR(AG1036/B1036*AF1036),0,(AG1036/B1036*AF1036))</f>
        <v>0</v>
      </c>
      <c r="AI1036" s="28">
        <f>SUM(H1036:M1036)</f>
        <v>0</v>
      </c>
      <c r="AJ1036" s="28">
        <f>IF(ISERROR(AI1036/B1036*AF1036),0,(AI1036/B1036*AF1036))</f>
        <v>0</v>
      </c>
      <c r="AK1036" s="28">
        <f>IF(ISERROR(O1036/B1036*AF1036),0,(O1036/B1036*AF1036))</f>
        <v>0</v>
      </c>
      <c r="AL1036" s="1"/>
      <c r="AM1036" s="1"/>
      <c r="AN1036" s="51">
        <f>A1036</f>
        <v>0</v>
      </c>
      <c r="AO1036" s="57">
        <f>IF(ISERROR(IF(B1036=C1036,D1036/C1036,(INT(D1036/B1036)+(((D1036-B1036*INT(D1036/B1036)))/C1036)/100))),0,(IF(B1036=C1036,D1036/C1036,(INT(D1036/B1036)+(((D1036-B1036*INT(D1036/B1036)))/C1036)/100))))</f>
        <v>0</v>
      </c>
      <c r="AP1036" s="57">
        <f>IF(ISERROR(IF(B1036=C1036,E1036/C1036,(INT(E1036/B1036)+(((E1036-B1036*INT(E1036/B1036)))/C1036)/100))),0,(IF(B1036=C1036,E1036/C1036,(INT(E1036/B1036)+(((E1036-B1036*INT(E1036/B1036)))/C1036)/100))))</f>
        <v>0</v>
      </c>
      <c r="AQ1036" s="57">
        <f>IF(ISERROR(IF(B1036=C1036,F1036/C1036,IF((INT(F1036/B1036)+(((F1036-B1036*INT(F1036/B1036)))/C1036)/100)&lt;0,(INT(F1036/B1036)+(((F1036-B1036*INT(F1036/B1036)))/C1036)/100)+(1-(B1036/C1036/100)),(INT(F1036/B1036)+(((F1036-B1036*INT(F1036/B1036)))/C1036)/100)))),0,IF(B1036=C1036,F1036/C1036,IF((INT(F1036/B1036)+(((F1036-B1036*INT(F1036/B1036)))/C1036)/100)&lt;0,(INT(F1036/B1036)+(((F1036-B1036*INT(F1036/B1036)))/C1036)/100)+(1-(B1036/C1036/100)),(INT(F1036/B1036)+(((F1036-B1036*INT(F1036/B1036)))/C1036)/100))))</f>
        <v>0</v>
      </c>
      <c r="AR1036" s="57">
        <f>IF(ISERROR(IF(B1036=C1036,G1036/C1036,(INT(G1036/B1036)+(((G1036-B1036*INT(G1036/B1036)))/C1036)/100))),0,(IF(B1036=C1036,G1036/C1036,(INT(G1036/B1036)+(((G1036-B1036*INT(G1036/B1036)))/C1036)/100))))</f>
        <v>0</v>
      </c>
      <c r="AS1036" s="57">
        <f>IF(ISERROR(IF(B1036=C1036,H1036/C1036,(INT(H1036/B1036)+(((H1036-B1036*INT(H1036/B1036)))/C1036)/100))),0,(IF(B1036=C1036,H1036/C1036,(INT(H1036/B1036)+(((H1036-B1036*INT(H1036/B1036)))/C1036)/100))))</f>
        <v>0</v>
      </c>
      <c r="AT1036" s="57">
        <f>IF(ISERROR(IF(B1036=C1036,I1036/C1036,(INT(I1036/B1036)+(((I1036-B1036*INT(I1036/B1036)))/C1036)/100))),0,(IF(B1036=C1036,I1036/C1036,(INT(I1036/B1036)+(((I1036-B1036*INT(I1036/B1036)))/C1036)/100))))</f>
        <v>0</v>
      </c>
      <c r="AU1036" s="57">
        <f>IF(ISERROR(IF(B1036=C1036,J1036/C1036,(INT(J1036/B1036)+(((J1036-B1036*INT(J1036/B1036)))/C1036)/100))),0,(IF(B1036=C1036,J1036/C1036,(INT(J1036/B1036)+(((J1036-B1036*INT(J1036/B1036)))/C1036)/100))))</f>
        <v>0</v>
      </c>
      <c r="AV1036" s="57">
        <f>IF(ISERROR(IF(B1036=C1036,K1036/C1036,IF((INT(K1036/B1036)+(((K1036-B1036*INT(K1036/B1036)))/C1036)/100)&lt;0,(INT(K1036/B1036)+(((K1036-B1036*INT(K1036/B1036)))/C1036)/100)+(1-(B1036/C1036/100)),(INT(K1036/B1036)+(((K1036-B1036*INT(K1036/B1036)))/C1036)/100)))),0,IF(B1036=C1036,K1036/C1036,IF((INT(K1036/B1036)+(((K1036-B1036*INT(K1036/B1036)))/C1036)/100)&lt;0,(INT(K1036/B1036)+(((K1036-B1036*INT(K1036/B1036)))/C1036)/100)+(1-(B1036/C1036/100)),(INT(K1036/B1036)+(((K1036-B1036*INT(K1036/B1036)))/C1036)/100))))</f>
        <v>0</v>
      </c>
      <c r="AW1036" s="57">
        <f>IF(ISERROR(IF(B1036=C1036,L1036/C1036,(INT(L1036/B1036)+(((L1036-B1036*INT(L1036/B1036)))/C1036)/100))),0,(IF(B1036=C1036,L1036/C1036,(INT(L1036/B1036)+(((L1036-B1036*INT(L1036/B1036)))/C1036)/100))))</f>
        <v>0</v>
      </c>
      <c r="AX1036" s="57">
        <f>IF(ISERROR(IF(B1036=C1036,M1036/C1036,(INT(M1036/B1036)+(((M1036-B1036*INT(M1036/B1036)))/C1036)/100))),0,(IF(B1036=C1036,M1036/C1036,(INT(M1036/B1036)+(((M1036-B1036*INT(M1036/B1036)))/C1036)/100))))</f>
        <v>0</v>
      </c>
      <c r="AY1036" s="57">
        <f>IF(ISERROR(IF(B1036=C1036,N1036/C1036,IF((INT(N1036/B1036)+(((N1036-B1036*INT(N1036/B1036)))/C1036)/100)&lt;0,(INT(N1036/B1036)+(((N1036-B1036*INT(N1036/B1036)))/C1036)/100)+(1-(B1036/C1036/100)),(INT(N1036/B1036)+(((N1036-B1036*INT(N1036/B1036)))/C1036)/100)))),0,IF(B1036=C1036,N1036/C1036,IF((INT(N1036/B1036)+(((N1036-B1036*INT(N1036/B1036)))/C1036)/100)&lt;0,(INT(N1036/B1036)+(((N1036-B1036*INT(N1036/B1036)))/C1036)/100)+(1-(B1036/C1036/100)),(INT(N1036/B1036)+(((N1036-B1036*INT(N1036/B1036)))/C1036)/100))))</f>
        <v>0</v>
      </c>
      <c r="AZ1036" s="57">
        <f>IF(ISERROR(IF(B1036=C1036,O1036/C1036,(INT(O1036/B1036)+(((O1036-B1036*INT(O1036/B1036)))/C1036)/100))),0,(IF(B1036=C1036,O1036/C1036,(INT(O1036/B1036)+(((O1036-B1036*INT(O1036/B1036)))/C1036)/100))))</f>
        <v>0</v>
      </c>
      <c r="BA1036" s="57">
        <f>IF(ISERROR(IF(B1036=C1036,P1036/C1036,IF((INT(P1036/B1036)+(((P1036-B1036*INT(P1036/B1036)))/C1036)/100)&lt;0,(INT(P1036/B1036)+(((P1036-B1036*INT(P1036/B1036)))/C1036)/100)+(1-(B1036/C1036/100)),(INT(P1036/B1036)+(((P1036-B1036*INT(P1036/B1036)))/C1036)/100)))),0,IF(B1036=C1036,P1036/C1036,IF((INT(P1036/B1036)+(((P1036-B1036*INT(P1036/B1036)))/C1036)/100)&lt;0,(INT(P1036/B1036)+(((P1036-B1036*INT(P1036/B1036)))/C1036)/100)+(1-(B1036/C1036/100)),(INT(P1036/B1036)+(((P1036-B1036*INT(P1036/B1036)))/C1036)/100))))</f>
        <v>0</v>
      </c>
      <c r="BB1036" s="28">
        <f>R1036</f>
        <v>0</v>
      </c>
      <c r="BC1036" s="28">
        <f>S1036</f>
        <v>0</v>
      </c>
      <c r="BD1036" s="28">
        <f>AF1036</f>
        <v>89.838999999999999</v>
      </c>
      <c r="BE1036" s="28">
        <f>T1036</f>
        <v>0</v>
      </c>
      <c r="BF1036" s="1"/>
      <c r="BG1036" s="57">
        <f>IF(ISERROR(IF(B1036=C1036,V1036/C1036,(INT(V1036/B1036)+(((V1036-B1036*INT(V1036/B1036)))/C1036)/100))),0,(IF(B1036=C1036,V1036/C1036,(INT(V1036/B1036)+(((V1036-B1036*INT(V1036/B1036)))/C1036)/100))))</f>
        <v>0</v>
      </c>
      <c r="BH1036" s="57">
        <f>IF(ISERROR(IF(B1036=C1036,W1036/C1036,(INT(W1036/B1036)+(((W1036-B1036*INT(W1036/B1036)))/C1036)/100))),0,(IF(B1036=C1036,W1036/C1036,(INT(W1036/B1036)+(((W1036-B1036*INT(W1036/B1036)))/C1036)/100))))</f>
        <v>0</v>
      </c>
      <c r="BI1036" s="57">
        <f>IF(ISERROR(IF(B1036=C1036,X1036/C1036,(INT(X1036/B1036)+(((X1036-B1036*INT(X1036/B1036)))/C1036)/100))),0,(IF(B1036=C1036,X1036/C1036,(INT(X1036/B1036)+(((X1036-B1036*INT(X1036/B1036)))/C1036)/100))))</f>
        <v>0</v>
      </c>
      <c r="BJ1036" s="57">
        <f>IF(ISERROR(IF(B1036=C1036,Y1036/C1036,(INT(Y1036/B1036)+(((Y1036-B1036*INT(Y1036/B1036)))/C1036)/100))),0,(IF(B1036=C1036,Y1036/C1036,(INT(Y1036/B1036)+(((Y1036-B1036*INT(Y1036/B1036)))/C1036)/100))))</f>
        <v>0</v>
      </c>
      <c r="BK1036" s="1"/>
      <c r="BL1036" s="57">
        <f>IF(ISERROR(IF(B1036=C1036,AA1036/C1036,(INT(AA1036/B1036)+(((AA1036-B1036*INT(AA1036/B1036)))/C1036)/100))),0,(IF(B1036=C1036,AA1036/C1036,(INT(AA1036/B1036)+(((AA1036-B1036*INT(AA1036/B1036)))/C1036)/100))))</f>
        <v>0</v>
      </c>
      <c r="BM1036" s="57">
        <f>IF(ISERROR(IF(B1036=C1036,AB1036/C1036,(INT(AB1036/B1036)+(((AB1036-B1036*INT(AB1036/B1036)))/C1036)/100))),0,(IF(B1036=C1036,AB1036/C1036,(INT(AB1036/B1036)+(((AB1036-B1036*INT(AB1036/B1036)))/C1036)/100))))</f>
        <v>0</v>
      </c>
      <c r="BN1036" s="57">
        <f>IF(ISERROR(IF(B1036=C1036,AC1036/C1036,(INT(AC1036/B1036)+(((AC1036-B1036*INT(AC1036/B1036)))/C1036)/100))),0,(IF(B1036=C1036,AC1036/C1036,(INT(AC1036/B1036)+(((AC1036-B1036*INT(AC1036/B1036)))/C1036)/100))))</f>
        <v>0</v>
      </c>
      <c r="BO1036" s="57">
        <f>IF(ISERROR(IF(B1036=C1036,AD1036/C1036,(INT(AD1036/B1036)+(((AD1036-B1036*INT(AD1036/B1036)))/C1036)/100))),0,(IF(B1036=C1036,AD1036/C1036,(INT(AD1036/B1036)+(((AD1036-B1036*INT(AD1036/B1036)))/C1036)/100))))</f>
        <v>0</v>
      </c>
      <c r="BQ1036" s="37"/>
    </row>
    <row r="1037" spans="1:69" s="10" customFormat="1" hidden="1" x14ac:dyDescent="0.35">
      <c r="A1037" s="62"/>
      <c r="B1037" s="30">
        <v>1</v>
      </c>
      <c r="C1037" s="30">
        <v>1</v>
      </c>
      <c r="D1037" s="28">
        <f>SUM(AA1037:AD1037)</f>
        <v>0</v>
      </c>
      <c r="E1037" s="30">
        <v>0</v>
      </c>
      <c r="F1037" s="30">
        <v>0</v>
      </c>
      <c r="G1037" s="28">
        <f>SUM(D1037:F1037)</f>
        <v>0</v>
      </c>
      <c r="H1037" s="30">
        <v>0</v>
      </c>
      <c r="I1037" s="30">
        <v>0</v>
      </c>
      <c r="J1037" s="30">
        <v>0</v>
      </c>
      <c r="K1037" s="30">
        <v>0</v>
      </c>
      <c r="L1037" s="30">
        <v>0</v>
      </c>
      <c r="M1037" s="30">
        <v>0</v>
      </c>
      <c r="N1037" s="29">
        <f>G1037-SUM(H1037:M1037)</f>
        <v>0</v>
      </c>
      <c r="O1037" s="28">
        <f>SUM(V1037:Y1037)</f>
        <v>0</v>
      </c>
      <c r="P1037" s="29">
        <f>O1037-N1037</f>
        <v>0</v>
      </c>
      <c r="Q1037" s="61" t="str">
        <f>IF(ISERROR(P1037/SUM(H1037:L1037)),"",P1037/SUM(H1037:L1037))</f>
        <v/>
      </c>
      <c r="R1037" s="30">
        <v>0</v>
      </c>
      <c r="S1037" s="28">
        <f>IF(ISERROR(P1037/C1037*R1037),0,(P1037/C1037*R1037))</f>
        <v>0</v>
      </c>
      <c r="T1037" s="60">
        <f>IF(ISERROR(P1037/B1037*AF1037),0,(P1037/B1037*AF1037))</f>
        <v>0</v>
      </c>
      <c r="U1037" s="14"/>
      <c r="V1037" s="30">
        <v>0</v>
      </c>
      <c r="W1037" s="30">
        <v>0</v>
      </c>
      <c r="X1037" s="30">
        <v>0</v>
      </c>
      <c r="Y1037" s="30">
        <v>0</v>
      </c>
      <c r="Z1037" s="59"/>
      <c r="AA1037" s="30">
        <v>0</v>
      </c>
      <c r="AB1037" s="30">
        <v>0</v>
      </c>
      <c r="AC1037" s="30">
        <v>0</v>
      </c>
      <c r="AD1037" s="30">
        <v>0</v>
      </c>
      <c r="AE1037" s="59"/>
      <c r="AF1037" s="54">
        <f>3593.56/40</f>
        <v>89.838999999999999</v>
      </c>
      <c r="AG1037" s="28">
        <f>G1037-O1037</f>
        <v>0</v>
      </c>
      <c r="AH1037" s="58">
        <f>IF(ISERROR(AG1037/B1037*AF1037),0,(AG1037/B1037*AF1037))</f>
        <v>0</v>
      </c>
      <c r="AI1037" s="28">
        <f>SUM(H1037:M1037)</f>
        <v>0</v>
      </c>
      <c r="AJ1037" s="28">
        <f>IF(ISERROR(AI1037/B1037*AF1037),0,(AI1037/B1037*AF1037))</f>
        <v>0</v>
      </c>
      <c r="AK1037" s="28">
        <f>IF(ISERROR(O1037/B1037*AF1037),0,(O1037/B1037*AF1037))</f>
        <v>0</v>
      </c>
      <c r="AL1037" s="1"/>
      <c r="AM1037" s="1"/>
      <c r="AN1037" s="51">
        <f>A1037</f>
        <v>0</v>
      </c>
      <c r="AO1037" s="57">
        <f>IF(ISERROR(IF(B1037=C1037,D1037/C1037,(INT(D1037/B1037)+(((D1037-B1037*INT(D1037/B1037)))/C1037)/100))),0,(IF(B1037=C1037,D1037/C1037,(INT(D1037/B1037)+(((D1037-B1037*INT(D1037/B1037)))/C1037)/100))))</f>
        <v>0</v>
      </c>
      <c r="AP1037" s="57">
        <f>IF(ISERROR(IF(B1037=C1037,E1037/C1037,(INT(E1037/B1037)+(((E1037-B1037*INT(E1037/B1037)))/C1037)/100))),0,(IF(B1037=C1037,E1037/C1037,(INT(E1037/B1037)+(((E1037-B1037*INT(E1037/B1037)))/C1037)/100))))</f>
        <v>0</v>
      </c>
      <c r="AQ1037" s="57">
        <f>IF(ISERROR(IF(B1037=C1037,F1037/C1037,IF((INT(F1037/B1037)+(((F1037-B1037*INT(F1037/B1037)))/C1037)/100)&lt;0,(INT(F1037/B1037)+(((F1037-B1037*INT(F1037/B1037)))/C1037)/100)+(1-(B1037/C1037/100)),(INT(F1037/B1037)+(((F1037-B1037*INT(F1037/B1037)))/C1037)/100)))),0,IF(B1037=C1037,F1037/C1037,IF((INT(F1037/B1037)+(((F1037-B1037*INT(F1037/B1037)))/C1037)/100)&lt;0,(INT(F1037/B1037)+(((F1037-B1037*INT(F1037/B1037)))/C1037)/100)+(1-(B1037/C1037/100)),(INT(F1037/B1037)+(((F1037-B1037*INT(F1037/B1037)))/C1037)/100))))</f>
        <v>0</v>
      </c>
      <c r="AR1037" s="57">
        <f>IF(ISERROR(IF(B1037=C1037,G1037/C1037,(INT(G1037/B1037)+(((G1037-B1037*INT(G1037/B1037)))/C1037)/100))),0,(IF(B1037=C1037,G1037/C1037,(INT(G1037/B1037)+(((G1037-B1037*INT(G1037/B1037)))/C1037)/100))))</f>
        <v>0</v>
      </c>
      <c r="AS1037" s="57">
        <f>IF(ISERROR(IF(B1037=C1037,H1037/C1037,(INT(H1037/B1037)+(((H1037-B1037*INT(H1037/B1037)))/C1037)/100))),0,(IF(B1037=C1037,H1037/C1037,(INT(H1037/B1037)+(((H1037-B1037*INT(H1037/B1037)))/C1037)/100))))</f>
        <v>0</v>
      </c>
      <c r="AT1037" s="57">
        <f>IF(ISERROR(IF(B1037=C1037,I1037/C1037,(INT(I1037/B1037)+(((I1037-B1037*INT(I1037/B1037)))/C1037)/100))),0,(IF(B1037=C1037,I1037/C1037,(INT(I1037/B1037)+(((I1037-B1037*INT(I1037/B1037)))/C1037)/100))))</f>
        <v>0</v>
      </c>
      <c r="AU1037" s="57">
        <f>IF(ISERROR(IF(B1037=C1037,J1037/C1037,(INT(J1037/B1037)+(((J1037-B1037*INT(J1037/B1037)))/C1037)/100))),0,(IF(B1037=C1037,J1037/C1037,(INT(J1037/B1037)+(((J1037-B1037*INT(J1037/B1037)))/C1037)/100))))</f>
        <v>0</v>
      </c>
      <c r="AV1037" s="57">
        <f>IF(ISERROR(IF(B1037=C1037,K1037/C1037,IF((INT(K1037/B1037)+(((K1037-B1037*INT(K1037/B1037)))/C1037)/100)&lt;0,(INT(K1037/B1037)+(((K1037-B1037*INT(K1037/B1037)))/C1037)/100)+(1-(B1037/C1037/100)),(INT(K1037/B1037)+(((K1037-B1037*INT(K1037/B1037)))/C1037)/100)))),0,IF(B1037=C1037,K1037/C1037,IF((INT(K1037/B1037)+(((K1037-B1037*INT(K1037/B1037)))/C1037)/100)&lt;0,(INT(K1037/B1037)+(((K1037-B1037*INT(K1037/B1037)))/C1037)/100)+(1-(B1037/C1037/100)),(INT(K1037/B1037)+(((K1037-B1037*INT(K1037/B1037)))/C1037)/100))))</f>
        <v>0</v>
      </c>
      <c r="AW1037" s="57">
        <f>IF(ISERROR(IF(B1037=C1037,L1037/C1037,(INT(L1037/B1037)+(((L1037-B1037*INT(L1037/B1037)))/C1037)/100))),0,(IF(B1037=C1037,L1037/C1037,(INT(L1037/B1037)+(((L1037-B1037*INT(L1037/B1037)))/C1037)/100))))</f>
        <v>0</v>
      </c>
      <c r="AX1037" s="57">
        <f>IF(ISERROR(IF(B1037=C1037,M1037/C1037,(INT(M1037/B1037)+(((M1037-B1037*INT(M1037/B1037)))/C1037)/100))),0,(IF(B1037=C1037,M1037/C1037,(INT(M1037/B1037)+(((M1037-B1037*INT(M1037/B1037)))/C1037)/100))))</f>
        <v>0</v>
      </c>
      <c r="AY1037" s="57">
        <f>IF(ISERROR(IF(B1037=C1037,N1037/C1037,IF((INT(N1037/B1037)+(((N1037-B1037*INT(N1037/B1037)))/C1037)/100)&lt;0,(INT(N1037/B1037)+(((N1037-B1037*INT(N1037/B1037)))/C1037)/100)+(1-(B1037/C1037/100)),(INT(N1037/B1037)+(((N1037-B1037*INT(N1037/B1037)))/C1037)/100)))),0,IF(B1037=C1037,N1037/C1037,IF((INT(N1037/B1037)+(((N1037-B1037*INT(N1037/B1037)))/C1037)/100)&lt;0,(INT(N1037/B1037)+(((N1037-B1037*INT(N1037/B1037)))/C1037)/100)+(1-(B1037/C1037/100)),(INT(N1037/B1037)+(((N1037-B1037*INT(N1037/B1037)))/C1037)/100))))</f>
        <v>0</v>
      </c>
      <c r="AZ1037" s="57">
        <f>IF(ISERROR(IF(B1037=C1037,O1037/C1037,(INT(O1037/B1037)+(((O1037-B1037*INT(O1037/B1037)))/C1037)/100))),0,(IF(B1037=C1037,O1037/C1037,(INT(O1037/B1037)+(((O1037-B1037*INT(O1037/B1037)))/C1037)/100))))</f>
        <v>0</v>
      </c>
      <c r="BA1037" s="57">
        <f>IF(ISERROR(IF(B1037=C1037,P1037/C1037,IF((INT(P1037/B1037)+(((P1037-B1037*INT(P1037/B1037)))/C1037)/100)&lt;0,(INT(P1037/B1037)+(((P1037-B1037*INT(P1037/B1037)))/C1037)/100)+(1-(B1037/C1037/100)),(INT(P1037/B1037)+(((P1037-B1037*INT(P1037/B1037)))/C1037)/100)))),0,IF(B1037=C1037,P1037/C1037,IF((INT(P1037/B1037)+(((P1037-B1037*INT(P1037/B1037)))/C1037)/100)&lt;0,(INT(P1037/B1037)+(((P1037-B1037*INT(P1037/B1037)))/C1037)/100)+(1-(B1037/C1037/100)),(INT(P1037/B1037)+(((P1037-B1037*INT(P1037/B1037)))/C1037)/100))))</f>
        <v>0</v>
      </c>
      <c r="BB1037" s="28">
        <f>R1037</f>
        <v>0</v>
      </c>
      <c r="BC1037" s="28">
        <f>S1037</f>
        <v>0</v>
      </c>
      <c r="BD1037" s="28">
        <f>AF1037</f>
        <v>89.838999999999999</v>
      </c>
      <c r="BE1037" s="28">
        <f>T1037</f>
        <v>0</v>
      </c>
      <c r="BF1037" s="1"/>
      <c r="BG1037" s="57">
        <f>IF(ISERROR(IF(B1037=C1037,V1037/C1037,(INT(V1037/B1037)+(((V1037-B1037*INT(V1037/B1037)))/C1037)/100))),0,(IF(B1037=C1037,V1037/C1037,(INT(V1037/B1037)+(((V1037-B1037*INT(V1037/B1037)))/C1037)/100))))</f>
        <v>0</v>
      </c>
      <c r="BH1037" s="57">
        <f>IF(ISERROR(IF(B1037=C1037,W1037/C1037,(INT(W1037/B1037)+(((W1037-B1037*INT(W1037/B1037)))/C1037)/100))),0,(IF(B1037=C1037,W1037/C1037,(INT(W1037/B1037)+(((W1037-B1037*INT(W1037/B1037)))/C1037)/100))))</f>
        <v>0</v>
      </c>
      <c r="BI1037" s="57">
        <f>IF(ISERROR(IF(B1037=C1037,X1037/C1037,(INT(X1037/B1037)+(((X1037-B1037*INT(X1037/B1037)))/C1037)/100))),0,(IF(B1037=C1037,X1037/C1037,(INT(X1037/B1037)+(((X1037-B1037*INT(X1037/B1037)))/C1037)/100))))</f>
        <v>0</v>
      </c>
      <c r="BJ1037" s="57">
        <f>IF(ISERROR(IF(B1037=C1037,Y1037/C1037,(INT(Y1037/B1037)+(((Y1037-B1037*INT(Y1037/B1037)))/C1037)/100))),0,(IF(B1037=C1037,Y1037/C1037,(INT(Y1037/B1037)+(((Y1037-B1037*INT(Y1037/B1037)))/C1037)/100))))</f>
        <v>0</v>
      </c>
      <c r="BK1037" s="1"/>
      <c r="BL1037" s="57">
        <f>IF(ISERROR(IF(B1037=C1037,AA1037/C1037,(INT(AA1037/B1037)+(((AA1037-B1037*INT(AA1037/B1037)))/C1037)/100))),0,(IF(B1037=C1037,AA1037/C1037,(INT(AA1037/B1037)+(((AA1037-B1037*INT(AA1037/B1037)))/C1037)/100))))</f>
        <v>0</v>
      </c>
      <c r="BM1037" s="57">
        <f>IF(ISERROR(IF(B1037=C1037,AB1037/C1037,(INT(AB1037/B1037)+(((AB1037-B1037*INT(AB1037/B1037)))/C1037)/100))),0,(IF(B1037=C1037,AB1037/C1037,(INT(AB1037/B1037)+(((AB1037-B1037*INT(AB1037/B1037)))/C1037)/100))))</f>
        <v>0</v>
      </c>
      <c r="BN1037" s="57">
        <f>IF(ISERROR(IF(B1037=C1037,AC1037/C1037,(INT(AC1037/B1037)+(((AC1037-B1037*INT(AC1037/B1037)))/C1037)/100))),0,(IF(B1037=C1037,AC1037/C1037,(INT(AC1037/B1037)+(((AC1037-B1037*INT(AC1037/B1037)))/C1037)/100))))</f>
        <v>0</v>
      </c>
      <c r="BO1037" s="57">
        <f>IF(ISERROR(IF(B1037=C1037,AD1037/C1037,(INT(AD1037/B1037)+(((AD1037-B1037*INT(AD1037/B1037)))/C1037)/100))),0,(IF(B1037=C1037,AD1037/C1037,(INT(AD1037/B1037)+(((AD1037-B1037*INT(AD1037/B1037)))/C1037)/100))))</f>
        <v>0</v>
      </c>
      <c r="BQ1037" s="37"/>
    </row>
    <row r="1038" spans="1:69" s="10" customFormat="1" hidden="1" x14ac:dyDescent="0.35">
      <c r="A1038" s="56"/>
      <c r="B1038" s="30">
        <v>0</v>
      </c>
      <c r="C1038" s="30">
        <v>0</v>
      </c>
      <c r="D1038" s="28">
        <f>SUM(AA1038:AD1038)</f>
        <v>0</v>
      </c>
      <c r="E1038" s="30">
        <v>0</v>
      </c>
      <c r="F1038" s="30">
        <v>0</v>
      </c>
      <c r="G1038" s="28">
        <f>SUM(D1038:F1038)</f>
        <v>0</v>
      </c>
      <c r="H1038" s="30">
        <v>0</v>
      </c>
      <c r="I1038" s="30">
        <v>0</v>
      </c>
      <c r="J1038" s="30">
        <v>0</v>
      </c>
      <c r="K1038" s="30">
        <v>0</v>
      </c>
      <c r="L1038" s="30">
        <v>0</v>
      </c>
      <c r="M1038" s="30">
        <v>0</v>
      </c>
      <c r="N1038" s="29">
        <f>G1038-SUM(H1038:M1038)</f>
        <v>0</v>
      </c>
      <c r="O1038" s="28">
        <f>SUM(V1038:Y1038)</f>
        <v>0</v>
      </c>
      <c r="P1038" s="29">
        <f>O1038-N1038</f>
        <v>0</v>
      </c>
      <c r="Q1038" s="61" t="str">
        <f>IF(ISERROR(P1038/SUM(H1038:L1038)),"",P1038/SUM(H1038:L1038))</f>
        <v/>
      </c>
      <c r="R1038" s="30">
        <v>0</v>
      </c>
      <c r="S1038" s="28">
        <f>IF(ISERROR(P1038/C1038*R1038),0,(P1038/C1038*R1038))</f>
        <v>0</v>
      </c>
      <c r="T1038" s="60">
        <f>IF(ISERROR(P1038/B1038*AF1038),0,(P1038/B1038*AF1038))</f>
        <v>0</v>
      </c>
      <c r="U1038" s="14"/>
      <c r="V1038" s="30">
        <v>0</v>
      </c>
      <c r="W1038" s="30">
        <v>0</v>
      </c>
      <c r="X1038" s="30">
        <v>0</v>
      </c>
      <c r="Y1038" s="30">
        <v>0</v>
      </c>
      <c r="Z1038" s="59"/>
      <c r="AA1038" s="30">
        <v>0</v>
      </c>
      <c r="AB1038" s="30">
        <v>0</v>
      </c>
      <c r="AC1038" s="30">
        <v>0</v>
      </c>
      <c r="AD1038" s="30">
        <v>0</v>
      </c>
      <c r="AE1038" s="59"/>
      <c r="AF1038" s="54">
        <f>3593.56/40</f>
        <v>89.838999999999999</v>
      </c>
      <c r="AG1038" s="28">
        <f>G1038-O1038</f>
        <v>0</v>
      </c>
      <c r="AH1038" s="58">
        <f>IF(ISERROR(AG1038/B1038*AF1038),0,(AG1038/B1038*AF1038))</f>
        <v>0</v>
      </c>
      <c r="AI1038" s="28">
        <f>SUM(H1038:M1038)</f>
        <v>0</v>
      </c>
      <c r="AJ1038" s="28">
        <f>IF(ISERROR(AI1038/B1038*AF1038),0,(AI1038/B1038*AF1038))</f>
        <v>0</v>
      </c>
      <c r="AK1038" s="28">
        <f>IF(ISERROR(O1038/B1038*AF1038),0,(O1038/B1038*AF1038))</f>
        <v>0</v>
      </c>
      <c r="AL1038" s="1"/>
      <c r="AM1038" s="1"/>
      <c r="AN1038" s="51">
        <f>A1038</f>
        <v>0</v>
      </c>
      <c r="AO1038" s="57">
        <f>IF(ISERROR(IF(B1038=C1038,D1038/C1038,(INT(D1038/B1038)+(((D1038-B1038*INT(D1038/B1038)))/C1038)/100))),0,(IF(B1038=C1038,D1038/C1038,(INT(D1038/B1038)+(((D1038-B1038*INT(D1038/B1038)))/C1038)/100))))</f>
        <v>0</v>
      </c>
      <c r="AP1038" s="57">
        <f>IF(ISERROR(IF(B1038=C1038,E1038/C1038,(INT(E1038/B1038)+(((E1038-B1038*INT(E1038/B1038)))/C1038)/100))),0,(IF(B1038=C1038,E1038/C1038,(INT(E1038/B1038)+(((E1038-B1038*INT(E1038/B1038)))/C1038)/100))))</f>
        <v>0</v>
      </c>
      <c r="AQ1038" s="57">
        <f>IF(ISERROR(IF(B1038=C1038,F1038/C1038,IF((INT(F1038/B1038)+(((F1038-B1038*INT(F1038/B1038)))/C1038)/100)&lt;0,(INT(F1038/B1038)+(((F1038-B1038*INT(F1038/B1038)))/C1038)/100)+(1-(B1038/C1038/100)),(INT(F1038/B1038)+(((F1038-B1038*INT(F1038/B1038)))/C1038)/100)))),0,IF(B1038=C1038,F1038/C1038,IF((INT(F1038/B1038)+(((F1038-B1038*INT(F1038/B1038)))/C1038)/100)&lt;0,(INT(F1038/B1038)+(((F1038-B1038*INT(F1038/B1038)))/C1038)/100)+(1-(B1038/C1038/100)),(INT(F1038/B1038)+(((F1038-B1038*INT(F1038/B1038)))/C1038)/100))))</f>
        <v>0</v>
      </c>
      <c r="AR1038" s="57">
        <f>IF(ISERROR(IF(B1038=C1038,G1038/C1038,(INT(G1038/B1038)+(((G1038-B1038*INT(G1038/B1038)))/C1038)/100))),0,(IF(B1038=C1038,G1038/C1038,(INT(G1038/B1038)+(((G1038-B1038*INT(G1038/B1038)))/C1038)/100))))</f>
        <v>0</v>
      </c>
      <c r="AS1038" s="57">
        <f>IF(ISERROR(IF(B1038=C1038,H1038/C1038,(INT(H1038/B1038)+(((H1038-B1038*INT(H1038/B1038)))/C1038)/100))),0,(IF(B1038=C1038,H1038/C1038,(INT(H1038/B1038)+(((H1038-B1038*INT(H1038/B1038)))/C1038)/100))))</f>
        <v>0</v>
      </c>
      <c r="AT1038" s="57">
        <f>IF(ISERROR(IF(B1038=C1038,I1038/C1038,(INT(I1038/B1038)+(((I1038-B1038*INT(I1038/B1038)))/C1038)/100))),0,(IF(B1038=C1038,I1038/C1038,(INT(I1038/B1038)+(((I1038-B1038*INT(I1038/B1038)))/C1038)/100))))</f>
        <v>0</v>
      </c>
      <c r="AU1038" s="57">
        <f>IF(ISERROR(IF(B1038=C1038,J1038/C1038,(INT(J1038/B1038)+(((J1038-B1038*INT(J1038/B1038)))/C1038)/100))),0,(IF(B1038=C1038,J1038/C1038,(INT(J1038/B1038)+(((J1038-B1038*INT(J1038/B1038)))/C1038)/100))))</f>
        <v>0</v>
      </c>
      <c r="AV1038" s="57">
        <f>IF(ISERROR(IF(B1038=C1038,K1038/C1038,IF((INT(K1038/B1038)+(((K1038-B1038*INT(K1038/B1038)))/C1038)/100)&lt;0,(INT(K1038/B1038)+(((K1038-B1038*INT(K1038/B1038)))/C1038)/100)+(1-(B1038/C1038/100)),(INT(K1038/B1038)+(((K1038-B1038*INT(K1038/B1038)))/C1038)/100)))),0,IF(B1038=C1038,K1038/C1038,IF((INT(K1038/B1038)+(((K1038-B1038*INT(K1038/B1038)))/C1038)/100)&lt;0,(INT(K1038/B1038)+(((K1038-B1038*INT(K1038/B1038)))/C1038)/100)+(1-(B1038/C1038/100)),(INT(K1038/B1038)+(((K1038-B1038*INT(K1038/B1038)))/C1038)/100))))</f>
        <v>0</v>
      </c>
      <c r="AW1038" s="57">
        <f>IF(ISERROR(IF(B1038=C1038,L1038/C1038,(INT(L1038/B1038)+(((L1038-B1038*INT(L1038/B1038)))/C1038)/100))),0,(IF(B1038=C1038,L1038/C1038,(INT(L1038/B1038)+(((L1038-B1038*INT(L1038/B1038)))/C1038)/100))))</f>
        <v>0</v>
      </c>
      <c r="AX1038" s="57">
        <f>IF(ISERROR(IF(B1038=C1038,M1038/C1038,(INT(M1038/B1038)+(((M1038-B1038*INT(M1038/B1038)))/C1038)/100))),0,(IF(B1038=C1038,M1038/C1038,(INT(M1038/B1038)+(((M1038-B1038*INT(M1038/B1038)))/C1038)/100))))</f>
        <v>0</v>
      </c>
      <c r="AY1038" s="57">
        <f>IF(ISERROR(IF(B1038=C1038,N1038/C1038,IF((INT(N1038/B1038)+(((N1038-B1038*INT(N1038/B1038)))/C1038)/100)&lt;0,(INT(N1038/B1038)+(((N1038-B1038*INT(N1038/B1038)))/C1038)/100)+(1-(B1038/C1038/100)),(INT(N1038/B1038)+(((N1038-B1038*INT(N1038/B1038)))/C1038)/100)))),0,IF(B1038=C1038,N1038/C1038,IF((INT(N1038/B1038)+(((N1038-B1038*INT(N1038/B1038)))/C1038)/100)&lt;0,(INT(N1038/B1038)+(((N1038-B1038*INT(N1038/B1038)))/C1038)/100)+(1-(B1038/C1038/100)),(INT(N1038/B1038)+(((N1038-B1038*INT(N1038/B1038)))/C1038)/100))))</f>
        <v>0</v>
      </c>
      <c r="AZ1038" s="57">
        <f>IF(ISERROR(IF(B1038=C1038,O1038/C1038,(INT(O1038/B1038)+(((O1038-B1038*INT(O1038/B1038)))/C1038)/100))),0,(IF(B1038=C1038,O1038/C1038,(INT(O1038/B1038)+(((O1038-B1038*INT(O1038/B1038)))/C1038)/100))))</f>
        <v>0</v>
      </c>
      <c r="BA1038" s="57">
        <f>IF(ISERROR(IF(B1038=C1038,P1038/C1038,IF((INT(P1038/B1038)+(((P1038-B1038*INT(P1038/B1038)))/C1038)/100)&lt;0,(INT(P1038/B1038)+(((P1038-B1038*INT(P1038/B1038)))/C1038)/100)+(1-(B1038/C1038/100)),(INT(P1038/B1038)+(((P1038-B1038*INT(P1038/B1038)))/C1038)/100)))),0,IF(B1038=C1038,P1038/C1038,IF((INT(P1038/B1038)+(((P1038-B1038*INT(P1038/B1038)))/C1038)/100)&lt;0,(INT(P1038/B1038)+(((P1038-B1038*INT(P1038/B1038)))/C1038)/100)+(1-(B1038/C1038/100)),(INT(P1038/B1038)+(((P1038-B1038*INT(P1038/B1038)))/C1038)/100))))</f>
        <v>0</v>
      </c>
      <c r="BB1038" s="28">
        <f>R1038</f>
        <v>0</v>
      </c>
      <c r="BC1038" s="28">
        <f>S1038</f>
        <v>0</v>
      </c>
      <c r="BD1038" s="28">
        <f>AF1038</f>
        <v>89.838999999999999</v>
      </c>
      <c r="BE1038" s="28">
        <f>T1038</f>
        <v>0</v>
      </c>
      <c r="BF1038" s="1"/>
      <c r="BG1038" s="57">
        <f>IF(ISERROR(IF(B1038=C1038,V1038/C1038,(INT(V1038/B1038)+(((V1038-B1038*INT(V1038/B1038)))/C1038)/100))),0,(IF(B1038=C1038,V1038/C1038,(INT(V1038/B1038)+(((V1038-B1038*INT(V1038/B1038)))/C1038)/100))))</f>
        <v>0</v>
      </c>
      <c r="BH1038" s="57">
        <f>IF(ISERROR(IF(B1038=C1038,W1038/C1038,(INT(W1038/B1038)+(((W1038-B1038*INT(W1038/B1038)))/C1038)/100))),0,(IF(B1038=C1038,W1038/C1038,(INT(W1038/B1038)+(((W1038-B1038*INT(W1038/B1038)))/C1038)/100))))</f>
        <v>0</v>
      </c>
      <c r="BI1038" s="57">
        <f>IF(ISERROR(IF(B1038=C1038,X1038/C1038,(INT(X1038/B1038)+(((X1038-B1038*INT(X1038/B1038)))/C1038)/100))),0,(IF(B1038=C1038,X1038/C1038,(INT(X1038/B1038)+(((X1038-B1038*INT(X1038/B1038)))/C1038)/100))))</f>
        <v>0</v>
      </c>
      <c r="BJ1038" s="57">
        <f>IF(ISERROR(IF(B1038=C1038,Y1038/C1038,(INT(Y1038/B1038)+(((Y1038-B1038*INT(Y1038/B1038)))/C1038)/100))),0,(IF(B1038=C1038,Y1038/C1038,(INT(Y1038/B1038)+(((Y1038-B1038*INT(Y1038/B1038)))/C1038)/100))))</f>
        <v>0</v>
      </c>
      <c r="BK1038" s="1"/>
      <c r="BL1038" s="57">
        <f>IF(ISERROR(IF(B1038=C1038,AA1038/C1038,(INT(AA1038/B1038)+(((AA1038-B1038*INT(AA1038/B1038)))/C1038)/100))),0,(IF(B1038=C1038,AA1038/C1038,(INT(AA1038/B1038)+(((AA1038-B1038*INT(AA1038/B1038)))/C1038)/100))))</f>
        <v>0</v>
      </c>
      <c r="BM1038" s="57">
        <f>IF(ISERROR(IF(B1038=C1038,AB1038/C1038,(INT(AB1038/B1038)+(((AB1038-B1038*INT(AB1038/B1038)))/C1038)/100))),0,(IF(B1038=C1038,AB1038/C1038,(INT(AB1038/B1038)+(((AB1038-B1038*INT(AB1038/B1038)))/C1038)/100))))</f>
        <v>0</v>
      </c>
      <c r="BN1038" s="57">
        <f>IF(ISERROR(IF(B1038=C1038,AC1038/C1038,(INT(AC1038/B1038)+(((AC1038-B1038*INT(AC1038/B1038)))/C1038)/100))),0,(IF(B1038=C1038,AC1038/C1038,(INT(AC1038/B1038)+(((AC1038-B1038*INT(AC1038/B1038)))/C1038)/100))))</f>
        <v>0</v>
      </c>
      <c r="BO1038" s="57">
        <f>IF(ISERROR(IF(B1038=C1038,AD1038/C1038,(INT(AD1038/B1038)+(((AD1038-B1038*INT(AD1038/B1038)))/C1038)/100))),0,(IF(B1038=C1038,AD1038/C1038,(INT(AD1038/B1038)+(((AD1038-B1038*INT(AD1038/B1038)))/C1038)/100))))</f>
        <v>0</v>
      </c>
      <c r="BQ1038" s="37"/>
    </row>
    <row r="1039" spans="1:69" s="10" customFormat="1" hidden="1" x14ac:dyDescent="0.35">
      <c r="A1039" s="56"/>
      <c r="B1039" s="30">
        <v>0</v>
      </c>
      <c r="C1039" s="30">
        <v>0</v>
      </c>
      <c r="D1039" s="28">
        <f>SUM(AA1039:AD1039)</f>
        <v>0</v>
      </c>
      <c r="E1039" s="30">
        <v>0</v>
      </c>
      <c r="F1039" s="30">
        <v>0</v>
      </c>
      <c r="G1039" s="28">
        <f>SUM(D1039:F1039)</f>
        <v>0</v>
      </c>
      <c r="H1039" s="30">
        <v>0</v>
      </c>
      <c r="I1039" s="30">
        <v>0</v>
      </c>
      <c r="J1039" s="30">
        <v>0</v>
      </c>
      <c r="K1039" s="30">
        <v>0</v>
      </c>
      <c r="L1039" s="30">
        <v>0</v>
      </c>
      <c r="M1039" s="30">
        <v>0</v>
      </c>
      <c r="N1039" s="29">
        <f>G1039-SUM(H1039:M1039)</f>
        <v>0</v>
      </c>
      <c r="O1039" s="28">
        <f>SUM(V1039:Y1039)</f>
        <v>0</v>
      </c>
      <c r="P1039" s="29">
        <f>O1039-N1039</f>
        <v>0</v>
      </c>
      <c r="Q1039" s="61" t="str">
        <f>IF(ISERROR(P1039/SUM(H1039:L1039)),"",P1039/SUM(H1039:L1039))</f>
        <v/>
      </c>
      <c r="R1039" s="30">
        <v>0</v>
      </c>
      <c r="S1039" s="28">
        <f>IF(ISERROR(P1039/C1039*R1039),0,(P1039/C1039*R1039))</f>
        <v>0</v>
      </c>
      <c r="T1039" s="60">
        <f>IF(ISERROR(P1039/B1039*AF1039),0,(P1039/B1039*AF1039))</f>
        <v>0</v>
      </c>
      <c r="U1039" s="14"/>
      <c r="V1039" s="30">
        <v>0</v>
      </c>
      <c r="W1039" s="30">
        <v>0</v>
      </c>
      <c r="X1039" s="30">
        <v>0</v>
      </c>
      <c r="Y1039" s="30">
        <v>0</v>
      </c>
      <c r="Z1039" s="59"/>
      <c r="AA1039" s="30">
        <v>0</v>
      </c>
      <c r="AB1039" s="30">
        <v>0</v>
      </c>
      <c r="AC1039" s="30">
        <v>0</v>
      </c>
      <c r="AD1039" s="30">
        <v>0</v>
      </c>
      <c r="AE1039" s="59"/>
      <c r="AF1039" s="54">
        <v>0</v>
      </c>
      <c r="AG1039" s="28">
        <f>G1039-O1039</f>
        <v>0</v>
      </c>
      <c r="AH1039" s="58">
        <f>IF(ISERROR(AG1039/B1039*AF1039),0,(AG1039/B1039*AF1039))</f>
        <v>0</v>
      </c>
      <c r="AI1039" s="28">
        <f>SUM(H1039:M1039)</f>
        <v>0</v>
      </c>
      <c r="AJ1039" s="28">
        <f>IF(ISERROR(AI1039/B1039*AF1039),0,(AI1039/B1039*AF1039))</f>
        <v>0</v>
      </c>
      <c r="AK1039" s="28">
        <f>IF(ISERROR(O1039/B1039*AF1039),0,(O1039/B1039*AF1039))</f>
        <v>0</v>
      </c>
      <c r="AL1039" s="1"/>
      <c r="AM1039" s="1"/>
      <c r="AN1039" s="51">
        <f>A1039</f>
        <v>0</v>
      </c>
      <c r="AO1039" s="57">
        <f>IF(ISERROR(IF(B1039=C1039,D1039/C1039,(INT(D1039/B1039)+(((D1039-B1039*INT(D1039/B1039)))/C1039)/100))),0,(IF(B1039=C1039,D1039/C1039,(INT(D1039/B1039)+(((D1039-B1039*INT(D1039/B1039)))/C1039)/100))))</f>
        <v>0</v>
      </c>
      <c r="AP1039" s="57">
        <f>IF(ISERROR(IF(B1039=C1039,E1039/C1039,(INT(E1039/B1039)+(((E1039-B1039*INT(E1039/B1039)))/C1039)/100))),0,(IF(B1039=C1039,E1039/C1039,(INT(E1039/B1039)+(((E1039-B1039*INT(E1039/B1039)))/C1039)/100))))</f>
        <v>0</v>
      </c>
      <c r="AQ1039" s="57">
        <f>IF(ISERROR(IF(B1039=C1039,F1039/C1039,IF((INT(F1039/B1039)+(((F1039-B1039*INT(F1039/B1039)))/C1039)/100)&lt;0,(INT(F1039/B1039)+(((F1039-B1039*INT(F1039/B1039)))/C1039)/100)+(1-(B1039/C1039/100)),(INT(F1039/B1039)+(((F1039-B1039*INT(F1039/B1039)))/C1039)/100)))),0,IF(B1039=C1039,F1039/C1039,IF((INT(F1039/B1039)+(((F1039-B1039*INT(F1039/B1039)))/C1039)/100)&lt;0,(INT(F1039/B1039)+(((F1039-B1039*INT(F1039/B1039)))/C1039)/100)+(1-(B1039/C1039/100)),(INT(F1039/B1039)+(((F1039-B1039*INT(F1039/B1039)))/C1039)/100))))</f>
        <v>0</v>
      </c>
      <c r="AR1039" s="57">
        <f>IF(ISERROR(IF(B1039=C1039,G1039/C1039,(INT(G1039/B1039)+(((G1039-B1039*INT(G1039/B1039)))/C1039)/100))),0,(IF(B1039=C1039,G1039/C1039,(INT(G1039/B1039)+(((G1039-B1039*INT(G1039/B1039)))/C1039)/100))))</f>
        <v>0</v>
      </c>
      <c r="AS1039" s="57">
        <f>IF(ISERROR(IF(B1039=C1039,H1039/C1039,(INT(H1039/B1039)+(((H1039-B1039*INT(H1039/B1039)))/C1039)/100))),0,(IF(B1039=C1039,H1039/C1039,(INT(H1039/B1039)+(((H1039-B1039*INT(H1039/B1039)))/C1039)/100))))</f>
        <v>0</v>
      </c>
      <c r="AT1039" s="57">
        <f>IF(ISERROR(IF(B1039=C1039,I1039/C1039,(INT(I1039/B1039)+(((I1039-B1039*INT(I1039/B1039)))/C1039)/100))),0,(IF(B1039=C1039,I1039/C1039,(INT(I1039/B1039)+(((I1039-B1039*INT(I1039/B1039)))/C1039)/100))))</f>
        <v>0</v>
      </c>
      <c r="AU1039" s="57">
        <f>IF(ISERROR(IF(B1039=C1039,J1039/C1039,(INT(J1039/B1039)+(((J1039-B1039*INT(J1039/B1039)))/C1039)/100))),0,(IF(B1039=C1039,J1039/C1039,(INT(J1039/B1039)+(((J1039-B1039*INT(J1039/B1039)))/C1039)/100))))</f>
        <v>0</v>
      </c>
      <c r="AV1039" s="57">
        <f>IF(ISERROR(IF(B1039=C1039,K1039/C1039,IF((INT(K1039/B1039)+(((K1039-B1039*INT(K1039/B1039)))/C1039)/100)&lt;0,(INT(K1039/B1039)+(((K1039-B1039*INT(K1039/B1039)))/C1039)/100)+(1-(B1039/C1039/100)),(INT(K1039/B1039)+(((K1039-B1039*INT(K1039/B1039)))/C1039)/100)))),0,IF(B1039=C1039,K1039/C1039,IF((INT(K1039/B1039)+(((K1039-B1039*INT(K1039/B1039)))/C1039)/100)&lt;0,(INT(K1039/B1039)+(((K1039-B1039*INT(K1039/B1039)))/C1039)/100)+(1-(B1039/C1039/100)),(INT(K1039/B1039)+(((K1039-B1039*INT(K1039/B1039)))/C1039)/100))))</f>
        <v>0</v>
      </c>
      <c r="AW1039" s="57">
        <f>IF(ISERROR(IF(B1039=C1039,L1039/C1039,(INT(L1039/B1039)+(((L1039-B1039*INT(L1039/B1039)))/C1039)/100))),0,(IF(B1039=C1039,L1039/C1039,(INT(L1039/B1039)+(((L1039-B1039*INT(L1039/B1039)))/C1039)/100))))</f>
        <v>0</v>
      </c>
      <c r="AX1039" s="57">
        <f>IF(ISERROR(IF(B1039=C1039,M1039/C1039,(INT(M1039/B1039)+(((M1039-B1039*INT(M1039/B1039)))/C1039)/100))),0,(IF(B1039=C1039,M1039/C1039,(INT(M1039/B1039)+(((M1039-B1039*INT(M1039/B1039)))/C1039)/100))))</f>
        <v>0</v>
      </c>
      <c r="AY1039" s="57">
        <f>IF(ISERROR(IF(B1039=C1039,N1039/C1039,IF((INT(N1039/B1039)+(((N1039-B1039*INT(N1039/B1039)))/C1039)/100)&lt;0,(INT(N1039/B1039)+(((N1039-B1039*INT(N1039/B1039)))/C1039)/100)+(1-(B1039/C1039/100)),(INT(N1039/B1039)+(((N1039-B1039*INT(N1039/B1039)))/C1039)/100)))),0,IF(B1039=C1039,N1039/C1039,IF((INT(N1039/B1039)+(((N1039-B1039*INT(N1039/B1039)))/C1039)/100)&lt;0,(INT(N1039/B1039)+(((N1039-B1039*INT(N1039/B1039)))/C1039)/100)+(1-(B1039/C1039/100)),(INT(N1039/B1039)+(((N1039-B1039*INT(N1039/B1039)))/C1039)/100))))</f>
        <v>0</v>
      </c>
      <c r="AZ1039" s="57">
        <f>IF(ISERROR(IF(B1039=C1039,O1039/C1039,(INT(O1039/B1039)+(((O1039-B1039*INT(O1039/B1039)))/C1039)/100))),0,(IF(B1039=C1039,O1039/C1039,(INT(O1039/B1039)+(((O1039-B1039*INT(O1039/B1039)))/C1039)/100))))</f>
        <v>0</v>
      </c>
      <c r="BA1039" s="57">
        <f>IF(ISERROR(IF(B1039=C1039,P1039/C1039,IF((INT(P1039/B1039)+(((P1039-B1039*INT(P1039/B1039)))/C1039)/100)&lt;0,(INT(P1039/B1039)+(((P1039-B1039*INT(P1039/B1039)))/C1039)/100)+(1-(B1039/C1039/100)),(INT(P1039/B1039)+(((P1039-B1039*INT(P1039/B1039)))/C1039)/100)))),0,IF(B1039=C1039,P1039/C1039,IF((INT(P1039/B1039)+(((P1039-B1039*INT(P1039/B1039)))/C1039)/100)&lt;0,(INT(P1039/B1039)+(((P1039-B1039*INT(P1039/B1039)))/C1039)/100)+(1-(B1039/C1039/100)),(INT(P1039/B1039)+(((P1039-B1039*INT(P1039/B1039)))/C1039)/100))))</f>
        <v>0</v>
      </c>
      <c r="BB1039" s="28">
        <f>R1039</f>
        <v>0</v>
      </c>
      <c r="BC1039" s="28">
        <f>S1039</f>
        <v>0</v>
      </c>
      <c r="BD1039" s="28">
        <f>AF1039</f>
        <v>0</v>
      </c>
      <c r="BE1039" s="28">
        <f>T1039</f>
        <v>0</v>
      </c>
      <c r="BF1039" s="1"/>
      <c r="BG1039" s="57">
        <f>IF(ISERROR(IF(B1039=C1039,V1039/C1039,(INT(V1039/B1039)+(((V1039-B1039*INT(V1039/B1039)))/C1039)/100))),0,(IF(B1039=C1039,V1039/C1039,(INT(V1039/B1039)+(((V1039-B1039*INT(V1039/B1039)))/C1039)/100))))</f>
        <v>0</v>
      </c>
      <c r="BH1039" s="57">
        <f>IF(ISERROR(IF(B1039=C1039,W1039/C1039,(INT(W1039/B1039)+(((W1039-B1039*INT(W1039/B1039)))/C1039)/100))),0,(IF(B1039=C1039,W1039/C1039,(INT(W1039/B1039)+(((W1039-B1039*INT(W1039/B1039)))/C1039)/100))))</f>
        <v>0</v>
      </c>
      <c r="BI1039" s="57">
        <f>IF(ISERROR(IF(B1039=C1039,X1039/C1039,(INT(X1039/B1039)+(((X1039-B1039*INT(X1039/B1039)))/C1039)/100))),0,(IF(B1039=C1039,X1039/C1039,(INT(X1039/B1039)+(((X1039-B1039*INT(X1039/B1039)))/C1039)/100))))</f>
        <v>0</v>
      </c>
      <c r="BJ1039" s="57">
        <f>IF(ISERROR(IF(B1039=C1039,Y1039/C1039,(INT(Y1039/B1039)+(((Y1039-B1039*INT(Y1039/B1039)))/C1039)/100))),0,(IF(B1039=C1039,Y1039/C1039,(INT(Y1039/B1039)+(((Y1039-B1039*INT(Y1039/B1039)))/C1039)/100))))</f>
        <v>0</v>
      </c>
      <c r="BK1039" s="1"/>
      <c r="BL1039" s="57">
        <f>IF(ISERROR(IF(B1039=C1039,AA1039/C1039,(INT(AA1039/B1039)+(((AA1039-B1039*INT(AA1039/B1039)))/C1039)/100))),0,(IF(B1039=C1039,AA1039/C1039,(INT(AA1039/B1039)+(((AA1039-B1039*INT(AA1039/B1039)))/C1039)/100))))</f>
        <v>0</v>
      </c>
      <c r="BM1039" s="57">
        <f>IF(ISERROR(IF(B1039=C1039,AB1039/C1039,(INT(AB1039/B1039)+(((AB1039-B1039*INT(AB1039/B1039)))/C1039)/100))),0,(IF(B1039=C1039,AB1039/C1039,(INT(AB1039/B1039)+(((AB1039-B1039*INT(AB1039/B1039)))/C1039)/100))))</f>
        <v>0</v>
      </c>
      <c r="BN1039" s="57">
        <f>IF(ISERROR(IF(B1039=C1039,AC1039/C1039,(INT(AC1039/B1039)+(((AC1039-B1039*INT(AC1039/B1039)))/C1039)/100))),0,(IF(B1039=C1039,AC1039/C1039,(INT(AC1039/B1039)+(((AC1039-B1039*INT(AC1039/B1039)))/C1039)/100))))</f>
        <v>0</v>
      </c>
      <c r="BO1039" s="57">
        <f>IF(ISERROR(IF(B1039=C1039,AD1039/C1039,(INT(AD1039/B1039)+(((AD1039-B1039*INT(AD1039/B1039)))/C1039)/100))),0,(IF(B1039=C1039,AD1039/C1039,(INT(AD1039/B1039)+(((AD1039-B1039*INT(AD1039/B1039)))/C1039)/100))))</f>
        <v>0</v>
      </c>
      <c r="BQ1039" s="37"/>
    </row>
    <row r="1040" spans="1:69" s="10" customFormat="1" hidden="1" x14ac:dyDescent="0.35">
      <c r="A1040" s="56"/>
      <c r="B1040" s="30">
        <v>0</v>
      </c>
      <c r="C1040" s="30">
        <v>0</v>
      </c>
      <c r="D1040" s="28">
        <f>SUM(AA1040:AD1040)</f>
        <v>0</v>
      </c>
      <c r="E1040" s="30">
        <v>0</v>
      </c>
      <c r="F1040" s="30">
        <v>0</v>
      </c>
      <c r="G1040" s="28">
        <f>SUM(D1040:F1040)</f>
        <v>0</v>
      </c>
      <c r="H1040" s="30">
        <v>0</v>
      </c>
      <c r="I1040" s="30">
        <v>0</v>
      </c>
      <c r="J1040" s="30">
        <v>0</v>
      </c>
      <c r="K1040" s="30">
        <v>0</v>
      </c>
      <c r="L1040" s="30">
        <v>0</v>
      </c>
      <c r="M1040" s="30">
        <v>0</v>
      </c>
      <c r="N1040" s="29">
        <f>G1040-SUM(H1040:M1040)</f>
        <v>0</v>
      </c>
      <c r="O1040" s="28">
        <f>SUM(V1040:Y1040)</f>
        <v>0</v>
      </c>
      <c r="P1040" s="29">
        <f>O1040-N1040</f>
        <v>0</v>
      </c>
      <c r="Q1040" s="61" t="str">
        <f>IF(ISERROR(P1040/SUM(H1040:L1040)),"",P1040/SUM(H1040:L1040))</f>
        <v/>
      </c>
      <c r="R1040" s="30">
        <v>0</v>
      </c>
      <c r="S1040" s="28">
        <f>IF(ISERROR(P1040/C1040*R1040),0,(P1040/C1040*R1040))</f>
        <v>0</v>
      </c>
      <c r="T1040" s="60">
        <f>IF(ISERROR(P1040/B1040*AF1040),0,(P1040/B1040*AF1040))</f>
        <v>0</v>
      </c>
      <c r="U1040" s="14"/>
      <c r="V1040" s="30">
        <v>0</v>
      </c>
      <c r="W1040" s="30">
        <v>0</v>
      </c>
      <c r="X1040" s="30">
        <v>0</v>
      </c>
      <c r="Y1040" s="30">
        <v>0</v>
      </c>
      <c r="Z1040" s="59"/>
      <c r="AA1040" s="30">
        <v>0</v>
      </c>
      <c r="AB1040" s="30">
        <v>0</v>
      </c>
      <c r="AC1040" s="30">
        <v>0</v>
      </c>
      <c r="AD1040" s="30">
        <v>0</v>
      </c>
      <c r="AE1040" s="59"/>
      <c r="AF1040" s="54">
        <v>0</v>
      </c>
      <c r="AG1040" s="28">
        <f>G1040-O1040</f>
        <v>0</v>
      </c>
      <c r="AH1040" s="58">
        <f>IF(ISERROR(AG1040/B1040*AF1040),0,(AG1040/B1040*AF1040))</f>
        <v>0</v>
      </c>
      <c r="AI1040" s="28">
        <f>SUM(H1040:M1040)</f>
        <v>0</v>
      </c>
      <c r="AJ1040" s="28">
        <f>IF(ISERROR(AI1040/B1040*AF1040),0,(AI1040/B1040*AF1040))</f>
        <v>0</v>
      </c>
      <c r="AK1040" s="28">
        <f>IF(ISERROR(O1040/B1040*AF1040),0,(O1040/B1040*AF1040))</f>
        <v>0</v>
      </c>
      <c r="AL1040" s="1"/>
      <c r="AM1040" s="1"/>
      <c r="AN1040" s="51">
        <f>A1040</f>
        <v>0</v>
      </c>
      <c r="AO1040" s="57">
        <f>IF(ISERROR(IF(B1040=C1040,D1040/C1040,(INT(D1040/B1040)+(((D1040-B1040*INT(D1040/B1040)))/C1040)/100))),0,(IF(B1040=C1040,D1040/C1040,(INT(D1040/B1040)+(((D1040-B1040*INT(D1040/B1040)))/C1040)/100))))</f>
        <v>0</v>
      </c>
      <c r="AP1040" s="57">
        <f>IF(ISERROR(IF(B1040=C1040,E1040/C1040,(INT(E1040/B1040)+(((E1040-B1040*INT(E1040/B1040)))/C1040)/100))),0,(IF(B1040=C1040,E1040/C1040,(INT(E1040/B1040)+(((E1040-B1040*INT(E1040/B1040)))/C1040)/100))))</f>
        <v>0</v>
      </c>
      <c r="AQ1040" s="57">
        <f>IF(ISERROR(IF(B1040=C1040,F1040/C1040,IF((INT(F1040/B1040)+(((F1040-B1040*INT(F1040/B1040)))/C1040)/100)&lt;0,(INT(F1040/B1040)+(((F1040-B1040*INT(F1040/B1040)))/C1040)/100)+(1-(B1040/C1040/100)),(INT(F1040/B1040)+(((F1040-B1040*INT(F1040/B1040)))/C1040)/100)))),0,IF(B1040=C1040,F1040/C1040,IF((INT(F1040/B1040)+(((F1040-B1040*INT(F1040/B1040)))/C1040)/100)&lt;0,(INT(F1040/B1040)+(((F1040-B1040*INT(F1040/B1040)))/C1040)/100)+(1-(B1040/C1040/100)),(INT(F1040/B1040)+(((F1040-B1040*INT(F1040/B1040)))/C1040)/100))))</f>
        <v>0</v>
      </c>
      <c r="AR1040" s="57">
        <f>IF(ISERROR(IF(B1040=C1040,G1040/C1040,(INT(G1040/B1040)+(((G1040-B1040*INT(G1040/B1040)))/C1040)/100))),0,(IF(B1040=C1040,G1040/C1040,(INT(G1040/B1040)+(((G1040-B1040*INT(G1040/B1040)))/C1040)/100))))</f>
        <v>0</v>
      </c>
      <c r="AS1040" s="57">
        <f>IF(ISERROR(IF(B1040=C1040,H1040/C1040,(INT(H1040/B1040)+(((H1040-B1040*INT(H1040/B1040)))/C1040)/100))),0,(IF(B1040=C1040,H1040/C1040,(INT(H1040/B1040)+(((H1040-B1040*INT(H1040/B1040)))/C1040)/100))))</f>
        <v>0</v>
      </c>
      <c r="AT1040" s="57">
        <f>IF(ISERROR(IF(B1040=C1040,I1040/C1040,(INT(I1040/B1040)+(((I1040-B1040*INT(I1040/B1040)))/C1040)/100))),0,(IF(B1040=C1040,I1040/C1040,(INT(I1040/B1040)+(((I1040-B1040*INT(I1040/B1040)))/C1040)/100))))</f>
        <v>0</v>
      </c>
      <c r="AU1040" s="57">
        <f>IF(ISERROR(IF(B1040=C1040,J1040/C1040,(INT(J1040/B1040)+(((J1040-B1040*INT(J1040/B1040)))/C1040)/100))),0,(IF(B1040=C1040,J1040/C1040,(INT(J1040/B1040)+(((J1040-B1040*INT(J1040/B1040)))/C1040)/100))))</f>
        <v>0</v>
      </c>
      <c r="AV1040" s="57">
        <f>IF(ISERROR(IF(B1040=C1040,K1040/C1040,IF((INT(K1040/B1040)+(((K1040-B1040*INT(K1040/B1040)))/C1040)/100)&lt;0,(INT(K1040/B1040)+(((K1040-B1040*INT(K1040/B1040)))/C1040)/100)+(1-(B1040/C1040/100)),(INT(K1040/B1040)+(((K1040-B1040*INT(K1040/B1040)))/C1040)/100)))),0,IF(B1040=C1040,K1040/C1040,IF((INT(K1040/B1040)+(((K1040-B1040*INT(K1040/B1040)))/C1040)/100)&lt;0,(INT(K1040/B1040)+(((K1040-B1040*INT(K1040/B1040)))/C1040)/100)+(1-(B1040/C1040/100)),(INT(K1040/B1040)+(((K1040-B1040*INT(K1040/B1040)))/C1040)/100))))</f>
        <v>0</v>
      </c>
      <c r="AW1040" s="57">
        <f>IF(ISERROR(IF(B1040=C1040,L1040/C1040,(INT(L1040/B1040)+(((L1040-B1040*INT(L1040/B1040)))/C1040)/100))),0,(IF(B1040=C1040,L1040/C1040,(INT(L1040/B1040)+(((L1040-B1040*INT(L1040/B1040)))/C1040)/100))))</f>
        <v>0</v>
      </c>
      <c r="AX1040" s="57">
        <f>IF(ISERROR(IF(B1040=C1040,M1040/C1040,(INT(M1040/B1040)+(((M1040-B1040*INT(M1040/B1040)))/C1040)/100))),0,(IF(B1040=C1040,M1040/C1040,(INT(M1040/B1040)+(((M1040-B1040*INT(M1040/B1040)))/C1040)/100))))</f>
        <v>0</v>
      </c>
      <c r="AY1040" s="57">
        <f>IF(ISERROR(IF(B1040=C1040,N1040/C1040,IF((INT(N1040/B1040)+(((N1040-B1040*INT(N1040/B1040)))/C1040)/100)&lt;0,(INT(N1040/B1040)+(((N1040-B1040*INT(N1040/B1040)))/C1040)/100)+(1-(B1040/C1040/100)),(INT(N1040/B1040)+(((N1040-B1040*INT(N1040/B1040)))/C1040)/100)))),0,IF(B1040=C1040,N1040/C1040,IF((INT(N1040/B1040)+(((N1040-B1040*INT(N1040/B1040)))/C1040)/100)&lt;0,(INT(N1040/B1040)+(((N1040-B1040*INT(N1040/B1040)))/C1040)/100)+(1-(B1040/C1040/100)),(INT(N1040/B1040)+(((N1040-B1040*INT(N1040/B1040)))/C1040)/100))))</f>
        <v>0</v>
      </c>
      <c r="AZ1040" s="57">
        <f>IF(ISERROR(IF(B1040=C1040,O1040/C1040,(INT(O1040/B1040)+(((O1040-B1040*INT(O1040/B1040)))/C1040)/100))),0,(IF(B1040=C1040,O1040/C1040,(INT(O1040/B1040)+(((O1040-B1040*INT(O1040/B1040)))/C1040)/100))))</f>
        <v>0</v>
      </c>
      <c r="BA1040" s="57">
        <f>IF(ISERROR(IF(B1040=C1040,P1040/C1040,IF((INT(P1040/B1040)+(((P1040-B1040*INT(P1040/B1040)))/C1040)/100)&lt;0,(INT(P1040/B1040)+(((P1040-B1040*INT(P1040/B1040)))/C1040)/100)+(1-(B1040/C1040/100)),(INT(P1040/B1040)+(((P1040-B1040*INT(P1040/B1040)))/C1040)/100)))),0,IF(B1040=C1040,P1040/C1040,IF((INT(P1040/B1040)+(((P1040-B1040*INT(P1040/B1040)))/C1040)/100)&lt;0,(INT(P1040/B1040)+(((P1040-B1040*INT(P1040/B1040)))/C1040)/100)+(1-(B1040/C1040/100)),(INT(P1040/B1040)+(((P1040-B1040*INT(P1040/B1040)))/C1040)/100))))</f>
        <v>0</v>
      </c>
      <c r="BB1040" s="28">
        <f>R1040</f>
        <v>0</v>
      </c>
      <c r="BC1040" s="28">
        <f>S1040</f>
        <v>0</v>
      </c>
      <c r="BD1040" s="28">
        <f>AF1040</f>
        <v>0</v>
      </c>
      <c r="BE1040" s="28">
        <f>T1040</f>
        <v>0</v>
      </c>
      <c r="BF1040" s="1"/>
      <c r="BG1040" s="57">
        <f>IF(ISERROR(IF(B1040=C1040,V1040/C1040,(INT(V1040/B1040)+(((V1040-B1040*INT(V1040/B1040)))/C1040)/100))),0,(IF(B1040=C1040,V1040/C1040,(INT(V1040/B1040)+(((V1040-B1040*INT(V1040/B1040)))/C1040)/100))))</f>
        <v>0</v>
      </c>
      <c r="BH1040" s="57">
        <f>IF(ISERROR(IF(B1040=C1040,W1040/C1040,(INT(W1040/B1040)+(((W1040-B1040*INT(W1040/B1040)))/C1040)/100))),0,(IF(B1040=C1040,W1040/C1040,(INT(W1040/B1040)+(((W1040-B1040*INT(W1040/B1040)))/C1040)/100))))</f>
        <v>0</v>
      </c>
      <c r="BI1040" s="57">
        <f>IF(ISERROR(IF(B1040=C1040,X1040/C1040,(INT(X1040/B1040)+(((X1040-B1040*INT(X1040/B1040)))/C1040)/100))),0,(IF(B1040=C1040,X1040/C1040,(INT(X1040/B1040)+(((X1040-B1040*INT(X1040/B1040)))/C1040)/100))))</f>
        <v>0</v>
      </c>
      <c r="BJ1040" s="57">
        <f>IF(ISERROR(IF(B1040=C1040,Y1040/C1040,(INT(Y1040/B1040)+(((Y1040-B1040*INT(Y1040/B1040)))/C1040)/100))),0,(IF(B1040=C1040,Y1040/C1040,(INT(Y1040/B1040)+(((Y1040-B1040*INT(Y1040/B1040)))/C1040)/100))))</f>
        <v>0</v>
      </c>
      <c r="BK1040" s="1"/>
      <c r="BL1040" s="57">
        <f>IF(ISERROR(IF(B1040=C1040,AA1040/C1040,(INT(AA1040/B1040)+(((AA1040-B1040*INT(AA1040/B1040)))/C1040)/100))),0,(IF(B1040=C1040,AA1040/C1040,(INT(AA1040/B1040)+(((AA1040-B1040*INT(AA1040/B1040)))/C1040)/100))))</f>
        <v>0</v>
      </c>
      <c r="BM1040" s="57">
        <f>IF(ISERROR(IF(B1040=C1040,AB1040/C1040,(INT(AB1040/B1040)+(((AB1040-B1040*INT(AB1040/B1040)))/C1040)/100))),0,(IF(B1040=C1040,AB1040/C1040,(INT(AB1040/B1040)+(((AB1040-B1040*INT(AB1040/B1040)))/C1040)/100))))</f>
        <v>0</v>
      </c>
      <c r="BN1040" s="57">
        <f>IF(ISERROR(IF(B1040=C1040,AC1040/C1040,(INT(AC1040/B1040)+(((AC1040-B1040*INT(AC1040/B1040)))/C1040)/100))),0,(IF(B1040=C1040,AC1040/C1040,(INT(AC1040/B1040)+(((AC1040-B1040*INT(AC1040/B1040)))/C1040)/100))))</f>
        <v>0</v>
      </c>
      <c r="BO1040" s="57">
        <f>IF(ISERROR(IF(B1040=C1040,AD1040/C1040,(INT(AD1040/B1040)+(((AD1040-B1040*INT(AD1040/B1040)))/C1040)/100))),0,(IF(B1040=C1040,AD1040/C1040,(INT(AD1040/B1040)+(((AD1040-B1040*INT(AD1040/B1040)))/C1040)/100))))</f>
        <v>0</v>
      </c>
      <c r="BQ1040" s="37"/>
    </row>
    <row r="1041" spans="1:69" s="10" customFormat="1" hidden="1" x14ac:dyDescent="0.35">
      <c r="A1041" s="56"/>
      <c r="B1041" s="30">
        <v>0</v>
      </c>
      <c r="C1041" s="30">
        <v>0</v>
      </c>
      <c r="D1041" s="28">
        <f>SUM(AA1041:AD1041)</f>
        <v>0</v>
      </c>
      <c r="E1041" s="30">
        <v>0</v>
      </c>
      <c r="F1041" s="30">
        <v>0</v>
      </c>
      <c r="G1041" s="28">
        <f>SUM(D1041:F1041)</f>
        <v>0</v>
      </c>
      <c r="H1041" s="30">
        <v>0</v>
      </c>
      <c r="I1041" s="30">
        <v>0</v>
      </c>
      <c r="J1041" s="30">
        <v>0</v>
      </c>
      <c r="K1041" s="30">
        <v>0</v>
      </c>
      <c r="L1041" s="30">
        <v>0</v>
      </c>
      <c r="M1041" s="30">
        <v>0</v>
      </c>
      <c r="N1041" s="29">
        <f>G1041-SUM(H1041:M1041)</f>
        <v>0</v>
      </c>
      <c r="O1041" s="28">
        <f>SUM(V1041:Y1041)</f>
        <v>0</v>
      </c>
      <c r="P1041" s="29">
        <f>O1041-N1041</f>
        <v>0</v>
      </c>
      <c r="Q1041" s="61" t="str">
        <f>IF(ISERROR(P1041/SUM(H1041:L1041)),"",P1041/SUM(H1041:L1041))</f>
        <v/>
      </c>
      <c r="R1041" s="30">
        <v>0</v>
      </c>
      <c r="S1041" s="28">
        <f>IF(ISERROR(P1041/C1041*R1041),0,(P1041/C1041*R1041))</f>
        <v>0</v>
      </c>
      <c r="T1041" s="60">
        <f>IF(ISERROR(P1041/B1041*AF1041),0,(P1041/B1041*AF1041))</f>
        <v>0</v>
      </c>
      <c r="U1041" s="14"/>
      <c r="V1041" s="30">
        <v>0</v>
      </c>
      <c r="W1041" s="30">
        <v>0</v>
      </c>
      <c r="X1041" s="30">
        <v>0</v>
      </c>
      <c r="Y1041" s="30">
        <v>0</v>
      </c>
      <c r="Z1041" s="59"/>
      <c r="AA1041" s="30">
        <v>0</v>
      </c>
      <c r="AB1041" s="30">
        <v>0</v>
      </c>
      <c r="AC1041" s="30">
        <v>0</v>
      </c>
      <c r="AD1041" s="30">
        <v>0</v>
      </c>
      <c r="AE1041" s="59"/>
      <c r="AF1041" s="54">
        <v>0</v>
      </c>
      <c r="AG1041" s="28">
        <f>G1041-O1041</f>
        <v>0</v>
      </c>
      <c r="AH1041" s="58">
        <f>IF(ISERROR(AG1041/B1041*AF1041),0,(AG1041/B1041*AF1041))</f>
        <v>0</v>
      </c>
      <c r="AI1041" s="28">
        <f>SUM(H1041:M1041)</f>
        <v>0</v>
      </c>
      <c r="AJ1041" s="28">
        <f>IF(ISERROR(AI1041/B1041*AF1041),0,(AI1041/B1041*AF1041))</f>
        <v>0</v>
      </c>
      <c r="AK1041" s="28">
        <f>IF(ISERROR(O1041/B1041*AF1041),0,(O1041/B1041*AF1041))</f>
        <v>0</v>
      </c>
      <c r="AL1041" s="1"/>
      <c r="AM1041" s="1"/>
      <c r="AN1041" s="51">
        <f>A1041</f>
        <v>0</v>
      </c>
      <c r="AO1041" s="57">
        <f>IF(ISERROR(IF(B1041=C1041,D1041/C1041,(INT(D1041/B1041)+(((D1041-B1041*INT(D1041/B1041)))/C1041)/100))),0,(IF(B1041=C1041,D1041/C1041,(INT(D1041/B1041)+(((D1041-B1041*INT(D1041/B1041)))/C1041)/100))))</f>
        <v>0</v>
      </c>
      <c r="AP1041" s="57">
        <f>IF(ISERROR(IF(B1041=C1041,E1041/C1041,(INT(E1041/B1041)+(((E1041-B1041*INT(E1041/B1041)))/C1041)/100))),0,(IF(B1041=C1041,E1041/C1041,(INT(E1041/B1041)+(((E1041-B1041*INT(E1041/B1041)))/C1041)/100))))</f>
        <v>0</v>
      </c>
      <c r="AQ1041" s="57">
        <f>IF(ISERROR(IF(B1041=C1041,F1041/C1041,IF((INT(F1041/B1041)+(((F1041-B1041*INT(F1041/B1041)))/C1041)/100)&lt;0,(INT(F1041/B1041)+(((F1041-B1041*INT(F1041/B1041)))/C1041)/100)+(1-(B1041/C1041/100)),(INT(F1041/B1041)+(((F1041-B1041*INT(F1041/B1041)))/C1041)/100)))),0,IF(B1041=C1041,F1041/C1041,IF((INT(F1041/B1041)+(((F1041-B1041*INT(F1041/B1041)))/C1041)/100)&lt;0,(INT(F1041/B1041)+(((F1041-B1041*INT(F1041/B1041)))/C1041)/100)+(1-(B1041/C1041/100)),(INT(F1041/B1041)+(((F1041-B1041*INT(F1041/B1041)))/C1041)/100))))</f>
        <v>0</v>
      </c>
      <c r="AR1041" s="57">
        <f>IF(ISERROR(IF(B1041=C1041,G1041/C1041,(INT(G1041/B1041)+(((G1041-B1041*INT(G1041/B1041)))/C1041)/100))),0,(IF(B1041=C1041,G1041/C1041,(INT(G1041/B1041)+(((G1041-B1041*INT(G1041/B1041)))/C1041)/100))))</f>
        <v>0</v>
      </c>
      <c r="AS1041" s="57">
        <f>IF(ISERROR(IF(B1041=C1041,H1041/C1041,(INT(H1041/B1041)+(((H1041-B1041*INT(H1041/B1041)))/C1041)/100))),0,(IF(B1041=C1041,H1041/C1041,(INT(H1041/B1041)+(((H1041-B1041*INT(H1041/B1041)))/C1041)/100))))</f>
        <v>0</v>
      </c>
      <c r="AT1041" s="57">
        <f>IF(ISERROR(IF(B1041=C1041,I1041/C1041,(INT(I1041/B1041)+(((I1041-B1041*INT(I1041/B1041)))/C1041)/100))),0,(IF(B1041=C1041,I1041/C1041,(INT(I1041/B1041)+(((I1041-B1041*INT(I1041/B1041)))/C1041)/100))))</f>
        <v>0</v>
      </c>
      <c r="AU1041" s="57">
        <f>IF(ISERROR(IF(B1041=C1041,J1041/C1041,(INT(J1041/B1041)+(((J1041-B1041*INT(J1041/B1041)))/C1041)/100))),0,(IF(B1041=C1041,J1041/C1041,(INT(J1041/B1041)+(((J1041-B1041*INT(J1041/B1041)))/C1041)/100))))</f>
        <v>0</v>
      </c>
      <c r="AV1041" s="57">
        <f>IF(ISERROR(IF(B1041=C1041,K1041/C1041,IF((INT(K1041/B1041)+(((K1041-B1041*INT(K1041/B1041)))/C1041)/100)&lt;0,(INT(K1041/B1041)+(((K1041-B1041*INT(K1041/B1041)))/C1041)/100)+(1-(B1041/C1041/100)),(INT(K1041/B1041)+(((K1041-B1041*INT(K1041/B1041)))/C1041)/100)))),0,IF(B1041=C1041,K1041/C1041,IF((INT(K1041/B1041)+(((K1041-B1041*INT(K1041/B1041)))/C1041)/100)&lt;0,(INT(K1041/B1041)+(((K1041-B1041*INT(K1041/B1041)))/C1041)/100)+(1-(B1041/C1041/100)),(INT(K1041/B1041)+(((K1041-B1041*INT(K1041/B1041)))/C1041)/100))))</f>
        <v>0</v>
      </c>
      <c r="AW1041" s="57">
        <f>IF(ISERROR(IF(B1041=C1041,L1041/C1041,(INT(L1041/B1041)+(((L1041-B1041*INT(L1041/B1041)))/C1041)/100))),0,(IF(B1041=C1041,L1041/C1041,(INT(L1041/B1041)+(((L1041-B1041*INT(L1041/B1041)))/C1041)/100))))</f>
        <v>0</v>
      </c>
      <c r="AX1041" s="57">
        <f>IF(ISERROR(IF(B1041=C1041,M1041/C1041,(INT(M1041/B1041)+(((M1041-B1041*INT(M1041/B1041)))/C1041)/100))),0,(IF(B1041=C1041,M1041/C1041,(INT(M1041/B1041)+(((M1041-B1041*INT(M1041/B1041)))/C1041)/100))))</f>
        <v>0</v>
      </c>
      <c r="AY1041" s="57">
        <f>IF(ISERROR(IF(B1041=C1041,N1041/C1041,IF((INT(N1041/B1041)+(((N1041-B1041*INT(N1041/B1041)))/C1041)/100)&lt;0,(INT(N1041/B1041)+(((N1041-B1041*INT(N1041/B1041)))/C1041)/100)+(1-(B1041/C1041/100)),(INT(N1041/B1041)+(((N1041-B1041*INT(N1041/B1041)))/C1041)/100)))),0,IF(B1041=C1041,N1041/C1041,IF((INT(N1041/B1041)+(((N1041-B1041*INT(N1041/B1041)))/C1041)/100)&lt;0,(INT(N1041/B1041)+(((N1041-B1041*INT(N1041/B1041)))/C1041)/100)+(1-(B1041/C1041/100)),(INT(N1041/B1041)+(((N1041-B1041*INT(N1041/B1041)))/C1041)/100))))</f>
        <v>0</v>
      </c>
      <c r="AZ1041" s="57">
        <f>IF(ISERROR(IF(B1041=C1041,O1041/C1041,(INT(O1041/B1041)+(((O1041-B1041*INT(O1041/B1041)))/C1041)/100))),0,(IF(B1041=C1041,O1041/C1041,(INT(O1041/B1041)+(((O1041-B1041*INT(O1041/B1041)))/C1041)/100))))</f>
        <v>0</v>
      </c>
      <c r="BA1041" s="57">
        <f>IF(ISERROR(IF(B1041=C1041,P1041/C1041,IF((INT(P1041/B1041)+(((P1041-B1041*INT(P1041/B1041)))/C1041)/100)&lt;0,(INT(P1041/B1041)+(((P1041-B1041*INT(P1041/B1041)))/C1041)/100)+(1-(B1041/C1041/100)),(INT(P1041/B1041)+(((P1041-B1041*INT(P1041/B1041)))/C1041)/100)))),0,IF(B1041=C1041,P1041/C1041,IF((INT(P1041/B1041)+(((P1041-B1041*INT(P1041/B1041)))/C1041)/100)&lt;0,(INT(P1041/B1041)+(((P1041-B1041*INT(P1041/B1041)))/C1041)/100)+(1-(B1041/C1041/100)),(INT(P1041/B1041)+(((P1041-B1041*INT(P1041/B1041)))/C1041)/100))))</f>
        <v>0</v>
      </c>
      <c r="BB1041" s="28">
        <f>R1041</f>
        <v>0</v>
      </c>
      <c r="BC1041" s="28">
        <f>S1041</f>
        <v>0</v>
      </c>
      <c r="BD1041" s="28">
        <f>AF1041</f>
        <v>0</v>
      </c>
      <c r="BE1041" s="28">
        <f>T1041</f>
        <v>0</v>
      </c>
      <c r="BF1041" s="1"/>
      <c r="BG1041" s="57">
        <f>IF(ISERROR(IF(B1041=C1041,V1041/C1041,(INT(V1041/B1041)+(((V1041-B1041*INT(V1041/B1041)))/C1041)/100))),0,(IF(B1041=C1041,V1041/C1041,(INT(V1041/B1041)+(((V1041-B1041*INT(V1041/B1041)))/C1041)/100))))</f>
        <v>0</v>
      </c>
      <c r="BH1041" s="57">
        <f>IF(ISERROR(IF(B1041=C1041,W1041/C1041,(INT(W1041/B1041)+(((W1041-B1041*INT(W1041/B1041)))/C1041)/100))),0,(IF(B1041=C1041,W1041/C1041,(INT(W1041/B1041)+(((W1041-B1041*INT(W1041/B1041)))/C1041)/100))))</f>
        <v>0</v>
      </c>
      <c r="BI1041" s="57">
        <f>IF(ISERROR(IF(B1041=C1041,X1041/C1041,(INT(X1041/B1041)+(((X1041-B1041*INT(X1041/B1041)))/C1041)/100))),0,(IF(B1041=C1041,X1041/C1041,(INT(X1041/B1041)+(((X1041-B1041*INT(X1041/B1041)))/C1041)/100))))</f>
        <v>0</v>
      </c>
      <c r="BJ1041" s="57">
        <f>IF(ISERROR(IF(B1041=C1041,Y1041/C1041,(INT(Y1041/B1041)+(((Y1041-B1041*INT(Y1041/B1041)))/C1041)/100))),0,(IF(B1041=C1041,Y1041/C1041,(INT(Y1041/B1041)+(((Y1041-B1041*INT(Y1041/B1041)))/C1041)/100))))</f>
        <v>0</v>
      </c>
      <c r="BK1041" s="1"/>
      <c r="BL1041" s="57">
        <f>IF(ISERROR(IF(B1041=C1041,AA1041/C1041,(INT(AA1041/B1041)+(((AA1041-B1041*INT(AA1041/B1041)))/C1041)/100))),0,(IF(B1041=C1041,AA1041/C1041,(INT(AA1041/B1041)+(((AA1041-B1041*INT(AA1041/B1041)))/C1041)/100))))</f>
        <v>0</v>
      </c>
      <c r="BM1041" s="57">
        <f>IF(ISERROR(IF(B1041=C1041,AB1041/C1041,(INT(AB1041/B1041)+(((AB1041-B1041*INT(AB1041/B1041)))/C1041)/100))),0,(IF(B1041=C1041,AB1041/C1041,(INT(AB1041/B1041)+(((AB1041-B1041*INT(AB1041/B1041)))/C1041)/100))))</f>
        <v>0</v>
      </c>
      <c r="BN1041" s="57">
        <f>IF(ISERROR(IF(B1041=C1041,AC1041/C1041,(INT(AC1041/B1041)+(((AC1041-B1041*INT(AC1041/B1041)))/C1041)/100))),0,(IF(B1041=C1041,AC1041/C1041,(INT(AC1041/B1041)+(((AC1041-B1041*INT(AC1041/B1041)))/C1041)/100))))</f>
        <v>0</v>
      </c>
      <c r="BO1041" s="57">
        <f>IF(ISERROR(IF(B1041=C1041,AD1041/C1041,(INT(AD1041/B1041)+(((AD1041-B1041*INT(AD1041/B1041)))/C1041)/100))),0,(IF(B1041=C1041,AD1041/C1041,(INT(AD1041/B1041)+(((AD1041-B1041*INT(AD1041/B1041)))/C1041)/100))))</f>
        <v>0</v>
      </c>
      <c r="BQ1041" s="37"/>
    </row>
    <row r="1042" spans="1:69" s="10" customFormat="1" hidden="1" x14ac:dyDescent="0.35">
      <c r="A1042" s="56"/>
      <c r="B1042" s="30">
        <v>0</v>
      </c>
      <c r="C1042" s="30">
        <v>0</v>
      </c>
      <c r="D1042" s="28">
        <f>SUM(AA1042:AD1042)</f>
        <v>0</v>
      </c>
      <c r="E1042" s="30">
        <v>0</v>
      </c>
      <c r="F1042" s="30">
        <v>0</v>
      </c>
      <c r="G1042" s="28">
        <f>SUM(D1042:F1042)</f>
        <v>0</v>
      </c>
      <c r="H1042" s="30">
        <v>0</v>
      </c>
      <c r="I1042" s="30">
        <v>0</v>
      </c>
      <c r="J1042" s="30">
        <v>0</v>
      </c>
      <c r="K1042" s="30">
        <v>0</v>
      </c>
      <c r="L1042" s="30">
        <v>0</v>
      </c>
      <c r="M1042" s="30">
        <v>0</v>
      </c>
      <c r="N1042" s="29">
        <f>G1042-SUM(H1042:M1042)</f>
        <v>0</v>
      </c>
      <c r="O1042" s="28">
        <f>SUM(V1042:Y1042)</f>
        <v>0</v>
      </c>
      <c r="P1042" s="29">
        <f>O1042-N1042</f>
        <v>0</v>
      </c>
      <c r="Q1042" s="61" t="str">
        <f>IF(ISERROR(P1042/SUM(H1042:L1042)),"",P1042/SUM(H1042:L1042))</f>
        <v/>
      </c>
      <c r="R1042" s="30">
        <v>0</v>
      </c>
      <c r="S1042" s="28">
        <f>IF(ISERROR(P1042/C1042*R1042),0,(P1042/C1042*R1042))</f>
        <v>0</v>
      </c>
      <c r="T1042" s="60">
        <f>IF(ISERROR(P1042/B1042*AF1042),0,(P1042/B1042*AF1042))</f>
        <v>0</v>
      </c>
      <c r="U1042" s="14"/>
      <c r="V1042" s="30">
        <v>0</v>
      </c>
      <c r="W1042" s="30">
        <v>0</v>
      </c>
      <c r="X1042" s="30">
        <v>0</v>
      </c>
      <c r="Y1042" s="30">
        <v>0</v>
      </c>
      <c r="Z1042" s="59"/>
      <c r="AA1042" s="30">
        <v>0</v>
      </c>
      <c r="AB1042" s="30">
        <v>0</v>
      </c>
      <c r="AC1042" s="30">
        <v>0</v>
      </c>
      <c r="AD1042" s="30">
        <v>0</v>
      </c>
      <c r="AE1042" s="59"/>
      <c r="AF1042" s="54">
        <v>0</v>
      </c>
      <c r="AG1042" s="28">
        <f>G1042-O1042</f>
        <v>0</v>
      </c>
      <c r="AH1042" s="58">
        <f>IF(ISERROR(AG1042/B1042*AF1042),0,(AG1042/B1042*AF1042))</f>
        <v>0</v>
      </c>
      <c r="AI1042" s="28">
        <f>SUM(H1042:M1042)</f>
        <v>0</v>
      </c>
      <c r="AJ1042" s="28">
        <f>IF(ISERROR(AI1042/B1042*AF1042),0,(AI1042/B1042*AF1042))</f>
        <v>0</v>
      </c>
      <c r="AK1042" s="28">
        <f>IF(ISERROR(O1042/B1042*AF1042),0,(O1042/B1042*AF1042))</f>
        <v>0</v>
      </c>
      <c r="AL1042" s="1"/>
      <c r="AM1042" s="1"/>
      <c r="AN1042" s="51">
        <f>A1042</f>
        <v>0</v>
      </c>
      <c r="AO1042" s="57">
        <f>IF(ISERROR(IF(B1042=C1042,D1042/C1042,(INT(D1042/B1042)+(((D1042-B1042*INT(D1042/B1042)))/C1042)/100))),0,(IF(B1042=C1042,D1042/C1042,(INT(D1042/B1042)+(((D1042-B1042*INT(D1042/B1042)))/C1042)/100))))</f>
        <v>0</v>
      </c>
      <c r="AP1042" s="57">
        <f>IF(ISERROR(IF(B1042=C1042,E1042/C1042,(INT(E1042/B1042)+(((E1042-B1042*INT(E1042/B1042)))/C1042)/100))),0,(IF(B1042=C1042,E1042/C1042,(INT(E1042/B1042)+(((E1042-B1042*INT(E1042/B1042)))/C1042)/100))))</f>
        <v>0</v>
      </c>
      <c r="AQ1042" s="57">
        <f>IF(ISERROR(IF(B1042=C1042,F1042/C1042,IF((INT(F1042/B1042)+(((F1042-B1042*INT(F1042/B1042)))/C1042)/100)&lt;0,(INT(F1042/B1042)+(((F1042-B1042*INT(F1042/B1042)))/C1042)/100)+(1-(B1042/C1042/100)),(INT(F1042/B1042)+(((F1042-B1042*INT(F1042/B1042)))/C1042)/100)))),0,IF(B1042=C1042,F1042/C1042,IF((INT(F1042/B1042)+(((F1042-B1042*INT(F1042/B1042)))/C1042)/100)&lt;0,(INT(F1042/B1042)+(((F1042-B1042*INT(F1042/B1042)))/C1042)/100)+(1-(B1042/C1042/100)),(INT(F1042/B1042)+(((F1042-B1042*INT(F1042/B1042)))/C1042)/100))))</f>
        <v>0</v>
      </c>
      <c r="AR1042" s="57">
        <f>IF(ISERROR(IF(B1042=C1042,G1042/C1042,(INT(G1042/B1042)+(((G1042-B1042*INT(G1042/B1042)))/C1042)/100))),0,(IF(B1042=C1042,G1042/C1042,(INT(G1042/B1042)+(((G1042-B1042*INT(G1042/B1042)))/C1042)/100))))</f>
        <v>0</v>
      </c>
      <c r="AS1042" s="57">
        <f>IF(ISERROR(IF(B1042=C1042,H1042/C1042,(INT(H1042/B1042)+(((H1042-B1042*INT(H1042/B1042)))/C1042)/100))),0,(IF(B1042=C1042,H1042/C1042,(INT(H1042/B1042)+(((H1042-B1042*INT(H1042/B1042)))/C1042)/100))))</f>
        <v>0</v>
      </c>
      <c r="AT1042" s="57">
        <f>IF(ISERROR(IF(B1042=C1042,I1042/C1042,(INT(I1042/B1042)+(((I1042-B1042*INT(I1042/B1042)))/C1042)/100))),0,(IF(B1042=C1042,I1042/C1042,(INT(I1042/B1042)+(((I1042-B1042*INT(I1042/B1042)))/C1042)/100))))</f>
        <v>0</v>
      </c>
      <c r="AU1042" s="57">
        <f>IF(ISERROR(IF(B1042=C1042,J1042/C1042,(INT(J1042/B1042)+(((J1042-B1042*INT(J1042/B1042)))/C1042)/100))),0,(IF(B1042=C1042,J1042/C1042,(INT(J1042/B1042)+(((J1042-B1042*INT(J1042/B1042)))/C1042)/100))))</f>
        <v>0</v>
      </c>
      <c r="AV1042" s="57">
        <f>IF(ISERROR(IF(B1042=C1042,K1042/C1042,IF((INT(K1042/B1042)+(((K1042-B1042*INT(K1042/B1042)))/C1042)/100)&lt;0,(INT(K1042/B1042)+(((K1042-B1042*INT(K1042/B1042)))/C1042)/100)+(1-(B1042/C1042/100)),(INT(K1042/B1042)+(((K1042-B1042*INT(K1042/B1042)))/C1042)/100)))),0,IF(B1042=C1042,K1042/C1042,IF((INT(K1042/B1042)+(((K1042-B1042*INT(K1042/B1042)))/C1042)/100)&lt;0,(INT(K1042/B1042)+(((K1042-B1042*INT(K1042/B1042)))/C1042)/100)+(1-(B1042/C1042/100)),(INT(K1042/B1042)+(((K1042-B1042*INT(K1042/B1042)))/C1042)/100))))</f>
        <v>0</v>
      </c>
      <c r="AW1042" s="57">
        <f>IF(ISERROR(IF(B1042=C1042,L1042/C1042,(INT(L1042/B1042)+(((L1042-B1042*INT(L1042/B1042)))/C1042)/100))),0,(IF(B1042=C1042,L1042/C1042,(INT(L1042/B1042)+(((L1042-B1042*INT(L1042/B1042)))/C1042)/100))))</f>
        <v>0</v>
      </c>
      <c r="AX1042" s="57">
        <f>IF(ISERROR(IF(B1042=C1042,M1042/C1042,(INT(M1042/B1042)+(((M1042-B1042*INT(M1042/B1042)))/C1042)/100))),0,(IF(B1042=C1042,M1042/C1042,(INT(M1042/B1042)+(((M1042-B1042*INT(M1042/B1042)))/C1042)/100))))</f>
        <v>0</v>
      </c>
      <c r="AY1042" s="57">
        <f>IF(ISERROR(IF(B1042=C1042,N1042/C1042,IF((INT(N1042/B1042)+(((N1042-B1042*INT(N1042/B1042)))/C1042)/100)&lt;0,(INT(N1042/B1042)+(((N1042-B1042*INT(N1042/B1042)))/C1042)/100)+(1-(B1042/C1042/100)),(INT(N1042/B1042)+(((N1042-B1042*INT(N1042/B1042)))/C1042)/100)))),0,IF(B1042=C1042,N1042/C1042,IF((INT(N1042/B1042)+(((N1042-B1042*INT(N1042/B1042)))/C1042)/100)&lt;0,(INT(N1042/B1042)+(((N1042-B1042*INT(N1042/B1042)))/C1042)/100)+(1-(B1042/C1042/100)),(INT(N1042/B1042)+(((N1042-B1042*INT(N1042/B1042)))/C1042)/100))))</f>
        <v>0</v>
      </c>
      <c r="AZ1042" s="57">
        <f>IF(ISERROR(IF(B1042=C1042,O1042/C1042,(INT(O1042/B1042)+(((O1042-B1042*INT(O1042/B1042)))/C1042)/100))),0,(IF(B1042=C1042,O1042/C1042,(INT(O1042/B1042)+(((O1042-B1042*INT(O1042/B1042)))/C1042)/100))))</f>
        <v>0</v>
      </c>
      <c r="BA1042" s="57">
        <f>IF(ISERROR(IF(B1042=C1042,P1042/C1042,IF((INT(P1042/B1042)+(((P1042-B1042*INT(P1042/B1042)))/C1042)/100)&lt;0,(INT(P1042/B1042)+(((P1042-B1042*INT(P1042/B1042)))/C1042)/100)+(1-(B1042/C1042/100)),(INT(P1042/B1042)+(((P1042-B1042*INT(P1042/B1042)))/C1042)/100)))),0,IF(B1042=C1042,P1042/C1042,IF((INT(P1042/B1042)+(((P1042-B1042*INT(P1042/B1042)))/C1042)/100)&lt;0,(INT(P1042/B1042)+(((P1042-B1042*INT(P1042/B1042)))/C1042)/100)+(1-(B1042/C1042/100)),(INT(P1042/B1042)+(((P1042-B1042*INT(P1042/B1042)))/C1042)/100))))</f>
        <v>0</v>
      </c>
      <c r="BB1042" s="28">
        <f>R1042</f>
        <v>0</v>
      </c>
      <c r="BC1042" s="28">
        <f>S1042</f>
        <v>0</v>
      </c>
      <c r="BD1042" s="28">
        <f>AF1042</f>
        <v>0</v>
      </c>
      <c r="BE1042" s="28">
        <f>T1042</f>
        <v>0</v>
      </c>
      <c r="BF1042" s="1"/>
      <c r="BG1042" s="57">
        <f>IF(ISERROR(IF(B1042=C1042,V1042/C1042,(INT(V1042/B1042)+(((V1042-B1042*INT(V1042/B1042)))/C1042)/100))),0,(IF(B1042=C1042,V1042/C1042,(INT(V1042/B1042)+(((V1042-B1042*INT(V1042/B1042)))/C1042)/100))))</f>
        <v>0</v>
      </c>
      <c r="BH1042" s="57">
        <f>IF(ISERROR(IF(B1042=C1042,W1042/C1042,(INT(W1042/B1042)+(((W1042-B1042*INT(W1042/B1042)))/C1042)/100))),0,(IF(B1042=C1042,W1042/C1042,(INT(W1042/B1042)+(((W1042-B1042*INT(W1042/B1042)))/C1042)/100))))</f>
        <v>0</v>
      </c>
      <c r="BI1042" s="57">
        <f>IF(ISERROR(IF(B1042=C1042,X1042/C1042,(INT(X1042/B1042)+(((X1042-B1042*INT(X1042/B1042)))/C1042)/100))),0,(IF(B1042=C1042,X1042/C1042,(INT(X1042/B1042)+(((X1042-B1042*INT(X1042/B1042)))/C1042)/100))))</f>
        <v>0</v>
      </c>
      <c r="BJ1042" s="57">
        <f>IF(ISERROR(IF(B1042=C1042,Y1042/C1042,(INT(Y1042/B1042)+(((Y1042-B1042*INT(Y1042/B1042)))/C1042)/100))),0,(IF(B1042=C1042,Y1042/C1042,(INT(Y1042/B1042)+(((Y1042-B1042*INT(Y1042/B1042)))/C1042)/100))))</f>
        <v>0</v>
      </c>
      <c r="BK1042" s="1"/>
      <c r="BL1042" s="57">
        <f>IF(ISERROR(IF(B1042=C1042,AA1042/C1042,(INT(AA1042/B1042)+(((AA1042-B1042*INT(AA1042/B1042)))/C1042)/100))),0,(IF(B1042=C1042,AA1042/C1042,(INT(AA1042/B1042)+(((AA1042-B1042*INT(AA1042/B1042)))/C1042)/100))))</f>
        <v>0</v>
      </c>
      <c r="BM1042" s="57">
        <f>IF(ISERROR(IF(B1042=C1042,AB1042/C1042,(INT(AB1042/B1042)+(((AB1042-B1042*INT(AB1042/B1042)))/C1042)/100))),0,(IF(B1042=C1042,AB1042/C1042,(INT(AB1042/B1042)+(((AB1042-B1042*INT(AB1042/B1042)))/C1042)/100))))</f>
        <v>0</v>
      </c>
      <c r="BN1042" s="57">
        <f>IF(ISERROR(IF(B1042=C1042,AC1042/C1042,(INT(AC1042/B1042)+(((AC1042-B1042*INT(AC1042/B1042)))/C1042)/100))),0,(IF(B1042=C1042,AC1042/C1042,(INT(AC1042/B1042)+(((AC1042-B1042*INT(AC1042/B1042)))/C1042)/100))))</f>
        <v>0</v>
      </c>
      <c r="BO1042" s="57">
        <f>IF(ISERROR(IF(B1042=C1042,AD1042/C1042,(INT(AD1042/B1042)+(((AD1042-B1042*INT(AD1042/B1042)))/C1042)/100))),0,(IF(B1042=C1042,AD1042/C1042,(INT(AD1042/B1042)+(((AD1042-B1042*INT(AD1042/B1042)))/C1042)/100))))</f>
        <v>0</v>
      </c>
      <c r="BQ1042" s="37"/>
    </row>
    <row r="1043" spans="1:69" s="10" customFormat="1" hidden="1" x14ac:dyDescent="0.35">
      <c r="A1043" s="56"/>
      <c r="B1043" s="30">
        <v>0</v>
      </c>
      <c r="C1043" s="30">
        <v>0</v>
      </c>
      <c r="D1043" s="28">
        <f>SUM(AA1043:AD1043)</f>
        <v>0</v>
      </c>
      <c r="E1043" s="30">
        <v>0</v>
      </c>
      <c r="F1043" s="30">
        <v>0</v>
      </c>
      <c r="G1043" s="28">
        <f>SUM(D1043:F1043)</f>
        <v>0</v>
      </c>
      <c r="H1043" s="30">
        <v>0</v>
      </c>
      <c r="I1043" s="30">
        <v>0</v>
      </c>
      <c r="J1043" s="30">
        <v>0</v>
      </c>
      <c r="K1043" s="30">
        <v>0</v>
      </c>
      <c r="L1043" s="30">
        <v>0</v>
      </c>
      <c r="M1043" s="30">
        <v>0</v>
      </c>
      <c r="N1043" s="29">
        <f>G1043-SUM(H1043:M1043)</f>
        <v>0</v>
      </c>
      <c r="O1043" s="28">
        <f>SUM(V1043:Y1043)</f>
        <v>0</v>
      </c>
      <c r="P1043" s="29">
        <f>O1043-N1043</f>
        <v>0</v>
      </c>
      <c r="Q1043" s="61" t="str">
        <f>IF(ISERROR(P1043/SUM(H1043:L1043)),"",P1043/SUM(H1043:L1043))</f>
        <v/>
      </c>
      <c r="R1043" s="30">
        <v>0</v>
      </c>
      <c r="S1043" s="28">
        <f>IF(ISERROR(P1043/C1043*R1043),0,(P1043/C1043*R1043))</f>
        <v>0</v>
      </c>
      <c r="T1043" s="60">
        <f>IF(ISERROR(P1043/B1043*AF1043),0,(P1043/B1043*AF1043))</f>
        <v>0</v>
      </c>
      <c r="U1043" s="14"/>
      <c r="V1043" s="30">
        <v>0</v>
      </c>
      <c r="W1043" s="30">
        <v>0</v>
      </c>
      <c r="X1043" s="30">
        <v>0</v>
      </c>
      <c r="Y1043" s="30">
        <v>0</v>
      </c>
      <c r="Z1043" s="59"/>
      <c r="AA1043" s="30">
        <v>0</v>
      </c>
      <c r="AB1043" s="30">
        <v>0</v>
      </c>
      <c r="AC1043" s="30">
        <v>0</v>
      </c>
      <c r="AD1043" s="30">
        <v>0</v>
      </c>
      <c r="AE1043" s="59"/>
      <c r="AF1043" s="54">
        <v>0</v>
      </c>
      <c r="AG1043" s="28">
        <f>G1043-O1043</f>
        <v>0</v>
      </c>
      <c r="AH1043" s="58">
        <f>IF(ISERROR(AG1043/B1043*AF1043),0,(AG1043/B1043*AF1043))</f>
        <v>0</v>
      </c>
      <c r="AI1043" s="28">
        <f>SUM(H1043:M1043)</f>
        <v>0</v>
      </c>
      <c r="AJ1043" s="28">
        <f>IF(ISERROR(AI1043/B1043*AF1043),0,(AI1043/B1043*AF1043))</f>
        <v>0</v>
      </c>
      <c r="AK1043" s="28">
        <f>IF(ISERROR(O1043/B1043*AF1043),0,(O1043/B1043*AF1043))</f>
        <v>0</v>
      </c>
      <c r="AL1043" s="1"/>
      <c r="AM1043" s="1"/>
      <c r="AN1043" s="51">
        <f>A1043</f>
        <v>0</v>
      </c>
      <c r="AO1043" s="57">
        <f>IF(ISERROR(IF(B1043=C1043,D1043/C1043,(INT(D1043/B1043)+(((D1043-B1043*INT(D1043/B1043)))/C1043)/100))),0,(IF(B1043=C1043,D1043/C1043,(INT(D1043/B1043)+(((D1043-B1043*INT(D1043/B1043)))/C1043)/100))))</f>
        <v>0</v>
      </c>
      <c r="AP1043" s="57">
        <f>IF(ISERROR(IF(B1043=C1043,E1043/C1043,(INT(E1043/B1043)+(((E1043-B1043*INT(E1043/B1043)))/C1043)/100))),0,(IF(B1043=C1043,E1043/C1043,(INT(E1043/B1043)+(((E1043-B1043*INT(E1043/B1043)))/C1043)/100))))</f>
        <v>0</v>
      </c>
      <c r="AQ1043" s="57">
        <f>IF(ISERROR(IF(B1043=C1043,F1043/C1043,IF((INT(F1043/B1043)+(((F1043-B1043*INT(F1043/B1043)))/C1043)/100)&lt;0,(INT(F1043/B1043)+(((F1043-B1043*INT(F1043/B1043)))/C1043)/100)+(1-(B1043/C1043/100)),(INT(F1043/B1043)+(((F1043-B1043*INT(F1043/B1043)))/C1043)/100)))),0,IF(B1043=C1043,F1043/C1043,IF((INT(F1043/B1043)+(((F1043-B1043*INT(F1043/B1043)))/C1043)/100)&lt;0,(INT(F1043/B1043)+(((F1043-B1043*INT(F1043/B1043)))/C1043)/100)+(1-(B1043/C1043/100)),(INT(F1043/B1043)+(((F1043-B1043*INT(F1043/B1043)))/C1043)/100))))</f>
        <v>0</v>
      </c>
      <c r="AR1043" s="57">
        <f>IF(ISERROR(IF(B1043=C1043,G1043/C1043,(INT(G1043/B1043)+(((G1043-B1043*INT(G1043/B1043)))/C1043)/100))),0,(IF(B1043=C1043,G1043/C1043,(INT(G1043/B1043)+(((G1043-B1043*INT(G1043/B1043)))/C1043)/100))))</f>
        <v>0</v>
      </c>
      <c r="AS1043" s="57">
        <f>IF(ISERROR(IF(B1043=C1043,H1043/C1043,(INT(H1043/B1043)+(((H1043-B1043*INT(H1043/B1043)))/C1043)/100))),0,(IF(B1043=C1043,H1043/C1043,(INT(H1043/B1043)+(((H1043-B1043*INT(H1043/B1043)))/C1043)/100))))</f>
        <v>0</v>
      </c>
      <c r="AT1043" s="57">
        <f>IF(ISERROR(IF(B1043=C1043,I1043/C1043,(INT(I1043/B1043)+(((I1043-B1043*INT(I1043/B1043)))/C1043)/100))),0,(IF(B1043=C1043,I1043/C1043,(INT(I1043/B1043)+(((I1043-B1043*INT(I1043/B1043)))/C1043)/100))))</f>
        <v>0</v>
      </c>
      <c r="AU1043" s="57">
        <f>IF(ISERROR(IF(B1043=C1043,J1043/C1043,(INT(J1043/B1043)+(((J1043-B1043*INT(J1043/B1043)))/C1043)/100))),0,(IF(B1043=C1043,J1043/C1043,(INT(J1043/B1043)+(((J1043-B1043*INT(J1043/B1043)))/C1043)/100))))</f>
        <v>0</v>
      </c>
      <c r="AV1043" s="57">
        <f>IF(ISERROR(IF(B1043=C1043,K1043/C1043,IF((INT(K1043/B1043)+(((K1043-B1043*INT(K1043/B1043)))/C1043)/100)&lt;0,(INT(K1043/B1043)+(((K1043-B1043*INT(K1043/B1043)))/C1043)/100)+(1-(B1043/C1043/100)),(INT(K1043/B1043)+(((K1043-B1043*INT(K1043/B1043)))/C1043)/100)))),0,IF(B1043=C1043,K1043/C1043,IF((INT(K1043/B1043)+(((K1043-B1043*INT(K1043/B1043)))/C1043)/100)&lt;0,(INT(K1043/B1043)+(((K1043-B1043*INT(K1043/B1043)))/C1043)/100)+(1-(B1043/C1043/100)),(INT(K1043/B1043)+(((K1043-B1043*INT(K1043/B1043)))/C1043)/100))))</f>
        <v>0</v>
      </c>
      <c r="AW1043" s="57">
        <f>IF(ISERROR(IF(B1043=C1043,L1043/C1043,(INT(L1043/B1043)+(((L1043-B1043*INT(L1043/B1043)))/C1043)/100))),0,(IF(B1043=C1043,L1043/C1043,(INT(L1043/B1043)+(((L1043-B1043*INT(L1043/B1043)))/C1043)/100))))</f>
        <v>0</v>
      </c>
      <c r="AX1043" s="57">
        <f>IF(ISERROR(IF(B1043=C1043,M1043/C1043,(INT(M1043/B1043)+(((M1043-B1043*INT(M1043/B1043)))/C1043)/100))),0,(IF(B1043=C1043,M1043/C1043,(INT(M1043/B1043)+(((M1043-B1043*INT(M1043/B1043)))/C1043)/100))))</f>
        <v>0</v>
      </c>
      <c r="AY1043" s="57">
        <f>IF(ISERROR(IF(B1043=C1043,N1043/C1043,IF((INT(N1043/B1043)+(((N1043-B1043*INT(N1043/B1043)))/C1043)/100)&lt;0,(INT(N1043/B1043)+(((N1043-B1043*INT(N1043/B1043)))/C1043)/100)+(1-(B1043/C1043/100)),(INT(N1043/B1043)+(((N1043-B1043*INT(N1043/B1043)))/C1043)/100)))),0,IF(B1043=C1043,N1043/C1043,IF((INT(N1043/B1043)+(((N1043-B1043*INT(N1043/B1043)))/C1043)/100)&lt;0,(INT(N1043/B1043)+(((N1043-B1043*INT(N1043/B1043)))/C1043)/100)+(1-(B1043/C1043/100)),(INT(N1043/B1043)+(((N1043-B1043*INT(N1043/B1043)))/C1043)/100))))</f>
        <v>0</v>
      </c>
      <c r="AZ1043" s="57">
        <f>IF(ISERROR(IF(B1043=C1043,O1043/C1043,(INT(O1043/B1043)+(((O1043-B1043*INT(O1043/B1043)))/C1043)/100))),0,(IF(B1043=C1043,O1043/C1043,(INT(O1043/B1043)+(((O1043-B1043*INT(O1043/B1043)))/C1043)/100))))</f>
        <v>0</v>
      </c>
      <c r="BA1043" s="57">
        <f>IF(ISERROR(IF(B1043=C1043,P1043/C1043,IF((INT(P1043/B1043)+(((P1043-B1043*INT(P1043/B1043)))/C1043)/100)&lt;0,(INT(P1043/B1043)+(((P1043-B1043*INT(P1043/B1043)))/C1043)/100)+(1-(B1043/C1043/100)),(INT(P1043/B1043)+(((P1043-B1043*INT(P1043/B1043)))/C1043)/100)))),0,IF(B1043=C1043,P1043/C1043,IF((INT(P1043/B1043)+(((P1043-B1043*INT(P1043/B1043)))/C1043)/100)&lt;0,(INT(P1043/B1043)+(((P1043-B1043*INT(P1043/B1043)))/C1043)/100)+(1-(B1043/C1043/100)),(INT(P1043/B1043)+(((P1043-B1043*INT(P1043/B1043)))/C1043)/100))))</f>
        <v>0</v>
      </c>
      <c r="BB1043" s="28">
        <f>R1043</f>
        <v>0</v>
      </c>
      <c r="BC1043" s="28">
        <f>S1043</f>
        <v>0</v>
      </c>
      <c r="BD1043" s="28">
        <f>AF1043</f>
        <v>0</v>
      </c>
      <c r="BE1043" s="28">
        <f>T1043</f>
        <v>0</v>
      </c>
      <c r="BF1043" s="1"/>
      <c r="BG1043" s="57">
        <f>IF(ISERROR(IF(B1043=C1043,V1043/C1043,(INT(V1043/B1043)+(((V1043-B1043*INT(V1043/B1043)))/C1043)/100))),0,(IF(B1043=C1043,V1043/C1043,(INT(V1043/B1043)+(((V1043-B1043*INT(V1043/B1043)))/C1043)/100))))</f>
        <v>0</v>
      </c>
      <c r="BH1043" s="57">
        <f>IF(ISERROR(IF(B1043=C1043,W1043/C1043,(INT(W1043/B1043)+(((W1043-B1043*INT(W1043/B1043)))/C1043)/100))),0,(IF(B1043=C1043,W1043/C1043,(INT(W1043/B1043)+(((W1043-B1043*INT(W1043/B1043)))/C1043)/100))))</f>
        <v>0</v>
      </c>
      <c r="BI1043" s="57">
        <f>IF(ISERROR(IF(B1043=C1043,X1043/C1043,(INT(X1043/B1043)+(((X1043-B1043*INT(X1043/B1043)))/C1043)/100))),0,(IF(B1043=C1043,X1043/C1043,(INT(X1043/B1043)+(((X1043-B1043*INT(X1043/B1043)))/C1043)/100))))</f>
        <v>0</v>
      </c>
      <c r="BJ1043" s="57">
        <f>IF(ISERROR(IF(B1043=C1043,Y1043/C1043,(INT(Y1043/B1043)+(((Y1043-B1043*INT(Y1043/B1043)))/C1043)/100))),0,(IF(B1043=C1043,Y1043/C1043,(INT(Y1043/B1043)+(((Y1043-B1043*INT(Y1043/B1043)))/C1043)/100))))</f>
        <v>0</v>
      </c>
      <c r="BK1043" s="1"/>
      <c r="BL1043" s="57">
        <f>IF(ISERROR(IF(B1043=C1043,AA1043/C1043,(INT(AA1043/B1043)+(((AA1043-B1043*INT(AA1043/B1043)))/C1043)/100))),0,(IF(B1043=C1043,AA1043/C1043,(INT(AA1043/B1043)+(((AA1043-B1043*INT(AA1043/B1043)))/C1043)/100))))</f>
        <v>0</v>
      </c>
      <c r="BM1043" s="57">
        <f>IF(ISERROR(IF(B1043=C1043,AB1043/C1043,(INT(AB1043/B1043)+(((AB1043-B1043*INT(AB1043/B1043)))/C1043)/100))),0,(IF(B1043=C1043,AB1043/C1043,(INT(AB1043/B1043)+(((AB1043-B1043*INT(AB1043/B1043)))/C1043)/100))))</f>
        <v>0</v>
      </c>
      <c r="BN1043" s="57">
        <f>IF(ISERROR(IF(B1043=C1043,AC1043/C1043,(INT(AC1043/B1043)+(((AC1043-B1043*INT(AC1043/B1043)))/C1043)/100))),0,(IF(B1043=C1043,AC1043/C1043,(INT(AC1043/B1043)+(((AC1043-B1043*INT(AC1043/B1043)))/C1043)/100))))</f>
        <v>0</v>
      </c>
      <c r="BO1043" s="57">
        <f>IF(ISERROR(IF(B1043=C1043,AD1043/C1043,(INT(AD1043/B1043)+(((AD1043-B1043*INT(AD1043/B1043)))/C1043)/100))),0,(IF(B1043=C1043,AD1043/C1043,(INT(AD1043/B1043)+(((AD1043-B1043*INT(AD1043/B1043)))/C1043)/100))))</f>
        <v>0</v>
      </c>
      <c r="BQ1043" s="37"/>
    </row>
    <row r="1044" spans="1:69" s="10" customFormat="1" hidden="1" x14ac:dyDescent="0.35">
      <c r="A1044" s="56"/>
      <c r="B1044" s="30">
        <v>0</v>
      </c>
      <c r="C1044" s="30">
        <v>0</v>
      </c>
      <c r="D1044" s="28">
        <f>SUM(AA1044:AD1044)</f>
        <v>0</v>
      </c>
      <c r="E1044" s="30">
        <v>0</v>
      </c>
      <c r="F1044" s="30">
        <v>0</v>
      </c>
      <c r="G1044" s="28">
        <f>SUM(D1044:F1044)</f>
        <v>0</v>
      </c>
      <c r="H1044" s="30">
        <v>0</v>
      </c>
      <c r="I1044" s="30">
        <v>0</v>
      </c>
      <c r="J1044" s="30">
        <v>0</v>
      </c>
      <c r="K1044" s="30">
        <v>0</v>
      </c>
      <c r="L1044" s="30">
        <v>0</v>
      </c>
      <c r="M1044" s="30">
        <v>0</v>
      </c>
      <c r="N1044" s="29">
        <f>G1044-SUM(H1044:M1044)</f>
        <v>0</v>
      </c>
      <c r="O1044" s="28">
        <f>SUM(V1044:Y1044)</f>
        <v>0</v>
      </c>
      <c r="P1044" s="29">
        <f>O1044-N1044</f>
        <v>0</v>
      </c>
      <c r="Q1044" s="61" t="str">
        <f>IF(ISERROR(P1044/SUM(H1044:L1044)),"",P1044/SUM(H1044:L1044))</f>
        <v/>
      </c>
      <c r="R1044" s="30">
        <v>0</v>
      </c>
      <c r="S1044" s="28">
        <f>IF(ISERROR(P1044/C1044*R1044),0,(P1044/C1044*R1044))</f>
        <v>0</v>
      </c>
      <c r="T1044" s="60">
        <f>IF(ISERROR(P1044/B1044*AF1044),0,(P1044/B1044*AF1044))</f>
        <v>0</v>
      </c>
      <c r="U1044" s="14"/>
      <c r="V1044" s="30">
        <v>0</v>
      </c>
      <c r="W1044" s="30">
        <v>0</v>
      </c>
      <c r="X1044" s="30">
        <v>0</v>
      </c>
      <c r="Y1044" s="30">
        <v>0</v>
      </c>
      <c r="Z1044" s="59"/>
      <c r="AA1044" s="30">
        <v>0</v>
      </c>
      <c r="AB1044" s="30">
        <v>0</v>
      </c>
      <c r="AC1044" s="30">
        <v>0</v>
      </c>
      <c r="AD1044" s="30">
        <v>0</v>
      </c>
      <c r="AE1044" s="59"/>
      <c r="AF1044" s="54">
        <v>0</v>
      </c>
      <c r="AG1044" s="28">
        <f>G1044-O1044</f>
        <v>0</v>
      </c>
      <c r="AH1044" s="58">
        <f>IF(ISERROR(AG1044/B1044*AF1044),0,(AG1044/B1044*AF1044))</f>
        <v>0</v>
      </c>
      <c r="AI1044" s="28">
        <f>SUM(H1044:M1044)</f>
        <v>0</v>
      </c>
      <c r="AJ1044" s="28">
        <f>IF(ISERROR(AI1044/B1044*AF1044),0,(AI1044/B1044*AF1044))</f>
        <v>0</v>
      </c>
      <c r="AK1044" s="28">
        <f>IF(ISERROR(O1044/B1044*AF1044),0,(O1044/B1044*AF1044))</f>
        <v>0</v>
      </c>
      <c r="AL1044" s="1"/>
      <c r="AM1044" s="1"/>
      <c r="AN1044" s="51">
        <f>A1044</f>
        <v>0</v>
      </c>
      <c r="AO1044" s="57">
        <f>IF(ISERROR(IF(B1044=C1044,D1044/C1044,(INT(D1044/B1044)+(((D1044-B1044*INT(D1044/B1044)))/C1044)/100))),0,(IF(B1044=C1044,D1044/C1044,(INT(D1044/B1044)+(((D1044-B1044*INT(D1044/B1044)))/C1044)/100))))</f>
        <v>0</v>
      </c>
      <c r="AP1044" s="57">
        <f>IF(ISERROR(IF(B1044=C1044,E1044/C1044,(INT(E1044/B1044)+(((E1044-B1044*INT(E1044/B1044)))/C1044)/100))),0,(IF(B1044=C1044,E1044/C1044,(INT(E1044/B1044)+(((E1044-B1044*INT(E1044/B1044)))/C1044)/100))))</f>
        <v>0</v>
      </c>
      <c r="AQ1044" s="57">
        <f>IF(ISERROR(IF(B1044=C1044,F1044/C1044,IF((INT(F1044/B1044)+(((F1044-B1044*INT(F1044/B1044)))/C1044)/100)&lt;0,(INT(F1044/B1044)+(((F1044-B1044*INT(F1044/B1044)))/C1044)/100)+(1-(B1044/C1044/100)),(INT(F1044/B1044)+(((F1044-B1044*INT(F1044/B1044)))/C1044)/100)))),0,IF(B1044=C1044,F1044/C1044,IF((INT(F1044/B1044)+(((F1044-B1044*INT(F1044/B1044)))/C1044)/100)&lt;0,(INT(F1044/B1044)+(((F1044-B1044*INT(F1044/B1044)))/C1044)/100)+(1-(B1044/C1044/100)),(INT(F1044/B1044)+(((F1044-B1044*INT(F1044/B1044)))/C1044)/100))))</f>
        <v>0</v>
      </c>
      <c r="AR1044" s="57">
        <f>IF(ISERROR(IF(B1044=C1044,G1044/C1044,(INT(G1044/B1044)+(((G1044-B1044*INT(G1044/B1044)))/C1044)/100))),0,(IF(B1044=C1044,G1044/C1044,(INT(G1044/B1044)+(((G1044-B1044*INT(G1044/B1044)))/C1044)/100))))</f>
        <v>0</v>
      </c>
      <c r="AS1044" s="57">
        <f>IF(ISERROR(IF(B1044=C1044,H1044/C1044,(INT(H1044/B1044)+(((H1044-B1044*INT(H1044/B1044)))/C1044)/100))),0,(IF(B1044=C1044,H1044/C1044,(INT(H1044/B1044)+(((H1044-B1044*INT(H1044/B1044)))/C1044)/100))))</f>
        <v>0</v>
      </c>
      <c r="AT1044" s="57">
        <f>IF(ISERROR(IF(B1044=C1044,I1044/C1044,(INT(I1044/B1044)+(((I1044-B1044*INT(I1044/B1044)))/C1044)/100))),0,(IF(B1044=C1044,I1044/C1044,(INT(I1044/B1044)+(((I1044-B1044*INT(I1044/B1044)))/C1044)/100))))</f>
        <v>0</v>
      </c>
      <c r="AU1044" s="57">
        <f>IF(ISERROR(IF(B1044=C1044,J1044/C1044,(INT(J1044/B1044)+(((J1044-B1044*INT(J1044/B1044)))/C1044)/100))),0,(IF(B1044=C1044,J1044/C1044,(INT(J1044/B1044)+(((J1044-B1044*INT(J1044/B1044)))/C1044)/100))))</f>
        <v>0</v>
      </c>
      <c r="AV1044" s="57">
        <f>IF(ISERROR(IF(B1044=C1044,K1044/C1044,IF((INT(K1044/B1044)+(((K1044-B1044*INT(K1044/B1044)))/C1044)/100)&lt;0,(INT(K1044/B1044)+(((K1044-B1044*INT(K1044/B1044)))/C1044)/100)+(1-(B1044/C1044/100)),(INT(K1044/B1044)+(((K1044-B1044*INT(K1044/B1044)))/C1044)/100)))),0,IF(B1044=C1044,K1044/C1044,IF((INT(K1044/B1044)+(((K1044-B1044*INT(K1044/B1044)))/C1044)/100)&lt;0,(INT(K1044/B1044)+(((K1044-B1044*INT(K1044/B1044)))/C1044)/100)+(1-(B1044/C1044/100)),(INT(K1044/B1044)+(((K1044-B1044*INT(K1044/B1044)))/C1044)/100))))</f>
        <v>0</v>
      </c>
      <c r="AW1044" s="57">
        <f>IF(ISERROR(IF(B1044=C1044,L1044/C1044,(INT(L1044/B1044)+(((L1044-B1044*INT(L1044/B1044)))/C1044)/100))),0,(IF(B1044=C1044,L1044/C1044,(INT(L1044/B1044)+(((L1044-B1044*INT(L1044/B1044)))/C1044)/100))))</f>
        <v>0</v>
      </c>
      <c r="AX1044" s="57">
        <f>IF(ISERROR(IF(B1044=C1044,M1044/C1044,(INT(M1044/B1044)+(((M1044-B1044*INT(M1044/B1044)))/C1044)/100))),0,(IF(B1044=C1044,M1044/C1044,(INT(M1044/B1044)+(((M1044-B1044*INT(M1044/B1044)))/C1044)/100))))</f>
        <v>0</v>
      </c>
      <c r="AY1044" s="57">
        <f>IF(ISERROR(IF(B1044=C1044,N1044/C1044,IF((INT(N1044/B1044)+(((N1044-B1044*INT(N1044/B1044)))/C1044)/100)&lt;0,(INT(N1044/B1044)+(((N1044-B1044*INT(N1044/B1044)))/C1044)/100)+(1-(B1044/C1044/100)),(INT(N1044/B1044)+(((N1044-B1044*INT(N1044/B1044)))/C1044)/100)))),0,IF(B1044=C1044,N1044/C1044,IF((INT(N1044/B1044)+(((N1044-B1044*INT(N1044/B1044)))/C1044)/100)&lt;0,(INT(N1044/B1044)+(((N1044-B1044*INT(N1044/B1044)))/C1044)/100)+(1-(B1044/C1044/100)),(INT(N1044/B1044)+(((N1044-B1044*INT(N1044/B1044)))/C1044)/100))))</f>
        <v>0</v>
      </c>
      <c r="AZ1044" s="57">
        <f>IF(ISERROR(IF(B1044=C1044,O1044/C1044,(INT(O1044/B1044)+(((O1044-B1044*INT(O1044/B1044)))/C1044)/100))),0,(IF(B1044=C1044,O1044/C1044,(INT(O1044/B1044)+(((O1044-B1044*INT(O1044/B1044)))/C1044)/100))))</f>
        <v>0</v>
      </c>
      <c r="BA1044" s="57">
        <f>IF(ISERROR(IF(B1044=C1044,P1044/C1044,IF((INT(P1044/B1044)+(((P1044-B1044*INT(P1044/B1044)))/C1044)/100)&lt;0,(INT(P1044/B1044)+(((P1044-B1044*INT(P1044/B1044)))/C1044)/100)+(1-(B1044/C1044/100)),(INT(P1044/B1044)+(((P1044-B1044*INT(P1044/B1044)))/C1044)/100)))),0,IF(B1044=C1044,P1044/C1044,IF((INT(P1044/B1044)+(((P1044-B1044*INT(P1044/B1044)))/C1044)/100)&lt;0,(INT(P1044/B1044)+(((P1044-B1044*INT(P1044/B1044)))/C1044)/100)+(1-(B1044/C1044/100)),(INT(P1044/B1044)+(((P1044-B1044*INT(P1044/B1044)))/C1044)/100))))</f>
        <v>0</v>
      </c>
      <c r="BB1044" s="28">
        <f>R1044</f>
        <v>0</v>
      </c>
      <c r="BC1044" s="28">
        <f>S1044</f>
        <v>0</v>
      </c>
      <c r="BD1044" s="28">
        <f>AF1044</f>
        <v>0</v>
      </c>
      <c r="BE1044" s="28">
        <f>T1044</f>
        <v>0</v>
      </c>
      <c r="BF1044" s="1"/>
      <c r="BG1044" s="57">
        <f>IF(ISERROR(IF(B1044=C1044,V1044/C1044,(INT(V1044/B1044)+(((V1044-B1044*INT(V1044/B1044)))/C1044)/100))),0,(IF(B1044=C1044,V1044/C1044,(INT(V1044/B1044)+(((V1044-B1044*INT(V1044/B1044)))/C1044)/100))))</f>
        <v>0</v>
      </c>
      <c r="BH1044" s="57">
        <f>IF(ISERROR(IF(B1044=C1044,W1044/C1044,(INT(W1044/B1044)+(((W1044-B1044*INT(W1044/B1044)))/C1044)/100))),0,(IF(B1044=C1044,W1044/C1044,(INT(W1044/B1044)+(((W1044-B1044*INT(W1044/B1044)))/C1044)/100))))</f>
        <v>0</v>
      </c>
      <c r="BI1044" s="57">
        <f>IF(ISERROR(IF(B1044=C1044,X1044/C1044,(INT(X1044/B1044)+(((X1044-B1044*INT(X1044/B1044)))/C1044)/100))),0,(IF(B1044=C1044,X1044/C1044,(INT(X1044/B1044)+(((X1044-B1044*INT(X1044/B1044)))/C1044)/100))))</f>
        <v>0</v>
      </c>
      <c r="BJ1044" s="57">
        <f>IF(ISERROR(IF(B1044=C1044,Y1044/C1044,(INT(Y1044/B1044)+(((Y1044-B1044*INT(Y1044/B1044)))/C1044)/100))),0,(IF(B1044=C1044,Y1044/C1044,(INT(Y1044/B1044)+(((Y1044-B1044*INT(Y1044/B1044)))/C1044)/100))))</f>
        <v>0</v>
      </c>
      <c r="BK1044" s="1"/>
      <c r="BL1044" s="57">
        <f>IF(ISERROR(IF(B1044=C1044,AA1044/C1044,(INT(AA1044/B1044)+(((AA1044-B1044*INT(AA1044/B1044)))/C1044)/100))),0,(IF(B1044=C1044,AA1044/C1044,(INT(AA1044/B1044)+(((AA1044-B1044*INT(AA1044/B1044)))/C1044)/100))))</f>
        <v>0</v>
      </c>
      <c r="BM1044" s="57">
        <f>IF(ISERROR(IF(B1044=C1044,AB1044/C1044,(INT(AB1044/B1044)+(((AB1044-B1044*INT(AB1044/B1044)))/C1044)/100))),0,(IF(B1044=C1044,AB1044/C1044,(INT(AB1044/B1044)+(((AB1044-B1044*INT(AB1044/B1044)))/C1044)/100))))</f>
        <v>0</v>
      </c>
      <c r="BN1044" s="57">
        <f>IF(ISERROR(IF(B1044=C1044,AC1044/C1044,(INT(AC1044/B1044)+(((AC1044-B1044*INT(AC1044/B1044)))/C1044)/100))),0,(IF(B1044=C1044,AC1044/C1044,(INT(AC1044/B1044)+(((AC1044-B1044*INT(AC1044/B1044)))/C1044)/100))))</f>
        <v>0</v>
      </c>
      <c r="BO1044" s="57">
        <f>IF(ISERROR(IF(B1044=C1044,AD1044/C1044,(INT(AD1044/B1044)+(((AD1044-B1044*INT(AD1044/B1044)))/C1044)/100))),0,(IF(B1044=C1044,AD1044/C1044,(INT(AD1044/B1044)+(((AD1044-B1044*INT(AD1044/B1044)))/C1044)/100))))</f>
        <v>0</v>
      </c>
      <c r="BQ1044" s="37"/>
    </row>
    <row r="1045" spans="1:69" s="10" customFormat="1" hidden="1" x14ac:dyDescent="0.35">
      <c r="A1045" s="56"/>
      <c r="B1045" s="30">
        <v>0</v>
      </c>
      <c r="C1045" s="30">
        <v>0</v>
      </c>
      <c r="D1045" s="28">
        <f>SUM(AA1045:AD1045)</f>
        <v>0</v>
      </c>
      <c r="E1045" s="30">
        <v>0</v>
      </c>
      <c r="F1045" s="30">
        <v>0</v>
      </c>
      <c r="G1045" s="28">
        <f>SUM(D1045:F1045)</f>
        <v>0</v>
      </c>
      <c r="H1045" s="30">
        <v>0</v>
      </c>
      <c r="I1045" s="30">
        <v>0</v>
      </c>
      <c r="J1045" s="30">
        <v>0</v>
      </c>
      <c r="K1045" s="30">
        <v>0</v>
      </c>
      <c r="L1045" s="30">
        <v>0</v>
      </c>
      <c r="M1045" s="30">
        <v>0</v>
      </c>
      <c r="N1045" s="29">
        <f>G1045-SUM(H1045:M1045)</f>
        <v>0</v>
      </c>
      <c r="O1045" s="28">
        <f>SUM(V1045:Y1045)</f>
        <v>0</v>
      </c>
      <c r="P1045" s="29">
        <f>O1045-N1045</f>
        <v>0</v>
      </c>
      <c r="Q1045" s="61" t="str">
        <f>IF(ISERROR(P1045/SUM(H1045:L1045)),"",P1045/SUM(H1045:L1045))</f>
        <v/>
      </c>
      <c r="R1045" s="30">
        <v>0</v>
      </c>
      <c r="S1045" s="28">
        <f>IF(ISERROR(P1045/C1045*R1045),0,(P1045/C1045*R1045))</f>
        <v>0</v>
      </c>
      <c r="T1045" s="60">
        <f>IF(ISERROR(P1045/B1045*AF1045),0,(P1045/B1045*AF1045))</f>
        <v>0</v>
      </c>
      <c r="U1045" s="14"/>
      <c r="V1045" s="30">
        <v>0</v>
      </c>
      <c r="W1045" s="30">
        <v>0</v>
      </c>
      <c r="X1045" s="30">
        <v>0</v>
      </c>
      <c r="Y1045" s="30">
        <v>0</v>
      </c>
      <c r="Z1045" s="59"/>
      <c r="AA1045" s="30">
        <v>0</v>
      </c>
      <c r="AB1045" s="30">
        <v>0</v>
      </c>
      <c r="AC1045" s="30">
        <v>0</v>
      </c>
      <c r="AD1045" s="30">
        <v>0</v>
      </c>
      <c r="AE1045" s="59"/>
      <c r="AF1045" s="54" t="s">
        <v>13</v>
      </c>
      <c r="AG1045" s="28">
        <f>G1045-O1045</f>
        <v>0</v>
      </c>
      <c r="AH1045" s="58">
        <f>IF(ISERROR(AG1045/B1045*AF1045),0,(AG1045/B1045*AF1045))</f>
        <v>0</v>
      </c>
      <c r="AI1045" s="28">
        <f>SUM(H1045:M1045)</f>
        <v>0</v>
      </c>
      <c r="AJ1045" s="28">
        <f>IF(ISERROR(AI1045/B1045*AF1045),0,(AI1045/B1045*AF1045))</f>
        <v>0</v>
      </c>
      <c r="AK1045" s="28">
        <f>IF(ISERROR(O1045/B1045*AF1045),0,(O1045/B1045*AF1045))</f>
        <v>0</v>
      </c>
      <c r="AL1045" s="1"/>
      <c r="AM1045" s="1"/>
      <c r="AN1045" s="51">
        <f>A1045</f>
        <v>0</v>
      </c>
      <c r="AO1045" s="57">
        <f>IF(ISERROR(IF(B1045=C1045,D1045/C1045,(INT(D1045/B1045)+(((D1045-B1045*INT(D1045/B1045)))/C1045)/100))),0,(IF(B1045=C1045,D1045/C1045,(INT(D1045/B1045)+(((D1045-B1045*INT(D1045/B1045)))/C1045)/100))))</f>
        <v>0</v>
      </c>
      <c r="AP1045" s="57">
        <f>IF(ISERROR(IF(B1045=C1045,E1045/C1045,(INT(E1045/B1045)+(((E1045-B1045*INT(E1045/B1045)))/C1045)/100))),0,(IF(B1045=C1045,E1045/C1045,(INT(E1045/B1045)+(((E1045-B1045*INT(E1045/B1045)))/C1045)/100))))</f>
        <v>0</v>
      </c>
      <c r="AQ1045" s="57">
        <f>IF(ISERROR(IF(B1045=C1045,F1045/C1045,IF((INT(F1045/B1045)+(((F1045-B1045*INT(F1045/B1045)))/C1045)/100)&lt;0,(INT(F1045/B1045)+(((F1045-B1045*INT(F1045/B1045)))/C1045)/100)+(1-(B1045/C1045/100)),(INT(F1045/B1045)+(((F1045-B1045*INT(F1045/B1045)))/C1045)/100)))),0,IF(B1045=C1045,F1045/C1045,IF((INT(F1045/B1045)+(((F1045-B1045*INT(F1045/B1045)))/C1045)/100)&lt;0,(INT(F1045/B1045)+(((F1045-B1045*INT(F1045/B1045)))/C1045)/100)+(1-(B1045/C1045/100)),(INT(F1045/B1045)+(((F1045-B1045*INT(F1045/B1045)))/C1045)/100))))</f>
        <v>0</v>
      </c>
      <c r="AR1045" s="57">
        <f>IF(ISERROR(IF(B1045=C1045,G1045/C1045,(INT(G1045/B1045)+(((G1045-B1045*INT(G1045/B1045)))/C1045)/100))),0,(IF(B1045=C1045,G1045/C1045,(INT(G1045/B1045)+(((G1045-B1045*INT(G1045/B1045)))/C1045)/100))))</f>
        <v>0</v>
      </c>
      <c r="AS1045" s="57">
        <f>IF(ISERROR(IF(B1045=C1045,H1045/C1045,(INT(H1045/B1045)+(((H1045-B1045*INT(H1045/B1045)))/C1045)/100))),0,(IF(B1045=C1045,H1045/C1045,(INT(H1045/B1045)+(((H1045-B1045*INT(H1045/B1045)))/C1045)/100))))</f>
        <v>0</v>
      </c>
      <c r="AT1045" s="57">
        <f>IF(ISERROR(IF(B1045=C1045,I1045/C1045,(INT(I1045/B1045)+(((I1045-B1045*INT(I1045/B1045)))/C1045)/100))),0,(IF(B1045=C1045,I1045/C1045,(INT(I1045/B1045)+(((I1045-B1045*INT(I1045/B1045)))/C1045)/100))))</f>
        <v>0</v>
      </c>
      <c r="AU1045" s="57">
        <f>IF(ISERROR(IF(B1045=C1045,J1045/C1045,(INT(J1045/B1045)+(((J1045-B1045*INT(J1045/B1045)))/C1045)/100))),0,(IF(B1045=C1045,J1045/C1045,(INT(J1045/B1045)+(((J1045-B1045*INT(J1045/B1045)))/C1045)/100))))</f>
        <v>0</v>
      </c>
      <c r="AV1045" s="57">
        <f>IF(ISERROR(IF(B1045=C1045,K1045/C1045,IF((INT(K1045/B1045)+(((K1045-B1045*INT(K1045/B1045)))/C1045)/100)&lt;0,(INT(K1045/B1045)+(((K1045-B1045*INT(K1045/B1045)))/C1045)/100)+(1-(B1045/C1045/100)),(INT(K1045/B1045)+(((K1045-B1045*INT(K1045/B1045)))/C1045)/100)))),0,IF(B1045=C1045,K1045/C1045,IF((INT(K1045/B1045)+(((K1045-B1045*INT(K1045/B1045)))/C1045)/100)&lt;0,(INT(K1045/B1045)+(((K1045-B1045*INT(K1045/B1045)))/C1045)/100)+(1-(B1045/C1045/100)),(INT(K1045/B1045)+(((K1045-B1045*INT(K1045/B1045)))/C1045)/100))))</f>
        <v>0</v>
      </c>
      <c r="AW1045" s="57">
        <f>IF(ISERROR(IF(B1045=C1045,L1045/C1045,(INT(L1045/B1045)+(((L1045-B1045*INT(L1045/B1045)))/C1045)/100))),0,(IF(B1045=C1045,L1045/C1045,(INT(L1045/B1045)+(((L1045-B1045*INT(L1045/B1045)))/C1045)/100))))</f>
        <v>0</v>
      </c>
      <c r="AX1045" s="57">
        <f>IF(ISERROR(IF(B1045=C1045,M1045/C1045,(INT(M1045/B1045)+(((M1045-B1045*INT(M1045/B1045)))/C1045)/100))),0,(IF(B1045=C1045,M1045/C1045,(INT(M1045/B1045)+(((M1045-B1045*INT(M1045/B1045)))/C1045)/100))))</f>
        <v>0</v>
      </c>
      <c r="AY1045" s="57">
        <f>IF(ISERROR(IF(B1045=C1045,N1045/C1045,IF((INT(N1045/B1045)+(((N1045-B1045*INT(N1045/B1045)))/C1045)/100)&lt;0,(INT(N1045/B1045)+(((N1045-B1045*INT(N1045/B1045)))/C1045)/100)+(1-(B1045/C1045/100)),(INT(N1045/B1045)+(((N1045-B1045*INT(N1045/B1045)))/C1045)/100)))),0,IF(B1045=C1045,N1045/C1045,IF((INT(N1045/B1045)+(((N1045-B1045*INT(N1045/B1045)))/C1045)/100)&lt;0,(INT(N1045/B1045)+(((N1045-B1045*INT(N1045/B1045)))/C1045)/100)+(1-(B1045/C1045/100)),(INT(N1045/B1045)+(((N1045-B1045*INT(N1045/B1045)))/C1045)/100))))</f>
        <v>0</v>
      </c>
      <c r="AZ1045" s="57">
        <f>IF(ISERROR(IF(B1045=C1045,O1045/C1045,(INT(O1045/B1045)+(((O1045-B1045*INT(O1045/B1045)))/C1045)/100))),0,(IF(B1045=C1045,O1045/C1045,(INT(O1045/B1045)+(((O1045-B1045*INT(O1045/B1045)))/C1045)/100))))</f>
        <v>0</v>
      </c>
      <c r="BA1045" s="57">
        <f>IF(ISERROR(IF(B1045=C1045,P1045/C1045,IF((INT(P1045/B1045)+(((P1045-B1045*INT(P1045/B1045)))/C1045)/100)&lt;0,(INT(P1045/B1045)+(((P1045-B1045*INT(P1045/B1045)))/C1045)/100)+(1-(B1045/C1045/100)),(INT(P1045/B1045)+(((P1045-B1045*INT(P1045/B1045)))/C1045)/100)))),0,IF(B1045=C1045,P1045/C1045,IF((INT(P1045/B1045)+(((P1045-B1045*INT(P1045/B1045)))/C1045)/100)&lt;0,(INT(P1045/B1045)+(((P1045-B1045*INT(P1045/B1045)))/C1045)/100)+(1-(B1045/C1045/100)),(INT(P1045/B1045)+(((P1045-B1045*INT(P1045/B1045)))/C1045)/100))))</f>
        <v>0</v>
      </c>
      <c r="BB1045" s="28">
        <f>R1045</f>
        <v>0</v>
      </c>
      <c r="BC1045" s="28">
        <f>S1045</f>
        <v>0</v>
      </c>
      <c r="BD1045" s="28" t="str">
        <f>AF1045</f>
        <v>.</v>
      </c>
      <c r="BE1045" s="28">
        <f>T1045</f>
        <v>0</v>
      </c>
      <c r="BF1045" s="1"/>
      <c r="BG1045" s="57">
        <f>IF(ISERROR(IF(B1045=C1045,V1045/C1045,(INT(V1045/B1045)+(((V1045-B1045*INT(V1045/B1045)))/C1045)/100))),0,(IF(B1045=C1045,V1045/C1045,(INT(V1045/B1045)+(((V1045-B1045*INT(V1045/B1045)))/C1045)/100))))</f>
        <v>0</v>
      </c>
      <c r="BH1045" s="57">
        <f>IF(ISERROR(IF(B1045=C1045,W1045/C1045,(INT(W1045/B1045)+(((W1045-B1045*INT(W1045/B1045)))/C1045)/100))),0,(IF(B1045=C1045,W1045/C1045,(INT(W1045/B1045)+(((W1045-B1045*INT(W1045/B1045)))/C1045)/100))))</f>
        <v>0</v>
      </c>
      <c r="BI1045" s="57">
        <f>IF(ISERROR(IF(B1045=C1045,X1045/C1045,(INT(X1045/B1045)+(((X1045-B1045*INT(X1045/B1045)))/C1045)/100))),0,(IF(B1045=C1045,X1045/C1045,(INT(X1045/B1045)+(((X1045-B1045*INT(X1045/B1045)))/C1045)/100))))</f>
        <v>0</v>
      </c>
      <c r="BJ1045" s="57">
        <f>IF(ISERROR(IF(B1045=C1045,Y1045/C1045,(INT(Y1045/B1045)+(((Y1045-B1045*INT(Y1045/B1045)))/C1045)/100))),0,(IF(B1045=C1045,Y1045/C1045,(INT(Y1045/B1045)+(((Y1045-B1045*INT(Y1045/B1045)))/C1045)/100))))</f>
        <v>0</v>
      </c>
      <c r="BK1045" s="1"/>
      <c r="BL1045" s="57">
        <f>IF(ISERROR(IF(B1045=C1045,AA1045/C1045,(INT(AA1045/B1045)+(((AA1045-B1045*INT(AA1045/B1045)))/C1045)/100))),0,(IF(B1045=C1045,AA1045/C1045,(INT(AA1045/B1045)+(((AA1045-B1045*INT(AA1045/B1045)))/C1045)/100))))</f>
        <v>0</v>
      </c>
      <c r="BM1045" s="57">
        <f>IF(ISERROR(IF(B1045=C1045,AB1045/C1045,(INT(AB1045/B1045)+(((AB1045-B1045*INT(AB1045/B1045)))/C1045)/100))),0,(IF(B1045=C1045,AB1045/C1045,(INT(AB1045/B1045)+(((AB1045-B1045*INT(AB1045/B1045)))/C1045)/100))))</f>
        <v>0</v>
      </c>
      <c r="BN1045" s="57">
        <f>IF(ISERROR(IF(B1045=C1045,AC1045/C1045,(INT(AC1045/B1045)+(((AC1045-B1045*INT(AC1045/B1045)))/C1045)/100))),0,(IF(B1045=C1045,AC1045/C1045,(INT(AC1045/B1045)+(((AC1045-B1045*INT(AC1045/B1045)))/C1045)/100))))</f>
        <v>0</v>
      </c>
      <c r="BO1045" s="57">
        <f>IF(ISERROR(IF(B1045=C1045,AD1045/C1045,(INT(AD1045/B1045)+(((AD1045-B1045*INT(AD1045/B1045)))/C1045)/100))),0,(IF(B1045=C1045,AD1045/C1045,(INT(AD1045/B1045)+(((AD1045-B1045*INT(AD1045/B1045)))/C1045)/100))))</f>
        <v>0</v>
      </c>
      <c r="BQ1045" s="37"/>
    </row>
    <row r="1046" spans="1:69" s="10" customFormat="1" hidden="1" x14ac:dyDescent="0.35">
      <c r="A1046" s="56"/>
      <c r="B1046" s="30">
        <v>0</v>
      </c>
      <c r="C1046" s="30">
        <v>0</v>
      </c>
      <c r="D1046" s="28">
        <f>SUM(AA1046:AD1046)</f>
        <v>0</v>
      </c>
      <c r="E1046" s="30">
        <v>0</v>
      </c>
      <c r="F1046" s="30">
        <v>0</v>
      </c>
      <c r="G1046" s="28">
        <f>SUM(D1046:F1046)</f>
        <v>0</v>
      </c>
      <c r="H1046" s="30">
        <v>0</v>
      </c>
      <c r="I1046" s="30">
        <v>0</v>
      </c>
      <c r="J1046" s="30">
        <v>0</v>
      </c>
      <c r="K1046" s="30">
        <v>0</v>
      </c>
      <c r="L1046" s="30">
        <v>0</v>
      </c>
      <c r="M1046" s="30">
        <v>0</v>
      </c>
      <c r="N1046" s="29">
        <f>G1046-SUM(H1046:M1046)</f>
        <v>0</v>
      </c>
      <c r="O1046" s="28">
        <f>SUM(V1046:Y1046)</f>
        <v>0</v>
      </c>
      <c r="P1046" s="29">
        <f>O1046-N1046</f>
        <v>0</v>
      </c>
      <c r="Q1046" s="61" t="str">
        <f>IF(ISERROR(P1046/SUM(H1046:L1046)),"",P1046/SUM(H1046:L1046))</f>
        <v/>
      </c>
      <c r="R1046" s="30">
        <v>0</v>
      </c>
      <c r="S1046" s="28">
        <f>IF(ISERROR(P1046/C1046*R1046),0,(P1046/C1046*R1046))</f>
        <v>0</v>
      </c>
      <c r="T1046" s="60">
        <f>IF(ISERROR(P1046/B1046*AF1046),0,(P1046/B1046*AF1046))</f>
        <v>0</v>
      </c>
      <c r="U1046" s="14"/>
      <c r="V1046" s="30">
        <v>0</v>
      </c>
      <c r="W1046" s="30">
        <v>0</v>
      </c>
      <c r="X1046" s="30">
        <v>0</v>
      </c>
      <c r="Y1046" s="30">
        <v>0</v>
      </c>
      <c r="Z1046" s="59"/>
      <c r="AA1046" s="30">
        <v>0</v>
      </c>
      <c r="AB1046" s="30">
        <v>0</v>
      </c>
      <c r="AC1046" s="30">
        <v>0</v>
      </c>
      <c r="AD1046" s="30">
        <v>0</v>
      </c>
      <c r="AE1046" s="59"/>
      <c r="AF1046" s="54">
        <v>0</v>
      </c>
      <c r="AG1046" s="28">
        <f>G1046-O1046</f>
        <v>0</v>
      </c>
      <c r="AH1046" s="58">
        <f>IF(ISERROR(AG1046/B1046*AF1046),0,(AG1046/B1046*AF1046))</f>
        <v>0</v>
      </c>
      <c r="AI1046" s="28">
        <f>SUM(H1046:M1046)</f>
        <v>0</v>
      </c>
      <c r="AJ1046" s="28">
        <f>IF(ISERROR(AI1046/B1046*AF1046),0,(AI1046/B1046*AF1046))</f>
        <v>0</v>
      </c>
      <c r="AK1046" s="28">
        <f>IF(ISERROR(O1046/B1046*AF1046),0,(O1046/B1046*AF1046))</f>
        <v>0</v>
      </c>
      <c r="AL1046" s="1"/>
      <c r="AM1046" s="1"/>
      <c r="AN1046" s="51">
        <f>A1046</f>
        <v>0</v>
      </c>
      <c r="AO1046" s="57">
        <f>IF(ISERROR(IF(B1046=C1046,D1046/C1046,(INT(D1046/B1046)+(((D1046-B1046*INT(D1046/B1046)))/C1046)/100))),0,(IF(B1046=C1046,D1046/C1046,(INT(D1046/B1046)+(((D1046-B1046*INT(D1046/B1046)))/C1046)/100))))</f>
        <v>0</v>
      </c>
      <c r="AP1046" s="57">
        <f>IF(ISERROR(IF(B1046=C1046,E1046/C1046,(INT(E1046/B1046)+(((E1046-B1046*INT(E1046/B1046)))/C1046)/100))),0,(IF(B1046=C1046,E1046/C1046,(INT(E1046/B1046)+(((E1046-B1046*INT(E1046/B1046)))/C1046)/100))))</f>
        <v>0</v>
      </c>
      <c r="AQ1046" s="57">
        <f>IF(ISERROR(IF(B1046=C1046,F1046/C1046,IF((INT(F1046/B1046)+(((F1046-B1046*INT(F1046/B1046)))/C1046)/100)&lt;0,(INT(F1046/B1046)+(((F1046-B1046*INT(F1046/B1046)))/C1046)/100)+(1-(B1046/C1046/100)),(INT(F1046/B1046)+(((F1046-B1046*INT(F1046/B1046)))/C1046)/100)))),0,IF(B1046=C1046,F1046/C1046,IF((INT(F1046/B1046)+(((F1046-B1046*INT(F1046/B1046)))/C1046)/100)&lt;0,(INT(F1046/B1046)+(((F1046-B1046*INT(F1046/B1046)))/C1046)/100)+(1-(B1046/C1046/100)),(INT(F1046/B1046)+(((F1046-B1046*INT(F1046/B1046)))/C1046)/100))))</f>
        <v>0</v>
      </c>
      <c r="AR1046" s="57">
        <f>IF(ISERROR(IF(B1046=C1046,G1046/C1046,(INT(G1046/B1046)+(((G1046-B1046*INT(G1046/B1046)))/C1046)/100))),0,(IF(B1046=C1046,G1046/C1046,(INT(G1046/B1046)+(((G1046-B1046*INT(G1046/B1046)))/C1046)/100))))</f>
        <v>0</v>
      </c>
      <c r="AS1046" s="57">
        <f>IF(ISERROR(IF(B1046=C1046,H1046/C1046,(INT(H1046/B1046)+(((H1046-B1046*INT(H1046/B1046)))/C1046)/100))),0,(IF(B1046=C1046,H1046/C1046,(INT(H1046/B1046)+(((H1046-B1046*INT(H1046/B1046)))/C1046)/100))))</f>
        <v>0</v>
      </c>
      <c r="AT1046" s="57">
        <f>IF(ISERROR(IF(B1046=C1046,I1046/C1046,(INT(I1046/B1046)+(((I1046-B1046*INT(I1046/B1046)))/C1046)/100))),0,(IF(B1046=C1046,I1046/C1046,(INT(I1046/B1046)+(((I1046-B1046*INT(I1046/B1046)))/C1046)/100))))</f>
        <v>0</v>
      </c>
      <c r="AU1046" s="57">
        <f>IF(ISERROR(IF(B1046=C1046,J1046/C1046,(INT(J1046/B1046)+(((J1046-B1046*INT(J1046/B1046)))/C1046)/100))),0,(IF(B1046=C1046,J1046/C1046,(INT(J1046/B1046)+(((J1046-B1046*INT(J1046/B1046)))/C1046)/100))))</f>
        <v>0</v>
      </c>
      <c r="AV1046" s="57">
        <f>IF(ISERROR(IF(B1046=C1046,K1046/C1046,IF((INT(K1046/B1046)+(((K1046-B1046*INT(K1046/B1046)))/C1046)/100)&lt;0,(INT(K1046/B1046)+(((K1046-B1046*INT(K1046/B1046)))/C1046)/100)+(1-(B1046/C1046/100)),(INT(K1046/B1046)+(((K1046-B1046*INT(K1046/B1046)))/C1046)/100)))),0,IF(B1046=C1046,K1046/C1046,IF((INT(K1046/B1046)+(((K1046-B1046*INT(K1046/B1046)))/C1046)/100)&lt;0,(INT(K1046/B1046)+(((K1046-B1046*INT(K1046/B1046)))/C1046)/100)+(1-(B1046/C1046/100)),(INT(K1046/B1046)+(((K1046-B1046*INT(K1046/B1046)))/C1046)/100))))</f>
        <v>0</v>
      </c>
      <c r="AW1046" s="57">
        <f>IF(ISERROR(IF(B1046=C1046,L1046/C1046,(INT(L1046/B1046)+(((L1046-B1046*INT(L1046/B1046)))/C1046)/100))),0,(IF(B1046=C1046,L1046/C1046,(INT(L1046/B1046)+(((L1046-B1046*INT(L1046/B1046)))/C1046)/100))))</f>
        <v>0</v>
      </c>
      <c r="AX1046" s="57">
        <f>IF(ISERROR(IF(B1046=C1046,M1046/C1046,(INT(M1046/B1046)+(((M1046-B1046*INT(M1046/B1046)))/C1046)/100))),0,(IF(B1046=C1046,M1046/C1046,(INT(M1046/B1046)+(((M1046-B1046*INT(M1046/B1046)))/C1046)/100))))</f>
        <v>0</v>
      </c>
      <c r="AY1046" s="57">
        <f>IF(ISERROR(IF(B1046=C1046,N1046/C1046,IF((INT(N1046/B1046)+(((N1046-B1046*INT(N1046/B1046)))/C1046)/100)&lt;0,(INT(N1046/B1046)+(((N1046-B1046*INT(N1046/B1046)))/C1046)/100)+(1-(B1046/C1046/100)),(INT(N1046/B1046)+(((N1046-B1046*INT(N1046/B1046)))/C1046)/100)))),0,IF(B1046=C1046,N1046/C1046,IF((INT(N1046/B1046)+(((N1046-B1046*INT(N1046/B1046)))/C1046)/100)&lt;0,(INT(N1046/B1046)+(((N1046-B1046*INT(N1046/B1046)))/C1046)/100)+(1-(B1046/C1046/100)),(INT(N1046/B1046)+(((N1046-B1046*INT(N1046/B1046)))/C1046)/100))))</f>
        <v>0</v>
      </c>
      <c r="AZ1046" s="57">
        <f>IF(ISERROR(IF(B1046=C1046,O1046/C1046,(INT(O1046/B1046)+(((O1046-B1046*INT(O1046/B1046)))/C1046)/100))),0,(IF(B1046=C1046,O1046/C1046,(INT(O1046/B1046)+(((O1046-B1046*INT(O1046/B1046)))/C1046)/100))))</f>
        <v>0</v>
      </c>
      <c r="BA1046" s="57">
        <f>IF(ISERROR(IF(B1046=C1046,P1046/C1046,IF((INT(P1046/B1046)+(((P1046-B1046*INT(P1046/B1046)))/C1046)/100)&lt;0,(INT(P1046/B1046)+(((P1046-B1046*INT(P1046/B1046)))/C1046)/100)+(1-(B1046/C1046/100)),(INT(P1046/B1046)+(((P1046-B1046*INT(P1046/B1046)))/C1046)/100)))),0,IF(B1046=C1046,P1046/C1046,IF((INT(P1046/B1046)+(((P1046-B1046*INT(P1046/B1046)))/C1046)/100)&lt;0,(INT(P1046/B1046)+(((P1046-B1046*INT(P1046/B1046)))/C1046)/100)+(1-(B1046/C1046/100)),(INT(P1046/B1046)+(((P1046-B1046*INT(P1046/B1046)))/C1046)/100))))</f>
        <v>0</v>
      </c>
      <c r="BB1046" s="28">
        <f>R1046</f>
        <v>0</v>
      </c>
      <c r="BC1046" s="28">
        <f>S1046</f>
        <v>0</v>
      </c>
      <c r="BD1046" s="28">
        <f>AF1046</f>
        <v>0</v>
      </c>
      <c r="BE1046" s="28">
        <f>T1046</f>
        <v>0</v>
      </c>
      <c r="BF1046" s="1"/>
      <c r="BG1046" s="57">
        <f>IF(ISERROR(IF(B1046=C1046,V1046/C1046,(INT(V1046/B1046)+(((V1046-B1046*INT(V1046/B1046)))/C1046)/100))),0,(IF(B1046=C1046,V1046/C1046,(INT(V1046/B1046)+(((V1046-B1046*INT(V1046/B1046)))/C1046)/100))))</f>
        <v>0</v>
      </c>
      <c r="BH1046" s="57">
        <f>IF(ISERROR(IF(B1046=C1046,W1046/C1046,(INT(W1046/B1046)+(((W1046-B1046*INT(W1046/B1046)))/C1046)/100))),0,(IF(B1046=C1046,W1046/C1046,(INT(W1046/B1046)+(((W1046-B1046*INT(W1046/B1046)))/C1046)/100))))</f>
        <v>0</v>
      </c>
      <c r="BI1046" s="57">
        <f>IF(ISERROR(IF(B1046=C1046,X1046/C1046,(INT(X1046/B1046)+(((X1046-B1046*INT(X1046/B1046)))/C1046)/100))),0,(IF(B1046=C1046,X1046/C1046,(INT(X1046/B1046)+(((X1046-B1046*INT(X1046/B1046)))/C1046)/100))))</f>
        <v>0</v>
      </c>
      <c r="BJ1046" s="57">
        <f>IF(ISERROR(IF(B1046=C1046,Y1046/C1046,(INT(Y1046/B1046)+(((Y1046-B1046*INT(Y1046/B1046)))/C1046)/100))),0,(IF(B1046=C1046,Y1046/C1046,(INT(Y1046/B1046)+(((Y1046-B1046*INT(Y1046/B1046)))/C1046)/100))))</f>
        <v>0</v>
      </c>
      <c r="BK1046" s="1"/>
      <c r="BL1046" s="57">
        <f>IF(ISERROR(IF(B1046=C1046,AA1046/C1046,(INT(AA1046/B1046)+(((AA1046-B1046*INT(AA1046/B1046)))/C1046)/100))),0,(IF(B1046=C1046,AA1046/C1046,(INT(AA1046/B1046)+(((AA1046-B1046*INT(AA1046/B1046)))/C1046)/100))))</f>
        <v>0</v>
      </c>
      <c r="BM1046" s="57">
        <f>IF(ISERROR(IF(B1046=C1046,AB1046/C1046,(INT(AB1046/B1046)+(((AB1046-B1046*INT(AB1046/B1046)))/C1046)/100))),0,(IF(B1046=C1046,AB1046/C1046,(INT(AB1046/B1046)+(((AB1046-B1046*INT(AB1046/B1046)))/C1046)/100))))</f>
        <v>0</v>
      </c>
      <c r="BN1046" s="57">
        <f>IF(ISERROR(IF(B1046=C1046,AC1046/C1046,(INT(AC1046/B1046)+(((AC1046-B1046*INT(AC1046/B1046)))/C1046)/100))),0,(IF(B1046=C1046,AC1046/C1046,(INT(AC1046/B1046)+(((AC1046-B1046*INT(AC1046/B1046)))/C1046)/100))))</f>
        <v>0</v>
      </c>
      <c r="BO1046" s="57">
        <f>IF(ISERROR(IF(B1046=C1046,AD1046/C1046,(INT(AD1046/B1046)+(((AD1046-B1046*INT(AD1046/B1046)))/C1046)/100))),0,(IF(B1046=C1046,AD1046/C1046,(INT(AD1046/B1046)+(((AD1046-B1046*INT(AD1046/B1046)))/C1046)/100))))</f>
        <v>0</v>
      </c>
      <c r="BQ1046" s="37"/>
    </row>
    <row r="1047" spans="1:69" s="10" customFormat="1" x14ac:dyDescent="0.35">
      <c r="A1047" s="56"/>
      <c r="B1047" s="30"/>
      <c r="C1047" s="30"/>
      <c r="D1047" s="29"/>
      <c r="E1047" s="30"/>
      <c r="F1047" s="30"/>
      <c r="G1047" s="29"/>
      <c r="H1047" s="30"/>
      <c r="I1047" s="30"/>
      <c r="J1047" s="30"/>
      <c r="K1047" s="30"/>
      <c r="L1047" s="30"/>
      <c r="M1047" s="30"/>
      <c r="N1047" s="29"/>
      <c r="O1047" s="29"/>
      <c r="P1047" s="29"/>
      <c r="Q1047" s="55"/>
      <c r="R1047" s="54"/>
      <c r="S1047" s="29"/>
      <c r="T1047" s="29"/>
      <c r="U1047" s="14"/>
      <c r="V1047" s="53"/>
      <c r="W1047" s="53"/>
      <c r="X1047" s="53"/>
      <c r="Y1047" s="53"/>
      <c r="Z1047" s="11"/>
      <c r="AA1047" s="53"/>
      <c r="AB1047" s="53"/>
      <c r="AC1047" s="53"/>
      <c r="AD1047" s="53"/>
      <c r="AE1047" s="11"/>
      <c r="AF1047" s="52"/>
      <c r="AG1047" s="29"/>
      <c r="AH1047" s="29"/>
      <c r="AI1047" s="29"/>
      <c r="AJ1047" s="29"/>
      <c r="AK1047" s="29"/>
      <c r="AL1047" s="1"/>
      <c r="AM1047" s="1"/>
      <c r="AN1047" s="51"/>
      <c r="AO1047" s="28"/>
      <c r="AP1047" s="28"/>
      <c r="AQ1047" s="28"/>
      <c r="AR1047" s="28"/>
      <c r="AS1047" s="28"/>
      <c r="AT1047" s="28"/>
      <c r="AU1047" s="28"/>
      <c r="AV1047" s="28"/>
      <c r="AW1047" s="28"/>
      <c r="AX1047" s="28"/>
      <c r="AY1047" s="28"/>
      <c r="AZ1047" s="28"/>
      <c r="BA1047" s="28"/>
      <c r="BB1047" s="33"/>
      <c r="BC1047" s="28"/>
      <c r="BD1047" s="28"/>
      <c r="BE1047" s="28"/>
      <c r="BF1047" s="1"/>
      <c r="BG1047" s="33"/>
      <c r="BH1047" s="33"/>
      <c r="BI1047" s="33"/>
      <c r="BJ1047" s="33"/>
      <c r="BK1047" s="1"/>
      <c r="BL1047" s="33"/>
      <c r="BM1047" s="33"/>
      <c r="BN1047" s="33"/>
      <c r="BO1047" s="33"/>
      <c r="BQ1047" s="37"/>
    </row>
    <row r="1048" spans="1:69" s="10" customFormat="1" x14ac:dyDescent="0.35">
      <c r="A1048" s="50" t="s">
        <v>12</v>
      </c>
      <c r="B1048" s="49"/>
      <c r="C1048" s="49"/>
      <c r="D1048" s="44"/>
      <c r="E1048" s="49"/>
      <c r="F1048" s="49"/>
      <c r="G1048" s="44"/>
      <c r="H1048" s="49"/>
      <c r="I1048" s="49"/>
      <c r="J1048" s="49"/>
      <c r="K1048" s="49"/>
      <c r="L1048" s="49"/>
      <c r="M1048" s="49"/>
      <c r="N1048" s="44"/>
      <c r="O1048" s="44"/>
      <c r="P1048" s="44"/>
      <c r="Q1048" s="48"/>
      <c r="R1048" s="47"/>
      <c r="S1048" s="43">
        <f>SUM(S1022:S1047)</f>
        <v>0</v>
      </c>
      <c r="T1048" s="43">
        <f>SUM(T1022:T1047)</f>
        <v>0</v>
      </c>
      <c r="U1048" s="14"/>
      <c r="V1048" s="46"/>
      <c r="W1048" s="46"/>
      <c r="X1048" s="46"/>
      <c r="Y1048" s="46"/>
      <c r="Z1048" s="11"/>
      <c r="AA1048" s="46"/>
      <c r="AB1048" s="46"/>
      <c r="AC1048" s="46"/>
      <c r="AD1048" s="46"/>
      <c r="AE1048" s="11"/>
      <c r="AF1048" s="45"/>
      <c r="AG1048" s="44"/>
      <c r="AH1048" s="43">
        <f>SUM(AH1022:AH1047)</f>
        <v>1074.19</v>
      </c>
      <c r="AI1048" s="44"/>
      <c r="AJ1048" s="43">
        <f>SUM(AJ1022:AJ1047)</f>
        <v>1074.19</v>
      </c>
      <c r="AK1048" s="43">
        <f>SUM(AK1022:AK1047)</f>
        <v>50170.06</v>
      </c>
      <c r="AL1048" s="42"/>
      <c r="AM1048" s="1"/>
      <c r="AN1048" s="41" t="str">
        <f>A1048</f>
        <v>Total Tobacco</v>
      </c>
      <c r="AO1048" s="40"/>
      <c r="AP1048" s="40"/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38"/>
      <c r="BC1048" s="39">
        <f>S1048</f>
        <v>0</v>
      </c>
      <c r="BD1048" s="39"/>
      <c r="BE1048" s="39">
        <f>T1048</f>
        <v>0</v>
      </c>
      <c r="BF1048" s="1"/>
      <c r="BG1048" s="38"/>
      <c r="BH1048" s="38"/>
      <c r="BI1048" s="38"/>
      <c r="BJ1048" s="38"/>
      <c r="BK1048" s="1"/>
      <c r="BL1048" s="38"/>
      <c r="BM1048" s="38"/>
      <c r="BN1048" s="38"/>
      <c r="BO1048" s="38"/>
      <c r="BQ1048" s="37"/>
    </row>
    <row r="1049" spans="1:69" s="10" customFormat="1" x14ac:dyDescent="0.35">
      <c r="A1049" s="17"/>
      <c r="B1049" s="14"/>
      <c r="C1049" s="14"/>
      <c r="D1049" s="14"/>
      <c r="E1049" s="16"/>
      <c r="F1049" s="16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20"/>
      <c r="R1049" s="15"/>
      <c r="S1049" s="14"/>
      <c r="T1049" s="14"/>
      <c r="U1049" s="14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3"/>
      <c r="AG1049" s="11"/>
      <c r="AH1049" s="11"/>
      <c r="AI1049" s="11"/>
      <c r="AJ1049" s="11"/>
      <c r="AK1049" s="11"/>
      <c r="AL1049" s="1"/>
      <c r="AM1049" s="1"/>
      <c r="BB1049" s="11"/>
      <c r="BG1049" s="11"/>
      <c r="BH1049" s="11"/>
      <c r="BI1049" s="11"/>
      <c r="BJ1049" s="11"/>
      <c r="BK1049" s="11"/>
      <c r="BL1049" s="11"/>
      <c r="BM1049" s="11"/>
      <c r="BN1049" s="11"/>
      <c r="BO1049" s="11"/>
      <c r="BQ1049" s="8"/>
    </row>
    <row r="1050" spans="1:69" s="10" customFormat="1" x14ac:dyDescent="0.35">
      <c r="A1050" s="17"/>
      <c r="B1050" s="14"/>
      <c r="C1050" s="14"/>
      <c r="D1050" s="14"/>
      <c r="E1050" s="16"/>
      <c r="F1050" s="16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20"/>
      <c r="R1050" s="15"/>
      <c r="S1050" s="14"/>
      <c r="T1050" s="14"/>
      <c r="U1050" s="14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3"/>
      <c r="AG1050" s="11"/>
      <c r="AH1050" s="11"/>
      <c r="AI1050" s="11"/>
      <c r="AJ1050" s="11"/>
      <c r="AK1050" s="11"/>
      <c r="AL1050" s="1"/>
      <c r="AM1050" s="1"/>
      <c r="BB1050" s="11"/>
      <c r="BG1050" s="11"/>
      <c r="BH1050" s="11"/>
      <c r="BI1050" s="11"/>
      <c r="BJ1050" s="11"/>
      <c r="BK1050" s="11"/>
      <c r="BL1050" s="11"/>
      <c r="BM1050" s="11"/>
      <c r="BN1050" s="11"/>
      <c r="BO1050" s="11"/>
      <c r="BQ1050" s="8"/>
    </row>
    <row r="1051" spans="1:69" s="10" customFormat="1" x14ac:dyDescent="0.35">
      <c r="A1051" s="17"/>
      <c r="B1051" s="14"/>
      <c r="C1051" s="14"/>
      <c r="D1051" s="14"/>
      <c r="E1051" s="16"/>
      <c r="F1051" s="16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20"/>
      <c r="R1051" s="15"/>
      <c r="S1051" s="14"/>
      <c r="T1051" s="14"/>
      <c r="U1051" s="14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3"/>
      <c r="AG1051" s="11"/>
      <c r="AH1051" s="11"/>
      <c r="AI1051" s="11"/>
      <c r="AJ1051" s="11"/>
      <c r="AK1051" s="11"/>
      <c r="AL1051" s="1"/>
      <c r="AM1051" s="1"/>
      <c r="BB1051" s="11"/>
      <c r="BG1051" s="11"/>
      <c r="BH1051" s="11"/>
      <c r="BI1051" s="11"/>
      <c r="BJ1051" s="11"/>
      <c r="BK1051" s="11"/>
      <c r="BL1051" s="11"/>
      <c r="BM1051" s="11"/>
      <c r="BN1051" s="11"/>
      <c r="BO1051" s="11"/>
      <c r="BQ1051" s="8"/>
    </row>
    <row r="1052" spans="1:69" s="10" customFormat="1" x14ac:dyDescent="0.35">
      <c r="A1052" s="17"/>
      <c r="B1052" s="14"/>
      <c r="C1052" s="14"/>
      <c r="D1052" s="14"/>
      <c r="E1052" s="16"/>
      <c r="F1052" s="16"/>
      <c r="G1052" s="14"/>
      <c r="H1052" s="14"/>
      <c r="I1052" s="14"/>
      <c r="J1052" s="14"/>
      <c r="K1052" s="14"/>
      <c r="L1052" s="14"/>
      <c r="M1052" s="14"/>
      <c r="N1052" s="14"/>
      <c r="O1052" s="36" t="s">
        <v>11</v>
      </c>
      <c r="P1052" s="35" t="s">
        <v>10</v>
      </c>
      <c r="Q1052" s="11"/>
      <c r="R1052" s="13"/>
      <c r="S1052" s="14"/>
      <c r="T1052" s="14"/>
      <c r="U1052" s="14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3"/>
      <c r="AG1052" s="11"/>
      <c r="AH1052" s="11"/>
      <c r="AI1052" s="11"/>
      <c r="AJ1052" s="11"/>
      <c r="AK1052" s="11"/>
      <c r="AL1052" s="1"/>
      <c r="AM1052" s="1"/>
      <c r="AV1052" s="3"/>
      <c r="AW1052" s="3"/>
      <c r="AX1052" s="3"/>
      <c r="AY1052" s="3"/>
      <c r="AZ1052" s="3"/>
      <c r="BA1052" s="34" t="str">
        <f>O1052</f>
        <v>Actual</v>
      </c>
      <c r="BB1052" s="34" t="str">
        <f>P1052</f>
        <v>Potential</v>
      </c>
      <c r="BF1052" s="1"/>
      <c r="BG1052" s="34" t="s">
        <v>9</v>
      </c>
      <c r="BH1052" s="11"/>
      <c r="BI1052" s="11"/>
      <c r="BJ1052" s="11"/>
      <c r="BK1052" s="11"/>
      <c r="BL1052" s="11"/>
      <c r="BM1052" s="11"/>
      <c r="BN1052" s="11"/>
      <c r="BO1052" s="11"/>
      <c r="BQ1052" s="8"/>
    </row>
    <row r="1053" spans="1:69" s="10" customFormat="1" x14ac:dyDescent="0.35">
      <c r="A1053" s="17"/>
      <c r="B1053" s="14"/>
      <c r="C1053" s="14"/>
      <c r="D1053" s="14"/>
      <c r="E1053" s="16"/>
      <c r="F1053" s="16"/>
      <c r="G1053" s="14"/>
      <c r="H1053" s="14"/>
      <c r="I1053" s="14"/>
      <c r="K1053" s="14"/>
      <c r="L1053" s="14"/>
      <c r="M1053" s="25" t="s">
        <v>8</v>
      </c>
      <c r="N1053" s="14"/>
      <c r="O1053" s="29">
        <f>AH1048</f>
        <v>1074.19</v>
      </c>
      <c r="P1053" s="29">
        <f>AJ1048</f>
        <v>1074.19</v>
      </c>
      <c r="Q1053" s="11"/>
      <c r="R1053" s="13"/>
      <c r="S1053" s="14"/>
      <c r="T1053" s="14"/>
      <c r="U1053" s="14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3"/>
      <c r="AG1053" s="11"/>
      <c r="AH1053" s="11"/>
      <c r="AI1053" s="11"/>
      <c r="AJ1053" s="11"/>
      <c r="AK1053" s="11"/>
      <c r="AL1053" s="1"/>
      <c r="AM1053" s="1"/>
      <c r="AV1053" s="23" t="str">
        <f>M1053</f>
        <v>Tobacco Consumption Cost</v>
      </c>
      <c r="AW1053" s="3"/>
      <c r="AX1053" s="3"/>
      <c r="AY1053" s="3"/>
      <c r="AZ1053" s="3"/>
      <c r="BA1053" s="28">
        <f>O1053</f>
        <v>1074.19</v>
      </c>
      <c r="BB1053" s="28">
        <f>P1053</f>
        <v>1074.19</v>
      </c>
      <c r="BF1053" s="1"/>
      <c r="BG1053" s="33">
        <f>BC1048</f>
        <v>0</v>
      </c>
      <c r="BH1053" s="11"/>
      <c r="BI1053" s="11"/>
      <c r="BJ1053" s="11"/>
      <c r="BK1053" s="11"/>
      <c r="BL1053" s="11"/>
      <c r="BM1053" s="11"/>
      <c r="BN1053" s="11"/>
      <c r="BO1053" s="11"/>
      <c r="BQ1053" s="8"/>
    </row>
    <row r="1054" spans="1:69" s="10" customFormat="1" ht="15" x14ac:dyDescent="0.35">
      <c r="A1054" s="17"/>
      <c r="B1054" s="14"/>
      <c r="C1054" s="14"/>
      <c r="D1054" s="14"/>
      <c r="E1054" s="16"/>
      <c r="F1054" s="16"/>
      <c r="G1054" s="14"/>
      <c r="H1054" s="14"/>
      <c r="I1054" s="14"/>
      <c r="K1054" s="14"/>
      <c r="L1054" s="14"/>
      <c r="M1054" s="31" t="s">
        <v>7</v>
      </c>
      <c r="N1054" s="14"/>
      <c r="O1054" s="30">
        <v>1950</v>
      </c>
      <c r="P1054" s="29">
        <f>O1054</f>
        <v>1950</v>
      </c>
      <c r="Q1054" s="11"/>
      <c r="R1054" s="13"/>
      <c r="S1054" s="14"/>
      <c r="T1054" s="14"/>
      <c r="U1054" s="14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3"/>
      <c r="AG1054" s="11"/>
      <c r="AH1054" s="11"/>
      <c r="AI1054" s="11"/>
      <c r="AJ1054" s="11"/>
      <c r="AK1054" s="11"/>
      <c r="AL1054" s="1"/>
      <c r="AM1054" s="1"/>
      <c r="AV1054" s="23" t="str">
        <f>M1054</f>
        <v>Tobacco Sale</v>
      </c>
      <c r="AW1054" s="3"/>
      <c r="AX1054" s="3"/>
      <c r="AY1054" s="3"/>
      <c r="AZ1054" s="3"/>
      <c r="BA1054" s="28">
        <f>O1054</f>
        <v>1950</v>
      </c>
      <c r="BB1054" s="28">
        <f>P1054</f>
        <v>1950</v>
      </c>
      <c r="BF1054" s="1"/>
      <c r="BG1054" s="33">
        <f>BB1054</f>
        <v>1950</v>
      </c>
      <c r="BH1054" s="11"/>
      <c r="BI1054" s="11"/>
      <c r="BJ1054" s="11"/>
      <c r="BK1054" s="11"/>
      <c r="BL1054" s="11"/>
      <c r="BM1054" s="11"/>
      <c r="BN1054" s="11"/>
      <c r="BO1054" s="11"/>
      <c r="BQ1054" s="8"/>
    </row>
    <row r="1055" spans="1:69" s="10" customFormat="1" x14ac:dyDescent="0.35">
      <c r="A1055" s="17"/>
      <c r="B1055" s="14"/>
      <c r="C1055" s="14"/>
      <c r="D1055" s="14"/>
      <c r="E1055" s="16"/>
      <c r="F1055" s="16"/>
      <c r="G1055" s="14"/>
      <c r="H1055" s="14"/>
      <c r="I1055" s="14"/>
      <c r="K1055" s="14"/>
      <c r="L1055" s="14"/>
      <c r="M1055" s="25" t="s">
        <v>6</v>
      </c>
      <c r="N1055" s="14"/>
      <c r="O1055" s="32">
        <f>O1053/O1054</f>
        <v>0.55086666666666673</v>
      </c>
      <c r="P1055" s="32">
        <f>P1053/P1054</f>
        <v>0.55086666666666673</v>
      </c>
      <c r="Q1055" s="11"/>
      <c r="R1055" s="13"/>
      <c r="S1055" s="14"/>
      <c r="T1055" s="14"/>
      <c r="U1055" s="14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3"/>
      <c r="AG1055" s="11"/>
      <c r="AH1055" s="11"/>
      <c r="AI1055" s="11"/>
      <c r="AJ1055" s="11"/>
      <c r="AK1055" s="11"/>
      <c r="AL1055" s="1"/>
      <c r="AM1055" s="1"/>
      <c r="AV1055" s="23" t="str">
        <f>M1055</f>
        <v>Tobacco Cost %age</v>
      </c>
      <c r="AW1055" s="3"/>
      <c r="AX1055" s="3"/>
      <c r="AY1055" s="3"/>
      <c r="AZ1055" s="3"/>
      <c r="BA1055" s="22">
        <f>O1055</f>
        <v>0.55086666666666673</v>
      </c>
      <c r="BB1055" s="22">
        <f>P1055</f>
        <v>0.55086666666666673</v>
      </c>
      <c r="BF1055" s="1"/>
      <c r="BG1055" s="21">
        <f>BG1053/BG1054</f>
        <v>0</v>
      </c>
      <c r="BH1055" s="11"/>
      <c r="BI1055" s="11"/>
      <c r="BJ1055" s="11"/>
      <c r="BK1055" s="11"/>
      <c r="BL1055" s="11"/>
      <c r="BM1055" s="11"/>
      <c r="BN1055" s="11"/>
      <c r="BO1055" s="11"/>
      <c r="BQ1055" s="8"/>
    </row>
    <row r="1056" spans="1:69" s="10" customFormat="1" ht="15" x14ac:dyDescent="0.35">
      <c r="A1056" s="17"/>
      <c r="B1056" s="14"/>
      <c r="C1056" s="14"/>
      <c r="D1056" s="14"/>
      <c r="E1056" s="16"/>
      <c r="F1056" s="16"/>
      <c r="G1056" s="14"/>
      <c r="H1056" s="14"/>
      <c r="I1056" s="14"/>
      <c r="K1056" s="14"/>
      <c r="L1056" s="14"/>
      <c r="M1056" s="31" t="s">
        <v>5</v>
      </c>
      <c r="N1056" s="14"/>
      <c r="O1056" s="30">
        <v>0</v>
      </c>
      <c r="P1056" s="29">
        <f>O1056</f>
        <v>0</v>
      </c>
      <c r="Q1056" s="11"/>
      <c r="R1056" s="13"/>
      <c r="S1056" s="14"/>
      <c r="T1056" s="14"/>
      <c r="U1056" s="14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3"/>
      <c r="AG1056" s="11"/>
      <c r="AH1056" s="11"/>
      <c r="AI1056" s="11"/>
      <c r="AJ1056" s="11"/>
      <c r="AK1056" s="11"/>
      <c r="AL1056" s="1"/>
      <c r="AM1056" s="1"/>
      <c r="AV1056" s="23" t="str">
        <f>M1056</f>
        <v>Discount Sales</v>
      </c>
      <c r="AW1056" s="3"/>
      <c r="AX1056" s="3"/>
      <c r="AY1056" s="3"/>
      <c r="AZ1056" s="3"/>
      <c r="BA1056" s="28">
        <f>O1056</f>
        <v>0</v>
      </c>
      <c r="BB1056" s="28">
        <f>P1056</f>
        <v>0</v>
      </c>
      <c r="BF1056" s="27"/>
      <c r="BG1056" s="26">
        <f>BB1056</f>
        <v>0</v>
      </c>
      <c r="BH1056" s="11"/>
      <c r="BI1056" s="11"/>
      <c r="BJ1056" s="11"/>
      <c r="BK1056" s="11"/>
      <c r="BL1056" s="11"/>
      <c r="BM1056" s="11"/>
      <c r="BN1056" s="11"/>
      <c r="BO1056" s="11"/>
      <c r="BQ1056" s="8"/>
    </row>
    <row r="1057" spans="1:69" s="10" customFormat="1" x14ac:dyDescent="0.35">
      <c r="A1057" s="17"/>
      <c r="B1057" s="14"/>
      <c r="C1057" s="14"/>
      <c r="D1057" s="14"/>
      <c r="E1057" s="16"/>
      <c r="F1057" s="16"/>
      <c r="G1057" s="14"/>
      <c r="H1057" s="14"/>
      <c r="I1057" s="14"/>
      <c r="K1057" s="14"/>
      <c r="L1057" s="14"/>
      <c r="M1057" s="25" t="s">
        <v>4</v>
      </c>
      <c r="N1057" s="14"/>
      <c r="O1057" s="24">
        <f>O1053/(O1054+O1056)</f>
        <v>0.55086666666666673</v>
      </c>
      <c r="P1057" s="24">
        <f>P1053/(P1054+P1056)</f>
        <v>0.55086666666666673</v>
      </c>
      <c r="Q1057" s="11"/>
      <c r="R1057" s="13"/>
      <c r="S1057" s="14"/>
      <c r="T1057" s="14"/>
      <c r="U1057" s="14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3"/>
      <c r="AG1057" s="11"/>
      <c r="AH1057" s="11"/>
      <c r="AI1057" s="11"/>
      <c r="AJ1057" s="11"/>
      <c r="AK1057" s="11"/>
      <c r="AL1057" s="1"/>
      <c r="AM1057" s="1"/>
      <c r="AV1057" s="23" t="str">
        <f>M1057</f>
        <v>Tobacco Cost %age with Discounts</v>
      </c>
      <c r="AW1057" s="3"/>
      <c r="AX1057" s="3"/>
      <c r="AY1057" s="3"/>
      <c r="AZ1057" s="3"/>
      <c r="BA1057" s="22">
        <f>O1057</f>
        <v>0.55086666666666673</v>
      </c>
      <c r="BB1057" s="22">
        <f>P1057</f>
        <v>0.55086666666666673</v>
      </c>
      <c r="BF1057" s="1"/>
      <c r="BG1057" s="21">
        <f>BG1053/(BG1054+BG1056)</f>
        <v>0</v>
      </c>
      <c r="BH1057" s="11"/>
      <c r="BI1057" s="11"/>
      <c r="BJ1057" s="11"/>
      <c r="BK1057" s="11"/>
      <c r="BL1057" s="11"/>
      <c r="BM1057" s="11"/>
      <c r="BN1057" s="11"/>
      <c r="BO1057" s="11"/>
      <c r="BQ1057" s="8"/>
    </row>
    <row r="1058" spans="1:69" s="10" customFormat="1" x14ac:dyDescent="0.35">
      <c r="A1058" s="17"/>
      <c r="B1058" s="14"/>
      <c r="C1058" s="14"/>
      <c r="D1058" s="14"/>
      <c r="E1058" s="16"/>
      <c r="F1058" s="16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20"/>
      <c r="R1058" s="15"/>
      <c r="S1058" s="14"/>
      <c r="T1058" s="14"/>
      <c r="U1058" s="14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3"/>
      <c r="AG1058" s="11"/>
      <c r="AH1058" s="11"/>
      <c r="AI1058" s="11"/>
      <c r="AJ1058" s="11"/>
      <c r="AK1058" s="11"/>
      <c r="AL1058" s="1"/>
      <c r="AM1058" s="1"/>
      <c r="BG1058" s="11"/>
      <c r="BH1058" s="11"/>
      <c r="BI1058" s="11"/>
      <c r="BJ1058" s="11"/>
      <c r="BK1058" s="11"/>
      <c r="BL1058" s="11"/>
      <c r="BM1058" s="11"/>
      <c r="BN1058" s="11"/>
      <c r="BO1058" s="11"/>
      <c r="BQ1058" s="8"/>
    </row>
    <row r="1059" spans="1:69" s="10" customFormat="1" x14ac:dyDescent="0.35">
      <c r="A1059" s="17"/>
      <c r="B1059" s="14"/>
      <c r="C1059" s="14"/>
      <c r="D1059" s="14"/>
      <c r="E1059" s="16"/>
      <c r="F1059" s="16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20"/>
      <c r="R1059" s="15"/>
      <c r="S1059" s="14"/>
      <c r="T1059" s="14"/>
      <c r="U1059" s="14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3"/>
      <c r="AG1059" s="11"/>
      <c r="AH1059" s="11"/>
      <c r="AI1059" s="11"/>
      <c r="AJ1059" s="11"/>
      <c r="AK1059" s="11"/>
      <c r="AL1059" s="1"/>
      <c r="AM1059" s="1"/>
      <c r="BG1059" s="11"/>
      <c r="BH1059" s="11"/>
      <c r="BI1059" s="11"/>
      <c r="BJ1059" s="11"/>
      <c r="BK1059" s="11"/>
      <c r="BL1059" s="11"/>
      <c r="BM1059" s="11"/>
      <c r="BN1059" s="11"/>
      <c r="BO1059" s="11"/>
      <c r="BQ1059" s="8"/>
    </row>
    <row r="1060" spans="1:69" s="10" customFormat="1" ht="18" x14ac:dyDescent="0.65">
      <c r="A1060" s="17"/>
      <c r="B1060" s="14"/>
      <c r="C1060" s="14"/>
      <c r="D1060" s="14"/>
      <c r="E1060" s="16"/>
      <c r="F1060" s="16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20"/>
      <c r="R1060" s="15"/>
      <c r="S1060" s="19" t="s">
        <v>3</v>
      </c>
      <c r="T1060" s="19" t="s">
        <v>2</v>
      </c>
      <c r="U1060" s="14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3"/>
      <c r="AG1060" s="11"/>
      <c r="AH1060" s="11"/>
      <c r="AI1060" s="11"/>
      <c r="AJ1060" s="11"/>
      <c r="AK1060" s="11"/>
      <c r="AL1060" s="1"/>
      <c r="AM1060" s="1"/>
      <c r="AW1060" s="3"/>
      <c r="AX1060" s="3"/>
      <c r="AY1060" s="7"/>
      <c r="AZ1060" s="3"/>
      <c r="BA1060" s="18" t="s">
        <v>3</v>
      </c>
      <c r="BB1060" s="18" t="s">
        <v>2</v>
      </c>
      <c r="BG1060" s="11"/>
      <c r="BH1060" s="11"/>
      <c r="BI1060" s="11"/>
      <c r="BJ1060" s="11"/>
      <c r="BK1060" s="11"/>
      <c r="BL1060" s="11"/>
      <c r="BM1060" s="11"/>
      <c r="BN1060" s="11"/>
      <c r="BO1060" s="11"/>
      <c r="BQ1060" s="8"/>
    </row>
    <row r="1061" spans="1:69" s="10" customFormat="1" x14ac:dyDescent="0.35">
      <c r="A1061" s="17"/>
      <c r="B1061" s="14"/>
      <c r="C1061" s="14"/>
      <c r="D1061" s="14"/>
      <c r="E1061" s="16"/>
      <c r="F1061" s="16"/>
      <c r="G1061" s="14"/>
      <c r="H1061" s="14"/>
      <c r="I1061" s="14"/>
      <c r="J1061" s="14"/>
      <c r="K1061" s="14"/>
      <c r="L1061" s="14"/>
      <c r="M1061" s="14"/>
      <c r="N1061" s="14"/>
      <c r="O1061" s="14"/>
      <c r="P1061" s="12" t="s">
        <v>1</v>
      </c>
      <c r="Q1061" s="12"/>
      <c r="R1061" s="15"/>
      <c r="S1061" s="3">
        <f>SUMIF(S1022:S1046,"&gt;0",S1022:S1046)</f>
        <v>0</v>
      </c>
      <c r="T1061" s="3">
        <f>SUMIF(T1022:T1046,"&gt;0",T1022:T1046)</f>
        <v>0</v>
      </c>
      <c r="U1061" s="14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3"/>
      <c r="AG1061" s="11"/>
      <c r="AH1061" s="11"/>
      <c r="AI1061" s="11"/>
      <c r="AJ1061" s="11"/>
      <c r="AK1061" s="11"/>
      <c r="AL1061" s="1"/>
      <c r="AM1061" s="1"/>
      <c r="AW1061" s="12"/>
      <c r="AX1061" s="12" t="str">
        <f>P1061</f>
        <v>Total Tobacco Excess</v>
      </c>
      <c r="AY1061" s="7"/>
      <c r="AZ1061" s="7"/>
      <c r="BA1061" s="3">
        <f>S1061</f>
        <v>0</v>
      </c>
      <c r="BB1061" s="3">
        <f>T1061</f>
        <v>0</v>
      </c>
      <c r="BG1061" s="11"/>
      <c r="BH1061" s="11"/>
      <c r="BI1061" s="11"/>
      <c r="BJ1061" s="11"/>
      <c r="BK1061" s="11"/>
      <c r="BL1061" s="11"/>
      <c r="BM1061" s="11"/>
      <c r="BN1061" s="11"/>
      <c r="BO1061" s="11"/>
      <c r="BQ1061" s="8"/>
    </row>
    <row r="1062" spans="1:69" s="10" customFormat="1" x14ac:dyDescent="0.35">
      <c r="A1062" s="17"/>
      <c r="B1062" s="14"/>
      <c r="C1062" s="14"/>
      <c r="D1062" s="14"/>
      <c r="E1062" s="16"/>
      <c r="F1062" s="16"/>
      <c r="G1062" s="14"/>
      <c r="H1062" s="14"/>
      <c r="I1062" s="14"/>
      <c r="J1062" s="14"/>
      <c r="K1062" s="14"/>
      <c r="L1062" s="14"/>
      <c r="M1062" s="14"/>
      <c r="N1062" s="14"/>
      <c r="O1062" s="14"/>
      <c r="P1062" s="12" t="s">
        <v>0</v>
      </c>
      <c r="Q1062" s="12"/>
      <c r="R1062" s="15"/>
      <c r="S1062" s="3">
        <f>SUMIF(S1022:S1046,"&lt;0",S1022:S1046)</f>
        <v>0</v>
      </c>
      <c r="T1062" s="3">
        <f>SUMIF(T1022:T1046,"&lt;0",T1022:T1046)</f>
        <v>0</v>
      </c>
      <c r="U1062" s="14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3"/>
      <c r="AG1062" s="11"/>
      <c r="AH1062" s="11"/>
      <c r="AI1062" s="11"/>
      <c r="AJ1062" s="11"/>
      <c r="AK1062" s="11"/>
      <c r="AL1062" s="1"/>
      <c r="AM1062" s="1"/>
      <c r="AW1062" s="12"/>
      <c r="AX1062" s="12" t="str">
        <f>P1062</f>
        <v>Total Tobacco Shortage</v>
      </c>
      <c r="AY1062" s="7"/>
      <c r="AZ1062" s="7"/>
      <c r="BA1062" s="3">
        <f>S1062</f>
        <v>0</v>
      </c>
      <c r="BB1062" s="3">
        <f>T1062</f>
        <v>0</v>
      </c>
      <c r="BG1062" s="11"/>
      <c r="BH1062" s="11"/>
      <c r="BI1062" s="11"/>
      <c r="BJ1062" s="11"/>
      <c r="BK1062" s="11"/>
      <c r="BL1062" s="11"/>
      <c r="BM1062" s="11"/>
      <c r="BN1062" s="11"/>
      <c r="BO1062" s="11"/>
      <c r="BQ1062" s="8"/>
    </row>
    <row r="1063" spans="1:69" x14ac:dyDescent="0.35">
      <c r="BE1063" s="10"/>
      <c r="BQ1063" s="8"/>
    </row>
    <row r="1064" spans="1:69" x14ac:dyDescent="0.35">
      <c r="BE1064" s="10"/>
      <c r="BQ1064" s="8"/>
    </row>
    <row r="1065" spans="1:69" x14ac:dyDescent="0.35">
      <c r="BE1065" s="10"/>
      <c r="BQ1065" s="8"/>
    </row>
  </sheetData>
  <sheetProtection formatCells="0" formatColumns="0" formatRows="0" sort="0" autoFilter="0" pivotTables="0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15th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Sibi Akash</dc:creator>
  <cp:lastModifiedBy>Sibi Akash</cp:lastModifiedBy>
  <dcterms:created xsi:type="dcterms:W3CDTF">2026-04-27T09:44:46Z</dcterms:created>
  <dcterms:modified xsi:type="dcterms:W3CDTF">2026-04-27T09:44:58Z</dcterms:modified>
</cp:coreProperties>
</file>